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. Como Alimentar" sheetId="1" state="visible" r:id="rId1"/>
    <sheet xmlns:r="http://schemas.openxmlformats.org/officeDocument/2006/relationships" name="Catálogo de Serviços" sheetId="2" state="visible" r:id="rId2"/>
    <sheet xmlns:r="http://schemas.openxmlformats.org/officeDocument/2006/relationships" name="Diagnóstico 5 Blocos" sheetId="3" state="visible" r:id="rId3"/>
    <sheet xmlns:r="http://schemas.openxmlformats.org/officeDocument/2006/relationships" name="1. Receita" sheetId="4" state="visible" r:id="rId4"/>
    <sheet xmlns:r="http://schemas.openxmlformats.org/officeDocument/2006/relationships" name="2. Contas a Receber" sheetId="5" state="visible" r:id="rId5"/>
    <sheet xmlns:r="http://schemas.openxmlformats.org/officeDocument/2006/relationships" name="3. Contas a Pagar" sheetId="6" state="visible" r:id="rId6"/>
    <sheet xmlns:r="http://schemas.openxmlformats.org/officeDocument/2006/relationships" name="4. Fluxo de Caixa" sheetId="7" state="visible" r:id="rId7"/>
    <sheet xmlns:r="http://schemas.openxmlformats.org/officeDocument/2006/relationships" name="5. Indicadores" sheetId="8" state="visible" r:id="rId8"/>
    <sheet xmlns:r="http://schemas.openxmlformats.org/officeDocument/2006/relationships" name="6. Base de Custos" sheetId="9" state="visible" r:id="rId9"/>
    <sheet xmlns:r="http://schemas.openxmlformats.org/officeDocument/2006/relationships" name="7. DRE Gerencial Mensal" sheetId="10" state="visible" r:id="rId10"/>
    <sheet xmlns:r="http://schemas.openxmlformats.org/officeDocument/2006/relationships" name="8. DRE por Centro de Custo" sheetId="11" state="visible" r:id="rId11"/>
    <sheet xmlns:r="http://schemas.openxmlformats.org/officeDocument/2006/relationships" name="9. DRE por Linha de Serviço" sheetId="12" state="visible" r:id="rId12"/>
    <sheet xmlns:r="http://schemas.openxmlformats.org/officeDocument/2006/relationships" name="10. Cadastro de Clientes" sheetId="13" state="visible" r:id="rId13"/>
    <sheet xmlns:r="http://schemas.openxmlformats.org/officeDocument/2006/relationships" name="11. Cadastro de Serviços" sheetId="14" state="visible" r:id="rId14"/>
    <sheet xmlns:r="http://schemas.openxmlformats.org/officeDocument/2006/relationships" name="12. Contratos_OS" sheetId="15" state="visible" r:id="rId15"/>
    <sheet xmlns:r="http://schemas.openxmlformats.org/officeDocument/2006/relationships" name="13. Mapa Títulos-Receita" sheetId="16" state="visible" r:id="rId16"/>
    <sheet xmlns:r="http://schemas.openxmlformats.org/officeDocument/2006/relationships" name="17. Mapa DRE CP" sheetId="17" state="visible" r:id="rId17"/>
    <sheet xmlns:r="http://schemas.openxmlformats.org/officeDocument/2006/relationships" name="14. Consolidado Mensal" sheetId="18" state="visible" r:id="rId18"/>
    <sheet xmlns:r="http://schemas.openxmlformats.org/officeDocument/2006/relationships" name="15. Template Importação CR" sheetId="19" state="visible" r:id="rId19"/>
    <sheet xmlns:r="http://schemas.openxmlformats.org/officeDocument/2006/relationships" name="16. Template Importação CP" sheetId="20" state="visible" r:id="rId20"/>
  </sheets>
  <definedNames/>
</workbook>
</file>

<file path=xl/styles.xml><?xml version="1.0" encoding="utf-8"?>
<styleSheet xmlns="http://schemas.openxmlformats.org/spreadsheetml/2006/main">
  <numFmts count="10">
    <numFmt numFmtId="164" formatCode="0.0%"/>
    <numFmt numFmtId="165" formatCode="R$ #,##0.00;[Red](R$ #,##0.00)"/>
    <numFmt numFmtId="166" formatCode="dd/mm/yyyy"/>
    <numFmt numFmtId="167" formatCode="mmm/yy"/>
    <numFmt numFmtId="168" formatCode="&quot;R$ &quot;#,##0;&quot;(R$ &quot;#,##0\);\-"/>
    <numFmt numFmtId="169" formatCode="R$ #,##0.00;[Red](R$ #,##0.00);-"/>
    <numFmt numFmtId="170" formatCode="DD/MM/YYYY"/>
    <numFmt numFmtId="171" formatCode="MMM/YY"/>
    <numFmt numFmtId="172" formatCode="#,##0.00;[Red](#,##0.00);-"/>
    <numFmt numFmtId="173" formatCode="dd/mmm"/>
  </numFmts>
  <fonts count="1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444444"/>
      <sz val="9"/>
    </font>
    <font>
      <name val="Arial"/>
      <b val="1"/>
      <color rgb="FF1A3A5C"/>
      <sz val="9"/>
    </font>
    <font>
      <name val="Arial"/>
      <color rgb="FF000000"/>
      <sz val="10"/>
    </font>
    <font>
      <name val="Arial"/>
      <b val="1"/>
      <color rgb="FFFFFFFF"/>
      <sz val="11"/>
    </font>
    <font>
      <name val="Arial"/>
      <b val="1"/>
      <sz val="10"/>
    </font>
    <font>
      <name val="Arial"/>
      <b val="1"/>
      <color rgb="FF1A5C2A"/>
      <sz val="10"/>
    </font>
    <font>
      <name val="Arial"/>
      <b val="1"/>
      <color rgb="FF0000FF"/>
      <sz val="10"/>
    </font>
    <font>
      <name val="Calibri"/>
      <b val="1"/>
      <color rgb="00000000"/>
      <sz val="11"/>
    </font>
    <font>
      <name val="Calibri"/>
      <color rgb="00C00000"/>
      <sz val="11"/>
    </font>
    <font>
      <b val="1"/>
    </font>
    <font>
      <color rgb="00C00000"/>
    </font>
    <font>
      <b val="1"/>
      <color rgb="00FFFFFF"/>
    </font>
    <font>
      <b val="1"/>
      <color rgb="00FFFFFF"/>
      <sz val="14"/>
    </font>
    <font>
      <b val="1"/>
      <color rgb="00FFFFFF"/>
      <sz val="12"/>
    </font>
    <font>
      <b val="1"/>
      <color rgb="000000FF"/>
    </font>
    <font>
      <color rgb="00000000"/>
    </font>
  </fonts>
  <fills count="13">
    <fill>
      <patternFill/>
    </fill>
    <fill>
      <patternFill patternType="gray125"/>
    </fill>
    <fill>
      <patternFill patternType="solid">
        <fgColor rgb="FF1A3A5C"/>
      </patternFill>
    </fill>
    <fill>
      <patternFill patternType="solid">
        <fgColor rgb="FFEBF4FB"/>
      </patternFill>
    </fill>
    <fill>
      <patternFill patternType="solid">
        <fgColor rgb="FFD6E8F7"/>
      </patternFill>
    </fill>
    <fill>
      <patternFill patternType="solid">
        <fgColor rgb="FFFFFFFF"/>
      </patternFill>
    </fill>
    <fill>
      <patternFill patternType="solid">
        <fgColor rgb="FF2E6DA4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FFD5F5E3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1F4E78"/>
      </patternFill>
    </fill>
  </fills>
  <borders count="2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00D9D9D9"/>
      </top>
      <bottom/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FFCCCCCC"/>
      </left>
      <right style="thin">
        <color rgb="00D9D9D9"/>
      </right>
      <top style="thin">
        <color rgb="FFCCCCCC"/>
      </top>
      <bottom style="thin">
        <color rgb="FFCCCCCC"/>
      </bottom>
      <diagonal/>
    </border>
    <border>
      <left/>
      <right style="thin">
        <color rgb="00D9D9D9"/>
      </right>
      <top style="thin">
        <color rgb="FFCCCCCC"/>
      </top>
      <bottom/>
      <diagonal/>
    </border>
    <border>
      <left/>
      <right style="thin">
        <color rgb="00D9D9D9"/>
      </right>
      <top style="thin">
        <color rgb="FFCCCCCC"/>
      </top>
      <bottom style="thin">
        <color rgb="FFCCCCCC"/>
      </bottom>
      <diagonal/>
    </border>
    <border>
      <top style="medium">
        <color rgb="001A3A5C"/>
      </top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top style="thin"/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0" fontId="5" fillId="6" borderId="3" applyAlignment="1" pivotButton="0" quotePrefix="0" xfId="0">
      <alignment horizontal="left" vertical="center"/>
    </xf>
    <xf numFmtId="0" fontId="4" fillId="5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165" fontId="7" fillId="9" borderId="2" applyAlignment="1" pivotButton="0" quotePrefix="0" xfId="0">
      <alignment horizontal="center" vertical="center"/>
    </xf>
    <xf numFmtId="0" fontId="4" fillId="5" borderId="2" applyAlignment="1" pivotButton="0" quotePrefix="0" xfId="0">
      <alignment wrapText="1"/>
    </xf>
    <xf numFmtId="164" fontId="7" fillId="9" borderId="2" applyAlignment="1" pivotButton="0" quotePrefix="0" xfId="0">
      <alignment horizontal="center" vertical="center"/>
    </xf>
    <xf numFmtId="166" fontId="8" fillId="3" borderId="2" applyAlignment="1" pivotButton="0" quotePrefix="0" xfId="0">
      <alignment horizontal="center" vertical="center"/>
    </xf>
    <xf numFmtId="167" fontId="4" fillId="5" borderId="2" applyAlignment="1" pivotButton="0" quotePrefix="0" xfId="0">
      <alignment horizontal="left" vertical="center"/>
    </xf>
    <xf numFmtId="168" fontId="8" fillId="3" borderId="2" applyAlignment="1" pivotButton="0" quotePrefix="0" xfId="0">
      <alignment horizontal="center" vertical="center"/>
    </xf>
    <xf numFmtId="165" fontId="8" fillId="3" borderId="2" applyAlignment="1" pivotButton="0" quotePrefix="0" xfId="0">
      <alignment horizontal="center" vertical="center"/>
    </xf>
    <xf numFmtId="1" fontId="7" fillId="9" borderId="2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0" fillId="0" borderId="5" pivotButton="0" quotePrefix="0" xfId="0"/>
    <xf numFmtId="169" fontId="3" fillId="4" borderId="1" applyAlignment="1" pivotButton="0" quotePrefix="0" xfId="0">
      <alignment horizontal="center" vertical="center"/>
    </xf>
    <xf numFmtId="169" fontId="7" fillId="9" borderId="2" applyAlignment="1" pivotButton="0" quotePrefix="0" xfId="0">
      <alignment horizontal="center" vertical="center"/>
    </xf>
    <xf numFmtId="170" fontId="8" fillId="3" borderId="2" applyAlignment="1" pivotButton="0" quotePrefix="0" xfId="0">
      <alignment horizontal="center" vertical="center"/>
    </xf>
    <xf numFmtId="167" fontId="4" fillId="5" borderId="2" applyAlignment="1" pivotButton="0" quotePrefix="0" xfId="0">
      <alignment horizontal="left" vertical="center"/>
    </xf>
    <xf numFmtId="168" fontId="8" fillId="3" borderId="2" applyAlignment="1" pivotButton="0" quotePrefix="0" xfId="0">
      <alignment horizontal="center" vertical="center"/>
    </xf>
    <xf numFmtId="166" fontId="8" fillId="3" borderId="2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169" fontId="8" fillId="3" borderId="2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5" fillId="6" borderId="3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9" fontId="3" fillId="4" borderId="1" applyAlignment="1" pivotButton="0" quotePrefix="0" xfId="0">
      <alignment horizontal="center" vertical="center"/>
    </xf>
    <xf numFmtId="169" fontId="7" fillId="9" borderId="2" applyAlignment="1" pivotButton="0" quotePrefix="0" xfId="0">
      <alignment horizontal="center" vertical="center"/>
    </xf>
    <xf numFmtId="170" fontId="8" fillId="3" borderId="2" applyAlignment="1" pivotButton="0" quotePrefix="0" xfId="0">
      <alignment horizontal="center" vertical="center"/>
    </xf>
    <xf numFmtId="169" fontId="8" fillId="3" borderId="2" applyAlignment="1" pivotButton="0" quotePrefix="0" xfId="0">
      <alignment horizontal="center" vertical="center"/>
    </xf>
    <xf numFmtId="171" fontId="4" fillId="5" borderId="2" applyAlignment="1" pivotButton="0" quotePrefix="0" xfId="0">
      <alignment horizontal="left" vertical="center"/>
    </xf>
    <xf numFmtId="169" fontId="4" fillId="5" borderId="2" applyAlignment="1" pivotButton="0" quotePrefix="0" xfId="0">
      <alignment horizontal="left" vertical="center"/>
    </xf>
    <xf numFmtId="2" fontId="7" fillId="9" borderId="2" applyAlignment="1" pivotButton="0" quotePrefix="0" xfId="0">
      <alignment horizontal="center" vertical="center"/>
    </xf>
    <xf numFmtId="4" fontId="7" fillId="9" borderId="2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21" applyAlignment="1" pivotButton="0" quotePrefix="0" xfId="0">
      <alignment horizontal="left" vertical="center"/>
    </xf>
    <xf numFmtId="0" fontId="0" fillId="0" borderId="23" pivotButton="0" quotePrefix="0" xfId="0"/>
    <xf numFmtId="168" fontId="8" fillId="3" borderId="2" applyAlignment="1" pivotButton="0" quotePrefix="0" xfId="0">
      <alignment horizontal="left" vertical="center" wrapText="1"/>
    </xf>
    <xf numFmtId="164" fontId="8" fillId="3" borderId="2" applyAlignment="1" pivotButton="0" quotePrefix="0" xfId="0">
      <alignment horizontal="center" vertical="center"/>
    </xf>
    <xf numFmtId="172" fontId="7" fillId="9" borderId="2" applyAlignment="1" pivotButton="0" quotePrefix="0" xfId="0">
      <alignment horizontal="center" vertical="center"/>
    </xf>
    <xf numFmtId="172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170" fontId="8" fillId="3" borderId="2" applyAlignment="1" pivotButton="0" quotePrefix="0" xfId="0">
      <alignment horizontal="left" vertical="center"/>
    </xf>
    <xf numFmtId="168" fontId="8" fillId="3" borderId="2" applyAlignment="1" pivotButton="0" quotePrefix="0" xfId="0">
      <alignment horizontal="left" vertical="center"/>
    </xf>
    <xf numFmtId="166" fontId="3" fillId="11" borderId="1" applyAlignment="1" pivotButton="0" quotePrefix="0" xfId="0">
      <alignment horizontal="center" vertical="center"/>
    </xf>
    <xf numFmtId="169" fontId="0" fillId="0" borderId="0" applyAlignment="1" pivotButton="0" quotePrefix="0" xfId="0">
      <alignment horizontal="right" vertical="center"/>
    </xf>
    <xf numFmtId="169" fontId="0" fillId="10" borderId="0" applyAlignment="1" pivotButton="0" quotePrefix="0" xfId="0">
      <alignment horizontal="right" vertical="center"/>
    </xf>
    <xf numFmtId="169" fontId="0" fillId="11" borderId="0" applyAlignment="1" pivotButton="0" quotePrefix="0" xfId="0">
      <alignment horizontal="right" vertical="center"/>
    </xf>
    <xf numFmtId="0" fontId="9" fillId="5" borderId="2" applyAlignment="1" pivotButton="0" quotePrefix="0" xfId="0">
      <alignment horizontal="left" vertical="center"/>
    </xf>
    <xf numFmtId="169" fontId="11" fillId="0" borderId="24" applyAlignment="1" pivotButton="0" quotePrefix="0" xfId="0">
      <alignment horizontal="right" vertical="center"/>
    </xf>
    <xf numFmtId="169" fontId="11" fillId="10" borderId="24" applyAlignment="1" pivotButton="0" quotePrefix="0" xfId="0">
      <alignment horizontal="right" vertical="center"/>
    </xf>
    <xf numFmtId="169" fontId="11" fillId="11" borderId="24" applyAlignment="1" pivotButton="0" quotePrefix="0" xfId="0">
      <alignment horizontal="right" vertical="center"/>
    </xf>
    <xf numFmtId="0" fontId="10" fillId="5" borderId="2" applyAlignment="1" pivotButton="0" quotePrefix="0" xfId="0">
      <alignment horizontal="left" vertical="center"/>
    </xf>
    <xf numFmtId="169" fontId="12" fillId="0" borderId="0" applyAlignment="1" pivotButton="0" quotePrefix="0" xfId="0">
      <alignment horizontal="right" vertical="center"/>
    </xf>
    <xf numFmtId="169" fontId="12" fillId="10" borderId="0" applyAlignment="1" pivotButton="0" quotePrefix="0" xfId="0">
      <alignment horizontal="right" vertical="center"/>
    </xf>
    <xf numFmtId="169" fontId="12" fillId="11" borderId="0" applyAlignment="1" pivotButton="0" quotePrefix="0" xfId="0">
      <alignment horizontal="right" vertical="center"/>
    </xf>
    <xf numFmtId="0" fontId="0" fillId="10" borderId="0" pivotButton="0" quotePrefix="0" xfId="0"/>
    <xf numFmtId="0" fontId="0" fillId="11" borderId="0" pivotButton="0" quotePrefix="0" xfId="0"/>
    <xf numFmtId="0" fontId="9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164" fontId="0" fillId="10" borderId="0" applyAlignment="1" pivotButton="0" quotePrefix="0" xfId="0">
      <alignment horizontal="right" vertical="center"/>
    </xf>
    <xf numFmtId="164" fontId="0" fillId="11" borderId="0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164" fontId="11" fillId="10" borderId="0" applyAlignment="1" pivotButton="0" quotePrefix="0" xfId="0">
      <alignment horizontal="right" vertical="center"/>
    </xf>
    <xf numFmtId="164" fontId="11" fillId="11" borderId="0" applyAlignment="1" pivotButton="0" quotePrefix="0" xfId="0">
      <alignment horizontal="right" vertical="center"/>
    </xf>
    <xf numFmtId="0" fontId="0" fillId="0" borderId="25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1" fontId="3" fillId="11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68" fontId="8" fillId="3" borderId="2" applyAlignment="1" pivotButton="0" quotePrefix="0" xfId="0">
      <alignment vertical="top" wrapText="1"/>
    </xf>
    <xf numFmtId="0" fontId="13" fillId="12" borderId="0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6" applyAlignment="1" pivotButton="0" quotePrefix="0" xfId="0">
      <alignment horizontal="left" vertical="center"/>
    </xf>
    <xf numFmtId="0" fontId="0" fillId="0" borderId="26" applyAlignment="1" pivotButton="0" quotePrefix="0" xfId="0">
      <alignment vertical="top" wrapText="1"/>
    </xf>
    <xf numFmtId="0" fontId="14" fillId="12" borderId="0" applyAlignment="1" pivotButton="0" quotePrefix="0" xfId="0">
      <alignment horizontal="left"/>
    </xf>
    <xf numFmtId="0" fontId="15" fillId="12" borderId="0" pivotButton="0" quotePrefix="0" xfId="0"/>
    <xf numFmtId="0" fontId="11" fillId="0" borderId="0" pivotButton="0" quotePrefix="0" xfId="0"/>
    <xf numFmtId="0" fontId="16" fillId="7" borderId="0" pivotButton="0" quotePrefix="0" xfId="0"/>
    <xf numFmtId="167" fontId="16" fillId="7" borderId="0" pivotButton="0" quotePrefix="0" xfId="0"/>
    <xf numFmtId="0" fontId="17" fillId="10" borderId="0" pivotButton="0" quotePrefix="0" xfId="0"/>
    <xf numFmtId="173" fontId="8" fillId="3" borderId="2" applyAlignment="1" pivotButton="0" quotePrefix="0" xfId="0">
      <alignment horizontal="center" vertical="center"/>
    </xf>
    <xf numFmtId="167" fontId="8" fillId="3" borderId="2" applyAlignment="1" pivotButton="0" quotePrefix="0" xfId="0">
      <alignment horizontal="left" vertical="center"/>
    </xf>
    <xf numFmtId="167" fontId="3" fillId="11" borderId="1" applyAlignment="1" pivotButton="0" quotePrefix="0" xfId="0">
      <alignment horizontal="center" vertical="center"/>
    </xf>
    <xf numFmtId="0" fontId="14" fillId="12" borderId="0" pivotButton="0" quotePrefix="0" xfId="0"/>
    <xf numFmtId="167" fontId="0" fillId="0" borderId="0" pivotButton="0" quotePrefix="0" xfId="0"/>
    <xf numFmtId="169" fontId="0" fillId="0" borderId="0" pivotButton="0" quotePrefix="0" xfId="0"/>
    <xf numFmtId="169" fontId="11" fillId="0" borderId="27" pivotButton="0" quotePrefix="0" xfId="0"/>
    <xf numFmtId="0" fontId="15" fillId="0" borderId="0" pivotButton="0" quotePrefix="0" xfId="0"/>
    <xf numFmtId="173" fontId="8" fillId="3" borderId="2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65" customWidth="1" min="3" max="3"/>
    <col width="14" customWidth="1" min="4" max="4"/>
    <col width="14" customWidth="1" min="5" max="5"/>
    <col width="14" customWidth="1" min="6" max="6"/>
  </cols>
  <sheetData>
    <row r="1">
      <c r="A1" s="97" t="inlineStr">
        <is>
          <t>0. COMO ALIMENTAR — VERSÃO MULTI-MÊS CONSOLIDADA</t>
        </is>
      </c>
    </row>
    <row r="2">
      <c r="A2" s="32" t="inlineStr">
        <is>
          <t>Alimente as bases transacionais (1, 2, 3, 10, 12 e 13) e deixe os relatórios recalcularem. Não edite manualmente as abas analíticas.</t>
        </is>
      </c>
    </row>
    <row r="4">
      <c r="A4" s="98" t="inlineStr">
        <is>
          <t>CONTROLES</t>
        </is>
      </c>
    </row>
    <row r="5">
      <c r="A5" s="99" t="inlineStr">
        <is>
          <t>Saldo inicial do fluxo de caixa</t>
        </is>
      </c>
      <c r="B5" s="100" t="n">
        <v>0</v>
      </c>
      <c r="C5" t="inlineStr">
        <is>
          <t>Valor usado na aba 4. Fluxo de Caixa.</t>
        </is>
      </c>
    </row>
    <row r="6">
      <c r="A6" s="99" t="inlineStr">
        <is>
          <t>Ano-base da DRE mensal</t>
        </is>
      </c>
      <c r="B6" s="100" t="n">
        <v>2026</v>
      </c>
      <c r="C6" t="inlineStr">
        <is>
          <t>Muda a aba 7 para o ano desejado.</t>
        </is>
      </c>
    </row>
    <row r="7">
      <c r="A7" s="99" t="inlineStr">
        <is>
          <t>Mês de análise (1º dia do mês)</t>
        </is>
      </c>
      <c r="B7" s="101" t="n">
        <v>46082</v>
      </c>
      <c r="C7" t="inlineStr">
        <is>
          <t>Muda as abas 8 e 9 para o mês selecionado.</t>
        </is>
      </c>
    </row>
    <row r="8">
      <c r="A8" s="99" t="inlineStr">
        <is>
          <t>Último mês no CR</t>
        </is>
      </c>
      <c r="B8" s="102">
        <f>MAX('2. Contas a Receber'!$N$8:$N$1000)</f>
        <v/>
      </c>
      <c r="C8" t="inlineStr">
        <is>
          <t>Leitura automática da base de CR.</t>
        </is>
      </c>
    </row>
    <row r="9">
      <c r="A9" s="99" t="inlineStr">
        <is>
          <t>Último mês no CP</t>
        </is>
      </c>
      <c r="B9" s="102">
        <f>MAX('3. Contas a Pagar'!$B$6:$B$1000)</f>
        <v/>
      </c>
      <c r="C9" t="inlineStr">
        <is>
          <t>Leitura automática da base de CP.</t>
        </is>
      </c>
    </row>
    <row r="12">
      <c r="A12" s="98" t="inlineStr">
        <is>
          <t>PASSO A PASSO</t>
        </is>
      </c>
    </row>
    <row r="13">
      <c r="A13" t="inlineStr">
        <is>
          <t>1) Lance novos meses em 2. Contas a Receber e 3. Contas a Pagar nas primeiras linhas vazias.</t>
        </is>
      </c>
    </row>
    <row r="14">
      <c r="A14" t="inlineStr">
        <is>
          <t>2) Se surgir cliente novo, cadastre em 10. Cadastro de Clientes.</t>
        </is>
      </c>
    </row>
    <row r="15">
      <c r="A15" t="inlineStr">
        <is>
          <t>3) Se surgir serviço novo, cadastre em 11. Cadastro de Serviços.</t>
        </is>
      </c>
    </row>
    <row r="16">
      <c r="A16" t="inlineStr">
        <is>
          <t>4) Se surgir contrato recorrente ou OS nova, cadastre em 12. Contratos_OS.</t>
        </is>
      </c>
    </row>
    <row r="17">
      <c r="A17" t="inlineStr">
        <is>
          <t>5) Para rastrear ponta a ponta, espelhe cada novo título em 13. Mapa Títulos-Receita.</t>
        </is>
      </c>
    </row>
    <row r="18">
      <c r="A18" t="inlineStr">
        <is>
          <t>6) Revise 14. Consolidado Mensal, 7. DRE Gerencial Mensal, 8. DRE por Centro de Custo e 9. DRE por Linha de Serviço.</t>
        </is>
      </c>
    </row>
    <row r="21">
      <c r="A21" s="98" t="inlineStr">
        <is>
          <t>CAMPOS MÍNIMOS PARA NOVO CR</t>
        </is>
      </c>
    </row>
    <row r="22">
      <c r="A22" t="inlineStr">
        <is>
          <t>ID título, Cliente, Emissão, Vencimento, Valor e Tipo receita DRE são o mínimo para a DRE funcionar.</t>
        </is>
      </c>
    </row>
    <row r="23">
      <c r="A23" t="inlineStr">
        <is>
          <t>Recebimento, Valor recebido e Status permitem fechar o caixa e a carteira.</t>
        </is>
      </c>
    </row>
    <row r="24">
      <c r="A24" t="inlineStr">
        <is>
          <t>Cliente mestre, Contrato/OS, Serviço e Centro de resultado dão rastreabilidade ERP.</t>
        </is>
      </c>
    </row>
    <row r="28">
      <c r="A28" s="98" t="inlineStr">
        <is>
          <t>CAMPOS MÍNIMOS PARA NOVO CP</t>
        </is>
      </c>
    </row>
    <row r="29">
      <c r="A29" t="inlineStr">
        <is>
          <t>Fornecedor, Emissão, Vencimento, Valor e Tipo são o mínimo.</t>
        </is>
      </c>
    </row>
    <row r="30">
      <c r="A30" t="inlineStr">
        <is>
          <t>Pagamento e Status fecham o caixa.</t>
        </is>
      </c>
    </row>
    <row r="31">
      <c r="A31" t="inlineStr">
        <is>
          <t>A classificação DRE agora é automática por grupo/natureza via 17. Mapa DRE CP; revise quando aparecer "Revisar".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CATÁLOGO DE SERVIÇOS — BASE DE PREÇO PISO EXTRAÍDA DA PLANILHA ORIGINAL</t>
        </is>
      </c>
    </row>
    <row r="2">
      <c r="A2" s="2" t="inlineStr">
        <is>
          <t>Use este catálogo como referência comercial no bloco 1. Valores baseados na aba "Tabela de Serviços" da planilha enviada.</t>
        </is>
      </c>
    </row>
    <row r="4">
      <c r="A4" s="3" t="inlineStr">
        <is>
          <t>Serviço</t>
        </is>
      </c>
      <c r="B4" s="3" t="inlineStr">
        <is>
          <t>Horas estimadas</t>
        </is>
      </c>
      <c r="C4" s="3" t="inlineStr">
        <is>
          <t>Km base</t>
        </is>
      </c>
      <c r="D4" s="3" t="inlineStr">
        <is>
          <t>Retrabalho</t>
        </is>
      </c>
      <c r="E4" s="3" t="inlineStr">
        <is>
          <t>Piso base</t>
        </is>
      </c>
      <c r="F4" s="3" t="inlineStr">
        <is>
          <t>Piso c/ margem 20%</t>
        </is>
      </c>
      <c r="G4" s="3" t="inlineStr">
        <is>
          <t>Fator risco ART</t>
        </is>
      </c>
    </row>
    <row r="5">
      <c r="A5" s="4" t="inlineStr">
        <is>
          <t>PCMSO (até 10 funcionários)</t>
        </is>
      </c>
      <c r="B5" s="5" t="n">
        <v>12</v>
      </c>
      <c r="C5" s="5" t="n">
        <v>50</v>
      </c>
      <c r="D5" s="6" t="n">
        <v>0.12</v>
      </c>
      <c r="E5" s="7" t="n">
        <v>4558</v>
      </c>
      <c r="F5" s="7" t="n">
        <v>5890</v>
      </c>
      <c r="G5" s="4" t="inlineStr">
        <is>
          <t>15–30%</t>
        </is>
      </c>
    </row>
    <row r="6">
      <c r="A6" s="4" t="inlineStr">
        <is>
          <t>PCMSO (11–30 funcionários)</t>
        </is>
      </c>
      <c r="B6" s="5" t="n">
        <v>16</v>
      </c>
      <c r="C6" s="5" t="n">
        <v>50</v>
      </c>
      <c r="D6" s="6" t="n">
        <v>0.14</v>
      </c>
      <c r="E6" s="7" t="n">
        <v>6381</v>
      </c>
      <c r="F6" s="7" t="n">
        <v>8246</v>
      </c>
      <c r="G6" s="4" t="inlineStr">
        <is>
          <t>15–30%</t>
        </is>
      </c>
    </row>
    <row r="7">
      <c r="A7" s="4" t="inlineStr">
        <is>
          <t>PCMSO (31–100 funcionários)</t>
        </is>
      </c>
      <c r="B7" s="5" t="n">
        <v>22</v>
      </c>
      <c r="C7" s="5" t="n">
        <v>60</v>
      </c>
      <c r="D7" s="6" t="n">
        <v>0.15</v>
      </c>
      <c r="E7" s="7" t="n">
        <v>8660</v>
      </c>
      <c r="F7" s="7" t="n">
        <v>11191</v>
      </c>
      <c r="G7" s="4" t="inlineStr">
        <is>
          <t>15–30%</t>
        </is>
      </c>
    </row>
    <row r="8">
      <c r="A8" s="4" t="inlineStr">
        <is>
          <t>PGR — Grau I (até 10 func.)</t>
        </is>
      </c>
      <c r="B8" s="5" t="n">
        <v>14</v>
      </c>
      <c r="C8" s="5" t="n">
        <v>70</v>
      </c>
      <c r="D8" s="6" t="n">
        <v>0.15</v>
      </c>
      <c r="E8" s="7" t="n">
        <v>5557</v>
      </c>
      <c r="F8" s="7" t="n">
        <v>7280</v>
      </c>
      <c r="G8" s="4" t="inlineStr">
        <is>
          <t>15–30%</t>
        </is>
      </c>
    </row>
    <row r="9">
      <c r="A9" s="4" t="inlineStr">
        <is>
          <t>PGR — Grau II (até 10 func.)</t>
        </is>
      </c>
      <c r="B9" s="5" t="n">
        <v>16</v>
      </c>
      <c r="C9" s="5" t="n">
        <v>70</v>
      </c>
      <c r="D9" s="6" t="n">
        <v>0.16</v>
      </c>
      <c r="E9" s="7" t="n">
        <v>6668</v>
      </c>
      <c r="F9" s="7" t="n">
        <v>8736</v>
      </c>
      <c r="G9" s="4" t="inlineStr">
        <is>
          <t>15–30%</t>
        </is>
      </c>
    </row>
    <row r="10">
      <c r="A10" s="4" t="inlineStr">
        <is>
          <t>PGR — Grau III (até 10 func.)</t>
        </is>
      </c>
      <c r="B10" s="5" t="n">
        <v>20</v>
      </c>
      <c r="C10" s="5" t="n">
        <v>80</v>
      </c>
      <c r="D10" s="6" t="n">
        <v>0.18</v>
      </c>
      <c r="E10" s="7" t="n">
        <v>8057</v>
      </c>
      <c r="F10" s="7" t="n">
        <v>10556</v>
      </c>
      <c r="G10" s="4" t="inlineStr">
        <is>
          <t>15–30%</t>
        </is>
      </c>
    </row>
    <row r="11">
      <c r="A11" s="4" t="inlineStr">
        <is>
          <t>LTCAT — físicos simples</t>
        </is>
      </c>
      <c r="B11" s="5" t="n">
        <v>18</v>
      </c>
      <c r="C11" s="5" t="n">
        <v>80</v>
      </c>
      <c r="D11" s="6" t="n">
        <v>0.18</v>
      </c>
      <c r="E11" s="7" t="n">
        <v>7465</v>
      </c>
      <c r="F11" s="7" t="n">
        <v>9870</v>
      </c>
      <c r="G11" s="4" t="inlineStr">
        <is>
          <t>15–30%</t>
        </is>
      </c>
    </row>
    <row r="12">
      <c r="A12" s="4" t="inlineStr">
        <is>
          <t>LTCAT — físicos + químicos</t>
        </is>
      </c>
      <c r="B12" s="5" t="n">
        <v>24</v>
      </c>
      <c r="C12" s="5" t="n">
        <v>80</v>
      </c>
      <c r="D12" s="6" t="n">
        <v>0.2</v>
      </c>
      <c r="E12" s="7" t="n">
        <v>9332</v>
      </c>
      <c r="F12" s="7" t="n">
        <v>13318</v>
      </c>
      <c r="G12" s="4" t="inlineStr">
        <is>
          <t>15–30%</t>
        </is>
      </c>
    </row>
    <row r="13">
      <c r="A13" s="4" t="inlineStr">
        <is>
          <t>Laudo insalub. — 1 agente</t>
        </is>
      </c>
      <c r="B13" s="5" t="n">
        <v>12</v>
      </c>
      <c r="C13" s="5" t="n">
        <v>60</v>
      </c>
      <c r="D13" s="6" t="n">
        <v>0.2</v>
      </c>
      <c r="E13" s="7" t="n">
        <v>5104</v>
      </c>
      <c r="F13" s="7" t="n">
        <v>6620</v>
      </c>
      <c r="G13" s="4" t="inlineStr">
        <is>
          <t>15–30%</t>
        </is>
      </c>
    </row>
    <row r="14">
      <c r="A14" s="4" t="inlineStr">
        <is>
          <t>Laudo insalub. — 2–3 agentes</t>
        </is>
      </c>
      <c r="B14" s="5" t="n">
        <v>16</v>
      </c>
      <c r="C14" s="5" t="n">
        <v>60</v>
      </c>
      <c r="D14" s="6" t="n">
        <v>0.22</v>
      </c>
      <c r="E14" s="7" t="n">
        <v>6380</v>
      </c>
      <c r="F14" s="7" t="n">
        <v>8276</v>
      </c>
      <c r="G14" s="4" t="inlineStr">
        <is>
          <t>15–30%</t>
        </is>
      </c>
    </row>
    <row r="15">
      <c r="A15" s="4" t="inlineStr">
        <is>
          <t>Treinamento NR — até 20 pessoas</t>
        </is>
      </c>
      <c r="B15" s="5" t="n">
        <v>8</v>
      </c>
      <c r="C15" s="5" t="n">
        <v>50</v>
      </c>
      <c r="D15" s="6" t="n">
        <v>0.05</v>
      </c>
      <c r="E15" s="7" t="n">
        <v>2915</v>
      </c>
      <c r="F15" s="7" t="n">
        <v>3680</v>
      </c>
      <c r="G15" s="4" t="inlineStr">
        <is>
          <t>+30% noturno</t>
        </is>
      </c>
    </row>
    <row r="16">
      <c r="A16" s="4" t="inlineStr">
        <is>
          <t>Treinamento NR12 / NR10</t>
        </is>
      </c>
      <c r="B16" s="5" t="n">
        <v>12</v>
      </c>
      <c r="C16" s="5" t="n">
        <v>50</v>
      </c>
      <c r="D16" s="6" t="n">
        <v>0.08</v>
      </c>
      <c r="E16" s="7" t="n">
        <v>4372</v>
      </c>
      <c r="F16" s="7" t="n">
        <v>5520</v>
      </c>
      <c r="G16" s="4" t="inlineStr">
        <is>
          <t>+30%</t>
        </is>
      </c>
    </row>
    <row r="17">
      <c r="A17" s="4" t="inlineStr">
        <is>
          <t>Consultoria NR12 — até 5 maq.</t>
        </is>
      </c>
      <c r="B17" s="5" t="n">
        <v>22</v>
      </c>
      <c r="C17" s="5" t="n">
        <v>80</v>
      </c>
      <c r="D17" s="6" t="n">
        <v>0.2</v>
      </c>
      <c r="E17" s="7" t="n">
        <v>9374</v>
      </c>
      <c r="F17" s="7" t="n">
        <v>12540</v>
      </c>
      <c r="G17" s="4" t="inlineStr">
        <is>
          <t>15–30%</t>
        </is>
      </c>
    </row>
    <row r="18">
      <c r="A18" s="4" t="inlineStr">
        <is>
          <t>Consultoria NR12 — 6–15 maq.</t>
        </is>
      </c>
      <c r="B18" s="5" t="n">
        <v>32</v>
      </c>
      <c r="C18" s="5" t="n">
        <v>80</v>
      </c>
      <c r="D18" s="6" t="n">
        <v>0.22</v>
      </c>
      <c r="E18" s="7" t="n">
        <v>13124</v>
      </c>
      <c r="F18" s="7" t="n">
        <v>17556</v>
      </c>
      <c r="G18" s="4" t="inlineStr">
        <is>
          <t>15–30%</t>
        </is>
      </c>
    </row>
    <row r="19">
      <c r="A19" s="4" t="inlineStr">
        <is>
          <t>Perícia trabalhista simples</t>
        </is>
      </c>
      <c r="B19" s="5" t="n">
        <v>16</v>
      </c>
      <c r="C19" s="5" t="n">
        <v>60</v>
      </c>
      <c r="D19" s="6" t="n">
        <v>0.15</v>
      </c>
      <c r="E19" s="7" t="n">
        <v>6545</v>
      </c>
      <c r="F19" s="7" t="n">
        <v>8760</v>
      </c>
      <c r="G19" s="4" t="inlineStr">
        <is>
          <t>+R$1.400/diária</t>
        </is>
      </c>
    </row>
    <row r="20">
      <c r="A20" s="4" t="inlineStr">
        <is>
          <t>Perícia — c/ laudos compl.</t>
        </is>
      </c>
      <c r="B20" s="5" t="n">
        <v>24</v>
      </c>
      <c r="C20" s="5" t="n">
        <v>60</v>
      </c>
      <c r="D20" s="6" t="n">
        <v>0.2</v>
      </c>
      <c r="E20" s="7" t="n">
        <v>9817</v>
      </c>
      <c r="F20" s="7" t="n">
        <v>11688</v>
      </c>
      <c r="G20" s="4" t="inlineStr">
        <is>
          <t>+R$1.400/diária</t>
        </is>
      </c>
    </row>
    <row r="21">
      <c r="A21" s="4" t="inlineStr">
        <is>
          <t>REGRAS DE APLICAÇÃO RÁPIDA</t>
        </is>
      </c>
      <c r="B21" s="5" t="n"/>
      <c r="C21" s="5" t="n"/>
      <c r="D21" s="6" t="n"/>
      <c r="E21" s="7" t="n"/>
      <c r="F21" s="7" t="n"/>
      <c r="G21" s="4" t="n"/>
    </row>
    <row r="22">
      <c r="A22" s="4" t="inlineStr">
        <is>
          <t>Preço piso</t>
        </is>
      </c>
      <c r="B22" s="5" t="inlineStr">
        <is>
          <t>Chão absoluto. Nenhuma proposta pode sair abaixo deste valor. É o custo real + overhead + tributo + margem 20%.</t>
        </is>
      </c>
      <c r="C22" s="5" t="n"/>
      <c r="D22" s="6" t="n"/>
      <c r="E22" s="7" t="n"/>
      <c r="F22" s="7" t="n"/>
      <c r="G22" s="4" t="n"/>
    </row>
    <row r="23">
      <c r="A23" s="4" t="inlineStr">
        <is>
          <t>Preço alvo</t>
        </is>
      </c>
      <c r="B23" s="5" t="inlineStr">
        <is>
          <t>Deve ficar entre 120% e 150% do piso para garantir EBITDA saudável e margem para negociação.</t>
        </is>
      </c>
      <c r="C23" s="5" t="n"/>
      <c r="D23" s="6" t="n"/>
      <c r="E23" s="7" t="n"/>
      <c r="F23" s="7" t="n"/>
      <c r="G23" s="4" t="n"/>
    </row>
    <row r="24">
      <c r="A24" s="4" t="inlineStr">
        <is>
          <t>Renovação PGR</t>
        </is>
      </c>
      <c r="B24" s="5" t="inlineStr">
        <is>
          <t>Desconto máximo de 20% sobre o piso — base já levantada, menos horas necessárias.</t>
        </is>
      </c>
      <c r="C24" s="5" t="n"/>
      <c r="D24" s="6" t="n"/>
      <c r="E24" s="7" t="n"/>
      <c r="F24" s="7" t="n"/>
      <c r="G24" s="4" t="n"/>
    </row>
    <row r="25">
      <c r="A25" s="4" t="inlineStr">
        <is>
          <t>Deslocamento</t>
        </is>
      </c>
      <c r="B25" s="5" t="inlineStr">
        <is>
          <t>Até 30km de Uberlândia: incluso. 31–100km: +R$1,20/km. Acima de 100km: diária técnica de R$1.400.</t>
        </is>
      </c>
      <c r="C25" s="5" t="n"/>
      <c r="D25" s="6" t="n"/>
      <c r="E25" s="7" t="n"/>
      <c r="F25" s="7" t="n"/>
      <c r="G25" s="4" t="n"/>
    </row>
    <row r="26">
      <c r="A26" s="4" t="inlineStr">
        <is>
          <t>Urgência</t>
        </is>
      </c>
      <c r="B26" s="5" t="inlineStr">
        <is>
          <t>7–14 dias: +15%. Menos de 7 dias: +30%. Menos de 48h: +50% ou recusa.</t>
        </is>
      </c>
      <c r="C26" s="5" t="n"/>
      <c r="D26" s="6" t="n"/>
      <c r="E26" s="7" t="n"/>
      <c r="F26" s="7" t="n"/>
      <c r="G26" s="4" t="n"/>
    </row>
    <row r="27">
      <c r="A27" s="4" t="inlineStr">
        <is>
          <t>Múltiplas unidades</t>
        </is>
      </c>
      <c r="B27" s="5" t="inlineStr">
        <is>
          <t>2ª e 3ª unidade: fator 0,85 por unidade. 4ª em diante: orçamento específico.</t>
        </is>
      </c>
      <c r="C27" s="5" t="n"/>
      <c r="D27" s="6" t="n"/>
      <c r="E27" s="7" t="n"/>
      <c r="F27" s="7" t="n"/>
      <c r="G27" s="4" t="n"/>
    </row>
  </sheetData>
  <mergeCells count="2">
    <mergeCell ref="A2:G2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42" customWidth="1" min="4" max="4"/>
    <col width="16" customWidth="1" min="5" max="5"/>
    <col width="12" customWidth="1" min="6" max="6"/>
    <col width="48" customWidth="1" min="7" max="7"/>
  </cols>
  <sheetData>
    <row r="1">
      <c r="A1" s="1" t="inlineStr">
        <is>
          <t>HIGILABOR — DIAGNÓSTICO CONSOLIDADO DOS 5 BLOCOS</t>
        </is>
      </c>
    </row>
    <row r="2">
      <c r="A2" s="2" t="inlineStr">
        <is>
          <t>Leitura técnica consolidada após carga do CR/CP de março e inclusão da base de custos do CSV da planilha de precificação.</t>
        </is>
      </c>
    </row>
    <row r="4">
      <c r="A4" s="8" t="inlineStr">
        <is>
          <t>STATUS DOS 5 BLOCOS</t>
        </is>
      </c>
      <c r="B4" s="23" t="n"/>
      <c r="C4" s="23" t="n"/>
      <c r="D4" s="23" t="n"/>
      <c r="E4" s="23" t="n"/>
      <c r="F4" s="23" t="n"/>
      <c r="G4" s="23" t="n"/>
    </row>
    <row r="5">
      <c r="A5" s="3" t="inlineStr">
        <is>
          <t>Bloco</t>
        </is>
      </c>
      <c r="B5" s="3" t="inlineStr">
        <is>
          <t>Status</t>
        </is>
      </c>
      <c r="C5" s="3" t="inlineStr">
        <is>
          <t>O que já existe na planilha enviada</t>
        </is>
      </c>
      <c r="D5" s="3" t="inlineStr">
        <is>
          <t>O que falta para gestão real</t>
        </is>
      </c>
      <c r="E5" s="3" t="inlineStr">
        <is>
          <t>Próxima base necessária</t>
        </is>
      </c>
      <c r="F5" s="3" t="inlineStr">
        <is>
          <t>Prioridade</t>
        </is>
      </c>
      <c r="G5" s="3" t="inlineStr">
        <is>
          <t>Leitura executiva</t>
        </is>
      </c>
    </row>
    <row r="6" ht="58" customHeight="1">
      <c r="A6" s="9" t="inlineStr">
        <is>
          <t>1. Receita</t>
        </is>
      </c>
      <c r="B6" s="10" t="inlineStr">
        <is>
          <t>PARCIAL</t>
        </is>
      </c>
      <c r="C6" s="9" t="inlineStr">
        <is>
          <t>Catálogo de serviços e política de preço piso; ainda sem histórico comercial completo por venda.</t>
        </is>
      </c>
      <c r="D6" s="9" t="inlineStr">
        <is>
          <t>Histórico real por cliente, data, preço fechado, quantidade, recorrência e desconto.</t>
        </is>
      </c>
      <c r="E6" s="9" t="inlineStr">
        <is>
          <t>Planilha/relatório comercial com vendas emitidas.</t>
        </is>
      </c>
      <c r="F6" s="10" t="inlineStr">
        <is>
          <t>ALTA</t>
        </is>
      </c>
      <c r="G6" s="9" t="inlineStr">
        <is>
          <t>A base econômica está pronta, mas o transacional de vendas ainda precisa ser consolidado.</t>
        </is>
      </c>
    </row>
    <row r="7" ht="58" customHeight="1">
      <c r="A7" s="9" t="inlineStr">
        <is>
          <t>2. Contas a Receber</t>
        </is>
      </c>
      <c r="B7" s="11" t="inlineStr">
        <is>
          <t>OPERACIONAL</t>
        </is>
      </c>
      <c r="C7" s="9" t="inlineStr">
        <is>
          <t>Carteira de março lançada, com títulos, vencimentos, recebimentos, abertos e aging.</t>
        </is>
      </c>
      <c r="D7" s="9" t="inlineStr">
        <is>
          <t>Ampliar para histórico contínuo e vincular cada título à venda-mãe.</t>
        </is>
      </c>
      <c r="E7" s="9" t="inlineStr">
        <is>
          <t>CR mensal recorrente + chave de venda/pedido.</t>
        </is>
      </c>
      <c r="F7" s="11" t="inlineStr">
        <is>
          <t>ALTA</t>
        </is>
      </c>
      <c r="G7" s="9" t="inlineStr">
        <is>
          <t>Já mede conversão em caixa; falta histórico e reconciliação com vendas.</t>
        </is>
      </c>
    </row>
    <row r="8" ht="58" customHeight="1">
      <c r="A8" s="9" t="inlineStr">
        <is>
          <t>3. Contas a Pagar</t>
        </is>
      </c>
      <c r="B8" s="11" t="inlineStr">
        <is>
          <t>OPERACIONAL</t>
        </is>
      </c>
      <c r="C8" s="9" t="inlineStr">
        <is>
          <t>CP de março lançado, reconciliado com a base de custos da precificação e agora classificado por centro de custo real e grupo gerencial.</t>
        </is>
      </c>
      <c r="D8" s="9" t="inlineStr">
        <is>
          <t>Adicionar datas reais de pagamento e histórico mensal contínuo para sair do retrato pontual.</t>
        </is>
      </c>
      <c r="E8" s="9" t="inlineStr">
        <is>
          <t>CP mensal recorrente com data efetiva de pagamento.</t>
        </is>
      </c>
      <c r="F8" s="11" t="inlineStr">
        <is>
          <t>ALTA</t>
        </is>
      </c>
      <c r="G8" s="9" t="inlineStr">
        <is>
          <t>O bloco já sustenta leitura de saída, caixa e estrutura por grupo de custo.</t>
        </is>
      </c>
    </row>
    <row r="9" ht="58" customHeight="1">
      <c r="A9" s="9" t="inlineStr">
        <is>
          <t>4. Fluxo de Caixa</t>
        </is>
      </c>
      <c r="B9" s="11" t="inlineStr">
        <is>
          <t>OPERACIONAL</t>
        </is>
      </c>
      <c r="C9" s="9" t="inlineStr">
        <is>
          <t>Fluxo mensal já calculado a partir do CR e do CP lançados.</t>
        </is>
      </c>
      <c r="D9" s="9" t="inlineStr">
        <is>
          <t>Passar do recorte mensal para rotina semanal e saldo inicial real de caixa.</t>
        </is>
      </c>
      <c r="E9" s="9" t="inlineStr">
        <is>
          <t>Saldo inicial + movimentação bancária + CR/CP contínuos.</t>
        </is>
      </c>
      <c r="F9" s="11" t="inlineStr">
        <is>
          <t>CRÍTICA</t>
        </is>
      </c>
      <c r="G9" s="9" t="inlineStr">
        <is>
          <t>Já mostra pressão de caixa; próximo salto é granularidade semanal e projeção contínua.</t>
        </is>
      </c>
    </row>
    <row r="10" ht="58" customHeight="1">
      <c r="A10" s="9" t="inlineStr">
        <is>
          <t>5. Indicadores</t>
        </is>
      </c>
      <c r="B10" s="10" t="inlineStr">
        <is>
          <t>PARCIAL</t>
        </is>
      </c>
      <c r="C10" s="9" t="inlineStr">
        <is>
          <t>Painel já consolida CR, CP, fluxo e agora a estrutura base do CSV (UEP, custo estrutural e rateio).</t>
        </is>
      </c>
      <c r="D10" s="9" t="inlineStr">
        <is>
          <t>Completar com KPIs de receita real, margem por serviço, PMR e concentração por cliente.</t>
        </is>
      </c>
      <c r="E10" s="9" t="inlineStr">
        <is>
          <t>Bloco 1 completo + histórico de operações.</t>
        </is>
      </c>
      <c r="F10" s="10" t="inlineStr">
        <is>
          <t>ALTA</t>
        </is>
      </c>
      <c r="G10" s="9" t="inlineStr">
        <is>
          <t>O painel já é gerencial; falta fechar a camada comercial para virar painel diretivo completo.</t>
        </is>
      </c>
    </row>
    <row r="13">
      <c r="A13" s="8" t="inlineStr">
        <is>
          <t>BASES INCORPORADAS: Mar/2026 | CR 35.862,39 | CP 38.149,72 | Realizado do mês (recebido-pago): -12.442,03.</t>
        </is>
      </c>
      <c r="B13" s="23" t="n"/>
      <c r="C13" s="23" t="n"/>
    </row>
    <row r="14">
      <c r="A14" s="3" t="inlineStr">
        <is>
          <t>BASES INCORPORADAS: Mar/2026 | CR 35.862,39 | CP 38.149,72 | Realizado do mês (recebido-pago): -12.442,03 | CP classificado por grupo gerencial.</t>
        </is>
      </c>
      <c r="B14" s="42" t="n">
        <v>35862.39</v>
      </c>
      <c r="C14" s="3" t="inlineStr">
        <is>
          <t>Recebido 25.338,89 | Aberto 10.523,50</t>
        </is>
      </c>
      <c r="D14" t="inlineStr">
        <is>
          <t>Bloco 2 alimentado</t>
        </is>
      </c>
      <c r="E14" t="inlineStr">
        <is>
          <t>PDF CR</t>
        </is>
      </c>
      <c r="F14" t="inlineStr">
        <is>
          <t>ALTA</t>
        </is>
      </c>
      <c r="G14" t="inlineStr">
        <is>
          <t>Carteira, recebimento e aging já mensuráveis.</t>
        </is>
      </c>
    </row>
    <row r="15">
      <c r="A15" s="4" t="inlineStr">
        <is>
          <t>Contas a pagar</t>
        </is>
      </c>
      <c r="B15" s="43" t="n">
        <v>38149.72</v>
      </c>
      <c r="C15" s="13" t="inlineStr">
        <is>
          <t>Pago 37.780,92 | Aberto 368,80</t>
        </is>
      </c>
      <c r="D15" t="inlineStr">
        <is>
          <t>Bloco 3 alimentado</t>
        </is>
      </c>
      <c r="E15" t="inlineStr">
        <is>
          <t>PDF CP</t>
        </is>
      </c>
      <c r="F15" t="inlineStr">
        <is>
          <t>ALTA</t>
        </is>
      </c>
      <c r="G15" t="inlineStr">
        <is>
          <t>Saídas e obrigações já estruturadas.</t>
        </is>
      </c>
    </row>
    <row r="16">
      <c r="A16" s="4" t="inlineStr">
        <is>
          <t>Fluxo de caixa</t>
        </is>
      </c>
      <c r="B16" s="43" t="n">
        <v>-12442.03</v>
      </c>
      <c r="C16" s="13" t="inlineStr">
        <is>
          <t>Realizado do mês</t>
        </is>
      </c>
      <c r="D16" t="inlineStr">
        <is>
          <t>Bloco 4 operacional</t>
        </is>
      </c>
      <c r="E16" t="inlineStr">
        <is>
          <t>CR + CP</t>
        </is>
      </c>
      <c r="F16" t="inlineStr">
        <is>
          <t>ALTA</t>
        </is>
      </c>
      <c r="G16" t="inlineStr">
        <is>
          <t>Houve aperto de caixa relevante em março.</t>
        </is>
      </c>
    </row>
    <row r="17">
      <c r="A17" s="4" t="inlineStr">
        <is>
          <t>Receita</t>
        </is>
      </c>
      <c r="B17" s="14" t="n"/>
      <c r="C17" s="13" t="inlineStr">
        <is>
          <t>Continua parcial</t>
        </is>
      </c>
      <c r="D17" t="inlineStr">
        <is>
          <t>CR mostra títulos, não vendas consolidadas</t>
        </is>
      </c>
      <c r="E17" t="inlineStr">
        <is>
          <t>Base comercial</t>
        </is>
      </c>
      <c r="F17" t="inlineStr">
        <is>
          <t>CRÍTICA</t>
        </is>
      </c>
      <c r="G17" t="inlineStr">
        <is>
          <t>Sem relatório comercial, bloco 1 fica incompleto.</t>
        </is>
      </c>
    </row>
    <row r="18">
      <c r="A18" s="4" t="inlineStr">
        <is>
          <t>EBITDA mínimo alvo</t>
        </is>
      </c>
      <c r="B18" s="14" t="n">
        <v>0.2</v>
      </c>
      <c r="C18" s="13" t="inlineStr">
        <is>
          <t>A política comercial parte de um alvo de margem operacional.</t>
        </is>
      </c>
    </row>
    <row r="19">
      <c r="A19" s="4" t="inlineStr">
        <is>
          <t>Preço piso PCMSO padrão</t>
        </is>
      </c>
      <c r="B19" s="12" t="n">
        <v>6104.42</v>
      </c>
      <c r="C19" s="13" t="inlineStr">
        <is>
          <t>Valor observado na calculadora para o serviço selecionado no arquivo original.</t>
        </is>
      </c>
    </row>
  </sheetData>
  <mergeCells count="4">
    <mergeCell ref="A2:G2"/>
    <mergeCell ref="A13:C13"/>
    <mergeCell ref="A1:G1"/>
    <mergeCell ref="A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5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30" customWidth="1" min="11" max="11"/>
  </cols>
  <sheetData>
    <row r="1">
      <c r="A1" s="1" t="inlineStr">
        <is>
          <t>1. RECEITA — LANÇAMENTO COMERCIAL / FATURAMENTO</t>
        </is>
      </c>
    </row>
    <row r="2">
      <c r="A2" s="2" t="inlineStr">
        <is>
          <t>Lançe cada venda/proposta fechada. O preço piso de referência é puxado do catálogo de serviços.</t>
        </is>
      </c>
    </row>
    <row r="4">
      <c r="A4" s="8" t="inlineStr">
        <is>
          <t>BASE OPERACIONAL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</row>
    <row r="5">
      <c r="A5" s="3" t="inlineStr">
        <is>
          <t>Data venda</t>
        </is>
      </c>
      <c r="B5" s="3" t="inlineStr">
        <is>
          <t>Competência</t>
        </is>
      </c>
      <c r="C5" s="3" t="inlineStr">
        <is>
          <t>Cliente</t>
        </is>
      </c>
      <c r="D5" s="3" t="inlineStr">
        <is>
          <t>Serviço</t>
        </is>
      </c>
      <c r="E5" s="3" t="inlineStr">
        <is>
          <t>Qtd</t>
        </is>
      </c>
      <c r="F5" s="3" t="inlineStr">
        <is>
          <t>Preço unitário cotado</t>
        </is>
      </c>
      <c r="G5" s="3" t="inlineStr">
        <is>
          <t>Preço piso ref.</t>
        </is>
      </c>
      <c r="H5" s="3" t="inlineStr">
        <is>
          <t>Receita bruta</t>
        </is>
      </c>
      <c r="I5" s="3" t="inlineStr">
        <is>
          <t>Gap unit. vs piso</t>
        </is>
      </c>
      <c r="J5" s="3" t="inlineStr">
        <is>
          <t>Status</t>
        </is>
      </c>
      <c r="K5" s="3" t="inlineStr">
        <is>
          <t>Observação</t>
        </is>
      </c>
    </row>
    <row r="6">
      <c r="A6" s="44" t="n"/>
      <c r="B6" s="27" t="n"/>
      <c r="C6" s="28" t="n"/>
      <c r="D6" s="28" t="n"/>
      <c r="E6" s="28" t="n"/>
      <c r="F6" s="18" t="n"/>
      <c r="G6" s="7" t="n"/>
      <c r="H6" s="7" t="n"/>
      <c r="I6" s="7" t="n"/>
      <c r="J6" s="28" t="n"/>
      <c r="K6" s="28" t="n"/>
    </row>
    <row r="7">
      <c r="A7" s="29" t="n"/>
      <c r="B7" s="27">
        <f>IF(A7="","",DATE(YEAR(A7),MONTH(A7),1))</f>
        <v/>
      </c>
      <c r="C7" s="28" t="n"/>
      <c r="D7" s="28" t="n"/>
      <c r="E7" s="28" t="n"/>
      <c r="F7" s="18" t="n"/>
      <c r="G7" s="7">
        <f>IFERROR(VLOOKUP(D7,'Catálogo de Serviços'!$A$5:$F$100,6,FALSE),0)</f>
        <v/>
      </c>
      <c r="H7" s="7">
        <f>IFERROR(E7*F7,0)</f>
        <v/>
      </c>
      <c r="I7" s="7">
        <f>IFERROR(F7-G7,0)</f>
        <v/>
      </c>
      <c r="J7" s="28" t="n"/>
      <c r="K7" s="28" t="n"/>
    </row>
    <row r="8">
      <c r="A8" s="29" t="n"/>
      <c r="B8" s="27">
        <f>IF(A8="","",DATE(YEAR(A8),MONTH(A8),1))</f>
        <v/>
      </c>
      <c r="C8" s="28" t="n"/>
      <c r="D8" s="28" t="n"/>
      <c r="E8" s="28" t="n"/>
      <c r="F8" s="18" t="n"/>
      <c r="G8" s="7">
        <f>IFERROR(VLOOKUP(D8,'Catálogo de Serviços'!$A$5:$F$100,6,FALSE),0)</f>
        <v/>
      </c>
      <c r="H8" s="7">
        <f>IFERROR(E8*F8,0)</f>
        <v/>
      </c>
      <c r="I8" s="7">
        <f>IFERROR(F8-G8,0)</f>
        <v/>
      </c>
      <c r="J8" s="28" t="n"/>
      <c r="K8" s="28" t="n"/>
    </row>
    <row r="9">
      <c r="A9" s="29" t="n"/>
      <c r="B9" s="27">
        <f>IF(A9="","",DATE(YEAR(A9),MONTH(A9),1))</f>
        <v/>
      </c>
      <c r="C9" s="28" t="n"/>
      <c r="D9" s="28" t="n"/>
      <c r="E9" s="28" t="n"/>
      <c r="F9" s="18" t="n"/>
      <c r="G9" s="7">
        <f>IFERROR(VLOOKUP(D9,'Catálogo de Serviços'!$A$5:$F$100,6,FALSE),0)</f>
        <v/>
      </c>
      <c r="H9" s="7">
        <f>IFERROR(E9*F9,0)</f>
        <v/>
      </c>
      <c r="I9" s="7">
        <f>IFERROR(F9-G9,0)</f>
        <v/>
      </c>
      <c r="J9" s="28" t="n"/>
      <c r="K9" s="28" t="n"/>
    </row>
    <row r="10">
      <c r="A10" s="29" t="n"/>
      <c r="B10" s="27">
        <f>IF(A10="","",DATE(YEAR(A10),MONTH(A10),1))</f>
        <v/>
      </c>
      <c r="C10" s="28" t="n"/>
      <c r="D10" s="28" t="n"/>
      <c r="E10" s="28" t="n"/>
      <c r="F10" s="18" t="n"/>
      <c r="G10" s="7">
        <f>IFERROR(VLOOKUP(D10,'Catálogo de Serviços'!$A$5:$F$100,6,FALSE),0)</f>
        <v/>
      </c>
      <c r="H10" s="7">
        <f>IFERROR(E10*F10,0)</f>
        <v/>
      </c>
      <c r="I10" s="7">
        <f>IFERROR(F10-G10,0)</f>
        <v/>
      </c>
      <c r="J10" s="28" t="n"/>
      <c r="K10" s="28" t="n"/>
    </row>
    <row r="11">
      <c r="A11" s="29" t="n"/>
      <c r="B11" s="27">
        <f>IF(A11="","",DATE(YEAR(A11),MONTH(A11),1))</f>
        <v/>
      </c>
      <c r="C11" s="28" t="n"/>
      <c r="D11" s="28" t="n"/>
      <c r="E11" s="28" t="n"/>
      <c r="F11" s="18" t="n"/>
      <c r="G11" s="7">
        <f>IFERROR(VLOOKUP(D11,'Catálogo de Serviços'!$A$5:$F$100,6,FALSE),0)</f>
        <v/>
      </c>
      <c r="H11" s="7">
        <f>IFERROR(E11*F11,0)</f>
        <v/>
      </c>
      <c r="I11" s="7">
        <f>IFERROR(F11-G11,0)</f>
        <v/>
      </c>
      <c r="J11" s="28" t="n"/>
      <c r="K11" s="28" t="n"/>
    </row>
    <row r="12">
      <c r="A12" s="29" t="n"/>
      <c r="B12" s="27">
        <f>IF(A12="","",DATE(YEAR(A12),MONTH(A12),1))</f>
        <v/>
      </c>
      <c r="C12" s="28" t="n"/>
      <c r="D12" s="28" t="n"/>
      <c r="E12" s="28" t="n"/>
      <c r="F12" s="18" t="n"/>
      <c r="G12" s="7">
        <f>IFERROR(VLOOKUP(D12,'Catálogo de Serviços'!$A$5:$F$100,6,FALSE),0)</f>
        <v/>
      </c>
      <c r="H12" s="7">
        <f>IFERROR(E12*F12,0)</f>
        <v/>
      </c>
      <c r="I12" s="7">
        <f>IFERROR(F12-G12,0)</f>
        <v/>
      </c>
      <c r="J12" s="28" t="n"/>
      <c r="K12" s="28" t="n"/>
    </row>
    <row r="13">
      <c r="A13" s="29" t="n"/>
      <c r="B13" s="27">
        <f>IF(A13="","",DATE(YEAR(A13),MONTH(A13),1))</f>
        <v/>
      </c>
      <c r="C13" s="28" t="n"/>
      <c r="D13" s="28" t="n"/>
      <c r="E13" s="28" t="n"/>
      <c r="F13" s="18" t="n"/>
      <c r="G13" s="7">
        <f>IFERROR(VLOOKUP(D13,'Catálogo de Serviços'!$A$5:$F$100,6,FALSE),0)</f>
        <v/>
      </c>
      <c r="H13" s="7">
        <f>IFERROR(E13*F13,0)</f>
        <v/>
      </c>
      <c r="I13" s="7">
        <f>IFERROR(F13-G13,0)</f>
        <v/>
      </c>
      <c r="J13" s="28" t="n"/>
      <c r="K13" s="28" t="n"/>
    </row>
    <row r="14">
      <c r="A14" s="29" t="n"/>
      <c r="B14" s="27">
        <f>IF(A14="","",DATE(YEAR(A14),MONTH(A14),1))</f>
        <v/>
      </c>
      <c r="C14" s="28" t="n"/>
      <c r="D14" s="28" t="n"/>
      <c r="E14" s="28" t="n"/>
      <c r="F14" s="18" t="n"/>
      <c r="G14" s="7">
        <f>IFERROR(VLOOKUP(D14,'Catálogo de Serviços'!$A$5:$F$100,6,FALSE),0)</f>
        <v/>
      </c>
      <c r="H14" s="7">
        <f>IFERROR(E14*F14,0)</f>
        <v/>
      </c>
      <c r="I14" s="7">
        <f>IFERROR(F14-G14,0)</f>
        <v/>
      </c>
      <c r="J14" s="28" t="n"/>
      <c r="K14" s="28" t="n"/>
    </row>
    <row r="15">
      <c r="A15" s="29" t="n"/>
      <c r="B15" s="27">
        <f>IF(A15="","",DATE(YEAR(A15),MONTH(A15),1))</f>
        <v/>
      </c>
      <c r="C15" s="28" t="n"/>
      <c r="D15" s="28" t="n"/>
      <c r="E15" s="28" t="n"/>
      <c r="F15" s="18" t="n"/>
      <c r="G15" s="7">
        <f>IFERROR(VLOOKUP(D15,'Catálogo de Serviços'!$A$5:$F$100,6,FALSE),0)</f>
        <v/>
      </c>
      <c r="H15" s="7">
        <f>IFERROR(E15*F15,0)</f>
        <v/>
      </c>
      <c r="I15" s="7">
        <f>IFERROR(F15-G15,0)</f>
        <v/>
      </c>
      <c r="J15" s="28" t="n"/>
      <c r="K15" s="28" t="n"/>
    </row>
    <row r="16">
      <c r="A16" s="29" t="n"/>
      <c r="B16" s="27">
        <f>IF(A16="","",DATE(YEAR(A16),MONTH(A16),1))</f>
        <v/>
      </c>
      <c r="C16" s="28" t="n"/>
      <c r="D16" s="28" t="n"/>
      <c r="E16" s="28" t="n"/>
      <c r="F16" s="18" t="n"/>
      <c r="G16" s="7">
        <f>IFERROR(VLOOKUP(D16,'Catálogo de Serviços'!$A$5:$F$100,6,FALSE),0)</f>
        <v/>
      </c>
      <c r="H16" s="7">
        <f>IFERROR(E16*F16,0)</f>
        <v/>
      </c>
      <c r="I16" s="7">
        <f>IFERROR(F16-G16,0)</f>
        <v/>
      </c>
      <c r="J16" s="28" t="n"/>
      <c r="K16" s="28" t="n"/>
    </row>
    <row r="17">
      <c r="A17" s="29" t="n"/>
      <c r="B17" s="27">
        <f>IF(A17="","",DATE(YEAR(A17),MONTH(A17),1))</f>
        <v/>
      </c>
      <c r="C17" s="28" t="n"/>
      <c r="D17" s="28" t="n"/>
      <c r="E17" s="28" t="n"/>
      <c r="F17" s="18" t="n"/>
      <c r="G17" s="7">
        <f>IFERROR(VLOOKUP(D17,'Catálogo de Serviços'!$A$5:$F$100,6,FALSE),0)</f>
        <v/>
      </c>
      <c r="H17" s="7">
        <f>IFERROR(E17*F17,0)</f>
        <v/>
      </c>
      <c r="I17" s="7">
        <f>IFERROR(F17-G17,0)</f>
        <v/>
      </c>
      <c r="J17" s="28" t="n"/>
      <c r="K17" s="28" t="n"/>
    </row>
    <row r="18">
      <c r="A18" s="29" t="n"/>
      <c r="B18" s="27">
        <f>IF(A18="","",DATE(YEAR(A18),MONTH(A18),1))</f>
        <v/>
      </c>
      <c r="C18" s="28" t="n"/>
      <c r="D18" s="28" t="n"/>
      <c r="E18" s="28" t="n"/>
      <c r="F18" s="18" t="n"/>
      <c r="G18" s="7">
        <f>IFERROR(VLOOKUP(D18,'Catálogo de Serviços'!$A$5:$F$100,6,FALSE),0)</f>
        <v/>
      </c>
      <c r="H18" s="7">
        <f>IFERROR(E18*F18,0)</f>
        <v/>
      </c>
      <c r="I18" s="7">
        <f>IFERROR(F18-G18,0)</f>
        <v/>
      </c>
      <c r="J18" s="28" t="n"/>
      <c r="K18" s="28" t="n"/>
    </row>
    <row r="19">
      <c r="A19" s="29" t="n"/>
      <c r="B19" s="27">
        <f>IF(A19="","",DATE(YEAR(A19),MONTH(A19),1))</f>
        <v/>
      </c>
      <c r="C19" s="28" t="n"/>
      <c r="D19" s="28" t="n"/>
      <c r="E19" s="28" t="n"/>
      <c r="F19" s="18" t="n"/>
      <c r="G19" s="7">
        <f>IFERROR(VLOOKUP(D19,'Catálogo de Serviços'!$A$5:$F$100,6,FALSE),0)</f>
        <v/>
      </c>
      <c r="H19" s="7">
        <f>IFERROR(E19*F19,0)</f>
        <v/>
      </c>
      <c r="I19" s="7">
        <f>IFERROR(F19-G19,0)</f>
        <v/>
      </c>
      <c r="J19" s="28" t="n"/>
      <c r="K19" s="28" t="n"/>
    </row>
    <row r="20">
      <c r="A20" s="29" t="n"/>
      <c r="B20" s="27">
        <f>IF(A20="","",DATE(YEAR(A20),MONTH(A20),1))</f>
        <v/>
      </c>
      <c r="C20" s="28" t="n"/>
      <c r="D20" s="28" t="n"/>
      <c r="E20" s="28" t="n"/>
      <c r="F20" s="18" t="n"/>
      <c r="G20" s="7">
        <f>IFERROR(VLOOKUP(D20,'Catálogo de Serviços'!$A$5:$F$100,6,FALSE),0)</f>
        <v/>
      </c>
      <c r="H20" s="7">
        <f>IFERROR(E20*F20,0)</f>
        <v/>
      </c>
      <c r="I20" s="7">
        <f>IFERROR(F20-G20,0)</f>
        <v/>
      </c>
      <c r="J20" s="28" t="n"/>
      <c r="K20" s="28" t="n"/>
    </row>
    <row r="21">
      <c r="A21" s="29" t="n"/>
      <c r="B21" s="27">
        <f>IF(A21="","",DATE(YEAR(A21),MONTH(A21),1))</f>
        <v/>
      </c>
      <c r="C21" s="28" t="n"/>
      <c r="D21" s="28" t="n"/>
      <c r="E21" s="28" t="n"/>
      <c r="F21" s="18" t="n"/>
      <c r="G21" s="7">
        <f>IFERROR(VLOOKUP(D21,'Catálogo de Serviços'!$A$5:$F$100,6,FALSE),0)</f>
        <v/>
      </c>
      <c r="H21" s="7">
        <f>IFERROR(E21*F21,0)</f>
        <v/>
      </c>
      <c r="I21" s="7">
        <f>IFERROR(F21-G21,0)</f>
        <v/>
      </c>
      <c r="J21" s="28" t="n"/>
      <c r="K21" s="28" t="n"/>
    </row>
    <row r="22">
      <c r="A22" s="29" t="n"/>
      <c r="B22" s="27">
        <f>IF(A22="","",DATE(YEAR(A22),MONTH(A22),1))</f>
        <v/>
      </c>
      <c r="C22" s="28" t="n"/>
      <c r="D22" s="28" t="n"/>
      <c r="E22" s="28" t="n"/>
      <c r="F22" s="18" t="n"/>
      <c r="G22" s="7">
        <f>IFERROR(VLOOKUP(D22,'Catálogo de Serviços'!$A$5:$F$100,6,FALSE),0)</f>
        <v/>
      </c>
      <c r="H22" s="7">
        <f>IFERROR(E22*F22,0)</f>
        <v/>
      </c>
      <c r="I22" s="7">
        <f>IFERROR(F22-G22,0)</f>
        <v/>
      </c>
      <c r="J22" s="28" t="n"/>
      <c r="K22" s="28" t="n"/>
    </row>
    <row r="23">
      <c r="A23" s="29" t="n"/>
      <c r="B23" s="27">
        <f>IF(A23="","",DATE(YEAR(A23),MONTH(A23),1))</f>
        <v/>
      </c>
      <c r="C23" s="28" t="n"/>
      <c r="D23" s="28" t="n"/>
      <c r="E23" s="28" t="n"/>
      <c r="F23" s="18" t="n"/>
      <c r="G23" s="7">
        <f>IFERROR(VLOOKUP(D23,'Catálogo de Serviços'!$A$5:$F$100,6,FALSE),0)</f>
        <v/>
      </c>
      <c r="H23" s="7">
        <f>IFERROR(E23*F23,0)</f>
        <v/>
      </c>
      <c r="I23" s="7">
        <f>IFERROR(F23-G23,0)</f>
        <v/>
      </c>
      <c r="J23" s="28" t="n"/>
      <c r="K23" s="28" t="n"/>
    </row>
    <row r="24">
      <c r="A24" s="29" t="n"/>
      <c r="B24" s="27">
        <f>IF(A24="","",DATE(YEAR(A24),MONTH(A24),1))</f>
        <v/>
      </c>
      <c r="C24" s="28" t="n"/>
      <c r="D24" s="28" t="n"/>
      <c r="E24" s="28" t="n"/>
      <c r="F24" s="18" t="n"/>
      <c r="G24" s="7">
        <f>IFERROR(VLOOKUP(D24,'Catálogo de Serviços'!$A$5:$F$100,6,FALSE),0)</f>
        <v/>
      </c>
      <c r="H24" s="7">
        <f>IFERROR(E24*F24,0)</f>
        <v/>
      </c>
      <c r="I24" s="7">
        <f>IFERROR(F24-G24,0)</f>
        <v/>
      </c>
      <c r="J24" s="28" t="n"/>
      <c r="K24" s="28" t="n"/>
    </row>
    <row r="25">
      <c r="A25" s="29" t="n"/>
      <c r="B25" s="27">
        <f>IF(A25="","",DATE(YEAR(A25),MONTH(A25),1))</f>
        <v/>
      </c>
      <c r="C25" s="28" t="n"/>
      <c r="D25" s="28" t="n"/>
      <c r="E25" s="28" t="n"/>
      <c r="F25" s="18" t="n"/>
      <c r="G25" s="7">
        <f>IFERROR(VLOOKUP(D25,'Catálogo de Serviços'!$A$5:$F$100,6,FALSE),0)</f>
        <v/>
      </c>
      <c r="H25" s="7">
        <f>IFERROR(E25*F25,0)</f>
        <v/>
      </c>
      <c r="I25" s="7">
        <f>IFERROR(F25-G25,0)</f>
        <v/>
      </c>
      <c r="J25" s="28" t="n"/>
      <c r="K25" s="28" t="n"/>
    </row>
    <row r="26">
      <c r="A26" s="29" t="n"/>
      <c r="B26" s="27">
        <f>IF(A26="","",DATE(YEAR(A26),MONTH(A26),1))</f>
        <v/>
      </c>
      <c r="C26" s="28" t="n"/>
      <c r="D26" s="28" t="n"/>
      <c r="E26" s="28" t="n"/>
      <c r="F26" s="18" t="n"/>
      <c r="G26" s="7">
        <f>IFERROR(VLOOKUP(D26,'Catálogo de Serviços'!$A$5:$F$100,6,FALSE),0)</f>
        <v/>
      </c>
      <c r="H26" s="7">
        <f>IFERROR(E26*F26,0)</f>
        <v/>
      </c>
      <c r="I26" s="7">
        <f>IFERROR(F26-G26,0)</f>
        <v/>
      </c>
      <c r="J26" s="28" t="n"/>
      <c r="K26" s="28" t="n"/>
    </row>
    <row r="27">
      <c r="A27" s="29" t="n"/>
      <c r="B27" s="27">
        <f>IF(A27="","",DATE(YEAR(A27),MONTH(A27),1))</f>
        <v/>
      </c>
      <c r="C27" s="28" t="n"/>
      <c r="D27" s="28" t="n"/>
      <c r="E27" s="28" t="n"/>
      <c r="F27" s="18" t="n"/>
      <c r="G27" s="7">
        <f>IFERROR(VLOOKUP(D27,'Catálogo de Serviços'!$A$5:$F$100,6,FALSE),0)</f>
        <v/>
      </c>
      <c r="H27" s="7">
        <f>IFERROR(E27*F27,0)</f>
        <v/>
      </c>
      <c r="I27" s="7">
        <f>IFERROR(F27-G27,0)</f>
        <v/>
      </c>
      <c r="J27" s="28" t="n"/>
      <c r="K27" s="28" t="n"/>
    </row>
    <row r="28">
      <c r="A28" s="29" t="n"/>
      <c r="B28" s="27">
        <f>IF(A28="","",DATE(YEAR(A28),MONTH(A28),1))</f>
        <v/>
      </c>
      <c r="C28" s="28" t="n"/>
      <c r="D28" s="28" t="n"/>
      <c r="E28" s="28" t="n"/>
      <c r="F28" s="18" t="n"/>
      <c r="G28" s="7">
        <f>IFERROR(VLOOKUP(D28,'Catálogo de Serviços'!$A$5:$F$100,6,FALSE),0)</f>
        <v/>
      </c>
      <c r="H28" s="7">
        <f>IFERROR(E28*F28,0)</f>
        <v/>
      </c>
      <c r="I28" s="7">
        <f>IFERROR(F28-G28,0)</f>
        <v/>
      </c>
      <c r="J28" s="28" t="n"/>
      <c r="K28" s="28" t="n"/>
    </row>
    <row r="29">
      <c r="A29" s="29" t="n"/>
      <c r="B29" s="27">
        <f>IF(A29="","",DATE(YEAR(A29),MONTH(A29),1))</f>
        <v/>
      </c>
      <c r="C29" s="28" t="n"/>
      <c r="D29" s="28" t="n"/>
      <c r="E29" s="28" t="n"/>
      <c r="F29" s="18" t="n"/>
      <c r="G29" s="7">
        <f>IFERROR(VLOOKUP(D29,'Catálogo de Serviços'!$A$5:$F$100,6,FALSE),0)</f>
        <v/>
      </c>
      <c r="H29" s="7">
        <f>IFERROR(E29*F29,0)</f>
        <v/>
      </c>
      <c r="I29" s="7">
        <f>IFERROR(F29-G29,0)</f>
        <v/>
      </c>
      <c r="J29" s="28" t="n"/>
      <c r="K29" s="28" t="n"/>
    </row>
    <row r="30">
      <c r="A30" s="29" t="n"/>
      <c r="B30" s="27">
        <f>IF(A30="","",DATE(YEAR(A30),MONTH(A30),1))</f>
        <v/>
      </c>
      <c r="C30" s="28" t="n"/>
      <c r="D30" s="28" t="n"/>
      <c r="E30" s="28" t="n"/>
      <c r="F30" s="18" t="n"/>
      <c r="G30" s="7">
        <f>IFERROR(VLOOKUP(D30,'Catálogo de Serviços'!$A$5:$F$100,6,FALSE),0)</f>
        <v/>
      </c>
      <c r="H30" s="7">
        <f>IFERROR(E30*F30,0)</f>
        <v/>
      </c>
      <c r="I30" s="7">
        <f>IFERROR(F30-G30,0)</f>
        <v/>
      </c>
      <c r="J30" s="28" t="n"/>
      <c r="K30" s="28" t="n"/>
    </row>
    <row r="31">
      <c r="A31" s="29" t="n"/>
      <c r="B31" s="27">
        <f>IF(A31="","",DATE(YEAR(A31),MONTH(A31),1))</f>
        <v/>
      </c>
      <c r="C31" s="28" t="n"/>
      <c r="D31" s="28" t="n"/>
      <c r="E31" s="28" t="n"/>
      <c r="F31" s="18" t="n"/>
      <c r="G31" s="7">
        <f>IFERROR(VLOOKUP(D31,'Catálogo de Serviços'!$A$5:$F$100,6,FALSE),0)</f>
        <v/>
      </c>
      <c r="H31" s="7">
        <f>IFERROR(E31*F31,0)</f>
        <v/>
      </c>
      <c r="I31" s="7">
        <f>IFERROR(F31-G31,0)</f>
        <v/>
      </c>
      <c r="J31" s="28" t="n"/>
      <c r="K31" s="28" t="n"/>
    </row>
    <row r="32">
      <c r="A32" s="29" t="n"/>
      <c r="B32" s="27">
        <f>IF(A32="","",DATE(YEAR(A32),MONTH(A32),1))</f>
        <v/>
      </c>
      <c r="C32" s="28" t="n"/>
      <c r="D32" s="28" t="n"/>
      <c r="E32" s="28" t="n"/>
      <c r="F32" s="18" t="n"/>
      <c r="G32" s="7">
        <f>IFERROR(VLOOKUP(D32,'Catálogo de Serviços'!$A$5:$F$100,6,FALSE),0)</f>
        <v/>
      </c>
      <c r="H32" s="7">
        <f>IFERROR(E32*F32,0)</f>
        <v/>
      </c>
      <c r="I32" s="7">
        <f>IFERROR(F32-G32,0)</f>
        <v/>
      </c>
      <c r="J32" s="28" t="n"/>
      <c r="K32" s="28" t="n"/>
    </row>
    <row r="33">
      <c r="A33" s="29" t="n"/>
      <c r="B33" s="27">
        <f>IF(A33="","",DATE(YEAR(A33),MONTH(A33),1))</f>
        <v/>
      </c>
      <c r="C33" s="28" t="n"/>
      <c r="D33" s="28" t="n"/>
      <c r="E33" s="28" t="n"/>
      <c r="F33" s="18" t="n"/>
      <c r="G33" s="7">
        <f>IFERROR(VLOOKUP(D33,'Catálogo de Serviços'!$A$5:$F$100,6,FALSE),0)</f>
        <v/>
      </c>
      <c r="H33" s="7">
        <f>IFERROR(E33*F33,0)</f>
        <v/>
      </c>
      <c r="I33" s="7">
        <f>IFERROR(F33-G33,0)</f>
        <v/>
      </c>
      <c r="J33" s="28" t="n"/>
      <c r="K33" s="28" t="n"/>
    </row>
    <row r="34">
      <c r="A34" s="29" t="n"/>
      <c r="B34" s="27">
        <f>IF(A34="","",DATE(YEAR(A34),MONTH(A34),1))</f>
        <v/>
      </c>
      <c r="C34" s="28" t="n"/>
      <c r="D34" s="28" t="n"/>
      <c r="E34" s="28" t="n"/>
      <c r="F34" s="18" t="n"/>
      <c r="G34" s="7">
        <f>IFERROR(VLOOKUP(D34,'Catálogo de Serviços'!$A$5:$F$100,6,FALSE),0)</f>
        <v/>
      </c>
      <c r="H34" s="7">
        <f>IFERROR(E34*F34,0)</f>
        <v/>
      </c>
      <c r="I34" s="7">
        <f>IFERROR(F34-G34,0)</f>
        <v/>
      </c>
      <c r="J34" s="28" t="n"/>
      <c r="K34" s="28" t="n"/>
    </row>
    <row r="35">
      <c r="A35" s="29" t="n"/>
      <c r="B35" s="27">
        <f>IF(A35="","",DATE(YEAR(A35),MONTH(A35),1))</f>
        <v/>
      </c>
      <c r="C35" s="28" t="n"/>
      <c r="D35" s="28" t="n"/>
      <c r="E35" s="28" t="n"/>
      <c r="F35" s="18" t="n"/>
      <c r="G35" s="7">
        <f>IFERROR(VLOOKUP(D35,'Catálogo de Serviços'!$A$5:$F$100,6,FALSE),0)</f>
        <v/>
      </c>
      <c r="H35" s="7">
        <f>IFERROR(E35*F35,0)</f>
        <v/>
      </c>
      <c r="I35" s="7">
        <f>IFERROR(F35-G35,0)</f>
        <v/>
      </c>
      <c r="J35" s="28" t="n"/>
      <c r="K35" s="28" t="n"/>
    </row>
    <row r="36">
      <c r="A36" s="29" t="n"/>
      <c r="B36" s="27">
        <f>IF(A36="","",DATE(YEAR(A36),MONTH(A36),1))</f>
        <v/>
      </c>
      <c r="C36" s="28" t="n"/>
      <c r="D36" s="28" t="n"/>
      <c r="E36" s="28" t="n"/>
      <c r="F36" s="18" t="n"/>
      <c r="G36" s="7">
        <f>IFERROR(VLOOKUP(D36,'Catálogo de Serviços'!$A$5:$F$100,6,FALSE),0)</f>
        <v/>
      </c>
      <c r="H36" s="7">
        <f>IFERROR(E36*F36,0)</f>
        <v/>
      </c>
      <c r="I36" s="7">
        <f>IFERROR(F36-G36,0)</f>
        <v/>
      </c>
      <c r="J36" s="28" t="n"/>
      <c r="K36" s="28" t="n"/>
    </row>
    <row r="37">
      <c r="A37" s="29" t="n"/>
      <c r="B37" s="27">
        <f>IF(A37="","",DATE(YEAR(A37),MONTH(A37),1))</f>
        <v/>
      </c>
      <c r="C37" s="28" t="n"/>
      <c r="D37" s="28" t="n"/>
      <c r="E37" s="28" t="n"/>
      <c r="F37" s="18" t="n"/>
      <c r="G37" s="7">
        <f>IFERROR(VLOOKUP(D37,'Catálogo de Serviços'!$A$5:$F$100,6,FALSE),0)</f>
        <v/>
      </c>
      <c r="H37" s="7">
        <f>IFERROR(E37*F37,0)</f>
        <v/>
      </c>
      <c r="I37" s="7">
        <f>IFERROR(F37-G37,0)</f>
        <v/>
      </c>
      <c r="J37" s="28" t="n"/>
      <c r="K37" s="28" t="n"/>
    </row>
    <row r="38">
      <c r="A38" s="29" t="n"/>
      <c r="B38" s="27">
        <f>IF(A38="","",DATE(YEAR(A38),MONTH(A38),1))</f>
        <v/>
      </c>
      <c r="C38" s="28" t="n"/>
      <c r="D38" s="28" t="n"/>
      <c r="E38" s="28" t="n"/>
      <c r="F38" s="18" t="n"/>
      <c r="G38" s="7">
        <f>IFERROR(VLOOKUP(D38,'Catálogo de Serviços'!$A$5:$F$100,6,FALSE),0)</f>
        <v/>
      </c>
      <c r="H38" s="7">
        <f>IFERROR(E38*F38,0)</f>
        <v/>
      </c>
      <c r="I38" s="7">
        <f>IFERROR(F38-G38,0)</f>
        <v/>
      </c>
      <c r="J38" s="28" t="n"/>
      <c r="K38" s="28" t="n"/>
    </row>
    <row r="39">
      <c r="A39" s="29" t="n"/>
      <c r="B39" s="27">
        <f>IF(A39="","",DATE(YEAR(A39),MONTH(A39),1))</f>
        <v/>
      </c>
      <c r="C39" s="28" t="n"/>
      <c r="D39" s="28" t="n"/>
      <c r="E39" s="28" t="n"/>
      <c r="F39" s="18" t="n"/>
      <c r="G39" s="7">
        <f>IFERROR(VLOOKUP(D39,'Catálogo de Serviços'!$A$5:$F$100,6,FALSE),0)</f>
        <v/>
      </c>
      <c r="H39" s="7">
        <f>IFERROR(E39*F39,0)</f>
        <v/>
      </c>
      <c r="I39" s="7">
        <f>IFERROR(F39-G39,0)</f>
        <v/>
      </c>
      <c r="J39" s="28" t="n"/>
      <c r="K39" s="28" t="n"/>
    </row>
    <row r="40">
      <c r="A40" s="29" t="n"/>
      <c r="B40" s="27">
        <f>IF(A40="","",DATE(YEAR(A40),MONTH(A40),1))</f>
        <v/>
      </c>
      <c r="C40" s="28" t="n"/>
      <c r="D40" s="28" t="n"/>
      <c r="E40" s="28" t="n"/>
      <c r="F40" s="18" t="n"/>
      <c r="G40" s="7">
        <f>IFERROR(VLOOKUP(D40,'Catálogo de Serviços'!$A$5:$F$100,6,FALSE),0)</f>
        <v/>
      </c>
      <c r="H40" s="7">
        <f>IFERROR(E40*F40,0)</f>
        <v/>
      </c>
      <c r="I40" s="7">
        <f>IFERROR(F40-G40,0)</f>
        <v/>
      </c>
      <c r="J40" s="28" t="n"/>
      <c r="K40" s="28" t="n"/>
    </row>
    <row r="41">
      <c r="A41" s="29" t="n"/>
      <c r="B41" s="27">
        <f>IF(A41="","",DATE(YEAR(A41),MONTH(A41),1))</f>
        <v/>
      </c>
      <c r="C41" s="28" t="n"/>
      <c r="D41" s="28" t="n"/>
      <c r="E41" s="28" t="n"/>
      <c r="F41" s="18" t="n"/>
      <c r="G41" s="7">
        <f>IFERROR(VLOOKUP(D41,'Catálogo de Serviços'!$A$5:$F$100,6,FALSE),0)</f>
        <v/>
      </c>
      <c r="H41" s="7">
        <f>IFERROR(E41*F41,0)</f>
        <v/>
      </c>
      <c r="I41" s="7">
        <f>IFERROR(F41-G41,0)</f>
        <v/>
      </c>
      <c r="J41" s="28" t="n"/>
      <c r="K41" s="28" t="n"/>
    </row>
    <row r="42">
      <c r="A42" s="29" t="n"/>
      <c r="B42" s="27">
        <f>IF(A42="","",DATE(YEAR(A42),MONTH(A42),1))</f>
        <v/>
      </c>
      <c r="C42" s="28" t="n"/>
      <c r="D42" s="28" t="n"/>
      <c r="E42" s="28" t="n"/>
      <c r="F42" s="18" t="n"/>
      <c r="G42" s="7">
        <f>IFERROR(VLOOKUP(D42,'Catálogo de Serviços'!$A$5:$F$100,6,FALSE),0)</f>
        <v/>
      </c>
      <c r="H42" s="7">
        <f>IFERROR(E42*F42,0)</f>
        <v/>
      </c>
      <c r="I42" s="7">
        <f>IFERROR(F42-G42,0)</f>
        <v/>
      </c>
      <c r="J42" s="28" t="n"/>
      <c r="K42" s="28" t="n"/>
    </row>
    <row r="43">
      <c r="A43" s="29" t="n"/>
      <c r="B43" s="27">
        <f>IF(A43="","",DATE(YEAR(A43),MONTH(A43),1))</f>
        <v/>
      </c>
      <c r="C43" s="28" t="n"/>
      <c r="D43" s="28" t="n"/>
      <c r="E43" s="28" t="n"/>
      <c r="F43" s="18" t="n"/>
      <c r="G43" s="7">
        <f>IFERROR(VLOOKUP(D43,'Catálogo de Serviços'!$A$5:$F$100,6,FALSE),0)</f>
        <v/>
      </c>
      <c r="H43" s="7">
        <f>IFERROR(E43*F43,0)</f>
        <v/>
      </c>
      <c r="I43" s="7">
        <f>IFERROR(F43-G43,0)</f>
        <v/>
      </c>
      <c r="J43" s="28" t="n"/>
      <c r="K43" s="28" t="n"/>
    </row>
    <row r="44">
      <c r="A44" s="29" t="n"/>
      <c r="B44" s="27">
        <f>IF(A44="","",DATE(YEAR(A44),MONTH(A44),1))</f>
        <v/>
      </c>
      <c r="C44" s="28" t="n"/>
      <c r="D44" s="28" t="n"/>
      <c r="E44" s="28" t="n"/>
      <c r="F44" s="18" t="n"/>
      <c r="G44" s="7">
        <f>IFERROR(VLOOKUP(D44,'Catálogo de Serviços'!$A$5:$F$100,6,FALSE),0)</f>
        <v/>
      </c>
      <c r="H44" s="7">
        <f>IFERROR(E44*F44,0)</f>
        <v/>
      </c>
      <c r="I44" s="7">
        <f>IFERROR(F44-G44,0)</f>
        <v/>
      </c>
      <c r="J44" s="28" t="n"/>
      <c r="K44" s="28" t="n"/>
    </row>
    <row r="45">
      <c r="A45" s="29" t="n"/>
      <c r="B45" s="27">
        <f>IF(A45="","",DATE(YEAR(A45),MONTH(A45),1))</f>
        <v/>
      </c>
      <c r="C45" s="28" t="n"/>
      <c r="D45" s="28" t="n"/>
      <c r="E45" s="28" t="n"/>
      <c r="F45" s="18" t="n"/>
      <c r="G45" s="7">
        <f>IFERROR(VLOOKUP(D45,'Catálogo de Serviços'!$A$5:$F$100,6,FALSE),0)</f>
        <v/>
      </c>
      <c r="H45" s="7">
        <f>IFERROR(E45*F45,0)</f>
        <v/>
      </c>
      <c r="I45" s="7">
        <f>IFERROR(F45-G45,0)</f>
        <v/>
      </c>
      <c r="J45" s="28" t="n"/>
      <c r="K45" s="28" t="n"/>
    </row>
    <row r="46">
      <c r="A46" s="29" t="n"/>
      <c r="B46" s="27">
        <f>IF(A46="","",DATE(YEAR(A46),MONTH(A46),1))</f>
        <v/>
      </c>
      <c r="C46" s="28" t="n"/>
      <c r="D46" s="28" t="n"/>
      <c r="E46" s="28" t="n"/>
      <c r="F46" s="18" t="n"/>
      <c r="G46" s="7">
        <f>IFERROR(VLOOKUP(D46,'Catálogo de Serviços'!$A$5:$F$100,6,FALSE),0)</f>
        <v/>
      </c>
      <c r="H46" s="7">
        <f>IFERROR(E46*F46,0)</f>
        <v/>
      </c>
      <c r="I46" s="7">
        <f>IFERROR(F46-G46,0)</f>
        <v/>
      </c>
      <c r="J46" s="28" t="n"/>
      <c r="K46" s="28" t="n"/>
    </row>
    <row r="47">
      <c r="A47" s="29" t="n"/>
      <c r="B47" s="27">
        <f>IF(A47="","",DATE(YEAR(A47),MONTH(A47),1))</f>
        <v/>
      </c>
      <c r="C47" s="28" t="n"/>
      <c r="D47" s="28" t="n"/>
      <c r="E47" s="28" t="n"/>
      <c r="F47" s="18" t="n"/>
      <c r="G47" s="7">
        <f>IFERROR(VLOOKUP(D47,'Catálogo de Serviços'!$A$5:$F$100,6,FALSE),0)</f>
        <v/>
      </c>
      <c r="H47" s="7">
        <f>IFERROR(E47*F47,0)</f>
        <v/>
      </c>
      <c r="I47" s="7">
        <f>IFERROR(F47-G47,0)</f>
        <v/>
      </c>
      <c r="J47" s="28" t="n"/>
      <c r="K47" s="28" t="n"/>
    </row>
    <row r="48">
      <c r="A48" s="29" t="n"/>
      <c r="B48" s="27">
        <f>IF(A48="","",DATE(YEAR(A48),MONTH(A48),1))</f>
        <v/>
      </c>
      <c r="C48" s="28" t="n"/>
      <c r="D48" s="28" t="n"/>
      <c r="E48" s="28" t="n"/>
      <c r="F48" s="18" t="n"/>
      <c r="G48" s="7">
        <f>IFERROR(VLOOKUP(D48,'Catálogo de Serviços'!$A$5:$F$100,6,FALSE),0)</f>
        <v/>
      </c>
      <c r="H48" s="7">
        <f>IFERROR(E48*F48,0)</f>
        <v/>
      </c>
      <c r="I48" s="7">
        <f>IFERROR(F48-G48,0)</f>
        <v/>
      </c>
      <c r="J48" s="28" t="n"/>
      <c r="K48" s="28" t="n"/>
    </row>
    <row r="49">
      <c r="A49" s="29" t="n"/>
      <c r="B49" s="27">
        <f>IF(A49="","",DATE(YEAR(A49),MONTH(A49),1))</f>
        <v/>
      </c>
      <c r="C49" s="28" t="n"/>
      <c r="D49" s="28" t="n"/>
      <c r="E49" s="28" t="n"/>
      <c r="F49" s="18" t="n"/>
      <c r="G49" s="7">
        <f>IFERROR(VLOOKUP(D49,'Catálogo de Serviços'!$A$5:$F$100,6,FALSE),0)</f>
        <v/>
      </c>
      <c r="H49" s="7">
        <f>IFERROR(E49*F49,0)</f>
        <v/>
      </c>
      <c r="I49" s="7">
        <f>IFERROR(F49-G49,0)</f>
        <v/>
      </c>
      <c r="J49" s="28" t="n"/>
      <c r="K49" s="28" t="n"/>
    </row>
    <row r="50">
      <c r="A50" s="29" t="n"/>
      <c r="B50" s="27">
        <f>IF(A50="","",DATE(YEAR(A50),MONTH(A50),1))</f>
        <v/>
      </c>
      <c r="C50" s="28" t="n"/>
      <c r="D50" s="28" t="n"/>
      <c r="E50" s="28" t="n"/>
      <c r="F50" s="18" t="n"/>
      <c r="G50" s="7">
        <f>IFERROR(VLOOKUP(D50,'Catálogo de Serviços'!$A$5:$F$100,6,FALSE),0)</f>
        <v/>
      </c>
      <c r="H50" s="7">
        <f>IFERROR(E50*F50,0)</f>
        <v/>
      </c>
      <c r="I50" s="7">
        <f>IFERROR(F50-G50,0)</f>
        <v/>
      </c>
      <c r="J50" s="28" t="n"/>
      <c r="K50" s="28" t="n"/>
    </row>
    <row r="51">
      <c r="A51" s="29" t="n"/>
      <c r="B51" s="27">
        <f>IF(A51="","",DATE(YEAR(A51),MONTH(A51),1))</f>
        <v/>
      </c>
      <c r="C51" s="28" t="n"/>
      <c r="D51" s="28" t="n"/>
      <c r="E51" s="28" t="n"/>
      <c r="F51" s="18" t="n"/>
      <c r="G51" s="7">
        <f>IFERROR(VLOOKUP(D51,'Catálogo de Serviços'!$A$5:$F$100,6,FALSE),0)</f>
        <v/>
      </c>
      <c r="H51" s="7">
        <f>IFERROR(E51*F51,0)</f>
        <v/>
      </c>
      <c r="I51" s="7">
        <f>IFERROR(F51-G51,0)</f>
        <v/>
      </c>
      <c r="J51" s="28" t="n"/>
      <c r="K51" s="28" t="n"/>
    </row>
    <row r="52">
      <c r="A52" s="29" t="n"/>
      <c r="B52" s="27">
        <f>IF(A52="","",DATE(YEAR(A52),MONTH(A52),1))</f>
        <v/>
      </c>
      <c r="C52" s="28" t="n"/>
      <c r="D52" s="28" t="n"/>
      <c r="E52" s="28" t="n"/>
      <c r="F52" s="18" t="n"/>
      <c r="G52" s="7">
        <f>IFERROR(VLOOKUP(D52,'Catálogo de Serviços'!$A$5:$F$100,6,FALSE),0)</f>
        <v/>
      </c>
      <c r="H52" s="7">
        <f>IFERROR(E52*F52,0)</f>
        <v/>
      </c>
      <c r="I52" s="7">
        <f>IFERROR(F52-G52,0)</f>
        <v/>
      </c>
      <c r="J52" s="28" t="n"/>
      <c r="K52" s="28" t="n"/>
    </row>
    <row r="53">
      <c r="A53" s="29" t="n"/>
      <c r="B53" s="27">
        <f>IF(A53="","",DATE(YEAR(A53),MONTH(A53),1))</f>
        <v/>
      </c>
      <c r="C53" s="28" t="n"/>
      <c r="D53" s="28" t="n"/>
      <c r="E53" s="28" t="n"/>
      <c r="F53" s="18" t="n"/>
      <c r="G53" s="7">
        <f>IFERROR(VLOOKUP(D53,'Catálogo de Serviços'!$A$5:$F$100,6,FALSE),0)</f>
        <v/>
      </c>
      <c r="H53" s="7">
        <f>IFERROR(E53*F53,0)</f>
        <v/>
      </c>
      <c r="I53" s="7">
        <f>IFERROR(F53-G53,0)</f>
        <v/>
      </c>
      <c r="J53" s="28" t="n"/>
      <c r="K53" s="28" t="n"/>
    </row>
    <row r="54">
      <c r="A54" s="29" t="n"/>
      <c r="B54" s="27">
        <f>IF(A54="","",DATE(YEAR(A54),MONTH(A54),1))</f>
        <v/>
      </c>
      <c r="C54" s="28" t="n"/>
      <c r="D54" s="28" t="n"/>
      <c r="E54" s="28" t="n"/>
      <c r="F54" s="18" t="n"/>
      <c r="G54" s="7">
        <f>IFERROR(VLOOKUP(D54,'Catálogo de Serviços'!$A$5:$F$100,6,FALSE),0)</f>
        <v/>
      </c>
      <c r="H54" s="7">
        <f>IFERROR(E54*F54,0)</f>
        <v/>
      </c>
      <c r="I54" s="7">
        <f>IFERROR(F54-G54,0)</f>
        <v/>
      </c>
      <c r="J54" s="28" t="n"/>
      <c r="K54" s="28" t="n"/>
    </row>
    <row r="55">
      <c r="A55" s="29" t="n"/>
      <c r="B55" s="27">
        <f>IF(A55="","",DATE(YEAR(A55),MONTH(A55),1))</f>
        <v/>
      </c>
      <c r="C55" s="28" t="n"/>
      <c r="D55" s="28" t="n"/>
      <c r="E55" s="28" t="n"/>
      <c r="F55" s="18" t="n"/>
      <c r="G55" s="7">
        <f>IFERROR(VLOOKUP(D55,'Catálogo de Serviços'!$A$5:$F$100,6,FALSE),0)</f>
        <v/>
      </c>
      <c r="H55" s="7">
        <f>IFERROR(E55*F55,0)</f>
        <v/>
      </c>
      <c r="I55" s="7">
        <f>IFERROR(F55-G55,0)</f>
        <v/>
      </c>
      <c r="J55" s="28" t="n"/>
      <c r="K55" s="28" t="n"/>
    </row>
    <row r="56">
      <c r="A56" s="111" t="n"/>
      <c r="B56" s="27">
        <f>IF(A56="","",DATE(YEAR(A56),MONTH(A56),1))</f>
        <v/>
      </c>
      <c r="C56" s="28" t="n"/>
      <c r="D56" s="28" t="n"/>
      <c r="E56" s="28" t="n"/>
      <c r="F56" s="18" t="n"/>
      <c r="G56" s="7">
        <f>IFERROR(VLOOKUP(D56,'Catálogo de Serviços'!$A$5:$F$100,6,FALSE),0)</f>
        <v/>
      </c>
      <c r="H56" s="7">
        <f>IFERROR(E56*F56,0)</f>
        <v/>
      </c>
      <c r="I56" s="7">
        <f>IFERROR(F56-G56,0)</f>
        <v/>
      </c>
      <c r="J56" s="28" t="n"/>
      <c r="K56" s="28" t="n"/>
    </row>
    <row r="57">
      <c r="A57" s="111" t="n"/>
      <c r="B57" s="27">
        <f>IF(A57="","",DATE(YEAR(A57),MONTH(A57),1))</f>
        <v/>
      </c>
      <c r="C57" s="28" t="n"/>
      <c r="D57" s="28" t="n"/>
      <c r="E57" s="28" t="n"/>
      <c r="F57" s="18" t="n"/>
      <c r="G57" s="7">
        <f>IFERROR(VLOOKUP(D57,'Catálogo de Serviços'!$A$5:$F$100,6,FALSE),0)</f>
        <v/>
      </c>
      <c r="H57" s="7">
        <f>IFERROR(E57*F57,0)</f>
        <v/>
      </c>
      <c r="I57" s="7">
        <f>IFERROR(F57-G57,0)</f>
        <v/>
      </c>
      <c r="J57" s="28" t="n"/>
      <c r="K57" s="28" t="n"/>
    </row>
    <row r="58">
      <c r="A58" s="111" t="n"/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1" t="n"/>
    </row>
    <row r="59">
      <c r="A59" s="111" t="n"/>
      <c r="B59" s="27">
        <f>IF(A59="","",DATE(YEAR(A59),MONTH(A59),1))</f>
        <v/>
      </c>
      <c r="C59" s="28" t="n"/>
      <c r="D59" s="28" t="n"/>
      <c r="E59" s="28" t="n"/>
      <c r="F59" s="18" t="n"/>
      <c r="G59" s="7">
        <f>IFERROR(VLOOKUP(D59,'Catálogo de Serviços'!$A$5:$F$100,6,FALSE),0)</f>
        <v/>
      </c>
      <c r="H59" s="7">
        <f>IFERROR(E59*F59,0)</f>
        <v/>
      </c>
      <c r="I59" s="7">
        <f>IFERROR(F59-G59,0)</f>
        <v/>
      </c>
      <c r="J59" s="28" t="n"/>
      <c r="K59" s="28" t="n"/>
    </row>
    <row r="60">
      <c r="A60" s="111" t="n"/>
      <c r="B60" s="27">
        <f>IF(A60="","",DATE(YEAR(A60),MONTH(A60),1))</f>
        <v/>
      </c>
      <c r="C60" s="28" t="n"/>
      <c r="D60" s="28" t="n"/>
      <c r="E60" s="28" t="n"/>
      <c r="F60" s="18" t="n"/>
      <c r="G60" s="7">
        <f>IFERROR(VLOOKUP(D60,'Catálogo de Serviços'!$A$5:$F$100,6,FALSE),0)</f>
        <v/>
      </c>
      <c r="H60" s="7">
        <f>IFERROR(E60*F60,0)</f>
        <v/>
      </c>
      <c r="I60" s="7">
        <f>IFERROR(F60-G60,0)</f>
        <v/>
      </c>
      <c r="J60" s="28" t="n"/>
      <c r="K60" s="28" t="n"/>
    </row>
    <row r="61">
      <c r="A61" s="111" t="n"/>
      <c r="B61" s="27">
        <f>IF(A61="","",DATE(YEAR(A61),MONTH(A61),1))</f>
        <v/>
      </c>
      <c r="C61" s="28" t="n"/>
      <c r="D61" s="28" t="n"/>
      <c r="E61" s="28" t="n"/>
      <c r="F61" s="18" t="n"/>
      <c r="G61" s="7">
        <f>IFERROR(VLOOKUP(D61,'Catálogo de Serviços'!$A$5:$F$100,6,FALSE),0)</f>
        <v/>
      </c>
      <c r="H61" s="7">
        <f>IFERROR(E61*F61,0)</f>
        <v/>
      </c>
      <c r="I61" s="7">
        <f>IFERROR(F61-G61,0)</f>
        <v/>
      </c>
      <c r="J61" s="28" t="n"/>
      <c r="K61" s="28" t="n"/>
    </row>
    <row r="62">
      <c r="A62" s="111" t="n"/>
      <c r="B62" s="27">
        <f>IF(A62="","",DATE(YEAR(A62),MONTH(A62),1))</f>
        <v/>
      </c>
      <c r="C62" s="28" t="n"/>
      <c r="D62" s="28" t="n"/>
      <c r="E62" s="28" t="n"/>
      <c r="F62" s="18" t="n"/>
      <c r="G62" s="7">
        <f>IFERROR(VLOOKUP(D62,'Catálogo de Serviços'!$A$5:$F$100,6,FALSE),0)</f>
        <v/>
      </c>
      <c r="H62" s="7">
        <f>IFERROR(E62*F62,0)</f>
        <v/>
      </c>
      <c r="I62" s="7">
        <f>IFERROR(F62-G62,0)</f>
        <v/>
      </c>
      <c r="J62" s="28" t="n"/>
      <c r="K62" s="28" t="n"/>
    </row>
    <row r="63">
      <c r="A63" s="111" t="n"/>
      <c r="B63" s="27">
        <f>IF(A63="","",DATE(YEAR(A63),MONTH(A63),1))</f>
        <v/>
      </c>
      <c r="C63" s="28" t="n"/>
      <c r="D63" s="28" t="n"/>
      <c r="E63" s="28" t="n"/>
      <c r="F63" s="18" t="n"/>
      <c r="G63" s="7">
        <f>IFERROR(VLOOKUP(D63,'Catálogo de Serviços'!$A$5:$F$100,6,FALSE),0)</f>
        <v/>
      </c>
      <c r="H63" s="7">
        <f>IFERROR(E63*F63,0)</f>
        <v/>
      </c>
      <c r="I63" s="7">
        <f>IFERROR(F63-G63,0)</f>
        <v/>
      </c>
      <c r="J63" s="28" t="n"/>
      <c r="K63" s="28" t="n"/>
    </row>
    <row r="64">
      <c r="A64" s="111" t="n"/>
      <c r="B64" s="27">
        <f>IF(A64="","",DATE(YEAR(A64),MONTH(A64),1))</f>
        <v/>
      </c>
      <c r="C64" s="28" t="n"/>
      <c r="D64" s="28" t="n"/>
      <c r="E64" s="28" t="n"/>
      <c r="F64" s="18" t="n"/>
      <c r="G64" s="7">
        <f>IFERROR(VLOOKUP(D64,'Catálogo de Serviços'!$A$5:$F$100,6,FALSE),0)</f>
        <v/>
      </c>
      <c r="H64" s="7">
        <f>IFERROR(E64*F64,0)</f>
        <v/>
      </c>
      <c r="I64" s="7">
        <f>IFERROR(F64-G64,0)</f>
        <v/>
      </c>
      <c r="J64" s="28" t="n"/>
      <c r="K64" s="28" t="n"/>
    </row>
    <row r="65">
      <c r="A65" s="111" t="n"/>
      <c r="B65" s="27">
        <f>IF(A65="","",DATE(YEAR(A65),MONTH(A65),1))</f>
        <v/>
      </c>
      <c r="C65" s="28" t="n"/>
      <c r="D65" s="28" t="n"/>
      <c r="E65" s="28" t="n"/>
      <c r="F65" s="18" t="n"/>
      <c r="G65" s="7">
        <f>IFERROR(VLOOKUP(D65,'Catálogo de Serviços'!$A$5:$F$100,6,FALSE),0)</f>
        <v/>
      </c>
      <c r="H65" s="7">
        <f>IFERROR(E65*F65,0)</f>
        <v/>
      </c>
      <c r="I65" s="7">
        <f>IFERROR(F65-G65,0)</f>
        <v/>
      </c>
      <c r="J65" s="28" t="n"/>
      <c r="K65" s="28" t="n"/>
    </row>
    <row r="66">
      <c r="A66" s="111" t="n"/>
      <c r="B66" s="27">
        <f>IF(A66="","",DATE(YEAR(A66),MONTH(A66),1))</f>
        <v/>
      </c>
      <c r="C66" s="28" t="n"/>
      <c r="D66" s="28" t="n"/>
      <c r="E66" s="28" t="n"/>
      <c r="F66" s="18" t="n"/>
      <c r="G66" s="7">
        <f>IFERROR(VLOOKUP(D66,'Catálogo de Serviços'!$A$5:$F$100,6,FALSE),0)</f>
        <v/>
      </c>
      <c r="H66" s="7">
        <f>IFERROR(E66*F66,0)</f>
        <v/>
      </c>
      <c r="I66" s="7">
        <f>IFERROR(F66-G66,0)</f>
        <v/>
      </c>
      <c r="J66" s="28" t="n"/>
      <c r="K66" s="28" t="n"/>
    </row>
    <row r="67">
      <c r="A67" s="111" t="n"/>
      <c r="B67" s="27">
        <f>IF(A67="","",DATE(YEAR(A67),MONTH(A67),1))</f>
        <v/>
      </c>
      <c r="C67" s="28" t="n"/>
      <c r="D67" s="28" t="n"/>
      <c r="E67" s="28" t="n"/>
      <c r="F67" s="18" t="n"/>
      <c r="G67" s="7">
        <f>IFERROR(VLOOKUP(D67,'Catálogo de Serviços'!$A$5:$F$100,6,FALSE),0)</f>
        <v/>
      </c>
      <c r="H67" s="7">
        <f>IFERROR(E67*F67,0)</f>
        <v/>
      </c>
      <c r="I67" s="7">
        <f>IFERROR(F67-G67,0)</f>
        <v/>
      </c>
      <c r="J67" s="28" t="n"/>
      <c r="K67" s="28" t="n"/>
    </row>
    <row r="68">
      <c r="A68" s="111" t="n"/>
      <c r="B68" s="27">
        <f>IF(A68="","",DATE(YEAR(A68),MONTH(A68),1))</f>
        <v/>
      </c>
      <c r="C68" s="28" t="n"/>
      <c r="D68" s="28" t="n"/>
      <c r="E68" s="28" t="n"/>
      <c r="F68" s="18" t="n"/>
      <c r="G68" s="7">
        <f>IFERROR(VLOOKUP(D68,'Catálogo de Serviços'!$A$5:$F$100,6,FALSE),0)</f>
        <v/>
      </c>
      <c r="H68" s="7">
        <f>IFERROR(E68*F68,0)</f>
        <v/>
      </c>
      <c r="I68" s="7">
        <f>IFERROR(F68-G68,0)</f>
        <v/>
      </c>
      <c r="J68" s="28" t="n"/>
      <c r="K68" s="28" t="n"/>
    </row>
    <row r="69">
      <c r="A69" s="111" t="n"/>
      <c r="B69" s="27">
        <f>IF(A69="","",DATE(YEAR(A69),MONTH(A69),1))</f>
        <v/>
      </c>
      <c r="C69" s="28" t="n"/>
      <c r="D69" s="28" t="n"/>
      <c r="E69" s="28" t="n"/>
      <c r="F69" s="18" t="n"/>
      <c r="G69" s="7">
        <f>IFERROR(VLOOKUP(D69,'Catálogo de Serviços'!$A$5:$F$100,6,FALSE),0)</f>
        <v/>
      </c>
      <c r="H69" s="7">
        <f>IFERROR(E69*F69,0)</f>
        <v/>
      </c>
      <c r="I69" s="7">
        <f>IFERROR(F69-G69,0)</f>
        <v/>
      </c>
      <c r="J69" s="28" t="n"/>
      <c r="K69" s="28" t="n"/>
    </row>
    <row r="70">
      <c r="A70" s="111" t="n"/>
      <c r="B70" s="27">
        <f>IF(A70="","",DATE(YEAR(A70),MONTH(A70),1))</f>
        <v/>
      </c>
      <c r="C70" s="28" t="n"/>
      <c r="D70" s="28" t="n"/>
      <c r="E70" s="28" t="n"/>
      <c r="F70" s="18" t="n"/>
      <c r="G70" s="7">
        <f>IFERROR(VLOOKUP(D70,'Catálogo de Serviços'!$A$5:$F$100,6,FALSE),0)</f>
        <v/>
      </c>
      <c r="H70" s="7">
        <f>IFERROR(E70*F70,0)</f>
        <v/>
      </c>
      <c r="I70" s="7">
        <f>IFERROR(F70-G70,0)</f>
        <v/>
      </c>
      <c r="J70" s="28" t="n"/>
      <c r="K70" s="28" t="n"/>
    </row>
    <row r="71">
      <c r="A71" s="111" t="n"/>
      <c r="B71" s="27">
        <f>IF(A71="","",DATE(YEAR(A71),MONTH(A71),1))</f>
        <v/>
      </c>
      <c r="C71" s="28" t="n"/>
      <c r="D71" s="28" t="n"/>
      <c r="E71" s="28" t="n"/>
      <c r="F71" s="18" t="n"/>
      <c r="G71" s="7">
        <f>IFERROR(VLOOKUP(D71,'Catálogo de Serviços'!$A$5:$F$100,6,FALSE),0)</f>
        <v/>
      </c>
      <c r="H71" s="7">
        <f>IFERROR(E71*F71,0)</f>
        <v/>
      </c>
      <c r="I71" s="7">
        <f>IFERROR(F71-G71,0)</f>
        <v/>
      </c>
      <c r="J71" s="28" t="n"/>
      <c r="K71" s="28" t="n"/>
    </row>
    <row r="72">
      <c r="A72" s="111" t="n"/>
      <c r="B72" s="27">
        <f>IF(A72="","",DATE(YEAR(A72),MONTH(A72),1))</f>
        <v/>
      </c>
      <c r="C72" s="28" t="n"/>
      <c r="D72" s="28" t="n"/>
      <c r="E72" s="28" t="n"/>
      <c r="F72" s="18" t="n"/>
      <c r="G72" s="7">
        <f>IFERROR(VLOOKUP(D72,'Catálogo de Serviços'!$A$5:$F$100,6,FALSE),0)</f>
        <v/>
      </c>
      <c r="H72" s="7">
        <f>IFERROR(E72*F72,0)</f>
        <v/>
      </c>
      <c r="I72" s="7">
        <f>IFERROR(F72-G72,0)</f>
        <v/>
      </c>
      <c r="J72" s="28" t="n"/>
      <c r="K72" s="28" t="n"/>
    </row>
    <row r="73">
      <c r="A73" s="111" t="n"/>
      <c r="B73" s="27">
        <f>IF(A73="","",DATE(YEAR(A73),MONTH(A73),1))</f>
        <v/>
      </c>
      <c r="C73" s="28" t="n"/>
      <c r="D73" s="28" t="n"/>
      <c r="E73" s="28" t="n"/>
      <c r="F73" s="18" t="n"/>
      <c r="G73" s="7">
        <f>IFERROR(VLOOKUP(D73,'Catálogo de Serviços'!$A$5:$F$100,6,FALSE),0)</f>
        <v/>
      </c>
      <c r="H73" s="7">
        <f>IFERROR(E73*F73,0)</f>
        <v/>
      </c>
      <c r="I73" s="7">
        <f>IFERROR(F73-G73,0)</f>
        <v/>
      </c>
      <c r="J73" s="28" t="n"/>
      <c r="K73" s="28" t="n"/>
    </row>
    <row r="74">
      <c r="A74" s="111" t="n"/>
      <c r="B74" s="27">
        <f>IF(A74="","",DATE(YEAR(A74),MONTH(A74),1))</f>
        <v/>
      </c>
      <c r="C74" s="28" t="n"/>
      <c r="D74" s="28" t="n"/>
      <c r="E74" s="28" t="n"/>
      <c r="F74" s="18" t="n"/>
      <c r="G74" s="7">
        <f>IFERROR(VLOOKUP(D74,'Catálogo de Serviços'!$A$5:$F$100,6,FALSE),0)</f>
        <v/>
      </c>
      <c r="H74" s="7">
        <f>IFERROR(E74*F74,0)</f>
        <v/>
      </c>
      <c r="I74" s="7">
        <f>IFERROR(F74-G74,0)</f>
        <v/>
      </c>
      <c r="J74" s="28" t="n"/>
      <c r="K74" s="28" t="n"/>
    </row>
    <row r="75">
      <c r="A75" s="111" t="n"/>
      <c r="B75" s="27">
        <f>IF(A75="","",DATE(YEAR(A75),MONTH(A75),1))</f>
        <v/>
      </c>
      <c r="C75" s="28" t="n"/>
      <c r="D75" s="28" t="n"/>
      <c r="E75" s="28" t="n"/>
      <c r="F75" s="18" t="n"/>
      <c r="G75" s="7">
        <f>IFERROR(VLOOKUP(D75,'Catálogo de Serviços'!$A$5:$F$100,6,FALSE),0)</f>
        <v/>
      </c>
      <c r="H75" s="7">
        <f>IFERROR(E75*F75,0)</f>
        <v/>
      </c>
      <c r="I75" s="7">
        <f>IFERROR(F75-G75,0)</f>
        <v/>
      </c>
      <c r="J75" s="28" t="n"/>
      <c r="K75" s="28" t="n"/>
    </row>
    <row r="76">
      <c r="A76" s="111" t="n"/>
      <c r="B76" s="27">
        <f>IF(A76="","",DATE(YEAR(A76),MONTH(A76),1))</f>
        <v/>
      </c>
      <c r="C76" s="28" t="n"/>
      <c r="D76" s="28" t="n"/>
      <c r="E76" s="28" t="n"/>
      <c r="F76" s="18" t="n"/>
      <c r="G76" s="7">
        <f>IFERROR(VLOOKUP(D76,'Catálogo de Serviços'!$A$5:$F$100,6,FALSE),0)</f>
        <v/>
      </c>
      <c r="H76" s="7">
        <f>IFERROR(E76*F76,0)</f>
        <v/>
      </c>
      <c r="I76" s="7">
        <f>IFERROR(F76-G76,0)</f>
        <v/>
      </c>
      <c r="J76" s="28" t="n"/>
      <c r="K76" s="28" t="n"/>
    </row>
    <row r="77">
      <c r="A77" s="111" t="n"/>
      <c r="B77" s="27">
        <f>IF(A77="","",DATE(YEAR(A77),MONTH(A77),1))</f>
        <v/>
      </c>
      <c r="C77" s="28" t="n"/>
      <c r="D77" s="28" t="n"/>
      <c r="E77" s="28" t="n"/>
      <c r="F77" s="18" t="n"/>
      <c r="G77" s="7">
        <f>IFERROR(VLOOKUP(D77,'Catálogo de Serviços'!$A$5:$F$100,6,FALSE),0)</f>
        <v/>
      </c>
      <c r="H77" s="7">
        <f>IFERROR(E77*F77,0)</f>
        <v/>
      </c>
      <c r="I77" s="7">
        <f>IFERROR(F77-G77,0)</f>
        <v/>
      </c>
      <c r="J77" s="28" t="n"/>
      <c r="K77" s="28" t="n"/>
    </row>
    <row r="78">
      <c r="A78" s="111" t="n"/>
      <c r="B78" s="27">
        <f>IF(A78="","",DATE(YEAR(A78),MONTH(A78),1))</f>
        <v/>
      </c>
      <c r="C78" s="28" t="n"/>
      <c r="D78" s="28" t="n"/>
      <c r="E78" s="28" t="n"/>
      <c r="F78" s="18" t="n"/>
      <c r="G78" s="7">
        <f>IFERROR(VLOOKUP(D78,'Catálogo de Serviços'!$A$5:$F$100,6,FALSE),0)</f>
        <v/>
      </c>
      <c r="H78" s="7">
        <f>IFERROR(E78*F78,0)</f>
        <v/>
      </c>
      <c r="I78" s="7">
        <f>IFERROR(F78-G78,0)</f>
        <v/>
      </c>
      <c r="J78" s="28" t="n"/>
      <c r="K78" s="28" t="n"/>
    </row>
    <row r="79">
      <c r="A79" s="111" t="n"/>
      <c r="B79" s="27">
        <f>IF(A79="","",DATE(YEAR(A79),MONTH(A79),1))</f>
        <v/>
      </c>
      <c r="C79" s="28" t="n"/>
      <c r="D79" s="28" t="n"/>
      <c r="E79" s="28" t="n"/>
      <c r="F79" s="18" t="n"/>
      <c r="G79" s="7">
        <f>IFERROR(VLOOKUP(D79,'Catálogo de Serviços'!$A$5:$F$100,6,FALSE),0)</f>
        <v/>
      </c>
      <c r="H79" s="7">
        <f>IFERROR(E79*F79,0)</f>
        <v/>
      </c>
      <c r="I79" s="7">
        <f>IFERROR(F79-G79,0)</f>
        <v/>
      </c>
      <c r="J79" s="28" t="n"/>
      <c r="K79" s="28" t="n"/>
    </row>
    <row r="80">
      <c r="A80" s="111" t="n"/>
      <c r="B80" s="27">
        <f>IF(A80="","",DATE(YEAR(A80),MONTH(A80),1))</f>
        <v/>
      </c>
      <c r="C80" s="28" t="n"/>
      <c r="D80" s="28" t="n"/>
      <c r="E80" s="28" t="n"/>
      <c r="F80" s="18" t="n"/>
      <c r="G80" s="7">
        <f>IFERROR(VLOOKUP(D80,'Catálogo de Serviços'!$A$5:$F$100,6,FALSE),0)</f>
        <v/>
      </c>
      <c r="H80" s="7">
        <f>IFERROR(E80*F80,0)</f>
        <v/>
      </c>
      <c r="I80" s="7">
        <f>IFERROR(F80-G80,0)</f>
        <v/>
      </c>
      <c r="J80" s="28" t="n"/>
      <c r="K80" s="28" t="n"/>
    </row>
    <row r="81">
      <c r="A81" s="111" t="n"/>
      <c r="B81" s="27">
        <f>IF(A81="","",DATE(YEAR(A81),MONTH(A81),1))</f>
        <v/>
      </c>
      <c r="C81" s="28" t="n"/>
      <c r="D81" s="28" t="n"/>
      <c r="E81" s="28" t="n"/>
      <c r="F81" s="18" t="n"/>
      <c r="G81" s="7">
        <f>IFERROR(VLOOKUP(D81,'Catálogo de Serviços'!$A$5:$F$100,6,FALSE),0)</f>
        <v/>
      </c>
      <c r="H81" s="7">
        <f>IFERROR(E81*F81,0)</f>
        <v/>
      </c>
      <c r="I81" s="7">
        <f>IFERROR(F81-G81,0)</f>
        <v/>
      </c>
      <c r="J81" s="28" t="n"/>
      <c r="K81" s="28" t="n"/>
    </row>
    <row r="82">
      <c r="A82" s="111" t="n"/>
      <c r="B82" s="27">
        <f>IF(A82="","",DATE(YEAR(A82),MONTH(A82),1))</f>
        <v/>
      </c>
      <c r="C82" s="28" t="n"/>
      <c r="D82" s="28" t="n"/>
      <c r="E82" s="28" t="n"/>
      <c r="F82" s="18" t="n"/>
      <c r="G82" s="7">
        <f>IFERROR(VLOOKUP(D82,'Catálogo de Serviços'!$A$5:$F$100,6,FALSE),0)</f>
        <v/>
      </c>
      <c r="H82" s="7">
        <f>IFERROR(E82*F82,0)</f>
        <v/>
      </c>
      <c r="I82" s="7">
        <f>IFERROR(F82-G82,0)</f>
        <v/>
      </c>
      <c r="J82" s="28" t="n"/>
      <c r="K82" s="28" t="n"/>
    </row>
    <row r="83">
      <c r="A83" s="111" t="n"/>
      <c r="B83" s="27">
        <f>IF(A83="","",DATE(YEAR(A83),MONTH(A83),1))</f>
        <v/>
      </c>
      <c r="C83" s="28" t="n"/>
      <c r="D83" s="28" t="n"/>
      <c r="E83" s="28" t="n"/>
      <c r="F83" s="18" t="n"/>
      <c r="G83" s="7">
        <f>IFERROR(VLOOKUP(D83,'Catálogo de Serviços'!$A$5:$F$100,6,FALSE),0)</f>
        <v/>
      </c>
      <c r="H83" s="7">
        <f>IFERROR(E83*F83,0)</f>
        <v/>
      </c>
      <c r="I83" s="7">
        <f>IFERROR(F83-G83,0)</f>
        <v/>
      </c>
      <c r="J83" s="28" t="n"/>
      <c r="K83" s="28" t="n"/>
    </row>
    <row r="84">
      <c r="A84" s="111" t="n"/>
      <c r="B84" s="27">
        <f>IF(A84="","",DATE(YEAR(A84),MONTH(A84),1))</f>
        <v/>
      </c>
      <c r="C84" s="28" t="n"/>
      <c r="D84" s="28" t="n"/>
      <c r="E84" s="28" t="n"/>
      <c r="F84" s="18" t="n"/>
      <c r="G84" s="7">
        <f>IFERROR(VLOOKUP(D84,'Catálogo de Serviços'!$A$5:$F$100,6,FALSE),0)</f>
        <v/>
      </c>
      <c r="H84" s="7">
        <f>IFERROR(E84*F84,0)</f>
        <v/>
      </c>
      <c r="I84" s="7">
        <f>IFERROR(F84-G84,0)</f>
        <v/>
      </c>
      <c r="J84" s="28" t="n"/>
      <c r="K84" s="28" t="n"/>
    </row>
    <row r="85">
      <c r="A85" s="111" t="n"/>
      <c r="B85" s="27">
        <f>IF(A85="","",DATE(YEAR(A85),MONTH(A85),1))</f>
        <v/>
      </c>
      <c r="C85" s="28" t="n"/>
      <c r="D85" s="28" t="n"/>
      <c r="E85" s="28" t="n"/>
      <c r="F85" s="18" t="n"/>
      <c r="G85" s="7">
        <f>IFERROR(VLOOKUP(D85,'Catálogo de Serviços'!$A$5:$F$100,6,FALSE),0)</f>
        <v/>
      </c>
      <c r="H85" s="7">
        <f>IFERROR(E85*F85,0)</f>
        <v/>
      </c>
      <c r="I85" s="7">
        <f>IFERROR(F85-G85,0)</f>
        <v/>
      </c>
      <c r="J85" s="28" t="n"/>
      <c r="K85" s="28" t="n"/>
    </row>
    <row r="86">
      <c r="A86" s="111" t="n"/>
      <c r="B86" s="27">
        <f>IF(A86="","",DATE(YEAR(A86),MONTH(A86),1))</f>
        <v/>
      </c>
      <c r="C86" s="28" t="n"/>
      <c r="D86" s="28" t="n"/>
      <c r="E86" s="28" t="n"/>
      <c r="F86" s="18" t="n"/>
      <c r="G86" s="7">
        <f>IFERROR(VLOOKUP(D86,'Catálogo de Serviços'!$A$5:$F$100,6,FALSE),0)</f>
        <v/>
      </c>
      <c r="H86" s="7">
        <f>IFERROR(E86*F86,0)</f>
        <v/>
      </c>
      <c r="I86" s="7">
        <f>IFERROR(F86-G86,0)</f>
        <v/>
      </c>
      <c r="J86" s="28" t="n"/>
      <c r="K86" s="28" t="n"/>
    </row>
    <row r="87">
      <c r="A87" s="111" t="n"/>
      <c r="B87" s="27">
        <f>IF(A87="","",DATE(YEAR(A87),MONTH(A87),1))</f>
        <v/>
      </c>
      <c r="C87" s="28" t="n"/>
      <c r="D87" s="28" t="n"/>
      <c r="E87" s="28" t="n"/>
      <c r="F87" s="18" t="n"/>
      <c r="G87" s="7">
        <f>IFERROR(VLOOKUP(D87,'Catálogo de Serviços'!$A$5:$F$100,6,FALSE),0)</f>
        <v/>
      </c>
      <c r="H87" s="7">
        <f>IFERROR(E87*F87,0)</f>
        <v/>
      </c>
      <c r="I87" s="7">
        <f>IFERROR(F87-G87,0)</f>
        <v/>
      </c>
      <c r="J87" s="28" t="n"/>
      <c r="K87" s="28" t="n"/>
    </row>
    <row r="88">
      <c r="A88" s="111" t="n"/>
      <c r="B88" s="27">
        <f>IF(A88="","",DATE(YEAR(A88),MONTH(A88),1))</f>
        <v/>
      </c>
      <c r="C88" s="28" t="n"/>
      <c r="D88" s="28" t="n"/>
      <c r="E88" s="28" t="n"/>
      <c r="F88" s="18" t="n"/>
      <c r="G88" s="7">
        <f>IFERROR(VLOOKUP(D88,'Catálogo de Serviços'!$A$5:$F$100,6,FALSE),0)</f>
        <v/>
      </c>
      <c r="H88" s="7">
        <f>IFERROR(E88*F88,0)</f>
        <v/>
      </c>
      <c r="I88" s="7">
        <f>IFERROR(F88-G88,0)</f>
        <v/>
      </c>
      <c r="J88" s="28" t="n"/>
      <c r="K88" s="28" t="n"/>
    </row>
    <row r="89">
      <c r="A89" s="111" t="n"/>
      <c r="B89" s="27">
        <f>IF(A89="","",DATE(YEAR(A89),MONTH(A89),1))</f>
        <v/>
      </c>
      <c r="C89" s="28" t="n"/>
      <c r="D89" s="28" t="n"/>
      <c r="E89" s="28" t="n"/>
      <c r="F89" s="18" t="n"/>
      <c r="G89" s="7">
        <f>IFERROR(VLOOKUP(D89,'Catálogo de Serviços'!$A$5:$F$100,6,FALSE),0)</f>
        <v/>
      </c>
      <c r="H89" s="7">
        <f>IFERROR(E89*F89,0)</f>
        <v/>
      </c>
      <c r="I89" s="7">
        <f>IFERROR(F89-G89,0)</f>
        <v/>
      </c>
      <c r="J89" s="28" t="n"/>
      <c r="K89" s="28" t="n"/>
    </row>
    <row r="90">
      <c r="A90" s="111" t="n"/>
      <c r="B90" s="27">
        <f>IF(A90="","",DATE(YEAR(A90),MONTH(A90),1))</f>
        <v/>
      </c>
      <c r="C90" s="28" t="n"/>
      <c r="D90" s="28" t="n"/>
      <c r="E90" s="28" t="n"/>
      <c r="F90" s="18" t="n"/>
      <c r="G90" s="7">
        <f>IFERROR(VLOOKUP(D90,'Catálogo de Serviços'!$A$5:$F$100,6,FALSE),0)</f>
        <v/>
      </c>
      <c r="H90" s="7">
        <f>IFERROR(E90*F90,0)</f>
        <v/>
      </c>
      <c r="I90" s="7">
        <f>IFERROR(F90-G90,0)</f>
        <v/>
      </c>
      <c r="J90" s="28" t="n"/>
      <c r="K90" s="28" t="n"/>
    </row>
    <row r="91">
      <c r="A91" s="111" t="n"/>
      <c r="B91" s="27">
        <f>IF(A91="","",DATE(YEAR(A91),MONTH(A91),1))</f>
        <v/>
      </c>
      <c r="C91" s="28" t="n"/>
      <c r="D91" s="28" t="n"/>
      <c r="E91" s="28" t="n"/>
      <c r="F91" s="18" t="n"/>
      <c r="G91" s="7">
        <f>IFERROR(VLOOKUP(D91,'Catálogo de Serviços'!$A$5:$F$100,6,FALSE),0)</f>
        <v/>
      </c>
      <c r="H91" s="7">
        <f>IFERROR(E91*F91,0)</f>
        <v/>
      </c>
      <c r="I91" s="7">
        <f>IFERROR(F91-G91,0)</f>
        <v/>
      </c>
      <c r="J91" s="28" t="n"/>
      <c r="K91" s="28" t="n"/>
    </row>
    <row r="92">
      <c r="A92" s="111" t="n"/>
      <c r="B92" s="27">
        <f>IF(A92="","",DATE(YEAR(A92),MONTH(A92),1))</f>
        <v/>
      </c>
      <c r="C92" s="28" t="n"/>
      <c r="D92" s="28" t="n"/>
      <c r="E92" s="28" t="n"/>
      <c r="F92" s="18" t="n"/>
      <c r="G92" s="7">
        <f>IFERROR(VLOOKUP(D92,'Catálogo de Serviços'!$A$5:$F$100,6,FALSE),0)</f>
        <v/>
      </c>
      <c r="H92" s="7">
        <f>IFERROR(E92*F92,0)</f>
        <v/>
      </c>
      <c r="I92" s="7">
        <f>IFERROR(F92-G92,0)</f>
        <v/>
      </c>
      <c r="J92" s="28" t="n"/>
      <c r="K92" s="28" t="n"/>
    </row>
    <row r="93">
      <c r="A93" s="111" t="n"/>
      <c r="B93" s="27">
        <f>IF(A93="","",DATE(YEAR(A93),MONTH(A93),1))</f>
        <v/>
      </c>
      <c r="C93" s="28" t="n"/>
      <c r="D93" s="28" t="n"/>
      <c r="E93" s="28" t="n"/>
      <c r="F93" s="18" t="n"/>
      <c r="G93" s="7">
        <f>IFERROR(VLOOKUP(D93,'Catálogo de Serviços'!$A$5:$F$100,6,FALSE),0)</f>
        <v/>
      </c>
      <c r="H93" s="7">
        <f>IFERROR(E93*F93,0)</f>
        <v/>
      </c>
      <c r="I93" s="7">
        <f>IFERROR(F93-G93,0)</f>
        <v/>
      </c>
      <c r="J93" s="28" t="n"/>
      <c r="K93" s="28" t="n"/>
    </row>
    <row r="94">
      <c r="A94" s="111" t="n"/>
      <c r="B94" s="27">
        <f>IF(A94="","",DATE(YEAR(A94),MONTH(A94),1))</f>
        <v/>
      </c>
      <c r="C94" s="28" t="n"/>
      <c r="D94" s="28" t="n"/>
      <c r="E94" s="28" t="n"/>
      <c r="F94" s="18" t="n"/>
      <c r="G94" s="7">
        <f>IFERROR(VLOOKUP(D94,'Catálogo de Serviços'!$A$5:$F$100,6,FALSE),0)</f>
        <v/>
      </c>
      <c r="H94" s="7">
        <f>IFERROR(E94*F94,0)</f>
        <v/>
      </c>
      <c r="I94" s="7">
        <f>IFERROR(F94-G94,0)</f>
        <v/>
      </c>
      <c r="J94" s="28" t="n"/>
      <c r="K94" s="28" t="n"/>
    </row>
    <row r="95">
      <c r="A95" s="111" t="n"/>
      <c r="B95" s="27">
        <f>IF(A95="","",DATE(YEAR(A95),MONTH(A95),1))</f>
        <v/>
      </c>
      <c r="C95" s="28" t="n"/>
      <c r="D95" s="28" t="n"/>
      <c r="E95" s="28" t="n"/>
      <c r="F95" s="18" t="n"/>
      <c r="G95" s="7">
        <f>IFERROR(VLOOKUP(D95,'Catálogo de Serviços'!$A$5:$F$100,6,FALSE),0)</f>
        <v/>
      </c>
      <c r="H95" s="7">
        <f>IFERROR(E95*F95,0)</f>
        <v/>
      </c>
      <c r="I95" s="7">
        <f>IFERROR(F95-G95,0)</f>
        <v/>
      </c>
      <c r="J95" s="28" t="n"/>
      <c r="K95" s="28" t="n"/>
    </row>
    <row r="96">
      <c r="A96" s="111" t="n"/>
      <c r="B96" s="27">
        <f>IF(A96="","",DATE(YEAR(A96),MONTH(A96),1))</f>
        <v/>
      </c>
      <c r="C96" s="28" t="n"/>
      <c r="D96" s="28" t="n"/>
      <c r="E96" s="28" t="n"/>
      <c r="F96" s="18" t="n"/>
      <c r="G96" s="7">
        <f>IFERROR(VLOOKUP(D96,'Catálogo de Serviços'!$A$5:$F$100,6,FALSE),0)</f>
        <v/>
      </c>
      <c r="H96" s="7">
        <f>IFERROR(E96*F96,0)</f>
        <v/>
      </c>
      <c r="I96" s="7">
        <f>IFERROR(F96-G96,0)</f>
        <v/>
      </c>
      <c r="J96" s="28" t="n"/>
      <c r="K96" s="28" t="n"/>
    </row>
    <row r="97">
      <c r="A97" s="111" t="n"/>
      <c r="B97" s="27">
        <f>IF(A97="","",DATE(YEAR(A97),MONTH(A97),1))</f>
        <v/>
      </c>
      <c r="C97" s="28" t="n"/>
      <c r="D97" s="28" t="n"/>
      <c r="E97" s="28" t="n"/>
      <c r="F97" s="18" t="n"/>
      <c r="G97" s="7">
        <f>IFERROR(VLOOKUP(D97,'Catálogo de Serviços'!$A$5:$F$100,6,FALSE),0)</f>
        <v/>
      </c>
      <c r="H97" s="7">
        <f>IFERROR(E97*F97,0)</f>
        <v/>
      </c>
      <c r="I97" s="7">
        <f>IFERROR(F97-G97,0)</f>
        <v/>
      </c>
      <c r="J97" s="28" t="n"/>
      <c r="K97" s="28" t="n"/>
    </row>
    <row r="98">
      <c r="A98" s="111" t="n"/>
      <c r="B98" s="27">
        <f>IF(A98="","",DATE(YEAR(A98),MONTH(A98),1))</f>
        <v/>
      </c>
      <c r="C98" s="28" t="n"/>
      <c r="D98" s="28" t="n"/>
      <c r="E98" s="28" t="n"/>
      <c r="F98" s="18" t="n"/>
      <c r="G98" s="7">
        <f>IFERROR(VLOOKUP(D98,'Catálogo de Serviços'!$A$5:$F$100,6,FALSE),0)</f>
        <v/>
      </c>
      <c r="H98" s="7">
        <f>IFERROR(E98*F98,0)</f>
        <v/>
      </c>
      <c r="I98" s="7">
        <f>IFERROR(F98-G98,0)</f>
        <v/>
      </c>
      <c r="J98" s="28" t="n"/>
      <c r="K98" s="28" t="n"/>
    </row>
    <row r="99">
      <c r="A99" s="111" t="n"/>
      <c r="B99" s="27">
        <f>IF(A99="","",DATE(YEAR(A99),MONTH(A99),1))</f>
        <v/>
      </c>
      <c r="C99" s="28" t="n"/>
      <c r="D99" s="28" t="n"/>
      <c r="E99" s="28" t="n"/>
      <c r="F99" s="18" t="n"/>
      <c r="G99" s="7">
        <f>IFERROR(VLOOKUP(D99,'Catálogo de Serviços'!$A$5:$F$100,6,FALSE),0)</f>
        <v/>
      </c>
      <c r="H99" s="7">
        <f>IFERROR(E99*F99,0)</f>
        <v/>
      </c>
      <c r="I99" s="7">
        <f>IFERROR(F99-G99,0)</f>
        <v/>
      </c>
      <c r="J99" s="28" t="n"/>
      <c r="K99" s="28" t="n"/>
    </row>
    <row r="100">
      <c r="A100" s="111" t="n"/>
      <c r="B100" s="27">
        <f>IF(A100="","",DATE(YEAR(A100),MONTH(A100),1))</f>
        <v/>
      </c>
      <c r="C100" s="28" t="n"/>
      <c r="D100" s="28" t="n"/>
      <c r="E100" s="28" t="n"/>
      <c r="F100" s="18" t="n"/>
      <c r="G100" s="7">
        <f>IFERROR(VLOOKUP(D100,'Catálogo de Serviços'!$A$5:$F$100,6,FALSE),0)</f>
        <v/>
      </c>
      <c r="H100" s="7">
        <f>IFERROR(E100*F100,0)</f>
        <v/>
      </c>
      <c r="I100" s="7">
        <f>IFERROR(F100-G100,0)</f>
        <v/>
      </c>
      <c r="J100" s="28" t="n"/>
      <c r="K100" s="28" t="n"/>
    </row>
    <row r="101">
      <c r="A101" s="111" t="n"/>
      <c r="B101" s="27">
        <f>IF(A101="","",DATE(YEAR(A101),MONTH(A101),1))</f>
        <v/>
      </c>
      <c r="C101" s="28" t="n"/>
      <c r="D101" s="28" t="n"/>
      <c r="E101" s="28" t="n"/>
      <c r="F101" s="18" t="n"/>
      <c r="G101" s="7">
        <f>IFERROR(VLOOKUP(D101,'Catálogo de Serviços'!$A$5:$F$100,6,FALSE),0)</f>
        <v/>
      </c>
      <c r="H101" s="7">
        <f>IFERROR(E101*F101,0)</f>
        <v/>
      </c>
      <c r="I101" s="7">
        <f>IFERROR(F101-G101,0)</f>
        <v/>
      </c>
      <c r="J101" s="28" t="n"/>
      <c r="K101" s="28" t="n"/>
    </row>
    <row r="102">
      <c r="A102" s="111" t="n"/>
      <c r="B102" s="27">
        <f>IF(A102="","",DATE(YEAR(A102),MONTH(A102),1))</f>
        <v/>
      </c>
      <c r="C102" s="28" t="n"/>
      <c r="D102" s="28" t="n"/>
      <c r="E102" s="28" t="n"/>
      <c r="F102" s="18" t="n"/>
      <c r="G102" s="7">
        <f>IFERROR(VLOOKUP(D102,'Catálogo de Serviços'!$A$5:$F$100,6,FALSE),0)</f>
        <v/>
      </c>
      <c r="H102" s="7">
        <f>IFERROR(E102*F102,0)</f>
        <v/>
      </c>
      <c r="I102" s="7">
        <f>IFERROR(F102-G102,0)</f>
        <v/>
      </c>
      <c r="J102" s="28" t="n"/>
      <c r="K102" s="28" t="n"/>
    </row>
    <row r="103">
      <c r="A103" s="111" t="n"/>
      <c r="B103" s="27">
        <f>IF(A103="","",DATE(YEAR(A103),MONTH(A103),1))</f>
        <v/>
      </c>
      <c r="C103" s="28" t="n"/>
      <c r="D103" s="28" t="n"/>
      <c r="E103" s="28" t="n"/>
      <c r="F103" s="18" t="n"/>
      <c r="G103" s="7">
        <f>IFERROR(VLOOKUP(D103,'Catálogo de Serviços'!$A$5:$F$100,6,FALSE),0)</f>
        <v/>
      </c>
      <c r="H103" s="7">
        <f>IFERROR(E103*F103,0)</f>
        <v/>
      </c>
      <c r="I103" s="7">
        <f>IFERROR(F103-G103,0)</f>
        <v/>
      </c>
      <c r="J103" s="28" t="n"/>
      <c r="K103" s="28" t="n"/>
    </row>
    <row r="104">
      <c r="A104" s="111" t="n"/>
      <c r="B104" s="27">
        <f>IF(A104="","",DATE(YEAR(A104),MONTH(A104),1))</f>
        <v/>
      </c>
      <c r="C104" s="28" t="n"/>
      <c r="D104" s="28" t="n"/>
      <c r="E104" s="28" t="n"/>
      <c r="F104" s="18" t="n"/>
      <c r="G104" s="7">
        <f>IFERROR(VLOOKUP(D104,'Catálogo de Serviços'!$A$5:$F$100,6,FALSE),0)</f>
        <v/>
      </c>
      <c r="H104" s="7">
        <f>IFERROR(E104*F104,0)</f>
        <v/>
      </c>
      <c r="I104" s="7">
        <f>IFERROR(F104-G104,0)</f>
        <v/>
      </c>
      <c r="J104" s="28" t="n"/>
      <c r="K104" s="28" t="n"/>
    </row>
    <row r="105">
      <c r="A105" s="111" t="n"/>
      <c r="B105" s="27">
        <f>IF(A105="","",DATE(YEAR(A105),MONTH(A105),1))</f>
        <v/>
      </c>
      <c r="C105" s="28" t="n"/>
      <c r="D105" s="28" t="n"/>
      <c r="E105" s="28" t="n"/>
      <c r="F105" s="18" t="n"/>
      <c r="G105" s="7">
        <f>IFERROR(VLOOKUP(D105,'Catálogo de Serviços'!$A$5:$F$100,6,FALSE),0)</f>
        <v/>
      </c>
      <c r="H105" s="7">
        <f>IFERROR(E105*F105,0)</f>
        <v/>
      </c>
      <c r="I105" s="7">
        <f>IFERROR(F105-G105,0)</f>
        <v/>
      </c>
      <c r="J105" s="28" t="n"/>
      <c r="K105" s="28" t="n"/>
    </row>
    <row r="106">
      <c r="A106" s="111" t="n"/>
      <c r="B106" s="27">
        <f>IF(A106="","",DATE(YEAR(A106),MONTH(A106),1))</f>
        <v/>
      </c>
      <c r="C106" s="28" t="n"/>
      <c r="D106" s="28" t="n"/>
      <c r="E106" s="28" t="n"/>
      <c r="F106" s="18" t="n"/>
      <c r="G106" s="7">
        <f>IFERROR(VLOOKUP(D106,'Catálogo de Serviços'!$A$5:$F$100,6,FALSE),0)</f>
        <v/>
      </c>
      <c r="H106" s="7">
        <f>IFERROR(E106*F106,0)</f>
        <v/>
      </c>
      <c r="I106" s="7">
        <f>IFERROR(F106-G106,0)</f>
        <v/>
      </c>
      <c r="J106" s="28" t="n"/>
      <c r="K106" s="28" t="n"/>
    </row>
    <row r="107">
      <c r="A107" s="111" t="n"/>
      <c r="B107" s="27">
        <f>IF(A107="","",DATE(YEAR(A107),MONTH(A107),1))</f>
        <v/>
      </c>
      <c r="C107" s="28" t="n"/>
      <c r="D107" s="28" t="n"/>
      <c r="E107" s="28" t="n"/>
      <c r="F107" s="18" t="n"/>
      <c r="G107" s="7">
        <f>IFERROR(VLOOKUP(D107,'Catálogo de Serviços'!$A$5:$F$100,6,FALSE),0)</f>
        <v/>
      </c>
      <c r="H107" s="7">
        <f>IFERROR(E107*F107,0)</f>
        <v/>
      </c>
      <c r="I107" s="7">
        <f>IFERROR(F107-G107,0)</f>
        <v/>
      </c>
      <c r="J107" s="28" t="n"/>
      <c r="K107" s="28" t="n"/>
    </row>
    <row r="108">
      <c r="A108" s="111" t="n"/>
      <c r="B108" s="27">
        <f>IF(A108="","",DATE(YEAR(A108),MONTH(A108),1))</f>
        <v/>
      </c>
      <c r="C108" s="28" t="n"/>
      <c r="D108" s="28" t="n"/>
      <c r="E108" s="28" t="n"/>
      <c r="F108" s="18" t="n"/>
      <c r="G108" s="7">
        <f>IFERROR(VLOOKUP(D108,'Catálogo de Serviços'!$A$5:$F$100,6,FALSE),0)</f>
        <v/>
      </c>
      <c r="H108" s="7">
        <f>IFERROR(E108*F108,0)</f>
        <v/>
      </c>
      <c r="I108" s="7">
        <f>IFERROR(F108-G108,0)</f>
        <v/>
      </c>
      <c r="J108" s="28" t="n"/>
      <c r="K108" s="28" t="n"/>
    </row>
    <row r="109">
      <c r="A109" s="111" t="n"/>
      <c r="B109" s="27">
        <f>IF(A109="","",DATE(YEAR(A109),MONTH(A109),1))</f>
        <v/>
      </c>
      <c r="C109" s="28" t="n"/>
      <c r="D109" s="28" t="n"/>
      <c r="E109" s="28" t="n"/>
      <c r="F109" s="18" t="n"/>
      <c r="G109" s="7">
        <f>IFERROR(VLOOKUP(D109,'Catálogo de Serviços'!$A$5:$F$100,6,FALSE),0)</f>
        <v/>
      </c>
      <c r="H109" s="7">
        <f>IFERROR(E109*F109,0)</f>
        <v/>
      </c>
      <c r="I109" s="7">
        <f>IFERROR(F109-G109,0)</f>
        <v/>
      </c>
      <c r="J109" s="28" t="n"/>
      <c r="K109" s="28" t="n"/>
    </row>
    <row r="110">
      <c r="A110" s="111" t="n"/>
      <c r="B110" s="27">
        <f>IF(A110="","",DATE(YEAR(A110),MONTH(A110),1))</f>
        <v/>
      </c>
      <c r="C110" s="28" t="n"/>
      <c r="D110" s="28" t="n"/>
      <c r="E110" s="28" t="n"/>
      <c r="F110" s="18" t="n"/>
      <c r="G110" s="7">
        <f>IFERROR(VLOOKUP(D110,'Catálogo de Serviços'!$A$5:$F$100,6,FALSE),0)</f>
        <v/>
      </c>
      <c r="H110" s="7">
        <f>IFERROR(E110*F110,0)</f>
        <v/>
      </c>
      <c r="I110" s="7">
        <f>IFERROR(F110-G110,0)</f>
        <v/>
      </c>
      <c r="J110" s="28" t="n"/>
      <c r="K110" s="28" t="n"/>
    </row>
    <row r="111">
      <c r="A111" s="111" t="n"/>
      <c r="B111" s="27">
        <f>IF(A111="","",DATE(YEAR(A111),MONTH(A111),1))</f>
        <v/>
      </c>
      <c r="C111" s="28" t="n"/>
      <c r="D111" s="28" t="n"/>
      <c r="E111" s="28" t="n"/>
      <c r="F111" s="18" t="n"/>
      <c r="G111" s="7">
        <f>IFERROR(VLOOKUP(D111,'Catálogo de Serviços'!$A$5:$F$100,6,FALSE),0)</f>
        <v/>
      </c>
      <c r="H111" s="7">
        <f>IFERROR(E111*F111,0)</f>
        <v/>
      </c>
      <c r="I111" s="7">
        <f>IFERROR(F111-G111,0)</f>
        <v/>
      </c>
      <c r="J111" s="28" t="n"/>
      <c r="K111" s="28" t="n"/>
    </row>
    <row r="112">
      <c r="A112" s="111" t="n"/>
      <c r="B112" s="27">
        <f>IF(A112="","",DATE(YEAR(A112),MONTH(A112),1))</f>
        <v/>
      </c>
      <c r="C112" s="28" t="n"/>
      <c r="D112" s="28" t="n"/>
      <c r="E112" s="28" t="n"/>
      <c r="F112" s="18" t="n"/>
      <c r="G112" s="7">
        <f>IFERROR(VLOOKUP(D112,'Catálogo de Serviços'!$A$5:$F$100,6,FALSE),0)</f>
        <v/>
      </c>
      <c r="H112" s="7">
        <f>IFERROR(E112*F112,0)</f>
        <v/>
      </c>
      <c r="I112" s="7">
        <f>IFERROR(F112-G112,0)</f>
        <v/>
      </c>
      <c r="J112" s="28" t="n"/>
      <c r="K112" s="28" t="n"/>
    </row>
    <row r="113">
      <c r="A113" s="111" t="n"/>
      <c r="B113" s="27">
        <f>IF(A113="","",DATE(YEAR(A113),MONTH(A113),1))</f>
        <v/>
      </c>
      <c r="C113" s="28" t="n"/>
      <c r="D113" s="28" t="n"/>
      <c r="E113" s="28" t="n"/>
      <c r="F113" s="18" t="n"/>
      <c r="G113" s="7">
        <f>IFERROR(VLOOKUP(D113,'Catálogo de Serviços'!$A$5:$F$100,6,FALSE),0)</f>
        <v/>
      </c>
      <c r="H113" s="7">
        <f>IFERROR(E113*F113,0)</f>
        <v/>
      </c>
      <c r="I113" s="7">
        <f>IFERROR(F113-G113,0)</f>
        <v/>
      </c>
      <c r="J113" s="28" t="n"/>
      <c r="K113" s="28" t="n"/>
    </row>
    <row r="114">
      <c r="A114" s="111" t="n"/>
      <c r="B114" s="27">
        <f>IF(A114="","",DATE(YEAR(A114),MONTH(A114),1))</f>
        <v/>
      </c>
      <c r="C114" s="28" t="n"/>
      <c r="D114" s="28" t="n"/>
      <c r="E114" s="28" t="n"/>
      <c r="F114" s="18" t="n"/>
      <c r="G114" s="7">
        <f>IFERROR(VLOOKUP(D114,'Catálogo de Serviços'!$A$5:$F$100,6,FALSE),0)</f>
        <v/>
      </c>
      <c r="H114" s="7">
        <f>IFERROR(E114*F114,0)</f>
        <v/>
      </c>
      <c r="I114" s="7">
        <f>IFERROR(F114-G114,0)</f>
        <v/>
      </c>
      <c r="J114" s="28" t="n"/>
      <c r="K114" s="28" t="n"/>
    </row>
    <row r="115">
      <c r="A115" s="111" t="n"/>
      <c r="B115" s="27">
        <f>IF(A115="","",DATE(YEAR(A115),MONTH(A115),1))</f>
        <v/>
      </c>
      <c r="C115" s="28" t="n"/>
      <c r="D115" s="28" t="n"/>
      <c r="E115" s="28" t="n"/>
      <c r="F115" s="18" t="n"/>
      <c r="G115" s="7">
        <f>IFERROR(VLOOKUP(D115,'Catálogo de Serviços'!$A$5:$F$100,6,FALSE),0)</f>
        <v/>
      </c>
      <c r="H115" s="7">
        <f>IFERROR(E115*F115,0)</f>
        <v/>
      </c>
      <c r="I115" s="7">
        <f>IFERROR(F115-G115,0)</f>
        <v/>
      </c>
      <c r="J115" s="28" t="n"/>
      <c r="K115" s="28" t="n"/>
    </row>
    <row r="116">
      <c r="A116" s="111" t="n"/>
      <c r="B116" s="27">
        <f>IF(A116="","",DATE(YEAR(A116),MONTH(A116),1))</f>
        <v/>
      </c>
      <c r="C116" s="28" t="n"/>
      <c r="D116" s="28" t="n"/>
      <c r="E116" s="28" t="n"/>
      <c r="F116" s="18" t="n"/>
      <c r="G116" s="7">
        <f>IFERROR(VLOOKUP(D116,'Catálogo de Serviços'!$A$5:$F$100,6,FALSE),0)</f>
        <v/>
      </c>
      <c r="H116" s="7">
        <f>IFERROR(E116*F116,0)</f>
        <v/>
      </c>
      <c r="I116" s="7">
        <f>IFERROR(F116-G116,0)</f>
        <v/>
      </c>
      <c r="J116" s="28" t="n"/>
      <c r="K116" s="28" t="n"/>
    </row>
    <row r="117">
      <c r="A117" s="111" t="n"/>
      <c r="B117" s="27">
        <f>IF(A117="","",DATE(YEAR(A117),MONTH(A117),1))</f>
        <v/>
      </c>
      <c r="C117" s="28" t="n"/>
      <c r="D117" s="28" t="n"/>
      <c r="E117" s="28" t="n"/>
      <c r="F117" s="18" t="n"/>
      <c r="G117" s="7">
        <f>IFERROR(VLOOKUP(D117,'Catálogo de Serviços'!$A$5:$F$100,6,FALSE),0)</f>
        <v/>
      </c>
      <c r="H117" s="7">
        <f>IFERROR(E117*F117,0)</f>
        <v/>
      </c>
      <c r="I117" s="7">
        <f>IFERROR(F117-G117,0)</f>
        <v/>
      </c>
      <c r="J117" s="28" t="n"/>
      <c r="K117" s="28" t="n"/>
    </row>
    <row r="118">
      <c r="A118" s="111" t="n"/>
      <c r="B118" s="27">
        <f>IF(A118="","",DATE(YEAR(A118),MONTH(A118),1))</f>
        <v/>
      </c>
      <c r="C118" s="28" t="n"/>
      <c r="D118" s="28" t="n"/>
      <c r="E118" s="28" t="n"/>
      <c r="F118" s="18" t="n"/>
      <c r="G118" s="7">
        <f>IFERROR(VLOOKUP(D118,'Catálogo de Serviços'!$A$5:$F$100,6,FALSE),0)</f>
        <v/>
      </c>
      <c r="H118" s="7">
        <f>IFERROR(E118*F118,0)</f>
        <v/>
      </c>
      <c r="I118" s="7">
        <f>IFERROR(F118-G118,0)</f>
        <v/>
      </c>
      <c r="J118" s="28" t="n"/>
      <c r="K118" s="28" t="n"/>
    </row>
    <row r="119">
      <c r="A119" s="111" t="n"/>
      <c r="B119" s="27">
        <f>IF(A119="","",DATE(YEAR(A119),MONTH(A119),1))</f>
        <v/>
      </c>
      <c r="C119" s="28" t="n"/>
      <c r="D119" s="28" t="n"/>
      <c r="E119" s="28" t="n"/>
      <c r="F119" s="18" t="n"/>
      <c r="G119" s="7">
        <f>IFERROR(VLOOKUP(D119,'Catálogo de Serviços'!$A$5:$F$100,6,FALSE),0)</f>
        <v/>
      </c>
      <c r="H119" s="7">
        <f>IFERROR(E119*F119,0)</f>
        <v/>
      </c>
      <c r="I119" s="7">
        <f>IFERROR(F119-G119,0)</f>
        <v/>
      </c>
      <c r="J119" s="28" t="n"/>
      <c r="K119" s="28" t="n"/>
    </row>
    <row r="120">
      <c r="A120" s="111" t="n"/>
      <c r="B120" s="27">
        <f>IF(A120="","",DATE(YEAR(A120),MONTH(A120),1))</f>
        <v/>
      </c>
      <c r="C120" s="28" t="n"/>
      <c r="D120" s="28" t="n"/>
      <c r="E120" s="28" t="n"/>
      <c r="F120" s="18" t="n"/>
      <c r="G120" s="7">
        <f>IFERROR(VLOOKUP(D120,'Catálogo de Serviços'!$A$5:$F$100,6,FALSE),0)</f>
        <v/>
      </c>
      <c r="H120" s="7">
        <f>IFERROR(E120*F120,0)</f>
        <v/>
      </c>
      <c r="I120" s="7">
        <f>IFERROR(F120-G120,0)</f>
        <v/>
      </c>
      <c r="J120" s="28" t="n"/>
      <c r="K120" s="28" t="n"/>
    </row>
    <row r="121">
      <c r="A121" s="111" t="n"/>
      <c r="B121" s="27">
        <f>IF(A121="","",DATE(YEAR(A121),MONTH(A121),1))</f>
        <v/>
      </c>
      <c r="C121" s="28" t="n"/>
      <c r="D121" s="28" t="n"/>
      <c r="E121" s="28" t="n"/>
      <c r="F121" s="18" t="n"/>
      <c r="G121" s="7">
        <f>IFERROR(VLOOKUP(D121,'Catálogo de Serviços'!$A$5:$F$100,6,FALSE),0)</f>
        <v/>
      </c>
      <c r="H121" s="7">
        <f>IFERROR(E121*F121,0)</f>
        <v/>
      </c>
      <c r="I121" s="7">
        <f>IFERROR(F121-G121,0)</f>
        <v/>
      </c>
      <c r="J121" s="28" t="n"/>
      <c r="K121" s="28" t="n"/>
    </row>
    <row r="122">
      <c r="A122" s="111" t="n"/>
      <c r="B122" s="27">
        <f>IF(A122="","",DATE(YEAR(A122),MONTH(A122),1))</f>
        <v/>
      </c>
      <c r="C122" s="28" t="n"/>
      <c r="D122" s="28" t="n"/>
      <c r="E122" s="28" t="n"/>
      <c r="F122" s="18" t="n"/>
      <c r="G122" s="7">
        <f>IFERROR(VLOOKUP(D122,'Catálogo de Serviços'!$A$5:$F$100,6,FALSE),0)</f>
        <v/>
      </c>
      <c r="H122" s="7">
        <f>IFERROR(E122*F122,0)</f>
        <v/>
      </c>
      <c r="I122" s="7">
        <f>IFERROR(F122-G122,0)</f>
        <v/>
      </c>
      <c r="J122" s="28" t="n"/>
      <c r="K122" s="28" t="n"/>
    </row>
    <row r="123">
      <c r="A123" s="111" t="n"/>
      <c r="B123" s="27">
        <f>IF(A123="","",DATE(YEAR(A123),MONTH(A123),1))</f>
        <v/>
      </c>
      <c r="C123" s="28" t="n"/>
      <c r="D123" s="28" t="n"/>
      <c r="E123" s="28" t="n"/>
      <c r="F123" s="18" t="n"/>
      <c r="G123" s="7">
        <f>IFERROR(VLOOKUP(D123,'Catálogo de Serviços'!$A$5:$F$100,6,FALSE),0)</f>
        <v/>
      </c>
      <c r="H123" s="7">
        <f>IFERROR(E123*F123,0)</f>
        <v/>
      </c>
      <c r="I123" s="7">
        <f>IFERROR(F123-G123,0)</f>
        <v/>
      </c>
      <c r="J123" s="28" t="n"/>
      <c r="K123" s="28" t="n"/>
    </row>
    <row r="124">
      <c r="A124" s="111" t="n"/>
      <c r="B124" s="27">
        <f>IF(A124="","",DATE(YEAR(A124),MONTH(A124),1))</f>
        <v/>
      </c>
      <c r="C124" s="28" t="n"/>
      <c r="D124" s="28" t="n"/>
      <c r="E124" s="28" t="n"/>
      <c r="F124" s="18" t="n"/>
      <c r="G124" s="7">
        <f>IFERROR(VLOOKUP(D124,'Catálogo de Serviços'!$A$5:$F$100,6,FALSE),0)</f>
        <v/>
      </c>
      <c r="H124" s="7">
        <f>IFERROR(E124*F124,0)</f>
        <v/>
      </c>
      <c r="I124" s="7">
        <f>IFERROR(F124-G124,0)</f>
        <v/>
      </c>
      <c r="J124" s="28" t="n"/>
      <c r="K124" s="28" t="n"/>
    </row>
    <row r="125">
      <c r="A125" s="111" t="n"/>
      <c r="B125" s="27">
        <f>IF(A125="","",DATE(YEAR(A125),MONTH(A125),1))</f>
        <v/>
      </c>
      <c r="C125" s="28" t="n"/>
      <c r="D125" s="28" t="n"/>
      <c r="E125" s="28" t="n"/>
      <c r="F125" s="18" t="n"/>
      <c r="G125" s="7">
        <f>IFERROR(VLOOKUP(D125,'Catálogo de Serviços'!$A$5:$F$100,6,FALSE),0)</f>
        <v/>
      </c>
      <c r="H125" s="7">
        <f>IFERROR(E125*F125,0)</f>
        <v/>
      </c>
      <c r="I125" s="7">
        <f>IFERROR(F125-G125,0)</f>
        <v/>
      </c>
      <c r="J125" s="28" t="n"/>
      <c r="K125" s="28" t="n"/>
    </row>
    <row r="126">
      <c r="A126" s="111" t="n"/>
      <c r="B126" s="27">
        <f>IF(A126="","",DATE(YEAR(A126),MONTH(A126),1))</f>
        <v/>
      </c>
      <c r="C126" s="28" t="n"/>
      <c r="D126" s="28" t="n"/>
      <c r="E126" s="28" t="n"/>
      <c r="F126" s="18" t="n"/>
      <c r="G126" s="7">
        <f>IFERROR(VLOOKUP(D126,'Catálogo de Serviços'!$A$5:$F$100,6,FALSE),0)</f>
        <v/>
      </c>
      <c r="H126" s="7">
        <f>IFERROR(E126*F126,0)</f>
        <v/>
      </c>
      <c r="I126" s="7">
        <f>IFERROR(F126-G126,0)</f>
        <v/>
      </c>
      <c r="J126" s="28" t="n"/>
      <c r="K126" s="28" t="n"/>
    </row>
    <row r="127">
      <c r="A127" s="111" t="n"/>
      <c r="B127" s="27">
        <f>IF(A127="","",DATE(YEAR(A127),MONTH(A127),1))</f>
        <v/>
      </c>
      <c r="C127" s="28" t="n"/>
      <c r="D127" s="28" t="n"/>
      <c r="E127" s="28" t="n"/>
      <c r="F127" s="18" t="n"/>
      <c r="G127" s="7">
        <f>IFERROR(VLOOKUP(D127,'Catálogo de Serviços'!$A$5:$F$100,6,FALSE),0)</f>
        <v/>
      </c>
      <c r="H127" s="7">
        <f>IFERROR(E127*F127,0)</f>
        <v/>
      </c>
      <c r="I127" s="7">
        <f>IFERROR(F127-G127,0)</f>
        <v/>
      </c>
      <c r="J127" s="28" t="n"/>
      <c r="K127" s="28" t="n"/>
    </row>
    <row r="128">
      <c r="A128" s="111" t="n"/>
      <c r="B128" s="27">
        <f>IF(A128="","",DATE(YEAR(A128),MONTH(A128),1))</f>
        <v/>
      </c>
      <c r="C128" s="28" t="n"/>
      <c r="D128" s="28" t="n"/>
      <c r="E128" s="28" t="n"/>
      <c r="F128" s="18" t="n"/>
      <c r="G128" s="7">
        <f>IFERROR(VLOOKUP(D128,'Catálogo de Serviços'!$A$5:$F$100,6,FALSE),0)</f>
        <v/>
      </c>
      <c r="H128" s="7">
        <f>IFERROR(E128*F128,0)</f>
        <v/>
      </c>
      <c r="I128" s="7">
        <f>IFERROR(F128-G128,0)</f>
        <v/>
      </c>
      <c r="J128" s="28" t="n"/>
      <c r="K128" s="28" t="n"/>
    </row>
    <row r="129">
      <c r="A129" s="111" t="n"/>
      <c r="B129" s="27">
        <f>IF(A129="","",DATE(YEAR(A129),MONTH(A129),1))</f>
        <v/>
      </c>
      <c r="C129" s="28" t="n"/>
      <c r="D129" s="28" t="n"/>
      <c r="E129" s="28" t="n"/>
      <c r="F129" s="18" t="n"/>
      <c r="G129" s="7">
        <f>IFERROR(VLOOKUP(D129,'Catálogo de Serviços'!$A$5:$F$100,6,FALSE),0)</f>
        <v/>
      </c>
      <c r="H129" s="7">
        <f>IFERROR(E129*F129,0)</f>
        <v/>
      </c>
      <c r="I129" s="7">
        <f>IFERROR(F129-G129,0)</f>
        <v/>
      </c>
      <c r="J129" s="28" t="n"/>
      <c r="K129" s="28" t="n"/>
    </row>
    <row r="130">
      <c r="A130" s="111" t="n"/>
      <c r="B130" s="27">
        <f>IF(A130="","",DATE(YEAR(A130),MONTH(A130),1))</f>
        <v/>
      </c>
      <c r="C130" s="28" t="n"/>
      <c r="D130" s="28" t="n"/>
      <c r="E130" s="28" t="n"/>
      <c r="F130" s="18" t="n"/>
      <c r="G130" s="7">
        <f>IFERROR(VLOOKUP(D130,'Catálogo de Serviços'!$A$5:$F$100,6,FALSE),0)</f>
        <v/>
      </c>
      <c r="H130" s="7">
        <f>IFERROR(E130*F130,0)</f>
        <v/>
      </c>
      <c r="I130" s="7">
        <f>IFERROR(F130-G130,0)</f>
        <v/>
      </c>
      <c r="J130" s="28" t="n"/>
      <c r="K130" s="28" t="n"/>
    </row>
    <row r="131">
      <c r="A131" s="111" t="n"/>
      <c r="B131" s="27">
        <f>IF(A131="","",DATE(YEAR(A131),MONTH(A131),1))</f>
        <v/>
      </c>
      <c r="C131" s="28" t="n"/>
      <c r="D131" s="28" t="n"/>
      <c r="E131" s="28" t="n"/>
      <c r="F131" s="18" t="n"/>
      <c r="G131" s="7">
        <f>IFERROR(VLOOKUP(D131,'Catálogo de Serviços'!$A$5:$F$100,6,FALSE),0)</f>
        <v/>
      </c>
      <c r="H131" s="7">
        <f>IFERROR(E131*F131,0)</f>
        <v/>
      </c>
      <c r="I131" s="7">
        <f>IFERROR(F131-G131,0)</f>
        <v/>
      </c>
      <c r="J131" s="28" t="n"/>
      <c r="K131" s="28" t="n"/>
    </row>
    <row r="132">
      <c r="A132" s="111" t="n"/>
      <c r="B132" s="27">
        <f>IF(A132="","",DATE(YEAR(A132),MONTH(A132),1))</f>
        <v/>
      </c>
      <c r="C132" s="28" t="n"/>
      <c r="D132" s="28" t="n"/>
      <c r="E132" s="28" t="n"/>
      <c r="F132" s="18" t="n"/>
      <c r="G132" s="7">
        <f>IFERROR(VLOOKUP(D132,'Catálogo de Serviços'!$A$5:$F$100,6,FALSE),0)</f>
        <v/>
      </c>
      <c r="H132" s="7">
        <f>IFERROR(E132*F132,0)</f>
        <v/>
      </c>
      <c r="I132" s="7">
        <f>IFERROR(F132-G132,0)</f>
        <v/>
      </c>
      <c r="J132" s="28" t="n"/>
      <c r="K132" s="28" t="n"/>
    </row>
    <row r="133">
      <c r="A133" s="111" t="n"/>
      <c r="B133" s="27">
        <f>IF(A133="","",DATE(YEAR(A133),MONTH(A133),1))</f>
        <v/>
      </c>
      <c r="C133" s="28" t="n"/>
      <c r="D133" s="28" t="n"/>
      <c r="E133" s="28" t="n"/>
      <c r="F133" s="18" t="n"/>
      <c r="G133" s="7">
        <f>IFERROR(VLOOKUP(D133,'Catálogo de Serviços'!$A$5:$F$100,6,FALSE),0)</f>
        <v/>
      </c>
      <c r="H133" s="7">
        <f>IFERROR(E133*F133,0)</f>
        <v/>
      </c>
      <c r="I133" s="7">
        <f>IFERROR(F133-G133,0)</f>
        <v/>
      </c>
      <c r="J133" s="28" t="n"/>
      <c r="K133" s="28" t="n"/>
    </row>
    <row r="134">
      <c r="A134" s="111" t="n"/>
      <c r="B134" s="27">
        <f>IF(A134="","",DATE(YEAR(A134),MONTH(A134),1))</f>
        <v/>
      </c>
      <c r="C134" s="28" t="n"/>
      <c r="D134" s="28" t="n"/>
      <c r="E134" s="28" t="n"/>
      <c r="F134" s="18" t="n"/>
      <c r="G134" s="7">
        <f>IFERROR(VLOOKUP(D134,'Catálogo de Serviços'!$A$5:$F$100,6,FALSE),0)</f>
        <v/>
      </c>
      <c r="H134" s="7">
        <f>IFERROR(E134*F134,0)</f>
        <v/>
      </c>
      <c r="I134" s="7">
        <f>IFERROR(F134-G134,0)</f>
        <v/>
      </c>
      <c r="J134" s="28" t="n"/>
      <c r="K134" s="28" t="n"/>
    </row>
    <row r="135">
      <c r="A135" s="111" t="n"/>
      <c r="B135" s="27">
        <f>IF(A135="","",DATE(YEAR(A135),MONTH(A135),1))</f>
        <v/>
      </c>
      <c r="C135" s="28" t="n"/>
      <c r="D135" s="28" t="n"/>
      <c r="E135" s="28" t="n"/>
      <c r="F135" s="18" t="n"/>
      <c r="G135" s="7">
        <f>IFERROR(VLOOKUP(D135,'Catálogo de Serviços'!$A$5:$F$100,6,FALSE),0)</f>
        <v/>
      </c>
      <c r="H135" s="7">
        <f>IFERROR(E135*F135,0)</f>
        <v/>
      </c>
      <c r="I135" s="7">
        <f>IFERROR(F135-G135,0)</f>
        <v/>
      </c>
      <c r="J135" s="28" t="n"/>
      <c r="K135" s="28" t="n"/>
    </row>
    <row r="136">
      <c r="A136" s="111" t="n"/>
      <c r="B136" s="27">
        <f>IF(A136="","",DATE(YEAR(A136),MONTH(A136),1))</f>
        <v/>
      </c>
      <c r="C136" s="28" t="n"/>
      <c r="D136" s="28" t="n"/>
      <c r="E136" s="28" t="n"/>
      <c r="F136" s="18" t="n"/>
      <c r="G136" s="7">
        <f>IFERROR(VLOOKUP(D136,'Catálogo de Serviços'!$A$5:$F$100,6,FALSE),0)</f>
        <v/>
      </c>
      <c r="H136" s="7">
        <f>IFERROR(E136*F136,0)</f>
        <v/>
      </c>
      <c r="I136" s="7">
        <f>IFERROR(F136-G136,0)</f>
        <v/>
      </c>
      <c r="J136" s="28" t="n"/>
      <c r="K136" s="28" t="n"/>
    </row>
    <row r="137">
      <c r="A137" s="111" t="n"/>
      <c r="B137" s="27">
        <f>IF(A137="","",DATE(YEAR(A137),MONTH(A137),1))</f>
        <v/>
      </c>
      <c r="C137" s="28" t="n"/>
      <c r="D137" s="28" t="n"/>
      <c r="E137" s="28" t="n"/>
      <c r="F137" s="18" t="n"/>
      <c r="G137" s="7">
        <f>IFERROR(VLOOKUP(D137,'Catálogo de Serviços'!$A$5:$F$100,6,FALSE),0)</f>
        <v/>
      </c>
      <c r="H137" s="7">
        <f>IFERROR(E137*F137,0)</f>
        <v/>
      </c>
      <c r="I137" s="7">
        <f>IFERROR(F137-G137,0)</f>
        <v/>
      </c>
      <c r="J137" s="28" t="n"/>
      <c r="K137" s="28" t="n"/>
    </row>
    <row r="138">
      <c r="A138" s="111" t="n"/>
      <c r="B138" s="27">
        <f>IF(A138="","",DATE(YEAR(A138),MONTH(A138),1))</f>
        <v/>
      </c>
      <c r="C138" s="28" t="n"/>
      <c r="D138" s="28" t="n"/>
      <c r="E138" s="28" t="n"/>
      <c r="F138" s="18" t="n"/>
      <c r="G138" s="7">
        <f>IFERROR(VLOOKUP(D138,'Catálogo de Serviços'!$A$5:$F$100,6,FALSE),0)</f>
        <v/>
      </c>
      <c r="H138" s="7">
        <f>IFERROR(E138*F138,0)</f>
        <v/>
      </c>
      <c r="I138" s="7">
        <f>IFERROR(F138-G138,0)</f>
        <v/>
      </c>
      <c r="J138" s="28" t="n"/>
      <c r="K138" s="28" t="n"/>
    </row>
    <row r="139">
      <c r="A139" s="111" t="n"/>
      <c r="B139" s="27">
        <f>IF(A139="","",DATE(YEAR(A139),MONTH(A139),1))</f>
        <v/>
      </c>
      <c r="C139" s="28" t="n"/>
      <c r="D139" s="28" t="n"/>
      <c r="E139" s="28" t="n"/>
      <c r="F139" s="18" t="n"/>
      <c r="G139" s="7">
        <f>IFERROR(VLOOKUP(D139,'Catálogo de Serviços'!$A$5:$F$100,6,FALSE),0)</f>
        <v/>
      </c>
      <c r="H139" s="7">
        <f>IFERROR(E139*F139,0)</f>
        <v/>
      </c>
      <c r="I139" s="7">
        <f>IFERROR(F139-G139,0)</f>
        <v/>
      </c>
      <c r="J139" s="28" t="n"/>
      <c r="K139" s="28" t="n"/>
    </row>
    <row r="140">
      <c r="A140" s="111" t="n"/>
      <c r="B140" s="27">
        <f>IF(A140="","",DATE(YEAR(A140),MONTH(A140),1))</f>
        <v/>
      </c>
      <c r="C140" s="28" t="n"/>
      <c r="D140" s="28" t="n"/>
      <c r="E140" s="28" t="n"/>
      <c r="F140" s="18" t="n"/>
      <c r="G140" s="7">
        <f>IFERROR(VLOOKUP(D140,'Catálogo de Serviços'!$A$5:$F$100,6,FALSE),0)</f>
        <v/>
      </c>
      <c r="H140" s="7">
        <f>IFERROR(E140*F140,0)</f>
        <v/>
      </c>
      <c r="I140" s="7">
        <f>IFERROR(F140-G140,0)</f>
        <v/>
      </c>
      <c r="J140" s="28" t="n"/>
      <c r="K140" s="28" t="n"/>
    </row>
    <row r="141">
      <c r="A141" s="111" t="n"/>
      <c r="B141" s="27">
        <f>IF(A141="","",DATE(YEAR(A141),MONTH(A141),1))</f>
        <v/>
      </c>
      <c r="C141" s="28" t="n"/>
      <c r="D141" s="28" t="n"/>
      <c r="E141" s="28" t="n"/>
      <c r="F141" s="18" t="n"/>
      <c r="G141" s="7">
        <f>IFERROR(VLOOKUP(D141,'Catálogo de Serviços'!$A$5:$F$100,6,FALSE),0)</f>
        <v/>
      </c>
      <c r="H141" s="7">
        <f>IFERROR(E141*F141,0)</f>
        <v/>
      </c>
      <c r="I141" s="7">
        <f>IFERROR(F141-G141,0)</f>
        <v/>
      </c>
      <c r="J141" s="28" t="n"/>
      <c r="K141" s="28" t="n"/>
    </row>
    <row r="142">
      <c r="A142" s="111" t="n"/>
      <c r="B142" s="27">
        <f>IF(A142="","",DATE(YEAR(A142),MONTH(A142),1))</f>
        <v/>
      </c>
      <c r="C142" s="28" t="n"/>
      <c r="D142" s="28" t="n"/>
      <c r="E142" s="28" t="n"/>
      <c r="F142" s="18" t="n"/>
      <c r="G142" s="7">
        <f>IFERROR(VLOOKUP(D142,'Catálogo de Serviços'!$A$5:$F$100,6,FALSE),0)</f>
        <v/>
      </c>
      <c r="H142" s="7">
        <f>IFERROR(E142*F142,0)</f>
        <v/>
      </c>
      <c r="I142" s="7">
        <f>IFERROR(F142-G142,0)</f>
        <v/>
      </c>
      <c r="J142" s="28" t="n"/>
      <c r="K142" s="28" t="n"/>
    </row>
    <row r="143">
      <c r="A143" s="111" t="n"/>
      <c r="B143" s="27">
        <f>IF(A143="","",DATE(YEAR(A143),MONTH(A143),1))</f>
        <v/>
      </c>
      <c r="C143" s="28" t="n"/>
      <c r="D143" s="28" t="n"/>
      <c r="E143" s="28" t="n"/>
      <c r="F143" s="18" t="n"/>
      <c r="G143" s="7">
        <f>IFERROR(VLOOKUP(D143,'Catálogo de Serviços'!$A$5:$F$100,6,FALSE),0)</f>
        <v/>
      </c>
      <c r="H143" s="7">
        <f>IFERROR(E143*F143,0)</f>
        <v/>
      </c>
      <c r="I143" s="7">
        <f>IFERROR(F143-G143,0)</f>
        <v/>
      </c>
      <c r="J143" s="28" t="n"/>
      <c r="K143" s="28" t="n"/>
    </row>
    <row r="144">
      <c r="A144" s="111" t="n"/>
      <c r="B144" s="27">
        <f>IF(A144="","",DATE(YEAR(A144),MONTH(A144),1))</f>
        <v/>
      </c>
      <c r="C144" s="28" t="n"/>
      <c r="D144" s="28" t="n"/>
      <c r="E144" s="28" t="n"/>
      <c r="F144" s="18" t="n"/>
      <c r="G144" s="7">
        <f>IFERROR(VLOOKUP(D144,'Catálogo de Serviços'!$A$5:$F$100,6,FALSE),0)</f>
        <v/>
      </c>
      <c r="H144" s="7">
        <f>IFERROR(E144*F144,0)</f>
        <v/>
      </c>
      <c r="I144" s="7">
        <f>IFERROR(F144-G144,0)</f>
        <v/>
      </c>
      <c r="J144" s="28" t="n"/>
      <c r="K144" s="28" t="n"/>
    </row>
    <row r="145">
      <c r="A145" s="111" t="n"/>
      <c r="B145" s="27">
        <f>IF(A145="","",DATE(YEAR(A145),MONTH(A145),1))</f>
        <v/>
      </c>
      <c r="C145" s="28" t="n"/>
      <c r="D145" s="28" t="n"/>
      <c r="E145" s="28" t="n"/>
      <c r="F145" s="18" t="n"/>
      <c r="G145" s="7">
        <f>IFERROR(VLOOKUP(D145,'Catálogo de Serviços'!$A$5:$F$100,6,FALSE),0)</f>
        <v/>
      </c>
      <c r="H145" s="7">
        <f>IFERROR(E145*F145,0)</f>
        <v/>
      </c>
      <c r="I145" s="7">
        <f>IFERROR(F145-G145,0)</f>
        <v/>
      </c>
      <c r="J145" s="28" t="n"/>
      <c r="K145" s="28" t="n"/>
    </row>
    <row r="146">
      <c r="A146" s="111" t="n"/>
      <c r="B146" s="27">
        <f>IF(A146="","",DATE(YEAR(A146),MONTH(A146),1))</f>
        <v/>
      </c>
      <c r="C146" s="28" t="n"/>
      <c r="D146" s="28" t="n"/>
      <c r="E146" s="28" t="n"/>
      <c r="F146" s="18" t="n"/>
      <c r="G146" s="7">
        <f>IFERROR(VLOOKUP(D146,'Catálogo de Serviços'!$A$5:$F$100,6,FALSE),0)</f>
        <v/>
      </c>
      <c r="H146" s="7">
        <f>IFERROR(E146*F146,0)</f>
        <v/>
      </c>
      <c r="I146" s="7">
        <f>IFERROR(F146-G146,0)</f>
        <v/>
      </c>
      <c r="J146" s="28" t="n"/>
      <c r="K146" s="28" t="n"/>
    </row>
    <row r="147">
      <c r="A147" s="111" t="n"/>
      <c r="B147" s="27">
        <f>IF(A147="","",DATE(YEAR(A147),MONTH(A147),1))</f>
        <v/>
      </c>
      <c r="C147" s="28" t="n"/>
      <c r="D147" s="28" t="n"/>
      <c r="E147" s="28" t="n"/>
      <c r="F147" s="18" t="n"/>
      <c r="G147" s="7">
        <f>IFERROR(VLOOKUP(D147,'Catálogo de Serviços'!$A$5:$F$100,6,FALSE),0)</f>
        <v/>
      </c>
      <c r="H147" s="7">
        <f>IFERROR(E147*F147,0)</f>
        <v/>
      </c>
      <c r="I147" s="7">
        <f>IFERROR(F147-G147,0)</f>
        <v/>
      </c>
      <c r="J147" s="28" t="n"/>
      <c r="K147" s="28" t="n"/>
    </row>
    <row r="148">
      <c r="A148" s="111" t="n"/>
      <c r="B148" s="27">
        <f>IF(A148="","",DATE(YEAR(A148),MONTH(A148),1))</f>
        <v/>
      </c>
      <c r="C148" s="28" t="n"/>
      <c r="D148" s="28" t="n"/>
      <c r="E148" s="28" t="n"/>
      <c r="F148" s="18" t="n"/>
      <c r="G148" s="7">
        <f>IFERROR(VLOOKUP(D148,'Catálogo de Serviços'!$A$5:$F$100,6,FALSE),0)</f>
        <v/>
      </c>
      <c r="H148" s="7">
        <f>IFERROR(E148*F148,0)</f>
        <v/>
      </c>
      <c r="I148" s="7">
        <f>IFERROR(F148-G148,0)</f>
        <v/>
      </c>
      <c r="J148" s="28" t="n"/>
      <c r="K148" s="28" t="n"/>
    </row>
    <row r="149">
      <c r="A149" s="111" t="n"/>
      <c r="B149" s="27">
        <f>IF(A149="","",DATE(YEAR(A149),MONTH(A149),1))</f>
        <v/>
      </c>
      <c r="C149" s="28" t="n"/>
      <c r="D149" s="28" t="n"/>
      <c r="E149" s="28" t="n"/>
      <c r="F149" s="18" t="n"/>
      <c r="G149" s="7">
        <f>IFERROR(VLOOKUP(D149,'Catálogo de Serviços'!$A$5:$F$100,6,FALSE),0)</f>
        <v/>
      </c>
      <c r="H149" s="7">
        <f>IFERROR(E149*F149,0)</f>
        <v/>
      </c>
      <c r="I149" s="7">
        <f>IFERROR(F149-G149,0)</f>
        <v/>
      </c>
      <c r="J149" s="28" t="n"/>
      <c r="K149" s="28" t="n"/>
    </row>
    <row r="150">
      <c r="A150" s="111" t="n"/>
      <c r="B150" s="27">
        <f>IF(A150="","",DATE(YEAR(A150),MONTH(A150),1))</f>
        <v/>
      </c>
      <c r="C150" s="28" t="n"/>
      <c r="D150" s="28" t="n"/>
      <c r="E150" s="28" t="n"/>
      <c r="F150" s="18" t="n"/>
      <c r="G150" s="7">
        <f>IFERROR(VLOOKUP(D150,'Catálogo de Serviços'!$A$5:$F$100,6,FALSE),0)</f>
        <v/>
      </c>
      <c r="H150" s="7">
        <f>IFERROR(E150*F150,0)</f>
        <v/>
      </c>
      <c r="I150" s="7">
        <f>IFERROR(F150-G150,0)</f>
        <v/>
      </c>
      <c r="J150" s="28" t="n"/>
      <c r="K150" s="28" t="n"/>
    </row>
    <row r="151">
      <c r="A151" s="111" t="n"/>
      <c r="B151" s="27">
        <f>IF(A151="","",DATE(YEAR(A151),MONTH(A151),1))</f>
        <v/>
      </c>
      <c r="C151" s="28" t="n"/>
      <c r="D151" s="28" t="n"/>
      <c r="E151" s="28" t="n"/>
      <c r="F151" s="18" t="n"/>
      <c r="G151" s="7">
        <f>IFERROR(VLOOKUP(D151,'Catálogo de Serviços'!$A$5:$F$100,6,FALSE),0)</f>
        <v/>
      </c>
      <c r="H151" s="7">
        <f>IFERROR(E151*F151,0)</f>
        <v/>
      </c>
      <c r="I151" s="7">
        <f>IFERROR(F151-G151,0)</f>
        <v/>
      </c>
      <c r="J151" s="28" t="n"/>
      <c r="K151" s="28" t="n"/>
    </row>
    <row r="152">
      <c r="A152" s="111" t="n"/>
      <c r="B152" s="27">
        <f>IF(A152="","",DATE(YEAR(A152),MONTH(A152),1))</f>
        <v/>
      </c>
      <c r="C152" s="28" t="n"/>
      <c r="D152" s="28" t="n"/>
      <c r="E152" s="28" t="n"/>
      <c r="F152" s="18" t="n"/>
      <c r="G152" s="7">
        <f>IFERROR(VLOOKUP(D152,'Catálogo de Serviços'!$A$5:$F$100,6,FALSE),0)</f>
        <v/>
      </c>
      <c r="H152" s="7">
        <f>IFERROR(E152*F152,0)</f>
        <v/>
      </c>
      <c r="I152" s="7">
        <f>IFERROR(F152-G152,0)</f>
        <v/>
      </c>
      <c r="J152" s="28" t="n"/>
      <c r="K152" s="28" t="n"/>
    </row>
    <row r="153">
      <c r="A153" s="111" t="n"/>
      <c r="B153" s="27">
        <f>IF(A153="","",DATE(YEAR(A153),MONTH(A153),1))</f>
        <v/>
      </c>
      <c r="C153" s="28" t="n"/>
      <c r="D153" s="28" t="n"/>
      <c r="E153" s="28" t="n"/>
      <c r="F153" s="18" t="n"/>
      <c r="G153" s="7">
        <f>IFERROR(VLOOKUP(D153,'Catálogo de Serviços'!$A$5:$F$100,6,FALSE),0)</f>
        <v/>
      </c>
      <c r="H153" s="7">
        <f>IFERROR(E153*F153,0)</f>
        <v/>
      </c>
      <c r="I153" s="7">
        <f>IFERROR(F153-G153,0)</f>
        <v/>
      </c>
      <c r="J153" s="28" t="n"/>
      <c r="K153" s="28" t="n"/>
    </row>
    <row r="154">
      <c r="A154" s="111" t="n"/>
      <c r="B154" s="27">
        <f>IF(A154="","",DATE(YEAR(A154),MONTH(A154),1))</f>
        <v/>
      </c>
      <c r="C154" s="28" t="n"/>
      <c r="D154" s="28" t="n"/>
      <c r="E154" s="28" t="n"/>
      <c r="F154" s="18" t="n"/>
      <c r="G154" s="7">
        <f>IFERROR(VLOOKUP(D154,'Catálogo de Serviços'!$A$5:$F$100,6,FALSE),0)</f>
        <v/>
      </c>
      <c r="H154" s="7">
        <f>IFERROR(E154*F154,0)</f>
        <v/>
      </c>
      <c r="I154" s="7">
        <f>IFERROR(F154-G154,0)</f>
        <v/>
      </c>
      <c r="J154" s="28" t="n"/>
      <c r="K154" s="28" t="n"/>
    </row>
    <row r="155">
      <c r="A155" s="111" t="n"/>
      <c r="B155" s="27">
        <f>IF(A155="","",DATE(YEAR(A155),MONTH(A155),1))</f>
        <v/>
      </c>
      <c r="C155" s="28" t="n"/>
      <c r="D155" s="28" t="n"/>
      <c r="E155" s="28" t="n"/>
      <c r="F155" s="18" t="n"/>
      <c r="G155" s="7">
        <f>IFERROR(VLOOKUP(D155,'Catálogo de Serviços'!$A$5:$F$100,6,FALSE),0)</f>
        <v/>
      </c>
      <c r="H155" s="7">
        <f>IFERROR(E155*F155,0)</f>
        <v/>
      </c>
      <c r="I155" s="7">
        <f>IFERROR(F155-G155,0)</f>
        <v/>
      </c>
      <c r="J155" s="28" t="n"/>
      <c r="K155" s="28" t="n"/>
    </row>
    <row r="156">
      <c r="A156" s="111" t="n"/>
      <c r="B156" s="27">
        <f>IF(A156="","",DATE(YEAR(A156),MONTH(A156),1))</f>
        <v/>
      </c>
      <c r="C156" s="28" t="n"/>
      <c r="D156" s="28" t="n"/>
      <c r="E156" s="28" t="n"/>
      <c r="F156" s="18" t="n"/>
      <c r="G156" s="7">
        <f>IFERROR(VLOOKUP(D156,'Catálogo de Serviços'!$A$5:$F$100,6,FALSE),0)</f>
        <v/>
      </c>
      <c r="H156" s="7">
        <f>IFERROR(E156*F156,0)</f>
        <v/>
      </c>
      <c r="I156" s="7">
        <f>IFERROR(F156-G156,0)</f>
        <v/>
      </c>
      <c r="J156" s="28" t="n"/>
      <c r="K156" s="28" t="n"/>
    </row>
    <row r="157">
      <c r="A157" s="111" t="n"/>
      <c r="B157" s="27">
        <f>IF(A157="","",DATE(YEAR(A157),MONTH(A157),1))</f>
        <v/>
      </c>
      <c r="C157" s="28" t="n"/>
      <c r="D157" s="28" t="n"/>
      <c r="E157" s="28" t="n"/>
      <c r="F157" s="18" t="n"/>
      <c r="G157" s="7">
        <f>IFERROR(VLOOKUP(D157,'Catálogo de Serviços'!$A$5:$F$100,6,FALSE),0)</f>
        <v/>
      </c>
      <c r="H157" s="7">
        <f>IFERROR(E157*F157,0)</f>
        <v/>
      </c>
      <c r="I157" s="7">
        <f>IFERROR(F157-G157,0)</f>
        <v/>
      </c>
      <c r="J157" s="28" t="n"/>
      <c r="K157" s="28" t="n"/>
    </row>
    <row r="158">
      <c r="A158" s="111" t="n"/>
      <c r="B158" s="27">
        <f>IF(A158="","",DATE(YEAR(A158),MONTH(A158),1))</f>
        <v/>
      </c>
      <c r="C158" s="28" t="n"/>
      <c r="D158" s="28" t="n"/>
      <c r="E158" s="28" t="n"/>
      <c r="F158" s="18" t="n"/>
      <c r="G158" s="7">
        <f>IFERROR(VLOOKUP(D158,'Catálogo de Serviços'!$A$5:$F$100,6,FALSE),0)</f>
        <v/>
      </c>
      <c r="H158" s="7">
        <f>IFERROR(E158*F158,0)</f>
        <v/>
      </c>
      <c r="I158" s="7">
        <f>IFERROR(F158-G158,0)</f>
        <v/>
      </c>
      <c r="J158" s="28" t="n"/>
      <c r="K158" s="28" t="n"/>
    </row>
    <row r="159">
      <c r="A159" s="111" t="n"/>
      <c r="B159" s="27">
        <f>IF(A159="","",DATE(YEAR(A159),MONTH(A159),1))</f>
        <v/>
      </c>
      <c r="C159" s="28" t="n"/>
      <c r="D159" s="28" t="n"/>
      <c r="E159" s="28" t="n"/>
      <c r="F159" s="18" t="n"/>
      <c r="G159" s="7">
        <f>IFERROR(VLOOKUP(D159,'Catálogo de Serviços'!$A$5:$F$100,6,FALSE),0)</f>
        <v/>
      </c>
      <c r="H159" s="7">
        <f>IFERROR(E159*F159,0)</f>
        <v/>
      </c>
      <c r="I159" s="7">
        <f>IFERROR(F159-G159,0)</f>
        <v/>
      </c>
      <c r="J159" s="28" t="n"/>
      <c r="K159" s="28" t="n"/>
    </row>
    <row r="160">
      <c r="A160" s="111" t="n"/>
      <c r="B160" s="27">
        <f>IF(A160="","",DATE(YEAR(A160),MONTH(A160),1))</f>
        <v/>
      </c>
      <c r="C160" s="28" t="n"/>
      <c r="D160" s="28" t="n"/>
      <c r="E160" s="28" t="n"/>
      <c r="F160" s="18" t="n"/>
      <c r="G160" s="7">
        <f>IFERROR(VLOOKUP(D160,'Catálogo de Serviços'!$A$5:$F$100,6,FALSE),0)</f>
        <v/>
      </c>
      <c r="H160" s="7">
        <f>IFERROR(E160*F160,0)</f>
        <v/>
      </c>
      <c r="I160" s="7">
        <f>IFERROR(F160-G160,0)</f>
        <v/>
      </c>
      <c r="J160" s="28" t="n"/>
      <c r="K160" s="28" t="n"/>
    </row>
    <row r="161">
      <c r="A161" s="111" t="n"/>
      <c r="B161" s="27">
        <f>IF(A161="","",DATE(YEAR(A161),MONTH(A161),1))</f>
        <v/>
      </c>
      <c r="C161" s="28" t="n"/>
      <c r="D161" s="28" t="n"/>
      <c r="E161" s="28" t="n"/>
      <c r="F161" s="18" t="n"/>
      <c r="G161" s="7">
        <f>IFERROR(VLOOKUP(D161,'Catálogo de Serviços'!$A$5:$F$100,6,FALSE),0)</f>
        <v/>
      </c>
      <c r="H161" s="7">
        <f>IFERROR(E161*F161,0)</f>
        <v/>
      </c>
      <c r="I161" s="7">
        <f>IFERROR(F161-G161,0)</f>
        <v/>
      </c>
      <c r="J161" s="28" t="n"/>
      <c r="K161" s="28" t="n"/>
    </row>
    <row r="162">
      <c r="A162" s="111" t="n"/>
      <c r="B162" s="27">
        <f>IF(A162="","",DATE(YEAR(A162),MONTH(A162),1))</f>
        <v/>
      </c>
      <c r="C162" s="28" t="n"/>
      <c r="D162" s="28" t="n"/>
      <c r="E162" s="28" t="n"/>
      <c r="F162" s="18" t="n"/>
      <c r="G162" s="7">
        <f>IFERROR(VLOOKUP(D162,'Catálogo de Serviços'!$A$5:$F$100,6,FALSE),0)</f>
        <v/>
      </c>
      <c r="H162" s="7">
        <f>IFERROR(E162*F162,0)</f>
        <v/>
      </c>
      <c r="I162" s="7">
        <f>IFERROR(F162-G162,0)</f>
        <v/>
      </c>
      <c r="J162" s="28" t="n"/>
      <c r="K162" s="28" t="n"/>
    </row>
    <row r="163">
      <c r="A163" s="111" t="n"/>
      <c r="B163" s="27">
        <f>IF(A163="","",DATE(YEAR(A163),MONTH(A163),1))</f>
        <v/>
      </c>
      <c r="C163" s="28" t="n"/>
      <c r="D163" s="28" t="n"/>
      <c r="E163" s="28" t="n"/>
      <c r="F163" s="18" t="n"/>
      <c r="G163" s="7">
        <f>IFERROR(VLOOKUP(D163,'Catálogo de Serviços'!$A$5:$F$100,6,FALSE),0)</f>
        <v/>
      </c>
      <c r="H163" s="7">
        <f>IFERROR(E163*F163,0)</f>
        <v/>
      </c>
      <c r="I163" s="7">
        <f>IFERROR(F163-G163,0)</f>
        <v/>
      </c>
      <c r="J163" s="28" t="n"/>
      <c r="K163" s="28" t="n"/>
    </row>
    <row r="164">
      <c r="A164" s="111" t="n"/>
      <c r="B164" s="27">
        <f>IF(A164="","",DATE(YEAR(A164),MONTH(A164),1))</f>
        <v/>
      </c>
      <c r="C164" s="28" t="n"/>
      <c r="D164" s="28" t="n"/>
      <c r="E164" s="28" t="n"/>
      <c r="F164" s="18" t="n"/>
      <c r="G164" s="7">
        <f>IFERROR(VLOOKUP(D164,'Catálogo de Serviços'!$A$5:$F$100,6,FALSE),0)</f>
        <v/>
      </c>
      <c r="H164" s="7">
        <f>IFERROR(E164*F164,0)</f>
        <v/>
      </c>
      <c r="I164" s="7">
        <f>IFERROR(F164-G164,0)</f>
        <v/>
      </c>
      <c r="J164" s="28" t="n"/>
      <c r="K164" s="28" t="n"/>
    </row>
    <row r="165">
      <c r="A165" s="111" t="n"/>
      <c r="B165" s="27">
        <f>IF(A165="","",DATE(YEAR(A165),MONTH(A165),1))</f>
        <v/>
      </c>
      <c r="C165" s="28" t="n"/>
      <c r="D165" s="28" t="n"/>
      <c r="E165" s="28" t="n"/>
      <c r="F165" s="18" t="n"/>
      <c r="G165" s="7">
        <f>IFERROR(VLOOKUP(D165,'Catálogo de Serviços'!$A$5:$F$100,6,FALSE),0)</f>
        <v/>
      </c>
      <c r="H165" s="7">
        <f>IFERROR(E165*F165,0)</f>
        <v/>
      </c>
      <c r="I165" s="7">
        <f>IFERROR(F165-G165,0)</f>
        <v/>
      </c>
      <c r="J165" s="28" t="n"/>
      <c r="K165" s="28" t="n"/>
    </row>
    <row r="166">
      <c r="A166" s="111" t="n"/>
      <c r="B166" s="27">
        <f>IF(A166="","",DATE(YEAR(A166),MONTH(A166),1))</f>
        <v/>
      </c>
      <c r="C166" s="28" t="n"/>
      <c r="D166" s="28" t="n"/>
      <c r="E166" s="28" t="n"/>
      <c r="F166" s="18" t="n"/>
      <c r="G166" s="7">
        <f>IFERROR(VLOOKUP(D166,'Catálogo de Serviços'!$A$5:$F$100,6,FALSE),0)</f>
        <v/>
      </c>
      <c r="H166" s="7">
        <f>IFERROR(E166*F166,0)</f>
        <v/>
      </c>
      <c r="I166" s="7">
        <f>IFERROR(F166-G166,0)</f>
        <v/>
      </c>
      <c r="J166" s="28" t="n"/>
      <c r="K166" s="28" t="n"/>
    </row>
    <row r="167">
      <c r="A167" s="111" t="n"/>
      <c r="B167" s="27">
        <f>IF(A167="","",DATE(YEAR(A167),MONTH(A167),1))</f>
        <v/>
      </c>
      <c r="C167" s="28" t="n"/>
      <c r="D167" s="28" t="n"/>
      <c r="E167" s="28" t="n"/>
      <c r="F167" s="18" t="n"/>
      <c r="G167" s="7">
        <f>IFERROR(VLOOKUP(D167,'Catálogo de Serviços'!$A$5:$F$100,6,FALSE),0)</f>
        <v/>
      </c>
      <c r="H167" s="7">
        <f>IFERROR(E167*F167,0)</f>
        <v/>
      </c>
      <c r="I167" s="7">
        <f>IFERROR(F167-G167,0)</f>
        <v/>
      </c>
      <c r="J167" s="28" t="n"/>
      <c r="K167" s="28" t="n"/>
    </row>
    <row r="168">
      <c r="A168" s="111" t="n"/>
      <c r="B168" s="27">
        <f>IF(A168="","",DATE(YEAR(A168),MONTH(A168),1))</f>
        <v/>
      </c>
      <c r="C168" s="28" t="n"/>
      <c r="D168" s="28" t="n"/>
      <c r="E168" s="28" t="n"/>
      <c r="F168" s="18" t="n"/>
      <c r="G168" s="7">
        <f>IFERROR(VLOOKUP(D168,'Catálogo de Serviços'!$A$5:$F$100,6,FALSE),0)</f>
        <v/>
      </c>
      <c r="H168" s="7">
        <f>IFERROR(E168*F168,0)</f>
        <v/>
      </c>
      <c r="I168" s="7">
        <f>IFERROR(F168-G168,0)</f>
        <v/>
      </c>
      <c r="J168" s="28" t="n"/>
      <c r="K168" s="28" t="n"/>
    </row>
    <row r="169">
      <c r="A169" s="111" t="n"/>
      <c r="B169" s="27">
        <f>IF(A169="","",DATE(YEAR(A169),MONTH(A169),1))</f>
        <v/>
      </c>
      <c r="C169" s="28" t="n"/>
      <c r="D169" s="28" t="n"/>
      <c r="E169" s="28" t="n"/>
      <c r="F169" s="18" t="n"/>
      <c r="G169" s="7">
        <f>IFERROR(VLOOKUP(D169,'Catálogo de Serviços'!$A$5:$F$100,6,FALSE),0)</f>
        <v/>
      </c>
      <c r="H169" s="7">
        <f>IFERROR(E169*F169,0)</f>
        <v/>
      </c>
      <c r="I169" s="7">
        <f>IFERROR(F169-G169,0)</f>
        <v/>
      </c>
      <c r="J169" s="28" t="n"/>
      <c r="K169" s="28" t="n"/>
    </row>
    <row r="170">
      <c r="A170" s="111" t="n"/>
      <c r="B170" s="27">
        <f>IF(A170="","",DATE(YEAR(A170),MONTH(A170),1))</f>
        <v/>
      </c>
      <c r="C170" s="28" t="n"/>
      <c r="D170" s="28" t="n"/>
      <c r="E170" s="28" t="n"/>
      <c r="F170" s="18" t="n"/>
      <c r="G170" s="7">
        <f>IFERROR(VLOOKUP(D170,'Catálogo de Serviços'!$A$5:$F$100,6,FALSE),0)</f>
        <v/>
      </c>
      <c r="H170" s="7">
        <f>IFERROR(E170*F170,0)</f>
        <v/>
      </c>
      <c r="I170" s="7">
        <f>IFERROR(F170-G170,0)</f>
        <v/>
      </c>
      <c r="J170" s="28" t="n"/>
      <c r="K170" s="28" t="n"/>
    </row>
    <row r="171">
      <c r="A171" s="111" t="n"/>
      <c r="B171" s="27">
        <f>IF(A171="","",DATE(YEAR(A171),MONTH(A171),1))</f>
        <v/>
      </c>
      <c r="C171" s="28" t="n"/>
      <c r="D171" s="28" t="n"/>
      <c r="E171" s="28" t="n"/>
      <c r="F171" s="18" t="n"/>
      <c r="G171" s="7">
        <f>IFERROR(VLOOKUP(D171,'Catálogo de Serviços'!$A$5:$F$100,6,FALSE),0)</f>
        <v/>
      </c>
      <c r="H171" s="7">
        <f>IFERROR(E171*F171,0)</f>
        <v/>
      </c>
      <c r="I171" s="7">
        <f>IFERROR(F171-G171,0)</f>
        <v/>
      </c>
      <c r="J171" s="28" t="n"/>
      <c r="K171" s="28" t="n"/>
    </row>
    <row r="172">
      <c r="A172" s="111" t="n"/>
      <c r="B172" s="27">
        <f>IF(A172="","",DATE(YEAR(A172),MONTH(A172),1))</f>
        <v/>
      </c>
      <c r="C172" s="28" t="n"/>
      <c r="D172" s="28" t="n"/>
      <c r="E172" s="28" t="n"/>
      <c r="F172" s="18" t="n"/>
      <c r="G172" s="7">
        <f>IFERROR(VLOOKUP(D172,'Catálogo de Serviços'!$A$5:$F$100,6,FALSE),0)</f>
        <v/>
      </c>
      <c r="H172" s="7">
        <f>IFERROR(E172*F172,0)</f>
        <v/>
      </c>
      <c r="I172" s="7">
        <f>IFERROR(F172-G172,0)</f>
        <v/>
      </c>
      <c r="J172" s="28" t="n"/>
      <c r="K172" s="28" t="n"/>
    </row>
    <row r="173">
      <c r="A173" s="111" t="n"/>
      <c r="B173" s="27">
        <f>IF(A173="","",DATE(YEAR(A173),MONTH(A173),1))</f>
        <v/>
      </c>
      <c r="C173" s="28" t="n"/>
      <c r="D173" s="28" t="n"/>
      <c r="E173" s="28" t="n"/>
      <c r="F173" s="18" t="n"/>
      <c r="G173" s="7">
        <f>IFERROR(VLOOKUP(D173,'Catálogo de Serviços'!$A$5:$F$100,6,FALSE),0)</f>
        <v/>
      </c>
      <c r="H173" s="7">
        <f>IFERROR(E173*F173,0)</f>
        <v/>
      </c>
      <c r="I173" s="7">
        <f>IFERROR(F173-G173,0)</f>
        <v/>
      </c>
      <c r="J173" s="28" t="n"/>
      <c r="K173" s="28" t="n"/>
    </row>
    <row r="174">
      <c r="A174" s="111" t="n"/>
      <c r="B174" s="27">
        <f>IF(A174="","",DATE(YEAR(A174),MONTH(A174),1))</f>
        <v/>
      </c>
      <c r="C174" s="28" t="n"/>
      <c r="D174" s="28" t="n"/>
      <c r="E174" s="28" t="n"/>
      <c r="F174" s="18" t="n"/>
      <c r="G174" s="7">
        <f>IFERROR(VLOOKUP(D174,'Catálogo de Serviços'!$A$5:$F$100,6,FALSE),0)</f>
        <v/>
      </c>
      <c r="H174" s="7">
        <f>IFERROR(E174*F174,0)</f>
        <v/>
      </c>
      <c r="I174" s="7">
        <f>IFERROR(F174-G174,0)</f>
        <v/>
      </c>
      <c r="J174" s="28" t="n"/>
      <c r="K174" s="28" t="n"/>
    </row>
    <row r="175">
      <c r="A175" s="111" t="n"/>
      <c r="B175" s="27">
        <f>IF(A175="","",DATE(YEAR(A175),MONTH(A175),1))</f>
        <v/>
      </c>
      <c r="C175" s="28" t="n"/>
      <c r="D175" s="28" t="n"/>
      <c r="E175" s="28" t="n"/>
      <c r="F175" s="18" t="n"/>
      <c r="G175" s="7">
        <f>IFERROR(VLOOKUP(D175,'Catálogo de Serviços'!$A$5:$F$100,6,FALSE),0)</f>
        <v/>
      </c>
      <c r="H175" s="7">
        <f>IFERROR(E175*F175,0)</f>
        <v/>
      </c>
      <c r="I175" s="7">
        <f>IFERROR(F175-G175,0)</f>
        <v/>
      </c>
      <c r="J175" s="28" t="n"/>
      <c r="K175" s="28" t="n"/>
    </row>
    <row r="176">
      <c r="A176" s="111" t="n"/>
      <c r="B176" s="27">
        <f>IF(A176="","",DATE(YEAR(A176),MONTH(A176),1))</f>
        <v/>
      </c>
      <c r="C176" s="28" t="n"/>
      <c r="D176" s="28" t="n"/>
      <c r="E176" s="28" t="n"/>
      <c r="F176" s="18" t="n"/>
      <c r="G176" s="7">
        <f>IFERROR(VLOOKUP(D176,'Catálogo de Serviços'!$A$5:$F$100,6,FALSE),0)</f>
        <v/>
      </c>
      <c r="H176" s="7">
        <f>IFERROR(E176*F176,0)</f>
        <v/>
      </c>
      <c r="I176" s="7">
        <f>IFERROR(F176-G176,0)</f>
        <v/>
      </c>
      <c r="J176" s="28" t="n"/>
      <c r="K176" s="28" t="n"/>
    </row>
    <row r="177">
      <c r="A177" s="111" t="n"/>
      <c r="B177" s="27">
        <f>IF(A177="","",DATE(YEAR(A177),MONTH(A177),1))</f>
        <v/>
      </c>
      <c r="C177" s="28" t="n"/>
      <c r="D177" s="28" t="n"/>
      <c r="E177" s="28" t="n"/>
      <c r="F177" s="18" t="n"/>
      <c r="G177" s="7">
        <f>IFERROR(VLOOKUP(D177,'Catálogo de Serviços'!$A$5:$F$100,6,FALSE),0)</f>
        <v/>
      </c>
      <c r="H177" s="7">
        <f>IFERROR(E177*F177,0)</f>
        <v/>
      </c>
      <c r="I177" s="7">
        <f>IFERROR(F177-G177,0)</f>
        <v/>
      </c>
      <c r="J177" s="28" t="n"/>
      <c r="K177" s="28" t="n"/>
    </row>
    <row r="178">
      <c r="A178" s="111" t="n"/>
      <c r="B178" s="27">
        <f>IF(A178="","",DATE(YEAR(A178),MONTH(A178),1))</f>
        <v/>
      </c>
      <c r="C178" s="28" t="n"/>
      <c r="D178" s="28" t="n"/>
      <c r="E178" s="28" t="n"/>
      <c r="F178" s="18" t="n"/>
      <c r="G178" s="7">
        <f>IFERROR(VLOOKUP(D178,'Catálogo de Serviços'!$A$5:$F$100,6,FALSE),0)</f>
        <v/>
      </c>
      <c r="H178" s="7">
        <f>IFERROR(E178*F178,0)</f>
        <v/>
      </c>
      <c r="I178" s="7">
        <f>IFERROR(F178-G178,0)</f>
        <v/>
      </c>
      <c r="J178" s="28" t="n"/>
      <c r="K178" s="28" t="n"/>
    </row>
    <row r="179">
      <c r="A179" s="111" t="n"/>
      <c r="B179" s="27">
        <f>IF(A179="","",DATE(YEAR(A179),MONTH(A179),1))</f>
        <v/>
      </c>
      <c r="C179" s="28" t="n"/>
      <c r="D179" s="28" t="n"/>
      <c r="E179" s="28" t="n"/>
      <c r="F179" s="18" t="n"/>
      <c r="G179" s="7">
        <f>IFERROR(VLOOKUP(D179,'Catálogo de Serviços'!$A$5:$F$100,6,FALSE),0)</f>
        <v/>
      </c>
      <c r="H179" s="7">
        <f>IFERROR(E179*F179,0)</f>
        <v/>
      </c>
      <c r="I179" s="7">
        <f>IFERROR(F179-G179,0)</f>
        <v/>
      </c>
      <c r="J179" s="28" t="n"/>
      <c r="K179" s="28" t="n"/>
    </row>
    <row r="180">
      <c r="A180" s="111" t="n"/>
      <c r="B180" s="27">
        <f>IF(A180="","",DATE(YEAR(A180),MONTH(A180),1))</f>
        <v/>
      </c>
      <c r="C180" s="28" t="n"/>
      <c r="D180" s="28" t="n"/>
      <c r="E180" s="28" t="n"/>
      <c r="F180" s="18" t="n"/>
      <c r="G180" s="7">
        <f>IFERROR(VLOOKUP(D180,'Catálogo de Serviços'!$A$5:$F$100,6,FALSE),0)</f>
        <v/>
      </c>
      <c r="H180" s="7">
        <f>IFERROR(E180*F180,0)</f>
        <v/>
      </c>
      <c r="I180" s="7">
        <f>IFERROR(F180-G180,0)</f>
        <v/>
      </c>
      <c r="J180" s="28" t="n"/>
      <c r="K180" s="28" t="n"/>
    </row>
    <row r="181">
      <c r="A181" s="111" t="n"/>
      <c r="B181" s="27">
        <f>IF(A181="","",DATE(YEAR(A181),MONTH(A181),1))</f>
        <v/>
      </c>
      <c r="C181" s="28" t="n"/>
      <c r="D181" s="28" t="n"/>
      <c r="E181" s="28" t="n"/>
      <c r="F181" s="18" t="n"/>
      <c r="G181" s="7">
        <f>IFERROR(VLOOKUP(D181,'Catálogo de Serviços'!$A$5:$F$100,6,FALSE),0)</f>
        <v/>
      </c>
      <c r="H181" s="7">
        <f>IFERROR(E181*F181,0)</f>
        <v/>
      </c>
      <c r="I181" s="7">
        <f>IFERROR(F181-G181,0)</f>
        <v/>
      </c>
      <c r="J181" s="28" t="n"/>
      <c r="K181" s="28" t="n"/>
    </row>
    <row r="182">
      <c r="A182" s="111" t="n"/>
      <c r="B182" s="27">
        <f>IF(A182="","",DATE(YEAR(A182),MONTH(A182),1))</f>
        <v/>
      </c>
      <c r="C182" s="28" t="n"/>
      <c r="D182" s="28" t="n"/>
      <c r="E182" s="28" t="n"/>
      <c r="F182" s="18" t="n"/>
      <c r="G182" s="7">
        <f>IFERROR(VLOOKUP(D182,'Catálogo de Serviços'!$A$5:$F$100,6,FALSE),0)</f>
        <v/>
      </c>
      <c r="H182" s="7">
        <f>IFERROR(E182*F182,0)</f>
        <v/>
      </c>
      <c r="I182" s="7">
        <f>IFERROR(F182-G182,0)</f>
        <v/>
      </c>
      <c r="J182" s="28" t="n"/>
      <c r="K182" s="28" t="n"/>
    </row>
    <row r="183">
      <c r="A183" s="111" t="n"/>
      <c r="B183" s="27">
        <f>IF(A183="","",DATE(YEAR(A183),MONTH(A183),1))</f>
        <v/>
      </c>
      <c r="C183" s="28" t="n"/>
      <c r="D183" s="28" t="n"/>
      <c r="E183" s="28" t="n"/>
      <c r="F183" s="18" t="n"/>
      <c r="G183" s="7">
        <f>IFERROR(VLOOKUP(D183,'Catálogo de Serviços'!$A$5:$F$100,6,FALSE),0)</f>
        <v/>
      </c>
      <c r="H183" s="7">
        <f>IFERROR(E183*F183,0)</f>
        <v/>
      </c>
      <c r="I183" s="7">
        <f>IFERROR(F183-G183,0)</f>
        <v/>
      </c>
      <c r="J183" s="28" t="n"/>
      <c r="K183" s="28" t="n"/>
    </row>
    <row r="184">
      <c r="A184" s="111" t="n"/>
      <c r="B184" s="27">
        <f>IF(A184="","",DATE(YEAR(A184),MONTH(A184),1))</f>
        <v/>
      </c>
      <c r="C184" s="28" t="n"/>
      <c r="D184" s="28" t="n"/>
      <c r="E184" s="28" t="n"/>
      <c r="F184" s="18" t="n"/>
      <c r="G184" s="7">
        <f>IFERROR(VLOOKUP(D184,'Catálogo de Serviços'!$A$5:$F$100,6,FALSE),0)</f>
        <v/>
      </c>
      <c r="H184" s="7">
        <f>IFERROR(E184*F184,0)</f>
        <v/>
      </c>
      <c r="I184" s="7">
        <f>IFERROR(F184-G184,0)</f>
        <v/>
      </c>
      <c r="J184" s="28" t="n"/>
      <c r="K184" s="28" t="n"/>
    </row>
    <row r="185">
      <c r="A185" s="111" t="n"/>
      <c r="B185" s="27">
        <f>IF(A185="","",DATE(YEAR(A185),MONTH(A185),1))</f>
        <v/>
      </c>
      <c r="C185" s="28" t="n"/>
      <c r="D185" s="28" t="n"/>
      <c r="E185" s="28" t="n"/>
      <c r="F185" s="18" t="n"/>
      <c r="G185" s="7">
        <f>IFERROR(VLOOKUP(D185,'Catálogo de Serviços'!$A$5:$F$100,6,FALSE),0)</f>
        <v/>
      </c>
      <c r="H185" s="7">
        <f>IFERROR(E185*F185,0)</f>
        <v/>
      </c>
      <c r="I185" s="7">
        <f>IFERROR(F185-G185,0)</f>
        <v/>
      </c>
      <c r="J185" s="28" t="n"/>
      <c r="K185" s="28" t="n"/>
    </row>
    <row r="186">
      <c r="A186" s="111" t="n"/>
      <c r="B186" s="27">
        <f>IF(A186="","",DATE(YEAR(A186),MONTH(A186),1))</f>
        <v/>
      </c>
      <c r="C186" s="28" t="n"/>
      <c r="D186" s="28" t="n"/>
      <c r="E186" s="28" t="n"/>
      <c r="F186" s="18" t="n"/>
      <c r="G186" s="7">
        <f>IFERROR(VLOOKUP(D186,'Catálogo de Serviços'!$A$5:$F$100,6,FALSE),0)</f>
        <v/>
      </c>
      <c r="H186" s="7">
        <f>IFERROR(E186*F186,0)</f>
        <v/>
      </c>
      <c r="I186" s="7">
        <f>IFERROR(F186-G186,0)</f>
        <v/>
      </c>
      <c r="J186" s="28" t="n"/>
      <c r="K186" s="28" t="n"/>
    </row>
    <row r="187">
      <c r="A187" s="111" t="n"/>
      <c r="B187" s="27">
        <f>IF(A187="","",DATE(YEAR(A187),MONTH(A187),1))</f>
        <v/>
      </c>
      <c r="C187" s="28" t="n"/>
      <c r="D187" s="28" t="n"/>
      <c r="E187" s="28" t="n"/>
      <c r="F187" s="18" t="n"/>
      <c r="G187" s="7">
        <f>IFERROR(VLOOKUP(D187,'Catálogo de Serviços'!$A$5:$F$100,6,FALSE),0)</f>
        <v/>
      </c>
      <c r="H187" s="7">
        <f>IFERROR(E187*F187,0)</f>
        <v/>
      </c>
      <c r="I187" s="7">
        <f>IFERROR(F187-G187,0)</f>
        <v/>
      </c>
      <c r="J187" s="28" t="n"/>
      <c r="K187" s="28" t="n"/>
    </row>
    <row r="188">
      <c r="A188" s="111" t="n"/>
      <c r="B188" s="27">
        <f>IF(A188="","",DATE(YEAR(A188),MONTH(A188),1))</f>
        <v/>
      </c>
      <c r="C188" s="28" t="n"/>
      <c r="D188" s="28" t="n"/>
      <c r="E188" s="28" t="n"/>
      <c r="F188" s="18" t="n"/>
      <c r="G188" s="7">
        <f>IFERROR(VLOOKUP(D188,'Catálogo de Serviços'!$A$5:$F$100,6,FALSE),0)</f>
        <v/>
      </c>
      <c r="H188" s="7">
        <f>IFERROR(E188*F188,0)</f>
        <v/>
      </c>
      <c r="I188" s="7">
        <f>IFERROR(F188-G188,0)</f>
        <v/>
      </c>
      <c r="J188" s="28" t="n"/>
      <c r="K188" s="28" t="n"/>
    </row>
    <row r="189">
      <c r="A189" s="111" t="n"/>
      <c r="B189" s="27">
        <f>IF(A189="","",DATE(YEAR(A189),MONTH(A189),1))</f>
        <v/>
      </c>
      <c r="C189" s="28" t="n"/>
      <c r="D189" s="28" t="n"/>
      <c r="E189" s="28" t="n"/>
      <c r="F189" s="18" t="n"/>
      <c r="G189" s="7">
        <f>IFERROR(VLOOKUP(D189,'Catálogo de Serviços'!$A$5:$F$100,6,FALSE),0)</f>
        <v/>
      </c>
      <c r="H189" s="7">
        <f>IFERROR(E189*F189,0)</f>
        <v/>
      </c>
      <c r="I189" s="7">
        <f>IFERROR(F189-G189,0)</f>
        <v/>
      </c>
      <c r="J189" s="28" t="n"/>
      <c r="K189" s="28" t="n"/>
    </row>
    <row r="190">
      <c r="A190" s="111" t="n"/>
      <c r="B190" s="27">
        <f>IF(A190="","",DATE(YEAR(A190),MONTH(A190),1))</f>
        <v/>
      </c>
      <c r="C190" s="28" t="n"/>
      <c r="D190" s="28" t="n"/>
      <c r="E190" s="28" t="n"/>
      <c r="F190" s="18" t="n"/>
      <c r="G190" s="7">
        <f>IFERROR(VLOOKUP(D190,'Catálogo de Serviços'!$A$5:$F$100,6,FALSE),0)</f>
        <v/>
      </c>
      <c r="H190" s="7">
        <f>IFERROR(E190*F190,0)</f>
        <v/>
      </c>
      <c r="I190" s="7">
        <f>IFERROR(F190-G190,0)</f>
        <v/>
      </c>
      <c r="J190" s="28" t="n"/>
      <c r="K190" s="28" t="n"/>
    </row>
    <row r="191">
      <c r="A191" s="111" t="n"/>
      <c r="B191" s="27">
        <f>IF(A191="","",DATE(YEAR(A191),MONTH(A191),1))</f>
        <v/>
      </c>
      <c r="C191" s="28" t="n"/>
      <c r="D191" s="28" t="n"/>
      <c r="E191" s="28" t="n"/>
      <c r="F191" s="18" t="n"/>
      <c r="G191" s="7">
        <f>IFERROR(VLOOKUP(D191,'Catálogo de Serviços'!$A$5:$F$100,6,FALSE),0)</f>
        <v/>
      </c>
      <c r="H191" s="7">
        <f>IFERROR(E191*F191,0)</f>
        <v/>
      </c>
      <c r="I191" s="7">
        <f>IFERROR(F191-G191,0)</f>
        <v/>
      </c>
      <c r="J191" s="28" t="n"/>
      <c r="K191" s="28" t="n"/>
    </row>
    <row r="192">
      <c r="A192" s="111" t="n"/>
      <c r="B192" s="27">
        <f>IF(A192="","",DATE(YEAR(A192),MONTH(A192),1))</f>
        <v/>
      </c>
      <c r="C192" s="28" t="n"/>
      <c r="D192" s="28" t="n"/>
      <c r="E192" s="28" t="n"/>
      <c r="F192" s="18" t="n"/>
      <c r="G192" s="7">
        <f>IFERROR(VLOOKUP(D192,'Catálogo de Serviços'!$A$5:$F$100,6,FALSE),0)</f>
        <v/>
      </c>
      <c r="H192" s="7">
        <f>IFERROR(E192*F192,0)</f>
        <v/>
      </c>
      <c r="I192" s="7">
        <f>IFERROR(F192-G192,0)</f>
        <v/>
      </c>
      <c r="J192" s="28" t="n"/>
      <c r="K192" s="28" t="n"/>
    </row>
    <row r="193">
      <c r="A193" s="111" t="n"/>
      <c r="B193" s="27">
        <f>IF(A193="","",DATE(YEAR(A193),MONTH(A193),1))</f>
        <v/>
      </c>
      <c r="C193" s="28" t="n"/>
      <c r="D193" s="28" t="n"/>
      <c r="E193" s="28" t="n"/>
      <c r="F193" s="18" t="n"/>
      <c r="G193" s="7">
        <f>IFERROR(VLOOKUP(D193,'Catálogo de Serviços'!$A$5:$F$100,6,FALSE),0)</f>
        <v/>
      </c>
      <c r="H193" s="7">
        <f>IFERROR(E193*F193,0)</f>
        <v/>
      </c>
      <c r="I193" s="7">
        <f>IFERROR(F193-G193,0)</f>
        <v/>
      </c>
      <c r="J193" s="28" t="n"/>
      <c r="K193" s="28" t="n"/>
    </row>
    <row r="194">
      <c r="A194" s="111" t="n"/>
      <c r="B194" s="27">
        <f>IF(A194="","",DATE(YEAR(A194),MONTH(A194),1))</f>
        <v/>
      </c>
      <c r="C194" s="28" t="n"/>
      <c r="D194" s="28" t="n"/>
      <c r="E194" s="28" t="n"/>
      <c r="F194" s="18" t="n"/>
      <c r="G194" s="7">
        <f>IFERROR(VLOOKUP(D194,'Catálogo de Serviços'!$A$5:$F$100,6,FALSE),0)</f>
        <v/>
      </c>
      <c r="H194" s="7">
        <f>IFERROR(E194*F194,0)</f>
        <v/>
      </c>
      <c r="I194" s="7">
        <f>IFERROR(F194-G194,0)</f>
        <v/>
      </c>
      <c r="J194" s="28" t="n"/>
      <c r="K194" s="28" t="n"/>
    </row>
    <row r="195">
      <c r="A195" s="111" t="n"/>
      <c r="B195" s="27">
        <f>IF(A195="","",DATE(YEAR(A195),MONTH(A195),1))</f>
        <v/>
      </c>
      <c r="C195" s="28" t="n"/>
      <c r="D195" s="28" t="n"/>
      <c r="E195" s="28" t="n"/>
      <c r="F195" s="18" t="n"/>
      <c r="G195" s="7">
        <f>IFERROR(VLOOKUP(D195,'Catálogo de Serviços'!$A$5:$F$100,6,FALSE),0)</f>
        <v/>
      </c>
      <c r="H195" s="7">
        <f>IFERROR(E195*F195,0)</f>
        <v/>
      </c>
      <c r="I195" s="7">
        <f>IFERROR(F195-G195,0)</f>
        <v/>
      </c>
      <c r="J195" s="28" t="n"/>
      <c r="K195" s="28" t="n"/>
    </row>
    <row r="196">
      <c r="A196" s="111" t="n"/>
      <c r="B196" s="27">
        <f>IF(A196="","",DATE(YEAR(A196),MONTH(A196),1))</f>
        <v/>
      </c>
      <c r="C196" s="28" t="n"/>
      <c r="D196" s="28" t="n"/>
      <c r="E196" s="28" t="n"/>
      <c r="F196" s="18" t="n"/>
      <c r="G196" s="7">
        <f>IFERROR(VLOOKUP(D196,'Catálogo de Serviços'!$A$5:$F$100,6,FALSE),0)</f>
        <v/>
      </c>
      <c r="H196" s="7">
        <f>IFERROR(E196*F196,0)</f>
        <v/>
      </c>
      <c r="I196" s="7">
        <f>IFERROR(F196-G196,0)</f>
        <v/>
      </c>
      <c r="J196" s="28" t="n"/>
      <c r="K196" s="28" t="n"/>
    </row>
    <row r="197">
      <c r="A197" s="111" t="n"/>
      <c r="B197" s="27">
        <f>IF(A197="","",DATE(YEAR(A197),MONTH(A197),1))</f>
        <v/>
      </c>
      <c r="C197" s="28" t="n"/>
      <c r="D197" s="28" t="n"/>
      <c r="E197" s="28" t="n"/>
      <c r="F197" s="18" t="n"/>
      <c r="G197" s="7">
        <f>IFERROR(VLOOKUP(D197,'Catálogo de Serviços'!$A$5:$F$100,6,FALSE),0)</f>
        <v/>
      </c>
      <c r="H197" s="7">
        <f>IFERROR(E197*F197,0)</f>
        <v/>
      </c>
      <c r="I197" s="7">
        <f>IFERROR(F197-G197,0)</f>
        <v/>
      </c>
      <c r="J197" s="28" t="n"/>
      <c r="K197" s="28" t="n"/>
    </row>
    <row r="198">
      <c r="A198" s="111" t="n"/>
      <c r="B198" s="27">
        <f>IF(A198="","",DATE(YEAR(A198),MONTH(A198),1))</f>
        <v/>
      </c>
      <c r="C198" s="28" t="n"/>
      <c r="D198" s="28" t="n"/>
      <c r="E198" s="28" t="n"/>
      <c r="F198" s="18" t="n"/>
      <c r="G198" s="7">
        <f>IFERROR(VLOOKUP(D198,'Catálogo de Serviços'!$A$5:$F$100,6,FALSE),0)</f>
        <v/>
      </c>
      <c r="H198" s="7">
        <f>IFERROR(E198*F198,0)</f>
        <v/>
      </c>
      <c r="I198" s="7">
        <f>IFERROR(F198-G198,0)</f>
        <v/>
      </c>
      <c r="J198" s="28" t="n"/>
      <c r="K198" s="28" t="n"/>
    </row>
    <row r="199">
      <c r="A199" s="111" t="n"/>
      <c r="B199" s="27">
        <f>IF(A199="","",DATE(YEAR(A199),MONTH(A199),1))</f>
        <v/>
      </c>
      <c r="C199" s="28" t="n"/>
      <c r="D199" s="28" t="n"/>
      <c r="E199" s="28" t="n"/>
      <c r="F199" s="18" t="n"/>
      <c r="G199" s="7">
        <f>IFERROR(VLOOKUP(D199,'Catálogo de Serviços'!$A$5:$F$100,6,FALSE),0)</f>
        <v/>
      </c>
      <c r="H199" s="7">
        <f>IFERROR(E199*F199,0)</f>
        <v/>
      </c>
      <c r="I199" s="7">
        <f>IFERROR(F199-G199,0)</f>
        <v/>
      </c>
      <c r="J199" s="28" t="n"/>
      <c r="K199" s="28" t="n"/>
    </row>
    <row r="200">
      <c r="A200" s="111" t="n"/>
      <c r="B200" s="27">
        <f>IF(A200="","",DATE(YEAR(A200),MONTH(A200),1))</f>
        <v/>
      </c>
      <c r="C200" s="28" t="n"/>
      <c r="D200" s="28" t="n"/>
      <c r="E200" s="28" t="n"/>
      <c r="F200" s="18" t="n"/>
      <c r="G200" s="7">
        <f>IFERROR(VLOOKUP(D200,'Catálogo de Serviços'!$A$5:$F$100,6,FALSE),0)</f>
        <v/>
      </c>
      <c r="H200" s="7">
        <f>IFERROR(E200*F200,0)</f>
        <v/>
      </c>
      <c r="I200" s="7">
        <f>IFERROR(F200-G200,0)</f>
        <v/>
      </c>
      <c r="J200" s="28" t="n"/>
      <c r="K200" s="28" t="n"/>
    </row>
    <row r="201">
      <c r="A201" s="111" t="n"/>
      <c r="B201" s="27">
        <f>IF(A201="","",DATE(YEAR(A201),MONTH(A201),1))</f>
        <v/>
      </c>
      <c r="C201" s="28" t="n"/>
      <c r="D201" s="28" t="n"/>
      <c r="E201" s="28" t="n"/>
      <c r="F201" s="18" t="n"/>
      <c r="G201" s="7">
        <f>IFERROR(VLOOKUP(D201,'Catálogo de Serviços'!$A$5:$F$100,6,FALSE),0)</f>
        <v/>
      </c>
      <c r="H201" s="7">
        <f>IFERROR(E201*F201,0)</f>
        <v/>
      </c>
      <c r="I201" s="7">
        <f>IFERROR(F201-G201,0)</f>
        <v/>
      </c>
      <c r="J201" s="28" t="n"/>
      <c r="K201" s="28" t="n"/>
    </row>
    <row r="202">
      <c r="A202" s="111" t="n"/>
      <c r="B202" s="27">
        <f>IF(A202="","",DATE(YEAR(A202),MONTH(A202),1))</f>
        <v/>
      </c>
      <c r="C202" s="28" t="n"/>
      <c r="D202" s="28" t="n"/>
      <c r="E202" s="28" t="n"/>
      <c r="F202" s="18" t="n"/>
      <c r="G202" s="7">
        <f>IFERROR(VLOOKUP(D202,'Catálogo de Serviços'!$A$5:$F$100,6,FALSE),0)</f>
        <v/>
      </c>
      <c r="H202" s="7">
        <f>IFERROR(E202*F202,0)</f>
        <v/>
      </c>
      <c r="I202" s="7">
        <f>IFERROR(F202-G202,0)</f>
        <v/>
      </c>
      <c r="J202" s="28" t="n"/>
      <c r="K202" s="28" t="n"/>
    </row>
    <row r="203">
      <c r="A203" s="111" t="n"/>
      <c r="B203" s="27">
        <f>IF(A203="","",DATE(YEAR(A203),MONTH(A203),1))</f>
        <v/>
      </c>
      <c r="C203" s="28" t="n"/>
      <c r="D203" s="28" t="n"/>
      <c r="E203" s="28" t="n"/>
      <c r="F203" s="18" t="n"/>
      <c r="G203" s="7">
        <f>IFERROR(VLOOKUP(D203,'Catálogo de Serviços'!$A$5:$F$100,6,FALSE),0)</f>
        <v/>
      </c>
      <c r="H203" s="7">
        <f>IFERROR(E203*F203,0)</f>
        <v/>
      </c>
      <c r="I203" s="7">
        <f>IFERROR(F203-G203,0)</f>
        <v/>
      </c>
      <c r="J203" s="28" t="n"/>
      <c r="K203" s="28" t="n"/>
    </row>
    <row r="204">
      <c r="A204" s="111" t="n"/>
      <c r="B204" s="27">
        <f>IF(A204="","",DATE(YEAR(A204),MONTH(A204),1))</f>
        <v/>
      </c>
      <c r="C204" s="28" t="n"/>
      <c r="D204" s="28" t="n"/>
      <c r="E204" s="28" t="n"/>
      <c r="F204" s="18" t="n"/>
      <c r="G204" s="7">
        <f>IFERROR(VLOOKUP(D204,'Catálogo de Serviços'!$A$5:$F$100,6,FALSE),0)</f>
        <v/>
      </c>
      <c r="H204" s="7">
        <f>IFERROR(E204*F204,0)</f>
        <v/>
      </c>
      <c r="I204" s="7">
        <f>IFERROR(F204-G204,0)</f>
        <v/>
      </c>
      <c r="J204" s="28" t="n"/>
      <c r="K204" s="28" t="n"/>
    </row>
    <row r="205">
      <c r="A205" s="111" t="n"/>
      <c r="B205" s="27">
        <f>IF(A205="","",DATE(YEAR(A205),MONTH(A205),1))</f>
        <v/>
      </c>
      <c r="C205" s="28" t="n"/>
      <c r="D205" s="28" t="n"/>
      <c r="E205" s="28" t="n"/>
      <c r="F205" s="18" t="n"/>
      <c r="G205" s="7">
        <f>IFERROR(VLOOKUP(D205,'Catálogo de Serviços'!$A$5:$F$100,6,FALSE),0)</f>
        <v/>
      </c>
      <c r="H205" s="7">
        <f>IFERROR(E205*F205,0)</f>
        <v/>
      </c>
      <c r="I205" s="7">
        <f>IFERROR(F205-G205,0)</f>
        <v/>
      </c>
      <c r="J205" s="28" t="n"/>
      <c r="K205" s="28" t="n"/>
    </row>
    <row r="206">
      <c r="A206" s="111" t="n"/>
      <c r="B206" s="27">
        <f>IF(A206="","",DATE(YEAR(A206),MONTH(A206),1))</f>
        <v/>
      </c>
      <c r="C206" s="28" t="n"/>
      <c r="D206" s="28" t="n"/>
      <c r="E206" s="28" t="n"/>
      <c r="F206" s="18" t="n"/>
      <c r="G206" s="7">
        <f>IFERROR(VLOOKUP(D206,'Catálogo de Serviços'!$A$5:$F$100,6,FALSE),0)</f>
        <v/>
      </c>
      <c r="H206" s="7">
        <f>IFERROR(E206*F206,0)</f>
        <v/>
      </c>
      <c r="I206" s="7">
        <f>IFERROR(F206-G206,0)</f>
        <v/>
      </c>
      <c r="J206" s="28" t="n"/>
      <c r="K206" s="28" t="n"/>
    </row>
    <row r="207">
      <c r="A207" s="111" t="n"/>
      <c r="B207" s="27">
        <f>IF(A207="","",DATE(YEAR(A207),MONTH(A207),1))</f>
        <v/>
      </c>
      <c r="C207" s="28" t="n"/>
      <c r="D207" s="28" t="n"/>
      <c r="E207" s="28" t="n"/>
      <c r="F207" s="18" t="n"/>
      <c r="G207" s="7">
        <f>IFERROR(VLOOKUP(D207,'Catálogo de Serviços'!$A$5:$F$100,6,FALSE),0)</f>
        <v/>
      </c>
      <c r="H207" s="7">
        <f>IFERROR(E207*F207,0)</f>
        <v/>
      </c>
      <c r="I207" s="7">
        <f>IFERROR(F207-G207,0)</f>
        <v/>
      </c>
      <c r="J207" s="28" t="n"/>
      <c r="K207" s="28" t="n"/>
    </row>
    <row r="208">
      <c r="A208" s="111" t="n"/>
      <c r="B208" s="27">
        <f>IF(A208="","",DATE(YEAR(A208),MONTH(A208),1))</f>
        <v/>
      </c>
      <c r="C208" s="28" t="n"/>
      <c r="D208" s="28" t="n"/>
      <c r="E208" s="28" t="n"/>
      <c r="F208" s="18" t="n"/>
      <c r="G208" s="7">
        <f>IFERROR(VLOOKUP(D208,'Catálogo de Serviços'!$A$5:$F$100,6,FALSE),0)</f>
        <v/>
      </c>
      <c r="H208" s="7">
        <f>IFERROR(E208*F208,0)</f>
        <v/>
      </c>
      <c r="I208" s="7">
        <f>IFERROR(F208-G208,0)</f>
        <v/>
      </c>
      <c r="J208" s="28" t="n"/>
      <c r="K208" s="28" t="n"/>
    </row>
    <row r="209">
      <c r="A209" s="111" t="n"/>
      <c r="B209" s="27">
        <f>IF(A209="","",DATE(YEAR(A209),MONTH(A209),1))</f>
        <v/>
      </c>
      <c r="C209" s="28" t="n"/>
      <c r="D209" s="28" t="n"/>
      <c r="E209" s="28" t="n"/>
      <c r="F209" s="18" t="n"/>
      <c r="G209" s="7">
        <f>IFERROR(VLOOKUP(D209,'Catálogo de Serviços'!$A$5:$F$100,6,FALSE),0)</f>
        <v/>
      </c>
      <c r="H209" s="7">
        <f>IFERROR(E209*F209,0)</f>
        <v/>
      </c>
      <c r="I209" s="7">
        <f>IFERROR(F209-G209,0)</f>
        <v/>
      </c>
      <c r="J209" s="28" t="n"/>
      <c r="K209" s="28" t="n"/>
    </row>
    <row r="210">
      <c r="A210" s="111" t="n"/>
      <c r="B210" s="27">
        <f>IF(A210="","",DATE(YEAR(A210),MONTH(A210),1))</f>
        <v/>
      </c>
      <c r="C210" s="28" t="n"/>
      <c r="D210" s="28" t="n"/>
      <c r="E210" s="28" t="n"/>
      <c r="F210" s="18" t="n"/>
      <c r="G210" s="7">
        <f>IFERROR(VLOOKUP(D210,'Catálogo de Serviços'!$A$5:$F$100,6,FALSE),0)</f>
        <v/>
      </c>
      <c r="H210" s="7">
        <f>IFERROR(E210*F210,0)</f>
        <v/>
      </c>
      <c r="I210" s="7">
        <f>IFERROR(F210-G210,0)</f>
        <v/>
      </c>
      <c r="J210" s="28" t="n"/>
      <c r="K210" s="28" t="n"/>
    </row>
    <row r="211">
      <c r="A211" s="111" t="n"/>
      <c r="B211" s="27">
        <f>IF(A211="","",DATE(YEAR(A211),MONTH(A211),1))</f>
        <v/>
      </c>
      <c r="C211" s="28" t="n"/>
      <c r="D211" s="28" t="n"/>
      <c r="E211" s="28" t="n"/>
      <c r="F211" s="18" t="n"/>
      <c r="G211" s="7">
        <f>IFERROR(VLOOKUP(D211,'Catálogo de Serviços'!$A$5:$F$100,6,FALSE),0)</f>
        <v/>
      </c>
      <c r="H211" s="7">
        <f>IFERROR(E211*F211,0)</f>
        <v/>
      </c>
      <c r="I211" s="7">
        <f>IFERROR(F211-G211,0)</f>
        <v/>
      </c>
      <c r="J211" s="28" t="n"/>
      <c r="K211" s="28" t="n"/>
    </row>
    <row r="212">
      <c r="A212" s="111" t="n"/>
      <c r="B212" s="27">
        <f>IF(A212="","",DATE(YEAR(A212),MONTH(A212),1))</f>
        <v/>
      </c>
      <c r="C212" s="28" t="n"/>
      <c r="D212" s="28" t="n"/>
      <c r="E212" s="28" t="n"/>
      <c r="F212" s="18" t="n"/>
      <c r="G212" s="7">
        <f>IFERROR(VLOOKUP(D212,'Catálogo de Serviços'!$A$5:$F$100,6,FALSE),0)</f>
        <v/>
      </c>
      <c r="H212" s="7">
        <f>IFERROR(E212*F212,0)</f>
        <v/>
      </c>
      <c r="I212" s="7">
        <f>IFERROR(F212-G212,0)</f>
        <v/>
      </c>
      <c r="J212" s="28" t="n"/>
      <c r="K212" s="28" t="n"/>
    </row>
    <row r="213">
      <c r="A213" s="111" t="n"/>
      <c r="B213" s="27">
        <f>IF(A213="","",DATE(YEAR(A213),MONTH(A213),1))</f>
        <v/>
      </c>
      <c r="C213" s="28" t="n"/>
      <c r="D213" s="28" t="n"/>
      <c r="E213" s="28" t="n"/>
      <c r="F213" s="18" t="n"/>
      <c r="G213" s="7">
        <f>IFERROR(VLOOKUP(D213,'Catálogo de Serviços'!$A$5:$F$100,6,FALSE),0)</f>
        <v/>
      </c>
      <c r="H213" s="7">
        <f>IFERROR(E213*F213,0)</f>
        <v/>
      </c>
      <c r="I213" s="7">
        <f>IFERROR(F213-G213,0)</f>
        <v/>
      </c>
      <c r="J213" s="28" t="n"/>
      <c r="K213" s="28" t="n"/>
    </row>
    <row r="214">
      <c r="A214" s="111" t="n"/>
      <c r="B214" s="27">
        <f>IF(A214="","",DATE(YEAR(A214),MONTH(A214),1))</f>
        <v/>
      </c>
      <c r="C214" s="28" t="n"/>
      <c r="D214" s="28" t="n"/>
      <c r="E214" s="28" t="n"/>
      <c r="F214" s="18" t="n"/>
      <c r="G214" s="7">
        <f>IFERROR(VLOOKUP(D214,'Catálogo de Serviços'!$A$5:$F$100,6,FALSE),0)</f>
        <v/>
      </c>
      <c r="H214" s="7">
        <f>IFERROR(E214*F214,0)</f>
        <v/>
      </c>
      <c r="I214" s="7">
        <f>IFERROR(F214-G214,0)</f>
        <v/>
      </c>
      <c r="J214" s="28" t="n"/>
      <c r="K214" s="28" t="n"/>
    </row>
    <row r="215">
      <c r="A215" s="111" t="n"/>
      <c r="B215" s="27">
        <f>IF(A215="","",DATE(YEAR(A215),MONTH(A215),1))</f>
        <v/>
      </c>
      <c r="C215" s="28" t="n"/>
      <c r="D215" s="28" t="n"/>
      <c r="E215" s="28" t="n"/>
      <c r="F215" s="18" t="n"/>
      <c r="G215" s="7">
        <f>IFERROR(VLOOKUP(D215,'Catálogo de Serviços'!$A$5:$F$100,6,FALSE),0)</f>
        <v/>
      </c>
      <c r="H215" s="7">
        <f>IFERROR(E215*F215,0)</f>
        <v/>
      </c>
      <c r="I215" s="7">
        <f>IFERROR(F215-G215,0)</f>
        <v/>
      </c>
      <c r="J215" s="28" t="n"/>
      <c r="K215" s="28" t="n"/>
    </row>
    <row r="216">
      <c r="A216" s="111" t="n"/>
      <c r="B216" s="27">
        <f>IF(A216="","",DATE(YEAR(A216),MONTH(A216),1))</f>
        <v/>
      </c>
      <c r="C216" s="28" t="n"/>
      <c r="D216" s="28" t="n"/>
      <c r="E216" s="28" t="n"/>
      <c r="F216" s="18" t="n"/>
      <c r="G216" s="7">
        <f>IFERROR(VLOOKUP(D216,'Catálogo de Serviços'!$A$5:$F$100,6,FALSE),0)</f>
        <v/>
      </c>
      <c r="H216" s="7">
        <f>IFERROR(E216*F216,0)</f>
        <v/>
      </c>
      <c r="I216" s="7">
        <f>IFERROR(F216-G216,0)</f>
        <v/>
      </c>
      <c r="J216" s="28" t="n"/>
      <c r="K216" s="28" t="n"/>
    </row>
    <row r="217">
      <c r="A217" s="111" t="n"/>
      <c r="B217" s="27">
        <f>IF(A217="","",DATE(YEAR(A217),MONTH(A217),1))</f>
        <v/>
      </c>
      <c r="C217" s="28" t="n"/>
      <c r="D217" s="28" t="n"/>
      <c r="E217" s="28" t="n"/>
      <c r="F217" s="18" t="n"/>
      <c r="G217" s="7">
        <f>IFERROR(VLOOKUP(D217,'Catálogo de Serviços'!$A$5:$F$100,6,FALSE),0)</f>
        <v/>
      </c>
      <c r="H217" s="7">
        <f>IFERROR(E217*F217,0)</f>
        <v/>
      </c>
      <c r="I217" s="7">
        <f>IFERROR(F217-G217,0)</f>
        <v/>
      </c>
      <c r="J217" s="28" t="n"/>
      <c r="K217" s="28" t="n"/>
    </row>
    <row r="218">
      <c r="A218" s="111" t="n"/>
      <c r="B218" s="27">
        <f>IF(A218="","",DATE(YEAR(A218),MONTH(A218),1))</f>
        <v/>
      </c>
      <c r="C218" s="28" t="n"/>
      <c r="D218" s="28" t="n"/>
      <c r="E218" s="28" t="n"/>
      <c r="F218" s="18" t="n"/>
      <c r="G218" s="7">
        <f>IFERROR(VLOOKUP(D218,'Catálogo de Serviços'!$A$5:$F$100,6,FALSE),0)</f>
        <v/>
      </c>
      <c r="H218" s="7">
        <f>IFERROR(E218*F218,0)</f>
        <v/>
      </c>
      <c r="I218" s="7">
        <f>IFERROR(F218-G218,0)</f>
        <v/>
      </c>
      <c r="J218" s="28" t="n"/>
      <c r="K218" s="28" t="n"/>
    </row>
    <row r="219">
      <c r="A219" s="111" t="n"/>
      <c r="B219" s="27">
        <f>IF(A219="","",DATE(YEAR(A219),MONTH(A219),1))</f>
        <v/>
      </c>
      <c r="C219" s="28" t="n"/>
      <c r="D219" s="28" t="n"/>
      <c r="E219" s="28" t="n"/>
      <c r="F219" s="18" t="n"/>
      <c r="G219" s="7">
        <f>IFERROR(VLOOKUP(D219,'Catálogo de Serviços'!$A$5:$F$100,6,FALSE),0)</f>
        <v/>
      </c>
      <c r="H219" s="7">
        <f>IFERROR(E219*F219,0)</f>
        <v/>
      </c>
      <c r="I219" s="7">
        <f>IFERROR(F219-G219,0)</f>
        <v/>
      </c>
      <c r="J219" s="28" t="n"/>
      <c r="K219" s="28" t="n"/>
    </row>
    <row r="220">
      <c r="A220" s="111" t="n"/>
      <c r="B220" s="27">
        <f>IF(A220="","",DATE(YEAR(A220),MONTH(A220),1))</f>
        <v/>
      </c>
      <c r="C220" s="28" t="n"/>
      <c r="D220" s="28" t="n"/>
      <c r="E220" s="28" t="n"/>
      <c r="F220" s="18" t="n"/>
      <c r="G220" s="7">
        <f>IFERROR(VLOOKUP(D220,'Catálogo de Serviços'!$A$5:$F$100,6,FALSE),0)</f>
        <v/>
      </c>
      <c r="H220" s="7">
        <f>IFERROR(E220*F220,0)</f>
        <v/>
      </c>
      <c r="I220" s="7">
        <f>IFERROR(F220-G220,0)</f>
        <v/>
      </c>
      <c r="J220" s="28" t="n"/>
      <c r="K220" s="28" t="n"/>
    </row>
    <row r="221">
      <c r="A221" s="111" t="n"/>
      <c r="B221" s="27">
        <f>IF(A221="","",DATE(YEAR(A221),MONTH(A221),1))</f>
        <v/>
      </c>
      <c r="C221" s="28" t="n"/>
      <c r="D221" s="28" t="n"/>
      <c r="E221" s="28" t="n"/>
      <c r="F221" s="18" t="n"/>
      <c r="G221" s="7">
        <f>IFERROR(VLOOKUP(D221,'Catálogo de Serviços'!$A$5:$F$100,6,FALSE),0)</f>
        <v/>
      </c>
      <c r="H221" s="7">
        <f>IFERROR(E221*F221,0)</f>
        <v/>
      </c>
      <c r="I221" s="7">
        <f>IFERROR(F221-G221,0)</f>
        <v/>
      </c>
      <c r="J221" s="28" t="n"/>
      <c r="K221" s="28" t="n"/>
    </row>
    <row r="222">
      <c r="A222" s="111" t="n"/>
      <c r="B222" s="27">
        <f>IF(A222="","",DATE(YEAR(A222),MONTH(A222),1))</f>
        <v/>
      </c>
      <c r="C222" s="28" t="n"/>
      <c r="D222" s="28" t="n"/>
      <c r="E222" s="28" t="n"/>
      <c r="F222" s="18" t="n"/>
      <c r="G222" s="7">
        <f>IFERROR(VLOOKUP(D222,'Catálogo de Serviços'!$A$5:$F$100,6,FALSE),0)</f>
        <v/>
      </c>
      <c r="H222" s="7">
        <f>IFERROR(E222*F222,0)</f>
        <v/>
      </c>
      <c r="I222" s="7">
        <f>IFERROR(F222-G222,0)</f>
        <v/>
      </c>
      <c r="J222" s="28" t="n"/>
      <c r="K222" s="28" t="n"/>
    </row>
    <row r="223">
      <c r="A223" s="111" t="n"/>
      <c r="B223" s="27">
        <f>IF(A223="","",DATE(YEAR(A223),MONTH(A223),1))</f>
        <v/>
      </c>
      <c r="C223" s="28" t="n"/>
      <c r="D223" s="28" t="n"/>
      <c r="E223" s="28" t="n"/>
      <c r="F223" s="18" t="n"/>
      <c r="G223" s="7">
        <f>IFERROR(VLOOKUP(D223,'Catálogo de Serviços'!$A$5:$F$100,6,FALSE),0)</f>
        <v/>
      </c>
      <c r="H223" s="7">
        <f>IFERROR(E223*F223,0)</f>
        <v/>
      </c>
      <c r="I223" s="7">
        <f>IFERROR(F223-G223,0)</f>
        <v/>
      </c>
      <c r="J223" s="28" t="n"/>
      <c r="K223" s="28" t="n"/>
    </row>
    <row r="224">
      <c r="A224" s="111" t="n"/>
      <c r="B224" s="27">
        <f>IF(A224="","",DATE(YEAR(A224),MONTH(A224),1))</f>
        <v/>
      </c>
      <c r="C224" s="28" t="n"/>
      <c r="D224" s="28" t="n"/>
      <c r="E224" s="28" t="n"/>
      <c r="F224" s="18" t="n"/>
      <c r="G224" s="7">
        <f>IFERROR(VLOOKUP(D224,'Catálogo de Serviços'!$A$5:$F$100,6,FALSE),0)</f>
        <v/>
      </c>
      <c r="H224" s="7">
        <f>IFERROR(E224*F224,0)</f>
        <v/>
      </c>
      <c r="I224" s="7">
        <f>IFERROR(F224-G224,0)</f>
        <v/>
      </c>
      <c r="J224" s="28" t="n"/>
      <c r="K224" s="28" t="n"/>
    </row>
    <row r="225">
      <c r="A225" s="111" t="n"/>
      <c r="B225" s="27">
        <f>IF(A225="","",DATE(YEAR(A225),MONTH(A225),1))</f>
        <v/>
      </c>
      <c r="C225" s="28" t="n"/>
      <c r="D225" s="28" t="n"/>
      <c r="E225" s="28" t="n"/>
      <c r="F225" s="18" t="n"/>
      <c r="G225" s="7">
        <f>IFERROR(VLOOKUP(D225,'Catálogo de Serviços'!$A$5:$F$100,6,FALSE),0)</f>
        <v/>
      </c>
      <c r="H225" s="7">
        <f>IFERROR(E225*F225,0)</f>
        <v/>
      </c>
      <c r="I225" s="7">
        <f>IFERROR(F225-G225,0)</f>
        <v/>
      </c>
      <c r="J225" s="28" t="n"/>
      <c r="K225" s="28" t="n"/>
    </row>
    <row r="226">
      <c r="A226" s="111" t="n"/>
      <c r="B226" s="27">
        <f>IF(A226="","",DATE(YEAR(A226),MONTH(A226),1))</f>
        <v/>
      </c>
      <c r="C226" s="28" t="n"/>
      <c r="D226" s="28" t="n"/>
      <c r="E226" s="28" t="n"/>
      <c r="F226" s="18" t="n"/>
      <c r="G226" s="7">
        <f>IFERROR(VLOOKUP(D226,'Catálogo de Serviços'!$A$5:$F$100,6,FALSE),0)</f>
        <v/>
      </c>
      <c r="H226" s="7">
        <f>IFERROR(E226*F226,0)</f>
        <v/>
      </c>
      <c r="I226" s="7">
        <f>IFERROR(F226-G226,0)</f>
        <v/>
      </c>
      <c r="J226" s="28" t="n"/>
      <c r="K226" s="28" t="n"/>
    </row>
    <row r="227">
      <c r="A227" s="111" t="n"/>
      <c r="B227" s="27">
        <f>IF(A227="","",DATE(YEAR(A227),MONTH(A227),1))</f>
        <v/>
      </c>
      <c r="C227" s="28" t="n"/>
      <c r="D227" s="28" t="n"/>
      <c r="E227" s="28" t="n"/>
      <c r="F227" s="18" t="n"/>
      <c r="G227" s="7">
        <f>IFERROR(VLOOKUP(D227,'Catálogo de Serviços'!$A$5:$F$100,6,FALSE),0)</f>
        <v/>
      </c>
      <c r="H227" s="7">
        <f>IFERROR(E227*F227,0)</f>
        <v/>
      </c>
      <c r="I227" s="7">
        <f>IFERROR(F227-G227,0)</f>
        <v/>
      </c>
      <c r="J227" s="28" t="n"/>
      <c r="K227" s="28" t="n"/>
    </row>
    <row r="228">
      <c r="A228" s="111" t="n"/>
      <c r="B228" s="27">
        <f>IF(A228="","",DATE(YEAR(A228),MONTH(A228),1))</f>
        <v/>
      </c>
      <c r="C228" s="28" t="n"/>
      <c r="D228" s="28" t="n"/>
      <c r="E228" s="28" t="n"/>
      <c r="F228" s="18" t="n"/>
      <c r="G228" s="7">
        <f>IFERROR(VLOOKUP(D228,'Catálogo de Serviços'!$A$5:$F$100,6,FALSE),0)</f>
        <v/>
      </c>
      <c r="H228" s="7">
        <f>IFERROR(E228*F228,0)</f>
        <v/>
      </c>
      <c r="I228" s="7">
        <f>IFERROR(F228-G228,0)</f>
        <v/>
      </c>
      <c r="J228" s="28" t="n"/>
      <c r="K228" s="28" t="n"/>
    </row>
    <row r="229">
      <c r="A229" s="111" t="n"/>
      <c r="B229" s="27">
        <f>IF(A229="","",DATE(YEAR(A229),MONTH(A229),1))</f>
        <v/>
      </c>
      <c r="C229" s="28" t="n"/>
      <c r="D229" s="28" t="n"/>
      <c r="E229" s="28" t="n"/>
      <c r="F229" s="18" t="n"/>
      <c r="G229" s="7">
        <f>IFERROR(VLOOKUP(D229,'Catálogo de Serviços'!$A$5:$F$100,6,FALSE),0)</f>
        <v/>
      </c>
      <c r="H229" s="7">
        <f>IFERROR(E229*F229,0)</f>
        <v/>
      </c>
      <c r="I229" s="7">
        <f>IFERROR(F229-G229,0)</f>
        <v/>
      </c>
      <c r="J229" s="28" t="n"/>
      <c r="K229" s="28" t="n"/>
    </row>
    <row r="230">
      <c r="A230" s="111" t="n"/>
      <c r="B230" s="27">
        <f>IF(A230="","",DATE(YEAR(A230),MONTH(A230),1))</f>
        <v/>
      </c>
      <c r="C230" s="28" t="n"/>
      <c r="D230" s="28" t="n"/>
      <c r="E230" s="28" t="n"/>
      <c r="F230" s="18" t="n"/>
      <c r="G230" s="7">
        <f>IFERROR(VLOOKUP(D230,'Catálogo de Serviços'!$A$5:$F$100,6,FALSE),0)</f>
        <v/>
      </c>
      <c r="H230" s="7">
        <f>IFERROR(E230*F230,0)</f>
        <v/>
      </c>
      <c r="I230" s="7">
        <f>IFERROR(F230-G230,0)</f>
        <v/>
      </c>
      <c r="J230" s="28" t="n"/>
      <c r="K230" s="28" t="n"/>
    </row>
    <row r="231">
      <c r="A231" s="111" t="n"/>
      <c r="B231" s="27">
        <f>IF(A231="","",DATE(YEAR(A231),MONTH(A231),1))</f>
        <v/>
      </c>
      <c r="C231" s="28" t="n"/>
      <c r="D231" s="28" t="n"/>
      <c r="E231" s="28" t="n"/>
      <c r="F231" s="18" t="n"/>
      <c r="G231" s="7">
        <f>IFERROR(VLOOKUP(D231,'Catálogo de Serviços'!$A$5:$F$100,6,FALSE),0)</f>
        <v/>
      </c>
      <c r="H231" s="7">
        <f>IFERROR(E231*F231,0)</f>
        <v/>
      </c>
      <c r="I231" s="7">
        <f>IFERROR(F231-G231,0)</f>
        <v/>
      </c>
      <c r="J231" s="28" t="n"/>
      <c r="K231" s="28" t="n"/>
    </row>
    <row r="232">
      <c r="A232" s="111" t="n"/>
      <c r="B232" s="27">
        <f>IF(A232="","",DATE(YEAR(A232),MONTH(A232),1))</f>
        <v/>
      </c>
      <c r="C232" s="28" t="n"/>
      <c r="D232" s="28" t="n"/>
      <c r="E232" s="28" t="n"/>
      <c r="F232" s="18" t="n"/>
      <c r="G232" s="7">
        <f>IFERROR(VLOOKUP(D232,'Catálogo de Serviços'!$A$5:$F$100,6,FALSE),0)</f>
        <v/>
      </c>
      <c r="H232" s="7">
        <f>IFERROR(E232*F232,0)</f>
        <v/>
      </c>
      <c r="I232" s="7">
        <f>IFERROR(F232-G232,0)</f>
        <v/>
      </c>
      <c r="J232" s="28" t="n"/>
      <c r="K232" s="28" t="n"/>
    </row>
    <row r="233">
      <c r="A233" s="111" t="n"/>
      <c r="B233" s="27">
        <f>IF(A233="","",DATE(YEAR(A233),MONTH(A233),1))</f>
        <v/>
      </c>
      <c r="C233" s="28" t="n"/>
      <c r="D233" s="28" t="n"/>
      <c r="E233" s="28" t="n"/>
      <c r="F233" s="18" t="n"/>
      <c r="G233" s="7">
        <f>IFERROR(VLOOKUP(D233,'Catálogo de Serviços'!$A$5:$F$100,6,FALSE),0)</f>
        <v/>
      </c>
      <c r="H233" s="7">
        <f>IFERROR(E233*F233,0)</f>
        <v/>
      </c>
      <c r="I233" s="7">
        <f>IFERROR(F233-G233,0)</f>
        <v/>
      </c>
      <c r="J233" s="28" t="n"/>
      <c r="K233" s="28" t="n"/>
    </row>
    <row r="234">
      <c r="A234" s="111" t="n"/>
      <c r="B234" s="27">
        <f>IF(A234="","",DATE(YEAR(A234),MONTH(A234),1))</f>
        <v/>
      </c>
      <c r="C234" s="28" t="n"/>
      <c r="D234" s="28" t="n"/>
      <c r="E234" s="28" t="n"/>
      <c r="F234" s="18" t="n"/>
      <c r="G234" s="7">
        <f>IFERROR(VLOOKUP(D234,'Catálogo de Serviços'!$A$5:$F$100,6,FALSE),0)</f>
        <v/>
      </c>
      <c r="H234" s="7">
        <f>IFERROR(E234*F234,0)</f>
        <v/>
      </c>
      <c r="I234" s="7">
        <f>IFERROR(F234-G234,0)</f>
        <v/>
      </c>
      <c r="J234" s="28" t="n"/>
      <c r="K234" s="28" t="n"/>
    </row>
    <row r="235">
      <c r="A235" s="111" t="n"/>
      <c r="B235" s="27">
        <f>IF(A235="","",DATE(YEAR(A235),MONTH(A235),1))</f>
        <v/>
      </c>
      <c r="C235" s="28" t="n"/>
      <c r="D235" s="28" t="n"/>
      <c r="E235" s="28" t="n"/>
      <c r="F235" s="18" t="n"/>
      <c r="G235" s="7">
        <f>IFERROR(VLOOKUP(D235,'Catálogo de Serviços'!$A$5:$F$100,6,FALSE),0)</f>
        <v/>
      </c>
      <c r="H235" s="7">
        <f>IFERROR(E235*F235,0)</f>
        <v/>
      </c>
      <c r="I235" s="7">
        <f>IFERROR(F235-G235,0)</f>
        <v/>
      </c>
      <c r="J235" s="28" t="n"/>
      <c r="K235" s="28" t="n"/>
    </row>
    <row r="236">
      <c r="A236" s="111" t="n"/>
      <c r="B236" s="27">
        <f>IF(A236="","",DATE(YEAR(A236),MONTH(A236),1))</f>
        <v/>
      </c>
      <c r="C236" s="28" t="n"/>
      <c r="D236" s="28" t="n"/>
      <c r="E236" s="28" t="n"/>
      <c r="F236" s="18" t="n"/>
      <c r="G236" s="7">
        <f>IFERROR(VLOOKUP(D236,'Catálogo de Serviços'!$A$5:$F$100,6,FALSE),0)</f>
        <v/>
      </c>
      <c r="H236" s="7">
        <f>IFERROR(E236*F236,0)</f>
        <v/>
      </c>
      <c r="I236" s="7">
        <f>IFERROR(F236-G236,0)</f>
        <v/>
      </c>
      <c r="J236" s="28" t="n"/>
      <c r="K236" s="28" t="n"/>
    </row>
    <row r="237">
      <c r="A237" s="111" t="n"/>
      <c r="B237" s="27">
        <f>IF(A237="","",DATE(YEAR(A237),MONTH(A237),1))</f>
        <v/>
      </c>
      <c r="C237" s="28" t="n"/>
      <c r="D237" s="28" t="n"/>
      <c r="E237" s="28" t="n"/>
      <c r="F237" s="18" t="n"/>
      <c r="G237" s="7">
        <f>IFERROR(VLOOKUP(D237,'Catálogo de Serviços'!$A$5:$F$100,6,FALSE),0)</f>
        <v/>
      </c>
      <c r="H237" s="7">
        <f>IFERROR(E237*F237,0)</f>
        <v/>
      </c>
      <c r="I237" s="7">
        <f>IFERROR(F237-G237,0)</f>
        <v/>
      </c>
      <c r="J237" s="28" t="n"/>
      <c r="K237" s="28" t="n"/>
    </row>
    <row r="238">
      <c r="A238" s="111" t="n"/>
      <c r="B238" s="27">
        <f>IF(A238="","",DATE(YEAR(A238),MONTH(A238),1))</f>
        <v/>
      </c>
      <c r="C238" s="28" t="n"/>
      <c r="D238" s="28" t="n"/>
      <c r="E238" s="28" t="n"/>
      <c r="F238" s="18" t="n"/>
      <c r="G238" s="7">
        <f>IFERROR(VLOOKUP(D238,'Catálogo de Serviços'!$A$5:$F$100,6,FALSE),0)</f>
        <v/>
      </c>
      <c r="H238" s="7">
        <f>IFERROR(E238*F238,0)</f>
        <v/>
      </c>
      <c r="I238" s="7">
        <f>IFERROR(F238-G238,0)</f>
        <v/>
      </c>
      <c r="J238" s="28" t="n"/>
      <c r="K238" s="28" t="n"/>
    </row>
    <row r="239">
      <c r="A239" s="111" t="n"/>
      <c r="B239" s="27">
        <f>IF(A239="","",DATE(YEAR(A239),MONTH(A239),1))</f>
        <v/>
      </c>
      <c r="C239" s="28" t="n"/>
      <c r="D239" s="28" t="n"/>
      <c r="E239" s="28" t="n"/>
      <c r="F239" s="18" t="n"/>
      <c r="G239" s="7">
        <f>IFERROR(VLOOKUP(D239,'Catálogo de Serviços'!$A$5:$F$100,6,FALSE),0)</f>
        <v/>
      </c>
      <c r="H239" s="7">
        <f>IFERROR(E239*F239,0)</f>
        <v/>
      </c>
      <c r="I239" s="7">
        <f>IFERROR(F239-G239,0)</f>
        <v/>
      </c>
      <c r="J239" s="28" t="n"/>
      <c r="K239" s="28" t="n"/>
    </row>
    <row r="240">
      <c r="A240" s="111" t="n"/>
      <c r="B240" s="27">
        <f>IF(A240="","",DATE(YEAR(A240),MONTH(A240),1))</f>
        <v/>
      </c>
      <c r="C240" s="28" t="n"/>
      <c r="D240" s="28" t="n"/>
      <c r="E240" s="28" t="n"/>
      <c r="F240" s="18" t="n"/>
      <c r="G240" s="7">
        <f>IFERROR(VLOOKUP(D240,'Catálogo de Serviços'!$A$5:$F$100,6,FALSE),0)</f>
        <v/>
      </c>
      <c r="H240" s="7">
        <f>IFERROR(E240*F240,0)</f>
        <v/>
      </c>
      <c r="I240" s="7">
        <f>IFERROR(F240-G240,0)</f>
        <v/>
      </c>
      <c r="J240" s="28" t="n"/>
      <c r="K240" s="28" t="n"/>
    </row>
    <row r="241">
      <c r="A241" s="111" t="n"/>
      <c r="B241" s="27">
        <f>IF(A241="","",DATE(YEAR(A241),MONTH(A241),1))</f>
        <v/>
      </c>
      <c r="C241" s="28" t="n"/>
      <c r="D241" s="28" t="n"/>
      <c r="E241" s="28" t="n"/>
      <c r="F241" s="18" t="n"/>
      <c r="G241" s="7">
        <f>IFERROR(VLOOKUP(D241,'Catálogo de Serviços'!$A$5:$F$100,6,FALSE),0)</f>
        <v/>
      </c>
      <c r="H241" s="7">
        <f>IFERROR(E241*F241,0)</f>
        <v/>
      </c>
      <c r="I241" s="7">
        <f>IFERROR(F241-G241,0)</f>
        <v/>
      </c>
      <c r="J241" s="28" t="n"/>
      <c r="K241" s="28" t="n"/>
    </row>
    <row r="242">
      <c r="A242" s="111" t="n"/>
      <c r="B242" s="27">
        <f>IF(A242="","",DATE(YEAR(A242),MONTH(A242),1))</f>
        <v/>
      </c>
      <c r="C242" s="28" t="n"/>
      <c r="D242" s="28" t="n"/>
      <c r="E242" s="28" t="n"/>
      <c r="F242" s="18" t="n"/>
      <c r="G242" s="7">
        <f>IFERROR(VLOOKUP(D242,'Catálogo de Serviços'!$A$5:$F$100,6,FALSE),0)</f>
        <v/>
      </c>
      <c r="H242" s="7">
        <f>IFERROR(E242*F242,0)</f>
        <v/>
      </c>
      <c r="I242" s="7">
        <f>IFERROR(F242-G242,0)</f>
        <v/>
      </c>
      <c r="J242" s="28" t="n"/>
      <c r="K242" s="28" t="n"/>
    </row>
    <row r="243">
      <c r="A243" s="111" t="n"/>
      <c r="B243" s="27">
        <f>IF(A243="","",DATE(YEAR(A243),MONTH(A243),1))</f>
        <v/>
      </c>
      <c r="C243" s="28" t="n"/>
      <c r="D243" s="28" t="n"/>
      <c r="E243" s="28" t="n"/>
      <c r="F243" s="18" t="n"/>
      <c r="G243" s="7">
        <f>IFERROR(VLOOKUP(D243,'Catálogo de Serviços'!$A$5:$F$100,6,FALSE),0)</f>
        <v/>
      </c>
      <c r="H243" s="7">
        <f>IFERROR(E243*F243,0)</f>
        <v/>
      </c>
      <c r="I243" s="7">
        <f>IFERROR(F243-G243,0)</f>
        <v/>
      </c>
      <c r="J243" s="28" t="n"/>
      <c r="K243" s="28" t="n"/>
    </row>
    <row r="244">
      <c r="A244" s="111" t="n"/>
      <c r="B244" s="27">
        <f>IF(A244="","",DATE(YEAR(A244),MONTH(A244),1))</f>
        <v/>
      </c>
      <c r="C244" s="28" t="n"/>
      <c r="D244" s="28" t="n"/>
      <c r="E244" s="28" t="n"/>
      <c r="F244" s="18" t="n"/>
      <c r="G244" s="7">
        <f>IFERROR(VLOOKUP(D244,'Catálogo de Serviços'!$A$5:$F$100,6,FALSE),0)</f>
        <v/>
      </c>
      <c r="H244" s="7">
        <f>IFERROR(E244*F244,0)</f>
        <v/>
      </c>
      <c r="I244" s="7">
        <f>IFERROR(F244-G244,0)</f>
        <v/>
      </c>
      <c r="J244" s="28" t="n"/>
      <c r="K244" s="28" t="n"/>
    </row>
    <row r="245">
      <c r="A245" s="111" t="n"/>
      <c r="B245" s="27">
        <f>IF(A245="","",DATE(YEAR(A245),MONTH(A245),1))</f>
        <v/>
      </c>
      <c r="C245" s="28" t="n"/>
      <c r="D245" s="28" t="n"/>
      <c r="E245" s="28" t="n"/>
      <c r="F245" s="18" t="n"/>
      <c r="G245" s="7">
        <f>IFERROR(VLOOKUP(D245,'Catálogo de Serviços'!$A$5:$F$100,6,FALSE),0)</f>
        <v/>
      </c>
      <c r="H245" s="7">
        <f>IFERROR(E245*F245,0)</f>
        <v/>
      </c>
      <c r="I245" s="7">
        <f>IFERROR(F245-G245,0)</f>
        <v/>
      </c>
      <c r="J245" s="28" t="n"/>
      <c r="K245" s="28" t="n"/>
    </row>
    <row r="246">
      <c r="A246" s="111" t="n"/>
      <c r="B246" s="27">
        <f>IF(A246="","",DATE(YEAR(A246),MONTH(A246),1))</f>
        <v/>
      </c>
      <c r="C246" s="28" t="n"/>
      <c r="D246" s="28" t="n"/>
      <c r="E246" s="28" t="n"/>
      <c r="F246" s="18" t="n"/>
      <c r="G246" s="7">
        <f>IFERROR(VLOOKUP(D246,'Catálogo de Serviços'!$A$5:$F$100,6,FALSE),0)</f>
        <v/>
      </c>
      <c r="H246" s="7">
        <f>IFERROR(E246*F246,0)</f>
        <v/>
      </c>
      <c r="I246" s="7">
        <f>IFERROR(F246-G246,0)</f>
        <v/>
      </c>
      <c r="J246" s="28" t="n"/>
      <c r="K246" s="28" t="n"/>
    </row>
    <row r="247">
      <c r="A247" s="111" t="n"/>
      <c r="B247" s="27">
        <f>IF(A247="","",DATE(YEAR(A247),MONTH(A247),1))</f>
        <v/>
      </c>
      <c r="C247" s="28" t="n"/>
      <c r="D247" s="28" t="n"/>
      <c r="E247" s="28" t="n"/>
      <c r="F247" s="18" t="n"/>
      <c r="G247" s="7">
        <f>IFERROR(VLOOKUP(D247,'Catálogo de Serviços'!$A$5:$F$100,6,FALSE),0)</f>
        <v/>
      </c>
      <c r="H247" s="7">
        <f>IFERROR(E247*F247,0)</f>
        <v/>
      </c>
      <c r="I247" s="7">
        <f>IFERROR(F247-G247,0)</f>
        <v/>
      </c>
      <c r="J247" s="28" t="n"/>
      <c r="K247" s="28" t="n"/>
    </row>
    <row r="248">
      <c r="A248" s="111" t="n"/>
      <c r="B248" s="27">
        <f>IF(A248="","",DATE(YEAR(A248),MONTH(A248),1))</f>
        <v/>
      </c>
      <c r="C248" s="28" t="n"/>
      <c r="D248" s="28" t="n"/>
      <c r="E248" s="28" t="n"/>
      <c r="F248" s="18" t="n"/>
      <c r="G248" s="7">
        <f>IFERROR(VLOOKUP(D248,'Catálogo de Serviços'!$A$5:$F$100,6,FALSE),0)</f>
        <v/>
      </c>
      <c r="H248" s="7">
        <f>IFERROR(E248*F248,0)</f>
        <v/>
      </c>
      <c r="I248" s="7">
        <f>IFERROR(F248-G248,0)</f>
        <v/>
      </c>
      <c r="J248" s="28" t="n"/>
      <c r="K248" s="28" t="n"/>
    </row>
    <row r="249">
      <c r="A249" s="111" t="n"/>
      <c r="B249" s="27">
        <f>IF(A249="","",DATE(YEAR(A249),MONTH(A249),1))</f>
        <v/>
      </c>
      <c r="C249" s="28" t="n"/>
      <c r="D249" s="28" t="n"/>
      <c r="E249" s="28" t="n"/>
      <c r="F249" s="18" t="n"/>
      <c r="G249" s="7">
        <f>IFERROR(VLOOKUP(D249,'Catálogo de Serviços'!$A$5:$F$100,6,FALSE),0)</f>
        <v/>
      </c>
      <c r="H249" s="7">
        <f>IFERROR(E249*F249,0)</f>
        <v/>
      </c>
      <c r="I249" s="7">
        <f>IFERROR(F249-G249,0)</f>
        <v/>
      </c>
      <c r="J249" s="28" t="n"/>
      <c r="K249" s="28" t="n"/>
    </row>
    <row r="250">
      <c r="A250" s="111" t="n"/>
      <c r="B250" s="27">
        <f>IF(A250="","",DATE(YEAR(A250),MONTH(A250),1))</f>
        <v/>
      </c>
      <c r="C250" s="28" t="n"/>
      <c r="D250" s="28" t="n"/>
      <c r="E250" s="28" t="n"/>
      <c r="F250" s="18" t="n"/>
      <c r="G250" s="7">
        <f>IFERROR(VLOOKUP(D250,'Catálogo de Serviços'!$A$5:$F$100,6,FALSE),0)</f>
        <v/>
      </c>
      <c r="H250" s="7">
        <f>IFERROR(E250*F250,0)</f>
        <v/>
      </c>
      <c r="I250" s="7">
        <f>IFERROR(F250-G250,0)</f>
        <v/>
      </c>
      <c r="J250" s="28" t="n"/>
      <c r="K250" s="28" t="n"/>
    </row>
    <row r="251">
      <c r="A251" s="111" t="n"/>
      <c r="B251" s="27">
        <f>IF(A251="","",DATE(YEAR(A251),MONTH(A251),1))</f>
        <v/>
      </c>
      <c r="C251" s="28" t="n"/>
      <c r="D251" s="28" t="n"/>
      <c r="E251" s="28" t="n"/>
      <c r="F251" s="18" t="n"/>
      <c r="G251" s="7">
        <f>IFERROR(VLOOKUP(D251,'Catálogo de Serviços'!$A$5:$F$100,6,FALSE),0)</f>
        <v/>
      </c>
      <c r="H251" s="7">
        <f>IFERROR(E251*F251,0)</f>
        <v/>
      </c>
      <c r="I251" s="7">
        <f>IFERROR(F251-G251,0)</f>
        <v/>
      </c>
      <c r="J251" s="28" t="n"/>
      <c r="K251" s="28" t="n"/>
    </row>
    <row r="252">
      <c r="A252" s="111" t="n"/>
      <c r="B252" s="27">
        <f>IF(A252="","",DATE(YEAR(A252),MONTH(A252),1))</f>
        <v/>
      </c>
      <c r="C252" s="28" t="n"/>
      <c r="D252" s="28" t="n"/>
      <c r="E252" s="28" t="n"/>
      <c r="F252" s="18" t="n"/>
      <c r="G252" s="7">
        <f>IFERROR(VLOOKUP(D252,'Catálogo de Serviços'!$A$5:$F$100,6,FALSE),0)</f>
        <v/>
      </c>
      <c r="H252" s="7">
        <f>IFERROR(E252*F252,0)</f>
        <v/>
      </c>
      <c r="I252" s="7">
        <f>IFERROR(F252-G252,0)</f>
        <v/>
      </c>
      <c r="J252" s="28" t="n"/>
      <c r="K252" s="28" t="n"/>
    </row>
    <row r="253">
      <c r="A253" s="111" t="n"/>
      <c r="B253" s="27">
        <f>IF(A253="","",DATE(YEAR(A253),MONTH(A253),1))</f>
        <v/>
      </c>
      <c r="C253" s="28" t="n"/>
      <c r="D253" s="28" t="n"/>
      <c r="E253" s="28" t="n"/>
      <c r="F253" s="18" t="n"/>
      <c r="G253" s="7">
        <f>IFERROR(VLOOKUP(D253,'Catálogo de Serviços'!$A$5:$F$100,6,FALSE),0)</f>
        <v/>
      </c>
      <c r="H253" s="7">
        <f>IFERROR(E253*F253,0)</f>
        <v/>
      </c>
      <c r="I253" s="7">
        <f>IFERROR(F253-G253,0)</f>
        <v/>
      </c>
      <c r="J253" s="28" t="n"/>
      <c r="K253" s="28" t="n"/>
    </row>
    <row r="254">
      <c r="A254" s="111" t="n"/>
      <c r="B254" s="27">
        <f>IF(A254="","",DATE(YEAR(A254),MONTH(A254),1))</f>
        <v/>
      </c>
      <c r="C254" s="28" t="n"/>
      <c r="D254" s="28" t="n"/>
      <c r="E254" s="28" t="n"/>
      <c r="F254" s="18" t="n"/>
      <c r="G254" s="7">
        <f>IFERROR(VLOOKUP(D254,'Catálogo de Serviços'!$A$5:$F$100,6,FALSE),0)</f>
        <v/>
      </c>
      <c r="H254" s="7">
        <f>IFERROR(E254*F254,0)</f>
        <v/>
      </c>
      <c r="I254" s="7">
        <f>IFERROR(F254-G254,0)</f>
        <v/>
      </c>
      <c r="J254" s="28" t="n"/>
      <c r="K254" s="28" t="n"/>
    </row>
    <row r="255">
      <c r="A255" s="111" t="n"/>
      <c r="B255" s="27">
        <f>IF(A255="","",DATE(YEAR(A255),MONTH(A255),1))</f>
        <v/>
      </c>
      <c r="C255" s="28" t="n"/>
      <c r="D255" s="28" t="n"/>
      <c r="E255" s="28" t="n"/>
      <c r="F255" s="18" t="n"/>
      <c r="G255" s="7">
        <f>IFERROR(VLOOKUP(D255,'Catálogo de Serviços'!$A$5:$F$100,6,FALSE),0)</f>
        <v/>
      </c>
      <c r="H255" s="7">
        <f>IFERROR(E255*F255,0)</f>
        <v/>
      </c>
      <c r="I255" s="7">
        <f>IFERROR(F255-G255,0)</f>
        <v/>
      </c>
      <c r="J255" s="28" t="n"/>
      <c r="K255" s="28" t="n"/>
    </row>
    <row r="256">
      <c r="A256" s="111" t="n"/>
      <c r="B256" s="27">
        <f>IF(A256="","",DATE(YEAR(A256),MONTH(A256),1))</f>
        <v/>
      </c>
      <c r="C256" s="28" t="n"/>
      <c r="D256" s="28" t="n"/>
      <c r="E256" s="28" t="n"/>
      <c r="F256" s="18" t="n"/>
      <c r="G256" s="7">
        <f>IFERROR(VLOOKUP(D256,'Catálogo de Serviços'!$A$5:$F$100,6,FALSE),0)</f>
        <v/>
      </c>
      <c r="H256" s="7">
        <f>IFERROR(E256*F256,0)</f>
        <v/>
      </c>
      <c r="I256" s="7">
        <f>IFERROR(F256-G256,0)</f>
        <v/>
      </c>
      <c r="J256" s="28" t="n"/>
      <c r="K256" s="28" t="n"/>
    </row>
    <row r="257">
      <c r="A257" s="111" t="n"/>
      <c r="B257" s="27">
        <f>IF(A257="","",DATE(YEAR(A257),MONTH(A257),1))</f>
        <v/>
      </c>
      <c r="C257" s="28" t="n"/>
      <c r="D257" s="28" t="n"/>
      <c r="E257" s="28" t="n"/>
      <c r="F257" s="18" t="n"/>
      <c r="G257" s="7">
        <f>IFERROR(VLOOKUP(D257,'Catálogo de Serviços'!$A$5:$F$100,6,FALSE),0)</f>
        <v/>
      </c>
      <c r="H257" s="7">
        <f>IFERROR(E257*F257,0)</f>
        <v/>
      </c>
      <c r="I257" s="7">
        <f>IFERROR(F257-G257,0)</f>
        <v/>
      </c>
      <c r="J257" s="28" t="n"/>
      <c r="K257" s="28" t="n"/>
    </row>
    <row r="258">
      <c r="A258" s="111" t="n"/>
      <c r="B258" s="27">
        <f>IF(A258="","",DATE(YEAR(A258),MONTH(A258),1))</f>
        <v/>
      </c>
      <c r="C258" s="28" t="n"/>
      <c r="D258" s="28" t="n"/>
      <c r="E258" s="28" t="n"/>
      <c r="F258" s="18" t="n"/>
      <c r="G258" s="7">
        <f>IFERROR(VLOOKUP(D258,'Catálogo de Serviços'!$A$5:$F$100,6,FALSE),0)</f>
        <v/>
      </c>
      <c r="H258" s="7">
        <f>IFERROR(E258*F258,0)</f>
        <v/>
      </c>
      <c r="I258" s="7">
        <f>IFERROR(F258-G258,0)</f>
        <v/>
      </c>
      <c r="J258" s="28" t="n"/>
      <c r="K258" s="28" t="n"/>
    </row>
    <row r="259">
      <c r="A259" s="111" t="n"/>
      <c r="B259" s="27">
        <f>IF(A259="","",DATE(YEAR(A259),MONTH(A259),1))</f>
        <v/>
      </c>
      <c r="C259" s="28" t="n"/>
      <c r="D259" s="28" t="n"/>
      <c r="E259" s="28" t="n"/>
      <c r="F259" s="18" t="n"/>
      <c r="G259" s="7">
        <f>IFERROR(VLOOKUP(D259,'Catálogo de Serviços'!$A$5:$F$100,6,FALSE),0)</f>
        <v/>
      </c>
      <c r="H259" s="7">
        <f>IFERROR(E259*F259,0)</f>
        <v/>
      </c>
      <c r="I259" s="7">
        <f>IFERROR(F259-G259,0)</f>
        <v/>
      </c>
      <c r="J259" s="28" t="n"/>
      <c r="K259" s="28" t="n"/>
    </row>
    <row r="260">
      <c r="A260" s="111" t="n"/>
      <c r="B260" s="27">
        <f>IF(A260="","",DATE(YEAR(A260),MONTH(A260),1))</f>
        <v/>
      </c>
      <c r="C260" s="28" t="n"/>
      <c r="D260" s="28" t="n"/>
      <c r="E260" s="28" t="n"/>
      <c r="F260" s="18" t="n"/>
      <c r="G260" s="7">
        <f>IFERROR(VLOOKUP(D260,'Catálogo de Serviços'!$A$5:$F$100,6,FALSE),0)</f>
        <v/>
      </c>
      <c r="H260" s="7">
        <f>IFERROR(E260*F260,0)</f>
        <v/>
      </c>
      <c r="I260" s="7">
        <f>IFERROR(F260-G260,0)</f>
        <v/>
      </c>
      <c r="J260" s="28" t="n"/>
      <c r="K260" s="28" t="n"/>
    </row>
    <row r="261">
      <c r="A261" s="111" t="n"/>
      <c r="B261" s="27">
        <f>IF(A261="","",DATE(YEAR(A261),MONTH(A261),1))</f>
        <v/>
      </c>
      <c r="C261" s="28" t="n"/>
      <c r="D261" s="28" t="n"/>
      <c r="E261" s="28" t="n"/>
      <c r="F261" s="18" t="n"/>
      <c r="G261" s="7">
        <f>IFERROR(VLOOKUP(D261,'Catálogo de Serviços'!$A$5:$F$100,6,FALSE),0)</f>
        <v/>
      </c>
      <c r="H261" s="7">
        <f>IFERROR(E261*F261,0)</f>
        <v/>
      </c>
      <c r="I261" s="7">
        <f>IFERROR(F261-G261,0)</f>
        <v/>
      </c>
      <c r="J261" s="28" t="n"/>
      <c r="K261" s="28" t="n"/>
    </row>
    <row r="262">
      <c r="A262" s="111" t="n"/>
      <c r="B262" s="27">
        <f>IF(A262="","",DATE(YEAR(A262),MONTH(A262),1))</f>
        <v/>
      </c>
      <c r="C262" s="28" t="n"/>
      <c r="D262" s="28" t="n"/>
      <c r="E262" s="28" t="n"/>
      <c r="F262" s="18" t="n"/>
      <c r="G262" s="7">
        <f>IFERROR(VLOOKUP(D262,'Catálogo de Serviços'!$A$5:$F$100,6,FALSE),0)</f>
        <v/>
      </c>
      <c r="H262" s="7">
        <f>IFERROR(E262*F262,0)</f>
        <v/>
      </c>
      <c r="I262" s="7">
        <f>IFERROR(F262-G262,0)</f>
        <v/>
      </c>
      <c r="J262" s="28" t="n"/>
      <c r="K262" s="28" t="n"/>
    </row>
    <row r="263">
      <c r="A263" s="111" t="n"/>
      <c r="B263" s="27">
        <f>IF(A263="","",DATE(YEAR(A263),MONTH(A263),1))</f>
        <v/>
      </c>
      <c r="C263" s="28" t="n"/>
      <c r="D263" s="28" t="n"/>
      <c r="E263" s="28" t="n"/>
      <c r="F263" s="18" t="n"/>
      <c r="G263" s="7">
        <f>IFERROR(VLOOKUP(D263,'Catálogo de Serviços'!$A$5:$F$100,6,FALSE),0)</f>
        <v/>
      </c>
      <c r="H263" s="7">
        <f>IFERROR(E263*F263,0)</f>
        <v/>
      </c>
      <c r="I263" s="7">
        <f>IFERROR(F263-G263,0)</f>
        <v/>
      </c>
      <c r="J263" s="28" t="n"/>
      <c r="K263" s="28" t="n"/>
    </row>
    <row r="264">
      <c r="A264" s="111" t="n"/>
      <c r="B264" s="27">
        <f>IF(A264="","",DATE(YEAR(A264),MONTH(A264),1))</f>
        <v/>
      </c>
      <c r="C264" s="28" t="n"/>
      <c r="D264" s="28" t="n"/>
      <c r="E264" s="28" t="n"/>
      <c r="F264" s="18" t="n"/>
      <c r="G264" s="7">
        <f>IFERROR(VLOOKUP(D264,'Catálogo de Serviços'!$A$5:$F$100,6,FALSE),0)</f>
        <v/>
      </c>
      <c r="H264" s="7">
        <f>IFERROR(E264*F264,0)</f>
        <v/>
      </c>
      <c r="I264" s="7">
        <f>IFERROR(F264-G264,0)</f>
        <v/>
      </c>
      <c r="J264" s="28" t="n"/>
      <c r="K264" s="28" t="n"/>
    </row>
    <row r="265">
      <c r="A265" s="111" t="n"/>
      <c r="B265" s="27">
        <f>IF(A265="","",DATE(YEAR(A265),MONTH(A265),1))</f>
        <v/>
      </c>
      <c r="C265" s="28" t="n"/>
      <c r="D265" s="28" t="n"/>
      <c r="E265" s="28" t="n"/>
      <c r="F265" s="18" t="n"/>
      <c r="G265" s="7">
        <f>IFERROR(VLOOKUP(D265,'Catálogo de Serviços'!$A$5:$F$100,6,FALSE),0)</f>
        <v/>
      </c>
      <c r="H265" s="7">
        <f>IFERROR(E265*F265,0)</f>
        <v/>
      </c>
      <c r="I265" s="7">
        <f>IFERROR(F265-G265,0)</f>
        <v/>
      </c>
      <c r="J265" s="28" t="n"/>
      <c r="K265" s="28" t="n"/>
    </row>
    <row r="266">
      <c r="A266" s="111" t="n"/>
      <c r="B266" s="27">
        <f>IF(A266="","",DATE(YEAR(A266),MONTH(A266),1))</f>
        <v/>
      </c>
      <c r="C266" s="28" t="n"/>
      <c r="D266" s="28" t="n"/>
      <c r="E266" s="28" t="n"/>
      <c r="F266" s="18" t="n"/>
      <c r="G266" s="7">
        <f>IFERROR(VLOOKUP(D266,'Catálogo de Serviços'!$A$5:$F$100,6,FALSE),0)</f>
        <v/>
      </c>
      <c r="H266" s="7">
        <f>IFERROR(E266*F266,0)</f>
        <v/>
      </c>
      <c r="I266" s="7">
        <f>IFERROR(F266-G266,0)</f>
        <v/>
      </c>
      <c r="J266" s="28" t="n"/>
      <c r="K266" s="28" t="n"/>
    </row>
    <row r="267">
      <c r="A267" s="111" t="n"/>
      <c r="B267" s="27">
        <f>IF(A267="","",DATE(YEAR(A267),MONTH(A267),1))</f>
        <v/>
      </c>
      <c r="C267" s="28" t="n"/>
      <c r="D267" s="28" t="n"/>
      <c r="E267" s="28" t="n"/>
      <c r="F267" s="18" t="n"/>
      <c r="G267" s="7">
        <f>IFERROR(VLOOKUP(D267,'Catálogo de Serviços'!$A$5:$F$100,6,FALSE),0)</f>
        <v/>
      </c>
      <c r="H267" s="7">
        <f>IFERROR(E267*F267,0)</f>
        <v/>
      </c>
      <c r="I267" s="7">
        <f>IFERROR(F267-G267,0)</f>
        <v/>
      </c>
      <c r="J267" s="28" t="n"/>
      <c r="K267" s="28" t="n"/>
    </row>
    <row r="268">
      <c r="A268" s="111" t="n"/>
      <c r="B268" s="27">
        <f>IF(A268="","",DATE(YEAR(A268),MONTH(A268),1))</f>
        <v/>
      </c>
      <c r="C268" s="28" t="n"/>
      <c r="D268" s="28" t="n"/>
      <c r="E268" s="28" t="n"/>
      <c r="F268" s="18" t="n"/>
      <c r="G268" s="7">
        <f>IFERROR(VLOOKUP(D268,'Catálogo de Serviços'!$A$5:$F$100,6,FALSE),0)</f>
        <v/>
      </c>
      <c r="H268" s="7">
        <f>IFERROR(E268*F268,0)</f>
        <v/>
      </c>
      <c r="I268" s="7">
        <f>IFERROR(F268-G268,0)</f>
        <v/>
      </c>
      <c r="J268" s="28" t="n"/>
      <c r="K268" s="28" t="n"/>
    </row>
    <row r="269">
      <c r="A269" s="111" t="n"/>
      <c r="B269" s="27">
        <f>IF(A269="","",DATE(YEAR(A269),MONTH(A269),1))</f>
        <v/>
      </c>
      <c r="C269" s="28" t="n"/>
      <c r="D269" s="28" t="n"/>
      <c r="E269" s="28" t="n"/>
      <c r="F269" s="18" t="n"/>
      <c r="G269" s="7">
        <f>IFERROR(VLOOKUP(D269,'Catálogo de Serviços'!$A$5:$F$100,6,FALSE),0)</f>
        <v/>
      </c>
      <c r="H269" s="7">
        <f>IFERROR(E269*F269,0)</f>
        <v/>
      </c>
      <c r="I269" s="7">
        <f>IFERROR(F269-G269,0)</f>
        <v/>
      </c>
      <c r="J269" s="28" t="n"/>
      <c r="K269" s="28" t="n"/>
    </row>
    <row r="270">
      <c r="A270" s="111" t="n"/>
      <c r="B270" s="27">
        <f>IF(A270="","",DATE(YEAR(A270),MONTH(A270),1))</f>
        <v/>
      </c>
      <c r="C270" s="28" t="n"/>
      <c r="D270" s="28" t="n"/>
      <c r="E270" s="28" t="n"/>
      <c r="F270" s="18" t="n"/>
      <c r="G270" s="7">
        <f>IFERROR(VLOOKUP(D270,'Catálogo de Serviços'!$A$5:$F$100,6,FALSE),0)</f>
        <v/>
      </c>
      <c r="H270" s="7">
        <f>IFERROR(E270*F270,0)</f>
        <v/>
      </c>
      <c r="I270" s="7">
        <f>IFERROR(F270-G270,0)</f>
        <v/>
      </c>
      <c r="J270" s="28" t="n"/>
      <c r="K270" s="28" t="n"/>
    </row>
    <row r="271">
      <c r="A271" s="111" t="n"/>
      <c r="B271" s="27">
        <f>IF(A271="","",DATE(YEAR(A271),MONTH(A271),1))</f>
        <v/>
      </c>
      <c r="C271" s="28" t="n"/>
      <c r="D271" s="28" t="n"/>
      <c r="E271" s="28" t="n"/>
      <c r="F271" s="18" t="n"/>
      <c r="G271" s="7">
        <f>IFERROR(VLOOKUP(D271,'Catálogo de Serviços'!$A$5:$F$100,6,FALSE),0)</f>
        <v/>
      </c>
      <c r="H271" s="7">
        <f>IFERROR(E271*F271,0)</f>
        <v/>
      </c>
      <c r="I271" s="7">
        <f>IFERROR(F271-G271,0)</f>
        <v/>
      </c>
      <c r="J271" s="28" t="n"/>
      <c r="K271" s="28" t="n"/>
    </row>
    <row r="272">
      <c r="A272" s="111" t="n"/>
      <c r="B272" s="27">
        <f>IF(A272="","",DATE(YEAR(A272),MONTH(A272),1))</f>
        <v/>
      </c>
      <c r="C272" s="28" t="n"/>
      <c r="D272" s="28" t="n"/>
      <c r="E272" s="28" t="n"/>
      <c r="F272" s="18" t="n"/>
      <c r="G272" s="7">
        <f>IFERROR(VLOOKUP(D272,'Catálogo de Serviços'!$A$5:$F$100,6,FALSE),0)</f>
        <v/>
      </c>
      <c r="H272" s="7">
        <f>IFERROR(E272*F272,0)</f>
        <v/>
      </c>
      <c r="I272" s="7">
        <f>IFERROR(F272-G272,0)</f>
        <v/>
      </c>
      <c r="J272" s="28" t="n"/>
      <c r="K272" s="28" t="n"/>
    </row>
    <row r="273">
      <c r="A273" s="111" t="n"/>
      <c r="B273" s="27">
        <f>IF(A273="","",DATE(YEAR(A273),MONTH(A273),1))</f>
        <v/>
      </c>
      <c r="C273" s="28" t="n"/>
      <c r="D273" s="28" t="n"/>
      <c r="E273" s="28" t="n"/>
      <c r="F273" s="18" t="n"/>
      <c r="G273" s="7">
        <f>IFERROR(VLOOKUP(D273,'Catálogo de Serviços'!$A$5:$F$100,6,FALSE),0)</f>
        <v/>
      </c>
      <c r="H273" s="7">
        <f>IFERROR(E273*F273,0)</f>
        <v/>
      </c>
      <c r="I273" s="7">
        <f>IFERROR(F273-G273,0)</f>
        <v/>
      </c>
      <c r="J273" s="28" t="n"/>
      <c r="K273" s="28" t="n"/>
    </row>
    <row r="274">
      <c r="A274" s="111" t="n"/>
      <c r="B274" s="27">
        <f>IF(A274="","",DATE(YEAR(A274),MONTH(A274),1))</f>
        <v/>
      </c>
      <c r="C274" s="28" t="n"/>
      <c r="D274" s="28" t="n"/>
      <c r="E274" s="28" t="n"/>
      <c r="F274" s="18" t="n"/>
      <c r="G274" s="7">
        <f>IFERROR(VLOOKUP(D274,'Catálogo de Serviços'!$A$5:$F$100,6,FALSE),0)</f>
        <v/>
      </c>
      <c r="H274" s="7">
        <f>IFERROR(E274*F274,0)</f>
        <v/>
      </c>
      <c r="I274" s="7">
        <f>IFERROR(F274-G274,0)</f>
        <v/>
      </c>
      <c r="J274" s="28" t="n"/>
      <c r="K274" s="28" t="n"/>
    </row>
    <row r="275">
      <c r="A275" s="111" t="n"/>
      <c r="B275" s="27">
        <f>IF(A275="","",DATE(YEAR(A275),MONTH(A275),1))</f>
        <v/>
      </c>
      <c r="C275" s="28" t="n"/>
      <c r="D275" s="28" t="n"/>
      <c r="E275" s="28" t="n"/>
      <c r="F275" s="18" t="n"/>
      <c r="G275" s="7">
        <f>IFERROR(VLOOKUP(D275,'Catálogo de Serviços'!$A$5:$F$100,6,FALSE),0)</f>
        <v/>
      </c>
      <c r="H275" s="7">
        <f>IFERROR(E275*F275,0)</f>
        <v/>
      </c>
      <c r="I275" s="7">
        <f>IFERROR(F275-G275,0)</f>
        <v/>
      </c>
      <c r="J275" s="28" t="n"/>
      <c r="K275" s="28" t="n"/>
    </row>
    <row r="276">
      <c r="A276" s="111" t="n"/>
      <c r="B276" s="27">
        <f>IF(A276="","",DATE(YEAR(A276),MONTH(A276),1))</f>
        <v/>
      </c>
      <c r="C276" s="28" t="n"/>
      <c r="D276" s="28" t="n"/>
      <c r="E276" s="28" t="n"/>
      <c r="F276" s="18" t="n"/>
      <c r="G276" s="7">
        <f>IFERROR(VLOOKUP(D276,'Catálogo de Serviços'!$A$5:$F$100,6,FALSE),0)</f>
        <v/>
      </c>
      <c r="H276" s="7">
        <f>IFERROR(E276*F276,0)</f>
        <v/>
      </c>
      <c r="I276" s="7">
        <f>IFERROR(F276-G276,0)</f>
        <v/>
      </c>
      <c r="J276" s="28" t="n"/>
      <c r="K276" s="28" t="n"/>
    </row>
    <row r="277">
      <c r="A277" s="111" t="n"/>
      <c r="B277" s="27">
        <f>IF(A277="","",DATE(YEAR(A277),MONTH(A277),1))</f>
        <v/>
      </c>
      <c r="C277" s="28" t="n"/>
      <c r="D277" s="28" t="n"/>
      <c r="E277" s="28" t="n"/>
      <c r="F277" s="18" t="n"/>
      <c r="G277" s="7">
        <f>IFERROR(VLOOKUP(D277,'Catálogo de Serviços'!$A$5:$F$100,6,FALSE),0)</f>
        <v/>
      </c>
      <c r="H277" s="7">
        <f>IFERROR(E277*F277,0)</f>
        <v/>
      </c>
      <c r="I277" s="7">
        <f>IFERROR(F277-G277,0)</f>
        <v/>
      </c>
      <c r="J277" s="28" t="n"/>
      <c r="K277" s="28" t="n"/>
    </row>
    <row r="278">
      <c r="A278" s="111" t="n"/>
      <c r="B278" s="27">
        <f>IF(A278="","",DATE(YEAR(A278),MONTH(A278),1))</f>
        <v/>
      </c>
      <c r="C278" s="28" t="n"/>
      <c r="D278" s="28" t="n"/>
      <c r="E278" s="28" t="n"/>
      <c r="F278" s="18" t="n"/>
      <c r="G278" s="7">
        <f>IFERROR(VLOOKUP(D278,'Catálogo de Serviços'!$A$5:$F$100,6,FALSE),0)</f>
        <v/>
      </c>
      <c r="H278" s="7">
        <f>IFERROR(E278*F278,0)</f>
        <v/>
      </c>
      <c r="I278" s="7">
        <f>IFERROR(F278-G278,0)</f>
        <v/>
      </c>
      <c r="J278" s="28" t="n"/>
      <c r="K278" s="28" t="n"/>
    </row>
    <row r="279">
      <c r="A279" s="111" t="n"/>
      <c r="B279" s="27">
        <f>IF(A279="","",DATE(YEAR(A279),MONTH(A279),1))</f>
        <v/>
      </c>
      <c r="C279" s="28" t="n"/>
      <c r="D279" s="28" t="n"/>
      <c r="E279" s="28" t="n"/>
      <c r="F279" s="18" t="n"/>
      <c r="G279" s="7">
        <f>IFERROR(VLOOKUP(D279,'Catálogo de Serviços'!$A$5:$F$100,6,FALSE),0)</f>
        <v/>
      </c>
      <c r="H279" s="7">
        <f>IFERROR(E279*F279,0)</f>
        <v/>
      </c>
      <c r="I279" s="7">
        <f>IFERROR(F279-G279,0)</f>
        <v/>
      </c>
      <c r="J279" s="28" t="n"/>
      <c r="K279" s="28" t="n"/>
    </row>
    <row r="280">
      <c r="A280" s="111" t="n"/>
      <c r="B280" s="27">
        <f>IF(A280="","",DATE(YEAR(A280),MONTH(A280),1))</f>
        <v/>
      </c>
      <c r="C280" s="28" t="n"/>
      <c r="D280" s="28" t="n"/>
      <c r="E280" s="28" t="n"/>
      <c r="F280" s="18" t="n"/>
      <c r="G280" s="7">
        <f>IFERROR(VLOOKUP(D280,'Catálogo de Serviços'!$A$5:$F$100,6,FALSE),0)</f>
        <v/>
      </c>
      <c r="H280" s="7">
        <f>IFERROR(E280*F280,0)</f>
        <v/>
      </c>
      <c r="I280" s="7">
        <f>IFERROR(F280-G280,0)</f>
        <v/>
      </c>
      <c r="J280" s="28" t="n"/>
      <c r="K280" s="28" t="n"/>
    </row>
    <row r="281">
      <c r="A281" s="111" t="n"/>
      <c r="B281" s="27">
        <f>IF(A281="","",DATE(YEAR(A281),MONTH(A281),1))</f>
        <v/>
      </c>
      <c r="C281" s="28" t="n"/>
      <c r="D281" s="28" t="n"/>
      <c r="E281" s="28" t="n"/>
      <c r="F281" s="18" t="n"/>
      <c r="G281" s="7">
        <f>IFERROR(VLOOKUP(D281,'Catálogo de Serviços'!$A$5:$F$100,6,FALSE),0)</f>
        <v/>
      </c>
      <c r="H281" s="7">
        <f>IFERROR(E281*F281,0)</f>
        <v/>
      </c>
      <c r="I281" s="7">
        <f>IFERROR(F281-G281,0)</f>
        <v/>
      </c>
      <c r="J281" s="28" t="n"/>
      <c r="K281" s="28" t="n"/>
    </row>
    <row r="282">
      <c r="A282" s="111" t="n"/>
      <c r="B282" s="27">
        <f>IF(A282="","",DATE(YEAR(A282),MONTH(A282),1))</f>
        <v/>
      </c>
      <c r="C282" s="28" t="n"/>
      <c r="D282" s="28" t="n"/>
      <c r="E282" s="28" t="n"/>
      <c r="F282" s="18" t="n"/>
      <c r="G282" s="7">
        <f>IFERROR(VLOOKUP(D282,'Catálogo de Serviços'!$A$5:$F$100,6,FALSE),0)</f>
        <v/>
      </c>
      <c r="H282" s="7">
        <f>IFERROR(E282*F282,0)</f>
        <v/>
      </c>
      <c r="I282" s="7">
        <f>IFERROR(F282-G282,0)</f>
        <v/>
      </c>
      <c r="J282" s="28" t="n"/>
      <c r="K282" s="28" t="n"/>
    </row>
    <row r="283">
      <c r="A283" s="111" t="n"/>
      <c r="B283" s="27">
        <f>IF(A283="","",DATE(YEAR(A283),MONTH(A283),1))</f>
        <v/>
      </c>
      <c r="C283" s="28" t="n"/>
      <c r="D283" s="28" t="n"/>
      <c r="E283" s="28" t="n"/>
      <c r="F283" s="18" t="n"/>
      <c r="G283" s="7">
        <f>IFERROR(VLOOKUP(D283,'Catálogo de Serviços'!$A$5:$F$100,6,FALSE),0)</f>
        <v/>
      </c>
      <c r="H283" s="7">
        <f>IFERROR(E283*F283,0)</f>
        <v/>
      </c>
      <c r="I283" s="7">
        <f>IFERROR(F283-G283,0)</f>
        <v/>
      </c>
      <c r="J283" s="28" t="n"/>
      <c r="K283" s="28" t="n"/>
    </row>
    <row r="284">
      <c r="A284" s="111" t="n"/>
      <c r="B284" s="27">
        <f>IF(A284="","",DATE(YEAR(A284),MONTH(A284),1))</f>
        <v/>
      </c>
      <c r="C284" s="28" t="n"/>
      <c r="D284" s="28" t="n"/>
      <c r="E284" s="28" t="n"/>
      <c r="F284" s="18" t="n"/>
      <c r="G284" s="7">
        <f>IFERROR(VLOOKUP(D284,'Catálogo de Serviços'!$A$5:$F$100,6,FALSE),0)</f>
        <v/>
      </c>
      <c r="H284" s="7">
        <f>IFERROR(E284*F284,0)</f>
        <v/>
      </c>
      <c r="I284" s="7">
        <f>IFERROR(F284-G284,0)</f>
        <v/>
      </c>
      <c r="J284" s="28" t="n"/>
      <c r="K284" s="28" t="n"/>
    </row>
    <row r="285">
      <c r="A285" s="111" t="n"/>
      <c r="B285" s="27">
        <f>IF(A285="","",DATE(YEAR(A285),MONTH(A285),1))</f>
        <v/>
      </c>
      <c r="C285" s="28" t="n"/>
      <c r="D285" s="28" t="n"/>
      <c r="E285" s="28" t="n"/>
      <c r="F285" s="18" t="n"/>
      <c r="G285" s="7">
        <f>IFERROR(VLOOKUP(D285,'Catálogo de Serviços'!$A$5:$F$100,6,FALSE),0)</f>
        <v/>
      </c>
      <c r="H285" s="7">
        <f>IFERROR(E285*F285,0)</f>
        <v/>
      </c>
      <c r="I285" s="7">
        <f>IFERROR(F285-G285,0)</f>
        <v/>
      </c>
      <c r="J285" s="28" t="n"/>
      <c r="K285" s="28" t="n"/>
    </row>
    <row r="286">
      <c r="A286" s="111" t="n"/>
      <c r="B286" s="27">
        <f>IF(A286="","",DATE(YEAR(A286),MONTH(A286),1))</f>
        <v/>
      </c>
      <c r="C286" s="28" t="n"/>
      <c r="D286" s="28" t="n"/>
      <c r="E286" s="28" t="n"/>
      <c r="F286" s="18" t="n"/>
      <c r="G286" s="7">
        <f>IFERROR(VLOOKUP(D286,'Catálogo de Serviços'!$A$5:$F$100,6,FALSE),0)</f>
        <v/>
      </c>
      <c r="H286" s="7">
        <f>IFERROR(E286*F286,0)</f>
        <v/>
      </c>
      <c r="I286" s="7">
        <f>IFERROR(F286-G286,0)</f>
        <v/>
      </c>
      <c r="J286" s="28" t="n"/>
      <c r="K286" s="28" t="n"/>
    </row>
    <row r="287">
      <c r="A287" s="111" t="n"/>
      <c r="B287" s="27">
        <f>IF(A287="","",DATE(YEAR(A287),MONTH(A287),1))</f>
        <v/>
      </c>
      <c r="C287" s="28" t="n"/>
      <c r="D287" s="28" t="n"/>
      <c r="E287" s="28" t="n"/>
      <c r="F287" s="18" t="n"/>
      <c r="G287" s="7">
        <f>IFERROR(VLOOKUP(D287,'Catálogo de Serviços'!$A$5:$F$100,6,FALSE),0)</f>
        <v/>
      </c>
      <c r="H287" s="7">
        <f>IFERROR(E287*F287,0)</f>
        <v/>
      </c>
      <c r="I287" s="7">
        <f>IFERROR(F287-G287,0)</f>
        <v/>
      </c>
      <c r="J287" s="28" t="n"/>
      <c r="K287" s="28" t="n"/>
    </row>
    <row r="288">
      <c r="A288" s="111" t="n"/>
      <c r="B288" s="27">
        <f>IF(A288="","",DATE(YEAR(A288),MONTH(A288),1))</f>
        <v/>
      </c>
      <c r="C288" s="28" t="n"/>
      <c r="D288" s="28" t="n"/>
      <c r="E288" s="28" t="n"/>
      <c r="F288" s="18" t="n"/>
      <c r="G288" s="7">
        <f>IFERROR(VLOOKUP(D288,'Catálogo de Serviços'!$A$5:$F$100,6,FALSE),0)</f>
        <v/>
      </c>
      <c r="H288" s="7">
        <f>IFERROR(E288*F288,0)</f>
        <v/>
      </c>
      <c r="I288" s="7">
        <f>IFERROR(F288-G288,0)</f>
        <v/>
      </c>
      <c r="J288" s="28" t="n"/>
      <c r="K288" s="28" t="n"/>
    </row>
    <row r="289">
      <c r="A289" s="111" t="n"/>
      <c r="B289" s="27">
        <f>IF(A289="","",DATE(YEAR(A289),MONTH(A289),1))</f>
        <v/>
      </c>
      <c r="C289" s="28" t="n"/>
      <c r="D289" s="28" t="n"/>
      <c r="E289" s="28" t="n"/>
      <c r="F289" s="18" t="n"/>
      <c r="G289" s="7">
        <f>IFERROR(VLOOKUP(D289,'Catálogo de Serviços'!$A$5:$F$100,6,FALSE),0)</f>
        <v/>
      </c>
      <c r="H289" s="7">
        <f>IFERROR(E289*F289,0)</f>
        <v/>
      </c>
      <c r="I289" s="7">
        <f>IFERROR(F289-G289,0)</f>
        <v/>
      </c>
      <c r="J289" s="28" t="n"/>
      <c r="K289" s="28" t="n"/>
    </row>
    <row r="290">
      <c r="A290" s="111" t="n"/>
      <c r="B290" s="27">
        <f>IF(A290="","",DATE(YEAR(A290),MONTH(A290),1))</f>
        <v/>
      </c>
      <c r="C290" s="28" t="n"/>
      <c r="D290" s="28" t="n"/>
      <c r="E290" s="28" t="n"/>
      <c r="F290" s="18" t="n"/>
      <c r="G290" s="7">
        <f>IFERROR(VLOOKUP(D290,'Catálogo de Serviços'!$A$5:$F$100,6,FALSE),0)</f>
        <v/>
      </c>
      <c r="H290" s="7">
        <f>IFERROR(E290*F290,0)</f>
        <v/>
      </c>
      <c r="I290" s="7">
        <f>IFERROR(F290-G290,0)</f>
        <v/>
      </c>
      <c r="J290" s="28" t="n"/>
      <c r="K290" s="28" t="n"/>
    </row>
    <row r="291">
      <c r="A291" s="111" t="n"/>
      <c r="B291" s="27">
        <f>IF(A291="","",DATE(YEAR(A291),MONTH(A291),1))</f>
        <v/>
      </c>
      <c r="C291" s="28" t="n"/>
      <c r="D291" s="28" t="n"/>
      <c r="E291" s="28" t="n"/>
      <c r="F291" s="18" t="n"/>
      <c r="G291" s="7">
        <f>IFERROR(VLOOKUP(D291,'Catálogo de Serviços'!$A$5:$F$100,6,FALSE),0)</f>
        <v/>
      </c>
      <c r="H291" s="7">
        <f>IFERROR(E291*F291,0)</f>
        <v/>
      </c>
      <c r="I291" s="7">
        <f>IFERROR(F291-G291,0)</f>
        <v/>
      </c>
      <c r="J291" s="28" t="n"/>
      <c r="K291" s="28" t="n"/>
    </row>
    <row r="292">
      <c r="A292" s="111" t="n"/>
      <c r="B292" s="27">
        <f>IF(A292="","",DATE(YEAR(A292),MONTH(A292),1))</f>
        <v/>
      </c>
      <c r="C292" s="28" t="n"/>
      <c r="D292" s="28" t="n"/>
      <c r="E292" s="28" t="n"/>
      <c r="F292" s="18" t="n"/>
      <c r="G292" s="7">
        <f>IFERROR(VLOOKUP(D292,'Catálogo de Serviços'!$A$5:$F$100,6,FALSE),0)</f>
        <v/>
      </c>
      <c r="H292" s="7">
        <f>IFERROR(E292*F292,0)</f>
        <v/>
      </c>
      <c r="I292" s="7">
        <f>IFERROR(F292-G292,0)</f>
        <v/>
      </c>
      <c r="J292" s="28" t="n"/>
      <c r="K292" s="28" t="n"/>
    </row>
    <row r="293">
      <c r="A293" s="111" t="n"/>
      <c r="B293" s="27">
        <f>IF(A293="","",DATE(YEAR(A293),MONTH(A293),1))</f>
        <v/>
      </c>
      <c r="C293" s="28" t="n"/>
      <c r="D293" s="28" t="n"/>
      <c r="E293" s="28" t="n"/>
      <c r="F293" s="18" t="n"/>
      <c r="G293" s="7">
        <f>IFERROR(VLOOKUP(D293,'Catálogo de Serviços'!$A$5:$F$100,6,FALSE),0)</f>
        <v/>
      </c>
      <c r="H293" s="7">
        <f>IFERROR(E293*F293,0)</f>
        <v/>
      </c>
      <c r="I293" s="7">
        <f>IFERROR(F293-G293,0)</f>
        <v/>
      </c>
      <c r="J293" s="28" t="n"/>
      <c r="K293" s="28" t="n"/>
    </row>
    <row r="294">
      <c r="A294" s="111" t="n"/>
      <c r="B294" s="27">
        <f>IF(A294="","",DATE(YEAR(A294),MONTH(A294),1))</f>
        <v/>
      </c>
      <c r="C294" s="28" t="n"/>
      <c r="D294" s="28" t="n"/>
      <c r="E294" s="28" t="n"/>
      <c r="F294" s="18" t="n"/>
      <c r="G294" s="7">
        <f>IFERROR(VLOOKUP(D294,'Catálogo de Serviços'!$A$5:$F$100,6,FALSE),0)</f>
        <v/>
      </c>
      <c r="H294" s="7">
        <f>IFERROR(E294*F294,0)</f>
        <v/>
      </c>
      <c r="I294" s="7">
        <f>IFERROR(F294-G294,0)</f>
        <v/>
      </c>
      <c r="J294" s="28" t="n"/>
      <c r="K294" s="28" t="n"/>
    </row>
    <row r="295">
      <c r="A295" s="111" t="n"/>
      <c r="B295" s="27">
        <f>IF(A295="","",DATE(YEAR(A295),MONTH(A295),1))</f>
        <v/>
      </c>
      <c r="C295" s="28" t="n"/>
      <c r="D295" s="28" t="n"/>
      <c r="E295" s="28" t="n"/>
      <c r="F295" s="18" t="n"/>
      <c r="G295" s="7">
        <f>IFERROR(VLOOKUP(D295,'Catálogo de Serviços'!$A$5:$F$100,6,FALSE),0)</f>
        <v/>
      </c>
      <c r="H295" s="7">
        <f>IFERROR(E295*F295,0)</f>
        <v/>
      </c>
      <c r="I295" s="7">
        <f>IFERROR(F295-G295,0)</f>
        <v/>
      </c>
      <c r="J295" s="28" t="n"/>
      <c r="K295" s="28" t="n"/>
    </row>
    <row r="296">
      <c r="A296" s="111" t="n"/>
      <c r="B296" s="27">
        <f>IF(A296="","",DATE(YEAR(A296),MONTH(A296),1))</f>
        <v/>
      </c>
      <c r="C296" s="28" t="n"/>
      <c r="D296" s="28" t="n"/>
      <c r="E296" s="28" t="n"/>
      <c r="F296" s="18" t="n"/>
      <c r="G296" s="7">
        <f>IFERROR(VLOOKUP(D296,'Catálogo de Serviços'!$A$5:$F$100,6,FALSE),0)</f>
        <v/>
      </c>
      <c r="H296" s="7">
        <f>IFERROR(E296*F296,0)</f>
        <v/>
      </c>
      <c r="I296" s="7">
        <f>IFERROR(F296-G296,0)</f>
        <v/>
      </c>
      <c r="J296" s="28" t="n"/>
      <c r="K296" s="28" t="n"/>
    </row>
    <row r="297">
      <c r="A297" s="111" t="n"/>
      <c r="B297" s="27">
        <f>IF(A297="","",DATE(YEAR(A297),MONTH(A297),1))</f>
        <v/>
      </c>
      <c r="C297" s="28" t="n"/>
      <c r="D297" s="28" t="n"/>
      <c r="E297" s="28" t="n"/>
      <c r="F297" s="18" t="n"/>
      <c r="G297" s="7">
        <f>IFERROR(VLOOKUP(D297,'Catálogo de Serviços'!$A$5:$F$100,6,FALSE),0)</f>
        <v/>
      </c>
      <c r="H297" s="7">
        <f>IFERROR(E297*F297,0)</f>
        <v/>
      </c>
      <c r="I297" s="7">
        <f>IFERROR(F297-G297,0)</f>
        <v/>
      </c>
      <c r="J297" s="28" t="n"/>
      <c r="K297" s="28" t="n"/>
    </row>
    <row r="298">
      <c r="A298" s="111" t="n"/>
      <c r="B298" s="27">
        <f>IF(A298="","",DATE(YEAR(A298),MONTH(A298),1))</f>
        <v/>
      </c>
      <c r="C298" s="28" t="n"/>
      <c r="D298" s="28" t="n"/>
      <c r="E298" s="28" t="n"/>
      <c r="F298" s="18" t="n"/>
      <c r="G298" s="7">
        <f>IFERROR(VLOOKUP(D298,'Catálogo de Serviços'!$A$5:$F$100,6,FALSE),0)</f>
        <v/>
      </c>
      <c r="H298" s="7">
        <f>IFERROR(E298*F298,0)</f>
        <v/>
      </c>
      <c r="I298" s="7">
        <f>IFERROR(F298-G298,0)</f>
        <v/>
      </c>
      <c r="J298" s="28" t="n"/>
      <c r="K298" s="28" t="n"/>
    </row>
    <row r="299">
      <c r="A299" s="111" t="n"/>
      <c r="B299" s="27">
        <f>IF(A299="","",DATE(YEAR(A299),MONTH(A299),1))</f>
        <v/>
      </c>
      <c r="C299" s="28" t="n"/>
      <c r="D299" s="28" t="n"/>
      <c r="E299" s="28" t="n"/>
      <c r="F299" s="18" t="n"/>
      <c r="G299" s="7">
        <f>IFERROR(VLOOKUP(D299,'Catálogo de Serviços'!$A$5:$F$100,6,FALSE),0)</f>
        <v/>
      </c>
      <c r="H299" s="7">
        <f>IFERROR(E299*F299,0)</f>
        <v/>
      </c>
      <c r="I299" s="7">
        <f>IFERROR(F299-G299,0)</f>
        <v/>
      </c>
      <c r="J299" s="28" t="n"/>
      <c r="K299" s="28" t="n"/>
    </row>
    <row r="300">
      <c r="A300" s="111" t="n"/>
      <c r="B300" s="27">
        <f>IF(A300="","",DATE(YEAR(A300),MONTH(A300),1))</f>
        <v/>
      </c>
      <c r="C300" s="28" t="n"/>
      <c r="D300" s="28" t="n"/>
      <c r="E300" s="28" t="n"/>
      <c r="F300" s="18" t="n"/>
      <c r="G300" s="7">
        <f>IFERROR(VLOOKUP(D300,'Catálogo de Serviços'!$A$5:$F$100,6,FALSE),0)</f>
        <v/>
      </c>
      <c r="H300" s="7">
        <f>IFERROR(E300*F300,0)</f>
        <v/>
      </c>
      <c r="I300" s="7">
        <f>IFERROR(F300-G300,0)</f>
        <v/>
      </c>
      <c r="J300" s="28" t="n"/>
      <c r="K300" s="28" t="n"/>
    </row>
    <row r="301">
      <c r="A301" s="111" t="n"/>
      <c r="B301" s="27">
        <f>IF(A301="","",DATE(YEAR(A301),MONTH(A301),1))</f>
        <v/>
      </c>
      <c r="C301" s="28" t="n"/>
      <c r="D301" s="28" t="n"/>
      <c r="E301" s="28" t="n"/>
      <c r="F301" s="18" t="n"/>
      <c r="G301" s="7">
        <f>IFERROR(VLOOKUP(D301,'Catálogo de Serviços'!$A$5:$F$100,6,FALSE),0)</f>
        <v/>
      </c>
      <c r="H301" s="7">
        <f>IFERROR(E301*F301,0)</f>
        <v/>
      </c>
      <c r="I301" s="7">
        <f>IFERROR(F301-G301,0)</f>
        <v/>
      </c>
      <c r="J301" s="28" t="n"/>
      <c r="K301" s="28" t="n"/>
    </row>
    <row r="302">
      <c r="A302" s="111" t="n"/>
      <c r="B302" s="27">
        <f>IF(A302="","",DATE(YEAR(A302),MONTH(A302),1))</f>
        <v/>
      </c>
      <c r="C302" s="28" t="n"/>
      <c r="D302" s="28" t="n"/>
      <c r="E302" s="28" t="n"/>
      <c r="F302" s="18" t="n"/>
      <c r="G302" s="7">
        <f>IFERROR(VLOOKUP(D302,'Catálogo de Serviços'!$A$5:$F$100,6,FALSE),0)</f>
        <v/>
      </c>
      <c r="H302" s="7">
        <f>IFERROR(E302*F302,0)</f>
        <v/>
      </c>
      <c r="I302" s="7">
        <f>IFERROR(F302-G302,0)</f>
        <v/>
      </c>
      <c r="J302" s="28" t="n"/>
      <c r="K302" s="28" t="n"/>
    </row>
    <row r="303">
      <c r="A303" s="111" t="n"/>
      <c r="B303" s="27">
        <f>IF(A303="","",DATE(YEAR(A303),MONTH(A303),1))</f>
        <v/>
      </c>
      <c r="C303" s="28" t="n"/>
      <c r="D303" s="28" t="n"/>
      <c r="E303" s="28" t="n"/>
      <c r="F303" s="18" t="n"/>
      <c r="G303" s="7">
        <f>IFERROR(VLOOKUP(D303,'Catálogo de Serviços'!$A$5:$F$100,6,FALSE),0)</f>
        <v/>
      </c>
      <c r="H303" s="7">
        <f>IFERROR(E303*F303,0)</f>
        <v/>
      </c>
      <c r="I303" s="7">
        <f>IFERROR(F303-G303,0)</f>
        <v/>
      </c>
      <c r="J303" s="28" t="n"/>
      <c r="K303" s="28" t="n"/>
    </row>
    <row r="304">
      <c r="A304" s="111" t="n"/>
      <c r="B304" s="27">
        <f>IF(A304="","",DATE(YEAR(A304),MONTH(A304),1))</f>
        <v/>
      </c>
      <c r="C304" s="28" t="n"/>
      <c r="D304" s="28" t="n"/>
      <c r="E304" s="28" t="n"/>
      <c r="F304" s="18" t="n"/>
      <c r="G304" s="7">
        <f>IFERROR(VLOOKUP(D304,'Catálogo de Serviços'!$A$5:$F$100,6,FALSE),0)</f>
        <v/>
      </c>
      <c r="H304" s="7">
        <f>IFERROR(E304*F304,0)</f>
        <v/>
      </c>
      <c r="I304" s="7">
        <f>IFERROR(F304-G304,0)</f>
        <v/>
      </c>
      <c r="J304" s="28" t="n"/>
      <c r="K304" s="28" t="n"/>
    </row>
    <row r="305">
      <c r="A305" s="111" t="n"/>
      <c r="B305" s="27">
        <f>IF(A305="","",DATE(YEAR(A305),MONTH(A305),1))</f>
        <v/>
      </c>
      <c r="C305" s="28" t="n"/>
      <c r="D305" s="28" t="n"/>
      <c r="E305" s="28" t="n"/>
      <c r="F305" s="18" t="n"/>
      <c r="G305" s="7">
        <f>IFERROR(VLOOKUP(D305,'Catálogo de Serviços'!$A$5:$F$100,6,FALSE),0)</f>
        <v/>
      </c>
      <c r="H305" s="7">
        <f>IFERROR(E305*F305,0)</f>
        <v/>
      </c>
      <c r="I305" s="7">
        <f>IFERROR(F305-G305,0)</f>
        <v/>
      </c>
      <c r="J305" s="28" t="n"/>
      <c r="K305" s="28" t="n"/>
    </row>
    <row r="306">
      <c r="A306" s="111" t="n"/>
      <c r="B306" s="27">
        <f>IF(A306="","",DATE(YEAR(A306),MONTH(A306),1))</f>
        <v/>
      </c>
      <c r="C306" s="28" t="n"/>
      <c r="D306" s="28" t="n"/>
      <c r="E306" s="28" t="n"/>
      <c r="F306" s="18" t="n"/>
      <c r="G306" s="7">
        <f>IFERROR(VLOOKUP(D306,'Catálogo de Serviços'!$A$5:$F$100,6,FALSE),0)</f>
        <v/>
      </c>
      <c r="H306" s="7">
        <f>IFERROR(E306*F306,0)</f>
        <v/>
      </c>
      <c r="I306" s="7">
        <f>IFERROR(F306-G306,0)</f>
        <v/>
      </c>
      <c r="J306" s="28" t="n"/>
      <c r="K306" s="28" t="n"/>
    </row>
    <row r="307">
      <c r="A307" s="111" t="n"/>
      <c r="B307" s="27">
        <f>IF(A307="","",DATE(YEAR(A307),MONTH(A307),1))</f>
        <v/>
      </c>
      <c r="C307" s="28" t="n"/>
      <c r="D307" s="28" t="n"/>
      <c r="E307" s="28" t="n"/>
      <c r="F307" s="18" t="n"/>
      <c r="G307" s="7">
        <f>IFERROR(VLOOKUP(D307,'Catálogo de Serviços'!$A$5:$F$100,6,FALSE),0)</f>
        <v/>
      </c>
      <c r="H307" s="7">
        <f>IFERROR(E307*F307,0)</f>
        <v/>
      </c>
      <c r="I307" s="7">
        <f>IFERROR(F307-G307,0)</f>
        <v/>
      </c>
      <c r="J307" s="28" t="n"/>
      <c r="K307" s="28" t="n"/>
    </row>
    <row r="308">
      <c r="A308" s="111" t="n"/>
      <c r="B308" s="27">
        <f>IF(A308="","",DATE(YEAR(A308),MONTH(A308),1))</f>
        <v/>
      </c>
      <c r="C308" s="28" t="n"/>
      <c r="D308" s="28" t="n"/>
      <c r="E308" s="28" t="n"/>
      <c r="F308" s="18" t="n"/>
      <c r="G308" s="7">
        <f>IFERROR(VLOOKUP(D308,'Catálogo de Serviços'!$A$5:$F$100,6,FALSE),0)</f>
        <v/>
      </c>
      <c r="H308" s="7">
        <f>IFERROR(E308*F308,0)</f>
        <v/>
      </c>
      <c r="I308" s="7">
        <f>IFERROR(F308-G308,0)</f>
        <v/>
      </c>
      <c r="J308" s="28" t="n"/>
      <c r="K308" s="28" t="n"/>
    </row>
    <row r="309">
      <c r="A309" s="111" t="n"/>
      <c r="B309" s="27">
        <f>IF(A309="","",DATE(YEAR(A309),MONTH(A309),1))</f>
        <v/>
      </c>
      <c r="C309" s="28" t="n"/>
      <c r="D309" s="28" t="n"/>
      <c r="E309" s="28" t="n"/>
      <c r="F309" s="18" t="n"/>
      <c r="G309" s="7">
        <f>IFERROR(VLOOKUP(D309,'Catálogo de Serviços'!$A$5:$F$100,6,FALSE),0)</f>
        <v/>
      </c>
      <c r="H309" s="7">
        <f>IFERROR(E309*F309,0)</f>
        <v/>
      </c>
      <c r="I309" s="7">
        <f>IFERROR(F309-G309,0)</f>
        <v/>
      </c>
      <c r="J309" s="28" t="n"/>
      <c r="K309" s="28" t="n"/>
    </row>
    <row r="310">
      <c r="A310" s="111" t="n"/>
      <c r="B310" s="27">
        <f>IF(A310="","",DATE(YEAR(A310),MONTH(A310),1))</f>
        <v/>
      </c>
      <c r="C310" s="28" t="n"/>
      <c r="D310" s="28" t="n"/>
      <c r="E310" s="28" t="n"/>
      <c r="F310" s="18" t="n"/>
      <c r="G310" s="7">
        <f>IFERROR(VLOOKUP(D310,'Catálogo de Serviços'!$A$5:$F$100,6,FALSE),0)</f>
        <v/>
      </c>
      <c r="H310" s="7">
        <f>IFERROR(E310*F310,0)</f>
        <v/>
      </c>
      <c r="I310" s="7">
        <f>IFERROR(F310-G310,0)</f>
        <v/>
      </c>
      <c r="J310" s="28" t="n"/>
      <c r="K310" s="28" t="n"/>
    </row>
    <row r="311">
      <c r="A311" s="111" t="n"/>
      <c r="B311" s="27">
        <f>IF(A311="","",DATE(YEAR(A311),MONTH(A311),1))</f>
        <v/>
      </c>
      <c r="C311" s="28" t="n"/>
      <c r="D311" s="28" t="n"/>
      <c r="E311" s="28" t="n"/>
      <c r="F311" s="18" t="n"/>
      <c r="G311" s="7">
        <f>IFERROR(VLOOKUP(D311,'Catálogo de Serviços'!$A$5:$F$100,6,FALSE),0)</f>
        <v/>
      </c>
      <c r="H311" s="7">
        <f>IFERROR(E311*F311,0)</f>
        <v/>
      </c>
      <c r="I311" s="7">
        <f>IFERROR(F311-G311,0)</f>
        <v/>
      </c>
      <c r="J311" s="28" t="n"/>
      <c r="K311" s="28" t="n"/>
    </row>
    <row r="312">
      <c r="A312" s="111" t="n"/>
      <c r="B312" s="27">
        <f>IF(A312="","",DATE(YEAR(A312),MONTH(A312),1))</f>
        <v/>
      </c>
      <c r="C312" s="28" t="n"/>
      <c r="D312" s="28" t="n"/>
      <c r="E312" s="28" t="n"/>
      <c r="F312" s="18" t="n"/>
      <c r="G312" s="7">
        <f>IFERROR(VLOOKUP(D312,'Catálogo de Serviços'!$A$5:$F$100,6,FALSE),0)</f>
        <v/>
      </c>
      <c r="H312" s="7">
        <f>IFERROR(E312*F312,0)</f>
        <v/>
      </c>
      <c r="I312" s="7">
        <f>IFERROR(F312-G312,0)</f>
        <v/>
      </c>
      <c r="J312" s="28" t="n"/>
      <c r="K312" s="28" t="n"/>
    </row>
    <row r="313">
      <c r="A313" s="111" t="n"/>
      <c r="B313" s="27">
        <f>IF(A313="","",DATE(YEAR(A313),MONTH(A313),1))</f>
        <v/>
      </c>
      <c r="C313" s="28" t="n"/>
      <c r="D313" s="28" t="n"/>
      <c r="E313" s="28" t="n"/>
      <c r="F313" s="18" t="n"/>
      <c r="G313" s="7">
        <f>IFERROR(VLOOKUP(D313,'Catálogo de Serviços'!$A$5:$F$100,6,FALSE),0)</f>
        <v/>
      </c>
      <c r="H313" s="7">
        <f>IFERROR(E313*F313,0)</f>
        <v/>
      </c>
      <c r="I313" s="7">
        <f>IFERROR(F313-G313,0)</f>
        <v/>
      </c>
      <c r="J313" s="28" t="n"/>
      <c r="K313" s="28" t="n"/>
    </row>
    <row r="314">
      <c r="A314" s="111" t="n"/>
      <c r="B314" s="27">
        <f>IF(A314="","",DATE(YEAR(A314),MONTH(A314),1))</f>
        <v/>
      </c>
      <c r="C314" s="28" t="n"/>
      <c r="D314" s="28" t="n"/>
      <c r="E314" s="28" t="n"/>
      <c r="F314" s="18" t="n"/>
      <c r="G314" s="7">
        <f>IFERROR(VLOOKUP(D314,'Catálogo de Serviços'!$A$5:$F$100,6,FALSE),0)</f>
        <v/>
      </c>
      <c r="H314" s="7">
        <f>IFERROR(E314*F314,0)</f>
        <v/>
      </c>
      <c r="I314" s="7">
        <f>IFERROR(F314-G314,0)</f>
        <v/>
      </c>
      <c r="J314" s="28" t="n"/>
      <c r="K314" s="28" t="n"/>
    </row>
    <row r="315">
      <c r="A315" s="111" t="n"/>
      <c r="B315" s="27">
        <f>IF(A315="","",DATE(YEAR(A315),MONTH(A315),1))</f>
        <v/>
      </c>
      <c r="C315" s="28" t="n"/>
      <c r="D315" s="28" t="n"/>
      <c r="E315" s="28" t="n"/>
      <c r="F315" s="18" t="n"/>
      <c r="G315" s="7">
        <f>IFERROR(VLOOKUP(D315,'Catálogo de Serviços'!$A$5:$F$100,6,FALSE),0)</f>
        <v/>
      </c>
      <c r="H315" s="7">
        <f>IFERROR(E315*F315,0)</f>
        <v/>
      </c>
      <c r="I315" s="7">
        <f>IFERROR(F315-G315,0)</f>
        <v/>
      </c>
      <c r="J315" s="28" t="n"/>
      <c r="K315" s="28" t="n"/>
    </row>
    <row r="316">
      <c r="A316" s="111" t="n"/>
      <c r="B316" s="27">
        <f>IF(A316="","",DATE(YEAR(A316),MONTH(A316),1))</f>
        <v/>
      </c>
      <c r="C316" s="28" t="n"/>
      <c r="D316" s="28" t="n"/>
      <c r="E316" s="28" t="n"/>
      <c r="F316" s="18" t="n"/>
      <c r="G316" s="7">
        <f>IFERROR(VLOOKUP(D316,'Catálogo de Serviços'!$A$5:$F$100,6,FALSE),0)</f>
        <v/>
      </c>
      <c r="H316" s="7">
        <f>IFERROR(E316*F316,0)</f>
        <v/>
      </c>
      <c r="I316" s="7">
        <f>IFERROR(F316-G316,0)</f>
        <v/>
      </c>
      <c r="J316" s="28" t="n"/>
      <c r="K316" s="28" t="n"/>
    </row>
    <row r="317">
      <c r="A317" s="111" t="n"/>
      <c r="B317" s="27">
        <f>IF(A317="","",DATE(YEAR(A317),MONTH(A317),1))</f>
        <v/>
      </c>
      <c r="C317" s="28" t="n"/>
      <c r="D317" s="28" t="n"/>
      <c r="E317" s="28" t="n"/>
      <c r="F317" s="18" t="n"/>
      <c r="G317" s="7">
        <f>IFERROR(VLOOKUP(D317,'Catálogo de Serviços'!$A$5:$F$100,6,FALSE),0)</f>
        <v/>
      </c>
      <c r="H317" s="7">
        <f>IFERROR(E317*F317,0)</f>
        <v/>
      </c>
      <c r="I317" s="7">
        <f>IFERROR(F317-G317,0)</f>
        <v/>
      </c>
      <c r="J317" s="28" t="n"/>
      <c r="K317" s="28" t="n"/>
    </row>
    <row r="318">
      <c r="A318" s="111" t="n"/>
      <c r="B318" s="27">
        <f>IF(A318="","",DATE(YEAR(A318),MONTH(A318),1))</f>
        <v/>
      </c>
      <c r="C318" s="28" t="n"/>
      <c r="D318" s="28" t="n"/>
      <c r="E318" s="28" t="n"/>
      <c r="F318" s="18" t="n"/>
      <c r="G318" s="7">
        <f>IFERROR(VLOOKUP(D318,'Catálogo de Serviços'!$A$5:$F$100,6,FALSE),0)</f>
        <v/>
      </c>
      <c r="H318" s="7">
        <f>IFERROR(E318*F318,0)</f>
        <v/>
      </c>
      <c r="I318" s="7">
        <f>IFERROR(F318-G318,0)</f>
        <v/>
      </c>
      <c r="J318" s="28" t="n"/>
      <c r="K318" s="28" t="n"/>
    </row>
    <row r="319">
      <c r="A319" s="111" t="n"/>
      <c r="B319" s="27">
        <f>IF(A319="","",DATE(YEAR(A319),MONTH(A319),1))</f>
        <v/>
      </c>
      <c r="C319" s="28" t="n"/>
      <c r="D319" s="28" t="n"/>
      <c r="E319" s="28" t="n"/>
      <c r="F319" s="18" t="n"/>
      <c r="G319" s="7">
        <f>IFERROR(VLOOKUP(D319,'Catálogo de Serviços'!$A$5:$F$100,6,FALSE),0)</f>
        <v/>
      </c>
      <c r="H319" s="7">
        <f>IFERROR(E319*F319,0)</f>
        <v/>
      </c>
      <c r="I319" s="7">
        <f>IFERROR(F319-G319,0)</f>
        <v/>
      </c>
      <c r="J319" s="28" t="n"/>
      <c r="K319" s="28" t="n"/>
    </row>
    <row r="320">
      <c r="A320" s="111" t="n"/>
      <c r="B320" s="27">
        <f>IF(A320="","",DATE(YEAR(A320),MONTH(A320),1))</f>
        <v/>
      </c>
      <c r="C320" s="28" t="n"/>
      <c r="D320" s="28" t="n"/>
      <c r="E320" s="28" t="n"/>
      <c r="F320" s="18" t="n"/>
      <c r="G320" s="7">
        <f>IFERROR(VLOOKUP(D320,'Catálogo de Serviços'!$A$5:$F$100,6,FALSE),0)</f>
        <v/>
      </c>
      <c r="H320" s="7">
        <f>IFERROR(E320*F320,0)</f>
        <v/>
      </c>
      <c r="I320" s="7">
        <f>IFERROR(F320-G320,0)</f>
        <v/>
      </c>
      <c r="J320" s="28" t="n"/>
      <c r="K320" s="28" t="n"/>
    </row>
    <row r="321">
      <c r="A321" s="111" t="n"/>
      <c r="B321" s="27">
        <f>IF(A321="","",DATE(YEAR(A321),MONTH(A321),1))</f>
        <v/>
      </c>
      <c r="C321" s="28" t="n"/>
      <c r="D321" s="28" t="n"/>
      <c r="E321" s="28" t="n"/>
      <c r="F321" s="18" t="n"/>
      <c r="G321" s="7">
        <f>IFERROR(VLOOKUP(D321,'Catálogo de Serviços'!$A$5:$F$100,6,FALSE),0)</f>
        <v/>
      </c>
      <c r="H321" s="7">
        <f>IFERROR(E321*F321,0)</f>
        <v/>
      </c>
      <c r="I321" s="7">
        <f>IFERROR(F321-G321,0)</f>
        <v/>
      </c>
      <c r="J321" s="28" t="n"/>
      <c r="K321" s="28" t="n"/>
    </row>
    <row r="322">
      <c r="A322" s="111" t="n"/>
      <c r="B322" s="27">
        <f>IF(A322="","",DATE(YEAR(A322),MONTH(A322),1))</f>
        <v/>
      </c>
      <c r="C322" s="28" t="n"/>
      <c r="D322" s="28" t="n"/>
      <c r="E322" s="28" t="n"/>
      <c r="F322" s="18" t="n"/>
      <c r="G322" s="7">
        <f>IFERROR(VLOOKUP(D322,'Catálogo de Serviços'!$A$5:$F$100,6,FALSE),0)</f>
        <v/>
      </c>
      <c r="H322" s="7">
        <f>IFERROR(E322*F322,0)</f>
        <v/>
      </c>
      <c r="I322" s="7">
        <f>IFERROR(F322-G322,0)</f>
        <v/>
      </c>
      <c r="J322" s="28" t="n"/>
      <c r="K322" s="28" t="n"/>
    </row>
    <row r="323">
      <c r="A323" s="111" t="n"/>
      <c r="B323" s="27">
        <f>IF(A323="","",DATE(YEAR(A323),MONTH(A323),1))</f>
        <v/>
      </c>
      <c r="C323" s="28" t="n"/>
      <c r="D323" s="28" t="n"/>
      <c r="E323" s="28" t="n"/>
      <c r="F323" s="18" t="n"/>
      <c r="G323" s="7">
        <f>IFERROR(VLOOKUP(D323,'Catálogo de Serviços'!$A$5:$F$100,6,FALSE),0)</f>
        <v/>
      </c>
      <c r="H323" s="7">
        <f>IFERROR(E323*F323,0)</f>
        <v/>
      </c>
      <c r="I323" s="7">
        <f>IFERROR(F323-G323,0)</f>
        <v/>
      </c>
      <c r="J323" s="28" t="n"/>
      <c r="K323" s="28" t="n"/>
    </row>
    <row r="324">
      <c r="A324" s="111" t="n"/>
      <c r="B324" s="27">
        <f>IF(A324="","",DATE(YEAR(A324),MONTH(A324),1))</f>
        <v/>
      </c>
      <c r="C324" s="28" t="n"/>
      <c r="D324" s="28" t="n"/>
      <c r="E324" s="28" t="n"/>
      <c r="F324" s="18" t="n"/>
      <c r="G324" s="7">
        <f>IFERROR(VLOOKUP(D324,'Catálogo de Serviços'!$A$5:$F$100,6,FALSE),0)</f>
        <v/>
      </c>
      <c r="H324" s="7">
        <f>IFERROR(E324*F324,0)</f>
        <v/>
      </c>
      <c r="I324" s="7">
        <f>IFERROR(F324-G324,0)</f>
        <v/>
      </c>
      <c r="J324" s="28" t="n"/>
      <c r="K324" s="28" t="n"/>
    </row>
    <row r="325">
      <c r="A325" s="111" t="n"/>
      <c r="B325" s="27">
        <f>IF(A325="","",DATE(YEAR(A325),MONTH(A325),1))</f>
        <v/>
      </c>
      <c r="C325" s="28" t="n"/>
      <c r="D325" s="28" t="n"/>
      <c r="E325" s="28" t="n"/>
      <c r="F325" s="18" t="n"/>
      <c r="G325" s="7">
        <f>IFERROR(VLOOKUP(D325,'Catálogo de Serviços'!$A$5:$F$100,6,FALSE),0)</f>
        <v/>
      </c>
      <c r="H325" s="7">
        <f>IFERROR(E325*F325,0)</f>
        <v/>
      </c>
      <c r="I325" s="7">
        <f>IFERROR(F325-G325,0)</f>
        <v/>
      </c>
      <c r="J325" s="28" t="n"/>
      <c r="K325" s="28" t="n"/>
    </row>
    <row r="326">
      <c r="A326" s="111" t="n"/>
      <c r="B326" s="27">
        <f>IF(A326="","",DATE(YEAR(A326),MONTH(A326),1))</f>
        <v/>
      </c>
      <c r="C326" s="28" t="n"/>
      <c r="D326" s="28" t="n"/>
      <c r="E326" s="28" t="n"/>
      <c r="F326" s="18" t="n"/>
      <c r="G326" s="7">
        <f>IFERROR(VLOOKUP(D326,'Catálogo de Serviços'!$A$5:$F$100,6,FALSE),0)</f>
        <v/>
      </c>
      <c r="H326" s="7">
        <f>IFERROR(E326*F326,0)</f>
        <v/>
      </c>
      <c r="I326" s="7">
        <f>IFERROR(F326-G326,0)</f>
        <v/>
      </c>
      <c r="J326" s="28" t="n"/>
      <c r="K326" s="28" t="n"/>
    </row>
    <row r="327">
      <c r="A327" s="111" t="n"/>
      <c r="B327" s="27">
        <f>IF(A327="","",DATE(YEAR(A327),MONTH(A327),1))</f>
        <v/>
      </c>
      <c r="C327" s="28" t="n"/>
      <c r="D327" s="28" t="n"/>
      <c r="E327" s="28" t="n"/>
      <c r="F327" s="18" t="n"/>
      <c r="G327" s="7">
        <f>IFERROR(VLOOKUP(D327,'Catálogo de Serviços'!$A$5:$F$100,6,FALSE),0)</f>
        <v/>
      </c>
      <c r="H327" s="7">
        <f>IFERROR(E327*F327,0)</f>
        <v/>
      </c>
      <c r="I327" s="7">
        <f>IFERROR(F327-G327,0)</f>
        <v/>
      </c>
      <c r="J327" s="28" t="n"/>
      <c r="K327" s="28" t="n"/>
    </row>
    <row r="328">
      <c r="A328" s="111" t="n"/>
      <c r="B328" s="27">
        <f>IF(A328="","",DATE(YEAR(A328),MONTH(A328),1))</f>
        <v/>
      </c>
      <c r="C328" s="28" t="n"/>
      <c r="D328" s="28" t="n"/>
      <c r="E328" s="28" t="n"/>
      <c r="F328" s="18" t="n"/>
      <c r="G328" s="7">
        <f>IFERROR(VLOOKUP(D328,'Catálogo de Serviços'!$A$5:$F$100,6,FALSE),0)</f>
        <v/>
      </c>
      <c r="H328" s="7">
        <f>IFERROR(E328*F328,0)</f>
        <v/>
      </c>
      <c r="I328" s="7">
        <f>IFERROR(F328-G328,0)</f>
        <v/>
      </c>
      <c r="J328" s="28" t="n"/>
      <c r="K328" s="28" t="n"/>
    </row>
    <row r="329">
      <c r="A329" s="111" t="n"/>
      <c r="B329" s="27">
        <f>IF(A329="","",DATE(YEAR(A329),MONTH(A329),1))</f>
        <v/>
      </c>
      <c r="C329" s="28" t="n"/>
      <c r="D329" s="28" t="n"/>
      <c r="E329" s="28" t="n"/>
      <c r="F329" s="18" t="n"/>
      <c r="G329" s="7">
        <f>IFERROR(VLOOKUP(D329,'Catálogo de Serviços'!$A$5:$F$100,6,FALSE),0)</f>
        <v/>
      </c>
      <c r="H329" s="7">
        <f>IFERROR(E329*F329,0)</f>
        <v/>
      </c>
      <c r="I329" s="7">
        <f>IFERROR(F329-G329,0)</f>
        <v/>
      </c>
      <c r="J329" s="28" t="n"/>
      <c r="K329" s="28" t="n"/>
    </row>
    <row r="330">
      <c r="A330" s="111" t="n"/>
      <c r="B330" s="27">
        <f>IF(A330="","",DATE(YEAR(A330),MONTH(A330),1))</f>
        <v/>
      </c>
      <c r="C330" s="28" t="n"/>
      <c r="D330" s="28" t="n"/>
      <c r="E330" s="28" t="n"/>
      <c r="F330" s="18" t="n"/>
      <c r="G330" s="7">
        <f>IFERROR(VLOOKUP(D330,'Catálogo de Serviços'!$A$5:$F$100,6,FALSE),0)</f>
        <v/>
      </c>
      <c r="H330" s="7">
        <f>IFERROR(E330*F330,0)</f>
        <v/>
      </c>
      <c r="I330" s="7">
        <f>IFERROR(F330-G330,0)</f>
        <v/>
      </c>
      <c r="J330" s="28" t="n"/>
      <c r="K330" s="28" t="n"/>
    </row>
    <row r="331">
      <c r="A331" s="111" t="n"/>
      <c r="B331" s="27">
        <f>IF(A331="","",DATE(YEAR(A331),MONTH(A331),1))</f>
        <v/>
      </c>
      <c r="C331" s="28" t="n"/>
      <c r="D331" s="28" t="n"/>
      <c r="E331" s="28" t="n"/>
      <c r="F331" s="18" t="n"/>
      <c r="G331" s="7">
        <f>IFERROR(VLOOKUP(D331,'Catálogo de Serviços'!$A$5:$F$100,6,FALSE),0)</f>
        <v/>
      </c>
      <c r="H331" s="7">
        <f>IFERROR(E331*F331,0)</f>
        <v/>
      </c>
      <c r="I331" s="7">
        <f>IFERROR(F331-G331,0)</f>
        <v/>
      </c>
      <c r="J331" s="28" t="n"/>
      <c r="K331" s="28" t="n"/>
    </row>
    <row r="332">
      <c r="A332" s="111" t="n"/>
      <c r="B332" s="27">
        <f>IF(A332="","",DATE(YEAR(A332),MONTH(A332),1))</f>
        <v/>
      </c>
      <c r="C332" s="28" t="n"/>
      <c r="D332" s="28" t="n"/>
      <c r="E332" s="28" t="n"/>
      <c r="F332" s="18" t="n"/>
      <c r="G332" s="7">
        <f>IFERROR(VLOOKUP(D332,'Catálogo de Serviços'!$A$5:$F$100,6,FALSE),0)</f>
        <v/>
      </c>
      <c r="H332" s="7">
        <f>IFERROR(E332*F332,0)</f>
        <v/>
      </c>
      <c r="I332" s="7">
        <f>IFERROR(F332-G332,0)</f>
        <v/>
      </c>
      <c r="J332" s="28" t="n"/>
      <c r="K332" s="28" t="n"/>
    </row>
    <row r="333">
      <c r="A333" s="111" t="n"/>
      <c r="B333" s="27">
        <f>IF(A333="","",DATE(YEAR(A333),MONTH(A333),1))</f>
        <v/>
      </c>
      <c r="C333" s="28" t="n"/>
      <c r="D333" s="28" t="n"/>
      <c r="E333" s="28" t="n"/>
      <c r="F333" s="18" t="n"/>
      <c r="G333" s="7">
        <f>IFERROR(VLOOKUP(D333,'Catálogo de Serviços'!$A$5:$F$100,6,FALSE),0)</f>
        <v/>
      </c>
      <c r="H333" s="7">
        <f>IFERROR(E333*F333,0)</f>
        <v/>
      </c>
      <c r="I333" s="7">
        <f>IFERROR(F333-G333,0)</f>
        <v/>
      </c>
      <c r="J333" s="28" t="n"/>
      <c r="K333" s="28" t="n"/>
    </row>
    <row r="334">
      <c r="A334" s="111" t="n"/>
      <c r="B334" s="27">
        <f>IF(A334="","",DATE(YEAR(A334),MONTH(A334),1))</f>
        <v/>
      </c>
      <c r="C334" s="28" t="n"/>
      <c r="D334" s="28" t="n"/>
      <c r="E334" s="28" t="n"/>
      <c r="F334" s="18" t="n"/>
      <c r="G334" s="7">
        <f>IFERROR(VLOOKUP(D334,'Catálogo de Serviços'!$A$5:$F$100,6,FALSE),0)</f>
        <v/>
      </c>
      <c r="H334" s="7">
        <f>IFERROR(E334*F334,0)</f>
        <v/>
      </c>
      <c r="I334" s="7">
        <f>IFERROR(F334-G334,0)</f>
        <v/>
      </c>
      <c r="J334" s="28" t="n"/>
      <c r="K334" s="28" t="n"/>
    </row>
    <row r="335">
      <c r="A335" s="111" t="n"/>
      <c r="B335" s="27">
        <f>IF(A335="","",DATE(YEAR(A335),MONTH(A335),1))</f>
        <v/>
      </c>
      <c r="C335" s="28" t="n"/>
      <c r="D335" s="28" t="n"/>
      <c r="E335" s="28" t="n"/>
      <c r="F335" s="18" t="n"/>
      <c r="G335" s="7">
        <f>IFERROR(VLOOKUP(D335,'Catálogo de Serviços'!$A$5:$F$100,6,FALSE),0)</f>
        <v/>
      </c>
      <c r="H335" s="7">
        <f>IFERROR(E335*F335,0)</f>
        <v/>
      </c>
      <c r="I335" s="7">
        <f>IFERROR(F335-G335,0)</f>
        <v/>
      </c>
      <c r="J335" s="28" t="n"/>
      <c r="K335" s="28" t="n"/>
    </row>
    <row r="336">
      <c r="A336" s="111" t="n"/>
      <c r="B336" s="27">
        <f>IF(A336="","",DATE(YEAR(A336),MONTH(A336),1))</f>
        <v/>
      </c>
      <c r="C336" s="28" t="n"/>
      <c r="D336" s="28" t="n"/>
      <c r="E336" s="28" t="n"/>
      <c r="F336" s="18" t="n"/>
      <c r="G336" s="7">
        <f>IFERROR(VLOOKUP(D336,'Catálogo de Serviços'!$A$5:$F$100,6,FALSE),0)</f>
        <v/>
      </c>
      <c r="H336" s="7">
        <f>IFERROR(E336*F336,0)</f>
        <v/>
      </c>
      <c r="I336" s="7">
        <f>IFERROR(F336-G336,0)</f>
        <v/>
      </c>
      <c r="J336" s="28" t="n"/>
      <c r="K336" s="28" t="n"/>
    </row>
    <row r="337">
      <c r="A337" s="111" t="n"/>
      <c r="B337" s="27">
        <f>IF(A337="","",DATE(YEAR(A337),MONTH(A337),1))</f>
        <v/>
      </c>
      <c r="C337" s="28" t="n"/>
      <c r="D337" s="28" t="n"/>
      <c r="E337" s="28" t="n"/>
      <c r="F337" s="18" t="n"/>
      <c r="G337" s="7">
        <f>IFERROR(VLOOKUP(D337,'Catálogo de Serviços'!$A$5:$F$100,6,FALSE),0)</f>
        <v/>
      </c>
      <c r="H337" s="7">
        <f>IFERROR(E337*F337,0)</f>
        <v/>
      </c>
      <c r="I337" s="7">
        <f>IFERROR(F337-G337,0)</f>
        <v/>
      </c>
      <c r="J337" s="28" t="n"/>
      <c r="K337" s="28" t="n"/>
    </row>
    <row r="338">
      <c r="A338" s="111" t="n"/>
      <c r="B338" s="27">
        <f>IF(A338="","",DATE(YEAR(A338),MONTH(A338),1))</f>
        <v/>
      </c>
      <c r="C338" s="28" t="n"/>
      <c r="D338" s="28" t="n"/>
      <c r="E338" s="28" t="n"/>
      <c r="F338" s="18" t="n"/>
      <c r="G338" s="7">
        <f>IFERROR(VLOOKUP(D338,'Catálogo de Serviços'!$A$5:$F$100,6,FALSE),0)</f>
        <v/>
      </c>
      <c r="H338" s="7">
        <f>IFERROR(E338*F338,0)</f>
        <v/>
      </c>
      <c r="I338" s="7">
        <f>IFERROR(F338-G338,0)</f>
        <v/>
      </c>
      <c r="J338" s="28" t="n"/>
      <c r="K338" s="28" t="n"/>
    </row>
    <row r="339">
      <c r="A339" s="111" t="n"/>
      <c r="B339" s="27">
        <f>IF(A339="","",DATE(YEAR(A339),MONTH(A339),1))</f>
        <v/>
      </c>
      <c r="C339" s="28" t="n"/>
      <c r="D339" s="28" t="n"/>
      <c r="E339" s="28" t="n"/>
      <c r="F339" s="18" t="n"/>
      <c r="G339" s="7">
        <f>IFERROR(VLOOKUP(D339,'Catálogo de Serviços'!$A$5:$F$100,6,FALSE),0)</f>
        <v/>
      </c>
      <c r="H339" s="7">
        <f>IFERROR(E339*F339,0)</f>
        <v/>
      </c>
      <c r="I339" s="7">
        <f>IFERROR(F339-G339,0)</f>
        <v/>
      </c>
      <c r="J339" s="28" t="n"/>
      <c r="K339" s="28" t="n"/>
    </row>
    <row r="340">
      <c r="A340" s="111" t="n"/>
      <c r="B340" s="27">
        <f>IF(A340="","",DATE(YEAR(A340),MONTH(A340),1))</f>
        <v/>
      </c>
      <c r="C340" s="28" t="n"/>
      <c r="D340" s="28" t="n"/>
      <c r="E340" s="28" t="n"/>
      <c r="F340" s="18" t="n"/>
      <c r="G340" s="7">
        <f>IFERROR(VLOOKUP(D340,'Catálogo de Serviços'!$A$5:$F$100,6,FALSE),0)</f>
        <v/>
      </c>
      <c r="H340" s="7">
        <f>IFERROR(E340*F340,0)</f>
        <v/>
      </c>
      <c r="I340" s="7">
        <f>IFERROR(F340-G340,0)</f>
        <v/>
      </c>
      <c r="J340" s="28" t="n"/>
      <c r="K340" s="28" t="n"/>
    </row>
    <row r="341">
      <c r="A341" s="111" t="n"/>
      <c r="B341" s="27">
        <f>IF(A341="","",DATE(YEAR(A341),MONTH(A341),1))</f>
        <v/>
      </c>
      <c r="C341" s="28" t="n"/>
      <c r="D341" s="28" t="n"/>
      <c r="E341" s="28" t="n"/>
      <c r="F341" s="18" t="n"/>
      <c r="G341" s="7">
        <f>IFERROR(VLOOKUP(D341,'Catálogo de Serviços'!$A$5:$F$100,6,FALSE),0)</f>
        <v/>
      </c>
      <c r="H341" s="7">
        <f>IFERROR(E341*F341,0)</f>
        <v/>
      </c>
      <c r="I341" s="7">
        <f>IFERROR(F341-G341,0)</f>
        <v/>
      </c>
      <c r="J341" s="28" t="n"/>
      <c r="K341" s="28" t="n"/>
    </row>
    <row r="342">
      <c r="A342" s="111" t="n"/>
      <c r="B342" s="27">
        <f>IF(A342="","",DATE(YEAR(A342),MONTH(A342),1))</f>
        <v/>
      </c>
      <c r="C342" s="28" t="n"/>
      <c r="D342" s="28" t="n"/>
      <c r="E342" s="28" t="n"/>
      <c r="F342" s="18" t="n"/>
      <c r="G342" s="7">
        <f>IFERROR(VLOOKUP(D342,'Catálogo de Serviços'!$A$5:$F$100,6,FALSE),0)</f>
        <v/>
      </c>
      <c r="H342" s="7">
        <f>IFERROR(E342*F342,0)</f>
        <v/>
      </c>
      <c r="I342" s="7">
        <f>IFERROR(F342-G342,0)</f>
        <v/>
      </c>
      <c r="J342" s="28" t="n"/>
      <c r="K342" s="28" t="n"/>
    </row>
    <row r="343">
      <c r="A343" s="111" t="n"/>
      <c r="B343" s="27">
        <f>IF(A343="","",DATE(YEAR(A343),MONTH(A343),1))</f>
        <v/>
      </c>
      <c r="C343" s="28" t="n"/>
      <c r="D343" s="28" t="n"/>
      <c r="E343" s="28" t="n"/>
      <c r="F343" s="18" t="n"/>
      <c r="G343" s="7">
        <f>IFERROR(VLOOKUP(D343,'Catálogo de Serviços'!$A$5:$F$100,6,FALSE),0)</f>
        <v/>
      </c>
      <c r="H343" s="7">
        <f>IFERROR(E343*F343,0)</f>
        <v/>
      </c>
      <c r="I343" s="7">
        <f>IFERROR(F343-G343,0)</f>
        <v/>
      </c>
      <c r="J343" s="28" t="n"/>
      <c r="K343" s="28" t="n"/>
    </row>
    <row r="344">
      <c r="A344" s="111" t="n"/>
      <c r="B344" s="27">
        <f>IF(A344="","",DATE(YEAR(A344),MONTH(A344),1))</f>
        <v/>
      </c>
      <c r="C344" s="28" t="n"/>
      <c r="D344" s="28" t="n"/>
      <c r="E344" s="28" t="n"/>
      <c r="F344" s="18" t="n"/>
      <c r="G344" s="7">
        <f>IFERROR(VLOOKUP(D344,'Catálogo de Serviços'!$A$5:$F$100,6,FALSE),0)</f>
        <v/>
      </c>
      <c r="H344" s="7">
        <f>IFERROR(E344*F344,0)</f>
        <v/>
      </c>
      <c r="I344" s="7">
        <f>IFERROR(F344-G344,0)</f>
        <v/>
      </c>
      <c r="J344" s="28" t="n"/>
      <c r="K344" s="28" t="n"/>
    </row>
    <row r="345">
      <c r="A345" s="111" t="n"/>
      <c r="B345" s="27">
        <f>IF(A345="","",DATE(YEAR(A345),MONTH(A345),1))</f>
        <v/>
      </c>
      <c r="C345" s="28" t="n"/>
      <c r="D345" s="28" t="n"/>
      <c r="E345" s="28" t="n"/>
      <c r="F345" s="18" t="n"/>
      <c r="G345" s="7">
        <f>IFERROR(VLOOKUP(D345,'Catálogo de Serviços'!$A$5:$F$100,6,FALSE),0)</f>
        <v/>
      </c>
      <c r="H345" s="7">
        <f>IFERROR(E345*F345,0)</f>
        <v/>
      </c>
      <c r="I345" s="7">
        <f>IFERROR(F345-G345,0)</f>
        <v/>
      </c>
      <c r="J345" s="28" t="n"/>
      <c r="K345" s="28" t="n"/>
    </row>
    <row r="346">
      <c r="A346" s="111" t="n"/>
      <c r="B346" s="27">
        <f>IF(A346="","",DATE(YEAR(A346),MONTH(A346),1))</f>
        <v/>
      </c>
      <c r="C346" s="28" t="n"/>
      <c r="D346" s="28" t="n"/>
      <c r="E346" s="28" t="n"/>
      <c r="F346" s="18" t="n"/>
      <c r="G346" s="7">
        <f>IFERROR(VLOOKUP(D346,'Catálogo de Serviços'!$A$5:$F$100,6,FALSE),0)</f>
        <v/>
      </c>
      <c r="H346" s="7">
        <f>IFERROR(E346*F346,0)</f>
        <v/>
      </c>
      <c r="I346" s="7">
        <f>IFERROR(F346-G346,0)</f>
        <v/>
      </c>
      <c r="J346" s="28" t="n"/>
      <c r="K346" s="28" t="n"/>
    </row>
    <row r="347">
      <c r="A347" s="111" t="n"/>
      <c r="B347" s="27">
        <f>IF(A347="","",DATE(YEAR(A347),MONTH(A347),1))</f>
        <v/>
      </c>
      <c r="C347" s="28" t="n"/>
      <c r="D347" s="28" t="n"/>
      <c r="E347" s="28" t="n"/>
      <c r="F347" s="18" t="n"/>
      <c r="G347" s="7">
        <f>IFERROR(VLOOKUP(D347,'Catálogo de Serviços'!$A$5:$F$100,6,FALSE),0)</f>
        <v/>
      </c>
      <c r="H347" s="7">
        <f>IFERROR(E347*F347,0)</f>
        <v/>
      </c>
      <c r="I347" s="7">
        <f>IFERROR(F347-G347,0)</f>
        <v/>
      </c>
      <c r="J347" s="28" t="n"/>
      <c r="K347" s="28" t="n"/>
    </row>
    <row r="348">
      <c r="A348" s="111" t="n"/>
      <c r="B348" s="27">
        <f>IF(A348="","",DATE(YEAR(A348),MONTH(A348),1))</f>
        <v/>
      </c>
      <c r="C348" s="28" t="n"/>
      <c r="D348" s="28" t="n"/>
      <c r="E348" s="28" t="n"/>
      <c r="F348" s="18" t="n"/>
      <c r="G348" s="7">
        <f>IFERROR(VLOOKUP(D348,'Catálogo de Serviços'!$A$5:$F$100,6,FALSE),0)</f>
        <v/>
      </c>
      <c r="H348" s="7">
        <f>IFERROR(E348*F348,0)</f>
        <v/>
      </c>
      <c r="I348" s="7">
        <f>IFERROR(F348-G348,0)</f>
        <v/>
      </c>
      <c r="J348" s="28" t="n"/>
      <c r="K348" s="28" t="n"/>
    </row>
    <row r="349">
      <c r="A349" s="111" t="n"/>
      <c r="B349" s="27">
        <f>IF(A349="","",DATE(YEAR(A349),MONTH(A349),1))</f>
        <v/>
      </c>
      <c r="C349" s="28" t="n"/>
      <c r="D349" s="28" t="n"/>
      <c r="E349" s="28" t="n"/>
      <c r="F349" s="18" t="n"/>
      <c r="G349" s="7">
        <f>IFERROR(VLOOKUP(D349,'Catálogo de Serviços'!$A$5:$F$100,6,FALSE),0)</f>
        <v/>
      </c>
      <c r="H349" s="7">
        <f>IFERROR(E349*F349,0)</f>
        <v/>
      </c>
      <c r="I349" s="7">
        <f>IFERROR(F349-G349,0)</f>
        <v/>
      </c>
      <c r="J349" s="28" t="n"/>
      <c r="K349" s="28" t="n"/>
    </row>
    <row r="350">
      <c r="A350" s="111" t="n"/>
      <c r="B350" s="27">
        <f>IF(A350="","",DATE(YEAR(A350),MONTH(A350),1))</f>
        <v/>
      </c>
      <c r="C350" s="28" t="n"/>
      <c r="D350" s="28" t="n"/>
      <c r="E350" s="28" t="n"/>
      <c r="F350" s="18" t="n"/>
      <c r="G350" s="7">
        <f>IFERROR(VLOOKUP(D350,'Catálogo de Serviços'!$A$5:$F$100,6,FALSE),0)</f>
        <v/>
      </c>
      <c r="H350" s="7">
        <f>IFERROR(E350*F350,0)</f>
        <v/>
      </c>
      <c r="I350" s="7">
        <f>IFERROR(F350-G350,0)</f>
        <v/>
      </c>
      <c r="J350" s="28" t="n"/>
      <c r="K350" s="28" t="n"/>
    </row>
    <row r="351">
      <c r="A351" s="111" t="n"/>
      <c r="B351" s="27">
        <f>IF(A351="","",DATE(YEAR(A351),MONTH(A351),1))</f>
        <v/>
      </c>
      <c r="C351" s="28" t="n"/>
      <c r="D351" s="28" t="n"/>
      <c r="E351" s="28" t="n"/>
      <c r="F351" s="18" t="n"/>
      <c r="G351" s="7">
        <f>IFERROR(VLOOKUP(D351,'Catálogo de Serviços'!$A$5:$F$100,6,FALSE),0)</f>
        <v/>
      </c>
      <c r="H351" s="7">
        <f>IFERROR(E351*F351,0)</f>
        <v/>
      </c>
      <c r="I351" s="7">
        <f>IFERROR(F351-G351,0)</f>
        <v/>
      </c>
      <c r="J351" s="28" t="n"/>
      <c r="K351" s="28" t="n"/>
    </row>
    <row r="352">
      <c r="A352" s="111" t="n"/>
      <c r="B352" s="27">
        <f>IF(A352="","",DATE(YEAR(A352),MONTH(A352),1))</f>
        <v/>
      </c>
      <c r="C352" s="28" t="n"/>
      <c r="D352" s="28" t="n"/>
      <c r="E352" s="28" t="n"/>
      <c r="F352" s="18" t="n"/>
      <c r="G352" s="7">
        <f>IFERROR(VLOOKUP(D352,'Catálogo de Serviços'!$A$5:$F$100,6,FALSE),0)</f>
        <v/>
      </c>
      <c r="H352" s="7">
        <f>IFERROR(E352*F352,0)</f>
        <v/>
      </c>
      <c r="I352" s="7">
        <f>IFERROR(F352-G352,0)</f>
        <v/>
      </c>
      <c r="J352" s="28" t="n"/>
      <c r="K352" s="28" t="n"/>
    </row>
    <row r="353">
      <c r="A353" s="111" t="n"/>
      <c r="B353" s="27">
        <f>IF(A353="","",DATE(YEAR(A353),MONTH(A353),1))</f>
        <v/>
      </c>
      <c r="C353" s="28" t="n"/>
      <c r="D353" s="28" t="n"/>
      <c r="E353" s="28" t="n"/>
      <c r="F353" s="18" t="n"/>
      <c r="G353" s="7">
        <f>IFERROR(VLOOKUP(D353,'Catálogo de Serviços'!$A$5:$F$100,6,FALSE),0)</f>
        <v/>
      </c>
      <c r="H353" s="7">
        <f>IFERROR(E353*F353,0)</f>
        <v/>
      </c>
      <c r="I353" s="7">
        <f>IFERROR(F353-G353,0)</f>
        <v/>
      </c>
      <c r="J353" s="28" t="n"/>
      <c r="K353" s="28" t="n"/>
    </row>
    <row r="354">
      <c r="A354" s="111" t="n"/>
      <c r="B354" s="27">
        <f>IF(A354="","",DATE(YEAR(A354),MONTH(A354),1))</f>
        <v/>
      </c>
      <c r="C354" s="28" t="n"/>
      <c r="D354" s="28" t="n"/>
      <c r="E354" s="28" t="n"/>
      <c r="F354" s="18" t="n"/>
      <c r="G354" s="7">
        <f>IFERROR(VLOOKUP(D354,'Catálogo de Serviços'!$A$5:$F$100,6,FALSE),0)</f>
        <v/>
      </c>
      <c r="H354" s="7">
        <f>IFERROR(E354*F354,0)</f>
        <v/>
      </c>
      <c r="I354" s="7">
        <f>IFERROR(F354-G354,0)</f>
        <v/>
      </c>
      <c r="J354" s="28" t="n"/>
      <c r="K354" s="28" t="n"/>
    </row>
    <row r="355">
      <c r="A355" s="111" t="n"/>
      <c r="B355" s="27">
        <f>IF(A355="","",DATE(YEAR(A355),MONTH(A355),1))</f>
        <v/>
      </c>
      <c r="C355" s="28" t="n"/>
      <c r="D355" s="28" t="n"/>
      <c r="E355" s="28" t="n"/>
      <c r="F355" s="18" t="n"/>
      <c r="G355" s="7">
        <f>IFERROR(VLOOKUP(D355,'Catálogo de Serviços'!$A$5:$F$100,6,FALSE),0)</f>
        <v/>
      </c>
      <c r="H355" s="7">
        <f>IFERROR(E355*F355,0)</f>
        <v/>
      </c>
      <c r="I355" s="7">
        <f>IFERROR(F355-G355,0)</f>
        <v/>
      </c>
      <c r="J355" s="28" t="n"/>
      <c r="K355" s="28" t="n"/>
    </row>
    <row r="356">
      <c r="A356" s="111" t="n"/>
      <c r="B356" s="27">
        <f>IF(A356="","",DATE(YEAR(A356),MONTH(A356),1))</f>
        <v/>
      </c>
      <c r="C356" s="28" t="n"/>
      <c r="D356" s="28" t="n"/>
      <c r="E356" s="28" t="n"/>
      <c r="F356" s="18" t="n"/>
      <c r="G356" s="7">
        <f>IFERROR(VLOOKUP(D356,'Catálogo de Serviços'!$A$5:$F$100,6,FALSE),0)</f>
        <v/>
      </c>
      <c r="H356" s="7">
        <f>IFERROR(E356*F356,0)</f>
        <v/>
      </c>
      <c r="I356" s="7">
        <f>IFERROR(F356-G356,0)</f>
        <v/>
      </c>
      <c r="J356" s="28" t="n"/>
      <c r="K356" s="28" t="n"/>
    </row>
    <row r="357">
      <c r="A357" s="111" t="n"/>
      <c r="B357" s="27">
        <f>IF(A357="","",DATE(YEAR(A357),MONTH(A357),1))</f>
        <v/>
      </c>
      <c r="C357" s="28" t="n"/>
      <c r="D357" s="28" t="n"/>
      <c r="E357" s="28" t="n"/>
      <c r="F357" s="18" t="n"/>
      <c r="G357" s="7">
        <f>IFERROR(VLOOKUP(D357,'Catálogo de Serviços'!$A$5:$F$100,6,FALSE),0)</f>
        <v/>
      </c>
      <c r="H357" s="7">
        <f>IFERROR(E357*F357,0)</f>
        <v/>
      </c>
      <c r="I357" s="7">
        <f>IFERROR(F357-G357,0)</f>
        <v/>
      </c>
      <c r="J357" s="28" t="n"/>
      <c r="K357" s="28" t="n"/>
    </row>
    <row r="358">
      <c r="A358" s="111" t="n"/>
      <c r="B358" s="27">
        <f>IF(A358="","",DATE(YEAR(A358),MONTH(A358),1))</f>
        <v/>
      </c>
      <c r="C358" s="28" t="n"/>
      <c r="D358" s="28" t="n"/>
      <c r="E358" s="28" t="n"/>
      <c r="F358" s="18" t="n"/>
      <c r="G358" s="7">
        <f>IFERROR(VLOOKUP(D358,'Catálogo de Serviços'!$A$5:$F$100,6,FALSE),0)</f>
        <v/>
      </c>
      <c r="H358" s="7">
        <f>IFERROR(E358*F358,0)</f>
        <v/>
      </c>
      <c r="I358" s="7">
        <f>IFERROR(F358-G358,0)</f>
        <v/>
      </c>
      <c r="J358" s="28" t="n"/>
      <c r="K358" s="28" t="n"/>
    </row>
    <row r="359">
      <c r="A359" s="111" t="n"/>
      <c r="B359" s="27">
        <f>IF(A359="","",DATE(YEAR(A359),MONTH(A359),1))</f>
        <v/>
      </c>
      <c r="C359" s="28" t="n"/>
      <c r="D359" s="28" t="n"/>
      <c r="E359" s="28" t="n"/>
      <c r="F359" s="18" t="n"/>
      <c r="G359" s="7">
        <f>IFERROR(VLOOKUP(D359,'Catálogo de Serviços'!$A$5:$F$100,6,FALSE),0)</f>
        <v/>
      </c>
      <c r="H359" s="7">
        <f>IFERROR(E359*F359,0)</f>
        <v/>
      </c>
      <c r="I359" s="7">
        <f>IFERROR(F359-G359,0)</f>
        <v/>
      </c>
      <c r="J359" s="28" t="n"/>
      <c r="K359" s="28" t="n"/>
    </row>
    <row r="360">
      <c r="A360" s="111" t="n"/>
      <c r="B360" s="27">
        <f>IF(A360="","",DATE(YEAR(A360),MONTH(A360),1))</f>
        <v/>
      </c>
      <c r="C360" s="28" t="n"/>
      <c r="D360" s="28" t="n"/>
      <c r="E360" s="28" t="n"/>
      <c r="F360" s="18" t="n"/>
      <c r="G360" s="7">
        <f>IFERROR(VLOOKUP(D360,'Catálogo de Serviços'!$A$5:$F$100,6,FALSE),0)</f>
        <v/>
      </c>
      <c r="H360" s="7">
        <f>IFERROR(E360*F360,0)</f>
        <v/>
      </c>
      <c r="I360" s="7">
        <f>IFERROR(F360-G360,0)</f>
        <v/>
      </c>
      <c r="J360" s="28" t="n"/>
      <c r="K360" s="28" t="n"/>
    </row>
    <row r="361">
      <c r="A361" s="111" t="n"/>
      <c r="B361" s="27">
        <f>IF(A361="","",DATE(YEAR(A361),MONTH(A361),1))</f>
        <v/>
      </c>
      <c r="C361" s="28" t="n"/>
      <c r="D361" s="28" t="n"/>
      <c r="E361" s="28" t="n"/>
      <c r="F361" s="18" t="n"/>
      <c r="G361" s="7">
        <f>IFERROR(VLOOKUP(D361,'Catálogo de Serviços'!$A$5:$F$100,6,FALSE),0)</f>
        <v/>
      </c>
      <c r="H361" s="7">
        <f>IFERROR(E361*F361,0)</f>
        <v/>
      </c>
      <c r="I361" s="7">
        <f>IFERROR(F361-G361,0)</f>
        <v/>
      </c>
      <c r="J361" s="28" t="n"/>
      <c r="K361" s="28" t="n"/>
    </row>
    <row r="362">
      <c r="A362" s="111" t="n"/>
      <c r="B362" s="27">
        <f>IF(A362="","",DATE(YEAR(A362),MONTH(A362),1))</f>
        <v/>
      </c>
      <c r="C362" s="28" t="n"/>
      <c r="D362" s="28" t="n"/>
      <c r="E362" s="28" t="n"/>
      <c r="F362" s="18" t="n"/>
      <c r="G362" s="7">
        <f>IFERROR(VLOOKUP(D362,'Catálogo de Serviços'!$A$5:$F$100,6,FALSE),0)</f>
        <v/>
      </c>
      <c r="H362" s="7">
        <f>IFERROR(E362*F362,0)</f>
        <v/>
      </c>
      <c r="I362" s="7">
        <f>IFERROR(F362-G362,0)</f>
        <v/>
      </c>
      <c r="J362" s="28" t="n"/>
      <c r="K362" s="28" t="n"/>
    </row>
    <row r="363">
      <c r="A363" s="111" t="n"/>
      <c r="B363" s="27">
        <f>IF(A363="","",DATE(YEAR(A363),MONTH(A363),1))</f>
        <v/>
      </c>
      <c r="C363" s="28" t="n"/>
      <c r="D363" s="28" t="n"/>
      <c r="E363" s="28" t="n"/>
      <c r="F363" s="18" t="n"/>
      <c r="G363" s="7">
        <f>IFERROR(VLOOKUP(D363,'Catálogo de Serviços'!$A$5:$F$100,6,FALSE),0)</f>
        <v/>
      </c>
      <c r="H363" s="7">
        <f>IFERROR(E363*F363,0)</f>
        <v/>
      </c>
      <c r="I363" s="7">
        <f>IFERROR(F363-G363,0)</f>
        <v/>
      </c>
      <c r="J363" s="28" t="n"/>
      <c r="K363" s="28" t="n"/>
    </row>
    <row r="364">
      <c r="A364" s="111" t="n"/>
      <c r="B364" s="27">
        <f>IF(A364="","",DATE(YEAR(A364),MONTH(A364),1))</f>
        <v/>
      </c>
      <c r="C364" s="28" t="n"/>
      <c r="D364" s="28" t="n"/>
      <c r="E364" s="28" t="n"/>
      <c r="F364" s="18" t="n"/>
      <c r="G364" s="7">
        <f>IFERROR(VLOOKUP(D364,'Catálogo de Serviços'!$A$5:$F$100,6,FALSE),0)</f>
        <v/>
      </c>
      <c r="H364" s="7">
        <f>IFERROR(E364*F364,0)</f>
        <v/>
      </c>
      <c r="I364" s="7">
        <f>IFERROR(F364-G364,0)</f>
        <v/>
      </c>
      <c r="J364" s="28" t="n"/>
      <c r="K364" s="28" t="n"/>
    </row>
    <row r="365">
      <c r="A365" s="111" t="n"/>
      <c r="B365" s="27">
        <f>IF(A365="","",DATE(YEAR(A365),MONTH(A365),1))</f>
        <v/>
      </c>
      <c r="C365" s="28" t="n"/>
      <c r="D365" s="28" t="n"/>
      <c r="E365" s="28" t="n"/>
      <c r="F365" s="18" t="n"/>
      <c r="G365" s="7">
        <f>IFERROR(VLOOKUP(D365,'Catálogo de Serviços'!$A$5:$F$100,6,FALSE),0)</f>
        <v/>
      </c>
      <c r="H365" s="7">
        <f>IFERROR(E365*F365,0)</f>
        <v/>
      </c>
      <c r="I365" s="7">
        <f>IFERROR(F365-G365,0)</f>
        <v/>
      </c>
      <c r="J365" s="28" t="n"/>
      <c r="K365" s="28" t="n"/>
    </row>
    <row r="366">
      <c r="A366" s="111" t="n"/>
      <c r="B366" s="27">
        <f>IF(A366="","",DATE(YEAR(A366),MONTH(A366),1))</f>
        <v/>
      </c>
      <c r="C366" s="28" t="n"/>
      <c r="D366" s="28" t="n"/>
      <c r="E366" s="28" t="n"/>
      <c r="F366" s="18" t="n"/>
      <c r="G366" s="7">
        <f>IFERROR(VLOOKUP(D366,'Catálogo de Serviços'!$A$5:$F$100,6,FALSE),0)</f>
        <v/>
      </c>
      <c r="H366" s="7">
        <f>IFERROR(E366*F366,0)</f>
        <v/>
      </c>
      <c r="I366" s="7">
        <f>IFERROR(F366-G366,0)</f>
        <v/>
      </c>
      <c r="J366" s="28" t="n"/>
      <c r="K366" s="28" t="n"/>
    </row>
    <row r="367">
      <c r="A367" s="111" t="n"/>
      <c r="B367" s="27">
        <f>IF(A367="","",DATE(YEAR(A367),MONTH(A367),1))</f>
        <v/>
      </c>
      <c r="C367" s="28" t="n"/>
      <c r="D367" s="28" t="n"/>
      <c r="E367" s="28" t="n"/>
      <c r="F367" s="18" t="n"/>
      <c r="G367" s="7">
        <f>IFERROR(VLOOKUP(D367,'Catálogo de Serviços'!$A$5:$F$100,6,FALSE),0)</f>
        <v/>
      </c>
      <c r="H367" s="7">
        <f>IFERROR(E367*F367,0)</f>
        <v/>
      </c>
      <c r="I367" s="7">
        <f>IFERROR(F367-G367,0)</f>
        <v/>
      </c>
      <c r="J367" s="28" t="n"/>
      <c r="K367" s="28" t="n"/>
    </row>
    <row r="368">
      <c r="A368" s="111" t="n"/>
      <c r="B368" s="27">
        <f>IF(A368="","",DATE(YEAR(A368),MONTH(A368),1))</f>
        <v/>
      </c>
      <c r="C368" s="28" t="n"/>
      <c r="D368" s="28" t="n"/>
      <c r="E368" s="28" t="n"/>
      <c r="F368" s="18" t="n"/>
      <c r="G368" s="7">
        <f>IFERROR(VLOOKUP(D368,'Catálogo de Serviços'!$A$5:$F$100,6,FALSE),0)</f>
        <v/>
      </c>
      <c r="H368" s="7">
        <f>IFERROR(E368*F368,0)</f>
        <v/>
      </c>
      <c r="I368" s="7">
        <f>IFERROR(F368-G368,0)</f>
        <v/>
      </c>
      <c r="J368" s="28" t="n"/>
      <c r="K368" s="28" t="n"/>
    </row>
    <row r="369">
      <c r="A369" s="111" t="n"/>
      <c r="B369" s="27">
        <f>IF(A369="","",DATE(YEAR(A369),MONTH(A369),1))</f>
        <v/>
      </c>
      <c r="C369" s="28" t="n"/>
      <c r="D369" s="28" t="n"/>
      <c r="E369" s="28" t="n"/>
      <c r="F369" s="18" t="n"/>
      <c r="G369" s="7">
        <f>IFERROR(VLOOKUP(D369,'Catálogo de Serviços'!$A$5:$F$100,6,FALSE),0)</f>
        <v/>
      </c>
      <c r="H369" s="7">
        <f>IFERROR(E369*F369,0)</f>
        <v/>
      </c>
      <c r="I369" s="7">
        <f>IFERROR(F369-G369,0)</f>
        <v/>
      </c>
      <c r="J369" s="28" t="n"/>
      <c r="K369" s="28" t="n"/>
    </row>
    <row r="370">
      <c r="A370" s="111" t="n"/>
      <c r="B370" s="27">
        <f>IF(A370="","",DATE(YEAR(A370),MONTH(A370),1))</f>
        <v/>
      </c>
      <c r="C370" s="28" t="n"/>
      <c r="D370" s="28" t="n"/>
      <c r="E370" s="28" t="n"/>
      <c r="F370" s="18" t="n"/>
      <c r="G370" s="7">
        <f>IFERROR(VLOOKUP(D370,'Catálogo de Serviços'!$A$5:$F$100,6,FALSE),0)</f>
        <v/>
      </c>
      <c r="H370" s="7">
        <f>IFERROR(E370*F370,0)</f>
        <v/>
      </c>
      <c r="I370" s="7">
        <f>IFERROR(F370-G370,0)</f>
        <v/>
      </c>
      <c r="J370" s="28" t="n"/>
      <c r="K370" s="28" t="n"/>
    </row>
    <row r="371">
      <c r="A371" s="111" t="n"/>
      <c r="B371" s="27">
        <f>IF(A371="","",DATE(YEAR(A371),MONTH(A371),1))</f>
        <v/>
      </c>
      <c r="C371" s="28" t="n"/>
      <c r="D371" s="28" t="n"/>
      <c r="E371" s="28" t="n"/>
      <c r="F371" s="18" t="n"/>
      <c r="G371" s="7">
        <f>IFERROR(VLOOKUP(D371,'Catálogo de Serviços'!$A$5:$F$100,6,FALSE),0)</f>
        <v/>
      </c>
      <c r="H371" s="7">
        <f>IFERROR(E371*F371,0)</f>
        <v/>
      </c>
      <c r="I371" s="7">
        <f>IFERROR(F371-G371,0)</f>
        <v/>
      </c>
      <c r="J371" s="28" t="n"/>
      <c r="K371" s="28" t="n"/>
    </row>
    <row r="372">
      <c r="A372" s="111" t="n"/>
      <c r="B372" s="27">
        <f>IF(A372="","",DATE(YEAR(A372),MONTH(A372),1))</f>
        <v/>
      </c>
      <c r="C372" s="28" t="n"/>
      <c r="D372" s="28" t="n"/>
      <c r="E372" s="28" t="n"/>
      <c r="F372" s="18" t="n"/>
      <c r="G372" s="7">
        <f>IFERROR(VLOOKUP(D372,'Catálogo de Serviços'!$A$5:$F$100,6,FALSE),0)</f>
        <v/>
      </c>
      <c r="H372" s="7">
        <f>IFERROR(E372*F372,0)</f>
        <v/>
      </c>
      <c r="I372" s="7">
        <f>IFERROR(F372-G372,0)</f>
        <v/>
      </c>
      <c r="J372" s="28" t="n"/>
      <c r="K372" s="28" t="n"/>
    </row>
    <row r="373">
      <c r="A373" s="111" t="n"/>
      <c r="B373" s="27">
        <f>IF(A373="","",DATE(YEAR(A373),MONTH(A373),1))</f>
        <v/>
      </c>
      <c r="C373" s="28" t="n"/>
      <c r="D373" s="28" t="n"/>
      <c r="E373" s="28" t="n"/>
      <c r="F373" s="18" t="n"/>
      <c r="G373" s="7">
        <f>IFERROR(VLOOKUP(D373,'Catálogo de Serviços'!$A$5:$F$100,6,FALSE),0)</f>
        <v/>
      </c>
      <c r="H373" s="7">
        <f>IFERROR(E373*F373,0)</f>
        <v/>
      </c>
      <c r="I373" s="7">
        <f>IFERROR(F373-G373,0)</f>
        <v/>
      </c>
      <c r="J373" s="28" t="n"/>
      <c r="K373" s="28" t="n"/>
    </row>
    <row r="374">
      <c r="A374" s="111" t="n"/>
      <c r="B374" s="27">
        <f>IF(A374="","",DATE(YEAR(A374),MONTH(A374),1))</f>
        <v/>
      </c>
      <c r="C374" s="28" t="n"/>
      <c r="D374" s="28" t="n"/>
      <c r="E374" s="28" t="n"/>
      <c r="F374" s="18" t="n"/>
      <c r="G374" s="7">
        <f>IFERROR(VLOOKUP(D374,'Catálogo de Serviços'!$A$5:$F$100,6,FALSE),0)</f>
        <v/>
      </c>
      <c r="H374" s="7">
        <f>IFERROR(E374*F374,0)</f>
        <v/>
      </c>
      <c r="I374" s="7">
        <f>IFERROR(F374-G374,0)</f>
        <v/>
      </c>
      <c r="J374" s="28" t="n"/>
      <c r="K374" s="28" t="n"/>
    </row>
    <row r="375">
      <c r="A375" s="111" t="n"/>
      <c r="B375" s="27">
        <f>IF(A375="","",DATE(YEAR(A375),MONTH(A375),1))</f>
        <v/>
      </c>
      <c r="C375" s="28" t="n"/>
      <c r="D375" s="28" t="n"/>
      <c r="E375" s="28" t="n"/>
      <c r="F375" s="18" t="n"/>
      <c r="G375" s="7">
        <f>IFERROR(VLOOKUP(D375,'Catálogo de Serviços'!$A$5:$F$100,6,FALSE),0)</f>
        <v/>
      </c>
      <c r="H375" s="7">
        <f>IFERROR(E375*F375,0)</f>
        <v/>
      </c>
      <c r="I375" s="7">
        <f>IFERROR(F375-G375,0)</f>
        <v/>
      </c>
      <c r="J375" s="28" t="n"/>
      <c r="K375" s="28" t="n"/>
    </row>
    <row r="376">
      <c r="A376" s="111" t="n"/>
      <c r="B376" s="27">
        <f>IF(A376="","",DATE(YEAR(A376),MONTH(A376),1))</f>
        <v/>
      </c>
      <c r="C376" s="28" t="n"/>
      <c r="D376" s="28" t="n"/>
      <c r="E376" s="28" t="n"/>
      <c r="F376" s="18" t="n"/>
      <c r="G376" s="7">
        <f>IFERROR(VLOOKUP(D376,'Catálogo de Serviços'!$A$5:$F$100,6,FALSE),0)</f>
        <v/>
      </c>
      <c r="H376" s="7">
        <f>IFERROR(E376*F376,0)</f>
        <v/>
      </c>
      <c r="I376" s="7">
        <f>IFERROR(F376-G376,0)</f>
        <v/>
      </c>
      <c r="J376" s="28" t="n"/>
      <c r="K376" s="28" t="n"/>
    </row>
    <row r="377">
      <c r="A377" s="111" t="n"/>
      <c r="B377" s="27">
        <f>IF(A377="","",DATE(YEAR(A377),MONTH(A377),1))</f>
        <v/>
      </c>
      <c r="C377" s="28" t="n"/>
      <c r="D377" s="28" t="n"/>
      <c r="E377" s="28" t="n"/>
      <c r="F377" s="18" t="n"/>
      <c r="G377" s="7">
        <f>IFERROR(VLOOKUP(D377,'Catálogo de Serviços'!$A$5:$F$100,6,FALSE),0)</f>
        <v/>
      </c>
      <c r="H377" s="7">
        <f>IFERROR(E377*F377,0)</f>
        <v/>
      </c>
      <c r="I377" s="7">
        <f>IFERROR(F377-G377,0)</f>
        <v/>
      </c>
      <c r="J377" s="28" t="n"/>
      <c r="K377" s="28" t="n"/>
    </row>
    <row r="378">
      <c r="A378" s="111" t="n"/>
      <c r="B378" s="27">
        <f>IF(A378="","",DATE(YEAR(A378),MONTH(A378),1))</f>
        <v/>
      </c>
      <c r="C378" s="28" t="n"/>
      <c r="D378" s="28" t="n"/>
      <c r="E378" s="28" t="n"/>
      <c r="F378" s="18" t="n"/>
      <c r="G378" s="7">
        <f>IFERROR(VLOOKUP(D378,'Catálogo de Serviços'!$A$5:$F$100,6,FALSE),0)</f>
        <v/>
      </c>
      <c r="H378" s="7">
        <f>IFERROR(E378*F378,0)</f>
        <v/>
      </c>
      <c r="I378" s="7">
        <f>IFERROR(F378-G378,0)</f>
        <v/>
      </c>
      <c r="J378" s="28" t="n"/>
      <c r="K378" s="28" t="n"/>
    </row>
    <row r="379">
      <c r="A379" s="111" t="n"/>
      <c r="B379" s="27">
        <f>IF(A379="","",DATE(YEAR(A379),MONTH(A379),1))</f>
        <v/>
      </c>
      <c r="C379" s="28" t="n"/>
      <c r="D379" s="28" t="n"/>
      <c r="E379" s="28" t="n"/>
      <c r="F379" s="18" t="n"/>
      <c r="G379" s="7">
        <f>IFERROR(VLOOKUP(D379,'Catálogo de Serviços'!$A$5:$F$100,6,FALSE),0)</f>
        <v/>
      </c>
      <c r="H379" s="7">
        <f>IFERROR(E379*F379,0)</f>
        <v/>
      </c>
      <c r="I379" s="7">
        <f>IFERROR(F379-G379,0)</f>
        <v/>
      </c>
      <c r="J379" s="28" t="n"/>
      <c r="K379" s="28" t="n"/>
    </row>
    <row r="380">
      <c r="A380" s="111" t="n"/>
      <c r="B380" s="27">
        <f>IF(A380="","",DATE(YEAR(A380),MONTH(A380),1))</f>
        <v/>
      </c>
      <c r="C380" s="28" t="n"/>
      <c r="D380" s="28" t="n"/>
      <c r="E380" s="28" t="n"/>
      <c r="F380" s="18" t="n"/>
      <c r="G380" s="7">
        <f>IFERROR(VLOOKUP(D380,'Catálogo de Serviços'!$A$5:$F$100,6,FALSE),0)</f>
        <v/>
      </c>
      <c r="H380" s="7">
        <f>IFERROR(E380*F380,0)</f>
        <v/>
      </c>
      <c r="I380" s="7">
        <f>IFERROR(F380-G380,0)</f>
        <v/>
      </c>
      <c r="J380" s="28" t="n"/>
      <c r="K380" s="28" t="n"/>
    </row>
    <row r="381">
      <c r="A381" s="111" t="n"/>
      <c r="B381" s="27">
        <f>IF(A381="","",DATE(YEAR(A381),MONTH(A381),1))</f>
        <v/>
      </c>
      <c r="C381" s="28" t="n"/>
      <c r="D381" s="28" t="n"/>
      <c r="E381" s="28" t="n"/>
      <c r="F381" s="18" t="n"/>
      <c r="G381" s="7">
        <f>IFERROR(VLOOKUP(D381,'Catálogo de Serviços'!$A$5:$F$100,6,FALSE),0)</f>
        <v/>
      </c>
      <c r="H381" s="7">
        <f>IFERROR(E381*F381,0)</f>
        <v/>
      </c>
      <c r="I381" s="7">
        <f>IFERROR(F381-G381,0)</f>
        <v/>
      </c>
      <c r="J381" s="28" t="n"/>
      <c r="K381" s="28" t="n"/>
    </row>
    <row r="382">
      <c r="A382" s="111" t="n"/>
      <c r="B382" s="27">
        <f>IF(A382="","",DATE(YEAR(A382),MONTH(A382),1))</f>
        <v/>
      </c>
      <c r="C382" s="28" t="n"/>
      <c r="D382" s="28" t="n"/>
      <c r="E382" s="28" t="n"/>
      <c r="F382" s="18" t="n"/>
      <c r="G382" s="7">
        <f>IFERROR(VLOOKUP(D382,'Catálogo de Serviços'!$A$5:$F$100,6,FALSE),0)</f>
        <v/>
      </c>
      <c r="H382" s="7">
        <f>IFERROR(E382*F382,0)</f>
        <v/>
      </c>
      <c r="I382" s="7">
        <f>IFERROR(F382-G382,0)</f>
        <v/>
      </c>
      <c r="J382" s="28" t="n"/>
      <c r="K382" s="28" t="n"/>
    </row>
    <row r="383">
      <c r="A383" s="111" t="n"/>
      <c r="B383" s="27">
        <f>IF(A383="","",DATE(YEAR(A383),MONTH(A383),1))</f>
        <v/>
      </c>
      <c r="C383" s="28" t="n"/>
      <c r="D383" s="28" t="n"/>
      <c r="E383" s="28" t="n"/>
      <c r="F383" s="18" t="n"/>
      <c r="G383" s="7">
        <f>IFERROR(VLOOKUP(D383,'Catálogo de Serviços'!$A$5:$F$100,6,FALSE),0)</f>
        <v/>
      </c>
      <c r="H383" s="7">
        <f>IFERROR(E383*F383,0)</f>
        <v/>
      </c>
      <c r="I383" s="7">
        <f>IFERROR(F383-G383,0)</f>
        <v/>
      </c>
      <c r="J383" s="28" t="n"/>
      <c r="K383" s="28" t="n"/>
    </row>
    <row r="384">
      <c r="A384" s="111" t="n"/>
      <c r="B384" s="27">
        <f>IF(A384="","",DATE(YEAR(A384),MONTH(A384),1))</f>
        <v/>
      </c>
      <c r="C384" s="28" t="n"/>
      <c r="D384" s="28" t="n"/>
      <c r="E384" s="28" t="n"/>
      <c r="F384" s="18" t="n"/>
      <c r="G384" s="7">
        <f>IFERROR(VLOOKUP(D384,'Catálogo de Serviços'!$A$5:$F$100,6,FALSE),0)</f>
        <v/>
      </c>
      <c r="H384" s="7">
        <f>IFERROR(E384*F384,0)</f>
        <v/>
      </c>
      <c r="I384" s="7">
        <f>IFERROR(F384-G384,0)</f>
        <v/>
      </c>
      <c r="J384" s="28" t="n"/>
      <c r="K384" s="28" t="n"/>
    </row>
    <row r="385">
      <c r="A385" s="111" t="n"/>
      <c r="B385" s="27">
        <f>IF(A385="","",DATE(YEAR(A385),MONTH(A385),1))</f>
        <v/>
      </c>
      <c r="C385" s="28" t="n"/>
      <c r="D385" s="28" t="n"/>
      <c r="E385" s="28" t="n"/>
      <c r="F385" s="18" t="n"/>
      <c r="G385" s="7">
        <f>IFERROR(VLOOKUP(D385,'Catálogo de Serviços'!$A$5:$F$100,6,FALSE),0)</f>
        <v/>
      </c>
      <c r="H385" s="7">
        <f>IFERROR(E385*F385,0)</f>
        <v/>
      </c>
      <c r="I385" s="7">
        <f>IFERROR(F385-G385,0)</f>
        <v/>
      </c>
      <c r="J385" s="28" t="n"/>
      <c r="K385" s="28" t="n"/>
    </row>
    <row r="386">
      <c r="A386" s="111" t="n"/>
      <c r="B386" s="27">
        <f>IF(A386="","",DATE(YEAR(A386),MONTH(A386),1))</f>
        <v/>
      </c>
      <c r="C386" s="28" t="n"/>
      <c r="D386" s="28" t="n"/>
      <c r="E386" s="28" t="n"/>
      <c r="F386" s="18" t="n"/>
      <c r="G386" s="7">
        <f>IFERROR(VLOOKUP(D386,'Catálogo de Serviços'!$A$5:$F$100,6,FALSE),0)</f>
        <v/>
      </c>
      <c r="H386" s="7">
        <f>IFERROR(E386*F386,0)</f>
        <v/>
      </c>
      <c r="I386" s="7">
        <f>IFERROR(F386-G386,0)</f>
        <v/>
      </c>
      <c r="J386" s="28" t="n"/>
      <c r="K386" s="28" t="n"/>
    </row>
    <row r="387">
      <c r="A387" s="111" t="n"/>
      <c r="B387" s="27">
        <f>IF(A387="","",DATE(YEAR(A387),MONTH(A387),1))</f>
        <v/>
      </c>
      <c r="C387" s="28" t="n"/>
      <c r="D387" s="28" t="n"/>
      <c r="E387" s="28" t="n"/>
      <c r="F387" s="18" t="n"/>
      <c r="G387" s="7">
        <f>IFERROR(VLOOKUP(D387,'Catálogo de Serviços'!$A$5:$F$100,6,FALSE),0)</f>
        <v/>
      </c>
      <c r="H387" s="7">
        <f>IFERROR(E387*F387,0)</f>
        <v/>
      </c>
      <c r="I387" s="7">
        <f>IFERROR(F387-G387,0)</f>
        <v/>
      </c>
      <c r="J387" s="28" t="n"/>
      <c r="K387" s="28" t="n"/>
    </row>
    <row r="388">
      <c r="A388" s="111" t="n"/>
      <c r="B388" s="27">
        <f>IF(A388="","",DATE(YEAR(A388),MONTH(A388),1))</f>
        <v/>
      </c>
      <c r="C388" s="28" t="n"/>
      <c r="D388" s="28" t="n"/>
      <c r="E388" s="28" t="n"/>
      <c r="F388" s="18" t="n"/>
      <c r="G388" s="7">
        <f>IFERROR(VLOOKUP(D388,'Catálogo de Serviços'!$A$5:$F$100,6,FALSE),0)</f>
        <v/>
      </c>
      <c r="H388" s="7">
        <f>IFERROR(E388*F388,0)</f>
        <v/>
      </c>
      <c r="I388" s="7">
        <f>IFERROR(F388-G388,0)</f>
        <v/>
      </c>
      <c r="J388" s="28" t="n"/>
      <c r="K388" s="28" t="n"/>
    </row>
    <row r="389">
      <c r="A389" s="111" t="n"/>
      <c r="B389" s="27">
        <f>IF(A389="","",DATE(YEAR(A389),MONTH(A389),1))</f>
        <v/>
      </c>
      <c r="C389" s="28" t="n"/>
      <c r="D389" s="28" t="n"/>
      <c r="E389" s="28" t="n"/>
      <c r="F389" s="18" t="n"/>
      <c r="G389" s="7">
        <f>IFERROR(VLOOKUP(D389,'Catálogo de Serviços'!$A$5:$F$100,6,FALSE),0)</f>
        <v/>
      </c>
      <c r="H389" s="7">
        <f>IFERROR(E389*F389,0)</f>
        <v/>
      </c>
      <c r="I389" s="7">
        <f>IFERROR(F389-G389,0)</f>
        <v/>
      </c>
      <c r="J389" s="28" t="n"/>
      <c r="K389" s="28" t="n"/>
    </row>
    <row r="390">
      <c r="A390" s="111" t="n"/>
      <c r="B390" s="27">
        <f>IF(A390="","",DATE(YEAR(A390),MONTH(A390),1))</f>
        <v/>
      </c>
      <c r="C390" s="28" t="n"/>
      <c r="D390" s="28" t="n"/>
      <c r="E390" s="28" t="n"/>
      <c r="F390" s="18" t="n"/>
      <c r="G390" s="7">
        <f>IFERROR(VLOOKUP(D390,'Catálogo de Serviços'!$A$5:$F$100,6,FALSE),0)</f>
        <v/>
      </c>
      <c r="H390" s="7">
        <f>IFERROR(E390*F390,0)</f>
        <v/>
      </c>
      <c r="I390" s="7">
        <f>IFERROR(F390-G390,0)</f>
        <v/>
      </c>
      <c r="J390" s="28" t="n"/>
      <c r="K390" s="28" t="n"/>
    </row>
    <row r="391">
      <c r="A391" s="111" t="n"/>
      <c r="B391" s="27">
        <f>IF(A391="","",DATE(YEAR(A391),MONTH(A391),1))</f>
        <v/>
      </c>
      <c r="C391" s="28" t="n"/>
      <c r="D391" s="28" t="n"/>
      <c r="E391" s="28" t="n"/>
      <c r="F391" s="18" t="n"/>
      <c r="G391" s="7">
        <f>IFERROR(VLOOKUP(D391,'Catálogo de Serviços'!$A$5:$F$100,6,FALSE),0)</f>
        <v/>
      </c>
      <c r="H391" s="7">
        <f>IFERROR(E391*F391,0)</f>
        <v/>
      </c>
      <c r="I391" s="7">
        <f>IFERROR(F391-G391,0)</f>
        <v/>
      </c>
      <c r="J391" s="28" t="n"/>
      <c r="K391" s="28" t="n"/>
    </row>
    <row r="392">
      <c r="A392" s="111" t="n"/>
      <c r="B392" s="27">
        <f>IF(A392="","",DATE(YEAR(A392),MONTH(A392),1))</f>
        <v/>
      </c>
      <c r="C392" s="28" t="n"/>
      <c r="D392" s="28" t="n"/>
      <c r="E392" s="28" t="n"/>
      <c r="F392" s="18" t="n"/>
      <c r="G392" s="7">
        <f>IFERROR(VLOOKUP(D392,'Catálogo de Serviços'!$A$5:$F$100,6,FALSE),0)</f>
        <v/>
      </c>
      <c r="H392" s="7">
        <f>IFERROR(E392*F392,0)</f>
        <v/>
      </c>
      <c r="I392" s="7">
        <f>IFERROR(F392-G392,0)</f>
        <v/>
      </c>
      <c r="J392" s="28" t="n"/>
      <c r="K392" s="28" t="n"/>
    </row>
    <row r="393">
      <c r="A393" s="111" t="n"/>
      <c r="B393" s="27">
        <f>IF(A393="","",DATE(YEAR(A393),MONTH(A393),1))</f>
        <v/>
      </c>
      <c r="C393" s="28" t="n"/>
      <c r="D393" s="28" t="n"/>
      <c r="E393" s="28" t="n"/>
      <c r="F393" s="18" t="n"/>
      <c r="G393" s="7">
        <f>IFERROR(VLOOKUP(D393,'Catálogo de Serviços'!$A$5:$F$100,6,FALSE),0)</f>
        <v/>
      </c>
      <c r="H393" s="7">
        <f>IFERROR(E393*F393,0)</f>
        <v/>
      </c>
      <c r="I393" s="7">
        <f>IFERROR(F393-G393,0)</f>
        <v/>
      </c>
      <c r="J393" s="28" t="n"/>
      <c r="K393" s="28" t="n"/>
    </row>
    <row r="394">
      <c r="A394" s="111" t="n"/>
      <c r="B394" s="27">
        <f>IF(A394="","",DATE(YEAR(A394),MONTH(A394),1))</f>
        <v/>
      </c>
      <c r="C394" s="28" t="n"/>
      <c r="D394" s="28" t="n"/>
      <c r="E394" s="28" t="n"/>
      <c r="F394" s="18" t="n"/>
      <c r="G394" s="7">
        <f>IFERROR(VLOOKUP(D394,'Catálogo de Serviços'!$A$5:$F$100,6,FALSE),0)</f>
        <v/>
      </c>
      <c r="H394" s="7">
        <f>IFERROR(E394*F394,0)</f>
        <v/>
      </c>
      <c r="I394" s="7">
        <f>IFERROR(F394-G394,0)</f>
        <v/>
      </c>
      <c r="J394" s="28" t="n"/>
      <c r="K394" s="28" t="n"/>
    </row>
    <row r="395">
      <c r="A395" s="111" t="n"/>
      <c r="B395" s="27">
        <f>IF(A395="","",DATE(YEAR(A395),MONTH(A395),1))</f>
        <v/>
      </c>
      <c r="C395" s="28" t="n"/>
      <c r="D395" s="28" t="n"/>
      <c r="E395" s="28" t="n"/>
      <c r="F395" s="18" t="n"/>
      <c r="G395" s="7">
        <f>IFERROR(VLOOKUP(D395,'Catálogo de Serviços'!$A$5:$F$100,6,FALSE),0)</f>
        <v/>
      </c>
      <c r="H395" s="7">
        <f>IFERROR(E395*F395,0)</f>
        <v/>
      </c>
      <c r="I395" s="7">
        <f>IFERROR(F395-G395,0)</f>
        <v/>
      </c>
      <c r="J395" s="28" t="n"/>
      <c r="K395" s="28" t="n"/>
    </row>
    <row r="396">
      <c r="A396" s="111" t="n"/>
      <c r="B396" s="27">
        <f>IF(A396="","",DATE(YEAR(A396),MONTH(A396),1))</f>
        <v/>
      </c>
      <c r="C396" s="28" t="n"/>
      <c r="D396" s="28" t="n"/>
      <c r="E396" s="28" t="n"/>
      <c r="F396" s="18" t="n"/>
      <c r="G396" s="7">
        <f>IFERROR(VLOOKUP(D396,'Catálogo de Serviços'!$A$5:$F$100,6,FALSE),0)</f>
        <v/>
      </c>
      <c r="H396" s="7">
        <f>IFERROR(E396*F396,0)</f>
        <v/>
      </c>
      <c r="I396" s="7">
        <f>IFERROR(F396-G396,0)</f>
        <v/>
      </c>
      <c r="J396" s="28" t="n"/>
      <c r="K396" s="28" t="n"/>
    </row>
    <row r="397">
      <c r="A397" s="111" t="n"/>
      <c r="B397" s="27">
        <f>IF(A397="","",DATE(YEAR(A397),MONTH(A397),1))</f>
        <v/>
      </c>
      <c r="C397" s="28" t="n"/>
      <c r="D397" s="28" t="n"/>
      <c r="E397" s="28" t="n"/>
      <c r="F397" s="18" t="n"/>
      <c r="G397" s="7">
        <f>IFERROR(VLOOKUP(D397,'Catálogo de Serviços'!$A$5:$F$100,6,FALSE),0)</f>
        <v/>
      </c>
      <c r="H397" s="7">
        <f>IFERROR(E397*F397,0)</f>
        <v/>
      </c>
      <c r="I397" s="7">
        <f>IFERROR(F397-G397,0)</f>
        <v/>
      </c>
      <c r="J397" s="28" t="n"/>
      <c r="K397" s="28" t="n"/>
    </row>
    <row r="398">
      <c r="A398" s="111" t="n"/>
      <c r="B398" s="27">
        <f>IF(A398="","",DATE(YEAR(A398),MONTH(A398),1))</f>
        <v/>
      </c>
      <c r="C398" s="28" t="n"/>
      <c r="D398" s="28" t="n"/>
      <c r="E398" s="28" t="n"/>
      <c r="F398" s="18" t="n"/>
      <c r="G398" s="7">
        <f>IFERROR(VLOOKUP(D398,'Catálogo de Serviços'!$A$5:$F$100,6,FALSE),0)</f>
        <v/>
      </c>
      <c r="H398" s="7">
        <f>IFERROR(E398*F398,0)</f>
        <v/>
      </c>
      <c r="I398" s="7">
        <f>IFERROR(F398-G398,0)</f>
        <v/>
      </c>
      <c r="J398" s="28" t="n"/>
      <c r="K398" s="28" t="n"/>
    </row>
    <row r="399">
      <c r="A399" s="111" t="n"/>
      <c r="B399" s="27">
        <f>IF(A399="","",DATE(YEAR(A399),MONTH(A399),1))</f>
        <v/>
      </c>
      <c r="C399" s="28" t="n"/>
      <c r="D399" s="28" t="n"/>
      <c r="E399" s="28" t="n"/>
      <c r="F399" s="18" t="n"/>
      <c r="G399" s="7">
        <f>IFERROR(VLOOKUP(D399,'Catálogo de Serviços'!$A$5:$F$100,6,FALSE),0)</f>
        <v/>
      </c>
      <c r="H399" s="7">
        <f>IFERROR(E399*F399,0)</f>
        <v/>
      </c>
      <c r="I399" s="7">
        <f>IFERROR(F399-G399,0)</f>
        <v/>
      </c>
      <c r="J399" s="28" t="n"/>
      <c r="K399" s="28" t="n"/>
    </row>
    <row r="400">
      <c r="A400" s="111" t="n"/>
      <c r="B400" s="27">
        <f>IF(A400="","",DATE(YEAR(A400),MONTH(A400),1))</f>
        <v/>
      </c>
      <c r="C400" s="28" t="n"/>
      <c r="D400" s="28" t="n"/>
      <c r="E400" s="28" t="n"/>
      <c r="F400" s="18" t="n"/>
      <c r="G400" s="7">
        <f>IFERROR(VLOOKUP(D400,'Catálogo de Serviços'!$A$5:$F$100,6,FALSE),0)</f>
        <v/>
      </c>
      <c r="H400" s="7">
        <f>IFERROR(E400*F400,0)</f>
        <v/>
      </c>
      <c r="I400" s="7">
        <f>IFERROR(F400-G400,0)</f>
        <v/>
      </c>
      <c r="J400" s="28" t="n"/>
      <c r="K400" s="28" t="n"/>
    </row>
    <row r="401">
      <c r="A401" s="111" t="n"/>
      <c r="B401" s="27">
        <f>IF(A401="","",DATE(YEAR(A401),MONTH(A401),1))</f>
        <v/>
      </c>
      <c r="C401" s="28" t="n"/>
      <c r="D401" s="28" t="n"/>
      <c r="E401" s="28" t="n"/>
      <c r="F401" s="18" t="n"/>
      <c r="G401" s="7">
        <f>IFERROR(VLOOKUP(D401,'Catálogo de Serviços'!$A$5:$F$100,6,FALSE),0)</f>
        <v/>
      </c>
      <c r="H401" s="7">
        <f>IFERROR(E401*F401,0)</f>
        <v/>
      </c>
      <c r="I401" s="7">
        <f>IFERROR(F401-G401,0)</f>
        <v/>
      </c>
      <c r="J401" s="28" t="n"/>
      <c r="K401" s="28" t="n"/>
    </row>
    <row r="402">
      <c r="A402" s="111" t="n"/>
      <c r="B402" s="27">
        <f>IF(A402="","",DATE(YEAR(A402),MONTH(A402),1))</f>
        <v/>
      </c>
      <c r="C402" s="28" t="n"/>
      <c r="D402" s="28" t="n"/>
      <c r="E402" s="28" t="n"/>
      <c r="F402" s="18" t="n"/>
      <c r="G402" s="7">
        <f>IFERROR(VLOOKUP(D402,'Catálogo de Serviços'!$A$5:$F$100,6,FALSE),0)</f>
        <v/>
      </c>
      <c r="H402" s="7">
        <f>IFERROR(E402*F402,0)</f>
        <v/>
      </c>
      <c r="I402" s="7">
        <f>IFERROR(F402-G402,0)</f>
        <v/>
      </c>
      <c r="J402" s="28" t="n"/>
      <c r="K402" s="28" t="n"/>
    </row>
    <row r="403">
      <c r="A403" s="111" t="n"/>
      <c r="B403" s="27">
        <f>IF(A403="","",DATE(YEAR(A403),MONTH(A403),1))</f>
        <v/>
      </c>
      <c r="C403" s="28" t="n"/>
      <c r="D403" s="28" t="n"/>
      <c r="E403" s="28" t="n"/>
      <c r="F403" s="18" t="n"/>
      <c r="G403" s="7">
        <f>IFERROR(VLOOKUP(D403,'Catálogo de Serviços'!$A$5:$F$100,6,FALSE),0)</f>
        <v/>
      </c>
      <c r="H403" s="7">
        <f>IFERROR(E403*F403,0)</f>
        <v/>
      </c>
      <c r="I403" s="7">
        <f>IFERROR(F403-G403,0)</f>
        <v/>
      </c>
      <c r="J403" s="28" t="n"/>
      <c r="K403" s="28" t="n"/>
    </row>
    <row r="404">
      <c r="A404" s="111" t="n"/>
      <c r="B404" s="27">
        <f>IF(A404="","",DATE(YEAR(A404),MONTH(A404),1))</f>
        <v/>
      </c>
      <c r="C404" s="28" t="n"/>
      <c r="D404" s="28" t="n"/>
      <c r="E404" s="28" t="n"/>
      <c r="F404" s="18" t="n"/>
      <c r="G404" s="7">
        <f>IFERROR(VLOOKUP(D404,'Catálogo de Serviços'!$A$5:$F$100,6,FALSE),0)</f>
        <v/>
      </c>
      <c r="H404" s="7">
        <f>IFERROR(E404*F404,0)</f>
        <v/>
      </c>
      <c r="I404" s="7">
        <f>IFERROR(F404-G404,0)</f>
        <v/>
      </c>
      <c r="J404" s="28" t="n"/>
      <c r="K404" s="28" t="n"/>
    </row>
    <row r="405">
      <c r="A405" s="111" t="n"/>
      <c r="B405" s="27">
        <f>IF(A405="","",DATE(YEAR(A405),MONTH(A405),1))</f>
        <v/>
      </c>
      <c r="C405" s="28" t="n"/>
      <c r="D405" s="28" t="n"/>
      <c r="E405" s="28" t="n"/>
      <c r="F405" s="18" t="n"/>
      <c r="G405" s="7">
        <f>IFERROR(VLOOKUP(D405,'Catálogo de Serviços'!$A$5:$F$100,6,FALSE),0)</f>
        <v/>
      </c>
      <c r="H405" s="7">
        <f>IFERROR(E405*F405,0)</f>
        <v/>
      </c>
      <c r="I405" s="7">
        <f>IFERROR(F405-G405,0)</f>
        <v/>
      </c>
      <c r="J405" s="28" t="n"/>
      <c r="K405" s="28" t="n"/>
    </row>
    <row r="406">
      <c r="A406" s="111" t="n"/>
      <c r="B406" s="27">
        <f>IF(A406="","",DATE(YEAR(A406),MONTH(A406),1))</f>
        <v/>
      </c>
      <c r="C406" s="28" t="n"/>
      <c r="D406" s="28" t="n"/>
      <c r="E406" s="28" t="n"/>
      <c r="F406" s="18" t="n"/>
      <c r="G406" s="7">
        <f>IFERROR(VLOOKUP(D406,'Catálogo de Serviços'!$A$5:$F$100,6,FALSE),0)</f>
        <v/>
      </c>
      <c r="H406" s="7">
        <f>IFERROR(E406*F406,0)</f>
        <v/>
      </c>
      <c r="I406" s="7">
        <f>IFERROR(F406-G406,0)</f>
        <v/>
      </c>
      <c r="J406" s="28" t="n"/>
      <c r="K406" s="28" t="n"/>
    </row>
    <row r="407">
      <c r="A407" s="111" t="n"/>
      <c r="B407" s="27">
        <f>IF(A407="","",DATE(YEAR(A407),MONTH(A407),1))</f>
        <v/>
      </c>
      <c r="C407" s="28" t="n"/>
      <c r="D407" s="28" t="n"/>
      <c r="E407" s="28" t="n"/>
      <c r="F407" s="18" t="n"/>
      <c r="G407" s="7">
        <f>IFERROR(VLOOKUP(D407,'Catálogo de Serviços'!$A$5:$F$100,6,FALSE),0)</f>
        <v/>
      </c>
      <c r="H407" s="7">
        <f>IFERROR(E407*F407,0)</f>
        <v/>
      </c>
      <c r="I407" s="7">
        <f>IFERROR(F407-G407,0)</f>
        <v/>
      </c>
      <c r="J407" s="28" t="n"/>
      <c r="K407" s="28" t="n"/>
    </row>
    <row r="408">
      <c r="A408" s="111" t="n"/>
      <c r="B408" s="27">
        <f>IF(A408="","",DATE(YEAR(A408),MONTH(A408),1))</f>
        <v/>
      </c>
      <c r="C408" s="28" t="n"/>
      <c r="D408" s="28" t="n"/>
      <c r="E408" s="28" t="n"/>
      <c r="F408" s="18" t="n"/>
      <c r="G408" s="7">
        <f>IFERROR(VLOOKUP(D408,'Catálogo de Serviços'!$A$5:$F$100,6,FALSE),0)</f>
        <v/>
      </c>
      <c r="H408" s="7">
        <f>IFERROR(E408*F408,0)</f>
        <v/>
      </c>
      <c r="I408" s="7">
        <f>IFERROR(F408-G408,0)</f>
        <v/>
      </c>
      <c r="J408" s="28" t="n"/>
      <c r="K408" s="28" t="n"/>
    </row>
    <row r="409">
      <c r="A409" s="111" t="n"/>
      <c r="B409" s="27">
        <f>IF(A409="","",DATE(YEAR(A409),MONTH(A409),1))</f>
        <v/>
      </c>
      <c r="C409" s="28" t="n"/>
      <c r="D409" s="28" t="n"/>
      <c r="E409" s="28" t="n"/>
      <c r="F409" s="18" t="n"/>
      <c r="G409" s="7">
        <f>IFERROR(VLOOKUP(D409,'Catálogo de Serviços'!$A$5:$F$100,6,FALSE),0)</f>
        <v/>
      </c>
      <c r="H409" s="7">
        <f>IFERROR(E409*F409,0)</f>
        <v/>
      </c>
      <c r="I409" s="7">
        <f>IFERROR(F409-G409,0)</f>
        <v/>
      </c>
      <c r="J409" s="28" t="n"/>
      <c r="K409" s="28" t="n"/>
    </row>
    <row r="410">
      <c r="A410" s="111" t="n"/>
      <c r="B410" s="27">
        <f>IF(A410="","",DATE(YEAR(A410),MONTH(A410),1))</f>
        <v/>
      </c>
      <c r="C410" s="28" t="n"/>
      <c r="D410" s="28" t="n"/>
      <c r="E410" s="28" t="n"/>
      <c r="F410" s="18" t="n"/>
      <c r="G410" s="7">
        <f>IFERROR(VLOOKUP(D410,'Catálogo de Serviços'!$A$5:$F$100,6,FALSE),0)</f>
        <v/>
      </c>
      <c r="H410" s="7">
        <f>IFERROR(E410*F410,0)</f>
        <v/>
      </c>
      <c r="I410" s="7">
        <f>IFERROR(F410-G410,0)</f>
        <v/>
      </c>
      <c r="J410" s="28" t="n"/>
      <c r="K410" s="28" t="n"/>
    </row>
    <row r="411">
      <c r="A411" s="111" t="n"/>
      <c r="B411" s="27">
        <f>IF(A411="","",DATE(YEAR(A411),MONTH(A411),1))</f>
        <v/>
      </c>
      <c r="C411" s="28" t="n"/>
      <c r="D411" s="28" t="n"/>
      <c r="E411" s="28" t="n"/>
      <c r="F411" s="18" t="n"/>
      <c r="G411" s="7">
        <f>IFERROR(VLOOKUP(D411,'Catálogo de Serviços'!$A$5:$F$100,6,FALSE),0)</f>
        <v/>
      </c>
      <c r="H411" s="7">
        <f>IFERROR(E411*F411,0)</f>
        <v/>
      </c>
      <c r="I411" s="7">
        <f>IFERROR(F411-G411,0)</f>
        <v/>
      </c>
      <c r="J411" s="28" t="n"/>
      <c r="K411" s="28" t="n"/>
    </row>
    <row r="412">
      <c r="A412" s="111" t="n"/>
      <c r="B412" s="27">
        <f>IF(A412="","",DATE(YEAR(A412),MONTH(A412),1))</f>
        <v/>
      </c>
      <c r="C412" s="28" t="n"/>
      <c r="D412" s="28" t="n"/>
      <c r="E412" s="28" t="n"/>
      <c r="F412" s="18" t="n"/>
      <c r="G412" s="7">
        <f>IFERROR(VLOOKUP(D412,'Catálogo de Serviços'!$A$5:$F$100,6,FALSE),0)</f>
        <v/>
      </c>
      <c r="H412" s="7">
        <f>IFERROR(E412*F412,0)</f>
        <v/>
      </c>
      <c r="I412" s="7">
        <f>IFERROR(F412-G412,0)</f>
        <v/>
      </c>
      <c r="J412" s="28" t="n"/>
      <c r="K412" s="28" t="n"/>
    </row>
    <row r="413">
      <c r="A413" s="111" t="n"/>
      <c r="B413" s="27">
        <f>IF(A413="","",DATE(YEAR(A413),MONTH(A413),1))</f>
        <v/>
      </c>
      <c r="C413" s="28" t="n"/>
      <c r="D413" s="28" t="n"/>
      <c r="E413" s="28" t="n"/>
      <c r="F413" s="18" t="n"/>
      <c r="G413" s="7">
        <f>IFERROR(VLOOKUP(D413,'Catálogo de Serviços'!$A$5:$F$100,6,FALSE),0)</f>
        <v/>
      </c>
      <c r="H413" s="7">
        <f>IFERROR(E413*F413,0)</f>
        <v/>
      </c>
      <c r="I413" s="7">
        <f>IFERROR(F413-G413,0)</f>
        <v/>
      </c>
      <c r="J413" s="28" t="n"/>
      <c r="K413" s="28" t="n"/>
    </row>
    <row r="414">
      <c r="A414" s="111" t="n"/>
      <c r="B414" s="27">
        <f>IF(A414="","",DATE(YEAR(A414),MONTH(A414),1))</f>
        <v/>
      </c>
      <c r="C414" s="28" t="n"/>
      <c r="D414" s="28" t="n"/>
      <c r="E414" s="28" t="n"/>
      <c r="F414" s="18" t="n"/>
      <c r="G414" s="7">
        <f>IFERROR(VLOOKUP(D414,'Catálogo de Serviços'!$A$5:$F$100,6,FALSE),0)</f>
        <v/>
      </c>
      <c r="H414" s="7">
        <f>IFERROR(E414*F414,0)</f>
        <v/>
      </c>
      <c r="I414" s="7">
        <f>IFERROR(F414-G414,0)</f>
        <v/>
      </c>
      <c r="J414" s="28" t="n"/>
      <c r="K414" s="28" t="n"/>
    </row>
    <row r="415">
      <c r="A415" s="111" t="n"/>
      <c r="B415" s="27">
        <f>IF(A415="","",DATE(YEAR(A415),MONTH(A415),1))</f>
        <v/>
      </c>
      <c r="C415" s="28" t="n"/>
      <c r="D415" s="28" t="n"/>
      <c r="E415" s="28" t="n"/>
      <c r="F415" s="18" t="n"/>
      <c r="G415" s="7">
        <f>IFERROR(VLOOKUP(D415,'Catálogo de Serviços'!$A$5:$F$100,6,FALSE),0)</f>
        <v/>
      </c>
      <c r="H415" s="7">
        <f>IFERROR(E415*F415,0)</f>
        <v/>
      </c>
      <c r="I415" s="7">
        <f>IFERROR(F415-G415,0)</f>
        <v/>
      </c>
      <c r="J415" s="28" t="n"/>
      <c r="K415" s="28" t="n"/>
    </row>
    <row r="416">
      <c r="A416" s="111" t="n"/>
      <c r="B416" s="27">
        <f>IF(A416="","",DATE(YEAR(A416),MONTH(A416),1))</f>
        <v/>
      </c>
      <c r="C416" s="28" t="n"/>
      <c r="D416" s="28" t="n"/>
      <c r="E416" s="28" t="n"/>
      <c r="F416" s="18" t="n"/>
      <c r="G416" s="7">
        <f>IFERROR(VLOOKUP(D416,'Catálogo de Serviços'!$A$5:$F$100,6,FALSE),0)</f>
        <v/>
      </c>
      <c r="H416" s="7">
        <f>IFERROR(E416*F416,0)</f>
        <v/>
      </c>
      <c r="I416" s="7">
        <f>IFERROR(F416-G416,0)</f>
        <v/>
      </c>
      <c r="J416" s="28" t="n"/>
      <c r="K416" s="28" t="n"/>
    </row>
    <row r="417">
      <c r="A417" s="111" t="n"/>
      <c r="B417" s="27">
        <f>IF(A417="","",DATE(YEAR(A417),MONTH(A417),1))</f>
        <v/>
      </c>
      <c r="C417" s="28" t="n"/>
      <c r="D417" s="28" t="n"/>
      <c r="E417" s="28" t="n"/>
      <c r="F417" s="18" t="n"/>
      <c r="G417" s="7">
        <f>IFERROR(VLOOKUP(D417,'Catálogo de Serviços'!$A$5:$F$100,6,FALSE),0)</f>
        <v/>
      </c>
      <c r="H417" s="7">
        <f>IFERROR(E417*F417,0)</f>
        <v/>
      </c>
      <c r="I417" s="7">
        <f>IFERROR(F417-G417,0)</f>
        <v/>
      </c>
      <c r="J417" s="28" t="n"/>
      <c r="K417" s="28" t="n"/>
    </row>
    <row r="418">
      <c r="A418" s="111" t="n"/>
      <c r="B418" s="27">
        <f>IF(A418="","",DATE(YEAR(A418),MONTH(A418),1))</f>
        <v/>
      </c>
      <c r="C418" s="28" t="n"/>
      <c r="D418" s="28" t="n"/>
      <c r="E418" s="28" t="n"/>
      <c r="F418" s="18" t="n"/>
      <c r="G418" s="7">
        <f>IFERROR(VLOOKUP(D418,'Catálogo de Serviços'!$A$5:$F$100,6,FALSE),0)</f>
        <v/>
      </c>
      <c r="H418" s="7">
        <f>IFERROR(E418*F418,0)</f>
        <v/>
      </c>
      <c r="I418" s="7">
        <f>IFERROR(F418-G418,0)</f>
        <v/>
      </c>
      <c r="J418" s="28" t="n"/>
      <c r="K418" s="28" t="n"/>
    </row>
    <row r="419">
      <c r="A419" s="111" t="n"/>
      <c r="B419" s="27">
        <f>IF(A419="","",DATE(YEAR(A419),MONTH(A419),1))</f>
        <v/>
      </c>
      <c r="C419" s="28" t="n"/>
      <c r="D419" s="28" t="n"/>
      <c r="E419" s="28" t="n"/>
      <c r="F419" s="18" t="n"/>
      <c r="G419" s="7">
        <f>IFERROR(VLOOKUP(D419,'Catálogo de Serviços'!$A$5:$F$100,6,FALSE),0)</f>
        <v/>
      </c>
      <c r="H419" s="7">
        <f>IFERROR(E419*F419,0)</f>
        <v/>
      </c>
      <c r="I419" s="7">
        <f>IFERROR(F419-G419,0)</f>
        <v/>
      </c>
      <c r="J419" s="28" t="n"/>
      <c r="K419" s="28" t="n"/>
    </row>
    <row r="420">
      <c r="A420" s="111" t="n"/>
      <c r="B420" s="27">
        <f>IF(A420="","",DATE(YEAR(A420),MONTH(A420),1))</f>
        <v/>
      </c>
      <c r="C420" s="28" t="n"/>
      <c r="D420" s="28" t="n"/>
      <c r="E420" s="28" t="n"/>
      <c r="F420" s="18" t="n"/>
      <c r="G420" s="7">
        <f>IFERROR(VLOOKUP(D420,'Catálogo de Serviços'!$A$5:$F$100,6,FALSE),0)</f>
        <v/>
      </c>
      <c r="H420" s="7">
        <f>IFERROR(E420*F420,0)</f>
        <v/>
      </c>
      <c r="I420" s="7">
        <f>IFERROR(F420-G420,0)</f>
        <v/>
      </c>
      <c r="J420" s="28" t="n"/>
      <c r="K420" s="28" t="n"/>
    </row>
    <row r="421">
      <c r="A421" s="111" t="n"/>
      <c r="B421" s="27">
        <f>IF(A421="","",DATE(YEAR(A421),MONTH(A421),1))</f>
        <v/>
      </c>
      <c r="C421" s="28" t="n"/>
      <c r="D421" s="28" t="n"/>
      <c r="E421" s="28" t="n"/>
      <c r="F421" s="18" t="n"/>
      <c r="G421" s="7">
        <f>IFERROR(VLOOKUP(D421,'Catálogo de Serviços'!$A$5:$F$100,6,FALSE),0)</f>
        <v/>
      </c>
      <c r="H421" s="7">
        <f>IFERROR(E421*F421,0)</f>
        <v/>
      </c>
      <c r="I421" s="7">
        <f>IFERROR(F421-G421,0)</f>
        <v/>
      </c>
      <c r="J421" s="28" t="n"/>
      <c r="K421" s="28" t="n"/>
    </row>
    <row r="422">
      <c r="A422" s="111" t="n"/>
      <c r="B422" s="27">
        <f>IF(A422="","",DATE(YEAR(A422),MONTH(A422),1))</f>
        <v/>
      </c>
      <c r="C422" s="28" t="n"/>
      <c r="D422" s="28" t="n"/>
      <c r="E422" s="28" t="n"/>
      <c r="F422" s="18" t="n"/>
      <c r="G422" s="7">
        <f>IFERROR(VLOOKUP(D422,'Catálogo de Serviços'!$A$5:$F$100,6,FALSE),0)</f>
        <v/>
      </c>
      <c r="H422" s="7">
        <f>IFERROR(E422*F422,0)</f>
        <v/>
      </c>
      <c r="I422" s="7">
        <f>IFERROR(F422-G422,0)</f>
        <v/>
      </c>
      <c r="J422" s="28" t="n"/>
      <c r="K422" s="28" t="n"/>
    </row>
    <row r="423">
      <c r="A423" s="111" t="n"/>
      <c r="B423" s="27">
        <f>IF(A423="","",DATE(YEAR(A423),MONTH(A423),1))</f>
        <v/>
      </c>
      <c r="C423" s="28" t="n"/>
      <c r="D423" s="28" t="n"/>
      <c r="E423" s="28" t="n"/>
      <c r="F423" s="18" t="n"/>
      <c r="G423" s="7">
        <f>IFERROR(VLOOKUP(D423,'Catálogo de Serviços'!$A$5:$F$100,6,FALSE),0)</f>
        <v/>
      </c>
      <c r="H423" s="7">
        <f>IFERROR(E423*F423,0)</f>
        <v/>
      </c>
      <c r="I423" s="7">
        <f>IFERROR(F423-G423,0)</f>
        <v/>
      </c>
      <c r="J423" s="28" t="n"/>
      <c r="K423" s="28" t="n"/>
    </row>
    <row r="424">
      <c r="A424" s="111" t="n"/>
      <c r="B424" s="27">
        <f>IF(A424="","",DATE(YEAR(A424),MONTH(A424),1))</f>
        <v/>
      </c>
      <c r="C424" s="28" t="n"/>
      <c r="D424" s="28" t="n"/>
      <c r="E424" s="28" t="n"/>
      <c r="F424" s="18" t="n"/>
      <c r="G424" s="7">
        <f>IFERROR(VLOOKUP(D424,'Catálogo de Serviços'!$A$5:$F$100,6,FALSE),0)</f>
        <v/>
      </c>
      <c r="H424" s="7">
        <f>IFERROR(E424*F424,0)</f>
        <v/>
      </c>
      <c r="I424" s="7">
        <f>IFERROR(F424-G424,0)</f>
        <v/>
      </c>
      <c r="J424" s="28" t="n"/>
      <c r="K424" s="28" t="n"/>
    </row>
    <row r="425">
      <c r="A425" s="111" t="n"/>
      <c r="B425" s="27">
        <f>IF(A425="","",DATE(YEAR(A425),MONTH(A425),1))</f>
        <v/>
      </c>
      <c r="C425" s="28" t="n"/>
      <c r="D425" s="28" t="n"/>
      <c r="E425" s="28" t="n"/>
      <c r="F425" s="18" t="n"/>
      <c r="G425" s="7">
        <f>IFERROR(VLOOKUP(D425,'Catálogo de Serviços'!$A$5:$F$100,6,FALSE),0)</f>
        <v/>
      </c>
      <c r="H425" s="7">
        <f>IFERROR(E425*F425,0)</f>
        <v/>
      </c>
      <c r="I425" s="7">
        <f>IFERROR(F425-G425,0)</f>
        <v/>
      </c>
      <c r="J425" s="28" t="n"/>
      <c r="K425" s="28" t="n"/>
    </row>
    <row r="426">
      <c r="A426" s="111" t="n"/>
      <c r="B426" s="27">
        <f>IF(A426="","",DATE(YEAR(A426),MONTH(A426),1))</f>
        <v/>
      </c>
      <c r="C426" s="28" t="n"/>
      <c r="D426" s="28" t="n"/>
      <c r="E426" s="28" t="n"/>
      <c r="F426" s="18" t="n"/>
      <c r="G426" s="7">
        <f>IFERROR(VLOOKUP(D426,'Catálogo de Serviços'!$A$5:$F$100,6,FALSE),0)</f>
        <v/>
      </c>
      <c r="H426" s="7">
        <f>IFERROR(E426*F426,0)</f>
        <v/>
      </c>
      <c r="I426" s="7">
        <f>IFERROR(F426-G426,0)</f>
        <v/>
      </c>
      <c r="J426" s="28" t="n"/>
      <c r="K426" s="28" t="n"/>
    </row>
    <row r="427">
      <c r="A427" s="111" t="n"/>
      <c r="B427" s="27">
        <f>IF(A427="","",DATE(YEAR(A427),MONTH(A427),1))</f>
        <v/>
      </c>
      <c r="C427" s="28" t="n"/>
      <c r="D427" s="28" t="n"/>
      <c r="E427" s="28" t="n"/>
      <c r="F427" s="18" t="n"/>
      <c r="G427" s="7">
        <f>IFERROR(VLOOKUP(D427,'Catálogo de Serviços'!$A$5:$F$100,6,FALSE),0)</f>
        <v/>
      </c>
      <c r="H427" s="7">
        <f>IFERROR(E427*F427,0)</f>
        <v/>
      </c>
      <c r="I427" s="7">
        <f>IFERROR(F427-G427,0)</f>
        <v/>
      </c>
      <c r="J427" s="28" t="n"/>
      <c r="K427" s="28" t="n"/>
    </row>
    <row r="428">
      <c r="A428" s="111" t="n"/>
      <c r="B428" s="27">
        <f>IF(A428="","",DATE(YEAR(A428),MONTH(A428),1))</f>
        <v/>
      </c>
      <c r="C428" s="28" t="n"/>
      <c r="D428" s="28" t="n"/>
      <c r="E428" s="28" t="n"/>
      <c r="F428" s="18" t="n"/>
      <c r="G428" s="7">
        <f>IFERROR(VLOOKUP(D428,'Catálogo de Serviços'!$A$5:$F$100,6,FALSE),0)</f>
        <v/>
      </c>
      <c r="H428" s="7">
        <f>IFERROR(E428*F428,0)</f>
        <v/>
      </c>
      <c r="I428" s="7">
        <f>IFERROR(F428-G428,0)</f>
        <v/>
      </c>
      <c r="J428" s="28" t="n"/>
      <c r="K428" s="28" t="n"/>
    </row>
    <row r="429">
      <c r="A429" s="111" t="n"/>
      <c r="B429" s="27">
        <f>IF(A429="","",DATE(YEAR(A429),MONTH(A429),1))</f>
        <v/>
      </c>
      <c r="C429" s="28" t="n"/>
      <c r="D429" s="28" t="n"/>
      <c r="E429" s="28" t="n"/>
      <c r="F429" s="18" t="n"/>
      <c r="G429" s="7">
        <f>IFERROR(VLOOKUP(D429,'Catálogo de Serviços'!$A$5:$F$100,6,FALSE),0)</f>
        <v/>
      </c>
      <c r="H429" s="7">
        <f>IFERROR(E429*F429,0)</f>
        <v/>
      </c>
      <c r="I429" s="7">
        <f>IFERROR(F429-G429,0)</f>
        <v/>
      </c>
      <c r="J429" s="28" t="n"/>
      <c r="K429" s="28" t="n"/>
    </row>
    <row r="430">
      <c r="A430" s="111" t="n"/>
      <c r="B430" s="27">
        <f>IF(A430="","",DATE(YEAR(A430),MONTH(A430),1))</f>
        <v/>
      </c>
      <c r="C430" s="28" t="n"/>
      <c r="D430" s="28" t="n"/>
      <c r="E430" s="28" t="n"/>
      <c r="F430" s="18" t="n"/>
      <c r="G430" s="7">
        <f>IFERROR(VLOOKUP(D430,'Catálogo de Serviços'!$A$5:$F$100,6,FALSE),0)</f>
        <v/>
      </c>
      <c r="H430" s="7">
        <f>IFERROR(E430*F430,0)</f>
        <v/>
      </c>
      <c r="I430" s="7">
        <f>IFERROR(F430-G430,0)</f>
        <v/>
      </c>
      <c r="J430" s="28" t="n"/>
      <c r="K430" s="28" t="n"/>
    </row>
    <row r="431">
      <c r="A431" s="111" t="n"/>
      <c r="B431" s="27">
        <f>IF(A431="","",DATE(YEAR(A431),MONTH(A431),1))</f>
        <v/>
      </c>
      <c r="C431" s="28" t="n"/>
      <c r="D431" s="28" t="n"/>
      <c r="E431" s="28" t="n"/>
      <c r="F431" s="18" t="n"/>
      <c r="G431" s="7">
        <f>IFERROR(VLOOKUP(D431,'Catálogo de Serviços'!$A$5:$F$100,6,FALSE),0)</f>
        <v/>
      </c>
      <c r="H431" s="7">
        <f>IFERROR(E431*F431,0)</f>
        <v/>
      </c>
      <c r="I431" s="7">
        <f>IFERROR(F431-G431,0)</f>
        <v/>
      </c>
      <c r="J431" s="28" t="n"/>
      <c r="K431" s="28" t="n"/>
    </row>
    <row r="432">
      <c r="A432" s="111" t="n"/>
      <c r="B432" s="27">
        <f>IF(A432="","",DATE(YEAR(A432),MONTH(A432),1))</f>
        <v/>
      </c>
      <c r="C432" s="28" t="n"/>
      <c r="D432" s="28" t="n"/>
      <c r="E432" s="28" t="n"/>
      <c r="F432" s="18" t="n"/>
      <c r="G432" s="7">
        <f>IFERROR(VLOOKUP(D432,'Catálogo de Serviços'!$A$5:$F$100,6,FALSE),0)</f>
        <v/>
      </c>
      <c r="H432" s="7">
        <f>IFERROR(E432*F432,0)</f>
        <v/>
      </c>
      <c r="I432" s="7">
        <f>IFERROR(F432-G432,0)</f>
        <v/>
      </c>
      <c r="J432" s="28" t="n"/>
      <c r="K432" s="28" t="n"/>
    </row>
    <row r="433">
      <c r="A433" s="111" t="n"/>
      <c r="B433" s="27">
        <f>IF(A433="","",DATE(YEAR(A433),MONTH(A433),1))</f>
        <v/>
      </c>
      <c r="C433" s="28" t="n"/>
      <c r="D433" s="28" t="n"/>
      <c r="E433" s="28" t="n"/>
      <c r="F433" s="18" t="n"/>
      <c r="G433" s="7">
        <f>IFERROR(VLOOKUP(D433,'Catálogo de Serviços'!$A$5:$F$100,6,FALSE),0)</f>
        <v/>
      </c>
      <c r="H433" s="7">
        <f>IFERROR(E433*F433,0)</f>
        <v/>
      </c>
      <c r="I433" s="7">
        <f>IFERROR(F433-G433,0)</f>
        <v/>
      </c>
      <c r="J433" s="28" t="n"/>
      <c r="K433" s="28" t="n"/>
    </row>
    <row r="434">
      <c r="A434" s="111" t="n"/>
      <c r="B434" s="27">
        <f>IF(A434="","",DATE(YEAR(A434),MONTH(A434),1))</f>
        <v/>
      </c>
      <c r="C434" s="28" t="n"/>
      <c r="D434" s="28" t="n"/>
      <c r="E434" s="28" t="n"/>
      <c r="F434" s="18" t="n"/>
      <c r="G434" s="7">
        <f>IFERROR(VLOOKUP(D434,'Catálogo de Serviços'!$A$5:$F$100,6,FALSE),0)</f>
        <v/>
      </c>
      <c r="H434" s="7">
        <f>IFERROR(E434*F434,0)</f>
        <v/>
      </c>
      <c r="I434" s="7">
        <f>IFERROR(F434-G434,0)</f>
        <v/>
      </c>
      <c r="J434" s="28" t="n"/>
      <c r="K434" s="28" t="n"/>
    </row>
    <row r="435">
      <c r="A435" s="111" t="n"/>
      <c r="B435" s="27">
        <f>IF(A435="","",DATE(YEAR(A435),MONTH(A435),1))</f>
        <v/>
      </c>
      <c r="C435" s="28" t="n"/>
      <c r="D435" s="28" t="n"/>
      <c r="E435" s="28" t="n"/>
      <c r="F435" s="18" t="n"/>
      <c r="G435" s="7">
        <f>IFERROR(VLOOKUP(D435,'Catálogo de Serviços'!$A$5:$F$100,6,FALSE),0)</f>
        <v/>
      </c>
      <c r="H435" s="7">
        <f>IFERROR(E435*F435,0)</f>
        <v/>
      </c>
      <c r="I435" s="7">
        <f>IFERROR(F435-G435,0)</f>
        <v/>
      </c>
      <c r="J435" s="28" t="n"/>
      <c r="K435" s="28" t="n"/>
    </row>
    <row r="436">
      <c r="A436" s="111" t="n"/>
      <c r="B436" s="27">
        <f>IF(A436="","",DATE(YEAR(A436),MONTH(A436),1))</f>
        <v/>
      </c>
      <c r="C436" s="28" t="n"/>
      <c r="D436" s="28" t="n"/>
      <c r="E436" s="28" t="n"/>
      <c r="F436" s="18" t="n"/>
      <c r="G436" s="7">
        <f>IFERROR(VLOOKUP(D436,'Catálogo de Serviços'!$A$5:$F$100,6,FALSE),0)</f>
        <v/>
      </c>
      <c r="H436" s="7">
        <f>IFERROR(E436*F436,0)</f>
        <v/>
      </c>
      <c r="I436" s="7">
        <f>IFERROR(F436-G436,0)</f>
        <v/>
      </c>
      <c r="J436" s="28" t="n"/>
      <c r="K436" s="28" t="n"/>
    </row>
    <row r="437">
      <c r="A437" s="111" t="n"/>
      <c r="B437" s="27">
        <f>IF(A437="","",DATE(YEAR(A437),MONTH(A437),1))</f>
        <v/>
      </c>
      <c r="C437" s="28" t="n"/>
      <c r="D437" s="28" t="n"/>
      <c r="E437" s="28" t="n"/>
      <c r="F437" s="18" t="n"/>
      <c r="G437" s="7">
        <f>IFERROR(VLOOKUP(D437,'Catálogo de Serviços'!$A$5:$F$100,6,FALSE),0)</f>
        <v/>
      </c>
      <c r="H437" s="7">
        <f>IFERROR(E437*F437,0)</f>
        <v/>
      </c>
      <c r="I437" s="7">
        <f>IFERROR(F437-G437,0)</f>
        <v/>
      </c>
      <c r="J437" s="28" t="n"/>
      <c r="K437" s="28" t="n"/>
    </row>
    <row r="438">
      <c r="A438" s="111" t="n"/>
      <c r="B438" s="27">
        <f>IF(A438="","",DATE(YEAR(A438),MONTH(A438),1))</f>
        <v/>
      </c>
      <c r="C438" s="28" t="n"/>
      <c r="D438" s="28" t="n"/>
      <c r="E438" s="28" t="n"/>
      <c r="F438" s="18" t="n"/>
      <c r="G438" s="7">
        <f>IFERROR(VLOOKUP(D438,'Catálogo de Serviços'!$A$5:$F$100,6,FALSE),0)</f>
        <v/>
      </c>
      <c r="H438" s="7">
        <f>IFERROR(E438*F438,0)</f>
        <v/>
      </c>
      <c r="I438" s="7">
        <f>IFERROR(F438-G438,0)</f>
        <v/>
      </c>
      <c r="J438" s="28" t="n"/>
      <c r="K438" s="28" t="n"/>
    </row>
    <row r="439">
      <c r="A439" s="111" t="n"/>
      <c r="B439" s="27">
        <f>IF(A439="","",DATE(YEAR(A439),MONTH(A439),1))</f>
        <v/>
      </c>
      <c r="C439" s="28" t="n"/>
      <c r="D439" s="28" t="n"/>
      <c r="E439" s="28" t="n"/>
      <c r="F439" s="18" t="n"/>
      <c r="G439" s="7">
        <f>IFERROR(VLOOKUP(D439,'Catálogo de Serviços'!$A$5:$F$100,6,FALSE),0)</f>
        <v/>
      </c>
      <c r="H439" s="7">
        <f>IFERROR(E439*F439,0)</f>
        <v/>
      </c>
      <c r="I439" s="7">
        <f>IFERROR(F439-G439,0)</f>
        <v/>
      </c>
      <c r="J439" s="28" t="n"/>
      <c r="K439" s="28" t="n"/>
    </row>
    <row r="440">
      <c r="A440" s="111" t="n"/>
      <c r="B440" s="27">
        <f>IF(A440="","",DATE(YEAR(A440),MONTH(A440),1))</f>
        <v/>
      </c>
      <c r="C440" s="28" t="n"/>
      <c r="D440" s="28" t="n"/>
      <c r="E440" s="28" t="n"/>
      <c r="F440" s="18" t="n"/>
      <c r="G440" s="7">
        <f>IFERROR(VLOOKUP(D440,'Catálogo de Serviços'!$A$5:$F$100,6,FALSE),0)</f>
        <v/>
      </c>
      <c r="H440" s="7">
        <f>IFERROR(E440*F440,0)</f>
        <v/>
      </c>
      <c r="I440" s="7">
        <f>IFERROR(F440-G440,0)</f>
        <v/>
      </c>
      <c r="J440" s="28" t="n"/>
      <c r="K440" s="28" t="n"/>
    </row>
    <row r="441">
      <c r="A441" s="111" t="n"/>
      <c r="B441" s="27">
        <f>IF(A441="","",DATE(YEAR(A441),MONTH(A441),1))</f>
        <v/>
      </c>
      <c r="C441" s="28" t="n"/>
      <c r="D441" s="28" t="n"/>
      <c r="E441" s="28" t="n"/>
      <c r="F441" s="18" t="n"/>
      <c r="G441" s="7">
        <f>IFERROR(VLOOKUP(D441,'Catálogo de Serviços'!$A$5:$F$100,6,FALSE),0)</f>
        <v/>
      </c>
      <c r="H441" s="7">
        <f>IFERROR(E441*F441,0)</f>
        <v/>
      </c>
      <c r="I441" s="7">
        <f>IFERROR(F441-G441,0)</f>
        <v/>
      </c>
      <c r="J441" s="28" t="n"/>
      <c r="K441" s="28" t="n"/>
    </row>
    <row r="442">
      <c r="A442" s="111" t="n"/>
      <c r="B442" s="27">
        <f>IF(A442="","",DATE(YEAR(A442),MONTH(A442),1))</f>
        <v/>
      </c>
      <c r="C442" s="28" t="n"/>
      <c r="D442" s="28" t="n"/>
      <c r="E442" s="28" t="n"/>
      <c r="F442" s="18" t="n"/>
      <c r="G442" s="7">
        <f>IFERROR(VLOOKUP(D442,'Catálogo de Serviços'!$A$5:$F$100,6,FALSE),0)</f>
        <v/>
      </c>
      <c r="H442" s="7">
        <f>IFERROR(E442*F442,0)</f>
        <v/>
      </c>
      <c r="I442" s="7">
        <f>IFERROR(F442-G442,0)</f>
        <v/>
      </c>
      <c r="J442" s="28" t="n"/>
      <c r="K442" s="28" t="n"/>
    </row>
    <row r="443">
      <c r="A443" s="111" t="n"/>
      <c r="B443" s="27">
        <f>IF(A443="","",DATE(YEAR(A443),MONTH(A443),1))</f>
        <v/>
      </c>
      <c r="C443" s="28" t="n"/>
      <c r="D443" s="28" t="n"/>
      <c r="E443" s="28" t="n"/>
      <c r="F443" s="18" t="n"/>
      <c r="G443" s="7">
        <f>IFERROR(VLOOKUP(D443,'Catálogo de Serviços'!$A$5:$F$100,6,FALSE),0)</f>
        <v/>
      </c>
      <c r="H443" s="7">
        <f>IFERROR(E443*F443,0)</f>
        <v/>
      </c>
      <c r="I443" s="7">
        <f>IFERROR(F443-G443,0)</f>
        <v/>
      </c>
      <c r="J443" s="28" t="n"/>
      <c r="K443" s="28" t="n"/>
    </row>
    <row r="444">
      <c r="A444" s="111" t="n"/>
      <c r="B444" s="27">
        <f>IF(A444="","",DATE(YEAR(A444),MONTH(A444),1))</f>
        <v/>
      </c>
      <c r="C444" s="28" t="n"/>
      <c r="D444" s="28" t="n"/>
      <c r="E444" s="28" t="n"/>
      <c r="F444" s="18" t="n"/>
      <c r="G444" s="7">
        <f>IFERROR(VLOOKUP(D444,'Catálogo de Serviços'!$A$5:$F$100,6,FALSE),0)</f>
        <v/>
      </c>
      <c r="H444" s="7">
        <f>IFERROR(E444*F444,0)</f>
        <v/>
      </c>
      <c r="I444" s="7">
        <f>IFERROR(F444-G444,0)</f>
        <v/>
      </c>
      <c r="J444" s="28" t="n"/>
      <c r="K444" s="28" t="n"/>
    </row>
    <row r="445">
      <c r="A445" s="111" t="n"/>
      <c r="B445" s="27">
        <f>IF(A445="","",DATE(YEAR(A445),MONTH(A445),1))</f>
        <v/>
      </c>
      <c r="C445" s="28" t="n"/>
      <c r="D445" s="28" t="n"/>
      <c r="E445" s="28" t="n"/>
      <c r="F445" s="18" t="n"/>
      <c r="G445" s="7">
        <f>IFERROR(VLOOKUP(D445,'Catálogo de Serviços'!$A$5:$F$100,6,FALSE),0)</f>
        <v/>
      </c>
      <c r="H445" s="7">
        <f>IFERROR(E445*F445,0)</f>
        <v/>
      </c>
      <c r="I445" s="7">
        <f>IFERROR(F445-G445,0)</f>
        <v/>
      </c>
      <c r="J445" s="28" t="n"/>
      <c r="K445" s="28" t="n"/>
    </row>
    <row r="446">
      <c r="A446" s="111" t="n"/>
      <c r="B446" s="27">
        <f>IF(A446="","",DATE(YEAR(A446),MONTH(A446),1))</f>
        <v/>
      </c>
      <c r="C446" s="28" t="n"/>
      <c r="D446" s="28" t="n"/>
      <c r="E446" s="28" t="n"/>
      <c r="F446" s="18" t="n"/>
      <c r="G446" s="7">
        <f>IFERROR(VLOOKUP(D446,'Catálogo de Serviços'!$A$5:$F$100,6,FALSE),0)</f>
        <v/>
      </c>
      <c r="H446" s="7">
        <f>IFERROR(E446*F446,0)</f>
        <v/>
      </c>
      <c r="I446" s="7">
        <f>IFERROR(F446-G446,0)</f>
        <v/>
      </c>
      <c r="J446" s="28" t="n"/>
      <c r="K446" s="28" t="n"/>
    </row>
    <row r="447">
      <c r="A447" s="111" t="n"/>
      <c r="B447" s="27">
        <f>IF(A447="","",DATE(YEAR(A447),MONTH(A447),1))</f>
        <v/>
      </c>
      <c r="C447" s="28" t="n"/>
      <c r="D447" s="28" t="n"/>
      <c r="E447" s="28" t="n"/>
      <c r="F447" s="18" t="n"/>
      <c r="G447" s="7">
        <f>IFERROR(VLOOKUP(D447,'Catálogo de Serviços'!$A$5:$F$100,6,FALSE),0)</f>
        <v/>
      </c>
      <c r="H447" s="7">
        <f>IFERROR(E447*F447,0)</f>
        <v/>
      </c>
      <c r="I447" s="7">
        <f>IFERROR(F447-G447,0)</f>
        <v/>
      </c>
      <c r="J447" s="28" t="n"/>
      <c r="K447" s="28" t="n"/>
    </row>
    <row r="448">
      <c r="A448" s="111" t="n"/>
      <c r="B448" s="27">
        <f>IF(A448="","",DATE(YEAR(A448),MONTH(A448),1))</f>
        <v/>
      </c>
      <c r="C448" s="28" t="n"/>
      <c r="D448" s="28" t="n"/>
      <c r="E448" s="28" t="n"/>
      <c r="F448" s="18" t="n"/>
      <c r="G448" s="7">
        <f>IFERROR(VLOOKUP(D448,'Catálogo de Serviços'!$A$5:$F$100,6,FALSE),0)</f>
        <v/>
      </c>
      <c r="H448" s="7">
        <f>IFERROR(E448*F448,0)</f>
        <v/>
      </c>
      <c r="I448" s="7">
        <f>IFERROR(F448-G448,0)</f>
        <v/>
      </c>
      <c r="J448" s="28" t="n"/>
      <c r="K448" s="28" t="n"/>
    </row>
    <row r="449">
      <c r="A449" s="111" t="n"/>
      <c r="B449" s="27">
        <f>IF(A449="","",DATE(YEAR(A449),MONTH(A449),1))</f>
        <v/>
      </c>
      <c r="C449" s="28" t="n"/>
      <c r="D449" s="28" t="n"/>
      <c r="E449" s="28" t="n"/>
      <c r="F449" s="18" t="n"/>
      <c r="G449" s="7">
        <f>IFERROR(VLOOKUP(D449,'Catálogo de Serviços'!$A$5:$F$100,6,FALSE),0)</f>
        <v/>
      </c>
      <c r="H449" s="7">
        <f>IFERROR(E449*F449,0)</f>
        <v/>
      </c>
      <c r="I449" s="7">
        <f>IFERROR(F449-G449,0)</f>
        <v/>
      </c>
      <c r="J449" s="28" t="n"/>
      <c r="K449" s="28" t="n"/>
    </row>
    <row r="450">
      <c r="A450" s="111" t="n"/>
      <c r="B450" s="27">
        <f>IF(A450="","",DATE(YEAR(A450),MONTH(A450),1))</f>
        <v/>
      </c>
      <c r="C450" s="28" t="n"/>
      <c r="D450" s="28" t="n"/>
      <c r="E450" s="28" t="n"/>
      <c r="F450" s="18" t="n"/>
      <c r="G450" s="7">
        <f>IFERROR(VLOOKUP(D450,'Catálogo de Serviços'!$A$5:$F$100,6,FALSE),0)</f>
        <v/>
      </c>
      <c r="H450" s="7">
        <f>IFERROR(E450*F450,0)</f>
        <v/>
      </c>
      <c r="I450" s="7">
        <f>IFERROR(F450-G450,0)</f>
        <v/>
      </c>
      <c r="J450" s="28" t="n"/>
      <c r="K450" s="28" t="n"/>
    </row>
    <row r="451">
      <c r="A451" s="111" t="n"/>
      <c r="B451" s="27">
        <f>IF(A451="","",DATE(YEAR(A451),MONTH(A451),1))</f>
        <v/>
      </c>
      <c r="C451" s="28" t="n"/>
      <c r="D451" s="28" t="n"/>
      <c r="E451" s="28" t="n"/>
      <c r="F451" s="18" t="n"/>
      <c r="G451" s="7">
        <f>IFERROR(VLOOKUP(D451,'Catálogo de Serviços'!$A$5:$F$100,6,FALSE),0)</f>
        <v/>
      </c>
      <c r="H451" s="7">
        <f>IFERROR(E451*F451,0)</f>
        <v/>
      </c>
      <c r="I451" s="7">
        <f>IFERROR(F451-G451,0)</f>
        <v/>
      </c>
      <c r="J451" s="28" t="n"/>
      <c r="K451" s="28" t="n"/>
    </row>
    <row r="452">
      <c r="A452" s="111" t="n"/>
      <c r="B452" s="27">
        <f>IF(A452="","",DATE(YEAR(A452),MONTH(A452),1))</f>
        <v/>
      </c>
      <c r="C452" s="28" t="n"/>
      <c r="D452" s="28" t="n"/>
      <c r="E452" s="28" t="n"/>
      <c r="F452" s="18" t="n"/>
      <c r="G452" s="7">
        <f>IFERROR(VLOOKUP(D452,'Catálogo de Serviços'!$A$5:$F$100,6,FALSE),0)</f>
        <v/>
      </c>
      <c r="H452" s="7">
        <f>IFERROR(E452*F452,0)</f>
        <v/>
      </c>
      <c r="I452" s="7">
        <f>IFERROR(F452-G452,0)</f>
        <v/>
      </c>
      <c r="J452" s="28" t="n"/>
      <c r="K452" s="28" t="n"/>
    </row>
    <row r="453">
      <c r="A453" s="111" t="n"/>
      <c r="B453" s="27">
        <f>IF(A453="","",DATE(YEAR(A453),MONTH(A453),1))</f>
        <v/>
      </c>
      <c r="C453" s="28" t="n"/>
      <c r="D453" s="28" t="n"/>
      <c r="E453" s="28" t="n"/>
      <c r="F453" s="18" t="n"/>
      <c r="G453" s="7">
        <f>IFERROR(VLOOKUP(D453,'Catálogo de Serviços'!$A$5:$F$100,6,FALSE),0)</f>
        <v/>
      </c>
      <c r="H453" s="7">
        <f>IFERROR(E453*F453,0)</f>
        <v/>
      </c>
      <c r="I453" s="7">
        <f>IFERROR(F453-G453,0)</f>
        <v/>
      </c>
      <c r="J453" s="28" t="n"/>
      <c r="K453" s="28" t="n"/>
    </row>
    <row r="454">
      <c r="A454" s="111" t="n"/>
      <c r="B454" s="27">
        <f>IF(A454="","",DATE(YEAR(A454),MONTH(A454),1))</f>
        <v/>
      </c>
      <c r="C454" s="28" t="n"/>
      <c r="D454" s="28" t="n"/>
      <c r="E454" s="28" t="n"/>
      <c r="F454" s="18" t="n"/>
      <c r="G454" s="7">
        <f>IFERROR(VLOOKUP(D454,'Catálogo de Serviços'!$A$5:$F$100,6,FALSE),0)</f>
        <v/>
      </c>
      <c r="H454" s="7">
        <f>IFERROR(E454*F454,0)</f>
        <v/>
      </c>
      <c r="I454" s="7">
        <f>IFERROR(F454-G454,0)</f>
        <v/>
      </c>
      <c r="J454" s="28" t="n"/>
      <c r="K454" s="28" t="n"/>
    </row>
    <row r="455">
      <c r="A455" s="111" t="n"/>
      <c r="B455" s="27">
        <f>IF(A455="","",DATE(YEAR(A455),MONTH(A455),1))</f>
        <v/>
      </c>
      <c r="C455" s="28" t="n"/>
      <c r="D455" s="28" t="n"/>
      <c r="E455" s="28" t="n"/>
      <c r="F455" s="18" t="n"/>
      <c r="G455" s="7">
        <f>IFERROR(VLOOKUP(D455,'Catálogo de Serviços'!$A$5:$F$100,6,FALSE),0)</f>
        <v/>
      </c>
      <c r="H455" s="7">
        <f>IFERROR(E455*F455,0)</f>
        <v/>
      </c>
      <c r="I455" s="7">
        <f>IFERROR(F455-G455,0)</f>
        <v/>
      </c>
      <c r="J455" s="28" t="n"/>
      <c r="K455" s="28" t="n"/>
    </row>
    <row r="456">
      <c r="A456" s="111" t="n"/>
      <c r="B456" s="27">
        <f>IF(A456="","",DATE(YEAR(A456),MONTH(A456),1))</f>
        <v/>
      </c>
      <c r="C456" s="28" t="n"/>
      <c r="D456" s="28" t="n"/>
      <c r="E456" s="28" t="n"/>
      <c r="F456" s="18" t="n"/>
      <c r="G456" s="7">
        <f>IFERROR(VLOOKUP(D456,'Catálogo de Serviços'!$A$5:$F$100,6,FALSE),0)</f>
        <v/>
      </c>
      <c r="H456" s="7">
        <f>IFERROR(E456*F456,0)</f>
        <v/>
      </c>
      <c r="I456" s="7">
        <f>IFERROR(F456-G456,0)</f>
        <v/>
      </c>
      <c r="J456" s="28" t="n"/>
      <c r="K456" s="28" t="n"/>
    </row>
    <row r="457">
      <c r="A457" s="111" t="n"/>
      <c r="B457" s="27">
        <f>IF(A457="","",DATE(YEAR(A457),MONTH(A457),1))</f>
        <v/>
      </c>
      <c r="C457" s="28" t="n"/>
      <c r="D457" s="28" t="n"/>
      <c r="E457" s="28" t="n"/>
      <c r="F457" s="18" t="n"/>
      <c r="G457" s="7">
        <f>IFERROR(VLOOKUP(D457,'Catálogo de Serviços'!$A$5:$F$100,6,FALSE),0)</f>
        <v/>
      </c>
      <c r="H457" s="7">
        <f>IFERROR(E457*F457,0)</f>
        <v/>
      </c>
      <c r="I457" s="7">
        <f>IFERROR(F457-G457,0)</f>
        <v/>
      </c>
      <c r="J457" s="28" t="n"/>
      <c r="K457" s="28" t="n"/>
    </row>
    <row r="458">
      <c r="A458" s="111" t="n"/>
      <c r="B458" s="27">
        <f>IF(A458="","",DATE(YEAR(A458),MONTH(A458),1))</f>
        <v/>
      </c>
      <c r="C458" s="28" t="n"/>
      <c r="D458" s="28" t="n"/>
      <c r="E458" s="28" t="n"/>
      <c r="F458" s="18" t="n"/>
      <c r="G458" s="7">
        <f>IFERROR(VLOOKUP(D458,'Catálogo de Serviços'!$A$5:$F$100,6,FALSE),0)</f>
        <v/>
      </c>
      <c r="H458" s="7">
        <f>IFERROR(E458*F458,0)</f>
        <v/>
      </c>
      <c r="I458" s="7">
        <f>IFERROR(F458-G458,0)</f>
        <v/>
      </c>
      <c r="J458" s="28" t="n"/>
      <c r="K458" s="28" t="n"/>
    </row>
    <row r="459">
      <c r="A459" s="111" t="n"/>
      <c r="B459" s="27">
        <f>IF(A459="","",DATE(YEAR(A459),MONTH(A459),1))</f>
        <v/>
      </c>
      <c r="C459" s="28" t="n"/>
      <c r="D459" s="28" t="n"/>
      <c r="E459" s="28" t="n"/>
      <c r="F459" s="18" t="n"/>
      <c r="G459" s="7">
        <f>IFERROR(VLOOKUP(D459,'Catálogo de Serviços'!$A$5:$F$100,6,FALSE),0)</f>
        <v/>
      </c>
      <c r="H459" s="7">
        <f>IFERROR(E459*F459,0)</f>
        <v/>
      </c>
      <c r="I459" s="7">
        <f>IFERROR(F459-G459,0)</f>
        <v/>
      </c>
      <c r="J459" s="28" t="n"/>
      <c r="K459" s="28" t="n"/>
    </row>
    <row r="460">
      <c r="A460" s="111" t="n"/>
      <c r="B460" s="27">
        <f>IF(A460="","",DATE(YEAR(A460),MONTH(A460),1))</f>
        <v/>
      </c>
      <c r="C460" s="28" t="n"/>
      <c r="D460" s="28" t="n"/>
      <c r="E460" s="28" t="n"/>
      <c r="F460" s="18" t="n"/>
      <c r="G460" s="7">
        <f>IFERROR(VLOOKUP(D460,'Catálogo de Serviços'!$A$5:$F$100,6,FALSE),0)</f>
        <v/>
      </c>
      <c r="H460" s="7">
        <f>IFERROR(E460*F460,0)</f>
        <v/>
      </c>
      <c r="I460" s="7">
        <f>IFERROR(F460-G460,0)</f>
        <v/>
      </c>
      <c r="J460" s="28" t="n"/>
      <c r="K460" s="28" t="n"/>
    </row>
    <row r="461">
      <c r="A461" s="111" t="n"/>
      <c r="B461" s="27">
        <f>IF(A461="","",DATE(YEAR(A461),MONTH(A461),1))</f>
        <v/>
      </c>
      <c r="C461" s="28" t="n"/>
      <c r="D461" s="28" t="n"/>
      <c r="E461" s="28" t="n"/>
      <c r="F461" s="18" t="n"/>
      <c r="G461" s="7">
        <f>IFERROR(VLOOKUP(D461,'Catálogo de Serviços'!$A$5:$F$100,6,FALSE),0)</f>
        <v/>
      </c>
      <c r="H461" s="7">
        <f>IFERROR(E461*F461,0)</f>
        <v/>
      </c>
      <c r="I461" s="7">
        <f>IFERROR(F461-G461,0)</f>
        <v/>
      </c>
      <c r="J461" s="28" t="n"/>
      <c r="K461" s="28" t="n"/>
    </row>
    <row r="462">
      <c r="A462" s="111" t="n"/>
      <c r="B462" s="27">
        <f>IF(A462="","",DATE(YEAR(A462),MONTH(A462),1))</f>
        <v/>
      </c>
      <c r="C462" s="28" t="n"/>
      <c r="D462" s="28" t="n"/>
      <c r="E462" s="28" t="n"/>
      <c r="F462" s="18" t="n"/>
      <c r="G462" s="7">
        <f>IFERROR(VLOOKUP(D462,'Catálogo de Serviços'!$A$5:$F$100,6,FALSE),0)</f>
        <v/>
      </c>
      <c r="H462" s="7">
        <f>IFERROR(E462*F462,0)</f>
        <v/>
      </c>
      <c r="I462" s="7">
        <f>IFERROR(F462-G462,0)</f>
        <v/>
      </c>
      <c r="J462" s="28" t="n"/>
      <c r="K462" s="28" t="n"/>
    </row>
    <row r="463">
      <c r="A463" s="111" t="n"/>
      <c r="B463" s="27">
        <f>IF(A463="","",DATE(YEAR(A463),MONTH(A463),1))</f>
        <v/>
      </c>
      <c r="C463" s="28" t="n"/>
      <c r="D463" s="28" t="n"/>
      <c r="E463" s="28" t="n"/>
      <c r="F463" s="18" t="n"/>
      <c r="G463" s="7">
        <f>IFERROR(VLOOKUP(D463,'Catálogo de Serviços'!$A$5:$F$100,6,FALSE),0)</f>
        <v/>
      </c>
      <c r="H463" s="7">
        <f>IFERROR(E463*F463,0)</f>
        <v/>
      </c>
      <c r="I463" s="7">
        <f>IFERROR(F463-G463,0)</f>
        <v/>
      </c>
      <c r="J463" s="28" t="n"/>
      <c r="K463" s="28" t="n"/>
    </row>
    <row r="464">
      <c r="A464" s="111" t="n"/>
      <c r="B464" s="27">
        <f>IF(A464="","",DATE(YEAR(A464),MONTH(A464),1))</f>
        <v/>
      </c>
      <c r="C464" s="28" t="n"/>
      <c r="D464" s="28" t="n"/>
      <c r="E464" s="28" t="n"/>
      <c r="F464" s="18" t="n"/>
      <c r="G464" s="7">
        <f>IFERROR(VLOOKUP(D464,'Catálogo de Serviços'!$A$5:$F$100,6,FALSE),0)</f>
        <v/>
      </c>
      <c r="H464" s="7">
        <f>IFERROR(E464*F464,0)</f>
        <v/>
      </c>
      <c r="I464" s="7">
        <f>IFERROR(F464-G464,0)</f>
        <v/>
      </c>
      <c r="J464" s="28" t="n"/>
      <c r="K464" s="28" t="n"/>
    </row>
    <row r="465">
      <c r="A465" s="111" t="n"/>
      <c r="B465" s="27">
        <f>IF(A465="","",DATE(YEAR(A465),MONTH(A465),1))</f>
        <v/>
      </c>
      <c r="C465" s="28" t="n"/>
      <c r="D465" s="28" t="n"/>
      <c r="E465" s="28" t="n"/>
      <c r="F465" s="18" t="n"/>
      <c r="G465" s="7">
        <f>IFERROR(VLOOKUP(D465,'Catálogo de Serviços'!$A$5:$F$100,6,FALSE),0)</f>
        <v/>
      </c>
      <c r="H465" s="7">
        <f>IFERROR(E465*F465,0)</f>
        <v/>
      </c>
      <c r="I465" s="7">
        <f>IFERROR(F465-G465,0)</f>
        <v/>
      </c>
      <c r="J465" s="28" t="n"/>
      <c r="K465" s="28" t="n"/>
    </row>
    <row r="466">
      <c r="A466" s="111" t="n"/>
      <c r="B466" s="27">
        <f>IF(A466="","",DATE(YEAR(A466),MONTH(A466),1))</f>
        <v/>
      </c>
      <c r="C466" s="28" t="n"/>
      <c r="D466" s="28" t="n"/>
      <c r="E466" s="28" t="n"/>
      <c r="F466" s="18" t="n"/>
      <c r="G466" s="7">
        <f>IFERROR(VLOOKUP(D466,'Catálogo de Serviços'!$A$5:$F$100,6,FALSE),0)</f>
        <v/>
      </c>
      <c r="H466" s="7">
        <f>IFERROR(E466*F466,0)</f>
        <v/>
      </c>
      <c r="I466" s="7">
        <f>IFERROR(F466-G466,0)</f>
        <v/>
      </c>
      <c r="J466" s="28" t="n"/>
      <c r="K466" s="28" t="n"/>
    </row>
    <row r="467">
      <c r="A467" s="111" t="n"/>
      <c r="B467" s="27">
        <f>IF(A467="","",DATE(YEAR(A467),MONTH(A467),1))</f>
        <v/>
      </c>
      <c r="C467" s="28" t="n"/>
      <c r="D467" s="28" t="n"/>
      <c r="E467" s="28" t="n"/>
      <c r="F467" s="18" t="n"/>
      <c r="G467" s="7">
        <f>IFERROR(VLOOKUP(D467,'Catálogo de Serviços'!$A$5:$F$100,6,FALSE),0)</f>
        <v/>
      </c>
      <c r="H467" s="7">
        <f>IFERROR(E467*F467,0)</f>
        <v/>
      </c>
      <c r="I467" s="7">
        <f>IFERROR(F467-G467,0)</f>
        <v/>
      </c>
      <c r="J467" s="28" t="n"/>
      <c r="K467" s="28" t="n"/>
    </row>
    <row r="468">
      <c r="A468" s="111" t="n"/>
      <c r="B468" s="27">
        <f>IF(A468="","",DATE(YEAR(A468),MONTH(A468),1))</f>
        <v/>
      </c>
      <c r="C468" s="28" t="n"/>
      <c r="D468" s="28" t="n"/>
      <c r="E468" s="28" t="n"/>
      <c r="F468" s="18" t="n"/>
      <c r="G468" s="7">
        <f>IFERROR(VLOOKUP(D468,'Catálogo de Serviços'!$A$5:$F$100,6,FALSE),0)</f>
        <v/>
      </c>
      <c r="H468" s="7">
        <f>IFERROR(E468*F468,0)</f>
        <v/>
      </c>
      <c r="I468" s="7">
        <f>IFERROR(F468-G468,0)</f>
        <v/>
      </c>
      <c r="J468" s="28" t="n"/>
      <c r="K468" s="28" t="n"/>
    </row>
    <row r="469">
      <c r="A469" s="111" t="n"/>
      <c r="B469" s="27">
        <f>IF(A469="","",DATE(YEAR(A469),MONTH(A469),1))</f>
        <v/>
      </c>
      <c r="C469" s="28" t="n"/>
      <c r="D469" s="28" t="n"/>
      <c r="E469" s="28" t="n"/>
      <c r="F469" s="18" t="n"/>
      <c r="G469" s="7">
        <f>IFERROR(VLOOKUP(D469,'Catálogo de Serviços'!$A$5:$F$100,6,FALSE),0)</f>
        <v/>
      </c>
      <c r="H469" s="7">
        <f>IFERROR(E469*F469,0)</f>
        <v/>
      </c>
      <c r="I469" s="7">
        <f>IFERROR(F469-G469,0)</f>
        <v/>
      </c>
      <c r="J469" s="28" t="n"/>
      <c r="K469" s="28" t="n"/>
    </row>
    <row r="470">
      <c r="A470" s="111" t="n"/>
      <c r="B470" s="27">
        <f>IF(A470="","",DATE(YEAR(A470),MONTH(A470),1))</f>
        <v/>
      </c>
      <c r="C470" s="28" t="n"/>
      <c r="D470" s="28" t="n"/>
      <c r="E470" s="28" t="n"/>
      <c r="F470" s="18" t="n"/>
      <c r="G470" s="7">
        <f>IFERROR(VLOOKUP(D470,'Catálogo de Serviços'!$A$5:$F$100,6,FALSE),0)</f>
        <v/>
      </c>
      <c r="H470" s="7">
        <f>IFERROR(E470*F470,0)</f>
        <v/>
      </c>
      <c r="I470" s="7">
        <f>IFERROR(F470-G470,0)</f>
        <v/>
      </c>
      <c r="J470" s="28" t="n"/>
      <c r="K470" s="28" t="n"/>
    </row>
    <row r="471">
      <c r="A471" s="111" t="n"/>
      <c r="B471" s="27">
        <f>IF(A471="","",DATE(YEAR(A471),MONTH(A471),1))</f>
        <v/>
      </c>
      <c r="C471" s="28" t="n"/>
      <c r="D471" s="28" t="n"/>
      <c r="E471" s="28" t="n"/>
      <c r="F471" s="18" t="n"/>
      <c r="G471" s="7">
        <f>IFERROR(VLOOKUP(D471,'Catálogo de Serviços'!$A$5:$F$100,6,FALSE),0)</f>
        <v/>
      </c>
      <c r="H471" s="7">
        <f>IFERROR(E471*F471,0)</f>
        <v/>
      </c>
      <c r="I471" s="7">
        <f>IFERROR(F471-G471,0)</f>
        <v/>
      </c>
      <c r="J471" s="28" t="n"/>
      <c r="K471" s="28" t="n"/>
    </row>
    <row r="472">
      <c r="A472" s="111" t="n"/>
      <c r="B472" s="27">
        <f>IF(A472="","",DATE(YEAR(A472),MONTH(A472),1))</f>
        <v/>
      </c>
      <c r="C472" s="28" t="n"/>
      <c r="D472" s="28" t="n"/>
      <c r="E472" s="28" t="n"/>
      <c r="F472" s="18" t="n"/>
      <c r="G472" s="7">
        <f>IFERROR(VLOOKUP(D472,'Catálogo de Serviços'!$A$5:$F$100,6,FALSE),0)</f>
        <v/>
      </c>
      <c r="H472" s="7">
        <f>IFERROR(E472*F472,0)</f>
        <v/>
      </c>
      <c r="I472" s="7">
        <f>IFERROR(F472-G472,0)</f>
        <v/>
      </c>
      <c r="J472" s="28" t="n"/>
      <c r="K472" s="28" t="n"/>
    </row>
    <row r="473">
      <c r="A473" s="111" t="n"/>
      <c r="B473" s="27">
        <f>IF(A473="","",DATE(YEAR(A473),MONTH(A473),1))</f>
        <v/>
      </c>
      <c r="C473" s="28" t="n"/>
      <c r="D473" s="28" t="n"/>
      <c r="E473" s="28" t="n"/>
      <c r="F473" s="18" t="n"/>
      <c r="G473" s="7">
        <f>IFERROR(VLOOKUP(D473,'Catálogo de Serviços'!$A$5:$F$100,6,FALSE),0)</f>
        <v/>
      </c>
      <c r="H473" s="7">
        <f>IFERROR(E473*F473,0)</f>
        <v/>
      </c>
      <c r="I473" s="7">
        <f>IFERROR(F473-G473,0)</f>
        <v/>
      </c>
      <c r="J473" s="28" t="n"/>
      <c r="K473" s="28" t="n"/>
    </row>
    <row r="474">
      <c r="A474" s="111" t="n"/>
      <c r="B474" s="27">
        <f>IF(A474="","",DATE(YEAR(A474),MONTH(A474),1))</f>
        <v/>
      </c>
      <c r="C474" s="28" t="n"/>
      <c r="D474" s="28" t="n"/>
      <c r="E474" s="28" t="n"/>
      <c r="F474" s="18" t="n"/>
      <c r="G474" s="7">
        <f>IFERROR(VLOOKUP(D474,'Catálogo de Serviços'!$A$5:$F$100,6,FALSE),0)</f>
        <v/>
      </c>
      <c r="H474" s="7">
        <f>IFERROR(E474*F474,0)</f>
        <v/>
      </c>
      <c r="I474" s="7">
        <f>IFERROR(F474-G474,0)</f>
        <v/>
      </c>
      <c r="J474" s="28" t="n"/>
      <c r="K474" s="28" t="n"/>
    </row>
    <row r="475">
      <c r="A475" s="111" t="n"/>
      <c r="B475" s="27">
        <f>IF(A475="","",DATE(YEAR(A475),MONTH(A475),1))</f>
        <v/>
      </c>
      <c r="C475" s="28" t="n"/>
      <c r="D475" s="28" t="n"/>
      <c r="E475" s="28" t="n"/>
      <c r="F475" s="18" t="n"/>
      <c r="G475" s="7">
        <f>IFERROR(VLOOKUP(D475,'Catálogo de Serviços'!$A$5:$F$100,6,FALSE),0)</f>
        <v/>
      </c>
      <c r="H475" s="7">
        <f>IFERROR(E475*F475,0)</f>
        <v/>
      </c>
      <c r="I475" s="7">
        <f>IFERROR(F475-G475,0)</f>
        <v/>
      </c>
      <c r="J475" s="28" t="n"/>
      <c r="K475" s="28" t="n"/>
    </row>
    <row r="476">
      <c r="A476" s="111" t="n"/>
      <c r="B476" s="27">
        <f>IF(A476="","",DATE(YEAR(A476),MONTH(A476),1))</f>
        <v/>
      </c>
      <c r="C476" s="28" t="n"/>
      <c r="D476" s="28" t="n"/>
      <c r="E476" s="28" t="n"/>
      <c r="F476" s="18" t="n"/>
      <c r="G476" s="7">
        <f>IFERROR(VLOOKUP(D476,'Catálogo de Serviços'!$A$5:$F$100,6,FALSE),0)</f>
        <v/>
      </c>
      <c r="H476" s="7">
        <f>IFERROR(E476*F476,0)</f>
        <v/>
      </c>
      <c r="I476" s="7">
        <f>IFERROR(F476-G476,0)</f>
        <v/>
      </c>
      <c r="J476" s="28" t="n"/>
      <c r="K476" s="28" t="n"/>
    </row>
    <row r="477">
      <c r="A477" s="111" t="n"/>
      <c r="B477" s="27">
        <f>IF(A477="","",DATE(YEAR(A477),MONTH(A477),1))</f>
        <v/>
      </c>
      <c r="C477" s="28" t="n"/>
      <c r="D477" s="28" t="n"/>
      <c r="E477" s="28" t="n"/>
      <c r="F477" s="18" t="n"/>
      <c r="G477" s="7">
        <f>IFERROR(VLOOKUP(D477,'Catálogo de Serviços'!$A$5:$F$100,6,FALSE),0)</f>
        <v/>
      </c>
      <c r="H477" s="7">
        <f>IFERROR(E477*F477,0)</f>
        <v/>
      </c>
      <c r="I477" s="7">
        <f>IFERROR(F477-G477,0)</f>
        <v/>
      </c>
      <c r="J477" s="28" t="n"/>
      <c r="K477" s="28" t="n"/>
    </row>
    <row r="478">
      <c r="A478" s="111" t="n"/>
      <c r="B478" s="27">
        <f>IF(A478="","",DATE(YEAR(A478),MONTH(A478),1))</f>
        <v/>
      </c>
      <c r="C478" s="28" t="n"/>
      <c r="D478" s="28" t="n"/>
      <c r="E478" s="28" t="n"/>
      <c r="F478" s="18" t="n"/>
      <c r="G478" s="7">
        <f>IFERROR(VLOOKUP(D478,'Catálogo de Serviços'!$A$5:$F$100,6,FALSE),0)</f>
        <v/>
      </c>
      <c r="H478" s="7">
        <f>IFERROR(E478*F478,0)</f>
        <v/>
      </c>
      <c r="I478" s="7">
        <f>IFERROR(F478-G478,0)</f>
        <v/>
      </c>
      <c r="J478" s="28" t="n"/>
      <c r="K478" s="28" t="n"/>
    </row>
    <row r="479">
      <c r="A479" s="111" t="n"/>
      <c r="B479" s="27">
        <f>IF(A479="","",DATE(YEAR(A479),MONTH(A479),1))</f>
        <v/>
      </c>
      <c r="C479" s="28" t="n"/>
      <c r="D479" s="28" t="n"/>
      <c r="E479" s="28" t="n"/>
      <c r="F479" s="18" t="n"/>
      <c r="G479" s="7">
        <f>IFERROR(VLOOKUP(D479,'Catálogo de Serviços'!$A$5:$F$100,6,FALSE),0)</f>
        <v/>
      </c>
      <c r="H479" s="7">
        <f>IFERROR(E479*F479,0)</f>
        <v/>
      </c>
      <c r="I479" s="7">
        <f>IFERROR(F479-G479,0)</f>
        <v/>
      </c>
      <c r="J479" s="28" t="n"/>
      <c r="K479" s="28" t="n"/>
    </row>
    <row r="480">
      <c r="A480" s="111" t="n"/>
      <c r="B480" s="27">
        <f>IF(A480="","",DATE(YEAR(A480),MONTH(A480),1))</f>
        <v/>
      </c>
      <c r="C480" s="28" t="n"/>
      <c r="D480" s="28" t="n"/>
      <c r="E480" s="28" t="n"/>
      <c r="F480" s="18" t="n"/>
      <c r="G480" s="7">
        <f>IFERROR(VLOOKUP(D480,'Catálogo de Serviços'!$A$5:$F$100,6,FALSE),0)</f>
        <v/>
      </c>
      <c r="H480" s="7">
        <f>IFERROR(E480*F480,0)</f>
        <v/>
      </c>
      <c r="I480" s="7">
        <f>IFERROR(F480-G480,0)</f>
        <v/>
      </c>
      <c r="J480" s="28" t="n"/>
      <c r="K480" s="28" t="n"/>
    </row>
    <row r="481">
      <c r="A481" s="111" t="n"/>
      <c r="B481" s="27">
        <f>IF(A481="","",DATE(YEAR(A481),MONTH(A481),1))</f>
        <v/>
      </c>
      <c r="C481" s="28" t="n"/>
      <c r="D481" s="28" t="n"/>
      <c r="E481" s="28" t="n"/>
      <c r="F481" s="18" t="n"/>
      <c r="G481" s="7">
        <f>IFERROR(VLOOKUP(D481,'Catálogo de Serviços'!$A$5:$F$100,6,FALSE),0)</f>
        <v/>
      </c>
      <c r="H481" s="7">
        <f>IFERROR(E481*F481,0)</f>
        <v/>
      </c>
      <c r="I481" s="7">
        <f>IFERROR(F481-G481,0)</f>
        <v/>
      </c>
      <c r="J481" s="28" t="n"/>
      <c r="K481" s="28" t="n"/>
    </row>
    <row r="482">
      <c r="A482" s="111" t="n"/>
      <c r="B482" s="27">
        <f>IF(A482="","",DATE(YEAR(A482),MONTH(A482),1))</f>
        <v/>
      </c>
      <c r="C482" s="28" t="n"/>
      <c r="D482" s="28" t="n"/>
      <c r="E482" s="28" t="n"/>
      <c r="F482" s="18" t="n"/>
      <c r="G482" s="7">
        <f>IFERROR(VLOOKUP(D482,'Catálogo de Serviços'!$A$5:$F$100,6,FALSE),0)</f>
        <v/>
      </c>
      <c r="H482" s="7">
        <f>IFERROR(E482*F482,0)</f>
        <v/>
      </c>
      <c r="I482" s="7">
        <f>IFERROR(F482-G482,0)</f>
        <v/>
      </c>
      <c r="J482" s="28" t="n"/>
      <c r="K482" s="28" t="n"/>
    </row>
    <row r="483">
      <c r="A483" s="111" t="n"/>
      <c r="B483" s="27">
        <f>IF(A483="","",DATE(YEAR(A483),MONTH(A483),1))</f>
        <v/>
      </c>
      <c r="C483" s="28" t="n"/>
      <c r="D483" s="28" t="n"/>
      <c r="E483" s="28" t="n"/>
      <c r="F483" s="18" t="n"/>
      <c r="G483" s="7">
        <f>IFERROR(VLOOKUP(D483,'Catálogo de Serviços'!$A$5:$F$100,6,FALSE),0)</f>
        <v/>
      </c>
      <c r="H483" s="7">
        <f>IFERROR(E483*F483,0)</f>
        <v/>
      </c>
      <c r="I483" s="7">
        <f>IFERROR(F483-G483,0)</f>
        <v/>
      </c>
      <c r="J483" s="28" t="n"/>
      <c r="K483" s="28" t="n"/>
    </row>
    <row r="484">
      <c r="A484" s="111" t="n"/>
      <c r="B484" s="27">
        <f>IF(A484="","",DATE(YEAR(A484),MONTH(A484),1))</f>
        <v/>
      </c>
      <c r="C484" s="28" t="n"/>
      <c r="D484" s="28" t="n"/>
      <c r="E484" s="28" t="n"/>
      <c r="F484" s="18" t="n"/>
      <c r="G484" s="7">
        <f>IFERROR(VLOOKUP(D484,'Catálogo de Serviços'!$A$5:$F$100,6,FALSE),0)</f>
        <v/>
      </c>
      <c r="H484" s="7">
        <f>IFERROR(E484*F484,0)</f>
        <v/>
      </c>
      <c r="I484" s="7">
        <f>IFERROR(F484-G484,0)</f>
        <v/>
      </c>
      <c r="J484" s="28" t="n"/>
      <c r="K484" s="28" t="n"/>
    </row>
    <row r="485">
      <c r="A485" s="111" t="n"/>
      <c r="B485" s="27">
        <f>IF(A485="","",DATE(YEAR(A485),MONTH(A485),1))</f>
        <v/>
      </c>
      <c r="C485" s="28" t="n"/>
      <c r="D485" s="28" t="n"/>
      <c r="E485" s="28" t="n"/>
      <c r="F485" s="18" t="n"/>
      <c r="G485" s="7">
        <f>IFERROR(VLOOKUP(D485,'Catálogo de Serviços'!$A$5:$F$100,6,FALSE),0)</f>
        <v/>
      </c>
      <c r="H485" s="7">
        <f>IFERROR(E485*F485,0)</f>
        <v/>
      </c>
      <c r="I485" s="7">
        <f>IFERROR(F485-G485,0)</f>
        <v/>
      </c>
      <c r="J485" s="28" t="n"/>
      <c r="K485" s="28" t="n"/>
    </row>
    <row r="486">
      <c r="A486" s="111" t="n"/>
      <c r="B486" s="27">
        <f>IF(A486="","",DATE(YEAR(A486),MONTH(A486),1))</f>
        <v/>
      </c>
      <c r="C486" s="28" t="n"/>
      <c r="D486" s="28" t="n"/>
      <c r="E486" s="28" t="n"/>
      <c r="F486" s="18" t="n"/>
      <c r="G486" s="7">
        <f>IFERROR(VLOOKUP(D486,'Catálogo de Serviços'!$A$5:$F$100,6,FALSE),0)</f>
        <v/>
      </c>
      <c r="H486" s="7">
        <f>IFERROR(E486*F486,0)</f>
        <v/>
      </c>
      <c r="I486" s="7">
        <f>IFERROR(F486-G486,0)</f>
        <v/>
      </c>
      <c r="J486" s="28" t="n"/>
      <c r="K486" s="28" t="n"/>
    </row>
    <row r="487">
      <c r="A487" s="111" t="n"/>
      <c r="B487" s="27">
        <f>IF(A487="","",DATE(YEAR(A487),MONTH(A487),1))</f>
        <v/>
      </c>
      <c r="C487" s="28" t="n"/>
      <c r="D487" s="28" t="n"/>
      <c r="E487" s="28" t="n"/>
      <c r="F487" s="18" t="n"/>
      <c r="G487" s="7">
        <f>IFERROR(VLOOKUP(D487,'Catálogo de Serviços'!$A$5:$F$100,6,FALSE),0)</f>
        <v/>
      </c>
      <c r="H487" s="7">
        <f>IFERROR(E487*F487,0)</f>
        <v/>
      </c>
      <c r="I487" s="7">
        <f>IFERROR(F487-G487,0)</f>
        <v/>
      </c>
      <c r="J487" s="28" t="n"/>
      <c r="K487" s="28" t="n"/>
    </row>
    <row r="488">
      <c r="A488" s="111" t="n"/>
      <c r="B488" s="27">
        <f>IF(A488="","",DATE(YEAR(A488),MONTH(A488),1))</f>
        <v/>
      </c>
      <c r="C488" s="28" t="n"/>
      <c r="D488" s="28" t="n"/>
      <c r="E488" s="28" t="n"/>
      <c r="F488" s="18" t="n"/>
      <c r="G488" s="7">
        <f>IFERROR(VLOOKUP(D488,'Catálogo de Serviços'!$A$5:$F$100,6,FALSE),0)</f>
        <v/>
      </c>
      <c r="H488" s="7">
        <f>IFERROR(E488*F488,0)</f>
        <v/>
      </c>
      <c r="I488" s="7">
        <f>IFERROR(F488-G488,0)</f>
        <v/>
      </c>
      <c r="J488" s="28" t="n"/>
      <c r="K488" s="28" t="n"/>
    </row>
    <row r="489">
      <c r="A489" s="111" t="n"/>
      <c r="B489" s="27">
        <f>IF(A489="","",DATE(YEAR(A489),MONTH(A489),1))</f>
        <v/>
      </c>
      <c r="C489" s="28" t="n"/>
      <c r="D489" s="28" t="n"/>
      <c r="E489" s="28" t="n"/>
      <c r="F489" s="18" t="n"/>
      <c r="G489" s="7">
        <f>IFERROR(VLOOKUP(D489,'Catálogo de Serviços'!$A$5:$F$100,6,FALSE),0)</f>
        <v/>
      </c>
      <c r="H489" s="7">
        <f>IFERROR(E489*F489,0)</f>
        <v/>
      </c>
      <c r="I489" s="7">
        <f>IFERROR(F489-G489,0)</f>
        <v/>
      </c>
      <c r="J489" s="28" t="n"/>
      <c r="K489" s="28" t="n"/>
    </row>
    <row r="490">
      <c r="A490" s="111" t="n"/>
      <c r="B490" s="27">
        <f>IF(A490="","",DATE(YEAR(A490),MONTH(A490),1))</f>
        <v/>
      </c>
      <c r="C490" s="28" t="n"/>
      <c r="D490" s="28" t="n"/>
      <c r="E490" s="28" t="n"/>
      <c r="F490" s="18" t="n"/>
      <c r="G490" s="7">
        <f>IFERROR(VLOOKUP(D490,'Catálogo de Serviços'!$A$5:$F$100,6,FALSE),0)</f>
        <v/>
      </c>
      <c r="H490" s="7">
        <f>IFERROR(E490*F490,0)</f>
        <v/>
      </c>
      <c r="I490" s="7">
        <f>IFERROR(F490-G490,0)</f>
        <v/>
      </c>
      <c r="J490" s="28" t="n"/>
      <c r="K490" s="28" t="n"/>
    </row>
    <row r="491">
      <c r="A491" s="111" t="n"/>
      <c r="B491" s="27">
        <f>IF(A491="","",DATE(YEAR(A491),MONTH(A491),1))</f>
        <v/>
      </c>
      <c r="C491" s="28" t="n"/>
      <c r="D491" s="28" t="n"/>
      <c r="E491" s="28" t="n"/>
      <c r="F491" s="18" t="n"/>
      <c r="G491" s="7">
        <f>IFERROR(VLOOKUP(D491,'Catálogo de Serviços'!$A$5:$F$100,6,FALSE),0)</f>
        <v/>
      </c>
      <c r="H491" s="7">
        <f>IFERROR(E491*F491,0)</f>
        <v/>
      </c>
      <c r="I491" s="7">
        <f>IFERROR(F491-G491,0)</f>
        <v/>
      </c>
      <c r="J491" s="28" t="n"/>
      <c r="K491" s="28" t="n"/>
    </row>
    <row r="492">
      <c r="A492" s="111" t="n"/>
      <c r="B492" s="27">
        <f>IF(A492="","",DATE(YEAR(A492),MONTH(A492),1))</f>
        <v/>
      </c>
      <c r="C492" s="28" t="n"/>
      <c r="D492" s="28" t="n"/>
      <c r="E492" s="28" t="n"/>
      <c r="F492" s="18" t="n"/>
      <c r="G492" s="7">
        <f>IFERROR(VLOOKUP(D492,'Catálogo de Serviços'!$A$5:$F$100,6,FALSE),0)</f>
        <v/>
      </c>
      <c r="H492" s="7">
        <f>IFERROR(E492*F492,0)</f>
        <v/>
      </c>
      <c r="I492" s="7">
        <f>IFERROR(F492-G492,0)</f>
        <v/>
      </c>
      <c r="J492" s="28" t="n"/>
      <c r="K492" s="28" t="n"/>
    </row>
    <row r="493">
      <c r="A493" s="111" t="n"/>
      <c r="B493" s="27">
        <f>IF(A493="","",DATE(YEAR(A493),MONTH(A493),1))</f>
        <v/>
      </c>
      <c r="C493" s="28" t="n"/>
      <c r="D493" s="28" t="n"/>
      <c r="E493" s="28" t="n"/>
      <c r="F493" s="18" t="n"/>
      <c r="G493" s="7">
        <f>IFERROR(VLOOKUP(D493,'Catálogo de Serviços'!$A$5:$F$100,6,FALSE),0)</f>
        <v/>
      </c>
      <c r="H493" s="7">
        <f>IFERROR(E493*F493,0)</f>
        <v/>
      </c>
      <c r="I493" s="7">
        <f>IFERROR(F493-G493,0)</f>
        <v/>
      </c>
      <c r="J493" s="28" t="n"/>
      <c r="K493" s="28" t="n"/>
    </row>
    <row r="494">
      <c r="A494" s="111" t="n"/>
      <c r="B494" s="27">
        <f>IF(A494="","",DATE(YEAR(A494),MONTH(A494),1))</f>
        <v/>
      </c>
      <c r="C494" s="28" t="n"/>
      <c r="D494" s="28" t="n"/>
      <c r="E494" s="28" t="n"/>
      <c r="F494" s="18" t="n"/>
      <c r="G494" s="7">
        <f>IFERROR(VLOOKUP(D494,'Catálogo de Serviços'!$A$5:$F$100,6,FALSE),0)</f>
        <v/>
      </c>
      <c r="H494" s="7">
        <f>IFERROR(E494*F494,0)</f>
        <v/>
      </c>
      <c r="I494" s="7">
        <f>IFERROR(F494-G494,0)</f>
        <v/>
      </c>
      <c r="J494" s="28" t="n"/>
      <c r="K494" s="28" t="n"/>
    </row>
    <row r="495">
      <c r="A495" s="111" t="n"/>
      <c r="B495" s="27">
        <f>IF(A495="","",DATE(YEAR(A495),MONTH(A495),1))</f>
        <v/>
      </c>
      <c r="C495" s="28" t="n"/>
      <c r="D495" s="28" t="n"/>
      <c r="E495" s="28" t="n"/>
      <c r="F495" s="18" t="n"/>
      <c r="G495" s="7">
        <f>IFERROR(VLOOKUP(D495,'Catálogo de Serviços'!$A$5:$F$100,6,FALSE),0)</f>
        <v/>
      </c>
      <c r="H495" s="7">
        <f>IFERROR(E495*F495,0)</f>
        <v/>
      </c>
      <c r="I495" s="7">
        <f>IFERROR(F495-G495,0)</f>
        <v/>
      </c>
      <c r="J495" s="28" t="n"/>
      <c r="K495" s="28" t="n"/>
    </row>
    <row r="496">
      <c r="A496" s="111" t="n"/>
      <c r="B496" s="27">
        <f>IF(A496="","",DATE(YEAR(A496),MONTH(A496),1))</f>
        <v/>
      </c>
      <c r="C496" s="28" t="n"/>
      <c r="D496" s="28" t="n"/>
      <c r="E496" s="28" t="n"/>
      <c r="F496" s="18" t="n"/>
      <c r="G496" s="7">
        <f>IFERROR(VLOOKUP(D496,'Catálogo de Serviços'!$A$5:$F$100,6,FALSE),0)</f>
        <v/>
      </c>
      <c r="H496" s="7">
        <f>IFERROR(E496*F496,0)</f>
        <v/>
      </c>
      <c r="I496" s="7">
        <f>IFERROR(F496-G496,0)</f>
        <v/>
      </c>
      <c r="J496" s="28" t="n"/>
      <c r="K496" s="28" t="n"/>
    </row>
    <row r="497">
      <c r="A497" s="111" t="n"/>
      <c r="B497" s="27">
        <f>IF(A497="","",DATE(YEAR(A497),MONTH(A497),1))</f>
        <v/>
      </c>
      <c r="C497" s="28" t="n"/>
      <c r="D497" s="28" t="n"/>
      <c r="E497" s="28" t="n"/>
      <c r="F497" s="18" t="n"/>
      <c r="G497" s="7">
        <f>IFERROR(VLOOKUP(D497,'Catálogo de Serviços'!$A$5:$F$100,6,FALSE),0)</f>
        <v/>
      </c>
      <c r="H497" s="7">
        <f>IFERROR(E497*F497,0)</f>
        <v/>
      </c>
      <c r="I497" s="7">
        <f>IFERROR(F497-G497,0)</f>
        <v/>
      </c>
      <c r="J497" s="28" t="n"/>
      <c r="K497" s="28" t="n"/>
    </row>
    <row r="498">
      <c r="A498" s="111" t="n"/>
      <c r="B498" s="27">
        <f>IF(A498="","",DATE(YEAR(A498),MONTH(A498),1))</f>
        <v/>
      </c>
      <c r="C498" s="28" t="n"/>
      <c r="D498" s="28" t="n"/>
      <c r="E498" s="28" t="n"/>
      <c r="F498" s="18" t="n"/>
      <c r="G498" s="7">
        <f>IFERROR(VLOOKUP(D498,'Catálogo de Serviços'!$A$5:$F$100,6,FALSE),0)</f>
        <v/>
      </c>
      <c r="H498" s="7">
        <f>IFERROR(E498*F498,0)</f>
        <v/>
      </c>
      <c r="I498" s="7">
        <f>IFERROR(F498-G498,0)</f>
        <v/>
      </c>
      <c r="J498" s="28" t="n"/>
      <c r="K498" s="28" t="n"/>
    </row>
    <row r="499">
      <c r="A499" s="111" t="n"/>
      <c r="B499" s="27">
        <f>IF(A499="","",DATE(YEAR(A499),MONTH(A499),1))</f>
        <v/>
      </c>
      <c r="C499" s="28" t="n"/>
      <c r="D499" s="28" t="n"/>
      <c r="E499" s="28" t="n"/>
      <c r="F499" s="18" t="n"/>
      <c r="G499" s="7">
        <f>IFERROR(VLOOKUP(D499,'Catálogo de Serviços'!$A$5:$F$100,6,FALSE),0)</f>
        <v/>
      </c>
      <c r="H499" s="7">
        <f>IFERROR(E499*F499,0)</f>
        <v/>
      </c>
      <c r="I499" s="7">
        <f>IFERROR(F499-G499,0)</f>
        <v/>
      </c>
      <c r="J499" s="28" t="n"/>
      <c r="K499" s="28" t="n"/>
    </row>
    <row r="500">
      <c r="A500" s="111" t="n"/>
      <c r="B500" s="27">
        <f>IF(A500="","",DATE(YEAR(A500),MONTH(A500),1))</f>
        <v/>
      </c>
      <c r="C500" s="28" t="n"/>
      <c r="D500" s="28" t="n"/>
      <c r="E500" s="28" t="n"/>
      <c r="F500" s="18" t="n"/>
      <c r="G500" s="7">
        <f>IFERROR(VLOOKUP(D500,'Catálogo de Serviços'!$A$5:$F$100,6,FALSE),0)</f>
        <v/>
      </c>
      <c r="H500" s="7">
        <f>IFERROR(E500*F500,0)</f>
        <v/>
      </c>
      <c r="I500" s="7">
        <f>IFERROR(F500-G500,0)</f>
        <v/>
      </c>
      <c r="J500" s="28" t="n"/>
      <c r="K500" s="28" t="n"/>
    </row>
    <row r="501">
      <c r="A501" s="111" t="n"/>
      <c r="B501" s="27">
        <f>IF(A501="","",DATE(YEAR(A501),MONTH(A501),1))</f>
        <v/>
      </c>
      <c r="C501" s="28" t="n"/>
      <c r="D501" s="28" t="n"/>
      <c r="E501" s="28" t="n"/>
      <c r="F501" s="18" t="n"/>
      <c r="G501" s="7">
        <f>IFERROR(VLOOKUP(D501,'Catálogo de Serviços'!$A$5:$F$100,6,FALSE),0)</f>
        <v/>
      </c>
      <c r="H501" s="7">
        <f>IFERROR(E501*F501,0)</f>
        <v/>
      </c>
      <c r="I501" s="7">
        <f>IFERROR(F501-G501,0)</f>
        <v/>
      </c>
      <c r="J501" s="28" t="n"/>
      <c r="K501" s="28" t="n"/>
    </row>
    <row r="502">
      <c r="A502" s="111" t="n"/>
      <c r="B502" s="27">
        <f>IF(A502="","",DATE(YEAR(A502),MONTH(A502),1))</f>
        <v/>
      </c>
      <c r="C502" s="28" t="n"/>
      <c r="D502" s="28" t="n"/>
      <c r="E502" s="28" t="n"/>
      <c r="F502" s="18" t="n"/>
      <c r="G502" s="7">
        <f>IFERROR(VLOOKUP(D502,'Catálogo de Serviços'!$A$5:$F$100,6,FALSE),0)</f>
        <v/>
      </c>
      <c r="H502" s="7">
        <f>IFERROR(E502*F502,0)</f>
        <v/>
      </c>
      <c r="I502" s="7">
        <f>IFERROR(F502-G502,0)</f>
        <v/>
      </c>
      <c r="J502" s="28" t="n"/>
      <c r="K502" s="28" t="n"/>
    </row>
    <row r="503">
      <c r="A503" s="111" t="n"/>
      <c r="B503" s="27">
        <f>IF(A503="","",DATE(YEAR(A503),MONTH(A503),1))</f>
        <v/>
      </c>
      <c r="C503" s="28" t="n"/>
      <c r="D503" s="28" t="n"/>
      <c r="E503" s="28" t="n"/>
      <c r="F503" s="18" t="n"/>
      <c r="G503" s="7">
        <f>IFERROR(VLOOKUP(D503,'Catálogo de Serviços'!$A$5:$F$100,6,FALSE),0)</f>
        <v/>
      </c>
      <c r="H503" s="7">
        <f>IFERROR(E503*F503,0)</f>
        <v/>
      </c>
      <c r="I503" s="7">
        <f>IFERROR(F503-G503,0)</f>
        <v/>
      </c>
      <c r="J503" s="28" t="n"/>
      <c r="K503" s="28" t="n"/>
    </row>
    <row r="504">
      <c r="A504" s="111" t="n"/>
      <c r="B504" s="27">
        <f>IF(A504="","",DATE(YEAR(A504),MONTH(A504),1))</f>
        <v/>
      </c>
      <c r="C504" s="28" t="n"/>
      <c r="D504" s="28" t="n"/>
      <c r="E504" s="28" t="n"/>
      <c r="F504" s="18" t="n"/>
      <c r="G504" s="7">
        <f>IFERROR(VLOOKUP(D504,'Catálogo de Serviços'!$A$5:$F$100,6,FALSE),0)</f>
        <v/>
      </c>
      <c r="H504" s="7">
        <f>IFERROR(E504*F504,0)</f>
        <v/>
      </c>
      <c r="I504" s="7">
        <f>IFERROR(F504-G504,0)</f>
        <v/>
      </c>
      <c r="J504" s="28" t="n"/>
      <c r="K504" s="28" t="n"/>
    </row>
    <row r="505">
      <c r="A505" s="111" t="n"/>
      <c r="B505" s="27">
        <f>IF(A505="","",DATE(YEAR(A505),MONTH(A505),1))</f>
        <v/>
      </c>
      <c r="C505" s="28" t="n"/>
      <c r="D505" s="28" t="n"/>
      <c r="E505" s="28" t="n"/>
      <c r="F505" s="18" t="n"/>
      <c r="G505" s="7">
        <f>IFERROR(VLOOKUP(D505,'Catálogo de Serviços'!$A$5:$F$100,6,FALSE),0)</f>
        <v/>
      </c>
      <c r="H505" s="7">
        <f>IFERROR(E505*F505,0)</f>
        <v/>
      </c>
      <c r="I505" s="7">
        <f>IFERROR(F505-G505,0)</f>
        <v/>
      </c>
      <c r="J505" s="28" t="n"/>
      <c r="K505" s="28" t="n"/>
    </row>
    <row r="506">
      <c r="A506" s="111" t="n"/>
      <c r="B506" s="27">
        <f>IF(A506="","",DATE(YEAR(A506),MONTH(A506),1))</f>
        <v/>
      </c>
      <c r="C506" s="28" t="n"/>
      <c r="D506" s="28" t="n"/>
      <c r="E506" s="28" t="n"/>
      <c r="F506" s="18" t="n"/>
      <c r="G506" s="7">
        <f>IFERROR(VLOOKUP(D506,'Catálogo de Serviços'!$A$5:$F$100,6,FALSE),0)</f>
        <v/>
      </c>
      <c r="H506" s="7">
        <f>IFERROR(E506*F506,0)</f>
        <v/>
      </c>
      <c r="I506" s="7">
        <f>IFERROR(F506-G506,0)</f>
        <v/>
      </c>
      <c r="J506" s="28" t="n"/>
      <c r="K506" s="28" t="n"/>
    </row>
    <row r="507">
      <c r="A507" s="111" t="n"/>
      <c r="B507" s="27">
        <f>IF(A507="","",DATE(YEAR(A507),MONTH(A507),1))</f>
        <v/>
      </c>
      <c r="C507" s="28" t="n"/>
      <c r="D507" s="28" t="n"/>
      <c r="E507" s="28" t="n"/>
      <c r="F507" s="18" t="n"/>
      <c r="G507" s="7">
        <f>IFERROR(VLOOKUP(D507,'Catálogo de Serviços'!$A$5:$F$100,6,FALSE),0)</f>
        <v/>
      </c>
      <c r="H507" s="7">
        <f>IFERROR(E507*F507,0)</f>
        <v/>
      </c>
      <c r="I507" s="7">
        <f>IFERROR(F507-G507,0)</f>
        <v/>
      </c>
      <c r="J507" s="28" t="n"/>
      <c r="K507" s="28" t="n"/>
    </row>
    <row r="508">
      <c r="A508" s="111" t="n"/>
      <c r="B508" s="27">
        <f>IF(A508="","",DATE(YEAR(A508),MONTH(A508),1))</f>
        <v/>
      </c>
      <c r="C508" s="28" t="n"/>
      <c r="D508" s="28" t="n"/>
      <c r="E508" s="28" t="n"/>
      <c r="F508" s="18" t="n"/>
      <c r="G508" s="7">
        <f>IFERROR(VLOOKUP(D508,'Catálogo de Serviços'!$A$5:$F$100,6,FALSE),0)</f>
        <v/>
      </c>
      <c r="H508" s="7">
        <f>IFERROR(E508*F508,0)</f>
        <v/>
      </c>
      <c r="I508" s="7">
        <f>IFERROR(F508-G508,0)</f>
        <v/>
      </c>
      <c r="J508" s="28" t="n"/>
      <c r="K508" s="28" t="n"/>
    </row>
    <row r="509">
      <c r="A509" s="111" t="n"/>
      <c r="B509" s="27">
        <f>IF(A509="","",DATE(YEAR(A509),MONTH(A509),1))</f>
        <v/>
      </c>
      <c r="C509" s="28" t="n"/>
      <c r="D509" s="28" t="n"/>
      <c r="E509" s="28" t="n"/>
      <c r="F509" s="18" t="n"/>
      <c r="G509" s="7">
        <f>IFERROR(VLOOKUP(D509,'Catálogo de Serviços'!$A$5:$F$100,6,FALSE),0)</f>
        <v/>
      </c>
      <c r="H509" s="7">
        <f>IFERROR(E509*F509,0)</f>
        <v/>
      </c>
      <c r="I509" s="7">
        <f>IFERROR(F509-G509,0)</f>
        <v/>
      </c>
      <c r="J509" s="28" t="n"/>
      <c r="K509" s="28" t="n"/>
    </row>
    <row r="510">
      <c r="A510" s="111" t="n"/>
      <c r="B510" s="27">
        <f>IF(A510="","",DATE(YEAR(A510),MONTH(A510),1))</f>
        <v/>
      </c>
      <c r="C510" s="28" t="n"/>
      <c r="D510" s="28" t="n"/>
      <c r="E510" s="28" t="n"/>
      <c r="F510" s="18" t="n"/>
      <c r="G510" s="7">
        <f>IFERROR(VLOOKUP(D510,'Catálogo de Serviços'!$A$5:$F$100,6,FALSE),0)</f>
        <v/>
      </c>
      <c r="H510" s="7">
        <f>IFERROR(E510*F510,0)</f>
        <v/>
      </c>
      <c r="I510" s="7">
        <f>IFERROR(F510-G510,0)</f>
        <v/>
      </c>
      <c r="J510" s="28" t="n"/>
      <c r="K510" s="28" t="n"/>
    </row>
    <row r="511">
      <c r="A511" s="111" t="n"/>
      <c r="B511" s="27">
        <f>IF(A511="","",DATE(YEAR(A511),MONTH(A511),1))</f>
        <v/>
      </c>
      <c r="C511" s="28" t="n"/>
      <c r="D511" s="28" t="n"/>
      <c r="E511" s="28" t="n"/>
      <c r="F511" s="18" t="n"/>
      <c r="G511" s="7">
        <f>IFERROR(VLOOKUP(D511,'Catálogo de Serviços'!$A$5:$F$100,6,FALSE),0)</f>
        <v/>
      </c>
      <c r="H511" s="7">
        <f>IFERROR(E511*F511,0)</f>
        <v/>
      </c>
      <c r="I511" s="7">
        <f>IFERROR(F511-G511,0)</f>
        <v/>
      </c>
      <c r="J511" s="28" t="n"/>
      <c r="K511" s="28" t="n"/>
    </row>
    <row r="512">
      <c r="A512" s="111" t="n"/>
      <c r="B512" s="27">
        <f>IF(A512="","",DATE(YEAR(A512),MONTH(A512),1))</f>
        <v/>
      </c>
      <c r="C512" s="28" t="n"/>
      <c r="D512" s="28" t="n"/>
      <c r="E512" s="28" t="n"/>
      <c r="F512" s="18" t="n"/>
      <c r="G512" s="7">
        <f>IFERROR(VLOOKUP(D512,'Catálogo de Serviços'!$A$5:$F$100,6,FALSE),0)</f>
        <v/>
      </c>
      <c r="H512" s="7">
        <f>IFERROR(E512*F512,0)</f>
        <v/>
      </c>
      <c r="I512" s="7">
        <f>IFERROR(F512-G512,0)</f>
        <v/>
      </c>
      <c r="J512" s="28" t="n"/>
      <c r="K512" s="28" t="n"/>
    </row>
    <row r="513">
      <c r="A513" s="111" t="n"/>
      <c r="B513" s="27">
        <f>IF(A513="","",DATE(YEAR(A513),MONTH(A513),1))</f>
        <v/>
      </c>
      <c r="C513" s="28" t="n"/>
      <c r="D513" s="28" t="n"/>
      <c r="E513" s="28" t="n"/>
      <c r="F513" s="18" t="n"/>
      <c r="G513" s="7">
        <f>IFERROR(VLOOKUP(D513,'Catálogo de Serviços'!$A$5:$F$100,6,FALSE),0)</f>
        <v/>
      </c>
      <c r="H513" s="7">
        <f>IFERROR(E513*F513,0)</f>
        <v/>
      </c>
      <c r="I513" s="7">
        <f>IFERROR(F513-G513,0)</f>
        <v/>
      </c>
      <c r="J513" s="28" t="n"/>
      <c r="K513" s="28" t="n"/>
    </row>
    <row r="514">
      <c r="A514" s="111" t="n"/>
      <c r="B514" s="27">
        <f>IF(A514="","",DATE(YEAR(A514),MONTH(A514),1))</f>
        <v/>
      </c>
      <c r="C514" s="28" t="n"/>
      <c r="D514" s="28" t="n"/>
      <c r="E514" s="28" t="n"/>
      <c r="F514" s="18" t="n"/>
      <c r="G514" s="7">
        <f>IFERROR(VLOOKUP(D514,'Catálogo de Serviços'!$A$5:$F$100,6,FALSE),0)</f>
        <v/>
      </c>
      <c r="H514" s="7">
        <f>IFERROR(E514*F514,0)</f>
        <v/>
      </c>
      <c r="I514" s="7">
        <f>IFERROR(F514-G514,0)</f>
        <v/>
      </c>
      <c r="J514" s="28" t="n"/>
      <c r="K514" s="28" t="n"/>
    </row>
    <row r="515">
      <c r="A515" s="111" t="n"/>
      <c r="B515" s="27">
        <f>IF(A515="","",DATE(YEAR(A515),MONTH(A515),1))</f>
        <v/>
      </c>
      <c r="C515" s="28" t="n"/>
      <c r="D515" s="28" t="n"/>
      <c r="E515" s="28" t="n"/>
      <c r="F515" s="18" t="n"/>
      <c r="G515" s="7">
        <f>IFERROR(VLOOKUP(D515,'Catálogo de Serviços'!$A$5:$F$100,6,FALSE),0)</f>
        <v/>
      </c>
      <c r="H515" s="7">
        <f>IFERROR(E515*F515,0)</f>
        <v/>
      </c>
      <c r="I515" s="7">
        <f>IFERROR(F515-G515,0)</f>
        <v/>
      </c>
      <c r="J515" s="28" t="n"/>
      <c r="K515" s="28" t="n"/>
    </row>
    <row r="516">
      <c r="A516" s="111" t="n"/>
      <c r="B516" s="27">
        <f>IF(A516="","",DATE(YEAR(A516),MONTH(A516),1))</f>
        <v/>
      </c>
      <c r="C516" s="28" t="n"/>
      <c r="D516" s="28" t="n"/>
      <c r="E516" s="28" t="n"/>
      <c r="F516" s="18" t="n"/>
      <c r="G516" s="7">
        <f>IFERROR(VLOOKUP(D516,'Catálogo de Serviços'!$A$5:$F$100,6,FALSE),0)</f>
        <v/>
      </c>
      <c r="H516" s="7">
        <f>IFERROR(E516*F516,0)</f>
        <v/>
      </c>
      <c r="I516" s="7">
        <f>IFERROR(F516-G516,0)</f>
        <v/>
      </c>
      <c r="J516" s="28" t="n"/>
      <c r="K516" s="28" t="n"/>
    </row>
    <row r="517">
      <c r="A517" s="111" t="n"/>
      <c r="B517" s="27">
        <f>IF(A517="","",DATE(YEAR(A517),MONTH(A517),1))</f>
        <v/>
      </c>
      <c r="C517" s="28" t="n"/>
      <c r="D517" s="28" t="n"/>
      <c r="E517" s="28" t="n"/>
      <c r="F517" s="18" t="n"/>
      <c r="G517" s="7">
        <f>IFERROR(VLOOKUP(D517,'Catálogo de Serviços'!$A$5:$F$100,6,FALSE),0)</f>
        <v/>
      </c>
      <c r="H517" s="7">
        <f>IFERROR(E517*F517,0)</f>
        <v/>
      </c>
      <c r="I517" s="7">
        <f>IFERROR(F517-G517,0)</f>
        <v/>
      </c>
      <c r="J517" s="28" t="n"/>
      <c r="K517" s="28" t="n"/>
    </row>
    <row r="518">
      <c r="A518" s="111" t="n"/>
      <c r="B518" s="27">
        <f>IF(A518="","",DATE(YEAR(A518),MONTH(A518),1))</f>
        <v/>
      </c>
      <c r="C518" s="28" t="n"/>
      <c r="D518" s="28" t="n"/>
      <c r="E518" s="28" t="n"/>
      <c r="F518" s="18" t="n"/>
      <c r="G518" s="7">
        <f>IFERROR(VLOOKUP(D518,'Catálogo de Serviços'!$A$5:$F$100,6,FALSE),0)</f>
        <v/>
      </c>
      <c r="H518" s="7">
        <f>IFERROR(E518*F518,0)</f>
        <v/>
      </c>
      <c r="I518" s="7">
        <f>IFERROR(F518-G518,0)</f>
        <v/>
      </c>
      <c r="J518" s="28" t="n"/>
      <c r="K518" s="28" t="n"/>
    </row>
    <row r="519">
      <c r="A519" s="111" t="n"/>
      <c r="B519" s="27">
        <f>IF(A519="","",DATE(YEAR(A519),MONTH(A519),1))</f>
        <v/>
      </c>
      <c r="C519" s="28" t="n"/>
      <c r="D519" s="28" t="n"/>
      <c r="E519" s="28" t="n"/>
      <c r="F519" s="18" t="n"/>
      <c r="G519" s="7">
        <f>IFERROR(VLOOKUP(D519,'Catálogo de Serviços'!$A$5:$F$100,6,FALSE),0)</f>
        <v/>
      </c>
      <c r="H519" s="7">
        <f>IFERROR(E519*F519,0)</f>
        <v/>
      </c>
      <c r="I519" s="7">
        <f>IFERROR(F519-G519,0)</f>
        <v/>
      </c>
      <c r="J519" s="28" t="n"/>
      <c r="K519" s="28" t="n"/>
    </row>
    <row r="520">
      <c r="A520" s="111" t="n"/>
      <c r="B520" s="27">
        <f>IF(A520="","",DATE(YEAR(A520),MONTH(A520),1))</f>
        <v/>
      </c>
      <c r="C520" s="28" t="n"/>
      <c r="D520" s="28" t="n"/>
      <c r="E520" s="28" t="n"/>
      <c r="F520" s="18" t="n"/>
      <c r="G520" s="7">
        <f>IFERROR(VLOOKUP(D520,'Catálogo de Serviços'!$A$5:$F$100,6,FALSE),0)</f>
        <v/>
      </c>
      <c r="H520" s="7">
        <f>IFERROR(E520*F520,0)</f>
        <v/>
      </c>
      <c r="I520" s="7">
        <f>IFERROR(F520-G520,0)</f>
        <v/>
      </c>
      <c r="J520" s="28" t="n"/>
      <c r="K520" s="28" t="n"/>
    </row>
    <row r="521">
      <c r="A521" s="111" t="n"/>
      <c r="B521" s="27">
        <f>IF(A521="","",DATE(YEAR(A521),MONTH(A521),1))</f>
        <v/>
      </c>
      <c r="C521" s="28" t="n"/>
      <c r="D521" s="28" t="n"/>
      <c r="E521" s="28" t="n"/>
      <c r="F521" s="18" t="n"/>
      <c r="G521" s="7">
        <f>IFERROR(VLOOKUP(D521,'Catálogo de Serviços'!$A$5:$F$100,6,FALSE),0)</f>
        <v/>
      </c>
      <c r="H521" s="7">
        <f>IFERROR(E521*F521,0)</f>
        <v/>
      </c>
      <c r="I521" s="7">
        <f>IFERROR(F521-G521,0)</f>
        <v/>
      </c>
      <c r="J521" s="28" t="n"/>
      <c r="K521" s="28" t="n"/>
    </row>
    <row r="522">
      <c r="A522" s="111" t="n"/>
      <c r="B522" s="27">
        <f>IF(A522="","",DATE(YEAR(A522),MONTH(A522),1))</f>
        <v/>
      </c>
      <c r="C522" s="28" t="n"/>
      <c r="D522" s="28" t="n"/>
      <c r="E522" s="28" t="n"/>
      <c r="F522" s="18" t="n"/>
      <c r="G522" s="7">
        <f>IFERROR(VLOOKUP(D522,'Catálogo de Serviços'!$A$5:$F$100,6,FALSE),0)</f>
        <v/>
      </c>
      <c r="H522" s="7">
        <f>IFERROR(E522*F522,0)</f>
        <v/>
      </c>
      <c r="I522" s="7">
        <f>IFERROR(F522-G522,0)</f>
        <v/>
      </c>
      <c r="J522" s="28" t="n"/>
      <c r="K522" s="28" t="n"/>
    </row>
    <row r="523">
      <c r="A523" s="111" t="n"/>
      <c r="B523" s="27">
        <f>IF(A523="","",DATE(YEAR(A523),MONTH(A523),1))</f>
        <v/>
      </c>
      <c r="C523" s="28" t="n"/>
      <c r="D523" s="28" t="n"/>
      <c r="E523" s="28" t="n"/>
      <c r="F523" s="18" t="n"/>
      <c r="G523" s="7">
        <f>IFERROR(VLOOKUP(D523,'Catálogo de Serviços'!$A$5:$F$100,6,FALSE),0)</f>
        <v/>
      </c>
      <c r="H523" s="7">
        <f>IFERROR(E523*F523,0)</f>
        <v/>
      </c>
      <c r="I523" s="7">
        <f>IFERROR(F523-G523,0)</f>
        <v/>
      </c>
      <c r="J523" s="28" t="n"/>
      <c r="K523" s="28" t="n"/>
    </row>
    <row r="524">
      <c r="A524" s="111" t="n"/>
      <c r="B524" s="27">
        <f>IF(A524="","",DATE(YEAR(A524),MONTH(A524),1))</f>
        <v/>
      </c>
      <c r="C524" s="28" t="n"/>
      <c r="D524" s="28" t="n"/>
      <c r="E524" s="28" t="n"/>
      <c r="F524" s="18" t="n"/>
      <c r="G524" s="7">
        <f>IFERROR(VLOOKUP(D524,'Catálogo de Serviços'!$A$5:$F$100,6,FALSE),0)</f>
        <v/>
      </c>
      <c r="H524" s="7">
        <f>IFERROR(E524*F524,0)</f>
        <v/>
      </c>
      <c r="I524" s="7">
        <f>IFERROR(F524-G524,0)</f>
        <v/>
      </c>
      <c r="J524" s="28" t="n"/>
      <c r="K524" s="28" t="n"/>
    </row>
    <row r="525">
      <c r="A525" s="111" t="n"/>
      <c r="B525" s="27">
        <f>IF(A525="","",DATE(YEAR(A525),MONTH(A525),1))</f>
        <v/>
      </c>
      <c r="C525" s="28" t="n"/>
      <c r="D525" s="28" t="n"/>
      <c r="E525" s="28" t="n"/>
      <c r="F525" s="18" t="n"/>
      <c r="G525" s="7">
        <f>IFERROR(VLOOKUP(D525,'Catálogo de Serviços'!$A$5:$F$100,6,FALSE),0)</f>
        <v/>
      </c>
      <c r="H525" s="7">
        <f>IFERROR(E525*F525,0)</f>
        <v/>
      </c>
      <c r="I525" s="7">
        <f>IFERROR(F525-G525,0)</f>
        <v/>
      </c>
      <c r="J525" s="28" t="n"/>
      <c r="K525" s="28" t="n"/>
    </row>
    <row r="526">
      <c r="A526" s="111" t="n"/>
      <c r="B526" s="27">
        <f>IF(A526="","",DATE(YEAR(A526),MONTH(A526),1))</f>
        <v/>
      </c>
      <c r="C526" s="28" t="n"/>
      <c r="D526" s="28" t="n"/>
      <c r="E526" s="28" t="n"/>
      <c r="F526" s="18" t="n"/>
      <c r="G526" s="7">
        <f>IFERROR(VLOOKUP(D526,'Catálogo de Serviços'!$A$5:$F$100,6,FALSE),0)</f>
        <v/>
      </c>
      <c r="H526" s="7">
        <f>IFERROR(E526*F526,0)</f>
        <v/>
      </c>
      <c r="I526" s="7">
        <f>IFERROR(F526-G526,0)</f>
        <v/>
      </c>
      <c r="J526" s="28" t="n"/>
      <c r="K526" s="28" t="n"/>
    </row>
    <row r="527">
      <c r="A527" s="111" t="n"/>
      <c r="B527" s="27">
        <f>IF(A527="","",DATE(YEAR(A527),MONTH(A527),1))</f>
        <v/>
      </c>
      <c r="C527" s="28" t="n"/>
      <c r="D527" s="28" t="n"/>
      <c r="E527" s="28" t="n"/>
      <c r="F527" s="18" t="n"/>
      <c r="G527" s="7">
        <f>IFERROR(VLOOKUP(D527,'Catálogo de Serviços'!$A$5:$F$100,6,FALSE),0)</f>
        <v/>
      </c>
      <c r="H527" s="7">
        <f>IFERROR(E527*F527,0)</f>
        <v/>
      </c>
      <c r="I527" s="7">
        <f>IFERROR(F527-G527,0)</f>
        <v/>
      </c>
      <c r="J527" s="28" t="n"/>
      <c r="K527" s="28" t="n"/>
    </row>
    <row r="528">
      <c r="A528" s="111" t="n"/>
      <c r="B528" s="27">
        <f>IF(A528="","",DATE(YEAR(A528),MONTH(A528),1))</f>
        <v/>
      </c>
      <c r="C528" s="28" t="n"/>
      <c r="D528" s="28" t="n"/>
      <c r="E528" s="28" t="n"/>
      <c r="F528" s="18" t="n"/>
      <c r="G528" s="7">
        <f>IFERROR(VLOOKUP(D528,'Catálogo de Serviços'!$A$5:$F$100,6,FALSE),0)</f>
        <v/>
      </c>
      <c r="H528" s="7">
        <f>IFERROR(E528*F528,0)</f>
        <v/>
      </c>
      <c r="I528" s="7">
        <f>IFERROR(F528-G528,0)</f>
        <v/>
      </c>
      <c r="J528" s="28" t="n"/>
      <c r="K528" s="28" t="n"/>
    </row>
    <row r="529">
      <c r="A529" s="111" t="n"/>
      <c r="B529" s="27">
        <f>IF(A529="","",DATE(YEAR(A529),MONTH(A529),1))</f>
        <v/>
      </c>
      <c r="C529" s="28" t="n"/>
      <c r="D529" s="28" t="n"/>
      <c r="E529" s="28" t="n"/>
      <c r="F529" s="18" t="n"/>
      <c r="G529" s="7">
        <f>IFERROR(VLOOKUP(D529,'Catálogo de Serviços'!$A$5:$F$100,6,FALSE),0)</f>
        <v/>
      </c>
      <c r="H529" s="7">
        <f>IFERROR(E529*F529,0)</f>
        <v/>
      </c>
      <c r="I529" s="7">
        <f>IFERROR(F529-G529,0)</f>
        <v/>
      </c>
      <c r="J529" s="28" t="n"/>
      <c r="K529" s="28" t="n"/>
    </row>
    <row r="530">
      <c r="A530" s="111" t="n"/>
      <c r="B530" s="27">
        <f>IF(A530="","",DATE(YEAR(A530),MONTH(A530),1))</f>
        <v/>
      </c>
      <c r="C530" s="28" t="n"/>
      <c r="D530" s="28" t="n"/>
      <c r="E530" s="28" t="n"/>
      <c r="F530" s="18" t="n"/>
      <c r="G530" s="7">
        <f>IFERROR(VLOOKUP(D530,'Catálogo de Serviços'!$A$5:$F$100,6,FALSE),0)</f>
        <v/>
      </c>
      <c r="H530" s="7">
        <f>IFERROR(E530*F530,0)</f>
        <v/>
      </c>
      <c r="I530" s="7">
        <f>IFERROR(F530-G530,0)</f>
        <v/>
      </c>
      <c r="J530" s="28" t="n"/>
      <c r="K530" s="28" t="n"/>
    </row>
    <row r="531">
      <c r="A531" s="111" t="n"/>
      <c r="B531" s="27">
        <f>IF(A531="","",DATE(YEAR(A531),MONTH(A531),1))</f>
        <v/>
      </c>
      <c r="C531" s="28" t="n"/>
      <c r="D531" s="28" t="n"/>
      <c r="E531" s="28" t="n"/>
      <c r="F531" s="18" t="n"/>
      <c r="G531" s="7">
        <f>IFERROR(VLOOKUP(D531,'Catálogo de Serviços'!$A$5:$F$100,6,FALSE),0)</f>
        <v/>
      </c>
      <c r="H531" s="7">
        <f>IFERROR(E531*F531,0)</f>
        <v/>
      </c>
      <c r="I531" s="7">
        <f>IFERROR(F531-G531,0)</f>
        <v/>
      </c>
      <c r="J531" s="28" t="n"/>
      <c r="K531" s="28" t="n"/>
    </row>
    <row r="532">
      <c r="A532" s="111" t="n"/>
      <c r="B532" s="27">
        <f>IF(A532="","",DATE(YEAR(A532),MONTH(A532),1))</f>
        <v/>
      </c>
      <c r="C532" s="28" t="n"/>
      <c r="D532" s="28" t="n"/>
      <c r="E532" s="28" t="n"/>
      <c r="F532" s="18" t="n"/>
      <c r="G532" s="7">
        <f>IFERROR(VLOOKUP(D532,'Catálogo de Serviços'!$A$5:$F$100,6,FALSE),0)</f>
        <v/>
      </c>
      <c r="H532" s="7">
        <f>IFERROR(E532*F532,0)</f>
        <v/>
      </c>
      <c r="I532" s="7">
        <f>IFERROR(F532-G532,0)</f>
        <v/>
      </c>
      <c r="J532" s="28" t="n"/>
      <c r="K532" s="28" t="n"/>
    </row>
    <row r="533">
      <c r="A533" s="111" t="n"/>
      <c r="B533" s="27">
        <f>IF(A533="","",DATE(YEAR(A533),MONTH(A533),1))</f>
        <v/>
      </c>
      <c r="C533" s="28" t="n"/>
      <c r="D533" s="28" t="n"/>
      <c r="E533" s="28" t="n"/>
      <c r="F533" s="18" t="n"/>
      <c r="G533" s="7">
        <f>IFERROR(VLOOKUP(D533,'Catálogo de Serviços'!$A$5:$F$100,6,FALSE),0)</f>
        <v/>
      </c>
      <c r="H533" s="7">
        <f>IFERROR(E533*F533,0)</f>
        <v/>
      </c>
      <c r="I533" s="7">
        <f>IFERROR(F533-G533,0)</f>
        <v/>
      </c>
      <c r="J533" s="28" t="n"/>
      <c r="K533" s="28" t="n"/>
    </row>
    <row r="534">
      <c r="A534" s="111" t="n"/>
      <c r="B534" s="27">
        <f>IF(A534="","",DATE(YEAR(A534),MONTH(A534),1))</f>
        <v/>
      </c>
      <c r="C534" s="28" t="n"/>
      <c r="D534" s="28" t="n"/>
      <c r="E534" s="28" t="n"/>
      <c r="F534" s="18" t="n"/>
      <c r="G534" s="7">
        <f>IFERROR(VLOOKUP(D534,'Catálogo de Serviços'!$A$5:$F$100,6,FALSE),0)</f>
        <v/>
      </c>
      <c r="H534" s="7">
        <f>IFERROR(E534*F534,0)</f>
        <v/>
      </c>
      <c r="I534" s="7">
        <f>IFERROR(F534-G534,0)</f>
        <v/>
      </c>
      <c r="J534" s="28" t="n"/>
      <c r="K534" s="28" t="n"/>
    </row>
    <row r="535">
      <c r="A535" s="111" t="n"/>
      <c r="B535" s="27">
        <f>IF(A535="","",DATE(YEAR(A535),MONTH(A535),1))</f>
        <v/>
      </c>
      <c r="C535" s="28" t="n"/>
      <c r="D535" s="28" t="n"/>
      <c r="E535" s="28" t="n"/>
      <c r="F535" s="18" t="n"/>
      <c r="G535" s="7">
        <f>IFERROR(VLOOKUP(D535,'Catálogo de Serviços'!$A$5:$F$100,6,FALSE),0)</f>
        <v/>
      </c>
      <c r="H535" s="7">
        <f>IFERROR(E535*F535,0)</f>
        <v/>
      </c>
      <c r="I535" s="7">
        <f>IFERROR(F535-G535,0)</f>
        <v/>
      </c>
      <c r="J535" s="28" t="n"/>
      <c r="K535" s="28" t="n"/>
    </row>
    <row r="536">
      <c r="A536" s="111" t="n"/>
      <c r="B536" s="27">
        <f>IF(A536="","",DATE(YEAR(A536),MONTH(A536),1))</f>
        <v/>
      </c>
      <c r="C536" s="28" t="n"/>
      <c r="D536" s="28" t="n"/>
      <c r="E536" s="28" t="n"/>
      <c r="F536" s="18" t="n"/>
      <c r="G536" s="7">
        <f>IFERROR(VLOOKUP(D536,'Catálogo de Serviços'!$A$5:$F$100,6,FALSE),0)</f>
        <v/>
      </c>
      <c r="H536" s="7">
        <f>IFERROR(E536*F536,0)</f>
        <v/>
      </c>
      <c r="I536" s="7">
        <f>IFERROR(F536-G536,0)</f>
        <v/>
      </c>
      <c r="J536" s="28" t="n"/>
      <c r="K536" s="28" t="n"/>
    </row>
    <row r="537">
      <c r="A537" s="111" t="n"/>
      <c r="B537" s="27">
        <f>IF(A537="","",DATE(YEAR(A537),MONTH(A537),1))</f>
        <v/>
      </c>
      <c r="C537" s="28" t="n"/>
      <c r="D537" s="28" t="n"/>
      <c r="E537" s="28" t="n"/>
      <c r="F537" s="18" t="n"/>
      <c r="G537" s="7">
        <f>IFERROR(VLOOKUP(D537,'Catálogo de Serviços'!$A$5:$F$100,6,FALSE),0)</f>
        <v/>
      </c>
      <c r="H537" s="7">
        <f>IFERROR(E537*F537,0)</f>
        <v/>
      </c>
      <c r="I537" s="7">
        <f>IFERROR(F537-G537,0)</f>
        <v/>
      </c>
      <c r="J537" s="28" t="n"/>
      <c r="K537" s="28" t="n"/>
    </row>
    <row r="538">
      <c r="A538" s="111" t="n"/>
      <c r="B538" s="27">
        <f>IF(A538="","",DATE(YEAR(A538),MONTH(A538),1))</f>
        <v/>
      </c>
      <c r="C538" s="28" t="n"/>
      <c r="D538" s="28" t="n"/>
      <c r="E538" s="28" t="n"/>
      <c r="F538" s="18" t="n"/>
      <c r="G538" s="7">
        <f>IFERROR(VLOOKUP(D538,'Catálogo de Serviços'!$A$5:$F$100,6,FALSE),0)</f>
        <v/>
      </c>
      <c r="H538" s="7">
        <f>IFERROR(E538*F538,0)</f>
        <v/>
      </c>
      <c r="I538" s="7">
        <f>IFERROR(F538-G538,0)</f>
        <v/>
      </c>
      <c r="J538" s="28" t="n"/>
      <c r="K538" s="28" t="n"/>
    </row>
    <row r="539">
      <c r="A539" s="111" t="n"/>
      <c r="B539" s="27">
        <f>IF(A539="","",DATE(YEAR(A539),MONTH(A539),1))</f>
        <v/>
      </c>
      <c r="C539" s="28" t="n"/>
      <c r="D539" s="28" t="n"/>
      <c r="E539" s="28" t="n"/>
      <c r="F539" s="18" t="n"/>
      <c r="G539" s="7">
        <f>IFERROR(VLOOKUP(D539,'Catálogo de Serviços'!$A$5:$F$100,6,FALSE),0)</f>
        <v/>
      </c>
      <c r="H539" s="7">
        <f>IFERROR(E539*F539,0)</f>
        <v/>
      </c>
      <c r="I539" s="7">
        <f>IFERROR(F539-G539,0)</f>
        <v/>
      </c>
      <c r="J539" s="28" t="n"/>
      <c r="K539" s="28" t="n"/>
    </row>
    <row r="540">
      <c r="A540" s="111" t="n"/>
      <c r="B540" s="27">
        <f>IF(A540="","",DATE(YEAR(A540),MONTH(A540),1))</f>
        <v/>
      </c>
      <c r="C540" s="28" t="n"/>
      <c r="D540" s="28" t="n"/>
      <c r="E540" s="28" t="n"/>
      <c r="F540" s="18" t="n"/>
      <c r="G540" s="7">
        <f>IFERROR(VLOOKUP(D540,'Catálogo de Serviços'!$A$5:$F$100,6,FALSE),0)</f>
        <v/>
      </c>
      <c r="H540" s="7">
        <f>IFERROR(E540*F540,0)</f>
        <v/>
      </c>
      <c r="I540" s="7">
        <f>IFERROR(F540-G540,0)</f>
        <v/>
      </c>
      <c r="J540" s="28" t="n"/>
      <c r="K540" s="28" t="n"/>
    </row>
    <row r="541">
      <c r="A541" s="111" t="n"/>
      <c r="B541" s="27">
        <f>IF(A541="","",DATE(YEAR(A541),MONTH(A541),1))</f>
        <v/>
      </c>
      <c r="C541" s="28" t="n"/>
      <c r="D541" s="28" t="n"/>
      <c r="E541" s="28" t="n"/>
      <c r="F541" s="18" t="n"/>
      <c r="G541" s="7">
        <f>IFERROR(VLOOKUP(D541,'Catálogo de Serviços'!$A$5:$F$100,6,FALSE),0)</f>
        <v/>
      </c>
      <c r="H541" s="7">
        <f>IFERROR(E541*F541,0)</f>
        <v/>
      </c>
      <c r="I541" s="7">
        <f>IFERROR(F541-G541,0)</f>
        <v/>
      </c>
      <c r="J541" s="28" t="n"/>
      <c r="K541" s="28" t="n"/>
    </row>
    <row r="542">
      <c r="A542" s="111" t="n"/>
      <c r="B542" s="27">
        <f>IF(A542="","",DATE(YEAR(A542),MONTH(A542),1))</f>
        <v/>
      </c>
      <c r="C542" s="28" t="n"/>
      <c r="D542" s="28" t="n"/>
      <c r="E542" s="28" t="n"/>
      <c r="F542" s="18" t="n"/>
      <c r="G542" s="7">
        <f>IFERROR(VLOOKUP(D542,'Catálogo de Serviços'!$A$5:$F$100,6,FALSE),0)</f>
        <v/>
      </c>
      <c r="H542" s="7">
        <f>IFERROR(E542*F542,0)</f>
        <v/>
      </c>
      <c r="I542" s="7">
        <f>IFERROR(F542-G542,0)</f>
        <v/>
      </c>
      <c r="J542" s="28" t="n"/>
      <c r="K542" s="28" t="n"/>
    </row>
    <row r="543">
      <c r="A543" s="111" t="n"/>
      <c r="B543" s="27">
        <f>IF(A543="","",DATE(YEAR(A543),MONTH(A543),1))</f>
        <v/>
      </c>
      <c r="C543" s="28" t="n"/>
      <c r="D543" s="28" t="n"/>
      <c r="E543" s="28" t="n"/>
      <c r="F543" s="18" t="n"/>
      <c r="G543" s="7">
        <f>IFERROR(VLOOKUP(D543,'Catálogo de Serviços'!$A$5:$F$100,6,FALSE),0)</f>
        <v/>
      </c>
      <c r="H543" s="7">
        <f>IFERROR(E543*F543,0)</f>
        <v/>
      </c>
      <c r="I543" s="7">
        <f>IFERROR(F543-G543,0)</f>
        <v/>
      </c>
      <c r="J543" s="28" t="n"/>
      <c r="K543" s="28" t="n"/>
    </row>
    <row r="544">
      <c r="A544" s="111" t="n"/>
      <c r="B544" s="27">
        <f>IF(A544="","",DATE(YEAR(A544),MONTH(A544),1))</f>
        <v/>
      </c>
      <c r="C544" s="28" t="n"/>
      <c r="D544" s="28" t="n"/>
      <c r="E544" s="28" t="n"/>
      <c r="F544" s="18" t="n"/>
      <c r="G544" s="7">
        <f>IFERROR(VLOOKUP(D544,'Catálogo de Serviços'!$A$5:$F$100,6,FALSE),0)</f>
        <v/>
      </c>
      <c r="H544" s="7">
        <f>IFERROR(E544*F544,0)</f>
        <v/>
      </c>
      <c r="I544" s="7">
        <f>IFERROR(F544-G544,0)</f>
        <v/>
      </c>
      <c r="J544" s="28" t="n"/>
      <c r="K544" s="28" t="n"/>
    </row>
    <row r="545">
      <c r="A545" s="111" t="n"/>
      <c r="B545" s="27">
        <f>IF(A545="","",DATE(YEAR(A545),MONTH(A545),1))</f>
        <v/>
      </c>
      <c r="C545" s="28" t="n"/>
      <c r="D545" s="28" t="n"/>
      <c r="E545" s="28" t="n"/>
      <c r="F545" s="18" t="n"/>
      <c r="G545" s="7">
        <f>IFERROR(VLOOKUP(D545,'Catálogo de Serviços'!$A$5:$F$100,6,FALSE),0)</f>
        <v/>
      </c>
      <c r="H545" s="7">
        <f>IFERROR(E545*F545,0)</f>
        <v/>
      </c>
      <c r="I545" s="7">
        <f>IFERROR(F545-G545,0)</f>
        <v/>
      </c>
      <c r="J545" s="28" t="n"/>
      <c r="K545" s="28" t="n"/>
    </row>
    <row r="546">
      <c r="A546" s="111" t="n"/>
      <c r="B546" s="27">
        <f>IF(A546="","",DATE(YEAR(A546),MONTH(A546),1))</f>
        <v/>
      </c>
      <c r="C546" s="28" t="n"/>
      <c r="D546" s="28" t="n"/>
      <c r="E546" s="28" t="n"/>
      <c r="F546" s="18" t="n"/>
      <c r="G546" s="7">
        <f>IFERROR(VLOOKUP(D546,'Catálogo de Serviços'!$A$5:$F$100,6,FALSE),0)</f>
        <v/>
      </c>
      <c r="H546" s="7">
        <f>IFERROR(E546*F546,0)</f>
        <v/>
      </c>
      <c r="I546" s="7">
        <f>IFERROR(F546-G546,0)</f>
        <v/>
      </c>
      <c r="J546" s="28" t="n"/>
      <c r="K546" s="28" t="n"/>
    </row>
    <row r="547">
      <c r="A547" s="111" t="n"/>
      <c r="B547" s="27">
        <f>IF(A547="","",DATE(YEAR(A547),MONTH(A547),1))</f>
        <v/>
      </c>
      <c r="C547" s="28" t="n"/>
      <c r="D547" s="28" t="n"/>
      <c r="E547" s="28" t="n"/>
      <c r="F547" s="18" t="n"/>
      <c r="G547" s="7">
        <f>IFERROR(VLOOKUP(D547,'Catálogo de Serviços'!$A$5:$F$100,6,FALSE),0)</f>
        <v/>
      </c>
      <c r="H547" s="7">
        <f>IFERROR(E547*F547,0)</f>
        <v/>
      </c>
      <c r="I547" s="7">
        <f>IFERROR(F547-G547,0)</f>
        <v/>
      </c>
      <c r="J547" s="28" t="n"/>
      <c r="K547" s="28" t="n"/>
    </row>
    <row r="548">
      <c r="A548" s="111" t="n"/>
      <c r="B548" s="27">
        <f>IF(A548="","",DATE(YEAR(A548),MONTH(A548),1))</f>
        <v/>
      </c>
      <c r="C548" s="28" t="n"/>
      <c r="D548" s="28" t="n"/>
      <c r="E548" s="28" t="n"/>
      <c r="F548" s="18" t="n"/>
      <c r="G548" s="7">
        <f>IFERROR(VLOOKUP(D548,'Catálogo de Serviços'!$A$5:$F$100,6,FALSE),0)</f>
        <v/>
      </c>
      <c r="H548" s="7">
        <f>IFERROR(E548*F548,0)</f>
        <v/>
      </c>
      <c r="I548" s="7">
        <f>IFERROR(F548-G548,0)</f>
        <v/>
      </c>
      <c r="J548" s="28" t="n"/>
      <c r="K548" s="28" t="n"/>
    </row>
    <row r="549">
      <c r="A549" s="111" t="n"/>
      <c r="B549" s="27">
        <f>IF(A549="","",DATE(YEAR(A549),MONTH(A549),1))</f>
        <v/>
      </c>
      <c r="C549" s="28" t="n"/>
      <c r="D549" s="28" t="n"/>
      <c r="E549" s="28" t="n"/>
      <c r="F549" s="18" t="n"/>
      <c r="G549" s="7">
        <f>IFERROR(VLOOKUP(D549,'Catálogo de Serviços'!$A$5:$F$100,6,FALSE),0)</f>
        <v/>
      </c>
      <c r="H549" s="7">
        <f>IFERROR(E549*F549,0)</f>
        <v/>
      </c>
      <c r="I549" s="7">
        <f>IFERROR(F549-G549,0)</f>
        <v/>
      </c>
      <c r="J549" s="28" t="n"/>
      <c r="K549" s="28" t="n"/>
    </row>
    <row r="550">
      <c r="A550" s="111" t="n"/>
      <c r="B550" s="27">
        <f>IF(A550="","",DATE(YEAR(A550),MONTH(A550),1))</f>
        <v/>
      </c>
      <c r="C550" s="28" t="n"/>
      <c r="D550" s="28" t="n"/>
      <c r="E550" s="28" t="n"/>
      <c r="F550" s="18" t="n"/>
      <c r="G550" s="7">
        <f>IFERROR(VLOOKUP(D550,'Catálogo de Serviços'!$A$5:$F$100,6,FALSE),0)</f>
        <v/>
      </c>
      <c r="H550" s="7">
        <f>IFERROR(E550*F550,0)</f>
        <v/>
      </c>
      <c r="I550" s="7">
        <f>IFERROR(F550-G550,0)</f>
        <v/>
      </c>
      <c r="J550" s="28" t="n"/>
      <c r="K550" s="28" t="n"/>
    </row>
    <row r="551">
      <c r="A551" s="111" t="n"/>
      <c r="B551" s="27">
        <f>IF(A551="","",DATE(YEAR(A551),MONTH(A551),1))</f>
        <v/>
      </c>
      <c r="C551" s="28" t="n"/>
      <c r="D551" s="28" t="n"/>
      <c r="E551" s="28" t="n"/>
      <c r="F551" s="18" t="n"/>
      <c r="G551" s="7">
        <f>IFERROR(VLOOKUP(D551,'Catálogo de Serviços'!$A$5:$F$100,6,FALSE),0)</f>
        <v/>
      </c>
      <c r="H551" s="7">
        <f>IFERROR(E551*F551,0)</f>
        <v/>
      </c>
      <c r="I551" s="7">
        <f>IFERROR(F551-G551,0)</f>
        <v/>
      </c>
      <c r="J551" s="28" t="n"/>
      <c r="K551" s="28" t="n"/>
    </row>
    <row r="552">
      <c r="A552" s="111" t="n"/>
      <c r="B552" s="27">
        <f>IF(A552="","",DATE(YEAR(A552),MONTH(A552),1))</f>
        <v/>
      </c>
      <c r="C552" s="28" t="n"/>
      <c r="D552" s="28" t="n"/>
      <c r="E552" s="28" t="n"/>
      <c r="F552" s="18" t="n"/>
      <c r="G552" s="7">
        <f>IFERROR(VLOOKUP(D552,'Catálogo de Serviços'!$A$5:$F$100,6,FALSE),0)</f>
        <v/>
      </c>
      <c r="H552" s="7">
        <f>IFERROR(E552*F552,0)</f>
        <v/>
      </c>
      <c r="I552" s="7">
        <f>IFERROR(F552-G552,0)</f>
        <v/>
      </c>
      <c r="J552" s="28" t="n"/>
      <c r="K552" s="28" t="n"/>
    </row>
    <row r="553">
      <c r="A553" s="111" t="n"/>
      <c r="B553" s="27">
        <f>IF(A553="","",DATE(YEAR(A553),MONTH(A553),1))</f>
        <v/>
      </c>
      <c r="C553" s="28" t="n"/>
      <c r="D553" s="28" t="n"/>
      <c r="E553" s="28" t="n"/>
      <c r="F553" s="18" t="n"/>
      <c r="G553" s="7">
        <f>IFERROR(VLOOKUP(D553,'Catálogo de Serviços'!$A$5:$F$100,6,FALSE),0)</f>
        <v/>
      </c>
      <c r="H553" s="7">
        <f>IFERROR(E553*F553,0)</f>
        <v/>
      </c>
      <c r="I553" s="7">
        <f>IFERROR(F553-G553,0)</f>
        <v/>
      </c>
      <c r="J553" s="28" t="n"/>
      <c r="K553" s="28" t="n"/>
    </row>
    <row r="554">
      <c r="A554" s="111" t="n"/>
      <c r="B554" s="27">
        <f>IF(A554="","",DATE(YEAR(A554),MONTH(A554),1))</f>
        <v/>
      </c>
      <c r="C554" s="28" t="n"/>
      <c r="D554" s="28" t="n"/>
      <c r="E554" s="28" t="n"/>
      <c r="F554" s="18" t="n"/>
      <c r="G554" s="7">
        <f>IFERROR(VLOOKUP(D554,'Catálogo de Serviços'!$A$5:$F$100,6,FALSE),0)</f>
        <v/>
      </c>
      <c r="H554" s="7">
        <f>IFERROR(E554*F554,0)</f>
        <v/>
      </c>
      <c r="I554" s="7">
        <f>IFERROR(F554-G554,0)</f>
        <v/>
      </c>
      <c r="J554" s="28" t="n"/>
      <c r="K554" s="28" t="n"/>
    </row>
    <row r="555">
      <c r="A555" s="111" t="n"/>
      <c r="B555" s="27">
        <f>IF(A555="","",DATE(YEAR(A555),MONTH(A555),1))</f>
        <v/>
      </c>
      <c r="C555" s="28" t="n"/>
      <c r="D555" s="28" t="n"/>
      <c r="E555" s="28" t="n"/>
      <c r="F555" s="18" t="n"/>
      <c r="G555" s="7">
        <f>IFERROR(VLOOKUP(D555,'Catálogo de Serviços'!$A$5:$F$100,6,FALSE),0)</f>
        <v/>
      </c>
      <c r="H555" s="7">
        <f>IFERROR(E555*F555,0)</f>
        <v/>
      </c>
      <c r="I555" s="7">
        <f>IFERROR(F555-G555,0)</f>
        <v/>
      </c>
      <c r="J555" s="28" t="n"/>
      <c r="K555" s="28" t="n"/>
    </row>
    <row r="556">
      <c r="A556" s="111" t="n"/>
      <c r="B556" s="27">
        <f>IF(A556="","",DATE(YEAR(A556),MONTH(A556),1))</f>
        <v/>
      </c>
      <c r="C556" s="28" t="n"/>
      <c r="D556" s="28" t="n"/>
      <c r="E556" s="28" t="n"/>
      <c r="F556" s="18" t="n"/>
      <c r="G556" s="7">
        <f>IFERROR(VLOOKUP(D556,'Catálogo de Serviços'!$A$5:$F$100,6,FALSE),0)</f>
        <v/>
      </c>
      <c r="H556" s="7">
        <f>IFERROR(E556*F556,0)</f>
        <v/>
      </c>
      <c r="I556" s="7">
        <f>IFERROR(F556-G556,0)</f>
        <v/>
      </c>
      <c r="J556" s="28" t="n"/>
      <c r="K556" s="28" t="n"/>
    </row>
    <row r="557">
      <c r="A557" s="111" t="n"/>
      <c r="B557" s="27">
        <f>IF(A557="","",DATE(YEAR(A557),MONTH(A557),1))</f>
        <v/>
      </c>
      <c r="C557" s="28" t="n"/>
      <c r="D557" s="28" t="n"/>
      <c r="E557" s="28" t="n"/>
      <c r="F557" s="18" t="n"/>
      <c r="G557" s="7">
        <f>IFERROR(VLOOKUP(D557,'Catálogo de Serviços'!$A$5:$F$100,6,FALSE),0)</f>
        <v/>
      </c>
      <c r="H557" s="7">
        <f>IFERROR(E557*F557,0)</f>
        <v/>
      </c>
      <c r="I557" s="7">
        <f>IFERROR(F557-G557,0)</f>
        <v/>
      </c>
      <c r="J557" s="28" t="n"/>
      <c r="K557" s="28" t="n"/>
    </row>
    <row r="558">
      <c r="A558" s="111" t="n"/>
      <c r="B558" s="27">
        <f>IF(A558="","",DATE(YEAR(A558),MONTH(A558),1))</f>
        <v/>
      </c>
      <c r="C558" s="28" t="n"/>
      <c r="D558" s="28" t="n"/>
      <c r="E558" s="28" t="n"/>
      <c r="F558" s="18" t="n"/>
      <c r="G558" s="7">
        <f>IFERROR(VLOOKUP(D558,'Catálogo de Serviços'!$A$5:$F$100,6,FALSE),0)</f>
        <v/>
      </c>
      <c r="H558" s="7">
        <f>IFERROR(E558*F558,0)</f>
        <v/>
      </c>
      <c r="I558" s="7">
        <f>IFERROR(F558-G558,0)</f>
        <v/>
      </c>
      <c r="J558" s="28" t="n"/>
      <c r="K558" s="28" t="n"/>
    </row>
    <row r="559">
      <c r="A559" s="111" t="n"/>
      <c r="B559" s="27">
        <f>IF(A559="","",DATE(YEAR(A559),MONTH(A559),1))</f>
        <v/>
      </c>
      <c r="C559" s="28" t="n"/>
      <c r="D559" s="28" t="n"/>
      <c r="E559" s="28" t="n"/>
      <c r="F559" s="18" t="n"/>
      <c r="G559" s="7">
        <f>IFERROR(VLOOKUP(D559,'Catálogo de Serviços'!$A$5:$F$100,6,FALSE),0)</f>
        <v/>
      </c>
      <c r="H559" s="7">
        <f>IFERROR(E559*F559,0)</f>
        <v/>
      </c>
      <c r="I559" s="7">
        <f>IFERROR(F559-G559,0)</f>
        <v/>
      </c>
      <c r="J559" s="28" t="n"/>
      <c r="K559" s="28" t="n"/>
    </row>
    <row r="560">
      <c r="A560" s="111" t="n"/>
      <c r="B560" s="27">
        <f>IF(A560="","",DATE(YEAR(A560),MONTH(A560),1))</f>
        <v/>
      </c>
      <c r="C560" s="28" t="n"/>
      <c r="D560" s="28" t="n"/>
      <c r="E560" s="28" t="n"/>
      <c r="F560" s="18" t="n"/>
      <c r="G560" s="7">
        <f>IFERROR(VLOOKUP(D560,'Catálogo de Serviços'!$A$5:$F$100,6,FALSE),0)</f>
        <v/>
      </c>
      <c r="H560" s="7">
        <f>IFERROR(E560*F560,0)</f>
        <v/>
      </c>
      <c r="I560" s="7">
        <f>IFERROR(F560-G560,0)</f>
        <v/>
      </c>
      <c r="J560" s="28" t="n"/>
      <c r="K560" s="28" t="n"/>
    </row>
    <row r="561">
      <c r="A561" s="111" t="n"/>
      <c r="B561" s="27">
        <f>IF(A561="","",DATE(YEAR(A561),MONTH(A561),1))</f>
        <v/>
      </c>
      <c r="C561" s="28" t="n"/>
      <c r="D561" s="28" t="n"/>
      <c r="E561" s="28" t="n"/>
      <c r="F561" s="18" t="n"/>
      <c r="G561" s="7">
        <f>IFERROR(VLOOKUP(D561,'Catálogo de Serviços'!$A$5:$F$100,6,FALSE),0)</f>
        <v/>
      </c>
      <c r="H561" s="7">
        <f>IFERROR(E561*F561,0)</f>
        <v/>
      </c>
      <c r="I561" s="7">
        <f>IFERROR(F561-G561,0)</f>
        <v/>
      </c>
      <c r="J561" s="28" t="n"/>
      <c r="K561" s="28" t="n"/>
    </row>
    <row r="562">
      <c r="A562" s="111" t="n"/>
      <c r="B562" s="27">
        <f>IF(A562="","",DATE(YEAR(A562),MONTH(A562),1))</f>
        <v/>
      </c>
      <c r="C562" s="28" t="n"/>
      <c r="D562" s="28" t="n"/>
      <c r="E562" s="28" t="n"/>
      <c r="F562" s="18" t="n"/>
      <c r="G562" s="7">
        <f>IFERROR(VLOOKUP(D562,'Catálogo de Serviços'!$A$5:$F$100,6,FALSE),0)</f>
        <v/>
      </c>
      <c r="H562" s="7">
        <f>IFERROR(E562*F562,0)</f>
        <v/>
      </c>
      <c r="I562" s="7">
        <f>IFERROR(F562-G562,0)</f>
        <v/>
      </c>
      <c r="J562" s="28" t="n"/>
      <c r="K562" s="28" t="n"/>
    </row>
    <row r="563">
      <c r="A563" s="111" t="n"/>
      <c r="B563" s="27">
        <f>IF(A563="","",DATE(YEAR(A563),MONTH(A563),1))</f>
        <v/>
      </c>
      <c r="C563" s="28" t="n"/>
      <c r="D563" s="28" t="n"/>
      <c r="E563" s="28" t="n"/>
      <c r="F563" s="18" t="n"/>
      <c r="G563" s="7">
        <f>IFERROR(VLOOKUP(D563,'Catálogo de Serviços'!$A$5:$F$100,6,FALSE),0)</f>
        <v/>
      </c>
      <c r="H563" s="7">
        <f>IFERROR(E563*F563,0)</f>
        <v/>
      </c>
      <c r="I563" s="7">
        <f>IFERROR(F563-G563,0)</f>
        <v/>
      </c>
      <c r="J563" s="28" t="n"/>
      <c r="K563" s="28" t="n"/>
    </row>
    <row r="564">
      <c r="A564" s="111" t="n"/>
      <c r="B564" s="27">
        <f>IF(A564="","",DATE(YEAR(A564),MONTH(A564),1))</f>
        <v/>
      </c>
      <c r="C564" s="28" t="n"/>
      <c r="D564" s="28" t="n"/>
      <c r="E564" s="28" t="n"/>
      <c r="F564" s="18" t="n"/>
      <c r="G564" s="7">
        <f>IFERROR(VLOOKUP(D564,'Catálogo de Serviços'!$A$5:$F$100,6,FALSE),0)</f>
        <v/>
      </c>
      <c r="H564" s="7">
        <f>IFERROR(E564*F564,0)</f>
        <v/>
      </c>
      <c r="I564" s="7">
        <f>IFERROR(F564-G564,0)</f>
        <v/>
      </c>
      <c r="J564" s="28" t="n"/>
      <c r="K564" s="28" t="n"/>
    </row>
    <row r="565">
      <c r="A565" s="111" t="n"/>
      <c r="B565" s="27">
        <f>IF(A565="","",DATE(YEAR(A565),MONTH(A565),1))</f>
        <v/>
      </c>
      <c r="C565" s="28" t="n"/>
      <c r="D565" s="28" t="n"/>
      <c r="E565" s="28" t="n"/>
      <c r="F565" s="18" t="n"/>
      <c r="G565" s="7">
        <f>IFERROR(VLOOKUP(D565,'Catálogo de Serviços'!$A$5:$F$100,6,FALSE),0)</f>
        <v/>
      </c>
      <c r="H565" s="7">
        <f>IFERROR(E565*F565,0)</f>
        <v/>
      </c>
      <c r="I565" s="7">
        <f>IFERROR(F565-G565,0)</f>
        <v/>
      </c>
      <c r="J565" s="28" t="n"/>
      <c r="K565" s="28" t="n"/>
    </row>
    <row r="566">
      <c r="A566" s="111" t="n"/>
      <c r="B566" s="27">
        <f>IF(A566="","",DATE(YEAR(A566),MONTH(A566),1))</f>
        <v/>
      </c>
      <c r="C566" s="28" t="n"/>
      <c r="D566" s="28" t="n"/>
      <c r="E566" s="28" t="n"/>
      <c r="F566" s="18" t="n"/>
      <c r="G566" s="7">
        <f>IFERROR(VLOOKUP(D566,'Catálogo de Serviços'!$A$5:$F$100,6,FALSE),0)</f>
        <v/>
      </c>
      <c r="H566" s="7">
        <f>IFERROR(E566*F566,0)</f>
        <v/>
      </c>
      <c r="I566" s="7">
        <f>IFERROR(F566-G566,0)</f>
        <v/>
      </c>
      <c r="J566" s="28" t="n"/>
      <c r="K566" s="28" t="n"/>
    </row>
    <row r="567">
      <c r="A567" s="111" t="n"/>
      <c r="B567" s="27">
        <f>IF(A567="","",DATE(YEAR(A567),MONTH(A567),1))</f>
        <v/>
      </c>
      <c r="C567" s="28" t="n"/>
      <c r="D567" s="28" t="n"/>
      <c r="E567" s="28" t="n"/>
      <c r="F567" s="18" t="n"/>
      <c r="G567" s="7">
        <f>IFERROR(VLOOKUP(D567,'Catálogo de Serviços'!$A$5:$F$100,6,FALSE),0)</f>
        <v/>
      </c>
      <c r="H567" s="7">
        <f>IFERROR(E567*F567,0)</f>
        <v/>
      </c>
      <c r="I567" s="7">
        <f>IFERROR(F567-G567,0)</f>
        <v/>
      </c>
      <c r="J567" s="28" t="n"/>
      <c r="K567" s="28" t="n"/>
    </row>
    <row r="568">
      <c r="A568" s="111" t="n"/>
      <c r="B568" s="27">
        <f>IF(A568="","",DATE(YEAR(A568),MONTH(A568),1))</f>
        <v/>
      </c>
      <c r="C568" s="28" t="n"/>
      <c r="D568" s="28" t="n"/>
      <c r="E568" s="28" t="n"/>
      <c r="F568" s="18" t="n"/>
      <c r="G568" s="7">
        <f>IFERROR(VLOOKUP(D568,'Catálogo de Serviços'!$A$5:$F$100,6,FALSE),0)</f>
        <v/>
      </c>
      <c r="H568" s="7">
        <f>IFERROR(E568*F568,0)</f>
        <v/>
      </c>
      <c r="I568" s="7">
        <f>IFERROR(F568-G568,0)</f>
        <v/>
      </c>
      <c r="J568" s="28" t="n"/>
      <c r="K568" s="28" t="n"/>
    </row>
    <row r="569">
      <c r="A569" s="111" t="n"/>
      <c r="B569" s="27">
        <f>IF(A569="","",DATE(YEAR(A569),MONTH(A569),1))</f>
        <v/>
      </c>
      <c r="C569" s="28" t="n"/>
      <c r="D569" s="28" t="n"/>
      <c r="E569" s="28" t="n"/>
      <c r="F569" s="18" t="n"/>
      <c r="G569" s="7">
        <f>IFERROR(VLOOKUP(D569,'Catálogo de Serviços'!$A$5:$F$100,6,FALSE),0)</f>
        <v/>
      </c>
      <c r="H569" s="7">
        <f>IFERROR(E569*F569,0)</f>
        <v/>
      </c>
      <c r="I569" s="7">
        <f>IFERROR(F569-G569,0)</f>
        <v/>
      </c>
      <c r="J569" s="28" t="n"/>
      <c r="K569" s="28" t="n"/>
    </row>
    <row r="570">
      <c r="A570" s="111" t="n"/>
      <c r="B570" s="27">
        <f>IF(A570="","",DATE(YEAR(A570),MONTH(A570),1))</f>
        <v/>
      </c>
      <c r="C570" s="28" t="n"/>
      <c r="D570" s="28" t="n"/>
      <c r="E570" s="28" t="n"/>
      <c r="F570" s="18" t="n"/>
      <c r="G570" s="7">
        <f>IFERROR(VLOOKUP(D570,'Catálogo de Serviços'!$A$5:$F$100,6,FALSE),0)</f>
        <v/>
      </c>
      <c r="H570" s="7">
        <f>IFERROR(E570*F570,0)</f>
        <v/>
      </c>
      <c r="I570" s="7">
        <f>IFERROR(F570-G570,0)</f>
        <v/>
      </c>
      <c r="J570" s="28" t="n"/>
      <c r="K570" s="28" t="n"/>
    </row>
    <row r="571">
      <c r="A571" s="111" t="n"/>
      <c r="B571" s="27">
        <f>IF(A571="","",DATE(YEAR(A571),MONTH(A571),1))</f>
        <v/>
      </c>
      <c r="C571" s="28" t="n"/>
      <c r="D571" s="28" t="n"/>
      <c r="E571" s="28" t="n"/>
      <c r="F571" s="18" t="n"/>
      <c r="G571" s="7">
        <f>IFERROR(VLOOKUP(D571,'Catálogo de Serviços'!$A$5:$F$100,6,FALSE),0)</f>
        <v/>
      </c>
      <c r="H571" s="7">
        <f>IFERROR(E571*F571,0)</f>
        <v/>
      </c>
      <c r="I571" s="7">
        <f>IFERROR(F571-G571,0)</f>
        <v/>
      </c>
      <c r="J571" s="28" t="n"/>
      <c r="K571" s="28" t="n"/>
    </row>
    <row r="572">
      <c r="A572" s="111" t="n"/>
      <c r="B572" s="27">
        <f>IF(A572="","",DATE(YEAR(A572),MONTH(A572),1))</f>
        <v/>
      </c>
      <c r="C572" s="28" t="n"/>
      <c r="D572" s="28" t="n"/>
      <c r="E572" s="28" t="n"/>
      <c r="F572" s="18" t="n"/>
      <c r="G572" s="7">
        <f>IFERROR(VLOOKUP(D572,'Catálogo de Serviços'!$A$5:$F$100,6,FALSE),0)</f>
        <v/>
      </c>
      <c r="H572" s="7">
        <f>IFERROR(E572*F572,0)</f>
        <v/>
      </c>
      <c r="I572" s="7">
        <f>IFERROR(F572-G572,0)</f>
        <v/>
      </c>
      <c r="J572" s="28" t="n"/>
      <c r="K572" s="28" t="n"/>
    </row>
    <row r="573">
      <c r="A573" s="111" t="n"/>
      <c r="B573" s="27">
        <f>IF(A573="","",DATE(YEAR(A573),MONTH(A573),1))</f>
        <v/>
      </c>
      <c r="C573" s="28" t="n"/>
      <c r="D573" s="28" t="n"/>
      <c r="E573" s="28" t="n"/>
      <c r="F573" s="18" t="n"/>
      <c r="G573" s="7">
        <f>IFERROR(VLOOKUP(D573,'Catálogo de Serviços'!$A$5:$F$100,6,FALSE),0)</f>
        <v/>
      </c>
      <c r="H573" s="7">
        <f>IFERROR(E573*F573,0)</f>
        <v/>
      </c>
      <c r="I573" s="7">
        <f>IFERROR(F573-G573,0)</f>
        <v/>
      </c>
      <c r="J573" s="28" t="n"/>
      <c r="K573" s="28" t="n"/>
    </row>
    <row r="574">
      <c r="A574" s="111" t="n"/>
      <c r="B574" s="27">
        <f>IF(A574="","",DATE(YEAR(A574),MONTH(A574),1))</f>
        <v/>
      </c>
      <c r="C574" s="28" t="n"/>
      <c r="D574" s="28" t="n"/>
      <c r="E574" s="28" t="n"/>
      <c r="F574" s="18" t="n"/>
      <c r="G574" s="7">
        <f>IFERROR(VLOOKUP(D574,'Catálogo de Serviços'!$A$5:$F$100,6,FALSE),0)</f>
        <v/>
      </c>
      <c r="H574" s="7">
        <f>IFERROR(E574*F574,0)</f>
        <v/>
      </c>
      <c r="I574" s="7">
        <f>IFERROR(F574-G574,0)</f>
        <v/>
      </c>
      <c r="J574" s="28" t="n"/>
      <c r="K574" s="28" t="n"/>
    </row>
    <row r="575">
      <c r="A575" s="111" t="n"/>
      <c r="B575" s="27">
        <f>IF(A575="","",DATE(YEAR(A575),MONTH(A575),1))</f>
        <v/>
      </c>
      <c r="C575" s="28" t="n"/>
      <c r="D575" s="28" t="n"/>
      <c r="E575" s="28" t="n"/>
      <c r="F575" s="18" t="n"/>
      <c r="G575" s="7">
        <f>IFERROR(VLOOKUP(D575,'Catálogo de Serviços'!$A$5:$F$100,6,FALSE),0)</f>
        <v/>
      </c>
      <c r="H575" s="7">
        <f>IFERROR(E575*F575,0)</f>
        <v/>
      </c>
      <c r="I575" s="7">
        <f>IFERROR(F575-G575,0)</f>
        <v/>
      </c>
      <c r="J575" s="28" t="n"/>
      <c r="K575" s="28" t="n"/>
    </row>
    <row r="576">
      <c r="A576" s="111" t="n"/>
      <c r="B576" s="27">
        <f>IF(A576="","",DATE(YEAR(A576),MONTH(A576),1))</f>
        <v/>
      </c>
      <c r="C576" s="28" t="n"/>
      <c r="D576" s="28" t="n"/>
      <c r="E576" s="28" t="n"/>
      <c r="F576" s="18" t="n"/>
      <c r="G576" s="7">
        <f>IFERROR(VLOOKUP(D576,'Catálogo de Serviços'!$A$5:$F$100,6,FALSE),0)</f>
        <v/>
      </c>
      <c r="H576" s="7">
        <f>IFERROR(E576*F576,0)</f>
        <v/>
      </c>
      <c r="I576" s="7">
        <f>IFERROR(F576-G576,0)</f>
        <v/>
      </c>
      <c r="J576" s="28" t="n"/>
      <c r="K576" s="28" t="n"/>
    </row>
    <row r="577">
      <c r="A577" s="111" t="n"/>
      <c r="B577" s="27">
        <f>IF(A577="","",DATE(YEAR(A577),MONTH(A577),1))</f>
        <v/>
      </c>
      <c r="C577" s="28" t="n"/>
      <c r="D577" s="28" t="n"/>
      <c r="E577" s="28" t="n"/>
      <c r="F577" s="18" t="n"/>
      <c r="G577" s="7">
        <f>IFERROR(VLOOKUP(D577,'Catálogo de Serviços'!$A$5:$F$100,6,FALSE),0)</f>
        <v/>
      </c>
      <c r="H577" s="7">
        <f>IFERROR(E577*F577,0)</f>
        <v/>
      </c>
      <c r="I577" s="7">
        <f>IFERROR(F577-G577,0)</f>
        <v/>
      </c>
      <c r="J577" s="28" t="n"/>
      <c r="K577" s="28" t="n"/>
    </row>
    <row r="578">
      <c r="A578" s="111" t="n"/>
      <c r="B578" s="27">
        <f>IF(A578="","",DATE(YEAR(A578),MONTH(A578),1))</f>
        <v/>
      </c>
      <c r="C578" s="28" t="n"/>
      <c r="D578" s="28" t="n"/>
      <c r="E578" s="28" t="n"/>
      <c r="F578" s="18" t="n"/>
      <c r="G578" s="7">
        <f>IFERROR(VLOOKUP(D578,'Catálogo de Serviços'!$A$5:$F$100,6,FALSE),0)</f>
        <v/>
      </c>
      <c r="H578" s="7">
        <f>IFERROR(E578*F578,0)</f>
        <v/>
      </c>
      <c r="I578" s="7">
        <f>IFERROR(F578-G578,0)</f>
        <v/>
      </c>
      <c r="J578" s="28" t="n"/>
      <c r="K578" s="28" t="n"/>
    </row>
    <row r="579">
      <c r="A579" s="111" t="n"/>
      <c r="B579" s="27">
        <f>IF(A579="","",DATE(YEAR(A579),MONTH(A579),1))</f>
        <v/>
      </c>
      <c r="C579" s="28" t="n"/>
      <c r="D579" s="28" t="n"/>
      <c r="E579" s="28" t="n"/>
      <c r="F579" s="18" t="n"/>
      <c r="G579" s="7">
        <f>IFERROR(VLOOKUP(D579,'Catálogo de Serviços'!$A$5:$F$100,6,FALSE),0)</f>
        <v/>
      </c>
      <c r="H579" s="7">
        <f>IFERROR(E579*F579,0)</f>
        <v/>
      </c>
      <c r="I579" s="7">
        <f>IFERROR(F579-G579,0)</f>
        <v/>
      </c>
      <c r="J579" s="28" t="n"/>
      <c r="K579" s="28" t="n"/>
    </row>
    <row r="580">
      <c r="A580" s="111" t="n"/>
      <c r="B580" s="27">
        <f>IF(A580="","",DATE(YEAR(A580),MONTH(A580),1))</f>
        <v/>
      </c>
      <c r="C580" s="28" t="n"/>
      <c r="D580" s="28" t="n"/>
      <c r="E580" s="28" t="n"/>
      <c r="F580" s="18" t="n"/>
      <c r="G580" s="7">
        <f>IFERROR(VLOOKUP(D580,'Catálogo de Serviços'!$A$5:$F$100,6,FALSE),0)</f>
        <v/>
      </c>
      <c r="H580" s="7">
        <f>IFERROR(E580*F580,0)</f>
        <v/>
      </c>
      <c r="I580" s="7">
        <f>IFERROR(F580-G580,0)</f>
        <v/>
      </c>
      <c r="J580" s="28" t="n"/>
      <c r="K580" s="28" t="n"/>
    </row>
    <row r="581">
      <c r="A581" s="111" t="n"/>
      <c r="B581" s="27">
        <f>IF(A581="","",DATE(YEAR(A581),MONTH(A581),1))</f>
        <v/>
      </c>
      <c r="C581" s="28" t="n"/>
      <c r="D581" s="28" t="n"/>
      <c r="E581" s="28" t="n"/>
      <c r="F581" s="18" t="n"/>
      <c r="G581" s="7">
        <f>IFERROR(VLOOKUP(D581,'Catálogo de Serviços'!$A$5:$F$100,6,FALSE),0)</f>
        <v/>
      </c>
      <c r="H581" s="7">
        <f>IFERROR(E581*F581,0)</f>
        <v/>
      </c>
      <c r="I581" s="7">
        <f>IFERROR(F581-G581,0)</f>
        <v/>
      </c>
      <c r="J581" s="28" t="n"/>
      <c r="K581" s="28" t="n"/>
    </row>
    <row r="582">
      <c r="A582" s="111" t="n"/>
      <c r="B582" s="27">
        <f>IF(A582="","",DATE(YEAR(A582),MONTH(A582),1))</f>
        <v/>
      </c>
      <c r="C582" s="28" t="n"/>
      <c r="D582" s="28" t="n"/>
      <c r="E582" s="28" t="n"/>
      <c r="F582" s="18" t="n"/>
      <c r="G582" s="7">
        <f>IFERROR(VLOOKUP(D582,'Catálogo de Serviços'!$A$5:$F$100,6,FALSE),0)</f>
        <v/>
      </c>
      <c r="H582" s="7">
        <f>IFERROR(E582*F582,0)</f>
        <v/>
      </c>
      <c r="I582" s="7">
        <f>IFERROR(F582-G582,0)</f>
        <v/>
      </c>
      <c r="J582" s="28" t="n"/>
      <c r="K582" s="28" t="n"/>
    </row>
    <row r="583">
      <c r="A583" s="111" t="n"/>
      <c r="B583" s="27">
        <f>IF(A583="","",DATE(YEAR(A583),MONTH(A583),1))</f>
        <v/>
      </c>
      <c r="C583" s="28" t="n"/>
      <c r="D583" s="28" t="n"/>
      <c r="E583" s="28" t="n"/>
      <c r="F583" s="18" t="n"/>
      <c r="G583" s="7">
        <f>IFERROR(VLOOKUP(D583,'Catálogo de Serviços'!$A$5:$F$100,6,FALSE),0)</f>
        <v/>
      </c>
      <c r="H583" s="7">
        <f>IFERROR(E583*F583,0)</f>
        <v/>
      </c>
      <c r="I583" s="7">
        <f>IFERROR(F583-G583,0)</f>
        <v/>
      </c>
      <c r="J583" s="28" t="n"/>
      <c r="K583" s="28" t="n"/>
    </row>
    <row r="584">
      <c r="A584" s="111" t="n"/>
      <c r="B584" s="27">
        <f>IF(A584="","",DATE(YEAR(A584),MONTH(A584),1))</f>
        <v/>
      </c>
      <c r="C584" s="28" t="n"/>
      <c r="D584" s="28" t="n"/>
      <c r="E584" s="28" t="n"/>
      <c r="F584" s="18" t="n"/>
      <c r="G584" s="7">
        <f>IFERROR(VLOOKUP(D584,'Catálogo de Serviços'!$A$5:$F$100,6,FALSE),0)</f>
        <v/>
      </c>
      <c r="H584" s="7">
        <f>IFERROR(E584*F584,0)</f>
        <v/>
      </c>
      <c r="I584" s="7">
        <f>IFERROR(F584-G584,0)</f>
        <v/>
      </c>
      <c r="J584" s="28" t="n"/>
      <c r="K584" s="28" t="n"/>
    </row>
    <row r="585">
      <c r="A585" s="111" t="n"/>
      <c r="B585" s="27">
        <f>IF(A585="","",DATE(YEAR(A585),MONTH(A585),1))</f>
        <v/>
      </c>
      <c r="C585" s="28" t="n"/>
      <c r="D585" s="28" t="n"/>
      <c r="E585" s="28" t="n"/>
      <c r="F585" s="18" t="n"/>
      <c r="G585" s="7">
        <f>IFERROR(VLOOKUP(D585,'Catálogo de Serviços'!$A$5:$F$100,6,FALSE),0)</f>
        <v/>
      </c>
      <c r="H585" s="7">
        <f>IFERROR(E585*F585,0)</f>
        <v/>
      </c>
      <c r="I585" s="7">
        <f>IFERROR(F585-G585,0)</f>
        <v/>
      </c>
      <c r="J585" s="28" t="n"/>
      <c r="K585" s="28" t="n"/>
    </row>
    <row r="586">
      <c r="A586" s="111" t="n"/>
      <c r="B586" s="27">
        <f>IF(A586="","",DATE(YEAR(A586),MONTH(A586),1))</f>
        <v/>
      </c>
      <c r="C586" s="28" t="n"/>
      <c r="D586" s="28" t="n"/>
      <c r="E586" s="28" t="n"/>
      <c r="F586" s="18" t="n"/>
      <c r="G586" s="7">
        <f>IFERROR(VLOOKUP(D586,'Catálogo de Serviços'!$A$5:$F$100,6,FALSE),0)</f>
        <v/>
      </c>
      <c r="H586" s="7">
        <f>IFERROR(E586*F586,0)</f>
        <v/>
      </c>
      <c r="I586" s="7">
        <f>IFERROR(F586-G586,0)</f>
        <v/>
      </c>
      <c r="J586" s="28" t="n"/>
      <c r="K586" s="28" t="n"/>
    </row>
    <row r="587">
      <c r="A587" s="111" t="n"/>
      <c r="B587" s="27">
        <f>IF(A587="","",DATE(YEAR(A587),MONTH(A587),1))</f>
        <v/>
      </c>
      <c r="C587" s="28" t="n"/>
      <c r="D587" s="28" t="n"/>
      <c r="E587" s="28" t="n"/>
      <c r="F587" s="18" t="n"/>
      <c r="G587" s="7">
        <f>IFERROR(VLOOKUP(D587,'Catálogo de Serviços'!$A$5:$F$100,6,FALSE),0)</f>
        <v/>
      </c>
      <c r="H587" s="7">
        <f>IFERROR(E587*F587,0)</f>
        <v/>
      </c>
      <c r="I587" s="7">
        <f>IFERROR(F587-G587,0)</f>
        <v/>
      </c>
      <c r="J587" s="28" t="n"/>
      <c r="K587" s="28" t="n"/>
    </row>
    <row r="588">
      <c r="A588" s="111" t="n"/>
      <c r="B588" s="27">
        <f>IF(A588="","",DATE(YEAR(A588),MONTH(A588),1))</f>
        <v/>
      </c>
      <c r="C588" s="28" t="n"/>
      <c r="D588" s="28" t="n"/>
      <c r="E588" s="28" t="n"/>
      <c r="F588" s="18" t="n"/>
      <c r="G588" s="7">
        <f>IFERROR(VLOOKUP(D588,'Catálogo de Serviços'!$A$5:$F$100,6,FALSE),0)</f>
        <v/>
      </c>
      <c r="H588" s="7">
        <f>IFERROR(E588*F588,0)</f>
        <v/>
      </c>
      <c r="I588" s="7">
        <f>IFERROR(F588-G588,0)</f>
        <v/>
      </c>
      <c r="J588" s="28" t="n"/>
      <c r="K588" s="28" t="n"/>
    </row>
    <row r="589">
      <c r="A589" s="111" t="n"/>
      <c r="B589" s="27">
        <f>IF(A589="","",DATE(YEAR(A589),MONTH(A589),1))</f>
        <v/>
      </c>
      <c r="C589" s="28" t="n"/>
      <c r="D589" s="28" t="n"/>
      <c r="E589" s="28" t="n"/>
      <c r="F589" s="18" t="n"/>
      <c r="G589" s="7">
        <f>IFERROR(VLOOKUP(D589,'Catálogo de Serviços'!$A$5:$F$100,6,FALSE),0)</f>
        <v/>
      </c>
      <c r="H589" s="7">
        <f>IFERROR(E589*F589,0)</f>
        <v/>
      </c>
      <c r="I589" s="7">
        <f>IFERROR(F589-G589,0)</f>
        <v/>
      </c>
      <c r="J589" s="28" t="n"/>
      <c r="K589" s="28" t="n"/>
    </row>
    <row r="590">
      <c r="A590" s="111" t="n"/>
      <c r="B590" s="27">
        <f>IF(A590="","",DATE(YEAR(A590),MONTH(A590),1))</f>
        <v/>
      </c>
      <c r="C590" s="28" t="n"/>
      <c r="D590" s="28" t="n"/>
      <c r="E590" s="28" t="n"/>
      <c r="F590" s="18" t="n"/>
      <c r="G590" s="7">
        <f>IFERROR(VLOOKUP(D590,'Catálogo de Serviços'!$A$5:$F$100,6,FALSE),0)</f>
        <v/>
      </c>
      <c r="H590" s="7">
        <f>IFERROR(E590*F590,0)</f>
        <v/>
      </c>
      <c r="I590" s="7">
        <f>IFERROR(F590-G590,0)</f>
        <v/>
      </c>
      <c r="J590" s="28" t="n"/>
      <c r="K590" s="28" t="n"/>
    </row>
    <row r="591">
      <c r="A591" s="111" t="n"/>
      <c r="B591" s="27">
        <f>IF(A591="","",DATE(YEAR(A591),MONTH(A591),1))</f>
        <v/>
      </c>
      <c r="C591" s="28" t="n"/>
      <c r="D591" s="28" t="n"/>
      <c r="E591" s="28" t="n"/>
      <c r="F591" s="18" t="n"/>
      <c r="G591" s="7">
        <f>IFERROR(VLOOKUP(D591,'Catálogo de Serviços'!$A$5:$F$100,6,FALSE),0)</f>
        <v/>
      </c>
      <c r="H591" s="7">
        <f>IFERROR(E591*F591,0)</f>
        <v/>
      </c>
      <c r="I591" s="7">
        <f>IFERROR(F591-G591,0)</f>
        <v/>
      </c>
      <c r="J591" s="28" t="n"/>
      <c r="K591" s="28" t="n"/>
    </row>
    <row r="592">
      <c r="A592" s="111" t="n"/>
      <c r="B592" s="27">
        <f>IF(A592="","",DATE(YEAR(A592),MONTH(A592),1))</f>
        <v/>
      </c>
      <c r="C592" s="28" t="n"/>
      <c r="D592" s="28" t="n"/>
      <c r="E592" s="28" t="n"/>
      <c r="F592" s="18" t="n"/>
      <c r="G592" s="7">
        <f>IFERROR(VLOOKUP(D592,'Catálogo de Serviços'!$A$5:$F$100,6,FALSE),0)</f>
        <v/>
      </c>
      <c r="H592" s="7">
        <f>IFERROR(E592*F592,0)</f>
        <v/>
      </c>
      <c r="I592" s="7">
        <f>IFERROR(F592-G592,0)</f>
        <v/>
      </c>
      <c r="J592" s="28" t="n"/>
      <c r="K592" s="28" t="n"/>
    </row>
    <row r="593">
      <c r="A593" s="111" t="n"/>
      <c r="B593" s="27">
        <f>IF(A593="","",DATE(YEAR(A593),MONTH(A593),1))</f>
        <v/>
      </c>
      <c r="C593" s="28" t="n"/>
      <c r="D593" s="28" t="n"/>
      <c r="E593" s="28" t="n"/>
      <c r="F593" s="18" t="n"/>
      <c r="G593" s="7">
        <f>IFERROR(VLOOKUP(D593,'Catálogo de Serviços'!$A$5:$F$100,6,FALSE),0)</f>
        <v/>
      </c>
      <c r="H593" s="7">
        <f>IFERROR(E593*F593,0)</f>
        <v/>
      </c>
      <c r="I593" s="7">
        <f>IFERROR(F593-G593,0)</f>
        <v/>
      </c>
      <c r="J593" s="28" t="n"/>
      <c r="K593" s="28" t="n"/>
    </row>
    <row r="594">
      <c r="A594" s="111" t="n"/>
      <c r="B594" s="27">
        <f>IF(A594="","",DATE(YEAR(A594),MONTH(A594),1))</f>
        <v/>
      </c>
      <c r="C594" s="28" t="n"/>
      <c r="D594" s="28" t="n"/>
      <c r="E594" s="28" t="n"/>
      <c r="F594" s="18" t="n"/>
      <c r="G594" s="7">
        <f>IFERROR(VLOOKUP(D594,'Catálogo de Serviços'!$A$5:$F$100,6,FALSE),0)</f>
        <v/>
      </c>
      <c r="H594" s="7">
        <f>IFERROR(E594*F594,0)</f>
        <v/>
      </c>
      <c r="I594" s="7">
        <f>IFERROR(F594-G594,0)</f>
        <v/>
      </c>
      <c r="J594" s="28" t="n"/>
      <c r="K594" s="28" t="n"/>
    </row>
    <row r="595">
      <c r="A595" s="111" t="n"/>
      <c r="B595" s="27">
        <f>IF(A595="","",DATE(YEAR(A595),MONTH(A595),1))</f>
        <v/>
      </c>
      <c r="C595" s="28" t="n"/>
      <c r="D595" s="28" t="n"/>
      <c r="E595" s="28" t="n"/>
      <c r="F595" s="18" t="n"/>
      <c r="G595" s="7">
        <f>IFERROR(VLOOKUP(D595,'Catálogo de Serviços'!$A$5:$F$100,6,FALSE),0)</f>
        <v/>
      </c>
      <c r="H595" s="7">
        <f>IFERROR(E595*F595,0)</f>
        <v/>
      </c>
      <c r="I595" s="7">
        <f>IFERROR(F595-G595,0)</f>
        <v/>
      </c>
      <c r="J595" s="28" t="n"/>
      <c r="K595" s="28" t="n"/>
    </row>
    <row r="596">
      <c r="A596" s="111" t="n"/>
      <c r="B596" s="27">
        <f>IF(A596="","",DATE(YEAR(A596),MONTH(A596),1))</f>
        <v/>
      </c>
      <c r="C596" s="28" t="n"/>
      <c r="D596" s="28" t="n"/>
      <c r="E596" s="28" t="n"/>
      <c r="F596" s="18" t="n"/>
      <c r="G596" s="7">
        <f>IFERROR(VLOOKUP(D596,'Catálogo de Serviços'!$A$5:$F$100,6,FALSE),0)</f>
        <v/>
      </c>
      <c r="H596" s="7">
        <f>IFERROR(E596*F596,0)</f>
        <v/>
      </c>
      <c r="I596" s="7">
        <f>IFERROR(F596-G596,0)</f>
        <v/>
      </c>
      <c r="J596" s="28" t="n"/>
      <c r="K596" s="28" t="n"/>
    </row>
    <row r="597">
      <c r="A597" s="111" t="n"/>
      <c r="B597" s="27">
        <f>IF(A597="","",DATE(YEAR(A597),MONTH(A597),1))</f>
        <v/>
      </c>
      <c r="C597" s="28" t="n"/>
      <c r="D597" s="28" t="n"/>
      <c r="E597" s="28" t="n"/>
      <c r="F597" s="18" t="n"/>
      <c r="G597" s="7">
        <f>IFERROR(VLOOKUP(D597,'Catálogo de Serviços'!$A$5:$F$100,6,FALSE),0)</f>
        <v/>
      </c>
      <c r="H597" s="7">
        <f>IFERROR(E597*F597,0)</f>
        <v/>
      </c>
      <c r="I597" s="7">
        <f>IFERROR(F597-G597,0)</f>
        <v/>
      </c>
      <c r="J597" s="28" t="n"/>
      <c r="K597" s="28" t="n"/>
    </row>
    <row r="598">
      <c r="A598" s="111" t="n"/>
      <c r="B598" s="27">
        <f>IF(A598="","",DATE(YEAR(A598),MONTH(A598),1))</f>
        <v/>
      </c>
      <c r="C598" s="28" t="n"/>
      <c r="D598" s="28" t="n"/>
      <c r="E598" s="28" t="n"/>
      <c r="F598" s="18" t="n"/>
      <c r="G598" s="7">
        <f>IFERROR(VLOOKUP(D598,'Catálogo de Serviços'!$A$5:$F$100,6,FALSE),0)</f>
        <v/>
      </c>
      <c r="H598" s="7">
        <f>IFERROR(E598*F598,0)</f>
        <v/>
      </c>
      <c r="I598" s="7">
        <f>IFERROR(F598-G598,0)</f>
        <v/>
      </c>
      <c r="J598" s="28" t="n"/>
      <c r="K598" s="28" t="n"/>
    </row>
    <row r="599">
      <c r="A599" s="111" t="n"/>
      <c r="B599" s="27">
        <f>IF(A599="","",DATE(YEAR(A599),MONTH(A599),1))</f>
        <v/>
      </c>
      <c r="C599" s="28" t="n"/>
      <c r="D599" s="28" t="n"/>
      <c r="E599" s="28" t="n"/>
      <c r="F599" s="18" t="n"/>
      <c r="G599" s="7">
        <f>IFERROR(VLOOKUP(D599,'Catálogo de Serviços'!$A$5:$F$100,6,FALSE),0)</f>
        <v/>
      </c>
      <c r="H599" s="7">
        <f>IFERROR(E599*F599,0)</f>
        <v/>
      </c>
      <c r="I599" s="7">
        <f>IFERROR(F599-G599,0)</f>
        <v/>
      </c>
      <c r="J599" s="28" t="n"/>
      <c r="K599" s="28" t="n"/>
    </row>
    <row r="600">
      <c r="A600" s="111" t="n"/>
      <c r="B600" s="27">
        <f>IF(A600="","",DATE(YEAR(A600),MONTH(A600),1))</f>
        <v/>
      </c>
      <c r="C600" s="28" t="n"/>
      <c r="D600" s="28" t="n"/>
      <c r="E600" s="28" t="n"/>
      <c r="F600" s="18" t="n"/>
      <c r="G600" s="7">
        <f>IFERROR(VLOOKUP(D600,'Catálogo de Serviços'!$A$5:$F$100,6,FALSE),0)</f>
        <v/>
      </c>
      <c r="H600" s="7">
        <f>IFERROR(E600*F600,0)</f>
        <v/>
      </c>
      <c r="I600" s="7">
        <f>IFERROR(F600-G600,0)</f>
        <v/>
      </c>
      <c r="J600" s="28" t="n"/>
      <c r="K600" s="28" t="n"/>
    </row>
    <row r="601">
      <c r="A601" s="111" t="n"/>
      <c r="B601" s="27">
        <f>IF(A601="","",DATE(YEAR(A601),MONTH(A601),1))</f>
        <v/>
      </c>
      <c r="C601" s="28" t="n"/>
      <c r="D601" s="28" t="n"/>
      <c r="E601" s="28" t="n"/>
      <c r="F601" s="18" t="n"/>
      <c r="G601" s="7">
        <f>IFERROR(VLOOKUP(D601,'Catálogo de Serviços'!$A$5:$F$100,6,FALSE),0)</f>
        <v/>
      </c>
      <c r="H601" s="7">
        <f>IFERROR(E601*F601,0)</f>
        <v/>
      </c>
      <c r="I601" s="7">
        <f>IFERROR(F601-G601,0)</f>
        <v/>
      </c>
      <c r="J601" s="28" t="n"/>
      <c r="K601" s="28" t="n"/>
    </row>
    <row r="602">
      <c r="A602" s="111" t="n"/>
      <c r="B602" s="27">
        <f>IF(A602="","",DATE(YEAR(A602),MONTH(A602),1))</f>
        <v/>
      </c>
      <c r="C602" s="28" t="n"/>
      <c r="D602" s="28" t="n"/>
      <c r="E602" s="28" t="n"/>
      <c r="F602" s="18" t="n"/>
      <c r="G602" s="7">
        <f>IFERROR(VLOOKUP(D602,'Catálogo de Serviços'!$A$5:$F$100,6,FALSE),0)</f>
        <v/>
      </c>
      <c r="H602" s="7">
        <f>IFERROR(E602*F602,0)</f>
        <v/>
      </c>
      <c r="I602" s="7">
        <f>IFERROR(F602-G602,0)</f>
        <v/>
      </c>
      <c r="J602" s="28" t="n"/>
      <c r="K602" s="28" t="n"/>
    </row>
    <row r="603">
      <c r="A603" s="111" t="n"/>
      <c r="B603" s="27">
        <f>IF(A603="","",DATE(YEAR(A603),MONTH(A603),1))</f>
        <v/>
      </c>
      <c r="C603" s="28" t="n"/>
      <c r="D603" s="28" t="n"/>
      <c r="E603" s="28" t="n"/>
      <c r="F603" s="18" t="n"/>
      <c r="G603" s="7">
        <f>IFERROR(VLOOKUP(D603,'Catálogo de Serviços'!$A$5:$F$100,6,FALSE),0)</f>
        <v/>
      </c>
      <c r="H603" s="7">
        <f>IFERROR(E603*F603,0)</f>
        <v/>
      </c>
      <c r="I603" s="7">
        <f>IFERROR(F603-G603,0)</f>
        <v/>
      </c>
      <c r="J603" s="28" t="n"/>
      <c r="K603" s="28" t="n"/>
    </row>
    <row r="604">
      <c r="A604" s="111" t="n"/>
      <c r="B604" s="27">
        <f>IF(A604="","",DATE(YEAR(A604),MONTH(A604),1))</f>
        <v/>
      </c>
      <c r="C604" s="28" t="n"/>
      <c r="D604" s="28" t="n"/>
      <c r="E604" s="28" t="n"/>
      <c r="F604" s="18" t="n"/>
      <c r="G604" s="7">
        <f>IFERROR(VLOOKUP(D604,'Catálogo de Serviços'!$A$5:$F$100,6,FALSE),0)</f>
        <v/>
      </c>
      <c r="H604" s="7">
        <f>IFERROR(E604*F604,0)</f>
        <v/>
      </c>
      <c r="I604" s="7">
        <f>IFERROR(F604-G604,0)</f>
        <v/>
      </c>
      <c r="J604" s="28" t="n"/>
      <c r="K604" s="28" t="n"/>
    </row>
    <row r="605">
      <c r="A605" s="111" t="n"/>
      <c r="B605" s="27">
        <f>IF(A605="","",DATE(YEAR(A605),MONTH(A605),1))</f>
        <v/>
      </c>
      <c r="C605" s="28" t="n"/>
      <c r="D605" s="28" t="n"/>
      <c r="E605" s="28" t="n"/>
      <c r="F605" s="18" t="n"/>
      <c r="G605" s="7">
        <f>IFERROR(VLOOKUP(D605,'Catálogo de Serviços'!$A$5:$F$100,6,FALSE),0)</f>
        <v/>
      </c>
      <c r="H605" s="7">
        <f>IFERROR(E605*F605,0)</f>
        <v/>
      </c>
      <c r="I605" s="7">
        <f>IFERROR(F605-G605,0)</f>
        <v/>
      </c>
      <c r="J605" s="28" t="n"/>
      <c r="K605" s="28" t="n"/>
    </row>
    <row r="606">
      <c r="A606" s="111" t="n"/>
      <c r="B606" s="27">
        <f>IF(A606="","",DATE(YEAR(A606),MONTH(A606),1))</f>
        <v/>
      </c>
      <c r="C606" s="28" t="n"/>
      <c r="D606" s="28" t="n"/>
      <c r="E606" s="28" t="n"/>
      <c r="F606" s="18" t="n"/>
      <c r="G606" s="7">
        <f>IFERROR(VLOOKUP(D606,'Catálogo de Serviços'!$A$5:$F$100,6,FALSE),0)</f>
        <v/>
      </c>
      <c r="H606" s="7">
        <f>IFERROR(E606*F606,0)</f>
        <v/>
      </c>
      <c r="I606" s="7">
        <f>IFERROR(F606-G606,0)</f>
        <v/>
      </c>
      <c r="J606" s="28" t="n"/>
      <c r="K606" s="28" t="n"/>
    </row>
    <row r="607">
      <c r="A607" s="111" t="n"/>
      <c r="B607" s="27">
        <f>IF(A607="","",DATE(YEAR(A607),MONTH(A607),1))</f>
        <v/>
      </c>
      <c r="C607" s="28" t="n"/>
      <c r="D607" s="28" t="n"/>
      <c r="E607" s="28" t="n"/>
      <c r="F607" s="18" t="n"/>
      <c r="G607" s="7">
        <f>IFERROR(VLOOKUP(D607,'Catálogo de Serviços'!$A$5:$F$100,6,FALSE),0)</f>
        <v/>
      </c>
      <c r="H607" s="7">
        <f>IFERROR(E607*F607,0)</f>
        <v/>
      </c>
      <c r="I607" s="7">
        <f>IFERROR(F607-G607,0)</f>
        <v/>
      </c>
      <c r="J607" s="28" t="n"/>
      <c r="K607" s="28" t="n"/>
    </row>
    <row r="608">
      <c r="A608" s="111" t="n"/>
      <c r="B608" s="27">
        <f>IF(A608="","",DATE(YEAR(A608),MONTH(A608),1))</f>
        <v/>
      </c>
      <c r="C608" s="28" t="n"/>
      <c r="D608" s="28" t="n"/>
      <c r="E608" s="28" t="n"/>
      <c r="F608" s="18" t="n"/>
      <c r="G608" s="7">
        <f>IFERROR(VLOOKUP(D608,'Catálogo de Serviços'!$A$5:$F$100,6,FALSE),0)</f>
        <v/>
      </c>
      <c r="H608" s="7">
        <f>IFERROR(E608*F608,0)</f>
        <v/>
      </c>
      <c r="I608" s="7">
        <f>IFERROR(F608-G608,0)</f>
        <v/>
      </c>
      <c r="J608" s="28" t="n"/>
      <c r="K608" s="28" t="n"/>
    </row>
    <row r="609">
      <c r="A609" s="111" t="n"/>
      <c r="B609" s="27">
        <f>IF(A609="","",DATE(YEAR(A609),MONTH(A609),1))</f>
        <v/>
      </c>
      <c r="C609" s="28" t="n"/>
      <c r="D609" s="28" t="n"/>
      <c r="E609" s="28" t="n"/>
      <c r="F609" s="18" t="n"/>
      <c r="G609" s="7">
        <f>IFERROR(VLOOKUP(D609,'Catálogo de Serviços'!$A$5:$F$100,6,FALSE),0)</f>
        <v/>
      </c>
      <c r="H609" s="7">
        <f>IFERROR(E609*F609,0)</f>
        <v/>
      </c>
      <c r="I609" s="7">
        <f>IFERROR(F609-G609,0)</f>
        <v/>
      </c>
      <c r="J609" s="28" t="n"/>
      <c r="K609" s="28" t="n"/>
    </row>
    <row r="610">
      <c r="A610" s="111" t="n"/>
      <c r="B610" s="27">
        <f>IF(A610="","",DATE(YEAR(A610),MONTH(A610),1))</f>
        <v/>
      </c>
      <c r="C610" s="28" t="n"/>
      <c r="D610" s="28" t="n"/>
      <c r="E610" s="28" t="n"/>
      <c r="F610" s="18" t="n"/>
      <c r="G610" s="7">
        <f>IFERROR(VLOOKUP(D610,'Catálogo de Serviços'!$A$5:$F$100,6,FALSE),0)</f>
        <v/>
      </c>
      <c r="H610" s="7">
        <f>IFERROR(E610*F610,0)</f>
        <v/>
      </c>
      <c r="I610" s="7">
        <f>IFERROR(F610-G610,0)</f>
        <v/>
      </c>
      <c r="J610" s="28" t="n"/>
      <c r="K610" s="28" t="n"/>
    </row>
    <row r="611">
      <c r="A611" s="111" t="n"/>
      <c r="B611" s="27">
        <f>IF(A611="","",DATE(YEAR(A611),MONTH(A611),1))</f>
        <v/>
      </c>
      <c r="C611" s="28" t="n"/>
      <c r="D611" s="28" t="n"/>
      <c r="E611" s="28" t="n"/>
      <c r="F611" s="18" t="n"/>
      <c r="G611" s="7">
        <f>IFERROR(VLOOKUP(D611,'Catálogo de Serviços'!$A$5:$F$100,6,FALSE),0)</f>
        <v/>
      </c>
      <c r="H611" s="7">
        <f>IFERROR(E611*F611,0)</f>
        <v/>
      </c>
      <c r="I611" s="7">
        <f>IFERROR(F611-G611,0)</f>
        <v/>
      </c>
      <c r="J611" s="28" t="n"/>
      <c r="K611" s="28" t="n"/>
    </row>
    <row r="612">
      <c r="A612" s="111" t="n"/>
      <c r="B612" s="27">
        <f>IF(A612="","",DATE(YEAR(A612),MONTH(A612),1))</f>
        <v/>
      </c>
      <c r="C612" s="28" t="n"/>
      <c r="D612" s="28" t="n"/>
      <c r="E612" s="28" t="n"/>
      <c r="F612" s="18" t="n"/>
      <c r="G612" s="7">
        <f>IFERROR(VLOOKUP(D612,'Catálogo de Serviços'!$A$5:$F$100,6,FALSE),0)</f>
        <v/>
      </c>
      <c r="H612" s="7">
        <f>IFERROR(E612*F612,0)</f>
        <v/>
      </c>
      <c r="I612" s="7">
        <f>IFERROR(F612-G612,0)</f>
        <v/>
      </c>
      <c r="J612" s="28" t="n"/>
      <c r="K612" s="28" t="n"/>
    </row>
    <row r="613">
      <c r="A613" s="111" t="n"/>
      <c r="B613" s="27">
        <f>IF(A613="","",DATE(YEAR(A613),MONTH(A613),1))</f>
        <v/>
      </c>
      <c r="C613" s="28" t="n"/>
      <c r="D613" s="28" t="n"/>
      <c r="E613" s="28" t="n"/>
      <c r="F613" s="18" t="n"/>
      <c r="G613" s="7">
        <f>IFERROR(VLOOKUP(D613,'Catálogo de Serviços'!$A$5:$F$100,6,FALSE),0)</f>
        <v/>
      </c>
      <c r="H613" s="7">
        <f>IFERROR(E613*F613,0)</f>
        <v/>
      </c>
      <c r="I613" s="7">
        <f>IFERROR(F613-G613,0)</f>
        <v/>
      </c>
      <c r="J613" s="28" t="n"/>
      <c r="K613" s="28" t="n"/>
    </row>
    <row r="614">
      <c r="A614" s="111" t="n"/>
      <c r="B614" s="27">
        <f>IF(A614="","",DATE(YEAR(A614),MONTH(A614),1))</f>
        <v/>
      </c>
      <c r="C614" s="28" t="n"/>
      <c r="D614" s="28" t="n"/>
      <c r="E614" s="28" t="n"/>
      <c r="F614" s="18" t="n"/>
      <c r="G614" s="7">
        <f>IFERROR(VLOOKUP(D614,'Catálogo de Serviços'!$A$5:$F$100,6,FALSE),0)</f>
        <v/>
      </c>
      <c r="H614" s="7">
        <f>IFERROR(E614*F614,0)</f>
        <v/>
      </c>
      <c r="I614" s="7">
        <f>IFERROR(F614-G614,0)</f>
        <v/>
      </c>
      <c r="J614" s="28" t="n"/>
      <c r="K614" s="28" t="n"/>
    </row>
    <row r="615">
      <c r="A615" s="111" t="n"/>
      <c r="B615" s="27">
        <f>IF(A615="","",DATE(YEAR(A615),MONTH(A615),1))</f>
        <v/>
      </c>
      <c r="C615" s="28" t="n"/>
      <c r="D615" s="28" t="n"/>
      <c r="E615" s="28" t="n"/>
      <c r="F615" s="18" t="n"/>
      <c r="G615" s="7">
        <f>IFERROR(VLOOKUP(D615,'Catálogo de Serviços'!$A$5:$F$100,6,FALSE),0)</f>
        <v/>
      </c>
      <c r="H615" s="7">
        <f>IFERROR(E615*F615,0)</f>
        <v/>
      </c>
      <c r="I615" s="7">
        <f>IFERROR(F615-G615,0)</f>
        <v/>
      </c>
      <c r="J615" s="28" t="n"/>
      <c r="K615" s="28" t="n"/>
    </row>
    <row r="616">
      <c r="A616" s="111" t="n"/>
      <c r="B616" s="27">
        <f>IF(A616="","",DATE(YEAR(A616),MONTH(A616),1))</f>
        <v/>
      </c>
      <c r="C616" s="28" t="n"/>
      <c r="D616" s="28" t="n"/>
      <c r="E616" s="28" t="n"/>
      <c r="F616" s="18" t="n"/>
      <c r="G616" s="7">
        <f>IFERROR(VLOOKUP(D616,'Catálogo de Serviços'!$A$5:$F$100,6,FALSE),0)</f>
        <v/>
      </c>
      <c r="H616" s="7">
        <f>IFERROR(E616*F616,0)</f>
        <v/>
      </c>
      <c r="I616" s="7">
        <f>IFERROR(F616-G616,0)</f>
        <v/>
      </c>
      <c r="J616" s="28" t="n"/>
      <c r="K616" s="28" t="n"/>
    </row>
    <row r="617">
      <c r="A617" s="111" t="n"/>
      <c r="B617" s="27">
        <f>IF(A617="","",DATE(YEAR(A617),MONTH(A617),1))</f>
        <v/>
      </c>
      <c r="C617" s="28" t="n"/>
      <c r="D617" s="28" t="n"/>
      <c r="E617" s="28" t="n"/>
      <c r="F617" s="18" t="n"/>
      <c r="G617" s="7">
        <f>IFERROR(VLOOKUP(D617,'Catálogo de Serviços'!$A$5:$F$100,6,FALSE),0)</f>
        <v/>
      </c>
      <c r="H617" s="7">
        <f>IFERROR(E617*F617,0)</f>
        <v/>
      </c>
      <c r="I617" s="7">
        <f>IFERROR(F617-G617,0)</f>
        <v/>
      </c>
      <c r="J617" s="28" t="n"/>
      <c r="K617" s="28" t="n"/>
    </row>
    <row r="618">
      <c r="A618" s="111" t="n"/>
      <c r="B618" s="27">
        <f>IF(A618="","",DATE(YEAR(A618),MONTH(A618),1))</f>
        <v/>
      </c>
      <c r="C618" s="28" t="n"/>
      <c r="D618" s="28" t="n"/>
      <c r="E618" s="28" t="n"/>
      <c r="F618" s="18" t="n"/>
      <c r="G618" s="7">
        <f>IFERROR(VLOOKUP(D618,'Catálogo de Serviços'!$A$5:$F$100,6,FALSE),0)</f>
        <v/>
      </c>
      <c r="H618" s="7">
        <f>IFERROR(E618*F618,0)</f>
        <v/>
      </c>
      <c r="I618" s="7">
        <f>IFERROR(F618-G618,0)</f>
        <v/>
      </c>
      <c r="J618" s="28" t="n"/>
      <c r="K618" s="28" t="n"/>
    </row>
    <row r="619">
      <c r="A619" s="111" t="n"/>
      <c r="B619" s="27">
        <f>IF(A619="","",DATE(YEAR(A619),MONTH(A619),1))</f>
        <v/>
      </c>
      <c r="C619" s="28" t="n"/>
      <c r="D619" s="28" t="n"/>
      <c r="E619" s="28" t="n"/>
      <c r="F619" s="18" t="n"/>
      <c r="G619" s="7">
        <f>IFERROR(VLOOKUP(D619,'Catálogo de Serviços'!$A$5:$F$100,6,FALSE),0)</f>
        <v/>
      </c>
      <c r="H619" s="7">
        <f>IFERROR(E619*F619,0)</f>
        <v/>
      </c>
      <c r="I619" s="7">
        <f>IFERROR(F619-G619,0)</f>
        <v/>
      </c>
      <c r="J619" s="28" t="n"/>
      <c r="K619" s="28" t="n"/>
    </row>
    <row r="620">
      <c r="A620" s="111" t="n"/>
      <c r="B620" s="27">
        <f>IF(A620="","",DATE(YEAR(A620),MONTH(A620),1))</f>
        <v/>
      </c>
      <c r="C620" s="28" t="n"/>
      <c r="D620" s="28" t="n"/>
      <c r="E620" s="28" t="n"/>
      <c r="F620" s="18" t="n"/>
      <c r="G620" s="7">
        <f>IFERROR(VLOOKUP(D620,'Catálogo de Serviços'!$A$5:$F$100,6,FALSE),0)</f>
        <v/>
      </c>
      <c r="H620" s="7">
        <f>IFERROR(E620*F620,0)</f>
        <v/>
      </c>
      <c r="I620" s="7">
        <f>IFERROR(F620-G620,0)</f>
        <v/>
      </c>
      <c r="J620" s="28" t="n"/>
      <c r="K620" s="28" t="n"/>
    </row>
    <row r="621">
      <c r="A621" s="111" t="n"/>
      <c r="B621" s="27">
        <f>IF(A621="","",DATE(YEAR(A621),MONTH(A621),1))</f>
        <v/>
      </c>
      <c r="C621" s="28" t="n"/>
      <c r="D621" s="28" t="n"/>
      <c r="E621" s="28" t="n"/>
      <c r="F621" s="18" t="n"/>
      <c r="G621" s="7">
        <f>IFERROR(VLOOKUP(D621,'Catálogo de Serviços'!$A$5:$F$100,6,FALSE),0)</f>
        <v/>
      </c>
      <c r="H621" s="7">
        <f>IFERROR(E621*F621,0)</f>
        <v/>
      </c>
      <c r="I621" s="7">
        <f>IFERROR(F621-G621,0)</f>
        <v/>
      </c>
      <c r="J621" s="28" t="n"/>
      <c r="K621" s="28" t="n"/>
    </row>
    <row r="622">
      <c r="A622" s="111" t="n"/>
      <c r="B622" s="27">
        <f>IF(A622="","",DATE(YEAR(A622),MONTH(A622),1))</f>
        <v/>
      </c>
      <c r="C622" s="28" t="n"/>
      <c r="D622" s="28" t="n"/>
      <c r="E622" s="28" t="n"/>
      <c r="F622" s="18" t="n"/>
      <c r="G622" s="7">
        <f>IFERROR(VLOOKUP(D622,'Catálogo de Serviços'!$A$5:$F$100,6,FALSE),0)</f>
        <v/>
      </c>
      <c r="H622" s="7">
        <f>IFERROR(E622*F622,0)</f>
        <v/>
      </c>
      <c r="I622" s="7">
        <f>IFERROR(F622-G622,0)</f>
        <v/>
      </c>
      <c r="J622" s="28" t="n"/>
      <c r="K622" s="28" t="n"/>
    </row>
    <row r="623">
      <c r="A623" s="111" t="n"/>
      <c r="B623" s="27">
        <f>IF(A623="","",DATE(YEAR(A623),MONTH(A623),1))</f>
        <v/>
      </c>
      <c r="C623" s="28" t="n"/>
      <c r="D623" s="28" t="n"/>
      <c r="E623" s="28" t="n"/>
      <c r="F623" s="18" t="n"/>
      <c r="G623" s="7">
        <f>IFERROR(VLOOKUP(D623,'Catálogo de Serviços'!$A$5:$F$100,6,FALSE),0)</f>
        <v/>
      </c>
      <c r="H623" s="7">
        <f>IFERROR(E623*F623,0)</f>
        <v/>
      </c>
      <c r="I623" s="7">
        <f>IFERROR(F623-G623,0)</f>
        <v/>
      </c>
      <c r="J623" s="28" t="n"/>
      <c r="K623" s="28" t="n"/>
    </row>
    <row r="624">
      <c r="A624" s="111" t="n"/>
      <c r="B624" s="27">
        <f>IF(A624="","",DATE(YEAR(A624),MONTH(A624),1))</f>
        <v/>
      </c>
      <c r="C624" s="28" t="n"/>
      <c r="D624" s="28" t="n"/>
      <c r="E624" s="28" t="n"/>
      <c r="F624" s="18" t="n"/>
      <c r="G624" s="7">
        <f>IFERROR(VLOOKUP(D624,'Catálogo de Serviços'!$A$5:$F$100,6,FALSE),0)</f>
        <v/>
      </c>
      <c r="H624" s="7">
        <f>IFERROR(E624*F624,0)</f>
        <v/>
      </c>
      <c r="I624" s="7">
        <f>IFERROR(F624-G624,0)</f>
        <v/>
      </c>
      <c r="J624" s="28" t="n"/>
      <c r="K624" s="28" t="n"/>
    </row>
    <row r="625">
      <c r="A625" s="111" t="n"/>
      <c r="B625" s="27">
        <f>IF(A625="","",DATE(YEAR(A625),MONTH(A625),1))</f>
        <v/>
      </c>
      <c r="C625" s="28" t="n"/>
      <c r="D625" s="28" t="n"/>
      <c r="E625" s="28" t="n"/>
      <c r="F625" s="18" t="n"/>
      <c r="G625" s="7">
        <f>IFERROR(VLOOKUP(D625,'Catálogo de Serviços'!$A$5:$F$100,6,FALSE),0)</f>
        <v/>
      </c>
      <c r="H625" s="7">
        <f>IFERROR(E625*F625,0)</f>
        <v/>
      </c>
      <c r="I625" s="7">
        <f>IFERROR(F625-G625,0)</f>
        <v/>
      </c>
      <c r="J625" s="28" t="n"/>
      <c r="K625" s="28" t="n"/>
    </row>
    <row r="626">
      <c r="A626" s="111" t="n"/>
      <c r="B626" s="27">
        <f>IF(A626="","",DATE(YEAR(A626),MONTH(A626),1))</f>
        <v/>
      </c>
      <c r="C626" s="28" t="n"/>
      <c r="D626" s="28" t="n"/>
      <c r="E626" s="28" t="n"/>
      <c r="F626" s="18" t="n"/>
      <c r="G626" s="7">
        <f>IFERROR(VLOOKUP(D626,'Catálogo de Serviços'!$A$5:$F$100,6,FALSE),0)</f>
        <v/>
      </c>
      <c r="H626" s="7">
        <f>IFERROR(E626*F626,0)</f>
        <v/>
      </c>
      <c r="I626" s="7">
        <f>IFERROR(F626-G626,0)</f>
        <v/>
      </c>
      <c r="J626" s="28" t="n"/>
      <c r="K626" s="28" t="n"/>
    </row>
    <row r="627">
      <c r="A627" s="111" t="n"/>
      <c r="B627" s="27">
        <f>IF(A627="","",DATE(YEAR(A627),MONTH(A627),1))</f>
        <v/>
      </c>
      <c r="C627" s="28" t="n"/>
      <c r="D627" s="28" t="n"/>
      <c r="E627" s="28" t="n"/>
      <c r="F627" s="18" t="n"/>
      <c r="G627" s="7">
        <f>IFERROR(VLOOKUP(D627,'Catálogo de Serviços'!$A$5:$F$100,6,FALSE),0)</f>
        <v/>
      </c>
      <c r="H627" s="7">
        <f>IFERROR(E627*F627,0)</f>
        <v/>
      </c>
      <c r="I627" s="7">
        <f>IFERROR(F627-G627,0)</f>
        <v/>
      </c>
      <c r="J627" s="28" t="n"/>
      <c r="K627" s="28" t="n"/>
    </row>
    <row r="628">
      <c r="A628" s="111" t="n"/>
      <c r="B628" s="27">
        <f>IF(A628="","",DATE(YEAR(A628),MONTH(A628),1))</f>
        <v/>
      </c>
      <c r="C628" s="28" t="n"/>
      <c r="D628" s="28" t="n"/>
      <c r="E628" s="28" t="n"/>
      <c r="F628" s="18" t="n"/>
      <c r="G628" s="7">
        <f>IFERROR(VLOOKUP(D628,'Catálogo de Serviços'!$A$5:$F$100,6,FALSE),0)</f>
        <v/>
      </c>
      <c r="H628" s="7">
        <f>IFERROR(E628*F628,0)</f>
        <v/>
      </c>
      <c r="I628" s="7">
        <f>IFERROR(F628-G628,0)</f>
        <v/>
      </c>
      <c r="J628" s="28" t="n"/>
      <c r="K628" s="28" t="n"/>
    </row>
    <row r="629">
      <c r="A629" s="111" t="n"/>
      <c r="B629" s="27">
        <f>IF(A629="","",DATE(YEAR(A629),MONTH(A629),1))</f>
        <v/>
      </c>
      <c r="C629" s="28" t="n"/>
      <c r="D629" s="28" t="n"/>
      <c r="E629" s="28" t="n"/>
      <c r="F629" s="18" t="n"/>
      <c r="G629" s="7">
        <f>IFERROR(VLOOKUP(D629,'Catálogo de Serviços'!$A$5:$F$100,6,FALSE),0)</f>
        <v/>
      </c>
      <c r="H629" s="7">
        <f>IFERROR(E629*F629,0)</f>
        <v/>
      </c>
      <c r="I629" s="7">
        <f>IFERROR(F629-G629,0)</f>
        <v/>
      </c>
      <c r="J629" s="28" t="n"/>
      <c r="K629" s="28" t="n"/>
    </row>
    <row r="630">
      <c r="A630" s="111" t="n"/>
      <c r="B630" s="27">
        <f>IF(A630="","",DATE(YEAR(A630),MONTH(A630),1))</f>
        <v/>
      </c>
      <c r="C630" s="28" t="n"/>
      <c r="D630" s="28" t="n"/>
      <c r="E630" s="28" t="n"/>
      <c r="F630" s="18" t="n"/>
      <c r="G630" s="7">
        <f>IFERROR(VLOOKUP(D630,'Catálogo de Serviços'!$A$5:$F$100,6,FALSE),0)</f>
        <v/>
      </c>
      <c r="H630" s="7">
        <f>IFERROR(E630*F630,0)</f>
        <v/>
      </c>
      <c r="I630" s="7">
        <f>IFERROR(F630-G630,0)</f>
        <v/>
      </c>
      <c r="J630" s="28" t="n"/>
      <c r="K630" s="28" t="n"/>
    </row>
    <row r="631">
      <c r="A631" s="111" t="n"/>
      <c r="B631" s="27">
        <f>IF(A631="","",DATE(YEAR(A631),MONTH(A631),1))</f>
        <v/>
      </c>
      <c r="C631" s="28" t="n"/>
      <c r="D631" s="28" t="n"/>
      <c r="E631" s="28" t="n"/>
      <c r="F631" s="18" t="n"/>
      <c r="G631" s="7">
        <f>IFERROR(VLOOKUP(D631,'Catálogo de Serviços'!$A$5:$F$100,6,FALSE),0)</f>
        <v/>
      </c>
      <c r="H631" s="7">
        <f>IFERROR(E631*F631,0)</f>
        <v/>
      </c>
      <c r="I631" s="7">
        <f>IFERROR(F631-G631,0)</f>
        <v/>
      </c>
      <c r="J631" s="28" t="n"/>
      <c r="K631" s="28" t="n"/>
    </row>
    <row r="632">
      <c r="A632" s="111" t="n"/>
      <c r="B632" s="27">
        <f>IF(A632="","",DATE(YEAR(A632),MONTH(A632),1))</f>
        <v/>
      </c>
      <c r="C632" s="28" t="n"/>
      <c r="D632" s="28" t="n"/>
      <c r="E632" s="28" t="n"/>
      <c r="F632" s="18" t="n"/>
      <c r="G632" s="7">
        <f>IFERROR(VLOOKUP(D632,'Catálogo de Serviços'!$A$5:$F$100,6,FALSE),0)</f>
        <v/>
      </c>
      <c r="H632" s="7">
        <f>IFERROR(E632*F632,0)</f>
        <v/>
      </c>
      <c r="I632" s="7">
        <f>IFERROR(F632-G632,0)</f>
        <v/>
      </c>
      <c r="J632" s="28" t="n"/>
      <c r="K632" s="28" t="n"/>
    </row>
    <row r="633">
      <c r="A633" s="111" t="n"/>
      <c r="B633" s="27">
        <f>IF(A633="","",DATE(YEAR(A633),MONTH(A633),1))</f>
        <v/>
      </c>
      <c r="C633" s="28" t="n"/>
      <c r="D633" s="28" t="n"/>
      <c r="E633" s="28" t="n"/>
      <c r="F633" s="18" t="n"/>
      <c r="G633" s="7">
        <f>IFERROR(VLOOKUP(D633,'Catálogo de Serviços'!$A$5:$F$100,6,FALSE),0)</f>
        <v/>
      </c>
      <c r="H633" s="7">
        <f>IFERROR(E633*F633,0)</f>
        <v/>
      </c>
      <c r="I633" s="7">
        <f>IFERROR(F633-G633,0)</f>
        <v/>
      </c>
      <c r="J633" s="28" t="n"/>
      <c r="K633" s="28" t="n"/>
    </row>
    <row r="634">
      <c r="A634" s="111" t="n"/>
      <c r="B634" s="27">
        <f>IF(A634="","",DATE(YEAR(A634),MONTH(A634),1))</f>
        <v/>
      </c>
      <c r="C634" s="28" t="n"/>
      <c r="D634" s="28" t="n"/>
      <c r="E634" s="28" t="n"/>
      <c r="F634" s="18" t="n"/>
      <c r="G634" s="7">
        <f>IFERROR(VLOOKUP(D634,'Catálogo de Serviços'!$A$5:$F$100,6,FALSE),0)</f>
        <v/>
      </c>
      <c r="H634" s="7">
        <f>IFERROR(E634*F634,0)</f>
        <v/>
      </c>
      <c r="I634" s="7">
        <f>IFERROR(F634-G634,0)</f>
        <v/>
      </c>
      <c r="J634" s="28" t="n"/>
      <c r="K634" s="28" t="n"/>
    </row>
    <row r="635">
      <c r="A635" s="111" t="n"/>
      <c r="B635" s="27">
        <f>IF(A635="","",DATE(YEAR(A635),MONTH(A635),1))</f>
        <v/>
      </c>
      <c r="C635" s="28" t="n"/>
      <c r="D635" s="28" t="n"/>
      <c r="E635" s="28" t="n"/>
      <c r="F635" s="18" t="n"/>
      <c r="G635" s="7">
        <f>IFERROR(VLOOKUP(D635,'Catálogo de Serviços'!$A$5:$F$100,6,FALSE),0)</f>
        <v/>
      </c>
      <c r="H635" s="7">
        <f>IFERROR(E635*F635,0)</f>
        <v/>
      </c>
      <c r="I635" s="7">
        <f>IFERROR(F635-G635,0)</f>
        <v/>
      </c>
      <c r="J635" s="28" t="n"/>
      <c r="K635" s="28" t="n"/>
    </row>
    <row r="636">
      <c r="A636" s="111" t="n"/>
      <c r="B636" s="27">
        <f>IF(A636="","",DATE(YEAR(A636),MONTH(A636),1))</f>
        <v/>
      </c>
      <c r="C636" s="28" t="n"/>
      <c r="D636" s="28" t="n"/>
      <c r="E636" s="28" t="n"/>
      <c r="F636" s="18" t="n"/>
      <c r="G636" s="7">
        <f>IFERROR(VLOOKUP(D636,'Catálogo de Serviços'!$A$5:$F$100,6,FALSE),0)</f>
        <v/>
      </c>
      <c r="H636" s="7">
        <f>IFERROR(E636*F636,0)</f>
        <v/>
      </c>
      <c r="I636" s="7">
        <f>IFERROR(F636-G636,0)</f>
        <v/>
      </c>
      <c r="J636" s="28" t="n"/>
      <c r="K636" s="28" t="n"/>
    </row>
    <row r="637">
      <c r="A637" s="111" t="n"/>
      <c r="B637" s="27">
        <f>IF(A637="","",DATE(YEAR(A637),MONTH(A637),1))</f>
        <v/>
      </c>
      <c r="C637" s="28" t="n"/>
      <c r="D637" s="28" t="n"/>
      <c r="E637" s="28" t="n"/>
      <c r="F637" s="18" t="n"/>
      <c r="G637" s="7">
        <f>IFERROR(VLOOKUP(D637,'Catálogo de Serviços'!$A$5:$F$100,6,FALSE),0)</f>
        <v/>
      </c>
      <c r="H637" s="7">
        <f>IFERROR(E637*F637,0)</f>
        <v/>
      </c>
      <c r="I637" s="7">
        <f>IFERROR(F637-G637,0)</f>
        <v/>
      </c>
      <c r="J637" s="28" t="n"/>
      <c r="K637" s="28" t="n"/>
    </row>
    <row r="638">
      <c r="A638" s="111" t="n"/>
      <c r="B638" s="27">
        <f>IF(A638="","",DATE(YEAR(A638),MONTH(A638),1))</f>
        <v/>
      </c>
      <c r="C638" s="28" t="n"/>
      <c r="D638" s="28" t="n"/>
      <c r="E638" s="28" t="n"/>
      <c r="F638" s="18" t="n"/>
      <c r="G638" s="7">
        <f>IFERROR(VLOOKUP(D638,'Catálogo de Serviços'!$A$5:$F$100,6,FALSE),0)</f>
        <v/>
      </c>
      <c r="H638" s="7">
        <f>IFERROR(E638*F638,0)</f>
        <v/>
      </c>
      <c r="I638" s="7">
        <f>IFERROR(F638-G638,0)</f>
        <v/>
      </c>
      <c r="J638" s="28" t="n"/>
      <c r="K638" s="28" t="n"/>
    </row>
    <row r="639">
      <c r="A639" s="111" t="n"/>
      <c r="B639" s="27">
        <f>IF(A639="","",DATE(YEAR(A639),MONTH(A639),1))</f>
        <v/>
      </c>
      <c r="C639" s="28" t="n"/>
      <c r="D639" s="28" t="n"/>
      <c r="E639" s="28" t="n"/>
      <c r="F639" s="18" t="n"/>
      <c r="G639" s="7">
        <f>IFERROR(VLOOKUP(D639,'Catálogo de Serviços'!$A$5:$F$100,6,FALSE),0)</f>
        <v/>
      </c>
      <c r="H639" s="7">
        <f>IFERROR(E639*F639,0)</f>
        <v/>
      </c>
      <c r="I639" s="7">
        <f>IFERROR(F639-G639,0)</f>
        <v/>
      </c>
      <c r="J639" s="28" t="n"/>
      <c r="K639" s="28" t="n"/>
    </row>
    <row r="640">
      <c r="A640" s="111" t="n"/>
      <c r="B640" s="27">
        <f>IF(A640="","",DATE(YEAR(A640),MONTH(A640),1))</f>
        <v/>
      </c>
      <c r="C640" s="28" t="n"/>
      <c r="D640" s="28" t="n"/>
      <c r="E640" s="28" t="n"/>
      <c r="F640" s="18" t="n"/>
      <c r="G640" s="7">
        <f>IFERROR(VLOOKUP(D640,'Catálogo de Serviços'!$A$5:$F$100,6,FALSE),0)</f>
        <v/>
      </c>
      <c r="H640" s="7">
        <f>IFERROR(E640*F640,0)</f>
        <v/>
      </c>
      <c r="I640" s="7">
        <f>IFERROR(F640-G640,0)</f>
        <v/>
      </c>
      <c r="J640" s="28" t="n"/>
      <c r="K640" s="28" t="n"/>
    </row>
    <row r="641">
      <c r="A641" s="111" t="n"/>
      <c r="B641" s="27">
        <f>IF(A641="","",DATE(YEAR(A641),MONTH(A641),1))</f>
        <v/>
      </c>
      <c r="C641" s="28" t="n"/>
      <c r="D641" s="28" t="n"/>
      <c r="E641" s="28" t="n"/>
      <c r="F641" s="18" t="n"/>
      <c r="G641" s="7">
        <f>IFERROR(VLOOKUP(D641,'Catálogo de Serviços'!$A$5:$F$100,6,FALSE),0)</f>
        <v/>
      </c>
      <c r="H641" s="7">
        <f>IFERROR(E641*F641,0)</f>
        <v/>
      </c>
      <c r="I641" s="7">
        <f>IFERROR(F641-G641,0)</f>
        <v/>
      </c>
      <c r="J641" s="28" t="n"/>
      <c r="K641" s="28" t="n"/>
    </row>
    <row r="642">
      <c r="A642" s="111" t="n"/>
      <c r="B642" s="27">
        <f>IF(A642="","",DATE(YEAR(A642),MONTH(A642),1))</f>
        <v/>
      </c>
      <c r="C642" s="28" t="n"/>
      <c r="D642" s="28" t="n"/>
      <c r="E642" s="28" t="n"/>
      <c r="F642" s="18" t="n"/>
      <c r="G642" s="7">
        <f>IFERROR(VLOOKUP(D642,'Catálogo de Serviços'!$A$5:$F$100,6,FALSE),0)</f>
        <v/>
      </c>
      <c r="H642" s="7">
        <f>IFERROR(E642*F642,0)</f>
        <v/>
      </c>
      <c r="I642" s="7">
        <f>IFERROR(F642-G642,0)</f>
        <v/>
      </c>
      <c r="J642" s="28" t="n"/>
      <c r="K642" s="28" t="n"/>
    </row>
    <row r="643">
      <c r="A643" s="111" t="n"/>
      <c r="B643" s="27">
        <f>IF(A643="","",DATE(YEAR(A643),MONTH(A643),1))</f>
        <v/>
      </c>
      <c r="C643" s="28" t="n"/>
      <c r="D643" s="28" t="n"/>
      <c r="E643" s="28" t="n"/>
      <c r="F643" s="18" t="n"/>
      <c r="G643" s="7">
        <f>IFERROR(VLOOKUP(D643,'Catálogo de Serviços'!$A$5:$F$100,6,FALSE),0)</f>
        <v/>
      </c>
      <c r="H643" s="7">
        <f>IFERROR(E643*F643,0)</f>
        <v/>
      </c>
      <c r="I643" s="7">
        <f>IFERROR(F643-G643,0)</f>
        <v/>
      </c>
      <c r="J643" s="28" t="n"/>
      <c r="K643" s="28" t="n"/>
    </row>
    <row r="644">
      <c r="A644" s="111" t="n"/>
      <c r="B644" s="27">
        <f>IF(A644="","",DATE(YEAR(A644),MONTH(A644),1))</f>
        <v/>
      </c>
      <c r="C644" s="28" t="n"/>
      <c r="D644" s="28" t="n"/>
      <c r="E644" s="28" t="n"/>
      <c r="F644" s="18" t="n"/>
      <c r="G644" s="7">
        <f>IFERROR(VLOOKUP(D644,'Catálogo de Serviços'!$A$5:$F$100,6,FALSE),0)</f>
        <v/>
      </c>
      <c r="H644" s="7">
        <f>IFERROR(E644*F644,0)</f>
        <v/>
      </c>
      <c r="I644" s="7">
        <f>IFERROR(F644-G644,0)</f>
        <v/>
      </c>
      <c r="J644" s="28" t="n"/>
      <c r="K644" s="28" t="n"/>
    </row>
    <row r="645">
      <c r="A645" s="111" t="n"/>
      <c r="B645" s="27">
        <f>IF(A645="","",DATE(YEAR(A645),MONTH(A645),1))</f>
        <v/>
      </c>
      <c r="C645" s="28" t="n"/>
      <c r="D645" s="28" t="n"/>
      <c r="E645" s="28" t="n"/>
      <c r="F645" s="18" t="n"/>
      <c r="G645" s="7">
        <f>IFERROR(VLOOKUP(D645,'Catálogo de Serviços'!$A$5:$F$100,6,FALSE),0)</f>
        <v/>
      </c>
      <c r="H645" s="7">
        <f>IFERROR(E645*F645,0)</f>
        <v/>
      </c>
      <c r="I645" s="7">
        <f>IFERROR(F645-G645,0)</f>
        <v/>
      </c>
      <c r="J645" s="28" t="n"/>
      <c r="K645" s="28" t="n"/>
    </row>
    <row r="646">
      <c r="A646" s="111" t="n"/>
      <c r="B646" s="27">
        <f>IF(A646="","",DATE(YEAR(A646),MONTH(A646),1))</f>
        <v/>
      </c>
      <c r="C646" s="28" t="n"/>
      <c r="D646" s="28" t="n"/>
      <c r="E646" s="28" t="n"/>
      <c r="F646" s="18" t="n"/>
      <c r="G646" s="7">
        <f>IFERROR(VLOOKUP(D646,'Catálogo de Serviços'!$A$5:$F$100,6,FALSE),0)</f>
        <v/>
      </c>
      <c r="H646" s="7">
        <f>IFERROR(E646*F646,0)</f>
        <v/>
      </c>
      <c r="I646" s="7">
        <f>IFERROR(F646-G646,0)</f>
        <v/>
      </c>
      <c r="J646" s="28" t="n"/>
      <c r="K646" s="28" t="n"/>
    </row>
    <row r="647">
      <c r="A647" s="111" t="n"/>
      <c r="B647" s="27">
        <f>IF(A647="","",DATE(YEAR(A647),MONTH(A647),1))</f>
        <v/>
      </c>
      <c r="C647" s="28" t="n"/>
      <c r="D647" s="28" t="n"/>
      <c r="E647" s="28" t="n"/>
      <c r="F647" s="18" t="n"/>
      <c r="G647" s="7">
        <f>IFERROR(VLOOKUP(D647,'Catálogo de Serviços'!$A$5:$F$100,6,FALSE),0)</f>
        <v/>
      </c>
      <c r="H647" s="7">
        <f>IFERROR(E647*F647,0)</f>
        <v/>
      </c>
      <c r="I647" s="7">
        <f>IFERROR(F647-G647,0)</f>
        <v/>
      </c>
      <c r="J647" s="28" t="n"/>
      <c r="K647" s="28" t="n"/>
    </row>
    <row r="648">
      <c r="A648" s="111" t="n"/>
      <c r="B648" s="27">
        <f>IF(A648="","",DATE(YEAR(A648),MONTH(A648),1))</f>
        <v/>
      </c>
      <c r="C648" s="28" t="n"/>
      <c r="D648" s="28" t="n"/>
      <c r="E648" s="28" t="n"/>
      <c r="F648" s="18" t="n"/>
      <c r="G648" s="7">
        <f>IFERROR(VLOOKUP(D648,'Catálogo de Serviços'!$A$5:$F$100,6,FALSE),0)</f>
        <v/>
      </c>
      <c r="H648" s="7">
        <f>IFERROR(E648*F648,0)</f>
        <v/>
      </c>
      <c r="I648" s="7">
        <f>IFERROR(F648-G648,0)</f>
        <v/>
      </c>
      <c r="J648" s="28" t="n"/>
      <c r="K648" s="28" t="n"/>
    </row>
    <row r="649">
      <c r="A649" s="111" t="n"/>
      <c r="B649" s="27">
        <f>IF(A649="","",DATE(YEAR(A649),MONTH(A649),1))</f>
        <v/>
      </c>
      <c r="C649" s="28" t="n"/>
      <c r="D649" s="28" t="n"/>
      <c r="E649" s="28" t="n"/>
      <c r="F649" s="18" t="n"/>
      <c r="G649" s="7">
        <f>IFERROR(VLOOKUP(D649,'Catálogo de Serviços'!$A$5:$F$100,6,FALSE),0)</f>
        <v/>
      </c>
      <c r="H649" s="7">
        <f>IFERROR(E649*F649,0)</f>
        <v/>
      </c>
      <c r="I649" s="7">
        <f>IFERROR(F649-G649,0)</f>
        <v/>
      </c>
      <c r="J649" s="28" t="n"/>
      <c r="K649" s="28" t="n"/>
    </row>
    <row r="650">
      <c r="A650" s="111" t="n"/>
      <c r="B650" s="27">
        <f>IF(A650="","",DATE(YEAR(A650),MONTH(A650),1))</f>
        <v/>
      </c>
      <c r="C650" s="28" t="n"/>
      <c r="D650" s="28" t="n"/>
      <c r="E650" s="28" t="n"/>
      <c r="F650" s="18" t="n"/>
      <c r="G650" s="7">
        <f>IFERROR(VLOOKUP(D650,'Catálogo de Serviços'!$A$5:$F$100,6,FALSE),0)</f>
        <v/>
      </c>
      <c r="H650" s="7">
        <f>IFERROR(E650*F650,0)</f>
        <v/>
      </c>
      <c r="I650" s="7">
        <f>IFERROR(F650-G650,0)</f>
        <v/>
      </c>
      <c r="J650" s="28" t="n"/>
      <c r="K650" s="28" t="n"/>
    </row>
    <row r="651">
      <c r="A651" s="111" t="n"/>
      <c r="B651" s="27">
        <f>IF(A651="","",DATE(YEAR(A651),MONTH(A651),1))</f>
        <v/>
      </c>
      <c r="C651" s="28" t="n"/>
      <c r="D651" s="28" t="n"/>
      <c r="E651" s="28" t="n"/>
      <c r="F651" s="18" t="n"/>
      <c r="G651" s="7">
        <f>IFERROR(VLOOKUP(D651,'Catálogo de Serviços'!$A$5:$F$100,6,FALSE),0)</f>
        <v/>
      </c>
      <c r="H651" s="7">
        <f>IFERROR(E651*F651,0)</f>
        <v/>
      </c>
      <c r="I651" s="7">
        <f>IFERROR(F651-G651,0)</f>
        <v/>
      </c>
      <c r="J651" s="28" t="n"/>
      <c r="K651" s="28" t="n"/>
    </row>
    <row r="652">
      <c r="A652" s="111" t="n"/>
      <c r="B652" s="27">
        <f>IF(A652="","",DATE(YEAR(A652),MONTH(A652),1))</f>
        <v/>
      </c>
      <c r="C652" s="28" t="n"/>
      <c r="D652" s="28" t="n"/>
      <c r="E652" s="28" t="n"/>
      <c r="F652" s="18" t="n"/>
      <c r="G652" s="7">
        <f>IFERROR(VLOOKUP(D652,'Catálogo de Serviços'!$A$5:$F$100,6,FALSE),0)</f>
        <v/>
      </c>
      <c r="H652" s="7">
        <f>IFERROR(E652*F652,0)</f>
        <v/>
      </c>
      <c r="I652" s="7">
        <f>IFERROR(F652-G652,0)</f>
        <v/>
      </c>
      <c r="J652" s="28" t="n"/>
      <c r="K652" s="28" t="n"/>
    </row>
    <row r="653">
      <c r="A653" s="111" t="n"/>
      <c r="B653" s="27">
        <f>IF(A653="","",DATE(YEAR(A653),MONTH(A653),1))</f>
        <v/>
      </c>
      <c r="C653" s="28" t="n"/>
      <c r="D653" s="28" t="n"/>
      <c r="E653" s="28" t="n"/>
      <c r="F653" s="18" t="n"/>
      <c r="G653" s="7">
        <f>IFERROR(VLOOKUP(D653,'Catálogo de Serviços'!$A$5:$F$100,6,FALSE),0)</f>
        <v/>
      </c>
      <c r="H653" s="7">
        <f>IFERROR(E653*F653,0)</f>
        <v/>
      </c>
      <c r="I653" s="7">
        <f>IFERROR(F653-G653,0)</f>
        <v/>
      </c>
      <c r="J653" s="28" t="n"/>
      <c r="K653" s="28" t="n"/>
    </row>
    <row r="654">
      <c r="A654" s="111" t="n"/>
      <c r="B654" s="27">
        <f>IF(A654="","",DATE(YEAR(A654),MONTH(A654),1))</f>
        <v/>
      </c>
      <c r="C654" s="28" t="n"/>
      <c r="D654" s="28" t="n"/>
      <c r="E654" s="28" t="n"/>
      <c r="F654" s="18" t="n"/>
      <c r="G654" s="7">
        <f>IFERROR(VLOOKUP(D654,'Catálogo de Serviços'!$A$5:$F$100,6,FALSE),0)</f>
        <v/>
      </c>
      <c r="H654" s="7">
        <f>IFERROR(E654*F654,0)</f>
        <v/>
      </c>
      <c r="I654" s="7">
        <f>IFERROR(F654-G654,0)</f>
        <v/>
      </c>
      <c r="J654" s="28" t="n"/>
      <c r="K654" s="28" t="n"/>
    </row>
    <row r="655">
      <c r="A655" s="111" t="n"/>
      <c r="B655" s="27">
        <f>IF(A655="","",DATE(YEAR(A655),MONTH(A655),1))</f>
        <v/>
      </c>
      <c r="C655" s="28" t="n"/>
      <c r="D655" s="28" t="n"/>
      <c r="E655" s="28" t="n"/>
      <c r="F655" s="18" t="n"/>
      <c r="G655" s="7">
        <f>IFERROR(VLOOKUP(D655,'Catálogo de Serviços'!$A$5:$F$100,6,FALSE),0)</f>
        <v/>
      </c>
      <c r="H655" s="7">
        <f>IFERROR(E655*F655,0)</f>
        <v/>
      </c>
      <c r="I655" s="7">
        <f>IFERROR(F655-G655,0)</f>
        <v/>
      </c>
      <c r="J655" s="28" t="n"/>
      <c r="K655" s="28" t="n"/>
    </row>
    <row r="656">
      <c r="A656" s="111" t="n"/>
      <c r="B656" s="27">
        <f>IF(A656="","",DATE(YEAR(A656),MONTH(A656),1))</f>
        <v/>
      </c>
      <c r="C656" s="28" t="n"/>
      <c r="D656" s="28" t="n"/>
      <c r="E656" s="28" t="n"/>
      <c r="F656" s="18" t="n"/>
      <c r="G656" s="7">
        <f>IFERROR(VLOOKUP(D656,'Catálogo de Serviços'!$A$5:$F$100,6,FALSE),0)</f>
        <v/>
      </c>
      <c r="H656" s="7">
        <f>IFERROR(E656*F656,0)</f>
        <v/>
      </c>
      <c r="I656" s="7">
        <f>IFERROR(F656-G656,0)</f>
        <v/>
      </c>
      <c r="J656" s="28" t="n"/>
      <c r="K656" s="28" t="n"/>
    </row>
    <row r="657">
      <c r="A657" s="111" t="n"/>
      <c r="B657" s="27">
        <f>IF(A657="","",DATE(YEAR(A657),MONTH(A657),1))</f>
        <v/>
      </c>
      <c r="C657" s="28" t="n"/>
      <c r="D657" s="28" t="n"/>
      <c r="E657" s="28" t="n"/>
      <c r="F657" s="18" t="n"/>
      <c r="G657" s="7">
        <f>IFERROR(VLOOKUP(D657,'Catálogo de Serviços'!$A$5:$F$100,6,FALSE),0)</f>
        <v/>
      </c>
      <c r="H657" s="7">
        <f>IFERROR(E657*F657,0)</f>
        <v/>
      </c>
      <c r="I657" s="7">
        <f>IFERROR(F657-G657,0)</f>
        <v/>
      </c>
      <c r="J657" s="28" t="n"/>
      <c r="K657" s="28" t="n"/>
    </row>
    <row r="658">
      <c r="A658" s="111" t="n"/>
      <c r="B658" s="27">
        <f>IF(A658="","",DATE(YEAR(A658),MONTH(A658),1))</f>
        <v/>
      </c>
      <c r="C658" s="28" t="n"/>
      <c r="D658" s="28" t="n"/>
      <c r="E658" s="28" t="n"/>
      <c r="F658" s="18" t="n"/>
      <c r="G658" s="7">
        <f>IFERROR(VLOOKUP(D658,'Catálogo de Serviços'!$A$5:$F$100,6,FALSE),0)</f>
        <v/>
      </c>
      <c r="H658" s="7">
        <f>IFERROR(E658*F658,0)</f>
        <v/>
      </c>
      <c r="I658" s="7">
        <f>IFERROR(F658-G658,0)</f>
        <v/>
      </c>
      <c r="J658" s="28" t="n"/>
      <c r="K658" s="28" t="n"/>
    </row>
    <row r="659">
      <c r="A659" s="111" t="n"/>
      <c r="B659" s="27">
        <f>IF(A659="","",DATE(YEAR(A659),MONTH(A659),1))</f>
        <v/>
      </c>
      <c r="C659" s="28" t="n"/>
      <c r="D659" s="28" t="n"/>
      <c r="E659" s="28" t="n"/>
      <c r="F659" s="18" t="n"/>
      <c r="G659" s="7">
        <f>IFERROR(VLOOKUP(D659,'Catálogo de Serviços'!$A$5:$F$100,6,FALSE),0)</f>
        <v/>
      </c>
      <c r="H659" s="7">
        <f>IFERROR(E659*F659,0)</f>
        <v/>
      </c>
      <c r="I659" s="7">
        <f>IFERROR(F659-G659,0)</f>
        <v/>
      </c>
      <c r="J659" s="28" t="n"/>
      <c r="K659" s="28" t="n"/>
    </row>
    <row r="660">
      <c r="A660" s="111" t="n"/>
      <c r="B660" s="27">
        <f>IF(A660="","",DATE(YEAR(A660),MONTH(A660),1))</f>
        <v/>
      </c>
      <c r="C660" s="28" t="n"/>
      <c r="D660" s="28" t="n"/>
      <c r="E660" s="28" t="n"/>
      <c r="F660" s="18" t="n"/>
      <c r="G660" s="7">
        <f>IFERROR(VLOOKUP(D660,'Catálogo de Serviços'!$A$5:$F$100,6,FALSE),0)</f>
        <v/>
      </c>
      <c r="H660" s="7">
        <f>IFERROR(E660*F660,0)</f>
        <v/>
      </c>
      <c r="I660" s="7">
        <f>IFERROR(F660-G660,0)</f>
        <v/>
      </c>
      <c r="J660" s="28" t="n"/>
      <c r="K660" s="28" t="n"/>
    </row>
    <row r="661">
      <c r="A661" s="111" t="n"/>
      <c r="B661" s="27">
        <f>IF(A661="","",DATE(YEAR(A661),MONTH(A661),1))</f>
        <v/>
      </c>
      <c r="C661" s="28" t="n"/>
      <c r="D661" s="28" t="n"/>
      <c r="E661" s="28" t="n"/>
      <c r="F661" s="18" t="n"/>
      <c r="G661" s="7">
        <f>IFERROR(VLOOKUP(D661,'Catálogo de Serviços'!$A$5:$F$100,6,FALSE),0)</f>
        <v/>
      </c>
      <c r="H661" s="7">
        <f>IFERROR(E661*F661,0)</f>
        <v/>
      </c>
      <c r="I661" s="7">
        <f>IFERROR(F661-G661,0)</f>
        <v/>
      </c>
      <c r="J661" s="28" t="n"/>
      <c r="K661" s="28" t="n"/>
    </row>
    <row r="662">
      <c r="A662" s="111" t="n"/>
      <c r="B662" s="27">
        <f>IF(A662="","",DATE(YEAR(A662),MONTH(A662),1))</f>
        <v/>
      </c>
      <c r="C662" s="28" t="n"/>
      <c r="D662" s="28" t="n"/>
      <c r="E662" s="28" t="n"/>
      <c r="F662" s="18" t="n"/>
      <c r="G662" s="7">
        <f>IFERROR(VLOOKUP(D662,'Catálogo de Serviços'!$A$5:$F$100,6,FALSE),0)</f>
        <v/>
      </c>
      <c r="H662" s="7">
        <f>IFERROR(E662*F662,0)</f>
        <v/>
      </c>
      <c r="I662" s="7">
        <f>IFERROR(F662-G662,0)</f>
        <v/>
      </c>
      <c r="J662" s="28" t="n"/>
      <c r="K662" s="28" t="n"/>
    </row>
    <row r="663">
      <c r="A663" s="111" t="n"/>
      <c r="B663" s="27">
        <f>IF(A663="","",DATE(YEAR(A663),MONTH(A663),1))</f>
        <v/>
      </c>
      <c r="C663" s="28" t="n"/>
      <c r="D663" s="28" t="n"/>
      <c r="E663" s="28" t="n"/>
      <c r="F663" s="18" t="n"/>
      <c r="G663" s="7">
        <f>IFERROR(VLOOKUP(D663,'Catálogo de Serviços'!$A$5:$F$100,6,FALSE),0)</f>
        <v/>
      </c>
      <c r="H663" s="7">
        <f>IFERROR(E663*F663,0)</f>
        <v/>
      </c>
      <c r="I663" s="7">
        <f>IFERROR(F663-G663,0)</f>
        <v/>
      </c>
      <c r="J663" s="28" t="n"/>
      <c r="K663" s="28" t="n"/>
    </row>
    <row r="664">
      <c r="A664" s="111" t="n"/>
      <c r="B664" s="27">
        <f>IF(A664="","",DATE(YEAR(A664),MONTH(A664),1))</f>
        <v/>
      </c>
      <c r="C664" s="28" t="n"/>
      <c r="D664" s="28" t="n"/>
      <c r="E664" s="28" t="n"/>
      <c r="F664" s="18" t="n"/>
      <c r="G664" s="7">
        <f>IFERROR(VLOOKUP(D664,'Catálogo de Serviços'!$A$5:$F$100,6,FALSE),0)</f>
        <v/>
      </c>
      <c r="H664" s="7">
        <f>IFERROR(E664*F664,0)</f>
        <v/>
      </c>
      <c r="I664" s="7">
        <f>IFERROR(F664-G664,0)</f>
        <v/>
      </c>
      <c r="J664" s="28" t="n"/>
      <c r="K664" s="28" t="n"/>
    </row>
    <row r="665">
      <c r="A665" s="111" t="n"/>
      <c r="B665" s="27">
        <f>IF(A665="","",DATE(YEAR(A665),MONTH(A665),1))</f>
        <v/>
      </c>
      <c r="C665" s="28" t="n"/>
      <c r="D665" s="28" t="n"/>
      <c r="E665" s="28" t="n"/>
      <c r="F665" s="18" t="n"/>
      <c r="G665" s="7">
        <f>IFERROR(VLOOKUP(D665,'Catálogo de Serviços'!$A$5:$F$100,6,FALSE),0)</f>
        <v/>
      </c>
      <c r="H665" s="7">
        <f>IFERROR(E665*F665,0)</f>
        <v/>
      </c>
      <c r="I665" s="7">
        <f>IFERROR(F665-G665,0)</f>
        <v/>
      </c>
      <c r="J665" s="28" t="n"/>
      <c r="K665" s="28" t="n"/>
    </row>
    <row r="666">
      <c r="A666" s="111" t="n"/>
      <c r="B666" s="27">
        <f>IF(A666="","",DATE(YEAR(A666),MONTH(A666),1))</f>
        <v/>
      </c>
      <c r="C666" s="28" t="n"/>
      <c r="D666" s="28" t="n"/>
      <c r="E666" s="28" t="n"/>
      <c r="F666" s="18" t="n"/>
      <c r="G666" s="7">
        <f>IFERROR(VLOOKUP(D666,'Catálogo de Serviços'!$A$5:$F$100,6,FALSE),0)</f>
        <v/>
      </c>
      <c r="H666" s="7">
        <f>IFERROR(E666*F666,0)</f>
        <v/>
      </c>
      <c r="I666" s="7">
        <f>IFERROR(F666-G666,0)</f>
        <v/>
      </c>
      <c r="J666" s="28" t="n"/>
      <c r="K666" s="28" t="n"/>
    </row>
    <row r="667">
      <c r="A667" s="111" t="n"/>
      <c r="B667" s="27">
        <f>IF(A667="","",DATE(YEAR(A667),MONTH(A667),1))</f>
        <v/>
      </c>
      <c r="C667" s="28" t="n"/>
      <c r="D667" s="28" t="n"/>
      <c r="E667" s="28" t="n"/>
      <c r="F667" s="18" t="n"/>
      <c r="G667" s="7">
        <f>IFERROR(VLOOKUP(D667,'Catálogo de Serviços'!$A$5:$F$100,6,FALSE),0)</f>
        <v/>
      </c>
      <c r="H667" s="7">
        <f>IFERROR(E667*F667,0)</f>
        <v/>
      </c>
      <c r="I667" s="7">
        <f>IFERROR(F667-G667,0)</f>
        <v/>
      </c>
      <c r="J667" s="28" t="n"/>
      <c r="K667" s="28" t="n"/>
    </row>
    <row r="668">
      <c r="A668" s="111" t="n"/>
      <c r="B668" s="27">
        <f>IF(A668="","",DATE(YEAR(A668),MONTH(A668),1))</f>
        <v/>
      </c>
      <c r="C668" s="28" t="n"/>
      <c r="D668" s="28" t="n"/>
      <c r="E668" s="28" t="n"/>
      <c r="F668" s="18" t="n"/>
      <c r="G668" s="7">
        <f>IFERROR(VLOOKUP(D668,'Catálogo de Serviços'!$A$5:$F$100,6,FALSE),0)</f>
        <v/>
      </c>
      <c r="H668" s="7">
        <f>IFERROR(E668*F668,0)</f>
        <v/>
      </c>
      <c r="I668" s="7">
        <f>IFERROR(F668-G668,0)</f>
        <v/>
      </c>
      <c r="J668" s="28" t="n"/>
      <c r="K668" s="28" t="n"/>
    </row>
    <row r="669">
      <c r="A669" s="111" t="n"/>
      <c r="B669" s="27">
        <f>IF(A669="","",DATE(YEAR(A669),MONTH(A669),1))</f>
        <v/>
      </c>
      <c r="C669" s="28" t="n"/>
      <c r="D669" s="28" t="n"/>
      <c r="E669" s="28" t="n"/>
      <c r="F669" s="18" t="n"/>
      <c r="G669" s="7">
        <f>IFERROR(VLOOKUP(D669,'Catálogo de Serviços'!$A$5:$F$100,6,FALSE),0)</f>
        <v/>
      </c>
      <c r="H669" s="7">
        <f>IFERROR(E669*F669,0)</f>
        <v/>
      </c>
      <c r="I669" s="7">
        <f>IFERROR(F669-G669,0)</f>
        <v/>
      </c>
      <c r="J669" s="28" t="n"/>
      <c r="K669" s="28" t="n"/>
    </row>
    <row r="670">
      <c r="A670" s="111" t="n"/>
      <c r="B670" s="27">
        <f>IF(A670="","",DATE(YEAR(A670),MONTH(A670),1))</f>
        <v/>
      </c>
      <c r="C670" s="28" t="n"/>
      <c r="D670" s="28" t="n"/>
      <c r="E670" s="28" t="n"/>
      <c r="F670" s="18" t="n"/>
      <c r="G670" s="7">
        <f>IFERROR(VLOOKUP(D670,'Catálogo de Serviços'!$A$5:$F$100,6,FALSE),0)</f>
        <v/>
      </c>
      <c r="H670" s="7">
        <f>IFERROR(E670*F670,0)</f>
        <v/>
      </c>
      <c r="I670" s="7">
        <f>IFERROR(F670-G670,0)</f>
        <v/>
      </c>
      <c r="J670" s="28" t="n"/>
      <c r="K670" s="28" t="n"/>
    </row>
    <row r="671">
      <c r="A671" s="111" t="n"/>
      <c r="B671" s="27">
        <f>IF(A671="","",DATE(YEAR(A671),MONTH(A671),1))</f>
        <v/>
      </c>
      <c r="C671" s="28" t="n"/>
      <c r="D671" s="28" t="n"/>
      <c r="E671" s="28" t="n"/>
      <c r="F671" s="18" t="n"/>
      <c r="G671" s="7">
        <f>IFERROR(VLOOKUP(D671,'Catálogo de Serviços'!$A$5:$F$100,6,FALSE),0)</f>
        <v/>
      </c>
      <c r="H671" s="7">
        <f>IFERROR(E671*F671,0)</f>
        <v/>
      </c>
      <c r="I671" s="7">
        <f>IFERROR(F671-G671,0)</f>
        <v/>
      </c>
      <c r="J671" s="28" t="n"/>
      <c r="K671" s="28" t="n"/>
    </row>
    <row r="672">
      <c r="A672" s="111" t="n"/>
      <c r="B672" s="27">
        <f>IF(A672="","",DATE(YEAR(A672),MONTH(A672),1))</f>
        <v/>
      </c>
      <c r="C672" s="28" t="n"/>
      <c r="D672" s="28" t="n"/>
      <c r="E672" s="28" t="n"/>
      <c r="F672" s="18" t="n"/>
      <c r="G672" s="7">
        <f>IFERROR(VLOOKUP(D672,'Catálogo de Serviços'!$A$5:$F$100,6,FALSE),0)</f>
        <v/>
      </c>
      <c r="H672" s="7">
        <f>IFERROR(E672*F672,0)</f>
        <v/>
      </c>
      <c r="I672" s="7">
        <f>IFERROR(F672-G672,0)</f>
        <v/>
      </c>
      <c r="J672" s="28" t="n"/>
      <c r="K672" s="28" t="n"/>
    </row>
    <row r="673">
      <c r="A673" s="111" t="n"/>
      <c r="B673" s="27">
        <f>IF(A673="","",DATE(YEAR(A673),MONTH(A673),1))</f>
        <v/>
      </c>
      <c r="C673" s="28" t="n"/>
      <c r="D673" s="28" t="n"/>
      <c r="E673" s="28" t="n"/>
      <c r="F673" s="18" t="n"/>
      <c r="G673" s="7">
        <f>IFERROR(VLOOKUP(D673,'Catálogo de Serviços'!$A$5:$F$100,6,FALSE),0)</f>
        <v/>
      </c>
      <c r="H673" s="7">
        <f>IFERROR(E673*F673,0)</f>
        <v/>
      </c>
      <c r="I673" s="7">
        <f>IFERROR(F673-G673,0)</f>
        <v/>
      </c>
      <c r="J673" s="28" t="n"/>
      <c r="K673" s="28" t="n"/>
    </row>
    <row r="674">
      <c r="A674" s="111" t="n"/>
      <c r="B674" s="27">
        <f>IF(A674="","",DATE(YEAR(A674),MONTH(A674),1))</f>
        <v/>
      </c>
      <c r="C674" s="28" t="n"/>
      <c r="D674" s="28" t="n"/>
      <c r="E674" s="28" t="n"/>
      <c r="F674" s="18" t="n"/>
      <c r="G674" s="7">
        <f>IFERROR(VLOOKUP(D674,'Catálogo de Serviços'!$A$5:$F$100,6,FALSE),0)</f>
        <v/>
      </c>
      <c r="H674" s="7">
        <f>IFERROR(E674*F674,0)</f>
        <v/>
      </c>
      <c r="I674" s="7">
        <f>IFERROR(F674-G674,0)</f>
        <v/>
      </c>
      <c r="J674" s="28" t="n"/>
      <c r="K674" s="28" t="n"/>
    </row>
    <row r="675">
      <c r="A675" s="111" t="n"/>
      <c r="B675" s="27">
        <f>IF(A675="","",DATE(YEAR(A675),MONTH(A675),1))</f>
        <v/>
      </c>
      <c r="C675" s="28" t="n"/>
      <c r="D675" s="28" t="n"/>
      <c r="E675" s="28" t="n"/>
      <c r="F675" s="18" t="n"/>
      <c r="G675" s="7">
        <f>IFERROR(VLOOKUP(D675,'Catálogo de Serviços'!$A$5:$F$100,6,FALSE),0)</f>
        <v/>
      </c>
      <c r="H675" s="7">
        <f>IFERROR(E675*F675,0)</f>
        <v/>
      </c>
      <c r="I675" s="7">
        <f>IFERROR(F675-G675,0)</f>
        <v/>
      </c>
      <c r="J675" s="28" t="n"/>
      <c r="K675" s="28" t="n"/>
    </row>
    <row r="676">
      <c r="A676" s="111" t="n"/>
      <c r="B676" s="27">
        <f>IF(A676="","",DATE(YEAR(A676),MONTH(A676),1))</f>
        <v/>
      </c>
      <c r="C676" s="28" t="n"/>
      <c r="D676" s="28" t="n"/>
      <c r="E676" s="28" t="n"/>
      <c r="F676" s="18" t="n"/>
      <c r="G676" s="7">
        <f>IFERROR(VLOOKUP(D676,'Catálogo de Serviços'!$A$5:$F$100,6,FALSE),0)</f>
        <v/>
      </c>
      <c r="H676" s="7">
        <f>IFERROR(E676*F676,0)</f>
        <v/>
      </c>
      <c r="I676" s="7">
        <f>IFERROR(F676-G676,0)</f>
        <v/>
      </c>
      <c r="J676" s="28" t="n"/>
      <c r="K676" s="28" t="n"/>
    </row>
    <row r="677">
      <c r="A677" s="111" t="n"/>
      <c r="B677" s="27">
        <f>IF(A677="","",DATE(YEAR(A677),MONTH(A677),1))</f>
        <v/>
      </c>
      <c r="C677" s="28" t="n"/>
      <c r="D677" s="28" t="n"/>
      <c r="E677" s="28" t="n"/>
      <c r="F677" s="18" t="n"/>
      <c r="G677" s="7">
        <f>IFERROR(VLOOKUP(D677,'Catálogo de Serviços'!$A$5:$F$100,6,FALSE),0)</f>
        <v/>
      </c>
      <c r="H677" s="7">
        <f>IFERROR(E677*F677,0)</f>
        <v/>
      </c>
      <c r="I677" s="7">
        <f>IFERROR(F677-G677,0)</f>
        <v/>
      </c>
      <c r="J677" s="28" t="n"/>
      <c r="K677" s="28" t="n"/>
    </row>
    <row r="678">
      <c r="A678" s="111" t="n"/>
      <c r="B678" s="27">
        <f>IF(A678="","",DATE(YEAR(A678),MONTH(A678),1))</f>
        <v/>
      </c>
      <c r="C678" s="28" t="n"/>
      <c r="D678" s="28" t="n"/>
      <c r="E678" s="28" t="n"/>
      <c r="F678" s="18" t="n"/>
      <c r="G678" s="7">
        <f>IFERROR(VLOOKUP(D678,'Catálogo de Serviços'!$A$5:$F$100,6,FALSE),0)</f>
        <v/>
      </c>
      <c r="H678" s="7">
        <f>IFERROR(E678*F678,0)</f>
        <v/>
      </c>
      <c r="I678" s="7">
        <f>IFERROR(F678-G678,0)</f>
        <v/>
      </c>
      <c r="J678" s="28" t="n"/>
      <c r="K678" s="28" t="n"/>
    </row>
    <row r="679">
      <c r="A679" s="111" t="n"/>
      <c r="B679" s="27">
        <f>IF(A679="","",DATE(YEAR(A679),MONTH(A679),1))</f>
        <v/>
      </c>
      <c r="C679" s="28" t="n"/>
      <c r="D679" s="28" t="n"/>
      <c r="E679" s="28" t="n"/>
      <c r="F679" s="18" t="n"/>
      <c r="G679" s="7">
        <f>IFERROR(VLOOKUP(D679,'Catálogo de Serviços'!$A$5:$F$100,6,FALSE),0)</f>
        <v/>
      </c>
      <c r="H679" s="7">
        <f>IFERROR(E679*F679,0)</f>
        <v/>
      </c>
      <c r="I679" s="7">
        <f>IFERROR(F679-G679,0)</f>
        <v/>
      </c>
      <c r="J679" s="28" t="n"/>
      <c r="K679" s="28" t="n"/>
    </row>
    <row r="680">
      <c r="A680" s="111" t="n"/>
      <c r="B680" s="27">
        <f>IF(A680="","",DATE(YEAR(A680),MONTH(A680),1))</f>
        <v/>
      </c>
      <c r="C680" s="28" t="n"/>
      <c r="D680" s="28" t="n"/>
      <c r="E680" s="28" t="n"/>
      <c r="F680" s="18" t="n"/>
      <c r="G680" s="7">
        <f>IFERROR(VLOOKUP(D680,'Catálogo de Serviços'!$A$5:$F$100,6,FALSE),0)</f>
        <v/>
      </c>
      <c r="H680" s="7">
        <f>IFERROR(E680*F680,0)</f>
        <v/>
      </c>
      <c r="I680" s="7">
        <f>IFERROR(F680-G680,0)</f>
        <v/>
      </c>
      <c r="J680" s="28" t="n"/>
      <c r="K680" s="28" t="n"/>
    </row>
    <row r="681">
      <c r="A681" s="111" t="n"/>
      <c r="B681" s="27">
        <f>IF(A681="","",DATE(YEAR(A681),MONTH(A681),1))</f>
        <v/>
      </c>
      <c r="C681" s="28" t="n"/>
      <c r="D681" s="28" t="n"/>
      <c r="E681" s="28" t="n"/>
      <c r="F681" s="18" t="n"/>
      <c r="G681" s="7">
        <f>IFERROR(VLOOKUP(D681,'Catálogo de Serviços'!$A$5:$F$100,6,FALSE),0)</f>
        <v/>
      </c>
      <c r="H681" s="7">
        <f>IFERROR(E681*F681,0)</f>
        <v/>
      </c>
      <c r="I681" s="7">
        <f>IFERROR(F681-G681,0)</f>
        <v/>
      </c>
      <c r="J681" s="28" t="n"/>
      <c r="K681" s="28" t="n"/>
    </row>
    <row r="682">
      <c r="A682" s="111" t="n"/>
      <c r="B682" s="27">
        <f>IF(A682="","",DATE(YEAR(A682),MONTH(A682),1))</f>
        <v/>
      </c>
      <c r="C682" s="28" t="n"/>
      <c r="D682" s="28" t="n"/>
      <c r="E682" s="28" t="n"/>
      <c r="F682" s="18" t="n"/>
      <c r="G682" s="7">
        <f>IFERROR(VLOOKUP(D682,'Catálogo de Serviços'!$A$5:$F$100,6,FALSE),0)</f>
        <v/>
      </c>
      <c r="H682" s="7">
        <f>IFERROR(E682*F682,0)</f>
        <v/>
      </c>
      <c r="I682" s="7">
        <f>IFERROR(F682-G682,0)</f>
        <v/>
      </c>
      <c r="J682" s="28" t="n"/>
      <c r="K682" s="28" t="n"/>
    </row>
    <row r="683">
      <c r="A683" s="111" t="n"/>
      <c r="B683" s="27">
        <f>IF(A683="","",DATE(YEAR(A683),MONTH(A683),1))</f>
        <v/>
      </c>
      <c r="C683" s="28" t="n"/>
      <c r="D683" s="28" t="n"/>
      <c r="E683" s="28" t="n"/>
      <c r="F683" s="18" t="n"/>
      <c r="G683" s="7">
        <f>IFERROR(VLOOKUP(D683,'Catálogo de Serviços'!$A$5:$F$100,6,FALSE),0)</f>
        <v/>
      </c>
      <c r="H683" s="7">
        <f>IFERROR(E683*F683,0)</f>
        <v/>
      </c>
      <c r="I683" s="7">
        <f>IFERROR(F683-G683,0)</f>
        <v/>
      </c>
      <c r="J683" s="28" t="n"/>
      <c r="K683" s="28" t="n"/>
    </row>
    <row r="684">
      <c r="A684" s="111" t="n"/>
      <c r="B684" s="27">
        <f>IF(A684="","",DATE(YEAR(A684),MONTH(A684),1))</f>
        <v/>
      </c>
      <c r="C684" s="28" t="n"/>
      <c r="D684" s="28" t="n"/>
      <c r="E684" s="28" t="n"/>
      <c r="F684" s="18" t="n"/>
      <c r="G684" s="7">
        <f>IFERROR(VLOOKUP(D684,'Catálogo de Serviços'!$A$5:$F$100,6,FALSE),0)</f>
        <v/>
      </c>
      <c r="H684" s="7">
        <f>IFERROR(E684*F684,0)</f>
        <v/>
      </c>
      <c r="I684" s="7">
        <f>IFERROR(F684-G684,0)</f>
        <v/>
      </c>
      <c r="J684" s="28" t="n"/>
      <c r="K684" s="28" t="n"/>
    </row>
    <row r="685">
      <c r="A685" s="111" t="n"/>
      <c r="B685" s="27">
        <f>IF(A685="","",DATE(YEAR(A685),MONTH(A685),1))</f>
        <v/>
      </c>
      <c r="C685" s="28" t="n"/>
      <c r="D685" s="28" t="n"/>
      <c r="E685" s="28" t="n"/>
      <c r="F685" s="18" t="n"/>
      <c r="G685" s="7">
        <f>IFERROR(VLOOKUP(D685,'Catálogo de Serviços'!$A$5:$F$100,6,FALSE),0)</f>
        <v/>
      </c>
      <c r="H685" s="7">
        <f>IFERROR(E685*F685,0)</f>
        <v/>
      </c>
      <c r="I685" s="7">
        <f>IFERROR(F685-G685,0)</f>
        <v/>
      </c>
      <c r="J685" s="28" t="n"/>
      <c r="K685" s="28" t="n"/>
    </row>
    <row r="686">
      <c r="A686" s="111" t="n"/>
      <c r="B686" s="27">
        <f>IF(A686="","",DATE(YEAR(A686),MONTH(A686),1))</f>
        <v/>
      </c>
      <c r="C686" s="28" t="n"/>
      <c r="D686" s="28" t="n"/>
      <c r="E686" s="28" t="n"/>
      <c r="F686" s="18" t="n"/>
      <c r="G686" s="7">
        <f>IFERROR(VLOOKUP(D686,'Catálogo de Serviços'!$A$5:$F$100,6,FALSE),0)</f>
        <v/>
      </c>
      <c r="H686" s="7">
        <f>IFERROR(E686*F686,0)</f>
        <v/>
      </c>
      <c r="I686" s="7">
        <f>IFERROR(F686-G686,0)</f>
        <v/>
      </c>
      <c r="J686" s="28" t="n"/>
      <c r="K686" s="28" t="n"/>
    </row>
    <row r="687">
      <c r="A687" s="111" t="n"/>
      <c r="B687" s="27">
        <f>IF(A687="","",DATE(YEAR(A687),MONTH(A687),1))</f>
        <v/>
      </c>
      <c r="C687" s="28" t="n"/>
      <c r="D687" s="28" t="n"/>
      <c r="E687" s="28" t="n"/>
      <c r="F687" s="18" t="n"/>
      <c r="G687" s="7">
        <f>IFERROR(VLOOKUP(D687,'Catálogo de Serviços'!$A$5:$F$100,6,FALSE),0)</f>
        <v/>
      </c>
      <c r="H687" s="7">
        <f>IFERROR(E687*F687,0)</f>
        <v/>
      </c>
      <c r="I687" s="7">
        <f>IFERROR(F687-G687,0)</f>
        <v/>
      </c>
      <c r="J687" s="28" t="n"/>
      <c r="K687" s="28" t="n"/>
    </row>
    <row r="688">
      <c r="A688" s="111" t="n"/>
      <c r="B688" s="27">
        <f>IF(A688="","",DATE(YEAR(A688),MONTH(A688),1))</f>
        <v/>
      </c>
      <c r="C688" s="28" t="n"/>
      <c r="D688" s="28" t="n"/>
      <c r="E688" s="28" t="n"/>
      <c r="F688" s="18" t="n"/>
      <c r="G688" s="7">
        <f>IFERROR(VLOOKUP(D688,'Catálogo de Serviços'!$A$5:$F$100,6,FALSE),0)</f>
        <v/>
      </c>
      <c r="H688" s="7">
        <f>IFERROR(E688*F688,0)</f>
        <v/>
      </c>
      <c r="I688" s="7">
        <f>IFERROR(F688-G688,0)</f>
        <v/>
      </c>
      <c r="J688" s="28" t="n"/>
      <c r="K688" s="28" t="n"/>
    </row>
    <row r="689">
      <c r="A689" s="111" t="n"/>
      <c r="B689" s="27">
        <f>IF(A689="","",DATE(YEAR(A689),MONTH(A689),1))</f>
        <v/>
      </c>
      <c r="C689" s="28" t="n"/>
      <c r="D689" s="28" t="n"/>
      <c r="E689" s="28" t="n"/>
      <c r="F689" s="18" t="n"/>
      <c r="G689" s="7">
        <f>IFERROR(VLOOKUP(D689,'Catálogo de Serviços'!$A$5:$F$100,6,FALSE),0)</f>
        <v/>
      </c>
      <c r="H689" s="7">
        <f>IFERROR(E689*F689,0)</f>
        <v/>
      </c>
      <c r="I689" s="7">
        <f>IFERROR(F689-G689,0)</f>
        <v/>
      </c>
      <c r="J689" s="28" t="n"/>
      <c r="K689" s="28" t="n"/>
    </row>
    <row r="690">
      <c r="A690" s="111" t="n"/>
      <c r="B690" s="27">
        <f>IF(A690="","",DATE(YEAR(A690),MONTH(A690),1))</f>
        <v/>
      </c>
      <c r="C690" s="28" t="n"/>
      <c r="D690" s="28" t="n"/>
      <c r="E690" s="28" t="n"/>
      <c r="F690" s="18" t="n"/>
      <c r="G690" s="7">
        <f>IFERROR(VLOOKUP(D690,'Catálogo de Serviços'!$A$5:$F$100,6,FALSE),0)</f>
        <v/>
      </c>
      <c r="H690" s="7">
        <f>IFERROR(E690*F690,0)</f>
        <v/>
      </c>
      <c r="I690" s="7">
        <f>IFERROR(F690-G690,0)</f>
        <v/>
      </c>
      <c r="J690" s="28" t="n"/>
      <c r="K690" s="28" t="n"/>
    </row>
    <row r="691">
      <c r="A691" s="111" t="n"/>
      <c r="B691" s="27">
        <f>IF(A691="","",DATE(YEAR(A691),MONTH(A691),1))</f>
        <v/>
      </c>
      <c r="C691" s="28" t="n"/>
      <c r="D691" s="28" t="n"/>
      <c r="E691" s="28" t="n"/>
      <c r="F691" s="18" t="n"/>
      <c r="G691" s="7">
        <f>IFERROR(VLOOKUP(D691,'Catálogo de Serviços'!$A$5:$F$100,6,FALSE),0)</f>
        <v/>
      </c>
      <c r="H691" s="7">
        <f>IFERROR(E691*F691,0)</f>
        <v/>
      </c>
      <c r="I691" s="7">
        <f>IFERROR(F691-G691,0)</f>
        <v/>
      </c>
      <c r="J691" s="28" t="n"/>
      <c r="K691" s="28" t="n"/>
    </row>
    <row r="692">
      <c r="A692" s="111" t="n"/>
      <c r="B692" s="27">
        <f>IF(A692="","",DATE(YEAR(A692),MONTH(A692),1))</f>
        <v/>
      </c>
      <c r="C692" s="28" t="n"/>
      <c r="D692" s="28" t="n"/>
      <c r="E692" s="28" t="n"/>
      <c r="F692" s="18" t="n"/>
      <c r="G692" s="7">
        <f>IFERROR(VLOOKUP(D692,'Catálogo de Serviços'!$A$5:$F$100,6,FALSE),0)</f>
        <v/>
      </c>
      <c r="H692" s="7">
        <f>IFERROR(E692*F692,0)</f>
        <v/>
      </c>
      <c r="I692" s="7">
        <f>IFERROR(F692-G692,0)</f>
        <v/>
      </c>
      <c r="J692" s="28" t="n"/>
      <c r="K692" s="28" t="n"/>
    </row>
    <row r="693">
      <c r="A693" s="111" t="n"/>
      <c r="B693" s="27">
        <f>IF(A693="","",DATE(YEAR(A693),MONTH(A693),1))</f>
        <v/>
      </c>
      <c r="C693" s="28" t="n"/>
      <c r="D693" s="28" t="n"/>
      <c r="E693" s="28" t="n"/>
      <c r="F693" s="18" t="n"/>
      <c r="G693" s="7">
        <f>IFERROR(VLOOKUP(D693,'Catálogo de Serviços'!$A$5:$F$100,6,FALSE),0)</f>
        <v/>
      </c>
      <c r="H693" s="7">
        <f>IFERROR(E693*F693,0)</f>
        <v/>
      </c>
      <c r="I693" s="7">
        <f>IFERROR(F693-G693,0)</f>
        <v/>
      </c>
      <c r="J693" s="28" t="n"/>
      <c r="K693" s="28" t="n"/>
    </row>
    <row r="694">
      <c r="A694" s="111" t="n"/>
      <c r="B694" s="27">
        <f>IF(A694="","",DATE(YEAR(A694),MONTH(A694),1))</f>
        <v/>
      </c>
      <c r="C694" s="28" t="n"/>
      <c r="D694" s="28" t="n"/>
      <c r="E694" s="28" t="n"/>
      <c r="F694" s="18" t="n"/>
      <c r="G694" s="7">
        <f>IFERROR(VLOOKUP(D694,'Catálogo de Serviços'!$A$5:$F$100,6,FALSE),0)</f>
        <v/>
      </c>
      <c r="H694" s="7">
        <f>IFERROR(E694*F694,0)</f>
        <v/>
      </c>
      <c r="I694" s="7">
        <f>IFERROR(F694-G694,0)</f>
        <v/>
      </c>
      <c r="J694" s="28" t="n"/>
      <c r="K694" s="28" t="n"/>
    </row>
    <row r="695">
      <c r="A695" s="111" t="n"/>
      <c r="B695" s="27">
        <f>IF(A695="","",DATE(YEAR(A695),MONTH(A695),1))</f>
        <v/>
      </c>
      <c r="C695" s="28" t="n"/>
      <c r="D695" s="28" t="n"/>
      <c r="E695" s="28" t="n"/>
      <c r="F695" s="18" t="n"/>
      <c r="G695" s="7">
        <f>IFERROR(VLOOKUP(D695,'Catálogo de Serviços'!$A$5:$F$100,6,FALSE),0)</f>
        <v/>
      </c>
      <c r="H695" s="7">
        <f>IFERROR(E695*F695,0)</f>
        <v/>
      </c>
      <c r="I695" s="7">
        <f>IFERROR(F695-G695,0)</f>
        <v/>
      </c>
      <c r="J695" s="28" t="n"/>
      <c r="K695" s="28" t="n"/>
    </row>
    <row r="696">
      <c r="A696" s="111" t="n"/>
      <c r="B696" s="27">
        <f>IF(A696="","",DATE(YEAR(A696),MONTH(A696),1))</f>
        <v/>
      </c>
      <c r="C696" s="28" t="n"/>
      <c r="D696" s="28" t="n"/>
      <c r="E696" s="28" t="n"/>
      <c r="F696" s="18" t="n"/>
      <c r="G696" s="7">
        <f>IFERROR(VLOOKUP(D696,'Catálogo de Serviços'!$A$5:$F$100,6,FALSE),0)</f>
        <v/>
      </c>
      <c r="H696" s="7">
        <f>IFERROR(E696*F696,0)</f>
        <v/>
      </c>
      <c r="I696" s="7">
        <f>IFERROR(F696-G696,0)</f>
        <v/>
      </c>
      <c r="J696" s="28" t="n"/>
      <c r="K696" s="28" t="n"/>
    </row>
    <row r="697">
      <c r="A697" s="111" t="n"/>
      <c r="B697" s="27">
        <f>IF(A697="","",DATE(YEAR(A697),MONTH(A697),1))</f>
        <v/>
      </c>
      <c r="C697" s="28" t="n"/>
      <c r="D697" s="28" t="n"/>
      <c r="E697" s="28" t="n"/>
      <c r="F697" s="18" t="n"/>
      <c r="G697" s="7">
        <f>IFERROR(VLOOKUP(D697,'Catálogo de Serviços'!$A$5:$F$100,6,FALSE),0)</f>
        <v/>
      </c>
      <c r="H697" s="7">
        <f>IFERROR(E697*F697,0)</f>
        <v/>
      </c>
      <c r="I697" s="7">
        <f>IFERROR(F697-G697,0)</f>
        <v/>
      </c>
      <c r="J697" s="28" t="n"/>
      <c r="K697" s="28" t="n"/>
    </row>
    <row r="698">
      <c r="A698" s="111" t="n"/>
      <c r="B698" s="27">
        <f>IF(A698="","",DATE(YEAR(A698),MONTH(A698),1))</f>
        <v/>
      </c>
      <c r="C698" s="28" t="n"/>
      <c r="D698" s="28" t="n"/>
      <c r="E698" s="28" t="n"/>
      <c r="F698" s="18" t="n"/>
      <c r="G698" s="7">
        <f>IFERROR(VLOOKUP(D698,'Catálogo de Serviços'!$A$5:$F$100,6,FALSE),0)</f>
        <v/>
      </c>
      <c r="H698" s="7">
        <f>IFERROR(E698*F698,0)</f>
        <v/>
      </c>
      <c r="I698" s="7">
        <f>IFERROR(F698-G698,0)</f>
        <v/>
      </c>
      <c r="J698" s="28" t="n"/>
      <c r="K698" s="28" t="n"/>
    </row>
    <row r="699">
      <c r="A699" s="111" t="n"/>
      <c r="B699" s="27">
        <f>IF(A699="","",DATE(YEAR(A699),MONTH(A699),1))</f>
        <v/>
      </c>
      <c r="C699" s="28" t="n"/>
      <c r="D699" s="28" t="n"/>
      <c r="E699" s="28" t="n"/>
      <c r="F699" s="18" t="n"/>
      <c r="G699" s="7">
        <f>IFERROR(VLOOKUP(D699,'Catálogo de Serviços'!$A$5:$F$100,6,FALSE),0)</f>
        <v/>
      </c>
      <c r="H699" s="7">
        <f>IFERROR(E699*F699,0)</f>
        <v/>
      </c>
      <c r="I699" s="7">
        <f>IFERROR(F699-G699,0)</f>
        <v/>
      </c>
      <c r="J699" s="28" t="n"/>
      <c r="K699" s="28" t="n"/>
    </row>
    <row r="700">
      <c r="A700" s="111" t="n"/>
      <c r="B700" s="27">
        <f>IF(A700="","",DATE(YEAR(A700),MONTH(A700),1))</f>
        <v/>
      </c>
      <c r="C700" s="28" t="n"/>
      <c r="D700" s="28" t="n"/>
      <c r="E700" s="28" t="n"/>
      <c r="F700" s="18" t="n"/>
      <c r="G700" s="7">
        <f>IFERROR(VLOOKUP(D700,'Catálogo de Serviços'!$A$5:$F$100,6,FALSE),0)</f>
        <v/>
      </c>
      <c r="H700" s="7">
        <f>IFERROR(E700*F700,0)</f>
        <v/>
      </c>
      <c r="I700" s="7">
        <f>IFERROR(F700-G700,0)</f>
        <v/>
      </c>
      <c r="J700" s="28" t="n"/>
      <c r="K700" s="28" t="n"/>
    </row>
    <row r="701">
      <c r="A701" s="111" t="n"/>
      <c r="B701" s="27">
        <f>IF(A701="","",DATE(YEAR(A701),MONTH(A701),1))</f>
        <v/>
      </c>
      <c r="C701" s="28" t="n"/>
      <c r="D701" s="28" t="n"/>
      <c r="E701" s="28" t="n"/>
      <c r="F701" s="18" t="n"/>
      <c r="G701" s="7">
        <f>IFERROR(VLOOKUP(D701,'Catálogo de Serviços'!$A$5:$F$100,6,FALSE),0)</f>
        <v/>
      </c>
      <c r="H701" s="7">
        <f>IFERROR(E701*F701,0)</f>
        <v/>
      </c>
      <c r="I701" s="7">
        <f>IFERROR(F701-G701,0)</f>
        <v/>
      </c>
      <c r="J701" s="28" t="n"/>
      <c r="K701" s="28" t="n"/>
    </row>
    <row r="702">
      <c r="A702" s="111" t="n"/>
      <c r="B702" s="27">
        <f>IF(A702="","",DATE(YEAR(A702),MONTH(A702),1))</f>
        <v/>
      </c>
      <c r="C702" s="28" t="n"/>
      <c r="D702" s="28" t="n"/>
      <c r="E702" s="28" t="n"/>
      <c r="F702" s="18" t="n"/>
      <c r="G702" s="7">
        <f>IFERROR(VLOOKUP(D702,'Catálogo de Serviços'!$A$5:$F$100,6,FALSE),0)</f>
        <v/>
      </c>
      <c r="H702" s="7">
        <f>IFERROR(E702*F702,0)</f>
        <v/>
      </c>
      <c r="I702" s="7">
        <f>IFERROR(F702-G702,0)</f>
        <v/>
      </c>
      <c r="J702" s="28" t="n"/>
      <c r="K702" s="28" t="n"/>
    </row>
    <row r="703">
      <c r="A703" s="111" t="n"/>
      <c r="B703" s="27">
        <f>IF(A703="","",DATE(YEAR(A703),MONTH(A703),1))</f>
        <v/>
      </c>
      <c r="C703" s="28" t="n"/>
      <c r="D703" s="28" t="n"/>
      <c r="E703" s="28" t="n"/>
      <c r="F703" s="18" t="n"/>
      <c r="G703" s="7">
        <f>IFERROR(VLOOKUP(D703,'Catálogo de Serviços'!$A$5:$F$100,6,FALSE),0)</f>
        <v/>
      </c>
      <c r="H703" s="7">
        <f>IFERROR(E703*F703,0)</f>
        <v/>
      </c>
      <c r="I703" s="7">
        <f>IFERROR(F703-G703,0)</f>
        <v/>
      </c>
      <c r="J703" s="28" t="n"/>
      <c r="K703" s="28" t="n"/>
    </row>
    <row r="704">
      <c r="A704" s="111" t="n"/>
      <c r="B704" s="27">
        <f>IF(A704="","",DATE(YEAR(A704),MONTH(A704),1))</f>
        <v/>
      </c>
      <c r="C704" s="28" t="n"/>
      <c r="D704" s="28" t="n"/>
      <c r="E704" s="28" t="n"/>
      <c r="F704" s="18" t="n"/>
      <c r="G704" s="7">
        <f>IFERROR(VLOOKUP(D704,'Catálogo de Serviços'!$A$5:$F$100,6,FALSE),0)</f>
        <v/>
      </c>
      <c r="H704" s="7">
        <f>IFERROR(E704*F704,0)</f>
        <v/>
      </c>
      <c r="I704" s="7">
        <f>IFERROR(F704-G704,0)</f>
        <v/>
      </c>
      <c r="J704" s="28" t="n"/>
      <c r="K704" s="28" t="n"/>
    </row>
    <row r="705">
      <c r="A705" s="111" t="n"/>
      <c r="B705" s="27">
        <f>IF(A705="","",DATE(YEAR(A705),MONTH(A705),1))</f>
        <v/>
      </c>
      <c r="C705" s="28" t="n"/>
      <c r="D705" s="28" t="n"/>
      <c r="E705" s="28" t="n"/>
      <c r="F705" s="18" t="n"/>
      <c r="G705" s="7">
        <f>IFERROR(VLOOKUP(D705,'Catálogo de Serviços'!$A$5:$F$100,6,FALSE),0)</f>
        <v/>
      </c>
      <c r="H705" s="7">
        <f>IFERROR(E705*F705,0)</f>
        <v/>
      </c>
      <c r="I705" s="7">
        <f>IFERROR(F705-G705,0)</f>
        <v/>
      </c>
      <c r="J705" s="28" t="n"/>
      <c r="K705" s="28" t="n"/>
    </row>
    <row r="706">
      <c r="A706" s="111" t="n"/>
      <c r="B706" s="27">
        <f>IF(A706="","",DATE(YEAR(A706),MONTH(A706),1))</f>
        <v/>
      </c>
      <c r="C706" s="28" t="n"/>
      <c r="D706" s="28" t="n"/>
      <c r="E706" s="28" t="n"/>
      <c r="F706" s="18" t="n"/>
      <c r="G706" s="7">
        <f>IFERROR(VLOOKUP(D706,'Catálogo de Serviços'!$A$5:$F$100,6,FALSE),0)</f>
        <v/>
      </c>
      <c r="H706" s="7">
        <f>IFERROR(E706*F706,0)</f>
        <v/>
      </c>
      <c r="I706" s="7">
        <f>IFERROR(F706-G706,0)</f>
        <v/>
      </c>
      <c r="J706" s="28" t="n"/>
      <c r="K706" s="28" t="n"/>
    </row>
    <row r="707">
      <c r="A707" s="111" t="n"/>
      <c r="B707" s="27">
        <f>IF(A707="","",DATE(YEAR(A707),MONTH(A707),1))</f>
        <v/>
      </c>
      <c r="C707" s="28" t="n"/>
      <c r="D707" s="28" t="n"/>
      <c r="E707" s="28" t="n"/>
      <c r="F707" s="18" t="n"/>
      <c r="G707" s="7">
        <f>IFERROR(VLOOKUP(D707,'Catálogo de Serviços'!$A$5:$F$100,6,FALSE),0)</f>
        <v/>
      </c>
      <c r="H707" s="7">
        <f>IFERROR(E707*F707,0)</f>
        <v/>
      </c>
      <c r="I707" s="7">
        <f>IFERROR(F707-G707,0)</f>
        <v/>
      </c>
      <c r="J707" s="28" t="n"/>
      <c r="K707" s="28" t="n"/>
    </row>
    <row r="708">
      <c r="A708" s="111" t="n"/>
      <c r="B708" s="27">
        <f>IF(A708="","",DATE(YEAR(A708),MONTH(A708),1))</f>
        <v/>
      </c>
      <c r="C708" s="28" t="n"/>
      <c r="D708" s="28" t="n"/>
      <c r="E708" s="28" t="n"/>
      <c r="F708" s="18" t="n"/>
      <c r="G708" s="7">
        <f>IFERROR(VLOOKUP(D708,'Catálogo de Serviços'!$A$5:$F$100,6,FALSE),0)</f>
        <v/>
      </c>
      <c r="H708" s="7">
        <f>IFERROR(E708*F708,0)</f>
        <v/>
      </c>
      <c r="I708" s="7">
        <f>IFERROR(F708-G708,0)</f>
        <v/>
      </c>
      <c r="J708" s="28" t="n"/>
      <c r="K708" s="28" t="n"/>
    </row>
    <row r="709">
      <c r="A709" s="111" t="n"/>
      <c r="B709" s="27">
        <f>IF(A709="","",DATE(YEAR(A709),MONTH(A709),1))</f>
        <v/>
      </c>
      <c r="C709" s="28" t="n"/>
      <c r="D709" s="28" t="n"/>
      <c r="E709" s="28" t="n"/>
      <c r="F709" s="18" t="n"/>
      <c r="G709" s="7">
        <f>IFERROR(VLOOKUP(D709,'Catálogo de Serviços'!$A$5:$F$100,6,FALSE),0)</f>
        <v/>
      </c>
      <c r="H709" s="7">
        <f>IFERROR(E709*F709,0)</f>
        <v/>
      </c>
      <c r="I709" s="7">
        <f>IFERROR(F709-G709,0)</f>
        <v/>
      </c>
      <c r="J709" s="28" t="n"/>
      <c r="K709" s="28" t="n"/>
    </row>
    <row r="710">
      <c r="A710" s="111" t="n"/>
      <c r="B710" s="27">
        <f>IF(A710="","",DATE(YEAR(A710),MONTH(A710),1))</f>
        <v/>
      </c>
      <c r="C710" s="28" t="n"/>
      <c r="D710" s="28" t="n"/>
      <c r="E710" s="28" t="n"/>
      <c r="F710" s="18" t="n"/>
      <c r="G710" s="7">
        <f>IFERROR(VLOOKUP(D710,'Catálogo de Serviços'!$A$5:$F$100,6,FALSE),0)</f>
        <v/>
      </c>
      <c r="H710" s="7">
        <f>IFERROR(E710*F710,0)</f>
        <v/>
      </c>
      <c r="I710" s="7">
        <f>IFERROR(F710-G710,0)</f>
        <v/>
      </c>
      <c r="J710" s="28" t="n"/>
      <c r="K710" s="28" t="n"/>
    </row>
    <row r="711">
      <c r="A711" s="111" t="n"/>
      <c r="B711" s="27">
        <f>IF(A711="","",DATE(YEAR(A711),MONTH(A711),1))</f>
        <v/>
      </c>
      <c r="C711" s="28" t="n"/>
      <c r="D711" s="28" t="n"/>
      <c r="E711" s="28" t="n"/>
      <c r="F711" s="18" t="n"/>
      <c r="G711" s="7">
        <f>IFERROR(VLOOKUP(D711,'Catálogo de Serviços'!$A$5:$F$100,6,FALSE),0)</f>
        <v/>
      </c>
      <c r="H711" s="7">
        <f>IFERROR(E711*F711,0)</f>
        <v/>
      </c>
      <c r="I711" s="7">
        <f>IFERROR(F711-G711,0)</f>
        <v/>
      </c>
      <c r="J711" s="28" t="n"/>
      <c r="K711" s="28" t="n"/>
    </row>
    <row r="712">
      <c r="A712" s="111" t="n"/>
      <c r="B712" s="27">
        <f>IF(A712="","",DATE(YEAR(A712),MONTH(A712),1))</f>
        <v/>
      </c>
      <c r="C712" s="28" t="n"/>
      <c r="D712" s="28" t="n"/>
      <c r="E712" s="28" t="n"/>
      <c r="F712" s="18" t="n"/>
      <c r="G712" s="7">
        <f>IFERROR(VLOOKUP(D712,'Catálogo de Serviços'!$A$5:$F$100,6,FALSE),0)</f>
        <v/>
      </c>
      <c r="H712" s="7">
        <f>IFERROR(E712*F712,0)</f>
        <v/>
      </c>
      <c r="I712" s="7">
        <f>IFERROR(F712-G712,0)</f>
        <v/>
      </c>
      <c r="J712" s="28" t="n"/>
      <c r="K712" s="28" t="n"/>
    </row>
    <row r="713">
      <c r="A713" s="111" t="n"/>
      <c r="B713" s="27">
        <f>IF(A713="","",DATE(YEAR(A713),MONTH(A713),1))</f>
        <v/>
      </c>
      <c r="C713" s="28" t="n"/>
      <c r="D713" s="28" t="n"/>
      <c r="E713" s="28" t="n"/>
      <c r="F713" s="18" t="n"/>
      <c r="G713" s="7">
        <f>IFERROR(VLOOKUP(D713,'Catálogo de Serviços'!$A$5:$F$100,6,FALSE),0)</f>
        <v/>
      </c>
      <c r="H713" s="7">
        <f>IFERROR(E713*F713,0)</f>
        <v/>
      </c>
      <c r="I713" s="7">
        <f>IFERROR(F713-G713,0)</f>
        <v/>
      </c>
      <c r="J713" s="28" t="n"/>
      <c r="K713" s="28" t="n"/>
    </row>
    <row r="714">
      <c r="A714" s="111" t="n"/>
      <c r="B714" s="27">
        <f>IF(A714="","",DATE(YEAR(A714),MONTH(A714),1))</f>
        <v/>
      </c>
      <c r="C714" s="28" t="n"/>
      <c r="D714" s="28" t="n"/>
      <c r="E714" s="28" t="n"/>
      <c r="F714" s="18" t="n"/>
      <c r="G714" s="7">
        <f>IFERROR(VLOOKUP(D714,'Catálogo de Serviços'!$A$5:$F$100,6,FALSE),0)</f>
        <v/>
      </c>
      <c r="H714" s="7">
        <f>IFERROR(E714*F714,0)</f>
        <v/>
      </c>
      <c r="I714" s="7">
        <f>IFERROR(F714-G714,0)</f>
        <v/>
      </c>
      <c r="J714" s="28" t="n"/>
      <c r="K714" s="28" t="n"/>
    </row>
    <row r="715">
      <c r="A715" s="111" t="n"/>
      <c r="B715" s="27">
        <f>IF(A715="","",DATE(YEAR(A715),MONTH(A715),1))</f>
        <v/>
      </c>
      <c r="C715" s="28" t="n"/>
      <c r="D715" s="28" t="n"/>
      <c r="E715" s="28" t="n"/>
      <c r="F715" s="18" t="n"/>
      <c r="G715" s="7">
        <f>IFERROR(VLOOKUP(D715,'Catálogo de Serviços'!$A$5:$F$100,6,FALSE),0)</f>
        <v/>
      </c>
      <c r="H715" s="7">
        <f>IFERROR(E715*F715,0)</f>
        <v/>
      </c>
      <c r="I715" s="7">
        <f>IFERROR(F715-G715,0)</f>
        <v/>
      </c>
      <c r="J715" s="28" t="n"/>
      <c r="K715" s="28" t="n"/>
    </row>
    <row r="716">
      <c r="A716" s="111" t="n"/>
      <c r="B716" s="27">
        <f>IF(A716="","",DATE(YEAR(A716),MONTH(A716),1))</f>
        <v/>
      </c>
      <c r="C716" s="28" t="n"/>
      <c r="D716" s="28" t="n"/>
      <c r="E716" s="28" t="n"/>
      <c r="F716" s="18" t="n"/>
      <c r="G716" s="7">
        <f>IFERROR(VLOOKUP(D716,'Catálogo de Serviços'!$A$5:$F$100,6,FALSE),0)</f>
        <v/>
      </c>
      <c r="H716" s="7">
        <f>IFERROR(E716*F716,0)</f>
        <v/>
      </c>
      <c r="I716" s="7">
        <f>IFERROR(F716-G716,0)</f>
        <v/>
      </c>
      <c r="J716" s="28" t="n"/>
      <c r="K716" s="28" t="n"/>
    </row>
    <row r="717">
      <c r="A717" s="111" t="n"/>
      <c r="B717" s="27">
        <f>IF(A717="","",DATE(YEAR(A717),MONTH(A717),1))</f>
        <v/>
      </c>
      <c r="C717" s="28" t="n"/>
      <c r="D717" s="28" t="n"/>
      <c r="E717" s="28" t="n"/>
      <c r="F717" s="18" t="n"/>
      <c r="G717" s="7">
        <f>IFERROR(VLOOKUP(D717,'Catálogo de Serviços'!$A$5:$F$100,6,FALSE),0)</f>
        <v/>
      </c>
      <c r="H717" s="7">
        <f>IFERROR(E717*F717,0)</f>
        <v/>
      </c>
      <c r="I717" s="7">
        <f>IFERROR(F717-G717,0)</f>
        <v/>
      </c>
      <c r="J717" s="28" t="n"/>
      <c r="K717" s="28" t="n"/>
    </row>
    <row r="718">
      <c r="A718" s="111" t="n"/>
      <c r="B718" s="27">
        <f>IF(A718="","",DATE(YEAR(A718),MONTH(A718),1))</f>
        <v/>
      </c>
      <c r="C718" s="28" t="n"/>
      <c r="D718" s="28" t="n"/>
      <c r="E718" s="28" t="n"/>
      <c r="F718" s="18" t="n"/>
      <c r="G718" s="7">
        <f>IFERROR(VLOOKUP(D718,'Catálogo de Serviços'!$A$5:$F$100,6,FALSE),0)</f>
        <v/>
      </c>
      <c r="H718" s="7">
        <f>IFERROR(E718*F718,0)</f>
        <v/>
      </c>
      <c r="I718" s="7">
        <f>IFERROR(F718-G718,0)</f>
        <v/>
      </c>
      <c r="J718" s="28" t="n"/>
      <c r="K718" s="28" t="n"/>
    </row>
    <row r="719">
      <c r="A719" s="111" t="n"/>
      <c r="B719" s="27">
        <f>IF(A719="","",DATE(YEAR(A719),MONTH(A719),1))</f>
        <v/>
      </c>
      <c r="C719" s="28" t="n"/>
      <c r="D719" s="28" t="n"/>
      <c r="E719" s="28" t="n"/>
      <c r="F719" s="18" t="n"/>
      <c r="G719" s="7">
        <f>IFERROR(VLOOKUP(D719,'Catálogo de Serviços'!$A$5:$F$100,6,FALSE),0)</f>
        <v/>
      </c>
      <c r="H719" s="7">
        <f>IFERROR(E719*F719,0)</f>
        <v/>
      </c>
      <c r="I719" s="7">
        <f>IFERROR(F719-G719,0)</f>
        <v/>
      </c>
      <c r="J719" s="28" t="n"/>
      <c r="K719" s="28" t="n"/>
    </row>
    <row r="720">
      <c r="A720" s="111" t="n"/>
      <c r="B720" s="27">
        <f>IF(A720="","",DATE(YEAR(A720),MONTH(A720),1))</f>
        <v/>
      </c>
      <c r="C720" s="28" t="n"/>
      <c r="D720" s="28" t="n"/>
      <c r="E720" s="28" t="n"/>
      <c r="F720" s="18" t="n"/>
      <c r="G720" s="7">
        <f>IFERROR(VLOOKUP(D720,'Catálogo de Serviços'!$A$5:$F$100,6,FALSE),0)</f>
        <v/>
      </c>
      <c r="H720" s="7">
        <f>IFERROR(E720*F720,0)</f>
        <v/>
      </c>
      <c r="I720" s="7">
        <f>IFERROR(F720-G720,0)</f>
        <v/>
      </c>
      <c r="J720" s="28" t="n"/>
      <c r="K720" s="28" t="n"/>
    </row>
    <row r="721">
      <c r="A721" s="111" t="n"/>
      <c r="B721" s="27">
        <f>IF(A721="","",DATE(YEAR(A721),MONTH(A721),1))</f>
        <v/>
      </c>
      <c r="C721" s="28" t="n"/>
      <c r="D721" s="28" t="n"/>
      <c r="E721" s="28" t="n"/>
      <c r="F721" s="18" t="n"/>
      <c r="G721" s="7">
        <f>IFERROR(VLOOKUP(D721,'Catálogo de Serviços'!$A$5:$F$100,6,FALSE),0)</f>
        <v/>
      </c>
      <c r="H721" s="7">
        <f>IFERROR(E721*F721,0)</f>
        <v/>
      </c>
      <c r="I721" s="7">
        <f>IFERROR(F721-G721,0)</f>
        <v/>
      </c>
      <c r="J721" s="28" t="n"/>
      <c r="K721" s="28" t="n"/>
    </row>
    <row r="722">
      <c r="A722" s="111" t="n"/>
      <c r="B722" s="27">
        <f>IF(A722="","",DATE(YEAR(A722),MONTH(A722),1))</f>
        <v/>
      </c>
      <c r="C722" s="28" t="n"/>
      <c r="D722" s="28" t="n"/>
      <c r="E722" s="28" t="n"/>
      <c r="F722" s="18" t="n"/>
      <c r="G722" s="7">
        <f>IFERROR(VLOOKUP(D722,'Catálogo de Serviços'!$A$5:$F$100,6,FALSE),0)</f>
        <v/>
      </c>
      <c r="H722" s="7">
        <f>IFERROR(E722*F722,0)</f>
        <v/>
      </c>
      <c r="I722" s="7">
        <f>IFERROR(F722-G722,0)</f>
        <v/>
      </c>
      <c r="J722" s="28" t="n"/>
      <c r="K722" s="28" t="n"/>
    </row>
    <row r="723">
      <c r="A723" s="111" t="n"/>
      <c r="B723" s="27">
        <f>IF(A723="","",DATE(YEAR(A723),MONTH(A723),1))</f>
        <v/>
      </c>
      <c r="C723" s="28" t="n"/>
      <c r="D723" s="28" t="n"/>
      <c r="E723" s="28" t="n"/>
      <c r="F723" s="18" t="n"/>
      <c r="G723" s="7">
        <f>IFERROR(VLOOKUP(D723,'Catálogo de Serviços'!$A$5:$F$100,6,FALSE),0)</f>
        <v/>
      </c>
      <c r="H723" s="7">
        <f>IFERROR(E723*F723,0)</f>
        <v/>
      </c>
      <c r="I723" s="7">
        <f>IFERROR(F723-G723,0)</f>
        <v/>
      </c>
      <c r="J723" s="28" t="n"/>
      <c r="K723" s="28" t="n"/>
    </row>
    <row r="724">
      <c r="A724" s="111" t="n"/>
      <c r="B724" s="27">
        <f>IF(A724="","",DATE(YEAR(A724),MONTH(A724),1))</f>
        <v/>
      </c>
      <c r="C724" s="28" t="n"/>
      <c r="D724" s="28" t="n"/>
      <c r="E724" s="28" t="n"/>
      <c r="F724" s="18" t="n"/>
      <c r="G724" s="7">
        <f>IFERROR(VLOOKUP(D724,'Catálogo de Serviços'!$A$5:$F$100,6,FALSE),0)</f>
        <v/>
      </c>
      <c r="H724" s="7">
        <f>IFERROR(E724*F724,0)</f>
        <v/>
      </c>
      <c r="I724" s="7">
        <f>IFERROR(F724-G724,0)</f>
        <v/>
      </c>
      <c r="J724" s="28" t="n"/>
      <c r="K724" s="28" t="n"/>
    </row>
    <row r="725">
      <c r="A725" s="111" t="n"/>
      <c r="B725" s="27">
        <f>IF(A725="","",DATE(YEAR(A725),MONTH(A725),1))</f>
        <v/>
      </c>
      <c r="C725" s="28" t="n"/>
      <c r="D725" s="28" t="n"/>
      <c r="E725" s="28" t="n"/>
      <c r="F725" s="18" t="n"/>
      <c r="G725" s="7">
        <f>IFERROR(VLOOKUP(D725,'Catálogo de Serviços'!$A$5:$F$100,6,FALSE),0)</f>
        <v/>
      </c>
      <c r="H725" s="7">
        <f>IFERROR(E725*F725,0)</f>
        <v/>
      </c>
      <c r="I725" s="7">
        <f>IFERROR(F725-G725,0)</f>
        <v/>
      </c>
      <c r="J725" s="28" t="n"/>
      <c r="K725" s="28" t="n"/>
    </row>
    <row r="726">
      <c r="A726" s="111" t="n"/>
      <c r="B726" s="27">
        <f>IF(A726="","",DATE(YEAR(A726),MONTH(A726),1))</f>
        <v/>
      </c>
      <c r="C726" s="28" t="n"/>
      <c r="D726" s="28" t="n"/>
      <c r="E726" s="28" t="n"/>
      <c r="F726" s="18" t="n"/>
      <c r="G726" s="7">
        <f>IFERROR(VLOOKUP(D726,'Catálogo de Serviços'!$A$5:$F$100,6,FALSE),0)</f>
        <v/>
      </c>
      <c r="H726" s="7">
        <f>IFERROR(E726*F726,0)</f>
        <v/>
      </c>
      <c r="I726" s="7">
        <f>IFERROR(F726-G726,0)</f>
        <v/>
      </c>
      <c r="J726" s="28" t="n"/>
      <c r="K726" s="28" t="n"/>
    </row>
    <row r="727">
      <c r="A727" s="111" t="n"/>
      <c r="B727" s="27">
        <f>IF(A727="","",DATE(YEAR(A727),MONTH(A727),1))</f>
        <v/>
      </c>
      <c r="C727" s="28" t="n"/>
      <c r="D727" s="28" t="n"/>
      <c r="E727" s="28" t="n"/>
      <c r="F727" s="18" t="n"/>
      <c r="G727" s="7">
        <f>IFERROR(VLOOKUP(D727,'Catálogo de Serviços'!$A$5:$F$100,6,FALSE),0)</f>
        <v/>
      </c>
      <c r="H727" s="7">
        <f>IFERROR(E727*F727,0)</f>
        <v/>
      </c>
      <c r="I727" s="7">
        <f>IFERROR(F727-G727,0)</f>
        <v/>
      </c>
      <c r="J727" s="28" t="n"/>
      <c r="K727" s="28" t="n"/>
    </row>
    <row r="728">
      <c r="A728" s="111" t="n"/>
      <c r="B728" s="27">
        <f>IF(A728="","",DATE(YEAR(A728),MONTH(A728),1))</f>
        <v/>
      </c>
      <c r="C728" s="28" t="n"/>
      <c r="D728" s="28" t="n"/>
      <c r="E728" s="28" t="n"/>
      <c r="F728" s="18" t="n"/>
      <c r="G728" s="7">
        <f>IFERROR(VLOOKUP(D728,'Catálogo de Serviços'!$A$5:$F$100,6,FALSE),0)</f>
        <v/>
      </c>
      <c r="H728" s="7">
        <f>IFERROR(E728*F728,0)</f>
        <v/>
      </c>
      <c r="I728" s="7">
        <f>IFERROR(F728-G728,0)</f>
        <v/>
      </c>
      <c r="J728" s="28" t="n"/>
      <c r="K728" s="28" t="n"/>
    </row>
    <row r="729">
      <c r="A729" s="111" t="n"/>
      <c r="B729" s="27">
        <f>IF(A729="","",DATE(YEAR(A729),MONTH(A729),1))</f>
        <v/>
      </c>
      <c r="C729" s="28" t="n"/>
      <c r="D729" s="28" t="n"/>
      <c r="E729" s="28" t="n"/>
      <c r="F729" s="18" t="n"/>
      <c r="G729" s="7">
        <f>IFERROR(VLOOKUP(D729,'Catálogo de Serviços'!$A$5:$F$100,6,FALSE),0)</f>
        <v/>
      </c>
      <c r="H729" s="7">
        <f>IFERROR(E729*F729,0)</f>
        <v/>
      </c>
      <c r="I729" s="7">
        <f>IFERROR(F729-G729,0)</f>
        <v/>
      </c>
      <c r="J729" s="28" t="n"/>
      <c r="K729" s="28" t="n"/>
    </row>
    <row r="730">
      <c r="A730" s="111" t="n"/>
      <c r="B730" s="27">
        <f>IF(A730="","",DATE(YEAR(A730),MONTH(A730),1))</f>
        <v/>
      </c>
      <c r="C730" s="28" t="n"/>
      <c r="D730" s="28" t="n"/>
      <c r="E730" s="28" t="n"/>
      <c r="F730" s="18" t="n"/>
      <c r="G730" s="7">
        <f>IFERROR(VLOOKUP(D730,'Catálogo de Serviços'!$A$5:$F$100,6,FALSE),0)</f>
        <v/>
      </c>
      <c r="H730" s="7">
        <f>IFERROR(E730*F730,0)</f>
        <v/>
      </c>
      <c r="I730" s="7">
        <f>IFERROR(F730-G730,0)</f>
        <v/>
      </c>
      <c r="J730" s="28" t="n"/>
      <c r="K730" s="28" t="n"/>
    </row>
    <row r="731">
      <c r="A731" s="111" t="n"/>
      <c r="B731" s="27">
        <f>IF(A731="","",DATE(YEAR(A731),MONTH(A731),1))</f>
        <v/>
      </c>
      <c r="C731" s="28" t="n"/>
      <c r="D731" s="28" t="n"/>
      <c r="E731" s="28" t="n"/>
      <c r="F731" s="18" t="n"/>
      <c r="G731" s="7">
        <f>IFERROR(VLOOKUP(D731,'Catálogo de Serviços'!$A$5:$F$100,6,FALSE),0)</f>
        <v/>
      </c>
      <c r="H731" s="7">
        <f>IFERROR(E731*F731,0)</f>
        <v/>
      </c>
      <c r="I731" s="7">
        <f>IFERROR(F731-G731,0)</f>
        <v/>
      </c>
      <c r="J731" s="28" t="n"/>
      <c r="K731" s="28" t="n"/>
    </row>
    <row r="732">
      <c r="A732" s="111" t="n"/>
      <c r="B732" s="27">
        <f>IF(A732="","",DATE(YEAR(A732),MONTH(A732),1))</f>
        <v/>
      </c>
      <c r="C732" s="28" t="n"/>
      <c r="D732" s="28" t="n"/>
      <c r="E732" s="28" t="n"/>
      <c r="F732" s="18" t="n"/>
      <c r="G732" s="7">
        <f>IFERROR(VLOOKUP(D732,'Catálogo de Serviços'!$A$5:$F$100,6,FALSE),0)</f>
        <v/>
      </c>
      <c r="H732" s="7">
        <f>IFERROR(E732*F732,0)</f>
        <v/>
      </c>
      <c r="I732" s="7">
        <f>IFERROR(F732-G732,0)</f>
        <v/>
      </c>
      <c r="J732" s="28" t="n"/>
      <c r="K732" s="28" t="n"/>
    </row>
    <row r="733">
      <c r="A733" s="111" t="n"/>
      <c r="B733" s="27">
        <f>IF(A733="","",DATE(YEAR(A733),MONTH(A733),1))</f>
        <v/>
      </c>
      <c r="C733" s="28" t="n"/>
      <c r="D733" s="28" t="n"/>
      <c r="E733" s="28" t="n"/>
      <c r="F733" s="18" t="n"/>
      <c r="G733" s="7">
        <f>IFERROR(VLOOKUP(D733,'Catálogo de Serviços'!$A$5:$F$100,6,FALSE),0)</f>
        <v/>
      </c>
      <c r="H733" s="7">
        <f>IFERROR(E733*F733,0)</f>
        <v/>
      </c>
      <c r="I733" s="7">
        <f>IFERROR(F733-G733,0)</f>
        <v/>
      </c>
      <c r="J733" s="28" t="n"/>
      <c r="K733" s="28" t="n"/>
    </row>
    <row r="734">
      <c r="A734" s="111" t="n"/>
      <c r="B734" s="27">
        <f>IF(A734="","",DATE(YEAR(A734),MONTH(A734),1))</f>
        <v/>
      </c>
      <c r="C734" s="28" t="n"/>
      <c r="D734" s="28" t="n"/>
      <c r="E734" s="28" t="n"/>
      <c r="F734" s="18" t="n"/>
      <c r="G734" s="7">
        <f>IFERROR(VLOOKUP(D734,'Catálogo de Serviços'!$A$5:$F$100,6,FALSE),0)</f>
        <v/>
      </c>
      <c r="H734" s="7">
        <f>IFERROR(E734*F734,0)</f>
        <v/>
      </c>
      <c r="I734" s="7">
        <f>IFERROR(F734-G734,0)</f>
        <v/>
      </c>
      <c r="J734" s="28" t="n"/>
      <c r="K734" s="28" t="n"/>
    </row>
    <row r="735">
      <c r="A735" s="111" t="n"/>
      <c r="B735" s="27">
        <f>IF(A735="","",DATE(YEAR(A735),MONTH(A735),1))</f>
        <v/>
      </c>
      <c r="C735" s="28" t="n"/>
      <c r="D735" s="28" t="n"/>
      <c r="E735" s="28" t="n"/>
      <c r="F735" s="18" t="n"/>
      <c r="G735" s="7">
        <f>IFERROR(VLOOKUP(D735,'Catálogo de Serviços'!$A$5:$F$100,6,FALSE),0)</f>
        <v/>
      </c>
      <c r="H735" s="7">
        <f>IFERROR(E735*F735,0)</f>
        <v/>
      </c>
      <c r="I735" s="7">
        <f>IFERROR(F735-G735,0)</f>
        <v/>
      </c>
      <c r="J735" s="28" t="n"/>
      <c r="K735" s="28" t="n"/>
    </row>
    <row r="736">
      <c r="A736" s="111" t="n"/>
      <c r="B736" s="27">
        <f>IF(A736="","",DATE(YEAR(A736),MONTH(A736),1))</f>
        <v/>
      </c>
      <c r="C736" s="28" t="n"/>
      <c r="D736" s="28" t="n"/>
      <c r="E736" s="28" t="n"/>
      <c r="F736" s="18" t="n"/>
      <c r="G736" s="7">
        <f>IFERROR(VLOOKUP(D736,'Catálogo de Serviços'!$A$5:$F$100,6,FALSE),0)</f>
        <v/>
      </c>
      <c r="H736" s="7">
        <f>IFERROR(E736*F736,0)</f>
        <v/>
      </c>
      <c r="I736" s="7">
        <f>IFERROR(F736-G736,0)</f>
        <v/>
      </c>
      <c r="J736" s="28" t="n"/>
      <c r="K736" s="28" t="n"/>
    </row>
    <row r="737">
      <c r="A737" s="111" t="n"/>
      <c r="B737" s="27">
        <f>IF(A737="","",DATE(YEAR(A737),MONTH(A737),1))</f>
        <v/>
      </c>
      <c r="C737" s="28" t="n"/>
      <c r="D737" s="28" t="n"/>
      <c r="E737" s="28" t="n"/>
      <c r="F737" s="18" t="n"/>
      <c r="G737" s="7">
        <f>IFERROR(VLOOKUP(D737,'Catálogo de Serviços'!$A$5:$F$100,6,FALSE),0)</f>
        <v/>
      </c>
      <c r="H737" s="7">
        <f>IFERROR(E737*F737,0)</f>
        <v/>
      </c>
      <c r="I737" s="7">
        <f>IFERROR(F737-G737,0)</f>
        <v/>
      </c>
      <c r="J737" s="28" t="n"/>
      <c r="K737" s="28" t="n"/>
    </row>
    <row r="738">
      <c r="A738" s="111" t="n"/>
      <c r="B738" s="27">
        <f>IF(A738="","",DATE(YEAR(A738),MONTH(A738),1))</f>
        <v/>
      </c>
      <c r="C738" s="28" t="n"/>
      <c r="D738" s="28" t="n"/>
      <c r="E738" s="28" t="n"/>
      <c r="F738" s="18" t="n"/>
      <c r="G738" s="7">
        <f>IFERROR(VLOOKUP(D738,'Catálogo de Serviços'!$A$5:$F$100,6,FALSE),0)</f>
        <v/>
      </c>
      <c r="H738" s="7">
        <f>IFERROR(E738*F738,0)</f>
        <v/>
      </c>
      <c r="I738" s="7">
        <f>IFERROR(F738-G738,0)</f>
        <v/>
      </c>
      <c r="J738" s="28" t="n"/>
      <c r="K738" s="28" t="n"/>
    </row>
    <row r="739">
      <c r="A739" s="111" t="n"/>
      <c r="B739" s="27">
        <f>IF(A739="","",DATE(YEAR(A739),MONTH(A739),1))</f>
        <v/>
      </c>
      <c r="C739" s="28" t="n"/>
      <c r="D739" s="28" t="n"/>
      <c r="E739" s="28" t="n"/>
      <c r="F739" s="18" t="n"/>
      <c r="G739" s="7">
        <f>IFERROR(VLOOKUP(D739,'Catálogo de Serviços'!$A$5:$F$100,6,FALSE),0)</f>
        <v/>
      </c>
      <c r="H739" s="7">
        <f>IFERROR(E739*F739,0)</f>
        <v/>
      </c>
      <c r="I739" s="7">
        <f>IFERROR(F739-G739,0)</f>
        <v/>
      </c>
      <c r="J739" s="28" t="n"/>
      <c r="K739" s="28" t="n"/>
    </row>
    <row r="740">
      <c r="A740" s="111" t="n"/>
      <c r="B740" s="27">
        <f>IF(A740="","",DATE(YEAR(A740),MONTH(A740),1))</f>
        <v/>
      </c>
      <c r="C740" s="28" t="n"/>
      <c r="D740" s="28" t="n"/>
      <c r="E740" s="28" t="n"/>
      <c r="F740" s="18" t="n"/>
      <c r="G740" s="7">
        <f>IFERROR(VLOOKUP(D740,'Catálogo de Serviços'!$A$5:$F$100,6,FALSE),0)</f>
        <v/>
      </c>
      <c r="H740" s="7">
        <f>IFERROR(E740*F740,0)</f>
        <v/>
      </c>
      <c r="I740" s="7">
        <f>IFERROR(F740-G740,0)</f>
        <v/>
      </c>
      <c r="J740" s="28" t="n"/>
      <c r="K740" s="28" t="n"/>
    </row>
    <row r="741">
      <c r="A741" s="111" t="n"/>
      <c r="B741" s="27">
        <f>IF(A741="","",DATE(YEAR(A741),MONTH(A741),1))</f>
        <v/>
      </c>
      <c r="C741" s="28" t="n"/>
      <c r="D741" s="28" t="n"/>
      <c r="E741" s="28" t="n"/>
      <c r="F741" s="18" t="n"/>
      <c r="G741" s="7">
        <f>IFERROR(VLOOKUP(D741,'Catálogo de Serviços'!$A$5:$F$100,6,FALSE),0)</f>
        <v/>
      </c>
      <c r="H741" s="7">
        <f>IFERROR(E741*F741,0)</f>
        <v/>
      </c>
      <c r="I741" s="7">
        <f>IFERROR(F741-G741,0)</f>
        <v/>
      </c>
      <c r="J741" s="28" t="n"/>
      <c r="K741" s="28" t="n"/>
    </row>
    <row r="742">
      <c r="A742" s="111" t="n"/>
      <c r="B742" s="27">
        <f>IF(A742="","",DATE(YEAR(A742),MONTH(A742),1))</f>
        <v/>
      </c>
      <c r="C742" s="28" t="n"/>
      <c r="D742" s="28" t="n"/>
      <c r="E742" s="28" t="n"/>
      <c r="F742" s="18" t="n"/>
      <c r="G742" s="7">
        <f>IFERROR(VLOOKUP(D742,'Catálogo de Serviços'!$A$5:$F$100,6,FALSE),0)</f>
        <v/>
      </c>
      <c r="H742" s="7">
        <f>IFERROR(E742*F742,0)</f>
        <v/>
      </c>
      <c r="I742" s="7">
        <f>IFERROR(F742-G742,0)</f>
        <v/>
      </c>
      <c r="J742" s="28" t="n"/>
      <c r="K742" s="28" t="n"/>
    </row>
    <row r="743">
      <c r="A743" s="111" t="n"/>
      <c r="B743" s="27">
        <f>IF(A743="","",DATE(YEAR(A743),MONTH(A743),1))</f>
        <v/>
      </c>
      <c r="C743" s="28" t="n"/>
      <c r="D743" s="28" t="n"/>
      <c r="E743" s="28" t="n"/>
      <c r="F743" s="18" t="n"/>
      <c r="G743" s="7">
        <f>IFERROR(VLOOKUP(D743,'Catálogo de Serviços'!$A$5:$F$100,6,FALSE),0)</f>
        <v/>
      </c>
      <c r="H743" s="7">
        <f>IFERROR(E743*F743,0)</f>
        <v/>
      </c>
      <c r="I743" s="7">
        <f>IFERROR(F743-G743,0)</f>
        <v/>
      </c>
      <c r="J743" s="28" t="n"/>
      <c r="K743" s="28" t="n"/>
    </row>
    <row r="744">
      <c r="A744" s="111" t="n"/>
      <c r="B744" s="27">
        <f>IF(A744="","",DATE(YEAR(A744),MONTH(A744),1))</f>
        <v/>
      </c>
      <c r="C744" s="28" t="n"/>
      <c r="D744" s="28" t="n"/>
      <c r="E744" s="28" t="n"/>
      <c r="F744" s="18" t="n"/>
      <c r="G744" s="7">
        <f>IFERROR(VLOOKUP(D744,'Catálogo de Serviços'!$A$5:$F$100,6,FALSE),0)</f>
        <v/>
      </c>
      <c r="H744" s="7">
        <f>IFERROR(E744*F744,0)</f>
        <v/>
      </c>
      <c r="I744" s="7">
        <f>IFERROR(F744-G744,0)</f>
        <v/>
      </c>
      <c r="J744" s="28" t="n"/>
      <c r="K744" s="28" t="n"/>
    </row>
    <row r="745">
      <c r="A745" s="111" t="n"/>
      <c r="B745" s="27">
        <f>IF(A745="","",DATE(YEAR(A745),MONTH(A745),1))</f>
        <v/>
      </c>
      <c r="C745" s="28" t="n"/>
      <c r="D745" s="28" t="n"/>
      <c r="E745" s="28" t="n"/>
      <c r="F745" s="18" t="n"/>
      <c r="G745" s="7">
        <f>IFERROR(VLOOKUP(D745,'Catálogo de Serviços'!$A$5:$F$100,6,FALSE),0)</f>
        <v/>
      </c>
      <c r="H745" s="7">
        <f>IFERROR(E745*F745,0)</f>
        <v/>
      </c>
      <c r="I745" s="7">
        <f>IFERROR(F745-G745,0)</f>
        <v/>
      </c>
      <c r="J745" s="28" t="n"/>
      <c r="K745" s="28" t="n"/>
    </row>
    <row r="746">
      <c r="A746" s="111" t="n"/>
      <c r="B746" s="27">
        <f>IF(A746="","",DATE(YEAR(A746),MONTH(A746),1))</f>
        <v/>
      </c>
      <c r="C746" s="28" t="n"/>
      <c r="D746" s="28" t="n"/>
      <c r="E746" s="28" t="n"/>
      <c r="F746" s="18" t="n"/>
      <c r="G746" s="7">
        <f>IFERROR(VLOOKUP(D746,'Catálogo de Serviços'!$A$5:$F$100,6,FALSE),0)</f>
        <v/>
      </c>
      <c r="H746" s="7">
        <f>IFERROR(E746*F746,0)</f>
        <v/>
      </c>
      <c r="I746" s="7">
        <f>IFERROR(F746-G746,0)</f>
        <v/>
      </c>
      <c r="J746" s="28" t="n"/>
      <c r="K746" s="28" t="n"/>
    </row>
    <row r="747">
      <c r="A747" s="111" t="n"/>
      <c r="B747" s="27">
        <f>IF(A747="","",DATE(YEAR(A747),MONTH(A747),1))</f>
        <v/>
      </c>
      <c r="C747" s="28" t="n"/>
      <c r="D747" s="28" t="n"/>
      <c r="E747" s="28" t="n"/>
      <c r="F747" s="18" t="n"/>
      <c r="G747" s="7">
        <f>IFERROR(VLOOKUP(D747,'Catálogo de Serviços'!$A$5:$F$100,6,FALSE),0)</f>
        <v/>
      </c>
      <c r="H747" s="7">
        <f>IFERROR(E747*F747,0)</f>
        <v/>
      </c>
      <c r="I747" s="7">
        <f>IFERROR(F747-G747,0)</f>
        <v/>
      </c>
      <c r="J747" s="28" t="n"/>
      <c r="K747" s="28" t="n"/>
    </row>
    <row r="748">
      <c r="A748" s="111" t="n"/>
      <c r="B748" s="27">
        <f>IF(A748="","",DATE(YEAR(A748),MONTH(A748),1))</f>
        <v/>
      </c>
      <c r="C748" s="28" t="n"/>
      <c r="D748" s="28" t="n"/>
      <c r="E748" s="28" t="n"/>
      <c r="F748" s="18" t="n"/>
      <c r="G748" s="7">
        <f>IFERROR(VLOOKUP(D748,'Catálogo de Serviços'!$A$5:$F$100,6,FALSE),0)</f>
        <v/>
      </c>
      <c r="H748" s="7">
        <f>IFERROR(E748*F748,0)</f>
        <v/>
      </c>
      <c r="I748" s="7">
        <f>IFERROR(F748-G748,0)</f>
        <v/>
      </c>
      <c r="J748" s="28" t="n"/>
      <c r="K748" s="28" t="n"/>
    </row>
    <row r="749">
      <c r="A749" s="111" t="n"/>
      <c r="B749" s="27">
        <f>IF(A749="","",DATE(YEAR(A749),MONTH(A749),1))</f>
        <v/>
      </c>
      <c r="C749" s="28" t="n"/>
      <c r="D749" s="28" t="n"/>
      <c r="E749" s="28" t="n"/>
      <c r="F749" s="18" t="n"/>
      <c r="G749" s="7">
        <f>IFERROR(VLOOKUP(D749,'Catálogo de Serviços'!$A$5:$F$100,6,FALSE),0)</f>
        <v/>
      </c>
      <c r="H749" s="7">
        <f>IFERROR(E749*F749,0)</f>
        <v/>
      </c>
      <c r="I749" s="7">
        <f>IFERROR(F749-G749,0)</f>
        <v/>
      </c>
      <c r="J749" s="28" t="n"/>
      <c r="K749" s="28" t="n"/>
    </row>
    <row r="750">
      <c r="A750" s="111" t="n"/>
      <c r="B750" s="27">
        <f>IF(A750="","",DATE(YEAR(A750),MONTH(A750),1))</f>
        <v/>
      </c>
      <c r="C750" s="28" t="n"/>
      <c r="D750" s="28" t="n"/>
      <c r="E750" s="28" t="n"/>
      <c r="F750" s="18" t="n"/>
      <c r="G750" s="7">
        <f>IFERROR(VLOOKUP(D750,'Catálogo de Serviços'!$A$5:$F$100,6,FALSE),0)</f>
        <v/>
      </c>
      <c r="H750" s="7">
        <f>IFERROR(E750*F750,0)</f>
        <v/>
      </c>
      <c r="I750" s="7">
        <f>IFERROR(F750-G750,0)</f>
        <v/>
      </c>
      <c r="J750" s="28" t="n"/>
      <c r="K750" s="28" t="n"/>
    </row>
    <row r="751">
      <c r="A751" s="111" t="n"/>
      <c r="B751" s="27">
        <f>IF(A751="","",DATE(YEAR(A751),MONTH(A751),1))</f>
        <v/>
      </c>
      <c r="C751" s="28" t="n"/>
      <c r="D751" s="28" t="n"/>
      <c r="E751" s="28" t="n"/>
      <c r="F751" s="18" t="n"/>
      <c r="G751" s="7">
        <f>IFERROR(VLOOKUP(D751,'Catálogo de Serviços'!$A$5:$F$100,6,FALSE),0)</f>
        <v/>
      </c>
      <c r="H751" s="7">
        <f>IFERROR(E751*F751,0)</f>
        <v/>
      </c>
      <c r="I751" s="7">
        <f>IFERROR(F751-G751,0)</f>
        <v/>
      </c>
      <c r="J751" s="28" t="n"/>
      <c r="K751" s="28" t="n"/>
    </row>
    <row r="752">
      <c r="A752" s="111" t="n"/>
      <c r="B752" s="27">
        <f>IF(A752="","",DATE(YEAR(A752),MONTH(A752),1))</f>
        <v/>
      </c>
      <c r="C752" s="28" t="n"/>
      <c r="D752" s="28" t="n"/>
      <c r="E752" s="28" t="n"/>
      <c r="F752" s="18" t="n"/>
      <c r="G752" s="7">
        <f>IFERROR(VLOOKUP(D752,'Catálogo de Serviços'!$A$5:$F$100,6,FALSE),0)</f>
        <v/>
      </c>
      <c r="H752" s="7">
        <f>IFERROR(E752*F752,0)</f>
        <v/>
      </c>
      <c r="I752" s="7">
        <f>IFERROR(F752-G752,0)</f>
        <v/>
      </c>
      <c r="J752" s="28" t="n"/>
      <c r="K752" s="28" t="n"/>
    </row>
    <row r="753">
      <c r="A753" s="111" t="n"/>
      <c r="B753" s="27">
        <f>IF(A753="","",DATE(YEAR(A753),MONTH(A753),1))</f>
        <v/>
      </c>
      <c r="C753" s="28" t="n"/>
      <c r="D753" s="28" t="n"/>
      <c r="E753" s="28" t="n"/>
      <c r="F753" s="18" t="n"/>
      <c r="G753" s="7">
        <f>IFERROR(VLOOKUP(D753,'Catálogo de Serviços'!$A$5:$F$100,6,FALSE),0)</f>
        <v/>
      </c>
      <c r="H753" s="7">
        <f>IFERROR(E753*F753,0)</f>
        <v/>
      </c>
      <c r="I753" s="7">
        <f>IFERROR(F753-G753,0)</f>
        <v/>
      </c>
      <c r="J753" s="28" t="n"/>
      <c r="K753" s="28" t="n"/>
    </row>
    <row r="754">
      <c r="A754" s="111" t="n"/>
      <c r="B754" s="27">
        <f>IF(A754="","",DATE(YEAR(A754),MONTH(A754),1))</f>
        <v/>
      </c>
      <c r="C754" s="28" t="n"/>
      <c r="D754" s="28" t="n"/>
      <c r="E754" s="28" t="n"/>
      <c r="F754" s="18" t="n"/>
      <c r="G754" s="7">
        <f>IFERROR(VLOOKUP(D754,'Catálogo de Serviços'!$A$5:$F$100,6,FALSE),0)</f>
        <v/>
      </c>
      <c r="H754" s="7">
        <f>IFERROR(E754*F754,0)</f>
        <v/>
      </c>
      <c r="I754" s="7">
        <f>IFERROR(F754-G754,0)</f>
        <v/>
      </c>
      <c r="J754" s="28" t="n"/>
      <c r="K754" s="28" t="n"/>
    </row>
    <row r="755">
      <c r="A755" s="111" t="n"/>
      <c r="B755" s="27">
        <f>IF(A755="","",DATE(YEAR(A755),MONTH(A755),1))</f>
        <v/>
      </c>
      <c r="C755" s="28" t="n"/>
      <c r="D755" s="28" t="n"/>
      <c r="E755" s="28" t="n"/>
      <c r="F755" s="18" t="n"/>
      <c r="G755" s="7">
        <f>IFERROR(VLOOKUP(D755,'Catálogo de Serviços'!$A$5:$F$100,6,FALSE),0)</f>
        <v/>
      </c>
      <c r="H755" s="7">
        <f>IFERROR(E755*F755,0)</f>
        <v/>
      </c>
      <c r="I755" s="7">
        <f>IFERROR(F755-G755,0)</f>
        <v/>
      </c>
      <c r="J755" s="28" t="n"/>
      <c r="K755" s="28" t="n"/>
    </row>
    <row r="756">
      <c r="A756" s="111" t="n"/>
      <c r="B756" s="27">
        <f>IF(A756="","",DATE(YEAR(A756),MONTH(A756),1))</f>
        <v/>
      </c>
      <c r="C756" s="28" t="n"/>
      <c r="D756" s="28" t="n"/>
      <c r="E756" s="28" t="n"/>
      <c r="F756" s="18" t="n"/>
      <c r="G756" s="7">
        <f>IFERROR(VLOOKUP(D756,'Catálogo de Serviços'!$A$5:$F$100,6,FALSE),0)</f>
        <v/>
      </c>
      <c r="H756" s="7">
        <f>IFERROR(E756*F756,0)</f>
        <v/>
      </c>
      <c r="I756" s="7">
        <f>IFERROR(F756-G756,0)</f>
        <v/>
      </c>
      <c r="J756" s="28" t="n"/>
      <c r="K756" s="28" t="n"/>
    </row>
    <row r="757">
      <c r="A757" s="111" t="n"/>
      <c r="B757" s="27">
        <f>IF(A757="","",DATE(YEAR(A757),MONTH(A757),1))</f>
        <v/>
      </c>
      <c r="C757" s="28" t="n"/>
      <c r="D757" s="28" t="n"/>
      <c r="E757" s="28" t="n"/>
      <c r="F757" s="18" t="n"/>
      <c r="G757" s="7">
        <f>IFERROR(VLOOKUP(D757,'Catálogo de Serviços'!$A$5:$F$100,6,FALSE),0)</f>
        <v/>
      </c>
      <c r="H757" s="7">
        <f>IFERROR(E757*F757,0)</f>
        <v/>
      </c>
      <c r="I757" s="7">
        <f>IFERROR(F757-G757,0)</f>
        <v/>
      </c>
      <c r="J757" s="28" t="n"/>
      <c r="K757" s="28" t="n"/>
    </row>
    <row r="758">
      <c r="A758" s="111" t="n"/>
      <c r="B758" s="27">
        <f>IF(A758="","",DATE(YEAR(A758),MONTH(A758),1))</f>
        <v/>
      </c>
      <c r="C758" s="28" t="n"/>
      <c r="D758" s="28" t="n"/>
      <c r="E758" s="28" t="n"/>
      <c r="F758" s="18" t="n"/>
      <c r="G758" s="7">
        <f>IFERROR(VLOOKUP(D758,'Catálogo de Serviços'!$A$5:$F$100,6,FALSE),0)</f>
        <v/>
      </c>
      <c r="H758" s="7">
        <f>IFERROR(E758*F758,0)</f>
        <v/>
      </c>
      <c r="I758" s="7">
        <f>IFERROR(F758-G758,0)</f>
        <v/>
      </c>
      <c r="J758" s="28" t="n"/>
      <c r="K758" s="28" t="n"/>
    </row>
    <row r="759">
      <c r="A759" s="111" t="n"/>
      <c r="B759" s="27">
        <f>IF(A759="","",DATE(YEAR(A759),MONTH(A759),1))</f>
        <v/>
      </c>
      <c r="C759" s="28" t="n"/>
      <c r="D759" s="28" t="n"/>
      <c r="E759" s="28" t="n"/>
      <c r="F759" s="18" t="n"/>
      <c r="G759" s="7">
        <f>IFERROR(VLOOKUP(D759,'Catálogo de Serviços'!$A$5:$F$100,6,FALSE),0)</f>
        <v/>
      </c>
      <c r="H759" s="7">
        <f>IFERROR(E759*F759,0)</f>
        <v/>
      </c>
      <c r="I759" s="7">
        <f>IFERROR(F759-G759,0)</f>
        <v/>
      </c>
      <c r="J759" s="28" t="n"/>
      <c r="K759" s="28" t="n"/>
    </row>
    <row r="760">
      <c r="A760" s="111" t="n"/>
      <c r="B760" s="27">
        <f>IF(A760="","",DATE(YEAR(A760),MONTH(A760),1))</f>
        <v/>
      </c>
      <c r="C760" s="28" t="n"/>
      <c r="D760" s="28" t="n"/>
      <c r="E760" s="28" t="n"/>
      <c r="F760" s="18" t="n"/>
      <c r="G760" s="7">
        <f>IFERROR(VLOOKUP(D760,'Catálogo de Serviços'!$A$5:$F$100,6,FALSE),0)</f>
        <v/>
      </c>
      <c r="H760" s="7">
        <f>IFERROR(E760*F760,0)</f>
        <v/>
      </c>
      <c r="I760" s="7">
        <f>IFERROR(F760-G760,0)</f>
        <v/>
      </c>
      <c r="J760" s="28" t="n"/>
      <c r="K760" s="28" t="n"/>
    </row>
    <row r="761">
      <c r="A761" s="111" t="n"/>
      <c r="B761" s="27">
        <f>IF(A761="","",DATE(YEAR(A761),MONTH(A761),1))</f>
        <v/>
      </c>
      <c r="C761" s="28" t="n"/>
      <c r="D761" s="28" t="n"/>
      <c r="E761" s="28" t="n"/>
      <c r="F761" s="18" t="n"/>
      <c r="G761" s="7">
        <f>IFERROR(VLOOKUP(D761,'Catálogo de Serviços'!$A$5:$F$100,6,FALSE),0)</f>
        <v/>
      </c>
      <c r="H761" s="7">
        <f>IFERROR(E761*F761,0)</f>
        <v/>
      </c>
      <c r="I761" s="7">
        <f>IFERROR(F761-G761,0)</f>
        <v/>
      </c>
      <c r="J761" s="28" t="n"/>
      <c r="K761" s="28" t="n"/>
    </row>
    <row r="762">
      <c r="A762" s="111" t="n"/>
      <c r="B762" s="27">
        <f>IF(A762="","",DATE(YEAR(A762),MONTH(A762),1))</f>
        <v/>
      </c>
      <c r="C762" s="28" t="n"/>
      <c r="D762" s="28" t="n"/>
      <c r="E762" s="28" t="n"/>
      <c r="F762" s="18" t="n"/>
      <c r="G762" s="7">
        <f>IFERROR(VLOOKUP(D762,'Catálogo de Serviços'!$A$5:$F$100,6,FALSE),0)</f>
        <v/>
      </c>
      <c r="H762" s="7">
        <f>IFERROR(E762*F762,0)</f>
        <v/>
      </c>
      <c r="I762" s="7">
        <f>IFERROR(F762-G762,0)</f>
        <v/>
      </c>
      <c r="J762" s="28" t="n"/>
      <c r="K762" s="28" t="n"/>
    </row>
    <row r="763">
      <c r="A763" s="111" t="n"/>
      <c r="B763" s="27">
        <f>IF(A763="","",DATE(YEAR(A763),MONTH(A763),1))</f>
        <v/>
      </c>
      <c r="C763" s="28" t="n"/>
      <c r="D763" s="28" t="n"/>
      <c r="E763" s="28" t="n"/>
      <c r="F763" s="18" t="n"/>
      <c r="G763" s="7">
        <f>IFERROR(VLOOKUP(D763,'Catálogo de Serviços'!$A$5:$F$100,6,FALSE),0)</f>
        <v/>
      </c>
      <c r="H763" s="7">
        <f>IFERROR(E763*F763,0)</f>
        <v/>
      </c>
      <c r="I763" s="7">
        <f>IFERROR(F763-G763,0)</f>
        <v/>
      </c>
      <c r="J763" s="28" t="n"/>
      <c r="K763" s="28" t="n"/>
    </row>
    <row r="764">
      <c r="A764" s="111" t="n"/>
      <c r="B764" s="27">
        <f>IF(A764="","",DATE(YEAR(A764),MONTH(A764),1))</f>
        <v/>
      </c>
      <c r="C764" s="28" t="n"/>
      <c r="D764" s="28" t="n"/>
      <c r="E764" s="28" t="n"/>
      <c r="F764" s="18" t="n"/>
      <c r="G764" s="7">
        <f>IFERROR(VLOOKUP(D764,'Catálogo de Serviços'!$A$5:$F$100,6,FALSE),0)</f>
        <v/>
      </c>
      <c r="H764" s="7">
        <f>IFERROR(E764*F764,0)</f>
        <v/>
      </c>
      <c r="I764" s="7">
        <f>IFERROR(F764-G764,0)</f>
        <v/>
      </c>
      <c r="J764" s="28" t="n"/>
      <c r="K764" s="28" t="n"/>
    </row>
    <row r="765">
      <c r="A765" s="111" t="n"/>
      <c r="B765" s="27">
        <f>IF(A765="","",DATE(YEAR(A765),MONTH(A765),1))</f>
        <v/>
      </c>
      <c r="C765" s="28" t="n"/>
      <c r="D765" s="28" t="n"/>
      <c r="E765" s="28" t="n"/>
      <c r="F765" s="18" t="n"/>
      <c r="G765" s="7">
        <f>IFERROR(VLOOKUP(D765,'Catálogo de Serviços'!$A$5:$F$100,6,FALSE),0)</f>
        <v/>
      </c>
      <c r="H765" s="7">
        <f>IFERROR(E765*F765,0)</f>
        <v/>
      </c>
      <c r="I765" s="7">
        <f>IFERROR(F765-G765,0)</f>
        <v/>
      </c>
      <c r="J765" s="28" t="n"/>
      <c r="K765" s="28" t="n"/>
    </row>
    <row r="766">
      <c r="A766" s="111" t="n"/>
      <c r="B766" s="27">
        <f>IF(A766="","",DATE(YEAR(A766),MONTH(A766),1))</f>
        <v/>
      </c>
      <c r="C766" s="28" t="n"/>
      <c r="D766" s="28" t="n"/>
      <c r="E766" s="28" t="n"/>
      <c r="F766" s="18" t="n"/>
      <c r="G766" s="7">
        <f>IFERROR(VLOOKUP(D766,'Catálogo de Serviços'!$A$5:$F$100,6,FALSE),0)</f>
        <v/>
      </c>
      <c r="H766" s="7">
        <f>IFERROR(E766*F766,0)</f>
        <v/>
      </c>
      <c r="I766" s="7">
        <f>IFERROR(F766-G766,0)</f>
        <v/>
      </c>
      <c r="J766" s="28" t="n"/>
      <c r="K766" s="28" t="n"/>
    </row>
    <row r="767">
      <c r="A767" s="111" t="n"/>
      <c r="B767" s="27">
        <f>IF(A767="","",DATE(YEAR(A767),MONTH(A767),1))</f>
        <v/>
      </c>
      <c r="C767" s="28" t="n"/>
      <c r="D767" s="28" t="n"/>
      <c r="E767" s="28" t="n"/>
      <c r="F767" s="18" t="n"/>
      <c r="G767" s="7">
        <f>IFERROR(VLOOKUP(D767,'Catálogo de Serviços'!$A$5:$F$100,6,FALSE),0)</f>
        <v/>
      </c>
      <c r="H767" s="7">
        <f>IFERROR(E767*F767,0)</f>
        <v/>
      </c>
      <c r="I767" s="7">
        <f>IFERROR(F767-G767,0)</f>
        <v/>
      </c>
      <c r="J767" s="28" t="n"/>
      <c r="K767" s="28" t="n"/>
    </row>
    <row r="768">
      <c r="A768" s="111" t="n"/>
      <c r="B768" s="27">
        <f>IF(A768="","",DATE(YEAR(A768),MONTH(A768),1))</f>
        <v/>
      </c>
      <c r="C768" s="28" t="n"/>
      <c r="D768" s="28" t="n"/>
      <c r="E768" s="28" t="n"/>
      <c r="F768" s="18" t="n"/>
      <c r="G768" s="7">
        <f>IFERROR(VLOOKUP(D768,'Catálogo de Serviços'!$A$5:$F$100,6,FALSE),0)</f>
        <v/>
      </c>
      <c r="H768" s="7">
        <f>IFERROR(E768*F768,0)</f>
        <v/>
      </c>
      <c r="I768" s="7">
        <f>IFERROR(F768-G768,0)</f>
        <v/>
      </c>
      <c r="J768" s="28" t="n"/>
      <c r="K768" s="28" t="n"/>
    </row>
    <row r="769">
      <c r="A769" s="111" t="n"/>
      <c r="B769" s="27">
        <f>IF(A769="","",DATE(YEAR(A769),MONTH(A769),1))</f>
        <v/>
      </c>
      <c r="C769" s="28" t="n"/>
      <c r="D769" s="28" t="n"/>
      <c r="E769" s="28" t="n"/>
      <c r="F769" s="18" t="n"/>
      <c r="G769" s="7">
        <f>IFERROR(VLOOKUP(D769,'Catálogo de Serviços'!$A$5:$F$100,6,FALSE),0)</f>
        <v/>
      </c>
      <c r="H769" s="7">
        <f>IFERROR(E769*F769,0)</f>
        <v/>
      </c>
      <c r="I769" s="7">
        <f>IFERROR(F769-G769,0)</f>
        <v/>
      </c>
      <c r="J769" s="28" t="n"/>
      <c r="K769" s="28" t="n"/>
    </row>
    <row r="770">
      <c r="A770" s="111" t="n"/>
      <c r="B770" s="27">
        <f>IF(A770="","",DATE(YEAR(A770),MONTH(A770),1))</f>
        <v/>
      </c>
      <c r="C770" s="28" t="n"/>
      <c r="D770" s="28" t="n"/>
      <c r="E770" s="28" t="n"/>
      <c r="F770" s="18" t="n"/>
      <c r="G770" s="7">
        <f>IFERROR(VLOOKUP(D770,'Catálogo de Serviços'!$A$5:$F$100,6,FALSE),0)</f>
        <v/>
      </c>
      <c r="H770" s="7">
        <f>IFERROR(E770*F770,0)</f>
        <v/>
      </c>
      <c r="I770" s="7">
        <f>IFERROR(F770-G770,0)</f>
        <v/>
      </c>
      <c r="J770" s="28" t="n"/>
      <c r="K770" s="28" t="n"/>
    </row>
    <row r="771">
      <c r="A771" s="111" t="n"/>
      <c r="B771" s="27">
        <f>IF(A771="","",DATE(YEAR(A771),MONTH(A771),1))</f>
        <v/>
      </c>
      <c r="C771" s="28" t="n"/>
      <c r="D771" s="28" t="n"/>
      <c r="E771" s="28" t="n"/>
      <c r="F771" s="18" t="n"/>
      <c r="G771" s="7">
        <f>IFERROR(VLOOKUP(D771,'Catálogo de Serviços'!$A$5:$F$100,6,FALSE),0)</f>
        <v/>
      </c>
      <c r="H771" s="7">
        <f>IFERROR(E771*F771,0)</f>
        <v/>
      </c>
      <c r="I771" s="7">
        <f>IFERROR(F771-G771,0)</f>
        <v/>
      </c>
      <c r="J771" s="28" t="n"/>
      <c r="K771" s="28" t="n"/>
    </row>
    <row r="772">
      <c r="A772" s="111" t="n"/>
      <c r="B772" s="27">
        <f>IF(A772="","",DATE(YEAR(A772),MONTH(A772),1))</f>
        <v/>
      </c>
      <c r="C772" s="28" t="n"/>
      <c r="D772" s="28" t="n"/>
      <c r="E772" s="28" t="n"/>
      <c r="F772" s="18" t="n"/>
      <c r="G772" s="7">
        <f>IFERROR(VLOOKUP(D772,'Catálogo de Serviços'!$A$5:$F$100,6,FALSE),0)</f>
        <v/>
      </c>
      <c r="H772" s="7">
        <f>IFERROR(E772*F772,0)</f>
        <v/>
      </c>
      <c r="I772" s="7">
        <f>IFERROR(F772-G772,0)</f>
        <v/>
      </c>
      <c r="J772" s="28" t="n"/>
      <c r="K772" s="28" t="n"/>
    </row>
    <row r="773">
      <c r="A773" s="111" t="n"/>
      <c r="B773" s="27">
        <f>IF(A773="","",DATE(YEAR(A773),MONTH(A773),1))</f>
        <v/>
      </c>
      <c r="C773" s="28" t="n"/>
      <c r="D773" s="28" t="n"/>
      <c r="E773" s="28" t="n"/>
      <c r="F773" s="18" t="n"/>
      <c r="G773" s="7">
        <f>IFERROR(VLOOKUP(D773,'Catálogo de Serviços'!$A$5:$F$100,6,FALSE),0)</f>
        <v/>
      </c>
      <c r="H773" s="7">
        <f>IFERROR(E773*F773,0)</f>
        <v/>
      </c>
      <c r="I773" s="7">
        <f>IFERROR(F773-G773,0)</f>
        <v/>
      </c>
      <c r="J773" s="28" t="n"/>
      <c r="K773" s="28" t="n"/>
    </row>
    <row r="774">
      <c r="A774" s="111" t="n"/>
      <c r="B774" s="27">
        <f>IF(A774="","",DATE(YEAR(A774),MONTH(A774),1))</f>
        <v/>
      </c>
      <c r="C774" s="28" t="n"/>
      <c r="D774" s="28" t="n"/>
      <c r="E774" s="28" t="n"/>
      <c r="F774" s="18" t="n"/>
      <c r="G774" s="7">
        <f>IFERROR(VLOOKUP(D774,'Catálogo de Serviços'!$A$5:$F$100,6,FALSE),0)</f>
        <v/>
      </c>
      <c r="H774" s="7">
        <f>IFERROR(E774*F774,0)</f>
        <v/>
      </c>
      <c r="I774" s="7">
        <f>IFERROR(F774-G774,0)</f>
        <v/>
      </c>
      <c r="J774" s="28" t="n"/>
      <c r="K774" s="28" t="n"/>
    </row>
    <row r="775">
      <c r="A775" s="111" t="n"/>
      <c r="B775" s="27">
        <f>IF(A775="","",DATE(YEAR(A775),MONTH(A775),1))</f>
        <v/>
      </c>
      <c r="C775" s="28" t="n"/>
      <c r="D775" s="28" t="n"/>
      <c r="E775" s="28" t="n"/>
      <c r="F775" s="18" t="n"/>
      <c r="G775" s="7">
        <f>IFERROR(VLOOKUP(D775,'Catálogo de Serviços'!$A$5:$F$100,6,FALSE),0)</f>
        <v/>
      </c>
      <c r="H775" s="7">
        <f>IFERROR(E775*F775,0)</f>
        <v/>
      </c>
      <c r="I775" s="7">
        <f>IFERROR(F775-G775,0)</f>
        <v/>
      </c>
      <c r="J775" s="28" t="n"/>
      <c r="K775" s="28" t="n"/>
    </row>
    <row r="776">
      <c r="A776" s="111" t="n"/>
      <c r="B776" s="27">
        <f>IF(A776="","",DATE(YEAR(A776),MONTH(A776),1))</f>
        <v/>
      </c>
      <c r="C776" s="28" t="n"/>
      <c r="D776" s="28" t="n"/>
      <c r="E776" s="28" t="n"/>
      <c r="F776" s="18" t="n"/>
      <c r="G776" s="7">
        <f>IFERROR(VLOOKUP(D776,'Catálogo de Serviços'!$A$5:$F$100,6,FALSE),0)</f>
        <v/>
      </c>
      <c r="H776" s="7">
        <f>IFERROR(E776*F776,0)</f>
        <v/>
      </c>
      <c r="I776" s="7">
        <f>IFERROR(F776-G776,0)</f>
        <v/>
      </c>
      <c r="J776" s="28" t="n"/>
      <c r="K776" s="28" t="n"/>
    </row>
    <row r="777">
      <c r="A777" s="111" t="n"/>
      <c r="B777" s="27">
        <f>IF(A777="","",DATE(YEAR(A777),MONTH(A777),1))</f>
        <v/>
      </c>
      <c r="C777" s="28" t="n"/>
      <c r="D777" s="28" t="n"/>
      <c r="E777" s="28" t="n"/>
      <c r="F777" s="18" t="n"/>
      <c r="G777" s="7">
        <f>IFERROR(VLOOKUP(D777,'Catálogo de Serviços'!$A$5:$F$100,6,FALSE),0)</f>
        <v/>
      </c>
      <c r="H777" s="7">
        <f>IFERROR(E777*F777,0)</f>
        <v/>
      </c>
      <c r="I777" s="7">
        <f>IFERROR(F777-G777,0)</f>
        <v/>
      </c>
      <c r="J777" s="28" t="n"/>
      <c r="K777" s="28" t="n"/>
    </row>
    <row r="778">
      <c r="A778" s="111" t="n"/>
      <c r="B778" s="27">
        <f>IF(A778="","",DATE(YEAR(A778),MONTH(A778),1))</f>
        <v/>
      </c>
      <c r="C778" s="28" t="n"/>
      <c r="D778" s="28" t="n"/>
      <c r="E778" s="28" t="n"/>
      <c r="F778" s="18" t="n"/>
      <c r="G778" s="7">
        <f>IFERROR(VLOOKUP(D778,'Catálogo de Serviços'!$A$5:$F$100,6,FALSE),0)</f>
        <v/>
      </c>
      <c r="H778" s="7">
        <f>IFERROR(E778*F778,0)</f>
        <v/>
      </c>
      <c r="I778" s="7">
        <f>IFERROR(F778-G778,0)</f>
        <v/>
      </c>
      <c r="J778" s="28" t="n"/>
      <c r="K778" s="28" t="n"/>
    </row>
    <row r="779">
      <c r="A779" s="111" t="n"/>
      <c r="B779" s="27">
        <f>IF(A779="","",DATE(YEAR(A779),MONTH(A779),1))</f>
        <v/>
      </c>
      <c r="C779" s="28" t="n"/>
      <c r="D779" s="28" t="n"/>
      <c r="E779" s="28" t="n"/>
      <c r="F779" s="18" t="n"/>
      <c r="G779" s="7">
        <f>IFERROR(VLOOKUP(D779,'Catálogo de Serviços'!$A$5:$F$100,6,FALSE),0)</f>
        <v/>
      </c>
      <c r="H779" s="7">
        <f>IFERROR(E779*F779,0)</f>
        <v/>
      </c>
      <c r="I779" s="7">
        <f>IFERROR(F779-G779,0)</f>
        <v/>
      </c>
      <c r="J779" s="28" t="n"/>
      <c r="K779" s="28" t="n"/>
    </row>
    <row r="780">
      <c r="A780" s="111" t="n"/>
      <c r="B780" s="27">
        <f>IF(A780="","",DATE(YEAR(A780),MONTH(A780),1))</f>
        <v/>
      </c>
      <c r="C780" s="28" t="n"/>
      <c r="D780" s="28" t="n"/>
      <c r="E780" s="28" t="n"/>
      <c r="F780" s="18" t="n"/>
      <c r="G780" s="7">
        <f>IFERROR(VLOOKUP(D780,'Catálogo de Serviços'!$A$5:$F$100,6,FALSE),0)</f>
        <v/>
      </c>
      <c r="H780" s="7">
        <f>IFERROR(E780*F780,0)</f>
        <v/>
      </c>
      <c r="I780" s="7">
        <f>IFERROR(F780-G780,0)</f>
        <v/>
      </c>
      <c r="J780" s="28" t="n"/>
      <c r="K780" s="28" t="n"/>
    </row>
    <row r="781">
      <c r="A781" s="111" t="n"/>
      <c r="B781" s="27">
        <f>IF(A781="","",DATE(YEAR(A781),MONTH(A781),1))</f>
        <v/>
      </c>
      <c r="C781" s="28" t="n"/>
      <c r="D781" s="28" t="n"/>
      <c r="E781" s="28" t="n"/>
      <c r="F781" s="18" t="n"/>
      <c r="G781" s="7">
        <f>IFERROR(VLOOKUP(D781,'Catálogo de Serviços'!$A$5:$F$100,6,FALSE),0)</f>
        <v/>
      </c>
      <c r="H781" s="7">
        <f>IFERROR(E781*F781,0)</f>
        <v/>
      </c>
      <c r="I781" s="7">
        <f>IFERROR(F781-G781,0)</f>
        <v/>
      </c>
      <c r="J781" s="28" t="n"/>
      <c r="K781" s="28" t="n"/>
    </row>
    <row r="782">
      <c r="A782" s="111" t="n"/>
      <c r="B782" s="27">
        <f>IF(A782="","",DATE(YEAR(A782),MONTH(A782),1))</f>
        <v/>
      </c>
      <c r="C782" s="28" t="n"/>
      <c r="D782" s="28" t="n"/>
      <c r="E782" s="28" t="n"/>
      <c r="F782" s="18" t="n"/>
      <c r="G782" s="7">
        <f>IFERROR(VLOOKUP(D782,'Catálogo de Serviços'!$A$5:$F$100,6,FALSE),0)</f>
        <v/>
      </c>
      <c r="H782" s="7">
        <f>IFERROR(E782*F782,0)</f>
        <v/>
      </c>
      <c r="I782" s="7">
        <f>IFERROR(F782-G782,0)</f>
        <v/>
      </c>
      <c r="J782" s="28" t="n"/>
      <c r="K782" s="28" t="n"/>
    </row>
    <row r="783">
      <c r="A783" s="111" t="n"/>
      <c r="B783" s="27">
        <f>IF(A783="","",DATE(YEAR(A783),MONTH(A783),1))</f>
        <v/>
      </c>
      <c r="C783" s="28" t="n"/>
      <c r="D783" s="28" t="n"/>
      <c r="E783" s="28" t="n"/>
      <c r="F783" s="18" t="n"/>
      <c r="G783" s="7">
        <f>IFERROR(VLOOKUP(D783,'Catálogo de Serviços'!$A$5:$F$100,6,FALSE),0)</f>
        <v/>
      </c>
      <c r="H783" s="7">
        <f>IFERROR(E783*F783,0)</f>
        <v/>
      </c>
      <c r="I783" s="7">
        <f>IFERROR(F783-G783,0)</f>
        <v/>
      </c>
      <c r="J783" s="28" t="n"/>
      <c r="K783" s="28" t="n"/>
    </row>
    <row r="784">
      <c r="A784" s="111" t="n"/>
      <c r="B784" s="27">
        <f>IF(A784="","",DATE(YEAR(A784),MONTH(A784),1))</f>
        <v/>
      </c>
      <c r="C784" s="28" t="n"/>
      <c r="D784" s="28" t="n"/>
      <c r="E784" s="28" t="n"/>
      <c r="F784" s="18" t="n"/>
      <c r="G784" s="7">
        <f>IFERROR(VLOOKUP(D784,'Catálogo de Serviços'!$A$5:$F$100,6,FALSE),0)</f>
        <v/>
      </c>
      <c r="H784" s="7">
        <f>IFERROR(E784*F784,0)</f>
        <v/>
      </c>
      <c r="I784" s="7">
        <f>IFERROR(F784-G784,0)</f>
        <v/>
      </c>
      <c r="J784" s="28" t="n"/>
      <c r="K784" s="28" t="n"/>
    </row>
    <row r="785">
      <c r="A785" s="111" t="n"/>
      <c r="B785" s="27">
        <f>IF(A785="","",DATE(YEAR(A785),MONTH(A785),1))</f>
        <v/>
      </c>
      <c r="C785" s="28" t="n"/>
      <c r="D785" s="28" t="n"/>
      <c r="E785" s="28" t="n"/>
      <c r="F785" s="18" t="n"/>
      <c r="G785" s="7">
        <f>IFERROR(VLOOKUP(D785,'Catálogo de Serviços'!$A$5:$F$100,6,FALSE),0)</f>
        <v/>
      </c>
      <c r="H785" s="7">
        <f>IFERROR(E785*F785,0)</f>
        <v/>
      </c>
      <c r="I785" s="7">
        <f>IFERROR(F785-G785,0)</f>
        <v/>
      </c>
      <c r="J785" s="28" t="n"/>
      <c r="K785" s="28" t="n"/>
    </row>
    <row r="786">
      <c r="A786" s="111" t="n"/>
      <c r="B786" s="27">
        <f>IF(A786="","",DATE(YEAR(A786),MONTH(A786),1))</f>
        <v/>
      </c>
      <c r="C786" s="28" t="n"/>
      <c r="D786" s="28" t="n"/>
      <c r="E786" s="28" t="n"/>
      <c r="F786" s="18" t="n"/>
      <c r="G786" s="7">
        <f>IFERROR(VLOOKUP(D786,'Catálogo de Serviços'!$A$5:$F$100,6,FALSE),0)</f>
        <v/>
      </c>
      <c r="H786" s="7">
        <f>IFERROR(E786*F786,0)</f>
        <v/>
      </c>
      <c r="I786" s="7">
        <f>IFERROR(F786-G786,0)</f>
        <v/>
      </c>
      <c r="J786" s="28" t="n"/>
      <c r="K786" s="28" t="n"/>
    </row>
    <row r="787">
      <c r="A787" s="111" t="n"/>
      <c r="B787" s="27">
        <f>IF(A787="","",DATE(YEAR(A787),MONTH(A787),1))</f>
        <v/>
      </c>
      <c r="C787" s="28" t="n"/>
      <c r="D787" s="28" t="n"/>
      <c r="E787" s="28" t="n"/>
      <c r="F787" s="18" t="n"/>
      <c r="G787" s="7">
        <f>IFERROR(VLOOKUP(D787,'Catálogo de Serviços'!$A$5:$F$100,6,FALSE),0)</f>
        <v/>
      </c>
      <c r="H787" s="7">
        <f>IFERROR(E787*F787,0)</f>
        <v/>
      </c>
      <c r="I787" s="7">
        <f>IFERROR(F787-G787,0)</f>
        <v/>
      </c>
      <c r="J787" s="28" t="n"/>
      <c r="K787" s="28" t="n"/>
    </row>
    <row r="788">
      <c r="A788" s="111" t="n"/>
      <c r="B788" s="27">
        <f>IF(A788="","",DATE(YEAR(A788),MONTH(A788),1))</f>
        <v/>
      </c>
      <c r="C788" s="28" t="n"/>
      <c r="D788" s="28" t="n"/>
      <c r="E788" s="28" t="n"/>
      <c r="F788" s="18" t="n"/>
      <c r="G788" s="7">
        <f>IFERROR(VLOOKUP(D788,'Catálogo de Serviços'!$A$5:$F$100,6,FALSE),0)</f>
        <v/>
      </c>
      <c r="H788" s="7">
        <f>IFERROR(E788*F788,0)</f>
        <v/>
      </c>
      <c r="I788" s="7">
        <f>IFERROR(F788-G788,0)</f>
        <v/>
      </c>
      <c r="J788" s="28" t="n"/>
      <c r="K788" s="28" t="n"/>
    </row>
    <row r="789">
      <c r="A789" s="111" t="n"/>
      <c r="B789" s="27">
        <f>IF(A789="","",DATE(YEAR(A789),MONTH(A789),1))</f>
        <v/>
      </c>
      <c r="C789" s="28" t="n"/>
      <c r="D789" s="28" t="n"/>
      <c r="E789" s="28" t="n"/>
      <c r="F789" s="18" t="n"/>
      <c r="G789" s="7">
        <f>IFERROR(VLOOKUP(D789,'Catálogo de Serviços'!$A$5:$F$100,6,FALSE),0)</f>
        <v/>
      </c>
      <c r="H789" s="7">
        <f>IFERROR(E789*F789,0)</f>
        <v/>
      </c>
      <c r="I789" s="7">
        <f>IFERROR(F789-G789,0)</f>
        <v/>
      </c>
      <c r="J789" s="28" t="n"/>
      <c r="K789" s="28" t="n"/>
    </row>
    <row r="790">
      <c r="A790" s="111" t="n"/>
      <c r="B790" s="27">
        <f>IF(A790="","",DATE(YEAR(A790),MONTH(A790),1))</f>
        <v/>
      </c>
      <c r="C790" s="28" t="n"/>
      <c r="D790" s="28" t="n"/>
      <c r="E790" s="28" t="n"/>
      <c r="F790" s="18" t="n"/>
      <c r="G790" s="7">
        <f>IFERROR(VLOOKUP(D790,'Catálogo de Serviços'!$A$5:$F$100,6,FALSE),0)</f>
        <v/>
      </c>
      <c r="H790" s="7">
        <f>IFERROR(E790*F790,0)</f>
        <v/>
      </c>
      <c r="I790" s="7">
        <f>IFERROR(F790-G790,0)</f>
        <v/>
      </c>
      <c r="J790" s="28" t="n"/>
      <c r="K790" s="28" t="n"/>
    </row>
    <row r="791">
      <c r="A791" s="111" t="n"/>
      <c r="B791" s="27">
        <f>IF(A791="","",DATE(YEAR(A791),MONTH(A791),1))</f>
        <v/>
      </c>
      <c r="C791" s="28" t="n"/>
      <c r="D791" s="28" t="n"/>
      <c r="E791" s="28" t="n"/>
      <c r="F791" s="18" t="n"/>
      <c r="G791" s="7">
        <f>IFERROR(VLOOKUP(D791,'Catálogo de Serviços'!$A$5:$F$100,6,FALSE),0)</f>
        <v/>
      </c>
      <c r="H791" s="7">
        <f>IFERROR(E791*F791,0)</f>
        <v/>
      </c>
      <c r="I791" s="7">
        <f>IFERROR(F791-G791,0)</f>
        <v/>
      </c>
      <c r="J791" s="28" t="n"/>
      <c r="K791" s="28" t="n"/>
    </row>
    <row r="792">
      <c r="A792" s="111" t="n"/>
      <c r="B792" s="27">
        <f>IF(A792="","",DATE(YEAR(A792),MONTH(A792),1))</f>
        <v/>
      </c>
      <c r="C792" s="28" t="n"/>
      <c r="D792" s="28" t="n"/>
      <c r="E792" s="28" t="n"/>
      <c r="F792" s="18" t="n"/>
      <c r="G792" s="7">
        <f>IFERROR(VLOOKUP(D792,'Catálogo de Serviços'!$A$5:$F$100,6,FALSE),0)</f>
        <v/>
      </c>
      <c r="H792" s="7">
        <f>IFERROR(E792*F792,0)</f>
        <v/>
      </c>
      <c r="I792" s="7">
        <f>IFERROR(F792-G792,0)</f>
        <v/>
      </c>
      <c r="J792" s="28" t="n"/>
      <c r="K792" s="28" t="n"/>
    </row>
    <row r="793">
      <c r="A793" s="111" t="n"/>
      <c r="B793" s="27">
        <f>IF(A793="","",DATE(YEAR(A793),MONTH(A793),1))</f>
        <v/>
      </c>
      <c r="C793" s="28" t="n"/>
      <c r="D793" s="28" t="n"/>
      <c r="E793" s="28" t="n"/>
      <c r="F793" s="18" t="n"/>
      <c r="G793" s="7">
        <f>IFERROR(VLOOKUP(D793,'Catálogo de Serviços'!$A$5:$F$100,6,FALSE),0)</f>
        <v/>
      </c>
      <c r="H793" s="7">
        <f>IFERROR(E793*F793,0)</f>
        <v/>
      </c>
      <c r="I793" s="7">
        <f>IFERROR(F793-G793,0)</f>
        <v/>
      </c>
      <c r="J793" s="28" t="n"/>
      <c r="K793" s="28" t="n"/>
    </row>
    <row r="794">
      <c r="A794" s="111" t="n"/>
      <c r="B794" s="27">
        <f>IF(A794="","",DATE(YEAR(A794),MONTH(A794),1))</f>
        <v/>
      </c>
      <c r="C794" s="28" t="n"/>
      <c r="D794" s="28" t="n"/>
      <c r="E794" s="28" t="n"/>
      <c r="F794" s="18" t="n"/>
      <c r="G794" s="7">
        <f>IFERROR(VLOOKUP(D794,'Catálogo de Serviços'!$A$5:$F$100,6,FALSE),0)</f>
        <v/>
      </c>
      <c r="H794" s="7">
        <f>IFERROR(E794*F794,0)</f>
        <v/>
      </c>
      <c r="I794" s="7">
        <f>IFERROR(F794-G794,0)</f>
        <v/>
      </c>
      <c r="J794" s="28" t="n"/>
      <c r="K794" s="28" t="n"/>
    </row>
    <row r="795">
      <c r="A795" s="111" t="n"/>
      <c r="B795" s="27">
        <f>IF(A795="","",DATE(YEAR(A795),MONTH(A795),1))</f>
        <v/>
      </c>
      <c r="C795" s="28" t="n"/>
      <c r="D795" s="28" t="n"/>
      <c r="E795" s="28" t="n"/>
      <c r="F795" s="18" t="n"/>
      <c r="G795" s="7">
        <f>IFERROR(VLOOKUP(D795,'Catálogo de Serviços'!$A$5:$F$100,6,FALSE),0)</f>
        <v/>
      </c>
      <c r="H795" s="7">
        <f>IFERROR(E795*F795,0)</f>
        <v/>
      </c>
      <c r="I795" s="7">
        <f>IFERROR(F795-G795,0)</f>
        <v/>
      </c>
      <c r="J795" s="28" t="n"/>
      <c r="K795" s="28" t="n"/>
    </row>
    <row r="796">
      <c r="A796" s="111" t="n"/>
      <c r="B796" s="27">
        <f>IF(A796="","",DATE(YEAR(A796),MONTH(A796),1))</f>
        <v/>
      </c>
      <c r="C796" s="28" t="n"/>
      <c r="D796" s="28" t="n"/>
      <c r="E796" s="28" t="n"/>
      <c r="F796" s="18" t="n"/>
      <c r="G796" s="7">
        <f>IFERROR(VLOOKUP(D796,'Catálogo de Serviços'!$A$5:$F$100,6,FALSE),0)</f>
        <v/>
      </c>
      <c r="H796" s="7">
        <f>IFERROR(E796*F796,0)</f>
        <v/>
      </c>
      <c r="I796" s="7">
        <f>IFERROR(F796-G796,0)</f>
        <v/>
      </c>
      <c r="J796" s="28" t="n"/>
      <c r="K796" s="28" t="n"/>
    </row>
    <row r="797">
      <c r="A797" s="111" t="n"/>
      <c r="B797" s="27">
        <f>IF(A797="","",DATE(YEAR(A797),MONTH(A797),1))</f>
        <v/>
      </c>
      <c r="C797" s="28" t="n"/>
      <c r="D797" s="28" t="n"/>
      <c r="E797" s="28" t="n"/>
      <c r="F797" s="18" t="n"/>
      <c r="G797" s="7">
        <f>IFERROR(VLOOKUP(D797,'Catálogo de Serviços'!$A$5:$F$100,6,FALSE),0)</f>
        <v/>
      </c>
      <c r="H797" s="7">
        <f>IFERROR(E797*F797,0)</f>
        <v/>
      </c>
      <c r="I797" s="7">
        <f>IFERROR(F797-G797,0)</f>
        <v/>
      </c>
      <c r="J797" s="28" t="n"/>
      <c r="K797" s="28" t="n"/>
    </row>
    <row r="798">
      <c r="A798" s="111" t="n"/>
      <c r="B798" s="27">
        <f>IF(A798="","",DATE(YEAR(A798),MONTH(A798),1))</f>
        <v/>
      </c>
      <c r="C798" s="28" t="n"/>
      <c r="D798" s="28" t="n"/>
      <c r="E798" s="28" t="n"/>
      <c r="F798" s="18" t="n"/>
      <c r="G798" s="7">
        <f>IFERROR(VLOOKUP(D798,'Catálogo de Serviços'!$A$5:$F$100,6,FALSE),0)</f>
        <v/>
      </c>
      <c r="H798" s="7">
        <f>IFERROR(E798*F798,0)</f>
        <v/>
      </c>
      <c r="I798" s="7">
        <f>IFERROR(F798-G798,0)</f>
        <v/>
      </c>
      <c r="J798" s="28" t="n"/>
      <c r="K798" s="28" t="n"/>
    </row>
    <row r="799">
      <c r="A799" s="111" t="n"/>
      <c r="B799" s="27">
        <f>IF(A799="","",DATE(YEAR(A799),MONTH(A799),1))</f>
        <v/>
      </c>
      <c r="C799" s="28" t="n"/>
      <c r="D799" s="28" t="n"/>
      <c r="E799" s="28" t="n"/>
      <c r="F799" s="18" t="n"/>
      <c r="G799" s="7">
        <f>IFERROR(VLOOKUP(D799,'Catálogo de Serviços'!$A$5:$F$100,6,FALSE),0)</f>
        <v/>
      </c>
      <c r="H799" s="7">
        <f>IFERROR(E799*F799,0)</f>
        <v/>
      </c>
      <c r="I799" s="7">
        <f>IFERROR(F799-G799,0)</f>
        <v/>
      </c>
      <c r="J799" s="28" t="n"/>
      <c r="K799" s="28" t="n"/>
    </row>
    <row r="800">
      <c r="A800" s="111" t="n"/>
      <c r="B800" s="27">
        <f>IF(A800="","",DATE(YEAR(A800),MONTH(A800),1))</f>
        <v/>
      </c>
      <c r="C800" s="28" t="n"/>
      <c r="D800" s="28" t="n"/>
      <c r="E800" s="28" t="n"/>
      <c r="F800" s="18" t="n"/>
      <c r="G800" s="7">
        <f>IFERROR(VLOOKUP(D800,'Catálogo de Serviços'!$A$5:$F$100,6,FALSE),0)</f>
        <v/>
      </c>
      <c r="H800" s="7">
        <f>IFERROR(E800*F800,0)</f>
        <v/>
      </c>
      <c r="I800" s="7">
        <f>IFERROR(F800-G800,0)</f>
        <v/>
      </c>
      <c r="J800" s="28" t="n"/>
      <c r="K800" s="28" t="n"/>
    </row>
    <row r="801">
      <c r="A801" s="111" t="n"/>
      <c r="B801" s="27">
        <f>IF(A801="","",DATE(YEAR(A801),MONTH(A801),1))</f>
        <v/>
      </c>
      <c r="C801" s="28" t="n"/>
      <c r="D801" s="28" t="n"/>
      <c r="E801" s="28" t="n"/>
      <c r="F801" s="18" t="n"/>
      <c r="G801" s="7">
        <f>IFERROR(VLOOKUP(D801,'Catálogo de Serviços'!$A$5:$F$100,6,FALSE),0)</f>
        <v/>
      </c>
      <c r="H801" s="7">
        <f>IFERROR(E801*F801,0)</f>
        <v/>
      </c>
      <c r="I801" s="7">
        <f>IFERROR(F801-G801,0)</f>
        <v/>
      </c>
      <c r="J801" s="28" t="n"/>
      <c r="K801" s="28" t="n"/>
    </row>
    <row r="802">
      <c r="A802" s="111" t="n"/>
      <c r="B802" s="27">
        <f>IF(A802="","",DATE(YEAR(A802),MONTH(A802),1))</f>
        <v/>
      </c>
      <c r="C802" s="28" t="n"/>
      <c r="D802" s="28" t="n"/>
      <c r="E802" s="28" t="n"/>
      <c r="F802" s="18" t="n"/>
      <c r="G802" s="7">
        <f>IFERROR(VLOOKUP(D802,'Catálogo de Serviços'!$A$5:$F$100,6,FALSE),0)</f>
        <v/>
      </c>
      <c r="H802" s="7">
        <f>IFERROR(E802*F802,0)</f>
        <v/>
      </c>
      <c r="I802" s="7">
        <f>IFERROR(F802-G802,0)</f>
        <v/>
      </c>
      <c r="J802" s="28" t="n"/>
      <c r="K802" s="28" t="n"/>
    </row>
    <row r="803">
      <c r="A803" s="111" t="n"/>
      <c r="B803" s="27">
        <f>IF(A803="","",DATE(YEAR(A803),MONTH(A803),1))</f>
        <v/>
      </c>
      <c r="C803" s="28" t="n"/>
      <c r="D803" s="28" t="n"/>
      <c r="E803" s="28" t="n"/>
      <c r="F803" s="18" t="n"/>
      <c r="G803" s="7">
        <f>IFERROR(VLOOKUP(D803,'Catálogo de Serviços'!$A$5:$F$100,6,FALSE),0)</f>
        <v/>
      </c>
      <c r="H803" s="7">
        <f>IFERROR(E803*F803,0)</f>
        <v/>
      </c>
      <c r="I803" s="7">
        <f>IFERROR(F803-G803,0)</f>
        <v/>
      </c>
      <c r="J803" s="28" t="n"/>
      <c r="K803" s="28" t="n"/>
    </row>
    <row r="804">
      <c r="A804" s="111" t="n"/>
      <c r="B804" s="27">
        <f>IF(A804="","",DATE(YEAR(A804),MONTH(A804),1))</f>
        <v/>
      </c>
      <c r="C804" s="28" t="n"/>
      <c r="D804" s="28" t="n"/>
      <c r="E804" s="28" t="n"/>
      <c r="F804" s="18" t="n"/>
      <c r="G804" s="7">
        <f>IFERROR(VLOOKUP(D804,'Catálogo de Serviços'!$A$5:$F$100,6,FALSE),0)</f>
        <v/>
      </c>
      <c r="H804" s="7">
        <f>IFERROR(E804*F804,0)</f>
        <v/>
      </c>
      <c r="I804" s="7">
        <f>IFERROR(F804-G804,0)</f>
        <v/>
      </c>
      <c r="J804" s="28" t="n"/>
      <c r="K804" s="28" t="n"/>
    </row>
    <row r="805">
      <c r="A805" s="111" t="n"/>
      <c r="B805" s="27">
        <f>IF(A805="","",DATE(YEAR(A805),MONTH(A805),1))</f>
        <v/>
      </c>
      <c r="C805" s="28" t="n"/>
      <c r="D805" s="28" t="n"/>
      <c r="E805" s="28" t="n"/>
      <c r="F805" s="18" t="n"/>
      <c r="G805" s="7">
        <f>IFERROR(VLOOKUP(D805,'Catálogo de Serviços'!$A$5:$F$100,6,FALSE),0)</f>
        <v/>
      </c>
      <c r="H805" s="7">
        <f>IFERROR(E805*F805,0)</f>
        <v/>
      </c>
      <c r="I805" s="7">
        <f>IFERROR(F805-G805,0)</f>
        <v/>
      </c>
      <c r="J805" s="28" t="n"/>
      <c r="K805" s="28" t="n"/>
    </row>
    <row r="806">
      <c r="A806" s="111" t="n"/>
      <c r="B806" s="27">
        <f>IF(A806="","",DATE(YEAR(A806),MONTH(A806),1))</f>
        <v/>
      </c>
      <c r="C806" s="28" t="n"/>
      <c r="D806" s="28" t="n"/>
      <c r="E806" s="28" t="n"/>
      <c r="F806" s="18" t="n"/>
      <c r="G806" s="7">
        <f>IFERROR(VLOOKUP(D806,'Catálogo de Serviços'!$A$5:$F$100,6,FALSE),0)</f>
        <v/>
      </c>
      <c r="H806" s="7">
        <f>IFERROR(E806*F806,0)</f>
        <v/>
      </c>
      <c r="I806" s="7">
        <f>IFERROR(F806-G806,0)</f>
        <v/>
      </c>
      <c r="J806" s="28" t="n"/>
      <c r="K806" s="28" t="n"/>
    </row>
    <row r="807">
      <c r="A807" s="111" t="n"/>
      <c r="B807" s="27">
        <f>IF(A807="","",DATE(YEAR(A807),MONTH(A807),1))</f>
        <v/>
      </c>
      <c r="C807" s="28" t="n"/>
      <c r="D807" s="28" t="n"/>
      <c r="E807" s="28" t="n"/>
      <c r="F807" s="18" t="n"/>
      <c r="G807" s="7">
        <f>IFERROR(VLOOKUP(D807,'Catálogo de Serviços'!$A$5:$F$100,6,FALSE),0)</f>
        <v/>
      </c>
      <c r="H807" s="7">
        <f>IFERROR(E807*F807,0)</f>
        <v/>
      </c>
      <c r="I807" s="7">
        <f>IFERROR(F807-G807,0)</f>
        <v/>
      </c>
      <c r="J807" s="28" t="n"/>
      <c r="K807" s="28" t="n"/>
    </row>
    <row r="808">
      <c r="A808" s="111" t="n"/>
      <c r="B808" s="27">
        <f>IF(A808="","",DATE(YEAR(A808),MONTH(A808),1))</f>
        <v/>
      </c>
      <c r="C808" s="28" t="n"/>
      <c r="D808" s="28" t="n"/>
      <c r="E808" s="28" t="n"/>
      <c r="F808" s="18" t="n"/>
      <c r="G808" s="7">
        <f>IFERROR(VLOOKUP(D808,'Catálogo de Serviços'!$A$5:$F$100,6,FALSE),0)</f>
        <v/>
      </c>
      <c r="H808" s="7">
        <f>IFERROR(E808*F808,0)</f>
        <v/>
      </c>
      <c r="I808" s="7">
        <f>IFERROR(F808-G808,0)</f>
        <v/>
      </c>
      <c r="J808" s="28" t="n"/>
      <c r="K808" s="28" t="n"/>
    </row>
    <row r="809">
      <c r="A809" s="111" t="n"/>
      <c r="B809" s="27">
        <f>IF(A809="","",DATE(YEAR(A809),MONTH(A809),1))</f>
        <v/>
      </c>
      <c r="C809" s="28" t="n"/>
      <c r="D809" s="28" t="n"/>
      <c r="E809" s="28" t="n"/>
      <c r="F809" s="18" t="n"/>
      <c r="G809" s="7">
        <f>IFERROR(VLOOKUP(D809,'Catálogo de Serviços'!$A$5:$F$100,6,FALSE),0)</f>
        <v/>
      </c>
      <c r="H809" s="7">
        <f>IFERROR(E809*F809,0)</f>
        <v/>
      </c>
      <c r="I809" s="7">
        <f>IFERROR(F809-G809,0)</f>
        <v/>
      </c>
      <c r="J809" s="28" t="n"/>
      <c r="K809" s="28" t="n"/>
    </row>
    <row r="810">
      <c r="A810" s="111" t="n"/>
      <c r="B810" s="27">
        <f>IF(A810="","",DATE(YEAR(A810),MONTH(A810),1))</f>
        <v/>
      </c>
      <c r="C810" s="28" t="n"/>
      <c r="D810" s="28" t="n"/>
      <c r="E810" s="28" t="n"/>
      <c r="F810" s="18" t="n"/>
      <c r="G810" s="7">
        <f>IFERROR(VLOOKUP(D810,'Catálogo de Serviços'!$A$5:$F$100,6,FALSE),0)</f>
        <v/>
      </c>
      <c r="H810" s="7">
        <f>IFERROR(E810*F810,0)</f>
        <v/>
      </c>
      <c r="I810" s="7">
        <f>IFERROR(F810-G810,0)</f>
        <v/>
      </c>
      <c r="J810" s="28" t="n"/>
      <c r="K810" s="28" t="n"/>
    </row>
    <row r="811">
      <c r="A811" s="111" t="n"/>
      <c r="B811" s="27">
        <f>IF(A811="","",DATE(YEAR(A811),MONTH(A811),1))</f>
        <v/>
      </c>
      <c r="C811" s="28" t="n"/>
      <c r="D811" s="28" t="n"/>
      <c r="E811" s="28" t="n"/>
      <c r="F811" s="18" t="n"/>
      <c r="G811" s="7">
        <f>IFERROR(VLOOKUP(D811,'Catálogo de Serviços'!$A$5:$F$100,6,FALSE),0)</f>
        <v/>
      </c>
      <c r="H811" s="7">
        <f>IFERROR(E811*F811,0)</f>
        <v/>
      </c>
      <c r="I811" s="7">
        <f>IFERROR(F811-G811,0)</f>
        <v/>
      </c>
      <c r="J811" s="28" t="n"/>
      <c r="K811" s="28" t="n"/>
    </row>
    <row r="812">
      <c r="A812" s="111" t="n"/>
      <c r="B812" s="27">
        <f>IF(A812="","",DATE(YEAR(A812),MONTH(A812),1))</f>
        <v/>
      </c>
      <c r="C812" s="28" t="n"/>
      <c r="D812" s="28" t="n"/>
      <c r="E812" s="28" t="n"/>
      <c r="F812" s="18" t="n"/>
      <c r="G812" s="7">
        <f>IFERROR(VLOOKUP(D812,'Catálogo de Serviços'!$A$5:$F$100,6,FALSE),0)</f>
        <v/>
      </c>
      <c r="H812" s="7">
        <f>IFERROR(E812*F812,0)</f>
        <v/>
      </c>
      <c r="I812" s="7">
        <f>IFERROR(F812-G812,0)</f>
        <v/>
      </c>
      <c r="J812" s="28" t="n"/>
      <c r="K812" s="28" t="n"/>
    </row>
    <row r="813">
      <c r="A813" s="111" t="n"/>
      <c r="B813" s="27">
        <f>IF(A813="","",DATE(YEAR(A813),MONTH(A813),1))</f>
        <v/>
      </c>
      <c r="C813" s="28" t="n"/>
      <c r="D813" s="28" t="n"/>
      <c r="E813" s="28" t="n"/>
      <c r="F813" s="18" t="n"/>
      <c r="G813" s="7">
        <f>IFERROR(VLOOKUP(D813,'Catálogo de Serviços'!$A$5:$F$100,6,FALSE),0)</f>
        <v/>
      </c>
      <c r="H813" s="7">
        <f>IFERROR(E813*F813,0)</f>
        <v/>
      </c>
      <c r="I813" s="7">
        <f>IFERROR(F813-G813,0)</f>
        <v/>
      </c>
      <c r="J813" s="28" t="n"/>
      <c r="K813" s="28" t="n"/>
    </row>
    <row r="814">
      <c r="A814" s="111" t="n"/>
      <c r="B814" s="27">
        <f>IF(A814="","",DATE(YEAR(A814),MONTH(A814),1))</f>
        <v/>
      </c>
      <c r="C814" s="28" t="n"/>
      <c r="D814" s="28" t="n"/>
      <c r="E814" s="28" t="n"/>
      <c r="F814" s="18" t="n"/>
      <c r="G814" s="7">
        <f>IFERROR(VLOOKUP(D814,'Catálogo de Serviços'!$A$5:$F$100,6,FALSE),0)</f>
        <v/>
      </c>
      <c r="H814" s="7">
        <f>IFERROR(E814*F814,0)</f>
        <v/>
      </c>
      <c r="I814" s="7">
        <f>IFERROR(F814-G814,0)</f>
        <v/>
      </c>
      <c r="J814" s="28" t="n"/>
      <c r="K814" s="28" t="n"/>
    </row>
    <row r="815">
      <c r="A815" s="111" t="n"/>
      <c r="B815" s="27">
        <f>IF(A815="","",DATE(YEAR(A815),MONTH(A815),1))</f>
        <v/>
      </c>
      <c r="C815" s="28" t="n"/>
      <c r="D815" s="28" t="n"/>
      <c r="E815" s="28" t="n"/>
      <c r="F815" s="18" t="n"/>
      <c r="G815" s="7">
        <f>IFERROR(VLOOKUP(D815,'Catálogo de Serviços'!$A$5:$F$100,6,FALSE),0)</f>
        <v/>
      </c>
      <c r="H815" s="7">
        <f>IFERROR(E815*F815,0)</f>
        <v/>
      </c>
      <c r="I815" s="7">
        <f>IFERROR(F815-G815,0)</f>
        <v/>
      </c>
      <c r="J815" s="28" t="n"/>
      <c r="K815" s="28" t="n"/>
    </row>
    <row r="816">
      <c r="A816" s="111" t="n"/>
      <c r="B816" s="27">
        <f>IF(A816="","",DATE(YEAR(A816),MONTH(A816),1))</f>
        <v/>
      </c>
      <c r="C816" s="28" t="n"/>
      <c r="D816" s="28" t="n"/>
      <c r="E816" s="28" t="n"/>
      <c r="F816" s="18" t="n"/>
      <c r="G816" s="7">
        <f>IFERROR(VLOOKUP(D816,'Catálogo de Serviços'!$A$5:$F$100,6,FALSE),0)</f>
        <v/>
      </c>
      <c r="H816" s="7">
        <f>IFERROR(E816*F816,0)</f>
        <v/>
      </c>
      <c r="I816" s="7">
        <f>IFERROR(F816-G816,0)</f>
        <v/>
      </c>
      <c r="J816" s="28" t="n"/>
      <c r="K816" s="28" t="n"/>
    </row>
    <row r="817">
      <c r="A817" s="111" t="n"/>
      <c r="B817" s="27">
        <f>IF(A817="","",DATE(YEAR(A817),MONTH(A817),1))</f>
        <v/>
      </c>
      <c r="C817" s="28" t="n"/>
      <c r="D817" s="28" t="n"/>
      <c r="E817" s="28" t="n"/>
      <c r="F817" s="18" t="n"/>
      <c r="G817" s="7">
        <f>IFERROR(VLOOKUP(D817,'Catálogo de Serviços'!$A$5:$F$100,6,FALSE),0)</f>
        <v/>
      </c>
      <c r="H817" s="7">
        <f>IFERROR(E817*F817,0)</f>
        <v/>
      </c>
      <c r="I817" s="7">
        <f>IFERROR(F817-G817,0)</f>
        <v/>
      </c>
      <c r="J817" s="28" t="n"/>
      <c r="K817" s="28" t="n"/>
    </row>
    <row r="818">
      <c r="A818" s="111" t="n"/>
      <c r="B818" s="27">
        <f>IF(A818="","",DATE(YEAR(A818),MONTH(A818),1))</f>
        <v/>
      </c>
      <c r="C818" s="28" t="n"/>
      <c r="D818" s="28" t="n"/>
      <c r="E818" s="28" t="n"/>
      <c r="F818" s="18" t="n"/>
      <c r="G818" s="7">
        <f>IFERROR(VLOOKUP(D818,'Catálogo de Serviços'!$A$5:$F$100,6,FALSE),0)</f>
        <v/>
      </c>
      <c r="H818" s="7">
        <f>IFERROR(E818*F818,0)</f>
        <v/>
      </c>
      <c r="I818" s="7">
        <f>IFERROR(F818-G818,0)</f>
        <v/>
      </c>
      <c r="J818" s="28" t="n"/>
      <c r="K818" s="28" t="n"/>
    </row>
    <row r="819">
      <c r="A819" s="111" t="n"/>
      <c r="B819" s="27">
        <f>IF(A819="","",DATE(YEAR(A819),MONTH(A819),1))</f>
        <v/>
      </c>
      <c r="C819" s="28" t="n"/>
      <c r="D819" s="28" t="n"/>
      <c r="E819" s="28" t="n"/>
      <c r="F819" s="18" t="n"/>
      <c r="G819" s="7">
        <f>IFERROR(VLOOKUP(D819,'Catálogo de Serviços'!$A$5:$F$100,6,FALSE),0)</f>
        <v/>
      </c>
      <c r="H819" s="7">
        <f>IFERROR(E819*F819,0)</f>
        <v/>
      </c>
      <c r="I819" s="7">
        <f>IFERROR(F819-G819,0)</f>
        <v/>
      </c>
      <c r="J819" s="28" t="n"/>
      <c r="K819" s="28" t="n"/>
    </row>
    <row r="820">
      <c r="A820" s="111" t="n"/>
      <c r="B820" s="27">
        <f>IF(A820="","",DATE(YEAR(A820),MONTH(A820),1))</f>
        <v/>
      </c>
      <c r="C820" s="28" t="n"/>
      <c r="D820" s="28" t="n"/>
      <c r="E820" s="28" t="n"/>
      <c r="F820" s="18" t="n"/>
      <c r="G820" s="7">
        <f>IFERROR(VLOOKUP(D820,'Catálogo de Serviços'!$A$5:$F$100,6,FALSE),0)</f>
        <v/>
      </c>
      <c r="H820" s="7">
        <f>IFERROR(E820*F820,0)</f>
        <v/>
      </c>
      <c r="I820" s="7">
        <f>IFERROR(F820-G820,0)</f>
        <v/>
      </c>
      <c r="J820" s="28" t="n"/>
      <c r="K820" s="28" t="n"/>
    </row>
    <row r="821">
      <c r="A821" s="111" t="n"/>
      <c r="B821" s="27">
        <f>IF(A821="","",DATE(YEAR(A821),MONTH(A821),1))</f>
        <v/>
      </c>
      <c r="C821" s="28" t="n"/>
      <c r="D821" s="28" t="n"/>
      <c r="E821" s="28" t="n"/>
      <c r="F821" s="18" t="n"/>
      <c r="G821" s="7">
        <f>IFERROR(VLOOKUP(D821,'Catálogo de Serviços'!$A$5:$F$100,6,FALSE),0)</f>
        <v/>
      </c>
      <c r="H821" s="7">
        <f>IFERROR(E821*F821,0)</f>
        <v/>
      </c>
      <c r="I821" s="7">
        <f>IFERROR(F821-G821,0)</f>
        <v/>
      </c>
      <c r="J821" s="28" t="n"/>
      <c r="K821" s="28" t="n"/>
    </row>
    <row r="822">
      <c r="A822" s="111" t="n"/>
      <c r="B822" s="27">
        <f>IF(A822="","",DATE(YEAR(A822),MONTH(A822),1))</f>
        <v/>
      </c>
      <c r="C822" s="28" t="n"/>
      <c r="D822" s="28" t="n"/>
      <c r="E822" s="28" t="n"/>
      <c r="F822" s="18" t="n"/>
      <c r="G822" s="7">
        <f>IFERROR(VLOOKUP(D822,'Catálogo de Serviços'!$A$5:$F$100,6,FALSE),0)</f>
        <v/>
      </c>
      <c r="H822" s="7">
        <f>IFERROR(E822*F822,0)</f>
        <v/>
      </c>
      <c r="I822" s="7">
        <f>IFERROR(F822-G822,0)</f>
        <v/>
      </c>
      <c r="J822" s="28" t="n"/>
      <c r="K822" s="28" t="n"/>
    </row>
    <row r="823">
      <c r="A823" s="111" t="n"/>
      <c r="B823" s="27">
        <f>IF(A823="","",DATE(YEAR(A823),MONTH(A823),1))</f>
        <v/>
      </c>
      <c r="C823" s="28" t="n"/>
      <c r="D823" s="28" t="n"/>
      <c r="E823" s="28" t="n"/>
      <c r="F823" s="18" t="n"/>
      <c r="G823" s="7">
        <f>IFERROR(VLOOKUP(D823,'Catálogo de Serviços'!$A$5:$F$100,6,FALSE),0)</f>
        <v/>
      </c>
      <c r="H823" s="7">
        <f>IFERROR(E823*F823,0)</f>
        <v/>
      </c>
      <c r="I823" s="7">
        <f>IFERROR(F823-G823,0)</f>
        <v/>
      </c>
      <c r="J823" s="28" t="n"/>
      <c r="K823" s="28" t="n"/>
    </row>
    <row r="824">
      <c r="A824" s="111" t="n"/>
      <c r="B824" s="27">
        <f>IF(A824="","",DATE(YEAR(A824),MONTH(A824),1))</f>
        <v/>
      </c>
      <c r="C824" s="28" t="n"/>
      <c r="D824" s="28" t="n"/>
      <c r="E824" s="28" t="n"/>
      <c r="F824" s="18" t="n"/>
      <c r="G824" s="7">
        <f>IFERROR(VLOOKUP(D824,'Catálogo de Serviços'!$A$5:$F$100,6,FALSE),0)</f>
        <v/>
      </c>
      <c r="H824" s="7">
        <f>IFERROR(E824*F824,0)</f>
        <v/>
      </c>
      <c r="I824" s="7">
        <f>IFERROR(F824-G824,0)</f>
        <v/>
      </c>
      <c r="J824" s="28" t="n"/>
      <c r="K824" s="28" t="n"/>
    </row>
    <row r="825">
      <c r="A825" s="111" t="n"/>
      <c r="B825" s="27">
        <f>IF(A825="","",DATE(YEAR(A825),MONTH(A825),1))</f>
        <v/>
      </c>
      <c r="C825" s="28" t="n"/>
      <c r="D825" s="28" t="n"/>
      <c r="E825" s="28" t="n"/>
      <c r="F825" s="18" t="n"/>
      <c r="G825" s="7">
        <f>IFERROR(VLOOKUP(D825,'Catálogo de Serviços'!$A$5:$F$100,6,FALSE),0)</f>
        <v/>
      </c>
      <c r="H825" s="7">
        <f>IFERROR(E825*F825,0)</f>
        <v/>
      </c>
      <c r="I825" s="7">
        <f>IFERROR(F825-G825,0)</f>
        <v/>
      </c>
      <c r="J825" s="28" t="n"/>
      <c r="K825" s="28" t="n"/>
    </row>
    <row r="826">
      <c r="A826" s="111" t="n"/>
      <c r="B826" s="27">
        <f>IF(A826="","",DATE(YEAR(A826),MONTH(A826),1))</f>
        <v/>
      </c>
      <c r="C826" s="28" t="n"/>
      <c r="D826" s="28" t="n"/>
      <c r="E826" s="28" t="n"/>
      <c r="F826" s="18" t="n"/>
      <c r="G826" s="7">
        <f>IFERROR(VLOOKUP(D826,'Catálogo de Serviços'!$A$5:$F$100,6,FALSE),0)</f>
        <v/>
      </c>
      <c r="H826" s="7">
        <f>IFERROR(E826*F826,0)</f>
        <v/>
      </c>
      <c r="I826" s="7">
        <f>IFERROR(F826-G826,0)</f>
        <v/>
      </c>
      <c r="J826" s="28" t="n"/>
      <c r="K826" s="28" t="n"/>
    </row>
    <row r="827">
      <c r="A827" s="111" t="n"/>
      <c r="B827" s="27">
        <f>IF(A827="","",DATE(YEAR(A827),MONTH(A827),1))</f>
        <v/>
      </c>
      <c r="C827" s="28" t="n"/>
      <c r="D827" s="28" t="n"/>
      <c r="E827" s="28" t="n"/>
      <c r="F827" s="18" t="n"/>
      <c r="G827" s="7">
        <f>IFERROR(VLOOKUP(D827,'Catálogo de Serviços'!$A$5:$F$100,6,FALSE),0)</f>
        <v/>
      </c>
      <c r="H827" s="7">
        <f>IFERROR(E827*F827,0)</f>
        <v/>
      </c>
      <c r="I827" s="7">
        <f>IFERROR(F827-G827,0)</f>
        <v/>
      </c>
      <c r="J827" s="28" t="n"/>
      <c r="K827" s="28" t="n"/>
    </row>
    <row r="828">
      <c r="A828" s="111" t="n"/>
      <c r="B828" s="27">
        <f>IF(A828="","",DATE(YEAR(A828),MONTH(A828),1))</f>
        <v/>
      </c>
      <c r="C828" s="28" t="n"/>
      <c r="D828" s="28" t="n"/>
      <c r="E828" s="28" t="n"/>
      <c r="F828" s="18" t="n"/>
      <c r="G828" s="7">
        <f>IFERROR(VLOOKUP(D828,'Catálogo de Serviços'!$A$5:$F$100,6,FALSE),0)</f>
        <v/>
      </c>
      <c r="H828" s="7">
        <f>IFERROR(E828*F828,0)</f>
        <v/>
      </c>
      <c r="I828" s="7">
        <f>IFERROR(F828-G828,0)</f>
        <v/>
      </c>
      <c r="J828" s="28" t="n"/>
      <c r="K828" s="28" t="n"/>
    </row>
    <row r="829">
      <c r="A829" s="111" t="n"/>
      <c r="B829" s="27">
        <f>IF(A829="","",DATE(YEAR(A829),MONTH(A829),1))</f>
        <v/>
      </c>
      <c r="C829" s="28" t="n"/>
      <c r="D829" s="28" t="n"/>
      <c r="E829" s="28" t="n"/>
      <c r="F829" s="18" t="n"/>
      <c r="G829" s="7">
        <f>IFERROR(VLOOKUP(D829,'Catálogo de Serviços'!$A$5:$F$100,6,FALSE),0)</f>
        <v/>
      </c>
      <c r="H829" s="7">
        <f>IFERROR(E829*F829,0)</f>
        <v/>
      </c>
      <c r="I829" s="7">
        <f>IFERROR(F829-G829,0)</f>
        <v/>
      </c>
      <c r="J829" s="28" t="n"/>
      <c r="K829" s="28" t="n"/>
    </row>
    <row r="830">
      <c r="A830" s="111" t="n"/>
      <c r="B830" s="27">
        <f>IF(A830="","",DATE(YEAR(A830),MONTH(A830),1))</f>
        <v/>
      </c>
      <c r="C830" s="28" t="n"/>
      <c r="D830" s="28" t="n"/>
      <c r="E830" s="28" t="n"/>
      <c r="F830" s="18" t="n"/>
      <c r="G830" s="7">
        <f>IFERROR(VLOOKUP(D830,'Catálogo de Serviços'!$A$5:$F$100,6,FALSE),0)</f>
        <v/>
      </c>
      <c r="H830" s="7">
        <f>IFERROR(E830*F830,0)</f>
        <v/>
      </c>
      <c r="I830" s="7">
        <f>IFERROR(F830-G830,0)</f>
        <v/>
      </c>
      <c r="J830" s="28" t="n"/>
      <c r="K830" s="28" t="n"/>
    </row>
    <row r="831">
      <c r="A831" s="111" t="n"/>
      <c r="B831" s="27">
        <f>IF(A831="","",DATE(YEAR(A831),MONTH(A831),1))</f>
        <v/>
      </c>
      <c r="C831" s="28" t="n"/>
      <c r="D831" s="28" t="n"/>
      <c r="E831" s="28" t="n"/>
      <c r="F831" s="18" t="n"/>
      <c r="G831" s="7">
        <f>IFERROR(VLOOKUP(D831,'Catálogo de Serviços'!$A$5:$F$100,6,FALSE),0)</f>
        <v/>
      </c>
      <c r="H831" s="7">
        <f>IFERROR(E831*F831,0)</f>
        <v/>
      </c>
      <c r="I831" s="7">
        <f>IFERROR(F831-G831,0)</f>
        <v/>
      </c>
      <c r="J831" s="28" t="n"/>
      <c r="K831" s="28" t="n"/>
    </row>
    <row r="832">
      <c r="A832" s="111" t="n"/>
      <c r="B832" s="27">
        <f>IF(A832="","",DATE(YEAR(A832),MONTH(A832),1))</f>
        <v/>
      </c>
      <c r="C832" s="28" t="n"/>
      <c r="D832" s="28" t="n"/>
      <c r="E832" s="28" t="n"/>
      <c r="F832" s="18" t="n"/>
      <c r="G832" s="7">
        <f>IFERROR(VLOOKUP(D832,'Catálogo de Serviços'!$A$5:$F$100,6,FALSE),0)</f>
        <v/>
      </c>
      <c r="H832" s="7">
        <f>IFERROR(E832*F832,0)</f>
        <v/>
      </c>
      <c r="I832" s="7">
        <f>IFERROR(F832-G832,0)</f>
        <v/>
      </c>
      <c r="J832" s="28" t="n"/>
      <c r="K832" s="28" t="n"/>
    </row>
    <row r="833">
      <c r="A833" s="111" t="n"/>
      <c r="B833" s="27">
        <f>IF(A833="","",DATE(YEAR(A833),MONTH(A833),1))</f>
        <v/>
      </c>
      <c r="C833" s="28" t="n"/>
      <c r="D833" s="28" t="n"/>
      <c r="E833" s="28" t="n"/>
      <c r="F833" s="18" t="n"/>
      <c r="G833" s="7">
        <f>IFERROR(VLOOKUP(D833,'Catálogo de Serviços'!$A$5:$F$100,6,FALSE),0)</f>
        <v/>
      </c>
      <c r="H833" s="7">
        <f>IFERROR(E833*F833,0)</f>
        <v/>
      </c>
      <c r="I833" s="7">
        <f>IFERROR(F833-G833,0)</f>
        <v/>
      </c>
      <c r="J833" s="28" t="n"/>
      <c r="K833" s="28" t="n"/>
    </row>
    <row r="834">
      <c r="A834" s="111" t="n"/>
      <c r="B834" s="27">
        <f>IF(A834="","",DATE(YEAR(A834),MONTH(A834),1))</f>
        <v/>
      </c>
      <c r="C834" s="28" t="n"/>
      <c r="D834" s="28" t="n"/>
      <c r="E834" s="28" t="n"/>
      <c r="F834" s="18" t="n"/>
      <c r="G834" s="7">
        <f>IFERROR(VLOOKUP(D834,'Catálogo de Serviços'!$A$5:$F$100,6,FALSE),0)</f>
        <v/>
      </c>
      <c r="H834" s="7">
        <f>IFERROR(E834*F834,0)</f>
        <v/>
      </c>
      <c r="I834" s="7">
        <f>IFERROR(F834-G834,0)</f>
        <v/>
      </c>
      <c r="J834" s="28" t="n"/>
      <c r="K834" s="28" t="n"/>
    </row>
    <row r="835">
      <c r="A835" s="111" t="n"/>
      <c r="B835" s="27">
        <f>IF(A835="","",DATE(YEAR(A835),MONTH(A835),1))</f>
        <v/>
      </c>
      <c r="C835" s="28" t="n"/>
      <c r="D835" s="28" t="n"/>
      <c r="E835" s="28" t="n"/>
      <c r="F835" s="18" t="n"/>
      <c r="G835" s="7">
        <f>IFERROR(VLOOKUP(D835,'Catálogo de Serviços'!$A$5:$F$100,6,FALSE),0)</f>
        <v/>
      </c>
      <c r="H835" s="7">
        <f>IFERROR(E835*F835,0)</f>
        <v/>
      </c>
      <c r="I835" s="7">
        <f>IFERROR(F835-G835,0)</f>
        <v/>
      </c>
      <c r="J835" s="28" t="n"/>
      <c r="K835" s="28" t="n"/>
    </row>
    <row r="836">
      <c r="A836" s="111" t="n"/>
      <c r="B836" s="27">
        <f>IF(A836="","",DATE(YEAR(A836),MONTH(A836),1))</f>
        <v/>
      </c>
      <c r="C836" s="28" t="n"/>
      <c r="D836" s="28" t="n"/>
      <c r="E836" s="28" t="n"/>
      <c r="F836" s="18" t="n"/>
      <c r="G836" s="7">
        <f>IFERROR(VLOOKUP(D836,'Catálogo de Serviços'!$A$5:$F$100,6,FALSE),0)</f>
        <v/>
      </c>
      <c r="H836" s="7">
        <f>IFERROR(E836*F836,0)</f>
        <v/>
      </c>
      <c r="I836" s="7">
        <f>IFERROR(F836-G836,0)</f>
        <v/>
      </c>
      <c r="J836" s="28" t="n"/>
      <c r="K836" s="28" t="n"/>
    </row>
    <row r="837">
      <c r="A837" s="111" t="n"/>
      <c r="B837" s="27">
        <f>IF(A837="","",DATE(YEAR(A837),MONTH(A837),1))</f>
        <v/>
      </c>
      <c r="C837" s="28" t="n"/>
      <c r="D837" s="28" t="n"/>
      <c r="E837" s="28" t="n"/>
      <c r="F837" s="18" t="n"/>
      <c r="G837" s="7">
        <f>IFERROR(VLOOKUP(D837,'Catálogo de Serviços'!$A$5:$F$100,6,FALSE),0)</f>
        <v/>
      </c>
      <c r="H837" s="7">
        <f>IFERROR(E837*F837,0)</f>
        <v/>
      </c>
      <c r="I837" s="7">
        <f>IFERROR(F837-G837,0)</f>
        <v/>
      </c>
      <c r="J837" s="28" t="n"/>
      <c r="K837" s="28" t="n"/>
    </row>
    <row r="838">
      <c r="A838" s="111" t="n"/>
      <c r="B838" s="27">
        <f>IF(A838="","",DATE(YEAR(A838),MONTH(A838),1))</f>
        <v/>
      </c>
      <c r="C838" s="28" t="n"/>
      <c r="D838" s="28" t="n"/>
      <c r="E838" s="28" t="n"/>
      <c r="F838" s="18" t="n"/>
      <c r="G838" s="7">
        <f>IFERROR(VLOOKUP(D838,'Catálogo de Serviços'!$A$5:$F$100,6,FALSE),0)</f>
        <v/>
      </c>
      <c r="H838" s="7">
        <f>IFERROR(E838*F838,0)</f>
        <v/>
      </c>
      <c r="I838" s="7">
        <f>IFERROR(F838-G838,0)</f>
        <v/>
      </c>
      <c r="J838" s="28" t="n"/>
      <c r="K838" s="28" t="n"/>
    </row>
    <row r="839">
      <c r="A839" s="111" t="n"/>
      <c r="B839" s="27">
        <f>IF(A839="","",DATE(YEAR(A839),MONTH(A839),1))</f>
        <v/>
      </c>
      <c r="C839" s="28" t="n"/>
      <c r="D839" s="28" t="n"/>
      <c r="E839" s="28" t="n"/>
      <c r="F839" s="18" t="n"/>
      <c r="G839" s="7">
        <f>IFERROR(VLOOKUP(D839,'Catálogo de Serviços'!$A$5:$F$100,6,FALSE),0)</f>
        <v/>
      </c>
      <c r="H839" s="7">
        <f>IFERROR(E839*F839,0)</f>
        <v/>
      </c>
      <c r="I839" s="7">
        <f>IFERROR(F839-G839,0)</f>
        <v/>
      </c>
      <c r="J839" s="28" t="n"/>
      <c r="K839" s="28" t="n"/>
    </row>
    <row r="840">
      <c r="A840" s="111" t="n"/>
      <c r="B840" s="27">
        <f>IF(A840="","",DATE(YEAR(A840),MONTH(A840),1))</f>
        <v/>
      </c>
      <c r="C840" s="28" t="n"/>
      <c r="D840" s="28" t="n"/>
      <c r="E840" s="28" t="n"/>
      <c r="F840" s="18" t="n"/>
      <c r="G840" s="7">
        <f>IFERROR(VLOOKUP(D840,'Catálogo de Serviços'!$A$5:$F$100,6,FALSE),0)</f>
        <v/>
      </c>
      <c r="H840" s="7">
        <f>IFERROR(E840*F840,0)</f>
        <v/>
      </c>
      <c r="I840" s="7">
        <f>IFERROR(F840-G840,0)</f>
        <v/>
      </c>
      <c r="J840" s="28" t="n"/>
      <c r="K840" s="28" t="n"/>
    </row>
    <row r="841">
      <c r="A841" s="111" t="n"/>
      <c r="B841" s="27">
        <f>IF(A841="","",DATE(YEAR(A841),MONTH(A841),1))</f>
        <v/>
      </c>
      <c r="C841" s="28" t="n"/>
      <c r="D841" s="28" t="n"/>
      <c r="E841" s="28" t="n"/>
      <c r="F841" s="18" t="n"/>
      <c r="G841" s="7">
        <f>IFERROR(VLOOKUP(D841,'Catálogo de Serviços'!$A$5:$F$100,6,FALSE),0)</f>
        <v/>
      </c>
      <c r="H841" s="7">
        <f>IFERROR(E841*F841,0)</f>
        <v/>
      </c>
      <c r="I841" s="7">
        <f>IFERROR(F841-G841,0)</f>
        <v/>
      </c>
      <c r="J841" s="28" t="n"/>
      <c r="K841" s="28" t="n"/>
    </row>
    <row r="842">
      <c r="A842" s="111" t="n"/>
      <c r="B842" s="27">
        <f>IF(A842="","",DATE(YEAR(A842),MONTH(A842),1))</f>
        <v/>
      </c>
      <c r="C842" s="28" t="n"/>
      <c r="D842" s="28" t="n"/>
      <c r="E842" s="28" t="n"/>
      <c r="F842" s="18" t="n"/>
      <c r="G842" s="7">
        <f>IFERROR(VLOOKUP(D842,'Catálogo de Serviços'!$A$5:$F$100,6,FALSE),0)</f>
        <v/>
      </c>
      <c r="H842" s="7">
        <f>IFERROR(E842*F842,0)</f>
        <v/>
      </c>
      <c r="I842" s="7">
        <f>IFERROR(F842-G842,0)</f>
        <v/>
      </c>
      <c r="J842" s="28" t="n"/>
      <c r="K842" s="28" t="n"/>
    </row>
    <row r="843">
      <c r="A843" s="111" t="n"/>
      <c r="B843" s="27">
        <f>IF(A843="","",DATE(YEAR(A843),MONTH(A843),1))</f>
        <v/>
      </c>
      <c r="C843" s="28" t="n"/>
      <c r="D843" s="28" t="n"/>
      <c r="E843" s="28" t="n"/>
      <c r="F843" s="18" t="n"/>
      <c r="G843" s="7">
        <f>IFERROR(VLOOKUP(D843,'Catálogo de Serviços'!$A$5:$F$100,6,FALSE),0)</f>
        <v/>
      </c>
      <c r="H843" s="7">
        <f>IFERROR(E843*F843,0)</f>
        <v/>
      </c>
      <c r="I843" s="7">
        <f>IFERROR(F843-G843,0)</f>
        <v/>
      </c>
      <c r="J843" s="28" t="n"/>
      <c r="K843" s="28" t="n"/>
    </row>
    <row r="844">
      <c r="A844" s="111" t="n"/>
      <c r="B844" s="27">
        <f>IF(A844="","",DATE(YEAR(A844),MONTH(A844),1))</f>
        <v/>
      </c>
      <c r="C844" s="28" t="n"/>
      <c r="D844" s="28" t="n"/>
      <c r="E844" s="28" t="n"/>
      <c r="F844" s="18" t="n"/>
      <c r="G844" s="7">
        <f>IFERROR(VLOOKUP(D844,'Catálogo de Serviços'!$A$5:$F$100,6,FALSE),0)</f>
        <v/>
      </c>
      <c r="H844" s="7">
        <f>IFERROR(E844*F844,0)</f>
        <v/>
      </c>
      <c r="I844" s="7">
        <f>IFERROR(F844-G844,0)</f>
        <v/>
      </c>
      <c r="J844" s="28" t="n"/>
      <c r="K844" s="28" t="n"/>
    </row>
    <row r="845">
      <c r="A845" s="111" t="n"/>
      <c r="B845" s="27">
        <f>IF(A845="","",DATE(YEAR(A845),MONTH(A845),1))</f>
        <v/>
      </c>
      <c r="C845" s="28" t="n"/>
      <c r="D845" s="28" t="n"/>
      <c r="E845" s="28" t="n"/>
      <c r="F845" s="18" t="n"/>
      <c r="G845" s="7">
        <f>IFERROR(VLOOKUP(D845,'Catálogo de Serviços'!$A$5:$F$100,6,FALSE),0)</f>
        <v/>
      </c>
      <c r="H845" s="7">
        <f>IFERROR(E845*F845,0)</f>
        <v/>
      </c>
      <c r="I845" s="7">
        <f>IFERROR(F845-G845,0)</f>
        <v/>
      </c>
      <c r="J845" s="28" t="n"/>
      <c r="K845" s="28" t="n"/>
    </row>
    <row r="846">
      <c r="A846" s="111" t="n"/>
      <c r="B846" s="27">
        <f>IF(A846="","",DATE(YEAR(A846),MONTH(A846),1))</f>
        <v/>
      </c>
      <c r="C846" s="28" t="n"/>
      <c r="D846" s="28" t="n"/>
      <c r="E846" s="28" t="n"/>
      <c r="F846" s="18" t="n"/>
      <c r="G846" s="7">
        <f>IFERROR(VLOOKUP(D846,'Catálogo de Serviços'!$A$5:$F$100,6,FALSE),0)</f>
        <v/>
      </c>
      <c r="H846" s="7">
        <f>IFERROR(E846*F846,0)</f>
        <v/>
      </c>
      <c r="I846" s="7">
        <f>IFERROR(F846-G846,0)</f>
        <v/>
      </c>
      <c r="J846" s="28" t="n"/>
      <c r="K846" s="28" t="n"/>
    </row>
    <row r="847">
      <c r="A847" s="111" t="n"/>
      <c r="B847" s="27">
        <f>IF(A847="","",DATE(YEAR(A847),MONTH(A847),1))</f>
        <v/>
      </c>
      <c r="C847" s="28" t="n"/>
      <c r="D847" s="28" t="n"/>
      <c r="E847" s="28" t="n"/>
      <c r="F847" s="18" t="n"/>
      <c r="G847" s="7">
        <f>IFERROR(VLOOKUP(D847,'Catálogo de Serviços'!$A$5:$F$100,6,FALSE),0)</f>
        <v/>
      </c>
      <c r="H847" s="7">
        <f>IFERROR(E847*F847,0)</f>
        <v/>
      </c>
      <c r="I847" s="7">
        <f>IFERROR(F847-G847,0)</f>
        <v/>
      </c>
      <c r="J847" s="28" t="n"/>
      <c r="K847" s="28" t="n"/>
    </row>
    <row r="848">
      <c r="A848" s="111" t="n"/>
      <c r="B848" s="27">
        <f>IF(A848="","",DATE(YEAR(A848),MONTH(A848),1))</f>
        <v/>
      </c>
      <c r="C848" s="28" t="n"/>
      <c r="D848" s="28" t="n"/>
      <c r="E848" s="28" t="n"/>
      <c r="F848" s="18" t="n"/>
      <c r="G848" s="7">
        <f>IFERROR(VLOOKUP(D848,'Catálogo de Serviços'!$A$5:$F$100,6,FALSE),0)</f>
        <v/>
      </c>
      <c r="H848" s="7">
        <f>IFERROR(E848*F848,0)</f>
        <v/>
      </c>
      <c r="I848" s="7">
        <f>IFERROR(F848-G848,0)</f>
        <v/>
      </c>
      <c r="J848" s="28" t="n"/>
      <c r="K848" s="28" t="n"/>
    </row>
    <row r="849">
      <c r="A849" s="111" t="n"/>
      <c r="B849" s="27">
        <f>IF(A849="","",DATE(YEAR(A849),MONTH(A849),1))</f>
        <v/>
      </c>
      <c r="C849" s="28" t="n"/>
      <c r="D849" s="28" t="n"/>
      <c r="E849" s="28" t="n"/>
      <c r="F849" s="18" t="n"/>
      <c r="G849" s="7">
        <f>IFERROR(VLOOKUP(D849,'Catálogo de Serviços'!$A$5:$F$100,6,FALSE),0)</f>
        <v/>
      </c>
      <c r="H849" s="7">
        <f>IFERROR(E849*F849,0)</f>
        <v/>
      </c>
      <c r="I849" s="7">
        <f>IFERROR(F849-G849,0)</f>
        <v/>
      </c>
      <c r="J849" s="28" t="n"/>
      <c r="K849" s="28" t="n"/>
    </row>
    <row r="850">
      <c r="A850" s="111" t="n"/>
      <c r="B850" s="27">
        <f>IF(A850="","",DATE(YEAR(A850),MONTH(A850),1))</f>
        <v/>
      </c>
      <c r="C850" s="28" t="n"/>
      <c r="D850" s="28" t="n"/>
      <c r="E850" s="28" t="n"/>
      <c r="F850" s="18" t="n"/>
      <c r="G850" s="7">
        <f>IFERROR(VLOOKUP(D850,'Catálogo de Serviços'!$A$5:$F$100,6,FALSE),0)</f>
        <v/>
      </c>
      <c r="H850" s="7">
        <f>IFERROR(E850*F850,0)</f>
        <v/>
      </c>
      <c r="I850" s="7">
        <f>IFERROR(F850-G850,0)</f>
        <v/>
      </c>
      <c r="J850" s="28" t="n"/>
      <c r="K850" s="28" t="n"/>
    </row>
    <row r="851">
      <c r="A851" s="111" t="n"/>
      <c r="B851" s="27">
        <f>IF(A851="","",DATE(YEAR(A851),MONTH(A851),1))</f>
        <v/>
      </c>
      <c r="C851" s="28" t="n"/>
      <c r="D851" s="28" t="n"/>
      <c r="E851" s="28" t="n"/>
      <c r="F851" s="18" t="n"/>
      <c r="G851" s="7">
        <f>IFERROR(VLOOKUP(D851,'Catálogo de Serviços'!$A$5:$F$100,6,FALSE),0)</f>
        <v/>
      </c>
      <c r="H851" s="7">
        <f>IFERROR(E851*F851,0)</f>
        <v/>
      </c>
      <c r="I851" s="7">
        <f>IFERROR(F851-G851,0)</f>
        <v/>
      </c>
      <c r="J851" s="28" t="n"/>
      <c r="K851" s="28" t="n"/>
    </row>
    <row r="852">
      <c r="A852" s="111" t="n"/>
      <c r="B852" s="27">
        <f>IF(A852="","",DATE(YEAR(A852),MONTH(A852),1))</f>
        <v/>
      </c>
      <c r="C852" s="28" t="n"/>
      <c r="D852" s="28" t="n"/>
      <c r="E852" s="28" t="n"/>
      <c r="F852" s="18" t="n"/>
      <c r="G852" s="7">
        <f>IFERROR(VLOOKUP(D852,'Catálogo de Serviços'!$A$5:$F$100,6,FALSE),0)</f>
        <v/>
      </c>
      <c r="H852" s="7">
        <f>IFERROR(E852*F852,0)</f>
        <v/>
      </c>
      <c r="I852" s="7">
        <f>IFERROR(F852-G852,0)</f>
        <v/>
      </c>
      <c r="J852" s="28" t="n"/>
      <c r="K852" s="28" t="n"/>
    </row>
    <row r="853">
      <c r="A853" s="111" t="n"/>
      <c r="B853" s="27">
        <f>IF(A853="","",DATE(YEAR(A853),MONTH(A853),1))</f>
        <v/>
      </c>
      <c r="C853" s="28" t="n"/>
      <c r="D853" s="28" t="n"/>
      <c r="E853" s="28" t="n"/>
      <c r="F853" s="18" t="n"/>
      <c r="G853" s="7">
        <f>IFERROR(VLOOKUP(D853,'Catálogo de Serviços'!$A$5:$F$100,6,FALSE),0)</f>
        <v/>
      </c>
      <c r="H853" s="7">
        <f>IFERROR(E853*F853,0)</f>
        <v/>
      </c>
      <c r="I853" s="7">
        <f>IFERROR(F853-G853,0)</f>
        <v/>
      </c>
      <c r="J853" s="28" t="n"/>
      <c r="K853" s="28" t="n"/>
    </row>
    <row r="854">
      <c r="A854" s="111" t="n"/>
      <c r="B854" s="27">
        <f>IF(A854="","",DATE(YEAR(A854),MONTH(A854),1))</f>
        <v/>
      </c>
      <c r="C854" s="28" t="n"/>
      <c r="D854" s="28" t="n"/>
      <c r="E854" s="28" t="n"/>
      <c r="F854" s="18" t="n"/>
      <c r="G854" s="7">
        <f>IFERROR(VLOOKUP(D854,'Catálogo de Serviços'!$A$5:$F$100,6,FALSE),0)</f>
        <v/>
      </c>
      <c r="H854" s="7">
        <f>IFERROR(E854*F854,0)</f>
        <v/>
      </c>
      <c r="I854" s="7">
        <f>IFERROR(F854-G854,0)</f>
        <v/>
      </c>
      <c r="J854" s="28" t="n"/>
      <c r="K854" s="28" t="n"/>
    </row>
    <row r="855">
      <c r="A855" s="111" t="n"/>
      <c r="B855" s="27">
        <f>IF(A855="","",DATE(YEAR(A855),MONTH(A855),1))</f>
        <v/>
      </c>
      <c r="C855" s="28" t="n"/>
      <c r="D855" s="28" t="n"/>
      <c r="E855" s="28" t="n"/>
      <c r="F855" s="18" t="n"/>
      <c r="G855" s="7">
        <f>IFERROR(VLOOKUP(D855,'Catálogo de Serviços'!$A$5:$F$100,6,FALSE),0)</f>
        <v/>
      </c>
      <c r="H855" s="7">
        <f>IFERROR(E855*F855,0)</f>
        <v/>
      </c>
      <c r="I855" s="7">
        <f>IFERROR(F855-G855,0)</f>
        <v/>
      </c>
      <c r="J855" s="28" t="n"/>
      <c r="K855" s="28" t="n"/>
    </row>
    <row r="856">
      <c r="A856" s="111" t="n"/>
      <c r="B856" s="27">
        <f>IF(A856="","",DATE(YEAR(A856),MONTH(A856),1))</f>
        <v/>
      </c>
      <c r="C856" s="28" t="n"/>
      <c r="D856" s="28" t="n"/>
      <c r="E856" s="28" t="n"/>
      <c r="F856" s="18" t="n"/>
      <c r="G856" s="7">
        <f>IFERROR(VLOOKUP(D856,'Catálogo de Serviços'!$A$5:$F$100,6,FALSE),0)</f>
        <v/>
      </c>
      <c r="H856" s="7">
        <f>IFERROR(E856*F856,0)</f>
        <v/>
      </c>
      <c r="I856" s="7">
        <f>IFERROR(F856-G856,0)</f>
        <v/>
      </c>
      <c r="J856" s="28" t="n"/>
      <c r="K856" s="28" t="n"/>
    </row>
    <row r="857">
      <c r="A857" s="111" t="n"/>
      <c r="B857" s="27">
        <f>IF(A857="","",DATE(YEAR(A857),MONTH(A857),1))</f>
        <v/>
      </c>
      <c r="C857" s="28" t="n"/>
      <c r="D857" s="28" t="n"/>
      <c r="E857" s="28" t="n"/>
      <c r="F857" s="18" t="n"/>
      <c r="G857" s="7">
        <f>IFERROR(VLOOKUP(D857,'Catálogo de Serviços'!$A$5:$F$100,6,FALSE),0)</f>
        <v/>
      </c>
      <c r="H857" s="7">
        <f>IFERROR(E857*F857,0)</f>
        <v/>
      </c>
      <c r="I857" s="7">
        <f>IFERROR(F857-G857,0)</f>
        <v/>
      </c>
      <c r="J857" s="28" t="n"/>
      <c r="K857" s="28" t="n"/>
    </row>
    <row r="858">
      <c r="A858" s="111" t="n"/>
      <c r="B858" s="27">
        <f>IF(A858="","",DATE(YEAR(A858),MONTH(A858),1))</f>
        <v/>
      </c>
      <c r="C858" s="28" t="n"/>
      <c r="D858" s="28" t="n"/>
      <c r="E858" s="28" t="n"/>
      <c r="F858" s="18" t="n"/>
      <c r="G858" s="7">
        <f>IFERROR(VLOOKUP(D858,'Catálogo de Serviços'!$A$5:$F$100,6,FALSE),0)</f>
        <v/>
      </c>
      <c r="H858" s="7">
        <f>IFERROR(E858*F858,0)</f>
        <v/>
      </c>
      <c r="I858" s="7">
        <f>IFERROR(F858-G858,0)</f>
        <v/>
      </c>
      <c r="J858" s="28" t="n"/>
      <c r="K858" s="28" t="n"/>
    </row>
    <row r="859">
      <c r="A859" s="111" t="n"/>
      <c r="B859" s="27">
        <f>IF(A859="","",DATE(YEAR(A859),MONTH(A859),1))</f>
        <v/>
      </c>
      <c r="C859" s="28" t="n"/>
      <c r="D859" s="28" t="n"/>
      <c r="E859" s="28" t="n"/>
      <c r="F859" s="18" t="n"/>
      <c r="G859" s="7">
        <f>IFERROR(VLOOKUP(D859,'Catálogo de Serviços'!$A$5:$F$100,6,FALSE),0)</f>
        <v/>
      </c>
      <c r="H859" s="7">
        <f>IFERROR(E859*F859,0)</f>
        <v/>
      </c>
      <c r="I859" s="7">
        <f>IFERROR(F859-G859,0)</f>
        <v/>
      </c>
      <c r="J859" s="28" t="n"/>
      <c r="K859" s="28" t="n"/>
    </row>
    <row r="860">
      <c r="A860" s="111" t="n"/>
      <c r="B860" s="27">
        <f>IF(A860="","",DATE(YEAR(A860),MONTH(A860),1))</f>
        <v/>
      </c>
      <c r="C860" s="28" t="n"/>
      <c r="D860" s="28" t="n"/>
      <c r="E860" s="28" t="n"/>
      <c r="F860" s="18" t="n"/>
      <c r="G860" s="7">
        <f>IFERROR(VLOOKUP(D860,'Catálogo de Serviços'!$A$5:$F$100,6,FALSE),0)</f>
        <v/>
      </c>
      <c r="H860" s="7">
        <f>IFERROR(E860*F860,0)</f>
        <v/>
      </c>
      <c r="I860" s="7">
        <f>IFERROR(F860-G860,0)</f>
        <v/>
      </c>
      <c r="J860" s="28" t="n"/>
      <c r="K860" s="28" t="n"/>
    </row>
    <row r="861">
      <c r="A861" s="111" t="n"/>
      <c r="B861" s="27">
        <f>IF(A861="","",DATE(YEAR(A861),MONTH(A861),1))</f>
        <v/>
      </c>
      <c r="C861" s="28" t="n"/>
      <c r="D861" s="28" t="n"/>
      <c r="E861" s="28" t="n"/>
      <c r="F861" s="18" t="n"/>
      <c r="G861" s="7">
        <f>IFERROR(VLOOKUP(D861,'Catálogo de Serviços'!$A$5:$F$100,6,FALSE),0)</f>
        <v/>
      </c>
      <c r="H861" s="7">
        <f>IFERROR(E861*F861,0)</f>
        <v/>
      </c>
      <c r="I861" s="7">
        <f>IFERROR(F861-G861,0)</f>
        <v/>
      </c>
      <c r="J861" s="28" t="n"/>
      <c r="K861" s="28" t="n"/>
    </row>
    <row r="862">
      <c r="A862" s="111" t="n"/>
      <c r="B862" s="27">
        <f>IF(A862="","",DATE(YEAR(A862),MONTH(A862),1))</f>
        <v/>
      </c>
      <c r="C862" s="28" t="n"/>
      <c r="D862" s="28" t="n"/>
      <c r="E862" s="28" t="n"/>
      <c r="F862" s="18" t="n"/>
      <c r="G862" s="7">
        <f>IFERROR(VLOOKUP(D862,'Catálogo de Serviços'!$A$5:$F$100,6,FALSE),0)</f>
        <v/>
      </c>
      <c r="H862" s="7">
        <f>IFERROR(E862*F862,0)</f>
        <v/>
      </c>
      <c r="I862" s="7">
        <f>IFERROR(F862-G862,0)</f>
        <v/>
      </c>
      <c r="J862" s="28" t="n"/>
      <c r="K862" s="28" t="n"/>
    </row>
    <row r="863">
      <c r="A863" s="111" t="n"/>
      <c r="B863" s="27">
        <f>IF(A863="","",DATE(YEAR(A863),MONTH(A863),1))</f>
        <v/>
      </c>
      <c r="C863" s="28" t="n"/>
      <c r="D863" s="28" t="n"/>
      <c r="E863" s="28" t="n"/>
      <c r="F863" s="18" t="n"/>
      <c r="G863" s="7">
        <f>IFERROR(VLOOKUP(D863,'Catálogo de Serviços'!$A$5:$F$100,6,FALSE),0)</f>
        <v/>
      </c>
      <c r="H863" s="7">
        <f>IFERROR(E863*F863,0)</f>
        <v/>
      </c>
      <c r="I863" s="7">
        <f>IFERROR(F863-G863,0)</f>
        <v/>
      </c>
      <c r="J863" s="28" t="n"/>
      <c r="K863" s="28" t="n"/>
    </row>
    <row r="864">
      <c r="A864" s="111" t="n"/>
      <c r="B864" s="27">
        <f>IF(A864="","",DATE(YEAR(A864),MONTH(A864),1))</f>
        <v/>
      </c>
      <c r="C864" s="28" t="n"/>
      <c r="D864" s="28" t="n"/>
      <c r="E864" s="28" t="n"/>
      <c r="F864" s="18" t="n"/>
      <c r="G864" s="7">
        <f>IFERROR(VLOOKUP(D864,'Catálogo de Serviços'!$A$5:$F$100,6,FALSE),0)</f>
        <v/>
      </c>
      <c r="H864" s="7">
        <f>IFERROR(E864*F864,0)</f>
        <v/>
      </c>
      <c r="I864" s="7">
        <f>IFERROR(F864-G864,0)</f>
        <v/>
      </c>
      <c r="J864" s="28" t="n"/>
      <c r="K864" s="28" t="n"/>
    </row>
    <row r="865">
      <c r="A865" s="111" t="n"/>
      <c r="B865" s="27">
        <f>IF(A865="","",DATE(YEAR(A865),MONTH(A865),1))</f>
        <v/>
      </c>
      <c r="C865" s="28" t="n"/>
      <c r="D865" s="28" t="n"/>
      <c r="E865" s="28" t="n"/>
      <c r="F865" s="18" t="n"/>
      <c r="G865" s="7">
        <f>IFERROR(VLOOKUP(D865,'Catálogo de Serviços'!$A$5:$F$100,6,FALSE),0)</f>
        <v/>
      </c>
      <c r="H865" s="7">
        <f>IFERROR(E865*F865,0)</f>
        <v/>
      </c>
      <c r="I865" s="7">
        <f>IFERROR(F865-G865,0)</f>
        <v/>
      </c>
      <c r="J865" s="28" t="n"/>
      <c r="K865" s="28" t="n"/>
    </row>
    <row r="866">
      <c r="A866" s="111" t="n"/>
      <c r="B866" s="27">
        <f>IF(A866="","",DATE(YEAR(A866),MONTH(A866),1))</f>
        <v/>
      </c>
      <c r="C866" s="28" t="n"/>
      <c r="D866" s="28" t="n"/>
      <c r="E866" s="28" t="n"/>
      <c r="F866" s="18" t="n"/>
      <c r="G866" s="7">
        <f>IFERROR(VLOOKUP(D866,'Catálogo de Serviços'!$A$5:$F$100,6,FALSE),0)</f>
        <v/>
      </c>
      <c r="H866" s="7">
        <f>IFERROR(E866*F866,0)</f>
        <v/>
      </c>
      <c r="I866" s="7">
        <f>IFERROR(F866-G866,0)</f>
        <v/>
      </c>
      <c r="J866" s="28" t="n"/>
      <c r="K866" s="28" t="n"/>
    </row>
    <row r="867">
      <c r="A867" s="111" t="n"/>
      <c r="B867" s="27">
        <f>IF(A867="","",DATE(YEAR(A867),MONTH(A867),1))</f>
        <v/>
      </c>
      <c r="C867" s="28" t="n"/>
      <c r="D867" s="28" t="n"/>
      <c r="E867" s="28" t="n"/>
      <c r="F867" s="18" t="n"/>
      <c r="G867" s="7">
        <f>IFERROR(VLOOKUP(D867,'Catálogo de Serviços'!$A$5:$F$100,6,FALSE),0)</f>
        <v/>
      </c>
      <c r="H867" s="7">
        <f>IFERROR(E867*F867,0)</f>
        <v/>
      </c>
      <c r="I867" s="7">
        <f>IFERROR(F867-G867,0)</f>
        <v/>
      </c>
      <c r="J867" s="28" t="n"/>
      <c r="K867" s="28" t="n"/>
    </row>
    <row r="868">
      <c r="A868" s="111" t="n"/>
      <c r="B868" s="27">
        <f>IF(A868="","",DATE(YEAR(A868),MONTH(A868),1))</f>
        <v/>
      </c>
      <c r="C868" s="28" t="n"/>
      <c r="D868" s="28" t="n"/>
      <c r="E868" s="28" t="n"/>
      <c r="F868" s="18" t="n"/>
      <c r="G868" s="7">
        <f>IFERROR(VLOOKUP(D868,'Catálogo de Serviços'!$A$5:$F$100,6,FALSE),0)</f>
        <v/>
      </c>
      <c r="H868" s="7">
        <f>IFERROR(E868*F868,0)</f>
        <v/>
      </c>
      <c r="I868" s="7">
        <f>IFERROR(F868-G868,0)</f>
        <v/>
      </c>
      <c r="J868" s="28" t="n"/>
      <c r="K868" s="28" t="n"/>
    </row>
    <row r="869">
      <c r="A869" s="111" t="n"/>
      <c r="B869" s="27">
        <f>IF(A869="","",DATE(YEAR(A869),MONTH(A869),1))</f>
        <v/>
      </c>
      <c r="C869" s="28" t="n"/>
      <c r="D869" s="28" t="n"/>
      <c r="E869" s="28" t="n"/>
      <c r="F869" s="18" t="n"/>
      <c r="G869" s="7">
        <f>IFERROR(VLOOKUP(D869,'Catálogo de Serviços'!$A$5:$F$100,6,FALSE),0)</f>
        <v/>
      </c>
      <c r="H869" s="7">
        <f>IFERROR(E869*F869,0)</f>
        <v/>
      </c>
      <c r="I869" s="7">
        <f>IFERROR(F869-G869,0)</f>
        <v/>
      </c>
      <c r="J869" s="28" t="n"/>
      <c r="K869" s="28" t="n"/>
    </row>
    <row r="870">
      <c r="A870" s="111" t="n"/>
      <c r="B870" s="27">
        <f>IF(A870="","",DATE(YEAR(A870),MONTH(A870),1))</f>
        <v/>
      </c>
      <c r="C870" s="28" t="n"/>
      <c r="D870" s="28" t="n"/>
      <c r="E870" s="28" t="n"/>
      <c r="F870" s="18" t="n"/>
      <c r="G870" s="7">
        <f>IFERROR(VLOOKUP(D870,'Catálogo de Serviços'!$A$5:$F$100,6,FALSE),0)</f>
        <v/>
      </c>
      <c r="H870" s="7">
        <f>IFERROR(E870*F870,0)</f>
        <v/>
      </c>
      <c r="I870" s="7">
        <f>IFERROR(F870-G870,0)</f>
        <v/>
      </c>
      <c r="J870" s="28" t="n"/>
      <c r="K870" s="28" t="n"/>
    </row>
    <row r="871">
      <c r="A871" s="111" t="n"/>
      <c r="B871" s="27">
        <f>IF(A871="","",DATE(YEAR(A871),MONTH(A871),1))</f>
        <v/>
      </c>
      <c r="C871" s="28" t="n"/>
      <c r="D871" s="28" t="n"/>
      <c r="E871" s="28" t="n"/>
      <c r="F871" s="18" t="n"/>
      <c r="G871" s="7">
        <f>IFERROR(VLOOKUP(D871,'Catálogo de Serviços'!$A$5:$F$100,6,FALSE),0)</f>
        <v/>
      </c>
      <c r="H871" s="7">
        <f>IFERROR(E871*F871,0)</f>
        <v/>
      </c>
      <c r="I871" s="7">
        <f>IFERROR(F871-G871,0)</f>
        <v/>
      </c>
      <c r="J871" s="28" t="n"/>
      <c r="K871" s="28" t="n"/>
    </row>
    <row r="872">
      <c r="A872" s="111" t="n"/>
      <c r="B872" s="27">
        <f>IF(A872="","",DATE(YEAR(A872),MONTH(A872),1))</f>
        <v/>
      </c>
      <c r="C872" s="28" t="n"/>
      <c r="D872" s="28" t="n"/>
      <c r="E872" s="28" t="n"/>
      <c r="F872" s="18" t="n"/>
      <c r="G872" s="7">
        <f>IFERROR(VLOOKUP(D872,'Catálogo de Serviços'!$A$5:$F$100,6,FALSE),0)</f>
        <v/>
      </c>
      <c r="H872" s="7">
        <f>IFERROR(E872*F872,0)</f>
        <v/>
      </c>
      <c r="I872" s="7">
        <f>IFERROR(F872-G872,0)</f>
        <v/>
      </c>
      <c r="J872" s="28" t="n"/>
      <c r="K872" s="28" t="n"/>
    </row>
    <row r="873">
      <c r="A873" s="111" t="n"/>
      <c r="B873" s="27">
        <f>IF(A873="","",DATE(YEAR(A873),MONTH(A873),1))</f>
        <v/>
      </c>
      <c r="C873" s="28" t="n"/>
      <c r="D873" s="28" t="n"/>
      <c r="E873" s="28" t="n"/>
      <c r="F873" s="18" t="n"/>
      <c r="G873" s="7">
        <f>IFERROR(VLOOKUP(D873,'Catálogo de Serviços'!$A$5:$F$100,6,FALSE),0)</f>
        <v/>
      </c>
      <c r="H873" s="7">
        <f>IFERROR(E873*F873,0)</f>
        <v/>
      </c>
      <c r="I873" s="7">
        <f>IFERROR(F873-G873,0)</f>
        <v/>
      </c>
      <c r="J873" s="28" t="n"/>
      <c r="K873" s="28" t="n"/>
    </row>
    <row r="874">
      <c r="A874" s="111" t="n"/>
      <c r="B874" s="27">
        <f>IF(A874="","",DATE(YEAR(A874),MONTH(A874),1))</f>
        <v/>
      </c>
      <c r="C874" s="28" t="n"/>
      <c r="D874" s="28" t="n"/>
      <c r="E874" s="28" t="n"/>
      <c r="F874" s="18" t="n"/>
      <c r="G874" s="7">
        <f>IFERROR(VLOOKUP(D874,'Catálogo de Serviços'!$A$5:$F$100,6,FALSE),0)</f>
        <v/>
      </c>
      <c r="H874" s="7">
        <f>IFERROR(E874*F874,0)</f>
        <v/>
      </c>
      <c r="I874" s="7">
        <f>IFERROR(F874-G874,0)</f>
        <v/>
      </c>
      <c r="J874" s="28" t="n"/>
      <c r="K874" s="28" t="n"/>
    </row>
    <row r="875">
      <c r="A875" s="111" t="n"/>
      <c r="B875" s="27">
        <f>IF(A875="","",DATE(YEAR(A875),MONTH(A875),1))</f>
        <v/>
      </c>
      <c r="C875" s="28" t="n"/>
      <c r="D875" s="28" t="n"/>
      <c r="E875" s="28" t="n"/>
      <c r="F875" s="18" t="n"/>
      <c r="G875" s="7">
        <f>IFERROR(VLOOKUP(D875,'Catálogo de Serviços'!$A$5:$F$100,6,FALSE),0)</f>
        <v/>
      </c>
      <c r="H875" s="7">
        <f>IFERROR(E875*F875,0)</f>
        <v/>
      </c>
      <c r="I875" s="7">
        <f>IFERROR(F875-G875,0)</f>
        <v/>
      </c>
      <c r="J875" s="28" t="n"/>
      <c r="K875" s="28" t="n"/>
    </row>
    <row r="876">
      <c r="A876" s="111" t="n"/>
      <c r="B876" s="27">
        <f>IF(A876="","",DATE(YEAR(A876),MONTH(A876),1))</f>
        <v/>
      </c>
      <c r="C876" s="28" t="n"/>
      <c r="D876" s="28" t="n"/>
      <c r="E876" s="28" t="n"/>
      <c r="F876" s="18" t="n"/>
      <c r="G876" s="7">
        <f>IFERROR(VLOOKUP(D876,'Catálogo de Serviços'!$A$5:$F$100,6,FALSE),0)</f>
        <v/>
      </c>
      <c r="H876" s="7">
        <f>IFERROR(E876*F876,0)</f>
        <v/>
      </c>
      <c r="I876" s="7">
        <f>IFERROR(F876-G876,0)</f>
        <v/>
      </c>
      <c r="J876" s="28" t="n"/>
      <c r="K876" s="28" t="n"/>
    </row>
    <row r="877">
      <c r="A877" s="111" t="n"/>
      <c r="B877" s="27">
        <f>IF(A877="","",DATE(YEAR(A877),MONTH(A877),1))</f>
        <v/>
      </c>
      <c r="C877" s="28" t="n"/>
      <c r="D877" s="28" t="n"/>
      <c r="E877" s="28" t="n"/>
      <c r="F877" s="18" t="n"/>
      <c r="G877" s="7">
        <f>IFERROR(VLOOKUP(D877,'Catálogo de Serviços'!$A$5:$F$100,6,FALSE),0)</f>
        <v/>
      </c>
      <c r="H877" s="7">
        <f>IFERROR(E877*F877,0)</f>
        <v/>
      </c>
      <c r="I877" s="7">
        <f>IFERROR(F877-G877,0)</f>
        <v/>
      </c>
      <c r="J877" s="28" t="n"/>
      <c r="K877" s="28" t="n"/>
    </row>
    <row r="878">
      <c r="A878" s="111" t="n"/>
      <c r="B878" s="27">
        <f>IF(A878="","",DATE(YEAR(A878),MONTH(A878),1))</f>
        <v/>
      </c>
      <c r="C878" s="28" t="n"/>
      <c r="D878" s="28" t="n"/>
      <c r="E878" s="28" t="n"/>
      <c r="F878" s="18" t="n"/>
      <c r="G878" s="7">
        <f>IFERROR(VLOOKUP(D878,'Catálogo de Serviços'!$A$5:$F$100,6,FALSE),0)</f>
        <v/>
      </c>
      <c r="H878" s="7">
        <f>IFERROR(E878*F878,0)</f>
        <v/>
      </c>
      <c r="I878" s="7">
        <f>IFERROR(F878-G878,0)</f>
        <v/>
      </c>
      <c r="J878" s="28" t="n"/>
      <c r="K878" s="28" t="n"/>
    </row>
    <row r="879">
      <c r="A879" s="111" t="n"/>
      <c r="B879" s="27">
        <f>IF(A879="","",DATE(YEAR(A879),MONTH(A879),1))</f>
        <v/>
      </c>
      <c r="C879" s="28" t="n"/>
      <c r="D879" s="28" t="n"/>
      <c r="E879" s="28" t="n"/>
      <c r="F879" s="18" t="n"/>
      <c r="G879" s="7">
        <f>IFERROR(VLOOKUP(D879,'Catálogo de Serviços'!$A$5:$F$100,6,FALSE),0)</f>
        <v/>
      </c>
      <c r="H879" s="7">
        <f>IFERROR(E879*F879,0)</f>
        <v/>
      </c>
      <c r="I879" s="7">
        <f>IFERROR(F879-G879,0)</f>
        <v/>
      </c>
      <c r="J879" s="28" t="n"/>
      <c r="K879" s="28" t="n"/>
    </row>
    <row r="880">
      <c r="A880" s="111" t="n"/>
      <c r="B880" s="27">
        <f>IF(A880="","",DATE(YEAR(A880),MONTH(A880),1))</f>
        <v/>
      </c>
      <c r="C880" s="28" t="n"/>
      <c r="D880" s="28" t="n"/>
      <c r="E880" s="28" t="n"/>
      <c r="F880" s="18" t="n"/>
      <c r="G880" s="7">
        <f>IFERROR(VLOOKUP(D880,'Catálogo de Serviços'!$A$5:$F$100,6,FALSE),0)</f>
        <v/>
      </c>
      <c r="H880" s="7">
        <f>IFERROR(E880*F880,0)</f>
        <v/>
      </c>
      <c r="I880" s="7">
        <f>IFERROR(F880-G880,0)</f>
        <v/>
      </c>
      <c r="J880" s="28" t="n"/>
      <c r="K880" s="28" t="n"/>
    </row>
    <row r="881">
      <c r="A881" s="111" t="n"/>
      <c r="B881" s="27">
        <f>IF(A881="","",DATE(YEAR(A881),MONTH(A881),1))</f>
        <v/>
      </c>
      <c r="C881" s="28" t="n"/>
      <c r="D881" s="28" t="n"/>
      <c r="E881" s="28" t="n"/>
      <c r="F881" s="18" t="n"/>
      <c r="G881" s="7">
        <f>IFERROR(VLOOKUP(D881,'Catálogo de Serviços'!$A$5:$F$100,6,FALSE),0)</f>
        <v/>
      </c>
      <c r="H881" s="7">
        <f>IFERROR(E881*F881,0)</f>
        <v/>
      </c>
      <c r="I881" s="7">
        <f>IFERROR(F881-G881,0)</f>
        <v/>
      </c>
      <c r="J881" s="28" t="n"/>
      <c r="K881" s="28" t="n"/>
    </row>
    <row r="882">
      <c r="A882" s="111" t="n"/>
      <c r="B882" s="27">
        <f>IF(A882="","",DATE(YEAR(A882),MONTH(A882),1))</f>
        <v/>
      </c>
      <c r="C882" s="28" t="n"/>
      <c r="D882" s="28" t="n"/>
      <c r="E882" s="28" t="n"/>
      <c r="F882" s="18" t="n"/>
      <c r="G882" s="7">
        <f>IFERROR(VLOOKUP(D882,'Catálogo de Serviços'!$A$5:$F$100,6,FALSE),0)</f>
        <v/>
      </c>
      <c r="H882" s="7">
        <f>IFERROR(E882*F882,0)</f>
        <v/>
      </c>
      <c r="I882" s="7">
        <f>IFERROR(F882-G882,0)</f>
        <v/>
      </c>
      <c r="J882" s="28" t="n"/>
      <c r="K882" s="28" t="n"/>
    </row>
    <row r="883">
      <c r="A883" s="111" t="n"/>
      <c r="B883" s="27">
        <f>IF(A883="","",DATE(YEAR(A883),MONTH(A883),1))</f>
        <v/>
      </c>
      <c r="C883" s="28" t="n"/>
      <c r="D883" s="28" t="n"/>
      <c r="E883" s="28" t="n"/>
      <c r="F883" s="18" t="n"/>
      <c r="G883" s="7">
        <f>IFERROR(VLOOKUP(D883,'Catálogo de Serviços'!$A$5:$F$100,6,FALSE),0)</f>
        <v/>
      </c>
      <c r="H883" s="7">
        <f>IFERROR(E883*F883,0)</f>
        <v/>
      </c>
      <c r="I883" s="7">
        <f>IFERROR(F883-G883,0)</f>
        <v/>
      </c>
      <c r="J883" s="28" t="n"/>
      <c r="K883" s="28" t="n"/>
    </row>
    <row r="884">
      <c r="A884" s="111" t="n"/>
      <c r="B884" s="27">
        <f>IF(A884="","",DATE(YEAR(A884),MONTH(A884),1))</f>
        <v/>
      </c>
      <c r="C884" s="28" t="n"/>
      <c r="D884" s="28" t="n"/>
      <c r="E884" s="28" t="n"/>
      <c r="F884" s="18" t="n"/>
      <c r="G884" s="7">
        <f>IFERROR(VLOOKUP(D884,'Catálogo de Serviços'!$A$5:$F$100,6,FALSE),0)</f>
        <v/>
      </c>
      <c r="H884" s="7">
        <f>IFERROR(E884*F884,0)</f>
        <v/>
      </c>
      <c r="I884" s="7">
        <f>IFERROR(F884-G884,0)</f>
        <v/>
      </c>
      <c r="J884" s="28" t="n"/>
      <c r="K884" s="28" t="n"/>
    </row>
    <row r="885">
      <c r="A885" s="111" t="n"/>
      <c r="B885" s="27">
        <f>IF(A885="","",DATE(YEAR(A885),MONTH(A885),1))</f>
        <v/>
      </c>
      <c r="C885" s="28" t="n"/>
      <c r="D885" s="28" t="n"/>
      <c r="E885" s="28" t="n"/>
      <c r="F885" s="18" t="n"/>
      <c r="G885" s="7">
        <f>IFERROR(VLOOKUP(D885,'Catálogo de Serviços'!$A$5:$F$100,6,FALSE),0)</f>
        <v/>
      </c>
      <c r="H885" s="7">
        <f>IFERROR(E885*F885,0)</f>
        <v/>
      </c>
      <c r="I885" s="7">
        <f>IFERROR(F885-G885,0)</f>
        <v/>
      </c>
      <c r="J885" s="28" t="n"/>
      <c r="K885" s="28" t="n"/>
    </row>
    <row r="886">
      <c r="A886" s="111" t="n"/>
      <c r="B886" s="27">
        <f>IF(A886="","",DATE(YEAR(A886),MONTH(A886),1))</f>
        <v/>
      </c>
      <c r="C886" s="28" t="n"/>
      <c r="D886" s="28" t="n"/>
      <c r="E886" s="28" t="n"/>
      <c r="F886" s="18" t="n"/>
      <c r="G886" s="7">
        <f>IFERROR(VLOOKUP(D886,'Catálogo de Serviços'!$A$5:$F$100,6,FALSE),0)</f>
        <v/>
      </c>
      <c r="H886" s="7">
        <f>IFERROR(E886*F886,0)</f>
        <v/>
      </c>
      <c r="I886" s="7">
        <f>IFERROR(F886-G886,0)</f>
        <v/>
      </c>
      <c r="J886" s="28" t="n"/>
      <c r="K886" s="28" t="n"/>
    </row>
    <row r="887">
      <c r="A887" s="111" t="n"/>
      <c r="B887" s="27">
        <f>IF(A887="","",DATE(YEAR(A887),MONTH(A887),1))</f>
        <v/>
      </c>
      <c r="C887" s="28" t="n"/>
      <c r="D887" s="28" t="n"/>
      <c r="E887" s="28" t="n"/>
      <c r="F887" s="18" t="n"/>
      <c r="G887" s="7">
        <f>IFERROR(VLOOKUP(D887,'Catálogo de Serviços'!$A$5:$F$100,6,FALSE),0)</f>
        <v/>
      </c>
      <c r="H887" s="7">
        <f>IFERROR(E887*F887,0)</f>
        <v/>
      </c>
      <c r="I887" s="7">
        <f>IFERROR(F887-G887,0)</f>
        <v/>
      </c>
      <c r="J887" s="28" t="n"/>
      <c r="K887" s="28" t="n"/>
    </row>
    <row r="888">
      <c r="A888" s="111" t="n"/>
      <c r="B888" s="27">
        <f>IF(A888="","",DATE(YEAR(A888),MONTH(A888),1))</f>
        <v/>
      </c>
      <c r="C888" s="28" t="n"/>
      <c r="D888" s="28" t="n"/>
      <c r="E888" s="28" t="n"/>
      <c r="F888" s="18" t="n"/>
      <c r="G888" s="7">
        <f>IFERROR(VLOOKUP(D888,'Catálogo de Serviços'!$A$5:$F$100,6,FALSE),0)</f>
        <v/>
      </c>
      <c r="H888" s="7">
        <f>IFERROR(E888*F888,0)</f>
        <v/>
      </c>
      <c r="I888" s="7">
        <f>IFERROR(F888-G888,0)</f>
        <v/>
      </c>
      <c r="J888" s="28" t="n"/>
      <c r="K888" s="28" t="n"/>
    </row>
    <row r="889">
      <c r="A889" s="111" t="n"/>
      <c r="B889" s="27">
        <f>IF(A889="","",DATE(YEAR(A889),MONTH(A889),1))</f>
        <v/>
      </c>
      <c r="C889" s="28" t="n"/>
      <c r="D889" s="28" t="n"/>
      <c r="E889" s="28" t="n"/>
      <c r="F889" s="18" t="n"/>
      <c r="G889" s="7">
        <f>IFERROR(VLOOKUP(D889,'Catálogo de Serviços'!$A$5:$F$100,6,FALSE),0)</f>
        <v/>
      </c>
      <c r="H889" s="7">
        <f>IFERROR(E889*F889,0)</f>
        <v/>
      </c>
      <c r="I889" s="7">
        <f>IFERROR(F889-G889,0)</f>
        <v/>
      </c>
      <c r="J889" s="28" t="n"/>
      <c r="K889" s="28" t="n"/>
    </row>
    <row r="890">
      <c r="A890" s="111" t="n"/>
      <c r="B890" s="27">
        <f>IF(A890="","",DATE(YEAR(A890),MONTH(A890),1))</f>
        <v/>
      </c>
      <c r="C890" s="28" t="n"/>
      <c r="D890" s="28" t="n"/>
      <c r="E890" s="28" t="n"/>
      <c r="F890" s="18" t="n"/>
      <c r="G890" s="7">
        <f>IFERROR(VLOOKUP(D890,'Catálogo de Serviços'!$A$5:$F$100,6,FALSE),0)</f>
        <v/>
      </c>
      <c r="H890" s="7">
        <f>IFERROR(E890*F890,0)</f>
        <v/>
      </c>
      <c r="I890" s="7">
        <f>IFERROR(F890-G890,0)</f>
        <v/>
      </c>
      <c r="J890" s="28" t="n"/>
      <c r="K890" s="28" t="n"/>
    </row>
    <row r="891">
      <c r="A891" s="111" t="n"/>
      <c r="B891" s="27">
        <f>IF(A891="","",DATE(YEAR(A891),MONTH(A891),1))</f>
        <v/>
      </c>
      <c r="C891" s="28" t="n"/>
      <c r="D891" s="28" t="n"/>
      <c r="E891" s="28" t="n"/>
      <c r="F891" s="18" t="n"/>
      <c r="G891" s="7">
        <f>IFERROR(VLOOKUP(D891,'Catálogo de Serviços'!$A$5:$F$100,6,FALSE),0)</f>
        <v/>
      </c>
      <c r="H891" s="7">
        <f>IFERROR(E891*F891,0)</f>
        <v/>
      </c>
      <c r="I891" s="7">
        <f>IFERROR(F891-G891,0)</f>
        <v/>
      </c>
      <c r="J891" s="28" t="n"/>
      <c r="K891" s="28" t="n"/>
    </row>
    <row r="892">
      <c r="A892" s="111" t="n"/>
      <c r="B892" s="27">
        <f>IF(A892="","",DATE(YEAR(A892),MONTH(A892),1))</f>
        <v/>
      </c>
      <c r="C892" s="28" t="n"/>
      <c r="D892" s="28" t="n"/>
      <c r="E892" s="28" t="n"/>
      <c r="F892" s="18" t="n"/>
      <c r="G892" s="7">
        <f>IFERROR(VLOOKUP(D892,'Catálogo de Serviços'!$A$5:$F$100,6,FALSE),0)</f>
        <v/>
      </c>
      <c r="H892" s="7">
        <f>IFERROR(E892*F892,0)</f>
        <v/>
      </c>
      <c r="I892" s="7">
        <f>IFERROR(F892-G892,0)</f>
        <v/>
      </c>
      <c r="J892" s="28" t="n"/>
      <c r="K892" s="28" t="n"/>
    </row>
    <row r="893">
      <c r="A893" s="111" t="n"/>
      <c r="B893" s="27">
        <f>IF(A893="","",DATE(YEAR(A893),MONTH(A893),1))</f>
        <v/>
      </c>
      <c r="C893" s="28" t="n"/>
      <c r="D893" s="28" t="n"/>
      <c r="E893" s="28" t="n"/>
      <c r="F893" s="18" t="n"/>
      <c r="G893" s="7">
        <f>IFERROR(VLOOKUP(D893,'Catálogo de Serviços'!$A$5:$F$100,6,FALSE),0)</f>
        <v/>
      </c>
      <c r="H893" s="7">
        <f>IFERROR(E893*F893,0)</f>
        <v/>
      </c>
      <c r="I893" s="7">
        <f>IFERROR(F893-G893,0)</f>
        <v/>
      </c>
      <c r="J893" s="28" t="n"/>
      <c r="K893" s="28" t="n"/>
    </row>
    <row r="894">
      <c r="A894" s="111" t="n"/>
      <c r="B894" s="27">
        <f>IF(A894="","",DATE(YEAR(A894),MONTH(A894),1))</f>
        <v/>
      </c>
      <c r="C894" s="28" t="n"/>
      <c r="D894" s="28" t="n"/>
      <c r="E894" s="28" t="n"/>
      <c r="F894" s="18" t="n"/>
      <c r="G894" s="7">
        <f>IFERROR(VLOOKUP(D894,'Catálogo de Serviços'!$A$5:$F$100,6,FALSE),0)</f>
        <v/>
      </c>
      <c r="H894" s="7">
        <f>IFERROR(E894*F894,0)</f>
        <v/>
      </c>
      <c r="I894" s="7">
        <f>IFERROR(F894-G894,0)</f>
        <v/>
      </c>
      <c r="J894" s="28" t="n"/>
      <c r="K894" s="28" t="n"/>
    </row>
    <row r="895">
      <c r="A895" s="111" t="n"/>
      <c r="B895" s="27">
        <f>IF(A895="","",DATE(YEAR(A895),MONTH(A895),1))</f>
        <v/>
      </c>
      <c r="C895" s="28" t="n"/>
      <c r="D895" s="28" t="n"/>
      <c r="E895" s="28" t="n"/>
      <c r="F895" s="18" t="n"/>
      <c r="G895" s="7">
        <f>IFERROR(VLOOKUP(D895,'Catálogo de Serviços'!$A$5:$F$100,6,FALSE),0)</f>
        <v/>
      </c>
      <c r="H895" s="7">
        <f>IFERROR(E895*F895,0)</f>
        <v/>
      </c>
      <c r="I895" s="7">
        <f>IFERROR(F895-G895,0)</f>
        <v/>
      </c>
      <c r="J895" s="28" t="n"/>
      <c r="K895" s="28" t="n"/>
    </row>
    <row r="896">
      <c r="A896" s="111" t="n"/>
      <c r="B896" s="27">
        <f>IF(A896="","",DATE(YEAR(A896),MONTH(A896),1))</f>
        <v/>
      </c>
      <c r="C896" s="28" t="n"/>
      <c r="D896" s="28" t="n"/>
      <c r="E896" s="28" t="n"/>
      <c r="F896" s="18" t="n"/>
      <c r="G896" s="7">
        <f>IFERROR(VLOOKUP(D896,'Catálogo de Serviços'!$A$5:$F$100,6,FALSE),0)</f>
        <v/>
      </c>
      <c r="H896" s="7">
        <f>IFERROR(E896*F896,0)</f>
        <v/>
      </c>
      <c r="I896" s="7">
        <f>IFERROR(F896-G896,0)</f>
        <v/>
      </c>
      <c r="J896" s="28" t="n"/>
      <c r="K896" s="28" t="n"/>
    </row>
    <row r="897">
      <c r="A897" s="111" t="n"/>
      <c r="B897" s="27">
        <f>IF(A897="","",DATE(YEAR(A897),MONTH(A897),1))</f>
        <v/>
      </c>
      <c r="C897" s="28" t="n"/>
      <c r="D897" s="28" t="n"/>
      <c r="E897" s="28" t="n"/>
      <c r="F897" s="18" t="n"/>
      <c r="G897" s="7">
        <f>IFERROR(VLOOKUP(D897,'Catálogo de Serviços'!$A$5:$F$100,6,FALSE),0)</f>
        <v/>
      </c>
      <c r="H897" s="7">
        <f>IFERROR(E897*F897,0)</f>
        <v/>
      </c>
      <c r="I897" s="7">
        <f>IFERROR(F897-G897,0)</f>
        <v/>
      </c>
      <c r="J897" s="28" t="n"/>
      <c r="K897" s="28" t="n"/>
    </row>
    <row r="898">
      <c r="A898" s="111" t="n"/>
      <c r="B898" s="27">
        <f>IF(A898="","",DATE(YEAR(A898),MONTH(A898),1))</f>
        <v/>
      </c>
      <c r="C898" s="28" t="n"/>
      <c r="D898" s="28" t="n"/>
      <c r="E898" s="28" t="n"/>
      <c r="F898" s="18" t="n"/>
      <c r="G898" s="7">
        <f>IFERROR(VLOOKUP(D898,'Catálogo de Serviços'!$A$5:$F$100,6,FALSE),0)</f>
        <v/>
      </c>
      <c r="H898" s="7">
        <f>IFERROR(E898*F898,0)</f>
        <v/>
      </c>
      <c r="I898" s="7">
        <f>IFERROR(F898-G898,0)</f>
        <v/>
      </c>
      <c r="J898" s="28" t="n"/>
      <c r="K898" s="28" t="n"/>
    </row>
    <row r="899">
      <c r="A899" s="111" t="n"/>
      <c r="B899" s="27">
        <f>IF(A899="","",DATE(YEAR(A899),MONTH(A899),1))</f>
        <v/>
      </c>
      <c r="C899" s="28" t="n"/>
      <c r="D899" s="28" t="n"/>
      <c r="E899" s="28" t="n"/>
      <c r="F899" s="18" t="n"/>
      <c r="G899" s="7">
        <f>IFERROR(VLOOKUP(D899,'Catálogo de Serviços'!$A$5:$F$100,6,FALSE),0)</f>
        <v/>
      </c>
      <c r="H899" s="7">
        <f>IFERROR(E899*F899,0)</f>
        <v/>
      </c>
      <c r="I899" s="7">
        <f>IFERROR(F899-G899,0)</f>
        <v/>
      </c>
      <c r="J899" s="28" t="n"/>
      <c r="K899" s="28" t="n"/>
    </row>
    <row r="900">
      <c r="A900" s="111" t="n"/>
      <c r="B900" s="27">
        <f>IF(A900="","",DATE(YEAR(A900),MONTH(A900),1))</f>
        <v/>
      </c>
      <c r="C900" s="28" t="n"/>
      <c r="D900" s="28" t="n"/>
      <c r="E900" s="28" t="n"/>
      <c r="F900" s="18" t="n"/>
      <c r="G900" s="7">
        <f>IFERROR(VLOOKUP(D900,'Catálogo de Serviços'!$A$5:$F$100,6,FALSE),0)</f>
        <v/>
      </c>
      <c r="H900" s="7">
        <f>IFERROR(E900*F900,0)</f>
        <v/>
      </c>
      <c r="I900" s="7">
        <f>IFERROR(F900-G900,0)</f>
        <v/>
      </c>
      <c r="J900" s="28" t="n"/>
      <c r="K900" s="28" t="n"/>
    </row>
    <row r="901">
      <c r="A901" s="111" t="n"/>
      <c r="B901" s="27">
        <f>IF(A901="","",DATE(YEAR(A901),MONTH(A901),1))</f>
        <v/>
      </c>
      <c r="C901" s="28" t="n"/>
      <c r="D901" s="28" t="n"/>
      <c r="E901" s="28" t="n"/>
      <c r="F901" s="18" t="n"/>
      <c r="G901" s="7">
        <f>IFERROR(VLOOKUP(D901,'Catálogo de Serviços'!$A$5:$F$100,6,FALSE),0)</f>
        <v/>
      </c>
      <c r="H901" s="7">
        <f>IFERROR(E901*F901,0)</f>
        <v/>
      </c>
      <c r="I901" s="7">
        <f>IFERROR(F901-G901,0)</f>
        <v/>
      </c>
      <c r="J901" s="28" t="n"/>
      <c r="K901" s="28" t="n"/>
    </row>
    <row r="902">
      <c r="A902" s="111" t="n"/>
      <c r="B902" s="27">
        <f>IF(A902="","",DATE(YEAR(A902),MONTH(A902),1))</f>
        <v/>
      </c>
      <c r="C902" s="28" t="n"/>
      <c r="D902" s="28" t="n"/>
      <c r="E902" s="28" t="n"/>
      <c r="F902" s="18" t="n"/>
      <c r="G902" s="7">
        <f>IFERROR(VLOOKUP(D902,'Catálogo de Serviços'!$A$5:$F$100,6,FALSE),0)</f>
        <v/>
      </c>
      <c r="H902" s="7">
        <f>IFERROR(E902*F902,0)</f>
        <v/>
      </c>
      <c r="I902" s="7">
        <f>IFERROR(F902-G902,0)</f>
        <v/>
      </c>
      <c r="J902" s="28" t="n"/>
      <c r="K902" s="28" t="n"/>
    </row>
    <row r="903">
      <c r="A903" s="111" t="n"/>
      <c r="B903" s="27">
        <f>IF(A903="","",DATE(YEAR(A903),MONTH(A903),1))</f>
        <v/>
      </c>
      <c r="C903" s="28" t="n"/>
      <c r="D903" s="28" t="n"/>
      <c r="E903" s="28" t="n"/>
      <c r="F903" s="18" t="n"/>
      <c r="G903" s="7">
        <f>IFERROR(VLOOKUP(D903,'Catálogo de Serviços'!$A$5:$F$100,6,FALSE),0)</f>
        <v/>
      </c>
      <c r="H903" s="7">
        <f>IFERROR(E903*F903,0)</f>
        <v/>
      </c>
      <c r="I903" s="7">
        <f>IFERROR(F903-G903,0)</f>
        <v/>
      </c>
      <c r="J903" s="28" t="n"/>
      <c r="K903" s="28" t="n"/>
    </row>
    <row r="904">
      <c r="A904" s="111" t="n"/>
      <c r="B904" s="27">
        <f>IF(A904="","",DATE(YEAR(A904),MONTH(A904),1))</f>
        <v/>
      </c>
      <c r="C904" s="28" t="n"/>
      <c r="D904" s="28" t="n"/>
      <c r="E904" s="28" t="n"/>
      <c r="F904" s="18" t="n"/>
      <c r="G904" s="7">
        <f>IFERROR(VLOOKUP(D904,'Catálogo de Serviços'!$A$5:$F$100,6,FALSE),0)</f>
        <v/>
      </c>
      <c r="H904" s="7">
        <f>IFERROR(E904*F904,0)</f>
        <v/>
      </c>
      <c r="I904" s="7">
        <f>IFERROR(F904-G904,0)</f>
        <v/>
      </c>
      <c r="J904" s="28" t="n"/>
      <c r="K904" s="28" t="n"/>
    </row>
    <row r="905">
      <c r="A905" s="111" t="n"/>
      <c r="B905" s="27">
        <f>IF(A905="","",DATE(YEAR(A905),MONTH(A905),1))</f>
        <v/>
      </c>
      <c r="C905" s="28" t="n"/>
      <c r="D905" s="28" t="n"/>
      <c r="E905" s="28" t="n"/>
      <c r="F905" s="18" t="n"/>
      <c r="G905" s="7">
        <f>IFERROR(VLOOKUP(D905,'Catálogo de Serviços'!$A$5:$F$100,6,FALSE),0)</f>
        <v/>
      </c>
      <c r="H905" s="7">
        <f>IFERROR(E905*F905,0)</f>
        <v/>
      </c>
      <c r="I905" s="7">
        <f>IFERROR(F905-G905,0)</f>
        <v/>
      </c>
      <c r="J905" s="28" t="n"/>
      <c r="K905" s="28" t="n"/>
    </row>
    <row r="906">
      <c r="A906" s="111" t="n"/>
      <c r="B906" s="27">
        <f>IF(A906="","",DATE(YEAR(A906),MONTH(A906),1))</f>
        <v/>
      </c>
      <c r="C906" s="28" t="n"/>
      <c r="D906" s="28" t="n"/>
      <c r="E906" s="28" t="n"/>
      <c r="F906" s="18" t="n"/>
      <c r="G906" s="7">
        <f>IFERROR(VLOOKUP(D906,'Catálogo de Serviços'!$A$5:$F$100,6,FALSE),0)</f>
        <v/>
      </c>
      <c r="H906" s="7">
        <f>IFERROR(E906*F906,0)</f>
        <v/>
      </c>
      <c r="I906" s="7">
        <f>IFERROR(F906-G906,0)</f>
        <v/>
      </c>
      <c r="J906" s="28" t="n"/>
      <c r="K906" s="28" t="n"/>
    </row>
    <row r="907">
      <c r="A907" s="111" t="n"/>
      <c r="B907" s="27">
        <f>IF(A907="","",DATE(YEAR(A907),MONTH(A907),1))</f>
        <v/>
      </c>
      <c r="C907" s="28" t="n"/>
      <c r="D907" s="28" t="n"/>
      <c r="E907" s="28" t="n"/>
      <c r="F907" s="18" t="n"/>
      <c r="G907" s="7">
        <f>IFERROR(VLOOKUP(D907,'Catálogo de Serviços'!$A$5:$F$100,6,FALSE),0)</f>
        <v/>
      </c>
      <c r="H907" s="7">
        <f>IFERROR(E907*F907,0)</f>
        <v/>
      </c>
      <c r="I907" s="7">
        <f>IFERROR(F907-G907,0)</f>
        <v/>
      </c>
      <c r="J907" s="28" t="n"/>
      <c r="K907" s="28" t="n"/>
    </row>
    <row r="908">
      <c r="A908" s="111" t="n"/>
      <c r="B908" s="27">
        <f>IF(A908="","",DATE(YEAR(A908),MONTH(A908),1))</f>
        <v/>
      </c>
      <c r="C908" s="28" t="n"/>
      <c r="D908" s="28" t="n"/>
      <c r="E908" s="28" t="n"/>
      <c r="F908" s="18" t="n"/>
      <c r="G908" s="7">
        <f>IFERROR(VLOOKUP(D908,'Catálogo de Serviços'!$A$5:$F$100,6,FALSE),0)</f>
        <v/>
      </c>
      <c r="H908" s="7">
        <f>IFERROR(E908*F908,0)</f>
        <v/>
      </c>
      <c r="I908" s="7">
        <f>IFERROR(F908-G908,0)</f>
        <v/>
      </c>
      <c r="J908" s="28" t="n"/>
      <c r="K908" s="28" t="n"/>
    </row>
    <row r="909">
      <c r="A909" s="111" t="n"/>
      <c r="B909" s="27">
        <f>IF(A909="","",DATE(YEAR(A909),MONTH(A909),1))</f>
        <v/>
      </c>
      <c r="C909" s="28" t="n"/>
      <c r="D909" s="28" t="n"/>
      <c r="E909" s="28" t="n"/>
      <c r="F909" s="18" t="n"/>
      <c r="G909" s="7">
        <f>IFERROR(VLOOKUP(D909,'Catálogo de Serviços'!$A$5:$F$100,6,FALSE),0)</f>
        <v/>
      </c>
      <c r="H909" s="7">
        <f>IFERROR(E909*F909,0)</f>
        <v/>
      </c>
      <c r="I909" s="7">
        <f>IFERROR(F909-G909,0)</f>
        <v/>
      </c>
      <c r="J909" s="28" t="n"/>
      <c r="K909" s="28" t="n"/>
    </row>
    <row r="910">
      <c r="A910" s="111" t="n"/>
      <c r="B910" s="27">
        <f>IF(A910="","",DATE(YEAR(A910),MONTH(A910),1))</f>
        <v/>
      </c>
      <c r="C910" s="28" t="n"/>
      <c r="D910" s="28" t="n"/>
      <c r="E910" s="28" t="n"/>
      <c r="F910" s="18" t="n"/>
      <c r="G910" s="7">
        <f>IFERROR(VLOOKUP(D910,'Catálogo de Serviços'!$A$5:$F$100,6,FALSE),0)</f>
        <v/>
      </c>
      <c r="H910" s="7">
        <f>IFERROR(E910*F910,0)</f>
        <v/>
      </c>
      <c r="I910" s="7">
        <f>IFERROR(F910-G910,0)</f>
        <v/>
      </c>
      <c r="J910" s="28" t="n"/>
      <c r="K910" s="28" t="n"/>
    </row>
    <row r="911">
      <c r="A911" s="111" t="n"/>
      <c r="B911" s="27">
        <f>IF(A911="","",DATE(YEAR(A911),MONTH(A911),1))</f>
        <v/>
      </c>
      <c r="C911" s="28" t="n"/>
      <c r="D911" s="28" t="n"/>
      <c r="E911" s="28" t="n"/>
      <c r="F911" s="18" t="n"/>
      <c r="G911" s="7">
        <f>IFERROR(VLOOKUP(D911,'Catálogo de Serviços'!$A$5:$F$100,6,FALSE),0)</f>
        <v/>
      </c>
      <c r="H911" s="7">
        <f>IFERROR(E911*F911,0)</f>
        <v/>
      </c>
      <c r="I911" s="7">
        <f>IFERROR(F911-G911,0)</f>
        <v/>
      </c>
      <c r="J911" s="28" t="n"/>
      <c r="K911" s="28" t="n"/>
    </row>
    <row r="912">
      <c r="A912" s="111" t="n"/>
      <c r="B912" s="27">
        <f>IF(A912="","",DATE(YEAR(A912),MONTH(A912),1))</f>
        <v/>
      </c>
      <c r="C912" s="28" t="n"/>
      <c r="D912" s="28" t="n"/>
      <c r="E912" s="28" t="n"/>
      <c r="F912" s="18" t="n"/>
      <c r="G912" s="7">
        <f>IFERROR(VLOOKUP(D912,'Catálogo de Serviços'!$A$5:$F$100,6,FALSE),0)</f>
        <v/>
      </c>
      <c r="H912" s="7">
        <f>IFERROR(E912*F912,0)</f>
        <v/>
      </c>
      <c r="I912" s="7">
        <f>IFERROR(F912-G912,0)</f>
        <v/>
      </c>
      <c r="J912" s="28" t="n"/>
      <c r="K912" s="28" t="n"/>
    </row>
    <row r="913">
      <c r="A913" s="111" t="n"/>
      <c r="B913" s="27">
        <f>IF(A913="","",DATE(YEAR(A913),MONTH(A913),1))</f>
        <v/>
      </c>
      <c r="C913" s="28" t="n"/>
      <c r="D913" s="28" t="n"/>
      <c r="E913" s="28" t="n"/>
      <c r="F913" s="18" t="n"/>
      <c r="G913" s="7">
        <f>IFERROR(VLOOKUP(D913,'Catálogo de Serviços'!$A$5:$F$100,6,FALSE),0)</f>
        <v/>
      </c>
      <c r="H913" s="7">
        <f>IFERROR(E913*F913,0)</f>
        <v/>
      </c>
      <c r="I913" s="7">
        <f>IFERROR(F913-G913,0)</f>
        <v/>
      </c>
      <c r="J913" s="28" t="n"/>
      <c r="K913" s="28" t="n"/>
    </row>
    <row r="914">
      <c r="A914" s="111" t="n"/>
      <c r="B914" s="27">
        <f>IF(A914="","",DATE(YEAR(A914),MONTH(A914),1))</f>
        <v/>
      </c>
      <c r="C914" s="28" t="n"/>
      <c r="D914" s="28" t="n"/>
      <c r="E914" s="28" t="n"/>
      <c r="F914" s="18" t="n"/>
      <c r="G914" s="7">
        <f>IFERROR(VLOOKUP(D914,'Catálogo de Serviços'!$A$5:$F$100,6,FALSE),0)</f>
        <v/>
      </c>
      <c r="H914" s="7">
        <f>IFERROR(E914*F914,0)</f>
        <v/>
      </c>
      <c r="I914" s="7">
        <f>IFERROR(F914-G914,0)</f>
        <v/>
      </c>
      <c r="J914" s="28" t="n"/>
      <c r="K914" s="28" t="n"/>
    </row>
    <row r="915">
      <c r="A915" s="111" t="n"/>
      <c r="B915" s="27">
        <f>IF(A915="","",DATE(YEAR(A915),MONTH(A915),1))</f>
        <v/>
      </c>
      <c r="C915" s="28" t="n"/>
      <c r="D915" s="28" t="n"/>
      <c r="E915" s="28" t="n"/>
      <c r="F915" s="18" t="n"/>
      <c r="G915" s="7">
        <f>IFERROR(VLOOKUP(D915,'Catálogo de Serviços'!$A$5:$F$100,6,FALSE),0)</f>
        <v/>
      </c>
      <c r="H915" s="7">
        <f>IFERROR(E915*F915,0)</f>
        <v/>
      </c>
      <c r="I915" s="7">
        <f>IFERROR(F915-G915,0)</f>
        <v/>
      </c>
      <c r="J915" s="28" t="n"/>
      <c r="K915" s="28" t="n"/>
    </row>
    <row r="916">
      <c r="A916" s="111" t="n"/>
      <c r="B916" s="27">
        <f>IF(A916="","",DATE(YEAR(A916),MONTH(A916),1))</f>
        <v/>
      </c>
      <c r="C916" s="28" t="n"/>
      <c r="D916" s="28" t="n"/>
      <c r="E916" s="28" t="n"/>
      <c r="F916" s="18" t="n"/>
      <c r="G916" s="7">
        <f>IFERROR(VLOOKUP(D916,'Catálogo de Serviços'!$A$5:$F$100,6,FALSE),0)</f>
        <v/>
      </c>
      <c r="H916" s="7">
        <f>IFERROR(E916*F916,0)</f>
        <v/>
      </c>
      <c r="I916" s="7">
        <f>IFERROR(F916-G916,0)</f>
        <v/>
      </c>
      <c r="J916" s="28" t="n"/>
      <c r="K916" s="28" t="n"/>
    </row>
    <row r="917">
      <c r="A917" s="111" t="n"/>
      <c r="B917" s="27">
        <f>IF(A917="","",DATE(YEAR(A917),MONTH(A917),1))</f>
        <v/>
      </c>
      <c r="C917" s="28" t="n"/>
      <c r="D917" s="28" t="n"/>
      <c r="E917" s="28" t="n"/>
      <c r="F917" s="18" t="n"/>
      <c r="G917" s="7">
        <f>IFERROR(VLOOKUP(D917,'Catálogo de Serviços'!$A$5:$F$100,6,FALSE),0)</f>
        <v/>
      </c>
      <c r="H917" s="7">
        <f>IFERROR(E917*F917,0)</f>
        <v/>
      </c>
      <c r="I917" s="7">
        <f>IFERROR(F917-G917,0)</f>
        <v/>
      </c>
      <c r="J917" s="28" t="n"/>
      <c r="K917" s="28" t="n"/>
    </row>
    <row r="918">
      <c r="A918" s="111" t="n"/>
      <c r="B918" s="27">
        <f>IF(A918="","",DATE(YEAR(A918),MONTH(A918),1))</f>
        <v/>
      </c>
      <c r="C918" s="28" t="n"/>
      <c r="D918" s="28" t="n"/>
      <c r="E918" s="28" t="n"/>
      <c r="F918" s="18" t="n"/>
      <c r="G918" s="7">
        <f>IFERROR(VLOOKUP(D918,'Catálogo de Serviços'!$A$5:$F$100,6,FALSE),0)</f>
        <v/>
      </c>
      <c r="H918" s="7">
        <f>IFERROR(E918*F918,0)</f>
        <v/>
      </c>
      <c r="I918" s="7">
        <f>IFERROR(F918-G918,0)</f>
        <v/>
      </c>
      <c r="J918" s="28" t="n"/>
      <c r="K918" s="28" t="n"/>
    </row>
    <row r="919">
      <c r="A919" s="111" t="n"/>
      <c r="B919" s="27">
        <f>IF(A919="","",DATE(YEAR(A919),MONTH(A919),1))</f>
        <v/>
      </c>
      <c r="C919" s="28" t="n"/>
      <c r="D919" s="28" t="n"/>
      <c r="E919" s="28" t="n"/>
      <c r="F919" s="18" t="n"/>
      <c r="G919" s="7">
        <f>IFERROR(VLOOKUP(D919,'Catálogo de Serviços'!$A$5:$F$100,6,FALSE),0)</f>
        <v/>
      </c>
      <c r="H919" s="7">
        <f>IFERROR(E919*F919,0)</f>
        <v/>
      </c>
      <c r="I919" s="7">
        <f>IFERROR(F919-G919,0)</f>
        <v/>
      </c>
      <c r="J919" s="28" t="n"/>
      <c r="K919" s="28" t="n"/>
    </row>
    <row r="920">
      <c r="A920" s="111" t="n"/>
      <c r="B920" s="27">
        <f>IF(A920="","",DATE(YEAR(A920),MONTH(A920),1))</f>
        <v/>
      </c>
      <c r="C920" s="28" t="n"/>
      <c r="D920" s="28" t="n"/>
      <c r="E920" s="28" t="n"/>
      <c r="F920" s="18" t="n"/>
      <c r="G920" s="7">
        <f>IFERROR(VLOOKUP(D920,'Catálogo de Serviços'!$A$5:$F$100,6,FALSE),0)</f>
        <v/>
      </c>
      <c r="H920" s="7">
        <f>IFERROR(E920*F920,0)</f>
        <v/>
      </c>
      <c r="I920" s="7">
        <f>IFERROR(F920-G920,0)</f>
        <v/>
      </c>
      <c r="J920" s="28" t="n"/>
      <c r="K920" s="28" t="n"/>
    </row>
    <row r="921">
      <c r="A921" s="111" t="n"/>
      <c r="B921" s="27">
        <f>IF(A921="","",DATE(YEAR(A921),MONTH(A921),1))</f>
        <v/>
      </c>
      <c r="C921" s="28" t="n"/>
      <c r="D921" s="28" t="n"/>
      <c r="E921" s="28" t="n"/>
      <c r="F921" s="18" t="n"/>
      <c r="G921" s="7">
        <f>IFERROR(VLOOKUP(D921,'Catálogo de Serviços'!$A$5:$F$100,6,FALSE),0)</f>
        <v/>
      </c>
      <c r="H921" s="7">
        <f>IFERROR(E921*F921,0)</f>
        <v/>
      </c>
      <c r="I921" s="7">
        <f>IFERROR(F921-G921,0)</f>
        <v/>
      </c>
      <c r="J921" s="28" t="n"/>
      <c r="K921" s="28" t="n"/>
    </row>
    <row r="922">
      <c r="A922" s="111" t="n"/>
      <c r="B922" s="27">
        <f>IF(A922="","",DATE(YEAR(A922),MONTH(A922),1))</f>
        <v/>
      </c>
      <c r="C922" s="28" t="n"/>
      <c r="D922" s="28" t="n"/>
      <c r="E922" s="28" t="n"/>
      <c r="F922" s="18" t="n"/>
      <c r="G922" s="7">
        <f>IFERROR(VLOOKUP(D922,'Catálogo de Serviços'!$A$5:$F$100,6,FALSE),0)</f>
        <v/>
      </c>
      <c r="H922" s="7">
        <f>IFERROR(E922*F922,0)</f>
        <v/>
      </c>
      <c r="I922" s="7">
        <f>IFERROR(F922-G922,0)</f>
        <v/>
      </c>
      <c r="J922" s="28" t="n"/>
      <c r="K922" s="28" t="n"/>
    </row>
    <row r="923">
      <c r="A923" s="111" t="n"/>
      <c r="B923" s="27">
        <f>IF(A923="","",DATE(YEAR(A923),MONTH(A923),1))</f>
        <v/>
      </c>
      <c r="C923" s="28" t="n"/>
      <c r="D923" s="28" t="n"/>
      <c r="E923" s="28" t="n"/>
      <c r="F923" s="18" t="n"/>
      <c r="G923" s="7">
        <f>IFERROR(VLOOKUP(D923,'Catálogo de Serviços'!$A$5:$F$100,6,FALSE),0)</f>
        <v/>
      </c>
      <c r="H923" s="7">
        <f>IFERROR(E923*F923,0)</f>
        <v/>
      </c>
      <c r="I923" s="7">
        <f>IFERROR(F923-G923,0)</f>
        <v/>
      </c>
      <c r="J923" s="28" t="n"/>
      <c r="K923" s="28" t="n"/>
    </row>
    <row r="924">
      <c r="A924" s="111" t="n"/>
      <c r="B924" s="27">
        <f>IF(A924="","",DATE(YEAR(A924),MONTH(A924),1))</f>
        <v/>
      </c>
      <c r="C924" s="28" t="n"/>
      <c r="D924" s="28" t="n"/>
      <c r="E924" s="28" t="n"/>
      <c r="F924" s="18" t="n"/>
      <c r="G924" s="7">
        <f>IFERROR(VLOOKUP(D924,'Catálogo de Serviços'!$A$5:$F$100,6,FALSE),0)</f>
        <v/>
      </c>
      <c r="H924" s="7">
        <f>IFERROR(E924*F924,0)</f>
        <v/>
      </c>
      <c r="I924" s="7">
        <f>IFERROR(F924-G924,0)</f>
        <v/>
      </c>
      <c r="J924" s="28" t="n"/>
      <c r="K924" s="28" t="n"/>
    </row>
    <row r="925">
      <c r="A925" s="111" t="n"/>
      <c r="B925" s="27">
        <f>IF(A925="","",DATE(YEAR(A925),MONTH(A925),1))</f>
        <v/>
      </c>
      <c r="C925" s="28" t="n"/>
      <c r="D925" s="28" t="n"/>
      <c r="E925" s="28" t="n"/>
      <c r="F925" s="18" t="n"/>
      <c r="G925" s="7">
        <f>IFERROR(VLOOKUP(D925,'Catálogo de Serviços'!$A$5:$F$100,6,FALSE),0)</f>
        <v/>
      </c>
      <c r="H925" s="7">
        <f>IFERROR(E925*F925,0)</f>
        <v/>
      </c>
      <c r="I925" s="7">
        <f>IFERROR(F925-G925,0)</f>
        <v/>
      </c>
      <c r="J925" s="28" t="n"/>
      <c r="K925" s="28" t="n"/>
    </row>
    <row r="926">
      <c r="A926" s="111" t="n"/>
      <c r="B926" s="27">
        <f>IF(A926="","",DATE(YEAR(A926),MONTH(A926),1))</f>
        <v/>
      </c>
      <c r="C926" s="28" t="n"/>
      <c r="D926" s="28" t="n"/>
      <c r="E926" s="28" t="n"/>
      <c r="F926" s="18" t="n"/>
      <c r="G926" s="7">
        <f>IFERROR(VLOOKUP(D926,'Catálogo de Serviços'!$A$5:$F$100,6,FALSE),0)</f>
        <v/>
      </c>
      <c r="H926" s="7">
        <f>IFERROR(E926*F926,0)</f>
        <v/>
      </c>
      <c r="I926" s="7">
        <f>IFERROR(F926-G926,0)</f>
        <v/>
      </c>
      <c r="J926" s="28" t="n"/>
      <c r="K926" s="28" t="n"/>
    </row>
    <row r="927">
      <c r="A927" s="111" t="n"/>
      <c r="B927" s="27">
        <f>IF(A927="","",DATE(YEAR(A927),MONTH(A927),1))</f>
        <v/>
      </c>
      <c r="C927" s="28" t="n"/>
      <c r="D927" s="28" t="n"/>
      <c r="E927" s="28" t="n"/>
      <c r="F927" s="18" t="n"/>
      <c r="G927" s="7">
        <f>IFERROR(VLOOKUP(D927,'Catálogo de Serviços'!$A$5:$F$100,6,FALSE),0)</f>
        <v/>
      </c>
      <c r="H927" s="7">
        <f>IFERROR(E927*F927,0)</f>
        <v/>
      </c>
      <c r="I927" s="7">
        <f>IFERROR(F927-G927,0)</f>
        <v/>
      </c>
      <c r="J927" s="28" t="n"/>
      <c r="K927" s="28" t="n"/>
    </row>
    <row r="928">
      <c r="A928" s="111" t="n"/>
      <c r="B928" s="27">
        <f>IF(A928="","",DATE(YEAR(A928),MONTH(A928),1))</f>
        <v/>
      </c>
      <c r="C928" s="28" t="n"/>
      <c r="D928" s="28" t="n"/>
      <c r="E928" s="28" t="n"/>
      <c r="F928" s="18" t="n"/>
      <c r="G928" s="7">
        <f>IFERROR(VLOOKUP(D928,'Catálogo de Serviços'!$A$5:$F$100,6,FALSE),0)</f>
        <v/>
      </c>
      <c r="H928" s="7">
        <f>IFERROR(E928*F928,0)</f>
        <v/>
      </c>
      <c r="I928" s="7">
        <f>IFERROR(F928-G928,0)</f>
        <v/>
      </c>
      <c r="J928" s="28" t="n"/>
      <c r="K928" s="28" t="n"/>
    </row>
    <row r="929">
      <c r="A929" s="111" t="n"/>
      <c r="B929" s="27">
        <f>IF(A929="","",DATE(YEAR(A929),MONTH(A929),1))</f>
        <v/>
      </c>
      <c r="C929" s="28" t="n"/>
      <c r="D929" s="28" t="n"/>
      <c r="E929" s="28" t="n"/>
      <c r="F929" s="18" t="n"/>
      <c r="G929" s="7">
        <f>IFERROR(VLOOKUP(D929,'Catálogo de Serviços'!$A$5:$F$100,6,FALSE),0)</f>
        <v/>
      </c>
      <c r="H929" s="7">
        <f>IFERROR(E929*F929,0)</f>
        <v/>
      </c>
      <c r="I929" s="7">
        <f>IFERROR(F929-G929,0)</f>
        <v/>
      </c>
      <c r="J929" s="28" t="n"/>
      <c r="K929" s="28" t="n"/>
    </row>
    <row r="930">
      <c r="A930" s="111" t="n"/>
      <c r="B930" s="27">
        <f>IF(A930="","",DATE(YEAR(A930),MONTH(A930),1))</f>
        <v/>
      </c>
      <c r="C930" s="28" t="n"/>
      <c r="D930" s="28" t="n"/>
      <c r="E930" s="28" t="n"/>
      <c r="F930" s="18" t="n"/>
      <c r="G930" s="7">
        <f>IFERROR(VLOOKUP(D930,'Catálogo de Serviços'!$A$5:$F$100,6,FALSE),0)</f>
        <v/>
      </c>
      <c r="H930" s="7">
        <f>IFERROR(E930*F930,0)</f>
        <v/>
      </c>
      <c r="I930" s="7">
        <f>IFERROR(F930-G930,0)</f>
        <v/>
      </c>
      <c r="J930" s="28" t="n"/>
      <c r="K930" s="28" t="n"/>
    </row>
    <row r="931">
      <c r="A931" s="111" t="n"/>
      <c r="B931" s="27">
        <f>IF(A931="","",DATE(YEAR(A931),MONTH(A931),1))</f>
        <v/>
      </c>
      <c r="C931" s="28" t="n"/>
      <c r="D931" s="28" t="n"/>
      <c r="E931" s="28" t="n"/>
      <c r="F931" s="18" t="n"/>
      <c r="G931" s="7">
        <f>IFERROR(VLOOKUP(D931,'Catálogo de Serviços'!$A$5:$F$100,6,FALSE),0)</f>
        <v/>
      </c>
      <c r="H931" s="7">
        <f>IFERROR(E931*F931,0)</f>
        <v/>
      </c>
      <c r="I931" s="7">
        <f>IFERROR(F931-G931,0)</f>
        <v/>
      </c>
      <c r="J931" s="28" t="n"/>
      <c r="K931" s="28" t="n"/>
    </row>
    <row r="932">
      <c r="A932" s="111" t="n"/>
      <c r="B932" s="27">
        <f>IF(A932="","",DATE(YEAR(A932),MONTH(A932),1))</f>
        <v/>
      </c>
      <c r="C932" s="28" t="n"/>
      <c r="D932" s="28" t="n"/>
      <c r="E932" s="28" t="n"/>
      <c r="F932" s="18" t="n"/>
      <c r="G932" s="7">
        <f>IFERROR(VLOOKUP(D932,'Catálogo de Serviços'!$A$5:$F$100,6,FALSE),0)</f>
        <v/>
      </c>
      <c r="H932" s="7">
        <f>IFERROR(E932*F932,0)</f>
        <v/>
      </c>
      <c r="I932" s="7">
        <f>IFERROR(F932-G932,0)</f>
        <v/>
      </c>
      <c r="J932" s="28" t="n"/>
      <c r="K932" s="28" t="n"/>
    </row>
    <row r="933">
      <c r="A933" s="111" t="n"/>
      <c r="B933" s="27">
        <f>IF(A933="","",DATE(YEAR(A933),MONTH(A933),1))</f>
        <v/>
      </c>
      <c r="C933" s="28" t="n"/>
      <c r="D933" s="28" t="n"/>
      <c r="E933" s="28" t="n"/>
      <c r="F933" s="18" t="n"/>
      <c r="G933" s="7">
        <f>IFERROR(VLOOKUP(D933,'Catálogo de Serviços'!$A$5:$F$100,6,FALSE),0)</f>
        <v/>
      </c>
      <c r="H933" s="7">
        <f>IFERROR(E933*F933,0)</f>
        <v/>
      </c>
      <c r="I933" s="7">
        <f>IFERROR(F933-G933,0)</f>
        <v/>
      </c>
      <c r="J933" s="28" t="n"/>
      <c r="K933" s="28" t="n"/>
    </row>
    <row r="934">
      <c r="A934" s="111" t="n"/>
      <c r="B934" s="27">
        <f>IF(A934="","",DATE(YEAR(A934),MONTH(A934),1))</f>
        <v/>
      </c>
      <c r="C934" s="28" t="n"/>
      <c r="D934" s="28" t="n"/>
      <c r="E934" s="28" t="n"/>
      <c r="F934" s="18" t="n"/>
      <c r="G934" s="7">
        <f>IFERROR(VLOOKUP(D934,'Catálogo de Serviços'!$A$5:$F$100,6,FALSE),0)</f>
        <v/>
      </c>
      <c r="H934" s="7">
        <f>IFERROR(E934*F934,0)</f>
        <v/>
      </c>
      <c r="I934" s="7">
        <f>IFERROR(F934-G934,0)</f>
        <v/>
      </c>
      <c r="J934" s="28" t="n"/>
      <c r="K934" s="28" t="n"/>
    </row>
    <row r="935">
      <c r="A935" s="111" t="n"/>
      <c r="B935" s="27">
        <f>IF(A935="","",DATE(YEAR(A935),MONTH(A935),1))</f>
        <v/>
      </c>
      <c r="C935" s="28" t="n"/>
      <c r="D935" s="28" t="n"/>
      <c r="E935" s="28" t="n"/>
      <c r="F935" s="18" t="n"/>
      <c r="G935" s="7">
        <f>IFERROR(VLOOKUP(D935,'Catálogo de Serviços'!$A$5:$F$100,6,FALSE),0)</f>
        <v/>
      </c>
      <c r="H935" s="7">
        <f>IFERROR(E935*F935,0)</f>
        <v/>
      </c>
      <c r="I935" s="7">
        <f>IFERROR(F935-G935,0)</f>
        <v/>
      </c>
      <c r="J935" s="28" t="n"/>
      <c r="K935" s="28" t="n"/>
    </row>
    <row r="936">
      <c r="A936" s="111" t="n"/>
      <c r="B936" s="27">
        <f>IF(A936="","",DATE(YEAR(A936),MONTH(A936),1))</f>
        <v/>
      </c>
      <c r="C936" s="28" t="n"/>
      <c r="D936" s="28" t="n"/>
      <c r="E936" s="28" t="n"/>
      <c r="F936" s="18" t="n"/>
      <c r="G936" s="7">
        <f>IFERROR(VLOOKUP(D936,'Catálogo de Serviços'!$A$5:$F$100,6,FALSE),0)</f>
        <v/>
      </c>
      <c r="H936" s="7">
        <f>IFERROR(E936*F936,0)</f>
        <v/>
      </c>
      <c r="I936" s="7">
        <f>IFERROR(F936-G936,0)</f>
        <v/>
      </c>
      <c r="J936" s="28" t="n"/>
      <c r="K936" s="28" t="n"/>
    </row>
    <row r="937">
      <c r="A937" s="111" t="n"/>
      <c r="B937" s="27">
        <f>IF(A937="","",DATE(YEAR(A937),MONTH(A937),1))</f>
        <v/>
      </c>
      <c r="C937" s="28" t="n"/>
      <c r="D937" s="28" t="n"/>
      <c r="E937" s="28" t="n"/>
      <c r="F937" s="18" t="n"/>
      <c r="G937" s="7">
        <f>IFERROR(VLOOKUP(D937,'Catálogo de Serviços'!$A$5:$F$100,6,FALSE),0)</f>
        <v/>
      </c>
      <c r="H937" s="7">
        <f>IFERROR(E937*F937,0)</f>
        <v/>
      </c>
      <c r="I937" s="7">
        <f>IFERROR(F937-G937,0)</f>
        <v/>
      </c>
      <c r="J937" s="28" t="n"/>
      <c r="K937" s="28" t="n"/>
    </row>
    <row r="938">
      <c r="A938" s="111" t="n"/>
      <c r="B938" s="27">
        <f>IF(A938="","",DATE(YEAR(A938),MONTH(A938),1))</f>
        <v/>
      </c>
      <c r="C938" s="28" t="n"/>
      <c r="D938" s="28" t="n"/>
      <c r="E938" s="28" t="n"/>
      <c r="F938" s="18" t="n"/>
      <c r="G938" s="7">
        <f>IFERROR(VLOOKUP(D938,'Catálogo de Serviços'!$A$5:$F$100,6,FALSE),0)</f>
        <v/>
      </c>
      <c r="H938" s="7">
        <f>IFERROR(E938*F938,0)</f>
        <v/>
      </c>
      <c r="I938" s="7">
        <f>IFERROR(F938-G938,0)</f>
        <v/>
      </c>
      <c r="J938" s="28" t="n"/>
      <c r="K938" s="28" t="n"/>
    </row>
    <row r="939">
      <c r="A939" s="111" t="n"/>
      <c r="B939" s="27">
        <f>IF(A939="","",DATE(YEAR(A939),MONTH(A939),1))</f>
        <v/>
      </c>
      <c r="C939" s="28" t="n"/>
      <c r="D939" s="28" t="n"/>
      <c r="E939" s="28" t="n"/>
      <c r="F939" s="18" t="n"/>
      <c r="G939" s="7">
        <f>IFERROR(VLOOKUP(D939,'Catálogo de Serviços'!$A$5:$F$100,6,FALSE),0)</f>
        <v/>
      </c>
      <c r="H939" s="7">
        <f>IFERROR(E939*F939,0)</f>
        <v/>
      </c>
      <c r="I939" s="7">
        <f>IFERROR(F939-G939,0)</f>
        <v/>
      </c>
      <c r="J939" s="28" t="n"/>
      <c r="K939" s="28" t="n"/>
    </row>
    <row r="940">
      <c r="A940" s="111" t="n"/>
      <c r="B940" s="27">
        <f>IF(A940="","",DATE(YEAR(A940),MONTH(A940),1))</f>
        <v/>
      </c>
      <c r="C940" s="28" t="n"/>
      <c r="D940" s="28" t="n"/>
      <c r="E940" s="28" t="n"/>
      <c r="F940" s="18" t="n"/>
      <c r="G940" s="7">
        <f>IFERROR(VLOOKUP(D940,'Catálogo de Serviços'!$A$5:$F$100,6,FALSE),0)</f>
        <v/>
      </c>
      <c r="H940" s="7">
        <f>IFERROR(E940*F940,0)</f>
        <v/>
      </c>
      <c r="I940" s="7">
        <f>IFERROR(F940-G940,0)</f>
        <v/>
      </c>
      <c r="J940" s="28" t="n"/>
      <c r="K940" s="28" t="n"/>
    </row>
    <row r="941">
      <c r="A941" s="111" t="n"/>
      <c r="B941" s="27">
        <f>IF(A941="","",DATE(YEAR(A941),MONTH(A941),1))</f>
        <v/>
      </c>
      <c r="C941" s="28" t="n"/>
      <c r="D941" s="28" t="n"/>
      <c r="E941" s="28" t="n"/>
      <c r="F941" s="18" t="n"/>
      <c r="G941" s="7">
        <f>IFERROR(VLOOKUP(D941,'Catálogo de Serviços'!$A$5:$F$100,6,FALSE),0)</f>
        <v/>
      </c>
      <c r="H941" s="7">
        <f>IFERROR(E941*F941,0)</f>
        <v/>
      </c>
      <c r="I941" s="7">
        <f>IFERROR(F941-G941,0)</f>
        <v/>
      </c>
      <c r="J941" s="28" t="n"/>
      <c r="K941" s="28" t="n"/>
    </row>
    <row r="942">
      <c r="A942" s="111" t="n"/>
      <c r="B942" s="27">
        <f>IF(A942="","",DATE(YEAR(A942),MONTH(A942),1))</f>
        <v/>
      </c>
      <c r="C942" s="28" t="n"/>
      <c r="D942" s="28" t="n"/>
      <c r="E942" s="28" t="n"/>
      <c r="F942" s="18" t="n"/>
      <c r="G942" s="7">
        <f>IFERROR(VLOOKUP(D942,'Catálogo de Serviços'!$A$5:$F$100,6,FALSE),0)</f>
        <v/>
      </c>
      <c r="H942" s="7">
        <f>IFERROR(E942*F942,0)</f>
        <v/>
      </c>
      <c r="I942" s="7">
        <f>IFERROR(F942-G942,0)</f>
        <v/>
      </c>
      <c r="J942" s="28" t="n"/>
      <c r="K942" s="28" t="n"/>
    </row>
    <row r="943">
      <c r="A943" s="111" t="n"/>
      <c r="B943" s="27">
        <f>IF(A943="","",DATE(YEAR(A943),MONTH(A943),1))</f>
        <v/>
      </c>
      <c r="C943" s="28" t="n"/>
      <c r="D943" s="28" t="n"/>
      <c r="E943" s="28" t="n"/>
      <c r="F943" s="18" t="n"/>
      <c r="G943" s="7">
        <f>IFERROR(VLOOKUP(D943,'Catálogo de Serviços'!$A$5:$F$100,6,FALSE),0)</f>
        <v/>
      </c>
      <c r="H943" s="7">
        <f>IFERROR(E943*F943,0)</f>
        <v/>
      </c>
      <c r="I943" s="7">
        <f>IFERROR(F943-G943,0)</f>
        <v/>
      </c>
      <c r="J943" s="28" t="n"/>
      <c r="K943" s="28" t="n"/>
    </row>
    <row r="944">
      <c r="A944" s="111" t="n"/>
      <c r="B944" s="27">
        <f>IF(A944="","",DATE(YEAR(A944),MONTH(A944),1))</f>
        <v/>
      </c>
      <c r="C944" s="28" t="n"/>
      <c r="D944" s="28" t="n"/>
      <c r="E944" s="28" t="n"/>
      <c r="F944" s="18" t="n"/>
      <c r="G944" s="7">
        <f>IFERROR(VLOOKUP(D944,'Catálogo de Serviços'!$A$5:$F$100,6,FALSE),0)</f>
        <v/>
      </c>
      <c r="H944" s="7">
        <f>IFERROR(E944*F944,0)</f>
        <v/>
      </c>
      <c r="I944" s="7">
        <f>IFERROR(F944-G944,0)</f>
        <v/>
      </c>
      <c r="J944" s="28" t="n"/>
      <c r="K944" s="28" t="n"/>
    </row>
    <row r="945">
      <c r="A945" s="111" t="n"/>
      <c r="B945" s="27">
        <f>IF(A945="","",DATE(YEAR(A945),MONTH(A945),1))</f>
        <v/>
      </c>
      <c r="C945" s="28" t="n"/>
      <c r="D945" s="28" t="n"/>
      <c r="E945" s="28" t="n"/>
      <c r="F945" s="18" t="n"/>
      <c r="G945" s="7">
        <f>IFERROR(VLOOKUP(D945,'Catálogo de Serviços'!$A$5:$F$100,6,FALSE),0)</f>
        <v/>
      </c>
      <c r="H945" s="7">
        <f>IFERROR(E945*F945,0)</f>
        <v/>
      </c>
      <c r="I945" s="7">
        <f>IFERROR(F945-G945,0)</f>
        <v/>
      </c>
      <c r="J945" s="28" t="n"/>
      <c r="K945" s="28" t="n"/>
    </row>
    <row r="946">
      <c r="A946" s="111" t="n"/>
      <c r="B946" s="27">
        <f>IF(A946="","",DATE(YEAR(A946),MONTH(A946),1))</f>
        <v/>
      </c>
      <c r="C946" s="28" t="n"/>
      <c r="D946" s="28" t="n"/>
      <c r="E946" s="28" t="n"/>
      <c r="F946" s="18" t="n"/>
      <c r="G946" s="7">
        <f>IFERROR(VLOOKUP(D946,'Catálogo de Serviços'!$A$5:$F$100,6,FALSE),0)</f>
        <v/>
      </c>
      <c r="H946" s="7">
        <f>IFERROR(E946*F946,0)</f>
        <v/>
      </c>
      <c r="I946" s="7">
        <f>IFERROR(F946-G946,0)</f>
        <v/>
      </c>
      <c r="J946" s="28" t="n"/>
      <c r="K946" s="28" t="n"/>
    </row>
    <row r="947">
      <c r="A947" s="111" t="n"/>
      <c r="B947" s="27">
        <f>IF(A947="","",DATE(YEAR(A947),MONTH(A947),1))</f>
        <v/>
      </c>
      <c r="C947" s="28" t="n"/>
      <c r="D947" s="28" t="n"/>
      <c r="E947" s="28" t="n"/>
      <c r="F947" s="18" t="n"/>
      <c r="G947" s="7">
        <f>IFERROR(VLOOKUP(D947,'Catálogo de Serviços'!$A$5:$F$100,6,FALSE),0)</f>
        <v/>
      </c>
      <c r="H947" s="7">
        <f>IFERROR(E947*F947,0)</f>
        <v/>
      </c>
      <c r="I947" s="7">
        <f>IFERROR(F947-G947,0)</f>
        <v/>
      </c>
      <c r="J947" s="28" t="n"/>
      <c r="K947" s="28" t="n"/>
    </row>
    <row r="948">
      <c r="A948" s="111" t="n"/>
      <c r="B948" s="27">
        <f>IF(A948="","",DATE(YEAR(A948),MONTH(A948),1))</f>
        <v/>
      </c>
      <c r="C948" s="28" t="n"/>
      <c r="D948" s="28" t="n"/>
      <c r="E948" s="28" t="n"/>
      <c r="F948" s="18" t="n"/>
      <c r="G948" s="7">
        <f>IFERROR(VLOOKUP(D948,'Catálogo de Serviços'!$A$5:$F$100,6,FALSE),0)</f>
        <v/>
      </c>
      <c r="H948" s="7">
        <f>IFERROR(E948*F948,0)</f>
        <v/>
      </c>
      <c r="I948" s="7">
        <f>IFERROR(F948-G948,0)</f>
        <v/>
      </c>
      <c r="J948" s="28" t="n"/>
      <c r="K948" s="28" t="n"/>
    </row>
    <row r="949">
      <c r="A949" s="111" t="n"/>
      <c r="B949" s="27">
        <f>IF(A949="","",DATE(YEAR(A949),MONTH(A949),1))</f>
        <v/>
      </c>
      <c r="C949" s="28" t="n"/>
      <c r="D949" s="28" t="n"/>
      <c r="E949" s="28" t="n"/>
      <c r="F949" s="18" t="n"/>
      <c r="G949" s="7">
        <f>IFERROR(VLOOKUP(D949,'Catálogo de Serviços'!$A$5:$F$100,6,FALSE),0)</f>
        <v/>
      </c>
      <c r="H949" s="7">
        <f>IFERROR(E949*F949,0)</f>
        <v/>
      </c>
      <c r="I949" s="7">
        <f>IFERROR(F949-G949,0)</f>
        <v/>
      </c>
      <c r="J949" s="28" t="n"/>
      <c r="K949" s="28" t="n"/>
    </row>
    <row r="950">
      <c r="A950" s="111" t="n"/>
      <c r="B950" s="27">
        <f>IF(A950="","",DATE(YEAR(A950),MONTH(A950),1))</f>
        <v/>
      </c>
      <c r="C950" s="28" t="n"/>
      <c r="D950" s="28" t="n"/>
      <c r="E950" s="28" t="n"/>
      <c r="F950" s="18" t="n"/>
      <c r="G950" s="7">
        <f>IFERROR(VLOOKUP(D950,'Catálogo de Serviços'!$A$5:$F$100,6,FALSE),0)</f>
        <v/>
      </c>
      <c r="H950" s="7">
        <f>IFERROR(E950*F950,0)</f>
        <v/>
      </c>
      <c r="I950" s="7">
        <f>IFERROR(F950-G950,0)</f>
        <v/>
      </c>
      <c r="J950" s="28" t="n"/>
      <c r="K950" s="28" t="n"/>
    </row>
    <row r="951">
      <c r="A951" s="111" t="n"/>
      <c r="B951" s="27">
        <f>IF(A951="","",DATE(YEAR(A951),MONTH(A951),1))</f>
        <v/>
      </c>
      <c r="C951" s="28" t="n"/>
      <c r="D951" s="28" t="n"/>
      <c r="E951" s="28" t="n"/>
      <c r="F951" s="18" t="n"/>
      <c r="G951" s="7">
        <f>IFERROR(VLOOKUP(D951,'Catálogo de Serviços'!$A$5:$F$100,6,FALSE),0)</f>
        <v/>
      </c>
      <c r="H951" s="7">
        <f>IFERROR(E951*F951,0)</f>
        <v/>
      </c>
      <c r="I951" s="7">
        <f>IFERROR(F951-G951,0)</f>
        <v/>
      </c>
      <c r="J951" s="28" t="n"/>
      <c r="K951" s="28" t="n"/>
    </row>
    <row r="952">
      <c r="A952" s="111" t="n"/>
      <c r="B952" s="27">
        <f>IF(A952="","",DATE(YEAR(A952),MONTH(A952),1))</f>
        <v/>
      </c>
      <c r="C952" s="28" t="n"/>
      <c r="D952" s="28" t="n"/>
      <c r="E952" s="28" t="n"/>
      <c r="F952" s="18" t="n"/>
      <c r="G952" s="7">
        <f>IFERROR(VLOOKUP(D952,'Catálogo de Serviços'!$A$5:$F$100,6,FALSE),0)</f>
        <v/>
      </c>
      <c r="H952" s="7">
        <f>IFERROR(E952*F952,0)</f>
        <v/>
      </c>
      <c r="I952" s="7">
        <f>IFERROR(F952-G952,0)</f>
        <v/>
      </c>
      <c r="J952" s="28" t="n"/>
      <c r="K952" s="28" t="n"/>
    </row>
    <row r="953">
      <c r="A953" s="111" t="n"/>
      <c r="B953" s="27">
        <f>IF(A953="","",DATE(YEAR(A953),MONTH(A953),1))</f>
        <v/>
      </c>
      <c r="C953" s="28" t="n"/>
      <c r="D953" s="28" t="n"/>
      <c r="E953" s="28" t="n"/>
      <c r="F953" s="18" t="n"/>
      <c r="G953" s="7">
        <f>IFERROR(VLOOKUP(D953,'Catálogo de Serviços'!$A$5:$F$100,6,FALSE),0)</f>
        <v/>
      </c>
      <c r="H953" s="7">
        <f>IFERROR(E953*F953,0)</f>
        <v/>
      </c>
      <c r="I953" s="7">
        <f>IFERROR(F953-G953,0)</f>
        <v/>
      </c>
      <c r="J953" s="28" t="n"/>
      <c r="K953" s="28" t="n"/>
    </row>
    <row r="954">
      <c r="A954" s="111" t="n"/>
      <c r="B954" s="27">
        <f>IF(A954="","",DATE(YEAR(A954),MONTH(A954),1))</f>
        <v/>
      </c>
      <c r="C954" s="28" t="n"/>
      <c r="D954" s="28" t="n"/>
      <c r="E954" s="28" t="n"/>
      <c r="F954" s="18" t="n"/>
      <c r="G954" s="7">
        <f>IFERROR(VLOOKUP(D954,'Catálogo de Serviços'!$A$5:$F$100,6,FALSE),0)</f>
        <v/>
      </c>
      <c r="H954" s="7">
        <f>IFERROR(E954*F954,0)</f>
        <v/>
      </c>
      <c r="I954" s="7">
        <f>IFERROR(F954-G954,0)</f>
        <v/>
      </c>
      <c r="J954" s="28" t="n"/>
      <c r="K954" s="28" t="n"/>
    </row>
    <row r="955">
      <c r="A955" s="111" t="n"/>
      <c r="B955" s="27">
        <f>IF(A955="","",DATE(YEAR(A955),MONTH(A955),1))</f>
        <v/>
      </c>
      <c r="C955" s="28" t="n"/>
      <c r="D955" s="28" t="n"/>
      <c r="E955" s="28" t="n"/>
      <c r="F955" s="18" t="n"/>
      <c r="G955" s="7">
        <f>IFERROR(VLOOKUP(D955,'Catálogo de Serviços'!$A$5:$F$100,6,FALSE),0)</f>
        <v/>
      </c>
      <c r="H955" s="7">
        <f>IFERROR(E955*F955,0)</f>
        <v/>
      </c>
      <c r="I955" s="7">
        <f>IFERROR(F955-G955,0)</f>
        <v/>
      </c>
      <c r="J955" s="28" t="n"/>
      <c r="K955" s="28" t="n"/>
    </row>
    <row r="956">
      <c r="A956" s="111" t="n"/>
      <c r="B956" s="27">
        <f>IF(A956="","",DATE(YEAR(A956),MONTH(A956),1))</f>
        <v/>
      </c>
      <c r="C956" s="28" t="n"/>
      <c r="D956" s="28" t="n"/>
      <c r="E956" s="28" t="n"/>
      <c r="F956" s="18" t="n"/>
      <c r="G956" s="7">
        <f>IFERROR(VLOOKUP(D956,'Catálogo de Serviços'!$A$5:$F$100,6,FALSE),0)</f>
        <v/>
      </c>
      <c r="H956" s="7">
        <f>IFERROR(E956*F956,0)</f>
        <v/>
      </c>
      <c r="I956" s="7">
        <f>IFERROR(F956-G956,0)</f>
        <v/>
      </c>
      <c r="J956" s="28" t="n"/>
      <c r="K956" s="28" t="n"/>
    </row>
    <row r="957">
      <c r="A957" s="111" t="n"/>
      <c r="B957" s="27">
        <f>IF(A957="","",DATE(YEAR(A957),MONTH(A957),1))</f>
        <v/>
      </c>
      <c r="C957" s="28" t="n"/>
      <c r="D957" s="28" t="n"/>
      <c r="E957" s="28" t="n"/>
      <c r="F957" s="18" t="n"/>
      <c r="G957" s="7">
        <f>IFERROR(VLOOKUP(D957,'Catálogo de Serviços'!$A$5:$F$100,6,FALSE),0)</f>
        <v/>
      </c>
      <c r="H957" s="7">
        <f>IFERROR(E957*F957,0)</f>
        <v/>
      </c>
      <c r="I957" s="7">
        <f>IFERROR(F957-G957,0)</f>
        <v/>
      </c>
      <c r="J957" s="28" t="n"/>
      <c r="K957" s="28" t="n"/>
    </row>
    <row r="958">
      <c r="A958" s="111" t="n"/>
      <c r="B958" s="27">
        <f>IF(A958="","",DATE(YEAR(A958),MONTH(A958),1))</f>
        <v/>
      </c>
      <c r="C958" s="28" t="n"/>
      <c r="D958" s="28" t="n"/>
      <c r="E958" s="28" t="n"/>
      <c r="F958" s="18" t="n"/>
      <c r="G958" s="7">
        <f>IFERROR(VLOOKUP(D958,'Catálogo de Serviços'!$A$5:$F$100,6,FALSE),0)</f>
        <v/>
      </c>
      <c r="H958" s="7">
        <f>IFERROR(E958*F958,0)</f>
        <v/>
      </c>
      <c r="I958" s="7">
        <f>IFERROR(F958-G958,0)</f>
        <v/>
      </c>
      <c r="J958" s="28" t="n"/>
      <c r="K958" s="28" t="n"/>
    </row>
    <row r="959">
      <c r="A959" s="111" t="n"/>
      <c r="B959" s="27">
        <f>IF(A959="","",DATE(YEAR(A959),MONTH(A959),1))</f>
        <v/>
      </c>
      <c r="C959" s="28" t="n"/>
      <c r="D959" s="28" t="n"/>
      <c r="E959" s="28" t="n"/>
      <c r="F959" s="18" t="n"/>
      <c r="G959" s="7">
        <f>IFERROR(VLOOKUP(D959,'Catálogo de Serviços'!$A$5:$F$100,6,FALSE),0)</f>
        <v/>
      </c>
      <c r="H959" s="7">
        <f>IFERROR(E959*F959,0)</f>
        <v/>
      </c>
      <c r="I959" s="7">
        <f>IFERROR(F959-G959,0)</f>
        <v/>
      </c>
      <c r="J959" s="28" t="n"/>
      <c r="K959" s="28" t="n"/>
    </row>
    <row r="960">
      <c r="A960" s="111" t="n"/>
      <c r="B960" s="27">
        <f>IF(A960="","",DATE(YEAR(A960),MONTH(A960),1))</f>
        <v/>
      </c>
      <c r="C960" s="28" t="n"/>
      <c r="D960" s="28" t="n"/>
      <c r="E960" s="28" t="n"/>
      <c r="F960" s="18" t="n"/>
      <c r="G960" s="7">
        <f>IFERROR(VLOOKUP(D960,'Catálogo de Serviços'!$A$5:$F$100,6,FALSE),0)</f>
        <v/>
      </c>
      <c r="H960" s="7">
        <f>IFERROR(E960*F960,0)</f>
        <v/>
      </c>
      <c r="I960" s="7">
        <f>IFERROR(F960-G960,0)</f>
        <v/>
      </c>
      <c r="J960" s="28" t="n"/>
      <c r="K960" s="28" t="n"/>
    </row>
    <row r="961">
      <c r="A961" s="111" t="n"/>
      <c r="B961" s="27">
        <f>IF(A961="","",DATE(YEAR(A961),MONTH(A961),1))</f>
        <v/>
      </c>
      <c r="C961" s="28" t="n"/>
      <c r="D961" s="28" t="n"/>
      <c r="E961" s="28" t="n"/>
      <c r="F961" s="18" t="n"/>
      <c r="G961" s="7">
        <f>IFERROR(VLOOKUP(D961,'Catálogo de Serviços'!$A$5:$F$100,6,FALSE),0)</f>
        <v/>
      </c>
      <c r="H961" s="7">
        <f>IFERROR(E961*F961,0)</f>
        <v/>
      </c>
      <c r="I961" s="7">
        <f>IFERROR(F961-G961,0)</f>
        <v/>
      </c>
      <c r="J961" s="28" t="n"/>
      <c r="K961" s="28" t="n"/>
    </row>
    <row r="962">
      <c r="A962" s="111" t="n"/>
      <c r="B962" s="27">
        <f>IF(A962="","",DATE(YEAR(A962),MONTH(A962),1))</f>
        <v/>
      </c>
      <c r="C962" s="28" t="n"/>
      <c r="D962" s="28" t="n"/>
      <c r="E962" s="28" t="n"/>
      <c r="F962" s="18" t="n"/>
      <c r="G962" s="7">
        <f>IFERROR(VLOOKUP(D962,'Catálogo de Serviços'!$A$5:$F$100,6,FALSE),0)</f>
        <v/>
      </c>
      <c r="H962" s="7">
        <f>IFERROR(E962*F962,0)</f>
        <v/>
      </c>
      <c r="I962" s="7">
        <f>IFERROR(F962-G962,0)</f>
        <v/>
      </c>
      <c r="J962" s="28" t="n"/>
      <c r="K962" s="28" t="n"/>
    </row>
    <row r="963">
      <c r="A963" s="111" t="n"/>
      <c r="B963" s="27">
        <f>IF(A963="","",DATE(YEAR(A963),MONTH(A963),1))</f>
        <v/>
      </c>
      <c r="C963" s="28" t="n"/>
      <c r="D963" s="28" t="n"/>
      <c r="E963" s="28" t="n"/>
      <c r="F963" s="18" t="n"/>
      <c r="G963" s="7">
        <f>IFERROR(VLOOKUP(D963,'Catálogo de Serviços'!$A$5:$F$100,6,FALSE),0)</f>
        <v/>
      </c>
      <c r="H963" s="7">
        <f>IFERROR(E963*F963,0)</f>
        <v/>
      </c>
      <c r="I963" s="7">
        <f>IFERROR(F963-G963,0)</f>
        <v/>
      </c>
      <c r="J963" s="28" t="n"/>
      <c r="K963" s="28" t="n"/>
    </row>
    <row r="964">
      <c r="A964" s="111" t="n"/>
      <c r="B964" s="27">
        <f>IF(A964="","",DATE(YEAR(A964),MONTH(A964),1))</f>
        <v/>
      </c>
      <c r="C964" s="28" t="n"/>
      <c r="D964" s="28" t="n"/>
      <c r="E964" s="28" t="n"/>
      <c r="F964" s="18" t="n"/>
      <c r="G964" s="7">
        <f>IFERROR(VLOOKUP(D964,'Catálogo de Serviços'!$A$5:$F$100,6,FALSE),0)</f>
        <v/>
      </c>
      <c r="H964" s="7">
        <f>IFERROR(E964*F964,0)</f>
        <v/>
      </c>
      <c r="I964" s="7">
        <f>IFERROR(F964-G964,0)</f>
        <v/>
      </c>
      <c r="J964" s="28" t="n"/>
      <c r="K964" s="28" t="n"/>
    </row>
    <row r="965">
      <c r="A965" s="111" t="n"/>
      <c r="B965" s="27">
        <f>IF(A965="","",DATE(YEAR(A965),MONTH(A965),1))</f>
        <v/>
      </c>
      <c r="C965" s="28" t="n"/>
      <c r="D965" s="28" t="n"/>
      <c r="E965" s="28" t="n"/>
      <c r="F965" s="18" t="n"/>
      <c r="G965" s="7">
        <f>IFERROR(VLOOKUP(D965,'Catálogo de Serviços'!$A$5:$F$100,6,FALSE),0)</f>
        <v/>
      </c>
      <c r="H965" s="7">
        <f>IFERROR(E965*F965,0)</f>
        <v/>
      </c>
      <c r="I965" s="7">
        <f>IFERROR(F965-G965,0)</f>
        <v/>
      </c>
      <c r="J965" s="28" t="n"/>
      <c r="K965" s="28" t="n"/>
    </row>
    <row r="966">
      <c r="A966" s="111" t="n"/>
      <c r="B966" s="27">
        <f>IF(A966="","",DATE(YEAR(A966),MONTH(A966),1))</f>
        <v/>
      </c>
      <c r="C966" s="28" t="n"/>
      <c r="D966" s="28" t="n"/>
      <c r="E966" s="28" t="n"/>
      <c r="F966" s="18" t="n"/>
      <c r="G966" s="7">
        <f>IFERROR(VLOOKUP(D966,'Catálogo de Serviços'!$A$5:$F$100,6,FALSE),0)</f>
        <v/>
      </c>
      <c r="H966" s="7">
        <f>IFERROR(E966*F966,0)</f>
        <v/>
      </c>
      <c r="I966" s="7">
        <f>IFERROR(F966-G966,0)</f>
        <v/>
      </c>
      <c r="J966" s="28" t="n"/>
      <c r="K966" s="28" t="n"/>
    </row>
    <row r="967">
      <c r="A967" s="111" t="n"/>
      <c r="B967" s="27">
        <f>IF(A967="","",DATE(YEAR(A967),MONTH(A967),1))</f>
        <v/>
      </c>
      <c r="C967" s="28" t="n"/>
      <c r="D967" s="28" t="n"/>
      <c r="E967" s="28" t="n"/>
      <c r="F967" s="18" t="n"/>
      <c r="G967" s="7">
        <f>IFERROR(VLOOKUP(D967,'Catálogo de Serviços'!$A$5:$F$100,6,FALSE),0)</f>
        <v/>
      </c>
      <c r="H967" s="7">
        <f>IFERROR(E967*F967,0)</f>
        <v/>
      </c>
      <c r="I967" s="7">
        <f>IFERROR(F967-G967,0)</f>
        <v/>
      </c>
      <c r="J967" s="28" t="n"/>
      <c r="K967" s="28" t="n"/>
    </row>
    <row r="968">
      <c r="A968" s="111" t="n"/>
      <c r="B968" s="27">
        <f>IF(A968="","",DATE(YEAR(A968),MONTH(A968),1))</f>
        <v/>
      </c>
      <c r="C968" s="28" t="n"/>
      <c r="D968" s="28" t="n"/>
      <c r="E968" s="28" t="n"/>
      <c r="F968" s="18" t="n"/>
      <c r="G968" s="7">
        <f>IFERROR(VLOOKUP(D968,'Catálogo de Serviços'!$A$5:$F$100,6,FALSE),0)</f>
        <v/>
      </c>
      <c r="H968" s="7">
        <f>IFERROR(E968*F968,0)</f>
        <v/>
      </c>
      <c r="I968" s="7">
        <f>IFERROR(F968-G968,0)</f>
        <v/>
      </c>
      <c r="J968" s="28" t="n"/>
      <c r="K968" s="28" t="n"/>
    </row>
    <row r="969">
      <c r="A969" s="111" t="n"/>
      <c r="B969" s="27">
        <f>IF(A969="","",DATE(YEAR(A969),MONTH(A969),1))</f>
        <v/>
      </c>
      <c r="C969" s="28" t="n"/>
      <c r="D969" s="28" t="n"/>
      <c r="E969" s="28" t="n"/>
      <c r="F969" s="18" t="n"/>
      <c r="G969" s="7">
        <f>IFERROR(VLOOKUP(D969,'Catálogo de Serviços'!$A$5:$F$100,6,FALSE),0)</f>
        <v/>
      </c>
      <c r="H969" s="7">
        <f>IFERROR(E969*F969,0)</f>
        <v/>
      </c>
      <c r="I969" s="7">
        <f>IFERROR(F969-G969,0)</f>
        <v/>
      </c>
      <c r="J969" s="28" t="n"/>
      <c r="K969" s="28" t="n"/>
    </row>
    <row r="970">
      <c r="A970" s="111" t="n"/>
      <c r="B970" s="27">
        <f>IF(A970="","",DATE(YEAR(A970),MONTH(A970),1))</f>
        <v/>
      </c>
      <c r="C970" s="28" t="n"/>
      <c r="D970" s="28" t="n"/>
      <c r="E970" s="28" t="n"/>
      <c r="F970" s="18" t="n"/>
      <c r="G970" s="7">
        <f>IFERROR(VLOOKUP(D970,'Catálogo de Serviços'!$A$5:$F$100,6,FALSE),0)</f>
        <v/>
      </c>
      <c r="H970" s="7">
        <f>IFERROR(E970*F970,0)</f>
        <v/>
      </c>
      <c r="I970" s="7">
        <f>IFERROR(F970-G970,0)</f>
        <v/>
      </c>
      <c r="J970" s="28" t="n"/>
      <c r="K970" s="28" t="n"/>
    </row>
    <row r="971">
      <c r="A971" s="111" t="n"/>
      <c r="B971" s="27">
        <f>IF(A971="","",DATE(YEAR(A971),MONTH(A971),1))</f>
        <v/>
      </c>
      <c r="C971" s="28" t="n"/>
      <c r="D971" s="28" t="n"/>
      <c r="E971" s="28" t="n"/>
      <c r="F971" s="18" t="n"/>
      <c r="G971" s="7">
        <f>IFERROR(VLOOKUP(D971,'Catálogo de Serviços'!$A$5:$F$100,6,FALSE),0)</f>
        <v/>
      </c>
      <c r="H971" s="7">
        <f>IFERROR(E971*F971,0)</f>
        <v/>
      </c>
      <c r="I971" s="7">
        <f>IFERROR(F971-G971,0)</f>
        <v/>
      </c>
      <c r="J971" s="28" t="n"/>
      <c r="K971" s="28" t="n"/>
    </row>
    <row r="972">
      <c r="A972" s="111" t="n"/>
      <c r="B972" s="27">
        <f>IF(A972="","",DATE(YEAR(A972),MONTH(A972),1))</f>
        <v/>
      </c>
      <c r="C972" s="28" t="n"/>
      <c r="D972" s="28" t="n"/>
      <c r="E972" s="28" t="n"/>
      <c r="F972" s="18" t="n"/>
      <c r="G972" s="7">
        <f>IFERROR(VLOOKUP(D972,'Catálogo de Serviços'!$A$5:$F$100,6,FALSE),0)</f>
        <v/>
      </c>
      <c r="H972" s="7">
        <f>IFERROR(E972*F972,0)</f>
        <v/>
      </c>
      <c r="I972" s="7">
        <f>IFERROR(F972-G972,0)</f>
        <v/>
      </c>
      <c r="J972" s="28" t="n"/>
      <c r="K972" s="28" t="n"/>
    </row>
    <row r="973">
      <c r="A973" s="111" t="n"/>
      <c r="B973" s="27">
        <f>IF(A973="","",DATE(YEAR(A973),MONTH(A973),1))</f>
        <v/>
      </c>
      <c r="C973" s="28" t="n"/>
      <c r="D973" s="28" t="n"/>
      <c r="E973" s="28" t="n"/>
      <c r="F973" s="18" t="n"/>
      <c r="G973" s="7">
        <f>IFERROR(VLOOKUP(D973,'Catálogo de Serviços'!$A$5:$F$100,6,FALSE),0)</f>
        <v/>
      </c>
      <c r="H973" s="7">
        <f>IFERROR(E973*F973,0)</f>
        <v/>
      </c>
      <c r="I973" s="7">
        <f>IFERROR(F973-G973,0)</f>
        <v/>
      </c>
      <c r="J973" s="28" t="n"/>
      <c r="K973" s="28" t="n"/>
    </row>
    <row r="974">
      <c r="A974" s="111" t="n"/>
      <c r="B974" s="27">
        <f>IF(A974="","",DATE(YEAR(A974),MONTH(A974),1))</f>
        <v/>
      </c>
      <c r="C974" s="28" t="n"/>
      <c r="D974" s="28" t="n"/>
      <c r="E974" s="28" t="n"/>
      <c r="F974" s="18" t="n"/>
      <c r="G974" s="7">
        <f>IFERROR(VLOOKUP(D974,'Catálogo de Serviços'!$A$5:$F$100,6,FALSE),0)</f>
        <v/>
      </c>
      <c r="H974" s="7">
        <f>IFERROR(E974*F974,0)</f>
        <v/>
      </c>
      <c r="I974" s="7">
        <f>IFERROR(F974-G974,0)</f>
        <v/>
      </c>
      <c r="J974" s="28" t="n"/>
      <c r="K974" s="28" t="n"/>
    </row>
    <row r="975">
      <c r="A975" s="111" t="n"/>
      <c r="B975" s="27">
        <f>IF(A975="","",DATE(YEAR(A975),MONTH(A975),1))</f>
        <v/>
      </c>
      <c r="C975" s="28" t="n"/>
      <c r="D975" s="28" t="n"/>
      <c r="E975" s="28" t="n"/>
      <c r="F975" s="18" t="n"/>
      <c r="G975" s="7">
        <f>IFERROR(VLOOKUP(D975,'Catálogo de Serviços'!$A$5:$F$100,6,FALSE),0)</f>
        <v/>
      </c>
      <c r="H975" s="7">
        <f>IFERROR(E975*F975,0)</f>
        <v/>
      </c>
      <c r="I975" s="7">
        <f>IFERROR(F975-G975,0)</f>
        <v/>
      </c>
      <c r="J975" s="28" t="n"/>
      <c r="K975" s="28" t="n"/>
    </row>
    <row r="976">
      <c r="A976" s="111" t="n"/>
      <c r="B976" s="27">
        <f>IF(A976="","",DATE(YEAR(A976),MONTH(A976),1))</f>
        <v/>
      </c>
      <c r="C976" s="28" t="n"/>
      <c r="D976" s="28" t="n"/>
      <c r="E976" s="28" t="n"/>
      <c r="F976" s="18" t="n"/>
      <c r="G976" s="7">
        <f>IFERROR(VLOOKUP(D976,'Catálogo de Serviços'!$A$5:$F$100,6,FALSE),0)</f>
        <v/>
      </c>
      <c r="H976" s="7">
        <f>IFERROR(E976*F976,0)</f>
        <v/>
      </c>
      <c r="I976" s="7">
        <f>IFERROR(F976-G976,0)</f>
        <v/>
      </c>
      <c r="J976" s="28" t="n"/>
      <c r="K976" s="28" t="n"/>
    </row>
    <row r="977">
      <c r="A977" s="111" t="n"/>
      <c r="B977" s="27">
        <f>IF(A977="","",DATE(YEAR(A977),MONTH(A977),1))</f>
        <v/>
      </c>
      <c r="C977" s="28" t="n"/>
      <c r="D977" s="28" t="n"/>
      <c r="E977" s="28" t="n"/>
      <c r="F977" s="18" t="n"/>
      <c r="G977" s="7">
        <f>IFERROR(VLOOKUP(D977,'Catálogo de Serviços'!$A$5:$F$100,6,FALSE),0)</f>
        <v/>
      </c>
      <c r="H977" s="7">
        <f>IFERROR(E977*F977,0)</f>
        <v/>
      </c>
      <c r="I977" s="7">
        <f>IFERROR(F977-G977,0)</f>
        <v/>
      </c>
      <c r="J977" s="28" t="n"/>
      <c r="K977" s="28" t="n"/>
    </row>
    <row r="978">
      <c r="A978" s="111" t="n"/>
      <c r="B978" s="27">
        <f>IF(A978="","",DATE(YEAR(A978),MONTH(A978),1))</f>
        <v/>
      </c>
      <c r="C978" s="28" t="n"/>
      <c r="D978" s="28" t="n"/>
      <c r="E978" s="28" t="n"/>
      <c r="F978" s="18" t="n"/>
      <c r="G978" s="7">
        <f>IFERROR(VLOOKUP(D978,'Catálogo de Serviços'!$A$5:$F$100,6,FALSE),0)</f>
        <v/>
      </c>
      <c r="H978" s="7">
        <f>IFERROR(E978*F978,0)</f>
        <v/>
      </c>
      <c r="I978" s="7">
        <f>IFERROR(F978-G978,0)</f>
        <v/>
      </c>
      <c r="J978" s="28" t="n"/>
      <c r="K978" s="28" t="n"/>
    </row>
    <row r="979">
      <c r="A979" s="111" t="n"/>
      <c r="B979" s="27">
        <f>IF(A979="","",DATE(YEAR(A979),MONTH(A979),1))</f>
        <v/>
      </c>
      <c r="C979" s="28" t="n"/>
      <c r="D979" s="28" t="n"/>
      <c r="E979" s="28" t="n"/>
      <c r="F979" s="18" t="n"/>
      <c r="G979" s="7">
        <f>IFERROR(VLOOKUP(D979,'Catálogo de Serviços'!$A$5:$F$100,6,FALSE),0)</f>
        <v/>
      </c>
      <c r="H979" s="7">
        <f>IFERROR(E979*F979,0)</f>
        <v/>
      </c>
      <c r="I979" s="7">
        <f>IFERROR(F979-G979,0)</f>
        <v/>
      </c>
      <c r="J979" s="28" t="n"/>
      <c r="K979" s="28" t="n"/>
    </row>
    <row r="980">
      <c r="A980" s="111" t="n"/>
      <c r="B980" s="27">
        <f>IF(A980="","",DATE(YEAR(A980),MONTH(A980),1))</f>
        <v/>
      </c>
      <c r="C980" s="28" t="n"/>
      <c r="D980" s="28" t="n"/>
      <c r="E980" s="28" t="n"/>
      <c r="F980" s="18" t="n"/>
      <c r="G980" s="7">
        <f>IFERROR(VLOOKUP(D980,'Catálogo de Serviços'!$A$5:$F$100,6,FALSE),0)</f>
        <v/>
      </c>
      <c r="H980" s="7">
        <f>IFERROR(E980*F980,0)</f>
        <v/>
      </c>
      <c r="I980" s="7">
        <f>IFERROR(F980-G980,0)</f>
        <v/>
      </c>
      <c r="J980" s="28" t="n"/>
      <c r="K980" s="28" t="n"/>
    </row>
    <row r="981">
      <c r="A981" s="111" t="n"/>
      <c r="B981" s="27">
        <f>IF(A981="","",DATE(YEAR(A981),MONTH(A981),1))</f>
        <v/>
      </c>
      <c r="C981" s="28" t="n"/>
      <c r="D981" s="28" t="n"/>
      <c r="E981" s="28" t="n"/>
      <c r="F981" s="18" t="n"/>
      <c r="G981" s="7">
        <f>IFERROR(VLOOKUP(D981,'Catálogo de Serviços'!$A$5:$F$100,6,FALSE),0)</f>
        <v/>
      </c>
      <c r="H981" s="7">
        <f>IFERROR(E981*F981,0)</f>
        <v/>
      </c>
      <c r="I981" s="7">
        <f>IFERROR(F981-G981,0)</f>
        <v/>
      </c>
      <c r="J981" s="28" t="n"/>
      <c r="K981" s="28" t="n"/>
    </row>
    <row r="982">
      <c r="A982" s="111" t="n"/>
      <c r="B982" s="27">
        <f>IF(A982="","",DATE(YEAR(A982),MONTH(A982),1))</f>
        <v/>
      </c>
      <c r="C982" s="28" t="n"/>
      <c r="D982" s="28" t="n"/>
      <c r="E982" s="28" t="n"/>
      <c r="F982" s="18" t="n"/>
      <c r="G982" s="7">
        <f>IFERROR(VLOOKUP(D982,'Catálogo de Serviços'!$A$5:$F$100,6,FALSE),0)</f>
        <v/>
      </c>
      <c r="H982" s="7">
        <f>IFERROR(E982*F982,0)</f>
        <v/>
      </c>
      <c r="I982" s="7">
        <f>IFERROR(F982-G982,0)</f>
        <v/>
      </c>
      <c r="J982" s="28" t="n"/>
      <c r="K982" s="28" t="n"/>
    </row>
    <row r="983">
      <c r="A983" s="111" t="n"/>
      <c r="B983" s="27">
        <f>IF(A983="","",DATE(YEAR(A983),MONTH(A983),1))</f>
        <v/>
      </c>
      <c r="C983" s="28" t="n"/>
      <c r="D983" s="28" t="n"/>
      <c r="E983" s="28" t="n"/>
      <c r="F983" s="18" t="n"/>
      <c r="G983" s="7">
        <f>IFERROR(VLOOKUP(D983,'Catálogo de Serviços'!$A$5:$F$100,6,FALSE),0)</f>
        <v/>
      </c>
      <c r="H983" s="7">
        <f>IFERROR(E983*F983,0)</f>
        <v/>
      </c>
      <c r="I983" s="7">
        <f>IFERROR(F983-G983,0)</f>
        <v/>
      </c>
      <c r="J983" s="28" t="n"/>
      <c r="K983" s="28" t="n"/>
    </row>
    <row r="984">
      <c r="A984" s="111" t="n"/>
      <c r="B984" s="27">
        <f>IF(A984="","",DATE(YEAR(A984),MONTH(A984),1))</f>
        <v/>
      </c>
      <c r="C984" s="28" t="n"/>
      <c r="D984" s="28" t="n"/>
      <c r="E984" s="28" t="n"/>
      <c r="F984" s="18" t="n"/>
      <c r="G984" s="7">
        <f>IFERROR(VLOOKUP(D984,'Catálogo de Serviços'!$A$5:$F$100,6,FALSE),0)</f>
        <v/>
      </c>
      <c r="H984" s="7">
        <f>IFERROR(E984*F984,0)</f>
        <v/>
      </c>
      <c r="I984" s="7">
        <f>IFERROR(F984-G984,0)</f>
        <v/>
      </c>
      <c r="J984" s="28" t="n"/>
      <c r="K984" s="28" t="n"/>
    </row>
    <row r="985">
      <c r="A985" s="111" t="n"/>
      <c r="B985" s="27">
        <f>IF(A985="","",DATE(YEAR(A985),MONTH(A985),1))</f>
        <v/>
      </c>
      <c r="C985" s="28" t="n"/>
      <c r="D985" s="28" t="n"/>
      <c r="E985" s="28" t="n"/>
      <c r="F985" s="18" t="n"/>
      <c r="G985" s="7">
        <f>IFERROR(VLOOKUP(D985,'Catálogo de Serviços'!$A$5:$F$100,6,FALSE),0)</f>
        <v/>
      </c>
      <c r="H985" s="7">
        <f>IFERROR(E985*F985,0)</f>
        <v/>
      </c>
      <c r="I985" s="7">
        <f>IFERROR(F985-G985,0)</f>
        <v/>
      </c>
      <c r="J985" s="28" t="n"/>
      <c r="K985" s="28" t="n"/>
    </row>
    <row r="986">
      <c r="A986" s="111" t="n"/>
      <c r="B986" s="27">
        <f>IF(A986="","",DATE(YEAR(A986),MONTH(A986),1))</f>
        <v/>
      </c>
      <c r="C986" s="28" t="n"/>
      <c r="D986" s="28" t="n"/>
      <c r="E986" s="28" t="n"/>
      <c r="F986" s="18" t="n"/>
      <c r="G986" s="7">
        <f>IFERROR(VLOOKUP(D986,'Catálogo de Serviços'!$A$5:$F$100,6,FALSE),0)</f>
        <v/>
      </c>
      <c r="H986" s="7">
        <f>IFERROR(E986*F986,0)</f>
        <v/>
      </c>
      <c r="I986" s="7">
        <f>IFERROR(F986-G986,0)</f>
        <v/>
      </c>
      <c r="J986" s="28" t="n"/>
      <c r="K986" s="28" t="n"/>
    </row>
    <row r="987">
      <c r="A987" s="111" t="n"/>
      <c r="B987" s="27">
        <f>IF(A987="","",DATE(YEAR(A987),MONTH(A987),1))</f>
        <v/>
      </c>
      <c r="C987" s="28" t="n"/>
      <c r="D987" s="28" t="n"/>
      <c r="E987" s="28" t="n"/>
      <c r="F987" s="18" t="n"/>
      <c r="G987" s="7">
        <f>IFERROR(VLOOKUP(D987,'Catálogo de Serviços'!$A$5:$F$100,6,FALSE),0)</f>
        <v/>
      </c>
      <c r="H987" s="7">
        <f>IFERROR(E987*F987,0)</f>
        <v/>
      </c>
      <c r="I987" s="7">
        <f>IFERROR(F987-G987,0)</f>
        <v/>
      </c>
      <c r="J987" s="28" t="n"/>
      <c r="K987" s="28" t="n"/>
    </row>
    <row r="988">
      <c r="A988" s="111" t="n"/>
      <c r="B988" s="27">
        <f>IF(A988="","",DATE(YEAR(A988),MONTH(A988),1))</f>
        <v/>
      </c>
      <c r="C988" s="28" t="n"/>
      <c r="D988" s="28" t="n"/>
      <c r="E988" s="28" t="n"/>
      <c r="F988" s="18" t="n"/>
      <c r="G988" s="7">
        <f>IFERROR(VLOOKUP(D988,'Catálogo de Serviços'!$A$5:$F$100,6,FALSE),0)</f>
        <v/>
      </c>
      <c r="H988" s="7">
        <f>IFERROR(E988*F988,0)</f>
        <v/>
      </c>
      <c r="I988" s="7">
        <f>IFERROR(F988-G988,0)</f>
        <v/>
      </c>
      <c r="J988" s="28" t="n"/>
      <c r="K988" s="28" t="n"/>
    </row>
    <row r="989">
      <c r="A989" s="111" t="n"/>
      <c r="B989" s="27">
        <f>IF(A989="","",DATE(YEAR(A989),MONTH(A989),1))</f>
        <v/>
      </c>
      <c r="C989" s="28" t="n"/>
      <c r="D989" s="28" t="n"/>
      <c r="E989" s="28" t="n"/>
      <c r="F989" s="18" t="n"/>
      <c r="G989" s="7">
        <f>IFERROR(VLOOKUP(D989,'Catálogo de Serviços'!$A$5:$F$100,6,FALSE),0)</f>
        <v/>
      </c>
      <c r="H989" s="7">
        <f>IFERROR(E989*F989,0)</f>
        <v/>
      </c>
      <c r="I989" s="7">
        <f>IFERROR(F989-G989,0)</f>
        <v/>
      </c>
      <c r="J989" s="28" t="n"/>
      <c r="K989" s="28" t="n"/>
    </row>
    <row r="990">
      <c r="A990" s="111" t="n"/>
      <c r="B990" s="27">
        <f>IF(A990="","",DATE(YEAR(A990),MONTH(A990),1))</f>
        <v/>
      </c>
      <c r="C990" s="28" t="n"/>
      <c r="D990" s="28" t="n"/>
      <c r="E990" s="28" t="n"/>
      <c r="F990" s="18" t="n"/>
      <c r="G990" s="7">
        <f>IFERROR(VLOOKUP(D990,'Catálogo de Serviços'!$A$5:$F$100,6,FALSE),0)</f>
        <v/>
      </c>
      <c r="H990" s="7">
        <f>IFERROR(E990*F990,0)</f>
        <v/>
      </c>
      <c r="I990" s="7">
        <f>IFERROR(F990-G990,0)</f>
        <v/>
      </c>
      <c r="J990" s="28" t="n"/>
      <c r="K990" s="28" t="n"/>
    </row>
    <row r="991">
      <c r="A991" s="111" t="n"/>
      <c r="B991" s="27">
        <f>IF(A991="","",DATE(YEAR(A991),MONTH(A991),1))</f>
        <v/>
      </c>
      <c r="C991" s="28" t="n"/>
      <c r="D991" s="28" t="n"/>
      <c r="E991" s="28" t="n"/>
      <c r="F991" s="18" t="n"/>
      <c r="G991" s="7">
        <f>IFERROR(VLOOKUP(D991,'Catálogo de Serviços'!$A$5:$F$100,6,FALSE),0)</f>
        <v/>
      </c>
      <c r="H991" s="7">
        <f>IFERROR(E991*F991,0)</f>
        <v/>
      </c>
      <c r="I991" s="7">
        <f>IFERROR(F991-G991,0)</f>
        <v/>
      </c>
      <c r="J991" s="28" t="n"/>
      <c r="K991" s="28" t="n"/>
    </row>
    <row r="992">
      <c r="A992" s="111" t="n"/>
      <c r="B992" s="27">
        <f>IF(A992="","",DATE(YEAR(A992),MONTH(A992),1))</f>
        <v/>
      </c>
      <c r="C992" s="28" t="n"/>
      <c r="D992" s="28" t="n"/>
      <c r="E992" s="28" t="n"/>
      <c r="F992" s="18" t="n"/>
      <c r="G992" s="7">
        <f>IFERROR(VLOOKUP(D992,'Catálogo de Serviços'!$A$5:$F$100,6,FALSE),0)</f>
        <v/>
      </c>
      <c r="H992" s="7">
        <f>IFERROR(E992*F992,0)</f>
        <v/>
      </c>
      <c r="I992" s="7">
        <f>IFERROR(F992-G992,0)</f>
        <v/>
      </c>
      <c r="J992" s="28" t="n"/>
      <c r="K992" s="28" t="n"/>
    </row>
    <row r="993">
      <c r="A993" s="111" t="n"/>
      <c r="B993" s="27">
        <f>IF(A993="","",DATE(YEAR(A993),MONTH(A993),1))</f>
        <v/>
      </c>
      <c r="C993" s="28" t="n"/>
      <c r="D993" s="28" t="n"/>
      <c r="E993" s="28" t="n"/>
      <c r="F993" s="18" t="n"/>
      <c r="G993" s="7">
        <f>IFERROR(VLOOKUP(D993,'Catálogo de Serviços'!$A$5:$F$100,6,FALSE),0)</f>
        <v/>
      </c>
      <c r="H993" s="7">
        <f>IFERROR(E993*F993,0)</f>
        <v/>
      </c>
      <c r="I993" s="7">
        <f>IFERROR(F993-G993,0)</f>
        <v/>
      </c>
      <c r="J993" s="28" t="n"/>
      <c r="K993" s="28" t="n"/>
    </row>
    <row r="994">
      <c r="A994" s="111" t="n"/>
      <c r="B994" s="27">
        <f>IF(A994="","",DATE(YEAR(A994),MONTH(A994),1))</f>
        <v/>
      </c>
      <c r="C994" s="28" t="n"/>
      <c r="D994" s="28" t="n"/>
      <c r="E994" s="28" t="n"/>
      <c r="F994" s="18" t="n"/>
      <c r="G994" s="7">
        <f>IFERROR(VLOOKUP(D994,'Catálogo de Serviços'!$A$5:$F$100,6,FALSE),0)</f>
        <v/>
      </c>
      <c r="H994" s="7">
        <f>IFERROR(E994*F994,0)</f>
        <v/>
      </c>
      <c r="I994" s="7">
        <f>IFERROR(F994-G994,0)</f>
        <v/>
      </c>
      <c r="J994" s="28" t="n"/>
      <c r="K994" s="28" t="n"/>
    </row>
    <row r="995">
      <c r="A995" s="111" t="n"/>
      <c r="B995" s="27">
        <f>IF(A995="","",DATE(YEAR(A995),MONTH(A995),1))</f>
        <v/>
      </c>
      <c r="C995" s="28" t="n"/>
      <c r="D995" s="28" t="n"/>
      <c r="E995" s="28" t="n"/>
      <c r="F995" s="18" t="n"/>
      <c r="G995" s="7">
        <f>IFERROR(VLOOKUP(D995,'Catálogo de Serviços'!$A$5:$F$100,6,FALSE),0)</f>
        <v/>
      </c>
      <c r="H995" s="7">
        <f>IFERROR(E995*F995,0)</f>
        <v/>
      </c>
      <c r="I995" s="7">
        <f>IFERROR(F995-G995,0)</f>
        <v/>
      </c>
      <c r="J995" s="28" t="n"/>
      <c r="K995" s="28" t="n"/>
    </row>
    <row r="996">
      <c r="A996" s="111" t="n"/>
      <c r="B996" s="27">
        <f>IF(A996="","",DATE(YEAR(A996),MONTH(A996),1))</f>
        <v/>
      </c>
      <c r="C996" s="28" t="n"/>
      <c r="D996" s="28" t="n"/>
      <c r="E996" s="28" t="n"/>
      <c r="F996" s="18" t="n"/>
      <c r="G996" s="7">
        <f>IFERROR(VLOOKUP(D996,'Catálogo de Serviços'!$A$5:$F$100,6,FALSE),0)</f>
        <v/>
      </c>
      <c r="H996" s="7">
        <f>IFERROR(E996*F996,0)</f>
        <v/>
      </c>
      <c r="I996" s="7">
        <f>IFERROR(F996-G996,0)</f>
        <v/>
      </c>
      <c r="J996" s="28" t="n"/>
      <c r="K996" s="28" t="n"/>
    </row>
    <row r="997">
      <c r="A997" s="111" t="n"/>
      <c r="B997" s="27">
        <f>IF(A997="","",DATE(YEAR(A997),MONTH(A997),1))</f>
        <v/>
      </c>
      <c r="C997" s="28" t="n"/>
      <c r="D997" s="28" t="n"/>
      <c r="E997" s="28" t="n"/>
      <c r="F997" s="18" t="n"/>
      <c r="G997" s="7">
        <f>IFERROR(VLOOKUP(D997,'Catálogo de Serviços'!$A$5:$F$100,6,FALSE),0)</f>
        <v/>
      </c>
      <c r="H997" s="7">
        <f>IFERROR(E997*F997,0)</f>
        <v/>
      </c>
      <c r="I997" s="7">
        <f>IFERROR(F997-G997,0)</f>
        <v/>
      </c>
      <c r="J997" s="28" t="n"/>
      <c r="K997" s="28" t="n"/>
    </row>
    <row r="998">
      <c r="A998" s="111" t="n"/>
      <c r="B998" s="27">
        <f>IF(A998="","",DATE(YEAR(A998),MONTH(A998),1))</f>
        <v/>
      </c>
      <c r="C998" s="28" t="n"/>
      <c r="D998" s="28" t="n"/>
      <c r="E998" s="28" t="n"/>
      <c r="F998" s="18" t="n"/>
      <c r="G998" s="7">
        <f>IFERROR(VLOOKUP(D998,'Catálogo de Serviços'!$A$5:$F$100,6,FALSE),0)</f>
        <v/>
      </c>
      <c r="H998" s="7">
        <f>IFERROR(E998*F998,0)</f>
        <v/>
      </c>
      <c r="I998" s="7">
        <f>IFERROR(F998-G998,0)</f>
        <v/>
      </c>
      <c r="J998" s="28" t="n"/>
      <c r="K998" s="28" t="n"/>
    </row>
    <row r="999">
      <c r="A999" s="111" t="n"/>
      <c r="B999" s="27">
        <f>IF(A999="","",DATE(YEAR(A999),MONTH(A999),1))</f>
        <v/>
      </c>
      <c r="C999" s="28" t="n"/>
      <c r="D999" s="28" t="n"/>
      <c r="E999" s="28" t="n"/>
      <c r="F999" s="18" t="n"/>
      <c r="G999" s="7">
        <f>IFERROR(VLOOKUP(D999,'Catálogo de Serviços'!$A$5:$F$100,6,FALSE),0)</f>
        <v/>
      </c>
      <c r="H999" s="7">
        <f>IFERROR(E999*F999,0)</f>
        <v/>
      </c>
      <c r="I999" s="7">
        <f>IFERROR(F999-G999,0)</f>
        <v/>
      </c>
      <c r="J999" s="28" t="n"/>
      <c r="K999" s="28" t="n"/>
    </row>
    <row r="1000">
      <c r="A1000" s="111" t="n"/>
      <c r="B1000" s="27">
        <f>IF(A1000="","",DATE(YEAR(A1000),MONTH(A1000),1))</f>
        <v/>
      </c>
      <c r="C1000" s="28" t="n"/>
      <c r="D1000" s="28" t="n"/>
      <c r="E1000" s="28" t="n"/>
      <c r="F1000" s="18" t="n"/>
      <c r="G1000" s="7">
        <f>IFERROR(VLOOKUP(D1000,'Catálogo de Serviços'!$A$5:$F$100,6,FALSE),0)</f>
        <v/>
      </c>
      <c r="H1000" s="7">
        <f>IFERROR(E1000*F1000,0)</f>
        <v/>
      </c>
      <c r="I1000" s="7">
        <f>IFERROR(F1000-G1000,0)</f>
        <v/>
      </c>
      <c r="J1000" s="28" t="n"/>
      <c r="K1000" s="28" t="n"/>
    </row>
    <row r="1001">
      <c r="A1001" t="inlineStr">
        <is>
          <t>Bloco 1 continua parcial: CR mensal mostra títulos, não vendas consolidadas. Use relatório de vendas/pedidos.</t>
        </is>
      </c>
    </row>
    <row r="1003">
      <c r="A1003" s="8" t="inlineStr">
        <is>
          <t>RESUMO DO BLOCO 1</t>
        </is>
      </c>
      <c r="B1003" s="23" t="n"/>
      <c r="C1003" s="23" t="n"/>
      <c r="D1003" s="23" t="n"/>
      <c r="E1003" s="23" t="n"/>
      <c r="F1003" s="23" t="n"/>
      <c r="G1003" s="23" t="n"/>
      <c r="H1003" s="23" t="n"/>
      <c r="I1003" s="23" t="n"/>
      <c r="J1003" s="23" t="n"/>
      <c r="K1003" s="23" t="n"/>
    </row>
    <row r="1004">
      <c r="A1004" s="4" t="inlineStr">
        <is>
          <t>Vendas lançadas</t>
        </is>
      </c>
      <c r="B1004" s="19">
        <f>COUNTIF(C7:C1000,"&lt;&gt;")</f>
        <v/>
      </c>
    </row>
    <row r="1005">
      <c r="A1005" s="4" t="inlineStr">
        <is>
          <t>Receita bruta</t>
        </is>
      </c>
      <c r="B1005" s="12">
        <f>SUM(H7:H1000)</f>
        <v/>
      </c>
    </row>
    <row r="1006">
      <c r="A1006" s="4" t="inlineStr">
        <is>
          <t>Ticket médio</t>
        </is>
      </c>
      <c r="B1006" s="12">
        <f>IFERROR(B1005/B1004,0)</f>
        <v/>
      </c>
    </row>
    <row r="1007">
      <c r="A1007" s="4" t="inlineStr">
        <is>
          <t>Gap médio unitário</t>
        </is>
      </c>
      <c r="B1007" s="12">
        <f>IFERROR(AVERAGE(I7:I1000),0)</f>
        <v/>
      </c>
    </row>
  </sheetData>
  <mergeCells count="4">
    <mergeCell ref="A2:K2"/>
    <mergeCell ref="A58:K58"/>
    <mergeCell ref="A1:K1"/>
    <mergeCell ref="A4:K4"/>
  </mergeCells>
  <dataValidations count="2">
    <dataValidation sqref="D6:D55" showDropDown="0" showInputMessage="0" showErrorMessage="0" allowBlank="1" type="list">
      <formula1>'Catálogo de Serviços'!$A$5:$A$100</formula1>
    </dataValidation>
    <dataValidation sqref="J6:J55" showDropDown="0" showInputMessage="0" showErrorMessage="0" allowBlank="0" type="list">
      <formula1>"Proposta,Fechado,Faturado,Cancelado"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0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4" customWidth="1" min="9" max="9"/>
    <col width="12" customWidth="1" min="10" max="10"/>
    <col width="10" customWidth="1" min="11" max="11"/>
    <col width="14" customWidth="1" min="12" max="12"/>
    <col width="55" customWidth="1" min="13" max="13"/>
    <col width="16" customWidth="1" min="14" max="14"/>
    <col width="22" customWidth="1" min="15" max="15"/>
    <col width="24" customWidth="1" min="16" max="16"/>
    <col width="24" customWidth="1" min="17" max="17"/>
    <col width="36" customWidth="1" min="18" max="18"/>
    <col width="22" customWidth="1" min="19" max="19"/>
    <col width="20" customWidth="1" min="20" max="20"/>
    <col width="34" customWidth="1" min="21" max="21"/>
    <col width="14" customWidth="1" min="22" max="22"/>
    <col width="18" customWidth="1" min="23" max="23"/>
    <col width="12" customWidth="1" min="24" max="24"/>
    <col width="12" customWidth="1" min="25" max="25"/>
    <col width="24" customWidth="1" min="26" max="26"/>
    <col width="24" customWidth="1" min="27" max="27"/>
    <col width="28" customWidth="1" min="28" max="28"/>
    <col width="14" customWidth="1" min="29" max="29"/>
    <col width="18" customWidth="1" min="30" max="30"/>
    <col width="34" customWidth="1" min="31" max="31"/>
  </cols>
  <sheetData>
    <row r="1">
      <c r="A1" s="1" t="inlineStr">
        <is>
          <t>2. CONTAS A RECEBER — CARTEIRA DE TÍTULOS</t>
        </is>
      </c>
    </row>
    <row r="2">
      <c r="A2" s="2" t="inlineStr">
        <is>
          <t>Cada linha representa um título/parcela. Agora o CR também está amarrado a cliente mestre, contrato/OS, serviço e centro de resultado.</t>
        </is>
      </c>
    </row>
    <row r="4">
      <c r="A4" s="3" t="inlineStr">
        <is>
          <t>Data-base da análise</t>
        </is>
      </c>
      <c r="B4" s="30">
        <f>EOMONTH('0. Como Alimentar'!$B$7,0)</f>
        <v/>
      </c>
    </row>
    <row r="6">
      <c r="A6" s="8" t="inlineStr">
        <is>
          <t>BASE OPERACIONAL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</row>
    <row r="7">
      <c r="A7" s="3" t="inlineStr">
        <is>
          <t>ID título</t>
        </is>
      </c>
      <c r="B7" s="3" t="inlineStr">
        <is>
          <t>ID venda</t>
        </is>
      </c>
      <c r="C7" s="3" t="inlineStr">
        <is>
          <t>Cliente</t>
        </is>
      </c>
      <c r="D7" s="3" t="inlineStr">
        <is>
          <t>Emissão</t>
        </is>
      </c>
      <c r="E7" s="3" t="inlineStr">
        <is>
          <t>Vencimento</t>
        </is>
      </c>
      <c r="F7" s="3" t="inlineStr">
        <is>
          <t>Recebimento</t>
        </is>
      </c>
      <c r="G7" s="3" t="inlineStr">
        <is>
          <t>Parcela</t>
        </is>
      </c>
      <c r="H7" s="3" t="inlineStr">
        <is>
          <t>Valor</t>
        </is>
      </c>
      <c r="I7" s="3" t="inlineStr">
        <is>
          <t>Valor recebido</t>
        </is>
      </c>
      <c r="J7" s="3" t="inlineStr">
        <is>
          <t>Status</t>
        </is>
      </c>
      <c r="K7" s="3" t="inlineStr">
        <is>
          <t>Dias atraso</t>
        </is>
      </c>
      <c r="L7" s="3" t="inlineStr">
        <is>
          <t>Faixa aging</t>
        </is>
      </c>
      <c r="M7" s="3" t="inlineStr">
        <is>
          <t>Observação</t>
        </is>
      </c>
      <c r="N7" s="3" t="inlineStr">
        <is>
          <t>Competência gerencial</t>
        </is>
      </c>
      <c r="O7" s="3" t="inlineStr">
        <is>
          <t>Tipo receita DRE</t>
        </is>
      </c>
      <c r="P7" s="3" t="inlineStr">
        <is>
          <t>Linha de serviço inferida</t>
        </is>
      </c>
      <c r="Q7" s="3" t="inlineStr">
        <is>
          <t>Centro de resultado</t>
        </is>
      </c>
      <c r="R7" s="3" t="inlineStr">
        <is>
          <t>Critério de classificação</t>
        </is>
      </c>
      <c r="S7" s="91" t="inlineStr">
        <is>
          <t>Cliente mestre</t>
        </is>
      </c>
      <c r="T7" s="91" t="inlineStr">
        <is>
          <t>Unidade / escopo</t>
        </is>
      </c>
      <c r="U7" s="91" t="inlineStr">
        <is>
          <t>Chave contrato/OS</t>
        </is>
      </c>
      <c r="V7" s="91" t="inlineStr">
        <is>
          <t>Contrato/OS ID</t>
        </is>
      </c>
      <c r="W7" s="91" t="inlineStr">
        <is>
          <t>Tipo vínculo ERP</t>
        </is>
      </c>
      <c r="X7" s="91" t="inlineStr">
        <is>
          <t>Cliente ID</t>
        </is>
      </c>
      <c r="Y7" s="91" t="inlineStr">
        <is>
          <t>Serviço ID</t>
        </is>
      </c>
      <c r="Z7" s="91" t="inlineStr">
        <is>
          <t>Serviço padronizado</t>
        </is>
      </c>
      <c r="AA7" s="91" t="inlineStr">
        <is>
          <t>Linha DRE rastreável</t>
        </is>
      </c>
      <c r="AB7" s="91" t="inlineStr">
        <is>
          <t>Centro de resultado rastreável</t>
        </is>
      </c>
      <c r="AC7" s="91" t="inlineStr">
        <is>
          <t>Parcela rastreada</t>
        </is>
      </c>
      <c r="AD7" s="91" t="inlineStr">
        <is>
          <t>Status rastreabilidade</t>
        </is>
      </c>
      <c r="AE7" s="91" t="inlineStr">
        <is>
          <t>Nota de rastreio</t>
        </is>
      </c>
    </row>
    <row r="8">
      <c r="A8" s="28" t="inlineStr">
        <is>
          <t>CR-001</t>
        </is>
      </c>
      <c r="B8" s="28" t="inlineStr">
        <is>
          <t>NIVALMAG - MATRIZ</t>
        </is>
      </c>
      <c r="C8" s="28" t="inlineStr">
        <is>
          <t>NIVALMAG - MATRIZ</t>
        </is>
      </c>
      <c r="D8" s="44" t="n">
        <v>46086</v>
      </c>
      <c r="E8" s="44" t="n">
        <v>46086</v>
      </c>
      <c r="F8" s="44" t="n">
        <v>46087</v>
      </c>
      <c r="G8" s="28" t="inlineStr"/>
      <c r="H8" s="45" t="n">
        <v>1348</v>
      </c>
      <c r="I8" s="45" t="n">
        <v>1348</v>
      </c>
      <c r="J8" s="28" t="inlineStr">
        <is>
          <t>Recebido</t>
        </is>
      </c>
      <c r="K8" s="4">
        <f>IF(J8="","",IF(OR(J8="Recebido",F8=""),MAX(0,F8-E8),MAX(0,$B$4-E8)))</f>
        <v/>
      </c>
      <c r="L8" s="4">
        <f>IF(K8="","",IF(K8=0,"Em dia",IF(K8&lt;=30,"1-30 dias",IF(K8&lt;=60,"31-60 dias",IF(K8&lt;=90,"61-90 dias","&gt;90 dias")))))</f>
        <v/>
      </c>
      <c r="M8" s="28" t="inlineStr">
        <is>
          <t>Origem: CR mar/2026. Tipo original: Fixo. Doc/NF: 83.</t>
        </is>
      </c>
      <c r="N8" s="64" t="n">
        <v>46082</v>
      </c>
      <c r="O8" s="64" t="inlineStr">
        <is>
          <t>Receita recorrente</t>
        </is>
      </c>
      <c r="P8" s="64">
        <f>IF(C8="","",IF(ISNUMBER(SEARCH("PCMSO",C8)),"PCMSO",IF(OR(ISNUMBER(SEARCH("E-SOCIAL",C8)),ISNUMBER(SEARCH("PSICOSOCIAL",C8))),"eSocial / Psicossocial",IF(O8="Receita recorrente","Carteira recorrente","Projetos / Laudos / Avulsos"))))</f>
        <v/>
      </c>
      <c r="Q8" s="64">
        <f>IF(P8="","",IF(P8="Carteira recorrente","Operação recorrente",IF(P8="PCMSO","Projetos PCMSO",IF(P8="eSocial / Psicossocial","Projetos eSocial/Psicossocial","Projetos / Laudos / Avulsos"))))</f>
        <v/>
      </c>
      <c r="R8" s="64">
        <f>IF(C8="","",IF(ISNUMBER(SEARCH("PCMSO",C8)),"Título com PCMSO no nome",IF(OR(ISNUMBER(SEARCH("E-SOCIAL",C8)),ISNUMBER(SEARCH("PSICOSOCIAL",C8))),"Título com eSocial/Psicossocial no nome",IF(O8="Receita recorrente","Tipo DRE recorrente","Extra sem palavra-chave específica"))))</f>
        <v/>
      </c>
      <c r="S8" s="92">
        <f>IFERROR(VLOOKUP($A8,'13. Mapa Títulos-Receita'!$A$8:$P$1000,4,FALSE),"")</f>
        <v/>
      </c>
      <c r="T8" s="92">
        <f>IFERROR(VLOOKUP($A8,'13. Mapa Títulos-Receita'!$A$8:$P$1000,5,FALSE),"")</f>
        <v/>
      </c>
      <c r="U8" s="92">
        <f>IFERROR(VLOOKUP($A8,'13. Mapa Títulos-Receita'!$A$8:$P$1000,6,FALSE),"")</f>
        <v/>
      </c>
      <c r="V8" s="92">
        <f>IFERROR(VLOOKUP($A8,'13. Mapa Títulos-Receita'!$A$8:$P$1000,7,FALSE),"")</f>
        <v/>
      </c>
      <c r="W8" s="92">
        <f>IFERROR(VLOOKUP($A8,'13. Mapa Títulos-Receita'!$A$8:$P$1000,8,FALSE),"")</f>
        <v/>
      </c>
      <c r="X8" s="92">
        <f>IFERROR(VLOOKUP($A8,'13. Mapa Títulos-Receita'!$A$8:$P$1000,9,FALSE),"")</f>
        <v/>
      </c>
      <c r="Y8" s="92">
        <f>IFERROR(VLOOKUP($A8,'13. Mapa Títulos-Receita'!$A$8:$P$1000,10,FALSE),"")</f>
        <v/>
      </c>
      <c r="Z8" s="92">
        <f>IFERROR(VLOOKUP($A8,'13. Mapa Títulos-Receita'!$A$8:$P$1000,11,FALSE),"")</f>
        <v/>
      </c>
      <c r="AA8" s="92">
        <f>IFERROR(VLOOKUP($A8,'13. Mapa Títulos-Receita'!$A$8:$P$1000,12,FALSE),"")</f>
        <v/>
      </c>
      <c r="AB8" s="92">
        <f>IFERROR(VLOOKUP($A8,'13. Mapa Títulos-Receita'!$A$8:$P$1000,13,FALSE),"")</f>
        <v/>
      </c>
      <c r="AC8" s="92">
        <f>IFERROR(VLOOKUP($A8,'13. Mapa Títulos-Receita'!$A$8:$P$1000,14,FALSE),"")</f>
        <v/>
      </c>
      <c r="AD8" s="92">
        <f>IFERROR(VLOOKUP($A8,'13. Mapa Títulos-Receita'!$A$8:$P$1000,15,FALSE),"")</f>
        <v/>
      </c>
      <c r="AE8" s="92">
        <f>IFERROR(VLOOKUP($A8,'13. Mapa Títulos-Receita'!$A$8:$P$1000,16,FALSE),"")</f>
        <v/>
      </c>
    </row>
    <row r="9">
      <c r="A9" s="28" t="inlineStr">
        <is>
          <t>CR-002</t>
        </is>
      </c>
      <c r="B9" s="28" t="inlineStr">
        <is>
          <t>NIVALMAG - FAZENDA</t>
        </is>
      </c>
      <c r="C9" s="28" t="inlineStr">
        <is>
          <t>NIVALMAG - FAZENDA</t>
        </is>
      </c>
      <c r="D9" s="44" t="n">
        <v>46086</v>
      </c>
      <c r="E9" s="44" t="n">
        <v>46086</v>
      </c>
      <c r="F9" s="44" t="n">
        <v>46087</v>
      </c>
      <c r="G9" s="28" t="inlineStr"/>
      <c r="H9" s="45" t="n">
        <v>284</v>
      </c>
      <c r="I9" s="45" t="n">
        <v>284</v>
      </c>
      <c r="J9" s="28" t="inlineStr">
        <is>
          <t>Recebido</t>
        </is>
      </c>
      <c r="K9" s="4">
        <f>IF(J9="","",IF(OR(J9="Recebido",F9=""),MAX(0,F9-E9),MAX(0,$B$4-E9)))</f>
        <v/>
      </c>
      <c r="L9" s="4">
        <f>IF(K9="","",IF(K9=0,"Em dia",IF(K9&lt;=30,"1-30 dias",IF(K9&lt;=60,"31-60 dias",IF(K9&lt;=90,"61-90 dias","&gt;90 dias")))))</f>
        <v/>
      </c>
      <c r="M9" s="28" t="inlineStr">
        <is>
          <t>Origem: CR mar/2026. Tipo original: Fixo. Doc/NF: 84.</t>
        </is>
      </c>
      <c r="N9" s="64" t="n">
        <v>46082</v>
      </c>
      <c r="O9" s="64" t="inlineStr">
        <is>
          <t>Receita recorrente</t>
        </is>
      </c>
      <c r="P9" s="64">
        <f>IF(C9="","",IF(ISNUMBER(SEARCH("PCMSO",C9)),"PCMSO",IF(OR(ISNUMBER(SEARCH("E-SOCIAL",C9)),ISNUMBER(SEARCH("PSICOSOCIAL",C9))),"eSocial / Psicossocial",IF(O9="Receita recorrente","Carteira recorrente","Projetos / Laudos / Avulsos"))))</f>
        <v/>
      </c>
      <c r="Q9" s="64">
        <f>IF(P9="","",IF(P9="Carteira recorrente","Operação recorrente",IF(P9="PCMSO","Projetos PCMSO",IF(P9="eSocial / Psicossocial","Projetos eSocial/Psicossocial","Projetos / Laudos / Avulsos"))))</f>
        <v/>
      </c>
      <c r="R9" s="64">
        <f>IF(C9="","",IF(ISNUMBER(SEARCH("PCMSO",C9)),"Título com PCMSO no nome",IF(OR(ISNUMBER(SEARCH("E-SOCIAL",C9)),ISNUMBER(SEARCH("PSICOSOCIAL",C9))),"Título com eSocial/Psicossocial no nome",IF(O9="Receita recorrente","Tipo DRE recorrente","Extra sem palavra-chave específica"))))</f>
        <v/>
      </c>
      <c r="S9" s="92">
        <f>IFERROR(VLOOKUP($A9,'13. Mapa Títulos-Receita'!$A$8:$P$1000,4,FALSE),"")</f>
        <v/>
      </c>
      <c r="T9" s="92">
        <f>IFERROR(VLOOKUP($A9,'13. Mapa Títulos-Receita'!$A$8:$P$1000,5,FALSE),"")</f>
        <v/>
      </c>
      <c r="U9" s="92">
        <f>IFERROR(VLOOKUP($A9,'13. Mapa Títulos-Receita'!$A$8:$P$1000,6,FALSE),"")</f>
        <v/>
      </c>
      <c r="V9" s="92">
        <f>IFERROR(VLOOKUP($A9,'13. Mapa Títulos-Receita'!$A$8:$P$1000,7,FALSE),"")</f>
        <v/>
      </c>
      <c r="W9" s="92">
        <f>IFERROR(VLOOKUP($A9,'13. Mapa Títulos-Receita'!$A$8:$P$1000,8,FALSE),"")</f>
        <v/>
      </c>
      <c r="X9" s="92">
        <f>IFERROR(VLOOKUP($A9,'13. Mapa Títulos-Receita'!$A$8:$P$1000,9,FALSE),"")</f>
        <v/>
      </c>
      <c r="Y9" s="92">
        <f>IFERROR(VLOOKUP($A9,'13. Mapa Títulos-Receita'!$A$8:$P$1000,10,FALSE),"")</f>
        <v/>
      </c>
      <c r="Z9" s="92">
        <f>IFERROR(VLOOKUP($A9,'13. Mapa Títulos-Receita'!$A$8:$P$1000,11,FALSE),"")</f>
        <v/>
      </c>
      <c r="AA9" s="92">
        <f>IFERROR(VLOOKUP($A9,'13. Mapa Títulos-Receita'!$A$8:$P$1000,12,FALSE),"")</f>
        <v/>
      </c>
      <c r="AB9" s="92">
        <f>IFERROR(VLOOKUP($A9,'13. Mapa Títulos-Receita'!$A$8:$P$1000,13,FALSE),"")</f>
        <v/>
      </c>
      <c r="AC9" s="92">
        <f>IFERROR(VLOOKUP($A9,'13. Mapa Títulos-Receita'!$A$8:$P$1000,14,FALSE),"")</f>
        <v/>
      </c>
      <c r="AD9" s="92">
        <f>IFERROR(VLOOKUP($A9,'13. Mapa Títulos-Receita'!$A$8:$P$1000,15,FALSE),"")</f>
        <v/>
      </c>
      <c r="AE9" s="92">
        <f>IFERROR(VLOOKUP($A9,'13. Mapa Títulos-Receita'!$A$8:$P$1000,16,FALSE),"")</f>
        <v/>
      </c>
    </row>
    <row r="10">
      <c r="A10" s="28" t="inlineStr">
        <is>
          <t>CR-003</t>
        </is>
      </c>
      <c r="B10" s="28" t="inlineStr">
        <is>
          <t>SONDOTEC</t>
        </is>
      </c>
      <c r="C10" s="28" t="inlineStr">
        <is>
          <t>SONDOTEC</t>
        </is>
      </c>
      <c r="D10" s="44" t="n">
        <v>46086</v>
      </c>
      <c r="E10" s="44" t="n">
        <v>46086</v>
      </c>
      <c r="F10" s="44" t="n">
        <v>46087</v>
      </c>
      <c r="G10" s="28" t="inlineStr"/>
      <c r="H10" s="45" t="n">
        <v>960</v>
      </c>
      <c r="I10" s="45" t="n">
        <v>960</v>
      </c>
      <c r="J10" s="28" t="inlineStr">
        <is>
          <t>Recebido</t>
        </is>
      </c>
      <c r="K10" s="4">
        <f>IF(J10="","",IF(OR(J10="Recebido",F10=""),MAX(0,F10-E10),MAX(0,$B$4-E10)))</f>
        <v/>
      </c>
      <c r="L10" s="4">
        <f>IF(K10="","",IF(K10=0,"Em dia",IF(K10&lt;=30,"1-30 dias",IF(K10&lt;=60,"31-60 dias",IF(K10&lt;=90,"61-90 dias","&gt;90 dias")))))</f>
        <v/>
      </c>
      <c r="M10" s="28" t="inlineStr">
        <is>
          <t>Origem: CR mar/2026. Tipo original: Fixo. Doc/NF: 81.</t>
        </is>
      </c>
      <c r="N10" s="64" t="n">
        <v>46082</v>
      </c>
      <c r="O10" s="64" t="inlineStr">
        <is>
          <t>Receita recorrente</t>
        </is>
      </c>
      <c r="P10" s="64">
        <f>IF(C10="","",IF(ISNUMBER(SEARCH("PCMSO",C10)),"PCMSO",IF(OR(ISNUMBER(SEARCH("E-SOCIAL",C10)),ISNUMBER(SEARCH("PSICOSOCIAL",C10))),"eSocial / Psicossocial",IF(O10="Receita recorrente","Carteira recorrente","Projetos / Laudos / Avulsos"))))</f>
        <v/>
      </c>
      <c r="Q10" s="64">
        <f>IF(P10="","",IF(P10="Carteira recorrente","Operação recorrente",IF(P10="PCMSO","Projetos PCMSO",IF(P10="eSocial / Psicossocial","Projetos eSocial/Psicossocial","Projetos / Laudos / Avulsos"))))</f>
        <v/>
      </c>
      <c r="R10" s="64">
        <f>IF(C10="","",IF(ISNUMBER(SEARCH("PCMSO",C10)),"Título com PCMSO no nome",IF(OR(ISNUMBER(SEARCH("E-SOCIAL",C10)),ISNUMBER(SEARCH("PSICOSOCIAL",C10))),"Título com eSocial/Psicossocial no nome",IF(O10="Receita recorrente","Tipo DRE recorrente","Extra sem palavra-chave específica"))))</f>
        <v/>
      </c>
      <c r="S10" s="92">
        <f>IFERROR(VLOOKUP($A10,'13. Mapa Títulos-Receita'!$A$8:$P$1000,4,FALSE),"")</f>
        <v/>
      </c>
      <c r="T10" s="92">
        <f>IFERROR(VLOOKUP($A10,'13. Mapa Títulos-Receita'!$A$8:$P$1000,5,FALSE),"")</f>
        <v/>
      </c>
      <c r="U10" s="92">
        <f>IFERROR(VLOOKUP($A10,'13. Mapa Títulos-Receita'!$A$8:$P$1000,6,FALSE),"")</f>
        <v/>
      </c>
      <c r="V10" s="92">
        <f>IFERROR(VLOOKUP($A10,'13. Mapa Títulos-Receita'!$A$8:$P$1000,7,FALSE),"")</f>
        <v/>
      </c>
      <c r="W10" s="92">
        <f>IFERROR(VLOOKUP($A10,'13. Mapa Títulos-Receita'!$A$8:$P$1000,8,FALSE),"")</f>
        <v/>
      </c>
      <c r="X10" s="92">
        <f>IFERROR(VLOOKUP($A10,'13. Mapa Títulos-Receita'!$A$8:$P$1000,9,FALSE),"")</f>
        <v/>
      </c>
      <c r="Y10" s="92">
        <f>IFERROR(VLOOKUP($A10,'13. Mapa Títulos-Receita'!$A$8:$P$1000,10,FALSE),"")</f>
        <v/>
      </c>
      <c r="Z10" s="92">
        <f>IFERROR(VLOOKUP($A10,'13. Mapa Títulos-Receita'!$A$8:$P$1000,11,FALSE),"")</f>
        <v/>
      </c>
      <c r="AA10" s="92">
        <f>IFERROR(VLOOKUP($A10,'13. Mapa Títulos-Receita'!$A$8:$P$1000,12,FALSE),"")</f>
        <v/>
      </c>
      <c r="AB10" s="92">
        <f>IFERROR(VLOOKUP($A10,'13. Mapa Títulos-Receita'!$A$8:$P$1000,13,FALSE),"")</f>
        <v/>
      </c>
      <c r="AC10" s="92">
        <f>IFERROR(VLOOKUP($A10,'13. Mapa Títulos-Receita'!$A$8:$P$1000,14,FALSE),"")</f>
        <v/>
      </c>
      <c r="AD10" s="92">
        <f>IFERROR(VLOOKUP($A10,'13. Mapa Títulos-Receita'!$A$8:$P$1000,15,FALSE),"")</f>
        <v/>
      </c>
      <c r="AE10" s="92">
        <f>IFERROR(VLOOKUP($A10,'13. Mapa Títulos-Receita'!$A$8:$P$1000,16,FALSE),"")</f>
        <v/>
      </c>
    </row>
    <row r="11">
      <c r="A11" s="28" t="inlineStr">
        <is>
          <t>CR-004</t>
        </is>
      </c>
      <c r="B11" s="28" t="inlineStr">
        <is>
          <t>TRIÂNGULO SERVIÇOS</t>
        </is>
      </c>
      <c r="C11" s="28" t="inlineStr">
        <is>
          <t>TRIÂNGULO SERVIÇOS</t>
        </is>
      </c>
      <c r="D11" s="44" t="n">
        <v>46086</v>
      </c>
      <c r="E11" s="44" t="n">
        <v>46086</v>
      </c>
      <c r="F11" s="44" t="n">
        <v>46087</v>
      </c>
      <c r="G11" s="28" t="inlineStr"/>
      <c r="H11" s="45" t="n">
        <v>477</v>
      </c>
      <c r="I11" s="45" t="n">
        <v>477</v>
      </c>
      <c r="J11" s="28" t="inlineStr">
        <is>
          <t>Recebido</t>
        </is>
      </c>
      <c r="K11" s="4">
        <f>IF(J11="","",IF(OR(J11="Recebido",F11=""),MAX(0,F11-E11),MAX(0,$B$4-E11)))</f>
        <v/>
      </c>
      <c r="L11" s="4">
        <f>IF(K11="","",IF(K11=0,"Em dia",IF(K11&lt;=30,"1-30 dias",IF(K11&lt;=60,"31-60 dias",IF(K11&lt;=90,"61-90 dias","&gt;90 dias")))))</f>
        <v/>
      </c>
      <c r="M11" s="28" t="inlineStr">
        <is>
          <t>Origem: CR mar/2026. Tipo original: Fixo. Doc/NF: 80.</t>
        </is>
      </c>
      <c r="N11" s="64" t="n">
        <v>46082</v>
      </c>
      <c r="O11" s="64" t="inlineStr">
        <is>
          <t>Receita recorrente</t>
        </is>
      </c>
      <c r="P11" s="64">
        <f>IF(C11="","",IF(ISNUMBER(SEARCH("PCMSO",C11)),"PCMSO",IF(OR(ISNUMBER(SEARCH("E-SOCIAL",C11)),ISNUMBER(SEARCH("PSICOSOCIAL",C11))),"eSocial / Psicossocial",IF(O11="Receita recorrente","Carteira recorrente","Projetos / Laudos / Avulsos"))))</f>
        <v/>
      </c>
      <c r="Q11" s="64">
        <f>IF(P11="","",IF(P11="Carteira recorrente","Operação recorrente",IF(P11="PCMSO","Projetos PCMSO",IF(P11="eSocial / Psicossocial","Projetos eSocial/Psicossocial","Projetos / Laudos / Avulsos"))))</f>
        <v/>
      </c>
      <c r="R11" s="64">
        <f>IF(C11="","",IF(ISNUMBER(SEARCH("PCMSO",C11)),"Título com PCMSO no nome",IF(OR(ISNUMBER(SEARCH("E-SOCIAL",C11)),ISNUMBER(SEARCH("PSICOSOCIAL",C11))),"Título com eSocial/Psicossocial no nome",IF(O11="Receita recorrente","Tipo DRE recorrente","Extra sem palavra-chave específica"))))</f>
        <v/>
      </c>
      <c r="S11" s="92">
        <f>IFERROR(VLOOKUP($A11,'13. Mapa Títulos-Receita'!$A$8:$P$1000,4,FALSE),"")</f>
        <v/>
      </c>
      <c r="T11" s="92">
        <f>IFERROR(VLOOKUP($A11,'13. Mapa Títulos-Receita'!$A$8:$P$1000,5,FALSE),"")</f>
        <v/>
      </c>
      <c r="U11" s="92">
        <f>IFERROR(VLOOKUP($A11,'13. Mapa Títulos-Receita'!$A$8:$P$1000,6,FALSE),"")</f>
        <v/>
      </c>
      <c r="V11" s="92">
        <f>IFERROR(VLOOKUP($A11,'13. Mapa Títulos-Receita'!$A$8:$P$1000,7,FALSE),"")</f>
        <v/>
      </c>
      <c r="W11" s="92">
        <f>IFERROR(VLOOKUP($A11,'13. Mapa Títulos-Receita'!$A$8:$P$1000,8,FALSE),"")</f>
        <v/>
      </c>
      <c r="X11" s="92">
        <f>IFERROR(VLOOKUP($A11,'13. Mapa Títulos-Receita'!$A$8:$P$1000,9,FALSE),"")</f>
        <v/>
      </c>
      <c r="Y11" s="92">
        <f>IFERROR(VLOOKUP($A11,'13. Mapa Títulos-Receita'!$A$8:$P$1000,10,FALSE),"")</f>
        <v/>
      </c>
      <c r="Z11" s="92">
        <f>IFERROR(VLOOKUP($A11,'13. Mapa Títulos-Receita'!$A$8:$P$1000,11,FALSE),"")</f>
        <v/>
      </c>
      <c r="AA11" s="92">
        <f>IFERROR(VLOOKUP($A11,'13. Mapa Títulos-Receita'!$A$8:$P$1000,12,FALSE),"")</f>
        <v/>
      </c>
      <c r="AB11" s="92">
        <f>IFERROR(VLOOKUP($A11,'13. Mapa Títulos-Receita'!$A$8:$P$1000,13,FALSE),"")</f>
        <v/>
      </c>
      <c r="AC11" s="92">
        <f>IFERROR(VLOOKUP($A11,'13. Mapa Títulos-Receita'!$A$8:$P$1000,14,FALSE),"")</f>
        <v/>
      </c>
      <c r="AD11" s="92">
        <f>IFERROR(VLOOKUP($A11,'13. Mapa Títulos-Receita'!$A$8:$P$1000,15,FALSE),"")</f>
        <v/>
      </c>
      <c r="AE11" s="92">
        <f>IFERROR(VLOOKUP($A11,'13. Mapa Títulos-Receita'!$A$8:$P$1000,16,FALSE),"")</f>
        <v/>
      </c>
    </row>
    <row r="12">
      <c r="A12" s="28" t="inlineStr">
        <is>
          <t>CR-005</t>
        </is>
      </c>
      <c r="B12" s="28" t="inlineStr">
        <is>
          <t>CONTROLER</t>
        </is>
      </c>
      <c r="C12" s="28" t="inlineStr">
        <is>
          <t>CONTROLER</t>
        </is>
      </c>
      <c r="D12" s="44" t="n">
        <v>46086</v>
      </c>
      <c r="E12" s="44" t="n">
        <v>46086</v>
      </c>
      <c r="F12" s="44" t="n">
        <v>46098</v>
      </c>
      <c r="G12" s="28" t="inlineStr"/>
      <c r="H12" s="45" t="n">
        <v>374</v>
      </c>
      <c r="I12" s="45" t="n">
        <v>374</v>
      </c>
      <c r="J12" s="28" t="inlineStr">
        <is>
          <t>Recebido</t>
        </is>
      </c>
      <c r="K12" s="4">
        <f>IF(J12="","",IF(OR(J12="Recebido",F12=""),MAX(0,F12-E12),MAX(0,$B$4-E12)))</f>
        <v/>
      </c>
      <c r="L12" s="4">
        <f>IF(K12="","",IF(K12=0,"Em dia",IF(K12&lt;=30,"1-30 dias",IF(K12&lt;=60,"31-60 dias",IF(K12&lt;=90,"61-90 dias","&gt;90 dias")))))</f>
        <v/>
      </c>
      <c r="M12" s="28" t="inlineStr">
        <is>
          <t>Origem: CR mar/2026. Tipo original: Fixo. Doc/NF: 82.</t>
        </is>
      </c>
      <c r="N12" s="64" t="n">
        <v>46082</v>
      </c>
      <c r="O12" s="64" t="inlineStr">
        <is>
          <t>Receita recorrente</t>
        </is>
      </c>
      <c r="P12" s="64">
        <f>IF(C12="","",IF(ISNUMBER(SEARCH("PCMSO",C12)),"PCMSO",IF(OR(ISNUMBER(SEARCH("E-SOCIAL",C12)),ISNUMBER(SEARCH("PSICOSOCIAL",C12))),"eSocial / Psicossocial",IF(O12="Receita recorrente","Carteira recorrente","Projetos / Laudos / Avulsos"))))</f>
        <v/>
      </c>
      <c r="Q12" s="64">
        <f>IF(P12="","",IF(P12="Carteira recorrente","Operação recorrente",IF(P12="PCMSO","Projetos PCMSO",IF(P12="eSocial / Psicossocial","Projetos eSocial/Psicossocial","Projetos / Laudos / Avulsos"))))</f>
        <v/>
      </c>
      <c r="R12" s="64">
        <f>IF(C12="","",IF(ISNUMBER(SEARCH("PCMSO",C12)),"Título com PCMSO no nome",IF(OR(ISNUMBER(SEARCH("E-SOCIAL",C12)),ISNUMBER(SEARCH("PSICOSOCIAL",C12))),"Título com eSocial/Psicossocial no nome",IF(O12="Receita recorrente","Tipo DRE recorrente","Extra sem palavra-chave específica"))))</f>
        <v/>
      </c>
      <c r="S12" s="92">
        <f>IFERROR(VLOOKUP($A12,'13. Mapa Títulos-Receita'!$A$8:$P$1000,4,FALSE),"")</f>
        <v/>
      </c>
      <c r="T12" s="92">
        <f>IFERROR(VLOOKUP($A12,'13. Mapa Títulos-Receita'!$A$8:$P$1000,5,FALSE),"")</f>
        <v/>
      </c>
      <c r="U12" s="92">
        <f>IFERROR(VLOOKUP($A12,'13. Mapa Títulos-Receita'!$A$8:$P$1000,6,FALSE),"")</f>
        <v/>
      </c>
      <c r="V12" s="92">
        <f>IFERROR(VLOOKUP($A12,'13. Mapa Títulos-Receita'!$A$8:$P$1000,7,FALSE),"")</f>
        <v/>
      </c>
      <c r="W12" s="92">
        <f>IFERROR(VLOOKUP($A12,'13. Mapa Títulos-Receita'!$A$8:$P$1000,8,FALSE),"")</f>
        <v/>
      </c>
      <c r="X12" s="92">
        <f>IFERROR(VLOOKUP($A12,'13. Mapa Títulos-Receita'!$A$8:$P$1000,9,FALSE),"")</f>
        <v/>
      </c>
      <c r="Y12" s="92">
        <f>IFERROR(VLOOKUP($A12,'13. Mapa Títulos-Receita'!$A$8:$P$1000,10,FALSE),"")</f>
        <v/>
      </c>
      <c r="Z12" s="92">
        <f>IFERROR(VLOOKUP($A12,'13. Mapa Títulos-Receita'!$A$8:$P$1000,11,FALSE),"")</f>
        <v/>
      </c>
      <c r="AA12" s="92">
        <f>IFERROR(VLOOKUP($A12,'13. Mapa Títulos-Receita'!$A$8:$P$1000,12,FALSE),"")</f>
        <v/>
      </c>
      <c r="AB12" s="92">
        <f>IFERROR(VLOOKUP($A12,'13. Mapa Títulos-Receita'!$A$8:$P$1000,13,FALSE),"")</f>
        <v/>
      </c>
      <c r="AC12" s="92">
        <f>IFERROR(VLOOKUP($A12,'13. Mapa Títulos-Receita'!$A$8:$P$1000,14,FALSE),"")</f>
        <v/>
      </c>
      <c r="AD12" s="92">
        <f>IFERROR(VLOOKUP($A12,'13. Mapa Títulos-Receita'!$A$8:$P$1000,15,FALSE),"")</f>
        <v/>
      </c>
      <c r="AE12" s="92">
        <f>IFERROR(VLOOKUP($A12,'13. Mapa Títulos-Receita'!$A$8:$P$1000,16,FALSE),"")</f>
        <v/>
      </c>
    </row>
    <row r="13">
      <c r="A13" s="28" t="inlineStr">
        <is>
          <t>CR-006</t>
        </is>
      </c>
      <c r="B13" s="28" t="inlineStr">
        <is>
          <t>SANTA CASA MT ALEGRE</t>
        </is>
      </c>
      <c r="C13" s="28" t="inlineStr">
        <is>
          <t>SANTA CASA MT ALEGRE</t>
        </is>
      </c>
      <c r="D13" s="44" t="n">
        <v>46086</v>
      </c>
      <c r="E13" s="44" t="n">
        <v>46086</v>
      </c>
      <c r="F13" s="44" t="n">
        <v>46085</v>
      </c>
      <c r="G13" s="28" t="inlineStr"/>
      <c r="H13" s="45" t="n">
        <v>1588</v>
      </c>
      <c r="I13" s="45" t="n">
        <v>1588</v>
      </c>
      <c r="J13" s="28" t="inlineStr">
        <is>
          <t>Recebido</t>
        </is>
      </c>
      <c r="K13" s="4">
        <f>IF(J13="","",IF(OR(J13="Recebido",F13=""),MAX(0,F13-E13),MAX(0,$B$4-E13)))</f>
        <v/>
      </c>
      <c r="L13" s="4">
        <f>IF(K13="","",IF(K13=0,"Em dia",IF(K13&lt;=30,"1-30 dias",IF(K13&lt;=60,"31-60 dias",IF(K13&lt;=90,"61-90 dias","&gt;90 dias")))))</f>
        <v/>
      </c>
      <c r="M13" s="28" t="inlineStr">
        <is>
          <t>Origem: CR mar/2026. Tipo original: Fixo. Doc/NF: 92.</t>
        </is>
      </c>
      <c r="N13" s="64" t="n">
        <v>46082</v>
      </c>
      <c r="O13" s="64" t="inlineStr">
        <is>
          <t>Receita recorrente</t>
        </is>
      </c>
      <c r="P13" s="64">
        <f>IF(C13="","",IF(ISNUMBER(SEARCH("PCMSO",C13)),"PCMSO",IF(OR(ISNUMBER(SEARCH("E-SOCIAL",C13)),ISNUMBER(SEARCH("PSICOSOCIAL",C13))),"eSocial / Psicossocial",IF(O13="Receita recorrente","Carteira recorrente","Projetos / Laudos / Avulsos"))))</f>
        <v/>
      </c>
      <c r="Q13" s="64">
        <f>IF(P13="","",IF(P13="Carteira recorrente","Operação recorrente",IF(P13="PCMSO","Projetos PCMSO",IF(P13="eSocial / Psicossocial","Projetos eSocial/Psicossocial","Projetos / Laudos / Avulsos"))))</f>
        <v/>
      </c>
      <c r="R13" s="64">
        <f>IF(C13="","",IF(ISNUMBER(SEARCH("PCMSO",C13)),"Título com PCMSO no nome",IF(OR(ISNUMBER(SEARCH("E-SOCIAL",C13)),ISNUMBER(SEARCH("PSICOSOCIAL",C13))),"Título com eSocial/Psicossocial no nome",IF(O13="Receita recorrente","Tipo DRE recorrente","Extra sem palavra-chave específica"))))</f>
        <v/>
      </c>
      <c r="S13" s="92">
        <f>IFERROR(VLOOKUP($A13,'13. Mapa Títulos-Receita'!$A$8:$P$1000,4,FALSE),"")</f>
        <v/>
      </c>
      <c r="T13" s="92">
        <f>IFERROR(VLOOKUP($A13,'13. Mapa Títulos-Receita'!$A$8:$P$1000,5,FALSE),"")</f>
        <v/>
      </c>
      <c r="U13" s="92">
        <f>IFERROR(VLOOKUP($A13,'13. Mapa Títulos-Receita'!$A$8:$P$1000,6,FALSE),"")</f>
        <v/>
      </c>
      <c r="V13" s="92">
        <f>IFERROR(VLOOKUP($A13,'13. Mapa Títulos-Receita'!$A$8:$P$1000,7,FALSE),"")</f>
        <v/>
      </c>
      <c r="W13" s="92">
        <f>IFERROR(VLOOKUP($A13,'13. Mapa Títulos-Receita'!$A$8:$P$1000,8,FALSE),"")</f>
        <v/>
      </c>
      <c r="X13" s="92">
        <f>IFERROR(VLOOKUP($A13,'13. Mapa Títulos-Receita'!$A$8:$P$1000,9,FALSE),"")</f>
        <v/>
      </c>
      <c r="Y13" s="92">
        <f>IFERROR(VLOOKUP($A13,'13. Mapa Títulos-Receita'!$A$8:$P$1000,10,FALSE),"")</f>
        <v/>
      </c>
      <c r="Z13" s="92">
        <f>IFERROR(VLOOKUP($A13,'13. Mapa Títulos-Receita'!$A$8:$P$1000,11,FALSE),"")</f>
        <v/>
      </c>
      <c r="AA13" s="92">
        <f>IFERROR(VLOOKUP($A13,'13. Mapa Títulos-Receita'!$A$8:$P$1000,12,FALSE),"")</f>
        <v/>
      </c>
      <c r="AB13" s="92">
        <f>IFERROR(VLOOKUP($A13,'13. Mapa Títulos-Receita'!$A$8:$P$1000,13,FALSE),"")</f>
        <v/>
      </c>
      <c r="AC13" s="92">
        <f>IFERROR(VLOOKUP($A13,'13. Mapa Títulos-Receita'!$A$8:$P$1000,14,FALSE),"")</f>
        <v/>
      </c>
      <c r="AD13" s="92">
        <f>IFERROR(VLOOKUP($A13,'13. Mapa Títulos-Receita'!$A$8:$P$1000,15,FALSE),"")</f>
        <v/>
      </c>
      <c r="AE13" s="92">
        <f>IFERROR(VLOOKUP($A13,'13. Mapa Títulos-Receita'!$A$8:$P$1000,16,FALSE),"")</f>
        <v/>
      </c>
    </row>
    <row r="14">
      <c r="A14" s="28" t="inlineStr">
        <is>
          <t>CR-007</t>
        </is>
      </c>
      <c r="B14" s="28" t="inlineStr">
        <is>
          <t>FAZENDA SANTA LUCIA</t>
        </is>
      </c>
      <c r="C14" s="28" t="inlineStr">
        <is>
          <t>FAZENDA SANTA LUCIA</t>
        </is>
      </c>
      <c r="D14" s="44" t="n">
        <v>46086</v>
      </c>
      <c r="E14" s="44" t="n">
        <v>46086</v>
      </c>
      <c r="F14" s="44" t="n">
        <v>46087</v>
      </c>
      <c r="G14" s="28" t="inlineStr"/>
      <c r="H14" s="45" t="n">
        <v>3166</v>
      </c>
      <c r="I14" s="45" t="n">
        <v>3166</v>
      </c>
      <c r="J14" s="28" t="inlineStr">
        <is>
          <t>Recebido</t>
        </is>
      </c>
      <c r="K14" s="4">
        <f>IF(J14="","",IF(OR(J14="Recebido",F14=""),MAX(0,F14-E14),MAX(0,$B$4-E14)))</f>
        <v/>
      </c>
      <c r="L14" s="4">
        <f>IF(K14="","",IF(K14=0,"Em dia",IF(K14&lt;=30,"1-30 dias",IF(K14&lt;=60,"31-60 dias",IF(K14&lt;=90,"61-90 dias","&gt;90 dias")))))</f>
        <v/>
      </c>
      <c r="M14" s="28" t="inlineStr">
        <is>
          <t>Origem: CR mar/2026. Tipo original: Fixo. Doc/NF: 85.</t>
        </is>
      </c>
      <c r="N14" s="64" t="n">
        <v>46082</v>
      </c>
      <c r="O14" s="64" t="inlineStr">
        <is>
          <t>Receita recorrente</t>
        </is>
      </c>
      <c r="P14" s="64">
        <f>IF(C14="","",IF(ISNUMBER(SEARCH("PCMSO",C14)),"PCMSO",IF(OR(ISNUMBER(SEARCH("E-SOCIAL",C14)),ISNUMBER(SEARCH("PSICOSOCIAL",C14))),"eSocial / Psicossocial",IF(O14="Receita recorrente","Carteira recorrente","Projetos / Laudos / Avulsos"))))</f>
        <v/>
      </c>
      <c r="Q14" s="64">
        <f>IF(P14="","",IF(P14="Carteira recorrente","Operação recorrente",IF(P14="PCMSO","Projetos PCMSO",IF(P14="eSocial / Psicossocial","Projetos eSocial/Psicossocial","Projetos / Laudos / Avulsos"))))</f>
        <v/>
      </c>
      <c r="R14" s="64">
        <f>IF(C14="","",IF(ISNUMBER(SEARCH("PCMSO",C14)),"Título com PCMSO no nome",IF(OR(ISNUMBER(SEARCH("E-SOCIAL",C14)),ISNUMBER(SEARCH("PSICOSOCIAL",C14))),"Título com eSocial/Psicossocial no nome",IF(O14="Receita recorrente","Tipo DRE recorrente","Extra sem palavra-chave específica"))))</f>
        <v/>
      </c>
      <c r="S14" s="92">
        <f>IFERROR(VLOOKUP($A14,'13. Mapa Títulos-Receita'!$A$8:$P$1000,4,FALSE),"")</f>
        <v/>
      </c>
      <c r="T14" s="92">
        <f>IFERROR(VLOOKUP($A14,'13. Mapa Títulos-Receita'!$A$8:$P$1000,5,FALSE),"")</f>
        <v/>
      </c>
      <c r="U14" s="92">
        <f>IFERROR(VLOOKUP($A14,'13. Mapa Títulos-Receita'!$A$8:$P$1000,6,FALSE),"")</f>
        <v/>
      </c>
      <c r="V14" s="92">
        <f>IFERROR(VLOOKUP($A14,'13. Mapa Títulos-Receita'!$A$8:$P$1000,7,FALSE),"")</f>
        <v/>
      </c>
      <c r="W14" s="92">
        <f>IFERROR(VLOOKUP($A14,'13. Mapa Títulos-Receita'!$A$8:$P$1000,8,FALSE),"")</f>
        <v/>
      </c>
      <c r="X14" s="92">
        <f>IFERROR(VLOOKUP($A14,'13. Mapa Títulos-Receita'!$A$8:$P$1000,9,FALSE),"")</f>
        <v/>
      </c>
      <c r="Y14" s="92">
        <f>IFERROR(VLOOKUP($A14,'13. Mapa Títulos-Receita'!$A$8:$P$1000,10,FALSE),"")</f>
        <v/>
      </c>
      <c r="Z14" s="92">
        <f>IFERROR(VLOOKUP($A14,'13. Mapa Títulos-Receita'!$A$8:$P$1000,11,FALSE),"")</f>
        <v/>
      </c>
      <c r="AA14" s="92">
        <f>IFERROR(VLOOKUP($A14,'13. Mapa Títulos-Receita'!$A$8:$P$1000,12,FALSE),"")</f>
        <v/>
      </c>
      <c r="AB14" s="92">
        <f>IFERROR(VLOOKUP($A14,'13. Mapa Títulos-Receita'!$A$8:$P$1000,13,FALSE),"")</f>
        <v/>
      </c>
      <c r="AC14" s="92">
        <f>IFERROR(VLOOKUP($A14,'13. Mapa Títulos-Receita'!$A$8:$P$1000,14,FALSE),"")</f>
        <v/>
      </c>
      <c r="AD14" s="92">
        <f>IFERROR(VLOOKUP($A14,'13. Mapa Títulos-Receita'!$A$8:$P$1000,15,FALSE),"")</f>
        <v/>
      </c>
      <c r="AE14" s="92">
        <f>IFERROR(VLOOKUP($A14,'13. Mapa Títulos-Receita'!$A$8:$P$1000,16,FALSE),"")</f>
        <v/>
      </c>
    </row>
    <row r="15">
      <c r="A15" s="28" t="inlineStr">
        <is>
          <t>CR-008</t>
        </is>
      </c>
      <c r="B15" s="28" t="inlineStr">
        <is>
          <t>LGA MÁQUINAS</t>
        </is>
      </c>
      <c r="C15" s="28" t="inlineStr">
        <is>
          <t>LGA MÁQUINAS</t>
        </is>
      </c>
      <c r="D15" s="44" t="n">
        <v>46091</v>
      </c>
      <c r="E15" s="44" t="n">
        <v>46091</v>
      </c>
      <c r="F15" s="44" t="n">
        <v>46092</v>
      </c>
      <c r="G15" s="28" t="inlineStr"/>
      <c r="H15" s="45" t="n">
        <v>210</v>
      </c>
      <c r="I15" s="45" t="n">
        <v>210</v>
      </c>
      <c r="J15" s="28" t="inlineStr">
        <is>
          <t>Recebido</t>
        </is>
      </c>
      <c r="K15" s="4">
        <f>IF(J15="","",IF(OR(J15="Recebido",F15=""),MAX(0,F15-E15),MAX(0,$B$4-E15)))</f>
        <v/>
      </c>
      <c r="L15" s="4">
        <f>IF(K15="","",IF(K15=0,"Em dia",IF(K15&lt;=30,"1-30 dias",IF(K15&lt;=60,"31-60 dias",IF(K15&lt;=90,"61-90 dias","&gt;90 dias")))))</f>
        <v/>
      </c>
      <c r="M15" s="28" t="inlineStr">
        <is>
          <t>Origem: CR mar/2026. Tipo original: Fixo. Doc/NF: S/N.</t>
        </is>
      </c>
      <c r="N15" s="64" t="n">
        <v>46082</v>
      </c>
      <c r="O15" s="64" t="inlineStr">
        <is>
          <t>Receita recorrente</t>
        </is>
      </c>
      <c r="P15" s="64">
        <f>IF(C15="","",IF(ISNUMBER(SEARCH("PCMSO",C15)),"PCMSO",IF(OR(ISNUMBER(SEARCH("E-SOCIAL",C15)),ISNUMBER(SEARCH("PSICOSOCIAL",C15))),"eSocial / Psicossocial",IF(O15="Receita recorrente","Carteira recorrente","Projetos / Laudos / Avulsos"))))</f>
        <v/>
      </c>
      <c r="Q15" s="64">
        <f>IF(P15="","",IF(P15="Carteira recorrente","Operação recorrente",IF(P15="PCMSO","Projetos PCMSO",IF(P15="eSocial / Psicossocial","Projetos eSocial/Psicossocial","Projetos / Laudos / Avulsos"))))</f>
        <v/>
      </c>
      <c r="R15" s="64">
        <f>IF(C15="","",IF(ISNUMBER(SEARCH("PCMSO",C15)),"Título com PCMSO no nome",IF(OR(ISNUMBER(SEARCH("E-SOCIAL",C15)),ISNUMBER(SEARCH("PSICOSOCIAL",C15))),"Título com eSocial/Psicossocial no nome",IF(O15="Receita recorrente","Tipo DRE recorrente","Extra sem palavra-chave específica"))))</f>
        <v/>
      </c>
      <c r="S15" s="92">
        <f>IFERROR(VLOOKUP($A15,'13. Mapa Títulos-Receita'!$A$8:$P$1000,4,FALSE),"")</f>
        <v/>
      </c>
      <c r="T15" s="92">
        <f>IFERROR(VLOOKUP($A15,'13. Mapa Títulos-Receita'!$A$8:$P$1000,5,FALSE),"")</f>
        <v/>
      </c>
      <c r="U15" s="92">
        <f>IFERROR(VLOOKUP($A15,'13. Mapa Títulos-Receita'!$A$8:$P$1000,6,FALSE),"")</f>
        <v/>
      </c>
      <c r="V15" s="92">
        <f>IFERROR(VLOOKUP($A15,'13. Mapa Títulos-Receita'!$A$8:$P$1000,7,FALSE),"")</f>
        <v/>
      </c>
      <c r="W15" s="92">
        <f>IFERROR(VLOOKUP($A15,'13. Mapa Títulos-Receita'!$A$8:$P$1000,8,FALSE),"")</f>
        <v/>
      </c>
      <c r="X15" s="92">
        <f>IFERROR(VLOOKUP($A15,'13. Mapa Títulos-Receita'!$A$8:$P$1000,9,FALSE),"")</f>
        <v/>
      </c>
      <c r="Y15" s="92">
        <f>IFERROR(VLOOKUP($A15,'13. Mapa Títulos-Receita'!$A$8:$P$1000,10,FALSE),"")</f>
        <v/>
      </c>
      <c r="Z15" s="92">
        <f>IFERROR(VLOOKUP($A15,'13. Mapa Títulos-Receita'!$A$8:$P$1000,11,FALSE),"")</f>
        <v/>
      </c>
      <c r="AA15" s="92">
        <f>IFERROR(VLOOKUP($A15,'13. Mapa Títulos-Receita'!$A$8:$P$1000,12,FALSE),"")</f>
        <v/>
      </c>
      <c r="AB15" s="92">
        <f>IFERROR(VLOOKUP($A15,'13. Mapa Títulos-Receita'!$A$8:$P$1000,13,FALSE),"")</f>
        <v/>
      </c>
      <c r="AC15" s="92">
        <f>IFERROR(VLOOKUP($A15,'13. Mapa Títulos-Receita'!$A$8:$P$1000,14,FALSE),"")</f>
        <v/>
      </c>
      <c r="AD15" s="92">
        <f>IFERROR(VLOOKUP($A15,'13. Mapa Títulos-Receita'!$A$8:$P$1000,15,FALSE),"")</f>
        <v/>
      </c>
      <c r="AE15" s="92">
        <f>IFERROR(VLOOKUP($A15,'13. Mapa Títulos-Receita'!$A$8:$P$1000,16,FALSE),"")</f>
        <v/>
      </c>
    </row>
    <row r="16">
      <c r="A16" s="28" t="inlineStr">
        <is>
          <t>CR-009</t>
        </is>
      </c>
      <c r="B16" s="28" t="inlineStr">
        <is>
          <t>REPET</t>
        </is>
      </c>
      <c r="C16" s="28" t="inlineStr">
        <is>
          <t>REPET</t>
        </is>
      </c>
      <c r="D16" s="44" t="n">
        <v>46094</v>
      </c>
      <c r="E16" s="44" t="n">
        <v>46094</v>
      </c>
      <c r="F16" s="44" t="n">
        <v>46097</v>
      </c>
      <c r="G16" s="28" t="inlineStr"/>
      <c r="H16" s="45" t="n">
        <v>1571.56</v>
      </c>
      <c r="I16" s="45" t="n">
        <v>1571.56</v>
      </c>
      <c r="J16" s="28" t="inlineStr">
        <is>
          <t>Recebido</t>
        </is>
      </c>
      <c r="K16" s="4">
        <f>IF(J16="","",IF(OR(J16="Recebido",F16=""),MAX(0,F16-E16),MAX(0,$B$4-E16)))</f>
        <v/>
      </c>
      <c r="L16" s="4">
        <f>IF(K16="","",IF(K16=0,"Em dia",IF(K16&lt;=30,"1-30 dias",IF(K16&lt;=60,"31-60 dias",IF(K16&lt;=90,"61-90 dias","&gt;90 dias")))))</f>
        <v/>
      </c>
      <c r="M16" s="28" t="inlineStr">
        <is>
          <t>Origem: CR mar/2026. Tipo original: Fixo. Doc/NF: 109.</t>
        </is>
      </c>
      <c r="N16" s="64" t="n">
        <v>46082</v>
      </c>
      <c r="O16" s="64" t="inlineStr">
        <is>
          <t>Receita recorrente</t>
        </is>
      </c>
      <c r="P16" s="64">
        <f>IF(C16="","",IF(ISNUMBER(SEARCH("PCMSO",C16)),"PCMSO",IF(OR(ISNUMBER(SEARCH("E-SOCIAL",C16)),ISNUMBER(SEARCH("PSICOSOCIAL",C16))),"eSocial / Psicossocial",IF(O16="Receita recorrente","Carteira recorrente","Projetos / Laudos / Avulsos"))))</f>
        <v/>
      </c>
      <c r="Q16" s="64">
        <f>IF(P16="","",IF(P16="Carteira recorrente","Operação recorrente",IF(P16="PCMSO","Projetos PCMSO",IF(P16="eSocial / Psicossocial","Projetos eSocial/Psicossocial","Projetos / Laudos / Avulsos"))))</f>
        <v/>
      </c>
      <c r="R16" s="64">
        <f>IF(C16="","",IF(ISNUMBER(SEARCH("PCMSO",C16)),"Título com PCMSO no nome",IF(OR(ISNUMBER(SEARCH("E-SOCIAL",C16)),ISNUMBER(SEARCH("PSICOSOCIAL",C16))),"Título com eSocial/Psicossocial no nome",IF(O16="Receita recorrente","Tipo DRE recorrente","Extra sem palavra-chave específica"))))</f>
        <v/>
      </c>
      <c r="S16" s="92">
        <f>IFERROR(VLOOKUP($A16,'13. Mapa Títulos-Receita'!$A$8:$P$1000,4,FALSE),"")</f>
        <v/>
      </c>
      <c r="T16" s="92">
        <f>IFERROR(VLOOKUP($A16,'13. Mapa Títulos-Receita'!$A$8:$P$1000,5,FALSE),"")</f>
        <v/>
      </c>
      <c r="U16" s="92">
        <f>IFERROR(VLOOKUP($A16,'13. Mapa Títulos-Receita'!$A$8:$P$1000,6,FALSE),"")</f>
        <v/>
      </c>
      <c r="V16" s="92">
        <f>IFERROR(VLOOKUP($A16,'13. Mapa Títulos-Receita'!$A$8:$P$1000,7,FALSE),"")</f>
        <v/>
      </c>
      <c r="W16" s="92">
        <f>IFERROR(VLOOKUP($A16,'13. Mapa Títulos-Receita'!$A$8:$P$1000,8,FALSE),"")</f>
        <v/>
      </c>
      <c r="X16" s="92">
        <f>IFERROR(VLOOKUP($A16,'13. Mapa Títulos-Receita'!$A$8:$P$1000,9,FALSE),"")</f>
        <v/>
      </c>
      <c r="Y16" s="92">
        <f>IFERROR(VLOOKUP($A16,'13. Mapa Títulos-Receita'!$A$8:$P$1000,10,FALSE),"")</f>
        <v/>
      </c>
      <c r="Z16" s="92">
        <f>IFERROR(VLOOKUP($A16,'13. Mapa Títulos-Receita'!$A$8:$P$1000,11,FALSE),"")</f>
        <v/>
      </c>
      <c r="AA16" s="92">
        <f>IFERROR(VLOOKUP($A16,'13. Mapa Títulos-Receita'!$A$8:$P$1000,12,FALSE),"")</f>
        <v/>
      </c>
      <c r="AB16" s="92">
        <f>IFERROR(VLOOKUP($A16,'13. Mapa Títulos-Receita'!$A$8:$P$1000,13,FALSE),"")</f>
        <v/>
      </c>
      <c r="AC16" s="92">
        <f>IFERROR(VLOOKUP($A16,'13. Mapa Títulos-Receita'!$A$8:$P$1000,14,FALSE),"")</f>
        <v/>
      </c>
      <c r="AD16" s="92">
        <f>IFERROR(VLOOKUP($A16,'13. Mapa Títulos-Receita'!$A$8:$P$1000,15,FALSE),"")</f>
        <v/>
      </c>
      <c r="AE16" s="92">
        <f>IFERROR(VLOOKUP($A16,'13. Mapa Títulos-Receita'!$A$8:$P$1000,16,FALSE),"")</f>
        <v/>
      </c>
    </row>
    <row r="17">
      <c r="A17" s="28" t="inlineStr">
        <is>
          <t>CR-010</t>
        </is>
      </c>
      <c r="B17" s="28" t="inlineStr">
        <is>
          <t>SKAP KAP</t>
        </is>
      </c>
      <c r="C17" s="28" t="inlineStr">
        <is>
          <t>SKAP KAP</t>
        </is>
      </c>
      <c r="D17" s="44" t="n">
        <v>46086</v>
      </c>
      <c r="E17" s="44" t="n">
        <v>46086</v>
      </c>
      <c r="F17" s="44" t="n">
        <v>46083</v>
      </c>
      <c r="G17" s="28" t="inlineStr"/>
      <c r="H17" s="45" t="n">
        <v>50</v>
      </c>
      <c r="I17" s="45" t="n">
        <v>50</v>
      </c>
      <c r="J17" s="28" t="inlineStr">
        <is>
          <t>Recebido</t>
        </is>
      </c>
      <c r="K17" s="4">
        <f>IF(J17="","",IF(OR(J17="Recebido",F17=""),MAX(0,F17-E17),MAX(0,$B$4-E17)))</f>
        <v/>
      </c>
      <c r="L17" s="4">
        <f>IF(K17="","",IF(K17=0,"Em dia",IF(K17&lt;=30,"1-30 dias",IF(K17&lt;=60,"31-60 dias",IF(K17&lt;=90,"61-90 dias","&gt;90 dias")))))</f>
        <v/>
      </c>
      <c r="M17" s="28" t="inlineStr">
        <is>
          <t>Origem: CR mar/2026. Tipo original: Fixo. Doc/NF: 88.</t>
        </is>
      </c>
      <c r="N17" s="64" t="n">
        <v>46082</v>
      </c>
      <c r="O17" s="64" t="inlineStr">
        <is>
          <t>Receita recorrente</t>
        </is>
      </c>
      <c r="P17" s="64">
        <f>IF(C17="","",IF(ISNUMBER(SEARCH("PCMSO",C17)),"PCMSO",IF(OR(ISNUMBER(SEARCH("E-SOCIAL",C17)),ISNUMBER(SEARCH("PSICOSOCIAL",C17))),"eSocial / Psicossocial",IF(O17="Receita recorrente","Carteira recorrente","Projetos / Laudos / Avulsos"))))</f>
        <v/>
      </c>
      <c r="Q17" s="64">
        <f>IF(P17="","",IF(P17="Carteira recorrente","Operação recorrente",IF(P17="PCMSO","Projetos PCMSO",IF(P17="eSocial / Psicossocial","Projetos eSocial/Psicossocial","Projetos / Laudos / Avulsos"))))</f>
        <v/>
      </c>
      <c r="R17" s="64">
        <f>IF(C17="","",IF(ISNUMBER(SEARCH("PCMSO",C17)),"Título com PCMSO no nome",IF(OR(ISNUMBER(SEARCH("E-SOCIAL",C17)),ISNUMBER(SEARCH("PSICOSOCIAL",C17))),"Título com eSocial/Psicossocial no nome",IF(O17="Receita recorrente","Tipo DRE recorrente","Extra sem palavra-chave específica"))))</f>
        <v/>
      </c>
      <c r="S17" s="92">
        <f>IFERROR(VLOOKUP($A17,'13. Mapa Títulos-Receita'!$A$8:$P$1000,4,FALSE),"")</f>
        <v/>
      </c>
      <c r="T17" s="92">
        <f>IFERROR(VLOOKUP($A17,'13. Mapa Títulos-Receita'!$A$8:$P$1000,5,FALSE),"")</f>
        <v/>
      </c>
      <c r="U17" s="92">
        <f>IFERROR(VLOOKUP($A17,'13. Mapa Títulos-Receita'!$A$8:$P$1000,6,FALSE),"")</f>
        <v/>
      </c>
      <c r="V17" s="92">
        <f>IFERROR(VLOOKUP($A17,'13. Mapa Títulos-Receita'!$A$8:$P$1000,7,FALSE),"")</f>
        <v/>
      </c>
      <c r="W17" s="92">
        <f>IFERROR(VLOOKUP($A17,'13. Mapa Títulos-Receita'!$A$8:$P$1000,8,FALSE),"")</f>
        <v/>
      </c>
      <c r="X17" s="92">
        <f>IFERROR(VLOOKUP($A17,'13. Mapa Títulos-Receita'!$A$8:$P$1000,9,FALSE),"")</f>
        <v/>
      </c>
      <c r="Y17" s="92">
        <f>IFERROR(VLOOKUP($A17,'13. Mapa Títulos-Receita'!$A$8:$P$1000,10,FALSE),"")</f>
        <v/>
      </c>
      <c r="Z17" s="92">
        <f>IFERROR(VLOOKUP($A17,'13. Mapa Títulos-Receita'!$A$8:$P$1000,11,FALSE),"")</f>
        <v/>
      </c>
      <c r="AA17" s="92">
        <f>IFERROR(VLOOKUP($A17,'13. Mapa Títulos-Receita'!$A$8:$P$1000,12,FALSE),"")</f>
        <v/>
      </c>
      <c r="AB17" s="92">
        <f>IFERROR(VLOOKUP($A17,'13. Mapa Títulos-Receita'!$A$8:$P$1000,13,FALSE),"")</f>
        <v/>
      </c>
      <c r="AC17" s="92">
        <f>IFERROR(VLOOKUP($A17,'13. Mapa Títulos-Receita'!$A$8:$P$1000,14,FALSE),"")</f>
        <v/>
      </c>
      <c r="AD17" s="92">
        <f>IFERROR(VLOOKUP($A17,'13. Mapa Títulos-Receita'!$A$8:$P$1000,15,FALSE),"")</f>
        <v/>
      </c>
      <c r="AE17" s="92">
        <f>IFERROR(VLOOKUP($A17,'13. Mapa Títulos-Receita'!$A$8:$P$1000,16,FALSE),"")</f>
        <v/>
      </c>
    </row>
    <row r="18">
      <c r="A18" s="28" t="inlineStr">
        <is>
          <t>CR-011</t>
        </is>
      </c>
      <c r="B18" s="28" t="inlineStr">
        <is>
          <t>RUITHER</t>
        </is>
      </c>
      <c r="C18" s="28" t="inlineStr">
        <is>
          <t>RUITHER</t>
        </is>
      </c>
      <c r="D18" s="44" t="n">
        <v>46086</v>
      </c>
      <c r="E18" s="44" t="n">
        <v>46086</v>
      </c>
      <c r="F18" s="44" t="n">
        <v>46083</v>
      </c>
      <c r="G18" s="28" t="inlineStr"/>
      <c r="H18" s="45" t="n">
        <v>50</v>
      </c>
      <c r="I18" s="45" t="n">
        <v>50</v>
      </c>
      <c r="J18" s="28" t="inlineStr">
        <is>
          <t>Recebido</t>
        </is>
      </c>
      <c r="K18" s="4">
        <f>IF(J18="","",IF(OR(J18="Recebido",F18=""),MAX(0,F18-E18),MAX(0,$B$4-E18)))</f>
        <v/>
      </c>
      <c r="L18" s="4">
        <f>IF(K18="","",IF(K18=0,"Em dia",IF(K18&lt;=30,"1-30 dias",IF(K18&lt;=60,"31-60 dias",IF(K18&lt;=90,"61-90 dias","&gt;90 dias")))))</f>
        <v/>
      </c>
      <c r="M18" s="28" t="inlineStr">
        <is>
          <t>Origem: CR mar/2026. Tipo original: Fixo. Doc/NF: 89.</t>
        </is>
      </c>
      <c r="N18" s="64" t="n">
        <v>46082</v>
      </c>
      <c r="O18" s="64" t="inlineStr">
        <is>
          <t>Receita recorrente</t>
        </is>
      </c>
      <c r="P18" s="64">
        <f>IF(C18="","",IF(ISNUMBER(SEARCH("PCMSO",C18)),"PCMSO",IF(OR(ISNUMBER(SEARCH("E-SOCIAL",C18)),ISNUMBER(SEARCH("PSICOSOCIAL",C18))),"eSocial / Psicossocial",IF(O18="Receita recorrente","Carteira recorrente","Projetos / Laudos / Avulsos"))))</f>
        <v/>
      </c>
      <c r="Q18" s="64">
        <f>IF(P18="","",IF(P18="Carteira recorrente","Operação recorrente",IF(P18="PCMSO","Projetos PCMSO",IF(P18="eSocial / Psicossocial","Projetos eSocial/Psicossocial","Projetos / Laudos / Avulsos"))))</f>
        <v/>
      </c>
      <c r="R18" s="64">
        <f>IF(C18="","",IF(ISNUMBER(SEARCH("PCMSO",C18)),"Título com PCMSO no nome",IF(OR(ISNUMBER(SEARCH("E-SOCIAL",C18)),ISNUMBER(SEARCH("PSICOSOCIAL",C18))),"Título com eSocial/Psicossocial no nome",IF(O18="Receita recorrente","Tipo DRE recorrente","Extra sem palavra-chave específica"))))</f>
        <v/>
      </c>
      <c r="S18" s="92">
        <f>IFERROR(VLOOKUP($A18,'13. Mapa Títulos-Receita'!$A$8:$P$1000,4,FALSE),"")</f>
        <v/>
      </c>
      <c r="T18" s="92">
        <f>IFERROR(VLOOKUP($A18,'13. Mapa Títulos-Receita'!$A$8:$P$1000,5,FALSE),"")</f>
        <v/>
      </c>
      <c r="U18" s="92">
        <f>IFERROR(VLOOKUP($A18,'13. Mapa Títulos-Receita'!$A$8:$P$1000,6,FALSE),"")</f>
        <v/>
      </c>
      <c r="V18" s="92">
        <f>IFERROR(VLOOKUP($A18,'13. Mapa Títulos-Receita'!$A$8:$P$1000,7,FALSE),"")</f>
        <v/>
      </c>
      <c r="W18" s="92">
        <f>IFERROR(VLOOKUP($A18,'13. Mapa Títulos-Receita'!$A$8:$P$1000,8,FALSE),"")</f>
        <v/>
      </c>
      <c r="X18" s="92">
        <f>IFERROR(VLOOKUP($A18,'13. Mapa Títulos-Receita'!$A$8:$P$1000,9,FALSE),"")</f>
        <v/>
      </c>
      <c r="Y18" s="92">
        <f>IFERROR(VLOOKUP($A18,'13. Mapa Títulos-Receita'!$A$8:$P$1000,10,FALSE),"")</f>
        <v/>
      </c>
      <c r="Z18" s="92">
        <f>IFERROR(VLOOKUP($A18,'13. Mapa Títulos-Receita'!$A$8:$P$1000,11,FALSE),"")</f>
        <v/>
      </c>
      <c r="AA18" s="92">
        <f>IFERROR(VLOOKUP($A18,'13. Mapa Títulos-Receita'!$A$8:$P$1000,12,FALSE),"")</f>
        <v/>
      </c>
      <c r="AB18" s="92">
        <f>IFERROR(VLOOKUP($A18,'13. Mapa Títulos-Receita'!$A$8:$P$1000,13,FALSE),"")</f>
        <v/>
      </c>
      <c r="AC18" s="92">
        <f>IFERROR(VLOOKUP($A18,'13. Mapa Títulos-Receita'!$A$8:$P$1000,14,FALSE),"")</f>
        <v/>
      </c>
      <c r="AD18" s="92">
        <f>IFERROR(VLOOKUP($A18,'13. Mapa Títulos-Receita'!$A$8:$P$1000,15,FALSE),"")</f>
        <v/>
      </c>
      <c r="AE18" s="92">
        <f>IFERROR(VLOOKUP($A18,'13. Mapa Títulos-Receita'!$A$8:$P$1000,16,FALSE),"")</f>
        <v/>
      </c>
    </row>
    <row r="19">
      <c r="A19" s="28" t="inlineStr">
        <is>
          <t>CR-012</t>
        </is>
      </c>
      <c r="B19" s="28" t="inlineStr">
        <is>
          <t>S12 INCORPORAÇÃO</t>
        </is>
      </c>
      <c r="C19" s="28" t="inlineStr">
        <is>
          <t>S12 INCORPORAÇÃO</t>
        </is>
      </c>
      <c r="D19" s="44" t="n">
        <v>46086</v>
      </c>
      <c r="E19" s="44" t="n">
        <v>46086</v>
      </c>
      <c r="F19" s="44" t="n">
        <v>46083</v>
      </c>
      <c r="G19" s="28" t="inlineStr"/>
      <c r="H19" s="45" t="n">
        <v>40</v>
      </c>
      <c r="I19" s="45" t="n">
        <v>40</v>
      </c>
      <c r="J19" s="28" t="inlineStr">
        <is>
          <t>Recebido</t>
        </is>
      </c>
      <c r="K19" s="4">
        <f>IF(J19="","",IF(OR(J19="Recebido",F19=""),MAX(0,F19-E19),MAX(0,$B$4-E19)))</f>
        <v/>
      </c>
      <c r="L19" s="4">
        <f>IF(K19="","",IF(K19=0,"Em dia",IF(K19&lt;=30,"1-30 dias",IF(K19&lt;=60,"31-60 dias",IF(K19&lt;=90,"61-90 dias","&gt;90 dias")))))</f>
        <v/>
      </c>
      <c r="M19" s="28" t="inlineStr">
        <is>
          <t>Origem: CR mar/2026. Tipo original: Fixo. Doc/NF: 90.</t>
        </is>
      </c>
      <c r="N19" s="64" t="n">
        <v>46082</v>
      </c>
      <c r="O19" s="64" t="inlineStr">
        <is>
          <t>Receita recorrente</t>
        </is>
      </c>
      <c r="P19" s="64">
        <f>IF(C19="","",IF(ISNUMBER(SEARCH("PCMSO",C19)),"PCMSO",IF(OR(ISNUMBER(SEARCH("E-SOCIAL",C19)),ISNUMBER(SEARCH("PSICOSOCIAL",C19))),"eSocial / Psicossocial",IF(O19="Receita recorrente","Carteira recorrente","Projetos / Laudos / Avulsos"))))</f>
        <v/>
      </c>
      <c r="Q19" s="64">
        <f>IF(P19="","",IF(P19="Carteira recorrente","Operação recorrente",IF(P19="PCMSO","Projetos PCMSO",IF(P19="eSocial / Psicossocial","Projetos eSocial/Psicossocial","Projetos / Laudos / Avulsos"))))</f>
        <v/>
      </c>
      <c r="R19" s="64">
        <f>IF(C19="","",IF(ISNUMBER(SEARCH("PCMSO",C19)),"Título com PCMSO no nome",IF(OR(ISNUMBER(SEARCH("E-SOCIAL",C19)),ISNUMBER(SEARCH("PSICOSOCIAL",C19))),"Título com eSocial/Psicossocial no nome",IF(O19="Receita recorrente","Tipo DRE recorrente","Extra sem palavra-chave específica"))))</f>
        <v/>
      </c>
      <c r="S19" s="92">
        <f>IFERROR(VLOOKUP($A19,'13. Mapa Títulos-Receita'!$A$8:$P$1000,4,FALSE),"")</f>
        <v/>
      </c>
      <c r="T19" s="92">
        <f>IFERROR(VLOOKUP($A19,'13. Mapa Títulos-Receita'!$A$8:$P$1000,5,FALSE),"")</f>
        <v/>
      </c>
      <c r="U19" s="92">
        <f>IFERROR(VLOOKUP($A19,'13. Mapa Títulos-Receita'!$A$8:$P$1000,6,FALSE),"")</f>
        <v/>
      </c>
      <c r="V19" s="92">
        <f>IFERROR(VLOOKUP($A19,'13. Mapa Títulos-Receita'!$A$8:$P$1000,7,FALSE),"")</f>
        <v/>
      </c>
      <c r="W19" s="92">
        <f>IFERROR(VLOOKUP($A19,'13. Mapa Títulos-Receita'!$A$8:$P$1000,8,FALSE),"")</f>
        <v/>
      </c>
      <c r="X19" s="92">
        <f>IFERROR(VLOOKUP($A19,'13. Mapa Títulos-Receita'!$A$8:$P$1000,9,FALSE),"")</f>
        <v/>
      </c>
      <c r="Y19" s="92">
        <f>IFERROR(VLOOKUP($A19,'13. Mapa Títulos-Receita'!$A$8:$P$1000,10,FALSE),"")</f>
        <v/>
      </c>
      <c r="Z19" s="92">
        <f>IFERROR(VLOOKUP($A19,'13. Mapa Títulos-Receita'!$A$8:$P$1000,11,FALSE),"")</f>
        <v/>
      </c>
      <c r="AA19" s="92">
        <f>IFERROR(VLOOKUP($A19,'13. Mapa Títulos-Receita'!$A$8:$P$1000,12,FALSE),"")</f>
        <v/>
      </c>
      <c r="AB19" s="92">
        <f>IFERROR(VLOOKUP($A19,'13. Mapa Títulos-Receita'!$A$8:$P$1000,13,FALSE),"")</f>
        <v/>
      </c>
      <c r="AC19" s="92">
        <f>IFERROR(VLOOKUP($A19,'13. Mapa Títulos-Receita'!$A$8:$P$1000,14,FALSE),"")</f>
        <v/>
      </c>
      <c r="AD19" s="92">
        <f>IFERROR(VLOOKUP($A19,'13. Mapa Títulos-Receita'!$A$8:$P$1000,15,FALSE),"")</f>
        <v/>
      </c>
      <c r="AE19" s="92">
        <f>IFERROR(VLOOKUP($A19,'13. Mapa Títulos-Receita'!$A$8:$P$1000,16,FALSE),"")</f>
        <v/>
      </c>
    </row>
    <row r="20">
      <c r="A20" s="28" t="inlineStr">
        <is>
          <t>CR-013</t>
        </is>
      </c>
      <c r="B20" s="28" t="inlineStr">
        <is>
          <t>LM ASSESSORIA CONTÁBIL</t>
        </is>
      </c>
      <c r="C20" s="28" t="inlineStr">
        <is>
          <t>LM ASSESSORIA CONTÁBIL</t>
        </is>
      </c>
      <c r="D20" s="44" t="n">
        <v>46086</v>
      </c>
      <c r="E20" s="44" t="n">
        <v>46086</v>
      </c>
      <c r="F20" s="44" t="n">
        <v>46084</v>
      </c>
      <c r="G20" s="28" t="inlineStr"/>
      <c r="H20" s="45" t="n">
        <v>100</v>
      </c>
      <c r="I20" s="45" t="n">
        <v>100</v>
      </c>
      <c r="J20" s="28" t="inlineStr">
        <is>
          <t>Recebido</t>
        </is>
      </c>
      <c r="K20" s="4">
        <f>IF(J20="","",IF(OR(J20="Recebido",F20=""),MAX(0,F20-E20),MAX(0,$B$4-E20)))</f>
        <v/>
      </c>
      <c r="L20" s="4">
        <f>IF(K20="","",IF(K20=0,"Em dia",IF(K20&lt;=30,"1-30 dias",IF(K20&lt;=60,"31-60 dias",IF(K20&lt;=90,"61-90 dias","&gt;90 dias")))))</f>
        <v/>
      </c>
      <c r="M20" s="28" t="inlineStr">
        <is>
          <t>Origem: CR mar/2026. Tipo original: Fixo. Doc/NF: 91.</t>
        </is>
      </c>
      <c r="N20" s="64" t="n">
        <v>46082</v>
      </c>
      <c r="O20" s="64" t="inlineStr">
        <is>
          <t>Receita recorrente</t>
        </is>
      </c>
      <c r="P20" s="64">
        <f>IF(C20="","",IF(ISNUMBER(SEARCH("PCMSO",C20)),"PCMSO",IF(OR(ISNUMBER(SEARCH("E-SOCIAL",C20)),ISNUMBER(SEARCH("PSICOSOCIAL",C20))),"eSocial / Psicossocial",IF(O20="Receita recorrente","Carteira recorrente","Projetos / Laudos / Avulsos"))))</f>
        <v/>
      </c>
      <c r="Q20" s="64">
        <f>IF(P20="","",IF(P20="Carteira recorrente","Operação recorrente",IF(P20="PCMSO","Projetos PCMSO",IF(P20="eSocial / Psicossocial","Projetos eSocial/Psicossocial","Projetos / Laudos / Avulsos"))))</f>
        <v/>
      </c>
      <c r="R20" s="64">
        <f>IF(C20="","",IF(ISNUMBER(SEARCH("PCMSO",C20)),"Título com PCMSO no nome",IF(OR(ISNUMBER(SEARCH("E-SOCIAL",C20)),ISNUMBER(SEARCH("PSICOSOCIAL",C20))),"Título com eSocial/Psicossocial no nome",IF(O20="Receita recorrente","Tipo DRE recorrente","Extra sem palavra-chave específica"))))</f>
        <v/>
      </c>
      <c r="S20" s="92">
        <f>IFERROR(VLOOKUP($A20,'13. Mapa Títulos-Receita'!$A$8:$P$1000,4,FALSE),"")</f>
        <v/>
      </c>
      <c r="T20" s="92">
        <f>IFERROR(VLOOKUP($A20,'13. Mapa Títulos-Receita'!$A$8:$P$1000,5,FALSE),"")</f>
        <v/>
      </c>
      <c r="U20" s="92">
        <f>IFERROR(VLOOKUP($A20,'13. Mapa Títulos-Receita'!$A$8:$P$1000,6,FALSE),"")</f>
        <v/>
      </c>
      <c r="V20" s="92">
        <f>IFERROR(VLOOKUP($A20,'13. Mapa Títulos-Receita'!$A$8:$P$1000,7,FALSE),"")</f>
        <v/>
      </c>
      <c r="W20" s="92">
        <f>IFERROR(VLOOKUP($A20,'13. Mapa Títulos-Receita'!$A$8:$P$1000,8,FALSE),"")</f>
        <v/>
      </c>
      <c r="X20" s="92">
        <f>IFERROR(VLOOKUP($A20,'13. Mapa Títulos-Receita'!$A$8:$P$1000,9,FALSE),"")</f>
        <v/>
      </c>
      <c r="Y20" s="92">
        <f>IFERROR(VLOOKUP($A20,'13. Mapa Títulos-Receita'!$A$8:$P$1000,10,FALSE),"")</f>
        <v/>
      </c>
      <c r="Z20" s="92">
        <f>IFERROR(VLOOKUP($A20,'13. Mapa Títulos-Receita'!$A$8:$P$1000,11,FALSE),"")</f>
        <v/>
      </c>
      <c r="AA20" s="92">
        <f>IFERROR(VLOOKUP($A20,'13. Mapa Títulos-Receita'!$A$8:$P$1000,12,FALSE),"")</f>
        <v/>
      </c>
      <c r="AB20" s="92">
        <f>IFERROR(VLOOKUP($A20,'13. Mapa Títulos-Receita'!$A$8:$P$1000,13,FALSE),"")</f>
        <v/>
      </c>
      <c r="AC20" s="92">
        <f>IFERROR(VLOOKUP($A20,'13. Mapa Títulos-Receita'!$A$8:$P$1000,14,FALSE),"")</f>
        <v/>
      </c>
      <c r="AD20" s="92">
        <f>IFERROR(VLOOKUP($A20,'13. Mapa Títulos-Receita'!$A$8:$P$1000,15,FALSE),"")</f>
        <v/>
      </c>
      <c r="AE20" s="92">
        <f>IFERROR(VLOOKUP($A20,'13. Mapa Títulos-Receita'!$A$8:$P$1000,16,FALSE),"")</f>
        <v/>
      </c>
    </row>
    <row r="21">
      <c r="A21" s="28" t="inlineStr">
        <is>
          <t>CR-014</t>
        </is>
      </c>
      <c r="B21" s="28" t="inlineStr">
        <is>
          <t>POSTOS JULIANA - P. Pau Furado</t>
        </is>
      </c>
      <c r="C21" s="28" t="inlineStr">
        <is>
          <t>POSTOS JULIANA - P. Pau Furado</t>
        </is>
      </c>
      <c r="D21" s="44" t="n">
        <v>46086</v>
      </c>
      <c r="E21" s="44" t="n">
        <v>46086</v>
      </c>
      <c r="F21" s="44" t="n">
        <v>46084</v>
      </c>
      <c r="G21" s="28" t="inlineStr"/>
      <c r="H21" s="45" t="n">
        <v>100</v>
      </c>
      <c r="I21" s="45" t="n">
        <v>100</v>
      </c>
      <c r="J21" s="28" t="inlineStr">
        <is>
          <t>Recebido</t>
        </is>
      </c>
      <c r="K21" s="4">
        <f>IF(J21="","",IF(OR(J21="Recebido",F21=""),MAX(0,F21-E21),MAX(0,$B$4-E21)))</f>
        <v/>
      </c>
      <c r="L21" s="4">
        <f>IF(K21="","",IF(K21=0,"Em dia",IF(K21&lt;=30,"1-30 dias",IF(K21&lt;=60,"31-60 dias",IF(K21&lt;=90,"61-90 dias","&gt;90 dias")))))</f>
        <v/>
      </c>
      <c r="M21" s="28" t="inlineStr">
        <is>
          <t>Origem: CR mar/2026. Tipo original: Fixo. Doc/NF: 93.</t>
        </is>
      </c>
      <c r="N21" s="64" t="n">
        <v>46082</v>
      </c>
      <c r="O21" s="64" t="inlineStr">
        <is>
          <t>Receita recorrente</t>
        </is>
      </c>
      <c r="P21" s="64">
        <f>IF(C21="","",IF(ISNUMBER(SEARCH("PCMSO",C21)),"PCMSO",IF(OR(ISNUMBER(SEARCH("E-SOCIAL",C21)),ISNUMBER(SEARCH("PSICOSOCIAL",C21))),"eSocial / Psicossocial",IF(O21="Receita recorrente","Carteira recorrente","Projetos / Laudos / Avulsos"))))</f>
        <v/>
      </c>
      <c r="Q21" s="64">
        <f>IF(P21="","",IF(P21="Carteira recorrente","Operação recorrente",IF(P21="PCMSO","Projetos PCMSO",IF(P21="eSocial / Psicossocial","Projetos eSocial/Psicossocial","Projetos / Laudos / Avulsos"))))</f>
        <v/>
      </c>
      <c r="R21" s="64">
        <f>IF(C21="","",IF(ISNUMBER(SEARCH("PCMSO",C21)),"Título com PCMSO no nome",IF(OR(ISNUMBER(SEARCH("E-SOCIAL",C21)),ISNUMBER(SEARCH("PSICOSOCIAL",C21))),"Título com eSocial/Psicossocial no nome",IF(O21="Receita recorrente","Tipo DRE recorrente","Extra sem palavra-chave específica"))))</f>
        <v/>
      </c>
      <c r="S21" s="92">
        <f>IFERROR(VLOOKUP($A21,'13. Mapa Títulos-Receita'!$A$8:$P$1000,4,FALSE),"")</f>
        <v/>
      </c>
      <c r="T21" s="92">
        <f>IFERROR(VLOOKUP($A21,'13. Mapa Títulos-Receita'!$A$8:$P$1000,5,FALSE),"")</f>
        <v/>
      </c>
      <c r="U21" s="92">
        <f>IFERROR(VLOOKUP($A21,'13. Mapa Títulos-Receita'!$A$8:$P$1000,6,FALSE),"")</f>
        <v/>
      </c>
      <c r="V21" s="92">
        <f>IFERROR(VLOOKUP($A21,'13. Mapa Títulos-Receita'!$A$8:$P$1000,7,FALSE),"")</f>
        <v/>
      </c>
      <c r="W21" s="92">
        <f>IFERROR(VLOOKUP($A21,'13. Mapa Títulos-Receita'!$A$8:$P$1000,8,FALSE),"")</f>
        <v/>
      </c>
      <c r="X21" s="92">
        <f>IFERROR(VLOOKUP($A21,'13. Mapa Títulos-Receita'!$A$8:$P$1000,9,FALSE),"")</f>
        <v/>
      </c>
      <c r="Y21" s="92">
        <f>IFERROR(VLOOKUP($A21,'13. Mapa Títulos-Receita'!$A$8:$P$1000,10,FALSE),"")</f>
        <v/>
      </c>
      <c r="Z21" s="92">
        <f>IFERROR(VLOOKUP($A21,'13. Mapa Títulos-Receita'!$A$8:$P$1000,11,FALSE),"")</f>
        <v/>
      </c>
      <c r="AA21" s="92">
        <f>IFERROR(VLOOKUP($A21,'13. Mapa Títulos-Receita'!$A$8:$P$1000,12,FALSE),"")</f>
        <v/>
      </c>
      <c r="AB21" s="92">
        <f>IFERROR(VLOOKUP($A21,'13. Mapa Títulos-Receita'!$A$8:$P$1000,13,FALSE),"")</f>
        <v/>
      </c>
      <c r="AC21" s="92">
        <f>IFERROR(VLOOKUP($A21,'13. Mapa Títulos-Receita'!$A$8:$P$1000,14,FALSE),"")</f>
        <v/>
      </c>
      <c r="AD21" s="92">
        <f>IFERROR(VLOOKUP($A21,'13. Mapa Títulos-Receita'!$A$8:$P$1000,15,FALSE),"")</f>
        <v/>
      </c>
      <c r="AE21" s="92">
        <f>IFERROR(VLOOKUP($A21,'13. Mapa Títulos-Receita'!$A$8:$P$1000,16,FALSE),"")</f>
        <v/>
      </c>
    </row>
    <row r="22">
      <c r="A22" s="28" t="inlineStr">
        <is>
          <t>CR-015</t>
        </is>
      </c>
      <c r="B22" s="28" t="inlineStr">
        <is>
          <t>POSTOS JULIANA - Gravatás + 7</t>
        </is>
      </c>
      <c r="C22" s="28" t="inlineStr">
        <is>
          <t>POSTOS JULIANA - Gravatás + 7</t>
        </is>
      </c>
      <c r="D22" s="44" t="n">
        <v>46086</v>
      </c>
      <c r="E22" s="44" t="n">
        <v>46086</v>
      </c>
      <c r="F22" s="44" t="n">
        <v>46084</v>
      </c>
      <c r="G22" s="28" t="inlineStr"/>
      <c r="H22" s="45" t="n">
        <v>480</v>
      </c>
      <c r="I22" s="45" t="n">
        <v>480</v>
      </c>
      <c r="J22" s="28" t="inlineStr">
        <is>
          <t>Recebido</t>
        </is>
      </c>
      <c r="K22" s="4">
        <f>IF(J22="","",IF(OR(J22="Recebido",F22=""),MAX(0,F22-E22),MAX(0,$B$4-E22)))</f>
        <v/>
      </c>
      <c r="L22" s="4">
        <f>IF(K22="","",IF(K22=0,"Em dia",IF(K22&lt;=30,"1-30 dias",IF(K22&lt;=60,"31-60 dias",IF(K22&lt;=90,"61-90 dias","&gt;90 dias")))))</f>
        <v/>
      </c>
      <c r="M22" s="28" t="inlineStr">
        <is>
          <t>Origem: CR mar/2026. Tipo original: Fixo. Doc/NF: 97 a 104.</t>
        </is>
      </c>
      <c r="N22" s="64" t="n">
        <v>46082</v>
      </c>
      <c r="O22" s="64" t="inlineStr">
        <is>
          <t>Receita recorrente</t>
        </is>
      </c>
      <c r="P22" s="64">
        <f>IF(C22="","",IF(ISNUMBER(SEARCH("PCMSO",C22)),"PCMSO",IF(OR(ISNUMBER(SEARCH("E-SOCIAL",C22)),ISNUMBER(SEARCH("PSICOSOCIAL",C22))),"eSocial / Psicossocial",IF(O22="Receita recorrente","Carteira recorrente","Projetos / Laudos / Avulsos"))))</f>
        <v/>
      </c>
      <c r="Q22" s="64">
        <f>IF(P22="","",IF(P22="Carteira recorrente","Operação recorrente",IF(P22="PCMSO","Projetos PCMSO",IF(P22="eSocial / Psicossocial","Projetos eSocial/Psicossocial","Projetos / Laudos / Avulsos"))))</f>
        <v/>
      </c>
      <c r="R22" s="64">
        <f>IF(C22="","",IF(ISNUMBER(SEARCH("PCMSO",C22)),"Título com PCMSO no nome",IF(OR(ISNUMBER(SEARCH("E-SOCIAL",C22)),ISNUMBER(SEARCH("PSICOSOCIAL",C22))),"Título com eSocial/Psicossocial no nome",IF(O22="Receita recorrente","Tipo DRE recorrente","Extra sem palavra-chave específica"))))</f>
        <v/>
      </c>
      <c r="S22" s="92">
        <f>IFERROR(VLOOKUP($A22,'13. Mapa Títulos-Receita'!$A$8:$P$1000,4,FALSE),"")</f>
        <v/>
      </c>
      <c r="T22" s="92">
        <f>IFERROR(VLOOKUP($A22,'13. Mapa Títulos-Receita'!$A$8:$P$1000,5,FALSE),"")</f>
        <v/>
      </c>
      <c r="U22" s="92">
        <f>IFERROR(VLOOKUP($A22,'13. Mapa Títulos-Receita'!$A$8:$P$1000,6,FALSE),"")</f>
        <v/>
      </c>
      <c r="V22" s="92">
        <f>IFERROR(VLOOKUP($A22,'13. Mapa Títulos-Receita'!$A$8:$P$1000,7,FALSE),"")</f>
        <v/>
      </c>
      <c r="W22" s="92">
        <f>IFERROR(VLOOKUP($A22,'13. Mapa Títulos-Receita'!$A$8:$P$1000,8,FALSE),"")</f>
        <v/>
      </c>
      <c r="X22" s="92">
        <f>IFERROR(VLOOKUP($A22,'13. Mapa Títulos-Receita'!$A$8:$P$1000,9,FALSE),"")</f>
        <v/>
      </c>
      <c r="Y22" s="92">
        <f>IFERROR(VLOOKUP($A22,'13. Mapa Títulos-Receita'!$A$8:$P$1000,10,FALSE),"")</f>
        <v/>
      </c>
      <c r="Z22" s="92">
        <f>IFERROR(VLOOKUP($A22,'13. Mapa Títulos-Receita'!$A$8:$P$1000,11,FALSE),"")</f>
        <v/>
      </c>
      <c r="AA22" s="92">
        <f>IFERROR(VLOOKUP($A22,'13. Mapa Títulos-Receita'!$A$8:$P$1000,12,FALSE),"")</f>
        <v/>
      </c>
      <c r="AB22" s="92">
        <f>IFERROR(VLOOKUP($A22,'13. Mapa Títulos-Receita'!$A$8:$P$1000,13,FALSE),"")</f>
        <v/>
      </c>
      <c r="AC22" s="92">
        <f>IFERROR(VLOOKUP($A22,'13. Mapa Títulos-Receita'!$A$8:$P$1000,14,FALSE),"")</f>
        <v/>
      </c>
      <c r="AD22" s="92">
        <f>IFERROR(VLOOKUP($A22,'13. Mapa Títulos-Receita'!$A$8:$P$1000,15,FALSE),"")</f>
        <v/>
      </c>
      <c r="AE22" s="92">
        <f>IFERROR(VLOOKUP($A22,'13. Mapa Títulos-Receita'!$A$8:$P$1000,16,FALSE),"")</f>
        <v/>
      </c>
    </row>
    <row r="23">
      <c r="A23" s="28" t="inlineStr">
        <is>
          <t>CR-016</t>
        </is>
      </c>
      <c r="B23" s="28" t="inlineStr">
        <is>
          <t>POSTOS JULIANA - Edem + 2</t>
        </is>
      </c>
      <c r="C23" s="28" t="inlineStr">
        <is>
          <t>POSTOS JULIANA - Edem + 2</t>
        </is>
      </c>
      <c r="D23" s="44" t="n">
        <v>46106</v>
      </c>
      <c r="E23" s="44" t="n">
        <v>46106</v>
      </c>
      <c r="F23" s="44" t="n">
        <v>46084</v>
      </c>
      <c r="G23" s="28" t="inlineStr"/>
      <c r="H23" s="45" t="n">
        <v>260</v>
      </c>
      <c r="I23" s="45" t="n">
        <v>260</v>
      </c>
      <c r="J23" s="28" t="inlineStr">
        <is>
          <t>Recebido</t>
        </is>
      </c>
      <c r="K23" s="4">
        <f>IF(J23="","",IF(OR(J23="Recebido",F23=""),MAX(0,F23-E23),MAX(0,$B$4-E23)))</f>
        <v/>
      </c>
      <c r="L23" s="4">
        <f>IF(K23="","",IF(K23=0,"Em dia",IF(K23&lt;=30,"1-30 dias",IF(K23&lt;=60,"31-60 dias",IF(K23&lt;=90,"61-90 dias","&gt;90 dias")))))</f>
        <v/>
      </c>
      <c r="M23" s="28" t="inlineStr">
        <is>
          <t>Origem: CR mar/2026. Tipo original: Fixo. Doc/NF: 94/95/96.</t>
        </is>
      </c>
      <c r="N23" s="64" t="n">
        <v>46082</v>
      </c>
      <c r="O23" s="64" t="inlineStr">
        <is>
          <t>Receita recorrente</t>
        </is>
      </c>
      <c r="P23" s="64">
        <f>IF(C23="","",IF(ISNUMBER(SEARCH("PCMSO",C23)),"PCMSO",IF(OR(ISNUMBER(SEARCH("E-SOCIAL",C23)),ISNUMBER(SEARCH("PSICOSOCIAL",C23))),"eSocial / Psicossocial",IF(O23="Receita recorrente","Carteira recorrente","Projetos / Laudos / Avulsos"))))</f>
        <v/>
      </c>
      <c r="Q23" s="64">
        <f>IF(P23="","",IF(P23="Carteira recorrente","Operação recorrente",IF(P23="PCMSO","Projetos PCMSO",IF(P23="eSocial / Psicossocial","Projetos eSocial/Psicossocial","Projetos / Laudos / Avulsos"))))</f>
        <v/>
      </c>
      <c r="R23" s="64">
        <f>IF(C23="","",IF(ISNUMBER(SEARCH("PCMSO",C23)),"Título com PCMSO no nome",IF(OR(ISNUMBER(SEARCH("E-SOCIAL",C23)),ISNUMBER(SEARCH("PSICOSOCIAL",C23))),"Título com eSocial/Psicossocial no nome",IF(O23="Receita recorrente","Tipo DRE recorrente","Extra sem palavra-chave específica"))))</f>
        <v/>
      </c>
      <c r="S23" s="92">
        <f>IFERROR(VLOOKUP($A23,'13. Mapa Títulos-Receita'!$A$8:$P$1000,4,FALSE),"")</f>
        <v/>
      </c>
      <c r="T23" s="92">
        <f>IFERROR(VLOOKUP($A23,'13. Mapa Títulos-Receita'!$A$8:$P$1000,5,FALSE),"")</f>
        <v/>
      </c>
      <c r="U23" s="92">
        <f>IFERROR(VLOOKUP($A23,'13. Mapa Títulos-Receita'!$A$8:$P$1000,6,FALSE),"")</f>
        <v/>
      </c>
      <c r="V23" s="92">
        <f>IFERROR(VLOOKUP($A23,'13. Mapa Títulos-Receita'!$A$8:$P$1000,7,FALSE),"")</f>
        <v/>
      </c>
      <c r="W23" s="92">
        <f>IFERROR(VLOOKUP($A23,'13. Mapa Títulos-Receita'!$A$8:$P$1000,8,FALSE),"")</f>
        <v/>
      </c>
      <c r="X23" s="92">
        <f>IFERROR(VLOOKUP($A23,'13. Mapa Títulos-Receita'!$A$8:$P$1000,9,FALSE),"")</f>
        <v/>
      </c>
      <c r="Y23" s="92">
        <f>IFERROR(VLOOKUP($A23,'13. Mapa Títulos-Receita'!$A$8:$P$1000,10,FALSE),"")</f>
        <v/>
      </c>
      <c r="Z23" s="92">
        <f>IFERROR(VLOOKUP($A23,'13. Mapa Títulos-Receita'!$A$8:$P$1000,11,FALSE),"")</f>
        <v/>
      </c>
      <c r="AA23" s="92">
        <f>IFERROR(VLOOKUP($A23,'13. Mapa Títulos-Receita'!$A$8:$P$1000,12,FALSE),"")</f>
        <v/>
      </c>
      <c r="AB23" s="92">
        <f>IFERROR(VLOOKUP($A23,'13. Mapa Títulos-Receita'!$A$8:$P$1000,13,FALSE),"")</f>
        <v/>
      </c>
      <c r="AC23" s="92">
        <f>IFERROR(VLOOKUP($A23,'13. Mapa Títulos-Receita'!$A$8:$P$1000,14,FALSE),"")</f>
        <v/>
      </c>
      <c r="AD23" s="92">
        <f>IFERROR(VLOOKUP($A23,'13. Mapa Títulos-Receita'!$A$8:$P$1000,15,FALSE),"")</f>
        <v/>
      </c>
      <c r="AE23" s="92">
        <f>IFERROR(VLOOKUP($A23,'13. Mapa Títulos-Receita'!$A$8:$P$1000,16,FALSE),"")</f>
        <v/>
      </c>
    </row>
    <row r="24">
      <c r="A24" s="28" t="inlineStr">
        <is>
          <t>CR-017</t>
        </is>
      </c>
      <c r="B24" s="28" t="inlineStr">
        <is>
          <t>RDM LOGÍSTICA</t>
        </is>
      </c>
      <c r="C24" s="28" t="inlineStr">
        <is>
          <t>RDM LOGÍSTICA</t>
        </is>
      </c>
      <c r="D24" s="44" t="n">
        <v>46096</v>
      </c>
      <c r="E24" s="44" t="n">
        <v>46096</v>
      </c>
      <c r="F24" s="44" t="n">
        <v>46097</v>
      </c>
      <c r="G24" s="28" t="inlineStr"/>
      <c r="H24" s="45" t="n">
        <v>100</v>
      </c>
      <c r="I24" s="45" t="n">
        <v>100</v>
      </c>
      <c r="J24" s="28" t="inlineStr">
        <is>
          <t>Recebido</t>
        </is>
      </c>
      <c r="K24" s="4">
        <f>IF(J24="","",IF(OR(J24="Recebido",F24=""),MAX(0,F24-E24),MAX(0,$B$4-E24)))</f>
        <v/>
      </c>
      <c r="L24" s="4">
        <f>IF(K24="","",IF(K24=0,"Em dia",IF(K24&lt;=30,"1-30 dias",IF(K24&lt;=60,"31-60 dias",IF(K24&lt;=90,"61-90 dias","&gt;90 dias")))))</f>
        <v/>
      </c>
      <c r="M24" s="28" t="inlineStr">
        <is>
          <t>Origem: CR mar/2026. Tipo original: Fixo. Doc/NF: 110.</t>
        </is>
      </c>
      <c r="N24" s="64" t="n">
        <v>46082</v>
      </c>
      <c r="O24" s="64" t="inlineStr">
        <is>
          <t>Receita recorrente</t>
        </is>
      </c>
      <c r="P24" s="64">
        <f>IF(C24="","",IF(ISNUMBER(SEARCH("PCMSO",C24)),"PCMSO",IF(OR(ISNUMBER(SEARCH("E-SOCIAL",C24)),ISNUMBER(SEARCH("PSICOSOCIAL",C24))),"eSocial / Psicossocial",IF(O24="Receita recorrente","Carteira recorrente","Projetos / Laudos / Avulsos"))))</f>
        <v/>
      </c>
      <c r="Q24" s="64">
        <f>IF(P24="","",IF(P24="Carteira recorrente","Operação recorrente",IF(P24="PCMSO","Projetos PCMSO",IF(P24="eSocial / Psicossocial","Projetos eSocial/Psicossocial","Projetos / Laudos / Avulsos"))))</f>
        <v/>
      </c>
      <c r="R24" s="64">
        <f>IF(C24="","",IF(ISNUMBER(SEARCH("PCMSO",C24)),"Título com PCMSO no nome",IF(OR(ISNUMBER(SEARCH("E-SOCIAL",C24)),ISNUMBER(SEARCH("PSICOSOCIAL",C24))),"Título com eSocial/Psicossocial no nome",IF(O24="Receita recorrente","Tipo DRE recorrente","Extra sem palavra-chave específica"))))</f>
        <v/>
      </c>
      <c r="S24" s="92">
        <f>IFERROR(VLOOKUP($A24,'13. Mapa Títulos-Receita'!$A$8:$P$1000,4,FALSE),"")</f>
        <v/>
      </c>
      <c r="T24" s="92">
        <f>IFERROR(VLOOKUP($A24,'13. Mapa Títulos-Receita'!$A$8:$P$1000,5,FALSE),"")</f>
        <v/>
      </c>
      <c r="U24" s="92">
        <f>IFERROR(VLOOKUP($A24,'13. Mapa Títulos-Receita'!$A$8:$P$1000,6,FALSE),"")</f>
        <v/>
      </c>
      <c r="V24" s="92">
        <f>IFERROR(VLOOKUP($A24,'13. Mapa Títulos-Receita'!$A$8:$P$1000,7,FALSE),"")</f>
        <v/>
      </c>
      <c r="W24" s="92">
        <f>IFERROR(VLOOKUP($A24,'13. Mapa Títulos-Receita'!$A$8:$P$1000,8,FALSE),"")</f>
        <v/>
      </c>
      <c r="X24" s="92">
        <f>IFERROR(VLOOKUP($A24,'13. Mapa Títulos-Receita'!$A$8:$P$1000,9,FALSE),"")</f>
        <v/>
      </c>
      <c r="Y24" s="92">
        <f>IFERROR(VLOOKUP($A24,'13. Mapa Títulos-Receita'!$A$8:$P$1000,10,FALSE),"")</f>
        <v/>
      </c>
      <c r="Z24" s="92">
        <f>IFERROR(VLOOKUP($A24,'13. Mapa Títulos-Receita'!$A$8:$P$1000,11,FALSE),"")</f>
        <v/>
      </c>
      <c r="AA24" s="92">
        <f>IFERROR(VLOOKUP($A24,'13. Mapa Títulos-Receita'!$A$8:$P$1000,12,FALSE),"")</f>
        <v/>
      </c>
      <c r="AB24" s="92">
        <f>IFERROR(VLOOKUP($A24,'13. Mapa Títulos-Receita'!$A$8:$P$1000,13,FALSE),"")</f>
        <v/>
      </c>
      <c r="AC24" s="92">
        <f>IFERROR(VLOOKUP($A24,'13. Mapa Títulos-Receita'!$A$8:$P$1000,14,FALSE),"")</f>
        <v/>
      </c>
      <c r="AD24" s="92">
        <f>IFERROR(VLOOKUP($A24,'13. Mapa Títulos-Receita'!$A$8:$P$1000,15,FALSE),"")</f>
        <v/>
      </c>
      <c r="AE24" s="92">
        <f>IFERROR(VLOOKUP($A24,'13. Mapa Títulos-Receita'!$A$8:$P$1000,16,FALSE),"")</f>
        <v/>
      </c>
    </row>
    <row r="25">
      <c r="A25" s="28" t="inlineStr">
        <is>
          <t>CR-018</t>
        </is>
      </c>
      <c r="B25" s="28" t="inlineStr">
        <is>
          <t>TRANSPORTADORA RODOMEU</t>
        </is>
      </c>
      <c r="C25" s="28" t="inlineStr">
        <is>
          <t>TRANSPORTADORA RODOMEU</t>
        </is>
      </c>
      <c r="D25" s="44" t="n">
        <v>46096</v>
      </c>
      <c r="E25" s="44" t="n">
        <v>46096</v>
      </c>
      <c r="F25" s="44" t="n">
        <v>46097</v>
      </c>
      <c r="G25" s="28" t="inlineStr"/>
      <c r="H25" s="45" t="n">
        <v>100</v>
      </c>
      <c r="I25" s="45" t="n">
        <v>100</v>
      </c>
      <c r="J25" s="28" t="inlineStr">
        <is>
          <t>Recebido</t>
        </is>
      </c>
      <c r="K25" s="4">
        <f>IF(J25="","",IF(OR(J25="Recebido",F25=""),MAX(0,F25-E25),MAX(0,$B$4-E25)))</f>
        <v/>
      </c>
      <c r="L25" s="4">
        <f>IF(K25="","",IF(K25=0,"Em dia",IF(K25&lt;=30,"1-30 dias",IF(K25&lt;=60,"31-60 dias",IF(K25&lt;=90,"61-90 dias","&gt;90 dias")))))</f>
        <v/>
      </c>
      <c r="M25" s="28" t="inlineStr">
        <is>
          <t>Origem: CR mar/2026. Tipo original: Fixo. Doc/NF: 111.</t>
        </is>
      </c>
      <c r="N25" s="64" t="n">
        <v>46082</v>
      </c>
      <c r="O25" s="64" t="inlineStr">
        <is>
          <t>Receita recorrente</t>
        </is>
      </c>
      <c r="P25" s="64">
        <f>IF(C25="","",IF(ISNUMBER(SEARCH("PCMSO",C25)),"PCMSO",IF(OR(ISNUMBER(SEARCH("E-SOCIAL",C25)),ISNUMBER(SEARCH("PSICOSOCIAL",C25))),"eSocial / Psicossocial",IF(O25="Receita recorrente","Carteira recorrente","Projetos / Laudos / Avulsos"))))</f>
        <v/>
      </c>
      <c r="Q25" s="64">
        <f>IF(P25="","",IF(P25="Carteira recorrente","Operação recorrente",IF(P25="PCMSO","Projetos PCMSO",IF(P25="eSocial / Psicossocial","Projetos eSocial/Psicossocial","Projetos / Laudos / Avulsos"))))</f>
        <v/>
      </c>
      <c r="R25" s="64">
        <f>IF(C25="","",IF(ISNUMBER(SEARCH("PCMSO",C25)),"Título com PCMSO no nome",IF(OR(ISNUMBER(SEARCH("E-SOCIAL",C25)),ISNUMBER(SEARCH("PSICOSOCIAL",C25))),"Título com eSocial/Psicossocial no nome",IF(O25="Receita recorrente","Tipo DRE recorrente","Extra sem palavra-chave específica"))))</f>
        <v/>
      </c>
      <c r="S25" s="92">
        <f>IFERROR(VLOOKUP($A25,'13. Mapa Títulos-Receita'!$A$8:$P$1000,4,FALSE),"")</f>
        <v/>
      </c>
      <c r="T25" s="92">
        <f>IFERROR(VLOOKUP($A25,'13. Mapa Títulos-Receita'!$A$8:$P$1000,5,FALSE),"")</f>
        <v/>
      </c>
      <c r="U25" s="92">
        <f>IFERROR(VLOOKUP($A25,'13. Mapa Títulos-Receita'!$A$8:$P$1000,6,FALSE),"")</f>
        <v/>
      </c>
      <c r="V25" s="92">
        <f>IFERROR(VLOOKUP($A25,'13. Mapa Títulos-Receita'!$A$8:$P$1000,7,FALSE),"")</f>
        <v/>
      </c>
      <c r="W25" s="92">
        <f>IFERROR(VLOOKUP($A25,'13. Mapa Títulos-Receita'!$A$8:$P$1000,8,FALSE),"")</f>
        <v/>
      </c>
      <c r="X25" s="92">
        <f>IFERROR(VLOOKUP($A25,'13. Mapa Títulos-Receita'!$A$8:$P$1000,9,FALSE),"")</f>
        <v/>
      </c>
      <c r="Y25" s="92">
        <f>IFERROR(VLOOKUP($A25,'13. Mapa Títulos-Receita'!$A$8:$P$1000,10,FALSE),"")</f>
        <v/>
      </c>
      <c r="Z25" s="92">
        <f>IFERROR(VLOOKUP($A25,'13. Mapa Títulos-Receita'!$A$8:$P$1000,11,FALSE),"")</f>
        <v/>
      </c>
      <c r="AA25" s="92">
        <f>IFERROR(VLOOKUP($A25,'13. Mapa Títulos-Receita'!$A$8:$P$1000,12,FALSE),"")</f>
        <v/>
      </c>
      <c r="AB25" s="92">
        <f>IFERROR(VLOOKUP($A25,'13. Mapa Títulos-Receita'!$A$8:$P$1000,13,FALSE),"")</f>
        <v/>
      </c>
      <c r="AC25" s="92">
        <f>IFERROR(VLOOKUP($A25,'13. Mapa Títulos-Receita'!$A$8:$P$1000,14,FALSE),"")</f>
        <v/>
      </c>
      <c r="AD25" s="92">
        <f>IFERROR(VLOOKUP($A25,'13. Mapa Títulos-Receita'!$A$8:$P$1000,15,FALSE),"")</f>
        <v/>
      </c>
      <c r="AE25" s="92">
        <f>IFERROR(VLOOKUP($A25,'13. Mapa Títulos-Receita'!$A$8:$P$1000,16,FALSE),"")</f>
        <v/>
      </c>
    </row>
    <row r="26">
      <c r="A26" s="28" t="inlineStr">
        <is>
          <t>CR-019</t>
        </is>
      </c>
      <c r="B26" s="28" t="inlineStr">
        <is>
          <t>AGROFORTE</t>
        </is>
      </c>
      <c r="C26" s="28" t="inlineStr">
        <is>
          <t>AGROFORTE (10/12)</t>
        </is>
      </c>
      <c r="D26" s="44" t="n">
        <v>46086</v>
      </c>
      <c r="E26" s="44" t="n">
        <v>46086</v>
      </c>
      <c r="F26" s="44" t="n">
        <v>46087</v>
      </c>
      <c r="G26" s="28" t="inlineStr">
        <is>
          <t>10/12</t>
        </is>
      </c>
      <c r="H26" s="45" t="n">
        <v>973</v>
      </c>
      <c r="I26" s="45" t="n">
        <v>973</v>
      </c>
      <c r="J26" s="28" t="inlineStr">
        <is>
          <t>Recebido</t>
        </is>
      </c>
      <c r="K26" s="4">
        <f>IF(J26="","",IF(OR(J26="Recebido",F26=""),MAX(0,F26-E26),MAX(0,$B$4-E26)))</f>
        <v/>
      </c>
      <c r="L26" s="4">
        <f>IF(K26="","",IF(K26=0,"Em dia",IF(K26&lt;=30,"1-30 dias",IF(K26&lt;=60,"31-60 dias",IF(K26&lt;=90,"61-90 dias","&gt;90 dias")))))</f>
        <v/>
      </c>
      <c r="M26" s="28" t="inlineStr">
        <is>
          <t>Origem: CR mar/2026. Tipo original: Fixo. Doc/NF: 87. parcela 10/12</t>
        </is>
      </c>
      <c r="N26" s="64" t="n">
        <v>46082</v>
      </c>
      <c r="O26" s="64" t="inlineStr">
        <is>
          <t>Receita recorrente</t>
        </is>
      </c>
      <c r="P26" s="64">
        <f>IF(C26="","",IF(ISNUMBER(SEARCH("PCMSO",C26)),"PCMSO",IF(OR(ISNUMBER(SEARCH("E-SOCIAL",C26)),ISNUMBER(SEARCH("PSICOSOCIAL",C26))),"eSocial / Psicossocial",IF(O26="Receita recorrente","Carteira recorrente","Projetos / Laudos / Avulsos"))))</f>
        <v/>
      </c>
      <c r="Q26" s="64">
        <f>IF(P26="","",IF(P26="Carteira recorrente","Operação recorrente",IF(P26="PCMSO","Projetos PCMSO",IF(P26="eSocial / Psicossocial","Projetos eSocial/Psicossocial","Projetos / Laudos / Avulsos"))))</f>
        <v/>
      </c>
      <c r="R26" s="64">
        <f>IF(C26="","",IF(ISNUMBER(SEARCH("PCMSO",C26)),"Título com PCMSO no nome",IF(OR(ISNUMBER(SEARCH("E-SOCIAL",C26)),ISNUMBER(SEARCH("PSICOSOCIAL",C26))),"Título com eSocial/Psicossocial no nome",IF(O26="Receita recorrente","Tipo DRE recorrente","Extra sem palavra-chave específica"))))</f>
        <v/>
      </c>
      <c r="S26" s="92">
        <f>IFERROR(VLOOKUP($A26,'13. Mapa Títulos-Receita'!$A$8:$P$1000,4,FALSE),"")</f>
        <v/>
      </c>
      <c r="T26" s="92">
        <f>IFERROR(VLOOKUP($A26,'13. Mapa Títulos-Receita'!$A$8:$P$1000,5,FALSE),"")</f>
        <v/>
      </c>
      <c r="U26" s="92">
        <f>IFERROR(VLOOKUP($A26,'13. Mapa Títulos-Receita'!$A$8:$P$1000,6,FALSE),"")</f>
        <v/>
      </c>
      <c r="V26" s="92">
        <f>IFERROR(VLOOKUP($A26,'13. Mapa Títulos-Receita'!$A$8:$P$1000,7,FALSE),"")</f>
        <v/>
      </c>
      <c r="W26" s="92">
        <f>IFERROR(VLOOKUP($A26,'13. Mapa Títulos-Receita'!$A$8:$P$1000,8,FALSE),"")</f>
        <v/>
      </c>
      <c r="X26" s="92">
        <f>IFERROR(VLOOKUP($A26,'13. Mapa Títulos-Receita'!$A$8:$P$1000,9,FALSE),"")</f>
        <v/>
      </c>
      <c r="Y26" s="92">
        <f>IFERROR(VLOOKUP($A26,'13. Mapa Títulos-Receita'!$A$8:$P$1000,10,FALSE),"")</f>
        <v/>
      </c>
      <c r="Z26" s="92">
        <f>IFERROR(VLOOKUP($A26,'13. Mapa Títulos-Receita'!$A$8:$P$1000,11,FALSE),"")</f>
        <v/>
      </c>
      <c r="AA26" s="92">
        <f>IFERROR(VLOOKUP($A26,'13. Mapa Títulos-Receita'!$A$8:$P$1000,12,FALSE),"")</f>
        <v/>
      </c>
      <c r="AB26" s="92">
        <f>IFERROR(VLOOKUP($A26,'13. Mapa Títulos-Receita'!$A$8:$P$1000,13,FALSE),"")</f>
        <v/>
      </c>
      <c r="AC26" s="92">
        <f>IFERROR(VLOOKUP($A26,'13. Mapa Títulos-Receita'!$A$8:$P$1000,14,FALSE),"")</f>
        <v/>
      </c>
      <c r="AD26" s="92">
        <f>IFERROR(VLOOKUP($A26,'13. Mapa Títulos-Receita'!$A$8:$P$1000,15,FALSE),"")</f>
        <v/>
      </c>
      <c r="AE26" s="92">
        <f>IFERROR(VLOOKUP($A26,'13. Mapa Títulos-Receita'!$A$8:$P$1000,16,FALSE),"")</f>
        <v/>
      </c>
    </row>
    <row r="27">
      <c r="A27" s="28" t="inlineStr">
        <is>
          <t>CR-020</t>
        </is>
      </c>
      <c r="B27" s="28" t="inlineStr">
        <is>
          <t>FAZENDAS GUARACI</t>
        </is>
      </c>
      <c r="C27" s="28" t="inlineStr">
        <is>
          <t>FAZENDAS GUARACI</t>
        </is>
      </c>
      <c r="D27" s="44" t="n">
        <v>46098</v>
      </c>
      <c r="E27" s="44" t="n">
        <v>46098</v>
      </c>
      <c r="F27" s="44" t="n">
        <v>46098</v>
      </c>
      <c r="G27" s="28" t="inlineStr"/>
      <c r="H27" s="45" t="n">
        <v>140</v>
      </c>
      <c r="I27" s="45" t="n">
        <v>140</v>
      </c>
      <c r="J27" s="28" t="inlineStr">
        <is>
          <t>Recebido</t>
        </is>
      </c>
      <c r="K27" s="4">
        <f>IF(J27="","",IF(OR(J27="Recebido",F27=""),MAX(0,F27-E27),MAX(0,$B$4-E27)))</f>
        <v/>
      </c>
      <c r="L27" s="4">
        <f>IF(K27="","",IF(K27=0,"Em dia",IF(K27&lt;=30,"1-30 dias",IF(K27&lt;=60,"31-60 dias",IF(K27&lt;=90,"61-90 dias","&gt;90 dias")))))</f>
        <v/>
      </c>
      <c r="M27" s="28" t="inlineStr">
        <is>
          <t>Origem: CR mar/2026. Tipo original: Fixo. Doc/NF: S/N.</t>
        </is>
      </c>
      <c r="N27" s="64" t="n">
        <v>46082</v>
      </c>
      <c r="O27" s="64" t="inlineStr">
        <is>
          <t>Receita recorrente</t>
        </is>
      </c>
      <c r="P27" s="64">
        <f>IF(C27="","",IF(ISNUMBER(SEARCH("PCMSO",C27)),"PCMSO",IF(OR(ISNUMBER(SEARCH("E-SOCIAL",C27)),ISNUMBER(SEARCH("PSICOSOCIAL",C27))),"eSocial / Psicossocial",IF(O27="Receita recorrente","Carteira recorrente","Projetos / Laudos / Avulsos"))))</f>
        <v/>
      </c>
      <c r="Q27" s="64">
        <f>IF(P27="","",IF(P27="Carteira recorrente","Operação recorrente",IF(P27="PCMSO","Projetos PCMSO",IF(P27="eSocial / Psicossocial","Projetos eSocial/Psicossocial","Projetos / Laudos / Avulsos"))))</f>
        <v/>
      </c>
      <c r="R27" s="64">
        <f>IF(C27="","",IF(ISNUMBER(SEARCH("PCMSO",C27)),"Título com PCMSO no nome",IF(OR(ISNUMBER(SEARCH("E-SOCIAL",C27)),ISNUMBER(SEARCH("PSICOSOCIAL",C27))),"Título com eSocial/Psicossocial no nome",IF(O27="Receita recorrente","Tipo DRE recorrente","Extra sem palavra-chave específica"))))</f>
        <v/>
      </c>
      <c r="S27" s="92">
        <f>IFERROR(VLOOKUP($A27,'13. Mapa Títulos-Receita'!$A$8:$P$1000,4,FALSE),"")</f>
        <v/>
      </c>
      <c r="T27" s="92">
        <f>IFERROR(VLOOKUP($A27,'13. Mapa Títulos-Receita'!$A$8:$P$1000,5,FALSE),"")</f>
        <v/>
      </c>
      <c r="U27" s="92">
        <f>IFERROR(VLOOKUP($A27,'13. Mapa Títulos-Receita'!$A$8:$P$1000,6,FALSE),"")</f>
        <v/>
      </c>
      <c r="V27" s="92">
        <f>IFERROR(VLOOKUP($A27,'13. Mapa Títulos-Receita'!$A$8:$P$1000,7,FALSE),"")</f>
        <v/>
      </c>
      <c r="W27" s="92">
        <f>IFERROR(VLOOKUP($A27,'13. Mapa Títulos-Receita'!$A$8:$P$1000,8,FALSE),"")</f>
        <v/>
      </c>
      <c r="X27" s="92">
        <f>IFERROR(VLOOKUP($A27,'13. Mapa Títulos-Receita'!$A$8:$P$1000,9,FALSE),"")</f>
        <v/>
      </c>
      <c r="Y27" s="92">
        <f>IFERROR(VLOOKUP($A27,'13. Mapa Títulos-Receita'!$A$8:$P$1000,10,FALSE),"")</f>
        <v/>
      </c>
      <c r="Z27" s="92">
        <f>IFERROR(VLOOKUP($A27,'13. Mapa Títulos-Receita'!$A$8:$P$1000,11,FALSE),"")</f>
        <v/>
      </c>
      <c r="AA27" s="92">
        <f>IFERROR(VLOOKUP($A27,'13. Mapa Títulos-Receita'!$A$8:$P$1000,12,FALSE),"")</f>
        <v/>
      </c>
      <c r="AB27" s="92">
        <f>IFERROR(VLOOKUP($A27,'13. Mapa Títulos-Receita'!$A$8:$P$1000,13,FALSE),"")</f>
        <v/>
      </c>
      <c r="AC27" s="92">
        <f>IFERROR(VLOOKUP($A27,'13. Mapa Títulos-Receita'!$A$8:$P$1000,14,FALSE),"")</f>
        <v/>
      </c>
      <c r="AD27" s="92">
        <f>IFERROR(VLOOKUP($A27,'13. Mapa Títulos-Receita'!$A$8:$P$1000,15,FALSE),"")</f>
        <v/>
      </c>
      <c r="AE27" s="92">
        <f>IFERROR(VLOOKUP($A27,'13. Mapa Títulos-Receita'!$A$8:$P$1000,16,FALSE),"")</f>
        <v/>
      </c>
    </row>
    <row r="28">
      <c r="A28" s="28" t="inlineStr">
        <is>
          <t>CR-021</t>
        </is>
      </c>
      <c r="B28" s="28" t="inlineStr">
        <is>
          <t>TR. LASER - INCL FUNÇÃO</t>
        </is>
      </c>
      <c r="C28" s="28" t="inlineStr">
        <is>
          <t>TR. LASER - INCL FUNÇÃO</t>
        </is>
      </c>
      <c r="D28" s="44" t="n">
        <v>46087</v>
      </c>
      <c r="E28" s="44" t="n">
        <v>46087</v>
      </c>
      <c r="F28" s="44" t="n">
        <v>46084</v>
      </c>
      <c r="G28" s="28" t="inlineStr"/>
      <c r="H28" s="45" t="n">
        <v>350</v>
      </c>
      <c r="I28" s="45" t="n">
        <v>350</v>
      </c>
      <c r="J28" s="28" t="inlineStr">
        <is>
          <t>Recebido</t>
        </is>
      </c>
      <c r="K28" s="4">
        <f>IF(J28="","",IF(OR(J28="Recebido",F28=""),MAX(0,F28-E28),MAX(0,$B$4-E28)))</f>
        <v/>
      </c>
      <c r="L28" s="4">
        <f>IF(K28="","",IF(K28=0,"Em dia",IF(K28&lt;=30,"1-30 dias",IF(K28&lt;=60,"31-60 dias",IF(K28&lt;=90,"61-90 dias","&gt;90 dias")))))</f>
        <v/>
      </c>
      <c r="M28" s="28" t="inlineStr">
        <is>
          <t>Origem: CR mar/2026. Tipo original: Extra. Doc/NF: 78.</t>
        </is>
      </c>
      <c r="N28" s="64" t="n">
        <v>46082</v>
      </c>
      <c r="O28" s="64" t="inlineStr">
        <is>
          <t>Receita extra</t>
        </is>
      </c>
      <c r="P28" s="64">
        <f>IF(C28="","",IF(ISNUMBER(SEARCH("PCMSO",C28)),"PCMSO",IF(OR(ISNUMBER(SEARCH("E-SOCIAL",C28)),ISNUMBER(SEARCH("PSICOSOCIAL",C28))),"eSocial / Psicossocial",IF(O28="Receita recorrente","Carteira recorrente","Projetos / Laudos / Avulsos"))))</f>
        <v/>
      </c>
      <c r="Q28" s="64">
        <f>IF(P28="","",IF(P28="Carteira recorrente","Operação recorrente",IF(P28="PCMSO","Projetos PCMSO",IF(P28="eSocial / Psicossocial","Projetos eSocial/Psicossocial","Projetos / Laudos / Avulsos"))))</f>
        <v/>
      </c>
      <c r="R28" s="64">
        <f>IF(C28="","",IF(ISNUMBER(SEARCH("PCMSO",C28)),"Título com PCMSO no nome",IF(OR(ISNUMBER(SEARCH("E-SOCIAL",C28)),ISNUMBER(SEARCH("PSICOSOCIAL",C28))),"Título com eSocial/Psicossocial no nome",IF(O28="Receita recorrente","Tipo DRE recorrente","Extra sem palavra-chave específica"))))</f>
        <v/>
      </c>
      <c r="S28" s="92">
        <f>IFERROR(VLOOKUP($A28,'13. Mapa Títulos-Receita'!$A$8:$P$1000,4,FALSE),"")</f>
        <v/>
      </c>
      <c r="T28" s="92">
        <f>IFERROR(VLOOKUP($A28,'13. Mapa Títulos-Receita'!$A$8:$P$1000,5,FALSE),"")</f>
        <v/>
      </c>
      <c r="U28" s="92">
        <f>IFERROR(VLOOKUP($A28,'13. Mapa Títulos-Receita'!$A$8:$P$1000,6,FALSE),"")</f>
        <v/>
      </c>
      <c r="V28" s="92">
        <f>IFERROR(VLOOKUP($A28,'13. Mapa Títulos-Receita'!$A$8:$P$1000,7,FALSE),"")</f>
        <v/>
      </c>
      <c r="W28" s="92">
        <f>IFERROR(VLOOKUP($A28,'13. Mapa Títulos-Receita'!$A$8:$P$1000,8,FALSE),"")</f>
        <v/>
      </c>
      <c r="X28" s="92">
        <f>IFERROR(VLOOKUP($A28,'13. Mapa Títulos-Receita'!$A$8:$P$1000,9,FALSE),"")</f>
        <v/>
      </c>
      <c r="Y28" s="92">
        <f>IFERROR(VLOOKUP($A28,'13. Mapa Títulos-Receita'!$A$8:$P$1000,10,FALSE),"")</f>
        <v/>
      </c>
      <c r="Z28" s="92">
        <f>IFERROR(VLOOKUP($A28,'13. Mapa Títulos-Receita'!$A$8:$P$1000,11,FALSE),"")</f>
        <v/>
      </c>
      <c r="AA28" s="92">
        <f>IFERROR(VLOOKUP($A28,'13. Mapa Títulos-Receita'!$A$8:$P$1000,12,FALSE),"")</f>
        <v/>
      </c>
      <c r="AB28" s="92">
        <f>IFERROR(VLOOKUP($A28,'13. Mapa Títulos-Receita'!$A$8:$P$1000,13,FALSE),"")</f>
        <v/>
      </c>
      <c r="AC28" s="92">
        <f>IFERROR(VLOOKUP($A28,'13. Mapa Títulos-Receita'!$A$8:$P$1000,14,FALSE),"")</f>
        <v/>
      </c>
      <c r="AD28" s="92">
        <f>IFERROR(VLOOKUP($A28,'13. Mapa Títulos-Receita'!$A$8:$P$1000,15,FALSE),"")</f>
        <v/>
      </c>
      <c r="AE28" s="92">
        <f>IFERROR(VLOOKUP($A28,'13. Mapa Títulos-Receita'!$A$8:$P$1000,16,FALSE),"")</f>
        <v/>
      </c>
    </row>
    <row r="29">
      <c r="A29" s="28" t="inlineStr">
        <is>
          <t>CR-022</t>
        </is>
      </c>
      <c r="B29" s="28" t="inlineStr">
        <is>
          <t>DPA- HUB UM 593</t>
        </is>
      </c>
      <c r="C29" s="28" t="inlineStr">
        <is>
          <t>DPA- HUB UM 593</t>
        </is>
      </c>
      <c r="D29" s="44" t="n">
        <v>46094</v>
      </c>
      <c r="E29" s="44" t="n">
        <v>46094</v>
      </c>
      <c r="F29" s="44" t="n">
        <v>46097</v>
      </c>
      <c r="G29" s="28" t="inlineStr"/>
      <c r="H29" s="45" t="n">
        <v>800</v>
      </c>
      <c r="I29" s="45" t="n">
        <v>800</v>
      </c>
      <c r="J29" s="28" t="inlineStr">
        <is>
          <t>Recebido</t>
        </is>
      </c>
      <c r="K29" s="4">
        <f>IF(J29="","",IF(OR(J29="Recebido",F29=""),MAX(0,F29-E29),MAX(0,$B$4-E29)))</f>
        <v/>
      </c>
      <c r="L29" s="4">
        <f>IF(K29="","",IF(K29=0,"Em dia",IF(K29&lt;=30,"1-30 dias",IF(K29&lt;=60,"31-60 dias",IF(K29&lt;=90,"61-90 dias","&gt;90 dias")))))</f>
        <v/>
      </c>
      <c r="M29" s="28" t="inlineStr">
        <is>
          <t>Origem: CR mar/2026. Tipo original: Extra. Doc/NF: 77.</t>
        </is>
      </c>
      <c r="N29" s="64" t="n">
        <v>46082</v>
      </c>
      <c r="O29" s="64" t="inlineStr">
        <is>
          <t>Receita extra</t>
        </is>
      </c>
      <c r="P29" s="64">
        <f>IF(C29="","",IF(ISNUMBER(SEARCH("PCMSO",C29)),"PCMSO",IF(OR(ISNUMBER(SEARCH("E-SOCIAL",C29)),ISNUMBER(SEARCH("PSICOSOCIAL",C29))),"eSocial / Psicossocial",IF(O29="Receita recorrente","Carteira recorrente","Projetos / Laudos / Avulsos"))))</f>
        <v/>
      </c>
      <c r="Q29" s="64">
        <f>IF(P29="","",IF(P29="Carteira recorrente","Operação recorrente",IF(P29="PCMSO","Projetos PCMSO",IF(P29="eSocial / Psicossocial","Projetos eSocial/Psicossocial","Projetos / Laudos / Avulsos"))))</f>
        <v/>
      </c>
      <c r="R29" s="64">
        <f>IF(C29="","",IF(ISNUMBER(SEARCH("PCMSO",C29)),"Título com PCMSO no nome",IF(OR(ISNUMBER(SEARCH("E-SOCIAL",C29)),ISNUMBER(SEARCH("PSICOSOCIAL",C29))),"Título com eSocial/Psicossocial no nome",IF(O29="Receita recorrente","Tipo DRE recorrente","Extra sem palavra-chave específica"))))</f>
        <v/>
      </c>
      <c r="S29" s="92">
        <f>IFERROR(VLOOKUP($A29,'13. Mapa Títulos-Receita'!$A$8:$P$1000,4,FALSE),"")</f>
        <v/>
      </c>
      <c r="T29" s="92">
        <f>IFERROR(VLOOKUP($A29,'13. Mapa Títulos-Receita'!$A$8:$P$1000,5,FALSE),"")</f>
        <v/>
      </c>
      <c r="U29" s="92">
        <f>IFERROR(VLOOKUP($A29,'13. Mapa Títulos-Receita'!$A$8:$P$1000,6,FALSE),"")</f>
        <v/>
      </c>
      <c r="V29" s="92">
        <f>IFERROR(VLOOKUP($A29,'13. Mapa Títulos-Receita'!$A$8:$P$1000,7,FALSE),"")</f>
        <v/>
      </c>
      <c r="W29" s="92">
        <f>IFERROR(VLOOKUP($A29,'13. Mapa Títulos-Receita'!$A$8:$P$1000,8,FALSE),"")</f>
        <v/>
      </c>
      <c r="X29" s="92">
        <f>IFERROR(VLOOKUP($A29,'13. Mapa Títulos-Receita'!$A$8:$P$1000,9,FALSE),"")</f>
        <v/>
      </c>
      <c r="Y29" s="92">
        <f>IFERROR(VLOOKUP($A29,'13. Mapa Títulos-Receita'!$A$8:$P$1000,10,FALSE),"")</f>
        <v/>
      </c>
      <c r="Z29" s="92">
        <f>IFERROR(VLOOKUP($A29,'13. Mapa Títulos-Receita'!$A$8:$P$1000,11,FALSE),"")</f>
        <v/>
      </c>
      <c r="AA29" s="92">
        <f>IFERROR(VLOOKUP($A29,'13. Mapa Títulos-Receita'!$A$8:$P$1000,12,FALSE),"")</f>
        <v/>
      </c>
      <c r="AB29" s="92">
        <f>IFERROR(VLOOKUP($A29,'13. Mapa Títulos-Receita'!$A$8:$P$1000,13,FALSE),"")</f>
        <v/>
      </c>
      <c r="AC29" s="92">
        <f>IFERROR(VLOOKUP($A29,'13. Mapa Títulos-Receita'!$A$8:$P$1000,14,FALSE),"")</f>
        <v/>
      </c>
      <c r="AD29" s="92">
        <f>IFERROR(VLOOKUP($A29,'13. Mapa Títulos-Receita'!$A$8:$P$1000,15,FALSE),"")</f>
        <v/>
      </c>
      <c r="AE29" s="92">
        <f>IFERROR(VLOOKUP($A29,'13. Mapa Títulos-Receita'!$A$8:$P$1000,16,FALSE),"")</f>
        <v/>
      </c>
    </row>
    <row r="30">
      <c r="A30" s="28" t="inlineStr">
        <is>
          <t>CR-023</t>
        </is>
      </c>
      <c r="B30" s="28" t="inlineStr">
        <is>
          <t>LCA - FRIGOPAIVA /FERRO VELHO</t>
        </is>
      </c>
      <c r="C30" s="28" t="inlineStr">
        <is>
          <t>LCA - FRIGOPAIVA /FERRO VELHO (1/3)</t>
        </is>
      </c>
      <c r="D30" s="44" t="n">
        <v>46098</v>
      </c>
      <c r="E30" s="44" t="n">
        <v>46098</v>
      </c>
      <c r="F30" s="44" t="n">
        <v>46098</v>
      </c>
      <c r="G30" s="28" t="inlineStr">
        <is>
          <t>1/3</t>
        </is>
      </c>
      <c r="H30" s="45" t="n">
        <v>733.33</v>
      </c>
      <c r="I30" s="45" t="n">
        <v>733.33</v>
      </c>
      <c r="J30" s="28" t="inlineStr">
        <is>
          <t>Recebido</t>
        </is>
      </c>
      <c r="K30" s="4">
        <f>IF(J30="","",IF(OR(J30="Recebido",F30=""),MAX(0,F30-E30),MAX(0,$B$4-E30)))</f>
        <v/>
      </c>
      <c r="L30" s="4">
        <f>IF(K30="","",IF(K30=0,"Em dia",IF(K30&lt;=30,"1-30 dias",IF(K30&lt;=60,"31-60 dias",IF(K30&lt;=90,"61-90 dias","&gt;90 dias")))))</f>
        <v/>
      </c>
      <c r="M30" s="28" t="inlineStr">
        <is>
          <t>Origem: CR mar/2026. Tipo original: Extra. Doc/NF: S/N. parcela 1/3</t>
        </is>
      </c>
      <c r="N30" s="64" t="n">
        <v>46082</v>
      </c>
      <c r="O30" s="64" t="inlineStr">
        <is>
          <t>Receita extra</t>
        </is>
      </c>
      <c r="P30" s="64">
        <f>IF(C30="","",IF(ISNUMBER(SEARCH("PCMSO",C30)),"PCMSO",IF(OR(ISNUMBER(SEARCH("E-SOCIAL",C30)),ISNUMBER(SEARCH("PSICOSOCIAL",C30))),"eSocial / Psicossocial",IF(O30="Receita recorrente","Carteira recorrente","Projetos / Laudos / Avulsos"))))</f>
        <v/>
      </c>
      <c r="Q30" s="64">
        <f>IF(P30="","",IF(P30="Carteira recorrente","Operação recorrente",IF(P30="PCMSO","Projetos PCMSO",IF(P30="eSocial / Psicossocial","Projetos eSocial/Psicossocial","Projetos / Laudos / Avulsos"))))</f>
        <v/>
      </c>
      <c r="R30" s="64">
        <f>IF(C30="","",IF(ISNUMBER(SEARCH("PCMSO",C30)),"Título com PCMSO no nome",IF(OR(ISNUMBER(SEARCH("E-SOCIAL",C30)),ISNUMBER(SEARCH("PSICOSOCIAL",C30))),"Título com eSocial/Psicossocial no nome",IF(O30="Receita recorrente","Tipo DRE recorrente","Extra sem palavra-chave específica"))))</f>
        <v/>
      </c>
      <c r="S30" s="92">
        <f>IFERROR(VLOOKUP($A30,'13. Mapa Títulos-Receita'!$A$8:$P$1000,4,FALSE),"")</f>
        <v/>
      </c>
      <c r="T30" s="92">
        <f>IFERROR(VLOOKUP($A30,'13. Mapa Títulos-Receita'!$A$8:$P$1000,5,FALSE),"")</f>
        <v/>
      </c>
      <c r="U30" s="92">
        <f>IFERROR(VLOOKUP($A30,'13. Mapa Títulos-Receita'!$A$8:$P$1000,6,FALSE),"")</f>
        <v/>
      </c>
      <c r="V30" s="92">
        <f>IFERROR(VLOOKUP($A30,'13. Mapa Títulos-Receita'!$A$8:$P$1000,7,FALSE),"")</f>
        <v/>
      </c>
      <c r="W30" s="92">
        <f>IFERROR(VLOOKUP($A30,'13. Mapa Títulos-Receita'!$A$8:$P$1000,8,FALSE),"")</f>
        <v/>
      </c>
      <c r="X30" s="92">
        <f>IFERROR(VLOOKUP($A30,'13. Mapa Títulos-Receita'!$A$8:$P$1000,9,FALSE),"")</f>
        <v/>
      </c>
      <c r="Y30" s="92">
        <f>IFERROR(VLOOKUP($A30,'13. Mapa Títulos-Receita'!$A$8:$P$1000,10,FALSE),"")</f>
        <v/>
      </c>
      <c r="Z30" s="92">
        <f>IFERROR(VLOOKUP($A30,'13. Mapa Títulos-Receita'!$A$8:$P$1000,11,FALSE),"")</f>
        <v/>
      </c>
      <c r="AA30" s="92">
        <f>IFERROR(VLOOKUP($A30,'13. Mapa Títulos-Receita'!$A$8:$P$1000,12,FALSE),"")</f>
        <v/>
      </c>
      <c r="AB30" s="92">
        <f>IFERROR(VLOOKUP($A30,'13. Mapa Títulos-Receita'!$A$8:$P$1000,13,FALSE),"")</f>
        <v/>
      </c>
      <c r="AC30" s="92">
        <f>IFERROR(VLOOKUP($A30,'13. Mapa Títulos-Receita'!$A$8:$P$1000,14,FALSE),"")</f>
        <v/>
      </c>
      <c r="AD30" s="92">
        <f>IFERROR(VLOOKUP($A30,'13. Mapa Títulos-Receita'!$A$8:$P$1000,15,FALSE),"")</f>
        <v/>
      </c>
      <c r="AE30" s="92">
        <f>IFERROR(VLOOKUP($A30,'13. Mapa Títulos-Receita'!$A$8:$P$1000,16,FALSE),"")</f>
        <v/>
      </c>
    </row>
    <row r="31">
      <c r="A31" s="28" t="inlineStr">
        <is>
          <t>CR-024</t>
        </is>
      </c>
      <c r="B31" s="28" t="inlineStr">
        <is>
          <t>MDA SOLUÇÕES</t>
        </is>
      </c>
      <c r="C31" s="28" t="inlineStr">
        <is>
          <t>MDA SOLUÇÕES (2/3)</t>
        </is>
      </c>
      <c r="D31" s="44" t="n">
        <v>46099</v>
      </c>
      <c r="E31" s="44" t="n">
        <v>46099</v>
      </c>
      <c r="F31" s="44" t="n">
        <v>46101</v>
      </c>
      <c r="G31" s="28" t="inlineStr">
        <is>
          <t>2/3</t>
        </is>
      </c>
      <c r="H31" s="45" t="n">
        <v>1855</v>
      </c>
      <c r="I31" s="45" t="n">
        <v>1855</v>
      </c>
      <c r="J31" s="28" t="inlineStr">
        <is>
          <t>Recebido</t>
        </is>
      </c>
      <c r="K31" s="4">
        <f>IF(J31="","",IF(OR(J31="Recebido",F31=""),MAX(0,F31-E31),MAX(0,$B$4-E31)))</f>
        <v/>
      </c>
      <c r="L31" s="4">
        <f>IF(K31="","",IF(K31=0,"Em dia",IF(K31&lt;=30,"1-30 dias",IF(K31&lt;=60,"31-60 dias",IF(K31&lt;=90,"61-90 dias","&gt;90 dias")))))</f>
        <v/>
      </c>
      <c r="M31" s="28" t="inlineStr">
        <is>
          <t>Origem: CR mar/2026. Tipo original: Extra. Doc/NF: 114. parcela 2/3</t>
        </is>
      </c>
      <c r="N31" s="64" t="n">
        <v>46082</v>
      </c>
      <c r="O31" s="64" t="inlineStr">
        <is>
          <t>Receita extra</t>
        </is>
      </c>
      <c r="P31" s="64">
        <f>IF(C31="","",IF(ISNUMBER(SEARCH("PCMSO",C31)),"PCMSO",IF(OR(ISNUMBER(SEARCH("E-SOCIAL",C31)),ISNUMBER(SEARCH("PSICOSOCIAL",C31))),"eSocial / Psicossocial",IF(O31="Receita recorrente","Carteira recorrente","Projetos / Laudos / Avulsos"))))</f>
        <v/>
      </c>
      <c r="Q31" s="64">
        <f>IF(P31="","",IF(P31="Carteira recorrente","Operação recorrente",IF(P31="PCMSO","Projetos PCMSO",IF(P31="eSocial / Psicossocial","Projetos eSocial/Psicossocial","Projetos / Laudos / Avulsos"))))</f>
        <v/>
      </c>
      <c r="R31" s="64">
        <f>IF(C31="","",IF(ISNUMBER(SEARCH("PCMSO",C31)),"Título com PCMSO no nome",IF(OR(ISNUMBER(SEARCH("E-SOCIAL",C31)),ISNUMBER(SEARCH("PSICOSOCIAL",C31))),"Título com eSocial/Psicossocial no nome",IF(O31="Receita recorrente","Tipo DRE recorrente","Extra sem palavra-chave específica"))))</f>
        <v/>
      </c>
      <c r="S31" s="92">
        <f>IFERROR(VLOOKUP($A31,'13. Mapa Títulos-Receita'!$A$8:$P$1000,4,FALSE),"")</f>
        <v/>
      </c>
      <c r="T31" s="92">
        <f>IFERROR(VLOOKUP($A31,'13. Mapa Títulos-Receita'!$A$8:$P$1000,5,FALSE),"")</f>
        <v/>
      </c>
      <c r="U31" s="92">
        <f>IFERROR(VLOOKUP($A31,'13. Mapa Títulos-Receita'!$A$8:$P$1000,6,FALSE),"")</f>
        <v/>
      </c>
      <c r="V31" s="92">
        <f>IFERROR(VLOOKUP($A31,'13. Mapa Títulos-Receita'!$A$8:$P$1000,7,FALSE),"")</f>
        <v/>
      </c>
      <c r="W31" s="92">
        <f>IFERROR(VLOOKUP($A31,'13. Mapa Títulos-Receita'!$A$8:$P$1000,8,FALSE),"")</f>
        <v/>
      </c>
      <c r="X31" s="92">
        <f>IFERROR(VLOOKUP($A31,'13. Mapa Títulos-Receita'!$A$8:$P$1000,9,FALSE),"")</f>
        <v/>
      </c>
      <c r="Y31" s="92">
        <f>IFERROR(VLOOKUP($A31,'13. Mapa Títulos-Receita'!$A$8:$P$1000,10,FALSE),"")</f>
        <v/>
      </c>
      <c r="Z31" s="92">
        <f>IFERROR(VLOOKUP($A31,'13. Mapa Títulos-Receita'!$A$8:$P$1000,11,FALSE),"")</f>
        <v/>
      </c>
      <c r="AA31" s="92">
        <f>IFERROR(VLOOKUP($A31,'13. Mapa Títulos-Receita'!$A$8:$P$1000,12,FALSE),"")</f>
        <v/>
      </c>
      <c r="AB31" s="92">
        <f>IFERROR(VLOOKUP($A31,'13. Mapa Títulos-Receita'!$A$8:$P$1000,13,FALSE),"")</f>
        <v/>
      </c>
      <c r="AC31" s="92">
        <f>IFERROR(VLOOKUP($A31,'13. Mapa Títulos-Receita'!$A$8:$P$1000,14,FALSE),"")</f>
        <v/>
      </c>
      <c r="AD31" s="92">
        <f>IFERROR(VLOOKUP($A31,'13. Mapa Títulos-Receita'!$A$8:$P$1000,15,FALSE),"")</f>
        <v/>
      </c>
      <c r="AE31" s="92">
        <f>IFERROR(VLOOKUP($A31,'13. Mapa Títulos-Receita'!$A$8:$P$1000,16,FALSE),"")</f>
        <v/>
      </c>
    </row>
    <row r="32">
      <c r="A32" s="28" t="inlineStr">
        <is>
          <t>CR-025</t>
        </is>
      </c>
      <c r="B32" s="28" t="inlineStr">
        <is>
          <t>CBA - MERC BELA VISTA/ P Olavo</t>
        </is>
      </c>
      <c r="C32" s="28" t="inlineStr">
        <is>
          <t>CBA - MERC BELA VISTA/ P Olavo</t>
        </is>
      </c>
      <c r="D32" s="44" t="n">
        <v>46099</v>
      </c>
      <c r="E32" s="44" t="n">
        <v>46099</v>
      </c>
      <c r="F32" s="44" t="n">
        <v>46100</v>
      </c>
      <c r="G32" s="28" t="inlineStr"/>
      <c r="H32" s="45" t="n">
        <v>560</v>
      </c>
      <c r="I32" s="45" t="n">
        <v>560</v>
      </c>
      <c r="J32" s="28" t="inlineStr">
        <is>
          <t>Recebido</t>
        </is>
      </c>
      <c r="K32" s="4">
        <f>IF(J32="","",IF(OR(J32="Recebido",F32=""),MAX(0,F32-E32),MAX(0,$B$4-E32)))</f>
        <v/>
      </c>
      <c r="L32" s="4">
        <f>IF(K32="","",IF(K32=0,"Em dia",IF(K32&lt;=30,"1-30 dias",IF(K32&lt;=60,"31-60 dias",IF(K32&lt;=90,"61-90 dias","&gt;90 dias")))))</f>
        <v/>
      </c>
      <c r="M32" s="28" t="inlineStr">
        <is>
          <t>Origem: CR mar/2026. Tipo original: Extra. Doc/NF: 106.</t>
        </is>
      </c>
      <c r="N32" s="64" t="n">
        <v>46082</v>
      </c>
      <c r="O32" s="64" t="inlineStr">
        <is>
          <t>Receita extra</t>
        </is>
      </c>
      <c r="P32" s="64">
        <f>IF(C32="","",IF(ISNUMBER(SEARCH("PCMSO",C32)),"PCMSO",IF(OR(ISNUMBER(SEARCH("E-SOCIAL",C32)),ISNUMBER(SEARCH("PSICOSOCIAL",C32))),"eSocial / Psicossocial",IF(O32="Receita recorrente","Carteira recorrente","Projetos / Laudos / Avulsos"))))</f>
        <v/>
      </c>
      <c r="Q32" s="64">
        <f>IF(P32="","",IF(P32="Carteira recorrente","Operação recorrente",IF(P32="PCMSO","Projetos PCMSO",IF(P32="eSocial / Psicossocial","Projetos eSocial/Psicossocial","Projetos / Laudos / Avulsos"))))</f>
        <v/>
      </c>
      <c r="R32" s="64">
        <f>IF(C32="","",IF(ISNUMBER(SEARCH("PCMSO",C32)),"Título com PCMSO no nome",IF(OR(ISNUMBER(SEARCH("E-SOCIAL",C32)),ISNUMBER(SEARCH("PSICOSOCIAL",C32))),"Título com eSocial/Psicossocial no nome",IF(O32="Receita recorrente","Tipo DRE recorrente","Extra sem palavra-chave específica"))))</f>
        <v/>
      </c>
      <c r="S32" s="92">
        <f>IFERROR(VLOOKUP($A32,'13. Mapa Títulos-Receita'!$A$8:$P$1000,4,FALSE),"")</f>
        <v/>
      </c>
      <c r="T32" s="92">
        <f>IFERROR(VLOOKUP($A32,'13. Mapa Títulos-Receita'!$A$8:$P$1000,5,FALSE),"")</f>
        <v/>
      </c>
      <c r="U32" s="92">
        <f>IFERROR(VLOOKUP($A32,'13. Mapa Títulos-Receita'!$A$8:$P$1000,6,FALSE),"")</f>
        <v/>
      </c>
      <c r="V32" s="92">
        <f>IFERROR(VLOOKUP($A32,'13. Mapa Títulos-Receita'!$A$8:$P$1000,7,FALSE),"")</f>
        <v/>
      </c>
      <c r="W32" s="92">
        <f>IFERROR(VLOOKUP($A32,'13. Mapa Títulos-Receita'!$A$8:$P$1000,8,FALSE),"")</f>
        <v/>
      </c>
      <c r="X32" s="92">
        <f>IFERROR(VLOOKUP($A32,'13. Mapa Títulos-Receita'!$A$8:$P$1000,9,FALSE),"")</f>
        <v/>
      </c>
      <c r="Y32" s="92">
        <f>IFERROR(VLOOKUP($A32,'13. Mapa Títulos-Receita'!$A$8:$P$1000,10,FALSE),"")</f>
        <v/>
      </c>
      <c r="Z32" s="92">
        <f>IFERROR(VLOOKUP($A32,'13. Mapa Títulos-Receita'!$A$8:$P$1000,11,FALSE),"")</f>
        <v/>
      </c>
      <c r="AA32" s="92">
        <f>IFERROR(VLOOKUP($A32,'13. Mapa Títulos-Receita'!$A$8:$P$1000,12,FALSE),"")</f>
        <v/>
      </c>
      <c r="AB32" s="92">
        <f>IFERROR(VLOOKUP($A32,'13. Mapa Títulos-Receita'!$A$8:$P$1000,13,FALSE),"")</f>
        <v/>
      </c>
      <c r="AC32" s="92">
        <f>IFERROR(VLOOKUP($A32,'13. Mapa Títulos-Receita'!$A$8:$P$1000,14,FALSE),"")</f>
        <v/>
      </c>
      <c r="AD32" s="92">
        <f>IFERROR(VLOOKUP($A32,'13. Mapa Títulos-Receita'!$A$8:$P$1000,15,FALSE),"")</f>
        <v/>
      </c>
      <c r="AE32" s="92">
        <f>IFERROR(VLOOKUP($A32,'13. Mapa Títulos-Receita'!$A$8:$P$1000,16,FALSE),"")</f>
        <v/>
      </c>
    </row>
    <row r="33">
      <c r="A33" s="28" t="inlineStr">
        <is>
          <t>CR-026</t>
        </is>
      </c>
      <c r="B33" s="28" t="inlineStr">
        <is>
          <t>FAZ KUENO/ ADEQ PSICOSOCIAL</t>
        </is>
      </c>
      <c r="C33" s="28" t="inlineStr">
        <is>
          <t>FAZ KUENO/ ADEQ PSICOSOCIAL</t>
        </is>
      </c>
      <c r="D33" s="44" t="n">
        <v>46099</v>
      </c>
      <c r="E33" s="44" t="n">
        <v>46099</v>
      </c>
      <c r="F33" s="44" t="n">
        <v>46100</v>
      </c>
      <c r="G33" s="28" t="inlineStr"/>
      <c r="H33" s="45" t="n">
        <v>360</v>
      </c>
      <c r="I33" s="45" t="n">
        <v>360</v>
      </c>
      <c r="J33" s="28" t="inlineStr">
        <is>
          <t>Recebido</t>
        </is>
      </c>
      <c r="K33" s="4">
        <f>IF(J33="","",IF(OR(J33="Recebido",F33=""),MAX(0,F33-E33),MAX(0,$B$4-E33)))</f>
        <v/>
      </c>
      <c r="L33" s="4">
        <f>IF(K33="","",IF(K33=0,"Em dia",IF(K33&lt;=30,"1-30 dias",IF(K33&lt;=60,"31-60 dias",IF(K33&lt;=90,"61-90 dias","&gt;90 dias")))))</f>
        <v/>
      </c>
      <c r="M33" s="28" t="inlineStr">
        <is>
          <t>Origem: CR mar/2026. Tipo original: Extra. Doc/NF: 116.</t>
        </is>
      </c>
      <c r="N33" s="64" t="n">
        <v>46082</v>
      </c>
      <c r="O33" s="64" t="inlineStr">
        <is>
          <t>Receita extra</t>
        </is>
      </c>
      <c r="P33" s="64">
        <f>IF(C33="","",IF(ISNUMBER(SEARCH("PCMSO",C33)),"PCMSO",IF(OR(ISNUMBER(SEARCH("E-SOCIAL",C33)),ISNUMBER(SEARCH("PSICOSOCIAL",C33))),"eSocial / Psicossocial",IF(O33="Receita recorrente","Carteira recorrente","Projetos / Laudos / Avulsos"))))</f>
        <v/>
      </c>
      <c r="Q33" s="64">
        <f>IF(P33="","",IF(P33="Carteira recorrente","Operação recorrente",IF(P33="PCMSO","Projetos PCMSO",IF(P33="eSocial / Psicossocial","Projetos eSocial/Psicossocial","Projetos / Laudos / Avulsos"))))</f>
        <v/>
      </c>
      <c r="R33" s="64">
        <f>IF(C33="","",IF(ISNUMBER(SEARCH("PCMSO",C33)),"Título com PCMSO no nome",IF(OR(ISNUMBER(SEARCH("E-SOCIAL",C33)),ISNUMBER(SEARCH("PSICOSOCIAL",C33))),"Título com eSocial/Psicossocial no nome",IF(O33="Receita recorrente","Tipo DRE recorrente","Extra sem palavra-chave específica"))))</f>
        <v/>
      </c>
      <c r="S33" s="92">
        <f>IFERROR(VLOOKUP($A33,'13. Mapa Títulos-Receita'!$A$8:$P$1000,4,FALSE),"")</f>
        <v/>
      </c>
      <c r="T33" s="92">
        <f>IFERROR(VLOOKUP($A33,'13. Mapa Títulos-Receita'!$A$8:$P$1000,5,FALSE),"")</f>
        <v/>
      </c>
      <c r="U33" s="92">
        <f>IFERROR(VLOOKUP($A33,'13. Mapa Títulos-Receita'!$A$8:$P$1000,6,FALSE),"")</f>
        <v/>
      </c>
      <c r="V33" s="92">
        <f>IFERROR(VLOOKUP($A33,'13. Mapa Títulos-Receita'!$A$8:$P$1000,7,FALSE),"")</f>
        <v/>
      </c>
      <c r="W33" s="92">
        <f>IFERROR(VLOOKUP($A33,'13. Mapa Títulos-Receita'!$A$8:$P$1000,8,FALSE),"")</f>
        <v/>
      </c>
      <c r="X33" s="92">
        <f>IFERROR(VLOOKUP($A33,'13. Mapa Títulos-Receita'!$A$8:$P$1000,9,FALSE),"")</f>
        <v/>
      </c>
      <c r="Y33" s="92">
        <f>IFERROR(VLOOKUP($A33,'13. Mapa Títulos-Receita'!$A$8:$P$1000,10,FALSE),"")</f>
        <v/>
      </c>
      <c r="Z33" s="92">
        <f>IFERROR(VLOOKUP($A33,'13. Mapa Títulos-Receita'!$A$8:$P$1000,11,FALSE),"")</f>
        <v/>
      </c>
      <c r="AA33" s="92">
        <f>IFERROR(VLOOKUP($A33,'13. Mapa Títulos-Receita'!$A$8:$P$1000,12,FALSE),"")</f>
        <v/>
      </c>
      <c r="AB33" s="92">
        <f>IFERROR(VLOOKUP($A33,'13. Mapa Títulos-Receita'!$A$8:$P$1000,13,FALSE),"")</f>
        <v/>
      </c>
      <c r="AC33" s="92">
        <f>IFERROR(VLOOKUP($A33,'13. Mapa Títulos-Receita'!$A$8:$P$1000,14,FALSE),"")</f>
        <v/>
      </c>
      <c r="AD33" s="92">
        <f>IFERROR(VLOOKUP($A33,'13. Mapa Títulos-Receita'!$A$8:$P$1000,15,FALSE),"")</f>
        <v/>
      </c>
      <c r="AE33" s="92">
        <f>IFERROR(VLOOKUP($A33,'13. Mapa Títulos-Receita'!$A$8:$P$1000,16,FALSE),"")</f>
        <v/>
      </c>
    </row>
    <row r="34">
      <c r="A34" s="28" t="inlineStr">
        <is>
          <t>CR-027</t>
        </is>
      </c>
      <c r="B34" s="28" t="inlineStr">
        <is>
          <t>FAZ ROBSON/ ADEQ PSICOSOCIAL</t>
        </is>
      </c>
      <c r="C34" s="28" t="inlineStr">
        <is>
          <t>FAZ ROBSON/ ADEQ PSICOSOCIAL</t>
        </is>
      </c>
      <c r="D34" s="44" t="n">
        <v>46099</v>
      </c>
      <c r="E34" s="44" t="n">
        <v>46099</v>
      </c>
      <c r="F34" s="44" t="n">
        <v>46100</v>
      </c>
      <c r="G34" s="28" t="inlineStr"/>
      <c r="H34" s="45" t="n">
        <v>720</v>
      </c>
      <c r="I34" s="45" t="n">
        <v>720</v>
      </c>
      <c r="J34" s="28" t="inlineStr">
        <is>
          <t>Recebido</t>
        </is>
      </c>
      <c r="K34" s="4">
        <f>IF(J34="","",IF(OR(J34="Recebido",F34=""),MAX(0,F34-E34),MAX(0,$B$4-E34)))</f>
        <v/>
      </c>
      <c r="L34" s="4">
        <f>IF(K34="","",IF(K34=0,"Em dia",IF(K34&lt;=30,"1-30 dias",IF(K34&lt;=60,"31-60 dias",IF(K34&lt;=90,"61-90 dias","&gt;90 dias")))))</f>
        <v/>
      </c>
      <c r="M34" s="28" t="inlineStr">
        <is>
          <t>Origem: CR mar/2026. Tipo original: Extra. Doc/NF: 117.</t>
        </is>
      </c>
      <c r="N34" s="64" t="n">
        <v>46082</v>
      </c>
      <c r="O34" s="64" t="inlineStr">
        <is>
          <t>Receita extra</t>
        </is>
      </c>
      <c r="P34" s="64">
        <f>IF(C34="","",IF(ISNUMBER(SEARCH("PCMSO",C34)),"PCMSO",IF(OR(ISNUMBER(SEARCH("E-SOCIAL",C34)),ISNUMBER(SEARCH("PSICOSOCIAL",C34))),"eSocial / Psicossocial",IF(O34="Receita recorrente","Carteira recorrente","Projetos / Laudos / Avulsos"))))</f>
        <v/>
      </c>
      <c r="Q34" s="64">
        <f>IF(P34="","",IF(P34="Carteira recorrente","Operação recorrente",IF(P34="PCMSO","Projetos PCMSO",IF(P34="eSocial / Psicossocial","Projetos eSocial/Psicossocial","Projetos / Laudos / Avulsos"))))</f>
        <v/>
      </c>
      <c r="R34" s="64">
        <f>IF(C34="","",IF(ISNUMBER(SEARCH("PCMSO",C34)),"Título com PCMSO no nome",IF(OR(ISNUMBER(SEARCH("E-SOCIAL",C34)),ISNUMBER(SEARCH("PSICOSOCIAL",C34))),"Título com eSocial/Psicossocial no nome",IF(O34="Receita recorrente","Tipo DRE recorrente","Extra sem palavra-chave específica"))))</f>
        <v/>
      </c>
      <c r="S34" s="92">
        <f>IFERROR(VLOOKUP($A34,'13. Mapa Títulos-Receita'!$A$8:$P$1000,4,FALSE),"")</f>
        <v/>
      </c>
      <c r="T34" s="92">
        <f>IFERROR(VLOOKUP($A34,'13. Mapa Títulos-Receita'!$A$8:$P$1000,5,FALSE),"")</f>
        <v/>
      </c>
      <c r="U34" s="92">
        <f>IFERROR(VLOOKUP($A34,'13. Mapa Títulos-Receita'!$A$8:$P$1000,6,FALSE),"")</f>
        <v/>
      </c>
      <c r="V34" s="92">
        <f>IFERROR(VLOOKUP($A34,'13. Mapa Títulos-Receita'!$A$8:$P$1000,7,FALSE),"")</f>
        <v/>
      </c>
      <c r="W34" s="92">
        <f>IFERROR(VLOOKUP($A34,'13. Mapa Títulos-Receita'!$A$8:$P$1000,8,FALSE),"")</f>
        <v/>
      </c>
      <c r="X34" s="92">
        <f>IFERROR(VLOOKUP($A34,'13. Mapa Títulos-Receita'!$A$8:$P$1000,9,FALSE),"")</f>
        <v/>
      </c>
      <c r="Y34" s="92">
        <f>IFERROR(VLOOKUP($A34,'13. Mapa Títulos-Receita'!$A$8:$P$1000,10,FALSE),"")</f>
        <v/>
      </c>
      <c r="Z34" s="92">
        <f>IFERROR(VLOOKUP($A34,'13. Mapa Títulos-Receita'!$A$8:$P$1000,11,FALSE),"")</f>
        <v/>
      </c>
      <c r="AA34" s="92">
        <f>IFERROR(VLOOKUP($A34,'13. Mapa Títulos-Receita'!$A$8:$P$1000,12,FALSE),"")</f>
        <v/>
      </c>
      <c r="AB34" s="92">
        <f>IFERROR(VLOOKUP($A34,'13. Mapa Títulos-Receita'!$A$8:$P$1000,13,FALSE),"")</f>
        <v/>
      </c>
      <c r="AC34" s="92">
        <f>IFERROR(VLOOKUP($A34,'13. Mapa Títulos-Receita'!$A$8:$P$1000,14,FALSE),"")</f>
        <v/>
      </c>
      <c r="AD34" s="92">
        <f>IFERROR(VLOOKUP($A34,'13. Mapa Títulos-Receita'!$A$8:$P$1000,15,FALSE),"")</f>
        <v/>
      </c>
      <c r="AE34" s="92">
        <f>IFERROR(VLOOKUP($A34,'13. Mapa Títulos-Receita'!$A$8:$P$1000,16,FALSE),"")</f>
        <v/>
      </c>
    </row>
    <row r="35">
      <c r="A35" s="28" t="inlineStr">
        <is>
          <t>CR-028</t>
        </is>
      </c>
      <c r="B35" s="28" t="inlineStr">
        <is>
          <t>DRESTE E-SOCIAL</t>
        </is>
      </c>
      <c r="C35" s="28" t="inlineStr">
        <is>
          <t>DRESTE E-SOCIAL</t>
        </is>
      </c>
      <c r="D35" s="44" t="n">
        <v>46099</v>
      </c>
      <c r="E35" s="44" t="n">
        <v>46099</v>
      </c>
      <c r="F35" s="44" t="n">
        <v>46094</v>
      </c>
      <c r="G35" s="28" t="inlineStr"/>
      <c r="H35" s="45" t="n">
        <v>91</v>
      </c>
      <c r="I35" s="45" t="n">
        <v>91</v>
      </c>
      <c r="J35" s="28" t="inlineStr">
        <is>
          <t>Recebido</t>
        </is>
      </c>
      <c r="K35" s="4">
        <f>IF(J35="","",IF(OR(J35="Recebido",F35=""),MAX(0,F35-E35),MAX(0,$B$4-E35)))</f>
        <v/>
      </c>
      <c r="L35" s="4">
        <f>IF(K35="","",IF(K35=0,"Em dia",IF(K35&lt;=30,"1-30 dias",IF(K35&lt;=60,"31-60 dias",IF(K35&lt;=90,"61-90 dias","&gt;90 dias")))))</f>
        <v/>
      </c>
      <c r="M35" s="28" t="inlineStr">
        <is>
          <t>Origem: CR mar/2026. Tipo original: Extra. Doc/NF: 115.</t>
        </is>
      </c>
      <c r="N35" s="64" t="n">
        <v>46082</v>
      </c>
      <c r="O35" s="64" t="inlineStr">
        <is>
          <t>Receita extra</t>
        </is>
      </c>
      <c r="P35" s="64">
        <f>IF(C35="","",IF(ISNUMBER(SEARCH("PCMSO",C35)),"PCMSO",IF(OR(ISNUMBER(SEARCH("E-SOCIAL",C35)),ISNUMBER(SEARCH("PSICOSOCIAL",C35))),"eSocial / Psicossocial",IF(O35="Receita recorrente","Carteira recorrente","Projetos / Laudos / Avulsos"))))</f>
        <v/>
      </c>
      <c r="Q35" s="64">
        <f>IF(P35="","",IF(P35="Carteira recorrente","Operação recorrente",IF(P35="PCMSO","Projetos PCMSO",IF(P35="eSocial / Psicossocial","Projetos eSocial/Psicossocial","Projetos / Laudos / Avulsos"))))</f>
        <v/>
      </c>
      <c r="R35" s="64">
        <f>IF(C35="","",IF(ISNUMBER(SEARCH("PCMSO",C35)),"Título com PCMSO no nome",IF(OR(ISNUMBER(SEARCH("E-SOCIAL",C35)),ISNUMBER(SEARCH("PSICOSOCIAL",C35))),"Título com eSocial/Psicossocial no nome",IF(O35="Receita recorrente","Tipo DRE recorrente","Extra sem palavra-chave específica"))))</f>
        <v/>
      </c>
      <c r="S35" s="92">
        <f>IFERROR(VLOOKUP($A35,'13. Mapa Títulos-Receita'!$A$8:$P$1000,4,FALSE),"")</f>
        <v/>
      </c>
      <c r="T35" s="92">
        <f>IFERROR(VLOOKUP($A35,'13. Mapa Títulos-Receita'!$A$8:$P$1000,5,FALSE),"")</f>
        <v/>
      </c>
      <c r="U35" s="92">
        <f>IFERROR(VLOOKUP($A35,'13. Mapa Títulos-Receita'!$A$8:$P$1000,6,FALSE),"")</f>
        <v/>
      </c>
      <c r="V35" s="92">
        <f>IFERROR(VLOOKUP($A35,'13. Mapa Títulos-Receita'!$A$8:$P$1000,7,FALSE),"")</f>
        <v/>
      </c>
      <c r="W35" s="92">
        <f>IFERROR(VLOOKUP($A35,'13. Mapa Títulos-Receita'!$A$8:$P$1000,8,FALSE),"")</f>
        <v/>
      </c>
      <c r="X35" s="92">
        <f>IFERROR(VLOOKUP($A35,'13. Mapa Títulos-Receita'!$A$8:$P$1000,9,FALSE),"")</f>
        <v/>
      </c>
      <c r="Y35" s="92">
        <f>IFERROR(VLOOKUP($A35,'13. Mapa Títulos-Receita'!$A$8:$P$1000,10,FALSE),"")</f>
        <v/>
      </c>
      <c r="Z35" s="92">
        <f>IFERROR(VLOOKUP($A35,'13. Mapa Títulos-Receita'!$A$8:$P$1000,11,FALSE),"")</f>
        <v/>
      </c>
      <c r="AA35" s="92">
        <f>IFERROR(VLOOKUP($A35,'13. Mapa Títulos-Receita'!$A$8:$P$1000,12,FALSE),"")</f>
        <v/>
      </c>
      <c r="AB35" s="92">
        <f>IFERROR(VLOOKUP($A35,'13. Mapa Títulos-Receita'!$A$8:$P$1000,13,FALSE),"")</f>
        <v/>
      </c>
      <c r="AC35" s="92">
        <f>IFERROR(VLOOKUP($A35,'13. Mapa Títulos-Receita'!$A$8:$P$1000,14,FALSE),"")</f>
        <v/>
      </c>
      <c r="AD35" s="92">
        <f>IFERROR(VLOOKUP($A35,'13. Mapa Títulos-Receita'!$A$8:$P$1000,15,FALSE),"")</f>
        <v/>
      </c>
      <c r="AE35" s="92">
        <f>IFERROR(VLOOKUP($A35,'13. Mapa Títulos-Receita'!$A$8:$P$1000,16,FALSE),"")</f>
        <v/>
      </c>
    </row>
    <row r="36">
      <c r="A36" s="28" t="inlineStr">
        <is>
          <t>CR-029</t>
        </is>
      </c>
      <c r="B36" s="28" t="inlineStr">
        <is>
          <t>AÇOFERGO</t>
        </is>
      </c>
      <c r="C36" s="28" t="inlineStr">
        <is>
          <t>AÇOFERGO (2/2)</t>
        </is>
      </c>
      <c r="D36" s="44" t="n">
        <v>46101</v>
      </c>
      <c r="E36" s="44" t="n">
        <v>46101</v>
      </c>
      <c r="F36" s="44" t="n">
        <v>46104</v>
      </c>
      <c r="G36" s="28" t="inlineStr">
        <is>
          <t>2/2</t>
        </is>
      </c>
      <c r="H36" s="45" t="n">
        <v>2170</v>
      </c>
      <c r="I36" s="45" t="n">
        <v>2170</v>
      </c>
      <c r="J36" s="28" t="inlineStr">
        <is>
          <t>Recebido</t>
        </is>
      </c>
      <c r="K36" s="4">
        <f>IF(J36="","",IF(OR(J36="Recebido",F36=""),MAX(0,F36-E36),MAX(0,$B$4-E36)))</f>
        <v/>
      </c>
      <c r="L36" s="4">
        <f>IF(K36="","",IF(K36=0,"Em dia",IF(K36&lt;=30,"1-30 dias",IF(K36&lt;=60,"31-60 dias",IF(K36&lt;=90,"61-90 dias","&gt;90 dias")))))</f>
        <v/>
      </c>
      <c r="M36" s="28" t="inlineStr">
        <is>
          <t>Origem: CR mar/2026. Tipo original: Extra. Doc/NF: 71. parcela 2/2</t>
        </is>
      </c>
      <c r="N36" s="64" t="n">
        <v>46082</v>
      </c>
      <c r="O36" s="64" t="inlineStr">
        <is>
          <t>Receita extra</t>
        </is>
      </c>
      <c r="P36" s="64">
        <f>IF(C36="","",IF(ISNUMBER(SEARCH("PCMSO",C36)),"PCMSO",IF(OR(ISNUMBER(SEARCH("E-SOCIAL",C36)),ISNUMBER(SEARCH("PSICOSOCIAL",C36))),"eSocial / Psicossocial",IF(O36="Receita recorrente","Carteira recorrente","Projetos / Laudos / Avulsos"))))</f>
        <v/>
      </c>
      <c r="Q36" s="64">
        <f>IF(P36="","",IF(P36="Carteira recorrente","Operação recorrente",IF(P36="PCMSO","Projetos PCMSO",IF(P36="eSocial / Psicossocial","Projetos eSocial/Psicossocial","Projetos / Laudos / Avulsos"))))</f>
        <v/>
      </c>
      <c r="R36" s="64">
        <f>IF(C36="","",IF(ISNUMBER(SEARCH("PCMSO",C36)),"Título com PCMSO no nome",IF(OR(ISNUMBER(SEARCH("E-SOCIAL",C36)),ISNUMBER(SEARCH("PSICOSOCIAL",C36))),"Título com eSocial/Psicossocial no nome",IF(O36="Receita recorrente","Tipo DRE recorrente","Extra sem palavra-chave específica"))))</f>
        <v/>
      </c>
      <c r="S36" s="92">
        <f>IFERROR(VLOOKUP($A36,'13. Mapa Títulos-Receita'!$A$8:$P$1000,4,FALSE),"")</f>
        <v/>
      </c>
      <c r="T36" s="92">
        <f>IFERROR(VLOOKUP($A36,'13. Mapa Títulos-Receita'!$A$8:$P$1000,5,FALSE),"")</f>
        <v/>
      </c>
      <c r="U36" s="92">
        <f>IFERROR(VLOOKUP($A36,'13. Mapa Títulos-Receita'!$A$8:$P$1000,6,FALSE),"")</f>
        <v/>
      </c>
      <c r="V36" s="92">
        <f>IFERROR(VLOOKUP($A36,'13. Mapa Títulos-Receita'!$A$8:$P$1000,7,FALSE),"")</f>
        <v/>
      </c>
      <c r="W36" s="92">
        <f>IFERROR(VLOOKUP($A36,'13. Mapa Títulos-Receita'!$A$8:$P$1000,8,FALSE),"")</f>
        <v/>
      </c>
      <c r="X36" s="92">
        <f>IFERROR(VLOOKUP($A36,'13. Mapa Títulos-Receita'!$A$8:$P$1000,9,FALSE),"")</f>
        <v/>
      </c>
      <c r="Y36" s="92">
        <f>IFERROR(VLOOKUP($A36,'13. Mapa Títulos-Receita'!$A$8:$P$1000,10,FALSE),"")</f>
        <v/>
      </c>
      <c r="Z36" s="92">
        <f>IFERROR(VLOOKUP($A36,'13. Mapa Títulos-Receita'!$A$8:$P$1000,11,FALSE),"")</f>
        <v/>
      </c>
      <c r="AA36" s="92">
        <f>IFERROR(VLOOKUP($A36,'13. Mapa Títulos-Receita'!$A$8:$P$1000,12,FALSE),"")</f>
        <v/>
      </c>
      <c r="AB36" s="92">
        <f>IFERROR(VLOOKUP($A36,'13. Mapa Títulos-Receita'!$A$8:$P$1000,13,FALSE),"")</f>
        <v/>
      </c>
      <c r="AC36" s="92">
        <f>IFERROR(VLOOKUP($A36,'13. Mapa Títulos-Receita'!$A$8:$P$1000,14,FALSE),"")</f>
        <v/>
      </c>
      <c r="AD36" s="92">
        <f>IFERROR(VLOOKUP($A36,'13. Mapa Títulos-Receita'!$A$8:$P$1000,15,FALSE),"")</f>
        <v/>
      </c>
      <c r="AE36" s="92">
        <f>IFERROR(VLOOKUP($A36,'13. Mapa Títulos-Receita'!$A$8:$P$1000,16,FALSE),"")</f>
        <v/>
      </c>
    </row>
    <row r="37">
      <c r="A37" s="28" t="inlineStr">
        <is>
          <t>CR-030</t>
        </is>
      </c>
      <c r="B37" s="28" t="inlineStr">
        <is>
          <t>ASSEME - ROSA GESSO</t>
        </is>
      </c>
      <c r="C37" s="28" t="inlineStr">
        <is>
          <t>ASSEME - ROSA GESSO</t>
        </is>
      </c>
      <c r="D37" s="44" t="n">
        <v>46101</v>
      </c>
      <c r="E37" s="44" t="n">
        <v>46101</v>
      </c>
      <c r="F37" s="44" t="n">
        <v>46099</v>
      </c>
      <c r="G37" s="28" t="inlineStr"/>
      <c r="H37" s="45" t="n">
        <v>380</v>
      </c>
      <c r="I37" s="45" t="n">
        <v>380</v>
      </c>
      <c r="J37" s="28" t="inlineStr">
        <is>
          <t>Recebido</t>
        </is>
      </c>
      <c r="K37" s="4">
        <f>IF(J37="","",IF(OR(J37="Recebido",F37=""),MAX(0,F37-E37),MAX(0,$B$4-E37)))</f>
        <v/>
      </c>
      <c r="L37" s="4">
        <f>IF(K37="","",IF(K37=0,"Em dia",IF(K37&lt;=30,"1-30 dias",IF(K37&lt;=60,"31-60 dias",IF(K37&lt;=90,"61-90 dias","&gt;90 dias")))))</f>
        <v/>
      </c>
      <c r="M37" s="28" t="inlineStr">
        <is>
          <t>Origem: CR mar/2026. Tipo original: Extra. Doc/NF: 107.</t>
        </is>
      </c>
      <c r="N37" s="64" t="n">
        <v>46082</v>
      </c>
      <c r="O37" s="64" t="inlineStr">
        <is>
          <t>Receita extra</t>
        </is>
      </c>
      <c r="P37" s="64">
        <f>IF(C37="","",IF(ISNUMBER(SEARCH("PCMSO",C37)),"PCMSO",IF(OR(ISNUMBER(SEARCH("E-SOCIAL",C37)),ISNUMBER(SEARCH("PSICOSOCIAL",C37))),"eSocial / Psicossocial",IF(O37="Receita recorrente","Carteira recorrente","Projetos / Laudos / Avulsos"))))</f>
        <v/>
      </c>
      <c r="Q37" s="64">
        <f>IF(P37="","",IF(P37="Carteira recorrente","Operação recorrente",IF(P37="PCMSO","Projetos PCMSO",IF(P37="eSocial / Psicossocial","Projetos eSocial/Psicossocial","Projetos / Laudos / Avulsos"))))</f>
        <v/>
      </c>
      <c r="R37" s="64">
        <f>IF(C37="","",IF(ISNUMBER(SEARCH("PCMSO",C37)),"Título com PCMSO no nome",IF(OR(ISNUMBER(SEARCH("E-SOCIAL",C37)),ISNUMBER(SEARCH("PSICOSOCIAL",C37))),"Título com eSocial/Psicossocial no nome",IF(O37="Receita recorrente","Tipo DRE recorrente","Extra sem palavra-chave específica"))))</f>
        <v/>
      </c>
      <c r="S37" s="92">
        <f>IFERROR(VLOOKUP($A37,'13. Mapa Títulos-Receita'!$A$8:$P$1000,4,FALSE),"")</f>
        <v/>
      </c>
      <c r="T37" s="92">
        <f>IFERROR(VLOOKUP($A37,'13. Mapa Títulos-Receita'!$A$8:$P$1000,5,FALSE),"")</f>
        <v/>
      </c>
      <c r="U37" s="92">
        <f>IFERROR(VLOOKUP($A37,'13. Mapa Títulos-Receita'!$A$8:$P$1000,6,FALSE),"")</f>
        <v/>
      </c>
      <c r="V37" s="92">
        <f>IFERROR(VLOOKUP($A37,'13. Mapa Títulos-Receita'!$A$8:$P$1000,7,FALSE),"")</f>
        <v/>
      </c>
      <c r="W37" s="92">
        <f>IFERROR(VLOOKUP($A37,'13. Mapa Títulos-Receita'!$A$8:$P$1000,8,FALSE),"")</f>
        <v/>
      </c>
      <c r="X37" s="92">
        <f>IFERROR(VLOOKUP($A37,'13. Mapa Títulos-Receita'!$A$8:$P$1000,9,FALSE),"")</f>
        <v/>
      </c>
      <c r="Y37" s="92">
        <f>IFERROR(VLOOKUP($A37,'13. Mapa Títulos-Receita'!$A$8:$P$1000,10,FALSE),"")</f>
        <v/>
      </c>
      <c r="Z37" s="92">
        <f>IFERROR(VLOOKUP($A37,'13. Mapa Títulos-Receita'!$A$8:$P$1000,11,FALSE),"")</f>
        <v/>
      </c>
      <c r="AA37" s="92">
        <f>IFERROR(VLOOKUP($A37,'13. Mapa Títulos-Receita'!$A$8:$P$1000,12,FALSE),"")</f>
        <v/>
      </c>
      <c r="AB37" s="92">
        <f>IFERROR(VLOOKUP($A37,'13. Mapa Títulos-Receita'!$A$8:$P$1000,13,FALSE),"")</f>
        <v/>
      </c>
      <c r="AC37" s="92">
        <f>IFERROR(VLOOKUP($A37,'13. Mapa Títulos-Receita'!$A$8:$P$1000,14,FALSE),"")</f>
        <v/>
      </c>
      <c r="AD37" s="92">
        <f>IFERROR(VLOOKUP($A37,'13. Mapa Títulos-Receita'!$A$8:$P$1000,15,FALSE),"")</f>
        <v/>
      </c>
      <c r="AE37" s="92">
        <f>IFERROR(VLOOKUP($A37,'13. Mapa Títulos-Receita'!$A$8:$P$1000,16,FALSE),"")</f>
        <v/>
      </c>
    </row>
    <row r="38">
      <c r="A38" s="28" t="inlineStr">
        <is>
          <t>CR-031</t>
        </is>
      </c>
      <c r="B38" s="28" t="inlineStr">
        <is>
          <t>ESTIVA TRANSPORTES</t>
        </is>
      </c>
      <c r="C38" s="28" t="inlineStr">
        <is>
          <t>ESTIVA TRANSPORTES (1/2)</t>
        </is>
      </c>
      <c r="D38" s="44" t="n">
        <v>46101</v>
      </c>
      <c r="E38" s="44" t="n">
        <v>46101</v>
      </c>
      <c r="F38" s="44" t="n">
        <v>46104</v>
      </c>
      <c r="G38" s="28" t="inlineStr">
        <is>
          <t>1/2</t>
        </is>
      </c>
      <c r="H38" s="45" t="n">
        <v>1434</v>
      </c>
      <c r="I38" s="45" t="n">
        <v>1434</v>
      </c>
      <c r="J38" s="28" t="inlineStr">
        <is>
          <t>Recebido</t>
        </is>
      </c>
      <c r="K38" s="4">
        <f>IF(J38="","",IF(OR(J38="Recebido",F38=""),MAX(0,F38-E38),MAX(0,$B$4-E38)))</f>
        <v/>
      </c>
      <c r="L38" s="4">
        <f>IF(K38="","",IF(K38=0,"Em dia",IF(K38&lt;=30,"1-30 dias",IF(K38&lt;=60,"31-60 dias",IF(K38&lt;=90,"61-90 dias","&gt;90 dias")))))</f>
        <v/>
      </c>
      <c r="M38" s="28" t="inlineStr">
        <is>
          <t>Origem: CR mar/2026. Tipo original: Extra. Doc/NF: 112. parcela 1/2</t>
        </is>
      </c>
      <c r="N38" s="64" t="n">
        <v>46082</v>
      </c>
      <c r="O38" s="64" t="inlineStr">
        <is>
          <t>Receita extra</t>
        </is>
      </c>
      <c r="P38" s="64">
        <f>IF(C38="","",IF(ISNUMBER(SEARCH("PCMSO",C38)),"PCMSO",IF(OR(ISNUMBER(SEARCH("E-SOCIAL",C38)),ISNUMBER(SEARCH("PSICOSOCIAL",C38))),"eSocial / Psicossocial",IF(O38="Receita recorrente","Carteira recorrente","Projetos / Laudos / Avulsos"))))</f>
        <v/>
      </c>
      <c r="Q38" s="64">
        <f>IF(P38="","",IF(P38="Carteira recorrente","Operação recorrente",IF(P38="PCMSO","Projetos PCMSO",IF(P38="eSocial / Psicossocial","Projetos eSocial/Psicossocial","Projetos / Laudos / Avulsos"))))</f>
        <v/>
      </c>
      <c r="R38" s="64">
        <f>IF(C38="","",IF(ISNUMBER(SEARCH("PCMSO",C38)),"Título com PCMSO no nome",IF(OR(ISNUMBER(SEARCH("E-SOCIAL",C38)),ISNUMBER(SEARCH("PSICOSOCIAL",C38))),"Título com eSocial/Psicossocial no nome",IF(O38="Receita recorrente","Tipo DRE recorrente","Extra sem palavra-chave específica"))))</f>
        <v/>
      </c>
      <c r="S38" s="92">
        <f>IFERROR(VLOOKUP($A38,'13. Mapa Títulos-Receita'!$A$8:$P$1000,4,FALSE),"")</f>
        <v/>
      </c>
      <c r="T38" s="92">
        <f>IFERROR(VLOOKUP($A38,'13. Mapa Títulos-Receita'!$A$8:$P$1000,5,FALSE),"")</f>
        <v/>
      </c>
      <c r="U38" s="92">
        <f>IFERROR(VLOOKUP($A38,'13. Mapa Títulos-Receita'!$A$8:$P$1000,6,FALSE),"")</f>
        <v/>
      </c>
      <c r="V38" s="92">
        <f>IFERROR(VLOOKUP($A38,'13. Mapa Títulos-Receita'!$A$8:$P$1000,7,FALSE),"")</f>
        <v/>
      </c>
      <c r="W38" s="92">
        <f>IFERROR(VLOOKUP($A38,'13. Mapa Títulos-Receita'!$A$8:$P$1000,8,FALSE),"")</f>
        <v/>
      </c>
      <c r="X38" s="92">
        <f>IFERROR(VLOOKUP($A38,'13. Mapa Títulos-Receita'!$A$8:$P$1000,9,FALSE),"")</f>
        <v/>
      </c>
      <c r="Y38" s="92">
        <f>IFERROR(VLOOKUP($A38,'13. Mapa Títulos-Receita'!$A$8:$P$1000,10,FALSE),"")</f>
        <v/>
      </c>
      <c r="Z38" s="92">
        <f>IFERROR(VLOOKUP($A38,'13. Mapa Títulos-Receita'!$A$8:$P$1000,11,FALSE),"")</f>
        <v/>
      </c>
      <c r="AA38" s="92">
        <f>IFERROR(VLOOKUP($A38,'13. Mapa Títulos-Receita'!$A$8:$P$1000,12,FALSE),"")</f>
        <v/>
      </c>
      <c r="AB38" s="92">
        <f>IFERROR(VLOOKUP($A38,'13. Mapa Títulos-Receita'!$A$8:$P$1000,13,FALSE),"")</f>
        <v/>
      </c>
      <c r="AC38" s="92">
        <f>IFERROR(VLOOKUP($A38,'13. Mapa Títulos-Receita'!$A$8:$P$1000,14,FALSE),"")</f>
        <v/>
      </c>
      <c r="AD38" s="92">
        <f>IFERROR(VLOOKUP($A38,'13. Mapa Títulos-Receita'!$A$8:$P$1000,15,FALSE),"")</f>
        <v/>
      </c>
      <c r="AE38" s="92">
        <f>IFERROR(VLOOKUP($A38,'13. Mapa Títulos-Receita'!$A$8:$P$1000,16,FALSE),"")</f>
        <v/>
      </c>
    </row>
    <row r="39">
      <c r="A39" s="28" t="inlineStr">
        <is>
          <t>CR-032</t>
        </is>
      </c>
      <c r="B39" s="28" t="inlineStr">
        <is>
          <t>CBA - PEDRO</t>
        </is>
      </c>
      <c r="C39" s="28" t="inlineStr">
        <is>
          <t>CBA - PEDRO</t>
        </is>
      </c>
      <c r="D39" s="44" t="n">
        <v>46101</v>
      </c>
      <c r="E39" s="44" t="n">
        <v>46101</v>
      </c>
      <c r="F39" s="44" t="n">
        <v>46098</v>
      </c>
      <c r="G39" s="28" t="inlineStr"/>
      <c r="H39" s="45" t="n">
        <v>120</v>
      </c>
      <c r="I39" s="45" t="n">
        <v>120</v>
      </c>
      <c r="J39" s="28" t="inlineStr">
        <is>
          <t>Recebido</t>
        </is>
      </c>
      <c r="K39" s="4">
        <f>IF(J39="","",IF(OR(J39="Recebido",F39=""),MAX(0,F39-E39),MAX(0,$B$4-E39)))</f>
        <v/>
      </c>
      <c r="L39" s="4">
        <f>IF(K39="","",IF(K39=0,"Em dia",IF(K39&lt;=30,"1-30 dias",IF(K39&lt;=60,"31-60 dias",IF(K39&lt;=90,"61-90 dias","&gt;90 dias")))))</f>
        <v/>
      </c>
      <c r="M39" s="28" t="inlineStr">
        <is>
          <t>Origem: CR mar/2026. Tipo original: Extra. Doc/NF: S/N.</t>
        </is>
      </c>
      <c r="N39" s="64" t="n">
        <v>46082</v>
      </c>
      <c r="O39" s="64" t="inlineStr">
        <is>
          <t>Receita extra</t>
        </is>
      </c>
      <c r="P39" s="64">
        <f>IF(C39="","",IF(ISNUMBER(SEARCH("PCMSO",C39)),"PCMSO",IF(OR(ISNUMBER(SEARCH("E-SOCIAL",C39)),ISNUMBER(SEARCH("PSICOSOCIAL",C39))),"eSocial / Psicossocial",IF(O39="Receita recorrente","Carteira recorrente","Projetos / Laudos / Avulsos"))))</f>
        <v/>
      </c>
      <c r="Q39" s="64">
        <f>IF(P39="","",IF(P39="Carteira recorrente","Operação recorrente",IF(P39="PCMSO","Projetos PCMSO",IF(P39="eSocial / Psicossocial","Projetos eSocial/Psicossocial","Projetos / Laudos / Avulsos"))))</f>
        <v/>
      </c>
      <c r="R39" s="64">
        <f>IF(C39="","",IF(ISNUMBER(SEARCH("PCMSO",C39)),"Título com PCMSO no nome",IF(OR(ISNUMBER(SEARCH("E-SOCIAL",C39)),ISNUMBER(SEARCH("PSICOSOCIAL",C39))),"Título com eSocial/Psicossocial no nome",IF(O39="Receita recorrente","Tipo DRE recorrente","Extra sem palavra-chave específica"))))</f>
        <v/>
      </c>
      <c r="S39" s="92">
        <f>IFERROR(VLOOKUP($A39,'13. Mapa Títulos-Receita'!$A$8:$P$1000,4,FALSE),"")</f>
        <v/>
      </c>
      <c r="T39" s="92">
        <f>IFERROR(VLOOKUP($A39,'13. Mapa Títulos-Receita'!$A$8:$P$1000,5,FALSE),"")</f>
        <v/>
      </c>
      <c r="U39" s="92">
        <f>IFERROR(VLOOKUP($A39,'13. Mapa Títulos-Receita'!$A$8:$P$1000,6,FALSE),"")</f>
        <v/>
      </c>
      <c r="V39" s="92">
        <f>IFERROR(VLOOKUP($A39,'13. Mapa Títulos-Receita'!$A$8:$P$1000,7,FALSE),"")</f>
        <v/>
      </c>
      <c r="W39" s="92">
        <f>IFERROR(VLOOKUP($A39,'13. Mapa Títulos-Receita'!$A$8:$P$1000,8,FALSE),"")</f>
        <v/>
      </c>
      <c r="X39" s="92">
        <f>IFERROR(VLOOKUP($A39,'13. Mapa Títulos-Receita'!$A$8:$P$1000,9,FALSE),"")</f>
        <v/>
      </c>
      <c r="Y39" s="92">
        <f>IFERROR(VLOOKUP($A39,'13. Mapa Títulos-Receita'!$A$8:$P$1000,10,FALSE),"")</f>
        <v/>
      </c>
      <c r="Z39" s="92">
        <f>IFERROR(VLOOKUP($A39,'13. Mapa Títulos-Receita'!$A$8:$P$1000,11,FALSE),"")</f>
        <v/>
      </c>
      <c r="AA39" s="92">
        <f>IFERROR(VLOOKUP($A39,'13. Mapa Títulos-Receita'!$A$8:$P$1000,12,FALSE),"")</f>
        <v/>
      </c>
      <c r="AB39" s="92">
        <f>IFERROR(VLOOKUP($A39,'13. Mapa Títulos-Receita'!$A$8:$P$1000,13,FALSE),"")</f>
        <v/>
      </c>
      <c r="AC39" s="92">
        <f>IFERROR(VLOOKUP($A39,'13. Mapa Títulos-Receita'!$A$8:$P$1000,14,FALSE),"")</f>
        <v/>
      </c>
      <c r="AD39" s="92">
        <f>IFERROR(VLOOKUP($A39,'13. Mapa Títulos-Receita'!$A$8:$P$1000,15,FALSE),"")</f>
        <v/>
      </c>
      <c r="AE39" s="92">
        <f>IFERROR(VLOOKUP($A39,'13. Mapa Títulos-Receita'!$A$8:$P$1000,16,FALSE),"")</f>
        <v/>
      </c>
    </row>
    <row r="40">
      <c r="A40" s="28" t="inlineStr">
        <is>
          <t>CR-033</t>
        </is>
      </c>
      <c r="B40" s="28" t="inlineStr">
        <is>
          <t>TRANS DAVI</t>
        </is>
      </c>
      <c r="C40" s="28" t="inlineStr">
        <is>
          <t>TRANS DAVI (1/2)</t>
        </is>
      </c>
      <c r="D40" s="44" t="n">
        <v>46104</v>
      </c>
      <c r="E40" s="44" t="n">
        <v>46104</v>
      </c>
      <c r="F40" s="44" t="n">
        <v>46105</v>
      </c>
      <c r="G40" s="28" t="inlineStr">
        <is>
          <t>1/2</t>
        </is>
      </c>
      <c r="H40" s="45" t="n">
        <v>894</v>
      </c>
      <c r="I40" s="45" t="n">
        <v>894</v>
      </c>
      <c r="J40" s="28" t="inlineStr">
        <is>
          <t>Recebido</t>
        </is>
      </c>
      <c r="K40" s="4">
        <f>IF(J40="","",IF(OR(J40="Recebido",F40=""),MAX(0,F40-E40),MAX(0,$B$4-E40)))</f>
        <v/>
      </c>
      <c r="L40" s="4">
        <f>IF(K40="","",IF(K40=0,"Em dia",IF(K40&lt;=30,"1-30 dias",IF(K40&lt;=60,"31-60 dias",IF(K40&lt;=90,"61-90 dias","&gt;90 dias")))))</f>
        <v/>
      </c>
      <c r="M40" s="28" t="inlineStr">
        <is>
          <t>Origem: CR mar/2026. Tipo original: Extra. Doc/NF: 113. parcela 1/2</t>
        </is>
      </c>
      <c r="N40" s="64" t="n">
        <v>46082</v>
      </c>
      <c r="O40" s="64" t="inlineStr">
        <is>
          <t>Receita extra</t>
        </is>
      </c>
      <c r="P40" s="64">
        <f>IF(C40="","",IF(ISNUMBER(SEARCH("PCMSO",C40)),"PCMSO",IF(OR(ISNUMBER(SEARCH("E-SOCIAL",C40)),ISNUMBER(SEARCH("PSICOSOCIAL",C40))),"eSocial / Psicossocial",IF(O40="Receita recorrente","Carteira recorrente","Projetos / Laudos / Avulsos"))))</f>
        <v/>
      </c>
      <c r="Q40" s="64">
        <f>IF(P40="","",IF(P40="Carteira recorrente","Operação recorrente",IF(P40="PCMSO","Projetos PCMSO",IF(P40="eSocial / Psicossocial","Projetos eSocial/Psicossocial","Projetos / Laudos / Avulsos"))))</f>
        <v/>
      </c>
      <c r="R40" s="64">
        <f>IF(C40="","",IF(ISNUMBER(SEARCH("PCMSO",C40)),"Título com PCMSO no nome",IF(OR(ISNUMBER(SEARCH("E-SOCIAL",C40)),ISNUMBER(SEARCH("PSICOSOCIAL",C40))),"Título com eSocial/Psicossocial no nome",IF(O40="Receita recorrente","Tipo DRE recorrente","Extra sem palavra-chave específica"))))</f>
        <v/>
      </c>
      <c r="S40" s="92">
        <f>IFERROR(VLOOKUP($A40,'13. Mapa Títulos-Receita'!$A$8:$P$1000,4,FALSE),"")</f>
        <v/>
      </c>
      <c r="T40" s="92">
        <f>IFERROR(VLOOKUP($A40,'13. Mapa Títulos-Receita'!$A$8:$P$1000,5,FALSE),"")</f>
        <v/>
      </c>
      <c r="U40" s="92">
        <f>IFERROR(VLOOKUP($A40,'13. Mapa Títulos-Receita'!$A$8:$P$1000,6,FALSE),"")</f>
        <v/>
      </c>
      <c r="V40" s="92">
        <f>IFERROR(VLOOKUP($A40,'13. Mapa Títulos-Receita'!$A$8:$P$1000,7,FALSE),"")</f>
        <v/>
      </c>
      <c r="W40" s="92">
        <f>IFERROR(VLOOKUP($A40,'13. Mapa Títulos-Receita'!$A$8:$P$1000,8,FALSE),"")</f>
        <v/>
      </c>
      <c r="X40" s="92">
        <f>IFERROR(VLOOKUP($A40,'13. Mapa Títulos-Receita'!$A$8:$P$1000,9,FALSE),"")</f>
        <v/>
      </c>
      <c r="Y40" s="92">
        <f>IFERROR(VLOOKUP($A40,'13. Mapa Títulos-Receita'!$A$8:$P$1000,10,FALSE),"")</f>
        <v/>
      </c>
      <c r="Z40" s="92">
        <f>IFERROR(VLOOKUP($A40,'13. Mapa Títulos-Receita'!$A$8:$P$1000,11,FALSE),"")</f>
        <v/>
      </c>
      <c r="AA40" s="92">
        <f>IFERROR(VLOOKUP($A40,'13. Mapa Títulos-Receita'!$A$8:$P$1000,12,FALSE),"")</f>
        <v/>
      </c>
      <c r="AB40" s="92">
        <f>IFERROR(VLOOKUP($A40,'13. Mapa Títulos-Receita'!$A$8:$P$1000,13,FALSE),"")</f>
        <v/>
      </c>
      <c r="AC40" s="92">
        <f>IFERROR(VLOOKUP($A40,'13. Mapa Títulos-Receita'!$A$8:$P$1000,14,FALSE),"")</f>
        <v/>
      </c>
      <c r="AD40" s="92">
        <f>IFERROR(VLOOKUP($A40,'13. Mapa Títulos-Receita'!$A$8:$P$1000,15,FALSE),"")</f>
        <v/>
      </c>
      <c r="AE40" s="92">
        <f>IFERROR(VLOOKUP($A40,'13. Mapa Títulos-Receita'!$A$8:$P$1000,16,FALSE),"")</f>
        <v/>
      </c>
    </row>
    <row r="41">
      <c r="A41" s="28" t="inlineStr">
        <is>
          <t>CR-034</t>
        </is>
      </c>
      <c r="B41" s="28" t="inlineStr">
        <is>
          <t>NDB</t>
        </is>
      </c>
      <c r="C41" s="28" t="inlineStr">
        <is>
          <t>NDB (1/3)</t>
        </is>
      </c>
      <c r="D41" s="44" t="n">
        <v>46104</v>
      </c>
      <c r="E41" s="44" t="n">
        <v>46104</v>
      </c>
      <c r="F41" s="44" t="n">
        <v>46105</v>
      </c>
      <c r="G41" s="28" t="inlineStr">
        <is>
          <t>1/3</t>
        </is>
      </c>
      <c r="H41" s="45" t="n">
        <v>2500</v>
      </c>
      <c r="I41" s="45" t="n">
        <v>2500</v>
      </c>
      <c r="J41" s="28" t="inlineStr">
        <is>
          <t>Recebido</t>
        </is>
      </c>
      <c r="K41" s="4">
        <f>IF(J41="","",IF(OR(J41="Recebido",F41=""),MAX(0,F41-E41),MAX(0,$B$4-E41)))</f>
        <v/>
      </c>
      <c r="L41" s="4">
        <f>IF(K41="","",IF(K41=0,"Em dia",IF(K41&lt;=30,"1-30 dias",IF(K41&lt;=60,"31-60 dias",IF(K41&lt;=90,"61-90 dias","&gt;90 dias")))))</f>
        <v/>
      </c>
      <c r="M41" s="28" t="inlineStr">
        <is>
          <t>Origem: CR mar/2026. Tipo original: Extra. Doc/NF: 119. parcela 1/3</t>
        </is>
      </c>
      <c r="N41" s="64" t="n">
        <v>46082</v>
      </c>
      <c r="O41" s="64" t="inlineStr">
        <is>
          <t>Receita extra</t>
        </is>
      </c>
      <c r="P41" s="64">
        <f>IF(C41="","",IF(ISNUMBER(SEARCH("PCMSO",C41)),"PCMSO",IF(OR(ISNUMBER(SEARCH("E-SOCIAL",C41)),ISNUMBER(SEARCH("PSICOSOCIAL",C41))),"eSocial / Psicossocial",IF(O41="Receita recorrente","Carteira recorrente","Projetos / Laudos / Avulsos"))))</f>
        <v/>
      </c>
      <c r="Q41" s="64">
        <f>IF(P41="","",IF(P41="Carteira recorrente","Operação recorrente",IF(P41="PCMSO","Projetos PCMSO",IF(P41="eSocial / Psicossocial","Projetos eSocial/Psicossocial","Projetos / Laudos / Avulsos"))))</f>
        <v/>
      </c>
      <c r="R41" s="64">
        <f>IF(C41="","",IF(ISNUMBER(SEARCH("PCMSO",C41)),"Título com PCMSO no nome",IF(OR(ISNUMBER(SEARCH("E-SOCIAL",C41)),ISNUMBER(SEARCH("PSICOSOCIAL",C41))),"Título com eSocial/Psicossocial no nome",IF(O41="Receita recorrente","Tipo DRE recorrente","Extra sem palavra-chave específica"))))</f>
        <v/>
      </c>
      <c r="S41" s="92">
        <f>IFERROR(VLOOKUP($A41,'13. Mapa Títulos-Receita'!$A$8:$P$1000,4,FALSE),"")</f>
        <v/>
      </c>
      <c r="T41" s="92">
        <f>IFERROR(VLOOKUP($A41,'13. Mapa Títulos-Receita'!$A$8:$P$1000,5,FALSE),"")</f>
        <v/>
      </c>
      <c r="U41" s="92">
        <f>IFERROR(VLOOKUP($A41,'13. Mapa Títulos-Receita'!$A$8:$P$1000,6,FALSE),"")</f>
        <v/>
      </c>
      <c r="V41" s="92">
        <f>IFERROR(VLOOKUP($A41,'13. Mapa Títulos-Receita'!$A$8:$P$1000,7,FALSE),"")</f>
        <v/>
      </c>
      <c r="W41" s="92">
        <f>IFERROR(VLOOKUP($A41,'13. Mapa Títulos-Receita'!$A$8:$P$1000,8,FALSE),"")</f>
        <v/>
      </c>
      <c r="X41" s="92">
        <f>IFERROR(VLOOKUP($A41,'13. Mapa Títulos-Receita'!$A$8:$P$1000,9,FALSE),"")</f>
        <v/>
      </c>
      <c r="Y41" s="92">
        <f>IFERROR(VLOOKUP($A41,'13. Mapa Títulos-Receita'!$A$8:$P$1000,10,FALSE),"")</f>
        <v/>
      </c>
      <c r="Z41" s="92">
        <f>IFERROR(VLOOKUP($A41,'13. Mapa Títulos-Receita'!$A$8:$P$1000,11,FALSE),"")</f>
        <v/>
      </c>
      <c r="AA41" s="92">
        <f>IFERROR(VLOOKUP($A41,'13. Mapa Títulos-Receita'!$A$8:$P$1000,12,FALSE),"")</f>
        <v/>
      </c>
      <c r="AB41" s="92">
        <f>IFERROR(VLOOKUP($A41,'13. Mapa Títulos-Receita'!$A$8:$P$1000,13,FALSE),"")</f>
        <v/>
      </c>
      <c r="AC41" s="92">
        <f>IFERROR(VLOOKUP($A41,'13. Mapa Títulos-Receita'!$A$8:$P$1000,14,FALSE),"")</f>
        <v/>
      </c>
      <c r="AD41" s="92">
        <f>IFERROR(VLOOKUP($A41,'13. Mapa Títulos-Receita'!$A$8:$P$1000,15,FALSE),"")</f>
        <v/>
      </c>
      <c r="AE41" s="92">
        <f>IFERROR(VLOOKUP($A41,'13. Mapa Títulos-Receita'!$A$8:$P$1000,16,FALSE),"")</f>
        <v/>
      </c>
    </row>
    <row r="42">
      <c r="A42" s="28" t="inlineStr">
        <is>
          <t>CR-035</t>
        </is>
      </c>
      <c r="B42" s="28" t="inlineStr">
        <is>
          <t>RETRO ESCAVAÇÕES</t>
        </is>
      </c>
      <c r="C42" s="28" t="inlineStr">
        <is>
          <t>RETRO ESCAVAÇÕES</t>
        </is>
      </c>
      <c r="D42" s="44" t="n">
        <v>46106</v>
      </c>
      <c r="E42" s="44" t="n">
        <v>46106</v>
      </c>
      <c r="F42" s="29" t="n"/>
      <c r="G42" s="28" t="inlineStr"/>
      <c r="H42" s="45" t="n">
        <v>1239</v>
      </c>
      <c r="I42" s="45" t="n">
        <v>0</v>
      </c>
      <c r="J42" s="28" t="inlineStr">
        <is>
          <t>Vencido</t>
        </is>
      </c>
      <c r="K42" s="4">
        <f>IF(J42="","",IF(OR(J42="Recebido",F42=""),MAX(0,F42-E42),MAX(0,$B$4-E42)))</f>
        <v/>
      </c>
      <c r="L42" s="4">
        <f>IF(K42="","",IF(K42=0,"Em dia",IF(K42&lt;=30,"1-30 dias",IF(K42&lt;=60,"31-60 dias",IF(K42&lt;=90,"61-90 dias","&gt;90 dias")))))</f>
        <v/>
      </c>
      <c r="M42" s="28" t="inlineStr">
        <is>
          <t>Origem: CR mar/2026. Tipo original: Extra. Doc/NF: 79. aberto no fechamento de março Classificado como vencido pela data-base de 31/03.</t>
        </is>
      </c>
      <c r="N42" s="64" t="n">
        <v>46082</v>
      </c>
      <c r="O42" s="64" t="inlineStr">
        <is>
          <t>Receita extra</t>
        </is>
      </c>
      <c r="P42" s="64">
        <f>IF(C42="","",IF(ISNUMBER(SEARCH("PCMSO",C42)),"PCMSO",IF(OR(ISNUMBER(SEARCH("E-SOCIAL",C42)),ISNUMBER(SEARCH("PSICOSOCIAL",C42))),"eSocial / Psicossocial",IF(O42="Receita recorrente","Carteira recorrente","Projetos / Laudos / Avulsos"))))</f>
        <v/>
      </c>
      <c r="Q42" s="64">
        <f>IF(P42="","",IF(P42="Carteira recorrente","Operação recorrente",IF(P42="PCMSO","Projetos PCMSO",IF(P42="eSocial / Psicossocial","Projetos eSocial/Psicossocial","Projetos / Laudos / Avulsos"))))</f>
        <v/>
      </c>
      <c r="R42" s="64">
        <f>IF(C42="","",IF(ISNUMBER(SEARCH("PCMSO",C42)),"Título com PCMSO no nome",IF(OR(ISNUMBER(SEARCH("E-SOCIAL",C42)),ISNUMBER(SEARCH("PSICOSOCIAL",C42))),"Título com eSocial/Psicossocial no nome",IF(O42="Receita recorrente","Tipo DRE recorrente","Extra sem palavra-chave específica"))))</f>
        <v/>
      </c>
      <c r="S42" s="92">
        <f>IFERROR(VLOOKUP($A42,'13. Mapa Títulos-Receita'!$A$8:$P$1000,4,FALSE),"")</f>
        <v/>
      </c>
      <c r="T42" s="92">
        <f>IFERROR(VLOOKUP($A42,'13. Mapa Títulos-Receita'!$A$8:$P$1000,5,FALSE),"")</f>
        <v/>
      </c>
      <c r="U42" s="92">
        <f>IFERROR(VLOOKUP($A42,'13. Mapa Títulos-Receita'!$A$8:$P$1000,6,FALSE),"")</f>
        <v/>
      </c>
      <c r="V42" s="92">
        <f>IFERROR(VLOOKUP($A42,'13. Mapa Títulos-Receita'!$A$8:$P$1000,7,FALSE),"")</f>
        <v/>
      </c>
      <c r="W42" s="92">
        <f>IFERROR(VLOOKUP($A42,'13. Mapa Títulos-Receita'!$A$8:$P$1000,8,FALSE),"")</f>
        <v/>
      </c>
      <c r="X42" s="92">
        <f>IFERROR(VLOOKUP($A42,'13. Mapa Títulos-Receita'!$A$8:$P$1000,9,FALSE),"")</f>
        <v/>
      </c>
      <c r="Y42" s="92">
        <f>IFERROR(VLOOKUP($A42,'13. Mapa Títulos-Receita'!$A$8:$P$1000,10,FALSE),"")</f>
        <v/>
      </c>
      <c r="Z42" s="92">
        <f>IFERROR(VLOOKUP($A42,'13. Mapa Títulos-Receita'!$A$8:$P$1000,11,FALSE),"")</f>
        <v/>
      </c>
      <c r="AA42" s="92">
        <f>IFERROR(VLOOKUP($A42,'13. Mapa Títulos-Receita'!$A$8:$P$1000,12,FALSE),"")</f>
        <v/>
      </c>
      <c r="AB42" s="92">
        <f>IFERROR(VLOOKUP($A42,'13. Mapa Títulos-Receita'!$A$8:$P$1000,13,FALSE),"")</f>
        <v/>
      </c>
      <c r="AC42" s="92">
        <f>IFERROR(VLOOKUP($A42,'13. Mapa Títulos-Receita'!$A$8:$P$1000,14,FALSE),"")</f>
        <v/>
      </c>
      <c r="AD42" s="92">
        <f>IFERROR(VLOOKUP($A42,'13. Mapa Títulos-Receita'!$A$8:$P$1000,15,FALSE),"")</f>
        <v/>
      </c>
      <c r="AE42" s="92">
        <f>IFERROR(VLOOKUP($A42,'13. Mapa Títulos-Receita'!$A$8:$P$1000,16,FALSE),"")</f>
        <v/>
      </c>
    </row>
    <row r="43">
      <c r="A43" s="28" t="inlineStr">
        <is>
          <t>CR-036</t>
        </is>
      </c>
      <c r="B43" s="28" t="inlineStr">
        <is>
          <t>DPA - HUB / UNIDADE 593</t>
        </is>
      </c>
      <c r="C43" s="28" t="inlineStr">
        <is>
          <t>DPA - HUB / UNIDADE 593</t>
        </is>
      </c>
      <c r="D43" s="44" t="n">
        <v>46108</v>
      </c>
      <c r="E43" s="44" t="n">
        <v>46108</v>
      </c>
      <c r="F43" s="29" t="n"/>
      <c r="G43" s="28" t="inlineStr"/>
      <c r="H43" s="45" t="n">
        <v>800</v>
      </c>
      <c r="I43" s="45" t="n">
        <v>0</v>
      </c>
      <c r="J43" s="28" t="inlineStr">
        <is>
          <t>Vencido</t>
        </is>
      </c>
      <c r="K43" s="4">
        <f>IF(J43="","",IF(OR(J43="Recebido",F43=""),MAX(0,F43-E43),MAX(0,$B$4-E43)))</f>
        <v/>
      </c>
      <c r="L43" s="4">
        <f>IF(K43="","",IF(K43=0,"Em dia",IF(K43&lt;=30,"1-30 dias",IF(K43&lt;=60,"31-60 dias",IF(K43&lt;=90,"61-90 dias","&gt;90 dias")))))</f>
        <v/>
      </c>
      <c r="M43" s="28" t="inlineStr">
        <is>
          <t>Origem: CR mar/2026. Tipo original: Extra. Doc/NF: 118. aberto no fechamento de março Classificado como vencido pela data-base de 31/03.</t>
        </is>
      </c>
      <c r="N43" s="64" t="n">
        <v>46082</v>
      </c>
      <c r="O43" s="64" t="inlineStr">
        <is>
          <t>Receita extra</t>
        </is>
      </c>
      <c r="P43" s="64">
        <f>IF(C43="","",IF(ISNUMBER(SEARCH("PCMSO",C43)),"PCMSO",IF(OR(ISNUMBER(SEARCH("E-SOCIAL",C43)),ISNUMBER(SEARCH("PSICOSOCIAL",C43))),"eSocial / Psicossocial",IF(O43="Receita recorrente","Carteira recorrente","Projetos / Laudos / Avulsos"))))</f>
        <v/>
      </c>
      <c r="Q43" s="64">
        <f>IF(P43="","",IF(P43="Carteira recorrente","Operação recorrente",IF(P43="PCMSO","Projetos PCMSO",IF(P43="eSocial / Psicossocial","Projetos eSocial/Psicossocial","Projetos / Laudos / Avulsos"))))</f>
        <v/>
      </c>
      <c r="R43" s="64">
        <f>IF(C43="","",IF(ISNUMBER(SEARCH("PCMSO",C43)),"Título com PCMSO no nome",IF(OR(ISNUMBER(SEARCH("E-SOCIAL",C43)),ISNUMBER(SEARCH("PSICOSOCIAL",C43))),"Título com eSocial/Psicossocial no nome",IF(O43="Receita recorrente","Tipo DRE recorrente","Extra sem palavra-chave específica"))))</f>
        <v/>
      </c>
      <c r="S43" s="92">
        <f>IFERROR(VLOOKUP($A43,'13. Mapa Títulos-Receita'!$A$8:$P$1000,4,FALSE),"")</f>
        <v/>
      </c>
      <c r="T43" s="92">
        <f>IFERROR(VLOOKUP($A43,'13. Mapa Títulos-Receita'!$A$8:$P$1000,5,FALSE),"")</f>
        <v/>
      </c>
      <c r="U43" s="92">
        <f>IFERROR(VLOOKUP($A43,'13. Mapa Títulos-Receita'!$A$8:$P$1000,6,FALSE),"")</f>
        <v/>
      </c>
      <c r="V43" s="92">
        <f>IFERROR(VLOOKUP($A43,'13. Mapa Títulos-Receita'!$A$8:$P$1000,7,FALSE),"")</f>
        <v/>
      </c>
      <c r="W43" s="92">
        <f>IFERROR(VLOOKUP($A43,'13. Mapa Títulos-Receita'!$A$8:$P$1000,8,FALSE),"")</f>
        <v/>
      </c>
      <c r="X43" s="92">
        <f>IFERROR(VLOOKUP($A43,'13. Mapa Títulos-Receita'!$A$8:$P$1000,9,FALSE),"")</f>
        <v/>
      </c>
      <c r="Y43" s="92">
        <f>IFERROR(VLOOKUP($A43,'13. Mapa Títulos-Receita'!$A$8:$P$1000,10,FALSE),"")</f>
        <v/>
      </c>
      <c r="Z43" s="92">
        <f>IFERROR(VLOOKUP($A43,'13. Mapa Títulos-Receita'!$A$8:$P$1000,11,FALSE),"")</f>
        <v/>
      </c>
      <c r="AA43" s="92">
        <f>IFERROR(VLOOKUP($A43,'13. Mapa Títulos-Receita'!$A$8:$P$1000,12,FALSE),"")</f>
        <v/>
      </c>
      <c r="AB43" s="92">
        <f>IFERROR(VLOOKUP($A43,'13. Mapa Títulos-Receita'!$A$8:$P$1000,13,FALSE),"")</f>
        <v/>
      </c>
      <c r="AC43" s="92">
        <f>IFERROR(VLOOKUP($A43,'13. Mapa Títulos-Receita'!$A$8:$P$1000,14,FALSE),"")</f>
        <v/>
      </c>
      <c r="AD43" s="92">
        <f>IFERROR(VLOOKUP($A43,'13. Mapa Títulos-Receita'!$A$8:$P$1000,15,FALSE),"")</f>
        <v/>
      </c>
      <c r="AE43" s="92">
        <f>IFERROR(VLOOKUP($A43,'13. Mapa Títulos-Receita'!$A$8:$P$1000,16,FALSE),"")</f>
        <v/>
      </c>
    </row>
    <row r="44">
      <c r="A44" s="28" t="inlineStr">
        <is>
          <t>CR-037</t>
        </is>
      </c>
      <c r="B44" s="28" t="inlineStr">
        <is>
          <t>A2B - PCMSO</t>
        </is>
      </c>
      <c r="C44" s="28" t="inlineStr">
        <is>
          <t>A2B - PCMSO</t>
        </is>
      </c>
      <c r="D44" s="44" t="n">
        <v>46111</v>
      </c>
      <c r="E44" s="44" t="n">
        <v>46111</v>
      </c>
      <c r="F44" s="29" t="n"/>
      <c r="G44" s="28" t="inlineStr"/>
      <c r="H44" s="45" t="n">
        <v>400</v>
      </c>
      <c r="I44" s="45" t="n">
        <v>0</v>
      </c>
      <c r="J44" s="28" t="inlineStr">
        <is>
          <t>Vencido</t>
        </is>
      </c>
      <c r="K44" s="4">
        <f>IF(J44="","",IF(OR(J44="Recebido",F44=""),MAX(0,F44-E44),MAX(0,$B$4-E44)))</f>
        <v/>
      </c>
      <c r="L44" s="4">
        <f>IF(K44="","",IF(K44=0,"Em dia",IF(K44&lt;=30,"1-30 dias",IF(K44&lt;=60,"31-60 dias",IF(K44&lt;=90,"61-90 dias","&gt;90 dias")))))</f>
        <v/>
      </c>
      <c r="M44" s="28" t="inlineStr">
        <is>
          <t>Origem: CR mar/2026. Tipo original: Extra. Doc/NF: 123. aberto no fechamento de março Classificado como vencido pela data-base de 31/03.</t>
        </is>
      </c>
      <c r="N44" s="64" t="n">
        <v>46082</v>
      </c>
      <c r="O44" s="64" t="inlineStr">
        <is>
          <t>Receita extra</t>
        </is>
      </c>
      <c r="P44" s="64">
        <f>IF(C44="","",IF(ISNUMBER(SEARCH("PCMSO",C44)),"PCMSO",IF(OR(ISNUMBER(SEARCH("E-SOCIAL",C44)),ISNUMBER(SEARCH("PSICOSOCIAL",C44))),"eSocial / Psicossocial",IF(O44="Receita recorrente","Carteira recorrente","Projetos / Laudos / Avulsos"))))</f>
        <v/>
      </c>
      <c r="Q44" s="64">
        <f>IF(P44="","",IF(P44="Carteira recorrente","Operação recorrente",IF(P44="PCMSO","Projetos PCMSO",IF(P44="eSocial / Psicossocial","Projetos eSocial/Psicossocial","Projetos / Laudos / Avulsos"))))</f>
        <v/>
      </c>
      <c r="R44" s="64">
        <f>IF(C44="","",IF(ISNUMBER(SEARCH("PCMSO",C44)),"Título com PCMSO no nome",IF(OR(ISNUMBER(SEARCH("E-SOCIAL",C44)),ISNUMBER(SEARCH("PSICOSOCIAL",C44))),"Título com eSocial/Psicossocial no nome",IF(O44="Receita recorrente","Tipo DRE recorrente","Extra sem palavra-chave específica"))))</f>
        <v/>
      </c>
      <c r="S44" s="92">
        <f>IFERROR(VLOOKUP($A44,'13. Mapa Títulos-Receita'!$A$8:$P$1000,4,FALSE),"")</f>
        <v/>
      </c>
      <c r="T44" s="92">
        <f>IFERROR(VLOOKUP($A44,'13. Mapa Títulos-Receita'!$A$8:$P$1000,5,FALSE),"")</f>
        <v/>
      </c>
      <c r="U44" s="92">
        <f>IFERROR(VLOOKUP($A44,'13. Mapa Títulos-Receita'!$A$8:$P$1000,6,FALSE),"")</f>
        <v/>
      </c>
      <c r="V44" s="92">
        <f>IFERROR(VLOOKUP($A44,'13. Mapa Títulos-Receita'!$A$8:$P$1000,7,FALSE),"")</f>
        <v/>
      </c>
      <c r="W44" s="92">
        <f>IFERROR(VLOOKUP($A44,'13. Mapa Títulos-Receita'!$A$8:$P$1000,8,FALSE),"")</f>
        <v/>
      </c>
      <c r="X44" s="92">
        <f>IFERROR(VLOOKUP($A44,'13. Mapa Títulos-Receita'!$A$8:$P$1000,9,FALSE),"")</f>
        <v/>
      </c>
      <c r="Y44" s="92">
        <f>IFERROR(VLOOKUP($A44,'13. Mapa Títulos-Receita'!$A$8:$P$1000,10,FALSE),"")</f>
        <v/>
      </c>
      <c r="Z44" s="92">
        <f>IFERROR(VLOOKUP($A44,'13. Mapa Títulos-Receita'!$A$8:$P$1000,11,FALSE),"")</f>
        <v/>
      </c>
      <c r="AA44" s="92">
        <f>IFERROR(VLOOKUP($A44,'13. Mapa Títulos-Receita'!$A$8:$P$1000,12,FALSE),"")</f>
        <v/>
      </c>
      <c r="AB44" s="92">
        <f>IFERROR(VLOOKUP($A44,'13. Mapa Títulos-Receita'!$A$8:$P$1000,13,FALSE),"")</f>
        <v/>
      </c>
      <c r="AC44" s="92">
        <f>IFERROR(VLOOKUP($A44,'13. Mapa Títulos-Receita'!$A$8:$P$1000,14,FALSE),"")</f>
        <v/>
      </c>
      <c r="AD44" s="92">
        <f>IFERROR(VLOOKUP($A44,'13. Mapa Títulos-Receita'!$A$8:$P$1000,15,FALSE),"")</f>
        <v/>
      </c>
      <c r="AE44" s="92">
        <f>IFERROR(VLOOKUP($A44,'13. Mapa Títulos-Receita'!$A$8:$P$1000,16,FALSE),"")</f>
        <v/>
      </c>
    </row>
    <row r="45">
      <c r="A45" s="28" t="inlineStr">
        <is>
          <t>CR-038</t>
        </is>
      </c>
      <c r="B45" s="28" t="inlineStr">
        <is>
          <t>BOM JESUS LOCAÇÃO</t>
        </is>
      </c>
      <c r="C45" s="28" t="inlineStr">
        <is>
          <t>BOM JESUS LOCAÇÃO</t>
        </is>
      </c>
      <c r="D45" s="44" t="n">
        <v>46111</v>
      </c>
      <c r="E45" s="44" t="n">
        <v>46111</v>
      </c>
      <c r="F45" s="29" t="n"/>
      <c r="G45" s="28" t="inlineStr"/>
      <c r="H45" s="45" t="n">
        <v>1030</v>
      </c>
      <c r="I45" s="45" t="n">
        <v>0</v>
      </c>
      <c r="J45" s="28" t="inlineStr">
        <is>
          <t>Vencido</t>
        </is>
      </c>
      <c r="K45" s="4">
        <f>IF(J45="","",IF(OR(J45="Recebido",F45=""),MAX(0,F45-E45),MAX(0,$B$4-E45)))</f>
        <v/>
      </c>
      <c r="L45" s="4">
        <f>IF(K45="","",IF(K45=0,"Em dia",IF(K45&lt;=30,"1-30 dias",IF(K45&lt;=60,"31-60 dias",IF(K45&lt;=90,"61-90 dias","&gt;90 dias")))))</f>
        <v/>
      </c>
      <c r="M45" s="28" t="inlineStr">
        <is>
          <t>Origem: CR mar/2026. Tipo original: Extra. Doc/NF: 122. aberto no fechamento de março Classificado como vencido pela data-base de 31/03.</t>
        </is>
      </c>
      <c r="N45" s="64" t="n">
        <v>46082</v>
      </c>
      <c r="O45" s="64" t="inlineStr">
        <is>
          <t>Receita extra</t>
        </is>
      </c>
      <c r="P45" s="64">
        <f>IF(C45="","",IF(ISNUMBER(SEARCH("PCMSO",C45)),"PCMSO",IF(OR(ISNUMBER(SEARCH("E-SOCIAL",C45)),ISNUMBER(SEARCH("PSICOSOCIAL",C45))),"eSocial / Psicossocial",IF(O45="Receita recorrente","Carteira recorrente","Projetos / Laudos / Avulsos"))))</f>
        <v/>
      </c>
      <c r="Q45" s="64">
        <f>IF(P45="","",IF(P45="Carteira recorrente","Operação recorrente",IF(P45="PCMSO","Projetos PCMSO",IF(P45="eSocial / Psicossocial","Projetos eSocial/Psicossocial","Projetos / Laudos / Avulsos"))))</f>
        <v/>
      </c>
      <c r="R45" s="64">
        <f>IF(C45="","",IF(ISNUMBER(SEARCH("PCMSO",C45)),"Título com PCMSO no nome",IF(OR(ISNUMBER(SEARCH("E-SOCIAL",C45)),ISNUMBER(SEARCH("PSICOSOCIAL",C45))),"Título com eSocial/Psicossocial no nome",IF(O45="Receita recorrente","Tipo DRE recorrente","Extra sem palavra-chave específica"))))</f>
        <v/>
      </c>
      <c r="S45" s="92">
        <f>IFERROR(VLOOKUP($A45,'13. Mapa Títulos-Receita'!$A$8:$P$1000,4,FALSE),"")</f>
        <v/>
      </c>
      <c r="T45" s="92">
        <f>IFERROR(VLOOKUP($A45,'13. Mapa Títulos-Receita'!$A$8:$P$1000,5,FALSE),"")</f>
        <v/>
      </c>
      <c r="U45" s="92">
        <f>IFERROR(VLOOKUP($A45,'13. Mapa Títulos-Receita'!$A$8:$P$1000,6,FALSE),"")</f>
        <v/>
      </c>
      <c r="V45" s="92">
        <f>IFERROR(VLOOKUP($A45,'13. Mapa Títulos-Receita'!$A$8:$P$1000,7,FALSE),"")</f>
        <v/>
      </c>
      <c r="W45" s="92">
        <f>IFERROR(VLOOKUP($A45,'13. Mapa Títulos-Receita'!$A$8:$P$1000,8,FALSE),"")</f>
        <v/>
      </c>
      <c r="X45" s="92">
        <f>IFERROR(VLOOKUP($A45,'13. Mapa Títulos-Receita'!$A$8:$P$1000,9,FALSE),"")</f>
        <v/>
      </c>
      <c r="Y45" s="92">
        <f>IFERROR(VLOOKUP($A45,'13. Mapa Títulos-Receita'!$A$8:$P$1000,10,FALSE),"")</f>
        <v/>
      </c>
      <c r="Z45" s="92">
        <f>IFERROR(VLOOKUP($A45,'13. Mapa Títulos-Receita'!$A$8:$P$1000,11,FALSE),"")</f>
        <v/>
      </c>
      <c r="AA45" s="92">
        <f>IFERROR(VLOOKUP($A45,'13. Mapa Títulos-Receita'!$A$8:$P$1000,12,FALSE),"")</f>
        <v/>
      </c>
      <c r="AB45" s="92">
        <f>IFERROR(VLOOKUP($A45,'13. Mapa Títulos-Receita'!$A$8:$P$1000,13,FALSE),"")</f>
        <v/>
      </c>
      <c r="AC45" s="92">
        <f>IFERROR(VLOOKUP($A45,'13. Mapa Títulos-Receita'!$A$8:$P$1000,14,FALSE),"")</f>
        <v/>
      </c>
      <c r="AD45" s="92">
        <f>IFERROR(VLOOKUP($A45,'13. Mapa Títulos-Receita'!$A$8:$P$1000,15,FALSE),"")</f>
        <v/>
      </c>
      <c r="AE45" s="92">
        <f>IFERROR(VLOOKUP($A45,'13. Mapa Títulos-Receita'!$A$8:$P$1000,16,FALSE),"")</f>
        <v/>
      </c>
    </row>
    <row r="46">
      <c r="A46" s="28" t="inlineStr">
        <is>
          <t>CR-039</t>
        </is>
      </c>
      <c r="B46" s="28" t="inlineStr">
        <is>
          <t>BOM JESUS EXTRAÇÃO</t>
        </is>
      </c>
      <c r="C46" s="28" t="inlineStr">
        <is>
          <t>BOM JESUS EXTRAÇÃO</t>
        </is>
      </c>
      <c r="D46" s="44" t="n">
        <v>46111</v>
      </c>
      <c r="E46" s="44" t="n">
        <v>46111</v>
      </c>
      <c r="F46" s="29" t="n"/>
      <c r="G46" s="28" t="inlineStr"/>
      <c r="H46" s="45" t="n">
        <v>1350</v>
      </c>
      <c r="I46" s="45" t="n">
        <v>0</v>
      </c>
      <c r="J46" s="28" t="inlineStr">
        <is>
          <t>Vencido</t>
        </is>
      </c>
      <c r="K46" s="4">
        <f>IF(J46="","",IF(OR(J46="Recebido",F46=""),MAX(0,F46-E46),MAX(0,$B$4-E46)))</f>
        <v/>
      </c>
      <c r="L46" s="4">
        <f>IF(K46="","",IF(K46=0,"Em dia",IF(K46&lt;=30,"1-30 dias",IF(K46&lt;=60,"31-60 dias",IF(K46&lt;=90,"61-90 dias","&gt;90 dias")))))</f>
        <v/>
      </c>
      <c r="M46" s="28" t="inlineStr">
        <is>
          <t>Origem: CR mar/2026. Tipo original: Extra. Doc/NF: 126. aberto no fechamento de março Classificado como vencido pela data-base de 31/03.</t>
        </is>
      </c>
      <c r="N46" s="64" t="n">
        <v>46082</v>
      </c>
      <c r="O46" s="64" t="inlineStr">
        <is>
          <t>Receita extra</t>
        </is>
      </c>
      <c r="P46" s="64">
        <f>IF(C46="","",IF(ISNUMBER(SEARCH("PCMSO",C46)),"PCMSO",IF(OR(ISNUMBER(SEARCH("E-SOCIAL",C46)),ISNUMBER(SEARCH("PSICOSOCIAL",C46))),"eSocial / Psicossocial",IF(O46="Receita recorrente","Carteira recorrente","Projetos / Laudos / Avulsos"))))</f>
        <v/>
      </c>
      <c r="Q46" s="64">
        <f>IF(P46="","",IF(P46="Carteira recorrente","Operação recorrente",IF(P46="PCMSO","Projetos PCMSO",IF(P46="eSocial / Psicossocial","Projetos eSocial/Psicossocial","Projetos / Laudos / Avulsos"))))</f>
        <v/>
      </c>
      <c r="R46" s="64">
        <f>IF(C46="","",IF(ISNUMBER(SEARCH("PCMSO",C46)),"Título com PCMSO no nome",IF(OR(ISNUMBER(SEARCH("E-SOCIAL",C46)),ISNUMBER(SEARCH("PSICOSOCIAL",C46))),"Título com eSocial/Psicossocial no nome",IF(O46="Receita recorrente","Tipo DRE recorrente","Extra sem palavra-chave específica"))))</f>
        <v/>
      </c>
      <c r="S46" s="92">
        <f>IFERROR(VLOOKUP($A46,'13. Mapa Títulos-Receita'!$A$8:$P$1000,4,FALSE),"")</f>
        <v/>
      </c>
      <c r="T46" s="92">
        <f>IFERROR(VLOOKUP($A46,'13. Mapa Títulos-Receita'!$A$8:$P$1000,5,FALSE),"")</f>
        <v/>
      </c>
      <c r="U46" s="92">
        <f>IFERROR(VLOOKUP($A46,'13. Mapa Títulos-Receita'!$A$8:$P$1000,6,FALSE),"")</f>
        <v/>
      </c>
      <c r="V46" s="92">
        <f>IFERROR(VLOOKUP($A46,'13. Mapa Títulos-Receita'!$A$8:$P$1000,7,FALSE),"")</f>
        <v/>
      </c>
      <c r="W46" s="92">
        <f>IFERROR(VLOOKUP($A46,'13. Mapa Títulos-Receita'!$A$8:$P$1000,8,FALSE),"")</f>
        <v/>
      </c>
      <c r="X46" s="92">
        <f>IFERROR(VLOOKUP($A46,'13. Mapa Títulos-Receita'!$A$8:$P$1000,9,FALSE),"")</f>
        <v/>
      </c>
      <c r="Y46" s="92">
        <f>IFERROR(VLOOKUP($A46,'13. Mapa Títulos-Receita'!$A$8:$P$1000,10,FALSE),"")</f>
        <v/>
      </c>
      <c r="Z46" s="92">
        <f>IFERROR(VLOOKUP($A46,'13. Mapa Títulos-Receita'!$A$8:$P$1000,11,FALSE),"")</f>
        <v/>
      </c>
      <c r="AA46" s="92">
        <f>IFERROR(VLOOKUP($A46,'13. Mapa Títulos-Receita'!$A$8:$P$1000,12,FALSE),"")</f>
        <v/>
      </c>
      <c r="AB46" s="92">
        <f>IFERROR(VLOOKUP($A46,'13. Mapa Títulos-Receita'!$A$8:$P$1000,13,FALSE),"")</f>
        <v/>
      </c>
      <c r="AC46" s="92">
        <f>IFERROR(VLOOKUP($A46,'13. Mapa Títulos-Receita'!$A$8:$P$1000,14,FALSE),"")</f>
        <v/>
      </c>
      <c r="AD46" s="92">
        <f>IFERROR(VLOOKUP($A46,'13. Mapa Títulos-Receita'!$A$8:$P$1000,15,FALSE),"")</f>
        <v/>
      </c>
      <c r="AE46" s="92">
        <f>IFERROR(VLOOKUP($A46,'13. Mapa Títulos-Receita'!$A$8:$P$1000,16,FALSE),"")</f>
        <v/>
      </c>
    </row>
    <row r="47">
      <c r="A47" s="28" t="inlineStr">
        <is>
          <t>CR-040</t>
        </is>
      </c>
      <c r="B47" s="28" t="inlineStr">
        <is>
          <t>DPA - UBERABA / UNIDADE 18</t>
        </is>
      </c>
      <c r="C47" s="28" t="inlineStr">
        <is>
          <t>DPA - UBERABA / UNIDADE 18</t>
        </is>
      </c>
      <c r="D47" s="44" t="n">
        <v>46111</v>
      </c>
      <c r="E47" s="44" t="n">
        <v>46111</v>
      </c>
      <c r="F47" s="29" t="n"/>
      <c r="G47" s="28" t="inlineStr"/>
      <c r="H47" s="45" t="n">
        <v>1000</v>
      </c>
      <c r="I47" s="45" t="n">
        <v>0</v>
      </c>
      <c r="J47" s="28" t="inlineStr">
        <is>
          <t>Vencido</t>
        </is>
      </c>
      <c r="K47" s="4">
        <f>IF(J47="","",IF(OR(J47="Recebido",F47=""),MAX(0,F47-E47),MAX(0,$B$4-E47)))</f>
        <v/>
      </c>
      <c r="L47" s="4">
        <f>IF(K47="","",IF(K47=0,"Em dia",IF(K47&lt;=30,"1-30 dias",IF(K47&lt;=60,"31-60 dias",IF(K47&lt;=90,"61-90 dias","&gt;90 dias")))))</f>
        <v/>
      </c>
      <c r="M47" s="28" t="inlineStr">
        <is>
          <t>Origem: CR mar/2026. Tipo original: Extra. Doc/NF: 120. aberto no fechamento de março Classificado como vencido pela data-base de 31/03.</t>
        </is>
      </c>
      <c r="N47" s="64" t="n">
        <v>46082</v>
      </c>
      <c r="O47" s="64" t="inlineStr">
        <is>
          <t>Receita extra</t>
        </is>
      </c>
      <c r="P47" s="64">
        <f>IF(C47="","",IF(ISNUMBER(SEARCH("PCMSO",C47)),"PCMSO",IF(OR(ISNUMBER(SEARCH("E-SOCIAL",C47)),ISNUMBER(SEARCH("PSICOSOCIAL",C47))),"eSocial / Psicossocial",IF(O47="Receita recorrente","Carteira recorrente","Projetos / Laudos / Avulsos"))))</f>
        <v/>
      </c>
      <c r="Q47" s="64">
        <f>IF(P47="","",IF(P47="Carteira recorrente","Operação recorrente",IF(P47="PCMSO","Projetos PCMSO",IF(P47="eSocial / Psicossocial","Projetos eSocial/Psicossocial","Projetos / Laudos / Avulsos"))))</f>
        <v/>
      </c>
      <c r="R47" s="64">
        <f>IF(C47="","",IF(ISNUMBER(SEARCH("PCMSO",C47)),"Título com PCMSO no nome",IF(OR(ISNUMBER(SEARCH("E-SOCIAL",C47)),ISNUMBER(SEARCH("PSICOSOCIAL",C47))),"Título com eSocial/Psicossocial no nome",IF(O47="Receita recorrente","Tipo DRE recorrente","Extra sem palavra-chave específica"))))</f>
        <v/>
      </c>
      <c r="S47" s="92">
        <f>IFERROR(VLOOKUP($A47,'13. Mapa Títulos-Receita'!$A$8:$P$1000,4,FALSE),"")</f>
        <v/>
      </c>
      <c r="T47" s="92">
        <f>IFERROR(VLOOKUP($A47,'13. Mapa Títulos-Receita'!$A$8:$P$1000,5,FALSE),"")</f>
        <v/>
      </c>
      <c r="U47" s="92">
        <f>IFERROR(VLOOKUP($A47,'13. Mapa Títulos-Receita'!$A$8:$P$1000,6,FALSE),"")</f>
        <v/>
      </c>
      <c r="V47" s="92">
        <f>IFERROR(VLOOKUP($A47,'13. Mapa Títulos-Receita'!$A$8:$P$1000,7,FALSE),"")</f>
        <v/>
      </c>
      <c r="W47" s="92">
        <f>IFERROR(VLOOKUP($A47,'13. Mapa Títulos-Receita'!$A$8:$P$1000,8,FALSE),"")</f>
        <v/>
      </c>
      <c r="X47" s="92">
        <f>IFERROR(VLOOKUP($A47,'13. Mapa Títulos-Receita'!$A$8:$P$1000,9,FALSE),"")</f>
        <v/>
      </c>
      <c r="Y47" s="92">
        <f>IFERROR(VLOOKUP($A47,'13. Mapa Títulos-Receita'!$A$8:$P$1000,10,FALSE),"")</f>
        <v/>
      </c>
      <c r="Z47" s="92">
        <f>IFERROR(VLOOKUP($A47,'13. Mapa Títulos-Receita'!$A$8:$P$1000,11,FALSE),"")</f>
        <v/>
      </c>
      <c r="AA47" s="92">
        <f>IFERROR(VLOOKUP($A47,'13. Mapa Títulos-Receita'!$A$8:$P$1000,12,FALSE),"")</f>
        <v/>
      </c>
      <c r="AB47" s="92">
        <f>IFERROR(VLOOKUP($A47,'13. Mapa Títulos-Receita'!$A$8:$P$1000,13,FALSE),"")</f>
        <v/>
      </c>
      <c r="AC47" s="92">
        <f>IFERROR(VLOOKUP($A47,'13. Mapa Títulos-Receita'!$A$8:$P$1000,14,FALSE),"")</f>
        <v/>
      </c>
      <c r="AD47" s="92">
        <f>IFERROR(VLOOKUP($A47,'13. Mapa Títulos-Receita'!$A$8:$P$1000,15,FALSE),"")</f>
        <v/>
      </c>
      <c r="AE47" s="92">
        <f>IFERROR(VLOOKUP($A47,'13. Mapa Títulos-Receita'!$A$8:$P$1000,16,FALSE),"")</f>
        <v/>
      </c>
    </row>
    <row r="48">
      <c r="A48" s="28" t="inlineStr">
        <is>
          <t>CR-041</t>
        </is>
      </c>
      <c r="B48" s="28" t="inlineStr">
        <is>
          <t>DPA - HUB / UNIDADE 261</t>
        </is>
      </c>
      <c r="C48" s="28" t="inlineStr">
        <is>
          <t>DPA - HUB / UNIDADE 261</t>
        </is>
      </c>
      <c r="D48" s="44" t="n">
        <v>46112</v>
      </c>
      <c r="E48" s="44" t="n">
        <v>46112</v>
      </c>
      <c r="F48" s="29" t="n"/>
      <c r="G48" s="28" t="inlineStr"/>
      <c r="H48" s="45" t="n">
        <v>800</v>
      </c>
      <c r="I48" s="45" t="n">
        <v>0</v>
      </c>
      <c r="J48" s="28" t="inlineStr">
        <is>
          <t>Aberto</t>
        </is>
      </c>
      <c r="K48" s="4">
        <f>IF(J48="","",IF(OR(J48="Recebido",F48=""),MAX(0,F48-E48),MAX(0,$B$4-E48)))</f>
        <v/>
      </c>
      <c r="L48" s="4">
        <f>IF(K48="","",IF(K48=0,"Em dia",IF(K48&lt;=30,"1-30 dias",IF(K48&lt;=60,"31-60 dias",IF(K48&lt;=90,"61-90 dias","&gt;90 dias")))))</f>
        <v/>
      </c>
      <c r="M48" s="28" t="inlineStr">
        <is>
          <t>Origem: CR mar/2026. Tipo original: Extra. Doc/NF: 121. aberto no fechamento de março</t>
        </is>
      </c>
      <c r="N48" s="64" t="n">
        <v>46082</v>
      </c>
      <c r="O48" s="64" t="inlineStr">
        <is>
          <t>Receita extra</t>
        </is>
      </c>
      <c r="P48" s="64">
        <f>IF(C48="","",IF(ISNUMBER(SEARCH("PCMSO",C48)),"PCMSO",IF(OR(ISNUMBER(SEARCH("E-SOCIAL",C48)),ISNUMBER(SEARCH("PSICOSOCIAL",C48))),"eSocial / Psicossocial",IF(O48="Receita recorrente","Carteira recorrente","Projetos / Laudos / Avulsos"))))</f>
        <v/>
      </c>
      <c r="Q48" s="64">
        <f>IF(P48="","",IF(P48="Carteira recorrente","Operação recorrente",IF(P48="PCMSO","Projetos PCMSO",IF(P48="eSocial / Psicossocial","Projetos eSocial/Psicossocial","Projetos / Laudos / Avulsos"))))</f>
        <v/>
      </c>
      <c r="R48" s="64">
        <f>IF(C48="","",IF(ISNUMBER(SEARCH("PCMSO",C48)),"Título com PCMSO no nome",IF(OR(ISNUMBER(SEARCH("E-SOCIAL",C48)),ISNUMBER(SEARCH("PSICOSOCIAL",C48))),"Título com eSocial/Psicossocial no nome",IF(O48="Receita recorrente","Tipo DRE recorrente","Extra sem palavra-chave específica"))))</f>
        <v/>
      </c>
      <c r="S48" s="92">
        <f>IFERROR(VLOOKUP($A48,'13. Mapa Títulos-Receita'!$A$8:$P$1000,4,FALSE),"")</f>
        <v/>
      </c>
      <c r="T48" s="92">
        <f>IFERROR(VLOOKUP($A48,'13. Mapa Títulos-Receita'!$A$8:$P$1000,5,FALSE),"")</f>
        <v/>
      </c>
      <c r="U48" s="92">
        <f>IFERROR(VLOOKUP($A48,'13. Mapa Títulos-Receita'!$A$8:$P$1000,6,FALSE),"")</f>
        <v/>
      </c>
      <c r="V48" s="92">
        <f>IFERROR(VLOOKUP($A48,'13. Mapa Títulos-Receita'!$A$8:$P$1000,7,FALSE),"")</f>
        <v/>
      </c>
      <c r="W48" s="92">
        <f>IFERROR(VLOOKUP($A48,'13. Mapa Títulos-Receita'!$A$8:$P$1000,8,FALSE),"")</f>
        <v/>
      </c>
      <c r="X48" s="92">
        <f>IFERROR(VLOOKUP($A48,'13. Mapa Títulos-Receita'!$A$8:$P$1000,9,FALSE),"")</f>
        <v/>
      </c>
      <c r="Y48" s="92">
        <f>IFERROR(VLOOKUP($A48,'13. Mapa Títulos-Receita'!$A$8:$P$1000,10,FALSE),"")</f>
        <v/>
      </c>
      <c r="Z48" s="92">
        <f>IFERROR(VLOOKUP($A48,'13. Mapa Títulos-Receita'!$A$8:$P$1000,11,FALSE),"")</f>
        <v/>
      </c>
      <c r="AA48" s="92">
        <f>IFERROR(VLOOKUP($A48,'13. Mapa Títulos-Receita'!$A$8:$P$1000,12,FALSE),"")</f>
        <v/>
      </c>
      <c r="AB48" s="92">
        <f>IFERROR(VLOOKUP($A48,'13. Mapa Títulos-Receita'!$A$8:$P$1000,13,FALSE),"")</f>
        <v/>
      </c>
      <c r="AC48" s="92">
        <f>IFERROR(VLOOKUP($A48,'13. Mapa Títulos-Receita'!$A$8:$P$1000,14,FALSE),"")</f>
        <v/>
      </c>
      <c r="AD48" s="92">
        <f>IFERROR(VLOOKUP($A48,'13. Mapa Títulos-Receita'!$A$8:$P$1000,15,FALSE),"")</f>
        <v/>
      </c>
      <c r="AE48" s="92">
        <f>IFERROR(VLOOKUP($A48,'13. Mapa Títulos-Receita'!$A$8:$P$1000,16,FALSE),"")</f>
        <v/>
      </c>
    </row>
    <row r="49">
      <c r="A49" s="28" t="inlineStr">
        <is>
          <t>CR-042</t>
        </is>
      </c>
      <c r="B49" s="28" t="inlineStr">
        <is>
          <t>MATA DO PORTO</t>
        </is>
      </c>
      <c r="C49" s="28" t="inlineStr">
        <is>
          <t>MATA DO PORTO</t>
        </is>
      </c>
      <c r="D49" s="44" t="n">
        <v>46111</v>
      </c>
      <c r="E49" s="44" t="n">
        <v>46111</v>
      </c>
      <c r="F49" s="29" t="n"/>
      <c r="G49" s="28" t="inlineStr"/>
      <c r="H49" s="45" t="n">
        <v>858</v>
      </c>
      <c r="I49" s="45" t="n">
        <v>0</v>
      </c>
      <c r="J49" s="28" t="inlineStr">
        <is>
          <t>Vencido</t>
        </is>
      </c>
      <c r="K49" s="4">
        <f>IF(J49="","",IF(OR(J49="Recebido",F49=""),MAX(0,F49-E49),MAX(0,$B$4-E49)))</f>
        <v/>
      </c>
      <c r="L49" s="4">
        <f>IF(K49="","",IF(K49=0,"Em dia",IF(K49&lt;=30,"1-30 dias",IF(K49&lt;=60,"31-60 dias",IF(K49&lt;=90,"61-90 dias","&gt;90 dias")))))</f>
        <v/>
      </c>
      <c r="M49" s="28" t="inlineStr">
        <is>
          <t>Origem: CR mar/2026. Tipo original: Extra. Doc/NF: 124. aberto no fechamento de março Classificado como vencido pela data-base de 31/03.</t>
        </is>
      </c>
      <c r="N49" s="64" t="n">
        <v>46082</v>
      </c>
      <c r="O49" s="64" t="inlineStr">
        <is>
          <t>Receita extra</t>
        </is>
      </c>
      <c r="P49" s="64">
        <f>IF(C49="","",IF(ISNUMBER(SEARCH("PCMSO",C49)),"PCMSO",IF(OR(ISNUMBER(SEARCH("E-SOCIAL",C49)),ISNUMBER(SEARCH("PSICOSOCIAL",C49))),"eSocial / Psicossocial",IF(O49="Receita recorrente","Carteira recorrente","Projetos / Laudos / Avulsos"))))</f>
        <v/>
      </c>
      <c r="Q49" s="64">
        <f>IF(P49="","",IF(P49="Carteira recorrente","Operação recorrente",IF(P49="PCMSO","Projetos PCMSO",IF(P49="eSocial / Psicossocial","Projetos eSocial/Psicossocial","Projetos / Laudos / Avulsos"))))</f>
        <v/>
      </c>
      <c r="R49" s="64">
        <f>IF(C49="","",IF(ISNUMBER(SEARCH("PCMSO",C49)),"Título com PCMSO no nome",IF(OR(ISNUMBER(SEARCH("E-SOCIAL",C49)),ISNUMBER(SEARCH("PSICOSOCIAL",C49))),"Título com eSocial/Psicossocial no nome",IF(O49="Receita recorrente","Tipo DRE recorrente","Extra sem palavra-chave específica"))))</f>
        <v/>
      </c>
      <c r="S49" s="92">
        <f>IFERROR(VLOOKUP($A49,'13. Mapa Títulos-Receita'!$A$8:$P$1000,4,FALSE),"")</f>
        <v/>
      </c>
      <c r="T49" s="92">
        <f>IFERROR(VLOOKUP($A49,'13. Mapa Títulos-Receita'!$A$8:$P$1000,5,FALSE),"")</f>
        <v/>
      </c>
      <c r="U49" s="92">
        <f>IFERROR(VLOOKUP($A49,'13. Mapa Títulos-Receita'!$A$8:$P$1000,6,FALSE),"")</f>
        <v/>
      </c>
      <c r="V49" s="92">
        <f>IFERROR(VLOOKUP($A49,'13. Mapa Títulos-Receita'!$A$8:$P$1000,7,FALSE),"")</f>
        <v/>
      </c>
      <c r="W49" s="92">
        <f>IFERROR(VLOOKUP($A49,'13. Mapa Títulos-Receita'!$A$8:$P$1000,8,FALSE),"")</f>
        <v/>
      </c>
      <c r="X49" s="92">
        <f>IFERROR(VLOOKUP($A49,'13. Mapa Títulos-Receita'!$A$8:$P$1000,9,FALSE),"")</f>
        <v/>
      </c>
      <c r="Y49" s="92">
        <f>IFERROR(VLOOKUP($A49,'13. Mapa Títulos-Receita'!$A$8:$P$1000,10,FALSE),"")</f>
        <v/>
      </c>
      <c r="Z49" s="92">
        <f>IFERROR(VLOOKUP($A49,'13. Mapa Títulos-Receita'!$A$8:$P$1000,11,FALSE),"")</f>
        <v/>
      </c>
      <c r="AA49" s="92">
        <f>IFERROR(VLOOKUP($A49,'13. Mapa Títulos-Receita'!$A$8:$P$1000,12,FALSE),"")</f>
        <v/>
      </c>
      <c r="AB49" s="92">
        <f>IFERROR(VLOOKUP($A49,'13. Mapa Títulos-Receita'!$A$8:$P$1000,13,FALSE),"")</f>
        <v/>
      </c>
      <c r="AC49" s="92">
        <f>IFERROR(VLOOKUP($A49,'13. Mapa Títulos-Receita'!$A$8:$P$1000,14,FALSE),"")</f>
        <v/>
      </c>
      <c r="AD49" s="92">
        <f>IFERROR(VLOOKUP($A49,'13. Mapa Títulos-Receita'!$A$8:$P$1000,15,FALSE),"")</f>
        <v/>
      </c>
      <c r="AE49" s="92">
        <f>IFERROR(VLOOKUP($A49,'13. Mapa Títulos-Receita'!$A$8:$P$1000,16,FALSE),"")</f>
        <v/>
      </c>
    </row>
    <row r="50">
      <c r="A50" s="28" t="inlineStr">
        <is>
          <t>CR-043</t>
        </is>
      </c>
      <c r="B50" s="28" t="inlineStr">
        <is>
          <t>GODOSAN</t>
        </is>
      </c>
      <c r="C50" s="28" t="inlineStr">
        <is>
          <t>GODOSAN (1/4)</t>
        </is>
      </c>
      <c r="D50" s="44" t="n">
        <v>46112</v>
      </c>
      <c r="E50" s="44" t="n">
        <v>46112</v>
      </c>
      <c r="F50" s="29" t="n"/>
      <c r="G50" s="28" t="inlineStr">
        <is>
          <t>1/4</t>
        </is>
      </c>
      <c r="H50" s="45" t="n">
        <v>1692</v>
      </c>
      <c r="I50" s="45" t="n">
        <v>0</v>
      </c>
      <c r="J50" s="28" t="inlineStr">
        <is>
          <t>Aberto</t>
        </is>
      </c>
      <c r="K50" s="4">
        <f>IF(J50="","",IF(OR(J50="Recebido",F50=""),MAX(0,F50-E50),MAX(0,$B$4-E50)))</f>
        <v/>
      </c>
      <c r="L50" s="4">
        <f>IF(K50="","",IF(K50=0,"Em dia",IF(K50&lt;=30,"1-30 dias",IF(K50&lt;=60,"31-60 dias",IF(K50&lt;=90,"61-90 dias","&gt;90 dias")))))</f>
        <v/>
      </c>
      <c r="M50" s="28" t="inlineStr">
        <is>
          <t>Origem: CR mar/2026. Tipo original: Extra. Doc/NF: S/N. vencimento não legível no PDF; alocado em 31/03 para reconciliar o resumo</t>
        </is>
      </c>
      <c r="N50" s="64" t="n">
        <v>46082</v>
      </c>
      <c r="O50" s="64" t="inlineStr">
        <is>
          <t>Receita extra</t>
        </is>
      </c>
      <c r="P50" s="64">
        <f>IF(C50="","",IF(ISNUMBER(SEARCH("PCMSO",C50)),"PCMSO",IF(OR(ISNUMBER(SEARCH("E-SOCIAL",C50)),ISNUMBER(SEARCH("PSICOSOCIAL",C50))),"eSocial / Psicossocial",IF(O50="Receita recorrente","Carteira recorrente","Projetos / Laudos / Avulsos"))))</f>
        <v/>
      </c>
      <c r="Q50" s="64">
        <f>IF(P50="","",IF(P50="Carteira recorrente","Operação recorrente",IF(P50="PCMSO","Projetos PCMSO",IF(P50="eSocial / Psicossocial","Projetos eSocial/Psicossocial","Projetos / Laudos / Avulsos"))))</f>
        <v/>
      </c>
      <c r="R50" s="64">
        <f>IF(C50="","",IF(ISNUMBER(SEARCH("PCMSO",C50)),"Título com PCMSO no nome",IF(OR(ISNUMBER(SEARCH("E-SOCIAL",C50)),ISNUMBER(SEARCH("PSICOSOCIAL",C50))),"Título com eSocial/Psicossocial no nome",IF(O50="Receita recorrente","Tipo DRE recorrente","Extra sem palavra-chave específica"))))</f>
        <v/>
      </c>
      <c r="S50" s="92">
        <f>IFERROR(VLOOKUP($A50,'13. Mapa Títulos-Receita'!$A$8:$P$1000,4,FALSE),"")</f>
        <v/>
      </c>
      <c r="T50" s="92">
        <f>IFERROR(VLOOKUP($A50,'13. Mapa Títulos-Receita'!$A$8:$P$1000,5,FALSE),"")</f>
        <v/>
      </c>
      <c r="U50" s="92">
        <f>IFERROR(VLOOKUP($A50,'13. Mapa Títulos-Receita'!$A$8:$P$1000,6,FALSE),"")</f>
        <v/>
      </c>
      <c r="V50" s="92">
        <f>IFERROR(VLOOKUP($A50,'13. Mapa Títulos-Receita'!$A$8:$P$1000,7,FALSE),"")</f>
        <v/>
      </c>
      <c r="W50" s="92">
        <f>IFERROR(VLOOKUP($A50,'13. Mapa Títulos-Receita'!$A$8:$P$1000,8,FALSE),"")</f>
        <v/>
      </c>
      <c r="X50" s="92">
        <f>IFERROR(VLOOKUP($A50,'13. Mapa Títulos-Receita'!$A$8:$P$1000,9,FALSE),"")</f>
        <v/>
      </c>
      <c r="Y50" s="92">
        <f>IFERROR(VLOOKUP($A50,'13. Mapa Títulos-Receita'!$A$8:$P$1000,10,FALSE),"")</f>
        <v/>
      </c>
      <c r="Z50" s="92">
        <f>IFERROR(VLOOKUP($A50,'13. Mapa Títulos-Receita'!$A$8:$P$1000,11,FALSE),"")</f>
        <v/>
      </c>
      <c r="AA50" s="92">
        <f>IFERROR(VLOOKUP($A50,'13. Mapa Títulos-Receita'!$A$8:$P$1000,12,FALSE),"")</f>
        <v/>
      </c>
      <c r="AB50" s="92">
        <f>IFERROR(VLOOKUP($A50,'13. Mapa Títulos-Receita'!$A$8:$P$1000,13,FALSE),"")</f>
        <v/>
      </c>
      <c r="AC50" s="92">
        <f>IFERROR(VLOOKUP($A50,'13. Mapa Títulos-Receita'!$A$8:$P$1000,14,FALSE),"")</f>
        <v/>
      </c>
      <c r="AD50" s="92">
        <f>IFERROR(VLOOKUP($A50,'13. Mapa Títulos-Receita'!$A$8:$P$1000,15,FALSE),"")</f>
        <v/>
      </c>
      <c r="AE50" s="92">
        <f>IFERROR(VLOOKUP($A50,'13. Mapa Títulos-Receita'!$A$8:$P$1000,16,FALSE),"")</f>
        <v/>
      </c>
    </row>
    <row r="51">
      <c r="A51" s="28" t="inlineStr">
        <is>
          <t>CR-044</t>
        </is>
      </c>
      <c r="B51" s="28" t="inlineStr">
        <is>
          <t>FERSAN</t>
        </is>
      </c>
      <c r="C51" s="28" t="inlineStr">
        <is>
          <t>FERSAN (1/4)</t>
        </is>
      </c>
      <c r="D51" s="44" t="n">
        <v>46112</v>
      </c>
      <c r="E51" s="44" t="n">
        <v>46112</v>
      </c>
      <c r="F51" s="29" t="n"/>
      <c r="G51" s="28" t="inlineStr">
        <is>
          <t>1/4</t>
        </is>
      </c>
      <c r="H51" s="45" t="n">
        <v>1354.5</v>
      </c>
      <c r="I51" s="45" t="n">
        <v>0</v>
      </c>
      <c r="J51" s="28" t="inlineStr">
        <is>
          <t>Aberto</t>
        </is>
      </c>
      <c r="K51" s="4">
        <f>IF(J51="","",IF(OR(J51="Recebido",F51=""),MAX(0,F51-E51),MAX(0,$B$4-E51)))</f>
        <v/>
      </c>
      <c r="L51" s="4">
        <f>IF(K51="","",IF(K51=0,"Em dia",IF(K51&lt;=30,"1-30 dias",IF(K51&lt;=60,"31-60 dias",IF(K51&lt;=90,"61-90 dias","&gt;90 dias")))))</f>
        <v/>
      </c>
      <c r="M51" s="28" t="inlineStr">
        <is>
          <t>Origem: CR mar/2026. Tipo original: Extra. Doc/NF: S/N. vencimento não legível no PDF; alocado em 31/03 para reconciliar o resumo</t>
        </is>
      </c>
      <c r="N51" s="64" t="n">
        <v>46082</v>
      </c>
      <c r="O51" s="64" t="inlineStr">
        <is>
          <t>Receita extra</t>
        </is>
      </c>
      <c r="P51" s="64">
        <f>IF(C51="","",IF(ISNUMBER(SEARCH("PCMSO",C51)),"PCMSO",IF(OR(ISNUMBER(SEARCH("E-SOCIAL",C51)),ISNUMBER(SEARCH("PSICOSOCIAL",C51))),"eSocial / Psicossocial",IF(O51="Receita recorrente","Carteira recorrente","Projetos / Laudos / Avulsos"))))</f>
        <v/>
      </c>
      <c r="Q51" s="64">
        <f>IF(P51="","",IF(P51="Carteira recorrente","Operação recorrente",IF(P51="PCMSO","Projetos PCMSO",IF(P51="eSocial / Psicossocial","Projetos eSocial/Psicossocial","Projetos / Laudos / Avulsos"))))</f>
        <v/>
      </c>
      <c r="R51" s="64">
        <f>IF(C51="","",IF(ISNUMBER(SEARCH("PCMSO",C51)),"Título com PCMSO no nome",IF(OR(ISNUMBER(SEARCH("E-SOCIAL",C51)),ISNUMBER(SEARCH("PSICOSOCIAL",C51))),"Título com eSocial/Psicossocial no nome",IF(O51="Receita recorrente","Tipo DRE recorrente","Extra sem palavra-chave específica"))))</f>
        <v/>
      </c>
      <c r="S51" s="92">
        <f>IFERROR(VLOOKUP($A51,'13. Mapa Títulos-Receita'!$A$8:$P$1000,4,FALSE),"")</f>
        <v/>
      </c>
      <c r="T51" s="92">
        <f>IFERROR(VLOOKUP($A51,'13. Mapa Títulos-Receita'!$A$8:$P$1000,5,FALSE),"")</f>
        <v/>
      </c>
      <c r="U51" s="92">
        <f>IFERROR(VLOOKUP($A51,'13. Mapa Títulos-Receita'!$A$8:$P$1000,6,FALSE),"")</f>
        <v/>
      </c>
      <c r="V51" s="92">
        <f>IFERROR(VLOOKUP($A51,'13. Mapa Títulos-Receita'!$A$8:$P$1000,7,FALSE),"")</f>
        <v/>
      </c>
      <c r="W51" s="92">
        <f>IFERROR(VLOOKUP($A51,'13. Mapa Títulos-Receita'!$A$8:$P$1000,8,FALSE),"")</f>
        <v/>
      </c>
      <c r="X51" s="92">
        <f>IFERROR(VLOOKUP($A51,'13. Mapa Títulos-Receita'!$A$8:$P$1000,9,FALSE),"")</f>
        <v/>
      </c>
      <c r="Y51" s="92">
        <f>IFERROR(VLOOKUP($A51,'13. Mapa Títulos-Receita'!$A$8:$P$1000,10,FALSE),"")</f>
        <v/>
      </c>
      <c r="Z51" s="92">
        <f>IFERROR(VLOOKUP($A51,'13. Mapa Títulos-Receita'!$A$8:$P$1000,11,FALSE),"")</f>
        <v/>
      </c>
      <c r="AA51" s="92">
        <f>IFERROR(VLOOKUP($A51,'13. Mapa Títulos-Receita'!$A$8:$P$1000,12,FALSE),"")</f>
        <v/>
      </c>
      <c r="AB51" s="92">
        <f>IFERROR(VLOOKUP($A51,'13. Mapa Títulos-Receita'!$A$8:$P$1000,13,FALSE),"")</f>
        <v/>
      </c>
      <c r="AC51" s="92">
        <f>IFERROR(VLOOKUP($A51,'13. Mapa Títulos-Receita'!$A$8:$P$1000,14,FALSE),"")</f>
        <v/>
      </c>
      <c r="AD51" s="92">
        <f>IFERROR(VLOOKUP($A51,'13. Mapa Títulos-Receita'!$A$8:$P$1000,15,FALSE),"")</f>
        <v/>
      </c>
      <c r="AE51" s="92">
        <f>IFERROR(VLOOKUP($A51,'13. Mapa Títulos-Receita'!$A$8:$P$1000,16,FALSE),"")</f>
        <v/>
      </c>
    </row>
    <row r="52">
      <c r="A52" s="28" t="n"/>
      <c r="B52" s="28" t="n"/>
      <c r="C52" s="28" t="n"/>
      <c r="D52" s="29" t="n"/>
      <c r="E52" s="29" t="n"/>
      <c r="F52" s="29" t="n"/>
      <c r="G52" s="28" t="n"/>
      <c r="H52" s="18" t="n"/>
      <c r="I52" s="18" t="n"/>
      <c r="J52" s="28" t="n"/>
      <c r="K52" s="4">
        <f>IF(J52="","",IF(OR(J52="Recebido",F52=""),MAX(0,F52-E52),MAX(0,$B$4-E52)))</f>
        <v/>
      </c>
      <c r="L52" s="4">
        <f>IF(K52="","",IF(K52=0,"Em dia",IF(K52&lt;=30,"1-30 dias",IF(K52&lt;=60,"31-60 dias",IF(K52&lt;=90,"61-90 dias","&gt;90 dias")))))</f>
        <v/>
      </c>
      <c r="M52" s="28" t="n"/>
      <c r="P52" s="64">
        <f>IF(C52="","",IF(ISNUMBER(SEARCH("PCMSO",C52)),"PCMSO",IF(OR(ISNUMBER(SEARCH("E-SOCIAL",C52)),ISNUMBER(SEARCH("PSICOSOCIAL",C52))),"eSocial / Psicossocial",IF(O52="Receita recorrente","Carteira recorrente","Projetos / Laudos / Avulsos"))))</f>
        <v/>
      </c>
      <c r="Q52" s="64">
        <f>IF(P52="","",IF(P52="Carteira recorrente","Operação recorrente",IF(P52="PCMSO","Projetos PCMSO",IF(P52="eSocial / Psicossocial","Projetos eSocial/Psicossocial","Projetos / Laudos / Avulsos"))))</f>
        <v/>
      </c>
      <c r="R52" s="64">
        <f>IF(C52="","",IF(ISNUMBER(SEARCH("PCMSO",C52)),"Título com PCMSO no nome",IF(OR(ISNUMBER(SEARCH("E-SOCIAL",C52)),ISNUMBER(SEARCH("PSICOSOCIAL",C52))),"Título com eSocial/Psicossocial no nome",IF(O52="Receita recorrente","Tipo DRE recorrente","Extra sem palavra-chave específica"))))</f>
        <v/>
      </c>
    </row>
    <row r="53">
      <c r="A53" s="28" t="n"/>
      <c r="B53" s="28" t="n"/>
      <c r="C53" s="28" t="n"/>
      <c r="D53" s="29" t="n"/>
      <c r="E53" s="29" t="n"/>
      <c r="F53" s="29" t="n"/>
      <c r="G53" s="28" t="n"/>
      <c r="H53" s="18" t="n"/>
      <c r="I53" s="18" t="n"/>
      <c r="J53" s="28" t="n"/>
      <c r="K53" s="4">
        <f>IF(J53="","",IF(OR(J53="Recebido",F53=""),MAX(0,F53-E53),MAX(0,$B$4-E53)))</f>
        <v/>
      </c>
      <c r="L53" s="4">
        <f>IF(K53="","",IF(K53=0,"Em dia",IF(K53&lt;=30,"1-30 dias",IF(K53&lt;=60,"31-60 dias",IF(K53&lt;=90,"61-90 dias","&gt;90 dias")))))</f>
        <v/>
      </c>
      <c r="M53" s="28" t="n"/>
      <c r="P53" s="64">
        <f>IF(C53="","",IF(ISNUMBER(SEARCH("PCMSO",C53)),"PCMSO",IF(OR(ISNUMBER(SEARCH("E-SOCIAL",C53)),ISNUMBER(SEARCH("PSICOSOCIAL",C53))),"eSocial / Psicossocial",IF(O53="Receita recorrente","Carteira recorrente","Projetos / Laudos / Avulsos"))))</f>
        <v/>
      </c>
      <c r="Q53" s="64">
        <f>IF(P53="","",IF(P53="Carteira recorrente","Operação recorrente",IF(P53="PCMSO","Projetos PCMSO",IF(P53="eSocial / Psicossocial","Projetos eSocial/Psicossocial","Projetos / Laudos / Avulsos"))))</f>
        <v/>
      </c>
      <c r="R53" s="64">
        <f>IF(C53="","",IF(ISNUMBER(SEARCH("PCMSO",C53)),"Título com PCMSO no nome",IF(OR(ISNUMBER(SEARCH("E-SOCIAL",C53)),ISNUMBER(SEARCH("PSICOSOCIAL",C53))),"Título com eSocial/Psicossocial no nome",IF(O53="Receita recorrente","Tipo DRE recorrente","Extra sem palavra-chave específica"))))</f>
        <v/>
      </c>
    </row>
    <row r="54">
      <c r="A54" s="28" t="n"/>
      <c r="B54" s="28" t="n"/>
      <c r="C54" s="28" t="n"/>
      <c r="D54" s="29" t="n"/>
      <c r="E54" s="29" t="n"/>
      <c r="F54" s="29" t="n"/>
      <c r="G54" s="28" t="n"/>
      <c r="H54" s="18" t="n"/>
      <c r="I54" s="18" t="n"/>
      <c r="J54" s="28" t="n"/>
      <c r="K54" s="4">
        <f>IF(J54="","",IF(OR(J54="Recebido",F54=""),MAX(0,F54-E54),MAX(0,$B$4-E54)))</f>
        <v/>
      </c>
      <c r="L54" s="4">
        <f>IF(K54="","",IF(K54=0,"Em dia",IF(K54&lt;=30,"1-30 dias",IF(K54&lt;=60,"31-60 dias",IF(K54&lt;=90,"61-90 dias","&gt;90 dias")))))</f>
        <v/>
      </c>
      <c r="M54" s="28" t="n"/>
      <c r="P54" s="64">
        <f>IF(C54="","",IF(ISNUMBER(SEARCH("PCMSO",C54)),"PCMSO",IF(OR(ISNUMBER(SEARCH("E-SOCIAL",C54)),ISNUMBER(SEARCH("PSICOSOCIAL",C54))),"eSocial / Psicossocial",IF(O54="Receita recorrente","Carteira recorrente","Projetos / Laudos / Avulsos"))))</f>
        <v/>
      </c>
      <c r="Q54" s="64">
        <f>IF(P54="","",IF(P54="Carteira recorrente","Operação recorrente",IF(P54="PCMSO","Projetos PCMSO",IF(P54="eSocial / Psicossocial","Projetos eSocial/Psicossocial","Projetos / Laudos / Avulsos"))))</f>
        <v/>
      </c>
      <c r="R54" s="64">
        <f>IF(C54="","",IF(ISNUMBER(SEARCH("PCMSO",C54)),"Título com PCMSO no nome",IF(OR(ISNUMBER(SEARCH("E-SOCIAL",C54)),ISNUMBER(SEARCH("PSICOSOCIAL",C54))),"Título com eSocial/Psicossocial no nome",IF(O54="Receita recorrente","Tipo DRE recorrente","Extra sem palavra-chave específica"))))</f>
        <v/>
      </c>
    </row>
    <row r="55">
      <c r="A55" s="28" t="n"/>
      <c r="B55" s="28" t="n"/>
      <c r="C55" s="28" t="n"/>
      <c r="D55" s="29" t="n"/>
      <c r="E55" s="29" t="n"/>
      <c r="F55" s="29" t="n"/>
      <c r="G55" s="28" t="n"/>
      <c r="H55" s="18" t="n"/>
      <c r="I55" s="18" t="n"/>
      <c r="J55" s="28" t="n"/>
      <c r="K55" s="4">
        <f>IF(J55="","",IF(OR(J55="Recebido",F55=""),MAX(0,F55-E55),MAX(0,$B$4-E55)))</f>
        <v/>
      </c>
      <c r="L55" s="4">
        <f>IF(K55="","",IF(K55=0,"Em dia",IF(K55&lt;=30,"1-30 dias",IF(K55&lt;=60,"31-60 dias",IF(K55&lt;=90,"61-90 dias","&gt;90 dias")))))</f>
        <v/>
      </c>
      <c r="M55" s="28" t="n"/>
      <c r="P55" s="64">
        <f>IF(C55="","",IF(ISNUMBER(SEARCH("PCMSO",C55)),"PCMSO",IF(OR(ISNUMBER(SEARCH("E-SOCIAL",C55)),ISNUMBER(SEARCH("PSICOSOCIAL",C55))),"eSocial / Psicossocial",IF(O55="Receita recorrente","Carteira recorrente","Projetos / Laudos / Avulsos"))))</f>
        <v/>
      </c>
      <c r="Q55" s="64">
        <f>IF(P55="","",IF(P55="Carteira recorrente","Operação recorrente",IF(P55="PCMSO","Projetos PCMSO",IF(P55="eSocial / Psicossocial","Projetos eSocial/Psicossocial","Projetos / Laudos / Avulsos"))))</f>
        <v/>
      </c>
      <c r="R55" s="64">
        <f>IF(C55="","",IF(ISNUMBER(SEARCH("PCMSO",C55)),"Título com PCMSO no nome",IF(OR(ISNUMBER(SEARCH("E-SOCIAL",C55)),ISNUMBER(SEARCH("PSICOSOCIAL",C55))),"Título com eSocial/Psicossocial no nome",IF(O55="Receita recorrente","Tipo DRE recorrente","Extra sem palavra-chave específica"))))</f>
        <v/>
      </c>
    </row>
    <row r="56">
      <c r="A56" s="28" t="n"/>
      <c r="B56" s="28" t="n"/>
      <c r="C56" s="28" t="n"/>
      <c r="D56" s="29" t="n"/>
      <c r="E56" s="29" t="n"/>
      <c r="F56" s="29" t="n"/>
      <c r="G56" s="28" t="n"/>
      <c r="H56" s="18" t="n"/>
      <c r="I56" s="18" t="n"/>
      <c r="J56" s="28" t="n"/>
      <c r="K56" s="4">
        <f>IF(J56="","",IF(OR(J56="Recebido",F56=""),MAX(0,F56-E56),MAX(0,$B$4-E56)))</f>
        <v/>
      </c>
      <c r="L56" s="4">
        <f>IF(K56="","",IF(K56=0,"Em dia",IF(K56&lt;=30,"1-30 dias",IF(K56&lt;=60,"31-60 dias",IF(K56&lt;=90,"61-90 dias","&gt;90 dias")))))</f>
        <v/>
      </c>
      <c r="M56" s="28" t="n"/>
      <c r="P56" s="64">
        <f>IF(C56="","",IF(ISNUMBER(SEARCH("PCMSO",C56)),"PCMSO",IF(OR(ISNUMBER(SEARCH("E-SOCIAL",C56)),ISNUMBER(SEARCH("PSICOSOCIAL",C56))),"eSocial / Psicossocial",IF(O56="Receita recorrente","Carteira recorrente","Projetos / Laudos / Avulsos"))))</f>
        <v/>
      </c>
      <c r="Q56" s="64">
        <f>IF(P56="","",IF(P56="Carteira recorrente","Operação recorrente",IF(P56="PCMSO","Projetos PCMSO",IF(P56="eSocial / Psicossocial","Projetos eSocial/Psicossocial","Projetos / Laudos / Avulsos"))))</f>
        <v/>
      </c>
      <c r="R56" s="64">
        <f>IF(C56="","",IF(ISNUMBER(SEARCH("PCMSO",C56)),"Título com PCMSO no nome",IF(OR(ISNUMBER(SEARCH("E-SOCIAL",C56)),ISNUMBER(SEARCH("PSICOSOCIAL",C56))),"Título com eSocial/Psicossocial no nome",IF(O56="Receita recorrente","Tipo DRE recorrente","Extra sem palavra-chave específica"))))</f>
        <v/>
      </c>
    </row>
    <row r="57">
      <c r="A57" s="28" t="n"/>
      <c r="B57" s="28" t="n"/>
      <c r="C57" s="28" t="n"/>
      <c r="D57" s="29" t="n"/>
      <c r="E57" s="29" t="n"/>
      <c r="F57" s="29" t="n"/>
      <c r="G57" s="28" t="n"/>
      <c r="H57" s="18" t="n"/>
      <c r="I57" s="18" t="n"/>
      <c r="J57" s="28" t="n"/>
      <c r="K57" s="4">
        <f>IF(J57="","",IF(OR(J57="Recebido",F57=""),MAX(0,F57-E57),MAX(0,$B$4-E57)))</f>
        <v/>
      </c>
      <c r="L57" s="4">
        <f>IF(K57="","",IF(K57=0,"Em dia",IF(K57&lt;=30,"1-30 dias",IF(K57&lt;=60,"31-60 dias",IF(K57&lt;=90,"61-90 dias","&gt;90 dias")))))</f>
        <v/>
      </c>
      <c r="M57" s="28" t="n"/>
      <c r="P57" s="64">
        <f>IF(C57="","",IF(ISNUMBER(SEARCH("PCMSO",C57)),"PCMSO",IF(OR(ISNUMBER(SEARCH("E-SOCIAL",C57)),ISNUMBER(SEARCH("PSICOSOCIAL",C57))),"eSocial / Psicossocial",IF(O57="Receita recorrente","Carteira recorrente","Projetos / Laudos / Avulsos"))))</f>
        <v/>
      </c>
      <c r="Q57" s="64">
        <f>IF(P57="","",IF(P57="Carteira recorrente","Operação recorrente",IF(P57="PCMSO","Projetos PCMSO",IF(P57="eSocial / Psicossocial","Projetos eSocial/Psicossocial","Projetos / Laudos / Avulsos"))))</f>
        <v/>
      </c>
      <c r="R57" s="64">
        <f>IF(C57="","",IF(ISNUMBER(SEARCH("PCMSO",C57)),"Título com PCMSO no nome",IF(OR(ISNUMBER(SEARCH("E-SOCIAL",C57)),ISNUMBER(SEARCH("PSICOSOCIAL",C57))),"Título com eSocial/Psicossocial no nome",IF(O57="Receita recorrente","Tipo DRE recorrente","Extra sem palavra-chave específica"))))</f>
        <v/>
      </c>
    </row>
    <row r="58">
      <c r="A58" s="28">
        <f>IF(C58="","", "CR-"&amp;TEXT(ROW()-7,"000"))</f>
        <v/>
      </c>
      <c r="B58" s="28" t="n"/>
      <c r="C58" s="28" t="n"/>
      <c r="D58" s="111" t="n"/>
      <c r="E58" s="111" t="n"/>
      <c r="F58" s="111" t="n"/>
      <c r="G58" s="28" t="n"/>
      <c r="H58" s="45" t="n"/>
      <c r="I58" s="45" t="n"/>
      <c r="J58" s="28">
        <f>IF(H58="","",IF(I58&gt;=H58,"Recebido",IF($B$4&gt;E58,"Vencido","Aberto")))</f>
        <v/>
      </c>
      <c r="K58" s="4">
        <f>IF(J58="","",IF(OR(J58="Recebido",F58=""),MAX(0,F58-E58),MAX(0,$B$4-E58)))</f>
        <v/>
      </c>
      <c r="L58" s="4">
        <f>IF(K58="","",IF(K58=0,"Em dia",IF(K58&lt;=30,"1-30 dias",IF(K58&lt;=60,"31-60 dias",IF(K58&lt;=90,"61-90 dias","&gt;90 dias")))))</f>
        <v/>
      </c>
      <c r="M58" s="28" t="n"/>
      <c r="N58" s="104" t="inlineStr"/>
      <c r="O58" s="64" t="n"/>
      <c r="P58" s="64">
        <f>IF(C58="","",IF(ISNUMBER(SEARCH("PCMSO",C58)),"PCMSO",IF(OR(ISNUMBER(SEARCH("E-SOCIAL",C58)),ISNUMBER(SEARCH("PSICOSOCIAL",C58))),"eSocial / Psicossocial",IF(O58="Receita recorrente","Carteira recorrente","Projetos / Laudos / Avulsos"))))</f>
        <v/>
      </c>
      <c r="Q58" s="64">
        <f>IF(P58="","",IF(P58="Carteira recorrente","Operação recorrente",IF(P58="PCMSO","Projetos PCMSO",IF(P58="eSocial / Psicossocial","Projetos eSocial/Psicossocial","Projetos / Laudos / Avulsos"))))</f>
        <v/>
      </c>
      <c r="R58" s="64">
        <f>IF(C58="","",IF(ISNUMBER(SEARCH("PCMSO",C58)),"Título com PCMSO no nome",IF(OR(ISNUMBER(SEARCH("E-SOCIAL",C58)),ISNUMBER(SEARCH("PSICOSOCIAL",C58))),"Título com eSocial/Psicossocial no nome",IF(O58="Receita recorrente","Tipo DRE recorrente","Extra sem palavra-chave específica"))))</f>
        <v/>
      </c>
      <c r="S58" s="92">
        <f>IFERROR(VLOOKUP($A58,'13. Mapa Títulos-Receita'!$A$8:$P$1000,4,FALSE),"")</f>
        <v/>
      </c>
      <c r="T58" s="92">
        <f>IFERROR(VLOOKUP($A58,'13. Mapa Títulos-Receita'!$A$8:$P$1000,5,FALSE),"")</f>
        <v/>
      </c>
      <c r="U58" s="92">
        <f>IFERROR(VLOOKUP($A58,'13. Mapa Títulos-Receita'!$A$8:$P$1000,6,FALSE),"")</f>
        <v/>
      </c>
      <c r="V58" s="92">
        <f>IFERROR(VLOOKUP($A58,'13. Mapa Títulos-Receita'!$A$8:$P$1000,7,FALSE),"")</f>
        <v/>
      </c>
      <c r="W58" s="92">
        <f>IFERROR(VLOOKUP($A58,'13. Mapa Títulos-Receita'!$A$8:$P$1000,8,FALSE),"")</f>
        <v/>
      </c>
      <c r="X58" s="92">
        <f>IFERROR(VLOOKUP($A58,'13. Mapa Títulos-Receita'!$A$8:$P$1000,9,FALSE),"")</f>
        <v/>
      </c>
      <c r="Y58" s="92">
        <f>IFERROR(VLOOKUP($A58,'13. Mapa Títulos-Receita'!$A$8:$P$1000,10,FALSE),"")</f>
        <v/>
      </c>
      <c r="Z58" s="92">
        <f>IFERROR(VLOOKUP($A58,'13. Mapa Títulos-Receita'!$A$8:$P$1000,11,FALSE),"")</f>
        <v/>
      </c>
      <c r="AA58" s="92">
        <f>IFERROR(VLOOKUP($A58,'13. Mapa Títulos-Receita'!$A$8:$P$1000,12,FALSE),"")</f>
        <v/>
      </c>
      <c r="AB58" s="92">
        <f>IFERROR(VLOOKUP($A58,'13. Mapa Títulos-Receita'!$A$8:$P$1000,13,FALSE),"")</f>
        <v/>
      </c>
      <c r="AC58" s="92">
        <f>IFERROR(VLOOKUP($A58,'13. Mapa Títulos-Receita'!$A$8:$P$1000,14,FALSE),"")</f>
        <v/>
      </c>
      <c r="AD58" s="92">
        <f>IFERROR(VLOOKUP($A58,'13. Mapa Títulos-Receita'!$A$8:$P$1000,15,FALSE),"")</f>
        <v/>
      </c>
      <c r="AE58" s="92">
        <f>IFERROR(VLOOKUP($A58,'13. Mapa Títulos-Receita'!$A$8:$P$1000,16,FALSE),"")</f>
        <v/>
      </c>
    </row>
    <row r="59">
      <c r="A59" s="28">
        <f>IF(C59="","", "CR-"&amp;TEXT(ROW()-7,"000"))</f>
        <v/>
      </c>
      <c r="B59" s="28" t="n"/>
      <c r="C59" s="28" t="n"/>
      <c r="D59" s="111" t="n"/>
      <c r="E59" s="111" t="n"/>
      <c r="F59" s="111" t="n"/>
      <c r="G59" s="28" t="n"/>
      <c r="H59" s="45" t="n"/>
      <c r="I59" s="45" t="n"/>
      <c r="J59" s="28">
        <f>IF(H59="","",IF(I59&gt;=H59,"Recebido",IF($B$4&gt;E59,"Vencido","Aberto")))</f>
        <v/>
      </c>
      <c r="K59" s="4">
        <f>IF(J59="","",IF(OR(J59="Recebido",F59=""),MAX(0,F59-E59),MAX(0,$B$4-E59)))</f>
        <v/>
      </c>
      <c r="L59" s="4">
        <f>IF(K59="","",IF(K59=0,"Em dia",IF(K59&lt;=30,"1-30 dias",IF(K59&lt;=60,"31-60 dias",IF(K59&lt;=90,"61-90 dias","&gt;90 dias")))))</f>
        <v/>
      </c>
      <c r="M59" s="28" t="n"/>
      <c r="N59" s="104" t="inlineStr"/>
      <c r="O59" s="64" t="n"/>
      <c r="P59" s="64">
        <f>IF(C59="","",IF(ISNUMBER(SEARCH("PCMSO",C59)),"PCMSO",IF(OR(ISNUMBER(SEARCH("E-SOCIAL",C59)),ISNUMBER(SEARCH("PSICOSOCIAL",C59))),"eSocial / Psicossocial",IF(O59="Receita recorrente","Carteira recorrente","Projetos / Laudos / Avulsos"))))</f>
        <v/>
      </c>
      <c r="Q59" s="64">
        <f>IF(P59="","",IF(P59="Carteira recorrente","Operação recorrente",IF(P59="PCMSO","Projetos PCMSO",IF(P59="eSocial / Psicossocial","Projetos eSocial/Psicossocial","Projetos / Laudos / Avulsos"))))</f>
        <v/>
      </c>
      <c r="R59" s="64">
        <f>IF(C59="","",IF(ISNUMBER(SEARCH("PCMSO",C59)),"Título com PCMSO no nome",IF(OR(ISNUMBER(SEARCH("E-SOCIAL",C59)),ISNUMBER(SEARCH("PSICOSOCIAL",C59))),"Título com eSocial/Psicossocial no nome",IF(O59="Receita recorrente","Tipo DRE recorrente","Extra sem palavra-chave específica"))))</f>
        <v/>
      </c>
      <c r="S59" s="92">
        <f>IFERROR(VLOOKUP($A59,'13. Mapa Títulos-Receita'!$A$8:$P$1000,4,FALSE),"")</f>
        <v/>
      </c>
      <c r="T59" s="92">
        <f>IFERROR(VLOOKUP($A59,'13. Mapa Títulos-Receita'!$A$8:$P$1000,5,FALSE),"")</f>
        <v/>
      </c>
      <c r="U59" s="92">
        <f>IFERROR(VLOOKUP($A59,'13. Mapa Títulos-Receita'!$A$8:$P$1000,6,FALSE),"")</f>
        <v/>
      </c>
      <c r="V59" s="92">
        <f>IFERROR(VLOOKUP($A59,'13. Mapa Títulos-Receita'!$A$8:$P$1000,7,FALSE),"")</f>
        <v/>
      </c>
      <c r="W59" s="92">
        <f>IFERROR(VLOOKUP($A59,'13. Mapa Títulos-Receita'!$A$8:$P$1000,8,FALSE),"")</f>
        <v/>
      </c>
      <c r="X59" s="92">
        <f>IFERROR(VLOOKUP($A59,'13. Mapa Títulos-Receita'!$A$8:$P$1000,9,FALSE),"")</f>
        <v/>
      </c>
      <c r="Y59" s="92">
        <f>IFERROR(VLOOKUP($A59,'13. Mapa Títulos-Receita'!$A$8:$P$1000,10,FALSE),"")</f>
        <v/>
      </c>
      <c r="Z59" s="92">
        <f>IFERROR(VLOOKUP($A59,'13. Mapa Títulos-Receita'!$A$8:$P$1000,11,FALSE),"")</f>
        <v/>
      </c>
      <c r="AA59" s="92">
        <f>IFERROR(VLOOKUP($A59,'13. Mapa Títulos-Receita'!$A$8:$P$1000,12,FALSE),"")</f>
        <v/>
      </c>
      <c r="AB59" s="92">
        <f>IFERROR(VLOOKUP($A59,'13. Mapa Títulos-Receita'!$A$8:$P$1000,13,FALSE),"")</f>
        <v/>
      </c>
      <c r="AC59" s="92">
        <f>IFERROR(VLOOKUP($A59,'13. Mapa Títulos-Receita'!$A$8:$P$1000,14,FALSE),"")</f>
        <v/>
      </c>
      <c r="AD59" s="92">
        <f>IFERROR(VLOOKUP($A59,'13. Mapa Títulos-Receita'!$A$8:$P$1000,15,FALSE),"")</f>
        <v/>
      </c>
      <c r="AE59" s="92">
        <f>IFERROR(VLOOKUP($A59,'13. Mapa Títulos-Receita'!$A$8:$P$1000,16,FALSE),"")</f>
        <v/>
      </c>
    </row>
    <row r="60">
      <c r="A60" s="28">
        <f>IF(C60="","", "CR-"&amp;TEXT(ROW()-7,"000"))</f>
        <v/>
      </c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  <c r="AA60" s="50" t="n"/>
      <c r="AB60" s="50" t="n"/>
      <c r="AC60" s="50" t="n"/>
      <c r="AD60" s="50" t="n"/>
      <c r="AE60" s="51" t="n"/>
    </row>
    <row r="61">
      <c r="A61" s="28">
        <f>IF(C61="","", "CR-"&amp;TEXT(ROW()-7,"000"))</f>
        <v/>
      </c>
      <c r="B61" s="28" t="n"/>
      <c r="C61" s="28" t="n"/>
      <c r="D61" s="111" t="n"/>
      <c r="E61" s="111" t="n"/>
      <c r="F61" s="111" t="n"/>
      <c r="G61" s="28" t="n"/>
      <c r="H61" s="45" t="n"/>
      <c r="I61" s="45" t="n"/>
      <c r="J61" s="28">
        <f>IF(H61="","",IF(I61&gt;=H61,"Recebido",IF($B$4&gt;E61,"Vencido","Aberto")))</f>
        <v/>
      </c>
      <c r="K61" s="4">
        <f>IF(J61="","",IF(OR(J61="Recebido",F61=""),MAX(0,F61-E61),MAX(0,$B$4-E61)))</f>
        <v/>
      </c>
      <c r="L61" s="4">
        <f>IF(K61="","",IF(K61=0,"Em dia",IF(K61&lt;=30,"1-30 dias",IF(K61&lt;=60,"31-60 dias",IF(K61&lt;=90,"61-90 dias","&gt;90 dias")))))</f>
        <v/>
      </c>
      <c r="M61" s="28" t="n"/>
      <c r="N61" s="104" t="inlineStr"/>
      <c r="O61" s="64" t="n"/>
      <c r="P61" s="64">
        <f>IF(C61="","",IF(ISNUMBER(SEARCH("PCMSO",C61)),"PCMSO",IF(OR(ISNUMBER(SEARCH("E-SOCIAL",C61)),ISNUMBER(SEARCH("PSICOSOCIAL",C61))),"eSocial / Psicossocial",IF(O61="Receita recorrente","Carteira recorrente","Projetos / Laudos / Avulsos"))))</f>
        <v/>
      </c>
      <c r="Q61" s="64">
        <f>IF(P61="","",IF(P61="Carteira recorrente","Operação recorrente",IF(P61="PCMSO","Projetos PCMSO",IF(P61="eSocial / Psicossocial","Projetos eSocial/Psicossocial","Projetos / Laudos / Avulsos"))))</f>
        <v/>
      </c>
      <c r="R61" s="64">
        <f>IF(C61="","",IF(ISNUMBER(SEARCH("PCMSO",C61)),"Título com PCMSO no nome",IF(OR(ISNUMBER(SEARCH("E-SOCIAL",C61)),ISNUMBER(SEARCH("PSICOSOCIAL",C61))),"Título com eSocial/Psicossocial no nome",IF(O61="Receita recorrente","Tipo DRE recorrente","Extra sem palavra-chave específica"))))</f>
        <v/>
      </c>
      <c r="S61" s="92">
        <f>IFERROR(VLOOKUP($A61,'13. Mapa Títulos-Receita'!$A$8:$P$1000,4,FALSE),"")</f>
        <v/>
      </c>
      <c r="T61" s="92">
        <f>IFERROR(VLOOKUP($A61,'13. Mapa Títulos-Receita'!$A$8:$P$1000,5,FALSE),"")</f>
        <v/>
      </c>
      <c r="U61" s="92">
        <f>IFERROR(VLOOKUP($A61,'13. Mapa Títulos-Receita'!$A$8:$P$1000,6,FALSE),"")</f>
        <v/>
      </c>
      <c r="V61" s="92">
        <f>IFERROR(VLOOKUP($A61,'13. Mapa Títulos-Receita'!$A$8:$P$1000,7,FALSE),"")</f>
        <v/>
      </c>
      <c r="W61" s="92">
        <f>IFERROR(VLOOKUP($A61,'13. Mapa Títulos-Receita'!$A$8:$P$1000,8,FALSE),"")</f>
        <v/>
      </c>
      <c r="X61" s="92">
        <f>IFERROR(VLOOKUP($A61,'13. Mapa Títulos-Receita'!$A$8:$P$1000,9,FALSE),"")</f>
        <v/>
      </c>
      <c r="Y61" s="92">
        <f>IFERROR(VLOOKUP($A61,'13. Mapa Títulos-Receita'!$A$8:$P$1000,10,FALSE),"")</f>
        <v/>
      </c>
      <c r="Z61" s="92">
        <f>IFERROR(VLOOKUP($A61,'13. Mapa Títulos-Receita'!$A$8:$P$1000,11,FALSE),"")</f>
        <v/>
      </c>
      <c r="AA61" s="92">
        <f>IFERROR(VLOOKUP($A61,'13. Mapa Títulos-Receita'!$A$8:$P$1000,12,FALSE),"")</f>
        <v/>
      </c>
      <c r="AB61" s="92">
        <f>IFERROR(VLOOKUP($A61,'13. Mapa Títulos-Receita'!$A$8:$P$1000,13,FALSE),"")</f>
        <v/>
      </c>
      <c r="AC61" s="92">
        <f>IFERROR(VLOOKUP($A61,'13. Mapa Títulos-Receita'!$A$8:$P$1000,14,FALSE),"")</f>
        <v/>
      </c>
      <c r="AD61" s="92">
        <f>IFERROR(VLOOKUP($A61,'13. Mapa Títulos-Receita'!$A$8:$P$1000,15,FALSE),"")</f>
        <v/>
      </c>
      <c r="AE61" s="92">
        <f>IFERROR(VLOOKUP($A61,'13. Mapa Títulos-Receita'!$A$8:$P$1000,16,FALSE),"")</f>
        <v/>
      </c>
    </row>
    <row r="62">
      <c r="A62" s="28">
        <f>IF(C62="","", "CR-"&amp;TEXT(ROW()-7,"000"))</f>
        <v/>
      </c>
      <c r="B62" s="28" t="n"/>
      <c r="C62" s="28" t="n"/>
      <c r="D62" s="111" t="n"/>
      <c r="E62" s="111" t="n"/>
      <c r="F62" s="111" t="n"/>
      <c r="G62" s="28" t="n"/>
      <c r="H62" s="45" t="n"/>
      <c r="I62" s="45" t="n"/>
      <c r="J62" s="28">
        <f>IF(H62="","",IF(I62&gt;=H62,"Recebido",IF($B$4&gt;E62,"Vencido","Aberto")))</f>
        <v/>
      </c>
      <c r="K62" s="4">
        <f>IF(J62="","",IF(OR(J62="Recebido",F62=""),MAX(0,F62-E62),MAX(0,$B$4-E62)))</f>
        <v/>
      </c>
      <c r="L62" s="4">
        <f>IF(K62="","",IF(K62=0,"Em dia",IF(K62&lt;=30,"1-30 dias",IF(K62&lt;=60,"31-60 dias",IF(K62&lt;=90,"61-90 dias","&gt;90 dias")))))</f>
        <v/>
      </c>
      <c r="M62" s="28" t="n"/>
      <c r="N62" s="104" t="inlineStr"/>
      <c r="O62" s="64" t="n"/>
      <c r="P62" s="64">
        <f>IF(C62="","",IF(ISNUMBER(SEARCH("PCMSO",C62)),"PCMSO",IF(OR(ISNUMBER(SEARCH("E-SOCIAL",C62)),ISNUMBER(SEARCH("PSICOSOCIAL",C62))),"eSocial / Psicossocial",IF(O62="Receita recorrente","Carteira recorrente","Projetos / Laudos / Avulsos"))))</f>
        <v/>
      </c>
      <c r="Q62" s="64">
        <f>IF(P62="","",IF(P62="Carteira recorrente","Operação recorrente",IF(P62="PCMSO","Projetos PCMSO",IF(P62="eSocial / Psicossocial","Projetos eSocial/Psicossocial","Projetos / Laudos / Avulsos"))))</f>
        <v/>
      </c>
      <c r="R62" s="64">
        <f>IF(C62="","",IF(ISNUMBER(SEARCH("PCMSO",C62)),"Título com PCMSO no nome",IF(OR(ISNUMBER(SEARCH("E-SOCIAL",C62)),ISNUMBER(SEARCH("PSICOSOCIAL",C62))),"Título com eSocial/Psicossocial no nome",IF(O62="Receita recorrente","Tipo DRE recorrente","Extra sem palavra-chave específica"))))</f>
        <v/>
      </c>
      <c r="S62" s="92">
        <f>IFERROR(VLOOKUP($A62,'13. Mapa Títulos-Receita'!$A$8:$P$1000,4,FALSE),"")</f>
        <v/>
      </c>
      <c r="T62" s="92">
        <f>IFERROR(VLOOKUP($A62,'13. Mapa Títulos-Receita'!$A$8:$P$1000,5,FALSE),"")</f>
        <v/>
      </c>
      <c r="U62" s="92">
        <f>IFERROR(VLOOKUP($A62,'13. Mapa Títulos-Receita'!$A$8:$P$1000,6,FALSE),"")</f>
        <v/>
      </c>
      <c r="V62" s="92">
        <f>IFERROR(VLOOKUP($A62,'13. Mapa Títulos-Receita'!$A$8:$P$1000,7,FALSE),"")</f>
        <v/>
      </c>
      <c r="W62" s="92">
        <f>IFERROR(VLOOKUP($A62,'13. Mapa Títulos-Receita'!$A$8:$P$1000,8,FALSE),"")</f>
        <v/>
      </c>
      <c r="X62" s="92">
        <f>IFERROR(VLOOKUP($A62,'13. Mapa Títulos-Receita'!$A$8:$P$1000,9,FALSE),"")</f>
        <v/>
      </c>
      <c r="Y62" s="92">
        <f>IFERROR(VLOOKUP($A62,'13. Mapa Títulos-Receita'!$A$8:$P$1000,10,FALSE),"")</f>
        <v/>
      </c>
      <c r="Z62" s="92">
        <f>IFERROR(VLOOKUP($A62,'13. Mapa Títulos-Receita'!$A$8:$P$1000,11,FALSE),"")</f>
        <v/>
      </c>
      <c r="AA62" s="92">
        <f>IFERROR(VLOOKUP($A62,'13. Mapa Títulos-Receita'!$A$8:$P$1000,12,FALSE),"")</f>
        <v/>
      </c>
      <c r="AB62" s="92">
        <f>IFERROR(VLOOKUP($A62,'13. Mapa Títulos-Receita'!$A$8:$P$1000,13,FALSE),"")</f>
        <v/>
      </c>
      <c r="AC62" s="92">
        <f>IFERROR(VLOOKUP($A62,'13. Mapa Títulos-Receita'!$A$8:$P$1000,14,FALSE),"")</f>
        <v/>
      </c>
      <c r="AD62" s="92">
        <f>IFERROR(VLOOKUP($A62,'13. Mapa Títulos-Receita'!$A$8:$P$1000,15,FALSE),"")</f>
        <v/>
      </c>
      <c r="AE62" s="92">
        <f>IFERROR(VLOOKUP($A62,'13. Mapa Títulos-Receita'!$A$8:$P$1000,16,FALSE),"")</f>
        <v/>
      </c>
    </row>
    <row r="63">
      <c r="A63" s="28">
        <f>IF(C63="","", "CR-"&amp;TEXT(ROW()-7,"000"))</f>
        <v/>
      </c>
      <c r="B63" s="28" t="n"/>
      <c r="C63" s="28" t="n"/>
      <c r="D63" s="111" t="n"/>
      <c r="E63" s="111" t="n"/>
      <c r="F63" s="111" t="n"/>
      <c r="G63" s="28" t="n"/>
      <c r="H63" s="45" t="n"/>
      <c r="I63" s="45" t="n"/>
      <c r="J63" s="28">
        <f>IF(H63="","",IF(I63&gt;=H63,"Recebido",IF($B$4&gt;E63,"Vencido","Aberto")))</f>
        <v/>
      </c>
      <c r="K63" s="4">
        <f>IF(J63="","",IF(OR(J63="Recebido",F63=""),MAX(0,F63-E63),MAX(0,$B$4-E63)))</f>
        <v/>
      </c>
      <c r="L63" s="4">
        <f>IF(K63="","",IF(K63=0,"Em dia",IF(K63&lt;=30,"1-30 dias",IF(K63&lt;=60,"31-60 dias",IF(K63&lt;=90,"61-90 dias","&gt;90 dias")))))</f>
        <v/>
      </c>
      <c r="M63" s="28" t="n"/>
      <c r="N63" s="104" t="inlineStr"/>
      <c r="O63" s="64" t="n"/>
      <c r="P63" s="64">
        <f>IF(C63="","",IF(ISNUMBER(SEARCH("PCMSO",C63)),"PCMSO",IF(OR(ISNUMBER(SEARCH("E-SOCIAL",C63)),ISNUMBER(SEARCH("PSICOSOCIAL",C63))),"eSocial / Psicossocial",IF(O63="Receita recorrente","Carteira recorrente","Projetos / Laudos / Avulsos"))))</f>
        <v/>
      </c>
      <c r="Q63" s="64">
        <f>IF(P63="","",IF(P63="Carteira recorrente","Operação recorrente",IF(P63="PCMSO","Projetos PCMSO",IF(P63="eSocial / Psicossocial","Projetos eSocial/Psicossocial","Projetos / Laudos / Avulsos"))))</f>
        <v/>
      </c>
      <c r="R63" s="64">
        <f>IF(C63="","",IF(ISNUMBER(SEARCH("PCMSO",C63)),"Título com PCMSO no nome",IF(OR(ISNUMBER(SEARCH("E-SOCIAL",C63)),ISNUMBER(SEARCH("PSICOSOCIAL",C63))),"Título com eSocial/Psicossocial no nome",IF(O63="Receita recorrente","Tipo DRE recorrente","Extra sem palavra-chave específica"))))</f>
        <v/>
      </c>
      <c r="S63" s="92">
        <f>IFERROR(VLOOKUP($A63,'13. Mapa Títulos-Receita'!$A$8:$P$1000,4,FALSE),"")</f>
        <v/>
      </c>
      <c r="T63" s="92">
        <f>IFERROR(VLOOKUP($A63,'13. Mapa Títulos-Receita'!$A$8:$P$1000,5,FALSE),"")</f>
        <v/>
      </c>
      <c r="U63" s="92">
        <f>IFERROR(VLOOKUP($A63,'13. Mapa Títulos-Receita'!$A$8:$P$1000,6,FALSE),"")</f>
        <v/>
      </c>
      <c r="V63" s="92">
        <f>IFERROR(VLOOKUP($A63,'13. Mapa Títulos-Receita'!$A$8:$P$1000,7,FALSE),"")</f>
        <v/>
      </c>
      <c r="W63" s="92">
        <f>IFERROR(VLOOKUP($A63,'13. Mapa Títulos-Receita'!$A$8:$P$1000,8,FALSE),"")</f>
        <v/>
      </c>
      <c r="X63" s="92">
        <f>IFERROR(VLOOKUP($A63,'13. Mapa Títulos-Receita'!$A$8:$P$1000,9,FALSE),"")</f>
        <v/>
      </c>
      <c r="Y63" s="92">
        <f>IFERROR(VLOOKUP($A63,'13. Mapa Títulos-Receita'!$A$8:$P$1000,10,FALSE),"")</f>
        <v/>
      </c>
      <c r="Z63" s="92">
        <f>IFERROR(VLOOKUP($A63,'13. Mapa Títulos-Receita'!$A$8:$P$1000,11,FALSE),"")</f>
        <v/>
      </c>
      <c r="AA63" s="92">
        <f>IFERROR(VLOOKUP($A63,'13. Mapa Títulos-Receita'!$A$8:$P$1000,12,FALSE),"")</f>
        <v/>
      </c>
      <c r="AB63" s="92">
        <f>IFERROR(VLOOKUP($A63,'13. Mapa Títulos-Receita'!$A$8:$P$1000,13,FALSE),"")</f>
        <v/>
      </c>
      <c r="AC63" s="92">
        <f>IFERROR(VLOOKUP($A63,'13. Mapa Títulos-Receita'!$A$8:$P$1000,14,FALSE),"")</f>
        <v/>
      </c>
      <c r="AD63" s="92">
        <f>IFERROR(VLOOKUP($A63,'13. Mapa Títulos-Receita'!$A$8:$P$1000,15,FALSE),"")</f>
        <v/>
      </c>
      <c r="AE63" s="92">
        <f>IFERROR(VLOOKUP($A63,'13. Mapa Títulos-Receita'!$A$8:$P$1000,16,FALSE),"")</f>
        <v/>
      </c>
    </row>
    <row r="64">
      <c r="A64" s="28">
        <f>IF(C64="","", "CR-"&amp;TEXT(ROW()-7,"000"))</f>
        <v/>
      </c>
      <c r="B64" s="28" t="n"/>
      <c r="C64" s="28" t="n"/>
      <c r="D64" s="111" t="n"/>
      <c r="E64" s="111" t="n"/>
      <c r="F64" s="111" t="n"/>
      <c r="G64" s="28" t="n"/>
      <c r="H64" s="45" t="n"/>
      <c r="I64" s="45" t="n"/>
      <c r="J64" s="28">
        <f>IF(H64="","",IF(I64&gt;=H64,"Recebido",IF($B$4&gt;E64,"Vencido","Aberto")))</f>
        <v/>
      </c>
      <c r="K64" s="4">
        <f>IF(J64="","",IF(OR(J64="Recebido",F64=""),MAX(0,F64-E64),MAX(0,$B$4-E64)))</f>
        <v/>
      </c>
      <c r="L64" s="4">
        <f>IF(K64="","",IF(K64=0,"Em dia",IF(K64&lt;=30,"1-30 dias",IF(K64&lt;=60,"31-60 dias",IF(K64&lt;=90,"61-90 dias","&gt;90 dias")))))</f>
        <v/>
      </c>
      <c r="M64" s="28" t="n"/>
      <c r="N64" s="104" t="inlineStr"/>
      <c r="O64" s="64" t="n"/>
      <c r="P64" s="64">
        <f>IF(C64="","",IF(ISNUMBER(SEARCH("PCMSO",C64)),"PCMSO",IF(OR(ISNUMBER(SEARCH("E-SOCIAL",C64)),ISNUMBER(SEARCH("PSICOSOCIAL",C64))),"eSocial / Psicossocial",IF(O64="Receita recorrente","Carteira recorrente","Projetos / Laudos / Avulsos"))))</f>
        <v/>
      </c>
      <c r="Q64" s="64">
        <f>IF(P64="","",IF(P64="Carteira recorrente","Operação recorrente",IF(P64="PCMSO","Projetos PCMSO",IF(P64="eSocial / Psicossocial","Projetos eSocial/Psicossocial","Projetos / Laudos / Avulsos"))))</f>
        <v/>
      </c>
      <c r="R64" s="64">
        <f>IF(C64="","",IF(ISNUMBER(SEARCH("PCMSO",C64)),"Título com PCMSO no nome",IF(OR(ISNUMBER(SEARCH("E-SOCIAL",C64)),ISNUMBER(SEARCH("PSICOSOCIAL",C64))),"Título com eSocial/Psicossocial no nome",IF(O64="Receita recorrente","Tipo DRE recorrente","Extra sem palavra-chave específica"))))</f>
        <v/>
      </c>
      <c r="S64" s="92">
        <f>IFERROR(VLOOKUP($A64,'13. Mapa Títulos-Receita'!$A$8:$P$1000,4,FALSE),"")</f>
        <v/>
      </c>
      <c r="T64" s="92">
        <f>IFERROR(VLOOKUP($A64,'13. Mapa Títulos-Receita'!$A$8:$P$1000,5,FALSE),"")</f>
        <v/>
      </c>
      <c r="U64" s="92">
        <f>IFERROR(VLOOKUP($A64,'13. Mapa Títulos-Receita'!$A$8:$P$1000,6,FALSE),"")</f>
        <v/>
      </c>
      <c r="V64" s="92">
        <f>IFERROR(VLOOKUP($A64,'13. Mapa Títulos-Receita'!$A$8:$P$1000,7,FALSE),"")</f>
        <v/>
      </c>
      <c r="W64" s="92">
        <f>IFERROR(VLOOKUP($A64,'13. Mapa Títulos-Receita'!$A$8:$P$1000,8,FALSE),"")</f>
        <v/>
      </c>
      <c r="X64" s="92">
        <f>IFERROR(VLOOKUP($A64,'13. Mapa Títulos-Receita'!$A$8:$P$1000,9,FALSE),"")</f>
        <v/>
      </c>
      <c r="Y64" s="92">
        <f>IFERROR(VLOOKUP($A64,'13. Mapa Títulos-Receita'!$A$8:$P$1000,10,FALSE),"")</f>
        <v/>
      </c>
      <c r="Z64" s="92">
        <f>IFERROR(VLOOKUP($A64,'13. Mapa Títulos-Receita'!$A$8:$P$1000,11,FALSE),"")</f>
        <v/>
      </c>
      <c r="AA64" s="92">
        <f>IFERROR(VLOOKUP($A64,'13. Mapa Títulos-Receita'!$A$8:$P$1000,12,FALSE),"")</f>
        <v/>
      </c>
      <c r="AB64" s="92">
        <f>IFERROR(VLOOKUP($A64,'13. Mapa Títulos-Receita'!$A$8:$P$1000,13,FALSE),"")</f>
        <v/>
      </c>
      <c r="AC64" s="92">
        <f>IFERROR(VLOOKUP($A64,'13. Mapa Títulos-Receita'!$A$8:$P$1000,14,FALSE),"")</f>
        <v/>
      </c>
      <c r="AD64" s="92">
        <f>IFERROR(VLOOKUP($A64,'13. Mapa Títulos-Receita'!$A$8:$P$1000,15,FALSE),"")</f>
        <v/>
      </c>
      <c r="AE64" s="92">
        <f>IFERROR(VLOOKUP($A64,'13. Mapa Títulos-Receita'!$A$8:$P$1000,16,FALSE),"")</f>
        <v/>
      </c>
    </row>
    <row r="65">
      <c r="A65" s="28">
        <f>IF(C65="","", "CR-"&amp;TEXT(ROW()-7,"000"))</f>
        <v/>
      </c>
      <c r="B65" s="28" t="n"/>
      <c r="C65" s="28" t="n"/>
      <c r="D65" s="111" t="n"/>
      <c r="E65" s="111" t="n"/>
      <c r="F65" s="111" t="n"/>
      <c r="G65" s="28" t="n"/>
      <c r="H65" s="45" t="n"/>
      <c r="I65" s="45" t="n"/>
      <c r="J65" s="28">
        <f>IF(H65="","",IF(I65&gt;=H65,"Recebido",IF($B$4&gt;E65,"Vencido","Aberto")))</f>
        <v/>
      </c>
      <c r="K65" s="4">
        <f>IF(J65="","",IF(OR(J65="Recebido",F65=""),MAX(0,F65-E65),MAX(0,$B$4-E65)))</f>
        <v/>
      </c>
      <c r="L65" s="4">
        <f>IF(K65="","",IF(K65=0,"Em dia",IF(K65&lt;=30,"1-30 dias",IF(K65&lt;=60,"31-60 dias",IF(K65&lt;=90,"61-90 dias","&gt;90 dias")))))</f>
        <v/>
      </c>
      <c r="M65" s="28" t="n"/>
      <c r="N65" s="104" t="inlineStr"/>
      <c r="O65" s="64" t="n"/>
      <c r="P65" s="64">
        <f>IF(C65="","",IF(ISNUMBER(SEARCH("PCMSO",C65)),"PCMSO",IF(OR(ISNUMBER(SEARCH("E-SOCIAL",C65)),ISNUMBER(SEARCH("PSICOSOCIAL",C65))),"eSocial / Psicossocial",IF(O65="Receita recorrente","Carteira recorrente","Projetos / Laudos / Avulsos"))))</f>
        <v/>
      </c>
      <c r="Q65" s="64">
        <f>IF(P65="","",IF(P65="Carteira recorrente","Operação recorrente",IF(P65="PCMSO","Projetos PCMSO",IF(P65="eSocial / Psicossocial","Projetos eSocial/Psicossocial","Projetos / Laudos / Avulsos"))))</f>
        <v/>
      </c>
      <c r="R65" s="64">
        <f>IF(C65="","",IF(ISNUMBER(SEARCH("PCMSO",C65)),"Título com PCMSO no nome",IF(OR(ISNUMBER(SEARCH("E-SOCIAL",C65)),ISNUMBER(SEARCH("PSICOSOCIAL",C65))),"Título com eSocial/Psicossocial no nome",IF(O65="Receita recorrente","Tipo DRE recorrente","Extra sem palavra-chave específica"))))</f>
        <v/>
      </c>
      <c r="S65" s="92">
        <f>IFERROR(VLOOKUP($A65,'13. Mapa Títulos-Receita'!$A$8:$P$1000,4,FALSE),"")</f>
        <v/>
      </c>
      <c r="T65" s="92">
        <f>IFERROR(VLOOKUP($A65,'13. Mapa Títulos-Receita'!$A$8:$P$1000,5,FALSE),"")</f>
        <v/>
      </c>
      <c r="U65" s="92">
        <f>IFERROR(VLOOKUP($A65,'13. Mapa Títulos-Receita'!$A$8:$P$1000,6,FALSE),"")</f>
        <v/>
      </c>
      <c r="V65" s="92">
        <f>IFERROR(VLOOKUP($A65,'13. Mapa Títulos-Receita'!$A$8:$P$1000,7,FALSE),"")</f>
        <v/>
      </c>
      <c r="W65" s="92">
        <f>IFERROR(VLOOKUP($A65,'13. Mapa Títulos-Receita'!$A$8:$P$1000,8,FALSE),"")</f>
        <v/>
      </c>
      <c r="X65" s="92">
        <f>IFERROR(VLOOKUP($A65,'13. Mapa Títulos-Receita'!$A$8:$P$1000,9,FALSE),"")</f>
        <v/>
      </c>
      <c r="Y65" s="92">
        <f>IFERROR(VLOOKUP($A65,'13. Mapa Títulos-Receita'!$A$8:$P$1000,10,FALSE),"")</f>
        <v/>
      </c>
      <c r="Z65" s="92">
        <f>IFERROR(VLOOKUP($A65,'13. Mapa Títulos-Receita'!$A$8:$P$1000,11,FALSE),"")</f>
        <v/>
      </c>
      <c r="AA65" s="92">
        <f>IFERROR(VLOOKUP($A65,'13. Mapa Títulos-Receita'!$A$8:$P$1000,12,FALSE),"")</f>
        <v/>
      </c>
      <c r="AB65" s="92">
        <f>IFERROR(VLOOKUP($A65,'13. Mapa Títulos-Receita'!$A$8:$P$1000,13,FALSE),"")</f>
        <v/>
      </c>
      <c r="AC65" s="92">
        <f>IFERROR(VLOOKUP($A65,'13. Mapa Títulos-Receita'!$A$8:$P$1000,14,FALSE),"")</f>
        <v/>
      </c>
      <c r="AD65" s="92">
        <f>IFERROR(VLOOKUP($A65,'13. Mapa Títulos-Receita'!$A$8:$P$1000,15,FALSE),"")</f>
        <v/>
      </c>
      <c r="AE65" s="92">
        <f>IFERROR(VLOOKUP($A65,'13. Mapa Títulos-Receita'!$A$8:$P$1000,16,FALSE),"")</f>
        <v/>
      </c>
    </row>
    <row r="66">
      <c r="A66" s="28">
        <f>IF(C66="","", "CR-"&amp;TEXT(ROW()-7,"000"))</f>
        <v/>
      </c>
      <c r="B66" s="28" t="n"/>
      <c r="C66" s="28" t="n"/>
      <c r="D66" s="111" t="n"/>
      <c r="E66" s="111" t="n"/>
      <c r="F66" s="111" t="n"/>
      <c r="G66" s="28" t="n"/>
      <c r="H66" s="45" t="n"/>
      <c r="I66" s="45" t="n"/>
      <c r="J66" s="28">
        <f>IF(H66="","",IF(I66&gt;=H66,"Recebido",IF($B$4&gt;E66,"Vencido","Aberto")))</f>
        <v/>
      </c>
      <c r="K66" s="4">
        <f>IF(J66="","",IF(OR(J66="Recebido",F66=""),MAX(0,F66-E66),MAX(0,$B$4-E66)))</f>
        <v/>
      </c>
      <c r="L66" s="4">
        <f>IF(K66="","",IF(K66=0,"Em dia",IF(K66&lt;=30,"1-30 dias",IF(K66&lt;=60,"31-60 dias",IF(K66&lt;=90,"61-90 dias","&gt;90 dias")))))</f>
        <v/>
      </c>
      <c r="M66" s="28" t="n"/>
      <c r="N66" s="104" t="inlineStr"/>
      <c r="O66" s="64" t="n"/>
      <c r="P66" s="64">
        <f>IF(C66="","",IF(ISNUMBER(SEARCH("PCMSO",C66)),"PCMSO",IF(OR(ISNUMBER(SEARCH("E-SOCIAL",C66)),ISNUMBER(SEARCH("PSICOSOCIAL",C66))),"eSocial / Psicossocial",IF(O66="Receita recorrente","Carteira recorrente","Projetos / Laudos / Avulsos"))))</f>
        <v/>
      </c>
      <c r="Q66" s="64">
        <f>IF(P66="","",IF(P66="Carteira recorrente","Operação recorrente",IF(P66="PCMSO","Projetos PCMSO",IF(P66="eSocial / Psicossocial","Projetos eSocial/Psicossocial","Projetos / Laudos / Avulsos"))))</f>
        <v/>
      </c>
      <c r="R66" s="64">
        <f>IF(C66="","",IF(ISNUMBER(SEARCH("PCMSO",C66)),"Título com PCMSO no nome",IF(OR(ISNUMBER(SEARCH("E-SOCIAL",C66)),ISNUMBER(SEARCH("PSICOSOCIAL",C66))),"Título com eSocial/Psicossocial no nome",IF(O66="Receita recorrente","Tipo DRE recorrente","Extra sem palavra-chave específica"))))</f>
        <v/>
      </c>
      <c r="S66" s="92">
        <f>IFERROR(VLOOKUP($A66,'13. Mapa Títulos-Receita'!$A$8:$P$1000,4,FALSE),"")</f>
        <v/>
      </c>
      <c r="T66" s="92">
        <f>IFERROR(VLOOKUP($A66,'13. Mapa Títulos-Receita'!$A$8:$P$1000,5,FALSE),"")</f>
        <v/>
      </c>
      <c r="U66" s="92">
        <f>IFERROR(VLOOKUP($A66,'13. Mapa Títulos-Receita'!$A$8:$P$1000,6,FALSE),"")</f>
        <v/>
      </c>
      <c r="V66" s="92">
        <f>IFERROR(VLOOKUP($A66,'13. Mapa Títulos-Receita'!$A$8:$P$1000,7,FALSE),"")</f>
        <v/>
      </c>
      <c r="W66" s="92">
        <f>IFERROR(VLOOKUP($A66,'13. Mapa Títulos-Receita'!$A$8:$P$1000,8,FALSE),"")</f>
        <v/>
      </c>
      <c r="X66" s="92">
        <f>IFERROR(VLOOKUP($A66,'13. Mapa Títulos-Receita'!$A$8:$P$1000,9,FALSE),"")</f>
        <v/>
      </c>
      <c r="Y66" s="92">
        <f>IFERROR(VLOOKUP($A66,'13. Mapa Títulos-Receita'!$A$8:$P$1000,10,FALSE),"")</f>
        <v/>
      </c>
      <c r="Z66" s="92">
        <f>IFERROR(VLOOKUP($A66,'13. Mapa Títulos-Receita'!$A$8:$P$1000,11,FALSE),"")</f>
        <v/>
      </c>
      <c r="AA66" s="92">
        <f>IFERROR(VLOOKUP($A66,'13. Mapa Títulos-Receita'!$A$8:$P$1000,12,FALSE),"")</f>
        <v/>
      </c>
      <c r="AB66" s="92">
        <f>IFERROR(VLOOKUP($A66,'13. Mapa Títulos-Receita'!$A$8:$P$1000,13,FALSE),"")</f>
        <v/>
      </c>
      <c r="AC66" s="92">
        <f>IFERROR(VLOOKUP($A66,'13. Mapa Títulos-Receita'!$A$8:$P$1000,14,FALSE),"")</f>
        <v/>
      </c>
      <c r="AD66" s="92">
        <f>IFERROR(VLOOKUP($A66,'13. Mapa Títulos-Receita'!$A$8:$P$1000,15,FALSE),"")</f>
        <v/>
      </c>
      <c r="AE66" s="92">
        <f>IFERROR(VLOOKUP($A66,'13. Mapa Títulos-Receita'!$A$8:$P$1000,16,FALSE),"")</f>
        <v/>
      </c>
    </row>
    <row r="67">
      <c r="A67" s="28">
        <f>IF(C67="","", "CR-"&amp;TEXT(ROW()-7,"000"))</f>
        <v/>
      </c>
      <c r="B67" s="28" t="n"/>
      <c r="C67" s="28" t="n"/>
      <c r="D67" s="111" t="n"/>
      <c r="E67" s="111" t="n"/>
      <c r="F67" s="111" t="n"/>
      <c r="G67" s="28" t="n"/>
      <c r="H67" s="45" t="n"/>
      <c r="I67" s="45" t="n"/>
      <c r="J67" s="28">
        <f>IF(H67="","",IF(I67&gt;=H67,"Recebido",IF($B$4&gt;E67,"Vencido","Aberto")))</f>
        <v/>
      </c>
      <c r="K67" s="4">
        <f>IF(J67="","",IF(OR(J67="Recebido",F67=""),MAX(0,F67-E67),MAX(0,$B$4-E67)))</f>
        <v/>
      </c>
      <c r="L67" s="4">
        <f>IF(K67="","",IF(K67=0,"Em dia",IF(K67&lt;=30,"1-30 dias",IF(K67&lt;=60,"31-60 dias",IF(K67&lt;=90,"61-90 dias","&gt;90 dias")))))</f>
        <v/>
      </c>
      <c r="M67" s="28" t="n"/>
      <c r="N67" s="104" t="inlineStr"/>
      <c r="O67" s="64" t="n"/>
      <c r="P67" s="64">
        <f>IF(C67="","",IF(ISNUMBER(SEARCH("PCMSO",C67)),"PCMSO",IF(OR(ISNUMBER(SEARCH("E-SOCIAL",C67)),ISNUMBER(SEARCH("PSICOSOCIAL",C67))),"eSocial / Psicossocial",IF(O67="Receita recorrente","Carteira recorrente","Projetos / Laudos / Avulsos"))))</f>
        <v/>
      </c>
      <c r="Q67" s="64">
        <f>IF(P67="","",IF(P67="Carteira recorrente","Operação recorrente",IF(P67="PCMSO","Projetos PCMSO",IF(P67="eSocial / Psicossocial","Projetos eSocial/Psicossocial","Projetos / Laudos / Avulsos"))))</f>
        <v/>
      </c>
      <c r="R67" s="64">
        <f>IF(C67="","",IF(ISNUMBER(SEARCH("PCMSO",C67)),"Título com PCMSO no nome",IF(OR(ISNUMBER(SEARCH("E-SOCIAL",C67)),ISNUMBER(SEARCH("PSICOSOCIAL",C67))),"Título com eSocial/Psicossocial no nome",IF(O67="Receita recorrente","Tipo DRE recorrente","Extra sem palavra-chave específica"))))</f>
        <v/>
      </c>
      <c r="S67" s="92">
        <f>IFERROR(VLOOKUP($A67,'13. Mapa Títulos-Receita'!$A$8:$P$1000,4,FALSE),"")</f>
        <v/>
      </c>
      <c r="T67" s="92">
        <f>IFERROR(VLOOKUP($A67,'13. Mapa Títulos-Receita'!$A$8:$P$1000,5,FALSE),"")</f>
        <v/>
      </c>
      <c r="U67" s="92">
        <f>IFERROR(VLOOKUP($A67,'13. Mapa Títulos-Receita'!$A$8:$P$1000,6,FALSE),"")</f>
        <v/>
      </c>
      <c r="V67" s="92">
        <f>IFERROR(VLOOKUP($A67,'13. Mapa Títulos-Receita'!$A$8:$P$1000,7,FALSE),"")</f>
        <v/>
      </c>
      <c r="W67" s="92">
        <f>IFERROR(VLOOKUP($A67,'13. Mapa Títulos-Receita'!$A$8:$P$1000,8,FALSE),"")</f>
        <v/>
      </c>
      <c r="X67" s="92">
        <f>IFERROR(VLOOKUP($A67,'13. Mapa Títulos-Receita'!$A$8:$P$1000,9,FALSE),"")</f>
        <v/>
      </c>
      <c r="Y67" s="92">
        <f>IFERROR(VLOOKUP($A67,'13. Mapa Títulos-Receita'!$A$8:$P$1000,10,FALSE),"")</f>
        <v/>
      </c>
      <c r="Z67" s="92">
        <f>IFERROR(VLOOKUP($A67,'13. Mapa Títulos-Receita'!$A$8:$P$1000,11,FALSE),"")</f>
        <v/>
      </c>
      <c r="AA67" s="92">
        <f>IFERROR(VLOOKUP($A67,'13. Mapa Títulos-Receita'!$A$8:$P$1000,12,FALSE),"")</f>
        <v/>
      </c>
      <c r="AB67" s="92">
        <f>IFERROR(VLOOKUP($A67,'13. Mapa Títulos-Receita'!$A$8:$P$1000,13,FALSE),"")</f>
        <v/>
      </c>
      <c r="AC67" s="92">
        <f>IFERROR(VLOOKUP($A67,'13. Mapa Títulos-Receita'!$A$8:$P$1000,14,FALSE),"")</f>
        <v/>
      </c>
      <c r="AD67" s="92">
        <f>IFERROR(VLOOKUP($A67,'13. Mapa Títulos-Receita'!$A$8:$P$1000,15,FALSE),"")</f>
        <v/>
      </c>
      <c r="AE67" s="92">
        <f>IFERROR(VLOOKUP($A67,'13. Mapa Títulos-Receita'!$A$8:$P$1000,16,FALSE),"")</f>
        <v/>
      </c>
    </row>
    <row r="68">
      <c r="A68" s="28">
        <f>IF(C68="","", "CR-"&amp;TEXT(ROW()-7,"000"))</f>
        <v/>
      </c>
      <c r="B68" s="28" t="n"/>
      <c r="C68" s="28" t="n"/>
      <c r="D68" s="111" t="n"/>
      <c r="E68" s="111" t="n"/>
      <c r="F68" s="111" t="n"/>
      <c r="G68" s="28" t="n"/>
      <c r="H68" s="45" t="n"/>
      <c r="I68" s="45" t="n"/>
      <c r="J68" s="28">
        <f>IF(H68="","",IF(I68&gt;=H68,"Recebido",IF($B$4&gt;E68,"Vencido","Aberto")))</f>
        <v/>
      </c>
      <c r="K68" s="4">
        <f>IF(J68="","",IF(OR(J68="Recebido",F68=""),MAX(0,F68-E68),MAX(0,$B$4-E68)))</f>
        <v/>
      </c>
      <c r="L68" s="4">
        <f>IF(K68="","",IF(K68=0,"Em dia",IF(K68&lt;=30,"1-30 dias",IF(K68&lt;=60,"31-60 dias",IF(K68&lt;=90,"61-90 dias","&gt;90 dias")))))</f>
        <v/>
      </c>
      <c r="M68" s="28" t="n"/>
      <c r="N68" s="104" t="inlineStr"/>
      <c r="O68" s="64" t="n"/>
      <c r="P68" s="64">
        <f>IF(C68="","",IF(ISNUMBER(SEARCH("PCMSO",C68)),"PCMSO",IF(OR(ISNUMBER(SEARCH("E-SOCIAL",C68)),ISNUMBER(SEARCH("PSICOSOCIAL",C68))),"eSocial / Psicossocial",IF(O68="Receita recorrente","Carteira recorrente","Projetos / Laudos / Avulsos"))))</f>
        <v/>
      </c>
      <c r="Q68" s="64">
        <f>IF(P68="","",IF(P68="Carteira recorrente","Operação recorrente",IF(P68="PCMSO","Projetos PCMSO",IF(P68="eSocial / Psicossocial","Projetos eSocial/Psicossocial","Projetos / Laudos / Avulsos"))))</f>
        <v/>
      </c>
      <c r="R68" s="64">
        <f>IF(C68="","",IF(ISNUMBER(SEARCH("PCMSO",C68)),"Título com PCMSO no nome",IF(OR(ISNUMBER(SEARCH("E-SOCIAL",C68)),ISNUMBER(SEARCH("PSICOSOCIAL",C68))),"Título com eSocial/Psicossocial no nome",IF(O68="Receita recorrente","Tipo DRE recorrente","Extra sem palavra-chave específica"))))</f>
        <v/>
      </c>
      <c r="S68" s="92">
        <f>IFERROR(VLOOKUP($A68,'13. Mapa Títulos-Receita'!$A$8:$P$1000,4,FALSE),"")</f>
        <v/>
      </c>
      <c r="T68" s="92">
        <f>IFERROR(VLOOKUP($A68,'13. Mapa Títulos-Receita'!$A$8:$P$1000,5,FALSE),"")</f>
        <v/>
      </c>
      <c r="U68" s="92">
        <f>IFERROR(VLOOKUP($A68,'13. Mapa Títulos-Receita'!$A$8:$P$1000,6,FALSE),"")</f>
        <v/>
      </c>
      <c r="V68" s="92">
        <f>IFERROR(VLOOKUP($A68,'13. Mapa Títulos-Receita'!$A$8:$P$1000,7,FALSE),"")</f>
        <v/>
      </c>
      <c r="W68" s="92">
        <f>IFERROR(VLOOKUP($A68,'13. Mapa Títulos-Receita'!$A$8:$P$1000,8,FALSE),"")</f>
        <v/>
      </c>
      <c r="X68" s="92">
        <f>IFERROR(VLOOKUP($A68,'13. Mapa Títulos-Receita'!$A$8:$P$1000,9,FALSE),"")</f>
        <v/>
      </c>
      <c r="Y68" s="92">
        <f>IFERROR(VLOOKUP($A68,'13. Mapa Títulos-Receita'!$A$8:$P$1000,10,FALSE),"")</f>
        <v/>
      </c>
      <c r="Z68" s="92">
        <f>IFERROR(VLOOKUP($A68,'13. Mapa Títulos-Receita'!$A$8:$P$1000,11,FALSE),"")</f>
        <v/>
      </c>
      <c r="AA68" s="92">
        <f>IFERROR(VLOOKUP($A68,'13. Mapa Títulos-Receita'!$A$8:$P$1000,12,FALSE),"")</f>
        <v/>
      </c>
      <c r="AB68" s="92">
        <f>IFERROR(VLOOKUP($A68,'13. Mapa Títulos-Receita'!$A$8:$P$1000,13,FALSE),"")</f>
        <v/>
      </c>
      <c r="AC68" s="92">
        <f>IFERROR(VLOOKUP($A68,'13. Mapa Títulos-Receita'!$A$8:$P$1000,14,FALSE),"")</f>
        <v/>
      </c>
      <c r="AD68" s="92">
        <f>IFERROR(VLOOKUP($A68,'13. Mapa Títulos-Receita'!$A$8:$P$1000,15,FALSE),"")</f>
        <v/>
      </c>
      <c r="AE68" s="92">
        <f>IFERROR(VLOOKUP($A68,'13. Mapa Títulos-Receita'!$A$8:$P$1000,16,FALSE),"")</f>
        <v/>
      </c>
    </row>
    <row r="69">
      <c r="A69" s="28">
        <f>IF(C69="","", "CR-"&amp;TEXT(ROW()-7,"000"))</f>
        <v/>
      </c>
      <c r="B69" s="28" t="n"/>
      <c r="C69" s="28" t="n"/>
      <c r="D69" s="111" t="n"/>
      <c r="E69" s="111" t="n"/>
      <c r="F69" s="111" t="n"/>
      <c r="G69" s="28" t="n"/>
      <c r="H69" s="45" t="n"/>
      <c r="I69" s="45" t="n"/>
      <c r="J69" s="28">
        <f>IF(H69="","",IF(I69&gt;=H69,"Recebido",IF($B$4&gt;E69,"Vencido","Aberto")))</f>
        <v/>
      </c>
      <c r="K69" s="4">
        <f>IF(J69="","",IF(OR(J69="Recebido",F69=""),MAX(0,F69-E69),MAX(0,$B$4-E69)))</f>
        <v/>
      </c>
      <c r="L69" s="4">
        <f>IF(K69="","",IF(K69=0,"Em dia",IF(K69&lt;=30,"1-30 dias",IF(K69&lt;=60,"31-60 dias",IF(K69&lt;=90,"61-90 dias","&gt;90 dias")))))</f>
        <v/>
      </c>
      <c r="M69" s="28" t="n"/>
      <c r="N69" s="104" t="inlineStr"/>
      <c r="O69" s="64" t="n"/>
      <c r="P69" s="64">
        <f>IF(C69="","",IF(ISNUMBER(SEARCH("PCMSO",C69)),"PCMSO",IF(OR(ISNUMBER(SEARCH("E-SOCIAL",C69)),ISNUMBER(SEARCH("PSICOSOCIAL",C69))),"eSocial / Psicossocial",IF(O69="Receita recorrente","Carteira recorrente","Projetos / Laudos / Avulsos"))))</f>
        <v/>
      </c>
      <c r="Q69" s="64">
        <f>IF(P69="","",IF(P69="Carteira recorrente","Operação recorrente",IF(P69="PCMSO","Projetos PCMSO",IF(P69="eSocial / Psicossocial","Projetos eSocial/Psicossocial","Projetos / Laudos / Avulsos"))))</f>
        <v/>
      </c>
      <c r="R69" s="64">
        <f>IF(C69="","",IF(ISNUMBER(SEARCH("PCMSO",C69)),"Título com PCMSO no nome",IF(OR(ISNUMBER(SEARCH("E-SOCIAL",C69)),ISNUMBER(SEARCH("PSICOSOCIAL",C69))),"Título com eSocial/Psicossocial no nome",IF(O69="Receita recorrente","Tipo DRE recorrente","Extra sem palavra-chave específica"))))</f>
        <v/>
      </c>
      <c r="S69" s="92">
        <f>IFERROR(VLOOKUP($A69,'13. Mapa Títulos-Receita'!$A$8:$P$1000,4,FALSE),"")</f>
        <v/>
      </c>
      <c r="T69" s="92">
        <f>IFERROR(VLOOKUP($A69,'13. Mapa Títulos-Receita'!$A$8:$P$1000,5,FALSE),"")</f>
        <v/>
      </c>
      <c r="U69" s="92">
        <f>IFERROR(VLOOKUP($A69,'13. Mapa Títulos-Receita'!$A$8:$P$1000,6,FALSE),"")</f>
        <v/>
      </c>
      <c r="V69" s="92">
        <f>IFERROR(VLOOKUP($A69,'13. Mapa Títulos-Receita'!$A$8:$P$1000,7,FALSE),"")</f>
        <v/>
      </c>
      <c r="W69" s="92">
        <f>IFERROR(VLOOKUP($A69,'13. Mapa Títulos-Receita'!$A$8:$P$1000,8,FALSE),"")</f>
        <v/>
      </c>
      <c r="X69" s="92">
        <f>IFERROR(VLOOKUP($A69,'13. Mapa Títulos-Receita'!$A$8:$P$1000,9,FALSE),"")</f>
        <v/>
      </c>
      <c r="Y69" s="92">
        <f>IFERROR(VLOOKUP($A69,'13. Mapa Títulos-Receita'!$A$8:$P$1000,10,FALSE),"")</f>
        <v/>
      </c>
      <c r="Z69" s="92">
        <f>IFERROR(VLOOKUP($A69,'13. Mapa Títulos-Receita'!$A$8:$P$1000,11,FALSE),"")</f>
        <v/>
      </c>
      <c r="AA69" s="92">
        <f>IFERROR(VLOOKUP($A69,'13. Mapa Títulos-Receita'!$A$8:$P$1000,12,FALSE),"")</f>
        <v/>
      </c>
      <c r="AB69" s="92">
        <f>IFERROR(VLOOKUP($A69,'13. Mapa Títulos-Receita'!$A$8:$P$1000,13,FALSE),"")</f>
        <v/>
      </c>
      <c r="AC69" s="92">
        <f>IFERROR(VLOOKUP($A69,'13. Mapa Títulos-Receita'!$A$8:$P$1000,14,FALSE),"")</f>
        <v/>
      </c>
      <c r="AD69" s="92">
        <f>IFERROR(VLOOKUP($A69,'13. Mapa Títulos-Receita'!$A$8:$P$1000,15,FALSE),"")</f>
        <v/>
      </c>
      <c r="AE69" s="92">
        <f>IFERROR(VLOOKUP($A69,'13. Mapa Títulos-Receita'!$A$8:$P$1000,16,FALSE),"")</f>
        <v/>
      </c>
    </row>
    <row r="70">
      <c r="A70" s="28">
        <f>IF(C70="","", "CR-"&amp;TEXT(ROW()-7,"000"))</f>
        <v/>
      </c>
      <c r="B70" s="28" t="n"/>
      <c r="C70" s="28" t="n"/>
      <c r="D70" s="111" t="n"/>
      <c r="E70" s="111" t="n"/>
      <c r="F70" s="111" t="n"/>
      <c r="G70" s="28" t="n"/>
      <c r="H70" s="45" t="n"/>
      <c r="I70" s="45" t="n"/>
      <c r="J70" s="28">
        <f>IF(H70="","",IF(I70&gt;=H70,"Recebido",IF($B$4&gt;E70,"Vencido","Aberto")))</f>
        <v/>
      </c>
      <c r="K70" s="4">
        <f>IF(J70="","",IF(OR(J70="Recebido",F70=""),MAX(0,F70-E70),MAX(0,$B$4-E70)))</f>
        <v/>
      </c>
      <c r="L70" s="4">
        <f>IF(K70="","",IF(K70=0,"Em dia",IF(K70&lt;=30,"1-30 dias",IF(K70&lt;=60,"31-60 dias",IF(K70&lt;=90,"61-90 dias","&gt;90 dias")))))</f>
        <v/>
      </c>
      <c r="M70" s="28" t="n"/>
      <c r="N70" s="104" t="inlineStr"/>
      <c r="O70" s="64" t="n"/>
      <c r="P70" s="64">
        <f>IF(C70="","",IF(ISNUMBER(SEARCH("PCMSO",C70)),"PCMSO",IF(OR(ISNUMBER(SEARCH("E-SOCIAL",C70)),ISNUMBER(SEARCH("PSICOSOCIAL",C70))),"eSocial / Psicossocial",IF(O70="Receita recorrente","Carteira recorrente","Projetos / Laudos / Avulsos"))))</f>
        <v/>
      </c>
      <c r="Q70" s="64">
        <f>IF(P70="","",IF(P70="Carteira recorrente","Operação recorrente",IF(P70="PCMSO","Projetos PCMSO",IF(P70="eSocial / Psicossocial","Projetos eSocial/Psicossocial","Projetos / Laudos / Avulsos"))))</f>
        <v/>
      </c>
      <c r="R70" s="64">
        <f>IF(C70="","",IF(ISNUMBER(SEARCH("PCMSO",C70)),"Título com PCMSO no nome",IF(OR(ISNUMBER(SEARCH("E-SOCIAL",C70)),ISNUMBER(SEARCH("PSICOSOCIAL",C70))),"Título com eSocial/Psicossocial no nome",IF(O70="Receita recorrente","Tipo DRE recorrente","Extra sem palavra-chave específica"))))</f>
        <v/>
      </c>
      <c r="S70" s="92">
        <f>IFERROR(VLOOKUP($A70,'13. Mapa Títulos-Receita'!$A$8:$P$1000,4,FALSE),"")</f>
        <v/>
      </c>
      <c r="T70" s="92">
        <f>IFERROR(VLOOKUP($A70,'13. Mapa Títulos-Receita'!$A$8:$P$1000,5,FALSE),"")</f>
        <v/>
      </c>
      <c r="U70" s="92">
        <f>IFERROR(VLOOKUP($A70,'13. Mapa Títulos-Receita'!$A$8:$P$1000,6,FALSE),"")</f>
        <v/>
      </c>
      <c r="V70" s="92">
        <f>IFERROR(VLOOKUP($A70,'13. Mapa Títulos-Receita'!$A$8:$P$1000,7,FALSE),"")</f>
        <v/>
      </c>
      <c r="W70" s="92">
        <f>IFERROR(VLOOKUP($A70,'13. Mapa Títulos-Receita'!$A$8:$P$1000,8,FALSE),"")</f>
        <v/>
      </c>
      <c r="X70" s="92">
        <f>IFERROR(VLOOKUP($A70,'13. Mapa Títulos-Receita'!$A$8:$P$1000,9,FALSE),"")</f>
        <v/>
      </c>
      <c r="Y70" s="92">
        <f>IFERROR(VLOOKUP($A70,'13. Mapa Títulos-Receita'!$A$8:$P$1000,10,FALSE),"")</f>
        <v/>
      </c>
      <c r="Z70" s="92">
        <f>IFERROR(VLOOKUP($A70,'13. Mapa Títulos-Receita'!$A$8:$P$1000,11,FALSE),"")</f>
        <v/>
      </c>
      <c r="AA70" s="92">
        <f>IFERROR(VLOOKUP($A70,'13. Mapa Títulos-Receita'!$A$8:$P$1000,12,FALSE),"")</f>
        <v/>
      </c>
      <c r="AB70" s="92">
        <f>IFERROR(VLOOKUP($A70,'13. Mapa Títulos-Receita'!$A$8:$P$1000,13,FALSE),"")</f>
        <v/>
      </c>
      <c r="AC70" s="92">
        <f>IFERROR(VLOOKUP($A70,'13. Mapa Títulos-Receita'!$A$8:$P$1000,14,FALSE),"")</f>
        <v/>
      </c>
      <c r="AD70" s="92">
        <f>IFERROR(VLOOKUP($A70,'13. Mapa Títulos-Receita'!$A$8:$P$1000,15,FALSE),"")</f>
        <v/>
      </c>
      <c r="AE70" s="92">
        <f>IFERROR(VLOOKUP($A70,'13. Mapa Títulos-Receita'!$A$8:$P$1000,16,FALSE),"")</f>
        <v/>
      </c>
    </row>
    <row r="71">
      <c r="A71" s="28">
        <f>IF(C71="","", "CR-"&amp;TEXT(ROW()-7,"000"))</f>
        <v/>
      </c>
      <c r="B71" s="28" t="n"/>
      <c r="C71" s="28" t="n"/>
      <c r="D71" s="111" t="n"/>
      <c r="E71" s="111" t="n"/>
      <c r="F71" s="111" t="n"/>
      <c r="G71" s="28" t="n"/>
      <c r="H71" s="45" t="n"/>
      <c r="I71" s="45" t="n"/>
      <c r="J71" s="28">
        <f>IF(H71="","",IF(I71&gt;=H71,"Recebido",IF($B$4&gt;E71,"Vencido","Aberto")))</f>
        <v/>
      </c>
      <c r="K71" s="4">
        <f>IF(J71="","",IF(OR(J71="Recebido",F71=""),MAX(0,F71-E71),MAX(0,$B$4-E71)))</f>
        <v/>
      </c>
      <c r="L71" s="4">
        <f>IF(K71="","",IF(K71=0,"Em dia",IF(K71&lt;=30,"1-30 dias",IF(K71&lt;=60,"31-60 dias",IF(K71&lt;=90,"61-90 dias","&gt;90 dias")))))</f>
        <v/>
      </c>
      <c r="M71" s="28" t="n"/>
      <c r="N71" s="104" t="inlineStr"/>
      <c r="O71" s="64" t="n"/>
      <c r="P71" s="64">
        <f>IF(C71="","",IF(ISNUMBER(SEARCH("PCMSO",C71)),"PCMSO",IF(OR(ISNUMBER(SEARCH("E-SOCIAL",C71)),ISNUMBER(SEARCH("PSICOSOCIAL",C71))),"eSocial / Psicossocial",IF(O71="Receita recorrente","Carteira recorrente","Projetos / Laudos / Avulsos"))))</f>
        <v/>
      </c>
      <c r="Q71" s="64">
        <f>IF(P71="","",IF(P71="Carteira recorrente","Operação recorrente",IF(P71="PCMSO","Projetos PCMSO",IF(P71="eSocial / Psicossocial","Projetos eSocial/Psicossocial","Projetos / Laudos / Avulsos"))))</f>
        <v/>
      </c>
      <c r="R71" s="64">
        <f>IF(C71="","",IF(ISNUMBER(SEARCH("PCMSO",C71)),"Título com PCMSO no nome",IF(OR(ISNUMBER(SEARCH("E-SOCIAL",C71)),ISNUMBER(SEARCH("PSICOSOCIAL",C71))),"Título com eSocial/Psicossocial no nome",IF(O71="Receita recorrente","Tipo DRE recorrente","Extra sem palavra-chave específica"))))</f>
        <v/>
      </c>
      <c r="S71" s="92">
        <f>IFERROR(VLOOKUP($A71,'13. Mapa Títulos-Receita'!$A$8:$P$1000,4,FALSE),"")</f>
        <v/>
      </c>
      <c r="T71" s="92">
        <f>IFERROR(VLOOKUP($A71,'13. Mapa Títulos-Receita'!$A$8:$P$1000,5,FALSE),"")</f>
        <v/>
      </c>
      <c r="U71" s="92">
        <f>IFERROR(VLOOKUP($A71,'13. Mapa Títulos-Receita'!$A$8:$P$1000,6,FALSE),"")</f>
        <v/>
      </c>
      <c r="V71" s="92">
        <f>IFERROR(VLOOKUP($A71,'13. Mapa Títulos-Receita'!$A$8:$P$1000,7,FALSE),"")</f>
        <v/>
      </c>
      <c r="W71" s="92">
        <f>IFERROR(VLOOKUP($A71,'13. Mapa Títulos-Receita'!$A$8:$P$1000,8,FALSE),"")</f>
        <v/>
      </c>
      <c r="X71" s="92">
        <f>IFERROR(VLOOKUP($A71,'13. Mapa Títulos-Receita'!$A$8:$P$1000,9,FALSE),"")</f>
        <v/>
      </c>
      <c r="Y71" s="92">
        <f>IFERROR(VLOOKUP($A71,'13. Mapa Títulos-Receita'!$A$8:$P$1000,10,FALSE),"")</f>
        <v/>
      </c>
      <c r="Z71" s="92">
        <f>IFERROR(VLOOKUP($A71,'13. Mapa Títulos-Receita'!$A$8:$P$1000,11,FALSE),"")</f>
        <v/>
      </c>
      <c r="AA71" s="92">
        <f>IFERROR(VLOOKUP($A71,'13. Mapa Títulos-Receita'!$A$8:$P$1000,12,FALSE),"")</f>
        <v/>
      </c>
      <c r="AB71" s="92">
        <f>IFERROR(VLOOKUP($A71,'13. Mapa Títulos-Receita'!$A$8:$P$1000,13,FALSE),"")</f>
        <v/>
      </c>
      <c r="AC71" s="92">
        <f>IFERROR(VLOOKUP($A71,'13. Mapa Títulos-Receita'!$A$8:$P$1000,14,FALSE),"")</f>
        <v/>
      </c>
      <c r="AD71" s="92">
        <f>IFERROR(VLOOKUP($A71,'13. Mapa Títulos-Receita'!$A$8:$P$1000,15,FALSE),"")</f>
        <v/>
      </c>
      <c r="AE71" s="92">
        <f>IFERROR(VLOOKUP($A71,'13. Mapa Títulos-Receita'!$A$8:$P$1000,16,FALSE),"")</f>
        <v/>
      </c>
    </row>
    <row r="72">
      <c r="A72" s="28">
        <f>IF(C72="","", "CR-"&amp;TEXT(ROW()-7,"000"))</f>
        <v/>
      </c>
      <c r="B72" s="28" t="n"/>
      <c r="C72" s="28" t="n"/>
      <c r="D72" s="111" t="n"/>
      <c r="E72" s="111" t="n"/>
      <c r="F72" s="111" t="n"/>
      <c r="G72" s="28" t="n"/>
      <c r="H72" s="45" t="n"/>
      <c r="I72" s="45" t="n"/>
      <c r="J72" s="28">
        <f>IF(H72="","",IF(I72&gt;=H72,"Recebido",IF($B$4&gt;E72,"Vencido","Aberto")))</f>
        <v/>
      </c>
      <c r="K72" s="4">
        <f>IF(J72="","",IF(OR(J72="Recebido",F72=""),MAX(0,F72-E72),MAX(0,$B$4-E72)))</f>
        <v/>
      </c>
      <c r="L72" s="4">
        <f>IF(K72="","",IF(K72=0,"Em dia",IF(K72&lt;=30,"1-30 dias",IF(K72&lt;=60,"31-60 dias",IF(K72&lt;=90,"61-90 dias","&gt;90 dias")))))</f>
        <v/>
      </c>
      <c r="M72" s="28" t="n"/>
      <c r="N72" s="104" t="inlineStr"/>
      <c r="O72" s="64" t="n"/>
      <c r="P72" s="64">
        <f>IF(C72="","",IF(ISNUMBER(SEARCH("PCMSO",C72)),"PCMSO",IF(OR(ISNUMBER(SEARCH("E-SOCIAL",C72)),ISNUMBER(SEARCH("PSICOSOCIAL",C72))),"eSocial / Psicossocial",IF(O72="Receita recorrente","Carteira recorrente","Projetos / Laudos / Avulsos"))))</f>
        <v/>
      </c>
      <c r="Q72" s="64">
        <f>IF(P72="","",IF(P72="Carteira recorrente","Operação recorrente",IF(P72="PCMSO","Projetos PCMSO",IF(P72="eSocial / Psicossocial","Projetos eSocial/Psicossocial","Projetos / Laudos / Avulsos"))))</f>
        <v/>
      </c>
      <c r="R72" s="64">
        <f>IF(C72="","",IF(ISNUMBER(SEARCH("PCMSO",C72)),"Título com PCMSO no nome",IF(OR(ISNUMBER(SEARCH("E-SOCIAL",C72)),ISNUMBER(SEARCH("PSICOSOCIAL",C72))),"Título com eSocial/Psicossocial no nome",IF(O72="Receita recorrente","Tipo DRE recorrente","Extra sem palavra-chave específica"))))</f>
        <v/>
      </c>
      <c r="S72" s="92">
        <f>IFERROR(VLOOKUP($A72,'13. Mapa Títulos-Receita'!$A$8:$P$1000,4,FALSE),"")</f>
        <v/>
      </c>
      <c r="T72" s="92">
        <f>IFERROR(VLOOKUP($A72,'13. Mapa Títulos-Receita'!$A$8:$P$1000,5,FALSE),"")</f>
        <v/>
      </c>
      <c r="U72" s="92">
        <f>IFERROR(VLOOKUP($A72,'13. Mapa Títulos-Receita'!$A$8:$P$1000,6,FALSE),"")</f>
        <v/>
      </c>
      <c r="V72" s="92">
        <f>IFERROR(VLOOKUP($A72,'13. Mapa Títulos-Receita'!$A$8:$P$1000,7,FALSE),"")</f>
        <v/>
      </c>
      <c r="W72" s="92">
        <f>IFERROR(VLOOKUP($A72,'13. Mapa Títulos-Receita'!$A$8:$P$1000,8,FALSE),"")</f>
        <v/>
      </c>
      <c r="X72" s="92">
        <f>IFERROR(VLOOKUP($A72,'13. Mapa Títulos-Receita'!$A$8:$P$1000,9,FALSE),"")</f>
        <v/>
      </c>
      <c r="Y72" s="92">
        <f>IFERROR(VLOOKUP($A72,'13. Mapa Títulos-Receita'!$A$8:$P$1000,10,FALSE),"")</f>
        <v/>
      </c>
      <c r="Z72" s="92">
        <f>IFERROR(VLOOKUP($A72,'13. Mapa Títulos-Receita'!$A$8:$P$1000,11,FALSE),"")</f>
        <v/>
      </c>
      <c r="AA72" s="92">
        <f>IFERROR(VLOOKUP($A72,'13. Mapa Títulos-Receita'!$A$8:$P$1000,12,FALSE),"")</f>
        <v/>
      </c>
      <c r="AB72" s="92">
        <f>IFERROR(VLOOKUP($A72,'13. Mapa Títulos-Receita'!$A$8:$P$1000,13,FALSE),"")</f>
        <v/>
      </c>
      <c r="AC72" s="92">
        <f>IFERROR(VLOOKUP($A72,'13. Mapa Títulos-Receita'!$A$8:$P$1000,14,FALSE),"")</f>
        <v/>
      </c>
      <c r="AD72" s="92">
        <f>IFERROR(VLOOKUP($A72,'13. Mapa Títulos-Receita'!$A$8:$P$1000,15,FALSE),"")</f>
        <v/>
      </c>
      <c r="AE72" s="92">
        <f>IFERROR(VLOOKUP($A72,'13. Mapa Títulos-Receita'!$A$8:$P$1000,16,FALSE),"")</f>
        <v/>
      </c>
    </row>
    <row r="73">
      <c r="A73" s="28">
        <f>IF(C73="","", "CR-"&amp;TEXT(ROW()-7,"000"))</f>
        <v/>
      </c>
      <c r="B73" s="28" t="n"/>
      <c r="C73" s="28" t="n"/>
      <c r="D73" s="111" t="n"/>
      <c r="E73" s="111" t="n"/>
      <c r="F73" s="111" t="n"/>
      <c r="G73" s="28" t="n"/>
      <c r="H73" s="45" t="n"/>
      <c r="I73" s="45" t="n"/>
      <c r="J73" s="28">
        <f>IF(H73="","",IF(I73&gt;=H73,"Recebido",IF($B$4&gt;E73,"Vencido","Aberto")))</f>
        <v/>
      </c>
      <c r="K73" s="4">
        <f>IF(J73="","",IF(OR(J73="Recebido",F73=""),MAX(0,F73-E73),MAX(0,$B$4-E73)))</f>
        <v/>
      </c>
      <c r="L73" s="4">
        <f>IF(K73="","",IF(K73=0,"Em dia",IF(K73&lt;=30,"1-30 dias",IF(K73&lt;=60,"31-60 dias",IF(K73&lt;=90,"61-90 dias","&gt;90 dias")))))</f>
        <v/>
      </c>
      <c r="M73" s="28" t="n"/>
      <c r="N73" s="104" t="inlineStr"/>
      <c r="O73" s="64" t="n"/>
      <c r="P73" s="64">
        <f>IF(C73="","",IF(ISNUMBER(SEARCH("PCMSO",C73)),"PCMSO",IF(OR(ISNUMBER(SEARCH("E-SOCIAL",C73)),ISNUMBER(SEARCH("PSICOSOCIAL",C73))),"eSocial / Psicossocial",IF(O73="Receita recorrente","Carteira recorrente","Projetos / Laudos / Avulsos"))))</f>
        <v/>
      </c>
      <c r="Q73" s="64">
        <f>IF(P73="","",IF(P73="Carteira recorrente","Operação recorrente",IF(P73="PCMSO","Projetos PCMSO",IF(P73="eSocial / Psicossocial","Projetos eSocial/Psicossocial","Projetos / Laudos / Avulsos"))))</f>
        <v/>
      </c>
      <c r="R73" s="64">
        <f>IF(C73="","",IF(ISNUMBER(SEARCH("PCMSO",C73)),"Título com PCMSO no nome",IF(OR(ISNUMBER(SEARCH("E-SOCIAL",C73)),ISNUMBER(SEARCH("PSICOSOCIAL",C73))),"Título com eSocial/Psicossocial no nome",IF(O73="Receita recorrente","Tipo DRE recorrente","Extra sem palavra-chave específica"))))</f>
        <v/>
      </c>
      <c r="S73" s="92">
        <f>IFERROR(VLOOKUP($A73,'13. Mapa Títulos-Receita'!$A$8:$P$1000,4,FALSE),"")</f>
        <v/>
      </c>
      <c r="T73" s="92">
        <f>IFERROR(VLOOKUP($A73,'13. Mapa Títulos-Receita'!$A$8:$P$1000,5,FALSE),"")</f>
        <v/>
      </c>
      <c r="U73" s="92">
        <f>IFERROR(VLOOKUP($A73,'13. Mapa Títulos-Receita'!$A$8:$P$1000,6,FALSE),"")</f>
        <v/>
      </c>
      <c r="V73" s="92">
        <f>IFERROR(VLOOKUP($A73,'13. Mapa Títulos-Receita'!$A$8:$P$1000,7,FALSE),"")</f>
        <v/>
      </c>
      <c r="W73" s="92">
        <f>IFERROR(VLOOKUP($A73,'13. Mapa Títulos-Receita'!$A$8:$P$1000,8,FALSE),"")</f>
        <v/>
      </c>
      <c r="X73" s="92">
        <f>IFERROR(VLOOKUP($A73,'13. Mapa Títulos-Receita'!$A$8:$P$1000,9,FALSE),"")</f>
        <v/>
      </c>
      <c r="Y73" s="92">
        <f>IFERROR(VLOOKUP($A73,'13. Mapa Títulos-Receita'!$A$8:$P$1000,10,FALSE),"")</f>
        <v/>
      </c>
      <c r="Z73" s="92">
        <f>IFERROR(VLOOKUP($A73,'13. Mapa Títulos-Receita'!$A$8:$P$1000,11,FALSE),"")</f>
        <v/>
      </c>
      <c r="AA73" s="92">
        <f>IFERROR(VLOOKUP($A73,'13. Mapa Títulos-Receita'!$A$8:$P$1000,12,FALSE),"")</f>
        <v/>
      </c>
      <c r="AB73" s="92">
        <f>IFERROR(VLOOKUP($A73,'13. Mapa Títulos-Receita'!$A$8:$P$1000,13,FALSE),"")</f>
        <v/>
      </c>
      <c r="AC73" s="92">
        <f>IFERROR(VLOOKUP($A73,'13. Mapa Títulos-Receita'!$A$8:$P$1000,14,FALSE),"")</f>
        <v/>
      </c>
      <c r="AD73" s="92">
        <f>IFERROR(VLOOKUP($A73,'13. Mapa Títulos-Receita'!$A$8:$P$1000,15,FALSE),"")</f>
        <v/>
      </c>
      <c r="AE73" s="92">
        <f>IFERROR(VLOOKUP($A73,'13. Mapa Títulos-Receita'!$A$8:$P$1000,16,FALSE),"")</f>
        <v/>
      </c>
    </row>
    <row r="74">
      <c r="A74" s="28">
        <f>IF(C74="","", "CR-"&amp;TEXT(ROW()-7,"000"))</f>
        <v/>
      </c>
      <c r="B74" s="28" t="n"/>
      <c r="C74" s="28" t="n"/>
      <c r="D74" s="111" t="n"/>
      <c r="E74" s="111" t="n"/>
      <c r="F74" s="111" t="n"/>
      <c r="G74" s="28" t="n"/>
      <c r="H74" s="45" t="n"/>
      <c r="I74" s="45" t="n"/>
      <c r="J74" s="28">
        <f>IF(H74="","",IF(I74&gt;=H74,"Recebido",IF($B$4&gt;E74,"Vencido","Aberto")))</f>
        <v/>
      </c>
      <c r="K74" s="4">
        <f>IF(J74="","",IF(OR(J74="Recebido",F74=""),MAX(0,F74-E74),MAX(0,$B$4-E74)))</f>
        <v/>
      </c>
      <c r="L74" s="4">
        <f>IF(K74="","",IF(K74=0,"Em dia",IF(K74&lt;=30,"1-30 dias",IF(K74&lt;=60,"31-60 dias",IF(K74&lt;=90,"61-90 dias","&gt;90 dias")))))</f>
        <v/>
      </c>
      <c r="M74" s="28" t="n"/>
      <c r="N74" s="104" t="inlineStr"/>
      <c r="O74" s="64" t="n"/>
      <c r="P74" s="64">
        <f>IF(C74="","",IF(ISNUMBER(SEARCH("PCMSO",C74)),"PCMSO",IF(OR(ISNUMBER(SEARCH("E-SOCIAL",C74)),ISNUMBER(SEARCH("PSICOSOCIAL",C74))),"eSocial / Psicossocial",IF(O74="Receita recorrente","Carteira recorrente","Projetos / Laudos / Avulsos"))))</f>
        <v/>
      </c>
      <c r="Q74" s="64">
        <f>IF(P74="","",IF(P74="Carteira recorrente","Operação recorrente",IF(P74="PCMSO","Projetos PCMSO",IF(P74="eSocial / Psicossocial","Projetos eSocial/Psicossocial","Projetos / Laudos / Avulsos"))))</f>
        <v/>
      </c>
      <c r="R74" s="64">
        <f>IF(C74="","",IF(ISNUMBER(SEARCH("PCMSO",C74)),"Título com PCMSO no nome",IF(OR(ISNUMBER(SEARCH("E-SOCIAL",C74)),ISNUMBER(SEARCH("PSICOSOCIAL",C74))),"Título com eSocial/Psicossocial no nome",IF(O74="Receita recorrente","Tipo DRE recorrente","Extra sem palavra-chave específica"))))</f>
        <v/>
      </c>
      <c r="S74" s="92">
        <f>IFERROR(VLOOKUP($A74,'13. Mapa Títulos-Receita'!$A$8:$P$1000,4,FALSE),"")</f>
        <v/>
      </c>
      <c r="T74" s="92">
        <f>IFERROR(VLOOKUP($A74,'13. Mapa Títulos-Receita'!$A$8:$P$1000,5,FALSE),"")</f>
        <v/>
      </c>
      <c r="U74" s="92">
        <f>IFERROR(VLOOKUP($A74,'13. Mapa Títulos-Receita'!$A$8:$P$1000,6,FALSE),"")</f>
        <v/>
      </c>
      <c r="V74" s="92">
        <f>IFERROR(VLOOKUP($A74,'13. Mapa Títulos-Receita'!$A$8:$P$1000,7,FALSE),"")</f>
        <v/>
      </c>
      <c r="W74" s="92">
        <f>IFERROR(VLOOKUP($A74,'13. Mapa Títulos-Receita'!$A$8:$P$1000,8,FALSE),"")</f>
        <v/>
      </c>
      <c r="X74" s="92">
        <f>IFERROR(VLOOKUP($A74,'13. Mapa Títulos-Receita'!$A$8:$P$1000,9,FALSE),"")</f>
        <v/>
      </c>
      <c r="Y74" s="92">
        <f>IFERROR(VLOOKUP($A74,'13. Mapa Títulos-Receita'!$A$8:$P$1000,10,FALSE),"")</f>
        <v/>
      </c>
      <c r="Z74" s="92">
        <f>IFERROR(VLOOKUP($A74,'13. Mapa Títulos-Receita'!$A$8:$P$1000,11,FALSE),"")</f>
        <v/>
      </c>
      <c r="AA74" s="92">
        <f>IFERROR(VLOOKUP($A74,'13. Mapa Títulos-Receita'!$A$8:$P$1000,12,FALSE),"")</f>
        <v/>
      </c>
      <c r="AB74" s="92">
        <f>IFERROR(VLOOKUP($A74,'13. Mapa Títulos-Receita'!$A$8:$P$1000,13,FALSE),"")</f>
        <v/>
      </c>
      <c r="AC74" s="92">
        <f>IFERROR(VLOOKUP($A74,'13. Mapa Títulos-Receita'!$A$8:$P$1000,14,FALSE),"")</f>
        <v/>
      </c>
      <c r="AD74" s="92">
        <f>IFERROR(VLOOKUP($A74,'13. Mapa Títulos-Receita'!$A$8:$P$1000,15,FALSE),"")</f>
        <v/>
      </c>
      <c r="AE74" s="92">
        <f>IFERROR(VLOOKUP($A74,'13. Mapa Títulos-Receita'!$A$8:$P$1000,16,FALSE),"")</f>
        <v/>
      </c>
    </row>
    <row r="75">
      <c r="A75" s="28">
        <f>IF(C75="","", "CR-"&amp;TEXT(ROW()-7,"000"))</f>
        <v/>
      </c>
      <c r="B75" s="28" t="n"/>
      <c r="C75" s="28" t="n"/>
      <c r="D75" s="111" t="n"/>
      <c r="E75" s="111" t="n"/>
      <c r="F75" s="111" t="n"/>
      <c r="G75" s="28" t="n"/>
      <c r="H75" s="45" t="n"/>
      <c r="I75" s="45" t="n"/>
      <c r="J75" s="28">
        <f>IF(H75="","",IF(I75&gt;=H75,"Recebido",IF($B$4&gt;E75,"Vencido","Aberto")))</f>
        <v/>
      </c>
      <c r="K75" s="4">
        <f>IF(J75="","",IF(OR(J75="Recebido",F75=""),MAX(0,F75-E75),MAX(0,$B$4-E75)))</f>
        <v/>
      </c>
      <c r="L75" s="4">
        <f>IF(K75="","",IF(K75=0,"Em dia",IF(K75&lt;=30,"1-30 dias",IF(K75&lt;=60,"31-60 dias",IF(K75&lt;=90,"61-90 dias","&gt;90 dias")))))</f>
        <v/>
      </c>
      <c r="M75" s="28" t="n"/>
      <c r="N75" s="104" t="inlineStr"/>
      <c r="O75" s="64" t="n"/>
      <c r="P75" s="64">
        <f>IF(C75="","",IF(ISNUMBER(SEARCH("PCMSO",C75)),"PCMSO",IF(OR(ISNUMBER(SEARCH("E-SOCIAL",C75)),ISNUMBER(SEARCH("PSICOSOCIAL",C75))),"eSocial / Psicossocial",IF(O75="Receita recorrente","Carteira recorrente","Projetos / Laudos / Avulsos"))))</f>
        <v/>
      </c>
      <c r="Q75" s="64">
        <f>IF(P75="","",IF(P75="Carteira recorrente","Operação recorrente",IF(P75="PCMSO","Projetos PCMSO",IF(P75="eSocial / Psicossocial","Projetos eSocial/Psicossocial","Projetos / Laudos / Avulsos"))))</f>
        <v/>
      </c>
      <c r="R75" s="64">
        <f>IF(C75="","",IF(ISNUMBER(SEARCH("PCMSO",C75)),"Título com PCMSO no nome",IF(OR(ISNUMBER(SEARCH("E-SOCIAL",C75)),ISNUMBER(SEARCH("PSICOSOCIAL",C75))),"Título com eSocial/Psicossocial no nome",IF(O75="Receita recorrente","Tipo DRE recorrente","Extra sem palavra-chave específica"))))</f>
        <v/>
      </c>
      <c r="S75" s="92">
        <f>IFERROR(VLOOKUP($A75,'13. Mapa Títulos-Receita'!$A$8:$P$1000,4,FALSE),"")</f>
        <v/>
      </c>
      <c r="T75" s="92">
        <f>IFERROR(VLOOKUP($A75,'13. Mapa Títulos-Receita'!$A$8:$P$1000,5,FALSE),"")</f>
        <v/>
      </c>
      <c r="U75" s="92">
        <f>IFERROR(VLOOKUP($A75,'13. Mapa Títulos-Receita'!$A$8:$P$1000,6,FALSE),"")</f>
        <v/>
      </c>
      <c r="V75" s="92">
        <f>IFERROR(VLOOKUP($A75,'13. Mapa Títulos-Receita'!$A$8:$P$1000,7,FALSE),"")</f>
        <v/>
      </c>
      <c r="W75" s="92">
        <f>IFERROR(VLOOKUP($A75,'13. Mapa Títulos-Receita'!$A$8:$P$1000,8,FALSE),"")</f>
        <v/>
      </c>
      <c r="X75" s="92">
        <f>IFERROR(VLOOKUP($A75,'13. Mapa Títulos-Receita'!$A$8:$P$1000,9,FALSE),"")</f>
        <v/>
      </c>
      <c r="Y75" s="92">
        <f>IFERROR(VLOOKUP($A75,'13. Mapa Títulos-Receita'!$A$8:$P$1000,10,FALSE),"")</f>
        <v/>
      </c>
      <c r="Z75" s="92">
        <f>IFERROR(VLOOKUP($A75,'13. Mapa Títulos-Receita'!$A$8:$P$1000,11,FALSE),"")</f>
        <v/>
      </c>
      <c r="AA75" s="92">
        <f>IFERROR(VLOOKUP($A75,'13. Mapa Títulos-Receita'!$A$8:$P$1000,12,FALSE),"")</f>
        <v/>
      </c>
      <c r="AB75" s="92">
        <f>IFERROR(VLOOKUP($A75,'13. Mapa Títulos-Receita'!$A$8:$P$1000,13,FALSE),"")</f>
        <v/>
      </c>
      <c r="AC75" s="92">
        <f>IFERROR(VLOOKUP($A75,'13. Mapa Títulos-Receita'!$A$8:$P$1000,14,FALSE),"")</f>
        <v/>
      </c>
      <c r="AD75" s="92">
        <f>IFERROR(VLOOKUP($A75,'13. Mapa Títulos-Receita'!$A$8:$P$1000,15,FALSE),"")</f>
        <v/>
      </c>
      <c r="AE75" s="92">
        <f>IFERROR(VLOOKUP($A75,'13. Mapa Títulos-Receita'!$A$8:$P$1000,16,FALSE),"")</f>
        <v/>
      </c>
    </row>
    <row r="76">
      <c r="A76" s="28">
        <f>IF(C76="","", "CR-"&amp;TEXT(ROW()-7,"000"))</f>
        <v/>
      </c>
      <c r="B76" s="28" t="n"/>
      <c r="C76" s="28" t="n"/>
      <c r="D76" s="111" t="n"/>
      <c r="E76" s="111" t="n"/>
      <c r="F76" s="111" t="n"/>
      <c r="G76" s="28" t="n"/>
      <c r="H76" s="45" t="n"/>
      <c r="I76" s="45" t="n"/>
      <c r="J76" s="28">
        <f>IF(H76="","",IF(I76&gt;=H76,"Recebido",IF($B$4&gt;E76,"Vencido","Aberto")))</f>
        <v/>
      </c>
      <c r="K76" s="4">
        <f>IF(J76="","",IF(OR(J76="Recebido",F76=""),MAX(0,F76-E76),MAX(0,$B$4-E76)))</f>
        <v/>
      </c>
      <c r="L76" s="4">
        <f>IF(K76="","",IF(K76=0,"Em dia",IF(K76&lt;=30,"1-30 dias",IF(K76&lt;=60,"31-60 dias",IF(K76&lt;=90,"61-90 dias","&gt;90 dias")))))</f>
        <v/>
      </c>
      <c r="M76" s="28" t="n"/>
      <c r="N76" s="104" t="inlineStr"/>
      <c r="O76" s="64" t="n"/>
      <c r="P76" s="64">
        <f>IF(C76="","",IF(ISNUMBER(SEARCH("PCMSO",C76)),"PCMSO",IF(OR(ISNUMBER(SEARCH("E-SOCIAL",C76)),ISNUMBER(SEARCH("PSICOSOCIAL",C76))),"eSocial / Psicossocial",IF(O76="Receita recorrente","Carteira recorrente","Projetos / Laudos / Avulsos"))))</f>
        <v/>
      </c>
      <c r="Q76" s="64">
        <f>IF(P76="","",IF(P76="Carteira recorrente","Operação recorrente",IF(P76="PCMSO","Projetos PCMSO",IF(P76="eSocial / Psicossocial","Projetos eSocial/Psicossocial","Projetos / Laudos / Avulsos"))))</f>
        <v/>
      </c>
      <c r="R76" s="64">
        <f>IF(C76="","",IF(ISNUMBER(SEARCH("PCMSO",C76)),"Título com PCMSO no nome",IF(OR(ISNUMBER(SEARCH("E-SOCIAL",C76)),ISNUMBER(SEARCH("PSICOSOCIAL",C76))),"Título com eSocial/Psicossocial no nome",IF(O76="Receita recorrente","Tipo DRE recorrente","Extra sem palavra-chave específica"))))</f>
        <v/>
      </c>
      <c r="S76" s="92">
        <f>IFERROR(VLOOKUP($A76,'13. Mapa Títulos-Receita'!$A$8:$P$1000,4,FALSE),"")</f>
        <v/>
      </c>
      <c r="T76" s="92">
        <f>IFERROR(VLOOKUP($A76,'13. Mapa Títulos-Receita'!$A$8:$P$1000,5,FALSE),"")</f>
        <v/>
      </c>
      <c r="U76" s="92">
        <f>IFERROR(VLOOKUP($A76,'13. Mapa Títulos-Receita'!$A$8:$P$1000,6,FALSE),"")</f>
        <v/>
      </c>
      <c r="V76" s="92">
        <f>IFERROR(VLOOKUP($A76,'13. Mapa Títulos-Receita'!$A$8:$P$1000,7,FALSE),"")</f>
        <v/>
      </c>
      <c r="W76" s="92">
        <f>IFERROR(VLOOKUP($A76,'13. Mapa Títulos-Receita'!$A$8:$P$1000,8,FALSE),"")</f>
        <v/>
      </c>
      <c r="X76" s="92">
        <f>IFERROR(VLOOKUP($A76,'13. Mapa Títulos-Receita'!$A$8:$P$1000,9,FALSE),"")</f>
        <v/>
      </c>
      <c r="Y76" s="92">
        <f>IFERROR(VLOOKUP($A76,'13. Mapa Títulos-Receita'!$A$8:$P$1000,10,FALSE),"")</f>
        <v/>
      </c>
      <c r="Z76" s="92">
        <f>IFERROR(VLOOKUP($A76,'13. Mapa Títulos-Receita'!$A$8:$P$1000,11,FALSE),"")</f>
        <v/>
      </c>
      <c r="AA76" s="92">
        <f>IFERROR(VLOOKUP($A76,'13. Mapa Títulos-Receita'!$A$8:$P$1000,12,FALSE),"")</f>
        <v/>
      </c>
      <c r="AB76" s="92">
        <f>IFERROR(VLOOKUP($A76,'13. Mapa Títulos-Receita'!$A$8:$P$1000,13,FALSE),"")</f>
        <v/>
      </c>
      <c r="AC76" s="92">
        <f>IFERROR(VLOOKUP($A76,'13. Mapa Títulos-Receita'!$A$8:$P$1000,14,FALSE),"")</f>
        <v/>
      </c>
      <c r="AD76" s="92">
        <f>IFERROR(VLOOKUP($A76,'13. Mapa Títulos-Receita'!$A$8:$P$1000,15,FALSE),"")</f>
        <v/>
      </c>
      <c r="AE76" s="92">
        <f>IFERROR(VLOOKUP($A76,'13. Mapa Títulos-Receita'!$A$8:$P$1000,16,FALSE),"")</f>
        <v/>
      </c>
    </row>
    <row r="77">
      <c r="A77" s="28">
        <f>IF(C77="","", "CR-"&amp;TEXT(ROW()-7,"000"))</f>
        <v/>
      </c>
      <c r="B77" s="28" t="n"/>
      <c r="C77" s="28" t="n"/>
      <c r="D77" s="111" t="n"/>
      <c r="E77" s="111" t="n"/>
      <c r="F77" s="111" t="n"/>
      <c r="G77" s="28" t="n"/>
      <c r="H77" s="45" t="n"/>
      <c r="I77" s="45" t="n"/>
      <c r="J77" s="28">
        <f>IF(H77="","",IF(I77&gt;=H77,"Recebido",IF($B$4&gt;E77,"Vencido","Aberto")))</f>
        <v/>
      </c>
      <c r="K77" s="4">
        <f>IF(J77="","",IF(OR(J77="Recebido",F77=""),MAX(0,F77-E77),MAX(0,$B$4-E77)))</f>
        <v/>
      </c>
      <c r="L77" s="4">
        <f>IF(K77="","",IF(K77=0,"Em dia",IF(K77&lt;=30,"1-30 dias",IF(K77&lt;=60,"31-60 dias",IF(K77&lt;=90,"61-90 dias","&gt;90 dias")))))</f>
        <v/>
      </c>
      <c r="M77" s="28" t="n"/>
      <c r="N77" s="104" t="inlineStr"/>
      <c r="O77" s="64" t="n"/>
      <c r="P77" s="64">
        <f>IF(C77="","",IF(ISNUMBER(SEARCH("PCMSO",C77)),"PCMSO",IF(OR(ISNUMBER(SEARCH("E-SOCIAL",C77)),ISNUMBER(SEARCH("PSICOSOCIAL",C77))),"eSocial / Psicossocial",IF(O77="Receita recorrente","Carteira recorrente","Projetos / Laudos / Avulsos"))))</f>
        <v/>
      </c>
      <c r="Q77" s="64">
        <f>IF(P77="","",IF(P77="Carteira recorrente","Operação recorrente",IF(P77="PCMSO","Projetos PCMSO",IF(P77="eSocial / Psicossocial","Projetos eSocial/Psicossocial","Projetos / Laudos / Avulsos"))))</f>
        <v/>
      </c>
      <c r="R77" s="64">
        <f>IF(C77="","",IF(ISNUMBER(SEARCH("PCMSO",C77)),"Título com PCMSO no nome",IF(OR(ISNUMBER(SEARCH("E-SOCIAL",C77)),ISNUMBER(SEARCH("PSICOSOCIAL",C77))),"Título com eSocial/Psicossocial no nome",IF(O77="Receita recorrente","Tipo DRE recorrente","Extra sem palavra-chave específica"))))</f>
        <v/>
      </c>
      <c r="S77" s="92">
        <f>IFERROR(VLOOKUP($A77,'13. Mapa Títulos-Receita'!$A$8:$P$1000,4,FALSE),"")</f>
        <v/>
      </c>
      <c r="T77" s="92">
        <f>IFERROR(VLOOKUP($A77,'13. Mapa Títulos-Receita'!$A$8:$P$1000,5,FALSE),"")</f>
        <v/>
      </c>
      <c r="U77" s="92">
        <f>IFERROR(VLOOKUP($A77,'13. Mapa Títulos-Receita'!$A$8:$P$1000,6,FALSE),"")</f>
        <v/>
      </c>
      <c r="V77" s="92">
        <f>IFERROR(VLOOKUP($A77,'13. Mapa Títulos-Receita'!$A$8:$P$1000,7,FALSE),"")</f>
        <v/>
      </c>
      <c r="W77" s="92">
        <f>IFERROR(VLOOKUP($A77,'13. Mapa Títulos-Receita'!$A$8:$P$1000,8,FALSE),"")</f>
        <v/>
      </c>
      <c r="X77" s="92">
        <f>IFERROR(VLOOKUP($A77,'13. Mapa Títulos-Receita'!$A$8:$P$1000,9,FALSE),"")</f>
        <v/>
      </c>
      <c r="Y77" s="92">
        <f>IFERROR(VLOOKUP($A77,'13. Mapa Títulos-Receita'!$A$8:$P$1000,10,FALSE),"")</f>
        <v/>
      </c>
      <c r="Z77" s="92">
        <f>IFERROR(VLOOKUP($A77,'13. Mapa Títulos-Receita'!$A$8:$P$1000,11,FALSE),"")</f>
        <v/>
      </c>
      <c r="AA77" s="92">
        <f>IFERROR(VLOOKUP($A77,'13. Mapa Títulos-Receita'!$A$8:$P$1000,12,FALSE),"")</f>
        <v/>
      </c>
      <c r="AB77" s="92">
        <f>IFERROR(VLOOKUP($A77,'13. Mapa Títulos-Receita'!$A$8:$P$1000,13,FALSE),"")</f>
        <v/>
      </c>
      <c r="AC77" s="92">
        <f>IFERROR(VLOOKUP($A77,'13. Mapa Títulos-Receita'!$A$8:$P$1000,14,FALSE),"")</f>
        <v/>
      </c>
      <c r="AD77" s="92">
        <f>IFERROR(VLOOKUP($A77,'13. Mapa Títulos-Receita'!$A$8:$P$1000,15,FALSE),"")</f>
        <v/>
      </c>
      <c r="AE77" s="92">
        <f>IFERROR(VLOOKUP($A77,'13. Mapa Títulos-Receita'!$A$8:$P$1000,16,FALSE),"")</f>
        <v/>
      </c>
    </row>
    <row r="78">
      <c r="A78" s="28">
        <f>IF(C78="","", "CR-"&amp;TEXT(ROW()-7,"000"))</f>
        <v/>
      </c>
      <c r="B78" s="28" t="n"/>
      <c r="C78" s="28" t="n"/>
      <c r="D78" s="111" t="n"/>
      <c r="E78" s="111" t="n"/>
      <c r="F78" s="111" t="n"/>
      <c r="G78" s="28" t="n"/>
      <c r="H78" s="45" t="n"/>
      <c r="I78" s="45" t="n"/>
      <c r="J78" s="28">
        <f>IF(H78="","",IF(I78&gt;=H78,"Recebido",IF($B$4&gt;E78,"Vencido","Aberto")))</f>
        <v/>
      </c>
      <c r="K78" s="4">
        <f>IF(J78="","",IF(OR(J78="Recebido",F78=""),MAX(0,F78-E78),MAX(0,$B$4-E78)))</f>
        <v/>
      </c>
      <c r="L78" s="4">
        <f>IF(K78="","",IF(K78=0,"Em dia",IF(K78&lt;=30,"1-30 dias",IF(K78&lt;=60,"31-60 dias",IF(K78&lt;=90,"61-90 dias","&gt;90 dias")))))</f>
        <v/>
      </c>
      <c r="M78" s="28" t="n"/>
      <c r="N78" s="104" t="inlineStr"/>
      <c r="O78" s="64" t="n"/>
      <c r="P78" s="64">
        <f>IF(C78="","",IF(ISNUMBER(SEARCH("PCMSO",C78)),"PCMSO",IF(OR(ISNUMBER(SEARCH("E-SOCIAL",C78)),ISNUMBER(SEARCH("PSICOSOCIAL",C78))),"eSocial / Psicossocial",IF(O78="Receita recorrente","Carteira recorrente","Projetos / Laudos / Avulsos"))))</f>
        <v/>
      </c>
      <c r="Q78" s="64">
        <f>IF(P78="","",IF(P78="Carteira recorrente","Operação recorrente",IF(P78="PCMSO","Projetos PCMSO",IF(P78="eSocial / Psicossocial","Projetos eSocial/Psicossocial","Projetos / Laudos / Avulsos"))))</f>
        <v/>
      </c>
      <c r="R78" s="64">
        <f>IF(C78="","",IF(ISNUMBER(SEARCH("PCMSO",C78)),"Título com PCMSO no nome",IF(OR(ISNUMBER(SEARCH("E-SOCIAL",C78)),ISNUMBER(SEARCH("PSICOSOCIAL",C78))),"Título com eSocial/Psicossocial no nome",IF(O78="Receita recorrente","Tipo DRE recorrente","Extra sem palavra-chave específica"))))</f>
        <v/>
      </c>
      <c r="S78" s="92">
        <f>IFERROR(VLOOKUP($A78,'13. Mapa Títulos-Receita'!$A$8:$P$1000,4,FALSE),"")</f>
        <v/>
      </c>
      <c r="T78" s="92">
        <f>IFERROR(VLOOKUP($A78,'13. Mapa Títulos-Receita'!$A$8:$P$1000,5,FALSE),"")</f>
        <v/>
      </c>
      <c r="U78" s="92">
        <f>IFERROR(VLOOKUP($A78,'13. Mapa Títulos-Receita'!$A$8:$P$1000,6,FALSE),"")</f>
        <v/>
      </c>
      <c r="V78" s="92">
        <f>IFERROR(VLOOKUP($A78,'13. Mapa Títulos-Receita'!$A$8:$P$1000,7,FALSE),"")</f>
        <v/>
      </c>
      <c r="W78" s="92">
        <f>IFERROR(VLOOKUP($A78,'13. Mapa Títulos-Receita'!$A$8:$P$1000,8,FALSE),"")</f>
        <v/>
      </c>
      <c r="X78" s="92">
        <f>IFERROR(VLOOKUP($A78,'13. Mapa Títulos-Receita'!$A$8:$P$1000,9,FALSE),"")</f>
        <v/>
      </c>
      <c r="Y78" s="92">
        <f>IFERROR(VLOOKUP($A78,'13. Mapa Títulos-Receita'!$A$8:$P$1000,10,FALSE),"")</f>
        <v/>
      </c>
      <c r="Z78" s="92">
        <f>IFERROR(VLOOKUP($A78,'13. Mapa Títulos-Receita'!$A$8:$P$1000,11,FALSE),"")</f>
        <v/>
      </c>
      <c r="AA78" s="92">
        <f>IFERROR(VLOOKUP($A78,'13. Mapa Títulos-Receita'!$A$8:$P$1000,12,FALSE),"")</f>
        <v/>
      </c>
      <c r="AB78" s="92">
        <f>IFERROR(VLOOKUP($A78,'13. Mapa Títulos-Receita'!$A$8:$P$1000,13,FALSE),"")</f>
        <v/>
      </c>
      <c r="AC78" s="92">
        <f>IFERROR(VLOOKUP($A78,'13. Mapa Títulos-Receita'!$A$8:$P$1000,14,FALSE),"")</f>
        <v/>
      </c>
      <c r="AD78" s="92">
        <f>IFERROR(VLOOKUP($A78,'13. Mapa Títulos-Receita'!$A$8:$P$1000,15,FALSE),"")</f>
        <v/>
      </c>
      <c r="AE78" s="92">
        <f>IFERROR(VLOOKUP($A78,'13. Mapa Títulos-Receita'!$A$8:$P$1000,16,FALSE),"")</f>
        <v/>
      </c>
    </row>
    <row r="79">
      <c r="A79" s="28">
        <f>IF(C79="","", "CR-"&amp;TEXT(ROW()-7,"000"))</f>
        <v/>
      </c>
      <c r="B79" s="28" t="n"/>
      <c r="C79" s="28" t="n"/>
      <c r="D79" s="111" t="n"/>
      <c r="E79" s="111" t="n"/>
      <c r="F79" s="111" t="n"/>
      <c r="G79" s="28" t="n"/>
      <c r="H79" s="45" t="n"/>
      <c r="I79" s="45" t="n"/>
      <c r="J79" s="28">
        <f>IF(H79="","",IF(I79&gt;=H79,"Recebido",IF($B$4&gt;E79,"Vencido","Aberto")))</f>
        <v/>
      </c>
      <c r="K79" s="4">
        <f>IF(J79="","",IF(OR(J79="Recebido",F79=""),MAX(0,F79-E79),MAX(0,$B$4-E79)))</f>
        <v/>
      </c>
      <c r="L79" s="4">
        <f>IF(K79="","",IF(K79=0,"Em dia",IF(K79&lt;=30,"1-30 dias",IF(K79&lt;=60,"31-60 dias",IF(K79&lt;=90,"61-90 dias","&gt;90 dias")))))</f>
        <v/>
      </c>
      <c r="M79" s="28" t="n"/>
      <c r="N79" s="104" t="inlineStr"/>
      <c r="O79" s="64" t="n"/>
      <c r="P79" s="64">
        <f>IF(C79="","",IF(ISNUMBER(SEARCH("PCMSO",C79)),"PCMSO",IF(OR(ISNUMBER(SEARCH("E-SOCIAL",C79)),ISNUMBER(SEARCH("PSICOSOCIAL",C79))),"eSocial / Psicossocial",IF(O79="Receita recorrente","Carteira recorrente","Projetos / Laudos / Avulsos"))))</f>
        <v/>
      </c>
      <c r="Q79" s="64">
        <f>IF(P79="","",IF(P79="Carteira recorrente","Operação recorrente",IF(P79="PCMSO","Projetos PCMSO",IF(P79="eSocial / Psicossocial","Projetos eSocial/Psicossocial","Projetos / Laudos / Avulsos"))))</f>
        <v/>
      </c>
      <c r="R79" s="64">
        <f>IF(C79="","",IF(ISNUMBER(SEARCH("PCMSO",C79)),"Título com PCMSO no nome",IF(OR(ISNUMBER(SEARCH("E-SOCIAL",C79)),ISNUMBER(SEARCH("PSICOSOCIAL",C79))),"Título com eSocial/Psicossocial no nome",IF(O79="Receita recorrente","Tipo DRE recorrente","Extra sem palavra-chave específica"))))</f>
        <v/>
      </c>
      <c r="S79" s="92">
        <f>IFERROR(VLOOKUP($A79,'13. Mapa Títulos-Receita'!$A$8:$P$1000,4,FALSE),"")</f>
        <v/>
      </c>
      <c r="T79" s="92">
        <f>IFERROR(VLOOKUP($A79,'13. Mapa Títulos-Receita'!$A$8:$P$1000,5,FALSE),"")</f>
        <v/>
      </c>
      <c r="U79" s="92">
        <f>IFERROR(VLOOKUP($A79,'13. Mapa Títulos-Receita'!$A$8:$P$1000,6,FALSE),"")</f>
        <v/>
      </c>
      <c r="V79" s="92">
        <f>IFERROR(VLOOKUP($A79,'13. Mapa Títulos-Receita'!$A$8:$P$1000,7,FALSE),"")</f>
        <v/>
      </c>
      <c r="W79" s="92">
        <f>IFERROR(VLOOKUP($A79,'13. Mapa Títulos-Receita'!$A$8:$P$1000,8,FALSE),"")</f>
        <v/>
      </c>
      <c r="X79" s="92">
        <f>IFERROR(VLOOKUP($A79,'13. Mapa Títulos-Receita'!$A$8:$P$1000,9,FALSE),"")</f>
        <v/>
      </c>
      <c r="Y79" s="92">
        <f>IFERROR(VLOOKUP($A79,'13. Mapa Títulos-Receita'!$A$8:$P$1000,10,FALSE),"")</f>
        <v/>
      </c>
      <c r="Z79" s="92">
        <f>IFERROR(VLOOKUP($A79,'13. Mapa Títulos-Receita'!$A$8:$P$1000,11,FALSE),"")</f>
        <v/>
      </c>
      <c r="AA79" s="92">
        <f>IFERROR(VLOOKUP($A79,'13. Mapa Títulos-Receita'!$A$8:$P$1000,12,FALSE),"")</f>
        <v/>
      </c>
      <c r="AB79" s="92">
        <f>IFERROR(VLOOKUP($A79,'13. Mapa Títulos-Receita'!$A$8:$P$1000,13,FALSE),"")</f>
        <v/>
      </c>
      <c r="AC79" s="92">
        <f>IFERROR(VLOOKUP($A79,'13. Mapa Títulos-Receita'!$A$8:$P$1000,14,FALSE),"")</f>
        <v/>
      </c>
      <c r="AD79" s="92">
        <f>IFERROR(VLOOKUP($A79,'13. Mapa Títulos-Receita'!$A$8:$P$1000,15,FALSE),"")</f>
        <v/>
      </c>
      <c r="AE79" s="92">
        <f>IFERROR(VLOOKUP($A79,'13. Mapa Títulos-Receita'!$A$8:$P$1000,16,FALSE),"")</f>
        <v/>
      </c>
    </row>
    <row r="80">
      <c r="A80" s="28">
        <f>IF(C80="","", "CR-"&amp;TEXT(ROW()-7,"000"))</f>
        <v/>
      </c>
      <c r="B80" s="28" t="n"/>
      <c r="C80" s="28" t="n"/>
      <c r="D80" s="111" t="n"/>
      <c r="E80" s="111" t="n"/>
      <c r="F80" s="111" t="n"/>
      <c r="G80" s="28" t="n"/>
      <c r="H80" s="45" t="n"/>
      <c r="I80" s="45" t="n"/>
      <c r="J80" s="28">
        <f>IF(H80="","",IF(I80&gt;=H80,"Recebido",IF($B$4&gt;E80,"Vencido","Aberto")))</f>
        <v/>
      </c>
      <c r="K80" s="4">
        <f>IF(J80="","",IF(OR(J80="Recebido",F80=""),MAX(0,F80-E80),MAX(0,$B$4-E80)))</f>
        <v/>
      </c>
      <c r="L80" s="4">
        <f>IF(K80="","",IF(K80=0,"Em dia",IF(K80&lt;=30,"1-30 dias",IF(K80&lt;=60,"31-60 dias",IF(K80&lt;=90,"61-90 dias","&gt;90 dias")))))</f>
        <v/>
      </c>
      <c r="M80" s="28" t="n"/>
      <c r="N80" s="104" t="inlineStr"/>
      <c r="O80" s="64" t="n"/>
      <c r="P80" s="64">
        <f>IF(C80="","",IF(ISNUMBER(SEARCH("PCMSO",C80)),"PCMSO",IF(OR(ISNUMBER(SEARCH("E-SOCIAL",C80)),ISNUMBER(SEARCH("PSICOSOCIAL",C80))),"eSocial / Psicossocial",IF(O80="Receita recorrente","Carteira recorrente","Projetos / Laudos / Avulsos"))))</f>
        <v/>
      </c>
      <c r="Q80" s="64">
        <f>IF(P80="","",IF(P80="Carteira recorrente","Operação recorrente",IF(P80="PCMSO","Projetos PCMSO",IF(P80="eSocial / Psicossocial","Projetos eSocial/Psicossocial","Projetos / Laudos / Avulsos"))))</f>
        <v/>
      </c>
      <c r="R80" s="64">
        <f>IF(C80="","",IF(ISNUMBER(SEARCH("PCMSO",C80)),"Título com PCMSO no nome",IF(OR(ISNUMBER(SEARCH("E-SOCIAL",C80)),ISNUMBER(SEARCH("PSICOSOCIAL",C80))),"Título com eSocial/Psicossocial no nome",IF(O80="Receita recorrente","Tipo DRE recorrente","Extra sem palavra-chave específica"))))</f>
        <v/>
      </c>
      <c r="S80" s="92">
        <f>IFERROR(VLOOKUP($A80,'13. Mapa Títulos-Receita'!$A$8:$P$1000,4,FALSE),"")</f>
        <v/>
      </c>
      <c r="T80" s="92">
        <f>IFERROR(VLOOKUP($A80,'13. Mapa Títulos-Receita'!$A$8:$P$1000,5,FALSE),"")</f>
        <v/>
      </c>
      <c r="U80" s="92">
        <f>IFERROR(VLOOKUP($A80,'13. Mapa Títulos-Receita'!$A$8:$P$1000,6,FALSE),"")</f>
        <v/>
      </c>
      <c r="V80" s="92">
        <f>IFERROR(VLOOKUP($A80,'13. Mapa Títulos-Receita'!$A$8:$P$1000,7,FALSE),"")</f>
        <v/>
      </c>
      <c r="W80" s="92">
        <f>IFERROR(VLOOKUP($A80,'13. Mapa Títulos-Receita'!$A$8:$P$1000,8,FALSE),"")</f>
        <v/>
      </c>
      <c r="X80" s="92">
        <f>IFERROR(VLOOKUP($A80,'13. Mapa Títulos-Receita'!$A$8:$P$1000,9,FALSE),"")</f>
        <v/>
      </c>
      <c r="Y80" s="92">
        <f>IFERROR(VLOOKUP($A80,'13. Mapa Títulos-Receita'!$A$8:$P$1000,10,FALSE),"")</f>
        <v/>
      </c>
      <c r="Z80" s="92">
        <f>IFERROR(VLOOKUP($A80,'13. Mapa Títulos-Receita'!$A$8:$P$1000,11,FALSE),"")</f>
        <v/>
      </c>
      <c r="AA80" s="92">
        <f>IFERROR(VLOOKUP($A80,'13. Mapa Títulos-Receita'!$A$8:$P$1000,12,FALSE),"")</f>
        <v/>
      </c>
      <c r="AB80" s="92">
        <f>IFERROR(VLOOKUP($A80,'13. Mapa Títulos-Receita'!$A$8:$P$1000,13,FALSE),"")</f>
        <v/>
      </c>
      <c r="AC80" s="92">
        <f>IFERROR(VLOOKUP($A80,'13. Mapa Títulos-Receita'!$A$8:$P$1000,14,FALSE),"")</f>
        <v/>
      </c>
      <c r="AD80" s="92">
        <f>IFERROR(VLOOKUP($A80,'13. Mapa Títulos-Receita'!$A$8:$P$1000,15,FALSE),"")</f>
        <v/>
      </c>
      <c r="AE80" s="92">
        <f>IFERROR(VLOOKUP($A80,'13. Mapa Títulos-Receita'!$A$8:$P$1000,16,FALSE),"")</f>
        <v/>
      </c>
    </row>
    <row r="81">
      <c r="A81" s="28">
        <f>IF(C81="","", "CR-"&amp;TEXT(ROW()-7,"000"))</f>
        <v/>
      </c>
      <c r="B81" s="28" t="n"/>
      <c r="C81" s="28" t="n"/>
      <c r="D81" s="111" t="n"/>
      <c r="E81" s="111" t="n"/>
      <c r="F81" s="111" t="n"/>
      <c r="G81" s="28" t="n"/>
      <c r="H81" s="45" t="n"/>
      <c r="I81" s="45" t="n"/>
      <c r="J81" s="28">
        <f>IF(H81="","",IF(I81&gt;=H81,"Recebido",IF($B$4&gt;E81,"Vencido","Aberto")))</f>
        <v/>
      </c>
      <c r="K81" s="4">
        <f>IF(J81="","",IF(OR(J81="Recebido",F81=""),MAX(0,F81-E81),MAX(0,$B$4-E81)))</f>
        <v/>
      </c>
      <c r="L81" s="4">
        <f>IF(K81="","",IF(K81=0,"Em dia",IF(K81&lt;=30,"1-30 dias",IF(K81&lt;=60,"31-60 dias",IF(K81&lt;=90,"61-90 dias","&gt;90 dias")))))</f>
        <v/>
      </c>
      <c r="M81" s="28" t="n"/>
      <c r="N81" s="104" t="inlineStr"/>
      <c r="O81" s="64" t="n"/>
      <c r="P81" s="64">
        <f>IF(C81="","",IF(ISNUMBER(SEARCH("PCMSO",C81)),"PCMSO",IF(OR(ISNUMBER(SEARCH("E-SOCIAL",C81)),ISNUMBER(SEARCH("PSICOSOCIAL",C81))),"eSocial / Psicossocial",IF(O81="Receita recorrente","Carteira recorrente","Projetos / Laudos / Avulsos"))))</f>
        <v/>
      </c>
      <c r="Q81" s="64">
        <f>IF(P81="","",IF(P81="Carteira recorrente","Operação recorrente",IF(P81="PCMSO","Projetos PCMSO",IF(P81="eSocial / Psicossocial","Projetos eSocial/Psicossocial","Projetos / Laudos / Avulsos"))))</f>
        <v/>
      </c>
      <c r="R81" s="64">
        <f>IF(C81="","",IF(ISNUMBER(SEARCH("PCMSO",C81)),"Título com PCMSO no nome",IF(OR(ISNUMBER(SEARCH("E-SOCIAL",C81)),ISNUMBER(SEARCH("PSICOSOCIAL",C81))),"Título com eSocial/Psicossocial no nome",IF(O81="Receita recorrente","Tipo DRE recorrente","Extra sem palavra-chave específica"))))</f>
        <v/>
      </c>
      <c r="S81" s="92">
        <f>IFERROR(VLOOKUP($A81,'13. Mapa Títulos-Receita'!$A$8:$P$1000,4,FALSE),"")</f>
        <v/>
      </c>
      <c r="T81" s="92">
        <f>IFERROR(VLOOKUP($A81,'13. Mapa Títulos-Receita'!$A$8:$P$1000,5,FALSE),"")</f>
        <v/>
      </c>
      <c r="U81" s="92">
        <f>IFERROR(VLOOKUP($A81,'13. Mapa Títulos-Receita'!$A$8:$P$1000,6,FALSE),"")</f>
        <v/>
      </c>
      <c r="V81" s="92">
        <f>IFERROR(VLOOKUP($A81,'13. Mapa Títulos-Receita'!$A$8:$P$1000,7,FALSE),"")</f>
        <v/>
      </c>
      <c r="W81" s="92">
        <f>IFERROR(VLOOKUP($A81,'13. Mapa Títulos-Receita'!$A$8:$P$1000,8,FALSE),"")</f>
        <v/>
      </c>
      <c r="X81" s="92">
        <f>IFERROR(VLOOKUP($A81,'13. Mapa Títulos-Receita'!$A$8:$P$1000,9,FALSE),"")</f>
        <v/>
      </c>
      <c r="Y81" s="92">
        <f>IFERROR(VLOOKUP($A81,'13. Mapa Títulos-Receita'!$A$8:$P$1000,10,FALSE),"")</f>
        <v/>
      </c>
      <c r="Z81" s="92">
        <f>IFERROR(VLOOKUP($A81,'13. Mapa Títulos-Receita'!$A$8:$P$1000,11,FALSE),"")</f>
        <v/>
      </c>
      <c r="AA81" s="92">
        <f>IFERROR(VLOOKUP($A81,'13. Mapa Títulos-Receita'!$A$8:$P$1000,12,FALSE),"")</f>
        <v/>
      </c>
      <c r="AB81" s="92">
        <f>IFERROR(VLOOKUP($A81,'13. Mapa Títulos-Receita'!$A$8:$P$1000,13,FALSE),"")</f>
        <v/>
      </c>
      <c r="AC81" s="92">
        <f>IFERROR(VLOOKUP($A81,'13. Mapa Títulos-Receita'!$A$8:$P$1000,14,FALSE),"")</f>
        <v/>
      </c>
      <c r="AD81" s="92">
        <f>IFERROR(VLOOKUP($A81,'13. Mapa Títulos-Receita'!$A$8:$P$1000,15,FALSE),"")</f>
        <v/>
      </c>
      <c r="AE81" s="92">
        <f>IFERROR(VLOOKUP($A81,'13. Mapa Títulos-Receita'!$A$8:$P$1000,16,FALSE),"")</f>
        <v/>
      </c>
    </row>
    <row r="82">
      <c r="A82" s="28">
        <f>IF(C82="","", "CR-"&amp;TEXT(ROW()-7,"000"))</f>
        <v/>
      </c>
      <c r="B82" s="28" t="n"/>
      <c r="C82" s="28" t="n"/>
      <c r="D82" s="111" t="n"/>
      <c r="E82" s="111" t="n"/>
      <c r="F82" s="111" t="n"/>
      <c r="G82" s="28" t="n"/>
      <c r="H82" s="45" t="n"/>
      <c r="I82" s="45" t="n"/>
      <c r="J82" s="28">
        <f>IF(H82="","",IF(I82&gt;=H82,"Recebido",IF($B$4&gt;E82,"Vencido","Aberto")))</f>
        <v/>
      </c>
      <c r="K82" s="4">
        <f>IF(J82="","",IF(OR(J82="Recebido",F82=""),MAX(0,F82-E82),MAX(0,$B$4-E82)))</f>
        <v/>
      </c>
      <c r="L82" s="4">
        <f>IF(K82="","",IF(K82=0,"Em dia",IF(K82&lt;=30,"1-30 dias",IF(K82&lt;=60,"31-60 dias",IF(K82&lt;=90,"61-90 dias","&gt;90 dias")))))</f>
        <v/>
      </c>
      <c r="M82" s="28" t="n"/>
      <c r="N82" s="104" t="inlineStr"/>
      <c r="O82" s="64" t="n"/>
      <c r="P82" s="64">
        <f>IF(C82="","",IF(ISNUMBER(SEARCH("PCMSO",C82)),"PCMSO",IF(OR(ISNUMBER(SEARCH("E-SOCIAL",C82)),ISNUMBER(SEARCH("PSICOSOCIAL",C82))),"eSocial / Psicossocial",IF(O82="Receita recorrente","Carteira recorrente","Projetos / Laudos / Avulsos"))))</f>
        <v/>
      </c>
      <c r="Q82" s="64">
        <f>IF(P82="","",IF(P82="Carteira recorrente","Operação recorrente",IF(P82="PCMSO","Projetos PCMSO",IF(P82="eSocial / Psicossocial","Projetos eSocial/Psicossocial","Projetos / Laudos / Avulsos"))))</f>
        <v/>
      </c>
      <c r="R82" s="64">
        <f>IF(C82="","",IF(ISNUMBER(SEARCH("PCMSO",C82)),"Título com PCMSO no nome",IF(OR(ISNUMBER(SEARCH("E-SOCIAL",C82)),ISNUMBER(SEARCH("PSICOSOCIAL",C82))),"Título com eSocial/Psicossocial no nome",IF(O82="Receita recorrente","Tipo DRE recorrente","Extra sem palavra-chave específica"))))</f>
        <v/>
      </c>
      <c r="S82" s="92">
        <f>IFERROR(VLOOKUP($A82,'13. Mapa Títulos-Receita'!$A$8:$P$1000,4,FALSE),"")</f>
        <v/>
      </c>
      <c r="T82" s="92">
        <f>IFERROR(VLOOKUP($A82,'13. Mapa Títulos-Receita'!$A$8:$P$1000,5,FALSE),"")</f>
        <v/>
      </c>
      <c r="U82" s="92">
        <f>IFERROR(VLOOKUP($A82,'13. Mapa Títulos-Receita'!$A$8:$P$1000,6,FALSE),"")</f>
        <v/>
      </c>
      <c r="V82" s="92">
        <f>IFERROR(VLOOKUP($A82,'13. Mapa Títulos-Receita'!$A$8:$P$1000,7,FALSE),"")</f>
        <v/>
      </c>
      <c r="W82" s="92">
        <f>IFERROR(VLOOKUP($A82,'13. Mapa Títulos-Receita'!$A$8:$P$1000,8,FALSE),"")</f>
        <v/>
      </c>
      <c r="X82" s="92">
        <f>IFERROR(VLOOKUP($A82,'13. Mapa Títulos-Receita'!$A$8:$P$1000,9,FALSE),"")</f>
        <v/>
      </c>
      <c r="Y82" s="92">
        <f>IFERROR(VLOOKUP($A82,'13. Mapa Títulos-Receita'!$A$8:$P$1000,10,FALSE),"")</f>
        <v/>
      </c>
      <c r="Z82" s="92">
        <f>IFERROR(VLOOKUP($A82,'13. Mapa Títulos-Receita'!$A$8:$P$1000,11,FALSE),"")</f>
        <v/>
      </c>
      <c r="AA82" s="92">
        <f>IFERROR(VLOOKUP($A82,'13. Mapa Títulos-Receita'!$A$8:$P$1000,12,FALSE),"")</f>
        <v/>
      </c>
      <c r="AB82" s="92">
        <f>IFERROR(VLOOKUP($A82,'13. Mapa Títulos-Receita'!$A$8:$P$1000,13,FALSE),"")</f>
        <v/>
      </c>
      <c r="AC82" s="92">
        <f>IFERROR(VLOOKUP($A82,'13. Mapa Títulos-Receita'!$A$8:$P$1000,14,FALSE),"")</f>
        <v/>
      </c>
      <c r="AD82" s="92">
        <f>IFERROR(VLOOKUP($A82,'13. Mapa Títulos-Receita'!$A$8:$P$1000,15,FALSE),"")</f>
        <v/>
      </c>
      <c r="AE82" s="92">
        <f>IFERROR(VLOOKUP($A82,'13. Mapa Títulos-Receita'!$A$8:$P$1000,16,FALSE),"")</f>
        <v/>
      </c>
    </row>
    <row r="83">
      <c r="A83" s="28">
        <f>IF(C83="","", "CR-"&amp;TEXT(ROW()-7,"000"))</f>
        <v/>
      </c>
      <c r="B83" s="28" t="n"/>
      <c r="C83" s="28" t="n"/>
      <c r="D83" s="111" t="n"/>
      <c r="E83" s="111" t="n"/>
      <c r="F83" s="111" t="n"/>
      <c r="G83" s="28" t="n"/>
      <c r="H83" s="45" t="n"/>
      <c r="I83" s="45" t="n"/>
      <c r="J83" s="28">
        <f>IF(H83="","",IF(I83&gt;=H83,"Recebido",IF($B$4&gt;E83,"Vencido","Aberto")))</f>
        <v/>
      </c>
      <c r="K83" s="4">
        <f>IF(J83="","",IF(OR(J83="Recebido",F83=""),MAX(0,F83-E83),MAX(0,$B$4-E83)))</f>
        <v/>
      </c>
      <c r="L83" s="4">
        <f>IF(K83="","",IF(K83=0,"Em dia",IF(K83&lt;=30,"1-30 dias",IF(K83&lt;=60,"31-60 dias",IF(K83&lt;=90,"61-90 dias","&gt;90 dias")))))</f>
        <v/>
      </c>
      <c r="M83" s="28" t="n"/>
      <c r="N83" s="104" t="inlineStr"/>
      <c r="O83" s="64" t="n"/>
      <c r="P83" s="64">
        <f>IF(C83="","",IF(ISNUMBER(SEARCH("PCMSO",C83)),"PCMSO",IF(OR(ISNUMBER(SEARCH("E-SOCIAL",C83)),ISNUMBER(SEARCH("PSICOSOCIAL",C83))),"eSocial / Psicossocial",IF(O83="Receita recorrente","Carteira recorrente","Projetos / Laudos / Avulsos"))))</f>
        <v/>
      </c>
      <c r="Q83" s="64">
        <f>IF(P83="","",IF(P83="Carteira recorrente","Operação recorrente",IF(P83="PCMSO","Projetos PCMSO",IF(P83="eSocial / Psicossocial","Projetos eSocial/Psicossocial","Projetos / Laudos / Avulsos"))))</f>
        <v/>
      </c>
      <c r="R83" s="64">
        <f>IF(C83="","",IF(ISNUMBER(SEARCH("PCMSO",C83)),"Título com PCMSO no nome",IF(OR(ISNUMBER(SEARCH("E-SOCIAL",C83)),ISNUMBER(SEARCH("PSICOSOCIAL",C83))),"Título com eSocial/Psicossocial no nome",IF(O83="Receita recorrente","Tipo DRE recorrente","Extra sem palavra-chave específica"))))</f>
        <v/>
      </c>
      <c r="S83" s="92">
        <f>IFERROR(VLOOKUP($A83,'13. Mapa Títulos-Receita'!$A$8:$P$1000,4,FALSE),"")</f>
        <v/>
      </c>
      <c r="T83" s="92">
        <f>IFERROR(VLOOKUP($A83,'13. Mapa Títulos-Receita'!$A$8:$P$1000,5,FALSE),"")</f>
        <v/>
      </c>
      <c r="U83" s="92">
        <f>IFERROR(VLOOKUP($A83,'13. Mapa Títulos-Receita'!$A$8:$P$1000,6,FALSE),"")</f>
        <v/>
      </c>
      <c r="V83" s="92">
        <f>IFERROR(VLOOKUP($A83,'13. Mapa Títulos-Receita'!$A$8:$P$1000,7,FALSE),"")</f>
        <v/>
      </c>
      <c r="W83" s="92">
        <f>IFERROR(VLOOKUP($A83,'13. Mapa Títulos-Receita'!$A$8:$P$1000,8,FALSE),"")</f>
        <v/>
      </c>
      <c r="X83" s="92">
        <f>IFERROR(VLOOKUP($A83,'13. Mapa Títulos-Receita'!$A$8:$P$1000,9,FALSE),"")</f>
        <v/>
      </c>
      <c r="Y83" s="92">
        <f>IFERROR(VLOOKUP($A83,'13. Mapa Títulos-Receita'!$A$8:$P$1000,10,FALSE),"")</f>
        <v/>
      </c>
      <c r="Z83" s="92">
        <f>IFERROR(VLOOKUP($A83,'13. Mapa Títulos-Receita'!$A$8:$P$1000,11,FALSE),"")</f>
        <v/>
      </c>
      <c r="AA83" s="92">
        <f>IFERROR(VLOOKUP($A83,'13. Mapa Títulos-Receita'!$A$8:$P$1000,12,FALSE),"")</f>
        <v/>
      </c>
      <c r="AB83" s="92">
        <f>IFERROR(VLOOKUP($A83,'13. Mapa Títulos-Receita'!$A$8:$P$1000,13,FALSE),"")</f>
        <v/>
      </c>
      <c r="AC83" s="92">
        <f>IFERROR(VLOOKUP($A83,'13. Mapa Títulos-Receita'!$A$8:$P$1000,14,FALSE),"")</f>
        <v/>
      </c>
      <c r="AD83" s="92">
        <f>IFERROR(VLOOKUP($A83,'13. Mapa Títulos-Receita'!$A$8:$P$1000,15,FALSE),"")</f>
        <v/>
      </c>
      <c r="AE83" s="92">
        <f>IFERROR(VLOOKUP($A83,'13. Mapa Títulos-Receita'!$A$8:$P$1000,16,FALSE),"")</f>
        <v/>
      </c>
    </row>
    <row r="84">
      <c r="A84" s="28">
        <f>IF(C84="","", "CR-"&amp;TEXT(ROW()-7,"000"))</f>
        <v/>
      </c>
      <c r="B84" s="28" t="n"/>
      <c r="C84" s="28" t="n"/>
      <c r="D84" s="111" t="n"/>
      <c r="E84" s="111" t="n"/>
      <c r="F84" s="111" t="n"/>
      <c r="G84" s="28" t="n"/>
      <c r="H84" s="45" t="n"/>
      <c r="I84" s="45" t="n"/>
      <c r="J84" s="28">
        <f>IF(H84="","",IF(I84&gt;=H84,"Recebido",IF($B$4&gt;E84,"Vencido","Aberto")))</f>
        <v/>
      </c>
      <c r="K84" s="4">
        <f>IF(J84="","",IF(OR(J84="Recebido",F84=""),MAX(0,F84-E84),MAX(0,$B$4-E84)))</f>
        <v/>
      </c>
      <c r="L84" s="4">
        <f>IF(K84="","",IF(K84=0,"Em dia",IF(K84&lt;=30,"1-30 dias",IF(K84&lt;=60,"31-60 dias",IF(K84&lt;=90,"61-90 dias","&gt;90 dias")))))</f>
        <v/>
      </c>
      <c r="M84" s="28" t="n"/>
      <c r="N84" s="104" t="inlineStr"/>
      <c r="O84" s="64" t="n"/>
      <c r="P84" s="64">
        <f>IF(C84="","",IF(ISNUMBER(SEARCH("PCMSO",C84)),"PCMSO",IF(OR(ISNUMBER(SEARCH("E-SOCIAL",C84)),ISNUMBER(SEARCH("PSICOSOCIAL",C84))),"eSocial / Psicossocial",IF(O84="Receita recorrente","Carteira recorrente","Projetos / Laudos / Avulsos"))))</f>
        <v/>
      </c>
      <c r="Q84" s="64">
        <f>IF(P84="","",IF(P84="Carteira recorrente","Operação recorrente",IF(P84="PCMSO","Projetos PCMSO",IF(P84="eSocial / Psicossocial","Projetos eSocial/Psicossocial","Projetos / Laudos / Avulsos"))))</f>
        <v/>
      </c>
      <c r="R84" s="64">
        <f>IF(C84="","",IF(ISNUMBER(SEARCH("PCMSO",C84)),"Título com PCMSO no nome",IF(OR(ISNUMBER(SEARCH("E-SOCIAL",C84)),ISNUMBER(SEARCH("PSICOSOCIAL",C84))),"Título com eSocial/Psicossocial no nome",IF(O84="Receita recorrente","Tipo DRE recorrente","Extra sem palavra-chave específica"))))</f>
        <v/>
      </c>
      <c r="S84" s="92">
        <f>IFERROR(VLOOKUP($A84,'13. Mapa Títulos-Receita'!$A$8:$P$1000,4,FALSE),"")</f>
        <v/>
      </c>
      <c r="T84" s="92">
        <f>IFERROR(VLOOKUP($A84,'13. Mapa Títulos-Receita'!$A$8:$P$1000,5,FALSE),"")</f>
        <v/>
      </c>
      <c r="U84" s="92">
        <f>IFERROR(VLOOKUP($A84,'13. Mapa Títulos-Receita'!$A$8:$P$1000,6,FALSE),"")</f>
        <v/>
      </c>
      <c r="V84" s="92">
        <f>IFERROR(VLOOKUP($A84,'13. Mapa Títulos-Receita'!$A$8:$P$1000,7,FALSE),"")</f>
        <v/>
      </c>
      <c r="W84" s="92">
        <f>IFERROR(VLOOKUP($A84,'13. Mapa Títulos-Receita'!$A$8:$P$1000,8,FALSE),"")</f>
        <v/>
      </c>
      <c r="X84" s="92">
        <f>IFERROR(VLOOKUP($A84,'13. Mapa Títulos-Receita'!$A$8:$P$1000,9,FALSE),"")</f>
        <v/>
      </c>
      <c r="Y84" s="92">
        <f>IFERROR(VLOOKUP($A84,'13. Mapa Títulos-Receita'!$A$8:$P$1000,10,FALSE),"")</f>
        <v/>
      </c>
      <c r="Z84" s="92">
        <f>IFERROR(VLOOKUP($A84,'13. Mapa Títulos-Receita'!$A$8:$P$1000,11,FALSE),"")</f>
        <v/>
      </c>
      <c r="AA84" s="92">
        <f>IFERROR(VLOOKUP($A84,'13. Mapa Títulos-Receita'!$A$8:$P$1000,12,FALSE),"")</f>
        <v/>
      </c>
      <c r="AB84" s="92">
        <f>IFERROR(VLOOKUP($A84,'13. Mapa Títulos-Receita'!$A$8:$P$1000,13,FALSE),"")</f>
        <v/>
      </c>
      <c r="AC84" s="92">
        <f>IFERROR(VLOOKUP($A84,'13. Mapa Títulos-Receita'!$A$8:$P$1000,14,FALSE),"")</f>
        <v/>
      </c>
      <c r="AD84" s="92">
        <f>IFERROR(VLOOKUP($A84,'13. Mapa Títulos-Receita'!$A$8:$P$1000,15,FALSE),"")</f>
        <v/>
      </c>
      <c r="AE84" s="92">
        <f>IFERROR(VLOOKUP($A84,'13. Mapa Títulos-Receita'!$A$8:$P$1000,16,FALSE),"")</f>
        <v/>
      </c>
    </row>
    <row r="85">
      <c r="A85" s="28">
        <f>IF(C85="","", "CR-"&amp;TEXT(ROW()-7,"000"))</f>
        <v/>
      </c>
      <c r="B85" s="28" t="n"/>
      <c r="C85" s="28" t="n"/>
      <c r="D85" s="111" t="n"/>
      <c r="E85" s="111" t="n"/>
      <c r="F85" s="111" t="n"/>
      <c r="G85" s="28" t="n"/>
      <c r="H85" s="45" t="n"/>
      <c r="I85" s="45" t="n"/>
      <c r="J85" s="28">
        <f>IF(H85="","",IF(I85&gt;=H85,"Recebido",IF($B$4&gt;E85,"Vencido","Aberto")))</f>
        <v/>
      </c>
      <c r="K85" s="4">
        <f>IF(J85="","",IF(OR(J85="Recebido",F85=""),MAX(0,F85-E85),MAX(0,$B$4-E85)))</f>
        <v/>
      </c>
      <c r="L85" s="4">
        <f>IF(K85="","",IF(K85=0,"Em dia",IF(K85&lt;=30,"1-30 dias",IF(K85&lt;=60,"31-60 dias",IF(K85&lt;=90,"61-90 dias","&gt;90 dias")))))</f>
        <v/>
      </c>
      <c r="M85" s="28" t="n"/>
      <c r="N85" s="104" t="inlineStr"/>
      <c r="O85" s="64" t="n"/>
      <c r="P85" s="64">
        <f>IF(C85="","",IF(ISNUMBER(SEARCH("PCMSO",C85)),"PCMSO",IF(OR(ISNUMBER(SEARCH("E-SOCIAL",C85)),ISNUMBER(SEARCH("PSICOSOCIAL",C85))),"eSocial / Psicossocial",IF(O85="Receita recorrente","Carteira recorrente","Projetos / Laudos / Avulsos"))))</f>
        <v/>
      </c>
      <c r="Q85" s="64">
        <f>IF(P85="","",IF(P85="Carteira recorrente","Operação recorrente",IF(P85="PCMSO","Projetos PCMSO",IF(P85="eSocial / Psicossocial","Projetos eSocial/Psicossocial","Projetos / Laudos / Avulsos"))))</f>
        <v/>
      </c>
      <c r="R85" s="64">
        <f>IF(C85="","",IF(ISNUMBER(SEARCH("PCMSO",C85)),"Título com PCMSO no nome",IF(OR(ISNUMBER(SEARCH("E-SOCIAL",C85)),ISNUMBER(SEARCH("PSICOSOCIAL",C85))),"Título com eSocial/Psicossocial no nome",IF(O85="Receita recorrente","Tipo DRE recorrente","Extra sem palavra-chave específica"))))</f>
        <v/>
      </c>
      <c r="S85" s="92">
        <f>IFERROR(VLOOKUP($A85,'13. Mapa Títulos-Receita'!$A$8:$P$1000,4,FALSE),"")</f>
        <v/>
      </c>
      <c r="T85" s="92">
        <f>IFERROR(VLOOKUP($A85,'13. Mapa Títulos-Receita'!$A$8:$P$1000,5,FALSE),"")</f>
        <v/>
      </c>
      <c r="U85" s="92">
        <f>IFERROR(VLOOKUP($A85,'13. Mapa Títulos-Receita'!$A$8:$P$1000,6,FALSE),"")</f>
        <v/>
      </c>
      <c r="V85" s="92">
        <f>IFERROR(VLOOKUP($A85,'13. Mapa Títulos-Receita'!$A$8:$P$1000,7,FALSE),"")</f>
        <v/>
      </c>
      <c r="W85" s="92">
        <f>IFERROR(VLOOKUP($A85,'13. Mapa Títulos-Receita'!$A$8:$P$1000,8,FALSE),"")</f>
        <v/>
      </c>
      <c r="X85" s="92">
        <f>IFERROR(VLOOKUP($A85,'13. Mapa Títulos-Receita'!$A$8:$P$1000,9,FALSE),"")</f>
        <v/>
      </c>
      <c r="Y85" s="92">
        <f>IFERROR(VLOOKUP($A85,'13. Mapa Títulos-Receita'!$A$8:$P$1000,10,FALSE),"")</f>
        <v/>
      </c>
      <c r="Z85" s="92">
        <f>IFERROR(VLOOKUP($A85,'13. Mapa Títulos-Receita'!$A$8:$P$1000,11,FALSE),"")</f>
        <v/>
      </c>
      <c r="AA85" s="92">
        <f>IFERROR(VLOOKUP($A85,'13. Mapa Títulos-Receita'!$A$8:$P$1000,12,FALSE),"")</f>
        <v/>
      </c>
      <c r="AB85" s="92">
        <f>IFERROR(VLOOKUP($A85,'13. Mapa Títulos-Receita'!$A$8:$P$1000,13,FALSE),"")</f>
        <v/>
      </c>
      <c r="AC85" s="92">
        <f>IFERROR(VLOOKUP($A85,'13. Mapa Títulos-Receita'!$A$8:$P$1000,14,FALSE),"")</f>
        <v/>
      </c>
      <c r="AD85" s="92">
        <f>IFERROR(VLOOKUP($A85,'13. Mapa Títulos-Receita'!$A$8:$P$1000,15,FALSE),"")</f>
        <v/>
      </c>
      <c r="AE85" s="92">
        <f>IFERROR(VLOOKUP($A85,'13. Mapa Títulos-Receita'!$A$8:$P$1000,16,FALSE),"")</f>
        <v/>
      </c>
    </row>
    <row r="86">
      <c r="A86" s="28">
        <f>IF(C86="","", "CR-"&amp;TEXT(ROW()-7,"000"))</f>
        <v/>
      </c>
      <c r="B86" s="28" t="n"/>
      <c r="C86" s="28" t="n"/>
      <c r="D86" s="111" t="n"/>
      <c r="E86" s="111" t="n"/>
      <c r="F86" s="111" t="n"/>
      <c r="G86" s="28" t="n"/>
      <c r="H86" s="45" t="n"/>
      <c r="I86" s="45" t="n"/>
      <c r="J86" s="28">
        <f>IF(H86="","",IF(I86&gt;=H86,"Recebido",IF($B$4&gt;E86,"Vencido","Aberto")))</f>
        <v/>
      </c>
      <c r="K86" s="4">
        <f>IF(J86="","",IF(OR(J86="Recebido",F86=""),MAX(0,F86-E86),MAX(0,$B$4-E86)))</f>
        <v/>
      </c>
      <c r="L86" s="4">
        <f>IF(K86="","",IF(K86=0,"Em dia",IF(K86&lt;=30,"1-30 dias",IF(K86&lt;=60,"31-60 dias",IF(K86&lt;=90,"61-90 dias","&gt;90 dias")))))</f>
        <v/>
      </c>
      <c r="M86" s="28" t="n"/>
      <c r="N86" s="104" t="inlineStr"/>
      <c r="O86" s="64" t="n"/>
      <c r="P86" s="64">
        <f>IF(C86="","",IF(ISNUMBER(SEARCH("PCMSO",C86)),"PCMSO",IF(OR(ISNUMBER(SEARCH("E-SOCIAL",C86)),ISNUMBER(SEARCH("PSICOSOCIAL",C86))),"eSocial / Psicossocial",IF(O86="Receita recorrente","Carteira recorrente","Projetos / Laudos / Avulsos"))))</f>
        <v/>
      </c>
      <c r="Q86" s="64">
        <f>IF(P86="","",IF(P86="Carteira recorrente","Operação recorrente",IF(P86="PCMSO","Projetos PCMSO",IF(P86="eSocial / Psicossocial","Projetos eSocial/Psicossocial","Projetos / Laudos / Avulsos"))))</f>
        <v/>
      </c>
      <c r="R86" s="64">
        <f>IF(C86="","",IF(ISNUMBER(SEARCH("PCMSO",C86)),"Título com PCMSO no nome",IF(OR(ISNUMBER(SEARCH("E-SOCIAL",C86)),ISNUMBER(SEARCH("PSICOSOCIAL",C86))),"Título com eSocial/Psicossocial no nome",IF(O86="Receita recorrente","Tipo DRE recorrente","Extra sem palavra-chave específica"))))</f>
        <v/>
      </c>
      <c r="S86" s="92">
        <f>IFERROR(VLOOKUP($A86,'13. Mapa Títulos-Receita'!$A$8:$P$1000,4,FALSE),"")</f>
        <v/>
      </c>
      <c r="T86" s="92">
        <f>IFERROR(VLOOKUP($A86,'13. Mapa Títulos-Receita'!$A$8:$P$1000,5,FALSE),"")</f>
        <v/>
      </c>
      <c r="U86" s="92">
        <f>IFERROR(VLOOKUP($A86,'13. Mapa Títulos-Receita'!$A$8:$P$1000,6,FALSE),"")</f>
        <v/>
      </c>
      <c r="V86" s="92">
        <f>IFERROR(VLOOKUP($A86,'13. Mapa Títulos-Receita'!$A$8:$P$1000,7,FALSE),"")</f>
        <v/>
      </c>
      <c r="W86" s="92">
        <f>IFERROR(VLOOKUP($A86,'13. Mapa Títulos-Receita'!$A$8:$P$1000,8,FALSE),"")</f>
        <v/>
      </c>
      <c r="X86" s="92">
        <f>IFERROR(VLOOKUP($A86,'13. Mapa Títulos-Receita'!$A$8:$P$1000,9,FALSE),"")</f>
        <v/>
      </c>
      <c r="Y86" s="92">
        <f>IFERROR(VLOOKUP($A86,'13. Mapa Títulos-Receita'!$A$8:$P$1000,10,FALSE),"")</f>
        <v/>
      </c>
      <c r="Z86" s="92">
        <f>IFERROR(VLOOKUP($A86,'13. Mapa Títulos-Receita'!$A$8:$P$1000,11,FALSE),"")</f>
        <v/>
      </c>
      <c r="AA86" s="92">
        <f>IFERROR(VLOOKUP($A86,'13. Mapa Títulos-Receita'!$A$8:$P$1000,12,FALSE),"")</f>
        <v/>
      </c>
      <c r="AB86" s="92">
        <f>IFERROR(VLOOKUP($A86,'13. Mapa Títulos-Receita'!$A$8:$P$1000,13,FALSE),"")</f>
        <v/>
      </c>
      <c r="AC86" s="92">
        <f>IFERROR(VLOOKUP($A86,'13. Mapa Títulos-Receita'!$A$8:$P$1000,14,FALSE),"")</f>
        <v/>
      </c>
      <c r="AD86" s="92">
        <f>IFERROR(VLOOKUP($A86,'13. Mapa Títulos-Receita'!$A$8:$P$1000,15,FALSE),"")</f>
        <v/>
      </c>
      <c r="AE86" s="92">
        <f>IFERROR(VLOOKUP($A86,'13. Mapa Títulos-Receita'!$A$8:$P$1000,16,FALSE),"")</f>
        <v/>
      </c>
    </row>
    <row r="87">
      <c r="A87" s="28">
        <f>IF(C87="","", "CR-"&amp;TEXT(ROW()-7,"000"))</f>
        <v/>
      </c>
      <c r="B87" s="28" t="n"/>
      <c r="C87" s="28" t="n"/>
      <c r="D87" s="111" t="n"/>
      <c r="E87" s="111" t="n"/>
      <c r="F87" s="111" t="n"/>
      <c r="G87" s="28" t="n"/>
      <c r="H87" s="45" t="n"/>
      <c r="I87" s="45" t="n"/>
      <c r="J87" s="28">
        <f>IF(H87="","",IF(I87&gt;=H87,"Recebido",IF($B$4&gt;E87,"Vencido","Aberto")))</f>
        <v/>
      </c>
      <c r="K87" s="4">
        <f>IF(J87="","",IF(OR(J87="Recebido",F87=""),MAX(0,F87-E87),MAX(0,$B$4-E87)))</f>
        <v/>
      </c>
      <c r="L87" s="4">
        <f>IF(K87="","",IF(K87=0,"Em dia",IF(K87&lt;=30,"1-30 dias",IF(K87&lt;=60,"31-60 dias",IF(K87&lt;=90,"61-90 dias","&gt;90 dias")))))</f>
        <v/>
      </c>
      <c r="M87" s="28" t="n"/>
      <c r="N87" s="104" t="inlineStr"/>
      <c r="O87" s="64" t="n"/>
      <c r="P87" s="64">
        <f>IF(C87="","",IF(ISNUMBER(SEARCH("PCMSO",C87)),"PCMSO",IF(OR(ISNUMBER(SEARCH("E-SOCIAL",C87)),ISNUMBER(SEARCH("PSICOSOCIAL",C87))),"eSocial / Psicossocial",IF(O87="Receita recorrente","Carteira recorrente","Projetos / Laudos / Avulsos"))))</f>
        <v/>
      </c>
      <c r="Q87" s="64">
        <f>IF(P87="","",IF(P87="Carteira recorrente","Operação recorrente",IF(P87="PCMSO","Projetos PCMSO",IF(P87="eSocial / Psicossocial","Projetos eSocial/Psicossocial","Projetos / Laudos / Avulsos"))))</f>
        <v/>
      </c>
      <c r="R87" s="64">
        <f>IF(C87="","",IF(ISNUMBER(SEARCH("PCMSO",C87)),"Título com PCMSO no nome",IF(OR(ISNUMBER(SEARCH("E-SOCIAL",C87)),ISNUMBER(SEARCH("PSICOSOCIAL",C87))),"Título com eSocial/Psicossocial no nome",IF(O87="Receita recorrente","Tipo DRE recorrente","Extra sem palavra-chave específica"))))</f>
        <v/>
      </c>
      <c r="S87" s="92">
        <f>IFERROR(VLOOKUP($A87,'13. Mapa Títulos-Receita'!$A$8:$P$1000,4,FALSE),"")</f>
        <v/>
      </c>
      <c r="T87" s="92">
        <f>IFERROR(VLOOKUP($A87,'13. Mapa Títulos-Receita'!$A$8:$P$1000,5,FALSE),"")</f>
        <v/>
      </c>
      <c r="U87" s="92">
        <f>IFERROR(VLOOKUP($A87,'13. Mapa Títulos-Receita'!$A$8:$P$1000,6,FALSE),"")</f>
        <v/>
      </c>
      <c r="V87" s="92">
        <f>IFERROR(VLOOKUP($A87,'13. Mapa Títulos-Receita'!$A$8:$P$1000,7,FALSE),"")</f>
        <v/>
      </c>
      <c r="W87" s="92">
        <f>IFERROR(VLOOKUP($A87,'13. Mapa Títulos-Receita'!$A$8:$P$1000,8,FALSE),"")</f>
        <v/>
      </c>
      <c r="X87" s="92">
        <f>IFERROR(VLOOKUP($A87,'13. Mapa Títulos-Receita'!$A$8:$P$1000,9,FALSE),"")</f>
        <v/>
      </c>
      <c r="Y87" s="92">
        <f>IFERROR(VLOOKUP($A87,'13. Mapa Títulos-Receita'!$A$8:$P$1000,10,FALSE),"")</f>
        <v/>
      </c>
      <c r="Z87" s="92">
        <f>IFERROR(VLOOKUP($A87,'13. Mapa Títulos-Receita'!$A$8:$P$1000,11,FALSE),"")</f>
        <v/>
      </c>
      <c r="AA87" s="92">
        <f>IFERROR(VLOOKUP($A87,'13. Mapa Títulos-Receita'!$A$8:$P$1000,12,FALSE),"")</f>
        <v/>
      </c>
      <c r="AB87" s="92">
        <f>IFERROR(VLOOKUP($A87,'13. Mapa Títulos-Receita'!$A$8:$P$1000,13,FALSE),"")</f>
        <v/>
      </c>
      <c r="AC87" s="92">
        <f>IFERROR(VLOOKUP($A87,'13. Mapa Títulos-Receita'!$A$8:$P$1000,14,FALSE),"")</f>
        <v/>
      </c>
      <c r="AD87" s="92">
        <f>IFERROR(VLOOKUP($A87,'13. Mapa Títulos-Receita'!$A$8:$P$1000,15,FALSE),"")</f>
        <v/>
      </c>
      <c r="AE87" s="92">
        <f>IFERROR(VLOOKUP($A87,'13. Mapa Títulos-Receita'!$A$8:$P$1000,16,FALSE),"")</f>
        <v/>
      </c>
    </row>
    <row r="88">
      <c r="A88" s="28">
        <f>IF(C88="","", "CR-"&amp;TEXT(ROW()-7,"000"))</f>
        <v/>
      </c>
      <c r="B88" s="28" t="n"/>
      <c r="C88" s="28" t="n"/>
      <c r="D88" s="111" t="n"/>
      <c r="E88" s="111" t="n"/>
      <c r="F88" s="111" t="n"/>
      <c r="G88" s="28" t="n"/>
      <c r="H88" s="45" t="n"/>
      <c r="I88" s="45" t="n"/>
      <c r="J88" s="28">
        <f>IF(H88="","",IF(I88&gt;=H88,"Recebido",IF($B$4&gt;E88,"Vencido","Aberto")))</f>
        <v/>
      </c>
      <c r="K88" s="4">
        <f>IF(J88="","",IF(OR(J88="Recebido",F88=""),MAX(0,F88-E88),MAX(0,$B$4-E88)))</f>
        <v/>
      </c>
      <c r="L88" s="4">
        <f>IF(K88="","",IF(K88=0,"Em dia",IF(K88&lt;=30,"1-30 dias",IF(K88&lt;=60,"31-60 dias",IF(K88&lt;=90,"61-90 dias","&gt;90 dias")))))</f>
        <v/>
      </c>
      <c r="M88" s="28" t="n"/>
      <c r="N88" s="104" t="inlineStr"/>
      <c r="O88" s="64" t="n"/>
      <c r="P88" s="64">
        <f>IF(C88="","",IF(ISNUMBER(SEARCH("PCMSO",C88)),"PCMSO",IF(OR(ISNUMBER(SEARCH("E-SOCIAL",C88)),ISNUMBER(SEARCH("PSICOSOCIAL",C88))),"eSocial / Psicossocial",IF(O88="Receita recorrente","Carteira recorrente","Projetos / Laudos / Avulsos"))))</f>
        <v/>
      </c>
      <c r="Q88" s="64">
        <f>IF(P88="","",IF(P88="Carteira recorrente","Operação recorrente",IF(P88="PCMSO","Projetos PCMSO",IF(P88="eSocial / Psicossocial","Projetos eSocial/Psicossocial","Projetos / Laudos / Avulsos"))))</f>
        <v/>
      </c>
      <c r="R88" s="64">
        <f>IF(C88="","",IF(ISNUMBER(SEARCH("PCMSO",C88)),"Título com PCMSO no nome",IF(OR(ISNUMBER(SEARCH("E-SOCIAL",C88)),ISNUMBER(SEARCH("PSICOSOCIAL",C88))),"Título com eSocial/Psicossocial no nome",IF(O88="Receita recorrente","Tipo DRE recorrente","Extra sem palavra-chave específica"))))</f>
        <v/>
      </c>
      <c r="S88" s="92">
        <f>IFERROR(VLOOKUP($A88,'13. Mapa Títulos-Receita'!$A$8:$P$1000,4,FALSE),"")</f>
        <v/>
      </c>
      <c r="T88" s="92">
        <f>IFERROR(VLOOKUP($A88,'13. Mapa Títulos-Receita'!$A$8:$P$1000,5,FALSE),"")</f>
        <v/>
      </c>
      <c r="U88" s="92">
        <f>IFERROR(VLOOKUP($A88,'13. Mapa Títulos-Receita'!$A$8:$P$1000,6,FALSE),"")</f>
        <v/>
      </c>
      <c r="V88" s="92">
        <f>IFERROR(VLOOKUP($A88,'13. Mapa Títulos-Receita'!$A$8:$P$1000,7,FALSE),"")</f>
        <v/>
      </c>
      <c r="W88" s="92">
        <f>IFERROR(VLOOKUP($A88,'13. Mapa Títulos-Receita'!$A$8:$P$1000,8,FALSE),"")</f>
        <v/>
      </c>
      <c r="X88" s="92">
        <f>IFERROR(VLOOKUP($A88,'13. Mapa Títulos-Receita'!$A$8:$P$1000,9,FALSE),"")</f>
        <v/>
      </c>
      <c r="Y88" s="92">
        <f>IFERROR(VLOOKUP($A88,'13. Mapa Títulos-Receita'!$A$8:$P$1000,10,FALSE),"")</f>
        <v/>
      </c>
      <c r="Z88" s="92">
        <f>IFERROR(VLOOKUP($A88,'13. Mapa Títulos-Receita'!$A$8:$P$1000,11,FALSE),"")</f>
        <v/>
      </c>
      <c r="AA88" s="92">
        <f>IFERROR(VLOOKUP($A88,'13. Mapa Títulos-Receita'!$A$8:$P$1000,12,FALSE),"")</f>
        <v/>
      </c>
      <c r="AB88" s="92">
        <f>IFERROR(VLOOKUP($A88,'13. Mapa Títulos-Receita'!$A$8:$P$1000,13,FALSE),"")</f>
        <v/>
      </c>
      <c r="AC88" s="92">
        <f>IFERROR(VLOOKUP($A88,'13. Mapa Títulos-Receita'!$A$8:$P$1000,14,FALSE),"")</f>
        <v/>
      </c>
      <c r="AD88" s="92">
        <f>IFERROR(VLOOKUP($A88,'13. Mapa Títulos-Receita'!$A$8:$P$1000,15,FALSE),"")</f>
        <v/>
      </c>
      <c r="AE88" s="92">
        <f>IFERROR(VLOOKUP($A88,'13. Mapa Títulos-Receita'!$A$8:$P$1000,16,FALSE),"")</f>
        <v/>
      </c>
    </row>
    <row r="89">
      <c r="A89" s="28">
        <f>IF(C89="","", "CR-"&amp;TEXT(ROW()-7,"000"))</f>
        <v/>
      </c>
      <c r="B89" s="28" t="n"/>
      <c r="C89" s="28" t="n"/>
      <c r="D89" s="111" t="n"/>
      <c r="E89" s="111" t="n"/>
      <c r="F89" s="111" t="n"/>
      <c r="G89" s="28" t="n"/>
      <c r="H89" s="45" t="n"/>
      <c r="I89" s="45" t="n"/>
      <c r="J89" s="28">
        <f>IF(H89="","",IF(I89&gt;=H89,"Recebido",IF($B$4&gt;E89,"Vencido","Aberto")))</f>
        <v/>
      </c>
      <c r="K89" s="4">
        <f>IF(J89="","",IF(OR(J89="Recebido",F89=""),MAX(0,F89-E89),MAX(0,$B$4-E89)))</f>
        <v/>
      </c>
      <c r="L89" s="4">
        <f>IF(K89="","",IF(K89=0,"Em dia",IF(K89&lt;=30,"1-30 dias",IF(K89&lt;=60,"31-60 dias",IF(K89&lt;=90,"61-90 dias","&gt;90 dias")))))</f>
        <v/>
      </c>
      <c r="M89" s="28" t="n"/>
      <c r="N89" s="104" t="inlineStr"/>
      <c r="O89" s="64" t="n"/>
      <c r="P89" s="64">
        <f>IF(C89="","",IF(ISNUMBER(SEARCH("PCMSO",C89)),"PCMSO",IF(OR(ISNUMBER(SEARCH("E-SOCIAL",C89)),ISNUMBER(SEARCH("PSICOSOCIAL",C89))),"eSocial / Psicossocial",IF(O89="Receita recorrente","Carteira recorrente","Projetos / Laudos / Avulsos"))))</f>
        <v/>
      </c>
      <c r="Q89" s="64">
        <f>IF(P89="","",IF(P89="Carteira recorrente","Operação recorrente",IF(P89="PCMSO","Projetos PCMSO",IF(P89="eSocial / Psicossocial","Projetos eSocial/Psicossocial","Projetos / Laudos / Avulsos"))))</f>
        <v/>
      </c>
      <c r="R89" s="64">
        <f>IF(C89="","",IF(ISNUMBER(SEARCH("PCMSO",C89)),"Título com PCMSO no nome",IF(OR(ISNUMBER(SEARCH("E-SOCIAL",C89)),ISNUMBER(SEARCH("PSICOSOCIAL",C89))),"Título com eSocial/Psicossocial no nome",IF(O89="Receita recorrente","Tipo DRE recorrente","Extra sem palavra-chave específica"))))</f>
        <v/>
      </c>
      <c r="S89" s="92">
        <f>IFERROR(VLOOKUP($A89,'13. Mapa Títulos-Receita'!$A$8:$P$1000,4,FALSE),"")</f>
        <v/>
      </c>
      <c r="T89" s="92">
        <f>IFERROR(VLOOKUP($A89,'13. Mapa Títulos-Receita'!$A$8:$P$1000,5,FALSE),"")</f>
        <v/>
      </c>
      <c r="U89" s="92">
        <f>IFERROR(VLOOKUP($A89,'13. Mapa Títulos-Receita'!$A$8:$P$1000,6,FALSE),"")</f>
        <v/>
      </c>
      <c r="V89" s="92">
        <f>IFERROR(VLOOKUP($A89,'13. Mapa Títulos-Receita'!$A$8:$P$1000,7,FALSE),"")</f>
        <v/>
      </c>
      <c r="W89" s="92">
        <f>IFERROR(VLOOKUP($A89,'13. Mapa Títulos-Receita'!$A$8:$P$1000,8,FALSE),"")</f>
        <v/>
      </c>
      <c r="X89" s="92">
        <f>IFERROR(VLOOKUP($A89,'13. Mapa Títulos-Receita'!$A$8:$P$1000,9,FALSE),"")</f>
        <v/>
      </c>
      <c r="Y89" s="92">
        <f>IFERROR(VLOOKUP($A89,'13. Mapa Títulos-Receita'!$A$8:$P$1000,10,FALSE),"")</f>
        <v/>
      </c>
      <c r="Z89" s="92">
        <f>IFERROR(VLOOKUP($A89,'13. Mapa Títulos-Receita'!$A$8:$P$1000,11,FALSE),"")</f>
        <v/>
      </c>
      <c r="AA89" s="92">
        <f>IFERROR(VLOOKUP($A89,'13. Mapa Títulos-Receita'!$A$8:$P$1000,12,FALSE),"")</f>
        <v/>
      </c>
      <c r="AB89" s="92">
        <f>IFERROR(VLOOKUP($A89,'13. Mapa Títulos-Receita'!$A$8:$P$1000,13,FALSE),"")</f>
        <v/>
      </c>
      <c r="AC89" s="92">
        <f>IFERROR(VLOOKUP($A89,'13. Mapa Títulos-Receita'!$A$8:$P$1000,14,FALSE),"")</f>
        <v/>
      </c>
      <c r="AD89" s="92">
        <f>IFERROR(VLOOKUP($A89,'13. Mapa Títulos-Receita'!$A$8:$P$1000,15,FALSE),"")</f>
        <v/>
      </c>
      <c r="AE89" s="92">
        <f>IFERROR(VLOOKUP($A89,'13. Mapa Títulos-Receita'!$A$8:$P$1000,16,FALSE),"")</f>
        <v/>
      </c>
    </row>
    <row r="90">
      <c r="A90" s="28">
        <f>IF(C90="","", "CR-"&amp;TEXT(ROW()-7,"000"))</f>
        <v/>
      </c>
      <c r="B90" s="28" t="n"/>
      <c r="C90" s="28" t="n"/>
      <c r="D90" s="111" t="n"/>
      <c r="E90" s="111" t="n"/>
      <c r="F90" s="111" t="n"/>
      <c r="G90" s="28" t="n"/>
      <c r="H90" s="45" t="n"/>
      <c r="I90" s="45" t="n"/>
      <c r="J90" s="28">
        <f>IF(H90="","",IF(I90&gt;=H90,"Recebido",IF($B$4&gt;E90,"Vencido","Aberto")))</f>
        <v/>
      </c>
      <c r="K90" s="4">
        <f>IF(J90="","",IF(OR(J90="Recebido",F90=""),MAX(0,F90-E90),MAX(0,$B$4-E90)))</f>
        <v/>
      </c>
      <c r="L90" s="4">
        <f>IF(K90="","",IF(K90=0,"Em dia",IF(K90&lt;=30,"1-30 dias",IF(K90&lt;=60,"31-60 dias",IF(K90&lt;=90,"61-90 dias","&gt;90 dias")))))</f>
        <v/>
      </c>
      <c r="M90" s="28" t="n"/>
      <c r="N90" s="104" t="inlineStr"/>
      <c r="O90" s="64" t="n"/>
      <c r="P90" s="64">
        <f>IF(C90="","",IF(ISNUMBER(SEARCH("PCMSO",C90)),"PCMSO",IF(OR(ISNUMBER(SEARCH("E-SOCIAL",C90)),ISNUMBER(SEARCH("PSICOSOCIAL",C90))),"eSocial / Psicossocial",IF(O90="Receita recorrente","Carteira recorrente","Projetos / Laudos / Avulsos"))))</f>
        <v/>
      </c>
      <c r="Q90" s="64">
        <f>IF(P90="","",IF(P90="Carteira recorrente","Operação recorrente",IF(P90="PCMSO","Projetos PCMSO",IF(P90="eSocial / Psicossocial","Projetos eSocial/Psicossocial","Projetos / Laudos / Avulsos"))))</f>
        <v/>
      </c>
      <c r="R90" s="64">
        <f>IF(C90="","",IF(ISNUMBER(SEARCH("PCMSO",C90)),"Título com PCMSO no nome",IF(OR(ISNUMBER(SEARCH("E-SOCIAL",C90)),ISNUMBER(SEARCH("PSICOSOCIAL",C90))),"Título com eSocial/Psicossocial no nome",IF(O90="Receita recorrente","Tipo DRE recorrente","Extra sem palavra-chave específica"))))</f>
        <v/>
      </c>
      <c r="S90" s="92">
        <f>IFERROR(VLOOKUP($A90,'13. Mapa Títulos-Receita'!$A$8:$P$1000,4,FALSE),"")</f>
        <v/>
      </c>
      <c r="T90" s="92">
        <f>IFERROR(VLOOKUP($A90,'13. Mapa Títulos-Receita'!$A$8:$P$1000,5,FALSE),"")</f>
        <v/>
      </c>
      <c r="U90" s="92">
        <f>IFERROR(VLOOKUP($A90,'13. Mapa Títulos-Receita'!$A$8:$P$1000,6,FALSE),"")</f>
        <v/>
      </c>
      <c r="V90" s="92">
        <f>IFERROR(VLOOKUP($A90,'13. Mapa Títulos-Receita'!$A$8:$P$1000,7,FALSE),"")</f>
        <v/>
      </c>
      <c r="W90" s="92">
        <f>IFERROR(VLOOKUP($A90,'13. Mapa Títulos-Receita'!$A$8:$P$1000,8,FALSE),"")</f>
        <v/>
      </c>
      <c r="X90" s="92">
        <f>IFERROR(VLOOKUP($A90,'13. Mapa Títulos-Receita'!$A$8:$P$1000,9,FALSE),"")</f>
        <v/>
      </c>
      <c r="Y90" s="92">
        <f>IFERROR(VLOOKUP($A90,'13. Mapa Títulos-Receita'!$A$8:$P$1000,10,FALSE),"")</f>
        <v/>
      </c>
      <c r="Z90" s="92">
        <f>IFERROR(VLOOKUP($A90,'13. Mapa Títulos-Receita'!$A$8:$P$1000,11,FALSE),"")</f>
        <v/>
      </c>
      <c r="AA90" s="92">
        <f>IFERROR(VLOOKUP($A90,'13. Mapa Títulos-Receita'!$A$8:$P$1000,12,FALSE),"")</f>
        <v/>
      </c>
      <c r="AB90" s="92">
        <f>IFERROR(VLOOKUP($A90,'13. Mapa Títulos-Receita'!$A$8:$P$1000,13,FALSE),"")</f>
        <v/>
      </c>
      <c r="AC90" s="92">
        <f>IFERROR(VLOOKUP($A90,'13. Mapa Títulos-Receita'!$A$8:$P$1000,14,FALSE),"")</f>
        <v/>
      </c>
      <c r="AD90" s="92">
        <f>IFERROR(VLOOKUP($A90,'13. Mapa Títulos-Receita'!$A$8:$P$1000,15,FALSE),"")</f>
        <v/>
      </c>
      <c r="AE90" s="92">
        <f>IFERROR(VLOOKUP($A90,'13. Mapa Títulos-Receita'!$A$8:$P$1000,16,FALSE),"")</f>
        <v/>
      </c>
    </row>
    <row r="91">
      <c r="A91" s="28">
        <f>IF(C91="","", "CR-"&amp;TEXT(ROW()-7,"000"))</f>
        <v/>
      </c>
      <c r="B91" s="28" t="n"/>
      <c r="C91" s="28" t="n"/>
      <c r="D91" s="111" t="n"/>
      <c r="E91" s="111" t="n"/>
      <c r="F91" s="111" t="n"/>
      <c r="G91" s="28" t="n"/>
      <c r="H91" s="45" t="n"/>
      <c r="I91" s="45" t="n"/>
      <c r="J91" s="28">
        <f>IF(H91="","",IF(I91&gt;=H91,"Recebido",IF($B$4&gt;E91,"Vencido","Aberto")))</f>
        <v/>
      </c>
      <c r="K91" s="4">
        <f>IF(J91="","",IF(OR(J91="Recebido",F91=""),MAX(0,F91-E91),MAX(0,$B$4-E91)))</f>
        <v/>
      </c>
      <c r="L91" s="4">
        <f>IF(K91="","",IF(K91=0,"Em dia",IF(K91&lt;=30,"1-30 dias",IF(K91&lt;=60,"31-60 dias",IF(K91&lt;=90,"61-90 dias","&gt;90 dias")))))</f>
        <v/>
      </c>
      <c r="M91" s="28" t="n"/>
      <c r="N91" s="104" t="inlineStr"/>
      <c r="O91" s="64" t="n"/>
      <c r="P91" s="64">
        <f>IF(C91="","",IF(ISNUMBER(SEARCH("PCMSO",C91)),"PCMSO",IF(OR(ISNUMBER(SEARCH("E-SOCIAL",C91)),ISNUMBER(SEARCH("PSICOSOCIAL",C91))),"eSocial / Psicossocial",IF(O91="Receita recorrente","Carteira recorrente","Projetos / Laudos / Avulsos"))))</f>
        <v/>
      </c>
      <c r="Q91" s="64">
        <f>IF(P91="","",IF(P91="Carteira recorrente","Operação recorrente",IF(P91="PCMSO","Projetos PCMSO",IF(P91="eSocial / Psicossocial","Projetos eSocial/Psicossocial","Projetos / Laudos / Avulsos"))))</f>
        <v/>
      </c>
      <c r="R91" s="64">
        <f>IF(C91="","",IF(ISNUMBER(SEARCH("PCMSO",C91)),"Título com PCMSO no nome",IF(OR(ISNUMBER(SEARCH("E-SOCIAL",C91)),ISNUMBER(SEARCH("PSICOSOCIAL",C91))),"Título com eSocial/Psicossocial no nome",IF(O91="Receita recorrente","Tipo DRE recorrente","Extra sem palavra-chave específica"))))</f>
        <v/>
      </c>
      <c r="S91" s="92">
        <f>IFERROR(VLOOKUP($A91,'13. Mapa Títulos-Receita'!$A$8:$P$1000,4,FALSE),"")</f>
        <v/>
      </c>
      <c r="T91" s="92">
        <f>IFERROR(VLOOKUP($A91,'13. Mapa Títulos-Receita'!$A$8:$P$1000,5,FALSE),"")</f>
        <v/>
      </c>
      <c r="U91" s="92">
        <f>IFERROR(VLOOKUP($A91,'13. Mapa Títulos-Receita'!$A$8:$P$1000,6,FALSE),"")</f>
        <v/>
      </c>
      <c r="V91" s="92">
        <f>IFERROR(VLOOKUP($A91,'13. Mapa Títulos-Receita'!$A$8:$P$1000,7,FALSE),"")</f>
        <v/>
      </c>
      <c r="W91" s="92">
        <f>IFERROR(VLOOKUP($A91,'13. Mapa Títulos-Receita'!$A$8:$P$1000,8,FALSE),"")</f>
        <v/>
      </c>
      <c r="X91" s="92">
        <f>IFERROR(VLOOKUP($A91,'13. Mapa Títulos-Receita'!$A$8:$P$1000,9,FALSE),"")</f>
        <v/>
      </c>
      <c r="Y91" s="92">
        <f>IFERROR(VLOOKUP($A91,'13. Mapa Títulos-Receita'!$A$8:$P$1000,10,FALSE),"")</f>
        <v/>
      </c>
      <c r="Z91" s="92">
        <f>IFERROR(VLOOKUP($A91,'13. Mapa Títulos-Receita'!$A$8:$P$1000,11,FALSE),"")</f>
        <v/>
      </c>
      <c r="AA91" s="92">
        <f>IFERROR(VLOOKUP($A91,'13. Mapa Títulos-Receita'!$A$8:$P$1000,12,FALSE),"")</f>
        <v/>
      </c>
      <c r="AB91" s="92">
        <f>IFERROR(VLOOKUP($A91,'13. Mapa Títulos-Receita'!$A$8:$P$1000,13,FALSE),"")</f>
        <v/>
      </c>
      <c r="AC91" s="92">
        <f>IFERROR(VLOOKUP($A91,'13. Mapa Títulos-Receita'!$A$8:$P$1000,14,FALSE),"")</f>
        <v/>
      </c>
      <c r="AD91" s="92">
        <f>IFERROR(VLOOKUP($A91,'13. Mapa Títulos-Receita'!$A$8:$P$1000,15,FALSE),"")</f>
        <v/>
      </c>
      <c r="AE91" s="92">
        <f>IFERROR(VLOOKUP($A91,'13. Mapa Títulos-Receita'!$A$8:$P$1000,16,FALSE),"")</f>
        <v/>
      </c>
    </row>
    <row r="92">
      <c r="A92" s="28">
        <f>IF(C92="","", "CR-"&amp;TEXT(ROW()-7,"000"))</f>
        <v/>
      </c>
      <c r="B92" s="28" t="n"/>
      <c r="C92" s="28" t="n"/>
      <c r="D92" s="111" t="n"/>
      <c r="E92" s="111" t="n"/>
      <c r="F92" s="111" t="n"/>
      <c r="G92" s="28" t="n"/>
      <c r="H92" s="45" t="n"/>
      <c r="I92" s="45" t="n"/>
      <c r="J92" s="28">
        <f>IF(H92="","",IF(I92&gt;=H92,"Recebido",IF($B$4&gt;E92,"Vencido","Aberto")))</f>
        <v/>
      </c>
      <c r="K92" s="4">
        <f>IF(J92="","",IF(OR(J92="Recebido",F92=""),MAX(0,F92-E92),MAX(0,$B$4-E92)))</f>
        <v/>
      </c>
      <c r="L92" s="4">
        <f>IF(K92="","",IF(K92=0,"Em dia",IF(K92&lt;=30,"1-30 dias",IF(K92&lt;=60,"31-60 dias",IF(K92&lt;=90,"61-90 dias","&gt;90 dias")))))</f>
        <v/>
      </c>
      <c r="M92" s="28" t="n"/>
      <c r="N92" s="104" t="inlineStr"/>
      <c r="O92" s="64" t="n"/>
      <c r="P92" s="64">
        <f>IF(C92="","",IF(ISNUMBER(SEARCH("PCMSO",C92)),"PCMSO",IF(OR(ISNUMBER(SEARCH("E-SOCIAL",C92)),ISNUMBER(SEARCH("PSICOSOCIAL",C92))),"eSocial / Psicossocial",IF(O92="Receita recorrente","Carteira recorrente","Projetos / Laudos / Avulsos"))))</f>
        <v/>
      </c>
      <c r="Q92" s="64">
        <f>IF(P92="","",IF(P92="Carteira recorrente","Operação recorrente",IF(P92="PCMSO","Projetos PCMSO",IF(P92="eSocial / Psicossocial","Projetos eSocial/Psicossocial","Projetos / Laudos / Avulsos"))))</f>
        <v/>
      </c>
      <c r="R92" s="64">
        <f>IF(C92="","",IF(ISNUMBER(SEARCH("PCMSO",C92)),"Título com PCMSO no nome",IF(OR(ISNUMBER(SEARCH("E-SOCIAL",C92)),ISNUMBER(SEARCH("PSICOSOCIAL",C92))),"Título com eSocial/Psicossocial no nome",IF(O92="Receita recorrente","Tipo DRE recorrente","Extra sem palavra-chave específica"))))</f>
        <v/>
      </c>
      <c r="S92" s="92">
        <f>IFERROR(VLOOKUP($A92,'13. Mapa Títulos-Receita'!$A$8:$P$1000,4,FALSE),"")</f>
        <v/>
      </c>
      <c r="T92" s="92">
        <f>IFERROR(VLOOKUP($A92,'13. Mapa Títulos-Receita'!$A$8:$P$1000,5,FALSE),"")</f>
        <v/>
      </c>
      <c r="U92" s="92">
        <f>IFERROR(VLOOKUP($A92,'13. Mapa Títulos-Receita'!$A$8:$P$1000,6,FALSE),"")</f>
        <v/>
      </c>
      <c r="V92" s="92">
        <f>IFERROR(VLOOKUP($A92,'13. Mapa Títulos-Receita'!$A$8:$P$1000,7,FALSE),"")</f>
        <v/>
      </c>
      <c r="W92" s="92">
        <f>IFERROR(VLOOKUP($A92,'13. Mapa Títulos-Receita'!$A$8:$P$1000,8,FALSE),"")</f>
        <v/>
      </c>
      <c r="X92" s="92">
        <f>IFERROR(VLOOKUP($A92,'13. Mapa Títulos-Receita'!$A$8:$P$1000,9,FALSE),"")</f>
        <v/>
      </c>
      <c r="Y92" s="92">
        <f>IFERROR(VLOOKUP($A92,'13. Mapa Títulos-Receita'!$A$8:$P$1000,10,FALSE),"")</f>
        <v/>
      </c>
      <c r="Z92" s="92">
        <f>IFERROR(VLOOKUP($A92,'13. Mapa Títulos-Receita'!$A$8:$P$1000,11,FALSE),"")</f>
        <v/>
      </c>
      <c r="AA92" s="92">
        <f>IFERROR(VLOOKUP($A92,'13. Mapa Títulos-Receita'!$A$8:$P$1000,12,FALSE),"")</f>
        <v/>
      </c>
      <c r="AB92" s="92">
        <f>IFERROR(VLOOKUP($A92,'13. Mapa Títulos-Receita'!$A$8:$P$1000,13,FALSE),"")</f>
        <v/>
      </c>
      <c r="AC92" s="92">
        <f>IFERROR(VLOOKUP($A92,'13. Mapa Títulos-Receita'!$A$8:$P$1000,14,FALSE),"")</f>
        <v/>
      </c>
      <c r="AD92" s="92">
        <f>IFERROR(VLOOKUP($A92,'13. Mapa Títulos-Receita'!$A$8:$P$1000,15,FALSE),"")</f>
        <v/>
      </c>
      <c r="AE92" s="92">
        <f>IFERROR(VLOOKUP($A92,'13. Mapa Títulos-Receita'!$A$8:$P$1000,16,FALSE),"")</f>
        <v/>
      </c>
    </row>
    <row r="93">
      <c r="A93" s="28">
        <f>IF(C93="","", "CR-"&amp;TEXT(ROW()-7,"000"))</f>
        <v/>
      </c>
      <c r="B93" s="28" t="n"/>
      <c r="C93" s="28" t="n"/>
      <c r="D93" s="111" t="n"/>
      <c r="E93" s="111" t="n"/>
      <c r="F93" s="111" t="n"/>
      <c r="G93" s="28" t="n"/>
      <c r="H93" s="45" t="n"/>
      <c r="I93" s="45" t="n"/>
      <c r="J93" s="28">
        <f>IF(H93="","",IF(I93&gt;=H93,"Recebido",IF($B$4&gt;E93,"Vencido","Aberto")))</f>
        <v/>
      </c>
      <c r="K93" s="4">
        <f>IF(J93="","",IF(OR(J93="Recebido",F93=""),MAX(0,F93-E93),MAX(0,$B$4-E93)))</f>
        <v/>
      </c>
      <c r="L93" s="4">
        <f>IF(K93="","",IF(K93=0,"Em dia",IF(K93&lt;=30,"1-30 dias",IF(K93&lt;=60,"31-60 dias",IF(K93&lt;=90,"61-90 dias","&gt;90 dias")))))</f>
        <v/>
      </c>
      <c r="M93" s="28" t="n"/>
      <c r="N93" s="104" t="inlineStr"/>
      <c r="O93" s="64" t="n"/>
      <c r="P93" s="64">
        <f>IF(C93="","",IF(ISNUMBER(SEARCH("PCMSO",C93)),"PCMSO",IF(OR(ISNUMBER(SEARCH("E-SOCIAL",C93)),ISNUMBER(SEARCH("PSICOSOCIAL",C93))),"eSocial / Psicossocial",IF(O93="Receita recorrente","Carteira recorrente","Projetos / Laudos / Avulsos"))))</f>
        <v/>
      </c>
      <c r="Q93" s="64">
        <f>IF(P93="","",IF(P93="Carteira recorrente","Operação recorrente",IF(P93="PCMSO","Projetos PCMSO",IF(P93="eSocial / Psicossocial","Projetos eSocial/Psicossocial","Projetos / Laudos / Avulsos"))))</f>
        <v/>
      </c>
      <c r="R93" s="64">
        <f>IF(C93="","",IF(ISNUMBER(SEARCH("PCMSO",C93)),"Título com PCMSO no nome",IF(OR(ISNUMBER(SEARCH("E-SOCIAL",C93)),ISNUMBER(SEARCH("PSICOSOCIAL",C93))),"Título com eSocial/Psicossocial no nome",IF(O93="Receita recorrente","Tipo DRE recorrente","Extra sem palavra-chave específica"))))</f>
        <v/>
      </c>
      <c r="S93" s="92">
        <f>IFERROR(VLOOKUP($A93,'13. Mapa Títulos-Receita'!$A$8:$P$1000,4,FALSE),"")</f>
        <v/>
      </c>
      <c r="T93" s="92">
        <f>IFERROR(VLOOKUP($A93,'13. Mapa Títulos-Receita'!$A$8:$P$1000,5,FALSE),"")</f>
        <v/>
      </c>
      <c r="U93" s="92">
        <f>IFERROR(VLOOKUP($A93,'13. Mapa Títulos-Receita'!$A$8:$P$1000,6,FALSE),"")</f>
        <v/>
      </c>
      <c r="V93" s="92">
        <f>IFERROR(VLOOKUP($A93,'13. Mapa Títulos-Receita'!$A$8:$P$1000,7,FALSE),"")</f>
        <v/>
      </c>
      <c r="W93" s="92">
        <f>IFERROR(VLOOKUP($A93,'13. Mapa Títulos-Receita'!$A$8:$P$1000,8,FALSE),"")</f>
        <v/>
      </c>
      <c r="X93" s="92">
        <f>IFERROR(VLOOKUP($A93,'13. Mapa Títulos-Receita'!$A$8:$P$1000,9,FALSE),"")</f>
        <v/>
      </c>
      <c r="Y93" s="92">
        <f>IFERROR(VLOOKUP($A93,'13. Mapa Títulos-Receita'!$A$8:$P$1000,10,FALSE),"")</f>
        <v/>
      </c>
      <c r="Z93" s="92">
        <f>IFERROR(VLOOKUP($A93,'13. Mapa Títulos-Receita'!$A$8:$P$1000,11,FALSE),"")</f>
        <v/>
      </c>
      <c r="AA93" s="92">
        <f>IFERROR(VLOOKUP($A93,'13. Mapa Títulos-Receita'!$A$8:$P$1000,12,FALSE),"")</f>
        <v/>
      </c>
      <c r="AB93" s="92">
        <f>IFERROR(VLOOKUP($A93,'13. Mapa Títulos-Receita'!$A$8:$P$1000,13,FALSE),"")</f>
        <v/>
      </c>
      <c r="AC93" s="92">
        <f>IFERROR(VLOOKUP($A93,'13. Mapa Títulos-Receita'!$A$8:$P$1000,14,FALSE),"")</f>
        <v/>
      </c>
      <c r="AD93" s="92">
        <f>IFERROR(VLOOKUP($A93,'13. Mapa Títulos-Receita'!$A$8:$P$1000,15,FALSE),"")</f>
        <v/>
      </c>
      <c r="AE93" s="92">
        <f>IFERROR(VLOOKUP($A93,'13. Mapa Títulos-Receita'!$A$8:$P$1000,16,FALSE),"")</f>
        <v/>
      </c>
    </row>
    <row r="94">
      <c r="A94" s="28">
        <f>IF(C94="","", "CR-"&amp;TEXT(ROW()-7,"000"))</f>
        <v/>
      </c>
      <c r="B94" s="28" t="n"/>
      <c r="C94" s="28" t="n"/>
      <c r="D94" s="111" t="n"/>
      <c r="E94" s="111" t="n"/>
      <c r="F94" s="111" t="n"/>
      <c r="G94" s="28" t="n"/>
      <c r="H94" s="45" t="n"/>
      <c r="I94" s="45" t="n"/>
      <c r="J94" s="28">
        <f>IF(H94="","",IF(I94&gt;=H94,"Recebido",IF($B$4&gt;E94,"Vencido","Aberto")))</f>
        <v/>
      </c>
      <c r="K94" s="4">
        <f>IF(J94="","",IF(OR(J94="Recebido",F94=""),MAX(0,F94-E94),MAX(0,$B$4-E94)))</f>
        <v/>
      </c>
      <c r="L94" s="4">
        <f>IF(K94="","",IF(K94=0,"Em dia",IF(K94&lt;=30,"1-30 dias",IF(K94&lt;=60,"31-60 dias",IF(K94&lt;=90,"61-90 dias","&gt;90 dias")))))</f>
        <v/>
      </c>
      <c r="M94" s="28" t="n"/>
      <c r="N94" s="104" t="inlineStr"/>
      <c r="O94" s="64" t="n"/>
      <c r="P94" s="64">
        <f>IF(C94="","",IF(ISNUMBER(SEARCH("PCMSO",C94)),"PCMSO",IF(OR(ISNUMBER(SEARCH("E-SOCIAL",C94)),ISNUMBER(SEARCH("PSICOSOCIAL",C94))),"eSocial / Psicossocial",IF(O94="Receita recorrente","Carteira recorrente","Projetos / Laudos / Avulsos"))))</f>
        <v/>
      </c>
      <c r="Q94" s="64">
        <f>IF(P94="","",IF(P94="Carteira recorrente","Operação recorrente",IF(P94="PCMSO","Projetos PCMSO",IF(P94="eSocial / Psicossocial","Projetos eSocial/Psicossocial","Projetos / Laudos / Avulsos"))))</f>
        <v/>
      </c>
      <c r="R94" s="64">
        <f>IF(C94="","",IF(ISNUMBER(SEARCH("PCMSO",C94)),"Título com PCMSO no nome",IF(OR(ISNUMBER(SEARCH("E-SOCIAL",C94)),ISNUMBER(SEARCH("PSICOSOCIAL",C94))),"Título com eSocial/Psicossocial no nome",IF(O94="Receita recorrente","Tipo DRE recorrente","Extra sem palavra-chave específica"))))</f>
        <v/>
      </c>
      <c r="S94" s="92">
        <f>IFERROR(VLOOKUP($A94,'13. Mapa Títulos-Receita'!$A$8:$P$1000,4,FALSE),"")</f>
        <v/>
      </c>
      <c r="T94" s="92">
        <f>IFERROR(VLOOKUP($A94,'13. Mapa Títulos-Receita'!$A$8:$P$1000,5,FALSE),"")</f>
        <v/>
      </c>
      <c r="U94" s="92">
        <f>IFERROR(VLOOKUP($A94,'13. Mapa Títulos-Receita'!$A$8:$P$1000,6,FALSE),"")</f>
        <v/>
      </c>
      <c r="V94" s="92">
        <f>IFERROR(VLOOKUP($A94,'13. Mapa Títulos-Receita'!$A$8:$P$1000,7,FALSE),"")</f>
        <v/>
      </c>
      <c r="W94" s="92">
        <f>IFERROR(VLOOKUP($A94,'13. Mapa Títulos-Receita'!$A$8:$P$1000,8,FALSE),"")</f>
        <v/>
      </c>
      <c r="X94" s="92">
        <f>IFERROR(VLOOKUP($A94,'13. Mapa Títulos-Receita'!$A$8:$P$1000,9,FALSE),"")</f>
        <v/>
      </c>
      <c r="Y94" s="92">
        <f>IFERROR(VLOOKUP($A94,'13. Mapa Títulos-Receita'!$A$8:$P$1000,10,FALSE),"")</f>
        <v/>
      </c>
      <c r="Z94" s="92">
        <f>IFERROR(VLOOKUP($A94,'13. Mapa Títulos-Receita'!$A$8:$P$1000,11,FALSE),"")</f>
        <v/>
      </c>
      <c r="AA94" s="92">
        <f>IFERROR(VLOOKUP($A94,'13. Mapa Títulos-Receita'!$A$8:$P$1000,12,FALSE),"")</f>
        <v/>
      </c>
      <c r="AB94" s="92">
        <f>IFERROR(VLOOKUP($A94,'13. Mapa Títulos-Receita'!$A$8:$P$1000,13,FALSE),"")</f>
        <v/>
      </c>
      <c r="AC94" s="92">
        <f>IFERROR(VLOOKUP($A94,'13. Mapa Títulos-Receita'!$A$8:$P$1000,14,FALSE),"")</f>
        <v/>
      </c>
      <c r="AD94" s="92">
        <f>IFERROR(VLOOKUP($A94,'13. Mapa Títulos-Receita'!$A$8:$P$1000,15,FALSE),"")</f>
        <v/>
      </c>
      <c r="AE94" s="92">
        <f>IFERROR(VLOOKUP($A94,'13. Mapa Títulos-Receita'!$A$8:$P$1000,16,FALSE),"")</f>
        <v/>
      </c>
    </row>
    <row r="95">
      <c r="A95" s="28">
        <f>IF(C95="","", "CR-"&amp;TEXT(ROW()-7,"000"))</f>
        <v/>
      </c>
      <c r="B95" s="28" t="n"/>
      <c r="C95" s="28" t="n"/>
      <c r="D95" s="111" t="n"/>
      <c r="E95" s="111" t="n"/>
      <c r="F95" s="111" t="n"/>
      <c r="G95" s="28" t="n"/>
      <c r="H95" s="45" t="n"/>
      <c r="I95" s="45" t="n"/>
      <c r="J95" s="28">
        <f>IF(H95="","",IF(I95&gt;=H95,"Recebido",IF($B$4&gt;E95,"Vencido","Aberto")))</f>
        <v/>
      </c>
      <c r="K95" s="4">
        <f>IF(J95="","",IF(OR(J95="Recebido",F95=""),MAX(0,F95-E95),MAX(0,$B$4-E95)))</f>
        <v/>
      </c>
      <c r="L95" s="4">
        <f>IF(K95="","",IF(K95=0,"Em dia",IF(K95&lt;=30,"1-30 dias",IF(K95&lt;=60,"31-60 dias",IF(K95&lt;=90,"61-90 dias","&gt;90 dias")))))</f>
        <v/>
      </c>
      <c r="M95" s="28" t="n"/>
      <c r="N95" s="104" t="inlineStr"/>
      <c r="O95" s="64" t="n"/>
      <c r="P95" s="64">
        <f>IF(C95="","",IF(ISNUMBER(SEARCH("PCMSO",C95)),"PCMSO",IF(OR(ISNUMBER(SEARCH("E-SOCIAL",C95)),ISNUMBER(SEARCH("PSICOSOCIAL",C95))),"eSocial / Psicossocial",IF(O95="Receita recorrente","Carteira recorrente","Projetos / Laudos / Avulsos"))))</f>
        <v/>
      </c>
      <c r="Q95" s="64">
        <f>IF(P95="","",IF(P95="Carteira recorrente","Operação recorrente",IF(P95="PCMSO","Projetos PCMSO",IF(P95="eSocial / Psicossocial","Projetos eSocial/Psicossocial","Projetos / Laudos / Avulsos"))))</f>
        <v/>
      </c>
      <c r="R95" s="64">
        <f>IF(C95="","",IF(ISNUMBER(SEARCH("PCMSO",C95)),"Título com PCMSO no nome",IF(OR(ISNUMBER(SEARCH("E-SOCIAL",C95)),ISNUMBER(SEARCH("PSICOSOCIAL",C95))),"Título com eSocial/Psicossocial no nome",IF(O95="Receita recorrente","Tipo DRE recorrente","Extra sem palavra-chave específica"))))</f>
        <v/>
      </c>
      <c r="S95" s="92">
        <f>IFERROR(VLOOKUP($A95,'13. Mapa Títulos-Receita'!$A$8:$P$1000,4,FALSE),"")</f>
        <v/>
      </c>
      <c r="T95" s="92">
        <f>IFERROR(VLOOKUP($A95,'13. Mapa Títulos-Receita'!$A$8:$P$1000,5,FALSE),"")</f>
        <v/>
      </c>
      <c r="U95" s="92">
        <f>IFERROR(VLOOKUP($A95,'13. Mapa Títulos-Receita'!$A$8:$P$1000,6,FALSE),"")</f>
        <v/>
      </c>
      <c r="V95" s="92">
        <f>IFERROR(VLOOKUP($A95,'13. Mapa Títulos-Receita'!$A$8:$P$1000,7,FALSE),"")</f>
        <v/>
      </c>
      <c r="W95" s="92">
        <f>IFERROR(VLOOKUP($A95,'13. Mapa Títulos-Receita'!$A$8:$P$1000,8,FALSE),"")</f>
        <v/>
      </c>
      <c r="X95" s="92">
        <f>IFERROR(VLOOKUP($A95,'13. Mapa Títulos-Receita'!$A$8:$P$1000,9,FALSE),"")</f>
        <v/>
      </c>
      <c r="Y95" s="92">
        <f>IFERROR(VLOOKUP($A95,'13. Mapa Títulos-Receita'!$A$8:$P$1000,10,FALSE),"")</f>
        <v/>
      </c>
      <c r="Z95" s="92">
        <f>IFERROR(VLOOKUP($A95,'13. Mapa Títulos-Receita'!$A$8:$P$1000,11,FALSE),"")</f>
        <v/>
      </c>
      <c r="AA95" s="92">
        <f>IFERROR(VLOOKUP($A95,'13. Mapa Títulos-Receita'!$A$8:$P$1000,12,FALSE),"")</f>
        <v/>
      </c>
      <c r="AB95" s="92">
        <f>IFERROR(VLOOKUP($A95,'13. Mapa Títulos-Receita'!$A$8:$P$1000,13,FALSE),"")</f>
        <v/>
      </c>
      <c r="AC95" s="92">
        <f>IFERROR(VLOOKUP($A95,'13. Mapa Títulos-Receita'!$A$8:$P$1000,14,FALSE),"")</f>
        <v/>
      </c>
      <c r="AD95" s="92">
        <f>IFERROR(VLOOKUP($A95,'13. Mapa Títulos-Receita'!$A$8:$P$1000,15,FALSE),"")</f>
        <v/>
      </c>
      <c r="AE95" s="92">
        <f>IFERROR(VLOOKUP($A95,'13. Mapa Títulos-Receita'!$A$8:$P$1000,16,FALSE),"")</f>
        <v/>
      </c>
    </row>
    <row r="96">
      <c r="A96" s="28">
        <f>IF(C96="","", "CR-"&amp;TEXT(ROW()-7,"000"))</f>
        <v/>
      </c>
      <c r="B96" s="28" t="n"/>
      <c r="C96" s="28" t="n"/>
      <c r="D96" s="111" t="n"/>
      <c r="E96" s="111" t="n"/>
      <c r="F96" s="111" t="n"/>
      <c r="G96" s="28" t="n"/>
      <c r="H96" s="45" t="n"/>
      <c r="I96" s="45" t="n"/>
      <c r="J96" s="28">
        <f>IF(H96="","",IF(I96&gt;=H96,"Recebido",IF($B$4&gt;E96,"Vencido","Aberto")))</f>
        <v/>
      </c>
      <c r="K96" s="4">
        <f>IF(J96="","",IF(OR(J96="Recebido",F96=""),MAX(0,F96-E96),MAX(0,$B$4-E96)))</f>
        <v/>
      </c>
      <c r="L96" s="4">
        <f>IF(K96="","",IF(K96=0,"Em dia",IF(K96&lt;=30,"1-30 dias",IF(K96&lt;=60,"31-60 dias",IF(K96&lt;=90,"61-90 dias","&gt;90 dias")))))</f>
        <v/>
      </c>
      <c r="M96" s="28" t="n"/>
      <c r="N96" s="104" t="inlineStr"/>
      <c r="O96" s="64" t="n"/>
      <c r="P96" s="64">
        <f>IF(C96="","",IF(ISNUMBER(SEARCH("PCMSO",C96)),"PCMSO",IF(OR(ISNUMBER(SEARCH("E-SOCIAL",C96)),ISNUMBER(SEARCH("PSICOSOCIAL",C96))),"eSocial / Psicossocial",IF(O96="Receita recorrente","Carteira recorrente","Projetos / Laudos / Avulsos"))))</f>
        <v/>
      </c>
      <c r="Q96" s="64">
        <f>IF(P96="","",IF(P96="Carteira recorrente","Operação recorrente",IF(P96="PCMSO","Projetos PCMSO",IF(P96="eSocial / Psicossocial","Projetos eSocial/Psicossocial","Projetos / Laudos / Avulsos"))))</f>
        <v/>
      </c>
      <c r="R96" s="64">
        <f>IF(C96="","",IF(ISNUMBER(SEARCH("PCMSO",C96)),"Título com PCMSO no nome",IF(OR(ISNUMBER(SEARCH("E-SOCIAL",C96)),ISNUMBER(SEARCH("PSICOSOCIAL",C96))),"Título com eSocial/Psicossocial no nome",IF(O96="Receita recorrente","Tipo DRE recorrente","Extra sem palavra-chave específica"))))</f>
        <v/>
      </c>
      <c r="S96" s="92">
        <f>IFERROR(VLOOKUP($A96,'13. Mapa Títulos-Receita'!$A$8:$P$1000,4,FALSE),"")</f>
        <v/>
      </c>
      <c r="T96" s="92">
        <f>IFERROR(VLOOKUP($A96,'13. Mapa Títulos-Receita'!$A$8:$P$1000,5,FALSE),"")</f>
        <v/>
      </c>
      <c r="U96" s="92">
        <f>IFERROR(VLOOKUP($A96,'13. Mapa Títulos-Receita'!$A$8:$P$1000,6,FALSE),"")</f>
        <v/>
      </c>
      <c r="V96" s="92">
        <f>IFERROR(VLOOKUP($A96,'13. Mapa Títulos-Receita'!$A$8:$P$1000,7,FALSE),"")</f>
        <v/>
      </c>
      <c r="W96" s="92">
        <f>IFERROR(VLOOKUP($A96,'13. Mapa Títulos-Receita'!$A$8:$P$1000,8,FALSE),"")</f>
        <v/>
      </c>
      <c r="X96" s="92">
        <f>IFERROR(VLOOKUP($A96,'13. Mapa Títulos-Receita'!$A$8:$P$1000,9,FALSE),"")</f>
        <v/>
      </c>
      <c r="Y96" s="92">
        <f>IFERROR(VLOOKUP($A96,'13. Mapa Títulos-Receita'!$A$8:$P$1000,10,FALSE),"")</f>
        <v/>
      </c>
      <c r="Z96" s="92">
        <f>IFERROR(VLOOKUP($A96,'13. Mapa Títulos-Receita'!$A$8:$P$1000,11,FALSE),"")</f>
        <v/>
      </c>
      <c r="AA96" s="92">
        <f>IFERROR(VLOOKUP($A96,'13. Mapa Títulos-Receita'!$A$8:$P$1000,12,FALSE),"")</f>
        <v/>
      </c>
      <c r="AB96" s="92">
        <f>IFERROR(VLOOKUP($A96,'13. Mapa Títulos-Receita'!$A$8:$P$1000,13,FALSE),"")</f>
        <v/>
      </c>
      <c r="AC96" s="92">
        <f>IFERROR(VLOOKUP($A96,'13. Mapa Títulos-Receita'!$A$8:$P$1000,14,FALSE),"")</f>
        <v/>
      </c>
      <c r="AD96" s="92">
        <f>IFERROR(VLOOKUP($A96,'13. Mapa Títulos-Receita'!$A$8:$P$1000,15,FALSE),"")</f>
        <v/>
      </c>
      <c r="AE96" s="92">
        <f>IFERROR(VLOOKUP($A96,'13. Mapa Títulos-Receita'!$A$8:$P$1000,16,FALSE),"")</f>
        <v/>
      </c>
    </row>
    <row r="97">
      <c r="A97" s="28">
        <f>IF(C97="","", "CR-"&amp;TEXT(ROW()-7,"000"))</f>
        <v/>
      </c>
      <c r="B97" s="28" t="n"/>
      <c r="C97" s="28" t="n"/>
      <c r="D97" s="111" t="n"/>
      <c r="E97" s="111" t="n"/>
      <c r="F97" s="111" t="n"/>
      <c r="G97" s="28" t="n"/>
      <c r="H97" s="45" t="n"/>
      <c r="I97" s="45" t="n"/>
      <c r="J97" s="28">
        <f>IF(H97="","",IF(I97&gt;=H97,"Recebido",IF($B$4&gt;E97,"Vencido","Aberto")))</f>
        <v/>
      </c>
      <c r="K97" s="4">
        <f>IF(J97="","",IF(OR(J97="Recebido",F97=""),MAX(0,F97-E97),MAX(0,$B$4-E97)))</f>
        <v/>
      </c>
      <c r="L97" s="4">
        <f>IF(K97="","",IF(K97=0,"Em dia",IF(K97&lt;=30,"1-30 dias",IF(K97&lt;=60,"31-60 dias",IF(K97&lt;=90,"61-90 dias","&gt;90 dias")))))</f>
        <v/>
      </c>
      <c r="M97" s="28" t="n"/>
      <c r="N97" s="104" t="inlineStr"/>
      <c r="O97" s="64" t="n"/>
      <c r="P97" s="64">
        <f>IF(C97="","",IF(ISNUMBER(SEARCH("PCMSO",C97)),"PCMSO",IF(OR(ISNUMBER(SEARCH("E-SOCIAL",C97)),ISNUMBER(SEARCH("PSICOSOCIAL",C97))),"eSocial / Psicossocial",IF(O97="Receita recorrente","Carteira recorrente","Projetos / Laudos / Avulsos"))))</f>
        <v/>
      </c>
      <c r="Q97" s="64">
        <f>IF(P97="","",IF(P97="Carteira recorrente","Operação recorrente",IF(P97="PCMSO","Projetos PCMSO",IF(P97="eSocial / Psicossocial","Projetos eSocial/Psicossocial","Projetos / Laudos / Avulsos"))))</f>
        <v/>
      </c>
      <c r="R97" s="64">
        <f>IF(C97="","",IF(ISNUMBER(SEARCH("PCMSO",C97)),"Título com PCMSO no nome",IF(OR(ISNUMBER(SEARCH("E-SOCIAL",C97)),ISNUMBER(SEARCH("PSICOSOCIAL",C97))),"Título com eSocial/Psicossocial no nome",IF(O97="Receita recorrente","Tipo DRE recorrente","Extra sem palavra-chave específica"))))</f>
        <v/>
      </c>
      <c r="S97" s="92">
        <f>IFERROR(VLOOKUP($A97,'13. Mapa Títulos-Receita'!$A$8:$P$1000,4,FALSE),"")</f>
        <v/>
      </c>
      <c r="T97" s="92">
        <f>IFERROR(VLOOKUP($A97,'13. Mapa Títulos-Receita'!$A$8:$P$1000,5,FALSE),"")</f>
        <v/>
      </c>
      <c r="U97" s="92">
        <f>IFERROR(VLOOKUP($A97,'13. Mapa Títulos-Receita'!$A$8:$P$1000,6,FALSE),"")</f>
        <v/>
      </c>
      <c r="V97" s="92">
        <f>IFERROR(VLOOKUP($A97,'13. Mapa Títulos-Receita'!$A$8:$P$1000,7,FALSE),"")</f>
        <v/>
      </c>
      <c r="W97" s="92">
        <f>IFERROR(VLOOKUP($A97,'13. Mapa Títulos-Receita'!$A$8:$P$1000,8,FALSE),"")</f>
        <v/>
      </c>
      <c r="X97" s="92">
        <f>IFERROR(VLOOKUP($A97,'13. Mapa Títulos-Receita'!$A$8:$P$1000,9,FALSE),"")</f>
        <v/>
      </c>
      <c r="Y97" s="92">
        <f>IFERROR(VLOOKUP($A97,'13. Mapa Títulos-Receita'!$A$8:$P$1000,10,FALSE),"")</f>
        <v/>
      </c>
      <c r="Z97" s="92">
        <f>IFERROR(VLOOKUP($A97,'13. Mapa Títulos-Receita'!$A$8:$P$1000,11,FALSE),"")</f>
        <v/>
      </c>
      <c r="AA97" s="92">
        <f>IFERROR(VLOOKUP($A97,'13. Mapa Títulos-Receita'!$A$8:$P$1000,12,FALSE),"")</f>
        <v/>
      </c>
      <c r="AB97" s="92">
        <f>IFERROR(VLOOKUP($A97,'13. Mapa Títulos-Receita'!$A$8:$P$1000,13,FALSE),"")</f>
        <v/>
      </c>
      <c r="AC97" s="92">
        <f>IFERROR(VLOOKUP($A97,'13. Mapa Títulos-Receita'!$A$8:$P$1000,14,FALSE),"")</f>
        <v/>
      </c>
      <c r="AD97" s="92">
        <f>IFERROR(VLOOKUP($A97,'13. Mapa Títulos-Receita'!$A$8:$P$1000,15,FALSE),"")</f>
        <v/>
      </c>
      <c r="AE97" s="92">
        <f>IFERROR(VLOOKUP($A97,'13. Mapa Títulos-Receita'!$A$8:$P$1000,16,FALSE),"")</f>
        <v/>
      </c>
    </row>
    <row r="98">
      <c r="A98" s="28">
        <f>IF(C98="","", "CR-"&amp;TEXT(ROW()-7,"000"))</f>
        <v/>
      </c>
      <c r="B98" s="28" t="n"/>
      <c r="C98" s="28" t="n"/>
      <c r="D98" s="111" t="n"/>
      <c r="E98" s="111" t="n"/>
      <c r="F98" s="111" t="n"/>
      <c r="G98" s="28" t="n"/>
      <c r="H98" s="45" t="n"/>
      <c r="I98" s="45" t="n"/>
      <c r="J98" s="28">
        <f>IF(H98="","",IF(I98&gt;=H98,"Recebido",IF($B$4&gt;E98,"Vencido","Aberto")))</f>
        <v/>
      </c>
      <c r="K98" s="4">
        <f>IF(J98="","",IF(OR(J98="Recebido",F98=""),MAX(0,F98-E98),MAX(0,$B$4-E98)))</f>
        <v/>
      </c>
      <c r="L98" s="4">
        <f>IF(K98="","",IF(K98=0,"Em dia",IF(K98&lt;=30,"1-30 dias",IF(K98&lt;=60,"31-60 dias",IF(K98&lt;=90,"61-90 dias","&gt;90 dias")))))</f>
        <v/>
      </c>
      <c r="M98" s="28" t="n"/>
      <c r="N98" s="104" t="inlineStr"/>
      <c r="O98" s="64" t="n"/>
      <c r="P98" s="64">
        <f>IF(C98="","",IF(ISNUMBER(SEARCH("PCMSO",C98)),"PCMSO",IF(OR(ISNUMBER(SEARCH("E-SOCIAL",C98)),ISNUMBER(SEARCH("PSICOSOCIAL",C98))),"eSocial / Psicossocial",IF(O98="Receita recorrente","Carteira recorrente","Projetos / Laudos / Avulsos"))))</f>
        <v/>
      </c>
      <c r="Q98" s="64">
        <f>IF(P98="","",IF(P98="Carteira recorrente","Operação recorrente",IF(P98="PCMSO","Projetos PCMSO",IF(P98="eSocial / Psicossocial","Projetos eSocial/Psicossocial","Projetos / Laudos / Avulsos"))))</f>
        <v/>
      </c>
      <c r="R98" s="64">
        <f>IF(C98="","",IF(ISNUMBER(SEARCH("PCMSO",C98)),"Título com PCMSO no nome",IF(OR(ISNUMBER(SEARCH("E-SOCIAL",C98)),ISNUMBER(SEARCH("PSICOSOCIAL",C98))),"Título com eSocial/Psicossocial no nome",IF(O98="Receita recorrente","Tipo DRE recorrente","Extra sem palavra-chave específica"))))</f>
        <v/>
      </c>
      <c r="S98" s="92">
        <f>IFERROR(VLOOKUP($A98,'13. Mapa Títulos-Receita'!$A$8:$P$1000,4,FALSE),"")</f>
        <v/>
      </c>
      <c r="T98" s="92">
        <f>IFERROR(VLOOKUP($A98,'13. Mapa Títulos-Receita'!$A$8:$P$1000,5,FALSE),"")</f>
        <v/>
      </c>
      <c r="U98" s="92">
        <f>IFERROR(VLOOKUP($A98,'13. Mapa Títulos-Receita'!$A$8:$P$1000,6,FALSE),"")</f>
        <v/>
      </c>
      <c r="V98" s="92">
        <f>IFERROR(VLOOKUP($A98,'13. Mapa Títulos-Receita'!$A$8:$P$1000,7,FALSE),"")</f>
        <v/>
      </c>
      <c r="W98" s="92">
        <f>IFERROR(VLOOKUP($A98,'13. Mapa Títulos-Receita'!$A$8:$P$1000,8,FALSE),"")</f>
        <v/>
      </c>
      <c r="X98" s="92">
        <f>IFERROR(VLOOKUP($A98,'13. Mapa Títulos-Receita'!$A$8:$P$1000,9,FALSE),"")</f>
        <v/>
      </c>
      <c r="Y98" s="92">
        <f>IFERROR(VLOOKUP($A98,'13. Mapa Títulos-Receita'!$A$8:$P$1000,10,FALSE),"")</f>
        <v/>
      </c>
      <c r="Z98" s="92">
        <f>IFERROR(VLOOKUP($A98,'13. Mapa Títulos-Receita'!$A$8:$P$1000,11,FALSE),"")</f>
        <v/>
      </c>
      <c r="AA98" s="92">
        <f>IFERROR(VLOOKUP($A98,'13. Mapa Títulos-Receita'!$A$8:$P$1000,12,FALSE),"")</f>
        <v/>
      </c>
      <c r="AB98" s="92">
        <f>IFERROR(VLOOKUP($A98,'13. Mapa Títulos-Receita'!$A$8:$P$1000,13,FALSE),"")</f>
        <v/>
      </c>
      <c r="AC98" s="92">
        <f>IFERROR(VLOOKUP($A98,'13. Mapa Títulos-Receita'!$A$8:$P$1000,14,FALSE),"")</f>
        <v/>
      </c>
      <c r="AD98" s="92">
        <f>IFERROR(VLOOKUP($A98,'13. Mapa Títulos-Receita'!$A$8:$P$1000,15,FALSE),"")</f>
        <v/>
      </c>
      <c r="AE98" s="92">
        <f>IFERROR(VLOOKUP($A98,'13. Mapa Títulos-Receita'!$A$8:$P$1000,16,FALSE),"")</f>
        <v/>
      </c>
    </row>
    <row r="99">
      <c r="A99" s="28">
        <f>IF(C99="","", "CR-"&amp;TEXT(ROW()-7,"000"))</f>
        <v/>
      </c>
      <c r="B99" s="28" t="n"/>
      <c r="C99" s="28" t="n"/>
      <c r="D99" s="111" t="n"/>
      <c r="E99" s="111" t="n"/>
      <c r="F99" s="111" t="n"/>
      <c r="G99" s="28" t="n"/>
      <c r="H99" s="45" t="n"/>
      <c r="I99" s="45" t="n"/>
      <c r="J99" s="28">
        <f>IF(H99="","",IF(I99&gt;=H99,"Recebido",IF($B$4&gt;E99,"Vencido","Aberto")))</f>
        <v/>
      </c>
      <c r="K99" s="4">
        <f>IF(J99="","",IF(OR(J99="Recebido",F99=""),MAX(0,F99-E99),MAX(0,$B$4-E99)))</f>
        <v/>
      </c>
      <c r="L99" s="4">
        <f>IF(K99="","",IF(K99=0,"Em dia",IF(K99&lt;=30,"1-30 dias",IF(K99&lt;=60,"31-60 dias",IF(K99&lt;=90,"61-90 dias","&gt;90 dias")))))</f>
        <v/>
      </c>
      <c r="M99" s="28" t="n"/>
      <c r="N99" s="104" t="inlineStr"/>
      <c r="O99" s="64" t="n"/>
      <c r="P99" s="64">
        <f>IF(C99="","",IF(ISNUMBER(SEARCH("PCMSO",C99)),"PCMSO",IF(OR(ISNUMBER(SEARCH("E-SOCIAL",C99)),ISNUMBER(SEARCH("PSICOSOCIAL",C99))),"eSocial / Psicossocial",IF(O99="Receita recorrente","Carteira recorrente","Projetos / Laudos / Avulsos"))))</f>
        <v/>
      </c>
      <c r="Q99" s="64">
        <f>IF(P99="","",IF(P99="Carteira recorrente","Operação recorrente",IF(P99="PCMSO","Projetos PCMSO",IF(P99="eSocial / Psicossocial","Projetos eSocial/Psicossocial","Projetos / Laudos / Avulsos"))))</f>
        <v/>
      </c>
      <c r="R99" s="64">
        <f>IF(C99="","",IF(ISNUMBER(SEARCH("PCMSO",C99)),"Título com PCMSO no nome",IF(OR(ISNUMBER(SEARCH("E-SOCIAL",C99)),ISNUMBER(SEARCH("PSICOSOCIAL",C99))),"Título com eSocial/Psicossocial no nome",IF(O99="Receita recorrente","Tipo DRE recorrente","Extra sem palavra-chave específica"))))</f>
        <v/>
      </c>
      <c r="S99" s="92">
        <f>IFERROR(VLOOKUP($A99,'13. Mapa Títulos-Receita'!$A$8:$P$1000,4,FALSE),"")</f>
        <v/>
      </c>
      <c r="T99" s="92">
        <f>IFERROR(VLOOKUP($A99,'13. Mapa Títulos-Receita'!$A$8:$P$1000,5,FALSE),"")</f>
        <v/>
      </c>
      <c r="U99" s="92">
        <f>IFERROR(VLOOKUP($A99,'13. Mapa Títulos-Receita'!$A$8:$P$1000,6,FALSE),"")</f>
        <v/>
      </c>
      <c r="V99" s="92">
        <f>IFERROR(VLOOKUP($A99,'13. Mapa Títulos-Receita'!$A$8:$P$1000,7,FALSE),"")</f>
        <v/>
      </c>
      <c r="W99" s="92">
        <f>IFERROR(VLOOKUP($A99,'13. Mapa Títulos-Receita'!$A$8:$P$1000,8,FALSE),"")</f>
        <v/>
      </c>
      <c r="X99" s="92">
        <f>IFERROR(VLOOKUP($A99,'13. Mapa Títulos-Receita'!$A$8:$P$1000,9,FALSE),"")</f>
        <v/>
      </c>
      <c r="Y99" s="92">
        <f>IFERROR(VLOOKUP($A99,'13. Mapa Títulos-Receita'!$A$8:$P$1000,10,FALSE),"")</f>
        <v/>
      </c>
      <c r="Z99" s="92">
        <f>IFERROR(VLOOKUP($A99,'13. Mapa Títulos-Receita'!$A$8:$P$1000,11,FALSE),"")</f>
        <v/>
      </c>
      <c r="AA99" s="92">
        <f>IFERROR(VLOOKUP($A99,'13. Mapa Títulos-Receita'!$A$8:$P$1000,12,FALSE),"")</f>
        <v/>
      </c>
      <c r="AB99" s="92">
        <f>IFERROR(VLOOKUP($A99,'13. Mapa Títulos-Receita'!$A$8:$P$1000,13,FALSE),"")</f>
        <v/>
      </c>
      <c r="AC99" s="92">
        <f>IFERROR(VLOOKUP($A99,'13. Mapa Títulos-Receita'!$A$8:$P$1000,14,FALSE),"")</f>
        <v/>
      </c>
      <c r="AD99" s="92">
        <f>IFERROR(VLOOKUP($A99,'13. Mapa Títulos-Receita'!$A$8:$P$1000,15,FALSE),"")</f>
        <v/>
      </c>
      <c r="AE99" s="92">
        <f>IFERROR(VLOOKUP($A99,'13. Mapa Títulos-Receita'!$A$8:$P$1000,16,FALSE),"")</f>
        <v/>
      </c>
    </row>
    <row r="100">
      <c r="A100" s="28">
        <f>IF(C100="","", "CR-"&amp;TEXT(ROW()-7,"000"))</f>
        <v/>
      </c>
      <c r="B100" s="28" t="n"/>
      <c r="C100" s="28" t="n"/>
      <c r="D100" s="111" t="n"/>
      <c r="E100" s="111" t="n"/>
      <c r="F100" s="111" t="n"/>
      <c r="G100" s="28" t="n"/>
      <c r="H100" s="45" t="n"/>
      <c r="I100" s="45" t="n"/>
      <c r="J100" s="28">
        <f>IF(H100="","",IF(I100&gt;=H100,"Recebido",IF($B$4&gt;E100,"Vencido","Aberto")))</f>
        <v/>
      </c>
      <c r="K100" s="4">
        <f>IF(J100="","",IF(OR(J100="Recebido",F100=""),MAX(0,F100-E100),MAX(0,$B$4-E100)))</f>
        <v/>
      </c>
      <c r="L100" s="4">
        <f>IF(K100="","",IF(K100=0,"Em dia",IF(K100&lt;=30,"1-30 dias",IF(K100&lt;=60,"31-60 dias",IF(K100&lt;=90,"61-90 dias","&gt;90 dias")))))</f>
        <v/>
      </c>
      <c r="M100" s="28" t="n"/>
      <c r="N100" s="104" t="inlineStr"/>
      <c r="O100" s="64" t="n"/>
      <c r="P100" s="64">
        <f>IF(C100="","",IF(ISNUMBER(SEARCH("PCMSO",C100)),"PCMSO",IF(OR(ISNUMBER(SEARCH("E-SOCIAL",C100)),ISNUMBER(SEARCH("PSICOSOCIAL",C100))),"eSocial / Psicossocial",IF(O100="Receita recorrente","Carteira recorrente","Projetos / Laudos / Avulsos"))))</f>
        <v/>
      </c>
      <c r="Q100" s="64">
        <f>IF(P100="","",IF(P100="Carteira recorrente","Operação recorrente",IF(P100="PCMSO","Projetos PCMSO",IF(P100="eSocial / Psicossocial","Projetos eSocial/Psicossocial","Projetos / Laudos / Avulsos"))))</f>
        <v/>
      </c>
      <c r="R100" s="64">
        <f>IF(C100="","",IF(ISNUMBER(SEARCH("PCMSO",C100)),"Título com PCMSO no nome",IF(OR(ISNUMBER(SEARCH("E-SOCIAL",C100)),ISNUMBER(SEARCH("PSICOSOCIAL",C100))),"Título com eSocial/Psicossocial no nome",IF(O100="Receita recorrente","Tipo DRE recorrente","Extra sem palavra-chave específica"))))</f>
        <v/>
      </c>
      <c r="S100" s="92">
        <f>IFERROR(VLOOKUP($A100,'13. Mapa Títulos-Receita'!$A$8:$P$1000,4,FALSE),"")</f>
        <v/>
      </c>
      <c r="T100" s="92">
        <f>IFERROR(VLOOKUP($A100,'13. Mapa Títulos-Receita'!$A$8:$P$1000,5,FALSE),"")</f>
        <v/>
      </c>
      <c r="U100" s="92">
        <f>IFERROR(VLOOKUP($A100,'13. Mapa Títulos-Receita'!$A$8:$P$1000,6,FALSE),"")</f>
        <v/>
      </c>
      <c r="V100" s="92">
        <f>IFERROR(VLOOKUP($A100,'13. Mapa Títulos-Receita'!$A$8:$P$1000,7,FALSE),"")</f>
        <v/>
      </c>
      <c r="W100" s="92">
        <f>IFERROR(VLOOKUP($A100,'13. Mapa Títulos-Receita'!$A$8:$P$1000,8,FALSE),"")</f>
        <v/>
      </c>
      <c r="X100" s="92">
        <f>IFERROR(VLOOKUP($A100,'13. Mapa Títulos-Receita'!$A$8:$P$1000,9,FALSE),"")</f>
        <v/>
      </c>
      <c r="Y100" s="92">
        <f>IFERROR(VLOOKUP($A100,'13. Mapa Títulos-Receita'!$A$8:$P$1000,10,FALSE),"")</f>
        <v/>
      </c>
      <c r="Z100" s="92">
        <f>IFERROR(VLOOKUP($A100,'13. Mapa Títulos-Receita'!$A$8:$P$1000,11,FALSE),"")</f>
        <v/>
      </c>
      <c r="AA100" s="92">
        <f>IFERROR(VLOOKUP($A100,'13. Mapa Títulos-Receita'!$A$8:$P$1000,12,FALSE),"")</f>
        <v/>
      </c>
      <c r="AB100" s="92">
        <f>IFERROR(VLOOKUP($A100,'13. Mapa Títulos-Receita'!$A$8:$P$1000,13,FALSE),"")</f>
        <v/>
      </c>
      <c r="AC100" s="92">
        <f>IFERROR(VLOOKUP($A100,'13. Mapa Títulos-Receita'!$A$8:$P$1000,14,FALSE),"")</f>
        <v/>
      </c>
      <c r="AD100" s="92">
        <f>IFERROR(VLOOKUP($A100,'13. Mapa Títulos-Receita'!$A$8:$P$1000,15,FALSE),"")</f>
        <v/>
      </c>
      <c r="AE100" s="92">
        <f>IFERROR(VLOOKUP($A100,'13. Mapa Títulos-Receita'!$A$8:$P$1000,16,FALSE),"")</f>
        <v/>
      </c>
    </row>
    <row r="101">
      <c r="A101" s="28">
        <f>IF(C101="","", "CR-"&amp;TEXT(ROW()-7,"000"))</f>
        <v/>
      </c>
      <c r="B101" s="28" t="n"/>
      <c r="C101" s="28" t="n"/>
      <c r="D101" s="111" t="n"/>
      <c r="E101" s="111" t="n"/>
      <c r="F101" s="111" t="n"/>
      <c r="G101" s="28" t="n"/>
      <c r="H101" s="45" t="n"/>
      <c r="I101" s="45" t="n"/>
      <c r="J101" s="28">
        <f>IF(H101="","",IF(I101&gt;=H101,"Recebido",IF($B$4&gt;E101,"Vencido","Aberto")))</f>
        <v/>
      </c>
      <c r="K101" s="4">
        <f>IF(J101="","",IF(OR(J101="Recebido",F101=""),MAX(0,F101-E101),MAX(0,$B$4-E101)))</f>
        <v/>
      </c>
      <c r="L101" s="4">
        <f>IF(K101="","",IF(K101=0,"Em dia",IF(K101&lt;=30,"1-30 dias",IF(K101&lt;=60,"31-60 dias",IF(K101&lt;=90,"61-90 dias","&gt;90 dias")))))</f>
        <v/>
      </c>
      <c r="M101" s="28" t="n"/>
      <c r="N101" s="104" t="inlineStr"/>
      <c r="O101" s="64" t="n"/>
      <c r="P101" s="64">
        <f>IF(C101="","",IF(ISNUMBER(SEARCH("PCMSO",C101)),"PCMSO",IF(OR(ISNUMBER(SEARCH("E-SOCIAL",C101)),ISNUMBER(SEARCH("PSICOSOCIAL",C101))),"eSocial / Psicossocial",IF(O101="Receita recorrente","Carteira recorrente","Projetos / Laudos / Avulsos"))))</f>
        <v/>
      </c>
      <c r="Q101" s="64">
        <f>IF(P101="","",IF(P101="Carteira recorrente","Operação recorrente",IF(P101="PCMSO","Projetos PCMSO",IF(P101="eSocial / Psicossocial","Projetos eSocial/Psicossocial","Projetos / Laudos / Avulsos"))))</f>
        <v/>
      </c>
      <c r="R101" s="64">
        <f>IF(C101="","",IF(ISNUMBER(SEARCH("PCMSO",C101)),"Título com PCMSO no nome",IF(OR(ISNUMBER(SEARCH("E-SOCIAL",C101)),ISNUMBER(SEARCH("PSICOSOCIAL",C101))),"Título com eSocial/Psicossocial no nome",IF(O101="Receita recorrente","Tipo DRE recorrente","Extra sem palavra-chave específica"))))</f>
        <v/>
      </c>
      <c r="S101" s="92">
        <f>IFERROR(VLOOKUP($A101,'13. Mapa Títulos-Receita'!$A$8:$P$1000,4,FALSE),"")</f>
        <v/>
      </c>
      <c r="T101" s="92">
        <f>IFERROR(VLOOKUP($A101,'13. Mapa Títulos-Receita'!$A$8:$P$1000,5,FALSE),"")</f>
        <v/>
      </c>
      <c r="U101" s="92">
        <f>IFERROR(VLOOKUP($A101,'13. Mapa Títulos-Receita'!$A$8:$P$1000,6,FALSE),"")</f>
        <v/>
      </c>
      <c r="V101" s="92">
        <f>IFERROR(VLOOKUP($A101,'13. Mapa Títulos-Receita'!$A$8:$P$1000,7,FALSE),"")</f>
        <v/>
      </c>
      <c r="W101" s="92">
        <f>IFERROR(VLOOKUP($A101,'13. Mapa Títulos-Receita'!$A$8:$P$1000,8,FALSE),"")</f>
        <v/>
      </c>
      <c r="X101" s="92">
        <f>IFERROR(VLOOKUP($A101,'13. Mapa Títulos-Receita'!$A$8:$P$1000,9,FALSE),"")</f>
        <v/>
      </c>
      <c r="Y101" s="92">
        <f>IFERROR(VLOOKUP($A101,'13. Mapa Títulos-Receita'!$A$8:$P$1000,10,FALSE),"")</f>
        <v/>
      </c>
      <c r="Z101" s="92">
        <f>IFERROR(VLOOKUP($A101,'13. Mapa Títulos-Receita'!$A$8:$P$1000,11,FALSE),"")</f>
        <v/>
      </c>
      <c r="AA101" s="92">
        <f>IFERROR(VLOOKUP($A101,'13. Mapa Títulos-Receita'!$A$8:$P$1000,12,FALSE),"")</f>
        <v/>
      </c>
      <c r="AB101" s="92">
        <f>IFERROR(VLOOKUP($A101,'13. Mapa Títulos-Receita'!$A$8:$P$1000,13,FALSE),"")</f>
        <v/>
      </c>
      <c r="AC101" s="92">
        <f>IFERROR(VLOOKUP($A101,'13. Mapa Títulos-Receita'!$A$8:$P$1000,14,FALSE),"")</f>
        <v/>
      </c>
      <c r="AD101" s="92">
        <f>IFERROR(VLOOKUP($A101,'13. Mapa Títulos-Receita'!$A$8:$P$1000,15,FALSE),"")</f>
        <v/>
      </c>
      <c r="AE101" s="92">
        <f>IFERROR(VLOOKUP($A101,'13. Mapa Títulos-Receita'!$A$8:$P$1000,16,FALSE),"")</f>
        <v/>
      </c>
    </row>
    <row r="102">
      <c r="A102" s="28">
        <f>IF(C102="","", "CR-"&amp;TEXT(ROW()-7,"000"))</f>
        <v/>
      </c>
      <c r="B102" s="28" t="n"/>
      <c r="C102" s="28" t="n"/>
      <c r="D102" s="111" t="n"/>
      <c r="E102" s="111" t="n"/>
      <c r="F102" s="111" t="n"/>
      <c r="G102" s="28" t="n"/>
      <c r="H102" s="45" t="n"/>
      <c r="I102" s="45" t="n"/>
      <c r="J102" s="28">
        <f>IF(H102="","",IF(I102&gt;=H102,"Recebido",IF($B$4&gt;E102,"Vencido","Aberto")))</f>
        <v/>
      </c>
      <c r="K102" s="4">
        <f>IF(J102="","",IF(OR(J102="Recebido",F102=""),MAX(0,F102-E102),MAX(0,$B$4-E102)))</f>
        <v/>
      </c>
      <c r="L102" s="4">
        <f>IF(K102="","",IF(K102=0,"Em dia",IF(K102&lt;=30,"1-30 dias",IF(K102&lt;=60,"31-60 dias",IF(K102&lt;=90,"61-90 dias","&gt;90 dias")))))</f>
        <v/>
      </c>
      <c r="M102" s="28" t="n"/>
      <c r="N102" s="104" t="inlineStr"/>
      <c r="O102" s="64" t="n"/>
      <c r="P102" s="64">
        <f>IF(C102="","",IF(ISNUMBER(SEARCH("PCMSO",C102)),"PCMSO",IF(OR(ISNUMBER(SEARCH("E-SOCIAL",C102)),ISNUMBER(SEARCH("PSICOSOCIAL",C102))),"eSocial / Psicossocial",IF(O102="Receita recorrente","Carteira recorrente","Projetos / Laudos / Avulsos"))))</f>
        <v/>
      </c>
      <c r="Q102" s="64">
        <f>IF(P102="","",IF(P102="Carteira recorrente","Operação recorrente",IF(P102="PCMSO","Projetos PCMSO",IF(P102="eSocial / Psicossocial","Projetos eSocial/Psicossocial","Projetos / Laudos / Avulsos"))))</f>
        <v/>
      </c>
      <c r="R102" s="64">
        <f>IF(C102="","",IF(ISNUMBER(SEARCH("PCMSO",C102)),"Título com PCMSO no nome",IF(OR(ISNUMBER(SEARCH("E-SOCIAL",C102)),ISNUMBER(SEARCH("PSICOSOCIAL",C102))),"Título com eSocial/Psicossocial no nome",IF(O102="Receita recorrente","Tipo DRE recorrente","Extra sem palavra-chave específica"))))</f>
        <v/>
      </c>
      <c r="S102" s="92">
        <f>IFERROR(VLOOKUP($A102,'13. Mapa Títulos-Receita'!$A$8:$P$1000,4,FALSE),"")</f>
        <v/>
      </c>
      <c r="T102" s="92">
        <f>IFERROR(VLOOKUP($A102,'13. Mapa Títulos-Receita'!$A$8:$P$1000,5,FALSE),"")</f>
        <v/>
      </c>
      <c r="U102" s="92">
        <f>IFERROR(VLOOKUP($A102,'13. Mapa Títulos-Receita'!$A$8:$P$1000,6,FALSE),"")</f>
        <v/>
      </c>
      <c r="V102" s="92">
        <f>IFERROR(VLOOKUP($A102,'13. Mapa Títulos-Receita'!$A$8:$P$1000,7,FALSE),"")</f>
        <v/>
      </c>
      <c r="W102" s="92">
        <f>IFERROR(VLOOKUP($A102,'13. Mapa Títulos-Receita'!$A$8:$P$1000,8,FALSE),"")</f>
        <v/>
      </c>
      <c r="X102" s="92">
        <f>IFERROR(VLOOKUP($A102,'13. Mapa Títulos-Receita'!$A$8:$P$1000,9,FALSE),"")</f>
        <v/>
      </c>
      <c r="Y102" s="92">
        <f>IFERROR(VLOOKUP($A102,'13. Mapa Títulos-Receita'!$A$8:$P$1000,10,FALSE),"")</f>
        <v/>
      </c>
      <c r="Z102" s="92">
        <f>IFERROR(VLOOKUP($A102,'13. Mapa Títulos-Receita'!$A$8:$P$1000,11,FALSE),"")</f>
        <v/>
      </c>
      <c r="AA102" s="92">
        <f>IFERROR(VLOOKUP($A102,'13. Mapa Títulos-Receita'!$A$8:$P$1000,12,FALSE),"")</f>
        <v/>
      </c>
      <c r="AB102" s="92">
        <f>IFERROR(VLOOKUP($A102,'13. Mapa Títulos-Receita'!$A$8:$P$1000,13,FALSE),"")</f>
        <v/>
      </c>
      <c r="AC102" s="92">
        <f>IFERROR(VLOOKUP($A102,'13. Mapa Títulos-Receita'!$A$8:$P$1000,14,FALSE),"")</f>
        <v/>
      </c>
      <c r="AD102" s="92">
        <f>IFERROR(VLOOKUP($A102,'13. Mapa Títulos-Receita'!$A$8:$P$1000,15,FALSE),"")</f>
        <v/>
      </c>
      <c r="AE102" s="92">
        <f>IFERROR(VLOOKUP($A102,'13. Mapa Títulos-Receita'!$A$8:$P$1000,16,FALSE),"")</f>
        <v/>
      </c>
    </row>
    <row r="103">
      <c r="A103" s="28">
        <f>IF(C103="","", "CR-"&amp;TEXT(ROW()-7,"000"))</f>
        <v/>
      </c>
      <c r="B103" s="28" t="n"/>
      <c r="C103" s="28" t="n"/>
      <c r="D103" s="111" t="n"/>
      <c r="E103" s="111" t="n"/>
      <c r="F103" s="111" t="n"/>
      <c r="G103" s="28" t="n"/>
      <c r="H103" s="45" t="n"/>
      <c r="I103" s="45" t="n"/>
      <c r="J103" s="28">
        <f>IF(H103="","",IF(I103&gt;=H103,"Recebido",IF($B$4&gt;E103,"Vencido","Aberto")))</f>
        <v/>
      </c>
      <c r="K103" s="4">
        <f>IF(J103="","",IF(OR(J103="Recebido",F103=""),MAX(0,F103-E103),MAX(0,$B$4-E103)))</f>
        <v/>
      </c>
      <c r="L103" s="4">
        <f>IF(K103="","",IF(K103=0,"Em dia",IF(K103&lt;=30,"1-30 dias",IF(K103&lt;=60,"31-60 dias",IF(K103&lt;=90,"61-90 dias","&gt;90 dias")))))</f>
        <v/>
      </c>
      <c r="M103" s="28" t="n"/>
      <c r="N103" s="104" t="inlineStr"/>
      <c r="O103" s="64" t="n"/>
      <c r="P103" s="64">
        <f>IF(C103="","",IF(ISNUMBER(SEARCH("PCMSO",C103)),"PCMSO",IF(OR(ISNUMBER(SEARCH("E-SOCIAL",C103)),ISNUMBER(SEARCH("PSICOSOCIAL",C103))),"eSocial / Psicossocial",IF(O103="Receita recorrente","Carteira recorrente","Projetos / Laudos / Avulsos"))))</f>
        <v/>
      </c>
      <c r="Q103" s="64">
        <f>IF(P103="","",IF(P103="Carteira recorrente","Operação recorrente",IF(P103="PCMSO","Projetos PCMSO",IF(P103="eSocial / Psicossocial","Projetos eSocial/Psicossocial","Projetos / Laudos / Avulsos"))))</f>
        <v/>
      </c>
      <c r="R103" s="64">
        <f>IF(C103="","",IF(ISNUMBER(SEARCH("PCMSO",C103)),"Título com PCMSO no nome",IF(OR(ISNUMBER(SEARCH("E-SOCIAL",C103)),ISNUMBER(SEARCH("PSICOSOCIAL",C103))),"Título com eSocial/Psicossocial no nome",IF(O103="Receita recorrente","Tipo DRE recorrente","Extra sem palavra-chave específica"))))</f>
        <v/>
      </c>
      <c r="S103" s="92">
        <f>IFERROR(VLOOKUP($A103,'13. Mapa Títulos-Receita'!$A$8:$P$1000,4,FALSE),"")</f>
        <v/>
      </c>
      <c r="T103" s="92">
        <f>IFERROR(VLOOKUP($A103,'13. Mapa Títulos-Receita'!$A$8:$P$1000,5,FALSE),"")</f>
        <v/>
      </c>
      <c r="U103" s="92">
        <f>IFERROR(VLOOKUP($A103,'13. Mapa Títulos-Receita'!$A$8:$P$1000,6,FALSE),"")</f>
        <v/>
      </c>
      <c r="V103" s="92">
        <f>IFERROR(VLOOKUP($A103,'13. Mapa Títulos-Receita'!$A$8:$P$1000,7,FALSE),"")</f>
        <v/>
      </c>
      <c r="W103" s="92">
        <f>IFERROR(VLOOKUP($A103,'13. Mapa Títulos-Receita'!$A$8:$P$1000,8,FALSE),"")</f>
        <v/>
      </c>
      <c r="X103" s="92">
        <f>IFERROR(VLOOKUP($A103,'13. Mapa Títulos-Receita'!$A$8:$P$1000,9,FALSE),"")</f>
        <v/>
      </c>
      <c r="Y103" s="92">
        <f>IFERROR(VLOOKUP($A103,'13. Mapa Títulos-Receita'!$A$8:$P$1000,10,FALSE),"")</f>
        <v/>
      </c>
      <c r="Z103" s="92">
        <f>IFERROR(VLOOKUP($A103,'13. Mapa Títulos-Receita'!$A$8:$P$1000,11,FALSE),"")</f>
        <v/>
      </c>
      <c r="AA103" s="92">
        <f>IFERROR(VLOOKUP($A103,'13. Mapa Títulos-Receita'!$A$8:$P$1000,12,FALSE),"")</f>
        <v/>
      </c>
      <c r="AB103" s="92">
        <f>IFERROR(VLOOKUP($A103,'13. Mapa Títulos-Receita'!$A$8:$P$1000,13,FALSE),"")</f>
        <v/>
      </c>
      <c r="AC103" s="92">
        <f>IFERROR(VLOOKUP($A103,'13. Mapa Títulos-Receita'!$A$8:$P$1000,14,FALSE),"")</f>
        <v/>
      </c>
      <c r="AD103" s="92">
        <f>IFERROR(VLOOKUP($A103,'13. Mapa Títulos-Receita'!$A$8:$P$1000,15,FALSE),"")</f>
        <v/>
      </c>
      <c r="AE103" s="92">
        <f>IFERROR(VLOOKUP($A103,'13. Mapa Títulos-Receita'!$A$8:$P$1000,16,FALSE),"")</f>
        <v/>
      </c>
    </row>
    <row r="104">
      <c r="A104" s="28">
        <f>IF(C104="","", "CR-"&amp;TEXT(ROW()-7,"000"))</f>
        <v/>
      </c>
      <c r="B104" s="28" t="n"/>
      <c r="C104" s="28" t="n"/>
      <c r="D104" s="111" t="n"/>
      <c r="E104" s="111" t="n"/>
      <c r="F104" s="111" t="n"/>
      <c r="G104" s="28" t="n"/>
      <c r="H104" s="45" t="n"/>
      <c r="I104" s="45" t="n"/>
      <c r="J104" s="28">
        <f>IF(H104="","",IF(I104&gt;=H104,"Recebido",IF($B$4&gt;E104,"Vencido","Aberto")))</f>
        <v/>
      </c>
      <c r="K104" s="4">
        <f>IF(J104="","",IF(OR(J104="Recebido",F104=""),MAX(0,F104-E104),MAX(0,$B$4-E104)))</f>
        <v/>
      </c>
      <c r="L104" s="4">
        <f>IF(K104="","",IF(K104=0,"Em dia",IF(K104&lt;=30,"1-30 dias",IF(K104&lt;=60,"31-60 dias",IF(K104&lt;=90,"61-90 dias","&gt;90 dias")))))</f>
        <v/>
      </c>
      <c r="M104" s="28" t="n"/>
      <c r="N104" s="104" t="inlineStr"/>
      <c r="O104" s="64" t="n"/>
      <c r="P104" s="64">
        <f>IF(C104="","",IF(ISNUMBER(SEARCH("PCMSO",C104)),"PCMSO",IF(OR(ISNUMBER(SEARCH("E-SOCIAL",C104)),ISNUMBER(SEARCH("PSICOSOCIAL",C104))),"eSocial / Psicossocial",IF(O104="Receita recorrente","Carteira recorrente","Projetos / Laudos / Avulsos"))))</f>
        <v/>
      </c>
      <c r="Q104" s="64">
        <f>IF(P104="","",IF(P104="Carteira recorrente","Operação recorrente",IF(P104="PCMSO","Projetos PCMSO",IF(P104="eSocial / Psicossocial","Projetos eSocial/Psicossocial","Projetos / Laudos / Avulsos"))))</f>
        <v/>
      </c>
      <c r="R104" s="64">
        <f>IF(C104="","",IF(ISNUMBER(SEARCH("PCMSO",C104)),"Título com PCMSO no nome",IF(OR(ISNUMBER(SEARCH("E-SOCIAL",C104)),ISNUMBER(SEARCH("PSICOSOCIAL",C104))),"Título com eSocial/Psicossocial no nome",IF(O104="Receita recorrente","Tipo DRE recorrente","Extra sem palavra-chave específica"))))</f>
        <v/>
      </c>
      <c r="S104" s="92">
        <f>IFERROR(VLOOKUP($A104,'13. Mapa Títulos-Receita'!$A$8:$P$1000,4,FALSE),"")</f>
        <v/>
      </c>
      <c r="T104" s="92">
        <f>IFERROR(VLOOKUP($A104,'13. Mapa Títulos-Receita'!$A$8:$P$1000,5,FALSE),"")</f>
        <v/>
      </c>
      <c r="U104" s="92">
        <f>IFERROR(VLOOKUP($A104,'13. Mapa Títulos-Receita'!$A$8:$P$1000,6,FALSE),"")</f>
        <v/>
      </c>
      <c r="V104" s="92">
        <f>IFERROR(VLOOKUP($A104,'13. Mapa Títulos-Receita'!$A$8:$P$1000,7,FALSE),"")</f>
        <v/>
      </c>
      <c r="W104" s="92">
        <f>IFERROR(VLOOKUP($A104,'13. Mapa Títulos-Receita'!$A$8:$P$1000,8,FALSE),"")</f>
        <v/>
      </c>
      <c r="X104" s="92">
        <f>IFERROR(VLOOKUP($A104,'13. Mapa Títulos-Receita'!$A$8:$P$1000,9,FALSE),"")</f>
        <v/>
      </c>
      <c r="Y104" s="92">
        <f>IFERROR(VLOOKUP($A104,'13. Mapa Títulos-Receita'!$A$8:$P$1000,10,FALSE),"")</f>
        <v/>
      </c>
      <c r="Z104" s="92">
        <f>IFERROR(VLOOKUP($A104,'13. Mapa Títulos-Receita'!$A$8:$P$1000,11,FALSE),"")</f>
        <v/>
      </c>
      <c r="AA104" s="92">
        <f>IFERROR(VLOOKUP($A104,'13. Mapa Títulos-Receita'!$A$8:$P$1000,12,FALSE),"")</f>
        <v/>
      </c>
      <c r="AB104" s="92">
        <f>IFERROR(VLOOKUP($A104,'13. Mapa Títulos-Receita'!$A$8:$P$1000,13,FALSE),"")</f>
        <v/>
      </c>
      <c r="AC104" s="92">
        <f>IFERROR(VLOOKUP($A104,'13. Mapa Títulos-Receita'!$A$8:$P$1000,14,FALSE),"")</f>
        <v/>
      </c>
      <c r="AD104" s="92">
        <f>IFERROR(VLOOKUP($A104,'13. Mapa Títulos-Receita'!$A$8:$P$1000,15,FALSE),"")</f>
        <v/>
      </c>
      <c r="AE104" s="92">
        <f>IFERROR(VLOOKUP($A104,'13. Mapa Títulos-Receita'!$A$8:$P$1000,16,FALSE),"")</f>
        <v/>
      </c>
    </row>
    <row r="105">
      <c r="A105" s="28">
        <f>IF(C105="","", "CR-"&amp;TEXT(ROW()-7,"000"))</f>
        <v/>
      </c>
      <c r="B105" s="28" t="n"/>
      <c r="C105" s="28" t="n"/>
      <c r="D105" s="111" t="n"/>
      <c r="E105" s="111" t="n"/>
      <c r="F105" s="111" t="n"/>
      <c r="G105" s="28" t="n"/>
      <c r="H105" s="45" t="n"/>
      <c r="I105" s="45" t="n"/>
      <c r="J105" s="28">
        <f>IF(H105="","",IF(I105&gt;=H105,"Recebido",IF($B$4&gt;E105,"Vencido","Aberto")))</f>
        <v/>
      </c>
      <c r="K105" s="4">
        <f>IF(J105="","",IF(OR(J105="Recebido",F105=""),MAX(0,F105-E105),MAX(0,$B$4-E105)))</f>
        <v/>
      </c>
      <c r="L105" s="4">
        <f>IF(K105="","",IF(K105=0,"Em dia",IF(K105&lt;=30,"1-30 dias",IF(K105&lt;=60,"31-60 dias",IF(K105&lt;=90,"61-90 dias","&gt;90 dias")))))</f>
        <v/>
      </c>
      <c r="M105" s="28" t="n"/>
      <c r="N105" s="104" t="inlineStr"/>
      <c r="O105" s="64" t="n"/>
      <c r="P105" s="64">
        <f>IF(C105="","",IF(ISNUMBER(SEARCH("PCMSO",C105)),"PCMSO",IF(OR(ISNUMBER(SEARCH("E-SOCIAL",C105)),ISNUMBER(SEARCH("PSICOSOCIAL",C105))),"eSocial / Psicossocial",IF(O105="Receita recorrente","Carteira recorrente","Projetos / Laudos / Avulsos"))))</f>
        <v/>
      </c>
      <c r="Q105" s="64">
        <f>IF(P105="","",IF(P105="Carteira recorrente","Operação recorrente",IF(P105="PCMSO","Projetos PCMSO",IF(P105="eSocial / Psicossocial","Projetos eSocial/Psicossocial","Projetos / Laudos / Avulsos"))))</f>
        <v/>
      </c>
      <c r="R105" s="64">
        <f>IF(C105="","",IF(ISNUMBER(SEARCH("PCMSO",C105)),"Título com PCMSO no nome",IF(OR(ISNUMBER(SEARCH("E-SOCIAL",C105)),ISNUMBER(SEARCH("PSICOSOCIAL",C105))),"Título com eSocial/Psicossocial no nome",IF(O105="Receita recorrente","Tipo DRE recorrente","Extra sem palavra-chave específica"))))</f>
        <v/>
      </c>
      <c r="S105" s="92">
        <f>IFERROR(VLOOKUP($A105,'13. Mapa Títulos-Receita'!$A$8:$P$1000,4,FALSE),"")</f>
        <v/>
      </c>
      <c r="T105" s="92">
        <f>IFERROR(VLOOKUP($A105,'13. Mapa Títulos-Receita'!$A$8:$P$1000,5,FALSE),"")</f>
        <v/>
      </c>
      <c r="U105" s="92">
        <f>IFERROR(VLOOKUP($A105,'13. Mapa Títulos-Receita'!$A$8:$P$1000,6,FALSE),"")</f>
        <v/>
      </c>
      <c r="V105" s="92">
        <f>IFERROR(VLOOKUP($A105,'13. Mapa Títulos-Receita'!$A$8:$P$1000,7,FALSE),"")</f>
        <v/>
      </c>
      <c r="W105" s="92">
        <f>IFERROR(VLOOKUP($A105,'13. Mapa Títulos-Receita'!$A$8:$P$1000,8,FALSE),"")</f>
        <v/>
      </c>
      <c r="X105" s="92">
        <f>IFERROR(VLOOKUP($A105,'13. Mapa Títulos-Receita'!$A$8:$P$1000,9,FALSE),"")</f>
        <v/>
      </c>
      <c r="Y105" s="92">
        <f>IFERROR(VLOOKUP($A105,'13. Mapa Títulos-Receita'!$A$8:$P$1000,10,FALSE),"")</f>
        <v/>
      </c>
      <c r="Z105" s="92">
        <f>IFERROR(VLOOKUP($A105,'13. Mapa Títulos-Receita'!$A$8:$P$1000,11,FALSE),"")</f>
        <v/>
      </c>
      <c r="AA105" s="92">
        <f>IFERROR(VLOOKUP($A105,'13. Mapa Títulos-Receita'!$A$8:$P$1000,12,FALSE),"")</f>
        <v/>
      </c>
      <c r="AB105" s="92">
        <f>IFERROR(VLOOKUP($A105,'13. Mapa Títulos-Receita'!$A$8:$P$1000,13,FALSE),"")</f>
        <v/>
      </c>
      <c r="AC105" s="92">
        <f>IFERROR(VLOOKUP($A105,'13. Mapa Títulos-Receita'!$A$8:$P$1000,14,FALSE),"")</f>
        <v/>
      </c>
      <c r="AD105" s="92">
        <f>IFERROR(VLOOKUP($A105,'13. Mapa Títulos-Receita'!$A$8:$P$1000,15,FALSE),"")</f>
        <v/>
      </c>
      <c r="AE105" s="92">
        <f>IFERROR(VLOOKUP($A105,'13. Mapa Títulos-Receita'!$A$8:$P$1000,16,FALSE),"")</f>
        <v/>
      </c>
    </row>
    <row r="106">
      <c r="A106" s="28">
        <f>IF(C106="","", "CR-"&amp;TEXT(ROW()-7,"000"))</f>
        <v/>
      </c>
      <c r="B106" s="28" t="n"/>
      <c r="C106" s="28" t="n"/>
      <c r="D106" s="111" t="n"/>
      <c r="E106" s="111" t="n"/>
      <c r="F106" s="111" t="n"/>
      <c r="G106" s="28" t="n"/>
      <c r="H106" s="45" t="n"/>
      <c r="I106" s="45" t="n"/>
      <c r="J106" s="28">
        <f>IF(H106="","",IF(I106&gt;=H106,"Recebido",IF($B$4&gt;E106,"Vencido","Aberto")))</f>
        <v/>
      </c>
      <c r="K106" s="4">
        <f>IF(J106="","",IF(OR(J106="Recebido",F106=""),MAX(0,F106-E106),MAX(0,$B$4-E106)))</f>
        <v/>
      </c>
      <c r="L106" s="4">
        <f>IF(K106="","",IF(K106=0,"Em dia",IF(K106&lt;=30,"1-30 dias",IF(K106&lt;=60,"31-60 dias",IF(K106&lt;=90,"61-90 dias","&gt;90 dias")))))</f>
        <v/>
      </c>
      <c r="M106" s="28" t="n"/>
      <c r="N106" s="104" t="inlineStr"/>
      <c r="O106" s="64" t="n"/>
      <c r="P106" s="64">
        <f>IF(C106="","",IF(ISNUMBER(SEARCH("PCMSO",C106)),"PCMSO",IF(OR(ISNUMBER(SEARCH("E-SOCIAL",C106)),ISNUMBER(SEARCH("PSICOSOCIAL",C106))),"eSocial / Psicossocial",IF(O106="Receita recorrente","Carteira recorrente","Projetos / Laudos / Avulsos"))))</f>
        <v/>
      </c>
      <c r="Q106" s="64">
        <f>IF(P106="","",IF(P106="Carteira recorrente","Operação recorrente",IF(P106="PCMSO","Projetos PCMSO",IF(P106="eSocial / Psicossocial","Projetos eSocial/Psicossocial","Projetos / Laudos / Avulsos"))))</f>
        <v/>
      </c>
      <c r="R106" s="64">
        <f>IF(C106="","",IF(ISNUMBER(SEARCH("PCMSO",C106)),"Título com PCMSO no nome",IF(OR(ISNUMBER(SEARCH("E-SOCIAL",C106)),ISNUMBER(SEARCH("PSICOSOCIAL",C106))),"Título com eSocial/Psicossocial no nome",IF(O106="Receita recorrente","Tipo DRE recorrente","Extra sem palavra-chave específica"))))</f>
        <v/>
      </c>
      <c r="S106" s="92">
        <f>IFERROR(VLOOKUP($A106,'13. Mapa Títulos-Receita'!$A$8:$P$1000,4,FALSE),"")</f>
        <v/>
      </c>
      <c r="T106" s="92">
        <f>IFERROR(VLOOKUP($A106,'13. Mapa Títulos-Receita'!$A$8:$P$1000,5,FALSE),"")</f>
        <v/>
      </c>
      <c r="U106" s="92">
        <f>IFERROR(VLOOKUP($A106,'13. Mapa Títulos-Receita'!$A$8:$P$1000,6,FALSE),"")</f>
        <v/>
      </c>
      <c r="V106" s="92">
        <f>IFERROR(VLOOKUP($A106,'13. Mapa Títulos-Receita'!$A$8:$P$1000,7,FALSE),"")</f>
        <v/>
      </c>
      <c r="W106" s="92">
        <f>IFERROR(VLOOKUP($A106,'13. Mapa Títulos-Receita'!$A$8:$P$1000,8,FALSE),"")</f>
        <v/>
      </c>
      <c r="X106" s="92">
        <f>IFERROR(VLOOKUP($A106,'13. Mapa Títulos-Receita'!$A$8:$P$1000,9,FALSE),"")</f>
        <v/>
      </c>
      <c r="Y106" s="92">
        <f>IFERROR(VLOOKUP($A106,'13. Mapa Títulos-Receita'!$A$8:$P$1000,10,FALSE),"")</f>
        <v/>
      </c>
      <c r="Z106" s="92">
        <f>IFERROR(VLOOKUP($A106,'13. Mapa Títulos-Receita'!$A$8:$P$1000,11,FALSE),"")</f>
        <v/>
      </c>
      <c r="AA106" s="92">
        <f>IFERROR(VLOOKUP($A106,'13. Mapa Títulos-Receita'!$A$8:$P$1000,12,FALSE),"")</f>
        <v/>
      </c>
      <c r="AB106" s="92">
        <f>IFERROR(VLOOKUP($A106,'13. Mapa Títulos-Receita'!$A$8:$P$1000,13,FALSE),"")</f>
        <v/>
      </c>
      <c r="AC106" s="92">
        <f>IFERROR(VLOOKUP($A106,'13. Mapa Títulos-Receita'!$A$8:$P$1000,14,FALSE),"")</f>
        <v/>
      </c>
      <c r="AD106" s="92">
        <f>IFERROR(VLOOKUP($A106,'13. Mapa Títulos-Receita'!$A$8:$P$1000,15,FALSE),"")</f>
        <v/>
      </c>
      <c r="AE106" s="92">
        <f>IFERROR(VLOOKUP($A106,'13. Mapa Títulos-Receita'!$A$8:$P$1000,16,FALSE),"")</f>
        <v/>
      </c>
    </row>
    <row r="107">
      <c r="A107" s="28">
        <f>IF(C107="","", "CR-"&amp;TEXT(ROW()-7,"000"))</f>
        <v/>
      </c>
      <c r="B107" s="28" t="n"/>
      <c r="C107" s="28" t="n"/>
      <c r="D107" s="111" t="n"/>
      <c r="E107" s="111" t="n"/>
      <c r="F107" s="111" t="n"/>
      <c r="G107" s="28" t="n"/>
      <c r="H107" s="45" t="n"/>
      <c r="I107" s="45" t="n"/>
      <c r="J107" s="28">
        <f>IF(H107="","",IF(I107&gt;=H107,"Recebido",IF($B$4&gt;E107,"Vencido","Aberto")))</f>
        <v/>
      </c>
      <c r="K107" s="4">
        <f>IF(J107="","",IF(OR(J107="Recebido",F107=""),MAX(0,F107-E107),MAX(0,$B$4-E107)))</f>
        <v/>
      </c>
      <c r="L107" s="4">
        <f>IF(K107="","",IF(K107=0,"Em dia",IF(K107&lt;=30,"1-30 dias",IF(K107&lt;=60,"31-60 dias",IF(K107&lt;=90,"61-90 dias","&gt;90 dias")))))</f>
        <v/>
      </c>
      <c r="M107" s="28" t="n"/>
      <c r="N107" s="104" t="inlineStr"/>
      <c r="O107" s="64" t="n"/>
      <c r="P107" s="64">
        <f>IF(C107="","",IF(ISNUMBER(SEARCH("PCMSO",C107)),"PCMSO",IF(OR(ISNUMBER(SEARCH("E-SOCIAL",C107)),ISNUMBER(SEARCH("PSICOSOCIAL",C107))),"eSocial / Psicossocial",IF(O107="Receita recorrente","Carteira recorrente","Projetos / Laudos / Avulsos"))))</f>
        <v/>
      </c>
      <c r="Q107" s="64">
        <f>IF(P107="","",IF(P107="Carteira recorrente","Operação recorrente",IF(P107="PCMSO","Projetos PCMSO",IF(P107="eSocial / Psicossocial","Projetos eSocial/Psicossocial","Projetos / Laudos / Avulsos"))))</f>
        <v/>
      </c>
      <c r="R107" s="64">
        <f>IF(C107="","",IF(ISNUMBER(SEARCH("PCMSO",C107)),"Título com PCMSO no nome",IF(OR(ISNUMBER(SEARCH("E-SOCIAL",C107)),ISNUMBER(SEARCH("PSICOSOCIAL",C107))),"Título com eSocial/Psicossocial no nome",IF(O107="Receita recorrente","Tipo DRE recorrente","Extra sem palavra-chave específica"))))</f>
        <v/>
      </c>
      <c r="S107" s="92">
        <f>IFERROR(VLOOKUP($A107,'13. Mapa Títulos-Receita'!$A$8:$P$1000,4,FALSE),"")</f>
        <v/>
      </c>
      <c r="T107" s="92">
        <f>IFERROR(VLOOKUP($A107,'13. Mapa Títulos-Receita'!$A$8:$P$1000,5,FALSE),"")</f>
        <v/>
      </c>
      <c r="U107" s="92">
        <f>IFERROR(VLOOKUP($A107,'13. Mapa Títulos-Receita'!$A$8:$P$1000,6,FALSE),"")</f>
        <v/>
      </c>
      <c r="V107" s="92">
        <f>IFERROR(VLOOKUP($A107,'13. Mapa Títulos-Receita'!$A$8:$P$1000,7,FALSE),"")</f>
        <v/>
      </c>
      <c r="W107" s="92">
        <f>IFERROR(VLOOKUP($A107,'13. Mapa Títulos-Receita'!$A$8:$P$1000,8,FALSE),"")</f>
        <v/>
      </c>
      <c r="X107" s="92">
        <f>IFERROR(VLOOKUP($A107,'13. Mapa Títulos-Receita'!$A$8:$P$1000,9,FALSE),"")</f>
        <v/>
      </c>
      <c r="Y107" s="92">
        <f>IFERROR(VLOOKUP($A107,'13. Mapa Títulos-Receita'!$A$8:$P$1000,10,FALSE),"")</f>
        <v/>
      </c>
      <c r="Z107" s="92">
        <f>IFERROR(VLOOKUP($A107,'13. Mapa Títulos-Receita'!$A$8:$P$1000,11,FALSE),"")</f>
        <v/>
      </c>
      <c r="AA107" s="92">
        <f>IFERROR(VLOOKUP($A107,'13. Mapa Títulos-Receita'!$A$8:$P$1000,12,FALSE),"")</f>
        <v/>
      </c>
      <c r="AB107" s="92">
        <f>IFERROR(VLOOKUP($A107,'13. Mapa Títulos-Receita'!$A$8:$P$1000,13,FALSE),"")</f>
        <v/>
      </c>
      <c r="AC107" s="92">
        <f>IFERROR(VLOOKUP($A107,'13. Mapa Títulos-Receita'!$A$8:$P$1000,14,FALSE),"")</f>
        <v/>
      </c>
      <c r="AD107" s="92">
        <f>IFERROR(VLOOKUP($A107,'13. Mapa Títulos-Receita'!$A$8:$P$1000,15,FALSE),"")</f>
        <v/>
      </c>
      <c r="AE107" s="92">
        <f>IFERROR(VLOOKUP($A107,'13. Mapa Títulos-Receita'!$A$8:$P$1000,16,FALSE),"")</f>
        <v/>
      </c>
    </row>
    <row r="108">
      <c r="A108" s="28">
        <f>IF(C108="","", "CR-"&amp;TEXT(ROW()-7,"000"))</f>
        <v/>
      </c>
      <c r="B108" s="28" t="n"/>
      <c r="C108" s="28" t="n"/>
      <c r="D108" s="111" t="n"/>
      <c r="E108" s="111" t="n"/>
      <c r="F108" s="111" t="n"/>
      <c r="G108" s="28" t="n"/>
      <c r="H108" s="45" t="n"/>
      <c r="I108" s="45" t="n"/>
      <c r="J108" s="28">
        <f>IF(H108="","",IF(I108&gt;=H108,"Recebido",IF($B$4&gt;E108,"Vencido","Aberto")))</f>
        <v/>
      </c>
      <c r="K108" s="4">
        <f>IF(J108="","",IF(OR(J108="Recebido",F108=""),MAX(0,F108-E108),MAX(0,$B$4-E108)))</f>
        <v/>
      </c>
      <c r="L108" s="4">
        <f>IF(K108="","",IF(K108=0,"Em dia",IF(K108&lt;=30,"1-30 dias",IF(K108&lt;=60,"31-60 dias",IF(K108&lt;=90,"61-90 dias","&gt;90 dias")))))</f>
        <v/>
      </c>
      <c r="M108" s="28" t="n"/>
      <c r="N108" s="104" t="inlineStr"/>
      <c r="O108" s="64" t="n"/>
      <c r="P108" s="64">
        <f>IF(C108="","",IF(ISNUMBER(SEARCH("PCMSO",C108)),"PCMSO",IF(OR(ISNUMBER(SEARCH("E-SOCIAL",C108)),ISNUMBER(SEARCH("PSICOSOCIAL",C108))),"eSocial / Psicossocial",IF(O108="Receita recorrente","Carteira recorrente","Projetos / Laudos / Avulsos"))))</f>
        <v/>
      </c>
      <c r="Q108" s="64">
        <f>IF(P108="","",IF(P108="Carteira recorrente","Operação recorrente",IF(P108="PCMSO","Projetos PCMSO",IF(P108="eSocial / Psicossocial","Projetos eSocial/Psicossocial","Projetos / Laudos / Avulsos"))))</f>
        <v/>
      </c>
      <c r="R108" s="64">
        <f>IF(C108="","",IF(ISNUMBER(SEARCH("PCMSO",C108)),"Título com PCMSO no nome",IF(OR(ISNUMBER(SEARCH("E-SOCIAL",C108)),ISNUMBER(SEARCH("PSICOSOCIAL",C108))),"Título com eSocial/Psicossocial no nome",IF(O108="Receita recorrente","Tipo DRE recorrente","Extra sem palavra-chave específica"))))</f>
        <v/>
      </c>
      <c r="S108" s="92">
        <f>IFERROR(VLOOKUP($A108,'13. Mapa Títulos-Receita'!$A$8:$P$1000,4,FALSE),"")</f>
        <v/>
      </c>
      <c r="T108" s="92">
        <f>IFERROR(VLOOKUP($A108,'13. Mapa Títulos-Receita'!$A$8:$P$1000,5,FALSE),"")</f>
        <v/>
      </c>
      <c r="U108" s="92">
        <f>IFERROR(VLOOKUP($A108,'13. Mapa Títulos-Receita'!$A$8:$P$1000,6,FALSE),"")</f>
        <v/>
      </c>
      <c r="V108" s="92">
        <f>IFERROR(VLOOKUP($A108,'13. Mapa Títulos-Receita'!$A$8:$P$1000,7,FALSE),"")</f>
        <v/>
      </c>
      <c r="W108" s="92">
        <f>IFERROR(VLOOKUP($A108,'13. Mapa Títulos-Receita'!$A$8:$P$1000,8,FALSE),"")</f>
        <v/>
      </c>
      <c r="X108" s="92">
        <f>IFERROR(VLOOKUP($A108,'13. Mapa Títulos-Receita'!$A$8:$P$1000,9,FALSE),"")</f>
        <v/>
      </c>
      <c r="Y108" s="92">
        <f>IFERROR(VLOOKUP($A108,'13. Mapa Títulos-Receita'!$A$8:$P$1000,10,FALSE),"")</f>
        <v/>
      </c>
      <c r="Z108" s="92">
        <f>IFERROR(VLOOKUP($A108,'13. Mapa Títulos-Receita'!$A$8:$P$1000,11,FALSE),"")</f>
        <v/>
      </c>
      <c r="AA108" s="92">
        <f>IFERROR(VLOOKUP($A108,'13. Mapa Títulos-Receita'!$A$8:$P$1000,12,FALSE),"")</f>
        <v/>
      </c>
      <c r="AB108" s="92">
        <f>IFERROR(VLOOKUP($A108,'13. Mapa Títulos-Receita'!$A$8:$P$1000,13,FALSE),"")</f>
        <v/>
      </c>
      <c r="AC108" s="92">
        <f>IFERROR(VLOOKUP($A108,'13. Mapa Títulos-Receita'!$A$8:$P$1000,14,FALSE),"")</f>
        <v/>
      </c>
      <c r="AD108" s="92">
        <f>IFERROR(VLOOKUP($A108,'13. Mapa Títulos-Receita'!$A$8:$P$1000,15,FALSE),"")</f>
        <v/>
      </c>
      <c r="AE108" s="92">
        <f>IFERROR(VLOOKUP($A108,'13. Mapa Títulos-Receita'!$A$8:$P$1000,16,FALSE),"")</f>
        <v/>
      </c>
    </row>
    <row r="109">
      <c r="A109" s="28">
        <f>IF(C109="","", "CR-"&amp;TEXT(ROW()-7,"000"))</f>
        <v/>
      </c>
      <c r="B109" s="28" t="n"/>
      <c r="C109" s="28" t="n"/>
      <c r="D109" s="111" t="n"/>
      <c r="E109" s="111" t="n"/>
      <c r="F109" s="111" t="n"/>
      <c r="G109" s="28" t="n"/>
      <c r="H109" s="45" t="n"/>
      <c r="I109" s="45" t="n"/>
      <c r="J109" s="28">
        <f>IF(H109="","",IF(I109&gt;=H109,"Recebido",IF($B$4&gt;E109,"Vencido","Aberto")))</f>
        <v/>
      </c>
      <c r="K109" s="4">
        <f>IF(J109="","",IF(OR(J109="Recebido",F109=""),MAX(0,F109-E109),MAX(0,$B$4-E109)))</f>
        <v/>
      </c>
      <c r="L109" s="4">
        <f>IF(K109="","",IF(K109=0,"Em dia",IF(K109&lt;=30,"1-30 dias",IF(K109&lt;=60,"31-60 dias",IF(K109&lt;=90,"61-90 dias","&gt;90 dias")))))</f>
        <v/>
      </c>
      <c r="M109" s="28" t="n"/>
      <c r="N109" s="104" t="inlineStr"/>
      <c r="O109" s="64" t="n"/>
      <c r="P109" s="64">
        <f>IF(C109="","",IF(ISNUMBER(SEARCH("PCMSO",C109)),"PCMSO",IF(OR(ISNUMBER(SEARCH("E-SOCIAL",C109)),ISNUMBER(SEARCH("PSICOSOCIAL",C109))),"eSocial / Psicossocial",IF(O109="Receita recorrente","Carteira recorrente","Projetos / Laudos / Avulsos"))))</f>
        <v/>
      </c>
      <c r="Q109" s="64">
        <f>IF(P109="","",IF(P109="Carteira recorrente","Operação recorrente",IF(P109="PCMSO","Projetos PCMSO",IF(P109="eSocial / Psicossocial","Projetos eSocial/Psicossocial","Projetos / Laudos / Avulsos"))))</f>
        <v/>
      </c>
      <c r="R109" s="64">
        <f>IF(C109="","",IF(ISNUMBER(SEARCH("PCMSO",C109)),"Título com PCMSO no nome",IF(OR(ISNUMBER(SEARCH("E-SOCIAL",C109)),ISNUMBER(SEARCH("PSICOSOCIAL",C109))),"Título com eSocial/Psicossocial no nome",IF(O109="Receita recorrente","Tipo DRE recorrente","Extra sem palavra-chave específica"))))</f>
        <v/>
      </c>
      <c r="S109" s="92">
        <f>IFERROR(VLOOKUP($A109,'13. Mapa Títulos-Receita'!$A$8:$P$1000,4,FALSE),"")</f>
        <v/>
      </c>
      <c r="T109" s="92">
        <f>IFERROR(VLOOKUP($A109,'13. Mapa Títulos-Receita'!$A$8:$P$1000,5,FALSE),"")</f>
        <v/>
      </c>
      <c r="U109" s="92">
        <f>IFERROR(VLOOKUP($A109,'13. Mapa Títulos-Receita'!$A$8:$P$1000,6,FALSE),"")</f>
        <v/>
      </c>
      <c r="V109" s="92">
        <f>IFERROR(VLOOKUP($A109,'13. Mapa Títulos-Receita'!$A$8:$P$1000,7,FALSE),"")</f>
        <v/>
      </c>
      <c r="W109" s="92">
        <f>IFERROR(VLOOKUP($A109,'13. Mapa Títulos-Receita'!$A$8:$P$1000,8,FALSE),"")</f>
        <v/>
      </c>
      <c r="X109" s="92">
        <f>IFERROR(VLOOKUP($A109,'13. Mapa Títulos-Receita'!$A$8:$P$1000,9,FALSE),"")</f>
        <v/>
      </c>
      <c r="Y109" s="92">
        <f>IFERROR(VLOOKUP($A109,'13. Mapa Títulos-Receita'!$A$8:$P$1000,10,FALSE),"")</f>
        <v/>
      </c>
      <c r="Z109" s="92">
        <f>IFERROR(VLOOKUP($A109,'13. Mapa Títulos-Receita'!$A$8:$P$1000,11,FALSE),"")</f>
        <v/>
      </c>
      <c r="AA109" s="92">
        <f>IFERROR(VLOOKUP($A109,'13. Mapa Títulos-Receita'!$A$8:$P$1000,12,FALSE),"")</f>
        <v/>
      </c>
      <c r="AB109" s="92">
        <f>IFERROR(VLOOKUP($A109,'13. Mapa Títulos-Receita'!$A$8:$P$1000,13,FALSE),"")</f>
        <v/>
      </c>
      <c r="AC109" s="92">
        <f>IFERROR(VLOOKUP($A109,'13. Mapa Títulos-Receita'!$A$8:$P$1000,14,FALSE),"")</f>
        <v/>
      </c>
      <c r="AD109" s="92">
        <f>IFERROR(VLOOKUP($A109,'13. Mapa Títulos-Receita'!$A$8:$P$1000,15,FALSE),"")</f>
        <v/>
      </c>
      <c r="AE109" s="92">
        <f>IFERROR(VLOOKUP($A109,'13. Mapa Títulos-Receita'!$A$8:$P$1000,16,FALSE),"")</f>
        <v/>
      </c>
    </row>
    <row r="110">
      <c r="A110" s="28">
        <f>IF(C110="","", "CR-"&amp;TEXT(ROW()-7,"000"))</f>
        <v/>
      </c>
      <c r="B110" s="28" t="n"/>
      <c r="C110" s="28" t="n"/>
      <c r="D110" s="111" t="n"/>
      <c r="E110" s="111" t="n"/>
      <c r="F110" s="111" t="n"/>
      <c r="G110" s="28" t="n"/>
      <c r="H110" s="45" t="n"/>
      <c r="I110" s="45" t="n"/>
      <c r="J110" s="28">
        <f>IF(H110="","",IF(I110&gt;=H110,"Recebido",IF($B$4&gt;E110,"Vencido","Aberto")))</f>
        <v/>
      </c>
      <c r="K110" s="4">
        <f>IF(J110="","",IF(OR(J110="Recebido",F110=""),MAX(0,F110-E110),MAX(0,$B$4-E110)))</f>
        <v/>
      </c>
      <c r="L110" s="4">
        <f>IF(K110="","",IF(K110=0,"Em dia",IF(K110&lt;=30,"1-30 dias",IF(K110&lt;=60,"31-60 dias",IF(K110&lt;=90,"61-90 dias","&gt;90 dias")))))</f>
        <v/>
      </c>
      <c r="M110" s="28" t="n"/>
      <c r="N110" s="104" t="inlineStr"/>
      <c r="O110" s="64" t="n"/>
      <c r="P110" s="64">
        <f>IF(C110="","",IF(ISNUMBER(SEARCH("PCMSO",C110)),"PCMSO",IF(OR(ISNUMBER(SEARCH("E-SOCIAL",C110)),ISNUMBER(SEARCH("PSICOSOCIAL",C110))),"eSocial / Psicossocial",IF(O110="Receita recorrente","Carteira recorrente","Projetos / Laudos / Avulsos"))))</f>
        <v/>
      </c>
      <c r="Q110" s="64">
        <f>IF(P110="","",IF(P110="Carteira recorrente","Operação recorrente",IF(P110="PCMSO","Projetos PCMSO",IF(P110="eSocial / Psicossocial","Projetos eSocial/Psicossocial","Projetos / Laudos / Avulsos"))))</f>
        <v/>
      </c>
      <c r="R110" s="64">
        <f>IF(C110="","",IF(ISNUMBER(SEARCH("PCMSO",C110)),"Título com PCMSO no nome",IF(OR(ISNUMBER(SEARCH("E-SOCIAL",C110)),ISNUMBER(SEARCH("PSICOSOCIAL",C110))),"Título com eSocial/Psicossocial no nome",IF(O110="Receita recorrente","Tipo DRE recorrente","Extra sem palavra-chave específica"))))</f>
        <v/>
      </c>
      <c r="S110" s="92">
        <f>IFERROR(VLOOKUP($A110,'13. Mapa Títulos-Receita'!$A$8:$P$1000,4,FALSE),"")</f>
        <v/>
      </c>
      <c r="T110" s="92">
        <f>IFERROR(VLOOKUP($A110,'13. Mapa Títulos-Receita'!$A$8:$P$1000,5,FALSE),"")</f>
        <v/>
      </c>
      <c r="U110" s="92">
        <f>IFERROR(VLOOKUP($A110,'13. Mapa Títulos-Receita'!$A$8:$P$1000,6,FALSE),"")</f>
        <v/>
      </c>
      <c r="V110" s="92">
        <f>IFERROR(VLOOKUP($A110,'13. Mapa Títulos-Receita'!$A$8:$P$1000,7,FALSE),"")</f>
        <v/>
      </c>
      <c r="W110" s="92">
        <f>IFERROR(VLOOKUP($A110,'13. Mapa Títulos-Receita'!$A$8:$P$1000,8,FALSE),"")</f>
        <v/>
      </c>
      <c r="X110" s="92">
        <f>IFERROR(VLOOKUP($A110,'13. Mapa Títulos-Receita'!$A$8:$P$1000,9,FALSE),"")</f>
        <v/>
      </c>
      <c r="Y110" s="92">
        <f>IFERROR(VLOOKUP($A110,'13. Mapa Títulos-Receita'!$A$8:$P$1000,10,FALSE),"")</f>
        <v/>
      </c>
      <c r="Z110" s="92">
        <f>IFERROR(VLOOKUP($A110,'13. Mapa Títulos-Receita'!$A$8:$P$1000,11,FALSE),"")</f>
        <v/>
      </c>
      <c r="AA110" s="92">
        <f>IFERROR(VLOOKUP($A110,'13. Mapa Títulos-Receita'!$A$8:$P$1000,12,FALSE),"")</f>
        <v/>
      </c>
      <c r="AB110" s="92">
        <f>IFERROR(VLOOKUP($A110,'13. Mapa Títulos-Receita'!$A$8:$P$1000,13,FALSE),"")</f>
        <v/>
      </c>
      <c r="AC110" s="92">
        <f>IFERROR(VLOOKUP($A110,'13. Mapa Títulos-Receita'!$A$8:$P$1000,14,FALSE),"")</f>
        <v/>
      </c>
      <c r="AD110" s="92">
        <f>IFERROR(VLOOKUP($A110,'13. Mapa Títulos-Receita'!$A$8:$P$1000,15,FALSE),"")</f>
        <v/>
      </c>
      <c r="AE110" s="92">
        <f>IFERROR(VLOOKUP($A110,'13. Mapa Títulos-Receita'!$A$8:$P$1000,16,FALSE),"")</f>
        <v/>
      </c>
    </row>
    <row r="111">
      <c r="A111" s="28">
        <f>IF(C111="","", "CR-"&amp;TEXT(ROW()-7,"000"))</f>
        <v/>
      </c>
      <c r="B111" s="28" t="n"/>
      <c r="C111" s="28" t="n"/>
      <c r="D111" s="111" t="n"/>
      <c r="E111" s="111" t="n"/>
      <c r="F111" s="111" t="n"/>
      <c r="G111" s="28" t="n"/>
      <c r="H111" s="45" t="n"/>
      <c r="I111" s="45" t="n"/>
      <c r="J111" s="28">
        <f>IF(H111="","",IF(I111&gt;=H111,"Recebido",IF($B$4&gt;E111,"Vencido","Aberto")))</f>
        <v/>
      </c>
      <c r="K111" s="4">
        <f>IF(J111="","",IF(OR(J111="Recebido",F111=""),MAX(0,F111-E111),MAX(0,$B$4-E111)))</f>
        <v/>
      </c>
      <c r="L111" s="4">
        <f>IF(K111="","",IF(K111=0,"Em dia",IF(K111&lt;=30,"1-30 dias",IF(K111&lt;=60,"31-60 dias",IF(K111&lt;=90,"61-90 dias","&gt;90 dias")))))</f>
        <v/>
      </c>
      <c r="M111" s="28" t="n"/>
      <c r="N111" s="104" t="inlineStr"/>
      <c r="O111" s="64" t="n"/>
      <c r="P111" s="64">
        <f>IF(C111="","",IF(ISNUMBER(SEARCH("PCMSO",C111)),"PCMSO",IF(OR(ISNUMBER(SEARCH("E-SOCIAL",C111)),ISNUMBER(SEARCH("PSICOSOCIAL",C111))),"eSocial / Psicossocial",IF(O111="Receita recorrente","Carteira recorrente","Projetos / Laudos / Avulsos"))))</f>
        <v/>
      </c>
      <c r="Q111" s="64">
        <f>IF(P111="","",IF(P111="Carteira recorrente","Operação recorrente",IF(P111="PCMSO","Projetos PCMSO",IF(P111="eSocial / Psicossocial","Projetos eSocial/Psicossocial","Projetos / Laudos / Avulsos"))))</f>
        <v/>
      </c>
      <c r="R111" s="64">
        <f>IF(C111="","",IF(ISNUMBER(SEARCH("PCMSO",C111)),"Título com PCMSO no nome",IF(OR(ISNUMBER(SEARCH("E-SOCIAL",C111)),ISNUMBER(SEARCH("PSICOSOCIAL",C111))),"Título com eSocial/Psicossocial no nome",IF(O111="Receita recorrente","Tipo DRE recorrente","Extra sem palavra-chave específica"))))</f>
        <v/>
      </c>
      <c r="S111" s="92">
        <f>IFERROR(VLOOKUP($A111,'13. Mapa Títulos-Receita'!$A$8:$P$1000,4,FALSE),"")</f>
        <v/>
      </c>
      <c r="T111" s="92">
        <f>IFERROR(VLOOKUP($A111,'13. Mapa Títulos-Receita'!$A$8:$P$1000,5,FALSE),"")</f>
        <v/>
      </c>
      <c r="U111" s="92">
        <f>IFERROR(VLOOKUP($A111,'13. Mapa Títulos-Receita'!$A$8:$P$1000,6,FALSE),"")</f>
        <v/>
      </c>
      <c r="V111" s="92">
        <f>IFERROR(VLOOKUP($A111,'13. Mapa Títulos-Receita'!$A$8:$P$1000,7,FALSE),"")</f>
        <v/>
      </c>
      <c r="W111" s="92">
        <f>IFERROR(VLOOKUP($A111,'13. Mapa Títulos-Receita'!$A$8:$P$1000,8,FALSE),"")</f>
        <v/>
      </c>
      <c r="X111" s="92">
        <f>IFERROR(VLOOKUP($A111,'13. Mapa Títulos-Receita'!$A$8:$P$1000,9,FALSE),"")</f>
        <v/>
      </c>
      <c r="Y111" s="92">
        <f>IFERROR(VLOOKUP($A111,'13. Mapa Títulos-Receita'!$A$8:$P$1000,10,FALSE),"")</f>
        <v/>
      </c>
      <c r="Z111" s="92">
        <f>IFERROR(VLOOKUP($A111,'13. Mapa Títulos-Receita'!$A$8:$P$1000,11,FALSE),"")</f>
        <v/>
      </c>
      <c r="AA111" s="92">
        <f>IFERROR(VLOOKUP($A111,'13. Mapa Títulos-Receita'!$A$8:$P$1000,12,FALSE),"")</f>
        <v/>
      </c>
      <c r="AB111" s="92">
        <f>IFERROR(VLOOKUP($A111,'13. Mapa Títulos-Receita'!$A$8:$P$1000,13,FALSE),"")</f>
        <v/>
      </c>
      <c r="AC111" s="92">
        <f>IFERROR(VLOOKUP($A111,'13. Mapa Títulos-Receita'!$A$8:$P$1000,14,FALSE),"")</f>
        <v/>
      </c>
      <c r="AD111" s="92">
        <f>IFERROR(VLOOKUP($A111,'13. Mapa Títulos-Receita'!$A$8:$P$1000,15,FALSE),"")</f>
        <v/>
      </c>
      <c r="AE111" s="92">
        <f>IFERROR(VLOOKUP($A111,'13. Mapa Títulos-Receita'!$A$8:$P$1000,16,FALSE),"")</f>
        <v/>
      </c>
    </row>
    <row r="112">
      <c r="A112" s="28">
        <f>IF(C112="","", "CR-"&amp;TEXT(ROW()-7,"000"))</f>
        <v/>
      </c>
      <c r="B112" s="28" t="n"/>
      <c r="C112" s="28" t="n"/>
      <c r="D112" s="111" t="n"/>
      <c r="E112" s="111" t="n"/>
      <c r="F112" s="111" t="n"/>
      <c r="G112" s="28" t="n"/>
      <c r="H112" s="45" t="n"/>
      <c r="I112" s="45" t="n"/>
      <c r="J112" s="28">
        <f>IF(H112="","",IF(I112&gt;=H112,"Recebido",IF($B$4&gt;E112,"Vencido","Aberto")))</f>
        <v/>
      </c>
      <c r="K112" s="4">
        <f>IF(J112="","",IF(OR(J112="Recebido",F112=""),MAX(0,F112-E112),MAX(0,$B$4-E112)))</f>
        <v/>
      </c>
      <c r="L112" s="4">
        <f>IF(K112="","",IF(K112=0,"Em dia",IF(K112&lt;=30,"1-30 dias",IF(K112&lt;=60,"31-60 dias",IF(K112&lt;=90,"61-90 dias","&gt;90 dias")))))</f>
        <v/>
      </c>
      <c r="M112" s="28" t="n"/>
      <c r="N112" s="104" t="inlineStr"/>
      <c r="O112" s="64" t="n"/>
      <c r="P112" s="64">
        <f>IF(C112="","",IF(ISNUMBER(SEARCH("PCMSO",C112)),"PCMSO",IF(OR(ISNUMBER(SEARCH("E-SOCIAL",C112)),ISNUMBER(SEARCH("PSICOSOCIAL",C112))),"eSocial / Psicossocial",IF(O112="Receita recorrente","Carteira recorrente","Projetos / Laudos / Avulsos"))))</f>
        <v/>
      </c>
      <c r="Q112" s="64">
        <f>IF(P112="","",IF(P112="Carteira recorrente","Operação recorrente",IF(P112="PCMSO","Projetos PCMSO",IF(P112="eSocial / Psicossocial","Projetos eSocial/Psicossocial","Projetos / Laudos / Avulsos"))))</f>
        <v/>
      </c>
      <c r="R112" s="64">
        <f>IF(C112="","",IF(ISNUMBER(SEARCH("PCMSO",C112)),"Título com PCMSO no nome",IF(OR(ISNUMBER(SEARCH("E-SOCIAL",C112)),ISNUMBER(SEARCH("PSICOSOCIAL",C112))),"Título com eSocial/Psicossocial no nome",IF(O112="Receita recorrente","Tipo DRE recorrente","Extra sem palavra-chave específica"))))</f>
        <v/>
      </c>
      <c r="S112" s="92">
        <f>IFERROR(VLOOKUP($A112,'13. Mapa Títulos-Receita'!$A$8:$P$1000,4,FALSE),"")</f>
        <v/>
      </c>
      <c r="T112" s="92">
        <f>IFERROR(VLOOKUP($A112,'13. Mapa Títulos-Receita'!$A$8:$P$1000,5,FALSE),"")</f>
        <v/>
      </c>
      <c r="U112" s="92">
        <f>IFERROR(VLOOKUP($A112,'13. Mapa Títulos-Receita'!$A$8:$P$1000,6,FALSE),"")</f>
        <v/>
      </c>
      <c r="V112" s="92">
        <f>IFERROR(VLOOKUP($A112,'13. Mapa Títulos-Receita'!$A$8:$P$1000,7,FALSE),"")</f>
        <v/>
      </c>
      <c r="W112" s="92">
        <f>IFERROR(VLOOKUP($A112,'13. Mapa Títulos-Receita'!$A$8:$P$1000,8,FALSE),"")</f>
        <v/>
      </c>
      <c r="X112" s="92">
        <f>IFERROR(VLOOKUP($A112,'13. Mapa Títulos-Receita'!$A$8:$P$1000,9,FALSE),"")</f>
        <v/>
      </c>
      <c r="Y112" s="92">
        <f>IFERROR(VLOOKUP($A112,'13. Mapa Títulos-Receita'!$A$8:$P$1000,10,FALSE),"")</f>
        <v/>
      </c>
      <c r="Z112" s="92">
        <f>IFERROR(VLOOKUP($A112,'13. Mapa Títulos-Receita'!$A$8:$P$1000,11,FALSE),"")</f>
        <v/>
      </c>
      <c r="AA112" s="92">
        <f>IFERROR(VLOOKUP($A112,'13. Mapa Títulos-Receita'!$A$8:$P$1000,12,FALSE),"")</f>
        <v/>
      </c>
      <c r="AB112" s="92">
        <f>IFERROR(VLOOKUP($A112,'13. Mapa Títulos-Receita'!$A$8:$P$1000,13,FALSE),"")</f>
        <v/>
      </c>
      <c r="AC112" s="92">
        <f>IFERROR(VLOOKUP($A112,'13. Mapa Títulos-Receita'!$A$8:$P$1000,14,FALSE),"")</f>
        <v/>
      </c>
      <c r="AD112" s="92">
        <f>IFERROR(VLOOKUP($A112,'13. Mapa Títulos-Receita'!$A$8:$P$1000,15,FALSE),"")</f>
        <v/>
      </c>
      <c r="AE112" s="92">
        <f>IFERROR(VLOOKUP($A112,'13. Mapa Títulos-Receita'!$A$8:$P$1000,16,FALSE),"")</f>
        <v/>
      </c>
    </row>
    <row r="113">
      <c r="A113" s="28">
        <f>IF(C113="","", "CR-"&amp;TEXT(ROW()-7,"000"))</f>
        <v/>
      </c>
      <c r="B113" s="28" t="n"/>
      <c r="C113" s="28" t="n"/>
      <c r="D113" s="111" t="n"/>
      <c r="E113" s="111" t="n"/>
      <c r="F113" s="111" t="n"/>
      <c r="G113" s="28" t="n"/>
      <c r="H113" s="45" t="n"/>
      <c r="I113" s="45" t="n"/>
      <c r="J113" s="28">
        <f>IF(H113="","",IF(I113&gt;=H113,"Recebido",IF($B$4&gt;E113,"Vencido","Aberto")))</f>
        <v/>
      </c>
      <c r="K113" s="4">
        <f>IF(J113="","",IF(OR(J113="Recebido",F113=""),MAX(0,F113-E113),MAX(0,$B$4-E113)))</f>
        <v/>
      </c>
      <c r="L113" s="4">
        <f>IF(K113="","",IF(K113=0,"Em dia",IF(K113&lt;=30,"1-30 dias",IF(K113&lt;=60,"31-60 dias",IF(K113&lt;=90,"61-90 dias","&gt;90 dias")))))</f>
        <v/>
      </c>
      <c r="M113" s="28" t="n"/>
      <c r="N113" s="104" t="inlineStr"/>
      <c r="O113" s="64" t="n"/>
      <c r="P113" s="64">
        <f>IF(C113="","",IF(ISNUMBER(SEARCH("PCMSO",C113)),"PCMSO",IF(OR(ISNUMBER(SEARCH("E-SOCIAL",C113)),ISNUMBER(SEARCH("PSICOSOCIAL",C113))),"eSocial / Psicossocial",IF(O113="Receita recorrente","Carteira recorrente","Projetos / Laudos / Avulsos"))))</f>
        <v/>
      </c>
      <c r="Q113" s="64">
        <f>IF(P113="","",IF(P113="Carteira recorrente","Operação recorrente",IF(P113="PCMSO","Projetos PCMSO",IF(P113="eSocial / Psicossocial","Projetos eSocial/Psicossocial","Projetos / Laudos / Avulsos"))))</f>
        <v/>
      </c>
      <c r="R113" s="64">
        <f>IF(C113="","",IF(ISNUMBER(SEARCH("PCMSO",C113)),"Título com PCMSO no nome",IF(OR(ISNUMBER(SEARCH("E-SOCIAL",C113)),ISNUMBER(SEARCH("PSICOSOCIAL",C113))),"Título com eSocial/Psicossocial no nome",IF(O113="Receita recorrente","Tipo DRE recorrente","Extra sem palavra-chave específica"))))</f>
        <v/>
      </c>
      <c r="S113" s="92">
        <f>IFERROR(VLOOKUP($A113,'13. Mapa Títulos-Receita'!$A$8:$P$1000,4,FALSE),"")</f>
        <v/>
      </c>
      <c r="T113" s="92">
        <f>IFERROR(VLOOKUP($A113,'13. Mapa Títulos-Receita'!$A$8:$P$1000,5,FALSE),"")</f>
        <v/>
      </c>
      <c r="U113" s="92">
        <f>IFERROR(VLOOKUP($A113,'13. Mapa Títulos-Receita'!$A$8:$P$1000,6,FALSE),"")</f>
        <v/>
      </c>
      <c r="V113" s="92">
        <f>IFERROR(VLOOKUP($A113,'13. Mapa Títulos-Receita'!$A$8:$P$1000,7,FALSE),"")</f>
        <v/>
      </c>
      <c r="W113" s="92">
        <f>IFERROR(VLOOKUP($A113,'13. Mapa Títulos-Receita'!$A$8:$P$1000,8,FALSE),"")</f>
        <v/>
      </c>
      <c r="X113" s="92">
        <f>IFERROR(VLOOKUP($A113,'13. Mapa Títulos-Receita'!$A$8:$P$1000,9,FALSE),"")</f>
        <v/>
      </c>
      <c r="Y113" s="92">
        <f>IFERROR(VLOOKUP($A113,'13. Mapa Títulos-Receita'!$A$8:$P$1000,10,FALSE),"")</f>
        <v/>
      </c>
      <c r="Z113" s="92">
        <f>IFERROR(VLOOKUP($A113,'13. Mapa Títulos-Receita'!$A$8:$P$1000,11,FALSE),"")</f>
        <v/>
      </c>
      <c r="AA113" s="92">
        <f>IFERROR(VLOOKUP($A113,'13. Mapa Títulos-Receita'!$A$8:$P$1000,12,FALSE),"")</f>
        <v/>
      </c>
      <c r="AB113" s="92">
        <f>IFERROR(VLOOKUP($A113,'13. Mapa Títulos-Receita'!$A$8:$P$1000,13,FALSE),"")</f>
        <v/>
      </c>
      <c r="AC113" s="92">
        <f>IFERROR(VLOOKUP($A113,'13. Mapa Títulos-Receita'!$A$8:$P$1000,14,FALSE),"")</f>
        <v/>
      </c>
      <c r="AD113" s="92">
        <f>IFERROR(VLOOKUP($A113,'13. Mapa Títulos-Receita'!$A$8:$P$1000,15,FALSE),"")</f>
        <v/>
      </c>
      <c r="AE113" s="92">
        <f>IFERROR(VLOOKUP($A113,'13. Mapa Títulos-Receita'!$A$8:$P$1000,16,FALSE),"")</f>
        <v/>
      </c>
    </row>
    <row r="114">
      <c r="A114" s="28">
        <f>IF(C114="","", "CR-"&amp;TEXT(ROW()-7,"000"))</f>
        <v/>
      </c>
      <c r="B114" s="28" t="n"/>
      <c r="C114" s="28" t="n"/>
      <c r="D114" s="111" t="n"/>
      <c r="E114" s="111" t="n"/>
      <c r="F114" s="111" t="n"/>
      <c r="G114" s="28" t="n"/>
      <c r="H114" s="45" t="n"/>
      <c r="I114" s="45" t="n"/>
      <c r="J114" s="28">
        <f>IF(H114="","",IF(I114&gt;=H114,"Recebido",IF($B$4&gt;E114,"Vencido","Aberto")))</f>
        <v/>
      </c>
      <c r="K114" s="4">
        <f>IF(J114="","",IF(OR(J114="Recebido",F114=""),MAX(0,F114-E114),MAX(0,$B$4-E114)))</f>
        <v/>
      </c>
      <c r="L114" s="4">
        <f>IF(K114="","",IF(K114=0,"Em dia",IF(K114&lt;=30,"1-30 dias",IF(K114&lt;=60,"31-60 dias",IF(K114&lt;=90,"61-90 dias","&gt;90 dias")))))</f>
        <v/>
      </c>
      <c r="M114" s="28" t="n"/>
      <c r="N114" s="104" t="inlineStr"/>
      <c r="O114" s="64" t="n"/>
      <c r="P114" s="64">
        <f>IF(C114="","",IF(ISNUMBER(SEARCH("PCMSO",C114)),"PCMSO",IF(OR(ISNUMBER(SEARCH("E-SOCIAL",C114)),ISNUMBER(SEARCH("PSICOSOCIAL",C114))),"eSocial / Psicossocial",IF(O114="Receita recorrente","Carteira recorrente","Projetos / Laudos / Avulsos"))))</f>
        <v/>
      </c>
      <c r="Q114" s="64">
        <f>IF(P114="","",IF(P114="Carteira recorrente","Operação recorrente",IF(P114="PCMSO","Projetos PCMSO",IF(P114="eSocial / Psicossocial","Projetos eSocial/Psicossocial","Projetos / Laudos / Avulsos"))))</f>
        <v/>
      </c>
      <c r="R114" s="64">
        <f>IF(C114="","",IF(ISNUMBER(SEARCH("PCMSO",C114)),"Título com PCMSO no nome",IF(OR(ISNUMBER(SEARCH("E-SOCIAL",C114)),ISNUMBER(SEARCH("PSICOSOCIAL",C114))),"Título com eSocial/Psicossocial no nome",IF(O114="Receita recorrente","Tipo DRE recorrente","Extra sem palavra-chave específica"))))</f>
        <v/>
      </c>
      <c r="S114" s="92">
        <f>IFERROR(VLOOKUP($A114,'13. Mapa Títulos-Receita'!$A$8:$P$1000,4,FALSE),"")</f>
        <v/>
      </c>
      <c r="T114" s="92">
        <f>IFERROR(VLOOKUP($A114,'13. Mapa Títulos-Receita'!$A$8:$P$1000,5,FALSE),"")</f>
        <v/>
      </c>
      <c r="U114" s="92">
        <f>IFERROR(VLOOKUP($A114,'13. Mapa Títulos-Receita'!$A$8:$P$1000,6,FALSE),"")</f>
        <v/>
      </c>
      <c r="V114" s="92">
        <f>IFERROR(VLOOKUP($A114,'13. Mapa Títulos-Receita'!$A$8:$P$1000,7,FALSE),"")</f>
        <v/>
      </c>
      <c r="W114" s="92">
        <f>IFERROR(VLOOKUP($A114,'13. Mapa Títulos-Receita'!$A$8:$P$1000,8,FALSE),"")</f>
        <v/>
      </c>
      <c r="X114" s="92">
        <f>IFERROR(VLOOKUP($A114,'13. Mapa Títulos-Receita'!$A$8:$P$1000,9,FALSE),"")</f>
        <v/>
      </c>
      <c r="Y114" s="92">
        <f>IFERROR(VLOOKUP($A114,'13. Mapa Títulos-Receita'!$A$8:$P$1000,10,FALSE),"")</f>
        <v/>
      </c>
      <c r="Z114" s="92">
        <f>IFERROR(VLOOKUP($A114,'13. Mapa Títulos-Receita'!$A$8:$P$1000,11,FALSE),"")</f>
        <v/>
      </c>
      <c r="AA114" s="92">
        <f>IFERROR(VLOOKUP($A114,'13. Mapa Títulos-Receita'!$A$8:$P$1000,12,FALSE),"")</f>
        <v/>
      </c>
      <c r="AB114" s="92">
        <f>IFERROR(VLOOKUP($A114,'13. Mapa Títulos-Receita'!$A$8:$P$1000,13,FALSE),"")</f>
        <v/>
      </c>
      <c r="AC114" s="92">
        <f>IFERROR(VLOOKUP($A114,'13. Mapa Títulos-Receita'!$A$8:$P$1000,14,FALSE),"")</f>
        <v/>
      </c>
      <c r="AD114" s="92">
        <f>IFERROR(VLOOKUP($A114,'13. Mapa Títulos-Receita'!$A$8:$P$1000,15,FALSE),"")</f>
        <v/>
      </c>
      <c r="AE114" s="92">
        <f>IFERROR(VLOOKUP($A114,'13. Mapa Títulos-Receita'!$A$8:$P$1000,16,FALSE),"")</f>
        <v/>
      </c>
    </row>
    <row r="115">
      <c r="A115" s="28">
        <f>IF(C115="","", "CR-"&amp;TEXT(ROW()-7,"000"))</f>
        <v/>
      </c>
      <c r="B115" s="28" t="n"/>
      <c r="C115" s="28" t="n"/>
      <c r="D115" s="111" t="n"/>
      <c r="E115" s="111" t="n"/>
      <c r="F115" s="111" t="n"/>
      <c r="G115" s="28" t="n"/>
      <c r="H115" s="45" t="n"/>
      <c r="I115" s="45" t="n"/>
      <c r="J115" s="28">
        <f>IF(H115="","",IF(I115&gt;=H115,"Recebido",IF($B$4&gt;E115,"Vencido","Aberto")))</f>
        <v/>
      </c>
      <c r="K115" s="4">
        <f>IF(J115="","",IF(OR(J115="Recebido",F115=""),MAX(0,F115-E115),MAX(0,$B$4-E115)))</f>
        <v/>
      </c>
      <c r="L115" s="4">
        <f>IF(K115="","",IF(K115=0,"Em dia",IF(K115&lt;=30,"1-30 dias",IF(K115&lt;=60,"31-60 dias",IF(K115&lt;=90,"61-90 dias","&gt;90 dias")))))</f>
        <v/>
      </c>
      <c r="M115" s="28" t="n"/>
      <c r="N115" s="104" t="inlineStr"/>
      <c r="O115" s="64" t="n"/>
      <c r="P115" s="64">
        <f>IF(C115="","",IF(ISNUMBER(SEARCH("PCMSO",C115)),"PCMSO",IF(OR(ISNUMBER(SEARCH("E-SOCIAL",C115)),ISNUMBER(SEARCH("PSICOSOCIAL",C115))),"eSocial / Psicossocial",IF(O115="Receita recorrente","Carteira recorrente","Projetos / Laudos / Avulsos"))))</f>
        <v/>
      </c>
      <c r="Q115" s="64">
        <f>IF(P115="","",IF(P115="Carteira recorrente","Operação recorrente",IF(P115="PCMSO","Projetos PCMSO",IF(P115="eSocial / Psicossocial","Projetos eSocial/Psicossocial","Projetos / Laudos / Avulsos"))))</f>
        <v/>
      </c>
      <c r="R115" s="64">
        <f>IF(C115="","",IF(ISNUMBER(SEARCH("PCMSO",C115)),"Título com PCMSO no nome",IF(OR(ISNUMBER(SEARCH("E-SOCIAL",C115)),ISNUMBER(SEARCH("PSICOSOCIAL",C115))),"Título com eSocial/Psicossocial no nome",IF(O115="Receita recorrente","Tipo DRE recorrente","Extra sem palavra-chave específica"))))</f>
        <v/>
      </c>
      <c r="S115" s="92">
        <f>IFERROR(VLOOKUP($A115,'13. Mapa Títulos-Receita'!$A$8:$P$1000,4,FALSE),"")</f>
        <v/>
      </c>
      <c r="T115" s="92">
        <f>IFERROR(VLOOKUP($A115,'13. Mapa Títulos-Receita'!$A$8:$P$1000,5,FALSE),"")</f>
        <v/>
      </c>
      <c r="U115" s="92">
        <f>IFERROR(VLOOKUP($A115,'13. Mapa Títulos-Receita'!$A$8:$P$1000,6,FALSE),"")</f>
        <v/>
      </c>
      <c r="V115" s="92">
        <f>IFERROR(VLOOKUP($A115,'13. Mapa Títulos-Receita'!$A$8:$P$1000,7,FALSE),"")</f>
        <v/>
      </c>
      <c r="W115" s="92">
        <f>IFERROR(VLOOKUP($A115,'13. Mapa Títulos-Receita'!$A$8:$P$1000,8,FALSE),"")</f>
        <v/>
      </c>
      <c r="X115" s="92">
        <f>IFERROR(VLOOKUP($A115,'13. Mapa Títulos-Receita'!$A$8:$P$1000,9,FALSE),"")</f>
        <v/>
      </c>
      <c r="Y115" s="92">
        <f>IFERROR(VLOOKUP($A115,'13. Mapa Títulos-Receita'!$A$8:$P$1000,10,FALSE),"")</f>
        <v/>
      </c>
      <c r="Z115" s="92">
        <f>IFERROR(VLOOKUP($A115,'13. Mapa Títulos-Receita'!$A$8:$P$1000,11,FALSE),"")</f>
        <v/>
      </c>
      <c r="AA115" s="92">
        <f>IFERROR(VLOOKUP($A115,'13. Mapa Títulos-Receita'!$A$8:$P$1000,12,FALSE),"")</f>
        <v/>
      </c>
      <c r="AB115" s="92">
        <f>IFERROR(VLOOKUP($A115,'13. Mapa Títulos-Receita'!$A$8:$P$1000,13,FALSE),"")</f>
        <v/>
      </c>
      <c r="AC115" s="92">
        <f>IFERROR(VLOOKUP($A115,'13. Mapa Títulos-Receita'!$A$8:$P$1000,14,FALSE),"")</f>
        <v/>
      </c>
      <c r="AD115" s="92">
        <f>IFERROR(VLOOKUP($A115,'13. Mapa Títulos-Receita'!$A$8:$P$1000,15,FALSE),"")</f>
        <v/>
      </c>
      <c r="AE115" s="92">
        <f>IFERROR(VLOOKUP($A115,'13. Mapa Títulos-Receita'!$A$8:$P$1000,16,FALSE),"")</f>
        <v/>
      </c>
    </row>
    <row r="116">
      <c r="A116" s="28">
        <f>IF(C116="","", "CR-"&amp;TEXT(ROW()-7,"000"))</f>
        <v/>
      </c>
      <c r="B116" s="28" t="n"/>
      <c r="C116" s="28" t="n"/>
      <c r="D116" s="111" t="n"/>
      <c r="E116" s="111" t="n"/>
      <c r="F116" s="111" t="n"/>
      <c r="G116" s="28" t="n"/>
      <c r="H116" s="45" t="n"/>
      <c r="I116" s="45" t="n"/>
      <c r="J116" s="28">
        <f>IF(H116="","",IF(I116&gt;=H116,"Recebido",IF($B$4&gt;E116,"Vencido","Aberto")))</f>
        <v/>
      </c>
      <c r="K116" s="4">
        <f>IF(J116="","",IF(OR(J116="Recebido",F116=""),MAX(0,F116-E116),MAX(0,$B$4-E116)))</f>
        <v/>
      </c>
      <c r="L116" s="4">
        <f>IF(K116="","",IF(K116=0,"Em dia",IF(K116&lt;=30,"1-30 dias",IF(K116&lt;=60,"31-60 dias",IF(K116&lt;=90,"61-90 dias","&gt;90 dias")))))</f>
        <v/>
      </c>
      <c r="M116" s="28" t="n"/>
      <c r="N116" s="104" t="inlineStr"/>
      <c r="O116" s="64" t="n"/>
      <c r="P116" s="64">
        <f>IF(C116="","",IF(ISNUMBER(SEARCH("PCMSO",C116)),"PCMSO",IF(OR(ISNUMBER(SEARCH("E-SOCIAL",C116)),ISNUMBER(SEARCH("PSICOSOCIAL",C116))),"eSocial / Psicossocial",IF(O116="Receita recorrente","Carteira recorrente","Projetos / Laudos / Avulsos"))))</f>
        <v/>
      </c>
      <c r="Q116" s="64">
        <f>IF(P116="","",IF(P116="Carteira recorrente","Operação recorrente",IF(P116="PCMSO","Projetos PCMSO",IF(P116="eSocial / Psicossocial","Projetos eSocial/Psicossocial","Projetos / Laudos / Avulsos"))))</f>
        <v/>
      </c>
      <c r="R116" s="64">
        <f>IF(C116="","",IF(ISNUMBER(SEARCH("PCMSO",C116)),"Título com PCMSO no nome",IF(OR(ISNUMBER(SEARCH("E-SOCIAL",C116)),ISNUMBER(SEARCH("PSICOSOCIAL",C116))),"Título com eSocial/Psicossocial no nome",IF(O116="Receita recorrente","Tipo DRE recorrente","Extra sem palavra-chave específica"))))</f>
        <v/>
      </c>
      <c r="S116" s="92">
        <f>IFERROR(VLOOKUP($A116,'13. Mapa Títulos-Receita'!$A$8:$P$1000,4,FALSE),"")</f>
        <v/>
      </c>
      <c r="T116" s="92">
        <f>IFERROR(VLOOKUP($A116,'13. Mapa Títulos-Receita'!$A$8:$P$1000,5,FALSE),"")</f>
        <v/>
      </c>
      <c r="U116" s="92">
        <f>IFERROR(VLOOKUP($A116,'13. Mapa Títulos-Receita'!$A$8:$P$1000,6,FALSE),"")</f>
        <v/>
      </c>
      <c r="V116" s="92">
        <f>IFERROR(VLOOKUP($A116,'13. Mapa Títulos-Receita'!$A$8:$P$1000,7,FALSE),"")</f>
        <v/>
      </c>
      <c r="W116" s="92">
        <f>IFERROR(VLOOKUP($A116,'13. Mapa Títulos-Receita'!$A$8:$P$1000,8,FALSE),"")</f>
        <v/>
      </c>
      <c r="X116" s="92">
        <f>IFERROR(VLOOKUP($A116,'13. Mapa Títulos-Receita'!$A$8:$P$1000,9,FALSE),"")</f>
        <v/>
      </c>
      <c r="Y116" s="92">
        <f>IFERROR(VLOOKUP($A116,'13. Mapa Títulos-Receita'!$A$8:$P$1000,10,FALSE),"")</f>
        <v/>
      </c>
      <c r="Z116" s="92">
        <f>IFERROR(VLOOKUP($A116,'13. Mapa Títulos-Receita'!$A$8:$P$1000,11,FALSE),"")</f>
        <v/>
      </c>
      <c r="AA116" s="92">
        <f>IFERROR(VLOOKUP($A116,'13. Mapa Títulos-Receita'!$A$8:$P$1000,12,FALSE),"")</f>
        <v/>
      </c>
      <c r="AB116" s="92">
        <f>IFERROR(VLOOKUP($A116,'13. Mapa Títulos-Receita'!$A$8:$P$1000,13,FALSE),"")</f>
        <v/>
      </c>
      <c r="AC116" s="92">
        <f>IFERROR(VLOOKUP($A116,'13. Mapa Títulos-Receita'!$A$8:$P$1000,14,FALSE),"")</f>
        <v/>
      </c>
      <c r="AD116" s="92">
        <f>IFERROR(VLOOKUP($A116,'13. Mapa Títulos-Receita'!$A$8:$P$1000,15,FALSE),"")</f>
        <v/>
      </c>
      <c r="AE116" s="92">
        <f>IFERROR(VLOOKUP($A116,'13. Mapa Títulos-Receita'!$A$8:$P$1000,16,FALSE),"")</f>
        <v/>
      </c>
    </row>
    <row r="117">
      <c r="A117" s="28">
        <f>IF(C117="","", "CR-"&amp;TEXT(ROW()-7,"000"))</f>
        <v/>
      </c>
      <c r="B117" s="28" t="n"/>
      <c r="C117" s="28" t="n"/>
      <c r="D117" s="111" t="n"/>
      <c r="E117" s="111" t="n"/>
      <c r="F117" s="111" t="n"/>
      <c r="G117" s="28" t="n"/>
      <c r="H117" s="45" t="n"/>
      <c r="I117" s="45" t="n"/>
      <c r="J117" s="28">
        <f>IF(H117="","",IF(I117&gt;=H117,"Recebido",IF($B$4&gt;E117,"Vencido","Aberto")))</f>
        <v/>
      </c>
      <c r="K117" s="4">
        <f>IF(J117="","",IF(OR(J117="Recebido",F117=""),MAX(0,F117-E117),MAX(0,$B$4-E117)))</f>
        <v/>
      </c>
      <c r="L117" s="4">
        <f>IF(K117="","",IF(K117=0,"Em dia",IF(K117&lt;=30,"1-30 dias",IF(K117&lt;=60,"31-60 dias",IF(K117&lt;=90,"61-90 dias","&gt;90 dias")))))</f>
        <v/>
      </c>
      <c r="M117" s="28" t="n"/>
      <c r="N117" s="104" t="inlineStr"/>
      <c r="O117" s="64" t="n"/>
      <c r="P117" s="64">
        <f>IF(C117="","",IF(ISNUMBER(SEARCH("PCMSO",C117)),"PCMSO",IF(OR(ISNUMBER(SEARCH("E-SOCIAL",C117)),ISNUMBER(SEARCH("PSICOSOCIAL",C117))),"eSocial / Psicossocial",IF(O117="Receita recorrente","Carteira recorrente","Projetos / Laudos / Avulsos"))))</f>
        <v/>
      </c>
      <c r="Q117" s="64">
        <f>IF(P117="","",IF(P117="Carteira recorrente","Operação recorrente",IF(P117="PCMSO","Projetos PCMSO",IF(P117="eSocial / Psicossocial","Projetos eSocial/Psicossocial","Projetos / Laudos / Avulsos"))))</f>
        <v/>
      </c>
      <c r="R117" s="64">
        <f>IF(C117="","",IF(ISNUMBER(SEARCH("PCMSO",C117)),"Título com PCMSO no nome",IF(OR(ISNUMBER(SEARCH("E-SOCIAL",C117)),ISNUMBER(SEARCH("PSICOSOCIAL",C117))),"Título com eSocial/Psicossocial no nome",IF(O117="Receita recorrente","Tipo DRE recorrente","Extra sem palavra-chave específica"))))</f>
        <v/>
      </c>
      <c r="S117" s="92">
        <f>IFERROR(VLOOKUP($A117,'13. Mapa Títulos-Receita'!$A$8:$P$1000,4,FALSE),"")</f>
        <v/>
      </c>
      <c r="T117" s="92">
        <f>IFERROR(VLOOKUP($A117,'13. Mapa Títulos-Receita'!$A$8:$P$1000,5,FALSE),"")</f>
        <v/>
      </c>
      <c r="U117" s="92">
        <f>IFERROR(VLOOKUP($A117,'13. Mapa Títulos-Receita'!$A$8:$P$1000,6,FALSE),"")</f>
        <v/>
      </c>
      <c r="V117" s="92">
        <f>IFERROR(VLOOKUP($A117,'13. Mapa Títulos-Receita'!$A$8:$P$1000,7,FALSE),"")</f>
        <v/>
      </c>
      <c r="W117" s="92">
        <f>IFERROR(VLOOKUP($A117,'13. Mapa Títulos-Receita'!$A$8:$P$1000,8,FALSE),"")</f>
        <v/>
      </c>
      <c r="X117" s="92">
        <f>IFERROR(VLOOKUP($A117,'13. Mapa Títulos-Receita'!$A$8:$P$1000,9,FALSE),"")</f>
        <v/>
      </c>
      <c r="Y117" s="92">
        <f>IFERROR(VLOOKUP($A117,'13. Mapa Títulos-Receita'!$A$8:$P$1000,10,FALSE),"")</f>
        <v/>
      </c>
      <c r="Z117" s="92">
        <f>IFERROR(VLOOKUP($A117,'13. Mapa Títulos-Receita'!$A$8:$P$1000,11,FALSE),"")</f>
        <v/>
      </c>
      <c r="AA117" s="92">
        <f>IFERROR(VLOOKUP($A117,'13. Mapa Títulos-Receita'!$A$8:$P$1000,12,FALSE),"")</f>
        <v/>
      </c>
      <c r="AB117" s="92">
        <f>IFERROR(VLOOKUP($A117,'13. Mapa Títulos-Receita'!$A$8:$P$1000,13,FALSE),"")</f>
        <v/>
      </c>
      <c r="AC117" s="92">
        <f>IFERROR(VLOOKUP($A117,'13. Mapa Títulos-Receita'!$A$8:$P$1000,14,FALSE),"")</f>
        <v/>
      </c>
      <c r="AD117" s="92">
        <f>IFERROR(VLOOKUP($A117,'13. Mapa Títulos-Receita'!$A$8:$P$1000,15,FALSE),"")</f>
        <v/>
      </c>
      <c r="AE117" s="92">
        <f>IFERROR(VLOOKUP($A117,'13. Mapa Títulos-Receita'!$A$8:$P$1000,16,FALSE),"")</f>
        <v/>
      </c>
    </row>
    <row r="118">
      <c r="A118" s="28">
        <f>IF(C118="","", "CR-"&amp;TEXT(ROW()-7,"000"))</f>
        <v/>
      </c>
      <c r="B118" s="28" t="n"/>
      <c r="C118" s="28" t="n"/>
      <c r="D118" s="111" t="n"/>
      <c r="E118" s="111" t="n"/>
      <c r="F118" s="111" t="n"/>
      <c r="G118" s="28" t="n"/>
      <c r="H118" s="45" t="n"/>
      <c r="I118" s="45" t="n"/>
      <c r="J118" s="28">
        <f>IF(H118="","",IF(I118&gt;=H118,"Recebido",IF($B$4&gt;E118,"Vencido","Aberto")))</f>
        <v/>
      </c>
      <c r="K118" s="4">
        <f>IF(J118="","",IF(OR(J118="Recebido",F118=""),MAX(0,F118-E118),MAX(0,$B$4-E118)))</f>
        <v/>
      </c>
      <c r="L118" s="4">
        <f>IF(K118="","",IF(K118=0,"Em dia",IF(K118&lt;=30,"1-30 dias",IF(K118&lt;=60,"31-60 dias",IF(K118&lt;=90,"61-90 dias","&gt;90 dias")))))</f>
        <v/>
      </c>
      <c r="M118" s="28" t="n"/>
      <c r="N118" s="104" t="inlineStr"/>
      <c r="O118" s="64" t="n"/>
      <c r="P118" s="64">
        <f>IF(C118="","",IF(ISNUMBER(SEARCH("PCMSO",C118)),"PCMSO",IF(OR(ISNUMBER(SEARCH("E-SOCIAL",C118)),ISNUMBER(SEARCH("PSICOSOCIAL",C118))),"eSocial / Psicossocial",IF(O118="Receita recorrente","Carteira recorrente","Projetos / Laudos / Avulsos"))))</f>
        <v/>
      </c>
      <c r="Q118" s="64">
        <f>IF(P118="","",IF(P118="Carteira recorrente","Operação recorrente",IF(P118="PCMSO","Projetos PCMSO",IF(P118="eSocial / Psicossocial","Projetos eSocial/Psicossocial","Projetos / Laudos / Avulsos"))))</f>
        <v/>
      </c>
      <c r="R118" s="64">
        <f>IF(C118="","",IF(ISNUMBER(SEARCH("PCMSO",C118)),"Título com PCMSO no nome",IF(OR(ISNUMBER(SEARCH("E-SOCIAL",C118)),ISNUMBER(SEARCH("PSICOSOCIAL",C118))),"Título com eSocial/Psicossocial no nome",IF(O118="Receita recorrente","Tipo DRE recorrente","Extra sem palavra-chave específica"))))</f>
        <v/>
      </c>
      <c r="S118" s="92">
        <f>IFERROR(VLOOKUP($A118,'13. Mapa Títulos-Receita'!$A$8:$P$1000,4,FALSE),"")</f>
        <v/>
      </c>
      <c r="T118" s="92">
        <f>IFERROR(VLOOKUP($A118,'13. Mapa Títulos-Receita'!$A$8:$P$1000,5,FALSE),"")</f>
        <v/>
      </c>
      <c r="U118" s="92">
        <f>IFERROR(VLOOKUP($A118,'13. Mapa Títulos-Receita'!$A$8:$P$1000,6,FALSE),"")</f>
        <v/>
      </c>
      <c r="V118" s="92">
        <f>IFERROR(VLOOKUP($A118,'13. Mapa Títulos-Receita'!$A$8:$P$1000,7,FALSE),"")</f>
        <v/>
      </c>
      <c r="W118" s="92">
        <f>IFERROR(VLOOKUP($A118,'13. Mapa Títulos-Receita'!$A$8:$P$1000,8,FALSE),"")</f>
        <v/>
      </c>
      <c r="X118" s="92">
        <f>IFERROR(VLOOKUP($A118,'13. Mapa Títulos-Receita'!$A$8:$P$1000,9,FALSE),"")</f>
        <v/>
      </c>
      <c r="Y118" s="92">
        <f>IFERROR(VLOOKUP($A118,'13. Mapa Títulos-Receita'!$A$8:$P$1000,10,FALSE),"")</f>
        <v/>
      </c>
      <c r="Z118" s="92">
        <f>IFERROR(VLOOKUP($A118,'13. Mapa Títulos-Receita'!$A$8:$P$1000,11,FALSE),"")</f>
        <v/>
      </c>
      <c r="AA118" s="92">
        <f>IFERROR(VLOOKUP($A118,'13. Mapa Títulos-Receita'!$A$8:$P$1000,12,FALSE),"")</f>
        <v/>
      </c>
      <c r="AB118" s="92">
        <f>IFERROR(VLOOKUP($A118,'13. Mapa Títulos-Receita'!$A$8:$P$1000,13,FALSE),"")</f>
        <v/>
      </c>
      <c r="AC118" s="92">
        <f>IFERROR(VLOOKUP($A118,'13. Mapa Títulos-Receita'!$A$8:$P$1000,14,FALSE),"")</f>
        <v/>
      </c>
      <c r="AD118" s="92">
        <f>IFERROR(VLOOKUP($A118,'13. Mapa Títulos-Receita'!$A$8:$P$1000,15,FALSE),"")</f>
        <v/>
      </c>
      <c r="AE118" s="92">
        <f>IFERROR(VLOOKUP($A118,'13. Mapa Títulos-Receita'!$A$8:$P$1000,16,FALSE),"")</f>
        <v/>
      </c>
    </row>
    <row r="119">
      <c r="A119" s="28">
        <f>IF(C119="","", "CR-"&amp;TEXT(ROW()-7,"000"))</f>
        <v/>
      </c>
      <c r="B119" s="28" t="n"/>
      <c r="C119" s="28" t="n"/>
      <c r="D119" s="111" t="n"/>
      <c r="E119" s="111" t="n"/>
      <c r="F119" s="111" t="n"/>
      <c r="G119" s="28" t="n"/>
      <c r="H119" s="45" t="n"/>
      <c r="I119" s="45" t="n"/>
      <c r="J119" s="28">
        <f>IF(H119="","",IF(I119&gt;=H119,"Recebido",IF($B$4&gt;E119,"Vencido","Aberto")))</f>
        <v/>
      </c>
      <c r="K119" s="4">
        <f>IF(J119="","",IF(OR(J119="Recebido",F119=""),MAX(0,F119-E119),MAX(0,$B$4-E119)))</f>
        <v/>
      </c>
      <c r="L119" s="4">
        <f>IF(K119="","",IF(K119=0,"Em dia",IF(K119&lt;=30,"1-30 dias",IF(K119&lt;=60,"31-60 dias",IF(K119&lt;=90,"61-90 dias","&gt;90 dias")))))</f>
        <v/>
      </c>
      <c r="M119" s="28" t="n"/>
      <c r="N119" s="104" t="inlineStr"/>
      <c r="O119" s="64" t="n"/>
      <c r="P119" s="64">
        <f>IF(C119="","",IF(ISNUMBER(SEARCH("PCMSO",C119)),"PCMSO",IF(OR(ISNUMBER(SEARCH("E-SOCIAL",C119)),ISNUMBER(SEARCH("PSICOSOCIAL",C119))),"eSocial / Psicossocial",IF(O119="Receita recorrente","Carteira recorrente","Projetos / Laudos / Avulsos"))))</f>
        <v/>
      </c>
      <c r="Q119" s="64">
        <f>IF(P119="","",IF(P119="Carteira recorrente","Operação recorrente",IF(P119="PCMSO","Projetos PCMSO",IF(P119="eSocial / Psicossocial","Projetos eSocial/Psicossocial","Projetos / Laudos / Avulsos"))))</f>
        <v/>
      </c>
      <c r="R119" s="64">
        <f>IF(C119="","",IF(ISNUMBER(SEARCH("PCMSO",C119)),"Título com PCMSO no nome",IF(OR(ISNUMBER(SEARCH("E-SOCIAL",C119)),ISNUMBER(SEARCH("PSICOSOCIAL",C119))),"Título com eSocial/Psicossocial no nome",IF(O119="Receita recorrente","Tipo DRE recorrente","Extra sem palavra-chave específica"))))</f>
        <v/>
      </c>
      <c r="S119" s="92">
        <f>IFERROR(VLOOKUP($A119,'13. Mapa Títulos-Receita'!$A$8:$P$1000,4,FALSE),"")</f>
        <v/>
      </c>
      <c r="T119" s="92">
        <f>IFERROR(VLOOKUP($A119,'13. Mapa Títulos-Receita'!$A$8:$P$1000,5,FALSE),"")</f>
        <v/>
      </c>
      <c r="U119" s="92">
        <f>IFERROR(VLOOKUP($A119,'13. Mapa Títulos-Receita'!$A$8:$P$1000,6,FALSE),"")</f>
        <v/>
      </c>
      <c r="V119" s="92">
        <f>IFERROR(VLOOKUP($A119,'13. Mapa Títulos-Receita'!$A$8:$P$1000,7,FALSE),"")</f>
        <v/>
      </c>
      <c r="W119" s="92">
        <f>IFERROR(VLOOKUP($A119,'13. Mapa Títulos-Receita'!$A$8:$P$1000,8,FALSE),"")</f>
        <v/>
      </c>
      <c r="X119" s="92">
        <f>IFERROR(VLOOKUP($A119,'13. Mapa Títulos-Receita'!$A$8:$P$1000,9,FALSE),"")</f>
        <v/>
      </c>
      <c r="Y119" s="92">
        <f>IFERROR(VLOOKUP($A119,'13. Mapa Títulos-Receita'!$A$8:$P$1000,10,FALSE),"")</f>
        <v/>
      </c>
      <c r="Z119" s="92">
        <f>IFERROR(VLOOKUP($A119,'13. Mapa Títulos-Receita'!$A$8:$P$1000,11,FALSE),"")</f>
        <v/>
      </c>
      <c r="AA119" s="92">
        <f>IFERROR(VLOOKUP($A119,'13. Mapa Títulos-Receita'!$A$8:$P$1000,12,FALSE),"")</f>
        <v/>
      </c>
      <c r="AB119" s="92">
        <f>IFERROR(VLOOKUP($A119,'13. Mapa Títulos-Receita'!$A$8:$P$1000,13,FALSE),"")</f>
        <v/>
      </c>
      <c r="AC119" s="92">
        <f>IFERROR(VLOOKUP($A119,'13. Mapa Títulos-Receita'!$A$8:$P$1000,14,FALSE),"")</f>
        <v/>
      </c>
      <c r="AD119" s="92">
        <f>IFERROR(VLOOKUP($A119,'13. Mapa Títulos-Receita'!$A$8:$P$1000,15,FALSE),"")</f>
        <v/>
      </c>
      <c r="AE119" s="92">
        <f>IFERROR(VLOOKUP($A119,'13. Mapa Títulos-Receita'!$A$8:$P$1000,16,FALSE),"")</f>
        <v/>
      </c>
    </row>
    <row r="120">
      <c r="A120" s="28">
        <f>IF(C120="","", "CR-"&amp;TEXT(ROW()-7,"000"))</f>
        <v/>
      </c>
      <c r="B120" s="28" t="n"/>
      <c r="C120" s="28" t="n"/>
      <c r="D120" s="111" t="n"/>
      <c r="E120" s="111" t="n"/>
      <c r="F120" s="111" t="n"/>
      <c r="G120" s="28" t="n"/>
      <c r="H120" s="45" t="n"/>
      <c r="I120" s="45" t="n"/>
      <c r="J120" s="28">
        <f>IF(H120="","",IF(I120&gt;=H120,"Recebido",IF($B$4&gt;E120,"Vencido","Aberto")))</f>
        <v/>
      </c>
      <c r="K120" s="4">
        <f>IF(J120="","",IF(OR(J120="Recebido",F120=""),MAX(0,F120-E120),MAX(0,$B$4-E120)))</f>
        <v/>
      </c>
      <c r="L120" s="4">
        <f>IF(K120="","",IF(K120=0,"Em dia",IF(K120&lt;=30,"1-30 dias",IF(K120&lt;=60,"31-60 dias",IF(K120&lt;=90,"61-90 dias","&gt;90 dias")))))</f>
        <v/>
      </c>
      <c r="M120" s="28" t="n"/>
      <c r="N120" s="104" t="inlineStr"/>
      <c r="O120" s="64" t="n"/>
      <c r="P120" s="64">
        <f>IF(C120="","",IF(ISNUMBER(SEARCH("PCMSO",C120)),"PCMSO",IF(OR(ISNUMBER(SEARCH("E-SOCIAL",C120)),ISNUMBER(SEARCH("PSICOSOCIAL",C120))),"eSocial / Psicossocial",IF(O120="Receita recorrente","Carteira recorrente","Projetos / Laudos / Avulsos"))))</f>
        <v/>
      </c>
      <c r="Q120" s="64">
        <f>IF(P120="","",IF(P120="Carteira recorrente","Operação recorrente",IF(P120="PCMSO","Projetos PCMSO",IF(P120="eSocial / Psicossocial","Projetos eSocial/Psicossocial","Projetos / Laudos / Avulsos"))))</f>
        <v/>
      </c>
      <c r="R120" s="64">
        <f>IF(C120="","",IF(ISNUMBER(SEARCH("PCMSO",C120)),"Título com PCMSO no nome",IF(OR(ISNUMBER(SEARCH("E-SOCIAL",C120)),ISNUMBER(SEARCH("PSICOSOCIAL",C120))),"Título com eSocial/Psicossocial no nome",IF(O120="Receita recorrente","Tipo DRE recorrente","Extra sem palavra-chave específica"))))</f>
        <v/>
      </c>
      <c r="S120" s="92">
        <f>IFERROR(VLOOKUP($A120,'13. Mapa Títulos-Receita'!$A$8:$P$1000,4,FALSE),"")</f>
        <v/>
      </c>
      <c r="T120" s="92">
        <f>IFERROR(VLOOKUP($A120,'13. Mapa Títulos-Receita'!$A$8:$P$1000,5,FALSE),"")</f>
        <v/>
      </c>
      <c r="U120" s="92">
        <f>IFERROR(VLOOKUP($A120,'13. Mapa Títulos-Receita'!$A$8:$P$1000,6,FALSE),"")</f>
        <v/>
      </c>
      <c r="V120" s="92">
        <f>IFERROR(VLOOKUP($A120,'13. Mapa Títulos-Receita'!$A$8:$P$1000,7,FALSE),"")</f>
        <v/>
      </c>
      <c r="W120" s="92">
        <f>IFERROR(VLOOKUP($A120,'13. Mapa Títulos-Receita'!$A$8:$P$1000,8,FALSE),"")</f>
        <v/>
      </c>
      <c r="X120" s="92">
        <f>IFERROR(VLOOKUP($A120,'13. Mapa Títulos-Receita'!$A$8:$P$1000,9,FALSE),"")</f>
        <v/>
      </c>
      <c r="Y120" s="92">
        <f>IFERROR(VLOOKUP($A120,'13. Mapa Títulos-Receita'!$A$8:$P$1000,10,FALSE),"")</f>
        <v/>
      </c>
      <c r="Z120" s="92">
        <f>IFERROR(VLOOKUP($A120,'13. Mapa Títulos-Receita'!$A$8:$P$1000,11,FALSE),"")</f>
        <v/>
      </c>
      <c r="AA120" s="92">
        <f>IFERROR(VLOOKUP($A120,'13. Mapa Títulos-Receita'!$A$8:$P$1000,12,FALSE),"")</f>
        <v/>
      </c>
      <c r="AB120" s="92">
        <f>IFERROR(VLOOKUP($A120,'13. Mapa Títulos-Receita'!$A$8:$P$1000,13,FALSE),"")</f>
        <v/>
      </c>
      <c r="AC120" s="92">
        <f>IFERROR(VLOOKUP($A120,'13. Mapa Títulos-Receita'!$A$8:$P$1000,14,FALSE),"")</f>
        <v/>
      </c>
      <c r="AD120" s="92">
        <f>IFERROR(VLOOKUP($A120,'13. Mapa Títulos-Receita'!$A$8:$P$1000,15,FALSE),"")</f>
        <v/>
      </c>
      <c r="AE120" s="92">
        <f>IFERROR(VLOOKUP($A120,'13. Mapa Títulos-Receita'!$A$8:$P$1000,16,FALSE),"")</f>
        <v/>
      </c>
    </row>
    <row r="121">
      <c r="A121" s="28">
        <f>IF(C121="","", "CR-"&amp;TEXT(ROW()-7,"000"))</f>
        <v/>
      </c>
      <c r="B121" s="28" t="n"/>
      <c r="C121" s="28" t="n"/>
      <c r="D121" s="111" t="n"/>
      <c r="E121" s="111" t="n"/>
      <c r="F121" s="111" t="n"/>
      <c r="G121" s="28" t="n"/>
      <c r="H121" s="45" t="n"/>
      <c r="I121" s="45" t="n"/>
      <c r="J121" s="28">
        <f>IF(H121="","",IF(I121&gt;=H121,"Recebido",IF($B$4&gt;E121,"Vencido","Aberto")))</f>
        <v/>
      </c>
      <c r="K121" s="4">
        <f>IF(J121="","",IF(OR(J121="Recebido",F121=""),MAX(0,F121-E121),MAX(0,$B$4-E121)))</f>
        <v/>
      </c>
      <c r="L121" s="4">
        <f>IF(K121="","",IF(K121=0,"Em dia",IF(K121&lt;=30,"1-30 dias",IF(K121&lt;=60,"31-60 dias",IF(K121&lt;=90,"61-90 dias","&gt;90 dias")))))</f>
        <v/>
      </c>
      <c r="M121" s="28" t="n"/>
      <c r="N121" s="104" t="inlineStr"/>
      <c r="O121" s="64" t="n"/>
      <c r="P121" s="64">
        <f>IF(C121="","",IF(ISNUMBER(SEARCH("PCMSO",C121)),"PCMSO",IF(OR(ISNUMBER(SEARCH("E-SOCIAL",C121)),ISNUMBER(SEARCH("PSICOSOCIAL",C121))),"eSocial / Psicossocial",IF(O121="Receita recorrente","Carteira recorrente","Projetos / Laudos / Avulsos"))))</f>
        <v/>
      </c>
      <c r="Q121" s="64">
        <f>IF(P121="","",IF(P121="Carteira recorrente","Operação recorrente",IF(P121="PCMSO","Projetos PCMSO",IF(P121="eSocial / Psicossocial","Projetos eSocial/Psicossocial","Projetos / Laudos / Avulsos"))))</f>
        <v/>
      </c>
      <c r="R121" s="64">
        <f>IF(C121="","",IF(ISNUMBER(SEARCH("PCMSO",C121)),"Título com PCMSO no nome",IF(OR(ISNUMBER(SEARCH("E-SOCIAL",C121)),ISNUMBER(SEARCH("PSICOSOCIAL",C121))),"Título com eSocial/Psicossocial no nome",IF(O121="Receita recorrente","Tipo DRE recorrente","Extra sem palavra-chave específica"))))</f>
        <v/>
      </c>
      <c r="S121" s="92">
        <f>IFERROR(VLOOKUP($A121,'13. Mapa Títulos-Receita'!$A$8:$P$1000,4,FALSE),"")</f>
        <v/>
      </c>
      <c r="T121" s="92">
        <f>IFERROR(VLOOKUP($A121,'13. Mapa Títulos-Receita'!$A$8:$P$1000,5,FALSE),"")</f>
        <v/>
      </c>
      <c r="U121" s="92">
        <f>IFERROR(VLOOKUP($A121,'13. Mapa Títulos-Receita'!$A$8:$P$1000,6,FALSE),"")</f>
        <v/>
      </c>
      <c r="V121" s="92">
        <f>IFERROR(VLOOKUP($A121,'13. Mapa Títulos-Receita'!$A$8:$P$1000,7,FALSE),"")</f>
        <v/>
      </c>
      <c r="W121" s="92">
        <f>IFERROR(VLOOKUP($A121,'13. Mapa Títulos-Receita'!$A$8:$P$1000,8,FALSE),"")</f>
        <v/>
      </c>
      <c r="X121" s="92">
        <f>IFERROR(VLOOKUP($A121,'13. Mapa Títulos-Receita'!$A$8:$P$1000,9,FALSE),"")</f>
        <v/>
      </c>
      <c r="Y121" s="92">
        <f>IFERROR(VLOOKUP($A121,'13. Mapa Títulos-Receita'!$A$8:$P$1000,10,FALSE),"")</f>
        <v/>
      </c>
      <c r="Z121" s="92">
        <f>IFERROR(VLOOKUP($A121,'13. Mapa Títulos-Receita'!$A$8:$P$1000,11,FALSE),"")</f>
        <v/>
      </c>
      <c r="AA121" s="92">
        <f>IFERROR(VLOOKUP($A121,'13. Mapa Títulos-Receita'!$A$8:$P$1000,12,FALSE),"")</f>
        <v/>
      </c>
      <c r="AB121" s="92">
        <f>IFERROR(VLOOKUP($A121,'13. Mapa Títulos-Receita'!$A$8:$P$1000,13,FALSE),"")</f>
        <v/>
      </c>
      <c r="AC121" s="92">
        <f>IFERROR(VLOOKUP($A121,'13. Mapa Títulos-Receita'!$A$8:$P$1000,14,FALSE),"")</f>
        <v/>
      </c>
      <c r="AD121" s="92">
        <f>IFERROR(VLOOKUP($A121,'13. Mapa Títulos-Receita'!$A$8:$P$1000,15,FALSE),"")</f>
        <v/>
      </c>
      <c r="AE121" s="92">
        <f>IFERROR(VLOOKUP($A121,'13. Mapa Títulos-Receita'!$A$8:$P$1000,16,FALSE),"")</f>
        <v/>
      </c>
    </row>
    <row r="122">
      <c r="A122" s="28">
        <f>IF(C122="","", "CR-"&amp;TEXT(ROW()-7,"000"))</f>
        <v/>
      </c>
      <c r="B122" s="28" t="n"/>
      <c r="C122" s="28" t="n"/>
      <c r="D122" s="111" t="n"/>
      <c r="E122" s="111" t="n"/>
      <c r="F122" s="111" t="n"/>
      <c r="G122" s="28" t="n"/>
      <c r="H122" s="45" t="n"/>
      <c r="I122" s="45" t="n"/>
      <c r="J122" s="28">
        <f>IF(H122="","",IF(I122&gt;=H122,"Recebido",IF($B$4&gt;E122,"Vencido","Aberto")))</f>
        <v/>
      </c>
      <c r="K122" s="4">
        <f>IF(J122="","",IF(OR(J122="Recebido",F122=""),MAX(0,F122-E122),MAX(0,$B$4-E122)))</f>
        <v/>
      </c>
      <c r="L122" s="4">
        <f>IF(K122="","",IF(K122=0,"Em dia",IF(K122&lt;=30,"1-30 dias",IF(K122&lt;=60,"31-60 dias",IF(K122&lt;=90,"61-90 dias","&gt;90 dias")))))</f>
        <v/>
      </c>
      <c r="M122" s="28" t="n"/>
      <c r="N122" s="104" t="inlineStr"/>
      <c r="O122" s="64" t="n"/>
      <c r="P122" s="64">
        <f>IF(C122="","",IF(ISNUMBER(SEARCH("PCMSO",C122)),"PCMSO",IF(OR(ISNUMBER(SEARCH("E-SOCIAL",C122)),ISNUMBER(SEARCH("PSICOSOCIAL",C122))),"eSocial / Psicossocial",IF(O122="Receita recorrente","Carteira recorrente","Projetos / Laudos / Avulsos"))))</f>
        <v/>
      </c>
      <c r="Q122" s="64">
        <f>IF(P122="","",IF(P122="Carteira recorrente","Operação recorrente",IF(P122="PCMSO","Projetos PCMSO",IF(P122="eSocial / Psicossocial","Projetos eSocial/Psicossocial","Projetos / Laudos / Avulsos"))))</f>
        <v/>
      </c>
      <c r="R122" s="64">
        <f>IF(C122="","",IF(ISNUMBER(SEARCH("PCMSO",C122)),"Título com PCMSO no nome",IF(OR(ISNUMBER(SEARCH("E-SOCIAL",C122)),ISNUMBER(SEARCH("PSICOSOCIAL",C122))),"Título com eSocial/Psicossocial no nome",IF(O122="Receita recorrente","Tipo DRE recorrente","Extra sem palavra-chave específica"))))</f>
        <v/>
      </c>
      <c r="S122" s="92">
        <f>IFERROR(VLOOKUP($A122,'13. Mapa Títulos-Receita'!$A$8:$P$1000,4,FALSE),"")</f>
        <v/>
      </c>
      <c r="T122" s="92">
        <f>IFERROR(VLOOKUP($A122,'13. Mapa Títulos-Receita'!$A$8:$P$1000,5,FALSE),"")</f>
        <v/>
      </c>
      <c r="U122" s="92">
        <f>IFERROR(VLOOKUP($A122,'13. Mapa Títulos-Receita'!$A$8:$P$1000,6,FALSE),"")</f>
        <v/>
      </c>
      <c r="V122" s="92">
        <f>IFERROR(VLOOKUP($A122,'13. Mapa Títulos-Receita'!$A$8:$P$1000,7,FALSE),"")</f>
        <v/>
      </c>
      <c r="W122" s="92">
        <f>IFERROR(VLOOKUP($A122,'13. Mapa Títulos-Receita'!$A$8:$P$1000,8,FALSE),"")</f>
        <v/>
      </c>
      <c r="X122" s="92">
        <f>IFERROR(VLOOKUP($A122,'13. Mapa Títulos-Receita'!$A$8:$P$1000,9,FALSE),"")</f>
        <v/>
      </c>
      <c r="Y122" s="92">
        <f>IFERROR(VLOOKUP($A122,'13. Mapa Títulos-Receita'!$A$8:$P$1000,10,FALSE),"")</f>
        <v/>
      </c>
      <c r="Z122" s="92">
        <f>IFERROR(VLOOKUP($A122,'13. Mapa Títulos-Receita'!$A$8:$P$1000,11,FALSE),"")</f>
        <v/>
      </c>
      <c r="AA122" s="92">
        <f>IFERROR(VLOOKUP($A122,'13. Mapa Títulos-Receita'!$A$8:$P$1000,12,FALSE),"")</f>
        <v/>
      </c>
      <c r="AB122" s="92">
        <f>IFERROR(VLOOKUP($A122,'13. Mapa Títulos-Receita'!$A$8:$P$1000,13,FALSE),"")</f>
        <v/>
      </c>
      <c r="AC122" s="92">
        <f>IFERROR(VLOOKUP($A122,'13. Mapa Títulos-Receita'!$A$8:$P$1000,14,FALSE),"")</f>
        <v/>
      </c>
      <c r="AD122" s="92">
        <f>IFERROR(VLOOKUP($A122,'13. Mapa Títulos-Receita'!$A$8:$P$1000,15,FALSE),"")</f>
        <v/>
      </c>
      <c r="AE122" s="92">
        <f>IFERROR(VLOOKUP($A122,'13. Mapa Títulos-Receita'!$A$8:$P$1000,16,FALSE),"")</f>
        <v/>
      </c>
    </row>
    <row r="123">
      <c r="A123" s="28">
        <f>IF(C123="","", "CR-"&amp;TEXT(ROW()-7,"000"))</f>
        <v/>
      </c>
      <c r="B123" s="28" t="n"/>
      <c r="C123" s="28" t="n"/>
      <c r="D123" s="111" t="n"/>
      <c r="E123" s="111" t="n"/>
      <c r="F123" s="111" t="n"/>
      <c r="G123" s="28" t="n"/>
      <c r="H123" s="45" t="n"/>
      <c r="I123" s="45" t="n"/>
      <c r="J123" s="28">
        <f>IF(H123="","",IF(I123&gt;=H123,"Recebido",IF($B$4&gt;E123,"Vencido","Aberto")))</f>
        <v/>
      </c>
      <c r="K123" s="4">
        <f>IF(J123="","",IF(OR(J123="Recebido",F123=""),MAX(0,F123-E123),MAX(0,$B$4-E123)))</f>
        <v/>
      </c>
      <c r="L123" s="4">
        <f>IF(K123="","",IF(K123=0,"Em dia",IF(K123&lt;=30,"1-30 dias",IF(K123&lt;=60,"31-60 dias",IF(K123&lt;=90,"61-90 dias","&gt;90 dias")))))</f>
        <v/>
      </c>
      <c r="M123" s="28" t="n"/>
      <c r="N123" s="104" t="inlineStr"/>
      <c r="O123" s="64" t="n"/>
      <c r="P123" s="64">
        <f>IF(C123="","",IF(ISNUMBER(SEARCH("PCMSO",C123)),"PCMSO",IF(OR(ISNUMBER(SEARCH("E-SOCIAL",C123)),ISNUMBER(SEARCH("PSICOSOCIAL",C123))),"eSocial / Psicossocial",IF(O123="Receita recorrente","Carteira recorrente","Projetos / Laudos / Avulsos"))))</f>
        <v/>
      </c>
      <c r="Q123" s="64">
        <f>IF(P123="","",IF(P123="Carteira recorrente","Operação recorrente",IF(P123="PCMSO","Projetos PCMSO",IF(P123="eSocial / Psicossocial","Projetos eSocial/Psicossocial","Projetos / Laudos / Avulsos"))))</f>
        <v/>
      </c>
      <c r="R123" s="64">
        <f>IF(C123="","",IF(ISNUMBER(SEARCH("PCMSO",C123)),"Título com PCMSO no nome",IF(OR(ISNUMBER(SEARCH("E-SOCIAL",C123)),ISNUMBER(SEARCH("PSICOSOCIAL",C123))),"Título com eSocial/Psicossocial no nome",IF(O123="Receita recorrente","Tipo DRE recorrente","Extra sem palavra-chave específica"))))</f>
        <v/>
      </c>
      <c r="S123" s="92">
        <f>IFERROR(VLOOKUP($A123,'13. Mapa Títulos-Receita'!$A$8:$P$1000,4,FALSE),"")</f>
        <v/>
      </c>
      <c r="T123" s="92">
        <f>IFERROR(VLOOKUP($A123,'13. Mapa Títulos-Receita'!$A$8:$P$1000,5,FALSE),"")</f>
        <v/>
      </c>
      <c r="U123" s="92">
        <f>IFERROR(VLOOKUP($A123,'13. Mapa Títulos-Receita'!$A$8:$P$1000,6,FALSE),"")</f>
        <v/>
      </c>
      <c r="V123" s="92">
        <f>IFERROR(VLOOKUP($A123,'13. Mapa Títulos-Receita'!$A$8:$P$1000,7,FALSE),"")</f>
        <v/>
      </c>
      <c r="W123" s="92">
        <f>IFERROR(VLOOKUP($A123,'13. Mapa Títulos-Receita'!$A$8:$P$1000,8,FALSE),"")</f>
        <v/>
      </c>
      <c r="X123" s="92">
        <f>IFERROR(VLOOKUP($A123,'13. Mapa Títulos-Receita'!$A$8:$P$1000,9,FALSE),"")</f>
        <v/>
      </c>
      <c r="Y123" s="92">
        <f>IFERROR(VLOOKUP($A123,'13. Mapa Títulos-Receita'!$A$8:$P$1000,10,FALSE),"")</f>
        <v/>
      </c>
      <c r="Z123" s="92">
        <f>IFERROR(VLOOKUP($A123,'13. Mapa Títulos-Receita'!$A$8:$P$1000,11,FALSE),"")</f>
        <v/>
      </c>
      <c r="AA123" s="92">
        <f>IFERROR(VLOOKUP($A123,'13. Mapa Títulos-Receita'!$A$8:$P$1000,12,FALSE),"")</f>
        <v/>
      </c>
      <c r="AB123" s="92">
        <f>IFERROR(VLOOKUP($A123,'13. Mapa Títulos-Receita'!$A$8:$P$1000,13,FALSE),"")</f>
        <v/>
      </c>
      <c r="AC123" s="92">
        <f>IFERROR(VLOOKUP($A123,'13. Mapa Títulos-Receita'!$A$8:$P$1000,14,FALSE),"")</f>
        <v/>
      </c>
      <c r="AD123" s="92">
        <f>IFERROR(VLOOKUP($A123,'13. Mapa Títulos-Receita'!$A$8:$P$1000,15,FALSE),"")</f>
        <v/>
      </c>
      <c r="AE123" s="92">
        <f>IFERROR(VLOOKUP($A123,'13. Mapa Títulos-Receita'!$A$8:$P$1000,16,FALSE),"")</f>
        <v/>
      </c>
    </row>
    <row r="124">
      <c r="A124" s="28">
        <f>IF(C124="","", "CR-"&amp;TEXT(ROW()-7,"000"))</f>
        <v/>
      </c>
      <c r="B124" s="28" t="n"/>
      <c r="C124" s="28" t="n"/>
      <c r="D124" s="111" t="n"/>
      <c r="E124" s="111" t="n"/>
      <c r="F124" s="111" t="n"/>
      <c r="G124" s="28" t="n"/>
      <c r="H124" s="45" t="n"/>
      <c r="I124" s="45" t="n"/>
      <c r="J124" s="28">
        <f>IF(H124="","",IF(I124&gt;=H124,"Recebido",IF($B$4&gt;E124,"Vencido","Aberto")))</f>
        <v/>
      </c>
      <c r="K124" s="4">
        <f>IF(J124="","",IF(OR(J124="Recebido",F124=""),MAX(0,F124-E124),MAX(0,$B$4-E124)))</f>
        <v/>
      </c>
      <c r="L124" s="4">
        <f>IF(K124="","",IF(K124=0,"Em dia",IF(K124&lt;=30,"1-30 dias",IF(K124&lt;=60,"31-60 dias",IF(K124&lt;=90,"61-90 dias","&gt;90 dias")))))</f>
        <v/>
      </c>
      <c r="M124" s="28" t="n"/>
      <c r="N124" s="104" t="inlineStr"/>
      <c r="O124" s="64" t="n"/>
      <c r="P124" s="64">
        <f>IF(C124="","",IF(ISNUMBER(SEARCH("PCMSO",C124)),"PCMSO",IF(OR(ISNUMBER(SEARCH("E-SOCIAL",C124)),ISNUMBER(SEARCH("PSICOSOCIAL",C124))),"eSocial / Psicossocial",IF(O124="Receita recorrente","Carteira recorrente","Projetos / Laudos / Avulsos"))))</f>
        <v/>
      </c>
      <c r="Q124" s="64">
        <f>IF(P124="","",IF(P124="Carteira recorrente","Operação recorrente",IF(P124="PCMSO","Projetos PCMSO",IF(P124="eSocial / Psicossocial","Projetos eSocial/Psicossocial","Projetos / Laudos / Avulsos"))))</f>
        <v/>
      </c>
      <c r="R124" s="64">
        <f>IF(C124="","",IF(ISNUMBER(SEARCH("PCMSO",C124)),"Título com PCMSO no nome",IF(OR(ISNUMBER(SEARCH("E-SOCIAL",C124)),ISNUMBER(SEARCH("PSICOSOCIAL",C124))),"Título com eSocial/Psicossocial no nome",IF(O124="Receita recorrente","Tipo DRE recorrente","Extra sem palavra-chave específica"))))</f>
        <v/>
      </c>
      <c r="S124" s="92">
        <f>IFERROR(VLOOKUP($A124,'13. Mapa Títulos-Receita'!$A$8:$P$1000,4,FALSE),"")</f>
        <v/>
      </c>
      <c r="T124" s="92">
        <f>IFERROR(VLOOKUP($A124,'13. Mapa Títulos-Receita'!$A$8:$P$1000,5,FALSE),"")</f>
        <v/>
      </c>
      <c r="U124" s="92">
        <f>IFERROR(VLOOKUP($A124,'13. Mapa Títulos-Receita'!$A$8:$P$1000,6,FALSE),"")</f>
        <v/>
      </c>
      <c r="V124" s="92">
        <f>IFERROR(VLOOKUP($A124,'13. Mapa Títulos-Receita'!$A$8:$P$1000,7,FALSE),"")</f>
        <v/>
      </c>
      <c r="W124" s="92">
        <f>IFERROR(VLOOKUP($A124,'13. Mapa Títulos-Receita'!$A$8:$P$1000,8,FALSE),"")</f>
        <v/>
      </c>
      <c r="X124" s="92">
        <f>IFERROR(VLOOKUP($A124,'13. Mapa Títulos-Receita'!$A$8:$P$1000,9,FALSE),"")</f>
        <v/>
      </c>
      <c r="Y124" s="92">
        <f>IFERROR(VLOOKUP($A124,'13. Mapa Títulos-Receita'!$A$8:$P$1000,10,FALSE),"")</f>
        <v/>
      </c>
      <c r="Z124" s="92">
        <f>IFERROR(VLOOKUP($A124,'13. Mapa Títulos-Receita'!$A$8:$P$1000,11,FALSE),"")</f>
        <v/>
      </c>
      <c r="AA124" s="92">
        <f>IFERROR(VLOOKUP($A124,'13. Mapa Títulos-Receita'!$A$8:$P$1000,12,FALSE),"")</f>
        <v/>
      </c>
      <c r="AB124" s="92">
        <f>IFERROR(VLOOKUP($A124,'13. Mapa Títulos-Receita'!$A$8:$P$1000,13,FALSE),"")</f>
        <v/>
      </c>
      <c r="AC124" s="92">
        <f>IFERROR(VLOOKUP($A124,'13. Mapa Títulos-Receita'!$A$8:$P$1000,14,FALSE),"")</f>
        <v/>
      </c>
      <c r="AD124" s="92">
        <f>IFERROR(VLOOKUP($A124,'13. Mapa Títulos-Receita'!$A$8:$P$1000,15,FALSE),"")</f>
        <v/>
      </c>
      <c r="AE124" s="92">
        <f>IFERROR(VLOOKUP($A124,'13. Mapa Títulos-Receita'!$A$8:$P$1000,16,FALSE),"")</f>
        <v/>
      </c>
    </row>
    <row r="125">
      <c r="A125" s="28">
        <f>IF(C125="","", "CR-"&amp;TEXT(ROW()-7,"000"))</f>
        <v/>
      </c>
      <c r="B125" s="28" t="n"/>
      <c r="C125" s="28" t="n"/>
      <c r="D125" s="111" t="n"/>
      <c r="E125" s="111" t="n"/>
      <c r="F125" s="111" t="n"/>
      <c r="G125" s="28" t="n"/>
      <c r="H125" s="45" t="n"/>
      <c r="I125" s="45" t="n"/>
      <c r="J125" s="28">
        <f>IF(H125="","",IF(I125&gt;=H125,"Recebido",IF($B$4&gt;E125,"Vencido","Aberto")))</f>
        <v/>
      </c>
      <c r="K125" s="4">
        <f>IF(J125="","",IF(OR(J125="Recebido",F125=""),MAX(0,F125-E125),MAX(0,$B$4-E125)))</f>
        <v/>
      </c>
      <c r="L125" s="4">
        <f>IF(K125="","",IF(K125=0,"Em dia",IF(K125&lt;=30,"1-30 dias",IF(K125&lt;=60,"31-60 dias",IF(K125&lt;=90,"61-90 dias","&gt;90 dias")))))</f>
        <v/>
      </c>
      <c r="M125" s="28" t="n"/>
      <c r="N125" s="104" t="inlineStr"/>
      <c r="O125" s="64" t="n"/>
      <c r="P125" s="64">
        <f>IF(C125="","",IF(ISNUMBER(SEARCH("PCMSO",C125)),"PCMSO",IF(OR(ISNUMBER(SEARCH("E-SOCIAL",C125)),ISNUMBER(SEARCH("PSICOSOCIAL",C125))),"eSocial / Psicossocial",IF(O125="Receita recorrente","Carteira recorrente","Projetos / Laudos / Avulsos"))))</f>
        <v/>
      </c>
      <c r="Q125" s="64">
        <f>IF(P125="","",IF(P125="Carteira recorrente","Operação recorrente",IF(P125="PCMSO","Projetos PCMSO",IF(P125="eSocial / Psicossocial","Projetos eSocial/Psicossocial","Projetos / Laudos / Avulsos"))))</f>
        <v/>
      </c>
      <c r="R125" s="64">
        <f>IF(C125="","",IF(ISNUMBER(SEARCH("PCMSO",C125)),"Título com PCMSO no nome",IF(OR(ISNUMBER(SEARCH("E-SOCIAL",C125)),ISNUMBER(SEARCH("PSICOSOCIAL",C125))),"Título com eSocial/Psicossocial no nome",IF(O125="Receita recorrente","Tipo DRE recorrente","Extra sem palavra-chave específica"))))</f>
        <v/>
      </c>
      <c r="S125" s="92">
        <f>IFERROR(VLOOKUP($A125,'13. Mapa Títulos-Receita'!$A$8:$P$1000,4,FALSE),"")</f>
        <v/>
      </c>
      <c r="T125" s="92">
        <f>IFERROR(VLOOKUP($A125,'13. Mapa Títulos-Receita'!$A$8:$P$1000,5,FALSE),"")</f>
        <v/>
      </c>
      <c r="U125" s="92">
        <f>IFERROR(VLOOKUP($A125,'13. Mapa Títulos-Receita'!$A$8:$P$1000,6,FALSE),"")</f>
        <v/>
      </c>
      <c r="V125" s="92">
        <f>IFERROR(VLOOKUP($A125,'13. Mapa Títulos-Receita'!$A$8:$P$1000,7,FALSE),"")</f>
        <v/>
      </c>
      <c r="W125" s="92">
        <f>IFERROR(VLOOKUP($A125,'13. Mapa Títulos-Receita'!$A$8:$P$1000,8,FALSE),"")</f>
        <v/>
      </c>
      <c r="X125" s="92">
        <f>IFERROR(VLOOKUP($A125,'13. Mapa Títulos-Receita'!$A$8:$P$1000,9,FALSE),"")</f>
        <v/>
      </c>
      <c r="Y125" s="92">
        <f>IFERROR(VLOOKUP($A125,'13. Mapa Títulos-Receita'!$A$8:$P$1000,10,FALSE),"")</f>
        <v/>
      </c>
      <c r="Z125" s="92">
        <f>IFERROR(VLOOKUP($A125,'13. Mapa Títulos-Receita'!$A$8:$P$1000,11,FALSE),"")</f>
        <v/>
      </c>
      <c r="AA125" s="92">
        <f>IFERROR(VLOOKUP($A125,'13. Mapa Títulos-Receita'!$A$8:$P$1000,12,FALSE),"")</f>
        <v/>
      </c>
      <c r="AB125" s="92">
        <f>IFERROR(VLOOKUP($A125,'13. Mapa Títulos-Receita'!$A$8:$P$1000,13,FALSE),"")</f>
        <v/>
      </c>
      <c r="AC125" s="92">
        <f>IFERROR(VLOOKUP($A125,'13. Mapa Títulos-Receita'!$A$8:$P$1000,14,FALSE),"")</f>
        <v/>
      </c>
      <c r="AD125" s="92">
        <f>IFERROR(VLOOKUP($A125,'13. Mapa Títulos-Receita'!$A$8:$P$1000,15,FALSE),"")</f>
        <v/>
      </c>
      <c r="AE125" s="92">
        <f>IFERROR(VLOOKUP($A125,'13. Mapa Títulos-Receita'!$A$8:$P$1000,16,FALSE),"")</f>
        <v/>
      </c>
    </row>
    <row r="126">
      <c r="A126" s="28">
        <f>IF(C126="","", "CR-"&amp;TEXT(ROW()-7,"000"))</f>
        <v/>
      </c>
      <c r="B126" s="28" t="n"/>
      <c r="C126" s="28" t="n"/>
      <c r="D126" s="111" t="n"/>
      <c r="E126" s="111" t="n"/>
      <c r="F126" s="111" t="n"/>
      <c r="G126" s="28" t="n"/>
      <c r="H126" s="45" t="n"/>
      <c r="I126" s="45" t="n"/>
      <c r="J126" s="28">
        <f>IF(H126="","",IF(I126&gt;=H126,"Recebido",IF($B$4&gt;E126,"Vencido","Aberto")))</f>
        <v/>
      </c>
      <c r="K126" s="4">
        <f>IF(J126="","",IF(OR(J126="Recebido",F126=""),MAX(0,F126-E126),MAX(0,$B$4-E126)))</f>
        <v/>
      </c>
      <c r="L126" s="4">
        <f>IF(K126="","",IF(K126=0,"Em dia",IF(K126&lt;=30,"1-30 dias",IF(K126&lt;=60,"31-60 dias",IF(K126&lt;=90,"61-90 dias","&gt;90 dias")))))</f>
        <v/>
      </c>
      <c r="M126" s="28" t="n"/>
      <c r="N126" s="104" t="inlineStr"/>
      <c r="O126" s="64" t="n"/>
      <c r="P126" s="64">
        <f>IF(C126="","",IF(ISNUMBER(SEARCH("PCMSO",C126)),"PCMSO",IF(OR(ISNUMBER(SEARCH("E-SOCIAL",C126)),ISNUMBER(SEARCH("PSICOSOCIAL",C126))),"eSocial / Psicossocial",IF(O126="Receita recorrente","Carteira recorrente","Projetos / Laudos / Avulsos"))))</f>
        <v/>
      </c>
      <c r="Q126" s="64">
        <f>IF(P126="","",IF(P126="Carteira recorrente","Operação recorrente",IF(P126="PCMSO","Projetos PCMSO",IF(P126="eSocial / Psicossocial","Projetos eSocial/Psicossocial","Projetos / Laudos / Avulsos"))))</f>
        <v/>
      </c>
      <c r="R126" s="64">
        <f>IF(C126="","",IF(ISNUMBER(SEARCH("PCMSO",C126)),"Título com PCMSO no nome",IF(OR(ISNUMBER(SEARCH("E-SOCIAL",C126)),ISNUMBER(SEARCH("PSICOSOCIAL",C126))),"Título com eSocial/Psicossocial no nome",IF(O126="Receita recorrente","Tipo DRE recorrente","Extra sem palavra-chave específica"))))</f>
        <v/>
      </c>
      <c r="S126" s="92">
        <f>IFERROR(VLOOKUP($A126,'13. Mapa Títulos-Receita'!$A$8:$P$1000,4,FALSE),"")</f>
        <v/>
      </c>
      <c r="T126" s="92">
        <f>IFERROR(VLOOKUP($A126,'13. Mapa Títulos-Receita'!$A$8:$P$1000,5,FALSE),"")</f>
        <v/>
      </c>
      <c r="U126" s="92">
        <f>IFERROR(VLOOKUP($A126,'13. Mapa Títulos-Receita'!$A$8:$P$1000,6,FALSE),"")</f>
        <v/>
      </c>
      <c r="V126" s="92">
        <f>IFERROR(VLOOKUP($A126,'13. Mapa Títulos-Receita'!$A$8:$P$1000,7,FALSE),"")</f>
        <v/>
      </c>
      <c r="W126" s="92">
        <f>IFERROR(VLOOKUP($A126,'13. Mapa Títulos-Receita'!$A$8:$P$1000,8,FALSE),"")</f>
        <v/>
      </c>
      <c r="X126" s="92">
        <f>IFERROR(VLOOKUP($A126,'13. Mapa Títulos-Receita'!$A$8:$P$1000,9,FALSE),"")</f>
        <v/>
      </c>
      <c r="Y126" s="92">
        <f>IFERROR(VLOOKUP($A126,'13. Mapa Títulos-Receita'!$A$8:$P$1000,10,FALSE),"")</f>
        <v/>
      </c>
      <c r="Z126" s="92">
        <f>IFERROR(VLOOKUP($A126,'13. Mapa Títulos-Receita'!$A$8:$P$1000,11,FALSE),"")</f>
        <v/>
      </c>
      <c r="AA126" s="92">
        <f>IFERROR(VLOOKUP($A126,'13. Mapa Títulos-Receita'!$A$8:$P$1000,12,FALSE),"")</f>
        <v/>
      </c>
      <c r="AB126" s="92">
        <f>IFERROR(VLOOKUP($A126,'13. Mapa Títulos-Receita'!$A$8:$P$1000,13,FALSE),"")</f>
        <v/>
      </c>
      <c r="AC126" s="92">
        <f>IFERROR(VLOOKUP($A126,'13. Mapa Títulos-Receita'!$A$8:$P$1000,14,FALSE),"")</f>
        <v/>
      </c>
      <c r="AD126" s="92">
        <f>IFERROR(VLOOKUP($A126,'13. Mapa Títulos-Receita'!$A$8:$P$1000,15,FALSE),"")</f>
        <v/>
      </c>
      <c r="AE126" s="92">
        <f>IFERROR(VLOOKUP($A126,'13. Mapa Títulos-Receita'!$A$8:$P$1000,16,FALSE),"")</f>
        <v/>
      </c>
    </row>
    <row r="127">
      <c r="A127" s="28">
        <f>IF(C127="","", "CR-"&amp;TEXT(ROW()-7,"000"))</f>
        <v/>
      </c>
      <c r="B127" s="28" t="n"/>
      <c r="C127" s="28" t="n"/>
      <c r="D127" s="111" t="n"/>
      <c r="E127" s="111" t="n"/>
      <c r="F127" s="111" t="n"/>
      <c r="G127" s="28" t="n"/>
      <c r="H127" s="45" t="n"/>
      <c r="I127" s="45" t="n"/>
      <c r="J127" s="28">
        <f>IF(H127="","",IF(I127&gt;=H127,"Recebido",IF($B$4&gt;E127,"Vencido","Aberto")))</f>
        <v/>
      </c>
      <c r="K127" s="4">
        <f>IF(J127="","",IF(OR(J127="Recebido",F127=""),MAX(0,F127-E127),MAX(0,$B$4-E127)))</f>
        <v/>
      </c>
      <c r="L127" s="4">
        <f>IF(K127="","",IF(K127=0,"Em dia",IF(K127&lt;=30,"1-30 dias",IF(K127&lt;=60,"31-60 dias",IF(K127&lt;=90,"61-90 dias","&gt;90 dias")))))</f>
        <v/>
      </c>
      <c r="M127" s="28" t="n"/>
      <c r="N127" s="104" t="inlineStr"/>
      <c r="O127" s="64" t="n"/>
      <c r="P127" s="64">
        <f>IF(C127="","",IF(ISNUMBER(SEARCH("PCMSO",C127)),"PCMSO",IF(OR(ISNUMBER(SEARCH("E-SOCIAL",C127)),ISNUMBER(SEARCH("PSICOSOCIAL",C127))),"eSocial / Psicossocial",IF(O127="Receita recorrente","Carteira recorrente","Projetos / Laudos / Avulsos"))))</f>
        <v/>
      </c>
      <c r="Q127" s="64">
        <f>IF(P127="","",IF(P127="Carteira recorrente","Operação recorrente",IF(P127="PCMSO","Projetos PCMSO",IF(P127="eSocial / Psicossocial","Projetos eSocial/Psicossocial","Projetos / Laudos / Avulsos"))))</f>
        <v/>
      </c>
      <c r="R127" s="64">
        <f>IF(C127="","",IF(ISNUMBER(SEARCH("PCMSO",C127)),"Título com PCMSO no nome",IF(OR(ISNUMBER(SEARCH("E-SOCIAL",C127)),ISNUMBER(SEARCH("PSICOSOCIAL",C127))),"Título com eSocial/Psicossocial no nome",IF(O127="Receita recorrente","Tipo DRE recorrente","Extra sem palavra-chave específica"))))</f>
        <v/>
      </c>
      <c r="S127" s="92">
        <f>IFERROR(VLOOKUP($A127,'13. Mapa Títulos-Receita'!$A$8:$P$1000,4,FALSE),"")</f>
        <v/>
      </c>
      <c r="T127" s="92">
        <f>IFERROR(VLOOKUP($A127,'13. Mapa Títulos-Receita'!$A$8:$P$1000,5,FALSE),"")</f>
        <v/>
      </c>
      <c r="U127" s="92">
        <f>IFERROR(VLOOKUP($A127,'13. Mapa Títulos-Receita'!$A$8:$P$1000,6,FALSE),"")</f>
        <v/>
      </c>
      <c r="V127" s="92">
        <f>IFERROR(VLOOKUP($A127,'13. Mapa Títulos-Receita'!$A$8:$P$1000,7,FALSE),"")</f>
        <v/>
      </c>
      <c r="W127" s="92">
        <f>IFERROR(VLOOKUP($A127,'13. Mapa Títulos-Receita'!$A$8:$P$1000,8,FALSE),"")</f>
        <v/>
      </c>
      <c r="X127" s="92">
        <f>IFERROR(VLOOKUP($A127,'13. Mapa Títulos-Receita'!$A$8:$P$1000,9,FALSE),"")</f>
        <v/>
      </c>
      <c r="Y127" s="92">
        <f>IFERROR(VLOOKUP($A127,'13. Mapa Títulos-Receita'!$A$8:$P$1000,10,FALSE),"")</f>
        <v/>
      </c>
      <c r="Z127" s="92">
        <f>IFERROR(VLOOKUP($A127,'13. Mapa Títulos-Receita'!$A$8:$P$1000,11,FALSE),"")</f>
        <v/>
      </c>
      <c r="AA127" s="92">
        <f>IFERROR(VLOOKUP($A127,'13. Mapa Títulos-Receita'!$A$8:$P$1000,12,FALSE),"")</f>
        <v/>
      </c>
      <c r="AB127" s="92">
        <f>IFERROR(VLOOKUP($A127,'13. Mapa Títulos-Receita'!$A$8:$P$1000,13,FALSE),"")</f>
        <v/>
      </c>
      <c r="AC127" s="92">
        <f>IFERROR(VLOOKUP($A127,'13. Mapa Títulos-Receita'!$A$8:$P$1000,14,FALSE),"")</f>
        <v/>
      </c>
      <c r="AD127" s="92">
        <f>IFERROR(VLOOKUP($A127,'13. Mapa Títulos-Receita'!$A$8:$P$1000,15,FALSE),"")</f>
        <v/>
      </c>
      <c r="AE127" s="92">
        <f>IFERROR(VLOOKUP($A127,'13. Mapa Títulos-Receita'!$A$8:$P$1000,16,FALSE),"")</f>
        <v/>
      </c>
    </row>
    <row r="128">
      <c r="A128" s="28">
        <f>IF(C128="","", "CR-"&amp;TEXT(ROW()-7,"000"))</f>
        <v/>
      </c>
      <c r="B128" s="28" t="n"/>
      <c r="C128" s="28" t="n"/>
      <c r="D128" s="111" t="n"/>
      <c r="E128" s="111" t="n"/>
      <c r="F128" s="111" t="n"/>
      <c r="G128" s="28" t="n"/>
      <c r="H128" s="45" t="n"/>
      <c r="I128" s="45" t="n"/>
      <c r="J128" s="28">
        <f>IF(H128="","",IF(I128&gt;=H128,"Recebido",IF($B$4&gt;E128,"Vencido","Aberto")))</f>
        <v/>
      </c>
      <c r="K128" s="4">
        <f>IF(J128="","",IF(OR(J128="Recebido",F128=""),MAX(0,F128-E128),MAX(0,$B$4-E128)))</f>
        <v/>
      </c>
      <c r="L128" s="4">
        <f>IF(K128="","",IF(K128=0,"Em dia",IF(K128&lt;=30,"1-30 dias",IF(K128&lt;=60,"31-60 dias",IF(K128&lt;=90,"61-90 dias","&gt;90 dias")))))</f>
        <v/>
      </c>
      <c r="M128" s="28" t="n"/>
      <c r="N128" s="104" t="inlineStr"/>
      <c r="O128" s="64" t="n"/>
      <c r="P128" s="64">
        <f>IF(C128="","",IF(ISNUMBER(SEARCH("PCMSO",C128)),"PCMSO",IF(OR(ISNUMBER(SEARCH("E-SOCIAL",C128)),ISNUMBER(SEARCH("PSICOSOCIAL",C128))),"eSocial / Psicossocial",IF(O128="Receita recorrente","Carteira recorrente","Projetos / Laudos / Avulsos"))))</f>
        <v/>
      </c>
      <c r="Q128" s="64">
        <f>IF(P128="","",IF(P128="Carteira recorrente","Operação recorrente",IF(P128="PCMSO","Projetos PCMSO",IF(P128="eSocial / Psicossocial","Projetos eSocial/Psicossocial","Projetos / Laudos / Avulsos"))))</f>
        <v/>
      </c>
      <c r="R128" s="64">
        <f>IF(C128="","",IF(ISNUMBER(SEARCH("PCMSO",C128)),"Título com PCMSO no nome",IF(OR(ISNUMBER(SEARCH("E-SOCIAL",C128)),ISNUMBER(SEARCH("PSICOSOCIAL",C128))),"Título com eSocial/Psicossocial no nome",IF(O128="Receita recorrente","Tipo DRE recorrente","Extra sem palavra-chave específica"))))</f>
        <v/>
      </c>
      <c r="S128" s="92">
        <f>IFERROR(VLOOKUP($A128,'13. Mapa Títulos-Receita'!$A$8:$P$1000,4,FALSE),"")</f>
        <v/>
      </c>
      <c r="T128" s="92">
        <f>IFERROR(VLOOKUP($A128,'13. Mapa Títulos-Receita'!$A$8:$P$1000,5,FALSE),"")</f>
        <v/>
      </c>
      <c r="U128" s="92">
        <f>IFERROR(VLOOKUP($A128,'13. Mapa Títulos-Receita'!$A$8:$P$1000,6,FALSE),"")</f>
        <v/>
      </c>
      <c r="V128" s="92">
        <f>IFERROR(VLOOKUP($A128,'13. Mapa Títulos-Receita'!$A$8:$P$1000,7,FALSE),"")</f>
        <v/>
      </c>
      <c r="W128" s="92">
        <f>IFERROR(VLOOKUP($A128,'13. Mapa Títulos-Receita'!$A$8:$P$1000,8,FALSE),"")</f>
        <v/>
      </c>
      <c r="X128" s="92">
        <f>IFERROR(VLOOKUP($A128,'13. Mapa Títulos-Receita'!$A$8:$P$1000,9,FALSE),"")</f>
        <v/>
      </c>
      <c r="Y128" s="92">
        <f>IFERROR(VLOOKUP($A128,'13. Mapa Títulos-Receita'!$A$8:$P$1000,10,FALSE),"")</f>
        <v/>
      </c>
      <c r="Z128" s="92">
        <f>IFERROR(VLOOKUP($A128,'13. Mapa Títulos-Receita'!$A$8:$P$1000,11,FALSE),"")</f>
        <v/>
      </c>
      <c r="AA128" s="92">
        <f>IFERROR(VLOOKUP($A128,'13. Mapa Títulos-Receita'!$A$8:$P$1000,12,FALSE),"")</f>
        <v/>
      </c>
      <c r="AB128" s="92">
        <f>IFERROR(VLOOKUP($A128,'13. Mapa Títulos-Receita'!$A$8:$P$1000,13,FALSE),"")</f>
        <v/>
      </c>
      <c r="AC128" s="92">
        <f>IFERROR(VLOOKUP($A128,'13. Mapa Títulos-Receita'!$A$8:$P$1000,14,FALSE),"")</f>
        <v/>
      </c>
      <c r="AD128" s="92">
        <f>IFERROR(VLOOKUP($A128,'13. Mapa Títulos-Receita'!$A$8:$P$1000,15,FALSE),"")</f>
        <v/>
      </c>
      <c r="AE128" s="92">
        <f>IFERROR(VLOOKUP($A128,'13. Mapa Títulos-Receita'!$A$8:$P$1000,16,FALSE),"")</f>
        <v/>
      </c>
    </row>
    <row r="129">
      <c r="A129" s="28">
        <f>IF(C129="","", "CR-"&amp;TEXT(ROW()-7,"000"))</f>
        <v/>
      </c>
      <c r="B129" s="28" t="n"/>
      <c r="C129" s="28" t="n"/>
      <c r="D129" s="111" t="n"/>
      <c r="E129" s="111" t="n"/>
      <c r="F129" s="111" t="n"/>
      <c r="G129" s="28" t="n"/>
      <c r="H129" s="45" t="n"/>
      <c r="I129" s="45" t="n"/>
      <c r="J129" s="28">
        <f>IF(H129="","",IF(I129&gt;=H129,"Recebido",IF($B$4&gt;E129,"Vencido","Aberto")))</f>
        <v/>
      </c>
      <c r="K129" s="4">
        <f>IF(J129="","",IF(OR(J129="Recebido",F129=""),MAX(0,F129-E129),MAX(0,$B$4-E129)))</f>
        <v/>
      </c>
      <c r="L129" s="4">
        <f>IF(K129="","",IF(K129=0,"Em dia",IF(K129&lt;=30,"1-30 dias",IF(K129&lt;=60,"31-60 dias",IF(K129&lt;=90,"61-90 dias","&gt;90 dias")))))</f>
        <v/>
      </c>
      <c r="M129" s="28" t="n"/>
      <c r="N129" s="104" t="inlineStr"/>
      <c r="O129" s="64" t="n"/>
      <c r="P129" s="64">
        <f>IF(C129="","",IF(ISNUMBER(SEARCH("PCMSO",C129)),"PCMSO",IF(OR(ISNUMBER(SEARCH("E-SOCIAL",C129)),ISNUMBER(SEARCH("PSICOSOCIAL",C129))),"eSocial / Psicossocial",IF(O129="Receita recorrente","Carteira recorrente","Projetos / Laudos / Avulsos"))))</f>
        <v/>
      </c>
      <c r="Q129" s="64">
        <f>IF(P129="","",IF(P129="Carteira recorrente","Operação recorrente",IF(P129="PCMSO","Projetos PCMSO",IF(P129="eSocial / Psicossocial","Projetos eSocial/Psicossocial","Projetos / Laudos / Avulsos"))))</f>
        <v/>
      </c>
      <c r="R129" s="64">
        <f>IF(C129="","",IF(ISNUMBER(SEARCH("PCMSO",C129)),"Título com PCMSO no nome",IF(OR(ISNUMBER(SEARCH("E-SOCIAL",C129)),ISNUMBER(SEARCH("PSICOSOCIAL",C129))),"Título com eSocial/Psicossocial no nome",IF(O129="Receita recorrente","Tipo DRE recorrente","Extra sem palavra-chave específica"))))</f>
        <v/>
      </c>
      <c r="S129" s="92">
        <f>IFERROR(VLOOKUP($A129,'13. Mapa Títulos-Receita'!$A$8:$P$1000,4,FALSE),"")</f>
        <v/>
      </c>
      <c r="T129" s="92">
        <f>IFERROR(VLOOKUP($A129,'13. Mapa Títulos-Receita'!$A$8:$P$1000,5,FALSE),"")</f>
        <v/>
      </c>
      <c r="U129" s="92">
        <f>IFERROR(VLOOKUP($A129,'13. Mapa Títulos-Receita'!$A$8:$P$1000,6,FALSE),"")</f>
        <v/>
      </c>
      <c r="V129" s="92">
        <f>IFERROR(VLOOKUP($A129,'13. Mapa Títulos-Receita'!$A$8:$P$1000,7,FALSE),"")</f>
        <v/>
      </c>
      <c r="W129" s="92">
        <f>IFERROR(VLOOKUP($A129,'13. Mapa Títulos-Receita'!$A$8:$P$1000,8,FALSE),"")</f>
        <v/>
      </c>
      <c r="X129" s="92">
        <f>IFERROR(VLOOKUP($A129,'13. Mapa Títulos-Receita'!$A$8:$P$1000,9,FALSE),"")</f>
        <v/>
      </c>
      <c r="Y129" s="92">
        <f>IFERROR(VLOOKUP($A129,'13. Mapa Títulos-Receita'!$A$8:$P$1000,10,FALSE),"")</f>
        <v/>
      </c>
      <c r="Z129" s="92">
        <f>IFERROR(VLOOKUP($A129,'13. Mapa Títulos-Receita'!$A$8:$P$1000,11,FALSE),"")</f>
        <v/>
      </c>
      <c r="AA129" s="92">
        <f>IFERROR(VLOOKUP($A129,'13. Mapa Títulos-Receita'!$A$8:$P$1000,12,FALSE),"")</f>
        <v/>
      </c>
      <c r="AB129" s="92">
        <f>IFERROR(VLOOKUP($A129,'13. Mapa Títulos-Receita'!$A$8:$P$1000,13,FALSE),"")</f>
        <v/>
      </c>
      <c r="AC129" s="92">
        <f>IFERROR(VLOOKUP($A129,'13. Mapa Títulos-Receita'!$A$8:$P$1000,14,FALSE),"")</f>
        <v/>
      </c>
      <c r="AD129" s="92">
        <f>IFERROR(VLOOKUP($A129,'13. Mapa Títulos-Receita'!$A$8:$P$1000,15,FALSE),"")</f>
        <v/>
      </c>
      <c r="AE129" s="92">
        <f>IFERROR(VLOOKUP($A129,'13. Mapa Títulos-Receita'!$A$8:$P$1000,16,FALSE),"")</f>
        <v/>
      </c>
    </row>
    <row r="130">
      <c r="A130" s="28">
        <f>IF(C130="","", "CR-"&amp;TEXT(ROW()-7,"000"))</f>
        <v/>
      </c>
      <c r="B130" s="28" t="n"/>
      <c r="C130" s="28" t="n"/>
      <c r="D130" s="111" t="n"/>
      <c r="E130" s="111" t="n"/>
      <c r="F130" s="111" t="n"/>
      <c r="G130" s="28" t="n"/>
      <c r="H130" s="45" t="n"/>
      <c r="I130" s="45" t="n"/>
      <c r="J130" s="28">
        <f>IF(H130="","",IF(I130&gt;=H130,"Recebido",IF($B$4&gt;E130,"Vencido","Aberto")))</f>
        <v/>
      </c>
      <c r="K130" s="4">
        <f>IF(J130="","",IF(OR(J130="Recebido",F130=""),MAX(0,F130-E130),MAX(0,$B$4-E130)))</f>
        <v/>
      </c>
      <c r="L130" s="4">
        <f>IF(K130="","",IF(K130=0,"Em dia",IF(K130&lt;=30,"1-30 dias",IF(K130&lt;=60,"31-60 dias",IF(K130&lt;=90,"61-90 dias","&gt;90 dias")))))</f>
        <v/>
      </c>
      <c r="M130" s="28" t="n"/>
      <c r="N130" s="104" t="inlineStr"/>
      <c r="O130" s="64" t="n"/>
      <c r="P130" s="64">
        <f>IF(C130="","",IF(ISNUMBER(SEARCH("PCMSO",C130)),"PCMSO",IF(OR(ISNUMBER(SEARCH("E-SOCIAL",C130)),ISNUMBER(SEARCH("PSICOSOCIAL",C130))),"eSocial / Psicossocial",IF(O130="Receita recorrente","Carteira recorrente","Projetos / Laudos / Avulsos"))))</f>
        <v/>
      </c>
      <c r="Q130" s="64">
        <f>IF(P130="","",IF(P130="Carteira recorrente","Operação recorrente",IF(P130="PCMSO","Projetos PCMSO",IF(P130="eSocial / Psicossocial","Projetos eSocial/Psicossocial","Projetos / Laudos / Avulsos"))))</f>
        <v/>
      </c>
      <c r="R130" s="64">
        <f>IF(C130="","",IF(ISNUMBER(SEARCH("PCMSO",C130)),"Título com PCMSO no nome",IF(OR(ISNUMBER(SEARCH("E-SOCIAL",C130)),ISNUMBER(SEARCH("PSICOSOCIAL",C130))),"Título com eSocial/Psicossocial no nome",IF(O130="Receita recorrente","Tipo DRE recorrente","Extra sem palavra-chave específica"))))</f>
        <v/>
      </c>
      <c r="S130" s="92">
        <f>IFERROR(VLOOKUP($A130,'13. Mapa Títulos-Receita'!$A$8:$P$1000,4,FALSE),"")</f>
        <v/>
      </c>
      <c r="T130" s="92">
        <f>IFERROR(VLOOKUP($A130,'13. Mapa Títulos-Receita'!$A$8:$P$1000,5,FALSE),"")</f>
        <v/>
      </c>
      <c r="U130" s="92">
        <f>IFERROR(VLOOKUP($A130,'13. Mapa Títulos-Receita'!$A$8:$P$1000,6,FALSE),"")</f>
        <v/>
      </c>
      <c r="V130" s="92">
        <f>IFERROR(VLOOKUP($A130,'13. Mapa Títulos-Receita'!$A$8:$P$1000,7,FALSE),"")</f>
        <v/>
      </c>
      <c r="W130" s="92">
        <f>IFERROR(VLOOKUP($A130,'13. Mapa Títulos-Receita'!$A$8:$P$1000,8,FALSE),"")</f>
        <v/>
      </c>
      <c r="X130" s="92">
        <f>IFERROR(VLOOKUP($A130,'13. Mapa Títulos-Receita'!$A$8:$P$1000,9,FALSE),"")</f>
        <v/>
      </c>
      <c r="Y130" s="92">
        <f>IFERROR(VLOOKUP($A130,'13. Mapa Títulos-Receita'!$A$8:$P$1000,10,FALSE),"")</f>
        <v/>
      </c>
      <c r="Z130" s="92">
        <f>IFERROR(VLOOKUP($A130,'13. Mapa Títulos-Receita'!$A$8:$P$1000,11,FALSE),"")</f>
        <v/>
      </c>
      <c r="AA130" s="92">
        <f>IFERROR(VLOOKUP($A130,'13. Mapa Títulos-Receita'!$A$8:$P$1000,12,FALSE),"")</f>
        <v/>
      </c>
      <c r="AB130" s="92">
        <f>IFERROR(VLOOKUP($A130,'13. Mapa Títulos-Receita'!$A$8:$P$1000,13,FALSE),"")</f>
        <v/>
      </c>
      <c r="AC130" s="92">
        <f>IFERROR(VLOOKUP($A130,'13. Mapa Títulos-Receita'!$A$8:$P$1000,14,FALSE),"")</f>
        <v/>
      </c>
      <c r="AD130" s="92">
        <f>IFERROR(VLOOKUP($A130,'13. Mapa Títulos-Receita'!$A$8:$P$1000,15,FALSE),"")</f>
        <v/>
      </c>
      <c r="AE130" s="92">
        <f>IFERROR(VLOOKUP($A130,'13. Mapa Títulos-Receita'!$A$8:$P$1000,16,FALSE),"")</f>
        <v/>
      </c>
    </row>
    <row r="131">
      <c r="A131" s="28">
        <f>IF(C131="","", "CR-"&amp;TEXT(ROW()-7,"000"))</f>
        <v/>
      </c>
      <c r="B131" s="28" t="n"/>
      <c r="C131" s="28" t="n"/>
      <c r="D131" s="111" t="n"/>
      <c r="E131" s="111" t="n"/>
      <c r="F131" s="111" t="n"/>
      <c r="G131" s="28" t="n"/>
      <c r="H131" s="45" t="n"/>
      <c r="I131" s="45" t="n"/>
      <c r="J131" s="28">
        <f>IF(H131="","",IF(I131&gt;=H131,"Recebido",IF($B$4&gt;E131,"Vencido","Aberto")))</f>
        <v/>
      </c>
      <c r="K131" s="4">
        <f>IF(J131="","",IF(OR(J131="Recebido",F131=""),MAX(0,F131-E131),MAX(0,$B$4-E131)))</f>
        <v/>
      </c>
      <c r="L131" s="4">
        <f>IF(K131="","",IF(K131=0,"Em dia",IF(K131&lt;=30,"1-30 dias",IF(K131&lt;=60,"31-60 dias",IF(K131&lt;=90,"61-90 dias","&gt;90 dias")))))</f>
        <v/>
      </c>
      <c r="M131" s="28" t="n"/>
      <c r="N131" s="104" t="inlineStr"/>
      <c r="O131" s="64" t="n"/>
      <c r="P131" s="64">
        <f>IF(C131="","",IF(ISNUMBER(SEARCH("PCMSO",C131)),"PCMSO",IF(OR(ISNUMBER(SEARCH("E-SOCIAL",C131)),ISNUMBER(SEARCH("PSICOSOCIAL",C131))),"eSocial / Psicossocial",IF(O131="Receita recorrente","Carteira recorrente","Projetos / Laudos / Avulsos"))))</f>
        <v/>
      </c>
      <c r="Q131" s="64">
        <f>IF(P131="","",IF(P131="Carteira recorrente","Operação recorrente",IF(P131="PCMSO","Projetos PCMSO",IF(P131="eSocial / Psicossocial","Projetos eSocial/Psicossocial","Projetos / Laudos / Avulsos"))))</f>
        <v/>
      </c>
      <c r="R131" s="64">
        <f>IF(C131="","",IF(ISNUMBER(SEARCH("PCMSO",C131)),"Título com PCMSO no nome",IF(OR(ISNUMBER(SEARCH("E-SOCIAL",C131)),ISNUMBER(SEARCH("PSICOSOCIAL",C131))),"Título com eSocial/Psicossocial no nome",IF(O131="Receita recorrente","Tipo DRE recorrente","Extra sem palavra-chave específica"))))</f>
        <v/>
      </c>
      <c r="S131" s="92">
        <f>IFERROR(VLOOKUP($A131,'13. Mapa Títulos-Receita'!$A$8:$P$1000,4,FALSE),"")</f>
        <v/>
      </c>
      <c r="T131" s="92">
        <f>IFERROR(VLOOKUP($A131,'13. Mapa Títulos-Receita'!$A$8:$P$1000,5,FALSE),"")</f>
        <v/>
      </c>
      <c r="U131" s="92">
        <f>IFERROR(VLOOKUP($A131,'13. Mapa Títulos-Receita'!$A$8:$P$1000,6,FALSE),"")</f>
        <v/>
      </c>
      <c r="V131" s="92">
        <f>IFERROR(VLOOKUP($A131,'13. Mapa Títulos-Receita'!$A$8:$P$1000,7,FALSE),"")</f>
        <v/>
      </c>
      <c r="W131" s="92">
        <f>IFERROR(VLOOKUP($A131,'13. Mapa Títulos-Receita'!$A$8:$P$1000,8,FALSE),"")</f>
        <v/>
      </c>
      <c r="X131" s="92">
        <f>IFERROR(VLOOKUP($A131,'13. Mapa Títulos-Receita'!$A$8:$P$1000,9,FALSE),"")</f>
        <v/>
      </c>
      <c r="Y131" s="92">
        <f>IFERROR(VLOOKUP($A131,'13. Mapa Títulos-Receita'!$A$8:$P$1000,10,FALSE),"")</f>
        <v/>
      </c>
      <c r="Z131" s="92">
        <f>IFERROR(VLOOKUP($A131,'13. Mapa Títulos-Receita'!$A$8:$P$1000,11,FALSE),"")</f>
        <v/>
      </c>
      <c r="AA131" s="92">
        <f>IFERROR(VLOOKUP($A131,'13. Mapa Títulos-Receita'!$A$8:$P$1000,12,FALSE),"")</f>
        <v/>
      </c>
      <c r="AB131" s="92">
        <f>IFERROR(VLOOKUP($A131,'13. Mapa Títulos-Receita'!$A$8:$P$1000,13,FALSE),"")</f>
        <v/>
      </c>
      <c r="AC131" s="92">
        <f>IFERROR(VLOOKUP($A131,'13. Mapa Títulos-Receita'!$A$8:$P$1000,14,FALSE),"")</f>
        <v/>
      </c>
      <c r="AD131" s="92">
        <f>IFERROR(VLOOKUP($A131,'13. Mapa Títulos-Receita'!$A$8:$P$1000,15,FALSE),"")</f>
        <v/>
      </c>
      <c r="AE131" s="92">
        <f>IFERROR(VLOOKUP($A131,'13. Mapa Títulos-Receita'!$A$8:$P$1000,16,FALSE),"")</f>
        <v/>
      </c>
    </row>
    <row r="132">
      <c r="A132" s="28">
        <f>IF(C132="","", "CR-"&amp;TEXT(ROW()-7,"000"))</f>
        <v/>
      </c>
      <c r="B132" s="28" t="n"/>
      <c r="C132" s="28" t="n"/>
      <c r="D132" s="111" t="n"/>
      <c r="E132" s="111" t="n"/>
      <c r="F132" s="111" t="n"/>
      <c r="G132" s="28" t="n"/>
      <c r="H132" s="45" t="n"/>
      <c r="I132" s="45" t="n"/>
      <c r="J132" s="28">
        <f>IF(H132="","",IF(I132&gt;=H132,"Recebido",IF($B$4&gt;E132,"Vencido","Aberto")))</f>
        <v/>
      </c>
      <c r="K132" s="4">
        <f>IF(J132="","",IF(OR(J132="Recebido",F132=""),MAX(0,F132-E132),MAX(0,$B$4-E132)))</f>
        <v/>
      </c>
      <c r="L132" s="4">
        <f>IF(K132="","",IF(K132=0,"Em dia",IF(K132&lt;=30,"1-30 dias",IF(K132&lt;=60,"31-60 dias",IF(K132&lt;=90,"61-90 dias","&gt;90 dias")))))</f>
        <v/>
      </c>
      <c r="M132" s="28" t="n"/>
      <c r="N132" s="104" t="inlineStr"/>
      <c r="O132" s="64" t="n"/>
      <c r="P132" s="64">
        <f>IF(C132="","",IF(ISNUMBER(SEARCH("PCMSO",C132)),"PCMSO",IF(OR(ISNUMBER(SEARCH("E-SOCIAL",C132)),ISNUMBER(SEARCH("PSICOSOCIAL",C132))),"eSocial / Psicossocial",IF(O132="Receita recorrente","Carteira recorrente","Projetos / Laudos / Avulsos"))))</f>
        <v/>
      </c>
      <c r="Q132" s="64">
        <f>IF(P132="","",IF(P132="Carteira recorrente","Operação recorrente",IF(P132="PCMSO","Projetos PCMSO",IF(P132="eSocial / Psicossocial","Projetos eSocial/Psicossocial","Projetos / Laudos / Avulsos"))))</f>
        <v/>
      </c>
      <c r="R132" s="64">
        <f>IF(C132="","",IF(ISNUMBER(SEARCH("PCMSO",C132)),"Título com PCMSO no nome",IF(OR(ISNUMBER(SEARCH("E-SOCIAL",C132)),ISNUMBER(SEARCH("PSICOSOCIAL",C132))),"Título com eSocial/Psicossocial no nome",IF(O132="Receita recorrente","Tipo DRE recorrente","Extra sem palavra-chave específica"))))</f>
        <v/>
      </c>
      <c r="S132" s="92">
        <f>IFERROR(VLOOKUP($A132,'13. Mapa Títulos-Receita'!$A$8:$P$1000,4,FALSE),"")</f>
        <v/>
      </c>
      <c r="T132" s="92">
        <f>IFERROR(VLOOKUP($A132,'13. Mapa Títulos-Receita'!$A$8:$P$1000,5,FALSE),"")</f>
        <v/>
      </c>
      <c r="U132" s="92">
        <f>IFERROR(VLOOKUP($A132,'13. Mapa Títulos-Receita'!$A$8:$P$1000,6,FALSE),"")</f>
        <v/>
      </c>
      <c r="V132" s="92">
        <f>IFERROR(VLOOKUP($A132,'13. Mapa Títulos-Receita'!$A$8:$P$1000,7,FALSE),"")</f>
        <v/>
      </c>
      <c r="W132" s="92">
        <f>IFERROR(VLOOKUP($A132,'13. Mapa Títulos-Receita'!$A$8:$P$1000,8,FALSE),"")</f>
        <v/>
      </c>
      <c r="X132" s="92">
        <f>IFERROR(VLOOKUP($A132,'13. Mapa Títulos-Receita'!$A$8:$P$1000,9,FALSE),"")</f>
        <v/>
      </c>
      <c r="Y132" s="92">
        <f>IFERROR(VLOOKUP($A132,'13. Mapa Títulos-Receita'!$A$8:$P$1000,10,FALSE),"")</f>
        <v/>
      </c>
      <c r="Z132" s="92">
        <f>IFERROR(VLOOKUP($A132,'13. Mapa Títulos-Receita'!$A$8:$P$1000,11,FALSE),"")</f>
        <v/>
      </c>
      <c r="AA132" s="92">
        <f>IFERROR(VLOOKUP($A132,'13. Mapa Títulos-Receita'!$A$8:$P$1000,12,FALSE),"")</f>
        <v/>
      </c>
      <c r="AB132" s="92">
        <f>IFERROR(VLOOKUP($A132,'13. Mapa Títulos-Receita'!$A$8:$P$1000,13,FALSE),"")</f>
        <v/>
      </c>
      <c r="AC132" s="92">
        <f>IFERROR(VLOOKUP($A132,'13. Mapa Títulos-Receita'!$A$8:$P$1000,14,FALSE),"")</f>
        <v/>
      </c>
      <c r="AD132" s="92">
        <f>IFERROR(VLOOKUP($A132,'13. Mapa Títulos-Receita'!$A$8:$P$1000,15,FALSE),"")</f>
        <v/>
      </c>
      <c r="AE132" s="92">
        <f>IFERROR(VLOOKUP($A132,'13. Mapa Títulos-Receita'!$A$8:$P$1000,16,FALSE),"")</f>
        <v/>
      </c>
    </row>
    <row r="133">
      <c r="A133" s="28">
        <f>IF(C133="","", "CR-"&amp;TEXT(ROW()-7,"000"))</f>
        <v/>
      </c>
      <c r="B133" s="28" t="n"/>
      <c r="C133" s="28" t="n"/>
      <c r="D133" s="111" t="n"/>
      <c r="E133" s="111" t="n"/>
      <c r="F133" s="111" t="n"/>
      <c r="G133" s="28" t="n"/>
      <c r="H133" s="45" t="n"/>
      <c r="I133" s="45" t="n"/>
      <c r="J133" s="28">
        <f>IF(H133="","",IF(I133&gt;=H133,"Recebido",IF($B$4&gt;E133,"Vencido","Aberto")))</f>
        <v/>
      </c>
      <c r="K133" s="4">
        <f>IF(J133="","",IF(OR(J133="Recebido",F133=""),MAX(0,F133-E133),MAX(0,$B$4-E133)))</f>
        <v/>
      </c>
      <c r="L133" s="4">
        <f>IF(K133="","",IF(K133=0,"Em dia",IF(K133&lt;=30,"1-30 dias",IF(K133&lt;=60,"31-60 dias",IF(K133&lt;=90,"61-90 dias","&gt;90 dias")))))</f>
        <v/>
      </c>
      <c r="M133" s="28" t="n"/>
      <c r="N133" s="104" t="inlineStr"/>
      <c r="O133" s="64" t="n"/>
      <c r="P133" s="64">
        <f>IF(C133="","",IF(ISNUMBER(SEARCH("PCMSO",C133)),"PCMSO",IF(OR(ISNUMBER(SEARCH("E-SOCIAL",C133)),ISNUMBER(SEARCH("PSICOSOCIAL",C133))),"eSocial / Psicossocial",IF(O133="Receita recorrente","Carteira recorrente","Projetos / Laudos / Avulsos"))))</f>
        <v/>
      </c>
      <c r="Q133" s="64">
        <f>IF(P133="","",IF(P133="Carteira recorrente","Operação recorrente",IF(P133="PCMSO","Projetos PCMSO",IF(P133="eSocial / Psicossocial","Projetos eSocial/Psicossocial","Projetos / Laudos / Avulsos"))))</f>
        <v/>
      </c>
      <c r="R133" s="64">
        <f>IF(C133="","",IF(ISNUMBER(SEARCH("PCMSO",C133)),"Título com PCMSO no nome",IF(OR(ISNUMBER(SEARCH("E-SOCIAL",C133)),ISNUMBER(SEARCH("PSICOSOCIAL",C133))),"Título com eSocial/Psicossocial no nome",IF(O133="Receita recorrente","Tipo DRE recorrente","Extra sem palavra-chave específica"))))</f>
        <v/>
      </c>
      <c r="S133" s="92">
        <f>IFERROR(VLOOKUP($A133,'13. Mapa Títulos-Receita'!$A$8:$P$1000,4,FALSE),"")</f>
        <v/>
      </c>
      <c r="T133" s="92">
        <f>IFERROR(VLOOKUP($A133,'13. Mapa Títulos-Receita'!$A$8:$P$1000,5,FALSE),"")</f>
        <v/>
      </c>
      <c r="U133" s="92">
        <f>IFERROR(VLOOKUP($A133,'13. Mapa Títulos-Receita'!$A$8:$P$1000,6,FALSE),"")</f>
        <v/>
      </c>
      <c r="V133" s="92">
        <f>IFERROR(VLOOKUP($A133,'13. Mapa Títulos-Receita'!$A$8:$P$1000,7,FALSE),"")</f>
        <v/>
      </c>
      <c r="W133" s="92">
        <f>IFERROR(VLOOKUP($A133,'13. Mapa Títulos-Receita'!$A$8:$P$1000,8,FALSE),"")</f>
        <v/>
      </c>
      <c r="X133" s="92">
        <f>IFERROR(VLOOKUP($A133,'13. Mapa Títulos-Receita'!$A$8:$P$1000,9,FALSE),"")</f>
        <v/>
      </c>
      <c r="Y133" s="92">
        <f>IFERROR(VLOOKUP($A133,'13. Mapa Títulos-Receita'!$A$8:$P$1000,10,FALSE),"")</f>
        <v/>
      </c>
      <c r="Z133" s="92">
        <f>IFERROR(VLOOKUP($A133,'13. Mapa Títulos-Receita'!$A$8:$P$1000,11,FALSE),"")</f>
        <v/>
      </c>
      <c r="AA133" s="92">
        <f>IFERROR(VLOOKUP($A133,'13. Mapa Títulos-Receita'!$A$8:$P$1000,12,FALSE),"")</f>
        <v/>
      </c>
      <c r="AB133" s="92">
        <f>IFERROR(VLOOKUP($A133,'13. Mapa Títulos-Receita'!$A$8:$P$1000,13,FALSE),"")</f>
        <v/>
      </c>
      <c r="AC133" s="92">
        <f>IFERROR(VLOOKUP($A133,'13. Mapa Títulos-Receita'!$A$8:$P$1000,14,FALSE),"")</f>
        <v/>
      </c>
      <c r="AD133" s="92">
        <f>IFERROR(VLOOKUP($A133,'13. Mapa Títulos-Receita'!$A$8:$P$1000,15,FALSE),"")</f>
        <v/>
      </c>
      <c r="AE133" s="92">
        <f>IFERROR(VLOOKUP($A133,'13. Mapa Títulos-Receita'!$A$8:$P$1000,16,FALSE),"")</f>
        <v/>
      </c>
    </row>
    <row r="134">
      <c r="A134" s="28">
        <f>IF(C134="","", "CR-"&amp;TEXT(ROW()-7,"000"))</f>
        <v/>
      </c>
      <c r="B134" s="28" t="n"/>
      <c r="C134" s="28" t="n"/>
      <c r="D134" s="111" t="n"/>
      <c r="E134" s="111" t="n"/>
      <c r="F134" s="111" t="n"/>
      <c r="G134" s="28" t="n"/>
      <c r="H134" s="45" t="n"/>
      <c r="I134" s="45" t="n"/>
      <c r="J134" s="28">
        <f>IF(H134="","",IF(I134&gt;=H134,"Recebido",IF($B$4&gt;E134,"Vencido","Aberto")))</f>
        <v/>
      </c>
      <c r="K134" s="4">
        <f>IF(J134="","",IF(OR(J134="Recebido",F134=""),MAX(0,F134-E134),MAX(0,$B$4-E134)))</f>
        <v/>
      </c>
      <c r="L134" s="4">
        <f>IF(K134="","",IF(K134=0,"Em dia",IF(K134&lt;=30,"1-30 dias",IF(K134&lt;=60,"31-60 dias",IF(K134&lt;=90,"61-90 dias","&gt;90 dias")))))</f>
        <v/>
      </c>
      <c r="M134" s="28" t="n"/>
      <c r="N134" s="104" t="inlineStr"/>
      <c r="O134" s="64" t="n"/>
      <c r="P134" s="64">
        <f>IF(C134="","",IF(ISNUMBER(SEARCH("PCMSO",C134)),"PCMSO",IF(OR(ISNUMBER(SEARCH("E-SOCIAL",C134)),ISNUMBER(SEARCH("PSICOSOCIAL",C134))),"eSocial / Psicossocial",IF(O134="Receita recorrente","Carteira recorrente","Projetos / Laudos / Avulsos"))))</f>
        <v/>
      </c>
      <c r="Q134" s="64">
        <f>IF(P134="","",IF(P134="Carteira recorrente","Operação recorrente",IF(P134="PCMSO","Projetos PCMSO",IF(P134="eSocial / Psicossocial","Projetos eSocial/Psicossocial","Projetos / Laudos / Avulsos"))))</f>
        <v/>
      </c>
      <c r="R134" s="64">
        <f>IF(C134="","",IF(ISNUMBER(SEARCH("PCMSO",C134)),"Título com PCMSO no nome",IF(OR(ISNUMBER(SEARCH("E-SOCIAL",C134)),ISNUMBER(SEARCH("PSICOSOCIAL",C134))),"Título com eSocial/Psicossocial no nome",IF(O134="Receita recorrente","Tipo DRE recorrente","Extra sem palavra-chave específica"))))</f>
        <v/>
      </c>
      <c r="S134" s="92">
        <f>IFERROR(VLOOKUP($A134,'13. Mapa Títulos-Receita'!$A$8:$P$1000,4,FALSE),"")</f>
        <v/>
      </c>
      <c r="T134" s="92">
        <f>IFERROR(VLOOKUP($A134,'13. Mapa Títulos-Receita'!$A$8:$P$1000,5,FALSE),"")</f>
        <v/>
      </c>
      <c r="U134" s="92">
        <f>IFERROR(VLOOKUP($A134,'13. Mapa Títulos-Receita'!$A$8:$P$1000,6,FALSE),"")</f>
        <v/>
      </c>
      <c r="V134" s="92">
        <f>IFERROR(VLOOKUP($A134,'13. Mapa Títulos-Receita'!$A$8:$P$1000,7,FALSE),"")</f>
        <v/>
      </c>
      <c r="W134" s="92">
        <f>IFERROR(VLOOKUP($A134,'13. Mapa Títulos-Receita'!$A$8:$P$1000,8,FALSE),"")</f>
        <v/>
      </c>
      <c r="X134" s="92">
        <f>IFERROR(VLOOKUP($A134,'13. Mapa Títulos-Receita'!$A$8:$P$1000,9,FALSE),"")</f>
        <v/>
      </c>
      <c r="Y134" s="92">
        <f>IFERROR(VLOOKUP($A134,'13. Mapa Títulos-Receita'!$A$8:$P$1000,10,FALSE),"")</f>
        <v/>
      </c>
      <c r="Z134" s="92">
        <f>IFERROR(VLOOKUP($A134,'13. Mapa Títulos-Receita'!$A$8:$P$1000,11,FALSE),"")</f>
        <v/>
      </c>
      <c r="AA134" s="92">
        <f>IFERROR(VLOOKUP($A134,'13. Mapa Títulos-Receita'!$A$8:$P$1000,12,FALSE),"")</f>
        <v/>
      </c>
      <c r="AB134" s="92">
        <f>IFERROR(VLOOKUP($A134,'13. Mapa Títulos-Receita'!$A$8:$P$1000,13,FALSE),"")</f>
        <v/>
      </c>
      <c r="AC134" s="92">
        <f>IFERROR(VLOOKUP($A134,'13. Mapa Títulos-Receita'!$A$8:$P$1000,14,FALSE),"")</f>
        <v/>
      </c>
      <c r="AD134" s="92">
        <f>IFERROR(VLOOKUP($A134,'13. Mapa Títulos-Receita'!$A$8:$P$1000,15,FALSE),"")</f>
        <v/>
      </c>
      <c r="AE134" s="92">
        <f>IFERROR(VLOOKUP($A134,'13. Mapa Títulos-Receita'!$A$8:$P$1000,16,FALSE),"")</f>
        <v/>
      </c>
    </row>
    <row r="135">
      <c r="A135" s="28">
        <f>IF(C135="","", "CR-"&amp;TEXT(ROW()-7,"000"))</f>
        <v/>
      </c>
      <c r="B135" s="28" t="n"/>
      <c r="C135" s="28" t="n"/>
      <c r="D135" s="111" t="n"/>
      <c r="E135" s="111" t="n"/>
      <c r="F135" s="111" t="n"/>
      <c r="G135" s="28" t="n"/>
      <c r="H135" s="45" t="n"/>
      <c r="I135" s="45" t="n"/>
      <c r="J135" s="28">
        <f>IF(H135="","",IF(I135&gt;=H135,"Recebido",IF($B$4&gt;E135,"Vencido","Aberto")))</f>
        <v/>
      </c>
      <c r="K135" s="4">
        <f>IF(J135="","",IF(OR(J135="Recebido",F135=""),MAX(0,F135-E135),MAX(0,$B$4-E135)))</f>
        <v/>
      </c>
      <c r="L135" s="4">
        <f>IF(K135="","",IF(K135=0,"Em dia",IF(K135&lt;=30,"1-30 dias",IF(K135&lt;=60,"31-60 dias",IF(K135&lt;=90,"61-90 dias","&gt;90 dias")))))</f>
        <v/>
      </c>
      <c r="M135" s="28" t="n"/>
      <c r="N135" s="104" t="inlineStr"/>
      <c r="O135" s="64" t="n"/>
      <c r="P135" s="64">
        <f>IF(C135="","",IF(ISNUMBER(SEARCH("PCMSO",C135)),"PCMSO",IF(OR(ISNUMBER(SEARCH("E-SOCIAL",C135)),ISNUMBER(SEARCH("PSICOSOCIAL",C135))),"eSocial / Psicossocial",IF(O135="Receita recorrente","Carteira recorrente","Projetos / Laudos / Avulsos"))))</f>
        <v/>
      </c>
      <c r="Q135" s="64">
        <f>IF(P135="","",IF(P135="Carteira recorrente","Operação recorrente",IF(P135="PCMSO","Projetos PCMSO",IF(P135="eSocial / Psicossocial","Projetos eSocial/Psicossocial","Projetos / Laudos / Avulsos"))))</f>
        <v/>
      </c>
      <c r="R135" s="64">
        <f>IF(C135="","",IF(ISNUMBER(SEARCH("PCMSO",C135)),"Título com PCMSO no nome",IF(OR(ISNUMBER(SEARCH("E-SOCIAL",C135)),ISNUMBER(SEARCH("PSICOSOCIAL",C135))),"Título com eSocial/Psicossocial no nome",IF(O135="Receita recorrente","Tipo DRE recorrente","Extra sem palavra-chave específica"))))</f>
        <v/>
      </c>
      <c r="S135" s="92">
        <f>IFERROR(VLOOKUP($A135,'13. Mapa Títulos-Receita'!$A$8:$P$1000,4,FALSE),"")</f>
        <v/>
      </c>
      <c r="T135" s="92">
        <f>IFERROR(VLOOKUP($A135,'13. Mapa Títulos-Receita'!$A$8:$P$1000,5,FALSE),"")</f>
        <v/>
      </c>
      <c r="U135" s="92">
        <f>IFERROR(VLOOKUP($A135,'13. Mapa Títulos-Receita'!$A$8:$P$1000,6,FALSE),"")</f>
        <v/>
      </c>
      <c r="V135" s="92">
        <f>IFERROR(VLOOKUP($A135,'13. Mapa Títulos-Receita'!$A$8:$P$1000,7,FALSE),"")</f>
        <v/>
      </c>
      <c r="W135" s="92">
        <f>IFERROR(VLOOKUP($A135,'13. Mapa Títulos-Receita'!$A$8:$P$1000,8,FALSE),"")</f>
        <v/>
      </c>
      <c r="X135" s="92">
        <f>IFERROR(VLOOKUP($A135,'13. Mapa Títulos-Receita'!$A$8:$P$1000,9,FALSE),"")</f>
        <v/>
      </c>
      <c r="Y135" s="92">
        <f>IFERROR(VLOOKUP($A135,'13. Mapa Títulos-Receita'!$A$8:$P$1000,10,FALSE),"")</f>
        <v/>
      </c>
      <c r="Z135" s="92">
        <f>IFERROR(VLOOKUP($A135,'13. Mapa Títulos-Receita'!$A$8:$P$1000,11,FALSE),"")</f>
        <v/>
      </c>
      <c r="AA135" s="92">
        <f>IFERROR(VLOOKUP($A135,'13. Mapa Títulos-Receita'!$A$8:$P$1000,12,FALSE),"")</f>
        <v/>
      </c>
      <c r="AB135" s="92">
        <f>IFERROR(VLOOKUP($A135,'13. Mapa Títulos-Receita'!$A$8:$P$1000,13,FALSE),"")</f>
        <v/>
      </c>
      <c r="AC135" s="92">
        <f>IFERROR(VLOOKUP($A135,'13. Mapa Títulos-Receita'!$A$8:$P$1000,14,FALSE),"")</f>
        <v/>
      </c>
      <c r="AD135" s="92">
        <f>IFERROR(VLOOKUP($A135,'13. Mapa Títulos-Receita'!$A$8:$P$1000,15,FALSE),"")</f>
        <v/>
      </c>
      <c r="AE135" s="92">
        <f>IFERROR(VLOOKUP($A135,'13. Mapa Títulos-Receita'!$A$8:$P$1000,16,FALSE),"")</f>
        <v/>
      </c>
    </row>
    <row r="136">
      <c r="A136" s="28">
        <f>IF(C136="","", "CR-"&amp;TEXT(ROW()-7,"000"))</f>
        <v/>
      </c>
      <c r="B136" s="28" t="n"/>
      <c r="C136" s="28" t="n"/>
      <c r="D136" s="111" t="n"/>
      <c r="E136" s="111" t="n"/>
      <c r="F136" s="111" t="n"/>
      <c r="G136" s="28" t="n"/>
      <c r="H136" s="45" t="n"/>
      <c r="I136" s="45" t="n"/>
      <c r="J136" s="28">
        <f>IF(H136="","",IF(I136&gt;=H136,"Recebido",IF($B$4&gt;E136,"Vencido","Aberto")))</f>
        <v/>
      </c>
      <c r="K136" s="4">
        <f>IF(J136="","",IF(OR(J136="Recebido",F136=""),MAX(0,F136-E136),MAX(0,$B$4-E136)))</f>
        <v/>
      </c>
      <c r="L136" s="4">
        <f>IF(K136="","",IF(K136=0,"Em dia",IF(K136&lt;=30,"1-30 dias",IF(K136&lt;=60,"31-60 dias",IF(K136&lt;=90,"61-90 dias","&gt;90 dias")))))</f>
        <v/>
      </c>
      <c r="M136" s="28" t="n"/>
      <c r="N136" s="104" t="inlineStr"/>
      <c r="O136" s="64" t="n"/>
      <c r="P136" s="64">
        <f>IF(C136="","",IF(ISNUMBER(SEARCH("PCMSO",C136)),"PCMSO",IF(OR(ISNUMBER(SEARCH("E-SOCIAL",C136)),ISNUMBER(SEARCH("PSICOSOCIAL",C136))),"eSocial / Psicossocial",IF(O136="Receita recorrente","Carteira recorrente","Projetos / Laudos / Avulsos"))))</f>
        <v/>
      </c>
      <c r="Q136" s="64">
        <f>IF(P136="","",IF(P136="Carteira recorrente","Operação recorrente",IF(P136="PCMSO","Projetos PCMSO",IF(P136="eSocial / Psicossocial","Projetos eSocial/Psicossocial","Projetos / Laudos / Avulsos"))))</f>
        <v/>
      </c>
      <c r="R136" s="64">
        <f>IF(C136="","",IF(ISNUMBER(SEARCH("PCMSO",C136)),"Título com PCMSO no nome",IF(OR(ISNUMBER(SEARCH("E-SOCIAL",C136)),ISNUMBER(SEARCH("PSICOSOCIAL",C136))),"Título com eSocial/Psicossocial no nome",IF(O136="Receita recorrente","Tipo DRE recorrente","Extra sem palavra-chave específica"))))</f>
        <v/>
      </c>
      <c r="S136" s="92">
        <f>IFERROR(VLOOKUP($A136,'13. Mapa Títulos-Receita'!$A$8:$P$1000,4,FALSE),"")</f>
        <v/>
      </c>
      <c r="T136" s="92">
        <f>IFERROR(VLOOKUP($A136,'13. Mapa Títulos-Receita'!$A$8:$P$1000,5,FALSE),"")</f>
        <v/>
      </c>
      <c r="U136" s="92">
        <f>IFERROR(VLOOKUP($A136,'13. Mapa Títulos-Receita'!$A$8:$P$1000,6,FALSE),"")</f>
        <v/>
      </c>
      <c r="V136" s="92">
        <f>IFERROR(VLOOKUP($A136,'13. Mapa Títulos-Receita'!$A$8:$P$1000,7,FALSE),"")</f>
        <v/>
      </c>
      <c r="W136" s="92">
        <f>IFERROR(VLOOKUP($A136,'13. Mapa Títulos-Receita'!$A$8:$P$1000,8,FALSE),"")</f>
        <v/>
      </c>
      <c r="X136" s="92">
        <f>IFERROR(VLOOKUP($A136,'13. Mapa Títulos-Receita'!$A$8:$P$1000,9,FALSE),"")</f>
        <v/>
      </c>
      <c r="Y136" s="92">
        <f>IFERROR(VLOOKUP($A136,'13. Mapa Títulos-Receita'!$A$8:$P$1000,10,FALSE),"")</f>
        <v/>
      </c>
      <c r="Z136" s="92">
        <f>IFERROR(VLOOKUP($A136,'13. Mapa Títulos-Receita'!$A$8:$P$1000,11,FALSE),"")</f>
        <v/>
      </c>
      <c r="AA136" s="92">
        <f>IFERROR(VLOOKUP($A136,'13. Mapa Títulos-Receita'!$A$8:$P$1000,12,FALSE),"")</f>
        <v/>
      </c>
      <c r="AB136" s="92">
        <f>IFERROR(VLOOKUP($A136,'13. Mapa Títulos-Receita'!$A$8:$P$1000,13,FALSE),"")</f>
        <v/>
      </c>
      <c r="AC136" s="92">
        <f>IFERROR(VLOOKUP($A136,'13. Mapa Títulos-Receita'!$A$8:$P$1000,14,FALSE),"")</f>
        <v/>
      </c>
      <c r="AD136" s="92">
        <f>IFERROR(VLOOKUP($A136,'13. Mapa Títulos-Receita'!$A$8:$P$1000,15,FALSE),"")</f>
        <v/>
      </c>
      <c r="AE136" s="92">
        <f>IFERROR(VLOOKUP($A136,'13. Mapa Títulos-Receita'!$A$8:$P$1000,16,FALSE),"")</f>
        <v/>
      </c>
    </row>
    <row r="137">
      <c r="A137" s="28">
        <f>IF(C137="","", "CR-"&amp;TEXT(ROW()-7,"000"))</f>
        <v/>
      </c>
      <c r="B137" s="28" t="n"/>
      <c r="C137" s="28" t="n"/>
      <c r="D137" s="111" t="n"/>
      <c r="E137" s="111" t="n"/>
      <c r="F137" s="111" t="n"/>
      <c r="G137" s="28" t="n"/>
      <c r="H137" s="45" t="n"/>
      <c r="I137" s="45" t="n"/>
      <c r="J137" s="28">
        <f>IF(H137="","",IF(I137&gt;=H137,"Recebido",IF($B$4&gt;E137,"Vencido","Aberto")))</f>
        <v/>
      </c>
      <c r="K137" s="4">
        <f>IF(J137="","",IF(OR(J137="Recebido",F137=""),MAX(0,F137-E137),MAX(0,$B$4-E137)))</f>
        <v/>
      </c>
      <c r="L137" s="4">
        <f>IF(K137="","",IF(K137=0,"Em dia",IF(K137&lt;=30,"1-30 dias",IF(K137&lt;=60,"31-60 dias",IF(K137&lt;=90,"61-90 dias","&gt;90 dias")))))</f>
        <v/>
      </c>
      <c r="M137" s="28" t="n"/>
      <c r="N137" s="104" t="inlineStr"/>
      <c r="O137" s="64" t="n"/>
      <c r="P137" s="64">
        <f>IF(C137="","",IF(ISNUMBER(SEARCH("PCMSO",C137)),"PCMSO",IF(OR(ISNUMBER(SEARCH("E-SOCIAL",C137)),ISNUMBER(SEARCH("PSICOSOCIAL",C137))),"eSocial / Psicossocial",IF(O137="Receita recorrente","Carteira recorrente","Projetos / Laudos / Avulsos"))))</f>
        <v/>
      </c>
      <c r="Q137" s="64">
        <f>IF(P137="","",IF(P137="Carteira recorrente","Operação recorrente",IF(P137="PCMSO","Projetos PCMSO",IF(P137="eSocial / Psicossocial","Projetos eSocial/Psicossocial","Projetos / Laudos / Avulsos"))))</f>
        <v/>
      </c>
      <c r="R137" s="64">
        <f>IF(C137="","",IF(ISNUMBER(SEARCH("PCMSO",C137)),"Título com PCMSO no nome",IF(OR(ISNUMBER(SEARCH("E-SOCIAL",C137)),ISNUMBER(SEARCH("PSICOSOCIAL",C137))),"Título com eSocial/Psicossocial no nome",IF(O137="Receita recorrente","Tipo DRE recorrente","Extra sem palavra-chave específica"))))</f>
        <v/>
      </c>
      <c r="S137" s="92">
        <f>IFERROR(VLOOKUP($A137,'13. Mapa Títulos-Receita'!$A$8:$P$1000,4,FALSE),"")</f>
        <v/>
      </c>
      <c r="T137" s="92">
        <f>IFERROR(VLOOKUP($A137,'13. Mapa Títulos-Receita'!$A$8:$P$1000,5,FALSE),"")</f>
        <v/>
      </c>
      <c r="U137" s="92">
        <f>IFERROR(VLOOKUP($A137,'13. Mapa Títulos-Receita'!$A$8:$P$1000,6,FALSE),"")</f>
        <v/>
      </c>
      <c r="V137" s="92">
        <f>IFERROR(VLOOKUP($A137,'13. Mapa Títulos-Receita'!$A$8:$P$1000,7,FALSE),"")</f>
        <v/>
      </c>
      <c r="W137" s="92">
        <f>IFERROR(VLOOKUP($A137,'13. Mapa Títulos-Receita'!$A$8:$P$1000,8,FALSE),"")</f>
        <v/>
      </c>
      <c r="X137" s="92">
        <f>IFERROR(VLOOKUP($A137,'13. Mapa Títulos-Receita'!$A$8:$P$1000,9,FALSE),"")</f>
        <v/>
      </c>
      <c r="Y137" s="92">
        <f>IFERROR(VLOOKUP($A137,'13. Mapa Títulos-Receita'!$A$8:$P$1000,10,FALSE),"")</f>
        <v/>
      </c>
      <c r="Z137" s="92">
        <f>IFERROR(VLOOKUP($A137,'13. Mapa Títulos-Receita'!$A$8:$P$1000,11,FALSE),"")</f>
        <v/>
      </c>
      <c r="AA137" s="92">
        <f>IFERROR(VLOOKUP($A137,'13. Mapa Títulos-Receita'!$A$8:$P$1000,12,FALSE),"")</f>
        <v/>
      </c>
      <c r="AB137" s="92">
        <f>IFERROR(VLOOKUP($A137,'13. Mapa Títulos-Receita'!$A$8:$P$1000,13,FALSE),"")</f>
        <v/>
      </c>
      <c r="AC137" s="92">
        <f>IFERROR(VLOOKUP($A137,'13. Mapa Títulos-Receita'!$A$8:$P$1000,14,FALSE),"")</f>
        <v/>
      </c>
      <c r="AD137" s="92">
        <f>IFERROR(VLOOKUP($A137,'13. Mapa Títulos-Receita'!$A$8:$P$1000,15,FALSE),"")</f>
        <v/>
      </c>
      <c r="AE137" s="92">
        <f>IFERROR(VLOOKUP($A137,'13. Mapa Títulos-Receita'!$A$8:$P$1000,16,FALSE),"")</f>
        <v/>
      </c>
    </row>
    <row r="138">
      <c r="A138" s="28">
        <f>IF(C138="","", "CR-"&amp;TEXT(ROW()-7,"000"))</f>
        <v/>
      </c>
      <c r="B138" s="28" t="n"/>
      <c r="C138" s="28" t="n"/>
      <c r="D138" s="111" t="n"/>
      <c r="E138" s="111" t="n"/>
      <c r="F138" s="111" t="n"/>
      <c r="G138" s="28" t="n"/>
      <c r="H138" s="45" t="n"/>
      <c r="I138" s="45" t="n"/>
      <c r="J138" s="28">
        <f>IF(H138="","",IF(I138&gt;=H138,"Recebido",IF($B$4&gt;E138,"Vencido","Aberto")))</f>
        <v/>
      </c>
      <c r="K138" s="4">
        <f>IF(J138="","",IF(OR(J138="Recebido",F138=""),MAX(0,F138-E138),MAX(0,$B$4-E138)))</f>
        <v/>
      </c>
      <c r="L138" s="4">
        <f>IF(K138="","",IF(K138=0,"Em dia",IF(K138&lt;=30,"1-30 dias",IF(K138&lt;=60,"31-60 dias",IF(K138&lt;=90,"61-90 dias","&gt;90 dias")))))</f>
        <v/>
      </c>
      <c r="M138" s="28" t="n"/>
      <c r="N138" s="104" t="inlineStr"/>
      <c r="O138" s="64" t="n"/>
      <c r="P138" s="64">
        <f>IF(C138="","",IF(ISNUMBER(SEARCH("PCMSO",C138)),"PCMSO",IF(OR(ISNUMBER(SEARCH("E-SOCIAL",C138)),ISNUMBER(SEARCH("PSICOSOCIAL",C138))),"eSocial / Psicossocial",IF(O138="Receita recorrente","Carteira recorrente","Projetos / Laudos / Avulsos"))))</f>
        <v/>
      </c>
      <c r="Q138" s="64">
        <f>IF(P138="","",IF(P138="Carteira recorrente","Operação recorrente",IF(P138="PCMSO","Projetos PCMSO",IF(P138="eSocial / Psicossocial","Projetos eSocial/Psicossocial","Projetos / Laudos / Avulsos"))))</f>
        <v/>
      </c>
      <c r="R138" s="64">
        <f>IF(C138="","",IF(ISNUMBER(SEARCH("PCMSO",C138)),"Título com PCMSO no nome",IF(OR(ISNUMBER(SEARCH("E-SOCIAL",C138)),ISNUMBER(SEARCH("PSICOSOCIAL",C138))),"Título com eSocial/Psicossocial no nome",IF(O138="Receita recorrente","Tipo DRE recorrente","Extra sem palavra-chave específica"))))</f>
        <v/>
      </c>
      <c r="S138" s="92">
        <f>IFERROR(VLOOKUP($A138,'13. Mapa Títulos-Receita'!$A$8:$P$1000,4,FALSE),"")</f>
        <v/>
      </c>
      <c r="T138" s="92">
        <f>IFERROR(VLOOKUP($A138,'13. Mapa Títulos-Receita'!$A$8:$P$1000,5,FALSE),"")</f>
        <v/>
      </c>
      <c r="U138" s="92">
        <f>IFERROR(VLOOKUP($A138,'13. Mapa Títulos-Receita'!$A$8:$P$1000,6,FALSE),"")</f>
        <v/>
      </c>
      <c r="V138" s="92">
        <f>IFERROR(VLOOKUP($A138,'13. Mapa Títulos-Receita'!$A$8:$P$1000,7,FALSE),"")</f>
        <v/>
      </c>
      <c r="W138" s="92">
        <f>IFERROR(VLOOKUP($A138,'13. Mapa Títulos-Receita'!$A$8:$P$1000,8,FALSE),"")</f>
        <v/>
      </c>
      <c r="X138" s="92">
        <f>IFERROR(VLOOKUP($A138,'13. Mapa Títulos-Receita'!$A$8:$P$1000,9,FALSE),"")</f>
        <v/>
      </c>
      <c r="Y138" s="92">
        <f>IFERROR(VLOOKUP($A138,'13. Mapa Títulos-Receita'!$A$8:$P$1000,10,FALSE),"")</f>
        <v/>
      </c>
      <c r="Z138" s="92">
        <f>IFERROR(VLOOKUP($A138,'13. Mapa Títulos-Receita'!$A$8:$P$1000,11,FALSE),"")</f>
        <v/>
      </c>
      <c r="AA138" s="92">
        <f>IFERROR(VLOOKUP($A138,'13. Mapa Títulos-Receita'!$A$8:$P$1000,12,FALSE),"")</f>
        <v/>
      </c>
      <c r="AB138" s="92">
        <f>IFERROR(VLOOKUP($A138,'13. Mapa Títulos-Receita'!$A$8:$P$1000,13,FALSE),"")</f>
        <v/>
      </c>
      <c r="AC138" s="92">
        <f>IFERROR(VLOOKUP($A138,'13. Mapa Títulos-Receita'!$A$8:$P$1000,14,FALSE),"")</f>
        <v/>
      </c>
      <c r="AD138" s="92">
        <f>IFERROR(VLOOKUP($A138,'13. Mapa Títulos-Receita'!$A$8:$P$1000,15,FALSE),"")</f>
        <v/>
      </c>
      <c r="AE138" s="92">
        <f>IFERROR(VLOOKUP($A138,'13. Mapa Títulos-Receita'!$A$8:$P$1000,16,FALSE),"")</f>
        <v/>
      </c>
    </row>
    <row r="139">
      <c r="A139" s="28">
        <f>IF(C139="","", "CR-"&amp;TEXT(ROW()-7,"000"))</f>
        <v/>
      </c>
      <c r="B139" s="28" t="n"/>
      <c r="C139" s="28" t="n"/>
      <c r="D139" s="111" t="n"/>
      <c r="E139" s="111" t="n"/>
      <c r="F139" s="111" t="n"/>
      <c r="G139" s="28" t="n"/>
      <c r="H139" s="45" t="n"/>
      <c r="I139" s="45" t="n"/>
      <c r="J139" s="28">
        <f>IF(H139="","",IF(I139&gt;=H139,"Recebido",IF($B$4&gt;E139,"Vencido","Aberto")))</f>
        <v/>
      </c>
      <c r="K139" s="4">
        <f>IF(J139="","",IF(OR(J139="Recebido",F139=""),MAX(0,F139-E139),MAX(0,$B$4-E139)))</f>
        <v/>
      </c>
      <c r="L139" s="4">
        <f>IF(K139="","",IF(K139=0,"Em dia",IF(K139&lt;=30,"1-30 dias",IF(K139&lt;=60,"31-60 dias",IF(K139&lt;=90,"61-90 dias","&gt;90 dias")))))</f>
        <v/>
      </c>
      <c r="M139" s="28" t="n"/>
      <c r="N139" s="104" t="inlineStr"/>
      <c r="O139" s="64" t="n"/>
      <c r="P139" s="64">
        <f>IF(C139="","",IF(ISNUMBER(SEARCH("PCMSO",C139)),"PCMSO",IF(OR(ISNUMBER(SEARCH("E-SOCIAL",C139)),ISNUMBER(SEARCH("PSICOSOCIAL",C139))),"eSocial / Psicossocial",IF(O139="Receita recorrente","Carteira recorrente","Projetos / Laudos / Avulsos"))))</f>
        <v/>
      </c>
      <c r="Q139" s="64">
        <f>IF(P139="","",IF(P139="Carteira recorrente","Operação recorrente",IF(P139="PCMSO","Projetos PCMSO",IF(P139="eSocial / Psicossocial","Projetos eSocial/Psicossocial","Projetos / Laudos / Avulsos"))))</f>
        <v/>
      </c>
      <c r="R139" s="64">
        <f>IF(C139="","",IF(ISNUMBER(SEARCH("PCMSO",C139)),"Título com PCMSO no nome",IF(OR(ISNUMBER(SEARCH("E-SOCIAL",C139)),ISNUMBER(SEARCH("PSICOSOCIAL",C139))),"Título com eSocial/Psicossocial no nome",IF(O139="Receita recorrente","Tipo DRE recorrente","Extra sem palavra-chave específica"))))</f>
        <v/>
      </c>
      <c r="S139" s="92">
        <f>IFERROR(VLOOKUP($A139,'13. Mapa Títulos-Receita'!$A$8:$P$1000,4,FALSE),"")</f>
        <v/>
      </c>
      <c r="T139" s="92">
        <f>IFERROR(VLOOKUP($A139,'13. Mapa Títulos-Receita'!$A$8:$P$1000,5,FALSE),"")</f>
        <v/>
      </c>
      <c r="U139" s="92">
        <f>IFERROR(VLOOKUP($A139,'13. Mapa Títulos-Receita'!$A$8:$P$1000,6,FALSE),"")</f>
        <v/>
      </c>
      <c r="V139" s="92">
        <f>IFERROR(VLOOKUP($A139,'13. Mapa Títulos-Receita'!$A$8:$P$1000,7,FALSE),"")</f>
        <v/>
      </c>
      <c r="W139" s="92">
        <f>IFERROR(VLOOKUP($A139,'13. Mapa Títulos-Receita'!$A$8:$P$1000,8,FALSE),"")</f>
        <v/>
      </c>
      <c r="X139" s="92">
        <f>IFERROR(VLOOKUP($A139,'13. Mapa Títulos-Receita'!$A$8:$P$1000,9,FALSE),"")</f>
        <v/>
      </c>
      <c r="Y139" s="92">
        <f>IFERROR(VLOOKUP($A139,'13. Mapa Títulos-Receita'!$A$8:$P$1000,10,FALSE),"")</f>
        <v/>
      </c>
      <c r="Z139" s="92">
        <f>IFERROR(VLOOKUP($A139,'13. Mapa Títulos-Receita'!$A$8:$P$1000,11,FALSE),"")</f>
        <v/>
      </c>
      <c r="AA139" s="92">
        <f>IFERROR(VLOOKUP($A139,'13. Mapa Títulos-Receita'!$A$8:$P$1000,12,FALSE),"")</f>
        <v/>
      </c>
      <c r="AB139" s="92">
        <f>IFERROR(VLOOKUP($A139,'13. Mapa Títulos-Receita'!$A$8:$P$1000,13,FALSE),"")</f>
        <v/>
      </c>
      <c r="AC139" s="92">
        <f>IFERROR(VLOOKUP($A139,'13. Mapa Títulos-Receita'!$A$8:$P$1000,14,FALSE),"")</f>
        <v/>
      </c>
      <c r="AD139" s="92">
        <f>IFERROR(VLOOKUP($A139,'13. Mapa Títulos-Receita'!$A$8:$P$1000,15,FALSE),"")</f>
        <v/>
      </c>
      <c r="AE139" s="92">
        <f>IFERROR(VLOOKUP($A139,'13. Mapa Títulos-Receita'!$A$8:$P$1000,16,FALSE),"")</f>
        <v/>
      </c>
    </row>
    <row r="140">
      <c r="A140" s="28">
        <f>IF(C140="","", "CR-"&amp;TEXT(ROW()-7,"000"))</f>
        <v/>
      </c>
      <c r="B140" s="28" t="n"/>
      <c r="C140" s="28" t="n"/>
      <c r="D140" s="111" t="n"/>
      <c r="E140" s="111" t="n"/>
      <c r="F140" s="111" t="n"/>
      <c r="G140" s="28" t="n"/>
      <c r="H140" s="45" t="n"/>
      <c r="I140" s="45" t="n"/>
      <c r="J140" s="28">
        <f>IF(H140="","",IF(I140&gt;=H140,"Recebido",IF($B$4&gt;E140,"Vencido","Aberto")))</f>
        <v/>
      </c>
      <c r="K140" s="4">
        <f>IF(J140="","",IF(OR(J140="Recebido",F140=""),MAX(0,F140-E140),MAX(0,$B$4-E140)))</f>
        <v/>
      </c>
      <c r="L140" s="4">
        <f>IF(K140="","",IF(K140=0,"Em dia",IF(K140&lt;=30,"1-30 dias",IF(K140&lt;=60,"31-60 dias",IF(K140&lt;=90,"61-90 dias","&gt;90 dias")))))</f>
        <v/>
      </c>
      <c r="M140" s="28" t="n"/>
      <c r="N140" s="104" t="inlineStr"/>
      <c r="O140" s="64" t="n"/>
      <c r="P140" s="64">
        <f>IF(C140="","",IF(ISNUMBER(SEARCH("PCMSO",C140)),"PCMSO",IF(OR(ISNUMBER(SEARCH("E-SOCIAL",C140)),ISNUMBER(SEARCH("PSICOSOCIAL",C140))),"eSocial / Psicossocial",IF(O140="Receita recorrente","Carteira recorrente","Projetos / Laudos / Avulsos"))))</f>
        <v/>
      </c>
      <c r="Q140" s="64">
        <f>IF(P140="","",IF(P140="Carteira recorrente","Operação recorrente",IF(P140="PCMSO","Projetos PCMSO",IF(P140="eSocial / Psicossocial","Projetos eSocial/Psicossocial","Projetos / Laudos / Avulsos"))))</f>
        <v/>
      </c>
      <c r="R140" s="64">
        <f>IF(C140="","",IF(ISNUMBER(SEARCH("PCMSO",C140)),"Título com PCMSO no nome",IF(OR(ISNUMBER(SEARCH("E-SOCIAL",C140)),ISNUMBER(SEARCH("PSICOSOCIAL",C140))),"Título com eSocial/Psicossocial no nome",IF(O140="Receita recorrente","Tipo DRE recorrente","Extra sem palavra-chave específica"))))</f>
        <v/>
      </c>
      <c r="S140" s="92">
        <f>IFERROR(VLOOKUP($A140,'13. Mapa Títulos-Receita'!$A$8:$P$1000,4,FALSE),"")</f>
        <v/>
      </c>
      <c r="T140" s="92">
        <f>IFERROR(VLOOKUP($A140,'13. Mapa Títulos-Receita'!$A$8:$P$1000,5,FALSE),"")</f>
        <v/>
      </c>
      <c r="U140" s="92">
        <f>IFERROR(VLOOKUP($A140,'13. Mapa Títulos-Receita'!$A$8:$P$1000,6,FALSE),"")</f>
        <v/>
      </c>
      <c r="V140" s="92">
        <f>IFERROR(VLOOKUP($A140,'13. Mapa Títulos-Receita'!$A$8:$P$1000,7,FALSE),"")</f>
        <v/>
      </c>
      <c r="W140" s="92">
        <f>IFERROR(VLOOKUP($A140,'13. Mapa Títulos-Receita'!$A$8:$P$1000,8,FALSE),"")</f>
        <v/>
      </c>
      <c r="X140" s="92">
        <f>IFERROR(VLOOKUP($A140,'13. Mapa Títulos-Receita'!$A$8:$P$1000,9,FALSE),"")</f>
        <v/>
      </c>
      <c r="Y140" s="92">
        <f>IFERROR(VLOOKUP($A140,'13. Mapa Títulos-Receita'!$A$8:$P$1000,10,FALSE),"")</f>
        <v/>
      </c>
      <c r="Z140" s="92">
        <f>IFERROR(VLOOKUP($A140,'13. Mapa Títulos-Receita'!$A$8:$P$1000,11,FALSE),"")</f>
        <v/>
      </c>
      <c r="AA140" s="92">
        <f>IFERROR(VLOOKUP($A140,'13. Mapa Títulos-Receita'!$A$8:$P$1000,12,FALSE),"")</f>
        <v/>
      </c>
      <c r="AB140" s="92">
        <f>IFERROR(VLOOKUP($A140,'13. Mapa Títulos-Receita'!$A$8:$P$1000,13,FALSE),"")</f>
        <v/>
      </c>
      <c r="AC140" s="92">
        <f>IFERROR(VLOOKUP($A140,'13. Mapa Títulos-Receita'!$A$8:$P$1000,14,FALSE),"")</f>
        <v/>
      </c>
      <c r="AD140" s="92">
        <f>IFERROR(VLOOKUP($A140,'13. Mapa Títulos-Receita'!$A$8:$P$1000,15,FALSE),"")</f>
        <v/>
      </c>
      <c r="AE140" s="92">
        <f>IFERROR(VLOOKUP($A140,'13. Mapa Títulos-Receita'!$A$8:$P$1000,16,FALSE),"")</f>
        <v/>
      </c>
    </row>
    <row r="141">
      <c r="A141" s="28">
        <f>IF(C141="","", "CR-"&amp;TEXT(ROW()-7,"000"))</f>
        <v/>
      </c>
      <c r="B141" s="28" t="n"/>
      <c r="C141" s="28" t="n"/>
      <c r="D141" s="111" t="n"/>
      <c r="E141" s="111" t="n"/>
      <c r="F141" s="111" t="n"/>
      <c r="G141" s="28" t="n"/>
      <c r="H141" s="45" t="n"/>
      <c r="I141" s="45" t="n"/>
      <c r="J141" s="28">
        <f>IF(H141="","",IF(I141&gt;=H141,"Recebido",IF($B$4&gt;E141,"Vencido","Aberto")))</f>
        <v/>
      </c>
      <c r="K141" s="4">
        <f>IF(J141="","",IF(OR(J141="Recebido",F141=""),MAX(0,F141-E141),MAX(0,$B$4-E141)))</f>
        <v/>
      </c>
      <c r="L141" s="4">
        <f>IF(K141="","",IF(K141=0,"Em dia",IF(K141&lt;=30,"1-30 dias",IF(K141&lt;=60,"31-60 dias",IF(K141&lt;=90,"61-90 dias","&gt;90 dias")))))</f>
        <v/>
      </c>
      <c r="M141" s="28" t="n"/>
      <c r="N141" s="104" t="inlineStr"/>
      <c r="O141" s="64" t="n"/>
      <c r="P141" s="64">
        <f>IF(C141="","",IF(ISNUMBER(SEARCH("PCMSO",C141)),"PCMSO",IF(OR(ISNUMBER(SEARCH("E-SOCIAL",C141)),ISNUMBER(SEARCH("PSICOSOCIAL",C141))),"eSocial / Psicossocial",IF(O141="Receita recorrente","Carteira recorrente","Projetos / Laudos / Avulsos"))))</f>
        <v/>
      </c>
      <c r="Q141" s="64">
        <f>IF(P141="","",IF(P141="Carteira recorrente","Operação recorrente",IF(P141="PCMSO","Projetos PCMSO",IF(P141="eSocial / Psicossocial","Projetos eSocial/Psicossocial","Projetos / Laudos / Avulsos"))))</f>
        <v/>
      </c>
      <c r="R141" s="64">
        <f>IF(C141="","",IF(ISNUMBER(SEARCH("PCMSO",C141)),"Título com PCMSO no nome",IF(OR(ISNUMBER(SEARCH("E-SOCIAL",C141)),ISNUMBER(SEARCH("PSICOSOCIAL",C141))),"Título com eSocial/Psicossocial no nome",IF(O141="Receita recorrente","Tipo DRE recorrente","Extra sem palavra-chave específica"))))</f>
        <v/>
      </c>
      <c r="S141" s="92">
        <f>IFERROR(VLOOKUP($A141,'13. Mapa Títulos-Receita'!$A$8:$P$1000,4,FALSE),"")</f>
        <v/>
      </c>
      <c r="T141" s="92">
        <f>IFERROR(VLOOKUP($A141,'13. Mapa Títulos-Receita'!$A$8:$P$1000,5,FALSE),"")</f>
        <v/>
      </c>
      <c r="U141" s="92">
        <f>IFERROR(VLOOKUP($A141,'13. Mapa Títulos-Receita'!$A$8:$P$1000,6,FALSE),"")</f>
        <v/>
      </c>
      <c r="V141" s="92">
        <f>IFERROR(VLOOKUP($A141,'13. Mapa Títulos-Receita'!$A$8:$P$1000,7,FALSE),"")</f>
        <v/>
      </c>
      <c r="W141" s="92">
        <f>IFERROR(VLOOKUP($A141,'13. Mapa Títulos-Receita'!$A$8:$P$1000,8,FALSE),"")</f>
        <v/>
      </c>
      <c r="X141" s="92">
        <f>IFERROR(VLOOKUP($A141,'13. Mapa Títulos-Receita'!$A$8:$P$1000,9,FALSE),"")</f>
        <v/>
      </c>
      <c r="Y141" s="92">
        <f>IFERROR(VLOOKUP($A141,'13. Mapa Títulos-Receita'!$A$8:$P$1000,10,FALSE),"")</f>
        <v/>
      </c>
      <c r="Z141" s="92">
        <f>IFERROR(VLOOKUP($A141,'13. Mapa Títulos-Receita'!$A$8:$P$1000,11,FALSE),"")</f>
        <v/>
      </c>
      <c r="AA141" s="92">
        <f>IFERROR(VLOOKUP($A141,'13. Mapa Títulos-Receita'!$A$8:$P$1000,12,FALSE),"")</f>
        <v/>
      </c>
      <c r="AB141" s="92">
        <f>IFERROR(VLOOKUP($A141,'13. Mapa Títulos-Receita'!$A$8:$P$1000,13,FALSE),"")</f>
        <v/>
      </c>
      <c r="AC141" s="92">
        <f>IFERROR(VLOOKUP($A141,'13. Mapa Títulos-Receita'!$A$8:$P$1000,14,FALSE),"")</f>
        <v/>
      </c>
      <c r="AD141" s="92">
        <f>IFERROR(VLOOKUP($A141,'13. Mapa Títulos-Receita'!$A$8:$P$1000,15,FALSE),"")</f>
        <v/>
      </c>
      <c r="AE141" s="92">
        <f>IFERROR(VLOOKUP($A141,'13. Mapa Títulos-Receita'!$A$8:$P$1000,16,FALSE),"")</f>
        <v/>
      </c>
    </row>
    <row r="142">
      <c r="A142" s="28">
        <f>IF(C142="","", "CR-"&amp;TEXT(ROW()-7,"000"))</f>
        <v/>
      </c>
      <c r="B142" s="28" t="n"/>
      <c r="C142" s="28" t="n"/>
      <c r="D142" s="111" t="n"/>
      <c r="E142" s="111" t="n"/>
      <c r="F142" s="111" t="n"/>
      <c r="G142" s="28" t="n"/>
      <c r="H142" s="45" t="n"/>
      <c r="I142" s="45" t="n"/>
      <c r="J142" s="28">
        <f>IF(H142="","",IF(I142&gt;=H142,"Recebido",IF($B$4&gt;E142,"Vencido","Aberto")))</f>
        <v/>
      </c>
      <c r="K142" s="4">
        <f>IF(J142="","",IF(OR(J142="Recebido",F142=""),MAX(0,F142-E142),MAX(0,$B$4-E142)))</f>
        <v/>
      </c>
      <c r="L142" s="4">
        <f>IF(K142="","",IF(K142=0,"Em dia",IF(K142&lt;=30,"1-30 dias",IF(K142&lt;=60,"31-60 dias",IF(K142&lt;=90,"61-90 dias","&gt;90 dias")))))</f>
        <v/>
      </c>
      <c r="M142" s="28" t="n"/>
      <c r="N142" s="104" t="inlineStr"/>
      <c r="O142" s="64" t="n"/>
      <c r="P142" s="64">
        <f>IF(C142="","",IF(ISNUMBER(SEARCH("PCMSO",C142)),"PCMSO",IF(OR(ISNUMBER(SEARCH("E-SOCIAL",C142)),ISNUMBER(SEARCH("PSICOSOCIAL",C142))),"eSocial / Psicossocial",IF(O142="Receita recorrente","Carteira recorrente","Projetos / Laudos / Avulsos"))))</f>
        <v/>
      </c>
      <c r="Q142" s="64">
        <f>IF(P142="","",IF(P142="Carteira recorrente","Operação recorrente",IF(P142="PCMSO","Projetos PCMSO",IF(P142="eSocial / Psicossocial","Projetos eSocial/Psicossocial","Projetos / Laudos / Avulsos"))))</f>
        <v/>
      </c>
      <c r="R142" s="64">
        <f>IF(C142="","",IF(ISNUMBER(SEARCH("PCMSO",C142)),"Título com PCMSO no nome",IF(OR(ISNUMBER(SEARCH("E-SOCIAL",C142)),ISNUMBER(SEARCH("PSICOSOCIAL",C142))),"Título com eSocial/Psicossocial no nome",IF(O142="Receita recorrente","Tipo DRE recorrente","Extra sem palavra-chave específica"))))</f>
        <v/>
      </c>
      <c r="S142" s="92">
        <f>IFERROR(VLOOKUP($A142,'13. Mapa Títulos-Receita'!$A$8:$P$1000,4,FALSE),"")</f>
        <v/>
      </c>
      <c r="T142" s="92">
        <f>IFERROR(VLOOKUP($A142,'13. Mapa Títulos-Receita'!$A$8:$P$1000,5,FALSE),"")</f>
        <v/>
      </c>
      <c r="U142" s="92">
        <f>IFERROR(VLOOKUP($A142,'13. Mapa Títulos-Receita'!$A$8:$P$1000,6,FALSE),"")</f>
        <v/>
      </c>
      <c r="V142" s="92">
        <f>IFERROR(VLOOKUP($A142,'13. Mapa Títulos-Receita'!$A$8:$P$1000,7,FALSE),"")</f>
        <v/>
      </c>
      <c r="W142" s="92">
        <f>IFERROR(VLOOKUP($A142,'13. Mapa Títulos-Receita'!$A$8:$P$1000,8,FALSE),"")</f>
        <v/>
      </c>
      <c r="X142" s="92">
        <f>IFERROR(VLOOKUP($A142,'13. Mapa Títulos-Receita'!$A$8:$P$1000,9,FALSE),"")</f>
        <v/>
      </c>
      <c r="Y142" s="92">
        <f>IFERROR(VLOOKUP($A142,'13. Mapa Títulos-Receita'!$A$8:$P$1000,10,FALSE),"")</f>
        <v/>
      </c>
      <c r="Z142" s="92">
        <f>IFERROR(VLOOKUP($A142,'13. Mapa Títulos-Receita'!$A$8:$P$1000,11,FALSE),"")</f>
        <v/>
      </c>
      <c r="AA142" s="92">
        <f>IFERROR(VLOOKUP($A142,'13. Mapa Títulos-Receita'!$A$8:$P$1000,12,FALSE),"")</f>
        <v/>
      </c>
      <c r="AB142" s="92">
        <f>IFERROR(VLOOKUP($A142,'13. Mapa Títulos-Receita'!$A$8:$P$1000,13,FALSE),"")</f>
        <v/>
      </c>
      <c r="AC142" s="92">
        <f>IFERROR(VLOOKUP($A142,'13. Mapa Títulos-Receita'!$A$8:$P$1000,14,FALSE),"")</f>
        <v/>
      </c>
      <c r="AD142" s="92">
        <f>IFERROR(VLOOKUP($A142,'13. Mapa Títulos-Receita'!$A$8:$P$1000,15,FALSE),"")</f>
        <v/>
      </c>
      <c r="AE142" s="92">
        <f>IFERROR(VLOOKUP($A142,'13. Mapa Títulos-Receita'!$A$8:$P$1000,16,FALSE),"")</f>
        <v/>
      </c>
    </row>
    <row r="143">
      <c r="A143" s="28">
        <f>IF(C143="","", "CR-"&amp;TEXT(ROW()-7,"000"))</f>
        <v/>
      </c>
      <c r="B143" s="28" t="n"/>
      <c r="C143" s="28" t="n"/>
      <c r="D143" s="111" t="n"/>
      <c r="E143" s="111" t="n"/>
      <c r="F143" s="111" t="n"/>
      <c r="G143" s="28" t="n"/>
      <c r="H143" s="45" t="n"/>
      <c r="I143" s="45" t="n"/>
      <c r="J143" s="28">
        <f>IF(H143="","",IF(I143&gt;=H143,"Recebido",IF($B$4&gt;E143,"Vencido","Aberto")))</f>
        <v/>
      </c>
      <c r="K143" s="4">
        <f>IF(J143="","",IF(OR(J143="Recebido",F143=""),MAX(0,F143-E143),MAX(0,$B$4-E143)))</f>
        <v/>
      </c>
      <c r="L143" s="4">
        <f>IF(K143="","",IF(K143=0,"Em dia",IF(K143&lt;=30,"1-30 dias",IF(K143&lt;=60,"31-60 dias",IF(K143&lt;=90,"61-90 dias","&gt;90 dias")))))</f>
        <v/>
      </c>
      <c r="M143" s="28" t="n"/>
      <c r="N143" s="104" t="inlineStr"/>
      <c r="O143" s="64" t="n"/>
      <c r="P143" s="64">
        <f>IF(C143="","",IF(ISNUMBER(SEARCH("PCMSO",C143)),"PCMSO",IF(OR(ISNUMBER(SEARCH("E-SOCIAL",C143)),ISNUMBER(SEARCH("PSICOSOCIAL",C143))),"eSocial / Psicossocial",IF(O143="Receita recorrente","Carteira recorrente","Projetos / Laudos / Avulsos"))))</f>
        <v/>
      </c>
      <c r="Q143" s="64">
        <f>IF(P143="","",IF(P143="Carteira recorrente","Operação recorrente",IF(P143="PCMSO","Projetos PCMSO",IF(P143="eSocial / Psicossocial","Projetos eSocial/Psicossocial","Projetos / Laudos / Avulsos"))))</f>
        <v/>
      </c>
      <c r="R143" s="64">
        <f>IF(C143="","",IF(ISNUMBER(SEARCH("PCMSO",C143)),"Título com PCMSO no nome",IF(OR(ISNUMBER(SEARCH("E-SOCIAL",C143)),ISNUMBER(SEARCH("PSICOSOCIAL",C143))),"Título com eSocial/Psicossocial no nome",IF(O143="Receita recorrente","Tipo DRE recorrente","Extra sem palavra-chave específica"))))</f>
        <v/>
      </c>
      <c r="S143" s="92">
        <f>IFERROR(VLOOKUP($A143,'13. Mapa Títulos-Receita'!$A$8:$P$1000,4,FALSE),"")</f>
        <v/>
      </c>
      <c r="T143" s="92">
        <f>IFERROR(VLOOKUP($A143,'13. Mapa Títulos-Receita'!$A$8:$P$1000,5,FALSE),"")</f>
        <v/>
      </c>
      <c r="U143" s="92">
        <f>IFERROR(VLOOKUP($A143,'13. Mapa Títulos-Receita'!$A$8:$P$1000,6,FALSE),"")</f>
        <v/>
      </c>
      <c r="V143" s="92">
        <f>IFERROR(VLOOKUP($A143,'13. Mapa Títulos-Receita'!$A$8:$P$1000,7,FALSE),"")</f>
        <v/>
      </c>
      <c r="W143" s="92">
        <f>IFERROR(VLOOKUP($A143,'13. Mapa Títulos-Receita'!$A$8:$P$1000,8,FALSE),"")</f>
        <v/>
      </c>
      <c r="X143" s="92">
        <f>IFERROR(VLOOKUP($A143,'13. Mapa Títulos-Receita'!$A$8:$P$1000,9,FALSE),"")</f>
        <v/>
      </c>
      <c r="Y143" s="92">
        <f>IFERROR(VLOOKUP($A143,'13. Mapa Títulos-Receita'!$A$8:$P$1000,10,FALSE),"")</f>
        <v/>
      </c>
      <c r="Z143" s="92">
        <f>IFERROR(VLOOKUP($A143,'13. Mapa Títulos-Receita'!$A$8:$P$1000,11,FALSE),"")</f>
        <v/>
      </c>
      <c r="AA143" s="92">
        <f>IFERROR(VLOOKUP($A143,'13. Mapa Títulos-Receita'!$A$8:$P$1000,12,FALSE),"")</f>
        <v/>
      </c>
      <c r="AB143" s="92">
        <f>IFERROR(VLOOKUP($A143,'13. Mapa Títulos-Receita'!$A$8:$P$1000,13,FALSE),"")</f>
        <v/>
      </c>
      <c r="AC143" s="92">
        <f>IFERROR(VLOOKUP($A143,'13. Mapa Títulos-Receita'!$A$8:$P$1000,14,FALSE),"")</f>
        <v/>
      </c>
      <c r="AD143" s="92">
        <f>IFERROR(VLOOKUP($A143,'13. Mapa Títulos-Receita'!$A$8:$P$1000,15,FALSE),"")</f>
        <v/>
      </c>
      <c r="AE143" s="92">
        <f>IFERROR(VLOOKUP($A143,'13. Mapa Títulos-Receita'!$A$8:$P$1000,16,FALSE),"")</f>
        <v/>
      </c>
    </row>
    <row r="144">
      <c r="A144" s="28">
        <f>IF(C144="","", "CR-"&amp;TEXT(ROW()-7,"000"))</f>
        <v/>
      </c>
      <c r="B144" s="28" t="n"/>
      <c r="C144" s="28" t="n"/>
      <c r="D144" s="111" t="n"/>
      <c r="E144" s="111" t="n"/>
      <c r="F144" s="111" t="n"/>
      <c r="G144" s="28" t="n"/>
      <c r="H144" s="45" t="n"/>
      <c r="I144" s="45" t="n"/>
      <c r="J144" s="28">
        <f>IF(H144="","",IF(I144&gt;=H144,"Recebido",IF($B$4&gt;E144,"Vencido","Aberto")))</f>
        <v/>
      </c>
      <c r="K144" s="4">
        <f>IF(J144="","",IF(OR(J144="Recebido",F144=""),MAX(0,F144-E144),MAX(0,$B$4-E144)))</f>
        <v/>
      </c>
      <c r="L144" s="4">
        <f>IF(K144="","",IF(K144=0,"Em dia",IF(K144&lt;=30,"1-30 dias",IF(K144&lt;=60,"31-60 dias",IF(K144&lt;=90,"61-90 dias","&gt;90 dias")))))</f>
        <v/>
      </c>
      <c r="M144" s="28" t="n"/>
      <c r="N144" s="104" t="inlineStr"/>
      <c r="O144" s="64" t="n"/>
      <c r="P144" s="64">
        <f>IF(C144="","",IF(ISNUMBER(SEARCH("PCMSO",C144)),"PCMSO",IF(OR(ISNUMBER(SEARCH("E-SOCIAL",C144)),ISNUMBER(SEARCH("PSICOSOCIAL",C144))),"eSocial / Psicossocial",IF(O144="Receita recorrente","Carteira recorrente","Projetos / Laudos / Avulsos"))))</f>
        <v/>
      </c>
      <c r="Q144" s="64">
        <f>IF(P144="","",IF(P144="Carteira recorrente","Operação recorrente",IF(P144="PCMSO","Projetos PCMSO",IF(P144="eSocial / Psicossocial","Projetos eSocial/Psicossocial","Projetos / Laudos / Avulsos"))))</f>
        <v/>
      </c>
      <c r="R144" s="64">
        <f>IF(C144="","",IF(ISNUMBER(SEARCH("PCMSO",C144)),"Título com PCMSO no nome",IF(OR(ISNUMBER(SEARCH("E-SOCIAL",C144)),ISNUMBER(SEARCH("PSICOSOCIAL",C144))),"Título com eSocial/Psicossocial no nome",IF(O144="Receita recorrente","Tipo DRE recorrente","Extra sem palavra-chave específica"))))</f>
        <v/>
      </c>
      <c r="S144" s="92">
        <f>IFERROR(VLOOKUP($A144,'13. Mapa Títulos-Receita'!$A$8:$P$1000,4,FALSE),"")</f>
        <v/>
      </c>
      <c r="T144" s="92">
        <f>IFERROR(VLOOKUP($A144,'13. Mapa Títulos-Receita'!$A$8:$P$1000,5,FALSE),"")</f>
        <v/>
      </c>
      <c r="U144" s="92">
        <f>IFERROR(VLOOKUP($A144,'13. Mapa Títulos-Receita'!$A$8:$P$1000,6,FALSE),"")</f>
        <v/>
      </c>
      <c r="V144" s="92">
        <f>IFERROR(VLOOKUP($A144,'13. Mapa Títulos-Receita'!$A$8:$P$1000,7,FALSE),"")</f>
        <v/>
      </c>
      <c r="W144" s="92">
        <f>IFERROR(VLOOKUP($A144,'13. Mapa Títulos-Receita'!$A$8:$P$1000,8,FALSE),"")</f>
        <v/>
      </c>
      <c r="X144" s="92">
        <f>IFERROR(VLOOKUP($A144,'13. Mapa Títulos-Receita'!$A$8:$P$1000,9,FALSE),"")</f>
        <v/>
      </c>
      <c r="Y144" s="92">
        <f>IFERROR(VLOOKUP($A144,'13. Mapa Títulos-Receita'!$A$8:$P$1000,10,FALSE),"")</f>
        <v/>
      </c>
      <c r="Z144" s="92">
        <f>IFERROR(VLOOKUP($A144,'13. Mapa Títulos-Receita'!$A$8:$P$1000,11,FALSE),"")</f>
        <v/>
      </c>
      <c r="AA144" s="92">
        <f>IFERROR(VLOOKUP($A144,'13. Mapa Títulos-Receita'!$A$8:$P$1000,12,FALSE),"")</f>
        <v/>
      </c>
      <c r="AB144" s="92">
        <f>IFERROR(VLOOKUP($A144,'13. Mapa Títulos-Receita'!$A$8:$P$1000,13,FALSE),"")</f>
        <v/>
      </c>
      <c r="AC144" s="92">
        <f>IFERROR(VLOOKUP($A144,'13. Mapa Títulos-Receita'!$A$8:$P$1000,14,FALSE),"")</f>
        <v/>
      </c>
      <c r="AD144" s="92">
        <f>IFERROR(VLOOKUP($A144,'13. Mapa Títulos-Receita'!$A$8:$P$1000,15,FALSE),"")</f>
        <v/>
      </c>
      <c r="AE144" s="92">
        <f>IFERROR(VLOOKUP($A144,'13. Mapa Títulos-Receita'!$A$8:$P$1000,16,FALSE),"")</f>
        <v/>
      </c>
    </row>
    <row r="145">
      <c r="A145" s="28">
        <f>IF(C145="","", "CR-"&amp;TEXT(ROW()-7,"000"))</f>
        <v/>
      </c>
      <c r="B145" s="28" t="n"/>
      <c r="C145" s="28" t="n"/>
      <c r="D145" s="111" t="n"/>
      <c r="E145" s="111" t="n"/>
      <c r="F145" s="111" t="n"/>
      <c r="G145" s="28" t="n"/>
      <c r="H145" s="45" t="n"/>
      <c r="I145" s="45" t="n"/>
      <c r="J145" s="28">
        <f>IF(H145="","",IF(I145&gt;=H145,"Recebido",IF($B$4&gt;E145,"Vencido","Aberto")))</f>
        <v/>
      </c>
      <c r="K145" s="4">
        <f>IF(J145="","",IF(OR(J145="Recebido",F145=""),MAX(0,F145-E145),MAX(0,$B$4-E145)))</f>
        <v/>
      </c>
      <c r="L145" s="4">
        <f>IF(K145="","",IF(K145=0,"Em dia",IF(K145&lt;=30,"1-30 dias",IF(K145&lt;=60,"31-60 dias",IF(K145&lt;=90,"61-90 dias","&gt;90 dias")))))</f>
        <v/>
      </c>
      <c r="M145" s="28" t="n"/>
      <c r="N145" s="104" t="inlineStr"/>
      <c r="O145" s="64" t="n"/>
      <c r="P145" s="64">
        <f>IF(C145="","",IF(ISNUMBER(SEARCH("PCMSO",C145)),"PCMSO",IF(OR(ISNUMBER(SEARCH("E-SOCIAL",C145)),ISNUMBER(SEARCH("PSICOSOCIAL",C145))),"eSocial / Psicossocial",IF(O145="Receita recorrente","Carteira recorrente","Projetos / Laudos / Avulsos"))))</f>
        <v/>
      </c>
      <c r="Q145" s="64">
        <f>IF(P145="","",IF(P145="Carteira recorrente","Operação recorrente",IF(P145="PCMSO","Projetos PCMSO",IF(P145="eSocial / Psicossocial","Projetos eSocial/Psicossocial","Projetos / Laudos / Avulsos"))))</f>
        <v/>
      </c>
      <c r="R145" s="64">
        <f>IF(C145="","",IF(ISNUMBER(SEARCH("PCMSO",C145)),"Título com PCMSO no nome",IF(OR(ISNUMBER(SEARCH("E-SOCIAL",C145)),ISNUMBER(SEARCH("PSICOSOCIAL",C145))),"Título com eSocial/Psicossocial no nome",IF(O145="Receita recorrente","Tipo DRE recorrente","Extra sem palavra-chave específica"))))</f>
        <v/>
      </c>
      <c r="S145" s="92">
        <f>IFERROR(VLOOKUP($A145,'13. Mapa Títulos-Receita'!$A$8:$P$1000,4,FALSE),"")</f>
        <v/>
      </c>
      <c r="T145" s="92">
        <f>IFERROR(VLOOKUP($A145,'13. Mapa Títulos-Receita'!$A$8:$P$1000,5,FALSE),"")</f>
        <v/>
      </c>
      <c r="U145" s="92">
        <f>IFERROR(VLOOKUP($A145,'13. Mapa Títulos-Receita'!$A$8:$P$1000,6,FALSE),"")</f>
        <v/>
      </c>
      <c r="V145" s="92">
        <f>IFERROR(VLOOKUP($A145,'13. Mapa Títulos-Receita'!$A$8:$P$1000,7,FALSE),"")</f>
        <v/>
      </c>
      <c r="W145" s="92">
        <f>IFERROR(VLOOKUP($A145,'13. Mapa Títulos-Receita'!$A$8:$P$1000,8,FALSE),"")</f>
        <v/>
      </c>
      <c r="X145" s="92">
        <f>IFERROR(VLOOKUP($A145,'13. Mapa Títulos-Receita'!$A$8:$P$1000,9,FALSE),"")</f>
        <v/>
      </c>
      <c r="Y145" s="92">
        <f>IFERROR(VLOOKUP($A145,'13. Mapa Títulos-Receita'!$A$8:$P$1000,10,FALSE),"")</f>
        <v/>
      </c>
      <c r="Z145" s="92">
        <f>IFERROR(VLOOKUP($A145,'13. Mapa Títulos-Receita'!$A$8:$P$1000,11,FALSE),"")</f>
        <v/>
      </c>
      <c r="AA145" s="92">
        <f>IFERROR(VLOOKUP($A145,'13. Mapa Títulos-Receita'!$A$8:$P$1000,12,FALSE),"")</f>
        <v/>
      </c>
      <c r="AB145" s="92">
        <f>IFERROR(VLOOKUP($A145,'13. Mapa Títulos-Receita'!$A$8:$P$1000,13,FALSE),"")</f>
        <v/>
      </c>
      <c r="AC145" s="92">
        <f>IFERROR(VLOOKUP($A145,'13. Mapa Títulos-Receita'!$A$8:$P$1000,14,FALSE),"")</f>
        <v/>
      </c>
      <c r="AD145" s="92">
        <f>IFERROR(VLOOKUP($A145,'13. Mapa Títulos-Receita'!$A$8:$P$1000,15,FALSE),"")</f>
        <v/>
      </c>
      <c r="AE145" s="92">
        <f>IFERROR(VLOOKUP($A145,'13. Mapa Títulos-Receita'!$A$8:$P$1000,16,FALSE),"")</f>
        <v/>
      </c>
    </row>
    <row r="146">
      <c r="A146" s="28">
        <f>IF(C146="","", "CR-"&amp;TEXT(ROW()-7,"000"))</f>
        <v/>
      </c>
      <c r="B146" s="28" t="n"/>
      <c r="C146" s="28" t="n"/>
      <c r="D146" s="111" t="n"/>
      <c r="E146" s="111" t="n"/>
      <c r="F146" s="111" t="n"/>
      <c r="G146" s="28" t="n"/>
      <c r="H146" s="45" t="n"/>
      <c r="I146" s="45" t="n"/>
      <c r="J146" s="28">
        <f>IF(H146="","",IF(I146&gt;=H146,"Recebido",IF($B$4&gt;E146,"Vencido","Aberto")))</f>
        <v/>
      </c>
      <c r="K146" s="4">
        <f>IF(J146="","",IF(OR(J146="Recebido",F146=""),MAX(0,F146-E146),MAX(0,$B$4-E146)))</f>
        <v/>
      </c>
      <c r="L146" s="4">
        <f>IF(K146="","",IF(K146=0,"Em dia",IF(K146&lt;=30,"1-30 dias",IF(K146&lt;=60,"31-60 dias",IF(K146&lt;=90,"61-90 dias","&gt;90 dias")))))</f>
        <v/>
      </c>
      <c r="M146" s="28" t="n"/>
      <c r="N146" s="104" t="inlineStr"/>
      <c r="O146" s="64" t="n"/>
      <c r="P146" s="64">
        <f>IF(C146="","",IF(ISNUMBER(SEARCH("PCMSO",C146)),"PCMSO",IF(OR(ISNUMBER(SEARCH("E-SOCIAL",C146)),ISNUMBER(SEARCH("PSICOSOCIAL",C146))),"eSocial / Psicossocial",IF(O146="Receita recorrente","Carteira recorrente","Projetos / Laudos / Avulsos"))))</f>
        <v/>
      </c>
      <c r="Q146" s="64">
        <f>IF(P146="","",IF(P146="Carteira recorrente","Operação recorrente",IF(P146="PCMSO","Projetos PCMSO",IF(P146="eSocial / Psicossocial","Projetos eSocial/Psicossocial","Projetos / Laudos / Avulsos"))))</f>
        <v/>
      </c>
      <c r="R146" s="64">
        <f>IF(C146="","",IF(ISNUMBER(SEARCH("PCMSO",C146)),"Título com PCMSO no nome",IF(OR(ISNUMBER(SEARCH("E-SOCIAL",C146)),ISNUMBER(SEARCH("PSICOSOCIAL",C146))),"Título com eSocial/Psicossocial no nome",IF(O146="Receita recorrente","Tipo DRE recorrente","Extra sem palavra-chave específica"))))</f>
        <v/>
      </c>
      <c r="S146" s="92">
        <f>IFERROR(VLOOKUP($A146,'13. Mapa Títulos-Receita'!$A$8:$P$1000,4,FALSE),"")</f>
        <v/>
      </c>
      <c r="T146" s="92">
        <f>IFERROR(VLOOKUP($A146,'13. Mapa Títulos-Receita'!$A$8:$P$1000,5,FALSE),"")</f>
        <v/>
      </c>
      <c r="U146" s="92">
        <f>IFERROR(VLOOKUP($A146,'13. Mapa Títulos-Receita'!$A$8:$P$1000,6,FALSE),"")</f>
        <v/>
      </c>
      <c r="V146" s="92">
        <f>IFERROR(VLOOKUP($A146,'13. Mapa Títulos-Receita'!$A$8:$P$1000,7,FALSE),"")</f>
        <v/>
      </c>
      <c r="W146" s="92">
        <f>IFERROR(VLOOKUP($A146,'13. Mapa Títulos-Receita'!$A$8:$P$1000,8,FALSE),"")</f>
        <v/>
      </c>
      <c r="X146" s="92">
        <f>IFERROR(VLOOKUP($A146,'13. Mapa Títulos-Receita'!$A$8:$P$1000,9,FALSE),"")</f>
        <v/>
      </c>
      <c r="Y146" s="92">
        <f>IFERROR(VLOOKUP($A146,'13. Mapa Títulos-Receita'!$A$8:$P$1000,10,FALSE),"")</f>
        <v/>
      </c>
      <c r="Z146" s="92">
        <f>IFERROR(VLOOKUP($A146,'13. Mapa Títulos-Receita'!$A$8:$P$1000,11,FALSE),"")</f>
        <v/>
      </c>
      <c r="AA146" s="92">
        <f>IFERROR(VLOOKUP($A146,'13. Mapa Títulos-Receita'!$A$8:$P$1000,12,FALSE),"")</f>
        <v/>
      </c>
      <c r="AB146" s="92">
        <f>IFERROR(VLOOKUP($A146,'13. Mapa Títulos-Receita'!$A$8:$P$1000,13,FALSE),"")</f>
        <v/>
      </c>
      <c r="AC146" s="92">
        <f>IFERROR(VLOOKUP($A146,'13. Mapa Títulos-Receita'!$A$8:$P$1000,14,FALSE),"")</f>
        <v/>
      </c>
      <c r="AD146" s="92">
        <f>IFERROR(VLOOKUP($A146,'13. Mapa Títulos-Receita'!$A$8:$P$1000,15,FALSE),"")</f>
        <v/>
      </c>
      <c r="AE146" s="92">
        <f>IFERROR(VLOOKUP($A146,'13. Mapa Títulos-Receita'!$A$8:$P$1000,16,FALSE),"")</f>
        <v/>
      </c>
    </row>
    <row r="147">
      <c r="A147" s="28">
        <f>IF(C147="","", "CR-"&amp;TEXT(ROW()-7,"000"))</f>
        <v/>
      </c>
      <c r="B147" s="28" t="n"/>
      <c r="C147" s="28" t="n"/>
      <c r="D147" s="111" t="n"/>
      <c r="E147" s="111" t="n"/>
      <c r="F147" s="111" t="n"/>
      <c r="G147" s="28" t="n"/>
      <c r="H147" s="45" t="n"/>
      <c r="I147" s="45" t="n"/>
      <c r="J147" s="28">
        <f>IF(H147="","",IF(I147&gt;=H147,"Recebido",IF($B$4&gt;E147,"Vencido","Aberto")))</f>
        <v/>
      </c>
      <c r="K147" s="4">
        <f>IF(J147="","",IF(OR(J147="Recebido",F147=""),MAX(0,F147-E147),MAX(0,$B$4-E147)))</f>
        <v/>
      </c>
      <c r="L147" s="4">
        <f>IF(K147="","",IF(K147=0,"Em dia",IF(K147&lt;=30,"1-30 dias",IF(K147&lt;=60,"31-60 dias",IF(K147&lt;=90,"61-90 dias","&gt;90 dias")))))</f>
        <v/>
      </c>
      <c r="M147" s="28" t="n"/>
      <c r="N147" s="104" t="inlineStr"/>
      <c r="O147" s="64" t="n"/>
      <c r="P147" s="64">
        <f>IF(C147="","",IF(ISNUMBER(SEARCH("PCMSO",C147)),"PCMSO",IF(OR(ISNUMBER(SEARCH("E-SOCIAL",C147)),ISNUMBER(SEARCH("PSICOSOCIAL",C147))),"eSocial / Psicossocial",IF(O147="Receita recorrente","Carteira recorrente","Projetos / Laudos / Avulsos"))))</f>
        <v/>
      </c>
      <c r="Q147" s="64">
        <f>IF(P147="","",IF(P147="Carteira recorrente","Operação recorrente",IF(P147="PCMSO","Projetos PCMSO",IF(P147="eSocial / Psicossocial","Projetos eSocial/Psicossocial","Projetos / Laudos / Avulsos"))))</f>
        <v/>
      </c>
      <c r="R147" s="64">
        <f>IF(C147="","",IF(ISNUMBER(SEARCH("PCMSO",C147)),"Título com PCMSO no nome",IF(OR(ISNUMBER(SEARCH("E-SOCIAL",C147)),ISNUMBER(SEARCH("PSICOSOCIAL",C147))),"Título com eSocial/Psicossocial no nome",IF(O147="Receita recorrente","Tipo DRE recorrente","Extra sem palavra-chave específica"))))</f>
        <v/>
      </c>
      <c r="S147" s="92">
        <f>IFERROR(VLOOKUP($A147,'13. Mapa Títulos-Receita'!$A$8:$P$1000,4,FALSE),"")</f>
        <v/>
      </c>
      <c r="T147" s="92">
        <f>IFERROR(VLOOKUP($A147,'13. Mapa Títulos-Receita'!$A$8:$P$1000,5,FALSE),"")</f>
        <v/>
      </c>
      <c r="U147" s="92">
        <f>IFERROR(VLOOKUP($A147,'13. Mapa Títulos-Receita'!$A$8:$P$1000,6,FALSE),"")</f>
        <v/>
      </c>
      <c r="V147" s="92">
        <f>IFERROR(VLOOKUP($A147,'13. Mapa Títulos-Receita'!$A$8:$P$1000,7,FALSE),"")</f>
        <v/>
      </c>
      <c r="W147" s="92">
        <f>IFERROR(VLOOKUP($A147,'13. Mapa Títulos-Receita'!$A$8:$P$1000,8,FALSE),"")</f>
        <v/>
      </c>
      <c r="X147" s="92">
        <f>IFERROR(VLOOKUP($A147,'13. Mapa Títulos-Receita'!$A$8:$P$1000,9,FALSE),"")</f>
        <v/>
      </c>
      <c r="Y147" s="92">
        <f>IFERROR(VLOOKUP($A147,'13. Mapa Títulos-Receita'!$A$8:$P$1000,10,FALSE),"")</f>
        <v/>
      </c>
      <c r="Z147" s="92">
        <f>IFERROR(VLOOKUP($A147,'13. Mapa Títulos-Receita'!$A$8:$P$1000,11,FALSE),"")</f>
        <v/>
      </c>
      <c r="AA147" s="92">
        <f>IFERROR(VLOOKUP($A147,'13. Mapa Títulos-Receita'!$A$8:$P$1000,12,FALSE),"")</f>
        <v/>
      </c>
      <c r="AB147" s="92">
        <f>IFERROR(VLOOKUP($A147,'13. Mapa Títulos-Receita'!$A$8:$P$1000,13,FALSE),"")</f>
        <v/>
      </c>
      <c r="AC147" s="92">
        <f>IFERROR(VLOOKUP($A147,'13. Mapa Títulos-Receita'!$A$8:$P$1000,14,FALSE),"")</f>
        <v/>
      </c>
      <c r="AD147" s="92">
        <f>IFERROR(VLOOKUP($A147,'13. Mapa Títulos-Receita'!$A$8:$P$1000,15,FALSE),"")</f>
        <v/>
      </c>
      <c r="AE147" s="92">
        <f>IFERROR(VLOOKUP($A147,'13. Mapa Títulos-Receita'!$A$8:$P$1000,16,FALSE),"")</f>
        <v/>
      </c>
    </row>
    <row r="148">
      <c r="A148" s="28">
        <f>IF(C148="","", "CR-"&amp;TEXT(ROW()-7,"000"))</f>
        <v/>
      </c>
      <c r="B148" s="28" t="n"/>
      <c r="C148" s="28" t="n"/>
      <c r="D148" s="111" t="n"/>
      <c r="E148" s="111" t="n"/>
      <c r="F148" s="111" t="n"/>
      <c r="G148" s="28" t="n"/>
      <c r="H148" s="45" t="n"/>
      <c r="I148" s="45" t="n"/>
      <c r="J148" s="28">
        <f>IF(H148="","",IF(I148&gt;=H148,"Recebido",IF($B$4&gt;E148,"Vencido","Aberto")))</f>
        <v/>
      </c>
      <c r="K148" s="4">
        <f>IF(J148="","",IF(OR(J148="Recebido",F148=""),MAX(0,F148-E148),MAX(0,$B$4-E148)))</f>
        <v/>
      </c>
      <c r="L148" s="4">
        <f>IF(K148="","",IF(K148=0,"Em dia",IF(K148&lt;=30,"1-30 dias",IF(K148&lt;=60,"31-60 dias",IF(K148&lt;=90,"61-90 dias","&gt;90 dias")))))</f>
        <v/>
      </c>
      <c r="M148" s="28" t="n"/>
      <c r="N148" s="104" t="inlineStr"/>
      <c r="O148" s="64" t="n"/>
      <c r="P148" s="64">
        <f>IF(C148="","",IF(ISNUMBER(SEARCH("PCMSO",C148)),"PCMSO",IF(OR(ISNUMBER(SEARCH("E-SOCIAL",C148)),ISNUMBER(SEARCH("PSICOSOCIAL",C148))),"eSocial / Psicossocial",IF(O148="Receita recorrente","Carteira recorrente","Projetos / Laudos / Avulsos"))))</f>
        <v/>
      </c>
      <c r="Q148" s="64">
        <f>IF(P148="","",IF(P148="Carteira recorrente","Operação recorrente",IF(P148="PCMSO","Projetos PCMSO",IF(P148="eSocial / Psicossocial","Projetos eSocial/Psicossocial","Projetos / Laudos / Avulsos"))))</f>
        <v/>
      </c>
      <c r="R148" s="64">
        <f>IF(C148="","",IF(ISNUMBER(SEARCH("PCMSO",C148)),"Título com PCMSO no nome",IF(OR(ISNUMBER(SEARCH("E-SOCIAL",C148)),ISNUMBER(SEARCH("PSICOSOCIAL",C148))),"Título com eSocial/Psicossocial no nome",IF(O148="Receita recorrente","Tipo DRE recorrente","Extra sem palavra-chave específica"))))</f>
        <v/>
      </c>
      <c r="S148" s="92">
        <f>IFERROR(VLOOKUP($A148,'13. Mapa Títulos-Receita'!$A$8:$P$1000,4,FALSE),"")</f>
        <v/>
      </c>
      <c r="T148" s="92">
        <f>IFERROR(VLOOKUP($A148,'13. Mapa Títulos-Receita'!$A$8:$P$1000,5,FALSE),"")</f>
        <v/>
      </c>
      <c r="U148" s="92">
        <f>IFERROR(VLOOKUP($A148,'13. Mapa Títulos-Receita'!$A$8:$P$1000,6,FALSE),"")</f>
        <v/>
      </c>
      <c r="V148" s="92">
        <f>IFERROR(VLOOKUP($A148,'13. Mapa Títulos-Receita'!$A$8:$P$1000,7,FALSE),"")</f>
        <v/>
      </c>
      <c r="W148" s="92">
        <f>IFERROR(VLOOKUP($A148,'13. Mapa Títulos-Receita'!$A$8:$P$1000,8,FALSE),"")</f>
        <v/>
      </c>
      <c r="X148" s="92">
        <f>IFERROR(VLOOKUP($A148,'13. Mapa Títulos-Receita'!$A$8:$P$1000,9,FALSE),"")</f>
        <v/>
      </c>
      <c r="Y148" s="92">
        <f>IFERROR(VLOOKUP($A148,'13. Mapa Títulos-Receita'!$A$8:$P$1000,10,FALSE),"")</f>
        <v/>
      </c>
      <c r="Z148" s="92">
        <f>IFERROR(VLOOKUP($A148,'13. Mapa Títulos-Receita'!$A$8:$P$1000,11,FALSE),"")</f>
        <v/>
      </c>
      <c r="AA148" s="92">
        <f>IFERROR(VLOOKUP($A148,'13. Mapa Títulos-Receita'!$A$8:$P$1000,12,FALSE),"")</f>
        <v/>
      </c>
      <c r="AB148" s="92">
        <f>IFERROR(VLOOKUP($A148,'13. Mapa Títulos-Receita'!$A$8:$P$1000,13,FALSE),"")</f>
        <v/>
      </c>
      <c r="AC148" s="92">
        <f>IFERROR(VLOOKUP($A148,'13. Mapa Títulos-Receita'!$A$8:$P$1000,14,FALSE),"")</f>
        <v/>
      </c>
      <c r="AD148" s="92">
        <f>IFERROR(VLOOKUP($A148,'13. Mapa Títulos-Receita'!$A$8:$P$1000,15,FALSE),"")</f>
        <v/>
      </c>
      <c r="AE148" s="92">
        <f>IFERROR(VLOOKUP($A148,'13. Mapa Títulos-Receita'!$A$8:$P$1000,16,FALSE),"")</f>
        <v/>
      </c>
    </row>
    <row r="149">
      <c r="A149" s="28">
        <f>IF(C149="","", "CR-"&amp;TEXT(ROW()-7,"000"))</f>
        <v/>
      </c>
      <c r="B149" s="28" t="n"/>
      <c r="C149" s="28" t="n"/>
      <c r="D149" s="111" t="n"/>
      <c r="E149" s="111" t="n"/>
      <c r="F149" s="111" t="n"/>
      <c r="G149" s="28" t="n"/>
      <c r="H149" s="45" t="n"/>
      <c r="I149" s="45" t="n"/>
      <c r="J149" s="28">
        <f>IF(H149="","",IF(I149&gt;=H149,"Recebido",IF($B$4&gt;E149,"Vencido","Aberto")))</f>
        <v/>
      </c>
      <c r="K149" s="4">
        <f>IF(J149="","",IF(OR(J149="Recebido",F149=""),MAX(0,F149-E149),MAX(0,$B$4-E149)))</f>
        <v/>
      </c>
      <c r="L149" s="4">
        <f>IF(K149="","",IF(K149=0,"Em dia",IF(K149&lt;=30,"1-30 dias",IF(K149&lt;=60,"31-60 dias",IF(K149&lt;=90,"61-90 dias","&gt;90 dias")))))</f>
        <v/>
      </c>
      <c r="M149" s="28" t="n"/>
      <c r="N149" s="104" t="inlineStr"/>
      <c r="O149" s="64" t="n"/>
      <c r="P149" s="64">
        <f>IF(C149="","",IF(ISNUMBER(SEARCH("PCMSO",C149)),"PCMSO",IF(OR(ISNUMBER(SEARCH("E-SOCIAL",C149)),ISNUMBER(SEARCH("PSICOSOCIAL",C149))),"eSocial / Psicossocial",IF(O149="Receita recorrente","Carteira recorrente","Projetos / Laudos / Avulsos"))))</f>
        <v/>
      </c>
      <c r="Q149" s="64">
        <f>IF(P149="","",IF(P149="Carteira recorrente","Operação recorrente",IF(P149="PCMSO","Projetos PCMSO",IF(P149="eSocial / Psicossocial","Projetos eSocial/Psicossocial","Projetos / Laudos / Avulsos"))))</f>
        <v/>
      </c>
      <c r="R149" s="64">
        <f>IF(C149="","",IF(ISNUMBER(SEARCH("PCMSO",C149)),"Título com PCMSO no nome",IF(OR(ISNUMBER(SEARCH("E-SOCIAL",C149)),ISNUMBER(SEARCH("PSICOSOCIAL",C149))),"Título com eSocial/Psicossocial no nome",IF(O149="Receita recorrente","Tipo DRE recorrente","Extra sem palavra-chave específica"))))</f>
        <v/>
      </c>
      <c r="S149" s="92">
        <f>IFERROR(VLOOKUP($A149,'13. Mapa Títulos-Receita'!$A$8:$P$1000,4,FALSE),"")</f>
        <v/>
      </c>
      <c r="T149" s="92">
        <f>IFERROR(VLOOKUP($A149,'13. Mapa Títulos-Receita'!$A$8:$P$1000,5,FALSE),"")</f>
        <v/>
      </c>
      <c r="U149" s="92">
        <f>IFERROR(VLOOKUP($A149,'13. Mapa Títulos-Receita'!$A$8:$P$1000,6,FALSE),"")</f>
        <v/>
      </c>
      <c r="V149" s="92">
        <f>IFERROR(VLOOKUP($A149,'13. Mapa Títulos-Receita'!$A$8:$P$1000,7,FALSE),"")</f>
        <v/>
      </c>
      <c r="W149" s="92">
        <f>IFERROR(VLOOKUP($A149,'13. Mapa Títulos-Receita'!$A$8:$P$1000,8,FALSE),"")</f>
        <v/>
      </c>
      <c r="X149" s="92">
        <f>IFERROR(VLOOKUP($A149,'13. Mapa Títulos-Receita'!$A$8:$P$1000,9,FALSE),"")</f>
        <v/>
      </c>
      <c r="Y149" s="92">
        <f>IFERROR(VLOOKUP($A149,'13. Mapa Títulos-Receita'!$A$8:$P$1000,10,FALSE),"")</f>
        <v/>
      </c>
      <c r="Z149" s="92">
        <f>IFERROR(VLOOKUP($A149,'13. Mapa Títulos-Receita'!$A$8:$P$1000,11,FALSE),"")</f>
        <v/>
      </c>
      <c r="AA149" s="92">
        <f>IFERROR(VLOOKUP($A149,'13. Mapa Títulos-Receita'!$A$8:$P$1000,12,FALSE),"")</f>
        <v/>
      </c>
      <c r="AB149" s="92">
        <f>IFERROR(VLOOKUP($A149,'13. Mapa Títulos-Receita'!$A$8:$P$1000,13,FALSE),"")</f>
        <v/>
      </c>
      <c r="AC149" s="92">
        <f>IFERROR(VLOOKUP($A149,'13. Mapa Títulos-Receita'!$A$8:$P$1000,14,FALSE),"")</f>
        <v/>
      </c>
      <c r="AD149" s="92">
        <f>IFERROR(VLOOKUP($A149,'13. Mapa Títulos-Receita'!$A$8:$P$1000,15,FALSE),"")</f>
        <v/>
      </c>
      <c r="AE149" s="92">
        <f>IFERROR(VLOOKUP($A149,'13. Mapa Títulos-Receita'!$A$8:$P$1000,16,FALSE),"")</f>
        <v/>
      </c>
    </row>
    <row r="150">
      <c r="A150" s="28">
        <f>IF(C150="","", "CR-"&amp;TEXT(ROW()-7,"000"))</f>
        <v/>
      </c>
      <c r="B150" s="28" t="n"/>
      <c r="C150" s="28" t="n"/>
      <c r="D150" s="111" t="n"/>
      <c r="E150" s="111" t="n"/>
      <c r="F150" s="111" t="n"/>
      <c r="G150" s="28" t="n"/>
      <c r="H150" s="45" t="n"/>
      <c r="I150" s="45" t="n"/>
      <c r="J150" s="28">
        <f>IF(H150="","",IF(I150&gt;=H150,"Recebido",IF($B$4&gt;E150,"Vencido","Aberto")))</f>
        <v/>
      </c>
      <c r="K150" s="4">
        <f>IF(J150="","",IF(OR(J150="Recebido",F150=""),MAX(0,F150-E150),MAX(0,$B$4-E150)))</f>
        <v/>
      </c>
      <c r="L150" s="4">
        <f>IF(K150="","",IF(K150=0,"Em dia",IF(K150&lt;=30,"1-30 dias",IF(K150&lt;=60,"31-60 dias",IF(K150&lt;=90,"61-90 dias","&gt;90 dias")))))</f>
        <v/>
      </c>
      <c r="M150" s="28" t="n"/>
      <c r="N150" s="104" t="inlineStr"/>
      <c r="O150" s="64" t="n"/>
      <c r="P150" s="64">
        <f>IF(C150="","",IF(ISNUMBER(SEARCH("PCMSO",C150)),"PCMSO",IF(OR(ISNUMBER(SEARCH("E-SOCIAL",C150)),ISNUMBER(SEARCH("PSICOSOCIAL",C150))),"eSocial / Psicossocial",IF(O150="Receita recorrente","Carteira recorrente","Projetos / Laudos / Avulsos"))))</f>
        <v/>
      </c>
      <c r="Q150" s="64">
        <f>IF(P150="","",IF(P150="Carteira recorrente","Operação recorrente",IF(P150="PCMSO","Projetos PCMSO",IF(P150="eSocial / Psicossocial","Projetos eSocial/Psicossocial","Projetos / Laudos / Avulsos"))))</f>
        <v/>
      </c>
      <c r="R150" s="64">
        <f>IF(C150="","",IF(ISNUMBER(SEARCH("PCMSO",C150)),"Título com PCMSO no nome",IF(OR(ISNUMBER(SEARCH("E-SOCIAL",C150)),ISNUMBER(SEARCH("PSICOSOCIAL",C150))),"Título com eSocial/Psicossocial no nome",IF(O150="Receita recorrente","Tipo DRE recorrente","Extra sem palavra-chave específica"))))</f>
        <v/>
      </c>
      <c r="S150" s="92">
        <f>IFERROR(VLOOKUP($A150,'13. Mapa Títulos-Receita'!$A$8:$P$1000,4,FALSE),"")</f>
        <v/>
      </c>
      <c r="T150" s="92">
        <f>IFERROR(VLOOKUP($A150,'13. Mapa Títulos-Receita'!$A$8:$P$1000,5,FALSE),"")</f>
        <v/>
      </c>
      <c r="U150" s="92">
        <f>IFERROR(VLOOKUP($A150,'13. Mapa Títulos-Receita'!$A$8:$P$1000,6,FALSE),"")</f>
        <v/>
      </c>
      <c r="V150" s="92">
        <f>IFERROR(VLOOKUP($A150,'13. Mapa Títulos-Receita'!$A$8:$P$1000,7,FALSE),"")</f>
        <v/>
      </c>
      <c r="W150" s="92">
        <f>IFERROR(VLOOKUP($A150,'13. Mapa Títulos-Receita'!$A$8:$P$1000,8,FALSE),"")</f>
        <v/>
      </c>
      <c r="X150" s="92">
        <f>IFERROR(VLOOKUP($A150,'13. Mapa Títulos-Receita'!$A$8:$P$1000,9,FALSE),"")</f>
        <v/>
      </c>
      <c r="Y150" s="92">
        <f>IFERROR(VLOOKUP($A150,'13. Mapa Títulos-Receita'!$A$8:$P$1000,10,FALSE),"")</f>
        <v/>
      </c>
      <c r="Z150" s="92">
        <f>IFERROR(VLOOKUP($A150,'13. Mapa Títulos-Receita'!$A$8:$P$1000,11,FALSE),"")</f>
        <v/>
      </c>
      <c r="AA150" s="92">
        <f>IFERROR(VLOOKUP($A150,'13. Mapa Títulos-Receita'!$A$8:$P$1000,12,FALSE),"")</f>
        <v/>
      </c>
      <c r="AB150" s="92">
        <f>IFERROR(VLOOKUP($A150,'13. Mapa Títulos-Receita'!$A$8:$P$1000,13,FALSE),"")</f>
        <v/>
      </c>
      <c r="AC150" s="92">
        <f>IFERROR(VLOOKUP($A150,'13. Mapa Títulos-Receita'!$A$8:$P$1000,14,FALSE),"")</f>
        <v/>
      </c>
      <c r="AD150" s="92">
        <f>IFERROR(VLOOKUP($A150,'13. Mapa Títulos-Receita'!$A$8:$P$1000,15,FALSE),"")</f>
        <v/>
      </c>
      <c r="AE150" s="92">
        <f>IFERROR(VLOOKUP($A150,'13. Mapa Títulos-Receita'!$A$8:$P$1000,16,FALSE),"")</f>
        <v/>
      </c>
    </row>
    <row r="151">
      <c r="A151" s="28">
        <f>IF(C151="","", "CR-"&amp;TEXT(ROW()-7,"000"))</f>
        <v/>
      </c>
      <c r="B151" s="28" t="n"/>
      <c r="C151" s="28" t="n"/>
      <c r="D151" s="111" t="n"/>
      <c r="E151" s="111" t="n"/>
      <c r="F151" s="111" t="n"/>
      <c r="G151" s="28" t="n"/>
      <c r="H151" s="45" t="n"/>
      <c r="I151" s="45" t="n"/>
      <c r="J151" s="28">
        <f>IF(H151="","",IF(I151&gt;=H151,"Recebido",IF($B$4&gt;E151,"Vencido","Aberto")))</f>
        <v/>
      </c>
      <c r="K151" s="4">
        <f>IF(J151="","",IF(OR(J151="Recebido",F151=""),MAX(0,F151-E151),MAX(0,$B$4-E151)))</f>
        <v/>
      </c>
      <c r="L151" s="4">
        <f>IF(K151="","",IF(K151=0,"Em dia",IF(K151&lt;=30,"1-30 dias",IF(K151&lt;=60,"31-60 dias",IF(K151&lt;=90,"61-90 dias","&gt;90 dias")))))</f>
        <v/>
      </c>
      <c r="M151" s="28" t="n"/>
      <c r="N151" s="104" t="inlineStr"/>
      <c r="O151" s="64" t="n"/>
      <c r="P151" s="64">
        <f>IF(C151="","",IF(ISNUMBER(SEARCH("PCMSO",C151)),"PCMSO",IF(OR(ISNUMBER(SEARCH("E-SOCIAL",C151)),ISNUMBER(SEARCH("PSICOSOCIAL",C151))),"eSocial / Psicossocial",IF(O151="Receita recorrente","Carteira recorrente","Projetos / Laudos / Avulsos"))))</f>
        <v/>
      </c>
      <c r="Q151" s="64">
        <f>IF(P151="","",IF(P151="Carteira recorrente","Operação recorrente",IF(P151="PCMSO","Projetos PCMSO",IF(P151="eSocial / Psicossocial","Projetos eSocial/Psicossocial","Projetos / Laudos / Avulsos"))))</f>
        <v/>
      </c>
      <c r="R151" s="64">
        <f>IF(C151="","",IF(ISNUMBER(SEARCH("PCMSO",C151)),"Título com PCMSO no nome",IF(OR(ISNUMBER(SEARCH("E-SOCIAL",C151)),ISNUMBER(SEARCH("PSICOSOCIAL",C151))),"Título com eSocial/Psicossocial no nome",IF(O151="Receita recorrente","Tipo DRE recorrente","Extra sem palavra-chave específica"))))</f>
        <v/>
      </c>
      <c r="S151" s="92">
        <f>IFERROR(VLOOKUP($A151,'13. Mapa Títulos-Receita'!$A$8:$P$1000,4,FALSE),"")</f>
        <v/>
      </c>
      <c r="T151" s="92">
        <f>IFERROR(VLOOKUP($A151,'13. Mapa Títulos-Receita'!$A$8:$P$1000,5,FALSE),"")</f>
        <v/>
      </c>
      <c r="U151" s="92">
        <f>IFERROR(VLOOKUP($A151,'13. Mapa Títulos-Receita'!$A$8:$P$1000,6,FALSE),"")</f>
        <v/>
      </c>
      <c r="V151" s="92">
        <f>IFERROR(VLOOKUP($A151,'13. Mapa Títulos-Receita'!$A$8:$P$1000,7,FALSE),"")</f>
        <v/>
      </c>
      <c r="W151" s="92">
        <f>IFERROR(VLOOKUP($A151,'13. Mapa Títulos-Receita'!$A$8:$P$1000,8,FALSE),"")</f>
        <v/>
      </c>
      <c r="X151" s="92">
        <f>IFERROR(VLOOKUP($A151,'13. Mapa Títulos-Receita'!$A$8:$P$1000,9,FALSE),"")</f>
        <v/>
      </c>
      <c r="Y151" s="92">
        <f>IFERROR(VLOOKUP($A151,'13. Mapa Títulos-Receita'!$A$8:$P$1000,10,FALSE),"")</f>
        <v/>
      </c>
      <c r="Z151" s="92">
        <f>IFERROR(VLOOKUP($A151,'13. Mapa Títulos-Receita'!$A$8:$P$1000,11,FALSE),"")</f>
        <v/>
      </c>
      <c r="AA151" s="92">
        <f>IFERROR(VLOOKUP($A151,'13. Mapa Títulos-Receita'!$A$8:$P$1000,12,FALSE),"")</f>
        <v/>
      </c>
      <c r="AB151" s="92">
        <f>IFERROR(VLOOKUP($A151,'13. Mapa Títulos-Receita'!$A$8:$P$1000,13,FALSE),"")</f>
        <v/>
      </c>
      <c r="AC151" s="92">
        <f>IFERROR(VLOOKUP($A151,'13. Mapa Títulos-Receita'!$A$8:$P$1000,14,FALSE),"")</f>
        <v/>
      </c>
      <c r="AD151" s="92">
        <f>IFERROR(VLOOKUP($A151,'13. Mapa Títulos-Receita'!$A$8:$P$1000,15,FALSE),"")</f>
        <v/>
      </c>
      <c r="AE151" s="92">
        <f>IFERROR(VLOOKUP($A151,'13. Mapa Títulos-Receita'!$A$8:$P$1000,16,FALSE),"")</f>
        <v/>
      </c>
    </row>
    <row r="152">
      <c r="A152" s="28">
        <f>IF(C152="","", "CR-"&amp;TEXT(ROW()-7,"000"))</f>
        <v/>
      </c>
      <c r="B152" s="28" t="n"/>
      <c r="C152" s="28" t="n"/>
      <c r="D152" s="111" t="n"/>
      <c r="E152" s="111" t="n"/>
      <c r="F152" s="111" t="n"/>
      <c r="G152" s="28" t="n"/>
      <c r="H152" s="45" t="n"/>
      <c r="I152" s="45" t="n"/>
      <c r="J152" s="28">
        <f>IF(H152="","",IF(I152&gt;=H152,"Recebido",IF($B$4&gt;E152,"Vencido","Aberto")))</f>
        <v/>
      </c>
      <c r="K152" s="4">
        <f>IF(J152="","",IF(OR(J152="Recebido",F152=""),MAX(0,F152-E152),MAX(0,$B$4-E152)))</f>
        <v/>
      </c>
      <c r="L152" s="4">
        <f>IF(K152="","",IF(K152=0,"Em dia",IF(K152&lt;=30,"1-30 dias",IF(K152&lt;=60,"31-60 dias",IF(K152&lt;=90,"61-90 dias","&gt;90 dias")))))</f>
        <v/>
      </c>
      <c r="M152" s="28" t="n"/>
      <c r="N152" s="104" t="inlineStr"/>
      <c r="O152" s="64" t="n"/>
      <c r="P152" s="64">
        <f>IF(C152="","",IF(ISNUMBER(SEARCH("PCMSO",C152)),"PCMSO",IF(OR(ISNUMBER(SEARCH("E-SOCIAL",C152)),ISNUMBER(SEARCH("PSICOSOCIAL",C152))),"eSocial / Psicossocial",IF(O152="Receita recorrente","Carteira recorrente","Projetos / Laudos / Avulsos"))))</f>
        <v/>
      </c>
      <c r="Q152" s="64">
        <f>IF(P152="","",IF(P152="Carteira recorrente","Operação recorrente",IF(P152="PCMSO","Projetos PCMSO",IF(P152="eSocial / Psicossocial","Projetos eSocial/Psicossocial","Projetos / Laudos / Avulsos"))))</f>
        <v/>
      </c>
      <c r="R152" s="64">
        <f>IF(C152="","",IF(ISNUMBER(SEARCH("PCMSO",C152)),"Título com PCMSO no nome",IF(OR(ISNUMBER(SEARCH("E-SOCIAL",C152)),ISNUMBER(SEARCH("PSICOSOCIAL",C152))),"Título com eSocial/Psicossocial no nome",IF(O152="Receita recorrente","Tipo DRE recorrente","Extra sem palavra-chave específica"))))</f>
        <v/>
      </c>
      <c r="S152" s="92">
        <f>IFERROR(VLOOKUP($A152,'13. Mapa Títulos-Receita'!$A$8:$P$1000,4,FALSE),"")</f>
        <v/>
      </c>
      <c r="T152" s="92">
        <f>IFERROR(VLOOKUP($A152,'13. Mapa Títulos-Receita'!$A$8:$P$1000,5,FALSE),"")</f>
        <v/>
      </c>
      <c r="U152" s="92">
        <f>IFERROR(VLOOKUP($A152,'13. Mapa Títulos-Receita'!$A$8:$P$1000,6,FALSE),"")</f>
        <v/>
      </c>
      <c r="V152" s="92">
        <f>IFERROR(VLOOKUP($A152,'13. Mapa Títulos-Receita'!$A$8:$P$1000,7,FALSE),"")</f>
        <v/>
      </c>
      <c r="W152" s="92">
        <f>IFERROR(VLOOKUP($A152,'13. Mapa Títulos-Receita'!$A$8:$P$1000,8,FALSE),"")</f>
        <v/>
      </c>
      <c r="X152" s="92">
        <f>IFERROR(VLOOKUP($A152,'13. Mapa Títulos-Receita'!$A$8:$P$1000,9,FALSE),"")</f>
        <v/>
      </c>
      <c r="Y152" s="92">
        <f>IFERROR(VLOOKUP($A152,'13. Mapa Títulos-Receita'!$A$8:$P$1000,10,FALSE),"")</f>
        <v/>
      </c>
      <c r="Z152" s="92">
        <f>IFERROR(VLOOKUP($A152,'13. Mapa Títulos-Receita'!$A$8:$P$1000,11,FALSE),"")</f>
        <v/>
      </c>
      <c r="AA152" s="92">
        <f>IFERROR(VLOOKUP($A152,'13. Mapa Títulos-Receita'!$A$8:$P$1000,12,FALSE),"")</f>
        <v/>
      </c>
      <c r="AB152" s="92">
        <f>IFERROR(VLOOKUP($A152,'13. Mapa Títulos-Receita'!$A$8:$P$1000,13,FALSE),"")</f>
        <v/>
      </c>
      <c r="AC152" s="92">
        <f>IFERROR(VLOOKUP($A152,'13. Mapa Títulos-Receita'!$A$8:$P$1000,14,FALSE),"")</f>
        <v/>
      </c>
      <c r="AD152" s="92">
        <f>IFERROR(VLOOKUP($A152,'13. Mapa Títulos-Receita'!$A$8:$P$1000,15,FALSE),"")</f>
        <v/>
      </c>
      <c r="AE152" s="92">
        <f>IFERROR(VLOOKUP($A152,'13. Mapa Títulos-Receita'!$A$8:$P$1000,16,FALSE),"")</f>
        <v/>
      </c>
    </row>
    <row r="153">
      <c r="A153" s="28">
        <f>IF(C153="","", "CR-"&amp;TEXT(ROW()-7,"000"))</f>
        <v/>
      </c>
      <c r="B153" s="28" t="n"/>
      <c r="C153" s="28" t="n"/>
      <c r="D153" s="111" t="n"/>
      <c r="E153" s="111" t="n"/>
      <c r="F153" s="111" t="n"/>
      <c r="G153" s="28" t="n"/>
      <c r="H153" s="45" t="n"/>
      <c r="I153" s="45" t="n"/>
      <c r="J153" s="28">
        <f>IF(H153="","",IF(I153&gt;=H153,"Recebido",IF($B$4&gt;E153,"Vencido","Aberto")))</f>
        <v/>
      </c>
      <c r="K153" s="4">
        <f>IF(J153="","",IF(OR(J153="Recebido",F153=""),MAX(0,F153-E153),MAX(0,$B$4-E153)))</f>
        <v/>
      </c>
      <c r="L153" s="4">
        <f>IF(K153="","",IF(K153=0,"Em dia",IF(K153&lt;=30,"1-30 dias",IF(K153&lt;=60,"31-60 dias",IF(K153&lt;=90,"61-90 dias","&gt;90 dias")))))</f>
        <v/>
      </c>
      <c r="M153" s="28" t="n"/>
      <c r="N153" s="104" t="inlineStr"/>
      <c r="O153" s="64" t="n"/>
      <c r="P153" s="64">
        <f>IF(C153="","",IF(ISNUMBER(SEARCH("PCMSO",C153)),"PCMSO",IF(OR(ISNUMBER(SEARCH("E-SOCIAL",C153)),ISNUMBER(SEARCH("PSICOSOCIAL",C153))),"eSocial / Psicossocial",IF(O153="Receita recorrente","Carteira recorrente","Projetos / Laudos / Avulsos"))))</f>
        <v/>
      </c>
      <c r="Q153" s="64">
        <f>IF(P153="","",IF(P153="Carteira recorrente","Operação recorrente",IF(P153="PCMSO","Projetos PCMSO",IF(P153="eSocial / Psicossocial","Projetos eSocial/Psicossocial","Projetos / Laudos / Avulsos"))))</f>
        <v/>
      </c>
      <c r="R153" s="64">
        <f>IF(C153="","",IF(ISNUMBER(SEARCH("PCMSO",C153)),"Título com PCMSO no nome",IF(OR(ISNUMBER(SEARCH("E-SOCIAL",C153)),ISNUMBER(SEARCH("PSICOSOCIAL",C153))),"Título com eSocial/Psicossocial no nome",IF(O153="Receita recorrente","Tipo DRE recorrente","Extra sem palavra-chave específica"))))</f>
        <v/>
      </c>
      <c r="S153" s="92">
        <f>IFERROR(VLOOKUP($A153,'13. Mapa Títulos-Receita'!$A$8:$P$1000,4,FALSE),"")</f>
        <v/>
      </c>
      <c r="T153" s="92">
        <f>IFERROR(VLOOKUP($A153,'13. Mapa Títulos-Receita'!$A$8:$P$1000,5,FALSE),"")</f>
        <v/>
      </c>
      <c r="U153" s="92">
        <f>IFERROR(VLOOKUP($A153,'13. Mapa Títulos-Receita'!$A$8:$P$1000,6,FALSE),"")</f>
        <v/>
      </c>
      <c r="V153" s="92">
        <f>IFERROR(VLOOKUP($A153,'13. Mapa Títulos-Receita'!$A$8:$P$1000,7,FALSE),"")</f>
        <v/>
      </c>
      <c r="W153" s="92">
        <f>IFERROR(VLOOKUP($A153,'13. Mapa Títulos-Receita'!$A$8:$P$1000,8,FALSE),"")</f>
        <v/>
      </c>
      <c r="X153" s="92">
        <f>IFERROR(VLOOKUP($A153,'13. Mapa Títulos-Receita'!$A$8:$P$1000,9,FALSE),"")</f>
        <v/>
      </c>
      <c r="Y153" s="92">
        <f>IFERROR(VLOOKUP($A153,'13. Mapa Títulos-Receita'!$A$8:$P$1000,10,FALSE),"")</f>
        <v/>
      </c>
      <c r="Z153" s="92">
        <f>IFERROR(VLOOKUP($A153,'13. Mapa Títulos-Receita'!$A$8:$P$1000,11,FALSE),"")</f>
        <v/>
      </c>
      <c r="AA153" s="92">
        <f>IFERROR(VLOOKUP($A153,'13. Mapa Títulos-Receita'!$A$8:$P$1000,12,FALSE),"")</f>
        <v/>
      </c>
      <c r="AB153" s="92">
        <f>IFERROR(VLOOKUP($A153,'13. Mapa Títulos-Receita'!$A$8:$P$1000,13,FALSE),"")</f>
        <v/>
      </c>
      <c r="AC153" s="92">
        <f>IFERROR(VLOOKUP($A153,'13. Mapa Títulos-Receita'!$A$8:$P$1000,14,FALSE),"")</f>
        <v/>
      </c>
      <c r="AD153" s="92">
        <f>IFERROR(VLOOKUP($A153,'13. Mapa Títulos-Receita'!$A$8:$P$1000,15,FALSE),"")</f>
        <v/>
      </c>
      <c r="AE153" s="92">
        <f>IFERROR(VLOOKUP($A153,'13. Mapa Títulos-Receita'!$A$8:$P$1000,16,FALSE),"")</f>
        <v/>
      </c>
    </row>
    <row r="154">
      <c r="A154" s="28">
        <f>IF(C154="","", "CR-"&amp;TEXT(ROW()-7,"000"))</f>
        <v/>
      </c>
      <c r="B154" s="28" t="n"/>
      <c r="C154" s="28" t="n"/>
      <c r="D154" s="111" t="n"/>
      <c r="E154" s="111" t="n"/>
      <c r="F154" s="111" t="n"/>
      <c r="G154" s="28" t="n"/>
      <c r="H154" s="45" t="n"/>
      <c r="I154" s="45" t="n"/>
      <c r="J154" s="28">
        <f>IF(H154="","",IF(I154&gt;=H154,"Recebido",IF($B$4&gt;E154,"Vencido","Aberto")))</f>
        <v/>
      </c>
      <c r="K154" s="4">
        <f>IF(J154="","",IF(OR(J154="Recebido",F154=""),MAX(0,F154-E154),MAX(0,$B$4-E154)))</f>
        <v/>
      </c>
      <c r="L154" s="4">
        <f>IF(K154="","",IF(K154=0,"Em dia",IF(K154&lt;=30,"1-30 dias",IF(K154&lt;=60,"31-60 dias",IF(K154&lt;=90,"61-90 dias","&gt;90 dias")))))</f>
        <v/>
      </c>
      <c r="M154" s="28" t="n"/>
      <c r="N154" s="104" t="inlineStr"/>
      <c r="O154" s="64" t="n"/>
      <c r="P154" s="64">
        <f>IF(C154="","",IF(ISNUMBER(SEARCH("PCMSO",C154)),"PCMSO",IF(OR(ISNUMBER(SEARCH("E-SOCIAL",C154)),ISNUMBER(SEARCH("PSICOSOCIAL",C154))),"eSocial / Psicossocial",IF(O154="Receita recorrente","Carteira recorrente","Projetos / Laudos / Avulsos"))))</f>
        <v/>
      </c>
      <c r="Q154" s="64">
        <f>IF(P154="","",IF(P154="Carteira recorrente","Operação recorrente",IF(P154="PCMSO","Projetos PCMSO",IF(P154="eSocial / Psicossocial","Projetos eSocial/Psicossocial","Projetos / Laudos / Avulsos"))))</f>
        <v/>
      </c>
      <c r="R154" s="64">
        <f>IF(C154="","",IF(ISNUMBER(SEARCH("PCMSO",C154)),"Título com PCMSO no nome",IF(OR(ISNUMBER(SEARCH("E-SOCIAL",C154)),ISNUMBER(SEARCH("PSICOSOCIAL",C154))),"Título com eSocial/Psicossocial no nome",IF(O154="Receita recorrente","Tipo DRE recorrente","Extra sem palavra-chave específica"))))</f>
        <v/>
      </c>
      <c r="S154" s="92">
        <f>IFERROR(VLOOKUP($A154,'13. Mapa Títulos-Receita'!$A$8:$P$1000,4,FALSE),"")</f>
        <v/>
      </c>
      <c r="T154" s="92">
        <f>IFERROR(VLOOKUP($A154,'13. Mapa Títulos-Receita'!$A$8:$P$1000,5,FALSE),"")</f>
        <v/>
      </c>
      <c r="U154" s="92">
        <f>IFERROR(VLOOKUP($A154,'13. Mapa Títulos-Receita'!$A$8:$P$1000,6,FALSE),"")</f>
        <v/>
      </c>
      <c r="V154" s="92">
        <f>IFERROR(VLOOKUP($A154,'13. Mapa Títulos-Receita'!$A$8:$P$1000,7,FALSE),"")</f>
        <v/>
      </c>
      <c r="W154" s="92">
        <f>IFERROR(VLOOKUP($A154,'13. Mapa Títulos-Receita'!$A$8:$P$1000,8,FALSE),"")</f>
        <v/>
      </c>
      <c r="X154" s="92">
        <f>IFERROR(VLOOKUP($A154,'13. Mapa Títulos-Receita'!$A$8:$P$1000,9,FALSE),"")</f>
        <v/>
      </c>
      <c r="Y154" s="92">
        <f>IFERROR(VLOOKUP($A154,'13. Mapa Títulos-Receita'!$A$8:$P$1000,10,FALSE),"")</f>
        <v/>
      </c>
      <c r="Z154" s="92">
        <f>IFERROR(VLOOKUP($A154,'13. Mapa Títulos-Receita'!$A$8:$P$1000,11,FALSE),"")</f>
        <v/>
      </c>
      <c r="AA154" s="92">
        <f>IFERROR(VLOOKUP($A154,'13. Mapa Títulos-Receita'!$A$8:$P$1000,12,FALSE),"")</f>
        <v/>
      </c>
      <c r="AB154" s="92">
        <f>IFERROR(VLOOKUP($A154,'13. Mapa Títulos-Receita'!$A$8:$P$1000,13,FALSE),"")</f>
        <v/>
      </c>
      <c r="AC154" s="92">
        <f>IFERROR(VLOOKUP($A154,'13. Mapa Títulos-Receita'!$A$8:$P$1000,14,FALSE),"")</f>
        <v/>
      </c>
      <c r="AD154" s="92">
        <f>IFERROR(VLOOKUP($A154,'13. Mapa Títulos-Receita'!$A$8:$P$1000,15,FALSE),"")</f>
        <v/>
      </c>
      <c r="AE154" s="92">
        <f>IFERROR(VLOOKUP($A154,'13. Mapa Títulos-Receita'!$A$8:$P$1000,16,FALSE),"")</f>
        <v/>
      </c>
    </row>
    <row r="155">
      <c r="A155" s="28">
        <f>IF(C155="","", "CR-"&amp;TEXT(ROW()-7,"000"))</f>
        <v/>
      </c>
      <c r="B155" s="28" t="n"/>
      <c r="C155" s="28" t="n"/>
      <c r="D155" s="111" t="n"/>
      <c r="E155" s="111" t="n"/>
      <c r="F155" s="111" t="n"/>
      <c r="G155" s="28" t="n"/>
      <c r="H155" s="45" t="n"/>
      <c r="I155" s="45" t="n"/>
      <c r="J155" s="28">
        <f>IF(H155="","",IF(I155&gt;=H155,"Recebido",IF($B$4&gt;E155,"Vencido","Aberto")))</f>
        <v/>
      </c>
      <c r="K155" s="4">
        <f>IF(J155="","",IF(OR(J155="Recebido",F155=""),MAX(0,F155-E155),MAX(0,$B$4-E155)))</f>
        <v/>
      </c>
      <c r="L155" s="4">
        <f>IF(K155="","",IF(K155=0,"Em dia",IF(K155&lt;=30,"1-30 dias",IF(K155&lt;=60,"31-60 dias",IF(K155&lt;=90,"61-90 dias","&gt;90 dias")))))</f>
        <v/>
      </c>
      <c r="M155" s="28" t="n"/>
      <c r="N155" s="104" t="inlineStr"/>
      <c r="O155" s="64" t="n"/>
      <c r="P155" s="64">
        <f>IF(C155="","",IF(ISNUMBER(SEARCH("PCMSO",C155)),"PCMSO",IF(OR(ISNUMBER(SEARCH("E-SOCIAL",C155)),ISNUMBER(SEARCH("PSICOSOCIAL",C155))),"eSocial / Psicossocial",IF(O155="Receita recorrente","Carteira recorrente","Projetos / Laudos / Avulsos"))))</f>
        <v/>
      </c>
      <c r="Q155" s="64">
        <f>IF(P155="","",IF(P155="Carteira recorrente","Operação recorrente",IF(P155="PCMSO","Projetos PCMSO",IF(P155="eSocial / Psicossocial","Projetos eSocial/Psicossocial","Projetos / Laudos / Avulsos"))))</f>
        <v/>
      </c>
      <c r="R155" s="64">
        <f>IF(C155="","",IF(ISNUMBER(SEARCH("PCMSO",C155)),"Título com PCMSO no nome",IF(OR(ISNUMBER(SEARCH("E-SOCIAL",C155)),ISNUMBER(SEARCH("PSICOSOCIAL",C155))),"Título com eSocial/Psicossocial no nome",IF(O155="Receita recorrente","Tipo DRE recorrente","Extra sem palavra-chave específica"))))</f>
        <v/>
      </c>
      <c r="S155" s="92">
        <f>IFERROR(VLOOKUP($A155,'13. Mapa Títulos-Receita'!$A$8:$P$1000,4,FALSE),"")</f>
        <v/>
      </c>
      <c r="T155" s="92">
        <f>IFERROR(VLOOKUP($A155,'13. Mapa Títulos-Receita'!$A$8:$P$1000,5,FALSE),"")</f>
        <v/>
      </c>
      <c r="U155" s="92">
        <f>IFERROR(VLOOKUP($A155,'13. Mapa Títulos-Receita'!$A$8:$P$1000,6,FALSE),"")</f>
        <v/>
      </c>
      <c r="V155" s="92">
        <f>IFERROR(VLOOKUP($A155,'13. Mapa Títulos-Receita'!$A$8:$P$1000,7,FALSE),"")</f>
        <v/>
      </c>
      <c r="W155" s="92">
        <f>IFERROR(VLOOKUP($A155,'13. Mapa Títulos-Receita'!$A$8:$P$1000,8,FALSE),"")</f>
        <v/>
      </c>
      <c r="X155" s="92">
        <f>IFERROR(VLOOKUP($A155,'13. Mapa Títulos-Receita'!$A$8:$P$1000,9,FALSE),"")</f>
        <v/>
      </c>
      <c r="Y155" s="92">
        <f>IFERROR(VLOOKUP($A155,'13. Mapa Títulos-Receita'!$A$8:$P$1000,10,FALSE),"")</f>
        <v/>
      </c>
      <c r="Z155" s="92">
        <f>IFERROR(VLOOKUP($A155,'13. Mapa Títulos-Receita'!$A$8:$P$1000,11,FALSE),"")</f>
        <v/>
      </c>
      <c r="AA155" s="92">
        <f>IFERROR(VLOOKUP($A155,'13. Mapa Títulos-Receita'!$A$8:$P$1000,12,FALSE),"")</f>
        <v/>
      </c>
      <c r="AB155" s="92">
        <f>IFERROR(VLOOKUP($A155,'13. Mapa Títulos-Receita'!$A$8:$P$1000,13,FALSE),"")</f>
        <v/>
      </c>
      <c r="AC155" s="92">
        <f>IFERROR(VLOOKUP($A155,'13. Mapa Títulos-Receita'!$A$8:$P$1000,14,FALSE),"")</f>
        <v/>
      </c>
      <c r="AD155" s="92">
        <f>IFERROR(VLOOKUP($A155,'13. Mapa Títulos-Receita'!$A$8:$P$1000,15,FALSE),"")</f>
        <v/>
      </c>
      <c r="AE155" s="92">
        <f>IFERROR(VLOOKUP($A155,'13. Mapa Títulos-Receita'!$A$8:$P$1000,16,FALSE),"")</f>
        <v/>
      </c>
    </row>
    <row r="156">
      <c r="A156" s="28">
        <f>IF(C156="","", "CR-"&amp;TEXT(ROW()-7,"000"))</f>
        <v/>
      </c>
      <c r="B156" s="28" t="n"/>
      <c r="C156" s="28" t="n"/>
      <c r="D156" s="111" t="n"/>
      <c r="E156" s="111" t="n"/>
      <c r="F156" s="111" t="n"/>
      <c r="G156" s="28" t="n"/>
      <c r="H156" s="45" t="n"/>
      <c r="I156" s="45" t="n"/>
      <c r="J156" s="28">
        <f>IF(H156="","",IF(I156&gt;=H156,"Recebido",IF($B$4&gt;E156,"Vencido","Aberto")))</f>
        <v/>
      </c>
      <c r="K156" s="4">
        <f>IF(J156="","",IF(OR(J156="Recebido",F156=""),MAX(0,F156-E156),MAX(0,$B$4-E156)))</f>
        <v/>
      </c>
      <c r="L156" s="4">
        <f>IF(K156="","",IF(K156=0,"Em dia",IF(K156&lt;=30,"1-30 dias",IF(K156&lt;=60,"31-60 dias",IF(K156&lt;=90,"61-90 dias","&gt;90 dias")))))</f>
        <v/>
      </c>
      <c r="M156" s="28" t="n"/>
      <c r="N156" s="104" t="inlineStr"/>
      <c r="O156" s="64" t="n"/>
      <c r="P156" s="64">
        <f>IF(C156="","",IF(ISNUMBER(SEARCH("PCMSO",C156)),"PCMSO",IF(OR(ISNUMBER(SEARCH("E-SOCIAL",C156)),ISNUMBER(SEARCH("PSICOSOCIAL",C156))),"eSocial / Psicossocial",IF(O156="Receita recorrente","Carteira recorrente","Projetos / Laudos / Avulsos"))))</f>
        <v/>
      </c>
      <c r="Q156" s="64">
        <f>IF(P156="","",IF(P156="Carteira recorrente","Operação recorrente",IF(P156="PCMSO","Projetos PCMSO",IF(P156="eSocial / Psicossocial","Projetos eSocial/Psicossocial","Projetos / Laudos / Avulsos"))))</f>
        <v/>
      </c>
      <c r="R156" s="64">
        <f>IF(C156="","",IF(ISNUMBER(SEARCH("PCMSO",C156)),"Título com PCMSO no nome",IF(OR(ISNUMBER(SEARCH("E-SOCIAL",C156)),ISNUMBER(SEARCH("PSICOSOCIAL",C156))),"Título com eSocial/Psicossocial no nome",IF(O156="Receita recorrente","Tipo DRE recorrente","Extra sem palavra-chave específica"))))</f>
        <v/>
      </c>
      <c r="S156" s="92">
        <f>IFERROR(VLOOKUP($A156,'13. Mapa Títulos-Receita'!$A$8:$P$1000,4,FALSE),"")</f>
        <v/>
      </c>
      <c r="T156" s="92">
        <f>IFERROR(VLOOKUP($A156,'13. Mapa Títulos-Receita'!$A$8:$P$1000,5,FALSE),"")</f>
        <v/>
      </c>
      <c r="U156" s="92">
        <f>IFERROR(VLOOKUP($A156,'13. Mapa Títulos-Receita'!$A$8:$P$1000,6,FALSE),"")</f>
        <v/>
      </c>
      <c r="V156" s="92">
        <f>IFERROR(VLOOKUP($A156,'13. Mapa Títulos-Receita'!$A$8:$P$1000,7,FALSE),"")</f>
        <v/>
      </c>
      <c r="W156" s="92">
        <f>IFERROR(VLOOKUP($A156,'13. Mapa Títulos-Receita'!$A$8:$P$1000,8,FALSE),"")</f>
        <v/>
      </c>
      <c r="X156" s="92">
        <f>IFERROR(VLOOKUP($A156,'13. Mapa Títulos-Receita'!$A$8:$P$1000,9,FALSE),"")</f>
        <v/>
      </c>
      <c r="Y156" s="92">
        <f>IFERROR(VLOOKUP($A156,'13. Mapa Títulos-Receita'!$A$8:$P$1000,10,FALSE),"")</f>
        <v/>
      </c>
      <c r="Z156" s="92">
        <f>IFERROR(VLOOKUP($A156,'13. Mapa Títulos-Receita'!$A$8:$P$1000,11,FALSE),"")</f>
        <v/>
      </c>
      <c r="AA156" s="92">
        <f>IFERROR(VLOOKUP($A156,'13. Mapa Títulos-Receita'!$A$8:$P$1000,12,FALSE),"")</f>
        <v/>
      </c>
      <c r="AB156" s="92">
        <f>IFERROR(VLOOKUP($A156,'13. Mapa Títulos-Receita'!$A$8:$P$1000,13,FALSE),"")</f>
        <v/>
      </c>
      <c r="AC156" s="92">
        <f>IFERROR(VLOOKUP($A156,'13. Mapa Títulos-Receita'!$A$8:$P$1000,14,FALSE),"")</f>
        <v/>
      </c>
      <c r="AD156" s="92">
        <f>IFERROR(VLOOKUP($A156,'13. Mapa Títulos-Receita'!$A$8:$P$1000,15,FALSE),"")</f>
        <v/>
      </c>
      <c r="AE156" s="92">
        <f>IFERROR(VLOOKUP($A156,'13. Mapa Títulos-Receita'!$A$8:$P$1000,16,FALSE),"")</f>
        <v/>
      </c>
    </row>
    <row r="157">
      <c r="A157" s="28">
        <f>IF(C157="","", "CR-"&amp;TEXT(ROW()-7,"000"))</f>
        <v/>
      </c>
      <c r="B157" s="28" t="n"/>
      <c r="C157" s="28" t="n"/>
      <c r="D157" s="111" t="n"/>
      <c r="E157" s="111" t="n"/>
      <c r="F157" s="111" t="n"/>
      <c r="G157" s="28" t="n"/>
      <c r="H157" s="45" t="n"/>
      <c r="I157" s="45" t="n"/>
      <c r="J157" s="28">
        <f>IF(H157="","",IF(I157&gt;=H157,"Recebido",IF($B$4&gt;E157,"Vencido","Aberto")))</f>
        <v/>
      </c>
      <c r="K157" s="4">
        <f>IF(J157="","",IF(OR(J157="Recebido",F157=""),MAX(0,F157-E157),MAX(0,$B$4-E157)))</f>
        <v/>
      </c>
      <c r="L157" s="4">
        <f>IF(K157="","",IF(K157=0,"Em dia",IF(K157&lt;=30,"1-30 dias",IF(K157&lt;=60,"31-60 dias",IF(K157&lt;=90,"61-90 dias","&gt;90 dias")))))</f>
        <v/>
      </c>
      <c r="M157" s="28" t="n"/>
      <c r="N157" s="104" t="inlineStr"/>
      <c r="O157" s="64" t="n"/>
      <c r="P157" s="64">
        <f>IF(C157="","",IF(ISNUMBER(SEARCH("PCMSO",C157)),"PCMSO",IF(OR(ISNUMBER(SEARCH("E-SOCIAL",C157)),ISNUMBER(SEARCH("PSICOSOCIAL",C157))),"eSocial / Psicossocial",IF(O157="Receita recorrente","Carteira recorrente","Projetos / Laudos / Avulsos"))))</f>
        <v/>
      </c>
      <c r="Q157" s="64">
        <f>IF(P157="","",IF(P157="Carteira recorrente","Operação recorrente",IF(P157="PCMSO","Projetos PCMSO",IF(P157="eSocial / Psicossocial","Projetos eSocial/Psicossocial","Projetos / Laudos / Avulsos"))))</f>
        <v/>
      </c>
      <c r="R157" s="64">
        <f>IF(C157="","",IF(ISNUMBER(SEARCH("PCMSO",C157)),"Título com PCMSO no nome",IF(OR(ISNUMBER(SEARCH("E-SOCIAL",C157)),ISNUMBER(SEARCH("PSICOSOCIAL",C157))),"Título com eSocial/Psicossocial no nome",IF(O157="Receita recorrente","Tipo DRE recorrente","Extra sem palavra-chave específica"))))</f>
        <v/>
      </c>
      <c r="S157" s="92">
        <f>IFERROR(VLOOKUP($A157,'13. Mapa Títulos-Receita'!$A$8:$P$1000,4,FALSE),"")</f>
        <v/>
      </c>
      <c r="T157" s="92">
        <f>IFERROR(VLOOKUP($A157,'13. Mapa Títulos-Receita'!$A$8:$P$1000,5,FALSE),"")</f>
        <v/>
      </c>
      <c r="U157" s="92">
        <f>IFERROR(VLOOKUP($A157,'13. Mapa Títulos-Receita'!$A$8:$P$1000,6,FALSE),"")</f>
        <v/>
      </c>
      <c r="V157" s="92">
        <f>IFERROR(VLOOKUP($A157,'13. Mapa Títulos-Receita'!$A$8:$P$1000,7,FALSE),"")</f>
        <v/>
      </c>
      <c r="W157" s="92">
        <f>IFERROR(VLOOKUP($A157,'13. Mapa Títulos-Receita'!$A$8:$P$1000,8,FALSE),"")</f>
        <v/>
      </c>
      <c r="X157" s="92">
        <f>IFERROR(VLOOKUP($A157,'13. Mapa Títulos-Receita'!$A$8:$P$1000,9,FALSE),"")</f>
        <v/>
      </c>
      <c r="Y157" s="92">
        <f>IFERROR(VLOOKUP($A157,'13. Mapa Títulos-Receita'!$A$8:$P$1000,10,FALSE),"")</f>
        <v/>
      </c>
      <c r="Z157" s="92">
        <f>IFERROR(VLOOKUP($A157,'13. Mapa Títulos-Receita'!$A$8:$P$1000,11,FALSE),"")</f>
        <v/>
      </c>
      <c r="AA157" s="92">
        <f>IFERROR(VLOOKUP($A157,'13. Mapa Títulos-Receita'!$A$8:$P$1000,12,FALSE),"")</f>
        <v/>
      </c>
      <c r="AB157" s="92">
        <f>IFERROR(VLOOKUP($A157,'13. Mapa Títulos-Receita'!$A$8:$P$1000,13,FALSE),"")</f>
        <v/>
      </c>
      <c r="AC157" s="92">
        <f>IFERROR(VLOOKUP($A157,'13. Mapa Títulos-Receita'!$A$8:$P$1000,14,FALSE),"")</f>
        <v/>
      </c>
      <c r="AD157" s="92">
        <f>IFERROR(VLOOKUP($A157,'13. Mapa Títulos-Receita'!$A$8:$P$1000,15,FALSE),"")</f>
        <v/>
      </c>
      <c r="AE157" s="92">
        <f>IFERROR(VLOOKUP($A157,'13. Mapa Títulos-Receita'!$A$8:$P$1000,16,FALSE),"")</f>
        <v/>
      </c>
    </row>
    <row r="158">
      <c r="A158" s="28">
        <f>IF(C158="","", "CR-"&amp;TEXT(ROW()-7,"000"))</f>
        <v/>
      </c>
      <c r="B158" s="28" t="n"/>
      <c r="C158" s="28" t="n"/>
      <c r="D158" s="111" t="n"/>
      <c r="E158" s="111" t="n"/>
      <c r="F158" s="111" t="n"/>
      <c r="G158" s="28" t="n"/>
      <c r="H158" s="45" t="n"/>
      <c r="I158" s="45" t="n"/>
      <c r="J158" s="28">
        <f>IF(H158="","",IF(I158&gt;=H158,"Recebido",IF($B$4&gt;E158,"Vencido","Aberto")))</f>
        <v/>
      </c>
      <c r="K158" s="4">
        <f>IF(J158="","",IF(OR(J158="Recebido",F158=""),MAX(0,F158-E158),MAX(0,$B$4-E158)))</f>
        <v/>
      </c>
      <c r="L158" s="4">
        <f>IF(K158="","",IF(K158=0,"Em dia",IF(K158&lt;=30,"1-30 dias",IF(K158&lt;=60,"31-60 dias",IF(K158&lt;=90,"61-90 dias","&gt;90 dias")))))</f>
        <v/>
      </c>
      <c r="M158" s="28" t="n"/>
      <c r="N158" s="104" t="inlineStr"/>
      <c r="O158" s="64" t="n"/>
      <c r="P158" s="64">
        <f>IF(C158="","",IF(ISNUMBER(SEARCH("PCMSO",C158)),"PCMSO",IF(OR(ISNUMBER(SEARCH("E-SOCIAL",C158)),ISNUMBER(SEARCH("PSICOSOCIAL",C158))),"eSocial / Psicossocial",IF(O158="Receita recorrente","Carteira recorrente","Projetos / Laudos / Avulsos"))))</f>
        <v/>
      </c>
      <c r="Q158" s="64">
        <f>IF(P158="","",IF(P158="Carteira recorrente","Operação recorrente",IF(P158="PCMSO","Projetos PCMSO",IF(P158="eSocial / Psicossocial","Projetos eSocial/Psicossocial","Projetos / Laudos / Avulsos"))))</f>
        <v/>
      </c>
      <c r="R158" s="64">
        <f>IF(C158="","",IF(ISNUMBER(SEARCH("PCMSO",C158)),"Título com PCMSO no nome",IF(OR(ISNUMBER(SEARCH("E-SOCIAL",C158)),ISNUMBER(SEARCH("PSICOSOCIAL",C158))),"Título com eSocial/Psicossocial no nome",IF(O158="Receita recorrente","Tipo DRE recorrente","Extra sem palavra-chave específica"))))</f>
        <v/>
      </c>
      <c r="S158" s="92">
        <f>IFERROR(VLOOKUP($A158,'13. Mapa Títulos-Receita'!$A$8:$P$1000,4,FALSE),"")</f>
        <v/>
      </c>
      <c r="T158" s="92">
        <f>IFERROR(VLOOKUP($A158,'13. Mapa Títulos-Receita'!$A$8:$P$1000,5,FALSE),"")</f>
        <v/>
      </c>
      <c r="U158" s="92">
        <f>IFERROR(VLOOKUP($A158,'13. Mapa Títulos-Receita'!$A$8:$P$1000,6,FALSE),"")</f>
        <v/>
      </c>
      <c r="V158" s="92">
        <f>IFERROR(VLOOKUP($A158,'13. Mapa Títulos-Receita'!$A$8:$P$1000,7,FALSE),"")</f>
        <v/>
      </c>
      <c r="W158" s="92">
        <f>IFERROR(VLOOKUP($A158,'13. Mapa Títulos-Receita'!$A$8:$P$1000,8,FALSE),"")</f>
        <v/>
      </c>
      <c r="X158" s="92">
        <f>IFERROR(VLOOKUP($A158,'13. Mapa Títulos-Receita'!$A$8:$P$1000,9,FALSE),"")</f>
        <v/>
      </c>
      <c r="Y158" s="92">
        <f>IFERROR(VLOOKUP($A158,'13. Mapa Títulos-Receita'!$A$8:$P$1000,10,FALSE),"")</f>
        <v/>
      </c>
      <c r="Z158" s="92">
        <f>IFERROR(VLOOKUP($A158,'13. Mapa Títulos-Receita'!$A$8:$P$1000,11,FALSE),"")</f>
        <v/>
      </c>
      <c r="AA158" s="92">
        <f>IFERROR(VLOOKUP($A158,'13. Mapa Títulos-Receita'!$A$8:$P$1000,12,FALSE),"")</f>
        <v/>
      </c>
      <c r="AB158" s="92">
        <f>IFERROR(VLOOKUP($A158,'13. Mapa Títulos-Receita'!$A$8:$P$1000,13,FALSE),"")</f>
        <v/>
      </c>
      <c r="AC158" s="92">
        <f>IFERROR(VLOOKUP($A158,'13. Mapa Títulos-Receita'!$A$8:$P$1000,14,FALSE),"")</f>
        <v/>
      </c>
      <c r="AD158" s="92">
        <f>IFERROR(VLOOKUP($A158,'13. Mapa Títulos-Receita'!$A$8:$P$1000,15,FALSE),"")</f>
        <v/>
      </c>
      <c r="AE158" s="92">
        <f>IFERROR(VLOOKUP($A158,'13. Mapa Títulos-Receita'!$A$8:$P$1000,16,FALSE),"")</f>
        <v/>
      </c>
    </row>
    <row r="159">
      <c r="A159" s="28">
        <f>IF(C159="","", "CR-"&amp;TEXT(ROW()-7,"000"))</f>
        <v/>
      </c>
      <c r="B159" s="28" t="n"/>
      <c r="C159" s="28" t="n"/>
      <c r="D159" s="111" t="n"/>
      <c r="E159" s="111" t="n"/>
      <c r="F159" s="111" t="n"/>
      <c r="G159" s="28" t="n"/>
      <c r="H159" s="45" t="n"/>
      <c r="I159" s="45" t="n"/>
      <c r="J159" s="28">
        <f>IF(H159="","",IF(I159&gt;=H159,"Recebido",IF($B$4&gt;E159,"Vencido","Aberto")))</f>
        <v/>
      </c>
      <c r="K159" s="4">
        <f>IF(J159="","",IF(OR(J159="Recebido",F159=""),MAX(0,F159-E159),MAX(0,$B$4-E159)))</f>
        <v/>
      </c>
      <c r="L159" s="4">
        <f>IF(K159="","",IF(K159=0,"Em dia",IF(K159&lt;=30,"1-30 dias",IF(K159&lt;=60,"31-60 dias",IF(K159&lt;=90,"61-90 dias","&gt;90 dias")))))</f>
        <v/>
      </c>
      <c r="M159" s="28" t="n"/>
      <c r="N159" s="104" t="inlineStr"/>
      <c r="O159" s="64" t="n"/>
      <c r="P159" s="64">
        <f>IF(C159="","",IF(ISNUMBER(SEARCH("PCMSO",C159)),"PCMSO",IF(OR(ISNUMBER(SEARCH("E-SOCIAL",C159)),ISNUMBER(SEARCH("PSICOSOCIAL",C159))),"eSocial / Psicossocial",IF(O159="Receita recorrente","Carteira recorrente","Projetos / Laudos / Avulsos"))))</f>
        <v/>
      </c>
      <c r="Q159" s="64">
        <f>IF(P159="","",IF(P159="Carteira recorrente","Operação recorrente",IF(P159="PCMSO","Projetos PCMSO",IF(P159="eSocial / Psicossocial","Projetos eSocial/Psicossocial","Projetos / Laudos / Avulsos"))))</f>
        <v/>
      </c>
      <c r="R159" s="64">
        <f>IF(C159="","",IF(ISNUMBER(SEARCH("PCMSO",C159)),"Título com PCMSO no nome",IF(OR(ISNUMBER(SEARCH("E-SOCIAL",C159)),ISNUMBER(SEARCH("PSICOSOCIAL",C159))),"Título com eSocial/Psicossocial no nome",IF(O159="Receita recorrente","Tipo DRE recorrente","Extra sem palavra-chave específica"))))</f>
        <v/>
      </c>
      <c r="S159" s="92">
        <f>IFERROR(VLOOKUP($A159,'13. Mapa Títulos-Receita'!$A$8:$P$1000,4,FALSE),"")</f>
        <v/>
      </c>
      <c r="T159" s="92">
        <f>IFERROR(VLOOKUP($A159,'13. Mapa Títulos-Receita'!$A$8:$P$1000,5,FALSE),"")</f>
        <v/>
      </c>
      <c r="U159" s="92">
        <f>IFERROR(VLOOKUP($A159,'13. Mapa Títulos-Receita'!$A$8:$P$1000,6,FALSE),"")</f>
        <v/>
      </c>
      <c r="V159" s="92">
        <f>IFERROR(VLOOKUP($A159,'13. Mapa Títulos-Receita'!$A$8:$P$1000,7,FALSE),"")</f>
        <v/>
      </c>
      <c r="W159" s="92">
        <f>IFERROR(VLOOKUP($A159,'13. Mapa Títulos-Receita'!$A$8:$P$1000,8,FALSE),"")</f>
        <v/>
      </c>
      <c r="X159" s="92">
        <f>IFERROR(VLOOKUP($A159,'13. Mapa Títulos-Receita'!$A$8:$P$1000,9,FALSE),"")</f>
        <v/>
      </c>
      <c r="Y159" s="92">
        <f>IFERROR(VLOOKUP($A159,'13. Mapa Títulos-Receita'!$A$8:$P$1000,10,FALSE),"")</f>
        <v/>
      </c>
      <c r="Z159" s="92">
        <f>IFERROR(VLOOKUP($A159,'13. Mapa Títulos-Receita'!$A$8:$P$1000,11,FALSE),"")</f>
        <v/>
      </c>
      <c r="AA159" s="92">
        <f>IFERROR(VLOOKUP($A159,'13. Mapa Títulos-Receita'!$A$8:$P$1000,12,FALSE),"")</f>
        <v/>
      </c>
      <c r="AB159" s="92">
        <f>IFERROR(VLOOKUP($A159,'13. Mapa Títulos-Receita'!$A$8:$P$1000,13,FALSE),"")</f>
        <v/>
      </c>
      <c r="AC159" s="92">
        <f>IFERROR(VLOOKUP($A159,'13. Mapa Títulos-Receita'!$A$8:$P$1000,14,FALSE),"")</f>
        <v/>
      </c>
      <c r="AD159" s="92">
        <f>IFERROR(VLOOKUP($A159,'13. Mapa Títulos-Receita'!$A$8:$P$1000,15,FALSE),"")</f>
        <v/>
      </c>
      <c r="AE159" s="92">
        <f>IFERROR(VLOOKUP($A159,'13. Mapa Títulos-Receita'!$A$8:$P$1000,16,FALSE),"")</f>
        <v/>
      </c>
    </row>
    <row r="160">
      <c r="A160" s="28">
        <f>IF(C160="","", "CR-"&amp;TEXT(ROW()-7,"000"))</f>
        <v/>
      </c>
      <c r="B160" s="28" t="n"/>
      <c r="C160" s="28" t="n"/>
      <c r="D160" s="111" t="n"/>
      <c r="E160" s="111" t="n"/>
      <c r="F160" s="111" t="n"/>
      <c r="G160" s="28" t="n"/>
      <c r="H160" s="45" t="n"/>
      <c r="I160" s="45" t="n"/>
      <c r="J160" s="28">
        <f>IF(H160="","",IF(I160&gt;=H160,"Recebido",IF($B$4&gt;E160,"Vencido","Aberto")))</f>
        <v/>
      </c>
      <c r="K160" s="4">
        <f>IF(J160="","",IF(OR(J160="Recebido",F160=""),MAX(0,F160-E160),MAX(0,$B$4-E160)))</f>
        <v/>
      </c>
      <c r="L160" s="4">
        <f>IF(K160="","",IF(K160=0,"Em dia",IF(K160&lt;=30,"1-30 dias",IF(K160&lt;=60,"31-60 dias",IF(K160&lt;=90,"61-90 dias","&gt;90 dias")))))</f>
        <v/>
      </c>
      <c r="M160" s="28" t="n"/>
      <c r="N160" s="104" t="inlineStr"/>
      <c r="O160" s="64" t="n"/>
      <c r="P160" s="64">
        <f>IF(C160="","",IF(ISNUMBER(SEARCH("PCMSO",C160)),"PCMSO",IF(OR(ISNUMBER(SEARCH("E-SOCIAL",C160)),ISNUMBER(SEARCH("PSICOSOCIAL",C160))),"eSocial / Psicossocial",IF(O160="Receita recorrente","Carteira recorrente","Projetos / Laudos / Avulsos"))))</f>
        <v/>
      </c>
      <c r="Q160" s="64">
        <f>IF(P160="","",IF(P160="Carteira recorrente","Operação recorrente",IF(P160="PCMSO","Projetos PCMSO",IF(P160="eSocial / Psicossocial","Projetos eSocial/Psicossocial","Projetos / Laudos / Avulsos"))))</f>
        <v/>
      </c>
      <c r="R160" s="64">
        <f>IF(C160="","",IF(ISNUMBER(SEARCH("PCMSO",C160)),"Título com PCMSO no nome",IF(OR(ISNUMBER(SEARCH("E-SOCIAL",C160)),ISNUMBER(SEARCH("PSICOSOCIAL",C160))),"Título com eSocial/Psicossocial no nome",IF(O160="Receita recorrente","Tipo DRE recorrente","Extra sem palavra-chave específica"))))</f>
        <v/>
      </c>
      <c r="S160" s="92">
        <f>IFERROR(VLOOKUP($A160,'13. Mapa Títulos-Receita'!$A$8:$P$1000,4,FALSE),"")</f>
        <v/>
      </c>
      <c r="T160" s="92">
        <f>IFERROR(VLOOKUP($A160,'13. Mapa Títulos-Receita'!$A$8:$P$1000,5,FALSE),"")</f>
        <v/>
      </c>
      <c r="U160" s="92">
        <f>IFERROR(VLOOKUP($A160,'13. Mapa Títulos-Receita'!$A$8:$P$1000,6,FALSE),"")</f>
        <v/>
      </c>
      <c r="V160" s="92">
        <f>IFERROR(VLOOKUP($A160,'13. Mapa Títulos-Receita'!$A$8:$P$1000,7,FALSE),"")</f>
        <v/>
      </c>
      <c r="W160" s="92">
        <f>IFERROR(VLOOKUP($A160,'13. Mapa Títulos-Receita'!$A$8:$P$1000,8,FALSE),"")</f>
        <v/>
      </c>
      <c r="X160" s="92">
        <f>IFERROR(VLOOKUP($A160,'13. Mapa Títulos-Receita'!$A$8:$P$1000,9,FALSE),"")</f>
        <v/>
      </c>
      <c r="Y160" s="92">
        <f>IFERROR(VLOOKUP($A160,'13. Mapa Títulos-Receita'!$A$8:$P$1000,10,FALSE),"")</f>
        <v/>
      </c>
      <c r="Z160" s="92">
        <f>IFERROR(VLOOKUP($A160,'13. Mapa Títulos-Receita'!$A$8:$P$1000,11,FALSE),"")</f>
        <v/>
      </c>
      <c r="AA160" s="92">
        <f>IFERROR(VLOOKUP($A160,'13. Mapa Títulos-Receita'!$A$8:$P$1000,12,FALSE),"")</f>
        <v/>
      </c>
      <c r="AB160" s="92">
        <f>IFERROR(VLOOKUP($A160,'13. Mapa Títulos-Receita'!$A$8:$P$1000,13,FALSE),"")</f>
        <v/>
      </c>
      <c r="AC160" s="92">
        <f>IFERROR(VLOOKUP($A160,'13. Mapa Títulos-Receita'!$A$8:$P$1000,14,FALSE),"")</f>
        <v/>
      </c>
      <c r="AD160" s="92">
        <f>IFERROR(VLOOKUP($A160,'13. Mapa Títulos-Receita'!$A$8:$P$1000,15,FALSE),"")</f>
        <v/>
      </c>
      <c r="AE160" s="92">
        <f>IFERROR(VLOOKUP($A160,'13. Mapa Títulos-Receita'!$A$8:$P$1000,16,FALSE),"")</f>
        <v/>
      </c>
    </row>
    <row r="161">
      <c r="A161" s="28">
        <f>IF(C161="","", "CR-"&amp;TEXT(ROW()-7,"000"))</f>
        <v/>
      </c>
      <c r="B161" s="28" t="n"/>
      <c r="C161" s="28" t="n"/>
      <c r="D161" s="111" t="n"/>
      <c r="E161" s="111" t="n"/>
      <c r="F161" s="111" t="n"/>
      <c r="G161" s="28" t="n"/>
      <c r="H161" s="45" t="n"/>
      <c r="I161" s="45" t="n"/>
      <c r="J161" s="28">
        <f>IF(H161="","",IF(I161&gt;=H161,"Recebido",IF($B$4&gt;E161,"Vencido","Aberto")))</f>
        <v/>
      </c>
      <c r="K161" s="4">
        <f>IF(J161="","",IF(OR(J161="Recebido",F161=""),MAX(0,F161-E161),MAX(0,$B$4-E161)))</f>
        <v/>
      </c>
      <c r="L161" s="4">
        <f>IF(K161="","",IF(K161=0,"Em dia",IF(K161&lt;=30,"1-30 dias",IF(K161&lt;=60,"31-60 dias",IF(K161&lt;=90,"61-90 dias","&gt;90 dias")))))</f>
        <v/>
      </c>
      <c r="M161" s="28" t="n"/>
      <c r="N161" s="104" t="inlineStr"/>
      <c r="O161" s="64" t="n"/>
      <c r="P161" s="64">
        <f>IF(C161="","",IF(ISNUMBER(SEARCH("PCMSO",C161)),"PCMSO",IF(OR(ISNUMBER(SEARCH("E-SOCIAL",C161)),ISNUMBER(SEARCH("PSICOSOCIAL",C161))),"eSocial / Psicossocial",IF(O161="Receita recorrente","Carteira recorrente","Projetos / Laudos / Avulsos"))))</f>
        <v/>
      </c>
      <c r="Q161" s="64">
        <f>IF(P161="","",IF(P161="Carteira recorrente","Operação recorrente",IF(P161="PCMSO","Projetos PCMSO",IF(P161="eSocial / Psicossocial","Projetos eSocial/Psicossocial","Projetos / Laudos / Avulsos"))))</f>
        <v/>
      </c>
      <c r="R161" s="64">
        <f>IF(C161="","",IF(ISNUMBER(SEARCH("PCMSO",C161)),"Título com PCMSO no nome",IF(OR(ISNUMBER(SEARCH("E-SOCIAL",C161)),ISNUMBER(SEARCH("PSICOSOCIAL",C161))),"Título com eSocial/Psicossocial no nome",IF(O161="Receita recorrente","Tipo DRE recorrente","Extra sem palavra-chave específica"))))</f>
        <v/>
      </c>
      <c r="S161" s="92">
        <f>IFERROR(VLOOKUP($A161,'13. Mapa Títulos-Receita'!$A$8:$P$1000,4,FALSE),"")</f>
        <v/>
      </c>
      <c r="T161" s="92">
        <f>IFERROR(VLOOKUP($A161,'13. Mapa Títulos-Receita'!$A$8:$P$1000,5,FALSE),"")</f>
        <v/>
      </c>
      <c r="U161" s="92">
        <f>IFERROR(VLOOKUP($A161,'13. Mapa Títulos-Receita'!$A$8:$P$1000,6,FALSE),"")</f>
        <v/>
      </c>
      <c r="V161" s="92">
        <f>IFERROR(VLOOKUP($A161,'13. Mapa Títulos-Receita'!$A$8:$P$1000,7,FALSE),"")</f>
        <v/>
      </c>
      <c r="W161" s="92">
        <f>IFERROR(VLOOKUP($A161,'13. Mapa Títulos-Receita'!$A$8:$P$1000,8,FALSE),"")</f>
        <v/>
      </c>
      <c r="X161" s="92">
        <f>IFERROR(VLOOKUP($A161,'13. Mapa Títulos-Receita'!$A$8:$P$1000,9,FALSE),"")</f>
        <v/>
      </c>
      <c r="Y161" s="92">
        <f>IFERROR(VLOOKUP($A161,'13. Mapa Títulos-Receita'!$A$8:$P$1000,10,FALSE),"")</f>
        <v/>
      </c>
      <c r="Z161" s="92">
        <f>IFERROR(VLOOKUP($A161,'13. Mapa Títulos-Receita'!$A$8:$P$1000,11,FALSE),"")</f>
        <v/>
      </c>
      <c r="AA161" s="92">
        <f>IFERROR(VLOOKUP($A161,'13. Mapa Títulos-Receita'!$A$8:$P$1000,12,FALSE),"")</f>
        <v/>
      </c>
      <c r="AB161" s="92">
        <f>IFERROR(VLOOKUP($A161,'13. Mapa Títulos-Receita'!$A$8:$P$1000,13,FALSE),"")</f>
        <v/>
      </c>
      <c r="AC161" s="92">
        <f>IFERROR(VLOOKUP($A161,'13. Mapa Títulos-Receita'!$A$8:$P$1000,14,FALSE),"")</f>
        <v/>
      </c>
      <c r="AD161" s="92">
        <f>IFERROR(VLOOKUP($A161,'13. Mapa Títulos-Receita'!$A$8:$P$1000,15,FALSE),"")</f>
        <v/>
      </c>
      <c r="AE161" s="92">
        <f>IFERROR(VLOOKUP($A161,'13. Mapa Títulos-Receita'!$A$8:$P$1000,16,FALSE),"")</f>
        <v/>
      </c>
    </row>
    <row r="162">
      <c r="A162" s="28">
        <f>IF(C162="","", "CR-"&amp;TEXT(ROW()-7,"000"))</f>
        <v/>
      </c>
      <c r="B162" s="28" t="n"/>
      <c r="C162" s="28" t="n"/>
      <c r="D162" s="111" t="n"/>
      <c r="E162" s="111" t="n"/>
      <c r="F162" s="111" t="n"/>
      <c r="G162" s="28" t="n"/>
      <c r="H162" s="45" t="n"/>
      <c r="I162" s="45" t="n"/>
      <c r="J162" s="28">
        <f>IF(H162="","",IF(I162&gt;=H162,"Recebido",IF($B$4&gt;E162,"Vencido","Aberto")))</f>
        <v/>
      </c>
      <c r="K162" s="4">
        <f>IF(J162="","",IF(OR(J162="Recebido",F162=""),MAX(0,F162-E162),MAX(0,$B$4-E162)))</f>
        <v/>
      </c>
      <c r="L162" s="4">
        <f>IF(K162="","",IF(K162=0,"Em dia",IF(K162&lt;=30,"1-30 dias",IF(K162&lt;=60,"31-60 dias",IF(K162&lt;=90,"61-90 dias","&gt;90 dias")))))</f>
        <v/>
      </c>
      <c r="M162" s="28" t="n"/>
      <c r="N162" s="104" t="inlineStr"/>
      <c r="O162" s="64" t="n"/>
      <c r="P162" s="64">
        <f>IF(C162="","",IF(ISNUMBER(SEARCH("PCMSO",C162)),"PCMSO",IF(OR(ISNUMBER(SEARCH("E-SOCIAL",C162)),ISNUMBER(SEARCH("PSICOSOCIAL",C162))),"eSocial / Psicossocial",IF(O162="Receita recorrente","Carteira recorrente","Projetos / Laudos / Avulsos"))))</f>
        <v/>
      </c>
      <c r="Q162" s="64">
        <f>IF(P162="","",IF(P162="Carteira recorrente","Operação recorrente",IF(P162="PCMSO","Projetos PCMSO",IF(P162="eSocial / Psicossocial","Projetos eSocial/Psicossocial","Projetos / Laudos / Avulsos"))))</f>
        <v/>
      </c>
      <c r="R162" s="64">
        <f>IF(C162="","",IF(ISNUMBER(SEARCH("PCMSO",C162)),"Título com PCMSO no nome",IF(OR(ISNUMBER(SEARCH("E-SOCIAL",C162)),ISNUMBER(SEARCH("PSICOSOCIAL",C162))),"Título com eSocial/Psicossocial no nome",IF(O162="Receita recorrente","Tipo DRE recorrente","Extra sem palavra-chave específica"))))</f>
        <v/>
      </c>
      <c r="S162" s="92">
        <f>IFERROR(VLOOKUP($A162,'13. Mapa Títulos-Receita'!$A$8:$P$1000,4,FALSE),"")</f>
        <v/>
      </c>
      <c r="T162" s="92">
        <f>IFERROR(VLOOKUP($A162,'13. Mapa Títulos-Receita'!$A$8:$P$1000,5,FALSE),"")</f>
        <v/>
      </c>
      <c r="U162" s="92">
        <f>IFERROR(VLOOKUP($A162,'13. Mapa Títulos-Receita'!$A$8:$P$1000,6,FALSE),"")</f>
        <v/>
      </c>
      <c r="V162" s="92">
        <f>IFERROR(VLOOKUP($A162,'13. Mapa Títulos-Receita'!$A$8:$P$1000,7,FALSE),"")</f>
        <v/>
      </c>
      <c r="W162" s="92">
        <f>IFERROR(VLOOKUP($A162,'13. Mapa Títulos-Receita'!$A$8:$P$1000,8,FALSE),"")</f>
        <v/>
      </c>
      <c r="X162" s="92">
        <f>IFERROR(VLOOKUP($A162,'13. Mapa Títulos-Receita'!$A$8:$P$1000,9,FALSE),"")</f>
        <v/>
      </c>
      <c r="Y162" s="92">
        <f>IFERROR(VLOOKUP($A162,'13. Mapa Títulos-Receita'!$A$8:$P$1000,10,FALSE),"")</f>
        <v/>
      </c>
      <c r="Z162" s="92">
        <f>IFERROR(VLOOKUP($A162,'13. Mapa Títulos-Receita'!$A$8:$P$1000,11,FALSE),"")</f>
        <v/>
      </c>
      <c r="AA162" s="92">
        <f>IFERROR(VLOOKUP($A162,'13. Mapa Títulos-Receita'!$A$8:$P$1000,12,FALSE),"")</f>
        <v/>
      </c>
      <c r="AB162" s="92">
        <f>IFERROR(VLOOKUP($A162,'13. Mapa Títulos-Receita'!$A$8:$P$1000,13,FALSE),"")</f>
        <v/>
      </c>
      <c r="AC162" s="92">
        <f>IFERROR(VLOOKUP($A162,'13. Mapa Títulos-Receita'!$A$8:$P$1000,14,FALSE),"")</f>
        <v/>
      </c>
      <c r="AD162" s="92">
        <f>IFERROR(VLOOKUP($A162,'13. Mapa Títulos-Receita'!$A$8:$P$1000,15,FALSE),"")</f>
        <v/>
      </c>
      <c r="AE162" s="92">
        <f>IFERROR(VLOOKUP($A162,'13. Mapa Títulos-Receita'!$A$8:$P$1000,16,FALSE),"")</f>
        <v/>
      </c>
    </row>
    <row r="163">
      <c r="A163" s="28">
        <f>IF(C163="","", "CR-"&amp;TEXT(ROW()-7,"000"))</f>
        <v/>
      </c>
      <c r="B163" s="28" t="n"/>
      <c r="C163" s="28" t="n"/>
      <c r="D163" s="111" t="n"/>
      <c r="E163" s="111" t="n"/>
      <c r="F163" s="111" t="n"/>
      <c r="G163" s="28" t="n"/>
      <c r="H163" s="45" t="n"/>
      <c r="I163" s="45" t="n"/>
      <c r="J163" s="28">
        <f>IF(H163="","",IF(I163&gt;=H163,"Recebido",IF($B$4&gt;E163,"Vencido","Aberto")))</f>
        <v/>
      </c>
      <c r="K163" s="4">
        <f>IF(J163="","",IF(OR(J163="Recebido",F163=""),MAX(0,F163-E163),MAX(0,$B$4-E163)))</f>
        <v/>
      </c>
      <c r="L163" s="4">
        <f>IF(K163="","",IF(K163=0,"Em dia",IF(K163&lt;=30,"1-30 dias",IF(K163&lt;=60,"31-60 dias",IF(K163&lt;=90,"61-90 dias","&gt;90 dias")))))</f>
        <v/>
      </c>
      <c r="M163" s="28" t="n"/>
      <c r="N163" s="104" t="inlineStr"/>
      <c r="O163" s="64" t="n"/>
      <c r="P163" s="64">
        <f>IF(C163="","",IF(ISNUMBER(SEARCH("PCMSO",C163)),"PCMSO",IF(OR(ISNUMBER(SEARCH("E-SOCIAL",C163)),ISNUMBER(SEARCH("PSICOSOCIAL",C163))),"eSocial / Psicossocial",IF(O163="Receita recorrente","Carteira recorrente","Projetos / Laudos / Avulsos"))))</f>
        <v/>
      </c>
      <c r="Q163" s="64">
        <f>IF(P163="","",IF(P163="Carteira recorrente","Operação recorrente",IF(P163="PCMSO","Projetos PCMSO",IF(P163="eSocial / Psicossocial","Projetos eSocial/Psicossocial","Projetos / Laudos / Avulsos"))))</f>
        <v/>
      </c>
      <c r="R163" s="64">
        <f>IF(C163="","",IF(ISNUMBER(SEARCH("PCMSO",C163)),"Título com PCMSO no nome",IF(OR(ISNUMBER(SEARCH("E-SOCIAL",C163)),ISNUMBER(SEARCH("PSICOSOCIAL",C163))),"Título com eSocial/Psicossocial no nome",IF(O163="Receita recorrente","Tipo DRE recorrente","Extra sem palavra-chave específica"))))</f>
        <v/>
      </c>
      <c r="S163" s="92">
        <f>IFERROR(VLOOKUP($A163,'13. Mapa Títulos-Receita'!$A$8:$P$1000,4,FALSE),"")</f>
        <v/>
      </c>
      <c r="T163" s="92">
        <f>IFERROR(VLOOKUP($A163,'13. Mapa Títulos-Receita'!$A$8:$P$1000,5,FALSE),"")</f>
        <v/>
      </c>
      <c r="U163" s="92">
        <f>IFERROR(VLOOKUP($A163,'13. Mapa Títulos-Receita'!$A$8:$P$1000,6,FALSE),"")</f>
        <v/>
      </c>
      <c r="V163" s="92">
        <f>IFERROR(VLOOKUP($A163,'13. Mapa Títulos-Receita'!$A$8:$P$1000,7,FALSE),"")</f>
        <v/>
      </c>
      <c r="W163" s="92">
        <f>IFERROR(VLOOKUP($A163,'13. Mapa Títulos-Receita'!$A$8:$P$1000,8,FALSE),"")</f>
        <v/>
      </c>
      <c r="X163" s="92">
        <f>IFERROR(VLOOKUP($A163,'13. Mapa Títulos-Receita'!$A$8:$P$1000,9,FALSE),"")</f>
        <v/>
      </c>
      <c r="Y163" s="92">
        <f>IFERROR(VLOOKUP($A163,'13. Mapa Títulos-Receita'!$A$8:$P$1000,10,FALSE),"")</f>
        <v/>
      </c>
      <c r="Z163" s="92">
        <f>IFERROR(VLOOKUP($A163,'13. Mapa Títulos-Receita'!$A$8:$P$1000,11,FALSE),"")</f>
        <v/>
      </c>
      <c r="AA163" s="92">
        <f>IFERROR(VLOOKUP($A163,'13. Mapa Títulos-Receita'!$A$8:$P$1000,12,FALSE),"")</f>
        <v/>
      </c>
      <c r="AB163" s="92">
        <f>IFERROR(VLOOKUP($A163,'13. Mapa Títulos-Receita'!$A$8:$P$1000,13,FALSE),"")</f>
        <v/>
      </c>
      <c r="AC163" s="92">
        <f>IFERROR(VLOOKUP($A163,'13. Mapa Títulos-Receita'!$A$8:$P$1000,14,FALSE),"")</f>
        <v/>
      </c>
      <c r="AD163" s="92">
        <f>IFERROR(VLOOKUP($A163,'13. Mapa Títulos-Receita'!$A$8:$P$1000,15,FALSE),"")</f>
        <v/>
      </c>
      <c r="AE163" s="92">
        <f>IFERROR(VLOOKUP($A163,'13. Mapa Títulos-Receita'!$A$8:$P$1000,16,FALSE),"")</f>
        <v/>
      </c>
    </row>
    <row r="164">
      <c r="A164" s="28">
        <f>IF(C164="","", "CR-"&amp;TEXT(ROW()-7,"000"))</f>
        <v/>
      </c>
      <c r="B164" s="28" t="n"/>
      <c r="C164" s="28" t="n"/>
      <c r="D164" s="111" t="n"/>
      <c r="E164" s="111" t="n"/>
      <c r="F164" s="111" t="n"/>
      <c r="G164" s="28" t="n"/>
      <c r="H164" s="45" t="n"/>
      <c r="I164" s="45" t="n"/>
      <c r="J164" s="28">
        <f>IF(H164="","",IF(I164&gt;=H164,"Recebido",IF($B$4&gt;E164,"Vencido","Aberto")))</f>
        <v/>
      </c>
      <c r="K164" s="4">
        <f>IF(J164="","",IF(OR(J164="Recebido",F164=""),MAX(0,F164-E164),MAX(0,$B$4-E164)))</f>
        <v/>
      </c>
      <c r="L164" s="4">
        <f>IF(K164="","",IF(K164=0,"Em dia",IF(K164&lt;=30,"1-30 dias",IF(K164&lt;=60,"31-60 dias",IF(K164&lt;=90,"61-90 dias","&gt;90 dias")))))</f>
        <v/>
      </c>
      <c r="M164" s="28" t="n"/>
      <c r="N164" s="104" t="inlineStr"/>
      <c r="O164" s="64" t="n"/>
      <c r="P164" s="64">
        <f>IF(C164="","",IF(ISNUMBER(SEARCH("PCMSO",C164)),"PCMSO",IF(OR(ISNUMBER(SEARCH("E-SOCIAL",C164)),ISNUMBER(SEARCH("PSICOSOCIAL",C164))),"eSocial / Psicossocial",IF(O164="Receita recorrente","Carteira recorrente","Projetos / Laudos / Avulsos"))))</f>
        <v/>
      </c>
      <c r="Q164" s="64">
        <f>IF(P164="","",IF(P164="Carteira recorrente","Operação recorrente",IF(P164="PCMSO","Projetos PCMSO",IF(P164="eSocial / Psicossocial","Projetos eSocial/Psicossocial","Projetos / Laudos / Avulsos"))))</f>
        <v/>
      </c>
      <c r="R164" s="64">
        <f>IF(C164="","",IF(ISNUMBER(SEARCH("PCMSO",C164)),"Título com PCMSO no nome",IF(OR(ISNUMBER(SEARCH("E-SOCIAL",C164)),ISNUMBER(SEARCH("PSICOSOCIAL",C164))),"Título com eSocial/Psicossocial no nome",IF(O164="Receita recorrente","Tipo DRE recorrente","Extra sem palavra-chave específica"))))</f>
        <v/>
      </c>
      <c r="S164" s="92">
        <f>IFERROR(VLOOKUP($A164,'13. Mapa Títulos-Receita'!$A$8:$P$1000,4,FALSE),"")</f>
        <v/>
      </c>
      <c r="T164" s="92">
        <f>IFERROR(VLOOKUP($A164,'13. Mapa Títulos-Receita'!$A$8:$P$1000,5,FALSE),"")</f>
        <v/>
      </c>
      <c r="U164" s="92">
        <f>IFERROR(VLOOKUP($A164,'13. Mapa Títulos-Receita'!$A$8:$P$1000,6,FALSE),"")</f>
        <v/>
      </c>
      <c r="V164" s="92">
        <f>IFERROR(VLOOKUP($A164,'13. Mapa Títulos-Receita'!$A$8:$P$1000,7,FALSE),"")</f>
        <v/>
      </c>
      <c r="W164" s="92">
        <f>IFERROR(VLOOKUP($A164,'13. Mapa Títulos-Receita'!$A$8:$P$1000,8,FALSE),"")</f>
        <v/>
      </c>
      <c r="X164" s="92">
        <f>IFERROR(VLOOKUP($A164,'13. Mapa Títulos-Receita'!$A$8:$P$1000,9,FALSE),"")</f>
        <v/>
      </c>
      <c r="Y164" s="92">
        <f>IFERROR(VLOOKUP($A164,'13. Mapa Títulos-Receita'!$A$8:$P$1000,10,FALSE),"")</f>
        <v/>
      </c>
      <c r="Z164" s="92">
        <f>IFERROR(VLOOKUP($A164,'13. Mapa Títulos-Receita'!$A$8:$P$1000,11,FALSE),"")</f>
        <v/>
      </c>
      <c r="AA164" s="92">
        <f>IFERROR(VLOOKUP($A164,'13. Mapa Títulos-Receita'!$A$8:$P$1000,12,FALSE),"")</f>
        <v/>
      </c>
      <c r="AB164" s="92">
        <f>IFERROR(VLOOKUP($A164,'13. Mapa Títulos-Receita'!$A$8:$P$1000,13,FALSE),"")</f>
        <v/>
      </c>
      <c r="AC164" s="92">
        <f>IFERROR(VLOOKUP($A164,'13. Mapa Títulos-Receita'!$A$8:$P$1000,14,FALSE),"")</f>
        <v/>
      </c>
      <c r="AD164" s="92">
        <f>IFERROR(VLOOKUP($A164,'13. Mapa Títulos-Receita'!$A$8:$P$1000,15,FALSE),"")</f>
        <v/>
      </c>
      <c r="AE164" s="92">
        <f>IFERROR(VLOOKUP($A164,'13. Mapa Títulos-Receita'!$A$8:$P$1000,16,FALSE),"")</f>
        <v/>
      </c>
    </row>
    <row r="165">
      <c r="A165" s="28">
        <f>IF(C165="","", "CR-"&amp;TEXT(ROW()-7,"000"))</f>
        <v/>
      </c>
      <c r="B165" s="28" t="n"/>
      <c r="C165" s="28" t="n"/>
      <c r="D165" s="111" t="n"/>
      <c r="E165" s="111" t="n"/>
      <c r="F165" s="111" t="n"/>
      <c r="G165" s="28" t="n"/>
      <c r="H165" s="45" t="n"/>
      <c r="I165" s="45" t="n"/>
      <c r="J165" s="28">
        <f>IF(H165="","",IF(I165&gt;=H165,"Recebido",IF($B$4&gt;E165,"Vencido","Aberto")))</f>
        <v/>
      </c>
      <c r="K165" s="4">
        <f>IF(J165="","",IF(OR(J165="Recebido",F165=""),MAX(0,F165-E165),MAX(0,$B$4-E165)))</f>
        <v/>
      </c>
      <c r="L165" s="4">
        <f>IF(K165="","",IF(K165=0,"Em dia",IF(K165&lt;=30,"1-30 dias",IF(K165&lt;=60,"31-60 dias",IF(K165&lt;=90,"61-90 dias","&gt;90 dias")))))</f>
        <v/>
      </c>
      <c r="M165" s="28" t="n"/>
      <c r="N165" s="104" t="inlineStr"/>
      <c r="O165" s="64" t="n"/>
      <c r="P165" s="64">
        <f>IF(C165="","",IF(ISNUMBER(SEARCH("PCMSO",C165)),"PCMSO",IF(OR(ISNUMBER(SEARCH("E-SOCIAL",C165)),ISNUMBER(SEARCH("PSICOSOCIAL",C165))),"eSocial / Psicossocial",IF(O165="Receita recorrente","Carteira recorrente","Projetos / Laudos / Avulsos"))))</f>
        <v/>
      </c>
      <c r="Q165" s="64">
        <f>IF(P165="","",IF(P165="Carteira recorrente","Operação recorrente",IF(P165="PCMSO","Projetos PCMSO",IF(P165="eSocial / Psicossocial","Projetos eSocial/Psicossocial","Projetos / Laudos / Avulsos"))))</f>
        <v/>
      </c>
      <c r="R165" s="64">
        <f>IF(C165="","",IF(ISNUMBER(SEARCH("PCMSO",C165)),"Título com PCMSO no nome",IF(OR(ISNUMBER(SEARCH("E-SOCIAL",C165)),ISNUMBER(SEARCH("PSICOSOCIAL",C165))),"Título com eSocial/Psicossocial no nome",IF(O165="Receita recorrente","Tipo DRE recorrente","Extra sem palavra-chave específica"))))</f>
        <v/>
      </c>
      <c r="S165" s="92">
        <f>IFERROR(VLOOKUP($A165,'13. Mapa Títulos-Receita'!$A$8:$P$1000,4,FALSE),"")</f>
        <v/>
      </c>
      <c r="T165" s="92">
        <f>IFERROR(VLOOKUP($A165,'13. Mapa Títulos-Receita'!$A$8:$P$1000,5,FALSE),"")</f>
        <v/>
      </c>
      <c r="U165" s="92">
        <f>IFERROR(VLOOKUP($A165,'13. Mapa Títulos-Receita'!$A$8:$P$1000,6,FALSE),"")</f>
        <v/>
      </c>
      <c r="V165" s="92">
        <f>IFERROR(VLOOKUP($A165,'13. Mapa Títulos-Receita'!$A$8:$P$1000,7,FALSE),"")</f>
        <v/>
      </c>
      <c r="W165" s="92">
        <f>IFERROR(VLOOKUP($A165,'13. Mapa Títulos-Receita'!$A$8:$P$1000,8,FALSE),"")</f>
        <v/>
      </c>
      <c r="X165" s="92">
        <f>IFERROR(VLOOKUP($A165,'13. Mapa Títulos-Receita'!$A$8:$P$1000,9,FALSE),"")</f>
        <v/>
      </c>
      <c r="Y165" s="92">
        <f>IFERROR(VLOOKUP($A165,'13. Mapa Títulos-Receita'!$A$8:$P$1000,10,FALSE),"")</f>
        <v/>
      </c>
      <c r="Z165" s="92">
        <f>IFERROR(VLOOKUP($A165,'13. Mapa Títulos-Receita'!$A$8:$P$1000,11,FALSE),"")</f>
        <v/>
      </c>
      <c r="AA165" s="92">
        <f>IFERROR(VLOOKUP($A165,'13. Mapa Títulos-Receita'!$A$8:$P$1000,12,FALSE),"")</f>
        <v/>
      </c>
      <c r="AB165" s="92">
        <f>IFERROR(VLOOKUP($A165,'13. Mapa Títulos-Receita'!$A$8:$P$1000,13,FALSE),"")</f>
        <v/>
      </c>
      <c r="AC165" s="92">
        <f>IFERROR(VLOOKUP($A165,'13. Mapa Títulos-Receita'!$A$8:$P$1000,14,FALSE),"")</f>
        <v/>
      </c>
      <c r="AD165" s="92">
        <f>IFERROR(VLOOKUP($A165,'13. Mapa Títulos-Receita'!$A$8:$P$1000,15,FALSE),"")</f>
        <v/>
      </c>
      <c r="AE165" s="92">
        <f>IFERROR(VLOOKUP($A165,'13. Mapa Títulos-Receita'!$A$8:$P$1000,16,FALSE),"")</f>
        <v/>
      </c>
    </row>
    <row r="166">
      <c r="A166" s="28">
        <f>IF(C166="","", "CR-"&amp;TEXT(ROW()-7,"000"))</f>
        <v/>
      </c>
      <c r="B166" s="28" t="n"/>
      <c r="C166" s="28" t="n"/>
      <c r="D166" s="111" t="n"/>
      <c r="E166" s="111" t="n"/>
      <c r="F166" s="111" t="n"/>
      <c r="G166" s="28" t="n"/>
      <c r="H166" s="45" t="n"/>
      <c r="I166" s="45" t="n"/>
      <c r="J166" s="28">
        <f>IF(H166="","",IF(I166&gt;=H166,"Recebido",IF($B$4&gt;E166,"Vencido","Aberto")))</f>
        <v/>
      </c>
      <c r="K166" s="4">
        <f>IF(J166="","",IF(OR(J166="Recebido",F166=""),MAX(0,F166-E166),MAX(0,$B$4-E166)))</f>
        <v/>
      </c>
      <c r="L166" s="4">
        <f>IF(K166="","",IF(K166=0,"Em dia",IF(K166&lt;=30,"1-30 dias",IF(K166&lt;=60,"31-60 dias",IF(K166&lt;=90,"61-90 dias","&gt;90 dias")))))</f>
        <v/>
      </c>
      <c r="M166" s="28" t="n"/>
      <c r="N166" s="104" t="inlineStr"/>
      <c r="O166" s="64" t="n"/>
      <c r="P166" s="64">
        <f>IF(C166="","",IF(ISNUMBER(SEARCH("PCMSO",C166)),"PCMSO",IF(OR(ISNUMBER(SEARCH("E-SOCIAL",C166)),ISNUMBER(SEARCH("PSICOSOCIAL",C166))),"eSocial / Psicossocial",IF(O166="Receita recorrente","Carteira recorrente","Projetos / Laudos / Avulsos"))))</f>
        <v/>
      </c>
      <c r="Q166" s="64">
        <f>IF(P166="","",IF(P166="Carteira recorrente","Operação recorrente",IF(P166="PCMSO","Projetos PCMSO",IF(P166="eSocial / Psicossocial","Projetos eSocial/Psicossocial","Projetos / Laudos / Avulsos"))))</f>
        <v/>
      </c>
      <c r="R166" s="64">
        <f>IF(C166="","",IF(ISNUMBER(SEARCH("PCMSO",C166)),"Título com PCMSO no nome",IF(OR(ISNUMBER(SEARCH("E-SOCIAL",C166)),ISNUMBER(SEARCH("PSICOSOCIAL",C166))),"Título com eSocial/Psicossocial no nome",IF(O166="Receita recorrente","Tipo DRE recorrente","Extra sem palavra-chave específica"))))</f>
        <v/>
      </c>
      <c r="S166" s="92">
        <f>IFERROR(VLOOKUP($A166,'13. Mapa Títulos-Receita'!$A$8:$P$1000,4,FALSE),"")</f>
        <v/>
      </c>
      <c r="T166" s="92">
        <f>IFERROR(VLOOKUP($A166,'13. Mapa Títulos-Receita'!$A$8:$P$1000,5,FALSE),"")</f>
        <v/>
      </c>
      <c r="U166" s="92">
        <f>IFERROR(VLOOKUP($A166,'13. Mapa Títulos-Receita'!$A$8:$P$1000,6,FALSE),"")</f>
        <v/>
      </c>
      <c r="V166" s="92">
        <f>IFERROR(VLOOKUP($A166,'13. Mapa Títulos-Receita'!$A$8:$P$1000,7,FALSE),"")</f>
        <v/>
      </c>
      <c r="W166" s="92">
        <f>IFERROR(VLOOKUP($A166,'13. Mapa Títulos-Receita'!$A$8:$P$1000,8,FALSE),"")</f>
        <v/>
      </c>
      <c r="X166" s="92">
        <f>IFERROR(VLOOKUP($A166,'13. Mapa Títulos-Receita'!$A$8:$P$1000,9,FALSE),"")</f>
        <v/>
      </c>
      <c r="Y166" s="92">
        <f>IFERROR(VLOOKUP($A166,'13. Mapa Títulos-Receita'!$A$8:$P$1000,10,FALSE),"")</f>
        <v/>
      </c>
      <c r="Z166" s="92">
        <f>IFERROR(VLOOKUP($A166,'13. Mapa Títulos-Receita'!$A$8:$P$1000,11,FALSE),"")</f>
        <v/>
      </c>
      <c r="AA166" s="92">
        <f>IFERROR(VLOOKUP($A166,'13. Mapa Títulos-Receita'!$A$8:$P$1000,12,FALSE),"")</f>
        <v/>
      </c>
      <c r="AB166" s="92">
        <f>IFERROR(VLOOKUP($A166,'13. Mapa Títulos-Receita'!$A$8:$P$1000,13,FALSE),"")</f>
        <v/>
      </c>
      <c r="AC166" s="92">
        <f>IFERROR(VLOOKUP($A166,'13. Mapa Títulos-Receita'!$A$8:$P$1000,14,FALSE),"")</f>
        <v/>
      </c>
      <c r="AD166" s="92">
        <f>IFERROR(VLOOKUP($A166,'13. Mapa Títulos-Receita'!$A$8:$P$1000,15,FALSE),"")</f>
        <v/>
      </c>
      <c r="AE166" s="92">
        <f>IFERROR(VLOOKUP($A166,'13. Mapa Títulos-Receita'!$A$8:$P$1000,16,FALSE),"")</f>
        <v/>
      </c>
    </row>
    <row r="167">
      <c r="A167" s="28">
        <f>IF(C167="","", "CR-"&amp;TEXT(ROW()-7,"000"))</f>
        <v/>
      </c>
      <c r="B167" s="28" t="n"/>
      <c r="C167" s="28" t="n"/>
      <c r="D167" s="111" t="n"/>
      <c r="E167" s="111" t="n"/>
      <c r="F167" s="111" t="n"/>
      <c r="G167" s="28" t="n"/>
      <c r="H167" s="45" t="n"/>
      <c r="I167" s="45" t="n"/>
      <c r="J167" s="28">
        <f>IF(H167="","",IF(I167&gt;=H167,"Recebido",IF($B$4&gt;E167,"Vencido","Aberto")))</f>
        <v/>
      </c>
      <c r="K167" s="4">
        <f>IF(J167="","",IF(OR(J167="Recebido",F167=""),MAX(0,F167-E167),MAX(0,$B$4-E167)))</f>
        <v/>
      </c>
      <c r="L167" s="4">
        <f>IF(K167="","",IF(K167=0,"Em dia",IF(K167&lt;=30,"1-30 dias",IF(K167&lt;=60,"31-60 dias",IF(K167&lt;=90,"61-90 dias","&gt;90 dias")))))</f>
        <v/>
      </c>
      <c r="M167" s="28" t="n"/>
      <c r="N167" s="104" t="inlineStr"/>
      <c r="O167" s="64" t="n"/>
      <c r="P167" s="64">
        <f>IF(C167="","",IF(ISNUMBER(SEARCH("PCMSO",C167)),"PCMSO",IF(OR(ISNUMBER(SEARCH("E-SOCIAL",C167)),ISNUMBER(SEARCH("PSICOSOCIAL",C167))),"eSocial / Psicossocial",IF(O167="Receita recorrente","Carteira recorrente","Projetos / Laudos / Avulsos"))))</f>
        <v/>
      </c>
      <c r="Q167" s="64">
        <f>IF(P167="","",IF(P167="Carteira recorrente","Operação recorrente",IF(P167="PCMSO","Projetos PCMSO",IF(P167="eSocial / Psicossocial","Projetos eSocial/Psicossocial","Projetos / Laudos / Avulsos"))))</f>
        <v/>
      </c>
      <c r="R167" s="64">
        <f>IF(C167="","",IF(ISNUMBER(SEARCH("PCMSO",C167)),"Título com PCMSO no nome",IF(OR(ISNUMBER(SEARCH("E-SOCIAL",C167)),ISNUMBER(SEARCH("PSICOSOCIAL",C167))),"Título com eSocial/Psicossocial no nome",IF(O167="Receita recorrente","Tipo DRE recorrente","Extra sem palavra-chave específica"))))</f>
        <v/>
      </c>
      <c r="S167" s="92">
        <f>IFERROR(VLOOKUP($A167,'13. Mapa Títulos-Receita'!$A$8:$P$1000,4,FALSE),"")</f>
        <v/>
      </c>
      <c r="T167" s="92">
        <f>IFERROR(VLOOKUP($A167,'13. Mapa Títulos-Receita'!$A$8:$P$1000,5,FALSE),"")</f>
        <v/>
      </c>
      <c r="U167" s="92">
        <f>IFERROR(VLOOKUP($A167,'13. Mapa Títulos-Receita'!$A$8:$P$1000,6,FALSE),"")</f>
        <v/>
      </c>
      <c r="V167" s="92">
        <f>IFERROR(VLOOKUP($A167,'13. Mapa Títulos-Receita'!$A$8:$P$1000,7,FALSE),"")</f>
        <v/>
      </c>
      <c r="W167" s="92">
        <f>IFERROR(VLOOKUP($A167,'13. Mapa Títulos-Receita'!$A$8:$P$1000,8,FALSE),"")</f>
        <v/>
      </c>
      <c r="X167" s="92">
        <f>IFERROR(VLOOKUP($A167,'13. Mapa Títulos-Receita'!$A$8:$P$1000,9,FALSE),"")</f>
        <v/>
      </c>
      <c r="Y167" s="92">
        <f>IFERROR(VLOOKUP($A167,'13. Mapa Títulos-Receita'!$A$8:$P$1000,10,FALSE),"")</f>
        <v/>
      </c>
      <c r="Z167" s="92">
        <f>IFERROR(VLOOKUP($A167,'13. Mapa Títulos-Receita'!$A$8:$P$1000,11,FALSE),"")</f>
        <v/>
      </c>
      <c r="AA167" s="92">
        <f>IFERROR(VLOOKUP($A167,'13. Mapa Títulos-Receita'!$A$8:$P$1000,12,FALSE),"")</f>
        <v/>
      </c>
      <c r="AB167" s="92">
        <f>IFERROR(VLOOKUP($A167,'13. Mapa Títulos-Receita'!$A$8:$P$1000,13,FALSE),"")</f>
        <v/>
      </c>
      <c r="AC167" s="92">
        <f>IFERROR(VLOOKUP($A167,'13. Mapa Títulos-Receita'!$A$8:$P$1000,14,FALSE),"")</f>
        <v/>
      </c>
      <c r="AD167" s="92">
        <f>IFERROR(VLOOKUP($A167,'13. Mapa Títulos-Receita'!$A$8:$P$1000,15,FALSE),"")</f>
        <v/>
      </c>
      <c r="AE167" s="92">
        <f>IFERROR(VLOOKUP($A167,'13. Mapa Títulos-Receita'!$A$8:$P$1000,16,FALSE),"")</f>
        <v/>
      </c>
    </row>
    <row r="168">
      <c r="A168" s="28">
        <f>IF(C168="","", "CR-"&amp;TEXT(ROW()-7,"000"))</f>
        <v/>
      </c>
      <c r="B168" s="28" t="n"/>
      <c r="C168" s="28" t="n"/>
      <c r="D168" s="111" t="n"/>
      <c r="E168" s="111" t="n"/>
      <c r="F168" s="111" t="n"/>
      <c r="G168" s="28" t="n"/>
      <c r="H168" s="45" t="n"/>
      <c r="I168" s="45" t="n"/>
      <c r="J168" s="28">
        <f>IF(H168="","",IF(I168&gt;=H168,"Recebido",IF($B$4&gt;E168,"Vencido","Aberto")))</f>
        <v/>
      </c>
      <c r="K168" s="4">
        <f>IF(J168="","",IF(OR(J168="Recebido",F168=""),MAX(0,F168-E168),MAX(0,$B$4-E168)))</f>
        <v/>
      </c>
      <c r="L168" s="4">
        <f>IF(K168="","",IF(K168=0,"Em dia",IF(K168&lt;=30,"1-30 dias",IF(K168&lt;=60,"31-60 dias",IF(K168&lt;=90,"61-90 dias","&gt;90 dias")))))</f>
        <v/>
      </c>
      <c r="M168" s="28" t="n"/>
      <c r="N168" s="104" t="inlineStr"/>
      <c r="O168" s="64" t="n"/>
      <c r="P168" s="64">
        <f>IF(C168="","",IF(ISNUMBER(SEARCH("PCMSO",C168)),"PCMSO",IF(OR(ISNUMBER(SEARCH("E-SOCIAL",C168)),ISNUMBER(SEARCH("PSICOSOCIAL",C168))),"eSocial / Psicossocial",IF(O168="Receita recorrente","Carteira recorrente","Projetos / Laudos / Avulsos"))))</f>
        <v/>
      </c>
      <c r="Q168" s="64">
        <f>IF(P168="","",IF(P168="Carteira recorrente","Operação recorrente",IF(P168="PCMSO","Projetos PCMSO",IF(P168="eSocial / Psicossocial","Projetos eSocial/Psicossocial","Projetos / Laudos / Avulsos"))))</f>
        <v/>
      </c>
      <c r="R168" s="64">
        <f>IF(C168="","",IF(ISNUMBER(SEARCH("PCMSO",C168)),"Título com PCMSO no nome",IF(OR(ISNUMBER(SEARCH("E-SOCIAL",C168)),ISNUMBER(SEARCH("PSICOSOCIAL",C168))),"Título com eSocial/Psicossocial no nome",IF(O168="Receita recorrente","Tipo DRE recorrente","Extra sem palavra-chave específica"))))</f>
        <v/>
      </c>
      <c r="S168" s="92">
        <f>IFERROR(VLOOKUP($A168,'13. Mapa Títulos-Receita'!$A$8:$P$1000,4,FALSE),"")</f>
        <v/>
      </c>
      <c r="T168" s="92">
        <f>IFERROR(VLOOKUP($A168,'13. Mapa Títulos-Receita'!$A$8:$P$1000,5,FALSE),"")</f>
        <v/>
      </c>
      <c r="U168" s="92">
        <f>IFERROR(VLOOKUP($A168,'13. Mapa Títulos-Receita'!$A$8:$P$1000,6,FALSE),"")</f>
        <v/>
      </c>
      <c r="V168" s="92">
        <f>IFERROR(VLOOKUP($A168,'13. Mapa Títulos-Receita'!$A$8:$P$1000,7,FALSE),"")</f>
        <v/>
      </c>
      <c r="W168" s="92">
        <f>IFERROR(VLOOKUP($A168,'13. Mapa Títulos-Receita'!$A$8:$P$1000,8,FALSE),"")</f>
        <v/>
      </c>
      <c r="X168" s="92">
        <f>IFERROR(VLOOKUP($A168,'13. Mapa Títulos-Receita'!$A$8:$P$1000,9,FALSE),"")</f>
        <v/>
      </c>
      <c r="Y168" s="92">
        <f>IFERROR(VLOOKUP($A168,'13. Mapa Títulos-Receita'!$A$8:$P$1000,10,FALSE),"")</f>
        <v/>
      </c>
      <c r="Z168" s="92">
        <f>IFERROR(VLOOKUP($A168,'13. Mapa Títulos-Receita'!$A$8:$P$1000,11,FALSE),"")</f>
        <v/>
      </c>
      <c r="AA168" s="92">
        <f>IFERROR(VLOOKUP($A168,'13. Mapa Títulos-Receita'!$A$8:$P$1000,12,FALSE),"")</f>
        <v/>
      </c>
      <c r="AB168" s="92">
        <f>IFERROR(VLOOKUP($A168,'13. Mapa Títulos-Receita'!$A$8:$P$1000,13,FALSE),"")</f>
        <v/>
      </c>
      <c r="AC168" s="92">
        <f>IFERROR(VLOOKUP($A168,'13. Mapa Títulos-Receita'!$A$8:$P$1000,14,FALSE),"")</f>
        <v/>
      </c>
      <c r="AD168" s="92">
        <f>IFERROR(VLOOKUP($A168,'13. Mapa Títulos-Receita'!$A$8:$P$1000,15,FALSE),"")</f>
        <v/>
      </c>
      <c r="AE168" s="92">
        <f>IFERROR(VLOOKUP($A168,'13. Mapa Títulos-Receita'!$A$8:$P$1000,16,FALSE),"")</f>
        <v/>
      </c>
    </row>
    <row r="169">
      <c r="A169" s="28">
        <f>IF(C169="","", "CR-"&amp;TEXT(ROW()-7,"000"))</f>
        <v/>
      </c>
      <c r="B169" s="28" t="n"/>
      <c r="C169" s="28" t="n"/>
      <c r="D169" s="111" t="n"/>
      <c r="E169" s="111" t="n"/>
      <c r="F169" s="111" t="n"/>
      <c r="G169" s="28" t="n"/>
      <c r="H169" s="45" t="n"/>
      <c r="I169" s="45" t="n"/>
      <c r="J169" s="28">
        <f>IF(H169="","",IF(I169&gt;=H169,"Recebido",IF($B$4&gt;E169,"Vencido","Aberto")))</f>
        <v/>
      </c>
      <c r="K169" s="4">
        <f>IF(J169="","",IF(OR(J169="Recebido",F169=""),MAX(0,F169-E169),MAX(0,$B$4-E169)))</f>
        <v/>
      </c>
      <c r="L169" s="4">
        <f>IF(K169="","",IF(K169=0,"Em dia",IF(K169&lt;=30,"1-30 dias",IF(K169&lt;=60,"31-60 dias",IF(K169&lt;=90,"61-90 dias","&gt;90 dias")))))</f>
        <v/>
      </c>
      <c r="M169" s="28" t="n"/>
      <c r="N169" s="104" t="inlineStr"/>
      <c r="O169" s="64" t="n"/>
      <c r="P169" s="64">
        <f>IF(C169="","",IF(ISNUMBER(SEARCH("PCMSO",C169)),"PCMSO",IF(OR(ISNUMBER(SEARCH("E-SOCIAL",C169)),ISNUMBER(SEARCH("PSICOSOCIAL",C169))),"eSocial / Psicossocial",IF(O169="Receita recorrente","Carteira recorrente","Projetos / Laudos / Avulsos"))))</f>
        <v/>
      </c>
      <c r="Q169" s="64">
        <f>IF(P169="","",IF(P169="Carteira recorrente","Operação recorrente",IF(P169="PCMSO","Projetos PCMSO",IF(P169="eSocial / Psicossocial","Projetos eSocial/Psicossocial","Projetos / Laudos / Avulsos"))))</f>
        <v/>
      </c>
      <c r="R169" s="64">
        <f>IF(C169="","",IF(ISNUMBER(SEARCH("PCMSO",C169)),"Título com PCMSO no nome",IF(OR(ISNUMBER(SEARCH("E-SOCIAL",C169)),ISNUMBER(SEARCH("PSICOSOCIAL",C169))),"Título com eSocial/Psicossocial no nome",IF(O169="Receita recorrente","Tipo DRE recorrente","Extra sem palavra-chave específica"))))</f>
        <v/>
      </c>
      <c r="S169" s="92">
        <f>IFERROR(VLOOKUP($A169,'13. Mapa Títulos-Receita'!$A$8:$P$1000,4,FALSE),"")</f>
        <v/>
      </c>
      <c r="T169" s="92">
        <f>IFERROR(VLOOKUP($A169,'13. Mapa Títulos-Receita'!$A$8:$P$1000,5,FALSE),"")</f>
        <v/>
      </c>
      <c r="U169" s="92">
        <f>IFERROR(VLOOKUP($A169,'13. Mapa Títulos-Receita'!$A$8:$P$1000,6,FALSE),"")</f>
        <v/>
      </c>
      <c r="V169" s="92">
        <f>IFERROR(VLOOKUP($A169,'13. Mapa Títulos-Receita'!$A$8:$P$1000,7,FALSE),"")</f>
        <v/>
      </c>
      <c r="W169" s="92">
        <f>IFERROR(VLOOKUP($A169,'13. Mapa Títulos-Receita'!$A$8:$P$1000,8,FALSE),"")</f>
        <v/>
      </c>
      <c r="X169" s="92">
        <f>IFERROR(VLOOKUP($A169,'13. Mapa Títulos-Receita'!$A$8:$P$1000,9,FALSE),"")</f>
        <v/>
      </c>
      <c r="Y169" s="92">
        <f>IFERROR(VLOOKUP($A169,'13. Mapa Títulos-Receita'!$A$8:$P$1000,10,FALSE),"")</f>
        <v/>
      </c>
      <c r="Z169" s="92">
        <f>IFERROR(VLOOKUP($A169,'13. Mapa Títulos-Receita'!$A$8:$P$1000,11,FALSE),"")</f>
        <v/>
      </c>
      <c r="AA169" s="92">
        <f>IFERROR(VLOOKUP($A169,'13. Mapa Títulos-Receita'!$A$8:$P$1000,12,FALSE),"")</f>
        <v/>
      </c>
      <c r="AB169" s="92">
        <f>IFERROR(VLOOKUP($A169,'13. Mapa Títulos-Receita'!$A$8:$P$1000,13,FALSE),"")</f>
        <v/>
      </c>
      <c r="AC169" s="92">
        <f>IFERROR(VLOOKUP($A169,'13. Mapa Títulos-Receita'!$A$8:$P$1000,14,FALSE),"")</f>
        <v/>
      </c>
      <c r="AD169" s="92">
        <f>IFERROR(VLOOKUP($A169,'13. Mapa Títulos-Receita'!$A$8:$P$1000,15,FALSE),"")</f>
        <v/>
      </c>
      <c r="AE169" s="92">
        <f>IFERROR(VLOOKUP($A169,'13. Mapa Títulos-Receita'!$A$8:$P$1000,16,FALSE),"")</f>
        <v/>
      </c>
    </row>
    <row r="170">
      <c r="A170" s="28">
        <f>IF(C170="","", "CR-"&amp;TEXT(ROW()-7,"000"))</f>
        <v/>
      </c>
      <c r="B170" s="28" t="n"/>
      <c r="C170" s="28" t="n"/>
      <c r="D170" s="111" t="n"/>
      <c r="E170" s="111" t="n"/>
      <c r="F170" s="111" t="n"/>
      <c r="G170" s="28" t="n"/>
      <c r="H170" s="45" t="n"/>
      <c r="I170" s="45" t="n"/>
      <c r="J170" s="28">
        <f>IF(H170="","",IF(I170&gt;=H170,"Recebido",IF($B$4&gt;E170,"Vencido","Aberto")))</f>
        <v/>
      </c>
      <c r="K170" s="4">
        <f>IF(J170="","",IF(OR(J170="Recebido",F170=""),MAX(0,F170-E170),MAX(0,$B$4-E170)))</f>
        <v/>
      </c>
      <c r="L170" s="4">
        <f>IF(K170="","",IF(K170=0,"Em dia",IF(K170&lt;=30,"1-30 dias",IF(K170&lt;=60,"31-60 dias",IF(K170&lt;=90,"61-90 dias","&gt;90 dias")))))</f>
        <v/>
      </c>
      <c r="M170" s="28" t="n"/>
      <c r="N170" s="104" t="inlineStr"/>
      <c r="O170" s="64" t="n"/>
      <c r="P170" s="64">
        <f>IF(C170="","",IF(ISNUMBER(SEARCH("PCMSO",C170)),"PCMSO",IF(OR(ISNUMBER(SEARCH("E-SOCIAL",C170)),ISNUMBER(SEARCH("PSICOSOCIAL",C170))),"eSocial / Psicossocial",IF(O170="Receita recorrente","Carteira recorrente","Projetos / Laudos / Avulsos"))))</f>
        <v/>
      </c>
      <c r="Q170" s="64">
        <f>IF(P170="","",IF(P170="Carteira recorrente","Operação recorrente",IF(P170="PCMSO","Projetos PCMSO",IF(P170="eSocial / Psicossocial","Projetos eSocial/Psicossocial","Projetos / Laudos / Avulsos"))))</f>
        <v/>
      </c>
      <c r="R170" s="64">
        <f>IF(C170="","",IF(ISNUMBER(SEARCH("PCMSO",C170)),"Título com PCMSO no nome",IF(OR(ISNUMBER(SEARCH("E-SOCIAL",C170)),ISNUMBER(SEARCH("PSICOSOCIAL",C170))),"Título com eSocial/Psicossocial no nome",IF(O170="Receita recorrente","Tipo DRE recorrente","Extra sem palavra-chave específica"))))</f>
        <v/>
      </c>
      <c r="S170" s="92">
        <f>IFERROR(VLOOKUP($A170,'13. Mapa Títulos-Receita'!$A$8:$P$1000,4,FALSE),"")</f>
        <v/>
      </c>
      <c r="T170" s="92">
        <f>IFERROR(VLOOKUP($A170,'13. Mapa Títulos-Receita'!$A$8:$P$1000,5,FALSE),"")</f>
        <v/>
      </c>
      <c r="U170" s="92">
        <f>IFERROR(VLOOKUP($A170,'13. Mapa Títulos-Receita'!$A$8:$P$1000,6,FALSE),"")</f>
        <v/>
      </c>
      <c r="V170" s="92">
        <f>IFERROR(VLOOKUP($A170,'13. Mapa Títulos-Receita'!$A$8:$P$1000,7,FALSE),"")</f>
        <v/>
      </c>
      <c r="W170" s="92">
        <f>IFERROR(VLOOKUP($A170,'13. Mapa Títulos-Receita'!$A$8:$P$1000,8,FALSE),"")</f>
        <v/>
      </c>
      <c r="X170" s="92">
        <f>IFERROR(VLOOKUP($A170,'13. Mapa Títulos-Receita'!$A$8:$P$1000,9,FALSE),"")</f>
        <v/>
      </c>
      <c r="Y170" s="92">
        <f>IFERROR(VLOOKUP($A170,'13. Mapa Títulos-Receita'!$A$8:$P$1000,10,FALSE),"")</f>
        <v/>
      </c>
      <c r="Z170" s="92">
        <f>IFERROR(VLOOKUP($A170,'13. Mapa Títulos-Receita'!$A$8:$P$1000,11,FALSE),"")</f>
        <v/>
      </c>
      <c r="AA170" s="92">
        <f>IFERROR(VLOOKUP($A170,'13. Mapa Títulos-Receita'!$A$8:$P$1000,12,FALSE),"")</f>
        <v/>
      </c>
      <c r="AB170" s="92">
        <f>IFERROR(VLOOKUP($A170,'13. Mapa Títulos-Receita'!$A$8:$P$1000,13,FALSE),"")</f>
        <v/>
      </c>
      <c r="AC170" s="92">
        <f>IFERROR(VLOOKUP($A170,'13. Mapa Títulos-Receita'!$A$8:$P$1000,14,FALSE),"")</f>
        <v/>
      </c>
      <c r="AD170" s="92">
        <f>IFERROR(VLOOKUP($A170,'13. Mapa Títulos-Receita'!$A$8:$P$1000,15,FALSE),"")</f>
        <v/>
      </c>
      <c r="AE170" s="92">
        <f>IFERROR(VLOOKUP($A170,'13. Mapa Títulos-Receita'!$A$8:$P$1000,16,FALSE),"")</f>
        <v/>
      </c>
    </row>
    <row r="171">
      <c r="A171" s="28">
        <f>IF(C171="","", "CR-"&amp;TEXT(ROW()-7,"000"))</f>
        <v/>
      </c>
      <c r="B171" s="28" t="n"/>
      <c r="C171" s="28" t="n"/>
      <c r="D171" s="111" t="n"/>
      <c r="E171" s="111" t="n"/>
      <c r="F171" s="111" t="n"/>
      <c r="G171" s="28" t="n"/>
      <c r="H171" s="45" t="n"/>
      <c r="I171" s="45" t="n"/>
      <c r="J171" s="28">
        <f>IF(H171="","",IF(I171&gt;=H171,"Recebido",IF($B$4&gt;E171,"Vencido","Aberto")))</f>
        <v/>
      </c>
      <c r="K171" s="4">
        <f>IF(J171="","",IF(OR(J171="Recebido",F171=""),MAX(0,F171-E171),MAX(0,$B$4-E171)))</f>
        <v/>
      </c>
      <c r="L171" s="4">
        <f>IF(K171="","",IF(K171=0,"Em dia",IF(K171&lt;=30,"1-30 dias",IF(K171&lt;=60,"31-60 dias",IF(K171&lt;=90,"61-90 dias","&gt;90 dias")))))</f>
        <v/>
      </c>
      <c r="M171" s="28" t="n"/>
      <c r="N171" s="104" t="inlineStr"/>
      <c r="O171" s="64" t="n"/>
      <c r="P171" s="64">
        <f>IF(C171="","",IF(ISNUMBER(SEARCH("PCMSO",C171)),"PCMSO",IF(OR(ISNUMBER(SEARCH("E-SOCIAL",C171)),ISNUMBER(SEARCH("PSICOSOCIAL",C171))),"eSocial / Psicossocial",IF(O171="Receita recorrente","Carteira recorrente","Projetos / Laudos / Avulsos"))))</f>
        <v/>
      </c>
      <c r="Q171" s="64">
        <f>IF(P171="","",IF(P171="Carteira recorrente","Operação recorrente",IF(P171="PCMSO","Projetos PCMSO",IF(P171="eSocial / Psicossocial","Projetos eSocial/Psicossocial","Projetos / Laudos / Avulsos"))))</f>
        <v/>
      </c>
      <c r="R171" s="64">
        <f>IF(C171="","",IF(ISNUMBER(SEARCH("PCMSO",C171)),"Título com PCMSO no nome",IF(OR(ISNUMBER(SEARCH("E-SOCIAL",C171)),ISNUMBER(SEARCH("PSICOSOCIAL",C171))),"Título com eSocial/Psicossocial no nome",IF(O171="Receita recorrente","Tipo DRE recorrente","Extra sem palavra-chave específica"))))</f>
        <v/>
      </c>
      <c r="S171" s="92">
        <f>IFERROR(VLOOKUP($A171,'13. Mapa Títulos-Receita'!$A$8:$P$1000,4,FALSE),"")</f>
        <v/>
      </c>
      <c r="T171" s="92">
        <f>IFERROR(VLOOKUP($A171,'13. Mapa Títulos-Receita'!$A$8:$P$1000,5,FALSE),"")</f>
        <v/>
      </c>
      <c r="U171" s="92">
        <f>IFERROR(VLOOKUP($A171,'13. Mapa Títulos-Receita'!$A$8:$P$1000,6,FALSE),"")</f>
        <v/>
      </c>
      <c r="V171" s="92">
        <f>IFERROR(VLOOKUP($A171,'13. Mapa Títulos-Receita'!$A$8:$P$1000,7,FALSE),"")</f>
        <v/>
      </c>
      <c r="W171" s="92">
        <f>IFERROR(VLOOKUP($A171,'13. Mapa Títulos-Receita'!$A$8:$P$1000,8,FALSE),"")</f>
        <v/>
      </c>
      <c r="X171" s="92">
        <f>IFERROR(VLOOKUP($A171,'13. Mapa Títulos-Receita'!$A$8:$P$1000,9,FALSE),"")</f>
        <v/>
      </c>
      <c r="Y171" s="92">
        <f>IFERROR(VLOOKUP($A171,'13. Mapa Títulos-Receita'!$A$8:$P$1000,10,FALSE),"")</f>
        <v/>
      </c>
      <c r="Z171" s="92">
        <f>IFERROR(VLOOKUP($A171,'13. Mapa Títulos-Receita'!$A$8:$P$1000,11,FALSE),"")</f>
        <v/>
      </c>
      <c r="AA171" s="92">
        <f>IFERROR(VLOOKUP($A171,'13. Mapa Títulos-Receita'!$A$8:$P$1000,12,FALSE),"")</f>
        <v/>
      </c>
      <c r="AB171" s="92">
        <f>IFERROR(VLOOKUP($A171,'13. Mapa Títulos-Receita'!$A$8:$P$1000,13,FALSE),"")</f>
        <v/>
      </c>
      <c r="AC171" s="92">
        <f>IFERROR(VLOOKUP($A171,'13. Mapa Títulos-Receita'!$A$8:$P$1000,14,FALSE),"")</f>
        <v/>
      </c>
      <c r="AD171" s="92">
        <f>IFERROR(VLOOKUP($A171,'13. Mapa Títulos-Receita'!$A$8:$P$1000,15,FALSE),"")</f>
        <v/>
      </c>
      <c r="AE171" s="92">
        <f>IFERROR(VLOOKUP($A171,'13. Mapa Títulos-Receita'!$A$8:$P$1000,16,FALSE),"")</f>
        <v/>
      </c>
    </row>
    <row r="172">
      <c r="A172" s="28">
        <f>IF(C172="","", "CR-"&amp;TEXT(ROW()-7,"000"))</f>
        <v/>
      </c>
      <c r="B172" s="28" t="n"/>
      <c r="C172" s="28" t="n"/>
      <c r="D172" s="111" t="n"/>
      <c r="E172" s="111" t="n"/>
      <c r="F172" s="111" t="n"/>
      <c r="G172" s="28" t="n"/>
      <c r="H172" s="45" t="n"/>
      <c r="I172" s="45" t="n"/>
      <c r="J172" s="28">
        <f>IF(H172="","",IF(I172&gt;=H172,"Recebido",IF($B$4&gt;E172,"Vencido","Aberto")))</f>
        <v/>
      </c>
      <c r="K172" s="4">
        <f>IF(J172="","",IF(OR(J172="Recebido",F172=""),MAX(0,F172-E172),MAX(0,$B$4-E172)))</f>
        <v/>
      </c>
      <c r="L172" s="4">
        <f>IF(K172="","",IF(K172=0,"Em dia",IF(K172&lt;=30,"1-30 dias",IF(K172&lt;=60,"31-60 dias",IF(K172&lt;=90,"61-90 dias","&gt;90 dias")))))</f>
        <v/>
      </c>
      <c r="M172" s="28" t="n"/>
      <c r="N172" s="104" t="inlineStr"/>
      <c r="O172" s="64" t="n"/>
      <c r="P172" s="64">
        <f>IF(C172="","",IF(ISNUMBER(SEARCH("PCMSO",C172)),"PCMSO",IF(OR(ISNUMBER(SEARCH("E-SOCIAL",C172)),ISNUMBER(SEARCH("PSICOSOCIAL",C172))),"eSocial / Psicossocial",IF(O172="Receita recorrente","Carteira recorrente","Projetos / Laudos / Avulsos"))))</f>
        <v/>
      </c>
      <c r="Q172" s="64">
        <f>IF(P172="","",IF(P172="Carteira recorrente","Operação recorrente",IF(P172="PCMSO","Projetos PCMSO",IF(P172="eSocial / Psicossocial","Projetos eSocial/Psicossocial","Projetos / Laudos / Avulsos"))))</f>
        <v/>
      </c>
      <c r="R172" s="64">
        <f>IF(C172="","",IF(ISNUMBER(SEARCH("PCMSO",C172)),"Título com PCMSO no nome",IF(OR(ISNUMBER(SEARCH("E-SOCIAL",C172)),ISNUMBER(SEARCH("PSICOSOCIAL",C172))),"Título com eSocial/Psicossocial no nome",IF(O172="Receita recorrente","Tipo DRE recorrente","Extra sem palavra-chave específica"))))</f>
        <v/>
      </c>
      <c r="S172" s="92">
        <f>IFERROR(VLOOKUP($A172,'13. Mapa Títulos-Receita'!$A$8:$P$1000,4,FALSE),"")</f>
        <v/>
      </c>
      <c r="T172" s="92">
        <f>IFERROR(VLOOKUP($A172,'13. Mapa Títulos-Receita'!$A$8:$P$1000,5,FALSE),"")</f>
        <v/>
      </c>
      <c r="U172" s="92">
        <f>IFERROR(VLOOKUP($A172,'13. Mapa Títulos-Receita'!$A$8:$P$1000,6,FALSE),"")</f>
        <v/>
      </c>
      <c r="V172" s="92">
        <f>IFERROR(VLOOKUP($A172,'13. Mapa Títulos-Receita'!$A$8:$P$1000,7,FALSE),"")</f>
        <v/>
      </c>
      <c r="W172" s="92">
        <f>IFERROR(VLOOKUP($A172,'13. Mapa Títulos-Receita'!$A$8:$P$1000,8,FALSE),"")</f>
        <v/>
      </c>
      <c r="X172" s="92">
        <f>IFERROR(VLOOKUP($A172,'13. Mapa Títulos-Receita'!$A$8:$P$1000,9,FALSE),"")</f>
        <v/>
      </c>
      <c r="Y172" s="92">
        <f>IFERROR(VLOOKUP($A172,'13. Mapa Títulos-Receita'!$A$8:$P$1000,10,FALSE),"")</f>
        <v/>
      </c>
      <c r="Z172" s="92">
        <f>IFERROR(VLOOKUP($A172,'13. Mapa Títulos-Receita'!$A$8:$P$1000,11,FALSE),"")</f>
        <v/>
      </c>
      <c r="AA172" s="92">
        <f>IFERROR(VLOOKUP($A172,'13. Mapa Títulos-Receita'!$A$8:$P$1000,12,FALSE),"")</f>
        <v/>
      </c>
      <c r="AB172" s="92">
        <f>IFERROR(VLOOKUP($A172,'13. Mapa Títulos-Receita'!$A$8:$P$1000,13,FALSE),"")</f>
        <v/>
      </c>
      <c r="AC172" s="92">
        <f>IFERROR(VLOOKUP($A172,'13. Mapa Títulos-Receita'!$A$8:$P$1000,14,FALSE),"")</f>
        <v/>
      </c>
      <c r="AD172" s="92">
        <f>IFERROR(VLOOKUP($A172,'13. Mapa Títulos-Receita'!$A$8:$P$1000,15,FALSE),"")</f>
        <v/>
      </c>
      <c r="AE172" s="92">
        <f>IFERROR(VLOOKUP($A172,'13. Mapa Títulos-Receita'!$A$8:$P$1000,16,FALSE),"")</f>
        <v/>
      </c>
    </row>
    <row r="173">
      <c r="A173" s="28">
        <f>IF(C173="","", "CR-"&amp;TEXT(ROW()-7,"000"))</f>
        <v/>
      </c>
      <c r="B173" s="28" t="n"/>
      <c r="C173" s="28" t="n"/>
      <c r="D173" s="111" t="n"/>
      <c r="E173" s="111" t="n"/>
      <c r="F173" s="111" t="n"/>
      <c r="G173" s="28" t="n"/>
      <c r="H173" s="45" t="n"/>
      <c r="I173" s="45" t="n"/>
      <c r="J173" s="28">
        <f>IF(H173="","",IF(I173&gt;=H173,"Recebido",IF($B$4&gt;E173,"Vencido","Aberto")))</f>
        <v/>
      </c>
      <c r="K173" s="4">
        <f>IF(J173="","",IF(OR(J173="Recebido",F173=""),MAX(0,F173-E173),MAX(0,$B$4-E173)))</f>
        <v/>
      </c>
      <c r="L173" s="4">
        <f>IF(K173="","",IF(K173=0,"Em dia",IF(K173&lt;=30,"1-30 dias",IF(K173&lt;=60,"31-60 dias",IF(K173&lt;=90,"61-90 dias","&gt;90 dias")))))</f>
        <v/>
      </c>
      <c r="M173" s="28" t="n"/>
      <c r="N173" s="104" t="inlineStr"/>
      <c r="O173" s="64" t="n"/>
      <c r="P173" s="64">
        <f>IF(C173="","",IF(ISNUMBER(SEARCH("PCMSO",C173)),"PCMSO",IF(OR(ISNUMBER(SEARCH("E-SOCIAL",C173)),ISNUMBER(SEARCH("PSICOSOCIAL",C173))),"eSocial / Psicossocial",IF(O173="Receita recorrente","Carteira recorrente","Projetos / Laudos / Avulsos"))))</f>
        <v/>
      </c>
      <c r="Q173" s="64">
        <f>IF(P173="","",IF(P173="Carteira recorrente","Operação recorrente",IF(P173="PCMSO","Projetos PCMSO",IF(P173="eSocial / Psicossocial","Projetos eSocial/Psicossocial","Projetos / Laudos / Avulsos"))))</f>
        <v/>
      </c>
      <c r="R173" s="64">
        <f>IF(C173="","",IF(ISNUMBER(SEARCH("PCMSO",C173)),"Título com PCMSO no nome",IF(OR(ISNUMBER(SEARCH("E-SOCIAL",C173)),ISNUMBER(SEARCH("PSICOSOCIAL",C173))),"Título com eSocial/Psicossocial no nome",IF(O173="Receita recorrente","Tipo DRE recorrente","Extra sem palavra-chave específica"))))</f>
        <v/>
      </c>
      <c r="S173" s="92">
        <f>IFERROR(VLOOKUP($A173,'13. Mapa Títulos-Receita'!$A$8:$P$1000,4,FALSE),"")</f>
        <v/>
      </c>
      <c r="T173" s="92">
        <f>IFERROR(VLOOKUP($A173,'13. Mapa Títulos-Receita'!$A$8:$P$1000,5,FALSE),"")</f>
        <v/>
      </c>
      <c r="U173" s="92">
        <f>IFERROR(VLOOKUP($A173,'13. Mapa Títulos-Receita'!$A$8:$P$1000,6,FALSE),"")</f>
        <v/>
      </c>
      <c r="V173" s="92">
        <f>IFERROR(VLOOKUP($A173,'13. Mapa Títulos-Receita'!$A$8:$P$1000,7,FALSE),"")</f>
        <v/>
      </c>
      <c r="W173" s="92">
        <f>IFERROR(VLOOKUP($A173,'13. Mapa Títulos-Receita'!$A$8:$P$1000,8,FALSE),"")</f>
        <v/>
      </c>
      <c r="X173" s="92">
        <f>IFERROR(VLOOKUP($A173,'13. Mapa Títulos-Receita'!$A$8:$P$1000,9,FALSE),"")</f>
        <v/>
      </c>
      <c r="Y173" s="92">
        <f>IFERROR(VLOOKUP($A173,'13. Mapa Títulos-Receita'!$A$8:$P$1000,10,FALSE),"")</f>
        <v/>
      </c>
      <c r="Z173" s="92">
        <f>IFERROR(VLOOKUP($A173,'13. Mapa Títulos-Receita'!$A$8:$P$1000,11,FALSE),"")</f>
        <v/>
      </c>
      <c r="AA173" s="92">
        <f>IFERROR(VLOOKUP($A173,'13. Mapa Títulos-Receita'!$A$8:$P$1000,12,FALSE),"")</f>
        <v/>
      </c>
      <c r="AB173" s="92">
        <f>IFERROR(VLOOKUP($A173,'13. Mapa Títulos-Receita'!$A$8:$P$1000,13,FALSE),"")</f>
        <v/>
      </c>
      <c r="AC173" s="92">
        <f>IFERROR(VLOOKUP($A173,'13. Mapa Títulos-Receita'!$A$8:$P$1000,14,FALSE),"")</f>
        <v/>
      </c>
      <c r="AD173" s="92">
        <f>IFERROR(VLOOKUP($A173,'13. Mapa Títulos-Receita'!$A$8:$P$1000,15,FALSE),"")</f>
        <v/>
      </c>
      <c r="AE173" s="92">
        <f>IFERROR(VLOOKUP($A173,'13. Mapa Títulos-Receita'!$A$8:$P$1000,16,FALSE),"")</f>
        <v/>
      </c>
    </row>
    <row r="174">
      <c r="A174" s="28">
        <f>IF(C174="","", "CR-"&amp;TEXT(ROW()-7,"000"))</f>
        <v/>
      </c>
      <c r="B174" s="28" t="n"/>
      <c r="C174" s="28" t="n"/>
      <c r="D174" s="111" t="n"/>
      <c r="E174" s="111" t="n"/>
      <c r="F174" s="111" t="n"/>
      <c r="G174" s="28" t="n"/>
      <c r="H174" s="45" t="n"/>
      <c r="I174" s="45" t="n"/>
      <c r="J174" s="28">
        <f>IF(H174="","",IF(I174&gt;=H174,"Recebido",IF($B$4&gt;E174,"Vencido","Aberto")))</f>
        <v/>
      </c>
      <c r="K174" s="4">
        <f>IF(J174="","",IF(OR(J174="Recebido",F174=""),MAX(0,F174-E174),MAX(0,$B$4-E174)))</f>
        <v/>
      </c>
      <c r="L174" s="4">
        <f>IF(K174="","",IF(K174=0,"Em dia",IF(K174&lt;=30,"1-30 dias",IF(K174&lt;=60,"31-60 dias",IF(K174&lt;=90,"61-90 dias","&gt;90 dias")))))</f>
        <v/>
      </c>
      <c r="M174" s="28" t="n"/>
      <c r="N174" s="104" t="inlineStr"/>
      <c r="O174" s="64" t="n"/>
      <c r="P174" s="64">
        <f>IF(C174="","",IF(ISNUMBER(SEARCH("PCMSO",C174)),"PCMSO",IF(OR(ISNUMBER(SEARCH("E-SOCIAL",C174)),ISNUMBER(SEARCH("PSICOSOCIAL",C174))),"eSocial / Psicossocial",IF(O174="Receita recorrente","Carteira recorrente","Projetos / Laudos / Avulsos"))))</f>
        <v/>
      </c>
      <c r="Q174" s="64">
        <f>IF(P174="","",IF(P174="Carteira recorrente","Operação recorrente",IF(P174="PCMSO","Projetos PCMSO",IF(P174="eSocial / Psicossocial","Projetos eSocial/Psicossocial","Projetos / Laudos / Avulsos"))))</f>
        <v/>
      </c>
      <c r="R174" s="64">
        <f>IF(C174="","",IF(ISNUMBER(SEARCH("PCMSO",C174)),"Título com PCMSO no nome",IF(OR(ISNUMBER(SEARCH("E-SOCIAL",C174)),ISNUMBER(SEARCH("PSICOSOCIAL",C174))),"Título com eSocial/Psicossocial no nome",IF(O174="Receita recorrente","Tipo DRE recorrente","Extra sem palavra-chave específica"))))</f>
        <v/>
      </c>
      <c r="S174" s="92">
        <f>IFERROR(VLOOKUP($A174,'13. Mapa Títulos-Receita'!$A$8:$P$1000,4,FALSE),"")</f>
        <v/>
      </c>
      <c r="T174" s="92">
        <f>IFERROR(VLOOKUP($A174,'13. Mapa Títulos-Receita'!$A$8:$P$1000,5,FALSE),"")</f>
        <v/>
      </c>
      <c r="U174" s="92">
        <f>IFERROR(VLOOKUP($A174,'13. Mapa Títulos-Receita'!$A$8:$P$1000,6,FALSE),"")</f>
        <v/>
      </c>
      <c r="V174" s="92">
        <f>IFERROR(VLOOKUP($A174,'13. Mapa Títulos-Receita'!$A$8:$P$1000,7,FALSE),"")</f>
        <v/>
      </c>
      <c r="W174" s="92">
        <f>IFERROR(VLOOKUP($A174,'13. Mapa Títulos-Receita'!$A$8:$P$1000,8,FALSE),"")</f>
        <v/>
      </c>
      <c r="X174" s="92">
        <f>IFERROR(VLOOKUP($A174,'13. Mapa Títulos-Receita'!$A$8:$P$1000,9,FALSE),"")</f>
        <v/>
      </c>
      <c r="Y174" s="92">
        <f>IFERROR(VLOOKUP($A174,'13. Mapa Títulos-Receita'!$A$8:$P$1000,10,FALSE),"")</f>
        <v/>
      </c>
      <c r="Z174" s="92">
        <f>IFERROR(VLOOKUP($A174,'13. Mapa Títulos-Receita'!$A$8:$P$1000,11,FALSE),"")</f>
        <v/>
      </c>
      <c r="AA174" s="92">
        <f>IFERROR(VLOOKUP($A174,'13. Mapa Títulos-Receita'!$A$8:$P$1000,12,FALSE),"")</f>
        <v/>
      </c>
      <c r="AB174" s="92">
        <f>IFERROR(VLOOKUP($A174,'13. Mapa Títulos-Receita'!$A$8:$P$1000,13,FALSE),"")</f>
        <v/>
      </c>
      <c r="AC174" s="92">
        <f>IFERROR(VLOOKUP($A174,'13. Mapa Títulos-Receita'!$A$8:$P$1000,14,FALSE),"")</f>
        <v/>
      </c>
      <c r="AD174" s="92">
        <f>IFERROR(VLOOKUP($A174,'13. Mapa Títulos-Receita'!$A$8:$P$1000,15,FALSE),"")</f>
        <v/>
      </c>
      <c r="AE174" s="92">
        <f>IFERROR(VLOOKUP($A174,'13. Mapa Títulos-Receita'!$A$8:$P$1000,16,FALSE),"")</f>
        <v/>
      </c>
    </row>
    <row r="175">
      <c r="A175" s="28">
        <f>IF(C175="","", "CR-"&amp;TEXT(ROW()-7,"000"))</f>
        <v/>
      </c>
      <c r="B175" s="28" t="n"/>
      <c r="C175" s="28" t="n"/>
      <c r="D175" s="111" t="n"/>
      <c r="E175" s="111" t="n"/>
      <c r="F175" s="111" t="n"/>
      <c r="G175" s="28" t="n"/>
      <c r="H175" s="45" t="n"/>
      <c r="I175" s="45" t="n"/>
      <c r="J175" s="28">
        <f>IF(H175="","",IF(I175&gt;=H175,"Recebido",IF($B$4&gt;E175,"Vencido","Aberto")))</f>
        <v/>
      </c>
      <c r="K175" s="4">
        <f>IF(J175="","",IF(OR(J175="Recebido",F175=""),MAX(0,F175-E175),MAX(0,$B$4-E175)))</f>
        <v/>
      </c>
      <c r="L175" s="4">
        <f>IF(K175="","",IF(K175=0,"Em dia",IF(K175&lt;=30,"1-30 dias",IF(K175&lt;=60,"31-60 dias",IF(K175&lt;=90,"61-90 dias","&gt;90 dias")))))</f>
        <v/>
      </c>
      <c r="M175" s="28" t="n"/>
      <c r="N175" s="104" t="inlineStr"/>
      <c r="O175" s="64" t="n"/>
      <c r="P175" s="64">
        <f>IF(C175="","",IF(ISNUMBER(SEARCH("PCMSO",C175)),"PCMSO",IF(OR(ISNUMBER(SEARCH("E-SOCIAL",C175)),ISNUMBER(SEARCH("PSICOSOCIAL",C175))),"eSocial / Psicossocial",IF(O175="Receita recorrente","Carteira recorrente","Projetos / Laudos / Avulsos"))))</f>
        <v/>
      </c>
      <c r="Q175" s="64">
        <f>IF(P175="","",IF(P175="Carteira recorrente","Operação recorrente",IF(P175="PCMSO","Projetos PCMSO",IF(P175="eSocial / Psicossocial","Projetos eSocial/Psicossocial","Projetos / Laudos / Avulsos"))))</f>
        <v/>
      </c>
      <c r="R175" s="64">
        <f>IF(C175="","",IF(ISNUMBER(SEARCH("PCMSO",C175)),"Título com PCMSO no nome",IF(OR(ISNUMBER(SEARCH("E-SOCIAL",C175)),ISNUMBER(SEARCH("PSICOSOCIAL",C175))),"Título com eSocial/Psicossocial no nome",IF(O175="Receita recorrente","Tipo DRE recorrente","Extra sem palavra-chave específica"))))</f>
        <v/>
      </c>
      <c r="S175" s="92">
        <f>IFERROR(VLOOKUP($A175,'13. Mapa Títulos-Receita'!$A$8:$P$1000,4,FALSE),"")</f>
        <v/>
      </c>
      <c r="T175" s="92">
        <f>IFERROR(VLOOKUP($A175,'13. Mapa Títulos-Receita'!$A$8:$P$1000,5,FALSE),"")</f>
        <v/>
      </c>
      <c r="U175" s="92">
        <f>IFERROR(VLOOKUP($A175,'13. Mapa Títulos-Receita'!$A$8:$P$1000,6,FALSE),"")</f>
        <v/>
      </c>
      <c r="V175" s="92">
        <f>IFERROR(VLOOKUP($A175,'13. Mapa Títulos-Receita'!$A$8:$P$1000,7,FALSE),"")</f>
        <v/>
      </c>
      <c r="W175" s="92">
        <f>IFERROR(VLOOKUP($A175,'13. Mapa Títulos-Receita'!$A$8:$P$1000,8,FALSE),"")</f>
        <v/>
      </c>
      <c r="X175" s="92">
        <f>IFERROR(VLOOKUP($A175,'13. Mapa Títulos-Receita'!$A$8:$P$1000,9,FALSE),"")</f>
        <v/>
      </c>
      <c r="Y175" s="92">
        <f>IFERROR(VLOOKUP($A175,'13. Mapa Títulos-Receita'!$A$8:$P$1000,10,FALSE),"")</f>
        <v/>
      </c>
      <c r="Z175" s="92">
        <f>IFERROR(VLOOKUP($A175,'13. Mapa Títulos-Receita'!$A$8:$P$1000,11,FALSE),"")</f>
        <v/>
      </c>
      <c r="AA175" s="92">
        <f>IFERROR(VLOOKUP($A175,'13. Mapa Títulos-Receita'!$A$8:$P$1000,12,FALSE),"")</f>
        <v/>
      </c>
      <c r="AB175" s="92">
        <f>IFERROR(VLOOKUP($A175,'13. Mapa Títulos-Receita'!$A$8:$P$1000,13,FALSE),"")</f>
        <v/>
      </c>
      <c r="AC175" s="92">
        <f>IFERROR(VLOOKUP($A175,'13. Mapa Títulos-Receita'!$A$8:$P$1000,14,FALSE),"")</f>
        <v/>
      </c>
      <c r="AD175" s="92">
        <f>IFERROR(VLOOKUP($A175,'13. Mapa Títulos-Receita'!$A$8:$P$1000,15,FALSE),"")</f>
        <v/>
      </c>
      <c r="AE175" s="92">
        <f>IFERROR(VLOOKUP($A175,'13. Mapa Títulos-Receita'!$A$8:$P$1000,16,FALSE),"")</f>
        <v/>
      </c>
    </row>
    <row r="176">
      <c r="A176" s="28">
        <f>IF(C176="","", "CR-"&amp;TEXT(ROW()-7,"000"))</f>
        <v/>
      </c>
      <c r="B176" s="28" t="n"/>
      <c r="C176" s="28" t="n"/>
      <c r="D176" s="111" t="n"/>
      <c r="E176" s="111" t="n"/>
      <c r="F176" s="111" t="n"/>
      <c r="G176" s="28" t="n"/>
      <c r="H176" s="45" t="n"/>
      <c r="I176" s="45" t="n"/>
      <c r="J176" s="28">
        <f>IF(H176="","",IF(I176&gt;=H176,"Recebido",IF($B$4&gt;E176,"Vencido","Aberto")))</f>
        <v/>
      </c>
      <c r="K176" s="4">
        <f>IF(J176="","",IF(OR(J176="Recebido",F176=""),MAX(0,F176-E176),MAX(0,$B$4-E176)))</f>
        <v/>
      </c>
      <c r="L176" s="4">
        <f>IF(K176="","",IF(K176=0,"Em dia",IF(K176&lt;=30,"1-30 dias",IF(K176&lt;=60,"31-60 dias",IF(K176&lt;=90,"61-90 dias","&gt;90 dias")))))</f>
        <v/>
      </c>
      <c r="M176" s="28" t="n"/>
      <c r="N176" s="104" t="inlineStr"/>
      <c r="O176" s="64" t="n"/>
      <c r="P176" s="64">
        <f>IF(C176="","",IF(ISNUMBER(SEARCH("PCMSO",C176)),"PCMSO",IF(OR(ISNUMBER(SEARCH("E-SOCIAL",C176)),ISNUMBER(SEARCH("PSICOSOCIAL",C176))),"eSocial / Psicossocial",IF(O176="Receita recorrente","Carteira recorrente","Projetos / Laudos / Avulsos"))))</f>
        <v/>
      </c>
      <c r="Q176" s="64">
        <f>IF(P176="","",IF(P176="Carteira recorrente","Operação recorrente",IF(P176="PCMSO","Projetos PCMSO",IF(P176="eSocial / Psicossocial","Projetos eSocial/Psicossocial","Projetos / Laudos / Avulsos"))))</f>
        <v/>
      </c>
      <c r="R176" s="64">
        <f>IF(C176="","",IF(ISNUMBER(SEARCH("PCMSO",C176)),"Título com PCMSO no nome",IF(OR(ISNUMBER(SEARCH("E-SOCIAL",C176)),ISNUMBER(SEARCH("PSICOSOCIAL",C176))),"Título com eSocial/Psicossocial no nome",IF(O176="Receita recorrente","Tipo DRE recorrente","Extra sem palavra-chave específica"))))</f>
        <v/>
      </c>
      <c r="S176" s="92">
        <f>IFERROR(VLOOKUP($A176,'13. Mapa Títulos-Receita'!$A$8:$P$1000,4,FALSE),"")</f>
        <v/>
      </c>
      <c r="T176" s="92">
        <f>IFERROR(VLOOKUP($A176,'13. Mapa Títulos-Receita'!$A$8:$P$1000,5,FALSE),"")</f>
        <v/>
      </c>
      <c r="U176" s="92">
        <f>IFERROR(VLOOKUP($A176,'13. Mapa Títulos-Receita'!$A$8:$P$1000,6,FALSE),"")</f>
        <v/>
      </c>
      <c r="V176" s="92">
        <f>IFERROR(VLOOKUP($A176,'13. Mapa Títulos-Receita'!$A$8:$P$1000,7,FALSE),"")</f>
        <v/>
      </c>
      <c r="W176" s="92">
        <f>IFERROR(VLOOKUP($A176,'13. Mapa Títulos-Receita'!$A$8:$P$1000,8,FALSE),"")</f>
        <v/>
      </c>
      <c r="X176" s="92">
        <f>IFERROR(VLOOKUP($A176,'13. Mapa Títulos-Receita'!$A$8:$P$1000,9,FALSE),"")</f>
        <v/>
      </c>
      <c r="Y176" s="92">
        <f>IFERROR(VLOOKUP($A176,'13. Mapa Títulos-Receita'!$A$8:$P$1000,10,FALSE),"")</f>
        <v/>
      </c>
      <c r="Z176" s="92">
        <f>IFERROR(VLOOKUP($A176,'13. Mapa Títulos-Receita'!$A$8:$P$1000,11,FALSE),"")</f>
        <v/>
      </c>
      <c r="AA176" s="92">
        <f>IFERROR(VLOOKUP($A176,'13. Mapa Títulos-Receita'!$A$8:$P$1000,12,FALSE),"")</f>
        <v/>
      </c>
      <c r="AB176" s="92">
        <f>IFERROR(VLOOKUP($A176,'13. Mapa Títulos-Receita'!$A$8:$P$1000,13,FALSE),"")</f>
        <v/>
      </c>
      <c r="AC176" s="92">
        <f>IFERROR(VLOOKUP($A176,'13. Mapa Títulos-Receita'!$A$8:$P$1000,14,FALSE),"")</f>
        <v/>
      </c>
      <c r="AD176" s="92">
        <f>IFERROR(VLOOKUP($A176,'13. Mapa Títulos-Receita'!$A$8:$P$1000,15,FALSE),"")</f>
        <v/>
      </c>
      <c r="AE176" s="92">
        <f>IFERROR(VLOOKUP($A176,'13. Mapa Títulos-Receita'!$A$8:$P$1000,16,FALSE),"")</f>
        <v/>
      </c>
    </row>
    <row r="177">
      <c r="A177" s="28">
        <f>IF(C177="","", "CR-"&amp;TEXT(ROW()-7,"000"))</f>
        <v/>
      </c>
      <c r="B177" s="28" t="n"/>
      <c r="C177" s="28" t="n"/>
      <c r="D177" s="111" t="n"/>
      <c r="E177" s="111" t="n"/>
      <c r="F177" s="111" t="n"/>
      <c r="G177" s="28" t="n"/>
      <c r="H177" s="45" t="n"/>
      <c r="I177" s="45" t="n"/>
      <c r="J177" s="28">
        <f>IF(H177="","",IF(I177&gt;=H177,"Recebido",IF($B$4&gt;E177,"Vencido","Aberto")))</f>
        <v/>
      </c>
      <c r="K177" s="4">
        <f>IF(J177="","",IF(OR(J177="Recebido",F177=""),MAX(0,F177-E177),MAX(0,$B$4-E177)))</f>
        <v/>
      </c>
      <c r="L177" s="4">
        <f>IF(K177="","",IF(K177=0,"Em dia",IF(K177&lt;=30,"1-30 dias",IF(K177&lt;=60,"31-60 dias",IF(K177&lt;=90,"61-90 dias","&gt;90 dias")))))</f>
        <v/>
      </c>
      <c r="M177" s="28" t="n"/>
      <c r="N177" s="104" t="inlineStr"/>
      <c r="O177" s="64" t="n"/>
      <c r="P177" s="64">
        <f>IF(C177="","",IF(ISNUMBER(SEARCH("PCMSO",C177)),"PCMSO",IF(OR(ISNUMBER(SEARCH("E-SOCIAL",C177)),ISNUMBER(SEARCH("PSICOSOCIAL",C177))),"eSocial / Psicossocial",IF(O177="Receita recorrente","Carteira recorrente","Projetos / Laudos / Avulsos"))))</f>
        <v/>
      </c>
      <c r="Q177" s="64">
        <f>IF(P177="","",IF(P177="Carteira recorrente","Operação recorrente",IF(P177="PCMSO","Projetos PCMSO",IF(P177="eSocial / Psicossocial","Projetos eSocial/Psicossocial","Projetos / Laudos / Avulsos"))))</f>
        <v/>
      </c>
      <c r="R177" s="64">
        <f>IF(C177="","",IF(ISNUMBER(SEARCH("PCMSO",C177)),"Título com PCMSO no nome",IF(OR(ISNUMBER(SEARCH("E-SOCIAL",C177)),ISNUMBER(SEARCH("PSICOSOCIAL",C177))),"Título com eSocial/Psicossocial no nome",IF(O177="Receita recorrente","Tipo DRE recorrente","Extra sem palavra-chave específica"))))</f>
        <v/>
      </c>
      <c r="S177" s="92">
        <f>IFERROR(VLOOKUP($A177,'13. Mapa Títulos-Receita'!$A$8:$P$1000,4,FALSE),"")</f>
        <v/>
      </c>
      <c r="T177" s="92">
        <f>IFERROR(VLOOKUP($A177,'13. Mapa Títulos-Receita'!$A$8:$P$1000,5,FALSE),"")</f>
        <v/>
      </c>
      <c r="U177" s="92">
        <f>IFERROR(VLOOKUP($A177,'13. Mapa Títulos-Receita'!$A$8:$P$1000,6,FALSE),"")</f>
        <v/>
      </c>
      <c r="V177" s="92">
        <f>IFERROR(VLOOKUP($A177,'13. Mapa Títulos-Receita'!$A$8:$P$1000,7,FALSE),"")</f>
        <v/>
      </c>
      <c r="W177" s="92">
        <f>IFERROR(VLOOKUP($A177,'13. Mapa Títulos-Receita'!$A$8:$P$1000,8,FALSE),"")</f>
        <v/>
      </c>
      <c r="X177" s="92">
        <f>IFERROR(VLOOKUP($A177,'13. Mapa Títulos-Receita'!$A$8:$P$1000,9,FALSE),"")</f>
        <v/>
      </c>
      <c r="Y177" s="92">
        <f>IFERROR(VLOOKUP($A177,'13. Mapa Títulos-Receita'!$A$8:$P$1000,10,FALSE),"")</f>
        <v/>
      </c>
      <c r="Z177" s="92">
        <f>IFERROR(VLOOKUP($A177,'13. Mapa Títulos-Receita'!$A$8:$P$1000,11,FALSE),"")</f>
        <v/>
      </c>
      <c r="AA177" s="92">
        <f>IFERROR(VLOOKUP($A177,'13. Mapa Títulos-Receita'!$A$8:$P$1000,12,FALSE),"")</f>
        <v/>
      </c>
      <c r="AB177" s="92">
        <f>IFERROR(VLOOKUP($A177,'13. Mapa Títulos-Receita'!$A$8:$P$1000,13,FALSE),"")</f>
        <v/>
      </c>
      <c r="AC177" s="92">
        <f>IFERROR(VLOOKUP($A177,'13. Mapa Títulos-Receita'!$A$8:$P$1000,14,FALSE),"")</f>
        <v/>
      </c>
      <c r="AD177" s="92">
        <f>IFERROR(VLOOKUP($A177,'13. Mapa Títulos-Receita'!$A$8:$P$1000,15,FALSE),"")</f>
        <v/>
      </c>
      <c r="AE177" s="92">
        <f>IFERROR(VLOOKUP($A177,'13. Mapa Títulos-Receita'!$A$8:$P$1000,16,FALSE),"")</f>
        <v/>
      </c>
    </row>
    <row r="178">
      <c r="A178" s="28">
        <f>IF(C178="","", "CR-"&amp;TEXT(ROW()-7,"000"))</f>
        <v/>
      </c>
      <c r="B178" s="28" t="n"/>
      <c r="C178" s="28" t="n"/>
      <c r="D178" s="111" t="n"/>
      <c r="E178" s="111" t="n"/>
      <c r="F178" s="111" t="n"/>
      <c r="G178" s="28" t="n"/>
      <c r="H178" s="45" t="n"/>
      <c r="I178" s="45" t="n"/>
      <c r="J178" s="28">
        <f>IF(H178="","",IF(I178&gt;=H178,"Recebido",IF($B$4&gt;E178,"Vencido","Aberto")))</f>
        <v/>
      </c>
      <c r="K178" s="4">
        <f>IF(J178="","",IF(OR(J178="Recebido",F178=""),MAX(0,F178-E178),MAX(0,$B$4-E178)))</f>
        <v/>
      </c>
      <c r="L178" s="4">
        <f>IF(K178="","",IF(K178=0,"Em dia",IF(K178&lt;=30,"1-30 dias",IF(K178&lt;=60,"31-60 dias",IF(K178&lt;=90,"61-90 dias","&gt;90 dias")))))</f>
        <v/>
      </c>
      <c r="M178" s="28" t="n"/>
      <c r="N178" s="104" t="inlineStr"/>
      <c r="O178" s="64" t="n"/>
      <c r="P178" s="64">
        <f>IF(C178="","",IF(ISNUMBER(SEARCH("PCMSO",C178)),"PCMSO",IF(OR(ISNUMBER(SEARCH("E-SOCIAL",C178)),ISNUMBER(SEARCH("PSICOSOCIAL",C178))),"eSocial / Psicossocial",IF(O178="Receita recorrente","Carteira recorrente","Projetos / Laudos / Avulsos"))))</f>
        <v/>
      </c>
      <c r="Q178" s="64">
        <f>IF(P178="","",IF(P178="Carteira recorrente","Operação recorrente",IF(P178="PCMSO","Projetos PCMSO",IF(P178="eSocial / Psicossocial","Projetos eSocial/Psicossocial","Projetos / Laudos / Avulsos"))))</f>
        <v/>
      </c>
      <c r="R178" s="64">
        <f>IF(C178="","",IF(ISNUMBER(SEARCH("PCMSO",C178)),"Título com PCMSO no nome",IF(OR(ISNUMBER(SEARCH("E-SOCIAL",C178)),ISNUMBER(SEARCH("PSICOSOCIAL",C178))),"Título com eSocial/Psicossocial no nome",IF(O178="Receita recorrente","Tipo DRE recorrente","Extra sem palavra-chave específica"))))</f>
        <v/>
      </c>
      <c r="S178" s="92">
        <f>IFERROR(VLOOKUP($A178,'13. Mapa Títulos-Receita'!$A$8:$P$1000,4,FALSE),"")</f>
        <v/>
      </c>
      <c r="T178" s="92">
        <f>IFERROR(VLOOKUP($A178,'13. Mapa Títulos-Receita'!$A$8:$P$1000,5,FALSE),"")</f>
        <v/>
      </c>
      <c r="U178" s="92">
        <f>IFERROR(VLOOKUP($A178,'13. Mapa Títulos-Receita'!$A$8:$P$1000,6,FALSE),"")</f>
        <v/>
      </c>
      <c r="V178" s="92">
        <f>IFERROR(VLOOKUP($A178,'13. Mapa Títulos-Receita'!$A$8:$P$1000,7,FALSE),"")</f>
        <v/>
      </c>
      <c r="W178" s="92">
        <f>IFERROR(VLOOKUP($A178,'13. Mapa Títulos-Receita'!$A$8:$P$1000,8,FALSE),"")</f>
        <v/>
      </c>
      <c r="X178" s="92">
        <f>IFERROR(VLOOKUP($A178,'13. Mapa Títulos-Receita'!$A$8:$P$1000,9,FALSE),"")</f>
        <v/>
      </c>
      <c r="Y178" s="92">
        <f>IFERROR(VLOOKUP($A178,'13. Mapa Títulos-Receita'!$A$8:$P$1000,10,FALSE),"")</f>
        <v/>
      </c>
      <c r="Z178" s="92">
        <f>IFERROR(VLOOKUP($A178,'13. Mapa Títulos-Receita'!$A$8:$P$1000,11,FALSE),"")</f>
        <v/>
      </c>
      <c r="AA178" s="92">
        <f>IFERROR(VLOOKUP($A178,'13. Mapa Títulos-Receita'!$A$8:$P$1000,12,FALSE),"")</f>
        <v/>
      </c>
      <c r="AB178" s="92">
        <f>IFERROR(VLOOKUP($A178,'13. Mapa Títulos-Receita'!$A$8:$P$1000,13,FALSE),"")</f>
        <v/>
      </c>
      <c r="AC178" s="92">
        <f>IFERROR(VLOOKUP($A178,'13. Mapa Títulos-Receita'!$A$8:$P$1000,14,FALSE),"")</f>
        <v/>
      </c>
      <c r="AD178" s="92">
        <f>IFERROR(VLOOKUP($A178,'13. Mapa Títulos-Receita'!$A$8:$P$1000,15,FALSE),"")</f>
        <v/>
      </c>
      <c r="AE178" s="92">
        <f>IFERROR(VLOOKUP($A178,'13. Mapa Títulos-Receita'!$A$8:$P$1000,16,FALSE),"")</f>
        <v/>
      </c>
    </row>
    <row r="179">
      <c r="A179" s="28">
        <f>IF(C179="","", "CR-"&amp;TEXT(ROW()-7,"000"))</f>
        <v/>
      </c>
      <c r="B179" s="28" t="n"/>
      <c r="C179" s="28" t="n"/>
      <c r="D179" s="111" t="n"/>
      <c r="E179" s="111" t="n"/>
      <c r="F179" s="111" t="n"/>
      <c r="G179" s="28" t="n"/>
      <c r="H179" s="45" t="n"/>
      <c r="I179" s="45" t="n"/>
      <c r="J179" s="28">
        <f>IF(H179="","",IF(I179&gt;=H179,"Recebido",IF($B$4&gt;E179,"Vencido","Aberto")))</f>
        <v/>
      </c>
      <c r="K179" s="4">
        <f>IF(J179="","",IF(OR(J179="Recebido",F179=""),MAX(0,F179-E179),MAX(0,$B$4-E179)))</f>
        <v/>
      </c>
      <c r="L179" s="4">
        <f>IF(K179="","",IF(K179=0,"Em dia",IF(K179&lt;=30,"1-30 dias",IF(K179&lt;=60,"31-60 dias",IF(K179&lt;=90,"61-90 dias","&gt;90 dias")))))</f>
        <v/>
      </c>
      <c r="M179" s="28" t="n"/>
      <c r="N179" s="104" t="inlineStr"/>
      <c r="O179" s="64" t="n"/>
      <c r="P179" s="64">
        <f>IF(C179="","",IF(ISNUMBER(SEARCH("PCMSO",C179)),"PCMSO",IF(OR(ISNUMBER(SEARCH("E-SOCIAL",C179)),ISNUMBER(SEARCH("PSICOSOCIAL",C179))),"eSocial / Psicossocial",IF(O179="Receita recorrente","Carteira recorrente","Projetos / Laudos / Avulsos"))))</f>
        <v/>
      </c>
      <c r="Q179" s="64">
        <f>IF(P179="","",IF(P179="Carteira recorrente","Operação recorrente",IF(P179="PCMSO","Projetos PCMSO",IF(P179="eSocial / Psicossocial","Projetos eSocial/Psicossocial","Projetos / Laudos / Avulsos"))))</f>
        <v/>
      </c>
      <c r="R179" s="64">
        <f>IF(C179="","",IF(ISNUMBER(SEARCH("PCMSO",C179)),"Título com PCMSO no nome",IF(OR(ISNUMBER(SEARCH("E-SOCIAL",C179)),ISNUMBER(SEARCH("PSICOSOCIAL",C179))),"Título com eSocial/Psicossocial no nome",IF(O179="Receita recorrente","Tipo DRE recorrente","Extra sem palavra-chave específica"))))</f>
        <v/>
      </c>
      <c r="S179" s="92">
        <f>IFERROR(VLOOKUP($A179,'13. Mapa Títulos-Receita'!$A$8:$P$1000,4,FALSE),"")</f>
        <v/>
      </c>
      <c r="T179" s="92">
        <f>IFERROR(VLOOKUP($A179,'13. Mapa Títulos-Receita'!$A$8:$P$1000,5,FALSE),"")</f>
        <v/>
      </c>
      <c r="U179" s="92">
        <f>IFERROR(VLOOKUP($A179,'13. Mapa Títulos-Receita'!$A$8:$P$1000,6,FALSE),"")</f>
        <v/>
      </c>
      <c r="V179" s="92">
        <f>IFERROR(VLOOKUP($A179,'13. Mapa Títulos-Receita'!$A$8:$P$1000,7,FALSE),"")</f>
        <v/>
      </c>
      <c r="W179" s="92">
        <f>IFERROR(VLOOKUP($A179,'13. Mapa Títulos-Receita'!$A$8:$P$1000,8,FALSE),"")</f>
        <v/>
      </c>
      <c r="X179" s="92">
        <f>IFERROR(VLOOKUP($A179,'13. Mapa Títulos-Receita'!$A$8:$P$1000,9,FALSE),"")</f>
        <v/>
      </c>
      <c r="Y179" s="92">
        <f>IFERROR(VLOOKUP($A179,'13. Mapa Títulos-Receita'!$A$8:$P$1000,10,FALSE),"")</f>
        <v/>
      </c>
      <c r="Z179" s="92">
        <f>IFERROR(VLOOKUP($A179,'13. Mapa Títulos-Receita'!$A$8:$P$1000,11,FALSE),"")</f>
        <v/>
      </c>
      <c r="AA179" s="92">
        <f>IFERROR(VLOOKUP($A179,'13. Mapa Títulos-Receita'!$A$8:$P$1000,12,FALSE),"")</f>
        <v/>
      </c>
      <c r="AB179" s="92">
        <f>IFERROR(VLOOKUP($A179,'13. Mapa Títulos-Receita'!$A$8:$P$1000,13,FALSE),"")</f>
        <v/>
      </c>
      <c r="AC179" s="92">
        <f>IFERROR(VLOOKUP($A179,'13. Mapa Títulos-Receita'!$A$8:$P$1000,14,FALSE),"")</f>
        <v/>
      </c>
      <c r="AD179" s="92">
        <f>IFERROR(VLOOKUP($A179,'13. Mapa Títulos-Receita'!$A$8:$P$1000,15,FALSE),"")</f>
        <v/>
      </c>
      <c r="AE179" s="92">
        <f>IFERROR(VLOOKUP($A179,'13. Mapa Títulos-Receita'!$A$8:$P$1000,16,FALSE),"")</f>
        <v/>
      </c>
    </row>
    <row r="180">
      <c r="A180" s="28">
        <f>IF(C180="","", "CR-"&amp;TEXT(ROW()-7,"000"))</f>
        <v/>
      </c>
      <c r="B180" s="28" t="n"/>
      <c r="C180" s="28" t="n"/>
      <c r="D180" s="111" t="n"/>
      <c r="E180" s="111" t="n"/>
      <c r="F180" s="111" t="n"/>
      <c r="G180" s="28" t="n"/>
      <c r="H180" s="45" t="n"/>
      <c r="I180" s="45" t="n"/>
      <c r="J180" s="28">
        <f>IF(H180="","",IF(I180&gt;=H180,"Recebido",IF($B$4&gt;E180,"Vencido","Aberto")))</f>
        <v/>
      </c>
      <c r="K180" s="4">
        <f>IF(J180="","",IF(OR(J180="Recebido",F180=""),MAX(0,F180-E180),MAX(0,$B$4-E180)))</f>
        <v/>
      </c>
      <c r="L180" s="4">
        <f>IF(K180="","",IF(K180=0,"Em dia",IF(K180&lt;=30,"1-30 dias",IF(K180&lt;=60,"31-60 dias",IF(K180&lt;=90,"61-90 dias","&gt;90 dias")))))</f>
        <v/>
      </c>
      <c r="M180" s="28" t="n"/>
      <c r="N180" s="104" t="inlineStr"/>
      <c r="O180" s="64" t="n"/>
      <c r="P180" s="64">
        <f>IF(C180="","",IF(ISNUMBER(SEARCH("PCMSO",C180)),"PCMSO",IF(OR(ISNUMBER(SEARCH("E-SOCIAL",C180)),ISNUMBER(SEARCH("PSICOSOCIAL",C180))),"eSocial / Psicossocial",IF(O180="Receita recorrente","Carteira recorrente","Projetos / Laudos / Avulsos"))))</f>
        <v/>
      </c>
      <c r="Q180" s="64">
        <f>IF(P180="","",IF(P180="Carteira recorrente","Operação recorrente",IF(P180="PCMSO","Projetos PCMSO",IF(P180="eSocial / Psicossocial","Projetos eSocial/Psicossocial","Projetos / Laudos / Avulsos"))))</f>
        <v/>
      </c>
      <c r="R180" s="64">
        <f>IF(C180="","",IF(ISNUMBER(SEARCH("PCMSO",C180)),"Título com PCMSO no nome",IF(OR(ISNUMBER(SEARCH("E-SOCIAL",C180)),ISNUMBER(SEARCH("PSICOSOCIAL",C180))),"Título com eSocial/Psicossocial no nome",IF(O180="Receita recorrente","Tipo DRE recorrente","Extra sem palavra-chave específica"))))</f>
        <v/>
      </c>
      <c r="S180" s="92">
        <f>IFERROR(VLOOKUP($A180,'13. Mapa Títulos-Receita'!$A$8:$P$1000,4,FALSE),"")</f>
        <v/>
      </c>
      <c r="T180" s="92">
        <f>IFERROR(VLOOKUP($A180,'13. Mapa Títulos-Receita'!$A$8:$P$1000,5,FALSE),"")</f>
        <v/>
      </c>
      <c r="U180" s="92">
        <f>IFERROR(VLOOKUP($A180,'13. Mapa Títulos-Receita'!$A$8:$P$1000,6,FALSE),"")</f>
        <v/>
      </c>
      <c r="V180" s="92">
        <f>IFERROR(VLOOKUP($A180,'13. Mapa Títulos-Receita'!$A$8:$P$1000,7,FALSE),"")</f>
        <v/>
      </c>
      <c r="W180" s="92">
        <f>IFERROR(VLOOKUP($A180,'13. Mapa Títulos-Receita'!$A$8:$P$1000,8,FALSE),"")</f>
        <v/>
      </c>
      <c r="X180" s="92">
        <f>IFERROR(VLOOKUP($A180,'13. Mapa Títulos-Receita'!$A$8:$P$1000,9,FALSE),"")</f>
        <v/>
      </c>
      <c r="Y180" s="92">
        <f>IFERROR(VLOOKUP($A180,'13. Mapa Títulos-Receita'!$A$8:$P$1000,10,FALSE),"")</f>
        <v/>
      </c>
      <c r="Z180" s="92">
        <f>IFERROR(VLOOKUP($A180,'13. Mapa Títulos-Receita'!$A$8:$P$1000,11,FALSE),"")</f>
        <v/>
      </c>
      <c r="AA180" s="92">
        <f>IFERROR(VLOOKUP($A180,'13. Mapa Títulos-Receita'!$A$8:$P$1000,12,FALSE),"")</f>
        <v/>
      </c>
      <c r="AB180" s="92">
        <f>IFERROR(VLOOKUP($A180,'13. Mapa Títulos-Receita'!$A$8:$P$1000,13,FALSE),"")</f>
        <v/>
      </c>
      <c r="AC180" s="92">
        <f>IFERROR(VLOOKUP($A180,'13. Mapa Títulos-Receita'!$A$8:$P$1000,14,FALSE),"")</f>
        <v/>
      </c>
      <c r="AD180" s="92">
        <f>IFERROR(VLOOKUP($A180,'13. Mapa Títulos-Receita'!$A$8:$P$1000,15,FALSE),"")</f>
        <v/>
      </c>
      <c r="AE180" s="92">
        <f>IFERROR(VLOOKUP($A180,'13. Mapa Títulos-Receita'!$A$8:$P$1000,16,FALSE),"")</f>
        <v/>
      </c>
    </row>
    <row r="181">
      <c r="A181" s="28">
        <f>IF(C181="","", "CR-"&amp;TEXT(ROW()-7,"000"))</f>
        <v/>
      </c>
      <c r="B181" s="28" t="n"/>
      <c r="C181" s="28" t="n"/>
      <c r="D181" s="111" t="n"/>
      <c r="E181" s="111" t="n"/>
      <c r="F181" s="111" t="n"/>
      <c r="G181" s="28" t="n"/>
      <c r="H181" s="45" t="n"/>
      <c r="I181" s="45" t="n"/>
      <c r="J181" s="28">
        <f>IF(H181="","",IF(I181&gt;=H181,"Recebido",IF($B$4&gt;E181,"Vencido","Aberto")))</f>
        <v/>
      </c>
      <c r="K181" s="4">
        <f>IF(J181="","",IF(OR(J181="Recebido",F181=""),MAX(0,F181-E181),MAX(0,$B$4-E181)))</f>
        <v/>
      </c>
      <c r="L181" s="4">
        <f>IF(K181="","",IF(K181=0,"Em dia",IF(K181&lt;=30,"1-30 dias",IF(K181&lt;=60,"31-60 dias",IF(K181&lt;=90,"61-90 dias","&gt;90 dias")))))</f>
        <v/>
      </c>
      <c r="M181" s="28" t="n"/>
      <c r="N181" s="104" t="inlineStr"/>
      <c r="O181" s="64" t="n"/>
      <c r="P181" s="64">
        <f>IF(C181="","",IF(ISNUMBER(SEARCH("PCMSO",C181)),"PCMSO",IF(OR(ISNUMBER(SEARCH("E-SOCIAL",C181)),ISNUMBER(SEARCH("PSICOSOCIAL",C181))),"eSocial / Psicossocial",IF(O181="Receita recorrente","Carteira recorrente","Projetos / Laudos / Avulsos"))))</f>
        <v/>
      </c>
      <c r="Q181" s="64">
        <f>IF(P181="","",IF(P181="Carteira recorrente","Operação recorrente",IF(P181="PCMSO","Projetos PCMSO",IF(P181="eSocial / Psicossocial","Projetos eSocial/Psicossocial","Projetos / Laudos / Avulsos"))))</f>
        <v/>
      </c>
      <c r="R181" s="64">
        <f>IF(C181="","",IF(ISNUMBER(SEARCH("PCMSO",C181)),"Título com PCMSO no nome",IF(OR(ISNUMBER(SEARCH("E-SOCIAL",C181)),ISNUMBER(SEARCH("PSICOSOCIAL",C181))),"Título com eSocial/Psicossocial no nome",IF(O181="Receita recorrente","Tipo DRE recorrente","Extra sem palavra-chave específica"))))</f>
        <v/>
      </c>
      <c r="S181" s="92">
        <f>IFERROR(VLOOKUP($A181,'13. Mapa Títulos-Receita'!$A$8:$P$1000,4,FALSE),"")</f>
        <v/>
      </c>
      <c r="T181" s="92">
        <f>IFERROR(VLOOKUP($A181,'13. Mapa Títulos-Receita'!$A$8:$P$1000,5,FALSE),"")</f>
        <v/>
      </c>
      <c r="U181" s="92">
        <f>IFERROR(VLOOKUP($A181,'13. Mapa Títulos-Receita'!$A$8:$P$1000,6,FALSE),"")</f>
        <v/>
      </c>
      <c r="V181" s="92">
        <f>IFERROR(VLOOKUP($A181,'13. Mapa Títulos-Receita'!$A$8:$P$1000,7,FALSE),"")</f>
        <v/>
      </c>
      <c r="W181" s="92">
        <f>IFERROR(VLOOKUP($A181,'13. Mapa Títulos-Receita'!$A$8:$P$1000,8,FALSE),"")</f>
        <v/>
      </c>
      <c r="X181" s="92">
        <f>IFERROR(VLOOKUP($A181,'13. Mapa Títulos-Receita'!$A$8:$P$1000,9,FALSE),"")</f>
        <v/>
      </c>
      <c r="Y181" s="92">
        <f>IFERROR(VLOOKUP($A181,'13. Mapa Títulos-Receita'!$A$8:$P$1000,10,FALSE),"")</f>
        <v/>
      </c>
      <c r="Z181" s="92">
        <f>IFERROR(VLOOKUP($A181,'13. Mapa Títulos-Receita'!$A$8:$P$1000,11,FALSE),"")</f>
        <v/>
      </c>
      <c r="AA181" s="92">
        <f>IFERROR(VLOOKUP($A181,'13. Mapa Títulos-Receita'!$A$8:$P$1000,12,FALSE),"")</f>
        <v/>
      </c>
      <c r="AB181" s="92">
        <f>IFERROR(VLOOKUP($A181,'13. Mapa Títulos-Receita'!$A$8:$P$1000,13,FALSE),"")</f>
        <v/>
      </c>
      <c r="AC181" s="92">
        <f>IFERROR(VLOOKUP($A181,'13. Mapa Títulos-Receita'!$A$8:$P$1000,14,FALSE),"")</f>
        <v/>
      </c>
      <c r="AD181" s="92">
        <f>IFERROR(VLOOKUP($A181,'13. Mapa Títulos-Receita'!$A$8:$P$1000,15,FALSE),"")</f>
        <v/>
      </c>
      <c r="AE181" s="92">
        <f>IFERROR(VLOOKUP($A181,'13. Mapa Títulos-Receita'!$A$8:$P$1000,16,FALSE),"")</f>
        <v/>
      </c>
    </row>
    <row r="182">
      <c r="A182" s="28">
        <f>IF(C182="","", "CR-"&amp;TEXT(ROW()-7,"000"))</f>
        <v/>
      </c>
      <c r="B182" s="28" t="n"/>
      <c r="C182" s="28" t="n"/>
      <c r="D182" s="111" t="n"/>
      <c r="E182" s="111" t="n"/>
      <c r="F182" s="111" t="n"/>
      <c r="G182" s="28" t="n"/>
      <c r="H182" s="45" t="n"/>
      <c r="I182" s="45" t="n"/>
      <c r="J182" s="28">
        <f>IF(H182="","",IF(I182&gt;=H182,"Recebido",IF($B$4&gt;E182,"Vencido","Aberto")))</f>
        <v/>
      </c>
      <c r="K182" s="4">
        <f>IF(J182="","",IF(OR(J182="Recebido",F182=""),MAX(0,F182-E182),MAX(0,$B$4-E182)))</f>
        <v/>
      </c>
      <c r="L182" s="4">
        <f>IF(K182="","",IF(K182=0,"Em dia",IF(K182&lt;=30,"1-30 dias",IF(K182&lt;=60,"31-60 dias",IF(K182&lt;=90,"61-90 dias","&gt;90 dias")))))</f>
        <v/>
      </c>
      <c r="M182" s="28" t="n"/>
      <c r="N182" s="104" t="inlineStr"/>
      <c r="O182" s="64" t="n"/>
      <c r="P182" s="64">
        <f>IF(C182="","",IF(ISNUMBER(SEARCH("PCMSO",C182)),"PCMSO",IF(OR(ISNUMBER(SEARCH("E-SOCIAL",C182)),ISNUMBER(SEARCH("PSICOSOCIAL",C182))),"eSocial / Psicossocial",IF(O182="Receita recorrente","Carteira recorrente","Projetos / Laudos / Avulsos"))))</f>
        <v/>
      </c>
      <c r="Q182" s="64">
        <f>IF(P182="","",IF(P182="Carteira recorrente","Operação recorrente",IF(P182="PCMSO","Projetos PCMSO",IF(P182="eSocial / Psicossocial","Projetos eSocial/Psicossocial","Projetos / Laudos / Avulsos"))))</f>
        <v/>
      </c>
      <c r="R182" s="64">
        <f>IF(C182="","",IF(ISNUMBER(SEARCH("PCMSO",C182)),"Título com PCMSO no nome",IF(OR(ISNUMBER(SEARCH("E-SOCIAL",C182)),ISNUMBER(SEARCH("PSICOSOCIAL",C182))),"Título com eSocial/Psicossocial no nome",IF(O182="Receita recorrente","Tipo DRE recorrente","Extra sem palavra-chave específica"))))</f>
        <v/>
      </c>
      <c r="S182" s="92">
        <f>IFERROR(VLOOKUP($A182,'13. Mapa Títulos-Receita'!$A$8:$P$1000,4,FALSE),"")</f>
        <v/>
      </c>
      <c r="T182" s="92">
        <f>IFERROR(VLOOKUP($A182,'13. Mapa Títulos-Receita'!$A$8:$P$1000,5,FALSE),"")</f>
        <v/>
      </c>
      <c r="U182" s="92">
        <f>IFERROR(VLOOKUP($A182,'13. Mapa Títulos-Receita'!$A$8:$P$1000,6,FALSE),"")</f>
        <v/>
      </c>
      <c r="V182" s="92">
        <f>IFERROR(VLOOKUP($A182,'13. Mapa Títulos-Receita'!$A$8:$P$1000,7,FALSE),"")</f>
        <v/>
      </c>
      <c r="W182" s="92">
        <f>IFERROR(VLOOKUP($A182,'13. Mapa Títulos-Receita'!$A$8:$P$1000,8,FALSE),"")</f>
        <v/>
      </c>
      <c r="X182" s="92">
        <f>IFERROR(VLOOKUP($A182,'13. Mapa Títulos-Receita'!$A$8:$P$1000,9,FALSE),"")</f>
        <v/>
      </c>
      <c r="Y182" s="92">
        <f>IFERROR(VLOOKUP($A182,'13. Mapa Títulos-Receita'!$A$8:$P$1000,10,FALSE),"")</f>
        <v/>
      </c>
      <c r="Z182" s="92">
        <f>IFERROR(VLOOKUP($A182,'13. Mapa Títulos-Receita'!$A$8:$P$1000,11,FALSE),"")</f>
        <v/>
      </c>
      <c r="AA182" s="92">
        <f>IFERROR(VLOOKUP($A182,'13. Mapa Títulos-Receita'!$A$8:$P$1000,12,FALSE),"")</f>
        <v/>
      </c>
      <c r="AB182" s="92">
        <f>IFERROR(VLOOKUP($A182,'13. Mapa Títulos-Receita'!$A$8:$P$1000,13,FALSE),"")</f>
        <v/>
      </c>
      <c r="AC182" s="92">
        <f>IFERROR(VLOOKUP($A182,'13. Mapa Títulos-Receita'!$A$8:$P$1000,14,FALSE),"")</f>
        <v/>
      </c>
      <c r="AD182" s="92">
        <f>IFERROR(VLOOKUP($A182,'13. Mapa Títulos-Receita'!$A$8:$P$1000,15,FALSE),"")</f>
        <v/>
      </c>
      <c r="AE182" s="92">
        <f>IFERROR(VLOOKUP($A182,'13. Mapa Títulos-Receita'!$A$8:$P$1000,16,FALSE),"")</f>
        <v/>
      </c>
    </row>
    <row r="183">
      <c r="A183" s="28">
        <f>IF(C183="","", "CR-"&amp;TEXT(ROW()-7,"000"))</f>
        <v/>
      </c>
      <c r="B183" s="28" t="n"/>
      <c r="C183" s="28" t="n"/>
      <c r="D183" s="111" t="n"/>
      <c r="E183" s="111" t="n"/>
      <c r="F183" s="111" t="n"/>
      <c r="G183" s="28" t="n"/>
      <c r="H183" s="45" t="n"/>
      <c r="I183" s="45" t="n"/>
      <c r="J183" s="28">
        <f>IF(H183="","",IF(I183&gt;=H183,"Recebido",IF($B$4&gt;E183,"Vencido","Aberto")))</f>
        <v/>
      </c>
      <c r="K183" s="4">
        <f>IF(J183="","",IF(OR(J183="Recebido",F183=""),MAX(0,F183-E183),MAX(0,$B$4-E183)))</f>
        <v/>
      </c>
      <c r="L183" s="4">
        <f>IF(K183="","",IF(K183=0,"Em dia",IF(K183&lt;=30,"1-30 dias",IF(K183&lt;=60,"31-60 dias",IF(K183&lt;=90,"61-90 dias","&gt;90 dias")))))</f>
        <v/>
      </c>
      <c r="M183" s="28" t="n"/>
      <c r="N183" s="104" t="inlineStr"/>
      <c r="O183" s="64" t="n"/>
      <c r="P183" s="64">
        <f>IF(C183="","",IF(ISNUMBER(SEARCH("PCMSO",C183)),"PCMSO",IF(OR(ISNUMBER(SEARCH("E-SOCIAL",C183)),ISNUMBER(SEARCH("PSICOSOCIAL",C183))),"eSocial / Psicossocial",IF(O183="Receita recorrente","Carteira recorrente","Projetos / Laudos / Avulsos"))))</f>
        <v/>
      </c>
      <c r="Q183" s="64">
        <f>IF(P183="","",IF(P183="Carteira recorrente","Operação recorrente",IF(P183="PCMSO","Projetos PCMSO",IF(P183="eSocial / Psicossocial","Projetos eSocial/Psicossocial","Projetos / Laudos / Avulsos"))))</f>
        <v/>
      </c>
      <c r="R183" s="64">
        <f>IF(C183="","",IF(ISNUMBER(SEARCH("PCMSO",C183)),"Título com PCMSO no nome",IF(OR(ISNUMBER(SEARCH("E-SOCIAL",C183)),ISNUMBER(SEARCH("PSICOSOCIAL",C183))),"Título com eSocial/Psicossocial no nome",IF(O183="Receita recorrente","Tipo DRE recorrente","Extra sem palavra-chave específica"))))</f>
        <v/>
      </c>
      <c r="S183" s="92">
        <f>IFERROR(VLOOKUP($A183,'13. Mapa Títulos-Receita'!$A$8:$P$1000,4,FALSE),"")</f>
        <v/>
      </c>
      <c r="T183" s="92">
        <f>IFERROR(VLOOKUP($A183,'13. Mapa Títulos-Receita'!$A$8:$P$1000,5,FALSE),"")</f>
        <v/>
      </c>
      <c r="U183" s="92">
        <f>IFERROR(VLOOKUP($A183,'13. Mapa Títulos-Receita'!$A$8:$P$1000,6,FALSE),"")</f>
        <v/>
      </c>
      <c r="V183" s="92">
        <f>IFERROR(VLOOKUP($A183,'13. Mapa Títulos-Receita'!$A$8:$P$1000,7,FALSE),"")</f>
        <v/>
      </c>
      <c r="W183" s="92">
        <f>IFERROR(VLOOKUP($A183,'13. Mapa Títulos-Receita'!$A$8:$P$1000,8,FALSE),"")</f>
        <v/>
      </c>
      <c r="X183" s="92">
        <f>IFERROR(VLOOKUP($A183,'13. Mapa Títulos-Receita'!$A$8:$P$1000,9,FALSE),"")</f>
        <v/>
      </c>
      <c r="Y183" s="92">
        <f>IFERROR(VLOOKUP($A183,'13. Mapa Títulos-Receita'!$A$8:$P$1000,10,FALSE),"")</f>
        <v/>
      </c>
      <c r="Z183" s="92">
        <f>IFERROR(VLOOKUP($A183,'13. Mapa Títulos-Receita'!$A$8:$P$1000,11,FALSE),"")</f>
        <v/>
      </c>
      <c r="AA183" s="92">
        <f>IFERROR(VLOOKUP($A183,'13. Mapa Títulos-Receita'!$A$8:$P$1000,12,FALSE),"")</f>
        <v/>
      </c>
      <c r="AB183" s="92">
        <f>IFERROR(VLOOKUP($A183,'13. Mapa Títulos-Receita'!$A$8:$P$1000,13,FALSE),"")</f>
        <v/>
      </c>
      <c r="AC183" s="92">
        <f>IFERROR(VLOOKUP($A183,'13. Mapa Títulos-Receita'!$A$8:$P$1000,14,FALSE),"")</f>
        <v/>
      </c>
      <c r="AD183" s="92">
        <f>IFERROR(VLOOKUP($A183,'13. Mapa Títulos-Receita'!$A$8:$P$1000,15,FALSE),"")</f>
        <v/>
      </c>
      <c r="AE183" s="92">
        <f>IFERROR(VLOOKUP($A183,'13. Mapa Títulos-Receita'!$A$8:$P$1000,16,FALSE),"")</f>
        <v/>
      </c>
    </row>
    <row r="184">
      <c r="A184" s="28">
        <f>IF(C184="","", "CR-"&amp;TEXT(ROW()-7,"000"))</f>
        <v/>
      </c>
      <c r="B184" s="28" t="n"/>
      <c r="C184" s="28" t="n"/>
      <c r="D184" s="111" t="n"/>
      <c r="E184" s="111" t="n"/>
      <c r="F184" s="111" t="n"/>
      <c r="G184" s="28" t="n"/>
      <c r="H184" s="45" t="n"/>
      <c r="I184" s="45" t="n"/>
      <c r="J184" s="28">
        <f>IF(H184="","",IF(I184&gt;=H184,"Recebido",IF($B$4&gt;E184,"Vencido","Aberto")))</f>
        <v/>
      </c>
      <c r="K184" s="4">
        <f>IF(J184="","",IF(OR(J184="Recebido",F184=""),MAX(0,F184-E184),MAX(0,$B$4-E184)))</f>
        <v/>
      </c>
      <c r="L184" s="4">
        <f>IF(K184="","",IF(K184=0,"Em dia",IF(K184&lt;=30,"1-30 dias",IF(K184&lt;=60,"31-60 dias",IF(K184&lt;=90,"61-90 dias","&gt;90 dias")))))</f>
        <v/>
      </c>
      <c r="M184" s="28" t="n"/>
      <c r="N184" s="104" t="inlineStr"/>
      <c r="O184" s="64" t="n"/>
      <c r="P184" s="64">
        <f>IF(C184="","",IF(ISNUMBER(SEARCH("PCMSO",C184)),"PCMSO",IF(OR(ISNUMBER(SEARCH("E-SOCIAL",C184)),ISNUMBER(SEARCH("PSICOSOCIAL",C184))),"eSocial / Psicossocial",IF(O184="Receita recorrente","Carteira recorrente","Projetos / Laudos / Avulsos"))))</f>
        <v/>
      </c>
      <c r="Q184" s="64">
        <f>IF(P184="","",IF(P184="Carteira recorrente","Operação recorrente",IF(P184="PCMSO","Projetos PCMSO",IF(P184="eSocial / Psicossocial","Projetos eSocial/Psicossocial","Projetos / Laudos / Avulsos"))))</f>
        <v/>
      </c>
      <c r="R184" s="64">
        <f>IF(C184="","",IF(ISNUMBER(SEARCH("PCMSO",C184)),"Título com PCMSO no nome",IF(OR(ISNUMBER(SEARCH("E-SOCIAL",C184)),ISNUMBER(SEARCH("PSICOSOCIAL",C184))),"Título com eSocial/Psicossocial no nome",IF(O184="Receita recorrente","Tipo DRE recorrente","Extra sem palavra-chave específica"))))</f>
        <v/>
      </c>
      <c r="S184" s="92">
        <f>IFERROR(VLOOKUP($A184,'13. Mapa Títulos-Receita'!$A$8:$P$1000,4,FALSE),"")</f>
        <v/>
      </c>
      <c r="T184" s="92">
        <f>IFERROR(VLOOKUP($A184,'13. Mapa Títulos-Receita'!$A$8:$P$1000,5,FALSE),"")</f>
        <v/>
      </c>
      <c r="U184" s="92">
        <f>IFERROR(VLOOKUP($A184,'13. Mapa Títulos-Receita'!$A$8:$P$1000,6,FALSE),"")</f>
        <v/>
      </c>
      <c r="V184" s="92">
        <f>IFERROR(VLOOKUP($A184,'13. Mapa Títulos-Receita'!$A$8:$P$1000,7,FALSE),"")</f>
        <v/>
      </c>
      <c r="W184" s="92">
        <f>IFERROR(VLOOKUP($A184,'13. Mapa Títulos-Receita'!$A$8:$P$1000,8,FALSE),"")</f>
        <v/>
      </c>
      <c r="X184" s="92">
        <f>IFERROR(VLOOKUP($A184,'13. Mapa Títulos-Receita'!$A$8:$P$1000,9,FALSE),"")</f>
        <v/>
      </c>
      <c r="Y184" s="92">
        <f>IFERROR(VLOOKUP($A184,'13. Mapa Títulos-Receita'!$A$8:$P$1000,10,FALSE),"")</f>
        <v/>
      </c>
      <c r="Z184" s="92">
        <f>IFERROR(VLOOKUP($A184,'13. Mapa Títulos-Receita'!$A$8:$P$1000,11,FALSE),"")</f>
        <v/>
      </c>
      <c r="AA184" s="92">
        <f>IFERROR(VLOOKUP($A184,'13. Mapa Títulos-Receita'!$A$8:$P$1000,12,FALSE),"")</f>
        <v/>
      </c>
      <c r="AB184" s="92">
        <f>IFERROR(VLOOKUP($A184,'13. Mapa Títulos-Receita'!$A$8:$P$1000,13,FALSE),"")</f>
        <v/>
      </c>
      <c r="AC184" s="92">
        <f>IFERROR(VLOOKUP($A184,'13. Mapa Títulos-Receita'!$A$8:$P$1000,14,FALSE),"")</f>
        <v/>
      </c>
      <c r="AD184" s="92">
        <f>IFERROR(VLOOKUP($A184,'13. Mapa Títulos-Receita'!$A$8:$P$1000,15,FALSE),"")</f>
        <v/>
      </c>
      <c r="AE184" s="92">
        <f>IFERROR(VLOOKUP($A184,'13. Mapa Títulos-Receita'!$A$8:$P$1000,16,FALSE),"")</f>
        <v/>
      </c>
    </row>
    <row r="185">
      <c r="A185" s="28">
        <f>IF(C185="","", "CR-"&amp;TEXT(ROW()-7,"000"))</f>
        <v/>
      </c>
      <c r="B185" s="28" t="n"/>
      <c r="C185" s="28" t="n"/>
      <c r="D185" s="111" t="n"/>
      <c r="E185" s="111" t="n"/>
      <c r="F185" s="111" t="n"/>
      <c r="G185" s="28" t="n"/>
      <c r="H185" s="45" t="n"/>
      <c r="I185" s="45" t="n"/>
      <c r="J185" s="28">
        <f>IF(H185="","",IF(I185&gt;=H185,"Recebido",IF($B$4&gt;E185,"Vencido","Aberto")))</f>
        <v/>
      </c>
      <c r="K185" s="4">
        <f>IF(J185="","",IF(OR(J185="Recebido",F185=""),MAX(0,F185-E185),MAX(0,$B$4-E185)))</f>
        <v/>
      </c>
      <c r="L185" s="4">
        <f>IF(K185="","",IF(K185=0,"Em dia",IF(K185&lt;=30,"1-30 dias",IF(K185&lt;=60,"31-60 dias",IF(K185&lt;=90,"61-90 dias","&gt;90 dias")))))</f>
        <v/>
      </c>
      <c r="M185" s="28" t="n"/>
      <c r="N185" s="104" t="inlineStr"/>
      <c r="O185" s="64" t="n"/>
      <c r="P185" s="64">
        <f>IF(C185="","",IF(ISNUMBER(SEARCH("PCMSO",C185)),"PCMSO",IF(OR(ISNUMBER(SEARCH("E-SOCIAL",C185)),ISNUMBER(SEARCH("PSICOSOCIAL",C185))),"eSocial / Psicossocial",IF(O185="Receita recorrente","Carteira recorrente","Projetos / Laudos / Avulsos"))))</f>
        <v/>
      </c>
      <c r="Q185" s="64">
        <f>IF(P185="","",IF(P185="Carteira recorrente","Operação recorrente",IF(P185="PCMSO","Projetos PCMSO",IF(P185="eSocial / Psicossocial","Projetos eSocial/Psicossocial","Projetos / Laudos / Avulsos"))))</f>
        <v/>
      </c>
      <c r="R185" s="64">
        <f>IF(C185="","",IF(ISNUMBER(SEARCH("PCMSO",C185)),"Título com PCMSO no nome",IF(OR(ISNUMBER(SEARCH("E-SOCIAL",C185)),ISNUMBER(SEARCH("PSICOSOCIAL",C185))),"Título com eSocial/Psicossocial no nome",IF(O185="Receita recorrente","Tipo DRE recorrente","Extra sem palavra-chave específica"))))</f>
        <v/>
      </c>
      <c r="S185" s="92">
        <f>IFERROR(VLOOKUP($A185,'13. Mapa Títulos-Receita'!$A$8:$P$1000,4,FALSE),"")</f>
        <v/>
      </c>
      <c r="T185" s="92">
        <f>IFERROR(VLOOKUP($A185,'13. Mapa Títulos-Receita'!$A$8:$P$1000,5,FALSE),"")</f>
        <v/>
      </c>
      <c r="U185" s="92">
        <f>IFERROR(VLOOKUP($A185,'13. Mapa Títulos-Receita'!$A$8:$P$1000,6,FALSE),"")</f>
        <v/>
      </c>
      <c r="V185" s="92">
        <f>IFERROR(VLOOKUP($A185,'13. Mapa Títulos-Receita'!$A$8:$P$1000,7,FALSE),"")</f>
        <v/>
      </c>
      <c r="W185" s="92">
        <f>IFERROR(VLOOKUP($A185,'13. Mapa Títulos-Receita'!$A$8:$P$1000,8,FALSE),"")</f>
        <v/>
      </c>
      <c r="X185" s="92">
        <f>IFERROR(VLOOKUP($A185,'13. Mapa Títulos-Receita'!$A$8:$P$1000,9,FALSE),"")</f>
        <v/>
      </c>
      <c r="Y185" s="92">
        <f>IFERROR(VLOOKUP($A185,'13. Mapa Títulos-Receita'!$A$8:$P$1000,10,FALSE),"")</f>
        <v/>
      </c>
      <c r="Z185" s="92">
        <f>IFERROR(VLOOKUP($A185,'13. Mapa Títulos-Receita'!$A$8:$P$1000,11,FALSE),"")</f>
        <v/>
      </c>
      <c r="AA185" s="92">
        <f>IFERROR(VLOOKUP($A185,'13. Mapa Títulos-Receita'!$A$8:$P$1000,12,FALSE),"")</f>
        <v/>
      </c>
      <c r="AB185" s="92">
        <f>IFERROR(VLOOKUP($A185,'13. Mapa Títulos-Receita'!$A$8:$P$1000,13,FALSE),"")</f>
        <v/>
      </c>
      <c r="AC185" s="92">
        <f>IFERROR(VLOOKUP($A185,'13. Mapa Títulos-Receita'!$A$8:$P$1000,14,FALSE),"")</f>
        <v/>
      </c>
      <c r="AD185" s="92">
        <f>IFERROR(VLOOKUP($A185,'13. Mapa Títulos-Receita'!$A$8:$P$1000,15,FALSE),"")</f>
        <v/>
      </c>
      <c r="AE185" s="92">
        <f>IFERROR(VLOOKUP($A185,'13. Mapa Títulos-Receita'!$A$8:$P$1000,16,FALSE),"")</f>
        <v/>
      </c>
    </row>
    <row r="186">
      <c r="A186" s="28">
        <f>IF(C186="","", "CR-"&amp;TEXT(ROW()-7,"000"))</f>
        <v/>
      </c>
      <c r="B186" s="28" t="n"/>
      <c r="C186" s="28" t="n"/>
      <c r="D186" s="111" t="n"/>
      <c r="E186" s="111" t="n"/>
      <c r="F186" s="111" t="n"/>
      <c r="G186" s="28" t="n"/>
      <c r="H186" s="45" t="n"/>
      <c r="I186" s="45" t="n"/>
      <c r="J186" s="28">
        <f>IF(H186="","",IF(I186&gt;=H186,"Recebido",IF($B$4&gt;E186,"Vencido","Aberto")))</f>
        <v/>
      </c>
      <c r="K186" s="4">
        <f>IF(J186="","",IF(OR(J186="Recebido",F186=""),MAX(0,F186-E186),MAX(0,$B$4-E186)))</f>
        <v/>
      </c>
      <c r="L186" s="4">
        <f>IF(K186="","",IF(K186=0,"Em dia",IF(K186&lt;=30,"1-30 dias",IF(K186&lt;=60,"31-60 dias",IF(K186&lt;=90,"61-90 dias","&gt;90 dias")))))</f>
        <v/>
      </c>
      <c r="M186" s="28" t="n"/>
      <c r="N186" s="104" t="inlineStr"/>
      <c r="O186" s="64" t="n"/>
      <c r="P186" s="64">
        <f>IF(C186="","",IF(ISNUMBER(SEARCH("PCMSO",C186)),"PCMSO",IF(OR(ISNUMBER(SEARCH("E-SOCIAL",C186)),ISNUMBER(SEARCH("PSICOSOCIAL",C186))),"eSocial / Psicossocial",IF(O186="Receita recorrente","Carteira recorrente","Projetos / Laudos / Avulsos"))))</f>
        <v/>
      </c>
      <c r="Q186" s="64">
        <f>IF(P186="","",IF(P186="Carteira recorrente","Operação recorrente",IF(P186="PCMSO","Projetos PCMSO",IF(P186="eSocial / Psicossocial","Projetos eSocial/Psicossocial","Projetos / Laudos / Avulsos"))))</f>
        <v/>
      </c>
      <c r="R186" s="64">
        <f>IF(C186="","",IF(ISNUMBER(SEARCH("PCMSO",C186)),"Título com PCMSO no nome",IF(OR(ISNUMBER(SEARCH("E-SOCIAL",C186)),ISNUMBER(SEARCH("PSICOSOCIAL",C186))),"Título com eSocial/Psicossocial no nome",IF(O186="Receita recorrente","Tipo DRE recorrente","Extra sem palavra-chave específica"))))</f>
        <v/>
      </c>
      <c r="S186" s="92">
        <f>IFERROR(VLOOKUP($A186,'13. Mapa Títulos-Receita'!$A$8:$P$1000,4,FALSE),"")</f>
        <v/>
      </c>
      <c r="T186" s="92">
        <f>IFERROR(VLOOKUP($A186,'13. Mapa Títulos-Receita'!$A$8:$P$1000,5,FALSE),"")</f>
        <v/>
      </c>
      <c r="U186" s="92">
        <f>IFERROR(VLOOKUP($A186,'13. Mapa Títulos-Receita'!$A$8:$P$1000,6,FALSE),"")</f>
        <v/>
      </c>
      <c r="V186" s="92">
        <f>IFERROR(VLOOKUP($A186,'13. Mapa Títulos-Receita'!$A$8:$P$1000,7,FALSE),"")</f>
        <v/>
      </c>
      <c r="W186" s="92">
        <f>IFERROR(VLOOKUP($A186,'13. Mapa Títulos-Receita'!$A$8:$P$1000,8,FALSE),"")</f>
        <v/>
      </c>
      <c r="X186" s="92">
        <f>IFERROR(VLOOKUP($A186,'13. Mapa Títulos-Receita'!$A$8:$P$1000,9,FALSE),"")</f>
        <v/>
      </c>
      <c r="Y186" s="92">
        <f>IFERROR(VLOOKUP($A186,'13. Mapa Títulos-Receita'!$A$8:$P$1000,10,FALSE),"")</f>
        <v/>
      </c>
      <c r="Z186" s="92">
        <f>IFERROR(VLOOKUP($A186,'13. Mapa Títulos-Receita'!$A$8:$P$1000,11,FALSE),"")</f>
        <v/>
      </c>
      <c r="AA186" s="92">
        <f>IFERROR(VLOOKUP($A186,'13. Mapa Títulos-Receita'!$A$8:$P$1000,12,FALSE),"")</f>
        <v/>
      </c>
      <c r="AB186" s="92">
        <f>IFERROR(VLOOKUP($A186,'13. Mapa Títulos-Receita'!$A$8:$P$1000,13,FALSE),"")</f>
        <v/>
      </c>
      <c r="AC186" s="92">
        <f>IFERROR(VLOOKUP($A186,'13. Mapa Títulos-Receita'!$A$8:$P$1000,14,FALSE),"")</f>
        <v/>
      </c>
      <c r="AD186" s="92">
        <f>IFERROR(VLOOKUP($A186,'13. Mapa Títulos-Receita'!$A$8:$P$1000,15,FALSE),"")</f>
        <v/>
      </c>
      <c r="AE186" s="92">
        <f>IFERROR(VLOOKUP($A186,'13. Mapa Títulos-Receita'!$A$8:$P$1000,16,FALSE),"")</f>
        <v/>
      </c>
    </row>
    <row r="187">
      <c r="A187" s="28">
        <f>IF(C187="","", "CR-"&amp;TEXT(ROW()-7,"000"))</f>
        <v/>
      </c>
      <c r="B187" s="28" t="n"/>
      <c r="C187" s="28" t="n"/>
      <c r="D187" s="111" t="n"/>
      <c r="E187" s="111" t="n"/>
      <c r="F187" s="111" t="n"/>
      <c r="G187" s="28" t="n"/>
      <c r="H187" s="45" t="n"/>
      <c r="I187" s="45" t="n"/>
      <c r="J187" s="28">
        <f>IF(H187="","",IF(I187&gt;=H187,"Recebido",IF($B$4&gt;E187,"Vencido","Aberto")))</f>
        <v/>
      </c>
      <c r="K187" s="4">
        <f>IF(J187="","",IF(OR(J187="Recebido",F187=""),MAX(0,F187-E187),MAX(0,$B$4-E187)))</f>
        <v/>
      </c>
      <c r="L187" s="4">
        <f>IF(K187="","",IF(K187=0,"Em dia",IF(K187&lt;=30,"1-30 dias",IF(K187&lt;=60,"31-60 dias",IF(K187&lt;=90,"61-90 dias","&gt;90 dias")))))</f>
        <v/>
      </c>
      <c r="M187" s="28" t="n"/>
      <c r="N187" s="104" t="inlineStr"/>
      <c r="O187" s="64" t="n"/>
      <c r="P187" s="64">
        <f>IF(C187="","",IF(ISNUMBER(SEARCH("PCMSO",C187)),"PCMSO",IF(OR(ISNUMBER(SEARCH("E-SOCIAL",C187)),ISNUMBER(SEARCH("PSICOSOCIAL",C187))),"eSocial / Psicossocial",IF(O187="Receita recorrente","Carteira recorrente","Projetos / Laudos / Avulsos"))))</f>
        <v/>
      </c>
      <c r="Q187" s="64">
        <f>IF(P187="","",IF(P187="Carteira recorrente","Operação recorrente",IF(P187="PCMSO","Projetos PCMSO",IF(P187="eSocial / Psicossocial","Projetos eSocial/Psicossocial","Projetos / Laudos / Avulsos"))))</f>
        <v/>
      </c>
      <c r="R187" s="64">
        <f>IF(C187="","",IF(ISNUMBER(SEARCH("PCMSO",C187)),"Título com PCMSO no nome",IF(OR(ISNUMBER(SEARCH("E-SOCIAL",C187)),ISNUMBER(SEARCH("PSICOSOCIAL",C187))),"Título com eSocial/Psicossocial no nome",IF(O187="Receita recorrente","Tipo DRE recorrente","Extra sem palavra-chave específica"))))</f>
        <v/>
      </c>
      <c r="S187" s="92">
        <f>IFERROR(VLOOKUP($A187,'13. Mapa Títulos-Receita'!$A$8:$P$1000,4,FALSE),"")</f>
        <v/>
      </c>
      <c r="T187" s="92">
        <f>IFERROR(VLOOKUP($A187,'13. Mapa Títulos-Receita'!$A$8:$P$1000,5,FALSE),"")</f>
        <v/>
      </c>
      <c r="U187" s="92">
        <f>IFERROR(VLOOKUP($A187,'13. Mapa Títulos-Receita'!$A$8:$P$1000,6,FALSE),"")</f>
        <v/>
      </c>
      <c r="V187" s="92">
        <f>IFERROR(VLOOKUP($A187,'13. Mapa Títulos-Receita'!$A$8:$P$1000,7,FALSE),"")</f>
        <v/>
      </c>
      <c r="W187" s="92">
        <f>IFERROR(VLOOKUP($A187,'13. Mapa Títulos-Receita'!$A$8:$P$1000,8,FALSE),"")</f>
        <v/>
      </c>
      <c r="X187" s="92">
        <f>IFERROR(VLOOKUP($A187,'13. Mapa Títulos-Receita'!$A$8:$P$1000,9,FALSE),"")</f>
        <v/>
      </c>
      <c r="Y187" s="92">
        <f>IFERROR(VLOOKUP($A187,'13. Mapa Títulos-Receita'!$A$8:$P$1000,10,FALSE),"")</f>
        <v/>
      </c>
      <c r="Z187" s="92">
        <f>IFERROR(VLOOKUP($A187,'13. Mapa Títulos-Receita'!$A$8:$P$1000,11,FALSE),"")</f>
        <v/>
      </c>
      <c r="AA187" s="92">
        <f>IFERROR(VLOOKUP($A187,'13. Mapa Títulos-Receita'!$A$8:$P$1000,12,FALSE),"")</f>
        <v/>
      </c>
      <c r="AB187" s="92">
        <f>IFERROR(VLOOKUP($A187,'13. Mapa Títulos-Receita'!$A$8:$P$1000,13,FALSE),"")</f>
        <v/>
      </c>
      <c r="AC187" s="92">
        <f>IFERROR(VLOOKUP($A187,'13. Mapa Títulos-Receita'!$A$8:$P$1000,14,FALSE),"")</f>
        <v/>
      </c>
      <c r="AD187" s="92">
        <f>IFERROR(VLOOKUP($A187,'13. Mapa Títulos-Receita'!$A$8:$P$1000,15,FALSE),"")</f>
        <v/>
      </c>
      <c r="AE187" s="92">
        <f>IFERROR(VLOOKUP($A187,'13. Mapa Títulos-Receita'!$A$8:$P$1000,16,FALSE),"")</f>
        <v/>
      </c>
    </row>
    <row r="188">
      <c r="A188" s="28">
        <f>IF(C188="","", "CR-"&amp;TEXT(ROW()-7,"000"))</f>
        <v/>
      </c>
      <c r="B188" s="28" t="n"/>
      <c r="C188" s="28" t="n"/>
      <c r="D188" s="111" t="n"/>
      <c r="E188" s="111" t="n"/>
      <c r="F188" s="111" t="n"/>
      <c r="G188" s="28" t="n"/>
      <c r="H188" s="45" t="n"/>
      <c r="I188" s="45" t="n"/>
      <c r="J188" s="28">
        <f>IF(H188="","",IF(I188&gt;=H188,"Recebido",IF($B$4&gt;E188,"Vencido","Aberto")))</f>
        <v/>
      </c>
      <c r="K188" s="4">
        <f>IF(J188="","",IF(OR(J188="Recebido",F188=""),MAX(0,F188-E188),MAX(0,$B$4-E188)))</f>
        <v/>
      </c>
      <c r="L188" s="4">
        <f>IF(K188="","",IF(K188=0,"Em dia",IF(K188&lt;=30,"1-30 dias",IF(K188&lt;=60,"31-60 dias",IF(K188&lt;=90,"61-90 dias","&gt;90 dias")))))</f>
        <v/>
      </c>
      <c r="M188" s="28" t="n"/>
      <c r="N188" s="104" t="inlineStr"/>
      <c r="O188" s="64" t="n"/>
      <c r="P188" s="64">
        <f>IF(C188="","",IF(ISNUMBER(SEARCH("PCMSO",C188)),"PCMSO",IF(OR(ISNUMBER(SEARCH("E-SOCIAL",C188)),ISNUMBER(SEARCH("PSICOSOCIAL",C188))),"eSocial / Psicossocial",IF(O188="Receita recorrente","Carteira recorrente","Projetos / Laudos / Avulsos"))))</f>
        <v/>
      </c>
      <c r="Q188" s="64">
        <f>IF(P188="","",IF(P188="Carteira recorrente","Operação recorrente",IF(P188="PCMSO","Projetos PCMSO",IF(P188="eSocial / Psicossocial","Projetos eSocial/Psicossocial","Projetos / Laudos / Avulsos"))))</f>
        <v/>
      </c>
      <c r="R188" s="64">
        <f>IF(C188="","",IF(ISNUMBER(SEARCH("PCMSO",C188)),"Título com PCMSO no nome",IF(OR(ISNUMBER(SEARCH("E-SOCIAL",C188)),ISNUMBER(SEARCH("PSICOSOCIAL",C188))),"Título com eSocial/Psicossocial no nome",IF(O188="Receita recorrente","Tipo DRE recorrente","Extra sem palavra-chave específica"))))</f>
        <v/>
      </c>
      <c r="S188" s="92">
        <f>IFERROR(VLOOKUP($A188,'13. Mapa Títulos-Receita'!$A$8:$P$1000,4,FALSE),"")</f>
        <v/>
      </c>
      <c r="T188" s="92">
        <f>IFERROR(VLOOKUP($A188,'13. Mapa Títulos-Receita'!$A$8:$P$1000,5,FALSE),"")</f>
        <v/>
      </c>
      <c r="U188" s="92">
        <f>IFERROR(VLOOKUP($A188,'13. Mapa Títulos-Receita'!$A$8:$P$1000,6,FALSE),"")</f>
        <v/>
      </c>
      <c r="V188" s="92">
        <f>IFERROR(VLOOKUP($A188,'13. Mapa Títulos-Receita'!$A$8:$P$1000,7,FALSE),"")</f>
        <v/>
      </c>
      <c r="W188" s="92">
        <f>IFERROR(VLOOKUP($A188,'13. Mapa Títulos-Receita'!$A$8:$P$1000,8,FALSE),"")</f>
        <v/>
      </c>
      <c r="X188" s="92">
        <f>IFERROR(VLOOKUP($A188,'13. Mapa Títulos-Receita'!$A$8:$P$1000,9,FALSE),"")</f>
        <v/>
      </c>
      <c r="Y188" s="92">
        <f>IFERROR(VLOOKUP($A188,'13. Mapa Títulos-Receita'!$A$8:$P$1000,10,FALSE),"")</f>
        <v/>
      </c>
      <c r="Z188" s="92">
        <f>IFERROR(VLOOKUP($A188,'13. Mapa Títulos-Receita'!$A$8:$P$1000,11,FALSE),"")</f>
        <v/>
      </c>
      <c r="AA188" s="92">
        <f>IFERROR(VLOOKUP($A188,'13. Mapa Títulos-Receita'!$A$8:$P$1000,12,FALSE),"")</f>
        <v/>
      </c>
      <c r="AB188" s="92">
        <f>IFERROR(VLOOKUP($A188,'13. Mapa Títulos-Receita'!$A$8:$P$1000,13,FALSE),"")</f>
        <v/>
      </c>
      <c r="AC188" s="92">
        <f>IFERROR(VLOOKUP($A188,'13. Mapa Títulos-Receita'!$A$8:$P$1000,14,FALSE),"")</f>
        <v/>
      </c>
      <c r="AD188" s="92">
        <f>IFERROR(VLOOKUP($A188,'13. Mapa Títulos-Receita'!$A$8:$P$1000,15,FALSE),"")</f>
        <v/>
      </c>
      <c r="AE188" s="92">
        <f>IFERROR(VLOOKUP($A188,'13. Mapa Títulos-Receita'!$A$8:$P$1000,16,FALSE),"")</f>
        <v/>
      </c>
    </row>
    <row r="189">
      <c r="A189" s="28">
        <f>IF(C189="","", "CR-"&amp;TEXT(ROW()-7,"000"))</f>
        <v/>
      </c>
      <c r="B189" s="28" t="n"/>
      <c r="C189" s="28" t="n"/>
      <c r="D189" s="111" t="n"/>
      <c r="E189" s="111" t="n"/>
      <c r="F189" s="111" t="n"/>
      <c r="G189" s="28" t="n"/>
      <c r="H189" s="45" t="n"/>
      <c r="I189" s="45" t="n"/>
      <c r="J189" s="28">
        <f>IF(H189="","",IF(I189&gt;=H189,"Recebido",IF($B$4&gt;E189,"Vencido","Aberto")))</f>
        <v/>
      </c>
      <c r="K189" s="4">
        <f>IF(J189="","",IF(OR(J189="Recebido",F189=""),MAX(0,F189-E189),MAX(0,$B$4-E189)))</f>
        <v/>
      </c>
      <c r="L189" s="4">
        <f>IF(K189="","",IF(K189=0,"Em dia",IF(K189&lt;=30,"1-30 dias",IF(K189&lt;=60,"31-60 dias",IF(K189&lt;=90,"61-90 dias","&gt;90 dias")))))</f>
        <v/>
      </c>
      <c r="M189" s="28" t="n"/>
      <c r="N189" s="104" t="inlineStr"/>
      <c r="O189" s="64" t="n"/>
      <c r="P189" s="64">
        <f>IF(C189="","",IF(ISNUMBER(SEARCH("PCMSO",C189)),"PCMSO",IF(OR(ISNUMBER(SEARCH("E-SOCIAL",C189)),ISNUMBER(SEARCH("PSICOSOCIAL",C189))),"eSocial / Psicossocial",IF(O189="Receita recorrente","Carteira recorrente","Projetos / Laudos / Avulsos"))))</f>
        <v/>
      </c>
      <c r="Q189" s="64">
        <f>IF(P189="","",IF(P189="Carteira recorrente","Operação recorrente",IF(P189="PCMSO","Projetos PCMSO",IF(P189="eSocial / Psicossocial","Projetos eSocial/Psicossocial","Projetos / Laudos / Avulsos"))))</f>
        <v/>
      </c>
      <c r="R189" s="64">
        <f>IF(C189="","",IF(ISNUMBER(SEARCH("PCMSO",C189)),"Título com PCMSO no nome",IF(OR(ISNUMBER(SEARCH("E-SOCIAL",C189)),ISNUMBER(SEARCH("PSICOSOCIAL",C189))),"Título com eSocial/Psicossocial no nome",IF(O189="Receita recorrente","Tipo DRE recorrente","Extra sem palavra-chave específica"))))</f>
        <v/>
      </c>
      <c r="S189" s="92">
        <f>IFERROR(VLOOKUP($A189,'13. Mapa Títulos-Receita'!$A$8:$P$1000,4,FALSE),"")</f>
        <v/>
      </c>
      <c r="T189" s="92">
        <f>IFERROR(VLOOKUP($A189,'13. Mapa Títulos-Receita'!$A$8:$P$1000,5,FALSE),"")</f>
        <v/>
      </c>
      <c r="U189" s="92">
        <f>IFERROR(VLOOKUP($A189,'13. Mapa Títulos-Receita'!$A$8:$P$1000,6,FALSE),"")</f>
        <v/>
      </c>
      <c r="V189" s="92">
        <f>IFERROR(VLOOKUP($A189,'13. Mapa Títulos-Receita'!$A$8:$P$1000,7,FALSE),"")</f>
        <v/>
      </c>
      <c r="W189" s="92">
        <f>IFERROR(VLOOKUP($A189,'13. Mapa Títulos-Receita'!$A$8:$P$1000,8,FALSE),"")</f>
        <v/>
      </c>
      <c r="X189" s="92">
        <f>IFERROR(VLOOKUP($A189,'13. Mapa Títulos-Receita'!$A$8:$P$1000,9,FALSE),"")</f>
        <v/>
      </c>
      <c r="Y189" s="92">
        <f>IFERROR(VLOOKUP($A189,'13. Mapa Títulos-Receita'!$A$8:$P$1000,10,FALSE),"")</f>
        <v/>
      </c>
      <c r="Z189" s="92">
        <f>IFERROR(VLOOKUP($A189,'13. Mapa Títulos-Receita'!$A$8:$P$1000,11,FALSE),"")</f>
        <v/>
      </c>
      <c r="AA189" s="92">
        <f>IFERROR(VLOOKUP($A189,'13. Mapa Títulos-Receita'!$A$8:$P$1000,12,FALSE),"")</f>
        <v/>
      </c>
      <c r="AB189" s="92">
        <f>IFERROR(VLOOKUP($A189,'13. Mapa Títulos-Receita'!$A$8:$P$1000,13,FALSE),"")</f>
        <v/>
      </c>
      <c r="AC189" s="92">
        <f>IFERROR(VLOOKUP($A189,'13. Mapa Títulos-Receita'!$A$8:$P$1000,14,FALSE),"")</f>
        <v/>
      </c>
      <c r="AD189" s="92">
        <f>IFERROR(VLOOKUP($A189,'13. Mapa Títulos-Receita'!$A$8:$P$1000,15,FALSE),"")</f>
        <v/>
      </c>
      <c r="AE189" s="92">
        <f>IFERROR(VLOOKUP($A189,'13. Mapa Títulos-Receita'!$A$8:$P$1000,16,FALSE),"")</f>
        <v/>
      </c>
    </row>
    <row r="190">
      <c r="A190" s="28">
        <f>IF(C190="","", "CR-"&amp;TEXT(ROW()-7,"000"))</f>
        <v/>
      </c>
      <c r="B190" s="28" t="n"/>
      <c r="C190" s="28" t="n"/>
      <c r="D190" s="111" t="n"/>
      <c r="E190" s="111" t="n"/>
      <c r="F190" s="111" t="n"/>
      <c r="G190" s="28" t="n"/>
      <c r="H190" s="45" t="n"/>
      <c r="I190" s="45" t="n"/>
      <c r="J190" s="28">
        <f>IF(H190="","",IF(I190&gt;=H190,"Recebido",IF($B$4&gt;E190,"Vencido","Aberto")))</f>
        <v/>
      </c>
      <c r="K190" s="4">
        <f>IF(J190="","",IF(OR(J190="Recebido",F190=""),MAX(0,F190-E190),MAX(0,$B$4-E190)))</f>
        <v/>
      </c>
      <c r="L190" s="4">
        <f>IF(K190="","",IF(K190=0,"Em dia",IF(K190&lt;=30,"1-30 dias",IF(K190&lt;=60,"31-60 dias",IF(K190&lt;=90,"61-90 dias","&gt;90 dias")))))</f>
        <v/>
      </c>
      <c r="M190" s="28" t="n"/>
      <c r="N190" s="104" t="inlineStr"/>
      <c r="O190" s="64" t="n"/>
      <c r="P190" s="64">
        <f>IF(C190="","",IF(ISNUMBER(SEARCH("PCMSO",C190)),"PCMSO",IF(OR(ISNUMBER(SEARCH("E-SOCIAL",C190)),ISNUMBER(SEARCH("PSICOSOCIAL",C190))),"eSocial / Psicossocial",IF(O190="Receita recorrente","Carteira recorrente","Projetos / Laudos / Avulsos"))))</f>
        <v/>
      </c>
      <c r="Q190" s="64">
        <f>IF(P190="","",IF(P190="Carteira recorrente","Operação recorrente",IF(P190="PCMSO","Projetos PCMSO",IF(P190="eSocial / Psicossocial","Projetos eSocial/Psicossocial","Projetos / Laudos / Avulsos"))))</f>
        <v/>
      </c>
      <c r="R190" s="64">
        <f>IF(C190="","",IF(ISNUMBER(SEARCH("PCMSO",C190)),"Título com PCMSO no nome",IF(OR(ISNUMBER(SEARCH("E-SOCIAL",C190)),ISNUMBER(SEARCH("PSICOSOCIAL",C190))),"Título com eSocial/Psicossocial no nome",IF(O190="Receita recorrente","Tipo DRE recorrente","Extra sem palavra-chave específica"))))</f>
        <v/>
      </c>
      <c r="S190" s="92">
        <f>IFERROR(VLOOKUP($A190,'13. Mapa Títulos-Receita'!$A$8:$P$1000,4,FALSE),"")</f>
        <v/>
      </c>
      <c r="T190" s="92">
        <f>IFERROR(VLOOKUP($A190,'13. Mapa Títulos-Receita'!$A$8:$P$1000,5,FALSE),"")</f>
        <v/>
      </c>
      <c r="U190" s="92">
        <f>IFERROR(VLOOKUP($A190,'13. Mapa Títulos-Receita'!$A$8:$P$1000,6,FALSE),"")</f>
        <v/>
      </c>
      <c r="V190" s="92">
        <f>IFERROR(VLOOKUP($A190,'13. Mapa Títulos-Receita'!$A$8:$P$1000,7,FALSE),"")</f>
        <v/>
      </c>
      <c r="W190" s="92">
        <f>IFERROR(VLOOKUP($A190,'13. Mapa Títulos-Receita'!$A$8:$P$1000,8,FALSE),"")</f>
        <v/>
      </c>
      <c r="X190" s="92">
        <f>IFERROR(VLOOKUP($A190,'13. Mapa Títulos-Receita'!$A$8:$P$1000,9,FALSE),"")</f>
        <v/>
      </c>
      <c r="Y190" s="92">
        <f>IFERROR(VLOOKUP($A190,'13. Mapa Títulos-Receita'!$A$8:$P$1000,10,FALSE),"")</f>
        <v/>
      </c>
      <c r="Z190" s="92">
        <f>IFERROR(VLOOKUP($A190,'13. Mapa Títulos-Receita'!$A$8:$P$1000,11,FALSE),"")</f>
        <v/>
      </c>
      <c r="AA190" s="92">
        <f>IFERROR(VLOOKUP($A190,'13. Mapa Títulos-Receita'!$A$8:$P$1000,12,FALSE),"")</f>
        <v/>
      </c>
      <c r="AB190" s="92">
        <f>IFERROR(VLOOKUP($A190,'13. Mapa Títulos-Receita'!$A$8:$P$1000,13,FALSE),"")</f>
        <v/>
      </c>
      <c r="AC190" s="92">
        <f>IFERROR(VLOOKUP($A190,'13. Mapa Títulos-Receita'!$A$8:$P$1000,14,FALSE),"")</f>
        <v/>
      </c>
      <c r="AD190" s="92">
        <f>IFERROR(VLOOKUP($A190,'13. Mapa Títulos-Receita'!$A$8:$P$1000,15,FALSE),"")</f>
        <v/>
      </c>
      <c r="AE190" s="92">
        <f>IFERROR(VLOOKUP($A190,'13. Mapa Títulos-Receita'!$A$8:$P$1000,16,FALSE),"")</f>
        <v/>
      </c>
    </row>
    <row r="191">
      <c r="A191" s="28">
        <f>IF(C191="","", "CR-"&amp;TEXT(ROW()-7,"000"))</f>
        <v/>
      </c>
      <c r="B191" s="28" t="n"/>
      <c r="C191" s="28" t="n"/>
      <c r="D191" s="111" t="n"/>
      <c r="E191" s="111" t="n"/>
      <c r="F191" s="111" t="n"/>
      <c r="G191" s="28" t="n"/>
      <c r="H191" s="45" t="n"/>
      <c r="I191" s="45" t="n"/>
      <c r="J191" s="28">
        <f>IF(H191="","",IF(I191&gt;=H191,"Recebido",IF($B$4&gt;E191,"Vencido","Aberto")))</f>
        <v/>
      </c>
      <c r="K191" s="4">
        <f>IF(J191="","",IF(OR(J191="Recebido",F191=""),MAX(0,F191-E191),MAX(0,$B$4-E191)))</f>
        <v/>
      </c>
      <c r="L191" s="4">
        <f>IF(K191="","",IF(K191=0,"Em dia",IF(K191&lt;=30,"1-30 dias",IF(K191&lt;=60,"31-60 dias",IF(K191&lt;=90,"61-90 dias","&gt;90 dias")))))</f>
        <v/>
      </c>
      <c r="M191" s="28" t="n"/>
      <c r="N191" s="104" t="inlineStr"/>
      <c r="O191" s="64" t="n"/>
      <c r="P191" s="64">
        <f>IF(C191="","",IF(ISNUMBER(SEARCH("PCMSO",C191)),"PCMSO",IF(OR(ISNUMBER(SEARCH("E-SOCIAL",C191)),ISNUMBER(SEARCH("PSICOSOCIAL",C191))),"eSocial / Psicossocial",IF(O191="Receita recorrente","Carteira recorrente","Projetos / Laudos / Avulsos"))))</f>
        <v/>
      </c>
      <c r="Q191" s="64">
        <f>IF(P191="","",IF(P191="Carteira recorrente","Operação recorrente",IF(P191="PCMSO","Projetos PCMSO",IF(P191="eSocial / Psicossocial","Projetos eSocial/Psicossocial","Projetos / Laudos / Avulsos"))))</f>
        <v/>
      </c>
      <c r="R191" s="64">
        <f>IF(C191="","",IF(ISNUMBER(SEARCH("PCMSO",C191)),"Título com PCMSO no nome",IF(OR(ISNUMBER(SEARCH("E-SOCIAL",C191)),ISNUMBER(SEARCH("PSICOSOCIAL",C191))),"Título com eSocial/Psicossocial no nome",IF(O191="Receita recorrente","Tipo DRE recorrente","Extra sem palavra-chave específica"))))</f>
        <v/>
      </c>
      <c r="S191" s="92">
        <f>IFERROR(VLOOKUP($A191,'13. Mapa Títulos-Receita'!$A$8:$P$1000,4,FALSE),"")</f>
        <v/>
      </c>
      <c r="T191" s="92">
        <f>IFERROR(VLOOKUP($A191,'13. Mapa Títulos-Receita'!$A$8:$P$1000,5,FALSE),"")</f>
        <v/>
      </c>
      <c r="U191" s="92">
        <f>IFERROR(VLOOKUP($A191,'13. Mapa Títulos-Receita'!$A$8:$P$1000,6,FALSE),"")</f>
        <v/>
      </c>
      <c r="V191" s="92">
        <f>IFERROR(VLOOKUP($A191,'13. Mapa Títulos-Receita'!$A$8:$P$1000,7,FALSE),"")</f>
        <v/>
      </c>
      <c r="W191" s="92">
        <f>IFERROR(VLOOKUP($A191,'13. Mapa Títulos-Receita'!$A$8:$P$1000,8,FALSE),"")</f>
        <v/>
      </c>
      <c r="X191" s="92">
        <f>IFERROR(VLOOKUP($A191,'13. Mapa Títulos-Receita'!$A$8:$P$1000,9,FALSE),"")</f>
        <v/>
      </c>
      <c r="Y191" s="92">
        <f>IFERROR(VLOOKUP($A191,'13. Mapa Títulos-Receita'!$A$8:$P$1000,10,FALSE),"")</f>
        <v/>
      </c>
      <c r="Z191" s="92">
        <f>IFERROR(VLOOKUP($A191,'13. Mapa Títulos-Receita'!$A$8:$P$1000,11,FALSE),"")</f>
        <v/>
      </c>
      <c r="AA191" s="92">
        <f>IFERROR(VLOOKUP($A191,'13. Mapa Títulos-Receita'!$A$8:$P$1000,12,FALSE),"")</f>
        <v/>
      </c>
      <c r="AB191" s="92">
        <f>IFERROR(VLOOKUP($A191,'13. Mapa Títulos-Receita'!$A$8:$P$1000,13,FALSE),"")</f>
        <v/>
      </c>
      <c r="AC191" s="92">
        <f>IFERROR(VLOOKUP($A191,'13. Mapa Títulos-Receita'!$A$8:$P$1000,14,FALSE),"")</f>
        <v/>
      </c>
      <c r="AD191" s="92">
        <f>IFERROR(VLOOKUP($A191,'13. Mapa Títulos-Receita'!$A$8:$P$1000,15,FALSE),"")</f>
        <v/>
      </c>
      <c r="AE191" s="92">
        <f>IFERROR(VLOOKUP($A191,'13. Mapa Títulos-Receita'!$A$8:$P$1000,16,FALSE),"")</f>
        <v/>
      </c>
    </row>
    <row r="192">
      <c r="A192" s="28">
        <f>IF(C192="","", "CR-"&amp;TEXT(ROW()-7,"000"))</f>
        <v/>
      </c>
      <c r="B192" s="28" t="n"/>
      <c r="C192" s="28" t="n"/>
      <c r="D192" s="111" t="n"/>
      <c r="E192" s="111" t="n"/>
      <c r="F192" s="111" t="n"/>
      <c r="G192" s="28" t="n"/>
      <c r="H192" s="45" t="n"/>
      <c r="I192" s="45" t="n"/>
      <c r="J192" s="28">
        <f>IF(H192="","",IF(I192&gt;=H192,"Recebido",IF($B$4&gt;E192,"Vencido","Aberto")))</f>
        <v/>
      </c>
      <c r="K192" s="4">
        <f>IF(J192="","",IF(OR(J192="Recebido",F192=""),MAX(0,F192-E192),MAX(0,$B$4-E192)))</f>
        <v/>
      </c>
      <c r="L192" s="4">
        <f>IF(K192="","",IF(K192=0,"Em dia",IF(K192&lt;=30,"1-30 dias",IF(K192&lt;=60,"31-60 dias",IF(K192&lt;=90,"61-90 dias","&gt;90 dias")))))</f>
        <v/>
      </c>
      <c r="M192" s="28" t="n"/>
      <c r="N192" s="104" t="inlineStr"/>
      <c r="O192" s="64" t="n"/>
      <c r="P192" s="64">
        <f>IF(C192="","",IF(ISNUMBER(SEARCH("PCMSO",C192)),"PCMSO",IF(OR(ISNUMBER(SEARCH("E-SOCIAL",C192)),ISNUMBER(SEARCH("PSICOSOCIAL",C192))),"eSocial / Psicossocial",IF(O192="Receita recorrente","Carteira recorrente","Projetos / Laudos / Avulsos"))))</f>
        <v/>
      </c>
      <c r="Q192" s="64">
        <f>IF(P192="","",IF(P192="Carteira recorrente","Operação recorrente",IF(P192="PCMSO","Projetos PCMSO",IF(P192="eSocial / Psicossocial","Projetos eSocial/Psicossocial","Projetos / Laudos / Avulsos"))))</f>
        <v/>
      </c>
      <c r="R192" s="64">
        <f>IF(C192="","",IF(ISNUMBER(SEARCH("PCMSO",C192)),"Título com PCMSO no nome",IF(OR(ISNUMBER(SEARCH("E-SOCIAL",C192)),ISNUMBER(SEARCH("PSICOSOCIAL",C192))),"Título com eSocial/Psicossocial no nome",IF(O192="Receita recorrente","Tipo DRE recorrente","Extra sem palavra-chave específica"))))</f>
        <v/>
      </c>
      <c r="S192" s="92">
        <f>IFERROR(VLOOKUP($A192,'13. Mapa Títulos-Receita'!$A$8:$P$1000,4,FALSE),"")</f>
        <v/>
      </c>
      <c r="T192" s="92">
        <f>IFERROR(VLOOKUP($A192,'13. Mapa Títulos-Receita'!$A$8:$P$1000,5,FALSE),"")</f>
        <v/>
      </c>
      <c r="U192" s="92">
        <f>IFERROR(VLOOKUP($A192,'13. Mapa Títulos-Receita'!$A$8:$P$1000,6,FALSE),"")</f>
        <v/>
      </c>
      <c r="V192" s="92">
        <f>IFERROR(VLOOKUP($A192,'13. Mapa Títulos-Receita'!$A$8:$P$1000,7,FALSE),"")</f>
        <v/>
      </c>
      <c r="W192" s="92">
        <f>IFERROR(VLOOKUP($A192,'13. Mapa Títulos-Receita'!$A$8:$P$1000,8,FALSE),"")</f>
        <v/>
      </c>
      <c r="X192" s="92">
        <f>IFERROR(VLOOKUP($A192,'13. Mapa Títulos-Receita'!$A$8:$P$1000,9,FALSE),"")</f>
        <v/>
      </c>
      <c r="Y192" s="92">
        <f>IFERROR(VLOOKUP($A192,'13. Mapa Títulos-Receita'!$A$8:$P$1000,10,FALSE),"")</f>
        <v/>
      </c>
      <c r="Z192" s="92">
        <f>IFERROR(VLOOKUP($A192,'13. Mapa Títulos-Receita'!$A$8:$P$1000,11,FALSE),"")</f>
        <v/>
      </c>
      <c r="AA192" s="92">
        <f>IFERROR(VLOOKUP($A192,'13. Mapa Títulos-Receita'!$A$8:$P$1000,12,FALSE),"")</f>
        <v/>
      </c>
      <c r="AB192" s="92">
        <f>IFERROR(VLOOKUP($A192,'13. Mapa Títulos-Receita'!$A$8:$P$1000,13,FALSE),"")</f>
        <v/>
      </c>
      <c r="AC192" s="92">
        <f>IFERROR(VLOOKUP($A192,'13. Mapa Títulos-Receita'!$A$8:$P$1000,14,FALSE),"")</f>
        <v/>
      </c>
      <c r="AD192" s="92">
        <f>IFERROR(VLOOKUP($A192,'13. Mapa Títulos-Receita'!$A$8:$P$1000,15,FALSE),"")</f>
        <v/>
      </c>
      <c r="AE192" s="92">
        <f>IFERROR(VLOOKUP($A192,'13. Mapa Títulos-Receita'!$A$8:$P$1000,16,FALSE),"")</f>
        <v/>
      </c>
    </row>
    <row r="193">
      <c r="A193" s="28">
        <f>IF(C193="","", "CR-"&amp;TEXT(ROW()-7,"000"))</f>
        <v/>
      </c>
      <c r="B193" s="28" t="n"/>
      <c r="C193" s="28" t="n"/>
      <c r="D193" s="111" t="n"/>
      <c r="E193" s="111" t="n"/>
      <c r="F193" s="111" t="n"/>
      <c r="G193" s="28" t="n"/>
      <c r="H193" s="45" t="n"/>
      <c r="I193" s="45" t="n"/>
      <c r="J193" s="28">
        <f>IF(H193="","",IF(I193&gt;=H193,"Recebido",IF($B$4&gt;E193,"Vencido","Aberto")))</f>
        <v/>
      </c>
      <c r="K193" s="4">
        <f>IF(J193="","",IF(OR(J193="Recebido",F193=""),MAX(0,F193-E193),MAX(0,$B$4-E193)))</f>
        <v/>
      </c>
      <c r="L193" s="4">
        <f>IF(K193="","",IF(K193=0,"Em dia",IF(K193&lt;=30,"1-30 dias",IF(K193&lt;=60,"31-60 dias",IF(K193&lt;=90,"61-90 dias","&gt;90 dias")))))</f>
        <v/>
      </c>
      <c r="M193" s="28" t="n"/>
      <c r="N193" s="104" t="inlineStr"/>
      <c r="O193" s="64" t="n"/>
      <c r="P193" s="64">
        <f>IF(C193="","",IF(ISNUMBER(SEARCH("PCMSO",C193)),"PCMSO",IF(OR(ISNUMBER(SEARCH("E-SOCIAL",C193)),ISNUMBER(SEARCH("PSICOSOCIAL",C193))),"eSocial / Psicossocial",IF(O193="Receita recorrente","Carteira recorrente","Projetos / Laudos / Avulsos"))))</f>
        <v/>
      </c>
      <c r="Q193" s="64">
        <f>IF(P193="","",IF(P193="Carteira recorrente","Operação recorrente",IF(P193="PCMSO","Projetos PCMSO",IF(P193="eSocial / Psicossocial","Projetos eSocial/Psicossocial","Projetos / Laudos / Avulsos"))))</f>
        <v/>
      </c>
      <c r="R193" s="64">
        <f>IF(C193="","",IF(ISNUMBER(SEARCH("PCMSO",C193)),"Título com PCMSO no nome",IF(OR(ISNUMBER(SEARCH("E-SOCIAL",C193)),ISNUMBER(SEARCH("PSICOSOCIAL",C193))),"Título com eSocial/Psicossocial no nome",IF(O193="Receita recorrente","Tipo DRE recorrente","Extra sem palavra-chave específica"))))</f>
        <v/>
      </c>
      <c r="S193" s="92">
        <f>IFERROR(VLOOKUP($A193,'13. Mapa Títulos-Receita'!$A$8:$P$1000,4,FALSE),"")</f>
        <v/>
      </c>
      <c r="T193" s="92">
        <f>IFERROR(VLOOKUP($A193,'13. Mapa Títulos-Receita'!$A$8:$P$1000,5,FALSE),"")</f>
        <v/>
      </c>
      <c r="U193" s="92">
        <f>IFERROR(VLOOKUP($A193,'13. Mapa Títulos-Receita'!$A$8:$P$1000,6,FALSE),"")</f>
        <v/>
      </c>
      <c r="V193" s="92">
        <f>IFERROR(VLOOKUP($A193,'13. Mapa Títulos-Receita'!$A$8:$P$1000,7,FALSE),"")</f>
        <v/>
      </c>
      <c r="W193" s="92">
        <f>IFERROR(VLOOKUP($A193,'13. Mapa Títulos-Receita'!$A$8:$P$1000,8,FALSE),"")</f>
        <v/>
      </c>
      <c r="X193" s="92">
        <f>IFERROR(VLOOKUP($A193,'13. Mapa Títulos-Receita'!$A$8:$P$1000,9,FALSE),"")</f>
        <v/>
      </c>
      <c r="Y193" s="92">
        <f>IFERROR(VLOOKUP($A193,'13. Mapa Títulos-Receita'!$A$8:$P$1000,10,FALSE),"")</f>
        <v/>
      </c>
      <c r="Z193" s="92">
        <f>IFERROR(VLOOKUP($A193,'13. Mapa Títulos-Receita'!$A$8:$P$1000,11,FALSE),"")</f>
        <v/>
      </c>
      <c r="AA193" s="92">
        <f>IFERROR(VLOOKUP($A193,'13. Mapa Títulos-Receita'!$A$8:$P$1000,12,FALSE),"")</f>
        <v/>
      </c>
      <c r="AB193" s="92">
        <f>IFERROR(VLOOKUP($A193,'13. Mapa Títulos-Receita'!$A$8:$P$1000,13,FALSE),"")</f>
        <v/>
      </c>
      <c r="AC193" s="92">
        <f>IFERROR(VLOOKUP($A193,'13. Mapa Títulos-Receita'!$A$8:$P$1000,14,FALSE),"")</f>
        <v/>
      </c>
      <c r="AD193" s="92">
        <f>IFERROR(VLOOKUP($A193,'13. Mapa Títulos-Receita'!$A$8:$P$1000,15,FALSE),"")</f>
        <v/>
      </c>
      <c r="AE193" s="92">
        <f>IFERROR(VLOOKUP($A193,'13. Mapa Títulos-Receita'!$A$8:$P$1000,16,FALSE),"")</f>
        <v/>
      </c>
    </row>
    <row r="194">
      <c r="A194" s="28">
        <f>IF(C194="","", "CR-"&amp;TEXT(ROW()-7,"000"))</f>
        <v/>
      </c>
      <c r="B194" s="28" t="n"/>
      <c r="C194" s="28" t="n"/>
      <c r="D194" s="111" t="n"/>
      <c r="E194" s="111" t="n"/>
      <c r="F194" s="111" t="n"/>
      <c r="G194" s="28" t="n"/>
      <c r="H194" s="45" t="n"/>
      <c r="I194" s="45" t="n"/>
      <c r="J194" s="28">
        <f>IF(H194="","",IF(I194&gt;=H194,"Recebido",IF($B$4&gt;E194,"Vencido","Aberto")))</f>
        <v/>
      </c>
      <c r="K194" s="4">
        <f>IF(J194="","",IF(OR(J194="Recebido",F194=""),MAX(0,F194-E194),MAX(0,$B$4-E194)))</f>
        <v/>
      </c>
      <c r="L194" s="4">
        <f>IF(K194="","",IF(K194=0,"Em dia",IF(K194&lt;=30,"1-30 dias",IF(K194&lt;=60,"31-60 dias",IF(K194&lt;=90,"61-90 dias","&gt;90 dias")))))</f>
        <v/>
      </c>
      <c r="M194" s="28" t="n"/>
      <c r="N194" s="104" t="inlineStr"/>
      <c r="O194" s="64" t="n"/>
      <c r="P194" s="64">
        <f>IF(C194="","",IF(ISNUMBER(SEARCH("PCMSO",C194)),"PCMSO",IF(OR(ISNUMBER(SEARCH("E-SOCIAL",C194)),ISNUMBER(SEARCH("PSICOSOCIAL",C194))),"eSocial / Psicossocial",IF(O194="Receita recorrente","Carteira recorrente","Projetos / Laudos / Avulsos"))))</f>
        <v/>
      </c>
      <c r="Q194" s="64">
        <f>IF(P194="","",IF(P194="Carteira recorrente","Operação recorrente",IF(P194="PCMSO","Projetos PCMSO",IF(P194="eSocial / Psicossocial","Projetos eSocial/Psicossocial","Projetos / Laudos / Avulsos"))))</f>
        <v/>
      </c>
      <c r="R194" s="64">
        <f>IF(C194="","",IF(ISNUMBER(SEARCH("PCMSO",C194)),"Título com PCMSO no nome",IF(OR(ISNUMBER(SEARCH("E-SOCIAL",C194)),ISNUMBER(SEARCH("PSICOSOCIAL",C194))),"Título com eSocial/Psicossocial no nome",IF(O194="Receita recorrente","Tipo DRE recorrente","Extra sem palavra-chave específica"))))</f>
        <v/>
      </c>
      <c r="S194" s="92">
        <f>IFERROR(VLOOKUP($A194,'13. Mapa Títulos-Receita'!$A$8:$P$1000,4,FALSE),"")</f>
        <v/>
      </c>
      <c r="T194" s="92">
        <f>IFERROR(VLOOKUP($A194,'13. Mapa Títulos-Receita'!$A$8:$P$1000,5,FALSE),"")</f>
        <v/>
      </c>
      <c r="U194" s="92">
        <f>IFERROR(VLOOKUP($A194,'13. Mapa Títulos-Receita'!$A$8:$P$1000,6,FALSE),"")</f>
        <v/>
      </c>
      <c r="V194" s="92">
        <f>IFERROR(VLOOKUP($A194,'13. Mapa Títulos-Receita'!$A$8:$P$1000,7,FALSE),"")</f>
        <v/>
      </c>
      <c r="W194" s="92">
        <f>IFERROR(VLOOKUP($A194,'13. Mapa Títulos-Receita'!$A$8:$P$1000,8,FALSE),"")</f>
        <v/>
      </c>
      <c r="X194" s="92">
        <f>IFERROR(VLOOKUP($A194,'13. Mapa Títulos-Receita'!$A$8:$P$1000,9,FALSE),"")</f>
        <v/>
      </c>
      <c r="Y194" s="92">
        <f>IFERROR(VLOOKUP($A194,'13. Mapa Títulos-Receita'!$A$8:$P$1000,10,FALSE),"")</f>
        <v/>
      </c>
      <c r="Z194" s="92">
        <f>IFERROR(VLOOKUP($A194,'13. Mapa Títulos-Receita'!$A$8:$P$1000,11,FALSE),"")</f>
        <v/>
      </c>
      <c r="AA194" s="92">
        <f>IFERROR(VLOOKUP($A194,'13. Mapa Títulos-Receita'!$A$8:$P$1000,12,FALSE),"")</f>
        <v/>
      </c>
      <c r="AB194" s="92">
        <f>IFERROR(VLOOKUP($A194,'13. Mapa Títulos-Receita'!$A$8:$P$1000,13,FALSE),"")</f>
        <v/>
      </c>
      <c r="AC194" s="92">
        <f>IFERROR(VLOOKUP($A194,'13. Mapa Títulos-Receita'!$A$8:$P$1000,14,FALSE),"")</f>
        <v/>
      </c>
      <c r="AD194" s="92">
        <f>IFERROR(VLOOKUP($A194,'13. Mapa Títulos-Receita'!$A$8:$P$1000,15,FALSE),"")</f>
        <v/>
      </c>
      <c r="AE194" s="92">
        <f>IFERROR(VLOOKUP($A194,'13. Mapa Títulos-Receita'!$A$8:$P$1000,16,FALSE),"")</f>
        <v/>
      </c>
    </row>
    <row r="195">
      <c r="A195" s="28">
        <f>IF(C195="","", "CR-"&amp;TEXT(ROW()-7,"000"))</f>
        <v/>
      </c>
      <c r="B195" s="28" t="n"/>
      <c r="C195" s="28" t="n"/>
      <c r="D195" s="111" t="n"/>
      <c r="E195" s="111" t="n"/>
      <c r="F195" s="111" t="n"/>
      <c r="G195" s="28" t="n"/>
      <c r="H195" s="45" t="n"/>
      <c r="I195" s="45" t="n"/>
      <c r="J195" s="28">
        <f>IF(H195="","",IF(I195&gt;=H195,"Recebido",IF($B$4&gt;E195,"Vencido","Aberto")))</f>
        <v/>
      </c>
      <c r="K195" s="4">
        <f>IF(J195="","",IF(OR(J195="Recebido",F195=""),MAX(0,F195-E195),MAX(0,$B$4-E195)))</f>
        <v/>
      </c>
      <c r="L195" s="4">
        <f>IF(K195="","",IF(K195=0,"Em dia",IF(K195&lt;=30,"1-30 dias",IF(K195&lt;=60,"31-60 dias",IF(K195&lt;=90,"61-90 dias","&gt;90 dias")))))</f>
        <v/>
      </c>
      <c r="M195" s="28" t="n"/>
      <c r="N195" s="104" t="inlineStr"/>
      <c r="O195" s="64" t="n"/>
      <c r="P195" s="64">
        <f>IF(C195="","",IF(ISNUMBER(SEARCH("PCMSO",C195)),"PCMSO",IF(OR(ISNUMBER(SEARCH("E-SOCIAL",C195)),ISNUMBER(SEARCH("PSICOSOCIAL",C195))),"eSocial / Psicossocial",IF(O195="Receita recorrente","Carteira recorrente","Projetos / Laudos / Avulsos"))))</f>
        <v/>
      </c>
      <c r="Q195" s="64">
        <f>IF(P195="","",IF(P195="Carteira recorrente","Operação recorrente",IF(P195="PCMSO","Projetos PCMSO",IF(P195="eSocial / Psicossocial","Projetos eSocial/Psicossocial","Projetos / Laudos / Avulsos"))))</f>
        <v/>
      </c>
      <c r="R195" s="64">
        <f>IF(C195="","",IF(ISNUMBER(SEARCH("PCMSO",C195)),"Título com PCMSO no nome",IF(OR(ISNUMBER(SEARCH("E-SOCIAL",C195)),ISNUMBER(SEARCH("PSICOSOCIAL",C195))),"Título com eSocial/Psicossocial no nome",IF(O195="Receita recorrente","Tipo DRE recorrente","Extra sem palavra-chave específica"))))</f>
        <v/>
      </c>
      <c r="S195" s="92">
        <f>IFERROR(VLOOKUP($A195,'13. Mapa Títulos-Receita'!$A$8:$P$1000,4,FALSE),"")</f>
        <v/>
      </c>
      <c r="T195" s="92">
        <f>IFERROR(VLOOKUP($A195,'13. Mapa Títulos-Receita'!$A$8:$P$1000,5,FALSE),"")</f>
        <v/>
      </c>
      <c r="U195" s="92">
        <f>IFERROR(VLOOKUP($A195,'13. Mapa Títulos-Receita'!$A$8:$P$1000,6,FALSE),"")</f>
        <v/>
      </c>
      <c r="V195" s="92">
        <f>IFERROR(VLOOKUP($A195,'13. Mapa Títulos-Receita'!$A$8:$P$1000,7,FALSE),"")</f>
        <v/>
      </c>
      <c r="W195" s="92">
        <f>IFERROR(VLOOKUP($A195,'13. Mapa Títulos-Receita'!$A$8:$P$1000,8,FALSE),"")</f>
        <v/>
      </c>
      <c r="X195" s="92">
        <f>IFERROR(VLOOKUP($A195,'13. Mapa Títulos-Receita'!$A$8:$P$1000,9,FALSE),"")</f>
        <v/>
      </c>
      <c r="Y195" s="92">
        <f>IFERROR(VLOOKUP($A195,'13. Mapa Títulos-Receita'!$A$8:$P$1000,10,FALSE),"")</f>
        <v/>
      </c>
      <c r="Z195" s="92">
        <f>IFERROR(VLOOKUP($A195,'13. Mapa Títulos-Receita'!$A$8:$P$1000,11,FALSE),"")</f>
        <v/>
      </c>
      <c r="AA195" s="92">
        <f>IFERROR(VLOOKUP($A195,'13. Mapa Títulos-Receita'!$A$8:$P$1000,12,FALSE),"")</f>
        <v/>
      </c>
      <c r="AB195" s="92">
        <f>IFERROR(VLOOKUP($A195,'13. Mapa Títulos-Receita'!$A$8:$P$1000,13,FALSE),"")</f>
        <v/>
      </c>
      <c r="AC195" s="92">
        <f>IFERROR(VLOOKUP($A195,'13. Mapa Títulos-Receita'!$A$8:$P$1000,14,FALSE),"")</f>
        <v/>
      </c>
      <c r="AD195" s="92">
        <f>IFERROR(VLOOKUP($A195,'13. Mapa Títulos-Receita'!$A$8:$P$1000,15,FALSE),"")</f>
        <v/>
      </c>
      <c r="AE195" s="92">
        <f>IFERROR(VLOOKUP($A195,'13. Mapa Títulos-Receita'!$A$8:$P$1000,16,FALSE),"")</f>
        <v/>
      </c>
    </row>
    <row r="196">
      <c r="A196" s="28">
        <f>IF(C196="","", "CR-"&amp;TEXT(ROW()-7,"000"))</f>
        <v/>
      </c>
      <c r="B196" s="28" t="n"/>
      <c r="C196" s="28" t="n"/>
      <c r="D196" s="111" t="n"/>
      <c r="E196" s="111" t="n"/>
      <c r="F196" s="111" t="n"/>
      <c r="G196" s="28" t="n"/>
      <c r="H196" s="45" t="n"/>
      <c r="I196" s="45" t="n"/>
      <c r="J196" s="28">
        <f>IF(H196="","",IF(I196&gt;=H196,"Recebido",IF($B$4&gt;E196,"Vencido","Aberto")))</f>
        <v/>
      </c>
      <c r="K196" s="4">
        <f>IF(J196="","",IF(OR(J196="Recebido",F196=""),MAX(0,F196-E196),MAX(0,$B$4-E196)))</f>
        <v/>
      </c>
      <c r="L196" s="4">
        <f>IF(K196="","",IF(K196=0,"Em dia",IF(K196&lt;=30,"1-30 dias",IF(K196&lt;=60,"31-60 dias",IF(K196&lt;=90,"61-90 dias","&gt;90 dias")))))</f>
        <v/>
      </c>
      <c r="M196" s="28" t="n"/>
      <c r="N196" s="104" t="inlineStr"/>
      <c r="O196" s="64" t="n"/>
      <c r="P196" s="64">
        <f>IF(C196="","",IF(ISNUMBER(SEARCH("PCMSO",C196)),"PCMSO",IF(OR(ISNUMBER(SEARCH("E-SOCIAL",C196)),ISNUMBER(SEARCH("PSICOSOCIAL",C196))),"eSocial / Psicossocial",IF(O196="Receita recorrente","Carteira recorrente","Projetos / Laudos / Avulsos"))))</f>
        <v/>
      </c>
      <c r="Q196" s="64">
        <f>IF(P196="","",IF(P196="Carteira recorrente","Operação recorrente",IF(P196="PCMSO","Projetos PCMSO",IF(P196="eSocial / Psicossocial","Projetos eSocial/Psicossocial","Projetos / Laudos / Avulsos"))))</f>
        <v/>
      </c>
      <c r="R196" s="64">
        <f>IF(C196="","",IF(ISNUMBER(SEARCH("PCMSO",C196)),"Título com PCMSO no nome",IF(OR(ISNUMBER(SEARCH("E-SOCIAL",C196)),ISNUMBER(SEARCH("PSICOSOCIAL",C196))),"Título com eSocial/Psicossocial no nome",IF(O196="Receita recorrente","Tipo DRE recorrente","Extra sem palavra-chave específica"))))</f>
        <v/>
      </c>
      <c r="S196" s="92">
        <f>IFERROR(VLOOKUP($A196,'13. Mapa Títulos-Receita'!$A$8:$P$1000,4,FALSE),"")</f>
        <v/>
      </c>
      <c r="T196" s="92">
        <f>IFERROR(VLOOKUP($A196,'13. Mapa Títulos-Receita'!$A$8:$P$1000,5,FALSE),"")</f>
        <v/>
      </c>
      <c r="U196" s="92">
        <f>IFERROR(VLOOKUP($A196,'13. Mapa Títulos-Receita'!$A$8:$P$1000,6,FALSE),"")</f>
        <v/>
      </c>
      <c r="V196" s="92">
        <f>IFERROR(VLOOKUP($A196,'13. Mapa Títulos-Receita'!$A$8:$P$1000,7,FALSE),"")</f>
        <v/>
      </c>
      <c r="W196" s="92">
        <f>IFERROR(VLOOKUP($A196,'13. Mapa Títulos-Receita'!$A$8:$P$1000,8,FALSE),"")</f>
        <v/>
      </c>
      <c r="X196" s="92">
        <f>IFERROR(VLOOKUP($A196,'13. Mapa Títulos-Receita'!$A$8:$P$1000,9,FALSE),"")</f>
        <v/>
      </c>
      <c r="Y196" s="92">
        <f>IFERROR(VLOOKUP($A196,'13. Mapa Títulos-Receita'!$A$8:$P$1000,10,FALSE),"")</f>
        <v/>
      </c>
      <c r="Z196" s="92">
        <f>IFERROR(VLOOKUP($A196,'13. Mapa Títulos-Receita'!$A$8:$P$1000,11,FALSE),"")</f>
        <v/>
      </c>
      <c r="AA196" s="92">
        <f>IFERROR(VLOOKUP($A196,'13. Mapa Títulos-Receita'!$A$8:$P$1000,12,FALSE),"")</f>
        <v/>
      </c>
      <c r="AB196" s="92">
        <f>IFERROR(VLOOKUP($A196,'13. Mapa Títulos-Receita'!$A$8:$P$1000,13,FALSE),"")</f>
        <v/>
      </c>
      <c r="AC196" s="92">
        <f>IFERROR(VLOOKUP($A196,'13. Mapa Títulos-Receita'!$A$8:$P$1000,14,FALSE),"")</f>
        <v/>
      </c>
      <c r="AD196" s="92">
        <f>IFERROR(VLOOKUP($A196,'13. Mapa Títulos-Receita'!$A$8:$P$1000,15,FALSE),"")</f>
        <v/>
      </c>
      <c r="AE196" s="92">
        <f>IFERROR(VLOOKUP($A196,'13. Mapa Títulos-Receita'!$A$8:$P$1000,16,FALSE),"")</f>
        <v/>
      </c>
    </row>
    <row r="197">
      <c r="A197" s="28">
        <f>IF(C197="","", "CR-"&amp;TEXT(ROW()-7,"000"))</f>
        <v/>
      </c>
      <c r="B197" s="28" t="n"/>
      <c r="C197" s="28" t="n"/>
      <c r="D197" s="111" t="n"/>
      <c r="E197" s="111" t="n"/>
      <c r="F197" s="111" t="n"/>
      <c r="G197" s="28" t="n"/>
      <c r="H197" s="45" t="n"/>
      <c r="I197" s="45" t="n"/>
      <c r="J197" s="28">
        <f>IF(H197="","",IF(I197&gt;=H197,"Recebido",IF($B$4&gt;E197,"Vencido","Aberto")))</f>
        <v/>
      </c>
      <c r="K197" s="4">
        <f>IF(J197="","",IF(OR(J197="Recebido",F197=""),MAX(0,F197-E197),MAX(0,$B$4-E197)))</f>
        <v/>
      </c>
      <c r="L197" s="4">
        <f>IF(K197="","",IF(K197=0,"Em dia",IF(K197&lt;=30,"1-30 dias",IF(K197&lt;=60,"31-60 dias",IF(K197&lt;=90,"61-90 dias","&gt;90 dias")))))</f>
        <v/>
      </c>
      <c r="M197" s="28" t="n"/>
      <c r="N197" s="104" t="inlineStr"/>
      <c r="O197" s="64" t="n"/>
      <c r="P197" s="64">
        <f>IF(C197="","",IF(ISNUMBER(SEARCH("PCMSO",C197)),"PCMSO",IF(OR(ISNUMBER(SEARCH("E-SOCIAL",C197)),ISNUMBER(SEARCH("PSICOSOCIAL",C197))),"eSocial / Psicossocial",IF(O197="Receita recorrente","Carteira recorrente","Projetos / Laudos / Avulsos"))))</f>
        <v/>
      </c>
      <c r="Q197" s="64">
        <f>IF(P197="","",IF(P197="Carteira recorrente","Operação recorrente",IF(P197="PCMSO","Projetos PCMSO",IF(P197="eSocial / Psicossocial","Projetos eSocial/Psicossocial","Projetos / Laudos / Avulsos"))))</f>
        <v/>
      </c>
      <c r="R197" s="64">
        <f>IF(C197="","",IF(ISNUMBER(SEARCH("PCMSO",C197)),"Título com PCMSO no nome",IF(OR(ISNUMBER(SEARCH("E-SOCIAL",C197)),ISNUMBER(SEARCH("PSICOSOCIAL",C197))),"Título com eSocial/Psicossocial no nome",IF(O197="Receita recorrente","Tipo DRE recorrente","Extra sem palavra-chave específica"))))</f>
        <v/>
      </c>
      <c r="S197" s="92">
        <f>IFERROR(VLOOKUP($A197,'13. Mapa Títulos-Receita'!$A$8:$P$1000,4,FALSE),"")</f>
        <v/>
      </c>
      <c r="T197" s="92">
        <f>IFERROR(VLOOKUP($A197,'13. Mapa Títulos-Receita'!$A$8:$P$1000,5,FALSE),"")</f>
        <v/>
      </c>
      <c r="U197" s="92">
        <f>IFERROR(VLOOKUP($A197,'13. Mapa Títulos-Receita'!$A$8:$P$1000,6,FALSE),"")</f>
        <v/>
      </c>
      <c r="V197" s="92">
        <f>IFERROR(VLOOKUP($A197,'13. Mapa Títulos-Receita'!$A$8:$P$1000,7,FALSE),"")</f>
        <v/>
      </c>
      <c r="W197" s="92">
        <f>IFERROR(VLOOKUP($A197,'13. Mapa Títulos-Receita'!$A$8:$P$1000,8,FALSE),"")</f>
        <v/>
      </c>
      <c r="X197" s="92">
        <f>IFERROR(VLOOKUP($A197,'13. Mapa Títulos-Receita'!$A$8:$P$1000,9,FALSE),"")</f>
        <v/>
      </c>
      <c r="Y197" s="92">
        <f>IFERROR(VLOOKUP($A197,'13. Mapa Títulos-Receita'!$A$8:$P$1000,10,FALSE),"")</f>
        <v/>
      </c>
      <c r="Z197" s="92">
        <f>IFERROR(VLOOKUP($A197,'13. Mapa Títulos-Receita'!$A$8:$P$1000,11,FALSE),"")</f>
        <v/>
      </c>
      <c r="AA197" s="92">
        <f>IFERROR(VLOOKUP($A197,'13. Mapa Títulos-Receita'!$A$8:$P$1000,12,FALSE),"")</f>
        <v/>
      </c>
      <c r="AB197" s="92">
        <f>IFERROR(VLOOKUP($A197,'13. Mapa Títulos-Receita'!$A$8:$P$1000,13,FALSE),"")</f>
        <v/>
      </c>
      <c r="AC197" s="92">
        <f>IFERROR(VLOOKUP($A197,'13. Mapa Títulos-Receita'!$A$8:$P$1000,14,FALSE),"")</f>
        <v/>
      </c>
      <c r="AD197" s="92">
        <f>IFERROR(VLOOKUP($A197,'13. Mapa Títulos-Receita'!$A$8:$P$1000,15,FALSE),"")</f>
        <v/>
      </c>
      <c r="AE197" s="92">
        <f>IFERROR(VLOOKUP($A197,'13. Mapa Títulos-Receita'!$A$8:$P$1000,16,FALSE),"")</f>
        <v/>
      </c>
    </row>
    <row r="198">
      <c r="A198" s="28">
        <f>IF(C198="","", "CR-"&amp;TEXT(ROW()-7,"000"))</f>
        <v/>
      </c>
      <c r="B198" s="28" t="n"/>
      <c r="C198" s="28" t="n"/>
      <c r="D198" s="111" t="n"/>
      <c r="E198" s="111" t="n"/>
      <c r="F198" s="111" t="n"/>
      <c r="G198" s="28" t="n"/>
      <c r="H198" s="45" t="n"/>
      <c r="I198" s="45" t="n"/>
      <c r="J198" s="28">
        <f>IF(H198="","",IF(I198&gt;=H198,"Recebido",IF($B$4&gt;E198,"Vencido","Aberto")))</f>
        <v/>
      </c>
      <c r="K198" s="4">
        <f>IF(J198="","",IF(OR(J198="Recebido",F198=""),MAX(0,F198-E198),MAX(0,$B$4-E198)))</f>
        <v/>
      </c>
      <c r="L198" s="4">
        <f>IF(K198="","",IF(K198=0,"Em dia",IF(K198&lt;=30,"1-30 dias",IF(K198&lt;=60,"31-60 dias",IF(K198&lt;=90,"61-90 dias","&gt;90 dias")))))</f>
        <v/>
      </c>
      <c r="M198" s="28" t="n"/>
      <c r="N198" s="104" t="inlineStr"/>
      <c r="O198" s="64" t="n"/>
      <c r="P198" s="64">
        <f>IF(C198="","",IF(ISNUMBER(SEARCH("PCMSO",C198)),"PCMSO",IF(OR(ISNUMBER(SEARCH("E-SOCIAL",C198)),ISNUMBER(SEARCH("PSICOSOCIAL",C198))),"eSocial / Psicossocial",IF(O198="Receita recorrente","Carteira recorrente","Projetos / Laudos / Avulsos"))))</f>
        <v/>
      </c>
      <c r="Q198" s="64">
        <f>IF(P198="","",IF(P198="Carteira recorrente","Operação recorrente",IF(P198="PCMSO","Projetos PCMSO",IF(P198="eSocial / Psicossocial","Projetos eSocial/Psicossocial","Projetos / Laudos / Avulsos"))))</f>
        <v/>
      </c>
      <c r="R198" s="64">
        <f>IF(C198="","",IF(ISNUMBER(SEARCH("PCMSO",C198)),"Título com PCMSO no nome",IF(OR(ISNUMBER(SEARCH("E-SOCIAL",C198)),ISNUMBER(SEARCH("PSICOSOCIAL",C198))),"Título com eSocial/Psicossocial no nome",IF(O198="Receita recorrente","Tipo DRE recorrente","Extra sem palavra-chave específica"))))</f>
        <v/>
      </c>
      <c r="S198" s="92">
        <f>IFERROR(VLOOKUP($A198,'13. Mapa Títulos-Receita'!$A$8:$P$1000,4,FALSE),"")</f>
        <v/>
      </c>
      <c r="T198" s="92">
        <f>IFERROR(VLOOKUP($A198,'13. Mapa Títulos-Receita'!$A$8:$P$1000,5,FALSE),"")</f>
        <v/>
      </c>
      <c r="U198" s="92">
        <f>IFERROR(VLOOKUP($A198,'13. Mapa Títulos-Receita'!$A$8:$P$1000,6,FALSE),"")</f>
        <v/>
      </c>
      <c r="V198" s="92">
        <f>IFERROR(VLOOKUP($A198,'13. Mapa Títulos-Receita'!$A$8:$P$1000,7,FALSE),"")</f>
        <v/>
      </c>
      <c r="W198" s="92">
        <f>IFERROR(VLOOKUP($A198,'13. Mapa Títulos-Receita'!$A$8:$P$1000,8,FALSE),"")</f>
        <v/>
      </c>
      <c r="X198" s="92">
        <f>IFERROR(VLOOKUP($A198,'13. Mapa Títulos-Receita'!$A$8:$P$1000,9,FALSE),"")</f>
        <v/>
      </c>
      <c r="Y198" s="92">
        <f>IFERROR(VLOOKUP($A198,'13. Mapa Títulos-Receita'!$A$8:$P$1000,10,FALSE),"")</f>
        <v/>
      </c>
      <c r="Z198" s="92">
        <f>IFERROR(VLOOKUP($A198,'13. Mapa Títulos-Receita'!$A$8:$P$1000,11,FALSE),"")</f>
        <v/>
      </c>
      <c r="AA198" s="92">
        <f>IFERROR(VLOOKUP($A198,'13. Mapa Títulos-Receita'!$A$8:$P$1000,12,FALSE),"")</f>
        <v/>
      </c>
      <c r="AB198" s="92">
        <f>IFERROR(VLOOKUP($A198,'13. Mapa Títulos-Receita'!$A$8:$P$1000,13,FALSE),"")</f>
        <v/>
      </c>
      <c r="AC198" s="92">
        <f>IFERROR(VLOOKUP($A198,'13. Mapa Títulos-Receita'!$A$8:$P$1000,14,FALSE),"")</f>
        <v/>
      </c>
      <c r="AD198" s="92">
        <f>IFERROR(VLOOKUP($A198,'13. Mapa Títulos-Receita'!$A$8:$P$1000,15,FALSE),"")</f>
        <v/>
      </c>
      <c r="AE198" s="92">
        <f>IFERROR(VLOOKUP($A198,'13. Mapa Títulos-Receita'!$A$8:$P$1000,16,FALSE),"")</f>
        <v/>
      </c>
    </row>
    <row r="199">
      <c r="A199" s="28">
        <f>IF(C199="","", "CR-"&amp;TEXT(ROW()-7,"000"))</f>
        <v/>
      </c>
      <c r="B199" s="28" t="n"/>
      <c r="C199" s="28" t="n"/>
      <c r="D199" s="111" t="n"/>
      <c r="E199" s="111" t="n"/>
      <c r="F199" s="111" t="n"/>
      <c r="G199" s="28" t="n"/>
      <c r="H199" s="45" t="n"/>
      <c r="I199" s="45" t="n"/>
      <c r="J199" s="28">
        <f>IF(H199="","",IF(I199&gt;=H199,"Recebido",IF($B$4&gt;E199,"Vencido","Aberto")))</f>
        <v/>
      </c>
      <c r="K199" s="4">
        <f>IF(J199="","",IF(OR(J199="Recebido",F199=""),MAX(0,F199-E199),MAX(0,$B$4-E199)))</f>
        <v/>
      </c>
      <c r="L199" s="4">
        <f>IF(K199="","",IF(K199=0,"Em dia",IF(K199&lt;=30,"1-30 dias",IF(K199&lt;=60,"31-60 dias",IF(K199&lt;=90,"61-90 dias","&gt;90 dias")))))</f>
        <v/>
      </c>
      <c r="M199" s="28" t="n"/>
      <c r="N199" s="104" t="inlineStr"/>
      <c r="O199" s="64" t="n"/>
      <c r="P199" s="64">
        <f>IF(C199="","",IF(ISNUMBER(SEARCH("PCMSO",C199)),"PCMSO",IF(OR(ISNUMBER(SEARCH("E-SOCIAL",C199)),ISNUMBER(SEARCH("PSICOSOCIAL",C199))),"eSocial / Psicossocial",IF(O199="Receita recorrente","Carteira recorrente","Projetos / Laudos / Avulsos"))))</f>
        <v/>
      </c>
      <c r="Q199" s="64">
        <f>IF(P199="","",IF(P199="Carteira recorrente","Operação recorrente",IF(P199="PCMSO","Projetos PCMSO",IF(P199="eSocial / Psicossocial","Projetos eSocial/Psicossocial","Projetos / Laudos / Avulsos"))))</f>
        <v/>
      </c>
      <c r="R199" s="64">
        <f>IF(C199="","",IF(ISNUMBER(SEARCH("PCMSO",C199)),"Título com PCMSO no nome",IF(OR(ISNUMBER(SEARCH("E-SOCIAL",C199)),ISNUMBER(SEARCH("PSICOSOCIAL",C199))),"Título com eSocial/Psicossocial no nome",IF(O199="Receita recorrente","Tipo DRE recorrente","Extra sem palavra-chave específica"))))</f>
        <v/>
      </c>
      <c r="S199" s="92">
        <f>IFERROR(VLOOKUP($A199,'13. Mapa Títulos-Receita'!$A$8:$P$1000,4,FALSE),"")</f>
        <v/>
      </c>
      <c r="T199" s="92">
        <f>IFERROR(VLOOKUP($A199,'13. Mapa Títulos-Receita'!$A$8:$P$1000,5,FALSE),"")</f>
        <v/>
      </c>
      <c r="U199" s="92">
        <f>IFERROR(VLOOKUP($A199,'13. Mapa Títulos-Receita'!$A$8:$P$1000,6,FALSE),"")</f>
        <v/>
      </c>
      <c r="V199" s="92">
        <f>IFERROR(VLOOKUP($A199,'13. Mapa Títulos-Receita'!$A$8:$P$1000,7,FALSE),"")</f>
        <v/>
      </c>
      <c r="W199" s="92">
        <f>IFERROR(VLOOKUP($A199,'13. Mapa Títulos-Receita'!$A$8:$P$1000,8,FALSE),"")</f>
        <v/>
      </c>
      <c r="X199" s="92">
        <f>IFERROR(VLOOKUP($A199,'13. Mapa Títulos-Receita'!$A$8:$P$1000,9,FALSE),"")</f>
        <v/>
      </c>
      <c r="Y199" s="92">
        <f>IFERROR(VLOOKUP($A199,'13. Mapa Títulos-Receita'!$A$8:$P$1000,10,FALSE),"")</f>
        <v/>
      </c>
      <c r="Z199" s="92">
        <f>IFERROR(VLOOKUP($A199,'13. Mapa Títulos-Receita'!$A$8:$P$1000,11,FALSE),"")</f>
        <v/>
      </c>
      <c r="AA199" s="92">
        <f>IFERROR(VLOOKUP($A199,'13. Mapa Títulos-Receita'!$A$8:$P$1000,12,FALSE),"")</f>
        <v/>
      </c>
      <c r="AB199" s="92">
        <f>IFERROR(VLOOKUP($A199,'13. Mapa Títulos-Receita'!$A$8:$P$1000,13,FALSE),"")</f>
        <v/>
      </c>
      <c r="AC199" s="92">
        <f>IFERROR(VLOOKUP($A199,'13. Mapa Títulos-Receita'!$A$8:$P$1000,14,FALSE),"")</f>
        <v/>
      </c>
      <c r="AD199" s="92">
        <f>IFERROR(VLOOKUP($A199,'13. Mapa Títulos-Receita'!$A$8:$P$1000,15,FALSE),"")</f>
        <v/>
      </c>
      <c r="AE199" s="92">
        <f>IFERROR(VLOOKUP($A199,'13. Mapa Títulos-Receita'!$A$8:$P$1000,16,FALSE),"")</f>
        <v/>
      </c>
    </row>
    <row r="200">
      <c r="A200" s="28">
        <f>IF(C200="","", "CR-"&amp;TEXT(ROW()-7,"000"))</f>
        <v/>
      </c>
      <c r="B200" s="28" t="n"/>
      <c r="C200" s="28" t="n"/>
      <c r="D200" s="111" t="n"/>
      <c r="E200" s="111" t="n"/>
      <c r="F200" s="111" t="n"/>
      <c r="G200" s="28" t="n"/>
      <c r="H200" s="45" t="n"/>
      <c r="I200" s="45" t="n"/>
      <c r="J200" s="28">
        <f>IF(H200="","",IF(I200&gt;=H200,"Recebido",IF($B$4&gt;E200,"Vencido","Aberto")))</f>
        <v/>
      </c>
      <c r="K200" s="4">
        <f>IF(J200="","",IF(OR(J200="Recebido",F200=""),MAX(0,F200-E200),MAX(0,$B$4-E200)))</f>
        <v/>
      </c>
      <c r="L200" s="4">
        <f>IF(K200="","",IF(K200=0,"Em dia",IF(K200&lt;=30,"1-30 dias",IF(K200&lt;=60,"31-60 dias",IF(K200&lt;=90,"61-90 dias","&gt;90 dias")))))</f>
        <v/>
      </c>
      <c r="M200" s="28" t="n"/>
      <c r="N200" s="104" t="inlineStr"/>
      <c r="O200" s="64" t="n"/>
      <c r="P200" s="64">
        <f>IF(C200="","",IF(ISNUMBER(SEARCH("PCMSO",C200)),"PCMSO",IF(OR(ISNUMBER(SEARCH("E-SOCIAL",C200)),ISNUMBER(SEARCH("PSICOSOCIAL",C200))),"eSocial / Psicossocial",IF(O200="Receita recorrente","Carteira recorrente","Projetos / Laudos / Avulsos"))))</f>
        <v/>
      </c>
      <c r="Q200" s="64">
        <f>IF(P200="","",IF(P200="Carteira recorrente","Operação recorrente",IF(P200="PCMSO","Projetos PCMSO",IF(P200="eSocial / Psicossocial","Projetos eSocial/Psicossocial","Projetos / Laudos / Avulsos"))))</f>
        <v/>
      </c>
      <c r="R200" s="64">
        <f>IF(C200="","",IF(ISNUMBER(SEARCH("PCMSO",C200)),"Título com PCMSO no nome",IF(OR(ISNUMBER(SEARCH("E-SOCIAL",C200)),ISNUMBER(SEARCH("PSICOSOCIAL",C200))),"Título com eSocial/Psicossocial no nome",IF(O200="Receita recorrente","Tipo DRE recorrente","Extra sem palavra-chave específica"))))</f>
        <v/>
      </c>
      <c r="S200" s="92">
        <f>IFERROR(VLOOKUP($A200,'13. Mapa Títulos-Receita'!$A$8:$P$1000,4,FALSE),"")</f>
        <v/>
      </c>
      <c r="T200" s="92">
        <f>IFERROR(VLOOKUP($A200,'13. Mapa Títulos-Receita'!$A$8:$P$1000,5,FALSE),"")</f>
        <v/>
      </c>
      <c r="U200" s="92">
        <f>IFERROR(VLOOKUP($A200,'13. Mapa Títulos-Receita'!$A$8:$P$1000,6,FALSE),"")</f>
        <v/>
      </c>
      <c r="V200" s="92">
        <f>IFERROR(VLOOKUP($A200,'13. Mapa Títulos-Receita'!$A$8:$P$1000,7,FALSE),"")</f>
        <v/>
      </c>
      <c r="W200" s="92">
        <f>IFERROR(VLOOKUP($A200,'13. Mapa Títulos-Receita'!$A$8:$P$1000,8,FALSE),"")</f>
        <v/>
      </c>
      <c r="X200" s="92">
        <f>IFERROR(VLOOKUP($A200,'13. Mapa Títulos-Receita'!$A$8:$P$1000,9,FALSE),"")</f>
        <v/>
      </c>
      <c r="Y200" s="92">
        <f>IFERROR(VLOOKUP($A200,'13. Mapa Títulos-Receita'!$A$8:$P$1000,10,FALSE),"")</f>
        <v/>
      </c>
      <c r="Z200" s="92">
        <f>IFERROR(VLOOKUP($A200,'13. Mapa Títulos-Receita'!$A$8:$P$1000,11,FALSE),"")</f>
        <v/>
      </c>
      <c r="AA200" s="92">
        <f>IFERROR(VLOOKUP($A200,'13. Mapa Títulos-Receita'!$A$8:$P$1000,12,FALSE),"")</f>
        <v/>
      </c>
      <c r="AB200" s="92">
        <f>IFERROR(VLOOKUP($A200,'13. Mapa Títulos-Receita'!$A$8:$P$1000,13,FALSE),"")</f>
        <v/>
      </c>
      <c r="AC200" s="92">
        <f>IFERROR(VLOOKUP($A200,'13. Mapa Títulos-Receita'!$A$8:$P$1000,14,FALSE),"")</f>
        <v/>
      </c>
      <c r="AD200" s="92">
        <f>IFERROR(VLOOKUP($A200,'13. Mapa Títulos-Receita'!$A$8:$P$1000,15,FALSE),"")</f>
        <v/>
      </c>
      <c r="AE200" s="92">
        <f>IFERROR(VLOOKUP($A200,'13. Mapa Títulos-Receita'!$A$8:$P$1000,16,FALSE),"")</f>
        <v/>
      </c>
    </row>
    <row r="201">
      <c r="A201" s="28">
        <f>IF(C201="","", "CR-"&amp;TEXT(ROW()-7,"000"))</f>
        <v/>
      </c>
      <c r="B201" s="28" t="n"/>
      <c r="C201" s="28" t="n"/>
      <c r="D201" s="111" t="n"/>
      <c r="E201" s="111" t="n"/>
      <c r="F201" s="111" t="n"/>
      <c r="G201" s="28" t="n"/>
      <c r="H201" s="45" t="n"/>
      <c r="I201" s="45" t="n"/>
      <c r="J201" s="28">
        <f>IF(H201="","",IF(I201&gt;=H201,"Recebido",IF($B$4&gt;E201,"Vencido","Aberto")))</f>
        <v/>
      </c>
      <c r="K201" s="4">
        <f>IF(J201="","",IF(OR(J201="Recebido",F201=""),MAX(0,F201-E201),MAX(0,$B$4-E201)))</f>
        <v/>
      </c>
      <c r="L201" s="4">
        <f>IF(K201="","",IF(K201=0,"Em dia",IF(K201&lt;=30,"1-30 dias",IF(K201&lt;=60,"31-60 dias",IF(K201&lt;=90,"61-90 dias","&gt;90 dias")))))</f>
        <v/>
      </c>
      <c r="M201" s="28" t="n"/>
      <c r="N201" s="104" t="inlineStr"/>
      <c r="O201" s="64" t="n"/>
      <c r="P201" s="64">
        <f>IF(C201="","",IF(ISNUMBER(SEARCH("PCMSO",C201)),"PCMSO",IF(OR(ISNUMBER(SEARCH("E-SOCIAL",C201)),ISNUMBER(SEARCH("PSICOSOCIAL",C201))),"eSocial / Psicossocial",IF(O201="Receita recorrente","Carteira recorrente","Projetos / Laudos / Avulsos"))))</f>
        <v/>
      </c>
      <c r="Q201" s="64">
        <f>IF(P201="","",IF(P201="Carteira recorrente","Operação recorrente",IF(P201="PCMSO","Projetos PCMSO",IF(P201="eSocial / Psicossocial","Projetos eSocial/Psicossocial","Projetos / Laudos / Avulsos"))))</f>
        <v/>
      </c>
      <c r="R201" s="64">
        <f>IF(C201="","",IF(ISNUMBER(SEARCH("PCMSO",C201)),"Título com PCMSO no nome",IF(OR(ISNUMBER(SEARCH("E-SOCIAL",C201)),ISNUMBER(SEARCH("PSICOSOCIAL",C201))),"Título com eSocial/Psicossocial no nome",IF(O201="Receita recorrente","Tipo DRE recorrente","Extra sem palavra-chave específica"))))</f>
        <v/>
      </c>
      <c r="S201" s="92">
        <f>IFERROR(VLOOKUP($A201,'13. Mapa Títulos-Receita'!$A$8:$P$1000,4,FALSE),"")</f>
        <v/>
      </c>
      <c r="T201" s="92">
        <f>IFERROR(VLOOKUP($A201,'13. Mapa Títulos-Receita'!$A$8:$P$1000,5,FALSE),"")</f>
        <v/>
      </c>
      <c r="U201" s="92">
        <f>IFERROR(VLOOKUP($A201,'13. Mapa Títulos-Receita'!$A$8:$P$1000,6,FALSE),"")</f>
        <v/>
      </c>
      <c r="V201" s="92">
        <f>IFERROR(VLOOKUP($A201,'13. Mapa Títulos-Receita'!$A$8:$P$1000,7,FALSE),"")</f>
        <v/>
      </c>
      <c r="W201" s="92">
        <f>IFERROR(VLOOKUP($A201,'13. Mapa Títulos-Receita'!$A$8:$P$1000,8,FALSE),"")</f>
        <v/>
      </c>
      <c r="X201" s="92">
        <f>IFERROR(VLOOKUP($A201,'13. Mapa Títulos-Receita'!$A$8:$P$1000,9,FALSE),"")</f>
        <v/>
      </c>
      <c r="Y201" s="92">
        <f>IFERROR(VLOOKUP($A201,'13. Mapa Títulos-Receita'!$A$8:$P$1000,10,FALSE),"")</f>
        <v/>
      </c>
      <c r="Z201" s="92">
        <f>IFERROR(VLOOKUP($A201,'13. Mapa Títulos-Receita'!$A$8:$P$1000,11,FALSE),"")</f>
        <v/>
      </c>
      <c r="AA201" s="92">
        <f>IFERROR(VLOOKUP($A201,'13. Mapa Títulos-Receita'!$A$8:$P$1000,12,FALSE),"")</f>
        <v/>
      </c>
      <c r="AB201" s="92">
        <f>IFERROR(VLOOKUP($A201,'13. Mapa Títulos-Receita'!$A$8:$P$1000,13,FALSE),"")</f>
        <v/>
      </c>
      <c r="AC201" s="92">
        <f>IFERROR(VLOOKUP($A201,'13. Mapa Títulos-Receita'!$A$8:$P$1000,14,FALSE),"")</f>
        <v/>
      </c>
      <c r="AD201" s="92">
        <f>IFERROR(VLOOKUP($A201,'13. Mapa Títulos-Receita'!$A$8:$P$1000,15,FALSE),"")</f>
        <v/>
      </c>
      <c r="AE201" s="92">
        <f>IFERROR(VLOOKUP($A201,'13. Mapa Títulos-Receita'!$A$8:$P$1000,16,FALSE),"")</f>
        <v/>
      </c>
    </row>
    <row r="202">
      <c r="A202" s="28">
        <f>IF(C202="","", "CR-"&amp;TEXT(ROW()-7,"000"))</f>
        <v/>
      </c>
      <c r="B202" s="28" t="n"/>
      <c r="C202" s="28" t="n"/>
      <c r="D202" s="111" t="n"/>
      <c r="E202" s="111" t="n"/>
      <c r="F202" s="111" t="n"/>
      <c r="G202" s="28" t="n"/>
      <c r="H202" s="45" t="n"/>
      <c r="I202" s="45" t="n"/>
      <c r="J202" s="28">
        <f>IF(H202="","",IF(I202&gt;=H202,"Recebido",IF($B$4&gt;E202,"Vencido","Aberto")))</f>
        <v/>
      </c>
      <c r="K202" s="4">
        <f>IF(J202="","",IF(OR(J202="Recebido",F202=""),MAX(0,F202-E202),MAX(0,$B$4-E202)))</f>
        <v/>
      </c>
      <c r="L202" s="4">
        <f>IF(K202="","",IF(K202=0,"Em dia",IF(K202&lt;=30,"1-30 dias",IF(K202&lt;=60,"31-60 dias",IF(K202&lt;=90,"61-90 dias","&gt;90 dias")))))</f>
        <v/>
      </c>
      <c r="M202" s="28" t="n"/>
      <c r="N202" s="104" t="inlineStr"/>
      <c r="O202" s="64" t="n"/>
      <c r="P202" s="64">
        <f>IF(C202="","",IF(ISNUMBER(SEARCH("PCMSO",C202)),"PCMSO",IF(OR(ISNUMBER(SEARCH("E-SOCIAL",C202)),ISNUMBER(SEARCH("PSICOSOCIAL",C202))),"eSocial / Psicossocial",IF(O202="Receita recorrente","Carteira recorrente","Projetos / Laudos / Avulsos"))))</f>
        <v/>
      </c>
      <c r="Q202" s="64">
        <f>IF(P202="","",IF(P202="Carteira recorrente","Operação recorrente",IF(P202="PCMSO","Projetos PCMSO",IF(P202="eSocial / Psicossocial","Projetos eSocial/Psicossocial","Projetos / Laudos / Avulsos"))))</f>
        <v/>
      </c>
      <c r="R202" s="64">
        <f>IF(C202="","",IF(ISNUMBER(SEARCH("PCMSO",C202)),"Título com PCMSO no nome",IF(OR(ISNUMBER(SEARCH("E-SOCIAL",C202)),ISNUMBER(SEARCH("PSICOSOCIAL",C202))),"Título com eSocial/Psicossocial no nome",IF(O202="Receita recorrente","Tipo DRE recorrente","Extra sem palavra-chave específica"))))</f>
        <v/>
      </c>
      <c r="S202" s="92">
        <f>IFERROR(VLOOKUP($A202,'13. Mapa Títulos-Receita'!$A$8:$P$1000,4,FALSE),"")</f>
        <v/>
      </c>
      <c r="T202" s="92">
        <f>IFERROR(VLOOKUP($A202,'13. Mapa Títulos-Receita'!$A$8:$P$1000,5,FALSE),"")</f>
        <v/>
      </c>
      <c r="U202" s="92">
        <f>IFERROR(VLOOKUP($A202,'13. Mapa Títulos-Receita'!$A$8:$P$1000,6,FALSE),"")</f>
        <v/>
      </c>
      <c r="V202" s="92">
        <f>IFERROR(VLOOKUP($A202,'13. Mapa Títulos-Receita'!$A$8:$P$1000,7,FALSE),"")</f>
        <v/>
      </c>
      <c r="W202" s="92">
        <f>IFERROR(VLOOKUP($A202,'13. Mapa Títulos-Receita'!$A$8:$P$1000,8,FALSE),"")</f>
        <v/>
      </c>
      <c r="X202" s="92">
        <f>IFERROR(VLOOKUP($A202,'13. Mapa Títulos-Receita'!$A$8:$P$1000,9,FALSE),"")</f>
        <v/>
      </c>
      <c r="Y202" s="92">
        <f>IFERROR(VLOOKUP($A202,'13. Mapa Títulos-Receita'!$A$8:$P$1000,10,FALSE),"")</f>
        <v/>
      </c>
      <c r="Z202" s="92">
        <f>IFERROR(VLOOKUP($A202,'13. Mapa Títulos-Receita'!$A$8:$P$1000,11,FALSE),"")</f>
        <v/>
      </c>
      <c r="AA202" s="92">
        <f>IFERROR(VLOOKUP($A202,'13. Mapa Títulos-Receita'!$A$8:$P$1000,12,FALSE),"")</f>
        <v/>
      </c>
      <c r="AB202" s="92">
        <f>IFERROR(VLOOKUP($A202,'13. Mapa Títulos-Receita'!$A$8:$P$1000,13,FALSE),"")</f>
        <v/>
      </c>
      <c r="AC202" s="92">
        <f>IFERROR(VLOOKUP($A202,'13. Mapa Títulos-Receita'!$A$8:$P$1000,14,FALSE),"")</f>
        <v/>
      </c>
      <c r="AD202" s="92">
        <f>IFERROR(VLOOKUP($A202,'13. Mapa Títulos-Receita'!$A$8:$P$1000,15,FALSE),"")</f>
        <v/>
      </c>
      <c r="AE202" s="92">
        <f>IFERROR(VLOOKUP($A202,'13. Mapa Títulos-Receita'!$A$8:$P$1000,16,FALSE),"")</f>
        <v/>
      </c>
    </row>
    <row r="203">
      <c r="A203" s="28">
        <f>IF(C203="","", "CR-"&amp;TEXT(ROW()-7,"000"))</f>
        <v/>
      </c>
      <c r="B203" s="28" t="n"/>
      <c r="C203" s="28" t="n"/>
      <c r="D203" s="111" t="n"/>
      <c r="E203" s="111" t="n"/>
      <c r="F203" s="111" t="n"/>
      <c r="G203" s="28" t="n"/>
      <c r="H203" s="45" t="n"/>
      <c r="I203" s="45" t="n"/>
      <c r="J203" s="28">
        <f>IF(H203="","",IF(I203&gt;=H203,"Recebido",IF($B$4&gt;E203,"Vencido","Aberto")))</f>
        <v/>
      </c>
      <c r="K203" s="4">
        <f>IF(J203="","",IF(OR(J203="Recebido",F203=""),MAX(0,F203-E203),MAX(0,$B$4-E203)))</f>
        <v/>
      </c>
      <c r="L203" s="4">
        <f>IF(K203="","",IF(K203=0,"Em dia",IF(K203&lt;=30,"1-30 dias",IF(K203&lt;=60,"31-60 dias",IF(K203&lt;=90,"61-90 dias","&gt;90 dias")))))</f>
        <v/>
      </c>
      <c r="M203" s="28" t="n"/>
      <c r="N203" s="104" t="inlineStr"/>
      <c r="O203" s="64" t="n"/>
      <c r="P203" s="64">
        <f>IF(C203="","",IF(ISNUMBER(SEARCH("PCMSO",C203)),"PCMSO",IF(OR(ISNUMBER(SEARCH("E-SOCIAL",C203)),ISNUMBER(SEARCH("PSICOSOCIAL",C203))),"eSocial / Psicossocial",IF(O203="Receita recorrente","Carteira recorrente","Projetos / Laudos / Avulsos"))))</f>
        <v/>
      </c>
      <c r="Q203" s="64">
        <f>IF(P203="","",IF(P203="Carteira recorrente","Operação recorrente",IF(P203="PCMSO","Projetos PCMSO",IF(P203="eSocial / Psicossocial","Projetos eSocial/Psicossocial","Projetos / Laudos / Avulsos"))))</f>
        <v/>
      </c>
      <c r="R203" s="64">
        <f>IF(C203="","",IF(ISNUMBER(SEARCH("PCMSO",C203)),"Título com PCMSO no nome",IF(OR(ISNUMBER(SEARCH("E-SOCIAL",C203)),ISNUMBER(SEARCH("PSICOSOCIAL",C203))),"Título com eSocial/Psicossocial no nome",IF(O203="Receita recorrente","Tipo DRE recorrente","Extra sem palavra-chave específica"))))</f>
        <v/>
      </c>
      <c r="S203" s="92">
        <f>IFERROR(VLOOKUP($A203,'13. Mapa Títulos-Receita'!$A$8:$P$1000,4,FALSE),"")</f>
        <v/>
      </c>
      <c r="T203" s="92">
        <f>IFERROR(VLOOKUP($A203,'13. Mapa Títulos-Receita'!$A$8:$P$1000,5,FALSE),"")</f>
        <v/>
      </c>
      <c r="U203" s="92">
        <f>IFERROR(VLOOKUP($A203,'13. Mapa Títulos-Receita'!$A$8:$P$1000,6,FALSE),"")</f>
        <v/>
      </c>
      <c r="V203" s="92">
        <f>IFERROR(VLOOKUP($A203,'13. Mapa Títulos-Receita'!$A$8:$P$1000,7,FALSE),"")</f>
        <v/>
      </c>
      <c r="W203" s="92">
        <f>IFERROR(VLOOKUP($A203,'13. Mapa Títulos-Receita'!$A$8:$P$1000,8,FALSE),"")</f>
        <v/>
      </c>
      <c r="X203" s="92">
        <f>IFERROR(VLOOKUP($A203,'13. Mapa Títulos-Receita'!$A$8:$P$1000,9,FALSE),"")</f>
        <v/>
      </c>
      <c r="Y203" s="92">
        <f>IFERROR(VLOOKUP($A203,'13. Mapa Títulos-Receita'!$A$8:$P$1000,10,FALSE),"")</f>
        <v/>
      </c>
      <c r="Z203" s="92">
        <f>IFERROR(VLOOKUP($A203,'13. Mapa Títulos-Receita'!$A$8:$P$1000,11,FALSE),"")</f>
        <v/>
      </c>
      <c r="AA203" s="92">
        <f>IFERROR(VLOOKUP($A203,'13. Mapa Títulos-Receita'!$A$8:$P$1000,12,FALSE),"")</f>
        <v/>
      </c>
      <c r="AB203" s="92">
        <f>IFERROR(VLOOKUP($A203,'13. Mapa Títulos-Receita'!$A$8:$P$1000,13,FALSE),"")</f>
        <v/>
      </c>
      <c r="AC203" s="92">
        <f>IFERROR(VLOOKUP($A203,'13. Mapa Títulos-Receita'!$A$8:$P$1000,14,FALSE),"")</f>
        <v/>
      </c>
      <c r="AD203" s="92">
        <f>IFERROR(VLOOKUP($A203,'13. Mapa Títulos-Receita'!$A$8:$P$1000,15,FALSE),"")</f>
        <v/>
      </c>
      <c r="AE203" s="92">
        <f>IFERROR(VLOOKUP($A203,'13. Mapa Títulos-Receita'!$A$8:$P$1000,16,FALSE),"")</f>
        <v/>
      </c>
    </row>
    <row r="204">
      <c r="A204" s="28">
        <f>IF(C204="","", "CR-"&amp;TEXT(ROW()-7,"000"))</f>
        <v/>
      </c>
      <c r="B204" s="28" t="n"/>
      <c r="C204" s="28" t="n"/>
      <c r="D204" s="111" t="n"/>
      <c r="E204" s="111" t="n"/>
      <c r="F204" s="111" t="n"/>
      <c r="G204" s="28" t="n"/>
      <c r="H204" s="45" t="n"/>
      <c r="I204" s="45" t="n"/>
      <c r="J204" s="28">
        <f>IF(H204="","",IF(I204&gt;=H204,"Recebido",IF($B$4&gt;E204,"Vencido","Aberto")))</f>
        <v/>
      </c>
      <c r="K204" s="4">
        <f>IF(J204="","",IF(OR(J204="Recebido",F204=""),MAX(0,F204-E204),MAX(0,$B$4-E204)))</f>
        <v/>
      </c>
      <c r="L204" s="4">
        <f>IF(K204="","",IF(K204=0,"Em dia",IF(K204&lt;=30,"1-30 dias",IF(K204&lt;=60,"31-60 dias",IF(K204&lt;=90,"61-90 dias","&gt;90 dias")))))</f>
        <v/>
      </c>
      <c r="M204" s="28" t="n"/>
      <c r="N204" s="104" t="inlineStr"/>
      <c r="O204" s="64" t="n"/>
      <c r="P204" s="64">
        <f>IF(C204="","",IF(ISNUMBER(SEARCH("PCMSO",C204)),"PCMSO",IF(OR(ISNUMBER(SEARCH("E-SOCIAL",C204)),ISNUMBER(SEARCH("PSICOSOCIAL",C204))),"eSocial / Psicossocial",IF(O204="Receita recorrente","Carteira recorrente","Projetos / Laudos / Avulsos"))))</f>
        <v/>
      </c>
      <c r="Q204" s="64">
        <f>IF(P204="","",IF(P204="Carteira recorrente","Operação recorrente",IF(P204="PCMSO","Projetos PCMSO",IF(P204="eSocial / Psicossocial","Projetos eSocial/Psicossocial","Projetos / Laudos / Avulsos"))))</f>
        <v/>
      </c>
      <c r="R204" s="64">
        <f>IF(C204="","",IF(ISNUMBER(SEARCH("PCMSO",C204)),"Título com PCMSO no nome",IF(OR(ISNUMBER(SEARCH("E-SOCIAL",C204)),ISNUMBER(SEARCH("PSICOSOCIAL",C204))),"Título com eSocial/Psicossocial no nome",IF(O204="Receita recorrente","Tipo DRE recorrente","Extra sem palavra-chave específica"))))</f>
        <v/>
      </c>
      <c r="S204" s="92">
        <f>IFERROR(VLOOKUP($A204,'13. Mapa Títulos-Receita'!$A$8:$P$1000,4,FALSE),"")</f>
        <v/>
      </c>
      <c r="T204" s="92">
        <f>IFERROR(VLOOKUP($A204,'13. Mapa Títulos-Receita'!$A$8:$P$1000,5,FALSE),"")</f>
        <v/>
      </c>
      <c r="U204" s="92">
        <f>IFERROR(VLOOKUP($A204,'13. Mapa Títulos-Receita'!$A$8:$P$1000,6,FALSE),"")</f>
        <v/>
      </c>
      <c r="V204" s="92">
        <f>IFERROR(VLOOKUP($A204,'13. Mapa Títulos-Receita'!$A$8:$P$1000,7,FALSE),"")</f>
        <v/>
      </c>
      <c r="W204" s="92">
        <f>IFERROR(VLOOKUP($A204,'13. Mapa Títulos-Receita'!$A$8:$P$1000,8,FALSE),"")</f>
        <v/>
      </c>
      <c r="X204" s="92">
        <f>IFERROR(VLOOKUP($A204,'13. Mapa Títulos-Receita'!$A$8:$P$1000,9,FALSE),"")</f>
        <v/>
      </c>
      <c r="Y204" s="92">
        <f>IFERROR(VLOOKUP($A204,'13. Mapa Títulos-Receita'!$A$8:$P$1000,10,FALSE),"")</f>
        <v/>
      </c>
      <c r="Z204" s="92">
        <f>IFERROR(VLOOKUP($A204,'13. Mapa Títulos-Receita'!$A$8:$P$1000,11,FALSE),"")</f>
        <v/>
      </c>
      <c r="AA204" s="92">
        <f>IFERROR(VLOOKUP($A204,'13. Mapa Títulos-Receita'!$A$8:$P$1000,12,FALSE),"")</f>
        <v/>
      </c>
      <c r="AB204" s="92">
        <f>IFERROR(VLOOKUP($A204,'13. Mapa Títulos-Receita'!$A$8:$P$1000,13,FALSE),"")</f>
        <v/>
      </c>
      <c r="AC204" s="92">
        <f>IFERROR(VLOOKUP($A204,'13. Mapa Títulos-Receita'!$A$8:$P$1000,14,FALSE),"")</f>
        <v/>
      </c>
      <c r="AD204" s="92">
        <f>IFERROR(VLOOKUP($A204,'13. Mapa Títulos-Receita'!$A$8:$P$1000,15,FALSE),"")</f>
        <v/>
      </c>
      <c r="AE204" s="92">
        <f>IFERROR(VLOOKUP($A204,'13. Mapa Títulos-Receita'!$A$8:$P$1000,16,FALSE),"")</f>
        <v/>
      </c>
    </row>
    <row r="205">
      <c r="A205" s="28">
        <f>IF(C205="","", "CR-"&amp;TEXT(ROW()-7,"000"))</f>
        <v/>
      </c>
      <c r="B205" s="28" t="n"/>
      <c r="C205" s="28" t="n"/>
      <c r="D205" s="111" t="n"/>
      <c r="E205" s="111" t="n"/>
      <c r="F205" s="111" t="n"/>
      <c r="G205" s="28" t="n"/>
      <c r="H205" s="45" t="n"/>
      <c r="I205" s="45" t="n"/>
      <c r="J205" s="28">
        <f>IF(H205="","",IF(I205&gt;=H205,"Recebido",IF($B$4&gt;E205,"Vencido","Aberto")))</f>
        <v/>
      </c>
      <c r="K205" s="4">
        <f>IF(J205="","",IF(OR(J205="Recebido",F205=""),MAX(0,F205-E205),MAX(0,$B$4-E205)))</f>
        <v/>
      </c>
      <c r="L205" s="4">
        <f>IF(K205="","",IF(K205=0,"Em dia",IF(K205&lt;=30,"1-30 dias",IF(K205&lt;=60,"31-60 dias",IF(K205&lt;=90,"61-90 dias","&gt;90 dias")))))</f>
        <v/>
      </c>
      <c r="M205" s="28" t="n"/>
      <c r="N205" s="104" t="inlineStr"/>
      <c r="O205" s="64" t="n"/>
      <c r="P205" s="64">
        <f>IF(C205="","",IF(ISNUMBER(SEARCH("PCMSO",C205)),"PCMSO",IF(OR(ISNUMBER(SEARCH("E-SOCIAL",C205)),ISNUMBER(SEARCH("PSICOSOCIAL",C205))),"eSocial / Psicossocial",IF(O205="Receita recorrente","Carteira recorrente","Projetos / Laudos / Avulsos"))))</f>
        <v/>
      </c>
      <c r="Q205" s="64">
        <f>IF(P205="","",IF(P205="Carteira recorrente","Operação recorrente",IF(P205="PCMSO","Projetos PCMSO",IF(P205="eSocial / Psicossocial","Projetos eSocial/Psicossocial","Projetos / Laudos / Avulsos"))))</f>
        <v/>
      </c>
      <c r="R205" s="64">
        <f>IF(C205="","",IF(ISNUMBER(SEARCH("PCMSO",C205)),"Título com PCMSO no nome",IF(OR(ISNUMBER(SEARCH("E-SOCIAL",C205)),ISNUMBER(SEARCH("PSICOSOCIAL",C205))),"Título com eSocial/Psicossocial no nome",IF(O205="Receita recorrente","Tipo DRE recorrente","Extra sem palavra-chave específica"))))</f>
        <v/>
      </c>
      <c r="S205" s="92">
        <f>IFERROR(VLOOKUP($A205,'13. Mapa Títulos-Receita'!$A$8:$P$1000,4,FALSE),"")</f>
        <v/>
      </c>
      <c r="T205" s="92">
        <f>IFERROR(VLOOKUP($A205,'13. Mapa Títulos-Receita'!$A$8:$P$1000,5,FALSE),"")</f>
        <v/>
      </c>
      <c r="U205" s="92">
        <f>IFERROR(VLOOKUP($A205,'13. Mapa Títulos-Receita'!$A$8:$P$1000,6,FALSE),"")</f>
        <v/>
      </c>
      <c r="V205" s="92">
        <f>IFERROR(VLOOKUP($A205,'13. Mapa Títulos-Receita'!$A$8:$P$1000,7,FALSE),"")</f>
        <v/>
      </c>
      <c r="W205" s="92">
        <f>IFERROR(VLOOKUP($A205,'13. Mapa Títulos-Receita'!$A$8:$P$1000,8,FALSE),"")</f>
        <v/>
      </c>
      <c r="X205" s="92">
        <f>IFERROR(VLOOKUP($A205,'13. Mapa Títulos-Receita'!$A$8:$P$1000,9,FALSE),"")</f>
        <v/>
      </c>
      <c r="Y205" s="92">
        <f>IFERROR(VLOOKUP($A205,'13. Mapa Títulos-Receita'!$A$8:$P$1000,10,FALSE),"")</f>
        <v/>
      </c>
      <c r="Z205" s="92">
        <f>IFERROR(VLOOKUP($A205,'13. Mapa Títulos-Receita'!$A$8:$P$1000,11,FALSE),"")</f>
        <v/>
      </c>
      <c r="AA205" s="92">
        <f>IFERROR(VLOOKUP($A205,'13. Mapa Títulos-Receita'!$A$8:$P$1000,12,FALSE),"")</f>
        <v/>
      </c>
      <c r="AB205" s="92">
        <f>IFERROR(VLOOKUP($A205,'13. Mapa Títulos-Receita'!$A$8:$P$1000,13,FALSE),"")</f>
        <v/>
      </c>
      <c r="AC205" s="92">
        <f>IFERROR(VLOOKUP($A205,'13. Mapa Títulos-Receita'!$A$8:$P$1000,14,FALSE),"")</f>
        <v/>
      </c>
      <c r="AD205" s="92">
        <f>IFERROR(VLOOKUP($A205,'13. Mapa Títulos-Receita'!$A$8:$P$1000,15,FALSE),"")</f>
        <v/>
      </c>
      <c r="AE205" s="92">
        <f>IFERROR(VLOOKUP($A205,'13. Mapa Títulos-Receita'!$A$8:$P$1000,16,FALSE),"")</f>
        <v/>
      </c>
    </row>
    <row r="206">
      <c r="A206" s="28">
        <f>IF(C206="","", "CR-"&amp;TEXT(ROW()-7,"000"))</f>
        <v/>
      </c>
      <c r="B206" s="28" t="n"/>
      <c r="C206" s="28" t="n"/>
      <c r="D206" s="111" t="n"/>
      <c r="E206" s="111" t="n"/>
      <c r="F206" s="111" t="n"/>
      <c r="G206" s="28" t="n"/>
      <c r="H206" s="45" t="n"/>
      <c r="I206" s="45" t="n"/>
      <c r="J206" s="28">
        <f>IF(H206="","",IF(I206&gt;=H206,"Recebido",IF($B$4&gt;E206,"Vencido","Aberto")))</f>
        <v/>
      </c>
      <c r="K206" s="4">
        <f>IF(J206="","",IF(OR(J206="Recebido",F206=""),MAX(0,F206-E206),MAX(0,$B$4-E206)))</f>
        <v/>
      </c>
      <c r="L206" s="4">
        <f>IF(K206="","",IF(K206=0,"Em dia",IF(K206&lt;=30,"1-30 dias",IF(K206&lt;=60,"31-60 dias",IF(K206&lt;=90,"61-90 dias","&gt;90 dias")))))</f>
        <v/>
      </c>
      <c r="M206" s="28" t="n"/>
      <c r="N206" s="104" t="inlineStr"/>
      <c r="O206" s="64" t="n"/>
      <c r="P206" s="64">
        <f>IF(C206="","",IF(ISNUMBER(SEARCH("PCMSO",C206)),"PCMSO",IF(OR(ISNUMBER(SEARCH("E-SOCIAL",C206)),ISNUMBER(SEARCH("PSICOSOCIAL",C206))),"eSocial / Psicossocial",IF(O206="Receita recorrente","Carteira recorrente","Projetos / Laudos / Avulsos"))))</f>
        <v/>
      </c>
      <c r="Q206" s="64">
        <f>IF(P206="","",IF(P206="Carteira recorrente","Operação recorrente",IF(P206="PCMSO","Projetos PCMSO",IF(P206="eSocial / Psicossocial","Projetos eSocial/Psicossocial","Projetos / Laudos / Avulsos"))))</f>
        <v/>
      </c>
      <c r="R206" s="64">
        <f>IF(C206="","",IF(ISNUMBER(SEARCH("PCMSO",C206)),"Título com PCMSO no nome",IF(OR(ISNUMBER(SEARCH("E-SOCIAL",C206)),ISNUMBER(SEARCH("PSICOSOCIAL",C206))),"Título com eSocial/Psicossocial no nome",IF(O206="Receita recorrente","Tipo DRE recorrente","Extra sem palavra-chave específica"))))</f>
        <v/>
      </c>
      <c r="S206" s="92">
        <f>IFERROR(VLOOKUP($A206,'13. Mapa Títulos-Receita'!$A$8:$P$1000,4,FALSE),"")</f>
        <v/>
      </c>
      <c r="T206" s="92">
        <f>IFERROR(VLOOKUP($A206,'13. Mapa Títulos-Receita'!$A$8:$P$1000,5,FALSE),"")</f>
        <v/>
      </c>
      <c r="U206" s="92">
        <f>IFERROR(VLOOKUP($A206,'13. Mapa Títulos-Receita'!$A$8:$P$1000,6,FALSE),"")</f>
        <v/>
      </c>
      <c r="V206" s="92">
        <f>IFERROR(VLOOKUP($A206,'13. Mapa Títulos-Receita'!$A$8:$P$1000,7,FALSE),"")</f>
        <v/>
      </c>
      <c r="W206" s="92">
        <f>IFERROR(VLOOKUP($A206,'13. Mapa Títulos-Receita'!$A$8:$P$1000,8,FALSE),"")</f>
        <v/>
      </c>
      <c r="X206" s="92">
        <f>IFERROR(VLOOKUP($A206,'13. Mapa Títulos-Receita'!$A$8:$P$1000,9,FALSE),"")</f>
        <v/>
      </c>
      <c r="Y206" s="92">
        <f>IFERROR(VLOOKUP($A206,'13. Mapa Títulos-Receita'!$A$8:$P$1000,10,FALSE),"")</f>
        <v/>
      </c>
      <c r="Z206" s="92">
        <f>IFERROR(VLOOKUP($A206,'13. Mapa Títulos-Receita'!$A$8:$P$1000,11,FALSE),"")</f>
        <v/>
      </c>
      <c r="AA206" s="92">
        <f>IFERROR(VLOOKUP($A206,'13. Mapa Títulos-Receita'!$A$8:$P$1000,12,FALSE),"")</f>
        <v/>
      </c>
      <c r="AB206" s="92">
        <f>IFERROR(VLOOKUP($A206,'13. Mapa Títulos-Receita'!$A$8:$P$1000,13,FALSE),"")</f>
        <v/>
      </c>
      <c r="AC206" s="92">
        <f>IFERROR(VLOOKUP($A206,'13. Mapa Títulos-Receita'!$A$8:$P$1000,14,FALSE),"")</f>
        <v/>
      </c>
      <c r="AD206" s="92">
        <f>IFERROR(VLOOKUP($A206,'13. Mapa Títulos-Receita'!$A$8:$P$1000,15,FALSE),"")</f>
        <v/>
      </c>
      <c r="AE206" s="92">
        <f>IFERROR(VLOOKUP($A206,'13. Mapa Títulos-Receita'!$A$8:$P$1000,16,FALSE),"")</f>
        <v/>
      </c>
    </row>
    <row r="207">
      <c r="A207" s="28">
        <f>IF(C207="","", "CR-"&amp;TEXT(ROW()-7,"000"))</f>
        <v/>
      </c>
      <c r="B207" s="28" t="n"/>
      <c r="C207" s="28" t="n"/>
      <c r="D207" s="111" t="n"/>
      <c r="E207" s="111" t="n"/>
      <c r="F207" s="111" t="n"/>
      <c r="G207" s="28" t="n"/>
      <c r="H207" s="45" t="n"/>
      <c r="I207" s="45" t="n"/>
      <c r="J207" s="28">
        <f>IF(H207="","",IF(I207&gt;=H207,"Recebido",IF($B$4&gt;E207,"Vencido","Aberto")))</f>
        <v/>
      </c>
      <c r="K207" s="4">
        <f>IF(J207="","",IF(OR(J207="Recebido",F207=""),MAX(0,F207-E207),MAX(0,$B$4-E207)))</f>
        <v/>
      </c>
      <c r="L207" s="4">
        <f>IF(K207="","",IF(K207=0,"Em dia",IF(K207&lt;=30,"1-30 dias",IF(K207&lt;=60,"31-60 dias",IF(K207&lt;=90,"61-90 dias","&gt;90 dias")))))</f>
        <v/>
      </c>
      <c r="M207" s="28" t="n"/>
      <c r="N207" s="104" t="inlineStr"/>
      <c r="O207" s="64" t="n"/>
      <c r="P207" s="64">
        <f>IF(C207="","",IF(ISNUMBER(SEARCH("PCMSO",C207)),"PCMSO",IF(OR(ISNUMBER(SEARCH("E-SOCIAL",C207)),ISNUMBER(SEARCH("PSICOSOCIAL",C207))),"eSocial / Psicossocial",IF(O207="Receita recorrente","Carteira recorrente","Projetos / Laudos / Avulsos"))))</f>
        <v/>
      </c>
      <c r="Q207" s="64">
        <f>IF(P207="","",IF(P207="Carteira recorrente","Operação recorrente",IF(P207="PCMSO","Projetos PCMSO",IF(P207="eSocial / Psicossocial","Projetos eSocial/Psicossocial","Projetos / Laudos / Avulsos"))))</f>
        <v/>
      </c>
      <c r="R207" s="64">
        <f>IF(C207="","",IF(ISNUMBER(SEARCH("PCMSO",C207)),"Título com PCMSO no nome",IF(OR(ISNUMBER(SEARCH("E-SOCIAL",C207)),ISNUMBER(SEARCH("PSICOSOCIAL",C207))),"Título com eSocial/Psicossocial no nome",IF(O207="Receita recorrente","Tipo DRE recorrente","Extra sem palavra-chave específica"))))</f>
        <v/>
      </c>
      <c r="S207" s="92">
        <f>IFERROR(VLOOKUP($A207,'13. Mapa Títulos-Receita'!$A$8:$P$1000,4,FALSE),"")</f>
        <v/>
      </c>
      <c r="T207" s="92">
        <f>IFERROR(VLOOKUP($A207,'13. Mapa Títulos-Receita'!$A$8:$P$1000,5,FALSE),"")</f>
        <v/>
      </c>
      <c r="U207" s="92">
        <f>IFERROR(VLOOKUP($A207,'13. Mapa Títulos-Receita'!$A$8:$P$1000,6,FALSE),"")</f>
        <v/>
      </c>
      <c r="V207" s="92">
        <f>IFERROR(VLOOKUP($A207,'13. Mapa Títulos-Receita'!$A$8:$P$1000,7,FALSE),"")</f>
        <v/>
      </c>
      <c r="W207" s="92">
        <f>IFERROR(VLOOKUP($A207,'13. Mapa Títulos-Receita'!$A$8:$P$1000,8,FALSE),"")</f>
        <v/>
      </c>
      <c r="X207" s="92">
        <f>IFERROR(VLOOKUP($A207,'13. Mapa Títulos-Receita'!$A$8:$P$1000,9,FALSE),"")</f>
        <v/>
      </c>
      <c r="Y207" s="92">
        <f>IFERROR(VLOOKUP($A207,'13. Mapa Títulos-Receita'!$A$8:$P$1000,10,FALSE),"")</f>
        <v/>
      </c>
      <c r="Z207" s="92">
        <f>IFERROR(VLOOKUP($A207,'13. Mapa Títulos-Receita'!$A$8:$P$1000,11,FALSE),"")</f>
        <v/>
      </c>
      <c r="AA207" s="92">
        <f>IFERROR(VLOOKUP($A207,'13. Mapa Títulos-Receita'!$A$8:$P$1000,12,FALSE),"")</f>
        <v/>
      </c>
      <c r="AB207" s="92">
        <f>IFERROR(VLOOKUP($A207,'13. Mapa Títulos-Receita'!$A$8:$P$1000,13,FALSE),"")</f>
        <v/>
      </c>
      <c r="AC207" s="92">
        <f>IFERROR(VLOOKUP($A207,'13. Mapa Títulos-Receita'!$A$8:$P$1000,14,FALSE),"")</f>
        <v/>
      </c>
      <c r="AD207" s="92">
        <f>IFERROR(VLOOKUP($A207,'13. Mapa Títulos-Receita'!$A$8:$P$1000,15,FALSE),"")</f>
        <v/>
      </c>
      <c r="AE207" s="92">
        <f>IFERROR(VLOOKUP($A207,'13. Mapa Títulos-Receita'!$A$8:$P$1000,16,FALSE),"")</f>
        <v/>
      </c>
    </row>
    <row r="208">
      <c r="A208" s="28">
        <f>IF(C208="","", "CR-"&amp;TEXT(ROW()-7,"000"))</f>
        <v/>
      </c>
      <c r="B208" s="28" t="n"/>
      <c r="C208" s="28" t="n"/>
      <c r="D208" s="111" t="n"/>
      <c r="E208" s="111" t="n"/>
      <c r="F208" s="111" t="n"/>
      <c r="G208" s="28" t="n"/>
      <c r="H208" s="45" t="n"/>
      <c r="I208" s="45" t="n"/>
      <c r="J208" s="28">
        <f>IF(H208="","",IF(I208&gt;=H208,"Recebido",IF($B$4&gt;E208,"Vencido","Aberto")))</f>
        <v/>
      </c>
      <c r="K208" s="4">
        <f>IF(J208="","",IF(OR(J208="Recebido",F208=""),MAX(0,F208-E208),MAX(0,$B$4-E208)))</f>
        <v/>
      </c>
      <c r="L208" s="4">
        <f>IF(K208="","",IF(K208=0,"Em dia",IF(K208&lt;=30,"1-30 dias",IF(K208&lt;=60,"31-60 dias",IF(K208&lt;=90,"61-90 dias","&gt;90 dias")))))</f>
        <v/>
      </c>
      <c r="M208" s="28" t="n"/>
      <c r="N208" s="104" t="inlineStr"/>
      <c r="O208" s="64" t="n"/>
      <c r="P208" s="64">
        <f>IF(C208="","",IF(ISNUMBER(SEARCH("PCMSO",C208)),"PCMSO",IF(OR(ISNUMBER(SEARCH("E-SOCIAL",C208)),ISNUMBER(SEARCH("PSICOSOCIAL",C208))),"eSocial / Psicossocial",IF(O208="Receita recorrente","Carteira recorrente","Projetos / Laudos / Avulsos"))))</f>
        <v/>
      </c>
      <c r="Q208" s="64">
        <f>IF(P208="","",IF(P208="Carteira recorrente","Operação recorrente",IF(P208="PCMSO","Projetos PCMSO",IF(P208="eSocial / Psicossocial","Projetos eSocial/Psicossocial","Projetos / Laudos / Avulsos"))))</f>
        <v/>
      </c>
      <c r="R208" s="64">
        <f>IF(C208="","",IF(ISNUMBER(SEARCH("PCMSO",C208)),"Título com PCMSO no nome",IF(OR(ISNUMBER(SEARCH("E-SOCIAL",C208)),ISNUMBER(SEARCH("PSICOSOCIAL",C208))),"Título com eSocial/Psicossocial no nome",IF(O208="Receita recorrente","Tipo DRE recorrente","Extra sem palavra-chave específica"))))</f>
        <v/>
      </c>
      <c r="S208" s="92">
        <f>IFERROR(VLOOKUP($A208,'13. Mapa Títulos-Receita'!$A$8:$P$1000,4,FALSE),"")</f>
        <v/>
      </c>
      <c r="T208" s="92">
        <f>IFERROR(VLOOKUP($A208,'13. Mapa Títulos-Receita'!$A$8:$P$1000,5,FALSE),"")</f>
        <v/>
      </c>
      <c r="U208" s="92">
        <f>IFERROR(VLOOKUP($A208,'13. Mapa Títulos-Receita'!$A$8:$P$1000,6,FALSE),"")</f>
        <v/>
      </c>
      <c r="V208" s="92">
        <f>IFERROR(VLOOKUP($A208,'13. Mapa Títulos-Receita'!$A$8:$P$1000,7,FALSE),"")</f>
        <v/>
      </c>
      <c r="W208" s="92">
        <f>IFERROR(VLOOKUP($A208,'13. Mapa Títulos-Receita'!$A$8:$P$1000,8,FALSE),"")</f>
        <v/>
      </c>
      <c r="X208" s="92">
        <f>IFERROR(VLOOKUP($A208,'13. Mapa Títulos-Receita'!$A$8:$P$1000,9,FALSE),"")</f>
        <v/>
      </c>
      <c r="Y208" s="92">
        <f>IFERROR(VLOOKUP($A208,'13. Mapa Títulos-Receita'!$A$8:$P$1000,10,FALSE),"")</f>
        <v/>
      </c>
      <c r="Z208" s="92">
        <f>IFERROR(VLOOKUP($A208,'13. Mapa Títulos-Receita'!$A$8:$P$1000,11,FALSE),"")</f>
        <v/>
      </c>
      <c r="AA208" s="92">
        <f>IFERROR(VLOOKUP($A208,'13. Mapa Títulos-Receita'!$A$8:$P$1000,12,FALSE),"")</f>
        <v/>
      </c>
      <c r="AB208" s="92">
        <f>IFERROR(VLOOKUP($A208,'13. Mapa Títulos-Receita'!$A$8:$P$1000,13,FALSE),"")</f>
        <v/>
      </c>
      <c r="AC208" s="92">
        <f>IFERROR(VLOOKUP($A208,'13. Mapa Títulos-Receita'!$A$8:$P$1000,14,FALSE),"")</f>
        <v/>
      </c>
      <c r="AD208" s="92">
        <f>IFERROR(VLOOKUP($A208,'13. Mapa Títulos-Receita'!$A$8:$P$1000,15,FALSE),"")</f>
        <v/>
      </c>
      <c r="AE208" s="92">
        <f>IFERROR(VLOOKUP($A208,'13. Mapa Títulos-Receita'!$A$8:$P$1000,16,FALSE),"")</f>
        <v/>
      </c>
    </row>
    <row r="209">
      <c r="A209" s="28">
        <f>IF(C209="","", "CR-"&amp;TEXT(ROW()-7,"000"))</f>
        <v/>
      </c>
      <c r="B209" s="28" t="n"/>
      <c r="C209" s="28" t="n"/>
      <c r="D209" s="111" t="n"/>
      <c r="E209" s="111" t="n"/>
      <c r="F209" s="111" t="n"/>
      <c r="G209" s="28" t="n"/>
      <c r="H209" s="45" t="n"/>
      <c r="I209" s="45" t="n"/>
      <c r="J209" s="28">
        <f>IF(H209="","",IF(I209&gt;=H209,"Recebido",IF($B$4&gt;E209,"Vencido","Aberto")))</f>
        <v/>
      </c>
      <c r="K209" s="4">
        <f>IF(J209="","",IF(OR(J209="Recebido",F209=""),MAX(0,F209-E209),MAX(0,$B$4-E209)))</f>
        <v/>
      </c>
      <c r="L209" s="4">
        <f>IF(K209="","",IF(K209=0,"Em dia",IF(K209&lt;=30,"1-30 dias",IF(K209&lt;=60,"31-60 dias",IF(K209&lt;=90,"61-90 dias","&gt;90 dias")))))</f>
        <v/>
      </c>
      <c r="M209" s="28" t="n"/>
      <c r="N209" s="104" t="inlineStr"/>
      <c r="O209" s="64" t="n"/>
      <c r="P209" s="64">
        <f>IF(C209="","",IF(ISNUMBER(SEARCH("PCMSO",C209)),"PCMSO",IF(OR(ISNUMBER(SEARCH("E-SOCIAL",C209)),ISNUMBER(SEARCH("PSICOSOCIAL",C209))),"eSocial / Psicossocial",IF(O209="Receita recorrente","Carteira recorrente","Projetos / Laudos / Avulsos"))))</f>
        <v/>
      </c>
      <c r="Q209" s="64">
        <f>IF(P209="","",IF(P209="Carteira recorrente","Operação recorrente",IF(P209="PCMSO","Projetos PCMSO",IF(P209="eSocial / Psicossocial","Projetos eSocial/Psicossocial","Projetos / Laudos / Avulsos"))))</f>
        <v/>
      </c>
      <c r="R209" s="64">
        <f>IF(C209="","",IF(ISNUMBER(SEARCH("PCMSO",C209)),"Título com PCMSO no nome",IF(OR(ISNUMBER(SEARCH("E-SOCIAL",C209)),ISNUMBER(SEARCH("PSICOSOCIAL",C209))),"Título com eSocial/Psicossocial no nome",IF(O209="Receita recorrente","Tipo DRE recorrente","Extra sem palavra-chave específica"))))</f>
        <v/>
      </c>
      <c r="S209" s="92">
        <f>IFERROR(VLOOKUP($A209,'13. Mapa Títulos-Receita'!$A$8:$P$1000,4,FALSE),"")</f>
        <v/>
      </c>
      <c r="T209" s="92">
        <f>IFERROR(VLOOKUP($A209,'13. Mapa Títulos-Receita'!$A$8:$P$1000,5,FALSE),"")</f>
        <v/>
      </c>
      <c r="U209" s="92">
        <f>IFERROR(VLOOKUP($A209,'13. Mapa Títulos-Receita'!$A$8:$P$1000,6,FALSE),"")</f>
        <v/>
      </c>
      <c r="V209" s="92">
        <f>IFERROR(VLOOKUP($A209,'13. Mapa Títulos-Receita'!$A$8:$P$1000,7,FALSE),"")</f>
        <v/>
      </c>
      <c r="W209" s="92">
        <f>IFERROR(VLOOKUP($A209,'13. Mapa Títulos-Receita'!$A$8:$P$1000,8,FALSE),"")</f>
        <v/>
      </c>
      <c r="X209" s="92">
        <f>IFERROR(VLOOKUP($A209,'13. Mapa Títulos-Receita'!$A$8:$P$1000,9,FALSE),"")</f>
        <v/>
      </c>
      <c r="Y209" s="92">
        <f>IFERROR(VLOOKUP($A209,'13. Mapa Títulos-Receita'!$A$8:$P$1000,10,FALSE),"")</f>
        <v/>
      </c>
      <c r="Z209" s="92">
        <f>IFERROR(VLOOKUP($A209,'13. Mapa Títulos-Receita'!$A$8:$P$1000,11,FALSE),"")</f>
        <v/>
      </c>
      <c r="AA209" s="92">
        <f>IFERROR(VLOOKUP($A209,'13. Mapa Títulos-Receita'!$A$8:$P$1000,12,FALSE),"")</f>
        <v/>
      </c>
      <c r="AB209" s="92">
        <f>IFERROR(VLOOKUP($A209,'13. Mapa Títulos-Receita'!$A$8:$P$1000,13,FALSE),"")</f>
        <v/>
      </c>
      <c r="AC209" s="92">
        <f>IFERROR(VLOOKUP($A209,'13. Mapa Títulos-Receita'!$A$8:$P$1000,14,FALSE),"")</f>
        <v/>
      </c>
      <c r="AD209" s="92">
        <f>IFERROR(VLOOKUP($A209,'13. Mapa Títulos-Receita'!$A$8:$P$1000,15,FALSE),"")</f>
        <v/>
      </c>
      <c r="AE209" s="92">
        <f>IFERROR(VLOOKUP($A209,'13. Mapa Títulos-Receita'!$A$8:$P$1000,16,FALSE),"")</f>
        <v/>
      </c>
    </row>
    <row r="210">
      <c r="A210" s="28">
        <f>IF(C210="","", "CR-"&amp;TEXT(ROW()-7,"000"))</f>
        <v/>
      </c>
      <c r="B210" s="28" t="n"/>
      <c r="C210" s="28" t="n"/>
      <c r="D210" s="111" t="n"/>
      <c r="E210" s="111" t="n"/>
      <c r="F210" s="111" t="n"/>
      <c r="G210" s="28" t="n"/>
      <c r="H210" s="45" t="n"/>
      <c r="I210" s="45" t="n"/>
      <c r="J210" s="28">
        <f>IF(H210="","",IF(I210&gt;=H210,"Recebido",IF($B$4&gt;E210,"Vencido","Aberto")))</f>
        <v/>
      </c>
      <c r="K210" s="4">
        <f>IF(J210="","",IF(OR(J210="Recebido",F210=""),MAX(0,F210-E210),MAX(0,$B$4-E210)))</f>
        <v/>
      </c>
      <c r="L210" s="4">
        <f>IF(K210="","",IF(K210=0,"Em dia",IF(K210&lt;=30,"1-30 dias",IF(K210&lt;=60,"31-60 dias",IF(K210&lt;=90,"61-90 dias","&gt;90 dias")))))</f>
        <v/>
      </c>
      <c r="M210" s="28" t="n"/>
      <c r="N210" s="104" t="inlineStr"/>
      <c r="O210" s="64" t="n"/>
      <c r="P210" s="64">
        <f>IF(C210="","",IF(ISNUMBER(SEARCH("PCMSO",C210)),"PCMSO",IF(OR(ISNUMBER(SEARCH("E-SOCIAL",C210)),ISNUMBER(SEARCH("PSICOSOCIAL",C210))),"eSocial / Psicossocial",IF(O210="Receita recorrente","Carteira recorrente","Projetos / Laudos / Avulsos"))))</f>
        <v/>
      </c>
      <c r="Q210" s="64">
        <f>IF(P210="","",IF(P210="Carteira recorrente","Operação recorrente",IF(P210="PCMSO","Projetos PCMSO",IF(P210="eSocial / Psicossocial","Projetos eSocial/Psicossocial","Projetos / Laudos / Avulsos"))))</f>
        <v/>
      </c>
      <c r="R210" s="64">
        <f>IF(C210="","",IF(ISNUMBER(SEARCH("PCMSO",C210)),"Título com PCMSO no nome",IF(OR(ISNUMBER(SEARCH("E-SOCIAL",C210)),ISNUMBER(SEARCH("PSICOSOCIAL",C210))),"Título com eSocial/Psicossocial no nome",IF(O210="Receita recorrente","Tipo DRE recorrente","Extra sem palavra-chave específica"))))</f>
        <v/>
      </c>
      <c r="S210" s="92">
        <f>IFERROR(VLOOKUP($A210,'13. Mapa Títulos-Receita'!$A$8:$P$1000,4,FALSE),"")</f>
        <v/>
      </c>
      <c r="T210" s="92">
        <f>IFERROR(VLOOKUP($A210,'13. Mapa Títulos-Receita'!$A$8:$P$1000,5,FALSE),"")</f>
        <v/>
      </c>
      <c r="U210" s="92">
        <f>IFERROR(VLOOKUP($A210,'13. Mapa Títulos-Receita'!$A$8:$P$1000,6,FALSE),"")</f>
        <v/>
      </c>
      <c r="V210" s="92">
        <f>IFERROR(VLOOKUP($A210,'13. Mapa Títulos-Receita'!$A$8:$P$1000,7,FALSE),"")</f>
        <v/>
      </c>
      <c r="W210" s="92">
        <f>IFERROR(VLOOKUP($A210,'13. Mapa Títulos-Receita'!$A$8:$P$1000,8,FALSE),"")</f>
        <v/>
      </c>
      <c r="X210" s="92">
        <f>IFERROR(VLOOKUP($A210,'13. Mapa Títulos-Receita'!$A$8:$P$1000,9,FALSE),"")</f>
        <v/>
      </c>
      <c r="Y210" s="92">
        <f>IFERROR(VLOOKUP($A210,'13. Mapa Títulos-Receita'!$A$8:$P$1000,10,FALSE),"")</f>
        <v/>
      </c>
      <c r="Z210" s="92">
        <f>IFERROR(VLOOKUP($A210,'13. Mapa Títulos-Receita'!$A$8:$P$1000,11,FALSE),"")</f>
        <v/>
      </c>
      <c r="AA210" s="92">
        <f>IFERROR(VLOOKUP($A210,'13. Mapa Títulos-Receita'!$A$8:$P$1000,12,FALSE),"")</f>
        <v/>
      </c>
      <c r="AB210" s="92">
        <f>IFERROR(VLOOKUP($A210,'13. Mapa Títulos-Receita'!$A$8:$P$1000,13,FALSE),"")</f>
        <v/>
      </c>
      <c r="AC210" s="92">
        <f>IFERROR(VLOOKUP($A210,'13. Mapa Títulos-Receita'!$A$8:$P$1000,14,FALSE),"")</f>
        <v/>
      </c>
      <c r="AD210" s="92">
        <f>IFERROR(VLOOKUP($A210,'13. Mapa Títulos-Receita'!$A$8:$P$1000,15,FALSE),"")</f>
        <v/>
      </c>
      <c r="AE210" s="92">
        <f>IFERROR(VLOOKUP($A210,'13. Mapa Títulos-Receita'!$A$8:$P$1000,16,FALSE),"")</f>
        <v/>
      </c>
    </row>
    <row r="211">
      <c r="A211" s="28">
        <f>IF(C211="","", "CR-"&amp;TEXT(ROW()-7,"000"))</f>
        <v/>
      </c>
      <c r="B211" s="28" t="n"/>
      <c r="C211" s="28" t="n"/>
      <c r="D211" s="111" t="n"/>
      <c r="E211" s="111" t="n"/>
      <c r="F211" s="111" t="n"/>
      <c r="G211" s="28" t="n"/>
      <c r="H211" s="45" t="n"/>
      <c r="I211" s="45" t="n"/>
      <c r="J211" s="28">
        <f>IF(H211="","",IF(I211&gt;=H211,"Recebido",IF($B$4&gt;E211,"Vencido","Aberto")))</f>
        <v/>
      </c>
      <c r="K211" s="4">
        <f>IF(J211="","",IF(OR(J211="Recebido",F211=""),MAX(0,F211-E211),MAX(0,$B$4-E211)))</f>
        <v/>
      </c>
      <c r="L211" s="4">
        <f>IF(K211="","",IF(K211=0,"Em dia",IF(K211&lt;=30,"1-30 dias",IF(K211&lt;=60,"31-60 dias",IF(K211&lt;=90,"61-90 dias","&gt;90 dias")))))</f>
        <v/>
      </c>
      <c r="M211" s="28" t="n"/>
      <c r="N211" s="104" t="inlineStr"/>
      <c r="O211" s="64" t="n"/>
      <c r="P211" s="64">
        <f>IF(C211="","",IF(ISNUMBER(SEARCH("PCMSO",C211)),"PCMSO",IF(OR(ISNUMBER(SEARCH("E-SOCIAL",C211)),ISNUMBER(SEARCH("PSICOSOCIAL",C211))),"eSocial / Psicossocial",IF(O211="Receita recorrente","Carteira recorrente","Projetos / Laudos / Avulsos"))))</f>
        <v/>
      </c>
      <c r="Q211" s="64">
        <f>IF(P211="","",IF(P211="Carteira recorrente","Operação recorrente",IF(P211="PCMSO","Projetos PCMSO",IF(P211="eSocial / Psicossocial","Projetos eSocial/Psicossocial","Projetos / Laudos / Avulsos"))))</f>
        <v/>
      </c>
      <c r="R211" s="64">
        <f>IF(C211="","",IF(ISNUMBER(SEARCH("PCMSO",C211)),"Título com PCMSO no nome",IF(OR(ISNUMBER(SEARCH("E-SOCIAL",C211)),ISNUMBER(SEARCH("PSICOSOCIAL",C211))),"Título com eSocial/Psicossocial no nome",IF(O211="Receita recorrente","Tipo DRE recorrente","Extra sem palavra-chave específica"))))</f>
        <v/>
      </c>
      <c r="S211" s="92">
        <f>IFERROR(VLOOKUP($A211,'13. Mapa Títulos-Receita'!$A$8:$P$1000,4,FALSE),"")</f>
        <v/>
      </c>
      <c r="T211" s="92">
        <f>IFERROR(VLOOKUP($A211,'13. Mapa Títulos-Receita'!$A$8:$P$1000,5,FALSE),"")</f>
        <v/>
      </c>
      <c r="U211" s="92">
        <f>IFERROR(VLOOKUP($A211,'13. Mapa Títulos-Receita'!$A$8:$P$1000,6,FALSE),"")</f>
        <v/>
      </c>
      <c r="V211" s="92">
        <f>IFERROR(VLOOKUP($A211,'13. Mapa Títulos-Receita'!$A$8:$P$1000,7,FALSE),"")</f>
        <v/>
      </c>
      <c r="W211" s="92">
        <f>IFERROR(VLOOKUP($A211,'13. Mapa Títulos-Receita'!$A$8:$P$1000,8,FALSE),"")</f>
        <v/>
      </c>
      <c r="X211" s="92">
        <f>IFERROR(VLOOKUP($A211,'13. Mapa Títulos-Receita'!$A$8:$P$1000,9,FALSE),"")</f>
        <v/>
      </c>
      <c r="Y211" s="92">
        <f>IFERROR(VLOOKUP($A211,'13. Mapa Títulos-Receita'!$A$8:$P$1000,10,FALSE),"")</f>
        <v/>
      </c>
      <c r="Z211" s="92">
        <f>IFERROR(VLOOKUP($A211,'13. Mapa Títulos-Receita'!$A$8:$P$1000,11,FALSE),"")</f>
        <v/>
      </c>
      <c r="AA211" s="92">
        <f>IFERROR(VLOOKUP($A211,'13. Mapa Títulos-Receita'!$A$8:$P$1000,12,FALSE),"")</f>
        <v/>
      </c>
      <c r="AB211" s="92">
        <f>IFERROR(VLOOKUP($A211,'13. Mapa Títulos-Receita'!$A$8:$P$1000,13,FALSE),"")</f>
        <v/>
      </c>
      <c r="AC211" s="92">
        <f>IFERROR(VLOOKUP($A211,'13. Mapa Títulos-Receita'!$A$8:$P$1000,14,FALSE),"")</f>
        <v/>
      </c>
      <c r="AD211" s="92">
        <f>IFERROR(VLOOKUP($A211,'13. Mapa Títulos-Receita'!$A$8:$P$1000,15,FALSE),"")</f>
        <v/>
      </c>
      <c r="AE211" s="92">
        <f>IFERROR(VLOOKUP($A211,'13. Mapa Títulos-Receita'!$A$8:$P$1000,16,FALSE),"")</f>
        <v/>
      </c>
    </row>
    <row r="212">
      <c r="A212" s="28">
        <f>IF(C212="","", "CR-"&amp;TEXT(ROW()-7,"000"))</f>
        <v/>
      </c>
      <c r="B212" s="28" t="n"/>
      <c r="C212" s="28" t="n"/>
      <c r="D212" s="111" t="n"/>
      <c r="E212" s="111" t="n"/>
      <c r="F212" s="111" t="n"/>
      <c r="G212" s="28" t="n"/>
      <c r="H212" s="45" t="n"/>
      <c r="I212" s="45" t="n"/>
      <c r="J212" s="28">
        <f>IF(H212="","",IF(I212&gt;=H212,"Recebido",IF($B$4&gt;E212,"Vencido","Aberto")))</f>
        <v/>
      </c>
      <c r="K212" s="4">
        <f>IF(J212="","",IF(OR(J212="Recebido",F212=""),MAX(0,F212-E212),MAX(0,$B$4-E212)))</f>
        <v/>
      </c>
      <c r="L212" s="4">
        <f>IF(K212="","",IF(K212=0,"Em dia",IF(K212&lt;=30,"1-30 dias",IF(K212&lt;=60,"31-60 dias",IF(K212&lt;=90,"61-90 dias","&gt;90 dias")))))</f>
        <v/>
      </c>
      <c r="M212" s="28" t="n"/>
      <c r="N212" s="104" t="inlineStr"/>
      <c r="O212" s="64" t="n"/>
      <c r="P212" s="64">
        <f>IF(C212="","",IF(ISNUMBER(SEARCH("PCMSO",C212)),"PCMSO",IF(OR(ISNUMBER(SEARCH("E-SOCIAL",C212)),ISNUMBER(SEARCH("PSICOSOCIAL",C212))),"eSocial / Psicossocial",IF(O212="Receita recorrente","Carteira recorrente","Projetos / Laudos / Avulsos"))))</f>
        <v/>
      </c>
      <c r="Q212" s="64">
        <f>IF(P212="","",IF(P212="Carteira recorrente","Operação recorrente",IF(P212="PCMSO","Projetos PCMSO",IF(P212="eSocial / Psicossocial","Projetos eSocial/Psicossocial","Projetos / Laudos / Avulsos"))))</f>
        <v/>
      </c>
      <c r="R212" s="64">
        <f>IF(C212="","",IF(ISNUMBER(SEARCH("PCMSO",C212)),"Título com PCMSO no nome",IF(OR(ISNUMBER(SEARCH("E-SOCIAL",C212)),ISNUMBER(SEARCH("PSICOSOCIAL",C212))),"Título com eSocial/Psicossocial no nome",IF(O212="Receita recorrente","Tipo DRE recorrente","Extra sem palavra-chave específica"))))</f>
        <v/>
      </c>
      <c r="S212" s="92">
        <f>IFERROR(VLOOKUP($A212,'13. Mapa Títulos-Receita'!$A$8:$P$1000,4,FALSE),"")</f>
        <v/>
      </c>
      <c r="T212" s="92">
        <f>IFERROR(VLOOKUP($A212,'13. Mapa Títulos-Receita'!$A$8:$P$1000,5,FALSE),"")</f>
        <v/>
      </c>
      <c r="U212" s="92">
        <f>IFERROR(VLOOKUP($A212,'13. Mapa Títulos-Receita'!$A$8:$P$1000,6,FALSE),"")</f>
        <v/>
      </c>
      <c r="V212" s="92">
        <f>IFERROR(VLOOKUP($A212,'13. Mapa Títulos-Receita'!$A$8:$P$1000,7,FALSE),"")</f>
        <v/>
      </c>
      <c r="W212" s="92">
        <f>IFERROR(VLOOKUP($A212,'13. Mapa Títulos-Receita'!$A$8:$P$1000,8,FALSE),"")</f>
        <v/>
      </c>
      <c r="X212" s="92">
        <f>IFERROR(VLOOKUP($A212,'13. Mapa Títulos-Receita'!$A$8:$P$1000,9,FALSE),"")</f>
        <v/>
      </c>
      <c r="Y212" s="92">
        <f>IFERROR(VLOOKUP($A212,'13. Mapa Títulos-Receita'!$A$8:$P$1000,10,FALSE),"")</f>
        <v/>
      </c>
      <c r="Z212" s="92">
        <f>IFERROR(VLOOKUP($A212,'13. Mapa Títulos-Receita'!$A$8:$P$1000,11,FALSE),"")</f>
        <v/>
      </c>
      <c r="AA212" s="92">
        <f>IFERROR(VLOOKUP($A212,'13. Mapa Títulos-Receita'!$A$8:$P$1000,12,FALSE),"")</f>
        <v/>
      </c>
      <c r="AB212" s="92">
        <f>IFERROR(VLOOKUP($A212,'13. Mapa Títulos-Receita'!$A$8:$P$1000,13,FALSE),"")</f>
        <v/>
      </c>
      <c r="AC212" s="92">
        <f>IFERROR(VLOOKUP($A212,'13. Mapa Títulos-Receita'!$A$8:$P$1000,14,FALSE),"")</f>
        <v/>
      </c>
      <c r="AD212" s="92">
        <f>IFERROR(VLOOKUP($A212,'13. Mapa Títulos-Receita'!$A$8:$P$1000,15,FALSE),"")</f>
        <v/>
      </c>
      <c r="AE212" s="92">
        <f>IFERROR(VLOOKUP($A212,'13. Mapa Títulos-Receita'!$A$8:$P$1000,16,FALSE),"")</f>
        <v/>
      </c>
    </row>
    <row r="213">
      <c r="A213" s="28">
        <f>IF(C213="","", "CR-"&amp;TEXT(ROW()-7,"000"))</f>
        <v/>
      </c>
      <c r="B213" s="28" t="n"/>
      <c r="C213" s="28" t="n"/>
      <c r="D213" s="111" t="n"/>
      <c r="E213" s="111" t="n"/>
      <c r="F213" s="111" t="n"/>
      <c r="G213" s="28" t="n"/>
      <c r="H213" s="45" t="n"/>
      <c r="I213" s="45" t="n"/>
      <c r="J213" s="28">
        <f>IF(H213="","",IF(I213&gt;=H213,"Recebido",IF($B$4&gt;E213,"Vencido","Aberto")))</f>
        <v/>
      </c>
      <c r="K213" s="4">
        <f>IF(J213="","",IF(OR(J213="Recebido",F213=""),MAX(0,F213-E213),MAX(0,$B$4-E213)))</f>
        <v/>
      </c>
      <c r="L213" s="4">
        <f>IF(K213="","",IF(K213=0,"Em dia",IF(K213&lt;=30,"1-30 dias",IF(K213&lt;=60,"31-60 dias",IF(K213&lt;=90,"61-90 dias","&gt;90 dias")))))</f>
        <v/>
      </c>
      <c r="M213" s="28" t="n"/>
      <c r="N213" s="104" t="inlineStr"/>
      <c r="O213" s="64" t="n"/>
      <c r="P213" s="64">
        <f>IF(C213="","",IF(ISNUMBER(SEARCH("PCMSO",C213)),"PCMSO",IF(OR(ISNUMBER(SEARCH("E-SOCIAL",C213)),ISNUMBER(SEARCH("PSICOSOCIAL",C213))),"eSocial / Psicossocial",IF(O213="Receita recorrente","Carteira recorrente","Projetos / Laudos / Avulsos"))))</f>
        <v/>
      </c>
      <c r="Q213" s="64">
        <f>IF(P213="","",IF(P213="Carteira recorrente","Operação recorrente",IF(P213="PCMSO","Projetos PCMSO",IF(P213="eSocial / Psicossocial","Projetos eSocial/Psicossocial","Projetos / Laudos / Avulsos"))))</f>
        <v/>
      </c>
      <c r="R213" s="64">
        <f>IF(C213="","",IF(ISNUMBER(SEARCH("PCMSO",C213)),"Título com PCMSO no nome",IF(OR(ISNUMBER(SEARCH("E-SOCIAL",C213)),ISNUMBER(SEARCH("PSICOSOCIAL",C213))),"Título com eSocial/Psicossocial no nome",IF(O213="Receita recorrente","Tipo DRE recorrente","Extra sem palavra-chave específica"))))</f>
        <v/>
      </c>
      <c r="S213" s="92">
        <f>IFERROR(VLOOKUP($A213,'13. Mapa Títulos-Receita'!$A$8:$P$1000,4,FALSE),"")</f>
        <v/>
      </c>
      <c r="T213" s="92">
        <f>IFERROR(VLOOKUP($A213,'13. Mapa Títulos-Receita'!$A$8:$P$1000,5,FALSE),"")</f>
        <v/>
      </c>
      <c r="U213" s="92">
        <f>IFERROR(VLOOKUP($A213,'13. Mapa Títulos-Receita'!$A$8:$P$1000,6,FALSE),"")</f>
        <v/>
      </c>
      <c r="V213" s="92">
        <f>IFERROR(VLOOKUP($A213,'13. Mapa Títulos-Receita'!$A$8:$P$1000,7,FALSE),"")</f>
        <v/>
      </c>
      <c r="W213" s="92">
        <f>IFERROR(VLOOKUP($A213,'13. Mapa Títulos-Receita'!$A$8:$P$1000,8,FALSE),"")</f>
        <v/>
      </c>
      <c r="X213" s="92">
        <f>IFERROR(VLOOKUP($A213,'13. Mapa Títulos-Receita'!$A$8:$P$1000,9,FALSE),"")</f>
        <v/>
      </c>
      <c r="Y213" s="92">
        <f>IFERROR(VLOOKUP($A213,'13. Mapa Títulos-Receita'!$A$8:$P$1000,10,FALSE),"")</f>
        <v/>
      </c>
      <c r="Z213" s="92">
        <f>IFERROR(VLOOKUP($A213,'13. Mapa Títulos-Receita'!$A$8:$P$1000,11,FALSE),"")</f>
        <v/>
      </c>
      <c r="AA213" s="92">
        <f>IFERROR(VLOOKUP($A213,'13. Mapa Títulos-Receita'!$A$8:$P$1000,12,FALSE),"")</f>
        <v/>
      </c>
      <c r="AB213" s="92">
        <f>IFERROR(VLOOKUP($A213,'13. Mapa Títulos-Receita'!$A$8:$P$1000,13,FALSE),"")</f>
        <v/>
      </c>
      <c r="AC213" s="92">
        <f>IFERROR(VLOOKUP($A213,'13. Mapa Títulos-Receita'!$A$8:$P$1000,14,FALSE),"")</f>
        <v/>
      </c>
      <c r="AD213" s="92">
        <f>IFERROR(VLOOKUP($A213,'13. Mapa Títulos-Receita'!$A$8:$P$1000,15,FALSE),"")</f>
        <v/>
      </c>
      <c r="AE213" s="92">
        <f>IFERROR(VLOOKUP($A213,'13. Mapa Títulos-Receita'!$A$8:$P$1000,16,FALSE),"")</f>
        <v/>
      </c>
    </row>
    <row r="214">
      <c r="A214" s="28">
        <f>IF(C214="","", "CR-"&amp;TEXT(ROW()-7,"000"))</f>
        <v/>
      </c>
      <c r="B214" s="28" t="n"/>
      <c r="C214" s="28" t="n"/>
      <c r="D214" s="111" t="n"/>
      <c r="E214" s="111" t="n"/>
      <c r="F214" s="111" t="n"/>
      <c r="G214" s="28" t="n"/>
      <c r="H214" s="45" t="n"/>
      <c r="I214" s="45" t="n"/>
      <c r="J214" s="28">
        <f>IF(H214="","",IF(I214&gt;=H214,"Recebido",IF($B$4&gt;E214,"Vencido","Aberto")))</f>
        <v/>
      </c>
      <c r="K214" s="4">
        <f>IF(J214="","",IF(OR(J214="Recebido",F214=""),MAX(0,F214-E214),MAX(0,$B$4-E214)))</f>
        <v/>
      </c>
      <c r="L214" s="4">
        <f>IF(K214="","",IF(K214=0,"Em dia",IF(K214&lt;=30,"1-30 dias",IF(K214&lt;=60,"31-60 dias",IF(K214&lt;=90,"61-90 dias","&gt;90 dias")))))</f>
        <v/>
      </c>
      <c r="M214" s="28" t="n"/>
      <c r="N214" s="104" t="inlineStr"/>
      <c r="O214" s="64" t="n"/>
      <c r="P214" s="64">
        <f>IF(C214="","",IF(ISNUMBER(SEARCH("PCMSO",C214)),"PCMSO",IF(OR(ISNUMBER(SEARCH("E-SOCIAL",C214)),ISNUMBER(SEARCH("PSICOSOCIAL",C214))),"eSocial / Psicossocial",IF(O214="Receita recorrente","Carteira recorrente","Projetos / Laudos / Avulsos"))))</f>
        <v/>
      </c>
      <c r="Q214" s="64">
        <f>IF(P214="","",IF(P214="Carteira recorrente","Operação recorrente",IF(P214="PCMSO","Projetos PCMSO",IF(P214="eSocial / Psicossocial","Projetos eSocial/Psicossocial","Projetos / Laudos / Avulsos"))))</f>
        <v/>
      </c>
      <c r="R214" s="64">
        <f>IF(C214="","",IF(ISNUMBER(SEARCH("PCMSO",C214)),"Título com PCMSO no nome",IF(OR(ISNUMBER(SEARCH("E-SOCIAL",C214)),ISNUMBER(SEARCH("PSICOSOCIAL",C214))),"Título com eSocial/Psicossocial no nome",IF(O214="Receita recorrente","Tipo DRE recorrente","Extra sem palavra-chave específica"))))</f>
        <v/>
      </c>
      <c r="S214" s="92">
        <f>IFERROR(VLOOKUP($A214,'13. Mapa Títulos-Receita'!$A$8:$P$1000,4,FALSE),"")</f>
        <v/>
      </c>
      <c r="T214" s="92">
        <f>IFERROR(VLOOKUP($A214,'13. Mapa Títulos-Receita'!$A$8:$P$1000,5,FALSE),"")</f>
        <v/>
      </c>
      <c r="U214" s="92">
        <f>IFERROR(VLOOKUP($A214,'13. Mapa Títulos-Receita'!$A$8:$P$1000,6,FALSE),"")</f>
        <v/>
      </c>
      <c r="V214" s="92">
        <f>IFERROR(VLOOKUP($A214,'13. Mapa Títulos-Receita'!$A$8:$P$1000,7,FALSE),"")</f>
        <v/>
      </c>
      <c r="W214" s="92">
        <f>IFERROR(VLOOKUP($A214,'13. Mapa Títulos-Receita'!$A$8:$P$1000,8,FALSE),"")</f>
        <v/>
      </c>
      <c r="X214" s="92">
        <f>IFERROR(VLOOKUP($A214,'13. Mapa Títulos-Receita'!$A$8:$P$1000,9,FALSE),"")</f>
        <v/>
      </c>
      <c r="Y214" s="92">
        <f>IFERROR(VLOOKUP($A214,'13. Mapa Títulos-Receita'!$A$8:$P$1000,10,FALSE),"")</f>
        <v/>
      </c>
      <c r="Z214" s="92">
        <f>IFERROR(VLOOKUP($A214,'13. Mapa Títulos-Receita'!$A$8:$P$1000,11,FALSE),"")</f>
        <v/>
      </c>
      <c r="AA214" s="92">
        <f>IFERROR(VLOOKUP($A214,'13. Mapa Títulos-Receita'!$A$8:$P$1000,12,FALSE),"")</f>
        <v/>
      </c>
      <c r="AB214" s="92">
        <f>IFERROR(VLOOKUP($A214,'13. Mapa Títulos-Receita'!$A$8:$P$1000,13,FALSE),"")</f>
        <v/>
      </c>
      <c r="AC214" s="92">
        <f>IFERROR(VLOOKUP($A214,'13. Mapa Títulos-Receita'!$A$8:$P$1000,14,FALSE),"")</f>
        <v/>
      </c>
      <c r="AD214" s="92">
        <f>IFERROR(VLOOKUP($A214,'13. Mapa Títulos-Receita'!$A$8:$P$1000,15,FALSE),"")</f>
        <v/>
      </c>
      <c r="AE214" s="92">
        <f>IFERROR(VLOOKUP($A214,'13. Mapa Títulos-Receita'!$A$8:$P$1000,16,FALSE),"")</f>
        <v/>
      </c>
    </row>
    <row r="215">
      <c r="A215" s="28">
        <f>IF(C215="","", "CR-"&amp;TEXT(ROW()-7,"000"))</f>
        <v/>
      </c>
      <c r="B215" s="28" t="n"/>
      <c r="C215" s="28" t="n"/>
      <c r="D215" s="111" t="n"/>
      <c r="E215" s="111" t="n"/>
      <c r="F215" s="111" t="n"/>
      <c r="G215" s="28" t="n"/>
      <c r="H215" s="45" t="n"/>
      <c r="I215" s="45" t="n"/>
      <c r="J215" s="28">
        <f>IF(H215="","",IF(I215&gt;=H215,"Recebido",IF($B$4&gt;E215,"Vencido","Aberto")))</f>
        <v/>
      </c>
      <c r="K215" s="4">
        <f>IF(J215="","",IF(OR(J215="Recebido",F215=""),MAX(0,F215-E215),MAX(0,$B$4-E215)))</f>
        <v/>
      </c>
      <c r="L215" s="4">
        <f>IF(K215="","",IF(K215=0,"Em dia",IF(K215&lt;=30,"1-30 dias",IF(K215&lt;=60,"31-60 dias",IF(K215&lt;=90,"61-90 dias","&gt;90 dias")))))</f>
        <v/>
      </c>
      <c r="M215" s="28" t="n"/>
      <c r="N215" s="104" t="inlineStr"/>
      <c r="O215" s="64" t="n"/>
      <c r="P215" s="64">
        <f>IF(C215="","",IF(ISNUMBER(SEARCH("PCMSO",C215)),"PCMSO",IF(OR(ISNUMBER(SEARCH("E-SOCIAL",C215)),ISNUMBER(SEARCH("PSICOSOCIAL",C215))),"eSocial / Psicossocial",IF(O215="Receita recorrente","Carteira recorrente","Projetos / Laudos / Avulsos"))))</f>
        <v/>
      </c>
      <c r="Q215" s="64">
        <f>IF(P215="","",IF(P215="Carteira recorrente","Operação recorrente",IF(P215="PCMSO","Projetos PCMSO",IF(P215="eSocial / Psicossocial","Projetos eSocial/Psicossocial","Projetos / Laudos / Avulsos"))))</f>
        <v/>
      </c>
      <c r="R215" s="64">
        <f>IF(C215="","",IF(ISNUMBER(SEARCH("PCMSO",C215)),"Título com PCMSO no nome",IF(OR(ISNUMBER(SEARCH("E-SOCIAL",C215)),ISNUMBER(SEARCH("PSICOSOCIAL",C215))),"Título com eSocial/Psicossocial no nome",IF(O215="Receita recorrente","Tipo DRE recorrente","Extra sem palavra-chave específica"))))</f>
        <v/>
      </c>
      <c r="S215" s="92">
        <f>IFERROR(VLOOKUP($A215,'13. Mapa Títulos-Receita'!$A$8:$P$1000,4,FALSE),"")</f>
        <v/>
      </c>
      <c r="T215" s="92">
        <f>IFERROR(VLOOKUP($A215,'13. Mapa Títulos-Receita'!$A$8:$P$1000,5,FALSE),"")</f>
        <v/>
      </c>
      <c r="U215" s="92">
        <f>IFERROR(VLOOKUP($A215,'13. Mapa Títulos-Receita'!$A$8:$P$1000,6,FALSE),"")</f>
        <v/>
      </c>
      <c r="V215" s="92">
        <f>IFERROR(VLOOKUP($A215,'13. Mapa Títulos-Receita'!$A$8:$P$1000,7,FALSE),"")</f>
        <v/>
      </c>
      <c r="W215" s="92">
        <f>IFERROR(VLOOKUP($A215,'13. Mapa Títulos-Receita'!$A$8:$P$1000,8,FALSE),"")</f>
        <v/>
      </c>
      <c r="X215" s="92">
        <f>IFERROR(VLOOKUP($A215,'13. Mapa Títulos-Receita'!$A$8:$P$1000,9,FALSE),"")</f>
        <v/>
      </c>
      <c r="Y215" s="92">
        <f>IFERROR(VLOOKUP($A215,'13. Mapa Títulos-Receita'!$A$8:$P$1000,10,FALSE),"")</f>
        <v/>
      </c>
      <c r="Z215" s="92">
        <f>IFERROR(VLOOKUP($A215,'13. Mapa Títulos-Receita'!$A$8:$P$1000,11,FALSE),"")</f>
        <v/>
      </c>
      <c r="AA215" s="92">
        <f>IFERROR(VLOOKUP($A215,'13. Mapa Títulos-Receita'!$A$8:$P$1000,12,FALSE),"")</f>
        <v/>
      </c>
      <c r="AB215" s="92">
        <f>IFERROR(VLOOKUP($A215,'13. Mapa Títulos-Receita'!$A$8:$P$1000,13,FALSE),"")</f>
        <v/>
      </c>
      <c r="AC215" s="92">
        <f>IFERROR(VLOOKUP($A215,'13. Mapa Títulos-Receita'!$A$8:$P$1000,14,FALSE),"")</f>
        <v/>
      </c>
      <c r="AD215" s="92">
        <f>IFERROR(VLOOKUP($A215,'13. Mapa Títulos-Receita'!$A$8:$P$1000,15,FALSE),"")</f>
        <v/>
      </c>
      <c r="AE215" s="92">
        <f>IFERROR(VLOOKUP($A215,'13. Mapa Títulos-Receita'!$A$8:$P$1000,16,FALSE),"")</f>
        <v/>
      </c>
    </row>
    <row r="216">
      <c r="A216" s="28">
        <f>IF(C216="","", "CR-"&amp;TEXT(ROW()-7,"000"))</f>
        <v/>
      </c>
      <c r="B216" s="28" t="n"/>
      <c r="C216" s="28" t="n"/>
      <c r="D216" s="111" t="n"/>
      <c r="E216" s="111" t="n"/>
      <c r="F216" s="111" t="n"/>
      <c r="G216" s="28" t="n"/>
      <c r="H216" s="45" t="n"/>
      <c r="I216" s="45" t="n"/>
      <c r="J216" s="28">
        <f>IF(H216="","",IF(I216&gt;=H216,"Recebido",IF($B$4&gt;E216,"Vencido","Aberto")))</f>
        <v/>
      </c>
      <c r="K216" s="4">
        <f>IF(J216="","",IF(OR(J216="Recebido",F216=""),MAX(0,F216-E216),MAX(0,$B$4-E216)))</f>
        <v/>
      </c>
      <c r="L216" s="4">
        <f>IF(K216="","",IF(K216=0,"Em dia",IF(K216&lt;=30,"1-30 dias",IF(K216&lt;=60,"31-60 dias",IF(K216&lt;=90,"61-90 dias","&gt;90 dias")))))</f>
        <v/>
      </c>
      <c r="M216" s="28" t="n"/>
      <c r="N216" s="104" t="inlineStr"/>
      <c r="O216" s="64" t="n"/>
      <c r="P216" s="64">
        <f>IF(C216="","",IF(ISNUMBER(SEARCH("PCMSO",C216)),"PCMSO",IF(OR(ISNUMBER(SEARCH("E-SOCIAL",C216)),ISNUMBER(SEARCH("PSICOSOCIAL",C216))),"eSocial / Psicossocial",IF(O216="Receita recorrente","Carteira recorrente","Projetos / Laudos / Avulsos"))))</f>
        <v/>
      </c>
      <c r="Q216" s="64">
        <f>IF(P216="","",IF(P216="Carteira recorrente","Operação recorrente",IF(P216="PCMSO","Projetos PCMSO",IF(P216="eSocial / Psicossocial","Projetos eSocial/Psicossocial","Projetos / Laudos / Avulsos"))))</f>
        <v/>
      </c>
      <c r="R216" s="64">
        <f>IF(C216="","",IF(ISNUMBER(SEARCH("PCMSO",C216)),"Título com PCMSO no nome",IF(OR(ISNUMBER(SEARCH("E-SOCIAL",C216)),ISNUMBER(SEARCH("PSICOSOCIAL",C216))),"Título com eSocial/Psicossocial no nome",IF(O216="Receita recorrente","Tipo DRE recorrente","Extra sem palavra-chave específica"))))</f>
        <v/>
      </c>
      <c r="S216" s="92">
        <f>IFERROR(VLOOKUP($A216,'13. Mapa Títulos-Receita'!$A$8:$P$1000,4,FALSE),"")</f>
        <v/>
      </c>
      <c r="T216" s="92">
        <f>IFERROR(VLOOKUP($A216,'13. Mapa Títulos-Receita'!$A$8:$P$1000,5,FALSE),"")</f>
        <v/>
      </c>
      <c r="U216" s="92">
        <f>IFERROR(VLOOKUP($A216,'13. Mapa Títulos-Receita'!$A$8:$P$1000,6,FALSE),"")</f>
        <v/>
      </c>
      <c r="V216" s="92">
        <f>IFERROR(VLOOKUP($A216,'13. Mapa Títulos-Receita'!$A$8:$P$1000,7,FALSE),"")</f>
        <v/>
      </c>
      <c r="W216" s="92">
        <f>IFERROR(VLOOKUP($A216,'13. Mapa Títulos-Receita'!$A$8:$P$1000,8,FALSE),"")</f>
        <v/>
      </c>
      <c r="X216" s="92">
        <f>IFERROR(VLOOKUP($A216,'13. Mapa Títulos-Receita'!$A$8:$P$1000,9,FALSE),"")</f>
        <v/>
      </c>
      <c r="Y216" s="92">
        <f>IFERROR(VLOOKUP($A216,'13. Mapa Títulos-Receita'!$A$8:$P$1000,10,FALSE),"")</f>
        <v/>
      </c>
      <c r="Z216" s="92">
        <f>IFERROR(VLOOKUP($A216,'13. Mapa Títulos-Receita'!$A$8:$P$1000,11,FALSE),"")</f>
        <v/>
      </c>
      <c r="AA216" s="92">
        <f>IFERROR(VLOOKUP($A216,'13. Mapa Títulos-Receita'!$A$8:$P$1000,12,FALSE),"")</f>
        <v/>
      </c>
      <c r="AB216" s="92">
        <f>IFERROR(VLOOKUP($A216,'13. Mapa Títulos-Receita'!$A$8:$P$1000,13,FALSE),"")</f>
        <v/>
      </c>
      <c r="AC216" s="92">
        <f>IFERROR(VLOOKUP($A216,'13. Mapa Títulos-Receita'!$A$8:$P$1000,14,FALSE),"")</f>
        <v/>
      </c>
      <c r="AD216" s="92">
        <f>IFERROR(VLOOKUP($A216,'13. Mapa Títulos-Receita'!$A$8:$P$1000,15,FALSE),"")</f>
        <v/>
      </c>
      <c r="AE216" s="92">
        <f>IFERROR(VLOOKUP($A216,'13. Mapa Títulos-Receita'!$A$8:$P$1000,16,FALSE),"")</f>
        <v/>
      </c>
    </row>
    <row r="217">
      <c r="A217" s="28">
        <f>IF(C217="","", "CR-"&amp;TEXT(ROW()-7,"000"))</f>
        <v/>
      </c>
      <c r="B217" s="28" t="n"/>
      <c r="C217" s="28" t="n"/>
      <c r="D217" s="111" t="n"/>
      <c r="E217" s="111" t="n"/>
      <c r="F217" s="111" t="n"/>
      <c r="G217" s="28" t="n"/>
      <c r="H217" s="45" t="n"/>
      <c r="I217" s="45" t="n"/>
      <c r="J217" s="28">
        <f>IF(H217="","",IF(I217&gt;=H217,"Recebido",IF($B$4&gt;E217,"Vencido","Aberto")))</f>
        <v/>
      </c>
      <c r="K217" s="4">
        <f>IF(J217="","",IF(OR(J217="Recebido",F217=""),MAX(0,F217-E217),MAX(0,$B$4-E217)))</f>
        <v/>
      </c>
      <c r="L217" s="4">
        <f>IF(K217="","",IF(K217=0,"Em dia",IF(K217&lt;=30,"1-30 dias",IF(K217&lt;=60,"31-60 dias",IF(K217&lt;=90,"61-90 dias","&gt;90 dias")))))</f>
        <v/>
      </c>
      <c r="M217" s="28" t="n"/>
      <c r="N217" s="104" t="inlineStr"/>
      <c r="O217" s="64" t="n"/>
      <c r="P217" s="64">
        <f>IF(C217="","",IF(ISNUMBER(SEARCH("PCMSO",C217)),"PCMSO",IF(OR(ISNUMBER(SEARCH("E-SOCIAL",C217)),ISNUMBER(SEARCH("PSICOSOCIAL",C217))),"eSocial / Psicossocial",IF(O217="Receita recorrente","Carteira recorrente","Projetos / Laudos / Avulsos"))))</f>
        <v/>
      </c>
      <c r="Q217" s="64">
        <f>IF(P217="","",IF(P217="Carteira recorrente","Operação recorrente",IF(P217="PCMSO","Projetos PCMSO",IF(P217="eSocial / Psicossocial","Projetos eSocial/Psicossocial","Projetos / Laudos / Avulsos"))))</f>
        <v/>
      </c>
      <c r="R217" s="64">
        <f>IF(C217="","",IF(ISNUMBER(SEARCH("PCMSO",C217)),"Título com PCMSO no nome",IF(OR(ISNUMBER(SEARCH("E-SOCIAL",C217)),ISNUMBER(SEARCH("PSICOSOCIAL",C217))),"Título com eSocial/Psicossocial no nome",IF(O217="Receita recorrente","Tipo DRE recorrente","Extra sem palavra-chave específica"))))</f>
        <v/>
      </c>
      <c r="S217" s="92">
        <f>IFERROR(VLOOKUP($A217,'13. Mapa Títulos-Receita'!$A$8:$P$1000,4,FALSE),"")</f>
        <v/>
      </c>
      <c r="T217" s="92">
        <f>IFERROR(VLOOKUP($A217,'13. Mapa Títulos-Receita'!$A$8:$P$1000,5,FALSE),"")</f>
        <v/>
      </c>
      <c r="U217" s="92">
        <f>IFERROR(VLOOKUP($A217,'13. Mapa Títulos-Receita'!$A$8:$P$1000,6,FALSE),"")</f>
        <v/>
      </c>
      <c r="V217" s="92">
        <f>IFERROR(VLOOKUP($A217,'13. Mapa Títulos-Receita'!$A$8:$P$1000,7,FALSE),"")</f>
        <v/>
      </c>
      <c r="W217" s="92">
        <f>IFERROR(VLOOKUP($A217,'13. Mapa Títulos-Receita'!$A$8:$P$1000,8,FALSE),"")</f>
        <v/>
      </c>
      <c r="X217" s="92">
        <f>IFERROR(VLOOKUP($A217,'13. Mapa Títulos-Receita'!$A$8:$P$1000,9,FALSE),"")</f>
        <v/>
      </c>
      <c r="Y217" s="92">
        <f>IFERROR(VLOOKUP($A217,'13. Mapa Títulos-Receita'!$A$8:$P$1000,10,FALSE),"")</f>
        <v/>
      </c>
      <c r="Z217" s="92">
        <f>IFERROR(VLOOKUP($A217,'13. Mapa Títulos-Receita'!$A$8:$P$1000,11,FALSE),"")</f>
        <v/>
      </c>
      <c r="AA217" s="92">
        <f>IFERROR(VLOOKUP($A217,'13. Mapa Títulos-Receita'!$A$8:$P$1000,12,FALSE),"")</f>
        <v/>
      </c>
      <c r="AB217" s="92">
        <f>IFERROR(VLOOKUP($A217,'13. Mapa Títulos-Receita'!$A$8:$P$1000,13,FALSE),"")</f>
        <v/>
      </c>
      <c r="AC217" s="92">
        <f>IFERROR(VLOOKUP($A217,'13. Mapa Títulos-Receita'!$A$8:$P$1000,14,FALSE),"")</f>
        <v/>
      </c>
      <c r="AD217" s="92">
        <f>IFERROR(VLOOKUP($A217,'13. Mapa Títulos-Receita'!$A$8:$P$1000,15,FALSE),"")</f>
        <v/>
      </c>
      <c r="AE217" s="92">
        <f>IFERROR(VLOOKUP($A217,'13. Mapa Títulos-Receita'!$A$8:$P$1000,16,FALSE),"")</f>
        <v/>
      </c>
    </row>
    <row r="218">
      <c r="A218" s="28">
        <f>IF(C218="","", "CR-"&amp;TEXT(ROW()-7,"000"))</f>
        <v/>
      </c>
      <c r="B218" s="28" t="n"/>
      <c r="C218" s="28" t="n"/>
      <c r="D218" s="111" t="n"/>
      <c r="E218" s="111" t="n"/>
      <c r="F218" s="111" t="n"/>
      <c r="G218" s="28" t="n"/>
      <c r="H218" s="45" t="n"/>
      <c r="I218" s="45" t="n"/>
      <c r="J218" s="28">
        <f>IF(H218="","",IF(I218&gt;=H218,"Recebido",IF($B$4&gt;E218,"Vencido","Aberto")))</f>
        <v/>
      </c>
      <c r="K218" s="4">
        <f>IF(J218="","",IF(OR(J218="Recebido",F218=""),MAX(0,F218-E218),MAX(0,$B$4-E218)))</f>
        <v/>
      </c>
      <c r="L218" s="4">
        <f>IF(K218="","",IF(K218=0,"Em dia",IF(K218&lt;=30,"1-30 dias",IF(K218&lt;=60,"31-60 dias",IF(K218&lt;=90,"61-90 dias","&gt;90 dias")))))</f>
        <v/>
      </c>
      <c r="M218" s="28" t="n"/>
      <c r="N218" s="104" t="inlineStr"/>
      <c r="O218" s="64" t="n"/>
      <c r="P218" s="64">
        <f>IF(C218="","",IF(ISNUMBER(SEARCH("PCMSO",C218)),"PCMSO",IF(OR(ISNUMBER(SEARCH("E-SOCIAL",C218)),ISNUMBER(SEARCH("PSICOSOCIAL",C218))),"eSocial / Psicossocial",IF(O218="Receita recorrente","Carteira recorrente","Projetos / Laudos / Avulsos"))))</f>
        <v/>
      </c>
      <c r="Q218" s="64">
        <f>IF(P218="","",IF(P218="Carteira recorrente","Operação recorrente",IF(P218="PCMSO","Projetos PCMSO",IF(P218="eSocial / Psicossocial","Projetos eSocial/Psicossocial","Projetos / Laudos / Avulsos"))))</f>
        <v/>
      </c>
      <c r="R218" s="64">
        <f>IF(C218="","",IF(ISNUMBER(SEARCH("PCMSO",C218)),"Título com PCMSO no nome",IF(OR(ISNUMBER(SEARCH("E-SOCIAL",C218)),ISNUMBER(SEARCH("PSICOSOCIAL",C218))),"Título com eSocial/Psicossocial no nome",IF(O218="Receita recorrente","Tipo DRE recorrente","Extra sem palavra-chave específica"))))</f>
        <v/>
      </c>
      <c r="S218" s="92">
        <f>IFERROR(VLOOKUP($A218,'13. Mapa Títulos-Receita'!$A$8:$P$1000,4,FALSE),"")</f>
        <v/>
      </c>
      <c r="T218" s="92">
        <f>IFERROR(VLOOKUP($A218,'13. Mapa Títulos-Receita'!$A$8:$P$1000,5,FALSE),"")</f>
        <v/>
      </c>
      <c r="U218" s="92">
        <f>IFERROR(VLOOKUP($A218,'13. Mapa Títulos-Receita'!$A$8:$P$1000,6,FALSE),"")</f>
        <v/>
      </c>
      <c r="V218" s="92">
        <f>IFERROR(VLOOKUP($A218,'13. Mapa Títulos-Receita'!$A$8:$P$1000,7,FALSE),"")</f>
        <v/>
      </c>
      <c r="W218" s="92">
        <f>IFERROR(VLOOKUP($A218,'13. Mapa Títulos-Receita'!$A$8:$P$1000,8,FALSE),"")</f>
        <v/>
      </c>
      <c r="X218" s="92">
        <f>IFERROR(VLOOKUP($A218,'13. Mapa Títulos-Receita'!$A$8:$P$1000,9,FALSE),"")</f>
        <v/>
      </c>
      <c r="Y218" s="92">
        <f>IFERROR(VLOOKUP($A218,'13. Mapa Títulos-Receita'!$A$8:$P$1000,10,FALSE),"")</f>
        <v/>
      </c>
      <c r="Z218" s="92">
        <f>IFERROR(VLOOKUP($A218,'13. Mapa Títulos-Receita'!$A$8:$P$1000,11,FALSE),"")</f>
        <v/>
      </c>
      <c r="AA218" s="92">
        <f>IFERROR(VLOOKUP($A218,'13. Mapa Títulos-Receita'!$A$8:$P$1000,12,FALSE),"")</f>
        <v/>
      </c>
      <c r="AB218" s="92">
        <f>IFERROR(VLOOKUP($A218,'13. Mapa Títulos-Receita'!$A$8:$P$1000,13,FALSE),"")</f>
        <v/>
      </c>
      <c r="AC218" s="92">
        <f>IFERROR(VLOOKUP($A218,'13. Mapa Títulos-Receita'!$A$8:$P$1000,14,FALSE),"")</f>
        <v/>
      </c>
      <c r="AD218" s="92">
        <f>IFERROR(VLOOKUP($A218,'13. Mapa Títulos-Receita'!$A$8:$P$1000,15,FALSE),"")</f>
        <v/>
      </c>
      <c r="AE218" s="92">
        <f>IFERROR(VLOOKUP($A218,'13. Mapa Títulos-Receita'!$A$8:$P$1000,16,FALSE),"")</f>
        <v/>
      </c>
    </row>
    <row r="219">
      <c r="A219" s="28">
        <f>IF(C219="","", "CR-"&amp;TEXT(ROW()-7,"000"))</f>
        <v/>
      </c>
      <c r="B219" s="28" t="n"/>
      <c r="C219" s="28" t="n"/>
      <c r="D219" s="111" t="n"/>
      <c r="E219" s="111" t="n"/>
      <c r="F219" s="111" t="n"/>
      <c r="G219" s="28" t="n"/>
      <c r="H219" s="45" t="n"/>
      <c r="I219" s="45" t="n"/>
      <c r="J219" s="28">
        <f>IF(H219="","",IF(I219&gt;=H219,"Recebido",IF($B$4&gt;E219,"Vencido","Aberto")))</f>
        <v/>
      </c>
      <c r="K219" s="4">
        <f>IF(J219="","",IF(OR(J219="Recebido",F219=""),MAX(0,F219-E219),MAX(0,$B$4-E219)))</f>
        <v/>
      </c>
      <c r="L219" s="4">
        <f>IF(K219="","",IF(K219=0,"Em dia",IF(K219&lt;=30,"1-30 dias",IF(K219&lt;=60,"31-60 dias",IF(K219&lt;=90,"61-90 dias","&gt;90 dias")))))</f>
        <v/>
      </c>
      <c r="M219" s="28" t="n"/>
      <c r="N219" s="104" t="inlineStr"/>
      <c r="O219" s="64" t="n"/>
      <c r="P219" s="64">
        <f>IF(C219="","",IF(ISNUMBER(SEARCH("PCMSO",C219)),"PCMSO",IF(OR(ISNUMBER(SEARCH("E-SOCIAL",C219)),ISNUMBER(SEARCH("PSICOSOCIAL",C219))),"eSocial / Psicossocial",IF(O219="Receita recorrente","Carteira recorrente","Projetos / Laudos / Avulsos"))))</f>
        <v/>
      </c>
      <c r="Q219" s="64">
        <f>IF(P219="","",IF(P219="Carteira recorrente","Operação recorrente",IF(P219="PCMSO","Projetos PCMSO",IF(P219="eSocial / Psicossocial","Projetos eSocial/Psicossocial","Projetos / Laudos / Avulsos"))))</f>
        <v/>
      </c>
      <c r="R219" s="64">
        <f>IF(C219="","",IF(ISNUMBER(SEARCH("PCMSO",C219)),"Título com PCMSO no nome",IF(OR(ISNUMBER(SEARCH("E-SOCIAL",C219)),ISNUMBER(SEARCH("PSICOSOCIAL",C219))),"Título com eSocial/Psicossocial no nome",IF(O219="Receita recorrente","Tipo DRE recorrente","Extra sem palavra-chave específica"))))</f>
        <v/>
      </c>
      <c r="S219" s="92">
        <f>IFERROR(VLOOKUP($A219,'13. Mapa Títulos-Receita'!$A$8:$P$1000,4,FALSE),"")</f>
        <v/>
      </c>
      <c r="T219" s="92">
        <f>IFERROR(VLOOKUP($A219,'13. Mapa Títulos-Receita'!$A$8:$P$1000,5,FALSE),"")</f>
        <v/>
      </c>
      <c r="U219" s="92">
        <f>IFERROR(VLOOKUP($A219,'13. Mapa Títulos-Receita'!$A$8:$P$1000,6,FALSE),"")</f>
        <v/>
      </c>
      <c r="V219" s="92">
        <f>IFERROR(VLOOKUP($A219,'13. Mapa Títulos-Receita'!$A$8:$P$1000,7,FALSE),"")</f>
        <v/>
      </c>
      <c r="W219" s="92">
        <f>IFERROR(VLOOKUP($A219,'13. Mapa Títulos-Receita'!$A$8:$P$1000,8,FALSE),"")</f>
        <v/>
      </c>
      <c r="X219" s="92">
        <f>IFERROR(VLOOKUP($A219,'13. Mapa Títulos-Receita'!$A$8:$P$1000,9,FALSE),"")</f>
        <v/>
      </c>
      <c r="Y219" s="92">
        <f>IFERROR(VLOOKUP($A219,'13. Mapa Títulos-Receita'!$A$8:$P$1000,10,FALSE),"")</f>
        <v/>
      </c>
      <c r="Z219" s="92">
        <f>IFERROR(VLOOKUP($A219,'13. Mapa Títulos-Receita'!$A$8:$P$1000,11,FALSE),"")</f>
        <v/>
      </c>
      <c r="AA219" s="92">
        <f>IFERROR(VLOOKUP($A219,'13. Mapa Títulos-Receita'!$A$8:$P$1000,12,FALSE),"")</f>
        <v/>
      </c>
      <c r="AB219" s="92">
        <f>IFERROR(VLOOKUP($A219,'13. Mapa Títulos-Receita'!$A$8:$P$1000,13,FALSE),"")</f>
        <v/>
      </c>
      <c r="AC219" s="92">
        <f>IFERROR(VLOOKUP($A219,'13. Mapa Títulos-Receita'!$A$8:$P$1000,14,FALSE),"")</f>
        <v/>
      </c>
      <c r="AD219" s="92">
        <f>IFERROR(VLOOKUP($A219,'13. Mapa Títulos-Receita'!$A$8:$P$1000,15,FALSE),"")</f>
        <v/>
      </c>
      <c r="AE219" s="92">
        <f>IFERROR(VLOOKUP($A219,'13. Mapa Títulos-Receita'!$A$8:$P$1000,16,FALSE),"")</f>
        <v/>
      </c>
    </row>
    <row r="220">
      <c r="A220" s="28">
        <f>IF(C220="","", "CR-"&amp;TEXT(ROW()-7,"000"))</f>
        <v/>
      </c>
      <c r="B220" s="28" t="n"/>
      <c r="C220" s="28" t="n"/>
      <c r="D220" s="111" t="n"/>
      <c r="E220" s="111" t="n"/>
      <c r="F220" s="111" t="n"/>
      <c r="G220" s="28" t="n"/>
      <c r="H220" s="45" t="n"/>
      <c r="I220" s="45" t="n"/>
      <c r="J220" s="28">
        <f>IF(H220="","",IF(I220&gt;=H220,"Recebido",IF($B$4&gt;E220,"Vencido","Aberto")))</f>
        <v/>
      </c>
      <c r="K220" s="4">
        <f>IF(J220="","",IF(OR(J220="Recebido",F220=""),MAX(0,F220-E220),MAX(0,$B$4-E220)))</f>
        <v/>
      </c>
      <c r="L220" s="4">
        <f>IF(K220="","",IF(K220=0,"Em dia",IF(K220&lt;=30,"1-30 dias",IF(K220&lt;=60,"31-60 dias",IF(K220&lt;=90,"61-90 dias","&gt;90 dias")))))</f>
        <v/>
      </c>
      <c r="M220" s="28" t="n"/>
      <c r="N220" s="104" t="inlineStr"/>
      <c r="O220" s="64" t="n"/>
      <c r="P220" s="64">
        <f>IF(C220="","",IF(ISNUMBER(SEARCH("PCMSO",C220)),"PCMSO",IF(OR(ISNUMBER(SEARCH("E-SOCIAL",C220)),ISNUMBER(SEARCH("PSICOSOCIAL",C220))),"eSocial / Psicossocial",IF(O220="Receita recorrente","Carteira recorrente","Projetos / Laudos / Avulsos"))))</f>
        <v/>
      </c>
      <c r="Q220" s="64">
        <f>IF(P220="","",IF(P220="Carteira recorrente","Operação recorrente",IF(P220="PCMSO","Projetos PCMSO",IF(P220="eSocial / Psicossocial","Projetos eSocial/Psicossocial","Projetos / Laudos / Avulsos"))))</f>
        <v/>
      </c>
      <c r="R220" s="64">
        <f>IF(C220="","",IF(ISNUMBER(SEARCH("PCMSO",C220)),"Título com PCMSO no nome",IF(OR(ISNUMBER(SEARCH("E-SOCIAL",C220)),ISNUMBER(SEARCH("PSICOSOCIAL",C220))),"Título com eSocial/Psicossocial no nome",IF(O220="Receita recorrente","Tipo DRE recorrente","Extra sem palavra-chave específica"))))</f>
        <v/>
      </c>
      <c r="S220" s="92">
        <f>IFERROR(VLOOKUP($A220,'13. Mapa Títulos-Receita'!$A$8:$P$1000,4,FALSE),"")</f>
        <v/>
      </c>
      <c r="T220" s="92">
        <f>IFERROR(VLOOKUP($A220,'13. Mapa Títulos-Receita'!$A$8:$P$1000,5,FALSE),"")</f>
        <v/>
      </c>
      <c r="U220" s="92">
        <f>IFERROR(VLOOKUP($A220,'13. Mapa Títulos-Receita'!$A$8:$P$1000,6,FALSE),"")</f>
        <v/>
      </c>
      <c r="V220" s="92">
        <f>IFERROR(VLOOKUP($A220,'13. Mapa Títulos-Receita'!$A$8:$P$1000,7,FALSE),"")</f>
        <v/>
      </c>
      <c r="W220" s="92">
        <f>IFERROR(VLOOKUP($A220,'13. Mapa Títulos-Receita'!$A$8:$P$1000,8,FALSE),"")</f>
        <v/>
      </c>
      <c r="X220" s="92">
        <f>IFERROR(VLOOKUP($A220,'13. Mapa Títulos-Receita'!$A$8:$P$1000,9,FALSE),"")</f>
        <v/>
      </c>
      <c r="Y220" s="92">
        <f>IFERROR(VLOOKUP($A220,'13. Mapa Títulos-Receita'!$A$8:$P$1000,10,FALSE),"")</f>
        <v/>
      </c>
      <c r="Z220" s="92">
        <f>IFERROR(VLOOKUP($A220,'13. Mapa Títulos-Receita'!$A$8:$P$1000,11,FALSE),"")</f>
        <v/>
      </c>
      <c r="AA220" s="92">
        <f>IFERROR(VLOOKUP($A220,'13. Mapa Títulos-Receita'!$A$8:$P$1000,12,FALSE),"")</f>
        <v/>
      </c>
      <c r="AB220" s="92">
        <f>IFERROR(VLOOKUP($A220,'13. Mapa Títulos-Receita'!$A$8:$P$1000,13,FALSE),"")</f>
        <v/>
      </c>
      <c r="AC220" s="92">
        <f>IFERROR(VLOOKUP($A220,'13. Mapa Títulos-Receita'!$A$8:$P$1000,14,FALSE),"")</f>
        <v/>
      </c>
      <c r="AD220" s="92">
        <f>IFERROR(VLOOKUP($A220,'13. Mapa Títulos-Receita'!$A$8:$P$1000,15,FALSE),"")</f>
        <v/>
      </c>
      <c r="AE220" s="92">
        <f>IFERROR(VLOOKUP($A220,'13. Mapa Títulos-Receita'!$A$8:$P$1000,16,FALSE),"")</f>
        <v/>
      </c>
    </row>
    <row r="221">
      <c r="A221" s="28">
        <f>IF(C221="","", "CR-"&amp;TEXT(ROW()-7,"000"))</f>
        <v/>
      </c>
      <c r="B221" s="28" t="n"/>
      <c r="C221" s="28" t="n"/>
      <c r="D221" s="111" t="n"/>
      <c r="E221" s="111" t="n"/>
      <c r="F221" s="111" t="n"/>
      <c r="G221" s="28" t="n"/>
      <c r="H221" s="45" t="n"/>
      <c r="I221" s="45" t="n"/>
      <c r="J221" s="28">
        <f>IF(H221="","",IF(I221&gt;=H221,"Recebido",IF($B$4&gt;E221,"Vencido","Aberto")))</f>
        <v/>
      </c>
      <c r="K221" s="4">
        <f>IF(J221="","",IF(OR(J221="Recebido",F221=""),MAX(0,F221-E221),MAX(0,$B$4-E221)))</f>
        <v/>
      </c>
      <c r="L221" s="4">
        <f>IF(K221="","",IF(K221=0,"Em dia",IF(K221&lt;=30,"1-30 dias",IF(K221&lt;=60,"31-60 dias",IF(K221&lt;=90,"61-90 dias","&gt;90 dias")))))</f>
        <v/>
      </c>
      <c r="M221" s="28" t="n"/>
      <c r="N221" s="104" t="inlineStr"/>
      <c r="O221" s="64" t="n"/>
      <c r="P221" s="64">
        <f>IF(C221="","",IF(ISNUMBER(SEARCH("PCMSO",C221)),"PCMSO",IF(OR(ISNUMBER(SEARCH("E-SOCIAL",C221)),ISNUMBER(SEARCH("PSICOSOCIAL",C221))),"eSocial / Psicossocial",IF(O221="Receita recorrente","Carteira recorrente","Projetos / Laudos / Avulsos"))))</f>
        <v/>
      </c>
      <c r="Q221" s="64">
        <f>IF(P221="","",IF(P221="Carteira recorrente","Operação recorrente",IF(P221="PCMSO","Projetos PCMSO",IF(P221="eSocial / Psicossocial","Projetos eSocial/Psicossocial","Projetos / Laudos / Avulsos"))))</f>
        <v/>
      </c>
      <c r="R221" s="64">
        <f>IF(C221="","",IF(ISNUMBER(SEARCH("PCMSO",C221)),"Título com PCMSO no nome",IF(OR(ISNUMBER(SEARCH("E-SOCIAL",C221)),ISNUMBER(SEARCH("PSICOSOCIAL",C221))),"Título com eSocial/Psicossocial no nome",IF(O221="Receita recorrente","Tipo DRE recorrente","Extra sem palavra-chave específica"))))</f>
        <v/>
      </c>
      <c r="S221" s="92">
        <f>IFERROR(VLOOKUP($A221,'13. Mapa Títulos-Receita'!$A$8:$P$1000,4,FALSE),"")</f>
        <v/>
      </c>
      <c r="T221" s="92">
        <f>IFERROR(VLOOKUP($A221,'13. Mapa Títulos-Receita'!$A$8:$P$1000,5,FALSE),"")</f>
        <v/>
      </c>
      <c r="U221" s="92">
        <f>IFERROR(VLOOKUP($A221,'13. Mapa Títulos-Receita'!$A$8:$P$1000,6,FALSE),"")</f>
        <v/>
      </c>
      <c r="V221" s="92">
        <f>IFERROR(VLOOKUP($A221,'13. Mapa Títulos-Receita'!$A$8:$P$1000,7,FALSE),"")</f>
        <v/>
      </c>
      <c r="W221" s="92">
        <f>IFERROR(VLOOKUP($A221,'13. Mapa Títulos-Receita'!$A$8:$P$1000,8,FALSE),"")</f>
        <v/>
      </c>
      <c r="X221" s="92">
        <f>IFERROR(VLOOKUP($A221,'13. Mapa Títulos-Receita'!$A$8:$P$1000,9,FALSE),"")</f>
        <v/>
      </c>
      <c r="Y221" s="92">
        <f>IFERROR(VLOOKUP($A221,'13. Mapa Títulos-Receita'!$A$8:$P$1000,10,FALSE),"")</f>
        <v/>
      </c>
      <c r="Z221" s="92">
        <f>IFERROR(VLOOKUP($A221,'13. Mapa Títulos-Receita'!$A$8:$P$1000,11,FALSE),"")</f>
        <v/>
      </c>
      <c r="AA221" s="92">
        <f>IFERROR(VLOOKUP($A221,'13. Mapa Títulos-Receita'!$A$8:$P$1000,12,FALSE),"")</f>
        <v/>
      </c>
      <c r="AB221" s="92">
        <f>IFERROR(VLOOKUP($A221,'13. Mapa Títulos-Receita'!$A$8:$P$1000,13,FALSE),"")</f>
        <v/>
      </c>
      <c r="AC221" s="92">
        <f>IFERROR(VLOOKUP($A221,'13. Mapa Títulos-Receita'!$A$8:$P$1000,14,FALSE),"")</f>
        <v/>
      </c>
      <c r="AD221" s="92">
        <f>IFERROR(VLOOKUP($A221,'13. Mapa Títulos-Receita'!$A$8:$P$1000,15,FALSE),"")</f>
        <v/>
      </c>
      <c r="AE221" s="92">
        <f>IFERROR(VLOOKUP($A221,'13. Mapa Títulos-Receita'!$A$8:$P$1000,16,FALSE),"")</f>
        <v/>
      </c>
    </row>
    <row r="222">
      <c r="A222" s="28">
        <f>IF(C222="","", "CR-"&amp;TEXT(ROW()-7,"000"))</f>
        <v/>
      </c>
      <c r="B222" s="28" t="n"/>
      <c r="C222" s="28" t="n"/>
      <c r="D222" s="111" t="n"/>
      <c r="E222" s="111" t="n"/>
      <c r="F222" s="111" t="n"/>
      <c r="G222" s="28" t="n"/>
      <c r="H222" s="45" t="n"/>
      <c r="I222" s="45" t="n"/>
      <c r="J222" s="28">
        <f>IF(H222="","",IF(I222&gt;=H222,"Recebido",IF($B$4&gt;E222,"Vencido","Aberto")))</f>
        <v/>
      </c>
      <c r="K222" s="4">
        <f>IF(J222="","",IF(OR(J222="Recebido",F222=""),MAX(0,F222-E222),MAX(0,$B$4-E222)))</f>
        <v/>
      </c>
      <c r="L222" s="4">
        <f>IF(K222="","",IF(K222=0,"Em dia",IF(K222&lt;=30,"1-30 dias",IF(K222&lt;=60,"31-60 dias",IF(K222&lt;=90,"61-90 dias","&gt;90 dias")))))</f>
        <v/>
      </c>
      <c r="M222" s="28" t="n"/>
      <c r="N222" s="104" t="inlineStr"/>
      <c r="O222" s="64" t="n"/>
      <c r="P222" s="64">
        <f>IF(C222="","",IF(ISNUMBER(SEARCH("PCMSO",C222)),"PCMSO",IF(OR(ISNUMBER(SEARCH("E-SOCIAL",C222)),ISNUMBER(SEARCH("PSICOSOCIAL",C222))),"eSocial / Psicossocial",IF(O222="Receita recorrente","Carteira recorrente","Projetos / Laudos / Avulsos"))))</f>
        <v/>
      </c>
      <c r="Q222" s="64">
        <f>IF(P222="","",IF(P222="Carteira recorrente","Operação recorrente",IF(P222="PCMSO","Projetos PCMSO",IF(P222="eSocial / Psicossocial","Projetos eSocial/Psicossocial","Projetos / Laudos / Avulsos"))))</f>
        <v/>
      </c>
      <c r="R222" s="64">
        <f>IF(C222="","",IF(ISNUMBER(SEARCH("PCMSO",C222)),"Título com PCMSO no nome",IF(OR(ISNUMBER(SEARCH("E-SOCIAL",C222)),ISNUMBER(SEARCH("PSICOSOCIAL",C222))),"Título com eSocial/Psicossocial no nome",IF(O222="Receita recorrente","Tipo DRE recorrente","Extra sem palavra-chave específica"))))</f>
        <v/>
      </c>
      <c r="S222" s="92">
        <f>IFERROR(VLOOKUP($A222,'13. Mapa Títulos-Receita'!$A$8:$P$1000,4,FALSE),"")</f>
        <v/>
      </c>
      <c r="T222" s="92">
        <f>IFERROR(VLOOKUP($A222,'13. Mapa Títulos-Receita'!$A$8:$P$1000,5,FALSE),"")</f>
        <v/>
      </c>
      <c r="U222" s="92">
        <f>IFERROR(VLOOKUP($A222,'13. Mapa Títulos-Receita'!$A$8:$P$1000,6,FALSE),"")</f>
        <v/>
      </c>
      <c r="V222" s="92">
        <f>IFERROR(VLOOKUP($A222,'13. Mapa Títulos-Receita'!$A$8:$P$1000,7,FALSE),"")</f>
        <v/>
      </c>
      <c r="W222" s="92">
        <f>IFERROR(VLOOKUP($A222,'13. Mapa Títulos-Receita'!$A$8:$P$1000,8,FALSE),"")</f>
        <v/>
      </c>
      <c r="X222" s="92">
        <f>IFERROR(VLOOKUP($A222,'13. Mapa Títulos-Receita'!$A$8:$P$1000,9,FALSE),"")</f>
        <v/>
      </c>
      <c r="Y222" s="92">
        <f>IFERROR(VLOOKUP($A222,'13. Mapa Títulos-Receita'!$A$8:$P$1000,10,FALSE),"")</f>
        <v/>
      </c>
      <c r="Z222" s="92">
        <f>IFERROR(VLOOKUP($A222,'13. Mapa Títulos-Receita'!$A$8:$P$1000,11,FALSE),"")</f>
        <v/>
      </c>
      <c r="AA222" s="92">
        <f>IFERROR(VLOOKUP($A222,'13. Mapa Títulos-Receita'!$A$8:$P$1000,12,FALSE),"")</f>
        <v/>
      </c>
      <c r="AB222" s="92">
        <f>IFERROR(VLOOKUP($A222,'13. Mapa Títulos-Receita'!$A$8:$P$1000,13,FALSE),"")</f>
        <v/>
      </c>
      <c r="AC222" s="92">
        <f>IFERROR(VLOOKUP($A222,'13. Mapa Títulos-Receita'!$A$8:$P$1000,14,FALSE),"")</f>
        <v/>
      </c>
      <c r="AD222" s="92">
        <f>IFERROR(VLOOKUP($A222,'13. Mapa Títulos-Receita'!$A$8:$P$1000,15,FALSE),"")</f>
        <v/>
      </c>
      <c r="AE222" s="92">
        <f>IFERROR(VLOOKUP($A222,'13. Mapa Títulos-Receita'!$A$8:$P$1000,16,FALSE),"")</f>
        <v/>
      </c>
    </row>
    <row r="223">
      <c r="A223" s="28">
        <f>IF(C223="","", "CR-"&amp;TEXT(ROW()-7,"000"))</f>
        <v/>
      </c>
      <c r="B223" s="28" t="n"/>
      <c r="C223" s="28" t="n"/>
      <c r="D223" s="111" t="n"/>
      <c r="E223" s="111" t="n"/>
      <c r="F223" s="111" t="n"/>
      <c r="G223" s="28" t="n"/>
      <c r="H223" s="45" t="n"/>
      <c r="I223" s="45" t="n"/>
      <c r="J223" s="28">
        <f>IF(H223="","",IF(I223&gt;=H223,"Recebido",IF($B$4&gt;E223,"Vencido","Aberto")))</f>
        <v/>
      </c>
      <c r="K223" s="4">
        <f>IF(J223="","",IF(OR(J223="Recebido",F223=""),MAX(0,F223-E223),MAX(0,$B$4-E223)))</f>
        <v/>
      </c>
      <c r="L223" s="4">
        <f>IF(K223="","",IF(K223=0,"Em dia",IF(K223&lt;=30,"1-30 dias",IF(K223&lt;=60,"31-60 dias",IF(K223&lt;=90,"61-90 dias","&gt;90 dias")))))</f>
        <v/>
      </c>
      <c r="M223" s="28" t="n"/>
      <c r="N223" s="104" t="inlineStr"/>
      <c r="O223" s="64" t="n"/>
      <c r="P223" s="64">
        <f>IF(C223="","",IF(ISNUMBER(SEARCH("PCMSO",C223)),"PCMSO",IF(OR(ISNUMBER(SEARCH("E-SOCIAL",C223)),ISNUMBER(SEARCH("PSICOSOCIAL",C223))),"eSocial / Psicossocial",IF(O223="Receita recorrente","Carteira recorrente","Projetos / Laudos / Avulsos"))))</f>
        <v/>
      </c>
      <c r="Q223" s="64">
        <f>IF(P223="","",IF(P223="Carteira recorrente","Operação recorrente",IF(P223="PCMSO","Projetos PCMSO",IF(P223="eSocial / Psicossocial","Projetos eSocial/Psicossocial","Projetos / Laudos / Avulsos"))))</f>
        <v/>
      </c>
      <c r="R223" s="64">
        <f>IF(C223="","",IF(ISNUMBER(SEARCH("PCMSO",C223)),"Título com PCMSO no nome",IF(OR(ISNUMBER(SEARCH("E-SOCIAL",C223)),ISNUMBER(SEARCH("PSICOSOCIAL",C223))),"Título com eSocial/Psicossocial no nome",IF(O223="Receita recorrente","Tipo DRE recorrente","Extra sem palavra-chave específica"))))</f>
        <v/>
      </c>
      <c r="S223" s="92">
        <f>IFERROR(VLOOKUP($A223,'13. Mapa Títulos-Receita'!$A$8:$P$1000,4,FALSE),"")</f>
        <v/>
      </c>
      <c r="T223" s="92">
        <f>IFERROR(VLOOKUP($A223,'13. Mapa Títulos-Receita'!$A$8:$P$1000,5,FALSE),"")</f>
        <v/>
      </c>
      <c r="U223" s="92">
        <f>IFERROR(VLOOKUP($A223,'13. Mapa Títulos-Receita'!$A$8:$P$1000,6,FALSE),"")</f>
        <v/>
      </c>
      <c r="V223" s="92">
        <f>IFERROR(VLOOKUP($A223,'13. Mapa Títulos-Receita'!$A$8:$P$1000,7,FALSE),"")</f>
        <v/>
      </c>
      <c r="W223" s="92">
        <f>IFERROR(VLOOKUP($A223,'13. Mapa Títulos-Receita'!$A$8:$P$1000,8,FALSE),"")</f>
        <v/>
      </c>
      <c r="X223" s="92">
        <f>IFERROR(VLOOKUP($A223,'13. Mapa Títulos-Receita'!$A$8:$P$1000,9,FALSE),"")</f>
        <v/>
      </c>
      <c r="Y223" s="92">
        <f>IFERROR(VLOOKUP($A223,'13. Mapa Títulos-Receita'!$A$8:$P$1000,10,FALSE),"")</f>
        <v/>
      </c>
      <c r="Z223" s="92">
        <f>IFERROR(VLOOKUP($A223,'13. Mapa Títulos-Receita'!$A$8:$P$1000,11,FALSE),"")</f>
        <v/>
      </c>
      <c r="AA223" s="92">
        <f>IFERROR(VLOOKUP($A223,'13. Mapa Títulos-Receita'!$A$8:$P$1000,12,FALSE),"")</f>
        <v/>
      </c>
      <c r="AB223" s="92">
        <f>IFERROR(VLOOKUP($A223,'13. Mapa Títulos-Receita'!$A$8:$P$1000,13,FALSE),"")</f>
        <v/>
      </c>
      <c r="AC223" s="92">
        <f>IFERROR(VLOOKUP($A223,'13. Mapa Títulos-Receita'!$A$8:$P$1000,14,FALSE),"")</f>
        <v/>
      </c>
      <c r="AD223" s="92">
        <f>IFERROR(VLOOKUP($A223,'13. Mapa Títulos-Receita'!$A$8:$P$1000,15,FALSE),"")</f>
        <v/>
      </c>
      <c r="AE223" s="92">
        <f>IFERROR(VLOOKUP($A223,'13. Mapa Títulos-Receita'!$A$8:$P$1000,16,FALSE),"")</f>
        <v/>
      </c>
    </row>
    <row r="224">
      <c r="A224" s="28">
        <f>IF(C224="","", "CR-"&amp;TEXT(ROW()-7,"000"))</f>
        <v/>
      </c>
      <c r="B224" s="28" t="n"/>
      <c r="C224" s="28" t="n"/>
      <c r="D224" s="111" t="n"/>
      <c r="E224" s="111" t="n"/>
      <c r="F224" s="111" t="n"/>
      <c r="G224" s="28" t="n"/>
      <c r="H224" s="45" t="n"/>
      <c r="I224" s="45" t="n"/>
      <c r="J224" s="28">
        <f>IF(H224="","",IF(I224&gt;=H224,"Recebido",IF($B$4&gt;E224,"Vencido","Aberto")))</f>
        <v/>
      </c>
      <c r="K224" s="4">
        <f>IF(J224="","",IF(OR(J224="Recebido",F224=""),MAX(0,F224-E224),MAX(0,$B$4-E224)))</f>
        <v/>
      </c>
      <c r="L224" s="4">
        <f>IF(K224="","",IF(K224=0,"Em dia",IF(K224&lt;=30,"1-30 dias",IF(K224&lt;=60,"31-60 dias",IF(K224&lt;=90,"61-90 dias","&gt;90 dias")))))</f>
        <v/>
      </c>
      <c r="M224" s="28" t="n"/>
      <c r="N224" s="104" t="inlineStr"/>
      <c r="O224" s="64" t="n"/>
      <c r="P224" s="64">
        <f>IF(C224="","",IF(ISNUMBER(SEARCH("PCMSO",C224)),"PCMSO",IF(OR(ISNUMBER(SEARCH("E-SOCIAL",C224)),ISNUMBER(SEARCH("PSICOSOCIAL",C224))),"eSocial / Psicossocial",IF(O224="Receita recorrente","Carteira recorrente","Projetos / Laudos / Avulsos"))))</f>
        <v/>
      </c>
      <c r="Q224" s="64">
        <f>IF(P224="","",IF(P224="Carteira recorrente","Operação recorrente",IF(P224="PCMSO","Projetos PCMSO",IF(P224="eSocial / Psicossocial","Projetos eSocial/Psicossocial","Projetos / Laudos / Avulsos"))))</f>
        <v/>
      </c>
      <c r="R224" s="64">
        <f>IF(C224="","",IF(ISNUMBER(SEARCH("PCMSO",C224)),"Título com PCMSO no nome",IF(OR(ISNUMBER(SEARCH("E-SOCIAL",C224)),ISNUMBER(SEARCH("PSICOSOCIAL",C224))),"Título com eSocial/Psicossocial no nome",IF(O224="Receita recorrente","Tipo DRE recorrente","Extra sem palavra-chave específica"))))</f>
        <v/>
      </c>
      <c r="S224" s="92">
        <f>IFERROR(VLOOKUP($A224,'13. Mapa Títulos-Receita'!$A$8:$P$1000,4,FALSE),"")</f>
        <v/>
      </c>
      <c r="T224" s="92">
        <f>IFERROR(VLOOKUP($A224,'13. Mapa Títulos-Receita'!$A$8:$P$1000,5,FALSE),"")</f>
        <v/>
      </c>
      <c r="U224" s="92">
        <f>IFERROR(VLOOKUP($A224,'13. Mapa Títulos-Receita'!$A$8:$P$1000,6,FALSE),"")</f>
        <v/>
      </c>
      <c r="V224" s="92">
        <f>IFERROR(VLOOKUP($A224,'13. Mapa Títulos-Receita'!$A$8:$P$1000,7,FALSE),"")</f>
        <v/>
      </c>
      <c r="W224" s="92">
        <f>IFERROR(VLOOKUP($A224,'13. Mapa Títulos-Receita'!$A$8:$P$1000,8,FALSE),"")</f>
        <v/>
      </c>
      <c r="X224" s="92">
        <f>IFERROR(VLOOKUP($A224,'13. Mapa Títulos-Receita'!$A$8:$P$1000,9,FALSE),"")</f>
        <v/>
      </c>
      <c r="Y224" s="92">
        <f>IFERROR(VLOOKUP($A224,'13. Mapa Títulos-Receita'!$A$8:$P$1000,10,FALSE),"")</f>
        <v/>
      </c>
      <c r="Z224" s="92">
        <f>IFERROR(VLOOKUP($A224,'13. Mapa Títulos-Receita'!$A$8:$P$1000,11,FALSE),"")</f>
        <v/>
      </c>
      <c r="AA224" s="92">
        <f>IFERROR(VLOOKUP($A224,'13. Mapa Títulos-Receita'!$A$8:$P$1000,12,FALSE),"")</f>
        <v/>
      </c>
      <c r="AB224" s="92">
        <f>IFERROR(VLOOKUP($A224,'13. Mapa Títulos-Receita'!$A$8:$P$1000,13,FALSE),"")</f>
        <v/>
      </c>
      <c r="AC224" s="92">
        <f>IFERROR(VLOOKUP($A224,'13. Mapa Títulos-Receita'!$A$8:$P$1000,14,FALSE),"")</f>
        <v/>
      </c>
      <c r="AD224" s="92">
        <f>IFERROR(VLOOKUP($A224,'13. Mapa Títulos-Receita'!$A$8:$P$1000,15,FALSE),"")</f>
        <v/>
      </c>
      <c r="AE224" s="92">
        <f>IFERROR(VLOOKUP($A224,'13. Mapa Títulos-Receita'!$A$8:$P$1000,16,FALSE),"")</f>
        <v/>
      </c>
    </row>
    <row r="225">
      <c r="A225" s="28">
        <f>IF(C225="","", "CR-"&amp;TEXT(ROW()-7,"000"))</f>
        <v/>
      </c>
      <c r="B225" s="28" t="n"/>
      <c r="C225" s="28" t="n"/>
      <c r="D225" s="111" t="n"/>
      <c r="E225" s="111" t="n"/>
      <c r="F225" s="111" t="n"/>
      <c r="G225" s="28" t="n"/>
      <c r="H225" s="45" t="n"/>
      <c r="I225" s="45" t="n"/>
      <c r="J225" s="28">
        <f>IF(H225="","",IF(I225&gt;=H225,"Recebido",IF($B$4&gt;E225,"Vencido","Aberto")))</f>
        <v/>
      </c>
      <c r="K225" s="4">
        <f>IF(J225="","",IF(OR(J225="Recebido",F225=""),MAX(0,F225-E225),MAX(0,$B$4-E225)))</f>
        <v/>
      </c>
      <c r="L225" s="4">
        <f>IF(K225="","",IF(K225=0,"Em dia",IF(K225&lt;=30,"1-30 dias",IF(K225&lt;=60,"31-60 dias",IF(K225&lt;=90,"61-90 dias","&gt;90 dias")))))</f>
        <v/>
      </c>
      <c r="M225" s="28" t="n"/>
      <c r="N225" s="104" t="inlineStr"/>
      <c r="O225" s="64" t="n"/>
      <c r="P225" s="64">
        <f>IF(C225="","",IF(ISNUMBER(SEARCH("PCMSO",C225)),"PCMSO",IF(OR(ISNUMBER(SEARCH("E-SOCIAL",C225)),ISNUMBER(SEARCH("PSICOSOCIAL",C225))),"eSocial / Psicossocial",IF(O225="Receita recorrente","Carteira recorrente","Projetos / Laudos / Avulsos"))))</f>
        <v/>
      </c>
      <c r="Q225" s="64">
        <f>IF(P225="","",IF(P225="Carteira recorrente","Operação recorrente",IF(P225="PCMSO","Projetos PCMSO",IF(P225="eSocial / Psicossocial","Projetos eSocial/Psicossocial","Projetos / Laudos / Avulsos"))))</f>
        <v/>
      </c>
      <c r="R225" s="64">
        <f>IF(C225="","",IF(ISNUMBER(SEARCH("PCMSO",C225)),"Título com PCMSO no nome",IF(OR(ISNUMBER(SEARCH("E-SOCIAL",C225)),ISNUMBER(SEARCH("PSICOSOCIAL",C225))),"Título com eSocial/Psicossocial no nome",IF(O225="Receita recorrente","Tipo DRE recorrente","Extra sem palavra-chave específica"))))</f>
        <v/>
      </c>
      <c r="S225" s="92">
        <f>IFERROR(VLOOKUP($A225,'13. Mapa Títulos-Receita'!$A$8:$P$1000,4,FALSE),"")</f>
        <v/>
      </c>
      <c r="T225" s="92">
        <f>IFERROR(VLOOKUP($A225,'13. Mapa Títulos-Receita'!$A$8:$P$1000,5,FALSE),"")</f>
        <v/>
      </c>
      <c r="U225" s="92">
        <f>IFERROR(VLOOKUP($A225,'13. Mapa Títulos-Receita'!$A$8:$P$1000,6,FALSE),"")</f>
        <v/>
      </c>
      <c r="V225" s="92">
        <f>IFERROR(VLOOKUP($A225,'13. Mapa Títulos-Receita'!$A$8:$P$1000,7,FALSE),"")</f>
        <v/>
      </c>
      <c r="W225" s="92">
        <f>IFERROR(VLOOKUP($A225,'13. Mapa Títulos-Receita'!$A$8:$P$1000,8,FALSE),"")</f>
        <v/>
      </c>
      <c r="X225" s="92">
        <f>IFERROR(VLOOKUP($A225,'13. Mapa Títulos-Receita'!$A$8:$P$1000,9,FALSE),"")</f>
        <v/>
      </c>
      <c r="Y225" s="92">
        <f>IFERROR(VLOOKUP($A225,'13. Mapa Títulos-Receita'!$A$8:$P$1000,10,FALSE),"")</f>
        <v/>
      </c>
      <c r="Z225" s="92">
        <f>IFERROR(VLOOKUP($A225,'13. Mapa Títulos-Receita'!$A$8:$P$1000,11,FALSE),"")</f>
        <v/>
      </c>
      <c r="AA225" s="92">
        <f>IFERROR(VLOOKUP($A225,'13. Mapa Títulos-Receita'!$A$8:$P$1000,12,FALSE),"")</f>
        <v/>
      </c>
      <c r="AB225" s="92">
        <f>IFERROR(VLOOKUP($A225,'13. Mapa Títulos-Receita'!$A$8:$P$1000,13,FALSE),"")</f>
        <v/>
      </c>
      <c r="AC225" s="92">
        <f>IFERROR(VLOOKUP($A225,'13. Mapa Títulos-Receita'!$A$8:$P$1000,14,FALSE),"")</f>
        <v/>
      </c>
      <c r="AD225" s="92">
        <f>IFERROR(VLOOKUP($A225,'13. Mapa Títulos-Receita'!$A$8:$P$1000,15,FALSE),"")</f>
        <v/>
      </c>
      <c r="AE225" s="92">
        <f>IFERROR(VLOOKUP($A225,'13. Mapa Títulos-Receita'!$A$8:$P$1000,16,FALSE),"")</f>
        <v/>
      </c>
    </row>
    <row r="226">
      <c r="A226" s="28">
        <f>IF(C226="","", "CR-"&amp;TEXT(ROW()-7,"000"))</f>
        <v/>
      </c>
      <c r="B226" s="28" t="n"/>
      <c r="C226" s="28" t="n"/>
      <c r="D226" s="111" t="n"/>
      <c r="E226" s="111" t="n"/>
      <c r="F226" s="111" t="n"/>
      <c r="G226" s="28" t="n"/>
      <c r="H226" s="45" t="n"/>
      <c r="I226" s="45" t="n"/>
      <c r="J226" s="28">
        <f>IF(H226="","",IF(I226&gt;=H226,"Recebido",IF($B$4&gt;E226,"Vencido","Aberto")))</f>
        <v/>
      </c>
      <c r="K226" s="4">
        <f>IF(J226="","",IF(OR(J226="Recebido",F226=""),MAX(0,F226-E226),MAX(0,$B$4-E226)))</f>
        <v/>
      </c>
      <c r="L226" s="4">
        <f>IF(K226="","",IF(K226=0,"Em dia",IF(K226&lt;=30,"1-30 dias",IF(K226&lt;=60,"31-60 dias",IF(K226&lt;=90,"61-90 dias","&gt;90 dias")))))</f>
        <v/>
      </c>
      <c r="M226" s="28" t="n"/>
      <c r="N226" s="104" t="inlineStr"/>
      <c r="O226" s="64" t="n"/>
      <c r="P226" s="64">
        <f>IF(C226="","",IF(ISNUMBER(SEARCH("PCMSO",C226)),"PCMSO",IF(OR(ISNUMBER(SEARCH("E-SOCIAL",C226)),ISNUMBER(SEARCH("PSICOSOCIAL",C226))),"eSocial / Psicossocial",IF(O226="Receita recorrente","Carteira recorrente","Projetos / Laudos / Avulsos"))))</f>
        <v/>
      </c>
      <c r="Q226" s="64">
        <f>IF(P226="","",IF(P226="Carteira recorrente","Operação recorrente",IF(P226="PCMSO","Projetos PCMSO",IF(P226="eSocial / Psicossocial","Projetos eSocial/Psicossocial","Projetos / Laudos / Avulsos"))))</f>
        <v/>
      </c>
      <c r="R226" s="64">
        <f>IF(C226="","",IF(ISNUMBER(SEARCH("PCMSO",C226)),"Título com PCMSO no nome",IF(OR(ISNUMBER(SEARCH("E-SOCIAL",C226)),ISNUMBER(SEARCH("PSICOSOCIAL",C226))),"Título com eSocial/Psicossocial no nome",IF(O226="Receita recorrente","Tipo DRE recorrente","Extra sem palavra-chave específica"))))</f>
        <v/>
      </c>
      <c r="S226" s="92">
        <f>IFERROR(VLOOKUP($A226,'13. Mapa Títulos-Receita'!$A$8:$P$1000,4,FALSE),"")</f>
        <v/>
      </c>
      <c r="T226" s="92">
        <f>IFERROR(VLOOKUP($A226,'13. Mapa Títulos-Receita'!$A$8:$P$1000,5,FALSE),"")</f>
        <v/>
      </c>
      <c r="U226" s="92">
        <f>IFERROR(VLOOKUP($A226,'13. Mapa Títulos-Receita'!$A$8:$P$1000,6,FALSE),"")</f>
        <v/>
      </c>
      <c r="V226" s="92">
        <f>IFERROR(VLOOKUP($A226,'13. Mapa Títulos-Receita'!$A$8:$P$1000,7,FALSE),"")</f>
        <v/>
      </c>
      <c r="W226" s="92">
        <f>IFERROR(VLOOKUP($A226,'13. Mapa Títulos-Receita'!$A$8:$P$1000,8,FALSE),"")</f>
        <v/>
      </c>
      <c r="X226" s="92">
        <f>IFERROR(VLOOKUP($A226,'13. Mapa Títulos-Receita'!$A$8:$P$1000,9,FALSE),"")</f>
        <v/>
      </c>
      <c r="Y226" s="92">
        <f>IFERROR(VLOOKUP($A226,'13. Mapa Títulos-Receita'!$A$8:$P$1000,10,FALSE),"")</f>
        <v/>
      </c>
      <c r="Z226" s="92">
        <f>IFERROR(VLOOKUP($A226,'13. Mapa Títulos-Receita'!$A$8:$P$1000,11,FALSE),"")</f>
        <v/>
      </c>
      <c r="AA226" s="92">
        <f>IFERROR(VLOOKUP($A226,'13. Mapa Títulos-Receita'!$A$8:$P$1000,12,FALSE),"")</f>
        <v/>
      </c>
      <c r="AB226" s="92">
        <f>IFERROR(VLOOKUP($A226,'13. Mapa Títulos-Receita'!$A$8:$P$1000,13,FALSE),"")</f>
        <v/>
      </c>
      <c r="AC226" s="92">
        <f>IFERROR(VLOOKUP($A226,'13. Mapa Títulos-Receita'!$A$8:$P$1000,14,FALSE),"")</f>
        <v/>
      </c>
      <c r="AD226" s="92">
        <f>IFERROR(VLOOKUP($A226,'13. Mapa Títulos-Receita'!$A$8:$P$1000,15,FALSE),"")</f>
        <v/>
      </c>
      <c r="AE226" s="92">
        <f>IFERROR(VLOOKUP($A226,'13. Mapa Títulos-Receita'!$A$8:$P$1000,16,FALSE),"")</f>
        <v/>
      </c>
    </row>
    <row r="227">
      <c r="A227" s="28">
        <f>IF(C227="","", "CR-"&amp;TEXT(ROW()-7,"000"))</f>
        <v/>
      </c>
      <c r="B227" s="28" t="n"/>
      <c r="C227" s="28" t="n"/>
      <c r="D227" s="111" t="n"/>
      <c r="E227" s="111" t="n"/>
      <c r="F227" s="111" t="n"/>
      <c r="G227" s="28" t="n"/>
      <c r="H227" s="45" t="n"/>
      <c r="I227" s="45" t="n"/>
      <c r="J227" s="28">
        <f>IF(H227="","",IF(I227&gt;=H227,"Recebido",IF($B$4&gt;E227,"Vencido","Aberto")))</f>
        <v/>
      </c>
      <c r="K227" s="4">
        <f>IF(J227="","",IF(OR(J227="Recebido",F227=""),MAX(0,F227-E227),MAX(0,$B$4-E227)))</f>
        <v/>
      </c>
      <c r="L227" s="4">
        <f>IF(K227="","",IF(K227=0,"Em dia",IF(K227&lt;=30,"1-30 dias",IF(K227&lt;=60,"31-60 dias",IF(K227&lt;=90,"61-90 dias","&gt;90 dias")))))</f>
        <v/>
      </c>
      <c r="M227" s="28" t="n"/>
      <c r="N227" s="104" t="inlineStr"/>
      <c r="O227" s="64" t="n"/>
      <c r="P227" s="64">
        <f>IF(C227="","",IF(ISNUMBER(SEARCH("PCMSO",C227)),"PCMSO",IF(OR(ISNUMBER(SEARCH("E-SOCIAL",C227)),ISNUMBER(SEARCH("PSICOSOCIAL",C227))),"eSocial / Psicossocial",IF(O227="Receita recorrente","Carteira recorrente","Projetos / Laudos / Avulsos"))))</f>
        <v/>
      </c>
      <c r="Q227" s="64">
        <f>IF(P227="","",IF(P227="Carteira recorrente","Operação recorrente",IF(P227="PCMSO","Projetos PCMSO",IF(P227="eSocial / Psicossocial","Projetos eSocial/Psicossocial","Projetos / Laudos / Avulsos"))))</f>
        <v/>
      </c>
      <c r="R227" s="64">
        <f>IF(C227="","",IF(ISNUMBER(SEARCH("PCMSO",C227)),"Título com PCMSO no nome",IF(OR(ISNUMBER(SEARCH("E-SOCIAL",C227)),ISNUMBER(SEARCH("PSICOSOCIAL",C227))),"Título com eSocial/Psicossocial no nome",IF(O227="Receita recorrente","Tipo DRE recorrente","Extra sem palavra-chave específica"))))</f>
        <v/>
      </c>
      <c r="S227" s="92">
        <f>IFERROR(VLOOKUP($A227,'13. Mapa Títulos-Receita'!$A$8:$P$1000,4,FALSE),"")</f>
        <v/>
      </c>
      <c r="T227" s="92">
        <f>IFERROR(VLOOKUP($A227,'13. Mapa Títulos-Receita'!$A$8:$P$1000,5,FALSE),"")</f>
        <v/>
      </c>
      <c r="U227" s="92">
        <f>IFERROR(VLOOKUP($A227,'13. Mapa Títulos-Receita'!$A$8:$P$1000,6,FALSE),"")</f>
        <v/>
      </c>
      <c r="V227" s="92">
        <f>IFERROR(VLOOKUP($A227,'13. Mapa Títulos-Receita'!$A$8:$P$1000,7,FALSE),"")</f>
        <v/>
      </c>
      <c r="W227" s="92">
        <f>IFERROR(VLOOKUP($A227,'13. Mapa Títulos-Receita'!$A$8:$P$1000,8,FALSE),"")</f>
        <v/>
      </c>
      <c r="X227" s="92">
        <f>IFERROR(VLOOKUP($A227,'13. Mapa Títulos-Receita'!$A$8:$P$1000,9,FALSE),"")</f>
        <v/>
      </c>
      <c r="Y227" s="92">
        <f>IFERROR(VLOOKUP($A227,'13. Mapa Títulos-Receita'!$A$8:$P$1000,10,FALSE),"")</f>
        <v/>
      </c>
      <c r="Z227" s="92">
        <f>IFERROR(VLOOKUP($A227,'13. Mapa Títulos-Receita'!$A$8:$P$1000,11,FALSE),"")</f>
        <v/>
      </c>
      <c r="AA227" s="92">
        <f>IFERROR(VLOOKUP($A227,'13. Mapa Títulos-Receita'!$A$8:$P$1000,12,FALSE),"")</f>
        <v/>
      </c>
      <c r="AB227" s="92">
        <f>IFERROR(VLOOKUP($A227,'13. Mapa Títulos-Receita'!$A$8:$P$1000,13,FALSE),"")</f>
        <v/>
      </c>
      <c r="AC227" s="92">
        <f>IFERROR(VLOOKUP($A227,'13. Mapa Títulos-Receita'!$A$8:$P$1000,14,FALSE),"")</f>
        <v/>
      </c>
      <c r="AD227" s="92">
        <f>IFERROR(VLOOKUP($A227,'13. Mapa Títulos-Receita'!$A$8:$P$1000,15,FALSE),"")</f>
        <v/>
      </c>
      <c r="AE227" s="92">
        <f>IFERROR(VLOOKUP($A227,'13. Mapa Títulos-Receita'!$A$8:$P$1000,16,FALSE),"")</f>
        <v/>
      </c>
    </row>
    <row r="228">
      <c r="A228" s="28">
        <f>IF(C228="","", "CR-"&amp;TEXT(ROW()-7,"000"))</f>
        <v/>
      </c>
      <c r="B228" s="28" t="n"/>
      <c r="C228" s="28" t="n"/>
      <c r="D228" s="111" t="n"/>
      <c r="E228" s="111" t="n"/>
      <c r="F228" s="111" t="n"/>
      <c r="G228" s="28" t="n"/>
      <c r="H228" s="45" t="n"/>
      <c r="I228" s="45" t="n"/>
      <c r="J228" s="28">
        <f>IF(H228="","",IF(I228&gt;=H228,"Recebido",IF($B$4&gt;E228,"Vencido","Aberto")))</f>
        <v/>
      </c>
      <c r="K228" s="4">
        <f>IF(J228="","",IF(OR(J228="Recebido",F228=""),MAX(0,F228-E228),MAX(0,$B$4-E228)))</f>
        <v/>
      </c>
      <c r="L228" s="4">
        <f>IF(K228="","",IF(K228=0,"Em dia",IF(K228&lt;=30,"1-30 dias",IF(K228&lt;=60,"31-60 dias",IF(K228&lt;=90,"61-90 dias","&gt;90 dias")))))</f>
        <v/>
      </c>
      <c r="M228" s="28" t="n"/>
      <c r="N228" s="104" t="inlineStr"/>
      <c r="O228" s="64" t="n"/>
      <c r="P228" s="64">
        <f>IF(C228="","",IF(ISNUMBER(SEARCH("PCMSO",C228)),"PCMSO",IF(OR(ISNUMBER(SEARCH("E-SOCIAL",C228)),ISNUMBER(SEARCH("PSICOSOCIAL",C228))),"eSocial / Psicossocial",IF(O228="Receita recorrente","Carteira recorrente","Projetos / Laudos / Avulsos"))))</f>
        <v/>
      </c>
      <c r="Q228" s="64">
        <f>IF(P228="","",IF(P228="Carteira recorrente","Operação recorrente",IF(P228="PCMSO","Projetos PCMSO",IF(P228="eSocial / Psicossocial","Projetos eSocial/Psicossocial","Projetos / Laudos / Avulsos"))))</f>
        <v/>
      </c>
      <c r="R228" s="64">
        <f>IF(C228="","",IF(ISNUMBER(SEARCH("PCMSO",C228)),"Título com PCMSO no nome",IF(OR(ISNUMBER(SEARCH("E-SOCIAL",C228)),ISNUMBER(SEARCH("PSICOSOCIAL",C228))),"Título com eSocial/Psicossocial no nome",IF(O228="Receita recorrente","Tipo DRE recorrente","Extra sem palavra-chave específica"))))</f>
        <v/>
      </c>
      <c r="S228" s="92">
        <f>IFERROR(VLOOKUP($A228,'13. Mapa Títulos-Receita'!$A$8:$P$1000,4,FALSE),"")</f>
        <v/>
      </c>
      <c r="T228" s="92">
        <f>IFERROR(VLOOKUP($A228,'13. Mapa Títulos-Receita'!$A$8:$P$1000,5,FALSE),"")</f>
        <v/>
      </c>
      <c r="U228" s="92">
        <f>IFERROR(VLOOKUP($A228,'13. Mapa Títulos-Receita'!$A$8:$P$1000,6,FALSE),"")</f>
        <v/>
      </c>
      <c r="V228" s="92">
        <f>IFERROR(VLOOKUP($A228,'13. Mapa Títulos-Receita'!$A$8:$P$1000,7,FALSE),"")</f>
        <v/>
      </c>
      <c r="W228" s="92">
        <f>IFERROR(VLOOKUP($A228,'13. Mapa Títulos-Receita'!$A$8:$P$1000,8,FALSE),"")</f>
        <v/>
      </c>
      <c r="X228" s="92">
        <f>IFERROR(VLOOKUP($A228,'13. Mapa Títulos-Receita'!$A$8:$P$1000,9,FALSE),"")</f>
        <v/>
      </c>
      <c r="Y228" s="92">
        <f>IFERROR(VLOOKUP($A228,'13. Mapa Títulos-Receita'!$A$8:$P$1000,10,FALSE),"")</f>
        <v/>
      </c>
      <c r="Z228" s="92">
        <f>IFERROR(VLOOKUP($A228,'13. Mapa Títulos-Receita'!$A$8:$P$1000,11,FALSE),"")</f>
        <v/>
      </c>
      <c r="AA228" s="92">
        <f>IFERROR(VLOOKUP($A228,'13. Mapa Títulos-Receita'!$A$8:$P$1000,12,FALSE),"")</f>
        <v/>
      </c>
      <c r="AB228" s="92">
        <f>IFERROR(VLOOKUP($A228,'13. Mapa Títulos-Receita'!$A$8:$P$1000,13,FALSE),"")</f>
        <v/>
      </c>
      <c r="AC228" s="92">
        <f>IFERROR(VLOOKUP($A228,'13. Mapa Títulos-Receita'!$A$8:$P$1000,14,FALSE),"")</f>
        <v/>
      </c>
      <c r="AD228" s="92">
        <f>IFERROR(VLOOKUP($A228,'13. Mapa Títulos-Receita'!$A$8:$P$1000,15,FALSE),"")</f>
        <v/>
      </c>
      <c r="AE228" s="92">
        <f>IFERROR(VLOOKUP($A228,'13. Mapa Títulos-Receita'!$A$8:$P$1000,16,FALSE),"")</f>
        <v/>
      </c>
    </row>
    <row r="229">
      <c r="A229" s="28">
        <f>IF(C229="","", "CR-"&amp;TEXT(ROW()-7,"000"))</f>
        <v/>
      </c>
      <c r="B229" s="28" t="n"/>
      <c r="C229" s="28" t="n"/>
      <c r="D229" s="111" t="n"/>
      <c r="E229" s="111" t="n"/>
      <c r="F229" s="111" t="n"/>
      <c r="G229" s="28" t="n"/>
      <c r="H229" s="45" t="n"/>
      <c r="I229" s="45" t="n"/>
      <c r="J229" s="28">
        <f>IF(H229="","",IF(I229&gt;=H229,"Recebido",IF($B$4&gt;E229,"Vencido","Aberto")))</f>
        <v/>
      </c>
      <c r="K229" s="4">
        <f>IF(J229="","",IF(OR(J229="Recebido",F229=""),MAX(0,F229-E229),MAX(0,$B$4-E229)))</f>
        <v/>
      </c>
      <c r="L229" s="4">
        <f>IF(K229="","",IF(K229=0,"Em dia",IF(K229&lt;=30,"1-30 dias",IF(K229&lt;=60,"31-60 dias",IF(K229&lt;=90,"61-90 dias","&gt;90 dias")))))</f>
        <v/>
      </c>
      <c r="M229" s="28" t="n"/>
      <c r="N229" s="104" t="inlineStr"/>
      <c r="O229" s="64" t="n"/>
      <c r="P229" s="64">
        <f>IF(C229="","",IF(ISNUMBER(SEARCH("PCMSO",C229)),"PCMSO",IF(OR(ISNUMBER(SEARCH("E-SOCIAL",C229)),ISNUMBER(SEARCH("PSICOSOCIAL",C229))),"eSocial / Psicossocial",IF(O229="Receita recorrente","Carteira recorrente","Projetos / Laudos / Avulsos"))))</f>
        <v/>
      </c>
      <c r="Q229" s="64">
        <f>IF(P229="","",IF(P229="Carteira recorrente","Operação recorrente",IF(P229="PCMSO","Projetos PCMSO",IF(P229="eSocial / Psicossocial","Projetos eSocial/Psicossocial","Projetos / Laudos / Avulsos"))))</f>
        <v/>
      </c>
      <c r="R229" s="64">
        <f>IF(C229="","",IF(ISNUMBER(SEARCH("PCMSO",C229)),"Título com PCMSO no nome",IF(OR(ISNUMBER(SEARCH("E-SOCIAL",C229)),ISNUMBER(SEARCH("PSICOSOCIAL",C229))),"Título com eSocial/Psicossocial no nome",IF(O229="Receita recorrente","Tipo DRE recorrente","Extra sem palavra-chave específica"))))</f>
        <v/>
      </c>
      <c r="S229" s="92">
        <f>IFERROR(VLOOKUP($A229,'13. Mapa Títulos-Receita'!$A$8:$P$1000,4,FALSE),"")</f>
        <v/>
      </c>
      <c r="T229" s="92">
        <f>IFERROR(VLOOKUP($A229,'13. Mapa Títulos-Receita'!$A$8:$P$1000,5,FALSE),"")</f>
        <v/>
      </c>
      <c r="U229" s="92">
        <f>IFERROR(VLOOKUP($A229,'13. Mapa Títulos-Receita'!$A$8:$P$1000,6,FALSE),"")</f>
        <v/>
      </c>
      <c r="V229" s="92">
        <f>IFERROR(VLOOKUP($A229,'13. Mapa Títulos-Receita'!$A$8:$P$1000,7,FALSE),"")</f>
        <v/>
      </c>
      <c r="W229" s="92">
        <f>IFERROR(VLOOKUP($A229,'13. Mapa Títulos-Receita'!$A$8:$P$1000,8,FALSE),"")</f>
        <v/>
      </c>
      <c r="X229" s="92">
        <f>IFERROR(VLOOKUP($A229,'13. Mapa Títulos-Receita'!$A$8:$P$1000,9,FALSE),"")</f>
        <v/>
      </c>
      <c r="Y229" s="92">
        <f>IFERROR(VLOOKUP($A229,'13. Mapa Títulos-Receita'!$A$8:$P$1000,10,FALSE),"")</f>
        <v/>
      </c>
      <c r="Z229" s="92">
        <f>IFERROR(VLOOKUP($A229,'13. Mapa Títulos-Receita'!$A$8:$P$1000,11,FALSE),"")</f>
        <v/>
      </c>
      <c r="AA229" s="92">
        <f>IFERROR(VLOOKUP($A229,'13. Mapa Títulos-Receita'!$A$8:$P$1000,12,FALSE),"")</f>
        <v/>
      </c>
      <c r="AB229" s="92">
        <f>IFERROR(VLOOKUP($A229,'13. Mapa Títulos-Receita'!$A$8:$P$1000,13,FALSE),"")</f>
        <v/>
      </c>
      <c r="AC229" s="92">
        <f>IFERROR(VLOOKUP($A229,'13. Mapa Títulos-Receita'!$A$8:$P$1000,14,FALSE),"")</f>
        <v/>
      </c>
      <c r="AD229" s="92">
        <f>IFERROR(VLOOKUP($A229,'13. Mapa Títulos-Receita'!$A$8:$P$1000,15,FALSE),"")</f>
        <v/>
      </c>
      <c r="AE229" s="92">
        <f>IFERROR(VLOOKUP($A229,'13. Mapa Títulos-Receita'!$A$8:$P$1000,16,FALSE),"")</f>
        <v/>
      </c>
    </row>
    <row r="230">
      <c r="A230" s="28">
        <f>IF(C230="","", "CR-"&amp;TEXT(ROW()-7,"000"))</f>
        <v/>
      </c>
      <c r="B230" s="28" t="n"/>
      <c r="C230" s="28" t="n"/>
      <c r="D230" s="111" t="n"/>
      <c r="E230" s="111" t="n"/>
      <c r="F230" s="111" t="n"/>
      <c r="G230" s="28" t="n"/>
      <c r="H230" s="45" t="n"/>
      <c r="I230" s="45" t="n"/>
      <c r="J230" s="28">
        <f>IF(H230="","",IF(I230&gt;=H230,"Recebido",IF($B$4&gt;E230,"Vencido","Aberto")))</f>
        <v/>
      </c>
      <c r="K230" s="4">
        <f>IF(J230="","",IF(OR(J230="Recebido",F230=""),MAX(0,F230-E230),MAX(0,$B$4-E230)))</f>
        <v/>
      </c>
      <c r="L230" s="4">
        <f>IF(K230="","",IF(K230=0,"Em dia",IF(K230&lt;=30,"1-30 dias",IF(K230&lt;=60,"31-60 dias",IF(K230&lt;=90,"61-90 dias","&gt;90 dias")))))</f>
        <v/>
      </c>
      <c r="M230" s="28" t="n"/>
      <c r="N230" s="104" t="inlineStr"/>
      <c r="O230" s="64" t="n"/>
      <c r="P230" s="64">
        <f>IF(C230="","",IF(ISNUMBER(SEARCH("PCMSO",C230)),"PCMSO",IF(OR(ISNUMBER(SEARCH("E-SOCIAL",C230)),ISNUMBER(SEARCH("PSICOSOCIAL",C230))),"eSocial / Psicossocial",IF(O230="Receita recorrente","Carteira recorrente","Projetos / Laudos / Avulsos"))))</f>
        <v/>
      </c>
      <c r="Q230" s="64">
        <f>IF(P230="","",IF(P230="Carteira recorrente","Operação recorrente",IF(P230="PCMSO","Projetos PCMSO",IF(P230="eSocial / Psicossocial","Projetos eSocial/Psicossocial","Projetos / Laudos / Avulsos"))))</f>
        <v/>
      </c>
      <c r="R230" s="64">
        <f>IF(C230="","",IF(ISNUMBER(SEARCH("PCMSO",C230)),"Título com PCMSO no nome",IF(OR(ISNUMBER(SEARCH("E-SOCIAL",C230)),ISNUMBER(SEARCH("PSICOSOCIAL",C230))),"Título com eSocial/Psicossocial no nome",IF(O230="Receita recorrente","Tipo DRE recorrente","Extra sem palavra-chave específica"))))</f>
        <v/>
      </c>
      <c r="S230" s="92">
        <f>IFERROR(VLOOKUP($A230,'13. Mapa Títulos-Receita'!$A$8:$P$1000,4,FALSE),"")</f>
        <v/>
      </c>
      <c r="T230" s="92">
        <f>IFERROR(VLOOKUP($A230,'13. Mapa Títulos-Receita'!$A$8:$P$1000,5,FALSE),"")</f>
        <v/>
      </c>
      <c r="U230" s="92">
        <f>IFERROR(VLOOKUP($A230,'13. Mapa Títulos-Receita'!$A$8:$P$1000,6,FALSE),"")</f>
        <v/>
      </c>
      <c r="V230" s="92">
        <f>IFERROR(VLOOKUP($A230,'13. Mapa Títulos-Receita'!$A$8:$P$1000,7,FALSE),"")</f>
        <v/>
      </c>
      <c r="W230" s="92">
        <f>IFERROR(VLOOKUP($A230,'13. Mapa Títulos-Receita'!$A$8:$P$1000,8,FALSE),"")</f>
        <v/>
      </c>
      <c r="X230" s="92">
        <f>IFERROR(VLOOKUP($A230,'13. Mapa Títulos-Receita'!$A$8:$P$1000,9,FALSE),"")</f>
        <v/>
      </c>
      <c r="Y230" s="92">
        <f>IFERROR(VLOOKUP($A230,'13. Mapa Títulos-Receita'!$A$8:$P$1000,10,FALSE),"")</f>
        <v/>
      </c>
      <c r="Z230" s="92">
        <f>IFERROR(VLOOKUP($A230,'13. Mapa Títulos-Receita'!$A$8:$P$1000,11,FALSE),"")</f>
        <v/>
      </c>
      <c r="AA230" s="92">
        <f>IFERROR(VLOOKUP($A230,'13. Mapa Títulos-Receita'!$A$8:$P$1000,12,FALSE),"")</f>
        <v/>
      </c>
      <c r="AB230" s="92">
        <f>IFERROR(VLOOKUP($A230,'13. Mapa Títulos-Receita'!$A$8:$P$1000,13,FALSE),"")</f>
        <v/>
      </c>
      <c r="AC230" s="92">
        <f>IFERROR(VLOOKUP($A230,'13. Mapa Títulos-Receita'!$A$8:$P$1000,14,FALSE),"")</f>
        <v/>
      </c>
      <c r="AD230" s="92">
        <f>IFERROR(VLOOKUP($A230,'13. Mapa Títulos-Receita'!$A$8:$P$1000,15,FALSE),"")</f>
        <v/>
      </c>
      <c r="AE230" s="92">
        <f>IFERROR(VLOOKUP($A230,'13. Mapa Títulos-Receita'!$A$8:$P$1000,16,FALSE),"")</f>
        <v/>
      </c>
    </row>
    <row r="231">
      <c r="A231" s="28">
        <f>IF(C231="","", "CR-"&amp;TEXT(ROW()-7,"000"))</f>
        <v/>
      </c>
      <c r="B231" s="28" t="n"/>
      <c r="C231" s="28" t="n"/>
      <c r="D231" s="111" t="n"/>
      <c r="E231" s="111" t="n"/>
      <c r="F231" s="111" t="n"/>
      <c r="G231" s="28" t="n"/>
      <c r="H231" s="45" t="n"/>
      <c r="I231" s="45" t="n"/>
      <c r="J231" s="28">
        <f>IF(H231="","",IF(I231&gt;=H231,"Recebido",IF($B$4&gt;E231,"Vencido","Aberto")))</f>
        <v/>
      </c>
      <c r="K231" s="4">
        <f>IF(J231="","",IF(OR(J231="Recebido",F231=""),MAX(0,F231-E231),MAX(0,$B$4-E231)))</f>
        <v/>
      </c>
      <c r="L231" s="4">
        <f>IF(K231="","",IF(K231=0,"Em dia",IF(K231&lt;=30,"1-30 dias",IF(K231&lt;=60,"31-60 dias",IF(K231&lt;=90,"61-90 dias","&gt;90 dias")))))</f>
        <v/>
      </c>
      <c r="M231" s="28" t="n"/>
      <c r="N231" s="104" t="inlineStr"/>
      <c r="O231" s="64" t="n"/>
      <c r="P231" s="64">
        <f>IF(C231="","",IF(ISNUMBER(SEARCH("PCMSO",C231)),"PCMSO",IF(OR(ISNUMBER(SEARCH("E-SOCIAL",C231)),ISNUMBER(SEARCH("PSICOSOCIAL",C231))),"eSocial / Psicossocial",IF(O231="Receita recorrente","Carteira recorrente","Projetos / Laudos / Avulsos"))))</f>
        <v/>
      </c>
      <c r="Q231" s="64">
        <f>IF(P231="","",IF(P231="Carteira recorrente","Operação recorrente",IF(P231="PCMSO","Projetos PCMSO",IF(P231="eSocial / Psicossocial","Projetos eSocial/Psicossocial","Projetos / Laudos / Avulsos"))))</f>
        <v/>
      </c>
      <c r="R231" s="64">
        <f>IF(C231="","",IF(ISNUMBER(SEARCH("PCMSO",C231)),"Título com PCMSO no nome",IF(OR(ISNUMBER(SEARCH("E-SOCIAL",C231)),ISNUMBER(SEARCH("PSICOSOCIAL",C231))),"Título com eSocial/Psicossocial no nome",IF(O231="Receita recorrente","Tipo DRE recorrente","Extra sem palavra-chave específica"))))</f>
        <v/>
      </c>
      <c r="S231" s="92">
        <f>IFERROR(VLOOKUP($A231,'13. Mapa Títulos-Receita'!$A$8:$P$1000,4,FALSE),"")</f>
        <v/>
      </c>
      <c r="T231" s="92">
        <f>IFERROR(VLOOKUP($A231,'13. Mapa Títulos-Receita'!$A$8:$P$1000,5,FALSE),"")</f>
        <v/>
      </c>
      <c r="U231" s="92">
        <f>IFERROR(VLOOKUP($A231,'13. Mapa Títulos-Receita'!$A$8:$P$1000,6,FALSE),"")</f>
        <v/>
      </c>
      <c r="V231" s="92">
        <f>IFERROR(VLOOKUP($A231,'13. Mapa Títulos-Receita'!$A$8:$P$1000,7,FALSE),"")</f>
        <v/>
      </c>
      <c r="W231" s="92">
        <f>IFERROR(VLOOKUP($A231,'13. Mapa Títulos-Receita'!$A$8:$P$1000,8,FALSE),"")</f>
        <v/>
      </c>
      <c r="X231" s="92">
        <f>IFERROR(VLOOKUP($A231,'13. Mapa Títulos-Receita'!$A$8:$P$1000,9,FALSE),"")</f>
        <v/>
      </c>
      <c r="Y231" s="92">
        <f>IFERROR(VLOOKUP($A231,'13. Mapa Títulos-Receita'!$A$8:$P$1000,10,FALSE),"")</f>
        <v/>
      </c>
      <c r="Z231" s="92">
        <f>IFERROR(VLOOKUP($A231,'13. Mapa Títulos-Receita'!$A$8:$P$1000,11,FALSE),"")</f>
        <v/>
      </c>
      <c r="AA231" s="92">
        <f>IFERROR(VLOOKUP($A231,'13. Mapa Títulos-Receita'!$A$8:$P$1000,12,FALSE),"")</f>
        <v/>
      </c>
      <c r="AB231" s="92">
        <f>IFERROR(VLOOKUP($A231,'13. Mapa Títulos-Receita'!$A$8:$P$1000,13,FALSE),"")</f>
        <v/>
      </c>
      <c r="AC231" s="92">
        <f>IFERROR(VLOOKUP($A231,'13. Mapa Títulos-Receita'!$A$8:$P$1000,14,FALSE),"")</f>
        <v/>
      </c>
      <c r="AD231" s="92">
        <f>IFERROR(VLOOKUP($A231,'13. Mapa Títulos-Receita'!$A$8:$P$1000,15,FALSE),"")</f>
        <v/>
      </c>
      <c r="AE231" s="92">
        <f>IFERROR(VLOOKUP($A231,'13. Mapa Títulos-Receita'!$A$8:$P$1000,16,FALSE),"")</f>
        <v/>
      </c>
    </row>
    <row r="232">
      <c r="A232" s="28">
        <f>IF(C232="","", "CR-"&amp;TEXT(ROW()-7,"000"))</f>
        <v/>
      </c>
      <c r="B232" s="28" t="n"/>
      <c r="C232" s="28" t="n"/>
      <c r="D232" s="111" t="n"/>
      <c r="E232" s="111" t="n"/>
      <c r="F232" s="111" t="n"/>
      <c r="G232" s="28" t="n"/>
      <c r="H232" s="45" t="n"/>
      <c r="I232" s="45" t="n"/>
      <c r="J232" s="28">
        <f>IF(H232="","",IF(I232&gt;=H232,"Recebido",IF($B$4&gt;E232,"Vencido","Aberto")))</f>
        <v/>
      </c>
      <c r="K232" s="4">
        <f>IF(J232="","",IF(OR(J232="Recebido",F232=""),MAX(0,F232-E232),MAX(0,$B$4-E232)))</f>
        <v/>
      </c>
      <c r="L232" s="4">
        <f>IF(K232="","",IF(K232=0,"Em dia",IF(K232&lt;=30,"1-30 dias",IF(K232&lt;=60,"31-60 dias",IF(K232&lt;=90,"61-90 dias","&gt;90 dias")))))</f>
        <v/>
      </c>
      <c r="M232" s="28" t="n"/>
      <c r="N232" s="104" t="inlineStr"/>
      <c r="O232" s="64" t="n"/>
      <c r="P232" s="64">
        <f>IF(C232="","",IF(ISNUMBER(SEARCH("PCMSO",C232)),"PCMSO",IF(OR(ISNUMBER(SEARCH("E-SOCIAL",C232)),ISNUMBER(SEARCH("PSICOSOCIAL",C232))),"eSocial / Psicossocial",IF(O232="Receita recorrente","Carteira recorrente","Projetos / Laudos / Avulsos"))))</f>
        <v/>
      </c>
      <c r="Q232" s="64">
        <f>IF(P232="","",IF(P232="Carteira recorrente","Operação recorrente",IF(P232="PCMSO","Projetos PCMSO",IF(P232="eSocial / Psicossocial","Projetos eSocial/Psicossocial","Projetos / Laudos / Avulsos"))))</f>
        <v/>
      </c>
      <c r="R232" s="64">
        <f>IF(C232="","",IF(ISNUMBER(SEARCH("PCMSO",C232)),"Título com PCMSO no nome",IF(OR(ISNUMBER(SEARCH("E-SOCIAL",C232)),ISNUMBER(SEARCH("PSICOSOCIAL",C232))),"Título com eSocial/Psicossocial no nome",IF(O232="Receita recorrente","Tipo DRE recorrente","Extra sem palavra-chave específica"))))</f>
        <v/>
      </c>
      <c r="S232" s="92">
        <f>IFERROR(VLOOKUP($A232,'13. Mapa Títulos-Receita'!$A$8:$P$1000,4,FALSE),"")</f>
        <v/>
      </c>
      <c r="T232" s="92">
        <f>IFERROR(VLOOKUP($A232,'13. Mapa Títulos-Receita'!$A$8:$P$1000,5,FALSE),"")</f>
        <v/>
      </c>
      <c r="U232" s="92">
        <f>IFERROR(VLOOKUP($A232,'13. Mapa Títulos-Receita'!$A$8:$P$1000,6,FALSE),"")</f>
        <v/>
      </c>
      <c r="V232" s="92">
        <f>IFERROR(VLOOKUP($A232,'13. Mapa Títulos-Receita'!$A$8:$P$1000,7,FALSE),"")</f>
        <v/>
      </c>
      <c r="W232" s="92">
        <f>IFERROR(VLOOKUP($A232,'13. Mapa Títulos-Receita'!$A$8:$P$1000,8,FALSE),"")</f>
        <v/>
      </c>
      <c r="X232" s="92">
        <f>IFERROR(VLOOKUP($A232,'13. Mapa Títulos-Receita'!$A$8:$P$1000,9,FALSE),"")</f>
        <v/>
      </c>
      <c r="Y232" s="92">
        <f>IFERROR(VLOOKUP($A232,'13. Mapa Títulos-Receita'!$A$8:$P$1000,10,FALSE),"")</f>
        <v/>
      </c>
      <c r="Z232" s="92">
        <f>IFERROR(VLOOKUP($A232,'13. Mapa Títulos-Receita'!$A$8:$P$1000,11,FALSE),"")</f>
        <v/>
      </c>
      <c r="AA232" s="92">
        <f>IFERROR(VLOOKUP($A232,'13. Mapa Títulos-Receita'!$A$8:$P$1000,12,FALSE),"")</f>
        <v/>
      </c>
      <c r="AB232" s="92">
        <f>IFERROR(VLOOKUP($A232,'13. Mapa Títulos-Receita'!$A$8:$P$1000,13,FALSE),"")</f>
        <v/>
      </c>
      <c r="AC232" s="92">
        <f>IFERROR(VLOOKUP($A232,'13. Mapa Títulos-Receita'!$A$8:$P$1000,14,FALSE),"")</f>
        <v/>
      </c>
      <c r="AD232" s="92">
        <f>IFERROR(VLOOKUP($A232,'13. Mapa Títulos-Receita'!$A$8:$P$1000,15,FALSE),"")</f>
        <v/>
      </c>
      <c r="AE232" s="92">
        <f>IFERROR(VLOOKUP($A232,'13. Mapa Títulos-Receita'!$A$8:$P$1000,16,FALSE),"")</f>
        <v/>
      </c>
    </row>
    <row r="233">
      <c r="A233" s="28">
        <f>IF(C233="","", "CR-"&amp;TEXT(ROW()-7,"000"))</f>
        <v/>
      </c>
      <c r="B233" s="28" t="n"/>
      <c r="C233" s="28" t="n"/>
      <c r="D233" s="111" t="n"/>
      <c r="E233" s="111" t="n"/>
      <c r="F233" s="111" t="n"/>
      <c r="G233" s="28" t="n"/>
      <c r="H233" s="45" t="n"/>
      <c r="I233" s="45" t="n"/>
      <c r="J233" s="28">
        <f>IF(H233="","",IF(I233&gt;=H233,"Recebido",IF($B$4&gt;E233,"Vencido","Aberto")))</f>
        <v/>
      </c>
      <c r="K233" s="4">
        <f>IF(J233="","",IF(OR(J233="Recebido",F233=""),MAX(0,F233-E233),MAX(0,$B$4-E233)))</f>
        <v/>
      </c>
      <c r="L233" s="4">
        <f>IF(K233="","",IF(K233=0,"Em dia",IF(K233&lt;=30,"1-30 dias",IF(K233&lt;=60,"31-60 dias",IF(K233&lt;=90,"61-90 dias","&gt;90 dias")))))</f>
        <v/>
      </c>
      <c r="M233" s="28" t="n"/>
      <c r="N233" s="104" t="inlineStr"/>
      <c r="O233" s="64" t="n"/>
      <c r="P233" s="64">
        <f>IF(C233="","",IF(ISNUMBER(SEARCH("PCMSO",C233)),"PCMSO",IF(OR(ISNUMBER(SEARCH("E-SOCIAL",C233)),ISNUMBER(SEARCH("PSICOSOCIAL",C233))),"eSocial / Psicossocial",IF(O233="Receita recorrente","Carteira recorrente","Projetos / Laudos / Avulsos"))))</f>
        <v/>
      </c>
      <c r="Q233" s="64">
        <f>IF(P233="","",IF(P233="Carteira recorrente","Operação recorrente",IF(P233="PCMSO","Projetos PCMSO",IF(P233="eSocial / Psicossocial","Projetos eSocial/Psicossocial","Projetos / Laudos / Avulsos"))))</f>
        <v/>
      </c>
      <c r="R233" s="64">
        <f>IF(C233="","",IF(ISNUMBER(SEARCH("PCMSO",C233)),"Título com PCMSO no nome",IF(OR(ISNUMBER(SEARCH("E-SOCIAL",C233)),ISNUMBER(SEARCH("PSICOSOCIAL",C233))),"Título com eSocial/Psicossocial no nome",IF(O233="Receita recorrente","Tipo DRE recorrente","Extra sem palavra-chave específica"))))</f>
        <v/>
      </c>
      <c r="S233" s="92">
        <f>IFERROR(VLOOKUP($A233,'13. Mapa Títulos-Receita'!$A$8:$P$1000,4,FALSE),"")</f>
        <v/>
      </c>
      <c r="T233" s="92">
        <f>IFERROR(VLOOKUP($A233,'13. Mapa Títulos-Receita'!$A$8:$P$1000,5,FALSE),"")</f>
        <v/>
      </c>
      <c r="U233" s="92">
        <f>IFERROR(VLOOKUP($A233,'13. Mapa Títulos-Receita'!$A$8:$P$1000,6,FALSE),"")</f>
        <v/>
      </c>
      <c r="V233" s="92">
        <f>IFERROR(VLOOKUP($A233,'13. Mapa Títulos-Receita'!$A$8:$P$1000,7,FALSE),"")</f>
        <v/>
      </c>
      <c r="W233" s="92">
        <f>IFERROR(VLOOKUP($A233,'13. Mapa Títulos-Receita'!$A$8:$P$1000,8,FALSE),"")</f>
        <v/>
      </c>
      <c r="X233" s="92">
        <f>IFERROR(VLOOKUP($A233,'13. Mapa Títulos-Receita'!$A$8:$P$1000,9,FALSE),"")</f>
        <v/>
      </c>
      <c r="Y233" s="92">
        <f>IFERROR(VLOOKUP($A233,'13. Mapa Títulos-Receita'!$A$8:$P$1000,10,FALSE),"")</f>
        <v/>
      </c>
      <c r="Z233" s="92">
        <f>IFERROR(VLOOKUP($A233,'13. Mapa Títulos-Receita'!$A$8:$P$1000,11,FALSE),"")</f>
        <v/>
      </c>
      <c r="AA233" s="92">
        <f>IFERROR(VLOOKUP($A233,'13. Mapa Títulos-Receita'!$A$8:$P$1000,12,FALSE),"")</f>
        <v/>
      </c>
      <c r="AB233" s="92">
        <f>IFERROR(VLOOKUP($A233,'13. Mapa Títulos-Receita'!$A$8:$P$1000,13,FALSE),"")</f>
        <v/>
      </c>
      <c r="AC233" s="92">
        <f>IFERROR(VLOOKUP($A233,'13. Mapa Títulos-Receita'!$A$8:$P$1000,14,FALSE),"")</f>
        <v/>
      </c>
      <c r="AD233" s="92">
        <f>IFERROR(VLOOKUP($A233,'13. Mapa Títulos-Receita'!$A$8:$P$1000,15,FALSE),"")</f>
        <v/>
      </c>
      <c r="AE233" s="92">
        <f>IFERROR(VLOOKUP($A233,'13. Mapa Títulos-Receita'!$A$8:$P$1000,16,FALSE),"")</f>
        <v/>
      </c>
    </row>
    <row r="234">
      <c r="A234" s="28">
        <f>IF(C234="","", "CR-"&amp;TEXT(ROW()-7,"000"))</f>
        <v/>
      </c>
      <c r="B234" s="28" t="n"/>
      <c r="C234" s="28" t="n"/>
      <c r="D234" s="111" t="n"/>
      <c r="E234" s="111" t="n"/>
      <c r="F234" s="111" t="n"/>
      <c r="G234" s="28" t="n"/>
      <c r="H234" s="45" t="n"/>
      <c r="I234" s="45" t="n"/>
      <c r="J234" s="28">
        <f>IF(H234="","",IF(I234&gt;=H234,"Recebido",IF($B$4&gt;E234,"Vencido","Aberto")))</f>
        <v/>
      </c>
      <c r="K234" s="4">
        <f>IF(J234="","",IF(OR(J234="Recebido",F234=""),MAX(0,F234-E234),MAX(0,$B$4-E234)))</f>
        <v/>
      </c>
      <c r="L234" s="4">
        <f>IF(K234="","",IF(K234=0,"Em dia",IF(K234&lt;=30,"1-30 dias",IF(K234&lt;=60,"31-60 dias",IF(K234&lt;=90,"61-90 dias","&gt;90 dias")))))</f>
        <v/>
      </c>
      <c r="M234" s="28" t="n"/>
      <c r="N234" s="104" t="inlineStr"/>
      <c r="O234" s="64" t="n"/>
      <c r="P234" s="64">
        <f>IF(C234="","",IF(ISNUMBER(SEARCH("PCMSO",C234)),"PCMSO",IF(OR(ISNUMBER(SEARCH("E-SOCIAL",C234)),ISNUMBER(SEARCH("PSICOSOCIAL",C234))),"eSocial / Psicossocial",IF(O234="Receita recorrente","Carteira recorrente","Projetos / Laudos / Avulsos"))))</f>
        <v/>
      </c>
      <c r="Q234" s="64">
        <f>IF(P234="","",IF(P234="Carteira recorrente","Operação recorrente",IF(P234="PCMSO","Projetos PCMSO",IF(P234="eSocial / Psicossocial","Projetos eSocial/Psicossocial","Projetos / Laudos / Avulsos"))))</f>
        <v/>
      </c>
      <c r="R234" s="64">
        <f>IF(C234="","",IF(ISNUMBER(SEARCH("PCMSO",C234)),"Título com PCMSO no nome",IF(OR(ISNUMBER(SEARCH("E-SOCIAL",C234)),ISNUMBER(SEARCH("PSICOSOCIAL",C234))),"Título com eSocial/Psicossocial no nome",IF(O234="Receita recorrente","Tipo DRE recorrente","Extra sem palavra-chave específica"))))</f>
        <v/>
      </c>
      <c r="S234" s="92">
        <f>IFERROR(VLOOKUP($A234,'13. Mapa Títulos-Receita'!$A$8:$P$1000,4,FALSE),"")</f>
        <v/>
      </c>
      <c r="T234" s="92">
        <f>IFERROR(VLOOKUP($A234,'13. Mapa Títulos-Receita'!$A$8:$P$1000,5,FALSE),"")</f>
        <v/>
      </c>
      <c r="U234" s="92">
        <f>IFERROR(VLOOKUP($A234,'13. Mapa Títulos-Receita'!$A$8:$P$1000,6,FALSE),"")</f>
        <v/>
      </c>
      <c r="V234" s="92">
        <f>IFERROR(VLOOKUP($A234,'13. Mapa Títulos-Receita'!$A$8:$P$1000,7,FALSE),"")</f>
        <v/>
      </c>
      <c r="W234" s="92">
        <f>IFERROR(VLOOKUP($A234,'13. Mapa Títulos-Receita'!$A$8:$P$1000,8,FALSE),"")</f>
        <v/>
      </c>
      <c r="X234" s="92">
        <f>IFERROR(VLOOKUP($A234,'13. Mapa Títulos-Receita'!$A$8:$P$1000,9,FALSE),"")</f>
        <v/>
      </c>
      <c r="Y234" s="92">
        <f>IFERROR(VLOOKUP($A234,'13. Mapa Títulos-Receita'!$A$8:$P$1000,10,FALSE),"")</f>
        <v/>
      </c>
      <c r="Z234" s="92">
        <f>IFERROR(VLOOKUP($A234,'13. Mapa Títulos-Receita'!$A$8:$P$1000,11,FALSE),"")</f>
        <v/>
      </c>
      <c r="AA234" s="92">
        <f>IFERROR(VLOOKUP($A234,'13. Mapa Títulos-Receita'!$A$8:$P$1000,12,FALSE),"")</f>
        <v/>
      </c>
      <c r="AB234" s="92">
        <f>IFERROR(VLOOKUP($A234,'13. Mapa Títulos-Receita'!$A$8:$P$1000,13,FALSE),"")</f>
        <v/>
      </c>
      <c r="AC234" s="92">
        <f>IFERROR(VLOOKUP($A234,'13. Mapa Títulos-Receita'!$A$8:$P$1000,14,FALSE),"")</f>
        <v/>
      </c>
      <c r="AD234" s="92">
        <f>IFERROR(VLOOKUP($A234,'13. Mapa Títulos-Receita'!$A$8:$P$1000,15,FALSE),"")</f>
        <v/>
      </c>
      <c r="AE234" s="92">
        <f>IFERROR(VLOOKUP($A234,'13. Mapa Títulos-Receita'!$A$8:$P$1000,16,FALSE),"")</f>
        <v/>
      </c>
    </row>
    <row r="235">
      <c r="A235" s="28">
        <f>IF(C235="","", "CR-"&amp;TEXT(ROW()-7,"000"))</f>
        <v/>
      </c>
      <c r="B235" s="28" t="n"/>
      <c r="C235" s="28" t="n"/>
      <c r="D235" s="111" t="n"/>
      <c r="E235" s="111" t="n"/>
      <c r="F235" s="111" t="n"/>
      <c r="G235" s="28" t="n"/>
      <c r="H235" s="45" t="n"/>
      <c r="I235" s="45" t="n"/>
      <c r="J235" s="28">
        <f>IF(H235="","",IF(I235&gt;=H235,"Recebido",IF($B$4&gt;E235,"Vencido","Aberto")))</f>
        <v/>
      </c>
      <c r="K235" s="4">
        <f>IF(J235="","",IF(OR(J235="Recebido",F235=""),MAX(0,F235-E235),MAX(0,$B$4-E235)))</f>
        <v/>
      </c>
      <c r="L235" s="4">
        <f>IF(K235="","",IF(K235=0,"Em dia",IF(K235&lt;=30,"1-30 dias",IF(K235&lt;=60,"31-60 dias",IF(K235&lt;=90,"61-90 dias","&gt;90 dias")))))</f>
        <v/>
      </c>
      <c r="M235" s="28" t="n"/>
      <c r="N235" s="104" t="inlineStr"/>
      <c r="O235" s="64" t="n"/>
      <c r="P235" s="64">
        <f>IF(C235="","",IF(ISNUMBER(SEARCH("PCMSO",C235)),"PCMSO",IF(OR(ISNUMBER(SEARCH("E-SOCIAL",C235)),ISNUMBER(SEARCH("PSICOSOCIAL",C235))),"eSocial / Psicossocial",IF(O235="Receita recorrente","Carteira recorrente","Projetos / Laudos / Avulsos"))))</f>
        <v/>
      </c>
      <c r="Q235" s="64">
        <f>IF(P235="","",IF(P235="Carteira recorrente","Operação recorrente",IF(P235="PCMSO","Projetos PCMSO",IF(P235="eSocial / Psicossocial","Projetos eSocial/Psicossocial","Projetos / Laudos / Avulsos"))))</f>
        <v/>
      </c>
      <c r="R235" s="64">
        <f>IF(C235="","",IF(ISNUMBER(SEARCH("PCMSO",C235)),"Título com PCMSO no nome",IF(OR(ISNUMBER(SEARCH("E-SOCIAL",C235)),ISNUMBER(SEARCH("PSICOSOCIAL",C235))),"Título com eSocial/Psicossocial no nome",IF(O235="Receita recorrente","Tipo DRE recorrente","Extra sem palavra-chave específica"))))</f>
        <v/>
      </c>
      <c r="S235" s="92">
        <f>IFERROR(VLOOKUP($A235,'13. Mapa Títulos-Receita'!$A$8:$P$1000,4,FALSE),"")</f>
        <v/>
      </c>
      <c r="T235" s="92">
        <f>IFERROR(VLOOKUP($A235,'13. Mapa Títulos-Receita'!$A$8:$P$1000,5,FALSE),"")</f>
        <v/>
      </c>
      <c r="U235" s="92">
        <f>IFERROR(VLOOKUP($A235,'13. Mapa Títulos-Receita'!$A$8:$P$1000,6,FALSE),"")</f>
        <v/>
      </c>
      <c r="V235" s="92">
        <f>IFERROR(VLOOKUP($A235,'13. Mapa Títulos-Receita'!$A$8:$P$1000,7,FALSE),"")</f>
        <v/>
      </c>
      <c r="W235" s="92">
        <f>IFERROR(VLOOKUP($A235,'13. Mapa Títulos-Receita'!$A$8:$P$1000,8,FALSE),"")</f>
        <v/>
      </c>
      <c r="X235" s="92">
        <f>IFERROR(VLOOKUP($A235,'13. Mapa Títulos-Receita'!$A$8:$P$1000,9,FALSE),"")</f>
        <v/>
      </c>
      <c r="Y235" s="92">
        <f>IFERROR(VLOOKUP($A235,'13. Mapa Títulos-Receita'!$A$8:$P$1000,10,FALSE),"")</f>
        <v/>
      </c>
      <c r="Z235" s="92">
        <f>IFERROR(VLOOKUP($A235,'13. Mapa Títulos-Receita'!$A$8:$P$1000,11,FALSE),"")</f>
        <v/>
      </c>
      <c r="AA235" s="92">
        <f>IFERROR(VLOOKUP($A235,'13. Mapa Títulos-Receita'!$A$8:$P$1000,12,FALSE),"")</f>
        <v/>
      </c>
      <c r="AB235" s="92">
        <f>IFERROR(VLOOKUP($A235,'13. Mapa Títulos-Receita'!$A$8:$P$1000,13,FALSE),"")</f>
        <v/>
      </c>
      <c r="AC235" s="92">
        <f>IFERROR(VLOOKUP($A235,'13. Mapa Títulos-Receita'!$A$8:$P$1000,14,FALSE),"")</f>
        <v/>
      </c>
      <c r="AD235" s="92">
        <f>IFERROR(VLOOKUP($A235,'13. Mapa Títulos-Receita'!$A$8:$P$1000,15,FALSE),"")</f>
        <v/>
      </c>
      <c r="AE235" s="92">
        <f>IFERROR(VLOOKUP($A235,'13. Mapa Títulos-Receita'!$A$8:$P$1000,16,FALSE),"")</f>
        <v/>
      </c>
    </row>
    <row r="236">
      <c r="A236" s="28">
        <f>IF(C236="","", "CR-"&amp;TEXT(ROW()-7,"000"))</f>
        <v/>
      </c>
      <c r="B236" s="28" t="n"/>
      <c r="C236" s="28" t="n"/>
      <c r="D236" s="111" t="n"/>
      <c r="E236" s="111" t="n"/>
      <c r="F236" s="111" t="n"/>
      <c r="G236" s="28" t="n"/>
      <c r="H236" s="45" t="n"/>
      <c r="I236" s="45" t="n"/>
      <c r="J236" s="28">
        <f>IF(H236="","",IF(I236&gt;=H236,"Recebido",IF($B$4&gt;E236,"Vencido","Aberto")))</f>
        <v/>
      </c>
      <c r="K236" s="4">
        <f>IF(J236="","",IF(OR(J236="Recebido",F236=""),MAX(0,F236-E236),MAX(0,$B$4-E236)))</f>
        <v/>
      </c>
      <c r="L236" s="4">
        <f>IF(K236="","",IF(K236=0,"Em dia",IF(K236&lt;=30,"1-30 dias",IF(K236&lt;=60,"31-60 dias",IF(K236&lt;=90,"61-90 dias","&gt;90 dias")))))</f>
        <v/>
      </c>
      <c r="M236" s="28" t="n"/>
      <c r="N236" s="104" t="inlineStr"/>
      <c r="O236" s="64" t="n"/>
      <c r="P236" s="64">
        <f>IF(C236="","",IF(ISNUMBER(SEARCH("PCMSO",C236)),"PCMSO",IF(OR(ISNUMBER(SEARCH("E-SOCIAL",C236)),ISNUMBER(SEARCH("PSICOSOCIAL",C236))),"eSocial / Psicossocial",IF(O236="Receita recorrente","Carteira recorrente","Projetos / Laudos / Avulsos"))))</f>
        <v/>
      </c>
      <c r="Q236" s="64">
        <f>IF(P236="","",IF(P236="Carteira recorrente","Operação recorrente",IF(P236="PCMSO","Projetos PCMSO",IF(P236="eSocial / Psicossocial","Projetos eSocial/Psicossocial","Projetos / Laudos / Avulsos"))))</f>
        <v/>
      </c>
      <c r="R236" s="64">
        <f>IF(C236="","",IF(ISNUMBER(SEARCH("PCMSO",C236)),"Título com PCMSO no nome",IF(OR(ISNUMBER(SEARCH("E-SOCIAL",C236)),ISNUMBER(SEARCH("PSICOSOCIAL",C236))),"Título com eSocial/Psicossocial no nome",IF(O236="Receita recorrente","Tipo DRE recorrente","Extra sem palavra-chave específica"))))</f>
        <v/>
      </c>
      <c r="S236" s="92">
        <f>IFERROR(VLOOKUP($A236,'13. Mapa Títulos-Receita'!$A$8:$P$1000,4,FALSE),"")</f>
        <v/>
      </c>
      <c r="T236" s="92">
        <f>IFERROR(VLOOKUP($A236,'13. Mapa Títulos-Receita'!$A$8:$P$1000,5,FALSE),"")</f>
        <v/>
      </c>
      <c r="U236" s="92">
        <f>IFERROR(VLOOKUP($A236,'13. Mapa Títulos-Receita'!$A$8:$P$1000,6,FALSE),"")</f>
        <v/>
      </c>
      <c r="V236" s="92">
        <f>IFERROR(VLOOKUP($A236,'13. Mapa Títulos-Receita'!$A$8:$P$1000,7,FALSE),"")</f>
        <v/>
      </c>
      <c r="W236" s="92">
        <f>IFERROR(VLOOKUP($A236,'13. Mapa Títulos-Receita'!$A$8:$P$1000,8,FALSE),"")</f>
        <v/>
      </c>
      <c r="X236" s="92">
        <f>IFERROR(VLOOKUP($A236,'13. Mapa Títulos-Receita'!$A$8:$P$1000,9,FALSE),"")</f>
        <v/>
      </c>
      <c r="Y236" s="92">
        <f>IFERROR(VLOOKUP($A236,'13. Mapa Títulos-Receita'!$A$8:$P$1000,10,FALSE),"")</f>
        <v/>
      </c>
      <c r="Z236" s="92">
        <f>IFERROR(VLOOKUP($A236,'13. Mapa Títulos-Receita'!$A$8:$P$1000,11,FALSE),"")</f>
        <v/>
      </c>
      <c r="AA236" s="92">
        <f>IFERROR(VLOOKUP($A236,'13. Mapa Títulos-Receita'!$A$8:$P$1000,12,FALSE),"")</f>
        <v/>
      </c>
      <c r="AB236" s="92">
        <f>IFERROR(VLOOKUP($A236,'13. Mapa Títulos-Receita'!$A$8:$P$1000,13,FALSE),"")</f>
        <v/>
      </c>
      <c r="AC236" s="92">
        <f>IFERROR(VLOOKUP($A236,'13. Mapa Títulos-Receita'!$A$8:$P$1000,14,FALSE),"")</f>
        <v/>
      </c>
      <c r="AD236" s="92">
        <f>IFERROR(VLOOKUP($A236,'13. Mapa Títulos-Receita'!$A$8:$P$1000,15,FALSE),"")</f>
        <v/>
      </c>
      <c r="AE236" s="92">
        <f>IFERROR(VLOOKUP($A236,'13. Mapa Títulos-Receita'!$A$8:$P$1000,16,FALSE),"")</f>
        <v/>
      </c>
    </row>
    <row r="237">
      <c r="A237" s="28">
        <f>IF(C237="","", "CR-"&amp;TEXT(ROW()-7,"000"))</f>
        <v/>
      </c>
      <c r="B237" s="28" t="n"/>
      <c r="C237" s="28" t="n"/>
      <c r="D237" s="111" t="n"/>
      <c r="E237" s="111" t="n"/>
      <c r="F237" s="111" t="n"/>
      <c r="G237" s="28" t="n"/>
      <c r="H237" s="45" t="n"/>
      <c r="I237" s="45" t="n"/>
      <c r="J237" s="28">
        <f>IF(H237="","",IF(I237&gt;=H237,"Recebido",IF($B$4&gt;E237,"Vencido","Aberto")))</f>
        <v/>
      </c>
      <c r="K237" s="4">
        <f>IF(J237="","",IF(OR(J237="Recebido",F237=""),MAX(0,F237-E237),MAX(0,$B$4-E237)))</f>
        <v/>
      </c>
      <c r="L237" s="4">
        <f>IF(K237="","",IF(K237=0,"Em dia",IF(K237&lt;=30,"1-30 dias",IF(K237&lt;=60,"31-60 dias",IF(K237&lt;=90,"61-90 dias","&gt;90 dias")))))</f>
        <v/>
      </c>
      <c r="M237" s="28" t="n"/>
      <c r="N237" s="104" t="inlineStr"/>
      <c r="O237" s="64" t="n"/>
      <c r="P237" s="64">
        <f>IF(C237="","",IF(ISNUMBER(SEARCH("PCMSO",C237)),"PCMSO",IF(OR(ISNUMBER(SEARCH("E-SOCIAL",C237)),ISNUMBER(SEARCH("PSICOSOCIAL",C237))),"eSocial / Psicossocial",IF(O237="Receita recorrente","Carteira recorrente","Projetos / Laudos / Avulsos"))))</f>
        <v/>
      </c>
      <c r="Q237" s="64">
        <f>IF(P237="","",IF(P237="Carteira recorrente","Operação recorrente",IF(P237="PCMSO","Projetos PCMSO",IF(P237="eSocial / Psicossocial","Projetos eSocial/Psicossocial","Projetos / Laudos / Avulsos"))))</f>
        <v/>
      </c>
      <c r="R237" s="64">
        <f>IF(C237="","",IF(ISNUMBER(SEARCH("PCMSO",C237)),"Título com PCMSO no nome",IF(OR(ISNUMBER(SEARCH("E-SOCIAL",C237)),ISNUMBER(SEARCH("PSICOSOCIAL",C237))),"Título com eSocial/Psicossocial no nome",IF(O237="Receita recorrente","Tipo DRE recorrente","Extra sem palavra-chave específica"))))</f>
        <v/>
      </c>
      <c r="S237" s="92">
        <f>IFERROR(VLOOKUP($A237,'13. Mapa Títulos-Receita'!$A$8:$P$1000,4,FALSE),"")</f>
        <v/>
      </c>
      <c r="T237" s="92">
        <f>IFERROR(VLOOKUP($A237,'13. Mapa Títulos-Receita'!$A$8:$P$1000,5,FALSE),"")</f>
        <v/>
      </c>
      <c r="U237" s="92">
        <f>IFERROR(VLOOKUP($A237,'13. Mapa Títulos-Receita'!$A$8:$P$1000,6,FALSE),"")</f>
        <v/>
      </c>
      <c r="V237" s="92">
        <f>IFERROR(VLOOKUP($A237,'13. Mapa Títulos-Receita'!$A$8:$P$1000,7,FALSE),"")</f>
        <v/>
      </c>
      <c r="W237" s="92">
        <f>IFERROR(VLOOKUP($A237,'13. Mapa Títulos-Receita'!$A$8:$P$1000,8,FALSE),"")</f>
        <v/>
      </c>
      <c r="X237" s="92">
        <f>IFERROR(VLOOKUP($A237,'13. Mapa Títulos-Receita'!$A$8:$P$1000,9,FALSE),"")</f>
        <v/>
      </c>
      <c r="Y237" s="92">
        <f>IFERROR(VLOOKUP($A237,'13. Mapa Títulos-Receita'!$A$8:$P$1000,10,FALSE),"")</f>
        <v/>
      </c>
      <c r="Z237" s="92">
        <f>IFERROR(VLOOKUP($A237,'13. Mapa Títulos-Receita'!$A$8:$P$1000,11,FALSE),"")</f>
        <v/>
      </c>
      <c r="AA237" s="92">
        <f>IFERROR(VLOOKUP($A237,'13. Mapa Títulos-Receita'!$A$8:$P$1000,12,FALSE),"")</f>
        <v/>
      </c>
      <c r="AB237" s="92">
        <f>IFERROR(VLOOKUP($A237,'13. Mapa Títulos-Receita'!$A$8:$P$1000,13,FALSE),"")</f>
        <v/>
      </c>
      <c r="AC237" s="92">
        <f>IFERROR(VLOOKUP($A237,'13. Mapa Títulos-Receita'!$A$8:$P$1000,14,FALSE),"")</f>
        <v/>
      </c>
      <c r="AD237" s="92">
        <f>IFERROR(VLOOKUP($A237,'13. Mapa Títulos-Receita'!$A$8:$P$1000,15,FALSE),"")</f>
        <v/>
      </c>
      <c r="AE237" s="92">
        <f>IFERROR(VLOOKUP($A237,'13. Mapa Títulos-Receita'!$A$8:$P$1000,16,FALSE),"")</f>
        <v/>
      </c>
    </row>
    <row r="238">
      <c r="A238" s="28">
        <f>IF(C238="","", "CR-"&amp;TEXT(ROW()-7,"000"))</f>
        <v/>
      </c>
      <c r="B238" s="28" t="n"/>
      <c r="C238" s="28" t="n"/>
      <c r="D238" s="111" t="n"/>
      <c r="E238" s="111" t="n"/>
      <c r="F238" s="111" t="n"/>
      <c r="G238" s="28" t="n"/>
      <c r="H238" s="45" t="n"/>
      <c r="I238" s="45" t="n"/>
      <c r="J238" s="28">
        <f>IF(H238="","",IF(I238&gt;=H238,"Recebido",IF($B$4&gt;E238,"Vencido","Aberto")))</f>
        <v/>
      </c>
      <c r="K238" s="4">
        <f>IF(J238="","",IF(OR(J238="Recebido",F238=""),MAX(0,F238-E238),MAX(0,$B$4-E238)))</f>
        <v/>
      </c>
      <c r="L238" s="4">
        <f>IF(K238="","",IF(K238=0,"Em dia",IF(K238&lt;=30,"1-30 dias",IF(K238&lt;=60,"31-60 dias",IF(K238&lt;=90,"61-90 dias","&gt;90 dias")))))</f>
        <v/>
      </c>
      <c r="M238" s="28" t="n"/>
      <c r="N238" s="104" t="inlineStr"/>
      <c r="O238" s="64" t="n"/>
      <c r="P238" s="64">
        <f>IF(C238="","",IF(ISNUMBER(SEARCH("PCMSO",C238)),"PCMSO",IF(OR(ISNUMBER(SEARCH("E-SOCIAL",C238)),ISNUMBER(SEARCH("PSICOSOCIAL",C238))),"eSocial / Psicossocial",IF(O238="Receita recorrente","Carteira recorrente","Projetos / Laudos / Avulsos"))))</f>
        <v/>
      </c>
      <c r="Q238" s="64">
        <f>IF(P238="","",IF(P238="Carteira recorrente","Operação recorrente",IF(P238="PCMSO","Projetos PCMSO",IF(P238="eSocial / Psicossocial","Projetos eSocial/Psicossocial","Projetos / Laudos / Avulsos"))))</f>
        <v/>
      </c>
      <c r="R238" s="64">
        <f>IF(C238="","",IF(ISNUMBER(SEARCH("PCMSO",C238)),"Título com PCMSO no nome",IF(OR(ISNUMBER(SEARCH("E-SOCIAL",C238)),ISNUMBER(SEARCH("PSICOSOCIAL",C238))),"Título com eSocial/Psicossocial no nome",IF(O238="Receita recorrente","Tipo DRE recorrente","Extra sem palavra-chave específica"))))</f>
        <v/>
      </c>
      <c r="S238" s="92">
        <f>IFERROR(VLOOKUP($A238,'13. Mapa Títulos-Receita'!$A$8:$P$1000,4,FALSE),"")</f>
        <v/>
      </c>
      <c r="T238" s="92">
        <f>IFERROR(VLOOKUP($A238,'13. Mapa Títulos-Receita'!$A$8:$P$1000,5,FALSE),"")</f>
        <v/>
      </c>
      <c r="U238" s="92">
        <f>IFERROR(VLOOKUP($A238,'13. Mapa Títulos-Receita'!$A$8:$P$1000,6,FALSE),"")</f>
        <v/>
      </c>
      <c r="V238" s="92">
        <f>IFERROR(VLOOKUP($A238,'13. Mapa Títulos-Receita'!$A$8:$P$1000,7,FALSE),"")</f>
        <v/>
      </c>
      <c r="W238" s="92">
        <f>IFERROR(VLOOKUP($A238,'13. Mapa Títulos-Receita'!$A$8:$P$1000,8,FALSE),"")</f>
        <v/>
      </c>
      <c r="X238" s="92">
        <f>IFERROR(VLOOKUP($A238,'13. Mapa Títulos-Receita'!$A$8:$P$1000,9,FALSE),"")</f>
        <v/>
      </c>
      <c r="Y238" s="92">
        <f>IFERROR(VLOOKUP($A238,'13. Mapa Títulos-Receita'!$A$8:$P$1000,10,FALSE),"")</f>
        <v/>
      </c>
      <c r="Z238" s="92">
        <f>IFERROR(VLOOKUP($A238,'13. Mapa Títulos-Receita'!$A$8:$P$1000,11,FALSE),"")</f>
        <v/>
      </c>
      <c r="AA238" s="92">
        <f>IFERROR(VLOOKUP($A238,'13. Mapa Títulos-Receita'!$A$8:$P$1000,12,FALSE),"")</f>
        <v/>
      </c>
      <c r="AB238" s="92">
        <f>IFERROR(VLOOKUP($A238,'13. Mapa Títulos-Receita'!$A$8:$P$1000,13,FALSE),"")</f>
        <v/>
      </c>
      <c r="AC238" s="92">
        <f>IFERROR(VLOOKUP($A238,'13. Mapa Títulos-Receita'!$A$8:$P$1000,14,FALSE),"")</f>
        <v/>
      </c>
      <c r="AD238" s="92">
        <f>IFERROR(VLOOKUP($A238,'13. Mapa Títulos-Receita'!$A$8:$P$1000,15,FALSE),"")</f>
        <v/>
      </c>
      <c r="AE238" s="92">
        <f>IFERROR(VLOOKUP($A238,'13. Mapa Títulos-Receita'!$A$8:$P$1000,16,FALSE),"")</f>
        <v/>
      </c>
    </row>
    <row r="239">
      <c r="A239" s="28">
        <f>IF(C239="","", "CR-"&amp;TEXT(ROW()-7,"000"))</f>
        <v/>
      </c>
      <c r="B239" s="28" t="n"/>
      <c r="C239" s="28" t="n"/>
      <c r="D239" s="111" t="n"/>
      <c r="E239" s="111" t="n"/>
      <c r="F239" s="111" t="n"/>
      <c r="G239" s="28" t="n"/>
      <c r="H239" s="45" t="n"/>
      <c r="I239" s="45" t="n"/>
      <c r="J239" s="28">
        <f>IF(H239="","",IF(I239&gt;=H239,"Recebido",IF($B$4&gt;E239,"Vencido","Aberto")))</f>
        <v/>
      </c>
      <c r="K239" s="4">
        <f>IF(J239="","",IF(OR(J239="Recebido",F239=""),MAX(0,F239-E239),MAX(0,$B$4-E239)))</f>
        <v/>
      </c>
      <c r="L239" s="4">
        <f>IF(K239="","",IF(K239=0,"Em dia",IF(K239&lt;=30,"1-30 dias",IF(K239&lt;=60,"31-60 dias",IF(K239&lt;=90,"61-90 dias","&gt;90 dias")))))</f>
        <v/>
      </c>
      <c r="M239" s="28" t="n"/>
      <c r="N239" s="104" t="inlineStr"/>
      <c r="O239" s="64" t="n"/>
      <c r="P239" s="64">
        <f>IF(C239="","",IF(ISNUMBER(SEARCH("PCMSO",C239)),"PCMSO",IF(OR(ISNUMBER(SEARCH("E-SOCIAL",C239)),ISNUMBER(SEARCH("PSICOSOCIAL",C239))),"eSocial / Psicossocial",IF(O239="Receita recorrente","Carteira recorrente","Projetos / Laudos / Avulsos"))))</f>
        <v/>
      </c>
      <c r="Q239" s="64">
        <f>IF(P239="","",IF(P239="Carteira recorrente","Operação recorrente",IF(P239="PCMSO","Projetos PCMSO",IF(P239="eSocial / Psicossocial","Projetos eSocial/Psicossocial","Projetos / Laudos / Avulsos"))))</f>
        <v/>
      </c>
      <c r="R239" s="64">
        <f>IF(C239="","",IF(ISNUMBER(SEARCH("PCMSO",C239)),"Título com PCMSO no nome",IF(OR(ISNUMBER(SEARCH("E-SOCIAL",C239)),ISNUMBER(SEARCH("PSICOSOCIAL",C239))),"Título com eSocial/Psicossocial no nome",IF(O239="Receita recorrente","Tipo DRE recorrente","Extra sem palavra-chave específica"))))</f>
        <v/>
      </c>
      <c r="S239" s="92">
        <f>IFERROR(VLOOKUP($A239,'13. Mapa Títulos-Receita'!$A$8:$P$1000,4,FALSE),"")</f>
        <v/>
      </c>
      <c r="T239" s="92">
        <f>IFERROR(VLOOKUP($A239,'13. Mapa Títulos-Receita'!$A$8:$P$1000,5,FALSE),"")</f>
        <v/>
      </c>
      <c r="U239" s="92">
        <f>IFERROR(VLOOKUP($A239,'13. Mapa Títulos-Receita'!$A$8:$P$1000,6,FALSE),"")</f>
        <v/>
      </c>
      <c r="V239" s="92">
        <f>IFERROR(VLOOKUP($A239,'13. Mapa Títulos-Receita'!$A$8:$P$1000,7,FALSE),"")</f>
        <v/>
      </c>
      <c r="W239" s="92">
        <f>IFERROR(VLOOKUP($A239,'13. Mapa Títulos-Receita'!$A$8:$P$1000,8,FALSE),"")</f>
        <v/>
      </c>
      <c r="X239" s="92">
        <f>IFERROR(VLOOKUP($A239,'13. Mapa Títulos-Receita'!$A$8:$P$1000,9,FALSE),"")</f>
        <v/>
      </c>
      <c r="Y239" s="92">
        <f>IFERROR(VLOOKUP($A239,'13. Mapa Títulos-Receita'!$A$8:$P$1000,10,FALSE),"")</f>
        <v/>
      </c>
      <c r="Z239" s="92">
        <f>IFERROR(VLOOKUP($A239,'13. Mapa Títulos-Receita'!$A$8:$P$1000,11,FALSE),"")</f>
        <v/>
      </c>
      <c r="AA239" s="92">
        <f>IFERROR(VLOOKUP($A239,'13. Mapa Títulos-Receita'!$A$8:$P$1000,12,FALSE),"")</f>
        <v/>
      </c>
      <c r="AB239" s="92">
        <f>IFERROR(VLOOKUP($A239,'13. Mapa Títulos-Receita'!$A$8:$P$1000,13,FALSE),"")</f>
        <v/>
      </c>
      <c r="AC239" s="92">
        <f>IFERROR(VLOOKUP($A239,'13. Mapa Títulos-Receita'!$A$8:$P$1000,14,FALSE),"")</f>
        <v/>
      </c>
      <c r="AD239" s="92">
        <f>IFERROR(VLOOKUP($A239,'13. Mapa Títulos-Receita'!$A$8:$P$1000,15,FALSE),"")</f>
        <v/>
      </c>
      <c r="AE239" s="92">
        <f>IFERROR(VLOOKUP($A239,'13. Mapa Títulos-Receita'!$A$8:$P$1000,16,FALSE),"")</f>
        <v/>
      </c>
    </row>
    <row r="240">
      <c r="A240" s="28">
        <f>IF(C240="","", "CR-"&amp;TEXT(ROW()-7,"000"))</f>
        <v/>
      </c>
      <c r="B240" s="28" t="n"/>
      <c r="C240" s="28" t="n"/>
      <c r="D240" s="111" t="n"/>
      <c r="E240" s="111" t="n"/>
      <c r="F240" s="111" t="n"/>
      <c r="G240" s="28" t="n"/>
      <c r="H240" s="45" t="n"/>
      <c r="I240" s="45" t="n"/>
      <c r="J240" s="28">
        <f>IF(H240="","",IF(I240&gt;=H240,"Recebido",IF($B$4&gt;E240,"Vencido","Aberto")))</f>
        <v/>
      </c>
      <c r="K240" s="4">
        <f>IF(J240="","",IF(OR(J240="Recebido",F240=""),MAX(0,F240-E240),MAX(0,$B$4-E240)))</f>
        <v/>
      </c>
      <c r="L240" s="4">
        <f>IF(K240="","",IF(K240=0,"Em dia",IF(K240&lt;=30,"1-30 dias",IF(K240&lt;=60,"31-60 dias",IF(K240&lt;=90,"61-90 dias","&gt;90 dias")))))</f>
        <v/>
      </c>
      <c r="M240" s="28" t="n"/>
      <c r="N240" s="104" t="inlineStr"/>
      <c r="O240" s="64" t="n"/>
      <c r="P240" s="64">
        <f>IF(C240="","",IF(ISNUMBER(SEARCH("PCMSO",C240)),"PCMSO",IF(OR(ISNUMBER(SEARCH("E-SOCIAL",C240)),ISNUMBER(SEARCH("PSICOSOCIAL",C240))),"eSocial / Psicossocial",IF(O240="Receita recorrente","Carteira recorrente","Projetos / Laudos / Avulsos"))))</f>
        <v/>
      </c>
      <c r="Q240" s="64">
        <f>IF(P240="","",IF(P240="Carteira recorrente","Operação recorrente",IF(P240="PCMSO","Projetos PCMSO",IF(P240="eSocial / Psicossocial","Projetos eSocial/Psicossocial","Projetos / Laudos / Avulsos"))))</f>
        <v/>
      </c>
      <c r="R240" s="64">
        <f>IF(C240="","",IF(ISNUMBER(SEARCH("PCMSO",C240)),"Título com PCMSO no nome",IF(OR(ISNUMBER(SEARCH("E-SOCIAL",C240)),ISNUMBER(SEARCH("PSICOSOCIAL",C240))),"Título com eSocial/Psicossocial no nome",IF(O240="Receita recorrente","Tipo DRE recorrente","Extra sem palavra-chave específica"))))</f>
        <v/>
      </c>
      <c r="S240" s="92">
        <f>IFERROR(VLOOKUP($A240,'13. Mapa Títulos-Receita'!$A$8:$P$1000,4,FALSE),"")</f>
        <v/>
      </c>
      <c r="T240" s="92">
        <f>IFERROR(VLOOKUP($A240,'13. Mapa Títulos-Receita'!$A$8:$P$1000,5,FALSE),"")</f>
        <v/>
      </c>
      <c r="U240" s="92">
        <f>IFERROR(VLOOKUP($A240,'13. Mapa Títulos-Receita'!$A$8:$P$1000,6,FALSE),"")</f>
        <v/>
      </c>
      <c r="V240" s="92">
        <f>IFERROR(VLOOKUP($A240,'13. Mapa Títulos-Receita'!$A$8:$P$1000,7,FALSE),"")</f>
        <v/>
      </c>
      <c r="W240" s="92">
        <f>IFERROR(VLOOKUP($A240,'13. Mapa Títulos-Receita'!$A$8:$P$1000,8,FALSE),"")</f>
        <v/>
      </c>
      <c r="X240" s="92">
        <f>IFERROR(VLOOKUP($A240,'13. Mapa Títulos-Receita'!$A$8:$P$1000,9,FALSE),"")</f>
        <v/>
      </c>
      <c r="Y240" s="92">
        <f>IFERROR(VLOOKUP($A240,'13. Mapa Títulos-Receita'!$A$8:$P$1000,10,FALSE),"")</f>
        <v/>
      </c>
      <c r="Z240" s="92">
        <f>IFERROR(VLOOKUP($A240,'13. Mapa Títulos-Receita'!$A$8:$P$1000,11,FALSE),"")</f>
        <v/>
      </c>
      <c r="AA240" s="92">
        <f>IFERROR(VLOOKUP($A240,'13. Mapa Títulos-Receita'!$A$8:$P$1000,12,FALSE),"")</f>
        <v/>
      </c>
      <c r="AB240" s="92">
        <f>IFERROR(VLOOKUP($A240,'13. Mapa Títulos-Receita'!$A$8:$P$1000,13,FALSE),"")</f>
        <v/>
      </c>
      <c r="AC240" s="92">
        <f>IFERROR(VLOOKUP($A240,'13. Mapa Títulos-Receita'!$A$8:$P$1000,14,FALSE),"")</f>
        <v/>
      </c>
      <c r="AD240" s="92">
        <f>IFERROR(VLOOKUP($A240,'13. Mapa Títulos-Receita'!$A$8:$P$1000,15,FALSE),"")</f>
        <v/>
      </c>
      <c r="AE240" s="92">
        <f>IFERROR(VLOOKUP($A240,'13. Mapa Títulos-Receita'!$A$8:$P$1000,16,FALSE),"")</f>
        <v/>
      </c>
    </row>
    <row r="241">
      <c r="A241" s="28">
        <f>IF(C241="","", "CR-"&amp;TEXT(ROW()-7,"000"))</f>
        <v/>
      </c>
      <c r="B241" s="28" t="n"/>
      <c r="C241" s="28" t="n"/>
      <c r="D241" s="111" t="n"/>
      <c r="E241" s="111" t="n"/>
      <c r="F241" s="111" t="n"/>
      <c r="G241" s="28" t="n"/>
      <c r="H241" s="45" t="n"/>
      <c r="I241" s="45" t="n"/>
      <c r="J241" s="28">
        <f>IF(H241="","",IF(I241&gt;=H241,"Recebido",IF($B$4&gt;E241,"Vencido","Aberto")))</f>
        <v/>
      </c>
      <c r="K241" s="4">
        <f>IF(J241="","",IF(OR(J241="Recebido",F241=""),MAX(0,F241-E241),MAX(0,$B$4-E241)))</f>
        <v/>
      </c>
      <c r="L241" s="4">
        <f>IF(K241="","",IF(K241=0,"Em dia",IF(K241&lt;=30,"1-30 dias",IF(K241&lt;=60,"31-60 dias",IF(K241&lt;=90,"61-90 dias","&gt;90 dias")))))</f>
        <v/>
      </c>
      <c r="M241" s="28" t="n"/>
      <c r="N241" s="104" t="inlineStr"/>
      <c r="O241" s="64" t="n"/>
      <c r="P241" s="64">
        <f>IF(C241="","",IF(ISNUMBER(SEARCH("PCMSO",C241)),"PCMSO",IF(OR(ISNUMBER(SEARCH("E-SOCIAL",C241)),ISNUMBER(SEARCH("PSICOSOCIAL",C241))),"eSocial / Psicossocial",IF(O241="Receita recorrente","Carteira recorrente","Projetos / Laudos / Avulsos"))))</f>
        <v/>
      </c>
      <c r="Q241" s="64">
        <f>IF(P241="","",IF(P241="Carteira recorrente","Operação recorrente",IF(P241="PCMSO","Projetos PCMSO",IF(P241="eSocial / Psicossocial","Projetos eSocial/Psicossocial","Projetos / Laudos / Avulsos"))))</f>
        <v/>
      </c>
      <c r="R241" s="64">
        <f>IF(C241="","",IF(ISNUMBER(SEARCH("PCMSO",C241)),"Título com PCMSO no nome",IF(OR(ISNUMBER(SEARCH("E-SOCIAL",C241)),ISNUMBER(SEARCH("PSICOSOCIAL",C241))),"Título com eSocial/Psicossocial no nome",IF(O241="Receita recorrente","Tipo DRE recorrente","Extra sem palavra-chave específica"))))</f>
        <v/>
      </c>
      <c r="S241" s="92">
        <f>IFERROR(VLOOKUP($A241,'13. Mapa Títulos-Receita'!$A$8:$P$1000,4,FALSE),"")</f>
        <v/>
      </c>
      <c r="T241" s="92">
        <f>IFERROR(VLOOKUP($A241,'13. Mapa Títulos-Receita'!$A$8:$P$1000,5,FALSE),"")</f>
        <v/>
      </c>
      <c r="U241" s="92">
        <f>IFERROR(VLOOKUP($A241,'13. Mapa Títulos-Receita'!$A$8:$P$1000,6,FALSE),"")</f>
        <v/>
      </c>
      <c r="V241" s="92">
        <f>IFERROR(VLOOKUP($A241,'13. Mapa Títulos-Receita'!$A$8:$P$1000,7,FALSE),"")</f>
        <v/>
      </c>
      <c r="W241" s="92">
        <f>IFERROR(VLOOKUP($A241,'13. Mapa Títulos-Receita'!$A$8:$P$1000,8,FALSE),"")</f>
        <v/>
      </c>
      <c r="X241" s="92">
        <f>IFERROR(VLOOKUP($A241,'13. Mapa Títulos-Receita'!$A$8:$P$1000,9,FALSE),"")</f>
        <v/>
      </c>
      <c r="Y241" s="92">
        <f>IFERROR(VLOOKUP($A241,'13. Mapa Títulos-Receita'!$A$8:$P$1000,10,FALSE),"")</f>
        <v/>
      </c>
      <c r="Z241" s="92">
        <f>IFERROR(VLOOKUP($A241,'13. Mapa Títulos-Receita'!$A$8:$P$1000,11,FALSE),"")</f>
        <v/>
      </c>
      <c r="AA241" s="92">
        <f>IFERROR(VLOOKUP($A241,'13. Mapa Títulos-Receita'!$A$8:$P$1000,12,FALSE),"")</f>
        <v/>
      </c>
      <c r="AB241" s="92">
        <f>IFERROR(VLOOKUP($A241,'13. Mapa Títulos-Receita'!$A$8:$P$1000,13,FALSE),"")</f>
        <v/>
      </c>
      <c r="AC241" s="92">
        <f>IFERROR(VLOOKUP($A241,'13. Mapa Títulos-Receita'!$A$8:$P$1000,14,FALSE),"")</f>
        <v/>
      </c>
      <c r="AD241" s="92">
        <f>IFERROR(VLOOKUP($A241,'13. Mapa Títulos-Receita'!$A$8:$P$1000,15,FALSE),"")</f>
        <v/>
      </c>
      <c r="AE241" s="92">
        <f>IFERROR(VLOOKUP($A241,'13. Mapa Títulos-Receita'!$A$8:$P$1000,16,FALSE),"")</f>
        <v/>
      </c>
    </row>
    <row r="242">
      <c r="A242" s="28">
        <f>IF(C242="","", "CR-"&amp;TEXT(ROW()-7,"000"))</f>
        <v/>
      </c>
      <c r="B242" s="28" t="n"/>
      <c r="C242" s="28" t="n"/>
      <c r="D242" s="111" t="n"/>
      <c r="E242" s="111" t="n"/>
      <c r="F242" s="111" t="n"/>
      <c r="G242" s="28" t="n"/>
      <c r="H242" s="45" t="n"/>
      <c r="I242" s="45" t="n"/>
      <c r="J242" s="28">
        <f>IF(H242="","",IF(I242&gt;=H242,"Recebido",IF($B$4&gt;E242,"Vencido","Aberto")))</f>
        <v/>
      </c>
      <c r="K242" s="4">
        <f>IF(J242="","",IF(OR(J242="Recebido",F242=""),MAX(0,F242-E242),MAX(0,$B$4-E242)))</f>
        <v/>
      </c>
      <c r="L242" s="4">
        <f>IF(K242="","",IF(K242=0,"Em dia",IF(K242&lt;=30,"1-30 dias",IF(K242&lt;=60,"31-60 dias",IF(K242&lt;=90,"61-90 dias","&gt;90 dias")))))</f>
        <v/>
      </c>
      <c r="M242" s="28" t="n"/>
      <c r="N242" s="104" t="inlineStr"/>
      <c r="O242" s="64" t="n"/>
      <c r="P242" s="64">
        <f>IF(C242="","",IF(ISNUMBER(SEARCH("PCMSO",C242)),"PCMSO",IF(OR(ISNUMBER(SEARCH("E-SOCIAL",C242)),ISNUMBER(SEARCH("PSICOSOCIAL",C242))),"eSocial / Psicossocial",IF(O242="Receita recorrente","Carteira recorrente","Projetos / Laudos / Avulsos"))))</f>
        <v/>
      </c>
      <c r="Q242" s="64">
        <f>IF(P242="","",IF(P242="Carteira recorrente","Operação recorrente",IF(P242="PCMSO","Projetos PCMSO",IF(P242="eSocial / Psicossocial","Projetos eSocial/Psicossocial","Projetos / Laudos / Avulsos"))))</f>
        <v/>
      </c>
      <c r="R242" s="64">
        <f>IF(C242="","",IF(ISNUMBER(SEARCH("PCMSO",C242)),"Título com PCMSO no nome",IF(OR(ISNUMBER(SEARCH("E-SOCIAL",C242)),ISNUMBER(SEARCH("PSICOSOCIAL",C242))),"Título com eSocial/Psicossocial no nome",IF(O242="Receita recorrente","Tipo DRE recorrente","Extra sem palavra-chave específica"))))</f>
        <v/>
      </c>
      <c r="S242" s="92">
        <f>IFERROR(VLOOKUP($A242,'13. Mapa Títulos-Receita'!$A$8:$P$1000,4,FALSE),"")</f>
        <v/>
      </c>
      <c r="T242" s="92">
        <f>IFERROR(VLOOKUP($A242,'13. Mapa Títulos-Receita'!$A$8:$P$1000,5,FALSE),"")</f>
        <v/>
      </c>
      <c r="U242" s="92">
        <f>IFERROR(VLOOKUP($A242,'13. Mapa Títulos-Receita'!$A$8:$P$1000,6,FALSE),"")</f>
        <v/>
      </c>
      <c r="V242" s="92">
        <f>IFERROR(VLOOKUP($A242,'13. Mapa Títulos-Receita'!$A$8:$P$1000,7,FALSE),"")</f>
        <v/>
      </c>
      <c r="W242" s="92">
        <f>IFERROR(VLOOKUP($A242,'13. Mapa Títulos-Receita'!$A$8:$P$1000,8,FALSE),"")</f>
        <v/>
      </c>
      <c r="X242" s="92">
        <f>IFERROR(VLOOKUP($A242,'13. Mapa Títulos-Receita'!$A$8:$P$1000,9,FALSE),"")</f>
        <v/>
      </c>
      <c r="Y242" s="92">
        <f>IFERROR(VLOOKUP($A242,'13. Mapa Títulos-Receita'!$A$8:$P$1000,10,FALSE),"")</f>
        <v/>
      </c>
      <c r="Z242" s="92">
        <f>IFERROR(VLOOKUP($A242,'13. Mapa Títulos-Receita'!$A$8:$P$1000,11,FALSE),"")</f>
        <v/>
      </c>
      <c r="AA242" s="92">
        <f>IFERROR(VLOOKUP($A242,'13. Mapa Títulos-Receita'!$A$8:$P$1000,12,FALSE),"")</f>
        <v/>
      </c>
      <c r="AB242" s="92">
        <f>IFERROR(VLOOKUP($A242,'13. Mapa Títulos-Receita'!$A$8:$P$1000,13,FALSE),"")</f>
        <v/>
      </c>
      <c r="AC242" s="92">
        <f>IFERROR(VLOOKUP($A242,'13. Mapa Títulos-Receita'!$A$8:$P$1000,14,FALSE),"")</f>
        <v/>
      </c>
      <c r="AD242" s="92">
        <f>IFERROR(VLOOKUP($A242,'13. Mapa Títulos-Receita'!$A$8:$P$1000,15,FALSE),"")</f>
        <v/>
      </c>
      <c r="AE242" s="92">
        <f>IFERROR(VLOOKUP($A242,'13. Mapa Títulos-Receita'!$A$8:$P$1000,16,FALSE),"")</f>
        <v/>
      </c>
    </row>
    <row r="243">
      <c r="A243" s="28">
        <f>IF(C243="","", "CR-"&amp;TEXT(ROW()-7,"000"))</f>
        <v/>
      </c>
      <c r="B243" s="28" t="n"/>
      <c r="C243" s="28" t="n"/>
      <c r="D243" s="111" t="n"/>
      <c r="E243" s="111" t="n"/>
      <c r="F243" s="111" t="n"/>
      <c r="G243" s="28" t="n"/>
      <c r="H243" s="45" t="n"/>
      <c r="I243" s="45" t="n"/>
      <c r="J243" s="28">
        <f>IF(H243="","",IF(I243&gt;=H243,"Recebido",IF($B$4&gt;E243,"Vencido","Aberto")))</f>
        <v/>
      </c>
      <c r="K243" s="4">
        <f>IF(J243="","",IF(OR(J243="Recebido",F243=""),MAX(0,F243-E243),MAX(0,$B$4-E243)))</f>
        <v/>
      </c>
      <c r="L243" s="4">
        <f>IF(K243="","",IF(K243=0,"Em dia",IF(K243&lt;=30,"1-30 dias",IF(K243&lt;=60,"31-60 dias",IF(K243&lt;=90,"61-90 dias","&gt;90 dias")))))</f>
        <v/>
      </c>
      <c r="M243" s="28" t="n"/>
      <c r="N243" s="104" t="inlineStr"/>
      <c r="O243" s="64" t="n"/>
      <c r="P243" s="64">
        <f>IF(C243="","",IF(ISNUMBER(SEARCH("PCMSO",C243)),"PCMSO",IF(OR(ISNUMBER(SEARCH("E-SOCIAL",C243)),ISNUMBER(SEARCH("PSICOSOCIAL",C243))),"eSocial / Psicossocial",IF(O243="Receita recorrente","Carteira recorrente","Projetos / Laudos / Avulsos"))))</f>
        <v/>
      </c>
      <c r="Q243" s="64">
        <f>IF(P243="","",IF(P243="Carteira recorrente","Operação recorrente",IF(P243="PCMSO","Projetos PCMSO",IF(P243="eSocial / Psicossocial","Projetos eSocial/Psicossocial","Projetos / Laudos / Avulsos"))))</f>
        <v/>
      </c>
      <c r="R243" s="64">
        <f>IF(C243="","",IF(ISNUMBER(SEARCH("PCMSO",C243)),"Título com PCMSO no nome",IF(OR(ISNUMBER(SEARCH("E-SOCIAL",C243)),ISNUMBER(SEARCH("PSICOSOCIAL",C243))),"Título com eSocial/Psicossocial no nome",IF(O243="Receita recorrente","Tipo DRE recorrente","Extra sem palavra-chave específica"))))</f>
        <v/>
      </c>
      <c r="S243" s="92">
        <f>IFERROR(VLOOKUP($A243,'13. Mapa Títulos-Receita'!$A$8:$P$1000,4,FALSE),"")</f>
        <v/>
      </c>
      <c r="T243" s="92">
        <f>IFERROR(VLOOKUP($A243,'13. Mapa Títulos-Receita'!$A$8:$P$1000,5,FALSE),"")</f>
        <v/>
      </c>
      <c r="U243" s="92">
        <f>IFERROR(VLOOKUP($A243,'13. Mapa Títulos-Receita'!$A$8:$P$1000,6,FALSE),"")</f>
        <v/>
      </c>
      <c r="V243" s="92">
        <f>IFERROR(VLOOKUP($A243,'13. Mapa Títulos-Receita'!$A$8:$P$1000,7,FALSE),"")</f>
        <v/>
      </c>
      <c r="W243" s="92">
        <f>IFERROR(VLOOKUP($A243,'13. Mapa Títulos-Receita'!$A$8:$P$1000,8,FALSE),"")</f>
        <v/>
      </c>
      <c r="X243" s="92">
        <f>IFERROR(VLOOKUP($A243,'13. Mapa Títulos-Receita'!$A$8:$P$1000,9,FALSE),"")</f>
        <v/>
      </c>
      <c r="Y243" s="92">
        <f>IFERROR(VLOOKUP($A243,'13. Mapa Títulos-Receita'!$A$8:$P$1000,10,FALSE),"")</f>
        <v/>
      </c>
      <c r="Z243" s="92">
        <f>IFERROR(VLOOKUP($A243,'13. Mapa Títulos-Receita'!$A$8:$P$1000,11,FALSE),"")</f>
        <v/>
      </c>
      <c r="AA243" s="92">
        <f>IFERROR(VLOOKUP($A243,'13. Mapa Títulos-Receita'!$A$8:$P$1000,12,FALSE),"")</f>
        <v/>
      </c>
      <c r="AB243" s="92">
        <f>IFERROR(VLOOKUP($A243,'13. Mapa Títulos-Receita'!$A$8:$P$1000,13,FALSE),"")</f>
        <v/>
      </c>
      <c r="AC243" s="92">
        <f>IFERROR(VLOOKUP($A243,'13. Mapa Títulos-Receita'!$A$8:$P$1000,14,FALSE),"")</f>
        <v/>
      </c>
      <c r="AD243" s="92">
        <f>IFERROR(VLOOKUP($A243,'13. Mapa Títulos-Receita'!$A$8:$P$1000,15,FALSE),"")</f>
        <v/>
      </c>
      <c r="AE243" s="92">
        <f>IFERROR(VLOOKUP($A243,'13. Mapa Títulos-Receita'!$A$8:$P$1000,16,FALSE),"")</f>
        <v/>
      </c>
    </row>
    <row r="244">
      <c r="A244" s="28">
        <f>IF(C244="","", "CR-"&amp;TEXT(ROW()-7,"000"))</f>
        <v/>
      </c>
      <c r="B244" s="28" t="n"/>
      <c r="C244" s="28" t="n"/>
      <c r="D244" s="111" t="n"/>
      <c r="E244" s="111" t="n"/>
      <c r="F244" s="111" t="n"/>
      <c r="G244" s="28" t="n"/>
      <c r="H244" s="45" t="n"/>
      <c r="I244" s="45" t="n"/>
      <c r="J244" s="28">
        <f>IF(H244="","",IF(I244&gt;=H244,"Recebido",IF($B$4&gt;E244,"Vencido","Aberto")))</f>
        <v/>
      </c>
      <c r="K244" s="4">
        <f>IF(J244="","",IF(OR(J244="Recebido",F244=""),MAX(0,F244-E244),MAX(0,$B$4-E244)))</f>
        <v/>
      </c>
      <c r="L244" s="4">
        <f>IF(K244="","",IF(K244=0,"Em dia",IF(K244&lt;=30,"1-30 dias",IF(K244&lt;=60,"31-60 dias",IF(K244&lt;=90,"61-90 dias","&gt;90 dias")))))</f>
        <v/>
      </c>
      <c r="M244" s="28" t="n"/>
      <c r="N244" s="104" t="inlineStr"/>
      <c r="O244" s="64" t="n"/>
      <c r="P244" s="64">
        <f>IF(C244="","",IF(ISNUMBER(SEARCH("PCMSO",C244)),"PCMSO",IF(OR(ISNUMBER(SEARCH("E-SOCIAL",C244)),ISNUMBER(SEARCH("PSICOSOCIAL",C244))),"eSocial / Psicossocial",IF(O244="Receita recorrente","Carteira recorrente","Projetos / Laudos / Avulsos"))))</f>
        <v/>
      </c>
      <c r="Q244" s="64">
        <f>IF(P244="","",IF(P244="Carteira recorrente","Operação recorrente",IF(P244="PCMSO","Projetos PCMSO",IF(P244="eSocial / Psicossocial","Projetos eSocial/Psicossocial","Projetos / Laudos / Avulsos"))))</f>
        <v/>
      </c>
      <c r="R244" s="64">
        <f>IF(C244="","",IF(ISNUMBER(SEARCH("PCMSO",C244)),"Título com PCMSO no nome",IF(OR(ISNUMBER(SEARCH("E-SOCIAL",C244)),ISNUMBER(SEARCH("PSICOSOCIAL",C244))),"Título com eSocial/Psicossocial no nome",IF(O244="Receita recorrente","Tipo DRE recorrente","Extra sem palavra-chave específica"))))</f>
        <v/>
      </c>
      <c r="S244" s="92">
        <f>IFERROR(VLOOKUP($A244,'13. Mapa Títulos-Receita'!$A$8:$P$1000,4,FALSE),"")</f>
        <v/>
      </c>
      <c r="T244" s="92">
        <f>IFERROR(VLOOKUP($A244,'13. Mapa Títulos-Receita'!$A$8:$P$1000,5,FALSE),"")</f>
        <v/>
      </c>
      <c r="U244" s="92">
        <f>IFERROR(VLOOKUP($A244,'13. Mapa Títulos-Receita'!$A$8:$P$1000,6,FALSE),"")</f>
        <v/>
      </c>
      <c r="V244" s="92">
        <f>IFERROR(VLOOKUP($A244,'13. Mapa Títulos-Receita'!$A$8:$P$1000,7,FALSE),"")</f>
        <v/>
      </c>
      <c r="W244" s="92">
        <f>IFERROR(VLOOKUP($A244,'13. Mapa Títulos-Receita'!$A$8:$P$1000,8,FALSE),"")</f>
        <v/>
      </c>
      <c r="X244" s="92">
        <f>IFERROR(VLOOKUP($A244,'13. Mapa Títulos-Receita'!$A$8:$P$1000,9,FALSE),"")</f>
        <v/>
      </c>
      <c r="Y244" s="92">
        <f>IFERROR(VLOOKUP($A244,'13. Mapa Títulos-Receita'!$A$8:$P$1000,10,FALSE),"")</f>
        <v/>
      </c>
      <c r="Z244" s="92">
        <f>IFERROR(VLOOKUP($A244,'13. Mapa Títulos-Receita'!$A$8:$P$1000,11,FALSE),"")</f>
        <v/>
      </c>
      <c r="AA244" s="92">
        <f>IFERROR(VLOOKUP($A244,'13. Mapa Títulos-Receita'!$A$8:$P$1000,12,FALSE),"")</f>
        <v/>
      </c>
      <c r="AB244" s="92">
        <f>IFERROR(VLOOKUP($A244,'13. Mapa Títulos-Receita'!$A$8:$P$1000,13,FALSE),"")</f>
        <v/>
      </c>
      <c r="AC244" s="92">
        <f>IFERROR(VLOOKUP($A244,'13. Mapa Títulos-Receita'!$A$8:$P$1000,14,FALSE),"")</f>
        <v/>
      </c>
      <c r="AD244" s="92">
        <f>IFERROR(VLOOKUP($A244,'13. Mapa Títulos-Receita'!$A$8:$P$1000,15,FALSE),"")</f>
        <v/>
      </c>
      <c r="AE244" s="92">
        <f>IFERROR(VLOOKUP($A244,'13. Mapa Títulos-Receita'!$A$8:$P$1000,16,FALSE),"")</f>
        <v/>
      </c>
    </row>
    <row r="245">
      <c r="A245" s="28">
        <f>IF(C245="","", "CR-"&amp;TEXT(ROW()-7,"000"))</f>
        <v/>
      </c>
      <c r="B245" s="28" t="n"/>
      <c r="C245" s="28" t="n"/>
      <c r="D245" s="111" t="n"/>
      <c r="E245" s="111" t="n"/>
      <c r="F245" s="111" t="n"/>
      <c r="G245" s="28" t="n"/>
      <c r="H245" s="45" t="n"/>
      <c r="I245" s="45" t="n"/>
      <c r="J245" s="28">
        <f>IF(H245="","",IF(I245&gt;=H245,"Recebido",IF($B$4&gt;E245,"Vencido","Aberto")))</f>
        <v/>
      </c>
      <c r="K245" s="4">
        <f>IF(J245="","",IF(OR(J245="Recebido",F245=""),MAX(0,F245-E245),MAX(0,$B$4-E245)))</f>
        <v/>
      </c>
      <c r="L245" s="4">
        <f>IF(K245="","",IF(K245=0,"Em dia",IF(K245&lt;=30,"1-30 dias",IF(K245&lt;=60,"31-60 dias",IF(K245&lt;=90,"61-90 dias","&gt;90 dias")))))</f>
        <v/>
      </c>
      <c r="M245" s="28" t="n"/>
      <c r="N245" s="104" t="inlineStr"/>
      <c r="O245" s="64" t="n"/>
      <c r="P245" s="64">
        <f>IF(C245="","",IF(ISNUMBER(SEARCH("PCMSO",C245)),"PCMSO",IF(OR(ISNUMBER(SEARCH("E-SOCIAL",C245)),ISNUMBER(SEARCH("PSICOSOCIAL",C245))),"eSocial / Psicossocial",IF(O245="Receita recorrente","Carteira recorrente","Projetos / Laudos / Avulsos"))))</f>
        <v/>
      </c>
      <c r="Q245" s="64">
        <f>IF(P245="","",IF(P245="Carteira recorrente","Operação recorrente",IF(P245="PCMSO","Projetos PCMSO",IF(P245="eSocial / Psicossocial","Projetos eSocial/Psicossocial","Projetos / Laudos / Avulsos"))))</f>
        <v/>
      </c>
      <c r="R245" s="64">
        <f>IF(C245="","",IF(ISNUMBER(SEARCH("PCMSO",C245)),"Título com PCMSO no nome",IF(OR(ISNUMBER(SEARCH("E-SOCIAL",C245)),ISNUMBER(SEARCH("PSICOSOCIAL",C245))),"Título com eSocial/Psicossocial no nome",IF(O245="Receita recorrente","Tipo DRE recorrente","Extra sem palavra-chave específica"))))</f>
        <v/>
      </c>
      <c r="S245" s="92">
        <f>IFERROR(VLOOKUP($A245,'13. Mapa Títulos-Receita'!$A$8:$P$1000,4,FALSE),"")</f>
        <v/>
      </c>
      <c r="T245" s="92">
        <f>IFERROR(VLOOKUP($A245,'13. Mapa Títulos-Receita'!$A$8:$P$1000,5,FALSE),"")</f>
        <v/>
      </c>
      <c r="U245" s="92">
        <f>IFERROR(VLOOKUP($A245,'13. Mapa Títulos-Receita'!$A$8:$P$1000,6,FALSE),"")</f>
        <v/>
      </c>
      <c r="V245" s="92">
        <f>IFERROR(VLOOKUP($A245,'13. Mapa Títulos-Receita'!$A$8:$P$1000,7,FALSE),"")</f>
        <v/>
      </c>
      <c r="W245" s="92">
        <f>IFERROR(VLOOKUP($A245,'13. Mapa Títulos-Receita'!$A$8:$P$1000,8,FALSE),"")</f>
        <v/>
      </c>
      <c r="X245" s="92">
        <f>IFERROR(VLOOKUP($A245,'13. Mapa Títulos-Receita'!$A$8:$P$1000,9,FALSE),"")</f>
        <v/>
      </c>
      <c r="Y245" s="92">
        <f>IFERROR(VLOOKUP($A245,'13. Mapa Títulos-Receita'!$A$8:$P$1000,10,FALSE),"")</f>
        <v/>
      </c>
      <c r="Z245" s="92">
        <f>IFERROR(VLOOKUP($A245,'13. Mapa Títulos-Receita'!$A$8:$P$1000,11,FALSE),"")</f>
        <v/>
      </c>
      <c r="AA245" s="92">
        <f>IFERROR(VLOOKUP($A245,'13. Mapa Títulos-Receita'!$A$8:$P$1000,12,FALSE),"")</f>
        <v/>
      </c>
      <c r="AB245" s="92">
        <f>IFERROR(VLOOKUP($A245,'13. Mapa Títulos-Receita'!$A$8:$P$1000,13,FALSE),"")</f>
        <v/>
      </c>
      <c r="AC245" s="92">
        <f>IFERROR(VLOOKUP($A245,'13. Mapa Títulos-Receita'!$A$8:$P$1000,14,FALSE),"")</f>
        <v/>
      </c>
      <c r="AD245" s="92">
        <f>IFERROR(VLOOKUP($A245,'13. Mapa Títulos-Receita'!$A$8:$P$1000,15,FALSE),"")</f>
        <v/>
      </c>
      <c r="AE245" s="92">
        <f>IFERROR(VLOOKUP($A245,'13. Mapa Títulos-Receita'!$A$8:$P$1000,16,FALSE),"")</f>
        <v/>
      </c>
    </row>
    <row r="246">
      <c r="A246" s="28">
        <f>IF(C246="","", "CR-"&amp;TEXT(ROW()-7,"000"))</f>
        <v/>
      </c>
      <c r="B246" s="28" t="n"/>
      <c r="C246" s="28" t="n"/>
      <c r="D246" s="111" t="n"/>
      <c r="E246" s="111" t="n"/>
      <c r="F246" s="111" t="n"/>
      <c r="G246" s="28" t="n"/>
      <c r="H246" s="45" t="n"/>
      <c r="I246" s="45" t="n"/>
      <c r="J246" s="28">
        <f>IF(H246="","",IF(I246&gt;=H246,"Recebido",IF($B$4&gt;E246,"Vencido","Aberto")))</f>
        <v/>
      </c>
      <c r="K246" s="4">
        <f>IF(J246="","",IF(OR(J246="Recebido",F246=""),MAX(0,F246-E246),MAX(0,$B$4-E246)))</f>
        <v/>
      </c>
      <c r="L246" s="4">
        <f>IF(K246="","",IF(K246=0,"Em dia",IF(K246&lt;=30,"1-30 dias",IF(K246&lt;=60,"31-60 dias",IF(K246&lt;=90,"61-90 dias","&gt;90 dias")))))</f>
        <v/>
      </c>
      <c r="M246" s="28" t="n"/>
      <c r="N246" s="104" t="inlineStr"/>
      <c r="O246" s="64" t="n"/>
      <c r="P246" s="64">
        <f>IF(C246="","",IF(ISNUMBER(SEARCH("PCMSO",C246)),"PCMSO",IF(OR(ISNUMBER(SEARCH("E-SOCIAL",C246)),ISNUMBER(SEARCH("PSICOSOCIAL",C246))),"eSocial / Psicossocial",IF(O246="Receita recorrente","Carteira recorrente","Projetos / Laudos / Avulsos"))))</f>
        <v/>
      </c>
      <c r="Q246" s="64">
        <f>IF(P246="","",IF(P246="Carteira recorrente","Operação recorrente",IF(P246="PCMSO","Projetos PCMSO",IF(P246="eSocial / Psicossocial","Projetos eSocial/Psicossocial","Projetos / Laudos / Avulsos"))))</f>
        <v/>
      </c>
      <c r="R246" s="64">
        <f>IF(C246="","",IF(ISNUMBER(SEARCH("PCMSO",C246)),"Título com PCMSO no nome",IF(OR(ISNUMBER(SEARCH("E-SOCIAL",C246)),ISNUMBER(SEARCH("PSICOSOCIAL",C246))),"Título com eSocial/Psicossocial no nome",IF(O246="Receita recorrente","Tipo DRE recorrente","Extra sem palavra-chave específica"))))</f>
        <v/>
      </c>
      <c r="S246" s="92">
        <f>IFERROR(VLOOKUP($A246,'13. Mapa Títulos-Receita'!$A$8:$P$1000,4,FALSE),"")</f>
        <v/>
      </c>
      <c r="T246" s="92">
        <f>IFERROR(VLOOKUP($A246,'13. Mapa Títulos-Receita'!$A$8:$P$1000,5,FALSE),"")</f>
        <v/>
      </c>
      <c r="U246" s="92">
        <f>IFERROR(VLOOKUP($A246,'13. Mapa Títulos-Receita'!$A$8:$P$1000,6,FALSE),"")</f>
        <v/>
      </c>
      <c r="V246" s="92">
        <f>IFERROR(VLOOKUP($A246,'13. Mapa Títulos-Receita'!$A$8:$P$1000,7,FALSE),"")</f>
        <v/>
      </c>
      <c r="W246" s="92">
        <f>IFERROR(VLOOKUP($A246,'13. Mapa Títulos-Receita'!$A$8:$P$1000,8,FALSE),"")</f>
        <v/>
      </c>
      <c r="X246" s="92">
        <f>IFERROR(VLOOKUP($A246,'13. Mapa Títulos-Receita'!$A$8:$P$1000,9,FALSE),"")</f>
        <v/>
      </c>
      <c r="Y246" s="92">
        <f>IFERROR(VLOOKUP($A246,'13. Mapa Títulos-Receita'!$A$8:$P$1000,10,FALSE),"")</f>
        <v/>
      </c>
      <c r="Z246" s="92">
        <f>IFERROR(VLOOKUP($A246,'13. Mapa Títulos-Receita'!$A$8:$P$1000,11,FALSE),"")</f>
        <v/>
      </c>
      <c r="AA246" s="92">
        <f>IFERROR(VLOOKUP($A246,'13. Mapa Títulos-Receita'!$A$8:$P$1000,12,FALSE),"")</f>
        <v/>
      </c>
      <c r="AB246" s="92">
        <f>IFERROR(VLOOKUP($A246,'13. Mapa Títulos-Receita'!$A$8:$P$1000,13,FALSE),"")</f>
        <v/>
      </c>
      <c r="AC246" s="92">
        <f>IFERROR(VLOOKUP($A246,'13. Mapa Títulos-Receita'!$A$8:$P$1000,14,FALSE),"")</f>
        <v/>
      </c>
      <c r="AD246" s="92">
        <f>IFERROR(VLOOKUP($A246,'13. Mapa Títulos-Receita'!$A$8:$P$1000,15,FALSE),"")</f>
        <v/>
      </c>
      <c r="AE246" s="92">
        <f>IFERROR(VLOOKUP($A246,'13. Mapa Títulos-Receita'!$A$8:$P$1000,16,FALSE),"")</f>
        <v/>
      </c>
    </row>
    <row r="247">
      <c r="A247" s="28">
        <f>IF(C247="","", "CR-"&amp;TEXT(ROW()-7,"000"))</f>
        <v/>
      </c>
      <c r="B247" s="28" t="n"/>
      <c r="C247" s="28" t="n"/>
      <c r="D247" s="111" t="n"/>
      <c r="E247" s="111" t="n"/>
      <c r="F247" s="111" t="n"/>
      <c r="G247" s="28" t="n"/>
      <c r="H247" s="45" t="n"/>
      <c r="I247" s="45" t="n"/>
      <c r="J247" s="28">
        <f>IF(H247="","",IF(I247&gt;=H247,"Recebido",IF($B$4&gt;E247,"Vencido","Aberto")))</f>
        <v/>
      </c>
      <c r="K247" s="4">
        <f>IF(J247="","",IF(OR(J247="Recebido",F247=""),MAX(0,F247-E247),MAX(0,$B$4-E247)))</f>
        <v/>
      </c>
      <c r="L247" s="4">
        <f>IF(K247="","",IF(K247=0,"Em dia",IF(K247&lt;=30,"1-30 dias",IF(K247&lt;=60,"31-60 dias",IF(K247&lt;=90,"61-90 dias","&gt;90 dias")))))</f>
        <v/>
      </c>
      <c r="M247" s="28" t="n"/>
      <c r="N247" s="104" t="inlineStr"/>
      <c r="O247" s="64" t="n"/>
      <c r="P247" s="64">
        <f>IF(C247="","",IF(ISNUMBER(SEARCH("PCMSO",C247)),"PCMSO",IF(OR(ISNUMBER(SEARCH("E-SOCIAL",C247)),ISNUMBER(SEARCH("PSICOSOCIAL",C247))),"eSocial / Psicossocial",IF(O247="Receita recorrente","Carteira recorrente","Projetos / Laudos / Avulsos"))))</f>
        <v/>
      </c>
      <c r="Q247" s="64">
        <f>IF(P247="","",IF(P247="Carteira recorrente","Operação recorrente",IF(P247="PCMSO","Projetos PCMSO",IF(P247="eSocial / Psicossocial","Projetos eSocial/Psicossocial","Projetos / Laudos / Avulsos"))))</f>
        <v/>
      </c>
      <c r="R247" s="64">
        <f>IF(C247="","",IF(ISNUMBER(SEARCH("PCMSO",C247)),"Título com PCMSO no nome",IF(OR(ISNUMBER(SEARCH("E-SOCIAL",C247)),ISNUMBER(SEARCH("PSICOSOCIAL",C247))),"Título com eSocial/Psicossocial no nome",IF(O247="Receita recorrente","Tipo DRE recorrente","Extra sem palavra-chave específica"))))</f>
        <v/>
      </c>
      <c r="S247" s="92">
        <f>IFERROR(VLOOKUP($A247,'13. Mapa Títulos-Receita'!$A$8:$P$1000,4,FALSE),"")</f>
        <v/>
      </c>
      <c r="T247" s="92">
        <f>IFERROR(VLOOKUP($A247,'13. Mapa Títulos-Receita'!$A$8:$P$1000,5,FALSE),"")</f>
        <v/>
      </c>
      <c r="U247" s="92">
        <f>IFERROR(VLOOKUP($A247,'13. Mapa Títulos-Receita'!$A$8:$P$1000,6,FALSE),"")</f>
        <v/>
      </c>
      <c r="V247" s="92">
        <f>IFERROR(VLOOKUP($A247,'13. Mapa Títulos-Receita'!$A$8:$P$1000,7,FALSE),"")</f>
        <v/>
      </c>
      <c r="W247" s="92">
        <f>IFERROR(VLOOKUP($A247,'13. Mapa Títulos-Receita'!$A$8:$P$1000,8,FALSE),"")</f>
        <v/>
      </c>
      <c r="X247" s="92">
        <f>IFERROR(VLOOKUP($A247,'13. Mapa Títulos-Receita'!$A$8:$P$1000,9,FALSE),"")</f>
        <v/>
      </c>
      <c r="Y247" s="92">
        <f>IFERROR(VLOOKUP($A247,'13. Mapa Títulos-Receita'!$A$8:$P$1000,10,FALSE),"")</f>
        <v/>
      </c>
      <c r="Z247" s="92">
        <f>IFERROR(VLOOKUP($A247,'13. Mapa Títulos-Receita'!$A$8:$P$1000,11,FALSE),"")</f>
        <v/>
      </c>
      <c r="AA247" s="92">
        <f>IFERROR(VLOOKUP($A247,'13. Mapa Títulos-Receita'!$A$8:$P$1000,12,FALSE),"")</f>
        <v/>
      </c>
      <c r="AB247" s="92">
        <f>IFERROR(VLOOKUP($A247,'13. Mapa Títulos-Receita'!$A$8:$P$1000,13,FALSE),"")</f>
        <v/>
      </c>
      <c r="AC247" s="92">
        <f>IFERROR(VLOOKUP($A247,'13. Mapa Títulos-Receita'!$A$8:$P$1000,14,FALSE),"")</f>
        <v/>
      </c>
      <c r="AD247" s="92">
        <f>IFERROR(VLOOKUP($A247,'13. Mapa Títulos-Receita'!$A$8:$P$1000,15,FALSE),"")</f>
        <v/>
      </c>
      <c r="AE247" s="92">
        <f>IFERROR(VLOOKUP($A247,'13. Mapa Títulos-Receita'!$A$8:$P$1000,16,FALSE),"")</f>
        <v/>
      </c>
    </row>
    <row r="248">
      <c r="A248" s="28">
        <f>IF(C248="","", "CR-"&amp;TEXT(ROW()-7,"000"))</f>
        <v/>
      </c>
      <c r="B248" s="28" t="n"/>
      <c r="C248" s="28" t="n"/>
      <c r="D248" s="111" t="n"/>
      <c r="E248" s="111" t="n"/>
      <c r="F248" s="111" t="n"/>
      <c r="G248" s="28" t="n"/>
      <c r="H248" s="45" t="n"/>
      <c r="I248" s="45" t="n"/>
      <c r="J248" s="28">
        <f>IF(H248="","",IF(I248&gt;=H248,"Recebido",IF($B$4&gt;E248,"Vencido","Aberto")))</f>
        <v/>
      </c>
      <c r="K248" s="4">
        <f>IF(J248="","",IF(OR(J248="Recebido",F248=""),MAX(0,F248-E248),MAX(0,$B$4-E248)))</f>
        <v/>
      </c>
      <c r="L248" s="4">
        <f>IF(K248="","",IF(K248=0,"Em dia",IF(K248&lt;=30,"1-30 dias",IF(K248&lt;=60,"31-60 dias",IF(K248&lt;=90,"61-90 dias","&gt;90 dias")))))</f>
        <v/>
      </c>
      <c r="M248" s="28" t="n"/>
      <c r="N248" s="104" t="inlineStr"/>
      <c r="O248" s="64" t="n"/>
      <c r="P248" s="64">
        <f>IF(C248="","",IF(ISNUMBER(SEARCH("PCMSO",C248)),"PCMSO",IF(OR(ISNUMBER(SEARCH("E-SOCIAL",C248)),ISNUMBER(SEARCH("PSICOSOCIAL",C248))),"eSocial / Psicossocial",IF(O248="Receita recorrente","Carteira recorrente","Projetos / Laudos / Avulsos"))))</f>
        <v/>
      </c>
      <c r="Q248" s="64">
        <f>IF(P248="","",IF(P248="Carteira recorrente","Operação recorrente",IF(P248="PCMSO","Projetos PCMSO",IF(P248="eSocial / Psicossocial","Projetos eSocial/Psicossocial","Projetos / Laudos / Avulsos"))))</f>
        <v/>
      </c>
      <c r="R248" s="64">
        <f>IF(C248="","",IF(ISNUMBER(SEARCH("PCMSO",C248)),"Título com PCMSO no nome",IF(OR(ISNUMBER(SEARCH("E-SOCIAL",C248)),ISNUMBER(SEARCH("PSICOSOCIAL",C248))),"Título com eSocial/Psicossocial no nome",IF(O248="Receita recorrente","Tipo DRE recorrente","Extra sem palavra-chave específica"))))</f>
        <v/>
      </c>
      <c r="S248" s="92">
        <f>IFERROR(VLOOKUP($A248,'13. Mapa Títulos-Receita'!$A$8:$P$1000,4,FALSE),"")</f>
        <v/>
      </c>
      <c r="T248" s="92">
        <f>IFERROR(VLOOKUP($A248,'13. Mapa Títulos-Receita'!$A$8:$P$1000,5,FALSE),"")</f>
        <v/>
      </c>
      <c r="U248" s="92">
        <f>IFERROR(VLOOKUP($A248,'13. Mapa Títulos-Receita'!$A$8:$P$1000,6,FALSE),"")</f>
        <v/>
      </c>
      <c r="V248" s="92">
        <f>IFERROR(VLOOKUP($A248,'13. Mapa Títulos-Receita'!$A$8:$P$1000,7,FALSE),"")</f>
        <v/>
      </c>
      <c r="W248" s="92">
        <f>IFERROR(VLOOKUP($A248,'13. Mapa Títulos-Receita'!$A$8:$P$1000,8,FALSE),"")</f>
        <v/>
      </c>
      <c r="X248" s="92">
        <f>IFERROR(VLOOKUP($A248,'13. Mapa Títulos-Receita'!$A$8:$P$1000,9,FALSE),"")</f>
        <v/>
      </c>
      <c r="Y248" s="92">
        <f>IFERROR(VLOOKUP($A248,'13. Mapa Títulos-Receita'!$A$8:$P$1000,10,FALSE),"")</f>
        <v/>
      </c>
      <c r="Z248" s="92">
        <f>IFERROR(VLOOKUP($A248,'13. Mapa Títulos-Receita'!$A$8:$P$1000,11,FALSE),"")</f>
        <v/>
      </c>
      <c r="AA248" s="92">
        <f>IFERROR(VLOOKUP($A248,'13. Mapa Títulos-Receita'!$A$8:$P$1000,12,FALSE),"")</f>
        <v/>
      </c>
      <c r="AB248" s="92">
        <f>IFERROR(VLOOKUP($A248,'13. Mapa Títulos-Receita'!$A$8:$P$1000,13,FALSE),"")</f>
        <v/>
      </c>
      <c r="AC248" s="92">
        <f>IFERROR(VLOOKUP($A248,'13. Mapa Títulos-Receita'!$A$8:$P$1000,14,FALSE),"")</f>
        <v/>
      </c>
      <c r="AD248" s="92">
        <f>IFERROR(VLOOKUP($A248,'13. Mapa Títulos-Receita'!$A$8:$P$1000,15,FALSE),"")</f>
        <v/>
      </c>
      <c r="AE248" s="92">
        <f>IFERROR(VLOOKUP($A248,'13. Mapa Títulos-Receita'!$A$8:$P$1000,16,FALSE),"")</f>
        <v/>
      </c>
    </row>
    <row r="249">
      <c r="A249" s="28">
        <f>IF(C249="","", "CR-"&amp;TEXT(ROW()-7,"000"))</f>
        <v/>
      </c>
      <c r="B249" s="28" t="n"/>
      <c r="C249" s="28" t="n"/>
      <c r="D249" s="111" t="n"/>
      <c r="E249" s="111" t="n"/>
      <c r="F249" s="111" t="n"/>
      <c r="G249" s="28" t="n"/>
      <c r="H249" s="45" t="n"/>
      <c r="I249" s="45" t="n"/>
      <c r="J249" s="28">
        <f>IF(H249="","",IF(I249&gt;=H249,"Recebido",IF($B$4&gt;E249,"Vencido","Aberto")))</f>
        <v/>
      </c>
      <c r="K249" s="4">
        <f>IF(J249="","",IF(OR(J249="Recebido",F249=""),MAX(0,F249-E249),MAX(0,$B$4-E249)))</f>
        <v/>
      </c>
      <c r="L249" s="4">
        <f>IF(K249="","",IF(K249=0,"Em dia",IF(K249&lt;=30,"1-30 dias",IF(K249&lt;=60,"31-60 dias",IF(K249&lt;=90,"61-90 dias","&gt;90 dias")))))</f>
        <v/>
      </c>
      <c r="M249" s="28" t="n"/>
      <c r="N249" s="104" t="inlineStr"/>
      <c r="O249" s="64" t="n"/>
      <c r="P249" s="64">
        <f>IF(C249="","",IF(ISNUMBER(SEARCH("PCMSO",C249)),"PCMSO",IF(OR(ISNUMBER(SEARCH("E-SOCIAL",C249)),ISNUMBER(SEARCH("PSICOSOCIAL",C249))),"eSocial / Psicossocial",IF(O249="Receita recorrente","Carteira recorrente","Projetos / Laudos / Avulsos"))))</f>
        <v/>
      </c>
      <c r="Q249" s="64">
        <f>IF(P249="","",IF(P249="Carteira recorrente","Operação recorrente",IF(P249="PCMSO","Projetos PCMSO",IF(P249="eSocial / Psicossocial","Projetos eSocial/Psicossocial","Projetos / Laudos / Avulsos"))))</f>
        <v/>
      </c>
      <c r="R249" s="64">
        <f>IF(C249="","",IF(ISNUMBER(SEARCH("PCMSO",C249)),"Título com PCMSO no nome",IF(OR(ISNUMBER(SEARCH("E-SOCIAL",C249)),ISNUMBER(SEARCH("PSICOSOCIAL",C249))),"Título com eSocial/Psicossocial no nome",IF(O249="Receita recorrente","Tipo DRE recorrente","Extra sem palavra-chave específica"))))</f>
        <v/>
      </c>
      <c r="S249" s="92">
        <f>IFERROR(VLOOKUP($A249,'13. Mapa Títulos-Receita'!$A$8:$P$1000,4,FALSE),"")</f>
        <v/>
      </c>
      <c r="T249" s="92">
        <f>IFERROR(VLOOKUP($A249,'13. Mapa Títulos-Receita'!$A$8:$P$1000,5,FALSE),"")</f>
        <v/>
      </c>
      <c r="U249" s="92">
        <f>IFERROR(VLOOKUP($A249,'13. Mapa Títulos-Receita'!$A$8:$P$1000,6,FALSE),"")</f>
        <v/>
      </c>
      <c r="V249" s="92">
        <f>IFERROR(VLOOKUP($A249,'13. Mapa Títulos-Receita'!$A$8:$P$1000,7,FALSE),"")</f>
        <v/>
      </c>
      <c r="W249" s="92">
        <f>IFERROR(VLOOKUP($A249,'13. Mapa Títulos-Receita'!$A$8:$P$1000,8,FALSE),"")</f>
        <v/>
      </c>
      <c r="X249" s="92">
        <f>IFERROR(VLOOKUP($A249,'13. Mapa Títulos-Receita'!$A$8:$P$1000,9,FALSE),"")</f>
        <v/>
      </c>
      <c r="Y249" s="92">
        <f>IFERROR(VLOOKUP($A249,'13. Mapa Títulos-Receita'!$A$8:$P$1000,10,FALSE),"")</f>
        <v/>
      </c>
      <c r="Z249" s="92">
        <f>IFERROR(VLOOKUP($A249,'13. Mapa Títulos-Receita'!$A$8:$P$1000,11,FALSE),"")</f>
        <v/>
      </c>
      <c r="AA249" s="92">
        <f>IFERROR(VLOOKUP($A249,'13. Mapa Títulos-Receita'!$A$8:$P$1000,12,FALSE),"")</f>
        <v/>
      </c>
      <c r="AB249" s="92">
        <f>IFERROR(VLOOKUP($A249,'13. Mapa Títulos-Receita'!$A$8:$P$1000,13,FALSE),"")</f>
        <v/>
      </c>
      <c r="AC249" s="92">
        <f>IFERROR(VLOOKUP($A249,'13. Mapa Títulos-Receita'!$A$8:$P$1000,14,FALSE),"")</f>
        <v/>
      </c>
      <c r="AD249" s="92">
        <f>IFERROR(VLOOKUP($A249,'13. Mapa Títulos-Receita'!$A$8:$P$1000,15,FALSE),"")</f>
        <v/>
      </c>
      <c r="AE249" s="92">
        <f>IFERROR(VLOOKUP($A249,'13. Mapa Títulos-Receita'!$A$8:$P$1000,16,FALSE),"")</f>
        <v/>
      </c>
    </row>
    <row r="250">
      <c r="A250" s="28">
        <f>IF(C250="","", "CR-"&amp;TEXT(ROW()-7,"000"))</f>
        <v/>
      </c>
      <c r="B250" s="28" t="n"/>
      <c r="C250" s="28" t="n"/>
      <c r="D250" s="111" t="n"/>
      <c r="E250" s="111" t="n"/>
      <c r="F250" s="111" t="n"/>
      <c r="G250" s="28" t="n"/>
      <c r="H250" s="45" t="n"/>
      <c r="I250" s="45" t="n"/>
      <c r="J250" s="28">
        <f>IF(H250="","",IF(I250&gt;=H250,"Recebido",IF($B$4&gt;E250,"Vencido","Aberto")))</f>
        <v/>
      </c>
      <c r="K250" s="4">
        <f>IF(J250="","",IF(OR(J250="Recebido",F250=""),MAX(0,F250-E250),MAX(0,$B$4-E250)))</f>
        <v/>
      </c>
      <c r="L250" s="4">
        <f>IF(K250="","",IF(K250=0,"Em dia",IF(K250&lt;=30,"1-30 dias",IF(K250&lt;=60,"31-60 dias",IF(K250&lt;=90,"61-90 dias","&gt;90 dias")))))</f>
        <v/>
      </c>
      <c r="M250" s="28" t="n"/>
      <c r="N250" s="104" t="inlineStr"/>
      <c r="O250" s="64" t="n"/>
      <c r="P250" s="64">
        <f>IF(C250="","",IF(ISNUMBER(SEARCH("PCMSO",C250)),"PCMSO",IF(OR(ISNUMBER(SEARCH("E-SOCIAL",C250)),ISNUMBER(SEARCH("PSICOSOCIAL",C250))),"eSocial / Psicossocial",IF(O250="Receita recorrente","Carteira recorrente","Projetos / Laudos / Avulsos"))))</f>
        <v/>
      </c>
      <c r="Q250" s="64">
        <f>IF(P250="","",IF(P250="Carteira recorrente","Operação recorrente",IF(P250="PCMSO","Projetos PCMSO",IF(P250="eSocial / Psicossocial","Projetos eSocial/Psicossocial","Projetos / Laudos / Avulsos"))))</f>
        <v/>
      </c>
      <c r="R250" s="64">
        <f>IF(C250="","",IF(ISNUMBER(SEARCH("PCMSO",C250)),"Título com PCMSO no nome",IF(OR(ISNUMBER(SEARCH("E-SOCIAL",C250)),ISNUMBER(SEARCH("PSICOSOCIAL",C250))),"Título com eSocial/Psicossocial no nome",IF(O250="Receita recorrente","Tipo DRE recorrente","Extra sem palavra-chave específica"))))</f>
        <v/>
      </c>
      <c r="S250" s="92">
        <f>IFERROR(VLOOKUP($A250,'13. Mapa Títulos-Receita'!$A$8:$P$1000,4,FALSE),"")</f>
        <v/>
      </c>
      <c r="T250" s="92">
        <f>IFERROR(VLOOKUP($A250,'13. Mapa Títulos-Receita'!$A$8:$P$1000,5,FALSE),"")</f>
        <v/>
      </c>
      <c r="U250" s="92">
        <f>IFERROR(VLOOKUP($A250,'13. Mapa Títulos-Receita'!$A$8:$P$1000,6,FALSE),"")</f>
        <v/>
      </c>
      <c r="V250" s="92">
        <f>IFERROR(VLOOKUP($A250,'13. Mapa Títulos-Receita'!$A$8:$P$1000,7,FALSE),"")</f>
        <v/>
      </c>
      <c r="W250" s="92">
        <f>IFERROR(VLOOKUP($A250,'13. Mapa Títulos-Receita'!$A$8:$P$1000,8,FALSE),"")</f>
        <v/>
      </c>
      <c r="X250" s="92">
        <f>IFERROR(VLOOKUP($A250,'13. Mapa Títulos-Receita'!$A$8:$P$1000,9,FALSE),"")</f>
        <v/>
      </c>
      <c r="Y250" s="92">
        <f>IFERROR(VLOOKUP($A250,'13. Mapa Títulos-Receita'!$A$8:$P$1000,10,FALSE),"")</f>
        <v/>
      </c>
      <c r="Z250" s="92">
        <f>IFERROR(VLOOKUP($A250,'13. Mapa Títulos-Receita'!$A$8:$P$1000,11,FALSE),"")</f>
        <v/>
      </c>
      <c r="AA250" s="92">
        <f>IFERROR(VLOOKUP($A250,'13. Mapa Títulos-Receita'!$A$8:$P$1000,12,FALSE),"")</f>
        <v/>
      </c>
      <c r="AB250" s="92">
        <f>IFERROR(VLOOKUP($A250,'13. Mapa Títulos-Receita'!$A$8:$P$1000,13,FALSE),"")</f>
        <v/>
      </c>
      <c r="AC250" s="92">
        <f>IFERROR(VLOOKUP($A250,'13. Mapa Títulos-Receita'!$A$8:$P$1000,14,FALSE),"")</f>
        <v/>
      </c>
      <c r="AD250" s="92">
        <f>IFERROR(VLOOKUP($A250,'13. Mapa Títulos-Receita'!$A$8:$P$1000,15,FALSE),"")</f>
        <v/>
      </c>
      <c r="AE250" s="92">
        <f>IFERROR(VLOOKUP($A250,'13. Mapa Títulos-Receita'!$A$8:$P$1000,16,FALSE),"")</f>
        <v/>
      </c>
    </row>
    <row r="251">
      <c r="A251" s="28">
        <f>IF(C251="","", "CR-"&amp;TEXT(ROW()-7,"000"))</f>
        <v/>
      </c>
      <c r="B251" s="28" t="n"/>
      <c r="C251" s="28" t="n"/>
      <c r="D251" s="111" t="n"/>
      <c r="E251" s="111" t="n"/>
      <c r="F251" s="111" t="n"/>
      <c r="G251" s="28" t="n"/>
      <c r="H251" s="45" t="n"/>
      <c r="I251" s="45" t="n"/>
      <c r="J251" s="28">
        <f>IF(H251="","",IF(I251&gt;=H251,"Recebido",IF($B$4&gt;E251,"Vencido","Aberto")))</f>
        <v/>
      </c>
      <c r="K251" s="4">
        <f>IF(J251="","",IF(OR(J251="Recebido",F251=""),MAX(0,F251-E251),MAX(0,$B$4-E251)))</f>
        <v/>
      </c>
      <c r="L251" s="4">
        <f>IF(K251="","",IF(K251=0,"Em dia",IF(K251&lt;=30,"1-30 dias",IF(K251&lt;=60,"31-60 dias",IF(K251&lt;=90,"61-90 dias","&gt;90 dias")))))</f>
        <v/>
      </c>
      <c r="M251" s="28" t="n"/>
      <c r="N251" s="104" t="inlineStr"/>
      <c r="O251" s="64" t="n"/>
      <c r="P251" s="64">
        <f>IF(C251="","",IF(ISNUMBER(SEARCH("PCMSO",C251)),"PCMSO",IF(OR(ISNUMBER(SEARCH("E-SOCIAL",C251)),ISNUMBER(SEARCH("PSICOSOCIAL",C251))),"eSocial / Psicossocial",IF(O251="Receita recorrente","Carteira recorrente","Projetos / Laudos / Avulsos"))))</f>
        <v/>
      </c>
      <c r="Q251" s="64">
        <f>IF(P251="","",IF(P251="Carteira recorrente","Operação recorrente",IF(P251="PCMSO","Projetos PCMSO",IF(P251="eSocial / Psicossocial","Projetos eSocial/Psicossocial","Projetos / Laudos / Avulsos"))))</f>
        <v/>
      </c>
      <c r="R251" s="64">
        <f>IF(C251="","",IF(ISNUMBER(SEARCH("PCMSO",C251)),"Título com PCMSO no nome",IF(OR(ISNUMBER(SEARCH("E-SOCIAL",C251)),ISNUMBER(SEARCH("PSICOSOCIAL",C251))),"Título com eSocial/Psicossocial no nome",IF(O251="Receita recorrente","Tipo DRE recorrente","Extra sem palavra-chave específica"))))</f>
        <v/>
      </c>
      <c r="S251" s="92">
        <f>IFERROR(VLOOKUP($A251,'13. Mapa Títulos-Receita'!$A$8:$P$1000,4,FALSE),"")</f>
        <v/>
      </c>
      <c r="T251" s="92">
        <f>IFERROR(VLOOKUP($A251,'13. Mapa Títulos-Receita'!$A$8:$P$1000,5,FALSE),"")</f>
        <v/>
      </c>
      <c r="U251" s="92">
        <f>IFERROR(VLOOKUP($A251,'13. Mapa Títulos-Receita'!$A$8:$P$1000,6,FALSE),"")</f>
        <v/>
      </c>
      <c r="V251" s="92">
        <f>IFERROR(VLOOKUP($A251,'13. Mapa Títulos-Receita'!$A$8:$P$1000,7,FALSE),"")</f>
        <v/>
      </c>
      <c r="W251" s="92">
        <f>IFERROR(VLOOKUP($A251,'13. Mapa Títulos-Receita'!$A$8:$P$1000,8,FALSE),"")</f>
        <v/>
      </c>
      <c r="X251" s="92">
        <f>IFERROR(VLOOKUP($A251,'13. Mapa Títulos-Receita'!$A$8:$P$1000,9,FALSE),"")</f>
        <v/>
      </c>
      <c r="Y251" s="92">
        <f>IFERROR(VLOOKUP($A251,'13. Mapa Títulos-Receita'!$A$8:$P$1000,10,FALSE),"")</f>
        <v/>
      </c>
      <c r="Z251" s="92">
        <f>IFERROR(VLOOKUP($A251,'13. Mapa Títulos-Receita'!$A$8:$P$1000,11,FALSE),"")</f>
        <v/>
      </c>
      <c r="AA251" s="92">
        <f>IFERROR(VLOOKUP($A251,'13. Mapa Títulos-Receita'!$A$8:$P$1000,12,FALSE),"")</f>
        <v/>
      </c>
      <c r="AB251" s="92">
        <f>IFERROR(VLOOKUP($A251,'13. Mapa Títulos-Receita'!$A$8:$P$1000,13,FALSE),"")</f>
        <v/>
      </c>
      <c r="AC251" s="92">
        <f>IFERROR(VLOOKUP($A251,'13. Mapa Títulos-Receita'!$A$8:$P$1000,14,FALSE),"")</f>
        <v/>
      </c>
      <c r="AD251" s="92">
        <f>IFERROR(VLOOKUP($A251,'13. Mapa Títulos-Receita'!$A$8:$P$1000,15,FALSE),"")</f>
        <v/>
      </c>
      <c r="AE251" s="92">
        <f>IFERROR(VLOOKUP($A251,'13. Mapa Títulos-Receita'!$A$8:$P$1000,16,FALSE),"")</f>
        <v/>
      </c>
    </row>
    <row r="252">
      <c r="A252" s="28">
        <f>IF(C252="","", "CR-"&amp;TEXT(ROW()-7,"000"))</f>
        <v/>
      </c>
      <c r="B252" s="28" t="n"/>
      <c r="C252" s="28" t="n"/>
      <c r="D252" s="111" t="n"/>
      <c r="E252" s="111" t="n"/>
      <c r="F252" s="111" t="n"/>
      <c r="G252" s="28" t="n"/>
      <c r="H252" s="45" t="n"/>
      <c r="I252" s="45" t="n"/>
      <c r="J252" s="28">
        <f>IF(H252="","",IF(I252&gt;=H252,"Recebido",IF($B$4&gt;E252,"Vencido","Aberto")))</f>
        <v/>
      </c>
      <c r="K252" s="4">
        <f>IF(J252="","",IF(OR(J252="Recebido",F252=""),MAX(0,F252-E252),MAX(0,$B$4-E252)))</f>
        <v/>
      </c>
      <c r="L252" s="4">
        <f>IF(K252="","",IF(K252=0,"Em dia",IF(K252&lt;=30,"1-30 dias",IF(K252&lt;=60,"31-60 dias",IF(K252&lt;=90,"61-90 dias","&gt;90 dias")))))</f>
        <v/>
      </c>
      <c r="M252" s="28" t="n"/>
      <c r="N252" s="104" t="inlineStr"/>
      <c r="O252" s="64" t="n"/>
      <c r="P252" s="64">
        <f>IF(C252="","",IF(ISNUMBER(SEARCH("PCMSO",C252)),"PCMSO",IF(OR(ISNUMBER(SEARCH("E-SOCIAL",C252)),ISNUMBER(SEARCH("PSICOSOCIAL",C252))),"eSocial / Psicossocial",IF(O252="Receita recorrente","Carteira recorrente","Projetos / Laudos / Avulsos"))))</f>
        <v/>
      </c>
      <c r="Q252" s="64">
        <f>IF(P252="","",IF(P252="Carteira recorrente","Operação recorrente",IF(P252="PCMSO","Projetos PCMSO",IF(P252="eSocial / Psicossocial","Projetos eSocial/Psicossocial","Projetos / Laudos / Avulsos"))))</f>
        <v/>
      </c>
      <c r="R252" s="64">
        <f>IF(C252="","",IF(ISNUMBER(SEARCH("PCMSO",C252)),"Título com PCMSO no nome",IF(OR(ISNUMBER(SEARCH("E-SOCIAL",C252)),ISNUMBER(SEARCH("PSICOSOCIAL",C252))),"Título com eSocial/Psicossocial no nome",IF(O252="Receita recorrente","Tipo DRE recorrente","Extra sem palavra-chave específica"))))</f>
        <v/>
      </c>
      <c r="S252" s="92">
        <f>IFERROR(VLOOKUP($A252,'13. Mapa Títulos-Receita'!$A$8:$P$1000,4,FALSE),"")</f>
        <v/>
      </c>
      <c r="T252" s="92">
        <f>IFERROR(VLOOKUP($A252,'13. Mapa Títulos-Receita'!$A$8:$P$1000,5,FALSE),"")</f>
        <v/>
      </c>
      <c r="U252" s="92">
        <f>IFERROR(VLOOKUP($A252,'13. Mapa Títulos-Receita'!$A$8:$P$1000,6,FALSE),"")</f>
        <v/>
      </c>
      <c r="V252" s="92">
        <f>IFERROR(VLOOKUP($A252,'13. Mapa Títulos-Receita'!$A$8:$P$1000,7,FALSE),"")</f>
        <v/>
      </c>
      <c r="W252" s="92">
        <f>IFERROR(VLOOKUP($A252,'13. Mapa Títulos-Receita'!$A$8:$P$1000,8,FALSE),"")</f>
        <v/>
      </c>
      <c r="X252" s="92">
        <f>IFERROR(VLOOKUP($A252,'13. Mapa Títulos-Receita'!$A$8:$P$1000,9,FALSE),"")</f>
        <v/>
      </c>
      <c r="Y252" s="92">
        <f>IFERROR(VLOOKUP($A252,'13. Mapa Títulos-Receita'!$A$8:$P$1000,10,FALSE),"")</f>
        <v/>
      </c>
      <c r="Z252" s="92">
        <f>IFERROR(VLOOKUP($A252,'13. Mapa Títulos-Receita'!$A$8:$P$1000,11,FALSE),"")</f>
        <v/>
      </c>
      <c r="AA252" s="92">
        <f>IFERROR(VLOOKUP($A252,'13. Mapa Títulos-Receita'!$A$8:$P$1000,12,FALSE),"")</f>
        <v/>
      </c>
      <c r="AB252" s="92">
        <f>IFERROR(VLOOKUP($A252,'13. Mapa Títulos-Receita'!$A$8:$P$1000,13,FALSE),"")</f>
        <v/>
      </c>
      <c r="AC252" s="92">
        <f>IFERROR(VLOOKUP($A252,'13. Mapa Títulos-Receita'!$A$8:$P$1000,14,FALSE),"")</f>
        <v/>
      </c>
      <c r="AD252" s="92">
        <f>IFERROR(VLOOKUP($A252,'13. Mapa Títulos-Receita'!$A$8:$P$1000,15,FALSE),"")</f>
        <v/>
      </c>
      <c r="AE252" s="92">
        <f>IFERROR(VLOOKUP($A252,'13. Mapa Títulos-Receita'!$A$8:$P$1000,16,FALSE),"")</f>
        <v/>
      </c>
    </row>
    <row r="253">
      <c r="A253" s="28">
        <f>IF(C253="","", "CR-"&amp;TEXT(ROW()-7,"000"))</f>
        <v/>
      </c>
      <c r="B253" s="28" t="n"/>
      <c r="C253" s="28" t="n"/>
      <c r="D253" s="111" t="n"/>
      <c r="E253" s="111" t="n"/>
      <c r="F253" s="111" t="n"/>
      <c r="G253" s="28" t="n"/>
      <c r="H253" s="45" t="n"/>
      <c r="I253" s="45" t="n"/>
      <c r="J253" s="28">
        <f>IF(H253="","",IF(I253&gt;=H253,"Recebido",IF($B$4&gt;E253,"Vencido","Aberto")))</f>
        <v/>
      </c>
      <c r="K253" s="4">
        <f>IF(J253="","",IF(OR(J253="Recebido",F253=""),MAX(0,F253-E253),MAX(0,$B$4-E253)))</f>
        <v/>
      </c>
      <c r="L253" s="4">
        <f>IF(K253="","",IF(K253=0,"Em dia",IF(K253&lt;=30,"1-30 dias",IF(K253&lt;=60,"31-60 dias",IF(K253&lt;=90,"61-90 dias","&gt;90 dias")))))</f>
        <v/>
      </c>
      <c r="M253" s="28" t="n"/>
      <c r="N253" s="104" t="inlineStr"/>
      <c r="O253" s="64" t="n"/>
      <c r="P253" s="64">
        <f>IF(C253="","",IF(ISNUMBER(SEARCH("PCMSO",C253)),"PCMSO",IF(OR(ISNUMBER(SEARCH("E-SOCIAL",C253)),ISNUMBER(SEARCH("PSICOSOCIAL",C253))),"eSocial / Psicossocial",IF(O253="Receita recorrente","Carteira recorrente","Projetos / Laudos / Avulsos"))))</f>
        <v/>
      </c>
      <c r="Q253" s="64">
        <f>IF(P253="","",IF(P253="Carteira recorrente","Operação recorrente",IF(P253="PCMSO","Projetos PCMSO",IF(P253="eSocial / Psicossocial","Projetos eSocial/Psicossocial","Projetos / Laudos / Avulsos"))))</f>
        <v/>
      </c>
      <c r="R253" s="64">
        <f>IF(C253="","",IF(ISNUMBER(SEARCH("PCMSO",C253)),"Título com PCMSO no nome",IF(OR(ISNUMBER(SEARCH("E-SOCIAL",C253)),ISNUMBER(SEARCH("PSICOSOCIAL",C253))),"Título com eSocial/Psicossocial no nome",IF(O253="Receita recorrente","Tipo DRE recorrente","Extra sem palavra-chave específica"))))</f>
        <v/>
      </c>
      <c r="S253" s="92">
        <f>IFERROR(VLOOKUP($A253,'13. Mapa Títulos-Receita'!$A$8:$P$1000,4,FALSE),"")</f>
        <v/>
      </c>
      <c r="T253" s="92">
        <f>IFERROR(VLOOKUP($A253,'13. Mapa Títulos-Receita'!$A$8:$P$1000,5,FALSE),"")</f>
        <v/>
      </c>
      <c r="U253" s="92">
        <f>IFERROR(VLOOKUP($A253,'13. Mapa Títulos-Receita'!$A$8:$P$1000,6,FALSE),"")</f>
        <v/>
      </c>
      <c r="V253" s="92">
        <f>IFERROR(VLOOKUP($A253,'13. Mapa Títulos-Receita'!$A$8:$P$1000,7,FALSE),"")</f>
        <v/>
      </c>
      <c r="W253" s="92">
        <f>IFERROR(VLOOKUP($A253,'13. Mapa Títulos-Receita'!$A$8:$P$1000,8,FALSE),"")</f>
        <v/>
      </c>
      <c r="X253" s="92">
        <f>IFERROR(VLOOKUP($A253,'13. Mapa Títulos-Receita'!$A$8:$P$1000,9,FALSE),"")</f>
        <v/>
      </c>
      <c r="Y253" s="92">
        <f>IFERROR(VLOOKUP($A253,'13. Mapa Títulos-Receita'!$A$8:$P$1000,10,FALSE),"")</f>
        <v/>
      </c>
      <c r="Z253" s="92">
        <f>IFERROR(VLOOKUP($A253,'13. Mapa Títulos-Receita'!$A$8:$P$1000,11,FALSE),"")</f>
        <v/>
      </c>
      <c r="AA253" s="92">
        <f>IFERROR(VLOOKUP($A253,'13. Mapa Títulos-Receita'!$A$8:$P$1000,12,FALSE),"")</f>
        <v/>
      </c>
      <c r="AB253" s="92">
        <f>IFERROR(VLOOKUP($A253,'13. Mapa Títulos-Receita'!$A$8:$P$1000,13,FALSE),"")</f>
        <v/>
      </c>
      <c r="AC253" s="92">
        <f>IFERROR(VLOOKUP($A253,'13. Mapa Títulos-Receita'!$A$8:$P$1000,14,FALSE),"")</f>
        <v/>
      </c>
      <c r="AD253" s="92">
        <f>IFERROR(VLOOKUP($A253,'13. Mapa Títulos-Receita'!$A$8:$P$1000,15,FALSE),"")</f>
        <v/>
      </c>
      <c r="AE253" s="92">
        <f>IFERROR(VLOOKUP($A253,'13. Mapa Títulos-Receita'!$A$8:$P$1000,16,FALSE),"")</f>
        <v/>
      </c>
    </row>
    <row r="254">
      <c r="A254" s="28">
        <f>IF(C254="","", "CR-"&amp;TEXT(ROW()-7,"000"))</f>
        <v/>
      </c>
      <c r="B254" s="28" t="n"/>
      <c r="C254" s="28" t="n"/>
      <c r="D254" s="111" t="n"/>
      <c r="E254" s="111" t="n"/>
      <c r="F254" s="111" t="n"/>
      <c r="G254" s="28" t="n"/>
      <c r="H254" s="45" t="n"/>
      <c r="I254" s="45" t="n"/>
      <c r="J254" s="28">
        <f>IF(H254="","",IF(I254&gt;=H254,"Recebido",IF($B$4&gt;E254,"Vencido","Aberto")))</f>
        <v/>
      </c>
      <c r="K254" s="4">
        <f>IF(J254="","",IF(OR(J254="Recebido",F254=""),MAX(0,F254-E254),MAX(0,$B$4-E254)))</f>
        <v/>
      </c>
      <c r="L254" s="4">
        <f>IF(K254="","",IF(K254=0,"Em dia",IF(K254&lt;=30,"1-30 dias",IF(K254&lt;=60,"31-60 dias",IF(K254&lt;=90,"61-90 dias","&gt;90 dias")))))</f>
        <v/>
      </c>
      <c r="M254" s="28" t="n"/>
      <c r="N254" s="104" t="inlineStr"/>
      <c r="O254" s="64" t="n"/>
      <c r="P254" s="64">
        <f>IF(C254="","",IF(ISNUMBER(SEARCH("PCMSO",C254)),"PCMSO",IF(OR(ISNUMBER(SEARCH("E-SOCIAL",C254)),ISNUMBER(SEARCH("PSICOSOCIAL",C254))),"eSocial / Psicossocial",IF(O254="Receita recorrente","Carteira recorrente","Projetos / Laudos / Avulsos"))))</f>
        <v/>
      </c>
      <c r="Q254" s="64">
        <f>IF(P254="","",IF(P254="Carteira recorrente","Operação recorrente",IF(P254="PCMSO","Projetos PCMSO",IF(P254="eSocial / Psicossocial","Projetos eSocial/Psicossocial","Projetos / Laudos / Avulsos"))))</f>
        <v/>
      </c>
      <c r="R254" s="64">
        <f>IF(C254="","",IF(ISNUMBER(SEARCH("PCMSO",C254)),"Título com PCMSO no nome",IF(OR(ISNUMBER(SEARCH("E-SOCIAL",C254)),ISNUMBER(SEARCH("PSICOSOCIAL",C254))),"Título com eSocial/Psicossocial no nome",IF(O254="Receita recorrente","Tipo DRE recorrente","Extra sem palavra-chave específica"))))</f>
        <v/>
      </c>
      <c r="S254" s="92">
        <f>IFERROR(VLOOKUP($A254,'13. Mapa Títulos-Receita'!$A$8:$P$1000,4,FALSE),"")</f>
        <v/>
      </c>
      <c r="T254" s="92">
        <f>IFERROR(VLOOKUP($A254,'13. Mapa Títulos-Receita'!$A$8:$P$1000,5,FALSE),"")</f>
        <v/>
      </c>
      <c r="U254" s="92">
        <f>IFERROR(VLOOKUP($A254,'13. Mapa Títulos-Receita'!$A$8:$P$1000,6,FALSE),"")</f>
        <v/>
      </c>
      <c r="V254" s="92">
        <f>IFERROR(VLOOKUP($A254,'13. Mapa Títulos-Receita'!$A$8:$P$1000,7,FALSE),"")</f>
        <v/>
      </c>
      <c r="W254" s="92">
        <f>IFERROR(VLOOKUP($A254,'13. Mapa Títulos-Receita'!$A$8:$P$1000,8,FALSE),"")</f>
        <v/>
      </c>
      <c r="X254" s="92">
        <f>IFERROR(VLOOKUP($A254,'13. Mapa Títulos-Receita'!$A$8:$P$1000,9,FALSE),"")</f>
        <v/>
      </c>
      <c r="Y254" s="92">
        <f>IFERROR(VLOOKUP($A254,'13. Mapa Títulos-Receita'!$A$8:$P$1000,10,FALSE),"")</f>
        <v/>
      </c>
      <c r="Z254" s="92">
        <f>IFERROR(VLOOKUP($A254,'13. Mapa Títulos-Receita'!$A$8:$P$1000,11,FALSE),"")</f>
        <v/>
      </c>
      <c r="AA254" s="92">
        <f>IFERROR(VLOOKUP($A254,'13. Mapa Títulos-Receita'!$A$8:$P$1000,12,FALSE),"")</f>
        <v/>
      </c>
      <c r="AB254" s="92">
        <f>IFERROR(VLOOKUP($A254,'13. Mapa Títulos-Receita'!$A$8:$P$1000,13,FALSE),"")</f>
        <v/>
      </c>
      <c r="AC254" s="92">
        <f>IFERROR(VLOOKUP($A254,'13. Mapa Títulos-Receita'!$A$8:$P$1000,14,FALSE),"")</f>
        <v/>
      </c>
      <c r="AD254" s="92">
        <f>IFERROR(VLOOKUP($A254,'13. Mapa Títulos-Receita'!$A$8:$P$1000,15,FALSE),"")</f>
        <v/>
      </c>
      <c r="AE254" s="92">
        <f>IFERROR(VLOOKUP($A254,'13. Mapa Títulos-Receita'!$A$8:$P$1000,16,FALSE),"")</f>
        <v/>
      </c>
    </row>
    <row r="255">
      <c r="A255" s="28">
        <f>IF(C255="","", "CR-"&amp;TEXT(ROW()-7,"000"))</f>
        <v/>
      </c>
      <c r="B255" s="28" t="n"/>
      <c r="C255" s="28" t="n"/>
      <c r="D255" s="111" t="n"/>
      <c r="E255" s="111" t="n"/>
      <c r="F255" s="111" t="n"/>
      <c r="G255" s="28" t="n"/>
      <c r="H255" s="45" t="n"/>
      <c r="I255" s="45" t="n"/>
      <c r="J255" s="28">
        <f>IF(H255="","",IF(I255&gt;=H255,"Recebido",IF($B$4&gt;E255,"Vencido","Aberto")))</f>
        <v/>
      </c>
      <c r="K255" s="4">
        <f>IF(J255="","",IF(OR(J255="Recebido",F255=""),MAX(0,F255-E255),MAX(0,$B$4-E255)))</f>
        <v/>
      </c>
      <c r="L255" s="4">
        <f>IF(K255="","",IF(K255=0,"Em dia",IF(K255&lt;=30,"1-30 dias",IF(K255&lt;=60,"31-60 dias",IF(K255&lt;=90,"61-90 dias","&gt;90 dias")))))</f>
        <v/>
      </c>
      <c r="M255" s="28" t="n"/>
      <c r="N255" s="104" t="inlineStr"/>
      <c r="O255" s="64" t="n"/>
      <c r="P255" s="64">
        <f>IF(C255="","",IF(ISNUMBER(SEARCH("PCMSO",C255)),"PCMSO",IF(OR(ISNUMBER(SEARCH("E-SOCIAL",C255)),ISNUMBER(SEARCH("PSICOSOCIAL",C255))),"eSocial / Psicossocial",IF(O255="Receita recorrente","Carteira recorrente","Projetos / Laudos / Avulsos"))))</f>
        <v/>
      </c>
      <c r="Q255" s="64">
        <f>IF(P255="","",IF(P255="Carteira recorrente","Operação recorrente",IF(P255="PCMSO","Projetos PCMSO",IF(P255="eSocial / Psicossocial","Projetos eSocial/Psicossocial","Projetos / Laudos / Avulsos"))))</f>
        <v/>
      </c>
      <c r="R255" s="64">
        <f>IF(C255="","",IF(ISNUMBER(SEARCH("PCMSO",C255)),"Título com PCMSO no nome",IF(OR(ISNUMBER(SEARCH("E-SOCIAL",C255)),ISNUMBER(SEARCH("PSICOSOCIAL",C255))),"Título com eSocial/Psicossocial no nome",IF(O255="Receita recorrente","Tipo DRE recorrente","Extra sem palavra-chave específica"))))</f>
        <v/>
      </c>
      <c r="S255" s="92">
        <f>IFERROR(VLOOKUP($A255,'13. Mapa Títulos-Receita'!$A$8:$P$1000,4,FALSE),"")</f>
        <v/>
      </c>
      <c r="T255" s="92">
        <f>IFERROR(VLOOKUP($A255,'13. Mapa Títulos-Receita'!$A$8:$P$1000,5,FALSE),"")</f>
        <v/>
      </c>
      <c r="U255" s="92">
        <f>IFERROR(VLOOKUP($A255,'13. Mapa Títulos-Receita'!$A$8:$P$1000,6,FALSE),"")</f>
        <v/>
      </c>
      <c r="V255" s="92">
        <f>IFERROR(VLOOKUP($A255,'13. Mapa Títulos-Receita'!$A$8:$P$1000,7,FALSE),"")</f>
        <v/>
      </c>
      <c r="W255" s="92">
        <f>IFERROR(VLOOKUP($A255,'13. Mapa Títulos-Receita'!$A$8:$P$1000,8,FALSE),"")</f>
        <v/>
      </c>
      <c r="X255" s="92">
        <f>IFERROR(VLOOKUP($A255,'13. Mapa Títulos-Receita'!$A$8:$P$1000,9,FALSE),"")</f>
        <v/>
      </c>
      <c r="Y255" s="92">
        <f>IFERROR(VLOOKUP($A255,'13. Mapa Títulos-Receita'!$A$8:$P$1000,10,FALSE),"")</f>
        <v/>
      </c>
      <c r="Z255" s="92">
        <f>IFERROR(VLOOKUP($A255,'13. Mapa Títulos-Receita'!$A$8:$P$1000,11,FALSE),"")</f>
        <v/>
      </c>
      <c r="AA255" s="92">
        <f>IFERROR(VLOOKUP($A255,'13. Mapa Títulos-Receita'!$A$8:$P$1000,12,FALSE),"")</f>
        <v/>
      </c>
      <c r="AB255" s="92">
        <f>IFERROR(VLOOKUP($A255,'13. Mapa Títulos-Receita'!$A$8:$P$1000,13,FALSE),"")</f>
        <v/>
      </c>
      <c r="AC255" s="92">
        <f>IFERROR(VLOOKUP($A255,'13. Mapa Títulos-Receita'!$A$8:$P$1000,14,FALSE),"")</f>
        <v/>
      </c>
      <c r="AD255" s="92">
        <f>IFERROR(VLOOKUP($A255,'13. Mapa Títulos-Receita'!$A$8:$P$1000,15,FALSE),"")</f>
        <v/>
      </c>
      <c r="AE255" s="92">
        <f>IFERROR(VLOOKUP($A255,'13. Mapa Títulos-Receita'!$A$8:$P$1000,16,FALSE),"")</f>
        <v/>
      </c>
    </row>
    <row r="256">
      <c r="A256" s="28">
        <f>IF(C256="","", "CR-"&amp;TEXT(ROW()-7,"000"))</f>
        <v/>
      </c>
      <c r="B256" s="28" t="n"/>
      <c r="C256" s="28" t="n"/>
      <c r="D256" s="111" t="n"/>
      <c r="E256" s="111" t="n"/>
      <c r="F256" s="111" t="n"/>
      <c r="G256" s="28" t="n"/>
      <c r="H256" s="45" t="n"/>
      <c r="I256" s="45" t="n"/>
      <c r="J256" s="28">
        <f>IF(H256="","",IF(I256&gt;=H256,"Recebido",IF($B$4&gt;E256,"Vencido","Aberto")))</f>
        <v/>
      </c>
      <c r="K256" s="4">
        <f>IF(J256="","",IF(OR(J256="Recebido",F256=""),MAX(0,F256-E256),MAX(0,$B$4-E256)))</f>
        <v/>
      </c>
      <c r="L256" s="4">
        <f>IF(K256="","",IF(K256=0,"Em dia",IF(K256&lt;=30,"1-30 dias",IF(K256&lt;=60,"31-60 dias",IF(K256&lt;=90,"61-90 dias","&gt;90 dias")))))</f>
        <v/>
      </c>
      <c r="M256" s="28" t="n"/>
      <c r="N256" s="104" t="inlineStr"/>
      <c r="O256" s="64" t="n"/>
      <c r="P256" s="64">
        <f>IF(C256="","",IF(ISNUMBER(SEARCH("PCMSO",C256)),"PCMSO",IF(OR(ISNUMBER(SEARCH("E-SOCIAL",C256)),ISNUMBER(SEARCH("PSICOSOCIAL",C256))),"eSocial / Psicossocial",IF(O256="Receita recorrente","Carteira recorrente","Projetos / Laudos / Avulsos"))))</f>
        <v/>
      </c>
      <c r="Q256" s="64">
        <f>IF(P256="","",IF(P256="Carteira recorrente","Operação recorrente",IF(P256="PCMSO","Projetos PCMSO",IF(P256="eSocial / Psicossocial","Projetos eSocial/Psicossocial","Projetos / Laudos / Avulsos"))))</f>
        <v/>
      </c>
      <c r="R256" s="64">
        <f>IF(C256="","",IF(ISNUMBER(SEARCH("PCMSO",C256)),"Título com PCMSO no nome",IF(OR(ISNUMBER(SEARCH("E-SOCIAL",C256)),ISNUMBER(SEARCH("PSICOSOCIAL",C256))),"Título com eSocial/Psicossocial no nome",IF(O256="Receita recorrente","Tipo DRE recorrente","Extra sem palavra-chave específica"))))</f>
        <v/>
      </c>
      <c r="S256" s="92">
        <f>IFERROR(VLOOKUP($A256,'13. Mapa Títulos-Receita'!$A$8:$P$1000,4,FALSE),"")</f>
        <v/>
      </c>
      <c r="T256" s="92">
        <f>IFERROR(VLOOKUP($A256,'13. Mapa Títulos-Receita'!$A$8:$P$1000,5,FALSE),"")</f>
        <v/>
      </c>
      <c r="U256" s="92">
        <f>IFERROR(VLOOKUP($A256,'13. Mapa Títulos-Receita'!$A$8:$P$1000,6,FALSE),"")</f>
        <v/>
      </c>
      <c r="V256" s="92">
        <f>IFERROR(VLOOKUP($A256,'13. Mapa Títulos-Receita'!$A$8:$P$1000,7,FALSE),"")</f>
        <v/>
      </c>
      <c r="W256" s="92">
        <f>IFERROR(VLOOKUP($A256,'13. Mapa Títulos-Receita'!$A$8:$P$1000,8,FALSE),"")</f>
        <v/>
      </c>
      <c r="X256" s="92">
        <f>IFERROR(VLOOKUP($A256,'13. Mapa Títulos-Receita'!$A$8:$P$1000,9,FALSE),"")</f>
        <v/>
      </c>
      <c r="Y256" s="92">
        <f>IFERROR(VLOOKUP($A256,'13. Mapa Títulos-Receita'!$A$8:$P$1000,10,FALSE),"")</f>
        <v/>
      </c>
      <c r="Z256" s="92">
        <f>IFERROR(VLOOKUP($A256,'13. Mapa Títulos-Receita'!$A$8:$P$1000,11,FALSE),"")</f>
        <v/>
      </c>
      <c r="AA256" s="92">
        <f>IFERROR(VLOOKUP($A256,'13. Mapa Títulos-Receita'!$A$8:$P$1000,12,FALSE),"")</f>
        <v/>
      </c>
      <c r="AB256" s="92">
        <f>IFERROR(VLOOKUP($A256,'13. Mapa Títulos-Receita'!$A$8:$P$1000,13,FALSE),"")</f>
        <v/>
      </c>
      <c r="AC256" s="92">
        <f>IFERROR(VLOOKUP($A256,'13. Mapa Títulos-Receita'!$A$8:$P$1000,14,FALSE),"")</f>
        <v/>
      </c>
      <c r="AD256" s="92">
        <f>IFERROR(VLOOKUP($A256,'13. Mapa Títulos-Receita'!$A$8:$P$1000,15,FALSE),"")</f>
        <v/>
      </c>
      <c r="AE256" s="92">
        <f>IFERROR(VLOOKUP($A256,'13. Mapa Títulos-Receita'!$A$8:$P$1000,16,FALSE),"")</f>
        <v/>
      </c>
    </row>
    <row r="257">
      <c r="A257" s="28">
        <f>IF(C257="","", "CR-"&amp;TEXT(ROW()-7,"000"))</f>
        <v/>
      </c>
      <c r="B257" s="28" t="n"/>
      <c r="C257" s="28" t="n"/>
      <c r="D257" s="111" t="n"/>
      <c r="E257" s="111" t="n"/>
      <c r="F257" s="111" t="n"/>
      <c r="G257" s="28" t="n"/>
      <c r="H257" s="45" t="n"/>
      <c r="I257" s="45" t="n"/>
      <c r="J257" s="28">
        <f>IF(H257="","",IF(I257&gt;=H257,"Recebido",IF($B$4&gt;E257,"Vencido","Aberto")))</f>
        <v/>
      </c>
      <c r="K257" s="4">
        <f>IF(J257="","",IF(OR(J257="Recebido",F257=""),MAX(0,F257-E257),MAX(0,$B$4-E257)))</f>
        <v/>
      </c>
      <c r="L257" s="4">
        <f>IF(K257="","",IF(K257=0,"Em dia",IF(K257&lt;=30,"1-30 dias",IF(K257&lt;=60,"31-60 dias",IF(K257&lt;=90,"61-90 dias","&gt;90 dias")))))</f>
        <v/>
      </c>
      <c r="M257" s="28" t="n"/>
      <c r="N257" s="104" t="inlineStr"/>
      <c r="O257" s="64" t="n"/>
      <c r="P257" s="64">
        <f>IF(C257="","",IF(ISNUMBER(SEARCH("PCMSO",C257)),"PCMSO",IF(OR(ISNUMBER(SEARCH("E-SOCIAL",C257)),ISNUMBER(SEARCH("PSICOSOCIAL",C257))),"eSocial / Psicossocial",IF(O257="Receita recorrente","Carteira recorrente","Projetos / Laudos / Avulsos"))))</f>
        <v/>
      </c>
      <c r="Q257" s="64">
        <f>IF(P257="","",IF(P257="Carteira recorrente","Operação recorrente",IF(P257="PCMSO","Projetos PCMSO",IF(P257="eSocial / Psicossocial","Projetos eSocial/Psicossocial","Projetos / Laudos / Avulsos"))))</f>
        <v/>
      </c>
      <c r="R257" s="64">
        <f>IF(C257="","",IF(ISNUMBER(SEARCH("PCMSO",C257)),"Título com PCMSO no nome",IF(OR(ISNUMBER(SEARCH("E-SOCIAL",C257)),ISNUMBER(SEARCH("PSICOSOCIAL",C257))),"Título com eSocial/Psicossocial no nome",IF(O257="Receita recorrente","Tipo DRE recorrente","Extra sem palavra-chave específica"))))</f>
        <v/>
      </c>
      <c r="S257" s="92">
        <f>IFERROR(VLOOKUP($A257,'13. Mapa Títulos-Receita'!$A$8:$P$1000,4,FALSE),"")</f>
        <v/>
      </c>
      <c r="T257" s="92">
        <f>IFERROR(VLOOKUP($A257,'13. Mapa Títulos-Receita'!$A$8:$P$1000,5,FALSE),"")</f>
        <v/>
      </c>
      <c r="U257" s="92">
        <f>IFERROR(VLOOKUP($A257,'13. Mapa Títulos-Receita'!$A$8:$P$1000,6,FALSE),"")</f>
        <v/>
      </c>
      <c r="V257" s="92">
        <f>IFERROR(VLOOKUP($A257,'13. Mapa Títulos-Receita'!$A$8:$P$1000,7,FALSE),"")</f>
        <v/>
      </c>
      <c r="W257" s="92">
        <f>IFERROR(VLOOKUP($A257,'13. Mapa Títulos-Receita'!$A$8:$P$1000,8,FALSE),"")</f>
        <v/>
      </c>
      <c r="X257" s="92">
        <f>IFERROR(VLOOKUP($A257,'13. Mapa Títulos-Receita'!$A$8:$P$1000,9,FALSE),"")</f>
        <v/>
      </c>
      <c r="Y257" s="92">
        <f>IFERROR(VLOOKUP($A257,'13. Mapa Títulos-Receita'!$A$8:$P$1000,10,FALSE),"")</f>
        <v/>
      </c>
      <c r="Z257" s="92">
        <f>IFERROR(VLOOKUP($A257,'13. Mapa Títulos-Receita'!$A$8:$P$1000,11,FALSE),"")</f>
        <v/>
      </c>
      <c r="AA257" s="92">
        <f>IFERROR(VLOOKUP($A257,'13. Mapa Títulos-Receita'!$A$8:$P$1000,12,FALSE),"")</f>
        <v/>
      </c>
      <c r="AB257" s="92">
        <f>IFERROR(VLOOKUP($A257,'13. Mapa Títulos-Receita'!$A$8:$P$1000,13,FALSE),"")</f>
        <v/>
      </c>
      <c r="AC257" s="92">
        <f>IFERROR(VLOOKUP($A257,'13. Mapa Títulos-Receita'!$A$8:$P$1000,14,FALSE),"")</f>
        <v/>
      </c>
      <c r="AD257" s="92">
        <f>IFERROR(VLOOKUP($A257,'13. Mapa Títulos-Receita'!$A$8:$P$1000,15,FALSE),"")</f>
        <v/>
      </c>
      <c r="AE257" s="92">
        <f>IFERROR(VLOOKUP($A257,'13. Mapa Títulos-Receita'!$A$8:$P$1000,16,FALSE),"")</f>
        <v/>
      </c>
    </row>
    <row r="258">
      <c r="A258" s="28">
        <f>IF(C258="","", "CR-"&amp;TEXT(ROW()-7,"000"))</f>
        <v/>
      </c>
      <c r="B258" s="28" t="n"/>
      <c r="C258" s="28" t="n"/>
      <c r="D258" s="111" t="n"/>
      <c r="E258" s="111" t="n"/>
      <c r="F258" s="111" t="n"/>
      <c r="G258" s="28" t="n"/>
      <c r="H258" s="45" t="n"/>
      <c r="I258" s="45" t="n"/>
      <c r="J258" s="28">
        <f>IF(H258="","",IF(I258&gt;=H258,"Recebido",IF($B$4&gt;E258,"Vencido","Aberto")))</f>
        <v/>
      </c>
      <c r="K258" s="4">
        <f>IF(J258="","",IF(OR(J258="Recebido",F258=""),MAX(0,F258-E258),MAX(0,$B$4-E258)))</f>
        <v/>
      </c>
      <c r="L258" s="4">
        <f>IF(K258="","",IF(K258=0,"Em dia",IF(K258&lt;=30,"1-30 dias",IF(K258&lt;=60,"31-60 dias",IF(K258&lt;=90,"61-90 dias","&gt;90 dias")))))</f>
        <v/>
      </c>
      <c r="M258" s="28" t="n"/>
      <c r="N258" s="104" t="inlineStr"/>
      <c r="O258" s="64" t="n"/>
      <c r="P258" s="64">
        <f>IF(C258="","",IF(ISNUMBER(SEARCH("PCMSO",C258)),"PCMSO",IF(OR(ISNUMBER(SEARCH("E-SOCIAL",C258)),ISNUMBER(SEARCH("PSICOSOCIAL",C258))),"eSocial / Psicossocial",IF(O258="Receita recorrente","Carteira recorrente","Projetos / Laudos / Avulsos"))))</f>
        <v/>
      </c>
      <c r="Q258" s="64">
        <f>IF(P258="","",IF(P258="Carteira recorrente","Operação recorrente",IF(P258="PCMSO","Projetos PCMSO",IF(P258="eSocial / Psicossocial","Projetos eSocial/Psicossocial","Projetos / Laudos / Avulsos"))))</f>
        <v/>
      </c>
      <c r="R258" s="64">
        <f>IF(C258="","",IF(ISNUMBER(SEARCH("PCMSO",C258)),"Título com PCMSO no nome",IF(OR(ISNUMBER(SEARCH("E-SOCIAL",C258)),ISNUMBER(SEARCH("PSICOSOCIAL",C258))),"Título com eSocial/Psicossocial no nome",IF(O258="Receita recorrente","Tipo DRE recorrente","Extra sem palavra-chave específica"))))</f>
        <v/>
      </c>
      <c r="S258" s="92">
        <f>IFERROR(VLOOKUP($A258,'13. Mapa Títulos-Receita'!$A$8:$P$1000,4,FALSE),"")</f>
        <v/>
      </c>
      <c r="T258" s="92">
        <f>IFERROR(VLOOKUP($A258,'13. Mapa Títulos-Receita'!$A$8:$P$1000,5,FALSE),"")</f>
        <v/>
      </c>
      <c r="U258" s="92">
        <f>IFERROR(VLOOKUP($A258,'13. Mapa Títulos-Receita'!$A$8:$P$1000,6,FALSE),"")</f>
        <v/>
      </c>
      <c r="V258" s="92">
        <f>IFERROR(VLOOKUP($A258,'13. Mapa Títulos-Receita'!$A$8:$P$1000,7,FALSE),"")</f>
        <v/>
      </c>
      <c r="W258" s="92">
        <f>IFERROR(VLOOKUP($A258,'13. Mapa Títulos-Receita'!$A$8:$P$1000,8,FALSE),"")</f>
        <v/>
      </c>
      <c r="X258" s="92">
        <f>IFERROR(VLOOKUP($A258,'13. Mapa Títulos-Receita'!$A$8:$P$1000,9,FALSE),"")</f>
        <v/>
      </c>
      <c r="Y258" s="92">
        <f>IFERROR(VLOOKUP($A258,'13. Mapa Títulos-Receita'!$A$8:$P$1000,10,FALSE),"")</f>
        <v/>
      </c>
      <c r="Z258" s="92">
        <f>IFERROR(VLOOKUP($A258,'13. Mapa Títulos-Receita'!$A$8:$P$1000,11,FALSE),"")</f>
        <v/>
      </c>
      <c r="AA258" s="92">
        <f>IFERROR(VLOOKUP($A258,'13. Mapa Títulos-Receita'!$A$8:$P$1000,12,FALSE),"")</f>
        <v/>
      </c>
      <c r="AB258" s="92">
        <f>IFERROR(VLOOKUP($A258,'13. Mapa Títulos-Receita'!$A$8:$P$1000,13,FALSE),"")</f>
        <v/>
      </c>
      <c r="AC258" s="92">
        <f>IFERROR(VLOOKUP($A258,'13. Mapa Títulos-Receita'!$A$8:$P$1000,14,FALSE),"")</f>
        <v/>
      </c>
      <c r="AD258" s="92">
        <f>IFERROR(VLOOKUP($A258,'13. Mapa Títulos-Receita'!$A$8:$P$1000,15,FALSE),"")</f>
        <v/>
      </c>
      <c r="AE258" s="92">
        <f>IFERROR(VLOOKUP($A258,'13. Mapa Títulos-Receita'!$A$8:$P$1000,16,FALSE),"")</f>
        <v/>
      </c>
    </row>
    <row r="259">
      <c r="A259" s="28">
        <f>IF(C259="","", "CR-"&amp;TEXT(ROW()-7,"000"))</f>
        <v/>
      </c>
      <c r="B259" s="28" t="n"/>
      <c r="C259" s="28" t="n"/>
      <c r="D259" s="111" t="n"/>
      <c r="E259" s="111" t="n"/>
      <c r="F259" s="111" t="n"/>
      <c r="G259" s="28" t="n"/>
      <c r="H259" s="45" t="n"/>
      <c r="I259" s="45" t="n"/>
      <c r="J259" s="28">
        <f>IF(H259="","",IF(I259&gt;=H259,"Recebido",IF($B$4&gt;E259,"Vencido","Aberto")))</f>
        <v/>
      </c>
      <c r="K259" s="4">
        <f>IF(J259="","",IF(OR(J259="Recebido",F259=""),MAX(0,F259-E259),MAX(0,$B$4-E259)))</f>
        <v/>
      </c>
      <c r="L259" s="4">
        <f>IF(K259="","",IF(K259=0,"Em dia",IF(K259&lt;=30,"1-30 dias",IF(K259&lt;=60,"31-60 dias",IF(K259&lt;=90,"61-90 dias","&gt;90 dias")))))</f>
        <v/>
      </c>
      <c r="M259" s="28" t="n"/>
      <c r="N259" s="104" t="inlineStr"/>
      <c r="O259" s="64" t="n"/>
      <c r="P259" s="64">
        <f>IF(C259="","",IF(ISNUMBER(SEARCH("PCMSO",C259)),"PCMSO",IF(OR(ISNUMBER(SEARCH("E-SOCIAL",C259)),ISNUMBER(SEARCH("PSICOSOCIAL",C259))),"eSocial / Psicossocial",IF(O259="Receita recorrente","Carteira recorrente","Projetos / Laudos / Avulsos"))))</f>
        <v/>
      </c>
      <c r="Q259" s="64">
        <f>IF(P259="","",IF(P259="Carteira recorrente","Operação recorrente",IF(P259="PCMSO","Projetos PCMSO",IF(P259="eSocial / Psicossocial","Projetos eSocial/Psicossocial","Projetos / Laudos / Avulsos"))))</f>
        <v/>
      </c>
      <c r="R259" s="64">
        <f>IF(C259="","",IF(ISNUMBER(SEARCH("PCMSO",C259)),"Título com PCMSO no nome",IF(OR(ISNUMBER(SEARCH("E-SOCIAL",C259)),ISNUMBER(SEARCH("PSICOSOCIAL",C259))),"Título com eSocial/Psicossocial no nome",IF(O259="Receita recorrente","Tipo DRE recorrente","Extra sem palavra-chave específica"))))</f>
        <v/>
      </c>
      <c r="S259" s="92">
        <f>IFERROR(VLOOKUP($A259,'13. Mapa Títulos-Receita'!$A$8:$P$1000,4,FALSE),"")</f>
        <v/>
      </c>
      <c r="T259" s="92">
        <f>IFERROR(VLOOKUP($A259,'13. Mapa Títulos-Receita'!$A$8:$P$1000,5,FALSE),"")</f>
        <v/>
      </c>
      <c r="U259" s="92">
        <f>IFERROR(VLOOKUP($A259,'13. Mapa Títulos-Receita'!$A$8:$P$1000,6,FALSE),"")</f>
        <v/>
      </c>
      <c r="V259" s="92">
        <f>IFERROR(VLOOKUP($A259,'13. Mapa Títulos-Receita'!$A$8:$P$1000,7,FALSE),"")</f>
        <v/>
      </c>
      <c r="W259" s="92">
        <f>IFERROR(VLOOKUP($A259,'13. Mapa Títulos-Receita'!$A$8:$P$1000,8,FALSE),"")</f>
        <v/>
      </c>
      <c r="X259" s="92">
        <f>IFERROR(VLOOKUP($A259,'13. Mapa Títulos-Receita'!$A$8:$P$1000,9,FALSE),"")</f>
        <v/>
      </c>
      <c r="Y259" s="92">
        <f>IFERROR(VLOOKUP($A259,'13. Mapa Títulos-Receita'!$A$8:$P$1000,10,FALSE),"")</f>
        <v/>
      </c>
      <c r="Z259" s="92">
        <f>IFERROR(VLOOKUP($A259,'13. Mapa Títulos-Receita'!$A$8:$P$1000,11,FALSE),"")</f>
        <v/>
      </c>
      <c r="AA259" s="92">
        <f>IFERROR(VLOOKUP($A259,'13. Mapa Títulos-Receita'!$A$8:$P$1000,12,FALSE),"")</f>
        <v/>
      </c>
      <c r="AB259" s="92">
        <f>IFERROR(VLOOKUP($A259,'13. Mapa Títulos-Receita'!$A$8:$P$1000,13,FALSE),"")</f>
        <v/>
      </c>
      <c r="AC259" s="92">
        <f>IFERROR(VLOOKUP($A259,'13. Mapa Títulos-Receita'!$A$8:$P$1000,14,FALSE),"")</f>
        <v/>
      </c>
      <c r="AD259" s="92">
        <f>IFERROR(VLOOKUP($A259,'13. Mapa Títulos-Receita'!$A$8:$P$1000,15,FALSE),"")</f>
        <v/>
      </c>
      <c r="AE259" s="92">
        <f>IFERROR(VLOOKUP($A259,'13. Mapa Títulos-Receita'!$A$8:$P$1000,16,FALSE),"")</f>
        <v/>
      </c>
    </row>
    <row r="260">
      <c r="A260" s="28">
        <f>IF(C260="","", "CR-"&amp;TEXT(ROW()-7,"000"))</f>
        <v/>
      </c>
      <c r="B260" s="28" t="n"/>
      <c r="C260" s="28" t="n"/>
      <c r="D260" s="111" t="n"/>
      <c r="E260" s="111" t="n"/>
      <c r="F260" s="111" t="n"/>
      <c r="G260" s="28" t="n"/>
      <c r="H260" s="45" t="n"/>
      <c r="I260" s="45" t="n"/>
      <c r="J260" s="28">
        <f>IF(H260="","",IF(I260&gt;=H260,"Recebido",IF($B$4&gt;E260,"Vencido","Aberto")))</f>
        <v/>
      </c>
      <c r="K260" s="4">
        <f>IF(J260="","",IF(OR(J260="Recebido",F260=""),MAX(0,F260-E260),MAX(0,$B$4-E260)))</f>
        <v/>
      </c>
      <c r="L260" s="4">
        <f>IF(K260="","",IF(K260=0,"Em dia",IF(K260&lt;=30,"1-30 dias",IF(K260&lt;=60,"31-60 dias",IF(K260&lt;=90,"61-90 dias","&gt;90 dias")))))</f>
        <v/>
      </c>
      <c r="M260" s="28" t="n"/>
      <c r="N260" s="104" t="inlineStr"/>
      <c r="O260" s="64" t="n"/>
      <c r="P260" s="64">
        <f>IF(C260="","",IF(ISNUMBER(SEARCH("PCMSO",C260)),"PCMSO",IF(OR(ISNUMBER(SEARCH("E-SOCIAL",C260)),ISNUMBER(SEARCH("PSICOSOCIAL",C260))),"eSocial / Psicossocial",IF(O260="Receita recorrente","Carteira recorrente","Projetos / Laudos / Avulsos"))))</f>
        <v/>
      </c>
      <c r="Q260" s="64">
        <f>IF(P260="","",IF(P260="Carteira recorrente","Operação recorrente",IF(P260="PCMSO","Projetos PCMSO",IF(P260="eSocial / Psicossocial","Projetos eSocial/Psicossocial","Projetos / Laudos / Avulsos"))))</f>
        <v/>
      </c>
      <c r="R260" s="64">
        <f>IF(C260="","",IF(ISNUMBER(SEARCH("PCMSO",C260)),"Título com PCMSO no nome",IF(OR(ISNUMBER(SEARCH("E-SOCIAL",C260)),ISNUMBER(SEARCH("PSICOSOCIAL",C260))),"Título com eSocial/Psicossocial no nome",IF(O260="Receita recorrente","Tipo DRE recorrente","Extra sem palavra-chave específica"))))</f>
        <v/>
      </c>
      <c r="S260" s="92">
        <f>IFERROR(VLOOKUP($A260,'13. Mapa Títulos-Receita'!$A$8:$P$1000,4,FALSE),"")</f>
        <v/>
      </c>
      <c r="T260" s="92">
        <f>IFERROR(VLOOKUP($A260,'13. Mapa Títulos-Receita'!$A$8:$P$1000,5,FALSE),"")</f>
        <v/>
      </c>
      <c r="U260" s="92">
        <f>IFERROR(VLOOKUP($A260,'13. Mapa Títulos-Receita'!$A$8:$P$1000,6,FALSE),"")</f>
        <v/>
      </c>
      <c r="V260" s="92">
        <f>IFERROR(VLOOKUP($A260,'13. Mapa Títulos-Receita'!$A$8:$P$1000,7,FALSE),"")</f>
        <v/>
      </c>
      <c r="W260" s="92">
        <f>IFERROR(VLOOKUP($A260,'13. Mapa Títulos-Receita'!$A$8:$P$1000,8,FALSE),"")</f>
        <v/>
      </c>
      <c r="X260" s="92">
        <f>IFERROR(VLOOKUP($A260,'13. Mapa Títulos-Receita'!$A$8:$P$1000,9,FALSE),"")</f>
        <v/>
      </c>
      <c r="Y260" s="92">
        <f>IFERROR(VLOOKUP($A260,'13. Mapa Títulos-Receita'!$A$8:$P$1000,10,FALSE),"")</f>
        <v/>
      </c>
      <c r="Z260" s="92">
        <f>IFERROR(VLOOKUP($A260,'13. Mapa Títulos-Receita'!$A$8:$P$1000,11,FALSE),"")</f>
        <v/>
      </c>
      <c r="AA260" s="92">
        <f>IFERROR(VLOOKUP($A260,'13. Mapa Títulos-Receita'!$A$8:$P$1000,12,FALSE),"")</f>
        <v/>
      </c>
      <c r="AB260" s="92">
        <f>IFERROR(VLOOKUP($A260,'13. Mapa Títulos-Receita'!$A$8:$P$1000,13,FALSE),"")</f>
        <v/>
      </c>
      <c r="AC260" s="92">
        <f>IFERROR(VLOOKUP($A260,'13. Mapa Títulos-Receita'!$A$8:$P$1000,14,FALSE),"")</f>
        <v/>
      </c>
      <c r="AD260" s="92">
        <f>IFERROR(VLOOKUP($A260,'13. Mapa Títulos-Receita'!$A$8:$P$1000,15,FALSE),"")</f>
        <v/>
      </c>
      <c r="AE260" s="92">
        <f>IFERROR(VLOOKUP($A260,'13. Mapa Títulos-Receita'!$A$8:$P$1000,16,FALSE),"")</f>
        <v/>
      </c>
    </row>
    <row r="261">
      <c r="A261" s="28">
        <f>IF(C261="","", "CR-"&amp;TEXT(ROW()-7,"000"))</f>
        <v/>
      </c>
      <c r="B261" s="28" t="n"/>
      <c r="C261" s="28" t="n"/>
      <c r="D261" s="111" t="n"/>
      <c r="E261" s="111" t="n"/>
      <c r="F261" s="111" t="n"/>
      <c r="G261" s="28" t="n"/>
      <c r="H261" s="45" t="n"/>
      <c r="I261" s="45" t="n"/>
      <c r="J261" s="28">
        <f>IF(H261="","",IF(I261&gt;=H261,"Recebido",IF($B$4&gt;E261,"Vencido","Aberto")))</f>
        <v/>
      </c>
      <c r="K261" s="4">
        <f>IF(J261="","",IF(OR(J261="Recebido",F261=""),MAX(0,F261-E261),MAX(0,$B$4-E261)))</f>
        <v/>
      </c>
      <c r="L261" s="4">
        <f>IF(K261="","",IF(K261=0,"Em dia",IF(K261&lt;=30,"1-30 dias",IF(K261&lt;=60,"31-60 dias",IF(K261&lt;=90,"61-90 dias","&gt;90 dias")))))</f>
        <v/>
      </c>
      <c r="M261" s="28" t="n"/>
      <c r="N261" s="104" t="inlineStr"/>
      <c r="O261" s="64" t="n"/>
      <c r="P261" s="64">
        <f>IF(C261="","",IF(ISNUMBER(SEARCH("PCMSO",C261)),"PCMSO",IF(OR(ISNUMBER(SEARCH("E-SOCIAL",C261)),ISNUMBER(SEARCH("PSICOSOCIAL",C261))),"eSocial / Psicossocial",IF(O261="Receita recorrente","Carteira recorrente","Projetos / Laudos / Avulsos"))))</f>
        <v/>
      </c>
      <c r="Q261" s="64">
        <f>IF(P261="","",IF(P261="Carteira recorrente","Operação recorrente",IF(P261="PCMSO","Projetos PCMSO",IF(P261="eSocial / Psicossocial","Projetos eSocial/Psicossocial","Projetos / Laudos / Avulsos"))))</f>
        <v/>
      </c>
      <c r="R261" s="64">
        <f>IF(C261="","",IF(ISNUMBER(SEARCH("PCMSO",C261)),"Título com PCMSO no nome",IF(OR(ISNUMBER(SEARCH("E-SOCIAL",C261)),ISNUMBER(SEARCH("PSICOSOCIAL",C261))),"Título com eSocial/Psicossocial no nome",IF(O261="Receita recorrente","Tipo DRE recorrente","Extra sem palavra-chave específica"))))</f>
        <v/>
      </c>
      <c r="S261" s="92">
        <f>IFERROR(VLOOKUP($A261,'13. Mapa Títulos-Receita'!$A$8:$P$1000,4,FALSE),"")</f>
        <v/>
      </c>
      <c r="T261" s="92">
        <f>IFERROR(VLOOKUP($A261,'13. Mapa Títulos-Receita'!$A$8:$P$1000,5,FALSE),"")</f>
        <v/>
      </c>
      <c r="U261" s="92">
        <f>IFERROR(VLOOKUP($A261,'13. Mapa Títulos-Receita'!$A$8:$P$1000,6,FALSE),"")</f>
        <v/>
      </c>
      <c r="V261" s="92">
        <f>IFERROR(VLOOKUP($A261,'13. Mapa Títulos-Receita'!$A$8:$P$1000,7,FALSE),"")</f>
        <v/>
      </c>
      <c r="W261" s="92">
        <f>IFERROR(VLOOKUP($A261,'13. Mapa Títulos-Receita'!$A$8:$P$1000,8,FALSE),"")</f>
        <v/>
      </c>
      <c r="X261" s="92">
        <f>IFERROR(VLOOKUP($A261,'13. Mapa Títulos-Receita'!$A$8:$P$1000,9,FALSE),"")</f>
        <v/>
      </c>
      <c r="Y261" s="92">
        <f>IFERROR(VLOOKUP($A261,'13. Mapa Títulos-Receita'!$A$8:$P$1000,10,FALSE),"")</f>
        <v/>
      </c>
      <c r="Z261" s="92">
        <f>IFERROR(VLOOKUP($A261,'13. Mapa Títulos-Receita'!$A$8:$P$1000,11,FALSE),"")</f>
        <v/>
      </c>
      <c r="AA261" s="92">
        <f>IFERROR(VLOOKUP($A261,'13. Mapa Títulos-Receita'!$A$8:$P$1000,12,FALSE),"")</f>
        <v/>
      </c>
      <c r="AB261" s="92">
        <f>IFERROR(VLOOKUP($A261,'13. Mapa Títulos-Receita'!$A$8:$P$1000,13,FALSE),"")</f>
        <v/>
      </c>
      <c r="AC261" s="92">
        <f>IFERROR(VLOOKUP($A261,'13. Mapa Títulos-Receita'!$A$8:$P$1000,14,FALSE),"")</f>
        <v/>
      </c>
      <c r="AD261" s="92">
        <f>IFERROR(VLOOKUP($A261,'13. Mapa Títulos-Receita'!$A$8:$P$1000,15,FALSE),"")</f>
        <v/>
      </c>
      <c r="AE261" s="92">
        <f>IFERROR(VLOOKUP($A261,'13. Mapa Títulos-Receita'!$A$8:$P$1000,16,FALSE),"")</f>
        <v/>
      </c>
    </row>
    <row r="262">
      <c r="A262" s="28">
        <f>IF(C262="","", "CR-"&amp;TEXT(ROW()-7,"000"))</f>
        <v/>
      </c>
      <c r="B262" s="28" t="n"/>
      <c r="C262" s="28" t="n"/>
      <c r="D262" s="111" t="n"/>
      <c r="E262" s="111" t="n"/>
      <c r="F262" s="111" t="n"/>
      <c r="G262" s="28" t="n"/>
      <c r="H262" s="45" t="n"/>
      <c r="I262" s="45" t="n"/>
      <c r="J262" s="28">
        <f>IF(H262="","",IF(I262&gt;=H262,"Recebido",IF($B$4&gt;E262,"Vencido","Aberto")))</f>
        <v/>
      </c>
      <c r="K262" s="4">
        <f>IF(J262="","",IF(OR(J262="Recebido",F262=""),MAX(0,F262-E262),MAX(0,$B$4-E262)))</f>
        <v/>
      </c>
      <c r="L262" s="4">
        <f>IF(K262="","",IF(K262=0,"Em dia",IF(K262&lt;=30,"1-30 dias",IF(K262&lt;=60,"31-60 dias",IF(K262&lt;=90,"61-90 dias","&gt;90 dias")))))</f>
        <v/>
      </c>
      <c r="M262" s="28" t="n"/>
      <c r="N262" s="104" t="inlineStr"/>
      <c r="O262" s="64" t="n"/>
      <c r="P262" s="64">
        <f>IF(C262="","",IF(ISNUMBER(SEARCH("PCMSO",C262)),"PCMSO",IF(OR(ISNUMBER(SEARCH("E-SOCIAL",C262)),ISNUMBER(SEARCH("PSICOSOCIAL",C262))),"eSocial / Psicossocial",IF(O262="Receita recorrente","Carteira recorrente","Projetos / Laudos / Avulsos"))))</f>
        <v/>
      </c>
      <c r="Q262" s="64">
        <f>IF(P262="","",IF(P262="Carteira recorrente","Operação recorrente",IF(P262="PCMSO","Projetos PCMSO",IF(P262="eSocial / Psicossocial","Projetos eSocial/Psicossocial","Projetos / Laudos / Avulsos"))))</f>
        <v/>
      </c>
      <c r="R262" s="64">
        <f>IF(C262="","",IF(ISNUMBER(SEARCH("PCMSO",C262)),"Título com PCMSO no nome",IF(OR(ISNUMBER(SEARCH("E-SOCIAL",C262)),ISNUMBER(SEARCH("PSICOSOCIAL",C262))),"Título com eSocial/Psicossocial no nome",IF(O262="Receita recorrente","Tipo DRE recorrente","Extra sem palavra-chave específica"))))</f>
        <v/>
      </c>
      <c r="S262" s="92">
        <f>IFERROR(VLOOKUP($A262,'13. Mapa Títulos-Receita'!$A$8:$P$1000,4,FALSE),"")</f>
        <v/>
      </c>
      <c r="T262" s="92">
        <f>IFERROR(VLOOKUP($A262,'13. Mapa Títulos-Receita'!$A$8:$P$1000,5,FALSE),"")</f>
        <v/>
      </c>
      <c r="U262" s="92">
        <f>IFERROR(VLOOKUP($A262,'13. Mapa Títulos-Receita'!$A$8:$P$1000,6,FALSE),"")</f>
        <v/>
      </c>
      <c r="V262" s="92">
        <f>IFERROR(VLOOKUP($A262,'13. Mapa Títulos-Receita'!$A$8:$P$1000,7,FALSE),"")</f>
        <v/>
      </c>
      <c r="W262" s="92">
        <f>IFERROR(VLOOKUP($A262,'13. Mapa Títulos-Receita'!$A$8:$P$1000,8,FALSE),"")</f>
        <v/>
      </c>
      <c r="X262" s="92">
        <f>IFERROR(VLOOKUP($A262,'13. Mapa Títulos-Receita'!$A$8:$P$1000,9,FALSE),"")</f>
        <v/>
      </c>
      <c r="Y262" s="92">
        <f>IFERROR(VLOOKUP($A262,'13. Mapa Títulos-Receita'!$A$8:$P$1000,10,FALSE),"")</f>
        <v/>
      </c>
      <c r="Z262" s="92">
        <f>IFERROR(VLOOKUP($A262,'13. Mapa Títulos-Receita'!$A$8:$P$1000,11,FALSE),"")</f>
        <v/>
      </c>
      <c r="AA262" s="92">
        <f>IFERROR(VLOOKUP($A262,'13. Mapa Títulos-Receita'!$A$8:$P$1000,12,FALSE),"")</f>
        <v/>
      </c>
      <c r="AB262" s="92">
        <f>IFERROR(VLOOKUP($A262,'13. Mapa Títulos-Receita'!$A$8:$P$1000,13,FALSE),"")</f>
        <v/>
      </c>
      <c r="AC262" s="92">
        <f>IFERROR(VLOOKUP($A262,'13. Mapa Títulos-Receita'!$A$8:$P$1000,14,FALSE),"")</f>
        <v/>
      </c>
      <c r="AD262" s="92">
        <f>IFERROR(VLOOKUP($A262,'13. Mapa Títulos-Receita'!$A$8:$P$1000,15,FALSE),"")</f>
        <v/>
      </c>
      <c r="AE262" s="92">
        <f>IFERROR(VLOOKUP($A262,'13. Mapa Títulos-Receita'!$A$8:$P$1000,16,FALSE),"")</f>
        <v/>
      </c>
    </row>
    <row r="263">
      <c r="A263" s="28">
        <f>IF(C263="","", "CR-"&amp;TEXT(ROW()-7,"000"))</f>
        <v/>
      </c>
      <c r="B263" s="28" t="n"/>
      <c r="C263" s="28" t="n"/>
      <c r="D263" s="111" t="n"/>
      <c r="E263" s="111" t="n"/>
      <c r="F263" s="111" t="n"/>
      <c r="G263" s="28" t="n"/>
      <c r="H263" s="45" t="n"/>
      <c r="I263" s="45" t="n"/>
      <c r="J263" s="28">
        <f>IF(H263="","",IF(I263&gt;=H263,"Recebido",IF($B$4&gt;E263,"Vencido","Aberto")))</f>
        <v/>
      </c>
      <c r="K263" s="4">
        <f>IF(J263="","",IF(OR(J263="Recebido",F263=""),MAX(0,F263-E263),MAX(0,$B$4-E263)))</f>
        <v/>
      </c>
      <c r="L263" s="4">
        <f>IF(K263="","",IF(K263=0,"Em dia",IF(K263&lt;=30,"1-30 dias",IF(K263&lt;=60,"31-60 dias",IF(K263&lt;=90,"61-90 dias","&gt;90 dias")))))</f>
        <v/>
      </c>
      <c r="M263" s="28" t="n"/>
      <c r="N263" s="104" t="inlineStr"/>
      <c r="O263" s="64" t="n"/>
      <c r="P263" s="64">
        <f>IF(C263="","",IF(ISNUMBER(SEARCH("PCMSO",C263)),"PCMSO",IF(OR(ISNUMBER(SEARCH("E-SOCIAL",C263)),ISNUMBER(SEARCH("PSICOSOCIAL",C263))),"eSocial / Psicossocial",IF(O263="Receita recorrente","Carteira recorrente","Projetos / Laudos / Avulsos"))))</f>
        <v/>
      </c>
      <c r="Q263" s="64">
        <f>IF(P263="","",IF(P263="Carteira recorrente","Operação recorrente",IF(P263="PCMSO","Projetos PCMSO",IF(P263="eSocial / Psicossocial","Projetos eSocial/Psicossocial","Projetos / Laudos / Avulsos"))))</f>
        <v/>
      </c>
      <c r="R263" s="64">
        <f>IF(C263="","",IF(ISNUMBER(SEARCH("PCMSO",C263)),"Título com PCMSO no nome",IF(OR(ISNUMBER(SEARCH("E-SOCIAL",C263)),ISNUMBER(SEARCH("PSICOSOCIAL",C263))),"Título com eSocial/Psicossocial no nome",IF(O263="Receita recorrente","Tipo DRE recorrente","Extra sem palavra-chave específica"))))</f>
        <v/>
      </c>
      <c r="S263" s="92">
        <f>IFERROR(VLOOKUP($A263,'13. Mapa Títulos-Receita'!$A$8:$P$1000,4,FALSE),"")</f>
        <v/>
      </c>
      <c r="T263" s="92">
        <f>IFERROR(VLOOKUP($A263,'13. Mapa Títulos-Receita'!$A$8:$P$1000,5,FALSE),"")</f>
        <v/>
      </c>
      <c r="U263" s="92">
        <f>IFERROR(VLOOKUP($A263,'13. Mapa Títulos-Receita'!$A$8:$P$1000,6,FALSE),"")</f>
        <v/>
      </c>
      <c r="V263" s="92">
        <f>IFERROR(VLOOKUP($A263,'13. Mapa Títulos-Receita'!$A$8:$P$1000,7,FALSE),"")</f>
        <v/>
      </c>
      <c r="W263" s="92">
        <f>IFERROR(VLOOKUP($A263,'13. Mapa Títulos-Receita'!$A$8:$P$1000,8,FALSE),"")</f>
        <v/>
      </c>
      <c r="X263" s="92">
        <f>IFERROR(VLOOKUP($A263,'13. Mapa Títulos-Receita'!$A$8:$P$1000,9,FALSE),"")</f>
        <v/>
      </c>
      <c r="Y263" s="92">
        <f>IFERROR(VLOOKUP($A263,'13. Mapa Títulos-Receita'!$A$8:$P$1000,10,FALSE),"")</f>
        <v/>
      </c>
      <c r="Z263" s="92">
        <f>IFERROR(VLOOKUP($A263,'13. Mapa Títulos-Receita'!$A$8:$P$1000,11,FALSE),"")</f>
        <v/>
      </c>
      <c r="AA263" s="92">
        <f>IFERROR(VLOOKUP($A263,'13. Mapa Títulos-Receita'!$A$8:$P$1000,12,FALSE),"")</f>
        <v/>
      </c>
      <c r="AB263" s="92">
        <f>IFERROR(VLOOKUP($A263,'13. Mapa Títulos-Receita'!$A$8:$P$1000,13,FALSE),"")</f>
        <v/>
      </c>
      <c r="AC263" s="92">
        <f>IFERROR(VLOOKUP($A263,'13. Mapa Títulos-Receita'!$A$8:$P$1000,14,FALSE),"")</f>
        <v/>
      </c>
      <c r="AD263" s="92">
        <f>IFERROR(VLOOKUP($A263,'13. Mapa Títulos-Receita'!$A$8:$P$1000,15,FALSE),"")</f>
        <v/>
      </c>
      <c r="AE263" s="92">
        <f>IFERROR(VLOOKUP($A263,'13. Mapa Títulos-Receita'!$A$8:$P$1000,16,FALSE),"")</f>
        <v/>
      </c>
    </row>
    <row r="264">
      <c r="A264" s="28">
        <f>IF(C264="","", "CR-"&amp;TEXT(ROW()-7,"000"))</f>
        <v/>
      </c>
      <c r="B264" s="28" t="n"/>
      <c r="C264" s="28" t="n"/>
      <c r="D264" s="111" t="n"/>
      <c r="E264" s="111" t="n"/>
      <c r="F264" s="111" t="n"/>
      <c r="G264" s="28" t="n"/>
      <c r="H264" s="45" t="n"/>
      <c r="I264" s="45" t="n"/>
      <c r="J264" s="28">
        <f>IF(H264="","",IF(I264&gt;=H264,"Recebido",IF($B$4&gt;E264,"Vencido","Aberto")))</f>
        <v/>
      </c>
      <c r="K264" s="4">
        <f>IF(J264="","",IF(OR(J264="Recebido",F264=""),MAX(0,F264-E264),MAX(0,$B$4-E264)))</f>
        <v/>
      </c>
      <c r="L264" s="4">
        <f>IF(K264="","",IF(K264=0,"Em dia",IF(K264&lt;=30,"1-30 dias",IF(K264&lt;=60,"31-60 dias",IF(K264&lt;=90,"61-90 dias","&gt;90 dias")))))</f>
        <v/>
      </c>
      <c r="M264" s="28" t="n"/>
      <c r="N264" s="104" t="inlineStr"/>
      <c r="O264" s="64" t="n"/>
      <c r="P264" s="64">
        <f>IF(C264="","",IF(ISNUMBER(SEARCH("PCMSO",C264)),"PCMSO",IF(OR(ISNUMBER(SEARCH("E-SOCIAL",C264)),ISNUMBER(SEARCH("PSICOSOCIAL",C264))),"eSocial / Psicossocial",IF(O264="Receita recorrente","Carteira recorrente","Projetos / Laudos / Avulsos"))))</f>
        <v/>
      </c>
      <c r="Q264" s="64">
        <f>IF(P264="","",IF(P264="Carteira recorrente","Operação recorrente",IF(P264="PCMSO","Projetos PCMSO",IF(P264="eSocial / Psicossocial","Projetos eSocial/Psicossocial","Projetos / Laudos / Avulsos"))))</f>
        <v/>
      </c>
      <c r="R264" s="64">
        <f>IF(C264="","",IF(ISNUMBER(SEARCH("PCMSO",C264)),"Título com PCMSO no nome",IF(OR(ISNUMBER(SEARCH("E-SOCIAL",C264)),ISNUMBER(SEARCH("PSICOSOCIAL",C264))),"Título com eSocial/Psicossocial no nome",IF(O264="Receita recorrente","Tipo DRE recorrente","Extra sem palavra-chave específica"))))</f>
        <v/>
      </c>
      <c r="S264" s="92">
        <f>IFERROR(VLOOKUP($A264,'13. Mapa Títulos-Receita'!$A$8:$P$1000,4,FALSE),"")</f>
        <v/>
      </c>
      <c r="T264" s="92">
        <f>IFERROR(VLOOKUP($A264,'13. Mapa Títulos-Receita'!$A$8:$P$1000,5,FALSE),"")</f>
        <v/>
      </c>
      <c r="U264" s="92">
        <f>IFERROR(VLOOKUP($A264,'13. Mapa Títulos-Receita'!$A$8:$P$1000,6,FALSE),"")</f>
        <v/>
      </c>
      <c r="V264" s="92">
        <f>IFERROR(VLOOKUP($A264,'13. Mapa Títulos-Receita'!$A$8:$P$1000,7,FALSE),"")</f>
        <v/>
      </c>
      <c r="W264" s="92">
        <f>IFERROR(VLOOKUP($A264,'13. Mapa Títulos-Receita'!$A$8:$P$1000,8,FALSE),"")</f>
        <v/>
      </c>
      <c r="X264" s="92">
        <f>IFERROR(VLOOKUP($A264,'13. Mapa Títulos-Receita'!$A$8:$P$1000,9,FALSE),"")</f>
        <v/>
      </c>
      <c r="Y264" s="92">
        <f>IFERROR(VLOOKUP($A264,'13. Mapa Títulos-Receita'!$A$8:$P$1000,10,FALSE),"")</f>
        <v/>
      </c>
      <c r="Z264" s="92">
        <f>IFERROR(VLOOKUP($A264,'13. Mapa Títulos-Receita'!$A$8:$P$1000,11,FALSE),"")</f>
        <v/>
      </c>
      <c r="AA264" s="92">
        <f>IFERROR(VLOOKUP($A264,'13. Mapa Títulos-Receita'!$A$8:$P$1000,12,FALSE),"")</f>
        <v/>
      </c>
      <c r="AB264" s="92">
        <f>IFERROR(VLOOKUP($A264,'13. Mapa Títulos-Receita'!$A$8:$P$1000,13,FALSE),"")</f>
        <v/>
      </c>
      <c r="AC264" s="92">
        <f>IFERROR(VLOOKUP($A264,'13. Mapa Títulos-Receita'!$A$8:$P$1000,14,FALSE),"")</f>
        <v/>
      </c>
      <c r="AD264" s="92">
        <f>IFERROR(VLOOKUP($A264,'13. Mapa Títulos-Receita'!$A$8:$P$1000,15,FALSE),"")</f>
        <v/>
      </c>
      <c r="AE264" s="92">
        <f>IFERROR(VLOOKUP($A264,'13. Mapa Títulos-Receita'!$A$8:$P$1000,16,FALSE),"")</f>
        <v/>
      </c>
    </row>
    <row r="265">
      <c r="A265" s="28">
        <f>IF(C265="","", "CR-"&amp;TEXT(ROW()-7,"000"))</f>
        <v/>
      </c>
      <c r="B265" s="28" t="n"/>
      <c r="C265" s="28" t="n"/>
      <c r="D265" s="111" t="n"/>
      <c r="E265" s="111" t="n"/>
      <c r="F265" s="111" t="n"/>
      <c r="G265" s="28" t="n"/>
      <c r="H265" s="45" t="n"/>
      <c r="I265" s="45" t="n"/>
      <c r="J265" s="28">
        <f>IF(H265="","",IF(I265&gt;=H265,"Recebido",IF($B$4&gt;E265,"Vencido","Aberto")))</f>
        <v/>
      </c>
      <c r="K265" s="4">
        <f>IF(J265="","",IF(OR(J265="Recebido",F265=""),MAX(0,F265-E265),MAX(0,$B$4-E265)))</f>
        <v/>
      </c>
      <c r="L265" s="4">
        <f>IF(K265="","",IF(K265=0,"Em dia",IF(K265&lt;=30,"1-30 dias",IF(K265&lt;=60,"31-60 dias",IF(K265&lt;=90,"61-90 dias","&gt;90 dias")))))</f>
        <v/>
      </c>
      <c r="M265" s="28" t="n"/>
      <c r="N265" s="104" t="inlineStr"/>
      <c r="O265" s="64" t="n"/>
      <c r="P265" s="64">
        <f>IF(C265="","",IF(ISNUMBER(SEARCH("PCMSO",C265)),"PCMSO",IF(OR(ISNUMBER(SEARCH("E-SOCIAL",C265)),ISNUMBER(SEARCH("PSICOSOCIAL",C265))),"eSocial / Psicossocial",IF(O265="Receita recorrente","Carteira recorrente","Projetos / Laudos / Avulsos"))))</f>
        <v/>
      </c>
      <c r="Q265" s="64">
        <f>IF(P265="","",IF(P265="Carteira recorrente","Operação recorrente",IF(P265="PCMSO","Projetos PCMSO",IF(P265="eSocial / Psicossocial","Projetos eSocial/Psicossocial","Projetos / Laudos / Avulsos"))))</f>
        <v/>
      </c>
      <c r="R265" s="64">
        <f>IF(C265="","",IF(ISNUMBER(SEARCH("PCMSO",C265)),"Título com PCMSO no nome",IF(OR(ISNUMBER(SEARCH("E-SOCIAL",C265)),ISNUMBER(SEARCH("PSICOSOCIAL",C265))),"Título com eSocial/Psicossocial no nome",IF(O265="Receita recorrente","Tipo DRE recorrente","Extra sem palavra-chave específica"))))</f>
        <v/>
      </c>
      <c r="S265" s="92">
        <f>IFERROR(VLOOKUP($A265,'13. Mapa Títulos-Receita'!$A$8:$P$1000,4,FALSE),"")</f>
        <v/>
      </c>
      <c r="T265" s="92">
        <f>IFERROR(VLOOKUP($A265,'13. Mapa Títulos-Receita'!$A$8:$P$1000,5,FALSE),"")</f>
        <v/>
      </c>
      <c r="U265" s="92">
        <f>IFERROR(VLOOKUP($A265,'13. Mapa Títulos-Receita'!$A$8:$P$1000,6,FALSE),"")</f>
        <v/>
      </c>
      <c r="V265" s="92">
        <f>IFERROR(VLOOKUP($A265,'13. Mapa Títulos-Receita'!$A$8:$P$1000,7,FALSE),"")</f>
        <v/>
      </c>
      <c r="W265" s="92">
        <f>IFERROR(VLOOKUP($A265,'13. Mapa Títulos-Receita'!$A$8:$P$1000,8,FALSE),"")</f>
        <v/>
      </c>
      <c r="X265" s="92">
        <f>IFERROR(VLOOKUP($A265,'13. Mapa Títulos-Receita'!$A$8:$P$1000,9,FALSE),"")</f>
        <v/>
      </c>
      <c r="Y265" s="92">
        <f>IFERROR(VLOOKUP($A265,'13. Mapa Títulos-Receita'!$A$8:$P$1000,10,FALSE),"")</f>
        <v/>
      </c>
      <c r="Z265" s="92">
        <f>IFERROR(VLOOKUP($A265,'13. Mapa Títulos-Receita'!$A$8:$P$1000,11,FALSE),"")</f>
        <v/>
      </c>
      <c r="AA265" s="92">
        <f>IFERROR(VLOOKUP($A265,'13. Mapa Títulos-Receita'!$A$8:$P$1000,12,FALSE),"")</f>
        <v/>
      </c>
      <c r="AB265" s="92">
        <f>IFERROR(VLOOKUP($A265,'13. Mapa Títulos-Receita'!$A$8:$P$1000,13,FALSE),"")</f>
        <v/>
      </c>
      <c r="AC265" s="92">
        <f>IFERROR(VLOOKUP($A265,'13. Mapa Títulos-Receita'!$A$8:$P$1000,14,FALSE),"")</f>
        <v/>
      </c>
      <c r="AD265" s="92">
        <f>IFERROR(VLOOKUP($A265,'13. Mapa Títulos-Receita'!$A$8:$P$1000,15,FALSE),"")</f>
        <v/>
      </c>
      <c r="AE265" s="92">
        <f>IFERROR(VLOOKUP($A265,'13. Mapa Títulos-Receita'!$A$8:$P$1000,16,FALSE),"")</f>
        <v/>
      </c>
    </row>
    <row r="266">
      <c r="A266" s="28">
        <f>IF(C266="","", "CR-"&amp;TEXT(ROW()-7,"000"))</f>
        <v/>
      </c>
      <c r="B266" s="28" t="n"/>
      <c r="C266" s="28" t="n"/>
      <c r="D266" s="111" t="n"/>
      <c r="E266" s="111" t="n"/>
      <c r="F266" s="111" t="n"/>
      <c r="G266" s="28" t="n"/>
      <c r="H266" s="45" t="n"/>
      <c r="I266" s="45" t="n"/>
      <c r="J266" s="28">
        <f>IF(H266="","",IF(I266&gt;=H266,"Recebido",IF($B$4&gt;E266,"Vencido","Aberto")))</f>
        <v/>
      </c>
      <c r="K266" s="4">
        <f>IF(J266="","",IF(OR(J266="Recebido",F266=""),MAX(0,F266-E266),MAX(0,$B$4-E266)))</f>
        <v/>
      </c>
      <c r="L266" s="4">
        <f>IF(K266="","",IF(K266=0,"Em dia",IF(K266&lt;=30,"1-30 dias",IF(K266&lt;=60,"31-60 dias",IF(K266&lt;=90,"61-90 dias","&gt;90 dias")))))</f>
        <v/>
      </c>
      <c r="M266" s="28" t="n"/>
      <c r="N266" s="104" t="inlineStr"/>
      <c r="O266" s="64" t="n"/>
      <c r="P266" s="64">
        <f>IF(C266="","",IF(ISNUMBER(SEARCH("PCMSO",C266)),"PCMSO",IF(OR(ISNUMBER(SEARCH("E-SOCIAL",C266)),ISNUMBER(SEARCH("PSICOSOCIAL",C266))),"eSocial / Psicossocial",IF(O266="Receita recorrente","Carteira recorrente","Projetos / Laudos / Avulsos"))))</f>
        <v/>
      </c>
      <c r="Q266" s="64">
        <f>IF(P266="","",IF(P266="Carteira recorrente","Operação recorrente",IF(P266="PCMSO","Projetos PCMSO",IF(P266="eSocial / Psicossocial","Projetos eSocial/Psicossocial","Projetos / Laudos / Avulsos"))))</f>
        <v/>
      </c>
      <c r="R266" s="64">
        <f>IF(C266="","",IF(ISNUMBER(SEARCH("PCMSO",C266)),"Título com PCMSO no nome",IF(OR(ISNUMBER(SEARCH("E-SOCIAL",C266)),ISNUMBER(SEARCH("PSICOSOCIAL",C266))),"Título com eSocial/Psicossocial no nome",IF(O266="Receita recorrente","Tipo DRE recorrente","Extra sem palavra-chave específica"))))</f>
        <v/>
      </c>
      <c r="S266" s="92">
        <f>IFERROR(VLOOKUP($A266,'13. Mapa Títulos-Receita'!$A$8:$P$1000,4,FALSE),"")</f>
        <v/>
      </c>
      <c r="T266" s="92">
        <f>IFERROR(VLOOKUP($A266,'13. Mapa Títulos-Receita'!$A$8:$P$1000,5,FALSE),"")</f>
        <v/>
      </c>
      <c r="U266" s="92">
        <f>IFERROR(VLOOKUP($A266,'13. Mapa Títulos-Receita'!$A$8:$P$1000,6,FALSE),"")</f>
        <v/>
      </c>
      <c r="V266" s="92">
        <f>IFERROR(VLOOKUP($A266,'13. Mapa Títulos-Receita'!$A$8:$P$1000,7,FALSE),"")</f>
        <v/>
      </c>
      <c r="W266" s="92">
        <f>IFERROR(VLOOKUP($A266,'13. Mapa Títulos-Receita'!$A$8:$P$1000,8,FALSE),"")</f>
        <v/>
      </c>
      <c r="X266" s="92">
        <f>IFERROR(VLOOKUP($A266,'13. Mapa Títulos-Receita'!$A$8:$P$1000,9,FALSE),"")</f>
        <v/>
      </c>
      <c r="Y266" s="92">
        <f>IFERROR(VLOOKUP($A266,'13. Mapa Títulos-Receita'!$A$8:$P$1000,10,FALSE),"")</f>
        <v/>
      </c>
      <c r="Z266" s="92">
        <f>IFERROR(VLOOKUP($A266,'13. Mapa Títulos-Receita'!$A$8:$P$1000,11,FALSE),"")</f>
        <v/>
      </c>
      <c r="AA266" s="92">
        <f>IFERROR(VLOOKUP($A266,'13. Mapa Títulos-Receita'!$A$8:$P$1000,12,FALSE),"")</f>
        <v/>
      </c>
      <c r="AB266" s="92">
        <f>IFERROR(VLOOKUP($A266,'13. Mapa Títulos-Receita'!$A$8:$P$1000,13,FALSE),"")</f>
        <v/>
      </c>
      <c r="AC266" s="92">
        <f>IFERROR(VLOOKUP($A266,'13. Mapa Títulos-Receita'!$A$8:$P$1000,14,FALSE),"")</f>
        <v/>
      </c>
      <c r="AD266" s="92">
        <f>IFERROR(VLOOKUP($A266,'13. Mapa Títulos-Receita'!$A$8:$P$1000,15,FALSE),"")</f>
        <v/>
      </c>
      <c r="AE266" s="92">
        <f>IFERROR(VLOOKUP($A266,'13. Mapa Títulos-Receita'!$A$8:$P$1000,16,FALSE),"")</f>
        <v/>
      </c>
    </row>
    <row r="267">
      <c r="A267" s="28">
        <f>IF(C267="","", "CR-"&amp;TEXT(ROW()-7,"000"))</f>
        <v/>
      </c>
      <c r="B267" s="28" t="n"/>
      <c r="C267" s="28" t="n"/>
      <c r="D267" s="111" t="n"/>
      <c r="E267" s="111" t="n"/>
      <c r="F267" s="111" t="n"/>
      <c r="G267" s="28" t="n"/>
      <c r="H267" s="45" t="n"/>
      <c r="I267" s="45" t="n"/>
      <c r="J267" s="28">
        <f>IF(H267="","",IF(I267&gt;=H267,"Recebido",IF($B$4&gt;E267,"Vencido","Aberto")))</f>
        <v/>
      </c>
      <c r="K267" s="4">
        <f>IF(J267="","",IF(OR(J267="Recebido",F267=""),MAX(0,F267-E267),MAX(0,$B$4-E267)))</f>
        <v/>
      </c>
      <c r="L267" s="4">
        <f>IF(K267="","",IF(K267=0,"Em dia",IF(K267&lt;=30,"1-30 dias",IF(K267&lt;=60,"31-60 dias",IF(K267&lt;=90,"61-90 dias","&gt;90 dias")))))</f>
        <v/>
      </c>
      <c r="M267" s="28" t="n"/>
      <c r="N267" s="104" t="inlineStr"/>
      <c r="O267" s="64" t="n"/>
      <c r="P267" s="64">
        <f>IF(C267="","",IF(ISNUMBER(SEARCH("PCMSO",C267)),"PCMSO",IF(OR(ISNUMBER(SEARCH("E-SOCIAL",C267)),ISNUMBER(SEARCH("PSICOSOCIAL",C267))),"eSocial / Psicossocial",IF(O267="Receita recorrente","Carteira recorrente","Projetos / Laudos / Avulsos"))))</f>
        <v/>
      </c>
      <c r="Q267" s="64">
        <f>IF(P267="","",IF(P267="Carteira recorrente","Operação recorrente",IF(P267="PCMSO","Projetos PCMSO",IF(P267="eSocial / Psicossocial","Projetos eSocial/Psicossocial","Projetos / Laudos / Avulsos"))))</f>
        <v/>
      </c>
      <c r="R267" s="64">
        <f>IF(C267="","",IF(ISNUMBER(SEARCH("PCMSO",C267)),"Título com PCMSO no nome",IF(OR(ISNUMBER(SEARCH("E-SOCIAL",C267)),ISNUMBER(SEARCH("PSICOSOCIAL",C267))),"Título com eSocial/Psicossocial no nome",IF(O267="Receita recorrente","Tipo DRE recorrente","Extra sem palavra-chave específica"))))</f>
        <v/>
      </c>
      <c r="S267" s="92">
        <f>IFERROR(VLOOKUP($A267,'13. Mapa Títulos-Receita'!$A$8:$P$1000,4,FALSE),"")</f>
        <v/>
      </c>
      <c r="T267" s="92">
        <f>IFERROR(VLOOKUP($A267,'13. Mapa Títulos-Receita'!$A$8:$P$1000,5,FALSE),"")</f>
        <v/>
      </c>
      <c r="U267" s="92">
        <f>IFERROR(VLOOKUP($A267,'13. Mapa Títulos-Receita'!$A$8:$P$1000,6,FALSE),"")</f>
        <v/>
      </c>
      <c r="V267" s="92">
        <f>IFERROR(VLOOKUP($A267,'13. Mapa Títulos-Receita'!$A$8:$P$1000,7,FALSE),"")</f>
        <v/>
      </c>
      <c r="W267" s="92">
        <f>IFERROR(VLOOKUP($A267,'13. Mapa Títulos-Receita'!$A$8:$P$1000,8,FALSE),"")</f>
        <v/>
      </c>
      <c r="X267" s="92">
        <f>IFERROR(VLOOKUP($A267,'13. Mapa Títulos-Receita'!$A$8:$P$1000,9,FALSE),"")</f>
        <v/>
      </c>
      <c r="Y267" s="92">
        <f>IFERROR(VLOOKUP($A267,'13. Mapa Títulos-Receita'!$A$8:$P$1000,10,FALSE),"")</f>
        <v/>
      </c>
      <c r="Z267" s="92">
        <f>IFERROR(VLOOKUP($A267,'13. Mapa Títulos-Receita'!$A$8:$P$1000,11,FALSE),"")</f>
        <v/>
      </c>
      <c r="AA267" s="92">
        <f>IFERROR(VLOOKUP($A267,'13. Mapa Títulos-Receita'!$A$8:$P$1000,12,FALSE),"")</f>
        <v/>
      </c>
      <c r="AB267" s="92">
        <f>IFERROR(VLOOKUP($A267,'13. Mapa Títulos-Receita'!$A$8:$P$1000,13,FALSE),"")</f>
        <v/>
      </c>
      <c r="AC267" s="92">
        <f>IFERROR(VLOOKUP($A267,'13. Mapa Títulos-Receita'!$A$8:$P$1000,14,FALSE),"")</f>
        <v/>
      </c>
      <c r="AD267" s="92">
        <f>IFERROR(VLOOKUP($A267,'13. Mapa Títulos-Receita'!$A$8:$P$1000,15,FALSE),"")</f>
        <v/>
      </c>
      <c r="AE267" s="92">
        <f>IFERROR(VLOOKUP($A267,'13. Mapa Títulos-Receita'!$A$8:$P$1000,16,FALSE),"")</f>
        <v/>
      </c>
    </row>
    <row r="268">
      <c r="A268" s="28">
        <f>IF(C268="","", "CR-"&amp;TEXT(ROW()-7,"000"))</f>
        <v/>
      </c>
      <c r="B268" s="28" t="n"/>
      <c r="C268" s="28" t="n"/>
      <c r="D268" s="111" t="n"/>
      <c r="E268" s="111" t="n"/>
      <c r="F268" s="111" t="n"/>
      <c r="G268" s="28" t="n"/>
      <c r="H268" s="45" t="n"/>
      <c r="I268" s="45" t="n"/>
      <c r="J268" s="28">
        <f>IF(H268="","",IF(I268&gt;=H268,"Recebido",IF($B$4&gt;E268,"Vencido","Aberto")))</f>
        <v/>
      </c>
      <c r="K268" s="4">
        <f>IF(J268="","",IF(OR(J268="Recebido",F268=""),MAX(0,F268-E268),MAX(0,$B$4-E268)))</f>
        <v/>
      </c>
      <c r="L268" s="4">
        <f>IF(K268="","",IF(K268=0,"Em dia",IF(K268&lt;=30,"1-30 dias",IF(K268&lt;=60,"31-60 dias",IF(K268&lt;=90,"61-90 dias","&gt;90 dias")))))</f>
        <v/>
      </c>
      <c r="M268" s="28" t="n"/>
      <c r="N268" s="104" t="inlineStr"/>
      <c r="O268" s="64" t="n"/>
      <c r="P268" s="64">
        <f>IF(C268="","",IF(ISNUMBER(SEARCH("PCMSO",C268)),"PCMSO",IF(OR(ISNUMBER(SEARCH("E-SOCIAL",C268)),ISNUMBER(SEARCH("PSICOSOCIAL",C268))),"eSocial / Psicossocial",IF(O268="Receita recorrente","Carteira recorrente","Projetos / Laudos / Avulsos"))))</f>
        <v/>
      </c>
      <c r="Q268" s="64">
        <f>IF(P268="","",IF(P268="Carteira recorrente","Operação recorrente",IF(P268="PCMSO","Projetos PCMSO",IF(P268="eSocial / Psicossocial","Projetos eSocial/Psicossocial","Projetos / Laudos / Avulsos"))))</f>
        <v/>
      </c>
      <c r="R268" s="64">
        <f>IF(C268="","",IF(ISNUMBER(SEARCH("PCMSO",C268)),"Título com PCMSO no nome",IF(OR(ISNUMBER(SEARCH("E-SOCIAL",C268)),ISNUMBER(SEARCH("PSICOSOCIAL",C268))),"Título com eSocial/Psicossocial no nome",IF(O268="Receita recorrente","Tipo DRE recorrente","Extra sem palavra-chave específica"))))</f>
        <v/>
      </c>
      <c r="S268" s="92">
        <f>IFERROR(VLOOKUP($A268,'13. Mapa Títulos-Receita'!$A$8:$P$1000,4,FALSE),"")</f>
        <v/>
      </c>
      <c r="T268" s="92">
        <f>IFERROR(VLOOKUP($A268,'13. Mapa Títulos-Receita'!$A$8:$P$1000,5,FALSE),"")</f>
        <v/>
      </c>
      <c r="U268" s="92">
        <f>IFERROR(VLOOKUP($A268,'13. Mapa Títulos-Receita'!$A$8:$P$1000,6,FALSE),"")</f>
        <v/>
      </c>
      <c r="V268" s="92">
        <f>IFERROR(VLOOKUP($A268,'13. Mapa Títulos-Receita'!$A$8:$P$1000,7,FALSE),"")</f>
        <v/>
      </c>
      <c r="W268" s="92">
        <f>IFERROR(VLOOKUP($A268,'13. Mapa Títulos-Receita'!$A$8:$P$1000,8,FALSE),"")</f>
        <v/>
      </c>
      <c r="X268" s="92">
        <f>IFERROR(VLOOKUP($A268,'13. Mapa Títulos-Receita'!$A$8:$P$1000,9,FALSE),"")</f>
        <v/>
      </c>
      <c r="Y268" s="92">
        <f>IFERROR(VLOOKUP($A268,'13. Mapa Títulos-Receita'!$A$8:$P$1000,10,FALSE),"")</f>
        <v/>
      </c>
      <c r="Z268" s="92">
        <f>IFERROR(VLOOKUP($A268,'13. Mapa Títulos-Receita'!$A$8:$P$1000,11,FALSE),"")</f>
        <v/>
      </c>
      <c r="AA268" s="92">
        <f>IFERROR(VLOOKUP($A268,'13. Mapa Títulos-Receita'!$A$8:$P$1000,12,FALSE),"")</f>
        <v/>
      </c>
      <c r="AB268" s="92">
        <f>IFERROR(VLOOKUP($A268,'13. Mapa Títulos-Receita'!$A$8:$P$1000,13,FALSE),"")</f>
        <v/>
      </c>
      <c r="AC268" s="92">
        <f>IFERROR(VLOOKUP($A268,'13. Mapa Títulos-Receita'!$A$8:$P$1000,14,FALSE),"")</f>
        <v/>
      </c>
      <c r="AD268" s="92">
        <f>IFERROR(VLOOKUP($A268,'13. Mapa Títulos-Receita'!$A$8:$P$1000,15,FALSE),"")</f>
        <v/>
      </c>
      <c r="AE268" s="92">
        <f>IFERROR(VLOOKUP($A268,'13. Mapa Títulos-Receita'!$A$8:$P$1000,16,FALSE),"")</f>
        <v/>
      </c>
    </row>
    <row r="269">
      <c r="A269" s="28">
        <f>IF(C269="","", "CR-"&amp;TEXT(ROW()-7,"000"))</f>
        <v/>
      </c>
      <c r="B269" s="28" t="n"/>
      <c r="C269" s="28" t="n"/>
      <c r="D269" s="111" t="n"/>
      <c r="E269" s="111" t="n"/>
      <c r="F269" s="111" t="n"/>
      <c r="G269" s="28" t="n"/>
      <c r="H269" s="45" t="n"/>
      <c r="I269" s="45" t="n"/>
      <c r="J269" s="28">
        <f>IF(H269="","",IF(I269&gt;=H269,"Recebido",IF($B$4&gt;E269,"Vencido","Aberto")))</f>
        <v/>
      </c>
      <c r="K269" s="4">
        <f>IF(J269="","",IF(OR(J269="Recebido",F269=""),MAX(0,F269-E269),MAX(0,$B$4-E269)))</f>
        <v/>
      </c>
      <c r="L269" s="4">
        <f>IF(K269="","",IF(K269=0,"Em dia",IF(K269&lt;=30,"1-30 dias",IF(K269&lt;=60,"31-60 dias",IF(K269&lt;=90,"61-90 dias","&gt;90 dias")))))</f>
        <v/>
      </c>
      <c r="M269" s="28" t="n"/>
      <c r="N269" s="104" t="inlineStr"/>
      <c r="O269" s="64" t="n"/>
      <c r="P269" s="64">
        <f>IF(C269="","",IF(ISNUMBER(SEARCH("PCMSO",C269)),"PCMSO",IF(OR(ISNUMBER(SEARCH("E-SOCIAL",C269)),ISNUMBER(SEARCH("PSICOSOCIAL",C269))),"eSocial / Psicossocial",IF(O269="Receita recorrente","Carteira recorrente","Projetos / Laudos / Avulsos"))))</f>
        <v/>
      </c>
      <c r="Q269" s="64">
        <f>IF(P269="","",IF(P269="Carteira recorrente","Operação recorrente",IF(P269="PCMSO","Projetos PCMSO",IF(P269="eSocial / Psicossocial","Projetos eSocial/Psicossocial","Projetos / Laudos / Avulsos"))))</f>
        <v/>
      </c>
      <c r="R269" s="64">
        <f>IF(C269="","",IF(ISNUMBER(SEARCH("PCMSO",C269)),"Título com PCMSO no nome",IF(OR(ISNUMBER(SEARCH("E-SOCIAL",C269)),ISNUMBER(SEARCH("PSICOSOCIAL",C269))),"Título com eSocial/Psicossocial no nome",IF(O269="Receita recorrente","Tipo DRE recorrente","Extra sem palavra-chave específica"))))</f>
        <v/>
      </c>
      <c r="S269" s="92">
        <f>IFERROR(VLOOKUP($A269,'13. Mapa Títulos-Receita'!$A$8:$P$1000,4,FALSE),"")</f>
        <v/>
      </c>
      <c r="T269" s="92">
        <f>IFERROR(VLOOKUP($A269,'13. Mapa Títulos-Receita'!$A$8:$P$1000,5,FALSE),"")</f>
        <v/>
      </c>
      <c r="U269" s="92">
        <f>IFERROR(VLOOKUP($A269,'13. Mapa Títulos-Receita'!$A$8:$P$1000,6,FALSE),"")</f>
        <v/>
      </c>
      <c r="V269" s="92">
        <f>IFERROR(VLOOKUP($A269,'13. Mapa Títulos-Receita'!$A$8:$P$1000,7,FALSE),"")</f>
        <v/>
      </c>
      <c r="W269" s="92">
        <f>IFERROR(VLOOKUP($A269,'13. Mapa Títulos-Receita'!$A$8:$P$1000,8,FALSE),"")</f>
        <v/>
      </c>
      <c r="X269" s="92">
        <f>IFERROR(VLOOKUP($A269,'13. Mapa Títulos-Receita'!$A$8:$P$1000,9,FALSE),"")</f>
        <v/>
      </c>
      <c r="Y269" s="92">
        <f>IFERROR(VLOOKUP($A269,'13. Mapa Títulos-Receita'!$A$8:$P$1000,10,FALSE),"")</f>
        <v/>
      </c>
      <c r="Z269" s="92">
        <f>IFERROR(VLOOKUP($A269,'13. Mapa Títulos-Receita'!$A$8:$P$1000,11,FALSE),"")</f>
        <v/>
      </c>
      <c r="AA269" s="92">
        <f>IFERROR(VLOOKUP($A269,'13. Mapa Títulos-Receita'!$A$8:$P$1000,12,FALSE),"")</f>
        <v/>
      </c>
      <c r="AB269" s="92">
        <f>IFERROR(VLOOKUP($A269,'13. Mapa Títulos-Receita'!$A$8:$P$1000,13,FALSE),"")</f>
        <v/>
      </c>
      <c r="AC269" s="92">
        <f>IFERROR(VLOOKUP($A269,'13. Mapa Títulos-Receita'!$A$8:$P$1000,14,FALSE),"")</f>
        <v/>
      </c>
      <c r="AD269" s="92">
        <f>IFERROR(VLOOKUP($A269,'13. Mapa Títulos-Receita'!$A$8:$P$1000,15,FALSE),"")</f>
        <v/>
      </c>
      <c r="AE269" s="92">
        <f>IFERROR(VLOOKUP($A269,'13. Mapa Títulos-Receita'!$A$8:$P$1000,16,FALSE),"")</f>
        <v/>
      </c>
    </row>
    <row r="270">
      <c r="A270" s="28">
        <f>IF(C270="","", "CR-"&amp;TEXT(ROW()-7,"000"))</f>
        <v/>
      </c>
      <c r="B270" s="28" t="n"/>
      <c r="C270" s="28" t="n"/>
      <c r="D270" s="111" t="n"/>
      <c r="E270" s="111" t="n"/>
      <c r="F270" s="111" t="n"/>
      <c r="G270" s="28" t="n"/>
      <c r="H270" s="45" t="n"/>
      <c r="I270" s="45" t="n"/>
      <c r="J270" s="28">
        <f>IF(H270="","",IF(I270&gt;=H270,"Recebido",IF($B$4&gt;E270,"Vencido","Aberto")))</f>
        <v/>
      </c>
      <c r="K270" s="4">
        <f>IF(J270="","",IF(OR(J270="Recebido",F270=""),MAX(0,F270-E270),MAX(0,$B$4-E270)))</f>
        <v/>
      </c>
      <c r="L270" s="4">
        <f>IF(K270="","",IF(K270=0,"Em dia",IF(K270&lt;=30,"1-30 dias",IF(K270&lt;=60,"31-60 dias",IF(K270&lt;=90,"61-90 dias","&gt;90 dias")))))</f>
        <v/>
      </c>
      <c r="M270" s="28" t="n"/>
      <c r="N270" s="104" t="inlineStr"/>
      <c r="O270" s="64" t="n"/>
      <c r="P270" s="64">
        <f>IF(C270="","",IF(ISNUMBER(SEARCH("PCMSO",C270)),"PCMSO",IF(OR(ISNUMBER(SEARCH("E-SOCIAL",C270)),ISNUMBER(SEARCH("PSICOSOCIAL",C270))),"eSocial / Psicossocial",IF(O270="Receita recorrente","Carteira recorrente","Projetos / Laudos / Avulsos"))))</f>
        <v/>
      </c>
      <c r="Q270" s="64">
        <f>IF(P270="","",IF(P270="Carteira recorrente","Operação recorrente",IF(P270="PCMSO","Projetos PCMSO",IF(P270="eSocial / Psicossocial","Projetos eSocial/Psicossocial","Projetos / Laudos / Avulsos"))))</f>
        <v/>
      </c>
      <c r="R270" s="64">
        <f>IF(C270="","",IF(ISNUMBER(SEARCH("PCMSO",C270)),"Título com PCMSO no nome",IF(OR(ISNUMBER(SEARCH("E-SOCIAL",C270)),ISNUMBER(SEARCH("PSICOSOCIAL",C270))),"Título com eSocial/Psicossocial no nome",IF(O270="Receita recorrente","Tipo DRE recorrente","Extra sem palavra-chave específica"))))</f>
        <v/>
      </c>
      <c r="S270" s="92">
        <f>IFERROR(VLOOKUP($A270,'13. Mapa Títulos-Receita'!$A$8:$P$1000,4,FALSE),"")</f>
        <v/>
      </c>
      <c r="T270" s="92">
        <f>IFERROR(VLOOKUP($A270,'13. Mapa Títulos-Receita'!$A$8:$P$1000,5,FALSE),"")</f>
        <v/>
      </c>
      <c r="U270" s="92">
        <f>IFERROR(VLOOKUP($A270,'13. Mapa Títulos-Receita'!$A$8:$P$1000,6,FALSE),"")</f>
        <v/>
      </c>
      <c r="V270" s="92">
        <f>IFERROR(VLOOKUP($A270,'13. Mapa Títulos-Receita'!$A$8:$P$1000,7,FALSE),"")</f>
        <v/>
      </c>
      <c r="W270" s="92">
        <f>IFERROR(VLOOKUP($A270,'13. Mapa Títulos-Receita'!$A$8:$P$1000,8,FALSE),"")</f>
        <v/>
      </c>
      <c r="X270" s="92">
        <f>IFERROR(VLOOKUP($A270,'13. Mapa Títulos-Receita'!$A$8:$P$1000,9,FALSE),"")</f>
        <v/>
      </c>
      <c r="Y270" s="92">
        <f>IFERROR(VLOOKUP($A270,'13. Mapa Títulos-Receita'!$A$8:$P$1000,10,FALSE),"")</f>
        <v/>
      </c>
      <c r="Z270" s="92">
        <f>IFERROR(VLOOKUP($A270,'13. Mapa Títulos-Receita'!$A$8:$P$1000,11,FALSE),"")</f>
        <v/>
      </c>
      <c r="AA270" s="92">
        <f>IFERROR(VLOOKUP($A270,'13. Mapa Títulos-Receita'!$A$8:$P$1000,12,FALSE),"")</f>
        <v/>
      </c>
      <c r="AB270" s="92">
        <f>IFERROR(VLOOKUP($A270,'13. Mapa Títulos-Receita'!$A$8:$P$1000,13,FALSE),"")</f>
        <v/>
      </c>
      <c r="AC270" s="92">
        <f>IFERROR(VLOOKUP($A270,'13. Mapa Títulos-Receita'!$A$8:$P$1000,14,FALSE),"")</f>
        <v/>
      </c>
      <c r="AD270" s="92">
        <f>IFERROR(VLOOKUP($A270,'13. Mapa Títulos-Receita'!$A$8:$P$1000,15,FALSE),"")</f>
        <v/>
      </c>
      <c r="AE270" s="92">
        <f>IFERROR(VLOOKUP($A270,'13. Mapa Títulos-Receita'!$A$8:$P$1000,16,FALSE),"")</f>
        <v/>
      </c>
    </row>
    <row r="271">
      <c r="A271" s="28">
        <f>IF(C271="","", "CR-"&amp;TEXT(ROW()-7,"000"))</f>
        <v/>
      </c>
      <c r="B271" s="28" t="n"/>
      <c r="C271" s="28" t="n"/>
      <c r="D271" s="111" t="n"/>
      <c r="E271" s="111" t="n"/>
      <c r="F271" s="111" t="n"/>
      <c r="G271" s="28" t="n"/>
      <c r="H271" s="45" t="n"/>
      <c r="I271" s="45" t="n"/>
      <c r="J271" s="28">
        <f>IF(H271="","",IF(I271&gt;=H271,"Recebido",IF($B$4&gt;E271,"Vencido","Aberto")))</f>
        <v/>
      </c>
      <c r="K271" s="4">
        <f>IF(J271="","",IF(OR(J271="Recebido",F271=""),MAX(0,F271-E271),MAX(0,$B$4-E271)))</f>
        <v/>
      </c>
      <c r="L271" s="4">
        <f>IF(K271="","",IF(K271=0,"Em dia",IF(K271&lt;=30,"1-30 dias",IF(K271&lt;=60,"31-60 dias",IF(K271&lt;=90,"61-90 dias","&gt;90 dias")))))</f>
        <v/>
      </c>
      <c r="M271" s="28" t="n"/>
      <c r="N271" s="104" t="inlineStr"/>
      <c r="O271" s="64" t="n"/>
      <c r="P271" s="64">
        <f>IF(C271="","",IF(ISNUMBER(SEARCH("PCMSO",C271)),"PCMSO",IF(OR(ISNUMBER(SEARCH("E-SOCIAL",C271)),ISNUMBER(SEARCH("PSICOSOCIAL",C271))),"eSocial / Psicossocial",IF(O271="Receita recorrente","Carteira recorrente","Projetos / Laudos / Avulsos"))))</f>
        <v/>
      </c>
      <c r="Q271" s="64">
        <f>IF(P271="","",IF(P271="Carteira recorrente","Operação recorrente",IF(P271="PCMSO","Projetos PCMSO",IF(P271="eSocial / Psicossocial","Projetos eSocial/Psicossocial","Projetos / Laudos / Avulsos"))))</f>
        <v/>
      </c>
      <c r="R271" s="64">
        <f>IF(C271="","",IF(ISNUMBER(SEARCH("PCMSO",C271)),"Título com PCMSO no nome",IF(OR(ISNUMBER(SEARCH("E-SOCIAL",C271)),ISNUMBER(SEARCH("PSICOSOCIAL",C271))),"Título com eSocial/Psicossocial no nome",IF(O271="Receita recorrente","Tipo DRE recorrente","Extra sem palavra-chave específica"))))</f>
        <v/>
      </c>
      <c r="S271" s="92">
        <f>IFERROR(VLOOKUP($A271,'13. Mapa Títulos-Receita'!$A$8:$P$1000,4,FALSE),"")</f>
        <v/>
      </c>
      <c r="T271" s="92">
        <f>IFERROR(VLOOKUP($A271,'13. Mapa Títulos-Receita'!$A$8:$P$1000,5,FALSE),"")</f>
        <v/>
      </c>
      <c r="U271" s="92">
        <f>IFERROR(VLOOKUP($A271,'13. Mapa Títulos-Receita'!$A$8:$P$1000,6,FALSE),"")</f>
        <v/>
      </c>
      <c r="V271" s="92">
        <f>IFERROR(VLOOKUP($A271,'13. Mapa Títulos-Receita'!$A$8:$P$1000,7,FALSE),"")</f>
        <v/>
      </c>
      <c r="W271" s="92">
        <f>IFERROR(VLOOKUP($A271,'13. Mapa Títulos-Receita'!$A$8:$P$1000,8,FALSE),"")</f>
        <v/>
      </c>
      <c r="X271" s="92">
        <f>IFERROR(VLOOKUP($A271,'13. Mapa Títulos-Receita'!$A$8:$P$1000,9,FALSE),"")</f>
        <v/>
      </c>
      <c r="Y271" s="92">
        <f>IFERROR(VLOOKUP($A271,'13. Mapa Títulos-Receita'!$A$8:$P$1000,10,FALSE),"")</f>
        <v/>
      </c>
      <c r="Z271" s="92">
        <f>IFERROR(VLOOKUP($A271,'13. Mapa Títulos-Receita'!$A$8:$P$1000,11,FALSE),"")</f>
        <v/>
      </c>
      <c r="AA271" s="92">
        <f>IFERROR(VLOOKUP($A271,'13. Mapa Títulos-Receita'!$A$8:$P$1000,12,FALSE),"")</f>
        <v/>
      </c>
      <c r="AB271" s="92">
        <f>IFERROR(VLOOKUP($A271,'13. Mapa Títulos-Receita'!$A$8:$P$1000,13,FALSE),"")</f>
        <v/>
      </c>
      <c r="AC271" s="92">
        <f>IFERROR(VLOOKUP($A271,'13. Mapa Títulos-Receita'!$A$8:$P$1000,14,FALSE),"")</f>
        <v/>
      </c>
      <c r="AD271" s="92">
        <f>IFERROR(VLOOKUP($A271,'13. Mapa Títulos-Receita'!$A$8:$P$1000,15,FALSE),"")</f>
        <v/>
      </c>
      <c r="AE271" s="92">
        <f>IFERROR(VLOOKUP($A271,'13. Mapa Títulos-Receita'!$A$8:$P$1000,16,FALSE),"")</f>
        <v/>
      </c>
    </row>
    <row r="272">
      <c r="A272" s="28">
        <f>IF(C272="","", "CR-"&amp;TEXT(ROW()-7,"000"))</f>
        <v/>
      </c>
      <c r="B272" s="28" t="n"/>
      <c r="C272" s="28" t="n"/>
      <c r="D272" s="111" t="n"/>
      <c r="E272" s="111" t="n"/>
      <c r="F272" s="111" t="n"/>
      <c r="G272" s="28" t="n"/>
      <c r="H272" s="45" t="n"/>
      <c r="I272" s="45" t="n"/>
      <c r="J272" s="28">
        <f>IF(H272="","",IF(I272&gt;=H272,"Recebido",IF($B$4&gt;E272,"Vencido","Aberto")))</f>
        <v/>
      </c>
      <c r="K272" s="4">
        <f>IF(J272="","",IF(OR(J272="Recebido",F272=""),MAX(0,F272-E272),MAX(0,$B$4-E272)))</f>
        <v/>
      </c>
      <c r="L272" s="4">
        <f>IF(K272="","",IF(K272=0,"Em dia",IF(K272&lt;=30,"1-30 dias",IF(K272&lt;=60,"31-60 dias",IF(K272&lt;=90,"61-90 dias","&gt;90 dias")))))</f>
        <v/>
      </c>
      <c r="M272" s="28" t="n"/>
      <c r="N272" s="104" t="inlineStr"/>
      <c r="O272" s="64" t="n"/>
      <c r="P272" s="64">
        <f>IF(C272="","",IF(ISNUMBER(SEARCH("PCMSO",C272)),"PCMSO",IF(OR(ISNUMBER(SEARCH("E-SOCIAL",C272)),ISNUMBER(SEARCH("PSICOSOCIAL",C272))),"eSocial / Psicossocial",IF(O272="Receita recorrente","Carteira recorrente","Projetos / Laudos / Avulsos"))))</f>
        <v/>
      </c>
      <c r="Q272" s="64">
        <f>IF(P272="","",IF(P272="Carteira recorrente","Operação recorrente",IF(P272="PCMSO","Projetos PCMSO",IF(P272="eSocial / Psicossocial","Projetos eSocial/Psicossocial","Projetos / Laudos / Avulsos"))))</f>
        <v/>
      </c>
      <c r="R272" s="64">
        <f>IF(C272="","",IF(ISNUMBER(SEARCH("PCMSO",C272)),"Título com PCMSO no nome",IF(OR(ISNUMBER(SEARCH("E-SOCIAL",C272)),ISNUMBER(SEARCH("PSICOSOCIAL",C272))),"Título com eSocial/Psicossocial no nome",IF(O272="Receita recorrente","Tipo DRE recorrente","Extra sem palavra-chave específica"))))</f>
        <v/>
      </c>
      <c r="S272" s="92">
        <f>IFERROR(VLOOKUP($A272,'13. Mapa Títulos-Receita'!$A$8:$P$1000,4,FALSE),"")</f>
        <v/>
      </c>
      <c r="T272" s="92">
        <f>IFERROR(VLOOKUP($A272,'13. Mapa Títulos-Receita'!$A$8:$P$1000,5,FALSE),"")</f>
        <v/>
      </c>
      <c r="U272" s="92">
        <f>IFERROR(VLOOKUP($A272,'13. Mapa Títulos-Receita'!$A$8:$P$1000,6,FALSE),"")</f>
        <v/>
      </c>
      <c r="V272" s="92">
        <f>IFERROR(VLOOKUP($A272,'13. Mapa Títulos-Receita'!$A$8:$P$1000,7,FALSE),"")</f>
        <v/>
      </c>
      <c r="W272" s="92">
        <f>IFERROR(VLOOKUP($A272,'13. Mapa Títulos-Receita'!$A$8:$P$1000,8,FALSE),"")</f>
        <v/>
      </c>
      <c r="X272" s="92">
        <f>IFERROR(VLOOKUP($A272,'13. Mapa Títulos-Receita'!$A$8:$P$1000,9,FALSE),"")</f>
        <v/>
      </c>
      <c r="Y272" s="92">
        <f>IFERROR(VLOOKUP($A272,'13. Mapa Títulos-Receita'!$A$8:$P$1000,10,FALSE),"")</f>
        <v/>
      </c>
      <c r="Z272" s="92">
        <f>IFERROR(VLOOKUP($A272,'13. Mapa Títulos-Receita'!$A$8:$P$1000,11,FALSE),"")</f>
        <v/>
      </c>
      <c r="AA272" s="92">
        <f>IFERROR(VLOOKUP($A272,'13. Mapa Títulos-Receita'!$A$8:$P$1000,12,FALSE),"")</f>
        <v/>
      </c>
      <c r="AB272" s="92">
        <f>IFERROR(VLOOKUP($A272,'13. Mapa Títulos-Receita'!$A$8:$P$1000,13,FALSE),"")</f>
        <v/>
      </c>
      <c r="AC272" s="92">
        <f>IFERROR(VLOOKUP($A272,'13. Mapa Títulos-Receita'!$A$8:$P$1000,14,FALSE),"")</f>
        <v/>
      </c>
      <c r="AD272" s="92">
        <f>IFERROR(VLOOKUP($A272,'13. Mapa Títulos-Receita'!$A$8:$P$1000,15,FALSE),"")</f>
        <v/>
      </c>
      <c r="AE272" s="92">
        <f>IFERROR(VLOOKUP($A272,'13. Mapa Títulos-Receita'!$A$8:$P$1000,16,FALSE),"")</f>
        <v/>
      </c>
    </row>
    <row r="273">
      <c r="A273" s="28">
        <f>IF(C273="","", "CR-"&amp;TEXT(ROW()-7,"000"))</f>
        <v/>
      </c>
      <c r="B273" s="28" t="n"/>
      <c r="C273" s="28" t="n"/>
      <c r="D273" s="111" t="n"/>
      <c r="E273" s="111" t="n"/>
      <c r="F273" s="111" t="n"/>
      <c r="G273" s="28" t="n"/>
      <c r="H273" s="45" t="n"/>
      <c r="I273" s="45" t="n"/>
      <c r="J273" s="28">
        <f>IF(H273="","",IF(I273&gt;=H273,"Recebido",IF($B$4&gt;E273,"Vencido","Aberto")))</f>
        <v/>
      </c>
      <c r="K273" s="4">
        <f>IF(J273="","",IF(OR(J273="Recebido",F273=""),MAX(0,F273-E273),MAX(0,$B$4-E273)))</f>
        <v/>
      </c>
      <c r="L273" s="4">
        <f>IF(K273="","",IF(K273=0,"Em dia",IF(K273&lt;=30,"1-30 dias",IF(K273&lt;=60,"31-60 dias",IF(K273&lt;=90,"61-90 dias","&gt;90 dias")))))</f>
        <v/>
      </c>
      <c r="M273" s="28" t="n"/>
      <c r="N273" s="104" t="inlineStr"/>
      <c r="O273" s="64" t="n"/>
      <c r="P273" s="64">
        <f>IF(C273="","",IF(ISNUMBER(SEARCH("PCMSO",C273)),"PCMSO",IF(OR(ISNUMBER(SEARCH("E-SOCIAL",C273)),ISNUMBER(SEARCH("PSICOSOCIAL",C273))),"eSocial / Psicossocial",IF(O273="Receita recorrente","Carteira recorrente","Projetos / Laudos / Avulsos"))))</f>
        <v/>
      </c>
      <c r="Q273" s="64">
        <f>IF(P273="","",IF(P273="Carteira recorrente","Operação recorrente",IF(P273="PCMSO","Projetos PCMSO",IF(P273="eSocial / Psicossocial","Projetos eSocial/Psicossocial","Projetos / Laudos / Avulsos"))))</f>
        <v/>
      </c>
      <c r="R273" s="64">
        <f>IF(C273="","",IF(ISNUMBER(SEARCH("PCMSO",C273)),"Título com PCMSO no nome",IF(OR(ISNUMBER(SEARCH("E-SOCIAL",C273)),ISNUMBER(SEARCH("PSICOSOCIAL",C273))),"Título com eSocial/Psicossocial no nome",IF(O273="Receita recorrente","Tipo DRE recorrente","Extra sem palavra-chave específica"))))</f>
        <v/>
      </c>
      <c r="S273" s="92">
        <f>IFERROR(VLOOKUP($A273,'13. Mapa Títulos-Receita'!$A$8:$P$1000,4,FALSE),"")</f>
        <v/>
      </c>
      <c r="T273" s="92">
        <f>IFERROR(VLOOKUP($A273,'13. Mapa Títulos-Receita'!$A$8:$P$1000,5,FALSE),"")</f>
        <v/>
      </c>
      <c r="U273" s="92">
        <f>IFERROR(VLOOKUP($A273,'13. Mapa Títulos-Receita'!$A$8:$P$1000,6,FALSE),"")</f>
        <v/>
      </c>
      <c r="V273" s="92">
        <f>IFERROR(VLOOKUP($A273,'13. Mapa Títulos-Receita'!$A$8:$P$1000,7,FALSE),"")</f>
        <v/>
      </c>
      <c r="W273" s="92">
        <f>IFERROR(VLOOKUP($A273,'13. Mapa Títulos-Receita'!$A$8:$P$1000,8,FALSE),"")</f>
        <v/>
      </c>
      <c r="X273" s="92">
        <f>IFERROR(VLOOKUP($A273,'13. Mapa Títulos-Receita'!$A$8:$P$1000,9,FALSE),"")</f>
        <v/>
      </c>
      <c r="Y273" s="92">
        <f>IFERROR(VLOOKUP($A273,'13. Mapa Títulos-Receita'!$A$8:$P$1000,10,FALSE),"")</f>
        <v/>
      </c>
      <c r="Z273" s="92">
        <f>IFERROR(VLOOKUP($A273,'13. Mapa Títulos-Receita'!$A$8:$P$1000,11,FALSE),"")</f>
        <v/>
      </c>
      <c r="AA273" s="92">
        <f>IFERROR(VLOOKUP($A273,'13. Mapa Títulos-Receita'!$A$8:$P$1000,12,FALSE),"")</f>
        <v/>
      </c>
      <c r="AB273" s="92">
        <f>IFERROR(VLOOKUP($A273,'13. Mapa Títulos-Receita'!$A$8:$P$1000,13,FALSE),"")</f>
        <v/>
      </c>
      <c r="AC273" s="92">
        <f>IFERROR(VLOOKUP($A273,'13. Mapa Títulos-Receita'!$A$8:$P$1000,14,FALSE),"")</f>
        <v/>
      </c>
      <c r="AD273" s="92">
        <f>IFERROR(VLOOKUP($A273,'13. Mapa Títulos-Receita'!$A$8:$P$1000,15,FALSE),"")</f>
        <v/>
      </c>
      <c r="AE273" s="92">
        <f>IFERROR(VLOOKUP($A273,'13. Mapa Títulos-Receita'!$A$8:$P$1000,16,FALSE),"")</f>
        <v/>
      </c>
    </row>
    <row r="274">
      <c r="A274" s="28">
        <f>IF(C274="","", "CR-"&amp;TEXT(ROW()-7,"000"))</f>
        <v/>
      </c>
      <c r="B274" s="28" t="n"/>
      <c r="C274" s="28" t="n"/>
      <c r="D274" s="111" t="n"/>
      <c r="E274" s="111" t="n"/>
      <c r="F274" s="111" t="n"/>
      <c r="G274" s="28" t="n"/>
      <c r="H274" s="45" t="n"/>
      <c r="I274" s="45" t="n"/>
      <c r="J274" s="28">
        <f>IF(H274="","",IF(I274&gt;=H274,"Recebido",IF($B$4&gt;E274,"Vencido","Aberto")))</f>
        <v/>
      </c>
      <c r="K274" s="4">
        <f>IF(J274="","",IF(OR(J274="Recebido",F274=""),MAX(0,F274-E274),MAX(0,$B$4-E274)))</f>
        <v/>
      </c>
      <c r="L274" s="4">
        <f>IF(K274="","",IF(K274=0,"Em dia",IF(K274&lt;=30,"1-30 dias",IF(K274&lt;=60,"31-60 dias",IF(K274&lt;=90,"61-90 dias","&gt;90 dias")))))</f>
        <v/>
      </c>
      <c r="M274" s="28" t="n"/>
      <c r="N274" s="104" t="inlineStr"/>
      <c r="O274" s="64" t="n"/>
      <c r="P274" s="64">
        <f>IF(C274="","",IF(ISNUMBER(SEARCH("PCMSO",C274)),"PCMSO",IF(OR(ISNUMBER(SEARCH("E-SOCIAL",C274)),ISNUMBER(SEARCH("PSICOSOCIAL",C274))),"eSocial / Psicossocial",IF(O274="Receita recorrente","Carteira recorrente","Projetos / Laudos / Avulsos"))))</f>
        <v/>
      </c>
      <c r="Q274" s="64">
        <f>IF(P274="","",IF(P274="Carteira recorrente","Operação recorrente",IF(P274="PCMSO","Projetos PCMSO",IF(P274="eSocial / Psicossocial","Projetos eSocial/Psicossocial","Projetos / Laudos / Avulsos"))))</f>
        <v/>
      </c>
      <c r="R274" s="64">
        <f>IF(C274="","",IF(ISNUMBER(SEARCH("PCMSO",C274)),"Título com PCMSO no nome",IF(OR(ISNUMBER(SEARCH("E-SOCIAL",C274)),ISNUMBER(SEARCH("PSICOSOCIAL",C274))),"Título com eSocial/Psicossocial no nome",IF(O274="Receita recorrente","Tipo DRE recorrente","Extra sem palavra-chave específica"))))</f>
        <v/>
      </c>
      <c r="S274" s="92">
        <f>IFERROR(VLOOKUP($A274,'13. Mapa Títulos-Receita'!$A$8:$P$1000,4,FALSE),"")</f>
        <v/>
      </c>
      <c r="T274" s="92">
        <f>IFERROR(VLOOKUP($A274,'13. Mapa Títulos-Receita'!$A$8:$P$1000,5,FALSE),"")</f>
        <v/>
      </c>
      <c r="U274" s="92">
        <f>IFERROR(VLOOKUP($A274,'13. Mapa Títulos-Receita'!$A$8:$P$1000,6,FALSE),"")</f>
        <v/>
      </c>
      <c r="V274" s="92">
        <f>IFERROR(VLOOKUP($A274,'13. Mapa Títulos-Receita'!$A$8:$P$1000,7,FALSE),"")</f>
        <v/>
      </c>
      <c r="W274" s="92">
        <f>IFERROR(VLOOKUP($A274,'13. Mapa Títulos-Receita'!$A$8:$P$1000,8,FALSE),"")</f>
        <v/>
      </c>
      <c r="X274" s="92">
        <f>IFERROR(VLOOKUP($A274,'13. Mapa Títulos-Receita'!$A$8:$P$1000,9,FALSE),"")</f>
        <v/>
      </c>
      <c r="Y274" s="92">
        <f>IFERROR(VLOOKUP($A274,'13. Mapa Títulos-Receita'!$A$8:$P$1000,10,FALSE),"")</f>
        <v/>
      </c>
      <c r="Z274" s="92">
        <f>IFERROR(VLOOKUP($A274,'13. Mapa Títulos-Receita'!$A$8:$P$1000,11,FALSE),"")</f>
        <v/>
      </c>
      <c r="AA274" s="92">
        <f>IFERROR(VLOOKUP($A274,'13. Mapa Títulos-Receita'!$A$8:$P$1000,12,FALSE),"")</f>
        <v/>
      </c>
      <c r="AB274" s="92">
        <f>IFERROR(VLOOKUP($A274,'13. Mapa Títulos-Receita'!$A$8:$P$1000,13,FALSE),"")</f>
        <v/>
      </c>
      <c r="AC274" s="92">
        <f>IFERROR(VLOOKUP($A274,'13. Mapa Títulos-Receita'!$A$8:$P$1000,14,FALSE),"")</f>
        <v/>
      </c>
      <c r="AD274" s="92">
        <f>IFERROR(VLOOKUP($A274,'13. Mapa Títulos-Receita'!$A$8:$P$1000,15,FALSE),"")</f>
        <v/>
      </c>
      <c r="AE274" s="92">
        <f>IFERROR(VLOOKUP($A274,'13. Mapa Títulos-Receita'!$A$8:$P$1000,16,FALSE),"")</f>
        <v/>
      </c>
    </row>
    <row r="275">
      <c r="A275" s="28">
        <f>IF(C275="","", "CR-"&amp;TEXT(ROW()-7,"000"))</f>
        <v/>
      </c>
      <c r="B275" s="28" t="n"/>
      <c r="C275" s="28" t="n"/>
      <c r="D275" s="111" t="n"/>
      <c r="E275" s="111" t="n"/>
      <c r="F275" s="111" t="n"/>
      <c r="G275" s="28" t="n"/>
      <c r="H275" s="45" t="n"/>
      <c r="I275" s="45" t="n"/>
      <c r="J275" s="28">
        <f>IF(H275="","",IF(I275&gt;=H275,"Recebido",IF($B$4&gt;E275,"Vencido","Aberto")))</f>
        <v/>
      </c>
      <c r="K275" s="4">
        <f>IF(J275="","",IF(OR(J275="Recebido",F275=""),MAX(0,F275-E275),MAX(0,$B$4-E275)))</f>
        <v/>
      </c>
      <c r="L275" s="4">
        <f>IF(K275="","",IF(K275=0,"Em dia",IF(K275&lt;=30,"1-30 dias",IF(K275&lt;=60,"31-60 dias",IF(K275&lt;=90,"61-90 dias","&gt;90 dias")))))</f>
        <v/>
      </c>
      <c r="M275" s="28" t="n"/>
      <c r="N275" s="104" t="inlineStr"/>
      <c r="O275" s="64" t="n"/>
      <c r="P275" s="64">
        <f>IF(C275="","",IF(ISNUMBER(SEARCH("PCMSO",C275)),"PCMSO",IF(OR(ISNUMBER(SEARCH("E-SOCIAL",C275)),ISNUMBER(SEARCH("PSICOSOCIAL",C275))),"eSocial / Psicossocial",IF(O275="Receita recorrente","Carteira recorrente","Projetos / Laudos / Avulsos"))))</f>
        <v/>
      </c>
      <c r="Q275" s="64">
        <f>IF(P275="","",IF(P275="Carteira recorrente","Operação recorrente",IF(P275="PCMSO","Projetos PCMSO",IF(P275="eSocial / Psicossocial","Projetos eSocial/Psicossocial","Projetos / Laudos / Avulsos"))))</f>
        <v/>
      </c>
      <c r="R275" s="64">
        <f>IF(C275="","",IF(ISNUMBER(SEARCH("PCMSO",C275)),"Título com PCMSO no nome",IF(OR(ISNUMBER(SEARCH("E-SOCIAL",C275)),ISNUMBER(SEARCH("PSICOSOCIAL",C275))),"Título com eSocial/Psicossocial no nome",IF(O275="Receita recorrente","Tipo DRE recorrente","Extra sem palavra-chave específica"))))</f>
        <v/>
      </c>
      <c r="S275" s="92">
        <f>IFERROR(VLOOKUP($A275,'13. Mapa Títulos-Receita'!$A$8:$P$1000,4,FALSE),"")</f>
        <v/>
      </c>
      <c r="T275" s="92">
        <f>IFERROR(VLOOKUP($A275,'13. Mapa Títulos-Receita'!$A$8:$P$1000,5,FALSE),"")</f>
        <v/>
      </c>
      <c r="U275" s="92">
        <f>IFERROR(VLOOKUP($A275,'13. Mapa Títulos-Receita'!$A$8:$P$1000,6,FALSE),"")</f>
        <v/>
      </c>
      <c r="V275" s="92">
        <f>IFERROR(VLOOKUP($A275,'13. Mapa Títulos-Receita'!$A$8:$P$1000,7,FALSE),"")</f>
        <v/>
      </c>
      <c r="W275" s="92">
        <f>IFERROR(VLOOKUP($A275,'13. Mapa Títulos-Receita'!$A$8:$P$1000,8,FALSE),"")</f>
        <v/>
      </c>
      <c r="X275" s="92">
        <f>IFERROR(VLOOKUP($A275,'13. Mapa Títulos-Receita'!$A$8:$P$1000,9,FALSE),"")</f>
        <v/>
      </c>
      <c r="Y275" s="92">
        <f>IFERROR(VLOOKUP($A275,'13. Mapa Títulos-Receita'!$A$8:$P$1000,10,FALSE),"")</f>
        <v/>
      </c>
      <c r="Z275" s="92">
        <f>IFERROR(VLOOKUP($A275,'13. Mapa Títulos-Receita'!$A$8:$P$1000,11,FALSE),"")</f>
        <v/>
      </c>
      <c r="AA275" s="92">
        <f>IFERROR(VLOOKUP($A275,'13. Mapa Títulos-Receita'!$A$8:$P$1000,12,FALSE),"")</f>
        <v/>
      </c>
      <c r="AB275" s="92">
        <f>IFERROR(VLOOKUP($A275,'13. Mapa Títulos-Receita'!$A$8:$P$1000,13,FALSE),"")</f>
        <v/>
      </c>
      <c r="AC275" s="92">
        <f>IFERROR(VLOOKUP($A275,'13. Mapa Títulos-Receita'!$A$8:$P$1000,14,FALSE),"")</f>
        <v/>
      </c>
      <c r="AD275" s="92">
        <f>IFERROR(VLOOKUP($A275,'13. Mapa Títulos-Receita'!$A$8:$P$1000,15,FALSE),"")</f>
        <v/>
      </c>
      <c r="AE275" s="92">
        <f>IFERROR(VLOOKUP($A275,'13. Mapa Títulos-Receita'!$A$8:$P$1000,16,FALSE),"")</f>
        <v/>
      </c>
    </row>
    <row r="276">
      <c r="A276" s="28">
        <f>IF(C276="","", "CR-"&amp;TEXT(ROW()-7,"000"))</f>
        <v/>
      </c>
      <c r="B276" s="28" t="n"/>
      <c r="C276" s="28" t="n"/>
      <c r="D276" s="111" t="n"/>
      <c r="E276" s="111" t="n"/>
      <c r="F276" s="111" t="n"/>
      <c r="G276" s="28" t="n"/>
      <c r="H276" s="45" t="n"/>
      <c r="I276" s="45" t="n"/>
      <c r="J276" s="28">
        <f>IF(H276="","",IF(I276&gt;=H276,"Recebido",IF($B$4&gt;E276,"Vencido","Aberto")))</f>
        <v/>
      </c>
      <c r="K276" s="4">
        <f>IF(J276="","",IF(OR(J276="Recebido",F276=""),MAX(0,F276-E276),MAX(0,$B$4-E276)))</f>
        <v/>
      </c>
      <c r="L276" s="4">
        <f>IF(K276="","",IF(K276=0,"Em dia",IF(K276&lt;=30,"1-30 dias",IF(K276&lt;=60,"31-60 dias",IF(K276&lt;=90,"61-90 dias","&gt;90 dias")))))</f>
        <v/>
      </c>
      <c r="M276" s="28" t="n"/>
      <c r="N276" s="104" t="inlineStr"/>
      <c r="O276" s="64" t="n"/>
      <c r="P276" s="64">
        <f>IF(C276="","",IF(ISNUMBER(SEARCH("PCMSO",C276)),"PCMSO",IF(OR(ISNUMBER(SEARCH("E-SOCIAL",C276)),ISNUMBER(SEARCH("PSICOSOCIAL",C276))),"eSocial / Psicossocial",IF(O276="Receita recorrente","Carteira recorrente","Projetos / Laudos / Avulsos"))))</f>
        <v/>
      </c>
      <c r="Q276" s="64">
        <f>IF(P276="","",IF(P276="Carteira recorrente","Operação recorrente",IF(P276="PCMSO","Projetos PCMSO",IF(P276="eSocial / Psicossocial","Projetos eSocial/Psicossocial","Projetos / Laudos / Avulsos"))))</f>
        <v/>
      </c>
      <c r="R276" s="64">
        <f>IF(C276="","",IF(ISNUMBER(SEARCH("PCMSO",C276)),"Título com PCMSO no nome",IF(OR(ISNUMBER(SEARCH("E-SOCIAL",C276)),ISNUMBER(SEARCH("PSICOSOCIAL",C276))),"Título com eSocial/Psicossocial no nome",IF(O276="Receita recorrente","Tipo DRE recorrente","Extra sem palavra-chave específica"))))</f>
        <v/>
      </c>
      <c r="S276" s="92">
        <f>IFERROR(VLOOKUP($A276,'13. Mapa Títulos-Receita'!$A$8:$P$1000,4,FALSE),"")</f>
        <v/>
      </c>
      <c r="T276" s="92">
        <f>IFERROR(VLOOKUP($A276,'13. Mapa Títulos-Receita'!$A$8:$P$1000,5,FALSE),"")</f>
        <v/>
      </c>
      <c r="U276" s="92">
        <f>IFERROR(VLOOKUP($A276,'13. Mapa Títulos-Receita'!$A$8:$P$1000,6,FALSE),"")</f>
        <v/>
      </c>
      <c r="V276" s="92">
        <f>IFERROR(VLOOKUP($A276,'13. Mapa Títulos-Receita'!$A$8:$P$1000,7,FALSE),"")</f>
        <v/>
      </c>
      <c r="W276" s="92">
        <f>IFERROR(VLOOKUP($A276,'13. Mapa Títulos-Receita'!$A$8:$P$1000,8,FALSE),"")</f>
        <v/>
      </c>
      <c r="X276" s="92">
        <f>IFERROR(VLOOKUP($A276,'13. Mapa Títulos-Receita'!$A$8:$P$1000,9,FALSE),"")</f>
        <v/>
      </c>
      <c r="Y276" s="92">
        <f>IFERROR(VLOOKUP($A276,'13. Mapa Títulos-Receita'!$A$8:$P$1000,10,FALSE),"")</f>
        <v/>
      </c>
      <c r="Z276" s="92">
        <f>IFERROR(VLOOKUP($A276,'13. Mapa Títulos-Receita'!$A$8:$P$1000,11,FALSE),"")</f>
        <v/>
      </c>
      <c r="AA276" s="92">
        <f>IFERROR(VLOOKUP($A276,'13. Mapa Títulos-Receita'!$A$8:$P$1000,12,FALSE),"")</f>
        <v/>
      </c>
      <c r="AB276" s="92">
        <f>IFERROR(VLOOKUP($A276,'13. Mapa Títulos-Receita'!$A$8:$P$1000,13,FALSE),"")</f>
        <v/>
      </c>
      <c r="AC276" s="92">
        <f>IFERROR(VLOOKUP($A276,'13. Mapa Títulos-Receita'!$A$8:$P$1000,14,FALSE),"")</f>
        <v/>
      </c>
      <c r="AD276" s="92">
        <f>IFERROR(VLOOKUP($A276,'13. Mapa Títulos-Receita'!$A$8:$P$1000,15,FALSE),"")</f>
        <v/>
      </c>
      <c r="AE276" s="92">
        <f>IFERROR(VLOOKUP($A276,'13. Mapa Títulos-Receita'!$A$8:$P$1000,16,FALSE),"")</f>
        <v/>
      </c>
    </row>
    <row r="277">
      <c r="A277" s="28">
        <f>IF(C277="","", "CR-"&amp;TEXT(ROW()-7,"000"))</f>
        <v/>
      </c>
      <c r="B277" s="28" t="n"/>
      <c r="C277" s="28" t="n"/>
      <c r="D277" s="111" t="n"/>
      <c r="E277" s="111" t="n"/>
      <c r="F277" s="111" t="n"/>
      <c r="G277" s="28" t="n"/>
      <c r="H277" s="45" t="n"/>
      <c r="I277" s="45" t="n"/>
      <c r="J277" s="28">
        <f>IF(H277="","",IF(I277&gt;=H277,"Recebido",IF($B$4&gt;E277,"Vencido","Aberto")))</f>
        <v/>
      </c>
      <c r="K277" s="4">
        <f>IF(J277="","",IF(OR(J277="Recebido",F277=""),MAX(0,F277-E277),MAX(0,$B$4-E277)))</f>
        <v/>
      </c>
      <c r="L277" s="4">
        <f>IF(K277="","",IF(K277=0,"Em dia",IF(K277&lt;=30,"1-30 dias",IF(K277&lt;=60,"31-60 dias",IF(K277&lt;=90,"61-90 dias","&gt;90 dias")))))</f>
        <v/>
      </c>
      <c r="M277" s="28" t="n"/>
      <c r="N277" s="104" t="inlineStr"/>
      <c r="O277" s="64" t="n"/>
      <c r="P277" s="64">
        <f>IF(C277="","",IF(ISNUMBER(SEARCH("PCMSO",C277)),"PCMSO",IF(OR(ISNUMBER(SEARCH("E-SOCIAL",C277)),ISNUMBER(SEARCH("PSICOSOCIAL",C277))),"eSocial / Psicossocial",IF(O277="Receita recorrente","Carteira recorrente","Projetos / Laudos / Avulsos"))))</f>
        <v/>
      </c>
      <c r="Q277" s="64">
        <f>IF(P277="","",IF(P277="Carteira recorrente","Operação recorrente",IF(P277="PCMSO","Projetos PCMSO",IF(P277="eSocial / Psicossocial","Projetos eSocial/Psicossocial","Projetos / Laudos / Avulsos"))))</f>
        <v/>
      </c>
      <c r="R277" s="64">
        <f>IF(C277="","",IF(ISNUMBER(SEARCH("PCMSO",C277)),"Título com PCMSO no nome",IF(OR(ISNUMBER(SEARCH("E-SOCIAL",C277)),ISNUMBER(SEARCH("PSICOSOCIAL",C277))),"Título com eSocial/Psicossocial no nome",IF(O277="Receita recorrente","Tipo DRE recorrente","Extra sem palavra-chave específica"))))</f>
        <v/>
      </c>
      <c r="S277" s="92">
        <f>IFERROR(VLOOKUP($A277,'13. Mapa Títulos-Receita'!$A$8:$P$1000,4,FALSE),"")</f>
        <v/>
      </c>
      <c r="T277" s="92">
        <f>IFERROR(VLOOKUP($A277,'13. Mapa Títulos-Receita'!$A$8:$P$1000,5,FALSE),"")</f>
        <v/>
      </c>
      <c r="U277" s="92">
        <f>IFERROR(VLOOKUP($A277,'13. Mapa Títulos-Receita'!$A$8:$P$1000,6,FALSE),"")</f>
        <v/>
      </c>
      <c r="V277" s="92">
        <f>IFERROR(VLOOKUP($A277,'13. Mapa Títulos-Receita'!$A$8:$P$1000,7,FALSE),"")</f>
        <v/>
      </c>
      <c r="W277" s="92">
        <f>IFERROR(VLOOKUP($A277,'13. Mapa Títulos-Receita'!$A$8:$P$1000,8,FALSE),"")</f>
        <v/>
      </c>
      <c r="X277" s="92">
        <f>IFERROR(VLOOKUP($A277,'13. Mapa Títulos-Receita'!$A$8:$P$1000,9,FALSE),"")</f>
        <v/>
      </c>
      <c r="Y277" s="92">
        <f>IFERROR(VLOOKUP($A277,'13. Mapa Títulos-Receita'!$A$8:$P$1000,10,FALSE),"")</f>
        <v/>
      </c>
      <c r="Z277" s="92">
        <f>IFERROR(VLOOKUP($A277,'13. Mapa Títulos-Receita'!$A$8:$P$1000,11,FALSE),"")</f>
        <v/>
      </c>
      <c r="AA277" s="92">
        <f>IFERROR(VLOOKUP($A277,'13. Mapa Títulos-Receita'!$A$8:$P$1000,12,FALSE),"")</f>
        <v/>
      </c>
      <c r="AB277" s="92">
        <f>IFERROR(VLOOKUP($A277,'13. Mapa Títulos-Receita'!$A$8:$P$1000,13,FALSE),"")</f>
        <v/>
      </c>
      <c r="AC277" s="92">
        <f>IFERROR(VLOOKUP($A277,'13. Mapa Títulos-Receita'!$A$8:$P$1000,14,FALSE),"")</f>
        <v/>
      </c>
      <c r="AD277" s="92">
        <f>IFERROR(VLOOKUP($A277,'13. Mapa Títulos-Receita'!$A$8:$P$1000,15,FALSE),"")</f>
        <v/>
      </c>
      <c r="AE277" s="92">
        <f>IFERROR(VLOOKUP($A277,'13. Mapa Títulos-Receita'!$A$8:$P$1000,16,FALSE),"")</f>
        <v/>
      </c>
    </row>
    <row r="278">
      <c r="A278" s="28">
        <f>IF(C278="","", "CR-"&amp;TEXT(ROW()-7,"000"))</f>
        <v/>
      </c>
      <c r="B278" s="28" t="n"/>
      <c r="C278" s="28" t="n"/>
      <c r="D278" s="111" t="n"/>
      <c r="E278" s="111" t="n"/>
      <c r="F278" s="111" t="n"/>
      <c r="G278" s="28" t="n"/>
      <c r="H278" s="45" t="n"/>
      <c r="I278" s="45" t="n"/>
      <c r="J278" s="28">
        <f>IF(H278="","",IF(I278&gt;=H278,"Recebido",IF($B$4&gt;E278,"Vencido","Aberto")))</f>
        <v/>
      </c>
      <c r="K278" s="4">
        <f>IF(J278="","",IF(OR(J278="Recebido",F278=""),MAX(0,F278-E278),MAX(0,$B$4-E278)))</f>
        <v/>
      </c>
      <c r="L278" s="4">
        <f>IF(K278="","",IF(K278=0,"Em dia",IF(K278&lt;=30,"1-30 dias",IF(K278&lt;=60,"31-60 dias",IF(K278&lt;=90,"61-90 dias","&gt;90 dias")))))</f>
        <v/>
      </c>
      <c r="M278" s="28" t="n"/>
      <c r="N278" s="104" t="inlineStr"/>
      <c r="O278" s="64" t="n"/>
      <c r="P278" s="64">
        <f>IF(C278="","",IF(ISNUMBER(SEARCH("PCMSO",C278)),"PCMSO",IF(OR(ISNUMBER(SEARCH("E-SOCIAL",C278)),ISNUMBER(SEARCH("PSICOSOCIAL",C278))),"eSocial / Psicossocial",IF(O278="Receita recorrente","Carteira recorrente","Projetos / Laudos / Avulsos"))))</f>
        <v/>
      </c>
      <c r="Q278" s="64">
        <f>IF(P278="","",IF(P278="Carteira recorrente","Operação recorrente",IF(P278="PCMSO","Projetos PCMSO",IF(P278="eSocial / Psicossocial","Projetos eSocial/Psicossocial","Projetos / Laudos / Avulsos"))))</f>
        <v/>
      </c>
      <c r="R278" s="64">
        <f>IF(C278="","",IF(ISNUMBER(SEARCH("PCMSO",C278)),"Título com PCMSO no nome",IF(OR(ISNUMBER(SEARCH("E-SOCIAL",C278)),ISNUMBER(SEARCH("PSICOSOCIAL",C278))),"Título com eSocial/Psicossocial no nome",IF(O278="Receita recorrente","Tipo DRE recorrente","Extra sem palavra-chave específica"))))</f>
        <v/>
      </c>
      <c r="S278" s="92">
        <f>IFERROR(VLOOKUP($A278,'13. Mapa Títulos-Receita'!$A$8:$P$1000,4,FALSE),"")</f>
        <v/>
      </c>
      <c r="T278" s="92">
        <f>IFERROR(VLOOKUP($A278,'13. Mapa Títulos-Receita'!$A$8:$P$1000,5,FALSE),"")</f>
        <v/>
      </c>
      <c r="U278" s="92">
        <f>IFERROR(VLOOKUP($A278,'13. Mapa Títulos-Receita'!$A$8:$P$1000,6,FALSE),"")</f>
        <v/>
      </c>
      <c r="V278" s="92">
        <f>IFERROR(VLOOKUP($A278,'13. Mapa Títulos-Receita'!$A$8:$P$1000,7,FALSE),"")</f>
        <v/>
      </c>
      <c r="W278" s="92">
        <f>IFERROR(VLOOKUP($A278,'13. Mapa Títulos-Receita'!$A$8:$P$1000,8,FALSE),"")</f>
        <v/>
      </c>
      <c r="X278" s="92">
        <f>IFERROR(VLOOKUP($A278,'13. Mapa Títulos-Receita'!$A$8:$P$1000,9,FALSE),"")</f>
        <v/>
      </c>
      <c r="Y278" s="92">
        <f>IFERROR(VLOOKUP($A278,'13. Mapa Títulos-Receita'!$A$8:$P$1000,10,FALSE),"")</f>
        <v/>
      </c>
      <c r="Z278" s="92">
        <f>IFERROR(VLOOKUP($A278,'13. Mapa Títulos-Receita'!$A$8:$P$1000,11,FALSE),"")</f>
        <v/>
      </c>
      <c r="AA278" s="92">
        <f>IFERROR(VLOOKUP($A278,'13. Mapa Títulos-Receita'!$A$8:$P$1000,12,FALSE),"")</f>
        <v/>
      </c>
      <c r="AB278" s="92">
        <f>IFERROR(VLOOKUP($A278,'13. Mapa Títulos-Receita'!$A$8:$P$1000,13,FALSE),"")</f>
        <v/>
      </c>
      <c r="AC278" s="92">
        <f>IFERROR(VLOOKUP($A278,'13. Mapa Títulos-Receita'!$A$8:$P$1000,14,FALSE),"")</f>
        <v/>
      </c>
      <c r="AD278" s="92">
        <f>IFERROR(VLOOKUP($A278,'13. Mapa Títulos-Receita'!$A$8:$P$1000,15,FALSE),"")</f>
        <v/>
      </c>
      <c r="AE278" s="92">
        <f>IFERROR(VLOOKUP($A278,'13. Mapa Títulos-Receita'!$A$8:$P$1000,16,FALSE),"")</f>
        <v/>
      </c>
    </row>
    <row r="279">
      <c r="A279" s="28">
        <f>IF(C279="","", "CR-"&amp;TEXT(ROW()-7,"000"))</f>
        <v/>
      </c>
      <c r="B279" s="28" t="n"/>
      <c r="C279" s="28" t="n"/>
      <c r="D279" s="111" t="n"/>
      <c r="E279" s="111" t="n"/>
      <c r="F279" s="111" t="n"/>
      <c r="G279" s="28" t="n"/>
      <c r="H279" s="45" t="n"/>
      <c r="I279" s="45" t="n"/>
      <c r="J279" s="28">
        <f>IF(H279="","",IF(I279&gt;=H279,"Recebido",IF($B$4&gt;E279,"Vencido","Aberto")))</f>
        <v/>
      </c>
      <c r="K279" s="4">
        <f>IF(J279="","",IF(OR(J279="Recebido",F279=""),MAX(0,F279-E279),MAX(0,$B$4-E279)))</f>
        <v/>
      </c>
      <c r="L279" s="4">
        <f>IF(K279="","",IF(K279=0,"Em dia",IF(K279&lt;=30,"1-30 dias",IF(K279&lt;=60,"31-60 dias",IF(K279&lt;=90,"61-90 dias","&gt;90 dias")))))</f>
        <v/>
      </c>
      <c r="M279" s="28" t="n"/>
      <c r="N279" s="104" t="inlineStr"/>
      <c r="O279" s="64" t="n"/>
      <c r="P279" s="64">
        <f>IF(C279="","",IF(ISNUMBER(SEARCH("PCMSO",C279)),"PCMSO",IF(OR(ISNUMBER(SEARCH("E-SOCIAL",C279)),ISNUMBER(SEARCH("PSICOSOCIAL",C279))),"eSocial / Psicossocial",IF(O279="Receita recorrente","Carteira recorrente","Projetos / Laudos / Avulsos"))))</f>
        <v/>
      </c>
      <c r="Q279" s="64">
        <f>IF(P279="","",IF(P279="Carteira recorrente","Operação recorrente",IF(P279="PCMSO","Projetos PCMSO",IF(P279="eSocial / Psicossocial","Projetos eSocial/Psicossocial","Projetos / Laudos / Avulsos"))))</f>
        <v/>
      </c>
      <c r="R279" s="64">
        <f>IF(C279="","",IF(ISNUMBER(SEARCH("PCMSO",C279)),"Título com PCMSO no nome",IF(OR(ISNUMBER(SEARCH("E-SOCIAL",C279)),ISNUMBER(SEARCH("PSICOSOCIAL",C279))),"Título com eSocial/Psicossocial no nome",IF(O279="Receita recorrente","Tipo DRE recorrente","Extra sem palavra-chave específica"))))</f>
        <v/>
      </c>
      <c r="S279" s="92">
        <f>IFERROR(VLOOKUP($A279,'13. Mapa Títulos-Receita'!$A$8:$P$1000,4,FALSE),"")</f>
        <v/>
      </c>
      <c r="T279" s="92">
        <f>IFERROR(VLOOKUP($A279,'13. Mapa Títulos-Receita'!$A$8:$P$1000,5,FALSE),"")</f>
        <v/>
      </c>
      <c r="U279" s="92">
        <f>IFERROR(VLOOKUP($A279,'13. Mapa Títulos-Receita'!$A$8:$P$1000,6,FALSE),"")</f>
        <v/>
      </c>
      <c r="V279" s="92">
        <f>IFERROR(VLOOKUP($A279,'13. Mapa Títulos-Receita'!$A$8:$P$1000,7,FALSE),"")</f>
        <v/>
      </c>
      <c r="W279" s="92">
        <f>IFERROR(VLOOKUP($A279,'13. Mapa Títulos-Receita'!$A$8:$P$1000,8,FALSE),"")</f>
        <v/>
      </c>
      <c r="X279" s="92">
        <f>IFERROR(VLOOKUP($A279,'13. Mapa Títulos-Receita'!$A$8:$P$1000,9,FALSE),"")</f>
        <v/>
      </c>
      <c r="Y279" s="92">
        <f>IFERROR(VLOOKUP($A279,'13. Mapa Títulos-Receita'!$A$8:$P$1000,10,FALSE),"")</f>
        <v/>
      </c>
      <c r="Z279" s="92">
        <f>IFERROR(VLOOKUP($A279,'13. Mapa Títulos-Receita'!$A$8:$P$1000,11,FALSE),"")</f>
        <v/>
      </c>
      <c r="AA279" s="92">
        <f>IFERROR(VLOOKUP($A279,'13. Mapa Títulos-Receita'!$A$8:$P$1000,12,FALSE),"")</f>
        <v/>
      </c>
      <c r="AB279" s="92">
        <f>IFERROR(VLOOKUP($A279,'13. Mapa Títulos-Receita'!$A$8:$P$1000,13,FALSE),"")</f>
        <v/>
      </c>
      <c r="AC279" s="92">
        <f>IFERROR(VLOOKUP($A279,'13. Mapa Títulos-Receita'!$A$8:$P$1000,14,FALSE),"")</f>
        <v/>
      </c>
      <c r="AD279" s="92">
        <f>IFERROR(VLOOKUP($A279,'13. Mapa Títulos-Receita'!$A$8:$P$1000,15,FALSE),"")</f>
        <v/>
      </c>
      <c r="AE279" s="92">
        <f>IFERROR(VLOOKUP($A279,'13. Mapa Títulos-Receita'!$A$8:$P$1000,16,FALSE),"")</f>
        <v/>
      </c>
    </row>
    <row r="280">
      <c r="A280" s="28">
        <f>IF(C280="","", "CR-"&amp;TEXT(ROW()-7,"000"))</f>
        <v/>
      </c>
      <c r="B280" s="28" t="n"/>
      <c r="C280" s="28" t="n"/>
      <c r="D280" s="111" t="n"/>
      <c r="E280" s="111" t="n"/>
      <c r="F280" s="111" t="n"/>
      <c r="G280" s="28" t="n"/>
      <c r="H280" s="45" t="n"/>
      <c r="I280" s="45" t="n"/>
      <c r="J280" s="28">
        <f>IF(H280="","",IF(I280&gt;=H280,"Recebido",IF($B$4&gt;E280,"Vencido","Aberto")))</f>
        <v/>
      </c>
      <c r="K280" s="4">
        <f>IF(J280="","",IF(OR(J280="Recebido",F280=""),MAX(0,F280-E280),MAX(0,$B$4-E280)))</f>
        <v/>
      </c>
      <c r="L280" s="4">
        <f>IF(K280="","",IF(K280=0,"Em dia",IF(K280&lt;=30,"1-30 dias",IF(K280&lt;=60,"31-60 dias",IF(K280&lt;=90,"61-90 dias","&gt;90 dias")))))</f>
        <v/>
      </c>
      <c r="M280" s="28" t="n"/>
      <c r="N280" s="104" t="inlineStr"/>
      <c r="O280" s="64" t="n"/>
      <c r="P280" s="64">
        <f>IF(C280="","",IF(ISNUMBER(SEARCH("PCMSO",C280)),"PCMSO",IF(OR(ISNUMBER(SEARCH("E-SOCIAL",C280)),ISNUMBER(SEARCH("PSICOSOCIAL",C280))),"eSocial / Psicossocial",IF(O280="Receita recorrente","Carteira recorrente","Projetos / Laudos / Avulsos"))))</f>
        <v/>
      </c>
      <c r="Q280" s="64">
        <f>IF(P280="","",IF(P280="Carteira recorrente","Operação recorrente",IF(P280="PCMSO","Projetos PCMSO",IF(P280="eSocial / Psicossocial","Projetos eSocial/Psicossocial","Projetos / Laudos / Avulsos"))))</f>
        <v/>
      </c>
      <c r="R280" s="64">
        <f>IF(C280="","",IF(ISNUMBER(SEARCH("PCMSO",C280)),"Título com PCMSO no nome",IF(OR(ISNUMBER(SEARCH("E-SOCIAL",C280)),ISNUMBER(SEARCH("PSICOSOCIAL",C280))),"Título com eSocial/Psicossocial no nome",IF(O280="Receita recorrente","Tipo DRE recorrente","Extra sem palavra-chave específica"))))</f>
        <v/>
      </c>
      <c r="S280" s="92">
        <f>IFERROR(VLOOKUP($A280,'13. Mapa Títulos-Receita'!$A$8:$P$1000,4,FALSE),"")</f>
        <v/>
      </c>
      <c r="T280" s="92">
        <f>IFERROR(VLOOKUP($A280,'13. Mapa Títulos-Receita'!$A$8:$P$1000,5,FALSE),"")</f>
        <v/>
      </c>
      <c r="U280" s="92">
        <f>IFERROR(VLOOKUP($A280,'13. Mapa Títulos-Receita'!$A$8:$P$1000,6,FALSE),"")</f>
        <v/>
      </c>
      <c r="V280" s="92">
        <f>IFERROR(VLOOKUP($A280,'13. Mapa Títulos-Receita'!$A$8:$P$1000,7,FALSE),"")</f>
        <v/>
      </c>
      <c r="W280" s="92">
        <f>IFERROR(VLOOKUP($A280,'13. Mapa Títulos-Receita'!$A$8:$P$1000,8,FALSE),"")</f>
        <v/>
      </c>
      <c r="X280" s="92">
        <f>IFERROR(VLOOKUP($A280,'13. Mapa Títulos-Receita'!$A$8:$P$1000,9,FALSE),"")</f>
        <v/>
      </c>
      <c r="Y280" s="92">
        <f>IFERROR(VLOOKUP($A280,'13. Mapa Títulos-Receita'!$A$8:$P$1000,10,FALSE),"")</f>
        <v/>
      </c>
      <c r="Z280" s="92">
        <f>IFERROR(VLOOKUP($A280,'13. Mapa Títulos-Receita'!$A$8:$P$1000,11,FALSE),"")</f>
        <v/>
      </c>
      <c r="AA280" s="92">
        <f>IFERROR(VLOOKUP($A280,'13. Mapa Títulos-Receita'!$A$8:$P$1000,12,FALSE),"")</f>
        <v/>
      </c>
      <c r="AB280" s="92">
        <f>IFERROR(VLOOKUP($A280,'13. Mapa Títulos-Receita'!$A$8:$P$1000,13,FALSE),"")</f>
        <v/>
      </c>
      <c r="AC280" s="92">
        <f>IFERROR(VLOOKUP($A280,'13. Mapa Títulos-Receita'!$A$8:$P$1000,14,FALSE),"")</f>
        <v/>
      </c>
      <c r="AD280" s="92">
        <f>IFERROR(VLOOKUP($A280,'13. Mapa Títulos-Receita'!$A$8:$P$1000,15,FALSE),"")</f>
        <v/>
      </c>
      <c r="AE280" s="92">
        <f>IFERROR(VLOOKUP($A280,'13. Mapa Títulos-Receita'!$A$8:$P$1000,16,FALSE),"")</f>
        <v/>
      </c>
    </row>
    <row r="281">
      <c r="A281" s="28">
        <f>IF(C281="","", "CR-"&amp;TEXT(ROW()-7,"000"))</f>
        <v/>
      </c>
      <c r="B281" s="28" t="n"/>
      <c r="C281" s="28" t="n"/>
      <c r="D281" s="111" t="n"/>
      <c r="E281" s="111" t="n"/>
      <c r="F281" s="111" t="n"/>
      <c r="G281" s="28" t="n"/>
      <c r="H281" s="45" t="n"/>
      <c r="I281" s="45" t="n"/>
      <c r="J281" s="28">
        <f>IF(H281="","",IF(I281&gt;=H281,"Recebido",IF($B$4&gt;E281,"Vencido","Aberto")))</f>
        <v/>
      </c>
      <c r="K281" s="4">
        <f>IF(J281="","",IF(OR(J281="Recebido",F281=""),MAX(0,F281-E281),MAX(0,$B$4-E281)))</f>
        <v/>
      </c>
      <c r="L281" s="4">
        <f>IF(K281="","",IF(K281=0,"Em dia",IF(K281&lt;=30,"1-30 dias",IF(K281&lt;=60,"31-60 dias",IF(K281&lt;=90,"61-90 dias","&gt;90 dias")))))</f>
        <v/>
      </c>
      <c r="M281" s="28" t="n"/>
      <c r="N281" s="104" t="inlineStr"/>
      <c r="O281" s="64" t="n"/>
      <c r="P281" s="64">
        <f>IF(C281="","",IF(ISNUMBER(SEARCH("PCMSO",C281)),"PCMSO",IF(OR(ISNUMBER(SEARCH("E-SOCIAL",C281)),ISNUMBER(SEARCH("PSICOSOCIAL",C281))),"eSocial / Psicossocial",IF(O281="Receita recorrente","Carteira recorrente","Projetos / Laudos / Avulsos"))))</f>
        <v/>
      </c>
      <c r="Q281" s="64">
        <f>IF(P281="","",IF(P281="Carteira recorrente","Operação recorrente",IF(P281="PCMSO","Projetos PCMSO",IF(P281="eSocial / Psicossocial","Projetos eSocial/Psicossocial","Projetos / Laudos / Avulsos"))))</f>
        <v/>
      </c>
      <c r="R281" s="64">
        <f>IF(C281="","",IF(ISNUMBER(SEARCH("PCMSO",C281)),"Título com PCMSO no nome",IF(OR(ISNUMBER(SEARCH("E-SOCIAL",C281)),ISNUMBER(SEARCH("PSICOSOCIAL",C281))),"Título com eSocial/Psicossocial no nome",IF(O281="Receita recorrente","Tipo DRE recorrente","Extra sem palavra-chave específica"))))</f>
        <v/>
      </c>
      <c r="S281" s="92">
        <f>IFERROR(VLOOKUP($A281,'13. Mapa Títulos-Receita'!$A$8:$P$1000,4,FALSE),"")</f>
        <v/>
      </c>
      <c r="T281" s="92">
        <f>IFERROR(VLOOKUP($A281,'13. Mapa Títulos-Receita'!$A$8:$P$1000,5,FALSE),"")</f>
        <v/>
      </c>
      <c r="U281" s="92">
        <f>IFERROR(VLOOKUP($A281,'13. Mapa Títulos-Receita'!$A$8:$P$1000,6,FALSE),"")</f>
        <v/>
      </c>
      <c r="V281" s="92">
        <f>IFERROR(VLOOKUP($A281,'13. Mapa Títulos-Receita'!$A$8:$P$1000,7,FALSE),"")</f>
        <v/>
      </c>
      <c r="W281" s="92">
        <f>IFERROR(VLOOKUP($A281,'13. Mapa Títulos-Receita'!$A$8:$P$1000,8,FALSE),"")</f>
        <v/>
      </c>
      <c r="X281" s="92">
        <f>IFERROR(VLOOKUP($A281,'13. Mapa Títulos-Receita'!$A$8:$P$1000,9,FALSE),"")</f>
        <v/>
      </c>
      <c r="Y281" s="92">
        <f>IFERROR(VLOOKUP($A281,'13. Mapa Títulos-Receita'!$A$8:$P$1000,10,FALSE),"")</f>
        <v/>
      </c>
      <c r="Z281" s="92">
        <f>IFERROR(VLOOKUP($A281,'13. Mapa Títulos-Receita'!$A$8:$P$1000,11,FALSE),"")</f>
        <v/>
      </c>
      <c r="AA281" s="92">
        <f>IFERROR(VLOOKUP($A281,'13. Mapa Títulos-Receita'!$A$8:$P$1000,12,FALSE),"")</f>
        <v/>
      </c>
      <c r="AB281" s="92">
        <f>IFERROR(VLOOKUP($A281,'13. Mapa Títulos-Receita'!$A$8:$P$1000,13,FALSE),"")</f>
        <v/>
      </c>
      <c r="AC281" s="92">
        <f>IFERROR(VLOOKUP($A281,'13. Mapa Títulos-Receita'!$A$8:$P$1000,14,FALSE),"")</f>
        <v/>
      </c>
      <c r="AD281" s="92">
        <f>IFERROR(VLOOKUP($A281,'13. Mapa Títulos-Receita'!$A$8:$P$1000,15,FALSE),"")</f>
        <v/>
      </c>
      <c r="AE281" s="92">
        <f>IFERROR(VLOOKUP($A281,'13. Mapa Títulos-Receita'!$A$8:$P$1000,16,FALSE),"")</f>
        <v/>
      </c>
    </row>
    <row r="282">
      <c r="A282" s="28">
        <f>IF(C282="","", "CR-"&amp;TEXT(ROW()-7,"000"))</f>
        <v/>
      </c>
      <c r="B282" s="28" t="n"/>
      <c r="C282" s="28" t="n"/>
      <c r="D282" s="111" t="n"/>
      <c r="E282" s="111" t="n"/>
      <c r="F282" s="111" t="n"/>
      <c r="G282" s="28" t="n"/>
      <c r="H282" s="45" t="n"/>
      <c r="I282" s="45" t="n"/>
      <c r="J282" s="28">
        <f>IF(H282="","",IF(I282&gt;=H282,"Recebido",IF($B$4&gt;E282,"Vencido","Aberto")))</f>
        <v/>
      </c>
      <c r="K282" s="4">
        <f>IF(J282="","",IF(OR(J282="Recebido",F282=""),MAX(0,F282-E282),MAX(0,$B$4-E282)))</f>
        <v/>
      </c>
      <c r="L282" s="4">
        <f>IF(K282="","",IF(K282=0,"Em dia",IF(K282&lt;=30,"1-30 dias",IF(K282&lt;=60,"31-60 dias",IF(K282&lt;=90,"61-90 dias","&gt;90 dias")))))</f>
        <v/>
      </c>
      <c r="M282" s="28" t="n"/>
      <c r="N282" s="104" t="inlineStr"/>
      <c r="O282" s="64" t="n"/>
      <c r="P282" s="64">
        <f>IF(C282="","",IF(ISNUMBER(SEARCH("PCMSO",C282)),"PCMSO",IF(OR(ISNUMBER(SEARCH("E-SOCIAL",C282)),ISNUMBER(SEARCH("PSICOSOCIAL",C282))),"eSocial / Psicossocial",IF(O282="Receita recorrente","Carteira recorrente","Projetos / Laudos / Avulsos"))))</f>
        <v/>
      </c>
      <c r="Q282" s="64">
        <f>IF(P282="","",IF(P282="Carteira recorrente","Operação recorrente",IF(P282="PCMSO","Projetos PCMSO",IF(P282="eSocial / Psicossocial","Projetos eSocial/Psicossocial","Projetos / Laudos / Avulsos"))))</f>
        <v/>
      </c>
      <c r="R282" s="64">
        <f>IF(C282="","",IF(ISNUMBER(SEARCH("PCMSO",C282)),"Título com PCMSO no nome",IF(OR(ISNUMBER(SEARCH("E-SOCIAL",C282)),ISNUMBER(SEARCH("PSICOSOCIAL",C282))),"Título com eSocial/Psicossocial no nome",IF(O282="Receita recorrente","Tipo DRE recorrente","Extra sem palavra-chave específica"))))</f>
        <v/>
      </c>
      <c r="S282" s="92">
        <f>IFERROR(VLOOKUP($A282,'13. Mapa Títulos-Receita'!$A$8:$P$1000,4,FALSE),"")</f>
        <v/>
      </c>
      <c r="T282" s="92">
        <f>IFERROR(VLOOKUP($A282,'13. Mapa Títulos-Receita'!$A$8:$P$1000,5,FALSE),"")</f>
        <v/>
      </c>
      <c r="U282" s="92">
        <f>IFERROR(VLOOKUP($A282,'13. Mapa Títulos-Receita'!$A$8:$P$1000,6,FALSE),"")</f>
        <v/>
      </c>
      <c r="V282" s="92">
        <f>IFERROR(VLOOKUP($A282,'13. Mapa Títulos-Receita'!$A$8:$P$1000,7,FALSE),"")</f>
        <v/>
      </c>
      <c r="W282" s="92">
        <f>IFERROR(VLOOKUP($A282,'13. Mapa Títulos-Receita'!$A$8:$P$1000,8,FALSE),"")</f>
        <v/>
      </c>
      <c r="X282" s="92">
        <f>IFERROR(VLOOKUP($A282,'13. Mapa Títulos-Receita'!$A$8:$P$1000,9,FALSE),"")</f>
        <v/>
      </c>
      <c r="Y282" s="92">
        <f>IFERROR(VLOOKUP($A282,'13. Mapa Títulos-Receita'!$A$8:$P$1000,10,FALSE),"")</f>
        <v/>
      </c>
      <c r="Z282" s="92">
        <f>IFERROR(VLOOKUP($A282,'13. Mapa Títulos-Receita'!$A$8:$P$1000,11,FALSE),"")</f>
        <v/>
      </c>
      <c r="AA282" s="92">
        <f>IFERROR(VLOOKUP($A282,'13. Mapa Títulos-Receita'!$A$8:$P$1000,12,FALSE),"")</f>
        <v/>
      </c>
      <c r="AB282" s="92">
        <f>IFERROR(VLOOKUP($A282,'13. Mapa Títulos-Receita'!$A$8:$P$1000,13,FALSE),"")</f>
        <v/>
      </c>
      <c r="AC282" s="92">
        <f>IFERROR(VLOOKUP($A282,'13. Mapa Títulos-Receita'!$A$8:$P$1000,14,FALSE),"")</f>
        <v/>
      </c>
      <c r="AD282" s="92">
        <f>IFERROR(VLOOKUP($A282,'13. Mapa Títulos-Receita'!$A$8:$P$1000,15,FALSE),"")</f>
        <v/>
      </c>
      <c r="AE282" s="92">
        <f>IFERROR(VLOOKUP($A282,'13. Mapa Títulos-Receita'!$A$8:$P$1000,16,FALSE),"")</f>
        <v/>
      </c>
    </row>
    <row r="283">
      <c r="A283" s="28">
        <f>IF(C283="","", "CR-"&amp;TEXT(ROW()-7,"000"))</f>
        <v/>
      </c>
      <c r="B283" s="28" t="n"/>
      <c r="C283" s="28" t="n"/>
      <c r="D283" s="111" t="n"/>
      <c r="E283" s="111" t="n"/>
      <c r="F283" s="111" t="n"/>
      <c r="G283" s="28" t="n"/>
      <c r="H283" s="45" t="n"/>
      <c r="I283" s="45" t="n"/>
      <c r="J283" s="28">
        <f>IF(H283="","",IF(I283&gt;=H283,"Recebido",IF($B$4&gt;E283,"Vencido","Aberto")))</f>
        <v/>
      </c>
      <c r="K283" s="4">
        <f>IF(J283="","",IF(OR(J283="Recebido",F283=""),MAX(0,F283-E283),MAX(0,$B$4-E283)))</f>
        <v/>
      </c>
      <c r="L283" s="4">
        <f>IF(K283="","",IF(K283=0,"Em dia",IF(K283&lt;=30,"1-30 dias",IF(K283&lt;=60,"31-60 dias",IF(K283&lt;=90,"61-90 dias","&gt;90 dias")))))</f>
        <v/>
      </c>
      <c r="M283" s="28" t="n"/>
      <c r="N283" s="104" t="inlineStr"/>
      <c r="O283" s="64" t="n"/>
      <c r="P283" s="64">
        <f>IF(C283="","",IF(ISNUMBER(SEARCH("PCMSO",C283)),"PCMSO",IF(OR(ISNUMBER(SEARCH("E-SOCIAL",C283)),ISNUMBER(SEARCH("PSICOSOCIAL",C283))),"eSocial / Psicossocial",IF(O283="Receita recorrente","Carteira recorrente","Projetos / Laudos / Avulsos"))))</f>
        <v/>
      </c>
      <c r="Q283" s="64">
        <f>IF(P283="","",IF(P283="Carteira recorrente","Operação recorrente",IF(P283="PCMSO","Projetos PCMSO",IF(P283="eSocial / Psicossocial","Projetos eSocial/Psicossocial","Projetos / Laudos / Avulsos"))))</f>
        <v/>
      </c>
      <c r="R283" s="64">
        <f>IF(C283="","",IF(ISNUMBER(SEARCH("PCMSO",C283)),"Título com PCMSO no nome",IF(OR(ISNUMBER(SEARCH("E-SOCIAL",C283)),ISNUMBER(SEARCH("PSICOSOCIAL",C283))),"Título com eSocial/Psicossocial no nome",IF(O283="Receita recorrente","Tipo DRE recorrente","Extra sem palavra-chave específica"))))</f>
        <v/>
      </c>
      <c r="S283" s="92">
        <f>IFERROR(VLOOKUP($A283,'13. Mapa Títulos-Receita'!$A$8:$P$1000,4,FALSE),"")</f>
        <v/>
      </c>
      <c r="T283" s="92">
        <f>IFERROR(VLOOKUP($A283,'13. Mapa Títulos-Receita'!$A$8:$P$1000,5,FALSE),"")</f>
        <v/>
      </c>
      <c r="U283" s="92">
        <f>IFERROR(VLOOKUP($A283,'13. Mapa Títulos-Receita'!$A$8:$P$1000,6,FALSE),"")</f>
        <v/>
      </c>
      <c r="V283" s="92">
        <f>IFERROR(VLOOKUP($A283,'13. Mapa Títulos-Receita'!$A$8:$P$1000,7,FALSE),"")</f>
        <v/>
      </c>
      <c r="W283" s="92">
        <f>IFERROR(VLOOKUP($A283,'13. Mapa Títulos-Receita'!$A$8:$P$1000,8,FALSE),"")</f>
        <v/>
      </c>
      <c r="X283" s="92">
        <f>IFERROR(VLOOKUP($A283,'13. Mapa Títulos-Receita'!$A$8:$P$1000,9,FALSE),"")</f>
        <v/>
      </c>
      <c r="Y283" s="92">
        <f>IFERROR(VLOOKUP($A283,'13. Mapa Títulos-Receita'!$A$8:$P$1000,10,FALSE),"")</f>
        <v/>
      </c>
      <c r="Z283" s="92">
        <f>IFERROR(VLOOKUP($A283,'13. Mapa Títulos-Receita'!$A$8:$P$1000,11,FALSE),"")</f>
        <v/>
      </c>
      <c r="AA283" s="92">
        <f>IFERROR(VLOOKUP($A283,'13. Mapa Títulos-Receita'!$A$8:$P$1000,12,FALSE),"")</f>
        <v/>
      </c>
      <c r="AB283" s="92">
        <f>IFERROR(VLOOKUP($A283,'13. Mapa Títulos-Receita'!$A$8:$P$1000,13,FALSE),"")</f>
        <v/>
      </c>
      <c r="AC283" s="92">
        <f>IFERROR(VLOOKUP($A283,'13. Mapa Títulos-Receita'!$A$8:$P$1000,14,FALSE),"")</f>
        <v/>
      </c>
      <c r="AD283" s="92">
        <f>IFERROR(VLOOKUP($A283,'13. Mapa Títulos-Receita'!$A$8:$P$1000,15,FALSE),"")</f>
        <v/>
      </c>
      <c r="AE283" s="92">
        <f>IFERROR(VLOOKUP($A283,'13. Mapa Títulos-Receita'!$A$8:$P$1000,16,FALSE),"")</f>
        <v/>
      </c>
    </row>
    <row r="284">
      <c r="A284" s="28">
        <f>IF(C284="","", "CR-"&amp;TEXT(ROW()-7,"000"))</f>
        <v/>
      </c>
      <c r="B284" s="28" t="n"/>
      <c r="C284" s="28" t="n"/>
      <c r="D284" s="111" t="n"/>
      <c r="E284" s="111" t="n"/>
      <c r="F284" s="111" t="n"/>
      <c r="G284" s="28" t="n"/>
      <c r="H284" s="45" t="n"/>
      <c r="I284" s="45" t="n"/>
      <c r="J284" s="28">
        <f>IF(H284="","",IF(I284&gt;=H284,"Recebido",IF($B$4&gt;E284,"Vencido","Aberto")))</f>
        <v/>
      </c>
      <c r="K284" s="4">
        <f>IF(J284="","",IF(OR(J284="Recebido",F284=""),MAX(0,F284-E284),MAX(0,$B$4-E284)))</f>
        <v/>
      </c>
      <c r="L284" s="4">
        <f>IF(K284="","",IF(K284=0,"Em dia",IF(K284&lt;=30,"1-30 dias",IF(K284&lt;=60,"31-60 dias",IF(K284&lt;=90,"61-90 dias","&gt;90 dias")))))</f>
        <v/>
      </c>
      <c r="M284" s="28" t="n"/>
      <c r="N284" s="104" t="inlineStr"/>
      <c r="O284" s="64" t="n"/>
      <c r="P284" s="64">
        <f>IF(C284="","",IF(ISNUMBER(SEARCH("PCMSO",C284)),"PCMSO",IF(OR(ISNUMBER(SEARCH("E-SOCIAL",C284)),ISNUMBER(SEARCH("PSICOSOCIAL",C284))),"eSocial / Psicossocial",IF(O284="Receita recorrente","Carteira recorrente","Projetos / Laudos / Avulsos"))))</f>
        <v/>
      </c>
      <c r="Q284" s="64">
        <f>IF(P284="","",IF(P284="Carteira recorrente","Operação recorrente",IF(P284="PCMSO","Projetos PCMSO",IF(P284="eSocial / Psicossocial","Projetos eSocial/Psicossocial","Projetos / Laudos / Avulsos"))))</f>
        <v/>
      </c>
      <c r="R284" s="64">
        <f>IF(C284="","",IF(ISNUMBER(SEARCH("PCMSO",C284)),"Título com PCMSO no nome",IF(OR(ISNUMBER(SEARCH("E-SOCIAL",C284)),ISNUMBER(SEARCH("PSICOSOCIAL",C284))),"Título com eSocial/Psicossocial no nome",IF(O284="Receita recorrente","Tipo DRE recorrente","Extra sem palavra-chave específica"))))</f>
        <v/>
      </c>
      <c r="S284" s="92">
        <f>IFERROR(VLOOKUP($A284,'13. Mapa Títulos-Receita'!$A$8:$P$1000,4,FALSE),"")</f>
        <v/>
      </c>
      <c r="T284" s="92">
        <f>IFERROR(VLOOKUP($A284,'13. Mapa Títulos-Receita'!$A$8:$P$1000,5,FALSE),"")</f>
        <v/>
      </c>
      <c r="U284" s="92">
        <f>IFERROR(VLOOKUP($A284,'13. Mapa Títulos-Receita'!$A$8:$P$1000,6,FALSE),"")</f>
        <v/>
      </c>
      <c r="V284" s="92">
        <f>IFERROR(VLOOKUP($A284,'13. Mapa Títulos-Receita'!$A$8:$P$1000,7,FALSE),"")</f>
        <v/>
      </c>
      <c r="W284" s="92">
        <f>IFERROR(VLOOKUP($A284,'13. Mapa Títulos-Receita'!$A$8:$P$1000,8,FALSE),"")</f>
        <v/>
      </c>
      <c r="X284" s="92">
        <f>IFERROR(VLOOKUP($A284,'13. Mapa Títulos-Receita'!$A$8:$P$1000,9,FALSE),"")</f>
        <v/>
      </c>
      <c r="Y284" s="92">
        <f>IFERROR(VLOOKUP($A284,'13. Mapa Títulos-Receita'!$A$8:$P$1000,10,FALSE),"")</f>
        <v/>
      </c>
      <c r="Z284" s="92">
        <f>IFERROR(VLOOKUP($A284,'13. Mapa Títulos-Receita'!$A$8:$P$1000,11,FALSE),"")</f>
        <v/>
      </c>
      <c r="AA284" s="92">
        <f>IFERROR(VLOOKUP($A284,'13. Mapa Títulos-Receita'!$A$8:$P$1000,12,FALSE),"")</f>
        <v/>
      </c>
      <c r="AB284" s="92">
        <f>IFERROR(VLOOKUP($A284,'13. Mapa Títulos-Receita'!$A$8:$P$1000,13,FALSE),"")</f>
        <v/>
      </c>
      <c r="AC284" s="92">
        <f>IFERROR(VLOOKUP($A284,'13. Mapa Títulos-Receita'!$A$8:$P$1000,14,FALSE),"")</f>
        <v/>
      </c>
      <c r="AD284" s="92">
        <f>IFERROR(VLOOKUP($A284,'13. Mapa Títulos-Receita'!$A$8:$P$1000,15,FALSE),"")</f>
        <v/>
      </c>
      <c r="AE284" s="92">
        <f>IFERROR(VLOOKUP($A284,'13. Mapa Títulos-Receita'!$A$8:$P$1000,16,FALSE),"")</f>
        <v/>
      </c>
    </row>
    <row r="285">
      <c r="A285" s="28">
        <f>IF(C285="","", "CR-"&amp;TEXT(ROW()-7,"000"))</f>
        <v/>
      </c>
      <c r="B285" s="28" t="n"/>
      <c r="C285" s="28" t="n"/>
      <c r="D285" s="111" t="n"/>
      <c r="E285" s="111" t="n"/>
      <c r="F285" s="111" t="n"/>
      <c r="G285" s="28" t="n"/>
      <c r="H285" s="45" t="n"/>
      <c r="I285" s="45" t="n"/>
      <c r="J285" s="28">
        <f>IF(H285="","",IF(I285&gt;=H285,"Recebido",IF($B$4&gt;E285,"Vencido","Aberto")))</f>
        <v/>
      </c>
      <c r="K285" s="4">
        <f>IF(J285="","",IF(OR(J285="Recebido",F285=""),MAX(0,F285-E285),MAX(0,$B$4-E285)))</f>
        <v/>
      </c>
      <c r="L285" s="4">
        <f>IF(K285="","",IF(K285=0,"Em dia",IF(K285&lt;=30,"1-30 dias",IF(K285&lt;=60,"31-60 dias",IF(K285&lt;=90,"61-90 dias","&gt;90 dias")))))</f>
        <v/>
      </c>
      <c r="M285" s="28" t="n"/>
      <c r="N285" s="104" t="inlineStr"/>
      <c r="O285" s="64" t="n"/>
      <c r="P285" s="64">
        <f>IF(C285="","",IF(ISNUMBER(SEARCH("PCMSO",C285)),"PCMSO",IF(OR(ISNUMBER(SEARCH("E-SOCIAL",C285)),ISNUMBER(SEARCH("PSICOSOCIAL",C285))),"eSocial / Psicossocial",IF(O285="Receita recorrente","Carteira recorrente","Projetos / Laudos / Avulsos"))))</f>
        <v/>
      </c>
      <c r="Q285" s="64">
        <f>IF(P285="","",IF(P285="Carteira recorrente","Operação recorrente",IF(P285="PCMSO","Projetos PCMSO",IF(P285="eSocial / Psicossocial","Projetos eSocial/Psicossocial","Projetos / Laudos / Avulsos"))))</f>
        <v/>
      </c>
      <c r="R285" s="64">
        <f>IF(C285="","",IF(ISNUMBER(SEARCH("PCMSO",C285)),"Título com PCMSO no nome",IF(OR(ISNUMBER(SEARCH("E-SOCIAL",C285)),ISNUMBER(SEARCH("PSICOSOCIAL",C285))),"Título com eSocial/Psicossocial no nome",IF(O285="Receita recorrente","Tipo DRE recorrente","Extra sem palavra-chave específica"))))</f>
        <v/>
      </c>
      <c r="S285" s="92">
        <f>IFERROR(VLOOKUP($A285,'13. Mapa Títulos-Receita'!$A$8:$P$1000,4,FALSE),"")</f>
        <v/>
      </c>
      <c r="T285" s="92">
        <f>IFERROR(VLOOKUP($A285,'13. Mapa Títulos-Receita'!$A$8:$P$1000,5,FALSE),"")</f>
        <v/>
      </c>
      <c r="U285" s="92">
        <f>IFERROR(VLOOKUP($A285,'13. Mapa Títulos-Receita'!$A$8:$P$1000,6,FALSE),"")</f>
        <v/>
      </c>
      <c r="V285" s="92">
        <f>IFERROR(VLOOKUP($A285,'13. Mapa Títulos-Receita'!$A$8:$P$1000,7,FALSE),"")</f>
        <v/>
      </c>
      <c r="W285" s="92">
        <f>IFERROR(VLOOKUP($A285,'13. Mapa Títulos-Receita'!$A$8:$P$1000,8,FALSE),"")</f>
        <v/>
      </c>
      <c r="X285" s="92">
        <f>IFERROR(VLOOKUP($A285,'13. Mapa Títulos-Receita'!$A$8:$P$1000,9,FALSE),"")</f>
        <v/>
      </c>
      <c r="Y285" s="92">
        <f>IFERROR(VLOOKUP($A285,'13. Mapa Títulos-Receita'!$A$8:$P$1000,10,FALSE),"")</f>
        <v/>
      </c>
      <c r="Z285" s="92">
        <f>IFERROR(VLOOKUP($A285,'13. Mapa Títulos-Receita'!$A$8:$P$1000,11,FALSE),"")</f>
        <v/>
      </c>
      <c r="AA285" s="92">
        <f>IFERROR(VLOOKUP($A285,'13. Mapa Títulos-Receita'!$A$8:$P$1000,12,FALSE),"")</f>
        <v/>
      </c>
      <c r="AB285" s="92">
        <f>IFERROR(VLOOKUP($A285,'13. Mapa Títulos-Receita'!$A$8:$P$1000,13,FALSE),"")</f>
        <v/>
      </c>
      <c r="AC285" s="92">
        <f>IFERROR(VLOOKUP($A285,'13. Mapa Títulos-Receita'!$A$8:$P$1000,14,FALSE),"")</f>
        <v/>
      </c>
      <c r="AD285" s="92">
        <f>IFERROR(VLOOKUP($A285,'13. Mapa Títulos-Receita'!$A$8:$P$1000,15,FALSE),"")</f>
        <v/>
      </c>
      <c r="AE285" s="92">
        <f>IFERROR(VLOOKUP($A285,'13. Mapa Títulos-Receita'!$A$8:$P$1000,16,FALSE),"")</f>
        <v/>
      </c>
    </row>
    <row r="286">
      <c r="A286" s="28">
        <f>IF(C286="","", "CR-"&amp;TEXT(ROW()-7,"000"))</f>
        <v/>
      </c>
      <c r="B286" s="28" t="n"/>
      <c r="C286" s="28" t="n"/>
      <c r="D286" s="111" t="n"/>
      <c r="E286" s="111" t="n"/>
      <c r="F286" s="111" t="n"/>
      <c r="G286" s="28" t="n"/>
      <c r="H286" s="45" t="n"/>
      <c r="I286" s="45" t="n"/>
      <c r="J286" s="28">
        <f>IF(H286="","",IF(I286&gt;=H286,"Recebido",IF($B$4&gt;E286,"Vencido","Aberto")))</f>
        <v/>
      </c>
      <c r="K286" s="4">
        <f>IF(J286="","",IF(OR(J286="Recebido",F286=""),MAX(0,F286-E286),MAX(0,$B$4-E286)))</f>
        <v/>
      </c>
      <c r="L286" s="4">
        <f>IF(K286="","",IF(K286=0,"Em dia",IF(K286&lt;=30,"1-30 dias",IF(K286&lt;=60,"31-60 dias",IF(K286&lt;=90,"61-90 dias","&gt;90 dias")))))</f>
        <v/>
      </c>
      <c r="M286" s="28" t="n"/>
      <c r="N286" s="104" t="inlineStr"/>
      <c r="O286" s="64" t="n"/>
      <c r="P286" s="64">
        <f>IF(C286="","",IF(ISNUMBER(SEARCH("PCMSO",C286)),"PCMSO",IF(OR(ISNUMBER(SEARCH("E-SOCIAL",C286)),ISNUMBER(SEARCH("PSICOSOCIAL",C286))),"eSocial / Psicossocial",IF(O286="Receita recorrente","Carteira recorrente","Projetos / Laudos / Avulsos"))))</f>
        <v/>
      </c>
      <c r="Q286" s="64">
        <f>IF(P286="","",IF(P286="Carteira recorrente","Operação recorrente",IF(P286="PCMSO","Projetos PCMSO",IF(P286="eSocial / Psicossocial","Projetos eSocial/Psicossocial","Projetos / Laudos / Avulsos"))))</f>
        <v/>
      </c>
      <c r="R286" s="64">
        <f>IF(C286="","",IF(ISNUMBER(SEARCH("PCMSO",C286)),"Título com PCMSO no nome",IF(OR(ISNUMBER(SEARCH("E-SOCIAL",C286)),ISNUMBER(SEARCH("PSICOSOCIAL",C286))),"Título com eSocial/Psicossocial no nome",IF(O286="Receita recorrente","Tipo DRE recorrente","Extra sem palavra-chave específica"))))</f>
        <v/>
      </c>
      <c r="S286" s="92">
        <f>IFERROR(VLOOKUP($A286,'13. Mapa Títulos-Receita'!$A$8:$P$1000,4,FALSE),"")</f>
        <v/>
      </c>
      <c r="T286" s="92">
        <f>IFERROR(VLOOKUP($A286,'13. Mapa Títulos-Receita'!$A$8:$P$1000,5,FALSE),"")</f>
        <v/>
      </c>
      <c r="U286" s="92">
        <f>IFERROR(VLOOKUP($A286,'13. Mapa Títulos-Receita'!$A$8:$P$1000,6,FALSE),"")</f>
        <v/>
      </c>
      <c r="V286" s="92">
        <f>IFERROR(VLOOKUP($A286,'13. Mapa Títulos-Receita'!$A$8:$P$1000,7,FALSE),"")</f>
        <v/>
      </c>
      <c r="W286" s="92">
        <f>IFERROR(VLOOKUP($A286,'13. Mapa Títulos-Receita'!$A$8:$P$1000,8,FALSE),"")</f>
        <v/>
      </c>
      <c r="X286" s="92">
        <f>IFERROR(VLOOKUP($A286,'13. Mapa Títulos-Receita'!$A$8:$P$1000,9,FALSE),"")</f>
        <v/>
      </c>
      <c r="Y286" s="92">
        <f>IFERROR(VLOOKUP($A286,'13. Mapa Títulos-Receita'!$A$8:$P$1000,10,FALSE),"")</f>
        <v/>
      </c>
      <c r="Z286" s="92">
        <f>IFERROR(VLOOKUP($A286,'13. Mapa Títulos-Receita'!$A$8:$P$1000,11,FALSE),"")</f>
        <v/>
      </c>
      <c r="AA286" s="92">
        <f>IFERROR(VLOOKUP($A286,'13. Mapa Títulos-Receita'!$A$8:$P$1000,12,FALSE),"")</f>
        <v/>
      </c>
      <c r="AB286" s="92">
        <f>IFERROR(VLOOKUP($A286,'13. Mapa Títulos-Receita'!$A$8:$P$1000,13,FALSE),"")</f>
        <v/>
      </c>
      <c r="AC286" s="92">
        <f>IFERROR(VLOOKUP($A286,'13. Mapa Títulos-Receita'!$A$8:$P$1000,14,FALSE),"")</f>
        <v/>
      </c>
      <c r="AD286" s="92">
        <f>IFERROR(VLOOKUP($A286,'13. Mapa Títulos-Receita'!$A$8:$P$1000,15,FALSE),"")</f>
        <v/>
      </c>
      <c r="AE286" s="92">
        <f>IFERROR(VLOOKUP($A286,'13. Mapa Títulos-Receita'!$A$8:$P$1000,16,FALSE),"")</f>
        <v/>
      </c>
    </row>
    <row r="287">
      <c r="A287" s="28">
        <f>IF(C287="","", "CR-"&amp;TEXT(ROW()-7,"000"))</f>
        <v/>
      </c>
      <c r="B287" s="28" t="n"/>
      <c r="C287" s="28" t="n"/>
      <c r="D287" s="111" t="n"/>
      <c r="E287" s="111" t="n"/>
      <c r="F287" s="111" t="n"/>
      <c r="G287" s="28" t="n"/>
      <c r="H287" s="45" t="n"/>
      <c r="I287" s="45" t="n"/>
      <c r="J287" s="28">
        <f>IF(H287="","",IF(I287&gt;=H287,"Recebido",IF($B$4&gt;E287,"Vencido","Aberto")))</f>
        <v/>
      </c>
      <c r="K287" s="4">
        <f>IF(J287="","",IF(OR(J287="Recebido",F287=""),MAX(0,F287-E287),MAX(0,$B$4-E287)))</f>
        <v/>
      </c>
      <c r="L287" s="4">
        <f>IF(K287="","",IF(K287=0,"Em dia",IF(K287&lt;=30,"1-30 dias",IF(K287&lt;=60,"31-60 dias",IF(K287&lt;=90,"61-90 dias","&gt;90 dias")))))</f>
        <v/>
      </c>
      <c r="M287" s="28" t="n"/>
      <c r="N287" s="104" t="inlineStr"/>
      <c r="O287" s="64" t="n"/>
      <c r="P287" s="64">
        <f>IF(C287="","",IF(ISNUMBER(SEARCH("PCMSO",C287)),"PCMSO",IF(OR(ISNUMBER(SEARCH("E-SOCIAL",C287)),ISNUMBER(SEARCH("PSICOSOCIAL",C287))),"eSocial / Psicossocial",IF(O287="Receita recorrente","Carteira recorrente","Projetos / Laudos / Avulsos"))))</f>
        <v/>
      </c>
      <c r="Q287" s="64">
        <f>IF(P287="","",IF(P287="Carteira recorrente","Operação recorrente",IF(P287="PCMSO","Projetos PCMSO",IF(P287="eSocial / Psicossocial","Projetos eSocial/Psicossocial","Projetos / Laudos / Avulsos"))))</f>
        <v/>
      </c>
      <c r="R287" s="64">
        <f>IF(C287="","",IF(ISNUMBER(SEARCH("PCMSO",C287)),"Título com PCMSO no nome",IF(OR(ISNUMBER(SEARCH("E-SOCIAL",C287)),ISNUMBER(SEARCH("PSICOSOCIAL",C287))),"Título com eSocial/Psicossocial no nome",IF(O287="Receita recorrente","Tipo DRE recorrente","Extra sem palavra-chave específica"))))</f>
        <v/>
      </c>
      <c r="S287" s="92">
        <f>IFERROR(VLOOKUP($A287,'13. Mapa Títulos-Receita'!$A$8:$P$1000,4,FALSE),"")</f>
        <v/>
      </c>
      <c r="T287" s="92">
        <f>IFERROR(VLOOKUP($A287,'13. Mapa Títulos-Receita'!$A$8:$P$1000,5,FALSE),"")</f>
        <v/>
      </c>
      <c r="U287" s="92">
        <f>IFERROR(VLOOKUP($A287,'13. Mapa Títulos-Receita'!$A$8:$P$1000,6,FALSE),"")</f>
        <v/>
      </c>
      <c r="V287" s="92">
        <f>IFERROR(VLOOKUP($A287,'13. Mapa Títulos-Receita'!$A$8:$P$1000,7,FALSE),"")</f>
        <v/>
      </c>
      <c r="W287" s="92">
        <f>IFERROR(VLOOKUP($A287,'13. Mapa Títulos-Receita'!$A$8:$P$1000,8,FALSE),"")</f>
        <v/>
      </c>
      <c r="X287" s="92">
        <f>IFERROR(VLOOKUP($A287,'13. Mapa Títulos-Receita'!$A$8:$P$1000,9,FALSE),"")</f>
        <v/>
      </c>
      <c r="Y287" s="92">
        <f>IFERROR(VLOOKUP($A287,'13. Mapa Títulos-Receita'!$A$8:$P$1000,10,FALSE),"")</f>
        <v/>
      </c>
      <c r="Z287" s="92">
        <f>IFERROR(VLOOKUP($A287,'13. Mapa Títulos-Receita'!$A$8:$P$1000,11,FALSE),"")</f>
        <v/>
      </c>
      <c r="AA287" s="92">
        <f>IFERROR(VLOOKUP($A287,'13. Mapa Títulos-Receita'!$A$8:$P$1000,12,FALSE),"")</f>
        <v/>
      </c>
      <c r="AB287" s="92">
        <f>IFERROR(VLOOKUP($A287,'13. Mapa Títulos-Receita'!$A$8:$P$1000,13,FALSE),"")</f>
        <v/>
      </c>
      <c r="AC287" s="92">
        <f>IFERROR(VLOOKUP($A287,'13. Mapa Títulos-Receita'!$A$8:$P$1000,14,FALSE),"")</f>
        <v/>
      </c>
      <c r="AD287" s="92">
        <f>IFERROR(VLOOKUP($A287,'13. Mapa Títulos-Receita'!$A$8:$P$1000,15,FALSE),"")</f>
        <v/>
      </c>
      <c r="AE287" s="92">
        <f>IFERROR(VLOOKUP($A287,'13. Mapa Títulos-Receita'!$A$8:$P$1000,16,FALSE),"")</f>
        <v/>
      </c>
    </row>
    <row r="288">
      <c r="A288" s="28">
        <f>IF(C288="","", "CR-"&amp;TEXT(ROW()-7,"000"))</f>
        <v/>
      </c>
      <c r="B288" s="28" t="n"/>
      <c r="C288" s="28" t="n"/>
      <c r="D288" s="111" t="n"/>
      <c r="E288" s="111" t="n"/>
      <c r="F288" s="111" t="n"/>
      <c r="G288" s="28" t="n"/>
      <c r="H288" s="45" t="n"/>
      <c r="I288" s="45" t="n"/>
      <c r="J288" s="28">
        <f>IF(H288="","",IF(I288&gt;=H288,"Recebido",IF($B$4&gt;E288,"Vencido","Aberto")))</f>
        <v/>
      </c>
      <c r="K288" s="4">
        <f>IF(J288="","",IF(OR(J288="Recebido",F288=""),MAX(0,F288-E288),MAX(0,$B$4-E288)))</f>
        <v/>
      </c>
      <c r="L288" s="4">
        <f>IF(K288="","",IF(K288=0,"Em dia",IF(K288&lt;=30,"1-30 dias",IF(K288&lt;=60,"31-60 dias",IF(K288&lt;=90,"61-90 dias","&gt;90 dias")))))</f>
        <v/>
      </c>
      <c r="M288" s="28" t="n"/>
      <c r="N288" s="104" t="inlineStr"/>
      <c r="O288" s="64" t="n"/>
      <c r="P288" s="64">
        <f>IF(C288="","",IF(ISNUMBER(SEARCH("PCMSO",C288)),"PCMSO",IF(OR(ISNUMBER(SEARCH("E-SOCIAL",C288)),ISNUMBER(SEARCH("PSICOSOCIAL",C288))),"eSocial / Psicossocial",IF(O288="Receita recorrente","Carteira recorrente","Projetos / Laudos / Avulsos"))))</f>
        <v/>
      </c>
      <c r="Q288" s="64">
        <f>IF(P288="","",IF(P288="Carteira recorrente","Operação recorrente",IF(P288="PCMSO","Projetos PCMSO",IF(P288="eSocial / Psicossocial","Projetos eSocial/Psicossocial","Projetos / Laudos / Avulsos"))))</f>
        <v/>
      </c>
      <c r="R288" s="64">
        <f>IF(C288="","",IF(ISNUMBER(SEARCH("PCMSO",C288)),"Título com PCMSO no nome",IF(OR(ISNUMBER(SEARCH("E-SOCIAL",C288)),ISNUMBER(SEARCH("PSICOSOCIAL",C288))),"Título com eSocial/Psicossocial no nome",IF(O288="Receita recorrente","Tipo DRE recorrente","Extra sem palavra-chave específica"))))</f>
        <v/>
      </c>
      <c r="S288" s="92">
        <f>IFERROR(VLOOKUP($A288,'13. Mapa Títulos-Receita'!$A$8:$P$1000,4,FALSE),"")</f>
        <v/>
      </c>
      <c r="T288" s="92">
        <f>IFERROR(VLOOKUP($A288,'13. Mapa Títulos-Receita'!$A$8:$P$1000,5,FALSE),"")</f>
        <v/>
      </c>
      <c r="U288" s="92">
        <f>IFERROR(VLOOKUP($A288,'13. Mapa Títulos-Receita'!$A$8:$P$1000,6,FALSE),"")</f>
        <v/>
      </c>
      <c r="V288" s="92">
        <f>IFERROR(VLOOKUP($A288,'13. Mapa Títulos-Receita'!$A$8:$P$1000,7,FALSE),"")</f>
        <v/>
      </c>
      <c r="W288" s="92">
        <f>IFERROR(VLOOKUP($A288,'13. Mapa Títulos-Receita'!$A$8:$P$1000,8,FALSE),"")</f>
        <v/>
      </c>
      <c r="X288" s="92">
        <f>IFERROR(VLOOKUP($A288,'13. Mapa Títulos-Receita'!$A$8:$P$1000,9,FALSE),"")</f>
        <v/>
      </c>
      <c r="Y288" s="92">
        <f>IFERROR(VLOOKUP($A288,'13. Mapa Títulos-Receita'!$A$8:$P$1000,10,FALSE),"")</f>
        <v/>
      </c>
      <c r="Z288" s="92">
        <f>IFERROR(VLOOKUP($A288,'13. Mapa Títulos-Receita'!$A$8:$P$1000,11,FALSE),"")</f>
        <v/>
      </c>
      <c r="AA288" s="92">
        <f>IFERROR(VLOOKUP($A288,'13. Mapa Títulos-Receita'!$A$8:$P$1000,12,FALSE),"")</f>
        <v/>
      </c>
      <c r="AB288" s="92">
        <f>IFERROR(VLOOKUP($A288,'13. Mapa Títulos-Receita'!$A$8:$P$1000,13,FALSE),"")</f>
        <v/>
      </c>
      <c r="AC288" s="92">
        <f>IFERROR(VLOOKUP($A288,'13. Mapa Títulos-Receita'!$A$8:$P$1000,14,FALSE),"")</f>
        <v/>
      </c>
      <c r="AD288" s="92">
        <f>IFERROR(VLOOKUP($A288,'13. Mapa Títulos-Receita'!$A$8:$P$1000,15,FALSE),"")</f>
        <v/>
      </c>
      <c r="AE288" s="92">
        <f>IFERROR(VLOOKUP($A288,'13. Mapa Títulos-Receita'!$A$8:$P$1000,16,FALSE),"")</f>
        <v/>
      </c>
    </row>
    <row r="289">
      <c r="A289" s="28">
        <f>IF(C289="","", "CR-"&amp;TEXT(ROW()-7,"000"))</f>
        <v/>
      </c>
      <c r="B289" s="28" t="n"/>
      <c r="C289" s="28" t="n"/>
      <c r="D289" s="111" t="n"/>
      <c r="E289" s="111" t="n"/>
      <c r="F289" s="111" t="n"/>
      <c r="G289" s="28" t="n"/>
      <c r="H289" s="45" t="n"/>
      <c r="I289" s="45" t="n"/>
      <c r="J289" s="28">
        <f>IF(H289="","",IF(I289&gt;=H289,"Recebido",IF($B$4&gt;E289,"Vencido","Aberto")))</f>
        <v/>
      </c>
      <c r="K289" s="4">
        <f>IF(J289="","",IF(OR(J289="Recebido",F289=""),MAX(0,F289-E289),MAX(0,$B$4-E289)))</f>
        <v/>
      </c>
      <c r="L289" s="4">
        <f>IF(K289="","",IF(K289=0,"Em dia",IF(K289&lt;=30,"1-30 dias",IF(K289&lt;=60,"31-60 dias",IF(K289&lt;=90,"61-90 dias","&gt;90 dias")))))</f>
        <v/>
      </c>
      <c r="M289" s="28" t="n"/>
      <c r="N289" s="104" t="inlineStr"/>
      <c r="O289" s="64" t="n"/>
      <c r="P289" s="64">
        <f>IF(C289="","",IF(ISNUMBER(SEARCH("PCMSO",C289)),"PCMSO",IF(OR(ISNUMBER(SEARCH("E-SOCIAL",C289)),ISNUMBER(SEARCH("PSICOSOCIAL",C289))),"eSocial / Psicossocial",IF(O289="Receita recorrente","Carteira recorrente","Projetos / Laudos / Avulsos"))))</f>
        <v/>
      </c>
      <c r="Q289" s="64">
        <f>IF(P289="","",IF(P289="Carteira recorrente","Operação recorrente",IF(P289="PCMSO","Projetos PCMSO",IF(P289="eSocial / Psicossocial","Projetos eSocial/Psicossocial","Projetos / Laudos / Avulsos"))))</f>
        <v/>
      </c>
      <c r="R289" s="64">
        <f>IF(C289="","",IF(ISNUMBER(SEARCH("PCMSO",C289)),"Título com PCMSO no nome",IF(OR(ISNUMBER(SEARCH("E-SOCIAL",C289)),ISNUMBER(SEARCH("PSICOSOCIAL",C289))),"Título com eSocial/Psicossocial no nome",IF(O289="Receita recorrente","Tipo DRE recorrente","Extra sem palavra-chave específica"))))</f>
        <v/>
      </c>
      <c r="S289" s="92">
        <f>IFERROR(VLOOKUP($A289,'13. Mapa Títulos-Receita'!$A$8:$P$1000,4,FALSE),"")</f>
        <v/>
      </c>
      <c r="T289" s="92">
        <f>IFERROR(VLOOKUP($A289,'13. Mapa Títulos-Receita'!$A$8:$P$1000,5,FALSE),"")</f>
        <v/>
      </c>
      <c r="U289" s="92">
        <f>IFERROR(VLOOKUP($A289,'13. Mapa Títulos-Receita'!$A$8:$P$1000,6,FALSE),"")</f>
        <v/>
      </c>
      <c r="V289" s="92">
        <f>IFERROR(VLOOKUP($A289,'13. Mapa Títulos-Receita'!$A$8:$P$1000,7,FALSE),"")</f>
        <v/>
      </c>
      <c r="W289" s="92">
        <f>IFERROR(VLOOKUP($A289,'13. Mapa Títulos-Receita'!$A$8:$P$1000,8,FALSE),"")</f>
        <v/>
      </c>
      <c r="X289" s="92">
        <f>IFERROR(VLOOKUP($A289,'13. Mapa Títulos-Receita'!$A$8:$P$1000,9,FALSE),"")</f>
        <v/>
      </c>
      <c r="Y289" s="92">
        <f>IFERROR(VLOOKUP($A289,'13. Mapa Títulos-Receita'!$A$8:$P$1000,10,FALSE),"")</f>
        <v/>
      </c>
      <c r="Z289" s="92">
        <f>IFERROR(VLOOKUP($A289,'13. Mapa Títulos-Receita'!$A$8:$P$1000,11,FALSE),"")</f>
        <v/>
      </c>
      <c r="AA289" s="92">
        <f>IFERROR(VLOOKUP($A289,'13. Mapa Títulos-Receita'!$A$8:$P$1000,12,FALSE),"")</f>
        <v/>
      </c>
      <c r="AB289" s="92">
        <f>IFERROR(VLOOKUP($A289,'13. Mapa Títulos-Receita'!$A$8:$P$1000,13,FALSE),"")</f>
        <v/>
      </c>
      <c r="AC289" s="92">
        <f>IFERROR(VLOOKUP($A289,'13. Mapa Títulos-Receita'!$A$8:$P$1000,14,FALSE),"")</f>
        <v/>
      </c>
      <c r="AD289" s="92">
        <f>IFERROR(VLOOKUP($A289,'13. Mapa Títulos-Receita'!$A$8:$P$1000,15,FALSE),"")</f>
        <v/>
      </c>
      <c r="AE289" s="92">
        <f>IFERROR(VLOOKUP($A289,'13. Mapa Títulos-Receita'!$A$8:$P$1000,16,FALSE),"")</f>
        <v/>
      </c>
    </row>
    <row r="290">
      <c r="A290" s="28">
        <f>IF(C290="","", "CR-"&amp;TEXT(ROW()-7,"000"))</f>
        <v/>
      </c>
      <c r="B290" s="28" t="n"/>
      <c r="C290" s="28" t="n"/>
      <c r="D290" s="111" t="n"/>
      <c r="E290" s="111" t="n"/>
      <c r="F290" s="111" t="n"/>
      <c r="G290" s="28" t="n"/>
      <c r="H290" s="45" t="n"/>
      <c r="I290" s="45" t="n"/>
      <c r="J290" s="28">
        <f>IF(H290="","",IF(I290&gt;=H290,"Recebido",IF($B$4&gt;E290,"Vencido","Aberto")))</f>
        <v/>
      </c>
      <c r="K290" s="4">
        <f>IF(J290="","",IF(OR(J290="Recebido",F290=""),MAX(0,F290-E290),MAX(0,$B$4-E290)))</f>
        <v/>
      </c>
      <c r="L290" s="4">
        <f>IF(K290="","",IF(K290=0,"Em dia",IF(K290&lt;=30,"1-30 dias",IF(K290&lt;=60,"31-60 dias",IF(K290&lt;=90,"61-90 dias","&gt;90 dias")))))</f>
        <v/>
      </c>
      <c r="M290" s="28" t="n"/>
      <c r="N290" s="104" t="inlineStr"/>
      <c r="O290" s="64" t="n"/>
      <c r="P290" s="64">
        <f>IF(C290="","",IF(ISNUMBER(SEARCH("PCMSO",C290)),"PCMSO",IF(OR(ISNUMBER(SEARCH("E-SOCIAL",C290)),ISNUMBER(SEARCH("PSICOSOCIAL",C290))),"eSocial / Psicossocial",IF(O290="Receita recorrente","Carteira recorrente","Projetos / Laudos / Avulsos"))))</f>
        <v/>
      </c>
      <c r="Q290" s="64">
        <f>IF(P290="","",IF(P290="Carteira recorrente","Operação recorrente",IF(P290="PCMSO","Projetos PCMSO",IF(P290="eSocial / Psicossocial","Projetos eSocial/Psicossocial","Projetos / Laudos / Avulsos"))))</f>
        <v/>
      </c>
      <c r="R290" s="64">
        <f>IF(C290="","",IF(ISNUMBER(SEARCH("PCMSO",C290)),"Título com PCMSO no nome",IF(OR(ISNUMBER(SEARCH("E-SOCIAL",C290)),ISNUMBER(SEARCH("PSICOSOCIAL",C290))),"Título com eSocial/Psicossocial no nome",IF(O290="Receita recorrente","Tipo DRE recorrente","Extra sem palavra-chave específica"))))</f>
        <v/>
      </c>
      <c r="S290" s="92">
        <f>IFERROR(VLOOKUP($A290,'13. Mapa Títulos-Receita'!$A$8:$P$1000,4,FALSE),"")</f>
        <v/>
      </c>
      <c r="T290" s="92">
        <f>IFERROR(VLOOKUP($A290,'13. Mapa Títulos-Receita'!$A$8:$P$1000,5,FALSE),"")</f>
        <v/>
      </c>
      <c r="U290" s="92">
        <f>IFERROR(VLOOKUP($A290,'13. Mapa Títulos-Receita'!$A$8:$P$1000,6,FALSE),"")</f>
        <v/>
      </c>
      <c r="V290" s="92">
        <f>IFERROR(VLOOKUP($A290,'13. Mapa Títulos-Receita'!$A$8:$P$1000,7,FALSE),"")</f>
        <v/>
      </c>
      <c r="W290" s="92">
        <f>IFERROR(VLOOKUP($A290,'13. Mapa Títulos-Receita'!$A$8:$P$1000,8,FALSE),"")</f>
        <v/>
      </c>
      <c r="X290" s="92">
        <f>IFERROR(VLOOKUP($A290,'13. Mapa Títulos-Receita'!$A$8:$P$1000,9,FALSE),"")</f>
        <v/>
      </c>
      <c r="Y290" s="92">
        <f>IFERROR(VLOOKUP($A290,'13. Mapa Títulos-Receita'!$A$8:$P$1000,10,FALSE),"")</f>
        <v/>
      </c>
      <c r="Z290" s="92">
        <f>IFERROR(VLOOKUP($A290,'13. Mapa Títulos-Receita'!$A$8:$P$1000,11,FALSE),"")</f>
        <v/>
      </c>
      <c r="AA290" s="92">
        <f>IFERROR(VLOOKUP($A290,'13. Mapa Títulos-Receita'!$A$8:$P$1000,12,FALSE),"")</f>
        <v/>
      </c>
      <c r="AB290" s="92">
        <f>IFERROR(VLOOKUP($A290,'13. Mapa Títulos-Receita'!$A$8:$P$1000,13,FALSE),"")</f>
        <v/>
      </c>
      <c r="AC290" s="92">
        <f>IFERROR(VLOOKUP($A290,'13. Mapa Títulos-Receita'!$A$8:$P$1000,14,FALSE),"")</f>
        <v/>
      </c>
      <c r="AD290" s="92">
        <f>IFERROR(VLOOKUP($A290,'13. Mapa Títulos-Receita'!$A$8:$P$1000,15,FALSE),"")</f>
        <v/>
      </c>
      <c r="AE290" s="92">
        <f>IFERROR(VLOOKUP($A290,'13. Mapa Títulos-Receita'!$A$8:$P$1000,16,FALSE),"")</f>
        <v/>
      </c>
    </row>
    <row r="291">
      <c r="A291" s="28">
        <f>IF(C291="","", "CR-"&amp;TEXT(ROW()-7,"000"))</f>
        <v/>
      </c>
      <c r="B291" s="28" t="n"/>
      <c r="C291" s="28" t="n"/>
      <c r="D291" s="111" t="n"/>
      <c r="E291" s="111" t="n"/>
      <c r="F291" s="111" t="n"/>
      <c r="G291" s="28" t="n"/>
      <c r="H291" s="45" t="n"/>
      <c r="I291" s="45" t="n"/>
      <c r="J291" s="28">
        <f>IF(H291="","",IF(I291&gt;=H291,"Recebido",IF($B$4&gt;E291,"Vencido","Aberto")))</f>
        <v/>
      </c>
      <c r="K291" s="4">
        <f>IF(J291="","",IF(OR(J291="Recebido",F291=""),MAX(0,F291-E291),MAX(0,$B$4-E291)))</f>
        <v/>
      </c>
      <c r="L291" s="4">
        <f>IF(K291="","",IF(K291=0,"Em dia",IF(K291&lt;=30,"1-30 dias",IF(K291&lt;=60,"31-60 dias",IF(K291&lt;=90,"61-90 dias","&gt;90 dias")))))</f>
        <v/>
      </c>
      <c r="M291" s="28" t="n"/>
      <c r="N291" s="104" t="inlineStr"/>
      <c r="O291" s="64" t="n"/>
      <c r="P291" s="64">
        <f>IF(C291="","",IF(ISNUMBER(SEARCH("PCMSO",C291)),"PCMSO",IF(OR(ISNUMBER(SEARCH("E-SOCIAL",C291)),ISNUMBER(SEARCH("PSICOSOCIAL",C291))),"eSocial / Psicossocial",IF(O291="Receita recorrente","Carteira recorrente","Projetos / Laudos / Avulsos"))))</f>
        <v/>
      </c>
      <c r="Q291" s="64">
        <f>IF(P291="","",IF(P291="Carteira recorrente","Operação recorrente",IF(P291="PCMSO","Projetos PCMSO",IF(P291="eSocial / Psicossocial","Projetos eSocial/Psicossocial","Projetos / Laudos / Avulsos"))))</f>
        <v/>
      </c>
      <c r="R291" s="64">
        <f>IF(C291="","",IF(ISNUMBER(SEARCH("PCMSO",C291)),"Título com PCMSO no nome",IF(OR(ISNUMBER(SEARCH("E-SOCIAL",C291)),ISNUMBER(SEARCH("PSICOSOCIAL",C291))),"Título com eSocial/Psicossocial no nome",IF(O291="Receita recorrente","Tipo DRE recorrente","Extra sem palavra-chave específica"))))</f>
        <v/>
      </c>
      <c r="S291" s="92">
        <f>IFERROR(VLOOKUP($A291,'13. Mapa Títulos-Receita'!$A$8:$P$1000,4,FALSE),"")</f>
        <v/>
      </c>
      <c r="T291" s="92">
        <f>IFERROR(VLOOKUP($A291,'13. Mapa Títulos-Receita'!$A$8:$P$1000,5,FALSE),"")</f>
        <v/>
      </c>
      <c r="U291" s="92">
        <f>IFERROR(VLOOKUP($A291,'13. Mapa Títulos-Receita'!$A$8:$P$1000,6,FALSE),"")</f>
        <v/>
      </c>
      <c r="V291" s="92">
        <f>IFERROR(VLOOKUP($A291,'13. Mapa Títulos-Receita'!$A$8:$P$1000,7,FALSE),"")</f>
        <v/>
      </c>
      <c r="W291" s="92">
        <f>IFERROR(VLOOKUP($A291,'13. Mapa Títulos-Receita'!$A$8:$P$1000,8,FALSE),"")</f>
        <v/>
      </c>
      <c r="X291" s="92">
        <f>IFERROR(VLOOKUP($A291,'13. Mapa Títulos-Receita'!$A$8:$P$1000,9,FALSE),"")</f>
        <v/>
      </c>
      <c r="Y291" s="92">
        <f>IFERROR(VLOOKUP($A291,'13. Mapa Títulos-Receita'!$A$8:$P$1000,10,FALSE),"")</f>
        <v/>
      </c>
      <c r="Z291" s="92">
        <f>IFERROR(VLOOKUP($A291,'13. Mapa Títulos-Receita'!$A$8:$P$1000,11,FALSE),"")</f>
        <v/>
      </c>
      <c r="AA291" s="92">
        <f>IFERROR(VLOOKUP($A291,'13. Mapa Títulos-Receita'!$A$8:$P$1000,12,FALSE),"")</f>
        <v/>
      </c>
      <c r="AB291" s="92">
        <f>IFERROR(VLOOKUP($A291,'13. Mapa Títulos-Receita'!$A$8:$P$1000,13,FALSE),"")</f>
        <v/>
      </c>
      <c r="AC291" s="92">
        <f>IFERROR(VLOOKUP($A291,'13. Mapa Títulos-Receita'!$A$8:$P$1000,14,FALSE),"")</f>
        <v/>
      </c>
      <c r="AD291" s="92">
        <f>IFERROR(VLOOKUP($A291,'13. Mapa Títulos-Receita'!$A$8:$P$1000,15,FALSE),"")</f>
        <v/>
      </c>
      <c r="AE291" s="92">
        <f>IFERROR(VLOOKUP($A291,'13. Mapa Títulos-Receita'!$A$8:$P$1000,16,FALSE),"")</f>
        <v/>
      </c>
    </row>
    <row r="292">
      <c r="A292" s="28">
        <f>IF(C292="","", "CR-"&amp;TEXT(ROW()-7,"000"))</f>
        <v/>
      </c>
      <c r="B292" s="28" t="n"/>
      <c r="C292" s="28" t="n"/>
      <c r="D292" s="111" t="n"/>
      <c r="E292" s="111" t="n"/>
      <c r="F292" s="111" t="n"/>
      <c r="G292" s="28" t="n"/>
      <c r="H292" s="45" t="n"/>
      <c r="I292" s="45" t="n"/>
      <c r="J292" s="28">
        <f>IF(H292="","",IF(I292&gt;=H292,"Recebido",IF($B$4&gt;E292,"Vencido","Aberto")))</f>
        <v/>
      </c>
      <c r="K292" s="4">
        <f>IF(J292="","",IF(OR(J292="Recebido",F292=""),MAX(0,F292-E292),MAX(0,$B$4-E292)))</f>
        <v/>
      </c>
      <c r="L292" s="4">
        <f>IF(K292="","",IF(K292=0,"Em dia",IF(K292&lt;=30,"1-30 dias",IF(K292&lt;=60,"31-60 dias",IF(K292&lt;=90,"61-90 dias","&gt;90 dias")))))</f>
        <v/>
      </c>
      <c r="M292" s="28" t="n"/>
      <c r="N292" s="104" t="inlineStr"/>
      <c r="O292" s="64" t="n"/>
      <c r="P292" s="64">
        <f>IF(C292="","",IF(ISNUMBER(SEARCH("PCMSO",C292)),"PCMSO",IF(OR(ISNUMBER(SEARCH("E-SOCIAL",C292)),ISNUMBER(SEARCH("PSICOSOCIAL",C292))),"eSocial / Psicossocial",IF(O292="Receita recorrente","Carteira recorrente","Projetos / Laudos / Avulsos"))))</f>
        <v/>
      </c>
      <c r="Q292" s="64">
        <f>IF(P292="","",IF(P292="Carteira recorrente","Operação recorrente",IF(P292="PCMSO","Projetos PCMSO",IF(P292="eSocial / Psicossocial","Projetos eSocial/Psicossocial","Projetos / Laudos / Avulsos"))))</f>
        <v/>
      </c>
      <c r="R292" s="64">
        <f>IF(C292="","",IF(ISNUMBER(SEARCH("PCMSO",C292)),"Título com PCMSO no nome",IF(OR(ISNUMBER(SEARCH("E-SOCIAL",C292)),ISNUMBER(SEARCH("PSICOSOCIAL",C292))),"Título com eSocial/Psicossocial no nome",IF(O292="Receita recorrente","Tipo DRE recorrente","Extra sem palavra-chave específica"))))</f>
        <v/>
      </c>
      <c r="S292" s="92">
        <f>IFERROR(VLOOKUP($A292,'13. Mapa Títulos-Receita'!$A$8:$P$1000,4,FALSE),"")</f>
        <v/>
      </c>
      <c r="T292" s="92">
        <f>IFERROR(VLOOKUP($A292,'13. Mapa Títulos-Receita'!$A$8:$P$1000,5,FALSE),"")</f>
        <v/>
      </c>
      <c r="U292" s="92">
        <f>IFERROR(VLOOKUP($A292,'13. Mapa Títulos-Receita'!$A$8:$P$1000,6,FALSE),"")</f>
        <v/>
      </c>
      <c r="V292" s="92">
        <f>IFERROR(VLOOKUP($A292,'13. Mapa Títulos-Receita'!$A$8:$P$1000,7,FALSE),"")</f>
        <v/>
      </c>
      <c r="W292" s="92">
        <f>IFERROR(VLOOKUP($A292,'13. Mapa Títulos-Receita'!$A$8:$P$1000,8,FALSE),"")</f>
        <v/>
      </c>
      <c r="X292" s="92">
        <f>IFERROR(VLOOKUP($A292,'13. Mapa Títulos-Receita'!$A$8:$P$1000,9,FALSE),"")</f>
        <v/>
      </c>
      <c r="Y292" s="92">
        <f>IFERROR(VLOOKUP($A292,'13. Mapa Títulos-Receita'!$A$8:$P$1000,10,FALSE),"")</f>
        <v/>
      </c>
      <c r="Z292" s="92">
        <f>IFERROR(VLOOKUP($A292,'13. Mapa Títulos-Receita'!$A$8:$P$1000,11,FALSE),"")</f>
        <v/>
      </c>
      <c r="AA292" s="92">
        <f>IFERROR(VLOOKUP($A292,'13. Mapa Títulos-Receita'!$A$8:$P$1000,12,FALSE),"")</f>
        <v/>
      </c>
      <c r="AB292" s="92">
        <f>IFERROR(VLOOKUP($A292,'13. Mapa Títulos-Receita'!$A$8:$P$1000,13,FALSE),"")</f>
        <v/>
      </c>
      <c r="AC292" s="92">
        <f>IFERROR(VLOOKUP($A292,'13. Mapa Títulos-Receita'!$A$8:$P$1000,14,FALSE),"")</f>
        <v/>
      </c>
      <c r="AD292" s="92">
        <f>IFERROR(VLOOKUP($A292,'13. Mapa Títulos-Receita'!$A$8:$P$1000,15,FALSE),"")</f>
        <v/>
      </c>
      <c r="AE292" s="92">
        <f>IFERROR(VLOOKUP($A292,'13. Mapa Títulos-Receita'!$A$8:$P$1000,16,FALSE),"")</f>
        <v/>
      </c>
    </row>
    <row r="293">
      <c r="A293" s="28">
        <f>IF(C293="","", "CR-"&amp;TEXT(ROW()-7,"000"))</f>
        <v/>
      </c>
      <c r="B293" s="28" t="n"/>
      <c r="C293" s="28" t="n"/>
      <c r="D293" s="111" t="n"/>
      <c r="E293" s="111" t="n"/>
      <c r="F293" s="111" t="n"/>
      <c r="G293" s="28" t="n"/>
      <c r="H293" s="45" t="n"/>
      <c r="I293" s="45" t="n"/>
      <c r="J293" s="28">
        <f>IF(H293="","",IF(I293&gt;=H293,"Recebido",IF($B$4&gt;E293,"Vencido","Aberto")))</f>
        <v/>
      </c>
      <c r="K293" s="4">
        <f>IF(J293="","",IF(OR(J293="Recebido",F293=""),MAX(0,F293-E293),MAX(0,$B$4-E293)))</f>
        <v/>
      </c>
      <c r="L293" s="4">
        <f>IF(K293="","",IF(K293=0,"Em dia",IF(K293&lt;=30,"1-30 dias",IF(K293&lt;=60,"31-60 dias",IF(K293&lt;=90,"61-90 dias","&gt;90 dias")))))</f>
        <v/>
      </c>
      <c r="M293" s="28" t="n"/>
      <c r="N293" s="104" t="inlineStr"/>
      <c r="O293" s="64" t="n"/>
      <c r="P293" s="64">
        <f>IF(C293="","",IF(ISNUMBER(SEARCH("PCMSO",C293)),"PCMSO",IF(OR(ISNUMBER(SEARCH("E-SOCIAL",C293)),ISNUMBER(SEARCH("PSICOSOCIAL",C293))),"eSocial / Psicossocial",IF(O293="Receita recorrente","Carteira recorrente","Projetos / Laudos / Avulsos"))))</f>
        <v/>
      </c>
      <c r="Q293" s="64">
        <f>IF(P293="","",IF(P293="Carteira recorrente","Operação recorrente",IF(P293="PCMSO","Projetos PCMSO",IF(P293="eSocial / Psicossocial","Projetos eSocial/Psicossocial","Projetos / Laudos / Avulsos"))))</f>
        <v/>
      </c>
      <c r="R293" s="64">
        <f>IF(C293="","",IF(ISNUMBER(SEARCH("PCMSO",C293)),"Título com PCMSO no nome",IF(OR(ISNUMBER(SEARCH("E-SOCIAL",C293)),ISNUMBER(SEARCH("PSICOSOCIAL",C293))),"Título com eSocial/Psicossocial no nome",IF(O293="Receita recorrente","Tipo DRE recorrente","Extra sem palavra-chave específica"))))</f>
        <v/>
      </c>
      <c r="S293" s="92">
        <f>IFERROR(VLOOKUP($A293,'13. Mapa Títulos-Receita'!$A$8:$P$1000,4,FALSE),"")</f>
        <v/>
      </c>
      <c r="T293" s="92">
        <f>IFERROR(VLOOKUP($A293,'13. Mapa Títulos-Receita'!$A$8:$P$1000,5,FALSE),"")</f>
        <v/>
      </c>
      <c r="U293" s="92">
        <f>IFERROR(VLOOKUP($A293,'13. Mapa Títulos-Receita'!$A$8:$P$1000,6,FALSE),"")</f>
        <v/>
      </c>
      <c r="V293" s="92">
        <f>IFERROR(VLOOKUP($A293,'13. Mapa Títulos-Receita'!$A$8:$P$1000,7,FALSE),"")</f>
        <v/>
      </c>
      <c r="W293" s="92">
        <f>IFERROR(VLOOKUP($A293,'13. Mapa Títulos-Receita'!$A$8:$P$1000,8,FALSE),"")</f>
        <v/>
      </c>
      <c r="X293" s="92">
        <f>IFERROR(VLOOKUP($A293,'13. Mapa Títulos-Receita'!$A$8:$P$1000,9,FALSE),"")</f>
        <v/>
      </c>
      <c r="Y293" s="92">
        <f>IFERROR(VLOOKUP($A293,'13. Mapa Títulos-Receita'!$A$8:$P$1000,10,FALSE),"")</f>
        <v/>
      </c>
      <c r="Z293" s="92">
        <f>IFERROR(VLOOKUP($A293,'13. Mapa Títulos-Receita'!$A$8:$P$1000,11,FALSE),"")</f>
        <v/>
      </c>
      <c r="AA293" s="92">
        <f>IFERROR(VLOOKUP($A293,'13. Mapa Títulos-Receita'!$A$8:$P$1000,12,FALSE),"")</f>
        <v/>
      </c>
      <c r="AB293" s="92">
        <f>IFERROR(VLOOKUP($A293,'13. Mapa Títulos-Receita'!$A$8:$P$1000,13,FALSE),"")</f>
        <v/>
      </c>
      <c r="AC293" s="92">
        <f>IFERROR(VLOOKUP($A293,'13. Mapa Títulos-Receita'!$A$8:$P$1000,14,FALSE),"")</f>
        <v/>
      </c>
      <c r="AD293" s="92">
        <f>IFERROR(VLOOKUP($A293,'13. Mapa Títulos-Receita'!$A$8:$P$1000,15,FALSE),"")</f>
        <v/>
      </c>
      <c r="AE293" s="92">
        <f>IFERROR(VLOOKUP($A293,'13. Mapa Títulos-Receita'!$A$8:$P$1000,16,FALSE),"")</f>
        <v/>
      </c>
    </row>
    <row r="294">
      <c r="A294" s="28">
        <f>IF(C294="","", "CR-"&amp;TEXT(ROW()-7,"000"))</f>
        <v/>
      </c>
      <c r="B294" s="28" t="n"/>
      <c r="C294" s="28" t="n"/>
      <c r="D294" s="111" t="n"/>
      <c r="E294" s="111" t="n"/>
      <c r="F294" s="111" t="n"/>
      <c r="G294" s="28" t="n"/>
      <c r="H294" s="45" t="n"/>
      <c r="I294" s="45" t="n"/>
      <c r="J294" s="28">
        <f>IF(H294="","",IF(I294&gt;=H294,"Recebido",IF($B$4&gt;E294,"Vencido","Aberto")))</f>
        <v/>
      </c>
      <c r="K294" s="4">
        <f>IF(J294="","",IF(OR(J294="Recebido",F294=""),MAX(0,F294-E294),MAX(0,$B$4-E294)))</f>
        <v/>
      </c>
      <c r="L294" s="4">
        <f>IF(K294="","",IF(K294=0,"Em dia",IF(K294&lt;=30,"1-30 dias",IF(K294&lt;=60,"31-60 dias",IF(K294&lt;=90,"61-90 dias","&gt;90 dias")))))</f>
        <v/>
      </c>
      <c r="M294" s="28" t="n"/>
      <c r="N294" s="104" t="inlineStr"/>
      <c r="O294" s="64" t="n"/>
      <c r="P294" s="64">
        <f>IF(C294="","",IF(ISNUMBER(SEARCH("PCMSO",C294)),"PCMSO",IF(OR(ISNUMBER(SEARCH("E-SOCIAL",C294)),ISNUMBER(SEARCH("PSICOSOCIAL",C294))),"eSocial / Psicossocial",IF(O294="Receita recorrente","Carteira recorrente","Projetos / Laudos / Avulsos"))))</f>
        <v/>
      </c>
      <c r="Q294" s="64">
        <f>IF(P294="","",IF(P294="Carteira recorrente","Operação recorrente",IF(P294="PCMSO","Projetos PCMSO",IF(P294="eSocial / Psicossocial","Projetos eSocial/Psicossocial","Projetos / Laudos / Avulsos"))))</f>
        <v/>
      </c>
      <c r="R294" s="64">
        <f>IF(C294="","",IF(ISNUMBER(SEARCH("PCMSO",C294)),"Título com PCMSO no nome",IF(OR(ISNUMBER(SEARCH("E-SOCIAL",C294)),ISNUMBER(SEARCH("PSICOSOCIAL",C294))),"Título com eSocial/Psicossocial no nome",IF(O294="Receita recorrente","Tipo DRE recorrente","Extra sem palavra-chave específica"))))</f>
        <v/>
      </c>
      <c r="S294" s="92">
        <f>IFERROR(VLOOKUP($A294,'13. Mapa Títulos-Receita'!$A$8:$P$1000,4,FALSE),"")</f>
        <v/>
      </c>
      <c r="T294" s="92">
        <f>IFERROR(VLOOKUP($A294,'13. Mapa Títulos-Receita'!$A$8:$P$1000,5,FALSE),"")</f>
        <v/>
      </c>
      <c r="U294" s="92">
        <f>IFERROR(VLOOKUP($A294,'13. Mapa Títulos-Receita'!$A$8:$P$1000,6,FALSE),"")</f>
        <v/>
      </c>
      <c r="V294" s="92">
        <f>IFERROR(VLOOKUP($A294,'13. Mapa Títulos-Receita'!$A$8:$P$1000,7,FALSE),"")</f>
        <v/>
      </c>
      <c r="W294" s="92">
        <f>IFERROR(VLOOKUP($A294,'13. Mapa Títulos-Receita'!$A$8:$P$1000,8,FALSE),"")</f>
        <v/>
      </c>
      <c r="X294" s="92">
        <f>IFERROR(VLOOKUP($A294,'13. Mapa Títulos-Receita'!$A$8:$P$1000,9,FALSE),"")</f>
        <v/>
      </c>
      <c r="Y294" s="92">
        <f>IFERROR(VLOOKUP($A294,'13. Mapa Títulos-Receita'!$A$8:$P$1000,10,FALSE),"")</f>
        <v/>
      </c>
      <c r="Z294" s="92">
        <f>IFERROR(VLOOKUP($A294,'13. Mapa Títulos-Receita'!$A$8:$P$1000,11,FALSE),"")</f>
        <v/>
      </c>
      <c r="AA294" s="92">
        <f>IFERROR(VLOOKUP($A294,'13. Mapa Títulos-Receita'!$A$8:$P$1000,12,FALSE),"")</f>
        <v/>
      </c>
      <c r="AB294" s="92">
        <f>IFERROR(VLOOKUP($A294,'13. Mapa Títulos-Receita'!$A$8:$P$1000,13,FALSE),"")</f>
        <v/>
      </c>
      <c r="AC294" s="92">
        <f>IFERROR(VLOOKUP($A294,'13. Mapa Títulos-Receita'!$A$8:$P$1000,14,FALSE),"")</f>
        <v/>
      </c>
      <c r="AD294" s="92">
        <f>IFERROR(VLOOKUP($A294,'13. Mapa Títulos-Receita'!$A$8:$P$1000,15,FALSE),"")</f>
        <v/>
      </c>
      <c r="AE294" s="92">
        <f>IFERROR(VLOOKUP($A294,'13. Mapa Títulos-Receita'!$A$8:$P$1000,16,FALSE),"")</f>
        <v/>
      </c>
    </row>
    <row r="295">
      <c r="A295" s="28">
        <f>IF(C295="","", "CR-"&amp;TEXT(ROW()-7,"000"))</f>
        <v/>
      </c>
      <c r="B295" s="28" t="n"/>
      <c r="C295" s="28" t="n"/>
      <c r="D295" s="111" t="n"/>
      <c r="E295" s="111" t="n"/>
      <c r="F295" s="111" t="n"/>
      <c r="G295" s="28" t="n"/>
      <c r="H295" s="45" t="n"/>
      <c r="I295" s="45" t="n"/>
      <c r="J295" s="28">
        <f>IF(H295="","",IF(I295&gt;=H295,"Recebido",IF($B$4&gt;E295,"Vencido","Aberto")))</f>
        <v/>
      </c>
      <c r="K295" s="4">
        <f>IF(J295="","",IF(OR(J295="Recebido",F295=""),MAX(0,F295-E295),MAX(0,$B$4-E295)))</f>
        <v/>
      </c>
      <c r="L295" s="4">
        <f>IF(K295="","",IF(K295=0,"Em dia",IF(K295&lt;=30,"1-30 dias",IF(K295&lt;=60,"31-60 dias",IF(K295&lt;=90,"61-90 dias","&gt;90 dias")))))</f>
        <v/>
      </c>
      <c r="M295" s="28" t="n"/>
      <c r="N295" s="104" t="inlineStr"/>
      <c r="O295" s="64" t="n"/>
      <c r="P295" s="64">
        <f>IF(C295="","",IF(ISNUMBER(SEARCH("PCMSO",C295)),"PCMSO",IF(OR(ISNUMBER(SEARCH("E-SOCIAL",C295)),ISNUMBER(SEARCH("PSICOSOCIAL",C295))),"eSocial / Psicossocial",IF(O295="Receita recorrente","Carteira recorrente","Projetos / Laudos / Avulsos"))))</f>
        <v/>
      </c>
      <c r="Q295" s="64">
        <f>IF(P295="","",IF(P295="Carteira recorrente","Operação recorrente",IF(P295="PCMSO","Projetos PCMSO",IF(P295="eSocial / Psicossocial","Projetos eSocial/Psicossocial","Projetos / Laudos / Avulsos"))))</f>
        <v/>
      </c>
      <c r="R295" s="64">
        <f>IF(C295="","",IF(ISNUMBER(SEARCH("PCMSO",C295)),"Título com PCMSO no nome",IF(OR(ISNUMBER(SEARCH("E-SOCIAL",C295)),ISNUMBER(SEARCH("PSICOSOCIAL",C295))),"Título com eSocial/Psicossocial no nome",IF(O295="Receita recorrente","Tipo DRE recorrente","Extra sem palavra-chave específica"))))</f>
        <v/>
      </c>
      <c r="S295" s="92">
        <f>IFERROR(VLOOKUP($A295,'13. Mapa Títulos-Receita'!$A$8:$P$1000,4,FALSE),"")</f>
        <v/>
      </c>
      <c r="T295" s="92">
        <f>IFERROR(VLOOKUP($A295,'13. Mapa Títulos-Receita'!$A$8:$P$1000,5,FALSE),"")</f>
        <v/>
      </c>
      <c r="U295" s="92">
        <f>IFERROR(VLOOKUP($A295,'13. Mapa Títulos-Receita'!$A$8:$P$1000,6,FALSE),"")</f>
        <v/>
      </c>
      <c r="V295" s="92">
        <f>IFERROR(VLOOKUP($A295,'13. Mapa Títulos-Receita'!$A$8:$P$1000,7,FALSE),"")</f>
        <v/>
      </c>
      <c r="W295" s="92">
        <f>IFERROR(VLOOKUP($A295,'13. Mapa Títulos-Receita'!$A$8:$P$1000,8,FALSE),"")</f>
        <v/>
      </c>
      <c r="X295" s="92">
        <f>IFERROR(VLOOKUP($A295,'13. Mapa Títulos-Receita'!$A$8:$P$1000,9,FALSE),"")</f>
        <v/>
      </c>
      <c r="Y295" s="92">
        <f>IFERROR(VLOOKUP($A295,'13. Mapa Títulos-Receita'!$A$8:$P$1000,10,FALSE),"")</f>
        <v/>
      </c>
      <c r="Z295" s="92">
        <f>IFERROR(VLOOKUP($A295,'13. Mapa Títulos-Receita'!$A$8:$P$1000,11,FALSE),"")</f>
        <v/>
      </c>
      <c r="AA295" s="92">
        <f>IFERROR(VLOOKUP($A295,'13. Mapa Títulos-Receita'!$A$8:$P$1000,12,FALSE),"")</f>
        <v/>
      </c>
      <c r="AB295" s="92">
        <f>IFERROR(VLOOKUP($A295,'13. Mapa Títulos-Receita'!$A$8:$P$1000,13,FALSE),"")</f>
        <v/>
      </c>
      <c r="AC295" s="92">
        <f>IFERROR(VLOOKUP($A295,'13. Mapa Títulos-Receita'!$A$8:$P$1000,14,FALSE),"")</f>
        <v/>
      </c>
      <c r="AD295" s="92">
        <f>IFERROR(VLOOKUP($A295,'13. Mapa Títulos-Receita'!$A$8:$P$1000,15,FALSE),"")</f>
        <v/>
      </c>
      <c r="AE295" s="92">
        <f>IFERROR(VLOOKUP($A295,'13. Mapa Títulos-Receita'!$A$8:$P$1000,16,FALSE),"")</f>
        <v/>
      </c>
    </row>
    <row r="296">
      <c r="A296" s="28">
        <f>IF(C296="","", "CR-"&amp;TEXT(ROW()-7,"000"))</f>
        <v/>
      </c>
      <c r="B296" s="28" t="n"/>
      <c r="C296" s="28" t="n"/>
      <c r="D296" s="111" t="n"/>
      <c r="E296" s="111" t="n"/>
      <c r="F296" s="111" t="n"/>
      <c r="G296" s="28" t="n"/>
      <c r="H296" s="45" t="n"/>
      <c r="I296" s="45" t="n"/>
      <c r="J296" s="28">
        <f>IF(H296="","",IF(I296&gt;=H296,"Recebido",IF($B$4&gt;E296,"Vencido","Aberto")))</f>
        <v/>
      </c>
      <c r="K296" s="4">
        <f>IF(J296="","",IF(OR(J296="Recebido",F296=""),MAX(0,F296-E296),MAX(0,$B$4-E296)))</f>
        <v/>
      </c>
      <c r="L296" s="4">
        <f>IF(K296="","",IF(K296=0,"Em dia",IF(K296&lt;=30,"1-30 dias",IF(K296&lt;=60,"31-60 dias",IF(K296&lt;=90,"61-90 dias","&gt;90 dias")))))</f>
        <v/>
      </c>
      <c r="M296" s="28" t="n"/>
      <c r="N296" s="104" t="inlineStr"/>
      <c r="O296" s="64" t="n"/>
      <c r="P296" s="64">
        <f>IF(C296="","",IF(ISNUMBER(SEARCH("PCMSO",C296)),"PCMSO",IF(OR(ISNUMBER(SEARCH("E-SOCIAL",C296)),ISNUMBER(SEARCH("PSICOSOCIAL",C296))),"eSocial / Psicossocial",IF(O296="Receita recorrente","Carteira recorrente","Projetos / Laudos / Avulsos"))))</f>
        <v/>
      </c>
      <c r="Q296" s="64">
        <f>IF(P296="","",IF(P296="Carteira recorrente","Operação recorrente",IF(P296="PCMSO","Projetos PCMSO",IF(P296="eSocial / Psicossocial","Projetos eSocial/Psicossocial","Projetos / Laudos / Avulsos"))))</f>
        <v/>
      </c>
      <c r="R296" s="64">
        <f>IF(C296="","",IF(ISNUMBER(SEARCH("PCMSO",C296)),"Título com PCMSO no nome",IF(OR(ISNUMBER(SEARCH("E-SOCIAL",C296)),ISNUMBER(SEARCH("PSICOSOCIAL",C296))),"Título com eSocial/Psicossocial no nome",IF(O296="Receita recorrente","Tipo DRE recorrente","Extra sem palavra-chave específica"))))</f>
        <v/>
      </c>
      <c r="S296" s="92">
        <f>IFERROR(VLOOKUP($A296,'13. Mapa Títulos-Receita'!$A$8:$P$1000,4,FALSE),"")</f>
        <v/>
      </c>
      <c r="T296" s="92">
        <f>IFERROR(VLOOKUP($A296,'13. Mapa Títulos-Receita'!$A$8:$P$1000,5,FALSE),"")</f>
        <v/>
      </c>
      <c r="U296" s="92">
        <f>IFERROR(VLOOKUP($A296,'13. Mapa Títulos-Receita'!$A$8:$P$1000,6,FALSE),"")</f>
        <v/>
      </c>
      <c r="V296" s="92">
        <f>IFERROR(VLOOKUP($A296,'13. Mapa Títulos-Receita'!$A$8:$P$1000,7,FALSE),"")</f>
        <v/>
      </c>
      <c r="W296" s="92">
        <f>IFERROR(VLOOKUP($A296,'13. Mapa Títulos-Receita'!$A$8:$P$1000,8,FALSE),"")</f>
        <v/>
      </c>
      <c r="X296" s="92">
        <f>IFERROR(VLOOKUP($A296,'13. Mapa Títulos-Receita'!$A$8:$P$1000,9,FALSE),"")</f>
        <v/>
      </c>
      <c r="Y296" s="92">
        <f>IFERROR(VLOOKUP($A296,'13. Mapa Títulos-Receita'!$A$8:$P$1000,10,FALSE),"")</f>
        <v/>
      </c>
      <c r="Z296" s="92">
        <f>IFERROR(VLOOKUP($A296,'13. Mapa Títulos-Receita'!$A$8:$P$1000,11,FALSE),"")</f>
        <v/>
      </c>
      <c r="AA296" s="92">
        <f>IFERROR(VLOOKUP($A296,'13. Mapa Títulos-Receita'!$A$8:$P$1000,12,FALSE),"")</f>
        <v/>
      </c>
      <c r="AB296" s="92">
        <f>IFERROR(VLOOKUP($A296,'13. Mapa Títulos-Receita'!$A$8:$P$1000,13,FALSE),"")</f>
        <v/>
      </c>
      <c r="AC296" s="92">
        <f>IFERROR(VLOOKUP($A296,'13. Mapa Títulos-Receita'!$A$8:$P$1000,14,FALSE),"")</f>
        <v/>
      </c>
      <c r="AD296" s="92">
        <f>IFERROR(VLOOKUP($A296,'13. Mapa Títulos-Receita'!$A$8:$P$1000,15,FALSE),"")</f>
        <v/>
      </c>
      <c r="AE296" s="92">
        <f>IFERROR(VLOOKUP($A296,'13. Mapa Títulos-Receita'!$A$8:$P$1000,16,FALSE),"")</f>
        <v/>
      </c>
    </row>
    <row r="297">
      <c r="A297" s="28">
        <f>IF(C297="","", "CR-"&amp;TEXT(ROW()-7,"000"))</f>
        <v/>
      </c>
      <c r="B297" s="28" t="n"/>
      <c r="C297" s="28" t="n"/>
      <c r="D297" s="111" t="n"/>
      <c r="E297" s="111" t="n"/>
      <c r="F297" s="111" t="n"/>
      <c r="G297" s="28" t="n"/>
      <c r="H297" s="45" t="n"/>
      <c r="I297" s="45" t="n"/>
      <c r="J297" s="28">
        <f>IF(H297="","",IF(I297&gt;=H297,"Recebido",IF($B$4&gt;E297,"Vencido","Aberto")))</f>
        <v/>
      </c>
      <c r="K297" s="4">
        <f>IF(J297="","",IF(OR(J297="Recebido",F297=""),MAX(0,F297-E297),MAX(0,$B$4-E297)))</f>
        <v/>
      </c>
      <c r="L297" s="4">
        <f>IF(K297="","",IF(K297=0,"Em dia",IF(K297&lt;=30,"1-30 dias",IF(K297&lt;=60,"31-60 dias",IF(K297&lt;=90,"61-90 dias","&gt;90 dias")))))</f>
        <v/>
      </c>
      <c r="M297" s="28" t="n"/>
      <c r="N297" s="104" t="inlineStr"/>
      <c r="O297" s="64" t="n"/>
      <c r="P297" s="64">
        <f>IF(C297="","",IF(ISNUMBER(SEARCH("PCMSO",C297)),"PCMSO",IF(OR(ISNUMBER(SEARCH("E-SOCIAL",C297)),ISNUMBER(SEARCH("PSICOSOCIAL",C297))),"eSocial / Psicossocial",IF(O297="Receita recorrente","Carteira recorrente","Projetos / Laudos / Avulsos"))))</f>
        <v/>
      </c>
      <c r="Q297" s="64">
        <f>IF(P297="","",IF(P297="Carteira recorrente","Operação recorrente",IF(P297="PCMSO","Projetos PCMSO",IF(P297="eSocial / Psicossocial","Projetos eSocial/Psicossocial","Projetos / Laudos / Avulsos"))))</f>
        <v/>
      </c>
      <c r="R297" s="64">
        <f>IF(C297="","",IF(ISNUMBER(SEARCH("PCMSO",C297)),"Título com PCMSO no nome",IF(OR(ISNUMBER(SEARCH("E-SOCIAL",C297)),ISNUMBER(SEARCH("PSICOSOCIAL",C297))),"Título com eSocial/Psicossocial no nome",IF(O297="Receita recorrente","Tipo DRE recorrente","Extra sem palavra-chave específica"))))</f>
        <v/>
      </c>
      <c r="S297" s="92">
        <f>IFERROR(VLOOKUP($A297,'13. Mapa Títulos-Receita'!$A$8:$P$1000,4,FALSE),"")</f>
        <v/>
      </c>
      <c r="T297" s="92">
        <f>IFERROR(VLOOKUP($A297,'13. Mapa Títulos-Receita'!$A$8:$P$1000,5,FALSE),"")</f>
        <v/>
      </c>
      <c r="U297" s="92">
        <f>IFERROR(VLOOKUP($A297,'13. Mapa Títulos-Receita'!$A$8:$P$1000,6,FALSE),"")</f>
        <v/>
      </c>
      <c r="V297" s="92">
        <f>IFERROR(VLOOKUP($A297,'13. Mapa Títulos-Receita'!$A$8:$P$1000,7,FALSE),"")</f>
        <v/>
      </c>
      <c r="W297" s="92">
        <f>IFERROR(VLOOKUP($A297,'13. Mapa Títulos-Receita'!$A$8:$P$1000,8,FALSE),"")</f>
        <v/>
      </c>
      <c r="X297" s="92">
        <f>IFERROR(VLOOKUP($A297,'13. Mapa Títulos-Receita'!$A$8:$P$1000,9,FALSE),"")</f>
        <v/>
      </c>
      <c r="Y297" s="92">
        <f>IFERROR(VLOOKUP($A297,'13. Mapa Títulos-Receita'!$A$8:$P$1000,10,FALSE),"")</f>
        <v/>
      </c>
      <c r="Z297" s="92">
        <f>IFERROR(VLOOKUP($A297,'13. Mapa Títulos-Receita'!$A$8:$P$1000,11,FALSE),"")</f>
        <v/>
      </c>
      <c r="AA297" s="92">
        <f>IFERROR(VLOOKUP($A297,'13. Mapa Títulos-Receita'!$A$8:$P$1000,12,FALSE),"")</f>
        <v/>
      </c>
      <c r="AB297" s="92">
        <f>IFERROR(VLOOKUP($A297,'13. Mapa Títulos-Receita'!$A$8:$P$1000,13,FALSE),"")</f>
        <v/>
      </c>
      <c r="AC297" s="92">
        <f>IFERROR(VLOOKUP($A297,'13. Mapa Títulos-Receita'!$A$8:$P$1000,14,FALSE),"")</f>
        <v/>
      </c>
      <c r="AD297" s="92">
        <f>IFERROR(VLOOKUP($A297,'13. Mapa Títulos-Receita'!$A$8:$P$1000,15,FALSE),"")</f>
        <v/>
      </c>
      <c r="AE297" s="92">
        <f>IFERROR(VLOOKUP($A297,'13. Mapa Títulos-Receita'!$A$8:$P$1000,16,FALSE),"")</f>
        <v/>
      </c>
    </row>
    <row r="298">
      <c r="A298" s="28">
        <f>IF(C298="","", "CR-"&amp;TEXT(ROW()-7,"000"))</f>
        <v/>
      </c>
      <c r="B298" s="28" t="n"/>
      <c r="C298" s="28" t="n"/>
      <c r="D298" s="111" t="n"/>
      <c r="E298" s="111" t="n"/>
      <c r="F298" s="111" t="n"/>
      <c r="G298" s="28" t="n"/>
      <c r="H298" s="45" t="n"/>
      <c r="I298" s="45" t="n"/>
      <c r="J298" s="28">
        <f>IF(H298="","",IF(I298&gt;=H298,"Recebido",IF($B$4&gt;E298,"Vencido","Aberto")))</f>
        <v/>
      </c>
      <c r="K298" s="4">
        <f>IF(J298="","",IF(OR(J298="Recebido",F298=""),MAX(0,F298-E298),MAX(0,$B$4-E298)))</f>
        <v/>
      </c>
      <c r="L298" s="4">
        <f>IF(K298="","",IF(K298=0,"Em dia",IF(K298&lt;=30,"1-30 dias",IF(K298&lt;=60,"31-60 dias",IF(K298&lt;=90,"61-90 dias","&gt;90 dias")))))</f>
        <v/>
      </c>
      <c r="M298" s="28" t="n"/>
      <c r="N298" s="104" t="inlineStr"/>
      <c r="O298" s="64" t="n"/>
      <c r="P298" s="64">
        <f>IF(C298="","",IF(ISNUMBER(SEARCH("PCMSO",C298)),"PCMSO",IF(OR(ISNUMBER(SEARCH("E-SOCIAL",C298)),ISNUMBER(SEARCH("PSICOSOCIAL",C298))),"eSocial / Psicossocial",IF(O298="Receita recorrente","Carteira recorrente","Projetos / Laudos / Avulsos"))))</f>
        <v/>
      </c>
      <c r="Q298" s="64">
        <f>IF(P298="","",IF(P298="Carteira recorrente","Operação recorrente",IF(P298="PCMSO","Projetos PCMSO",IF(P298="eSocial / Psicossocial","Projetos eSocial/Psicossocial","Projetos / Laudos / Avulsos"))))</f>
        <v/>
      </c>
      <c r="R298" s="64">
        <f>IF(C298="","",IF(ISNUMBER(SEARCH("PCMSO",C298)),"Título com PCMSO no nome",IF(OR(ISNUMBER(SEARCH("E-SOCIAL",C298)),ISNUMBER(SEARCH("PSICOSOCIAL",C298))),"Título com eSocial/Psicossocial no nome",IF(O298="Receita recorrente","Tipo DRE recorrente","Extra sem palavra-chave específica"))))</f>
        <v/>
      </c>
      <c r="S298" s="92">
        <f>IFERROR(VLOOKUP($A298,'13. Mapa Títulos-Receita'!$A$8:$P$1000,4,FALSE),"")</f>
        <v/>
      </c>
      <c r="T298" s="92">
        <f>IFERROR(VLOOKUP($A298,'13. Mapa Títulos-Receita'!$A$8:$P$1000,5,FALSE),"")</f>
        <v/>
      </c>
      <c r="U298" s="92">
        <f>IFERROR(VLOOKUP($A298,'13. Mapa Títulos-Receita'!$A$8:$P$1000,6,FALSE),"")</f>
        <v/>
      </c>
      <c r="V298" s="92">
        <f>IFERROR(VLOOKUP($A298,'13. Mapa Títulos-Receita'!$A$8:$P$1000,7,FALSE),"")</f>
        <v/>
      </c>
      <c r="W298" s="92">
        <f>IFERROR(VLOOKUP($A298,'13. Mapa Títulos-Receita'!$A$8:$P$1000,8,FALSE),"")</f>
        <v/>
      </c>
      <c r="X298" s="92">
        <f>IFERROR(VLOOKUP($A298,'13. Mapa Títulos-Receita'!$A$8:$P$1000,9,FALSE),"")</f>
        <v/>
      </c>
      <c r="Y298" s="92">
        <f>IFERROR(VLOOKUP($A298,'13. Mapa Títulos-Receita'!$A$8:$P$1000,10,FALSE),"")</f>
        <v/>
      </c>
      <c r="Z298" s="92">
        <f>IFERROR(VLOOKUP($A298,'13. Mapa Títulos-Receita'!$A$8:$P$1000,11,FALSE),"")</f>
        <v/>
      </c>
      <c r="AA298" s="92">
        <f>IFERROR(VLOOKUP($A298,'13. Mapa Títulos-Receita'!$A$8:$P$1000,12,FALSE),"")</f>
        <v/>
      </c>
      <c r="AB298" s="92">
        <f>IFERROR(VLOOKUP($A298,'13. Mapa Títulos-Receita'!$A$8:$P$1000,13,FALSE),"")</f>
        <v/>
      </c>
      <c r="AC298" s="92">
        <f>IFERROR(VLOOKUP($A298,'13. Mapa Títulos-Receita'!$A$8:$P$1000,14,FALSE),"")</f>
        <v/>
      </c>
      <c r="AD298" s="92">
        <f>IFERROR(VLOOKUP($A298,'13. Mapa Títulos-Receita'!$A$8:$P$1000,15,FALSE),"")</f>
        <v/>
      </c>
      <c r="AE298" s="92">
        <f>IFERROR(VLOOKUP($A298,'13. Mapa Títulos-Receita'!$A$8:$P$1000,16,FALSE),"")</f>
        <v/>
      </c>
    </row>
    <row r="299">
      <c r="A299" s="28">
        <f>IF(C299="","", "CR-"&amp;TEXT(ROW()-7,"000"))</f>
        <v/>
      </c>
      <c r="B299" s="28" t="n"/>
      <c r="C299" s="28" t="n"/>
      <c r="D299" s="111" t="n"/>
      <c r="E299" s="111" t="n"/>
      <c r="F299" s="111" t="n"/>
      <c r="G299" s="28" t="n"/>
      <c r="H299" s="45" t="n"/>
      <c r="I299" s="45" t="n"/>
      <c r="J299" s="28">
        <f>IF(H299="","",IF(I299&gt;=H299,"Recebido",IF($B$4&gt;E299,"Vencido","Aberto")))</f>
        <v/>
      </c>
      <c r="K299" s="4">
        <f>IF(J299="","",IF(OR(J299="Recebido",F299=""),MAX(0,F299-E299),MAX(0,$B$4-E299)))</f>
        <v/>
      </c>
      <c r="L299" s="4">
        <f>IF(K299="","",IF(K299=0,"Em dia",IF(K299&lt;=30,"1-30 dias",IF(K299&lt;=60,"31-60 dias",IF(K299&lt;=90,"61-90 dias","&gt;90 dias")))))</f>
        <v/>
      </c>
      <c r="M299" s="28" t="n"/>
      <c r="N299" s="104" t="inlineStr"/>
      <c r="O299" s="64" t="n"/>
      <c r="P299" s="64">
        <f>IF(C299="","",IF(ISNUMBER(SEARCH("PCMSO",C299)),"PCMSO",IF(OR(ISNUMBER(SEARCH("E-SOCIAL",C299)),ISNUMBER(SEARCH("PSICOSOCIAL",C299))),"eSocial / Psicossocial",IF(O299="Receita recorrente","Carteira recorrente","Projetos / Laudos / Avulsos"))))</f>
        <v/>
      </c>
      <c r="Q299" s="64">
        <f>IF(P299="","",IF(P299="Carteira recorrente","Operação recorrente",IF(P299="PCMSO","Projetos PCMSO",IF(P299="eSocial / Psicossocial","Projetos eSocial/Psicossocial","Projetos / Laudos / Avulsos"))))</f>
        <v/>
      </c>
      <c r="R299" s="64">
        <f>IF(C299="","",IF(ISNUMBER(SEARCH("PCMSO",C299)),"Título com PCMSO no nome",IF(OR(ISNUMBER(SEARCH("E-SOCIAL",C299)),ISNUMBER(SEARCH("PSICOSOCIAL",C299))),"Título com eSocial/Psicossocial no nome",IF(O299="Receita recorrente","Tipo DRE recorrente","Extra sem palavra-chave específica"))))</f>
        <v/>
      </c>
      <c r="S299" s="92">
        <f>IFERROR(VLOOKUP($A299,'13. Mapa Títulos-Receita'!$A$8:$P$1000,4,FALSE),"")</f>
        <v/>
      </c>
      <c r="T299" s="92">
        <f>IFERROR(VLOOKUP($A299,'13. Mapa Títulos-Receita'!$A$8:$P$1000,5,FALSE),"")</f>
        <v/>
      </c>
      <c r="U299" s="92">
        <f>IFERROR(VLOOKUP($A299,'13. Mapa Títulos-Receita'!$A$8:$P$1000,6,FALSE),"")</f>
        <v/>
      </c>
      <c r="V299" s="92">
        <f>IFERROR(VLOOKUP($A299,'13. Mapa Títulos-Receita'!$A$8:$P$1000,7,FALSE),"")</f>
        <v/>
      </c>
      <c r="W299" s="92">
        <f>IFERROR(VLOOKUP($A299,'13. Mapa Títulos-Receita'!$A$8:$P$1000,8,FALSE),"")</f>
        <v/>
      </c>
      <c r="X299" s="92">
        <f>IFERROR(VLOOKUP($A299,'13. Mapa Títulos-Receita'!$A$8:$P$1000,9,FALSE),"")</f>
        <v/>
      </c>
      <c r="Y299" s="92">
        <f>IFERROR(VLOOKUP($A299,'13. Mapa Títulos-Receita'!$A$8:$P$1000,10,FALSE),"")</f>
        <v/>
      </c>
      <c r="Z299" s="92">
        <f>IFERROR(VLOOKUP($A299,'13. Mapa Títulos-Receita'!$A$8:$P$1000,11,FALSE),"")</f>
        <v/>
      </c>
      <c r="AA299" s="92">
        <f>IFERROR(VLOOKUP($A299,'13. Mapa Títulos-Receita'!$A$8:$P$1000,12,FALSE),"")</f>
        <v/>
      </c>
      <c r="AB299" s="92">
        <f>IFERROR(VLOOKUP($A299,'13. Mapa Títulos-Receita'!$A$8:$P$1000,13,FALSE),"")</f>
        <v/>
      </c>
      <c r="AC299" s="92">
        <f>IFERROR(VLOOKUP($A299,'13. Mapa Títulos-Receita'!$A$8:$P$1000,14,FALSE),"")</f>
        <v/>
      </c>
      <c r="AD299" s="92">
        <f>IFERROR(VLOOKUP($A299,'13. Mapa Títulos-Receita'!$A$8:$P$1000,15,FALSE),"")</f>
        <v/>
      </c>
      <c r="AE299" s="92">
        <f>IFERROR(VLOOKUP($A299,'13. Mapa Títulos-Receita'!$A$8:$P$1000,16,FALSE),"")</f>
        <v/>
      </c>
    </row>
    <row r="300">
      <c r="A300" s="28">
        <f>IF(C300="","", "CR-"&amp;TEXT(ROW()-7,"000"))</f>
        <v/>
      </c>
      <c r="B300" s="28" t="n"/>
      <c r="C300" s="28" t="n"/>
      <c r="D300" s="111" t="n"/>
      <c r="E300" s="111" t="n"/>
      <c r="F300" s="111" t="n"/>
      <c r="G300" s="28" t="n"/>
      <c r="H300" s="45" t="n"/>
      <c r="I300" s="45" t="n"/>
      <c r="J300" s="28">
        <f>IF(H300="","",IF(I300&gt;=H300,"Recebido",IF($B$4&gt;E300,"Vencido","Aberto")))</f>
        <v/>
      </c>
      <c r="K300" s="4">
        <f>IF(J300="","",IF(OR(J300="Recebido",F300=""),MAX(0,F300-E300),MAX(0,$B$4-E300)))</f>
        <v/>
      </c>
      <c r="L300" s="4">
        <f>IF(K300="","",IF(K300=0,"Em dia",IF(K300&lt;=30,"1-30 dias",IF(K300&lt;=60,"31-60 dias",IF(K300&lt;=90,"61-90 dias","&gt;90 dias")))))</f>
        <v/>
      </c>
      <c r="M300" s="28" t="n"/>
      <c r="N300" s="104" t="inlineStr"/>
      <c r="O300" s="64" t="n"/>
      <c r="P300" s="64">
        <f>IF(C300="","",IF(ISNUMBER(SEARCH("PCMSO",C300)),"PCMSO",IF(OR(ISNUMBER(SEARCH("E-SOCIAL",C300)),ISNUMBER(SEARCH("PSICOSOCIAL",C300))),"eSocial / Psicossocial",IF(O300="Receita recorrente","Carteira recorrente","Projetos / Laudos / Avulsos"))))</f>
        <v/>
      </c>
      <c r="Q300" s="64">
        <f>IF(P300="","",IF(P300="Carteira recorrente","Operação recorrente",IF(P300="PCMSO","Projetos PCMSO",IF(P300="eSocial / Psicossocial","Projetos eSocial/Psicossocial","Projetos / Laudos / Avulsos"))))</f>
        <v/>
      </c>
      <c r="R300" s="64">
        <f>IF(C300="","",IF(ISNUMBER(SEARCH("PCMSO",C300)),"Título com PCMSO no nome",IF(OR(ISNUMBER(SEARCH("E-SOCIAL",C300)),ISNUMBER(SEARCH("PSICOSOCIAL",C300))),"Título com eSocial/Psicossocial no nome",IF(O300="Receita recorrente","Tipo DRE recorrente","Extra sem palavra-chave específica"))))</f>
        <v/>
      </c>
      <c r="S300" s="92">
        <f>IFERROR(VLOOKUP($A300,'13. Mapa Títulos-Receita'!$A$8:$P$1000,4,FALSE),"")</f>
        <v/>
      </c>
      <c r="T300" s="92">
        <f>IFERROR(VLOOKUP($A300,'13. Mapa Títulos-Receita'!$A$8:$P$1000,5,FALSE),"")</f>
        <v/>
      </c>
      <c r="U300" s="92">
        <f>IFERROR(VLOOKUP($A300,'13. Mapa Títulos-Receita'!$A$8:$P$1000,6,FALSE),"")</f>
        <v/>
      </c>
      <c r="V300" s="92">
        <f>IFERROR(VLOOKUP($A300,'13. Mapa Títulos-Receita'!$A$8:$P$1000,7,FALSE),"")</f>
        <v/>
      </c>
      <c r="W300" s="92">
        <f>IFERROR(VLOOKUP($A300,'13. Mapa Títulos-Receita'!$A$8:$P$1000,8,FALSE),"")</f>
        <v/>
      </c>
      <c r="X300" s="92">
        <f>IFERROR(VLOOKUP($A300,'13. Mapa Títulos-Receita'!$A$8:$P$1000,9,FALSE),"")</f>
        <v/>
      </c>
      <c r="Y300" s="92">
        <f>IFERROR(VLOOKUP($A300,'13. Mapa Títulos-Receita'!$A$8:$P$1000,10,FALSE),"")</f>
        <v/>
      </c>
      <c r="Z300" s="92">
        <f>IFERROR(VLOOKUP($A300,'13. Mapa Títulos-Receita'!$A$8:$P$1000,11,FALSE),"")</f>
        <v/>
      </c>
      <c r="AA300" s="92">
        <f>IFERROR(VLOOKUP($A300,'13. Mapa Títulos-Receita'!$A$8:$P$1000,12,FALSE),"")</f>
        <v/>
      </c>
      <c r="AB300" s="92">
        <f>IFERROR(VLOOKUP($A300,'13. Mapa Títulos-Receita'!$A$8:$P$1000,13,FALSE),"")</f>
        <v/>
      </c>
      <c r="AC300" s="92">
        <f>IFERROR(VLOOKUP($A300,'13. Mapa Títulos-Receita'!$A$8:$P$1000,14,FALSE),"")</f>
        <v/>
      </c>
      <c r="AD300" s="92">
        <f>IFERROR(VLOOKUP($A300,'13. Mapa Títulos-Receita'!$A$8:$P$1000,15,FALSE),"")</f>
        <v/>
      </c>
      <c r="AE300" s="92">
        <f>IFERROR(VLOOKUP($A300,'13. Mapa Títulos-Receita'!$A$8:$P$1000,16,FALSE),"")</f>
        <v/>
      </c>
    </row>
    <row r="301">
      <c r="A301" s="28">
        <f>IF(C301="","", "CR-"&amp;TEXT(ROW()-7,"000"))</f>
        <v/>
      </c>
      <c r="B301" s="28" t="n"/>
      <c r="C301" s="28" t="n"/>
      <c r="D301" s="111" t="n"/>
      <c r="E301" s="111" t="n"/>
      <c r="F301" s="111" t="n"/>
      <c r="G301" s="28" t="n"/>
      <c r="H301" s="45" t="n"/>
      <c r="I301" s="45" t="n"/>
      <c r="J301" s="28">
        <f>IF(H301="","",IF(I301&gt;=H301,"Recebido",IF($B$4&gt;E301,"Vencido","Aberto")))</f>
        <v/>
      </c>
      <c r="K301" s="4">
        <f>IF(J301="","",IF(OR(J301="Recebido",F301=""),MAX(0,F301-E301),MAX(0,$B$4-E301)))</f>
        <v/>
      </c>
      <c r="L301" s="4">
        <f>IF(K301="","",IF(K301=0,"Em dia",IF(K301&lt;=30,"1-30 dias",IF(K301&lt;=60,"31-60 dias",IF(K301&lt;=90,"61-90 dias","&gt;90 dias")))))</f>
        <v/>
      </c>
      <c r="M301" s="28" t="n"/>
      <c r="N301" s="104" t="inlineStr"/>
      <c r="O301" s="64" t="n"/>
      <c r="P301" s="64">
        <f>IF(C301="","",IF(ISNUMBER(SEARCH("PCMSO",C301)),"PCMSO",IF(OR(ISNUMBER(SEARCH("E-SOCIAL",C301)),ISNUMBER(SEARCH("PSICOSOCIAL",C301))),"eSocial / Psicossocial",IF(O301="Receita recorrente","Carteira recorrente","Projetos / Laudos / Avulsos"))))</f>
        <v/>
      </c>
      <c r="Q301" s="64">
        <f>IF(P301="","",IF(P301="Carteira recorrente","Operação recorrente",IF(P301="PCMSO","Projetos PCMSO",IF(P301="eSocial / Psicossocial","Projetos eSocial/Psicossocial","Projetos / Laudos / Avulsos"))))</f>
        <v/>
      </c>
      <c r="R301" s="64">
        <f>IF(C301="","",IF(ISNUMBER(SEARCH("PCMSO",C301)),"Título com PCMSO no nome",IF(OR(ISNUMBER(SEARCH("E-SOCIAL",C301)),ISNUMBER(SEARCH("PSICOSOCIAL",C301))),"Título com eSocial/Psicossocial no nome",IF(O301="Receita recorrente","Tipo DRE recorrente","Extra sem palavra-chave específica"))))</f>
        <v/>
      </c>
      <c r="S301" s="92">
        <f>IFERROR(VLOOKUP($A301,'13. Mapa Títulos-Receita'!$A$8:$P$1000,4,FALSE),"")</f>
        <v/>
      </c>
      <c r="T301" s="92">
        <f>IFERROR(VLOOKUP($A301,'13. Mapa Títulos-Receita'!$A$8:$P$1000,5,FALSE),"")</f>
        <v/>
      </c>
      <c r="U301" s="92">
        <f>IFERROR(VLOOKUP($A301,'13. Mapa Títulos-Receita'!$A$8:$P$1000,6,FALSE),"")</f>
        <v/>
      </c>
      <c r="V301" s="92">
        <f>IFERROR(VLOOKUP($A301,'13. Mapa Títulos-Receita'!$A$8:$P$1000,7,FALSE),"")</f>
        <v/>
      </c>
      <c r="W301" s="92">
        <f>IFERROR(VLOOKUP($A301,'13. Mapa Títulos-Receita'!$A$8:$P$1000,8,FALSE),"")</f>
        <v/>
      </c>
      <c r="X301" s="92">
        <f>IFERROR(VLOOKUP($A301,'13. Mapa Títulos-Receita'!$A$8:$P$1000,9,FALSE),"")</f>
        <v/>
      </c>
      <c r="Y301" s="92">
        <f>IFERROR(VLOOKUP($A301,'13. Mapa Títulos-Receita'!$A$8:$P$1000,10,FALSE),"")</f>
        <v/>
      </c>
      <c r="Z301" s="92">
        <f>IFERROR(VLOOKUP($A301,'13. Mapa Títulos-Receita'!$A$8:$P$1000,11,FALSE),"")</f>
        <v/>
      </c>
      <c r="AA301" s="92">
        <f>IFERROR(VLOOKUP($A301,'13. Mapa Títulos-Receita'!$A$8:$P$1000,12,FALSE),"")</f>
        <v/>
      </c>
      <c r="AB301" s="92">
        <f>IFERROR(VLOOKUP($A301,'13. Mapa Títulos-Receita'!$A$8:$P$1000,13,FALSE),"")</f>
        <v/>
      </c>
      <c r="AC301" s="92">
        <f>IFERROR(VLOOKUP($A301,'13. Mapa Títulos-Receita'!$A$8:$P$1000,14,FALSE),"")</f>
        <v/>
      </c>
      <c r="AD301" s="92">
        <f>IFERROR(VLOOKUP($A301,'13. Mapa Títulos-Receita'!$A$8:$P$1000,15,FALSE),"")</f>
        <v/>
      </c>
      <c r="AE301" s="92">
        <f>IFERROR(VLOOKUP($A301,'13. Mapa Títulos-Receita'!$A$8:$P$1000,16,FALSE),"")</f>
        <v/>
      </c>
    </row>
    <row r="302">
      <c r="A302" s="28">
        <f>IF(C302="","", "CR-"&amp;TEXT(ROW()-7,"000"))</f>
        <v/>
      </c>
      <c r="B302" s="28" t="n"/>
      <c r="C302" s="28" t="n"/>
      <c r="D302" s="111" t="n"/>
      <c r="E302" s="111" t="n"/>
      <c r="F302" s="111" t="n"/>
      <c r="G302" s="28" t="n"/>
      <c r="H302" s="45" t="n"/>
      <c r="I302" s="45" t="n"/>
      <c r="J302" s="28">
        <f>IF(H302="","",IF(I302&gt;=H302,"Recebido",IF($B$4&gt;E302,"Vencido","Aberto")))</f>
        <v/>
      </c>
      <c r="K302" s="4">
        <f>IF(J302="","",IF(OR(J302="Recebido",F302=""),MAX(0,F302-E302),MAX(0,$B$4-E302)))</f>
        <v/>
      </c>
      <c r="L302" s="4">
        <f>IF(K302="","",IF(K302=0,"Em dia",IF(K302&lt;=30,"1-30 dias",IF(K302&lt;=60,"31-60 dias",IF(K302&lt;=90,"61-90 dias","&gt;90 dias")))))</f>
        <v/>
      </c>
      <c r="M302" s="28" t="n"/>
      <c r="N302" s="104" t="inlineStr"/>
      <c r="O302" s="64" t="n"/>
      <c r="P302" s="64">
        <f>IF(C302="","",IF(ISNUMBER(SEARCH("PCMSO",C302)),"PCMSO",IF(OR(ISNUMBER(SEARCH("E-SOCIAL",C302)),ISNUMBER(SEARCH("PSICOSOCIAL",C302))),"eSocial / Psicossocial",IF(O302="Receita recorrente","Carteira recorrente","Projetos / Laudos / Avulsos"))))</f>
        <v/>
      </c>
      <c r="Q302" s="64">
        <f>IF(P302="","",IF(P302="Carteira recorrente","Operação recorrente",IF(P302="PCMSO","Projetos PCMSO",IF(P302="eSocial / Psicossocial","Projetos eSocial/Psicossocial","Projetos / Laudos / Avulsos"))))</f>
        <v/>
      </c>
      <c r="R302" s="64">
        <f>IF(C302="","",IF(ISNUMBER(SEARCH("PCMSO",C302)),"Título com PCMSO no nome",IF(OR(ISNUMBER(SEARCH("E-SOCIAL",C302)),ISNUMBER(SEARCH("PSICOSOCIAL",C302))),"Título com eSocial/Psicossocial no nome",IF(O302="Receita recorrente","Tipo DRE recorrente","Extra sem palavra-chave específica"))))</f>
        <v/>
      </c>
      <c r="S302" s="92">
        <f>IFERROR(VLOOKUP($A302,'13. Mapa Títulos-Receita'!$A$8:$P$1000,4,FALSE),"")</f>
        <v/>
      </c>
      <c r="T302" s="92">
        <f>IFERROR(VLOOKUP($A302,'13. Mapa Títulos-Receita'!$A$8:$P$1000,5,FALSE),"")</f>
        <v/>
      </c>
      <c r="U302" s="92">
        <f>IFERROR(VLOOKUP($A302,'13. Mapa Títulos-Receita'!$A$8:$P$1000,6,FALSE),"")</f>
        <v/>
      </c>
      <c r="V302" s="92">
        <f>IFERROR(VLOOKUP($A302,'13. Mapa Títulos-Receita'!$A$8:$P$1000,7,FALSE),"")</f>
        <v/>
      </c>
      <c r="W302" s="92">
        <f>IFERROR(VLOOKUP($A302,'13. Mapa Títulos-Receita'!$A$8:$P$1000,8,FALSE),"")</f>
        <v/>
      </c>
      <c r="X302" s="92">
        <f>IFERROR(VLOOKUP($A302,'13. Mapa Títulos-Receita'!$A$8:$P$1000,9,FALSE),"")</f>
        <v/>
      </c>
      <c r="Y302" s="92">
        <f>IFERROR(VLOOKUP($A302,'13. Mapa Títulos-Receita'!$A$8:$P$1000,10,FALSE),"")</f>
        <v/>
      </c>
      <c r="Z302" s="92">
        <f>IFERROR(VLOOKUP($A302,'13. Mapa Títulos-Receita'!$A$8:$P$1000,11,FALSE),"")</f>
        <v/>
      </c>
      <c r="AA302" s="92">
        <f>IFERROR(VLOOKUP($A302,'13. Mapa Títulos-Receita'!$A$8:$P$1000,12,FALSE),"")</f>
        <v/>
      </c>
      <c r="AB302" s="92">
        <f>IFERROR(VLOOKUP($A302,'13. Mapa Títulos-Receita'!$A$8:$P$1000,13,FALSE),"")</f>
        <v/>
      </c>
      <c r="AC302" s="92">
        <f>IFERROR(VLOOKUP($A302,'13. Mapa Títulos-Receita'!$A$8:$P$1000,14,FALSE),"")</f>
        <v/>
      </c>
      <c r="AD302" s="92">
        <f>IFERROR(VLOOKUP($A302,'13. Mapa Títulos-Receita'!$A$8:$P$1000,15,FALSE),"")</f>
        <v/>
      </c>
      <c r="AE302" s="92">
        <f>IFERROR(VLOOKUP($A302,'13. Mapa Títulos-Receita'!$A$8:$P$1000,16,FALSE),"")</f>
        <v/>
      </c>
    </row>
    <row r="303">
      <c r="A303" s="28">
        <f>IF(C303="","", "CR-"&amp;TEXT(ROW()-7,"000"))</f>
        <v/>
      </c>
      <c r="B303" s="28" t="n"/>
      <c r="C303" s="28" t="n"/>
      <c r="D303" s="111" t="n"/>
      <c r="E303" s="111" t="n"/>
      <c r="F303" s="111" t="n"/>
      <c r="G303" s="28" t="n"/>
      <c r="H303" s="45" t="n"/>
      <c r="I303" s="45" t="n"/>
      <c r="J303" s="28">
        <f>IF(H303="","",IF(I303&gt;=H303,"Recebido",IF($B$4&gt;E303,"Vencido","Aberto")))</f>
        <v/>
      </c>
      <c r="K303" s="4">
        <f>IF(J303="","",IF(OR(J303="Recebido",F303=""),MAX(0,F303-E303),MAX(0,$B$4-E303)))</f>
        <v/>
      </c>
      <c r="L303" s="4">
        <f>IF(K303="","",IF(K303=0,"Em dia",IF(K303&lt;=30,"1-30 dias",IF(K303&lt;=60,"31-60 dias",IF(K303&lt;=90,"61-90 dias","&gt;90 dias")))))</f>
        <v/>
      </c>
      <c r="M303" s="28" t="n"/>
      <c r="N303" s="104" t="inlineStr"/>
      <c r="O303" s="64" t="n"/>
      <c r="P303" s="64">
        <f>IF(C303="","",IF(ISNUMBER(SEARCH("PCMSO",C303)),"PCMSO",IF(OR(ISNUMBER(SEARCH("E-SOCIAL",C303)),ISNUMBER(SEARCH("PSICOSOCIAL",C303))),"eSocial / Psicossocial",IF(O303="Receita recorrente","Carteira recorrente","Projetos / Laudos / Avulsos"))))</f>
        <v/>
      </c>
      <c r="Q303" s="64">
        <f>IF(P303="","",IF(P303="Carteira recorrente","Operação recorrente",IF(P303="PCMSO","Projetos PCMSO",IF(P303="eSocial / Psicossocial","Projetos eSocial/Psicossocial","Projetos / Laudos / Avulsos"))))</f>
        <v/>
      </c>
      <c r="R303" s="64">
        <f>IF(C303="","",IF(ISNUMBER(SEARCH("PCMSO",C303)),"Título com PCMSO no nome",IF(OR(ISNUMBER(SEARCH("E-SOCIAL",C303)),ISNUMBER(SEARCH("PSICOSOCIAL",C303))),"Título com eSocial/Psicossocial no nome",IF(O303="Receita recorrente","Tipo DRE recorrente","Extra sem palavra-chave específica"))))</f>
        <v/>
      </c>
      <c r="S303" s="92">
        <f>IFERROR(VLOOKUP($A303,'13. Mapa Títulos-Receita'!$A$8:$P$1000,4,FALSE),"")</f>
        <v/>
      </c>
      <c r="T303" s="92">
        <f>IFERROR(VLOOKUP($A303,'13. Mapa Títulos-Receita'!$A$8:$P$1000,5,FALSE),"")</f>
        <v/>
      </c>
      <c r="U303" s="92">
        <f>IFERROR(VLOOKUP($A303,'13. Mapa Títulos-Receita'!$A$8:$P$1000,6,FALSE),"")</f>
        <v/>
      </c>
      <c r="V303" s="92">
        <f>IFERROR(VLOOKUP($A303,'13. Mapa Títulos-Receita'!$A$8:$P$1000,7,FALSE),"")</f>
        <v/>
      </c>
      <c r="W303" s="92">
        <f>IFERROR(VLOOKUP($A303,'13. Mapa Títulos-Receita'!$A$8:$P$1000,8,FALSE),"")</f>
        <v/>
      </c>
      <c r="X303" s="92">
        <f>IFERROR(VLOOKUP($A303,'13. Mapa Títulos-Receita'!$A$8:$P$1000,9,FALSE),"")</f>
        <v/>
      </c>
      <c r="Y303" s="92">
        <f>IFERROR(VLOOKUP($A303,'13. Mapa Títulos-Receita'!$A$8:$P$1000,10,FALSE),"")</f>
        <v/>
      </c>
      <c r="Z303" s="92">
        <f>IFERROR(VLOOKUP($A303,'13. Mapa Títulos-Receita'!$A$8:$P$1000,11,FALSE),"")</f>
        <v/>
      </c>
      <c r="AA303" s="92">
        <f>IFERROR(VLOOKUP($A303,'13. Mapa Títulos-Receita'!$A$8:$P$1000,12,FALSE),"")</f>
        <v/>
      </c>
      <c r="AB303" s="92">
        <f>IFERROR(VLOOKUP($A303,'13. Mapa Títulos-Receita'!$A$8:$P$1000,13,FALSE),"")</f>
        <v/>
      </c>
      <c r="AC303" s="92">
        <f>IFERROR(VLOOKUP($A303,'13. Mapa Títulos-Receita'!$A$8:$P$1000,14,FALSE),"")</f>
        <v/>
      </c>
      <c r="AD303" s="92">
        <f>IFERROR(VLOOKUP($A303,'13. Mapa Títulos-Receita'!$A$8:$P$1000,15,FALSE),"")</f>
        <v/>
      </c>
      <c r="AE303" s="92">
        <f>IFERROR(VLOOKUP($A303,'13. Mapa Títulos-Receita'!$A$8:$P$1000,16,FALSE),"")</f>
        <v/>
      </c>
    </row>
    <row r="304">
      <c r="A304" s="28">
        <f>IF(C304="","", "CR-"&amp;TEXT(ROW()-7,"000"))</f>
        <v/>
      </c>
      <c r="B304" s="28" t="n"/>
      <c r="C304" s="28" t="n"/>
      <c r="D304" s="111" t="n"/>
      <c r="E304" s="111" t="n"/>
      <c r="F304" s="111" t="n"/>
      <c r="G304" s="28" t="n"/>
      <c r="H304" s="45" t="n"/>
      <c r="I304" s="45" t="n"/>
      <c r="J304" s="28">
        <f>IF(H304="","",IF(I304&gt;=H304,"Recebido",IF($B$4&gt;E304,"Vencido","Aberto")))</f>
        <v/>
      </c>
      <c r="K304" s="4">
        <f>IF(J304="","",IF(OR(J304="Recebido",F304=""),MAX(0,F304-E304),MAX(0,$B$4-E304)))</f>
        <v/>
      </c>
      <c r="L304" s="4">
        <f>IF(K304="","",IF(K304=0,"Em dia",IF(K304&lt;=30,"1-30 dias",IF(K304&lt;=60,"31-60 dias",IF(K304&lt;=90,"61-90 dias","&gt;90 dias")))))</f>
        <v/>
      </c>
      <c r="M304" s="28" t="n"/>
      <c r="N304" s="104" t="inlineStr"/>
      <c r="O304" s="64" t="n"/>
      <c r="P304" s="64">
        <f>IF(C304="","",IF(ISNUMBER(SEARCH("PCMSO",C304)),"PCMSO",IF(OR(ISNUMBER(SEARCH("E-SOCIAL",C304)),ISNUMBER(SEARCH("PSICOSOCIAL",C304))),"eSocial / Psicossocial",IF(O304="Receita recorrente","Carteira recorrente","Projetos / Laudos / Avulsos"))))</f>
        <v/>
      </c>
      <c r="Q304" s="64">
        <f>IF(P304="","",IF(P304="Carteira recorrente","Operação recorrente",IF(P304="PCMSO","Projetos PCMSO",IF(P304="eSocial / Psicossocial","Projetos eSocial/Psicossocial","Projetos / Laudos / Avulsos"))))</f>
        <v/>
      </c>
      <c r="R304" s="64">
        <f>IF(C304="","",IF(ISNUMBER(SEARCH("PCMSO",C304)),"Título com PCMSO no nome",IF(OR(ISNUMBER(SEARCH("E-SOCIAL",C304)),ISNUMBER(SEARCH("PSICOSOCIAL",C304))),"Título com eSocial/Psicossocial no nome",IF(O304="Receita recorrente","Tipo DRE recorrente","Extra sem palavra-chave específica"))))</f>
        <v/>
      </c>
      <c r="S304" s="92">
        <f>IFERROR(VLOOKUP($A304,'13. Mapa Títulos-Receita'!$A$8:$P$1000,4,FALSE),"")</f>
        <v/>
      </c>
      <c r="T304" s="92">
        <f>IFERROR(VLOOKUP($A304,'13. Mapa Títulos-Receita'!$A$8:$P$1000,5,FALSE),"")</f>
        <v/>
      </c>
      <c r="U304" s="92">
        <f>IFERROR(VLOOKUP($A304,'13. Mapa Títulos-Receita'!$A$8:$P$1000,6,FALSE),"")</f>
        <v/>
      </c>
      <c r="V304" s="92">
        <f>IFERROR(VLOOKUP($A304,'13. Mapa Títulos-Receita'!$A$8:$P$1000,7,FALSE),"")</f>
        <v/>
      </c>
      <c r="W304" s="92">
        <f>IFERROR(VLOOKUP($A304,'13. Mapa Títulos-Receita'!$A$8:$P$1000,8,FALSE),"")</f>
        <v/>
      </c>
      <c r="X304" s="92">
        <f>IFERROR(VLOOKUP($A304,'13. Mapa Títulos-Receita'!$A$8:$P$1000,9,FALSE),"")</f>
        <v/>
      </c>
      <c r="Y304" s="92">
        <f>IFERROR(VLOOKUP($A304,'13. Mapa Títulos-Receita'!$A$8:$P$1000,10,FALSE),"")</f>
        <v/>
      </c>
      <c r="Z304" s="92">
        <f>IFERROR(VLOOKUP($A304,'13. Mapa Títulos-Receita'!$A$8:$P$1000,11,FALSE),"")</f>
        <v/>
      </c>
      <c r="AA304" s="92">
        <f>IFERROR(VLOOKUP($A304,'13. Mapa Títulos-Receita'!$A$8:$P$1000,12,FALSE),"")</f>
        <v/>
      </c>
      <c r="AB304" s="92">
        <f>IFERROR(VLOOKUP($A304,'13. Mapa Títulos-Receita'!$A$8:$P$1000,13,FALSE),"")</f>
        <v/>
      </c>
      <c r="AC304" s="92">
        <f>IFERROR(VLOOKUP($A304,'13. Mapa Títulos-Receita'!$A$8:$P$1000,14,FALSE),"")</f>
        <v/>
      </c>
      <c r="AD304" s="92">
        <f>IFERROR(VLOOKUP($A304,'13. Mapa Títulos-Receita'!$A$8:$P$1000,15,FALSE),"")</f>
        <v/>
      </c>
      <c r="AE304" s="92">
        <f>IFERROR(VLOOKUP($A304,'13. Mapa Títulos-Receita'!$A$8:$P$1000,16,FALSE),"")</f>
        <v/>
      </c>
    </row>
    <row r="305">
      <c r="A305" s="28">
        <f>IF(C305="","", "CR-"&amp;TEXT(ROW()-7,"000"))</f>
        <v/>
      </c>
      <c r="B305" s="28" t="n"/>
      <c r="C305" s="28" t="n"/>
      <c r="D305" s="111" t="n"/>
      <c r="E305" s="111" t="n"/>
      <c r="F305" s="111" t="n"/>
      <c r="G305" s="28" t="n"/>
      <c r="H305" s="45" t="n"/>
      <c r="I305" s="45" t="n"/>
      <c r="J305" s="28">
        <f>IF(H305="","",IF(I305&gt;=H305,"Recebido",IF($B$4&gt;E305,"Vencido","Aberto")))</f>
        <v/>
      </c>
      <c r="K305" s="4">
        <f>IF(J305="","",IF(OR(J305="Recebido",F305=""),MAX(0,F305-E305),MAX(0,$B$4-E305)))</f>
        <v/>
      </c>
      <c r="L305" s="4">
        <f>IF(K305="","",IF(K305=0,"Em dia",IF(K305&lt;=30,"1-30 dias",IF(K305&lt;=60,"31-60 dias",IF(K305&lt;=90,"61-90 dias","&gt;90 dias")))))</f>
        <v/>
      </c>
      <c r="M305" s="28" t="n"/>
      <c r="N305" s="104" t="inlineStr"/>
      <c r="O305" s="64" t="n"/>
      <c r="P305" s="64">
        <f>IF(C305="","",IF(ISNUMBER(SEARCH("PCMSO",C305)),"PCMSO",IF(OR(ISNUMBER(SEARCH("E-SOCIAL",C305)),ISNUMBER(SEARCH("PSICOSOCIAL",C305))),"eSocial / Psicossocial",IF(O305="Receita recorrente","Carteira recorrente","Projetos / Laudos / Avulsos"))))</f>
        <v/>
      </c>
      <c r="Q305" s="64">
        <f>IF(P305="","",IF(P305="Carteira recorrente","Operação recorrente",IF(P305="PCMSO","Projetos PCMSO",IF(P305="eSocial / Psicossocial","Projetos eSocial/Psicossocial","Projetos / Laudos / Avulsos"))))</f>
        <v/>
      </c>
      <c r="R305" s="64">
        <f>IF(C305="","",IF(ISNUMBER(SEARCH("PCMSO",C305)),"Título com PCMSO no nome",IF(OR(ISNUMBER(SEARCH("E-SOCIAL",C305)),ISNUMBER(SEARCH("PSICOSOCIAL",C305))),"Título com eSocial/Psicossocial no nome",IF(O305="Receita recorrente","Tipo DRE recorrente","Extra sem palavra-chave específica"))))</f>
        <v/>
      </c>
      <c r="S305" s="92">
        <f>IFERROR(VLOOKUP($A305,'13. Mapa Títulos-Receita'!$A$8:$P$1000,4,FALSE),"")</f>
        <v/>
      </c>
      <c r="T305" s="92">
        <f>IFERROR(VLOOKUP($A305,'13. Mapa Títulos-Receita'!$A$8:$P$1000,5,FALSE),"")</f>
        <v/>
      </c>
      <c r="U305" s="92">
        <f>IFERROR(VLOOKUP($A305,'13. Mapa Títulos-Receita'!$A$8:$P$1000,6,FALSE),"")</f>
        <v/>
      </c>
      <c r="V305" s="92">
        <f>IFERROR(VLOOKUP($A305,'13. Mapa Títulos-Receita'!$A$8:$P$1000,7,FALSE),"")</f>
        <v/>
      </c>
      <c r="W305" s="92">
        <f>IFERROR(VLOOKUP($A305,'13. Mapa Títulos-Receita'!$A$8:$P$1000,8,FALSE),"")</f>
        <v/>
      </c>
      <c r="X305" s="92">
        <f>IFERROR(VLOOKUP($A305,'13. Mapa Títulos-Receita'!$A$8:$P$1000,9,FALSE),"")</f>
        <v/>
      </c>
      <c r="Y305" s="92">
        <f>IFERROR(VLOOKUP($A305,'13. Mapa Títulos-Receita'!$A$8:$P$1000,10,FALSE),"")</f>
        <v/>
      </c>
      <c r="Z305" s="92">
        <f>IFERROR(VLOOKUP($A305,'13. Mapa Títulos-Receita'!$A$8:$P$1000,11,FALSE),"")</f>
        <v/>
      </c>
      <c r="AA305" s="92">
        <f>IFERROR(VLOOKUP($A305,'13. Mapa Títulos-Receita'!$A$8:$P$1000,12,FALSE),"")</f>
        <v/>
      </c>
      <c r="AB305" s="92">
        <f>IFERROR(VLOOKUP($A305,'13. Mapa Títulos-Receita'!$A$8:$P$1000,13,FALSE),"")</f>
        <v/>
      </c>
      <c r="AC305" s="92">
        <f>IFERROR(VLOOKUP($A305,'13. Mapa Títulos-Receita'!$A$8:$P$1000,14,FALSE),"")</f>
        <v/>
      </c>
      <c r="AD305" s="92">
        <f>IFERROR(VLOOKUP($A305,'13. Mapa Títulos-Receita'!$A$8:$P$1000,15,FALSE),"")</f>
        <v/>
      </c>
      <c r="AE305" s="92">
        <f>IFERROR(VLOOKUP($A305,'13. Mapa Títulos-Receita'!$A$8:$P$1000,16,FALSE),"")</f>
        <v/>
      </c>
    </row>
    <row r="306">
      <c r="A306" s="28">
        <f>IF(C306="","", "CR-"&amp;TEXT(ROW()-7,"000"))</f>
        <v/>
      </c>
      <c r="B306" s="28" t="n"/>
      <c r="C306" s="28" t="n"/>
      <c r="D306" s="111" t="n"/>
      <c r="E306" s="111" t="n"/>
      <c r="F306" s="111" t="n"/>
      <c r="G306" s="28" t="n"/>
      <c r="H306" s="45" t="n"/>
      <c r="I306" s="45" t="n"/>
      <c r="J306" s="28">
        <f>IF(H306="","",IF(I306&gt;=H306,"Recebido",IF($B$4&gt;E306,"Vencido","Aberto")))</f>
        <v/>
      </c>
      <c r="K306" s="4">
        <f>IF(J306="","",IF(OR(J306="Recebido",F306=""),MAX(0,F306-E306),MAX(0,$B$4-E306)))</f>
        <v/>
      </c>
      <c r="L306" s="4">
        <f>IF(K306="","",IF(K306=0,"Em dia",IF(K306&lt;=30,"1-30 dias",IF(K306&lt;=60,"31-60 dias",IF(K306&lt;=90,"61-90 dias","&gt;90 dias")))))</f>
        <v/>
      </c>
      <c r="M306" s="28" t="n"/>
      <c r="N306" s="104" t="inlineStr"/>
      <c r="O306" s="64" t="n"/>
      <c r="P306" s="64">
        <f>IF(C306="","",IF(ISNUMBER(SEARCH("PCMSO",C306)),"PCMSO",IF(OR(ISNUMBER(SEARCH("E-SOCIAL",C306)),ISNUMBER(SEARCH("PSICOSOCIAL",C306))),"eSocial / Psicossocial",IF(O306="Receita recorrente","Carteira recorrente","Projetos / Laudos / Avulsos"))))</f>
        <v/>
      </c>
      <c r="Q306" s="64">
        <f>IF(P306="","",IF(P306="Carteira recorrente","Operação recorrente",IF(P306="PCMSO","Projetos PCMSO",IF(P306="eSocial / Psicossocial","Projetos eSocial/Psicossocial","Projetos / Laudos / Avulsos"))))</f>
        <v/>
      </c>
      <c r="R306" s="64">
        <f>IF(C306="","",IF(ISNUMBER(SEARCH("PCMSO",C306)),"Título com PCMSO no nome",IF(OR(ISNUMBER(SEARCH("E-SOCIAL",C306)),ISNUMBER(SEARCH("PSICOSOCIAL",C306))),"Título com eSocial/Psicossocial no nome",IF(O306="Receita recorrente","Tipo DRE recorrente","Extra sem palavra-chave específica"))))</f>
        <v/>
      </c>
      <c r="S306" s="92">
        <f>IFERROR(VLOOKUP($A306,'13. Mapa Títulos-Receita'!$A$8:$P$1000,4,FALSE),"")</f>
        <v/>
      </c>
      <c r="T306" s="92">
        <f>IFERROR(VLOOKUP($A306,'13. Mapa Títulos-Receita'!$A$8:$P$1000,5,FALSE),"")</f>
        <v/>
      </c>
      <c r="U306" s="92">
        <f>IFERROR(VLOOKUP($A306,'13. Mapa Títulos-Receita'!$A$8:$P$1000,6,FALSE),"")</f>
        <v/>
      </c>
      <c r="V306" s="92">
        <f>IFERROR(VLOOKUP($A306,'13. Mapa Títulos-Receita'!$A$8:$P$1000,7,FALSE),"")</f>
        <v/>
      </c>
      <c r="W306" s="92">
        <f>IFERROR(VLOOKUP($A306,'13. Mapa Títulos-Receita'!$A$8:$P$1000,8,FALSE),"")</f>
        <v/>
      </c>
      <c r="X306" s="92">
        <f>IFERROR(VLOOKUP($A306,'13. Mapa Títulos-Receita'!$A$8:$P$1000,9,FALSE),"")</f>
        <v/>
      </c>
      <c r="Y306" s="92">
        <f>IFERROR(VLOOKUP($A306,'13. Mapa Títulos-Receita'!$A$8:$P$1000,10,FALSE),"")</f>
        <v/>
      </c>
      <c r="Z306" s="92">
        <f>IFERROR(VLOOKUP($A306,'13. Mapa Títulos-Receita'!$A$8:$P$1000,11,FALSE),"")</f>
        <v/>
      </c>
      <c r="AA306" s="92">
        <f>IFERROR(VLOOKUP($A306,'13. Mapa Títulos-Receita'!$A$8:$P$1000,12,FALSE),"")</f>
        <v/>
      </c>
      <c r="AB306" s="92">
        <f>IFERROR(VLOOKUP($A306,'13. Mapa Títulos-Receita'!$A$8:$P$1000,13,FALSE),"")</f>
        <v/>
      </c>
      <c r="AC306" s="92">
        <f>IFERROR(VLOOKUP($A306,'13. Mapa Títulos-Receita'!$A$8:$P$1000,14,FALSE),"")</f>
        <v/>
      </c>
      <c r="AD306" s="92">
        <f>IFERROR(VLOOKUP($A306,'13. Mapa Títulos-Receita'!$A$8:$P$1000,15,FALSE),"")</f>
        <v/>
      </c>
      <c r="AE306" s="92">
        <f>IFERROR(VLOOKUP($A306,'13. Mapa Títulos-Receita'!$A$8:$P$1000,16,FALSE),"")</f>
        <v/>
      </c>
    </row>
    <row r="307">
      <c r="A307" s="28">
        <f>IF(C307="","", "CR-"&amp;TEXT(ROW()-7,"000"))</f>
        <v/>
      </c>
      <c r="B307" s="28" t="n"/>
      <c r="C307" s="28" t="n"/>
      <c r="D307" s="111" t="n"/>
      <c r="E307" s="111" t="n"/>
      <c r="F307" s="111" t="n"/>
      <c r="G307" s="28" t="n"/>
      <c r="H307" s="45" t="n"/>
      <c r="I307" s="45" t="n"/>
      <c r="J307" s="28">
        <f>IF(H307="","",IF(I307&gt;=H307,"Recebido",IF($B$4&gt;E307,"Vencido","Aberto")))</f>
        <v/>
      </c>
      <c r="K307" s="4">
        <f>IF(J307="","",IF(OR(J307="Recebido",F307=""),MAX(0,F307-E307),MAX(0,$B$4-E307)))</f>
        <v/>
      </c>
      <c r="L307" s="4">
        <f>IF(K307="","",IF(K307=0,"Em dia",IF(K307&lt;=30,"1-30 dias",IF(K307&lt;=60,"31-60 dias",IF(K307&lt;=90,"61-90 dias","&gt;90 dias")))))</f>
        <v/>
      </c>
      <c r="M307" s="28" t="n"/>
      <c r="N307" s="104" t="inlineStr"/>
      <c r="O307" s="64" t="n"/>
      <c r="P307" s="64">
        <f>IF(C307="","",IF(ISNUMBER(SEARCH("PCMSO",C307)),"PCMSO",IF(OR(ISNUMBER(SEARCH("E-SOCIAL",C307)),ISNUMBER(SEARCH("PSICOSOCIAL",C307))),"eSocial / Psicossocial",IF(O307="Receita recorrente","Carteira recorrente","Projetos / Laudos / Avulsos"))))</f>
        <v/>
      </c>
      <c r="Q307" s="64">
        <f>IF(P307="","",IF(P307="Carteira recorrente","Operação recorrente",IF(P307="PCMSO","Projetos PCMSO",IF(P307="eSocial / Psicossocial","Projetos eSocial/Psicossocial","Projetos / Laudos / Avulsos"))))</f>
        <v/>
      </c>
      <c r="R307" s="64">
        <f>IF(C307="","",IF(ISNUMBER(SEARCH("PCMSO",C307)),"Título com PCMSO no nome",IF(OR(ISNUMBER(SEARCH("E-SOCIAL",C307)),ISNUMBER(SEARCH("PSICOSOCIAL",C307))),"Título com eSocial/Psicossocial no nome",IF(O307="Receita recorrente","Tipo DRE recorrente","Extra sem palavra-chave específica"))))</f>
        <v/>
      </c>
      <c r="S307" s="92">
        <f>IFERROR(VLOOKUP($A307,'13. Mapa Títulos-Receita'!$A$8:$P$1000,4,FALSE),"")</f>
        <v/>
      </c>
      <c r="T307" s="92">
        <f>IFERROR(VLOOKUP($A307,'13. Mapa Títulos-Receita'!$A$8:$P$1000,5,FALSE),"")</f>
        <v/>
      </c>
      <c r="U307" s="92">
        <f>IFERROR(VLOOKUP($A307,'13. Mapa Títulos-Receita'!$A$8:$P$1000,6,FALSE),"")</f>
        <v/>
      </c>
      <c r="V307" s="92">
        <f>IFERROR(VLOOKUP($A307,'13. Mapa Títulos-Receita'!$A$8:$P$1000,7,FALSE),"")</f>
        <v/>
      </c>
      <c r="W307" s="92">
        <f>IFERROR(VLOOKUP($A307,'13. Mapa Títulos-Receita'!$A$8:$P$1000,8,FALSE),"")</f>
        <v/>
      </c>
      <c r="X307" s="92">
        <f>IFERROR(VLOOKUP($A307,'13. Mapa Títulos-Receita'!$A$8:$P$1000,9,FALSE),"")</f>
        <v/>
      </c>
      <c r="Y307" s="92">
        <f>IFERROR(VLOOKUP($A307,'13. Mapa Títulos-Receita'!$A$8:$P$1000,10,FALSE),"")</f>
        <v/>
      </c>
      <c r="Z307" s="92">
        <f>IFERROR(VLOOKUP($A307,'13. Mapa Títulos-Receita'!$A$8:$P$1000,11,FALSE),"")</f>
        <v/>
      </c>
      <c r="AA307" s="92">
        <f>IFERROR(VLOOKUP($A307,'13. Mapa Títulos-Receita'!$A$8:$P$1000,12,FALSE),"")</f>
        <v/>
      </c>
      <c r="AB307" s="92">
        <f>IFERROR(VLOOKUP($A307,'13. Mapa Títulos-Receita'!$A$8:$P$1000,13,FALSE),"")</f>
        <v/>
      </c>
      <c r="AC307" s="92">
        <f>IFERROR(VLOOKUP($A307,'13. Mapa Títulos-Receita'!$A$8:$P$1000,14,FALSE),"")</f>
        <v/>
      </c>
      <c r="AD307" s="92">
        <f>IFERROR(VLOOKUP($A307,'13. Mapa Títulos-Receita'!$A$8:$P$1000,15,FALSE),"")</f>
        <v/>
      </c>
      <c r="AE307" s="92">
        <f>IFERROR(VLOOKUP($A307,'13. Mapa Títulos-Receita'!$A$8:$P$1000,16,FALSE),"")</f>
        <v/>
      </c>
    </row>
    <row r="308">
      <c r="A308" s="28">
        <f>IF(C308="","", "CR-"&amp;TEXT(ROW()-7,"000"))</f>
        <v/>
      </c>
      <c r="B308" s="28" t="n"/>
      <c r="C308" s="28" t="n"/>
      <c r="D308" s="111" t="n"/>
      <c r="E308" s="111" t="n"/>
      <c r="F308" s="111" t="n"/>
      <c r="G308" s="28" t="n"/>
      <c r="H308" s="45" t="n"/>
      <c r="I308" s="45" t="n"/>
      <c r="J308" s="28">
        <f>IF(H308="","",IF(I308&gt;=H308,"Recebido",IF($B$4&gt;E308,"Vencido","Aberto")))</f>
        <v/>
      </c>
      <c r="K308" s="4">
        <f>IF(J308="","",IF(OR(J308="Recebido",F308=""),MAX(0,F308-E308),MAX(0,$B$4-E308)))</f>
        <v/>
      </c>
      <c r="L308" s="4">
        <f>IF(K308="","",IF(K308=0,"Em dia",IF(K308&lt;=30,"1-30 dias",IF(K308&lt;=60,"31-60 dias",IF(K308&lt;=90,"61-90 dias","&gt;90 dias")))))</f>
        <v/>
      </c>
      <c r="M308" s="28" t="n"/>
      <c r="N308" s="104" t="inlineStr"/>
      <c r="O308" s="64" t="n"/>
      <c r="P308" s="64">
        <f>IF(C308="","",IF(ISNUMBER(SEARCH("PCMSO",C308)),"PCMSO",IF(OR(ISNUMBER(SEARCH("E-SOCIAL",C308)),ISNUMBER(SEARCH("PSICOSOCIAL",C308))),"eSocial / Psicossocial",IF(O308="Receita recorrente","Carteira recorrente","Projetos / Laudos / Avulsos"))))</f>
        <v/>
      </c>
      <c r="Q308" s="64">
        <f>IF(P308="","",IF(P308="Carteira recorrente","Operação recorrente",IF(P308="PCMSO","Projetos PCMSO",IF(P308="eSocial / Psicossocial","Projetos eSocial/Psicossocial","Projetos / Laudos / Avulsos"))))</f>
        <v/>
      </c>
      <c r="R308" s="64">
        <f>IF(C308="","",IF(ISNUMBER(SEARCH("PCMSO",C308)),"Título com PCMSO no nome",IF(OR(ISNUMBER(SEARCH("E-SOCIAL",C308)),ISNUMBER(SEARCH("PSICOSOCIAL",C308))),"Título com eSocial/Psicossocial no nome",IF(O308="Receita recorrente","Tipo DRE recorrente","Extra sem palavra-chave específica"))))</f>
        <v/>
      </c>
      <c r="S308" s="92">
        <f>IFERROR(VLOOKUP($A308,'13. Mapa Títulos-Receita'!$A$8:$P$1000,4,FALSE),"")</f>
        <v/>
      </c>
      <c r="T308" s="92">
        <f>IFERROR(VLOOKUP($A308,'13. Mapa Títulos-Receita'!$A$8:$P$1000,5,FALSE),"")</f>
        <v/>
      </c>
      <c r="U308" s="92">
        <f>IFERROR(VLOOKUP($A308,'13. Mapa Títulos-Receita'!$A$8:$P$1000,6,FALSE),"")</f>
        <v/>
      </c>
      <c r="V308" s="92">
        <f>IFERROR(VLOOKUP($A308,'13. Mapa Títulos-Receita'!$A$8:$P$1000,7,FALSE),"")</f>
        <v/>
      </c>
      <c r="W308" s="92">
        <f>IFERROR(VLOOKUP($A308,'13. Mapa Títulos-Receita'!$A$8:$P$1000,8,FALSE),"")</f>
        <v/>
      </c>
      <c r="X308" s="92">
        <f>IFERROR(VLOOKUP($A308,'13. Mapa Títulos-Receita'!$A$8:$P$1000,9,FALSE),"")</f>
        <v/>
      </c>
      <c r="Y308" s="92">
        <f>IFERROR(VLOOKUP($A308,'13. Mapa Títulos-Receita'!$A$8:$P$1000,10,FALSE),"")</f>
        <v/>
      </c>
      <c r="Z308" s="92">
        <f>IFERROR(VLOOKUP($A308,'13. Mapa Títulos-Receita'!$A$8:$P$1000,11,FALSE),"")</f>
        <v/>
      </c>
      <c r="AA308" s="92">
        <f>IFERROR(VLOOKUP($A308,'13. Mapa Títulos-Receita'!$A$8:$P$1000,12,FALSE),"")</f>
        <v/>
      </c>
      <c r="AB308" s="92">
        <f>IFERROR(VLOOKUP($A308,'13. Mapa Títulos-Receita'!$A$8:$P$1000,13,FALSE),"")</f>
        <v/>
      </c>
      <c r="AC308" s="92">
        <f>IFERROR(VLOOKUP($A308,'13. Mapa Títulos-Receita'!$A$8:$P$1000,14,FALSE),"")</f>
        <v/>
      </c>
      <c r="AD308" s="92">
        <f>IFERROR(VLOOKUP($A308,'13. Mapa Títulos-Receita'!$A$8:$P$1000,15,FALSE),"")</f>
        <v/>
      </c>
      <c r="AE308" s="92">
        <f>IFERROR(VLOOKUP($A308,'13. Mapa Títulos-Receita'!$A$8:$P$1000,16,FALSE),"")</f>
        <v/>
      </c>
    </row>
    <row r="309">
      <c r="A309" s="28">
        <f>IF(C309="","", "CR-"&amp;TEXT(ROW()-7,"000"))</f>
        <v/>
      </c>
      <c r="B309" s="28" t="n"/>
      <c r="C309" s="28" t="n"/>
      <c r="D309" s="111" t="n"/>
      <c r="E309" s="111" t="n"/>
      <c r="F309" s="111" t="n"/>
      <c r="G309" s="28" t="n"/>
      <c r="H309" s="45" t="n"/>
      <c r="I309" s="45" t="n"/>
      <c r="J309" s="28">
        <f>IF(H309="","",IF(I309&gt;=H309,"Recebido",IF($B$4&gt;E309,"Vencido","Aberto")))</f>
        <v/>
      </c>
      <c r="K309" s="4">
        <f>IF(J309="","",IF(OR(J309="Recebido",F309=""),MAX(0,F309-E309),MAX(0,$B$4-E309)))</f>
        <v/>
      </c>
      <c r="L309" s="4">
        <f>IF(K309="","",IF(K309=0,"Em dia",IF(K309&lt;=30,"1-30 dias",IF(K309&lt;=60,"31-60 dias",IF(K309&lt;=90,"61-90 dias","&gt;90 dias")))))</f>
        <v/>
      </c>
      <c r="M309" s="28" t="n"/>
      <c r="N309" s="104" t="inlineStr"/>
      <c r="O309" s="64" t="n"/>
      <c r="P309" s="64">
        <f>IF(C309="","",IF(ISNUMBER(SEARCH("PCMSO",C309)),"PCMSO",IF(OR(ISNUMBER(SEARCH("E-SOCIAL",C309)),ISNUMBER(SEARCH("PSICOSOCIAL",C309))),"eSocial / Psicossocial",IF(O309="Receita recorrente","Carteira recorrente","Projetos / Laudos / Avulsos"))))</f>
        <v/>
      </c>
      <c r="Q309" s="64">
        <f>IF(P309="","",IF(P309="Carteira recorrente","Operação recorrente",IF(P309="PCMSO","Projetos PCMSO",IF(P309="eSocial / Psicossocial","Projetos eSocial/Psicossocial","Projetos / Laudos / Avulsos"))))</f>
        <v/>
      </c>
      <c r="R309" s="64">
        <f>IF(C309="","",IF(ISNUMBER(SEARCH("PCMSO",C309)),"Título com PCMSO no nome",IF(OR(ISNUMBER(SEARCH("E-SOCIAL",C309)),ISNUMBER(SEARCH("PSICOSOCIAL",C309))),"Título com eSocial/Psicossocial no nome",IF(O309="Receita recorrente","Tipo DRE recorrente","Extra sem palavra-chave específica"))))</f>
        <v/>
      </c>
      <c r="S309" s="92">
        <f>IFERROR(VLOOKUP($A309,'13. Mapa Títulos-Receita'!$A$8:$P$1000,4,FALSE),"")</f>
        <v/>
      </c>
      <c r="T309" s="92">
        <f>IFERROR(VLOOKUP($A309,'13. Mapa Títulos-Receita'!$A$8:$P$1000,5,FALSE),"")</f>
        <v/>
      </c>
      <c r="U309" s="92">
        <f>IFERROR(VLOOKUP($A309,'13. Mapa Títulos-Receita'!$A$8:$P$1000,6,FALSE),"")</f>
        <v/>
      </c>
      <c r="V309" s="92">
        <f>IFERROR(VLOOKUP($A309,'13. Mapa Títulos-Receita'!$A$8:$P$1000,7,FALSE),"")</f>
        <v/>
      </c>
      <c r="W309" s="92">
        <f>IFERROR(VLOOKUP($A309,'13. Mapa Títulos-Receita'!$A$8:$P$1000,8,FALSE),"")</f>
        <v/>
      </c>
      <c r="X309" s="92">
        <f>IFERROR(VLOOKUP($A309,'13. Mapa Títulos-Receita'!$A$8:$P$1000,9,FALSE),"")</f>
        <v/>
      </c>
      <c r="Y309" s="92">
        <f>IFERROR(VLOOKUP($A309,'13. Mapa Títulos-Receita'!$A$8:$P$1000,10,FALSE),"")</f>
        <v/>
      </c>
      <c r="Z309" s="92">
        <f>IFERROR(VLOOKUP($A309,'13. Mapa Títulos-Receita'!$A$8:$P$1000,11,FALSE),"")</f>
        <v/>
      </c>
      <c r="AA309" s="92">
        <f>IFERROR(VLOOKUP($A309,'13. Mapa Títulos-Receita'!$A$8:$P$1000,12,FALSE),"")</f>
        <v/>
      </c>
      <c r="AB309" s="92">
        <f>IFERROR(VLOOKUP($A309,'13. Mapa Títulos-Receita'!$A$8:$P$1000,13,FALSE),"")</f>
        <v/>
      </c>
      <c r="AC309" s="92">
        <f>IFERROR(VLOOKUP($A309,'13. Mapa Títulos-Receita'!$A$8:$P$1000,14,FALSE),"")</f>
        <v/>
      </c>
      <c r="AD309" s="92">
        <f>IFERROR(VLOOKUP($A309,'13. Mapa Títulos-Receita'!$A$8:$P$1000,15,FALSE),"")</f>
        <v/>
      </c>
      <c r="AE309" s="92">
        <f>IFERROR(VLOOKUP($A309,'13. Mapa Títulos-Receita'!$A$8:$P$1000,16,FALSE),"")</f>
        <v/>
      </c>
    </row>
    <row r="310">
      <c r="A310" s="28">
        <f>IF(C310="","", "CR-"&amp;TEXT(ROW()-7,"000"))</f>
        <v/>
      </c>
      <c r="B310" s="28" t="n"/>
      <c r="C310" s="28" t="n"/>
      <c r="D310" s="111" t="n"/>
      <c r="E310" s="111" t="n"/>
      <c r="F310" s="111" t="n"/>
      <c r="G310" s="28" t="n"/>
      <c r="H310" s="45" t="n"/>
      <c r="I310" s="45" t="n"/>
      <c r="J310" s="28">
        <f>IF(H310="","",IF(I310&gt;=H310,"Recebido",IF($B$4&gt;E310,"Vencido","Aberto")))</f>
        <v/>
      </c>
      <c r="K310" s="4">
        <f>IF(J310="","",IF(OR(J310="Recebido",F310=""),MAX(0,F310-E310),MAX(0,$B$4-E310)))</f>
        <v/>
      </c>
      <c r="L310" s="4">
        <f>IF(K310="","",IF(K310=0,"Em dia",IF(K310&lt;=30,"1-30 dias",IF(K310&lt;=60,"31-60 dias",IF(K310&lt;=90,"61-90 dias","&gt;90 dias")))))</f>
        <v/>
      </c>
      <c r="M310" s="28" t="n"/>
      <c r="N310" s="104" t="inlineStr"/>
      <c r="O310" s="64" t="n"/>
      <c r="P310" s="64">
        <f>IF(C310="","",IF(ISNUMBER(SEARCH("PCMSO",C310)),"PCMSO",IF(OR(ISNUMBER(SEARCH("E-SOCIAL",C310)),ISNUMBER(SEARCH("PSICOSOCIAL",C310))),"eSocial / Psicossocial",IF(O310="Receita recorrente","Carteira recorrente","Projetos / Laudos / Avulsos"))))</f>
        <v/>
      </c>
      <c r="Q310" s="64">
        <f>IF(P310="","",IF(P310="Carteira recorrente","Operação recorrente",IF(P310="PCMSO","Projetos PCMSO",IF(P310="eSocial / Psicossocial","Projetos eSocial/Psicossocial","Projetos / Laudos / Avulsos"))))</f>
        <v/>
      </c>
      <c r="R310" s="64">
        <f>IF(C310="","",IF(ISNUMBER(SEARCH("PCMSO",C310)),"Título com PCMSO no nome",IF(OR(ISNUMBER(SEARCH("E-SOCIAL",C310)),ISNUMBER(SEARCH("PSICOSOCIAL",C310))),"Título com eSocial/Psicossocial no nome",IF(O310="Receita recorrente","Tipo DRE recorrente","Extra sem palavra-chave específica"))))</f>
        <v/>
      </c>
      <c r="S310" s="92">
        <f>IFERROR(VLOOKUP($A310,'13. Mapa Títulos-Receita'!$A$8:$P$1000,4,FALSE),"")</f>
        <v/>
      </c>
      <c r="T310" s="92">
        <f>IFERROR(VLOOKUP($A310,'13. Mapa Títulos-Receita'!$A$8:$P$1000,5,FALSE),"")</f>
        <v/>
      </c>
      <c r="U310" s="92">
        <f>IFERROR(VLOOKUP($A310,'13. Mapa Títulos-Receita'!$A$8:$P$1000,6,FALSE),"")</f>
        <v/>
      </c>
      <c r="V310" s="92">
        <f>IFERROR(VLOOKUP($A310,'13. Mapa Títulos-Receita'!$A$8:$P$1000,7,FALSE),"")</f>
        <v/>
      </c>
      <c r="W310" s="92">
        <f>IFERROR(VLOOKUP($A310,'13. Mapa Títulos-Receita'!$A$8:$P$1000,8,FALSE),"")</f>
        <v/>
      </c>
      <c r="X310" s="92">
        <f>IFERROR(VLOOKUP($A310,'13. Mapa Títulos-Receita'!$A$8:$P$1000,9,FALSE),"")</f>
        <v/>
      </c>
      <c r="Y310" s="92">
        <f>IFERROR(VLOOKUP($A310,'13. Mapa Títulos-Receita'!$A$8:$P$1000,10,FALSE),"")</f>
        <v/>
      </c>
      <c r="Z310" s="92">
        <f>IFERROR(VLOOKUP($A310,'13. Mapa Títulos-Receita'!$A$8:$P$1000,11,FALSE),"")</f>
        <v/>
      </c>
      <c r="AA310" s="92">
        <f>IFERROR(VLOOKUP($A310,'13. Mapa Títulos-Receita'!$A$8:$P$1000,12,FALSE),"")</f>
        <v/>
      </c>
      <c r="AB310" s="92">
        <f>IFERROR(VLOOKUP($A310,'13. Mapa Títulos-Receita'!$A$8:$P$1000,13,FALSE),"")</f>
        <v/>
      </c>
      <c r="AC310" s="92">
        <f>IFERROR(VLOOKUP($A310,'13. Mapa Títulos-Receita'!$A$8:$P$1000,14,FALSE),"")</f>
        <v/>
      </c>
      <c r="AD310" s="92">
        <f>IFERROR(VLOOKUP($A310,'13. Mapa Títulos-Receita'!$A$8:$P$1000,15,FALSE),"")</f>
        <v/>
      </c>
      <c r="AE310" s="92">
        <f>IFERROR(VLOOKUP($A310,'13. Mapa Títulos-Receita'!$A$8:$P$1000,16,FALSE),"")</f>
        <v/>
      </c>
    </row>
    <row r="311">
      <c r="A311" s="28">
        <f>IF(C311="","", "CR-"&amp;TEXT(ROW()-7,"000"))</f>
        <v/>
      </c>
      <c r="B311" s="28" t="n"/>
      <c r="C311" s="28" t="n"/>
      <c r="D311" s="111" t="n"/>
      <c r="E311" s="111" t="n"/>
      <c r="F311" s="111" t="n"/>
      <c r="G311" s="28" t="n"/>
      <c r="H311" s="45" t="n"/>
      <c r="I311" s="45" t="n"/>
      <c r="J311" s="28">
        <f>IF(H311="","",IF(I311&gt;=H311,"Recebido",IF($B$4&gt;E311,"Vencido","Aberto")))</f>
        <v/>
      </c>
      <c r="K311" s="4">
        <f>IF(J311="","",IF(OR(J311="Recebido",F311=""),MAX(0,F311-E311),MAX(0,$B$4-E311)))</f>
        <v/>
      </c>
      <c r="L311" s="4">
        <f>IF(K311="","",IF(K311=0,"Em dia",IF(K311&lt;=30,"1-30 dias",IF(K311&lt;=60,"31-60 dias",IF(K311&lt;=90,"61-90 dias","&gt;90 dias")))))</f>
        <v/>
      </c>
      <c r="M311" s="28" t="n"/>
      <c r="N311" s="104" t="inlineStr"/>
      <c r="O311" s="64" t="n"/>
      <c r="P311" s="64">
        <f>IF(C311="","",IF(ISNUMBER(SEARCH("PCMSO",C311)),"PCMSO",IF(OR(ISNUMBER(SEARCH("E-SOCIAL",C311)),ISNUMBER(SEARCH("PSICOSOCIAL",C311))),"eSocial / Psicossocial",IF(O311="Receita recorrente","Carteira recorrente","Projetos / Laudos / Avulsos"))))</f>
        <v/>
      </c>
      <c r="Q311" s="64">
        <f>IF(P311="","",IF(P311="Carteira recorrente","Operação recorrente",IF(P311="PCMSO","Projetos PCMSO",IF(P311="eSocial / Psicossocial","Projetos eSocial/Psicossocial","Projetos / Laudos / Avulsos"))))</f>
        <v/>
      </c>
      <c r="R311" s="64">
        <f>IF(C311="","",IF(ISNUMBER(SEARCH("PCMSO",C311)),"Título com PCMSO no nome",IF(OR(ISNUMBER(SEARCH("E-SOCIAL",C311)),ISNUMBER(SEARCH("PSICOSOCIAL",C311))),"Título com eSocial/Psicossocial no nome",IF(O311="Receita recorrente","Tipo DRE recorrente","Extra sem palavra-chave específica"))))</f>
        <v/>
      </c>
      <c r="S311" s="92">
        <f>IFERROR(VLOOKUP($A311,'13. Mapa Títulos-Receita'!$A$8:$P$1000,4,FALSE),"")</f>
        <v/>
      </c>
      <c r="T311" s="92">
        <f>IFERROR(VLOOKUP($A311,'13. Mapa Títulos-Receita'!$A$8:$P$1000,5,FALSE),"")</f>
        <v/>
      </c>
      <c r="U311" s="92">
        <f>IFERROR(VLOOKUP($A311,'13. Mapa Títulos-Receita'!$A$8:$P$1000,6,FALSE),"")</f>
        <v/>
      </c>
      <c r="V311" s="92">
        <f>IFERROR(VLOOKUP($A311,'13. Mapa Títulos-Receita'!$A$8:$P$1000,7,FALSE),"")</f>
        <v/>
      </c>
      <c r="W311" s="92">
        <f>IFERROR(VLOOKUP($A311,'13. Mapa Títulos-Receita'!$A$8:$P$1000,8,FALSE),"")</f>
        <v/>
      </c>
      <c r="X311" s="92">
        <f>IFERROR(VLOOKUP($A311,'13. Mapa Títulos-Receita'!$A$8:$P$1000,9,FALSE),"")</f>
        <v/>
      </c>
      <c r="Y311" s="92">
        <f>IFERROR(VLOOKUP($A311,'13. Mapa Títulos-Receita'!$A$8:$P$1000,10,FALSE),"")</f>
        <v/>
      </c>
      <c r="Z311" s="92">
        <f>IFERROR(VLOOKUP($A311,'13. Mapa Títulos-Receita'!$A$8:$P$1000,11,FALSE),"")</f>
        <v/>
      </c>
      <c r="AA311" s="92">
        <f>IFERROR(VLOOKUP($A311,'13. Mapa Títulos-Receita'!$A$8:$P$1000,12,FALSE),"")</f>
        <v/>
      </c>
      <c r="AB311" s="92">
        <f>IFERROR(VLOOKUP($A311,'13. Mapa Títulos-Receita'!$A$8:$P$1000,13,FALSE),"")</f>
        <v/>
      </c>
      <c r="AC311" s="92">
        <f>IFERROR(VLOOKUP($A311,'13. Mapa Títulos-Receita'!$A$8:$P$1000,14,FALSE),"")</f>
        <v/>
      </c>
      <c r="AD311" s="92">
        <f>IFERROR(VLOOKUP($A311,'13. Mapa Títulos-Receita'!$A$8:$P$1000,15,FALSE),"")</f>
        <v/>
      </c>
      <c r="AE311" s="92">
        <f>IFERROR(VLOOKUP($A311,'13. Mapa Títulos-Receita'!$A$8:$P$1000,16,FALSE),"")</f>
        <v/>
      </c>
    </row>
    <row r="312">
      <c r="A312" s="28">
        <f>IF(C312="","", "CR-"&amp;TEXT(ROW()-7,"000"))</f>
        <v/>
      </c>
      <c r="B312" s="28" t="n"/>
      <c r="C312" s="28" t="n"/>
      <c r="D312" s="111" t="n"/>
      <c r="E312" s="111" t="n"/>
      <c r="F312" s="111" t="n"/>
      <c r="G312" s="28" t="n"/>
      <c r="H312" s="45" t="n"/>
      <c r="I312" s="45" t="n"/>
      <c r="J312" s="28">
        <f>IF(H312="","",IF(I312&gt;=H312,"Recebido",IF($B$4&gt;E312,"Vencido","Aberto")))</f>
        <v/>
      </c>
      <c r="K312" s="4">
        <f>IF(J312="","",IF(OR(J312="Recebido",F312=""),MAX(0,F312-E312),MAX(0,$B$4-E312)))</f>
        <v/>
      </c>
      <c r="L312" s="4">
        <f>IF(K312="","",IF(K312=0,"Em dia",IF(K312&lt;=30,"1-30 dias",IF(K312&lt;=60,"31-60 dias",IF(K312&lt;=90,"61-90 dias","&gt;90 dias")))))</f>
        <v/>
      </c>
      <c r="M312" s="28" t="n"/>
      <c r="N312" s="104" t="inlineStr"/>
      <c r="O312" s="64" t="n"/>
      <c r="P312" s="64">
        <f>IF(C312="","",IF(ISNUMBER(SEARCH("PCMSO",C312)),"PCMSO",IF(OR(ISNUMBER(SEARCH("E-SOCIAL",C312)),ISNUMBER(SEARCH("PSICOSOCIAL",C312))),"eSocial / Psicossocial",IF(O312="Receita recorrente","Carteira recorrente","Projetos / Laudos / Avulsos"))))</f>
        <v/>
      </c>
      <c r="Q312" s="64">
        <f>IF(P312="","",IF(P312="Carteira recorrente","Operação recorrente",IF(P312="PCMSO","Projetos PCMSO",IF(P312="eSocial / Psicossocial","Projetos eSocial/Psicossocial","Projetos / Laudos / Avulsos"))))</f>
        <v/>
      </c>
      <c r="R312" s="64">
        <f>IF(C312="","",IF(ISNUMBER(SEARCH("PCMSO",C312)),"Título com PCMSO no nome",IF(OR(ISNUMBER(SEARCH("E-SOCIAL",C312)),ISNUMBER(SEARCH("PSICOSOCIAL",C312))),"Título com eSocial/Psicossocial no nome",IF(O312="Receita recorrente","Tipo DRE recorrente","Extra sem palavra-chave específica"))))</f>
        <v/>
      </c>
      <c r="S312" s="92">
        <f>IFERROR(VLOOKUP($A312,'13. Mapa Títulos-Receita'!$A$8:$P$1000,4,FALSE),"")</f>
        <v/>
      </c>
      <c r="T312" s="92">
        <f>IFERROR(VLOOKUP($A312,'13. Mapa Títulos-Receita'!$A$8:$P$1000,5,FALSE),"")</f>
        <v/>
      </c>
      <c r="U312" s="92">
        <f>IFERROR(VLOOKUP($A312,'13. Mapa Títulos-Receita'!$A$8:$P$1000,6,FALSE),"")</f>
        <v/>
      </c>
      <c r="V312" s="92">
        <f>IFERROR(VLOOKUP($A312,'13. Mapa Títulos-Receita'!$A$8:$P$1000,7,FALSE),"")</f>
        <v/>
      </c>
      <c r="W312" s="92">
        <f>IFERROR(VLOOKUP($A312,'13. Mapa Títulos-Receita'!$A$8:$P$1000,8,FALSE),"")</f>
        <v/>
      </c>
      <c r="X312" s="92">
        <f>IFERROR(VLOOKUP($A312,'13. Mapa Títulos-Receita'!$A$8:$P$1000,9,FALSE),"")</f>
        <v/>
      </c>
      <c r="Y312" s="92">
        <f>IFERROR(VLOOKUP($A312,'13. Mapa Títulos-Receita'!$A$8:$P$1000,10,FALSE),"")</f>
        <v/>
      </c>
      <c r="Z312" s="92">
        <f>IFERROR(VLOOKUP($A312,'13. Mapa Títulos-Receita'!$A$8:$P$1000,11,FALSE),"")</f>
        <v/>
      </c>
      <c r="AA312" s="92">
        <f>IFERROR(VLOOKUP($A312,'13. Mapa Títulos-Receita'!$A$8:$P$1000,12,FALSE),"")</f>
        <v/>
      </c>
      <c r="AB312" s="92">
        <f>IFERROR(VLOOKUP($A312,'13. Mapa Títulos-Receita'!$A$8:$P$1000,13,FALSE),"")</f>
        <v/>
      </c>
      <c r="AC312" s="92">
        <f>IFERROR(VLOOKUP($A312,'13. Mapa Títulos-Receita'!$A$8:$P$1000,14,FALSE),"")</f>
        <v/>
      </c>
      <c r="AD312" s="92">
        <f>IFERROR(VLOOKUP($A312,'13. Mapa Títulos-Receita'!$A$8:$P$1000,15,FALSE),"")</f>
        <v/>
      </c>
      <c r="AE312" s="92">
        <f>IFERROR(VLOOKUP($A312,'13. Mapa Títulos-Receita'!$A$8:$P$1000,16,FALSE),"")</f>
        <v/>
      </c>
    </row>
    <row r="313">
      <c r="A313" s="28">
        <f>IF(C313="","", "CR-"&amp;TEXT(ROW()-7,"000"))</f>
        <v/>
      </c>
      <c r="B313" s="28" t="n"/>
      <c r="C313" s="28" t="n"/>
      <c r="D313" s="111" t="n"/>
      <c r="E313" s="111" t="n"/>
      <c r="F313" s="111" t="n"/>
      <c r="G313" s="28" t="n"/>
      <c r="H313" s="45" t="n"/>
      <c r="I313" s="45" t="n"/>
      <c r="J313" s="28">
        <f>IF(H313="","",IF(I313&gt;=H313,"Recebido",IF($B$4&gt;E313,"Vencido","Aberto")))</f>
        <v/>
      </c>
      <c r="K313" s="4">
        <f>IF(J313="","",IF(OR(J313="Recebido",F313=""),MAX(0,F313-E313),MAX(0,$B$4-E313)))</f>
        <v/>
      </c>
      <c r="L313" s="4">
        <f>IF(K313="","",IF(K313=0,"Em dia",IF(K313&lt;=30,"1-30 dias",IF(K313&lt;=60,"31-60 dias",IF(K313&lt;=90,"61-90 dias","&gt;90 dias")))))</f>
        <v/>
      </c>
      <c r="M313" s="28" t="n"/>
      <c r="N313" s="104" t="inlineStr"/>
      <c r="O313" s="64" t="n"/>
      <c r="P313" s="64">
        <f>IF(C313="","",IF(ISNUMBER(SEARCH("PCMSO",C313)),"PCMSO",IF(OR(ISNUMBER(SEARCH("E-SOCIAL",C313)),ISNUMBER(SEARCH("PSICOSOCIAL",C313))),"eSocial / Psicossocial",IF(O313="Receita recorrente","Carteira recorrente","Projetos / Laudos / Avulsos"))))</f>
        <v/>
      </c>
      <c r="Q313" s="64">
        <f>IF(P313="","",IF(P313="Carteira recorrente","Operação recorrente",IF(P313="PCMSO","Projetos PCMSO",IF(P313="eSocial / Psicossocial","Projetos eSocial/Psicossocial","Projetos / Laudos / Avulsos"))))</f>
        <v/>
      </c>
      <c r="R313" s="64">
        <f>IF(C313="","",IF(ISNUMBER(SEARCH("PCMSO",C313)),"Título com PCMSO no nome",IF(OR(ISNUMBER(SEARCH("E-SOCIAL",C313)),ISNUMBER(SEARCH("PSICOSOCIAL",C313))),"Título com eSocial/Psicossocial no nome",IF(O313="Receita recorrente","Tipo DRE recorrente","Extra sem palavra-chave específica"))))</f>
        <v/>
      </c>
      <c r="S313" s="92">
        <f>IFERROR(VLOOKUP($A313,'13. Mapa Títulos-Receita'!$A$8:$P$1000,4,FALSE),"")</f>
        <v/>
      </c>
      <c r="T313" s="92">
        <f>IFERROR(VLOOKUP($A313,'13. Mapa Títulos-Receita'!$A$8:$P$1000,5,FALSE),"")</f>
        <v/>
      </c>
      <c r="U313" s="92">
        <f>IFERROR(VLOOKUP($A313,'13. Mapa Títulos-Receita'!$A$8:$P$1000,6,FALSE),"")</f>
        <v/>
      </c>
      <c r="V313" s="92">
        <f>IFERROR(VLOOKUP($A313,'13. Mapa Títulos-Receita'!$A$8:$P$1000,7,FALSE),"")</f>
        <v/>
      </c>
      <c r="W313" s="92">
        <f>IFERROR(VLOOKUP($A313,'13. Mapa Títulos-Receita'!$A$8:$P$1000,8,FALSE),"")</f>
        <v/>
      </c>
      <c r="X313" s="92">
        <f>IFERROR(VLOOKUP($A313,'13. Mapa Títulos-Receita'!$A$8:$P$1000,9,FALSE),"")</f>
        <v/>
      </c>
      <c r="Y313" s="92">
        <f>IFERROR(VLOOKUP($A313,'13. Mapa Títulos-Receita'!$A$8:$P$1000,10,FALSE),"")</f>
        <v/>
      </c>
      <c r="Z313" s="92">
        <f>IFERROR(VLOOKUP($A313,'13. Mapa Títulos-Receita'!$A$8:$P$1000,11,FALSE),"")</f>
        <v/>
      </c>
      <c r="AA313" s="92">
        <f>IFERROR(VLOOKUP($A313,'13. Mapa Títulos-Receita'!$A$8:$P$1000,12,FALSE),"")</f>
        <v/>
      </c>
      <c r="AB313" s="92">
        <f>IFERROR(VLOOKUP($A313,'13. Mapa Títulos-Receita'!$A$8:$P$1000,13,FALSE),"")</f>
        <v/>
      </c>
      <c r="AC313" s="92">
        <f>IFERROR(VLOOKUP($A313,'13. Mapa Títulos-Receita'!$A$8:$P$1000,14,FALSE),"")</f>
        <v/>
      </c>
      <c r="AD313" s="92">
        <f>IFERROR(VLOOKUP($A313,'13. Mapa Títulos-Receita'!$A$8:$P$1000,15,FALSE),"")</f>
        <v/>
      </c>
      <c r="AE313" s="92">
        <f>IFERROR(VLOOKUP($A313,'13. Mapa Títulos-Receita'!$A$8:$P$1000,16,FALSE),"")</f>
        <v/>
      </c>
    </row>
    <row r="314">
      <c r="A314" s="28">
        <f>IF(C314="","", "CR-"&amp;TEXT(ROW()-7,"000"))</f>
        <v/>
      </c>
      <c r="B314" s="28" t="n"/>
      <c r="C314" s="28" t="n"/>
      <c r="D314" s="111" t="n"/>
      <c r="E314" s="111" t="n"/>
      <c r="F314" s="111" t="n"/>
      <c r="G314" s="28" t="n"/>
      <c r="H314" s="45" t="n"/>
      <c r="I314" s="45" t="n"/>
      <c r="J314" s="28">
        <f>IF(H314="","",IF(I314&gt;=H314,"Recebido",IF($B$4&gt;E314,"Vencido","Aberto")))</f>
        <v/>
      </c>
      <c r="K314" s="4">
        <f>IF(J314="","",IF(OR(J314="Recebido",F314=""),MAX(0,F314-E314),MAX(0,$B$4-E314)))</f>
        <v/>
      </c>
      <c r="L314" s="4">
        <f>IF(K314="","",IF(K314=0,"Em dia",IF(K314&lt;=30,"1-30 dias",IF(K314&lt;=60,"31-60 dias",IF(K314&lt;=90,"61-90 dias","&gt;90 dias")))))</f>
        <v/>
      </c>
      <c r="M314" s="28" t="n"/>
      <c r="N314" s="104" t="inlineStr"/>
      <c r="O314" s="64" t="n"/>
      <c r="P314" s="64">
        <f>IF(C314="","",IF(ISNUMBER(SEARCH("PCMSO",C314)),"PCMSO",IF(OR(ISNUMBER(SEARCH("E-SOCIAL",C314)),ISNUMBER(SEARCH("PSICOSOCIAL",C314))),"eSocial / Psicossocial",IF(O314="Receita recorrente","Carteira recorrente","Projetos / Laudos / Avulsos"))))</f>
        <v/>
      </c>
      <c r="Q314" s="64">
        <f>IF(P314="","",IF(P314="Carteira recorrente","Operação recorrente",IF(P314="PCMSO","Projetos PCMSO",IF(P314="eSocial / Psicossocial","Projetos eSocial/Psicossocial","Projetos / Laudos / Avulsos"))))</f>
        <v/>
      </c>
      <c r="R314" s="64">
        <f>IF(C314="","",IF(ISNUMBER(SEARCH("PCMSO",C314)),"Título com PCMSO no nome",IF(OR(ISNUMBER(SEARCH("E-SOCIAL",C314)),ISNUMBER(SEARCH("PSICOSOCIAL",C314))),"Título com eSocial/Psicossocial no nome",IF(O314="Receita recorrente","Tipo DRE recorrente","Extra sem palavra-chave específica"))))</f>
        <v/>
      </c>
      <c r="S314" s="92">
        <f>IFERROR(VLOOKUP($A314,'13. Mapa Títulos-Receita'!$A$8:$P$1000,4,FALSE),"")</f>
        <v/>
      </c>
      <c r="T314" s="92">
        <f>IFERROR(VLOOKUP($A314,'13. Mapa Títulos-Receita'!$A$8:$P$1000,5,FALSE),"")</f>
        <v/>
      </c>
      <c r="U314" s="92">
        <f>IFERROR(VLOOKUP($A314,'13. Mapa Títulos-Receita'!$A$8:$P$1000,6,FALSE),"")</f>
        <v/>
      </c>
      <c r="V314" s="92">
        <f>IFERROR(VLOOKUP($A314,'13. Mapa Títulos-Receita'!$A$8:$P$1000,7,FALSE),"")</f>
        <v/>
      </c>
      <c r="W314" s="92">
        <f>IFERROR(VLOOKUP($A314,'13. Mapa Títulos-Receita'!$A$8:$P$1000,8,FALSE),"")</f>
        <v/>
      </c>
      <c r="X314" s="92">
        <f>IFERROR(VLOOKUP($A314,'13. Mapa Títulos-Receita'!$A$8:$P$1000,9,FALSE),"")</f>
        <v/>
      </c>
      <c r="Y314" s="92">
        <f>IFERROR(VLOOKUP($A314,'13. Mapa Títulos-Receita'!$A$8:$P$1000,10,FALSE),"")</f>
        <v/>
      </c>
      <c r="Z314" s="92">
        <f>IFERROR(VLOOKUP($A314,'13. Mapa Títulos-Receita'!$A$8:$P$1000,11,FALSE),"")</f>
        <v/>
      </c>
      <c r="AA314" s="92">
        <f>IFERROR(VLOOKUP($A314,'13. Mapa Títulos-Receita'!$A$8:$P$1000,12,FALSE),"")</f>
        <v/>
      </c>
      <c r="AB314" s="92">
        <f>IFERROR(VLOOKUP($A314,'13. Mapa Títulos-Receita'!$A$8:$P$1000,13,FALSE),"")</f>
        <v/>
      </c>
      <c r="AC314" s="92">
        <f>IFERROR(VLOOKUP($A314,'13. Mapa Títulos-Receita'!$A$8:$P$1000,14,FALSE),"")</f>
        <v/>
      </c>
      <c r="AD314" s="92">
        <f>IFERROR(VLOOKUP($A314,'13. Mapa Títulos-Receita'!$A$8:$P$1000,15,FALSE),"")</f>
        <v/>
      </c>
      <c r="AE314" s="92">
        <f>IFERROR(VLOOKUP($A314,'13. Mapa Títulos-Receita'!$A$8:$P$1000,16,FALSE),"")</f>
        <v/>
      </c>
    </row>
    <row r="315">
      <c r="A315" s="28">
        <f>IF(C315="","", "CR-"&amp;TEXT(ROW()-7,"000"))</f>
        <v/>
      </c>
      <c r="B315" s="28" t="n"/>
      <c r="C315" s="28" t="n"/>
      <c r="D315" s="111" t="n"/>
      <c r="E315" s="111" t="n"/>
      <c r="F315" s="111" t="n"/>
      <c r="G315" s="28" t="n"/>
      <c r="H315" s="45" t="n"/>
      <c r="I315" s="45" t="n"/>
      <c r="J315" s="28">
        <f>IF(H315="","",IF(I315&gt;=H315,"Recebido",IF($B$4&gt;E315,"Vencido","Aberto")))</f>
        <v/>
      </c>
      <c r="K315" s="4">
        <f>IF(J315="","",IF(OR(J315="Recebido",F315=""),MAX(0,F315-E315),MAX(0,$B$4-E315)))</f>
        <v/>
      </c>
      <c r="L315" s="4">
        <f>IF(K315="","",IF(K315=0,"Em dia",IF(K315&lt;=30,"1-30 dias",IF(K315&lt;=60,"31-60 dias",IF(K315&lt;=90,"61-90 dias","&gt;90 dias")))))</f>
        <v/>
      </c>
      <c r="M315" s="28" t="n"/>
      <c r="N315" s="104" t="inlineStr"/>
      <c r="O315" s="64" t="n"/>
      <c r="P315" s="64">
        <f>IF(C315="","",IF(ISNUMBER(SEARCH("PCMSO",C315)),"PCMSO",IF(OR(ISNUMBER(SEARCH("E-SOCIAL",C315)),ISNUMBER(SEARCH("PSICOSOCIAL",C315))),"eSocial / Psicossocial",IF(O315="Receita recorrente","Carteira recorrente","Projetos / Laudos / Avulsos"))))</f>
        <v/>
      </c>
      <c r="Q315" s="64">
        <f>IF(P315="","",IF(P315="Carteira recorrente","Operação recorrente",IF(P315="PCMSO","Projetos PCMSO",IF(P315="eSocial / Psicossocial","Projetos eSocial/Psicossocial","Projetos / Laudos / Avulsos"))))</f>
        <v/>
      </c>
      <c r="R315" s="64">
        <f>IF(C315="","",IF(ISNUMBER(SEARCH("PCMSO",C315)),"Título com PCMSO no nome",IF(OR(ISNUMBER(SEARCH("E-SOCIAL",C315)),ISNUMBER(SEARCH("PSICOSOCIAL",C315))),"Título com eSocial/Psicossocial no nome",IF(O315="Receita recorrente","Tipo DRE recorrente","Extra sem palavra-chave específica"))))</f>
        <v/>
      </c>
      <c r="S315" s="92">
        <f>IFERROR(VLOOKUP($A315,'13. Mapa Títulos-Receita'!$A$8:$P$1000,4,FALSE),"")</f>
        <v/>
      </c>
      <c r="T315" s="92">
        <f>IFERROR(VLOOKUP($A315,'13. Mapa Títulos-Receita'!$A$8:$P$1000,5,FALSE),"")</f>
        <v/>
      </c>
      <c r="U315" s="92">
        <f>IFERROR(VLOOKUP($A315,'13. Mapa Títulos-Receita'!$A$8:$P$1000,6,FALSE),"")</f>
        <v/>
      </c>
      <c r="V315" s="92">
        <f>IFERROR(VLOOKUP($A315,'13. Mapa Títulos-Receita'!$A$8:$P$1000,7,FALSE),"")</f>
        <v/>
      </c>
      <c r="W315" s="92">
        <f>IFERROR(VLOOKUP($A315,'13. Mapa Títulos-Receita'!$A$8:$P$1000,8,FALSE),"")</f>
        <v/>
      </c>
      <c r="X315" s="92">
        <f>IFERROR(VLOOKUP($A315,'13. Mapa Títulos-Receita'!$A$8:$P$1000,9,FALSE),"")</f>
        <v/>
      </c>
      <c r="Y315" s="92">
        <f>IFERROR(VLOOKUP($A315,'13. Mapa Títulos-Receita'!$A$8:$P$1000,10,FALSE),"")</f>
        <v/>
      </c>
      <c r="Z315" s="92">
        <f>IFERROR(VLOOKUP($A315,'13. Mapa Títulos-Receita'!$A$8:$P$1000,11,FALSE),"")</f>
        <v/>
      </c>
      <c r="AA315" s="92">
        <f>IFERROR(VLOOKUP($A315,'13. Mapa Títulos-Receita'!$A$8:$P$1000,12,FALSE),"")</f>
        <v/>
      </c>
      <c r="AB315" s="92">
        <f>IFERROR(VLOOKUP($A315,'13. Mapa Títulos-Receita'!$A$8:$P$1000,13,FALSE),"")</f>
        <v/>
      </c>
      <c r="AC315" s="92">
        <f>IFERROR(VLOOKUP($A315,'13. Mapa Títulos-Receita'!$A$8:$P$1000,14,FALSE),"")</f>
        <v/>
      </c>
      <c r="AD315" s="92">
        <f>IFERROR(VLOOKUP($A315,'13. Mapa Títulos-Receita'!$A$8:$P$1000,15,FALSE),"")</f>
        <v/>
      </c>
      <c r="AE315" s="92">
        <f>IFERROR(VLOOKUP($A315,'13. Mapa Títulos-Receita'!$A$8:$P$1000,16,FALSE),"")</f>
        <v/>
      </c>
    </row>
    <row r="316">
      <c r="A316" s="28">
        <f>IF(C316="","", "CR-"&amp;TEXT(ROW()-7,"000"))</f>
        <v/>
      </c>
      <c r="B316" s="28" t="n"/>
      <c r="C316" s="28" t="n"/>
      <c r="D316" s="111" t="n"/>
      <c r="E316" s="111" t="n"/>
      <c r="F316" s="111" t="n"/>
      <c r="G316" s="28" t="n"/>
      <c r="H316" s="45" t="n"/>
      <c r="I316" s="45" t="n"/>
      <c r="J316" s="28">
        <f>IF(H316="","",IF(I316&gt;=H316,"Recebido",IF($B$4&gt;E316,"Vencido","Aberto")))</f>
        <v/>
      </c>
      <c r="K316" s="4">
        <f>IF(J316="","",IF(OR(J316="Recebido",F316=""),MAX(0,F316-E316),MAX(0,$B$4-E316)))</f>
        <v/>
      </c>
      <c r="L316" s="4">
        <f>IF(K316="","",IF(K316=0,"Em dia",IF(K316&lt;=30,"1-30 dias",IF(K316&lt;=60,"31-60 dias",IF(K316&lt;=90,"61-90 dias","&gt;90 dias")))))</f>
        <v/>
      </c>
      <c r="M316" s="28" t="n"/>
      <c r="N316" s="104" t="inlineStr"/>
      <c r="O316" s="64" t="n"/>
      <c r="P316" s="64">
        <f>IF(C316="","",IF(ISNUMBER(SEARCH("PCMSO",C316)),"PCMSO",IF(OR(ISNUMBER(SEARCH("E-SOCIAL",C316)),ISNUMBER(SEARCH("PSICOSOCIAL",C316))),"eSocial / Psicossocial",IF(O316="Receita recorrente","Carteira recorrente","Projetos / Laudos / Avulsos"))))</f>
        <v/>
      </c>
      <c r="Q316" s="64">
        <f>IF(P316="","",IF(P316="Carteira recorrente","Operação recorrente",IF(P316="PCMSO","Projetos PCMSO",IF(P316="eSocial / Psicossocial","Projetos eSocial/Psicossocial","Projetos / Laudos / Avulsos"))))</f>
        <v/>
      </c>
      <c r="R316" s="64">
        <f>IF(C316="","",IF(ISNUMBER(SEARCH("PCMSO",C316)),"Título com PCMSO no nome",IF(OR(ISNUMBER(SEARCH("E-SOCIAL",C316)),ISNUMBER(SEARCH("PSICOSOCIAL",C316))),"Título com eSocial/Psicossocial no nome",IF(O316="Receita recorrente","Tipo DRE recorrente","Extra sem palavra-chave específica"))))</f>
        <v/>
      </c>
      <c r="S316" s="92">
        <f>IFERROR(VLOOKUP($A316,'13. Mapa Títulos-Receita'!$A$8:$P$1000,4,FALSE),"")</f>
        <v/>
      </c>
      <c r="T316" s="92">
        <f>IFERROR(VLOOKUP($A316,'13. Mapa Títulos-Receita'!$A$8:$P$1000,5,FALSE),"")</f>
        <v/>
      </c>
      <c r="U316" s="92">
        <f>IFERROR(VLOOKUP($A316,'13. Mapa Títulos-Receita'!$A$8:$P$1000,6,FALSE),"")</f>
        <v/>
      </c>
      <c r="V316" s="92">
        <f>IFERROR(VLOOKUP($A316,'13. Mapa Títulos-Receita'!$A$8:$P$1000,7,FALSE),"")</f>
        <v/>
      </c>
      <c r="W316" s="92">
        <f>IFERROR(VLOOKUP($A316,'13. Mapa Títulos-Receita'!$A$8:$P$1000,8,FALSE),"")</f>
        <v/>
      </c>
      <c r="X316" s="92">
        <f>IFERROR(VLOOKUP($A316,'13. Mapa Títulos-Receita'!$A$8:$P$1000,9,FALSE),"")</f>
        <v/>
      </c>
      <c r="Y316" s="92">
        <f>IFERROR(VLOOKUP($A316,'13. Mapa Títulos-Receita'!$A$8:$P$1000,10,FALSE),"")</f>
        <v/>
      </c>
      <c r="Z316" s="92">
        <f>IFERROR(VLOOKUP($A316,'13. Mapa Títulos-Receita'!$A$8:$P$1000,11,FALSE),"")</f>
        <v/>
      </c>
      <c r="AA316" s="92">
        <f>IFERROR(VLOOKUP($A316,'13. Mapa Títulos-Receita'!$A$8:$P$1000,12,FALSE),"")</f>
        <v/>
      </c>
      <c r="AB316" s="92">
        <f>IFERROR(VLOOKUP($A316,'13. Mapa Títulos-Receita'!$A$8:$P$1000,13,FALSE),"")</f>
        <v/>
      </c>
      <c r="AC316" s="92">
        <f>IFERROR(VLOOKUP($A316,'13. Mapa Títulos-Receita'!$A$8:$P$1000,14,FALSE),"")</f>
        <v/>
      </c>
      <c r="AD316" s="92">
        <f>IFERROR(VLOOKUP($A316,'13. Mapa Títulos-Receita'!$A$8:$P$1000,15,FALSE),"")</f>
        <v/>
      </c>
      <c r="AE316" s="92">
        <f>IFERROR(VLOOKUP($A316,'13. Mapa Títulos-Receita'!$A$8:$P$1000,16,FALSE),"")</f>
        <v/>
      </c>
    </row>
    <row r="317">
      <c r="A317" s="28">
        <f>IF(C317="","", "CR-"&amp;TEXT(ROW()-7,"000"))</f>
        <v/>
      </c>
      <c r="B317" s="28" t="n"/>
      <c r="C317" s="28" t="n"/>
      <c r="D317" s="111" t="n"/>
      <c r="E317" s="111" t="n"/>
      <c r="F317" s="111" t="n"/>
      <c r="G317" s="28" t="n"/>
      <c r="H317" s="45" t="n"/>
      <c r="I317" s="45" t="n"/>
      <c r="J317" s="28">
        <f>IF(H317="","",IF(I317&gt;=H317,"Recebido",IF($B$4&gt;E317,"Vencido","Aberto")))</f>
        <v/>
      </c>
      <c r="K317" s="4">
        <f>IF(J317="","",IF(OR(J317="Recebido",F317=""),MAX(0,F317-E317),MAX(0,$B$4-E317)))</f>
        <v/>
      </c>
      <c r="L317" s="4">
        <f>IF(K317="","",IF(K317=0,"Em dia",IF(K317&lt;=30,"1-30 dias",IF(K317&lt;=60,"31-60 dias",IF(K317&lt;=90,"61-90 dias","&gt;90 dias")))))</f>
        <v/>
      </c>
      <c r="M317" s="28" t="n"/>
      <c r="N317" s="104" t="inlineStr"/>
      <c r="O317" s="64" t="n"/>
      <c r="P317" s="64">
        <f>IF(C317="","",IF(ISNUMBER(SEARCH("PCMSO",C317)),"PCMSO",IF(OR(ISNUMBER(SEARCH("E-SOCIAL",C317)),ISNUMBER(SEARCH("PSICOSOCIAL",C317))),"eSocial / Psicossocial",IF(O317="Receita recorrente","Carteira recorrente","Projetos / Laudos / Avulsos"))))</f>
        <v/>
      </c>
      <c r="Q317" s="64">
        <f>IF(P317="","",IF(P317="Carteira recorrente","Operação recorrente",IF(P317="PCMSO","Projetos PCMSO",IF(P317="eSocial / Psicossocial","Projetos eSocial/Psicossocial","Projetos / Laudos / Avulsos"))))</f>
        <v/>
      </c>
      <c r="R317" s="64">
        <f>IF(C317="","",IF(ISNUMBER(SEARCH("PCMSO",C317)),"Título com PCMSO no nome",IF(OR(ISNUMBER(SEARCH("E-SOCIAL",C317)),ISNUMBER(SEARCH("PSICOSOCIAL",C317))),"Título com eSocial/Psicossocial no nome",IF(O317="Receita recorrente","Tipo DRE recorrente","Extra sem palavra-chave específica"))))</f>
        <v/>
      </c>
      <c r="S317" s="92">
        <f>IFERROR(VLOOKUP($A317,'13. Mapa Títulos-Receita'!$A$8:$P$1000,4,FALSE),"")</f>
        <v/>
      </c>
      <c r="T317" s="92">
        <f>IFERROR(VLOOKUP($A317,'13. Mapa Títulos-Receita'!$A$8:$P$1000,5,FALSE),"")</f>
        <v/>
      </c>
      <c r="U317" s="92">
        <f>IFERROR(VLOOKUP($A317,'13. Mapa Títulos-Receita'!$A$8:$P$1000,6,FALSE),"")</f>
        <v/>
      </c>
      <c r="V317" s="92">
        <f>IFERROR(VLOOKUP($A317,'13. Mapa Títulos-Receita'!$A$8:$P$1000,7,FALSE),"")</f>
        <v/>
      </c>
      <c r="W317" s="92">
        <f>IFERROR(VLOOKUP($A317,'13. Mapa Títulos-Receita'!$A$8:$P$1000,8,FALSE),"")</f>
        <v/>
      </c>
      <c r="X317" s="92">
        <f>IFERROR(VLOOKUP($A317,'13. Mapa Títulos-Receita'!$A$8:$P$1000,9,FALSE),"")</f>
        <v/>
      </c>
      <c r="Y317" s="92">
        <f>IFERROR(VLOOKUP($A317,'13. Mapa Títulos-Receita'!$A$8:$P$1000,10,FALSE),"")</f>
        <v/>
      </c>
      <c r="Z317" s="92">
        <f>IFERROR(VLOOKUP($A317,'13. Mapa Títulos-Receita'!$A$8:$P$1000,11,FALSE),"")</f>
        <v/>
      </c>
      <c r="AA317" s="92">
        <f>IFERROR(VLOOKUP($A317,'13. Mapa Títulos-Receita'!$A$8:$P$1000,12,FALSE),"")</f>
        <v/>
      </c>
      <c r="AB317" s="92">
        <f>IFERROR(VLOOKUP($A317,'13. Mapa Títulos-Receita'!$A$8:$P$1000,13,FALSE),"")</f>
        <v/>
      </c>
      <c r="AC317" s="92">
        <f>IFERROR(VLOOKUP($A317,'13. Mapa Títulos-Receita'!$A$8:$P$1000,14,FALSE),"")</f>
        <v/>
      </c>
      <c r="AD317" s="92">
        <f>IFERROR(VLOOKUP($A317,'13. Mapa Títulos-Receita'!$A$8:$P$1000,15,FALSE),"")</f>
        <v/>
      </c>
      <c r="AE317" s="92">
        <f>IFERROR(VLOOKUP($A317,'13. Mapa Títulos-Receita'!$A$8:$P$1000,16,FALSE),"")</f>
        <v/>
      </c>
    </row>
    <row r="318">
      <c r="A318" s="28">
        <f>IF(C318="","", "CR-"&amp;TEXT(ROW()-7,"000"))</f>
        <v/>
      </c>
      <c r="B318" s="28" t="n"/>
      <c r="C318" s="28" t="n"/>
      <c r="D318" s="111" t="n"/>
      <c r="E318" s="111" t="n"/>
      <c r="F318" s="111" t="n"/>
      <c r="G318" s="28" t="n"/>
      <c r="H318" s="45" t="n"/>
      <c r="I318" s="45" t="n"/>
      <c r="J318" s="28">
        <f>IF(H318="","",IF(I318&gt;=H318,"Recebido",IF($B$4&gt;E318,"Vencido","Aberto")))</f>
        <v/>
      </c>
      <c r="K318" s="4">
        <f>IF(J318="","",IF(OR(J318="Recebido",F318=""),MAX(0,F318-E318),MAX(0,$B$4-E318)))</f>
        <v/>
      </c>
      <c r="L318" s="4">
        <f>IF(K318="","",IF(K318=0,"Em dia",IF(K318&lt;=30,"1-30 dias",IF(K318&lt;=60,"31-60 dias",IF(K318&lt;=90,"61-90 dias","&gt;90 dias")))))</f>
        <v/>
      </c>
      <c r="M318" s="28" t="n"/>
      <c r="N318" s="104" t="inlineStr"/>
      <c r="O318" s="64" t="n"/>
      <c r="P318" s="64">
        <f>IF(C318="","",IF(ISNUMBER(SEARCH("PCMSO",C318)),"PCMSO",IF(OR(ISNUMBER(SEARCH("E-SOCIAL",C318)),ISNUMBER(SEARCH("PSICOSOCIAL",C318))),"eSocial / Psicossocial",IF(O318="Receita recorrente","Carteira recorrente","Projetos / Laudos / Avulsos"))))</f>
        <v/>
      </c>
      <c r="Q318" s="64">
        <f>IF(P318="","",IF(P318="Carteira recorrente","Operação recorrente",IF(P318="PCMSO","Projetos PCMSO",IF(P318="eSocial / Psicossocial","Projetos eSocial/Psicossocial","Projetos / Laudos / Avulsos"))))</f>
        <v/>
      </c>
      <c r="R318" s="64">
        <f>IF(C318="","",IF(ISNUMBER(SEARCH("PCMSO",C318)),"Título com PCMSO no nome",IF(OR(ISNUMBER(SEARCH("E-SOCIAL",C318)),ISNUMBER(SEARCH("PSICOSOCIAL",C318))),"Título com eSocial/Psicossocial no nome",IF(O318="Receita recorrente","Tipo DRE recorrente","Extra sem palavra-chave específica"))))</f>
        <v/>
      </c>
      <c r="S318" s="92">
        <f>IFERROR(VLOOKUP($A318,'13. Mapa Títulos-Receita'!$A$8:$P$1000,4,FALSE),"")</f>
        <v/>
      </c>
      <c r="T318" s="92">
        <f>IFERROR(VLOOKUP($A318,'13. Mapa Títulos-Receita'!$A$8:$P$1000,5,FALSE),"")</f>
        <v/>
      </c>
      <c r="U318" s="92">
        <f>IFERROR(VLOOKUP($A318,'13. Mapa Títulos-Receita'!$A$8:$P$1000,6,FALSE),"")</f>
        <v/>
      </c>
      <c r="V318" s="92">
        <f>IFERROR(VLOOKUP($A318,'13. Mapa Títulos-Receita'!$A$8:$P$1000,7,FALSE),"")</f>
        <v/>
      </c>
      <c r="W318" s="92">
        <f>IFERROR(VLOOKUP($A318,'13. Mapa Títulos-Receita'!$A$8:$P$1000,8,FALSE),"")</f>
        <v/>
      </c>
      <c r="X318" s="92">
        <f>IFERROR(VLOOKUP($A318,'13. Mapa Títulos-Receita'!$A$8:$P$1000,9,FALSE),"")</f>
        <v/>
      </c>
      <c r="Y318" s="92">
        <f>IFERROR(VLOOKUP($A318,'13. Mapa Títulos-Receita'!$A$8:$P$1000,10,FALSE),"")</f>
        <v/>
      </c>
      <c r="Z318" s="92">
        <f>IFERROR(VLOOKUP($A318,'13. Mapa Títulos-Receita'!$A$8:$P$1000,11,FALSE),"")</f>
        <v/>
      </c>
      <c r="AA318" s="92">
        <f>IFERROR(VLOOKUP($A318,'13. Mapa Títulos-Receita'!$A$8:$P$1000,12,FALSE),"")</f>
        <v/>
      </c>
      <c r="AB318" s="92">
        <f>IFERROR(VLOOKUP($A318,'13. Mapa Títulos-Receita'!$A$8:$P$1000,13,FALSE),"")</f>
        <v/>
      </c>
      <c r="AC318" s="92">
        <f>IFERROR(VLOOKUP($A318,'13. Mapa Títulos-Receita'!$A$8:$P$1000,14,FALSE),"")</f>
        <v/>
      </c>
      <c r="AD318" s="92">
        <f>IFERROR(VLOOKUP($A318,'13. Mapa Títulos-Receita'!$A$8:$P$1000,15,FALSE),"")</f>
        <v/>
      </c>
      <c r="AE318" s="92">
        <f>IFERROR(VLOOKUP($A318,'13. Mapa Títulos-Receita'!$A$8:$P$1000,16,FALSE),"")</f>
        <v/>
      </c>
    </row>
    <row r="319">
      <c r="A319" s="28">
        <f>IF(C319="","", "CR-"&amp;TEXT(ROW()-7,"000"))</f>
        <v/>
      </c>
      <c r="B319" s="28" t="n"/>
      <c r="C319" s="28" t="n"/>
      <c r="D319" s="111" t="n"/>
      <c r="E319" s="111" t="n"/>
      <c r="F319" s="111" t="n"/>
      <c r="G319" s="28" t="n"/>
      <c r="H319" s="45" t="n"/>
      <c r="I319" s="45" t="n"/>
      <c r="J319" s="28">
        <f>IF(H319="","",IF(I319&gt;=H319,"Recebido",IF($B$4&gt;E319,"Vencido","Aberto")))</f>
        <v/>
      </c>
      <c r="K319" s="4">
        <f>IF(J319="","",IF(OR(J319="Recebido",F319=""),MAX(0,F319-E319),MAX(0,$B$4-E319)))</f>
        <v/>
      </c>
      <c r="L319" s="4">
        <f>IF(K319="","",IF(K319=0,"Em dia",IF(K319&lt;=30,"1-30 dias",IF(K319&lt;=60,"31-60 dias",IF(K319&lt;=90,"61-90 dias","&gt;90 dias")))))</f>
        <v/>
      </c>
      <c r="M319" s="28" t="n"/>
      <c r="N319" s="104" t="inlineStr"/>
      <c r="O319" s="64" t="n"/>
      <c r="P319" s="64">
        <f>IF(C319="","",IF(ISNUMBER(SEARCH("PCMSO",C319)),"PCMSO",IF(OR(ISNUMBER(SEARCH("E-SOCIAL",C319)),ISNUMBER(SEARCH("PSICOSOCIAL",C319))),"eSocial / Psicossocial",IF(O319="Receita recorrente","Carteira recorrente","Projetos / Laudos / Avulsos"))))</f>
        <v/>
      </c>
      <c r="Q319" s="64">
        <f>IF(P319="","",IF(P319="Carteira recorrente","Operação recorrente",IF(P319="PCMSO","Projetos PCMSO",IF(P319="eSocial / Psicossocial","Projetos eSocial/Psicossocial","Projetos / Laudos / Avulsos"))))</f>
        <v/>
      </c>
      <c r="R319" s="64">
        <f>IF(C319="","",IF(ISNUMBER(SEARCH("PCMSO",C319)),"Título com PCMSO no nome",IF(OR(ISNUMBER(SEARCH("E-SOCIAL",C319)),ISNUMBER(SEARCH("PSICOSOCIAL",C319))),"Título com eSocial/Psicossocial no nome",IF(O319="Receita recorrente","Tipo DRE recorrente","Extra sem palavra-chave específica"))))</f>
        <v/>
      </c>
      <c r="S319" s="92">
        <f>IFERROR(VLOOKUP($A319,'13. Mapa Títulos-Receita'!$A$8:$P$1000,4,FALSE),"")</f>
        <v/>
      </c>
      <c r="T319" s="92">
        <f>IFERROR(VLOOKUP($A319,'13. Mapa Títulos-Receita'!$A$8:$P$1000,5,FALSE),"")</f>
        <v/>
      </c>
      <c r="U319" s="92">
        <f>IFERROR(VLOOKUP($A319,'13. Mapa Títulos-Receita'!$A$8:$P$1000,6,FALSE),"")</f>
        <v/>
      </c>
      <c r="V319" s="92">
        <f>IFERROR(VLOOKUP($A319,'13. Mapa Títulos-Receita'!$A$8:$P$1000,7,FALSE),"")</f>
        <v/>
      </c>
      <c r="W319" s="92">
        <f>IFERROR(VLOOKUP($A319,'13. Mapa Títulos-Receita'!$A$8:$P$1000,8,FALSE),"")</f>
        <v/>
      </c>
      <c r="X319" s="92">
        <f>IFERROR(VLOOKUP($A319,'13. Mapa Títulos-Receita'!$A$8:$P$1000,9,FALSE),"")</f>
        <v/>
      </c>
      <c r="Y319" s="92">
        <f>IFERROR(VLOOKUP($A319,'13. Mapa Títulos-Receita'!$A$8:$P$1000,10,FALSE),"")</f>
        <v/>
      </c>
      <c r="Z319" s="92">
        <f>IFERROR(VLOOKUP($A319,'13. Mapa Títulos-Receita'!$A$8:$P$1000,11,FALSE),"")</f>
        <v/>
      </c>
      <c r="AA319" s="92">
        <f>IFERROR(VLOOKUP($A319,'13. Mapa Títulos-Receita'!$A$8:$P$1000,12,FALSE),"")</f>
        <v/>
      </c>
      <c r="AB319" s="92">
        <f>IFERROR(VLOOKUP($A319,'13. Mapa Títulos-Receita'!$A$8:$P$1000,13,FALSE),"")</f>
        <v/>
      </c>
      <c r="AC319" s="92">
        <f>IFERROR(VLOOKUP($A319,'13. Mapa Títulos-Receita'!$A$8:$P$1000,14,FALSE),"")</f>
        <v/>
      </c>
      <c r="AD319" s="92">
        <f>IFERROR(VLOOKUP($A319,'13. Mapa Títulos-Receita'!$A$8:$P$1000,15,FALSE),"")</f>
        <v/>
      </c>
      <c r="AE319" s="92">
        <f>IFERROR(VLOOKUP($A319,'13. Mapa Títulos-Receita'!$A$8:$P$1000,16,FALSE),"")</f>
        <v/>
      </c>
    </row>
    <row r="320">
      <c r="A320" s="28">
        <f>IF(C320="","", "CR-"&amp;TEXT(ROW()-7,"000"))</f>
        <v/>
      </c>
      <c r="B320" s="28" t="n"/>
      <c r="C320" s="28" t="n"/>
      <c r="D320" s="111" t="n"/>
      <c r="E320" s="111" t="n"/>
      <c r="F320" s="111" t="n"/>
      <c r="G320" s="28" t="n"/>
      <c r="H320" s="45" t="n"/>
      <c r="I320" s="45" t="n"/>
      <c r="J320" s="28">
        <f>IF(H320="","",IF(I320&gt;=H320,"Recebido",IF($B$4&gt;E320,"Vencido","Aberto")))</f>
        <v/>
      </c>
      <c r="K320" s="4">
        <f>IF(J320="","",IF(OR(J320="Recebido",F320=""),MAX(0,F320-E320),MAX(0,$B$4-E320)))</f>
        <v/>
      </c>
      <c r="L320" s="4">
        <f>IF(K320="","",IF(K320=0,"Em dia",IF(K320&lt;=30,"1-30 dias",IF(K320&lt;=60,"31-60 dias",IF(K320&lt;=90,"61-90 dias","&gt;90 dias")))))</f>
        <v/>
      </c>
      <c r="M320" s="28" t="n"/>
      <c r="N320" s="104" t="inlineStr"/>
      <c r="O320" s="64" t="n"/>
      <c r="P320" s="64">
        <f>IF(C320="","",IF(ISNUMBER(SEARCH("PCMSO",C320)),"PCMSO",IF(OR(ISNUMBER(SEARCH("E-SOCIAL",C320)),ISNUMBER(SEARCH("PSICOSOCIAL",C320))),"eSocial / Psicossocial",IF(O320="Receita recorrente","Carteira recorrente","Projetos / Laudos / Avulsos"))))</f>
        <v/>
      </c>
      <c r="Q320" s="64">
        <f>IF(P320="","",IF(P320="Carteira recorrente","Operação recorrente",IF(P320="PCMSO","Projetos PCMSO",IF(P320="eSocial / Psicossocial","Projetos eSocial/Psicossocial","Projetos / Laudos / Avulsos"))))</f>
        <v/>
      </c>
      <c r="R320" s="64">
        <f>IF(C320="","",IF(ISNUMBER(SEARCH("PCMSO",C320)),"Título com PCMSO no nome",IF(OR(ISNUMBER(SEARCH("E-SOCIAL",C320)),ISNUMBER(SEARCH("PSICOSOCIAL",C320))),"Título com eSocial/Psicossocial no nome",IF(O320="Receita recorrente","Tipo DRE recorrente","Extra sem palavra-chave específica"))))</f>
        <v/>
      </c>
      <c r="S320" s="92">
        <f>IFERROR(VLOOKUP($A320,'13. Mapa Títulos-Receita'!$A$8:$P$1000,4,FALSE),"")</f>
        <v/>
      </c>
      <c r="T320" s="92">
        <f>IFERROR(VLOOKUP($A320,'13. Mapa Títulos-Receita'!$A$8:$P$1000,5,FALSE),"")</f>
        <v/>
      </c>
      <c r="U320" s="92">
        <f>IFERROR(VLOOKUP($A320,'13. Mapa Títulos-Receita'!$A$8:$P$1000,6,FALSE),"")</f>
        <v/>
      </c>
      <c r="V320" s="92">
        <f>IFERROR(VLOOKUP($A320,'13. Mapa Títulos-Receita'!$A$8:$P$1000,7,FALSE),"")</f>
        <v/>
      </c>
      <c r="W320" s="92">
        <f>IFERROR(VLOOKUP($A320,'13. Mapa Títulos-Receita'!$A$8:$P$1000,8,FALSE),"")</f>
        <v/>
      </c>
      <c r="X320" s="92">
        <f>IFERROR(VLOOKUP($A320,'13. Mapa Títulos-Receita'!$A$8:$P$1000,9,FALSE),"")</f>
        <v/>
      </c>
      <c r="Y320" s="92">
        <f>IFERROR(VLOOKUP($A320,'13. Mapa Títulos-Receita'!$A$8:$P$1000,10,FALSE),"")</f>
        <v/>
      </c>
      <c r="Z320" s="92">
        <f>IFERROR(VLOOKUP($A320,'13. Mapa Títulos-Receita'!$A$8:$P$1000,11,FALSE),"")</f>
        <v/>
      </c>
      <c r="AA320" s="92">
        <f>IFERROR(VLOOKUP($A320,'13. Mapa Títulos-Receita'!$A$8:$P$1000,12,FALSE),"")</f>
        <v/>
      </c>
      <c r="AB320" s="92">
        <f>IFERROR(VLOOKUP($A320,'13. Mapa Títulos-Receita'!$A$8:$P$1000,13,FALSE),"")</f>
        <v/>
      </c>
      <c r="AC320" s="92">
        <f>IFERROR(VLOOKUP($A320,'13. Mapa Títulos-Receita'!$A$8:$P$1000,14,FALSE),"")</f>
        <v/>
      </c>
      <c r="AD320" s="92">
        <f>IFERROR(VLOOKUP($A320,'13. Mapa Títulos-Receita'!$A$8:$P$1000,15,FALSE),"")</f>
        <v/>
      </c>
      <c r="AE320" s="92">
        <f>IFERROR(VLOOKUP($A320,'13. Mapa Títulos-Receita'!$A$8:$P$1000,16,FALSE),"")</f>
        <v/>
      </c>
    </row>
    <row r="321">
      <c r="A321" s="28">
        <f>IF(C321="","", "CR-"&amp;TEXT(ROW()-7,"000"))</f>
        <v/>
      </c>
      <c r="B321" s="28" t="n"/>
      <c r="C321" s="28" t="n"/>
      <c r="D321" s="111" t="n"/>
      <c r="E321" s="111" t="n"/>
      <c r="F321" s="111" t="n"/>
      <c r="G321" s="28" t="n"/>
      <c r="H321" s="45" t="n"/>
      <c r="I321" s="45" t="n"/>
      <c r="J321" s="28">
        <f>IF(H321="","",IF(I321&gt;=H321,"Recebido",IF($B$4&gt;E321,"Vencido","Aberto")))</f>
        <v/>
      </c>
      <c r="K321" s="4">
        <f>IF(J321="","",IF(OR(J321="Recebido",F321=""),MAX(0,F321-E321),MAX(0,$B$4-E321)))</f>
        <v/>
      </c>
      <c r="L321" s="4">
        <f>IF(K321="","",IF(K321=0,"Em dia",IF(K321&lt;=30,"1-30 dias",IF(K321&lt;=60,"31-60 dias",IF(K321&lt;=90,"61-90 dias","&gt;90 dias")))))</f>
        <v/>
      </c>
      <c r="M321" s="28" t="n"/>
      <c r="N321" s="104" t="inlineStr"/>
      <c r="O321" s="64" t="n"/>
      <c r="P321" s="64">
        <f>IF(C321="","",IF(ISNUMBER(SEARCH("PCMSO",C321)),"PCMSO",IF(OR(ISNUMBER(SEARCH("E-SOCIAL",C321)),ISNUMBER(SEARCH("PSICOSOCIAL",C321))),"eSocial / Psicossocial",IF(O321="Receita recorrente","Carteira recorrente","Projetos / Laudos / Avulsos"))))</f>
        <v/>
      </c>
      <c r="Q321" s="64">
        <f>IF(P321="","",IF(P321="Carteira recorrente","Operação recorrente",IF(P321="PCMSO","Projetos PCMSO",IF(P321="eSocial / Psicossocial","Projetos eSocial/Psicossocial","Projetos / Laudos / Avulsos"))))</f>
        <v/>
      </c>
      <c r="R321" s="64">
        <f>IF(C321="","",IF(ISNUMBER(SEARCH("PCMSO",C321)),"Título com PCMSO no nome",IF(OR(ISNUMBER(SEARCH("E-SOCIAL",C321)),ISNUMBER(SEARCH("PSICOSOCIAL",C321))),"Título com eSocial/Psicossocial no nome",IF(O321="Receita recorrente","Tipo DRE recorrente","Extra sem palavra-chave específica"))))</f>
        <v/>
      </c>
      <c r="S321" s="92">
        <f>IFERROR(VLOOKUP($A321,'13. Mapa Títulos-Receita'!$A$8:$P$1000,4,FALSE),"")</f>
        <v/>
      </c>
      <c r="T321" s="92">
        <f>IFERROR(VLOOKUP($A321,'13. Mapa Títulos-Receita'!$A$8:$P$1000,5,FALSE),"")</f>
        <v/>
      </c>
      <c r="U321" s="92">
        <f>IFERROR(VLOOKUP($A321,'13. Mapa Títulos-Receita'!$A$8:$P$1000,6,FALSE),"")</f>
        <v/>
      </c>
      <c r="V321" s="92">
        <f>IFERROR(VLOOKUP($A321,'13. Mapa Títulos-Receita'!$A$8:$P$1000,7,FALSE),"")</f>
        <v/>
      </c>
      <c r="W321" s="92">
        <f>IFERROR(VLOOKUP($A321,'13. Mapa Títulos-Receita'!$A$8:$P$1000,8,FALSE),"")</f>
        <v/>
      </c>
      <c r="X321" s="92">
        <f>IFERROR(VLOOKUP($A321,'13. Mapa Títulos-Receita'!$A$8:$P$1000,9,FALSE),"")</f>
        <v/>
      </c>
      <c r="Y321" s="92">
        <f>IFERROR(VLOOKUP($A321,'13. Mapa Títulos-Receita'!$A$8:$P$1000,10,FALSE),"")</f>
        <v/>
      </c>
      <c r="Z321" s="92">
        <f>IFERROR(VLOOKUP($A321,'13. Mapa Títulos-Receita'!$A$8:$P$1000,11,FALSE),"")</f>
        <v/>
      </c>
      <c r="AA321" s="92">
        <f>IFERROR(VLOOKUP($A321,'13. Mapa Títulos-Receita'!$A$8:$P$1000,12,FALSE),"")</f>
        <v/>
      </c>
      <c r="AB321" s="92">
        <f>IFERROR(VLOOKUP($A321,'13. Mapa Títulos-Receita'!$A$8:$P$1000,13,FALSE),"")</f>
        <v/>
      </c>
      <c r="AC321" s="92">
        <f>IFERROR(VLOOKUP($A321,'13. Mapa Títulos-Receita'!$A$8:$P$1000,14,FALSE),"")</f>
        <v/>
      </c>
      <c r="AD321" s="92">
        <f>IFERROR(VLOOKUP($A321,'13. Mapa Títulos-Receita'!$A$8:$P$1000,15,FALSE),"")</f>
        <v/>
      </c>
      <c r="AE321" s="92">
        <f>IFERROR(VLOOKUP($A321,'13. Mapa Títulos-Receita'!$A$8:$P$1000,16,FALSE),"")</f>
        <v/>
      </c>
    </row>
    <row r="322">
      <c r="A322" s="28">
        <f>IF(C322="","", "CR-"&amp;TEXT(ROW()-7,"000"))</f>
        <v/>
      </c>
      <c r="B322" s="28" t="n"/>
      <c r="C322" s="28" t="n"/>
      <c r="D322" s="111" t="n"/>
      <c r="E322" s="111" t="n"/>
      <c r="F322" s="111" t="n"/>
      <c r="G322" s="28" t="n"/>
      <c r="H322" s="45" t="n"/>
      <c r="I322" s="45" t="n"/>
      <c r="J322" s="28">
        <f>IF(H322="","",IF(I322&gt;=H322,"Recebido",IF($B$4&gt;E322,"Vencido","Aberto")))</f>
        <v/>
      </c>
      <c r="K322" s="4">
        <f>IF(J322="","",IF(OR(J322="Recebido",F322=""),MAX(0,F322-E322),MAX(0,$B$4-E322)))</f>
        <v/>
      </c>
      <c r="L322" s="4">
        <f>IF(K322="","",IF(K322=0,"Em dia",IF(K322&lt;=30,"1-30 dias",IF(K322&lt;=60,"31-60 dias",IF(K322&lt;=90,"61-90 dias","&gt;90 dias")))))</f>
        <v/>
      </c>
      <c r="M322" s="28" t="n"/>
      <c r="N322" s="104" t="inlineStr"/>
      <c r="O322" s="64" t="n"/>
      <c r="P322" s="64">
        <f>IF(C322="","",IF(ISNUMBER(SEARCH("PCMSO",C322)),"PCMSO",IF(OR(ISNUMBER(SEARCH("E-SOCIAL",C322)),ISNUMBER(SEARCH("PSICOSOCIAL",C322))),"eSocial / Psicossocial",IF(O322="Receita recorrente","Carteira recorrente","Projetos / Laudos / Avulsos"))))</f>
        <v/>
      </c>
      <c r="Q322" s="64">
        <f>IF(P322="","",IF(P322="Carteira recorrente","Operação recorrente",IF(P322="PCMSO","Projetos PCMSO",IF(P322="eSocial / Psicossocial","Projetos eSocial/Psicossocial","Projetos / Laudos / Avulsos"))))</f>
        <v/>
      </c>
      <c r="R322" s="64">
        <f>IF(C322="","",IF(ISNUMBER(SEARCH("PCMSO",C322)),"Título com PCMSO no nome",IF(OR(ISNUMBER(SEARCH("E-SOCIAL",C322)),ISNUMBER(SEARCH("PSICOSOCIAL",C322))),"Título com eSocial/Psicossocial no nome",IF(O322="Receita recorrente","Tipo DRE recorrente","Extra sem palavra-chave específica"))))</f>
        <v/>
      </c>
      <c r="S322" s="92">
        <f>IFERROR(VLOOKUP($A322,'13. Mapa Títulos-Receita'!$A$8:$P$1000,4,FALSE),"")</f>
        <v/>
      </c>
      <c r="T322" s="92">
        <f>IFERROR(VLOOKUP($A322,'13. Mapa Títulos-Receita'!$A$8:$P$1000,5,FALSE),"")</f>
        <v/>
      </c>
      <c r="U322" s="92">
        <f>IFERROR(VLOOKUP($A322,'13. Mapa Títulos-Receita'!$A$8:$P$1000,6,FALSE),"")</f>
        <v/>
      </c>
      <c r="V322" s="92">
        <f>IFERROR(VLOOKUP($A322,'13. Mapa Títulos-Receita'!$A$8:$P$1000,7,FALSE),"")</f>
        <v/>
      </c>
      <c r="W322" s="92">
        <f>IFERROR(VLOOKUP($A322,'13. Mapa Títulos-Receita'!$A$8:$P$1000,8,FALSE),"")</f>
        <v/>
      </c>
      <c r="X322" s="92">
        <f>IFERROR(VLOOKUP($A322,'13. Mapa Títulos-Receita'!$A$8:$P$1000,9,FALSE),"")</f>
        <v/>
      </c>
      <c r="Y322" s="92">
        <f>IFERROR(VLOOKUP($A322,'13. Mapa Títulos-Receita'!$A$8:$P$1000,10,FALSE),"")</f>
        <v/>
      </c>
      <c r="Z322" s="92">
        <f>IFERROR(VLOOKUP($A322,'13. Mapa Títulos-Receita'!$A$8:$P$1000,11,FALSE),"")</f>
        <v/>
      </c>
      <c r="AA322" s="92">
        <f>IFERROR(VLOOKUP($A322,'13. Mapa Títulos-Receita'!$A$8:$P$1000,12,FALSE),"")</f>
        <v/>
      </c>
      <c r="AB322" s="92">
        <f>IFERROR(VLOOKUP($A322,'13. Mapa Títulos-Receita'!$A$8:$P$1000,13,FALSE),"")</f>
        <v/>
      </c>
      <c r="AC322" s="92">
        <f>IFERROR(VLOOKUP($A322,'13. Mapa Títulos-Receita'!$A$8:$P$1000,14,FALSE),"")</f>
        <v/>
      </c>
      <c r="AD322" s="92">
        <f>IFERROR(VLOOKUP($A322,'13. Mapa Títulos-Receita'!$A$8:$P$1000,15,FALSE),"")</f>
        <v/>
      </c>
      <c r="AE322" s="92">
        <f>IFERROR(VLOOKUP($A322,'13. Mapa Títulos-Receita'!$A$8:$P$1000,16,FALSE),"")</f>
        <v/>
      </c>
    </row>
    <row r="323">
      <c r="A323" s="28">
        <f>IF(C323="","", "CR-"&amp;TEXT(ROW()-7,"000"))</f>
        <v/>
      </c>
      <c r="B323" s="28" t="n"/>
      <c r="C323" s="28" t="n"/>
      <c r="D323" s="111" t="n"/>
      <c r="E323" s="111" t="n"/>
      <c r="F323" s="111" t="n"/>
      <c r="G323" s="28" t="n"/>
      <c r="H323" s="45" t="n"/>
      <c r="I323" s="45" t="n"/>
      <c r="J323" s="28">
        <f>IF(H323="","",IF(I323&gt;=H323,"Recebido",IF($B$4&gt;E323,"Vencido","Aberto")))</f>
        <v/>
      </c>
      <c r="K323" s="4">
        <f>IF(J323="","",IF(OR(J323="Recebido",F323=""),MAX(0,F323-E323),MAX(0,$B$4-E323)))</f>
        <v/>
      </c>
      <c r="L323" s="4">
        <f>IF(K323="","",IF(K323=0,"Em dia",IF(K323&lt;=30,"1-30 dias",IF(K323&lt;=60,"31-60 dias",IF(K323&lt;=90,"61-90 dias","&gt;90 dias")))))</f>
        <v/>
      </c>
      <c r="M323" s="28" t="n"/>
      <c r="N323" s="104" t="inlineStr"/>
      <c r="O323" s="64" t="n"/>
      <c r="P323" s="64">
        <f>IF(C323="","",IF(ISNUMBER(SEARCH("PCMSO",C323)),"PCMSO",IF(OR(ISNUMBER(SEARCH("E-SOCIAL",C323)),ISNUMBER(SEARCH("PSICOSOCIAL",C323))),"eSocial / Psicossocial",IF(O323="Receita recorrente","Carteira recorrente","Projetos / Laudos / Avulsos"))))</f>
        <v/>
      </c>
      <c r="Q323" s="64">
        <f>IF(P323="","",IF(P323="Carteira recorrente","Operação recorrente",IF(P323="PCMSO","Projetos PCMSO",IF(P323="eSocial / Psicossocial","Projetos eSocial/Psicossocial","Projetos / Laudos / Avulsos"))))</f>
        <v/>
      </c>
      <c r="R323" s="64">
        <f>IF(C323="","",IF(ISNUMBER(SEARCH("PCMSO",C323)),"Título com PCMSO no nome",IF(OR(ISNUMBER(SEARCH("E-SOCIAL",C323)),ISNUMBER(SEARCH("PSICOSOCIAL",C323))),"Título com eSocial/Psicossocial no nome",IF(O323="Receita recorrente","Tipo DRE recorrente","Extra sem palavra-chave específica"))))</f>
        <v/>
      </c>
      <c r="S323" s="92">
        <f>IFERROR(VLOOKUP($A323,'13. Mapa Títulos-Receita'!$A$8:$P$1000,4,FALSE),"")</f>
        <v/>
      </c>
      <c r="T323" s="92">
        <f>IFERROR(VLOOKUP($A323,'13. Mapa Títulos-Receita'!$A$8:$P$1000,5,FALSE),"")</f>
        <v/>
      </c>
      <c r="U323" s="92">
        <f>IFERROR(VLOOKUP($A323,'13. Mapa Títulos-Receita'!$A$8:$P$1000,6,FALSE),"")</f>
        <v/>
      </c>
      <c r="V323" s="92">
        <f>IFERROR(VLOOKUP($A323,'13. Mapa Títulos-Receita'!$A$8:$P$1000,7,FALSE),"")</f>
        <v/>
      </c>
      <c r="W323" s="92">
        <f>IFERROR(VLOOKUP($A323,'13. Mapa Títulos-Receita'!$A$8:$P$1000,8,FALSE),"")</f>
        <v/>
      </c>
      <c r="X323" s="92">
        <f>IFERROR(VLOOKUP($A323,'13. Mapa Títulos-Receita'!$A$8:$P$1000,9,FALSE),"")</f>
        <v/>
      </c>
      <c r="Y323" s="92">
        <f>IFERROR(VLOOKUP($A323,'13. Mapa Títulos-Receita'!$A$8:$P$1000,10,FALSE),"")</f>
        <v/>
      </c>
      <c r="Z323" s="92">
        <f>IFERROR(VLOOKUP($A323,'13. Mapa Títulos-Receita'!$A$8:$P$1000,11,FALSE),"")</f>
        <v/>
      </c>
      <c r="AA323" s="92">
        <f>IFERROR(VLOOKUP($A323,'13. Mapa Títulos-Receita'!$A$8:$P$1000,12,FALSE),"")</f>
        <v/>
      </c>
      <c r="AB323" s="92">
        <f>IFERROR(VLOOKUP($A323,'13. Mapa Títulos-Receita'!$A$8:$P$1000,13,FALSE),"")</f>
        <v/>
      </c>
      <c r="AC323" s="92">
        <f>IFERROR(VLOOKUP($A323,'13. Mapa Títulos-Receita'!$A$8:$P$1000,14,FALSE),"")</f>
        <v/>
      </c>
      <c r="AD323" s="92">
        <f>IFERROR(VLOOKUP($A323,'13. Mapa Títulos-Receita'!$A$8:$P$1000,15,FALSE),"")</f>
        <v/>
      </c>
      <c r="AE323" s="92">
        <f>IFERROR(VLOOKUP($A323,'13. Mapa Títulos-Receita'!$A$8:$P$1000,16,FALSE),"")</f>
        <v/>
      </c>
    </row>
    <row r="324">
      <c r="A324" s="28">
        <f>IF(C324="","", "CR-"&amp;TEXT(ROW()-7,"000"))</f>
        <v/>
      </c>
      <c r="B324" s="28" t="n"/>
      <c r="C324" s="28" t="n"/>
      <c r="D324" s="111" t="n"/>
      <c r="E324" s="111" t="n"/>
      <c r="F324" s="111" t="n"/>
      <c r="G324" s="28" t="n"/>
      <c r="H324" s="45" t="n"/>
      <c r="I324" s="45" t="n"/>
      <c r="J324" s="28">
        <f>IF(H324="","",IF(I324&gt;=H324,"Recebido",IF($B$4&gt;E324,"Vencido","Aberto")))</f>
        <v/>
      </c>
      <c r="K324" s="4">
        <f>IF(J324="","",IF(OR(J324="Recebido",F324=""),MAX(0,F324-E324),MAX(0,$B$4-E324)))</f>
        <v/>
      </c>
      <c r="L324" s="4">
        <f>IF(K324="","",IF(K324=0,"Em dia",IF(K324&lt;=30,"1-30 dias",IF(K324&lt;=60,"31-60 dias",IF(K324&lt;=90,"61-90 dias","&gt;90 dias")))))</f>
        <v/>
      </c>
      <c r="M324" s="28" t="n"/>
      <c r="N324" s="104" t="inlineStr"/>
      <c r="O324" s="64" t="n"/>
      <c r="P324" s="64">
        <f>IF(C324="","",IF(ISNUMBER(SEARCH("PCMSO",C324)),"PCMSO",IF(OR(ISNUMBER(SEARCH("E-SOCIAL",C324)),ISNUMBER(SEARCH("PSICOSOCIAL",C324))),"eSocial / Psicossocial",IF(O324="Receita recorrente","Carteira recorrente","Projetos / Laudos / Avulsos"))))</f>
        <v/>
      </c>
      <c r="Q324" s="64">
        <f>IF(P324="","",IF(P324="Carteira recorrente","Operação recorrente",IF(P324="PCMSO","Projetos PCMSO",IF(P324="eSocial / Psicossocial","Projetos eSocial/Psicossocial","Projetos / Laudos / Avulsos"))))</f>
        <v/>
      </c>
      <c r="R324" s="64">
        <f>IF(C324="","",IF(ISNUMBER(SEARCH("PCMSO",C324)),"Título com PCMSO no nome",IF(OR(ISNUMBER(SEARCH("E-SOCIAL",C324)),ISNUMBER(SEARCH("PSICOSOCIAL",C324))),"Título com eSocial/Psicossocial no nome",IF(O324="Receita recorrente","Tipo DRE recorrente","Extra sem palavra-chave específica"))))</f>
        <v/>
      </c>
      <c r="S324" s="92">
        <f>IFERROR(VLOOKUP($A324,'13. Mapa Títulos-Receita'!$A$8:$P$1000,4,FALSE),"")</f>
        <v/>
      </c>
      <c r="T324" s="92">
        <f>IFERROR(VLOOKUP($A324,'13. Mapa Títulos-Receita'!$A$8:$P$1000,5,FALSE),"")</f>
        <v/>
      </c>
      <c r="U324" s="92">
        <f>IFERROR(VLOOKUP($A324,'13. Mapa Títulos-Receita'!$A$8:$P$1000,6,FALSE),"")</f>
        <v/>
      </c>
      <c r="V324" s="92">
        <f>IFERROR(VLOOKUP($A324,'13. Mapa Títulos-Receita'!$A$8:$P$1000,7,FALSE),"")</f>
        <v/>
      </c>
      <c r="W324" s="92">
        <f>IFERROR(VLOOKUP($A324,'13. Mapa Títulos-Receita'!$A$8:$P$1000,8,FALSE),"")</f>
        <v/>
      </c>
      <c r="X324" s="92">
        <f>IFERROR(VLOOKUP($A324,'13. Mapa Títulos-Receita'!$A$8:$P$1000,9,FALSE),"")</f>
        <v/>
      </c>
      <c r="Y324" s="92">
        <f>IFERROR(VLOOKUP($A324,'13. Mapa Títulos-Receita'!$A$8:$P$1000,10,FALSE),"")</f>
        <v/>
      </c>
      <c r="Z324" s="92">
        <f>IFERROR(VLOOKUP($A324,'13. Mapa Títulos-Receita'!$A$8:$P$1000,11,FALSE),"")</f>
        <v/>
      </c>
      <c r="AA324" s="92">
        <f>IFERROR(VLOOKUP($A324,'13. Mapa Títulos-Receita'!$A$8:$P$1000,12,FALSE),"")</f>
        <v/>
      </c>
      <c r="AB324" s="92">
        <f>IFERROR(VLOOKUP($A324,'13. Mapa Títulos-Receita'!$A$8:$P$1000,13,FALSE),"")</f>
        <v/>
      </c>
      <c r="AC324" s="92">
        <f>IFERROR(VLOOKUP($A324,'13. Mapa Títulos-Receita'!$A$8:$P$1000,14,FALSE),"")</f>
        <v/>
      </c>
      <c r="AD324" s="92">
        <f>IFERROR(VLOOKUP($A324,'13. Mapa Títulos-Receita'!$A$8:$P$1000,15,FALSE),"")</f>
        <v/>
      </c>
      <c r="AE324" s="92">
        <f>IFERROR(VLOOKUP($A324,'13. Mapa Títulos-Receita'!$A$8:$P$1000,16,FALSE),"")</f>
        <v/>
      </c>
    </row>
    <row r="325">
      <c r="A325" s="28">
        <f>IF(C325="","", "CR-"&amp;TEXT(ROW()-7,"000"))</f>
        <v/>
      </c>
      <c r="B325" s="28" t="n"/>
      <c r="C325" s="28" t="n"/>
      <c r="D325" s="111" t="n"/>
      <c r="E325" s="111" t="n"/>
      <c r="F325" s="111" t="n"/>
      <c r="G325" s="28" t="n"/>
      <c r="H325" s="45" t="n"/>
      <c r="I325" s="45" t="n"/>
      <c r="J325" s="28">
        <f>IF(H325="","",IF(I325&gt;=H325,"Recebido",IF($B$4&gt;E325,"Vencido","Aberto")))</f>
        <v/>
      </c>
      <c r="K325" s="4">
        <f>IF(J325="","",IF(OR(J325="Recebido",F325=""),MAX(0,F325-E325),MAX(0,$B$4-E325)))</f>
        <v/>
      </c>
      <c r="L325" s="4">
        <f>IF(K325="","",IF(K325=0,"Em dia",IF(K325&lt;=30,"1-30 dias",IF(K325&lt;=60,"31-60 dias",IF(K325&lt;=90,"61-90 dias","&gt;90 dias")))))</f>
        <v/>
      </c>
      <c r="M325" s="28" t="n"/>
      <c r="N325" s="104" t="inlineStr"/>
      <c r="O325" s="64" t="n"/>
      <c r="P325" s="64">
        <f>IF(C325="","",IF(ISNUMBER(SEARCH("PCMSO",C325)),"PCMSO",IF(OR(ISNUMBER(SEARCH("E-SOCIAL",C325)),ISNUMBER(SEARCH("PSICOSOCIAL",C325))),"eSocial / Psicossocial",IF(O325="Receita recorrente","Carteira recorrente","Projetos / Laudos / Avulsos"))))</f>
        <v/>
      </c>
      <c r="Q325" s="64">
        <f>IF(P325="","",IF(P325="Carteira recorrente","Operação recorrente",IF(P325="PCMSO","Projetos PCMSO",IF(P325="eSocial / Psicossocial","Projetos eSocial/Psicossocial","Projetos / Laudos / Avulsos"))))</f>
        <v/>
      </c>
      <c r="R325" s="64">
        <f>IF(C325="","",IF(ISNUMBER(SEARCH("PCMSO",C325)),"Título com PCMSO no nome",IF(OR(ISNUMBER(SEARCH("E-SOCIAL",C325)),ISNUMBER(SEARCH("PSICOSOCIAL",C325))),"Título com eSocial/Psicossocial no nome",IF(O325="Receita recorrente","Tipo DRE recorrente","Extra sem palavra-chave específica"))))</f>
        <v/>
      </c>
      <c r="S325" s="92">
        <f>IFERROR(VLOOKUP($A325,'13. Mapa Títulos-Receita'!$A$8:$P$1000,4,FALSE),"")</f>
        <v/>
      </c>
      <c r="T325" s="92">
        <f>IFERROR(VLOOKUP($A325,'13. Mapa Títulos-Receita'!$A$8:$P$1000,5,FALSE),"")</f>
        <v/>
      </c>
      <c r="U325" s="92">
        <f>IFERROR(VLOOKUP($A325,'13. Mapa Títulos-Receita'!$A$8:$P$1000,6,FALSE),"")</f>
        <v/>
      </c>
      <c r="V325" s="92">
        <f>IFERROR(VLOOKUP($A325,'13. Mapa Títulos-Receita'!$A$8:$P$1000,7,FALSE),"")</f>
        <v/>
      </c>
      <c r="W325" s="92">
        <f>IFERROR(VLOOKUP($A325,'13. Mapa Títulos-Receita'!$A$8:$P$1000,8,FALSE),"")</f>
        <v/>
      </c>
      <c r="X325" s="92">
        <f>IFERROR(VLOOKUP($A325,'13. Mapa Títulos-Receita'!$A$8:$P$1000,9,FALSE),"")</f>
        <v/>
      </c>
      <c r="Y325" s="92">
        <f>IFERROR(VLOOKUP($A325,'13. Mapa Títulos-Receita'!$A$8:$P$1000,10,FALSE),"")</f>
        <v/>
      </c>
      <c r="Z325" s="92">
        <f>IFERROR(VLOOKUP($A325,'13. Mapa Títulos-Receita'!$A$8:$P$1000,11,FALSE),"")</f>
        <v/>
      </c>
      <c r="AA325" s="92">
        <f>IFERROR(VLOOKUP($A325,'13. Mapa Títulos-Receita'!$A$8:$P$1000,12,FALSE),"")</f>
        <v/>
      </c>
      <c r="AB325" s="92">
        <f>IFERROR(VLOOKUP($A325,'13. Mapa Títulos-Receita'!$A$8:$P$1000,13,FALSE),"")</f>
        <v/>
      </c>
      <c r="AC325" s="92">
        <f>IFERROR(VLOOKUP($A325,'13. Mapa Títulos-Receita'!$A$8:$P$1000,14,FALSE),"")</f>
        <v/>
      </c>
      <c r="AD325" s="92">
        <f>IFERROR(VLOOKUP($A325,'13. Mapa Títulos-Receita'!$A$8:$P$1000,15,FALSE),"")</f>
        <v/>
      </c>
      <c r="AE325" s="92">
        <f>IFERROR(VLOOKUP($A325,'13. Mapa Títulos-Receita'!$A$8:$P$1000,16,FALSE),"")</f>
        <v/>
      </c>
    </row>
    <row r="326">
      <c r="A326" s="28">
        <f>IF(C326="","", "CR-"&amp;TEXT(ROW()-7,"000"))</f>
        <v/>
      </c>
      <c r="B326" s="28" t="n"/>
      <c r="C326" s="28" t="n"/>
      <c r="D326" s="111" t="n"/>
      <c r="E326" s="111" t="n"/>
      <c r="F326" s="111" t="n"/>
      <c r="G326" s="28" t="n"/>
      <c r="H326" s="45" t="n"/>
      <c r="I326" s="45" t="n"/>
      <c r="J326" s="28">
        <f>IF(H326="","",IF(I326&gt;=H326,"Recebido",IF($B$4&gt;E326,"Vencido","Aberto")))</f>
        <v/>
      </c>
      <c r="K326" s="4">
        <f>IF(J326="","",IF(OR(J326="Recebido",F326=""),MAX(0,F326-E326),MAX(0,$B$4-E326)))</f>
        <v/>
      </c>
      <c r="L326" s="4">
        <f>IF(K326="","",IF(K326=0,"Em dia",IF(K326&lt;=30,"1-30 dias",IF(K326&lt;=60,"31-60 dias",IF(K326&lt;=90,"61-90 dias","&gt;90 dias")))))</f>
        <v/>
      </c>
      <c r="M326" s="28" t="n"/>
      <c r="N326" s="104" t="inlineStr"/>
      <c r="O326" s="64" t="n"/>
      <c r="P326" s="64">
        <f>IF(C326="","",IF(ISNUMBER(SEARCH("PCMSO",C326)),"PCMSO",IF(OR(ISNUMBER(SEARCH("E-SOCIAL",C326)),ISNUMBER(SEARCH("PSICOSOCIAL",C326))),"eSocial / Psicossocial",IF(O326="Receita recorrente","Carteira recorrente","Projetos / Laudos / Avulsos"))))</f>
        <v/>
      </c>
      <c r="Q326" s="64">
        <f>IF(P326="","",IF(P326="Carteira recorrente","Operação recorrente",IF(P326="PCMSO","Projetos PCMSO",IF(P326="eSocial / Psicossocial","Projetos eSocial/Psicossocial","Projetos / Laudos / Avulsos"))))</f>
        <v/>
      </c>
      <c r="R326" s="64">
        <f>IF(C326="","",IF(ISNUMBER(SEARCH("PCMSO",C326)),"Título com PCMSO no nome",IF(OR(ISNUMBER(SEARCH("E-SOCIAL",C326)),ISNUMBER(SEARCH("PSICOSOCIAL",C326))),"Título com eSocial/Psicossocial no nome",IF(O326="Receita recorrente","Tipo DRE recorrente","Extra sem palavra-chave específica"))))</f>
        <v/>
      </c>
      <c r="S326" s="92">
        <f>IFERROR(VLOOKUP($A326,'13. Mapa Títulos-Receita'!$A$8:$P$1000,4,FALSE),"")</f>
        <v/>
      </c>
      <c r="T326" s="92">
        <f>IFERROR(VLOOKUP($A326,'13. Mapa Títulos-Receita'!$A$8:$P$1000,5,FALSE),"")</f>
        <v/>
      </c>
      <c r="U326" s="92">
        <f>IFERROR(VLOOKUP($A326,'13. Mapa Títulos-Receita'!$A$8:$P$1000,6,FALSE),"")</f>
        <v/>
      </c>
      <c r="V326" s="92">
        <f>IFERROR(VLOOKUP($A326,'13. Mapa Títulos-Receita'!$A$8:$P$1000,7,FALSE),"")</f>
        <v/>
      </c>
      <c r="W326" s="92">
        <f>IFERROR(VLOOKUP($A326,'13. Mapa Títulos-Receita'!$A$8:$P$1000,8,FALSE),"")</f>
        <v/>
      </c>
      <c r="X326" s="92">
        <f>IFERROR(VLOOKUP($A326,'13. Mapa Títulos-Receita'!$A$8:$P$1000,9,FALSE),"")</f>
        <v/>
      </c>
      <c r="Y326" s="92">
        <f>IFERROR(VLOOKUP($A326,'13. Mapa Títulos-Receita'!$A$8:$P$1000,10,FALSE),"")</f>
        <v/>
      </c>
      <c r="Z326" s="92">
        <f>IFERROR(VLOOKUP($A326,'13. Mapa Títulos-Receita'!$A$8:$P$1000,11,FALSE),"")</f>
        <v/>
      </c>
      <c r="AA326" s="92">
        <f>IFERROR(VLOOKUP($A326,'13. Mapa Títulos-Receita'!$A$8:$P$1000,12,FALSE),"")</f>
        <v/>
      </c>
      <c r="AB326" s="92">
        <f>IFERROR(VLOOKUP($A326,'13. Mapa Títulos-Receita'!$A$8:$P$1000,13,FALSE),"")</f>
        <v/>
      </c>
      <c r="AC326" s="92">
        <f>IFERROR(VLOOKUP($A326,'13. Mapa Títulos-Receita'!$A$8:$P$1000,14,FALSE),"")</f>
        <v/>
      </c>
      <c r="AD326" s="92">
        <f>IFERROR(VLOOKUP($A326,'13. Mapa Títulos-Receita'!$A$8:$P$1000,15,FALSE),"")</f>
        <v/>
      </c>
      <c r="AE326" s="92">
        <f>IFERROR(VLOOKUP($A326,'13. Mapa Títulos-Receita'!$A$8:$P$1000,16,FALSE),"")</f>
        <v/>
      </c>
    </row>
    <row r="327">
      <c r="A327" s="28">
        <f>IF(C327="","", "CR-"&amp;TEXT(ROW()-7,"000"))</f>
        <v/>
      </c>
      <c r="B327" s="28" t="n"/>
      <c r="C327" s="28" t="n"/>
      <c r="D327" s="111" t="n"/>
      <c r="E327" s="111" t="n"/>
      <c r="F327" s="111" t="n"/>
      <c r="G327" s="28" t="n"/>
      <c r="H327" s="45" t="n"/>
      <c r="I327" s="45" t="n"/>
      <c r="J327" s="28">
        <f>IF(H327="","",IF(I327&gt;=H327,"Recebido",IF($B$4&gt;E327,"Vencido","Aberto")))</f>
        <v/>
      </c>
      <c r="K327" s="4">
        <f>IF(J327="","",IF(OR(J327="Recebido",F327=""),MAX(0,F327-E327),MAX(0,$B$4-E327)))</f>
        <v/>
      </c>
      <c r="L327" s="4">
        <f>IF(K327="","",IF(K327=0,"Em dia",IF(K327&lt;=30,"1-30 dias",IF(K327&lt;=60,"31-60 dias",IF(K327&lt;=90,"61-90 dias","&gt;90 dias")))))</f>
        <v/>
      </c>
      <c r="M327" s="28" t="n"/>
      <c r="N327" s="104" t="inlineStr"/>
      <c r="O327" s="64" t="n"/>
      <c r="P327" s="64">
        <f>IF(C327="","",IF(ISNUMBER(SEARCH("PCMSO",C327)),"PCMSO",IF(OR(ISNUMBER(SEARCH("E-SOCIAL",C327)),ISNUMBER(SEARCH("PSICOSOCIAL",C327))),"eSocial / Psicossocial",IF(O327="Receita recorrente","Carteira recorrente","Projetos / Laudos / Avulsos"))))</f>
        <v/>
      </c>
      <c r="Q327" s="64">
        <f>IF(P327="","",IF(P327="Carteira recorrente","Operação recorrente",IF(P327="PCMSO","Projetos PCMSO",IF(P327="eSocial / Psicossocial","Projetos eSocial/Psicossocial","Projetos / Laudos / Avulsos"))))</f>
        <v/>
      </c>
      <c r="R327" s="64">
        <f>IF(C327="","",IF(ISNUMBER(SEARCH("PCMSO",C327)),"Título com PCMSO no nome",IF(OR(ISNUMBER(SEARCH("E-SOCIAL",C327)),ISNUMBER(SEARCH("PSICOSOCIAL",C327))),"Título com eSocial/Psicossocial no nome",IF(O327="Receita recorrente","Tipo DRE recorrente","Extra sem palavra-chave específica"))))</f>
        <v/>
      </c>
      <c r="S327" s="92">
        <f>IFERROR(VLOOKUP($A327,'13. Mapa Títulos-Receita'!$A$8:$P$1000,4,FALSE),"")</f>
        <v/>
      </c>
      <c r="T327" s="92">
        <f>IFERROR(VLOOKUP($A327,'13. Mapa Títulos-Receita'!$A$8:$P$1000,5,FALSE),"")</f>
        <v/>
      </c>
      <c r="U327" s="92">
        <f>IFERROR(VLOOKUP($A327,'13. Mapa Títulos-Receita'!$A$8:$P$1000,6,FALSE),"")</f>
        <v/>
      </c>
      <c r="V327" s="92">
        <f>IFERROR(VLOOKUP($A327,'13. Mapa Títulos-Receita'!$A$8:$P$1000,7,FALSE),"")</f>
        <v/>
      </c>
      <c r="W327" s="92">
        <f>IFERROR(VLOOKUP($A327,'13. Mapa Títulos-Receita'!$A$8:$P$1000,8,FALSE),"")</f>
        <v/>
      </c>
      <c r="X327" s="92">
        <f>IFERROR(VLOOKUP($A327,'13. Mapa Títulos-Receita'!$A$8:$P$1000,9,FALSE),"")</f>
        <v/>
      </c>
      <c r="Y327" s="92">
        <f>IFERROR(VLOOKUP($A327,'13. Mapa Títulos-Receita'!$A$8:$P$1000,10,FALSE),"")</f>
        <v/>
      </c>
      <c r="Z327" s="92">
        <f>IFERROR(VLOOKUP($A327,'13. Mapa Títulos-Receita'!$A$8:$P$1000,11,FALSE),"")</f>
        <v/>
      </c>
      <c r="AA327" s="92">
        <f>IFERROR(VLOOKUP($A327,'13. Mapa Títulos-Receita'!$A$8:$P$1000,12,FALSE),"")</f>
        <v/>
      </c>
      <c r="AB327" s="92">
        <f>IFERROR(VLOOKUP($A327,'13. Mapa Títulos-Receita'!$A$8:$P$1000,13,FALSE),"")</f>
        <v/>
      </c>
      <c r="AC327" s="92">
        <f>IFERROR(VLOOKUP($A327,'13. Mapa Títulos-Receita'!$A$8:$P$1000,14,FALSE),"")</f>
        <v/>
      </c>
      <c r="AD327" s="92">
        <f>IFERROR(VLOOKUP($A327,'13. Mapa Títulos-Receita'!$A$8:$P$1000,15,FALSE),"")</f>
        <v/>
      </c>
      <c r="AE327" s="92">
        <f>IFERROR(VLOOKUP($A327,'13. Mapa Títulos-Receita'!$A$8:$P$1000,16,FALSE),"")</f>
        <v/>
      </c>
    </row>
    <row r="328">
      <c r="A328" s="28">
        <f>IF(C328="","", "CR-"&amp;TEXT(ROW()-7,"000"))</f>
        <v/>
      </c>
      <c r="B328" s="28" t="n"/>
      <c r="C328" s="28" t="n"/>
      <c r="D328" s="111" t="n"/>
      <c r="E328" s="111" t="n"/>
      <c r="F328" s="111" t="n"/>
      <c r="G328" s="28" t="n"/>
      <c r="H328" s="45" t="n"/>
      <c r="I328" s="45" t="n"/>
      <c r="J328" s="28">
        <f>IF(H328="","",IF(I328&gt;=H328,"Recebido",IF($B$4&gt;E328,"Vencido","Aberto")))</f>
        <v/>
      </c>
      <c r="K328" s="4">
        <f>IF(J328="","",IF(OR(J328="Recebido",F328=""),MAX(0,F328-E328),MAX(0,$B$4-E328)))</f>
        <v/>
      </c>
      <c r="L328" s="4">
        <f>IF(K328="","",IF(K328=0,"Em dia",IF(K328&lt;=30,"1-30 dias",IF(K328&lt;=60,"31-60 dias",IF(K328&lt;=90,"61-90 dias","&gt;90 dias")))))</f>
        <v/>
      </c>
      <c r="M328" s="28" t="n"/>
      <c r="N328" s="104" t="inlineStr"/>
      <c r="O328" s="64" t="n"/>
      <c r="P328" s="64">
        <f>IF(C328="","",IF(ISNUMBER(SEARCH("PCMSO",C328)),"PCMSO",IF(OR(ISNUMBER(SEARCH("E-SOCIAL",C328)),ISNUMBER(SEARCH("PSICOSOCIAL",C328))),"eSocial / Psicossocial",IF(O328="Receita recorrente","Carteira recorrente","Projetos / Laudos / Avulsos"))))</f>
        <v/>
      </c>
      <c r="Q328" s="64">
        <f>IF(P328="","",IF(P328="Carteira recorrente","Operação recorrente",IF(P328="PCMSO","Projetos PCMSO",IF(P328="eSocial / Psicossocial","Projetos eSocial/Psicossocial","Projetos / Laudos / Avulsos"))))</f>
        <v/>
      </c>
      <c r="R328" s="64">
        <f>IF(C328="","",IF(ISNUMBER(SEARCH("PCMSO",C328)),"Título com PCMSO no nome",IF(OR(ISNUMBER(SEARCH("E-SOCIAL",C328)),ISNUMBER(SEARCH("PSICOSOCIAL",C328))),"Título com eSocial/Psicossocial no nome",IF(O328="Receita recorrente","Tipo DRE recorrente","Extra sem palavra-chave específica"))))</f>
        <v/>
      </c>
      <c r="S328" s="92">
        <f>IFERROR(VLOOKUP($A328,'13. Mapa Títulos-Receita'!$A$8:$P$1000,4,FALSE),"")</f>
        <v/>
      </c>
      <c r="T328" s="92">
        <f>IFERROR(VLOOKUP($A328,'13. Mapa Títulos-Receita'!$A$8:$P$1000,5,FALSE),"")</f>
        <v/>
      </c>
      <c r="U328" s="92">
        <f>IFERROR(VLOOKUP($A328,'13. Mapa Títulos-Receita'!$A$8:$P$1000,6,FALSE),"")</f>
        <v/>
      </c>
      <c r="V328" s="92">
        <f>IFERROR(VLOOKUP($A328,'13. Mapa Títulos-Receita'!$A$8:$P$1000,7,FALSE),"")</f>
        <v/>
      </c>
      <c r="W328" s="92">
        <f>IFERROR(VLOOKUP($A328,'13. Mapa Títulos-Receita'!$A$8:$P$1000,8,FALSE),"")</f>
        <v/>
      </c>
      <c r="X328" s="92">
        <f>IFERROR(VLOOKUP($A328,'13. Mapa Títulos-Receita'!$A$8:$P$1000,9,FALSE),"")</f>
        <v/>
      </c>
      <c r="Y328" s="92">
        <f>IFERROR(VLOOKUP($A328,'13. Mapa Títulos-Receita'!$A$8:$P$1000,10,FALSE),"")</f>
        <v/>
      </c>
      <c r="Z328" s="92">
        <f>IFERROR(VLOOKUP($A328,'13. Mapa Títulos-Receita'!$A$8:$P$1000,11,FALSE),"")</f>
        <v/>
      </c>
      <c r="AA328" s="92">
        <f>IFERROR(VLOOKUP($A328,'13. Mapa Títulos-Receita'!$A$8:$P$1000,12,FALSE),"")</f>
        <v/>
      </c>
      <c r="AB328" s="92">
        <f>IFERROR(VLOOKUP($A328,'13. Mapa Títulos-Receita'!$A$8:$P$1000,13,FALSE),"")</f>
        <v/>
      </c>
      <c r="AC328" s="92">
        <f>IFERROR(VLOOKUP($A328,'13. Mapa Títulos-Receita'!$A$8:$P$1000,14,FALSE),"")</f>
        <v/>
      </c>
      <c r="AD328" s="92">
        <f>IFERROR(VLOOKUP($A328,'13. Mapa Títulos-Receita'!$A$8:$P$1000,15,FALSE),"")</f>
        <v/>
      </c>
      <c r="AE328" s="92">
        <f>IFERROR(VLOOKUP($A328,'13. Mapa Títulos-Receita'!$A$8:$P$1000,16,FALSE),"")</f>
        <v/>
      </c>
    </row>
    <row r="329">
      <c r="A329" s="28">
        <f>IF(C329="","", "CR-"&amp;TEXT(ROW()-7,"000"))</f>
        <v/>
      </c>
      <c r="B329" s="28" t="n"/>
      <c r="C329" s="28" t="n"/>
      <c r="D329" s="111" t="n"/>
      <c r="E329" s="111" t="n"/>
      <c r="F329" s="111" t="n"/>
      <c r="G329" s="28" t="n"/>
      <c r="H329" s="45" t="n"/>
      <c r="I329" s="45" t="n"/>
      <c r="J329" s="28">
        <f>IF(H329="","",IF(I329&gt;=H329,"Recebido",IF($B$4&gt;E329,"Vencido","Aberto")))</f>
        <v/>
      </c>
      <c r="K329" s="4">
        <f>IF(J329="","",IF(OR(J329="Recebido",F329=""),MAX(0,F329-E329),MAX(0,$B$4-E329)))</f>
        <v/>
      </c>
      <c r="L329" s="4">
        <f>IF(K329="","",IF(K329=0,"Em dia",IF(K329&lt;=30,"1-30 dias",IF(K329&lt;=60,"31-60 dias",IF(K329&lt;=90,"61-90 dias","&gt;90 dias")))))</f>
        <v/>
      </c>
      <c r="M329" s="28" t="n"/>
      <c r="N329" s="104" t="inlineStr"/>
      <c r="O329" s="64" t="n"/>
      <c r="P329" s="64">
        <f>IF(C329="","",IF(ISNUMBER(SEARCH("PCMSO",C329)),"PCMSO",IF(OR(ISNUMBER(SEARCH("E-SOCIAL",C329)),ISNUMBER(SEARCH("PSICOSOCIAL",C329))),"eSocial / Psicossocial",IF(O329="Receita recorrente","Carteira recorrente","Projetos / Laudos / Avulsos"))))</f>
        <v/>
      </c>
      <c r="Q329" s="64">
        <f>IF(P329="","",IF(P329="Carteira recorrente","Operação recorrente",IF(P329="PCMSO","Projetos PCMSO",IF(P329="eSocial / Psicossocial","Projetos eSocial/Psicossocial","Projetos / Laudos / Avulsos"))))</f>
        <v/>
      </c>
      <c r="R329" s="64">
        <f>IF(C329="","",IF(ISNUMBER(SEARCH("PCMSO",C329)),"Título com PCMSO no nome",IF(OR(ISNUMBER(SEARCH("E-SOCIAL",C329)),ISNUMBER(SEARCH("PSICOSOCIAL",C329))),"Título com eSocial/Psicossocial no nome",IF(O329="Receita recorrente","Tipo DRE recorrente","Extra sem palavra-chave específica"))))</f>
        <v/>
      </c>
      <c r="S329" s="92">
        <f>IFERROR(VLOOKUP($A329,'13. Mapa Títulos-Receita'!$A$8:$P$1000,4,FALSE),"")</f>
        <v/>
      </c>
      <c r="T329" s="92">
        <f>IFERROR(VLOOKUP($A329,'13. Mapa Títulos-Receita'!$A$8:$P$1000,5,FALSE),"")</f>
        <v/>
      </c>
      <c r="U329" s="92">
        <f>IFERROR(VLOOKUP($A329,'13. Mapa Títulos-Receita'!$A$8:$P$1000,6,FALSE),"")</f>
        <v/>
      </c>
      <c r="V329" s="92">
        <f>IFERROR(VLOOKUP($A329,'13. Mapa Títulos-Receita'!$A$8:$P$1000,7,FALSE),"")</f>
        <v/>
      </c>
      <c r="W329" s="92">
        <f>IFERROR(VLOOKUP($A329,'13. Mapa Títulos-Receita'!$A$8:$P$1000,8,FALSE),"")</f>
        <v/>
      </c>
      <c r="X329" s="92">
        <f>IFERROR(VLOOKUP($A329,'13. Mapa Títulos-Receita'!$A$8:$P$1000,9,FALSE),"")</f>
        <v/>
      </c>
      <c r="Y329" s="92">
        <f>IFERROR(VLOOKUP($A329,'13. Mapa Títulos-Receita'!$A$8:$P$1000,10,FALSE),"")</f>
        <v/>
      </c>
      <c r="Z329" s="92">
        <f>IFERROR(VLOOKUP($A329,'13. Mapa Títulos-Receita'!$A$8:$P$1000,11,FALSE),"")</f>
        <v/>
      </c>
      <c r="AA329" s="92">
        <f>IFERROR(VLOOKUP($A329,'13. Mapa Títulos-Receita'!$A$8:$P$1000,12,FALSE),"")</f>
        <v/>
      </c>
      <c r="AB329" s="92">
        <f>IFERROR(VLOOKUP($A329,'13. Mapa Títulos-Receita'!$A$8:$P$1000,13,FALSE),"")</f>
        <v/>
      </c>
      <c r="AC329" s="92">
        <f>IFERROR(VLOOKUP($A329,'13. Mapa Títulos-Receita'!$A$8:$P$1000,14,FALSE),"")</f>
        <v/>
      </c>
      <c r="AD329" s="92">
        <f>IFERROR(VLOOKUP($A329,'13. Mapa Títulos-Receita'!$A$8:$P$1000,15,FALSE),"")</f>
        <v/>
      </c>
      <c r="AE329" s="92">
        <f>IFERROR(VLOOKUP($A329,'13. Mapa Títulos-Receita'!$A$8:$P$1000,16,FALSE),"")</f>
        <v/>
      </c>
    </row>
    <row r="330">
      <c r="A330" s="28">
        <f>IF(C330="","", "CR-"&amp;TEXT(ROW()-7,"000"))</f>
        <v/>
      </c>
      <c r="B330" s="28" t="n"/>
      <c r="C330" s="28" t="n"/>
      <c r="D330" s="111" t="n"/>
      <c r="E330" s="111" t="n"/>
      <c r="F330" s="111" t="n"/>
      <c r="G330" s="28" t="n"/>
      <c r="H330" s="45" t="n"/>
      <c r="I330" s="45" t="n"/>
      <c r="J330" s="28">
        <f>IF(H330="","",IF(I330&gt;=H330,"Recebido",IF($B$4&gt;E330,"Vencido","Aberto")))</f>
        <v/>
      </c>
      <c r="K330" s="4">
        <f>IF(J330="","",IF(OR(J330="Recebido",F330=""),MAX(0,F330-E330),MAX(0,$B$4-E330)))</f>
        <v/>
      </c>
      <c r="L330" s="4">
        <f>IF(K330="","",IF(K330=0,"Em dia",IF(K330&lt;=30,"1-30 dias",IF(K330&lt;=60,"31-60 dias",IF(K330&lt;=90,"61-90 dias","&gt;90 dias")))))</f>
        <v/>
      </c>
      <c r="M330" s="28" t="n"/>
      <c r="N330" s="104" t="inlineStr"/>
      <c r="O330" s="64" t="n"/>
      <c r="P330" s="64">
        <f>IF(C330="","",IF(ISNUMBER(SEARCH("PCMSO",C330)),"PCMSO",IF(OR(ISNUMBER(SEARCH("E-SOCIAL",C330)),ISNUMBER(SEARCH("PSICOSOCIAL",C330))),"eSocial / Psicossocial",IF(O330="Receita recorrente","Carteira recorrente","Projetos / Laudos / Avulsos"))))</f>
        <v/>
      </c>
      <c r="Q330" s="64">
        <f>IF(P330="","",IF(P330="Carteira recorrente","Operação recorrente",IF(P330="PCMSO","Projetos PCMSO",IF(P330="eSocial / Psicossocial","Projetos eSocial/Psicossocial","Projetos / Laudos / Avulsos"))))</f>
        <v/>
      </c>
      <c r="R330" s="64">
        <f>IF(C330="","",IF(ISNUMBER(SEARCH("PCMSO",C330)),"Título com PCMSO no nome",IF(OR(ISNUMBER(SEARCH("E-SOCIAL",C330)),ISNUMBER(SEARCH("PSICOSOCIAL",C330))),"Título com eSocial/Psicossocial no nome",IF(O330="Receita recorrente","Tipo DRE recorrente","Extra sem palavra-chave específica"))))</f>
        <v/>
      </c>
      <c r="S330" s="92">
        <f>IFERROR(VLOOKUP($A330,'13. Mapa Títulos-Receita'!$A$8:$P$1000,4,FALSE),"")</f>
        <v/>
      </c>
      <c r="T330" s="92">
        <f>IFERROR(VLOOKUP($A330,'13. Mapa Títulos-Receita'!$A$8:$P$1000,5,FALSE),"")</f>
        <v/>
      </c>
      <c r="U330" s="92">
        <f>IFERROR(VLOOKUP($A330,'13. Mapa Títulos-Receita'!$A$8:$P$1000,6,FALSE),"")</f>
        <v/>
      </c>
      <c r="V330" s="92">
        <f>IFERROR(VLOOKUP($A330,'13. Mapa Títulos-Receita'!$A$8:$P$1000,7,FALSE),"")</f>
        <v/>
      </c>
      <c r="W330" s="92">
        <f>IFERROR(VLOOKUP($A330,'13. Mapa Títulos-Receita'!$A$8:$P$1000,8,FALSE),"")</f>
        <v/>
      </c>
      <c r="X330" s="92">
        <f>IFERROR(VLOOKUP($A330,'13. Mapa Títulos-Receita'!$A$8:$P$1000,9,FALSE),"")</f>
        <v/>
      </c>
      <c r="Y330" s="92">
        <f>IFERROR(VLOOKUP($A330,'13. Mapa Títulos-Receita'!$A$8:$P$1000,10,FALSE),"")</f>
        <v/>
      </c>
      <c r="Z330" s="92">
        <f>IFERROR(VLOOKUP($A330,'13. Mapa Títulos-Receita'!$A$8:$P$1000,11,FALSE),"")</f>
        <v/>
      </c>
      <c r="AA330" s="92">
        <f>IFERROR(VLOOKUP($A330,'13. Mapa Títulos-Receita'!$A$8:$P$1000,12,FALSE),"")</f>
        <v/>
      </c>
      <c r="AB330" s="92">
        <f>IFERROR(VLOOKUP($A330,'13. Mapa Títulos-Receita'!$A$8:$P$1000,13,FALSE),"")</f>
        <v/>
      </c>
      <c r="AC330" s="92">
        <f>IFERROR(VLOOKUP($A330,'13. Mapa Títulos-Receita'!$A$8:$P$1000,14,FALSE),"")</f>
        <v/>
      </c>
      <c r="AD330" s="92">
        <f>IFERROR(VLOOKUP($A330,'13. Mapa Títulos-Receita'!$A$8:$P$1000,15,FALSE),"")</f>
        <v/>
      </c>
      <c r="AE330" s="92">
        <f>IFERROR(VLOOKUP($A330,'13. Mapa Títulos-Receita'!$A$8:$P$1000,16,FALSE),"")</f>
        <v/>
      </c>
    </row>
    <row r="331">
      <c r="A331" s="28">
        <f>IF(C331="","", "CR-"&amp;TEXT(ROW()-7,"000"))</f>
        <v/>
      </c>
      <c r="B331" s="28" t="n"/>
      <c r="C331" s="28" t="n"/>
      <c r="D331" s="111" t="n"/>
      <c r="E331" s="111" t="n"/>
      <c r="F331" s="111" t="n"/>
      <c r="G331" s="28" t="n"/>
      <c r="H331" s="45" t="n"/>
      <c r="I331" s="45" t="n"/>
      <c r="J331" s="28">
        <f>IF(H331="","",IF(I331&gt;=H331,"Recebido",IF($B$4&gt;E331,"Vencido","Aberto")))</f>
        <v/>
      </c>
      <c r="K331" s="4">
        <f>IF(J331="","",IF(OR(J331="Recebido",F331=""),MAX(0,F331-E331),MAX(0,$B$4-E331)))</f>
        <v/>
      </c>
      <c r="L331" s="4">
        <f>IF(K331="","",IF(K331=0,"Em dia",IF(K331&lt;=30,"1-30 dias",IF(K331&lt;=60,"31-60 dias",IF(K331&lt;=90,"61-90 dias","&gt;90 dias")))))</f>
        <v/>
      </c>
      <c r="M331" s="28" t="n"/>
      <c r="N331" s="104" t="inlineStr"/>
      <c r="O331" s="64" t="n"/>
      <c r="P331" s="64">
        <f>IF(C331="","",IF(ISNUMBER(SEARCH("PCMSO",C331)),"PCMSO",IF(OR(ISNUMBER(SEARCH("E-SOCIAL",C331)),ISNUMBER(SEARCH("PSICOSOCIAL",C331))),"eSocial / Psicossocial",IF(O331="Receita recorrente","Carteira recorrente","Projetos / Laudos / Avulsos"))))</f>
        <v/>
      </c>
      <c r="Q331" s="64">
        <f>IF(P331="","",IF(P331="Carteira recorrente","Operação recorrente",IF(P331="PCMSO","Projetos PCMSO",IF(P331="eSocial / Psicossocial","Projetos eSocial/Psicossocial","Projetos / Laudos / Avulsos"))))</f>
        <v/>
      </c>
      <c r="R331" s="64">
        <f>IF(C331="","",IF(ISNUMBER(SEARCH("PCMSO",C331)),"Título com PCMSO no nome",IF(OR(ISNUMBER(SEARCH("E-SOCIAL",C331)),ISNUMBER(SEARCH("PSICOSOCIAL",C331))),"Título com eSocial/Psicossocial no nome",IF(O331="Receita recorrente","Tipo DRE recorrente","Extra sem palavra-chave específica"))))</f>
        <v/>
      </c>
      <c r="S331" s="92">
        <f>IFERROR(VLOOKUP($A331,'13. Mapa Títulos-Receita'!$A$8:$P$1000,4,FALSE),"")</f>
        <v/>
      </c>
      <c r="T331" s="92">
        <f>IFERROR(VLOOKUP($A331,'13. Mapa Títulos-Receita'!$A$8:$P$1000,5,FALSE),"")</f>
        <v/>
      </c>
      <c r="U331" s="92">
        <f>IFERROR(VLOOKUP($A331,'13. Mapa Títulos-Receita'!$A$8:$P$1000,6,FALSE),"")</f>
        <v/>
      </c>
      <c r="V331" s="92">
        <f>IFERROR(VLOOKUP($A331,'13. Mapa Títulos-Receita'!$A$8:$P$1000,7,FALSE),"")</f>
        <v/>
      </c>
      <c r="W331" s="92">
        <f>IFERROR(VLOOKUP($A331,'13. Mapa Títulos-Receita'!$A$8:$P$1000,8,FALSE),"")</f>
        <v/>
      </c>
      <c r="X331" s="92">
        <f>IFERROR(VLOOKUP($A331,'13. Mapa Títulos-Receita'!$A$8:$P$1000,9,FALSE),"")</f>
        <v/>
      </c>
      <c r="Y331" s="92">
        <f>IFERROR(VLOOKUP($A331,'13. Mapa Títulos-Receita'!$A$8:$P$1000,10,FALSE),"")</f>
        <v/>
      </c>
      <c r="Z331" s="92">
        <f>IFERROR(VLOOKUP($A331,'13. Mapa Títulos-Receita'!$A$8:$P$1000,11,FALSE),"")</f>
        <v/>
      </c>
      <c r="AA331" s="92">
        <f>IFERROR(VLOOKUP($A331,'13. Mapa Títulos-Receita'!$A$8:$P$1000,12,FALSE),"")</f>
        <v/>
      </c>
      <c r="AB331" s="92">
        <f>IFERROR(VLOOKUP($A331,'13. Mapa Títulos-Receita'!$A$8:$P$1000,13,FALSE),"")</f>
        <v/>
      </c>
      <c r="AC331" s="92">
        <f>IFERROR(VLOOKUP($A331,'13. Mapa Títulos-Receita'!$A$8:$P$1000,14,FALSE),"")</f>
        <v/>
      </c>
      <c r="AD331" s="92">
        <f>IFERROR(VLOOKUP($A331,'13. Mapa Títulos-Receita'!$A$8:$P$1000,15,FALSE),"")</f>
        <v/>
      </c>
      <c r="AE331" s="92">
        <f>IFERROR(VLOOKUP($A331,'13. Mapa Títulos-Receita'!$A$8:$P$1000,16,FALSE),"")</f>
        <v/>
      </c>
    </row>
    <row r="332">
      <c r="A332" s="28">
        <f>IF(C332="","", "CR-"&amp;TEXT(ROW()-7,"000"))</f>
        <v/>
      </c>
      <c r="B332" s="28" t="n"/>
      <c r="C332" s="28" t="n"/>
      <c r="D332" s="111" t="n"/>
      <c r="E332" s="111" t="n"/>
      <c r="F332" s="111" t="n"/>
      <c r="G332" s="28" t="n"/>
      <c r="H332" s="45" t="n"/>
      <c r="I332" s="45" t="n"/>
      <c r="J332" s="28">
        <f>IF(H332="","",IF(I332&gt;=H332,"Recebido",IF($B$4&gt;E332,"Vencido","Aberto")))</f>
        <v/>
      </c>
      <c r="K332" s="4">
        <f>IF(J332="","",IF(OR(J332="Recebido",F332=""),MAX(0,F332-E332),MAX(0,$B$4-E332)))</f>
        <v/>
      </c>
      <c r="L332" s="4">
        <f>IF(K332="","",IF(K332=0,"Em dia",IF(K332&lt;=30,"1-30 dias",IF(K332&lt;=60,"31-60 dias",IF(K332&lt;=90,"61-90 dias","&gt;90 dias")))))</f>
        <v/>
      </c>
      <c r="M332" s="28" t="n"/>
      <c r="N332" s="104" t="inlineStr"/>
      <c r="O332" s="64" t="n"/>
      <c r="P332" s="64">
        <f>IF(C332="","",IF(ISNUMBER(SEARCH("PCMSO",C332)),"PCMSO",IF(OR(ISNUMBER(SEARCH("E-SOCIAL",C332)),ISNUMBER(SEARCH("PSICOSOCIAL",C332))),"eSocial / Psicossocial",IF(O332="Receita recorrente","Carteira recorrente","Projetos / Laudos / Avulsos"))))</f>
        <v/>
      </c>
      <c r="Q332" s="64">
        <f>IF(P332="","",IF(P332="Carteira recorrente","Operação recorrente",IF(P332="PCMSO","Projetos PCMSO",IF(P332="eSocial / Psicossocial","Projetos eSocial/Psicossocial","Projetos / Laudos / Avulsos"))))</f>
        <v/>
      </c>
      <c r="R332" s="64">
        <f>IF(C332="","",IF(ISNUMBER(SEARCH("PCMSO",C332)),"Título com PCMSO no nome",IF(OR(ISNUMBER(SEARCH("E-SOCIAL",C332)),ISNUMBER(SEARCH("PSICOSOCIAL",C332))),"Título com eSocial/Psicossocial no nome",IF(O332="Receita recorrente","Tipo DRE recorrente","Extra sem palavra-chave específica"))))</f>
        <v/>
      </c>
      <c r="S332" s="92">
        <f>IFERROR(VLOOKUP($A332,'13. Mapa Títulos-Receita'!$A$8:$P$1000,4,FALSE),"")</f>
        <v/>
      </c>
      <c r="T332" s="92">
        <f>IFERROR(VLOOKUP($A332,'13. Mapa Títulos-Receita'!$A$8:$P$1000,5,FALSE),"")</f>
        <v/>
      </c>
      <c r="U332" s="92">
        <f>IFERROR(VLOOKUP($A332,'13. Mapa Títulos-Receita'!$A$8:$P$1000,6,FALSE),"")</f>
        <v/>
      </c>
      <c r="V332" s="92">
        <f>IFERROR(VLOOKUP($A332,'13. Mapa Títulos-Receita'!$A$8:$P$1000,7,FALSE),"")</f>
        <v/>
      </c>
      <c r="W332" s="92">
        <f>IFERROR(VLOOKUP($A332,'13. Mapa Títulos-Receita'!$A$8:$P$1000,8,FALSE),"")</f>
        <v/>
      </c>
      <c r="X332" s="92">
        <f>IFERROR(VLOOKUP($A332,'13. Mapa Títulos-Receita'!$A$8:$P$1000,9,FALSE),"")</f>
        <v/>
      </c>
      <c r="Y332" s="92">
        <f>IFERROR(VLOOKUP($A332,'13. Mapa Títulos-Receita'!$A$8:$P$1000,10,FALSE),"")</f>
        <v/>
      </c>
      <c r="Z332" s="92">
        <f>IFERROR(VLOOKUP($A332,'13. Mapa Títulos-Receita'!$A$8:$P$1000,11,FALSE),"")</f>
        <v/>
      </c>
      <c r="AA332" s="92">
        <f>IFERROR(VLOOKUP($A332,'13. Mapa Títulos-Receita'!$A$8:$P$1000,12,FALSE),"")</f>
        <v/>
      </c>
      <c r="AB332" s="92">
        <f>IFERROR(VLOOKUP($A332,'13. Mapa Títulos-Receita'!$A$8:$P$1000,13,FALSE),"")</f>
        <v/>
      </c>
      <c r="AC332" s="92">
        <f>IFERROR(VLOOKUP($A332,'13. Mapa Títulos-Receita'!$A$8:$P$1000,14,FALSE),"")</f>
        <v/>
      </c>
      <c r="AD332" s="92">
        <f>IFERROR(VLOOKUP($A332,'13. Mapa Títulos-Receita'!$A$8:$P$1000,15,FALSE),"")</f>
        <v/>
      </c>
      <c r="AE332" s="92">
        <f>IFERROR(VLOOKUP($A332,'13. Mapa Títulos-Receita'!$A$8:$P$1000,16,FALSE),"")</f>
        <v/>
      </c>
    </row>
    <row r="333">
      <c r="A333" s="28">
        <f>IF(C333="","", "CR-"&amp;TEXT(ROW()-7,"000"))</f>
        <v/>
      </c>
      <c r="B333" s="28" t="n"/>
      <c r="C333" s="28" t="n"/>
      <c r="D333" s="111" t="n"/>
      <c r="E333" s="111" t="n"/>
      <c r="F333" s="111" t="n"/>
      <c r="G333" s="28" t="n"/>
      <c r="H333" s="45" t="n"/>
      <c r="I333" s="45" t="n"/>
      <c r="J333" s="28">
        <f>IF(H333="","",IF(I333&gt;=H333,"Recebido",IF($B$4&gt;E333,"Vencido","Aberto")))</f>
        <v/>
      </c>
      <c r="K333" s="4">
        <f>IF(J333="","",IF(OR(J333="Recebido",F333=""),MAX(0,F333-E333),MAX(0,$B$4-E333)))</f>
        <v/>
      </c>
      <c r="L333" s="4">
        <f>IF(K333="","",IF(K333=0,"Em dia",IF(K333&lt;=30,"1-30 dias",IF(K333&lt;=60,"31-60 dias",IF(K333&lt;=90,"61-90 dias","&gt;90 dias")))))</f>
        <v/>
      </c>
      <c r="M333" s="28" t="n"/>
      <c r="N333" s="104" t="inlineStr"/>
      <c r="O333" s="64" t="n"/>
      <c r="P333" s="64">
        <f>IF(C333="","",IF(ISNUMBER(SEARCH("PCMSO",C333)),"PCMSO",IF(OR(ISNUMBER(SEARCH("E-SOCIAL",C333)),ISNUMBER(SEARCH("PSICOSOCIAL",C333))),"eSocial / Psicossocial",IF(O333="Receita recorrente","Carteira recorrente","Projetos / Laudos / Avulsos"))))</f>
        <v/>
      </c>
      <c r="Q333" s="64">
        <f>IF(P333="","",IF(P333="Carteira recorrente","Operação recorrente",IF(P333="PCMSO","Projetos PCMSO",IF(P333="eSocial / Psicossocial","Projetos eSocial/Psicossocial","Projetos / Laudos / Avulsos"))))</f>
        <v/>
      </c>
      <c r="R333" s="64">
        <f>IF(C333="","",IF(ISNUMBER(SEARCH("PCMSO",C333)),"Título com PCMSO no nome",IF(OR(ISNUMBER(SEARCH("E-SOCIAL",C333)),ISNUMBER(SEARCH("PSICOSOCIAL",C333))),"Título com eSocial/Psicossocial no nome",IF(O333="Receita recorrente","Tipo DRE recorrente","Extra sem palavra-chave específica"))))</f>
        <v/>
      </c>
      <c r="S333" s="92">
        <f>IFERROR(VLOOKUP($A333,'13. Mapa Títulos-Receita'!$A$8:$P$1000,4,FALSE),"")</f>
        <v/>
      </c>
      <c r="T333" s="92">
        <f>IFERROR(VLOOKUP($A333,'13. Mapa Títulos-Receita'!$A$8:$P$1000,5,FALSE),"")</f>
        <v/>
      </c>
      <c r="U333" s="92">
        <f>IFERROR(VLOOKUP($A333,'13. Mapa Títulos-Receita'!$A$8:$P$1000,6,FALSE),"")</f>
        <v/>
      </c>
      <c r="V333" s="92">
        <f>IFERROR(VLOOKUP($A333,'13. Mapa Títulos-Receita'!$A$8:$P$1000,7,FALSE),"")</f>
        <v/>
      </c>
      <c r="W333" s="92">
        <f>IFERROR(VLOOKUP($A333,'13. Mapa Títulos-Receita'!$A$8:$P$1000,8,FALSE),"")</f>
        <v/>
      </c>
      <c r="X333" s="92">
        <f>IFERROR(VLOOKUP($A333,'13. Mapa Títulos-Receita'!$A$8:$P$1000,9,FALSE),"")</f>
        <v/>
      </c>
      <c r="Y333" s="92">
        <f>IFERROR(VLOOKUP($A333,'13. Mapa Títulos-Receita'!$A$8:$P$1000,10,FALSE),"")</f>
        <v/>
      </c>
      <c r="Z333" s="92">
        <f>IFERROR(VLOOKUP($A333,'13. Mapa Títulos-Receita'!$A$8:$P$1000,11,FALSE),"")</f>
        <v/>
      </c>
      <c r="AA333" s="92">
        <f>IFERROR(VLOOKUP($A333,'13. Mapa Títulos-Receita'!$A$8:$P$1000,12,FALSE),"")</f>
        <v/>
      </c>
      <c r="AB333" s="92">
        <f>IFERROR(VLOOKUP($A333,'13. Mapa Títulos-Receita'!$A$8:$P$1000,13,FALSE),"")</f>
        <v/>
      </c>
      <c r="AC333" s="92">
        <f>IFERROR(VLOOKUP($A333,'13. Mapa Títulos-Receita'!$A$8:$P$1000,14,FALSE),"")</f>
        <v/>
      </c>
      <c r="AD333" s="92">
        <f>IFERROR(VLOOKUP($A333,'13. Mapa Títulos-Receita'!$A$8:$P$1000,15,FALSE),"")</f>
        <v/>
      </c>
      <c r="AE333" s="92">
        <f>IFERROR(VLOOKUP($A333,'13. Mapa Títulos-Receita'!$A$8:$P$1000,16,FALSE),"")</f>
        <v/>
      </c>
    </row>
    <row r="334">
      <c r="A334" s="28">
        <f>IF(C334="","", "CR-"&amp;TEXT(ROW()-7,"000"))</f>
        <v/>
      </c>
      <c r="B334" s="28" t="n"/>
      <c r="C334" s="28" t="n"/>
      <c r="D334" s="111" t="n"/>
      <c r="E334" s="111" t="n"/>
      <c r="F334" s="111" t="n"/>
      <c r="G334" s="28" t="n"/>
      <c r="H334" s="45" t="n"/>
      <c r="I334" s="45" t="n"/>
      <c r="J334" s="28">
        <f>IF(H334="","",IF(I334&gt;=H334,"Recebido",IF($B$4&gt;E334,"Vencido","Aberto")))</f>
        <v/>
      </c>
      <c r="K334" s="4">
        <f>IF(J334="","",IF(OR(J334="Recebido",F334=""),MAX(0,F334-E334),MAX(0,$B$4-E334)))</f>
        <v/>
      </c>
      <c r="L334" s="4">
        <f>IF(K334="","",IF(K334=0,"Em dia",IF(K334&lt;=30,"1-30 dias",IF(K334&lt;=60,"31-60 dias",IF(K334&lt;=90,"61-90 dias","&gt;90 dias")))))</f>
        <v/>
      </c>
      <c r="M334" s="28" t="n"/>
      <c r="N334" s="104" t="inlineStr"/>
      <c r="O334" s="64" t="n"/>
      <c r="P334" s="64">
        <f>IF(C334="","",IF(ISNUMBER(SEARCH("PCMSO",C334)),"PCMSO",IF(OR(ISNUMBER(SEARCH("E-SOCIAL",C334)),ISNUMBER(SEARCH("PSICOSOCIAL",C334))),"eSocial / Psicossocial",IF(O334="Receita recorrente","Carteira recorrente","Projetos / Laudos / Avulsos"))))</f>
        <v/>
      </c>
      <c r="Q334" s="64">
        <f>IF(P334="","",IF(P334="Carteira recorrente","Operação recorrente",IF(P334="PCMSO","Projetos PCMSO",IF(P334="eSocial / Psicossocial","Projetos eSocial/Psicossocial","Projetos / Laudos / Avulsos"))))</f>
        <v/>
      </c>
      <c r="R334" s="64">
        <f>IF(C334="","",IF(ISNUMBER(SEARCH("PCMSO",C334)),"Título com PCMSO no nome",IF(OR(ISNUMBER(SEARCH("E-SOCIAL",C334)),ISNUMBER(SEARCH("PSICOSOCIAL",C334))),"Título com eSocial/Psicossocial no nome",IF(O334="Receita recorrente","Tipo DRE recorrente","Extra sem palavra-chave específica"))))</f>
        <v/>
      </c>
      <c r="S334" s="92">
        <f>IFERROR(VLOOKUP($A334,'13. Mapa Títulos-Receita'!$A$8:$P$1000,4,FALSE),"")</f>
        <v/>
      </c>
      <c r="T334" s="92">
        <f>IFERROR(VLOOKUP($A334,'13. Mapa Títulos-Receita'!$A$8:$P$1000,5,FALSE),"")</f>
        <v/>
      </c>
      <c r="U334" s="92">
        <f>IFERROR(VLOOKUP($A334,'13. Mapa Títulos-Receita'!$A$8:$P$1000,6,FALSE),"")</f>
        <v/>
      </c>
      <c r="V334" s="92">
        <f>IFERROR(VLOOKUP($A334,'13. Mapa Títulos-Receita'!$A$8:$P$1000,7,FALSE),"")</f>
        <v/>
      </c>
      <c r="W334" s="92">
        <f>IFERROR(VLOOKUP($A334,'13. Mapa Títulos-Receita'!$A$8:$P$1000,8,FALSE),"")</f>
        <v/>
      </c>
      <c r="X334" s="92">
        <f>IFERROR(VLOOKUP($A334,'13. Mapa Títulos-Receita'!$A$8:$P$1000,9,FALSE),"")</f>
        <v/>
      </c>
      <c r="Y334" s="92">
        <f>IFERROR(VLOOKUP($A334,'13. Mapa Títulos-Receita'!$A$8:$P$1000,10,FALSE),"")</f>
        <v/>
      </c>
      <c r="Z334" s="92">
        <f>IFERROR(VLOOKUP($A334,'13. Mapa Títulos-Receita'!$A$8:$P$1000,11,FALSE),"")</f>
        <v/>
      </c>
      <c r="AA334" s="92">
        <f>IFERROR(VLOOKUP($A334,'13. Mapa Títulos-Receita'!$A$8:$P$1000,12,FALSE),"")</f>
        <v/>
      </c>
      <c r="AB334" s="92">
        <f>IFERROR(VLOOKUP($A334,'13. Mapa Títulos-Receita'!$A$8:$P$1000,13,FALSE),"")</f>
        <v/>
      </c>
      <c r="AC334" s="92">
        <f>IFERROR(VLOOKUP($A334,'13. Mapa Títulos-Receita'!$A$8:$P$1000,14,FALSE),"")</f>
        <v/>
      </c>
      <c r="AD334" s="92">
        <f>IFERROR(VLOOKUP($A334,'13. Mapa Títulos-Receita'!$A$8:$P$1000,15,FALSE),"")</f>
        <v/>
      </c>
      <c r="AE334" s="92">
        <f>IFERROR(VLOOKUP($A334,'13. Mapa Títulos-Receita'!$A$8:$P$1000,16,FALSE),"")</f>
        <v/>
      </c>
    </row>
    <row r="335">
      <c r="A335" s="28">
        <f>IF(C335="","", "CR-"&amp;TEXT(ROW()-7,"000"))</f>
        <v/>
      </c>
      <c r="B335" s="28" t="n"/>
      <c r="C335" s="28" t="n"/>
      <c r="D335" s="111" t="n"/>
      <c r="E335" s="111" t="n"/>
      <c r="F335" s="111" t="n"/>
      <c r="G335" s="28" t="n"/>
      <c r="H335" s="45" t="n"/>
      <c r="I335" s="45" t="n"/>
      <c r="J335" s="28">
        <f>IF(H335="","",IF(I335&gt;=H335,"Recebido",IF($B$4&gt;E335,"Vencido","Aberto")))</f>
        <v/>
      </c>
      <c r="K335" s="4">
        <f>IF(J335="","",IF(OR(J335="Recebido",F335=""),MAX(0,F335-E335),MAX(0,$B$4-E335)))</f>
        <v/>
      </c>
      <c r="L335" s="4">
        <f>IF(K335="","",IF(K335=0,"Em dia",IF(K335&lt;=30,"1-30 dias",IF(K335&lt;=60,"31-60 dias",IF(K335&lt;=90,"61-90 dias","&gt;90 dias")))))</f>
        <v/>
      </c>
      <c r="M335" s="28" t="n"/>
      <c r="N335" s="104" t="inlineStr"/>
      <c r="O335" s="64" t="n"/>
      <c r="P335" s="64">
        <f>IF(C335="","",IF(ISNUMBER(SEARCH("PCMSO",C335)),"PCMSO",IF(OR(ISNUMBER(SEARCH("E-SOCIAL",C335)),ISNUMBER(SEARCH("PSICOSOCIAL",C335))),"eSocial / Psicossocial",IF(O335="Receita recorrente","Carteira recorrente","Projetos / Laudos / Avulsos"))))</f>
        <v/>
      </c>
      <c r="Q335" s="64">
        <f>IF(P335="","",IF(P335="Carteira recorrente","Operação recorrente",IF(P335="PCMSO","Projetos PCMSO",IF(P335="eSocial / Psicossocial","Projetos eSocial/Psicossocial","Projetos / Laudos / Avulsos"))))</f>
        <v/>
      </c>
      <c r="R335" s="64">
        <f>IF(C335="","",IF(ISNUMBER(SEARCH("PCMSO",C335)),"Título com PCMSO no nome",IF(OR(ISNUMBER(SEARCH("E-SOCIAL",C335)),ISNUMBER(SEARCH("PSICOSOCIAL",C335))),"Título com eSocial/Psicossocial no nome",IF(O335="Receita recorrente","Tipo DRE recorrente","Extra sem palavra-chave específica"))))</f>
        <v/>
      </c>
      <c r="S335" s="92">
        <f>IFERROR(VLOOKUP($A335,'13. Mapa Títulos-Receita'!$A$8:$P$1000,4,FALSE),"")</f>
        <v/>
      </c>
      <c r="T335" s="92">
        <f>IFERROR(VLOOKUP($A335,'13. Mapa Títulos-Receita'!$A$8:$P$1000,5,FALSE),"")</f>
        <v/>
      </c>
      <c r="U335" s="92">
        <f>IFERROR(VLOOKUP($A335,'13. Mapa Títulos-Receita'!$A$8:$P$1000,6,FALSE),"")</f>
        <v/>
      </c>
      <c r="V335" s="92">
        <f>IFERROR(VLOOKUP($A335,'13. Mapa Títulos-Receita'!$A$8:$P$1000,7,FALSE),"")</f>
        <v/>
      </c>
      <c r="W335" s="92">
        <f>IFERROR(VLOOKUP($A335,'13. Mapa Títulos-Receita'!$A$8:$P$1000,8,FALSE),"")</f>
        <v/>
      </c>
      <c r="X335" s="92">
        <f>IFERROR(VLOOKUP($A335,'13. Mapa Títulos-Receita'!$A$8:$P$1000,9,FALSE),"")</f>
        <v/>
      </c>
      <c r="Y335" s="92">
        <f>IFERROR(VLOOKUP($A335,'13. Mapa Títulos-Receita'!$A$8:$P$1000,10,FALSE),"")</f>
        <v/>
      </c>
      <c r="Z335" s="92">
        <f>IFERROR(VLOOKUP($A335,'13. Mapa Títulos-Receita'!$A$8:$P$1000,11,FALSE),"")</f>
        <v/>
      </c>
      <c r="AA335" s="92">
        <f>IFERROR(VLOOKUP($A335,'13. Mapa Títulos-Receita'!$A$8:$P$1000,12,FALSE),"")</f>
        <v/>
      </c>
      <c r="AB335" s="92">
        <f>IFERROR(VLOOKUP($A335,'13. Mapa Títulos-Receita'!$A$8:$P$1000,13,FALSE),"")</f>
        <v/>
      </c>
      <c r="AC335" s="92">
        <f>IFERROR(VLOOKUP($A335,'13. Mapa Títulos-Receita'!$A$8:$P$1000,14,FALSE),"")</f>
        <v/>
      </c>
      <c r="AD335" s="92">
        <f>IFERROR(VLOOKUP($A335,'13. Mapa Títulos-Receita'!$A$8:$P$1000,15,FALSE),"")</f>
        <v/>
      </c>
      <c r="AE335" s="92">
        <f>IFERROR(VLOOKUP($A335,'13. Mapa Títulos-Receita'!$A$8:$P$1000,16,FALSE),"")</f>
        <v/>
      </c>
    </row>
    <row r="336">
      <c r="A336" s="28">
        <f>IF(C336="","", "CR-"&amp;TEXT(ROW()-7,"000"))</f>
        <v/>
      </c>
      <c r="B336" s="28" t="n"/>
      <c r="C336" s="28" t="n"/>
      <c r="D336" s="111" t="n"/>
      <c r="E336" s="111" t="n"/>
      <c r="F336" s="111" t="n"/>
      <c r="G336" s="28" t="n"/>
      <c r="H336" s="45" t="n"/>
      <c r="I336" s="45" t="n"/>
      <c r="J336" s="28">
        <f>IF(H336="","",IF(I336&gt;=H336,"Recebido",IF($B$4&gt;E336,"Vencido","Aberto")))</f>
        <v/>
      </c>
      <c r="K336" s="4">
        <f>IF(J336="","",IF(OR(J336="Recebido",F336=""),MAX(0,F336-E336),MAX(0,$B$4-E336)))</f>
        <v/>
      </c>
      <c r="L336" s="4">
        <f>IF(K336="","",IF(K336=0,"Em dia",IF(K336&lt;=30,"1-30 dias",IF(K336&lt;=60,"31-60 dias",IF(K336&lt;=90,"61-90 dias","&gt;90 dias")))))</f>
        <v/>
      </c>
      <c r="M336" s="28" t="n"/>
      <c r="N336" s="104" t="inlineStr"/>
      <c r="O336" s="64" t="n"/>
      <c r="P336" s="64">
        <f>IF(C336="","",IF(ISNUMBER(SEARCH("PCMSO",C336)),"PCMSO",IF(OR(ISNUMBER(SEARCH("E-SOCIAL",C336)),ISNUMBER(SEARCH("PSICOSOCIAL",C336))),"eSocial / Psicossocial",IF(O336="Receita recorrente","Carteira recorrente","Projetos / Laudos / Avulsos"))))</f>
        <v/>
      </c>
      <c r="Q336" s="64">
        <f>IF(P336="","",IF(P336="Carteira recorrente","Operação recorrente",IF(P336="PCMSO","Projetos PCMSO",IF(P336="eSocial / Psicossocial","Projetos eSocial/Psicossocial","Projetos / Laudos / Avulsos"))))</f>
        <v/>
      </c>
      <c r="R336" s="64">
        <f>IF(C336="","",IF(ISNUMBER(SEARCH("PCMSO",C336)),"Título com PCMSO no nome",IF(OR(ISNUMBER(SEARCH("E-SOCIAL",C336)),ISNUMBER(SEARCH("PSICOSOCIAL",C336))),"Título com eSocial/Psicossocial no nome",IF(O336="Receita recorrente","Tipo DRE recorrente","Extra sem palavra-chave específica"))))</f>
        <v/>
      </c>
      <c r="S336" s="92">
        <f>IFERROR(VLOOKUP($A336,'13. Mapa Títulos-Receita'!$A$8:$P$1000,4,FALSE),"")</f>
        <v/>
      </c>
      <c r="T336" s="92">
        <f>IFERROR(VLOOKUP($A336,'13. Mapa Títulos-Receita'!$A$8:$P$1000,5,FALSE),"")</f>
        <v/>
      </c>
      <c r="U336" s="92">
        <f>IFERROR(VLOOKUP($A336,'13. Mapa Títulos-Receita'!$A$8:$P$1000,6,FALSE),"")</f>
        <v/>
      </c>
      <c r="V336" s="92">
        <f>IFERROR(VLOOKUP($A336,'13. Mapa Títulos-Receita'!$A$8:$P$1000,7,FALSE),"")</f>
        <v/>
      </c>
      <c r="W336" s="92">
        <f>IFERROR(VLOOKUP($A336,'13. Mapa Títulos-Receita'!$A$8:$P$1000,8,FALSE),"")</f>
        <v/>
      </c>
      <c r="X336" s="92">
        <f>IFERROR(VLOOKUP($A336,'13. Mapa Títulos-Receita'!$A$8:$P$1000,9,FALSE),"")</f>
        <v/>
      </c>
      <c r="Y336" s="92">
        <f>IFERROR(VLOOKUP($A336,'13. Mapa Títulos-Receita'!$A$8:$P$1000,10,FALSE),"")</f>
        <v/>
      </c>
      <c r="Z336" s="92">
        <f>IFERROR(VLOOKUP($A336,'13. Mapa Títulos-Receita'!$A$8:$P$1000,11,FALSE),"")</f>
        <v/>
      </c>
      <c r="AA336" s="92">
        <f>IFERROR(VLOOKUP($A336,'13. Mapa Títulos-Receita'!$A$8:$P$1000,12,FALSE),"")</f>
        <v/>
      </c>
      <c r="AB336" s="92">
        <f>IFERROR(VLOOKUP($A336,'13. Mapa Títulos-Receita'!$A$8:$P$1000,13,FALSE),"")</f>
        <v/>
      </c>
      <c r="AC336" s="92">
        <f>IFERROR(VLOOKUP($A336,'13. Mapa Títulos-Receita'!$A$8:$P$1000,14,FALSE),"")</f>
        <v/>
      </c>
      <c r="AD336" s="92">
        <f>IFERROR(VLOOKUP($A336,'13. Mapa Títulos-Receita'!$A$8:$P$1000,15,FALSE),"")</f>
        <v/>
      </c>
      <c r="AE336" s="92">
        <f>IFERROR(VLOOKUP($A336,'13. Mapa Títulos-Receita'!$A$8:$P$1000,16,FALSE),"")</f>
        <v/>
      </c>
    </row>
    <row r="337">
      <c r="A337" s="28">
        <f>IF(C337="","", "CR-"&amp;TEXT(ROW()-7,"000"))</f>
        <v/>
      </c>
      <c r="B337" s="28" t="n"/>
      <c r="C337" s="28" t="n"/>
      <c r="D337" s="111" t="n"/>
      <c r="E337" s="111" t="n"/>
      <c r="F337" s="111" t="n"/>
      <c r="G337" s="28" t="n"/>
      <c r="H337" s="45" t="n"/>
      <c r="I337" s="45" t="n"/>
      <c r="J337" s="28">
        <f>IF(H337="","",IF(I337&gt;=H337,"Recebido",IF($B$4&gt;E337,"Vencido","Aberto")))</f>
        <v/>
      </c>
      <c r="K337" s="4">
        <f>IF(J337="","",IF(OR(J337="Recebido",F337=""),MAX(0,F337-E337),MAX(0,$B$4-E337)))</f>
        <v/>
      </c>
      <c r="L337" s="4">
        <f>IF(K337="","",IF(K337=0,"Em dia",IF(K337&lt;=30,"1-30 dias",IF(K337&lt;=60,"31-60 dias",IF(K337&lt;=90,"61-90 dias","&gt;90 dias")))))</f>
        <v/>
      </c>
      <c r="M337" s="28" t="n"/>
      <c r="N337" s="104" t="inlineStr"/>
      <c r="O337" s="64" t="n"/>
      <c r="P337" s="64">
        <f>IF(C337="","",IF(ISNUMBER(SEARCH("PCMSO",C337)),"PCMSO",IF(OR(ISNUMBER(SEARCH("E-SOCIAL",C337)),ISNUMBER(SEARCH("PSICOSOCIAL",C337))),"eSocial / Psicossocial",IF(O337="Receita recorrente","Carteira recorrente","Projetos / Laudos / Avulsos"))))</f>
        <v/>
      </c>
      <c r="Q337" s="64">
        <f>IF(P337="","",IF(P337="Carteira recorrente","Operação recorrente",IF(P337="PCMSO","Projetos PCMSO",IF(P337="eSocial / Psicossocial","Projetos eSocial/Psicossocial","Projetos / Laudos / Avulsos"))))</f>
        <v/>
      </c>
      <c r="R337" s="64">
        <f>IF(C337="","",IF(ISNUMBER(SEARCH("PCMSO",C337)),"Título com PCMSO no nome",IF(OR(ISNUMBER(SEARCH("E-SOCIAL",C337)),ISNUMBER(SEARCH("PSICOSOCIAL",C337))),"Título com eSocial/Psicossocial no nome",IF(O337="Receita recorrente","Tipo DRE recorrente","Extra sem palavra-chave específica"))))</f>
        <v/>
      </c>
      <c r="S337" s="92">
        <f>IFERROR(VLOOKUP($A337,'13. Mapa Títulos-Receita'!$A$8:$P$1000,4,FALSE),"")</f>
        <v/>
      </c>
      <c r="T337" s="92">
        <f>IFERROR(VLOOKUP($A337,'13. Mapa Títulos-Receita'!$A$8:$P$1000,5,FALSE),"")</f>
        <v/>
      </c>
      <c r="U337" s="92">
        <f>IFERROR(VLOOKUP($A337,'13. Mapa Títulos-Receita'!$A$8:$P$1000,6,FALSE),"")</f>
        <v/>
      </c>
      <c r="V337" s="92">
        <f>IFERROR(VLOOKUP($A337,'13. Mapa Títulos-Receita'!$A$8:$P$1000,7,FALSE),"")</f>
        <v/>
      </c>
      <c r="W337" s="92">
        <f>IFERROR(VLOOKUP($A337,'13. Mapa Títulos-Receita'!$A$8:$P$1000,8,FALSE),"")</f>
        <v/>
      </c>
      <c r="X337" s="92">
        <f>IFERROR(VLOOKUP($A337,'13. Mapa Títulos-Receita'!$A$8:$P$1000,9,FALSE),"")</f>
        <v/>
      </c>
      <c r="Y337" s="92">
        <f>IFERROR(VLOOKUP($A337,'13. Mapa Títulos-Receita'!$A$8:$P$1000,10,FALSE),"")</f>
        <v/>
      </c>
      <c r="Z337" s="92">
        <f>IFERROR(VLOOKUP($A337,'13. Mapa Títulos-Receita'!$A$8:$P$1000,11,FALSE),"")</f>
        <v/>
      </c>
      <c r="AA337" s="92">
        <f>IFERROR(VLOOKUP($A337,'13. Mapa Títulos-Receita'!$A$8:$P$1000,12,FALSE),"")</f>
        <v/>
      </c>
      <c r="AB337" s="92">
        <f>IFERROR(VLOOKUP($A337,'13. Mapa Títulos-Receita'!$A$8:$P$1000,13,FALSE),"")</f>
        <v/>
      </c>
      <c r="AC337" s="92">
        <f>IFERROR(VLOOKUP($A337,'13. Mapa Títulos-Receita'!$A$8:$P$1000,14,FALSE),"")</f>
        <v/>
      </c>
      <c r="AD337" s="92">
        <f>IFERROR(VLOOKUP($A337,'13. Mapa Títulos-Receita'!$A$8:$P$1000,15,FALSE),"")</f>
        <v/>
      </c>
      <c r="AE337" s="92">
        <f>IFERROR(VLOOKUP($A337,'13. Mapa Títulos-Receita'!$A$8:$P$1000,16,FALSE),"")</f>
        <v/>
      </c>
    </row>
    <row r="338">
      <c r="A338" s="28">
        <f>IF(C338="","", "CR-"&amp;TEXT(ROW()-7,"000"))</f>
        <v/>
      </c>
      <c r="B338" s="28" t="n"/>
      <c r="C338" s="28" t="n"/>
      <c r="D338" s="111" t="n"/>
      <c r="E338" s="111" t="n"/>
      <c r="F338" s="111" t="n"/>
      <c r="G338" s="28" t="n"/>
      <c r="H338" s="45" t="n"/>
      <c r="I338" s="45" t="n"/>
      <c r="J338" s="28">
        <f>IF(H338="","",IF(I338&gt;=H338,"Recebido",IF($B$4&gt;E338,"Vencido","Aberto")))</f>
        <v/>
      </c>
      <c r="K338" s="4">
        <f>IF(J338="","",IF(OR(J338="Recebido",F338=""),MAX(0,F338-E338),MAX(0,$B$4-E338)))</f>
        <v/>
      </c>
      <c r="L338" s="4">
        <f>IF(K338="","",IF(K338=0,"Em dia",IF(K338&lt;=30,"1-30 dias",IF(K338&lt;=60,"31-60 dias",IF(K338&lt;=90,"61-90 dias","&gt;90 dias")))))</f>
        <v/>
      </c>
      <c r="M338" s="28" t="n"/>
      <c r="N338" s="104" t="inlineStr"/>
      <c r="O338" s="64" t="n"/>
      <c r="P338" s="64">
        <f>IF(C338="","",IF(ISNUMBER(SEARCH("PCMSO",C338)),"PCMSO",IF(OR(ISNUMBER(SEARCH("E-SOCIAL",C338)),ISNUMBER(SEARCH("PSICOSOCIAL",C338))),"eSocial / Psicossocial",IF(O338="Receita recorrente","Carteira recorrente","Projetos / Laudos / Avulsos"))))</f>
        <v/>
      </c>
      <c r="Q338" s="64">
        <f>IF(P338="","",IF(P338="Carteira recorrente","Operação recorrente",IF(P338="PCMSO","Projetos PCMSO",IF(P338="eSocial / Psicossocial","Projetos eSocial/Psicossocial","Projetos / Laudos / Avulsos"))))</f>
        <v/>
      </c>
      <c r="R338" s="64">
        <f>IF(C338="","",IF(ISNUMBER(SEARCH("PCMSO",C338)),"Título com PCMSO no nome",IF(OR(ISNUMBER(SEARCH("E-SOCIAL",C338)),ISNUMBER(SEARCH("PSICOSOCIAL",C338))),"Título com eSocial/Psicossocial no nome",IF(O338="Receita recorrente","Tipo DRE recorrente","Extra sem palavra-chave específica"))))</f>
        <v/>
      </c>
      <c r="S338" s="92">
        <f>IFERROR(VLOOKUP($A338,'13. Mapa Títulos-Receita'!$A$8:$P$1000,4,FALSE),"")</f>
        <v/>
      </c>
      <c r="T338" s="92">
        <f>IFERROR(VLOOKUP($A338,'13. Mapa Títulos-Receita'!$A$8:$P$1000,5,FALSE),"")</f>
        <v/>
      </c>
      <c r="U338" s="92">
        <f>IFERROR(VLOOKUP($A338,'13. Mapa Títulos-Receita'!$A$8:$P$1000,6,FALSE),"")</f>
        <v/>
      </c>
      <c r="V338" s="92">
        <f>IFERROR(VLOOKUP($A338,'13. Mapa Títulos-Receita'!$A$8:$P$1000,7,FALSE),"")</f>
        <v/>
      </c>
      <c r="W338" s="92">
        <f>IFERROR(VLOOKUP($A338,'13. Mapa Títulos-Receita'!$A$8:$P$1000,8,FALSE),"")</f>
        <v/>
      </c>
      <c r="X338" s="92">
        <f>IFERROR(VLOOKUP($A338,'13. Mapa Títulos-Receita'!$A$8:$P$1000,9,FALSE),"")</f>
        <v/>
      </c>
      <c r="Y338" s="92">
        <f>IFERROR(VLOOKUP($A338,'13. Mapa Títulos-Receita'!$A$8:$P$1000,10,FALSE),"")</f>
        <v/>
      </c>
      <c r="Z338" s="92">
        <f>IFERROR(VLOOKUP($A338,'13. Mapa Títulos-Receita'!$A$8:$P$1000,11,FALSE),"")</f>
        <v/>
      </c>
      <c r="AA338" s="92">
        <f>IFERROR(VLOOKUP($A338,'13. Mapa Títulos-Receita'!$A$8:$P$1000,12,FALSE),"")</f>
        <v/>
      </c>
      <c r="AB338" s="92">
        <f>IFERROR(VLOOKUP($A338,'13. Mapa Títulos-Receita'!$A$8:$P$1000,13,FALSE),"")</f>
        <v/>
      </c>
      <c r="AC338" s="92">
        <f>IFERROR(VLOOKUP($A338,'13. Mapa Títulos-Receita'!$A$8:$P$1000,14,FALSE),"")</f>
        <v/>
      </c>
      <c r="AD338" s="92">
        <f>IFERROR(VLOOKUP($A338,'13. Mapa Títulos-Receita'!$A$8:$P$1000,15,FALSE),"")</f>
        <v/>
      </c>
      <c r="AE338" s="92">
        <f>IFERROR(VLOOKUP($A338,'13. Mapa Títulos-Receita'!$A$8:$P$1000,16,FALSE),"")</f>
        <v/>
      </c>
    </row>
    <row r="339">
      <c r="A339" s="28">
        <f>IF(C339="","", "CR-"&amp;TEXT(ROW()-7,"000"))</f>
        <v/>
      </c>
      <c r="B339" s="28" t="n"/>
      <c r="C339" s="28" t="n"/>
      <c r="D339" s="111" t="n"/>
      <c r="E339" s="111" t="n"/>
      <c r="F339" s="111" t="n"/>
      <c r="G339" s="28" t="n"/>
      <c r="H339" s="45" t="n"/>
      <c r="I339" s="45" t="n"/>
      <c r="J339" s="28">
        <f>IF(H339="","",IF(I339&gt;=H339,"Recebido",IF($B$4&gt;E339,"Vencido","Aberto")))</f>
        <v/>
      </c>
      <c r="K339" s="4">
        <f>IF(J339="","",IF(OR(J339="Recebido",F339=""),MAX(0,F339-E339),MAX(0,$B$4-E339)))</f>
        <v/>
      </c>
      <c r="L339" s="4">
        <f>IF(K339="","",IF(K339=0,"Em dia",IF(K339&lt;=30,"1-30 dias",IF(K339&lt;=60,"31-60 dias",IF(K339&lt;=90,"61-90 dias","&gt;90 dias")))))</f>
        <v/>
      </c>
      <c r="M339" s="28" t="n"/>
      <c r="N339" s="104" t="inlineStr"/>
      <c r="O339" s="64" t="n"/>
      <c r="P339" s="64">
        <f>IF(C339="","",IF(ISNUMBER(SEARCH("PCMSO",C339)),"PCMSO",IF(OR(ISNUMBER(SEARCH("E-SOCIAL",C339)),ISNUMBER(SEARCH("PSICOSOCIAL",C339))),"eSocial / Psicossocial",IF(O339="Receita recorrente","Carteira recorrente","Projetos / Laudos / Avulsos"))))</f>
        <v/>
      </c>
      <c r="Q339" s="64">
        <f>IF(P339="","",IF(P339="Carteira recorrente","Operação recorrente",IF(P339="PCMSO","Projetos PCMSO",IF(P339="eSocial / Psicossocial","Projetos eSocial/Psicossocial","Projetos / Laudos / Avulsos"))))</f>
        <v/>
      </c>
      <c r="R339" s="64">
        <f>IF(C339="","",IF(ISNUMBER(SEARCH("PCMSO",C339)),"Título com PCMSO no nome",IF(OR(ISNUMBER(SEARCH("E-SOCIAL",C339)),ISNUMBER(SEARCH("PSICOSOCIAL",C339))),"Título com eSocial/Psicossocial no nome",IF(O339="Receita recorrente","Tipo DRE recorrente","Extra sem palavra-chave específica"))))</f>
        <v/>
      </c>
      <c r="S339" s="92">
        <f>IFERROR(VLOOKUP($A339,'13. Mapa Títulos-Receita'!$A$8:$P$1000,4,FALSE),"")</f>
        <v/>
      </c>
      <c r="T339" s="92">
        <f>IFERROR(VLOOKUP($A339,'13. Mapa Títulos-Receita'!$A$8:$P$1000,5,FALSE),"")</f>
        <v/>
      </c>
      <c r="U339" s="92">
        <f>IFERROR(VLOOKUP($A339,'13. Mapa Títulos-Receita'!$A$8:$P$1000,6,FALSE),"")</f>
        <v/>
      </c>
      <c r="V339" s="92">
        <f>IFERROR(VLOOKUP($A339,'13. Mapa Títulos-Receita'!$A$8:$P$1000,7,FALSE),"")</f>
        <v/>
      </c>
      <c r="W339" s="92">
        <f>IFERROR(VLOOKUP($A339,'13. Mapa Títulos-Receita'!$A$8:$P$1000,8,FALSE),"")</f>
        <v/>
      </c>
      <c r="X339" s="92">
        <f>IFERROR(VLOOKUP($A339,'13. Mapa Títulos-Receita'!$A$8:$P$1000,9,FALSE),"")</f>
        <v/>
      </c>
      <c r="Y339" s="92">
        <f>IFERROR(VLOOKUP($A339,'13. Mapa Títulos-Receita'!$A$8:$P$1000,10,FALSE),"")</f>
        <v/>
      </c>
      <c r="Z339" s="92">
        <f>IFERROR(VLOOKUP($A339,'13. Mapa Títulos-Receita'!$A$8:$P$1000,11,FALSE),"")</f>
        <v/>
      </c>
      <c r="AA339" s="92">
        <f>IFERROR(VLOOKUP($A339,'13. Mapa Títulos-Receita'!$A$8:$P$1000,12,FALSE),"")</f>
        <v/>
      </c>
      <c r="AB339" s="92">
        <f>IFERROR(VLOOKUP($A339,'13. Mapa Títulos-Receita'!$A$8:$P$1000,13,FALSE),"")</f>
        <v/>
      </c>
      <c r="AC339" s="92">
        <f>IFERROR(VLOOKUP($A339,'13. Mapa Títulos-Receita'!$A$8:$P$1000,14,FALSE),"")</f>
        <v/>
      </c>
      <c r="AD339" s="92">
        <f>IFERROR(VLOOKUP($A339,'13. Mapa Títulos-Receita'!$A$8:$P$1000,15,FALSE),"")</f>
        <v/>
      </c>
      <c r="AE339" s="92">
        <f>IFERROR(VLOOKUP($A339,'13. Mapa Títulos-Receita'!$A$8:$P$1000,16,FALSE),"")</f>
        <v/>
      </c>
    </row>
    <row r="340">
      <c r="A340" s="28">
        <f>IF(C340="","", "CR-"&amp;TEXT(ROW()-7,"000"))</f>
        <v/>
      </c>
      <c r="B340" s="28" t="n"/>
      <c r="C340" s="28" t="n"/>
      <c r="D340" s="111" t="n"/>
      <c r="E340" s="111" t="n"/>
      <c r="F340" s="111" t="n"/>
      <c r="G340" s="28" t="n"/>
      <c r="H340" s="45" t="n"/>
      <c r="I340" s="45" t="n"/>
      <c r="J340" s="28">
        <f>IF(H340="","",IF(I340&gt;=H340,"Recebido",IF($B$4&gt;E340,"Vencido","Aberto")))</f>
        <v/>
      </c>
      <c r="K340" s="4">
        <f>IF(J340="","",IF(OR(J340="Recebido",F340=""),MAX(0,F340-E340),MAX(0,$B$4-E340)))</f>
        <v/>
      </c>
      <c r="L340" s="4">
        <f>IF(K340="","",IF(K340=0,"Em dia",IF(K340&lt;=30,"1-30 dias",IF(K340&lt;=60,"31-60 dias",IF(K340&lt;=90,"61-90 dias","&gt;90 dias")))))</f>
        <v/>
      </c>
      <c r="M340" s="28" t="n"/>
      <c r="N340" s="104" t="inlineStr"/>
      <c r="O340" s="64" t="n"/>
      <c r="P340" s="64">
        <f>IF(C340="","",IF(ISNUMBER(SEARCH("PCMSO",C340)),"PCMSO",IF(OR(ISNUMBER(SEARCH("E-SOCIAL",C340)),ISNUMBER(SEARCH("PSICOSOCIAL",C340))),"eSocial / Psicossocial",IF(O340="Receita recorrente","Carteira recorrente","Projetos / Laudos / Avulsos"))))</f>
        <v/>
      </c>
      <c r="Q340" s="64">
        <f>IF(P340="","",IF(P340="Carteira recorrente","Operação recorrente",IF(P340="PCMSO","Projetos PCMSO",IF(P340="eSocial / Psicossocial","Projetos eSocial/Psicossocial","Projetos / Laudos / Avulsos"))))</f>
        <v/>
      </c>
      <c r="R340" s="64">
        <f>IF(C340="","",IF(ISNUMBER(SEARCH("PCMSO",C340)),"Título com PCMSO no nome",IF(OR(ISNUMBER(SEARCH("E-SOCIAL",C340)),ISNUMBER(SEARCH("PSICOSOCIAL",C340))),"Título com eSocial/Psicossocial no nome",IF(O340="Receita recorrente","Tipo DRE recorrente","Extra sem palavra-chave específica"))))</f>
        <v/>
      </c>
      <c r="S340" s="92">
        <f>IFERROR(VLOOKUP($A340,'13. Mapa Títulos-Receita'!$A$8:$P$1000,4,FALSE),"")</f>
        <v/>
      </c>
      <c r="T340" s="92">
        <f>IFERROR(VLOOKUP($A340,'13. Mapa Títulos-Receita'!$A$8:$P$1000,5,FALSE),"")</f>
        <v/>
      </c>
      <c r="U340" s="92">
        <f>IFERROR(VLOOKUP($A340,'13. Mapa Títulos-Receita'!$A$8:$P$1000,6,FALSE),"")</f>
        <v/>
      </c>
      <c r="V340" s="92">
        <f>IFERROR(VLOOKUP($A340,'13. Mapa Títulos-Receita'!$A$8:$P$1000,7,FALSE),"")</f>
        <v/>
      </c>
      <c r="W340" s="92">
        <f>IFERROR(VLOOKUP($A340,'13. Mapa Títulos-Receita'!$A$8:$P$1000,8,FALSE),"")</f>
        <v/>
      </c>
      <c r="X340" s="92">
        <f>IFERROR(VLOOKUP($A340,'13. Mapa Títulos-Receita'!$A$8:$P$1000,9,FALSE),"")</f>
        <v/>
      </c>
      <c r="Y340" s="92">
        <f>IFERROR(VLOOKUP($A340,'13. Mapa Títulos-Receita'!$A$8:$P$1000,10,FALSE),"")</f>
        <v/>
      </c>
      <c r="Z340" s="92">
        <f>IFERROR(VLOOKUP($A340,'13. Mapa Títulos-Receita'!$A$8:$P$1000,11,FALSE),"")</f>
        <v/>
      </c>
      <c r="AA340" s="92">
        <f>IFERROR(VLOOKUP($A340,'13. Mapa Títulos-Receita'!$A$8:$P$1000,12,FALSE),"")</f>
        <v/>
      </c>
      <c r="AB340" s="92">
        <f>IFERROR(VLOOKUP($A340,'13. Mapa Títulos-Receita'!$A$8:$P$1000,13,FALSE),"")</f>
        <v/>
      </c>
      <c r="AC340" s="92">
        <f>IFERROR(VLOOKUP($A340,'13. Mapa Títulos-Receita'!$A$8:$P$1000,14,FALSE),"")</f>
        <v/>
      </c>
      <c r="AD340" s="92">
        <f>IFERROR(VLOOKUP($A340,'13. Mapa Títulos-Receita'!$A$8:$P$1000,15,FALSE),"")</f>
        <v/>
      </c>
      <c r="AE340" s="92">
        <f>IFERROR(VLOOKUP($A340,'13. Mapa Títulos-Receita'!$A$8:$P$1000,16,FALSE),"")</f>
        <v/>
      </c>
    </row>
    <row r="341">
      <c r="A341" s="28">
        <f>IF(C341="","", "CR-"&amp;TEXT(ROW()-7,"000"))</f>
        <v/>
      </c>
      <c r="B341" s="28" t="n"/>
      <c r="C341" s="28" t="n"/>
      <c r="D341" s="111" t="n"/>
      <c r="E341" s="111" t="n"/>
      <c r="F341" s="111" t="n"/>
      <c r="G341" s="28" t="n"/>
      <c r="H341" s="45" t="n"/>
      <c r="I341" s="45" t="n"/>
      <c r="J341" s="28">
        <f>IF(H341="","",IF(I341&gt;=H341,"Recebido",IF($B$4&gt;E341,"Vencido","Aberto")))</f>
        <v/>
      </c>
      <c r="K341" s="4">
        <f>IF(J341="","",IF(OR(J341="Recebido",F341=""),MAX(0,F341-E341),MAX(0,$B$4-E341)))</f>
        <v/>
      </c>
      <c r="L341" s="4">
        <f>IF(K341="","",IF(K341=0,"Em dia",IF(K341&lt;=30,"1-30 dias",IF(K341&lt;=60,"31-60 dias",IF(K341&lt;=90,"61-90 dias","&gt;90 dias")))))</f>
        <v/>
      </c>
      <c r="M341" s="28" t="n"/>
      <c r="N341" s="104" t="inlineStr"/>
      <c r="O341" s="64" t="n"/>
      <c r="P341" s="64">
        <f>IF(C341="","",IF(ISNUMBER(SEARCH("PCMSO",C341)),"PCMSO",IF(OR(ISNUMBER(SEARCH("E-SOCIAL",C341)),ISNUMBER(SEARCH("PSICOSOCIAL",C341))),"eSocial / Psicossocial",IF(O341="Receita recorrente","Carteira recorrente","Projetos / Laudos / Avulsos"))))</f>
        <v/>
      </c>
      <c r="Q341" s="64">
        <f>IF(P341="","",IF(P341="Carteira recorrente","Operação recorrente",IF(P341="PCMSO","Projetos PCMSO",IF(P341="eSocial / Psicossocial","Projetos eSocial/Psicossocial","Projetos / Laudos / Avulsos"))))</f>
        <v/>
      </c>
      <c r="R341" s="64">
        <f>IF(C341="","",IF(ISNUMBER(SEARCH("PCMSO",C341)),"Título com PCMSO no nome",IF(OR(ISNUMBER(SEARCH("E-SOCIAL",C341)),ISNUMBER(SEARCH("PSICOSOCIAL",C341))),"Título com eSocial/Psicossocial no nome",IF(O341="Receita recorrente","Tipo DRE recorrente","Extra sem palavra-chave específica"))))</f>
        <v/>
      </c>
      <c r="S341" s="92">
        <f>IFERROR(VLOOKUP($A341,'13. Mapa Títulos-Receita'!$A$8:$P$1000,4,FALSE),"")</f>
        <v/>
      </c>
      <c r="T341" s="92">
        <f>IFERROR(VLOOKUP($A341,'13. Mapa Títulos-Receita'!$A$8:$P$1000,5,FALSE),"")</f>
        <v/>
      </c>
      <c r="U341" s="92">
        <f>IFERROR(VLOOKUP($A341,'13. Mapa Títulos-Receita'!$A$8:$P$1000,6,FALSE),"")</f>
        <v/>
      </c>
      <c r="V341" s="92">
        <f>IFERROR(VLOOKUP($A341,'13. Mapa Títulos-Receita'!$A$8:$P$1000,7,FALSE),"")</f>
        <v/>
      </c>
      <c r="W341" s="92">
        <f>IFERROR(VLOOKUP($A341,'13. Mapa Títulos-Receita'!$A$8:$P$1000,8,FALSE),"")</f>
        <v/>
      </c>
      <c r="X341" s="92">
        <f>IFERROR(VLOOKUP($A341,'13. Mapa Títulos-Receita'!$A$8:$P$1000,9,FALSE),"")</f>
        <v/>
      </c>
      <c r="Y341" s="92">
        <f>IFERROR(VLOOKUP($A341,'13. Mapa Títulos-Receita'!$A$8:$P$1000,10,FALSE),"")</f>
        <v/>
      </c>
      <c r="Z341" s="92">
        <f>IFERROR(VLOOKUP($A341,'13. Mapa Títulos-Receita'!$A$8:$P$1000,11,FALSE),"")</f>
        <v/>
      </c>
      <c r="AA341" s="92">
        <f>IFERROR(VLOOKUP($A341,'13. Mapa Títulos-Receita'!$A$8:$P$1000,12,FALSE),"")</f>
        <v/>
      </c>
      <c r="AB341" s="92">
        <f>IFERROR(VLOOKUP($A341,'13. Mapa Títulos-Receita'!$A$8:$P$1000,13,FALSE),"")</f>
        <v/>
      </c>
      <c r="AC341" s="92">
        <f>IFERROR(VLOOKUP($A341,'13. Mapa Títulos-Receita'!$A$8:$P$1000,14,FALSE),"")</f>
        <v/>
      </c>
      <c r="AD341" s="92">
        <f>IFERROR(VLOOKUP($A341,'13. Mapa Títulos-Receita'!$A$8:$P$1000,15,FALSE),"")</f>
        <v/>
      </c>
      <c r="AE341" s="92">
        <f>IFERROR(VLOOKUP($A341,'13. Mapa Títulos-Receita'!$A$8:$P$1000,16,FALSE),"")</f>
        <v/>
      </c>
    </row>
    <row r="342">
      <c r="A342" s="28">
        <f>IF(C342="","", "CR-"&amp;TEXT(ROW()-7,"000"))</f>
        <v/>
      </c>
      <c r="B342" s="28" t="n"/>
      <c r="C342" s="28" t="n"/>
      <c r="D342" s="111" t="n"/>
      <c r="E342" s="111" t="n"/>
      <c r="F342" s="111" t="n"/>
      <c r="G342" s="28" t="n"/>
      <c r="H342" s="45" t="n"/>
      <c r="I342" s="45" t="n"/>
      <c r="J342" s="28">
        <f>IF(H342="","",IF(I342&gt;=H342,"Recebido",IF($B$4&gt;E342,"Vencido","Aberto")))</f>
        <v/>
      </c>
      <c r="K342" s="4">
        <f>IF(J342="","",IF(OR(J342="Recebido",F342=""),MAX(0,F342-E342),MAX(0,$B$4-E342)))</f>
        <v/>
      </c>
      <c r="L342" s="4">
        <f>IF(K342="","",IF(K342=0,"Em dia",IF(K342&lt;=30,"1-30 dias",IF(K342&lt;=60,"31-60 dias",IF(K342&lt;=90,"61-90 dias","&gt;90 dias")))))</f>
        <v/>
      </c>
      <c r="M342" s="28" t="n"/>
      <c r="N342" s="104" t="inlineStr"/>
      <c r="O342" s="64" t="n"/>
      <c r="P342" s="64">
        <f>IF(C342="","",IF(ISNUMBER(SEARCH("PCMSO",C342)),"PCMSO",IF(OR(ISNUMBER(SEARCH("E-SOCIAL",C342)),ISNUMBER(SEARCH("PSICOSOCIAL",C342))),"eSocial / Psicossocial",IF(O342="Receita recorrente","Carteira recorrente","Projetos / Laudos / Avulsos"))))</f>
        <v/>
      </c>
      <c r="Q342" s="64">
        <f>IF(P342="","",IF(P342="Carteira recorrente","Operação recorrente",IF(P342="PCMSO","Projetos PCMSO",IF(P342="eSocial / Psicossocial","Projetos eSocial/Psicossocial","Projetos / Laudos / Avulsos"))))</f>
        <v/>
      </c>
      <c r="R342" s="64">
        <f>IF(C342="","",IF(ISNUMBER(SEARCH("PCMSO",C342)),"Título com PCMSO no nome",IF(OR(ISNUMBER(SEARCH("E-SOCIAL",C342)),ISNUMBER(SEARCH("PSICOSOCIAL",C342))),"Título com eSocial/Psicossocial no nome",IF(O342="Receita recorrente","Tipo DRE recorrente","Extra sem palavra-chave específica"))))</f>
        <v/>
      </c>
      <c r="S342" s="92">
        <f>IFERROR(VLOOKUP($A342,'13. Mapa Títulos-Receita'!$A$8:$P$1000,4,FALSE),"")</f>
        <v/>
      </c>
      <c r="T342" s="92">
        <f>IFERROR(VLOOKUP($A342,'13. Mapa Títulos-Receita'!$A$8:$P$1000,5,FALSE),"")</f>
        <v/>
      </c>
      <c r="U342" s="92">
        <f>IFERROR(VLOOKUP($A342,'13. Mapa Títulos-Receita'!$A$8:$P$1000,6,FALSE),"")</f>
        <v/>
      </c>
      <c r="V342" s="92">
        <f>IFERROR(VLOOKUP($A342,'13. Mapa Títulos-Receita'!$A$8:$P$1000,7,FALSE),"")</f>
        <v/>
      </c>
      <c r="W342" s="92">
        <f>IFERROR(VLOOKUP($A342,'13. Mapa Títulos-Receita'!$A$8:$P$1000,8,FALSE),"")</f>
        <v/>
      </c>
      <c r="X342" s="92">
        <f>IFERROR(VLOOKUP($A342,'13. Mapa Títulos-Receita'!$A$8:$P$1000,9,FALSE),"")</f>
        <v/>
      </c>
      <c r="Y342" s="92">
        <f>IFERROR(VLOOKUP($A342,'13. Mapa Títulos-Receita'!$A$8:$P$1000,10,FALSE),"")</f>
        <v/>
      </c>
      <c r="Z342" s="92">
        <f>IFERROR(VLOOKUP($A342,'13. Mapa Títulos-Receita'!$A$8:$P$1000,11,FALSE),"")</f>
        <v/>
      </c>
      <c r="AA342" s="92">
        <f>IFERROR(VLOOKUP($A342,'13. Mapa Títulos-Receita'!$A$8:$P$1000,12,FALSE),"")</f>
        <v/>
      </c>
      <c r="AB342" s="92">
        <f>IFERROR(VLOOKUP($A342,'13. Mapa Títulos-Receita'!$A$8:$P$1000,13,FALSE),"")</f>
        <v/>
      </c>
      <c r="AC342" s="92">
        <f>IFERROR(VLOOKUP($A342,'13. Mapa Títulos-Receita'!$A$8:$P$1000,14,FALSE),"")</f>
        <v/>
      </c>
      <c r="AD342" s="92">
        <f>IFERROR(VLOOKUP($A342,'13. Mapa Títulos-Receita'!$A$8:$P$1000,15,FALSE),"")</f>
        <v/>
      </c>
      <c r="AE342" s="92">
        <f>IFERROR(VLOOKUP($A342,'13. Mapa Títulos-Receita'!$A$8:$P$1000,16,FALSE),"")</f>
        <v/>
      </c>
    </row>
    <row r="343">
      <c r="A343" s="28">
        <f>IF(C343="","", "CR-"&amp;TEXT(ROW()-7,"000"))</f>
        <v/>
      </c>
      <c r="B343" s="28" t="n"/>
      <c r="C343" s="28" t="n"/>
      <c r="D343" s="111" t="n"/>
      <c r="E343" s="111" t="n"/>
      <c r="F343" s="111" t="n"/>
      <c r="G343" s="28" t="n"/>
      <c r="H343" s="45" t="n"/>
      <c r="I343" s="45" t="n"/>
      <c r="J343" s="28">
        <f>IF(H343="","",IF(I343&gt;=H343,"Recebido",IF($B$4&gt;E343,"Vencido","Aberto")))</f>
        <v/>
      </c>
      <c r="K343" s="4">
        <f>IF(J343="","",IF(OR(J343="Recebido",F343=""),MAX(0,F343-E343),MAX(0,$B$4-E343)))</f>
        <v/>
      </c>
      <c r="L343" s="4">
        <f>IF(K343="","",IF(K343=0,"Em dia",IF(K343&lt;=30,"1-30 dias",IF(K343&lt;=60,"31-60 dias",IF(K343&lt;=90,"61-90 dias","&gt;90 dias")))))</f>
        <v/>
      </c>
      <c r="M343" s="28" t="n"/>
      <c r="N343" s="104" t="inlineStr"/>
      <c r="O343" s="64" t="n"/>
      <c r="P343" s="64">
        <f>IF(C343="","",IF(ISNUMBER(SEARCH("PCMSO",C343)),"PCMSO",IF(OR(ISNUMBER(SEARCH("E-SOCIAL",C343)),ISNUMBER(SEARCH("PSICOSOCIAL",C343))),"eSocial / Psicossocial",IF(O343="Receita recorrente","Carteira recorrente","Projetos / Laudos / Avulsos"))))</f>
        <v/>
      </c>
      <c r="Q343" s="64">
        <f>IF(P343="","",IF(P343="Carteira recorrente","Operação recorrente",IF(P343="PCMSO","Projetos PCMSO",IF(P343="eSocial / Psicossocial","Projetos eSocial/Psicossocial","Projetos / Laudos / Avulsos"))))</f>
        <v/>
      </c>
      <c r="R343" s="64">
        <f>IF(C343="","",IF(ISNUMBER(SEARCH("PCMSO",C343)),"Título com PCMSO no nome",IF(OR(ISNUMBER(SEARCH("E-SOCIAL",C343)),ISNUMBER(SEARCH("PSICOSOCIAL",C343))),"Título com eSocial/Psicossocial no nome",IF(O343="Receita recorrente","Tipo DRE recorrente","Extra sem palavra-chave específica"))))</f>
        <v/>
      </c>
      <c r="S343" s="92">
        <f>IFERROR(VLOOKUP($A343,'13. Mapa Títulos-Receita'!$A$8:$P$1000,4,FALSE),"")</f>
        <v/>
      </c>
      <c r="T343" s="92">
        <f>IFERROR(VLOOKUP($A343,'13. Mapa Títulos-Receita'!$A$8:$P$1000,5,FALSE),"")</f>
        <v/>
      </c>
      <c r="U343" s="92">
        <f>IFERROR(VLOOKUP($A343,'13. Mapa Títulos-Receita'!$A$8:$P$1000,6,FALSE),"")</f>
        <v/>
      </c>
      <c r="V343" s="92">
        <f>IFERROR(VLOOKUP($A343,'13. Mapa Títulos-Receita'!$A$8:$P$1000,7,FALSE),"")</f>
        <v/>
      </c>
      <c r="W343" s="92">
        <f>IFERROR(VLOOKUP($A343,'13. Mapa Títulos-Receita'!$A$8:$P$1000,8,FALSE),"")</f>
        <v/>
      </c>
      <c r="X343" s="92">
        <f>IFERROR(VLOOKUP($A343,'13. Mapa Títulos-Receita'!$A$8:$P$1000,9,FALSE),"")</f>
        <v/>
      </c>
      <c r="Y343" s="92">
        <f>IFERROR(VLOOKUP($A343,'13. Mapa Títulos-Receita'!$A$8:$P$1000,10,FALSE),"")</f>
        <v/>
      </c>
      <c r="Z343" s="92">
        <f>IFERROR(VLOOKUP($A343,'13. Mapa Títulos-Receita'!$A$8:$P$1000,11,FALSE),"")</f>
        <v/>
      </c>
      <c r="AA343" s="92">
        <f>IFERROR(VLOOKUP($A343,'13. Mapa Títulos-Receita'!$A$8:$P$1000,12,FALSE),"")</f>
        <v/>
      </c>
      <c r="AB343" s="92">
        <f>IFERROR(VLOOKUP($A343,'13. Mapa Títulos-Receita'!$A$8:$P$1000,13,FALSE),"")</f>
        <v/>
      </c>
      <c r="AC343" s="92">
        <f>IFERROR(VLOOKUP($A343,'13. Mapa Títulos-Receita'!$A$8:$P$1000,14,FALSE),"")</f>
        <v/>
      </c>
      <c r="AD343" s="92">
        <f>IFERROR(VLOOKUP($A343,'13. Mapa Títulos-Receita'!$A$8:$P$1000,15,FALSE),"")</f>
        <v/>
      </c>
      <c r="AE343" s="92">
        <f>IFERROR(VLOOKUP($A343,'13. Mapa Títulos-Receita'!$A$8:$P$1000,16,FALSE),"")</f>
        <v/>
      </c>
    </row>
    <row r="344">
      <c r="A344" s="28">
        <f>IF(C344="","", "CR-"&amp;TEXT(ROW()-7,"000"))</f>
        <v/>
      </c>
      <c r="B344" s="28" t="n"/>
      <c r="C344" s="28" t="n"/>
      <c r="D344" s="111" t="n"/>
      <c r="E344" s="111" t="n"/>
      <c r="F344" s="111" t="n"/>
      <c r="G344" s="28" t="n"/>
      <c r="H344" s="45" t="n"/>
      <c r="I344" s="45" t="n"/>
      <c r="J344" s="28">
        <f>IF(H344="","",IF(I344&gt;=H344,"Recebido",IF($B$4&gt;E344,"Vencido","Aberto")))</f>
        <v/>
      </c>
      <c r="K344" s="4">
        <f>IF(J344="","",IF(OR(J344="Recebido",F344=""),MAX(0,F344-E344),MAX(0,$B$4-E344)))</f>
        <v/>
      </c>
      <c r="L344" s="4">
        <f>IF(K344="","",IF(K344=0,"Em dia",IF(K344&lt;=30,"1-30 dias",IF(K344&lt;=60,"31-60 dias",IF(K344&lt;=90,"61-90 dias","&gt;90 dias")))))</f>
        <v/>
      </c>
      <c r="M344" s="28" t="n"/>
      <c r="N344" s="104" t="inlineStr"/>
      <c r="O344" s="64" t="n"/>
      <c r="P344" s="64">
        <f>IF(C344="","",IF(ISNUMBER(SEARCH("PCMSO",C344)),"PCMSO",IF(OR(ISNUMBER(SEARCH("E-SOCIAL",C344)),ISNUMBER(SEARCH("PSICOSOCIAL",C344))),"eSocial / Psicossocial",IF(O344="Receita recorrente","Carteira recorrente","Projetos / Laudos / Avulsos"))))</f>
        <v/>
      </c>
      <c r="Q344" s="64">
        <f>IF(P344="","",IF(P344="Carteira recorrente","Operação recorrente",IF(P344="PCMSO","Projetos PCMSO",IF(P344="eSocial / Psicossocial","Projetos eSocial/Psicossocial","Projetos / Laudos / Avulsos"))))</f>
        <v/>
      </c>
      <c r="R344" s="64">
        <f>IF(C344="","",IF(ISNUMBER(SEARCH("PCMSO",C344)),"Título com PCMSO no nome",IF(OR(ISNUMBER(SEARCH("E-SOCIAL",C344)),ISNUMBER(SEARCH("PSICOSOCIAL",C344))),"Título com eSocial/Psicossocial no nome",IF(O344="Receita recorrente","Tipo DRE recorrente","Extra sem palavra-chave específica"))))</f>
        <v/>
      </c>
      <c r="S344" s="92">
        <f>IFERROR(VLOOKUP($A344,'13. Mapa Títulos-Receita'!$A$8:$P$1000,4,FALSE),"")</f>
        <v/>
      </c>
      <c r="T344" s="92">
        <f>IFERROR(VLOOKUP($A344,'13. Mapa Títulos-Receita'!$A$8:$P$1000,5,FALSE),"")</f>
        <v/>
      </c>
      <c r="U344" s="92">
        <f>IFERROR(VLOOKUP($A344,'13. Mapa Títulos-Receita'!$A$8:$P$1000,6,FALSE),"")</f>
        <v/>
      </c>
      <c r="V344" s="92">
        <f>IFERROR(VLOOKUP($A344,'13. Mapa Títulos-Receita'!$A$8:$P$1000,7,FALSE),"")</f>
        <v/>
      </c>
      <c r="W344" s="92">
        <f>IFERROR(VLOOKUP($A344,'13. Mapa Títulos-Receita'!$A$8:$P$1000,8,FALSE),"")</f>
        <v/>
      </c>
      <c r="X344" s="92">
        <f>IFERROR(VLOOKUP($A344,'13. Mapa Títulos-Receita'!$A$8:$P$1000,9,FALSE),"")</f>
        <v/>
      </c>
      <c r="Y344" s="92">
        <f>IFERROR(VLOOKUP($A344,'13. Mapa Títulos-Receita'!$A$8:$P$1000,10,FALSE),"")</f>
        <v/>
      </c>
      <c r="Z344" s="92">
        <f>IFERROR(VLOOKUP($A344,'13. Mapa Títulos-Receita'!$A$8:$P$1000,11,FALSE),"")</f>
        <v/>
      </c>
      <c r="AA344" s="92">
        <f>IFERROR(VLOOKUP($A344,'13. Mapa Títulos-Receita'!$A$8:$P$1000,12,FALSE),"")</f>
        <v/>
      </c>
      <c r="AB344" s="92">
        <f>IFERROR(VLOOKUP($A344,'13. Mapa Títulos-Receita'!$A$8:$P$1000,13,FALSE),"")</f>
        <v/>
      </c>
      <c r="AC344" s="92">
        <f>IFERROR(VLOOKUP($A344,'13. Mapa Títulos-Receita'!$A$8:$P$1000,14,FALSE),"")</f>
        <v/>
      </c>
      <c r="AD344" s="92">
        <f>IFERROR(VLOOKUP($A344,'13. Mapa Títulos-Receita'!$A$8:$P$1000,15,FALSE),"")</f>
        <v/>
      </c>
      <c r="AE344" s="92">
        <f>IFERROR(VLOOKUP($A344,'13. Mapa Títulos-Receita'!$A$8:$P$1000,16,FALSE),"")</f>
        <v/>
      </c>
    </row>
    <row r="345">
      <c r="A345" s="28">
        <f>IF(C345="","", "CR-"&amp;TEXT(ROW()-7,"000"))</f>
        <v/>
      </c>
      <c r="B345" s="28" t="n"/>
      <c r="C345" s="28" t="n"/>
      <c r="D345" s="111" t="n"/>
      <c r="E345" s="111" t="n"/>
      <c r="F345" s="111" t="n"/>
      <c r="G345" s="28" t="n"/>
      <c r="H345" s="45" t="n"/>
      <c r="I345" s="45" t="n"/>
      <c r="J345" s="28">
        <f>IF(H345="","",IF(I345&gt;=H345,"Recebido",IF($B$4&gt;E345,"Vencido","Aberto")))</f>
        <v/>
      </c>
      <c r="K345" s="4">
        <f>IF(J345="","",IF(OR(J345="Recebido",F345=""),MAX(0,F345-E345),MAX(0,$B$4-E345)))</f>
        <v/>
      </c>
      <c r="L345" s="4">
        <f>IF(K345="","",IF(K345=0,"Em dia",IF(K345&lt;=30,"1-30 dias",IF(K345&lt;=60,"31-60 dias",IF(K345&lt;=90,"61-90 dias","&gt;90 dias")))))</f>
        <v/>
      </c>
      <c r="M345" s="28" t="n"/>
      <c r="N345" s="104" t="inlineStr"/>
      <c r="O345" s="64" t="n"/>
      <c r="P345" s="64">
        <f>IF(C345="","",IF(ISNUMBER(SEARCH("PCMSO",C345)),"PCMSO",IF(OR(ISNUMBER(SEARCH("E-SOCIAL",C345)),ISNUMBER(SEARCH("PSICOSOCIAL",C345))),"eSocial / Psicossocial",IF(O345="Receita recorrente","Carteira recorrente","Projetos / Laudos / Avulsos"))))</f>
        <v/>
      </c>
      <c r="Q345" s="64">
        <f>IF(P345="","",IF(P345="Carteira recorrente","Operação recorrente",IF(P345="PCMSO","Projetos PCMSO",IF(P345="eSocial / Psicossocial","Projetos eSocial/Psicossocial","Projetos / Laudos / Avulsos"))))</f>
        <v/>
      </c>
      <c r="R345" s="64">
        <f>IF(C345="","",IF(ISNUMBER(SEARCH("PCMSO",C345)),"Título com PCMSO no nome",IF(OR(ISNUMBER(SEARCH("E-SOCIAL",C345)),ISNUMBER(SEARCH("PSICOSOCIAL",C345))),"Título com eSocial/Psicossocial no nome",IF(O345="Receita recorrente","Tipo DRE recorrente","Extra sem palavra-chave específica"))))</f>
        <v/>
      </c>
      <c r="S345" s="92">
        <f>IFERROR(VLOOKUP($A345,'13. Mapa Títulos-Receita'!$A$8:$P$1000,4,FALSE),"")</f>
        <v/>
      </c>
      <c r="T345" s="92">
        <f>IFERROR(VLOOKUP($A345,'13. Mapa Títulos-Receita'!$A$8:$P$1000,5,FALSE),"")</f>
        <v/>
      </c>
      <c r="U345" s="92">
        <f>IFERROR(VLOOKUP($A345,'13. Mapa Títulos-Receita'!$A$8:$P$1000,6,FALSE),"")</f>
        <v/>
      </c>
      <c r="V345" s="92">
        <f>IFERROR(VLOOKUP($A345,'13. Mapa Títulos-Receita'!$A$8:$P$1000,7,FALSE),"")</f>
        <v/>
      </c>
      <c r="W345" s="92">
        <f>IFERROR(VLOOKUP($A345,'13. Mapa Títulos-Receita'!$A$8:$P$1000,8,FALSE),"")</f>
        <v/>
      </c>
      <c r="X345" s="92">
        <f>IFERROR(VLOOKUP($A345,'13. Mapa Títulos-Receita'!$A$8:$P$1000,9,FALSE),"")</f>
        <v/>
      </c>
      <c r="Y345" s="92">
        <f>IFERROR(VLOOKUP($A345,'13. Mapa Títulos-Receita'!$A$8:$P$1000,10,FALSE),"")</f>
        <v/>
      </c>
      <c r="Z345" s="92">
        <f>IFERROR(VLOOKUP($A345,'13. Mapa Títulos-Receita'!$A$8:$P$1000,11,FALSE),"")</f>
        <v/>
      </c>
      <c r="AA345" s="92">
        <f>IFERROR(VLOOKUP($A345,'13. Mapa Títulos-Receita'!$A$8:$P$1000,12,FALSE),"")</f>
        <v/>
      </c>
      <c r="AB345" s="92">
        <f>IFERROR(VLOOKUP($A345,'13. Mapa Títulos-Receita'!$A$8:$P$1000,13,FALSE),"")</f>
        <v/>
      </c>
      <c r="AC345" s="92">
        <f>IFERROR(VLOOKUP($A345,'13. Mapa Títulos-Receita'!$A$8:$P$1000,14,FALSE),"")</f>
        <v/>
      </c>
      <c r="AD345" s="92">
        <f>IFERROR(VLOOKUP($A345,'13. Mapa Títulos-Receita'!$A$8:$P$1000,15,FALSE),"")</f>
        <v/>
      </c>
      <c r="AE345" s="92">
        <f>IFERROR(VLOOKUP($A345,'13. Mapa Títulos-Receita'!$A$8:$P$1000,16,FALSE),"")</f>
        <v/>
      </c>
    </row>
    <row r="346">
      <c r="A346" s="28">
        <f>IF(C346="","", "CR-"&amp;TEXT(ROW()-7,"000"))</f>
        <v/>
      </c>
      <c r="B346" s="28" t="n"/>
      <c r="C346" s="28" t="n"/>
      <c r="D346" s="111" t="n"/>
      <c r="E346" s="111" t="n"/>
      <c r="F346" s="111" t="n"/>
      <c r="G346" s="28" t="n"/>
      <c r="H346" s="45" t="n"/>
      <c r="I346" s="45" t="n"/>
      <c r="J346" s="28">
        <f>IF(H346="","",IF(I346&gt;=H346,"Recebido",IF($B$4&gt;E346,"Vencido","Aberto")))</f>
        <v/>
      </c>
      <c r="K346" s="4">
        <f>IF(J346="","",IF(OR(J346="Recebido",F346=""),MAX(0,F346-E346),MAX(0,$B$4-E346)))</f>
        <v/>
      </c>
      <c r="L346" s="4">
        <f>IF(K346="","",IF(K346=0,"Em dia",IF(K346&lt;=30,"1-30 dias",IF(K346&lt;=60,"31-60 dias",IF(K346&lt;=90,"61-90 dias","&gt;90 dias")))))</f>
        <v/>
      </c>
      <c r="M346" s="28" t="n"/>
      <c r="N346" s="104" t="inlineStr"/>
      <c r="O346" s="64" t="n"/>
      <c r="P346" s="64">
        <f>IF(C346="","",IF(ISNUMBER(SEARCH("PCMSO",C346)),"PCMSO",IF(OR(ISNUMBER(SEARCH("E-SOCIAL",C346)),ISNUMBER(SEARCH("PSICOSOCIAL",C346))),"eSocial / Psicossocial",IF(O346="Receita recorrente","Carteira recorrente","Projetos / Laudos / Avulsos"))))</f>
        <v/>
      </c>
      <c r="Q346" s="64">
        <f>IF(P346="","",IF(P346="Carteira recorrente","Operação recorrente",IF(P346="PCMSO","Projetos PCMSO",IF(P346="eSocial / Psicossocial","Projetos eSocial/Psicossocial","Projetos / Laudos / Avulsos"))))</f>
        <v/>
      </c>
      <c r="R346" s="64">
        <f>IF(C346="","",IF(ISNUMBER(SEARCH("PCMSO",C346)),"Título com PCMSO no nome",IF(OR(ISNUMBER(SEARCH("E-SOCIAL",C346)),ISNUMBER(SEARCH("PSICOSOCIAL",C346))),"Título com eSocial/Psicossocial no nome",IF(O346="Receita recorrente","Tipo DRE recorrente","Extra sem palavra-chave específica"))))</f>
        <v/>
      </c>
      <c r="S346" s="92">
        <f>IFERROR(VLOOKUP($A346,'13. Mapa Títulos-Receita'!$A$8:$P$1000,4,FALSE),"")</f>
        <v/>
      </c>
      <c r="T346" s="92">
        <f>IFERROR(VLOOKUP($A346,'13. Mapa Títulos-Receita'!$A$8:$P$1000,5,FALSE),"")</f>
        <v/>
      </c>
      <c r="U346" s="92">
        <f>IFERROR(VLOOKUP($A346,'13. Mapa Títulos-Receita'!$A$8:$P$1000,6,FALSE),"")</f>
        <v/>
      </c>
      <c r="V346" s="92">
        <f>IFERROR(VLOOKUP($A346,'13. Mapa Títulos-Receita'!$A$8:$P$1000,7,FALSE),"")</f>
        <v/>
      </c>
      <c r="W346" s="92">
        <f>IFERROR(VLOOKUP($A346,'13. Mapa Títulos-Receita'!$A$8:$P$1000,8,FALSE),"")</f>
        <v/>
      </c>
      <c r="X346" s="92">
        <f>IFERROR(VLOOKUP($A346,'13. Mapa Títulos-Receita'!$A$8:$P$1000,9,FALSE),"")</f>
        <v/>
      </c>
      <c r="Y346" s="92">
        <f>IFERROR(VLOOKUP($A346,'13. Mapa Títulos-Receita'!$A$8:$P$1000,10,FALSE),"")</f>
        <v/>
      </c>
      <c r="Z346" s="92">
        <f>IFERROR(VLOOKUP($A346,'13. Mapa Títulos-Receita'!$A$8:$P$1000,11,FALSE),"")</f>
        <v/>
      </c>
      <c r="AA346" s="92">
        <f>IFERROR(VLOOKUP($A346,'13. Mapa Títulos-Receita'!$A$8:$P$1000,12,FALSE),"")</f>
        <v/>
      </c>
      <c r="AB346" s="92">
        <f>IFERROR(VLOOKUP($A346,'13. Mapa Títulos-Receita'!$A$8:$P$1000,13,FALSE),"")</f>
        <v/>
      </c>
      <c r="AC346" s="92">
        <f>IFERROR(VLOOKUP($A346,'13. Mapa Títulos-Receita'!$A$8:$P$1000,14,FALSE),"")</f>
        <v/>
      </c>
      <c r="AD346" s="92">
        <f>IFERROR(VLOOKUP($A346,'13. Mapa Títulos-Receita'!$A$8:$P$1000,15,FALSE),"")</f>
        <v/>
      </c>
      <c r="AE346" s="92">
        <f>IFERROR(VLOOKUP($A346,'13. Mapa Títulos-Receita'!$A$8:$P$1000,16,FALSE),"")</f>
        <v/>
      </c>
    </row>
    <row r="347">
      <c r="A347" s="28">
        <f>IF(C347="","", "CR-"&amp;TEXT(ROW()-7,"000"))</f>
        <v/>
      </c>
      <c r="B347" s="28" t="n"/>
      <c r="C347" s="28" t="n"/>
      <c r="D347" s="111" t="n"/>
      <c r="E347" s="111" t="n"/>
      <c r="F347" s="111" t="n"/>
      <c r="G347" s="28" t="n"/>
      <c r="H347" s="45" t="n"/>
      <c r="I347" s="45" t="n"/>
      <c r="J347" s="28">
        <f>IF(H347="","",IF(I347&gt;=H347,"Recebido",IF($B$4&gt;E347,"Vencido","Aberto")))</f>
        <v/>
      </c>
      <c r="K347" s="4">
        <f>IF(J347="","",IF(OR(J347="Recebido",F347=""),MAX(0,F347-E347),MAX(0,$B$4-E347)))</f>
        <v/>
      </c>
      <c r="L347" s="4">
        <f>IF(K347="","",IF(K347=0,"Em dia",IF(K347&lt;=30,"1-30 dias",IF(K347&lt;=60,"31-60 dias",IF(K347&lt;=90,"61-90 dias","&gt;90 dias")))))</f>
        <v/>
      </c>
      <c r="M347" s="28" t="n"/>
      <c r="N347" s="104" t="inlineStr"/>
      <c r="O347" s="64" t="n"/>
      <c r="P347" s="64">
        <f>IF(C347="","",IF(ISNUMBER(SEARCH("PCMSO",C347)),"PCMSO",IF(OR(ISNUMBER(SEARCH("E-SOCIAL",C347)),ISNUMBER(SEARCH("PSICOSOCIAL",C347))),"eSocial / Psicossocial",IF(O347="Receita recorrente","Carteira recorrente","Projetos / Laudos / Avulsos"))))</f>
        <v/>
      </c>
      <c r="Q347" s="64">
        <f>IF(P347="","",IF(P347="Carteira recorrente","Operação recorrente",IF(P347="PCMSO","Projetos PCMSO",IF(P347="eSocial / Psicossocial","Projetos eSocial/Psicossocial","Projetos / Laudos / Avulsos"))))</f>
        <v/>
      </c>
      <c r="R347" s="64">
        <f>IF(C347="","",IF(ISNUMBER(SEARCH("PCMSO",C347)),"Título com PCMSO no nome",IF(OR(ISNUMBER(SEARCH("E-SOCIAL",C347)),ISNUMBER(SEARCH("PSICOSOCIAL",C347))),"Título com eSocial/Psicossocial no nome",IF(O347="Receita recorrente","Tipo DRE recorrente","Extra sem palavra-chave específica"))))</f>
        <v/>
      </c>
      <c r="S347" s="92">
        <f>IFERROR(VLOOKUP($A347,'13. Mapa Títulos-Receita'!$A$8:$P$1000,4,FALSE),"")</f>
        <v/>
      </c>
      <c r="T347" s="92">
        <f>IFERROR(VLOOKUP($A347,'13. Mapa Títulos-Receita'!$A$8:$P$1000,5,FALSE),"")</f>
        <v/>
      </c>
      <c r="U347" s="92">
        <f>IFERROR(VLOOKUP($A347,'13. Mapa Títulos-Receita'!$A$8:$P$1000,6,FALSE),"")</f>
        <v/>
      </c>
      <c r="V347" s="92">
        <f>IFERROR(VLOOKUP($A347,'13. Mapa Títulos-Receita'!$A$8:$P$1000,7,FALSE),"")</f>
        <v/>
      </c>
      <c r="W347" s="92">
        <f>IFERROR(VLOOKUP($A347,'13. Mapa Títulos-Receita'!$A$8:$P$1000,8,FALSE),"")</f>
        <v/>
      </c>
      <c r="X347" s="92">
        <f>IFERROR(VLOOKUP($A347,'13. Mapa Títulos-Receita'!$A$8:$P$1000,9,FALSE),"")</f>
        <v/>
      </c>
      <c r="Y347" s="92">
        <f>IFERROR(VLOOKUP($A347,'13. Mapa Títulos-Receita'!$A$8:$P$1000,10,FALSE),"")</f>
        <v/>
      </c>
      <c r="Z347" s="92">
        <f>IFERROR(VLOOKUP($A347,'13. Mapa Títulos-Receita'!$A$8:$P$1000,11,FALSE),"")</f>
        <v/>
      </c>
      <c r="AA347" s="92">
        <f>IFERROR(VLOOKUP($A347,'13. Mapa Títulos-Receita'!$A$8:$P$1000,12,FALSE),"")</f>
        <v/>
      </c>
      <c r="AB347" s="92">
        <f>IFERROR(VLOOKUP($A347,'13. Mapa Títulos-Receita'!$A$8:$P$1000,13,FALSE),"")</f>
        <v/>
      </c>
      <c r="AC347" s="92">
        <f>IFERROR(VLOOKUP($A347,'13. Mapa Títulos-Receita'!$A$8:$P$1000,14,FALSE),"")</f>
        <v/>
      </c>
      <c r="AD347" s="92">
        <f>IFERROR(VLOOKUP($A347,'13. Mapa Títulos-Receita'!$A$8:$P$1000,15,FALSE),"")</f>
        <v/>
      </c>
      <c r="AE347" s="92">
        <f>IFERROR(VLOOKUP($A347,'13. Mapa Títulos-Receita'!$A$8:$P$1000,16,FALSE),"")</f>
        <v/>
      </c>
    </row>
    <row r="348">
      <c r="A348" s="28">
        <f>IF(C348="","", "CR-"&amp;TEXT(ROW()-7,"000"))</f>
        <v/>
      </c>
      <c r="B348" s="28" t="n"/>
      <c r="C348" s="28" t="n"/>
      <c r="D348" s="111" t="n"/>
      <c r="E348" s="111" t="n"/>
      <c r="F348" s="111" t="n"/>
      <c r="G348" s="28" t="n"/>
      <c r="H348" s="45" t="n"/>
      <c r="I348" s="45" t="n"/>
      <c r="J348" s="28">
        <f>IF(H348="","",IF(I348&gt;=H348,"Recebido",IF($B$4&gt;E348,"Vencido","Aberto")))</f>
        <v/>
      </c>
      <c r="K348" s="4">
        <f>IF(J348="","",IF(OR(J348="Recebido",F348=""),MAX(0,F348-E348),MAX(0,$B$4-E348)))</f>
        <v/>
      </c>
      <c r="L348" s="4">
        <f>IF(K348="","",IF(K348=0,"Em dia",IF(K348&lt;=30,"1-30 dias",IF(K348&lt;=60,"31-60 dias",IF(K348&lt;=90,"61-90 dias","&gt;90 dias")))))</f>
        <v/>
      </c>
      <c r="M348" s="28" t="n"/>
      <c r="N348" s="104" t="inlineStr"/>
      <c r="O348" s="64" t="n"/>
      <c r="P348" s="64">
        <f>IF(C348="","",IF(ISNUMBER(SEARCH("PCMSO",C348)),"PCMSO",IF(OR(ISNUMBER(SEARCH("E-SOCIAL",C348)),ISNUMBER(SEARCH("PSICOSOCIAL",C348))),"eSocial / Psicossocial",IF(O348="Receita recorrente","Carteira recorrente","Projetos / Laudos / Avulsos"))))</f>
        <v/>
      </c>
      <c r="Q348" s="64">
        <f>IF(P348="","",IF(P348="Carteira recorrente","Operação recorrente",IF(P348="PCMSO","Projetos PCMSO",IF(P348="eSocial / Psicossocial","Projetos eSocial/Psicossocial","Projetos / Laudos / Avulsos"))))</f>
        <v/>
      </c>
      <c r="R348" s="64">
        <f>IF(C348="","",IF(ISNUMBER(SEARCH("PCMSO",C348)),"Título com PCMSO no nome",IF(OR(ISNUMBER(SEARCH("E-SOCIAL",C348)),ISNUMBER(SEARCH("PSICOSOCIAL",C348))),"Título com eSocial/Psicossocial no nome",IF(O348="Receita recorrente","Tipo DRE recorrente","Extra sem palavra-chave específica"))))</f>
        <v/>
      </c>
      <c r="S348" s="92">
        <f>IFERROR(VLOOKUP($A348,'13. Mapa Títulos-Receita'!$A$8:$P$1000,4,FALSE),"")</f>
        <v/>
      </c>
      <c r="T348" s="92">
        <f>IFERROR(VLOOKUP($A348,'13. Mapa Títulos-Receita'!$A$8:$P$1000,5,FALSE),"")</f>
        <v/>
      </c>
      <c r="U348" s="92">
        <f>IFERROR(VLOOKUP($A348,'13. Mapa Títulos-Receita'!$A$8:$P$1000,6,FALSE),"")</f>
        <v/>
      </c>
      <c r="V348" s="92">
        <f>IFERROR(VLOOKUP($A348,'13. Mapa Títulos-Receita'!$A$8:$P$1000,7,FALSE),"")</f>
        <v/>
      </c>
      <c r="W348" s="92">
        <f>IFERROR(VLOOKUP($A348,'13. Mapa Títulos-Receita'!$A$8:$P$1000,8,FALSE),"")</f>
        <v/>
      </c>
      <c r="X348" s="92">
        <f>IFERROR(VLOOKUP($A348,'13. Mapa Títulos-Receita'!$A$8:$P$1000,9,FALSE),"")</f>
        <v/>
      </c>
      <c r="Y348" s="92">
        <f>IFERROR(VLOOKUP($A348,'13. Mapa Títulos-Receita'!$A$8:$P$1000,10,FALSE),"")</f>
        <v/>
      </c>
      <c r="Z348" s="92">
        <f>IFERROR(VLOOKUP($A348,'13. Mapa Títulos-Receita'!$A$8:$P$1000,11,FALSE),"")</f>
        <v/>
      </c>
      <c r="AA348" s="92">
        <f>IFERROR(VLOOKUP($A348,'13. Mapa Títulos-Receita'!$A$8:$P$1000,12,FALSE),"")</f>
        <v/>
      </c>
      <c r="AB348" s="92">
        <f>IFERROR(VLOOKUP($A348,'13. Mapa Títulos-Receita'!$A$8:$P$1000,13,FALSE),"")</f>
        <v/>
      </c>
      <c r="AC348" s="92">
        <f>IFERROR(VLOOKUP($A348,'13. Mapa Títulos-Receita'!$A$8:$P$1000,14,FALSE),"")</f>
        <v/>
      </c>
      <c r="AD348" s="92">
        <f>IFERROR(VLOOKUP($A348,'13. Mapa Títulos-Receita'!$A$8:$P$1000,15,FALSE),"")</f>
        <v/>
      </c>
      <c r="AE348" s="92">
        <f>IFERROR(VLOOKUP($A348,'13. Mapa Títulos-Receita'!$A$8:$P$1000,16,FALSE),"")</f>
        <v/>
      </c>
    </row>
    <row r="349">
      <c r="A349" s="28">
        <f>IF(C349="","", "CR-"&amp;TEXT(ROW()-7,"000"))</f>
        <v/>
      </c>
      <c r="B349" s="28" t="n"/>
      <c r="C349" s="28" t="n"/>
      <c r="D349" s="111" t="n"/>
      <c r="E349" s="111" t="n"/>
      <c r="F349" s="111" t="n"/>
      <c r="G349" s="28" t="n"/>
      <c r="H349" s="45" t="n"/>
      <c r="I349" s="45" t="n"/>
      <c r="J349" s="28">
        <f>IF(H349="","",IF(I349&gt;=H349,"Recebido",IF($B$4&gt;E349,"Vencido","Aberto")))</f>
        <v/>
      </c>
      <c r="K349" s="4">
        <f>IF(J349="","",IF(OR(J349="Recebido",F349=""),MAX(0,F349-E349),MAX(0,$B$4-E349)))</f>
        <v/>
      </c>
      <c r="L349" s="4">
        <f>IF(K349="","",IF(K349=0,"Em dia",IF(K349&lt;=30,"1-30 dias",IF(K349&lt;=60,"31-60 dias",IF(K349&lt;=90,"61-90 dias","&gt;90 dias")))))</f>
        <v/>
      </c>
      <c r="M349" s="28" t="n"/>
      <c r="N349" s="104" t="inlineStr"/>
      <c r="O349" s="64" t="n"/>
      <c r="P349" s="64">
        <f>IF(C349="","",IF(ISNUMBER(SEARCH("PCMSO",C349)),"PCMSO",IF(OR(ISNUMBER(SEARCH("E-SOCIAL",C349)),ISNUMBER(SEARCH("PSICOSOCIAL",C349))),"eSocial / Psicossocial",IF(O349="Receita recorrente","Carteira recorrente","Projetos / Laudos / Avulsos"))))</f>
        <v/>
      </c>
      <c r="Q349" s="64">
        <f>IF(P349="","",IF(P349="Carteira recorrente","Operação recorrente",IF(P349="PCMSO","Projetos PCMSO",IF(P349="eSocial / Psicossocial","Projetos eSocial/Psicossocial","Projetos / Laudos / Avulsos"))))</f>
        <v/>
      </c>
      <c r="R349" s="64">
        <f>IF(C349="","",IF(ISNUMBER(SEARCH("PCMSO",C349)),"Título com PCMSO no nome",IF(OR(ISNUMBER(SEARCH("E-SOCIAL",C349)),ISNUMBER(SEARCH("PSICOSOCIAL",C349))),"Título com eSocial/Psicossocial no nome",IF(O349="Receita recorrente","Tipo DRE recorrente","Extra sem palavra-chave específica"))))</f>
        <v/>
      </c>
      <c r="S349" s="92">
        <f>IFERROR(VLOOKUP($A349,'13. Mapa Títulos-Receita'!$A$8:$P$1000,4,FALSE),"")</f>
        <v/>
      </c>
      <c r="T349" s="92">
        <f>IFERROR(VLOOKUP($A349,'13. Mapa Títulos-Receita'!$A$8:$P$1000,5,FALSE),"")</f>
        <v/>
      </c>
      <c r="U349" s="92">
        <f>IFERROR(VLOOKUP($A349,'13. Mapa Títulos-Receita'!$A$8:$P$1000,6,FALSE),"")</f>
        <v/>
      </c>
      <c r="V349" s="92">
        <f>IFERROR(VLOOKUP($A349,'13. Mapa Títulos-Receita'!$A$8:$P$1000,7,FALSE),"")</f>
        <v/>
      </c>
      <c r="W349" s="92">
        <f>IFERROR(VLOOKUP($A349,'13. Mapa Títulos-Receita'!$A$8:$P$1000,8,FALSE),"")</f>
        <v/>
      </c>
      <c r="X349" s="92">
        <f>IFERROR(VLOOKUP($A349,'13. Mapa Títulos-Receita'!$A$8:$P$1000,9,FALSE),"")</f>
        <v/>
      </c>
      <c r="Y349" s="92">
        <f>IFERROR(VLOOKUP($A349,'13. Mapa Títulos-Receita'!$A$8:$P$1000,10,FALSE),"")</f>
        <v/>
      </c>
      <c r="Z349" s="92">
        <f>IFERROR(VLOOKUP($A349,'13. Mapa Títulos-Receita'!$A$8:$P$1000,11,FALSE),"")</f>
        <v/>
      </c>
      <c r="AA349" s="92">
        <f>IFERROR(VLOOKUP($A349,'13. Mapa Títulos-Receita'!$A$8:$P$1000,12,FALSE),"")</f>
        <v/>
      </c>
      <c r="AB349" s="92">
        <f>IFERROR(VLOOKUP($A349,'13. Mapa Títulos-Receita'!$A$8:$P$1000,13,FALSE),"")</f>
        <v/>
      </c>
      <c r="AC349" s="92">
        <f>IFERROR(VLOOKUP($A349,'13. Mapa Títulos-Receita'!$A$8:$P$1000,14,FALSE),"")</f>
        <v/>
      </c>
      <c r="AD349" s="92">
        <f>IFERROR(VLOOKUP($A349,'13. Mapa Títulos-Receita'!$A$8:$P$1000,15,FALSE),"")</f>
        <v/>
      </c>
      <c r="AE349" s="92">
        <f>IFERROR(VLOOKUP($A349,'13. Mapa Títulos-Receita'!$A$8:$P$1000,16,FALSE),"")</f>
        <v/>
      </c>
    </row>
    <row r="350">
      <c r="A350" s="28">
        <f>IF(C350="","", "CR-"&amp;TEXT(ROW()-7,"000"))</f>
        <v/>
      </c>
      <c r="B350" s="28" t="n"/>
      <c r="C350" s="28" t="n"/>
      <c r="D350" s="111" t="n"/>
      <c r="E350" s="111" t="n"/>
      <c r="F350" s="111" t="n"/>
      <c r="G350" s="28" t="n"/>
      <c r="H350" s="45" t="n"/>
      <c r="I350" s="45" t="n"/>
      <c r="J350" s="28">
        <f>IF(H350="","",IF(I350&gt;=H350,"Recebido",IF($B$4&gt;E350,"Vencido","Aberto")))</f>
        <v/>
      </c>
      <c r="K350" s="4">
        <f>IF(J350="","",IF(OR(J350="Recebido",F350=""),MAX(0,F350-E350),MAX(0,$B$4-E350)))</f>
        <v/>
      </c>
      <c r="L350" s="4">
        <f>IF(K350="","",IF(K350=0,"Em dia",IF(K350&lt;=30,"1-30 dias",IF(K350&lt;=60,"31-60 dias",IF(K350&lt;=90,"61-90 dias","&gt;90 dias")))))</f>
        <v/>
      </c>
      <c r="M350" s="28" t="n"/>
      <c r="N350" s="104" t="inlineStr"/>
      <c r="O350" s="64" t="n"/>
      <c r="P350" s="64">
        <f>IF(C350="","",IF(ISNUMBER(SEARCH("PCMSO",C350)),"PCMSO",IF(OR(ISNUMBER(SEARCH("E-SOCIAL",C350)),ISNUMBER(SEARCH("PSICOSOCIAL",C350))),"eSocial / Psicossocial",IF(O350="Receita recorrente","Carteira recorrente","Projetos / Laudos / Avulsos"))))</f>
        <v/>
      </c>
      <c r="Q350" s="64">
        <f>IF(P350="","",IF(P350="Carteira recorrente","Operação recorrente",IF(P350="PCMSO","Projetos PCMSO",IF(P350="eSocial / Psicossocial","Projetos eSocial/Psicossocial","Projetos / Laudos / Avulsos"))))</f>
        <v/>
      </c>
      <c r="R350" s="64">
        <f>IF(C350="","",IF(ISNUMBER(SEARCH("PCMSO",C350)),"Título com PCMSO no nome",IF(OR(ISNUMBER(SEARCH("E-SOCIAL",C350)),ISNUMBER(SEARCH("PSICOSOCIAL",C350))),"Título com eSocial/Psicossocial no nome",IF(O350="Receita recorrente","Tipo DRE recorrente","Extra sem palavra-chave específica"))))</f>
        <v/>
      </c>
      <c r="S350" s="92">
        <f>IFERROR(VLOOKUP($A350,'13. Mapa Títulos-Receita'!$A$8:$P$1000,4,FALSE),"")</f>
        <v/>
      </c>
      <c r="T350" s="92">
        <f>IFERROR(VLOOKUP($A350,'13. Mapa Títulos-Receita'!$A$8:$P$1000,5,FALSE),"")</f>
        <v/>
      </c>
      <c r="U350" s="92">
        <f>IFERROR(VLOOKUP($A350,'13. Mapa Títulos-Receita'!$A$8:$P$1000,6,FALSE),"")</f>
        <v/>
      </c>
      <c r="V350" s="92">
        <f>IFERROR(VLOOKUP($A350,'13. Mapa Títulos-Receita'!$A$8:$P$1000,7,FALSE),"")</f>
        <v/>
      </c>
      <c r="W350" s="92">
        <f>IFERROR(VLOOKUP($A350,'13. Mapa Títulos-Receita'!$A$8:$P$1000,8,FALSE),"")</f>
        <v/>
      </c>
      <c r="X350" s="92">
        <f>IFERROR(VLOOKUP($A350,'13. Mapa Títulos-Receita'!$A$8:$P$1000,9,FALSE),"")</f>
        <v/>
      </c>
      <c r="Y350" s="92">
        <f>IFERROR(VLOOKUP($A350,'13. Mapa Títulos-Receita'!$A$8:$P$1000,10,FALSE),"")</f>
        <v/>
      </c>
      <c r="Z350" s="92">
        <f>IFERROR(VLOOKUP($A350,'13. Mapa Títulos-Receita'!$A$8:$P$1000,11,FALSE),"")</f>
        <v/>
      </c>
      <c r="AA350" s="92">
        <f>IFERROR(VLOOKUP($A350,'13. Mapa Títulos-Receita'!$A$8:$P$1000,12,FALSE),"")</f>
        <v/>
      </c>
      <c r="AB350" s="92">
        <f>IFERROR(VLOOKUP($A350,'13. Mapa Títulos-Receita'!$A$8:$P$1000,13,FALSE),"")</f>
        <v/>
      </c>
      <c r="AC350" s="92">
        <f>IFERROR(VLOOKUP($A350,'13. Mapa Títulos-Receita'!$A$8:$P$1000,14,FALSE),"")</f>
        <v/>
      </c>
      <c r="AD350" s="92">
        <f>IFERROR(VLOOKUP($A350,'13. Mapa Títulos-Receita'!$A$8:$P$1000,15,FALSE),"")</f>
        <v/>
      </c>
      <c r="AE350" s="92">
        <f>IFERROR(VLOOKUP($A350,'13. Mapa Títulos-Receita'!$A$8:$P$1000,16,FALSE),"")</f>
        <v/>
      </c>
    </row>
    <row r="351">
      <c r="A351" s="28">
        <f>IF(C351="","", "CR-"&amp;TEXT(ROW()-7,"000"))</f>
        <v/>
      </c>
      <c r="B351" s="28" t="n"/>
      <c r="C351" s="28" t="n"/>
      <c r="D351" s="111" t="n"/>
      <c r="E351" s="111" t="n"/>
      <c r="F351" s="111" t="n"/>
      <c r="G351" s="28" t="n"/>
      <c r="H351" s="45" t="n"/>
      <c r="I351" s="45" t="n"/>
      <c r="J351" s="28">
        <f>IF(H351="","",IF(I351&gt;=H351,"Recebido",IF($B$4&gt;E351,"Vencido","Aberto")))</f>
        <v/>
      </c>
      <c r="K351" s="4">
        <f>IF(J351="","",IF(OR(J351="Recebido",F351=""),MAX(0,F351-E351),MAX(0,$B$4-E351)))</f>
        <v/>
      </c>
      <c r="L351" s="4">
        <f>IF(K351="","",IF(K351=0,"Em dia",IF(K351&lt;=30,"1-30 dias",IF(K351&lt;=60,"31-60 dias",IF(K351&lt;=90,"61-90 dias","&gt;90 dias")))))</f>
        <v/>
      </c>
      <c r="M351" s="28" t="n"/>
      <c r="N351" s="104" t="inlineStr"/>
      <c r="O351" s="64" t="n"/>
      <c r="P351" s="64">
        <f>IF(C351="","",IF(ISNUMBER(SEARCH("PCMSO",C351)),"PCMSO",IF(OR(ISNUMBER(SEARCH("E-SOCIAL",C351)),ISNUMBER(SEARCH("PSICOSOCIAL",C351))),"eSocial / Psicossocial",IF(O351="Receita recorrente","Carteira recorrente","Projetos / Laudos / Avulsos"))))</f>
        <v/>
      </c>
      <c r="Q351" s="64">
        <f>IF(P351="","",IF(P351="Carteira recorrente","Operação recorrente",IF(P351="PCMSO","Projetos PCMSO",IF(P351="eSocial / Psicossocial","Projetos eSocial/Psicossocial","Projetos / Laudos / Avulsos"))))</f>
        <v/>
      </c>
      <c r="R351" s="64">
        <f>IF(C351="","",IF(ISNUMBER(SEARCH("PCMSO",C351)),"Título com PCMSO no nome",IF(OR(ISNUMBER(SEARCH("E-SOCIAL",C351)),ISNUMBER(SEARCH("PSICOSOCIAL",C351))),"Título com eSocial/Psicossocial no nome",IF(O351="Receita recorrente","Tipo DRE recorrente","Extra sem palavra-chave específica"))))</f>
        <v/>
      </c>
      <c r="S351" s="92">
        <f>IFERROR(VLOOKUP($A351,'13. Mapa Títulos-Receita'!$A$8:$P$1000,4,FALSE),"")</f>
        <v/>
      </c>
      <c r="T351" s="92">
        <f>IFERROR(VLOOKUP($A351,'13. Mapa Títulos-Receita'!$A$8:$P$1000,5,FALSE),"")</f>
        <v/>
      </c>
      <c r="U351" s="92">
        <f>IFERROR(VLOOKUP($A351,'13. Mapa Títulos-Receita'!$A$8:$P$1000,6,FALSE),"")</f>
        <v/>
      </c>
      <c r="V351" s="92">
        <f>IFERROR(VLOOKUP($A351,'13. Mapa Títulos-Receita'!$A$8:$P$1000,7,FALSE),"")</f>
        <v/>
      </c>
      <c r="W351" s="92">
        <f>IFERROR(VLOOKUP($A351,'13. Mapa Títulos-Receita'!$A$8:$P$1000,8,FALSE),"")</f>
        <v/>
      </c>
      <c r="X351" s="92">
        <f>IFERROR(VLOOKUP($A351,'13. Mapa Títulos-Receita'!$A$8:$P$1000,9,FALSE),"")</f>
        <v/>
      </c>
      <c r="Y351" s="92">
        <f>IFERROR(VLOOKUP($A351,'13. Mapa Títulos-Receita'!$A$8:$P$1000,10,FALSE),"")</f>
        <v/>
      </c>
      <c r="Z351" s="92">
        <f>IFERROR(VLOOKUP($A351,'13. Mapa Títulos-Receita'!$A$8:$P$1000,11,FALSE),"")</f>
        <v/>
      </c>
      <c r="AA351" s="92">
        <f>IFERROR(VLOOKUP($A351,'13. Mapa Títulos-Receita'!$A$8:$P$1000,12,FALSE),"")</f>
        <v/>
      </c>
      <c r="AB351" s="92">
        <f>IFERROR(VLOOKUP($A351,'13. Mapa Títulos-Receita'!$A$8:$P$1000,13,FALSE),"")</f>
        <v/>
      </c>
      <c r="AC351" s="92">
        <f>IFERROR(VLOOKUP($A351,'13. Mapa Títulos-Receita'!$A$8:$P$1000,14,FALSE),"")</f>
        <v/>
      </c>
      <c r="AD351" s="92">
        <f>IFERROR(VLOOKUP($A351,'13. Mapa Títulos-Receita'!$A$8:$P$1000,15,FALSE),"")</f>
        <v/>
      </c>
      <c r="AE351" s="92">
        <f>IFERROR(VLOOKUP($A351,'13. Mapa Títulos-Receita'!$A$8:$P$1000,16,FALSE),"")</f>
        <v/>
      </c>
    </row>
    <row r="352">
      <c r="A352" s="28">
        <f>IF(C352="","", "CR-"&amp;TEXT(ROW()-7,"000"))</f>
        <v/>
      </c>
      <c r="B352" s="28" t="n"/>
      <c r="C352" s="28" t="n"/>
      <c r="D352" s="111" t="n"/>
      <c r="E352" s="111" t="n"/>
      <c r="F352" s="111" t="n"/>
      <c r="G352" s="28" t="n"/>
      <c r="H352" s="45" t="n"/>
      <c r="I352" s="45" t="n"/>
      <c r="J352" s="28">
        <f>IF(H352="","",IF(I352&gt;=H352,"Recebido",IF($B$4&gt;E352,"Vencido","Aberto")))</f>
        <v/>
      </c>
      <c r="K352" s="4">
        <f>IF(J352="","",IF(OR(J352="Recebido",F352=""),MAX(0,F352-E352),MAX(0,$B$4-E352)))</f>
        <v/>
      </c>
      <c r="L352" s="4">
        <f>IF(K352="","",IF(K352=0,"Em dia",IF(K352&lt;=30,"1-30 dias",IF(K352&lt;=60,"31-60 dias",IF(K352&lt;=90,"61-90 dias","&gt;90 dias")))))</f>
        <v/>
      </c>
      <c r="M352" s="28" t="n"/>
      <c r="N352" s="104" t="inlineStr"/>
      <c r="O352" s="64" t="n"/>
      <c r="P352" s="64">
        <f>IF(C352="","",IF(ISNUMBER(SEARCH("PCMSO",C352)),"PCMSO",IF(OR(ISNUMBER(SEARCH("E-SOCIAL",C352)),ISNUMBER(SEARCH("PSICOSOCIAL",C352))),"eSocial / Psicossocial",IF(O352="Receita recorrente","Carteira recorrente","Projetos / Laudos / Avulsos"))))</f>
        <v/>
      </c>
      <c r="Q352" s="64">
        <f>IF(P352="","",IF(P352="Carteira recorrente","Operação recorrente",IF(P352="PCMSO","Projetos PCMSO",IF(P352="eSocial / Psicossocial","Projetos eSocial/Psicossocial","Projetos / Laudos / Avulsos"))))</f>
        <v/>
      </c>
      <c r="R352" s="64">
        <f>IF(C352="","",IF(ISNUMBER(SEARCH("PCMSO",C352)),"Título com PCMSO no nome",IF(OR(ISNUMBER(SEARCH("E-SOCIAL",C352)),ISNUMBER(SEARCH("PSICOSOCIAL",C352))),"Título com eSocial/Psicossocial no nome",IF(O352="Receita recorrente","Tipo DRE recorrente","Extra sem palavra-chave específica"))))</f>
        <v/>
      </c>
      <c r="S352" s="92">
        <f>IFERROR(VLOOKUP($A352,'13. Mapa Títulos-Receita'!$A$8:$P$1000,4,FALSE),"")</f>
        <v/>
      </c>
      <c r="T352" s="92">
        <f>IFERROR(VLOOKUP($A352,'13. Mapa Títulos-Receita'!$A$8:$P$1000,5,FALSE),"")</f>
        <v/>
      </c>
      <c r="U352" s="92">
        <f>IFERROR(VLOOKUP($A352,'13. Mapa Títulos-Receita'!$A$8:$P$1000,6,FALSE),"")</f>
        <v/>
      </c>
      <c r="V352" s="92">
        <f>IFERROR(VLOOKUP($A352,'13. Mapa Títulos-Receita'!$A$8:$P$1000,7,FALSE),"")</f>
        <v/>
      </c>
      <c r="W352" s="92">
        <f>IFERROR(VLOOKUP($A352,'13. Mapa Títulos-Receita'!$A$8:$P$1000,8,FALSE),"")</f>
        <v/>
      </c>
      <c r="X352" s="92">
        <f>IFERROR(VLOOKUP($A352,'13. Mapa Títulos-Receita'!$A$8:$P$1000,9,FALSE),"")</f>
        <v/>
      </c>
      <c r="Y352" s="92">
        <f>IFERROR(VLOOKUP($A352,'13. Mapa Títulos-Receita'!$A$8:$P$1000,10,FALSE),"")</f>
        <v/>
      </c>
      <c r="Z352" s="92">
        <f>IFERROR(VLOOKUP($A352,'13. Mapa Títulos-Receita'!$A$8:$P$1000,11,FALSE),"")</f>
        <v/>
      </c>
      <c r="AA352" s="92">
        <f>IFERROR(VLOOKUP($A352,'13. Mapa Títulos-Receita'!$A$8:$P$1000,12,FALSE),"")</f>
        <v/>
      </c>
      <c r="AB352" s="92">
        <f>IFERROR(VLOOKUP($A352,'13. Mapa Títulos-Receita'!$A$8:$P$1000,13,FALSE),"")</f>
        <v/>
      </c>
      <c r="AC352" s="92">
        <f>IFERROR(VLOOKUP($A352,'13. Mapa Títulos-Receita'!$A$8:$P$1000,14,FALSE),"")</f>
        <v/>
      </c>
      <c r="AD352" s="92">
        <f>IFERROR(VLOOKUP($A352,'13. Mapa Títulos-Receita'!$A$8:$P$1000,15,FALSE),"")</f>
        <v/>
      </c>
      <c r="AE352" s="92">
        <f>IFERROR(VLOOKUP($A352,'13. Mapa Títulos-Receita'!$A$8:$P$1000,16,FALSE),"")</f>
        <v/>
      </c>
    </row>
    <row r="353">
      <c r="A353" s="28">
        <f>IF(C353="","", "CR-"&amp;TEXT(ROW()-7,"000"))</f>
        <v/>
      </c>
      <c r="B353" s="28" t="n"/>
      <c r="C353" s="28" t="n"/>
      <c r="D353" s="111" t="n"/>
      <c r="E353" s="111" t="n"/>
      <c r="F353" s="111" t="n"/>
      <c r="G353" s="28" t="n"/>
      <c r="H353" s="45" t="n"/>
      <c r="I353" s="45" t="n"/>
      <c r="J353" s="28">
        <f>IF(H353="","",IF(I353&gt;=H353,"Recebido",IF($B$4&gt;E353,"Vencido","Aberto")))</f>
        <v/>
      </c>
      <c r="K353" s="4">
        <f>IF(J353="","",IF(OR(J353="Recebido",F353=""),MAX(0,F353-E353),MAX(0,$B$4-E353)))</f>
        <v/>
      </c>
      <c r="L353" s="4">
        <f>IF(K353="","",IF(K353=0,"Em dia",IF(K353&lt;=30,"1-30 dias",IF(K353&lt;=60,"31-60 dias",IF(K353&lt;=90,"61-90 dias","&gt;90 dias")))))</f>
        <v/>
      </c>
      <c r="M353" s="28" t="n"/>
      <c r="N353" s="104" t="inlineStr"/>
      <c r="O353" s="64" t="n"/>
      <c r="P353" s="64">
        <f>IF(C353="","",IF(ISNUMBER(SEARCH("PCMSO",C353)),"PCMSO",IF(OR(ISNUMBER(SEARCH("E-SOCIAL",C353)),ISNUMBER(SEARCH("PSICOSOCIAL",C353))),"eSocial / Psicossocial",IF(O353="Receita recorrente","Carteira recorrente","Projetos / Laudos / Avulsos"))))</f>
        <v/>
      </c>
      <c r="Q353" s="64">
        <f>IF(P353="","",IF(P353="Carteira recorrente","Operação recorrente",IF(P353="PCMSO","Projetos PCMSO",IF(P353="eSocial / Psicossocial","Projetos eSocial/Psicossocial","Projetos / Laudos / Avulsos"))))</f>
        <v/>
      </c>
      <c r="R353" s="64">
        <f>IF(C353="","",IF(ISNUMBER(SEARCH("PCMSO",C353)),"Título com PCMSO no nome",IF(OR(ISNUMBER(SEARCH("E-SOCIAL",C353)),ISNUMBER(SEARCH("PSICOSOCIAL",C353))),"Título com eSocial/Psicossocial no nome",IF(O353="Receita recorrente","Tipo DRE recorrente","Extra sem palavra-chave específica"))))</f>
        <v/>
      </c>
      <c r="S353" s="92">
        <f>IFERROR(VLOOKUP($A353,'13. Mapa Títulos-Receita'!$A$8:$P$1000,4,FALSE),"")</f>
        <v/>
      </c>
      <c r="T353" s="92">
        <f>IFERROR(VLOOKUP($A353,'13. Mapa Títulos-Receita'!$A$8:$P$1000,5,FALSE),"")</f>
        <v/>
      </c>
      <c r="U353" s="92">
        <f>IFERROR(VLOOKUP($A353,'13. Mapa Títulos-Receita'!$A$8:$P$1000,6,FALSE),"")</f>
        <v/>
      </c>
      <c r="V353" s="92">
        <f>IFERROR(VLOOKUP($A353,'13. Mapa Títulos-Receita'!$A$8:$P$1000,7,FALSE),"")</f>
        <v/>
      </c>
      <c r="W353" s="92">
        <f>IFERROR(VLOOKUP($A353,'13. Mapa Títulos-Receita'!$A$8:$P$1000,8,FALSE),"")</f>
        <v/>
      </c>
      <c r="X353" s="92">
        <f>IFERROR(VLOOKUP($A353,'13. Mapa Títulos-Receita'!$A$8:$P$1000,9,FALSE),"")</f>
        <v/>
      </c>
      <c r="Y353" s="92">
        <f>IFERROR(VLOOKUP($A353,'13. Mapa Títulos-Receita'!$A$8:$P$1000,10,FALSE),"")</f>
        <v/>
      </c>
      <c r="Z353" s="92">
        <f>IFERROR(VLOOKUP($A353,'13. Mapa Títulos-Receita'!$A$8:$P$1000,11,FALSE),"")</f>
        <v/>
      </c>
      <c r="AA353" s="92">
        <f>IFERROR(VLOOKUP($A353,'13. Mapa Títulos-Receita'!$A$8:$P$1000,12,FALSE),"")</f>
        <v/>
      </c>
      <c r="AB353" s="92">
        <f>IFERROR(VLOOKUP($A353,'13. Mapa Títulos-Receita'!$A$8:$P$1000,13,FALSE),"")</f>
        <v/>
      </c>
      <c r="AC353" s="92">
        <f>IFERROR(VLOOKUP($A353,'13. Mapa Títulos-Receita'!$A$8:$P$1000,14,FALSE),"")</f>
        <v/>
      </c>
      <c r="AD353" s="92">
        <f>IFERROR(VLOOKUP($A353,'13. Mapa Títulos-Receita'!$A$8:$P$1000,15,FALSE),"")</f>
        <v/>
      </c>
      <c r="AE353" s="92">
        <f>IFERROR(VLOOKUP($A353,'13. Mapa Títulos-Receita'!$A$8:$P$1000,16,FALSE),"")</f>
        <v/>
      </c>
    </row>
    <row r="354">
      <c r="A354" s="28">
        <f>IF(C354="","", "CR-"&amp;TEXT(ROW()-7,"000"))</f>
        <v/>
      </c>
      <c r="B354" s="28" t="n"/>
      <c r="C354" s="28" t="n"/>
      <c r="D354" s="111" t="n"/>
      <c r="E354" s="111" t="n"/>
      <c r="F354" s="111" t="n"/>
      <c r="G354" s="28" t="n"/>
      <c r="H354" s="45" t="n"/>
      <c r="I354" s="45" t="n"/>
      <c r="J354" s="28">
        <f>IF(H354="","",IF(I354&gt;=H354,"Recebido",IF($B$4&gt;E354,"Vencido","Aberto")))</f>
        <v/>
      </c>
      <c r="K354" s="4">
        <f>IF(J354="","",IF(OR(J354="Recebido",F354=""),MAX(0,F354-E354),MAX(0,$B$4-E354)))</f>
        <v/>
      </c>
      <c r="L354" s="4">
        <f>IF(K354="","",IF(K354=0,"Em dia",IF(K354&lt;=30,"1-30 dias",IF(K354&lt;=60,"31-60 dias",IF(K354&lt;=90,"61-90 dias","&gt;90 dias")))))</f>
        <v/>
      </c>
      <c r="M354" s="28" t="n"/>
      <c r="N354" s="104" t="inlineStr"/>
      <c r="O354" s="64" t="n"/>
      <c r="P354" s="64">
        <f>IF(C354="","",IF(ISNUMBER(SEARCH("PCMSO",C354)),"PCMSO",IF(OR(ISNUMBER(SEARCH("E-SOCIAL",C354)),ISNUMBER(SEARCH("PSICOSOCIAL",C354))),"eSocial / Psicossocial",IF(O354="Receita recorrente","Carteira recorrente","Projetos / Laudos / Avulsos"))))</f>
        <v/>
      </c>
      <c r="Q354" s="64">
        <f>IF(P354="","",IF(P354="Carteira recorrente","Operação recorrente",IF(P354="PCMSO","Projetos PCMSO",IF(P354="eSocial / Psicossocial","Projetos eSocial/Psicossocial","Projetos / Laudos / Avulsos"))))</f>
        <v/>
      </c>
      <c r="R354" s="64">
        <f>IF(C354="","",IF(ISNUMBER(SEARCH("PCMSO",C354)),"Título com PCMSO no nome",IF(OR(ISNUMBER(SEARCH("E-SOCIAL",C354)),ISNUMBER(SEARCH("PSICOSOCIAL",C354))),"Título com eSocial/Psicossocial no nome",IF(O354="Receita recorrente","Tipo DRE recorrente","Extra sem palavra-chave específica"))))</f>
        <v/>
      </c>
      <c r="S354" s="92">
        <f>IFERROR(VLOOKUP($A354,'13. Mapa Títulos-Receita'!$A$8:$P$1000,4,FALSE),"")</f>
        <v/>
      </c>
      <c r="T354" s="92">
        <f>IFERROR(VLOOKUP($A354,'13. Mapa Títulos-Receita'!$A$8:$P$1000,5,FALSE),"")</f>
        <v/>
      </c>
      <c r="U354" s="92">
        <f>IFERROR(VLOOKUP($A354,'13. Mapa Títulos-Receita'!$A$8:$P$1000,6,FALSE),"")</f>
        <v/>
      </c>
      <c r="V354" s="92">
        <f>IFERROR(VLOOKUP($A354,'13. Mapa Títulos-Receita'!$A$8:$P$1000,7,FALSE),"")</f>
        <v/>
      </c>
      <c r="W354" s="92">
        <f>IFERROR(VLOOKUP($A354,'13. Mapa Títulos-Receita'!$A$8:$P$1000,8,FALSE),"")</f>
        <v/>
      </c>
      <c r="X354" s="92">
        <f>IFERROR(VLOOKUP($A354,'13. Mapa Títulos-Receita'!$A$8:$P$1000,9,FALSE),"")</f>
        <v/>
      </c>
      <c r="Y354" s="92">
        <f>IFERROR(VLOOKUP($A354,'13. Mapa Títulos-Receita'!$A$8:$P$1000,10,FALSE),"")</f>
        <v/>
      </c>
      <c r="Z354" s="92">
        <f>IFERROR(VLOOKUP($A354,'13. Mapa Títulos-Receita'!$A$8:$P$1000,11,FALSE),"")</f>
        <v/>
      </c>
      <c r="AA354" s="92">
        <f>IFERROR(VLOOKUP($A354,'13. Mapa Títulos-Receita'!$A$8:$P$1000,12,FALSE),"")</f>
        <v/>
      </c>
      <c r="AB354" s="92">
        <f>IFERROR(VLOOKUP($A354,'13. Mapa Títulos-Receita'!$A$8:$P$1000,13,FALSE),"")</f>
        <v/>
      </c>
      <c r="AC354" s="92">
        <f>IFERROR(VLOOKUP($A354,'13. Mapa Títulos-Receita'!$A$8:$P$1000,14,FALSE),"")</f>
        <v/>
      </c>
      <c r="AD354" s="92">
        <f>IFERROR(VLOOKUP($A354,'13. Mapa Títulos-Receita'!$A$8:$P$1000,15,FALSE),"")</f>
        <v/>
      </c>
      <c r="AE354" s="92">
        <f>IFERROR(VLOOKUP($A354,'13. Mapa Títulos-Receita'!$A$8:$P$1000,16,FALSE),"")</f>
        <v/>
      </c>
    </row>
    <row r="355">
      <c r="A355" s="28">
        <f>IF(C355="","", "CR-"&amp;TEXT(ROW()-7,"000"))</f>
        <v/>
      </c>
      <c r="B355" s="28" t="n"/>
      <c r="C355" s="28" t="n"/>
      <c r="D355" s="111" t="n"/>
      <c r="E355" s="111" t="n"/>
      <c r="F355" s="111" t="n"/>
      <c r="G355" s="28" t="n"/>
      <c r="H355" s="45" t="n"/>
      <c r="I355" s="45" t="n"/>
      <c r="J355" s="28">
        <f>IF(H355="","",IF(I355&gt;=H355,"Recebido",IF($B$4&gt;E355,"Vencido","Aberto")))</f>
        <v/>
      </c>
      <c r="K355" s="4">
        <f>IF(J355="","",IF(OR(J355="Recebido",F355=""),MAX(0,F355-E355),MAX(0,$B$4-E355)))</f>
        <v/>
      </c>
      <c r="L355" s="4">
        <f>IF(K355="","",IF(K355=0,"Em dia",IF(K355&lt;=30,"1-30 dias",IF(K355&lt;=60,"31-60 dias",IF(K355&lt;=90,"61-90 dias","&gt;90 dias")))))</f>
        <v/>
      </c>
      <c r="M355" s="28" t="n"/>
      <c r="N355" s="104" t="inlineStr"/>
      <c r="O355" s="64" t="n"/>
      <c r="P355" s="64">
        <f>IF(C355="","",IF(ISNUMBER(SEARCH("PCMSO",C355)),"PCMSO",IF(OR(ISNUMBER(SEARCH("E-SOCIAL",C355)),ISNUMBER(SEARCH("PSICOSOCIAL",C355))),"eSocial / Psicossocial",IF(O355="Receita recorrente","Carteira recorrente","Projetos / Laudos / Avulsos"))))</f>
        <v/>
      </c>
      <c r="Q355" s="64">
        <f>IF(P355="","",IF(P355="Carteira recorrente","Operação recorrente",IF(P355="PCMSO","Projetos PCMSO",IF(P355="eSocial / Psicossocial","Projetos eSocial/Psicossocial","Projetos / Laudos / Avulsos"))))</f>
        <v/>
      </c>
      <c r="R355" s="64">
        <f>IF(C355="","",IF(ISNUMBER(SEARCH("PCMSO",C355)),"Título com PCMSO no nome",IF(OR(ISNUMBER(SEARCH("E-SOCIAL",C355)),ISNUMBER(SEARCH("PSICOSOCIAL",C355))),"Título com eSocial/Psicossocial no nome",IF(O355="Receita recorrente","Tipo DRE recorrente","Extra sem palavra-chave específica"))))</f>
        <v/>
      </c>
      <c r="S355" s="92">
        <f>IFERROR(VLOOKUP($A355,'13. Mapa Títulos-Receita'!$A$8:$P$1000,4,FALSE),"")</f>
        <v/>
      </c>
      <c r="T355" s="92">
        <f>IFERROR(VLOOKUP($A355,'13. Mapa Títulos-Receita'!$A$8:$P$1000,5,FALSE),"")</f>
        <v/>
      </c>
      <c r="U355" s="92">
        <f>IFERROR(VLOOKUP($A355,'13. Mapa Títulos-Receita'!$A$8:$P$1000,6,FALSE),"")</f>
        <v/>
      </c>
      <c r="V355" s="92">
        <f>IFERROR(VLOOKUP($A355,'13. Mapa Títulos-Receita'!$A$8:$P$1000,7,FALSE),"")</f>
        <v/>
      </c>
      <c r="W355" s="92">
        <f>IFERROR(VLOOKUP($A355,'13. Mapa Títulos-Receita'!$A$8:$P$1000,8,FALSE),"")</f>
        <v/>
      </c>
      <c r="X355" s="92">
        <f>IFERROR(VLOOKUP($A355,'13. Mapa Títulos-Receita'!$A$8:$P$1000,9,FALSE),"")</f>
        <v/>
      </c>
      <c r="Y355" s="92">
        <f>IFERROR(VLOOKUP($A355,'13. Mapa Títulos-Receita'!$A$8:$P$1000,10,FALSE),"")</f>
        <v/>
      </c>
      <c r="Z355" s="92">
        <f>IFERROR(VLOOKUP($A355,'13. Mapa Títulos-Receita'!$A$8:$P$1000,11,FALSE),"")</f>
        <v/>
      </c>
      <c r="AA355" s="92">
        <f>IFERROR(VLOOKUP($A355,'13. Mapa Títulos-Receita'!$A$8:$P$1000,12,FALSE),"")</f>
        <v/>
      </c>
      <c r="AB355" s="92">
        <f>IFERROR(VLOOKUP($A355,'13. Mapa Títulos-Receita'!$A$8:$P$1000,13,FALSE),"")</f>
        <v/>
      </c>
      <c r="AC355" s="92">
        <f>IFERROR(VLOOKUP($A355,'13. Mapa Títulos-Receita'!$A$8:$P$1000,14,FALSE),"")</f>
        <v/>
      </c>
      <c r="AD355" s="92">
        <f>IFERROR(VLOOKUP($A355,'13. Mapa Títulos-Receita'!$A$8:$P$1000,15,FALSE),"")</f>
        <v/>
      </c>
      <c r="AE355" s="92">
        <f>IFERROR(VLOOKUP($A355,'13. Mapa Títulos-Receita'!$A$8:$P$1000,16,FALSE),"")</f>
        <v/>
      </c>
    </row>
    <row r="356">
      <c r="A356" s="28">
        <f>IF(C356="","", "CR-"&amp;TEXT(ROW()-7,"000"))</f>
        <v/>
      </c>
      <c r="B356" s="28" t="n"/>
      <c r="C356" s="28" t="n"/>
      <c r="D356" s="111" t="n"/>
      <c r="E356" s="111" t="n"/>
      <c r="F356" s="111" t="n"/>
      <c r="G356" s="28" t="n"/>
      <c r="H356" s="45" t="n"/>
      <c r="I356" s="45" t="n"/>
      <c r="J356" s="28">
        <f>IF(H356="","",IF(I356&gt;=H356,"Recebido",IF($B$4&gt;E356,"Vencido","Aberto")))</f>
        <v/>
      </c>
      <c r="K356" s="4">
        <f>IF(J356="","",IF(OR(J356="Recebido",F356=""),MAX(0,F356-E356),MAX(0,$B$4-E356)))</f>
        <v/>
      </c>
      <c r="L356" s="4">
        <f>IF(K356="","",IF(K356=0,"Em dia",IF(K356&lt;=30,"1-30 dias",IF(K356&lt;=60,"31-60 dias",IF(K356&lt;=90,"61-90 dias","&gt;90 dias")))))</f>
        <v/>
      </c>
      <c r="M356" s="28" t="n"/>
      <c r="N356" s="104" t="inlineStr"/>
      <c r="O356" s="64" t="n"/>
      <c r="P356" s="64">
        <f>IF(C356="","",IF(ISNUMBER(SEARCH("PCMSO",C356)),"PCMSO",IF(OR(ISNUMBER(SEARCH("E-SOCIAL",C356)),ISNUMBER(SEARCH("PSICOSOCIAL",C356))),"eSocial / Psicossocial",IF(O356="Receita recorrente","Carteira recorrente","Projetos / Laudos / Avulsos"))))</f>
        <v/>
      </c>
      <c r="Q356" s="64">
        <f>IF(P356="","",IF(P356="Carteira recorrente","Operação recorrente",IF(P356="PCMSO","Projetos PCMSO",IF(P356="eSocial / Psicossocial","Projetos eSocial/Psicossocial","Projetos / Laudos / Avulsos"))))</f>
        <v/>
      </c>
      <c r="R356" s="64">
        <f>IF(C356="","",IF(ISNUMBER(SEARCH("PCMSO",C356)),"Título com PCMSO no nome",IF(OR(ISNUMBER(SEARCH("E-SOCIAL",C356)),ISNUMBER(SEARCH("PSICOSOCIAL",C356))),"Título com eSocial/Psicossocial no nome",IF(O356="Receita recorrente","Tipo DRE recorrente","Extra sem palavra-chave específica"))))</f>
        <v/>
      </c>
      <c r="S356" s="92">
        <f>IFERROR(VLOOKUP($A356,'13. Mapa Títulos-Receita'!$A$8:$P$1000,4,FALSE),"")</f>
        <v/>
      </c>
      <c r="T356" s="92">
        <f>IFERROR(VLOOKUP($A356,'13. Mapa Títulos-Receita'!$A$8:$P$1000,5,FALSE),"")</f>
        <v/>
      </c>
      <c r="U356" s="92">
        <f>IFERROR(VLOOKUP($A356,'13. Mapa Títulos-Receita'!$A$8:$P$1000,6,FALSE),"")</f>
        <v/>
      </c>
      <c r="V356" s="92">
        <f>IFERROR(VLOOKUP($A356,'13. Mapa Títulos-Receita'!$A$8:$P$1000,7,FALSE),"")</f>
        <v/>
      </c>
      <c r="W356" s="92">
        <f>IFERROR(VLOOKUP($A356,'13. Mapa Títulos-Receita'!$A$8:$P$1000,8,FALSE),"")</f>
        <v/>
      </c>
      <c r="X356" s="92">
        <f>IFERROR(VLOOKUP($A356,'13. Mapa Títulos-Receita'!$A$8:$P$1000,9,FALSE),"")</f>
        <v/>
      </c>
      <c r="Y356" s="92">
        <f>IFERROR(VLOOKUP($A356,'13. Mapa Títulos-Receita'!$A$8:$P$1000,10,FALSE),"")</f>
        <v/>
      </c>
      <c r="Z356" s="92">
        <f>IFERROR(VLOOKUP($A356,'13. Mapa Títulos-Receita'!$A$8:$P$1000,11,FALSE),"")</f>
        <v/>
      </c>
      <c r="AA356" s="92">
        <f>IFERROR(VLOOKUP($A356,'13. Mapa Títulos-Receita'!$A$8:$P$1000,12,FALSE),"")</f>
        <v/>
      </c>
      <c r="AB356" s="92">
        <f>IFERROR(VLOOKUP($A356,'13. Mapa Títulos-Receita'!$A$8:$P$1000,13,FALSE),"")</f>
        <v/>
      </c>
      <c r="AC356" s="92">
        <f>IFERROR(VLOOKUP($A356,'13. Mapa Títulos-Receita'!$A$8:$P$1000,14,FALSE),"")</f>
        <v/>
      </c>
      <c r="AD356" s="92">
        <f>IFERROR(VLOOKUP($A356,'13. Mapa Títulos-Receita'!$A$8:$P$1000,15,FALSE),"")</f>
        <v/>
      </c>
      <c r="AE356" s="92">
        <f>IFERROR(VLOOKUP($A356,'13. Mapa Títulos-Receita'!$A$8:$P$1000,16,FALSE),"")</f>
        <v/>
      </c>
    </row>
    <row r="357">
      <c r="A357" s="28">
        <f>IF(C357="","", "CR-"&amp;TEXT(ROW()-7,"000"))</f>
        <v/>
      </c>
      <c r="B357" s="28" t="n"/>
      <c r="C357" s="28" t="n"/>
      <c r="D357" s="111" t="n"/>
      <c r="E357" s="111" t="n"/>
      <c r="F357" s="111" t="n"/>
      <c r="G357" s="28" t="n"/>
      <c r="H357" s="45" t="n"/>
      <c r="I357" s="45" t="n"/>
      <c r="J357" s="28">
        <f>IF(H357="","",IF(I357&gt;=H357,"Recebido",IF($B$4&gt;E357,"Vencido","Aberto")))</f>
        <v/>
      </c>
      <c r="K357" s="4">
        <f>IF(J357="","",IF(OR(J357="Recebido",F357=""),MAX(0,F357-E357),MAX(0,$B$4-E357)))</f>
        <v/>
      </c>
      <c r="L357" s="4">
        <f>IF(K357="","",IF(K357=0,"Em dia",IF(K357&lt;=30,"1-30 dias",IF(K357&lt;=60,"31-60 dias",IF(K357&lt;=90,"61-90 dias","&gt;90 dias")))))</f>
        <v/>
      </c>
      <c r="M357" s="28" t="n"/>
      <c r="N357" s="104" t="inlineStr"/>
      <c r="O357" s="64" t="n"/>
      <c r="P357" s="64">
        <f>IF(C357="","",IF(ISNUMBER(SEARCH("PCMSO",C357)),"PCMSO",IF(OR(ISNUMBER(SEARCH("E-SOCIAL",C357)),ISNUMBER(SEARCH("PSICOSOCIAL",C357))),"eSocial / Psicossocial",IF(O357="Receita recorrente","Carteira recorrente","Projetos / Laudos / Avulsos"))))</f>
        <v/>
      </c>
      <c r="Q357" s="64">
        <f>IF(P357="","",IF(P357="Carteira recorrente","Operação recorrente",IF(P357="PCMSO","Projetos PCMSO",IF(P357="eSocial / Psicossocial","Projetos eSocial/Psicossocial","Projetos / Laudos / Avulsos"))))</f>
        <v/>
      </c>
      <c r="R357" s="64">
        <f>IF(C357="","",IF(ISNUMBER(SEARCH("PCMSO",C357)),"Título com PCMSO no nome",IF(OR(ISNUMBER(SEARCH("E-SOCIAL",C357)),ISNUMBER(SEARCH("PSICOSOCIAL",C357))),"Título com eSocial/Psicossocial no nome",IF(O357="Receita recorrente","Tipo DRE recorrente","Extra sem palavra-chave específica"))))</f>
        <v/>
      </c>
      <c r="S357" s="92">
        <f>IFERROR(VLOOKUP($A357,'13. Mapa Títulos-Receita'!$A$8:$P$1000,4,FALSE),"")</f>
        <v/>
      </c>
      <c r="T357" s="92">
        <f>IFERROR(VLOOKUP($A357,'13. Mapa Títulos-Receita'!$A$8:$P$1000,5,FALSE),"")</f>
        <v/>
      </c>
      <c r="U357" s="92">
        <f>IFERROR(VLOOKUP($A357,'13. Mapa Títulos-Receita'!$A$8:$P$1000,6,FALSE),"")</f>
        <v/>
      </c>
      <c r="V357" s="92">
        <f>IFERROR(VLOOKUP($A357,'13. Mapa Títulos-Receita'!$A$8:$P$1000,7,FALSE),"")</f>
        <v/>
      </c>
      <c r="W357" s="92">
        <f>IFERROR(VLOOKUP($A357,'13. Mapa Títulos-Receita'!$A$8:$P$1000,8,FALSE),"")</f>
        <v/>
      </c>
      <c r="X357" s="92">
        <f>IFERROR(VLOOKUP($A357,'13. Mapa Títulos-Receita'!$A$8:$P$1000,9,FALSE),"")</f>
        <v/>
      </c>
      <c r="Y357" s="92">
        <f>IFERROR(VLOOKUP($A357,'13. Mapa Títulos-Receita'!$A$8:$P$1000,10,FALSE),"")</f>
        <v/>
      </c>
      <c r="Z357" s="92">
        <f>IFERROR(VLOOKUP($A357,'13. Mapa Títulos-Receita'!$A$8:$P$1000,11,FALSE),"")</f>
        <v/>
      </c>
      <c r="AA357" s="92">
        <f>IFERROR(VLOOKUP($A357,'13. Mapa Títulos-Receita'!$A$8:$P$1000,12,FALSE),"")</f>
        <v/>
      </c>
      <c r="AB357" s="92">
        <f>IFERROR(VLOOKUP($A357,'13. Mapa Títulos-Receita'!$A$8:$P$1000,13,FALSE),"")</f>
        <v/>
      </c>
      <c r="AC357" s="92">
        <f>IFERROR(VLOOKUP($A357,'13. Mapa Títulos-Receita'!$A$8:$P$1000,14,FALSE),"")</f>
        <v/>
      </c>
      <c r="AD357" s="92">
        <f>IFERROR(VLOOKUP($A357,'13. Mapa Títulos-Receita'!$A$8:$P$1000,15,FALSE),"")</f>
        <v/>
      </c>
      <c r="AE357" s="92">
        <f>IFERROR(VLOOKUP($A357,'13. Mapa Títulos-Receita'!$A$8:$P$1000,16,FALSE),"")</f>
        <v/>
      </c>
    </row>
    <row r="358">
      <c r="A358" s="28">
        <f>IF(C358="","", "CR-"&amp;TEXT(ROW()-7,"000"))</f>
        <v/>
      </c>
      <c r="B358" s="28" t="n"/>
      <c r="C358" s="28" t="n"/>
      <c r="D358" s="111" t="n"/>
      <c r="E358" s="111" t="n"/>
      <c r="F358" s="111" t="n"/>
      <c r="G358" s="28" t="n"/>
      <c r="H358" s="45" t="n"/>
      <c r="I358" s="45" t="n"/>
      <c r="J358" s="28">
        <f>IF(H358="","",IF(I358&gt;=H358,"Recebido",IF($B$4&gt;E358,"Vencido","Aberto")))</f>
        <v/>
      </c>
      <c r="K358" s="4">
        <f>IF(J358="","",IF(OR(J358="Recebido",F358=""),MAX(0,F358-E358),MAX(0,$B$4-E358)))</f>
        <v/>
      </c>
      <c r="L358" s="4">
        <f>IF(K358="","",IF(K358=0,"Em dia",IF(K358&lt;=30,"1-30 dias",IF(K358&lt;=60,"31-60 dias",IF(K358&lt;=90,"61-90 dias","&gt;90 dias")))))</f>
        <v/>
      </c>
      <c r="M358" s="28" t="n"/>
      <c r="N358" s="104" t="inlineStr"/>
      <c r="O358" s="64" t="n"/>
      <c r="P358" s="64">
        <f>IF(C358="","",IF(ISNUMBER(SEARCH("PCMSO",C358)),"PCMSO",IF(OR(ISNUMBER(SEARCH("E-SOCIAL",C358)),ISNUMBER(SEARCH("PSICOSOCIAL",C358))),"eSocial / Psicossocial",IF(O358="Receita recorrente","Carteira recorrente","Projetos / Laudos / Avulsos"))))</f>
        <v/>
      </c>
      <c r="Q358" s="64">
        <f>IF(P358="","",IF(P358="Carteira recorrente","Operação recorrente",IF(P358="PCMSO","Projetos PCMSO",IF(P358="eSocial / Psicossocial","Projetos eSocial/Psicossocial","Projetos / Laudos / Avulsos"))))</f>
        <v/>
      </c>
      <c r="R358" s="64">
        <f>IF(C358="","",IF(ISNUMBER(SEARCH("PCMSO",C358)),"Título com PCMSO no nome",IF(OR(ISNUMBER(SEARCH("E-SOCIAL",C358)),ISNUMBER(SEARCH("PSICOSOCIAL",C358))),"Título com eSocial/Psicossocial no nome",IF(O358="Receita recorrente","Tipo DRE recorrente","Extra sem palavra-chave específica"))))</f>
        <v/>
      </c>
      <c r="S358" s="92">
        <f>IFERROR(VLOOKUP($A358,'13. Mapa Títulos-Receita'!$A$8:$P$1000,4,FALSE),"")</f>
        <v/>
      </c>
      <c r="T358" s="92">
        <f>IFERROR(VLOOKUP($A358,'13. Mapa Títulos-Receita'!$A$8:$P$1000,5,FALSE),"")</f>
        <v/>
      </c>
      <c r="U358" s="92">
        <f>IFERROR(VLOOKUP($A358,'13. Mapa Títulos-Receita'!$A$8:$P$1000,6,FALSE),"")</f>
        <v/>
      </c>
      <c r="V358" s="92">
        <f>IFERROR(VLOOKUP($A358,'13. Mapa Títulos-Receita'!$A$8:$P$1000,7,FALSE),"")</f>
        <v/>
      </c>
      <c r="W358" s="92">
        <f>IFERROR(VLOOKUP($A358,'13. Mapa Títulos-Receita'!$A$8:$P$1000,8,FALSE),"")</f>
        <v/>
      </c>
      <c r="X358" s="92">
        <f>IFERROR(VLOOKUP($A358,'13. Mapa Títulos-Receita'!$A$8:$P$1000,9,FALSE),"")</f>
        <v/>
      </c>
      <c r="Y358" s="92">
        <f>IFERROR(VLOOKUP($A358,'13. Mapa Títulos-Receita'!$A$8:$P$1000,10,FALSE),"")</f>
        <v/>
      </c>
      <c r="Z358" s="92">
        <f>IFERROR(VLOOKUP($A358,'13. Mapa Títulos-Receita'!$A$8:$P$1000,11,FALSE),"")</f>
        <v/>
      </c>
      <c r="AA358" s="92">
        <f>IFERROR(VLOOKUP($A358,'13. Mapa Títulos-Receita'!$A$8:$P$1000,12,FALSE),"")</f>
        <v/>
      </c>
      <c r="AB358" s="92">
        <f>IFERROR(VLOOKUP($A358,'13. Mapa Títulos-Receita'!$A$8:$P$1000,13,FALSE),"")</f>
        <v/>
      </c>
      <c r="AC358" s="92">
        <f>IFERROR(VLOOKUP($A358,'13. Mapa Títulos-Receita'!$A$8:$P$1000,14,FALSE),"")</f>
        <v/>
      </c>
      <c r="AD358" s="92">
        <f>IFERROR(VLOOKUP($A358,'13. Mapa Títulos-Receita'!$A$8:$P$1000,15,FALSE),"")</f>
        <v/>
      </c>
      <c r="AE358" s="92">
        <f>IFERROR(VLOOKUP($A358,'13. Mapa Títulos-Receita'!$A$8:$P$1000,16,FALSE),"")</f>
        <v/>
      </c>
    </row>
    <row r="359">
      <c r="A359" s="28">
        <f>IF(C359="","", "CR-"&amp;TEXT(ROW()-7,"000"))</f>
        <v/>
      </c>
      <c r="B359" s="28" t="n"/>
      <c r="C359" s="28" t="n"/>
      <c r="D359" s="111" t="n"/>
      <c r="E359" s="111" t="n"/>
      <c r="F359" s="111" t="n"/>
      <c r="G359" s="28" t="n"/>
      <c r="H359" s="45" t="n"/>
      <c r="I359" s="45" t="n"/>
      <c r="J359" s="28">
        <f>IF(H359="","",IF(I359&gt;=H359,"Recebido",IF($B$4&gt;E359,"Vencido","Aberto")))</f>
        <v/>
      </c>
      <c r="K359" s="4">
        <f>IF(J359="","",IF(OR(J359="Recebido",F359=""),MAX(0,F359-E359),MAX(0,$B$4-E359)))</f>
        <v/>
      </c>
      <c r="L359" s="4">
        <f>IF(K359="","",IF(K359=0,"Em dia",IF(K359&lt;=30,"1-30 dias",IF(K359&lt;=60,"31-60 dias",IF(K359&lt;=90,"61-90 dias","&gt;90 dias")))))</f>
        <v/>
      </c>
      <c r="M359" s="28" t="n"/>
      <c r="N359" s="104" t="inlineStr"/>
      <c r="O359" s="64" t="n"/>
      <c r="P359" s="64">
        <f>IF(C359="","",IF(ISNUMBER(SEARCH("PCMSO",C359)),"PCMSO",IF(OR(ISNUMBER(SEARCH("E-SOCIAL",C359)),ISNUMBER(SEARCH("PSICOSOCIAL",C359))),"eSocial / Psicossocial",IF(O359="Receita recorrente","Carteira recorrente","Projetos / Laudos / Avulsos"))))</f>
        <v/>
      </c>
      <c r="Q359" s="64">
        <f>IF(P359="","",IF(P359="Carteira recorrente","Operação recorrente",IF(P359="PCMSO","Projetos PCMSO",IF(P359="eSocial / Psicossocial","Projetos eSocial/Psicossocial","Projetos / Laudos / Avulsos"))))</f>
        <v/>
      </c>
      <c r="R359" s="64">
        <f>IF(C359="","",IF(ISNUMBER(SEARCH("PCMSO",C359)),"Título com PCMSO no nome",IF(OR(ISNUMBER(SEARCH("E-SOCIAL",C359)),ISNUMBER(SEARCH("PSICOSOCIAL",C359))),"Título com eSocial/Psicossocial no nome",IF(O359="Receita recorrente","Tipo DRE recorrente","Extra sem palavra-chave específica"))))</f>
        <v/>
      </c>
      <c r="S359" s="92">
        <f>IFERROR(VLOOKUP($A359,'13. Mapa Títulos-Receita'!$A$8:$P$1000,4,FALSE),"")</f>
        <v/>
      </c>
      <c r="T359" s="92">
        <f>IFERROR(VLOOKUP($A359,'13. Mapa Títulos-Receita'!$A$8:$P$1000,5,FALSE),"")</f>
        <v/>
      </c>
      <c r="U359" s="92">
        <f>IFERROR(VLOOKUP($A359,'13. Mapa Títulos-Receita'!$A$8:$P$1000,6,FALSE),"")</f>
        <v/>
      </c>
      <c r="V359" s="92">
        <f>IFERROR(VLOOKUP($A359,'13. Mapa Títulos-Receita'!$A$8:$P$1000,7,FALSE),"")</f>
        <v/>
      </c>
      <c r="W359" s="92">
        <f>IFERROR(VLOOKUP($A359,'13. Mapa Títulos-Receita'!$A$8:$P$1000,8,FALSE),"")</f>
        <v/>
      </c>
      <c r="X359" s="92">
        <f>IFERROR(VLOOKUP($A359,'13. Mapa Títulos-Receita'!$A$8:$P$1000,9,FALSE),"")</f>
        <v/>
      </c>
      <c r="Y359" s="92">
        <f>IFERROR(VLOOKUP($A359,'13. Mapa Títulos-Receita'!$A$8:$P$1000,10,FALSE),"")</f>
        <v/>
      </c>
      <c r="Z359" s="92">
        <f>IFERROR(VLOOKUP($A359,'13. Mapa Títulos-Receita'!$A$8:$P$1000,11,FALSE),"")</f>
        <v/>
      </c>
      <c r="AA359" s="92">
        <f>IFERROR(VLOOKUP($A359,'13. Mapa Títulos-Receita'!$A$8:$P$1000,12,FALSE),"")</f>
        <v/>
      </c>
      <c r="AB359" s="92">
        <f>IFERROR(VLOOKUP($A359,'13. Mapa Títulos-Receita'!$A$8:$P$1000,13,FALSE),"")</f>
        <v/>
      </c>
      <c r="AC359" s="92">
        <f>IFERROR(VLOOKUP($A359,'13. Mapa Títulos-Receita'!$A$8:$P$1000,14,FALSE),"")</f>
        <v/>
      </c>
      <c r="AD359" s="92">
        <f>IFERROR(VLOOKUP($A359,'13. Mapa Títulos-Receita'!$A$8:$P$1000,15,FALSE),"")</f>
        <v/>
      </c>
      <c r="AE359" s="92">
        <f>IFERROR(VLOOKUP($A359,'13. Mapa Títulos-Receita'!$A$8:$P$1000,16,FALSE),"")</f>
        <v/>
      </c>
    </row>
    <row r="360">
      <c r="A360" s="28">
        <f>IF(C360="","", "CR-"&amp;TEXT(ROW()-7,"000"))</f>
        <v/>
      </c>
      <c r="B360" s="28" t="n"/>
      <c r="C360" s="28" t="n"/>
      <c r="D360" s="111" t="n"/>
      <c r="E360" s="111" t="n"/>
      <c r="F360" s="111" t="n"/>
      <c r="G360" s="28" t="n"/>
      <c r="H360" s="45" t="n"/>
      <c r="I360" s="45" t="n"/>
      <c r="J360" s="28">
        <f>IF(H360="","",IF(I360&gt;=H360,"Recebido",IF($B$4&gt;E360,"Vencido","Aberto")))</f>
        <v/>
      </c>
      <c r="K360" s="4">
        <f>IF(J360="","",IF(OR(J360="Recebido",F360=""),MAX(0,F360-E360),MAX(0,$B$4-E360)))</f>
        <v/>
      </c>
      <c r="L360" s="4">
        <f>IF(K360="","",IF(K360=0,"Em dia",IF(K360&lt;=30,"1-30 dias",IF(K360&lt;=60,"31-60 dias",IF(K360&lt;=90,"61-90 dias","&gt;90 dias")))))</f>
        <v/>
      </c>
      <c r="M360" s="28" t="n"/>
      <c r="N360" s="104" t="inlineStr"/>
      <c r="O360" s="64" t="n"/>
      <c r="P360" s="64">
        <f>IF(C360="","",IF(ISNUMBER(SEARCH("PCMSO",C360)),"PCMSO",IF(OR(ISNUMBER(SEARCH("E-SOCIAL",C360)),ISNUMBER(SEARCH("PSICOSOCIAL",C360))),"eSocial / Psicossocial",IF(O360="Receita recorrente","Carteira recorrente","Projetos / Laudos / Avulsos"))))</f>
        <v/>
      </c>
      <c r="Q360" s="64">
        <f>IF(P360="","",IF(P360="Carteira recorrente","Operação recorrente",IF(P360="PCMSO","Projetos PCMSO",IF(P360="eSocial / Psicossocial","Projetos eSocial/Psicossocial","Projetos / Laudos / Avulsos"))))</f>
        <v/>
      </c>
      <c r="R360" s="64">
        <f>IF(C360="","",IF(ISNUMBER(SEARCH("PCMSO",C360)),"Título com PCMSO no nome",IF(OR(ISNUMBER(SEARCH("E-SOCIAL",C360)),ISNUMBER(SEARCH("PSICOSOCIAL",C360))),"Título com eSocial/Psicossocial no nome",IF(O360="Receita recorrente","Tipo DRE recorrente","Extra sem palavra-chave específica"))))</f>
        <v/>
      </c>
      <c r="S360" s="92">
        <f>IFERROR(VLOOKUP($A360,'13. Mapa Títulos-Receita'!$A$8:$P$1000,4,FALSE),"")</f>
        <v/>
      </c>
      <c r="T360" s="92">
        <f>IFERROR(VLOOKUP($A360,'13. Mapa Títulos-Receita'!$A$8:$P$1000,5,FALSE),"")</f>
        <v/>
      </c>
      <c r="U360" s="92">
        <f>IFERROR(VLOOKUP($A360,'13. Mapa Títulos-Receita'!$A$8:$P$1000,6,FALSE),"")</f>
        <v/>
      </c>
      <c r="V360" s="92">
        <f>IFERROR(VLOOKUP($A360,'13. Mapa Títulos-Receita'!$A$8:$P$1000,7,FALSE),"")</f>
        <v/>
      </c>
      <c r="W360" s="92">
        <f>IFERROR(VLOOKUP($A360,'13. Mapa Títulos-Receita'!$A$8:$P$1000,8,FALSE),"")</f>
        <v/>
      </c>
      <c r="X360" s="92">
        <f>IFERROR(VLOOKUP($A360,'13. Mapa Títulos-Receita'!$A$8:$P$1000,9,FALSE),"")</f>
        <v/>
      </c>
      <c r="Y360" s="92">
        <f>IFERROR(VLOOKUP($A360,'13. Mapa Títulos-Receita'!$A$8:$P$1000,10,FALSE),"")</f>
        <v/>
      </c>
      <c r="Z360" s="92">
        <f>IFERROR(VLOOKUP($A360,'13. Mapa Títulos-Receita'!$A$8:$P$1000,11,FALSE),"")</f>
        <v/>
      </c>
      <c r="AA360" s="92">
        <f>IFERROR(VLOOKUP($A360,'13. Mapa Títulos-Receita'!$A$8:$P$1000,12,FALSE),"")</f>
        <v/>
      </c>
      <c r="AB360" s="92">
        <f>IFERROR(VLOOKUP($A360,'13. Mapa Títulos-Receita'!$A$8:$P$1000,13,FALSE),"")</f>
        <v/>
      </c>
      <c r="AC360" s="92">
        <f>IFERROR(VLOOKUP($A360,'13. Mapa Títulos-Receita'!$A$8:$P$1000,14,FALSE),"")</f>
        <v/>
      </c>
      <c r="AD360" s="92">
        <f>IFERROR(VLOOKUP($A360,'13. Mapa Títulos-Receita'!$A$8:$P$1000,15,FALSE),"")</f>
        <v/>
      </c>
      <c r="AE360" s="92">
        <f>IFERROR(VLOOKUP($A360,'13. Mapa Títulos-Receita'!$A$8:$P$1000,16,FALSE),"")</f>
        <v/>
      </c>
    </row>
    <row r="361">
      <c r="A361" s="28">
        <f>IF(C361="","", "CR-"&amp;TEXT(ROW()-7,"000"))</f>
        <v/>
      </c>
      <c r="B361" s="28" t="n"/>
      <c r="C361" s="28" t="n"/>
      <c r="D361" s="111" t="n"/>
      <c r="E361" s="111" t="n"/>
      <c r="F361" s="111" t="n"/>
      <c r="G361" s="28" t="n"/>
      <c r="H361" s="45" t="n"/>
      <c r="I361" s="45" t="n"/>
      <c r="J361" s="28">
        <f>IF(H361="","",IF(I361&gt;=H361,"Recebido",IF($B$4&gt;E361,"Vencido","Aberto")))</f>
        <v/>
      </c>
      <c r="K361" s="4">
        <f>IF(J361="","",IF(OR(J361="Recebido",F361=""),MAX(0,F361-E361),MAX(0,$B$4-E361)))</f>
        <v/>
      </c>
      <c r="L361" s="4">
        <f>IF(K361="","",IF(K361=0,"Em dia",IF(K361&lt;=30,"1-30 dias",IF(K361&lt;=60,"31-60 dias",IF(K361&lt;=90,"61-90 dias","&gt;90 dias")))))</f>
        <v/>
      </c>
      <c r="M361" s="28" t="n"/>
      <c r="N361" s="104" t="inlineStr"/>
      <c r="O361" s="64" t="n"/>
      <c r="P361" s="64">
        <f>IF(C361="","",IF(ISNUMBER(SEARCH("PCMSO",C361)),"PCMSO",IF(OR(ISNUMBER(SEARCH("E-SOCIAL",C361)),ISNUMBER(SEARCH("PSICOSOCIAL",C361))),"eSocial / Psicossocial",IF(O361="Receita recorrente","Carteira recorrente","Projetos / Laudos / Avulsos"))))</f>
        <v/>
      </c>
      <c r="Q361" s="64">
        <f>IF(P361="","",IF(P361="Carteira recorrente","Operação recorrente",IF(P361="PCMSO","Projetos PCMSO",IF(P361="eSocial / Psicossocial","Projetos eSocial/Psicossocial","Projetos / Laudos / Avulsos"))))</f>
        <v/>
      </c>
      <c r="R361" s="64">
        <f>IF(C361="","",IF(ISNUMBER(SEARCH("PCMSO",C361)),"Título com PCMSO no nome",IF(OR(ISNUMBER(SEARCH("E-SOCIAL",C361)),ISNUMBER(SEARCH("PSICOSOCIAL",C361))),"Título com eSocial/Psicossocial no nome",IF(O361="Receita recorrente","Tipo DRE recorrente","Extra sem palavra-chave específica"))))</f>
        <v/>
      </c>
      <c r="S361" s="92">
        <f>IFERROR(VLOOKUP($A361,'13. Mapa Títulos-Receita'!$A$8:$P$1000,4,FALSE),"")</f>
        <v/>
      </c>
      <c r="T361" s="92">
        <f>IFERROR(VLOOKUP($A361,'13. Mapa Títulos-Receita'!$A$8:$P$1000,5,FALSE),"")</f>
        <v/>
      </c>
      <c r="U361" s="92">
        <f>IFERROR(VLOOKUP($A361,'13. Mapa Títulos-Receita'!$A$8:$P$1000,6,FALSE),"")</f>
        <v/>
      </c>
      <c r="V361" s="92">
        <f>IFERROR(VLOOKUP($A361,'13. Mapa Títulos-Receita'!$A$8:$P$1000,7,FALSE),"")</f>
        <v/>
      </c>
      <c r="W361" s="92">
        <f>IFERROR(VLOOKUP($A361,'13. Mapa Títulos-Receita'!$A$8:$P$1000,8,FALSE),"")</f>
        <v/>
      </c>
      <c r="X361" s="92">
        <f>IFERROR(VLOOKUP($A361,'13. Mapa Títulos-Receita'!$A$8:$P$1000,9,FALSE),"")</f>
        <v/>
      </c>
      <c r="Y361" s="92">
        <f>IFERROR(VLOOKUP($A361,'13. Mapa Títulos-Receita'!$A$8:$P$1000,10,FALSE),"")</f>
        <v/>
      </c>
      <c r="Z361" s="92">
        <f>IFERROR(VLOOKUP($A361,'13. Mapa Títulos-Receita'!$A$8:$P$1000,11,FALSE),"")</f>
        <v/>
      </c>
      <c r="AA361" s="92">
        <f>IFERROR(VLOOKUP($A361,'13. Mapa Títulos-Receita'!$A$8:$P$1000,12,FALSE),"")</f>
        <v/>
      </c>
      <c r="AB361" s="92">
        <f>IFERROR(VLOOKUP($A361,'13. Mapa Títulos-Receita'!$A$8:$P$1000,13,FALSE),"")</f>
        <v/>
      </c>
      <c r="AC361" s="92">
        <f>IFERROR(VLOOKUP($A361,'13. Mapa Títulos-Receita'!$A$8:$P$1000,14,FALSE),"")</f>
        <v/>
      </c>
      <c r="AD361" s="92">
        <f>IFERROR(VLOOKUP($A361,'13. Mapa Títulos-Receita'!$A$8:$P$1000,15,FALSE),"")</f>
        <v/>
      </c>
      <c r="AE361" s="92">
        <f>IFERROR(VLOOKUP($A361,'13. Mapa Títulos-Receita'!$A$8:$P$1000,16,FALSE),"")</f>
        <v/>
      </c>
    </row>
    <row r="362">
      <c r="A362" s="28">
        <f>IF(C362="","", "CR-"&amp;TEXT(ROW()-7,"000"))</f>
        <v/>
      </c>
      <c r="B362" s="28" t="n"/>
      <c r="C362" s="28" t="n"/>
      <c r="D362" s="111" t="n"/>
      <c r="E362" s="111" t="n"/>
      <c r="F362" s="111" t="n"/>
      <c r="G362" s="28" t="n"/>
      <c r="H362" s="45" t="n"/>
      <c r="I362" s="45" t="n"/>
      <c r="J362" s="28">
        <f>IF(H362="","",IF(I362&gt;=H362,"Recebido",IF($B$4&gt;E362,"Vencido","Aberto")))</f>
        <v/>
      </c>
      <c r="K362" s="4">
        <f>IF(J362="","",IF(OR(J362="Recebido",F362=""),MAX(0,F362-E362),MAX(0,$B$4-E362)))</f>
        <v/>
      </c>
      <c r="L362" s="4">
        <f>IF(K362="","",IF(K362=0,"Em dia",IF(K362&lt;=30,"1-30 dias",IF(K362&lt;=60,"31-60 dias",IF(K362&lt;=90,"61-90 dias","&gt;90 dias")))))</f>
        <v/>
      </c>
      <c r="M362" s="28" t="n"/>
      <c r="N362" s="104" t="inlineStr"/>
      <c r="O362" s="64" t="n"/>
      <c r="P362" s="64">
        <f>IF(C362="","",IF(ISNUMBER(SEARCH("PCMSO",C362)),"PCMSO",IF(OR(ISNUMBER(SEARCH("E-SOCIAL",C362)),ISNUMBER(SEARCH("PSICOSOCIAL",C362))),"eSocial / Psicossocial",IF(O362="Receita recorrente","Carteira recorrente","Projetos / Laudos / Avulsos"))))</f>
        <v/>
      </c>
      <c r="Q362" s="64">
        <f>IF(P362="","",IF(P362="Carteira recorrente","Operação recorrente",IF(P362="PCMSO","Projetos PCMSO",IF(P362="eSocial / Psicossocial","Projetos eSocial/Psicossocial","Projetos / Laudos / Avulsos"))))</f>
        <v/>
      </c>
      <c r="R362" s="64">
        <f>IF(C362="","",IF(ISNUMBER(SEARCH("PCMSO",C362)),"Título com PCMSO no nome",IF(OR(ISNUMBER(SEARCH("E-SOCIAL",C362)),ISNUMBER(SEARCH("PSICOSOCIAL",C362))),"Título com eSocial/Psicossocial no nome",IF(O362="Receita recorrente","Tipo DRE recorrente","Extra sem palavra-chave específica"))))</f>
        <v/>
      </c>
      <c r="S362" s="92">
        <f>IFERROR(VLOOKUP($A362,'13. Mapa Títulos-Receita'!$A$8:$P$1000,4,FALSE),"")</f>
        <v/>
      </c>
      <c r="T362" s="92">
        <f>IFERROR(VLOOKUP($A362,'13. Mapa Títulos-Receita'!$A$8:$P$1000,5,FALSE),"")</f>
        <v/>
      </c>
      <c r="U362" s="92">
        <f>IFERROR(VLOOKUP($A362,'13. Mapa Títulos-Receita'!$A$8:$P$1000,6,FALSE),"")</f>
        <v/>
      </c>
      <c r="V362" s="92">
        <f>IFERROR(VLOOKUP($A362,'13. Mapa Títulos-Receita'!$A$8:$P$1000,7,FALSE),"")</f>
        <v/>
      </c>
      <c r="W362" s="92">
        <f>IFERROR(VLOOKUP($A362,'13. Mapa Títulos-Receita'!$A$8:$P$1000,8,FALSE),"")</f>
        <v/>
      </c>
      <c r="X362" s="92">
        <f>IFERROR(VLOOKUP($A362,'13. Mapa Títulos-Receita'!$A$8:$P$1000,9,FALSE),"")</f>
        <v/>
      </c>
      <c r="Y362" s="92">
        <f>IFERROR(VLOOKUP($A362,'13. Mapa Títulos-Receita'!$A$8:$P$1000,10,FALSE),"")</f>
        <v/>
      </c>
      <c r="Z362" s="92">
        <f>IFERROR(VLOOKUP($A362,'13. Mapa Títulos-Receita'!$A$8:$P$1000,11,FALSE),"")</f>
        <v/>
      </c>
      <c r="AA362" s="92">
        <f>IFERROR(VLOOKUP($A362,'13. Mapa Títulos-Receita'!$A$8:$P$1000,12,FALSE),"")</f>
        <v/>
      </c>
      <c r="AB362" s="92">
        <f>IFERROR(VLOOKUP($A362,'13. Mapa Títulos-Receita'!$A$8:$P$1000,13,FALSE),"")</f>
        <v/>
      </c>
      <c r="AC362" s="92">
        <f>IFERROR(VLOOKUP($A362,'13. Mapa Títulos-Receita'!$A$8:$P$1000,14,FALSE),"")</f>
        <v/>
      </c>
      <c r="AD362" s="92">
        <f>IFERROR(VLOOKUP($A362,'13. Mapa Títulos-Receita'!$A$8:$P$1000,15,FALSE),"")</f>
        <v/>
      </c>
      <c r="AE362" s="92">
        <f>IFERROR(VLOOKUP($A362,'13. Mapa Títulos-Receita'!$A$8:$P$1000,16,FALSE),"")</f>
        <v/>
      </c>
    </row>
    <row r="363">
      <c r="A363" s="28">
        <f>IF(C363="","", "CR-"&amp;TEXT(ROW()-7,"000"))</f>
        <v/>
      </c>
      <c r="B363" s="28" t="n"/>
      <c r="C363" s="28" t="n"/>
      <c r="D363" s="111" t="n"/>
      <c r="E363" s="111" t="n"/>
      <c r="F363" s="111" t="n"/>
      <c r="G363" s="28" t="n"/>
      <c r="H363" s="45" t="n"/>
      <c r="I363" s="45" t="n"/>
      <c r="J363" s="28">
        <f>IF(H363="","",IF(I363&gt;=H363,"Recebido",IF($B$4&gt;E363,"Vencido","Aberto")))</f>
        <v/>
      </c>
      <c r="K363" s="4">
        <f>IF(J363="","",IF(OR(J363="Recebido",F363=""),MAX(0,F363-E363),MAX(0,$B$4-E363)))</f>
        <v/>
      </c>
      <c r="L363" s="4">
        <f>IF(K363="","",IF(K363=0,"Em dia",IF(K363&lt;=30,"1-30 dias",IF(K363&lt;=60,"31-60 dias",IF(K363&lt;=90,"61-90 dias","&gt;90 dias")))))</f>
        <v/>
      </c>
      <c r="M363" s="28" t="n"/>
      <c r="N363" s="104" t="inlineStr"/>
      <c r="O363" s="64" t="n"/>
      <c r="P363" s="64">
        <f>IF(C363="","",IF(ISNUMBER(SEARCH("PCMSO",C363)),"PCMSO",IF(OR(ISNUMBER(SEARCH("E-SOCIAL",C363)),ISNUMBER(SEARCH("PSICOSOCIAL",C363))),"eSocial / Psicossocial",IF(O363="Receita recorrente","Carteira recorrente","Projetos / Laudos / Avulsos"))))</f>
        <v/>
      </c>
      <c r="Q363" s="64">
        <f>IF(P363="","",IF(P363="Carteira recorrente","Operação recorrente",IF(P363="PCMSO","Projetos PCMSO",IF(P363="eSocial / Psicossocial","Projetos eSocial/Psicossocial","Projetos / Laudos / Avulsos"))))</f>
        <v/>
      </c>
      <c r="R363" s="64">
        <f>IF(C363="","",IF(ISNUMBER(SEARCH("PCMSO",C363)),"Título com PCMSO no nome",IF(OR(ISNUMBER(SEARCH("E-SOCIAL",C363)),ISNUMBER(SEARCH("PSICOSOCIAL",C363))),"Título com eSocial/Psicossocial no nome",IF(O363="Receita recorrente","Tipo DRE recorrente","Extra sem palavra-chave específica"))))</f>
        <v/>
      </c>
      <c r="S363" s="92">
        <f>IFERROR(VLOOKUP($A363,'13. Mapa Títulos-Receita'!$A$8:$P$1000,4,FALSE),"")</f>
        <v/>
      </c>
      <c r="T363" s="92">
        <f>IFERROR(VLOOKUP($A363,'13. Mapa Títulos-Receita'!$A$8:$P$1000,5,FALSE),"")</f>
        <v/>
      </c>
      <c r="U363" s="92">
        <f>IFERROR(VLOOKUP($A363,'13. Mapa Títulos-Receita'!$A$8:$P$1000,6,FALSE),"")</f>
        <v/>
      </c>
      <c r="V363" s="92">
        <f>IFERROR(VLOOKUP($A363,'13. Mapa Títulos-Receita'!$A$8:$P$1000,7,FALSE),"")</f>
        <v/>
      </c>
      <c r="W363" s="92">
        <f>IFERROR(VLOOKUP($A363,'13. Mapa Títulos-Receita'!$A$8:$P$1000,8,FALSE),"")</f>
        <v/>
      </c>
      <c r="X363" s="92">
        <f>IFERROR(VLOOKUP($A363,'13. Mapa Títulos-Receita'!$A$8:$P$1000,9,FALSE),"")</f>
        <v/>
      </c>
      <c r="Y363" s="92">
        <f>IFERROR(VLOOKUP($A363,'13. Mapa Títulos-Receita'!$A$8:$P$1000,10,FALSE),"")</f>
        <v/>
      </c>
      <c r="Z363" s="92">
        <f>IFERROR(VLOOKUP($A363,'13. Mapa Títulos-Receita'!$A$8:$P$1000,11,FALSE),"")</f>
        <v/>
      </c>
      <c r="AA363" s="92">
        <f>IFERROR(VLOOKUP($A363,'13. Mapa Títulos-Receita'!$A$8:$P$1000,12,FALSE),"")</f>
        <v/>
      </c>
      <c r="AB363" s="92">
        <f>IFERROR(VLOOKUP($A363,'13. Mapa Títulos-Receita'!$A$8:$P$1000,13,FALSE),"")</f>
        <v/>
      </c>
      <c r="AC363" s="92">
        <f>IFERROR(VLOOKUP($A363,'13. Mapa Títulos-Receita'!$A$8:$P$1000,14,FALSE),"")</f>
        <v/>
      </c>
      <c r="AD363" s="92">
        <f>IFERROR(VLOOKUP($A363,'13. Mapa Títulos-Receita'!$A$8:$P$1000,15,FALSE),"")</f>
        <v/>
      </c>
      <c r="AE363" s="92">
        <f>IFERROR(VLOOKUP($A363,'13. Mapa Títulos-Receita'!$A$8:$P$1000,16,FALSE),"")</f>
        <v/>
      </c>
    </row>
    <row r="364">
      <c r="A364" s="28">
        <f>IF(C364="","", "CR-"&amp;TEXT(ROW()-7,"000"))</f>
        <v/>
      </c>
      <c r="B364" s="28" t="n"/>
      <c r="C364" s="28" t="n"/>
      <c r="D364" s="111" t="n"/>
      <c r="E364" s="111" t="n"/>
      <c r="F364" s="111" t="n"/>
      <c r="G364" s="28" t="n"/>
      <c r="H364" s="45" t="n"/>
      <c r="I364" s="45" t="n"/>
      <c r="J364" s="28">
        <f>IF(H364="","",IF(I364&gt;=H364,"Recebido",IF($B$4&gt;E364,"Vencido","Aberto")))</f>
        <v/>
      </c>
      <c r="K364" s="4">
        <f>IF(J364="","",IF(OR(J364="Recebido",F364=""),MAX(0,F364-E364),MAX(0,$B$4-E364)))</f>
        <v/>
      </c>
      <c r="L364" s="4">
        <f>IF(K364="","",IF(K364=0,"Em dia",IF(K364&lt;=30,"1-30 dias",IF(K364&lt;=60,"31-60 dias",IF(K364&lt;=90,"61-90 dias","&gt;90 dias")))))</f>
        <v/>
      </c>
      <c r="M364" s="28" t="n"/>
      <c r="N364" s="104" t="inlineStr"/>
      <c r="O364" s="64" t="n"/>
      <c r="P364" s="64">
        <f>IF(C364="","",IF(ISNUMBER(SEARCH("PCMSO",C364)),"PCMSO",IF(OR(ISNUMBER(SEARCH("E-SOCIAL",C364)),ISNUMBER(SEARCH("PSICOSOCIAL",C364))),"eSocial / Psicossocial",IF(O364="Receita recorrente","Carteira recorrente","Projetos / Laudos / Avulsos"))))</f>
        <v/>
      </c>
      <c r="Q364" s="64">
        <f>IF(P364="","",IF(P364="Carteira recorrente","Operação recorrente",IF(P364="PCMSO","Projetos PCMSO",IF(P364="eSocial / Psicossocial","Projetos eSocial/Psicossocial","Projetos / Laudos / Avulsos"))))</f>
        <v/>
      </c>
      <c r="R364" s="64">
        <f>IF(C364="","",IF(ISNUMBER(SEARCH("PCMSO",C364)),"Título com PCMSO no nome",IF(OR(ISNUMBER(SEARCH("E-SOCIAL",C364)),ISNUMBER(SEARCH("PSICOSOCIAL",C364))),"Título com eSocial/Psicossocial no nome",IF(O364="Receita recorrente","Tipo DRE recorrente","Extra sem palavra-chave específica"))))</f>
        <v/>
      </c>
      <c r="S364" s="92">
        <f>IFERROR(VLOOKUP($A364,'13. Mapa Títulos-Receita'!$A$8:$P$1000,4,FALSE),"")</f>
        <v/>
      </c>
      <c r="T364" s="92">
        <f>IFERROR(VLOOKUP($A364,'13. Mapa Títulos-Receita'!$A$8:$P$1000,5,FALSE),"")</f>
        <v/>
      </c>
      <c r="U364" s="92">
        <f>IFERROR(VLOOKUP($A364,'13. Mapa Títulos-Receita'!$A$8:$P$1000,6,FALSE),"")</f>
        <v/>
      </c>
      <c r="V364" s="92">
        <f>IFERROR(VLOOKUP($A364,'13. Mapa Títulos-Receita'!$A$8:$P$1000,7,FALSE),"")</f>
        <v/>
      </c>
      <c r="W364" s="92">
        <f>IFERROR(VLOOKUP($A364,'13. Mapa Títulos-Receita'!$A$8:$P$1000,8,FALSE),"")</f>
        <v/>
      </c>
      <c r="X364" s="92">
        <f>IFERROR(VLOOKUP($A364,'13. Mapa Títulos-Receita'!$A$8:$P$1000,9,FALSE),"")</f>
        <v/>
      </c>
      <c r="Y364" s="92">
        <f>IFERROR(VLOOKUP($A364,'13. Mapa Títulos-Receita'!$A$8:$P$1000,10,FALSE),"")</f>
        <v/>
      </c>
      <c r="Z364" s="92">
        <f>IFERROR(VLOOKUP($A364,'13. Mapa Títulos-Receita'!$A$8:$P$1000,11,FALSE),"")</f>
        <v/>
      </c>
      <c r="AA364" s="92">
        <f>IFERROR(VLOOKUP($A364,'13. Mapa Títulos-Receita'!$A$8:$P$1000,12,FALSE),"")</f>
        <v/>
      </c>
      <c r="AB364" s="92">
        <f>IFERROR(VLOOKUP($A364,'13. Mapa Títulos-Receita'!$A$8:$P$1000,13,FALSE),"")</f>
        <v/>
      </c>
      <c r="AC364" s="92">
        <f>IFERROR(VLOOKUP($A364,'13. Mapa Títulos-Receita'!$A$8:$P$1000,14,FALSE),"")</f>
        <v/>
      </c>
      <c r="AD364" s="92">
        <f>IFERROR(VLOOKUP($A364,'13. Mapa Títulos-Receita'!$A$8:$P$1000,15,FALSE),"")</f>
        <v/>
      </c>
      <c r="AE364" s="92">
        <f>IFERROR(VLOOKUP($A364,'13. Mapa Títulos-Receita'!$A$8:$P$1000,16,FALSE),"")</f>
        <v/>
      </c>
    </row>
    <row r="365">
      <c r="A365" s="28">
        <f>IF(C365="","", "CR-"&amp;TEXT(ROW()-7,"000"))</f>
        <v/>
      </c>
      <c r="B365" s="28" t="n"/>
      <c r="C365" s="28" t="n"/>
      <c r="D365" s="111" t="n"/>
      <c r="E365" s="111" t="n"/>
      <c r="F365" s="111" t="n"/>
      <c r="G365" s="28" t="n"/>
      <c r="H365" s="45" t="n"/>
      <c r="I365" s="45" t="n"/>
      <c r="J365" s="28">
        <f>IF(H365="","",IF(I365&gt;=H365,"Recebido",IF($B$4&gt;E365,"Vencido","Aberto")))</f>
        <v/>
      </c>
      <c r="K365" s="4">
        <f>IF(J365="","",IF(OR(J365="Recebido",F365=""),MAX(0,F365-E365),MAX(0,$B$4-E365)))</f>
        <v/>
      </c>
      <c r="L365" s="4">
        <f>IF(K365="","",IF(K365=0,"Em dia",IF(K365&lt;=30,"1-30 dias",IF(K365&lt;=60,"31-60 dias",IF(K365&lt;=90,"61-90 dias","&gt;90 dias")))))</f>
        <v/>
      </c>
      <c r="M365" s="28" t="n"/>
      <c r="N365" s="104" t="inlineStr"/>
      <c r="O365" s="64" t="n"/>
      <c r="P365" s="64">
        <f>IF(C365="","",IF(ISNUMBER(SEARCH("PCMSO",C365)),"PCMSO",IF(OR(ISNUMBER(SEARCH("E-SOCIAL",C365)),ISNUMBER(SEARCH("PSICOSOCIAL",C365))),"eSocial / Psicossocial",IF(O365="Receita recorrente","Carteira recorrente","Projetos / Laudos / Avulsos"))))</f>
        <v/>
      </c>
      <c r="Q365" s="64">
        <f>IF(P365="","",IF(P365="Carteira recorrente","Operação recorrente",IF(P365="PCMSO","Projetos PCMSO",IF(P365="eSocial / Psicossocial","Projetos eSocial/Psicossocial","Projetos / Laudos / Avulsos"))))</f>
        <v/>
      </c>
      <c r="R365" s="64">
        <f>IF(C365="","",IF(ISNUMBER(SEARCH("PCMSO",C365)),"Título com PCMSO no nome",IF(OR(ISNUMBER(SEARCH("E-SOCIAL",C365)),ISNUMBER(SEARCH("PSICOSOCIAL",C365))),"Título com eSocial/Psicossocial no nome",IF(O365="Receita recorrente","Tipo DRE recorrente","Extra sem palavra-chave específica"))))</f>
        <v/>
      </c>
      <c r="S365" s="92">
        <f>IFERROR(VLOOKUP($A365,'13. Mapa Títulos-Receita'!$A$8:$P$1000,4,FALSE),"")</f>
        <v/>
      </c>
      <c r="T365" s="92">
        <f>IFERROR(VLOOKUP($A365,'13. Mapa Títulos-Receita'!$A$8:$P$1000,5,FALSE),"")</f>
        <v/>
      </c>
      <c r="U365" s="92">
        <f>IFERROR(VLOOKUP($A365,'13. Mapa Títulos-Receita'!$A$8:$P$1000,6,FALSE),"")</f>
        <v/>
      </c>
      <c r="V365" s="92">
        <f>IFERROR(VLOOKUP($A365,'13. Mapa Títulos-Receita'!$A$8:$P$1000,7,FALSE),"")</f>
        <v/>
      </c>
      <c r="W365" s="92">
        <f>IFERROR(VLOOKUP($A365,'13. Mapa Títulos-Receita'!$A$8:$P$1000,8,FALSE),"")</f>
        <v/>
      </c>
      <c r="X365" s="92">
        <f>IFERROR(VLOOKUP($A365,'13. Mapa Títulos-Receita'!$A$8:$P$1000,9,FALSE),"")</f>
        <v/>
      </c>
      <c r="Y365" s="92">
        <f>IFERROR(VLOOKUP($A365,'13. Mapa Títulos-Receita'!$A$8:$P$1000,10,FALSE),"")</f>
        <v/>
      </c>
      <c r="Z365" s="92">
        <f>IFERROR(VLOOKUP($A365,'13. Mapa Títulos-Receita'!$A$8:$P$1000,11,FALSE),"")</f>
        <v/>
      </c>
      <c r="AA365" s="92">
        <f>IFERROR(VLOOKUP($A365,'13. Mapa Títulos-Receita'!$A$8:$P$1000,12,FALSE),"")</f>
        <v/>
      </c>
      <c r="AB365" s="92">
        <f>IFERROR(VLOOKUP($A365,'13. Mapa Títulos-Receita'!$A$8:$P$1000,13,FALSE),"")</f>
        <v/>
      </c>
      <c r="AC365" s="92">
        <f>IFERROR(VLOOKUP($A365,'13. Mapa Títulos-Receita'!$A$8:$P$1000,14,FALSE),"")</f>
        <v/>
      </c>
      <c r="AD365" s="92">
        <f>IFERROR(VLOOKUP($A365,'13. Mapa Títulos-Receita'!$A$8:$P$1000,15,FALSE),"")</f>
        <v/>
      </c>
      <c r="AE365" s="92">
        <f>IFERROR(VLOOKUP($A365,'13. Mapa Títulos-Receita'!$A$8:$P$1000,16,FALSE),"")</f>
        <v/>
      </c>
    </row>
    <row r="366">
      <c r="A366" s="28">
        <f>IF(C366="","", "CR-"&amp;TEXT(ROW()-7,"000"))</f>
        <v/>
      </c>
      <c r="B366" s="28" t="n"/>
      <c r="C366" s="28" t="n"/>
      <c r="D366" s="111" t="n"/>
      <c r="E366" s="111" t="n"/>
      <c r="F366" s="111" t="n"/>
      <c r="G366" s="28" t="n"/>
      <c r="H366" s="45" t="n"/>
      <c r="I366" s="45" t="n"/>
      <c r="J366" s="28">
        <f>IF(H366="","",IF(I366&gt;=H366,"Recebido",IF($B$4&gt;E366,"Vencido","Aberto")))</f>
        <v/>
      </c>
      <c r="K366" s="4">
        <f>IF(J366="","",IF(OR(J366="Recebido",F366=""),MAX(0,F366-E366),MAX(0,$B$4-E366)))</f>
        <v/>
      </c>
      <c r="L366" s="4">
        <f>IF(K366="","",IF(K366=0,"Em dia",IF(K366&lt;=30,"1-30 dias",IF(K366&lt;=60,"31-60 dias",IF(K366&lt;=90,"61-90 dias","&gt;90 dias")))))</f>
        <v/>
      </c>
      <c r="M366" s="28" t="n"/>
      <c r="N366" s="104" t="inlineStr"/>
      <c r="O366" s="64" t="n"/>
      <c r="P366" s="64">
        <f>IF(C366="","",IF(ISNUMBER(SEARCH("PCMSO",C366)),"PCMSO",IF(OR(ISNUMBER(SEARCH("E-SOCIAL",C366)),ISNUMBER(SEARCH("PSICOSOCIAL",C366))),"eSocial / Psicossocial",IF(O366="Receita recorrente","Carteira recorrente","Projetos / Laudos / Avulsos"))))</f>
        <v/>
      </c>
      <c r="Q366" s="64">
        <f>IF(P366="","",IF(P366="Carteira recorrente","Operação recorrente",IF(P366="PCMSO","Projetos PCMSO",IF(P366="eSocial / Psicossocial","Projetos eSocial/Psicossocial","Projetos / Laudos / Avulsos"))))</f>
        <v/>
      </c>
      <c r="R366" s="64">
        <f>IF(C366="","",IF(ISNUMBER(SEARCH("PCMSO",C366)),"Título com PCMSO no nome",IF(OR(ISNUMBER(SEARCH("E-SOCIAL",C366)),ISNUMBER(SEARCH("PSICOSOCIAL",C366))),"Título com eSocial/Psicossocial no nome",IF(O366="Receita recorrente","Tipo DRE recorrente","Extra sem palavra-chave específica"))))</f>
        <v/>
      </c>
      <c r="S366" s="92">
        <f>IFERROR(VLOOKUP($A366,'13. Mapa Títulos-Receita'!$A$8:$P$1000,4,FALSE),"")</f>
        <v/>
      </c>
      <c r="T366" s="92">
        <f>IFERROR(VLOOKUP($A366,'13. Mapa Títulos-Receita'!$A$8:$P$1000,5,FALSE),"")</f>
        <v/>
      </c>
      <c r="U366" s="92">
        <f>IFERROR(VLOOKUP($A366,'13. Mapa Títulos-Receita'!$A$8:$P$1000,6,FALSE),"")</f>
        <v/>
      </c>
      <c r="V366" s="92">
        <f>IFERROR(VLOOKUP($A366,'13. Mapa Títulos-Receita'!$A$8:$P$1000,7,FALSE),"")</f>
        <v/>
      </c>
      <c r="W366" s="92">
        <f>IFERROR(VLOOKUP($A366,'13. Mapa Títulos-Receita'!$A$8:$P$1000,8,FALSE),"")</f>
        <v/>
      </c>
      <c r="X366" s="92">
        <f>IFERROR(VLOOKUP($A366,'13. Mapa Títulos-Receita'!$A$8:$P$1000,9,FALSE),"")</f>
        <v/>
      </c>
      <c r="Y366" s="92">
        <f>IFERROR(VLOOKUP($A366,'13. Mapa Títulos-Receita'!$A$8:$P$1000,10,FALSE),"")</f>
        <v/>
      </c>
      <c r="Z366" s="92">
        <f>IFERROR(VLOOKUP($A366,'13. Mapa Títulos-Receita'!$A$8:$P$1000,11,FALSE),"")</f>
        <v/>
      </c>
      <c r="AA366" s="92">
        <f>IFERROR(VLOOKUP($A366,'13. Mapa Títulos-Receita'!$A$8:$P$1000,12,FALSE),"")</f>
        <v/>
      </c>
      <c r="AB366" s="92">
        <f>IFERROR(VLOOKUP($A366,'13. Mapa Títulos-Receita'!$A$8:$P$1000,13,FALSE),"")</f>
        <v/>
      </c>
      <c r="AC366" s="92">
        <f>IFERROR(VLOOKUP($A366,'13. Mapa Títulos-Receita'!$A$8:$P$1000,14,FALSE),"")</f>
        <v/>
      </c>
      <c r="AD366" s="92">
        <f>IFERROR(VLOOKUP($A366,'13. Mapa Títulos-Receita'!$A$8:$P$1000,15,FALSE),"")</f>
        <v/>
      </c>
      <c r="AE366" s="92">
        <f>IFERROR(VLOOKUP($A366,'13. Mapa Títulos-Receita'!$A$8:$P$1000,16,FALSE),"")</f>
        <v/>
      </c>
    </row>
    <row r="367">
      <c r="A367" s="28">
        <f>IF(C367="","", "CR-"&amp;TEXT(ROW()-7,"000"))</f>
        <v/>
      </c>
      <c r="B367" s="28" t="n"/>
      <c r="C367" s="28" t="n"/>
      <c r="D367" s="111" t="n"/>
      <c r="E367" s="111" t="n"/>
      <c r="F367" s="111" t="n"/>
      <c r="G367" s="28" t="n"/>
      <c r="H367" s="45" t="n"/>
      <c r="I367" s="45" t="n"/>
      <c r="J367" s="28">
        <f>IF(H367="","",IF(I367&gt;=H367,"Recebido",IF($B$4&gt;E367,"Vencido","Aberto")))</f>
        <v/>
      </c>
      <c r="K367" s="4">
        <f>IF(J367="","",IF(OR(J367="Recebido",F367=""),MAX(0,F367-E367),MAX(0,$B$4-E367)))</f>
        <v/>
      </c>
      <c r="L367" s="4">
        <f>IF(K367="","",IF(K367=0,"Em dia",IF(K367&lt;=30,"1-30 dias",IF(K367&lt;=60,"31-60 dias",IF(K367&lt;=90,"61-90 dias","&gt;90 dias")))))</f>
        <v/>
      </c>
      <c r="M367" s="28" t="n"/>
      <c r="N367" s="104" t="inlineStr"/>
      <c r="O367" s="64" t="n"/>
      <c r="P367" s="64">
        <f>IF(C367="","",IF(ISNUMBER(SEARCH("PCMSO",C367)),"PCMSO",IF(OR(ISNUMBER(SEARCH("E-SOCIAL",C367)),ISNUMBER(SEARCH("PSICOSOCIAL",C367))),"eSocial / Psicossocial",IF(O367="Receita recorrente","Carteira recorrente","Projetos / Laudos / Avulsos"))))</f>
        <v/>
      </c>
      <c r="Q367" s="64">
        <f>IF(P367="","",IF(P367="Carteira recorrente","Operação recorrente",IF(P367="PCMSO","Projetos PCMSO",IF(P367="eSocial / Psicossocial","Projetos eSocial/Psicossocial","Projetos / Laudos / Avulsos"))))</f>
        <v/>
      </c>
      <c r="R367" s="64">
        <f>IF(C367="","",IF(ISNUMBER(SEARCH("PCMSO",C367)),"Título com PCMSO no nome",IF(OR(ISNUMBER(SEARCH("E-SOCIAL",C367)),ISNUMBER(SEARCH("PSICOSOCIAL",C367))),"Título com eSocial/Psicossocial no nome",IF(O367="Receita recorrente","Tipo DRE recorrente","Extra sem palavra-chave específica"))))</f>
        <v/>
      </c>
      <c r="S367" s="92">
        <f>IFERROR(VLOOKUP($A367,'13. Mapa Títulos-Receita'!$A$8:$P$1000,4,FALSE),"")</f>
        <v/>
      </c>
      <c r="T367" s="92">
        <f>IFERROR(VLOOKUP($A367,'13. Mapa Títulos-Receita'!$A$8:$P$1000,5,FALSE),"")</f>
        <v/>
      </c>
      <c r="U367" s="92">
        <f>IFERROR(VLOOKUP($A367,'13. Mapa Títulos-Receita'!$A$8:$P$1000,6,FALSE),"")</f>
        <v/>
      </c>
      <c r="V367" s="92">
        <f>IFERROR(VLOOKUP($A367,'13. Mapa Títulos-Receita'!$A$8:$P$1000,7,FALSE),"")</f>
        <v/>
      </c>
      <c r="W367" s="92">
        <f>IFERROR(VLOOKUP($A367,'13. Mapa Títulos-Receita'!$A$8:$P$1000,8,FALSE),"")</f>
        <v/>
      </c>
      <c r="X367" s="92">
        <f>IFERROR(VLOOKUP($A367,'13. Mapa Títulos-Receita'!$A$8:$P$1000,9,FALSE),"")</f>
        <v/>
      </c>
      <c r="Y367" s="92">
        <f>IFERROR(VLOOKUP($A367,'13. Mapa Títulos-Receita'!$A$8:$P$1000,10,FALSE),"")</f>
        <v/>
      </c>
      <c r="Z367" s="92">
        <f>IFERROR(VLOOKUP($A367,'13. Mapa Títulos-Receita'!$A$8:$P$1000,11,FALSE),"")</f>
        <v/>
      </c>
      <c r="AA367" s="92">
        <f>IFERROR(VLOOKUP($A367,'13. Mapa Títulos-Receita'!$A$8:$P$1000,12,FALSE),"")</f>
        <v/>
      </c>
      <c r="AB367" s="92">
        <f>IFERROR(VLOOKUP($A367,'13. Mapa Títulos-Receita'!$A$8:$P$1000,13,FALSE),"")</f>
        <v/>
      </c>
      <c r="AC367" s="92">
        <f>IFERROR(VLOOKUP($A367,'13. Mapa Títulos-Receita'!$A$8:$P$1000,14,FALSE),"")</f>
        <v/>
      </c>
      <c r="AD367" s="92">
        <f>IFERROR(VLOOKUP($A367,'13. Mapa Títulos-Receita'!$A$8:$P$1000,15,FALSE),"")</f>
        <v/>
      </c>
      <c r="AE367" s="92">
        <f>IFERROR(VLOOKUP($A367,'13. Mapa Títulos-Receita'!$A$8:$P$1000,16,FALSE),"")</f>
        <v/>
      </c>
    </row>
    <row r="368">
      <c r="A368" s="28">
        <f>IF(C368="","", "CR-"&amp;TEXT(ROW()-7,"000"))</f>
        <v/>
      </c>
      <c r="B368" s="28" t="n"/>
      <c r="C368" s="28" t="n"/>
      <c r="D368" s="111" t="n"/>
      <c r="E368" s="111" t="n"/>
      <c r="F368" s="111" t="n"/>
      <c r="G368" s="28" t="n"/>
      <c r="H368" s="45" t="n"/>
      <c r="I368" s="45" t="n"/>
      <c r="J368" s="28">
        <f>IF(H368="","",IF(I368&gt;=H368,"Recebido",IF($B$4&gt;E368,"Vencido","Aberto")))</f>
        <v/>
      </c>
      <c r="K368" s="4">
        <f>IF(J368="","",IF(OR(J368="Recebido",F368=""),MAX(0,F368-E368),MAX(0,$B$4-E368)))</f>
        <v/>
      </c>
      <c r="L368" s="4">
        <f>IF(K368="","",IF(K368=0,"Em dia",IF(K368&lt;=30,"1-30 dias",IF(K368&lt;=60,"31-60 dias",IF(K368&lt;=90,"61-90 dias","&gt;90 dias")))))</f>
        <v/>
      </c>
      <c r="M368" s="28" t="n"/>
      <c r="N368" s="104" t="inlineStr"/>
      <c r="O368" s="64" t="n"/>
      <c r="P368" s="64">
        <f>IF(C368="","",IF(ISNUMBER(SEARCH("PCMSO",C368)),"PCMSO",IF(OR(ISNUMBER(SEARCH("E-SOCIAL",C368)),ISNUMBER(SEARCH("PSICOSOCIAL",C368))),"eSocial / Psicossocial",IF(O368="Receita recorrente","Carteira recorrente","Projetos / Laudos / Avulsos"))))</f>
        <v/>
      </c>
      <c r="Q368" s="64">
        <f>IF(P368="","",IF(P368="Carteira recorrente","Operação recorrente",IF(P368="PCMSO","Projetos PCMSO",IF(P368="eSocial / Psicossocial","Projetos eSocial/Psicossocial","Projetos / Laudos / Avulsos"))))</f>
        <v/>
      </c>
      <c r="R368" s="64">
        <f>IF(C368="","",IF(ISNUMBER(SEARCH("PCMSO",C368)),"Título com PCMSO no nome",IF(OR(ISNUMBER(SEARCH("E-SOCIAL",C368)),ISNUMBER(SEARCH("PSICOSOCIAL",C368))),"Título com eSocial/Psicossocial no nome",IF(O368="Receita recorrente","Tipo DRE recorrente","Extra sem palavra-chave específica"))))</f>
        <v/>
      </c>
      <c r="S368" s="92">
        <f>IFERROR(VLOOKUP($A368,'13. Mapa Títulos-Receita'!$A$8:$P$1000,4,FALSE),"")</f>
        <v/>
      </c>
      <c r="T368" s="92">
        <f>IFERROR(VLOOKUP($A368,'13. Mapa Títulos-Receita'!$A$8:$P$1000,5,FALSE),"")</f>
        <v/>
      </c>
      <c r="U368" s="92">
        <f>IFERROR(VLOOKUP($A368,'13. Mapa Títulos-Receita'!$A$8:$P$1000,6,FALSE),"")</f>
        <v/>
      </c>
      <c r="V368" s="92">
        <f>IFERROR(VLOOKUP($A368,'13. Mapa Títulos-Receita'!$A$8:$P$1000,7,FALSE),"")</f>
        <v/>
      </c>
      <c r="W368" s="92">
        <f>IFERROR(VLOOKUP($A368,'13. Mapa Títulos-Receita'!$A$8:$P$1000,8,FALSE),"")</f>
        <v/>
      </c>
      <c r="X368" s="92">
        <f>IFERROR(VLOOKUP($A368,'13. Mapa Títulos-Receita'!$A$8:$P$1000,9,FALSE),"")</f>
        <v/>
      </c>
      <c r="Y368" s="92">
        <f>IFERROR(VLOOKUP($A368,'13. Mapa Títulos-Receita'!$A$8:$P$1000,10,FALSE),"")</f>
        <v/>
      </c>
      <c r="Z368" s="92">
        <f>IFERROR(VLOOKUP($A368,'13. Mapa Títulos-Receita'!$A$8:$P$1000,11,FALSE),"")</f>
        <v/>
      </c>
      <c r="AA368" s="92">
        <f>IFERROR(VLOOKUP($A368,'13. Mapa Títulos-Receita'!$A$8:$P$1000,12,FALSE),"")</f>
        <v/>
      </c>
      <c r="AB368" s="92">
        <f>IFERROR(VLOOKUP($A368,'13. Mapa Títulos-Receita'!$A$8:$P$1000,13,FALSE),"")</f>
        <v/>
      </c>
      <c r="AC368" s="92">
        <f>IFERROR(VLOOKUP($A368,'13. Mapa Títulos-Receita'!$A$8:$P$1000,14,FALSE),"")</f>
        <v/>
      </c>
      <c r="AD368" s="92">
        <f>IFERROR(VLOOKUP($A368,'13. Mapa Títulos-Receita'!$A$8:$P$1000,15,FALSE),"")</f>
        <v/>
      </c>
      <c r="AE368" s="92">
        <f>IFERROR(VLOOKUP($A368,'13. Mapa Títulos-Receita'!$A$8:$P$1000,16,FALSE),"")</f>
        <v/>
      </c>
    </row>
    <row r="369">
      <c r="A369" s="28">
        <f>IF(C369="","", "CR-"&amp;TEXT(ROW()-7,"000"))</f>
        <v/>
      </c>
      <c r="B369" s="28" t="n"/>
      <c r="C369" s="28" t="n"/>
      <c r="D369" s="111" t="n"/>
      <c r="E369" s="111" t="n"/>
      <c r="F369" s="111" t="n"/>
      <c r="G369" s="28" t="n"/>
      <c r="H369" s="45" t="n"/>
      <c r="I369" s="45" t="n"/>
      <c r="J369" s="28">
        <f>IF(H369="","",IF(I369&gt;=H369,"Recebido",IF($B$4&gt;E369,"Vencido","Aberto")))</f>
        <v/>
      </c>
      <c r="K369" s="4">
        <f>IF(J369="","",IF(OR(J369="Recebido",F369=""),MAX(0,F369-E369),MAX(0,$B$4-E369)))</f>
        <v/>
      </c>
      <c r="L369" s="4">
        <f>IF(K369="","",IF(K369=0,"Em dia",IF(K369&lt;=30,"1-30 dias",IF(K369&lt;=60,"31-60 dias",IF(K369&lt;=90,"61-90 dias","&gt;90 dias")))))</f>
        <v/>
      </c>
      <c r="M369" s="28" t="n"/>
      <c r="N369" s="104" t="inlineStr"/>
      <c r="O369" s="64" t="n"/>
      <c r="P369" s="64">
        <f>IF(C369="","",IF(ISNUMBER(SEARCH("PCMSO",C369)),"PCMSO",IF(OR(ISNUMBER(SEARCH("E-SOCIAL",C369)),ISNUMBER(SEARCH("PSICOSOCIAL",C369))),"eSocial / Psicossocial",IF(O369="Receita recorrente","Carteira recorrente","Projetos / Laudos / Avulsos"))))</f>
        <v/>
      </c>
      <c r="Q369" s="64">
        <f>IF(P369="","",IF(P369="Carteira recorrente","Operação recorrente",IF(P369="PCMSO","Projetos PCMSO",IF(P369="eSocial / Psicossocial","Projetos eSocial/Psicossocial","Projetos / Laudos / Avulsos"))))</f>
        <v/>
      </c>
      <c r="R369" s="64">
        <f>IF(C369="","",IF(ISNUMBER(SEARCH("PCMSO",C369)),"Título com PCMSO no nome",IF(OR(ISNUMBER(SEARCH("E-SOCIAL",C369)),ISNUMBER(SEARCH("PSICOSOCIAL",C369))),"Título com eSocial/Psicossocial no nome",IF(O369="Receita recorrente","Tipo DRE recorrente","Extra sem palavra-chave específica"))))</f>
        <v/>
      </c>
      <c r="S369" s="92">
        <f>IFERROR(VLOOKUP($A369,'13. Mapa Títulos-Receita'!$A$8:$P$1000,4,FALSE),"")</f>
        <v/>
      </c>
      <c r="T369" s="92">
        <f>IFERROR(VLOOKUP($A369,'13. Mapa Títulos-Receita'!$A$8:$P$1000,5,FALSE),"")</f>
        <v/>
      </c>
      <c r="U369" s="92">
        <f>IFERROR(VLOOKUP($A369,'13. Mapa Títulos-Receita'!$A$8:$P$1000,6,FALSE),"")</f>
        <v/>
      </c>
      <c r="V369" s="92">
        <f>IFERROR(VLOOKUP($A369,'13. Mapa Títulos-Receita'!$A$8:$P$1000,7,FALSE),"")</f>
        <v/>
      </c>
      <c r="W369" s="92">
        <f>IFERROR(VLOOKUP($A369,'13. Mapa Títulos-Receita'!$A$8:$P$1000,8,FALSE),"")</f>
        <v/>
      </c>
      <c r="X369" s="92">
        <f>IFERROR(VLOOKUP($A369,'13. Mapa Títulos-Receita'!$A$8:$P$1000,9,FALSE),"")</f>
        <v/>
      </c>
      <c r="Y369" s="92">
        <f>IFERROR(VLOOKUP($A369,'13. Mapa Títulos-Receita'!$A$8:$P$1000,10,FALSE),"")</f>
        <v/>
      </c>
      <c r="Z369" s="92">
        <f>IFERROR(VLOOKUP($A369,'13. Mapa Títulos-Receita'!$A$8:$P$1000,11,FALSE),"")</f>
        <v/>
      </c>
      <c r="AA369" s="92">
        <f>IFERROR(VLOOKUP($A369,'13. Mapa Títulos-Receita'!$A$8:$P$1000,12,FALSE),"")</f>
        <v/>
      </c>
      <c r="AB369" s="92">
        <f>IFERROR(VLOOKUP($A369,'13. Mapa Títulos-Receita'!$A$8:$P$1000,13,FALSE),"")</f>
        <v/>
      </c>
      <c r="AC369" s="92">
        <f>IFERROR(VLOOKUP($A369,'13. Mapa Títulos-Receita'!$A$8:$P$1000,14,FALSE),"")</f>
        <v/>
      </c>
      <c r="AD369" s="92">
        <f>IFERROR(VLOOKUP($A369,'13. Mapa Títulos-Receita'!$A$8:$P$1000,15,FALSE),"")</f>
        <v/>
      </c>
      <c r="AE369" s="92">
        <f>IFERROR(VLOOKUP($A369,'13. Mapa Títulos-Receita'!$A$8:$P$1000,16,FALSE),"")</f>
        <v/>
      </c>
    </row>
    <row r="370">
      <c r="A370" s="28">
        <f>IF(C370="","", "CR-"&amp;TEXT(ROW()-7,"000"))</f>
        <v/>
      </c>
      <c r="B370" s="28" t="n"/>
      <c r="C370" s="28" t="n"/>
      <c r="D370" s="111" t="n"/>
      <c r="E370" s="111" t="n"/>
      <c r="F370" s="111" t="n"/>
      <c r="G370" s="28" t="n"/>
      <c r="H370" s="45" t="n"/>
      <c r="I370" s="45" t="n"/>
      <c r="J370" s="28">
        <f>IF(H370="","",IF(I370&gt;=H370,"Recebido",IF($B$4&gt;E370,"Vencido","Aberto")))</f>
        <v/>
      </c>
      <c r="K370" s="4">
        <f>IF(J370="","",IF(OR(J370="Recebido",F370=""),MAX(0,F370-E370),MAX(0,$B$4-E370)))</f>
        <v/>
      </c>
      <c r="L370" s="4">
        <f>IF(K370="","",IF(K370=0,"Em dia",IF(K370&lt;=30,"1-30 dias",IF(K370&lt;=60,"31-60 dias",IF(K370&lt;=90,"61-90 dias","&gt;90 dias")))))</f>
        <v/>
      </c>
      <c r="M370" s="28" t="n"/>
      <c r="N370" s="104" t="inlineStr"/>
      <c r="O370" s="64" t="n"/>
      <c r="P370" s="64">
        <f>IF(C370="","",IF(ISNUMBER(SEARCH("PCMSO",C370)),"PCMSO",IF(OR(ISNUMBER(SEARCH("E-SOCIAL",C370)),ISNUMBER(SEARCH("PSICOSOCIAL",C370))),"eSocial / Psicossocial",IF(O370="Receita recorrente","Carteira recorrente","Projetos / Laudos / Avulsos"))))</f>
        <v/>
      </c>
      <c r="Q370" s="64">
        <f>IF(P370="","",IF(P370="Carteira recorrente","Operação recorrente",IF(P370="PCMSO","Projetos PCMSO",IF(P370="eSocial / Psicossocial","Projetos eSocial/Psicossocial","Projetos / Laudos / Avulsos"))))</f>
        <v/>
      </c>
      <c r="R370" s="64">
        <f>IF(C370="","",IF(ISNUMBER(SEARCH("PCMSO",C370)),"Título com PCMSO no nome",IF(OR(ISNUMBER(SEARCH("E-SOCIAL",C370)),ISNUMBER(SEARCH("PSICOSOCIAL",C370))),"Título com eSocial/Psicossocial no nome",IF(O370="Receita recorrente","Tipo DRE recorrente","Extra sem palavra-chave específica"))))</f>
        <v/>
      </c>
      <c r="S370" s="92">
        <f>IFERROR(VLOOKUP($A370,'13. Mapa Títulos-Receita'!$A$8:$P$1000,4,FALSE),"")</f>
        <v/>
      </c>
      <c r="T370" s="92">
        <f>IFERROR(VLOOKUP($A370,'13. Mapa Títulos-Receita'!$A$8:$P$1000,5,FALSE),"")</f>
        <v/>
      </c>
      <c r="U370" s="92">
        <f>IFERROR(VLOOKUP($A370,'13. Mapa Títulos-Receita'!$A$8:$P$1000,6,FALSE),"")</f>
        <v/>
      </c>
      <c r="V370" s="92">
        <f>IFERROR(VLOOKUP($A370,'13. Mapa Títulos-Receita'!$A$8:$P$1000,7,FALSE),"")</f>
        <v/>
      </c>
      <c r="W370" s="92">
        <f>IFERROR(VLOOKUP($A370,'13. Mapa Títulos-Receita'!$A$8:$P$1000,8,FALSE),"")</f>
        <v/>
      </c>
      <c r="X370" s="92">
        <f>IFERROR(VLOOKUP($A370,'13. Mapa Títulos-Receita'!$A$8:$P$1000,9,FALSE),"")</f>
        <v/>
      </c>
      <c r="Y370" s="92">
        <f>IFERROR(VLOOKUP($A370,'13. Mapa Títulos-Receita'!$A$8:$P$1000,10,FALSE),"")</f>
        <v/>
      </c>
      <c r="Z370" s="92">
        <f>IFERROR(VLOOKUP($A370,'13. Mapa Títulos-Receita'!$A$8:$P$1000,11,FALSE),"")</f>
        <v/>
      </c>
      <c r="AA370" s="92">
        <f>IFERROR(VLOOKUP($A370,'13. Mapa Títulos-Receita'!$A$8:$P$1000,12,FALSE),"")</f>
        <v/>
      </c>
      <c r="AB370" s="92">
        <f>IFERROR(VLOOKUP($A370,'13. Mapa Títulos-Receita'!$A$8:$P$1000,13,FALSE),"")</f>
        <v/>
      </c>
      <c r="AC370" s="92">
        <f>IFERROR(VLOOKUP($A370,'13. Mapa Títulos-Receita'!$A$8:$P$1000,14,FALSE),"")</f>
        <v/>
      </c>
      <c r="AD370" s="92">
        <f>IFERROR(VLOOKUP($A370,'13. Mapa Títulos-Receita'!$A$8:$P$1000,15,FALSE),"")</f>
        <v/>
      </c>
      <c r="AE370" s="92">
        <f>IFERROR(VLOOKUP($A370,'13. Mapa Títulos-Receita'!$A$8:$P$1000,16,FALSE),"")</f>
        <v/>
      </c>
    </row>
    <row r="371">
      <c r="A371" s="28">
        <f>IF(C371="","", "CR-"&amp;TEXT(ROW()-7,"000"))</f>
        <v/>
      </c>
      <c r="B371" s="28" t="n"/>
      <c r="C371" s="28" t="n"/>
      <c r="D371" s="111" t="n"/>
      <c r="E371" s="111" t="n"/>
      <c r="F371" s="111" t="n"/>
      <c r="G371" s="28" t="n"/>
      <c r="H371" s="45" t="n"/>
      <c r="I371" s="45" t="n"/>
      <c r="J371" s="28">
        <f>IF(H371="","",IF(I371&gt;=H371,"Recebido",IF($B$4&gt;E371,"Vencido","Aberto")))</f>
        <v/>
      </c>
      <c r="K371" s="4">
        <f>IF(J371="","",IF(OR(J371="Recebido",F371=""),MAX(0,F371-E371),MAX(0,$B$4-E371)))</f>
        <v/>
      </c>
      <c r="L371" s="4">
        <f>IF(K371="","",IF(K371=0,"Em dia",IF(K371&lt;=30,"1-30 dias",IF(K371&lt;=60,"31-60 dias",IF(K371&lt;=90,"61-90 dias","&gt;90 dias")))))</f>
        <v/>
      </c>
      <c r="M371" s="28" t="n"/>
      <c r="N371" s="104" t="inlineStr"/>
      <c r="O371" s="64" t="n"/>
      <c r="P371" s="64">
        <f>IF(C371="","",IF(ISNUMBER(SEARCH("PCMSO",C371)),"PCMSO",IF(OR(ISNUMBER(SEARCH("E-SOCIAL",C371)),ISNUMBER(SEARCH("PSICOSOCIAL",C371))),"eSocial / Psicossocial",IF(O371="Receita recorrente","Carteira recorrente","Projetos / Laudos / Avulsos"))))</f>
        <v/>
      </c>
      <c r="Q371" s="64">
        <f>IF(P371="","",IF(P371="Carteira recorrente","Operação recorrente",IF(P371="PCMSO","Projetos PCMSO",IF(P371="eSocial / Psicossocial","Projetos eSocial/Psicossocial","Projetos / Laudos / Avulsos"))))</f>
        <v/>
      </c>
      <c r="R371" s="64">
        <f>IF(C371="","",IF(ISNUMBER(SEARCH("PCMSO",C371)),"Título com PCMSO no nome",IF(OR(ISNUMBER(SEARCH("E-SOCIAL",C371)),ISNUMBER(SEARCH("PSICOSOCIAL",C371))),"Título com eSocial/Psicossocial no nome",IF(O371="Receita recorrente","Tipo DRE recorrente","Extra sem palavra-chave específica"))))</f>
        <v/>
      </c>
      <c r="S371" s="92">
        <f>IFERROR(VLOOKUP($A371,'13. Mapa Títulos-Receita'!$A$8:$P$1000,4,FALSE),"")</f>
        <v/>
      </c>
      <c r="T371" s="92">
        <f>IFERROR(VLOOKUP($A371,'13. Mapa Títulos-Receita'!$A$8:$P$1000,5,FALSE),"")</f>
        <v/>
      </c>
      <c r="U371" s="92">
        <f>IFERROR(VLOOKUP($A371,'13. Mapa Títulos-Receita'!$A$8:$P$1000,6,FALSE),"")</f>
        <v/>
      </c>
      <c r="V371" s="92">
        <f>IFERROR(VLOOKUP($A371,'13. Mapa Títulos-Receita'!$A$8:$P$1000,7,FALSE),"")</f>
        <v/>
      </c>
      <c r="W371" s="92">
        <f>IFERROR(VLOOKUP($A371,'13. Mapa Títulos-Receita'!$A$8:$P$1000,8,FALSE),"")</f>
        <v/>
      </c>
      <c r="X371" s="92">
        <f>IFERROR(VLOOKUP($A371,'13. Mapa Títulos-Receita'!$A$8:$P$1000,9,FALSE),"")</f>
        <v/>
      </c>
      <c r="Y371" s="92">
        <f>IFERROR(VLOOKUP($A371,'13. Mapa Títulos-Receita'!$A$8:$P$1000,10,FALSE),"")</f>
        <v/>
      </c>
      <c r="Z371" s="92">
        <f>IFERROR(VLOOKUP($A371,'13. Mapa Títulos-Receita'!$A$8:$P$1000,11,FALSE),"")</f>
        <v/>
      </c>
      <c r="AA371" s="92">
        <f>IFERROR(VLOOKUP($A371,'13. Mapa Títulos-Receita'!$A$8:$P$1000,12,FALSE),"")</f>
        <v/>
      </c>
      <c r="AB371" s="92">
        <f>IFERROR(VLOOKUP($A371,'13. Mapa Títulos-Receita'!$A$8:$P$1000,13,FALSE),"")</f>
        <v/>
      </c>
      <c r="AC371" s="92">
        <f>IFERROR(VLOOKUP($A371,'13. Mapa Títulos-Receita'!$A$8:$P$1000,14,FALSE),"")</f>
        <v/>
      </c>
      <c r="AD371" s="92">
        <f>IFERROR(VLOOKUP($A371,'13. Mapa Títulos-Receita'!$A$8:$P$1000,15,FALSE),"")</f>
        <v/>
      </c>
      <c r="AE371" s="92">
        <f>IFERROR(VLOOKUP($A371,'13. Mapa Títulos-Receita'!$A$8:$P$1000,16,FALSE),"")</f>
        <v/>
      </c>
    </row>
    <row r="372">
      <c r="A372" s="28">
        <f>IF(C372="","", "CR-"&amp;TEXT(ROW()-7,"000"))</f>
        <v/>
      </c>
      <c r="B372" s="28" t="n"/>
      <c r="C372" s="28" t="n"/>
      <c r="D372" s="111" t="n"/>
      <c r="E372" s="111" t="n"/>
      <c r="F372" s="111" t="n"/>
      <c r="G372" s="28" t="n"/>
      <c r="H372" s="45" t="n"/>
      <c r="I372" s="45" t="n"/>
      <c r="J372" s="28">
        <f>IF(H372="","",IF(I372&gt;=H372,"Recebido",IF($B$4&gt;E372,"Vencido","Aberto")))</f>
        <v/>
      </c>
      <c r="K372" s="4">
        <f>IF(J372="","",IF(OR(J372="Recebido",F372=""),MAX(0,F372-E372),MAX(0,$B$4-E372)))</f>
        <v/>
      </c>
      <c r="L372" s="4">
        <f>IF(K372="","",IF(K372=0,"Em dia",IF(K372&lt;=30,"1-30 dias",IF(K372&lt;=60,"31-60 dias",IF(K372&lt;=90,"61-90 dias","&gt;90 dias")))))</f>
        <v/>
      </c>
      <c r="M372" s="28" t="n"/>
      <c r="N372" s="104" t="inlineStr"/>
      <c r="O372" s="64" t="n"/>
      <c r="P372" s="64">
        <f>IF(C372="","",IF(ISNUMBER(SEARCH("PCMSO",C372)),"PCMSO",IF(OR(ISNUMBER(SEARCH("E-SOCIAL",C372)),ISNUMBER(SEARCH("PSICOSOCIAL",C372))),"eSocial / Psicossocial",IF(O372="Receita recorrente","Carteira recorrente","Projetos / Laudos / Avulsos"))))</f>
        <v/>
      </c>
      <c r="Q372" s="64">
        <f>IF(P372="","",IF(P372="Carteira recorrente","Operação recorrente",IF(P372="PCMSO","Projetos PCMSO",IF(P372="eSocial / Psicossocial","Projetos eSocial/Psicossocial","Projetos / Laudos / Avulsos"))))</f>
        <v/>
      </c>
      <c r="R372" s="64">
        <f>IF(C372="","",IF(ISNUMBER(SEARCH("PCMSO",C372)),"Título com PCMSO no nome",IF(OR(ISNUMBER(SEARCH("E-SOCIAL",C372)),ISNUMBER(SEARCH("PSICOSOCIAL",C372))),"Título com eSocial/Psicossocial no nome",IF(O372="Receita recorrente","Tipo DRE recorrente","Extra sem palavra-chave específica"))))</f>
        <v/>
      </c>
      <c r="S372" s="92">
        <f>IFERROR(VLOOKUP($A372,'13. Mapa Títulos-Receita'!$A$8:$P$1000,4,FALSE),"")</f>
        <v/>
      </c>
      <c r="T372" s="92">
        <f>IFERROR(VLOOKUP($A372,'13. Mapa Títulos-Receita'!$A$8:$P$1000,5,FALSE),"")</f>
        <v/>
      </c>
      <c r="U372" s="92">
        <f>IFERROR(VLOOKUP($A372,'13. Mapa Títulos-Receita'!$A$8:$P$1000,6,FALSE),"")</f>
        <v/>
      </c>
      <c r="V372" s="92">
        <f>IFERROR(VLOOKUP($A372,'13. Mapa Títulos-Receita'!$A$8:$P$1000,7,FALSE),"")</f>
        <v/>
      </c>
      <c r="W372" s="92">
        <f>IFERROR(VLOOKUP($A372,'13. Mapa Títulos-Receita'!$A$8:$P$1000,8,FALSE),"")</f>
        <v/>
      </c>
      <c r="X372" s="92">
        <f>IFERROR(VLOOKUP($A372,'13. Mapa Títulos-Receita'!$A$8:$P$1000,9,FALSE),"")</f>
        <v/>
      </c>
      <c r="Y372" s="92">
        <f>IFERROR(VLOOKUP($A372,'13. Mapa Títulos-Receita'!$A$8:$P$1000,10,FALSE),"")</f>
        <v/>
      </c>
      <c r="Z372" s="92">
        <f>IFERROR(VLOOKUP($A372,'13. Mapa Títulos-Receita'!$A$8:$P$1000,11,FALSE),"")</f>
        <v/>
      </c>
      <c r="AA372" s="92">
        <f>IFERROR(VLOOKUP($A372,'13. Mapa Títulos-Receita'!$A$8:$P$1000,12,FALSE),"")</f>
        <v/>
      </c>
      <c r="AB372" s="92">
        <f>IFERROR(VLOOKUP($A372,'13. Mapa Títulos-Receita'!$A$8:$P$1000,13,FALSE),"")</f>
        <v/>
      </c>
      <c r="AC372" s="92">
        <f>IFERROR(VLOOKUP($A372,'13. Mapa Títulos-Receita'!$A$8:$P$1000,14,FALSE),"")</f>
        <v/>
      </c>
      <c r="AD372" s="92">
        <f>IFERROR(VLOOKUP($A372,'13. Mapa Títulos-Receita'!$A$8:$P$1000,15,FALSE),"")</f>
        <v/>
      </c>
      <c r="AE372" s="92">
        <f>IFERROR(VLOOKUP($A372,'13. Mapa Títulos-Receita'!$A$8:$P$1000,16,FALSE),"")</f>
        <v/>
      </c>
    </row>
    <row r="373">
      <c r="A373" s="28">
        <f>IF(C373="","", "CR-"&amp;TEXT(ROW()-7,"000"))</f>
        <v/>
      </c>
      <c r="B373" s="28" t="n"/>
      <c r="C373" s="28" t="n"/>
      <c r="D373" s="111" t="n"/>
      <c r="E373" s="111" t="n"/>
      <c r="F373" s="111" t="n"/>
      <c r="G373" s="28" t="n"/>
      <c r="H373" s="45" t="n"/>
      <c r="I373" s="45" t="n"/>
      <c r="J373" s="28">
        <f>IF(H373="","",IF(I373&gt;=H373,"Recebido",IF($B$4&gt;E373,"Vencido","Aberto")))</f>
        <v/>
      </c>
      <c r="K373" s="4">
        <f>IF(J373="","",IF(OR(J373="Recebido",F373=""),MAX(0,F373-E373),MAX(0,$B$4-E373)))</f>
        <v/>
      </c>
      <c r="L373" s="4">
        <f>IF(K373="","",IF(K373=0,"Em dia",IF(K373&lt;=30,"1-30 dias",IF(K373&lt;=60,"31-60 dias",IF(K373&lt;=90,"61-90 dias","&gt;90 dias")))))</f>
        <v/>
      </c>
      <c r="M373" s="28" t="n"/>
      <c r="N373" s="104" t="inlineStr"/>
      <c r="O373" s="64" t="n"/>
      <c r="P373" s="64">
        <f>IF(C373="","",IF(ISNUMBER(SEARCH("PCMSO",C373)),"PCMSO",IF(OR(ISNUMBER(SEARCH("E-SOCIAL",C373)),ISNUMBER(SEARCH("PSICOSOCIAL",C373))),"eSocial / Psicossocial",IF(O373="Receita recorrente","Carteira recorrente","Projetos / Laudos / Avulsos"))))</f>
        <v/>
      </c>
      <c r="Q373" s="64">
        <f>IF(P373="","",IF(P373="Carteira recorrente","Operação recorrente",IF(P373="PCMSO","Projetos PCMSO",IF(P373="eSocial / Psicossocial","Projetos eSocial/Psicossocial","Projetos / Laudos / Avulsos"))))</f>
        <v/>
      </c>
      <c r="R373" s="64">
        <f>IF(C373="","",IF(ISNUMBER(SEARCH("PCMSO",C373)),"Título com PCMSO no nome",IF(OR(ISNUMBER(SEARCH("E-SOCIAL",C373)),ISNUMBER(SEARCH("PSICOSOCIAL",C373))),"Título com eSocial/Psicossocial no nome",IF(O373="Receita recorrente","Tipo DRE recorrente","Extra sem palavra-chave específica"))))</f>
        <v/>
      </c>
      <c r="S373" s="92">
        <f>IFERROR(VLOOKUP($A373,'13. Mapa Títulos-Receita'!$A$8:$P$1000,4,FALSE),"")</f>
        <v/>
      </c>
      <c r="T373" s="92">
        <f>IFERROR(VLOOKUP($A373,'13. Mapa Títulos-Receita'!$A$8:$P$1000,5,FALSE),"")</f>
        <v/>
      </c>
      <c r="U373" s="92">
        <f>IFERROR(VLOOKUP($A373,'13. Mapa Títulos-Receita'!$A$8:$P$1000,6,FALSE),"")</f>
        <v/>
      </c>
      <c r="V373" s="92">
        <f>IFERROR(VLOOKUP($A373,'13. Mapa Títulos-Receita'!$A$8:$P$1000,7,FALSE),"")</f>
        <v/>
      </c>
      <c r="W373" s="92">
        <f>IFERROR(VLOOKUP($A373,'13. Mapa Títulos-Receita'!$A$8:$P$1000,8,FALSE),"")</f>
        <v/>
      </c>
      <c r="X373" s="92">
        <f>IFERROR(VLOOKUP($A373,'13. Mapa Títulos-Receita'!$A$8:$P$1000,9,FALSE),"")</f>
        <v/>
      </c>
      <c r="Y373" s="92">
        <f>IFERROR(VLOOKUP($A373,'13. Mapa Títulos-Receita'!$A$8:$P$1000,10,FALSE),"")</f>
        <v/>
      </c>
      <c r="Z373" s="92">
        <f>IFERROR(VLOOKUP($A373,'13. Mapa Títulos-Receita'!$A$8:$P$1000,11,FALSE),"")</f>
        <v/>
      </c>
      <c r="AA373" s="92">
        <f>IFERROR(VLOOKUP($A373,'13. Mapa Títulos-Receita'!$A$8:$P$1000,12,FALSE),"")</f>
        <v/>
      </c>
      <c r="AB373" s="92">
        <f>IFERROR(VLOOKUP($A373,'13. Mapa Títulos-Receita'!$A$8:$P$1000,13,FALSE),"")</f>
        <v/>
      </c>
      <c r="AC373" s="92">
        <f>IFERROR(VLOOKUP($A373,'13. Mapa Títulos-Receita'!$A$8:$P$1000,14,FALSE),"")</f>
        <v/>
      </c>
      <c r="AD373" s="92">
        <f>IFERROR(VLOOKUP($A373,'13. Mapa Títulos-Receita'!$A$8:$P$1000,15,FALSE),"")</f>
        <v/>
      </c>
      <c r="AE373" s="92">
        <f>IFERROR(VLOOKUP($A373,'13. Mapa Títulos-Receita'!$A$8:$P$1000,16,FALSE),"")</f>
        <v/>
      </c>
    </row>
    <row r="374">
      <c r="A374" s="28">
        <f>IF(C374="","", "CR-"&amp;TEXT(ROW()-7,"000"))</f>
        <v/>
      </c>
      <c r="B374" s="28" t="n"/>
      <c r="C374" s="28" t="n"/>
      <c r="D374" s="111" t="n"/>
      <c r="E374" s="111" t="n"/>
      <c r="F374" s="111" t="n"/>
      <c r="G374" s="28" t="n"/>
      <c r="H374" s="45" t="n"/>
      <c r="I374" s="45" t="n"/>
      <c r="J374" s="28">
        <f>IF(H374="","",IF(I374&gt;=H374,"Recebido",IF($B$4&gt;E374,"Vencido","Aberto")))</f>
        <v/>
      </c>
      <c r="K374" s="4">
        <f>IF(J374="","",IF(OR(J374="Recebido",F374=""),MAX(0,F374-E374),MAX(0,$B$4-E374)))</f>
        <v/>
      </c>
      <c r="L374" s="4">
        <f>IF(K374="","",IF(K374=0,"Em dia",IF(K374&lt;=30,"1-30 dias",IF(K374&lt;=60,"31-60 dias",IF(K374&lt;=90,"61-90 dias","&gt;90 dias")))))</f>
        <v/>
      </c>
      <c r="M374" s="28" t="n"/>
      <c r="N374" s="104" t="inlineStr"/>
      <c r="O374" s="64" t="n"/>
      <c r="P374" s="64">
        <f>IF(C374="","",IF(ISNUMBER(SEARCH("PCMSO",C374)),"PCMSO",IF(OR(ISNUMBER(SEARCH("E-SOCIAL",C374)),ISNUMBER(SEARCH("PSICOSOCIAL",C374))),"eSocial / Psicossocial",IF(O374="Receita recorrente","Carteira recorrente","Projetos / Laudos / Avulsos"))))</f>
        <v/>
      </c>
      <c r="Q374" s="64">
        <f>IF(P374="","",IF(P374="Carteira recorrente","Operação recorrente",IF(P374="PCMSO","Projetos PCMSO",IF(P374="eSocial / Psicossocial","Projetos eSocial/Psicossocial","Projetos / Laudos / Avulsos"))))</f>
        <v/>
      </c>
      <c r="R374" s="64">
        <f>IF(C374="","",IF(ISNUMBER(SEARCH("PCMSO",C374)),"Título com PCMSO no nome",IF(OR(ISNUMBER(SEARCH("E-SOCIAL",C374)),ISNUMBER(SEARCH("PSICOSOCIAL",C374))),"Título com eSocial/Psicossocial no nome",IF(O374="Receita recorrente","Tipo DRE recorrente","Extra sem palavra-chave específica"))))</f>
        <v/>
      </c>
      <c r="S374" s="92">
        <f>IFERROR(VLOOKUP($A374,'13. Mapa Títulos-Receita'!$A$8:$P$1000,4,FALSE),"")</f>
        <v/>
      </c>
      <c r="T374" s="92">
        <f>IFERROR(VLOOKUP($A374,'13. Mapa Títulos-Receita'!$A$8:$P$1000,5,FALSE),"")</f>
        <v/>
      </c>
      <c r="U374" s="92">
        <f>IFERROR(VLOOKUP($A374,'13. Mapa Títulos-Receita'!$A$8:$P$1000,6,FALSE),"")</f>
        <v/>
      </c>
      <c r="V374" s="92">
        <f>IFERROR(VLOOKUP($A374,'13. Mapa Títulos-Receita'!$A$8:$P$1000,7,FALSE),"")</f>
        <v/>
      </c>
      <c r="W374" s="92">
        <f>IFERROR(VLOOKUP($A374,'13. Mapa Títulos-Receita'!$A$8:$P$1000,8,FALSE),"")</f>
        <v/>
      </c>
      <c r="X374" s="92">
        <f>IFERROR(VLOOKUP($A374,'13. Mapa Títulos-Receita'!$A$8:$P$1000,9,FALSE),"")</f>
        <v/>
      </c>
      <c r="Y374" s="92">
        <f>IFERROR(VLOOKUP($A374,'13. Mapa Títulos-Receita'!$A$8:$P$1000,10,FALSE),"")</f>
        <v/>
      </c>
      <c r="Z374" s="92">
        <f>IFERROR(VLOOKUP($A374,'13. Mapa Títulos-Receita'!$A$8:$P$1000,11,FALSE),"")</f>
        <v/>
      </c>
      <c r="AA374" s="92">
        <f>IFERROR(VLOOKUP($A374,'13. Mapa Títulos-Receita'!$A$8:$P$1000,12,FALSE),"")</f>
        <v/>
      </c>
      <c r="AB374" s="92">
        <f>IFERROR(VLOOKUP($A374,'13. Mapa Títulos-Receita'!$A$8:$P$1000,13,FALSE),"")</f>
        <v/>
      </c>
      <c r="AC374" s="92">
        <f>IFERROR(VLOOKUP($A374,'13. Mapa Títulos-Receita'!$A$8:$P$1000,14,FALSE),"")</f>
        <v/>
      </c>
      <c r="AD374" s="92">
        <f>IFERROR(VLOOKUP($A374,'13. Mapa Títulos-Receita'!$A$8:$P$1000,15,FALSE),"")</f>
        <v/>
      </c>
      <c r="AE374" s="92">
        <f>IFERROR(VLOOKUP($A374,'13. Mapa Títulos-Receita'!$A$8:$P$1000,16,FALSE),"")</f>
        <v/>
      </c>
    </row>
    <row r="375">
      <c r="A375" s="28">
        <f>IF(C375="","", "CR-"&amp;TEXT(ROW()-7,"000"))</f>
        <v/>
      </c>
      <c r="B375" s="28" t="n"/>
      <c r="C375" s="28" t="n"/>
      <c r="D375" s="111" t="n"/>
      <c r="E375" s="111" t="n"/>
      <c r="F375" s="111" t="n"/>
      <c r="G375" s="28" t="n"/>
      <c r="H375" s="45" t="n"/>
      <c r="I375" s="45" t="n"/>
      <c r="J375" s="28">
        <f>IF(H375="","",IF(I375&gt;=H375,"Recebido",IF($B$4&gt;E375,"Vencido","Aberto")))</f>
        <v/>
      </c>
      <c r="K375" s="4">
        <f>IF(J375="","",IF(OR(J375="Recebido",F375=""),MAX(0,F375-E375),MAX(0,$B$4-E375)))</f>
        <v/>
      </c>
      <c r="L375" s="4">
        <f>IF(K375="","",IF(K375=0,"Em dia",IF(K375&lt;=30,"1-30 dias",IF(K375&lt;=60,"31-60 dias",IF(K375&lt;=90,"61-90 dias","&gt;90 dias")))))</f>
        <v/>
      </c>
      <c r="M375" s="28" t="n"/>
      <c r="N375" s="104" t="inlineStr"/>
      <c r="O375" s="64" t="n"/>
      <c r="P375" s="64">
        <f>IF(C375="","",IF(ISNUMBER(SEARCH("PCMSO",C375)),"PCMSO",IF(OR(ISNUMBER(SEARCH("E-SOCIAL",C375)),ISNUMBER(SEARCH("PSICOSOCIAL",C375))),"eSocial / Psicossocial",IF(O375="Receita recorrente","Carteira recorrente","Projetos / Laudos / Avulsos"))))</f>
        <v/>
      </c>
      <c r="Q375" s="64">
        <f>IF(P375="","",IF(P375="Carteira recorrente","Operação recorrente",IF(P375="PCMSO","Projetos PCMSO",IF(P375="eSocial / Psicossocial","Projetos eSocial/Psicossocial","Projetos / Laudos / Avulsos"))))</f>
        <v/>
      </c>
      <c r="R375" s="64">
        <f>IF(C375="","",IF(ISNUMBER(SEARCH("PCMSO",C375)),"Título com PCMSO no nome",IF(OR(ISNUMBER(SEARCH("E-SOCIAL",C375)),ISNUMBER(SEARCH("PSICOSOCIAL",C375))),"Título com eSocial/Psicossocial no nome",IF(O375="Receita recorrente","Tipo DRE recorrente","Extra sem palavra-chave específica"))))</f>
        <v/>
      </c>
      <c r="S375" s="92">
        <f>IFERROR(VLOOKUP($A375,'13. Mapa Títulos-Receita'!$A$8:$P$1000,4,FALSE),"")</f>
        <v/>
      </c>
      <c r="T375" s="92">
        <f>IFERROR(VLOOKUP($A375,'13. Mapa Títulos-Receita'!$A$8:$P$1000,5,FALSE),"")</f>
        <v/>
      </c>
      <c r="U375" s="92">
        <f>IFERROR(VLOOKUP($A375,'13. Mapa Títulos-Receita'!$A$8:$P$1000,6,FALSE),"")</f>
        <v/>
      </c>
      <c r="V375" s="92">
        <f>IFERROR(VLOOKUP($A375,'13. Mapa Títulos-Receita'!$A$8:$P$1000,7,FALSE),"")</f>
        <v/>
      </c>
      <c r="W375" s="92">
        <f>IFERROR(VLOOKUP($A375,'13. Mapa Títulos-Receita'!$A$8:$P$1000,8,FALSE),"")</f>
        <v/>
      </c>
      <c r="X375" s="92">
        <f>IFERROR(VLOOKUP($A375,'13. Mapa Títulos-Receita'!$A$8:$P$1000,9,FALSE),"")</f>
        <v/>
      </c>
      <c r="Y375" s="92">
        <f>IFERROR(VLOOKUP($A375,'13. Mapa Títulos-Receita'!$A$8:$P$1000,10,FALSE),"")</f>
        <v/>
      </c>
      <c r="Z375" s="92">
        <f>IFERROR(VLOOKUP($A375,'13. Mapa Títulos-Receita'!$A$8:$P$1000,11,FALSE),"")</f>
        <v/>
      </c>
      <c r="AA375" s="92">
        <f>IFERROR(VLOOKUP($A375,'13. Mapa Títulos-Receita'!$A$8:$P$1000,12,FALSE),"")</f>
        <v/>
      </c>
      <c r="AB375" s="92">
        <f>IFERROR(VLOOKUP($A375,'13. Mapa Títulos-Receita'!$A$8:$P$1000,13,FALSE),"")</f>
        <v/>
      </c>
      <c r="AC375" s="92">
        <f>IFERROR(VLOOKUP($A375,'13. Mapa Títulos-Receita'!$A$8:$P$1000,14,FALSE),"")</f>
        <v/>
      </c>
      <c r="AD375" s="92">
        <f>IFERROR(VLOOKUP($A375,'13. Mapa Títulos-Receita'!$A$8:$P$1000,15,FALSE),"")</f>
        <v/>
      </c>
      <c r="AE375" s="92">
        <f>IFERROR(VLOOKUP($A375,'13. Mapa Títulos-Receita'!$A$8:$P$1000,16,FALSE),"")</f>
        <v/>
      </c>
    </row>
    <row r="376">
      <c r="A376" s="28">
        <f>IF(C376="","", "CR-"&amp;TEXT(ROW()-7,"000"))</f>
        <v/>
      </c>
      <c r="B376" s="28" t="n"/>
      <c r="C376" s="28" t="n"/>
      <c r="D376" s="111" t="n"/>
      <c r="E376" s="111" t="n"/>
      <c r="F376" s="111" t="n"/>
      <c r="G376" s="28" t="n"/>
      <c r="H376" s="45" t="n"/>
      <c r="I376" s="45" t="n"/>
      <c r="J376" s="28">
        <f>IF(H376="","",IF(I376&gt;=H376,"Recebido",IF($B$4&gt;E376,"Vencido","Aberto")))</f>
        <v/>
      </c>
      <c r="K376" s="4">
        <f>IF(J376="","",IF(OR(J376="Recebido",F376=""),MAX(0,F376-E376),MAX(0,$B$4-E376)))</f>
        <v/>
      </c>
      <c r="L376" s="4">
        <f>IF(K376="","",IF(K376=0,"Em dia",IF(K376&lt;=30,"1-30 dias",IF(K376&lt;=60,"31-60 dias",IF(K376&lt;=90,"61-90 dias","&gt;90 dias")))))</f>
        <v/>
      </c>
      <c r="M376" s="28" t="n"/>
      <c r="N376" s="104" t="inlineStr"/>
      <c r="O376" s="64" t="n"/>
      <c r="P376" s="64">
        <f>IF(C376="","",IF(ISNUMBER(SEARCH("PCMSO",C376)),"PCMSO",IF(OR(ISNUMBER(SEARCH("E-SOCIAL",C376)),ISNUMBER(SEARCH("PSICOSOCIAL",C376))),"eSocial / Psicossocial",IF(O376="Receita recorrente","Carteira recorrente","Projetos / Laudos / Avulsos"))))</f>
        <v/>
      </c>
      <c r="Q376" s="64">
        <f>IF(P376="","",IF(P376="Carteira recorrente","Operação recorrente",IF(P376="PCMSO","Projetos PCMSO",IF(P376="eSocial / Psicossocial","Projetos eSocial/Psicossocial","Projetos / Laudos / Avulsos"))))</f>
        <v/>
      </c>
      <c r="R376" s="64">
        <f>IF(C376="","",IF(ISNUMBER(SEARCH("PCMSO",C376)),"Título com PCMSO no nome",IF(OR(ISNUMBER(SEARCH("E-SOCIAL",C376)),ISNUMBER(SEARCH("PSICOSOCIAL",C376))),"Título com eSocial/Psicossocial no nome",IF(O376="Receita recorrente","Tipo DRE recorrente","Extra sem palavra-chave específica"))))</f>
        <v/>
      </c>
      <c r="S376" s="92">
        <f>IFERROR(VLOOKUP($A376,'13. Mapa Títulos-Receita'!$A$8:$P$1000,4,FALSE),"")</f>
        <v/>
      </c>
      <c r="T376" s="92">
        <f>IFERROR(VLOOKUP($A376,'13. Mapa Títulos-Receita'!$A$8:$P$1000,5,FALSE),"")</f>
        <v/>
      </c>
      <c r="U376" s="92">
        <f>IFERROR(VLOOKUP($A376,'13. Mapa Títulos-Receita'!$A$8:$P$1000,6,FALSE),"")</f>
        <v/>
      </c>
      <c r="V376" s="92">
        <f>IFERROR(VLOOKUP($A376,'13. Mapa Títulos-Receita'!$A$8:$P$1000,7,FALSE),"")</f>
        <v/>
      </c>
      <c r="W376" s="92">
        <f>IFERROR(VLOOKUP($A376,'13. Mapa Títulos-Receita'!$A$8:$P$1000,8,FALSE),"")</f>
        <v/>
      </c>
      <c r="X376" s="92">
        <f>IFERROR(VLOOKUP($A376,'13. Mapa Títulos-Receita'!$A$8:$P$1000,9,FALSE),"")</f>
        <v/>
      </c>
      <c r="Y376" s="92">
        <f>IFERROR(VLOOKUP($A376,'13. Mapa Títulos-Receita'!$A$8:$P$1000,10,FALSE),"")</f>
        <v/>
      </c>
      <c r="Z376" s="92">
        <f>IFERROR(VLOOKUP($A376,'13. Mapa Títulos-Receita'!$A$8:$P$1000,11,FALSE),"")</f>
        <v/>
      </c>
      <c r="AA376" s="92">
        <f>IFERROR(VLOOKUP($A376,'13. Mapa Títulos-Receita'!$A$8:$P$1000,12,FALSE),"")</f>
        <v/>
      </c>
      <c r="AB376" s="92">
        <f>IFERROR(VLOOKUP($A376,'13. Mapa Títulos-Receita'!$A$8:$P$1000,13,FALSE),"")</f>
        <v/>
      </c>
      <c r="AC376" s="92">
        <f>IFERROR(VLOOKUP($A376,'13. Mapa Títulos-Receita'!$A$8:$P$1000,14,FALSE),"")</f>
        <v/>
      </c>
      <c r="AD376" s="92">
        <f>IFERROR(VLOOKUP($A376,'13. Mapa Títulos-Receita'!$A$8:$P$1000,15,FALSE),"")</f>
        <v/>
      </c>
      <c r="AE376" s="92">
        <f>IFERROR(VLOOKUP($A376,'13. Mapa Títulos-Receita'!$A$8:$P$1000,16,FALSE),"")</f>
        <v/>
      </c>
    </row>
    <row r="377">
      <c r="A377" s="28">
        <f>IF(C377="","", "CR-"&amp;TEXT(ROW()-7,"000"))</f>
        <v/>
      </c>
      <c r="B377" s="28" t="n"/>
      <c r="C377" s="28" t="n"/>
      <c r="D377" s="111" t="n"/>
      <c r="E377" s="111" t="n"/>
      <c r="F377" s="111" t="n"/>
      <c r="G377" s="28" t="n"/>
      <c r="H377" s="45" t="n"/>
      <c r="I377" s="45" t="n"/>
      <c r="J377" s="28">
        <f>IF(H377="","",IF(I377&gt;=H377,"Recebido",IF($B$4&gt;E377,"Vencido","Aberto")))</f>
        <v/>
      </c>
      <c r="K377" s="4">
        <f>IF(J377="","",IF(OR(J377="Recebido",F377=""),MAX(0,F377-E377),MAX(0,$B$4-E377)))</f>
        <v/>
      </c>
      <c r="L377" s="4">
        <f>IF(K377="","",IF(K377=0,"Em dia",IF(K377&lt;=30,"1-30 dias",IF(K377&lt;=60,"31-60 dias",IF(K377&lt;=90,"61-90 dias","&gt;90 dias")))))</f>
        <v/>
      </c>
      <c r="M377" s="28" t="n"/>
      <c r="N377" s="104" t="inlineStr"/>
      <c r="O377" s="64" t="n"/>
      <c r="P377" s="64">
        <f>IF(C377="","",IF(ISNUMBER(SEARCH("PCMSO",C377)),"PCMSO",IF(OR(ISNUMBER(SEARCH("E-SOCIAL",C377)),ISNUMBER(SEARCH("PSICOSOCIAL",C377))),"eSocial / Psicossocial",IF(O377="Receita recorrente","Carteira recorrente","Projetos / Laudos / Avulsos"))))</f>
        <v/>
      </c>
      <c r="Q377" s="64">
        <f>IF(P377="","",IF(P377="Carteira recorrente","Operação recorrente",IF(P377="PCMSO","Projetos PCMSO",IF(P377="eSocial / Psicossocial","Projetos eSocial/Psicossocial","Projetos / Laudos / Avulsos"))))</f>
        <v/>
      </c>
      <c r="R377" s="64">
        <f>IF(C377="","",IF(ISNUMBER(SEARCH("PCMSO",C377)),"Título com PCMSO no nome",IF(OR(ISNUMBER(SEARCH("E-SOCIAL",C377)),ISNUMBER(SEARCH("PSICOSOCIAL",C377))),"Título com eSocial/Psicossocial no nome",IF(O377="Receita recorrente","Tipo DRE recorrente","Extra sem palavra-chave específica"))))</f>
        <v/>
      </c>
      <c r="S377" s="92">
        <f>IFERROR(VLOOKUP($A377,'13. Mapa Títulos-Receita'!$A$8:$P$1000,4,FALSE),"")</f>
        <v/>
      </c>
      <c r="T377" s="92">
        <f>IFERROR(VLOOKUP($A377,'13. Mapa Títulos-Receita'!$A$8:$P$1000,5,FALSE),"")</f>
        <v/>
      </c>
      <c r="U377" s="92">
        <f>IFERROR(VLOOKUP($A377,'13. Mapa Títulos-Receita'!$A$8:$P$1000,6,FALSE),"")</f>
        <v/>
      </c>
      <c r="V377" s="92">
        <f>IFERROR(VLOOKUP($A377,'13. Mapa Títulos-Receita'!$A$8:$P$1000,7,FALSE),"")</f>
        <v/>
      </c>
      <c r="W377" s="92">
        <f>IFERROR(VLOOKUP($A377,'13. Mapa Títulos-Receita'!$A$8:$P$1000,8,FALSE),"")</f>
        <v/>
      </c>
      <c r="X377" s="92">
        <f>IFERROR(VLOOKUP($A377,'13. Mapa Títulos-Receita'!$A$8:$P$1000,9,FALSE),"")</f>
        <v/>
      </c>
      <c r="Y377" s="92">
        <f>IFERROR(VLOOKUP($A377,'13. Mapa Títulos-Receita'!$A$8:$P$1000,10,FALSE),"")</f>
        <v/>
      </c>
      <c r="Z377" s="92">
        <f>IFERROR(VLOOKUP($A377,'13. Mapa Títulos-Receita'!$A$8:$P$1000,11,FALSE),"")</f>
        <v/>
      </c>
      <c r="AA377" s="92">
        <f>IFERROR(VLOOKUP($A377,'13. Mapa Títulos-Receita'!$A$8:$P$1000,12,FALSE),"")</f>
        <v/>
      </c>
      <c r="AB377" s="92">
        <f>IFERROR(VLOOKUP($A377,'13. Mapa Títulos-Receita'!$A$8:$P$1000,13,FALSE),"")</f>
        <v/>
      </c>
      <c r="AC377" s="92">
        <f>IFERROR(VLOOKUP($A377,'13. Mapa Títulos-Receita'!$A$8:$P$1000,14,FALSE),"")</f>
        <v/>
      </c>
      <c r="AD377" s="92">
        <f>IFERROR(VLOOKUP($A377,'13. Mapa Títulos-Receita'!$A$8:$P$1000,15,FALSE),"")</f>
        <v/>
      </c>
      <c r="AE377" s="92">
        <f>IFERROR(VLOOKUP($A377,'13. Mapa Títulos-Receita'!$A$8:$P$1000,16,FALSE),"")</f>
        <v/>
      </c>
    </row>
    <row r="378">
      <c r="A378" s="28">
        <f>IF(C378="","", "CR-"&amp;TEXT(ROW()-7,"000"))</f>
        <v/>
      </c>
      <c r="B378" s="28" t="n"/>
      <c r="C378" s="28" t="n"/>
      <c r="D378" s="111" t="n"/>
      <c r="E378" s="111" t="n"/>
      <c r="F378" s="111" t="n"/>
      <c r="G378" s="28" t="n"/>
      <c r="H378" s="45" t="n"/>
      <c r="I378" s="45" t="n"/>
      <c r="J378" s="28">
        <f>IF(H378="","",IF(I378&gt;=H378,"Recebido",IF($B$4&gt;E378,"Vencido","Aberto")))</f>
        <v/>
      </c>
      <c r="K378" s="4">
        <f>IF(J378="","",IF(OR(J378="Recebido",F378=""),MAX(0,F378-E378),MAX(0,$B$4-E378)))</f>
        <v/>
      </c>
      <c r="L378" s="4">
        <f>IF(K378="","",IF(K378=0,"Em dia",IF(K378&lt;=30,"1-30 dias",IF(K378&lt;=60,"31-60 dias",IF(K378&lt;=90,"61-90 dias","&gt;90 dias")))))</f>
        <v/>
      </c>
      <c r="M378" s="28" t="n"/>
      <c r="N378" s="104" t="inlineStr"/>
      <c r="O378" s="64" t="n"/>
      <c r="P378" s="64">
        <f>IF(C378="","",IF(ISNUMBER(SEARCH("PCMSO",C378)),"PCMSO",IF(OR(ISNUMBER(SEARCH("E-SOCIAL",C378)),ISNUMBER(SEARCH("PSICOSOCIAL",C378))),"eSocial / Psicossocial",IF(O378="Receita recorrente","Carteira recorrente","Projetos / Laudos / Avulsos"))))</f>
        <v/>
      </c>
      <c r="Q378" s="64">
        <f>IF(P378="","",IF(P378="Carteira recorrente","Operação recorrente",IF(P378="PCMSO","Projetos PCMSO",IF(P378="eSocial / Psicossocial","Projetos eSocial/Psicossocial","Projetos / Laudos / Avulsos"))))</f>
        <v/>
      </c>
      <c r="R378" s="64">
        <f>IF(C378="","",IF(ISNUMBER(SEARCH("PCMSO",C378)),"Título com PCMSO no nome",IF(OR(ISNUMBER(SEARCH("E-SOCIAL",C378)),ISNUMBER(SEARCH("PSICOSOCIAL",C378))),"Título com eSocial/Psicossocial no nome",IF(O378="Receita recorrente","Tipo DRE recorrente","Extra sem palavra-chave específica"))))</f>
        <v/>
      </c>
      <c r="S378" s="92">
        <f>IFERROR(VLOOKUP($A378,'13. Mapa Títulos-Receita'!$A$8:$P$1000,4,FALSE),"")</f>
        <v/>
      </c>
      <c r="T378" s="92">
        <f>IFERROR(VLOOKUP($A378,'13. Mapa Títulos-Receita'!$A$8:$P$1000,5,FALSE),"")</f>
        <v/>
      </c>
      <c r="U378" s="92">
        <f>IFERROR(VLOOKUP($A378,'13. Mapa Títulos-Receita'!$A$8:$P$1000,6,FALSE),"")</f>
        <v/>
      </c>
      <c r="V378" s="92">
        <f>IFERROR(VLOOKUP($A378,'13. Mapa Títulos-Receita'!$A$8:$P$1000,7,FALSE),"")</f>
        <v/>
      </c>
      <c r="W378" s="92">
        <f>IFERROR(VLOOKUP($A378,'13. Mapa Títulos-Receita'!$A$8:$P$1000,8,FALSE),"")</f>
        <v/>
      </c>
      <c r="X378" s="92">
        <f>IFERROR(VLOOKUP($A378,'13. Mapa Títulos-Receita'!$A$8:$P$1000,9,FALSE),"")</f>
        <v/>
      </c>
      <c r="Y378" s="92">
        <f>IFERROR(VLOOKUP($A378,'13. Mapa Títulos-Receita'!$A$8:$P$1000,10,FALSE),"")</f>
        <v/>
      </c>
      <c r="Z378" s="92">
        <f>IFERROR(VLOOKUP($A378,'13. Mapa Títulos-Receita'!$A$8:$P$1000,11,FALSE),"")</f>
        <v/>
      </c>
      <c r="AA378" s="92">
        <f>IFERROR(VLOOKUP($A378,'13. Mapa Títulos-Receita'!$A$8:$P$1000,12,FALSE),"")</f>
        <v/>
      </c>
      <c r="AB378" s="92">
        <f>IFERROR(VLOOKUP($A378,'13. Mapa Títulos-Receita'!$A$8:$P$1000,13,FALSE),"")</f>
        <v/>
      </c>
      <c r="AC378" s="92">
        <f>IFERROR(VLOOKUP($A378,'13. Mapa Títulos-Receita'!$A$8:$P$1000,14,FALSE),"")</f>
        <v/>
      </c>
      <c r="AD378" s="92">
        <f>IFERROR(VLOOKUP($A378,'13. Mapa Títulos-Receita'!$A$8:$P$1000,15,FALSE),"")</f>
        <v/>
      </c>
      <c r="AE378" s="92">
        <f>IFERROR(VLOOKUP($A378,'13. Mapa Títulos-Receita'!$A$8:$P$1000,16,FALSE),"")</f>
        <v/>
      </c>
    </row>
    <row r="379">
      <c r="A379" s="28">
        <f>IF(C379="","", "CR-"&amp;TEXT(ROW()-7,"000"))</f>
        <v/>
      </c>
      <c r="B379" s="28" t="n"/>
      <c r="C379" s="28" t="n"/>
      <c r="D379" s="111" t="n"/>
      <c r="E379" s="111" t="n"/>
      <c r="F379" s="111" t="n"/>
      <c r="G379" s="28" t="n"/>
      <c r="H379" s="45" t="n"/>
      <c r="I379" s="45" t="n"/>
      <c r="J379" s="28">
        <f>IF(H379="","",IF(I379&gt;=H379,"Recebido",IF($B$4&gt;E379,"Vencido","Aberto")))</f>
        <v/>
      </c>
      <c r="K379" s="4">
        <f>IF(J379="","",IF(OR(J379="Recebido",F379=""),MAX(0,F379-E379),MAX(0,$B$4-E379)))</f>
        <v/>
      </c>
      <c r="L379" s="4">
        <f>IF(K379="","",IF(K379=0,"Em dia",IF(K379&lt;=30,"1-30 dias",IF(K379&lt;=60,"31-60 dias",IF(K379&lt;=90,"61-90 dias","&gt;90 dias")))))</f>
        <v/>
      </c>
      <c r="M379" s="28" t="n"/>
      <c r="N379" s="104" t="inlineStr"/>
      <c r="O379" s="64" t="n"/>
      <c r="P379" s="64">
        <f>IF(C379="","",IF(ISNUMBER(SEARCH("PCMSO",C379)),"PCMSO",IF(OR(ISNUMBER(SEARCH("E-SOCIAL",C379)),ISNUMBER(SEARCH("PSICOSOCIAL",C379))),"eSocial / Psicossocial",IF(O379="Receita recorrente","Carteira recorrente","Projetos / Laudos / Avulsos"))))</f>
        <v/>
      </c>
      <c r="Q379" s="64">
        <f>IF(P379="","",IF(P379="Carteira recorrente","Operação recorrente",IF(P379="PCMSO","Projetos PCMSO",IF(P379="eSocial / Psicossocial","Projetos eSocial/Psicossocial","Projetos / Laudos / Avulsos"))))</f>
        <v/>
      </c>
      <c r="R379" s="64">
        <f>IF(C379="","",IF(ISNUMBER(SEARCH("PCMSO",C379)),"Título com PCMSO no nome",IF(OR(ISNUMBER(SEARCH("E-SOCIAL",C379)),ISNUMBER(SEARCH("PSICOSOCIAL",C379))),"Título com eSocial/Psicossocial no nome",IF(O379="Receita recorrente","Tipo DRE recorrente","Extra sem palavra-chave específica"))))</f>
        <v/>
      </c>
      <c r="S379" s="92">
        <f>IFERROR(VLOOKUP($A379,'13. Mapa Títulos-Receita'!$A$8:$P$1000,4,FALSE),"")</f>
        <v/>
      </c>
      <c r="T379" s="92">
        <f>IFERROR(VLOOKUP($A379,'13. Mapa Títulos-Receita'!$A$8:$P$1000,5,FALSE),"")</f>
        <v/>
      </c>
      <c r="U379" s="92">
        <f>IFERROR(VLOOKUP($A379,'13. Mapa Títulos-Receita'!$A$8:$P$1000,6,FALSE),"")</f>
        <v/>
      </c>
      <c r="V379" s="92">
        <f>IFERROR(VLOOKUP($A379,'13. Mapa Títulos-Receita'!$A$8:$P$1000,7,FALSE),"")</f>
        <v/>
      </c>
      <c r="W379" s="92">
        <f>IFERROR(VLOOKUP($A379,'13. Mapa Títulos-Receita'!$A$8:$P$1000,8,FALSE),"")</f>
        <v/>
      </c>
      <c r="X379" s="92">
        <f>IFERROR(VLOOKUP($A379,'13. Mapa Títulos-Receita'!$A$8:$P$1000,9,FALSE),"")</f>
        <v/>
      </c>
      <c r="Y379" s="92">
        <f>IFERROR(VLOOKUP($A379,'13. Mapa Títulos-Receita'!$A$8:$P$1000,10,FALSE),"")</f>
        <v/>
      </c>
      <c r="Z379" s="92">
        <f>IFERROR(VLOOKUP($A379,'13. Mapa Títulos-Receita'!$A$8:$P$1000,11,FALSE),"")</f>
        <v/>
      </c>
      <c r="AA379" s="92">
        <f>IFERROR(VLOOKUP($A379,'13. Mapa Títulos-Receita'!$A$8:$P$1000,12,FALSE),"")</f>
        <v/>
      </c>
      <c r="AB379" s="92">
        <f>IFERROR(VLOOKUP($A379,'13. Mapa Títulos-Receita'!$A$8:$P$1000,13,FALSE),"")</f>
        <v/>
      </c>
      <c r="AC379" s="92">
        <f>IFERROR(VLOOKUP($A379,'13. Mapa Títulos-Receita'!$A$8:$P$1000,14,FALSE),"")</f>
        <v/>
      </c>
      <c r="AD379" s="92">
        <f>IFERROR(VLOOKUP($A379,'13. Mapa Títulos-Receita'!$A$8:$P$1000,15,FALSE),"")</f>
        <v/>
      </c>
      <c r="AE379" s="92">
        <f>IFERROR(VLOOKUP($A379,'13. Mapa Títulos-Receita'!$A$8:$P$1000,16,FALSE),"")</f>
        <v/>
      </c>
    </row>
    <row r="380">
      <c r="A380" s="28">
        <f>IF(C380="","", "CR-"&amp;TEXT(ROW()-7,"000"))</f>
        <v/>
      </c>
      <c r="B380" s="28" t="n"/>
      <c r="C380" s="28" t="n"/>
      <c r="D380" s="111" t="n"/>
      <c r="E380" s="111" t="n"/>
      <c r="F380" s="111" t="n"/>
      <c r="G380" s="28" t="n"/>
      <c r="H380" s="45" t="n"/>
      <c r="I380" s="45" t="n"/>
      <c r="J380" s="28">
        <f>IF(H380="","",IF(I380&gt;=H380,"Recebido",IF($B$4&gt;E380,"Vencido","Aberto")))</f>
        <v/>
      </c>
      <c r="K380" s="4">
        <f>IF(J380="","",IF(OR(J380="Recebido",F380=""),MAX(0,F380-E380),MAX(0,$B$4-E380)))</f>
        <v/>
      </c>
      <c r="L380" s="4">
        <f>IF(K380="","",IF(K380=0,"Em dia",IF(K380&lt;=30,"1-30 dias",IF(K380&lt;=60,"31-60 dias",IF(K380&lt;=90,"61-90 dias","&gt;90 dias")))))</f>
        <v/>
      </c>
      <c r="M380" s="28" t="n"/>
      <c r="N380" s="104" t="inlineStr"/>
      <c r="O380" s="64" t="n"/>
      <c r="P380" s="64">
        <f>IF(C380="","",IF(ISNUMBER(SEARCH("PCMSO",C380)),"PCMSO",IF(OR(ISNUMBER(SEARCH("E-SOCIAL",C380)),ISNUMBER(SEARCH("PSICOSOCIAL",C380))),"eSocial / Psicossocial",IF(O380="Receita recorrente","Carteira recorrente","Projetos / Laudos / Avulsos"))))</f>
        <v/>
      </c>
      <c r="Q380" s="64">
        <f>IF(P380="","",IF(P380="Carteira recorrente","Operação recorrente",IF(P380="PCMSO","Projetos PCMSO",IF(P380="eSocial / Psicossocial","Projetos eSocial/Psicossocial","Projetos / Laudos / Avulsos"))))</f>
        <v/>
      </c>
      <c r="R380" s="64">
        <f>IF(C380="","",IF(ISNUMBER(SEARCH("PCMSO",C380)),"Título com PCMSO no nome",IF(OR(ISNUMBER(SEARCH("E-SOCIAL",C380)),ISNUMBER(SEARCH("PSICOSOCIAL",C380))),"Título com eSocial/Psicossocial no nome",IF(O380="Receita recorrente","Tipo DRE recorrente","Extra sem palavra-chave específica"))))</f>
        <v/>
      </c>
      <c r="S380" s="92">
        <f>IFERROR(VLOOKUP($A380,'13. Mapa Títulos-Receita'!$A$8:$P$1000,4,FALSE),"")</f>
        <v/>
      </c>
      <c r="T380" s="92">
        <f>IFERROR(VLOOKUP($A380,'13. Mapa Títulos-Receita'!$A$8:$P$1000,5,FALSE),"")</f>
        <v/>
      </c>
      <c r="U380" s="92">
        <f>IFERROR(VLOOKUP($A380,'13. Mapa Títulos-Receita'!$A$8:$P$1000,6,FALSE),"")</f>
        <v/>
      </c>
      <c r="V380" s="92">
        <f>IFERROR(VLOOKUP($A380,'13. Mapa Títulos-Receita'!$A$8:$P$1000,7,FALSE),"")</f>
        <v/>
      </c>
      <c r="W380" s="92">
        <f>IFERROR(VLOOKUP($A380,'13. Mapa Títulos-Receita'!$A$8:$P$1000,8,FALSE),"")</f>
        <v/>
      </c>
      <c r="X380" s="92">
        <f>IFERROR(VLOOKUP($A380,'13. Mapa Títulos-Receita'!$A$8:$P$1000,9,FALSE),"")</f>
        <v/>
      </c>
      <c r="Y380" s="92">
        <f>IFERROR(VLOOKUP($A380,'13. Mapa Títulos-Receita'!$A$8:$P$1000,10,FALSE),"")</f>
        <v/>
      </c>
      <c r="Z380" s="92">
        <f>IFERROR(VLOOKUP($A380,'13. Mapa Títulos-Receita'!$A$8:$P$1000,11,FALSE),"")</f>
        <v/>
      </c>
      <c r="AA380" s="92">
        <f>IFERROR(VLOOKUP($A380,'13. Mapa Títulos-Receita'!$A$8:$P$1000,12,FALSE),"")</f>
        <v/>
      </c>
      <c r="AB380" s="92">
        <f>IFERROR(VLOOKUP($A380,'13. Mapa Títulos-Receita'!$A$8:$P$1000,13,FALSE),"")</f>
        <v/>
      </c>
      <c r="AC380" s="92">
        <f>IFERROR(VLOOKUP($A380,'13. Mapa Títulos-Receita'!$A$8:$P$1000,14,FALSE),"")</f>
        <v/>
      </c>
      <c r="AD380" s="92">
        <f>IFERROR(VLOOKUP($A380,'13. Mapa Títulos-Receita'!$A$8:$P$1000,15,FALSE),"")</f>
        <v/>
      </c>
      <c r="AE380" s="92">
        <f>IFERROR(VLOOKUP($A380,'13. Mapa Títulos-Receita'!$A$8:$P$1000,16,FALSE),"")</f>
        <v/>
      </c>
    </row>
    <row r="381">
      <c r="A381" s="28">
        <f>IF(C381="","", "CR-"&amp;TEXT(ROW()-7,"000"))</f>
        <v/>
      </c>
      <c r="B381" s="28" t="n"/>
      <c r="C381" s="28" t="n"/>
      <c r="D381" s="111" t="n"/>
      <c r="E381" s="111" t="n"/>
      <c r="F381" s="111" t="n"/>
      <c r="G381" s="28" t="n"/>
      <c r="H381" s="45" t="n"/>
      <c r="I381" s="45" t="n"/>
      <c r="J381" s="28">
        <f>IF(H381="","",IF(I381&gt;=H381,"Recebido",IF($B$4&gt;E381,"Vencido","Aberto")))</f>
        <v/>
      </c>
      <c r="K381" s="4">
        <f>IF(J381="","",IF(OR(J381="Recebido",F381=""),MAX(0,F381-E381),MAX(0,$B$4-E381)))</f>
        <v/>
      </c>
      <c r="L381" s="4">
        <f>IF(K381="","",IF(K381=0,"Em dia",IF(K381&lt;=30,"1-30 dias",IF(K381&lt;=60,"31-60 dias",IF(K381&lt;=90,"61-90 dias","&gt;90 dias")))))</f>
        <v/>
      </c>
      <c r="M381" s="28" t="n"/>
      <c r="N381" s="104" t="inlineStr"/>
      <c r="O381" s="64" t="n"/>
      <c r="P381" s="64">
        <f>IF(C381="","",IF(ISNUMBER(SEARCH("PCMSO",C381)),"PCMSO",IF(OR(ISNUMBER(SEARCH("E-SOCIAL",C381)),ISNUMBER(SEARCH("PSICOSOCIAL",C381))),"eSocial / Psicossocial",IF(O381="Receita recorrente","Carteira recorrente","Projetos / Laudos / Avulsos"))))</f>
        <v/>
      </c>
      <c r="Q381" s="64">
        <f>IF(P381="","",IF(P381="Carteira recorrente","Operação recorrente",IF(P381="PCMSO","Projetos PCMSO",IF(P381="eSocial / Psicossocial","Projetos eSocial/Psicossocial","Projetos / Laudos / Avulsos"))))</f>
        <v/>
      </c>
      <c r="R381" s="64">
        <f>IF(C381="","",IF(ISNUMBER(SEARCH("PCMSO",C381)),"Título com PCMSO no nome",IF(OR(ISNUMBER(SEARCH("E-SOCIAL",C381)),ISNUMBER(SEARCH("PSICOSOCIAL",C381))),"Título com eSocial/Psicossocial no nome",IF(O381="Receita recorrente","Tipo DRE recorrente","Extra sem palavra-chave específica"))))</f>
        <v/>
      </c>
      <c r="S381" s="92">
        <f>IFERROR(VLOOKUP($A381,'13. Mapa Títulos-Receita'!$A$8:$P$1000,4,FALSE),"")</f>
        <v/>
      </c>
      <c r="T381" s="92">
        <f>IFERROR(VLOOKUP($A381,'13. Mapa Títulos-Receita'!$A$8:$P$1000,5,FALSE),"")</f>
        <v/>
      </c>
      <c r="U381" s="92">
        <f>IFERROR(VLOOKUP($A381,'13. Mapa Títulos-Receita'!$A$8:$P$1000,6,FALSE),"")</f>
        <v/>
      </c>
      <c r="V381" s="92">
        <f>IFERROR(VLOOKUP($A381,'13. Mapa Títulos-Receita'!$A$8:$P$1000,7,FALSE),"")</f>
        <v/>
      </c>
      <c r="W381" s="92">
        <f>IFERROR(VLOOKUP($A381,'13. Mapa Títulos-Receita'!$A$8:$P$1000,8,FALSE),"")</f>
        <v/>
      </c>
      <c r="X381" s="92">
        <f>IFERROR(VLOOKUP($A381,'13. Mapa Títulos-Receita'!$A$8:$P$1000,9,FALSE),"")</f>
        <v/>
      </c>
      <c r="Y381" s="92">
        <f>IFERROR(VLOOKUP($A381,'13. Mapa Títulos-Receita'!$A$8:$P$1000,10,FALSE),"")</f>
        <v/>
      </c>
      <c r="Z381" s="92">
        <f>IFERROR(VLOOKUP($A381,'13. Mapa Títulos-Receita'!$A$8:$P$1000,11,FALSE),"")</f>
        <v/>
      </c>
      <c r="AA381" s="92">
        <f>IFERROR(VLOOKUP($A381,'13. Mapa Títulos-Receita'!$A$8:$P$1000,12,FALSE),"")</f>
        <v/>
      </c>
      <c r="AB381" s="92">
        <f>IFERROR(VLOOKUP($A381,'13. Mapa Títulos-Receita'!$A$8:$P$1000,13,FALSE),"")</f>
        <v/>
      </c>
      <c r="AC381" s="92">
        <f>IFERROR(VLOOKUP($A381,'13. Mapa Títulos-Receita'!$A$8:$P$1000,14,FALSE),"")</f>
        <v/>
      </c>
      <c r="AD381" s="92">
        <f>IFERROR(VLOOKUP($A381,'13. Mapa Títulos-Receita'!$A$8:$P$1000,15,FALSE),"")</f>
        <v/>
      </c>
      <c r="AE381" s="92">
        <f>IFERROR(VLOOKUP($A381,'13. Mapa Títulos-Receita'!$A$8:$P$1000,16,FALSE),"")</f>
        <v/>
      </c>
    </row>
    <row r="382">
      <c r="A382" s="28">
        <f>IF(C382="","", "CR-"&amp;TEXT(ROW()-7,"000"))</f>
        <v/>
      </c>
      <c r="B382" s="28" t="n"/>
      <c r="C382" s="28" t="n"/>
      <c r="D382" s="111" t="n"/>
      <c r="E382" s="111" t="n"/>
      <c r="F382" s="111" t="n"/>
      <c r="G382" s="28" t="n"/>
      <c r="H382" s="45" t="n"/>
      <c r="I382" s="45" t="n"/>
      <c r="J382" s="28">
        <f>IF(H382="","",IF(I382&gt;=H382,"Recebido",IF($B$4&gt;E382,"Vencido","Aberto")))</f>
        <v/>
      </c>
      <c r="K382" s="4">
        <f>IF(J382="","",IF(OR(J382="Recebido",F382=""),MAX(0,F382-E382),MAX(0,$B$4-E382)))</f>
        <v/>
      </c>
      <c r="L382" s="4">
        <f>IF(K382="","",IF(K382=0,"Em dia",IF(K382&lt;=30,"1-30 dias",IF(K382&lt;=60,"31-60 dias",IF(K382&lt;=90,"61-90 dias","&gt;90 dias")))))</f>
        <v/>
      </c>
      <c r="M382" s="28" t="n"/>
      <c r="N382" s="104" t="inlineStr"/>
      <c r="O382" s="64" t="n"/>
      <c r="P382" s="64">
        <f>IF(C382="","",IF(ISNUMBER(SEARCH("PCMSO",C382)),"PCMSO",IF(OR(ISNUMBER(SEARCH("E-SOCIAL",C382)),ISNUMBER(SEARCH("PSICOSOCIAL",C382))),"eSocial / Psicossocial",IF(O382="Receita recorrente","Carteira recorrente","Projetos / Laudos / Avulsos"))))</f>
        <v/>
      </c>
      <c r="Q382" s="64">
        <f>IF(P382="","",IF(P382="Carteira recorrente","Operação recorrente",IF(P382="PCMSO","Projetos PCMSO",IF(P382="eSocial / Psicossocial","Projetos eSocial/Psicossocial","Projetos / Laudos / Avulsos"))))</f>
        <v/>
      </c>
      <c r="R382" s="64">
        <f>IF(C382="","",IF(ISNUMBER(SEARCH("PCMSO",C382)),"Título com PCMSO no nome",IF(OR(ISNUMBER(SEARCH("E-SOCIAL",C382)),ISNUMBER(SEARCH("PSICOSOCIAL",C382))),"Título com eSocial/Psicossocial no nome",IF(O382="Receita recorrente","Tipo DRE recorrente","Extra sem palavra-chave específica"))))</f>
        <v/>
      </c>
      <c r="S382" s="92">
        <f>IFERROR(VLOOKUP($A382,'13. Mapa Títulos-Receita'!$A$8:$P$1000,4,FALSE),"")</f>
        <v/>
      </c>
      <c r="T382" s="92">
        <f>IFERROR(VLOOKUP($A382,'13. Mapa Títulos-Receita'!$A$8:$P$1000,5,FALSE),"")</f>
        <v/>
      </c>
      <c r="U382" s="92">
        <f>IFERROR(VLOOKUP($A382,'13. Mapa Títulos-Receita'!$A$8:$P$1000,6,FALSE),"")</f>
        <v/>
      </c>
      <c r="V382" s="92">
        <f>IFERROR(VLOOKUP($A382,'13. Mapa Títulos-Receita'!$A$8:$P$1000,7,FALSE),"")</f>
        <v/>
      </c>
      <c r="W382" s="92">
        <f>IFERROR(VLOOKUP($A382,'13. Mapa Títulos-Receita'!$A$8:$P$1000,8,FALSE),"")</f>
        <v/>
      </c>
      <c r="X382" s="92">
        <f>IFERROR(VLOOKUP($A382,'13. Mapa Títulos-Receita'!$A$8:$P$1000,9,FALSE),"")</f>
        <v/>
      </c>
      <c r="Y382" s="92">
        <f>IFERROR(VLOOKUP($A382,'13. Mapa Títulos-Receita'!$A$8:$P$1000,10,FALSE),"")</f>
        <v/>
      </c>
      <c r="Z382" s="92">
        <f>IFERROR(VLOOKUP($A382,'13. Mapa Títulos-Receita'!$A$8:$P$1000,11,FALSE),"")</f>
        <v/>
      </c>
      <c r="AA382" s="92">
        <f>IFERROR(VLOOKUP($A382,'13. Mapa Títulos-Receita'!$A$8:$P$1000,12,FALSE),"")</f>
        <v/>
      </c>
      <c r="AB382" s="92">
        <f>IFERROR(VLOOKUP($A382,'13. Mapa Títulos-Receita'!$A$8:$P$1000,13,FALSE),"")</f>
        <v/>
      </c>
      <c r="AC382" s="92">
        <f>IFERROR(VLOOKUP($A382,'13. Mapa Títulos-Receita'!$A$8:$P$1000,14,FALSE),"")</f>
        <v/>
      </c>
      <c r="AD382" s="92">
        <f>IFERROR(VLOOKUP($A382,'13. Mapa Títulos-Receita'!$A$8:$P$1000,15,FALSE),"")</f>
        <v/>
      </c>
      <c r="AE382" s="92">
        <f>IFERROR(VLOOKUP($A382,'13. Mapa Títulos-Receita'!$A$8:$P$1000,16,FALSE),"")</f>
        <v/>
      </c>
    </row>
    <row r="383">
      <c r="A383" s="28">
        <f>IF(C383="","", "CR-"&amp;TEXT(ROW()-7,"000"))</f>
        <v/>
      </c>
      <c r="B383" s="28" t="n"/>
      <c r="C383" s="28" t="n"/>
      <c r="D383" s="111" t="n"/>
      <c r="E383" s="111" t="n"/>
      <c r="F383" s="111" t="n"/>
      <c r="G383" s="28" t="n"/>
      <c r="H383" s="45" t="n"/>
      <c r="I383" s="45" t="n"/>
      <c r="J383" s="28">
        <f>IF(H383="","",IF(I383&gt;=H383,"Recebido",IF($B$4&gt;E383,"Vencido","Aberto")))</f>
        <v/>
      </c>
      <c r="K383" s="4">
        <f>IF(J383="","",IF(OR(J383="Recebido",F383=""),MAX(0,F383-E383),MAX(0,$B$4-E383)))</f>
        <v/>
      </c>
      <c r="L383" s="4">
        <f>IF(K383="","",IF(K383=0,"Em dia",IF(K383&lt;=30,"1-30 dias",IF(K383&lt;=60,"31-60 dias",IF(K383&lt;=90,"61-90 dias","&gt;90 dias")))))</f>
        <v/>
      </c>
      <c r="M383" s="28" t="n"/>
      <c r="N383" s="104" t="inlineStr"/>
      <c r="O383" s="64" t="n"/>
      <c r="P383" s="64">
        <f>IF(C383="","",IF(ISNUMBER(SEARCH("PCMSO",C383)),"PCMSO",IF(OR(ISNUMBER(SEARCH("E-SOCIAL",C383)),ISNUMBER(SEARCH("PSICOSOCIAL",C383))),"eSocial / Psicossocial",IF(O383="Receita recorrente","Carteira recorrente","Projetos / Laudos / Avulsos"))))</f>
        <v/>
      </c>
      <c r="Q383" s="64">
        <f>IF(P383="","",IF(P383="Carteira recorrente","Operação recorrente",IF(P383="PCMSO","Projetos PCMSO",IF(P383="eSocial / Psicossocial","Projetos eSocial/Psicossocial","Projetos / Laudos / Avulsos"))))</f>
        <v/>
      </c>
      <c r="R383" s="64">
        <f>IF(C383="","",IF(ISNUMBER(SEARCH("PCMSO",C383)),"Título com PCMSO no nome",IF(OR(ISNUMBER(SEARCH("E-SOCIAL",C383)),ISNUMBER(SEARCH("PSICOSOCIAL",C383))),"Título com eSocial/Psicossocial no nome",IF(O383="Receita recorrente","Tipo DRE recorrente","Extra sem palavra-chave específica"))))</f>
        <v/>
      </c>
      <c r="S383" s="92">
        <f>IFERROR(VLOOKUP($A383,'13. Mapa Títulos-Receita'!$A$8:$P$1000,4,FALSE),"")</f>
        <v/>
      </c>
      <c r="T383" s="92">
        <f>IFERROR(VLOOKUP($A383,'13. Mapa Títulos-Receita'!$A$8:$P$1000,5,FALSE),"")</f>
        <v/>
      </c>
      <c r="U383" s="92">
        <f>IFERROR(VLOOKUP($A383,'13. Mapa Títulos-Receita'!$A$8:$P$1000,6,FALSE),"")</f>
        <v/>
      </c>
      <c r="V383" s="92">
        <f>IFERROR(VLOOKUP($A383,'13. Mapa Títulos-Receita'!$A$8:$P$1000,7,FALSE),"")</f>
        <v/>
      </c>
      <c r="W383" s="92">
        <f>IFERROR(VLOOKUP($A383,'13. Mapa Títulos-Receita'!$A$8:$P$1000,8,FALSE),"")</f>
        <v/>
      </c>
      <c r="X383" s="92">
        <f>IFERROR(VLOOKUP($A383,'13. Mapa Títulos-Receita'!$A$8:$P$1000,9,FALSE),"")</f>
        <v/>
      </c>
      <c r="Y383" s="92">
        <f>IFERROR(VLOOKUP($A383,'13. Mapa Títulos-Receita'!$A$8:$P$1000,10,FALSE),"")</f>
        <v/>
      </c>
      <c r="Z383" s="92">
        <f>IFERROR(VLOOKUP($A383,'13. Mapa Títulos-Receita'!$A$8:$P$1000,11,FALSE),"")</f>
        <v/>
      </c>
      <c r="AA383" s="92">
        <f>IFERROR(VLOOKUP($A383,'13. Mapa Títulos-Receita'!$A$8:$P$1000,12,FALSE),"")</f>
        <v/>
      </c>
      <c r="AB383" s="92">
        <f>IFERROR(VLOOKUP($A383,'13. Mapa Títulos-Receita'!$A$8:$P$1000,13,FALSE),"")</f>
        <v/>
      </c>
      <c r="AC383" s="92">
        <f>IFERROR(VLOOKUP($A383,'13. Mapa Títulos-Receita'!$A$8:$P$1000,14,FALSE),"")</f>
        <v/>
      </c>
      <c r="AD383" s="92">
        <f>IFERROR(VLOOKUP($A383,'13. Mapa Títulos-Receita'!$A$8:$P$1000,15,FALSE),"")</f>
        <v/>
      </c>
      <c r="AE383" s="92">
        <f>IFERROR(VLOOKUP($A383,'13. Mapa Títulos-Receita'!$A$8:$P$1000,16,FALSE),"")</f>
        <v/>
      </c>
    </row>
    <row r="384">
      <c r="A384" s="28">
        <f>IF(C384="","", "CR-"&amp;TEXT(ROW()-7,"000"))</f>
        <v/>
      </c>
      <c r="B384" s="28" t="n"/>
      <c r="C384" s="28" t="n"/>
      <c r="D384" s="111" t="n"/>
      <c r="E384" s="111" t="n"/>
      <c r="F384" s="111" t="n"/>
      <c r="G384" s="28" t="n"/>
      <c r="H384" s="45" t="n"/>
      <c r="I384" s="45" t="n"/>
      <c r="J384" s="28">
        <f>IF(H384="","",IF(I384&gt;=H384,"Recebido",IF($B$4&gt;E384,"Vencido","Aberto")))</f>
        <v/>
      </c>
      <c r="K384" s="4">
        <f>IF(J384="","",IF(OR(J384="Recebido",F384=""),MAX(0,F384-E384),MAX(0,$B$4-E384)))</f>
        <v/>
      </c>
      <c r="L384" s="4">
        <f>IF(K384="","",IF(K384=0,"Em dia",IF(K384&lt;=30,"1-30 dias",IF(K384&lt;=60,"31-60 dias",IF(K384&lt;=90,"61-90 dias","&gt;90 dias")))))</f>
        <v/>
      </c>
      <c r="M384" s="28" t="n"/>
      <c r="N384" s="104" t="inlineStr"/>
      <c r="O384" s="64" t="n"/>
      <c r="P384" s="64">
        <f>IF(C384="","",IF(ISNUMBER(SEARCH("PCMSO",C384)),"PCMSO",IF(OR(ISNUMBER(SEARCH("E-SOCIAL",C384)),ISNUMBER(SEARCH("PSICOSOCIAL",C384))),"eSocial / Psicossocial",IF(O384="Receita recorrente","Carteira recorrente","Projetos / Laudos / Avulsos"))))</f>
        <v/>
      </c>
      <c r="Q384" s="64">
        <f>IF(P384="","",IF(P384="Carteira recorrente","Operação recorrente",IF(P384="PCMSO","Projetos PCMSO",IF(P384="eSocial / Psicossocial","Projetos eSocial/Psicossocial","Projetos / Laudos / Avulsos"))))</f>
        <v/>
      </c>
      <c r="R384" s="64">
        <f>IF(C384="","",IF(ISNUMBER(SEARCH("PCMSO",C384)),"Título com PCMSO no nome",IF(OR(ISNUMBER(SEARCH("E-SOCIAL",C384)),ISNUMBER(SEARCH("PSICOSOCIAL",C384))),"Título com eSocial/Psicossocial no nome",IF(O384="Receita recorrente","Tipo DRE recorrente","Extra sem palavra-chave específica"))))</f>
        <v/>
      </c>
      <c r="S384" s="92">
        <f>IFERROR(VLOOKUP($A384,'13. Mapa Títulos-Receita'!$A$8:$P$1000,4,FALSE),"")</f>
        <v/>
      </c>
      <c r="T384" s="92">
        <f>IFERROR(VLOOKUP($A384,'13. Mapa Títulos-Receita'!$A$8:$P$1000,5,FALSE),"")</f>
        <v/>
      </c>
      <c r="U384" s="92">
        <f>IFERROR(VLOOKUP($A384,'13. Mapa Títulos-Receita'!$A$8:$P$1000,6,FALSE),"")</f>
        <v/>
      </c>
      <c r="V384" s="92">
        <f>IFERROR(VLOOKUP($A384,'13. Mapa Títulos-Receita'!$A$8:$P$1000,7,FALSE),"")</f>
        <v/>
      </c>
      <c r="W384" s="92">
        <f>IFERROR(VLOOKUP($A384,'13. Mapa Títulos-Receita'!$A$8:$P$1000,8,FALSE),"")</f>
        <v/>
      </c>
      <c r="X384" s="92">
        <f>IFERROR(VLOOKUP($A384,'13. Mapa Títulos-Receita'!$A$8:$P$1000,9,FALSE),"")</f>
        <v/>
      </c>
      <c r="Y384" s="92">
        <f>IFERROR(VLOOKUP($A384,'13. Mapa Títulos-Receita'!$A$8:$P$1000,10,FALSE),"")</f>
        <v/>
      </c>
      <c r="Z384" s="92">
        <f>IFERROR(VLOOKUP($A384,'13. Mapa Títulos-Receita'!$A$8:$P$1000,11,FALSE),"")</f>
        <v/>
      </c>
      <c r="AA384" s="92">
        <f>IFERROR(VLOOKUP($A384,'13. Mapa Títulos-Receita'!$A$8:$P$1000,12,FALSE),"")</f>
        <v/>
      </c>
      <c r="AB384" s="92">
        <f>IFERROR(VLOOKUP($A384,'13. Mapa Títulos-Receita'!$A$8:$P$1000,13,FALSE),"")</f>
        <v/>
      </c>
      <c r="AC384" s="92">
        <f>IFERROR(VLOOKUP($A384,'13. Mapa Títulos-Receita'!$A$8:$P$1000,14,FALSE),"")</f>
        <v/>
      </c>
      <c r="AD384" s="92">
        <f>IFERROR(VLOOKUP($A384,'13. Mapa Títulos-Receita'!$A$8:$P$1000,15,FALSE),"")</f>
        <v/>
      </c>
      <c r="AE384" s="92">
        <f>IFERROR(VLOOKUP($A384,'13. Mapa Títulos-Receita'!$A$8:$P$1000,16,FALSE),"")</f>
        <v/>
      </c>
    </row>
    <row r="385">
      <c r="A385" s="28">
        <f>IF(C385="","", "CR-"&amp;TEXT(ROW()-7,"000"))</f>
        <v/>
      </c>
      <c r="B385" s="28" t="n"/>
      <c r="C385" s="28" t="n"/>
      <c r="D385" s="111" t="n"/>
      <c r="E385" s="111" t="n"/>
      <c r="F385" s="111" t="n"/>
      <c r="G385" s="28" t="n"/>
      <c r="H385" s="45" t="n"/>
      <c r="I385" s="45" t="n"/>
      <c r="J385" s="28">
        <f>IF(H385="","",IF(I385&gt;=H385,"Recebido",IF($B$4&gt;E385,"Vencido","Aberto")))</f>
        <v/>
      </c>
      <c r="K385" s="4">
        <f>IF(J385="","",IF(OR(J385="Recebido",F385=""),MAX(0,F385-E385),MAX(0,$B$4-E385)))</f>
        <v/>
      </c>
      <c r="L385" s="4">
        <f>IF(K385="","",IF(K385=0,"Em dia",IF(K385&lt;=30,"1-30 dias",IF(K385&lt;=60,"31-60 dias",IF(K385&lt;=90,"61-90 dias","&gt;90 dias")))))</f>
        <v/>
      </c>
      <c r="M385" s="28" t="n"/>
      <c r="N385" s="104" t="inlineStr"/>
      <c r="O385" s="64" t="n"/>
      <c r="P385" s="64">
        <f>IF(C385="","",IF(ISNUMBER(SEARCH("PCMSO",C385)),"PCMSO",IF(OR(ISNUMBER(SEARCH("E-SOCIAL",C385)),ISNUMBER(SEARCH("PSICOSOCIAL",C385))),"eSocial / Psicossocial",IF(O385="Receita recorrente","Carteira recorrente","Projetos / Laudos / Avulsos"))))</f>
        <v/>
      </c>
      <c r="Q385" s="64">
        <f>IF(P385="","",IF(P385="Carteira recorrente","Operação recorrente",IF(P385="PCMSO","Projetos PCMSO",IF(P385="eSocial / Psicossocial","Projetos eSocial/Psicossocial","Projetos / Laudos / Avulsos"))))</f>
        <v/>
      </c>
      <c r="R385" s="64">
        <f>IF(C385="","",IF(ISNUMBER(SEARCH("PCMSO",C385)),"Título com PCMSO no nome",IF(OR(ISNUMBER(SEARCH("E-SOCIAL",C385)),ISNUMBER(SEARCH("PSICOSOCIAL",C385))),"Título com eSocial/Psicossocial no nome",IF(O385="Receita recorrente","Tipo DRE recorrente","Extra sem palavra-chave específica"))))</f>
        <v/>
      </c>
      <c r="S385" s="92">
        <f>IFERROR(VLOOKUP($A385,'13. Mapa Títulos-Receita'!$A$8:$P$1000,4,FALSE),"")</f>
        <v/>
      </c>
      <c r="T385" s="92">
        <f>IFERROR(VLOOKUP($A385,'13. Mapa Títulos-Receita'!$A$8:$P$1000,5,FALSE),"")</f>
        <v/>
      </c>
      <c r="U385" s="92">
        <f>IFERROR(VLOOKUP($A385,'13. Mapa Títulos-Receita'!$A$8:$P$1000,6,FALSE),"")</f>
        <v/>
      </c>
      <c r="V385" s="92">
        <f>IFERROR(VLOOKUP($A385,'13. Mapa Títulos-Receita'!$A$8:$P$1000,7,FALSE),"")</f>
        <v/>
      </c>
      <c r="W385" s="92">
        <f>IFERROR(VLOOKUP($A385,'13. Mapa Títulos-Receita'!$A$8:$P$1000,8,FALSE),"")</f>
        <v/>
      </c>
      <c r="X385" s="92">
        <f>IFERROR(VLOOKUP($A385,'13. Mapa Títulos-Receita'!$A$8:$P$1000,9,FALSE),"")</f>
        <v/>
      </c>
      <c r="Y385" s="92">
        <f>IFERROR(VLOOKUP($A385,'13. Mapa Títulos-Receita'!$A$8:$P$1000,10,FALSE),"")</f>
        <v/>
      </c>
      <c r="Z385" s="92">
        <f>IFERROR(VLOOKUP($A385,'13. Mapa Títulos-Receita'!$A$8:$P$1000,11,FALSE),"")</f>
        <v/>
      </c>
      <c r="AA385" s="92">
        <f>IFERROR(VLOOKUP($A385,'13. Mapa Títulos-Receita'!$A$8:$P$1000,12,FALSE),"")</f>
        <v/>
      </c>
      <c r="AB385" s="92">
        <f>IFERROR(VLOOKUP($A385,'13. Mapa Títulos-Receita'!$A$8:$P$1000,13,FALSE),"")</f>
        <v/>
      </c>
      <c r="AC385" s="92">
        <f>IFERROR(VLOOKUP($A385,'13. Mapa Títulos-Receita'!$A$8:$P$1000,14,FALSE),"")</f>
        <v/>
      </c>
      <c r="AD385" s="92">
        <f>IFERROR(VLOOKUP($A385,'13. Mapa Títulos-Receita'!$A$8:$P$1000,15,FALSE),"")</f>
        <v/>
      </c>
      <c r="AE385" s="92">
        <f>IFERROR(VLOOKUP($A385,'13. Mapa Títulos-Receita'!$A$8:$P$1000,16,FALSE),"")</f>
        <v/>
      </c>
    </row>
    <row r="386">
      <c r="A386" s="28">
        <f>IF(C386="","", "CR-"&amp;TEXT(ROW()-7,"000"))</f>
        <v/>
      </c>
      <c r="B386" s="28" t="n"/>
      <c r="C386" s="28" t="n"/>
      <c r="D386" s="111" t="n"/>
      <c r="E386" s="111" t="n"/>
      <c r="F386" s="111" t="n"/>
      <c r="G386" s="28" t="n"/>
      <c r="H386" s="45" t="n"/>
      <c r="I386" s="45" t="n"/>
      <c r="J386" s="28">
        <f>IF(H386="","",IF(I386&gt;=H386,"Recebido",IF($B$4&gt;E386,"Vencido","Aberto")))</f>
        <v/>
      </c>
      <c r="K386" s="4">
        <f>IF(J386="","",IF(OR(J386="Recebido",F386=""),MAX(0,F386-E386),MAX(0,$B$4-E386)))</f>
        <v/>
      </c>
      <c r="L386" s="4">
        <f>IF(K386="","",IF(K386=0,"Em dia",IF(K386&lt;=30,"1-30 dias",IF(K386&lt;=60,"31-60 dias",IF(K386&lt;=90,"61-90 dias","&gt;90 dias")))))</f>
        <v/>
      </c>
      <c r="M386" s="28" t="n"/>
      <c r="N386" s="104" t="inlineStr"/>
      <c r="O386" s="64" t="n"/>
      <c r="P386" s="64">
        <f>IF(C386="","",IF(ISNUMBER(SEARCH("PCMSO",C386)),"PCMSO",IF(OR(ISNUMBER(SEARCH("E-SOCIAL",C386)),ISNUMBER(SEARCH("PSICOSOCIAL",C386))),"eSocial / Psicossocial",IF(O386="Receita recorrente","Carteira recorrente","Projetos / Laudos / Avulsos"))))</f>
        <v/>
      </c>
      <c r="Q386" s="64">
        <f>IF(P386="","",IF(P386="Carteira recorrente","Operação recorrente",IF(P386="PCMSO","Projetos PCMSO",IF(P386="eSocial / Psicossocial","Projetos eSocial/Psicossocial","Projetos / Laudos / Avulsos"))))</f>
        <v/>
      </c>
      <c r="R386" s="64">
        <f>IF(C386="","",IF(ISNUMBER(SEARCH("PCMSO",C386)),"Título com PCMSO no nome",IF(OR(ISNUMBER(SEARCH("E-SOCIAL",C386)),ISNUMBER(SEARCH("PSICOSOCIAL",C386))),"Título com eSocial/Psicossocial no nome",IF(O386="Receita recorrente","Tipo DRE recorrente","Extra sem palavra-chave específica"))))</f>
        <v/>
      </c>
      <c r="S386" s="92">
        <f>IFERROR(VLOOKUP($A386,'13. Mapa Títulos-Receita'!$A$8:$P$1000,4,FALSE),"")</f>
        <v/>
      </c>
      <c r="T386" s="92">
        <f>IFERROR(VLOOKUP($A386,'13. Mapa Títulos-Receita'!$A$8:$P$1000,5,FALSE),"")</f>
        <v/>
      </c>
      <c r="U386" s="92">
        <f>IFERROR(VLOOKUP($A386,'13. Mapa Títulos-Receita'!$A$8:$P$1000,6,FALSE),"")</f>
        <v/>
      </c>
      <c r="V386" s="92">
        <f>IFERROR(VLOOKUP($A386,'13. Mapa Títulos-Receita'!$A$8:$P$1000,7,FALSE),"")</f>
        <v/>
      </c>
      <c r="W386" s="92">
        <f>IFERROR(VLOOKUP($A386,'13. Mapa Títulos-Receita'!$A$8:$P$1000,8,FALSE),"")</f>
        <v/>
      </c>
      <c r="X386" s="92">
        <f>IFERROR(VLOOKUP($A386,'13. Mapa Títulos-Receita'!$A$8:$P$1000,9,FALSE),"")</f>
        <v/>
      </c>
      <c r="Y386" s="92">
        <f>IFERROR(VLOOKUP($A386,'13. Mapa Títulos-Receita'!$A$8:$P$1000,10,FALSE),"")</f>
        <v/>
      </c>
      <c r="Z386" s="92">
        <f>IFERROR(VLOOKUP($A386,'13. Mapa Títulos-Receita'!$A$8:$P$1000,11,FALSE),"")</f>
        <v/>
      </c>
      <c r="AA386" s="92">
        <f>IFERROR(VLOOKUP($A386,'13. Mapa Títulos-Receita'!$A$8:$P$1000,12,FALSE),"")</f>
        <v/>
      </c>
      <c r="AB386" s="92">
        <f>IFERROR(VLOOKUP($A386,'13. Mapa Títulos-Receita'!$A$8:$P$1000,13,FALSE),"")</f>
        <v/>
      </c>
      <c r="AC386" s="92">
        <f>IFERROR(VLOOKUP($A386,'13. Mapa Títulos-Receita'!$A$8:$P$1000,14,FALSE),"")</f>
        <v/>
      </c>
      <c r="AD386" s="92">
        <f>IFERROR(VLOOKUP($A386,'13. Mapa Títulos-Receita'!$A$8:$P$1000,15,FALSE),"")</f>
        <v/>
      </c>
      <c r="AE386" s="92">
        <f>IFERROR(VLOOKUP($A386,'13. Mapa Títulos-Receita'!$A$8:$P$1000,16,FALSE),"")</f>
        <v/>
      </c>
    </row>
    <row r="387">
      <c r="A387" s="28">
        <f>IF(C387="","", "CR-"&amp;TEXT(ROW()-7,"000"))</f>
        <v/>
      </c>
      <c r="B387" s="28" t="n"/>
      <c r="C387" s="28" t="n"/>
      <c r="D387" s="111" t="n"/>
      <c r="E387" s="111" t="n"/>
      <c r="F387" s="111" t="n"/>
      <c r="G387" s="28" t="n"/>
      <c r="H387" s="45" t="n"/>
      <c r="I387" s="45" t="n"/>
      <c r="J387" s="28">
        <f>IF(H387="","",IF(I387&gt;=H387,"Recebido",IF($B$4&gt;E387,"Vencido","Aberto")))</f>
        <v/>
      </c>
      <c r="K387" s="4">
        <f>IF(J387="","",IF(OR(J387="Recebido",F387=""),MAX(0,F387-E387),MAX(0,$B$4-E387)))</f>
        <v/>
      </c>
      <c r="L387" s="4">
        <f>IF(K387="","",IF(K387=0,"Em dia",IF(K387&lt;=30,"1-30 dias",IF(K387&lt;=60,"31-60 dias",IF(K387&lt;=90,"61-90 dias","&gt;90 dias")))))</f>
        <v/>
      </c>
      <c r="M387" s="28" t="n"/>
      <c r="N387" s="104" t="inlineStr"/>
      <c r="O387" s="64" t="n"/>
      <c r="P387" s="64">
        <f>IF(C387="","",IF(ISNUMBER(SEARCH("PCMSO",C387)),"PCMSO",IF(OR(ISNUMBER(SEARCH("E-SOCIAL",C387)),ISNUMBER(SEARCH("PSICOSOCIAL",C387))),"eSocial / Psicossocial",IF(O387="Receita recorrente","Carteira recorrente","Projetos / Laudos / Avulsos"))))</f>
        <v/>
      </c>
      <c r="Q387" s="64">
        <f>IF(P387="","",IF(P387="Carteira recorrente","Operação recorrente",IF(P387="PCMSO","Projetos PCMSO",IF(P387="eSocial / Psicossocial","Projetos eSocial/Psicossocial","Projetos / Laudos / Avulsos"))))</f>
        <v/>
      </c>
      <c r="R387" s="64">
        <f>IF(C387="","",IF(ISNUMBER(SEARCH("PCMSO",C387)),"Título com PCMSO no nome",IF(OR(ISNUMBER(SEARCH("E-SOCIAL",C387)),ISNUMBER(SEARCH("PSICOSOCIAL",C387))),"Título com eSocial/Psicossocial no nome",IF(O387="Receita recorrente","Tipo DRE recorrente","Extra sem palavra-chave específica"))))</f>
        <v/>
      </c>
      <c r="S387" s="92">
        <f>IFERROR(VLOOKUP($A387,'13. Mapa Títulos-Receita'!$A$8:$P$1000,4,FALSE),"")</f>
        <v/>
      </c>
      <c r="T387" s="92">
        <f>IFERROR(VLOOKUP($A387,'13. Mapa Títulos-Receita'!$A$8:$P$1000,5,FALSE),"")</f>
        <v/>
      </c>
      <c r="U387" s="92">
        <f>IFERROR(VLOOKUP($A387,'13. Mapa Títulos-Receita'!$A$8:$P$1000,6,FALSE),"")</f>
        <v/>
      </c>
      <c r="V387" s="92">
        <f>IFERROR(VLOOKUP($A387,'13. Mapa Títulos-Receita'!$A$8:$P$1000,7,FALSE),"")</f>
        <v/>
      </c>
      <c r="W387" s="92">
        <f>IFERROR(VLOOKUP($A387,'13. Mapa Títulos-Receita'!$A$8:$P$1000,8,FALSE),"")</f>
        <v/>
      </c>
      <c r="X387" s="92">
        <f>IFERROR(VLOOKUP($A387,'13. Mapa Títulos-Receita'!$A$8:$P$1000,9,FALSE),"")</f>
        <v/>
      </c>
      <c r="Y387" s="92">
        <f>IFERROR(VLOOKUP($A387,'13. Mapa Títulos-Receita'!$A$8:$P$1000,10,FALSE),"")</f>
        <v/>
      </c>
      <c r="Z387" s="92">
        <f>IFERROR(VLOOKUP($A387,'13. Mapa Títulos-Receita'!$A$8:$P$1000,11,FALSE),"")</f>
        <v/>
      </c>
      <c r="AA387" s="92">
        <f>IFERROR(VLOOKUP($A387,'13. Mapa Títulos-Receita'!$A$8:$P$1000,12,FALSE),"")</f>
        <v/>
      </c>
      <c r="AB387" s="92">
        <f>IFERROR(VLOOKUP($A387,'13. Mapa Títulos-Receita'!$A$8:$P$1000,13,FALSE),"")</f>
        <v/>
      </c>
      <c r="AC387" s="92">
        <f>IFERROR(VLOOKUP($A387,'13. Mapa Títulos-Receita'!$A$8:$P$1000,14,FALSE),"")</f>
        <v/>
      </c>
      <c r="AD387" s="92">
        <f>IFERROR(VLOOKUP($A387,'13. Mapa Títulos-Receita'!$A$8:$P$1000,15,FALSE),"")</f>
        <v/>
      </c>
      <c r="AE387" s="92">
        <f>IFERROR(VLOOKUP($A387,'13. Mapa Títulos-Receita'!$A$8:$P$1000,16,FALSE),"")</f>
        <v/>
      </c>
    </row>
    <row r="388">
      <c r="A388" s="28">
        <f>IF(C388="","", "CR-"&amp;TEXT(ROW()-7,"000"))</f>
        <v/>
      </c>
      <c r="B388" s="28" t="n"/>
      <c r="C388" s="28" t="n"/>
      <c r="D388" s="111" t="n"/>
      <c r="E388" s="111" t="n"/>
      <c r="F388" s="111" t="n"/>
      <c r="G388" s="28" t="n"/>
      <c r="H388" s="45" t="n"/>
      <c r="I388" s="45" t="n"/>
      <c r="J388" s="28">
        <f>IF(H388="","",IF(I388&gt;=H388,"Recebido",IF($B$4&gt;E388,"Vencido","Aberto")))</f>
        <v/>
      </c>
      <c r="K388" s="4">
        <f>IF(J388="","",IF(OR(J388="Recebido",F388=""),MAX(0,F388-E388),MAX(0,$B$4-E388)))</f>
        <v/>
      </c>
      <c r="L388" s="4">
        <f>IF(K388="","",IF(K388=0,"Em dia",IF(K388&lt;=30,"1-30 dias",IF(K388&lt;=60,"31-60 dias",IF(K388&lt;=90,"61-90 dias","&gt;90 dias")))))</f>
        <v/>
      </c>
      <c r="M388" s="28" t="n"/>
      <c r="N388" s="104" t="inlineStr"/>
      <c r="O388" s="64" t="n"/>
      <c r="P388" s="64">
        <f>IF(C388="","",IF(ISNUMBER(SEARCH("PCMSO",C388)),"PCMSO",IF(OR(ISNUMBER(SEARCH("E-SOCIAL",C388)),ISNUMBER(SEARCH("PSICOSOCIAL",C388))),"eSocial / Psicossocial",IF(O388="Receita recorrente","Carteira recorrente","Projetos / Laudos / Avulsos"))))</f>
        <v/>
      </c>
      <c r="Q388" s="64">
        <f>IF(P388="","",IF(P388="Carteira recorrente","Operação recorrente",IF(P388="PCMSO","Projetos PCMSO",IF(P388="eSocial / Psicossocial","Projetos eSocial/Psicossocial","Projetos / Laudos / Avulsos"))))</f>
        <v/>
      </c>
      <c r="R388" s="64">
        <f>IF(C388="","",IF(ISNUMBER(SEARCH("PCMSO",C388)),"Título com PCMSO no nome",IF(OR(ISNUMBER(SEARCH("E-SOCIAL",C388)),ISNUMBER(SEARCH("PSICOSOCIAL",C388))),"Título com eSocial/Psicossocial no nome",IF(O388="Receita recorrente","Tipo DRE recorrente","Extra sem palavra-chave específica"))))</f>
        <v/>
      </c>
      <c r="S388" s="92">
        <f>IFERROR(VLOOKUP($A388,'13. Mapa Títulos-Receita'!$A$8:$P$1000,4,FALSE),"")</f>
        <v/>
      </c>
      <c r="T388" s="92">
        <f>IFERROR(VLOOKUP($A388,'13. Mapa Títulos-Receita'!$A$8:$P$1000,5,FALSE),"")</f>
        <v/>
      </c>
      <c r="U388" s="92">
        <f>IFERROR(VLOOKUP($A388,'13. Mapa Títulos-Receita'!$A$8:$P$1000,6,FALSE),"")</f>
        <v/>
      </c>
      <c r="V388" s="92">
        <f>IFERROR(VLOOKUP($A388,'13. Mapa Títulos-Receita'!$A$8:$P$1000,7,FALSE),"")</f>
        <v/>
      </c>
      <c r="W388" s="92">
        <f>IFERROR(VLOOKUP($A388,'13. Mapa Títulos-Receita'!$A$8:$P$1000,8,FALSE),"")</f>
        <v/>
      </c>
      <c r="X388" s="92">
        <f>IFERROR(VLOOKUP($A388,'13. Mapa Títulos-Receita'!$A$8:$P$1000,9,FALSE),"")</f>
        <v/>
      </c>
      <c r="Y388" s="92">
        <f>IFERROR(VLOOKUP($A388,'13. Mapa Títulos-Receita'!$A$8:$P$1000,10,FALSE),"")</f>
        <v/>
      </c>
      <c r="Z388" s="92">
        <f>IFERROR(VLOOKUP($A388,'13. Mapa Títulos-Receita'!$A$8:$P$1000,11,FALSE),"")</f>
        <v/>
      </c>
      <c r="AA388" s="92">
        <f>IFERROR(VLOOKUP($A388,'13. Mapa Títulos-Receita'!$A$8:$P$1000,12,FALSE),"")</f>
        <v/>
      </c>
      <c r="AB388" s="92">
        <f>IFERROR(VLOOKUP($A388,'13. Mapa Títulos-Receita'!$A$8:$P$1000,13,FALSE),"")</f>
        <v/>
      </c>
      <c r="AC388" s="92">
        <f>IFERROR(VLOOKUP($A388,'13. Mapa Títulos-Receita'!$A$8:$P$1000,14,FALSE),"")</f>
        <v/>
      </c>
      <c r="AD388" s="92">
        <f>IFERROR(VLOOKUP($A388,'13. Mapa Títulos-Receita'!$A$8:$P$1000,15,FALSE),"")</f>
        <v/>
      </c>
      <c r="AE388" s="92">
        <f>IFERROR(VLOOKUP($A388,'13. Mapa Títulos-Receita'!$A$8:$P$1000,16,FALSE),"")</f>
        <v/>
      </c>
    </row>
    <row r="389">
      <c r="A389" s="28">
        <f>IF(C389="","", "CR-"&amp;TEXT(ROW()-7,"000"))</f>
        <v/>
      </c>
      <c r="B389" s="28" t="n"/>
      <c r="C389" s="28" t="n"/>
      <c r="D389" s="111" t="n"/>
      <c r="E389" s="111" t="n"/>
      <c r="F389" s="111" t="n"/>
      <c r="G389" s="28" t="n"/>
      <c r="H389" s="45" t="n"/>
      <c r="I389" s="45" t="n"/>
      <c r="J389" s="28">
        <f>IF(H389="","",IF(I389&gt;=H389,"Recebido",IF($B$4&gt;E389,"Vencido","Aberto")))</f>
        <v/>
      </c>
      <c r="K389" s="4">
        <f>IF(J389="","",IF(OR(J389="Recebido",F389=""),MAX(0,F389-E389),MAX(0,$B$4-E389)))</f>
        <v/>
      </c>
      <c r="L389" s="4">
        <f>IF(K389="","",IF(K389=0,"Em dia",IF(K389&lt;=30,"1-30 dias",IF(K389&lt;=60,"31-60 dias",IF(K389&lt;=90,"61-90 dias","&gt;90 dias")))))</f>
        <v/>
      </c>
      <c r="M389" s="28" t="n"/>
      <c r="N389" s="104" t="inlineStr"/>
      <c r="O389" s="64" t="n"/>
      <c r="P389" s="64">
        <f>IF(C389="","",IF(ISNUMBER(SEARCH("PCMSO",C389)),"PCMSO",IF(OR(ISNUMBER(SEARCH("E-SOCIAL",C389)),ISNUMBER(SEARCH("PSICOSOCIAL",C389))),"eSocial / Psicossocial",IF(O389="Receita recorrente","Carteira recorrente","Projetos / Laudos / Avulsos"))))</f>
        <v/>
      </c>
      <c r="Q389" s="64">
        <f>IF(P389="","",IF(P389="Carteira recorrente","Operação recorrente",IF(P389="PCMSO","Projetos PCMSO",IF(P389="eSocial / Psicossocial","Projetos eSocial/Psicossocial","Projetos / Laudos / Avulsos"))))</f>
        <v/>
      </c>
      <c r="R389" s="64">
        <f>IF(C389="","",IF(ISNUMBER(SEARCH("PCMSO",C389)),"Título com PCMSO no nome",IF(OR(ISNUMBER(SEARCH("E-SOCIAL",C389)),ISNUMBER(SEARCH("PSICOSOCIAL",C389))),"Título com eSocial/Psicossocial no nome",IF(O389="Receita recorrente","Tipo DRE recorrente","Extra sem palavra-chave específica"))))</f>
        <v/>
      </c>
      <c r="S389" s="92">
        <f>IFERROR(VLOOKUP($A389,'13. Mapa Títulos-Receita'!$A$8:$P$1000,4,FALSE),"")</f>
        <v/>
      </c>
      <c r="T389" s="92">
        <f>IFERROR(VLOOKUP($A389,'13. Mapa Títulos-Receita'!$A$8:$P$1000,5,FALSE),"")</f>
        <v/>
      </c>
      <c r="U389" s="92">
        <f>IFERROR(VLOOKUP($A389,'13. Mapa Títulos-Receita'!$A$8:$P$1000,6,FALSE),"")</f>
        <v/>
      </c>
      <c r="V389" s="92">
        <f>IFERROR(VLOOKUP($A389,'13. Mapa Títulos-Receita'!$A$8:$P$1000,7,FALSE),"")</f>
        <v/>
      </c>
      <c r="W389" s="92">
        <f>IFERROR(VLOOKUP($A389,'13. Mapa Títulos-Receita'!$A$8:$P$1000,8,FALSE),"")</f>
        <v/>
      </c>
      <c r="X389" s="92">
        <f>IFERROR(VLOOKUP($A389,'13. Mapa Títulos-Receita'!$A$8:$P$1000,9,FALSE),"")</f>
        <v/>
      </c>
      <c r="Y389" s="92">
        <f>IFERROR(VLOOKUP($A389,'13. Mapa Títulos-Receita'!$A$8:$P$1000,10,FALSE),"")</f>
        <v/>
      </c>
      <c r="Z389" s="92">
        <f>IFERROR(VLOOKUP($A389,'13. Mapa Títulos-Receita'!$A$8:$P$1000,11,FALSE),"")</f>
        <v/>
      </c>
      <c r="AA389" s="92">
        <f>IFERROR(VLOOKUP($A389,'13. Mapa Títulos-Receita'!$A$8:$P$1000,12,FALSE),"")</f>
        <v/>
      </c>
      <c r="AB389" s="92">
        <f>IFERROR(VLOOKUP($A389,'13. Mapa Títulos-Receita'!$A$8:$P$1000,13,FALSE),"")</f>
        <v/>
      </c>
      <c r="AC389" s="92">
        <f>IFERROR(VLOOKUP($A389,'13. Mapa Títulos-Receita'!$A$8:$P$1000,14,FALSE),"")</f>
        <v/>
      </c>
      <c r="AD389" s="92">
        <f>IFERROR(VLOOKUP($A389,'13. Mapa Títulos-Receita'!$A$8:$P$1000,15,FALSE),"")</f>
        <v/>
      </c>
      <c r="AE389" s="92">
        <f>IFERROR(VLOOKUP($A389,'13. Mapa Títulos-Receita'!$A$8:$P$1000,16,FALSE),"")</f>
        <v/>
      </c>
    </row>
    <row r="390">
      <c r="A390" s="28">
        <f>IF(C390="","", "CR-"&amp;TEXT(ROW()-7,"000"))</f>
        <v/>
      </c>
      <c r="B390" s="28" t="n"/>
      <c r="C390" s="28" t="n"/>
      <c r="D390" s="111" t="n"/>
      <c r="E390" s="111" t="n"/>
      <c r="F390" s="111" t="n"/>
      <c r="G390" s="28" t="n"/>
      <c r="H390" s="45" t="n"/>
      <c r="I390" s="45" t="n"/>
      <c r="J390" s="28">
        <f>IF(H390="","",IF(I390&gt;=H390,"Recebido",IF($B$4&gt;E390,"Vencido","Aberto")))</f>
        <v/>
      </c>
      <c r="K390" s="4">
        <f>IF(J390="","",IF(OR(J390="Recebido",F390=""),MAX(0,F390-E390),MAX(0,$B$4-E390)))</f>
        <v/>
      </c>
      <c r="L390" s="4">
        <f>IF(K390="","",IF(K390=0,"Em dia",IF(K390&lt;=30,"1-30 dias",IF(K390&lt;=60,"31-60 dias",IF(K390&lt;=90,"61-90 dias","&gt;90 dias")))))</f>
        <v/>
      </c>
      <c r="M390" s="28" t="n"/>
      <c r="N390" s="104" t="inlineStr"/>
      <c r="O390" s="64" t="n"/>
      <c r="P390" s="64">
        <f>IF(C390="","",IF(ISNUMBER(SEARCH("PCMSO",C390)),"PCMSO",IF(OR(ISNUMBER(SEARCH("E-SOCIAL",C390)),ISNUMBER(SEARCH("PSICOSOCIAL",C390))),"eSocial / Psicossocial",IF(O390="Receita recorrente","Carteira recorrente","Projetos / Laudos / Avulsos"))))</f>
        <v/>
      </c>
      <c r="Q390" s="64">
        <f>IF(P390="","",IF(P390="Carteira recorrente","Operação recorrente",IF(P390="PCMSO","Projetos PCMSO",IF(P390="eSocial / Psicossocial","Projetos eSocial/Psicossocial","Projetos / Laudos / Avulsos"))))</f>
        <v/>
      </c>
      <c r="R390" s="64">
        <f>IF(C390="","",IF(ISNUMBER(SEARCH("PCMSO",C390)),"Título com PCMSO no nome",IF(OR(ISNUMBER(SEARCH("E-SOCIAL",C390)),ISNUMBER(SEARCH("PSICOSOCIAL",C390))),"Título com eSocial/Psicossocial no nome",IF(O390="Receita recorrente","Tipo DRE recorrente","Extra sem palavra-chave específica"))))</f>
        <v/>
      </c>
      <c r="S390" s="92">
        <f>IFERROR(VLOOKUP($A390,'13. Mapa Títulos-Receita'!$A$8:$P$1000,4,FALSE),"")</f>
        <v/>
      </c>
      <c r="T390" s="92">
        <f>IFERROR(VLOOKUP($A390,'13. Mapa Títulos-Receita'!$A$8:$P$1000,5,FALSE),"")</f>
        <v/>
      </c>
      <c r="U390" s="92">
        <f>IFERROR(VLOOKUP($A390,'13. Mapa Títulos-Receita'!$A$8:$P$1000,6,FALSE),"")</f>
        <v/>
      </c>
      <c r="V390" s="92">
        <f>IFERROR(VLOOKUP($A390,'13. Mapa Títulos-Receita'!$A$8:$P$1000,7,FALSE),"")</f>
        <v/>
      </c>
      <c r="W390" s="92">
        <f>IFERROR(VLOOKUP($A390,'13. Mapa Títulos-Receita'!$A$8:$P$1000,8,FALSE),"")</f>
        <v/>
      </c>
      <c r="X390" s="92">
        <f>IFERROR(VLOOKUP($A390,'13. Mapa Títulos-Receita'!$A$8:$P$1000,9,FALSE),"")</f>
        <v/>
      </c>
      <c r="Y390" s="92">
        <f>IFERROR(VLOOKUP($A390,'13. Mapa Títulos-Receita'!$A$8:$P$1000,10,FALSE),"")</f>
        <v/>
      </c>
      <c r="Z390" s="92">
        <f>IFERROR(VLOOKUP($A390,'13. Mapa Títulos-Receita'!$A$8:$P$1000,11,FALSE),"")</f>
        <v/>
      </c>
      <c r="AA390" s="92">
        <f>IFERROR(VLOOKUP($A390,'13. Mapa Títulos-Receita'!$A$8:$P$1000,12,FALSE),"")</f>
        <v/>
      </c>
      <c r="AB390" s="92">
        <f>IFERROR(VLOOKUP($A390,'13. Mapa Títulos-Receita'!$A$8:$P$1000,13,FALSE),"")</f>
        <v/>
      </c>
      <c r="AC390" s="92">
        <f>IFERROR(VLOOKUP($A390,'13. Mapa Títulos-Receita'!$A$8:$P$1000,14,FALSE),"")</f>
        <v/>
      </c>
      <c r="AD390" s="92">
        <f>IFERROR(VLOOKUP($A390,'13. Mapa Títulos-Receita'!$A$8:$P$1000,15,FALSE),"")</f>
        <v/>
      </c>
      <c r="AE390" s="92">
        <f>IFERROR(VLOOKUP($A390,'13. Mapa Títulos-Receita'!$A$8:$P$1000,16,FALSE),"")</f>
        <v/>
      </c>
    </row>
    <row r="391">
      <c r="A391" s="28">
        <f>IF(C391="","", "CR-"&amp;TEXT(ROW()-7,"000"))</f>
        <v/>
      </c>
      <c r="B391" s="28" t="n"/>
      <c r="C391" s="28" t="n"/>
      <c r="D391" s="111" t="n"/>
      <c r="E391" s="111" t="n"/>
      <c r="F391" s="111" t="n"/>
      <c r="G391" s="28" t="n"/>
      <c r="H391" s="45" t="n"/>
      <c r="I391" s="45" t="n"/>
      <c r="J391" s="28">
        <f>IF(H391="","",IF(I391&gt;=H391,"Recebido",IF($B$4&gt;E391,"Vencido","Aberto")))</f>
        <v/>
      </c>
      <c r="K391" s="4">
        <f>IF(J391="","",IF(OR(J391="Recebido",F391=""),MAX(0,F391-E391),MAX(0,$B$4-E391)))</f>
        <v/>
      </c>
      <c r="L391" s="4">
        <f>IF(K391="","",IF(K391=0,"Em dia",IF(K391&lt;=30,"1-30 dias",IF(K391&lt;=60,"31-60 dias",IF(K391&lt;=90,"61-90 dias","&gt;90 dias")))))</f>
        <v/>
      </c>
      <c r="M391" s="28" t="n"/>
      <c r="N391" s="104" t="inlineStr"/>
      <c r="O391" s="64" t="n"/>
      <c r="P391" s="64">
        <f>IF(C391="","",IF(ISNUMBER(SEARCH("PCMSO",C391)),"PCMSO",IF(OR(ISNUMBER(SEARCH("E-SOCIAL",C391)),ISNUMBER(SEARCH("PSICOSOCIAL",C391))),"eSocial / Psicossocial",IF(O391="Receita recorrente","Carteira recorrente","Projetos / Laudos / Avulsos"))))</f>
        <v/>
      </c>
      <c r="Q391" s="64">
        <f>IF(P391="","",IF(P391="Carteira recorrente","Operação recorrente",IF(P391="PCMSO","Projetos PCMSO",IF(P391="eSocial / Psicossocial","Projetos eSocial/Psicossocial","Projetos / Laudos / Avulsos"))))</f>
        <v/>
      </c>
      <c r="R391" s="64">
        <f>IF(C391="","",IF(ISNUMBER(SEARCH("PCMSO",C391)),"Título com PCMSO no nome",IF(OR(ISNUMBER(SEARCH("E-SOCIAL",C391)),ISNUMBER(SEARCH("PSICOSOCIAL",C391))),"Título com eSocial/Psicossocial no nome",IF(O391="Receita recorrente","Tipo DRE recorrente","Extra sem palavra-chave específica"))))</f>
        <v/>
      </c>
      <c r="S391" s="92">
        <f>IFERROR(VLOOKUP($A391,'13. Mapa Títulos-Receita'!$A$8:$P$1000,4,FALSE),"")</f>
        <v/>
      </c>
      <c r="T391" s="92">
        <f>IFERROR(VLOOKUP($A391,'13. Mapa Títulos-Receita'!$A$8:$P$1000,5,FALSE),"")</f>
        <v/>
      </c>
      <c r="U391" s="92">
        <f>IFERROR(VLOOKUP($A391,'13. Mapa Títulos-Receita'!$A$8:$P$1000,6,FALSE),"")</f>
        <v/>
      </c>
      <c r="V391" s="92">
        <f>IFERROR(VLOOKUP($A391,'13. Mapa Títulos-Receita'!$A$8:$P$1000,7,FALSE),"")</f>
        <v/>
      </c>
      <c r="W391" s="92">
        <f>IFERROR(VLOOKUP($A391,'13. Mapa Títulos-Receita'!$A$8:$P$1000,8,FALSE),"")</f>
        <v/>
      </c>
      <c r="X391" s="92">
        <f>IFERROR(VLOOKUP($A391,'13. Mapa Títulos-Receita'!$A$8:$P$1000,9,FALSE),"")</f>
        <v/>
      </c>
      <c r="Y391" s="92">
        <f>IFERROR(VLOOKUP($A391,'13. Mapa Títulos-Receita'!$A$8:$P$1000,10,FALSE),"")</f>
        <v/>
      </c>
      <c r="Z391" s="92">
        <f>IFERROR(VLOOKUP($A391,'13. Mapa Títulos-Receita'!$A$8:$P$1000,11,FALSE),"")</f>
        <v/>
      </c>
      <c r="AA391" s="92">
        <f>IFERROR(VLOOKUP($A391,'13. Mapa Títulos-Receita'!$A$8:$P$1000,12,FALSE),"")</f>
        <v/>
      </c>
      <c r="AB391" s="92">
        <f>IFERROR(VLOOKUP($A391,'13. Mapa Títulos-Receita'!$A$8:$P$1000,13,FALSE),"")</f>
        <v/>
      </c>
      <c r="AC391" s="92">
        <f>IFERROR(VLOOKUP($A391,'13. Mapa Títulos-Receita'!$A$8:$P$1000,14,FALSE),"")</f>
        <v/>
      </c>
      <c r="AD391" s="92">
        <f>IFERROR(VLOOKUP($A391,'13. Mapa Títulos-Receita'!$A$8:$P$1000,15,FALSE),"")</f>
        <v/>
      </c>
      <c r="AE391" s="92">
        <f>IFERROR(VLOOKUP($A391,'13. Mapa Títulos-Receita'!$A$8:$P$1000,16,FALSE),"")</f>
        <v/>
      </c>
    </row>
    <row r="392">
      <c r="A392" s="28">
        <f>IF(C392="","", "CR-"&amp;TEXT(ROW()-7,"000"))</f>
        <v/>
      </c>
      <c r="B392" s="28" t="n"/>
      <c r="C392" s="28" t="n"/>
      <c r="D392" s="111" t="n"/>
      <c r="E392" s="111" t="n"/>
      <c r="F392" s="111" t="n"/>
      <c r="G392" s="28" t="n"/>
      <c r="H392" s="45" t="n"/>
      <c r="I392" s="45" t="n"/>
      <c r="J392" s="28">
        <f>IF(H392="","",IF(I392&gt;=H392,"Recebido",IF($B$4&gt;E392,"Vencido","Aberto")))</f>
        <v/>
      </c>
      <c r="K392" s="4">
        <f>IF(J392="","",IF(OR(J392="Recebido",F392=""),MAX(0,F392-E392),MAX(0,$B$4-E392)))</f>
        <v/>
      </c>
      <c r="L392" s="4">
        <f>IF(K392="","",IF(K392=0,"Em dia",IF(K392&lt;=30,"1-30 dias",IF(K392&lt;=60,"31-60 dias",IF(K392&lt;=90,"61-90 dias","&gt;90 dias")))))</f>
        <v/>
      </c>
      <c r="M392" s="28" t="n"/>
      <c r="N392" s="104" t="inlineStr"/>
      <c r="O392" s="64" t="n"/>
      <c r="P392" s="64">
        <f>IF(C392="","",IF(ISNUMBER(SEARCH("PCMSO",C392)),"PCMSO",IF(OR(ISNUMBER(SEARCH("E-SOCIAL",C392)),ISNUMBER(SEARCH("PSICOSOCIAL",C392))),"eSocial / Psicossocial",IF(O392="Receita recorrente","Carteira recorrente","Projetos / Laudos / Avulsos"))))</f>
        <v/>
      </c>
      <c r="Q392" s="64">
        <f>IF(P392="","",IF(P392="Carteira recorrente","Operação recorrente",IF(P392="PCMSO","Projetos PCMSO",IF(P392="eSocial / Psicossocial","Projetos eSocial/Psicossocial","Projetos / Laudos / Avulsos"))))</f>
        <v/>
      </c>
      <c r="R392" s="64">
        <f>IF(C392="","",IF(ISNUMBER(SEARCH("PCMSO",C392)),"Título com PCMSO no nome",IF(OR(ISNUMBER(SEARCH("E-SOCIAL",C392)),ISNUMBER(SEARCH("PSICOSOCIAL",C392))),"Título com eSocial/Psicossocial no nome",IF(O392="Receita recorrente","Tipo DRE recorrente","Extra sem palavra-chave específica"))))</f>
        <v/>
      </c>
      <c r="S392" s="92">
        <f>IFERROR(VLOOKUP($A392,'13. Mapa Títulos-Receita'!$A$8:$P$1000,4,FALSE),"")</f>
        <v/>
      </c>
      <c r="T392" s="92">
        <f>IFERROR(VLOOKUP($A392,'13. Mapa Títulos-Receita'!$A$8:$P$1000,5,FALSE),"")</f>
        <v/>
      </c>
      <c r="U392" s="92">
        <f>IFERROR(VLOOKUP($A392,'13. Mapa Títulos-Receita'!$A$8:$P$1000,6,FALSE),"")</f>
        <v/>
      </c>
      <c r="V392" s="92">
        <f>IFERROR(VLOOKUP($A392,'13. Mapa Títulos-Receita'!$A$8:$P$1000,7,FALSE),"")</f>
        <v/>
      </c>
      <c r="W392" s="92">
        <f>IFERROR(VLOOKUP($A392,'13. Mapa Títulos-Receita'!$A$8:$P$1000,8,FALSE),"")</f>
        <v/>
      </c>
      <c r="X392" s="92">
        <f>IFERROR(VLOOKUP($A392,'13. Mapa Títulos-Receita'!$A$8:$P$1000,9,FALSE),"")</f>
        <v/>
      </c>
      <c r="Y392" s="92">
        <f>IFERROR(VLOOKUP($A392,'13. Mapa Títulos-Receita'!$A$8:$P$1000,10,FALSE),"")</f>
        <v/>
      </c>
      <c r="Z392" s="92">
        <f>IFERROR(VLOOKUP($A392,'13. Mapa Títulos-Receita'!$A$8:$P$1000,11,FALSE),"")</f>
        <v/>
      </c>
      <c r="AA392" s="92">
        <f>IFERROR(VLOOKUP($A392,'13. Mapa Títulos-Receita'!$A$8:$P$1000,12,FALSE),"")</f>
        <v/>
      </c>
      <c r="AB392" s="92">
        <f>IFERROR(VLOOKUP($A392,'13. Mapa Títulos-Receita'!$A$8:$P$1000,13,FALSE),"")</f>
        <v/>
      </c>
      <c r="AC392" s="92">
        <f>IFERROR(VLOOKUP($A392,'13. Mapa Títulos-Receita'!$A$8:$P$1000,14,FALSE),"")</f>
        <v/>
      </c>
      <c r="AD392" s="92">
        <f>IFERROR(VLOOKUP($A392,'13. Mapa Títulos-Receita'!$A$8:$P$1000,15,FALSE),"")</f>
        <v/>
      </c>
      <c r="AE392" s="92">
        <f>IFERROR(VLOOKUP($A392,'13. Mapa Títulos-Receita'!$A$8:$P$1000,16,FALSE),"")</f>
        <v/>
      </c>
    </row>
    <row r="393">
      <c r="A393" s="28">
        <f>IF(C393="","", "CR-"&amp;TEXT(ROW()-7,"000"))</f>
        <v/>
      </c>
      <c r="B393" s="28" t="n"/>
      <c r="C393" s="28" t="n"/>
      <c r="D393" s="111" t="n"/>
      <c r="E393" s="111" t="n"/>
      <c r="F393" s="111" t="n"/>
      <c r="G393" s="28" t="n"/>
      <c r="H393" s="45" t="n"/>
      <c r="I393" s="45" t="n"/>
      <c r="J393" s="28">
        <f>IF(H393="","",IF(I393&gt;=H393,"Recebido",IF($B$4&gt;E393,"Vencido","Aberto")))</f>
        <v/>
      </c>
      <c r="K393" s="4">
        <f>IF(J393="","",IF(OR(J393="Recebido",F393=""),MAX(0,F393-E393),MAX(0,$B$4-E393)))</f>
        <v/>
      </c>
      <c r="L393" s="4">
        <f>IF(K393="","",IF(K393=0,"Em dia",IF(K393&lt;=30,"1-30 dias",IF(K393&lt;=60,"31-60 dias",IF(K393&lt;=90,"61-90 dias","&gt;90 dias")))))</f>
        <v/>
      </c>
      <c r="M393" s="28" t="n"/>
      <c r="N393" s="104" t="inlineStr"/>
      <c r="O393" s="64" t="n"/>
      <c r="P393" s="64">
        <f>IF(C393="","",IF(ISNUMBER(SEARCH("PCMSO",C393)),"PCMSO",IF(OR(ISNUMBER(SEARCH("E-SOCIAL",C393)),ISNUMBER(SEARCH("PSICOSOCIAL",C393))),"eSocial / Psicossocial",IF(O393="Receita recorrente","Carteira recorrente","Projetos / Laudos / Avulsos"))))</f>
        <v/>
      </c>
      <c r="Q393" s="64">
        <f>IF(P393="","",IF(P393="Carteira recorrente","Operação recorrente",IF(P393="PCMSO","Projetos PCMSO",IF(P393="eSocial / Psicossocial","Projetos eSocial/Psicossocial","Projetos / Laudos / Avulsos"))))</f>
        <v/>
      </c>
      <c r="R393" s="64">
        <f>IF(C393="","",IF(ISNUMBER(SEARCH("PCMSO",C393)),"Título com PCMSO no nome",IF(OR(ISNUMBER(SEARCH("E-SOCIAL",C393)),ISNUMBER(SEARCH("PSICOSOCIAL",C393))),"Título com eSocial/Psicossocial no nome",IF(O393="Receita recorrente","Tipo DRE recorrente","Extra sem palavra-chave específica"))))</f>
        <v/>
      </c>
      <c r="S393" s="92">
        <f>IFERROR(VLOOKUP($A393,'13. Mapa Títulos-Receita'!$A$8:$P$1000,4,FALSE),"")</f>
        <v/>
      </c>
      <c r="T393" s="92">
        <f>IFERROR(VLOOKUP($A393,'13. Mapa Títulos-Receita'!$A$8:$P$1000,5,FALSE),"")</f>
        <v/>
      </c>
      <c r="U393" s="92">
        <f>IFERROR(VLOOKUP($A393,'13. Mapa Títulos-Receita'!$A$8:$P$1000,6,FALSE),"")</f>
        <v/>
      </c>
      <c r="V393" s="92">
        <f>IFERROR(VLOOKUP($A393,'13. Mapa Títulos-Receita'!$A$8:$P$1000,7,FALSE),"")</f>
        <v/>
      </c>
      <c r="W393" s="92">
        <f>IFERROR(VLOOKUP($A393,'13. Mapa Títulos-Receita'!$A$8:$P$1000,8,FALSE),"")</f>
        <v/>
      </c>
      <c r="X393" s="92">
        <f>IFERROR(VLOOKUP($A393,'13. Mapa Títulos-Receita'!$A$8:$P$1000,9,FALSE),"")</f>
        <v/>
      </c>
      <c r="Y393" s="92">
        <f>IFERROR(VLOOKUP($A393,'13. Mapa Títulos-Receita'!$A$8:$P$1000,10,FALSE),"")</f>
        <v/>
      </c>
      <c r="Z393" s="92">
        <f>IFERROR(VLOOKUP($A393,'13. Mapa Títulos-Receita'!$A$8:$P$1000,11,FALSE),"")</f>
        <v/>
      </c>
      <c r="AA393" s="92">
        <f>IFERROR(VLOOKUP($A393,'13. Mapa Títulos-Receita'!$A$8:$P$1000,12,FALSE),"")</f>
        <v/>
      </c>
      <c r="AB393" s="92">
        <f>IFERROR(VLOOKUP($A393,'13. Mapa Títulos-Receita'!$A$8:$P$1000,13,FALSE),"")</f>
        <v/>
      </c>
      <c r="AC393" s="92">
        <f>IFERROR(VLOOKUP($A393,'13. Mapa Títulos-Receita'!$A$8:$P$1000,14,FALSE),"")</f>
        <v/>
      </c>
      <c r="AD393" s="92">
        <f>IFERROR(VLOOKUP($A393,'13. Mapa Títulos-Receita'!$A$8:$P$1000,15,FALSE),"")</f>
        <v/>
      </c>
      <c r="AE393" s="92">
        <f>IFERROR(VLOOKUP($A393,'13. Mapa Títulos-Receita'!$A$8:$P$1000,16,FALSE),"")</f>
        <v/>
      </c>
    </row>
    <row r="394">
      <c r="A394" s="28">
        <f>IF(C394="","", "CR-"&amp;TEXT(ROW()-7,"000"))</f>
        <v/>
      </c>
      <c r="B394" s="28" t="n"/>
      <c r="C394" s="28" t="n"/>
      <c r="D394" s="111" t="n"/>
      <c r="E394" s="111" t="n"/>
      <c r="F394" s="111" t="n"/>
      <c r="G394" s="28" t="n"/>
      <c r="H394" s="45" t="n"/>
      <c r="I394" s="45" t="n"/>
      <c r="J394" s="28">
        <f>IF(H394="","",IF(I394&gt;=H394,"Recebido",IF($B$4&gt;E394,"Vencido","Aberto")))</f>
        <v/>
      </c>
      <c r="K394" s="4">
        <f>IF(J394="","",IF(OR(J394="Recebido",F394=""),MAX(0,F394-E394),MAX(0,$B$4-E394)))</f>
        <v/>
      </c>
      <c r="L394" s="4">
        <f>IF(K394="","",IF(K394=0,"Em dia",IF(K394&lt;=30,"1-30 dias",IF(K394&lt;=60,"31-60 dias",IF(K394&lt;=90,"61-90 dias","&gt;90 dias")))))</f>
        <v/>
      </c>
      <c r="M394" s="28" t="n"/>
      <c r="N394" s="104" t="inlineStr"/>
      <c r="O394" s="64" t="n"/>
      <c r="P394" s="64">
        <f>IF(C394="","",IF(ISNUMBER(SEARCH("PCMSO",C394)),"PCMSO",IF(OR(ISNUMBER(SEARCH("E-SOCIAL",C394)),ISNUMBER(SEARCH("PSICOSOCIAL",C394))),"eSocial / Psicossocial",IF(O394="Receita recorrente","Carteira recorrente","Projetos / Laudos / Avulsos"))))</f>
        <v/>
      </c>
      <c r="Q394" s="64">
        <f>IF(P394="","",IF(P394="Carteira recorrente","Operação recorrente",IF(P394="PCMSO","Projetos PCMSO",IF(P394="eSocial / Psicossocial","Projetos eSocial/Psicossocial","Projetos / Laudos / Avulsos"))))</f>
        <v/>
      </c>
      <c r="R394" s="64">
        <f>IF(C394="","",IF(ISNUMBER(SEARCH("PCMSO",C394)),"Título com PCMSO no nome",IF(OR(ISNUMBER(SEARCH("E-SOCIAL",C394)),ISNUMBER(SEARCH("PSICOSOCIAL",C394))),"Título com eSocial/Psicossocial no nome",IF(O394="Receita recorrente","Tipo DRE recorrente","Extra sem palavra-chave específica"))))</f>
        <v/>
      </c>
      <c r="S394" s="92">
        <f>IFERROR(VLOOKUP($A394,'13. Mapa Títulos-Receita'!$A$8:$P$1000,4,FALSE),"")</f>
        <v/>
      </c>
      <c r="T394" s="92">
        <f>IFERROR(VLOOKUP($A394,'13. Mapa Títulos-Receita'!$A$8:$P$1000,5,FALSE),"")</f>
        <v/>
      </c>
      <c r="U394" s="92">
        <f>IFERROR(VLOOKUP($A394,'13. Mapa Títulos-Receita'!$A$8:$P$1000,6,FALSE),"")</f>
        <v/>
      </c>
      <c r="V394" s="92">
        <f>IFERROR(VLOOKUP($A394,'13. Mapa Títulos-Receita'!$A$8:$P$1000,7,FALSE),"")</f>
        <v/>
      </c>
      <c r="W394" s="92">
        <f>IFERROR(VLOOKUP($A394,'13. Mapa Títulos-Receita'!$A$8:$P$1000,8,FALSE),"")</f>
        <v/>
      </c>
      <c r="X394" s="92">
        <f>IFERROR(VLOOKUP($A394,'13. Mapa Títulos-Receita'!$A$8:$P$1000,9,FALSE),"")</f>
        <v/>
      </c>
      <c r="Y394" s="92">
        <f>IFERROR(VLOOKUP($A394,'13. Mapa Títulos-Receita'!$A$8:$P$1000,10,FALSE),"")</f>
        <v/>
      </c>
      <c r="Z394" s="92">
        <f>IFERROR(VLOOKUP($A394,'13. Mapa Títulos-Receita'!$A$8:$P$1000,11,FALSE),"")</f>
        <v/>
      </c>
      <c r="AA394" s="92">
        <f>IFERROR(VLOOKUP($A394,'13. Mapa Títulos-Receita'!$A$8:$P$1000,12,FALSE),"")</f>
        <v/>
      </c>
      <c r="AB394" s="92">
        <f>IFERROR(VLOOKUP($A394,'13. Mapa Títulos-Receita'!$A$8:$P$1000,13,FALSE),"")</f>
        <v/>
      </c>
      <c r="AC394" s="92">
        <f>IFERROR(VLOOKUP($A394,'13. Mapa Títulos-Receita'!$A$8:$P$1000,14,FALSE),"")</f>
        <v/>
      </c>
      <c r="AD394" s="92">
        <f>IFERROR(VLOOKUP($A394,'13. Mapa Títulos-Receita'!$A$8:$P$1000,15,FALSE),"")</f>
        <v/>
      </c>
      <c r="AE394" s="92">
        <f>IFERROR(VLOOKUP($A394,'13. Mapa Títulos-Receita'!$A$8:$P$1000,16,FALSE),"")</f>
        <v/>
      </c>
    </row>
    <row r="395">
      <c r="A395" s="28">
        <f>IF(C395="","", "CR-"&amp;TEXT(ROW()-7,"000"))</f>
        <v/>
      </c>
      <c r="B395" s="28" t="n"/>
      <c r="C395" s="28" t="n"/>
      <c r="D395" s="111" t="n"/>
      <c r="E395" s="111" t="n"/>
      <c r="F395" s="111" t="n"/>
      <c r="G395" s="28" t="n"/>
      <c r="H395" s="45" t="n"/>
      <c r="I395" s="45" t="n"/>
      <c r="J395" s="28">
        <f>IF(H395="","",IF(I395&gt;=H395,"Recebido",IF($B$4&gt;E395,"Vencido","Aberto")))</f>
        <v/>
      </c>
      <c r="K395" s="4">
        <f>IF(J395="","",IF(OR(J395="Recebido",F395=""),MAX(0,F395-E395),MAX(0,$B$4-E395)))</f>
        <v/>
      </c>
      <c r="L395" s="4">
        <f>IF(K395="","",IF(K395=0,"Em dia",IF(K395&lt;=30,"1-30 dias",IF(K395&lt;=60,"31-60 dias",IF(K395&lt;=90,"61-90 dias","&gt;90 dias")))))</f>
        <v/>
      </c>
      <c r="M395" s="28" t="n"/>
      <c r="N395" s="104" t="inlineStr"/>
      <c r="O395" s="64" t="n"/>
      <c r="P395" s="64">
        <f>IF(C395="","",IF(ISNUMBER(SEARCH("PCMSO",C395)),"PCMSO",IF(OR(ISNUMBER(SEARCH("E-SOCIAL",C395)),ISNUMBER(SEARCH("PSICOSOCIAL",C395))),"eSocial / Psicossocial",IF(O395="Receita recorrente","Carteira recorrente","Projetos / Laudos / Avulsos"))))</f>
        <v/>
      </c>
      <c r="Q395" s="64">
        <f>IF(P395="","",IF(P395="Carteira recorrente","Operação recorrente",IF(P395="PCMSO","Projetos PCMSO",IF(P395="eSocial / Psicossocial","Projetos eSocial/Psicossocial","Projetos / Laudos / Avulsos"))))</f>
        <v/>
      </c>
      <c r="R395" s="64">
        <f>IF(C395="","",IF(ISNUMBER(SEARCH("PCMSO",C395)),"Título com PCMSO no nome",IF(OR(ISNUMBER(SEARCH("E-SOCIAL",C395)),ISNUMBER(SEARCH("PSICOSOCIAL",C395))),"Título com eSocial/Psicossocial no nome",IF(O395="Receita recorrente","Tipo DRE recorrente","Extra sem palavra-chave específica"))))</f>
        <v/>
      </c>
      <c r="S395" s="92">
        <f>IFERROR(VLOOKUP($A395,'13. Mapa Títulos-Receita'!$A$8:$P$1000,4,FALSE),"")</f>
        <v/>
      </c>
      <c r="T395" s="92">
        <f>IFERROR(VLOOKUP($A395,'13. Mapa Títulos-Receita'!$A$8:$P$1000,5,FALSE),"")</f>
        <v/>
      </c>
      <c r="U395" s="92">
        <f>IFERROR(VLOOKUP($A395,'13. Mapa Títulos-Receita'!$A$8:$P$1000,6,FALSE),"")</f>
        <v/>
      </c>
      <c r="V395" s="92">
        <f>IFERROR(VLOOKUP($A395,'13. Mapa Títulos-Receita'!$A$8:$P$1000,7,FALSE),"")</f>
        <v/>
      </c>
      <c r="W395" s="92">
        <f>IFERROR(VLOOKUP($A395,'13. Mapa Títulos-Receita'!$A$8:$P$1000,8,FALSE),"")</f>
        <v/>
      </c>
      <c r="X395" s="92">
        <f>IFERROR(VLOOKUP($A395,'13. Mapa Títulos-Receita'!$A$8:$P$1000,9,FALSE),"")</f>
        <v/>
      </c>
      <c r="Y395" s="92">
        <f>IFERROR(VLOOKUP($A395,'13. Mapa Títulos-Receita'!$A$8:$P$1000,10,FALSE),"")</f>
        <v/>
      </c>
      <c r="Z395" s="92">
        <f>IFERROR(VLOOKUP($A395,'13. Mapa Títulos-Receita'!$A$8:$P$1000,11,FALSE),"")</f>
        <v/>
      </c>
      <c r="AA395" s="92">
        <f>IFERROR(VLOOKUP($A395,'13. Mapa Títulos-Receita'!$A$8:$P$1000,12,FALSE),"")</f>
        <v/>
      </c>
      <c r="AB395" s="92">
        <f>IFERROR(VLOOKUP($A395,'13. Mapa Títulos-Receita'!$A$8:$P$1000,13,FALSE),"")</f>
        <v/>
      </c>
      <c r="AC395" s="92">
        <f>IFERROR(VLOOKUP($A395,'13. Mapa Títulos-Receita'!$A$8:$P$1000,14,FALSE),"")</f>
        <v/>
      </c>
      <c r="AD395" s="92">
        <f>IFERROR(VLOOKUP($A395,'13. Mapa Títulos-Receita'!$A$8:$P$1000,15,FALSE),"")</f>
        <v/>
      </c>
      <c r="AE395" s="92">
        <f>IFERROR(VLOOKUP($A395,'13. Mapa Títulos-Receita'!$A$8:$P$1000,16,FALSE),"")</f>
        <v/>
      </c>
    </row>
    <row r="396">
      <c r="A396" s="28">
        <f>IF(C396="","", "CR-"&amp;TEXT(ROW()-7,"000"))</f>
        <v/>
      </c>
      <c r="B396" s="28" t="n"/>
      <c r="C396" s="28" t="n"/>
      <c r="D396" s="111" t="n"/>
      <c r="E396" s="111" t="n"/>
      <c r="F396" s="111" t="n"/>
      <c r="G396" s="28" t="n"/>
      <c r="H396" s="45" t="n"/>
      <c r="I396" s="45" t="n"/>
      <c r="J396" s="28">
        <f>IF(H396="","",IF(I396&gt;=H396,"Recebido",IF($B$4&gt;E396,"Vencido","Aberto")))</f>
        <v/>
      </c>
      <c r="K396" s="4">
        <f>IF(J396="","",IF(OR(J396="Recebido",F396=""),MAX(0,F396-E396),MAX(0,$B$4-E396)))</f>
        <v/>
      </c>
      <c r="L396" s="4">
        <f>IF(K396="","",IF(K396=0,"Em dia",IF(K396&lt;=30,"1-30 dias",IF(K396&lt;=60,"31-60 dias",IF(K396&lt;=90,"61-90 dias","&gt;90 dias")))))</f>
        <v/>
      </c>
      <c r="M396" s="28" t="n"/>
      <c r="N396" s="104" t="inlineStr"/>
      <c r="O396" s="64" t="n"/>
      <c r="P396" s="64">
        <f>IF(C396="","",IF(ISNUMBER(SEARCH("PCMSO",C396)),"PCMSO",IF(OR(ISNUMBER(SEARCH("E-SOCIAL",C396)),ISNUMBER(SEARCH("PSICOSOCIAL",C396))),"eSocial / Psicossocial",IF(O396="Receita recorrente","Carteira recorrente","Projetos / Laudos / Avulsos"))))</f>
        <v/>
      </c>
      <c r="Q396" s="64">
        <f>IF(P396="","",IF(P396="Carteira recorrente","Operação recorrente",IF(P396="PCMSO","Projetos PCMSO",IF(P396="eSocial / Psicossocial","Projetos eSocial/Psicossocial","Projetos / Laudos / Avulsos"))))</f>
        <v/>
      </c>
      <c r="R396" s="64">
        <f>IF(C396="","",IF(ISNUMBER(SEARCH("PCMSO",C396)),"Título com PCMSO no nome",IF(OR(ISNUMBER(SEARCH("E-SOCIAL",C396)),ISNUMBER(SEARCH("PSICOSOCIAL",C396))),"Título com eSocial/Psicossocial no nome",IF(O396="Receita recorrente","Tipo DRE recorrente","Extra sem palavra-chave específica"))))</f>
        <v/>
      </c>
      <c r="S396" s="92">
        <f>IFERROR(VLOOKUP($A396,'13. Mapa Títulos-Receita'!$A$8:$P$1000,4,FALSE),"")</f>
        <v/>
      </c>
      <c r="T396" s="92">
        <f>IFERROR(VLOOKUP($A396,'13. Mapa Títulos-Receita'!$A$8:$P$1000,5,FALSE),"")</f>
        <v/>
      </c>
      <c r="U396" s="92">
        <f>IFERROR(VLOOKUP($A396,'13. Mapa Títulos-Receita'!$A$8:$P$1000,6,FALSE),"")</f>
        <v/>
      </c>
      <c r="V396" s="92">
        <f>IFERROR(VLOOKUP($A396,'13. Mapa Títulos-Receita'!$A$8:$P$1000,7,FALSE),"")</f>
        <v/>
      </c>
      <c r="W396" s="92">
        <f>IFERROR(VLOOKUP($A396,'13. Mapa Títulos-Receita'!$A$8:$P$1000,8,FALSE),"")</f>
        <v/>
      </c>
      <c r="X396" s="92">
        <f>IFERROR(VLOOKUP($A396,'13. Mapa Títulos-Receita'!$A$8:$P$1000,9,FALSE),"")</f>
        <v/>
      </c>
      <c r="Y396" s="92">
        <f>IFERROR(VLOOKUP($A396,'13. Mapa Títulos-Receita'!$A$8:$P$1000,10,FALSE),"")</f>
        <v/>
      </c>
      <c r="Z396" s="92">
        <f>IFERROR(VLOOKUP($A396,'13. Mapa Títulos-Receita'!$A$8:$P$1000,11,FALSE),"")</f>
        <v/>
      </c>
      <c r="AA396" s="92">
        <f>IFERROR(VLOOKUP($A396,'13. Mapa Títulos-Receita'!$A$8:$P$1000,12,FALSE),"")</f>
        <v/>
      </c>
      <c r="AB396" s="92">
        <f>IFERROR(VLOOKUP($A396,'13. Mapa Títulos-Receita'!$A$8:$P$1000,13,FALSE),"")</f>
        <v/>
      </c>
      <c r="AC396" s="92">
        <f>IFERROR(VLOOKUP($A396,'13. Mapa Títulos-Receita'!$A$8:$P$1000,14,FALSE),"")</f>
        <v/>
      </c>
      <c r="AD396" s="92">
        <f>IFERROR(VLOOKUP($A396,'13. Mapa Títulos-Receita'!$A$8:$P$1000,15,FALSE),"")</f>
        <v/>
      </c>
      <c r="AE396" s="92">
        <f>IFERROR(VLOOKUP($A396,'13. Mapa Títulos-Receita'!$A$8:$P$1000,16,FALSE),"")</f>
        <v/>
      </c>
    </row>
    <row r="397">
      <c r="A397" s="28">
        <f>IF(C397="","", "CR-"&amp;TEXT(ROW()-7,"000"))</f>
        <v/>
      </c>
      <c r="B397" s="28" t="n"/>
      <c r="C397" s="28" t="n"/>
      <c r="D397" s="111" t="n"/>
      <c r="E397" s="111" t="n"/>
      <c r="F397" s="111" t="n"/>
      <c r="G397" s="28" t="n"/>
      <c r="H397" s="45" t="n"/>
      <c r="I397" s="45" t="n"/>
      <c r="J397" s="28">
        <f>IF(H397="","",IF(I397&gt;=H397,"Recebido",IF($B$4&gt;E397,"Vencido","Aberto")))</f>
        <v/>
      </c>
      <c r="K397" s="4">
        <f>IF(J397="","",IF(OR(J397="Recebido",F397=""),MAX(0,F397-E397),MAX(0,$B$4-E397)))</f>
        <v/>
      </c>
      <c r="L397" s="4">
        <f>IF(K397="","",IF(K397=0,"Em dia",IF(K397&lt;=30,"1-30 dias",IF(K397&lt;=60,"31-60 dias",IF(K397&lt;=90,"61-90 dias","&gt;90 dias")))))</f>
        <v/>
      </c>
      <c r="M397" s="28" t="n"/>
      <c r="N397" s="104" t="inlineStr"/>
      <c r="O397" s="64" t="n"/>
      <c r="P397" s="64">
        <f>IF(C397="","",IF(ISNUMBER(SEARCH("PCMSO",C397)),"PCMSO",IF(OR(ISNUMBER(SEARCH("E-SOCIAL",C397)),ISNUMBER(SEARCH("PSICOSOCIAL",C397))),"eSocial / Psicossocial",IF(O397="Receita recorrente","Carteira recorrente","Projetos / Laudos / Avulsos"))))</f>
        <v/>
      </c>
      <c r="Q397" s="64">
        <f>IF(P397="","",IF(P397="Carteira recorrente","Operação recorrente",IF(P397="PCMSO","Projetos PCMSO",IF(P397="eSocial / Psicossocial","Projetos eSocial/Psicossocial","Projetos / Laudos / Avulsos"))))</f>
        <v/>
      </c>
      <c r="R397" s="64">
        <f>IF(C397="","",IF(ISNUMBER(SEARCH("PCMSO",C397)),"Título com PCMSO no nome",IF(OR(ISNUMBER(SEARCH("E-SOCIAL",C397)),ISNUMBER(SEARCH("PSICOSOCIAL",C397))),"Título com eSocial/Psicossocial no nome",IF(O397="Receita recorrente","Tipo DRE recorrente","Extra sem palavra-chave específica"))))</f>
        <v/>
      </c>
      <c r="S397" s="92">
        <f>IFERROR(VLOOKUP($A397,'13. Mapa Títulos-Receita'!$A$8:$P$1000,4,FALSE),"")</f>
        <v/>
      </c>
      <c r="T397" s="92">
        <f>IFERROR(VLOOKUP($A397,'13. Mapa Títulos-Receita'!$A$8:$P$1000,5,FALSE),"")</f>
        <v/>
      </c>
      <c r="U397" s="92">
        <f>IFERROR(VLOOKUP($A397,'13. Mapa Títulos-Receita'!$A$8:$P$1000,6,FALSE),"")</f>
        <v/>
      </c>
      <c r="V397" s="92">
        <f>IFERROR(VLOOKUP($A397,'13. Mapa Títulos-Receita'!$A$8:$P$1000,7,FALSE),"")</f>
        <v/>
      </c>
      <c r="W397" s="92">
        <f>IFERROR(VLOOKUP($A397,'13. Mapa Títulos-Receita'!$A$8:$P$1000,8,FALSE),"")</f>
        <v/>
      </c>
      <c r="X397" s="92">
        <f>IFERROR(VLOOKUP($A397,'13. Mapa Títulos-Receita'!$A$8:$P$1000,9,FALSE),"")</f>
        <v/>
      </c>
      <c r="Y397" s="92">
        <f>IFERROR(VLOOKUP($A397,'13. Mapa Títulos-Receita'!$A$8:$P$1000,10,FALSE),"")</f>
        <v/>
      </c>
      <c r="Z397" s="92">
        <f>IFERROR(VLOOKUP($A397,'13. Mapa Títulos-Receita'!$A$8:$P$1000,11,FALSE),"")</f>
        <v/>
      </c>
      <c r="AA397" s="92">
        <f>IFERROR(VLOOKUP($A397,'13. Mapa Títulos-Receita'!$A$8:$P$1000,12,FALSE),"")</f>
        <v/>
      </c>
      <c r="AB397" s="92">
        <f>IFERROR(VLOOKUP($A397,'13. Mapa Títulos-Receita'!$A$8:$P$1000,13,FALSE),"")</f>
        <v/>
      </c>
      <c r="AC397" s="92">
        <f>IFERROR(VLOOKUP($A397,'13. Mapa Títulos-Receita'!$A$8:$P$1000,14,FALSE),"")</f>
        <v/>
      </c>
      <c r="AD397" s="92">
        <f>IFERROR(VLOOKUP($A397,'13. Mapa Títulos-Receita'!$A$8:$P$1000,15,FALSE),"")</f>
        <v/>
      </c>
      <c r="AE397" s="92">
        <f>IFERROR(VLOOKUP($A397,'13. Mapa Títulos-Receita'!$A$8:$P$1000,16,FALSE),"")</f>
        <v/>
      </c>
    </row>
    <row r="398">
      <c r="A398" s="28">
        <f>IF(C398="","", "CR-"&amp;TEXT(ROW()-7,"000"))</f>
        <v/>
      </c>
      <c r="B398" s="28" t="n"/>
      <c r="C398" s="28" t="n"/>
      <c r="D398" s="111" t="n"/>
      <c r="E398" s="111" t="n"/>
      <c r="F398" s="111" t="n"/>
      <c r="G398" s="28" t="n"/>
      <c r="H398" s="45" t="n"/>
      <c r="I398" s="45" t="n"/>
      <c r="J398" s="28">
        <f>IF(H398="","",IF(I398&gt;=H398,"Recebido",IF($B$4&gt;E398,"Vencido","Aberto")))</f>
        <v/>
      </c>
      <c r="K398" s="4">
        <f>IF(J398="","",IF(OR(J398="Recebido",F398=""),MAX(0,F398-E398),MAX(0,$B$4-E398)))</f>
        <v/>
      </c>
      <c r="L398" s="4">
        <f>IF(K398="","",IF(K398=0,"Em dia",IF(K398&lt;=30,"1-30 dias",IF(K398&lt;=60,"31-60 dias",IF(K398&lt;=90,"61-90 dias","&gt;90 dias")))))</f>
        <v/>
      </c>
      <c r="M398" s="28" t="n"/>
      <c r="N398" s="104" t="inlineStr"/>
      <c r="O398" s="64" t="n"/>
      <c r="P398" s="64">
        <f>IF(C398="","",IF(ISNUMBER(SEARCH("PCMSO",C398)),"PCMSO",IF(OR(ISNUMBER(SEARCH("E-SOCIAL",C398)),ISNUMBER(SEARCH("PSICOSOCIAL",C398))),"eSocial / Psicossocial",IF(O398="Receita recorrente","Carteira recorrente","Projetos / Laudos / Avulsos"))))</f>
        <v/>
      </c>
      <c r="Q398" s="64">
        <f>IF(P398="","",IF(P398="Carteira recorrente","Operação recorrente",IF(P398="PCMSO","Projetos PCMSO",IF(P398="eSocial / Psicossocial","Projetos eSocial/Psicossocial","Projetos / Laudos / Avulsos"))))</f>
        <v/>
      </c>
      <c r="R398" s="64">
        <f>IF(C398="","",IF(ISNUMBER(SEARCH("PCMSO",C398)),"Título com PCMSO no nome",IF(OR(ISNUMBER(SEARCH("E-SOCIAL",C398)),ISNUMBER(SEARCH("PSICOSOCIAL",C398))),"Título com eSocial/Psicossocial no nome",IF(O398="Receita recorrente","Tipo DRE recorrente","Extra sem palavra-chave específica"))))</f>
        <v/>
      </c>
      <c r="S398" s="92">
        <f>IFERROR(VLOOKUP($A398,'13. Mapa Títulos-Receita'!$A$8:$P$1000,4,FALSE),"")</f>
        <v/>
      </c>
      <c r="T398" s="92">
        <f>IFERROR(VLOOKUP($A398,'13. Mapa Títulos-Receita'!$A$8:$P$1000,5,FALSE),"")</f>
        <v/>
      </c>
      <c r="U398" s="92">
        <f>IFERROR(VLOOKUP($A398,'13. Mapa Títulos-Receita'!$A$8:$P$1000,6,FALSE),"")</f>
        <v/>
      </c>
      <c r="V398" s="92">
        <f>IFERROR(VLOOKUP($A398,'13. Mapa Títulos-Receita'!$A$8:$P$1000,7,FALSE),"")</f>
        <v/>
      </c>
      <c r="W398" s="92">
        <f>IFERROR(VLOOKUP($A398,'13. Mapa Títulos-Receita'!$A$8:$P$1000,8,FALSE),"")</f>
        <v/>
      </c>
      <c r="X398" s="92">
        <f>IFERROR(VLOOKUP($A398,'13. Mapa Títulos-Receita'!$A$8:$P$1000,9,FALSE),"")</f>
        <v/>
      </c>
      <c r="Y398" s="92">
        <f>IFERROR(VLOOKUP($A398,'13. Mapa Títulos-Receita'!$A$8:$P$1000,10,FALSE),"")</f>
        <v/>
      </c>
      <c r="Z398" s="92">
        <f>IFERROR(VLOOKUP($A398,'13. Mapa Títulos-Receita'!$A$8:$P$1000,11,FALSE),"")</f>
        <v/>
      </c>
      <c r="AA398" s="92">
        <f>IFERROR(VLOOKUP($A398,'13. Mapa Títulos-Receita'!$A$8:$P$1000,12,FALSE),"")</f>
        <v/>
      </c>
      <c r="AB398" s="92">
        <f>IFERROR(VLOOKUP($A398,'13. Mapa Títulos-Receita'!$A$8:$P$1000,13,FALSE),"")</f>
        <v/>
      </c>
      <c r="AC398" s="92">
        <f>IFERROR(VLOOKUP($A398,'13. Mapa Títulos-Receita'!$A$8:$P$1000,14,FALSE),"")</f>
        <v/>
      </c>
      <c r="AD398" s="92">
        <f>IFERROR(VLOOKUP($A398,'13. Mapa Títulos-Receita'!$A$8:$P$1000,15,FALSE),"")</f>
        <v/>
      </c>
      <c r="AE398" s="92">
        <f>IFERROR(VLOOKUP($A398,'13. Mapa Títulos-Receita'!$A$8:$P$1000,16,FALSE),"")</f>
        <v/>
      </c>
    </row>
    <row r="399">
      <c r="A399" s="28">
        <f>IF(C399="","", "CR-"&amp;TEXT(ROW()-7,"000"))</f>
        <v/>
      </c>
      <c r="B399" s="28" t="n"/>
      <c r="C399" s="28" t="n"/>
      <c r="D399" s="111" t="n"/>
      <c r="E399" s="111" t="n"/>
      <c r="F399" s="111" t="n"/>
      <c r="G399" s="28" t="n"/>
      <c r="H399" s="45" t="n"/>
      <c r="I399" s="45" t="n"/>
      <c r="J399" s="28">
        <f>IF(H399="","",IF(I399&gt;=H399,"Recebido",IF($B$4&gt;E399,"Vencido","Aberto")))</f>
        <v/>
      </c>
      <c r="K399" s="4">
        <f>IF(J399="","",IF(OR(J399="Recebido",F399=""),MAX(0,F399-E399),MAX(0,$B$4-E399)))</f>
        <v/>
      </c>
      <c r="L399" s="4">
        <f>IF(K399="","",IF(K399=0,"Em dia",IF(K399&lt;=30,"1-30 dias",IF(K399&lt;=60,"31-60 dias",IF(K399&lt;=90,"61-90 dias","&gt;90 dias")))))</f>
        <v/>
      </c>
      <c r="M399" s="28" t="n"/>
      <c r="N399" s="104" t="inlineStr"/>
      <c r="O399" s="64" t="n"/>
      <c r="P399" s="64">
        <f>IF(C399="","",IF(ISNUMBER(SEARCH("PCMSO",C399)),"PCMSO",IF(OR(ISNUMBER(SEARCH("E-SOCIAL",C399)),ISNUMBER(SEARCH("PSICOSOCIAL",C399))),"eSocial / Psicossocial",IF(O399="Receita recorrente","Carteira recorrente","Projetos / Laudos / Avulsos"))))</f>
        <v/>
      </c>
      <c r="Q399" s="64">
        <f>IF(P399="","",IF(P399="Carteira recorrente","Operação recorrente",IF(P399="PCMSO","Projetos PCMSO",IF(P399="eSocial / Psicossocial","Projetos eSocial/Psicossocial","Projetos / Laudos / Avulsos"))))</f>
        <v/>
      </c>
      <c r="R399" s="64">
        <f>IF(C399="","",IF(ISNUMBER(SEARCH("PCMSO",C399)),"Título com PCMSO no nome",IF(OR(ISNUMBER(SEARCH("E-SOCIAL",C399)),ISNUMBER(SEARCH("PSICOSOCIAL",C399))),"Título com eSocial/Psicossocial no nome",IF(O399="Receita recorrente","Tipo DRE recorrente","Extra sem palavra-chave específica"))))</f>
        <v/>
      </c>
      <c r="S399" s="92">
        <f>IFERROR(VLOOKUP($A399,'13. Mapa Títulos-Receita'!$A$8:$P$1000,4,FALSE),"")</f>
        <v/>
      </c>
      <c r="T399" s="92">
        <f>IFERROR(VLOOKUP($A399,'13. Mapa Títulos-Receita'!$A$8:$P$1000,5,FALSE),"")</f>
        <v/>
      </c>
      <c r="U399" s="92">
        <f>IFERROR(VLOOKUP($A399,'13. Mapa Títulos-Receita'!$A$8:$P$1000,6,FALSE),"")</f>
        <v/>
      </c>
      <c r="V399" s="92">
        <f>IFERROR(VLOOKUP($A399,'13. Mapa Títulos-Receita'!$A$8:$P$1000,7,FALSE),"")</f>
        <v/>
      </c>
      <c r="W399" s="92">
        <f>IFERROR(VLOOKUP($A399,'13. Mapa Títulos-Receita'!$A$8:$P$1000,8,FALSE),"")</f>
        <v/>
      </c>
      <c r="X399" s="92">
        <f>IFERROR(VLOOKUP($A399,'13. Mapa Títulos-Receita'!$A$8:$P$1000,9,FALSE),"")</f>
        <v/>
      </c>
      <c r="Y399" s="92">
        <f>IFERROR(VLOOKUP($A399,'13. Mapa Títulos-Receita'!$A$8:$P$1000,10,FALSE),"")</f>
        <v/>
      </c>
      <c r="Z399" s="92">
        <f>IFERROR(VLOOKUP($A399,'13. Mapa Títulos-Receita'!$A$8:$P$1000,11,FALSE),"")</f>
        <v/>
      </c>
      <c r="AA399" s="92">
        <f>IFERROR(VLOOKUP($A399,'13. Mapa Títulos-Receita'!$A$8:$P$1000,12,FALSE),"")</f>
        <v/>
      </c>
      <c r="AB399" s="92">
        <f>IFERROR(VLOOKUP($A399,'13. Mapa Títulos-Receita'!$A$8:$P$1000,13,FALSE),"")</f>
        <v/>
      </c>
      <c r="AC399" s="92">
        <f>IFERROR(VLOOKUP($A399,'13. Mapa Títulos-Receita'!$A$8:$P$1000,14,FALSE),"")</f>
        <v/>
      </c>
      <c r="AD399" s="92">
        <f>IFERROR(VLOOKUP($A399,'13. Mapa Títulos-Receita'!$A$8:$P$1000,15,FALSE),"")</f>
        <v/>
      </c>
      <c r="AE399" s="92">
        <f>IFERROR(VLOOKUP($A399,'13. Mapa Títulos-Receita'!$A$8:$P$1000,16,FALSE),"")</f>
        <v/>
      </c>
    </row>
    <row r="400">
      <c r="A400" s="28">
        <f>IF(C400="","", "CR-"&amp;TEXT(ROW()-7,"000"))</f>
        <v/>
      </c>
      <c r="B400" s="28" t="n"/>
      <c r="C400" s="28" t="n"/>
      <c r="D400" s="111" t="n"/>
      <c r="E400" s="111" t="n"/>
      <c r="F400" s="111" t="n"/>
      <c r="G400" s="28" t="n"/>
      <c r="H400" s="45" t="n"/>
      <c r="I400" s="45" t="n"/>
      <c r="J400" s="28">
        <f>IF(H400="","",IF(I400&gt;=H400,"Recebido",IF($B$4&gt;E400,"Vencido","Aberto")))</f>
        <v/>
      </c>
      <c r="K400" s="4">
        <f>IF(J400="","",IF(OR(J400="Recebido",F400=""),MAX(0,F400-E400),MAX(0,$B$4-E400)))</f>
        <v/>
      </c>
      <c r="L400" s="4">
        <f>IF(K400="","",IF(K400=0,"Em dia",IF(K400&lt;=30,"1-30 dias",IF(K400&lt;=60,"31-60 dias",IF(K400&lt;=90,"61-90 dias","&gt;90 dias")))))</f>
        <v/>
      </c>
      <c r="M400" s="28" t="n"/>
      <c r="N400" s="104" t="inlineStr"/>
      <c r="O400" s="64" t="n"/>
      <c r="P400" s="64">
        <f>IF(C400="","",IF(ISNUMBER(SEARCH("PCMSO",C400)),"PCMSO",IF(OR(ISNUMBER(SEARCH("E-SOCIAL",C400)),ISNUMBER(SEARCH("PSICOSOCIAL",C400))),"eSocial / Psicossocial",IF(O400="Receita recorrente","Carteira recorrente","Projetos / Laudos / Avulsos"))))</f>
        <v/>
      </c>
      <c r="Q400" s="64">
        <f>IF(P400="","",IF(P400="Carteira recorrente","Operação recorrente",IF(P400="PCMSO","Projetos PCMSO",IF(P400="eSocial / Psicossocial","Projetos eSocial/Psicossocial","Projetos / Laudos / Avulsos"))))</f>
        <v/>
      </c>
      <c r="R400" s="64">
        <f>IF(C400="","",IF(ISNUMBER(SEARCH("PCMSO",C400)),"Título com PCMSO no nome",IF(OR(ISNUMBER(SEARCH("E-SOCIAL",C400)),ISNUMBER(SEARCH("PSICOSOCIAL",C400))),"Título com eSocial/Psicossocial no nome",IF(O400="Receita recorrente","Tipo DRE recorrente","Extra sem palavra-chave específica"))))</f>
        <v/>
      </c>
      <c r="S400" s="92">
        <f>IFERROR(VLOOKUP($A400,'13. Mapa Títulos-Receita'!$A$8:$P$1000,4,FALSE),"")</f>
        <v/>
      </c>
      <c r="T400" s="92">
        <f>IFERROR(VLOOKUP($A400,'13. Mapa Títulos-Receita'!$A$8:$P$1000,5,FALSE),"")</f>
        <v/>
      </c>
      <c r="U400" s="92">
        <f>IFERROR(VLOOKUP($A400,'13. Mapa Títulos-Receita'!$A$8:$P$1000,6,FALSE),"")</f>
        <v/>
      </c>
      <c r="V400" s="92">
        <f>IFERROR(VLOOKUP($A400,'13. Mapa Títulos-Receita'!$A$8:$P$1000,7,FALSE),"")</f>
        <v/>
      </c>
      <c r="W400" s="92">
        <f>IFERROR(VLOOKUP($A400,'13. Mapa Títulos-Receita'!$A$8:$P$1000,8,FALSE),"")</f>
        <v/>
      </c>
      <c r="X400" s="92">
        <f>IFERROR(VLOOKUP($A400,'13. Mapa Títulos-Receita'!$A$8:$P$1000,9,FALSE),"")</f>
        <v/>
      </c>
      <c r="Y400" s="92">
        <f>IFERROR(VLOOKUP($A400,'13. Mapa Títulos-Receita'!$A$8:$P$1000,10,FALSE),"")</f>
        <v/>
      </c>
      <c r="Z400" s="92">
        <f>IFERROR(VLOOKUP($A400,'13. Mapa Títulos-Receita'!$A$8:$P$1000,11,FALSE),"")</f>
        <v/>
      </c>
      <c r="AA400" s="92">
        <f>IFERROR(VLOOKUP($A400,'13. Mapa Títulos-Receita'!$A$8:$P$1000,12,FALSE),"")</f>
        <v/>
      </c>
      <c r="AB400" s="92">
        <f>IFERROR(VLOOKUP($A400,'13. Mapa Títulos-Receita'!$A$8:$P$1000,13,FALSE),"")</f>
        <v/>
      </c>
      <c r="AC400" s="92">
        <f>IFERROR(VLOOKUP($A400,'13. Mapa Títulos-Receita'!$A$8:$P$1000,14,FALSE),"")</f>
        <v/>
      </c>
      <c r="AD400" s="92">
        <f>IFERROR(VLOOKUP($A400,'13. Mapa Títulos-Receita'!$A$8:$P$1000,15,FALSE),"")</f>
        <v/>
      </c>
      <c r="AE400" s="92">
        <f>IFERROR(VLOOKUP($A400,'13. Mapa Títulos-Receita'!$A$8:$P$1000,16,FALSE),"")</f>
        <v/>
      </c>
    </row>
    <row r="401">
      <c r="A401" s="28">
        <f>IF(C401="","", "CR-"&amp;TEXT(ROW()-7,"000"))</f>
        <v/>
      </c>
      <c r="B401" s="28" t="n"/>
      <c r="C401" s="28" t="n"/>
      <c r="D401" s="111" t="n"/>
      <c r="E401" s="111" t="n"/>
      <c r="F401" s="111" t="n"/>
      <c r="G401" s="28" t="n"/>
      <c r="H401" s="45" t="n"/>
      <c r="I401" s="45" t="n"/>
      <c r="J401" s="28">
        <f>IF(H401="","",IF(I401&gt;=H401,"Recebido",IF($B$4&gt;E401,"Vencido","Aberto")))</f>
        <v/>
      </c>
      <c r="K401" s="4">
        <f>IF(J401="","",IF(OR(J401="Recebido",F401=""),MAX(0,F401-E401),MAX(0,$B$4-E401)))</f>
        <v/>
      </c>
      <c r="L401" s="4">
        <f>IF(K401="","",IF(K401=0,"Em dia",IF(K401&lt;=30,"1-30 dias",IF(K401&lt;=60,"31-60 dias",IF(K401&lt;=90,"61-90 dias","&gt;90 dias")))))</f>
        <v/>
      </c>
      <c r="M401" s="28" t="n"/>
      <c r="N401" s="104" t="inlineStr"/>
      <c r="O401" s="64" t="n"/>
      <c r="P401" s="64">
        <f>IF(C401="","",IF(ISNUMBER(SEARCH("PCMSO",C401)),"PCMSO",IF(OR(ISNUMBER(SEARCH("E-SOCIAL",C401)),ISNUMBER(SEARCH("PSICOSOCIAL",C401))),"eSocial / Psicossocial",IF(O401="Receita recorrente","Carteira recorrente","Projetos / Laudos / Avulsos"))))</f>
        <v/>
      </c>
      <c r="Q401" s="64">
        <f>IF(P401="","",IF(P401="Carteira recorrente","Operação recorrente",IF(P401="PCMSO","Projetos PCMSO",IF(P401="eSocial / Psicossocial","Projetos eSocial/Psicossocial","Projetos / Laudos / Avulsos"))))</f>
        <v/>
      </c>
      <c r="R401" s="64">
        <f>IF(C401="","",IF(ISNUMBER(SEARCH("PCMSO",C401)),"Título com PCMSO no nome",IF(OR(ISNUMBER(SEARCH("E-SOCIAL",C401)),ISNUMBER(SEARCH("PSICOSOCIAL",C401))),"Título com eSocial/Psicossocial no nome",IF(O401="Receita recorrente","Tipo DRE recorrente","Extra sem palavra-chave específica"))))</f>
        <v/>
      </c>
      <c r="S401" s="92">
        <f>IFERROR(VLOOKUP($A401,'13. Mapa Títulos-Receita'!$A$8:$P$1000,4,FALSE),"")</f>
        <v/>
      </c>
      <c r="T401" s="92">
        <f>IFERROR(VLOOKUP($A401,'13. Mapa Títulos-Receita'!$A$8:$P$1000,5,FALSE),"")</f>
        <v/>
      </c>
      <c r="U401" s="92">
        <f>IFERROR(VLOOKUP($A401,'13. Mapa Títulos-Receita'!$A$8:$P$1000,6,FALSE),"")</f>
        <v/>
      </c>
      <c r="V401" s="92">
        <f>IFERROR(VLOOKUP($A401,'13. Mapa Títulos-Receita'!$A$8:$P$1000,7,FALSE),"")</f>
        <v/>
      </c>
      <c r="W401" s="92">
        <f>IFERROR(VLOOKUP($A401,'13. Mapa Títulos-Receita'!$A$8:$P$1000,8,FALSE),"")</f>
        <v/>
      </c>
      <c r="X401" s="92">
        <f>IFERROR(VLOOKUP($A401,'13. Mapa Títulos-Receita'!$A$8:$P$1000,9,FALSE),"")</f>
        <v/>
      </c>
      <c r="Y401" s="92">
        <f>IFERROR(VLOOKUP($A401,'13. Mapa Títulos-Receita'!$A$8:$P$1000,10,FALSE),"")</f>
        <v/>
      </c>
      <c r="Z401" s="92">
        <f>IFERROR(VLOOKUP($A401,'13. Mapa Títulos-Receita'!$A$8:$P$1000,11,FALSE),"")</f>
        <v/>
      </c>
      <c r="AA401" s="92">
        <f>IFERROR(VLOOKUP($A401,'13. Mapa Títulos-Receita'!$A$8:$P$1000,12,FALSE),"")</f>
        <v/>
      </c>
      <c r="AB401" s="92">
        <f>IFERROR(VLOOKUP($A401,'13. Mapa Títulos-Receita'!$A$8:$P$1000,13,FALSE),"")</f>
        <v/>
      </c>
      <c r="AC401" s="92">
        <f>IFERROR(VLOOKUP($A401,'13. Mapa Títulos-Receita'!$A$8:$P$1000,14,FALSE),"")</f>
        <v/>
      </c>
      <c r="AD401" s="92">
        <f>IFERROR(VLOOKUP($A401,'13. Mapa Títulos-Receita'!$A$8:$P$1000,15,FALSE),"")</f>
        <v/>
      </c>
      <c r="AE401" s="92">
        <f>IFERROR(VLOOKUP($A401,'13. Mapa Títulos-Receita'!$A$8:$P$1000,16,FALSE),"")</f>
        <v/>
      </c>
    </row>
    <row r="402">
      <c r="A402" s="28">
        <f>IF(C402="","", "CR-"&amp;TEXT(ROW()-7,"000"))</f>
        <v/>
      </c>
      <c r="B402" s="28" t="n"/>
      <c r="C402" s="28" t="n"/>
      <c r="D402" s="111" t="n"/>
      <c r="E402" s="111" t="n"/>
      <c r="F402" s="111" t="n"/>
      <c r="G402" s="28" t="n"/>
      <c r="H402" s="45" t="n"/>
      <c r="I402" s="45" t="n"/>
      <c r="J402" s="28">
        <f>IF(H402="","",IF(I402&gt;=H402,"Recebido",IF($B$4&gt;E402,"Vencido","Aberto")))</f>
        <v/>
      </c>
      <c r="K402" s="4">
        <f>IF(J402="","",IF(OR(J402="Recebido",F402=""),MAX(0,F402-E402),MAX(0,$B$4-E402)))</f>
        <v/>
      </c>
      <c r="L402" s="4">
        <f>IF(K402="","",IF(K402=0,"Em dia",IF(K402&lt;=30,"1-30 dias",IF(K402&lt;=60,"31-60 dias",IF(K402&lt;=90,"61-90 dias","&gt;90 dias")))))</f>
        <v/>
      </c>
      <c r="M402" s="28" t="n"/>
      <c r="N402" s="104" t="inlineStr"/>
      <c r="O402" s="64" t="n"/>
      <c r="P402" s="64">
        <f>IF(C402="","",IF(ISNUMBER(SEARCH("PCMSO",C402)),"PCMSO",IF(OR(ISNUMBER(SEARCH("E-SOCIAL",C402)),ISNUMBER(SEARCH("PSICOSOCIAL",C402))),"eSocial / Psicossocial",IF(O402="Receita recorrente","Carteira recorrente","Projetos / Laudos / Avulsos"))))</f>
        <v/>
      </c>
      <c r="Q402" s="64">
        <f>IF(P402="","",IF(P402="Carteira recorrente","Operação recorrente",IF(P402="PCMSO","Projetos PCMSO",IF(P402="eSocial / Psicossocial","Projetos eSocial/Psicossocial","Projetos / Laudos / Avulsos"))))</f>
        <v/>
      </c>
      <c r="R402" s="64">
        <f>IF(C402="","",IF(ISNUMBER(SEARCH("PCMSO",C402)),"Título com PCMSO no nome",IF(OR(ISNUMBER(SEARCH("E-SOCIAL",C402)),ISNUMBER(SEARCH("PSICOSOCIAL",C402))),"Título com eSocial/Psicossocial no nome",IF(O402="Receita recorrente","Tipo DRE recorrente","Extra sem palavra-chave específica"))))</f>
        <v/>
      </c>
      <c r="S402" s="92">
        <f>IFERROR(VLOOKUP($A402,'13. Mapa Títulos-Receita'!$A$8:$P$1000,4,FALSE),"")</f>
        <v/>
      </c>
      <c r="T402" s="92">
        <f>IFERROR(VLOOKUP($A402,'13. Mapa Títulos-Receita'!$A$8:$P$1000,5,FALSE),"")</f>
        <v/>
      </c>
      <c r="U402" s="92">
        <f>IFERROR(VLOOKUP($A402,'13. Mapa Títulos-Receita'!$A$8:$P$1000,6,FALSE),"")</f>
        <v/>
      </c>
      <c r="V402" s="92">
        <f>IFERROR(VLOOKUP($A402,'13. Mapa Títulos-Receita'!$A$8:$P$1000,7,FALSE),"")</f>
        <v/>
      </c>
      <c r="W402" s="92">
        <f>IFERROR(VLOOKUP($A402,'13. Mapa Títulos-Receita'!$A$8:$P$1000,8,FALSE),"")</f>
        <v/>
      </c>
      <c r="X402" s="92">
        <f>IFERROR(VLOOKUP($A402,'13. Mapa Títulos-Receita'!$A$8:$P$1000,9,FALSE),"")</f>
        <v/>
      </c>
      <c r="Y402" s="92">
        <f>IFERROR(VLOOKUP($A402,'13. Mapa Títulos-Receita'!$A$8:$P$1000,10,FALSE),"")</f>
        <v/>
      </c>
      <c r="Z402" s="92">
        <f>IFERROR(VLOOKUP($A402,'13. Mapa Títulos-Receita'!$A$8:$P$1000,11,FALSE),"")</f>
        <v/>
      </c>
      <c r="AA402" s="92">
        <f>IFERROR(VLOOKUP($A402,'13. Mapa Títulos-Receita'!$A$8:$P$1000,12,FALSE),"")</f>
        <v/>
      </c>
      <c r="AB402" s="92">
        <f>IFERROR(VLOOKUP($A402,'13. Mapa Títulos-Receita'!$A$8:$P$1000,13,FALSE),"")</f>
        <v/>
      </c>
      <c r="AC402" s="92">
        <f>IFERROR(VLOOKUP($A402,'13. Mapa Títulos-Receita'!$A$8:$P$1000,14,FALSE),"")</f>
        <v/>
      </c>
      <c r="AD402" s="92">
        <f>IFERROR(VLOOKUP($A402,'13. Mapa Títulos-Receita'!$A$8:$P$1000,15,FALSE),"")</f>
        <v/>
      </c>
      <c r="AE402" s="92">
        <f>IFERROR(VLOOKUP($A402,'13. Mapa Títulos-Receita'!$A$8:$P$1000,16,FALSE),"")</f>
        <v/>
      </c>
    </row>
    <row r="403">
      <c r="A403" s="28">
        <f>IF(C403="","", "CR-"&amp;TEXT(ROW()-7,"000"))</f>
        <v/>
      </c>
      <c r="B403" s="28" t="n"/>
      <c r="C403" s="28" t="n"/>
      <c r="D403" s="111" t="n"/>
      <c r="E403" s="111" t="n"/>
      <c r="F403" s="111" t="n"/>
      <c r="G403" s="28" t="n"/>
      <c r="H403" s="45" t="n"/>
      <c r="I403" s="45" t="n"/>
      <c r="J403" s="28">
        <f>IF(H403="","",IF(I403&gt;=H403,"Recebido",IF($B$4&gt;E403,"Vencido","Aberto")))</f>
        <v/>
      </c>
      <c r="K403" s="4">
        <f>IF(J403="","",IF(OR(J403="Recebido",F403=""),MAX(0,F403-E403),MAX(0,$B$4-E403)))</f>
        <v/>
      </c>
      <c r="L403" s="4">
        <f>IF(K403="","",IF(K403=0,"Em dia",IF(K403&lt;=30,"1-30 dias",IF(K403&lt;=60,"31-60 dias",IF(K403&lt;=90,"61-90 dias","&gt;90 dias")))))</f>
        <v/>
      </c>
      <c r="M403" s="28" t="n"/>
      <c r="N403" s="104" t="inlineStr"/>
      <c r="O403" s="64" t="n"/>
      <c r="P403" s="64">
        <f>IF(C403="","",IF(ISNUMBER(SEARCH("PCMSO",C403)),"PCMSO",IF(OR(ISNUMBER(SEARCH("E-SOCIAL",C403)),ISNUMBER(SEARCH("PSICOSOCIAL",C403))),"eSocial / Psicossocial",IF(O403="Receita recorrente","Carteira recorrente","Projetos / Laudos / Avulsos"))))</f>
        <v/>
      </c>
      <c r="Q403" s="64">
        <f>IF(P403="","",IF(P403="Carteira recorrente","Operação recorrente",IF(P403="PCMSO","Projetos PCMSO",IF(P403="eSocial / Psicossocial","Projetos eSocial/Psicossocial","Projetos / Laudos / Avulsos"))))</f>
        <v/>
      </c>
      <c r="R403" s="64">
        <f>IF(C403="","",IF(ISNUMBER(SEARCH("PCMSO",C403)),"Título com PCMSO no nome",IF(OR(ISNUMBER(SEARCH("E-SOCIAL",C403)),ISNUMBER(SEARCH("PSICOSOCIAL",C403))),"Título com eSocial/Psicossocial no nome",IF(O403="Receita recorrente","Tipo DRE recorrente","Extra sem palavra-chave específica"))))</f>
        <v/>
      </c>
      <c r="S403" s="92">
        <f>IFERROR(VLOOKUP($A403,'13. Mapa Títulos-Receita'!$A$8:$P$1000,4,FALSE),"")</f>
        <v/>
      </c>
      <c r="T403" s="92">
        <f>IFERROR(VLOOKUP($A403,'13. Mapa Títulos-Receita'!$A$8:$P$1000,5,FALSE),"")</f>
        <v/>
      </c>
      <c r="U403" s="92">
        <f>IFERROR(VLOOKUP($A403,'13. Mapa Títulos-Receita'!$A$8:$P$1000,6,FALSE),"")</f>
        <v/>
      </c>
      <c r="V403" s="92">
        <f>IFERROR(VLOOKUP($A403,'13. Mapa Títulos-Receita'!$A$8:$P$1000,7,FALSE),"")</f>
        <v/>
      </c>
      <c r="W403" s="92">
        <f>IFERROR(VLOOKUP($A403,'13. Mapa Títulos-Receita'!$A$8:$P$1000,8,FALSE),"")</f>
        <v/>
      </c>
      <c r="X403" s="92">
        <f>IFERROR(VLOOKUP($A403,'13. Mapa Títulos-Receita'!$A$8:$P$1000,9,FALSE),"")</f>
        <v/>
      </c>
      <c r="Y403" s="92">
        <f>IFERROR(VLOOKUP($A403,'13. Mapa Títulos-Receita'!$A$8:$P$1000,10,FALSE),"")</f>
        <v/>
      </c>
      <c r="Z403" s="92">
        <f>IFERROR(VLOOKUP($A403,'13. Mapa Títulos-Receita'!$A$8:$P$1000,11,FALSE),"")</f>
        <v/>
      </c>
      <c r="AA403" s="92">
        <f>IFERROR(VLOOKUP($A403,'13. Mapa Títulos-Receita'!$A$8:$P$1000,12,FALSE),"")</f>
        <v/>
      </c>
      <c r="AB403" s="92">
        <f>IFERROR(VLOOKUP($A403,'13. Mapa Títulos-Receita'!$A$8:$P$1000,13,FALSE),"")</f>
        <v/>
      </c>
      <c r="AC403" s="92">
        <f>IFERROR(VLOOKUP($A403,'13. Mapa Títulos-Receita'!$A$8:$P$1000,14,FALSE),"")</f>
        <v/>
      </c>
      <c r="AD403" s="92">
        <f>IFERROR(VLOOKUP($A403,'13. Mapa Títulos-Receita'!$A$8:$P$1000,15,FALSE),"")</f>
        <v/>
      </c>
      <c r="AE403" s="92">
        <f>IFERROR(VLOOKUP($A403,'13. Mapa Títulos-Receita'!$A$8:$P$1000,16,FALSE),"")</f>
        <v/>
      </c>
    </row>
    <row r="404">
      <c r="A404" s="28">
        <f>IF(C404="","", "CR-"&amp;TEXT(ROW()-7,"000"))</f>
        <v/>
      </c>
      <c r="B404" s="28" t="n"/>
      <c r="C404" s="28" t="n"/>
      <c r="D404" s="111" t="n"/>
      <c r="E404" s="111" t="n"/>
      <c r="F404" s="111" t="n"/>
      <c r="G404" s="28" t="n"/>
      <c r="H404" s="45" t="n"/>
      <c r="I404" s="45" t="n"/>
      <c r="J404" s="28">
        <f>IF(H404="","",IF(I404&gt;=H404,"Recebido",IF($B$4&gt;E404,"Vencido","Aberto")))</f>
        <v/>
      </c>
      <c r="K404" s="4">
        <f>IF(J404="","",IF(OR(J404="Recebido",F404=""),MAX(0,F404-E404),MAX(0,$B$4-E404)))</f>
        <v/>
      </c>
      <c r="L404" s="4">
        <f>IF(K404="","",IF(K404=0,"Em dia",IF(K404&lt;=30,"1-30 dias",IF(K404&lt;=60,"31-60 dias",IF(K404&lt;=90,"61-90 dias","&gt;90 dias")))))</f>
        <v/>
      </c>
      <c r="M404" s="28" t="n"/>
      <c r="N404" s="104" t="inlineStr"/>
      <c r="O404" s="64" t="n"/>
      <c r="P404" s="64">
        <f>IF(C404="","",IF(ISNUMBER(SEARCH("PCMSO",C404)),"PCMSO",IF(OR(ISNUMBER(SEARCH("E-SOCIAL",C404)),ISNUMBER(SEARCH("PSICOSOCIAL",C404))),"eSocial / Psicossocial",IF(O404="Receita recorrente","Carteira recorrente","Projetos / Laudos / Avulsos"))))</f>
        <v/>
      </c>
      <c r="Q404" s="64">
        <f>IF(P404="","",IF(P404="Carteira recorrente","Operação recorrente",IF(P404="PCMSO","Projetos PCMSO",IF(P404="eSocial / Psicossocial","Projetos eSocial/Psicossocial","Projetos / Laudos / Avulsos"))))</f>
        <v/>
      </c>
      <c r="R404" s="64">
        <f>IF(C404="","",IF(ISNUMBER(SEARCH("PCMSO",C404)),"Título com PCMSO no nome",IF(OR(ISNUMBER(SEARCH("E-SOCIAL",C404)),ISNUMBER(SEARCH("PSICOSOCIAL",C404))),"Título com eSocial/Psicossocial no nome",IF(O404="Receita recorrente","Tipo DRE recorrente","Extra sem palavra-chave específica"))))</f>
        <v/>
      </c>
      <c r="S404" s="92">
        <f>IFERROR(VLOOKUP($A404,'13. Mapa Títulos-Receita'!$A$8:$P$1000,4,FALSE),"")</f>
        <v/>
      </c>
      <c r="T404" s="92">
        <f>IFERROR(VLOOKUP($A404,'13. Mapa Títulos-Receita'!$A$8:$P$1000,5,FALSE),"")</f>
        <v/>
      </c>
      <c r="U404" s="92">
        <f>IFERROR(VLOOKUP($A404,'13. Mapa Títulos-Receita'!$A$8:$P$1000,6,FALSE),"")</f>
        <v/>
      </c>
      <c r="V404" s="92">
        <f>IFERROR(VLOOKUP($A404,'13. Mapa Títulos-Receita'!$A$8:$P$1000,7,FALSE),"")</f>
        <v/>
      </c>
      <c r="W404" s="92">
        <f>IFERROR(VLOOKUP($A404,'13. Mapa Títulos-Receita'!$A$8:$P$1000,8,FALSE),"")</f>
        <v/>
      </c>
      <c r="X404" s="92">
        <f>IFERROR(VLOOKUP($A404,'13. Mapa Títulos-Receita'!$A$8:$P$1000,9,FALSE),"")</f>
        <v/>
      </c>
      <c r="Y404" s="92">
        <f>IFERROR(VLOOKUP($A404,'13. Mapa Títulos-Receita'!$A$8:$P$1000,10,FALSE),"")</f>
        <v/>
      </c>
      <c r="Z404" s="92">
        <f>IFERROR(VLOOKUP($A404,'13. Mapa Títulos-Receita'!$A$8:$P$1000,11,FALSE),"")</f>
        <v/>
      </c>
      <c r="AA404" s="92">
        <f>IFERROR(VLOOKUP($A404,'13. Mapa Títulos-Receita'!$A$8:$P$1000,12,FALSE),"")</f>
        <v/>
      </c>
      <c r="AB404" s="92">
        <f>IFERROR(VLOOKUP($A404,'13. Mapa Títulos-Receita'!$A$8:$P$1000,13,FALSE),"")</f>
        <v/>
      </c>
      <c r="AC404" s="92">
        <f>IFERROR(VLOOKUP($A404,'13. Mapa Títulos-Receita'!$A$8:$P$1000,14,FALSE),"")</f>
        <v/>
      </c>
      <c r="AD404" s="92">
        <f>IFERROR(VLOOKUP($A404,'13. Mapa Títulos-Receita'!$A$8:$P$1000,15,FALSE),"")</f>
        <v/>
      </c>
      <c r="AE404" s="92">
        <f>IFERROR(VLOOKUP($A404,'13. Mapa Títulos-Receita'!$A$8:$P$1000,16,FALSE),"")</f>
        <v/>
      </c>
    </row>
    <row r="405">
      <c r="A405" s="28">
        <f>IF(C405="","", "CR-"&amp;TEXT(ROW()-7,"000"))</f>
        <v/>
      </c>
      <c r="B405" s="28" t="n"/>
      <c r="C405" s="28" t="n"/>
      <c r="D405" s="111" t="n"/>
      <c r="E405" s="111" t="n"/>
      <c r="F405" s="111" t="n"/>
      <c r="G405" s="28" t="n"/>
      <c r="H405" s="45" t="n"/>
      <c r="I405" s="45" t="n"/>
      <c r="J405" s="28">
        <f>IF(H405="","",IF(I405&gt;=H405,"Recebido",IF($B$4&gt;E405,"Vencido","Aberto")))</f>
        <v/>
      </c>
      <c r="K405" s="4">
        <f>IF(J405="","",IF(OR(J405="Recebido",F405=""),MAX(0,F405-E405),MAX(0,$B$4-E405)))</f>
        <v/>
      </c>
      <c r="L405" s="4">
        <f>IF(K405="","",IF(K405=0,"Em dia",IF(K405&lt;=30,"1-30 dias",IF(K405&lt;=60,"31-60 dias",IF(K405&lt;=90,"61-90 dias","&gt;90 dias")))))</f>
        <v/>
      </c>
      <c r="M405" s="28" t="n"/>
      <c r="N405" s="104" t="inlineStr"/>
      <c r="O405" s="64" t="n"/>
      <c r="P405" s="64">
        <f>IF(C405="","",IF(ISNUMBER(SEARCH("PCMSO",C405)),"PCMSO",IF(OR(ISNUMBER(SEARCH("E-SOCIAL",C405)),ISNUMBER(SEARCH("PSICOSOCIAL",C405))),"eSocial / Psicossocial",IF(O405="Receita recorrente","Carteira recorrente","Projetos / Laudos / Avulsos"))))</f>
        <v/>
      </c>
      <c r="Q405" s="64">
        <f>IF(P405="","",IF(P405="Carteira recorrente","Operação recorrente",IF(P405="PCMSO","Projetos PCMSO",IF(P405="eSocial / Psicossocial","Projetos eSocial/Psicossocial","Projetos / Laudos / Avulsos"))))</f>
        <v/>
      </c>
      <c r="R405" s="64">
        <f>IF(C405="","",IF(ISNUMBER(SEARCH("PCMSO",C405)),"Título com PCMSO no nome",IF(OR(ISNUMBER(SEARCH("E-SOCIAL",C405)),ISNUMBER(SEARCH("PSICOSOCIAL",C405))),"Título com eSocial/Psicossocial no nome",IF(O405="Receita recorrente","Tipo DRE recorrente","Extra sem palavra-chave específica"))))</f>
        <v/>
      </c>
      <c r="S405" s="92">
        <f>IFERROR(VLOOKUP($A405,'13. Mapa Títulos-Receita'!$A$8:$P$1000,4,FALSE),"")</f>
        <v/>
      </c>
      <c r="T405" s="92">
        <f>IFERROR(VLOOKUP($A405,'13. Mapa Títulos-Receita'!$A$8:$P$1000,5,FALSE),"")</f>
        <v/>
      </c>
      <c r="U405" s="92">
        <f>IFERROR(VLOOKUP($A405,'13. Mapa Títulos-Receita'!$A$8:$P$1000,6,FALSE),"")</f>
        <v/>
      </c>
      <c r="V405" s="92">
        <f>IFERROR(VLOOKUP($A405,'13. Mapa Títulos-Receita'!$A$8:$P$1000,7,FALSE),"")</f>
        <v/>
      </c>
      <c r="W405" s="92">
        <f>IFERROR(VLOOKUP($A405,'13. Mapa Títulos-Receita'!$A$8:$P$1000,8,FALSE),"")</f>
        <v/>
      </c>
      <c r="X405" s="92">
        <f>IFERROR(VLOOKUP($A405,'13. Mapa Títulos-Receita'!$A$8:$P$1000,9,FALSE),"")</f>
        <v/>
      </c>
      <c r="Y405" s="92">
        <f>IFERROR(VLOOKUP($A405,'13. Mapa Títulos-Receita'!$A$8:$P$1000,10,FALSE),"")</f>
        <v/>
      </c>
      <c r="Z405" s="92">
        <f>IFERROR(VLOOKUP($A405,'13. Mapa Títulos-Receita'!$A$8:$P$1000,11,FALSE),"")</f>
        <v/>
      </c>
      <c r="AA405" s="92">
        <f>IFERROR(VLOOKUP($A405,'13. Mapa Títulos-Receita'!$A$8:$P$1000,12,FALSE),"")</f>
        <v/>
      </c>
      <c r="AB405" s="92">
        <f>IFERROR(VLOOKUP($A405,'13. Mapa Títulos-Receita'!$A$8:$P$1000,13,FALSE),"")</f>
        <v/>
      </c>
      <c r="AC405" s="92">
        <f>IFERROR(VLOOKUP($A405,'13. Mapa Títulos-Receita'!$A$8:$P$1000,14,FALSE),"")</f>
        <v/>
      </c>
      <c r="AD405" s="92">
        <f>IFERROR(VLOOKUP($A405,'13. Mapa Títulos-Receita'!$A$8:$P$1000,15,FALSE),"")</f>
        <v/>
      </c>
      <c r="AE405" s="92">
        <f>IFERROR(VLOOKUP($A405,'13. Mapa Títulos-Receita'!$A$8:$P$1000,16,FALSE),"")</f>
        <v/>
      </c>
    </row>
    <row r="406">
      <c r="A406" s="28">
        <f>IF(C406="","", "CR-"&amp;TEXT(ROW()-7,"000"))</f>
        <v/>
      </c>
      <c r="B406" s="28" t="n"/>
      <c r="C406" s="28" t="n"/>
      <c r="D406" s="111" t="n"/>
      <c r="E406" s="111" t="n"/>
      <c r="F406" s="111" t="n"/>
      <c r="G406" s="28" t="n"/>
      <c r="H406" s="45" t="n"/>
      <c r="I406" s="45" t="n"/>
      <c r="J406" s="28">
        <f>IF(H406="","",IF(I406&gt;=H406,"Recebido",IF($B$4&gt;E406,"Vencido","Aberto")))</f>
        <v/>
      </c>
      <c r="K406" s="4">
        <f>IF(J406="","",IF(OR(J406="Recebido",F406=""),MAX(0,F406-E406),MAX(0,$B$4-E406)))</f>
        <v/>
      </c>
      <c r="L406" s="4">
        <f>IF(K406="","",IF(K406=0,"Em dia",IF(K406&lt;=30,"1-30 dias",IF(K406&lt;=60,"31-60 dias",IF(K406&lt;=90,"61-90 dias","&gt;90 dias")))))</f>
        <v/>
      </c>
      <c r="M406" s="28" t="n"/>
      <c r="N406" s="104" t="inlineStr"/>
      <c r="O406" s="64" t="n"/>
      <c r="P406" s="64">
        <f>IF(C406="","",IF(ISNUMBER(SEARCH("PCMSO",C406)),"PCMSO",IF(OR(ISNUMBER(SEARCH("E-SOCIAL",C406)),ISNUMBER(SEARCH("PSICOSOCIAL",C406))),"eSocial / Psicossocial",IF(O406="Receita recorrente","Carteira recorrente","Projetos / Laudos / Avulsos"))))</f>
        <v/>
      </c>
      <c r="Q406" s="64">
        <f>IF(P406="","",IF(P406="Carteira recorrente","Operação recorrente",IF(P406="PCMSO","Projetos PCMSO",IF(P406="eSocial / Psicossocial","Projetos eSocial/Psicossocial","Projetos / Laudos / Avulsos"))))</f>
        <v/>
      </c>
      <c r="R406" s="64">
        <f>IF(C406="","",IF(ISNUMBER(SEARCH("PCMSO",C406)),"Título com PCMSO no nome",IF(OR(ISNUMBER(SEARCH("E-SOCIAL",C406)),ISNUMBER(SEARCH("PSICOSOCIAL",C406))),"Título com eSocial/Psicossocial no nome",IF(O406="Receita recorrente","Tipo DRE recorrente","Extra sem palavra-chave específica"))))</f>
        <v/>
      </c>
      <c r="S406" s="92">
        <f>IFERROR(VLOOKUP($A406,'13. Mapa Títulos-Receita'!$A$8:$P$1000,4,FALSE),"")</f>
        <v/>
      </c>
      <c r="T406" s="92">
        <f>IFERROR(VLOOKUP($A406,'13. Mapa Títulos-Receita'!$A$8:$P$1000,5,FALSE),"")</f>
        <v/>
      </c>
      <c r="U406" s="92">
        <f>IFERROR(VLOOKUP($A406,'13. Mapa Títulos-Receita'!$A$8:$P$1000,6,FALSE),"")</f>
        <v/>
      </c>
      <c r="V406" s="92">
        <f>IFERROR(VLOOKUP($A406,'13. Mapa Títulos-Receita'!$A$8:$P$1000,7,FALSE),"")</f>
        <v/>
      </c>
      <c r="W406" s="92">
        <f>IFERROR(VLOOKUP($A406,'13. Mapa Títulos-Receita'!$A$8:$P$1000,8,FALSE),"")</f>
        <v/>
      </c>
      <c r="X406" s="92">
        <f>IFERROR(VLOOKUP($A406,'13. Mapa Títulos-Receita'!$A$8:$P$1000,9,FALSE),"")</f>
        <v/>
      </c>
      <c r="Y406" s="92">
        <f>IFERROR(VLOOKUP($A406,'13. Mapa Títulos-Receita'!$A$8:$P$1000,10,FALSE),"")</f>
        <v/>
      </c>
      <c r="Z406" s="92">
        <f>IFERROR(VLOOKUP($A406,'13. Mapa Títulos-Receita'!$A$8:$P$1000,11,FALSE),"")</f>
        <v/>
      </c>
      <c r="AA406" s="92">
        <f>IFERROR(VLOOKUP($A406,'13. Mapa Títulos-Receita'!$A$8:$P$1000,12,FALSE),"")</f>
        <v/>
      </c>
      <c r="AB406" s="92">
        <f>IFERROR(VLOOKUP($A406,'13. Mapa Títulos-Receita'!$A$8:$P$1000,13,FALSE),"")</f>
        <v/>
      </c>
      <c r="AC406" s="92">
        <f>IFERROR(VLOOKUP($A406,'13. Mapa Títulos-Receita'!$A$8:$P$1000,14,FALSE),"")</f>
        <v/>
      </c>
      <c r="AD406" s="92">
        <f>IFERROR(VLOOKUP($A406,'13. Mapa Títulos-Receita'!$A$8:$P$1000,15,FALSE),"")</f>
        <v/>
      </c>
      <c r="AE406" s="92">
        <f>IFERROR(VLOOKUP($A406,'13. Mapa Títulos-Receita'!$A$8:$P$1000,16,FALSE),"")</f>
        <v/>
      </c>
    </row>
    <row r="407">
      <c r="A407" s="28">
        <f>IF(C407="","", "CR-"&amp;TEXT(ROW()-7,"000"))</f>
        <v/>
      </c>
      <c r="B407" s="28" t="n"/>
      <c r="C407" s="28" t="n"/>
      <c r="D407" s="111" t="n"/>
      <c r="E407" s="111" t="n"/>
      <c r="F407" s="111" t="n"/>
      <c r="G407" s="28" t="n"/>
      <c r="H407" s="45" t="n"/>
      <c r="I407" s="45" t="n"/>
      <c r="J407" s="28">
        <f>IF(H407="","",IF(I407&gt;=H407,"Recebido",IF($B$4&gt;E407,"Vencido","Aberto")))</f>
        <v/>
      </c>
      <c r="K407" s="4">
        <f>IF(J407="","",IF(OR(J407="Recebido",F407=""),MAX(0,F407-E407),MAX(0,$B$4-E407)))</f>
        <v/>
      </c>
      <c r="L407" s="4">
        <f>IF(K407="","",IF(K407=0,"Em dia",IF(K407&lt;=30,"1-30 dias",IF(K407&lt;=60,"31-60 dias",IF(K407&lt;=90,"61-90 dias","&gt;90 dias")))))</f>
        <v/>
      </c>
      <c r="M407" s="28" t="n"/>
      <c r="N407" s="104" t="inlineStr"/>
      <c r="O407" s="64" t="n"/>
      <c r="P407" s="64">
        <f>IF(C407="","",IF(ISNUMBER(SEARCH("PCMSO",C407)),"PCMSO",IF(OR(ISNUMBER(SEARCH("E-SOCIAL",C407)),ISNUMBER(SEARCH("PSICOSOCIAL",C407))),"eSocial / Psicossocial",IF(O407="Receita recorrente","Carteira recorrente","Projetos / Laudos / Avulsos"))))</f>
        <v/>
      </c>
      <c r="Q407" s="64">
        <f>IF(P407="","",IF(P407="Carteira recorrente","Operação recorrente",IF(P407="PCMSO","Projetos PCMSO",IF(P407="eSocial / Psicossocial","Projetos eSocial/Psicossocial","Projetos / Laudos / Avulsos"))))</f>
        <v/>
      </c>
      <c r="R407" s="64">
        <f>IF(C407="","",IF(ISNUMBER(SEARCH("PCMSO",C407)),"Título com PCMSO no nome",IF(OR(ISNUMBER(SEARCH("E-SOCIAL",C407)),ISNUMBER(SEARCH("PSICOSOCIAL",C407))),"Título com eSocial/Psicossocial no nome",IF(O407="Receita recorrente","Tipo DRE recorrente","Extra sem palavra-chave específica"))))</f>
        <v/>
      </c>
      <c r="S407" s="92">
        <f>IFERROR(VLOOKUP($A407,'13. Mapa Títulos-Receita'!$A$8:$P$1000,4,FALSE),"")</f>
        <v/>
      </c>
      <c r="T407" s="92">
        <f>IFERROR(VLOOKUP($A407,'13. Mapa Títulos-Receita'!$A$8:$P$1000,5,FALSE),"")</f>
        <v/>
      </c>
      <c r="U407" s="92">
        <f>IFERROR(VLOOKUP($A407,'13. Mapa Títulos-Receita'!$A$8:$P$1000,6,FALSE),"")</f>
        <v/>
      </c>
      <c r="V407" s="92">
        <f>IFERROR(VLOOKUP($A407,'13. Mapa Títulos-Receita'!$A$8:$P$1000,7,FALSE),"")</f>
        <v/>
      </c>
      <c r="W407" s="92">
        <f>IFERROR(VLOOKUP($A407,'13. Mapa Títulos-Receita'!$A$8:$P$1000,8,FALSE),"")</f>
        <v/>
      </c>
      <c r="X407" s="92">
        <f>IFERROR(VLOOKUP($A407,'13. Mapa Títulos-Receita'!$A$8:$P$1000,9,FALSE),"")</f>
        <v/>
      </c>
      <c r="Y407" s="92">
        <f>IFERROR(VLOOKUP($A407,'13. Mapa Títulos-Receita'!$A$8:$P$1000,10,FALSE),"")</f>
        <v/>
      </c>
      <c r="Z407" s="92">
        <f>IFERROR(VLOOKUP($A407,'13. Mapa Títulos-Receita'!$A$8:$P$1000,11,FALSE),"")</f>
        <v/>
      </c>
      <c r="AA407" s="92">
        <f>IFERROR(VLOOKUP($A407,'13. Mapa Títulos-Receita'!$A$8:$P$1000,12,FALSE),"")</f>
        <v/>
      </c>
      <c r="AB407" s="92">
        <f>IFERROR(VLOOKUP($A407,'13. Mapa Títulos-Receita'!$A$8:$P$1000,13,FALSE),"")</f>
        <v/>
      </c>
      <c r="AC407" s="92">
        <f>IFERROR(VLOOKUP($A407,'13. Mapa Títulos-Receita'!$A$8:$P$1000,14,FALSE),"")</f>
        <v/>
      </c>
      <c r="AD407" s="92">
        <f>IFERROR(VLOOKUP($A407,'13. Mapa Títulos-Receita'!$A$8:$P$1000,15,FALSE),"")</f>
        <v/>
      </c>
      <c r="AE407" s="92">
        <f>IFERROR(VLOOKUP($A407,'13. Mapa Títulos-Receita'!$A$8:$P$1000,16,FALSE),"")</f>
        <v/>
      </c>
    </row>
    <row r="408">
      <c r="A408" s="28">
        <f>IF(C408="","", "CR-"&amp;TEXT(ROW()-7,"000"))</f>
        <v/>
      </c>
      <c r="B408" s="28" t="n"/>
      <c r="C408" s="28" t="n"/>
      <c r="D408" s="111" t="n"/>
      <c r="E408" s="111" t="n"/>
      <c r="F408" s="111" t="n"/>
      <c r="G408" s="28" t="n"/>
      <c r="H408" s="45" t="n"/>
      <c r="I408" s="45" t="n"/>
      <c r="J408" s="28">
        <f>IF(H408="","",IF(I408&gt;=H408,"Recebido",IF($B$4&gt;E408,"Vencido","Aberto")))</f>
        <v/>
      </c>
      <c r="K408" s="4">
        <f>IF(J408="","",IF(OR(J408="Recebido",F408=""),MAX(0,F408-E408),MAX(0,$B$4-E408)))</f>
        <v/>
      </c>
      <c r="L408" s="4">
        <f>IF(K408="","",IF(K408=0,"Em dia",IF(K408&lt;=30,"1-30 dias",IF(K408&lt;=60,"31-60 dias",IF(K408&lt;=90,"61-90 dias","&gt;90 dias")))))</f>
        <v/>
      </c>
      <c r="M408" s="28" t="n"/>
      <c r="N408" s="104" t="inlineStr"/>
      <c r="O408" s="64" t="n"/>
      <c r="P408" s="64">
        <f>IF(C408="","",IF(ISNUMBER(SEARCH("PCMSO",C408)),"PCMSO",IF(OR(ISNUMBER(SEARCH("E-SOCIAL",C408)),ISNUMBER(SEARCH("PSICOSOCIAL",C408))),"eSocial / Psicossocial",IF(O408="Receita recorrente","Carteira recorrente","Projetos / Laudos / Avulsos"))))</f>
        <v/>
      </c>
      <c r="Q408" s="64">
        <f>IF(P408="","",IF(P408="Carteira recorrente","Operação recorrente",IF(P408="PCMSO","Projetos PCMSO",IF(P408="eSocial / Psicossocial","Projetos eSocial/Psicossocial","Projetos / Laudos / Avulsos"))))</f>
        <v/>
      </c>
      <c r="R408" s="64">
        <f>IF(C408="","",IF(ISNUMBER(SEARCH("PCMSO",C408)),"Título com PCMSO no nome",IF(OR(ISNUMBER(SEARCH("E-SOCIAL",C408)),ISNUMBER(SEARCH("PSICOSOCIAL",C408))),"Título com eSocial/Psicossocial no nome",IF(O408="Receita recorrente","Tipo DRE recorrente","Extra sem palavra-chave específica"))))</f>
        <v/>
      </c>
      <c r="S408" s="92">
        <f>IFERROR(VLOOKUP($A408,'13. Mapa Títulos-Receita'!$A$8:$P$1000,4,FALSE),"")</f>
        <v/>
      </c>
      <c r="T408" s="92">
        <f>IFERROR(VLOOKUP($A408,'13. Mapa Títulos-Receita'!$A$8:$P$1000,5,FALSE),"")</f>
        <v/>
      </c>
      <c r="U408" s="92">
        <f>IFERROR(VLOOKUP($A408,'13. Mapa Títulos-Receita'!$A$8:$P$1000,6,FALSE),"")</f>
        <v/>
      </c>
      <c r="V408" s="92">
        <f>IFERROR(VLOOKUP($A408,'13. Mapa Títulos-Receita'!$A$8:$P$1000,7,FALSE),"")</f>
        <v/>
      </c>
      <c r="W408" s="92">
        <f>IFERROR(VLOOKUP($A408,'13. Mapa Títulos-Receita'!$A$8:$P$1000,8,FALSE),"")</f>
        <v/>
      </c>
      <c r="X408" s="92">
        <f>IFERROR(VLOOKUP($A408,'13. Mapa Títulos-Receita'!$A$8:$P$1000,9,FALSE),"")</f>
        <v/>
      </c>
      <c r="Y408" s="92">
        <f>IFERROR(VLOOKUP($A408,'13. Mapa Títulos-Receita'!$A$8:$P$1000,10,FALSE),"")</f>
        <v/>
      </c>
      <c r="Z408" s="92">
        <f>IFERROR(VLOOKUP($A408,'13. Mapa Títulos-Receita'!$A$8:$P$1000,11,FALSE),"")</f>
        <v/>
      </c>
      <c r="AA408" s="92">
        <f>IFERROR(VLOOKUP($A408,'13. Mapa Títulos-Receita'!$A$8:$P$1000,12,FALSE),"")</f>
        <v/>
      </c>
      <c r="AB408" s="92">
        <f>IFERROR(VLOOKUP($A408,'13. Mapa Títulos-Receita'!$A$8:$P$1000,13,FALSE),"")</f>
        <v/>
      </c>
      <c r="AC408" s="92">
        <f>IFERROR(VLOOKUP($A408,'13. Mapa Títulos-Receita'!$A$8:$P$1000,14,FALSE),"")</f>
        <v/>
      </c>
      <c r="AD408" s="92">
        <f>IFERROR(VLOOKUP($A408,'13. Mapa Títulos-Receita'!$A$8:$P$1000,15,FALSE),"")</f>
        <v/>
      </c>
      <c r="AE408" s="92">
        <f>IFERROR(VLOOKUP($A408,'13. Mapa Títulos-Receita'!$A$8:$P$1000,16,FALSE),"")</f>
        <v/>
      </c>
    </row>
    <row r="409">
      <c r="A409" s="28">
        <f>IF(C409="","", "CR-"&amp;TEXT(ROW()-7,"000"))</f>
        <v/>
      </c>
      <c r="B409" s="28" t="n"/>
      <c r="C409" s="28" t="n"/>
      <c r="D409" s="111" t="n"/>
      <c r="E409" s="111" t="n"/>
      <c r="F409" s="111" t="n"/>
      <c r="G409" s="28" t="n"/>
      <c r="H409" s="45" t="n"/>
      <c r="I409" s="45" t="n"/>
      <c r="J409" s="28">
        <f>IF(H409="","",IF(I409&gt;=H409,"Recebido",IF($B$4&gt;E409,"Vencido","Aberto")))</f>
        <v/>
      </c>
      <c r="K409" s="4">
        <f>IF(J409="","",IF(OR(J409="Recebido",F409=""),MAX(0,F409-E409),MAX(0,$B$4-E409)))</f>
        <v/>
      </c>
      <c r="L409" s="4">
        <f>IF(K409="","",IF(K409=0,"Em dia",IF(K409&lt;=30,"1-30 dias",IF(K409&lt;=60,"31-60 dias",IF(K409&lt;=90,"61-90 dias","&gt;90 dias")))))</f>
        <v/>
      </c>
      <c r="M409" s="28" t="n"/>
      <c r="N409" s="104" t="inlineStr"/>
      <c r="O409" s="64" t="n"/>
      <c r="P409" s="64">
        <f>IF(C409="","",IF(ISNUMBER(SEARCH("PCMSO",C409)),"PCMSO",IF(OR(ISNUMBER(SEARCH("E-SOCIAL",C409)),ISNUMBER(SEARCH("PSICOSOCIAL",C409))),"eSocial / Psicossocial",IF(O409="Receita recorrente","Carteira recorrente","Projetos / Laudos / Avulsos"))))</f>
        <v/>
      </c>
      <c r="Q409" s="64">
        <f>IF(P409="","",IF(P409="Carteira recorrente","Operação recorrente",IF(P409="PCMSO","Projetos PCMSO",IF(P409="eSocial / Psicossocial","Projetos eSocial/Psicossocial","Projetos / Laudos / Avulsos"))))</f>
        <v/>
      </c>
      <c r="R409" s="64">
        <f>IF(C409="","",IF(ISNUMBER(SEARCH("PCMSO",C409)),"Título com PCMSO no nome",IF(OR(ISNUMBER(SEARCH("E-SOCIAL",C409)),ISNUMBER(SEARCH("PSICOSOCIAL",C409))),"Título com eSocial/Psicossocial no nome",IF(O409="Receita recorrente","Tipo DRE recorrente","Extra sem palavra-chave específica"))))</f>
        <v/>
      </c>
      <c r="S409" s="92">
        <f>IFERROR(VLOOKUP($A409,'13. Mapa Títulos-Receita'!$A$8:$P$1000,4,FALSE),"")</f>
        <v/>
      </c>
      <c r="T409" s="92">
        <f>IFERROR(VLOOKUP($A409,'13. Mapa Títulos-Receita'!$A$8:$P$1000,5,FALSE),"")</f>
        <v/>
      </c>
      <c r="U409" s="92">
        <f>IFERROR(VLOOKUP($A409,'13. Mapa Títulos-Receita'!$A$8:$P$1000,6,FALSE),"")</f>
        <v/>
      </c>
      <c r="V409" s="92">
        <f>IFERROR(VLOOKUP($A409,'13. Mapa Títulos-Receita'!$A$8:$P$1000,7,FALSE),"")</f>
        <v/>
      </c>
      <c r="W409" s="92">
        <f>IFERROR(VLOOKUP($A409,'13. Mapa Títulos-Receita'!$A$8:$P$1000,8,FALSE),"")</f>
        <v/>
      </c>
      <c r="X409" s="92">
        <f>IFERROR(VLOOKUP($A409,'13. Mapa Títulos-Receita'!$A$8:$P$1000,9,FALSE),"")</f>
        <v/>
      </c>
      <c r="Y409" s="92">
        <f>IFERROR(VLOOKUP($A409,'13. Mapa Títulos-Receita'!$A$8:$P$1000,10,FALSE),"")</f>
        <v/>
      </c>
      <c r="Z409" s="92">
        <f>IFERROR(VLOOKUP($A409,'13. Mapa Títulos-Receita'!$A$8:$P$1000,11,FALSE),"")</f>
        <v/>
      </c>
      <c r="AA409" s="92">
        <f>IFERROR(VLOOKUP($A409,'13. Mapa Títulos-Receita'!$A$8:$P$1000,12,FALSE),"")</f>
        <v/>
      </c>
      <c r="AB409" s="92">
        <f>IFERROR(VLOOKUP($A409,'13. Mapa Títulos-Receita'!$A$8:$P$1000,13,FALSE),"")</f>
        <v/>
      </c>
      <c r="AC409" s="92">
        <f>IFERROR(VLOOKUP($A409,'13. Mapa Títulos-Receita'!$A$8:$P$1000,14,FALSE),"")</f>
        <v/>
      </c>
      <c r="AD409" s="92">
        <f>IFERROR(VLOOKUP($A409,'13. Mapa Títulos-Receita'!$A$8:$P$1000,15,FALSE),"")</f>
        <v/>
      </c>
      <c r="AE409" s="92">
        <f>IFERROR(VLOOKUP($A409,'13. Mapa Títulos-Receita'!$A$8:$P$1000,16,FALSE),"")</f>
        <v/>
      </c>
    </row>
    <row r="410">
      <c r="A410" s="28">
        <f>IF(C410="","", "CR-"&amp;TEXT(ROW()-7,"000"))</f>
        <v/>
      </c>
      <c r="B410" s="28" t="n"/>
      <c r="C410" s="28" t="n"/>
      <c r="D410" s="111" t="n"/>
      <c r="E410" s="111" t="n"/>
      <c r="F410" s="111" t="n"/>
      <c r="G410" s="28" t="n"/>
      <c r="H410" s="45" t="n"/>
      <c r="I410" s="45" t="n"/>
      <c r="J410" s="28">
        <f>IF(H410="","",IF(I410&gt;=H410,"Recebido",IF($B$4&gt;E410,"Vencido","Aberto")))</f>
        <v/>
      </c>
      <c r="K410" s="4">
        <f>IF(J410="","",IF(OR(J410="Recebido",F410=""),MAX(0,F410-E410),MAX(0,$B$4-E410)))</f>
        <v/>
      </c>
      <c r="L410" s="4">
        <f>IF(K410="","",IF(K410=0,"Em dia",IF(K410&lt;=30,"1-30 dias",IF(K410&lt;=60,"31-60 dias",IF(K410&lt;=90,"61-90 dias","&gt;90 dias")))))</f>
        <v/>
      </c>
      <c r="M410" s="28" t="n"/>
      <c r="N410" s="104" t="inlineStr"/>
      <c r="O410" s="64" t="n"/>
      <c r="P410" s="64">
        <f>IF(C410="","",IF(ISNUMBER(SEARCH("PCMSO",C410)),"PCMSO",IF(OR(ISNUMBER(SEARCH("E-SOCIAL",C410)),ISNUMBER(SEARCH("PSICOSOCIAL",C410))),"eSocial / Psicossocial",IF(O410="Receita recorrente","Carteira recorrente","Projetos / Laudos / Avulsos"))))</f>
        <v/>
      </c>
      <c r="Q410" s="64">
        <f>IF(P410="","",IF(P410="Carteira recorrente","Operação recorrente",IF(P410="PCMSO","Projetos PCMSO",IF(P410="eSocial / Psicossocial","Projetos eSocial/Psicossocial","Projetos / Laudos / Avulsos"))))</f>
        <v/>
      </c>
      <c r="R410" s="64">
        <f>IF(C410="","",IF(ISNUMBER(SEARCH("PCMSO",C410)),"Título com PCMSO no nome",IF(OR(ISNUMBER(SEARCH("E-SOCIAL",C410)),ISNUMBER(SEARCH("PSICOSOCIAL",C410))),"Título com eSocial/Psicossocial no nome",IF(O410="Receita recorrente","Tipo DRE recorrente","Extra sem palavra-chave específica"))))</f>
        <v/>
      </c>
      <c r="S410" s="92">
        <f>IFERROR(VLOOKUP($A410,'13. Mapa Títulos-Receita'!$A$8:$P$1000,4,FALSE),"")</f>
        <v/>
      </c>
      <c r="T410" s="92">
        <f>IFERROR(VLOOKUP($A410,'13. Mapa Títulos-Receita'!$A$8:$P$1000,5,FALSE),"")</f>
        <v/>
      </c>
      <c r="U410" s="92">
        <f>IFERROR(VLOOKUP($A410,'13. Mapa Títulos-Receita'!$A$8:$P$1000,6,FALSE),"")</f>
        <v/>
      </c>
      <c r="V410" s="92">
        <f>IFERROR(VLOOKUP($A410,'13. Mapa Títulos-Receita'!$A$8:$P$1000,7,FALSE),"")</f>
        <v/>
      </c>
      <c r="W410" s="92">
        <f>IFERROR(VLOOKUP($A410,'13. Mapa Títulos-Receita'!$A$8:$P$1000,8,FALSE),"")</f>
        <v/>
      </c>
      <c r="X410" s="92">
        <f>IFERROR(VLOOKUP($A410,'13. Mapa Títulos-Receita'!$A$8:$P$1000,9,FALSE),"")</f>
        <v/>
      </c>
      <c r="Y410" s="92">
        <f>IFERROR(VLOOKUP($A410,'13. Mapa Títulos-Receita'!$A$8:$P$1000,10,FALSE),"")</f>
        <v/>
      </c>
      <c r="Z410" s="92">
        <f>IFERROR(VLOOKUP($A410,'13. Mapa Títulos-Receita'!$A$8:$P$1000,11,FALSE),"")</f>
        <v/>
      </c>
      <c r="AA410" s="92">
        <f>IFERROR(VLOOKUP($A410,'13. Mapa Títulos-Receita'!$A$8:$P$1000,12,FALSE),"")</f>
        <v/>
      </c>
      <c r="AB410" s="92">
        <f>IFERROR(VLOOKUP($A410,'13. Mapa Títulos-Receita'!$A$8:$P$1000,13,FALSE),"")</f>
        <v/>
      </c>
      <c r="AC410" s="92">
        <f>IFERROR(VLOOKUP($A410,'13. Mapa Títulos-Receita'!$A$8:$P$1000,14,FALSE),"")</f>
        <v/>
      </c>
      <c r="AD410" s="92">
        <f>IFERROR(VLOOKUP($A410,'13. Mapa Títulos-Receita'!$A$8:$P$1000,15,FALSE),"")</f>
        <v/>
      </c>
      <c r="AE410" s="92">
        <f>IFERROR(VLOOKUP($A410,'13. Mapa Títulos-Receita'!$A$8:$P$1000,16,FALSE),"")</f>
        <v/>
      </c>
    </row>
    <row r="411">
      <c r="A411" s="28">
        <f>IF(C411="","", "CR-"&amp;TEXT(ROW()-7,"000"))</f>
        <v/>
      </c>
      <c r="B411" s="28" t="n"/>
      <c r="C411" s="28" t="n"/>
      <c r="D411" s="111" t="n"/>
      <c r="E411" s="111" t="n"/>
      <c r="F411" s="111" t="n"/>
      <c r="G411" s="28" t="n"/>
      <c r="H411" s="45" t="n"/>
      <c r="I411" s="45" t="n"/>
      <c r="J411" s="28">
        <f>IF(H411="","",IF(I411&gt;=H411,"Recebido",IF($B$4&gt;E411,"Vencido","Aberto")))</f>
        <v/>
      </c>
      <c r="K411" s="4">
        <f>IF(J411="","",IF(OR(J411="Recebido",F411=""),MAX(0,F411-E411),MAX(0,$B$4-E411)))</f>
        <v/>
      </c>
      <c r="L411" s="4">
        <f>IF(K411="","",IF(K411=0,"Em dia",IF(K411&lt;=30,"1-30 dias",IF(K411&lt;=60,"31-60 dias",IF(K411&lt;=90,"61-90 dias","&gt;90 dias")))))</f>
        <v/>
      </c>
      <c r="M411" s="28" t="n"/>
      <c r="N411" s="104" t="inlineStr"/>
      <c r="O411" s="64" t="n"/>
      <c r="P411" s="64">
        <f>IF(C411="","",IF(ISNUMBER(SEARCH("PCMSO",C411)),"PCMSO",IF(OR(ISNUMBER(SEARCH("E-SOCIAL",C411)),ISNUMBER(SEARCH("PSICOSOCIAL",C411))),"eSocial / Psicossocial",IF(O411="Receita recorrente","Carteira recorrente","Projetos / Laudos / Avulsos"))))</f>
        <v/>
      </c>
      <c r="Q411" s="64">
        <f>IF(P411="","",IF(P411="Carteira recorrente","Operação recorrente",IF(P411="PCMSO","Projetos PCMSO",IF(P411="eSocial / Psicossocial","Projetos eSocial/Psicossocial","Projetos / Laudos / Avulsos"))))</f>
        <v/>
      </c>
      <c r="R411" s="64">
        <f>IF(C411="","",IF(ISNUMBER(SEARCH("PCMSO",C411)),"Título com PCMSO no nome",IF(OR(ISNUMBER(SEARCH("E-SOCIAL",C411)),ISNUMBER(SEARCH("PSICOSOCIAL",C411))),"Título com eSocial/Psicossocial no nome",IF(O411="Receita recorrente","Tipo DRE recorrente","Extra sem palavra-chave específica"))))</f>
        <v/>
      </c>
      <c r="S411" s="92">
        <f>IFERROR(VLOOKUP($A411,'13. Mapa Títulos-Receita'!$A$8:$P$1000,4,FALSE),"")</f>
        <v/>
      </c>
      <c r="T411" s="92">
        <f>IFERROR(VLOOKUP($A411,'13. Mapa Títulos-Receita'!$A$8:$P$1000,5,FALSE),"")</f>
        <v/>
      </c>
      <c r="U411" s="92">
        <f>IFERROR(VLOOKUP($A411,'13. Mapa Títulos-Receita'!$A$8:$P$1000,6,FALSE),"")</f>
        <v/>
      </c>
      <c r="V411" s="92">
        <f>IFERROR(VLOOKUP($A411,'13. Mapa Títulos-Receita'!$A$8:$P$1000,7,FALSE),"")</f>
        <v/>
      </c>
      <c r="W411" s="92">
        <f>IFERROR(VLOOKUP($A411,'13. Mapa Títulos-Receita'!$A$8:$P$1000,8,FALSE),"")</f>
        <v/>
      </c>
      <c r="X411" s="92">
        <f>IFERROR(VLOOKUP($A411,'13. Mapa Títulos-Receita'!$A$8:$P$1000,9,FALSE),"")</f>
        <v/>
      </c>
      <c r="Y411" s="92">
        <f>IFERROR(VLOOKUP($A411,'13. Mapa Títulos-Receita'!$A$8:$P$1000,10,FALSE),"")</f>
        <v/>
      </c>
      <c r="Z411" s="92">
        <f>IFERROR(VLOOKUP($A411,'13. Mapa Títulos-Receita'!$A$8:$P$1000,11,FALSE),"")</f>
        <v/>
      </c>
      <c r="AA411" s="92">
        <f>IFERROR(VLOOKUP($A411,'13. Mapa Títulos-Receita'!$A$8:$P$1000,12,FALSE),"")</f>
        <v/>
      </c>
      <c r="AB411" s="92">
        <f>IFERROR(VLOOKUP($A411,'13. Mapa Títulos-Receita'!$A$8:$P$1000,13,FALSE),"")</f>
        <v/>
      </c>
      <c r="AC411" s="92">
        <f>IFERROR(VLOOKUP($A411,'13. Mapa Títulos-Receita'!$A$8:$P$1000,14,FALSE),"")</f>
        <v/>
      </c>
      <c r="AD411" s="92">
        <f>IFERROR(VLOOKUP($A411,'13. Mapa Títulos-Receita'!$A$8:$P$1000,15,FALSE),"")</f>
        <v/>
      </c>
      <c r="AE411" s="92">
        <f>IFERROR(VLOOKUP($A411,'13. Mapa Títulos-Receita'!$A$8:$P$1000,16,FALSE),"")</f>
        <v/>
      </c>
    </row>
    <row r="412">
      <c r="A412" s="28">
        <f>IF(C412="","", "CR-"&amp;TEXT(ROW()-7,"000"))</f>
        <v/>
      </c>
      <c r="B412" s="28" t="n"/>
      <c r="C412" s="28" t="n"/>
      <c r="D412" s="111" t="n"/>
      <c r="E412" s="111" t="n"/>
      <c r="F412" s="111" t="n"/>
      <c r="G412" s="28" t="n"/>
      <c r="H412" s="45" t="n"/>
      <c r="I412" s="45" t="n"/>
      <c r="J412" s="28">
        <f>IF(H412="","",IF(I412&gt;=H412,"Recebido",IF($B$4&gt;E412,"Vencido","Aberto")))</f>
        <v/>
      </c>
      <c r="K412" s="4">
        <f>IF(J412="","",IF(OR(J412="Recebido",F412=""),MAX(0,F412-E412),MAX(0,$B$4-E412)))</f>
        <v/>
      </c>
      <c r="L412" s="4">
        <f>IF(K412="","",IF(K412=0,"Em dia",IF(K412&lt;=30,"1-30 dias",IF(K412&lt;=60,"31-60 dias",IF(K412&lt;=90,"61-90 dias","&gt;90 dias")))))</f>
        <v/>
      </c>
      <c r="M412" s="28" t="n"/>
      <c r="N412" s="104" t="inlineStr"/>
      <c r="O412" s="64" t="n"/>
      <c r="P412" s="64">
        <f>IF(C412="","",IF(ISNUMBER(SEARCH("PCMSO",C412)),"PCMSO",IF(OR(ISNUMBER(SEARCH("E-SOCIAL",C412)),ISNUMBER(SEARCH("PSICOSOCIAL",C412))),"eSocial / Psicossocial",IF(O412="Receita recorrente","Carteira recorrente","Projetos / Laudos / Avulsos"))))</f>
        <v/>
      </c>
      <c r="Q412" s="64">
        <f>IF(P412="","",IF(P412="Carteira recorrente","Operação recorrente",IF(P412="PCMSO","Projetos PCMSO",IF(P412="eSocial / Psicossocial","Projetos eSocial/Psicossocial","Projetos / Laudos / Avulsos"))))</f>
        <v/>
      </c>
      <c r="R412" s="64">
        <f>IF(C412="","",IF(ISNUMBER(SEARCH("PCMSO",C412)),"Título com PCMSO no nome",IF(OR(ISNUMBER(SEARCH("E-SOCIAL",C412)),ISNUMBER(SEARCH("PSICOSOCIAL",C412))),"Título com eSocial/Psicossocial no nome",IF(O412="Receita recorrente","Tipo DRE recorrente","Extra sem palavra-chave específica"))))</f>
        <v/>
      </c>
      <c r="S412" s="92">
        <f>IFERROR(VLOOKUP($A412,'13. Mapa Títulos-Receita'!$A$8:$P$1000,4,FALSE),"")</f>
        <v/>
      </c>
      <c r="T412" s="92">
        <f>IFERROR(VLOOKUP($A412,'13. Mapa Títulos-Receita'!$A$8:$P$1000,5,FALSE),"")</f>
        <v/>
      </c>
      <c r="U412" s="92">
        <f>IFERROR(VLOOKUP($A412,'13. Mapa Títulos-Receita'!$A$8:$P$1000,6,FALSE),"")</f>
        <v/>
      </c>
      <c r="V412" s="92">
        <f>IFERROR(VLOOKUP($A412,'13. Mapa Títulos-Receita'!$A$8:$P$1000,7,FALSE),"")</f>
        <v/>
      </c>
      <c r="W412" s="92">
        <f>IFERROR(VLOOKUP($A412,'13. Mapa Títulos-Receita'!$A$8:$P$1000,8,FALSE),"")</f>
        <v/>
      </c>
      <c r="X412" s="92">
        <f>IFERROR(VLOOKUP($A412,'13. Mapa Títulos-Receita'!$A$8:$P$1000,9,FALSE),"")</f>
        <v/>
      </c>
      <c r="Y412" s="92">
        <f>IFERROR(VLOOKUP($A412,'13. Mapa Títulos-Receita'!$A$8:$P$1000,10,FALSE),"")</f>
        <v/>
      </c>
      <c r="Z412" s="92">
        <f>IFERROR(VLOOKUP($A412,'13. Mapa Títulos-Receita'!$A$8:$P$1000,11,FALSE),"")</f>
        <v/>
      </c>
      <c r="AA412" s="92">
        <f>IFERROR(VLOOKUP($A412,'13. Mapa Títulos-Receita'!$A$8:$P$1000,12,FALSE),"")</f>
        <v/>
      </c>
      <c r="AB412" s="92">
        <f>IFERROR(VLOOKUP($A412,'13. Mapa Títulos-Receita'!$A$8:$P$1000,13,FALSE),"")</f>
        <v/>
      </c>
      <c r="AC412" s="92">
        <f>IFERROR(VLOOKUP($A412,'13. Mapa Títulos-Receita'!$A$8:$P$1000,14,FALSE),"")</f>
        <v/>
      </c>
      <c r="AD412" s="92">
        <f>IFERROR(VLOOKUP($A412,'13. Mapa Títulos-Receita'!$A$8:$P$1000,15,FALSE),"")</f>
        <v/>
      </c>
      <c r="AE412" s="92">
        <f>IFERROR(VLOOKUP($A412,'13. Mapa Títulos-Receita'!$A$8:$P$1000,16,FALSE),"")</f>
        <v/>
      </c>
    </row>
    <row r="413">
      <c r="A413" s="28">
        <f>IF(C413="","", "CR-"&amp;TEXT(ROW()-7,"000"))</f>
        <v/>
      </c>
      <c r="B413" s="28" t="n"/>
      <c r="C413" s="28" t="n"/>
      <c r="D413" s="111" t="n"/>
      <c r="E413" s="111" t="n"/>
      <c r="F413" s="111" t="n"/>
      <c r="G413" s="28" t="n"/>
      <c r="H413" s="45" t="n"/>
      <c r="I413" s="45" t="n"/>
      <c r="J413" s="28">
        <f>IF(H413="","",IF(I413&gt;=H413,"Recebido",IF($B$4&gt;E413,"Vencido","Aberto")))</f>
        <v/>
      </c>
      <c r="K413" s="4">
        <f>IF(J413="","",IF(OR(J413="Recebido",F413=""),MAX(0,F413-E413),MAX(0,$B$4-E413)))</f>
        <v/>
      </c>
      <c r="L413" s="4">
        <f>IF(K413="","",IF(K413=0,"Em dia",IF(K413&lt;=30,"1-30 dias",IF(K413&lt;=60,"31-60 dias",IF(K413&lt;=90,"61-90 dias","&gt;90 dias")))))</f>
        <v/>
      </c>
      <c r="M413" s="28" t="n"/>
      <c r="N413" s="104" t="inlineStr"/>
      <c r="O413" s="64" t="n"/>
      <c r="P413" s="64">
        <f>IF(C413="","",IF(ISNUMBER(SEARCH("PCMSO",C413)),"PCMSO",IF(OR(ISNUMBER(SEARCH("E-SOCIAL",C413)),ISNUMBER(SEARCH("PSICOSOCIAL",C413))),"eSocial / Psicossocial",IF(O413="Receita recorrente","Carteira recorrente","Projetos / Laudos / Avulsos"))))</f>
        <v/>
      </c>
      <c r="Q413" s="64">
        <f>IF(P413="","",IF(P413="Carteira recorrente","Operação recorrente",IF(P413="PCMSO","Projetos PCMSO",IF(P413="eSocial / Psicossocial","Projetos eSocial/Psicossocial","Projetos / Laudos / Avulsos"))))</f>
        <v/>
      </c>
      <c r="R413" s="64">
        <f>IF(C413="","",IF(ISNUMBER(SEARCH("PCMSO",C413)),"Título com PCMSO no nome",IF(OR(ISNUMBER(SEARCH("E-SOCIAL",C413)),ISNUMBER(SEARCH("PSICOSOCIAL",C413))),"Título com eSocial/Psicossocial no nome",IF(O413="Receita recorrente","Tipo DRE recorrente","Extra sem palavra-chave específica"))))</f>
        <v/>
      </c>
      <c r="S413" s="92">
        <f>IFERROR(VLOOKUP($A413,'13. Mapa Títulos-Receita'!$A$8:$P$1000,4,FALSE),"")</f>
        <v/>
      </c>
      <c r="T413" s="92">
        <f>IFERROR(VLOOKUP($A413,'13. Mapa Títulos-Receita'!$A$8:$P$1000,5,FALSE),"")</f>
        <v/>
      </c>
      <c r="U413" s="92">
        <f>IFERROR(VLOOKUP($A413,'13. Mapa Títulos-Receita'!$A$8:$P$1000,6,FALSE),"")</f>
        <v/>
      </c>
      <c r="V413" s="92">
        <f>IFERROR(VLOOKUP($A413,'13. Mapa Títulos-Receita'!$A$8:$P$1000,7,FALSE),"")</f>
        <v/>
      </c>
      <c r="W413" s="92">
        <f>IFERROR(VLOOKUP($A413,'13. Mapa Títulos-Receita'!$A$8:$P$1000,8,FALSE),"")</f>
        <v/>
      </c>
      <c r="X413" s="92">
        <f>IFERROR(VLOOKUP($A413,'13. Mapa Títulos-Receita'!$A$8:$P$1000,9,FALSE),"")</f>
        <v/>
      </c>
      <c r="Y413" s="92">
        <f>IFERROR(VLOOKUP($A413,'13. Mapa Títulos-Receita'!$A$8:$P$1000,10,FALSE),"")</f>
        <v/>
      </c>
      <c r="Z413" s="92">
        <f>IFERROR(VLOOKUP($A413,'13. Mapa Títulos-Receita'!$A$8:$P$1000,11,FALSE),"")</f>
        <v/>
      </c>
      <c r="AA413" s="92">
        <f>IFERROR(VLOOKUP($A413,'13. Mapa Títulos-Receita'!$A$8:$P$1000,12,FALSE),"")</f>
        <v/>
      </c>
      <c r="AB413" s="92">
        <f>IFERROR(VLOOKUP($A413,'13. Mapa Títulos-Receita'!$A$8:$P$1000,13,FALSE),"")</f>
        <v/>
      </c>
      <c r="AC413" s="92">
        <f>IFERROR(VLOOKUP($A413,'13. Mapa Títulos-Receita'!$A$8:$P$1000,14,FALSE),"")</f>
        <v/>
      </c>
      <c r="AD413" s="92">
        <f>IFERROR(VLOOKUP($A413,'13. Mapa Títulos-Receita'!$A$8:$P$1000,15,FALSE),"")</f>
        <v/>
      </c>
      <c r="AE413" s="92">
        <f>IFERROR(VLOOKUP($A413,'13. Mapa Títulos-Receita'!$A$8:$P$1000,16,FALSE),"")</f>
        <v/>
      </c>
    </row>
    <row r="414">
      <c r="A414" s="28">
        <f>IF(C414="","", "CR-"&amp;TEXT(ROW()-7,"000"))</f>
        <v/>
      </c>
      <c r="B414" s="28" t="n"/>
      <c r="C414" s="28" t="n"/>
      <c r="D414" s="111" t="n"/>
      <c r="E414" s="111" t="n"/>
      <c r="F414" s="111" t="n"/>
      <c r="G414" s="28" t="n"/>
      <c r="H414" s="45" t="n"/>
      <c r="I414" s="45" t="n"/>
      <c r="J414" s="28">
        <f>IF(H414="","",IF(I414&gt;=H414,"Recebido",IF($B$4&gt;E414,"Vencido","Aberto")))</f>
        <v/>
      </c>
      <c r="K414" s="4">
        <f>IF(J414="","",IF(OR(J414="Recebido",F414=""),MAX(0,F414-E414),MAX(0,$B$4-E414)))</f>
        <v/>
      </c>
      <c r="L414" s="4">
        <f>IF(K414="","",IF(K414=0,"Em dia",IF(K414&lt;=30,"1-30 dias",IF(K414&lt;=60,"31-60 dias",IF(K414&lt;=90,"61-90 dias","&gt;90 dias")))))</f>
        <v/>
      </c>
      <c r="M414" s="28" t="n"/>
      <c r="N414" s="104" t="inlineStr"/>
      <c r="O414" s="64" t="n"/>
      <c r="P414" s="64">
        <f>IF(C414="","",IF(ISNUMBER(SEARCH("PCMSO",C414)),"PCMSO",IF(OR(ISNUMBER(SEARCH("E-SOCIAL",C414)),ISNUMBER(SEARCH("PSICOSOCIAL",C414))),"eSocial / Psicossocial",IF(O414="Receita recorrente","Carteira recorrente","Projetos / Laudos / Avulsos"))))</f>
        <v/>
      </c>
      <c r="Q414" s="64">
        <f>IF(P414="","",IF(P414="Carteira recorrente","Operação recorrente",IF(P414="PCMSO","Projetos PCMSO",IF(P414="eSocial / Psicossocial","Projetos eSocial/Psicossocial","Projetos / Laudos / Avulsos"))))</f>
        <v/>
      </c>
      <c r="R414" s="64">
        <f>IF(C414="","",IF(ISNUMBER(SEARCH("PCMSO",C414)),"Título com PCMSO no nome",IF(OR(ISNUMBER(SEARCH("E-SOCIAL",C414)),ISNUMBER(SEARCH("PSICOSOCIAL",C414))),"Título com eSocial/Psicossocial no nome",IF(O414="Receita recorrente","Tipo DRE recorrente","Extra sem palavra-chave específica"))))</f>
        <v/>
      </c>
      <c r="S414" s="92">
        <f>IFERROR(VLOOKUP($A414,'13. Mapa Títulos-Receita'!$A$8:$P$1000,4,FALSE),"")</f>
        <v/>
      </c>
      <c r="T414" s="92">
        <f>IFERROR(VLOOKUP($A414,'13. Mapa Títulos-Receita'!$A$8:$P$1000,5,FALSE),"")</f>
        <v/>
      </c>
      <c r="U414" s="92">
        <f>IFERROR(VLOOKUP($A414,'13. Mapa Títulos-Receita'!$A$8:$P$1000,6,FALSE),"")</f>
        <v/>
      </c>
      <c r="V414" s="92">
        <f>IFERROR(VLOOKUP($A414,'13. Mapa Títulos-Receita'!$A$8:$P$1000,7,FALSE),"")</f>
        <v/>
      </c>
      <c r="W414" s="92">
        <f>IFERROR(VLOOKUP($A414,'13. Mapa Títulos-Receita'!$A$8:$P$1000,8,FALSE),"")</f>
        <v/>
      </c>
      <c r="X414" s="92">
        <f>IFERROR(VLOOKUP($A414,'13. Mapa Títulos-Receita'!$A$8:$P$1000,9,FALSE),"")</f>
        <v/>
      </c>
      <c r="Y414" s="92">
        <f>IFERROR(VLOOKUP($A414,'13. Mapa Títulos-Receita'!$A$8:$P$1000,10,FALSE),"")</f>
        <v/>
      </c>
      <c r="Z414" s="92">
        <f>IFERROR(VLOOKUP($A414,'13. Mapa Títulos-Receita'!$A$8:$P$1000,11,FALSE),"")</f>
        <v/>
      </c>
      <c r="AA414" s="92">
        <f>IFERROR(VLOOKUP($A414,'13. Mapa Títulos-Receita'!$A$8:$P$1000,12,FALSE),"")</f>
        <v/>
      </c>
      <c r="AB414" s="92">
        <f>IFERROR(VLOOKUP($A414,'13. Mapa Títulos-Receita'!$A$8:$P$1000,13,FALSE),"")</f>
        <v/>
      </c>
      <c r="AC414" s="92">
        <f>IFERROR(VLOOKUP($A414,'13. Mapa Títulos-Receita'!$A$8:$P$1000,14,FALSE),"")</f>
        <v/>
      </c>
      <c r="AD414" s="92">
        <f>IFERROR(VLOOKUP($A414,'13. Mapa Títulos-Receita'!$A$8:$P$1000,15,FALSE),"")</f>
        <v/>
      </c>
      <c r="AE414" s="92">
        <f>IFERROR(VLOOKUP($A414,'13. Mapa Títulos-Receita'!$A$8:$P$1000,16,FALSE),"")</f>
        <v/>
      </c>
    </row>
    <row r="415">
      <c r="A415" s="28">
        <f>IF(C415="","", "CR-"&amp;TEXT(ROW()-7,"000"))</f>
        <v/>
      </c>
      <c r="B415" s="28" t="n"/>
      <c r="C415" s="28" t="n"/>
      <c r="D415" s="111" t="n"/>
      <c r="E415" s="111" t="n"/>
      <c r="F415" s="111" t="n"/>
      <c r="G415" s="28" t="n"/>
      <c r="H415" s="45" t="n"/>
      <c r="I415" s="45" t="n"/>
      <c r="J415" s="28">
        <f>IF(H415="","",IF(I415&gt;=H415,"Recebido",IF($B$4&gt;E415,"Vencido","Aberto")))</f>
        <v/>
      </c>
      <c r="K415" s="4">
        <f>IF(J415="","",IF(OR(J415="Recebido",F415=""),MAX(0,F415-E415),MAX(0,$B$4-E415)))</f>
        <v/>
      </c>
      <c r="L415" s="4">
        <f>IF(K415="","",IF(K415=0,"Em dia",IF(K415&lt;=30,"1-30 dias",IF(K415&lt;=60,"31-60 dias",IF(K415&lt;=90,"61-90 dias","&gt;90 dias")))))</f>
        <v/>
      </c>
      <c r="M415" s="28" t="n"/>
      <c r="N415" s="104" t="inlineStr"/>
      <c r="O415" s="64" t="n"/>
      <c r="P415" s="64">
        <f>IF(C415="","",IF(ISNUMBER(SEARCH("PCMSO",C415)),"PCMSO",IF(OR(ISNUMBER(SEARCH("E-SOCIAL",C415)),ISNUMBER(SEARCH("PSICOSOCIAL",C415))),"eSocial / Psicossocial",IF(O415="Receita recorrente","Carteira recorrente","Projetos / Laudos / Avulsos"))))</f>
        <v/>
      </c>
      <c r="Q415" s="64">
        <f>IF(P415="","",IF(P415="Carteira recorrente","Operação recorrente",IF(P415="PCMSO","Projetos PCMSO",IF(P415="eSocial / Psicossocial","Projetos eSocial/Psicossocial","Projetos / Laudos / Avulsos"))))</f>
        <v/>
      </c>
      <c r="R415" s="64">
        <f>IF(C415="","",IF(ISNUMBER(SEARCH("PCMSO",C415)),"Título com PCMSO no nome",IF(OR(ISNUMBER(SEARCH("E-SOCIAL",C415)),ISNUMBER(SEARCH("PSICOSOCIAL",C415))),"Título com eSocial/Psicossocial no nome",IF(O415="Receita recorrente","Tipo DRE recorrente","Extra sem palavra-chave específica"))))</f>
        <v/>
      </c>
      <c r="S415" s="92">
        <f>IFERROR(VLOOKUP($A415,'13. Mapa Títulos-Receita'!$A$8:$P$1000,4,FALSE),"")</f>
        <v/>
      </c>
      <c r="T415" s="92">
        <f>IFERROR(VLOOKUP($A415,'13. Mapa Títulos-Receita'!$A$8:$P$1000,5,FALSE),"")</f>
        <v/>
      </c>
      <c r="U415" s="92">
        <f>IFERROR(VLOOKUP($A415,'13. Mapa Títulos-Receita'!$A$8:$P$1000,6,FALSE),"")</f>
        <v/>
      </c>
      <c r="V415" s="92">
        <f>IFERROR(VLOOKUP($A415,'13. Mapa Títulos-Receita'!$A$8:$P$1000,7,FALSE),"")</f>
        <v/>
      </c>
      <c r="W415" s="92">
        <f>IFERROR(VLOOKUP($A415,'13. Mapa Títulos-Receita'!$A$8:$P$1000,8,FALSE),"")</f>
        <v/>
      </c>
      <c r="X415" s="92">
        <f>IFERROR(VLOOKUP($A415,'13. Mapa Títulos-Receita'!$A$8:$P$1000,9,FALSE),"")</f>
        <v/>
      </c>
      <c r="Y415" s="92">
        <f>IFERROR(VLOOKUP($A415,'13. Mapa Títulos-Receita'!$A$8:$P$1000,10,FALSE),"")</f>
        <v/>
      </c>
      <c r="Z415" s="92">
        <f>IFERROR(VLOOKUP($A415,'13. Mapa Títulos-Receita'!$A$8:$P$1000,11,FALSE),"")</f>
        <v/>
      </c>
      <c r="AA415" s="92">
        <f>IFERROR(VLOOKUP($A415,'13. Mapa Títulos-Receita'!$A$8:$P$1000,12,FALSE),"")</f>
        <v/>
      </c>
      <c r="AB415" s="92">
        <f>IFERROR(VLOOKUP($A415,'13. Mapa Títulos-Receita'!$A$8:$P$1000,13,FALSE),"")</f>
        <v/>
      </c>
      <c r="AC415" s="92">
        <f>IFERROR(VLOOKUP($A415,'13. Mapa Títulos-Receita'!$A$8:$P$1000,14,FALSE),"")</f>
        <v/>
      </c>
      <c r="AD415" s="92">
        <f>IFERROR(VLOOKUP($A415,'13. Mapa Títulos-Receita'!$A$8:$P$1000,15,FALSE),"")</f>
        <v/>
      </c>
      <c r="AE415" s="92">
        <f>IFERROR(VLOOKUP($A415,'13. Mapa Títulos-Receita'!$A$8:$P$1000,16,FALSE),"")</f>
        <v/>
      </c>
    </row>
    <row r="416">
      <c r="A416" s="28">
        <f>IF(C416="","", "CR-"&amp;TEXT(ROW()-7,"000"))</f>
        <v/>
      </c>
      <c r="B416" s="28" t="n"/>
      <c r="C416" s="28" t="n"/>
      <c r="D416" s="111" t="n"/>
      <c r="E416" s="111" t="n"/>
      <c r="F416" s="111" t="n"/>
      <c r="G416" s="28" t="n"/>
      <c r="H416" s="45" t="n"/>
      <c r="I416" s="45" t="n"/>
      <c r="J416" s="28">
        <f>IF(H416="","",IF(I416&gt;=H416,"Recebido",IF($B$4&gt;E416,"Vencido","Aberto")))</f>
        <v/>
      </c>
      <c r="K416" s="4">
        <f>IF(J416="","",IF(OR(J416="Recebido",F416=""),MAX(0,F416-E416),MAX(0,$B$4-E416)))</f>
        <v/>
      </c>
      <c r="L416" s="4">
        <f>IF(K416="","",IF(K416=0,"Em dia",IF(K416&lt;=30,"1-30 dias",IF(K416&lt;=60,"31-60 dias",IF(K416&lt;=90,"61-90 dias","&gt;90 dias")))))</f>
        <v/>
      </c>
      <c r="M416" s="28" t="n"/>
      <c r="N416" s="104" t="inlineStr"/>
      <c r="O416" s="64" t="n"/>
      <c r="P416" s="64">
        <f>IF(C416="","",IF(ISNUMBER(SEARCH("PCMSO",C416)),"PCMSO",IF(OR(ISNUMBER(SEARCH("E-SOCIAL",C416)),ISNUMBER(SEARCH("PSICOSOCIAL",C416))),"eSocial / Psicossocial",IF(O416="Receita recorrente","Carteira recorrente","Projetos / Laudos / Avulsos"))))</f>
        <v/>
      </c>
      <c r="Q416" s="64">
        <f>IF(P416="","",IF(P416="Carteira recorrente","Operação recorrente",IF(P416="PCMSO","Projetos PCMSO",IF(P416="eSocial / Psicossocial","Projetos eSocial/Psicossocial","Projetos / Laudos / Avulsos"))))</f>
        <v/>
      </c>
      <c r="R416" s="64">
        <f>IF(C416="","",IF(ISNUMBER(SEARCH("PCMSO",C416)),"Título com PCMSO no nome",IF(OR(ISNUMBER(SEARCH("E-SOCIAL",C416)),ISNUMBER(SEARCH("PSICOSOCIAL",C416))),"Título com eSocial/Psicossocial no nome",IF(O416="Receita recorrente","Tipo DRE recorrente","Extra sem palavra-chave específica"))))</f>
        <v/>
      </c>
      <c r="S416" s="92">
        <f>IFERROR(VLOOKUP($A416,'13. Mapa Títulos-Receita'!$A$8:$P$1000,4,FALSE),"")</f>
        <v/>
      </c>
      <c r="T416" s="92">
        <f>IFERROR(VLOOKUP($A416,'13. Mapa Títulos-Receita'!$A$8:$P$1000,5,FALSE),"")</f>
        <v/>
      </c>
      <c r="U416" s="92">
        <f>IFERROR(VLOOKUP($A416,'13. Mapa Títulos-Receita'!$A$8:$P$1000,6,FALSE),"")</f>
        <v/>
      </c>
      <c r="V416" s="92">
        <f>IFERROR(VLOOKUP($A416,'13. Mapa Títulos-Receita'!$A$8:$P$1000,7,FALSE),"")</f>
        <v/>
      </c>
      <c r="W416" s="92">
        <f>IFERROR(VLOOKUP($A416,'13. Mapa Títulos-Receita'!$A$8:$P$1000,8,FALSE),"")</f>
        <v/>
      </c>
      <c r="X416" s="92">
        <f>IFERROR(VLOOKUP($A416,'13. Mapa Títulos-Receita'!$A$8:$P$1000,9,FALSE),"")</f>
        <v/>
      </c>
      <c r="Y416" s="92">
        <f>IFERROR(VLOOKUP($A416,'13. Mapa Títulos-Receita'!$A$8:$P$1000,10,FALSE),"")</f>
        <v/>
      </c>
      <c r="Z416" s="92">
        <f>IFERROR(VLOOKUP($A416,'13. Mapa Títulos-Receita'!$A$8:$P$1000,11,FALSE),"")</f>
        <v/>
      </c>
      <c r="AA416" s="92">
        <f>IFERROR(VLOOKUP($A416,'13. Mapa Títulos-Receita'!$A$8:$P$1000,12,FALSE),"")</f>
        <v/>
      </c>
      <c r="AB416" s="92">
        <f>IFERROR(VLOOKUP($A416,'13. Mapa Títulos-Receita'!$A$8:$P$1000,13,FALSE),"")</f>
        <v/>
      </c>
      <c r="AC416" s="92">
        <f>IFERROR(VLOOKUP($A416,'13. Mapa Títulos-Receita'!$A$8:$P$1000,14,FALSE),"")</f>
        <v/>
      </c>
      <c r="AD416" s="92">
        <f>IFERROR(VLOOKUP($A416,'13. Mapa Títulos-Receita'!$A$8:$P$1000,15,FALSE),"")</f>
        <v/>
      </c>
      <c r="AE416" s="92">
        <f>IFERROR(VLOOKUP($A416,'13. Mapa Títulos-Receita'!$A$8:$P$1000,16,FALSE),"")</f>
        <v/>
      </c>
    </row>
    <row r="417">
      <c r="A417" s="28">
        <f>IF(C417="","", "CR-"&amp;TEXT(ROW()-7,"000"))</f>
        <v/>
      </c>
      <c r="B417" s="28" t="n"/>
      <c r="C417" s="28" t="n"/>
      <c r="D417" s="111" t="n"/>
      <c r="E417" s="111" t="n"/>
      <c r="F417" s="111" t="n"/>
      <c r="G417" s="28" t="n"/>
      <c r="H417" s="45" t="n"/>
      <c r="I417" s="45" t="n"/>
      <c r="J417" s="28">
        <f>IF(H417="","",IF(I417&gt;=H417,"Recebido",IF($B$4&gt;E417,"Vencido","Aberto")))</f>
        <v/>
      </c>
      <c r="K417" s="4">
        <f>IF(J417="","",IF(OR(J417="Recebido",F417=""),MAX(0,F417-E417),MAX(0,$B$4-E417)))</f>
        <v/>
      </c>
      <c r="L417" s="4">
        <f>IF(K417="","",IF(K417=0,"Em dia",IF(K417&lt;=30,"1-30 dias",IF(K417&lt;=60,"31-60 dias",IF(K417&lt;=90,"61-90 dias","&gt;90 dias")))))</f>
        <v/>
      </c>
      <c r="M417" s="28" t="n"/>
      <c r="N417" s="104" t="inlineStr"/>
      <c r="O417" s="64" t="n"/>
      <c r="P417" s="64">
        <f>IF(C417="","",IF(ISNUMBER(SEARCH("PCMSO",C417)),"PCMSO",IF(OR(ISNUMBER(SEARCH("E-SOCIAL",C417)),ISNUMBER(SEARCH("PSICOSOCIAL",C417))),"eSocial / Psicossocial",IF(O417="Receita recorrente","Carteira recorrente","Projetos / Laudos / Avulsos"))))</f>
        <v/>
      </c>
      <c r="Q417" s="64">
        <f>IF(P417="","",IF(P417="Carteira recorrente","Operação recorrente",IF(P417="PCMSO","Projetos PCMSO",IF(P417="eSocial / Psicossocial","Projetos eSocial/Psicossocial","Projetos / Laudos / Avulsos"))))</f>
        <v/>
      </c>
      <c r="R417" s="64">
        <f>IF(C417="","",IF(ISNUMBER(SEARCH("PCMSO",C417)),"Título com PCMSO no nome",IF(OR(ISNUMBER(SEARCH("E-SOCIAL",C417)),ISNUMBER(SEARCH("PSICOSOCIAL",C417))),"Título com eSocial/Psicossocial no nome",IF(O417="Receita recorrente","Tipo DRE recorrente","Extra sem palavra-chave específica"))))</f>
        <v/>
      </c>
      <c r="S417" s="92">
        <f>IFERROR(VLOOKUP($A417,'13. Mapa Títulos-Receita'!$A$8:$P$1000,4,FALSE),"")</f>
        <v/>
      </c>
      <c r="T417" s="92">
        <f>IFERROR(VLOOKUP($A417,'13. Mapa Títulos-Receita'!$A$8:$P$1000,5,FALSE),"")</f>
        <v/>
      </c>
      <c r="U417" s="92">
        <f>IFERROR(VLOOKUP($A417,'13. Mapa Títulos-Receita'!$A$8:$P$1000,6,FALSE),"")</f>
        <v/>
      </c>
      <c r="V417" s="92">
        <f>IFERROR(VLOOKUP($A417,'13. Mapa Títulos-Receita'!$A$8:$P$1000,7,FALSE),"")</f>
        <v/>
      </c>
      <c r="W417" s="92">
        <f>IFERROR(VLOOKUP($A417,'13. Mapa Títulos-Receita'!$A$8:$P$1000,8,FALSE),"")</f>
        <v/>
      </c>
      <c r="X417" s="92">
        <f>IFERROR(VLOOKUP($A417,'13. Mapa Títulos-Receita'!$A$8:$P$1000,9,FALSE),"")</f>
        <v/>
      </c>
      <c r="Y417" s="92">
        <f>IFERROR(VLOOKUP($A417,'13. Mapa Títulos-Receita'!$A$8:$P$1000,10,FALSE),"")</f>
        <v/>
      </c>
      <c r="Z417" s="92">
        <f>IFERROR(VLOOKUP($A417,'13. Mapa Títulos-Receita'!$A$8:$P$1000,11,FALSE),"")</f>
        <v/>
      </c>
      <c r="AA417" s="92">
        <f>IFERROR(VLOOKUP($A417,'13. Mapa Títulos-Receita'!$A$8:$P$1000,12,FALSE),"")</f>
        <v/>
      </c>
      <c r="AB417" s="92">
        <f>IFERROR(VLOOKUP($A417,'13. Mapa Títulos-Receita'!$A$8:$P$1000,13,FALSE),"")</f>
        <v/>
      </c>
      <c r="AC417" s="92">
        <f>IFERROR(VLOOKUP($A417,'13. Mapa Títulos-Receita'!$A$8:$P$1000,14,FALSE),"")</f>
        <v/>
      </c>
      <c r="AD417" s="92">
        <f>IFERROR(VLOOKUP($A417,'13. Mapa Títulos-Receita'!$A$8:$P$1000,15,FALSE),"")</f>
        <v/>
      </c>
      <c r="AE417" s="92">
        <f>IFERROR(VLOOKUP($A417,'13. Mapa Títulos-Receita'!$A$8:$P$1000,16,FALSE),"")</f>
        <v/>
      </c>
    </row>
    <row r="418">
      <c r="A418" s="28">
        <f>IF(C418="","", "CR-"&amp;TEXT(ROW()-7,"000"))</f>
        <v/>
      </c>
      <c r="B418" s="28" t="n"/>
      <c r="C418" s="28" t="n"/>
      <c r="D418" s="111" t="n"/>
      <c r="E418" s="111" t="n"/>
      <c r="F418" s="111" t="n"/>
      <c r="G418" s="28" t="n"/>
      <c r="H418" s="45" t="n"/>
      <c r="I418" s="45" t="n"/>
      <c r="J418" s="28">
        <f>IF(H418="","",IF(I418&gt;=H418,"Recebido",IF($B$4&gt;E418,"Vencido","Aberto")))</f>
        <v/>
      </c>
      <c r="K418" s="4">
        <f>IF(J418="","",IF(OR(J418="Recebido",F418=""),MAX(0,F418-E418),MAX(0,$B$4-E418)))</f>
        <v/>
      </c>
      <c r="L418" s="4">
        <f>IF(K418="","",IF(K418=0,"Em dia",IF(K418&lt;=30,"1-30 dias",IF(K418&lt;=60,"31-60 dias",IF(K418&lt;=90,"61-90 dias","&gt;90 dias")))))</f>
        <v/>
      </c>
      <c r="M418" s="28" t="n"/>
      <c r="N418" s="104" t="inlineStr"/>
      <c r="O418" s="64" t="n"/>
      <c r="P418" s="64">
        <f>IF(C418="","",IF(ISNUMBER(SEARCH("PCMSO",C418)),"PCMSO",IF(OR(ISNUMBER(SEARCH("E-SOCIAL",C418)),ISNUMBER(SEARCH("PSICOSOCIAL",C418))),"eSocial / Psicossocial",IF(O418="Receita recorrente","Carteira recorrente","Projetos / Laudos / Avulsos"))))</f>
        <v/>
      </c>
      <c r="Q418" s="64">
        <f>IF(P418="","",IF(P418="Carteira recorrente","Operação recorrente",IF(P418="PCMSO","Projetos PCMSO",IF(P418="eSocial / Psicossocial","Projetos eSocial/Psicossocial","Projetos / Laudos / Avulsos"))))</f>
        <v/>
      </c>
      <c r="R418" s="64">
        <f>IF(C418="","",IF(ISNUMBER(SEARCH("PCMSO",C418)),"Título com PCMSO no nome",IF(OR(ISNUMBER(SEARCH("E-SOCIAL",C418)),ISNUMBER(SEARCH("PSICOSOCIAL",C418))),"Título com eSocial/Psicossocial no nome",IF(O418="Receita recorrente","Tipo DRE recorrente","Extra sem palavra-chave específica"))))</f>
        <v/>
      </c>
      <c r="S418" s="92">
        <f>IFERROR(VLOOKUP($A418,'13. Mapa Títulos-Receita'!$A$8:$P$1000,4,FALSE),"")</f>
        <v/>
      </c>
      <c r="T418" s="92">
        <f>IFERROR(VLOOKUP($A418,'13. Mapa Títulos-Receita'!$A$8:$P$1000,5,FALSE),"")</f>
        <v/>
      </c>
      <c r="U418" s="92">
        <f>IFERROR(VLOOKUP($A418,'13. Mapa Títulos-Receita'!$A$8:$P$1000,6,FALSE),"")</f>
        <v/>
      </c>
      <c r="V418" s="92">
        <f>IFERROR(VLOOKUP($A418,'13. Mapa Títulos-Receita'!$A$8:$P$1000,7,FALSE),"")</f>
        <v/>
      </c>
      <c r="W418" s="92">
        <f>IFERROR(VLOOKUP($A418,'13. Mapa Títulos-Receita'!$A$8:$P$1000,8,FALSE),"")</f>
        <v/>
      </c>
      <c r="X418" s="92">
        <f>IFERROR(VLOOKUP($A418,'13. Mapa Títulos-Receita'!$A$8:$P$1000,9,FALSE),"")</f>
        <v/>
      </c>
      <c r="Y418" s="92">
        <f>IFERROR(VLOOKUP($A418,'13. Mapa Títulos-Receita'!$A$8:$P$1000,10,FALSE),"")</f>
        <v/>
      </c>
      <c r="Z418" s="92">
        <f>IFERROR(VLOOKUP($A418,'13. Mapa Títulos-Receita'!$A$8:$P$1000,11,FALSE),"")</f>
        <v/>
      </c>
      <c r="AA418" s="92">
        <f>IFERROR(VLOOKUP($A418,'13. Mapa Títulos-Receita'!$A$8:$P$1000,12,FALSE),"")</f>
        <v/>
      </c>
      <c r="AB418" s="92">
        <f>IFERROR(VLOOKUP($A418,'13. Mapa Títulos-Receita'!$A$8:$P$1000,13,FALSE),"")</f>
        <v/>
      </c>
      <c r="AC418" s="92">
        <f>IFERROR(VLOOKUP($A418,'13. Mapa Títulos-Receita'!$A$8:$P$1000,14,FALSE),"")</f>
        <v/>
      </c>
      <c r="AD418" s="92">
        <f>IFERROR(VLOOKUP($A418,'13. Mapa Títulos-Receita'!$A$8:$P$1000,15,FALSE),"")</f>
        <v/>
      </c>
      <c r="AE418" s="92">
        <f>IFERROR(VLOOKUP($A418,'13. Mapa Títulos-Receita'!$A$8:$P$1000,16,FALSE),"")</f>
        <v/>
      </c>
    </row>
    <row r="419">
      <c r="A419" s="28">
        <f>IF(C419="","", "CR-"&amp;TEXT(ROW()-7,"000"))</f>
        <v/>
      </c>
      <c r="B419" s="28" t="n"/>
      <c r="C419" s="28" t="n"/>
      <c r="D419" s="111" t="n"/>
      <c r="E419" s="111" t="n"/>
      <c r="F419" s="111" t="n"/>
      <c r="G419" s="28" t="n"/>
      <c r="H419" s="45" t="n"/>
      <c r="I419" s="45" t="n"/>
      <c r="J419" s="28">
        <f>IF(H419="","",IF(I419&gt;=H419,"Recebido",IF($B$4&gt;E419,"Vencido","Aberto")))</f>
        <v/>
      </c>
      <c r="K419" s="4">
        <f>IF(J419="","",IF(OR(J419="Recebido",F419=""),MAX(0,F419-E419),MAX(0,$B$4-E419)))</f>
        <v/>
      </c>
      <c r="L419" s="4">
        <f>IF(K419="","",IF(K419=0,"Em dia",IF(K419&lt;=30,"1-30 dias",IF(K419&lt;=60,"31-60 dias",IF(K419&lt;=90,"61-90 dias","&gt;90 dias")))))</f>
        <v/>
      </c>
      <c r="M419" s="28" t="n"/>
      <c r="N419" s="104" t="inlineStr"/>
      <c r="O419" s="64" t="n"/>
      <c r="P419" s="64">
        <f>IF(C419="","",IF(ISNUMBER(SEARCH("PCMSO",C419)),"PCMSO",IF(OR(ISNUMBER(SEARCH("E-SOCIAL",C419)),ISNUMBER(SEARCH("PSICOSOCIAL",C419))),"eSocial / Psicossocial",IF(O419="Receita recorrente","Carteira recorrente","Projetos / Laudos / Avulsos"))))</f>
        <v/>
      </c>
      <c r="Q419" s="64">
        <f>IF(P419="","",IF(P419="Carteira recorrente","Operação recorrente",IF(P419="PCMSO","Projetos PCMSO",IF(P419="eSocial / Psicossocial","Projetos eSocial/Psicossocial","Projetos / Laudos / Avulsos"))))</f>
        <v/>
      </c>
      <c r="R419" s="64">
        <f>IF(C419="","",IF(ISNUMBER(SEARCH("PCMSO",C419)),"Título com PCMSO no nome",IF(OR(ISNUMBER(SEARCH("E-SOCIAL",C419)),ISNUMBER(SEARCH("PSICOSOCIAL",C419))),"Título com eSocial/Psicossocial no nome",IF(O419="Receita recorrente","Tipo DRE recorrente","Extra sem palavra-chave específica"))))</f>
        <v/>
      </c>
      <c r="S419" s="92">
        <f>IFERROR(VLOOKUP($A419,'13. Mapa Títulos-Receita'!$A$8:$P$1000,4,FALSE),"")</f>
        <v/>
      </c>
      <c r="T419" s="92">
        <f>IFERROR(VLOOKUP($A419,'13. Mapa Títulos-Receita'!$A$8:$P$1000,5,FALSE),"")</f>
        <v/>
      </c>
      <c r="U419" s="92">
        <f>IFERROR(VLOOKUP($A419,'13. Mapa Títulos-Receita'!$A$8:$P$1000,6,FALSE),"")</f>
        <v/>
      </c>
      <c r="V419" s="92">
        <f>IFERROR(VLOOKUP($A419,'13. Mapa Títulos-Receita'!$A$8:$P$1000,7,FALSE),"")</f>
        <v/>
      </c>
      <c r="W419" s="92">
        <f>IFERROR(VLOOKUP($A419,'13. Mapa Títulos-Receita'!$A$8:$P$1000,8,FALSE),"")</f>
        <v/>
      </c>
      <c r="X419" s="92">
        <f>IFERROR(VLOOKUP($A419,'13. Mapa Títulos-Receita'!$A$8:$P$1000,9,FALSE),"")</f>
        <v/>
      </c>
      <c r="Y419" s="92">
        <f>IFERROR(VLOOKUP($A419,'13. Mapa Títulos-Receita'!$A$8:$P$1000,10,FALSE),"")</f>
        <v/>
      </c>
      <c r="Z419" s="92">
        <f>IFERROR(VLOOKUP($A419,'13. Mapa Títulos-Receita'!$A$8:$P$1000,11,FALSE),"")</f>
        <v/>
      </c>
      <c r="AA419" s="92">
        <f>IFERROR(VLOOKUP($A419,'13. Mapa Títulos-Receita'!$A$8:$P$1000,12,FALSE),"")</f>
        <v/>
      </c>
      <c r="AB419" s="92">
        <f>IFERROR(VLOOKUP($A419,'13. Mapa Títulos-Receita'!$A$8:$P$1000,13,FALSE),"")</f>
        <v/>
      </c>
      <c r="AC419" s="92">
        <f>IFERROR(VLOOKUP($A419,'13. Mapa Títulos-Receita'!$A$8:$P$1000,14,FALSE),"")</f>
        <v/>
      </c>
      <c r="AD419" s="92">
        <f>IFERROR(VLOOKUP($A419,'13. Mapa Títulos-Receita'!$A$8:$P$1000,15,FALSE),"")</f>
        <v/>
      </c>
      <c r="AE419" s="92">
        <f>IFERROR(VLOOKUP($A419,'13. Mapa Títulos-Receita'!$A$8:$P$1000,16,FALSE),"")</f>
        <v/>
      </c>
    </row>
    <row r="420">
      <c r="A420" s="28">
        <f>IF(C420="","", "CR-"&amp;TEXT(ROW()-7,"000"))</f>
        <v/>
      </c>
      <c r="B420" s="28" t="n"/>
      <c r="C420" s="28" t="n"/>
      <c r="D420" s="111" t="n"/>
      <c r="E420" s="111" t="n"/>
      <c r="F420" s="111" t="n"/>
      <c r="G420" s="28" t="n"/>
      <c r="H420" s="45" t="n"/>
      <c r="I420" s="45" t="n"/>
      <c r="J420" s="28">
        <f>IF(H420="","",IF(I420&gt;=H420,"Recebido",IF($B$4&gt;E420,"Vencido","Aberto")))</f>
        <v/>
      </c>
      <c r="K420" s="4">
        <f>IF(J420="","",IF(OR(J420="Recebido",F420=""),MAX(0,F420-E420),MAX(0,$B$4-E420)))</f>
        <v/>
      </c>
      <c r="L420" s="4">
        <f>IF(K420="","",IF(K420=0,"Em dia",IF(K420&lt;=30,"1-30 dias",IF(K420&lt;=60,"31-60 dias",IF(K420&lt;=90,"61-90 dias","&gt;90 dias")))))</f>
        <v/>
      </c>
      <c r="M420" s="28" t="n"/>
      <c r="N420" s="104" t="inlineStr"/>
      <c r="O420" s="64" t="n"/>
      <c r="P420" s="64">
        <f>IF(C420="","",IF(ISNUMBER(SEARCH("PCMSO",C420)),"PCMSO",IF(OR(ISNUMBER(SEARCH("E-SOCIAL",C420)),ISNUMBER(SEARCH("PSICOSOCIAL",C420))),"eSocial / Psicossocial",IF(O420="Receita recorrente","Carteira recorrente","Projetos / Laudos / Avulsos"))))</f>
        <v/>
      </c>
      <c r="Q420" s="64">
        <f>IF(P420="","",IF(P420="Carteira recorrente","Operação recorrente",IF(P420="PCMSO","Projetos PCMSO",IF(P420="eSocial / Psicossocial","Projetos eSocial/Psicossocial","Projetos / Laudos / Avulsos"))))</f>
        <v/>
      </c>
      <c r="R420" s="64">
        <f>IF(C420="","",IF(ISNUMBER(SEARCH("PCMSO",C420)),"Título com PCMSO no nome",IF(OR(ISNUMBER(SEARCH("E-SOCIAL",C420)),ISNUMBER(SEARCH("PSICOSOCIAL",C420))),"Título com eSocial/Psicossocial no nome",IF(O420="Receita recorrente","Tipo DRE recorrente","Extra sem palavra-chave específica"))))</f>
        <v/>
      </c>
      <c r="S420" s="92">
        <f>IFERROR(VLOOKUP($A420,'13. Mapa Títulos-Receita'!$A$8:$P$1000,4,FALSE),"")</f>
        <v/>
      </c>
      <c r="T420" s="92">
        <f>IFERROR(VLOOKUP($A420,'13. Mapa Títulos-Receita'!$A$8:$P$1000,5,FALSE),"")</f>
        <v/>
      </c>
      <c r="U420" s="92">
        <f>IFERROR(VLOOKUP($A420,'13. Mapa Títulos-Receita'!$A$8:$P$1000,6,FALSE),"")</f>
        <v/>
      </c>
      <c r="V420" s="92">
        <f>IFERROR(VLOOKUP($A420,'13. Mapa Títulos-Receita'!$A$8:$P$1000,7,FALSE),"")</f>
        <v/>
      </c>
      <c r="W420" s="92">
        <f>IFERROR(VLOOKUP($A420,'13. Mapa Títulos-Receita'!$A$8:$P$1000,8,FALSE),"")</f>
        <v/>
      </c>
      <c r="X420" s="92">
        <f>IFERROR(VLOOKUP($A420,'13. Mapa Títulos-Receita'!$A$8:$P$1000,9,FALSE),"")</f>
        <v/>
      </c>
      <c r="Y420" s="92">
        <f>IFERROR(VLOOKUP($A420,'13. Mapa Títulos-Receita'!$A$8:$P$1000,10,FALSE),"")</f>
        <v/>
      </c>
      <c r="Z420" s="92">
        <f>IFERROR(VLOOKUP($A420,'13. Mapa Títulos-Receita'!$A$8:$P$1000,11,FALSE),"")</f>
        <v/>
      </c>
      <c r="AA420" s="92">
        <f>IFERROR(VLOOKUP($A420,'13. Mapa Títulos-Receita'!$A$8:$P$1000,12,FALSE),"")</f>
        <v/>
      </c>
      <c r="AB420" s="92">
        <f>IFERROR(VLOOKUP($A420,'13. Mapa Títulos-Receita'!$A$8:$P$1000,13,FALSE),"")</f>
        <v/>
      </c>
      <c r="AC420" s="92">
        <f>IFERROR(VLOOKUP($A420,'13. Mapa Títulos-Receita'!$A$8:$P$1000,14,FALSE),"")</f>
        <v/>
      </c>
      <c r="AD420" s="92">
        <f>IFERROR(VLOOKUP($A420,'13. Mapa Títulos-Receita'!$A$8:$P$1000,15,FALSE),"")</f>
        <v/>
      </c>
      <c r="AE420" s="92">
        <f>IFERROR(VLOOKUP($A420,'13. Mapa Títulos-Receita'!$A$8:$P$1000,16,FALSE),"")</f>
        <v/>
      </c>
    </row>
    <row r="421">
      <c r="A421" s="28">
        <f>IF(C421="","", "CR-"&amp;TEXT(ROW()-7,"000"))</f>
        <v/>
      </c>
      <c r="B421" s="28" t="n"/>
      <c r="C421" s="28" t="n"/>
      <c r="D421" s="111" t="n"/>
      <c r="E421" s="111" t="n"/>
      <c r="F421" s="111" t="n"/>
      <c r="G421" s="28" t="n"/>
      <c r="H421" s="45" t="n"/>
      <c r="I421" s="45" t="n"/>
      <c r="J421" s="28">
        <f>IF(H421="","",IF(I421&gt;=H421,"Recebido",IF($B$4&gt;E421,"Vencido","Aberto")))</f>
        <v/>
      </c>
      <c r="K421" s="4">
        <f>IF(J421="","",IF(OR(J421="Recebido",F421=""),MAX(0,F421-E421),MAX(0,$B$4-E421)))</f>
        <v/>
      </c>
      <c r="L421" s="4">
        <f>IF(K421="","",IF(K421=0,"Em dia",IF(K421&lt;=30,"1-30 dias",IF(K421&lt;=60,"31-60 dias",IF(K421&lt;=90,"61-90 dias","&gt;90 dias")))))</f>
        <v/>
      </c>
      <c r="M421" s="28" t="n"/>
      <c r="N421" s="104" t="inlineStr"/>
      <c r="O421" s="64" t="n"/>
      <c r="P421" s="64">
        <f>IF(C421="","",IF(ISNUMBER(SEARCH("PCMSO",C421)),"PCMSO",IF(OR(ISNUMBER(SEARCH("E-SOCIAL",C421)),ISNUMBER(SEARCH("PSICOSOCIAL",C421))),"eSocial / Psicossocial",IF(O421="Receita recorrente","Carteira recorrente","Projetos / Laudos / Avulsos"))))</f>
        <v/>
      </c>
      <c r="Q421" s="64">
        <f>IF(P421="","",IF(P421="Carteira recorrente","Operação recorrente",IF(P421="PCMSO","Projetos PCMSO",IF(P421="eSocial / Psicossocial","Projetos eSocial/Psicossocial","Projetos / Laudos / Avulsos"))))</f>
        <v/>
      </c>
      <c r="R421" s="64">
        <f>IF(C421="","",IF(ISNUMBER(SEARCH("PCMSO",C421)),"Título com PCMSO no nome",IF(OR(ISNUMBER(SEARCH("E-SOCIAL",C421)),ISNUMBER(SEARCH("PSICOSOCIAL",C421))),"Título com eSocial/Psicossocial no nome",IF(O421="Receita recorrente","Tipo DRE recorrente","Extra sem palavra-chave específica"))))</f>
        <v/>
      </c>
      <c r="S421" s="92">
        <f>IFERROR(VLOOKUP($A421,'13. Mapa Títulos-Receita'!$A$8:$P$1000,4,FALSE),"")</f>
        <v/>
      </c>
      <c r="T421" s="92">
        <f>IFERROR(VLOOKUP($A421,'13. Mapa Títulos-Receita'!$A$8:$P$1000,5,FALSE),"")</f>
        <v/>
      </c>
      <c r="U421" s="92">
        <f>IFERROR(VLOOKUP($A421,'13. Mapa Títulos-Receita'!$A$8:$P$1000,6,FALSE),"")</f>
        <v/>
      </c>
      <c r="V421" s="92">
        <f>IFERROR(VLOOKUP($A421,'13. Mapa Títulos-Receita'!$A$8:$P$1000,7,FALSE),"")</f>
        <v/>
      </c>
      <c r="W421" s="92">
        <f>IFERROR(VLOOKUP($A421,'13. Mapa Títulos-Receita'!$A$8:$P$1000,8,FALSE),"")</f>
        <v/>
      </c>
      <c r="X421" s="92">
        <f>IFERROR(VLOOKUP($A421,'13. Mapa Títulos-Receita'!$A$8:$P$1000,9,FALSE),"")</f>
        <v/>
      </c>
      <c r="Y421" s="92">
        <f>IFERROR(VLOOKUP($A421,'13. Mapa Títulos-Receita'!$A$8:$P$1000,10,FALSE),"")</f>
        <v/>
      </c>
      <c r="Z421" s="92">
        <f>IFERROR(VLOOKUP($A421,'13. Mapa Títulos-Receita'!$A$8:$P$1000,11,FALSE),"")</f>
        <v/>
      </c>
      <c r="AA421" s="92">
        <f>IFERROR(VLOOKUP($A421,'13. Mapa Títulos-Receita'!$A$8:$P$1000,12,FALSE),"")</f>
        <v/>
      </c>
      <c r="AB421" s="92">
        <f>IFERROR(VLOOKUP($A421,'13. Mapa Títulos-Receita'!$A$8:$P$1000,13,FALSE),"")</f>
        <v/>
      </c>
      <c r="AC421" s="92">
        <f>IFERROR(VLOOKUP($A421,'13. Mapa Títulos-Receita'!$A$8:$P$1000,14,FALSE),"")</f>
        <v/>
      </c>
      <c r="AD421" s="92">
        <f>IFERROR(VLOOKUP($A421,'13. Mapa Títulos-Receita'!$A$8:$P$1000,15,FALSE),"")</f>
        <v/>
      </c>
      <c r="AE421" s="92">
        <f>IFERROR(VLOOKUP($A421,'13. Mapa Títulos-Receita'!$A$8:$P$1000,16,FALSE),"")</f>
        <v/>
      </c>
    </row>
    <row r="422">
      <c r="A422" s="28">
        <f>IF(C422="","", "CR-"&amp;TEXT(ROW()-7,"000"))</f>
        <v/>
      </c>
      <c r="B422" s="28" t="n"/>
      <c r="C422" s="28" t="n"/>
      <c r="D422" s="111" t="n"/>
      <c r="E422" s="111" t="n"/>
      <c r="F422" s="111" t="n"/>
      <c r="G422" s="28" t="n"/>
      <c r="H422" s="45" t="n"/>
      <c r="I422" s="45" t="n"/>
      <c r="J422" s="28">
        <f>IF(H422="","",IF(I422&gt;=H422,"Recebido",IF($B$4&gt;E422,"Vencido","Aberto")))</f>
        <v/>
      </c>
      <c r="K422" s="4">
        <f>IF(J422="","",IF(OR(J422="Recebido",F422=""),MAX(0,F422-E422),MAX(0,$B$4-E422)))</f>
        <v/>
      </c>
      <c r="L422" s="4">
        <f>IF(K422="","",IF(K422=0,"Em dia",IF(K422&lt;=30,"1-30 dias",IF(K422&lt;=60,"31-60 dias",IF(K422&lt;=90,"61-90 dias","&gt;90 dias")))))</f>
        <v/>
      </c>
      <c r="M422" s="28" t="n"/>
      <c r="N422" s="104" t="inlineStr"/>
      <c r="O422" s="64" t="n"/>
      <c r="P422" s="64">
        <f>IF(C422="","",IF(ISNUMBER(SEARCH("PCMSO",C422)),"PCMSO",IF(OR(ISNUMBER(SEARCH("E-SOCIAL",C422)),ISNUMBER(SEARCH("PSICOSOCIAL",C422))),"eSocial / Psicossocial",IF(O422="Receita recorrente","Carteira recorrente","Projetos / Laudos / Avulsos"))))</f>
        <v/>
      </c>
      <c r="Q422" s="64">
        <f>IF(P422="","",IF(P422="Carteira recorrente","Operação recorrente",IF(P422="PCMSO","Projetos PCMSO",IF(P422="eSocial / Psicossocial","Projetos eSocial/Psicossocial","Projetos / Laudos / Avulsos"))))</f>
        <v/>
      </c>
      <c r="R422" s="64">
        <f>IF(C422="","",IF(ISNUMBER(SEARCH("PCMSO",C422)),"Título com PCMSO no nome",IF(OR(ISNUMBER(SEARCH("E-SOCIAL",C422)),ISNUMBER(SEARCH("PSICOSOCIAL",C422))),"Título com eSocial/Psicossocial no nome",IF(O422="Receita recorrente","Tipo DRE recorrente","Extra sem palavra-chave específica"))))</f>
        <v/>
      </c>
      <c r="S422" s="92">
        <f>IFERROR(VLOOKUP($A422,'13. Mapa Títulos-Receita'!$A$8:$P$1000,4,FALSE),"")</f>
        <v/>
      </c>
      <c r="T422" s="92">
        <f>IFERROR(VLOOKUP($A422,'13. Mapa Títulos-Receita'!$A$8:$P$1000,5,FALSE),"")</f>
        <v/>
      </c>
      <c r="U422" s="92">
        <f>IFERROR(VLOOKUP($A422,'13. Mapa Títulos-Receita'!$A$8:$P$1000,6,FALSE),"")</f>
        <v/>
      </c>
      <c r="V422" s="92">
        <f>IFERROR(VLOOKUP($A422,'13. Mapa Títulos-Receita'!$A$8:$P$1000,7,FALSE),"")</f>
        <v/>
      </c>
      <c r="W422" s="92">
        <f>IFERROR(VLOOKUP($A422,'13. Mapa Títulos-Receita'!$A$8:$P$1000,8,FALSE),"")</f>
        <v/>
      </c>
      <c r="X422" s="92">
        <f>IFERROR(VLOOKUP($A422,'13. Mapa Títulos-Receita'!$A$8:$P$1000,9,FALSE),"")</f>
        <v/>
      </c>
      <c r="Y422" s="92">
        <f>IFERROR(VLOOKUP($A422,'13. Mapa Títulos-Receita'!$A$8:$P$1000,10,FALSE),"")</f>
        <v/>
      </c>
      <c r="Z422" s="92">
        <f>IFERROR(VLOOKUP($A422,'13. Mapa Títulos-Receita'!$A$8:$P$1000,11,FALSE),"")</f>
        <v/>
      </c>
      <c r="AA422" s="92">
        <f>IFERROR(VLOOKUP($A422,'13. Mapa Títulos-Receita'!$A$8:$P$1000,12,FALSE),"")</f>
        <v/>
      </c>
      <c r="AB422" s="92">
        <f>IFERROR(VLOOKUP($A422,'13. Mapa Títulos-Receita'!$A$8:$P$1000,13,FALSE),"")</f>
        <v/>
      </c>
      <c r="AC422" s="92">
        <f>IFERROR(VLOOKUP($A422,'13. Mapa Títulos-Receita'!$A$8:$P$1000,14,FALSE),"")</f>
        <v/>
      </c>
      <c r="AD422" s="92">
        <f>IFERROR(VLOOKUP($A422,'13. Mapa Títulos-Receita'!$A$8:$P$1000,15,FALSE),"")</f>
        <v/>
      </c>
      <c r="AE422" s="92">
        <f>IFERROR(VLOOKUP($A422,'13. Mapa Títulos-Receita'!$A$8:$P$1000,16,FALSE),"")</f>
        <v/>
      </c>
    </row>
    <row r="423">
      <c r="A423" s="28">
        <f>IF(C423="","", "CR-"&amp;TEXT(ROW()-7,"000"))</f>
        <v/>
      </c>
      <c r="B423" s="28" t="n"/>
      <c r="C423" s="28" t="n"/>
      <c r="D423" s="111" t="n"/>
      <c r="E423" s="111" t="n"/>
      <c r="F423" s="111" t="n"/>
      <c r="G423" s="28" t="n"/>
      <c r="H423" s="45" t="n"/>
      <c r="I423" s="45" t="n"/>
      <c r="J423" s="28">
        <f>IF(H423="","",IF(I423&gt;=H423,"Recebido",IF($B$4&gt;E423,"Vencido","Aberto")))</f>
        <v/>
      </c>
      <c r="K423" s="4">
        <f>IF(J423="","",IF(OR(J423="Recebido",F423=""),MAX(0,F423-E423),MAX(0,$B$4-E423)))</f>
        <v/>
      </c>
      <c r="L423" s="4">
        <f>IF(K423="","",IF(K423=0,"Em dia",IF(K423&lt;=30,"1-30 dias",IF(K423&lt;=60,"31-60 dias",IF(K423&lt;=90,"61-90 dias","&gt;90 dias")))))</f>
        <v/>
      </c>
      <c r="M423" s="28" t="n"/>
      <c r="N423" s="104" t="inlineStr"/>
      <c r="O423" s="64" t="n"/>
      <c r="P423" s="64">
        <f>IF(C423="","",IF(ISNUMBER(SEARCH("PCMSO",C423)),"PCMSO",IF(OR(ISNUMBER(SEARCH("E-SOCIAL",C423)),ISNUMBER(SEARCH("PSICOSOCIAL",C423))),"eSocial / Psicossocial",IF(O423="Receita recorrente","Carteira recorrente","Projetos / Laudos / Avulsos"))))</f>
        <v/>
      </c>
      <c r="Q423" s="64">
        <f>IF(P423="","",IF(P423="Carteira recorrente","Operação recorrente",IF(P423="PCMSO","Projetos PCMSO",IF(P423="eSocial / Psicossocial","Projetos eSocial/Psicossocial","Projetos / Laudos / Avulsos"))))</f>
        <v/>
      </c>
      <c r="R423" s="64">
        <f>IF(C423="","",IF(ISNUMBER(SEARCH("PCMSO",C423)),"Título com PCMSO no nome",IF(OR(ISNUMBER(SEARCH("E-SOCIAL",C423)),ISNUMBER(SEARCH("PSICOSOCIAL",C423))),"Título com eSocial/Psicossocial no nome",IF(O423="Receita recorrente","Tipo DRE recorrente","Extra sem palavra-chave específica"))))</f>
        <v/>
      </c>
      <c r="S423" s="92">
        <f>IFERROR(VLOOKUP($A423,'13. Mapa Títulos-Receita'!$A$8:$P$1000,4,FALSE),"")</f>
        <v/>
      </c>
      <c r="T423" s="92">
        <f>IFERROR(VLOOKUP($A423,'13. Mapa Títulos-Receita'!$A$8:$P$1000,5,FALSE),"")</f>
        <v/>
      </c>
      <c r="U423" s="92">
        <f>IFERROR(VLOOKUP($A423,'13. Mapa Títulos-Receita'!$A$8:$P$1000,6,FALSE),"")</f>
        <v/>
      </c>
      <c r="V423" s="92">
        <f>IFERROR(VLOOKUP($A423,'13. Mapa Títulos-Receita'!$A$8:$P$1000,7,FALSE),"")</f>
        <v/>
      </c>
      <c r="W423" s="92">
        <f>IFERROR(VLOOKUP($A423,'13. Mapa Títulos-Receita'!$A$8:$P$1000,8,FALSE),"")</f>
        <v/>
      </c>
      <c r="X423" s="92">
        <f>IFERROR(VLOOKUP($A423,'13. Mapa Títulos-Receita'!$A$8:$P$1000,9,FALSE),"")</f>
        <v/>
      </c>
      <c r="Y423" s="92">
        <f>IFERROR(VLOOKUP($A423,'13. Mapa Títulos-Receita'!$A$8:$P$1000,10,FALSE),"")</f>
        <v/>
      </c>
      <c r="Z423" s="92">
        <f>IFERROR(VLOOKUP($A423,'13. Mapa Títulos-Receita'!$A$8:$P$1000,11,FALSE),"")</f>
        <v/>
      </c>
      <c r="AA423" s="92">
        <f>IFERROR(VLOOKUP($A423,'13. Mapa Títulos-Receita'!$A$8:$P$1000,12,FALSE),"")</f>
        <v/>
      </c>
      <c r="AB423" s="92">
        <f>IFERROR(VLOOKUP($A423,'13. Mapa Títulos-Receita'!$A$8:$P$1000,13,FALSE),"")</f>
        <v/>
      </c>
      <c r="AC423" s="92">
        <f>IFERROR(VLOOKUP($A423,'13. Mapa Títulos-Receita'!$A$8:$P$1000,14,FALSE),"")</f>
        <v/>
      </c>
      <c r="AD423" s="92">
        <f>IFERROR(VLOOKUP($A423,'13. Mapa Títulos-Receita'!$A$8:$P$1000,15,FALSE),"")</f>
        <v/>
      </c>
      <c r="AE423" s="92">
        <f>IFERROR(VLOOKUP($A423,'13. Mapa Títulos-Receita'!$A$8:$P$1000,16,FALSE),"")</f>
        <v/>
      </c>
    </row>
    <row r="424">
      <c r="A424" s="28">
        <f>IF(C424="","", "CR-"&amp;TEXT(ROW()-7,"000"))</f>
        <v/>
      </c>
      <c r="B424" s="28" t="n"/>
      <c r="C424" s="28" t="n"/>
      <c r="D424" s="111" t="n"/>
      <c r="E424" s="111" t="n"/>
      <c r="F424" s="111" t="n"/>
      <c r="G424" s="28" t="n"/>
      <c r="H424" s="45" t="n"/>
      <c r="I424" s="45" t="n"/>
      <c r="J424" s="28">
        <f>IF(H424="","",IF(I424&gt;=H424,"Recebido",IF($B$4&gt;E424,"Vencido","Aberto")))</f>
        <v/>
      </c>
      <c r="K424" s="4">
        <f>IF(J424="","",IF(OR(J424="Recebido",F424=""),MAX(0,F424-E424),MAX(0,$B$4-E424)))</f>
        <v/>
      </c>
      <c r="L424" s="4">
        <f>IF(K424="","",IF(K424=0,"Em dia",IF(K424&lt;=30,"1-30 dias",IF(K424&lt;=60,"31-60 dias",IF(K424&lt;=90,"61-90 dias","&gt;90 dias")))))</f>
        <v/>
      </c>
      <c r="M424" s="28" t="n"/>
      <c r="N424" s="104" t="inlineStr"/>
      <c r="O424" s="64" t="n"/>
      <c r="P424" s="64">
        <f>IF(C424="","",IF(ISNUMBER(SEARCH("PCMSO",C424)),"PCMSO",IF(OR(ISNUMBER(SEARCH("E-SOCIAL",C424)),ISNUMBER(SEARCH("PSICOSOCIAL",C424))),"eSocial / Psicossocial",IF(O424="Receita recorrente","Carteira recorrente","Projetos / Laudos / Avulsos"))))</f>
        <v/>
      </c>
      <c r="Q424" s="64">
        <f>IF(P424="","",IF(P424="Carteira recorrente","Operação recorrente",IF(P424="PCMSO","Projetos PCMSO",IF(P424="eSocial / Psicossocial","Projetos eSocial/Psicossocial","Projetos / Laudos / Avulsos"))))</f>
        <v/>
      </c>
      <c r="R424" s="64">
        <f>IF(C424="","",IF(ISNUMBER(SEARCH("PCMSO",C424)),"Título com PCMSO no nome",IF(OR(ISNUMBER(SEARCH("E-SOCIAL",C424)),ISNUMBER(SEARCH("PSICOSOCIAL",C424))),"Título com eSocial/Psicossocial no nome",IF(O424="Receita recorrente","Tipo DRE recorrente","Extra sem palavra-chave específica"))))</f>
        <v/>
      </c>
      <c r="S424" s="92">
        <f>IFERROR(VLOOKUP($A424,'13. Mapa Títulos-Receita'!$A$8:$P$1000,4,FALSE),"")</f>
        <v/>
      </c>
      <c r="T424" s="92">
        <f>IFERROR(VLOOKUP($A424,'13. Mapa Títulos-Receita'!$A$8:$P$1000,5,FALSE),"")</f>
        <v/>
      </c>
      <c r="U424" s="92">
        <f>IFERROR(VLOOKUP($A424,'13. Mapa Títulos-Receita'!$A$8:$P$1000,6,FALSE),"")</f>
        <v/>
      </c>
      <c r="V424" s="92">
        <f>IFERROR(VLOOKUP($A424,'13. Mapa Títulos-Receita'!$A$8:$P$1000,7,FALSE),"")</f>
        <v/>
      </c>
      <c r="W424" s="92">
        <f>IFERROR(VLOOKUP($A424,'13. Mapa Títulos-Receita'!$A$8:$P$1000,8,FALSE),"")</f>
        <v/>
      </c>
      <c r="X424" s="92">
        <f>IFERROR(VLOOKUP($A424,'13. Mapa Títulos-Receita'!$A$8:$P$1000,9,FALSE),"")</f>
        <v/>
      </c>
      <c r="Y424" s="92">
        <f>IFERROR(VLOOKUP($A424,'13. Mapa Títulos-Receita'!$A$8:$P$1000,10,FALSE),"")</f>
        <v/>
      </c>
      <c r="Z424" s="92">
        <f>IFERROR(VLOOKUP($A424,'13. Mapa Títulos-Receita'!$A$8:$P$1000,11,FALSE),"")</f>
        <v/>
      </c>
      <c r="AA424" s="92">
        <f>IFERROR(VLOOKUP($A424,'13. Mapa Títulos-Receita'!$A$8:$P$1000,12,FALSE),"")</f>
        <v/>
      </c>
      <c r="AB424" s="92">
        <f>IFERROR(VLOOKUP($A424,'13. Mapa Títulos-Receita'!$A$8:$P$1000,13,FALSE),"")</f>
        <v/>
      </c>
      <c r="AC424" s="92">
        <f>IFERROR(VLOOKUP($A424,'13. Mapa Títulos-Receita'!$A$8:$P$1000,14,FALSE),"")</f>
        <v/>
      </c>
      <c r="AD424" s="92">
        <f>IFERROR(VLOOKUP($A424,'13. Mapa Títulos-Receita'!$A$8:$P$1000,15,FALSE),"")</f>
        <v/>
      </c>
      <c r="AE424" s="92">
        <f>IFERROR(VLOOKUP($A424,'13. Mapa Títulos-Receita'!$A$8:$P$1000,16,FALSE),"")</f>
        <v/>
      </c>
    </row>
    <row r="425">
      <c r="A425" s="28">
        <f>IF(C425="","", "CR-"&amp;TEXT(ROW()-7,"000"))</f>
        <v/>
      </c>
      <c r="B425" s="28" t="n"/>
      <c r="C425" s="28" t="n"/>
      <c r="D425" s="111" t="n"/>
      <c r="E425" s="111" t="n"/>
      <c r="F425" s="111" t="n"/>
      <c r="G425" s="28" t="n"/>
      <c r="H425" s="45" t="n"/>
      <c r="I425" s="45" t="n"/>
      <c r="J425" s="28">
        <f>IF(H425="","",IF(I425&gt;=H425,"Recebido",IF($B$4&gt;E425,"Vencido","Aberto")))</f>
        <v/>
      </c>
      <c r="K425" s="4">
        <f>IF(J425="","",IF(OR(J425="Recebido",F425=""),MAX(0,F425-E425),MAX(0,$B$4-E425)))</f>
        <v/>
      </c>
      <c r="L425" s="4">
        <f>IF(K425="","",IF(K425=0,"Em dia",IF(K425&lt;=30,"1-30 dias",IF(K425&lt;=60,"31-60 dias",IF(K425&lt;=90,"61-90 dias","&gt;90 dias")))))</f>
        <v/>
      </c>
      <c r="M425" s="28" t="n"/>
      <c r="N425" s="104" t="inlineStr"/>
      <c r="O425" s="64" t="n"/>
      <c r="P425" s="64">
        <f>IF(C425="","",IF(ISNUMBER(SEARCH("PCMSO",C425)),"PCMSO",IF(OR(ISNUMBER(SEARCH("E-SOCIAL",C425)),ISNUMBER(SEARCH("PSICOSOCIAL",C425))),"eSocial / Psicossocial",IF(O425="Receita recorrente","Carteira recorrente","Projetos / Laudos / Avulsos"))))</f>
        <v/>
      </c>
      <c r="Q425" s="64">
        <f>IF(P425="","",IF(P425="Carteira recorrente","Operação recorrente",IF(P425="PCMSO","Projetos PCMSO",IF(P425="eSocial / Psicossocial","Projetos eSocial/Psicossocial","Projetos / Laudos / Avulsos"))))</f>
        <v/>
      </c>
      <c r="R425" s="64">
        <f>IF(C425="","",IF(ISNUMBER(SEARCH("PCMSO",C425)),"Título com PCMSO no nome",IF(OR(ISNUMBER(SEARCH("E-SOCIAL",C425)),ISNUMBER(SEARCH("PSICOSOCIAL",C425))),"Título com eSocial/Psicossocial no nome",IF(O425="Receita recorrente","Tipo DRE recorrente","Extra sem palavra-chave específica"))))</f>
        <v/>
      </c>
      <c r="S425" s="92">
        <f>IFERROR(VLOOKUP($A425,'13. Mapa Títulos-Receita'!$A$8:$P$1000,4,FALSE),"")</f>
        <v/>
      </c>
      <c r="T425" s="92">
        <f>IFERROR(VLOOKUP($A425,'13. Mapa Títulos-Receita'!$A$8:$P$1000,5,FALSE),"")</f>
        <v/>
      </c>
      <c r="U425" s="92">
        <f>IFERROR(VLOOKUP($A425,'13. Mapa Títulos-Receita'!$A$8:$P$1000,6,FALSE),"")</f>
        <v/>
      </c>
      <c r="V425" s="92">
        <f>IFERROR(VLOOKUP($A425,'13. Mapa Títulos-Receita'!$A$8:$P$1000,7,FALSE),"")</f>
        <v/>
      </c>
      <c r="W425" s="92">
        <f>IFERROR(VLOOKUP($A425,'13. Mapa Títulos-Receita'!$A$8:$P$1000,8,FALSE),"")</f>
        <v/>
      </c>
      <c r="X425" s="92">
        <f>IFERROR(VLOOKUP($A425,'13. Mapa Títulos-Receita'!$A$8:$P$1000,9,FALSE),"")</f>
        <v/>
      </c>
      <c r="Y425" s="92">
        <f>IFERROR(VLOOKUP($A425,'13. Mapa Títulos-Receita'!$A$8:$P$1000,10,FALSE),"")</f>
        <v/>
      </c>
      <c r="Z425" s="92">
        <f>IFERROR(VLOOKUP($A425,'13. Mapa Títulos-Receita'!$A$8:$P$1000,11,FALSE),"")</f>
        <v/>
      </c>
      <c r="AA425" s="92">
        <f>IFERROR(VLOOKUP($A425,'13. Mapa Títulos-Receita'!$A$8:$P$1000,12,FALSE),"")</f>
        <v/>
      </c>
      <c r="AB425" s="92">
        <f>IFERROR(VLOOKUP($A425,'13. Mapa Títulos-Receita'!$A$8:$P$1000,13,FALSE),"")</f>
        <v/>
      </c>
      <c r="AC425" s="92">
        <f>IFERROR(VLOOKUP($A425,'13. Mapa Títulos-Receita'!$A$8:$P$1000,14,FALSE),"")</f>
        <v/>
      </c>
      <c r="AD425" s="92">
        <f>IFERROR(VLOOKUP($A425,'13. Mapa Títulos-Receita'!$A$8:$P$1000,15,FALSE),"")</f>
        <v/>
      </c>
      <c r="AE425" s="92">
        <f>IFERROR(VLOOKUP($A425,'13. Mapa Títulos-Receita'!$A$8:$P$1000,16,FALSE),"")</f>
        <v/>
      </c>
    </row>
    <row r="426">
      <c r="A426" s="28">
        <f>IF(C426="","", "CR-"&amp;TEXT(ROW()-7,"000"))</f>
        <v/>
      </c>
      <c r="B426" s="28" t="n"/>
      <c r="C426" s="28" t="n"/>
      <c r="D426" s="111" t="n"/>
      <c r="E426" s="111" t="n"/>
      <c r="F426" s="111" t="n"/>
      <c r="G426" s="28" t="n"/>
      <c r="H426" s="45" t="n"/>
      <c r="I426" s="45" t="n"/>
      <c r="J426" s="28">
        <f>IF(H426="","",IF(I426&gt;=H426,"Recebido",IF($B$4&gt;E426,"Vencido","Aberto")))</f>
        <v/>
      </c>
      <c r="K426" s="4">
        <f>IF(J426="","",IF(OR(J426="Recebido",F426=""),MAX(0,F426-E426),MAX(0,$B$4-E426)))</f>
        <v/>
      </c>
      <c r="L426" s="4">
        <f>IF(K426="","",IF(K426=0,"Em dia",IF(K426&lt;=30,"1-30 dias",IF(K426&lt;=60,"31-60 dias",IF(K426&lt;=90,"61-90 dias","&gt;90 dias")))))</f>
        <v/>
      </c>
      <c r="M426" s="28" t="n"/>
      <c r="N426" s="104" t="inlineStr"/>
      <c r="O426" s="64" t="n"/>
      <c r="P426" s="64">
        <f>IF(C426="","",IF(ISNUMBER(SEARCH("PCMSO",C426)),"PCMSO",IF(OR(ISNUMBER(SEARCH("E-SOCIAL",C426)),ISNUMBER(SEARCH("PSICOSOCIAL",C426))),"eSocial / Psicossocial",IF(O426="Receita recorrente","Carteira recorrente","Projetos / Laudos / Avulsos"))))</f>
        <v/>
      </c>
      <c r="Q426" s="64">
        <f>IF(P426="","",IF(P426="Carteira recorrente","Operação recorrente",IF(P426="PCMSO","Projetos PCMSO",IF(P426="eSocial / Psicossocial","Projetos eSocial/Psicossocial","Projetos / Laudos / Avulsos"))))</f>
        <v/>
      </c>
      <c r="R426" s="64">
        <f>IF(C426="","",IF(ISNUMBER(SEARCH("PCMSO",C426)),"Título com PCMSO no nome",IF(OR(ISNUMBER(SEARCH("E-SOCIAL",C426)),ISNUMBER(SEARCH("PSICOSOCIAL",C426))),"Título com eSocial/Psicossocial no nome",IF(O426="Receita recorrente","Tipo DRE recorrente","Extra sem palavra-chave específica"))))</f>
        <v/>
      </c>
      <c r="S426" s="92">
        <f>IFERROR(VLOOKUP($A426,'13. Mapa Títulos-Receita'!$A$8:$P$1000,4,FALSE),"")</f>
        <v/>
      </c>
      <c r="T426" s="92">
        <f>IFERROR(VLOOKUP($A426,'13. Mapa Títulos-Receita'!$A$8:$P$1000,5,FALSE),"")</f>
        <v/>
      </c>
      <c r="U426" s="92">
        <f>IFERROR(VLOOKUP($A426,'13. Mapa Títulos-Receita'!$A$8:$P$1000,6,FALSE),"")</f>
        <v/>
      </c>
      <c r="V426" s="92">
        <f>IFERROR(VLOOKUP($A426,'13. Mapa Títulos-Receita'!$A$8:$P$1000,7,FALSE),"")</f>
        <v/>
      </c>
      <c r="W426" s="92">
        <f>IFERROR(VLOOKUP($A426,'13. Mapa Títulos-Receita'!$A$8:$P$1000,8,FALSE),"")</f>
        <v/>
      </c>
      <c r="X426" s="92">
        <f>IFERROR(VLOOKUP($A426,'13. Mapa Títulos-Receita'!$A$8:$P$1000,9,FALSE),"")</f>
        <v/>
      </c>
      <c r="Y426" s="92">
        <f>IFERROR(VLOOKUP($A426,'13. Mapa Títulos-Receita'!$A$8:$P$1000,10,FALSE),"")</f>
        <v/>
      </c>
      <c r="Z426" s="92">
        <f>IFERROR(VLOOKUP($A426,'13. Mapa Títulos-Receita'!$A$8:$P$1000,11,FALSE),"")</f>
        <v/>
      </c>
      <c r="AA426" s="92">
        <f>IFERROR(VLOOKUP($A426,'13. Mapa Títulos-Receita'!$A$8:$P$1000,12,FALSE),"")</f>
        <v/>
      </c>
      <c r="AB426" s="92">
        <f>IFERROR(VLOOKUP($A426,'13. Mapa Títulos-Receita'!$A$8:$P$1000,13,FALSE),"")</f>
        <v/>
      </c>
      <c r="AC426" s="92">
        <f>IFERROR(VLOOKUP($A426,'13. Mapa Títulos-Receita'!$A$8:$P$1000,14,FALSE),"")</f>
        <v/>
      </c>
      <c r="AD426" s="92">
        <f>IFERROR(VLOOKUP($A426,'13. Mapa Títulos-Receita'!$A$8:$P$1000,15,FALSE),"")</f>
        <v/>
      </c>
      <c r="AE426" s="92">
        <f>IFERROR(VLOOKUP($A426,'13. Mapa Títulos-Receita'!$A$8:$P$1000,16,FALSE),"")</f>
        <v/>
      </c>
    </row>
    <row r="427">
      <c r="A427" s="28">
        <f>IF(C427="","", "CR-"&amp;TEXT(ROW()-7,"000"))</f>
        <v/>
      </c>
      <c r="B427" s="28" t="n"/>
      <c r="C427" s="28" t="n"/>
      <c r="D427" s="111" t="n"/>
      <c r="E427" s="111" t="n"/>
      <c r="F427" s="111" t="n"/>
      <c r="G427" s="28" t="n"/>
      <c r="H427" s="45" t="n"/>
      <c r="I427" s="45" t="n"/>
      <c r="J427" s="28">
        <f>IF(H427="","",IF(I427&gt;=H427,"Recebido",IF($B$4&gt;E427,"Vencido","Aberto")))</f>
        <v/>
      </c>
      <c r="K427" s="4">
        <f>IF(J427="","",IF(OR(J427="Recebido",F427=""),MAX(0,F427-E427),MAX(0,$B$4-E427)))</f>
        <v/>
      </c>
      <c r="L427" s="4">
        <f>IF(K427="","",IF(K427=0,"Em dia",IF(K427&lt;=30,"1-30 dias",IF(K427&lt;=60,"31-60 dias",IF(K427&lt;=90,"61-90 dias","&gt;90 dias")))))</f>
        <v/>
      </c>
      <c r="M427" s="28" t="n"/>
      <c r="N427" s="104" t="inlineStr"/>
      <c r="O427" s="64" t="n"/>
      <c r="P427" s="64">
        <f>IF(C427="","",IF(ISNUMBER(SEARCH("PCMSO",C427)),"PCMSO",IF(OR(ISNUMBER(SEARCH("E-SOCIAL",C427)),ISNUMBER(SEARCH("PSICOSOCIAL",C427))),"eSocial / Psicossocial",IF(O427="Receita recorrente","Carteira recorrente","Projetos / Laudos / Avulsos"))))</f>
        <v/>
      </c>
      <c r="Q427" s="64">
        <f>IF(P427="","",IF(P427="Carteira recorrente","Operação recorrente",IF(P427="PCMSO","Projetos PCMSO",IF(P427="eSocial / Psicossocial","Projetos eSocial/Psicossocial","Projetos / Laudos / Avulsos"))))</f>
        <v/>
      </c>
      <c r="R427" s="64">
        <f>IF(C427="","",IF(ISNUMBER(SEARCH("PCMSO",C427)),"Título com PCMSO no nome",IF(OR(ISNUMBER(SEARCH("E-SOCIAL",C427)),ISNUMBER(SEARCH("PSICOSOCIAL",C427))),"Título com eSocial/Psicossocial no nome",IF(O427="Receita recorrente","Tipo DRE recorrente","Extra sem palavra-chave específica"))))</f>
        <v/>
      </c>
      <c r="S427" s="92">
        <f>IFERROR(VLOOKUP($A427,'13. Mapa Títulos-Receita'!$A$8:$P$1000,4,FALSE),"")</f>
        <v/>
      </c>
      <c r="T427" s="92">
        <f>IFERROR(VLOOKUP($A427,'13. Mapa Títulos-Receita'!$A$8:$P$1000,5,FALSE),"")</f>
        <v/>
      </c>
      <c r="U427" s="92">
        <f>IFERROR(VLOOKUP($A427,'13. Mapa Títulos-Receita'!$A$8:$P$1000,6,FALSE),"")</f>
        <v/>
      </c>
      <c r="V427" s="92">
        <f>IFERROR(VLOOKUP($A427,'13. Mapa Títulos-Receita'!$A$8:$P$1000,7,FALSE),"")</f>
        <v/>
      </c>
      <c r="W427" s="92">
        <f>IFERROR(VLOOKUP($A427,'13. Mapa Títulos-Receita'!$A$8:$P$1000,8,FALSE),"")</f>
        <v/>
      </c>
      <c r="X427" s="92">
        <f>IFERROR(VLOOKUP($A427,'13. Mapa Títulos-Receita'!$A$8:$P$1000,9,FALSE),"")</f>
        <v/>
      </c>
      <c r="Y427" s="92">
        <f>IFERROR(VLOOKUP($A427,'13. Mapa Títulos-Receita'!$A$8:$P$1000,10,FALSE),"")</f>
        <v/>
      </c>
      <c r="Z427" s="92">
        <f>IFERROR(VLOOKUP($A427,'13. Mapa Títulos-Receita'!$A$8:$P$1000,11,FALSE),"")</f>
        <v/>
      </c>
      <c r="AA427" s="92">
        <f>IFERROR(VLOOKUP($A427,'13. Mapa Títulos-Receita'!$A$8:$P$1000,12,FALSE),"")</f>
        <v/>
      </c>
      <c r="AB427" s="92">
        <f>IFERROR(VLOOKUP($A427,'13. Mapa Títulos-Receita'!$A$8:$P$1000,13,FALSE),"")</f>
        <v/>
      </c>
      <c r="AC427" s="92">
        <f>IFERROR(VLOOKUP($A427,'13. Mapa Títulos-Receita'!$A$8:$P$1000,14,FALSE),"")</f>
        <v/>
      </c>
      <c r="AD427" s="92">
        <f>IFERROR(VLOOKUP($A427,'13. Mapa Títulos-Receita'!$A$8:$P$1000,15,FALSE),"")</f>
        <v/>
      </c>
      <c r="AE427" s="92">
        <f>IFERROR(VLOOKUP($A427,'13. Mapa Títulos-Receita'!$A$8:$P$1000,16,FALSE),"")</f>
        <v/>
      </c>
    </row>
    <row r="428">
      <c r="A428" s="28">
        <f>IF(C428="","", "CR-"&amp;TEXT(ROW()-7,"000"))</f>
        <v/>
      </c>
      <c r="B428" s="28" t="n"/>
      <c r="C428" s="28" t="n"/>
      <c r="D428" s="111" t="n"/>
      <c r="E428" s="111" t="n"/>
      <c r="F428" s="111" t="n"/>
      <c r="G428" s="28" t="n"/>
      <c r="H428" s="45" t="n"/>
      <c r="I428" s="45" t="n"/>
      <c r="J428" s="28">
        <f>IF(H428="","",IF(I428&gt;=H428,"Recebido",IF($B$4&gt;E428,"Vencido","Aberto")))</f>
        <v/>
      </c>
      <c r="K428" s="4">
        <f>IF(J428="","",IF(OR(J428="Recebido",F428=""),MAX(0,F428-E428),MAX(0,$B$4-E428)))</f>
        <v/>
      </c>
      <c r="L428" s="4">
        <f>IF(K428="","",IF(K428=0,"Em dia",IF(K428&lt;=30,"1-30 dias",IF(K428&lt;=60,"31-60 dias",IF(K428&lt;=90,"61-90 dias","&gt;90 dias")))))</f>
        <v/>
      </c>
      <c r="M428" s="28" t="n"/>
      <c r="N428" s="104" t="inlineStr"/>
      <c r="O428" s="64" t="n"/>
      <c r="P428" s="64">
        <f>IF(C428="","",IF(ISNUMBER(SEARCH("PCMSO",C428)),"PCMSO",IF(OR(ISNUMBER(SEARCH("E-SOCIAL",C428)),ISNUMBER(SEARCH("PSICOSOCIAL",C428))),"eSocial / Psicossocial",IF(O428="Receita recorrente","Carteira recorrente","Projetos / Laudos / Avulsos"))))</f>
        <v/>
      </c>
      <c r="Q428" s="64">
        <f>IF(P428="","",IF(P428="Carteira recorrente","Operação recorrente",IF(P428="PCMSO","Projetos PCMSO",IF(P428="eSocial / Psicossocial","Projetos eSocial/Psicossocial","Projetos / Laudos / Avulsos"))))</f>
        <v/>
      </c>
      <c r="R428" s="64">
        <f>IF(C428="","",IF(ISNUMBER(SEARCH("PCMSO",C428)),"Título com PCMSO no nome",IF(OR(ISNUMBER(SEARCH("E-SOCIAL",C428)),ISNUMBER(SEARCH("PSICOSOCIAL",C428))),"Título com eSocial/Psicossocial no nome",IF(O428="Receita recorrente","Tipo DRE recorrente","Extra sem palavra-chave específica"))))</f>
        <v/>
      </c>
      <c r="S428" s="92">
        <f>IFERROR(VLOOKUP($A428,'13. Mapa Títulos-Receita'!$A$8:$P$1000,4,FALSE),"")</f>
        <v/>
      </c>
      <c r="T428" s="92">
        <f>IFERROR(VLOOKUP($A428,'13. Mapa Títulos-Receita'!$A$8:$P$1000,5,FALSE),"")</f>
        <v/>
      </c>
      <c r="U428" s="92">
        <f>IFERROR(VLOOKUP($A428,'13. Mapa Títulos-Receita'!$A$8:$P$1000,6,FALSE),"")</f>
        <v/>
      </c>
      <c r="V428" s="92">
        <f>IFERROR(VLOOKUP($A428,'13. Mapa Títulos-Receita'!$A$8:$P$1000,7,FALSE),"")</f>
        <v/>
      </c>
      <c r="W428" s="92">
        <f>IFERROR(VLOOKUP($A428,'13. Mapa Títulos-Receita'!$A$8:$P$1000,8,FALSE),"")</f>
        <v/>
      </c>
      <c r="X428" s="92">
        <f>IFERROR(VLOOKUP($A428,'13. Mapa Títulos-Receita'!$A$8:$P$1000,9,FALSE),"")</f>
        <v/>
      </c>
      <c r="Y428" s="92">
        <f>IFERROR(VLOOKUP($A428,'13. Mapa Títulos-Receita'!$A$8:$P$1000,10,FALSE),"")</f>
        <v/>
      </c>
      <c r="Z428" s="92">
        <f>IFERROR(VLOOKUP($A428,'13. Mapa Títulos-Receita'!$A$8:$P$1000,11,FALSE),"")</f>
        <v/>
      </c>
      <c r="AA428" s="92">
        <f>IFERROR(VLOOKUP($A428,'13. Mapa Títulos-Receita'!$A$8:$P$1000,12,FALSE),"")</f>
        <v/>
      </c>
      <c r="AB428" s="92">
        <f>IFERROR(VLOOKUP($A428,'13. Mapa Títulos-Receita'!$A$8:$P$1000,13,FALSE),"")</f>
        <v/>
      </c>
      <c r="AC428" s="92">
        <f>IFERROR(VLOOKUP($A428,'13. Mapa Títulos-Receita'!$A$8:$P$1000,14,FALSE),"")</f>
        <v/>
      </c>
      <c r="AD428" s="92">
        <f>IFERROR(VLOOKUP($A428,'13. Mapa Títulos-Receita'!$A$8:$P$1000,15,FALSE),"")</f>
        <v/>
      </c>
      <c r="AE428" s="92">
        <f>IFERROR(VLOOKUP($A428,'13. Mapa Títulos-Receita'!$A$8:$P$1000,16,FALSE),"")</f>
        <v/>
      </c>
    </row>
    <row r="429">
      <c r="A429" s="28">
        <f>IF(C429="","", "CR-"&amp;TEXT(ROW()-7,"000"))</f>
        <v/>
      </c>
      <c r="B429" s="28" t="n"/>
      <c r="C429" s="28" t="n"/>
      <c r="D429" s="111" t="n"/>
      <c r="E429" s="111" t="n"/>
      <c r="F429" s="111" t="n"/>
      <c r="G429" s="28" t="n"/>
      <c r="H429" s="45" t="n"/>
      <c r="I429" s="45" t="n"/>
      <c r="J429" s="28">
        <f>IF(H429="","",IF(I429&gt;=H429,"Recebido",IF($B$4&gt;E429,"Vencido","Aberto")))</f>
        <v/>
      </c>
      <c r="K429" s="4">
        <f>IF(J429="","",IF(OR(J429="Recebido",F429=""),MAX(0,F429-E429),MAX(0,$B$4-E429)))</f>
        <v/>
      </c>
      <c r="L429" s="4">
        <f>IF(K429="","",IF(K429=0,"Em dia",IF(K429&lt;=30,"1-30 dias",IF(K429&lt;=60,"31-60 dias",IF(K429&lt;=90,"61-90 dias","&gt;90 dias")))))</f>
        <v/>
      </c>
      <c r="M429" s="28" t="n"/>
      <c r="N429" s="104" t="inlineStr"/>
      <c r="O429" s="64" t="n"/>
      <c r="P429" s="64">
        <f>IF(C429="","",IF(ISNUMBER(SEARCH("PCMSO",C429)),"PCMSO",IF(OR(ISNUMBER(SEARCH("E-SOCIAL",C429)),ISNUMBER(SEARCH("PSICOSOCIAL",C429))),"eSocial / Psicossocial",IF(O429="Receita recorrente","Carteira recorrente","Projetos / Laudos / Avulsos"))))</f>
        <v/>
      </c>
      <c r="Q429" s="64">
        <f>IF(P429="","",IF(P429="Carteira recorrente","Operação recorrente",IF(P429="PCMSO","Projetos PCMSO",IF(P429="eSocial / Psicossocial","Projetos eSocial/Psicossocial","Projetos / Laudos / Avulsos"))))</f>
        <v/>
      </c>
      <c r="R429" s="64">
        <f>IF(C429="","",IF(ISNUMBER(SEARCH("PCMSO",C429)),"Título com PCMSO no nome",IF(OR(ISNUMBER(SEARCH("E-SOCIAL",C429)),ISNUMBER(SEARCH("PSICOSOCIAL",C429))),"Título com eSocial/Psicossocial no nome",IF(O429="Receita recorrente","Tipo DRE recorrente","Extra sem palavra-chave específica"))))</f>
        <v/>
      </c>
      <c r="S429" s="92">
        <f>IFERROR(VLOOKUP($A429,'13. Mapa Títulos-Receita'!$A$8:$P$1000,4,FALSE),"")</f>
        <v/>
      </c>
      <c r="T429" s="92">
        <f>IFERROR(VLOOKUP($A429,'13. Mapa Títulos-Receita'!$A$8:$P$1000,5,FALSE),"")</f>
        <v/>
      </c>
      <c r="U429" s="92">
        <f>IFERROR(VLOOKUP($A429,'13. Mapa Títulos-Receita'!$A$8:$P$1000,6,FALSE),"")</f>
        <v/>
      </c>
      <c r="V429" s="92">
        <f>IFERROR(VLOOKUP($A429,'13. Mapa Títulos-Receita'!$A$8:$P$1000,7,FALSE),"")</f>
        <v/>
      </c>
      <c r="W429" s="92">
        <f>IFERROR(VLOOKUP($A429,'13. Mapa Títulos-Receita'!$A$8:$P$1000,8,FALSE),"")</f>
        <v/>
      </c>
      <c r="X429" s="92">
        <f>IFERROR(VLOOKUP($A429,'13. Mapa Títulos-Receita'!$A$8:$P$1000,9,FALSE),"")</f>
        <v/>
      </c>
      <c r="Y429" s="92">
        <f>IFERROR(VLOOKUP($A429,'13. Mapa Títulos-Receita'!$A$8:$P$1000,10,FALSE),"")</f>
        <v/>
      </c>
      <c r="Z429" s="92">
        <f>IFERROR(VLOOKUP($A429,'13. Mapa Títulos-Receita'!$A$8:$P$1000,11,FALSE),"")</f>
        <v/>
      </c>
      <c r="AA429" s="92">
        <f>IFERROR(VLOOKUP($A429,'13. Mapa Títulos-Receita'!$A$8:$P$1000,12,FALSE),"")</f>
        <v/>
      </c>
      <c r="AB429" s="92">
        <f>IFERROR(VLOOKUP($A429,'13. Mapa Títulos-Receita'!$A$8:$P$1000,13,FALSE),"")</f>
        <v/>
      </c>
      <c r="AC429" s="92">
        <f>IFERROR(VLOOKUP($A429,'13. Mapa Títulos-Receita'!$A$8:$P$1000,14,FALSE),"")</f>
        <v/>
      </c>
      <c r="AD429" s="92">
        <f>IFERROR(VLOOKUP($A429,'13. Mapa Títulos-Receita'!$A$8:$P$1000,15,FALSE),"")</f>
        <v/>
      </c>
      <c r="AE429" s="92">
        <f>IFERROR(VLOOKUP($A429,'13. Mapa Títulos-Receita'!$A$8:$P$1000,16,FALSE),"")</f>
        <v/>
      </c>
    </row>
    <row r="430">
      <c r="A430" s="28">
        <f>IF(C430="","", "CR-"&amp;TEXT(ROW()-7,"000"))</f>
        <v/>
      </c>
      <c r="B430" s="28" t="n"/>
      <c r="C430" s="28" t="n"/>
      <c r="D430" s="111" t="n"/>
      <c r="E430" s="111" t="n"/>
      <c r="F430" s="111" t="n"/>
      <c r="G430" s="28" t="n"/>
      <c r="H430" s="45" t="n"/>
      <c r="I430" s="45" t="n"/>
      <c r="J430" s="28">
        <f>IF(H430="","",IF(I430&gt;=H430,"Recebido",IF($B$4&gt;E430,"Vencido","Aberto")))</f>
        <v/>
      </c>
      <c r="K430" s="4">
        <f>IF(J430="","",IF(OR(J430="Recebido",F430=""),MAX(0,F430-E430),MAX(0,$B$4-E430)))</f>
        <v/>
      </c>
      <c r="L430" s="4">
        <f>IF(K430="","",IF(K430=0,"Em dia",IF(K430&lt;=30,"1-30 dias",IF(K430&lt;=60,"31-60 dias",IF(K430&lt;=90,"61-90 dias","&gt;90 dias")))))</f>
        <v/>
      </c>
      <c r="M430" s="28" t="n"/>
      <c r="N430" s="104" t="inlineStr"/>
      <c r="O430" s="64" t="n"/>
      <c r="P430" s="64">
        <f>IF(C430="","",IF(ISNUMBER(SEARCH("PCMSO",C430)),"PCMSO",IF(OR(ISNUMBER(SEARCH("E-SOCIAL",C430)),ISNUMBER(SEARCH("PSICOSOCIAL",C430))),"eSocial / Psicossocial",IF(O430="Receita recorrente","Carteira recorrente","Projetos / Laudos / Avulsos"))))</f>
        <v/>
      </c>
      <c r="Q430" s="64">
        <f>IF(P430="","",IF(P430="Carteira recorrente","Operação recorrente",IF(P430="PCMSO","Projetos PCMSO",IF(P430="eSocial / Psicossocial","Projetos eSocial/Psicossocial","Projetos / Laudos / Avulsos"))))</f>
        <v/>
      </c>
      <c r="R430" s="64">
        <f>IF(C430="","",IF(ISNUMBER(SEARCH("PCMSO",C430)),"Título com PCMSO no nome",IF(OR(ISNUMBER(SEARCH("E-SOCIAL",C430)),ISNUMBER(SEARCH("PSICOSOCIAL",C430))),"Título com eSocial/Psicossocial no nome",IF(O430="Receita recorrente","Tipo DRE recorrente","Extra sem palavra-chave específica"))))</f>
        <v/>
      </c>
      <c r="S430" s="92">
        <f>IFERROR(VLOOKUP($A430,'13. Mapa Títulos-Receita'!$A$8:$P$1000,4,FALSE),"")</f>
        <v/>
      </c>
      <c r="T430" s="92">
        <f>IFERROR(VLOOKUP($A430,'13. Mapa Títulos-Receita'!$A$8:$P$1000,5,FALSE),"")</f>
        <v/>
      </c>
      <c r="U430" s="92">
        <f>IFERROR(VLOOKUP($A430,'13. Mapa Títulos-Receita'!$A$8:$P$1000,6,FALSE),"")</f>
        <v/>
      </c>
      <c r="V430" s="92">
        <f>IFERROR(VLOOKUP($A430,'13. Mapa Títulos-Receita'!$A$8:$P$1000,7,FALSE),"")</f>
        <v/>
      </c>
      <c r="W430" s="92">
        <f>IFERROR(VLOOKUP($A430,'13. Mapa Títulos-Receita'!$A$8:$P$1000,8,FALSE),"")</f>
        <v/>
      </c>
      <c r="X430" s="92">
        <f>IFERROR(VLOOKUP($A430,'13. Mapa Títulos-Receita'!$A$8:$P$1000,9,FALSE),"")</f>
        <v/>
      </c>
      <c r="Y430" s="92">
        <f>IFERROR(VLOOKUP($A430,'13. Mapa Títulos-Receita'!$A$8:$P$1000,10,FALSE),"")</f>
        <v/>
      </c>
      <c r="Z430" s="92">
        <f>IFERROR(VLOOKUP($A430,'13. Mapa Títulos-Receita'!$A$8:$P$1000,11,FALSE),"")</f>
        <v/>
      </c>
      <c r="AA430" s="92">
        <f>IFERROR(VLOOKUP($A430,'13. Mapa Títulos-Receita'!$A$8:$P$1000,12,FALSE),"")</f>
        <v/>
      </c>
      <c r="AB430" s="92">
        <f>IFERROR(VLOOKUP($A430,'13. Mapa Títulos-Receita'!$A$8:$P$1000,13,FALSE),"")</f>
        <v/>
      </c>
      <c r="AC430" s="92">
        <f>IFERROR(VLOOKUP($A430,'13. Mapa Títulos-Receita'!$A$8:$P$1000,14,FALSE),"")</f>
        <v/>
      </c>
      <c r="AD430" s="92">
        <f>IFERROR(VLOOKUP($A430,'13. Mapa Títulos-Receita'!$A$8:$P$1000,15,FALSE),"")</f>
        <v/>
      </c>
      <c r="AE430" s="92">
        <f>IFERROR(VLOOKUP($A430,'13. Mapa Títulos-Receita'!$A$8:$P$1000,16,FALSE),"")</f>
        <v/>
      </c>
    </row>
    <row r="431">
      <c r="A431" s="28">
        <f>IF(C431="","", "CR-"&amp;TEXT(ROW()-7,"000"))</f>
        <v/>
      </c>
      <c r="B431" s="28" t="n"/>
      <c r="C431" s="28" t="n"/>
      <c r="D431" s="111" t="n"/>
      <c r="E431" s="111" t="n"/>
      <c r="F431" s="111" t="n"/>
      <c r="G431" s="28" t="n"/>
      <c r="H431" s="45" t="n"/>
      <c r="I431" s="45" t="n"/>
      <c r="J431" s="28">
        <f>IF(H431="","",IF(I431&gt;=H431,"Recebido",IF($B$4&gt;E431,"Vencido","Aberto")))</f>
        <v/>
      </c>
      <c r="K431" s="4">
        <f>IF(J431="","",IF(OR(J431="Recebido",F431=""),MAX(0,F431-E431),MAX(0,$B$4-E431)))</f>
        <v/>
      </c>
      <c r="L431" s="4">
        <f>IF(K431="","",IF(K431=0,"Em dia",IF(K431&lt;=30,"1-30 dias",IF(K431&lt;=60,"31-60 dias",IF(K431&lt;=90,"61-90 dias","&gt;90 dias")))))</f>
        <v/>
      </c>
      <c r="M431" s="28" t="n"/>
      <c r="N431" s="104" t="inlineStr"/>
      <c r="O431" s="64" t="n"/>
      <c r="P431" s="64">
        <f>IF(C431="","",IF(ISNUMBER(SEARCH("PCMSO",C431)),"PCMSO",IF(OR(ISNUMBER(SEARCH("E-SOCIAL",C431)),ISNUMBER(SEARCH("PSICOSOCIAL",C431))),"eSocial / Psicossocial",IF(O431="Receita recorrente","Carteira recorrente","Projetos / Laudos / Avulsos"))))</f>
        <v/>
      </c>
      <c r="Q431" s="64">
        <f>IF(P431="","",IF(P431="Carteira recorrente","Operação recorrente",IF(P431="PCMSO","Projetos PCMSO",IF(P431="eSocial / Psicossocial","Projetos eSocial/Psicossocial","Projetos / Laudos / Avulsos"))))</f>
        <v/>
      </c>
      <c r="R431" s="64">
        <f>IF(C431="","",IF(ISNUMBER(SEARCH("PCMSO",C431)),"Título com PCMSO no nome",IF(OR(ISNUMBER(SEARCH("E-SOCIAL",C431)),ISNUMBER(SEARCH("PSICOSOCIAL",C431))),"Título com eSocial/Psicossocial no nome",IF(O431="Receita recorrente","Tipo DRE recorrente","Extra sem palavra-chave específica"))))</f>
        <v/>
      </c>
      <c r="S431" s="92">
        <f>IFERROR(VLOOKUP($A431,'13. Mapa Títulos-Receita'!$A$8:$P$1000,4,FALSE),"")</f>
        <v/>
      </c>
      <c r="T431" s="92">
        <f>IFERROR(VLOOKUP($A431,'13. Mapa Títulos-Receita'!$A$8:$P$1000,5,FALSE),"")</f>
        <v/>
      </c>
      <c r="U431" s="92">
        <f>IFERROR(VLOOKUP($A431,'13. Mapa Títulos-Receita'!$A$8:$P$1000,6,FALSE),"")</f>
        <v/>
      </c>
      <c r="V431" s="92">
        <f>IFERROR(VLOOKUP($A431,'13. Mapa Títulos-Receita'!$A$8:$P$1000,7,FALSE),"")</f>
        <v/>
      </c>
      <c r="W431" s="92">
        <f>IFERROR(VLOOKUP($A431,'13. Mapa Títulos-Receita'!$A$8:$P$1000,8,FALSE),"")</f>
        <v/>
      </c>
      <c r="X431" s="92">
        <f>IFERROR(VLOOKUP($A431,'13. Mapa Títulos-Receita'!$A$8:$P$1000,9,FALSE),"")</f>
        <v/>
      </c>
      <c r="Y431" s="92">
        <f>IFERROR(VLOOKUP($A431,'13. Mapa Títulos-Receita'!$A$8:$P$1000,10,FALSE),"")</f>
        <v/>
      </c>
      <c r="Z431" s="92">
        <f>IFERROR(VLOOKUP($A431,'13. Mapa Títulos-Receita'!$A$8:$P$1000,11,FALSE),"")</f>
        <v/>
      </c>
      <c r="AA431" s="92">
        <f>IFERROR(VLOOKUP($A431,'13. Mapa Títulos-Receita'!$A$8:$P$1000,12,FALSE),"")</f>
        <v/>
      </c>
      <c r="AB431" s="92">
        <f>IFERROR(VLOOKUP($A431,'13. Mapa Títulos-Receita'!$A$8:$P$1000,13,FALSE),"")</f>
        <v/>
      </c>
      <c r="AC431" s="92">
        <f>IFERROR(VLOOKUP($A431,'13. Mapa Títulos-Receita'!$A$8:$P$1000,14,FALSE),"")</f>
        <v/>
      </c>
      <c r="AD431" s="92">
        <f>IFERROR(VLOOKUP($A431,'13. Mapa Títulos-Receita'!$A$8:$P$1000,15,FALSE),"")</f>
        <v/>
      </c>
      <c r="AE431" s="92">
        <f>IFERROR(VLOOKUP($A431,'13. Mapa Títulos-Receita'!$A$8:$P$1000,16,FALSE),"")</f>
        <v/>
      </c>
    </row>
    <row r="432">
      <c r="A432" s="28">
        <f>IF(C432="","", "CR-"&amp;TEXT(ROW()-7,"000"))</f>
        <v/>
      </c>
      <c r="B432" s="28" t="n"/>
      <c r="C432" s="28" t="n"/>
      <c r="D432" s="111" t="n"/>
      <c r="E432" s="111" t="n"/>
      <c r="F432" s="111" t="n"/>
      <c r="G432" s="28" t="n"/>
      <c r="H432" s="45" t="n"/>
      <c r="I432" s="45" t="n"/>
      <c r="J432" s="28">
        <f>IF(H432="","",IF(I432&gt;=H432,"Recebido",IF($B$4&gt;E432,"Vencido","Aberto")))</f>
        <v/>
      </c>
      <c r="K432" s="4">
        <f>IF(J432="","",IF(OR(J432="Recebido",F432=""),MAX(0,F432-E432),MAX(0,$B$4-E432)))</f>
        <v/>
      </c>
      <c r="L432" s="4">
        <f>IF(K432="","",IF(K432=0,"Em dia",IF(K432&lt;=30,"1-30 dias",IF(K432&lt;=60,"31-60 dias",IF(K432&lt;=90,"61-90 dias","&gt;90 dias")))))</f>
        <v/>
      </c>
      <c r="M432" s="28" t="n"/>
      <c r="N432" s="104" t="inlineStr"/>
      <c r="O432" s="64" t="n"/>
      <c r="P432" s="64">
        <f>IF(C432="","",IF(ISNUMBER(SEARCH("PCMSO",C432)),"PCMSO",IF(OR(ISNUMBER(SEARCH("E-SOCIAL",C432)),ISNUMBER(SEARCH("PSICOSOCIAL",C432))),"eSocial / Psicossocial",IF(O432="Receita recorrente","Carteira recorrente","Projetos / Laudos / Avulsos"))))</f>
        <v/>
      </c>
      <c r="Q432" s="64">
        <f>IF(P432="","",IF(P432="Carteira recorrente","Operação recorrente",IF(P432="PCMSO","Projetos PCMSO",IF(P432="eSocial / Psicossocial","Projetos eSocial/Psicossocial","Projetos / Laudos / Avulsos"))))</f>
        <v/>
      </c>
      <c r="R432" s="64">
        <f>IF(C432="","",IF(ISNUMBER(SEARCH("PCMSO",C432)),"Título com PCMSO no nome",IF(OR(ISNUMBER(SEARCH("E-SOCIAL",C432)),ISNUMBER(SEARCH("PSICOSOCIAL",C432))),"Título com eSocial/Psicossocial no nome",IF(O432="Receita recorrente","Tipo DRE recorrente","Extra sem palavra-chave específica"))))</f>
        <v/>
      </c>
      <c r="S432" s="92">
        <f>IFERROR(VLOOKUP($A432,'13. Mapa Títulos-Receita'!$A$8:$P$1000,4,FALSE),"")</f>
        <v/>
      </c>
      <c r="T432" s="92">
        <f>IFERROR(VLOOKUP($A432,'13. Mapa Títulos-Receita'!$A$8:$P$1000,5,FALSE),"")</f>
        <v/>
      </c>
      <c r="U432" s="92">
        <f>IFERROR(VLOOKUP($A432,'13. Mapa Títulos-Receita'!$A$8:$P$1000,6,FALSE),"")</f>
        <v/>
      </c>
      <c r="V432" s="92">
        <f>IFERROR(VLOOKUP($A432,'13. Mapa Títulos-Receita'!$A$8:$P$1000,7,FALSE),"")</f>
        <v/>
      </c>
      <c r="W432" s="92">
        <f>IFERROR(VLOOKUP($A432,'13. Mapa Títulos-Receita'!$A$8:$P$1000,8,FALSE),"")</f>
        <v/>
      </c>
      <c r="X432" s="92">
        <f>IFERROR(VLOOKUP($A432,'13. Mapa Títulos-Receita'!$A$8:$P$1000,9,FALSE),"")</f>
        <v/>
      </c>
      <c r="Y432" s="92">
        <f>IFERROR(VLOOKUP($A432,'13. Mapa Títulos-Receita'!$A$8:$P$1000,10,FALSE),"")</f>
        <v/>
      </c>
      <c r="Z432" s="92">
        <f>IFERROR(VLOOKUP($A432,'13. Mapa Títulos-Receita'!$A$8:$P$1000,11,FALSE),"")</f>
        <v/>
      </c>
      <c r="AA432" s="92">
        <f>IFERROR(VLOOKUP($A432,'13. Mapa Títulos-Receita'!$A$8:$P$1000,12,FALSE),"")</f>
        <v/>
      </c>
      <c r="AB432" s="92">
        <f>IFERROR(VLOOKUP($A432,'13. Mapa Títulos-Receita'!$A$8:$P$1000,13,FALSE),"")</f>
        <v/>
      </c>
      <c r="AC432" s="92">
        <f>IFERROR(VLOOKUP($A432,'13. Mapa Títulos-Receita'!$A$8:$P$1000,14,FALSE),"")</f>
        <v/>
      </c>
      <c r="AD432" s="92">
        <f>IFERROR(VLOOKUP($A432,'13. Mapa Títulos-Receita'!$A$8:$P$1000,15,FALSE),"")</f>
        <v/>
      </c>
      <c r="AE432" s="92">
        <f>IFERROR(VLOOKUP($A432,'13. Mapa Títulos-Receita'!$A$8:$P$1000,16,FALSE),"")</f>
        <v/>
      </c>
    </row>
    <row r="433">
      <c r="A433" s="28">
        <f>IF(C433="","", "CR-"&amp;TEXT(ROW()-7,"000"))</f>
        <v/>
      </c>
      <c r="B433" s="28" t="n"/>
      <c r="C433" s="28" t="n"/>
      <c r="D433" s="111" t="n"/>
      <c r="E433" s="111" t="n"/>
      <c r="F433" s="111" t="n"/>
      <c r="G433" s="28" t="n"/>
      <c r="H433" s="45" t="n"/>
      <c r="I433" s="45" t="n"/>
      <c r="J433" s="28">
        <f>IF(H433="","",IF(I433&gt;=H433,"Recebido",IF($B$4&gt;E433,"Vencido","Aberto")))</f>
        <v/>
      </c>
      <c r="K433" s="4">
        <f>IF(J433="","",IF(OR(J433="Recebido",F433=""),MAX(0,F433-E433),MAX(0,$B$4-E433)))</f>
        <v/>
      </c>
      <c r="L433" s="4">
        <f>IF(K433="","",IF(K433=0,"Em dia",IF(K433&lt;=30,"1-30 dias",IF(K433&lt;=60,"31-60 dias",IF(K433&lt;=90,"61-90 dias","&gt;90 dias")))))</f>
        <v/>
      </c>
      <c r="M433" s="28" t="n"/>
      <c r="N433" s="104" t="inlineStr"/>
      <c r="O433" s="64" t="n"/>
      <c r="P433" s="64">
        <f>IF(C433="","",IF(ISNUMBER(SEARCH("PCMSO",C433)),"PCMSO",IF(OR(ISNUMBER(SEARCH("E-SOCIAL",C433)),ISNUMBER(SEARCH("PSICOSOCIAL",C433))),"eSocial / Psicossocial",IF(O433="Receita recorrente","Carteira recorrente","Projetos / Laudos / Avulsos"))))</f>
        <v/>
      </c>
      <c r="Q433" s="64">
        <f>IF(P433="","",IF(P433="Carteira recorrente","Operação recorrente",IF(P433="PCMSO","Projetos PCMSO",IF(P433="eSocial / Psicossocial","Projetos eSocial/Psicossocial","Projetos / Laudos / Avulsos"))))</f>
        <v/>
      </c>
      <c r="R433" s="64">
        <f>IF(C433="","",IF(ISNUMBER(SEARCH("PCMSO",C433)),"Título com PCMSO no nome",IF(OR(ISNUMBER(SEARCH("E-SOCIAL",C433)),ISNUMBER(SEARCH("PSICOSOCIAL",C433))),"Título com eSocial/Psicossocial no nome",IF(O433="Receita recorrente","Tipo DRE recorrente","Extra sem palavra-chave específica"))))</f>
        <v/>
      </c>
      <c r="S433" s="92">
        <f>IFERROR(VLOOKUP($A433,'13. Mapa Títulos-Receita'!$A$8:$P$1000,4,FALSE),"")</f>
        <v/>
      </c>
      <c r="T433" s="92">
        <f>IFERROR(VLOOKUP($A433,'13. Mapa Títulos-Receita'!$A$8:$P$1000,5,FALSE),"")</f>
        <v/>
      </c>
      <c r="U433" s="92">
        <f>IFERROR(VLOOKUP($A433,'13. Mapa Títulos-Receita'!$A$8:$P$1000,6,FALSE),"")</f>
        <v/>
      </c>
      <c r="V433" s="92">
        <f>IFERROR(VLOOKUP($A433,'13. Mapa Títulos-Receita'!$A$8:$P$1000,7,FALSE),"")</f>
        <v/>
      </c>
      <c r="W433" s="92">
        <f>IFERROR(VLOOKUP($A433,'13. Mapa Títulos-Receita'!$A$8:$P$1000,8,FALSE),"")</f>
        <v/>
      </c>
      <c r="X433" s="92">
        <f>IFERROR(VLOOKUP($A433,'13. Mapa Títulos-Receita'!$A$8:$P$1000,9,FALSE),"")</f>
        <v/>
      </c>
      <c r="Y433" s="92">
        <f>IFERROR(VLOOKUP($A433,'13. Mapa Títulos-Receita'!$A$8:$P$1000,10,FALSE),"")</f>
        <v/>
      </c>
      <c r="Z433" s="92">
        <f>IFERROR(VLOOKUP($A433,'13. Mapa Títulos-Receita'!$A$8:$P$1000,11,FALSE),"")</f>
        <v/>
      </c>
      <c r="AA433" s="92">
        <f>IFERROR(VLOOKUP($A433,'13. Mapa Títulos-Receita'!$A$8:$P$1000,12,FALSE),"")</f>
        <v/>
      </c>
      <c r="AB433" s="92">
        <f>IFERROR(VLOOKUP($A433,'13. Mapa Títulos-Receita'!$A$8:$P$1000,13,FALSE),"")</f>
        <v/>
      </c>
      <c r="AC433" s="92">
        <f>IFERROR(VLOOKUP($A433,'13. Mapa Títulos-Receita'!$A$8:$P$1000,14,FALSE),"")</f>
        <v/>
      </c>
      <c r="AD433" s="92">
        <f>IFERROR(VLOOKUP($A433,'13. Mapa Títulos-Receita'!$A$8:$P$1000,15,FALSE),"")</f>
        <v/>
      </c>
      <c r="AE433" s="92">
        <f>IFERROR(VLOOKUP($A433,'13. Mapa Títulos-Receita'!$A$8:$P$1000,16,FALSE),"")</f>
        <v/>
      </c>
    </row>
    <row r="434">
      <c r="A434" s="28">
        <f>IF(C434="","", "CR-"&amp;TEXT(ROW()-7,"000"))</f>
        <v/>
      </c>
      <c r="B434" s="28" t="n"/>
      <c r="C434" s="28" t="n"/>
      <c r="D434" s="111" t="n"/>
      <c r="E434" s="111" t="n"/>
      <c r="F434" s="111" t="n"/>
      <c r="G434" s="28" t="n"/>
      <c r="H434" s="45" t="n"/>
      <c r="I434" s="45" t="n"/>
      <c r="J434" s="28">
        <f>IF(H434="","",IF(I434&gt;=H434,"Recebido",IF($B$4&gt;E434,"Vencido","Aberto")))</f>
        <v/>
      </c>
      <c r="K434" s="4">
        <f>IF(J434="","",IF(OR(J434="Recebido",F434=""),MAX(0,F434-E434),MAX(0,$B$4-E434)))</f>
        <v/>
      </c>
      <c r="L434" s="4">
        <f>IF(K434="","",IF(K434=0,"Em dia",IF(K434&lt;=30,"1-30 dias",IF(K434&lt;=60,"31-60 dias",IF(K434&lt;=90,"61-90 dias","&gt;90 dias")))))</f>
        <v/>
      </c>
      <c r="M434" s="28" t="n"/>
      <c r="N434" s="104" t="inlineStr"/>
      <c r="O434" s="64" t="n"/>
      <c r="P434" s="64">
        <f>IF(C434="","",IF(ISNUMBER(SEARCH("PCMSO",C434)),"PCMSO",IF(OR(ISNUMBER(SEARCH("E-SOCIAL",C434)),ISNUMBER(SEARCH("PSICOSOCIAL",C434))),"eSocial / Psicossocial",IF(O434="Receita recorrente","Carteira recorrente","Projetos / Laudos / Avulsos"))))</f>
        <v/>
      </c>
      <c r="Q434" s="64">
        <f>IF(P434="","",IF(P434="Carteira recorrente","Operação recorrente",IF(P434="PCMSO","Projetos PCMSO",IF(P434="eSocial / Psicossocial","Projetos eSocial/Psicossocial","Projetos / Laudos / Avulsos"))))</f>
        <v/>
      </c>
      <c r="R434" s="64">
        <f>IF(C434="","",IF(ISNUMBER(SEARCH("PCMSO",C434)),"Título com PCMSO no nome",IF(OR(ISNUMBER(SEARCH("E-SOCIAL",C434)),ISNUMBER(SEARCH("PSICOSOCIAL",C434))),"Título com eSocial/Psicossocial no nome",IF(O434="Receita recorrente","Tipo DRE recorrente","Extra sem palavra-chave específica"))))</f>
        <v/>
      </c>
      <c r="S434" s="92">
        <f>IFERROR(VLOOKUP($A434,'13. Mapa Títulos-Receita'!$A$8:$P$1000,4,FALSE),"")</f>
        <v/>
      </c>
      <c r="T434" s="92">
        <f>IFERROR(VLOOKUP($A434,'13. Mapa Títulos-Receita'!$A$8:$P$1000,5,FALSE),"")</f>
        <v/>
      </c>
      <c r="U434" s="92">
        <f>IFERROR(VLOOKUP($A434,'13. Mapa Títulos-Receita'!$A$8:$P$1000,6,FALSE),"")</f>
        <v/>
      </c>
      <c r="V434" s="92">
        <f>IFERROR(VLOOKUP($A434,'13. Mapa Títulos-Receita'!$A$8:$P$1000,7,FALSE),"")</f>
        <v/>
      </c>
      <c r="W434" s="92">
        <f>IFERROR(VLOOKUP($A434,'13. Mapa Títulos-Receita'!$A$8:$P$1000,8,FALSE),"")</f>
        <v/>
      </c>
      <c r="X434" s="92">
        <f>IFERROR(VLOOKUP($A434,'13. Mapa Títulos-Receita'!$A$8:$P$1000,9,FALSE),"")</f>
        <v/>
      </c>
      <c r="Y434" s="92">
        <f>IFERROR(VLOOKUP($A434,'13. Mapa Títulos-Receita'!$A$8:$P$1000,10,FALSE),"")</f>
        <v/>
      </c>
      <c r="Z434" s="92">
        <f>IFERROR(VLOOKUP($A434,'13. Mapa Títulos-Receita'!$A$8:$P$1000,11,FALSE),"")</f>
        <v/>
      </c>
      <c r="AA434" s="92">
        <f>IFERROR(VLOOKUP($A434,'13. Mapa Títulos-Receita'!$A$8:$P$1000,12,FALSE),"")</f>
        <v/>
      </c>
      <c r="AB434" s="92">
        <f>IFERROR(VLOOKUP($A434,'13. Mapa Títulos-Receita'!$A$8:$P$1000,13,FALSE),"")</f>
        <v/>
      </c>
      <c r="AC434" s="92">
        <f>IFERROR(VLOOKUP($A434,'13. Mapa Títulos-Receita'!$A$8:$P$1000,14,FALSE),"")</f>
        <v/>
      </c>
      <c r="AD434" s="92">
        <f>IFERROR(VLOOKUP($A434,'13. Mapa Títulos-Receita'!$A$8:$P$1000,15,FALSE),"")</f>
        <v/>
      </c>
      <c r="AE434" s="92">
        <f>IFERROR(VLOOKUP($A434,'13. Mapa Títulos-Receita'!$A$8:$P$1000,16,FALSE),"")</f>
        <v/>
      </c>
    </row>
    <row r="435">
      <c r="A435" s="28">
        <f>IF(C435="","", "CR-"&amp;TEXT(ROW()-7,"000"))</f>
        <v/>
      </c>
      <c r="B435" s="28" t="n"/>
      <c r="C435" s="28" t="n"/>
      <c r="D435" s="111" t="n"/>
      <c r="E435" s="111" t="n"/>
      <c r="F435" s="111" t="n"/>
      <c r="G435" s="28" t="n"/>
      <c r="H435" s="45" t="n"/>
      <c r="I435" s="45" t="n"/>
      <c r="J435" s="28">
        <f>IF(H435="","",IF(I435&gt;=H435,"Recebido",IF($B$4&gt;E435,"Vencido","Aberto")))</f>
        <v/>
      </c>
      <c r="K435" s="4">
        <f>IF(J435="","",IF(OR(J435="Recebido",F435=""),MAX(0,F435-E435),MAX(0,$B$4-E435)))</f>
        <v/>
      </c>
      <c r="L435" s="4">
        <f>IF(K435="","",IF(K435=0,"Em dia",IF(K435&lt;=30,"1-30 dias",IF(K435&lt;=60,"31-60 dias",IF(K435&lt;=90,"61-90 dias","&gt;90 dias")))))</f>
        <v/>
      </c>
      <c r="M435" s="28" t="n"/>
      <c r="N435" s="104" t="inlineStr"/>
      <c r="O435" s="64" t="n"/>
      <c r="P435" s="64">
        <f>IF(C435="","",IF(ISNUMBER(SEARCH("PCMSO",C435)),"PCMSO",IF(OR(ISNUMBER(SEARCH("E-SOCIAL",C435)),ISNUMBER(SEARCH("PSICOSOCIAL",C435))),"eSocial / Psicossocial",IF(O435="Receita recorrente","Carteira recorrente","Projetos / Laudos / Avulsos"))))</f>
        <v/>
      </c>
      <c r="Q435" s="64">
        <f>IF(P435="","",IF(P435="Carteira recorrente","Operação recorrente",IF(P435="PCMSO","Projetos PCMSO",IF(P435="eSocial / Psicossocial","Projetos eSocial/Psicossocial","Projetos / Laudos / Avulsos"))))</f>
        <v/>
      </c>
      <c r="R435" s="64">
        <f>IF(C435="","",IF(ISNUMBER(SEARCH("PCMSO",C435)),"Título com PCMSO no nome",IF(OR(ISNUMBER(SEARCH("E-SOCIAL",C435)),ISNUMBER(SEARCH("PSICOSOCIAL",C435))),"Título com eSocial/Psicossocial no nome",IF(O435="Receita recorrente","Tipo DRE recorrente","Extra sem palavra-chave específica"))))</f>
        <v/>
      </c>
      <c r="S435" s="92">
        <f>IFERROR(VLOOKUP($A435,'13. Mapa Títulos-Receita'!$A$8:$P$1000,4,FALSE),"")</f>
        <v/>
      </c>
      <c r="T435" s="92">
        <f>IFERROR(VLOOKUP($A435,'13. Mapa Títulos-Receita'!$A$8:$P$1000,5,FALSE),"")</f>
        <v/>
      </c>
      <c r="U435" s="92">
        <f>IFERROR(VLOOKUP($A435,'13. Mapa Títulos-Receita'!$A$8:$P$1000,6,FALSE),"")</f>
        <v/>
      </c>
      <c r="V435" s="92">
        <f>IFERROR(VLOOKUP($A435,'13. Mapa Títulos-Receita'!$A$8:$P$1000,7,FALSE),"")</f>
        <v/>
      </c>
      <c r="W435" s="92">
        <f>IFERROR(VLOOKUP($A435,'13. Mapa Títulos-Receita'!$A$8:$P$1000,8,FALSE),"")</f>
        <v/>
      </c>
      <c r="X435" s="92">
        <f>IFERROR(VLOOKUP($A435,'13. Mapa Títulos-Receita'!$A$8:$P$1000,9,FALSE),"")</f>
        <v/>
      </c>
      <c r="Y435" s="92">
        <f>IFERROR(VLOOKUP($A435,'13. Mapa Títulos-Receita'!$A$8:$P$1000,10,FALSE),"")</f>
        <v/>
      </c>
      <c r="Z435" s="92">
        <f>IFERROR(VLOOKUP($A435,'13. Mapa Títulos-Receita'!$A$8:$P$1000,11,FALSE),"")</f>
        <v/>
      </c>
      <c r="AA435" s="92">
        <f>IFERROR(VLOOKUP($A435,'13. Mapa Títulos-Receita'!$A$8:$P$1000,12,FALSE),"")</f>
        <v/>
      </c>
      <c r="AB435" s="92">
        <f>IFERROR(VLOOKUP($A435,'13. Mapa Títulos-Receita'!$A$8:$P$1000,13,FALSE),"")</f>
        <v/>
      </c>
      <c r="AC435" s="92">
        <f>IFERROR(VLOOKUP($A435,'13. Mapa Títulos-Receita'!$A$8:$P$1000,14,FALSE),"")</f>
        <v/>
      </c>
      <c r="AD435" s="92">
        <f>IFERROR(VLOOKUP($A435,'13. Mapa Títulos-Receita'!$A$8:$P$1000,15,FALSE),"")</f>
        <v/>
      </c>
      <c r="AE435" s="92">
        <f>IFERROR(VLOOKUP($A435,'13. Mapa Títulos-Receita'!$A$8:$P$1000,16,FALSE),"")</f>
        <v/>
      </c>
    </row>
    <row r="436">
      <c r="A436" s="28">
        <f>IF(C436="","", "CR-"&amp;TEXT(ROW()-7,"000"))</f>
        <v/>
      </c>
      <c r="B436" s="28" t="n"/>
      <c r="C436" s="28" t="n"/>
      <c r="D436" s="111" t="n"/>
      <c r="E436" s="111" t="n"/>
      <c r="F436" s="111" t="n"/>
      <c r="G436" s="28" t="n"/>
      <c r="H436" s="45" t="n"/>
      <c r="I436" s="45" t="n"/>
      <c r="J436" s="28">
        <f>IF(H436="","",IF(I436&gt;=H436,"Recebido",IF($B$4&gt;E436,"Vencido","Aberto")))</f>
        <v/>
      </c>
      <c r="K436" s="4">
        <f>IF(J436="","",IF(OR(J436="Recebido",F436=""),MAX(0,F436-E436),MAX(0,$B$4-E436)))</f>
        <v/>
      </c>
      <c r="L436" s="4">
        <f>IF(K436="","",IF(K436=0,"Em dia",IF(K436&lt;=30,"1-30 dias",IF(K436&lt;=60,"31-60 dias",IF(K436&lt;=90,"61-90 dias","&gt;90 dias")))))</f>
        <v/>
      </c>
      <c r="M436" s="28" t="n"/>
      <c r="N436" s="104" t="inlineStr"/>
      <c r="O436" s="64" t="n"/>
      <c r="P436" s="64">
        <f>IF(C436="","",IF(ISNUMBER(SEARCH("PCMSO",C436)),"PCMSO",IF(OR(ISNUMBER(SEARCH("E-SOCIAL",C436)),ISNUMBER(SEARCH("PSICOSOCIAL",C436))),"eSocial / Psicossocial",IF(O436="Receita recorrente","Carteira recorrente","Projetos / Laudos / Avulsos"))))</f>
        <v/>
      </c>
      <c r="Q436" s="64">
        <f>IF(P436="","",IF(P436="Carteira recorrente","Operação recorrente",IF(P436="PCMSO","Projetos PCMSO",IF(P436="eSocial / Psicossocial","Projetos eSocial/Psicossocial","Projetos / Laudos / Avulsos"))))</f>
        <v/>
      </c>
      <c r="R436" s="64">
        <f>IF(C436="","",IF(ISNUMBER(SEARCH("PCMSO",C436)),"Título com PCMSO no nome",IF(OR(ISNUMBER(SEARCH("E-SOCIAL",C436)),ISNUMBER(SEARCH("PSICOSOCIAL",C436))),"Título com eSocial/Psicossocial no nome",IF(O436="Receita recorrente","Tipo DRE recorrente","Extra sem palavra-chave específica"))))</f>
        <v/>
      </c>
      <c r="S436" s="92">
        <f>IFERROR(VLOOKUP($A436,'13. Mapa Títulos-Receita'!$A$8:$P$1000,4,FALSE),"")</f>
        <v/>
      </c>
      <c r="T436" s="92">
        <f>IFERROR(VLOOKUP($A436,'13. Mapa Títulos-Receita'!$A$8:$P$1000,5,FALSE),"")</f>
        <v/>
      </c>
      <c r="U436" s="92">
        <f>IFERROR(VLOOKUP($A436,'13. Mapa Títulos-Receita'!$A$8:$P$1000,6,FALSE),"")</f>
        <v/>
      </c>
      <c r="V436" s="92">
        <f>IFERROR(VLOOKUP($A436,'13. Mapa Títulos-Receita'!$A$8:$P$1000,7,FALSE),"")</f>
        <v/>
      </c>
      <c r="W436" s="92">
        <f>IFERROR(VLOOKUP($A436,'13. Mapa Títulos-Receita'!$A$8:$P$1000,8,FALSE),"")</f>
        <v/>
      </c>
      <c r="X436" s="92">
        <f>IFERROR(VLOOKUP($A436,'13. Mapa Títulos-Receita'!$A$8:$P$1000,9,FALSE),"")</f>
        <v/>
      </c>
      <c r="Y436" s="92">
        <f>IFERROR(VLOOKUP($A436,'13. Mapa Títulos-Receita'!$A$8:$P$1000,10,FALSE),"")</f>
        <v/>
      </c>
      <c r="Z436" s="92">
        <f>IFERROR(VLOOKUP($A436,'13. Mapa Títulos-Receita'!$A$8:$P$1000,11,FALSE),"")</f>
        <v/>
      </c>
      <c r="AA436" s="92">
        <f>IFERROR(VLOOKUP($A436,'13. Mapa Títulos-Receita'!$A$8:$P$1000,12,FALSE),"")</f>
        <v/>
      </c>
      <c r="AB436" s="92">
        <f>IFERROR(VLOOKUP($A436,'13. Mapa Títulos-Receita'!$A$8:$P$1000,13,FALSE),"")</f>
        <v/>
      </c>
      <c r="AC436" s="92">
        <f>IFERROR(VLOOKUP($A436,'13. Mapa Títulos-Receita'!$A$8:$P$1000,14,FALSE),"")</f>
        <v/>
      </c>
      <c r="AD436" s="92">
        <f>IFERROR(VLOOKUP($A436,'13. Mapa Títulos-Receita'!$A$8:$P$1000,15,FALSE),"")</f>
        <v/>
      </c>
      <c r="AE436" s="92">
        <f>IFERROR(VLOOKUP($A436,'13. Mapa Títulos-Receita'!$A$8:$P$1000,16,FALSE),"")</f>
        <v/>
      </c>
    </row>
    <row r="437">
      <c r="A437" s="28">
        <f>IF(C437="","", "CR-"&amp;TEXT(ROW()-7,"000"))</f>
        <v/>
      </c>
      <c r="B437" s="28" t="n"/>
      <c r="C437" s="28" t="n"/>
      <c r="D437" s="111" t="n"/>
      <c r="E437" s="111" t="n"/>
      <c r="F437" s="111" t="n"/>
      <c r="G437" s="28" t="n"/>
      <c r="H437" s="45" t="n"/>
      <c r="I437" s="45" t="n"/>
      <c r="J437" s="28">
        <f>IF(H437="","",IF(I437&gt;=H437,"Recebido",IF($B$4&gt;E437,"Vencido","Aberto")))</f>
        <v/>
      </c>
      <c r="K437" s="4">
        <f>IF(J437="","",IF(OR(J437="Recebido",F437=""),MAX(0,F437-E437),MAX(0,$B$4-E437)))</f>
        <v/>
      </c>
      <c r="L437" s="4">
        <f>IF(K437="","",IF(K437=0,"Em dia",IF(K437&lt;=30,"1-30 dias",IF(K437&lt;=60,"31-60 dias",IF(K437&lt;=90,"61-90 dias","&gt;90 dias")))))</f>
        <v/>
      </c>
      <c r="M437" s="28" t="n"/>
      <c r="N437" s="104" t="inlineStr"/>
      <c r="O437" s="64" t="n"/>
      <c r="P437" s="64">
        <f>IF(C437="","",IF(ISNUMBER(SEARCH("PCMSO",C437)),"PCMSO",IF(OR(ISNUMBER(SEARCH("E-SOCIAL",C437)),ISNUMBER(SEARCH("PSICOSOCIAL",C437))),"eSocial / Psicossocial",IF(O437="Receita recorrente","Carteira recorrente","Projetos / Laudos / Avulsos"))))</f>
        <v/>
      </c>
      <c r="Q437" s="64">
        <f>IF(P437="","",IF(P437="Carteira recorrente","Operação recorrente",IF(P437="PCMSO","Projetos PCMSO",IF(P437="eSocial / Psicossocial","Projetos eSocial/Psicossocial","Projetos / Laudos / Avulsos"))))</f>
        <v/>
      </c>
      <c r="R437" s="64">
        <f>IF(C437="","",IF(ISNUMBER(SEARCH("PCMSO",C437)),"Título com PCMSO no nome",IF(OR(ISNUMBER(SEARCH("E-SOCIAL",C437)),ISNUMBER(SEARCH("PSICOSOCIAL",C437))),"Título com eSocial/Psicossocial no nome",IF(O437="Receita recorrente","Tipo DRE recorrente","Extra sem palavra-chave específica"))))</f>
        <v/>
      </c>
      <c r="S437" s="92">
        <f>IFERROR(VLOOKUP($A437,'13. Mapa Títulos-Receita'!$A$8:$P$1000,4,FALSE),"")</f>
        <v/>
      </c>
      <c r="T437" s="92">
        <f>IFERROR(VLOOKUP($A437,'13. Mapa Títulos-Receita'!$A$8:$P$1000,5,FALSE),"")</f>
        <v/>
      </c>
      <c r="U437" s="92">
        <f>IFERROR(VLOOKUP($A437,'13. Mapa Títulos-Receita'!$A$8:$P$1000,6,FALSE),"")</f>
        <v/>
      </c>
      <c r="V437" s="92">
        <f>IFERROR(VLOOKUP($A437,'13. Mapa Títulos-Receita'!$A$8:$P$1000,7,FALSE),"")</f>
        <v/>
      </c>
      <c r="W437" s="92">
        <f>IFERROR(VLOOKUP($A437,'13. Mapa Títulos-Receita'!$A$8:$P$1000,8,FALSE),"")</f>
        <v/>
      </c>
      <c r="X437" s="92">
        <f>IFERROR(VLOOKUP($A437,'13. Mapa Títulos-Receita'!$A$8:$P$1000,9,FALSE),"")</f>
        <v/>
      </c>
      <c r="Y437" s="92">
        <f>IFERROR(VLOOKUP($A437,'13. Mapa Títulos-Receita'!$A$8:$P$1000,10,FALSE),"")</f>
        <v/>
      </c>
      <c r="Z437" s="92">
        <f>IFERROR(VLOOKUP($A437,'13. Mapa Títulos-Receita'!$A$8:$P$1000,11,FALSE),"")</f>
        <v/>
      </c>
      <c r="AA437" s="92">
        <f>IFERROR(VLOOKUP($A437,'13. Mapa Títulos-Receita'!$A$8:$P$1000,12,FALSE),"")</f>
        <v/>
      </c>
      <c r="AB437" s="92">
        <f>IFERROR(VLOOKUP($A437,'13. Mapa Títulos-Receita'!$A$8:$P$1000,13,FALSE),"")</f>
        <v/>
      </c>
      <c r="AC437" s="92">
        <f>IFERROR(VLOOKUP($A437,'13. Mapa Títulos-Receita'!$A$8:$P$1000,14,FALSE),"")</f>
        <v/>
      </c>
      <c r="AD437" s="92">
        <f>IFERROR(VLOOKUP($A437,'13. Mapa Títulos-Receita'!$A$8:$P$1000,15,FALSE),"")</f>
        <v/>
      </c>
      <c r="AE437" s="92">
        <f>IFERROR(VLOOKUP($A437,'13. Mapa Títulos-Receita'!$A$8:$P$1000,16,FALSE),"")</f>
        <v/>
      </c>
    </row>
    <row r="438">
      <c r="A438" s="28">
        <f>IF(C438="","", "CR-"&amp;TEXT(ROW()-7,"000"))</f>
        <v/>
      </c>
      <c r="B438" s="28" t="n"/>
      <c r="C438" s="28" t="n"/>
      <c r="D438" s="111" t="n"/>
      <c r="E438" s="111" t="n"/>
      <c r="F438" s="111" t="n"/>
      <c r="G438" s="28" t="n"/>
      <c r="H438" s="45" t="n"/>
      <c r="I438" s="45" t="n"/>
      <c r="J438" s="28">
        <f>IF(H438="","",IF(I438&gt;=H438,"Recebido",IF($B$4&gt;E438,"Vencido","Aberto")))</f>
        <v/>
      </c>
      <c r="K438" s="4">
        <f>IF(J438="","",IF(OR(J438="Recebido",F438=""),MAX(0,F438-E438),MAX(0,$B$4-E438)))</f>
        <v/>
      </c>
      <c r="L438" s="4">
        <f>IF(K438="","",IF(K438=0,"Em dia",IF(K438&lt;=30,"1-30 dias",IF(K438&lt;=60,"31-60 dias",IF(K438&lt;=90,"61-90 dias","&gt;90 dias")))))</f>
        <v/>
      </c>
      <c r="M438" s="28" t="n"/>
      <c r="N438" s="104" t="inlineStr"/>
      <c r="O438" s="64" t="n"/>
      <c r="P438" s="64">
        <f>IF(C438="","",IF(ISNUMBER(SEARCH("PCMSO",C438)),"PCMSO",IF(OR(ISNUMBER(SEARCH("E-SOCIAL",C438)),ISNUMBER(SEARCH("PSICOSOCIAL",C438))),"eSocial / Psicossocial",IF(O438="Receita recorrente","Carteira recorrente","Projetos / Laudos / Avulsos"))))</f>
        <v/>
      </c>
      <c r="Q438" s="64">
        <f>IF(P438="","",IF(P438="Carteira recorrente","Operação recorrente",IF(P438="PCMSO","Projetos PCMSO",IF(P438="eSocial / Psicossocial","Projetos eSocial/Psicossocial","Projetos / Laudos / Avulsos"))))</f>
        <v/>
      </c>
      <c r="R438" s="64">
        <f>IF(C438="","",IF(ISNUMBER(SEARCH("PCMSO",C438)),"Título com PCMSO no nome",IF(OR(ISNUMBER(SEARCH("E-SOCIAL",C438)),ISNUMBER(SEARCH("PSICOSOCIAL",C438))),"Título com eSocial/Psicossocial no nome",IF(O438="Receita recorrente","Tipo DRE recorrente","Extra sem palavra-chave específica"))))</f>
        <v/>
      </c>
      <c r="S438" s="92">
        <f>IFERROR(VLOOKUP($A438,'13. Mapa Títulos-Receita'!$A$8:$P$1000,4,FALSE),"")</f>
        <v/>
      </c>
      <c r="T438" s="92">
        <f>IFERROR(VLOOKUP($A438,'13. Mapa Títulos-Receita'!$A$8:$P$1000,5,FALSE),"")</f>
        <v/>
      </c>
      <c r="U438" s="92">
        <f>IFERROR(VLOOKUP($A438,'13. Mapa Títulos-Receita'!$A$8:$P$1000,6,FALSE),"")</f>
        <v/>
      </c>
      <c r="V438" s="92">
        <f>IFERROR(VLOOKUP($A438,'13. Mapa Títulos-Receita'!$A$8:$P$1000,7,FALSE),"")</f>
        <v/>
      </c>
      <c r="W438" s="92">
        <f>IFERROR(VLOOKUP($A438,'13. Mapa Títulos-Receita'!$A$8:$P$1000,8,FALSE),"")</f>
        <v/>
      </c>
      <c r="X438" s="92">
        <f>IFERROR(VLOOKUP($A438,'13. Mapa Títulos-Receita'!$A$8:$P$1000,9,FALSE),"")</f>
        <v/>
      </c>
      <c r="Y438" s="92">
        <f>IFERROR(VLOOKUP($A438,'13. Mapa Títulos-Receita'!$A$8:$P$1000,10,FALSE),"")</f>
        <v/>
      </c>
      <c r="Z438" s="92">
        <f>IFERROR(VLOOKUP($A438,'13. Mapa Títulos-Receita'!$A$8:$P$1000,11,FALSE),"")</f>
        <v/>
      </c>
      <c r="AA438" s="92">
        <f>IFERROR(VLOOKUP($A438,'13. Mapa Títulos-Receita'!$A$8:$P$1000,12,FALSE),"")</f>
        <v/>
      </c>
      <c r="AB438" s="92">
        <f>IFERROR(VLOOKUP($A438,'13. Mapa Títulos-Receita'!$A$8:$P$1000,13,FALSE),"")</f>
        <v/>
      </c>
      <c r="AC438" s="92">
        <f>IFERROR(VLOOKUP($A438,'13. Mapa Títulos-Receita'!$A$8:$P$1000,14,FALSE),"")</f>
        <v/>
      </c>
      <c r="AD438" s="92">
        <f>IFERROR(VLOOKUP($A438,'13. Mapa Títulos-Receita'!$A$8:$P$1000,15,FALSE),"")</f>
        <v/>
      </c>
      <c r="AE438" s="92">
        <f>IFERROR(VLOOKUP($A438,'13. Mapa Títulos-Receita'!$A$8:$P$1000,16,FALSE),"")</f>
        <v/>
      </c>
    </row>
    <row r="439">
      <c r="A439" s="28">
        <f>IF(C439="","", "CR-"&amp;TEXT(ROW()-7,"000"))</f>
        <v/>
      </c>
      <c r="B439" s="28" t="n"/>
      <c r="C439" s="28" t="n"/>
      <c r="D439" s="111" t="n"/>
      <c r="E439" s="111" t="n"/>
      <c r="F439" s="111" t="n"/>
      <c r="G439" s="28" t="n"/>
      <c r="H439" s="45" t="n"/>
      <c r="I439" s="45" t="n"/>
      <c r="J439" s="28">
        <f>IF(H439="","",IF(I439&gt;=H439,"Recebido",IF($B$4&gt;E439,"Vencido","Aberto")))</f>
        <v/>
      </c>
      <c r="K439" s="4">
        <f>IF(J439="","",IF(OR(J439="Recebido",F439=""),MAX(0,F439-E439),MAX(0,$B$4-E439)))</f>
        <v/>
      </c>
      <c r="L439" s="4">
        <f>IF(K439="","",IF(K439=0,"Em dia",IF(K439&lt;=30,"1-30 dias",IF(K439&lt;=60,"31-60 dias",IF(K439&lt;=90,"61-90 dias","&gt;90 dias")))))</f>
        <v/>
      </c>
      <c r="M439" s="28" t="n"/>
      <c r="N439" s="104" t="inlineStr"/>
      <c r="O439" s="64" t="n"/>
      <c r="P439" s="64">
        <f>IF(C439="","",IF(ISNUMBER(SEARCH("PCMSO",C439)),"PCMSO",IF(OR(ISNUMBER(SEARCH("E-SOCIAL",C439)),ISNUMBER(SEARCH("PSICOSOCIAL",C439))),"eSocial / Psicossocial",IF(O439="Receita recorrente","Carteira recorrente","Projetos / Laudos / Avulsos"))))</f>
        <v/>
      </c>
      <c r="Q439" s="64">
        <f>IF(P439="","",IF(P439="Carteira recorrente","Operação recorrente",IF(P439="PCMSO","Projetos PCMSO",IF(P439="eSocial / Psicossocial","Projetos eSocial/Psicossocial","Projetos / Laudos / Avulsos"))))</f>
        <v/>
      </c>
      <c r="R439" s="64">
        <f>IF(C439="","",IF(ISNUMBER(SEARCH("PCMSO",C439)),"Título com PCMSO no nome",IF(OR(ISNUMBER(SEARCH("E-SOCIAL",C439)),ISNUMBER(SEARCH("PSICOSOCIAL",C439))),"Título com eSocial/Psicossocial no nome",IF(O439="Receita recorrente","Tipo DRE recorrente","Extra sem palavra-chave específica"))))</f>
        <v/>
      </c>
      <c r="S439" s="92">
        <f>IFERROR(VLOOKUP($A439,'13. Mapa Títulos-Receita'!$A$8:$P$1000,4,FALSE),"")</f>
        <v/>
      </c>
      <c r="T439" s="92">
        <f>IFERROR(VLOOKUP($A439,'13. Mapa Títulos-Receita'!$A$8:$P$1000,5,FALSE),"")</f>
        <v/>
      </c>
      <c r="U439" s="92">
        <f>IFERROR(VLOOKUP($A439,'13. Mapa Títulos-Receita'!$A$8:$P$1000,6,FALSE),"")</f>
        <v/>
      </c>
      <c r="V439" s="92">
        <f>IFERROR(VLOOKUP($A439,'13. Mapa Títulos-Receita'!$A$8:$P$1000,7,FALSE),"")</f>
        <v/>
      </c>
      <c r="W439" s="92">
        <f>IFERROR(VLOOKUP($A439,'13. Mapa Títulos-Receita'!$A$8:$P$1000,8,FALSE),"")</f>
        <v/>
      </c>
      <c r="X439" s="92">
        <f>IFERROR(VLOOKUP($A439,'13. Mapa Títulos-Receita'!$A$8:$P$1000,9,FALSE),"")</f>
        <v/>
      </c>
      <c r="Y439" s="92">
        <f>IFERROR(VLOOKUP($A439,'13. Mapa Títulos-Receita'!$A$8:$P$1000,10,FALSE),"")</f>
        <v/>
      </c>
      <c r="Z439" s="92">
        <f>IFERROR(VLOOKUP($A439,'13. Mapa Títulos-Receita'!$A$8:$P$1000,11,FALSE),"")</f>
        <v/>
      </c>
      <c r="AA439" s="92">
        <f>IFERROR(VLOOKUP($A439,'13. Mapa Títulos-Receita'!$A$8:$P$1000,12,FALSE),"")</f>
        <v/>
      </c>
      <c r="AB439" s="92">
        <f>IFERROR(VLOOKUP($A439,'13. Mapa Títulos-Receita'!$A$8:$P$1000,13,FALSE),"")</f>
        <v/>
      </c>
      <c r="AC439" s="92">
        <f>IFERROR(VLOOKUP($A439,'13. Mapa Títulos-Receita'!$A$8:$P$1000,14,FALSE),"")</f>
        <v/>
      </c>
      <c r="AD439" s="92">
        <f>IFERROR(VLOOKUP($A439,'13. Mapa Títulos-Receita'!$A$8:$P$1000,15,FALSE),"")</f>
        <v/>
      </c>
      <c r="AE439" s="92">
        <f>IFERROR(VLOOKUP($A439,'13. Mapa Títulos-Receita'!$A$8:$P$1000,16,FALSE),"")</f>
        <v/>
      </c>
    </row>
    <row r="440">
      <c r="A440" s="28">
        <f>IF(C440="","", "CR-"&amp;TEXT(ROW()-7,"000"))</f>
        <v/>
      </c>
      <c r="B440" s="28" t="n"/>
      <c r="C440" s="28" t="n"/>
      <c r="D440" s="111" t="n"/>
      <c r="E440" s="111" t="n"/>
      <c r="F440" s="111" t="n"/>
      <c r="G440" s="28" t="n"/>
      <c r="H440" s="45" t="n"/>
      <c r="I440" s="45" t="n"/>
      <c r="J440" s="28">
        <f>IF(H440="","",IF(I440&gt;=H440,"Recebido",IF($B$4&gt;E440,"Vencido","Aberto")))</f>
        <v/>
      </c>
      <c r="K440" s="4">
        <f>IF(J440="","",IF(OR(J440="Recebido",F440=""),MAX(0,F440-E440),MAX(0,$B$4-E440)))</f>
        <v/>
      </c>
      <c r="L440" s="4">
        <f>IF(K440="","",IF(K440=0,"Em dia",IF(K440&lt;=30,"1-30 dias",IF(K440&lt;=60,"31-60 dias",IF(K440&lt;=90,"61-90 dias","&gt;90 dias")))))</f>
        <v/>
      </c>
      <c r="M440" s="28" t="n"/>
      <c r="N440" s="104" t="inlineStr"/>
      <c r="O440" s="64" t="n"/>
      <c r="P440" s="64">
        <f>IF(C440="","",IF(ISNUMBER(SEARCH("PCMSO",C440)),"PCMSO",IF(OR(ISNUMBER(SEARCH("E-SOCIAL",C440)),ISNUMBER(SEARCH("PSICOSOCIAL",C440))),"eSocial / Psicossocial",IF(O440="Receita recorrente","Carteira recorrente","Projetos / Laudos / Avulsos"))))</f>
        <v/>
      </c>
      <c r="Q440" s="64">
        <f>IF(P440="","",IF(P440="Carteira recorrente","Operação recorrente",IF(P440="PCMSO","Projetos PCMSO",IF(P440="eSocial / Psicossocial","Projetos eSocial/Psicossocial","Projetos / Laudos / Avulsos"))))</f>
        <v/>
      </c>
      <c r="R440" s="64">
        <f>IF(C440="","",IF(ISNUMBER(SEARCH("PCMSO",C440)),"Título com PCMSO no nome",IF(OR(ISNUMBER(SEARCH("E-SOCIAL",C440)),ISNUMBER(SEARCH("PSICOSOCIAL",C440))),"Título com eSocial/Psicossocial no nome",IF(O440="Receita recorrente","Tipo DRE recorrente","Extra sem palavra-chave específica"))))</f>
        <v/>
      </c>
      <c r="S440" s="92">
        <f>IFERROR(VLOOKUP($A440,'13. Mapa Títulos-Receita'!$A$8:$P$1000,4,FALSE),"")</f>
        <v/>
      </c>
      <c r="T440" s="92">
        <f>IFERROR(VLOOKUP($A440,'13. Mapa Títulos-Receita'!$A$8:$P$1000,5,FALSE),"")</f>
        <v/>
      </c>
      <c r="U440" s="92">
        <f>IFERROR(VLOOKUP($A440,'13. Mapa Títulos-Receita'!$A$8:$P$1000,6,FALSE),"")</f>
        <v/>
      </c>
      <c r="V440" s="92">
        <f>IFERROR(VLOOKUP($A440,'13. Mapa Títulos-Receita'!$A$8:$P$1000,7,FALSE),"")</f>
        <v/>
      </c>
      <c r="W440" s="92">
        <f>IFERROR(VLOOKUP($A440,'13. Mapa Títulos-Receita'!$A$8:$P$1000,8,FALSE),"")</f>
        <v/>
      </c>
      <c r="X440" s="92">
        <f>IFERROR(VLOOKUP($A440,'13. Mapa Títulos-Receita'!$A$8:$P$1000,9,FALSE),"")</f>
        <v/>
      </c>
      <c r="Y440" s="92">
        <f>IFERROR(VLOOKUP($A440,'13. Mapa Títulos-Receita'!$A$8:$P$1000,10,FALSE),"")</f>
        <v/>
      </c>
      <c r="Z440" s="92">
        <f>IFERROR(VLOOKUP($A440,'13. Mapa Títulos-Receita'!$A$8:$P$1000,11,FALSE),"")</f>
        <v/>
      </c>
      <c r="AA440" s="92">
        <f>IFERROR(VLOOKUP($A440,'13. Mapa Títulos-Receita'!$A$8:$P$1000,12,FALSE),"")</f>
        <v/>
      </c>
      <c r="AB440" s="92">
        <f>IFERROR(VLOOKUP($A440,'13. Mapa Títulos-Receita'!$A$8:$P$1000,13,FALSE),"")</f>
        <v/>
      </c>
      <c r="AC440" s="92">
        <f>IFERROR(VLOOKUP($A440,'13. Mapa Títulos-Receita'!$A$8:$P$1000,14,FALSE),"")</f>
        <v/>
      </c>
      <c r="AD440" s="92">
        <f>IFERROR(VLOOKUP($A440,'13. Mapa Títulos-Receita'!$A$8:$P$1000,15,FALSE),"")</f>
        <v/>
      </c>
      <c r="AE440" s="92">
        <f>IFERROR(VLOOKUP($A440,'13. Mapa Títulos-Receita'!$A$8:$P$1000,16,FALSE),"")</f>
        <v/>
      </c>
    </row>
    <row r="441">
      <c r="A441" s="28">
        <f>IF(C441="","", "CR-"&amp;TEXT(ROW()-7,"000"))</f>
        <v/>
      </c>
      <c r="B441" s="28" t="n"/>
      <c r="C441" s="28" t="n"/>
      <c r="D441" s="111" t="n"/>
      <c r="E441" s="111" t="n"/>
      <c r="F441" s="111" t="n"/>
      <c r="G441" s="28" t="n"/>
      <c r="H441" s="45" t="n"/>
      <c r="I441" s="45" t="n"/>
      <c r="J441" s="28">
        <f>IF(H441="","",IF(I441&gt;=H441,"Recebido",IF($B$4&gt;E441,"Vencido","Aberto")))</f>
        <v/>
      </c>
      <c r="K441" s="4">
        <f>IF(J441="","",IF(OR(J441="Recebido",F441=""),MAX(0,F441-E441),MAX(0,$B$4-E441)))</f>
        <v/>
      </c>
      <c r="L441" s="4">
        <f>IF(K441="","",IF(K441=0,"Em dia",IF(K441&lt;=30,"1-30 dias",IF(K441&lt;=60,"31-60 dias",IF(K441&lt;=90,"61-90 dias","&gt;90 dias")))))</f>
        <v/>
      </c>
      <c r="M441" s="28" t="n"/>
      <c r="N441" s="104" t="inlineStr"/>
      <c r="O441" s="64" t="n"/>
      <c r="P441" s="64">
        <f>IF(C441="","",IF(ISNUMBER(SEARCH("PCMSO",C441)),"PCMSO",IF(OR(ISNUMBER(SEARCH("E-SOCIAL",C441)),ISNUMBER(SEARCH("PSICOSOCIAL",C441))),"eSocial / Psicossocial",IF(O441="Receita recorrente","Carteira recorrente","Projetos / Laudos / Avulsos"))))</f>
        <v/>
      </c>
      <c r="Q441" s="64">
        <f>IF(P441="","",IF(P441="Carteira recorrente","Operação recorrente",IF(P441="PCMSO","Projetos PCMSO",IF(P441="eSocial / Psicossocial","Projetos eSocial/Psicossocial","Projetos / Laudos / Avulsos"))))</f>
        <v/>
      </c>
      <c r="R441" s="64">
        <f>IF(C441="","",IF(ISNUMBER(SEARCH("PCMSO",C441)),"Título com PCMSO no nome",IF(OR(ISNUMBER(SEARCH("E-SOCIAL",C441)),ISNUMBER(SEARCH("PSICOSOCIAL",C441))),"Título com eSocial/Psicossocial no nome",IF(O441="Receita recorrente","Tipo DRE recorrente","Extra sem palavra-chave específica"))))</f>
        <v/>
      </c>
      <c r="S441" s="92">
        <f>IFERROR(VLOOKUP($A441,'13. Mapa Títulos-Receita'!$A$8:$P$1000,4,FALSE),"")</f>
        <v/>
      </c>
      <c r="T441" s="92">
        <f>IFERROR(VLOOKUP($A441,'13. Mapa Títulos-Receita'!$A$8:$P$1000,5,FALSE),"")</f>
        <v/>
      </c>
      <c r="U441" s="92">
        <f>IFERROR(VLOOKUP($A441,'13. Mapa Títulos-Receita'!$A$8:$P$1000,6,FALSE),"")</f>
        <v/>
      </c>
      <c r="V441" s="92">
        <f>IFERROR(VLOOKUP($A441,'13. Mapa Títulos-Receita'!$A$8:$P$1000,7,FALSE),"")</f>
        <v/>
      </c>
      <c r="W441" s="92">
        <f>IFERROR(VLOOKUP($A441,'13. Mapa Títulos-Receita'!$A$8:$P$1000,8,FALSE),"")</f>
        <v/>
      </c>
      <c r="X441" s="92">
        <f>IFERROR(VLOOKUP($A441,'13. Mapa Títulos-Receita'!$A$8:$P$1000,9,FALSE),"")</f>
        <v/>
      </c>
      <c r="Y441" s="92">
        <f>IFERROR(VLOOKUP($A441,'13. Mapa Títulos-Receita'!$A$8:$P$1000,10,FALSE),"")</f>
        <v/>
      </c>
      <c r="Z441" s="92">
        <f>IFERROR(VLOOKUP($A441,'13. Mapa Títulos-Receita'!$A$8:$P$1000,11,FALSE),"")</f>
        <v/>
      </c>
      <c r="AA441" s="92">
        <f>IFERROR(VLOOKUP($A441,'13. Mapa Títulos-Receita'!$A$8:$P$1000,12,FALSE),"")</f>
        <v/>
      </c>
      <c r="AB441" s="92">
        <f>IFERROR(VLOOKUP($A441,'13. Mapa Títulos-Receita'!$A$8:$P$1000,13,FALSE),"")</f>
        <v/>
      </c>
      <c r="AC441" s="92">
        <f>IFERROR(VLOOKUP($A441,'13. Mapa Títulos-Receita'!$A$8:$P$1000,14,FALSE),"")</f>
        <v/>
      </c>
      <c r="AD441" s="92">
        <f>IFERROR(VLOOKUP($A441,'13. Mapa Títulos-Receita'!$A$8:$P$1000,15,FALSE),"")</f>
        <v/>
      </c>
      <c r="AE441" s="92">
        <f>IFERROR(VLOOKUP($A441,'13. Mapa Títulos-Receita'!$A$8:$P$1000,16,FALSE),"")</f>
        <v/>
      </c>
    </row>
    <row r="442">
      <c r="A442" s="28">
        <f>IF(C442="","", "CR-"&amp;TEXT(ROW()-7,"000"))</f>
        <v/>
      </c>
      <c r="B442" s="28" t="n"/>
      <c r="C442" s="28" t="n"/>
      <c r="D442" s="111" t="n"/>
      <c r="E442" s="111" t="n"/>
      <c r="F442" s="111" t="n"/>
      <c r="G442" s="28" t="n"/>
      <c r="H442" s="45" t="n"/>
      <c r="I442" s="45" t="n"/>
      <c r="J442" s="28">
        <f>IF(H442="","",IF(I442&gt;=H442,"Recebido",IF($B$4&gt;E442,"Vencido","Aberto")))</f>
        <v/>
      </c>
      <c r="K442" s="4">
        <f>IF(J442="","",IF(OR(J442="Recebido",F442=""),MAX(0,F442-E442),MAX(0,$B$4-E442)))</f>
        <v/>
      </c>
      <c r="L442" s="4">
        <f>IF(K442="","",IF(K442=0,"Em dia",IF(K442&lt;=30,"1-30 dias",IF(K442&lt;=60,"31-60 dias",IF(K442&lt;=90,"61-90 dias","&gt;90 dias")))))</f>
        <v/>
      </c>
      <c r="M442" s="28" t="n"/>
      <c r="N442" s="104" t="inlineStr"/>
      <c r="O442" s="64" t="n"/>
      <c r="P442" s="64">
        <f>IF(C442="","",IF(ISNUMBER(SEARCH("PCMSO",C442)),"PCMSO",IF(OR(ISNUMBER(SEARCH("E-SOCIAL",C442)),ISNUMBER(SEARCH("PSICOSOCIAL",C442))),"eSocial / Psicossocial",IF(O442="Receita recorrente","Carteira recorrente","Projetos / Laudos / Avulsos"))))</f>
        <v/>
      </c>
      <c r="Q442" s="64">
        <f>IF(P442="","",IF(P442="Carteira recorrente","Operação recorrente",IF(P442="PCMSO","Projetos PCMSO",IF(P442="eSocial / Psicossocial","Projetos eSocial/Psicossocial","Projetos / Laudos / Avulsos"))))</f>
        <v/>
      </c>
      <c r="R442" s="64">
        <f>IF(C442="","",IF(ISNUMBER(SEARCH("PCMSO",C442)),"Título com PCMSO no nome",IF(OR(ISNUMBER(SEARCH("E-SOCIAL",C442)),ISNUMBER(SEARCH("PSICOSOCIAL",C442))),"Título com eSocial/Psicossocial no nome",IF(O442="Receita recorrente","Tipo DRE recorrente","Extra sem palavra-chave específica"))))</f>
        <v/>
      </c>
      <c r="S442" s="92">
        <f>IFERROR(VLOOKUP($A442,'13. Mapa Títulos-Receita'!$A$8:$P$1000,4,FALSE),"")</f>
        <v/>
      </c>
      <c r="T442" s="92">
        <f>IFERROR(VLOOKUP($A442,'13. Mapa Títulos-Receita'!$A$8:$P$1000,5,FALSE),"")</f>
        <v/>
      </c>
      <c r="U442" s="92">
        <f>IFERROR(VLOOKUP($A442,'13. Mapa Títulos-Receita'!$A$8:$P$1000,6,FALSE),"")</f>
        <v/>
      </c>
      <c r="V442" s="92">
        <f>IFERROR(VLOOKUP($A442,'13. Mapa Títulos-Receita'!$A$8:$P$1000,7,FALSE),"")</f>
        <v/>
      </c>
      <c r="W442" s="92">
        <f>IFERROR(VLOOKUP($A442,'13. Mapa Títulos-Receita'!$A$8:$P$1000,8,FALSE),"")</f>
        <v/>
      </c>
      <c r="X442" s="92">
        <f>IFERROR(VLOOKUP($A442,'13. Mapa Títulos-Receita'!$A$8:$P$1000,9,FALSE),"")</f>
        <v/>
      </c>
      <c r="Y442" s="92">
        <f>IFERROR(VLOOKUP($A442,'13. Mapa Títulos-Receita'!$A$8:$P$1000,10,FALSE),"")</f>
        <v/>
      </c>
      <c r="Z442" s="92">
        <f>IFERROR(VLOOKUP($A442,'13. Mapa Títulos-Receita'!$A$8:$P$1000,11,FALSE),"")</f>
        <v/>
      </c>
      <c r="AA442" s="92">
        <f>IFERROR(VLOOKUP($A442,'13. Mapa Títulos-Receita'!$A$8:$P$1000,12,FALSE),"")</f>
        <v/>
      </c>
      <c r="AB442" s="92">
        <f>IFERROR(VLOOKUP($A442,'13. Mapa Títulos-Receita'!$A$8:$P$1000,13,FALSE),"")</f>
        <v/>
      </c>
      <c r="AC442" s="92">
        <f>IFERROR(VLOOKUP($A442,'13. Mapa Títulos-Receita'!$A$8:$P$1000,14,FALSE),"")</f>
        <v/>
      </c>
      <c r="AD442" s="92">
        <f>IFERROR(VLOOKUP($A442,'13. Mapa Títulos-Receita'!$A$8:$P$1000,15,FALSE),"")</f>
        <v/>
      </c>
      <c r="AE442" s="92">
        <f>IFERROR(VLOOKUP($A442,'13. Mapa Títulos-Receita'!$A$8:$P$1000,16,FALSE),"")</f>
        <v/>
      </c>
    </row>
    <row r="443">
      <c r="A443" s="28">
        <f>IF(C443="","", "CR-"&amp;TEXT(ROW()-7,"000"))</f>
        <v/>
      </c>
      <c r="B443" s="28" t="n"/>
      <c r="C443" s="28" t="n"/>
      <c r="D443" s="111" t="n"/>
      <c r="E443" s="111" t="n"/>
      <c r="F443" s="111" t="n"/>
      <c r="G443" s="28" t="n"/>
      <c r="H443" s="45" t="n"/>
      <c r="I443" s="45" t="n"/>
      <c r="J443" s="28">
        <f>IF(H443="","",IF(I443&gt;=H443,"Recebido",IF($B$4&gt;E443,"Vencido","Aberto")))</f>
        <v/>
      </c>
      <c r="K443" s="4">
        <f>IF(J443="","",IF(OR(J443="Recebido",F443=""),MAX(0,F443-E443),MAX(0,$B$4-E443)))</f>
        <v/>
      </c>
      <c r="L443" s="4">
        <f>IF(K443="","",IF(K443=0,"Em dia",IF(K443&lt;=30,"1-30 dias",IF(K443&lt;=60,"31-60 dias",IF(K443&lt;=90,"61-90 dias","&gt;90 dias")))))</f>
        <v/>
      </c>
      <c r="M443" s="28" t="n"/>
      <c r="N443" s="104" t="inlineStr"/>
      <c r="O443" s="64" t="n"/>
      <c r="P443" s="64">
        <f>IF(C443="","",IF(ISNUMBER(SEARCH("PCMSO",C443)),"PCMSO",IF(OR(ISNUMBER(SEARCH("E-SOCIAL",C443)),ISNUMBER(SEARCH("PSICOSOCIAL",C443))),"eSocial / Psicossocial",IF(O443="Receita recorrente","Carteira recorrente","Projetos / Laudos / Avulsos"))))</f>
        <v/>
      </c>
      <c r="Q443" s="64">
        <f>IF(P443="","",IF(P443="Carteira recorrente","Operação recorrente",IF(P443="PCMSO","Projetos PCMSO",IF(P443="eSocial / Psicossocial","Projetos eSocial/Psicossocial","Projetos / Laudos / Avulsos"))))</f>
        <v/>
      </c>
      <c r="R443" s="64">
        <f>IF(C443="","",IF(ISNUMBER(SEARCH("PCMSO",C443)),"Título com PCMSO no nome",IF(OR(ISNUMBER(SEARCH("E-SOCIAL",C443)),ISNUMBER(SEARCH("PSICOSOCIAL",C443))),"Título com eSocial/Psicossocial no nome",IF(O443="Receita recorrente","Tipo DRE recorrente","Extra sem palavra-chave específica"))))</f>
        <v/>
      </c>
      <c r="S443" s="92">
        <f>IFERROR(VLOOKUP($A443,'13. Mapa Títulos-Receita'!$A$8:$P$1000,4,FALSE),"")</f>
        <v/>
      </c>
      <c r="T443" s="92">
        <f>IFERROR(VLOOKUP($A443,'13. Mapa Títulos-Receita'!$A$8:$P$1000,5,FALSE),"")</f>
        <v/>
      </c>
      <c r="U443" s="92">
        <f>IFERROR(VLOOKUP($A443,'13. Mapa Títulos-Receita'!$A$8:$P$1000,6,FALSE),"")</f>
        <v/>
      </c>
      <c r="V443" s="92">
        <f>IFERROR(VLOOKUP($A443,'13. Mapa Títulos-Receita'!$A$8:$P$1000,7,FALSE),"")</f>
        <v/>
      </c>
      <c r="W443" s="92">
        <f>IFERROR(VLOOKUP($A443,'13. Mapa Títulos-Receita'!$A$8:$P$1000,8,FALSE),"")</f>
        <v/>
      </c>
      <c r="X443" s="92">
        <f>IFERROR(VLOOKUP($A443,'13. Mapa Títulos-Receita'!$A$8:$P$1000,9,FALSE),"")</f>
        <v/>
      </c>
      <c r="Y443" s="92">
        <f>IFERROR(VLOOKUP($A443,'13. Mapa Títulos-Receita'!$A$8:$P$1000,10,FALSE),"")</f>
        <v/>
      </c>
      <c r="Z443" s="92">
        <f>IFERROR(VLOOKUP($A443,'13. Mapa Títulos-Receita'!$A$8:$P$1000,11,FALSE),"")</f>
        <v/>
      </c>
      <c r="AA443" s="92">
        <f>IFERROR(VLOOKUP($A443,'13. Mapa Títulos-Receita'!$A$8:$P$1000,12,FALSE),"")</f>
        <v/>
      </c>
      <c r="AB443" s="92">
        <f>IFERROR(VLOOKUP($A443,'13. Mapa Títulos-Receita'!$A$8:$P$1000,13,FALSE),"")</f>
        <v/>
      </c>
      <c r="AC443" s="92">
        <f>IFERROR(VLOOKUP($A443,'13. Mapa Títulos-Receita'!$A$8:$P$1000,14,FALSE),"")</f>
        <v/>
      </c>
      <c r="AD443" s="92">
        <f>IFERROR(VLOOKUP($A443,'13. Mapa Títulos-Receita'!$A$8:$P$1000,15,FALSE),"")</f>
        <v/>
      </c>
      <c r="AE443" s="92">
        <f>IFERROR(VLOOKUP($A443,'13. Mapa Títulos-Receita'!$A$8:$P$1000,16,FALSE),"")</f>
        <v/>
      </c>
    </row>
    <row r="444">
      <c r="A444" s="28">
        <f>IF(C444="","", "CR-"&amp;TEXT(ROW()-7,"000"))</f>
        <v/>
      </c>
      <c r="B444" s="28" t="n"/>
      <c r="C444" s="28" t="n"/>
      <c r="D444" s="111" t="n"/>
      <c r="E444" s="111" t="n"/>
      <c r="F444" s="111" t="n"/>
      <c r="G444" s="28" t="n"/>
      <c r="H444" s="45" t="n"/>
      <c r="I444" s="45" t="n"/>
      <c r="J444" s="28">
        <f>IF(H444="","",IF(I444&gt;=H444,"Recebido",IF($B$4&gt;E444,"Vencido","Aberto")))</f>
        <v/>
      </c>
      <c r="K444" s="4">
        <f>IF(J444="","",IF(OR(J444="Recebido",F444=""),MAX(0,F444-E444),MAX(0,$B$4-E444)))</f>
        <v/>
      </c>
      <c r="L444" s="4">
        <f>IF(K444="","",IF(K444=0,"Em dia",IF(K444&lt;=30,"1-30 dias",IF(K444&lt;=60,"31-60 dias",IF(K444&lt;=90,"61-90 dias","&gt;90 dias")))))</f>
        <v/>
      </c>
      <c r="M444" s="28" t="n"/>
      <c r="N444" s="104" t="inlineStr"/>
      <c r="O444" s="64" t="n"/>
      <c r="P444" s="64">
        <f>IF(C444="","",IF(ISNUMBER(SEARCH("PCMSO",C444)),"PCMSO",IF(OR(ISNUMBER(SEARCH("E-SOCIAL",C444)),ISNUMBER(SEARCH("PSICOSOCIAL",C444))),"eSocial / Psicossocial",IF(O444="Receita recorrente","Carteira recorrente","Projetos / Laudos / Avulsos"))))</f>
        <v/>
      </c>
      <c r="Q444" s="64">
        <f>IF(P444="","",IF(P444="Carteira recorrente","Operação recorrente",IF(P444="PCMSO","Projetos PCMSO",IF(P444="eSocial / Psicossocial","Projetos eSocial/Psicossocial","Projetos / Laudos / Avulsos"))))</f>
        <v/>
      </c>
      <c r="R444" s="64">
        <f>IF(C444="","",IF(ISNUMBER(SEARCH("PCMSO",C444)),"Título com PCMSO no nome",IF(OR(ISNUMBER(SEARCH("E-SOCIAL",C444)),ISNUMBER(SEARCH("PSICOSOCIAL",C444))),"Título com eSocial/Psicossocial no nome",IF(O444="Receita recorrente","Tipo DRE recorrente","Extra sem palavra-chave específica"))))</f>
        <v/>
      </c>
      <c r="S444" s="92">
        <f>IFERROR(VLOOKUP($A444,'13. Mapa Títulos-Receita'!$A$8:$P$1000,4,FALSE),"")</f>
        <v/>
      </c>
      <c r="T444" s="92">
        <f>IFERROR(VLOOKUP($A444,'13. Mapa Títulos-Receita'!$A$8:$P$1000,5,FALSE),"")</f>
        <v/>
      </c>
      <c r="U444" s="92">
        <f>IFERROR(VLOOKUP($A444,'13. Mapa Títulos-Receita'!$A$8:$P$1000,6,FALSE),"")</f>
        <v/>
      </c>
      <c r="V444" s="92">
        <f>IFERROR(VLOOKUP($A444,'13. Mapa Títulos-Receita'!$A$8:$P$1000,7,FALSE),"")</f>
        <v/>
      </c>
      <c r="W444" s="92">
        <f>IFERROR(VLOOKUP($A444,'13. Mapa Títulos-Receita'!$A$8:$P$1000,8,FALSE),"")</f>
        <v/>
      </c>
      <c r="X444" s="92">
        <f>IFERROR(VLOOKUP($A444,'13. Mapa Títulos-Receita'!$A$8:$P$1000,9,FALSE),"")</f>
        <v/>
      </c>
      <c r="Y444" s="92">
        <f>IFERROR(VLOOKUP($A444,'13. Mapa Títulos-Receita'!$A$8:$P$1000,10,FALSE),"")</f>
        <v/>
      </c>
      <c r="Z444" s="92">
        <f>IFERROR(VLOOKUP($A444,'13. Mapa Títulos-Receita'!$A$8:$P$1000,11,FALSE),"")</f>
        <v/>
      </c>
      <c r="AA444" s="92">
        <f>IFERROR(VLOOKUP($A444,'13. Mapa Títulos-Receita'!$A$8:$P$1000,12,FALSE),"")</f>
        <v/>
      </c>
      <c r="AB444" s="92">
        <f>IFERROR(VLOOKUP($A444,'13. Mapa Títulos-Receita'!$A$8:$P$1000,13,FALSE),"")</f>
        <v/>
      </c>
      <c r="AC444" s="92">
        <f>IFERROR(VLOOKUP($A444,'13. Mapa Títulos-Receita'!$A$8:$P$1000,14,FALSE),"")</f>
        <v/>
      </c>
      <c r="AD444" s="92">
        <f>IFERROR(VLOOKUP($A444,'13. Mapa Títulos-Receita'!$A$8:$P$1000,15,FALSE),"")</f>
        <v/>
      </c>
      <c r="AE444" s="92">
        <f>IFERROR(VLOOKUP($A444,'13. Mapa Títulos-Receita'!$A$8:$P$1000,16,FALSE),"")</f>
        <v/>
      </c>
    </row>
    <row r="445">
      <c r="A445" s="28">
        <f>IF(C445="","", "CR-"&amp;TEXT(ROW()-7,"000"))</f>
        <v/>
      </c>
      <c r="B445" s="28" t="n"/>
      <c r="C445" s="28" t="n"/>
      <c r="D445" s="111" t="n"/>
      <c r="E445" s="111" t="n"/>
      <c r="F445" s="111" t="n"/>
      <c r="G445" s="28" t="n"/>
      <c r="H445" s="45" t="n"/>
      <c r="I445" s="45" t="n"/>
      <c r="J445" s="28">
        <f>IF(H445="","",IF(I445&gt;=H445,"Recebido",IF($B$4&gt;E445,"Vencido","Aberto")))</f>
        <v/>
      </c>
      <c r="K445" s="4">
        <f>IF(J445="","",IF(OR(J445="Recebido",F445=""),MAX(0,F445-E445),MAX(0,$B$4-E445)))</f>
        <v/>
      </c>
      <c r="L445" s="4">
        <f>IF(K445="","",IF(K445=0,"Em dia",IF(K445&lt;=30,"1-30 dias",IF(K445&lt;=60,"31-60 dias",IF(K445&lt;=90,"61-90 dias","&gt;90 dias")))))</f>
        <v/>
      </c>
      <c r="M445" s="28" t="n"/>
      <c r="N445" s="104" t="inlineStr"/>
      <c r="O445" s="64" t="n"/>
      <c r="P445" s="64">
        <f>IF(C445="","",IF(ISNUMBER(SEARCH("PCMSO",C445)),"PCMSO",IF(OR(ISNUMBER(SEARCH("E-SOCIAL",C445)),ISNUMBER(SEARCH("PSICOSOCIAL",C445))),"eSocial / Psicossocial",IF(O445="Receita recorrente","Carteira recorrente","Projetos / Laudos / Avulsos"))))</f>
        <v/>
      </c>
      <c r="Q445" s="64">
        <f>IF(P445="","",IF(P445="Carteira recorrente","Operação recorrente",IF(P445="PCMSO","Projetos PCMSO",IF(P445="eSocial / Psicossocial","Projetos eSocial/Psicossocial","Projetos / Laudos / Avulsos"))))</f>
        <v/>
      </c>
      <c r="R445" s="64">
        <f>IF(C445="","",IF(ISNUMBER(SEARCH("PCMSO",C445)),"Título com PCMSO no nome",IF(OR(ISNUMBER(SEARCH("E-SOCIAL",C445)),ISNUMBER(SEARCH("PSICOSOCIAL",C445))),"Título com eSocial/Psicossocial no nome",IF(O445="Receita recorrente","Tipo DRE recorrente","Extra sem palavra-chave específica"))))</f>
        <v/>
      </c>
      <c r="S445" s="92">
        <f>IFERROR(VLOOKUP($A445,'13. Mapa Títulos-Receita'!$A$8:$P$1000,4,FALSE),"")</f>
        <v/>
      </c>
      <c r="T445" s="92">
        <f>IFERROR(VLOOKUP($A445,'13. Mapa Títulos-Receita'!$A$8:$P$1000,5,FALSE),"")</f>
        <v/>
      </c>
      <c r="U445" s="92">
        <f>IFERROR(VLOOKUP($A445,'13. Mapa Títulos-Receita'!$A$8:$P$1000,6,FALSE),"")</f>
        <v/>
      </c>
      <c r="V445" s="92">
        <f>IFERROR(VLOOKUP($A445,'13. Mapa Títulos-Receita'!$A$8:$P$1000,7,FALSE),"")</f>
        <v/>
      </c>
      <c r="W445" s="92">
        <f>IFERROR(VLOOKUP($A445,'13. Mapa Títulos-Receita'!$A$8:$P$1000,8,FALSE),"")</f>
        <v/>
      </c>
      <c r="X445" s="92">
        <f>IFERROR(VLOOKUP($A445,'13. Mapa Títulos-Receita'!$A$8:$P$1000,9,FALSE),"")</f>
        <v/>
      </c>
      <c r="Y445" s="92">
        <f>IFERROR(VLOOKUP($A445,'13. Mapa Títulos-Receita'!$A$8:$P$1000,10,FALSE),"")</f>
        <v/>
      </c>
      <c r="Z445" s="92">
        <f>IFERROR(VLOOKUP($A445,'13. Mapa Títulos-Receita'!$A$8:$P$1000,11,FALSE),"")</f>
        <v/>
      </c>
      <c r="AA445" s="92">
        <f>IFERROR(VLOOKUP($A445,'13. Mapa Títulos-Receita'!$A$8:$P$1000,12,FALSE),"")</f>
        <v/>
      </c>
      <c r="AB445" s="92">
        <f>IFERROR(VLOOKUP($A445,'13. Mapa Títulos-Receita'!$A$8:$P$1000,13,FALSE),"")</f>
        <v/>
      </c>
      <c r="AC445" s="92">
        <f>IFERROR(VLOOKUP($A445,'13. Mapa Títulos-Receita'!$A$8:$P$1000,14,FALSE),"")</f>
        <v/>
      </c>
      <c r="AD445" s="92">
        <f>IFERROR(VLOOKUP($A445,'13. Mapa Títulos-Receita'!$A$8:$P$1000,15,FALSE),"")</f>
        <v/>
      </c>
      <c r="AE445" s="92">
        <f>IFERROR(VLOOKUP($A445,'13. Mapa Títulos-Receita'!$A$8:$P$1000,16,FALSE),"")</f>
        <v/>
      </c>
    </row>
    <row r="446">
      <c r="A446" s="28">
        <f>IF(C446="","", "CR-"&amp;TEXT(ROW()-7,"000"))</f>
        <v/>
      </c>
      <c r="B446" s="28" t="n"/>
      <c r="C446" s="28" t="n"/>
      <c r="D446" s="111" t="n"/>
      <c r="E446" s="111" t="n"/>
      <c r="F446" s="111" t="n"/>
      <c r="G446" s="28" t="n"/>
      <c r="H446" s="45" t="n"/>
      <c r="I446" s="45" t="n"/>
      <c r="J446" s="28">
        <f>IF(H446="","",IF(I446&gt;=H446,"Recebido",IF($B$4&gt;E446,"Vencido","Aberto")))</f>
        <v/>
      </c>
      <c r="K446" s="4">
        <f>IF(J446="","",IF(OR(J446="Recebido",F446=""),MAX(0,F446-E446),MAX(0,$B$4-E446)))</f>
        <v/>
      </c>
      <c r="L446" s="4">
        <f>IF(K446="","",IF(K446=0,"Em dia",IF(K446&lt;=30,"1-30 dias",IF(K446&lt;=60,"31-60 dias",IF(K446&lt;=90,"61-90 dias","&gt;90 dias")))))</f>
        <v/>
      </c>
      <c r="M446" s="28" t="n"/>
      <c r="N446" s="104" t="inlineStr"/>
      <c r="O446" s="64" t="n"/>
      <c r="P446" s="64">
        <f>IF(C446="","",IF(ISNUMBER(SEARCH("PCMSO",C446)),"PCMSO",IF(OR(ISNUMBER(SEARCH("E-SOCIAL",C446)),ISNUMBER(SEARCH("PSICOSOCIAL",C446))),"eSocial / Psicossocial",IF(O446="Receita recorrente","Carteira recorrente","Projetos / Laudos / Avulsos"))))</f>
        <v/>
      </c>
      <c r="Q446" s="64">
        <f>IF(P446="","",IF(P446="Carteira recorrente","Operação recorrente",IF(P446="PCMSO","Projetos PCMSO",IF(P446="eSocial / Psicossocial","Projetos eSocial/Psicossocial","Projetos / Laudos / Avulsos"))))</f>
        <v/>
      </c>
      <c r="R446" s="64">
        <f>IF(C446="","",IF(ISNUMBER(SEARCH("PCMSO",C446)),"Título com PCMSO no nome",IF(OR(ISNUMBER(SEARCH("E-SOCIAL",C446)),ISNUMBER(SEARCH("PSICOSOCIAL",C446))),"Título com eSocial/Psicossocial no nome",IF(O446="Receita recorrente","Tipo DRE recorrente","Extra sem palavra-chave específica"))))</f>
        <v/>
      </c>
      <c r="S446" s="92">
        <f>IFERROR(VLOOKUP($A446,'13. Mapa Títulos-Receita'!$A$8:$P$1000,4,FALSE),"")</f>
        <v/>
      </c>
      <c r="T446" s="92">
        <f>IFERROR(VLOOKUP($A446,'13. Mapa Títulos-Receita'!$A$8:$P$1000,5,FALSE),"")</f>
        <v/>
      </c>
      <c r="U446" s="92">
        <f>IFERROR(VLOOKUP($A446,'13. Mapa Títulos-Receita'!$A$8:$P$1000,6,FALSE),"")</f>
        <v/>
      </c>
      <c r="V446" s="92">
        <f>IFERROR(VLOOKUP($A446,'13. Mapa Títulos-Receita'!$A$8:$P$1000,7,FALSE),"")</f>
        <v/>
      </c>
      <c r="W446" s="92">
        <f>IFERROR(VLOOKUP($A446,'13. Mapa Títulos-Receita'!$A$8:$P$1000,8,FALSE),"")</f>
        <v/>
      </c>
      <c r="X446" s="92">
        <f>IFERROR(VLOOKUP($A446,'13. Mapa Títulos-Receita'!$A$8:$P$1000,9,FALSE),"")</f>
        <v/>
      </c>
      <c r="Y446" s="92">
        <f>IFERROR(VLOOKUP($A446,'13. Mapa Títulos-Receita'!$A$8:$P$1000,10,FALSE),"")</f>
        <v/>
      </c>
      <c r="Z446" s="92">
        <f>IFERROR(VLOOKUP($A446,'13. Mapa Títulos-Receita'!$A$8:$P$1000,11,FALSE),"")</f>
        <v/>
      </c>
      <c r="AA446" s="92">
        <f>IFERROR(VLOOKUP($A446,'13. Mapa Títulos-Receita'!$A$8:$P$1000,12,FALSE),"")</f>
        <v/>
      </c>
      <c r="AB446" s="92">
        <f>IFERROR(VLOOKUP($A446,'13. Mapa Títulos-Receita'!$A$8:$P$1000,13,FALSE),"")</f>
        <v/>
      </c>
      <c r="AC446" s="92">
        <f>IFERROR(VLOOKUP($A446,'13. Mapa Títulos-Receita'!$A$8:$P$1000,14,FALSE),"")</f>
        <v/>
      </c>
      <c r="AD446" s="92">
        <f>IFERROR(VLOOKUP($A446,'13. Mapa Títulos-Receita'!$A$8:$P$1000,15,FALSE),"")</f>
        <v/>
      </c>
      <c r="AE446" s="92">
        <f>IFERROR(VLOOKUP($A446,'13. Mapa Títulos-Receita'!$A$8:$P$1000,16,FALSE),"")</f>
        <v/>
      </c>
    </row>
    <row r="447">
      <c r="A447" s="28">
        <f>IF(C447="","", "CR-"&amp;TEXT(ROW()-7,"000"))</f>
        <v/>
      </c>
      <c r="B447" s="28" t="n"/>
      <c r="C447" s="28" t="n"/>
      <c r="D447" s="111" t="n"/>
      <c r="E447" s="111" t="n"/>
      <c r="F447" s="111" t="n"/>
      <c r="G447" s="28" t="n"/>
      <c r="H447" s="45" t="n"/>
      <c r="I447" s="45" t="n"/>
      <c r="J447" s="28">
        <f>IF(H447="","",IF(I447&gt;=H447,"Recebido",IF($B$4&gt;E447,"Vencido","Aberto")))</f>
        <v/>
      </c>
      <c r="K447" s="4">
        <f>IF(J447="","",IF(OR(J447="Recebido",F447=""),MAX(0,F447-E447),MAX(0,$B$4-E447)))</f>
        <v/>
      </c>
      <c r="L447" s="4">
        <f>IF(K447="","",IF(K447=0,"Em dia",IF(K447&lt;=30,"1-30 dias",IF(K447&lt;=60,"31-60 dias",IF(K447&lt;=90,"61-90 dias","&gt;90 dias")))))</f>
        <v/>
      </c>
      <c r="M447" s="28" t="n"/>
      <c r="N447" s="104" t="inlineStr"/>
      <c r="O447" s="64" t="n"/>
      <c r="P447" s="64">
        <f>IF(C447="","",IF(ISNUMBER(SEARCH("PCMSO",C447)),"PCMSO",IF(OR(ISNUMBER(SEARCH("E-SOCIAL",C447)),ISNUMBER(SEARCH("PSICOSOCIAL",C447))),"eSocial / Psicossocial",IF(O447="Receita recorrente","Carteira recorrente","Projetos / Laudos / Avulsos"))))</f>
        <v/>
      </c>
      <c r="Q447" s="64">
        <f>IF(P447="","",IF(P447="Carteira recorrente","Operação recorrente",IF(P447="PCMSO","Projetos PCMSO",IF(P447="eSocial / Psicossocial","Projetos eSocial/Psicossocial","Projetos / Laudos / Avulsos"))))</f>
        <v/>
      </c>
      <c r="R447" s="64">
        <f>IF(C447="","",IF(ISNUMBER(SEARCH("PCMSO",C447)),"Título com PCMSO no nome",IF(OR(ISNUMBER(SEARCH("E-SOCIAL",C447)),ISNUMBER(SEARCH("PSICOSOCIAL",C447))),"Título com eSocial/Psicossocial no nome",IF(O447="Receita recorrente","Tipo DRE recorrente","Extra sem palavra-chave específica"))))</f>
        <v/>
      </c>
      <c r="S447" s="92">
        <f>IFERROR(VLOOKUP($A447,'13. Mapa Títulos-Receita'!$A$8:$P$1000,4,FALSE),"")</f>
        <v/>
      </c>
      <c r="T447" s="92">
        <f>IFERROR(VLOOKUP($A447,'13. Mapa Títulos-Receita'!$A$8:$P$1000,5,FALSE),"")</f>
        <v/>
      </c>
      <c r="U447" s="92">
        <f>IFERROR(VLOOKUP($A447,'13. Mapa Títulos-Receita'!$A$8:$P$1000,6,FALSE),"")</f>
        <v/>
      </c>
      <c r="V447" s="92">
        <f>IFERROR(VLOOKUP($A447,'13. Mapa Títulos-Receita'!$A$8:$P$1000,7,FALSE),"")</f>
        <v/>
      </c>
      <c r="W447" s="92">
        <f>IFERROR(VLOOKUP($A447,'13. Mapa Títulos-Receita'!$A$8:$P$1000,8,FALSE),"")</f>
        <v/>
      </c>
      <c r="X447" s="92">
        <f>IFERROR(VLOOKUP($A447,'13. Mapa Títulos-Receita'!$A$8:$P$1000,9,FALSE),"")</f>
        <v/>
      </c>
      <c r="Y447" s="92">
        <f>IFERROR(VLOOKUP($A447,'13. Mapa Títulos-Receita'!$A$8:$P$1000,10,FALSE),"")</f>
        <v/>
      </c>
      <c r="Z447" s="92">
        <f>IFERROR(VLOOKUP($A447,'13. Mapa Títulos-Receita'!$A$8:$P$1000,11,FALSE),"")</f>
        <v/>
      </c>
      <c r="AA447" s="92">
        <f>IFERROR(VLOOKUP($A447,'13. Mapa Títulos-Receita'!$A$8:$P$1000,12,FALSE),"")</f>
        <v/>
      </c>
      <c r="AB447" s="92">
        <f>IFERROR(VLOOKUP($A447,'13. Mapa Títulos-Receita'!$A$8:$P$1000,13,FALSE),"")</f>
        <v/>
      </c>
      <c r="AC447" s="92">
        <f>IFERROR(VLOOKUP($A447,'13. Mapa Títulos-Receita'!$A$8:$P$1000,14,FALSE),"")</f>
        <v/>
      </c>
      <c r="AD447" s="92">
        <f>IFERROR(VLOOKUP($A447,'13. Mapa Títulos-Receita'!$A$8:$P$1000,15,FALSE),"")</f>
        <v/>
      </c>
      <c r="AE447" s="92">
        <f>IFERROR(VLOOKUP($A447,'13. Mapa Títulos-Receita'!$A$8:$P$1000,16,FALSE),"")</f>
        <v/>
      </c>
    </row>
    <row r="448">
      <c r="A448" s="28">
        <f>IF(C448="","", "CR-"&amp;TEXT(ROW()-7,"000"))</f>
        <v/>
      </c>
      <c r="B448" s="28" t="n"/>
      <c r="C448" s="28" t="n"/>
      <c r="D448" s="111" t="n"/>
      <c r="E448" s="111" t="n"/>
      <c r="F448" s="111" t="n"/>
      <c r="G448" s="28" t="n"/>
      <c r="H448" s="45" t="n"/>
      <c r="I448" s="45" t="n"/>
      <c r="J448" s="28">
        <f>IF(H448="","",IF(I448&gt;=H448,"Recebido",IF($B$4&gt;E448,"Vencido","Aberto")))</f>
        <v/>
      </c>
      <c r="K448" s="4">
        <f>IF(J448="","",IF(OR(J448="Recebido",F448=""),MAX(0,F448-E448),MAX(0,$B$4-E448)))</f>
        <v/>
      </c>
      <c r="L448" s="4">
        <f>IF(K448="","",IF(K448=0,"Em dia",IF(K448&lt;=30,"1-30 dias",IF(K448&lt;=60,"31-60 dias",IF(K448&lt;=90,"61-90 dias","&gt;90 dias")))))</f>
        <v/>
      </c>
      <c r="M448" s="28" t="n"/>
      <c r="N448" s="104" t="inlineStr"/>
      <c r="O448" s="64" t="n"/>
      <c r="P448" s="64">
        <f>IF(C448="","",IF(ISNUMBER(SEARCH("PCMSO",C448)),"PCMSO",IF(OR(ISNUMBER(SEARCH("E-SOCIAL",C448)),ISNUMBER(SEARCH("PSICOSOCIAL",C448))),"eSocial / Psicossocial",IF(O448="Receita recorrente","Carteira recorrente","Projetos / Laudos / Avulsos"))))</f>
        <v/>
      </c>
      <c r="Q448" s="64">
        <f>IF(P448="","",IF(P448="Carteira recorrente","Operação recorrente",IF(P448="PCMSO","Projetos PCMSO",IF(P448="eSocial / Psicossocial","Projetos eSocial/Psicossocial","Projetos / Laudos / Avulsos"))))</f>
        <v/>
      </c>
      <c r="R448" s="64">
        <f>IF(C448="","",IF(ISNUMBER(SEARCH("PCMSO",C448)),"Título com PCMSO no nome",IF(OR(ISNUMBER(SEARCH("E-SOCIAL",C448)),ISNUMBER(SEARCH("PSICOSOCIAL",C448))),"Título com eSocial/Psicossocial no nome",IF(O448="Receita recorrente","Tipo DRE recorrente","Extra sem palavra-chave específica"))))</f>
        <v/>
      </c>
      <c r="S448" s="92">
        <f>IFERROR(VLOOKUP($A448,'13. Mapa Títulos-Receita'!$A$8:$P$1000,4,FALSE),"")</f>
        <v/>
      </c>
      <c r="T448" s="92">
        <f>IFERROR(VLOOKUP($A448,'13. Mapa Títulos-Receita'!$A$8:$P$1000,5,FALSE),"")</f>
        <v/>
      </c>
      <c r="U448" s="92">
        <f>IFERROR(VLOOKUP($A448,'13. Mapa Títulos-Receita'!$A$8:$P$1000,6,FALSE),"")</f>
        <v/>
      </c>
      <c r="V448" s="92">
        <f>IFERROR(VLOOKUP($A448,'13. Mapa Títulos-Receita'!$A$8:$P$1000,7,FALSE),"")</f>
        <v/>
      </c>
      <c r="W448" s="92">
        <f>IFERROR(VLOOKUP($A448,'13. Mapa Títulos-Receita'!$A$8:$P$1000,8,FALSE),"")</f>
        <v/>
      </c>
      <c r="X448" s="92">
        <f>IFERROR(VLOOKUP($A448,'13. Mapa Títulos-Receita'!$A$8:$P$1000,9,FALSE),"")</f>
        <v/>
      </c>
      <c r="Y448" s="92">
        <f>IFERROR(VLOOKUP($A448,'13. Mapa Títulos-Receita'!$A$8:$P$1000,10,FALSE),"")</f>
        <v/>
      </c>
      <c r="Z448" s="92">
        <f>IFERROR(VLOOKUP($A448,'13. Mapa Títulos-Receita'!$A$8:$P$1000,11,FALSE),"")</f>
        <v/>
      </c>
      <c r="AA448" s="92">
        <f>IFERROR(VLOOKUP($A448,'13. Mapa Títulos-Receita'!$A$8:$P$1000,12,FALSE),"")</f>
        <v/>
      </c>
      <c r="AB448" s="92">
        <f>IFERROR(VLOOKUP($A448,'13. Mapa Títulos-Receita'!$A$8:$P$1000,13,FALSE),"")</f>
        <v/>
      </c>
      <c r="AC448" s="92">
        <f>IFERROR(VLOOKUP($A448,'13. Mapa Títulos-Receita'!$A$8:$P$1000,14,FALSE),"")</f>
        <v/>
      </c>
      <c r="AD448" s="92">
        <f>IFERROR(VLOOKUP($A448,'13. Mapa Títulos-Receita'!$A$8:$P$1000,15,FALSE),"")</f>
        <v/>
      </c>
      <c r="AE448" s="92">
        <f>IFERROR(VLOOKUP($A448,'13. Mapa Títulos-Receita'!$A$8:$P$1000,16,FALSE),"")</f>
        <v/>
      </c>
    </row>
    <row r="449">
      <c r="A449" s="28">
        <f>IF(C449="","", "CR-"&amp;TEXT(ROW()-7,"000"))</f>
        <v/>
      </c>
      <c r="B449" s="28" t="n"/>
      <c r="C449" s="28" t="n"/>
      <c r="D449" s="111" t="n"/>
      <c r="E449" s="111" t="n"/>
      <c r="F449" s="111" t="n"/>
      <c r="G449" s="28" t="n"/>
      <c r="H449" s="45" t="n"/>
      <c r="I449" s="45" t="n"/>
      <c r="J449" s="28">
        <f>IF(H449="","",IF(I449&gt;=H449,"Recebido",IF($B$4&gt;E449,"Vencido","Aberto")))</f>
        <v/>
      </c>
      <c r="K449" s="4">
        <f>IF(J449="","",IF(OR(J449="Recebido",F449=""),MAX(0,F449-E449),MAX(0,$B$4-E449)))</f>
        <v/>
      </c>
      <c r="L449" s="4">
        <f>IF(K449="","",IF(K449=0,"Em dia",IF(K449&lt;=30,"1-30 dias",IF(K449&lt;=60,"31-60 dias",IF(K449&lt;=90,"61-90 dias","&gt;90 dias")))))</f>
        <v/>
      </c>
      <c r="M449" s="28" t="n"/>
      <c r="N449" s="104" t="inlineStr"/>
      <c r="O449" s="64" t="n"/>
      <c r="P449" s="64">
        <f>IF(C449="","",IF(ISNUMBER(SEARCH("PCMSO",C449)),"PCMSO",IF(OR(ISNUMBER(SEARCH("E-SOCIAL",C449)),ISNUMBER(SEARCH("PSICOSOCIAL",C449))),"eSocial / Psicossocial",IF(O449="Receita recorrente","Carteira recorrente","Projetos / Laudos / Avulsos"))))</f>
        <v/>
      </c>
      <c r="Q449" s="64">
        <f>IF(P449="","",IF(P449="Carteira recorrente","Operação recorrente",IF(P449="PCMSO","Projetos PCMSO",IF(P449="eSocial / Psicossocial","Projetos eSocial/Psicossocial","Projetos / Laudos / Avulsos"))))</f>
        <v/>
      </c>
      <c r="R449" s="64">
        <f>IF(C449="","",IF(ISNUMBER(SEARCH("PCMSO",C449)),"Título com PCMSO no nome",IF(OR(ISNUMBER(SEARCH("E-SOCIAL",C449)),ISNUMBER(SEARCH("PSICOSOCIAL",C449))),"Título com eSocial/Psicossocial no nome",IF(O449="Receita recorrente","Tipo DRE recorrente","Extra sem palavra-chave específica"))))</f>
        <v/>
      </c>
      <c r="S449" s="92">
        <f>IFERROR(VLOOKUP($A449,'13. Mapa Títulos-Receita'!$A$8:$P$1000,4,FALSE),"")</f>
        <v/>
      </c>
      <c r="T449" s="92">
        <f>IFERROR(VLOOKUP($A449,'13. Mapa Títulos-Receita'!$A$8:$P$1000,5,FALSE),"")</f>
        <v/>
      </c>
      <c r="U449" s="92">
        <f>IFERROR(VLOOKUP($A449,'13. Mapa Títulos-Receita'!$A$8:$P$1000,6,FALSE),"")</f>
        <v/>
      </c>
      <c r="V449" s="92">
        <f>IFERROR(VLOOKUP($A449,'13. Mapa Títulos-Receita'!$A$8:$P$1000,7,FALSE),"")</f>
        <v/>
      </c>
      <c r="W449" s="92">
        <f>IFERROR(VLOOKUP($A449,'13. Mapa Títulos-Receita'!$A$8:$P$1000,8,FALSE),"")</f>
        <v/>
      </c>
      <c r="X449" s="92">
        <f>IFERROR(VLOOKUP($A449,'13. Mapa Títulos-Receita'!$A$8:$P$1000,9,FALSE),"")</f>
        <v/>
      </c>
      <c r="Y449" s="92">
        <f>IFERROR(VLOOKUP($A449,'13. Mapa Títulos-Receita'!$A$8:$P$1000,10,FALSE),"")</f>
        <v/>
      </c>
      <c r="Z449" s="92">
        <f>IFERROR(VLOOKUP($A449,'13. Mapa Títulos-Receita'!$A$8:$P$1000,11,FALSE),"")</f>
        <v/>
      </c>
      <c r="AA449" s="92">
        <f>IFERROR(VLOOKUP($A449,'13. Mapa Títulos-Receita'!$A$8:$P$1000,12,FALSE),"")</f>
        <v/>
      </c>
      <c r="AB449" s="92">
        <f>IFERROR(VLOOKUP($A449,'13. Mapa Títulos-Receita'!$A$8:$P$1000,13,FALSE),"")</f>
        <v/>
      </c>
      <c r="AC449" s="92">
        <f>IFERROR(VLOOKUP($A449,'13. Mapa Títulos-Receita'!$A$8:$P$1000,14,FALSE),"")</f>
        <v/>
      </c>
      <c r="AD449" s="92">
        <f>IFERROR(VLOOKUP($A449,'13. Mapa Títulos-Receita'!$A$8:$P$1000,15,FALSE),"")</f>
        <v/>
      </c>
      <c r="AE449" s="92">
        <f>IFERROR(VLOOKUP($A449,'13. Mapa Títulos-Receita'!$A$8:$P$1000,16,FALSE),"")</f>
        <v/>
      </c>
    </row>
    <row r="450">
      <c r="A450" s="28">
        <f>IF(C450="","", "CR-"&amp;TEXT(ROW()-7,"000"))</f>
        <v/>
      </c>
      <c r="B450" s="28" t="n"/>
      <c r="C450" s="28" t="n"/>
      <c r="D450" s="111" t="n"/>
      <c r="E450" s="111" t="n"/>
      <c r="F450" s="111" t="n"/>
      <c r="G450" s="28" t="n"/>
      <c r="H450" s="45" t="n"/>
      <c r="I450" s="45" t="n"/>
      <c r="J450" s="28">
        <f>IF(H450="","",IF(I450&gt;=H450,"Recebido",IF($B$4&gt;E450,"Vencido","Aberto")))</f>
        <v/>
      </c>
      <c r="K450" s="4">
        <f>IF(J450="","",IF(OR(J450="Recebido",F450=""),MAX(0,F450-E450),MAX(0,$B$4-E450)))</f>
        <v/>
      </c>
      <c r="L450" s="4">
        <f>IF(K450="","",IF(K450=0,"Em dia",IF(K450&lt;=30,"1-30 dias",IF(K450&lt;=60,"31-60 dias",IF(K450&lt;=90,"61-90 dias","&gt;90 dias")))))</f>
        <v/>
      </c>
      <c r="M450" s="28" t="n"/>
      <c r="N450" s="104" t="inlineStr"/>
      <c r="O450" s="64" t="n"/>
      <c r="P450" s="64">
        <f>IF(C450="","",IF(ISNUMBER(SEARCH("PCMSO",C450)),"PCMSO",IF(OR(ISNUMBER(SEARCH("E-SOCIAL",C450)),ISNUMBER(SEARCH("PSICOSOCIAL",C450))),"eSocial / Psicossocial",IF(O450="Receita recorrente","Carteira recorrente","Projetos / Laudos / Avulsos"))))</f>
        <v/>
      </c>
      <c r="Q450" s="64">
        <f>IF(P450="","",IF(P450="Carteira recorrente","Operação recorrente",IF(P450="PCMSO","Projetos PCMSO",IF(P450="eSocial / Psicossocial","Projetos eSocial/Psicossocial","Projetos / Laudos / Avulsos"))))</f>
        <v/>
      </c>
      <c r="R450" s="64">
        <f>IF(C450="","",IF(ISNUMBER(SEARCH("PCMSO",C450)),"Título com PCMSO no nome",IF(OR(ISNUMBER(SEARCH("E-SOCIAL",C450)),ISNUMBER(SEARCH("PSICOSOCIAL",C450))),"Título com eSocial/Psicossocial no nome",IF(O450="Receita recorrente","Tipo DRE recorrente","Extra sem palavra-chave específica"))))</f>
        <v/>
      </c>
      <c r="S450" s="92">
        <f>IFERROR(VLOOKUP($A450,'13. Mapa Títulos-Receita'!$A$8:$P$1000,4,FALSE),"")</f>
        <v/>
      </c>
      <c r="T450" s="92">
        <f>IFERROR(VLOOKUP($A450,'13. Mapa Títulos-Receita'!$A$8:$P$1000,5,FALSE),"")</f>
        <v/>
      </c>
      <c r="U450" s="92">
        <f>IFERROR(VLOOKUP($A450,'13. Mapa Títulos-Receita'!$A$8:$P$1000,6,FALSE),"")</f>
        <v/>
      </c>
      <c r="V450" s="92">
        <f>IFERROR(VLOOKUP($A450,'13. Mapa Títulos-Receita'!$A$8:$P$1000,7,FALSE),"")</f>
        <v/>
      </c>
      <c r="W450" s="92">
        <f>IFERROR(VLOOKUP($A450,'13. Mapa Títulos-Receita'!$A$8:$P$1000,8,FALSE),"")</f>
        <v/>
      </c>
      <c r="X450" s="92">
        <f>IFERROR(VLOOKUP($A450,'13. Mapa Títulos-Receita'!$A$8:$P$1000,9,FALSE),"")</f>
        <v/>
      </c>
      <c r="Y450" s="92">
        <f>IFERROR(VLOOKUP($A450,'13. Mapa Títulos-Receita'!$A$8:$P$1000,10,FALSE),"")</f>
        <v/>
      </c>
      <c r="Z450" s="92">
        <f>IFERROR(VLOOKUP($A450,'13. Mapa Títulos-Receita'!$A$8:$P$1000,11,FALSE),"")</f>
        <v/>
      </c>
      <c r="AA450" s="92">
        <f>IFERROR(VLOOKUP($A450,'13. Mapa Títulos-Receita'!$A$8:$P$1000,12,FALSE),"")</f>
        <v/>
      </c>
      <c r="AB450" s="92">
        <f>IFERROR(VLOOKUP($A450,'13. Mapa Títulos-Receita'!$A$8:$P$1000,13,FALSE),"")</f>
        <v/>
      </c>
      <c r="AC450" s="92">
        <f>IFERROR(VLOOKUP($A450,'13. Mapa Títulos-Receita'!$A$8:$P$1000,14,FALSE),"")</f>
        <v/>
      </c>
      <c r="AD450" s="92">
        <f>IFERROR(VLOOKUP($A450,'13. Mapa Títulos-Receita'!$A$8:$P$1000,15,FALSE),"")</f>
        <v/>
      </c>
      <c r="AE450" s="92">
        <f>IFERROR(VLOOKUP($A450,'13. Mapa Títulos-Receita'!$A$8:$P$1000,16,FALSE),"")</f>
        <v/>
      </c>
    </row>
    <row r="451">
      <c r="A451" s="28">
        <f>IF(C451="","", "CR-"&amp;TEXT(ROW()-7,"000"))</f>
        <v/>
      </c>
      <c r="B451" s="28" t="n"/>
      <c r="C451" s="28" t="n"/>
      <c r="D451" s="111" t="n"/>
      <c r="E451" s="111" t="n"/>
      <c r="F451" s="111" t="n"/>
      <c r="G451" s="28" t="n"/>
      <c r="H451" s="45" t="n"/>
      <c r="I451" s="45" t="n"/>
      <c r="J451" s="28">
        <f>IF(H451="","",IF(I451&gt;=H451,"Recebido",IF($B$4&gt;E451,"Vencido","Aberto")))</f>
        <v/>
      </c>
      <c r="K451" s="4">
        <f>IF(J451="","",IF(OR(J451="Recebido",F451=""),MAX(0,F451-E451),MAX(0,$B$4-E451)))</f>
        <v/>
      </c>
      <c r="L451" s="4">
        <f>IF(K451="","",IF(K451=0,"Em dia",IF(K451&lt;=30,"1-30 dias",IF(K451&lt;=60,"31-60 dias",IF(K451&lt;=90,"61-90 dias","&gt;90 dias")))))</f>
        <v/>
      </c>
      <c r="M451" s="28" t="n"/>
      <c r="N451" s="104" t="inlineStr"/>
      <c r="O451" s="64" t="n"/>
      <c r="P451" s="64">
        <f>IF(C451="","",IF(ISNUMBER(SEARCH("PCMSO",C451)),"PCMSO",IF(OR(ISNUMBER(SEARCH("E-SOCIAL",C451)),ISNUMBER(SEARCH("PSICOSOCIAL",C451))),"eSocial / Psicossocial",IF(O451="Receita recorrente","Carteira recorrente","Projetos / Laudos / Avulsos"))))</f>
        <v/>
      </c>
      <c r="Q451" s="64">
        <f>IF(P451="","",IF(P451="Carteira recorrente","Operação recorrente",IF(P451="PCMSO","Projetos PCMSO",IF(P451="eSocial / Psicossocial","Projetos eSocial/Psicossocial","Projetos / Laudos / Avulsos"))))</f>
        <v/>
      </c>
      <c r="R451" s="64">
        <f>IF(C451="","",IF(ISNUMBER(SEARCH("PCMSO",C451)),"Título com PCMSO no nome",IF(OR(ISNUMBER(SEARCH("E-SOCIAL",C451)),ISNUMBER(SEARCH("PSICOSOCIAL",C451))),"Título com eSocial/Psicossocial no nome",IF(O451="Receita recorrente","Tipo DRE recorrente","Extra sem palavra-chave específica"))))</f>
        <v/>
      </c>
      <c r="S451" s="92">
        <f>IFERROR(VLOOKUP($A451,'13. Mapa Títulos-Receita'!$A$8:$P$1000,4,FALSE),"")</f>
        <v/>
      </c>
      <c r="T451" s="92">
        <f>IFERROR(VLOOKUP($A451,'13. Mapa Títulos-Receita'!$A$8:$P$1000,5,FALSE),"")</f>
        <v/>
      </c>
      <c r="U451" s="92">
        <f>IFERROR(VLOOKUP($A451,'13. Mapa Títulos-Receita'!$A$8:$P$1000,6,FALSE),"")</f>
        <v/>
      </c>
      <c r="V451" s="92">
        <f>IFERROR(VLOOKUP($A451,'13. Mapa Títulos-Receita'!$A$8:$P$1000,7,FALSE),"")</f>
        <v/>
      </c>
      <c r="W451" s="92">
        <f>IFERROR(VLOOKUP($A451,'13. Mapa Títulos-Receita'!$A$8:$P$1000,8,FALSE),"")</f>
        <v/>
      </c>
      <c r="X451" s="92">
        <f>IFERROR(VLOOKUP($A451,'13. Mapa Títulos-Receita'!$A$8:$P$1000,9,FALSE),"")</f>
        <v/>
      </c>
      <c r="Y451" s="92">
        <f>IFERROR(VLOOKUP($A451,'13. Mapa Títulos-Receita'!$A$8:$P$1000,10,FALSE),"")</f>
        <v/>
      </c>
      <c r="Z451" s="92">
        <f>IFERROR(VLOOKUP($A451,'13. Mapa Títulos-Receita'!$A$8:$P$1000,11,FALSE),"")</f>
        <v/>
      </c>
      <c r="AA451" s="92">
        <f>IFERROR(VLOOKUP($A451,'13. Mapa Títulos-Receita'!$A$8:$P$1000,12,FALSE),"")</f>
        <v/>
      </c>
      <c r="AB451" s="92">
        <f>IFERROR(VLOOKUP($A451,'13. Mapa Títulos-Receita'!$A$8:$P$1000,13,FALSE),"")</f>
        <v/>
      </c>
      <c r="AC451" s="92">
        <f>IFERROR(VLOOKUP($A451,'13. Mapa Títulos-Receita'!$A$8:$P$1000,14,FALSE),"")</f>
        <v/>
      </c>
      <c r="AD451" s="92">
        <f>IFERROR(VLOOKUP($A451,'13. Mapa Títulos-Receita'!$A$8:$P$1000,15,FALSE),"")</f>
        <v/>
      </c>
      <c r="AE451" s="92">
        <f>IFERROR(VLOOKUP($A451,'13. Mapa Títulos-Receita'!$A$8:$P$1000,16,FALSE),"")</f>
        <v/>
      </c>
    </row>
    <row r="452">
      <c r="A452" s="28">
        <f>IF(C452="","", "CR-"&amp;TEXT(ROW()-7,"000"))</f>
        <v/>
      </c>
      <c r="B452" s="28" t="n"/>
      <c r="C452" s="28" t="n"/>
      <c r="D452" s="111" t="n"/>
      <c r="E452" s="111" t="n"/>
      <c r="F452" s="111" t="n"/>
      <c r="G452" s="28" t="n"/>
      <c r="H452" s="45" t="n"/>
      <c r="I452" s="45" t="n"/>
      <c r="J452" s="28">
        <f>IF(H452="","",IF(I452&gt;=H452,"Recebido",IF($B$4&gt;E452,"Vencido","Aberto")))</f>
        <v/>
      </c>
      <c r="K452" s="4">
        <f>IF(J452="","",IF(OR(J452="Recebido",F452=""),MAX(0,F452-E452),MAX(0,$B$4-E452)))</f>
        <v/>
      </c>
      <c r="L452" s="4">
        <f>IF(K452="","",IF(K452=0,"Em dia",IF(K452&lt;=30,"1-30 dias",IF(K452&lt;=60,"31-60 dias",IF(K452&lt;=90,"61-90 dias","&gt;90 dias")))))</f>
        <v/>
      </c>
      <c r="M452" s="28" t="n"/>
      <c r="N452" s="104" t="inlineStr"/>
      <c r="O452" s="64" t="n"/>
      <c r="P452" s="64">
        <f>IF(C452="","",IF(ISNUMBER(SEARCH("PCMSO",C452)),"PCMSO",IF(OR(ISNUMBER(SEARCH("E-SOCIAL",C452)),ISNUMBER(SEARCH("PSICOSOCIAL",C452))),"eSocial / Psicossocial",IF(O452="Receita recorrente","Carteira recorrente","Projetos / Laudos / Avulsos"))))</f>
        <v/>
      </c>
      <c r="Q452" s="64">
        <f>IF(P452="","",IF(P452="Carteira recorrente","Operação recorrente",IF(P452="PCMSO","Projetos PCMSO",IF(P452="eSocial / Psicossocial","Projetos eSocial/Psicossocial","Projetos / Laudos / Avulsos"))))</f>
        <v/>
      </c>
      <c r="R452" s="64">
        <f>IF(C452="","",IF(ISNUMBER(SEARCH("PCMSO",C452)),"Título com PCMSO no nome",IF(OR(ISNUMBER(SEARCH("E-SOCIAL",C452)),ISNUMBER(SEARCH("PSICOSOCIAL",C452))),"Título com eSocial/Psicossocial no nome",IF(O452="Receita recorrente","Tipo DRE recorrente","Extra sem palavra-chave específica"))))</f>
        <v/>
      </c>
      <c r="S452" s="92">
        <f>IFERROR(VLOOKUP($A452,'13. Mapa Títulos-Receita'!$A$8:$P$1000,4,FALSE),"")</f>
        <v/>
      </c>
      <c r="T452" s="92">
        <f>IFERROR(VLOOKUP($A452,'13. Mapa Títulos-Receita'!$A$8:$P$1000,5,FALSE),"")</f>
        <v/>
      </c>
      <c r="U452" s="92">
        <f>IFERROR(VLOOKUP($A452,'13. Mapa Títulos-Receita'!$A$8:$P$1000,6,FALSE),"")</f>
        <v/>
      </c>
      <c r="V452" s="92">
        <f>IFERROR(VLOOKUP($A452,'13. Mapa Títulos-Receita'!$A$8:$P$1000,7,FALSE),"")</f>
        <v/>
      </c>
      <c r="W452" s="92">
        <f>IFERROR(VLOOKUP($A452,'13. Mapa Títulos-Receita'!$A$8:$P$1000,8,FALSE),"")</f>
        <v/>
      </c>
      <c r="X452" s="92">
        <f>IFERROR(VLOOKUP($A452,'13. Mapa Títulos-Receita'!$A$8:$P$1000,9,FALSE),"")</f>
        <v/>
      </c>
      <c r="Y452" s="92">
        <f>IFERROR(VLOOKUP($A452,'13. Mapa Títulos-Receita'!$A$8:$P$1000,10,FALSE),"")</f>
        <v/>
      </c>
      <c r="Z452" s="92">
        <f>IFERROR(VLOOKUP($A452,'13. Mapa Títulos-Receita'!$A$8:$P$1000,11,FALSE),"")</f>
        <v/>
      </c>
      <c r="AA452" s="92">
        <f>IFERROR(VLOOKUP($A452,'13. Mapa Títulos-Receita'!$A$8:$P$1000,12,FALSE),"")</f>
        <v/>
      </c>
      <c r="AB452" s="92">
        <f>IFERROR(VLOOKUP($A452,'13. Mapa Títulos-Receita'!$A$8:$P$1000,13,FALSE),"")</f>
        <v/>
      </c>
      <c r="AC452" s="92">
        <f>IFERROR(VLOOKUP($A452,'13. Mapa Títulos-Receita'!$A$8:$P$1000,14,FALSE),"")</f>
        <v/>
      </c>
      <c r="AD452" s="92">
        <f>IFERROR(VLOOKUP($A452,'13. Mapa Títulos-Receita'!$A$8:$P$1000,15,FALSE),"")</f>
        <v/>
      </c>
      <c r="AE452" s="92">
        <f>IFERROR(VLOOKUP($A452,'13. Mapa Títulos-Receita'!$A$8:$P$1000,16,FALSE),"")</f>
        <v/>
      </c>
    </row>
    <row r="453">
      <c r="A453" s="28">
        <f>IF(C453="","", "CR-"&amp;TEXT(ROW()-7,"000"))</f>
        <v/>
      </c>
      <c r="B453" s="28" t="n"/>
      <c r="C453" s="28" t="n"/>
      <c r="D453" s="111" t="n"/>
      <c r="E453" s="111" t="n"/>
      <c r="F453" s="111" t="n"/>
      <c r="G453" s="28" t="n"/>
      <c r="H453" s="45" t="n"/>
      <c r="I453" s="45" t="n"/>
      <c r="J453" s="28">
        <f>IF(H453="","",IF(I453&gt;=H453,"Recebido",IF($B$4&gt;E453,"Vencido","Aberto")))</f>
        <v/>
      </c>
      <c r="K453" s="4">
        <f>IF(J453="","",IF(OR(J453="Recebido",F453=""),MAX(0,F453-E453),MAX(0,$B$4-E453)))</f>
        <v/>
      </c>
      <c r="L453" s="4">
        <f>IF(K453="","",IF(K453=0,"Em dia",IF(K453&lt;=30,"1-30 dias",IF(K453&lt;=60,"31-60 dias",IF(K453&lt;=90,"61-90 dias","&gt;90 dias")))))</f>
        <v/>
      </c>
      <c r="M453" s="28" t="n"/>
      <c r="N453" s="104" t="inlineStr"/>
      <c r="O453" s="64" t="n"/>
      <c r="P453" s="64">
        <f>IF(C453="","",IF(ISNUMBER(SEARCH("PCMSO",C453)),"PCMSO",IF(OR(ISNUMBER(SEARCH("E-SOCIAL",C453)),ISNUMBER(SEARCH("PSICOSOCIAL",C453))),"eSocial / Psicossocial",IF(O453="Receita recorrente","Carteira recorrente","Projetos / Laudos / Avulsos"))))</f>
        <v/>
      </c>
      <c r="Q453" s="64">
        <f>IF(P453="","",IF(P453="Carteira recorrente","Operação recorrente",IF(P453="PCMSO","Projetos PCMSO",IF(P453="eSocial / Psicossocial","Projetos eSocial/Psicossocial","Projetos / Laudos / Avulsos"))))</f>
        <v/>
      </c>
      <c r="R453" s="64">
        <f>IF(C453="","",IF(ISNUMBER(SEARCH("PCMSO",C453)),"Título com PCMSO no nome",IF(OR(ISNUMBER(SEARCH("E-SOCIAL",C453)),ISNUMBER(SEARCH("PSICOSOCIAL",C453))),"Título com eSocial/Psicossocial no nome",IF(O453="Receita recorrente","Tipo DRE recorrente","Extra sem palavra-chave específica"))))</f>
        <v/>
      </c>
      <c r="S453" s="92">
        <f>IFERROR(VLOOKUP($A453,'13. Mapa Títulos-Receita'!$A$8:$P$1000,4,FALSE),"")</f>
        <v/>
      </c>
      <c r="T453" s="92">
        <f>IFERROR(VLOOKUP($A453,'13. Mapa Títulos-Receita'!$A$8:$P$1000,5,FALSE),"")</f>
        <v/>
      </c>
      <c r="U453" s="92">
        <f>IFERROR(VLOOKUP($A453,'13. Mapa Títulos-Receita'!$A$8:$P$1000,6,FALSE),"")</f>
        <v/>
      </c>
      <c r="V453" s="92">
        <f>IFERROR(VLOOKUP($A453,'13. Mapa Títulos-Receita'!$A$8:$P$1000,7,FALSE),"")</f>
        <v/>
      </c>
      <c r="W453" s="92">
        <f>IFERROR(VLOOKUP($A453,'13. Mapa Títulos-Receita'!$A$8:$P$1000,8,FALSE),"")</f>
        <v/>
      </c>
      <c r="X453" s="92">
        <f>IFERROR(VLOOKUP($A453,'13. Mapa Títulos-Receita'!$A$8:$P$1000,9,FALSE),"")</f>
        <v/>
      </c>
      <c r="Y453" s="92">
        <f>IFERROR(VLOOKUP($A453,'13. Mapa Títulos-Receita'!$A$8:$P$1000,10,FALSE),"")</f>
        <v/>
      </c>
      <c r="Z453" s="92">
        <f>IFERROR(VLOOKUP($A453,'13. Mapa Títulos-Receita'!$A$8:$P$1000,11,FALSE),"")</f>
        <v/>
      </c>
      <c r="AA453" s="92">
        <f>IFERROR(VLOOKUP($A453,'13. Mapa Títulos-Receita'!$A$8:$P$1000,12,FALSE),"")</f>
        <v/>
      </c>
      <c r="AB453" s="92">
        <f>IFERROR(VLOOKUP($A453,'13. Mapa Títulos-Receita'!$A$8:$P$1000,13,FALSE),"")</f>
        <v/>
      </c>
      <c r="AC453" s="92">
        <f>IFERROR(VLOOKUP($A453,'13. Mapa Títulos-Receita'!$A$8:$P$1000,14,FALSE),"")</f>
        <v/>
      </c>
      <c r="AD453" s="92">
        <f>IFERROR(VLOOKUP($A453,'13. Mapa Títulos-Receita'!$A$8:$P$1000,15,FALSE),"")</f>
        <v/>
      </c>
      <c r="AE453" s="92">
        <f>IFERROR(VLOOKUP($A453,'13. Mapa Títulos-Receita'!$A$8:$P$1000,16,FALSE),"")</f>
        <v/>
      </c>
    </row>
    <row r="454">
      <c r="A454" s="28">
        <f>IF(C454="","", "CR-"&amp;TEXT(ROW()-7,"000"))</f>
        <v/>
      </c>
      <c r="B454" s="28" t="n"/>
      <c r="C454" s="28" t="n"/>
      <c r="D454" s="111" t="n"/>
      <c r="E454" s="111" t="n"/>
      <c r="F454" s="111" t="n"/>
      <c r="G454" s="28" t="n"/>
      <c r="H454" s="45" t="n"/>
      <c r="I454" s="45" t="n"/>
      <c r="J454" s="28">
        <f>IF(H454="","",IF(I454&gt;=H454,"Recebido",IF($B$4&gt;E454,"Vencido","Aberto")))</f>
        <v/>
      </c>
      <c r="K454" s="4">
        <f>IF(J454="","",IF(OR(J454="Recebido",F454=""),MAX(0,F454-E454),MAX(0,$B$4-E454)))</f>
        <v/>
      </c>
      <c r="L454" s="4">
        <f>IF(K454="","",IF(K454=0,"Em dia",IF(K454&lt;=30,"1-30 dias",IF(K454&lt;=60,"31-60 dias",IF(K454&lt;=90,"61-90 dias","&gt;90 dias")))))</f>
        <v/>
      </c>
      <c r="M454" s="28" t="n"/>
      <c r="N454" s="104" t="inlineStr"/>
      <c r="O454" s="64" t="n"/>
      <c r="P454" s="64">
        <f>IF(C454="","",IF(ISNUMBER(SEARCH("PCMSO",C454)),"PCMSO",IF(OR(ISNUMBER(SEARCH("E-SOCIAL",C454)),ISNUMBER(SEARCH("PSICOSOCIAL",C454))),"eSocial / Psicossocial",IF(O454="Receita recorrente","Carteira recorrente","Projetos / Laudos / Avulsos"))))</f>
        <v/>
      </c>
      <c r="Q454" s="64">
        <f>IF(P454="","",IF(P454="Carteira recorrente","Operação recorrente",IF(P454="PCMSO","Projetos PCMSO",IF(P454="eSocial / Psicossocial","Projetos eSocial/Psicossocial","Projetos / Laudos / Avulsos"))))</f>
        <v/>
      </c>
      <c r="R454" s="64">
        <f>IF(C454="","",IF(ISNUMBER(SEARCH("PCMSO",C454)),"Título com PCMSO no nome",IF(OR(ISNUMBER(SEARCH("E-SOCIAL",C454)),ISNUMBER(SEARCH("PSICOSOCIAL",C454))),"Título com eSocial/Psicossocial no nome",IF(O454="Receita recorrente","Tipo DRE recorrente","Extra sem palavra-chave específica"))))</f>
        <v/>
      </c>
      <c r="S454" s="92">
        <f>IFERROR(VLOOKUP($A454,'13. Mapa Títulos-Receita'!$A$8:$P$1000,4,FALSE),"")</f>
        <v/>
      </c>
      <c r="T454" s="92">
        <f>IFERROR(VLOOKUP($A454,'13. Mapa Títulos-Receita'!$A$8:$P$1000,5,FALSE),"")</f>
        <v/>
      </c>
      <c r="U454" s="92">
        <f>IFERROR(VLOOKUP($A454,'13. Mapa Títulos-Receita'!$A$8:$P$1000,6,FALSE),"")</f>
        <v/>
      </c>
      <c r="V454" s="92">
        <f>IFERROR(VLOOKUP($A454,'13. Mapa Títulos-Receita'!$A$8:$P$1000,7,FALSE),"")</f>
        <v/>
      </c>
      <c r="W454" s="92">
        <f>IFERROR(VLOOKUP($A454,'13. Mapa Títulos-Receita'!$A$8:$P$1000,8,FALSE),"")</f>
        <v/>
      </c>
      <c r="X454" s="92">
        <f>IFERROR(VLOOKUP($A454,'13. Mapa Títulos-Receita'!$A$8:$P$1000,9,FALSE),"")</f>
        <v/>
      </c>
      <c r="Y454" s="92">
        <f>IFERROR(VLOOKUP($A454,'13. Mapa Títulos-Receita'!$A$8:$P$1000,10,FALSE),"")</f>
        <v/>
      </c>
      <c r="Z454" s="92">
        <f>IFERROR(VLOOKUP($A454,'13. Mapa Títulos-Receita'!$A$8:$P$1000,11,FALSE),"")</f>
        <v/>
      </c>
      <c r="AA454" s="92">
        <f>IFERROR(VLOOKUP($A454,'13. Mapa Títulos-Receita'!$A$8:$P$1000,12,FALSE),"")</f>
        <v/>
      </c>
      <c r="AB454" s="92">
        <f>IFERROR(VLOOKUP($A454,'13. Mapa Títulos-Receita'!$A$8:$P$1000,13,FALSE),"")</f>
        <v/>
      </c>
      <c r="AC454" s="92">
        <f>IFERROR(VLOOKUP($A454,'13. Mapa Títulos-Receita'!$A$8:$P$1000,14,FALSE),"")</f>
        <v/>
      </c>
      <c r="AD454" s="92">
        <f>IFERROR(VLOOKUP($A454,'13. Mapa Títulos-Receita'!$A$8:$P$1000,15,FALSE),"")</f>
        <v/>
      </c>
      <c r="AE454" s="92">
        <f>IFERROR(VLOOKUP($A454,'13. Mapa Títulos-Receita'!$A$8:$P$1000,16,FALSE),"")</f>
        <v/>
      </c>
    </row>
    <row r="455">
      <c r="A455" s="28">
        <f>IF(C455="","", "CR-"&amp;TEXT(ROW()-7,"000"))</f>
        <v/>
      </c>
      <c r="B455" s="28" t="n"/>
      <c r="C455" s="28" t="n"/>
      <c r="D455" s="111" t="n"/>
      <c r="E455" s="111" t="n"/>
      <c r="F455" s="111" t="n"/>
      <c r="G455" s="28" t="n"/>
      <c r="H455" s="45" t="n"/>
      <c r="I455" s="45" t="n"/>
      <c r="J455" s="28">
        <f>IF(H455="","",IF(I455&gt;=H455,"Recebido",IF($B$4&gt;E455,"Vencido","Aberto")))</f>
        <v/>
      </c>
      <c r="K455" s="4">
        <f>IF(J455="","",IF(OR(J455="Recebido",F455=""),MAX(0,F455-E455),MAX(0,$B$4-E455)))</f>
        <v/>
      </c>
      <c r="L455" s="4">
        <f>IF(K455="","",IF(K455=0,"Em dia",IF(K455&lt;=30,"1-30 dias",IF(K455&lt;=60,"31-60 dias",IF(K455&lt;=90,"61-90 dias","&gt;90 dias")))))</f>
        <v/>
      </c>
      <c r="M455" s="28" t="n"/>
      <c r="N455" s="104" t="inlineStr"/>
      <c r="O455" s="64" t="n"/>
      <c r="P455" s="64">
        <f>IF(C455="","",IF(ISNUMBER(SEARCH("PCMSO",C455)),"PCMSO",IF(OR(ISNUMBER(SEARCH("E-SOCIAL",C455)),ISNUMBER(SEARCH("PSICOSOCIAL",C455))),"eSocial / Psicossocial",IF(O455="Receita recorrente","Carteira recorrente","Projetos / Laudos / Avulsos"))))</f>
        <v/>
      </c>
      <c r="Q455" s="64">
        <f>IF(P455="","",IF(P455="Carteira recorrente","Operação recorrente",IF(P455="PCMSO","Projetos PCMSO",IF(P455="eSocial / Psicossocial","Projetos eSocial/Psicossocial","Projetos / Laudos / Avulsos"))))</f>
        <v/>
      </c>
      <c r="R455" s="64">
        <f>IF(C455="","",IF(ISNUMBER(SEARCH("PCMSO",C455)),"Título com PCMSO no nome",IF(OR(ISNUMBER(SEARCH("E-SOCIAL",C455)),ISNUMBER(SEARCH("PSICOSOCIAL",C455))),"Título com eSocial/Psicossocial no nome",IF(O455="Receita recorrente","Tipo DRE recorrente","Extra sem palavra-chave específica"))))</f>
        <v/>
      </c>
      <c r="S455" s="92">
        <f>IFERROR(VLOOKUP($A455,'13. Mapa Títulos-Receita'!$A$8:$P$1000,4,FALSE),"")</f>
        <v/>
      </c>
      <c r="T455" s="92">
        <f>IFERROR(VLOOKUP($A455,'13. Mapa Títulos-Receita'!$A$8:$P$1000,5,FALSE),"")</f>
        <v/>
      </c>
      <c r="U455" s="92">
        <f>IFERROR(VLOOKUP($A455,'13. Mapa Títulos-Receita'!$A$8:$P$1000,6,FALSE),"")</f>
        <v/>
      </c>
      <c r="V455" s="92">
        <f>IFERROR(VLOOKUP($A455,'13. Mapa Títulos-Receita'!$A$8:$P$1000,7,FALSE),"")</f>
        <v/>
      </c>
      <c r="W455" s="92">
        <f>IFERROR(VLOOKUP($A455,'13. Mapa Títulos-Receita'!$A$8:$P$1000,8,FALSE),"")</f>
        <v/>
      </c>
      <c r="X455" s="92">
        <f>IFERROR(VLOOKUP($A455,'13. Mapa Títulos-Receita'!$A$8:$P$1000,9,FALSE),"")</f>
        <v/>
      </c>
      <c r="Y455" s="92">
        <f>IFERROR(VLOOKUP($A455,'13. Mapa Títulos-Receita'!$A$8:$P$1000,10,FALSE),"")</f>
        <v/>
      </c>
      <c r="Z455" s="92">
        <f>IFERROR(VLOOKUP($A455,'13. Mapa Títulos-Receita'!$A$8:$P$1000,11,FALSE),"")</f>
        <v/>
      </c>
      <c r="AA455" s="92">
        <f>IFERROR(VLOOKUP($A455,'13. Mapa Títulos-Receita'!$A$8:$P$1000,12,FALSE),"")</f>
        <v/>
      </c>
      <c r="AB455" s="92">
        <f>IFERROR(VLOOKUP($A455,'13. Mapa Títulos-Receita'!$A$8:$P$1000,13,FALSE),"")</f>
        <v/>
      </c>
      <c r="AC455" s="92">
        <f>IFERROR(VLOOKUP($A455,'13. Mapa Títulos-Receita'!$A$8:$P$1000,14,FALSE),"")</f>
        <v/>
      </c>
      <c r="AD455" s="92">
        <f>IFERROR(VLOOKUP($A455,'13. Mapa Títulos-Receita'!$A$8:$P$1000,15,FALSE),"")</f>
        <v/>
      </c>
      <c r="AE455" s="92">
        <f>IFERROR(VLOOKUP($A455,'13. Mapa Títulos-Receita'!$A$8:$P$1000,16,FALSE),"")</f>
        <v/>
      </c>
    </row>
    <row r="456">
      <c r="A456" s="28">
        <f>IF(C456="","", "CR-"&amp;TEXT(ROW()-7,"000"))</f>
        <v/>
      </c>
      <c r="B456" s="28" t="n"/>
      <c r="C456" s="28" t="n"/>
      <c r="D456" s="111" t="n"/>
      <c r="E456" s="111" t="n"/>
      <c r="F456" s="111" t="n"/>
      <c r="G456" s="28" t="n"/>
      <c r="H456" s="45" t="n"/>
      <c r="I456" s="45" t="n"/>
      <c r="J456" s="28">
        <f>IF(H456="","",IF(I456&gt;=H456,"Recebido",IF($B$4&gt;E456,"Vencido","Aberto")))</f>
        <v/>
      </c>
      <c r="K456" s="4">
        <f>IF(J456="","",IF(OR(J456="Recebido",F456=""),MAX(0,F456-E456),MAX(0,$B$4-E456)))</f>
        <v/>
      </c>
      <c r="L456" s="4">
        <f>IF(K456="","",IF(K456=0,"Em dia",IF(K456&lt;=30,"1-30 dias",IF(K456&lt;=60,"31-60 dias",IF(K456&lt;=90,"61-90 dias","&gt;90 dias")))))</f>
        <v/>
      </c>
      <c r="M456" s="28" t="n"/>
      <c r="N456" s="104" t="inlineStr"/>
      <c r="O456" s="64" t="n"/>
      <c r="P456" s="64">
        <f>IF(C456="","",IF(ISNUMBER(SEARCH("PCMSO",C456)),"PCMSO",IF(OR(ISNUMBER(SEARCH("E-SOCIAL",C456)),ISNUMBER(SEARCH("PSICOSOCIAL",C456))),"eSocial / Psicossocial",IF(O456="Receita recorrente","Carteira recorrente","Projetos / Laudos / Avulsos"))))</f>
        <v/>
      </c>
      <c r="Q456" s="64">
        <f>IF(P456="","",IF(P456="Carteira recorrente","Operação recorrente",IF(P456="PCMSO","Projetos PCMSO",IF(P456="eSocial / Psicossocial","Projetos eSocial/Psicossocial","Projetos / Laudos / Avulsos"))))</f>
        <v/>
      </c>
      <c r="R456" s="64">
        <f>IF(C456="","",IF(ISNUMBER(SEARCH("PCMSO",C456)),"Título com PCMSO no nome",IF(OR(ISNUMBER(SEARCH("E-SOCIAL",C456)),ISNUMBER(SEARCH("PSICOSOCIAL",C456))),"Título com eSocial/Psicossocial no nome",IF(O456="Receita recorrente","Tipo DRE recorrente","Extra sem palavra-chave específica"))))</f>
        <v/>
      </c>
      <c r="S456" s="92">
        <f>IFERROR(VLOOKUP($A456,'13. Mapa Títulos-Receita'!$A$8:$P$1000,4,FALSE),"")</f>
        <v/>
      </c>
      <c r="T456" s="92">
        <f>IFERROR(VLOOKUP($A456,'13. Mapa Títulos-Receita'!$A$8:$P$1000,5,FALSE),"")</f>
        <v/>
      </c>
      <c r="U456" s="92">
        <f>IFERROR(VLOOKUP($A456,'13. Mapa Títulos-Receita'!$A$8:$P$1000,6,FALSE),"")</f>
        <v/>
      </c>
      <c r="V456" s="92">
        <f>IFERROR(VLOOKUP($A456,'13. Mapa Títulos-Receita'!$A$8:$P$1000,7,FALSE),"")</f>
        <v/>
      </c>
      <c r="W456" s="92">
        <f>IFERROR(VLOOKUP($A456,'13. Mapa Títulos-Receita'!$A$8:$P$1000,8,FALSE),"")</f>
        <v/>
      </c>
      <c r="X456" s="92">
        <f>IFERROR(VLOOKUP($A456,'13. Mapa Títulos-Receita'!$A$8:$P$1000,9,FALSE),"")</f>
        <v/>
      </c>
      <c r="Y456" s="92">
        <f>IFERROR(VLOOKUP($A456,'13. Mapa Títulos-Receita'!$A$8:$P$1000,10,FALSE),"")</f>
        <v/>
      </c>
      <c r="Z456" s="92">
        <f>IFERROR(VLOOKUP($A456,'13. Mapa Títulos-Receita'!$A$8:$P$1000,11,FALSE),"")</f>
        <v/>
      </c>
      <c r="AA456" s="92">
        <f>IFERROR(VLOOKUP($A456,'13. Mapa Títulos-Receita'!$A$8:$P$1000,12,FALSE),"")</f>
        <v/>
      </c>
      <c r="AB456" s="92">
        <f>IFERROR(VLOOKUP($A456,'13. Mapa Títulos-Receita'!$A$8:$P$1000,13,FALSE),"")</f>
        <v/>
      </c>
      <c r="AC456" s="92">
        <f>IFERROR(VLOOKUP($A456,'13. Mapa Títulos-Receita'!$A$8:$P$1000,14,FALSE),"")</f>
        <v/>
      </c>
      <c r="AD456" s="92">
        <f>IFERROR(VLOOKUP($A456,'13. Mapa Títulos-Receita'!$A$8:$P$1000,15,FALSE),"")</f>
        <v/>
      </c>
      <c r="AE456" s="92">
        <f>IFERROR(VLOOKUP($A456,'13. Mapa Títulos-Receita'!$A$8:$P$1000,16,FALSE),"")</f>
        <v/>
      </c>
    </row>
    <row r="457">
      <c r="A457" s="28">
        <f>IF(C457="","", "CR-"&amp;TEXT(ROW()-7,"000"))</f>
        <v/>
      </c>
      <c r="B457" s="28" t="n"/>
      <c r="C457" s="28" t="n"/>
      <c r="D457" s="111" t="n"/>
      <c r="E457" s="111" t="n"/>
      <c r="F457" s="111" t="n"/>
      <c r="G457" s="28" t="n"/>
      <c r="H457" s="45" t="n"/>
      <c r="I457" s="45" t="n"/>
      <c r="J457" s="28">
        <f>IF(H457="","",IF(I457&gt;=H457,"Recebido",IF($B$4&gt;E457,"Vencido","Aberto")))</f>
        <v/>
      </c>
      <c r="K457" s="4">
        <f>IF(J457="","",IF(OR(J457="Recebido",F457=""),MAX(0,F457-E457),MAX(0,$B$4-E457)))</f>
        <v/>
      </c>
      <c r="L457" s="4">
        <f>IF(K457="","",IF(K457=0,"Em dia",IF(K457&lt;=30,"1-30 dias",IF(K457&lt;=60,"31-60 dias",IF(K457&lt;=90,"61-90 dias","&gt;90 dias")))))</f>
        <v/>
      </c>
      <c r="M457" s="28" t="n"/>
      <c r="N457" s="104" t="inlineStr"/>
      <c r="O457" s="64" t="n"/>
      <c r="P457" s="64">
        <f>IF(C457="","",IF(ISNUMBER(SEARCH("PCMSO",C457)),"PCMSO",IF(OR(ISNUMBER(SEARCH("E-SOCIAL",C457)),ISNUMBER(SEARCH("PSICOSOCIAL",C457))),"eSocial / Psicossocial",IF(O457="Receita recorrente","Carteira recorrente","Projetos / Laudos / Avulsos"))))</f>
        <v/>
      </c>
      <c r="Q457" s="64">
        <f>IF(P457="","",IF(P457="Carteira recorrente","Operação recorrente",IF(P457="PCMSO","Projetos PCMSO",IF(P457="eSocial / Psicossocial","Projetos eSocial/Psicossocial","Projetos / Laudos / Avulsos"))))</f>
        <v/>
      </c>
      <c r="R457" s="64">
        <f>IF(C457="","",IF(ISNUMBER(SEARCH("PCMSO",C457)),"Título com PCMSO no nome",IF(OR(ISNUMBER(SEARCH("E-SOCIAL",C457)),ISNUMBER(SEARCH("PSICOSOCIAL",C457))),"Título com eSocial/Psicossocial no nome",IF(O457="Receita recorrente","Tipo DRE recorrente","Extra sem palavra-chave específica"))))</f>
        <v/>
      </c>
      <c r="S457" s="92">
        <f>IFERROR(VLOOKUP($A457,'13. Mapa Títulos-Receita'!$A$8:$P$1000,4,FALSE),"")</f>
        <v/>
      </c>
      <c r="T457" s="92">
        <f>IFERROR(VLOOKUP($A457,'13. Mapa Títulos-Receita'!$A$8:$P$1000,5,FALSE),"")</f>
        <v/>
      </c>
      <c r="U457" s="92">
        <f>IFERROR(VLOOKUP($A457,'13. Mapa Títulos-Receita'!$A$8:$P$1000,6,FALSE),"")</f>
        <v/>
      </c>
      <c r="V457" s="92">
        <f>IFERROR(VLOOKUP($A457,'13. Mapa Títulos-Receita'!$A$8:$P$1000,7,FALSE),"")</f>
        <v/>
      </c>
      <c r="W457" s="92">
        <f>IFERROR(VLOOKUP($A457,'13. Mapa Títulos-Receita'!$A$8:$P$1000,8,FALSE),"")</f>
        <v/>
      </c>
      <c r="X457" s="92">
        <f>IFERROR(VLOOKUP($A457,'13. Mapa Títulos-Receita'!$A$8:$P$1000,9,FALSE),"")</f>
        <v/>
      </c>
      <c r="Y457" s="92">
        <f>IFERROR(VLOOKUP($A457,'13. Mapa Títulos-Receita'!$A$8:$P$1000,10,FALSE),"")</f>
        <v/>
      </c>
      <c r="Z457" s="92">
        <f>IFERROR(VLOOKUP($A457,'13. Mapa Títulos-Receita'!$A$8:$P$1000,11,FALSE),"")</f>
        <v/>
      </c>
      <c r="AA457" s="92">
        <f>IFERROR(VLOOKUP($A457,'13. Mapa Títulos-Receita'!$A$8:$P$1000,12,FALSE),"")</f>
        <v/>
      </c>
      <c r="AB457" s="92">
        <f>IFERROR(VLOOKUP($A457,'13. Mapa Títulos-Receita'!$A$8:$P$1000,13,FALSE),"")</f>
        <v/>
      </c>
      <c r="AC457" s="92">
        <f>IFERROR(VLOOKUP($A457,'13. Mapa Títulos-Receita'!$A$8:$P$1000,14,FALSE),"")</f>
        <v/>
      </c>
      <c r="AD457" s="92">
        <f>IFERROR(VLOOKUP($A457,'13. Mapa Títulos-Receita'!$A$8:$P$1000,15,FALSE),"")</f>
        <v/>
      </c>
      <c r="AE457" s="92">
        <f>IFERROR(VLOOKUP($A457,'13. Mapa Títulos-Receita'!$A$8:$P$1000,16,FALSE),"")</f>
        <v/>
      </c>
    </row>
    <row r="458">
      <c r="A458" s="28">
        <f>IF(C458="","", "CR-"&amp;TEXT(ROW()-7,"000"))</f>
        <v/>
      </c>
      <c r="B458" s="28" t="n"/>
      <c r="C458" s="28" t="n"/>
      <c r="D458" s="111" t="n"/>
      <c r="E458" s="111" t="n"/>
      <c r="F458" s="111" t="n"/>
      <c r="G458" s="28" t="n"/>
      <c r="H458" s="45" t="n"/>
      <c r="I458" s="45" t="n"/>
      <c r="J458" s="28">
        <f>IF(H458="","",IF(I458&gt;=H458,"Recebido",IF($B$4&gt;E458,"Vencido","Aberto")))</f>
        <v/>
      </c>
      <c r="K458" s="4">
        <f>IF(J458="","",IF(OR(J458="Recebido",F458=""),MAX(0,F458-E458),MAX(0,$B$4-E458)))</f>
        <v/>
      </c>
      <c r="L458" s="4">
        <f>IF(K458="","",IF(K458=0,"Em dia",IF(K458&lt;=30,"1-30 dias",IF(K458&lt;=60,"31-60 dias",IF(K458&lt;=90,"61-90 dias","&gt;90 dias")))))</f>
        <v/>
      </c>
      <c r="M458" s="28" t="n"/>
      <c r="N458" s="104" t="inlineStr"/>
      <c r="O458" s="64" t="n"/>
      <c r="P458" s="64">
        <f>IF(C458="","",IF(ISNUMBER(SEARCH("PCMSO",C458)),"PCMSO",IF(OR(ISNUMBER(SEARCH("E-SOCIAL",C458)),ISNUMBER(SEARCH("PSICOSOCIAL",C458))),"eSocial / Psicossocial",IF(O458="Receita recorrente","Carteira recorrente","Projetos / Laudos / Avulsos"))))</f>
        <v/>
      </c>
      <c r="Q458" s="64">
        <f>IF(P458="","",IF(P458="Carteira recorrente","Operação recorrente",IF(P458="PCMSO","Projetos PCMSO",IF(P458="eSocial / Psicossocial","Projetos eSocial/Psicossocial","Projetos / Laudos / Avulsos"))))</f>
        <v/>
      </c>
      <c r="R458" s="64">
        <f>IF(C458="","",IF(ISNUMBER(SEARCH("PCMSO",C458)),"Título com PCMSO no nome",IF(OR(ISNUMBER(SEARCH("E-SOCIAL",C458)),ISNUMBER(SEARCH("PSICOSOCIAL",C458))),"Título com eSocial/Psicossocial no nome",IF(O458="Receita recorrente","Tipo DRE recorrente","Extra sem palavra-chave específica"))))</f>
        <v/>
      </c>
      <c r="S458" s="92">
        <f>IFERROR(VLOOKUP($A458,'13. Mapa Títulos-Receita'!$A$8:$P$1000,4,FALSE),"")</f>
        <v/>
      </c>
      <c r="T458" s="92">
        <f>IFERROR(VLOOKUP($A458,'13. Mapa Títulos-Receita'!$A$8:$P$1000,5,FALSE),"")</f>
        <v/>
      </c>
      <c r="U458" s="92">
        <f>IFERROR(VLOOKUP($A458,'13. Mapa Títulos-Receita'!$A$8:$P$1000,6,FALSE),"")</f>
        <v/>
      </c>
      <c r="V458" s="92">
        <f>IFERROR(VLOOKUP($A458,'13. Mapa Títulos-Receita'!$A$8:$P$1000,7,FALSE),"")</f>
        <v/>
      </c>
      <c r="W458" s="92">
        <f>IFERROR(VLOOKUP($A458,'13. Mapa Títulos-Receita'!$A$8:$P$1000,8,FALSE),"")</f>
        <v/>
      </c>
      <c r="X458" s="92">
        <f>IFERROR(VLOOKUP($A458,'13. Mapa Títulos-Receita'!$A$8:$P$1000,9,FALSE),"")</f>
        <v/>
      </c>
      <c r="Y458" s="92">
        <f>IFERROR(VLOOKUP($A458,'13. Mapa Títulos-Receita'!$A$8:$P$1000,10,FALSE),"")</f>
        <v/>
      </c>
      <c r="Z458" s="92">
        <f>IFERROR(VLOOKUP($A458,'13. Mapa Títulos-Receita'!$A$8:$P$1000,11,FALSE),"")</f>
        <v/>
      </c>
      <c r="AA458" s="92">
        <f>IFERROR(VLOOKUP($A458,'13. Mapa Títulos-Receita'!$A$8:$P$1000,12,FALSE),"")</f>
        <v/>
      </c>
      <c r="AB458" s="92">
        <f>IFERROR(VLOOKUP($A458,'13. Mapa Títulos-Receita'!$A$8:$P$1000,13,FALSE),"")</f>
        <v/>
      </c>
      <c r="AC458" s="92">
        <f>IFERROR(VLOOKUP($A458,'13. Mapa Títulos-Receita'!$A$8:$P$1000,14,FALSE),"")</f>
        <v/>
      </c>
      <c r="AD458" s="92">
        <f>IFERROR(VLOOKUP($A458,'13. Mapa Títulos-Receita'!$A$8:$P$1000,15,FALSE),"")</f>
        <v/>
      </c>
      <c r="AE458" s="92">
        <f>IFERROR(VLOOKUP($A458,'13. Mapa Títulos-Receita'!$A$8:$P$1000,16,FALSE),"")</f>
        <v/>
      </c>
    </row>
    <row r="459">
      <c r="A459" s="28">
        <f>IF(C459="","", "CR-"&amp;TEXT(ROW()-7,"000"))</f>
        <v/>
      </c>
      <c r="B459" s="28" t="n"/>
      <c r="C459" s="28" t="n"/>
      <c r="D459" s="111" t="n"/>
      <c r="E459" s="111" t="n"/>
      <c r="F459" s="111" t="n"/>
      <c r="G459" s="28" t="n"/>
      <c r="H459" s="45" t="n"/>
      <c r="I459" s="45" t="n"/>
      <c r="J459" s="28">
        <f>IF(H459="","",IF(I459&gt;=H459,"Recebido",IF($B$4&gt;E459,"Vencido","Aberto")))</f>
        <v/>
      </c>
      <c r="K459" s="4">
        <f>IF(J459="","",IF(OR(J459="Recebido",F459=""),MAX(0,F459-E459),MAX(0,$B$4-E459)))</f>
        <v/>
      </c>
      <c r="L459" s="4">
        <f>IF(K459="","",IF(K459=0,"Em dia",IF(K459&lt;=30,"1-30 dias",IF(K459&lt;=60,"31-60 dias",IF(K459&lt;=90,"61-90 dias","&gt;90 dias")))))</f>
        <v/>
      </c>
      <c r="M459" s="28" t="n"/>
      <c r="N459" s="104" t="inlineStr"/>
      <c r="O459" s="64" t="n"/>
      <c r="P459" s="64">
        <f>IF(C459="","",IF(ISNUMBER(SEARCH("PCMSO",C459)),"PCMSO",IF(OR(ISNUMBER(SEARCH("E-SOCIAL",C459)),ISNUMBER(SEARCH("PSICOSOCIAL",C459))),"eSocial / Psicossocial",IF(O459="Receita recorrente","Carteira recorrente","Projetos / Laudos / Avulsos"))))</f>
        <v/>
      </c>
      <c r="Q459" s="64">
        <f>IF(P459="","",IF(P459="Carteira recorrente","Operação recorrente",IF(P459="PCMSO","Projetos PCMSO",IF(P459="eSocial / Psicossocial","Projetos eSocial/Psicossocial","Projetos / Laudos / Avulsos"))))</f>
        <v/>
      </c>
      <c r="R459" s="64">
        <f>IF(C459="","",IF(ISNUMBER(SEARCH("PCMSO",C459)),"Título com PCMSO no nome",IF(OR(ISNUMBER(SEARCH("E-SOCIAL",C459)),ISNUMBER(SEARCH("PSICOSOCIAL",C459))),"Título com eSocial/Psicossocial no nome",IF(O459="Receita recorrente","Tipo DRE recorrente","Extra sem palavra-chave específica"))))</f>
        <v/>
      </c>
      <c r="S459" s="92">
        <f>IFERROR(VLOOKUP($A459,'13. Mapa Títulos-Receita'!$A$8:$P$1000,4,FALSE),"")</f>
        <v/>
      </c>
      <c r="T459" s="92">
        <f>IFERROR(VLOOKUP($A459,'13. Mapa Títulos-Receita'!$A$8:$P$1000,5,FALSE),"")</f>
        <v/>
      </c>
      <c r="U459" s="92">
        <f>IFERROR(VLOOKUP($A459,'13. Mapa Títulos-Receita'!$A$8:$P$1000,6,FALSE),"")</f>
        <v/>
      </c>
      <c r="V459" s="92">
        <f>IFERROR(VLOOKUP($A459,'13. Mapa Títulos-Receita'!$A$8:$P$1000,7,FALSE),"")</f>
        <v/>
      </c>
      <c r="W459" s="92">
        <f>IFERROR(VLOOKUP($A459,'13. Mapa Títulos-Receita'!$A$8:$P$1000,8,FALSE),"")</f>
        <v/>
      </c>
      <c r="X459" s="92">
        <f>IFERROR(VLOOKUP($A459,'13. Mapa Títulos-Receita'!$A$8:$P$1000,9,FALSE),"")</f>
        <v/>
      </c>
      <c r="Y459" s="92">
        <f>IFERROR(VLOOKUP($A459,'13. Mapa Títulos-Receita'!$A$8:$P$1000,10,FALSE),"")</f>
        <v/>
      </c>
      <c r="Z459" s="92">
        <f>IFERROR(VLOOKUP($A459,'13. Mapa Títulos-Receita'!$A$8:$P$1000,11,FALSE),"")</f>
        <v/>
      </c>
      <c r="AA459" s="92">
        <f>IFERROR(VLOOKUP($A459,'13. Mapa Títulos-Receita'!$A$8:$P$1000,12,FALSE),"")</f>
        <v/>
      </c>
      <c r="AB459" s="92">
        <f>IFERROR(VLOOKUP($A459,'13. Mapa Títulos-Receita'!$A$8:$P$1000,13,FALSE),"")</f>
        <v/>
      </c>
      <c r="AC459" s="92">
        <f>IFERROR(VLOOKUP($A459,'13. Mapa Títulos-Receita'!$A$8:$P$1000,14,FALSE),"")</f>
        <v/>
      </c>
      <c r="AD459" s="92">
        <f>IFERROR(VLOOKUP($A459,'13. Mapa Títulos-Receita'!$A$8:$P$1000,15,FALSE),"")</f>
        <v/>
      </c>
      <c r="AE459" s="92">
        <f>IFERROR(VLOOKUP($A459,'13. Mapa Títulos-Receita'!$A$8:$P$1000,16,FALSE),"")</f>
        <v/>
      </c>
    </row>
    <row r="460">
      <c r="A460" s="28">
        <f>IF(C460="","", "CR-"&amp;TEXT(ROW()-7,"000"))</f>
        <v/>
      </c>
      <c r="B460" s="28" t="n"/>
      <c r="C460" s="28" t="n"/>
      <c r="D460" s="111" t="n"/>
      <c r="E460" s="111" t="n"/>
      <c r="F460" s="111" t="n"/>
      <c r="G460" s="28" t="n"/>
      <c r="H460" s="45" t="n"/>
      <c r="I460" s="45" t="n"/>
      <c r="J460" s="28">
        <f>IF(H460="","",IF(I460&gt;=H460,"Recebido",IF($B$4&gt;E460,"Vencido","Aberto")))</f>
        <v/>
      </c>
      <c r="K460" s="4">
        <f>IF(J460="","",IF(OR(J460="Recebido",F460=""),MAX(0,F460-E460),MAX(0,$B$4-E460)))</f>
        <v/>
      </c>
      <c r="L460" s="4">
        <f>IF(K460="","",IF(K460=0,"Em dia",IF(K460&lt;=30,"1-30 dias",IF(K460&lt;=60,"31-60 dias",IF(K460&lt;=90,"61-90 dias","&gt;90 dias")))))</f>
        <v/>
      </c>
      <c r="M460" s="28" t="n"/>
      <c r="N460" s="104" t="inlineStr"/>
      <c r="O460" s="64" t="n"/>
      <c r="P460" s="64">
        <f>IF(C460="","",IF(ISNUMBER(SEARCH("PCMSO",C460)),"PCMSO",IF(OR(ISNUMBER(SEARCH("E-SOCIAL",C460)),ISNUMBER(SEARCH("PSICOSOCIAL",C460))),"eSocial / Psicossocial",IF(O460="Receita recorrente","Carteira recorrente","Projetos / Laudos / Avulsos"))))</f>
        <v/>
      </c>
      <c r="Q460" s="64">
        <f>IF(P460="","",IF(P460="Carteira recorrente","Operação recorrente",IF(P460="PCMSO","Projetos PCMSO",IF(P460="eSocial / Psicossocial","Projetos eSocial/Psicossocial","Projetos / Laudos / Avulsos"))))</f>
        <v/>
      </c>
      <c r="R460" s="64">
        <f>IF(C460="","",IF(ISNUMBER(SEARCH("PCMSO",C460)),"Título com PCMSO no nome",IF(OR(ISNUMBER(SEARCH("E-SOCIAL",C460)),ISNUMBER(SEARCH("PSICOSOCIAL",C460))),"Título com eSocial/Psicossocial no nome",IF(O460="Receita recorrente","Tipo DRE recorrente","Extra sem palavra-chave específica"))))</f>
        <v/>
      </c>
      <c r="S460" s="92">
        <f>IFERROR(VLOOKUP($A460,'13. Mapa Títulos-Receita'!$A$8:$P$1000,4,FALSE),"")</f>
        <v/>
      </c>
      <c r="T460" s="92">
        <f>IFERROR(VLOOKUP($A460,'13. Mapa Títulos-Receita'!$A$8:$P$1000,5,FALSE),"")</f>
        <v/>
      </c>
      <c r="U460" s="92">
        <f>IFERROR(VLOOKUP($A460,'13. Mapa Títulos-Receita'!$A$8:$P$1000,6,FALSE),"")</f>
        <v/>
      </c>
      <c r="V460" s="92">
        <f>IFERROR(VLOOKUP($A460,'13. Mapa Títulos-Receita'!$A$8:$P$1000,7,FALSE),"")</f>
        <v/>
      </c>
      <c r="W460" s="92">
        <f>IFERROR(VLOOKUP($A460,'13. Mapa Títulos-Receita'!$A$8:$P$1000,8,FALSE),"")</f>
        <v/>
      </c>
      <c r="X460" s="92">
        <f>IFERROR(VLOOKUP($A460,'13. Mapa Títulos-Receita'!$A$8:$P$1000,9,FALSE),"")</f>
        <v/>
      </c>
      <c r="Y460" s="92">
        <f>IFERROR(VLOOKUP($A460,'13. Mapa Títulos-Receita'!$A$8:$P$1000,10,FALSE),"")</f>
        <v/>
      </c>
      <c r="Z460" s="92">
        <f>IFERROR(VLOOKUP($A460,'13. Mapa Títulos-Receita'!$A$8:$P$1000,11,FALSE),"")</f>
        <v/>
      </c>
      <c r="AA460" s="92">
        <f>IFERROR(VLOOKUP($A460,'13. Mapa Títulos-Receita'!$A$8:$P$1000,12,FALSE),"")</f>
        <v/>
      </c>
      <c r="AB460" s="92">
        <f>IFERROR(VLOOKUP($A460,'13. Mapa Títulos-Receita'!$A$8:$P$1000,13,FALSE),"")</f>
        <v/>
      </c>
      <c r="AC460" s="92">
        <f>IFERROR(VLOOKUP($A460,'13. Mapa Títulos-Receita'!$A$8:$P$1000,14,FALSE),"")</f>
        <v/>
      </c>
      <c r="AD460" s="92">
        <f>IFERROR(VLOOKUP($A460,'13. Mapa Títulos-Receita'!$A$8:$P$1000,15,FALSE),"")</f>
        <v/>
      </c>
      <c r="AE460" s="92">
        <f>IFERROR(VLOOKUP($A460,'13. Mapa Títulos-Receita'!$A$8:$P$1000,16,FALSE),"")</f>
        <v/>
      </c>
    </row>
    <row r="461">
      <c r="A461" s="28">
        <f>IF(C461="","", "CR-"&amp;TEXT(ROW()-7,"000"))</f>
        <v/>
      </c>
      <c r="B461" s="28" t="n"/>
      <c r="C461" s="28" t="n"/>
      <c r="D461" s="111" t="n"/>
      <c r="E461" s="111" t="n"/>
      <c r="F461" s="111" t="n"/>
      <c r="G461" s="28" t="n"/>
      <c r="H461" s="45" t="n"/>
      <c r="I461" s="45" t="n"/>
      <c r="J461" s="28">
        <f>IF(H461="","",IF(I461&gt;=H461,"Recebido",IF($B$4&gt;E461,"Vencido","Aberto")))</f>
        <v/>
      </c>
      <c r="K461" s="4">
        <f>IF(J461="","",IF(OR(J461="Recebido",F461=""),MAX(0,F461-E461),MAX(0,$B$4-E461)))</f>
        <v/>
      </c>
      <c r="L461" s="4">
        <f>IF(K461="","",IF(K461=0,"Em dia",IF(K461&lt;=30,"1-30 dias",IF(K461&lt;=60,"31-60 dias",IF(K461&lt;=90,"61-90 dias","&gt;90 dias")))))</f>
        <v/>
      </c>
      <c r="M461" s="28" t="n"/>
      <c r="N461" s="104" t="inlineStr"/>
      <c r="O461" s="64" t="n"/>
      <c r="P461" s="64">
        <f>IF(C461="","",IF(ISNUMBER(SEARCH("PCMSO",C461)),"PCMSO",IF(OR(ISNUMBER(SEARCH("E-SOCIAL",C461)),ISNUMBER(SEARCH("PSICOSOCIAL",C461))),"eSocial / Psicossocial",IF(O461="Receita recorrente","Carteira recorrente","Projetos / Laudos / Avulsos"))))</f>
        <v/>
      </c>
      <c r="Q461" s="64">
        <f>IF(P461="","",IF(P461="Carteira recorrente","Operação recorrente",IF(P461="PCMSO","Projetos PCMSO",IF(P461="eSocial / Psicossocial","Projetos eSocial/Psicossocial","Projetos / Laudos / Avulsos"))))</f>
        <v/>
      </c>
      <c r="R461" s="64">
        <f>IF(C461="","",IF(ISNUMBER(SEARCH("PCMSO",C461)),"Título com PCMSO no nome",IF(OR(ISNUMBER(SEARCH("E-SOCIAL",C461)),ISNUMBER(SEARCH("PSICOSOCIAL",C461))),"Título com eSocial/Psicossocial no nome",IF(O461="Receita recorrente","Tipo DRE recorrente","Extra sem palavra-chave específica"))))</f>
        <v/>
      </c>
      <c r="S461" s="92">
        <f>IFERROR(VLOOKUP($A461,'13. Mapa Títulos-Receita'!$A$8:$P$1000,4,FALSE),"")</f>
        <v/>
      </c>
      <c r="T461" s="92">
        <f>IFERROR(VLOOKUP($A461,'13. Mapa Títulos-Receita'!$A$8:$P$1000,5,FALSE),"")</f>
        <v/>
      </c>
      <c r="U461" s="92">
        <f>IFERROR(VLOOKUP($A461,'13. Mapa Títulos-Receita'!$A$8:$P$1000,6,FALSE),"")</f>
        <v/>
      </c>
      <c r="V461" s="92">
        <f>IFERROR(VLOOKUP($A461,'13. Mapa Títulos-Receita'!$A$8:$P$1000,7,FALSE),"")</f>
        <v/>
      </c>
      <c r="W461" s="92">
        <f>IFERROR(VLOOKUP($A461,'13. Mapa Títulos-Receita'!$A$8:$P$1000,8,FALSE),"")</f>
        <v/>
      </c>
      <c r="X461" s="92">
        <f>IFERROR(VLOOKUP($A461,'13. Mapa Títulos-Receita'!$A$8:$P$1000,9,FALSE),"")</f>
        <v/>
      </c>
      <c r="Y461" s="92">
        <f>IFERROR(VLOOKUP($A461,'13. Mapa Títulos-Receita'!$A$8:$P$1000,10,FALSE),"")</f>
        <v/>
      </c>
      <c r="Z461" s="92">
        <f>IFERROR(VLOOKUP($A461,'13. Mapa Títulos-Receita'!$A$8:$P$1000,11,FALSE),"")</f>
        <v/>
      </c>
      <c r="AA461" s="92">
        <f>IFERROR(VLOOKUP($A461,'13. Mapa Títulos-Receita'!$A$8:$P$1000,12,FALSE),"")</f>
        <v/>
      </c>
      <c r="AB461" s="92">
        <f>IFERROR(VLOOKUP($A461,'13. Mapa Títulos-Receita'!$A$8:$P$1000,13,FALSE),"")</f>
        <v/>
      </c>
      <c r="AC461" s="92">
        <f>IFERROR(VLOOKUP($A461,'13. Mapa Títulos-Receita'!$A$8:$P$1000,14,FALSE),"")</f>
        <v/>
      </c>
      <c r="AD461" s="92">
        <f>IFERROR(VLOOKUP($A461,'13. Mapa Títulos-Receita'!$A$8:$P$1000,15,FALSE),"")</f>
        <v/>
      </c>
      <c r="AE461" s="92">
        <f>IFERROR(VLOOKUP($A461,'13. Mapa Títulos-Receita'!$A$8:$P$1000,16,FALSE),"")</f>
        <v/>
      </c>
    </row>
    <row r="462">
      <c r="A462" s="28">
        <f>IF(C462="","", "CR-"&amp;TEXT(ROW()-7,"000"))</f>
        <v/>
      </c>
      <c r="B462" s="28" t="n"/>
      <c r="C462" s="28" t="n"/>
      <c r="D462" s="111" t="n"/>
      <c r="E462" s="111" t="n"/>
      <c r="F462" s="111" t="n"/>
      <c r="G462" s="28" t="n"/>
      <c r="H462" s="45" t="n"/>
      <c r="I462" s="45" t="n"/>
      <c r="J462" s="28">
        <f>IF(H462="","",IF(I462&gt;=H462,"Recebido",IF($B$4&gt;E462,"Vencido","Aberto")))</f>
        <v/>
      </c>
      <c r="K462" s="4">
        <f>IF(J462="","",IF(OR(J462="Recebido",F462=""),MAX(0,F462-E462),MAX(0,$B$4-E462)))</f>
        <v/>
      </c>
      <c r="L462" s="4">
        <f>IF(K462="","",IF(K462=0,"Em dia",IF(K462&lt;=30,"1-30 dias",IF(K462&lt;=60,"31-60 dias",IF(K462&lt;=90,"61-90 dias","&gt;90 dias")))))</f>
        <v/>
      </c>
      <c r="M462" s="28" t="n"/>
      <c r="N462" s="104" t="inlineStr"/>
      <c r="O462" s="64" t="n"/>
      <c r="P462" s="64">
        <f>IF(C462="","",IF(ISNUMBER(SEARCH("PCMSO",C462)),"PCMSO",IF(OR(ISNUMBER(SEARCH("E-SOCIAL",C462)),ISNUMBER(SEARCH("PSICOSOCIAL",C462))),"eSocial / Psicossocial",IF(O462="Receita recorrente","Carteira recorrente","Projetos / Laudos / Avulsos"))))</f>
        <v/>
      </c>
      <c r="Q462" s="64">
        <f>IF(P462="","",IF(P462="Carteira recorrente","Operação recorrente",IF(P462="PCMSO","Projetos PCMSO",IF(P462="eSocial / Psicossocial","Projetos eSocial/Psicossocial","Projetos / Laudos / Avulsos"))))</f>
        <v/>
      </c>
      <c r="R462" s="64">
        <f>IF(C462="","",IF(ISNUMBER(SEARCH("PCMSO",C462)),"Título com PCMSO no nome",IF(OR(ISNUMBER(SEARCH("E-SOCIAL",C462)),ISNUMBER(SEARCH("PSICOSOCIAL",C462))),"Título com eSocial/Psicossocial no nome",IF(O462="Receita recorrente","Tipo DRE recorrente","Extra sem palavra-chave específica"))))</f>
        <v/>
      </c>
      <c r="S462" s="92">
        <f>IFERROR(VLOOKUP($A462,'13. Mapa Títulos-Receita'!$A$8:$P$1000,4,FALSE),"")</f>
        <v/>
      </c>
      <c r="T462" s="92">
        <f>IFERROR(VLOOKUP($A462,'13. Mapa Títulos-Receita'!$A$8:$P$1000,5,FALSE),"")</f>
        <v/>
      </c>
      <c r="U462" s="92">
        <f>IFERROR(VLOOKUP($A462,'13. Mapa Títulos-Receita'!$A$8:$P$1000,6,FALSE),"")</f>
        <v/>
      </c>
      <c r="V462" s="92">
        <f>IFERROR(VLOOKUP($A462,'13. Mapa Títulos-Receita'!$A$8:$P$1000,7,FALSE),"")</f>
        <v/>
      </c>
      <c r="W462" s="92">
        <f>IFERROR(VLOOKUP($A462,'13. Mapa Títulos-Receita'!$A$8:$P$1000,8,FALSE),"")</f>
        <v/>
      </c>
      <c r="X462" s="92">
        <f>IFERROR(VLOOKUP($A462,'13. Mapa Títulos-Receita'!$A$8:$P$1000,9,FALSE),"")</f>
        <v/>
      </c>
      <c r="Y462" s="92">
        <f>IFERROR(VLOOKUP($A462,'13. Mapa Títulos-Receita'!$A$8:$P$1000,10,FALSE),"")</f>
        <v/>
      </c>
      <c r="Z462" s="92">
        <f>IFERROR(VLOOKUP($A462,'13. Mapa Títulos-Receita'!$A$8:$P$1000,11,FALSE),"")</f>
        <v/>
      </c>
      <c r="AA462" s="92">
        <f>IFERROR(VLOOKUP($A462,'13. Mapa Títulos-Receita'!$A$8:$P$1000,12,FALSE),"")</f>
        <v/>
      </c>
      <c r="AB462" s="92">
        <f>IFERROR(VLOOKUP($A462,'13. Mapa Títulos-Receita'!$A$8:$P$1000,13,FALSE),"")</f>
        <v/>
      </c>
      <c r="AC462" s="92">
        <f>IFERROR(VLOOKUP($A462,'13. Mapa Títulos-Receita'!$A$8:$P$1000,14,FALSE),"")</f>
        <v/>
      </c>
      <c r="AD462" s="92">
        <f>IFERROR(VLOOKUP($A462,'13. Mapa Títulos-Receita'!$A$8:$P$1000,15,FALSE),"")</f>
        <v/>
      </c>
      <c r="AE462" s="92">
        <f>IFERROR(VLOOKUP($A462,'13. Mapa Títulos-Receita'!$A$8:$P$1000,16,FALSE),"")</f>
        <v/>
      </c>
    </row>
    <row r="463">
      <c r="A463" s="28">
        <f>IF(C463="","", "CR-"&amp;TEXT(ROW()-7,"000"))</f>
        <v/>
      </c>
      <c r="B463" s="28" t="n"/>
      <c r="C463" s="28" t="n"/>
      <c r="D463" s="111" t="n"/>
      <c r="E463" s="111" t="n"/>
      <c r="F463" s="111" t="n"/>
      <c r="G463" s="28" t="n"/>
      <c r="H463" s="45" t="n"/>
      <c r="I463" s="45" t="n"/>
      <c r="J463" s="28">
        <f>IF(H463="","",IF(I463&gt;=H463,"Recebido",IF($B$4&gt;E463,"Vencido","Aberto")))</f>
        <v/>
      </c>
      <c r="K463" s="4">
        <f>IF(J463="","",IF(OR(J463="Recebido",F463=""),MAX(0,F463-E463),MAX(0,$B$4-E463)))</f>
        <v/>
      </c>
      <c r="L463" s="4">
        <f>IF(K463="","",IF(K463=0,"Em dia",IF(K463&lt;=30,"1-30 dias",IF(K463&lt;=60,"31-60 dias",IF(K463&lt;=90,"61-90 dias","&gt;90 dias")))))</f>
        <v/>
      </c>
      <c r="M463" s="28" t="n"/>
      <c r="N463" s="104" t="inlineStr"/>
      <c r="O463" s="64" t="n"/>
      <c r="P463" s="64">
        <f>IF(C463="","",IF(ISNUMBER(SEARCH("PCMSO",C463)),"PCMSO",IF(OR(ISNUMBER(SEARCH("E-SOCIAL",C463)),ISNUMBER(SEARCH("PSICOSOCIAL",C463))),"eSocial / Psicossocial",IF(O463="Receita recorrente","Carteira recorrente","Projetos / Laudos / Avulsos"))))</f>
        <v/>
      </c>
      <c r="Q463" s="64">
        <f>IF(P463="","",IF(P463="Carteira recorrente","Operação recorrente",IF(P463="PCMSO","Projetos PCMSO",IF(P463="eSocial / Psicossocial","Projetos eSocial/Psicossocial","Projetos / Laudos / Avulsos"))))</f>
        <v/>
      </c>
      <c r="R463" s="64">
        <f>IF(C463="","",IF(ISNUMBER(SEARCH("PCMSO",C463)),"Título com PCMSO no nome",IF(OR(ISNUMBER(SEARCH("E-SOCIAL",C463)),ISNUMBER(SEARCH("PSICOSOCIAL",C463))),"Título com eSocial/Psicossocial no nome",IF(O463="Receita recorrente","Tipo DRE recorrente","Extra sem palavra-chave específica"))))</f>
        <v/>
      </c>
      <c r="S463" s="92">
        <f>IFERROR(VLOOKUP($A463,'13. Mapa Títulos-Receita'!$A$8:$P$1000,4,FALSE),"")</f>
        <v/>
      </c>
      <c r="T463" s="92">
        <f>IFERROR(VLOOKUP($A463,'13. Mapa Títulos-Receita'!$A$8:$P$1000,5,FALSE),"")</f>
        <v/>
      </c>
      <c r="U463" s="92">
        <f>IFERROR(VLOOKUP($A463,'13. Mapa Títulos-Receita'!$A$8:$P$1000,6,FALSE),"")</f>
        <v/>
      </c>
      <c r="V463" s="92">
        <f>IFERROR(VLOOKUP($A463,'13. Mapa Títulos-Receita'!$A$8:$P$1000,7,FALSE),"")</f>
        <v/>
      </c>
      <c r="W463" s="92">
        <f>IFERROR(VLOOKUP($A463,'13. Mapa Títulos-Receita'!$A$8:$P$1000,8,FALSE),"")</f>
        <v/>
      </c>
      <c r="X463" s="92">
        <f>IFERROR(VLOOKUP($A463,'13. Mapa Títulos-Receita'!$A$8:$P$1000,9,FALSE),"")</f>
        <v/>
      </c>
      <c r="Y463" s="92">
        <f>IFERROR(VLOOKUP($A463,'13. Mapa Títulos-Receita'!$A$8:$P$1000,10,FALSE),"")</f>
        <v/>
      </c>
      <c r="Z463" s="92">
        <f>IFERROR(VLOOKUP($A463,'13. Mapa Títulos-Receita'!$A$8:$P$1000,11,FALSE),"")</f>
        <v/>
      </c>
      <c r="AA463" s="92">
        <f>IFERROR(VLOOKUP($A463,'13. Mapa Títulos-Receita'!$A$8:$P$1000,12,FALSE),"")</f>
        <v/>
      </c>
      <c r="AB463" s="92">
        <f>IFERROR(VLOOKUP($A463,'13. Mapa Títulos-Receita'!$A$8:$P$1000,13,FALSE),"")</f>
        <v/>
      </c>
      <c r="AC463" s="92">
        <f>IFERROR(VLOOKUP($A463,'13. Mapa Títulos-Receita'!$A$8:$P$1000,14,FALSE),"")</f>
        <v/>
      </c>
      <c r="AD463" s="92">
        <f>IFERROR(VLOOKUP($A463,'13. Mapa Títulos-Receita'!$A$8:$P$1000,15,FALSE),"")</f>
        <v/>
      </c>
      <c r="AE463" s="92">
        <f>IFERROR(VLOOKUP($A463,'13. Mapa Títulos-Receita'!$A$8:$P$1000,16,FALSE),"")</f>
        <v/>
      </c>
    </row>
    <row r="464">
      <c r="A464" s="28">
        <f>IF(C464="","", "CR-"&amp;TEXT(ROW()-7,"000"))</f>
        <v/>
      </c>
      <c r="B464" s="28" t="n"/>
      <c r="C464" s="28" t="n"/>
      <c r="D464" s="111" t="n"/>
      <c r="E464" s="111" t="n"/>
      <c r="F464" s="111" t="n"/>
      <c r="G464" s="28" t="n"/>
      <c r="H464" s="45" t="n"/>
      <c r="I464" s="45" t="n"/>
      <c r="J464" s="28">
        <f>IF(H464="","",IF(I464&gt;=H464,"Recebido",IF($B$4&gt;E464,"Vencido","Aberto")))</f>
        <v/>
      </c>
      <c r="K464" s="4">
        <f>IF(J464="","",IF(OR(J464="Recebido",F464=""),MAX(0,F464-E464),MAX(0,$B$4-E464)))</f>
        <v/>
      </c>
      <c r="L464" s="4">
        <f>IF(K464="","",IF(K464=0,"Em dia",IF(K464&lt;=30,"1-30 dias",IF(K464&lt;=60,"31-60 dias",IF(K464&lt;=90,"61-90 dias","&gt;90 dias")))))</f>
        <v/>
      </c>
      <c r="M464" s="28" t="n"/>
      <c r="N464" s="104" t="inlineStr"/>
      <c r="O464" s="64" t="n"/>
      <c r="P464" s="64">
        <f>IF(C464="","",IF(ISNUMBER(SEARCH("PCMSO",C464)),"PCMSO",IF(OR(ISNUMBER(SEARCH("E-SOCIAL",C464)),ISNUMBER(SEARCH("PSICOSOCIAL",C464))),"eSocial / Psicossocial",IF(O464="Receita recorrente","Carteira recorrente","Projetos / Laudos / Avulsos"))))</f>
        <v/>
      </c>
      <c r="Q464" s="64">
        <f>IF(P464="","",IF(P464="Carteira recorrente","Operação recorrente",IF(P464="PCMSO","Projetos PCMSO",IF(P464="eSocial / Psicossocial","Projetos eSocial/Psicossocial","Projetos / Laudos / Avulsos"))))</f>
        <v/>
      </c>
      <c r="R464" s="64">
        <f>IF(C464="","",IF(ISNUMBER(SEARCH("PCMSO",C464)),"Título com PCMSO no nome",IF(OR(ISNUMBER(SEARCH("E-SOCIAL",C464)),ISNUMBER(SEARCH("PSICOSOCIAL",C464))),"Título com eSocial/Psicossocial no nome",IF(O464="Receita recorrente","Tipo DRE recorrente","Extra sem palavra-chave específica"))))</f>
        <v/>
      </c>
      <c r="S464" s="92">
        <f>IFERROR(VLOOKUP($A464,'13. Mapa Títulos-Receita'!$A$8:$P$1000,4,FALSE),"")</f>
        <v/>
      </c>
      <c r="T464" s="92">
        <f>IFERROR(VLOOKUP($A464,'13. Mapa Títulos-Receita'!$A$8:$P$1000,5,FALSE),"")</f>
        <v/>
      </c>
      <c r="U464" s="92">
        <f>IFERROR(VLOOKUP($A464,'13. Mapa Títulos-Receita'!$A$8:$P$1000,6,FALSE),"")</f>
        <v/>
      </c>
      <c r="V464" s="92">
        <f>IFERROR(VLOOKUP($A464,'13. Mapa Títulos-Receita'!$A$8:$P$1000,7,FALSE),"")</f>
        <v/>
      </c>
      <c r="W464" s="92">
        <f>IFERROR(VLOOKUP($A464,'13. Mapa Títulos-Receita'!$A$8:$P$1000,8,FALSE),"")</f>
        <v/>
      </c>
      <c r="X464" s="92">
        <f>IFERROR(VLOOKUP($A464,'13. Mapa Títulos-Receita'!$A$8:$P$1000,9,FALSE),"")</f>
        <v/>
      </c>
      <c r="Y464" s="92">
        <f>IFERROR(VLOOKUP($A464,'13. Mapa Títulos-Receita'!$A$8:$P$1000,10,FALSE),"")</f>
        <v/>
      </c>
      <c r="Z464" s="92">
        <f>IFERROR(VLOOKUP($A464,'13. Mapa Títulos-Receita'!$A$8:$P$1000,11,FALSE),"")</f>
        <v/>
      </c>
      <c r="AA464" s="92">
        <f>IFERROR(VLOOKUP($A464,'13. Mapa Títulos-Receita'!$A$8:$P$1000,12,FALSE),"")</f>
        <v/>
      </c>
      <c r="AB464" s="92">
        <f>IFERROR(VLOOKUP($A464,'13. Mapa Títulos-Receita'!$A$8:$P$1000,13,FALSE),"")</f>
        <v/>
      </c>
      <c r="AC464" s="92">
        <f>IFERROR(VLOOKUP($A464,'13. Mapa Títulos-Receita'!$A$8:$P$1000,14,FALSE),"")</f>
        <v/>
      </c>
      <c r="AD464" s="92">
        <f>IFERROR(VLOOKUP($A464,'13. Mapa Títulos-Receita'!$A$8:$P$1000,15,FALSE),"")</f>
        <v/>
      </c>
      <c r="AE464" s="92">
        <f>IFERROR(VLOOKUP($A464,'13. Mapa Títulos-Receita'!$A$8:$P$1000,16,FALSE),"")</f>
        <v/>
      </c>
    </row>
    <row r="465">
      <c r="A465" s="28">
        <f>IF(C465="","", "CR-"&amp;TEXT(ROW()-7,"000"))</f>
        <v/>
      </c>
      <c r="B465" s="28" t="n"/>
      <c r="C465" s="28" t="n"/>
      <c r="D465" s="111" t="n"/>
      <c r="E465" s="111" t="n"/>
      <c r="F465" s="111" t="n"/>
      <c r="G465" s="28" t="n"/>
      <c r="H465" s="45" t="n"/>
      <c r="I465" s="45" t="n"/>
      <c r="J465" s="28">
        <f>IF(H465="","",IF(I465&gt;=H465,"Recebido",IF($B$4&gt;E465,"Vencido","Aberto")))</f>
        <v/>
      </c>
      <c r="K465" s="4">
        <f>IF(J465="","",IF(OR(J465="Recebido",F465=""),MAX(0,F465-E465),MAX(0,$B$4-E465)))</f>
        <v/>
      </c>
      <c r="L465" s="4">
        <f>IF(K465="","",IF(K465=0,"Em dia",IF(K465&lt;=30,"1-30 dias",IF(K465&lt;=60,"31-60 dias",IF(K465&lt;=90,"61-90 dias","&gt;90 dias")))))</f>
        <v/>
      </c>
      <c r="M465" s="28" t="n"/>
      <c r="N465" s="104" t="inlineStr"/>
      <c r="O465" s="64" t="n"/>
      <c r="P465" s="64">
        <f>IF(C465="","",IF(ISNUMBER(SEARCH("PCMSO",C465)),"PCMSO",IF(OR(ISNUMBER(SEARCH("E-SOCIAL",C465)),ISNUMBER(SEARCH("PSICOSOCIAL",C465))),"eSocial / Psicossocial",IF(O465="Receita recorrente","Carteira recorrente","Projetos / Laudos / Avulsos"))))</f>
        <v/>
      </c>
      <c r="Q465" s="64">
        <f>IF(P465="","",IF(P465="Carteira recorrente","Operação recorrente",IF(P465="PCMSO","Projetos PCMSO",IF(P465="eSocial / Psicossocial","Projetos eSocial/Psicossocial","Projetos / Laudos / Avulsos"))))</f>
        <v/>
      </c>
      <c r="R465" s="64">
        <f>IF(C465="","",IF(ISNUMBER(SEARCH("PCMSO",C465)),"Título com PCMSO no nome",IF(OR(ISNUMBER(SEARCH("E-SOCIAL",C465)),ISNUMBER(SEARCH("PSICOSOCIAL",C465))),"Título com eSocial/Psicossocial no nome",IF(O465="Receita recorrente","Tipo DRE recorrente","Extra sem palavra-chave específica"))))</f>
        <v/>
      </c>
      <c r="S465" s="92">
        <f>IFERROR(VLOOKUP($A465,'13. Mapa Títulos-Receita'!$A$8:$P$1000,4,FALSE),"")</f>
        <v/>
      </c>
      <c r="T465" s="92">
        <f>IFERROR(VLOOKUP($A465,'13. Mapa Títulos-Receita'!$A$8:$P$1000,5,FALSE),"")</f>
        <v/>
      </c>
      <c r="U465" s="92">
        <f>IFERROR(VLOOKUP($A465,'13. Mapa Títulos-Receita'!$A$8:$P$1000,6,FALSE),"")</f>
        <v/>
      </c>
      <c r="V465" s="92">
        <f>IFERROR(VLOOKUP($A465,'13. Mapa Títulos-Receita'!$A$8:$P$1000,7,FALSE),"")</f>
        <v/>
      </c>
      <c r="W465" s="92">
        <f>IFERROR(VLOOKUP($A465,'13. Mapa Títulos-Receita'!$A$8:$P$1000,8,FALSE),"")</f>
        <v/>
      </c>
      <c r="X465" s="92">
        <f>IFERROR(VLOOKUP($A465,'13. Mapa Títulos-Receita'!$A$8:$P$1000,9,FALSE),"")</f>
        <v/>
      </c>
      <c r="Y465" s="92">
        <f>IFERROR(VLOOKUP($A465,'13. Mapa Títulos-Receita'!$A$8:$P$1000,10,FALSE),"")</f>
        <v/>
      </c>
      <c r="Z465" s="92">
        <f>IFERROR(VLOOKUP($A465,'13. Mapa Títulos-Receita'!$A$8:$P$1000,11,FALSE),"")</f>
        <v/>
      </c>
      <c r="AA465" s="92">
        <f>IFERROR(VLOOKUP($A465,'13. Mapa Títulos-Receita'!$A$8:$P$1000,12,FALSE),"")</f>
        <v/>
      </c>
      <c r="AB465" s="92">
        <f>IFERROR(VLOOKUP($A465,'13. Mapa Títulos-Receita'!$A$8:$P$1000,13,FALSE),"")</f>
        <v/>
      </c>
      <c r="AC465" s="92">
        <f>IFERROR(VLOOKUP($A465,'13. Mapa Títulos-Receita'!$A$8:$P$1000,14,FALSE),"")</f>
        <v/>
      </c>
      <c r="AD465" s="92">
        <f>IFERROR(VLOOKUP($A465,'13. Mapa Títulos-Receita'!$A$8:$P$1000,15,FALSE),"")</f>
        <v/>
      </c>
      <c r="AE465" s="92">
        <f>IFERROR(VLOOKUP($A465,'13. Mapa Títulos-Receita'!$A$8:$P$1000,16,FALSE),"")</f>
        <v/>
      </c>
    </row>
    <row r="466">
      <c r="A466" s="28">
        <f>IF(C466="","", "CR-"&amp;TEXT(ROW()-7,"000"))</f>
        <v/>
      </c>
      <c r="B466" s="28" t="n"/>
      <c r="C466" s="28" t="n"/>
      <c r="D466" s="111" t="n"/>
      <c r="E466" s="111" t="n"/>
      <c r="F466" s="111" t="n"/>
      <c r="G466" s="28" t="n"/>
      <c r="H466" s="45" t="n"/>
      <c r="I466" s="45" t="n"/>
      <c r="J466" s="28">
        <f>IF(H466="","",IF(I466&gt;=H466,"Recebido",IF($B$4&gt;E466,"Vencido","Aberto")))</f>
        <v/>
      </c>
      <c r="K466" s="4">
        <f>IF(J466="","",IF(OR(J466="Recebido",F466=""),MAX(0,F466-E466),MAX(0,$B$4-E466)))</f>
        <v/>
      </c>
      <c r="L466" s="4">
        <f>IF(K466="","",IF(K466=0,"Em dia",IF(K466&lt;=30,"1-30 dias",IF(K466&lt;=60,"31-60 dias",IF(K466&lt;=90,"61-90 dias","&gt;90 dias")))))</f>
        <v/>
      </c>
      <c r="M466" s="28" t="n"/>
      <c r="N466" s="104" t="inlineStr"/>
      <c r="O466" s="64" t="n"/>
      <c r="P466" s="64">
        <f>IF(C466="","",IF(ISNUMBER(SEARCH("PCMSO",C466)),"PCMSO",IF(OR(ISNUMBER(SEARCH("E-SOCIAL",C466)),ISNUMBER(SEARCH("PSICOSOCIAL",C466))),"eSocial / Psicossocial",IF(O466="Receita recorrente","Carteira recorrente","Projetos / Laudos / Avulsos"))))</f>
        <v/>
      </c>
      <c r="Q466" s="64">
        <f>IF(P466="","",IF(P466="Carteira recorrente","Operação recorrente",IF(P466="PCMSO","Projetos PCMSO",IF(P466="eSocial / Psicossocial","Projetos eSocial/Psicossocial","Projetos / Laudos / Avulsos"))))</f>
        <v/>
      </c>
      <c r="R466" s="64">
        <f>IF(C466="","",IF(ISNUMBER(SEARCH("PCMSO",C466)),"Título com PCMSO no nome",IF(OR(ISNUMBER(SEARCH("E-SOCIAL",C466)),ISNUMBER(SEARCH("PSICOSOCIAL",C466))),"Título com eSocial/Psicossocial no nome",IF(O466="Receita recorrente","Tipo DRE recorrente","Extra sem palavra-chave específica"))))</f>
        <v/>
      </c>
      <c r="S466" s="92">
        <f>IFERROR(VLOOKUP($A466,'13. Mapa Títulos-Receita'!$A$8:$P$1000,4,FALSE),"")</f>
        <v/>
      </c>
      <c r="T466" s="92">
        <f>IFERROR(VLOOKUP($A466,'13. Mapa Títulos-Receita'!$A$8:$P$1000,5,FALSE),"")</f>
        <v/>
      </c>
      <c r="U466" s="92">
        <f>IFERROR(VLOOKUP($A466,'13. Mapa Títulos-Receita'!$A$8:$P$1000,6,FALSE),"")</f>
        <v/>
      </c>
      <c r="V466" s="92">
        <f>IFERROR(VLOOKUP($A466,'13. Mapa Títulos-Receita'!$A$8:$P$1000,7,FALSE),"")</f>
        <v/>
      </c>
      <c r="W466" s="92">
        <f>IFERROR(VLOOKUP($A466,'13. Mapa Títulos-Receita'!$A$8:$P$1000,8,FALSE),"")</f>
        <v/>
      </c>
      <c r="X466" s="92">
        <f>IFERROR(VLOOKUP($A466,'13. Mapa Títulos-Receita'!$A$8:$P$1000,9,FALSE),"")</f>
        <v/>
      </c>
      <c r="Y466" s="92">
        <f>IFERROR(VLOOKUP($A466,'13. Mapa Títulos-Receita'!$A$8:$P$1000,10,FALSE),"")</f>
        <v/>
      </c>
      <c r="Z466" s="92">
        <f>IFERROR(VLOOKUP($A466,'13. Mapa Títulos-Receita'!$A$8:$P$1000,11,FALSE),"")</f>
        <v/>
      </c>
      <c r="AA466" s="92">
        <f>IFERROR(VLOOKUP($A466,'13. Mapa Títulos-Receita'!$A$8:$P$1000,12,FALSE),"")</f>
        <v/>
      </c>
      <c r="AB466" s="92">
        <f>IFERROR(VLOOKUP($A466,'13. Mapa Títulos-Receita'!$A$8:$P$1000,13,FALSE),"")</f>
        <v/>
      </c>
      <c r="AC466" s="92">
        <f>IFERROR(VLOOKUP($A466,'13. Mapa Títulos-Receita'!$A$8:$P$1000,14,FALSE),"")</f>
        <v/>
      </c>
      <c r="AD466" s="92">
        <f>IFERROR(VLOOKUP($A466,'13. Mapa Títulos-Receita'!$A$8:$P$1000,15,FALSE),"")</f>
        <v/>
      </c>
      <c r="AE466" s="92">
        <f>IFERROR(VLOOKUP($A466,'13. Mapa Títulos-Receita'!$A$8:$P$1000,16,FALSE),"")</f>
        <v/>
      </c>
    </row>
    <row r="467">
      <c r="A467" s="28">
        <f>IF(C467="","", "CR-"&amp;TEXT(ROW()-7,"000"))</f>
        <v/>
      </c>
      <c r="B467" s="28" t="n"/>
      <c r="C467" s="28" t="n"/>
      <c r="D467" s="111" t="n"/>
      <c r="E467" s="111" t="n"/>
      <c r="F467" s="111" t="n"/>
      <c r="G467" s="28" t="n"/>
      <c r="H467" s="45" t="n"/>
      <c r="I467" s="45" t="n"/>
      <c r="J467" s="28">
        <f>IF(H467="","",IF(I467&gt;=H467,"Recebido",IF($B$4&gt;E467,"Vencido","Aberto")))</f>
        <v/>
      </c>
      <c r="K467" s="4">
        <f>IF(J467="","",IF(OR(J467="Recebido",F467=""),MAX(0,F467-E467),MAX(0,$B$4-E467)))</f>
        <v/>
      </c>
      <c r="L467" s="4">
        <f>IF(K467="","",IF(K467=0,"Em dia",IF(K467&lt;=30,"1-30 dias",IF(K467&lt;=60,"31-60 dias",IF(K467&lt;=90,"61-90 dias","&gt;90 dias")))))</f>
        <v/>
      </c>
      <c r="M467" s="28" t="n"/>
      <c r="N467" s="104" t="inlineStr"/>
      <c r="O467" s="64" t="n"/>
      <c r="P467" s="64">
        <f>IF(C467="","",IF(ISNUMBER(SEARCH("PCMSO",C467)),"PCMSO",IF(OR(ISNUMBER(SEARCH("E-SOCIAL",C467)),ISNUMBER(SEARCH("PSICOSOCIAL",C467))),"eSocial / Psicossocial",IF(O467="Receita recorrente","Carteira recorrente","Projetos / Laudos / Avulsos"))))</f>
        <v/>
      </c>
      <c r="Q467" s="64">
        <f>IF(P467="","",IF(P467="Carteira recorrente","Operação recorrente",IF(P467="PCMSO","Projetos PCMSO",IF(P467="eSocial / Psicossocial","Projetos eSocial/Psicossocial","Projetos / Laudos / Avulsos"))))</f>
        <v/>
      </c>
      <c r="R467" s="64">
        <f>IF(C467="","",IF(ISNUMBER(SEARCH("PCMSO",C467)),"Título com PCMSO no nome",IF(OR(ISNUMBER(SEARCH("E-SOCIAL",C467)),ISNUMBER(SEARCH("PSICOSOCIAL",C467))),"Título com eSocial/Psicossocial no nome",IF(O467="Receita recorrente","Tipo DRE recorrente","Extra sem palavra-chave específica"))))</f>
        <v/>
      </c>
      <c r="S467" s="92">
        <f>IFERROR(VLOOKUP($A467,'13. Mapa Títulos-Receita'!$A$8:$P$1000,4,FALSE),"")</f>
        <v/>
      </c>
      <c r="T467" s="92">
        <f>IFERROR(VLOOKUP($A467,'13. Mapa Títulos-Receita'!$A$8:$P$1000,5,FALSE),"")</f>
        <v/>
      </c>
      <c r="U467" s="92">
        <f>IFERROR(VLOOKUP($A467,'13. Mapa Títulos-Receita'!$A$8:$P$1000,6,FALSE),"")</f>
        <v/>
      </c>
      <c r="V467" s="92">
        <f>IFERROR(VLOOKUP($A467,'13. Mapa Títulos-Receita'!$A$8:$P$1000,7,FALSE),"")</f>
        <v/>
      </c>
      <c r="W467" s="92">
        <f>IFERROR(VLOOKUP($A467,'13. Mapa Títulos-Receita'!$A$8:$P$1000,8,FALSE),"")</f>
        <v/>
      </c>
      <c r="X467" s="92">
        <f>IFERROR(VLOOKUP($A467,'13. Mapa Títulos-Receita'!$A$8:$P$1000,9,FALSE),"")</f>
        <v/>
      </c>
      <c r="Y467" s="92">
        <f>IFERROR(VLOOKUP($A467,'13. Mapa Títulos-Receita'!$A$8:$P$1000,10,FALSE),"")</f>
        <v/>
      </c>
      <c r="Z467" s="92">
        <f>IFERROR(VLOOKUP($A467,'13. Mapa Títulos-Receita'!$A$8:$P$1000,11,FALSE),"")</f>
        <v/>
      </c>
      <c r="AA467" s="92">
        <f>IFERROR(VLOOKUP($A467,'13. Mapa Títulos-Receita'!$A$8:$P$1000,12,FALSE),"")</f>
        <v/>
      </c>
      <c r="AB467" s="92">
        <f>IFERROR(VLOOKUP($A467,'13. Mapa Títulos-Receita'!$A$8:$P$1000,13,FALSE),"")</f>
        <v/>
      </c>
      <c r="AC467" s="92">
        <f>IFERROR(VLOOKUP($A467,'13. Mapa Títulos-Receita'!$A$8:$P$1000,14,FALSE),"")</f>
        <v/>
      </c>
      <c r="AD467" s="92">
        <f>IFERROR(VLOOKUP($A467,'13. Mapa Títulos-Receita'!$A$8:$P$1000,15,FALSE),"")</f>
        <v/>
      </c>
      <c r="AE467" s="92">
        <f>IFERROR(VLOOKUP($A467,'13. Mapa Títulos-Receita'!$A$8:$P$1000,16,FALSE),"")</f>
        <v/>
      </c>
    </row>
    <row r="468">
      <c r="A468" s="28">
        <f>IF(C468="","", "CR-"&amp;TEXT(ROW()-7,"000"))</f>
        <v/>
      </c>
      <c r="B468" s="28" t="n"/>
      <c r="C468" s="28" t="n"/>
      <c r="D468" s="111" t="n"/>
      <c r="E468" s="111" t="n"/>
      <c r="F468" s="111" t="n"/>
      <c r="G468" s="28" t="n"/>
      <c r="H468" s="45" t="n"/>
      <c r="I468" s="45" t="n"/>
      <c r="J468" s="28">
        <f>IF(H468="","",IF(I468&gt;=H468,"Recebido",IF($B$4&gt;E468,"Vencido","Aberto")))</f>
        <v/>
      </c>
      <c r="K468" s="4">
        <f>IF(J468="","",IF(OR(J468="Recebido",F468=""),MAX(0,F468-E468),MAX(0,$B$4-E468)))</f>
        <v/>
      </c>
      <c r="L468" s="4">
        <f>IF(K468="","",IF(K468=0,"Em dia",IF(K468&lt;=30,"1-30 dias",IF(K468&lt;=60,"31-60 dias",IF(K468&lt;=90,"61-90 dias","&gt;90 dias")))))</f>
        <v/>
      </c>
      <c r="M468" s="28" t="n"/>
      <c r="N468" s="104" t="inlineStr"/>
      <c r="O468" s="64" t="n"/>
      <c r="P468" s="64">
        <f>IF(C468="","",IF(ISNUMBER(SEARCH("PCMSO",C468)),"PCMSO",IF(OR(ISNUMBER(SEARCH("E-SOCIAL",C468)),ISNUMBER(SEARCH("PSICOSOCIAL",C468))),"eSocial / Psicossocial",IF(O468="Receita recorrente","Carteira recorrente","Projetos / Laudos / Avulsos"))))</f>
        <v/>
      </c>
      <c r="Q468" s="64">
        <f>IF(P468="","",IF(P468="Carteira recorrente","Operação recorrente",IF(P468="PCMSO","Projetos PCMSO",IF(P468="eSocial / Psicossocial","Projetos eSocial/Psicossocial","Projetos / Laudos / Avulsos"))))</f>
        <v/>
      </c>
      <c r="R468" s="64">
        <f>IF(C468="","",IF(ISNUMBER(SEARCH("PCMSO",C468)),"Título com PCMSO no nome",IF(OR(ISNUMBER(SEARCH("E-SOCIAL",C468)),ISNUMBER(SEARCH("PSICOSOCIAL",C468))),"Título com eSocial/Psicossocial no nome",IF(O468="Receita recorrente","Tipo DRE recorrente","Extra sem palavra-chave específica"))))</f>
        <v/>
      </c>
      <c r="S468" s="92">
        <f>IFERROR(VLOOKUP($A468,'13. Mapa Títulos-Receita'!$A$8:$P$1000,4,FALSE),"")</f>
        <v/>
      </c>
      <c r="T468" s="92">
        <f>IFERROR(VLOOKUP($A468,'13. Mapa Títulos-Receita'!$A$8:$P$1000,5,FALSE),"")</f>
        <v/>
      </c>
      <c r="U468" s="92">
        <f>IFERROR(VLOOKUP($A468,'13. Mapa Títulos-Receita'!$A$8:$P$1000,6,FALSE),"")</f>
        <v/>
      </c>
      <c r="V468" s="92">
        <f>IFERROR(VLOOKUP($A468,'13. Mapa Títulos-Receita'!$A$8:$P$1000,7,FALSE),"")</f>
        <v/>
      </c>
      <c r="W468" s="92">
        <f>IFERROR(VLOOKUP($A468,'13. Mapa Títulos-Receita'!$A$8:$P$1000,8,FALSE),"")</f>
        <v/>
      </c>
      <c r="X468" s="92">
        <f>IFERROR(VLOOKUP($A468,'13. Mapa Títulos-Receita'!$A$8:$P$1000,9,FALSE),"")</f>
        <v/>
      </c>
      <c r="Y468" s="92">
        <f>IFERROR(VLOOKUP($A468,'13. Mapa Títulos-Receita'!$A$8:$P$1000,10,FALSE),"")</f>
        <v/>
      </c>
      <c r="Z468" s="92">
        <f>IFERROR(VLOOKUP($A468,'13. Mapa Títulos-Receita'!$A$8:$P$1000,11,FALSE),"")</f>
        <v/>
      </c>
      <c r="AA468" s="92">
        <f>IFERROR(VLOOKUP($A468,'13. Mapa Títulos-Receita'!$A$8:$P$1000,12,FALSE),"")</f>
        <v/>
      </c>
      <c r="AB468" s="92">
        <f>IFERROR(VLOOKUP($A468,'13. Mapa Títulos-Receita'!$A$8:$P$1000,13,FALSE),"")</f>
        <v/>
      </c>
      <c r="AC468" s="92">
        <f>IFERROR(VLOOKUP($A468,'13. Mapa Títulos-Receita'!$A$8:$P$1000,14,FALSE),"")</f>
        <v/>
      </c>
      <c r="AD468" s="92">
        <f>IFERROR(VLOOKUP($A468,'13. Mapa Títulos-Receita'!$A$8:$P$1000,15,FALSE),"")</f>
        <v/>
      </c>
      <c r="AE468" s="92">
        <f>IFERROR(VLOOKUP($A468,'13. Mapa Títulos-Receita'!$A$8:$P$1000,16,FALSE),"")</f>
        <v/>
      </c>
    </row>
    <row r="469">
      <c r="A469" s="28">
        <f>IF(C469="","", "CR-"&amp;TEXT(ROW()-7,"000"))</f>
        <v/>
      </c>
      <c r="B469" s="28" t="n"/>
      <c r="C469" s="28" t="n"/>
      <c r="D469" s="111" t="n"/>
      <c r="E469" s="111" t="n"/>
      <c r="F469" s="111" t="n"/>
      <c r="G469" s="28" t="n"/>
      <c r="H469" s="45" t="n"/>
      <c r="I469" s="45" t="n"/>
      <c r="J469" s="28">
        <f>IF(H469="","",IF(I469&gt;=H469,"Recebido",IF($B$4&gt;E469,"Vencido","Aberto")))</f>
        <v/>
      </c>
      <c r="K469" s="4">
        <f>IF(J469="","",IF(OR(J469="Recebido",F469=""),MAX(0,F469-E469),MAX(0,$B$4-E469)))</f>
        <v/>
      </c>
      <c r="L469" s="4">
        <f>IF(K469="","",IF(K469=0,"Em dia",IF(K469&lt;=30,"1-30 dias",IF(K469&lt;=60,"31-60 dias",IF(K469&lt;=90,"61-90 dias","&gt;90 dias")))))</f>
        <v/>
      </c>
      <c r="M469" s="28" t="n"/>
      <c r="N469" s="104" t="inlineStr"/>
      <c r="O469" s="64" t="n"/>
      <c r="P469" s="64">
        <f>IF(C469="","",IF(ISNUMBER(SEARCH("PCMSO",C469)),"PCMSO",IF(OR(ISNUMBER(SEARCH("E-SOCIAL",C469)),ISNUMBER(SEARCH("PSICOSOCIAL",C469))),"eSocial / Psicossocial",IF(O469="Receita recorrente","Carteira recorrente","Projetos / Laudos / Avulsos"))))</f>
        <v/>
      </c>
      <c r="Q469" s="64">
        <f>IF(P469="","",IF(P469="Carteira recorrente","Operação recorrente",IF(P469="PCMSO","Projetos PCMSO",IF(P469="eSocial / Psicossocial","Projetos eSocial/Psicossocial","Projetos / Laudos / Avulsos"))))</f>
        <v/>
      </c>
      <c r="R469" s="64">
        <f>IF(C469="","",IF(ISNUMBER(SEARCH("PCMSO",C469)),"Título com PCMSO no nome",IF(OR(ISNUMBER(SEARCH("E-SOCIAL",C469)),ISNUMBER(SEARCH("PSICOSOCIAL",C469))),"Título com eSocial/Psicossocial no nome",IF(O469="Receita recorrente","Tipo DRE recorrente","Extra sem palavra-chave específica"))))</f>
        <v/>
      </c>
      <c r="S469" s="92">
        <f>IFERROR(VLOOKUP($A469,'13. Mapa Títulos-Receita'!$A$8:$P$1000,4,FALSE),"")</f>
        <v/>
      </c>
      <c r="T469" s="92">
        <f>IFERROR(VLOOKUP($A469,'13. Mapa Títulos-Receita'!$A$8:$P$1000,5,FALSE),"")</f>
        <v/>
      </c>
      <c r="U469" s="92">
        <f>IFERROR(VLOOKUP($A469,'13. Mapa Títulos-Receita'!$A$8:$P$1000,6,FALSE),"")</f>
        <v/>
      </c>
      <c r="V469" s="92">
        <f>IFERROR(VLOOKUP($A469,'13. Mapa Títulos-Receita'!$A$8:$P$1000,7,FALSE),"")</f>
        <v/>
      </c>
      <c r="W469" s="92">
        <f>IFERROR(VLOOKUP($A469,'13. Mapa Títulos-Receita'!$A$8:$P$1000,8,FALSE),"")</f>
        <v/>
      </c>
      <c r="X469" s="92">
        <f>IFERROR(VLOOKUP($A469,'13. Mapa Títulos-Receita'!$A$8:$P$1000,9,FALSE),"")</f>
        <v/>
      </c>
      <c r="Y469" s="92">
        <f>IFERROR(VLOOKUP($A469,'13. Mapa Títulos-Receita'!$A$8:$P$1000,10,FALSE),"")</f>
        <v/>
      </c>
      <c r="Z469" s="92">
        <f>IFERROR(VLOOKUP($A469,'13. Mapa Títulos-Receita'!$A$8:$P$1000,11,FALSE),"")</f>
        <v/>
      </c>
      <c r="AA469" s="92">
        <f>IFERROR(VLOOKUP($A469,'13. Mapa Títulos-Receita'!$A$8:$P$1000,12,FALSE),"")</f>
        <v/>
      </c>
      <c r="AB469" s="92">
        <f>IFERROR(VLOOKUP($A469,'13. Mapa Títulos-Receita'!$A$8:$P$1000,13,FALSE),"")</f>
        <v/>
      </c>
      <c r="AC469" s="92">
        <f>IFERROR(VLOOKUP($A469,'13. Mapa Títulos-Receita'!$A$8:$P$1000,14,FALSE),"")</f>
        <v/>
      </c>
      <c r="AD469" s="92">
        <f>IFERROR(VLOOKUP($A469,'13. Mapa Títulos-Receita'!$A$8:$P$1000,15,FALSE),"")</f>
        <v/>
      </c>
      <c r="AE469" s="92">
        <f>IFERROR(VLOOKUP($A469,'13. Mapa Títulos-Receita'!$A$8:$P$1000,16,FALSE),"")</f>
        <v/>
      </c>
    </row>
    <row r="470">
      <c r="A470" s="28">
        <f>IF(C470="","", "CR-"&amp;TEXT(ROW()-7,"000"))</f>
        <v/>
      </c>
      <c r="B470" s="28" t="n"/>
      <c r="C470" s="28" t="n"/>
      <c r="D470" s="111" t="n"/>
      <c r="E470" s="111" t="n"/>
      <c r="F470" s="111" t="n"/>
      <c r="G470" s="28" t="n"/>
      <c r="H470" s="45" t="n"/>
      <c r="I470" s="45" t="n"/>
      <c r="J470" s="28">
        <f>IF(H470="","",IF(I470&gt;=H470,"Recebido",IF($B$4&gt;E470,"Vencido","Aberto")))</f>
        <v/>
      </c>
      <c r="K470" s="4">
        <f>IF(J470="","",IF(OR(J470="Recebido",F470=""),MAX(0,F470-E470),MAX(0,$B$4-E470)))</f>
        <v/>
      </c>
      <c r="L470" s="4">
        <f>IF(K470="","",IF(K470=0,"Em dia",IF(K470&lt;=30,"1-30 dias",IF(K470&lt;=60,"31-60 dias",IF(K470&lt;=90,"61-90 dias","&gt;90 dias")))))</f>
        <v/>
      </c>
      <c r="M470" s="28" t="n"/>
      <c r="N470" s="104" t="inlineStr"/>
      <c r="O470" s="64" t="n"/>
      <c r="P470" s="64">
        <f>IF(C470="","",IF(ISNUMBER(SEARCH("PCMSO",C470)),"PCMSO",IF(OR(ISNUMBER(SEARCH("E-SOCIAL",C470)),ISNUMBER(SEARCH("PSICOSOCIAL",C470))),"eSocial / Psicossocial",IF(O470="Receita recorrente","Carteira recorrente","Projetos / Laudos / Avulsos"))))</f>
        <v/>
      </c>
      <c r="Q470" s="64">
        <f>IF(P470="","",IF(P470="Carteira recorrente","Operação recorrente",IF(P470="PCMSO","Projetos PCMSO",IF(P470="eSocial / Psicossocial","Projetos eSocial/Psicossocial","Projetos / Laudos / Avulsos"))))</f>
        <v/>
      </c>
      <c r="R470" s="64">
        <f>IF(C470="","",IF(ISNUMBER(SEARCH("PCMSO",C470)),"Título com PCMSO no nome",IF(OR(ISNUMBER(SEARCH("E-SOCIAL",C470)),ISNUMBER(SEARCH("PSICOSOCIAL",C470))),"Título com eSocial/Psicossocial no nome",IF(O470="Receita recorrente","Tipo DRE recorrente","Extra sem palavra-chave específica"))))</f>
        <v/>
      </c>
      <c r="S470" s="92">
        <f>IFERROR(VLOOKUP($A470,'13. Mapa Títulos-Receita'!$A$8:$P$1000,4,FALSE),"")</f>
        <v/>
      </c>
      <c r="T470" s="92">
        <f>IFERROR(VLOOKUP($A470,'13. Mapa Títulos-Receita'!$A$8:$P$1000,5,FALSE),"")</f>
        <v/>
      </c>
      <c r="U470" s="92">
        <f>IFERROR(VLOOKUP($A470,'13. Mapa Títulos-Receita'!$A$8:$P$1000,6,FALSE),"")</f>
        <v/>
      </c>
      <c r="V470" s="92">
        <f>IFERROR(VLOOKUP($A470,'13. Mapa Títulos-Receita'!$A$8:$P$1000,7,FALSE),"")</f>
        <v/>
      </c>
      <c r="W470" s="92">
        <f>IFERROR(VLOOKUP($A470,'13. Mapa Títulos-Receita'!$A$8:$P$1000,8,FALSE),"")</f>
        <v/>
      </c>
      <c r="X470" s="92">
        <f>IFERROR(VLOOKUP($A470,'13. Mapa Títulos-Receita'!$A$8:$P$1000,9,FALSE),"")</f>
        <v/>
      </c>
      <c r="Y470" s="92">
        <f>IFERROR(VLOOKUP($A470,'13. Mapa Títulos-Receita'!$A$8:$P$1000,10,FALSE),"")</f>
        <v/>
      </c>
      <c r="Z470" s="92">
        <f>IFERROR(VLOOKUP($A470,'13. Mapa Títulos-Receita'!$A$8:$P$1000,11,FALSE),"")</f>
        <v/>
      </c>
      <c r="AA470" s="92">
        <f>IFERROR(VLOOKUP($A470,'13. Mapa Títulos-Receita'!$A$8:$P$1000,12,FALSE),"")</f>
        <v/>
      </c>
      <c r="AB470" s="92">
        <f>IFERROR(VLOOKUP($A470,'13. Mapa Títulos-Receita'!$A$8:$P$1000,13,FALSE),"")</f>
        <v/>
      </c>
      <c r="AC470" s="92">
        <f>IFERROR(VLOOKUP($A470,'13. Mapa Títulos-Receita'!$A$8:$P$1000,14,FALSE),"")</f>
        <v/>
      </c>
      <c r="AD470" s="92">
        <f>IFERROR(VLOOKUP($A470,'13. Mapa Títulos-Receita'!$A$8:$P$1000,15,FALSE),"")</f>
        <v/>
      </c>
      <c r="AE470" s="92">
        <f>IFERROR(VLOOKUP($A470,'13. Mapa Títulos-Receita'!$A$8:$P$1000,16,FALSE),"")</f>
        <v/>
      </c>
    </row>
    <row r="471">
      <c r="A471" s="28">
        <f>IF(C471="","", "CR-"&amp;TEXT(ROW()-7,"000"))</f>
        <v/>
      </c>
      <c r="B471" s="28" t="n"/>
      <c r="C471" s="28" t="n"/>
      <c r="D471" s="111" t="n"/>
      <c r="E471" s="111" t="n"/>
      <c r="F471" s="111" t="n"/>
      <c r="G471" s="28" t="n"/>
      <c r="H471" s="45" t="n"/>
      <c r="I471" s="45" t="n"/>
      <c r="J471" s="28">
        <f>IF(H471="","",IF(I471&gt;=H471,"Recebido",IF($B$4&gt;E471,"Vencido","Aberto")))</f>
        <v/>
      </c>
      <c r="K471" s="4">
        <f>IF(J471="","",IF(OR(J471="Recebido",F471=""),MAX(0,F471-E471),MAX(0,$B$4-E471)))</f>
        <v/>
      </c>
      <c r="L471" s="4">
        <f>IF(K471="","",IF(K471=0,"Em dia",IF(K471&lt;=30,"1-30 dias",IF(K471&lt;=60,"31-60 dias",IF(K471&lt;=90,"61-90 dias","&gt;90 dias")))))</f>
        <v/>
      </c>
      <c r="M471" s="28" t="n"/>
      <c r="N471" s="104" t="inlineStr"/>
      <c r="O471" s="64" t="n"/>
      <c r="P471" s="64">
        <f>IF(C471="","",IF(ISNUMBER(SEARCH("PCMSO",C471)),"PCMSO",IF(OR(ISNUMBER(SEARCH("E-SOCIAL",C471)),ISNUMBER(SEARCH("PSICOSOCIAL",C471))),"eSocial / Psicossocial",IF(O471="Receita recorrente","Carteira recorrente","Projetos / Laudos / Avulsos"))))</f>
        <v/>
      </c>
      <c r="Q471" s="64">
        <f>IF(P471="","",IF(P471="Carteira recorrente","Operação recorrente",IF(P471="PCMSO","Projetos PCMSO",IF(P471="eSocial / Psicossocial","Projetos eSocial/Psicossocial","Projetos / Laudos / Avulsos"))))</f>
        <v/>
      </c>
      <c r="R471" s="64">
        <f>IF(C471="","",IF(ISNUMBER(SEARCH("PCMSO",C471)),"Título com PCMSO no nome",IF(OR(ISNUMBER(SEARCH("E-SOCIAL",C471)),ISNUMBER(SEARCH("PSICOSOCIAL",C471))),"Título com eSocial/Psicossocial no nome",IF(O471="Receita recorrente","Tipo DRE recorrente","Extra sem palavra-chave específica"))))</f>
        <v/>
      </c>
      <c r="S471" s="92">
        <f>IFERROR(VLOOKUP($A471,'13. Mapa Títulos-Receita'!$A$8:$P$1000,4,FALSE),"")</f>
        <v/>
      </c>
      <c r="T471" s="92">
        <f>IFERROR(VLOOKUP($A471,'13. Mapa Títulos-Receita'!$A$8:$P$1000,5,FALSE),"")</f>
        <v/>
      </c>
      <c r="U471" s="92">
        <f>IFERROR(VLOOKUP($A471,'13. Mapa Títulos-Receita'!$A$8:$P$1000,6,FALSE),"")</f>
        <v/>
      </c>
      <c r="V471" s="92">
        <f>IFERROR(VLOOKUP($A471,'13. Mapa Títulos-Receita'!$A$8:$P$1000,7,FALSE),"")</f>
        <v/>
      </c>
      <c r="W471" s="92">
        <f>IFERROR(VLOOKUP($A471,'13. Mapa Títulos-Receita'!$A$8:$P$1000,8,FALSE),"")</f>
        <v/>
      </c>
      <c r="X471" s="92">
        <f>IFERROR(VLOOKUP($A471,'13. Mapa Títulos-Receita'!$A$8:$P$1000,9,FALSE),"")</f>
        <v/>
      </c>
      <c r="Y471" s="92">
        <f>IFERROR(VLOOKUP($A471,'13. Mapa Títulos-Receita'!$A$8:$P$1000,10,FALSE),"")</f>
        <v/>
      </c>
      <c r="Z471" s="92">
        <f>IFERROR(VLOOKUP($A471,'13. Mapa Títulos-Receita'!$A$8:$P$1000,11,FALSE),"")</f>
        <v/>
      </c>
      <c r="AA471" s="92">
        <f>IFERROR(VLOOKUP($A471,'13. Mapa Títulos-Receita'!$A$8:$P$1000,12,FALSE),"")</f>
        <v/>
      </c>
      <c r="AB471" s="92">
        <f>IFERROR(VLOOKUP($A471,'13. Mapa Títulos-Receita'!$A$8:$P$1000,13,FALSE),"")</f>
        <v/>
      </c>
      <c r="AC471" s="92">
        <f>IFERROR(VLOOKUP($A471,'13. Mapa Títulos-Receita'!$A$8:$P$1000,14,FALSE),"")</f>
        <v/>
      </c>
      <c r="AD471" s="92">
        <f>IFERROR(VLOOKUP($A471,'13. Mapa Títulos-Receita'!$A$8:$P$1000,15,FALSE),"")</f>
        <v/>
      </c>
      <c r="AE471" s="92">
        <f>IFERROR(VLOOKUP($A471,'13. Mapa Títulos-Receita'!$A$8:$P$1000,16,FALSE),"")</f>
        <v/>
      </c>
    </row>
    <row r="472">
      <c r="A472" s="28">
        <f>IF(C472="","", "CR-"&amp;TEXT(ROW()-7,"000"))</f>
        <v/>
      </c>
      <c r="B472" s="28" t="n"/>
      <c r="C472" s="28" t="n"/>
      <c r="D472" s="111" t="n"/>
      <c r="E472" s="111" t="n"/>
      <c r="F472" s="111" t="n"/>
      <c r="G472" s="28" t="n"/>
      <c r="H472" s="45" t="n"/>
      <c r="I472" s="45" t="n"/>
      <c r="J472" s="28">
        <f>IF(H472="","",IF(I472&gt;=H472,"Recebido",IF($B$4&gt;E472,"Vencido","Aberto")))</f>
        <v/>
      </c>
      <c r="K472" s="4">
        <f>IF(J472="","",IF(OR(J472="Recebido",F472=""),MAX(0,F472-E472),MAX(0,$B$4-E472)))</f>
        <v/>
      </c>
      <c r="L472" s="4">
        <f>IF(K472="","",IF(K472=0,"Em dia",IF(K472&lt;=30,"1-30 dias",IF(K472&lt;=60,"31-60 dias",IF(K472&lt;=90,"61-90 dias","&gt;90 dias")))))</f>
        <v/>
      </c>
      <c r="M472" s="28" t="n"/>
      <c r="N472" s="104" t="inlineStr"/>
      <c r="O472" s="64" t="n"/>
      <c r="P472" s="64">
        <f>IF(C472="","",IF(ISNUMBER(SEARCH("PCMSO",C472)),"PCMSO",IF(OR(ISNUMBER(SEARCH("E-SOCIAL",C472)),ISNUMBER(SEARCH("PSICOSOCIAL",C472))),"eSocial / Psicossocial",IF(O472="Receita recorrente","Carteira recorrente","Projetos / Laudos / Avulsos"))))</f>
        <v/>
      </c>
      <c r="Q472" s="64">
        <f>IF(P472="","",IF(P472="Carteira recorrente","Operação recorrente",IF(P472="PCMSO","Projetos PCMSO",IF(P472="eSocial / Psicossocial","Projetos eSocial/Psicossocial","Projetos / Laudos / Avulsos"))))</f>
        <v/>
      </c>
      <c r="R472" s="64">
        <f>IF(C472="","",IF(ISNUMBER(SEARCH("PCMSO",C472)),"Título com PCMSO no nome",IF(OR(ISNUMBER(SEARCH("E-SOCIAL",C472)),ISNUMBER(SEARCH("PSICOSOCIAL",C472))),"Título com eSocial/Psicossocial no nome",IF(O472="Receita recorrente","Tipo DRE recorrente","Extra sem palavra-chave específica"))))</f>
        <v/>
      </c>
      <c r="S472" s="92">
        <f>IFERROR(VLOOKUP($A472,'13. Mapa Títulos-Receita'!$A$8:$P$1000,4,FALSE),"")</f>
        <v/>
      </c>
      <c r="T472" s="92">
        <f>IFERROR(VLOOKUP($A472,'13. Mapa Títulos-Receita'!$A$8:$P$1000,5,FALSE),"")</f>
        <v/>
      </c>
      <c r="U472" s="92">
        <f>IFERROR(VLOOKUP($A472,'13. Mapa Títulos-Receita'!$A$8:$P$1000,6,FALSE),"")</f>
        <v/>
      </c>
      <c r="V472" s="92">
        <f>IFERROR(VLOOKUP($A472,'13. Mapa Títulos-Receita'!$A$8:$P$1000,7,FALSE),"")</f>
        <v/>
      </c>
      <c r="W472" s="92">
        <f>IFERROR(VLOOKUP($A472,'13. Mapa Títulos-Receita'!$A$8:$P$1000,8,FALSE),"")</f>
        <v/>
      </c>
      <c r="X472" s="92">
        <f>IFERROR(VLOOKUP($A472,'13. Mapa Títulos-Receita'!$A$8:$P$1000,9,FALSE),"")</f>
        <v/>
      </c>
      <c r="Y472" s="92">
        <f>IFERROR(VLOOKUP($A472,'13. Mapa Títulos-Receita'!$A$8:$P$1000,10,FALSE),"")</f>
        <v/>
      </c>
      <c r="Z472" s="92">
        <f>IFERROR(VLOOKUP($A472,'13. Mapa Títulos-Receita'!$A$8:$P$1000,11,FALSE),"")</f>
        <v/>
      </c>
      <c r="AA472" s="92">
        <f>IFERROR(VLOOKUP($A472,'13. Mapa Títulos-Receita'!$A$8:$P$1000,12,FALSE),"")</f>
        <v/>
      </c>
      <c r="AB472" s="92">
        <f>IFERROR(VLOOKUP($A472,'13. Mapa Títulos-Receita'!$A$8:$P$1000,13,FALSE),"")</f>
        <v/>
      </c>
      <c r="AC472" s="92">
        <f>IFERROR(VLOOKUP($A472,'13. Mapa Títulos-Receita'!$A$8:$P$1000,14,FALSE),"")</f>
        <v/>
      </c>
      <c r="AD472" s="92">
        <f>IFERROR(VLOOKUP($A472,'13. Mapa Títulos-Receita'!$A$8:$P$1000,15,FALSE),"")</f>
        <v/>
      </c>
      <c r="AE472" s="92">
        <f>IFERROR(VLOOKUP($A472,'13. Mapa Títulos-Receita'!$A$8:$P$1000,16,FALSE),"")</f>
        <v/>
      </c>
    </row>
    <row r="473">
      <c r="A473" s="28">
        <f>IF(C473="","", "CR-"&amp;TEXT(ROW()-7,"000"))</f>
        <v/>
      </c>
      <c r="B473" s="28" t="n"/>
      <c r="C473" s="28" t="n"/>
      <c r="D473" s="111" t="n"/>
      <c r="E473" s="111" t="n"/>
      <c r="F473" s="111" t="n"/>
      <c r="G473" s="28" t="n"/>
      <c r="H473" s="45" t="n"/>
      <c r="I473" s="45" t="n"/>
      <c r="J473" s="28">
        <f>IF(H473="","",IF(I473&gt;=H473,"Recebido",IF($B$4&gt;E473,"Vencido","Aberto")))</f>
        <v/>
      </c>
      <c r="K473" s="4">
        <f>IF(J473="","",IF(OR(J473="Recebido",F473=""),MAX(0,F473-E473),MAX(0,$B$4-E473)))</f>
        <v/>
      </c>
      <c r="L473" s="4">
        <f>IF(K473="","",IF(K473=0,"Em dia",IF(K473&lt;=30,"1-30 dias",IF(K473&lt;=60,"31-60 dias",IF(K473&lt;=90,"61-90 dias","&gt;90 dias")))))</f>
        <v/>
      </c>
      <c r="M473" s="28" t="n"/>
      <c r="N473" s="104" t="inlineStr"/>
      <c r="O473" s="64" t="n"/>
      <c r="P473" s="64">
        <f>IF(C473="","",IF(ISNUMBER(SEARCH("PCMSO",C473)),"PCMSO",IF(OR(ISNUMBER(SEARCH("E-SOCIAL",C473)),ISNUMBER(SEARCH("PSICOSOCIAL",C473))),"eSocial / Psicossocial",IF(O473="Receita recorrente","Carteira recorrente","Projetos / Laudos / Avulsos"))))</f>
        <v/>
      </c>
      <c r="Q473" s="64">
        <f>IF(P473="","",IF(P473="Carteira recorrente","Operação recorrente",IF(P473="PCMSO","Projetos PCMSO",IF(P473="eSocial / Psicossocial","Projetos eSocial/Psicossocial","Projetos / Laudos / Avulsos"))))</f>
        <v/>
      </c>
      <c r="R473" s="64">
        <f>IF(C473="","",IF(ISNUMBER(SEARCH("PCMSO",C473)),"Título com PCMSO no nome",IF(OR(ISNUMBER(SEARCH("E-SOCIAL",C473)),ISNUMBER(SEARCH("PSICOSOCIAL",C473))),"Título com eSocial/Psicossocial no nome",IF(O473="Receita recorrente","Tipo DRE recorrente","Extra sem palavra-chave específica"))))</f>
        <v/>
      </c>
      <c r="S473" s="92">
        <f>IFERROR(VLOOKUP($A473,'13. Mapa Títulos-Receita'!$A$8:$P$1000,4,FALSE),"")</f>
        <v/>
      </c>
      <c r="T473" s="92">
        <f>IFERROR(VLOOKUP($A473,'13. Mapa Títulos-Receita'!$A$8:$P$1000,5,FALSE),"")</f>
        <v/>
      </c>
      <c r="U473" s="92">
        <f>IFERROR(VLOOKUP($A473,'13. Mapa Títulos-Receita'!$A$8:$P$1000,6,FALSE),"")</f>
        <v/>
      </c>
      <c r="V473" s="92">
        <f>IFERROR(VLOOKUP($A473,'13. Mapa Títulos-Receita'!$A$8:$P$1000,7,FALSE),"")</f>
        <v/>
      </c>
      <c r="W473" s="92">
        <f>IFERROR(VLOOKUP($A473,'13. Mapa Títulos-Receita'!$A$8:$P$1000,8,FALSE),"")</f>
        <v/>
      </c>
      <c r="X473" s="92">
        <f>IFERROR(VLOOKUP($A473,'13. Mapa Títulos-Receita'!$A$8:$P$1000,9,FALSE),"")</f>
        <v/>
      </c>
      <c r="Y473" s="92">
        <f>IFERROR(VLOOKUP($A473,'13. Mapa Títulos-Receita'!$A$8:$P$1000,10,FALSE),"")</f>
        <v/>
      </c>
      <c r="Z473" s="92">
        <f>IFERROR(VLOOKUP($A473,'13. Mapa Títulos-Receita'!$A$8:$P$1000,11,FALSE),"")</f>
        <v/>
      </c>
      <c r="AA473" s="92">
        <f>IFERROR(VLOOKUP($A473,'13. Mapa Títulos-Receita'!$A$8:$P$1000,12,FALSE),"")</f>
        <v/>
      </c>
      <c r="AB473" s="92">
        <f>IFERROR(VLOOKUP($A473,'13. Mapa Títulos-Receita'!$A$8:$P$1000,13,FALSE),"")</f>
        <v/>
      </c>
      <c r="AC473" s="92">
        <f>IFERROR(VLOOKUP($A473,'13. Mapa Títulos-Receita'!$A$8:$P$1000,14,FALSE),"")</f>
        <v/>
      </c>
      <c r="AD473" s="92">
        <f>IFERROR(VLOOKUP($A473,'13. Mapa Títulos-Receita'!$A$8:$P$1000,15,FALSE),"")</f>
        <v/>
      </c>
      <c r="AE473" s="92">
        <f>IFERROR(VLOOKUP($A473,'13. Mapa Títulos-Receita'!$A$8:$P$1000,16,FALSE),"")</f>
        <v/>
      </c>
    </row>
    <row r="474">
      <c r="A474" s="28">
        <f>IF(C474="","", "CR-"&amp;TEXT(ROW()-7,"000"))</f>
        <v/>
      </c>
      <c r="B474" s="28" t="n"/>
      <c r="C474" s="28" t="n"/>
      <c r="D474" s="111" t="n"/>
      <c r="E474" s="111" t="n"/>
      <c r="F474" s="111" t="n"/>
      <c r="G474" s="28" t="n"/>
      <c r="H474" s="45" t="n"/>
      <c r="I474" s="45" t="n"/>
      <c r="J474" s="28">
        <f>IF(H474="","",IF(I474&gt;=H474,"Recebido",IF($B$4&gt;E474,"Vencido","Aberto")))</f>
        <v/>
      </c>
      <c r="K474" s="4">
        <f>IF(J474="","",IF(OR(J474="Recebido",F474=""),MAX(0,F474-E474),MAX(0,$B$4-E474)))</f>
        <v/>
      </c>
      <c r="L474" s="4">
        <f>IF(K474="","",IF(K474=0,"Em dia",IF(K474&lt;=30,"1-30 dias",IF(K474&lt;=60,"31-60 dias",IF(K474&lt;=90,"61-90 dias","&gt;90 dias")))))</f>
        <v/>
      </c>
      <c r="M474" s="28" t="n"/>
      <c r="N474" s="104" t="inlineStr"/>
      <c r="O474" s="64" t="n"/>
      <c r="P474" s="64">
        <f>IF(C474="","",IF(ISNUMBER(SEARCH("PCMSO",C474)),"PCMSO",IF(OR(ISNUMBER(SEARCH("E-SOCIAL",C474)),ISNUMBER(SEARCH("PSICOSOCIAL",C474))),"eSocial / Psicossocial",IF(O474="Receita recorrente","Carteira recorrente","Projetos / Laudos / Avulsos"))))</f>
        <v/>
      </c>
      <c r="Q474" s="64">
        <f>IF(P474="","",IF(P474="Carteira recorrente","Operação recorrente",IF(P474="PCMSO","Projetos PCMSO",IF(P474="eSocial / Psicossocial","Projetos eSocial/Psicossocial","Projetos / Laudos / Avulsos"))))</f>
        <v/>
      </c>
      <c r="R474" s="64">
        <f>IF(C474="","",IF(ISNUMBER(SEARCH("PCMSO",C474)),"Título com PCMSO no nome",IF(OR(ISNUMBER(SEARCH("E-SOCIAL",C474)),ISNUMBER(SEARCH("PSICOSOCIAL",C474))),"Título com eSocial/Psicossocial no nome",IF(O474="Receita recorrente","Tipo DRE recorrente","Extra sem palavra-chave específica"))))</f>
        <v/>
      </c>
      <c r="S474" s="92">
        <f>IFERROR(VLOOKUP($A474,'13. Mapa Títulos-Receita'!$A$8:$P$1000,4,FALSE),"")</f>
        <v/>
      </c>
      <c r="T474" s="92">
        <f>IFERROR(VLOOKUP($A474,'13. Mapa Títulos-Receita'!$A$8:$P$1000,5,FALSE),"")</f>
        <v/>
      </c>
      <c r="U474" s="92">
        <f>IFERROR(VLOOKUP($A474,'13. Mapa Títulos-Receita'!$A$8:$P$1000,6,FALSE),"")</f>
        <v/>
      </c>
      <c r="V474" s="92">
        <f>IFERROR(VLOOKUP($A474,'13. Mapa Títulos-Receita'!$A$8:$P$1000,7,FALSE),"")</f>
        <v/>
      </c>
      <c r="W474" s="92">
        <f>IFERROR(VLOOKUP($A474,'13. Mapa Títulos-Receita'!$A$8:$P$1000,8,FALSE),"")</f>
        <v/>
      </c>
      <c r="X474" s="92">
        <f>IFERROR(VLOOKUP($A474,'13. Mapa Títulos-Receita'!$A$8:$P$1000,9,FALSE),"")</f>
        <v/>
      </c>
      <c r="Y474" s="92">
        <f>IFERROR(VLOOKUP($A474,'13. Mapa Títulos-Receita'!$A$8:$P$1000,10,FALSE),"")</f>
        <v/>
      </c>
      <c r="Z474" s="92">
        <f>IFERROR(VLOOKUP($A474,'13. Mapa Títulos-Receita'!$A$8:$P$1000,11,FALSE),"")</f>
        <v/>
      </c>
      <c r="AA474" s="92">
        <f>IFERROR(VLOOKUP($A474,'13. Mapa Títulos-Receita'!$A$8:$P$1000,12,FALSE),"")</f>
        <v/>
      </c>
      <c r="AB474" s="92">
        <f>IFERROR(VLOOKUP($A474,'13. Mapa Títulos-Receita'!$A$8:$P$1000,13,FALSE),"")</f>
        <v/>
      </c>
      <c r="AC474" s="92">
        <f>IFERROR(VLOOKUP($A474,'13. Mapa Títulos-Receita'!$A$8:$P$1000,14,FALSE),"")</f>
        <v/>
      </c>
      <c r="AD474" s="92">
        <f>IFERROR(VLOOKUP($A474,'13. Mapa Títulos-Receita'!$A$8:$P$1000,15,FALSE),"")</f>
        <v/>
      </c>
      <c r="AE474" s="92">
        <f>IFERROR(VLOOKUP($A474,'13. Mapa Títulos-Receita'!$A$8:$P$1000,16,FALSE),"")</f>
        <v/>
      </c>
    </row>
    <row r="475">
      <c r="A475" s="28">
        <f>IF(C475="","", "CR-"&amp;TEXT(ROW()-7,"000"))</f>
        <v/>
      </c>
      <c r="B475" s="28" t="n"/>
      <c r="C475" s="28" t="n"/>
      <c r="D475" s="111" t="n"/>
      <c r="E475" s="111" t="n"/>
      <c r="F475" s="111" t="n"/>
      <c r="G475" s="28" t="n"/>
      <c r="H475" s="45" t="n"/>
      <c r="I475" s="45" t="n"/>
      <c r="J475" s="28">
        <f>IF(H475="","",IF(I475&gt;=H475,"Recebido",IF($B$4&gt;E475,"Vencido","Aberto")))</f>
        <v/>
      </c>
      <c r="K475" s="4">
        <f>IF(J475="","",IF(OR(J475="Recebido",F475=""),MAX(0,F475-E475),MAX(0,$B$4-E475)))</f>
        <v/>
      </c>
      <c r="L475" s="4">
        <f>IF(K475="","",IF(K475=0,"Em dia",IF(K475&lt;=30,"1-30 dias",IF(K475&lt;=60,"31-60 dias",IF(K475&lt;=90,"61-90 dias","&gt;90 dias")))))</f>
        <v/>
      </c>
      <c r="M475" s="28" t="n"/>
      <c r="N475" s="104" t="inlineStr"/>
      <c r="O475" s="64" t="n"/>
      <c r="P475" s="64">
        <f>IF(C475="","",IF(ISNUMBER(SEARCH("PCMSO",C475)),"PCMSO",IF(OR(ISNUMBER(SEARCH("E-SOCIAL",C475)),ISNUMBER(SEARCH("PSICOSOCIAL",C475))),"eSocial / Psicossocial",IF(O475="Receita recorrente","Carteira recorrente","Projetos / Laudos / Avulsos"))))</f>
        <v/>
      </c>
      <c r="Q475" s="64">
        <f>IF(P475="","",IF(P475="Carteira recorrente","Operação recorrente",IF(P475="PCMSO","Projetos PCMSO",IF(P475="eSocial / Psicossocial","Projetos eSocial/Psicossocial","Projetos / Laudos / Avulsos"))))</f>
        <v/>
      </c>
      <c r="R475" s="64">
        <f>IF(C475="","",IF(ISNUMBER(SEARCH("PCMSO",C475)),"Título com PCMSO no nome",IF(OR(ISNUMBER(SEARCH("E-SOCIAL",C475)),ISNUMBER(SEARCH("PSICOSOCIAL",C475))),"Título com eSocial/Psicossocial no nome",IF(O475="Receita recorrente","Tipo DRE recorrente","Extra sem palavra-chave específica"))))</f>
        <v/>
      </c>
      <c r="S475" s="92">
        <f>IFERROR(VLOOKUP($A475,'13. Mapa Títulos-Receita'!$A$8:$P$1000,4,FALSE),"")</f>
        <v/>
      </c>
      <c r="T475" s="92">
        <f>IFERROR(VLOOKUP($A475,'13. Mapa Títulos-Receita'!$A$8:$P$1000,5,FALSE),"")</f>
        <v/>
      </c>
      <c r="U475" s="92">
        <f>IFERROR(VLOOKUP($A475,'13. Mapa Títulos-Receita'!$A$8:$P$1000,6,FALSE),"")</f>
        <v/>
      </c>
      <c r="V475" s="92">
        <f>IFERROR(VLOOKUP($A475,'13. Mapa Títulos-Receita'!$A$8:$P$1000,7,FALSE),"")</f>
        <v/>
      </c>
      <c r="W475" s="92">
        <f>IFERROR(VLOOKUP($A475,'13. Mapa Títulos-Receita'!$A$8:$P$1000,8,FALSE),"")</f>
        <v/>
      </c>
      <c r="X475" s="92">
        <f>IFERROR(VLOOKUP($A475,'13. Mapa Títulos-Receita'!$A$8:$P$1000,9,FALSE),"")</f>
        <v/>
      </c>
      <c r="Y475" s="92">
        <f>IFERROR(VLOOKUP($A475,'13. Mapa Títulos-Receita'!$A$8:$P$1000,10,FALSE),"")</f>
        <v/>
      </c>
      <c r="Z475" s="92">
        <f>IFERROR(VLOOKUP($A475,'13. Mapa Títulos-Receita'!$A$8:$P$1000,11,FALSE),"")</f>
        <v/>
      </c>
      <c r="AA475" s="92">
        <f>IFERROR(VLOOKUP($A475,'13. Mapa Títulos-Receita'!$A$8:$P$1000,12,FALSE),"")</f>
        <v/>
      </c>
      <c r="AB475" s="92">
        <f>IFERROR(VLOOKUP($A475,'13. Mapa Títulos-Receita'!$A$8:$P$1000,13,FALSE),"")</f>
        <v/>
      </c>
      <c r="AC475" s="92">
        <f>IFERROR(VLOOKUP($A475,'13. Mapa Títulos-Receita'!$A$8:$P$1000,14,FALSE),"")</f>
        <v/>
      </c>
      <c r="AD475" s="92">
        <f>IFERROR(VLOOKUP($A475,'13. Mapa Títulos-Receita'!$A$8:$P$1000,15,FALSE),"")</f>
        <v/>
      </c>
      <c r="AE475" s="92">
        <f>IFERROR(VLOOKUP($A475,'13. Mapa Títulos-Receita'!$A$8:$P$1000,16,FALSE),"")</f>
        <v/>
      </c>
    </row>
    <row r="476">
      <c r="A476" s="28">
        <f>IF(C476="","", "CR-"&amp;TEXT(ROW()-7,"000"))</f>
        <v/>
      </c>
      <c r="B476" s="28" t="n"/>
      <c r="C476" s="28" t="n"/>
      <c r="D476" s="111" t="n"/>
      <c r="E476" s="111" t="n"/>
      <c r="F476" s="111" t="n"/>
      <c r="G476" s="28" t="n"/>
      <c r="H476" s="45" t="n"/>
      <c r="I476" s="45" t="n"/>
      <c r="J476" s="28">
        <f>IF(H476="","",IF(I476&gt;=H476,"Recebido",IF($B$4&gt;E476,"Vencido","Aberto")))</f>
        <v/>
      </c>
      <c r="K476" s="4">
        <f>IF(J476="","",IF(OR(J476="Recebido",F476=""),MAX(0,F476-E476),MAX(0,$B$4-E476)))</f>
        <v/>
      </c>
      <c r="L476" s="4">
        <f>IF(K476="","",IF(K476=0,"Em dia",IF(K476&lt;=30,"1-30 dias",IF(K476&lt;=60,"31-60 dias",IF(K476&lt;=90,"61-90 dias","&gt;90 dias")))))</f>
        <v/>
      </c>
      <c r="M476" s="28" t="n"/>
      <c r="N476" s="104" t="inlineStr"/>
      <c r="O476" s="64" t="n"/>
      <c r="P476" s="64">
        <f>IF(C476="","",IF(ISNUMBER(SEARCH("PCMSO",C476)),"PCMSO",IF(OR(ISNUMBER(SEARCH("E-SOCIAL",C476)),ISNUMBER(SEARCH("PSICOSOCIAL",C476))),"eSocial / Psicossocial",IF(O476="Receita recorrente","Carteira recorrente","Projetos / Laudos / Avulsos"))))</f>
        <v/>
      </c>
      <c r="Q476" s="64">
        <f>IF(P476="","",IF(P476="Carteira recorrente","Operação recorrente",IF(P476="PCMSO","Projetos PCMSO",IF(P476="eSocial / Psicossocial","Projetos eSocial/Psicossocial","Projetos / Laudos / Avulsos"))))</f>
        <v/>
      </c>
      <c r="R476" s="64">
        <f>IF(C476="","",IF(ISNUMBER(SEARCH("PCMSO",C476)),"Título com PCMSO no nome",IF(OR(ISNUMBER(SEARCH("E-SOCIAL",C476)),ISNUMBER(SEARCH("PSICOSOCIAL",C476))),"Título com eSocial/Psicossocial no nome",IF(O476="Receita recorrente","Tipo DRE recorrente","Extra sem palavra-chave específica"))))</f>
        <v/>
      </c>
      <c r="S476" s="92">
        <f>IFERROR(VLOOKUP($A476,'13. Mapa Títulos-Receita'!$A$8:$P$1000,4,FALSE),"")</f>
        <v/>
      </c>
      <c r="T476" s="92">
        <f>IFERROR(VLOOKUP($A476,'13. Mapa Títulos-Receita'!$A$8:$P$1000,5,FALSE),"")</f>
        <v/>
      </c>
      <c r="U476" s="92">
        <f>IFERROR(VLOOKUP($A476,'13. Mapa Títulos-Receita'!$A$8:$P$1000,6,FALSE),"")</f>
        <v/>
      </c>
      <c r="V476" s="92">
        <f>IFERROR(VLOOKUP($A476,'13. Mapa Títulos-Receita'!$A$8:$P$1000,7,FALSE),"")</f>
        <v/>
      </c>
      <c r="W476" s="92">
        <f>IFERROR(VLOOKUP($A476,'13. Mapa Títulos-Receita'!$A$8:$P$1000,8,FALSE),"")</f>
        <v/>
      </c>
      <c r="X476" s="92">
        <f>IFERROR(VLOOKUP($A476,'13. Mapa Títulos-Receita'!$A$8:$P$1000,9,FALSE),"")</f>
        <v/>
      </c>
      <c r="Y476" s="92">
        <f>IFERROR(VLOOKUP($A476,'13. Mapa Títulos-Receita'!$A$8:$P$1000,10,FALSE),"")</f>
        <v/>
      </c>
      <c r="Z476" s="92">
        <f>IFERROR(VLOOKUP($A476,'13. Mapa Títulos-Receita'!$A$8:$P$1000,11,FALSE),"")</f>
        <v/>
      </c>
      <c r="AA476" s="92">
        <f>IFERROR(VLOOKUP($A476,'13. Mapa Títulos-Receita'!$A$8:$P$1000,12,FALSE),"")</f>
        <v/>
      </c>
      <c r="AB476" s="92">
        <f>IFERROR(VLOOKUP($A476,'13. Mapa Títulos-Receita'!$A$8:$P$1000,13,FALSE),"")</f>
        <v/>
      </c>
      <c r="AC476" s="92">
        <f>IFERROR(VLOOKUP($A476,'13. Mapa Títulos-Receita'!$A$8:$P$1000,14,FALSE),"")</f>
        <v/>
      </c>
      <c r="AD476" s="92">
        <f>IFERROR(VLOOKUP($A476,'13. Mapa Títulos-Receita'!$A$8:$P$1000,15,FALSE),"")</f>
        <v/>
      </c>
      <c r="AE476" s="92">
        <f>IFERROR(VLOOKUP($A476,'13. Mapa Títulos-Receita'!$A$8:$P$1000,16,FALSE),"")</f>
        <v/>
      </c>
    </row>
    <row r="477">
      <c r="A477" s="28">
        <f>IF(C477="","", "CR-"&amp;TEXT(ROW()-7,"000"))</f>
        <v/>
      </c>
      <c r="B477" s="28" t="n"/>
      <c r="C477" s="28" t="n"/>
      <c r="D477" s="111" t="n"/>
      <c r="E477" s="111" t="n"/>
      <c r="F477" s="111" t="n"/>
      <c r="G477" s="28" t="n"/>
      <c r="H477" s="45" t="n"/>
      <c r="I477" s="45" t="n"/>
      <c r="J477" s="28">
        <f>IF(H477="","",IF(I477&gt;=H477,"Recebido",IF($B$4&gt;E477,"Vencido","Aberto")))</f>
        <v/>
      </c>
      <c r="K477" s="4">
        <f>IF(J477="","",IF(OR(J477="Recebido",F477=""),MAX(0,F477-E477),MAX(0,$B$4-E477)))</f>
        <v/>
      </c>
      <c r="L477" s="4">
        <f>IF(K477="","",IF(K477=0,"Em dia",IF(K477&lt;=30,"1-30 dias",IF(K477&lt;=60,"31-60 dias",IF(K477&lt;=90,"61-90 dias","&gt;90 dias")))))</f>
        <v/>
      </c>
      <c r="M477" s="28" t="n"/>
      <c r="N477" s="104" t="inlineStr"/>
      <c r="O477" s="64" t="n"/>
      <c r="P477" s="64">
        <f>IF(C477="","",IF(ISNUMBER(SEARCH("PCMSO",C477)),"PCMSO",IF(OR(ISNUMBER(SEARCH("E-SOCIAL",C477)),ISNUMBER(SEARCH("PSICOSOCIAL",C477))),"eSocial / Psicossocial",IF(O477="Receita recorrente","Carteira recorrente","Projetos / Laudos / Avulsos"))))</f>
        <v/>
      </c>
      <c r="Q477" s="64">
        <f>IF(P477="","",IF(P477="Carteira recorrente","Operação recorrente",IF(P477="PCMSO","Projetos PCMSO",IF(P477="eSocial / Psicossocial","Projetos eSocial/Psicossocial","Projetos / Laudos / Avulsos"))))</f>
        <v/>
      </c>
      <c r="R477" s="64">
        <f>IF(C477="","",IF(ISNUMBER(SEARCH("PCMSO",C477)),"Título com PCMSO no nome",IF(OR(ISNUMBER(SEARCH("E-SOCIAL",C477)),ISNUMBER(SEARCH("PSICOSOCIAL",C477))),"Título com eSocial/Psicossocial no nome",IF(O477="Receita recorrente","Tipo DRE recorrente","Extra sem palavra-chave específica"))))</f>
        <v/>
      </c>
      <c r="S477" s="92">
        <f>IFERROR(VLOOKUP($A477,'13. Mapa Títulos-Receita'!$A$8:$P$1000,4,FALSE),"")</f>
        <v/>
      </c>
      <c r="T477" s="92">
        <f>IFERROR(VLOOKUP($A477,'13. Mapa Títulos-Receita'!$A$8:$P$1000,5,FALSE),"")</f>
        <v/>
      </c>
      <c r="U477" s="92">
        <f>IFERROR(VLOOKUP($A477,'13. Mapa Títulos-Receita'!$A$8:$P$1000,6,FALSE),"")</f>
        <v/>
      </c>
      <c r="V477" s="92">
        <f>IFERROR(VLOOKUP($A477,'13. Mapa Títulos-Receita'!$A$8:$P$1000,7,FALSE),"")</f>
        <v/>
      </c>
      <c r="W477" s="92">
        <f>IFERROR(VLOOKUP($A477,'13. Mapa Títulos-Receita'!$A$8:$P$1000,8,FALSE),"")</f>
        <v/>
      </c>
      <c r="X477" s="92">
        <f>IFERROR(VLOOKUP($A477,'13. Mapa Títulos-Receita'!$A$8:$P$1000,9,FALSE),"")</f>
        <v/>
      </c>
      <c r="Y477" s="92">
        <f>IFERROR(VLOOKUP($A477,'13. Mapa Títulos-Receita'!$A$8:$P$1000,10,FALSE),"")</f>
        <v/>
      </c>
      <c r="Z477" s="92">
        <f>IFERROR(VLOOKUP($A477,'13. Mapa Títulos-Receita'!$A$8:$P$1000,11,FALSE),"")</f>
        <v/>
      </c>
      <c r="AA477" s="92">
        <f>IFERROR(VLOOKUP($A477,'13. Mapa Títulos-Receita'!$A$8:$P$1000,12,FALSE),"")</f>
        <v/>
      </c>
      <c r="AB477" s="92">
        <f>IFERROR(VLOOKUP($A477,'13. Mapa Títulos-Receita'!$A$8:$P$1000,13,FALSE),"")</f>
        <v/>
      </c>
      <c r="AC477" s="92">
        <f>IFERROR(VLOOKUP($A477,'13. Mapa Títulos-Receita'!$A$8:$P$1000,14,FALSE),"")</f>
        <v/>
      </c>
      <c r="AD477" s="92">
        <f>IFERROR(VLOOKUP($A477,'13. Mapa Títulos-Receita'!$A$8:$P$1000,15,FALSE),"")</f>
        <v/>
      </c>
      <c r="AE477" s="92">
        <f>IFERROR(VLOOKUP($A477,'13. Mapa Títulos-Receita'!$A$8:$P$1000,16,FALSE),"")</f>
        <v/>
      </c>
    </row>
    <row r="478">
      <c r="A478" s="28">
        <f>IF(C478="","", "CR-"&amp;TEXT(ROW()-7,"000"))</f>
        <v/>
      </c>
      <c r="B478" s="28" t="n"/>
      <c r="C478" s="28" t="n"/>
      <c r="D478" s="111" t="n"/>
      <c r="E478" s="111" t="n"/>
      <c r="F478" s="111" t="n"/>
      <c r="G478" s="28" t="n"/>
      <c r="H478" s="45" t="n"/>
      <c r="I478" s="45" t="n"/>
      <c r="J478" s="28">
        <f>IF(H478="","",IF(I478&gt;=H478,"Recebido",IF($B$4&gt;E478,"Vencido","Aberto")))</f>
        <v/>
      </c>
      <c r="K478" s="4">
        <f>IF(J478="","",IF(OR(J478="Recebido",F478=""),MAX(0,F478-E478),MAX(0,$B$4-E478)))</f>
        <v/>
      </c>
      <c r="L478" s="4">
        <f>IF(K478="","",IF(K478=0,"Em dia",IF(K478&lt;=30,"1-30 dias",IF(K478&lt;=60,"31-60 dias",IF(K478&lt;=90,"61-90 dias","&gt;90 dias")))))</f>
        <v/>
      </c>
      <c r="M478" s="28" t="n"/>
      <c r="N478" s="104" t="inlineStr"/>
      <c r="O478" s="64" t="n"/>
      <c r="P478" s="64">
        <f>IF(C478="","",IF(ISNUMBER(SEARCH("PCMSO",C478)),"PCMSO",IF(OR(ISNUMBER(SEARCH("E-SOCIAL",C478)),ISNUMBER(SEARCH("PSICOSOCIAL",C478))),"eSocial / Psicossocial",IF(O478="Receita recorrente","Carteira recorrente","Projetos / Laudos / Avulsos"))))</f>
        <v/>
      </c>
      <c r="Q478" s="64">
        <f>IF(P478="","",IF(P478="Carteira recorrente","Operação recorrente",IF(P478="PCMSO","Projetos PCMSO",IF(P478="eSocial / Psicossocial","Projetos eSocial/Psicossocial","Projetos / Laudos / Avulsos"))))</f>
        <v/>
      </c>
      <c r="R478" s="64">
        <f>IF(C478="","",IF(ISNUMBER(SEARCH("PCMSO",C478)),"Título com PCMSO no nome",IF(OR(ISNUMBER(SEARCH("E-SOCIAL",C478)),ISNUMBER(SEARCH("PSICOSOCIAL",C478))),"Título com eSocial/Psicossocial no nome",IF(O478="Receita recorrente","Tipo DRE recorrente","Extra sem palavra-chave específica"))))</f>
        <v/>
      </c>
      <c r="S478" s="92">
        <f>IFERROR(VLOOKUP($A478,'13. Mapa Títulos-Receita'!$A$8:$P$1000,4,FALSE),"")</f>
        <v/>
      </c>
      <c r="T478" s="92">
        <f>IFERROR(VLOOKUP($A478,'13. Mapa Títulos-Receita'!$A$8:$P$1000,5,FALSE),"")</f>
        <v/>
      </c>
      <c r="U478" s="92">
        <f>IFERROR(VLOOKUP($A478,'13. Mapa Títulos-Receita'!$A$8:$P$1000,6,FALSE),"")</f>
        <v/>
      </c>
      <c r="V478" s="92">
        <f>IFERROR(VLOOKUP($A478,'13. Mapa Títulos-Receita'!$A$8:$P$1000,7,FALSE),"")</f>
        <v/>
      </c>
      <c r="W478" s="92">
        <f>IFERROR(VLOOKUP($A478,'13. Mapa Títulos-Receita'!$A$8:$P$1000,8,FALSE),"")</f>
        <v/>
      </c>
      <c r="X478" s="92">
        <f>IFERROR(VLOOKUP($A478,'13. Mapa Títulos-Receita'!$A$8:$P$1000,9,FALSE),"")</f>
        <v/>
      </c>
      <c r="Y478" s="92">
        <f>IFERROR(VLOOKUP($A478,'13. Mapa Títulos-Receita'!$A$8:$P$1000,10,FALSE),"")</f>
        <v/>
      </c>
      <c r="Z478" s="92">
        <f>IFERROR(VLOOKUP($A478,'13. Mapa Títulos-Receita'!$A$8:$P$1000,11,FALSE),"")</f>
        <v/>
      </c>
      <c r="AA478" s="92">
        <f>IFERROR(VLOOKUP($A478,'13. Mapa Títulos-Receita'!$A$8:$P$1000,12,FALSE),"")</f>
        <v/>
      </c>
      <c r="AB478" s="92">
        <f>IFERROR(VLOOKUP($A478,'13. Mapa Títulos-Receita'!$A$8:$P$1000,13,FALSE),"")</f>
        <v/>
      </c>
      <c r="AC478" s="92">
        <f>IFERROR(VLOOKUP($A478,'13. Mapa Títulos-Receita'!$A$8:$P$1000,14,FALSE),"")</f>
        <v/>
      </c>
      <c r="AD478" s="92">
        <f>IFERROR(VLOOKUP($A478,'13. Mapa Títulos-Receita'!$A$8:$P$1000,15,FALSE),"")</f>
        <v/>
      </c>
      <c r="AE478" s="92">
        <f>IFERROR(VLOOKUP($A478,'13. Mapa Títulos-Receita'!$A$8:$P$1000,16,FALSE),"")</f>
        <v/>
      </c>
    </row>
    <row r="479">
      <c r="A479" s="28">
        <f>IF(C479="","", "CR-"&amp;TEXT(ROW()-7,"000"))</f>
        <v/>
      </c>
      <c r="B479" s="28" t="n"/>
      <c r="C479" s="28" t="n"/>
      <c r="D479" s="111" t="n"/>
      <c r="E479" s="111" t="n"/>
      <c r="F479" s="111" t="n"/>
      <c r="G479" s="28" t="n"/>
      <c r="H479" s="45" t="n"/>
      <c r="I479" s="45" t="n"/>
      <c r="J479" s="28">
        <f>IF(H479="","",IF(I479&gt;=H479,"Recebido",IF($B$4&gt;E479,"Vencido","Aberto")))</f>
        <v/>
      </c>
      <c r="K479" s="4">
        <f>IF(J479="","",IF(OR(J479="Recebido",F479=""),MAX(0,F479-E479),MAX(0,$B$4-E479)))</f>
        <v/>
      </c>
      <c r="L479" s="4">
        <f>IF(K479="","",IF(K479=0,"Em dia",IF(K479&lt;=30,"1-30 dias",IF(K479&lt;=60,"31-60 dias",IF(K479&lt;=90,"61-90 dias","&gt;90 dias")))))</f>
        <v/>
      </c>
      <c r="M479" s="28" t="n"/>
      <c r="N479" s="104" t="inlineStr"/>
      <c r="O479" s="64" t="n"/>
      <c r="P479" s="64">
        <f>IF(C479="","",IF(ISNUMBER(SEARCH("PCMSO",C479)),"PCMSO",IF(OR(ISNUMBER(SEARCH("E-SOCIAL",C479)),ISNUMBER(SEARCH("PSICOSOCIAL",C479))),"eSocial / Psicossocial",IF(O479="Receita recorrente","Carteira recorrente","Projetos / Laudos / Avulsos"))))</f>
        <v/>
      </c>
      <c r="Q479" s="64">
        <f>IF(P479="","",IF(P479="Carteira recorrente","Operação recorrente",IF(P479="PCMSO","Projetos PCMSO",IF(P479="eSocial / Psicossocial","Projetos eSocial/Psicossocial","Projetos / Laudos / Avulsos"))))</f>
        <v/>
      </c>
      <c r="R479" s="64">
        <f>IF(C479="","",IF(ISNUMBER(SEARCH("PCMSO",C479)),"Título com PCMSO no nome",IF(OR(ISNUMBER(SEARCH("E-SOCIAL",C479)),ISNUMBER(SEARCH("PSICOSOCIAL",C479))),"Título com eSocial/Psicossocial no nome",IF(O479="Receita recorrente","Tipo DRE recorrente","Extra sem palavra-chave específica"))))</f>
        <v/>
      </c>
      <c r="S479" s="92">
        <f>IFERROR(VLOOKUP($A479,'13. Mapa Títulos-Receita'!$A$8:$P$1000,4,FALSE),"")</f>
        <v/>
      </c>
      <c r="T479" s="92">
        <f>IFERROR(VLOOKUP($A479,'13. Mapa Títulos-Receita'!$A$8:$P$1000,5,FALSE),"")</f>
        <v/>
      </c>
      <c r="U479" s="92">
        <f>IFERROR(VLOOKUP($A479,'13. Mapa Títulos-Receita'!$A$8:$P$1000,6,FALSE),"")</f>
        <v/>
      </c>
      <c r="V479" s="92">
        <f>IFERROR(VLOOKUP($A479,'13. Mapa Títulos-Receita'!$A$8:$P$1000,7,FALSE),"")</f>
        <v/>
      </c>
      <c r="W479" s="92">
        <f>IFERROR(VLOOKUP($A479,'13. Mapa Títulos-Receita'!$A$8:$P$1000,8,FALSE),"")</f>
        <v/>
      </c>
      <c r="X479" s="92">
        <f>IFERROR(VLOOKUP($A479,'13. Mapa Títulos-Receita'!$A$8:$P$1000,9,FALSE),"")</f>
        <v/>
      </c>
      <c r="Y479" s="92">
        <f>IFERROR(VLOOKUP($A479,'13. Mapa Títulos-Receita'!$A$8:$P$1000,10,FALSE),"")</f>
        <v/>
      </c>
      <c r="Z479" s="92">
        <f>IFERROR(VLOOKUP($A479,'13. Mapa Títulos-Receita'!$A$8:$P$1000,11,FALSE),"")</f>
        <v/>
      </c>
      <c r="AA479" s="92">
        <f>IFERROR(VLOOKUP($A479,'13. Mapa Títulos-Receita'!$A$8:$P$1000,12,FALSE),"")</f>
        <v/>
      </c>
      <c r="AB479" s="92">
        <f>IFERROR(VLOOKUP($A479,'13. Mapa Títulos-Receita'!$A$8:$P$1000,13,FALSE),"")</f>
        <v/>
      </c>
      <c r="AC479" s="92">
        <f>IFERROR(VLOOKUP($A479,'13. Mapa Títulos-Receita'!$A$8:$P$1000,14,FALSE),"")</f>
        <v/>
      </c>
      <c r="AD479" s="92">
        <f>IFERROR(VLOOKUP($A479,'13. Mapa Títulos-Receita'!$A$8:$P$1000,15,FALSE),"")</f>
        <v/>
      </c>
      <c r="AE479" s="92">
        <f>IFERROR(VLOOKUP($A479,'13. Mapa Títulos-Receita'!$A$8:$P$1000,16,FALSE),"")</f>
        <v/>
      </c>
    </row>
    <row r="480">
      <c r="A480" s="28">
        <f>IF(C480="","", "CR-"&amp;TEXT(ROW()-7,"000"))</f>
        <v/>
      </c>
      <c r="B480" s="28" t="n"/>
      <c r="C480" s="28" t="n"/>
      <c r="D480" s="111" t="n"/>
      <c r="E480" s="111" t="n"/>
      <c r="F480" s="111" t="n"/>
      <c r="G480" s="28" t="n"/>
      <c r="H480" s="45" t="n"/>
      <c r="I480" s="45" t="n"/>
      <c r="J480" s="28">
        <f>IF(H480="","",IF(I480&gt;=H480,"Recebido",IF($B$4&gt;E480,"Vencido","Aberto")))</f>
        <v/>
      </c>
      <c r="K480" s="4">
        <f>IF(J480="","",IF(OR(J480="Recebido",F480=""),MAX(0,F480-E480),MAX(0,$B$4-E480)))</f>
        <v/>
      </c>
      <c r="L480" s="4">
        <f>IF(K480="","",IF(K480=0,"Em dia",IF(K480&lt;=30,"1-30 dias",IF(K480&lt;=60,"31-60 dias",IF(K480&lt;=90,"61-90 dias","&gt;90 dias")))))</f>
        <v/>
      </c>
      <c r="M480" s="28" t="n"/>
      <c r="N480" s="104" t="inlineStr"/>
      <c r="O480" s="64" t="n"/>
      <c r="P480" s="64">
        <f>IF(C480="","",IF(ISNUMBER(SEARCH("PCMSO",C480)),"PCMSO",IF(OR(ISNUMBER(SEARCH("E-SOCIAL",C480)),ISNUMBER(SEARCH("PSICOSOCIAL",C480))),"eSocial / Psicossocial",IF(O480="Receita recorrente","Carteira recorrente","Projetos / Laudos / Avulsos"))))</f>
        <v/>
      </c>
      <c r="Q480" s="64">
        <f>IF(P480="","",IF(P480="Carteira recorrente","Operação recorrente",IF(P480="PCMSO","Projetos PCMSO",IF(P480="eSocial / Psicossocial","Projetos eSocial/Psicossocial","Projetos / Laudos / Avulsos"))))</f>
        <v/>
      </c>
      <c r="R480" s="64">
        <f>IF(C480="","",IF(ISNUMBER(SEARCH("PCMSO",C480)),"Título com PCMSO no nome",IF(OR(ISNUMBER(SEARCH("E-SOCIAL",C480)),ISNUMBER(SEARCH("PSICOSOCIAL",C480))),"Título com eSocial/Psicossocial no nome",IF(O480="Receita recorrente","Tipo DRE recorrente","Extra sem palavra-chave específica"))))</f>
        <v/>
      </c>
      <c r="S480" s="92">
        <f>IFERROR(VLOOKUP($A480,'13. Mapa Títulos-Receita'!$A$8:$P$1000,4,FALSE),"")</f>
        <v/>
      </c>
      <c r="T480" s="92">
        <f>IFERROR(VLOOKUP($A480,'13. Mapa Títulos-Receita'!$A$8:$P$1000,5,FALSE),"")</f>
        <v/>
      </c>
      <c r="U480" s="92">
        <f>IFERROR(VLOOKUP($A480,'13. Mapa Títulos-Receita'!$A$8:$P$1000,6,FALSE),"")</f>
        <v/>
      </c>
      <c r="V480" s="92">
        <f>IFERROR(VLOOKUP($A480,'13. Mapa Títulos-Receita'!$A$8:$P$1000,7,FALSE),"")</f>
        <v/>
      </c>
      <c r="W480" s="92">
        <f>IFERROR(VLOOKUP($A480,'13. Mapa Títulos-Receita'!$A$8:$P$1000,8,FALSE),"")</f>
        <v/>
      </c>
      <c r="X480" s="92">
        <f>IFERROR(VLOOKUP($A480,'13. Mapa Títulos-Receita'!$A$8:$P$1000,9,FALSE),"")</f>
        <v/>
      </c>
      <c r="Y480" s="92">
        <f>IFERROR(VLOOKUP($A480,'13. Mapa Títulos-Receita'!$A$8:$P$1000,10,FALSE),"")</f>
        <v/>
      </c>
      <c r="Z480" s="92">
        <f>IFERROR(VLOOKUP($A480,'13. Mapa Títulos-Receita'!$A$8:$P$1000,11,FALSE),"")</f>
        <v/>
      </c>
      <c r="AA480" s="92">
        <f>IFERROR(VLOOKUP($A480,'13. Mapa Títulos-Receita'!$A$8:$P$1000,12,FALSE),"")</f>
        <v/>
      </c>
      <c r="AB480" s="92">
        <f>IFERROR(VLOOKUP($A480,'13. Mapa Títulos-Receita'!$A$8:$P$1000,13,FALSE),"")</f>
        <v/>
      </c>
      <c r="AC480" s="92">
        <f>IFERROR(VLOOKUP($A480,'13. Mapa Títulos-Receita'!$A$8:$P$1000,14,FALSE),"")</f>
        <v/>
      </c>
      <c r="AD480" s="92">
        <f>IFERROR(VLOOKUP($A480,'13. Mapa Títulos-Receita'!$A$8:$P$1000,15,FALSE),"")</f>
        <v/>
      </c>
      <c r="AE480" s="92">
        <f>IFERROR(VLOOKUP($A480,'13. Mapa Títulos-Receita'!$A$8:$P$1000,16,FALSE),"")</f>
        <v/>
      </c>
    </row>
    <row r="481">
      <c r="A481" s="28">
        <f>IF(C481="","", "CR-"&amp;TEXT(ROW()-7,"000"))</f>
        <v/>
      </c>
      <c r="B481" s="28" t="n"/>
      <c r="C481" s="28" t="n"/>
      <c r="D481" s="111" t="n"/>
      <c r="E481" s="111" t="n"/>
      <c r="F481" s="111" t="n"/>
      <c r="G481" s="28" t="n"/>
      <c r="H481" s="45" t="n"/>
      <c r="I481" s="45" t="n"/>
      <c r="J481" s="28">
        <f>IF(H481="","",IF(I481&gt;=H481,"Recebido",IF($B$4&gt;E481,"Vencido","Aberto")))</f>
        <v/>
      </c>
      <c r="K481" s="4">
        <f>IF(J481="","",IF(OR(J481="Recebido",F481=""),MAX(0,F481-E481),MAX(0,$B$4-E481)))</f>
        <v/>
      </c>
      <c r="L481" s="4">
        <f>IF(K481="","",IF(K481=0,"Em dia",IF(K481&lt;=30,"1-30 dias",IF(K481&lt;=60,"31-60 dias",IF(K481&lt;=90,"61-90 dias","&gt;90 dias")))))</f>
        <v/>
      </c>
      <c r="M481" s="28" t="n"/>
      <c r="N481" s="104" t="inlineStr"/>
      <c r="O481" s="64" t="n"/>
      <c r="P481" s="64">
        <f>IF(C481="","",IF(ISNUMBER(SEARCH("PCMSO",C481)),"PCMSO",IF(OR(ISNUMBER(SEARCH("E-SOCIAL",C481)),ISNUMBER(SEARCH("PSICOSOCIAL",C481))),"eSocial / Psicossocial",IF(O481="Receita recorrente","Carteira recorrente","Projetos / Laudos / Avulsos"))))</f>
        <v/>
      </c>
      <c r="Q481" s="64">
        <f>IF(P481="","",IF(P481="Carteira recorrente","Operação recorrente",IF(P481="PCMSO","Projetos PCMSO",IF(P481="eSocial / Psicossocial","Projetos eSocial/Psicossocial","Projetos / Laudos / Avulsos"))))</f>
        <v/>
      </c>
      <c r="R481" s="64">
        <f>IF(C481="","",IF(ISNUMBER(SEARCH("PCMSO",C481)),"Título com PCMSO no nome",IF(OR(ISNUMBER(SEARCH("E-SOCIAL",C481)),ISNUMBER(SEARCH("PSICOSOCIAL",C481))),"Título com eSocial/Psicossocial no nome",IF(O481="Receita recorrente","Tipo DRE recorrente","Extra sem palavra-chave específica"))))</f>
        <v/>
      </c>
      <c r="S481" s="92">
        <f>IFERROR(VLOOKUP($A481,'13. Mapa Títulos-Receita'!$A$8:$P$1000,4,FALSE),"")</f>
        <v/>
      </c>
      <c r="T481" s="92">
        <f>IFERROR(VLOOKUP($A481,'13. Mapa Títulos-Receita'!$A$8:$P$1000,5,FALSE),"")</f>
        <v/>
      </c>
      <c r="U481" s="92">
        <f>IFERROR(VLOOKUP($A481,'13. Mapa Títulos-Receita'!$A$8:$P$1000,6,FALSE),"")</f>
        <v/>
      </c>
      <c r="V481" s="92">
        <f>IFERROR(VLOOKUP($A481,'13. Mapa Títulos-Receita'!$A$8:$P$1000,7,FALSE),"")</f>
        <v/>
      </c>
      <c r="W481" s="92">
        <f>IFERROR(VLOOKUP($A481,'13. Mapa Títulos-Receita'!$A$8:$P$1000,8,FALSE),"")</f>
        <v/>
      </c>
      <c r="X481" s="92">
        <f>IFERROR(VLOOKUP($A481,'13. Mapa Títulos-Receita'!$A$8:$P$1000,9,FALSE),"")</f>
        <v/>
      </c>
      <c r="Y481" s="92">
        <f>IFERROR(VLOOKUP($A481,'13. Mapa Títulos-Receita'!$A$8:$P$1000,10,FALSE),"")</f>
        <v/>
      </c>
      <c r="Z481" s="92">
        <f>IFERROR(VLOOKUP($A481,'13. Mapa Títulos-Receita'!$A$8:$P$1000,11,FALSE),"")</f>
        <v/>
      </c>
      <c r="AA481" s="92">
        <f>IFERROR(VLOOKUP($A481,'13. Mapa Títulos-Receita'!$A$8:$P$1000,12,FALSE),"")</f>
        <v/>
      </c>
      <c r="AB481" s="92">
        <f>IFERROR(VLOOKUP($A481,'13. Mapa Títulos-Receita'!$A$8:$P$1000,13,FALSE),"")</f>
        <v/>
      </c>
      <c r="AC481" s="92">
        <f>IFERROR(VLOOKUP($A481,'13. Mapa Títulos-Receita'!$A$8:$P$1000,14,FALSE),"")</f>
        <v/>
      </c>
      <c r="AD481" s="92">
        <f>IFERROR(VLOOKUP($A481,'13. Mapa Títulos-Receita'!$A$8:$P$1000,15,FALSE),"")</f>
        <v/>
      </c>
      <c r="AE481" s="92">
        <f>IFERROR(VLOOKUP($A481,'13. Mapa Títulos-Receita'!$A$8:$P$1000,16,FALSE),"")</f>
        <v/>
      </c>
    </row>
    <row r="482">
      <c r="A482" s="28">
        <f>IF(C482="","", "CR-"&amp;TEXT(ROW()-7,"000"))</f>
        <v/>
      </c>
      <c r="B482" s="28" t="n"/>
      <c r="C482" s="28" t="n"/>
      <c r="D482" s="111" t="n"/>
      <c r="E482" s="111" t="n"/>
      <c r="F482" s="111" t="n"/>
      <c r="G482" s="28" t="n"/>
      <c r="H482" s="45" t="n"/>
      <c r="I482" s="45" t="n"/>
      <c r="J482" s="28">
        <f>IF(H482="","",IF(I482&gt;=H482,"Recebido",IF($B$4&gt;E482,"Vencido","Aberto")))</f>
        <v/>
      </c>
      <c r="K482" s="4">
        <f>IF(J482="","",IF(OR(J482="Recebido",F482=""),MAX(0,F482-E482),MAX(0,$B$4-E482)))</f>
        <v/>
      </c>
      <c r="L482" s="4">
        <f>IF(K482="","",IF(K482=0,"Em dia",IF(K482&lt;=30,"1-30 dias",IF(K482&lt;=60,"31-60 dias",IF(K482&lt;=90,"61-90 dias","&gt;90 dias")))))</f>
        <v/>
      </c>
      <c r="M482" s="28" t="n"/>
      <c r="N482" s="104" t="inlineStr"/>
      <c r="O482" s="64" t="n"/>
      <c r="P482" s="64">
        <f>IF(C482="","",IF(ISNUMBER(SEARCH("PCMSO",C482)),"PCMSO",IF(OR(ISNUMBER(SEARCH("E-SOCIAL",C482)),ISNUMBER(SEARCH("PSICOSOCIAL",C482))),"eSocial / Psicossocial",IF(O482="Receita recorrente","Carteira recorrente","Projetos / Laudos / Avulsos"))))</f>
        <v/>
      </c>
      <c r="Q482" s="64">
        <f>IF(P482="","",IF(P482="Carteira recorrente","Operação recorrente",IF(P482="PCMSO","Projetos PCMSO",IF(P482="eSocial / Psicossocial","Projetos eSocial/Psicossocial","Projetos / Laudos / Avulsos"))))</f>
        <v/>
      </c>
      <c r="R482" s="64">
        <f>IF(C482="","",IF(ISNUMBER(SEARCH("PCMSO",C482)),"Título com PCMSO no nome",IF(OR(ISNUMBER(SEARCH("E-SOCIAL",C482)),ISNUMBER(SEARCH("PSICOSOCIAL",C482))),"Título com eSocial/Psicossocial no nome",IF(O482="Receita recorrente","Tipo DRE recorrente","Extra sem palavra-chave específica"))))</f>
        <v/>
      </c>
      <c r="S482" s="92">
        <f>IFERROR(VLOOKUP($A482,'13. Mapa Títulos-Receita'!$A$8:$P$1000,4,FALSE),"")</f>
        <v/>
      </c>
      <c r="T482" s="92">
        <f>IFERROR(VLOOKUP($A482,'13. Mapa Títulos-Receita'!$A$8:$P$1000,5,FALSE),"")</f>
        <v/>
      </c>
      <c r="U482" s="92">
        <f>IFERROR(VLOOKUP($A482,'13. Mapa Títulos-Receita'!$A$8:$P$1000,6,FALSE),"")</f>
        <v/>
      </c>
      <c r="V482" s="92">
        <f>IFERROR(VLOOKUP($A482,'13. Mapa Títulos-Receita'!$A$8:$P$1000,7,FALSE),"")</f>
        <v/>
      </c>
      <c r="W482" s="92">
        <f>IFERROR(VLOOKUP($A482,'13. Mapa Títulos-Receita'!$A$8:$P$1000,8,FALSE),"")</f>
        <v/>
      </c>
      <c r="X482" s="92">
        <f>IFERROR(VLOOKUP($A482,'13. Mapa Títulos-Receita'!$A$8:$P$1000,9,FALSE),"")</f>
        <v/>
      </c>
      <c r="Y482" s="92">
        <f>IFERROR(VLOOKUP($A482,'13. Mapa Títulos-Receita'!$A$8:$P$1000,10,FALSE),"")</f>
        <v/>
      </c>
      <c r="Z482" s="92">
        <f>IFERROR(VLOOKUP($A482,'13. Mapa Títulos-Receita'!$A$8:$P$1000,11,FALSE),"")</f>
        <v/>
      </c>
      <c r="AA482" s="92">
        <f>IFERROR(VLOOKUP($A482,'13. Mapa Títulos-Receita'!$A$8:$P$1000,12,FALSE),"")</f>
        <v/>
      </c>
      <c r="AB482" s="92">
        <f>IFERROR(VLOOKUP($A482,'13. Mapa Títulos-Receita'!$A$8:$P$1000,13,FALSE),"")</f>
        <v/>
      </c>
      <c r="AC482" s="92">
        <f>IFERROR(VLOOKUP($A482,'13. Mapa Títulos-Receita'!$A$8:$P$1000,14,FALSE),"")</f>
        <v/>
      </c>
      <c r="AD482" s="92">
        <f>IFERROR(VLOOKUP($A482,'13. Mapa Títulos-Receita'!$A$8:$P$1000,15,FALSE),"")</f>
        <v/>
      </c>
      <c r="AE482" s="92">
        <f>IFERROR(VLOOKUP($A482,'13. Mapa Títulos-Receita'!$A$8:$P$1000,16,FALSE),"")</f>
        <v/>
      </c>
    </row>
    <row r="483">
      <c r="A483" s="28">
        <f>IF(C483="","", "CR-"&amp;TEXT(ROW()-7,"000"))</f>
        <v/>
      </c>
      <c r="B483" s="28" t="n"/>
      <c r="C483" s="28" t="n"/>
      <c r="D483" s="111" t="n"/>
      <c r="E483" s="111" t="n"/>
      <c r="F483" s="111" t="n"/>
      <c r="G483" s="28" t="n"/>
      <c r="H483" s="45" t="n"/>
      <c r="I483" s="45" t="n"/>
      <c r="J483" s="28">
        <f>IF(H483="","",IF(I483&gt;=H483,"Recebido",IF($B$4&gt;E483,"Vencido","Aberto")))</f>
        <v/>
      </c>
      <c r="K483" s="4">
        <f>IF(J483="","",IF(OR(J483="Recebido",F483=""),MAX(0,F483-E483),MAX(0,$B$4-E483)))</f>
        <v/>
      </c>
      <c r="L483" s="4">
        <f>IF(K483="","",IF(K483=0,"Em dia",IF(K483&lt;=30,"1-30 dias",IF(K483&lt;=60,"31-60 dias",IF(K483&lt;=90,"61-90 dias","&gt;90 dias")))))</f>
        <v/>
      </c>
      <c r="M483" s="28" t="n"/>
      <c r="N483" s="104" t="inlineStr"/>
      <c r="O483" s="64" t="n"/>
      <c r="P483" s="64">
        <f>IF(C483="","",IF(ISNUMBER(SEARCH("PCMSO",C483)),"PCMSO",IF(OR(ISNUMBER(SEARCH("E-SOCIAL",C483)),ISNUMBER(SEARCH("PSICOSOCIAL",C483))),"eSocial / Psicossocial",IF(O483="Receita recorrente","Carteira recorrente","Projetos / Laudos / Avulsos"))))</f>
        <v/>
      </c>
      <c r="Q483" s="64">
        <f>IF(P483="","",IF(P483="Carteira recorrente","Operação recorrente",IF(P483="PCMSO","Projetos PCMSO",IF(P483="eSocial / Psicossocial","Projetos eSocial/Psicossocial","Projetos / Laudos / Avulsos"))))</f>
        <v/>
      </c>
      <c r="R483" s="64">
        <f>IF(C483="","",IF(ISNUMBER(SEARCH("PCMSO",C483)),"Título com PCMSO no nome",IF(OR(ISNUMBER(SEARCH("E-SOCIAL",C483)),ISNUMBER(SEARCH("PSICOSOCIAL",C483))),"Título com eSocial/Psicossocial no nome",IF(O483="Receita recorrente","Tipo DRE recorrente","Extra sem palavra-chave específica"))))</f>
        <v/>
      </c>
      <c r="S483" s="92">
        <f>IFERROR(VLOOKUP($A483,'13. Mapa Títulos-Receita'!$A$8:$P$1000,4,FALSE),"")</f>
        <v/>
      </c>
      <c r="T483" s="92">
        <f>IFERROR(VLOOKUP($A483,'13. Mapa Títulos-Receita'!$A$8:$P$1000,5,FALSE),"")</f>
        <v/>
      </c>
      <c r="U483" s="92">
        <f>IFERROR(VLOOKUP($A483,'13. Mapa Títulos-Receita'!$A$8:$P$1000,6,FALSE),"")</f>
        <v/>
      </c>
      <c r="V483" s="92">
        <f>IFERROR(VLOOKUP($A483,'13. Mapa Títulos-Receita'!$A$8:$P$1000,7,FALSE),"")</f>
        <v/>
      </c>
      <c r="W483" s="92">
        <f>IFERROR(VLOOKUP($A483,'13. Mapa Títulos-Receita'!$A$8:$P$1000,8,FALSE),"")</f>
        <v/>
      </c>
      <c r="X483" s="92">
        <f>IFERROR(VLOOKUP($A483,'13. Mapa Títulos-Receita'!$A$8:$P$1000,9,FALSE),"")</f>
        <v/>
      </c>
      <c r="Y483" s="92">
        <f>IFERROR(VLOOKUP($A483,'13. Mapa Títulos-Receita'!$A$8:$P$1000,10,FALSE),"")</f>
        <v/>
      </c>
      <c r="Z483" s="92">
        <f>IFERROR(VLOOKUP($A483,'13. Mapa Títulos-Receita'!$A$8:$P$1000,11,FALSE),"")</f>
        <v/>
      </c>
      <c r="AA483" s="92">
        <f>IFERROR(VLOOKUP($A483,'13. Mapa Títulos-Receita'!$A$8:$P$1000,12,FALSE),"")</f>
        <v/>
      </c>
      <c r="AB483" s="92">
        <f>IFERROR(VLOOKUP($A483,'13. Mapa Títulos-Receita'!$A$8:$P$1000,13,FALSE),"")</f>
        <v/>
      </c>
      <c r="AC483" s="92">
        <f>IFERROR(VLOOKUP($A483,'13. Mapa Títulos-Receita'!$A$8:$P$1000,14,FALSE),"")</f>
        <v/>
      </c>
      <c r="AD483" s="92">
        <f>IFERROR(VLOOKUP($A483,'13. Mapa Títulos-Receita'!$A$8:$P$1000,15,FALSE),"")</f>
        <v/>
      </c>
      <c r="AE483" s="92">
        <f>IFERROR(VLOOKUP($A483,'13. Mapa Títulos-Receita'!$A$8:$P$1000,16,FALSE),"")</f>
        <v/>
      </c>
    </row>
    <row r="484">
      <c r="A484" s="28">
        <f>IF(C484="","", "CR-"&amp;TEXT(ROW()-7,"000"))</f>
        <v/>
      </c>
      <c r="B484" s="28" t="n"/>
      <c r="C484" s="28" t="n"/>
      <c r="D484" s="111" t="n"/>
      <c r="E484" s="111" t="n"/>
      <c r="F484" s="111" t="n"/>
      <c r="G484" s="28" t="n"/>
      <c r="H484" s="45" t="n"/>
      <c r="I484" s="45" t="n"/>
      <c r="J484" s="28">
        <f>IF(H484="","",IF(I484&gt;=H484,"Recebido",IF($B$4&gt;E484,"Vencido","Aberto")))</f>
        <v/>
      </c>
      <c r="K484" s="4">
        <f>IF(J484="","",IF(OR(J484="Recebido",F484=""),MAX(0,F484-E484),MAX(0,$B$4-E484)))</f>
        <v/>
      </c>
      <c r="L484" s="4">
        <f>IF(K484="","",IF(K484=0,"Em dia",IF(K484&lt;=30,"1-30 dias",IF(K484&lt;=60,"31-60 dias",IF(K484&lt;=90,"61-90 dias","&gt;90 dias")))))</f>
        <v/>
      </c>
      <c r="M484" s="28" t="n"/>
      <c r="N484" s="104" t="inlineStr"/>
      <c r="O484" s="64" t="n"/>
      <c r="P484" s="64">
        <f>IF(C484="","",IF(ISNUMBER(SEARCH("PCMSO",C484)),"PCMSO",IF(OR(ISNUMBER(SEARCH("E-SOCIAL",C484)),ISNUMBER(SEARCH("PSICOSOCIAL",C484))),"eSocial / Psicossocial",IF(O484="Receita recorrente","Carteira recorrente","Projetos / Laudos / Avulsos"))))</f>
        <v/>
      </c>
      <c r="Q484" s="64">
        <f>IF(P484="","",IF(P484="Carteira recorrente","Operação recorrente",IF(P484="PCMSO","Projetos PCMSO",IF(P484="eSocial / Psicossocial","Projetos eSocial/Psicossocial","Projetos / Laudos / Avulsos"))))</f>
        <v/>
      </c>
      <c r="R484" s="64">
        <f>IF(C484="","",IF(ISNUMBER(SEARCH("PCMSO",C484)),"Título com PCMSO no nome",IF(OR(ISNUMBER(SEARCH("E-SOCIAL",C484)),ISNUMBER(SEARCH("PSICOSOCIAL",C484))),"Título com eSocial/Psicossocial no nome",IF(O484="Receita recorrente","Tipo DRE recorrente","Extra sem palavra-chave específica"))))</f>
        <v/>
      </c>
      <c r="S484" s="92">
        <f>IFERROR(VLOOKUP($A484,'13. Mapa Títulos-Receita'!$A$8:$P$1000,4,FALSE),"")</f>
        <v/>
      </c>
      <c r="T484" s="92">
        <f>IFERROR(VLOOKUP($A484,'13. Mapa Títulos-Receita'!$A$8:$P$1000,5,FALSE),"")</f>
        <v/>
      </c>
      <c r="U484" s="92">
        <f>IFERROR(VLOOKUP($A484,'13. Mapa Títulos-Receita'!$A$8:$P$1000,6,FALSE),"")</f>
        <v/>
      </c>
      <c r="V484" s="92">
        <f>IFERROR(VLOOKUP($A484,'13. Mapa Títulos-Receita'!$A$8:$P$1000,7,FALSE),"")</f>
        <v/>
      </c>
      <c r="W484" s="92">
        <f>IFERROR(VLOOKUP($A484,'13. Mapa Títulos-Receita'!$A$8:$P$1000,8,FALSE),"")</f>
        <v/>
      </c>
      <c r="X484" s="92">
        <f>IFERROR(VLOOKUP($A484,'13. Mapa Títulos-Receita'!$A$8:$P$1000,9,FALSE),"")</f>
        <v/>
      </c>
      <c r="Y484" s="92">
        <f>IFERROR(VLOOKUP($A484,'13. Mapa Títulos-Receita'!$A$8:$P$1000,10,FALSE),"")</f>
        <v/>
      </c>
      <c r="Z484" s="92">
        <f>IFERROR(VLOOKUP($A484,'13. Mapa Títulos-Receita'!$A$8:$P$1000,11,FALSE),"")</f>
        <v/>
      </c>
      <c r="AA484" s="92">
        <f>IFERROR(VLOOKUP($A484,'13. Mapa Títulos-Receita'!$A$8:$P$1000,12,FALSE),"")</f>
        <v/>
      </c>
      <c r="AB484" s="92">
        <f>IFERROR(VLOOKUP($A484,'13. Mapa Títulos-Receita'!$A$8:$P$1000,13,FALSE),"")</f>
        <v/>
      </c>
      <c r="AC484" s="92">
        <f>IFERROR(VLOOKUP($A484,'13. Mapa Títulos-Receita'!$A$8:$P$1000,14,FALSE),"")</f>
        <v/>
      </c>
      <c r="AD484" s="92">
        <f>IFERROR(VLOOKUP($A484,'13. Mapa Títulos-Receita'!$A$8:$P$1000,15,FALSE),"")</f>
        <v/>
      </c>
      <c r="AE484" s="92">
        <f>IFERROR(VLOOKUP($A484,'13. Mapa Títulos-Receita'!$A$8:$P$1000,16,FALSE),"")</f>
        <v/>
      </c>
    </row>
    <row r="485">
      <c r="A485" s="28">
        <f>IF(C485="","", "CR-"&amp;TEXT(ROW()-7,"000"))</f>
        <v/>
      </c>
      <c r="B485" s="28" t="n"/>
      <c r="C485" s="28" t="n"/>
      <c r="D485" s="111" t="n"/>
      <c r="E485" s="111" t="n"/>
      <c r="F485" s="111" t="n"/>
      <c r="G485" s="28" t="n"/>
      <c r="H485" s="45" t="n"/>
      <c r="I485" s="45" t="n"/>
      <c r="J485" s="28">
        <f>IF(H485="","",IF(I485&gt;=H485,"Recebido",IF($B$4&gt;E485,"Vencido","Aberto")))</f>
        <v/>
      </c>
      <c r="K485" s="4">
        <f>IF(J485="","",IF(OR(J485="Recebido",F485=""),MAX(0,F485-E485),MAX(0,$B$4-E485)))</f>
        <v/>
      </c>
      <c r="L485" s="4">
        <f>IF(K485="","",IF(K485=0,"Em dia",IF(K485&lt;=30,"1-30 dias",IF(K485&lt;=60,"31-60 dias",IF(K485&lt;=90,"61-90 dias","&gt;90 dias")))))</f>
        <v/>
      </c>
      <c r="M485" s="28" t="n"/>
      <c r="N485" s="104" t="inlineStr"/>
      <c r="O485" s="64" t="n"/>
      <c r="P485" s="64">
        <f>IF(C485="","",IF(ISNUMBER(SEARCH("PCMSO",C485)),"PCMSO",IF(OR(ISNUMBER(SEARCH("E-SOCIAL",C485)),ISNUMBER(SEARCH("PSICOSOCIAL",C485))),"eSocial / Psicossocial",IF(O485="Receita recorrente","Carteira recorrente","Projetos / Laudos / Avulsos"))))</f>
        <v/>
      </c>
      <c r="Q485" s="64">
        <f>IF(P485="","",IF(P485="Carteira recorrente","Operação recorrente",IF(P485="PCMSO","Projetos PCMSO",IF(P485="eSocial / Psicossocial","Projetos eSocial/Psicossocial","Projetos / Laudos / Avulsos"))))</f>
        <v/>
      </c>
      <c r="R485" s="64">
        <f>IF(C485="","",IF(ISNUMBER(SEARCH("PCMSO",C485)),"Título com PCMSO no nome",IF(OR(ISNUMBER(SEARCH("E-SOCIAL",C485)),ISNUMBER(SEARCH("PSICOSOCIAL",C485))),"Título com eSocial/Psicossocial no nome",IF(O485="Receita recorrente","Tipo DRE recorrente","Extra sem palavra-chave específica"))))</f>
        <v/>
      </c>
      <c r="S485" s="92">
        <f>IFERROR(VLOOKUP($A485,'13. Mapa Títulos-Receita'!$A$8:$P$1000,4,FALSE),"")</f>
        <v/>
      </c>
      <c r="T485" s="92">
        <f>IFERROR(VLOOKUP($A485,'13. Mapa Títulos-Receita'!$A$8:$P$1000,5,FALSE),"")</f>
        <v/>
      </c>
      <c r="U485" s="92">
        <f>IFERROR(VLOOKUP($A485,'13. Mapa Títulos-Receita'!$A$8:$P$1000,6,FALSE),"")</f>
        <v/>
      </c>
      <c r="V485" s="92">
        <f>IFERROR(VLOOKUP($A485,'13. Mapa Títulos-Receita'!$A$8:$P$1000,7,FALSE),"")</f>
        <v/>
      </c>
      <c r="W485" s="92">
        <f>IFERROR(VLOOKUP($A485,'13. Mapa Títulos-Receita'!$A$8:$P$1000,8,FALSE),"")</f>
        <v/>
      </c>
      <c r="X485" s="92">
        <f>IFERROR(VLOOKUP($A485,'13. Mapa Títulos-Receita'!$A$8:$P$1000,9,FALSE),"")</f>
        <v/>
      </c>
      <c r="Y485" s="92">
        <f>IFERROR(VLOOKUP($A485,'13. Mapa Títulos-Receita'!$A$8:$P$1000,10,FALSE),"")</f>
        <v/>
      </c>
      <c r="Z485" s="92">
        <f>IFERROR(VLOOKUP($A485,'13. Mapa Títulos-Receita'!$A$8:$P$1000,11,FALSE),"")</f>
        <v/>
      </c>
      <c r="AA485" s="92">
        <f>IFERROR(VLOOKUP($A485,'13. Mapa Títulos-Receita'!$A$8:$P$1000,12,FALSE),"")</f>
        <v/>
      </c>
      <c r="AB485" s="92">
        <f>IFERROR(VLOOKUP($A485,'13. Mapa Títulos-Receita'!$A$8:$P$1000,13,FALSE),"")</f>
        <v/>
      </c>
      <c r="AC485" s="92">
        <f>IFERROR(VLOOKUP($A485,'13. Mapa Títulos-Receita'!$A$8:$P$1000,14,FALSE),"")</f>
        <v/>
      </c>
      <c r="AD485" s="92">
        <f>IFERROR(VLOOKUP($A485,'13. Mapa Títulos-Receita'!$A$8:$P$1000,15,FALSE),"")</f>
        <v/>
      </c>
      <c r="AE485" s="92">
        <f>IFERROR(VLOOKUP($A485,'13. Mapa Títulos-Receita'!$A$8:$P$1000,16,FALSE),"")</f>
        <v/>
      </c>
    </row>
    <row r="486">
      <c r="A486" s="28">
        <f>IF(C486="","", "CR-"&amp;TEXT(ROW()-7,"000"))</f>
        <v/>
      </c>
      <c r="B486" s="28" t="n"/>
      <c r="C486" s="28" t="n"/>
      <c r="D486" s="111" t="n"/>
      <c r="E486" s="111" t="n"/>
      <c r="F486" s="111" t="n"/>
      <c r="G486" s="28" t="n"/>
      <c r="H486" s="45" t="n"/>
      <c r="I486" s="45" t="n"/>
      <c r="J486" s="28">
        <f>IF(H486="","",IF(I486&gt;=H486,"Recebido",IF($B$4&gt;E486,"Vencido","Aberto")))</f>
        <v/>
      </c>
      <c r="K486" s="4">
        <f>IF(J486="","",IF(OR(J486="Recebido",F486=""),MAX(0,F486-E486),MAX(0,$B$4-E486)))</f>
        <v/>
      </c>
      <c r="L486" s="4">
        <f>IF(K486="","",IF(K486=0,"Em dia",IF(K486&lt;=30,"1-30 dias",IF(K486&lt;=60,"31-60 dias",IF(K486&lt;=90,"61-90 dias","&gt;90 dias")))))</f>
        <v/>
      </c>
      <c r="M486" s="28" t="n"/>
      <c r="N486" s="104" t="inlineStr"/>
      <c r="O486" s="64" t="n"/>
      <c r="P486" s="64">
        <f>IF(C486="","",IF(ISNUMBER(SEARCH("PCMSO",C486)),"PCMSO",IF(OR(ISNUMBER(SEARCH("E-SOCIAL",C486)),ISNUMBER(SEARCH("PSICOSOCIAL",C486))),"eSocial / Psicossocial",IF(O486="Receita recorrente","Carteira recorrente","Projetos / Laudos / Avulsos"))))</f>
        <v/>
      </c>
      <c r="Q486" s="64">
        <f>IF(P486="","",IF(P486="Carteira recorrente","Operação recorrente",IF(P486="PCMSO","Projetos PCMSO",IF(P486="eSocial / Psicossocial","Projetos eSocial/Psicossocial","Projetos / Laudos / Avulsos"))))</f>
        <v/>
      </c>
      <c r="R486" s="64">
        <f>IF(C486="","",IF(ISNUMBER(SEARCH("PCMSO",C486)),"Título com PCMSO no nome",IF(OR(ISNUMBER(SEARCH("E-SOCIAL",C486)),ISNUMBER(SEARCH("PSICOSOCIAL",C486))),"Título com eSocial/Psicossocial no nome",IF(O486="Receita recorrente","Tipo DRE recorrente","Extra sem palavra-chave específica"))))</f>
        <v/>
      </c>
      <c r="S486" s="92">
        <f>IFERROR(VLOOKUP($A486,'13. Mapa Títulos-Receita'!$A$8:$P$1000,4,FALSE),"")</f>
        <v/>
      </c>
      <c r="T486" s="92">
        <f>IFERROR(VLOOKUP($A486,'13. Mapa Títulos-Receita'!$A$8:$P$1000,5,FALSE),"")</f>
        <v/>
      </c>
      <c r="U486" s="92">
        <f>IFERROR(VLOOKUP($A486,'13. Mapa Títulos-Receita'!$A$8:$P$1000,6,FALSE),"")</f>
        <v/>
      </c>
      <c r="V486" s="92">
        <f>IFERROR(VLOOKUP($A486,'13. Mapa Títulos-Receita'!$A$8:$P$1000,7,FALSE),"")</f>
        <v/>
      </c>
      <c r="W486" s="92">
        <f>IFERROR(VLOOKUP($A486,'13. Mapa Títulos-Receita'!$A$8:$P$1000,8,FALSE),"")</f>
        <v/>
      </c>
      <c r="X486" s="92">
        <f>IFERROR(VLOOKUP($A486,'13. Mapa Títulos-Receita'!$A$8:$P$1000,9,FALSE),"")</f>
        <v/>
      </c>
      <c r="Y486" s="92">
        <f>IFERROR(VLOOKUP($A486,'13. Mapa Títulos-Receita'!$A$8:$P$1000,10,FALSE),"")</f>
        <v/>
      </c>
      <c r="Z486" s="92">
        <f>IFERROR(VLOOKUP($A486,'13. Mapa Títulos-Receita'!$A$8:$P$1000,11,FALSE),"")</f>
        <v/>
      </c>
      <c r="AA486" s="92">
        <f>IFERROR(VLOOKUP($A486,'13. Mapa Títulos-Receita'!$A$8:$P$1000,12,FALSE),"")</f>
        <v/>
      </c>
      <c r="AB486" s="92">
        <f>IFERROR(VLOOKUP($A486,'13. Mapa Títulos-Receita'!$A$8:$P$1000,13,FALSE),"")</f>
        <v/>
      </c>
      <c r="AC486" s="92">
        <f>IFERROR(VLOOKUP($A486,'13. Mapa Títulos-Receita'!$A$8:$P$1000,14,FALSE),"")</f>
        <v/>
      </c>
      <c r="AD486" s="92">
        <f>IFERROR(VLOOKUP($A486,'13. Mapa Títulos-Receita'!$A$8:$P$1000,15,FALSE),"")</f>
        <v/>
      </c>
      <c r="AE486" s="92">
        <f>IFERROR(VLOOKUP($A486,'13. Mapa Títulos-Receita'!$A$8:$P$1000,16,FALSE),"")</f>
        <v/>
      </c>
    </row>
    <row r="487">
      <c r="A487" s="28">
        <f>IF(C487="","", "CR-"&amp;TEXT(ROW()-7,"000"))</f>
        <v/>
      </c>
      <c r="B487" s="28" t="n"/>
      <c r="C487" s="28" t="n"/>
      <c r="D487" s="111" t="n"/>
      <c r="E487" s="111" t="n"/>
      <c r="F487" s="111" t="n"/>
      <c r="G487" s="28" t="n"/>
      <c r="H487" s="45" t="n"/>
      <c r="I487" s="45" t="n"/>
      <c r="J487" s="28">
        <f>IF(H487="","",IF(I487&gt;=H487,"Recebido",IF($B$4&gt;E487,"Vencido","Aberto")))</f>
        <v/>
      </c>
      <c r="K487" s="4">
        <f>IF(J487="","",IF(OR(J487="Recebido",F487=""),MAX(0,F487-E487),MAX(0,$B$4-E487)))</f>
        <v/>
      </c>
      <c r="L487" s="4">
        <f>IF(K487="","",IF(K487=0,"Em dia",IF(K487&lt;=30,"1-30 dias",IF(K487&lt;=60,"31-60 dias",IF(K487&lt;=90,"61-90 dias","&gt;90 dias")))))</f>
        <v/>
      </c>
      <c r="M487" s="28" t="n"/>
      <c r="N487" s="104" t="inlineStr"/>
      <c r="O487" s="64" t="n"/>
      <c r="P487" s="64">
        <f>IF(C487="","",IF(ISNUMBER(SEARCH("PCMSO",C487)),"PCMSO",IF(OR(ISNUMBER(SEARCH("E-SOCIAL",C487)),ISNUMBER(SEARCH("PSICOSOCIAL",C487))),"eSocial / Psicossocial",IF(O487="Receita recorrente","Carteira recorrente","Projetos / Laudos / Avulsos"))))</f>
        <v/>
      </c>
      <c r="Q487" s="64">
        <f>IF(P487="","",IF(P487="Carteira recorrente","Operação recorrente",IF(P487="PCMSO","Projetos PCMSO",IF(P487="eSocial / Psicossocial","Projetos eSocial/Psicossocial","Projetos / Laudos / Avulsos"))))</f>
        <v/>
      </c>
      <c r="R487" s="64">
        <f>IF(C487="","",IF(ISNUMBER(SEARCH("PCMSO",C487)),"Título com PCMSO no nome",IF(OR(ISNUMBER(SEARCH("E-SOCIAL",C487)),ISNUMBER(SEARCH("PSICOSOCIAL",C487))),"Título com eSocial/Psicossocial no nome",IF(O487="Receita recorrente","Tipo DRE recorrente","Extra sem palavra-chave específica"))))</f>
        <v/>
      </c>
      <c r="S487" s="92">
        <f>IFERROR(VLOOKUP($A487,'13. Mapa Títulos-Receita'!$A$8:$P$1000,4,FALSE),"")</f>
        <v/>
      </c>
      <c r="T487" s="92">
        <f>IFERROR(VLOOKUP($A487,'13. Mapa Títulos-Receita'!$A$8:$P$1000,5,FALSE),"")</f>
        <v/>
      </c>
      <c r="U487" s="92">
        <f>IFERROR(VLOOKUP($A487,'13. Mapa Títulos-Receita'!$A$8:$P$1000,6,FALSE),"")</f>
        <v/>
      </c>
      <c r="V487" s="92">
        <f>IFERROR(VLOOKUP($A487,'13. Mapa Títulos-Receita'!$A$8:$P$1000,7,FALSE),"")</f>
        <v/>
      </c>
      <c r="W487" s="92">
        <f>IFERROR(VLOOKUP($A487,'13. Mapa Títulos-Receita'!$A$8:$P$1000,8,FALSE),"")</f>
        <v/>
      </c>
      <c r="X487" s="92">
        <f>IFERROR(VLOOKUP($A487,'13. Mapa Títulos-Receita'!$A$8:$P$1000,9,FALSE),"")</f>
        <v/>
      </c>
      <c r="Y487" s="92">
        <f>IFERROR(VLOOKUP($A487,'13. Mapa Títulos-Receita'!$A$8:$P$1000,10,FALSE),"")</f>
        <v/>
      </c>
      <c r="Z487" s="92">
        <f>IFERROR(VLOOKUP($A487,'13. Mapa Títulos-Receita'!$A$8:$P$1000,11,FALSE),"")</f>
        <v/>
      </c>
      <c r="AA487" s="92">
        <f>IFERROR(VLOOKUP($A487,'13. Mapa Títulos-Receita'!$A$8:$P$1000,12,FALSE),"")</f>
        <v/>
      </c>
      <c r="AB487" s="92">
        <f>IFERROR(VLOOKUP($A487,'13. Mapa Títulos-Receita'!$A$8:$P$1000,13,FALSE),"")</f>
        <v/>
      </c>
      <c r="AC487" s="92">
        <f>IFERROR(VLOOKUP($A487,'13. Mapa Títulos-Receita'!$A$8:$P$1000,14,FALSE),"")</f>
        <v/>
      </c>
      <c r="AD487" s="92">
        <f>IFERROR(VLOOKUP($A487,'13. Mapa Títulos-Receita'!$A$8:$P$1000,15,FALSE),"")</f>
        <v/>
      </c>
      <c r="AE487" s="92">
        <f>IFERROR(VLOOKUP($A487,'13. Mapa Títulos-Receita'!$A$8:$P$1000,16,FALSE),"")</f>
        <v/>
      </c>
    </row>
    <row r="488">
      <c r="A488" s="28">
        <f>IF(C488="","", "CR-"&amp;TEXT(ROW()-7,"000"))</f>
        <v/>
      </c>
      <c r="B488" s="28" t="n"/>
      <c r="C488" s="28" t="n"/>
      <c r="D488" s="111" t="n"/>
      <c r="E488" s="111" t="n"/>
      <c r="F488" s="111" t="n"/>
      <c r="G488" s="28" t="n"/>
      <c r="H488" s="45" t="n"/>
      <c r="I488" s="45" t="n"/>
      <c r="J488" s="28">
        <f>IF(H488="","",IF(I488&gt;=H488,"Recebido",IF($B$4&gt;E488,"Vencido","Aberto")))</f>
        <v/>
      </c>
      <c r="K488" s="4">
        <f>IF(J488="","",IF(OR(J488="Recebido",F488=""),MAX(0,F488-E488),MAX(0,$B$4-E488)))</f>
        <v/>
      </c>
      <c r="L488" s="4">
        <f>IF(K488="","",IF(K488=0,"Em dia",IF(K488&lt;=30,"1-30 dias",IF(K488&lt;=60,"31-60 dias",IF(K488&lt;=90,"61-90 dias","&gt;90 dias")))))</f>
        <v/>
      </c>
      <c r="M488" s="28" t="n"/>
      <c r="N488" s="104" t="inlineStr"/>
      <c r="O488" s="64" t="n"/>
      <c r="P488" s="64">
        <f>IF(C488="","",IF(ISNUMBER(SEARCH("PCMSO",C488)),"PCMSO",IF(OR(ISNUMBER(SEARCH("E-SOCIAL",C488)),ISNUMBER(SEARCH("PSICOSOCIAL",C488))),"eSocial / Psicossocial",IF(O488="Receita recorrente","Carteira recorrente","Projetos / Laudos / Avulsos"))))</f>
        <v/>
      </c>
      <c r="Q488" s="64">
        <f>IF(P488="","",IF(P488="Carteira recorrente","Operação recorrente",IF(P488="PCMSO","Projetos PCMSO",IF(P488="eSocial / Psicossocial","Projetos eSocial/Psicossocial","Projetos / Laudos / Avulsos"))))</f>
        <v/>
      </c>
      <c r="R488" s="64">
        <f>IF(C488="","",IF(ISNUMBER(SEARCH("PCMSO",C488)),"Título com PCMSO no nome",IF(OR(ISNUMBER(SEARCH("E-SOCIAL",C488)),ISNUMBER(SEARCH("PSICOSOCIAL",C488))),"Título com eSocial/Psicossocial no nome",IF(O488="Receita recorrente","Tipo DRE recorrente","Extra sem palavra-chave específica"))))</f>
        <v/>
      </c>
      <c r="S488" s="92">
        <f>IFERROR(VLOOKUP($A488,'13. Mapa Títulos-Receita'!$A$8:$P$1000,4,FALSE),"")</f>
        <v/>
      </c>
      <c r="T488" s="92">
        <f>IFERROR(VLOOKUP($A488,'13. Mapa Títulos-Receita'!$A$8:$P$1000,5,FALSE),"")</f>
        <v/>
      </c>
      <c r="U488" s="92">
        <f>IFERROR(VLOOKUP($A488,'13. Mapa Títulos-Receita'!$A$8:$P$1000,6,FALSE),"")</f>
        <v/>
      </c>
      <c r="V488" s="92">
        <f>IFERROR(VLOOKUP($A488,'13. Mapa Títulos-Receita'!$A$8:$P$1000,7,FALSE),"")</f>
        <v/>
      </c>
      <c r="W488" s="92">
        <f>IFERROR(VLOOKUP($A488,'13. Mapa Títulos-Receita'!$A$8:$P$1000,8,FALSE),"")</f>
        <v/>
      </c>
      <c r="X488" s="92">
        <f>IFERROR(VLOOKUP($A488,'13. Mapa Títulos-Receita'!$A$8:$P$1000,9,FALSE),"")</f>
        <v/>
      </c>
      <c r="Y488" s="92">
        <f>IFERROR(VLOOKUP($A488,'13. Mapa Títulos-Receita'!$A$8:$P$1000,10,FALSE),"")</f>
        <v/>
      </c>
      <c r="Z488" s="92">
        <f>IFERROR(VLOOKUP($A488,'13. Mapa Títulos-Receita'!$A$8:$P$1000,11,FALSE),"")</f>
        <v/>
      </c>
      <c r="AA488" s="92">
        <f>IFERROR(VLOOKUP($A488,'13. Mapa Títulos-Receita'!$A$8:$P$1000,12,FALSE),"")</f>
        <v/>
      </c>
      <c r="AB488" s="92">
        <f>IFERROR(VLOOKUP($A488,'13. Mapa Títulos-Receita'!$A$8:$P$1000,13,FALSE),"")</f>
        <v/>
      </c>
      <c r="AC488" s="92">
        <f>IFERROR(VLOOKUP($A488,'13. Mapa Títulos-Receita'!$A$8:$P$1000,14,FALSE),"")</f>
        <v/>
      </c>
      <c r="AD488" s="92">
        <f>IFERROR(VLOOKUP($A488,'13. Mapa Títulos-Receita'!$A$8:$P$1000,15,FALSE),"")</f>
        <v/>
      </c>
      <c r="AE488" s="92">
        <f>IFERROR(VLOOKUP($A488,'13. Mapa Títulos-Receita'!$A$8:$P$1000,16,FALSE),"")</f>
        <v/>
      </c>
    </row>
    <row r="489">
      <c r="A489" s="28">
        <f>IF(C489="","", "CR-"&amp;TEXT(ROW()-7,"000"))</f>
        <v/>
      </c>
      <c r="B489" s="28" t="n"/>
      <c r="C489" s="28" t="n"/>
      <c r="D489" s="111" t="n"/>
      <c r="E489" s="111" t="n"/>
      <c r="F489" s="111" t="n"/>
      <c r="G489" s="28" t="n"/>
      <c r="H489" s="45" t="n"/>
      <c r="I489" s="45" t="n"/>
      <c r="J489" s="28">
        <f>IF(H489="","",IF(I489&gt;=H489,"Recebido",IF($B$4&gt;E489,"Vencido","Aberto")))</f>
        <v/>
      </c>
      <c r="K489" s="4">
        <f>IF(J489="","",IF(OR(J489="Recebido",F489=""),MAX(0,F489-E489),MAX(0,$B$4-E489)))</f>
        <v/>
      </c>
      <c r="L489" s="4">
        <f>IF(K489="","",IF(K489=0,"Em dia",IF(K489&lt;=30,"1-30 dias",IF(K489&lt;=60,"31-60 dias",IF(K489&lt;=90,"61-90 dias","&gt;90 dias")))))</f>
        <v/>
      </c>
      <c r="M489" s="28" t="n"/>
      <c r="N489" s="104" t="inlineStr"/>
      <c r="O489" s="64" t="n"/>
      <c r="P489" s="64">
        <f>IF(C489="","",IF(ISNUMBER(SEARCH("PCMSO",C489)),"PCMSO",IF(OR(ISNUMBER(SEARCH("E-SOCIAL",C489)),ISNUMBER(SEARCH("PSICOSOCIAL",C489))),"eSocial / Psicossocial",IF(O489="Receita recorrente","Carteira recorrente","Projetos / Laudos / Avulsos"))))</f>
        <v/>
      </c>
      <c r="Q489" s="64">
        <f>IF(P489="","",IF(P489="Carteira recorrente","Operação recorrente",IF(P489="PCMSO","Projetos PCMSO",IF(P489="eSocial / Psicossocial","Projetos eSocial/Psicossocial","Projetos / Laudos / Avulsos"))))</f>
        <v/>
      </c>
      <c r="R489" s="64">
        <f>IF(C489="","",IF(ISNUMBER(SEARCH("PCMSO",C489)),"Título com PCMSO no nome",IF(OR(ISNUMBER(SEARCH("E-SOCIAL",C489)),ISNUMBER(SEARCH("PSICOSOCIAL",C489))),"Título com eSocial/Psicossocial no nome",IF(O489="Receita recorrente","Tipo DRE recorrente","Extra sem palavra-chave específica"))))</f>
        <v/>
      </c>
      <c r="S489" s="92">
        <f>IFERROR(VLOOKUP($A489,'13. Mapa Títulos-Receita'!$A$8:$P$1000,4,FALSE),"")</f>
        <v/>
      </c>
      <c r="T489" s="92">
        <f>IFERROR(VLOOKUP($A489,'13. Mapa Títulos-Receita'!$A$8:$P$1000,5,FALSE),"")</f>
        <v/>
      </c>
      <c r="U489" s="92">
        <f>IFERROR(VLOOKUP($A489,'13. Mapa Títulos-Receita'!$A$8:$P$1000,6,FALSE),"")</f>
        <v/>
      </c>
      <c r="V489" s="92">
        <f>IFERROR(VLOOKUP($A489,'13. Mapa Títulos-Receita'!$A$8:$P$1000,7,FALSE),"")</f>
        <v/>
      </c>
      <c r="W489" s="92">
        <f>IFERROR(VLOOKUP($A489,'13. Mapa Títulos-Receita'!$A$8:$P$1000,8,FALSE),"")</f>
        <v/>
      </c>
      <c r="X489" s="92">
        <f>IFERROR(VLOOKUP($A489,'13. Mapa Títulos-Receita'!$A$8:$P$1000,9,FALSE),"")</f>
        <v/>
      </c>
      <c r="Y489" s="92">
        <f>IFERROR(VLOOKUP($A489,'13. Mapa Títulos-Receita'!$A$8:$P$1000,10,FALSE),"")</f>
        <v/>
      </c>
      <c r="Z489" s="92">
        <f>IFERROR(VLOOKUP($A489,'13. Mapa Títulos-Receita'!$A$8:$P$1000,11,FALSE),"")</f>
        <v/>
      </c>
      <c r="AA489" s="92">
        <f>IFERROR(VLOOKUP($A489,'13. Mapa Títulos-Receita'!$A$8:$P$1000,12,FALSE),"")</f>
        <v/>
      </c>
      <c r="AB489" s="92">
        <f>IFERROR(VLOOKUP($A489,'13. Mapa Títulos-Receita'!$A$8:$P$1000,13,FALSE),"")</f>
        <v/>
      </c>
      <c r="AC489" s="92">
        <f>IFERROR(VLOOKUP($A489,'13. Mapa Títulos-Receita'!$A$8:$P$1000,14,FALSE),"")</f>
        <v/>
      </c>
      <c r="AD489" s="92">
        <f>IFERROR(VLOOKUP($A489,'13. Mapa Títulos-Receita'!$A$8:$P$1000,15,FALSE),"")</f>
        <v/>
      </c>
      <c r="AE489" s="92">
        <f>IFERROR(VLOOKUP($A489,'13. Mapa Títulos-Receita'!$A$8:$P$1000,16,FALSE),"")</f>
        <v/>
      </c>
    </row>
    <row r="490">
      <c r="A490" s="28">
        <f>IF(C490="","", "CR-"&amp;TEXT(ROW()-7,"000"))</f>
        <v/>
      </c>
      <c r="B490" s="28" t="n"/>
      <c r="C490" s="28" t="n"/>
      <c r="D490" s="111" t="n"/>
      <c r="E490" s="111" t="n"/>
      <c r="F490" s="111" t="n"/>
      <c r="G490" s="28" t="n"/>
      <c r="H490" s="45" t="n"/>
      <c r="I490" s="45" t="n"/>
      <c r="J490" s="28">
        <f>IF(H490="","",IF(I490&gt;=H490,"Recebido",IF($B$4&gt;E490,"Vencido","Aberto")))</f>
        <v/>
      </c>
      <c r="K490" s="4">
        <f>IF(J490="","",IF(OR(J490="Recebido",F490=""),MAX(0,F490-E490),MAX(0,$B$4-E490)))</f>
        <v/>
      </c>
      <c r="L490" s="4">
        <f>IF(K490="","",IF(K490=0,"Em dia",IF(K490&lt;=30,"1-30 dias",IF(K490&lt;=60,"31-60 dias",IF(K490&lt;=90,"61-90 dias","&gt;90 dias")))))</f>
        <v/>
      </c>
      <c r="M490" s="28" t="n"/>
      <c r="N490" s="104" t="inlineStr"/>
      <c r="O490" s="64" t="n"/>
      <c r="P490" s="64">
        <f>IF(C490="","",IF(ISNUMBER(SEARCH("PCMSO",C490)),"PCMSO",IF(OR(ISNUMBER(SEARCH("E-SOCIAL",C490)),ISNUMBER(SEARCH("PSICOSOCIAL",C490))),"eSocial / Psicossocial",IF(O490="Receita recorrente","Carteira recorrente","Projetos / Laudos / Avulsos"))))</f>
        <v/>
      </c>
      <c r="Q490" s="64">
        <f>IF(P490="","",IF(P490="Carteira recorrente","Operação recorrente",IF(P490="PCMSO","Projetos PCMSO",IF(P490="eSocial / Psicossocial","Projetos eSocial/Psicossocial","Projetos / Laudos / Avulsos"))))</f>
        <v/>
      </c>
      <c r="R490" s="64">
        <f>IF(C490="","",IF(ISNUMBER(SEARCH("PCMSO",C490)),"Título com PCMSO no nome",IF(OR(ISNUMBER(SEARCH("E-SOCIAL",C490)),ISNUMBER(SEARCH("PSICOSOCIAL",C490))),"Título com eSocial/Psicossocial no nome",IF(O490="Receita recorrente","Tipo DRE recorrente","Extra sem palavra-chave específica"))))</f>
        <v/>
      </c>
      <c r="S490" s="92">
        <f>IFERROR(VLOOKUP($A490,'13. Mapa Títulos-Receita'!$A$8:$P$1000,4,FALSE),"")</f>
        <v/>
      </c>
      <c r="T490" s="92">
        <f>IFERROR(VLOOKUP($A490,'13. Mapa Títulos-Receita'!$A$8:$P$1000,5,FALSE),"")</f>
        <v/>
      </c>
      <c r="U490" s="92">
        <f>IFERROR(VLOOKUP($A490,'13. Mapa Títulos-Receita'!$A$8:$P$1000,6,FALSE),"")</f>
        <v/>
      </c>
      <c r="V490" s="92">
        <f>IFERROR(VLOOKUP($A490,'13. Mapa Títulos-Receita'!$A$8:$P$1000,7,FALSE),"")</f>
        <v/>
      </c>
      <c r="W490" s="92">
        <f>IFERROR(VLOOKUP($A490,'13. Mapa Títulos-Receita'!$A$8:$P$1000,8,FALSE),"")</f>
        <v/>
      </c>
      <c r="X490" s="92">
        <f>IFERROR(VLOOKUP($A490,'13. Mapa Títulos-Receita'!$A$8:$P$1000,9,FALSE),"")</f>
        <v/>
      </c>
      <c r="Y490" s="92">
        <f>IFERROR(VLOOKUP($A490,'13. Mapa Títulos-Receita'!$A$8:$P$1000,10,FALSE),"")</f>
        <v/>
      </c>
      <c r="Z490" s="92">
        <f>IFERROR(VLOOKUP($A490,'13. Mapa Títulos-Receita'!$A$8:$P$1000,11,FALSE),"")</f>
        <v/>
      </c>
      <c r="AA490" s="92">
        <f>IFERROR(VLOOKUP($A490,'13. Mapa Títulos-Receita'!$A$8:$P$1000,12,FALSE),"")</f>
        <v/>
      </c>
      <c r="AB490" s="92">
        <f>IFERROR(VLOOKUP($A490,'13. Mapa Títulos-Receita'!$A$8:$P$1000,13,FALSE),"")</f>
        <v/>
      </c>
      <c r="AC490" s="92">
        <f>IFERROR(VLOOKUP($A490,'13. Mapa Títulos-Receita'!$A$8:$P$1000,14,FALSE),"")</f>
        <v/>
      </c>
      <c r="AD490" s="92">
        <f>IFERROR(VLOOKUP($A490,'13. Mapa Títulos-Receita'!$A$8:$P$1000,15,FALSE),"")</f>
        <v/>
      </c>
      <c r="AE490" s="92">
        <f>IFERROR(VLOOKUP($A490,'13. Mapa Títulos-Receita'!$A$8:$P$1000,16,FALSE),"")</f>
        <v/>
      </c>
    </row>
    <row r="491">
      <c r="A491" s="28">
        <f>IF(C491="","", "CR-"&amp;TEXT(ROW()-7,"000"))</f>
        <v/>
      </c>
      <c r="B491" s="28" t="n"/>
      <c r="C491" s="28" t="n"/>
      <c r="D491" s="111" t="n"/>
      <c r="E491" s="111" t="n"/>
      <c r="F491" s="111" t="n"/>
      <c r="G491" s="28" t="n"/>
      <c r="H491" s="45" t="n"/>
      <c r="I491" s="45" t="n"/>
      <c r="J491" s="28">
        <f>IF(H491="","",IF(I491&gt;=H491,"Recebido",IF($B$4&gt;E491,"Vencido","Aberto")))</f>
        <v/>
      </c>
      <c r="K491" s="4">
        <f>IF(J491="","",IF(OR(J491="Recebido",F491=""),MAX(0,F491-E491),MAX(0,$B$4-E491)))</f>
        <v/>
      </c>
      <c r="L491" s="4">
        <f>IF(K491="","",IF(K491=0,"Em dia",IF(K491&lt;=30,"1-30 dias",IF(K491&lt;=60,"31-60 dias",IF(K491&lt;=90,"61-90 dias","&gt;90 dias")))))</f>
        <v/>
      </c>
      <c r="M491" s="28" t="n"/>
      <c r="N491" s="104" t="inlineStr"/>
      <c r="O491" s="64" t="n"/>
      <c r="P491" s="64">
        <f>IF(C491="","",IF(ISNUMBER(SEARCH("PCMSO",C491)),"PCMSO",IF(OR(ISNUMBER(SEARCH("E-SOCIAL",C491)),ISNUMBER(SEARCH("PSICOSOCIAL",C491))),"eSocial / Psicossocial",IF(O491="Receita recorrente","Carteira recorrente","Projetos / Laudos / Avulsos"))))</f>
        <v/>
      </c>
      <c r="Q491" s="64">
        <f>IF(P491="","",IF(P491="Carteira recorrente","Operação recorrente",IF(P491="PCMSO","Projetos PCMSO",IF(P491="eSocial / Psicossocial","Projetos eSocial/Psicossocial","Projetos / Laudos / Avulsos"))))</f>
        <v/>
      </c>
      <c r="R491" s="64">
        <f>IF(C491="","",IF(ISNUMBER(SEARCH("PCMSO",C491)),"Título com PCMSO no nome",IF(OR(ISNUMBER(SEARCH("E-SOCIAL",C491)),ISNUMBER(SEARCH("PSICOSOCIAL",C491))),"Título com eSocial/Psicossocial no nome",IF(O491="Receita recorrente","Tipo DRE recorrente","Extra sem palavra-chave específica"))))</f>
        <v/>
      </c>
      <c r="S491" s="92">
        <f>IFERROR(VLOOKUP($A491,'13. Mapa Títulos-Receita'!$A$8:$P$1000,4,FALSE),"")</f>
        <v/>
      </c>
      <c r="T491" s="92">
        <f>IFERROR(VLOOKUP($A491,'13. Mapa Títulos-Receita'!$A$8:$P$1000,5,FALSE),"")</f>
        <v/>
      </c>
      <c r="U491" s="92">
        <f>IFERROR(VLOOKUP($A491,'13. Mapa Títulos-Receita'!$A$8:$P$1000,6,FALSE),"")</f>
        <v/>
      </c>
      <c r="V491" s="92">
        <f>IFERROR(VLOOKUP($A491,'13. Mapa Títulos-Receita'!$A$8:$P$1000,7,FALSE),"")</f>
        <v/>
      </c>
      <c r="W491" s="92">
        <f>IFERROR(VLOOKUP($A491,'13. Mapa Títulos-Receita'!$A$8:$P$1000,8,FALSE),"")</f>
        <v/>
      </c>
      <c r="X491" s="92">
        <f>IFERROR(VLOOKUP($A491,'13. Mapa Títulos-Receita'!$A$8:$P$1000,9,FALSE),"")</f>
        <v/>
      </c>
      <c r="Y491" s="92">
        <f>IFERROR(VLOOKUP($A491,'13. Mapa Títulos-Receita'!$A$8:$P$1000,10,FALSE),"")</f>
        <v/>
      </c>
      <c r="Z491" s="92">
        <f>IFERROR(VLOOKUP($A491,'13. Mapa Títulos-Receita'!$A$8:$P$1000,11,FALSE),"")</f>
        <v/>
      </c>
      <c r="AA491" s="92">
        <f>IFERROR(VLOOKUP($A491,'13. Mapa Títulos-Receita'!$A$8:$P$1000,12,FALSE),"")</f>
        <v/>
      </c>
      <c r="AB491" s="92">
        <f>IFERROR(VLOOKUP($A491,'13. Mapa Títulos-Receita'!$A$8:$P$1000,13,FALSE),"")</f>
        <v/>
      </c>
      <c r="AC491" s="92">
        <f>IFERROR(VLOOKUP($A491,'13. Mapa Títulos-Receita'!$A$8:$P$1000,14,FALSE),"")</f>
        <v/>
      </c>
      <c r="AD491" s="92">
        <f>IFERROR(VLOOKUP($A491,'13. Mapa Títulos-Receita'!$A$8:$P$1000,15,FALSE),"")</f>
        <v/>
      </c>
      <c r="AE491" s="92">
        <f>IFERROR(VLOOKUP($A491,'13. Mapa Títulos-Receita'!$A$8:$P$1000,16,FALSE),"")</f>
        <v/>
      </c>
    </row>
    <row r="492">
      <c r="A492" s="28">
        <f>IF(C492="","", "CR-"&amp;TEXT(ROW()-7,"000"))</f>
        <v/>
      </c>
      <c r="B492" s="28" t="n"/>
      <c r="C492" s="28" t="n"/>
      <c r="D492" s="111" t="n"/>
      <c r="E492" s="111" t="n"/>
      <c r="F492" s="111" t="n"/>
      <c r="G492" s="28" t="n"/>
      <c r="H492" s="45" t="n"/>
      <c r="I492" s="45" t="n"/>
      <c r="J492" s="28">
        <f>IF(H492="","",IF(I492&gt;=H492,"Recebido",IF($B$4&gt;E492,"Vencido","Aberto")))</f>
        <v/>
      </c>
      <c r="K492" s="4">
        <f>IF(J492="","",IF(OR(J492="Recebido",F492=""),MAX(0,F492-E492),MAX(0,$B$4-E492)))</f>
        <v/>
      </c>
      <c r="L492" s="4">
        <f>IF(K492="","",IF(K492=0,"Em dia",IF(K492&lt;=30,"1-30 dias",IF(K492&lt;=60,"31-60 dias",IF(K492&lt;=90,"61-90 dias","&gt;90 dias")))))</f>
        <v/>
      </c>
      <c r="M492" s="28" t="n"/>
      <c r="N492" s="104" t="inlineStr"/>
      <c r="O492" s="64" t="n"/>
      <c r="P492" s="64">
        <f>IF(C492="","",IF(ISNUMBER(SEARCH("PCMSO",C492)),"PCMSO",IF(OR(ISNUMBER(SEARCH("E-SOCIAL",C492)),ISNUMBER(SEARCH("PSICOSOCIAL",C492))),"eSocial / Psicossocial",IF(O492="Receita recorrente","Carteira recorrente","Projetos / Laudos / Avulsos"))))</f>
        <v/>
      </c>
      <c r="Q492" s="64">
        <f>IF(P492="","",IF(P492="Carteira recorrente","Operação recorrente",IF(P492="PCMSO","Projetos PCMSO",IF(P492="eSocial / Psicossocial","Projetos eSocial/Psicossocial","Projetos / Laudos / Avulsos"))))</f>
        <v/>
      </c>
      <c r="R492" s="64">
        <f>IF(C492="","",IF(ISNUMBER(SEARCH("PCMSO",C492)),"Título com PCMSO no nome",IF(OR(ISNUMBER(SEARCH("E-SOCIAL",C492)),ISNUMBER(SEARCH("PSICOSOCIAL",C492))),"Título com eSocial/Psicossocial no nome",IF(O492="Receita recorrente","Tipo DRE recorrente","Extra sem palavra-chave específica"))))</f>
        <v/>
      </c>
      <c r="S492" s="92">
        <f>IFERROR(VLOOKUP($A492,'13. Mapa Títulos-Receita'!$A$8:$P$1000,4,FALSE),"")</f>
        <v/>
      </c>
      <c r="T492" s="92">
        <f>IFERROR(VLOOKUP($A492,'13. Mapa Títulos-Receita'!$A$8:$P$1000,5,FALSE),"")</f>
        <v/>
      </c>
      <c r="U492" s="92">
        <f>IFERROR(VLOOKUP($A492,'13. Mapa Títulos-Receita'!$A$8:$P$1000,6,FALSE),"")</f>
        <v/>
      </c>
      <c r="V492" s="92">
        <f>IFERROR(VLOOKUP($A492,'13. Mapa Títulos-Receita'!$A$8:$P$1000,7,FALSE),"")</f>
        <v/>
      </c>
      <c r="W492" s="92">
        <f>IFERROR(VLOOKUP($A492,'13. Mapa Títulos-Receita'!$A$8:$P$1000,8,FALSE),"")</f>
        <v/>
      </c>
      <c r="X492" s="92">
        <f>IFERROR(VLOOKUP($A492,'13. Mapa Títulos-Receita'!$A$8:$P$1000,9,FALSE),"")</f>
        <v/>
      </c>
      <c r="Y492" s="92">
        <f>IFERROR(VLOOKUP($A492,'13. Mapa Títulos-Receita'!$A$8:$P$1000,10,FALSE),"")</f>
        <v/>
      </c>
      <c r="Z492" s="92">
        <f>IFERROR(VLOOKUP($A492,'13. Mapa Títulos-Receita'!$A$8:$P$1000,11,FALSE),"")</f>
        <v/>
      </c>
      <c r="AA492" s="92">
        <f>IFERROR(VLOOKUP($A492,'13. Mapa Títulos-Receita'!$A$8:$P$1000,12,FALSE),"")</f>
        <v/>
      </c>
      <c r="AB492" s="92">
        <f>IFERROR(VLOOKUP($A492,'13. Mapa Títulos-Receita'!$A$8:$P$1000,13,FALSE),"")</f>
        <v/>
      </c>
      <c r="AC492" s="92">
        <f>IFERROR(VLOOKUP($A492,'13. Mapa Títulos-Receita'!$A$8:$P$1000,14,FALSE),"")</f>
        <v/>
      </c>
      <c r="AD492" s="92">
        <f>IFERROR(VLOOKUP($A492,'13. Mapa Títulos-Receita'!$A$8:$P$1000,15,FALSE),"")</f>
        <v/>
      </c>
      <c r="AE492" s="92">
        <f>IFERROR(VLOOKUP($A492,'13. Mapa Títulos-Receita'!$A$8:$P$1000,16,FALSE),"")</f>
        <v/>
      </c>
    </row>
    <row r="493">
      <c r="A493" s="28">
        <f>IF(C493="","", "CR-"&amp;TEXT(ROW()-7,"000"))</f>
        <v/>
      </c>
      <c r="B493" s="28" t="n"/>
      <c r="C493" s="28" t="n"/>
      <c r="D493" s="111" t="n"/>
      <c r="E493" s="111" t="n"/>
      <c r="F493" s="111" t="n"/>
      <c r="G493" s="28" t="n"/>
      <c r="H493" s="45" t="n"/>
      <c r="I493" s="45" t="n"/>
      <c r="J493" s="28">
        <f>IF(H493="","",IF(I493&gt;=H493,"Recebido",IF($B$4&gt;E493,"Vencido","Aberto")))</f>
        <v/>
      </c>
      <c r="K493" s="4">
        <f>IF(J493="","",IF(OR(J493="Recebido",F493=""),MAX(0,F493-E493),MAX(0,$B$4-E493)))</f>
        <v/>
      </c>
      <c r="L493" s="4">
        <f>IF(K493="","",IF(K493=0,"Em dia",IF(K493&lt;=30,"1-30 dias",IF(K493&lt;=60,"31-60 dias",IF(K493&lt;=90,"61-90 dias","&gt;90 dias")))))</f>
        <v/>
      </c>
      <c r="M493" s="28" t="n"/>
      <c r="N493" s="104" t="inlineStr"/>
      <c r="O493" s="64" t="n"/>
      <c r="P493" s="64">
        <f>IF(C493="","",IF(ISNUMBER(SEARCH("PCMSO",C493)),"PCMSO",IF(OR(ISNUMBER(SEARCH("E-SOCIAL",C493)),ISNUMBER(SEARCH("PSICOSOCIAL",C493))),"eSocial / Psicossocial",IF(O493="Receita recorrente","Carteira recorrente","Projetos / Laudos / Avulsos"))))</f>
        <v/>
      </c>
      <c r="Q493" s="64">
        <f>IF(P493="","",IF(P493="Carteira recorrente","Operação recorrente",IF(P493="PCMSO","Projetos PCMSO",IF(P493="eSocial / Psicossocial","Projetos eSocial/Psicossocial","Projetos / Laudos / Avulsos"))))</f>
        <v/>
      </c>
      <c r="R493" s="64">
        <f>IF(C493="","",IF(ISNUMBER(SEARCH("PCMSO",C493)),"Título com PCMSO no nome",IF(OR(ISNUMBER(SEARCH("E-SOCIAL",C493)),ISNUMBER(SEARCH("PSICOSOCIAL",C493))),"Título com eSocial/Psicossocial no nome",IF(O493="Receita recorrente","Tipo DRE recorrente","Extra sem palavra-chave específica"))))</f>
        <v/>
      </c>
      <c r="S493" s="92">
        <f>IFERROR(VLOOKUP($A493,'13. Mapa Títulos-Receita'!$A$8:$P$1000,4,FALSE),"")</f>
        <v/>
      </c>
      <c r="T493" s="92">
        <f>IFERROR(VLOOKUP($A493,'13. Mapa Títulos-Receita'!$A$8:$P$1000,5,FALSE),"")</f>
        <v/>
      </c>
      <c r="U493" s="92">
        <f>IFERROR(VLOOKUP($A493,'13. Mapa Títulos-Receita'!$A$8:$P$1000,6,FALSE),"")</f>
        <v/>
      </c>
      <c r="V493" s="92">
        <f>IFERROR(VLOOKUP($A493,'13. Mapa Títulos-Receita'!$A$8:$P$1000,7,FALSE),"")</f>
        <v/>
      </c>
      <c r="W493" s="92">
        <f>IFERROR(VLOOKUP($A493,'13. Mapa Títulos-Receita'!$A$8:$P$1000,8,FALSE),"")</f>
        <v/>
      </c>
      <c r="X493" s="92">
        <f>IFERROR(VLOOKUP($A493,'13. Mapa Títulos-Receita'!$A$8:$P$1000,9,FALSE),"")</f>
        <v/>
      </c>
      <c r="Y493" s="92">
        <f>IFERROR(VLOOKUP($A493,'13. Mapa Títulos-Receita'!$A$8:$P$1000,10,FALSE),"")</f>
        <v/>
      </c>
      <c r="Z493" s="92">
        <f>IFERROR(VLOOKUP($A493,'13. Mapa Títulos-Receita'!$A$8:$P$1000,11,FALSE),"")</f>
        <v/>
      </c>
      <c r="AA493" s="92">
        <f>IFERROR(VLOOKUP($A493,'13. Mapa Títulos-Receita'!$A$8:$P$1000,12,FALSE),"")</f>
        <v/>
      </c>
      <c r="AB493" s="92">
        <f>IFERROR(VLOOKUP($A493,'13. Mapa Títulos-Receita'!$A$8:$P$1000,13,FALSE),"")</f>
        <v/>
      </c>
      <c r="AC493" s="92">
        <f>IFERROR(VLOOKUP($A493,'13. Mapa Títulos-Receita'!$A$8:$P$1000,14,FALSE),"")</f>
        <v/>
      </c>
      <c r="AD493" s="92">
        <f>IFERROR(VLOOKUP($A493,'13. Mapa Títulos-Receita'!$A$8:$P$1000,15,FALSE),"")</f>
        <v/>
      </c>
      <c r="AE493" s="92">
        <f>IFERROR(VLOOKUP($A493,'13. Mapa Títulos-Receita'!$A$8:$P$1000,16,FALSE),"")</f>
        <v/>
      </c>
    </row>
    <row r="494">
      <c r="A494" s="28">
        <f>IF(C494="","", "CR-"&amp;TEXT(ROW()-7,"000"))</f>
        <v/>
      </c>
      <c r="B494" s="28" t="n"/>
      <c r="C494" s="28" t="n"/>
      <c r="D494" s="111" t="n"/>
      <c r="E494" s="111" t="n"/>
      <c r="F494" s="111" t="n"/>
      <c r="G494" s="28" t="n"/>
      <c r="H494" s="45" t="n"/>
      <c r="I494" s="45" t="n"/>
      <c r="J494" s="28">
        <f>IF(H494="","",IF(I494&gt;=H494,"Recebido",IF($B$4&gt;E494,"Vencido","Aberto")))</f>
        <v/>
      </c>
      <c r="K494" s="4">
        <f>IF(J494="","",IF(OR(J494="Recebido",F494=""),MAX(0,F494-E494),MAX(0,$B$4-E494)))</f>
        <v/>
      </c>
      <c r="L494" s="4">
        <f>IF(K494="","",IF(K494=0,"Em dia",IF(K494&lt;=30,"1-30 dias",IF(K494&lt;=60,"31-60 dias",IF(K494&lt;=90,"61-90 dias","&gt;90 dias")))))</f>
        <v/>
      </c>
      <c r="M494" s="28" t="n"/>
      <c r="N494" s="104" t="inlineStr"/>
      <c r="O494" s="64" t="n"/>
      <c r="P494" s="64">
        <f>IF(C494="","",IF(ISNUMBER(SEARCH("PCMSO",C494)),"PCMSO",IF(OR(ISNUMBER(SEARCH("E-SOCIAL",C494)),ISNUMBER(SEARCH("PSICOSOCIAL",C494))),"eSocial / Psicossocial",IF(O494="Receita recorrente","Carteira recorrente","Projetos / Laudos / Avulsos"))))</f>
        <v/>
      </c>
      <c r="Q494" s="64">
        <f>IF(P494="","",IF(P494="Carteira recorrente","Operação recorrente",IF(P494="PCMSO","Projetos PCMSO",IF(P494="eSocial / Psicossocial","Projetos eSocial/Psicossocial","Projetos / Laudos / Avulsos"))))</f>
        <v/>
      </c>
      <c r="R494" s="64">
        <f>IF(C494="","",IF(ISNUMBER(SEARCH("PCMSO",C494)),"Título com PCMSO no nome",IF(OR(ISNUMBER(SEARCH("E-SOCIAL",C494)),ISNUMBER(SEARCH("PSICOSOCIAL",C494))),"Título com eSocial/Psicossocial no nome",IF(O494="Receita recorrente","Tipo DRE recorrente","Extra sem palavra-chave específica"))))</f>
        <v/>
      </c>
      <c r="S494" s="92">
        <f>IFERROR(VLOOKUP($A494,'13. Mapa Títulos-Receita'!$A$8:$P$1000,4,FALSE),"")</f>
        <v/>
      </c>
      <c r="T494" s="92">
        <f>IFERROR(VLOOKUP($A494,'13. Mapa Títulos-Receita'!$A$8:$P$1000,5,FALSE),"")</f>
        <v/>
      </c>
      <c r="U494" s="92">
        <f>IFERROR(VLOOKUP($A494,'13. Mapa Títulos-Receita'!$A$8:$P$1000,6,FALSE),"")</f>
        <v/>
      </c>
      <c r="V494" s="92">
        <f>IFERROR(VLOOKUP($A494,'13. Mapa Títulos-Receita'!$A$8:$P$1000,7,FALSE),"")</f>
        <v/>
      </c>
      <c r="W494" s="92">
        <f>IFERROR(VLOOKUP($A494,'13. Mapa Títulos-Receita'!$A$8:$P$1000,8,FALSE),"")</f>
        <v/>
      </c>
      <c r="X494" s="92">
        <f>IFERROR(VLOOKUP($A494,'13. Mapa Títulos-Receita'!$A$8:$P$1000,9,FALSE),"")</f>
        <v/>
      </c>
      <c r="Y494" s="92">
        <f>IFERROR(VLOOKUP($A494,'13. Mapa Títulos-Receita'!$A$8:$P$1000,10,FALSE),"")</f>
        <v/>
      </c>
      <c r="Z494" s="92">
        <f>IFERROR(VLOOKUP($A494,'13. Mapa Títulos-Receita'!$A$8:$P$1000,11,FALSE),"")</f>
        <v/>
      </c>
      <c r="AA494" s="92">
        <f>IFERROR(VLOOKUP($A494,'13. Mapa Títulos-Receita'!$A$8:$P$1000,12,FALSE),"")</f>
        <v/>
      </c>
      <c r="AB494" s="92">
        <f>IFERROR(VLOOKUP($A494,'13. Mapa Títulos-Receita'!$A$8:$P$1000,13,FALSE),"")</f>
        <v/>
      </c>
      <c r="AC494" s="92">
        <f>IFERROR(VLOOKUP($A494,'13. Mapa Títulos-Receita'!$A$8:$P$1000,14,FALSE),"")</f>
        <v/>
      </c>
      <c r="AD494" s="92">
        <f>IFERROR(VLOOKUP($A494,'13. Mapa Títulos-Receita'!$A$8:$P$1000,15,FALSE),"")</f>
        <v/>
      </c>
      <c r="AE494" s="92">
        <f>IFERROR(VLOOKUP($A494,'13. Mapa Títulos-Receita'!$A$8:$P$1000,16,FALSE),"")</f>
        <v/>
      </c>
    </row>
    <row r="495">
      <c r="A495" s="28">
        <f>IF(C495="","", "CR-"&amp;TEXT(ROW()-7,"000"))</f>
        <v/>
      </c>
      <c r="B495" s="28" t="n"/>
      <c r="C495" s="28" t="n"/>
      <c r="D495" s="111" t="n"/>
      <c r="E495" s="111" t="n"/>
      <c r="F495" s="111" t="n"/>
      <c r="G495" s="28" t="n"/>
      <c r="H495" s="45" t="n"/>
      <c r="I495" s="45" t="n"/>
      <c r="J495" s="28">
        <f>IF(H495="","",IF(I495&gt;=H495,"Recebido",IF($B$4&gt;E495,"Vencido","Aberto")))</f>
        <v/>
      </c>
      <c r="K495" s="4">
        <f>IF(J495="","",IF(OR(J495="Recebido",F495=""),MAX(0,F495-E495),MAX(0,$B$4-E495)))</f>
        <v/>
      </c>
      <c r="L495" s="4">
        <f>IF(K495="","",IF(K495=0,"Em dia",IF(K495&lt;=30,"1-30 dias",IF(K495&lt;=60,"31-60 dias",IF(K495&lt;=90,"61-90 dias","&gt;90 dias")))))</f>
        <v/>
      </c>
      <c r="M495" s="28" t="n"/>
      <c r="N495" s="104" t="inlineStr"/>
      <c r="O495" s="64" t="n"/>
      <c r="P495" s="64">
        <f>IF(C495="","",IF(ISNUMBER(SEARCH("PCMSO",C495)),"PCMSO",IF(OR(ISNUMBER(SEARCH("E-SOCIAL",C495)),ISNUMBER(SEARCH("PSICOSOCIAL",C495))),"eSocial / Psicossocial",IF(O495="Receita recorrente","Carteira recorrente","Projetos / Laudos / Avulsos"))))</f>
        <v/>
      </c>
      <c r="Q495" s="64">
        <f>IF(P495="","",IF(P495="Carteira recorrente","Operação recorrente",IF(P495="PCMSO","Projetos PCMSO",IF(P495="eSocial / Psicossocial","Projetos eSocial/Psicossocial","Projetos / Laudos / Avulsos"))))</f>
        <v/>
      </c>
      <c r="R495" s="64">
        <f>IF(C495="","",IF(ISNUMBER(SEARCH("PCMSO",C495)),"Título com PCMSO no nome",IF(OR(ISNUMBER(SEARCH("E-SOCIAL",C495)),ISNUMBER(SEARCH("PSICOSOCIAL",C495))),"Título com eSocial/Psicossocial no nome",IF(O495="Receita recorrente","Tipo DRE recorrente","Extra sem palavra-chave específica"))))</f>
        <v/>
      </c>
      <c r="S495" s="92">
        <f>IFERROR(VLOOKUP($A495,'13. Mapa Títulos-Receita'!$A$8:$P$1000,4,FALSE),"")</f>
        <v/>
      </c>
      <c r="T495" s="92">
        <f>IFERROR(VLOOKUP($A495,'13. Mapa Títulos-Receita'!$A$8:$P$1000,5,FALSE),"")</f>
        <v/>
      </c>
      <c r="U495" s="92">
        <f>IFERROR(VLOOKUP($A495,'13. Mapa Títulos-Receita'!$A$8:$P$1000,6,FALSE),"")</f>
        <v/>
      </c>
      <c r="V495" s="92">
        <f>IFERROR(VLOOKUP($A495,'13. Mapa Títulos-Receita'!$A$8:$P$1000,7,FALSE),"")</f>
        <v/>
      </c>
      <c r="W495" s="92">
        <f>IFERROR(VLOOKUP($A495,'13. Mapa Títulos-Receita'!$A$8:$P$1000,8,FALSE),"")</f>
        <v/>
      </c>
      <c r="X495" s="92">
        <f>IFERROR(VLOOKUP($A495,'13. Mapa Títulos-Receita'!$A$8:$P$1000,9,FALSE),"")</f>
        <v/>
      </c>
      <c r="Y495" s="92">
        <f>IFERROR(VLOOKUP($A495,'13. Mapa Títulos-Receita'!$A$8:$P$1000,10,FALSE),"")</f>
        <v/>
      </c>
      <c r="Z495" s="92">
        <f>IFERROR(VLOOKUP($A495,'13. Mapa Títulos-Receita'!$A$8:$P$1000,11,FALSE),"")</f>
        <v/>
      </c>
      <c r="AA495" s="92">
        <f>IFERROR(VLOOKUP($A495,'13. Mapa Títulos-Receita'!$A$8:$P$1000,12,FALSE),"")</f>
        <v/>
      </c>
      <c r="AB495" s="92">
        <f>IFERROR(VLOOKUP($A495,'13. Mapa Títulos-Receita'!$A$8:$P$1000,13,FALSE),"")</f>
        <v/>
      </c>
      <c r="AC495" s="92">
        <f>IFERROR(VLOOKUP($A495,'13. Mapa Títulos-Receita'!$A$8:$P$1000,14,FALSE),"")</f>
        <v/>
      </c>
      <c r="AD495" s="92">
        <f>IFERROR(VLOOKUP($A495,'13. Mapa Títulos-Receita'!$A$8:$P$1000,15,FALSE),"")</f>
        <v/>
      </c>
      <c r="AE495" s="92">
        <f>IFERROR(VLOOKUP($A495,'13. Mapa Títulos-Receita'!$A$8:$P$1000,16,FALSE),"")</f>
        <v/>
      </c>
    </row>
    <row r="496">
      <c r="A496" s="28">
        <f>IF(C496="","", "CR-"&amp;TEXT(ROW()-7,"000"))</f>
        <v/>
      </c>
      <c r="B496" s="28" t="n"/>
      <c r="C496" s="28" t="n"/>
      <c r="D496" s="111" t="n"/>
      <c r="E496" s="111" t="n"/>
      <c r="F496" s="111" t="n"/>
      <c r="G496" s="28" t="n"/>
      <c r="H496" s="45" t="n"/>
      <c r="I496" s="45" t="n"/>
      <c r="J496" s="28">
        <f>IF(H496="","",IF(I496&gt;=H496,"Recebido",IF($B$4&gt;E496,"Vencido","Aberto")))</f>
        <v/>
      </c>
      <c r="K496" s="4">
        <f>IF(J496="","",IF(OR(J496="Recebido",F496=""),MAX(0,F496-E496),MAX(0,$B$4-E496)))</f>
        <v/>
      </c>
      <c r="L496" s="4">
        <f>IF(K496="","",IF(K496=0,"Em dia",IF(K496&lt;=30,"1-30 dias",IF(K496&lt;=60,"31-60 dias",IF(K496&lt;=90,"61-90 dias","&gt;90 dias")))))</f>
        <v/>
      </c>
      <c r="M496" s="28" t="n"/>
      <c r="N496" s="104" t="inlineStr"/>
      <c r="O496" s="64" t="n"/>
      <c r="P496" s="64">
        <f>IF(C496="","",IF(ISNUMBER(SEARCH("PCMSO",C496)),"PCMSO",IF(OR(ISNUMBER(SEARCH("E-SOCIAL",C496)),ISNUMBER(SEARCH("PSICOSOCIAL",C496))),"eSocial / Psicossocial",IF(O496="Receita recorrente","Carteira recorrente","Projetos / Laudos / Avulsos"))))</f>
        <v/>
      </c>
      <c r="Q496" s="64">
        <f>IF(P496="","",IF(P496="Carteira recorrente","Operação recorrente",IF(P496="PCMSO","Projetos PCMSO",IF(P496="eSocial / Psicossocial","Projetos eSocial/Psicossocial","Projetos / Laudos / Avulsos"))))</f>
        <v/>
      </c>
      <c r="R496" s="64">
        <f>IF(C496="","",IF(ISNUMBER(SEARCH("PCMSO",C496)),"Título com PCMSO no nome",IF(OR(ISNUMBER(SEARCH("E-SOCIAL",C496)),ISNUMBER(SEARCH("PSICOSOCIAL",C496))),"Título com eSocial/Psicossocial no nome",IF(O496="Receita recorrente","Tipo DRE recorrente","Extra sem palavra-chave específica"))))</f>
        <v/>
      </c>
      <c r="S496" s="92">
        <f>IFERROR(VLOOKUP($A496,'13. Mapa Títulos-Receita'!$A$8:$P$1000,4,FALSE),"")</f>
        <v/>
      </c>
      <c r="T496" s="92">
        <f>IFERROR(VLOOKUP($A496,'13. Mapa Títulos-Receita'!$A$8:$P$1000,5,FALSE),"")</f>
        <v/>
      </c>
      <c r="U496" s="92">
        <f>IFERROR(VLOOKUP($A496,'13. Mapa Títulos-Receita'!$A$8:$P$1000,6,FALSE),"")</f>
        <v/>
      </c>
      <c r="V496" s="92">
        <f>IFERROR(VLOOKUP($A496,'13. Mapa Títulos-Receita'!$A$8:$P$1000,7,FALSE),"")</f>
        <v/>
      </c>
      <c r="W496" s="92">
        <f>IFERROR(VLOOKUP($A496,'13. Mapa Títulos-Receita'!$A$8:$P$1000,8,FALSE),"")</f>
        <v/>
      </c>
      <c r="X496" s="92">
        <f>IFERROR(VLOOKUP($A496,'13. Mapa Títulos-Receita'!$A$8:$P$1000,9,FALSE),"")</f>
        <v/>
      </c>
      <c r="Y496" s="92">
        <f>IFERROR(VLOOKUP($A496,'13. Mapa Títulos-Receita'!$A$8:$P$1000,10,FALSE),"")</f>
        <v/>
      </c>
      <c r="Z496" s="92">
        <f>IFERROR(VLOOKUP($A496,'13. Mapa Títulos-Receita'!$A$8:$P$1000,11,FALSE),"")</f>
        <v/>
      </c>
      <c r="AA496" s="92">
        <f>IFERROR(VLOOKUP($A496,'13. Mapa Títulos-Receita'!$A$8:$P$1000,12,FALSE),"")</f>
        <v/>
      </c>
      <c r="AB496" s="92">
        <f>IFERROR(VLOOKUP($A496,'13. Mapa Títulos-Receita'!$A$8:$P$1000,13,FALSE),"")</f>
        <v/>
      </c>
      <c r="AC496" s="92">
        <f>IFERROR(VLOOKUP($A496,'13. Mapa Títulos-Receita'!$A$8:$P$1000,14,FALSE),"")</f>
        <v/>
      </c>
      <c r="AD496" s="92">
        <f>IFERROR(VLOOKUP($A496,'13. Mapa Títulos-Receita'!$A$8:$P$1000,15,FALSE),"")</f>
        <v/>
      </c>
      <c r="AE496" s="92">
        <f>IFERROR(VLOOKUP($A496,'13. Mapa Títulos-Receita'!$A$8:$P$1000,16,FALSE),"")</f>
        <v/>
      </c>
    </row>
    <row r="497">
      <c r="A497" s="28">
        <f>IF(C497="","", "CR-"&amp;TEXT(ROW()-7,"000"))</f>
        <v/>
      </c>
      <c r="B497" s="28" t="n"/>
      <c r="C497" s="28" t="n"/>
      <c r="D497" s="111" t="n"/>
      <c r="E497" s="111" t="n"/>
      <c r="F497" s="111" t="n"/>
      <c r="G497" s="28" t="n"/>
      <c r="H497" s="45" t="n"/>
      <c r="I497" s="45" t="n"/>
      <c r="J497" s="28">
        <f>IF(H497="","",IF(I497&gt;=H497,"Recebido",IF($B$4&gt;E497,"Vencido","Aberto")))</f>
        <v/>
      </c>
      <c r="K497" s="4">
        <f>IF(J497="","",IF(OR(J497="Recebido",F497=""),MAX(0,F497-E497),MAX(0,$B$4-E497)))</f>
        <v/>
      </c>
      <c r="L497" s="4">
        <f>IF(K497="","",IF(K497=0,"Em dia",IF(K497&lt;=30,"1-30 dias",IF(K497&lt;=60,"31-60 dias",IF(K497&lt;=90,"61-90 dias","&gt;90 dias")))))</f>
        <v/>
      </c>
      <c r="M497" s="28" t="n"/>
      <c r="N497" s="104" t="inlineStr"/>
      <c r="O497" s="64" t="n"/>
      <c r="P497" s="64">
        <f>IF(C497="","",IF(ISNUMBER(SEARCH("PCMSO",C497)),"PCMSO",IF(OR(ISNUMBER(SEARCH("E-SOCIAL",C497)),ISNUMBER(SEARCH("PSICOSOCIAL",C497))),"eSocial / Psicossocial",IF(O497="Receita recorrente","Carteira recorrente","Projetos / Laudos / Avulsos"))))</f>
        <v/>
      </c>
      <c r="Q497" s="64">
        <f>IF(P497="","",IF(P497="Carteira recorrente","Operação recorrente",IF(P497="PCMSO","Projetos PCMSO",IF(P497="eSocial / Psicossocial","Projetos eSocial/Psicossocial","Projetos / Laudos / Avulsos"))))</f>
        <v/>
      </c>
      <c r="R497" s="64">
        <f>IF(C497="","",IF(ISNUMBER(SEARCH("PCMSO",C497)),"Título com PCMSO no nome",IF(OR(ISNUMBER(SEARCH("E-SOCIAL",C497)),ISNUMBER(SEARCH("PSICOSOCIAL",C497))),"Título com eSocial/Psicossocial no nome",IF(O497="Receita recorrente","Tipo DRE recorrente","Extra sem palavra-chave específica"))))</f>
        <v/>
      </c>
      <c r="S497" s="92">
        <f>IFERROR(VLOOKUP($A497,'13. Mapa Títulos-Receita'!$A$8:$P$1000,4,FALSE),"")</f>
        <v/>
      </c>
      <c r="T497" s="92">
        <f>IFERROR(VLOOKUP($A497,'13. Mapa Títulos-Receita'!$A$8:$P$1000,5,FALSE),"")</f>
        <v/>
      </c>
      <c r="U497" s="92">
        <f>IFERROR(VLOOKUP($A497,'13. Mapa Títulos-Receita'!$A$8:$P$1000,6,FALSE),"")</f>
        <v/>
      </c>
      <c r="V497" s="92">
        <f>IFERROR(VLOOKUP($A497,'13. Mapa Títulos-Receita'!$A$8:$P$1000,7,FALSE),"")</f>
        <v/>
      </c>
      <c r="W497" s="92">
        <f>IFERROR(VLOOKUP($A497,'13. Mapa Títulos-Receita'!$A$8:$P$1000,8,FALSE),"")</f>
        <v/>
      </c>
      <c r="X497" s="92">
        <f>IFERROR(VLOOKUP($A497,'13. Mapa Títulos-Receita'!$A$8:$P$1000,9,FALSE),"")</f>
        <v/>
      </c>
      <c r="Y497" s="92">
        <f>IFERROR(VLOOKUP($A497,'13. Mapa Títulos-Receita'!$A$8:$P$1000,10,FALSE),"")</f>
        <v/>
      </c>
      <c r="Z497" s="92">
        <f>IFERROR(VLOOKUP($A497,'13. Mapa Títulos-Receita'!$A$8:$P$1000,11,FALSE),"")</f>
        <v/>
      </c>
      <c r="AA497" s="92">
        <f>IFERROR(VLOOKUP($A497,'13. Mapa Títulos-Receita'!$A$8:$P$1000,12,FALSE),"")</f>
        <v/>
      </c>
      <c r="AB497" s="92">
        <f>IFERROR(VLOOKUP($A497,'13. Mapa Títulos-Receita'!$A$8:$P$1000,13,FALSE),"")</f>
        <v/>
      </c>
      <c r="AC497" s="92">
        <f>IFERROR(VLOOKUP($A497,'13. Mapa Títulos-Receita'!$A$8:$P$1000,14,FALSE),"")</f>
        <v/>
      </c>
      <c r="AD497" s="92">
        <f>IFERROR(VLOOKUP($A497,'13. Mapa Títulos-Receita'!$A$8:$P$1000,15,FALSE),"")</f>
        <v/>
      </c>
      <c r="AE497" s="92">
        <f>IFERROR(VLOOKUP($A497,'13. Mapa Títulos-Receita'!$A$8:$P$1000,16,FALSE),"")</f>
        <v/>
      </c>
    </row>
    <row r="498">
      <c r="A498" s="28">
        <f>IF(C498="","", "CR-"&amp;TEXT(ROW()-7,"000"))</f>
        <v/>
      </c>
      <c r="B498" s="28" t="n"/>
      <c r="C498" s="28" t="n"/>
      <c r="D498" s="111" t="n"/>
      <c r="E498" s="111" t="n"/>
      <c r="F498" s="111" t="n"/>
      <c r="G498" s="28" t="n"/>
      <c r="H498" s="45" t="n"/>
      <c r="I498" s="45" t="n"/>
      <c r="J498" s="28">
        <f>IF(H498="","",IF(I498&gt;=H498,"Recebido",IF($B$4&gt;E498,"Vencido","Aberto")))</f>
        <v/>
      </c>
      <c r="K498" s="4">
        <f>IF(J498="","",IF(OR(J498="Recebido",F498=""),MAX(0,F498-E498),MAX(0,$B$4-E498)))</f>
        <v/>
      </c>
      <c r="L498" s="4">
        <f>IF(K498="","",IF(K498=0,"Em dia",IF(K498&lt;=30,"1-30 dias",IF(K498&lt;=60,"31-60 dias",IF(K498&lt;=90,"61-90 dias","&gt;90 dias")))))</f>
        <v/>
      </c>
      <c r="M498" s="28" t="n"/>
      <c r="N498" s="104" t="inlineStr"/>
      <c r="O498" s="64" t="n"/>
      <c r="P498" s="64">
        <f>IF(C498="","",IF(ISNUMBER(SEARCH("PCMSO",C498)),"PCMSO",IF(OR(ISNUMBER(SEARCH("E-SOCIAL",C498)),ISNUMBER(SEARCH("PSICOSOCIAL",C498))),"eSocial / Psicossocial",IF(O498="Receita recorrente","Carteira recorrente","Projetos / Laudos / Avulsos"))))</f>
        <v/>
      </c>
      <c r="Q498" s="64">
        <f>IF(P498="","",IF(P498="Carteira recorrente","Operação recorrente",IF(P498="PCMSO","Projetos PCMSO",IF(P498="eSocial / Psicossocial","Projetos eSocial/Psicossocial","Projetos / Laudos / Avulsos"))))</f>
        <v/>
      </c>
      <c r="R498" s="64">
        <f>IF(C498="","",IF(ISNUMBER(SEARCH("PCMSO",C498)),"Título com PCMSO no nome",IF(OR(ISNUMBER(SEARCH("E-SOCIAL",C498)),ISNUMBER(SEARCH("PSICOSOCIAL",C498))),"Título com eSocial/Psicossocial no nome",IF(O498="Receita recorrente","Tipo DRE recorrente","Extra sem palavra-chave específica"))))</f>
        <v/>
      </c>
      <c r="S498" s="92">
        <f>IFERROR(VLOOKUP($A498,'13. Mapa Títulos-Receita'!$A$8:$P$1000,4,FALSE),"")</f>
        <v/>
      </c>
      <c r="T498" s="92">
        <f>IFERROR(VLOOKUP($A498,'13. Mapa Títulos-Receita'!$A$8:$P$1000,5,FALSE),"")</f>
        <v/>
      </c>
      <c r="U498" s="92">
        <f>IFERROR(VLOOKUP($A498,'13. Mapa Títulos-Receita'!$A$8:$P$1000,6,FALSE),"")</f>
        <v/>
      </c>
      <c r="V498" s="92">
        <f>IFERROR(VLOOKUP($A498,'13. Mapa Títulos-Receita'!$A$8:$P$1000,7,FALSE),"")</f>
        <v/>
      </c>
      <c r="W498" s="92">
        <f>IFERROR(VLOOKUP($A498,'13. Mapa Títulos-Receita'!$A$8:$P$1000,8,FALSE),"")</f>
        <v/>
      </c>
      <c r="X498" s="92">
        <f>IFERROR(VLOOKUP($A498,'13. Mapa Títulos-Receita'!$A$8:$P$1000,9,FALSE),"")</f>
        <v/>
      </c>
      <c r="Y498" s="92">
        <f>IFERROR(VLOOKUP($A498,'13. Mapa Títulos-Receita'!$A$8:$P$1000,10,FALSE),"")</f>
        <v/>
      </c>
      <c r="Z498" s="92">
        <f>IFERROR(VLOOKUP($A498,'13. Mapa Títulos-Receita'!$A$8:$P$1000,11,FALSE),"")</f>
        <v/>
      </c>
      <c r="AA498" s="92">
        <f>IFERROR(VLOOKUP($A498,'13. Mapa Títulos-Receita'!$A$8:$P$1000,12,FALSE),"")</f>
        <v/>
      </c>
      <c r="AB498" s="92">
        <f>IFERROR(VLOOKUP($A498,'13. Mapa Títulos-Receita'!$A$8:$P$1000,13,FALSE),"")</f>
        <v/>
      </c>
      <c r="AC498" s="92">
        <f>IFERROR(VLOOKUP($A498,'13. Mapa Títulos-Receita'!$A$8:$P$1000,14,FALSE),"")</f>
        <v/>
      </c>
      <c r="AD498" s="92">
        <f>IFERROR(VLOOKUP($A498,'13. Mapa Títulos-Receita'!$A$8:$P$1000,15,FALSE),"")</f>
        <v/>
      </c>
      <c r="AE498" s="92">
        <f>IFERROR(VLOOKUP($A498,'13. Mapa Títulos-Receita'!$A$8:$P$1000,16,FALSE),"")</f>
        <v/>
      </c>
    </row>
    <row r="499">
      <c r="A499" s="28">
        <f>IF(C499="","", "CR-"&amp;TEXT(ROW()-7,"000"))</f>
        <v/>
      </c>
      <c r="B499" s="28" t="n"/>
      <c r="C499" s="28" t="n"/>
      <c r="D499" s="111" t="n"/>
      <c r="E499" s="111" t="n"/>
      <c r="F499" s="111" t="n"/>
      <c r="G499" s="28" t="n"/>
      <c r="H499" s="45" t="n"/>
      <c r="I499" s="45" t="n"/>
      <c r="J499" s="28">
        <f>IF(H499="","",IF(I499&gt;=H499,"Recebido",IF($B$4&gt;E499,"Vencido","Aberto")))</f>
        <v/>
      </c>
      <c r="K499" s="4">
        <f>IF(J499="","",IF(OR(J499="Recebido",F499=""),MAX(0,F499-E499),MAX(0,$B$4-E499)))</f>
        <v/>
      </c>
      <c r="L499" s="4">
        <f>IF(K499="","",IF(K499=0,"Em dia",IF(K499&lt;=30,"1-30 dias",IF(K499&lt;=60,"31-60 dias",IF(K499&lt;=90,"61-90 dias","&gt;90 dias")))))</f>
        <v/>
      </c>
      <c r="M499" s="28" t="n"/>
      <c r="N499" s="104" t="inlineStr"/>
      <c r="O499" s="64" t="n"/>
      <c r="P499" s="64">
        <f>IF(C499="","",IF(ISNUMBER(SEARCH("PCMSO",C499)),"PCMSO",IF(OR(ISNUMBER(SEARCH("E-SOCIAL",C499)),ISNUMBER(SEARCH("PSICOSOCIAL",C499))),"eSocial / Psicossocial",IF(O499="Receita recorrente","Carteira recorrente","Projetos / Laudos / Avulsos"))))</f>
        <v/>
      </c>
      <c r="Q499" s="64">
        <f>IF(P499="","",IF(P499="Carteira recorrente","Operação recorrente",IF(P499="PCMSO","Projetos PCMSO",IF(P499="eSocial / Psicossocial","Projetos eSocial/Psicossocial","Projetos / Laudos / Avulsos"))))</f>
        <v/>
      </c>
      <c r="R499" s="64">
        <f>IF(C499="","",IF(ISNUMBER(SEARCH("PCMSO",C499)),"Título com PCMSO no nome",IF(OR(ISNUMBER(SEARCH("E-SOCIAL",C499)),ISNUMBER(SEARCH("PSICOSOCIAL",C499))),"Título com eSocial/Psicossocial no nome",IF(O499="Receita recorrente","Tipo DRE recorrente","Extra sem palavra-chave específica"))))</f>
        <v/>
      </c>
      <c r="S499" s="92">
        <f>IFERROR(VLOOKUP($A499,'13. Mapa Títulos-Receita'!$A$8:$P$1000,4,FALSE),"")</f>
        <v/>
      </c>
      <c r="T499" s="92">
        <f>IFERROR(VLOOKUP($A499,'13. Mapa Títulos-Receita'!$A$8:$P$1000,5,FALSE),"")</f>
        <v/>
      </c>
      <c r="U499" s="92">
        <f>IFERROR(VLOOKUP($A499,'13. Mapa Títulos-Receita'!$A$8:$P$1000,6,FALSE),"")</f>
        <v/>
      </c>
      <c r="V499" s="92">
        <f>IFERROR(VLOOKUP($A499,'13. Mapa Títulos-Receita'!$A$8:$P$1000,7,FALSE),"")</f>
        <v/>
      </c>
      <c r="W499" s="92">
        <f>IFERROR(VLOOKUP($A499,'13. Mapa Títulos-Receita'!$A$8:$P$1000,8,FALSE),"")</f>
        <v/>
      </c>
      <c r="X499" s="92">
        <f>IFERROR(VLOOKUP($A499,'13. Mapa Títulos-Receita'!$A$8:$P$1000,9,FALSE),"")</f>
        <v/>
      </c>
      <c r="Y499" s="92">
        <f>IFERROR(VLOOKUP($A499,'13. Mapa Títulos-Receita'!$A$8:$P$1000,10,FALSE),"")</f>
        <v/>
      </c>
      <c r="Z499" s="92">
        <f>IFERROR(VLOOKUP($A499,'13. Mapa Títulos-Receita'!$A$8:$P$1000,11,FALSE),"")</f>
        <v/>
      </c>
      <c r="AA499" s="92">
        <f>IFERROR(VLOOKUP($A499,'13. Mapa Títulos-Receita'!$A$8:$P$1000,12,FALSE),"")</f>
        <v/>
      </c>
      <c r="AB499" s="92">
        <f>IFERROR(VLOOKUP($A499,'13. Mapa Títulos-Receita'!$A$8:$P$1000,13,FALSE),"")</f>
        <v/>
      </c>
      <c r="AC499" s="92">
        <f>IFERROR(VLOOKUP($A499,'13. Mapa Títulos-Receita'!$A$8:$P$1000,14,FALSE),"")</f>
        <v/>
      </c>
      <c r="AD499" s="92">
        <f>IFERROR(VLOOKUP($A499,'13. Mapa Títulos-Receita'!$A$8:$P$1000,15,FALSE),"")</f>
        <v/>
      </c>
      <c r="AE499" s="92">
        <f>IFERROR(VLOOKUP($A499,'13. Mapa Títulos-Receita'!$A$8:$P$1000,16,FALSE),"")</f>
        <v/>
      </c>
    </row>
    <row r="500">
      <c r="A500" s="28">
        <f>IF(C500="","", "CR-"&amp;TEXT(ROW()-7,"000"))</f>
        <v/>
      </c>
      <c r="B500" s="28" t="n"/>
      <c r="C500" s="28" t="n"/>
      <c r="D500" s="111" t="n"/>
      <c r="E500" s="111" t="n"/>
      <c r="F500" s="111" t="n"/>
      <c r="G500" s="28" t="n"/>
      <c r="H500" s="45" t="n"/>
      <c r="I500" s="45" t="n"/>
      <c r="J500" s="28">
        <f>IF(H500="","",IF(I500&gt;=H500,"Recebido",IF($B$4&gt;E500,"Vencido","Aberto")))</f>
        <v/>
      </c>
      <c r="K500" s="4">
        <f>IF(J500="","",IF(OR(J500="Recebido",F500=""),MAX(0,F500-E500),MAX(0,$B$4-E500)))</f>
        <v/>
      </c>
      <c r="L500" s="4">
        <f>IF(K500="","",IF(K500=0,"Em dia",IF(K500&lt;=30,"1-30 dias",IF(K500&lt;=60,"31-60 dias",IF(K500&lt;=90,"61-90 dias","&gt;90 dias")))))</f>
        <v/>
      </c>
      <c r="M500" s="28" t="n"/>
      <c r="N500" s="104" t="inlineStr"/>
      <c r="O500" s="64" t="n"/>
      <c r="P500" s="64">
        <f>IF(C500="","",IF(ISNUMBER(SEARCH("PCMSO",C500)),"PCMSO",IF(OR(ISNUMBER(SEARCH("E-SOCIAL",C500)),ISNUMBER(SEARCH("PSICOSOCIAL",C500))),"eSocial / Psicossocial",IF(O500="Receita recorrente","Carteira recorrente","Projetos / Laudos / Avulsos"))))</f>
        <v/>
      </c>
      <c r="Q500" s="64">
        <f>IF(P500="","",IF(P500="Carteira recorrente","Operação recorrente",IF(P500="PCMSO","Projetos PCMSO",IF(P500="eSocial / Psicossocial","Projetos eSocial/Psicossocial","Projetos / Laudos / Avulsos"))))</f>
        <v/>
      </c>
      <c r="R500" s="64">
        <f>IF(C500="","",IF(ISNUMBER(SEARCH("PCMSO",C500)),"Título com PCMSO no nome",IF(OR(ISNUMBER(SEARCH("E-SOCIAL",C500)),ISNUMBER(SEARCH("PSICOSOCIAL",C500))),"Título com eSocial/Psicossocial no nome",IF(O500="Receita recorrente","Tipo DRE recorrente","Extra sem palavra-chave específica"))))</f>
        <v/>
      </c>
      <c r="S500" s="92">
        <f>IFERROR(VLOOKUP($A500,'13. Mapa Títulos-Receita'!$A$8:$P$1000,4,FALSE),"")</f>
        <v/>
      </c>
      <c r="T500" s="92">
        <f>IFERROR(VLOOKUP($A500,'13. Mapa Títulos-Receita'!$A$8:$P$1000,5,FALSE),"")</f>
        <v/>
      </c>
      <c r="U500" s="92">
        <f>IFERROR(VLOOKUP($A500,'13. Mapa Títulos-Receita'!$A$8:$P$1000,6,FALSE),"")</f>
        <v/>
      </c>
      <c r="V500" s="92">
        <f>IFERROR(VLOOKUP($A500,'13. Mapa Títulos-Receita'!$A$8:$P$1000,7,FALSE),"")</f>
        <v/>
      </c>
      <c r="W500" s="92">
        <f>IFERROR(VLOOKUP($A500,'13. Mapa Títulos-Receita'!$A$8:$P$1000,8,FALSE),"")</f>
        <v/>
      </c>
      <c r="X500" s="92">
        <f>IFERROR(VLOOKUP($A500,'13. Mapa Títulos-Receita'!$A$8:$P$1000,9,FALSE),"")</f>
        <v/>
      </c>
      <c r="Y500" s="92">
        <f>IFERROR(VLOOKUP($A500,'13. Mapa Títulos-Receita'!$A$8:$P$1000,10,FALSE),"")</f>
        <v/>
      </c>
      <c r="Z500" s="92">
        <f>IFERROR(VLOOKUP($A500,'13. Mapa Títulos-Receita'!$A$8:$P$1000,11,FALSE),"")</f>
        <v/>
      </c>
      <c r="AA500" s="92">
        <f>IFERROR(VLOOKUP($A500,'13. Mapa Títulos-Receita'!$A$8:$P$1000,12,FALSE),"")</f>
        <v/>
      </c>
      <c r="AB500" s="92">
        <f>IFERROR(VLOOKUP($A500,'13. Mapa Títulos-Receita'!$A$8:$P$1000,13,FALSE),"")</f>
        <v/>
      </c>
      <c r="AC500" s="92">
        <f>IFERROR(VLOOKUP($A500,'13. Mapa Títulos-Receita'!$A$8:$P$1000,14,FALSE),"")</f>
        <v/>
      </c>
      <c r="AD500" s="92">
        <f>IFERROR(VLOOKUP($A500,'13. Mapa Títulos-Receita'!$A$8:$P$1000,15,FALSE),"")</f>
        <v/>
      </c>
      <c r="AE500" s="92">
        <f>IFERROR(VLOOKUP($A500,'13. Mapa Títulos-Receita'!$A$8:$P$1000,16,FALSE),"")</f>
        <v/>
      </c>
    </row>
    <row r="501">
      <c r="A501" s="28">
        <f>IF(C501="","", "CR-"&amp;TEXT(ROW()-7,"000"))</f>
        <v/>
      </c>
      <c r="B501" s="28" t="n"/>
      <c r="C501" s="28" t="n"/>
      <c r="D501" s="111" t="n"/>
      <c r="E501" s="111" t="n"/>
      <c r="F501" s="111" t="n"/>
      <c r="G501" s="28" t="n"/>
      <c r="H501" s="45" t="n"/>
      <c r="I501" s="45" t="n"/>
      <c r="J501" s="28">
        <f>IF(H501="","",IF(I501&gt;=H501,"Recebido",IF($B$4&gt;E501,"Vencido","Aberto")))</f>
        <v/>
      </c>
      <c r="K501" s="4">
        <f>IF(J501="","",IF(OR(J501="Recebido",F501=""),MAX(0,F501-E501),MAX(0,$B$4-E501)))</f>
        <v/>
      </c>
      <c r="L501" s="4">
        <f>IF(K501="","",IF(K501=0,"Em dia",IF(K501&lt;=30,"1-30 dias",IF(K501&lt;=60,"31-60 dias",IF(K501&lt;=90,"61-90 dias","&gt;90 dias")))))</f>
        <v/>
      </c>
      <c r="M501" s="28" t="n"/>
      <c r="N501" s="104" t="inlineStr"/>
      <c r="O501" s="64" t="n"/>
      <c r="P501" s="64">
        <f>IF(C501="","",IF(ISNUMBER(SEARCH("PCMSO",C501)),"PCMSO",IF(OR(ISNUMBER(SEARCH("E-SOCIAL",C501)),ISNUMBER(SEARCH("PSICOSOCIAL",C501))),"eSocial / Psicossocial",IF(O501="Receita recorrente","Carteira recorrente","Projetos / Laudos / Avulsos"))))</f>
        <v/>
      </c>
      <c r="Q501" s="64">
        <f>IF(P501="","",IF(P501="Carteira recorrente","Operação recorrente",IF(P501="PCMSO","Projetos PCMSO",IF(P501="eSocial / Psicossocial","Projetos eSocial/Psicossocial","Projetos / Laudos / Avulsos"))))</f>
        <v/>
      </c>
      <c r="R501" s="64">
        <f>IF(C501="","",IF(ISNUMBER(SEARCH("PCMSO",C501)),"Título com PCMSO no nome",IF(OR(ISNUMBER(SEARCH("E-SOCIAL",C501)),ISNUMBER(SEARCH("PSICOSOCIAL",C501))),"Título com eSocial/Psicossocial no nome",IF(O501="Receita recorrente","Tipo DRE recorrente","Extra sem palavra-chave específica"))))</f>
        <v/>
      </c>
      <c r="S501" s="92">
        <f>IFERROR(VLOOKUP($A501,'13. Mapa Títulos-Receita'!$A$8:$P$1000,4,FALSE),"")</f>
        <v/>
      </c>
      <c r="T501" s="92">
        <f>IFERROR(VLOOKUP($A501,'13. Mapa Títulos-Receita'!$A$8:$P$1000,5,FALSE),"")</f>
        <v/>
      </c>
      <c r="U501" s="92">
        <f>IFERROR(VLOOKUP($A501,'13. Mapa Títulos-Receita'!$A$8:$P$1000,6,FALSE),"")</f>
        <v/>
      </c>
      <c r="V501" s="92">
        <f>IFERROR(VLOOKUP($A501,'13. Mapa Títulos-Receita'!$A$8:$P$1000,7,FALSE),"")</f>
        <v/>
      </c>
      <c r="W501" s="92">
        <f>IFERROR(VLOOKUP($A501,'13. Mapa Títulos-Receita'!$A$8:$P$1000,8,FALSE),"")</f>
        <v/>
      </c>
      <c r="X501" s="92">
        <f>IFERROR(VLOOKUP($A501,'13. Mapa Títulos-Receita'!$A$8:$P$1000,9,FALSE),"")</f>
        <v/>
      </c>
      <c r="Y501" s="92">
        <f>IFERROR(VLOOKUP($A501,'13. Mapa Títulos-Receita'!$A$8:$P$1000,10,FALSE),"")</f>
        <v/>
      </c>
      <c r="Z501" s="92">
        <f>IFERROR(VLOOKUP($A501,'13. Mapa Títulos-Receita'!$A$8:$P$1000,11,FALSE),"")</f>
        <v/>
      </c>
      <c r="AA501" s="92">
        <f>IFERROR(VLOOKUP($A501,'13. Mapa Títulos-Receita'!$A$8:$P$1000,12,FALSE),"")</f>
        <v/>
      </c>
      <c r="AB501" s="92">
        <f>IFERROR(VLOOKUP($A501,'13. Mapa Títulos-Receita'!$A$8:$P$1000,13,FALSE),"")</f>
        <v/>
      </c>
      <c r="AC501" s="92">
        <f>IFERROR(VLOOKUP($A501,'13. Mapa Títulos-Receita'!$A$8:$P$1000,14,FALSE),"")</f>
        <v/>
      </c>
      <c r="AD501" s="92">
        <f>IFERROR(VLOOKUP($A501,'13. Mapa Títulos-Receita'!$A$8:$P$1000,15,FALSE),"")</f>
        <v/>
      </c>
      <c r="AE501" s="92">
        <f>IFERROR(VLOOKUP($A501,'13. Mapa Títulos-Receita'!$A$8:$P$1000,16,FALSE),"")</f>
        <v/>
      </c>
    </row>
    <row r="502">
      <c r="A502" s="28">
        <f>IF(C502="","", "CR-"&amp;TEXT(ROW()-7,"000"))</f>
        <v/>
      </c>
      <c r="B502" s="28" t="n"/>
      <c r="C502" s="28" t="n"/>
      <c r="D502" s="111" t="n"/>
      <c r="E502" s="111" t="n"/>
      <c r="F502" s="111" t="n"/>
      <c r="G502" s="28" t="n"/>
      <c r="H502" s="45" t="n"/>
      <c r="I502" s="45" t="n"/>
      <c r="J502" s="28">
        <f>IF(H502="","",IF(I502&gt;=H502,"Recebido",IF($B$4&gt;E502,"Vencido","Aberto")))</f>
        <v/>
      </c>
      <c r="K502" s="4">
        <f>IF(J502="","",IF(OR(J502="Recebido",F502=""),MAX(0,F502-E502),MAX(0,$B$4-E502)))</f>
        <v/>
      </c>
      <c r="L502" s="4">
        <f>IF(K502="","",IF(K502=0,"Em dia",IF(K502&lt;=30,"1-30 dias",IF(K502&lt;=60,"31-60 dias",IF(K502&lt;=90,"61-90 dias","&gt;90 dias")))))</f>
        <v/>
      </c>
      <c r="M502" s="28" t="n"/>
      <c r="N502" s="104" t="inlineStr"/>
      <c r="O502" s="64" t="n"/>
      <c r="P502" s="64">
        <f>IF(C502="","",IF(ISNUMBER(SEARCH("PCMSO",C502)),"PCMSO",IF(OR(ISNUMBER(SEARCH("E-SOCIAL",C502)),ISNUMBER(SEARCH("PSICOSOCIAL",C502))),"eSocial / Psicossocial",IF(O502="Receita recorrente","Carteira recorrente","Projetos / Laudos / Avulsos"))))</f>
        <v/>
      </c>
      <c r="Q502" s="64">
        <f>IF(P502="","",IF(P502="Carteira recorrente","Operação recorrente",IF(P502="PCMSO","Projetos PCMSO",IF(P502="eSocial / Psicossocial","Projetos eSocial/Psicossocial","Projetos / Laudos / Avulsos"))))</f>
        <v/>
      </c>
      <c r="R502" s="64">
        <f>IF(C502="","",IF(ISNUMBER(SEARCH("PCMSO",C502)),"Título com PCMSO no nome",IF(OR(ISNUMBER(SEARCH("E-SOCIAL",C502)),ISNUMBER(SEARCH("PSICOSOCIAL",C502))),"Título com eSocial/Psicossocial no nome",IF(O502="Receita recorrente","Tipo DRE recorrente","Extra sem palavra-chave específica"))))</f>
        <v/>
      </c>
      <c r="S502" s="92">
        <f>IFERROR(VLOOKUP($A502,'13. Mapa Títulos-Receita'!$A$8:$P$1000,4,FALSE),"")</f>
        <v/>
      </c>
      <c r="T502" s="92">
        <f>IFERROR(VLOOKUP($A502,'13. Mapa Títulos-Receita'!$A$8:$P$1000,5,FALSE),"")</f>
        <v/>
      </c>
      <c r="U502" s="92">
        <f>IFERROR(VLOOKUP($A502,'13. Mapa Títulos-Receita'!$A$8:$P$1000,6,FALSE),"")</f>
        <v/>
      </c>
      <c r="V502" s="92">
        <f>IFERROR(VLOOKUP($A502,'13. Mapa Títulos-Receita'!$A$8:$P$1000,7,FALSE),"")</f>
        <v/>
      </c>
      <c r="W502" s="92">
        <f>IFERROR(VLOOKUP($A502,'13. Mapa Títulos-Receita'!$A$8:$P$1000,8,FALSE),"")</f>
        <v/>
      </c>
      <c r="X502" s="92">
        <f>IFERROR(VLOOKUP($A502,'13. Mapa Títulos-Receita'!$A$8:$P$1000,9,FALSE),"")</f>
        <v/>
      </c>
      <c r="Y502" s="92">
        <f>IFERROR(VLOOKUP($A502,'13. Mapa Títulos-Receita'!$A$8:$P$1000,10,FALSE),"")</f>
        <v/>
      </c>
      <c r="Z502" s="92">
        <f>IFERROR(VLOOKUP($A502,'13. Mapa Títulos-Receita'!$A$8:$P$1000,11,FALSE),"")</f>
        <v/>
      </c>
      <c r="AA502" s="92">
        <f>IFERROR(VLOOKUP($A502,'13. Mapa Títulos-Receita'!$A$8:$P$1000,12,FALSE),"")</f>
        <v/>
      </c>
      <c r="AB502" s="92">
        <f>IFERROR(VLOOKUP($A502,'13. Mapa Títulos-Receita'!$A$8:$P$1000,13,FALSE),"")</f>
        <v/>
      </c>
      <c r="AC502" s="92">
        <f>IFERROR(VLOOKUP($A502,'13. Mapa Títulos-Receita'!$A$8:$P$1000,14,FALSE),"")</f>
        <v/>
      </c>
      <c r="AD502" s="92">
        <f>IFERROR(VLOOKUP($A502,'13. Mapa Títulos-Receita'!$A$8:$P$1000,15,FALSE),"")</f>
        <v/>
      </c>
      <c r="AE502" s="92">
        <f>IFERROR(VLOOKUP($A502,'13. Mapa Títulos-Receita'!$A$8:$P$1000,16,FALSE),"")</f>
        <v/>
      </c>
    </row>
    <row r="503">
      <c r="A503" s="28">
        <f>IF(C503="","", "CR-"&amp;TEXT(ROW()-7,"000"))</f>
        <v/>
      </c>
      <c r="B503" s="28" t="n"/>
      <c r="C503" s="28" t="n"/>
      <c r="D503" s="111" t="n"/>
      <c r="E503" s="111" t="n"/>
      <c r="F503" s="111" t="n"/>
      <c r="G503" s="28" t="n"/>
      <c r="H503" s="45" t="n"/>
      <c r="I503" s="45" t="n"/>
      <c r="J503" s="28">
        <f>IF(H503="","",IF(I503&gt;=H503,"Recebido",IF($B$4&gt;E503,"Vencido","Aberto")))</f>
        <v/>
      </c>
      <c r="K503" s="4">
        <f>IF(J503="","",IF(OR(J503="Recebido",F503=""),MAX(0,F503-E503),MAX(0,$B$4-E503)))</f>
        <v/>
      </c>
      <c r="L503" s="4">
        <f>IF(K503="","",IF(K503=0,"Em dia",IF(K503&lt;=30,"1-30 dias",IF(K503&lt;=60,"31-60 dias",IF(K503&lt;=90,"61-90 dias","&gt;90 dias")))))</f>
        <v/>
      </c>
      <c r="M503" s="28" t="n"/>
      <c r="N503" s="104" t="inlineStr"/>
      <c r="O503" s="64" t="n"/>
      <c r="P503" s="64">
        <f>IF(C503="","",IF(ISNUMBER(SEARCH("PCMSO",C503)),"PCMSO",IF(OR(ISNUMBER(SEARCH("E-SOCIAL",C503)),ISNUMBER(SEARCH("PSICOSOCIAL",C503))),"eSocial / Psicossocial",IF(O503="Receita recorrente","Carteira recorrente","Projetos / Laudos / Avulsos"))))</f>
        <v/>
      </c>
      <c r="Q503" s="64">
        <f>IF(P503="","",IF(P503="Carteira recorrente","Operação recorrente",IF(P503="PCMSO","Projetos PCMSO",IF(P503="eSocial / Psicossocial","Projetos eSocial/Psicossocial","Projetos / Laudos / Avulsos"))))</f>
        <v/>
      </c>
      <c r="R503" s="64">
        <f>IF(C503="","",IF(ISNUMBER(SEARCH("PCMSO",C503)),"Título com PCMSO no nome",IF(OR(ISNUMBER(SEARCH("E-SOCIAL",C503)),ISNUMBER(SEARCH("PSICOSOCIAL",C503))),"Título com eSocial/Psicossocial no nome",IF(O503="Receita recorrente","Tipo DRE recorrente","Extra sem palavra-chave específica"))))</f>
        <v/>
      </c>
      <c r="S503" s="92">
        <f>IFERROR(VLOOKUP($A503,'13. Mapa Títulos-Receita'!$A$8:$P$1000,4,FALSE),"")</f>
        <v/>
      </c>
      <c r="T503" s="92">
        <f>IFERROR(VLOOKUP($A503,'13. Mapa Títulos-Receita'!$A$8:$P$1000,5,FALSE),"")</f>
        <v/>
      </c>
      <c r="U503" s="92">
        <f>IFERROR(VLOOKUP($A503,'13. Mapa Títulos-Receita'!$A$8:$P$1000,6,FALSE),"")</f>
        <v/>
      </c>
      <c r="V503" s="92">
        <f>IFERROR(VLOOKUP($A503,'13. Mapa Títulos-Receita'!$A$8:$P$1000,7,FALSE),"")</f>
        <v/>
      </c>
      <c r="W503" s="92">
        <f>IFERROR(VLOOKUP($A503,'13. Mapa Títulos-Receita'!$A$8:$P$1000,8,FALSE),"")</f>
        <v/>
      </c>
      <c r="X503" s="92">
        <f>IFERROR(VLOOKUP($A503,'13. Mapa Títulos-Receita'!$A$8:$P$1000,9,FALSE),"")</f>
        <v/>
      </c>
      <c r="Y503" s="92">
        <f>IFERROR(VLOOKUP($A503,'13. Mapa Títulos-Receita'!$A$8:$P$1000,10,FALSE),"")</f>
        <v/>
      </c>
      <c r="Z503" s="92">
        <f>IFERROR(VLOOKUP($A503,'13. Mapa Títulos-Receita'!$A$8:$P$1000,11,FALSE),"")</f>
        <v/>
      </c>
      <c r="AA503" s="92">
        <f>IFERROR(VLOOKUP($A503,'13. Mapa Títulos-Receita'!$A$8:$P$1000,12,FALSE),"")</f>
        <v/>
      </c>
      <c r="AB503" s="92">
        <f>IFERROR(VLOOKUP($A503,'13. Mapa Títulos-Receita'!$A$8:$P$1000,13,FALSE),"")</f>
        <v/>
      </c>
      <c r="AC503" s="92">
        <f>IFERROR(VLOOKUP($A503,'13. Mapa Títulos-Receita'!$A$8:$P$1000,14,FALSE),"")</f>
        <v/>
      </c>
      <c r="AD503" s="92">
        <f>IFERROR(VLOOKUP($A503,'13. Mapa Títulos-Receita'!$A$8:$P$1000,15,FALSE),"")</f>
        <v/>
      </c>
      <c r="AE503" s="92">
        <f>IFERROR(VLOOKUP($A503,'13. Mapa Títulos-Receita'!$A$8:$P$1000,16,FALSE),"")</f>
        <v/>
      </c>
    </row>
    <row r="504">
      <c r="A504" s="28">
        <f>IF(C504="","", "CR-"&amp;TEXT(ROW()-7,"000"))</f>
        <v/>
      </c>
      <c r="B504" s="28" t="n"/>
      <c r="C504" s="28" t="n"/>
      <c r="D504" s="111" t="n"/>
      <c r="E504" s="111" t="n"/>
      <c r="F504" s="111" t="n"/>
      <c r="G504" s="28" t="n"/>
      <c r="H504" s="45" t="n"/>
      <c r="I504" s="45" t="n"/>
      <c r="J504" s="28">
        <f>IF(H504="","",IF(I504&gt;=H504,"Recebido",IF($B$4&gt;E504,"Vencido","Aberto")))</f>
        <v/>
      </c>
      <c r="K504" s="4">
        <f>IF(J504="","",IF(OR(J504="Recebido",F504=""),MAX(0,F504-E504),MAX(0,$B$4-E504)))</f>
        <v/>
      </c>
      <c r="L504" s="4">
        <f>IF(K504="","",IF(K504=0,"Em dia",IF(K504&lt;=30,"1-30 dias",IF(K504&lt;=60,"31-60 dias",IF(K504&lt;=90,"61-90 dias","&gt;90 dias")))))</f>
        <v/>
      </c>
      <c r="M504" s="28" t="n"/>
      <c r="N504" s="104" t="inlineStr"/>
      <c r="O504" s="64" t="n"/>
      <c r="P504" s="64">
        <f>IF(C504="","",IF(ISNUMBER(SEARCH("PCMSO",C504)),"PCMSO",IF(OR(ISNUMBER(SEARCH("E-SOCIAL",C504)),ISNUMBER(SEARCH("PSICOSOCIAL",C504))),"eSocial / Psicossocial",IF(O504="Receita recorrente","Carteira recorrente","Projetos / Laudos / Avulsos"))))</f>
        <v/>
      </c>
      <c r="Q504" s="64">
        <f>IF(P504="","",IF(P504="Carteira recorrente","Operação recorrente",IF(P504="PCMSO","Projetos PCMSO",IF(P504="eSocial / Psicossocial","Projetos eSocial/Psicossocial","Projetos / Laudos / Avulsos"))))</f>
        <v/>
      </c>
      <c r="R504" s="64">
        <f>IF(C504="","",IF(ISNUMBER(SEARCH("PCMSO",C504)),"Título com PCMSO no nome",IF(OR(ISNUMBER(SEARCH("E-SOCIAL",C504)),ISNUMBER(SEARCH("PSICOSOCIAL",C504))),"Título com eSocial/Psicossocial no nome",IF(O504="Receita recorrente","Tipo DRE recorrente","Extra sem palavra-chave específica"))))</f>
        <v/>
      </c>
      <c r="S504" s="92">
        <f>IFERROR(VLOOKUP($A504,'13. Mapa Títulos-Receita'!$A$8:$P$1000,4,FALSE),"")</f>
        <v/>
      </c>
      <c r="T504" s="92">
        <f>IFERROR(VLOOKUP($A504,'13. Mapa Títulos-Receita'!$A$8:$P$1000,5,FALSE),"")</f>
        <v/>
      </c>
      <c r="U504" s="92">
        <f>IFERROR(VLOOKUP($A504,'13. Mapa Títulos-Receita'!$A$8:$P$1000,6,FALSE),"")</f>
        <v/>
      </c>
      <c r="V504" s="92">
        <f>IFERROR(VLOOKUP($A504,'13. Mapa Títulos-Receita'!$A$8:$P$1000,7,FALSE),"")</f>
        <v/>
      </c>
      <c r="W504" s="92">
        <f>IFERROR(VLOOKUP($A504,'13. Mapa Títulos-Receita'!$A$8:$P$1000,8,FALSE),"")</f>
        <v/>
      </c>
      <c r="X504" s="92">
        <f>IFERROR(VLOOKUP($A504,'13. Mapa Títulos-Receita'!$A$8:$P$1000,9,FALSE),"")</f>
        <v/>
      </c>
      <c r="Y504" s="92">
        <f>IFERROR(VLOOKUP($A504,'13. Mapa Títulos-Receita'!$A$8:$P$1000,10,FALSE),"")</f>
        <v/>
      </c>
      <c r="Z504" s="92">
        <f>IFERROR(VLOOKUP($A504,'13. Mapa Títulos-Receita'!$A$8:$P$1000,11,FALSE),"")</f>
        <v/>
      </c>
      <c r="AA504" s="92">
        <f>IFERROR(VLOOKUP($A504,'13. Mapa Títulos-Receita'!$A$8:$P$1000,12,FALSE),"")</f>
        <v/>
      </c>
      <c r="AB504" s="92">
        <f>IFERROR(VLOOKUP($A504,'13. Mapa Títulos-Receita'!$A$8:$P$1000,13,FALSE),"")</f>
        <v/>
      </c>
      <c r="AC504" s="92">
        <f>IFERROR(VLOOKUP($A504,'13. Mapa Títulos-Receita'!$A$8:$P$1000,14,FALSE),"")</f>
        <v/>
      </c>
      <c r="AD504" s="92">
        <f>IFERROR(VLOOKUP($A504,'13. Mapa Títulos-Receita'!$A$8:$P$1000,15,FALSE),"")</f>
        <v/>
      </c>
      <c r="AE504" s="92">
        <f>IFERROR(VLOOKUP($A504,'13. Mapa Títulos-Receita'!$A$8:$P$1000,16,FALSE),"")</f>
        <v/>
      </c>
    </row>
    <row r="505">
      <c r="A505" s="28">
        <f>IF(C505="","", "CR-"&amp;TEXT(ROW()-7,"000"))</f>
        <v/>
      </c>
      <c r="B505" s="28" t="n"/>
      <c r="C505" s="28" t="n"/>
      <c r="D505" s="111" t="n"/>
      <c r="E505" s="111" t="n"/>
      <c r="F505" s="111" t="n"/>
      <c r="G505" s="28" t="n"/>
      <c r="H505" s="45" t="n"/>
      <c r="I505" s="45" t="n"/>
      <c r="J505" s="28">
        <f>IF(H505="","",IF(I505&gt;=H505,"Recebido",IF($B$4&gt;E505,"Vencido","Aberto")))</f>
        <v/>
      </c>
      <c r="K505" s="4">
        <f>IF(J505="","",IF(OR(J505="Recebido",F505=""),MAX(0,F505-E505),MAX(0,$B$4-E505)))</f>
        <v/>
      </c>
      <c r="L505" s="4">
        <f>IF(K505="","",IF(K505=0,"Em dia",IF(K505&lt;=30,"1-30 dias",IF(K505&lt;=60,"31-60 dias",IF(K505&lt;=90,"61-90 dias","&gt;90 dias")))))</f>
        <v/>
      </c>
      <c r="M505" s="28" t="n"/>
      <c r="N505" s="104" t="inlineStr"/>
      <c r="O505" s="64" t="n"/>
      <c r="P505" s="64">
        <f>IF(C505="","",IF(ISNUMBER(SEARCH("PCMSO",C505)),"PCMSO",IF(OR(ISNUMBER(SEARCH("E-SOCIAL",C505)),ISNUMBER(SEARCH("PSICOSOCIAL",C505))),"eSocial / Psicossocial",IF(O505="Receita recorrente","Carteira recorrente","Projetos / Laudos / Avulsos"))))</f>
        <v/>
      </c>
      <c r="Q505" s="64">
        <f>IF(P505="","",IF(P505="Carteira recorrente","Operação recorrente",IF(P505="PCMSO","Projetos PCMSO",IF(P505="eSocial / Psicossocial","Projetos eSocial/Psicossocial","Projetos / Laudos / Avulsos"))))</f>
        <v/>
      </c>
      <c r="R505" s="64">
        <f>IF(C505="","",IF(ISNUMBER(SEARCH("PCMSO",C505)),"Título com PCMSO no nome",IF(OR(ISNUMBER(SEARCH("E-SOCIAL",C505)),ISNUMBER(SEARCH("PSICOSOCIAL",C505))),"Título com eSocial/Psicossocial no nome",IF(O505="Receita recorrente","Tipo DRE recorrente","Extra sem palavra-chave específica"))))</f>
        <v/>
      </c>
      <c r="S505" s="92">
        <f>IFERROR(VLOOKUP($A505,'13. Mapa Títulos-Receita'!$A$8:$P$1000,4,FALSE),"")</f>
        <v/>
      </c>
      <c r="T505" s="92">
        <f>IFERROR(VLOOKUP($A505,'13. Mapa Títulos-Receita'!$A$8:$P$1000,5,FALSE),"")</f>
        <v/>
      </c>
      <c r="U505" s="92">
        <f>IFERROR(VLOOKUP($A505,'13. Mapa Títulos-Receita'!$A$8:$P$1000,6,FALSE),"")</f>
        <v/>
      </c>
      <c r="V505" s="92">
        <f>IFERROR(VLOOKUP($A505,'13. Mapa Títulos-Receita'!$A$8:$P$1000,7,FALSE),"")</f>
        <v/>
      </c>
      <c r="W505" s="92">
        <f>IFERROR(VLOOKUP($A505,'13. Mapa Títulos-Receita'!$A$8:$P$1000,8,FALSE),"")</f>
        <v/>
      </c>
      <c r="X505" s="92">
        <f>IFERROR(VLOOKUP($A505,'13. Mapa Títulos-Receita'!$A$8:$P$1000,9,FALSE),"")</f>
        <v/>
      </c>
      <c r="Y505" s="92">
        <f>IFERROR(VLOOKUP($A505,'13. Mapa Títulos-Receita'!$A$8:$P$1000,10,FALSE),"")</f>
        <v/>
      </c>
      <c r="Z505" s="92">
        <f>IFERROR(VLOOKUP($A505,'13. Mapa Títulos-Receita'!$A$8:$P$1000,11,FALSE),"")</f>
        <v/>
      </c>
      <c r="AA505" s="92">
        <f>IFERROR(VLOOKUP($A505,'13. Mapa Títulos-Receita'!$A$8:$P$1000,12,FALSE),"")</f>
        <v/>
      </c>
      <c r="AB505" s="92">
        <f>IFERROR(VLOOKUP($A505,'13. Mapa Títulos-Receita'!$A$8:$P$1000,13,FALSE),"")</f>
        <v/>
      </c>
      <c r="AC505" s="92">
        <f>IFERROR(VLOOKUP($A505,'13. Mapa Títulos-Receita'!$A$8:$P$1000,14,FALSE),"")</f>
        <v/>
      </c>
      <c r="AD505" s="92">
        <f>IFERROR(VLOOKUP($A505,'13. Mapa Títulos-Receita'!$A$8:$P$1000,15,FALSE),"")</f>
        <v/>
      </c>
      <c r="AE505" s="92">
        <f>IFERROR(VLOOKUP($A505,'13. Mapa Títulos-Receita'!$A$8:$P$1000,16,FALSE),"")</f>
        <v/>
      </c>
    </row>
    <row r="506">
      <c r="A506" s="28">
        <f>IF(C506="","", "CR-"&amp;TEXT(ROW()-7,"000"))</f>
        <v/>
      </c>
      <c r="B506" s="28" t="n"/>
      <c r="C506" s="28" t="n"/>
      <c r="D506" s="111" t="n"/>
      <c r="E506" s="111" t="n"/>
      <c r="F506" s="111" t="n"/>
      <c r="G506" s="28" t="n"/>
      <c r="H506" s="45" t="n"/>
      <c r="I506" s="45" t="n"/>
      <c r="J506" s="28">
        <f>IF(H506="","",IF(I506&gt;=H506,"Recebido",IF($B$4&gt;E506,"Vencido","Aberto")))</f>
        <v/>
      </c>
      <c r="K506" s="4">
        <f>IF(J506="","",IF(OR(J506="Recebido",F506=""),MAX(0,F506-E506),MAX(0,$B$4-E506)))</f>
        <v/>
      </c>
      <c r="L506" s="4">
        <f>IF(K506="","",IF(K506=0,"Em dia",IF(K506&lt;=30,"1-30 dias",IF(K506&lt;=60,"31-60 dias",IF(K506&lt;=90,"61-90 dias","&gt;90 dias")))))</f>
        <v/>
      </c>
      <c r="M506" s="28" t="n"/>
      <c r="N506" s="104" t="inlineStr"/>
      <c r="O506" s="64" t="n"/>
      <c r="P506" s="64">
        <f>IF(C506="","",IF(ISNUMBER(SEARCH("PCMSO",C506)),"PCMSO",IF(OR(ISNUMBER(SEARCH("E-SOCIAL",C506)),ISNUMBER(SEARCH("PSICOSOCIAL",C506))),"eSocial / Psicossocial",IF(O506="Receita recorrente","Carteira recorrente","Projetos / Laudos / Avulsos"))))</f>
        <v/>
      </c>
      <c r="Q506" s="64">
        <f>IF(P506="","",IF(P506="Carteira recorrente","Operação recorrente",IF(P506="PCMSO","Projetos PCMSO",IF(P506="eSocial / Psicossocial","Projetos eSocial/Psicossocial","Projetos / Laudos / Avulsos"))))</f>
        <v/>
      </c>
      <c r="R506" s="64">
        <f>IF(C506="","",IF(ISNUMBER(SEARCH("PCMSO",C506)),"Título com PCMSO no nome",IF(OR(ISNUMBER(SEARCH("E-SOCIAL",C506)),ISNUMBER(SEARCH("PSICOSOCIAL",C506))),"Título com eSocial/Psicossocial no nome",IF(O506="Receita recorrente","Tipo DRE recorrente","Extra sem palavra-chave específica"))))</f>
        <v/>
      </c>
      <c r="S506" s="92">
        <f>IFERROR(VLOOKUP($A506,'13. Mapa Títulos-Receita'!$A$8:$P$1000,4,FALSE),"")</f>
        <v/>
      </c>
      <c r="T506" s="92">
        <f>IFERROR(VLOOKUP($A506,'13. Mapa Títulos-Receita'!$A$8:$P$1000,5,FALSE),"")</f>
        <v/>
      </c>
      <c r="U506" s="92">
        <f>IFERROR(VLOOKUP($A506,'13. Mapa Títulos-Receita'!$A$8:$P$1000,6,FALSE),"")</f>
        <v/>
      </c>
      <c r="V506" s="92">
        <f>IFERROR(VLOOKUP($A506,'13. Mapa Títulos-Receita'!$A$8:$P$1000,7,FALSE),"")</f>
        <v/>
      </c>
      <c r="W506" s="92">
        <f>IFERROR(VLOOKUP($A506,'13. Mapa Títulos-Receita'!$A$8:$P$1000,8,FALSE),"")</f>
        <v/>
      </c>
      <c r="X506" s="92">
        <f>IFERROR(VLOOKUP($A506,'13. Mapa Títulos-Receita'!$A$8:$P$1000,9,FALSE),"")</f>
        <v/>
      </c>
      <c r="Y506" s="92">
        <f>IFERROR(VLOOKUP($A506,'13. Mapa Títulos-Receita'!$A$8:$P$1000,10,FALSE),"")</f>
        <v/>
      </c>
      <c r="Z506" s="92">
        <f>IFERROR(VLOOKUP($A506,'13. Mapa Títulos-Receita'!$A$8:$P$1000,11,FALSE),"")</f>
        <v/>
      </c>
      <c r="AA506" s="92">
        <f>IFERROR(VLOOKUP($A506,'13. Mapa Títulos-Receita'!$A$8:$P$1000,12,FALSE),"")</f>
        <v/>
      </c>
      <c r="AB506" s="92">
        <f>IFERROR(VLOOKUP($A506,'13. Mapa Títulos-Receita'!$A$8:$P$1000,13,FALSE),"")</f>
        <v/>
      </c>
      <c r="AC506" s="92">
        <f>IFERROR(VLOOKUP($A506,'13. Mapa Títulos-Receita'!$A$8:$P$1000,14,FALSE),"")</f>
        <v/>
      </c>
      <c r="AD506" s="92">
        <f>IFERROR(VLOOKUP($A506,'13. Mapa Títulos-Receita'!$A$8:$P$1000,15,FALSE),"")</f>
        <v/>
      </c>
      <c r="AE506" s="92">
        <f>IFERROR(VLOOKUP($A506,'13. Mapa Títulos-Receita'!$A$8:$P$1000,16,FALSE),"")</f>
        <v/>
      </c>
    </row>
    <row r="507">
      <c r="A507" s="28">
        <f>IF(C507="","", "CR-"&amp;TEXT(ROW()-7,"000"))</f>
        <v/>
      </c>
      <c r="B507" s="28" t="n"/>
      <c r="C507" s="28" t="n"/>
      <c r="D507" s="111" t="n"/>
      <c r="E507" s="111" t="n"/>
      <c r="F507" s="111" t="n"/>
      <c r="G507" s="28" t="n"/>
      <c r="H507" s="45" t="n"/>
      <c r="I507" s="45" t="n"/>
      <c r="J507" s="28">
        <f>IF(H507="","",IF(I507&gt;=H507,"Recebido",IF($B$4&gt;E507,"Vencido","Aberto")))</f>
        <v/>
      </c>
      <c r="K507" s="4">
        <f>IF(J507="","",IF(OR(J507="Recebido",F507=""),MAX(0,F507-E507),MAX(0,$B$4-E507)))</f>
        <v/>
      </c>
      <c r="L507" s="4">
        <f>IF(K507="","",IF(K507=0,"Em dia",IF(K507&lt;=30,"1-30 dias",IF(K507&lt;=60,"31-60 dias",IF(K507&lt;=90,"61-90 dias","&gt;90 dias")))))</f>
        <v/>
      </c>
      <c r="M507" s="28" t="n"/>
      <c r="N507" s="104" t="inlineStr"/>
      <c r="O507" s="64" t="n"/>
      <c r="P507" s="64">
        <f>IF(C507="","",IF(ISNUMBER(SEARCH("PCMSO",C507)),"PCMSO",IF(OR(ISNUMBER(SEARCH("E-SOCIAL",C507)),ISNUMBER(SEARCH("PSICOSOCIAL",C507))),"eSocial / Psicossocial",IF(O507="Receita recorrente","Carteira recorrente","Projetos / Laudos / Avulsos"))))</f>
        <v/>
      </c>
      <c r="Q507" s="64">
        <f>IF(P507="","",IF(P507="Carteira recorrente","Operação recorrente",IF(P507="PCMSO","Projetos PCMSO",IF(P507="eSocial / Psicossocial","Projetos eSocial/Psicossocial","Projetos / Laudos / Avulsos"))))</f>
        <v/>
      </c>
      <c r="R507" s="64">
        <f>IF(C507="","",IF(ISNUMBER(SEARCH("PCMSO",C507)),"Título com PCMSO no nome",IF(OR(ISNUMBER(SEARCH("E-SOCIAL",C507)),ISNUMBER(SEARCH("PSICOSOCIAL",C507))),"Título com eSocial/Psicossocial no nome",IF(O507="Receita recorrente","Tipo DRE recorrente","Extra sem palavra-chave específica"))))</f>
        <v/>
      </c>
      <c r="S507" s="92">
        <f>IFERROR(VLOOKUP($A507,'13. Mapa Títulos-Receita'!$A$8:$P$1000,4,FALSE),"")</f>
        <v/>
      </c>
      <c r="T507" s="92">
        <f>IFERROR(VLOOKUP($A507,'13. Mapa Títulos-Receita'!$A$8:$P$1000,5,FALSE),"")</f>
        <v/>
      </c>
      <c r="U507" s="92">
        <f>IFERROR(VLOOKUP($A507,'13. Mapa Títulos-Receita'!$A$8:$P$1000,6,FALSE),"")</f>
        <v/>
      </c>
      <c r="V507" s="92">
        <f>IFERROR(VLOOKUP($A507,'13. Mapa Títulos-Receita'!$A$8:$P$1000,7,FALSE),"")</f>
        <v/>
      </c>
      <c r="W507" s="92">
        <f>IFERROR(VLOOKUP($A507,'13. Mapa Títulos-Receita'!$A$8:$P$1000,8,FALSE),"")</f>
        <v/>
      </c>
      <c r="X507" s="92">
        <f>IFERROR(VLOOKUP($A507,'13. Mapa Títulos-Receita'!$A$8:$P$1000,9,FALSE),"")</f>
        <v/>
      </c>
      <c r="Y507" s="92">
        <f>IFERROR(VLOOKUP($A507,'13. Mapa Títulos-Receita'!$A$8:$P$1000,10,FALSE),"")</f>
        <v/>
      </c>
      <c r="Z507" s="92">
        <f>IFERROR(VLOOKUP($A507,'13. Mapa Títulos-Receita'!$A$8:$P$1000,11,FALSE),"")</f>
        <v/>
      </c>
      <c r="AA507" s="92">
        <f>IFERROR(VLOOKUP($A507,'13. Mapa Títulos-Receita'!$A$8:$P$1000,12,FALSE),"")</f>
        <v/>
      </c>
      <c r="AB507" s="92">
        <f>IFERROR(VLOOKUP($A507,'13. Mapa Títulos-Receita'!$A$8:$P$1000,13,FALSE),"")</f>
        <v/>
      </c>
      <c r="AC507" s="92">
        <f>IFERROR(VLOOKUP($A507,'13. Mapa Títulos-Receita'!$A$8:$P$1000,14,FALSE),"")</f>
        <v/>
      </c>
      <c r="AD507" s="92">
        <f>IFERROR(VLOOKUP($A507,'13. Mapa Títulos-Receita'!$A$8:$P$1000,15,FALSE),"")</f>
        <v/>
      </c>
      <c r="AE507" s="92">
        <f>IFERROR(VLOOKUP($A507,'13. Mapa Títulos-Receita'!$A$8:$P$1000,16,FALSE),"")</f>
        <v/>
      </c>
    </row>
    <row r="508">
      <c r="A508" s="28">
        <f>IF(C508="","", "CR-"&amp;TEXT(ROW()-7,"000"))</f>
        <v/>
      </c>
      <c r="B508" s="28" t="n"/>
      <c r="C508" s="28" t="n"/>
      <c r="D508" s="111" t="n"/>
      <c r="E508" s="111" t="n"/>
      <c r="F508" s="111" t="n"/>
      <c r="G508" s="28" t="n"/>
      <c r="H508" s="45" t="n"/>
      <c r="I508" s="45" t="n"/>
      <c r="J508" s="28">
        <f>IF(H508="","",IF(I508&gt;=H508,"Recebido",IF($B$4&gt;E508,"Vencido","Aberto")))</f>
        <v/>
      </c>
      <c r="K508" s="4">
        <f>IF(J508="","",IF(OR(J508="Recebido",F508=""),MAX(0,F508-E508),MAX(0,$B$4-E508)))</f>
        <v/>
      </c>
      <c r="L508" s="4">
        <f>IF(K508="","",IF(K508=0,"Em dia",IF(K508&lt;=30,"1-30 dias",IF(K508&lt;=60,"31-60 dias",IF(K508&lt;=90,"61-90 dias","&gt;90 dias")))))</f>
        <v/>
      </c>
      <c r="M508" s="28" t="n"/>
      <c r="N508" s="104" t="inlineStr"/>
      <c r="O508" s="64" t="n"/>
      <c r="P508" s="64">
        <f>IF(C508="","",IF(ISNUMBER(SEARCH("PCMSO",C508)),"PCMSO",IF(OR(ISNUMBER(SEARCH("E-SOCIAL",C508)),ISNUMBER(SEARCH("PSICOSOCIAL",C508))),"eSocial / Psicossocial",IF(O508="Receita recorrente","Carteira recorrente","Projetos / Laudos / Avulsos"))))</f>
        <v/>
      </c>
      <c r="Q508" s="64">
        <f>IF(P508="","",IF(P508="Carteira recorrente","Operação recorrente",IF(P508="PCMSO","Projetos PCMSO",IF(P508="eSocial / Psicossocial","Projetos eSocial/Psicossocial","Projetos / Laudos / Avulsos"))))</f>
        <v/>
      </c>
      <c r="R508" s="64">
        <f>IF(C508="","",IF(ISNUMBER(SEARCH("PCMSO",C508)),"Título com PCMSO no nome",IF(OR(ISNUMBER(SEARCH("E-SOCIAL",C508)),ISNUMBER(SEARCH("PSICOSOCIAL",C508))),"Título com eSocial/Psicossocial no nome",IF(O508="Receita recorrente","Tipo DRE recorrente","Extra sem palavra-chave específica"))))</f>
        <v/>
      </c>
      <c r="S508" s="92">
        <f>IFERROR(VLOOKUP($A508,'13. Mapa Títulos-Receita'!$A$8:$P$1000,4,FALSE),"")</f>
        <v/>
      </c>
      <c r="T508" s="92">
        <f>IFERROR(VLOOKUP($A508,'13. Mapa Títulos-Receita'!$A$8:$P$1000,5,FALSE),"")</f>
        <v/>
      </c>
      <c r="U508" s="92">
        <f>IFERROR(VLOOKUP($A508,'13. Mapa Títulos-Receita'!$A$8:$P$1000,6,FALSE),"")</f>
        <v/>
      </c>
      <c r="V508" s="92">
        <f>IFERROR(VLOOKUP($A508,'13. Mapa Títulos-Receita'!$A$8:$P$1000,7,FALSE),"")</f>
        <v/>
      </c>
      <c r="W508" s="92">
        <f>IFERROR(VLOOKUP($A508,'13. Mapa Títulos-Receita'!$A$8:$P$1000,8,FALSE),"")</f>
        <v/>
      </c>
      <c r="X508" s="92">
        <f>IFERROR(VLOOKUP($A508,'13. Mapa Títulos-Receita'!$A$8:$P$1000,9,FALSE),"")</f>
        <v/>
      </c>
      <c r="Y508" s="92">
        <f>IFERROR(VLOOKUP($A508,'13. Mapa Títulos-Receita'!$A$8:$P$1000,10,FALSE),"")</f>
        <v/>
      </c>
      <c r="Z508" s="92">
        <f>IFERROR(VLOOKUP($A508,'13. Mapa Títulos-Receita'!$A$8:$P$1000,11,FALSE),"")</f>
        <v/>
      </c>
      <c r="AA508" s="92">
        <f>IFERROR(VLOOKUP($A508,'13. Mapa Títulos-Receita'!$A$8:$P$1000,12,FALSE),"")</f>
        <v/>
      </c>
      <c r="AB508" s="92">
        <f>IFERROR(VLOOKUP($A508,'13. Mapa Títulos-Receita'!$A$8:$P$1000,13,FALSE),"")</f>
        <v/>
      </c>
      <c r="AC508" s="92">
        <f>IFERROR(VLOOKUP($A508,'13. Mapa Títulos-Receita'!$A$8:$P$1000,14,FALSE),"")</f>
        <v/>
      </c>
      <c r="AD508" s="92">
        <f>IFERROR(VLOOKUP($A508,'13. Mapa Títulos-Receita'!$A$8:$P$1000,15,FALSE),"")</f>
        <v/>
      </c>
      <c r="AE508" s="92">
        <f>IFERROR(VLOOKUP($A508,'13. Mapa Títulos-Receita'!$A$8:$P$1000,16,FALSE),"")</f>
        <v/>
      </c>
    </row>
    <row r="509">
      <c r="A509" s="28">
        <f>IF(C509="","", "CR-"&amp;TEXT(ROW()-7,"000"))</f>
        <v/>
      </c>
      <c r="B509" s="28" t="n"/>
      <c r="C509" s="28" t="n"/>
      <c r="D509" s="111" t="n"/>
      <c r="E509" s="111" t="n"/>
      <c r="F509" s="111" t="n"/>
      <c r="G509" s="28" t="n"/>
      <c r="H509" s="45" t="n"/>
      <c r="I509" s="45" t="n"/>
      <c r="J509" s="28">
        <f>IF(H509="","",IF(I509&gt;=H509,"Recebido",IF($B$4&gt;E509,"Vencido","Aberto")))</f>
        <v/>
      </c>
      <c r="K509" s="4">
        <f>IF(J509="","",IF(OR(J509="Recebido",F509=""),MAX(0,F509-E509),MAX(0,$B$4-E509)))</f>
        <v/>
      </c>
      <c r="L509" s="4">
        <f>IF(K509="","",IF(K509=0,"Em dia",IF(K509&lt;=30,"1-30 dias",IF(K509&lt;=60,"31-60 dias",IF(K509&lt;=90,"61-90 dias","&gt;90 dias")))))</f>
        <v/>
      </c>
      <c r="M509" s="28" t="n"/>
      <c r="N509" s="104" t="inlineStr"/>
      <c r="O509" s="64" t="n"/>
      <c r="P509" s="64">
        <f>IF(C509="","",IF(ISNUMBER(SEARCH("PCMSO",C509)),"PCMSO",IF(OR(ISNUMBER(SEARCH("E-SOCIAL",C509)),ISNUMBER(SEARCH("PSICOSOCIAL",C509))),"eSocial / Psicossocial",IF(O509="Receita recorrente","Carteira recorrente","Projetos / Laudos / Avulsos"))))</f>
        <v/>
      </c>
      <c r="Q509" s="64">
        <f>IF(P509="","",IF(P509="Carteira recorrente","Operação recorrente",IF(P509="PCMSO","Projetos PCMSO",IF(P509="eSocial / Psicossocial","Projetos eSocial/Psicossocial","Projetos / Laudos / Avulsos"))))</f>
        <v/>
      </c>
      <c r="R509" s="64">
        <f>IF(C509="","",IF(ISNUMBER(SEARCH("PCMSO",C509)),"Título com PCMSO no nome",IF(OR(ISNUMBER(SEARCH("E-SOCIAL",C509)),ISNUMBER(SEARCH("PSICOSOCIAL",C509))),"Título com eSocial/Psicossocial no nome",IF(O509="Receita recorrente","Tipo DRE recorrente","Extra sem palavra-chave específica"))))</f>
        <v/>
      </c>
      <c r="S509" s="92">
        <f>IFERROR(VLOOKUP($A509,'13. Mapa Títulos-Receita'!$A$8:$P$1000,4,FALSE),"")</f>
        <v/>
      </c>
      <c r="T509" s="92">
        <f>IFERROR(VLOOKUP($A509,'13. Mapa Títulos-Receita'!$A$8:$P$1000,5,FALSE),"")</f>
        <v/>
      </c>
      <c r="U509" s="92">
        <f>IFERROR(VLOOKUP($A509,'13. Mapa Títulos-Receita'!$A$8:$P$1000,6,FALSE),"")</f>
        <v/>
      </c>
      <c r="V509" s="92">
        <f>IFERROR(VLOOKUP($A509,'13. Mapa Títulos-Receita'!$A$8:$P$1000,7,FALSE),"")</f>
        <v/>
      </c>
      <c r="W509" s="92">
        <f>IFERROR(VLOOKUP($A509,'13. Mapa Títulos-Receita'!$A$8:$P$1000,8,FALSE),"")</f>
        <v/>
      </c>
      <c r="X509" s="92">
        <f>IFERROR(VLOOKUP($A509,'13. Mapa Títulos-Receita'!$A$8:$P$1000,9,FALSE),"")</f>
        <v/>
      </c>
      <c r="Y509" s="92">
        <f>IFERROR(VLOOKUP($A509,'13. Mapa Títulos-Receita'!$A$8:$P$1000,10,FALSE),"")</f>
        <v/>
      </c>
      <c r="Z509" s="92">
        <f>IFERROR(VLOOKUP($A509,'13. Mapa Títulos-Receita'!$A$8:$P$1000,11,FALSE),"")</f>
        <v/>
      </c>
      <c r="AA509" s="92">
        <f>IFERROR(VLOOKUP($A509,'13. Mapa Títulos-Receita'!$A$8:$P$1000,12,FALSE),"")</f>
        <v/>
      </c>
      <c r="AB509" s="92">
        <f>IFERROR(VLOOKUP($A509,'13. Mapa Títulos-Receita'!$A$8:$P$1000,13,FALSE),"")</f>
        <v/>
      </c>
      <c r="AC509" s="92">
        <f>IFERROR(VLOOKUP($A509,'13. Mapa Títulos-Receita'!$A$8:$P$1000,14,FALSE),"")</f>
        <v/>
      </c>
      <c r="AD509" s="92">
        <f>IFERROR(VLOOKUP($A509,'13. Mapa Títulos-Receita'!$A$8:$P$1000,15,FALSE),"")</f>
        <v/>
      </c>
      <c r="AE509" s="92">
        <f>IFERROR(VLOOKUP($A509,'13. Mapa Títulos-Receita'!$A$8:$P$1000,16,FALSE),"")</f>
        <v/>
      </c>
    </row>
    <row r="510">
      <c r="A510" s="28">
        <f>IF(C510="","", "CR-"&amp;TEXT(ROW()-7,"000"))</f>
        <v/>
      </c>
      <c r="B510" s="28" t="n"/>
      <c r="C510" s="28" t="n"/>
      <c r="D510" s="111" t="n"/>
      <c r="E510" s="111" t="n"/>
      <c r="F510" s="111" t="n"/>
      <c r="G510" s="28" t="n"/>
      <c r="H510" s="45" t="n"/>
      <c r="I510" s="45" t="n"/>
      <c r="J510" s="28">
        <f>IF(H510="","",IF(I510&gt;=H510,"Recebido",IF($B$4&gt;E510,"Vencido","Aberto")))</f>
        <v/>
      </c>
      <c r="K510" s="4">
        <f>IF(J510="","",IF(OR(J510="Recebido",F510=""),MAX(0,F510-E510),MAX(0,$B$4-E510)))</f>
        <v/>
      </c>
      <c r="L510" s="4">
        <f>IF(K510="","",IF(K510=0,"Em dia",IF(K510&lt;=30,"1-30 dias",IF(K510&lt;=60,"31-60 dias",IF(K510&lt;=90,"61-90 dias","&gt;90 dias")))))</f>
        <v/>
      </c>
      <c r="M510" s="28" t="n"/>
      <c r="N510" s="104" t="inlineStr"/>
      <c r="O510" s="64" t="n"/>
      <c r="P510" s="64">
        <f>IF(C510="","",IF(ISNUMBER(SEARCH("PCMSO",C510)),"PCMSO",IF(OR(ISNUMBER(SEARCH("E-SOCIAL",C510)),ISNUMBER(SEARCH("PSICOSOCIAL",C510))),"eSocial / Psicossocial",IF(O510="Receita recorrente","Carteira recorrente","Projetos / Laudos / Avulsos"))))</f>
        <v/>
      </c>
      <c r="Q510" s="64">
        <f>IF(P510="","",IF(P510="Carteira recorrente","Operação recorrente",IF(P510="PCMSO","Projetos PCMSO",IF(P510="eSocial / Psicossocial","Projetos eSocial/Psicossocial","Projetos / Laudos / Avulsos"))))</f>
        <v/>
      </c>
      <c r="R510" s="64">
        <f>IF(C510="","",IF(ISNUMBER(SEARCH("PCMSO",C510)),"Título com PCMSO no nome",IF(OR(ISNUMBER(SEARCH("E-SOCIAL",C510)),ISNUMBER(SEARCH("PSICOSOCIAL",C510))),"Título com eSocial/Psicossocial no nome",IF(O510="Receita recorrente","Tipo DRE recorrente","Extra sem palavra-chave específica"))))</f>
        <v/>
      </c>
      <c r="S510" s="92">
        <f>IFERROR(VLOOKUP($A510,'13. Mapa Títulos-Receita'!$A$8:$P$1000,4,FALSE),"")</f>
        <v/>
      </c>
      <c r="T510" s="92">
        <f>IFERROR(VLOOKUP($A510,'13. Mapa Títulos-Receita'!$A$8:$P$1000,5,FALSE),"")</f>
        <v/>
      </c>
      <c r="U510" s="92">
        <f>IFERROR(VLOOKUP($A510,'13. Mapa Títulos-Receita'!$A$8:$P$1000,6,FALSE),"")</f>
        <v/>
      </c>
      <c r="V510" s="92">
        <f>IFERROR(VLOOKUP($A510,'13. Mapa Títulos-Receita'!$A$8:$P$1000,7,FALSE),"")</f>
        <v/>
      </c>
      <c r="W510" s="92">
        <f>IFERROR(VLOOKUP($A510,'13. Mapa Títulos-Receita'!$A$8:$P$1000,8,FALSE),"")</f>
        <v/>
      </c>
      <c r="X510" s="92">
        <f>IFERROR(VLOOKUP($A510,'13. Mapa Títulos-Receita'!$A$8:$P$1000,9,FALSE),"")</f>
        <v/>
      </c>
      <c r="Y510" s="92">
        <f>IFERROR(VLOOKUP($A510,'13. Mapa Títulos-Receita'!$A$8:$P$1000,10,FALSE),"")</f>
        <v/>
      </c>
      <c r="Z510" s="92">
        <f>IFERROR(VLOOKUP($A510,'13. Mapa Títulos-Receita'!$A$8:$P$1000,11,FALSE),"")</f>
        <v/>
      </c>
      <c r="AA510" s="92">
        <f>IFERROR(VLOOKUP($A510,'13. Mapa Títulos-Receita'!$A$8:$P$1000,12,FALSE),"")</f>
        <v/>
      </c>
      <c r="AB510" s="92">
        <f>IFERROR(VLOOKUP($A510,'13. Mapa Títulos-Receita'!$A$8:$P$1000,13,FALSE),"")</f>
        <v/>
      </c>
      <c r="AC510" s="92">
        <f>IFERROR(VLOOKUP($A510,'13. Mapa Títulos-Receita'!$A$8:$P$1000,14,FALSE),"")</f>
        <v/>
      </c>
      <c r="AD510" s="92">
        <f>IFERROR(VLOOKUP($A510,'13. Mapa Títulos-Receita'!$A$8:$P$1000,15,FALSE),"")</f>
        <v/>
      </c>
      <c r="AE510" s="92">
        <f>IFERROR(VLOOKUP($A510,'13. Mapa Títulos-Receita'!$A$8:$P$1000,16,FALSE),"")</f>
        <v/>
      </c>
    </row>
    <row r="511">
      <c r="A511" s="28">
        <f>IF(C511="","", "CR-"&amp;TEXT(ROW()-7,"000"))</f>
        <v/>
      </c>
      <c r="B511" s="28" t="n"/>
      <c r="C511" s="28" t="n"/>
      <c r="D511" s="111" t="n"/>
      <c r="E511" s="111" t="n"/>
      <c r="F511" s="111" t="n"/>
      <c r="G511" s="28" t="n"/>
      <c r="H511" s="45" t="n"/>
      <c r="I511" s="45" t="n"/>
      <c r="J511" s="28">
        <f>IF(H511="","",IF(I511&gt;=H511,"Recebido",IF($B$4&gt;E511,"Vencido","Aberto")))</f>
        <v/>
      </c>
      <c r="K511" s="4">
        <f>IF(J511="","",IF(OR(J511="Recebido",F511=""),MAX(0,F511-E511),MAX(0,$B$4-E511)))</f>
        <v/>
      </c>
      <c r="L511" s="4">
        <f>IF(K511="","",IF(K511=0,"Em dia",IF(K511&lt;=30,"1-30 dias",IF(K511&lt;=60,"31-60 dias",IF(K511&lt;=90,"61-90 dias","&gt;90 dias")))))</f>
        <v/>
      </c>
      <c r="M511" s="28" t="n"/>
      <c r="N511" s="104" t="inlineStr"/>
      <c r="O511" s="64" t="n"/>
      <c r="P511" s="64">
        <f>IF(C511="","",IF(ISNUMBER(SEARCH("PCMSO",C511)),"PCMSO",IF(OR(ISNUMBER(SEARCH("E-SOCIAL",C511)),ISNUMBER(SEARCH("PSICOSOCIAL",C511))),"eSocial / Psicossocial",IF(O511="Receita recorrente","Carteira recorrente","Projetos / Laudos / Avulsos"))))</f>
        <v/>
      </c>
      <c r="Q511" s="64">
        <f>IF(P511="","",IF(P511="Carteira recorrente","Operação recorrente",IF(P511="PCMSO","Projetos PCMSO",IF(P511="eSocial / Psicossocial","Projetos eSocial/Psicossocial","Projetos / Laudos / Avulsos"))))</f>
        <v/>
      </c>
      <c r="R511" s="64">
        <f>IF(C511="","",IF(ISNUMBER(SEARCH("PCMSO",C511)),"Título com PCMSO no nome",IF(OR(ISNUMBER(SEARCH("E-SOCIAL",C511)),ISNUMBER(SEARCH("PSICOSOCIAL",C511))),"Título com eSocial/Psicossocial no nome",IF(O511="Receita recorrente","Tipo DRE recorrente","Extra sem palavra-chave específica"))))</f>
        <v/>
      </c>
      <c r="S511" s="92">
        <f>IFERROR(VLOOKUP($A511,'13. Mapa Títulos-Receita'!$A$8:$P$1000,4,FALSE),"")</f>
        <v/>
      </c>
      <c r="T511" s="92">
        <f>IFERROR(VLOOKUP($A511,'13. Mapa Títulos-Receita'!$A$8:$P$1000,5,FALSE),"")</f>
        <v/>
      </c>
      <c r="U511" s="92">
        <f>IFERROR(VLOOKUP($A511,'13. Mapa Títulos-Receita'!$A$8:$P$1000,6,FALSE),"")</f>
        <v/>
      </c>
      <c r="V511" s="92">
        <f>IFERROR(VLOOKUP($A511,'13. Mapa Títulos-Receita'!$A$8:$P$1000,7,FALSE),"")</f>
        <v/>
      </c>
      <c r="W511" s="92">
        <f>IFERROR(VLOOKUP($A511,'13. Mapa Títulos-Receita'!$A$8:$P$1000,8,FALSE),"")</f>
        <v/>
      </c>
      <c r="X511" s="92">
        <f>IFERROR(VLOOKUP($A511,'13. Mapa Títulos-Receita'!$A$8:$P$1000,9,FALSE),"")</f>
        <v/>
      </c>
      <c r="Y511" s="92">
        <f>IFERROR(VLOOKUP($A511,'13. Mapa Títulos-Receita'!$A$8:$P$1000,10,FALSE),"")</f>
        <v/>
      </c>
      <c r="Z511" s="92">
        <f>IFERROR(VLOOKUP($A511,'13. Mapa Títulos-Receita'!$A$8:$P$1000,11,FALSE),"")</f>
        <v/>
      </c>
      <c r="AA511" s="92">
        <f>IFERROR(VLOOKUP($A511,'13. Mapa Títulos-Receita'!$A$8:$P$1000,12,FALSE),"")</f>
        <v/>
      </c>
      <c r="AB511" s="92">
        <f>IFERROR(VLOOKUP($A511,'13. Mapa Títulos-Receita'!$A$8:$P$1000,13,FALSE),"")</f>
        <v/>
      </c>
      <c r="AC511" s="92">
        <f>IFERROR(VLOOKUP($A511,'13. Mapa Títulos-Receita'!$A$8:$P$1000,14,FALSE),"")</f>
        <v/>
      </c>
      <c r="AD511" s="92">
        <f>IFERROR(VLOOKUP($A511,'13. Mapa Títulos-Receita'!$A$8:$P$1000,15,FALSE),"")</f>
        <v/>
      </c>
      <c r="AE511" s="92">
        <f>IFERROR(VLOOKUP($A511,'13. Mapa Títulos-Receita'!$A$8:$P$1000,16,FALSE),"")</f>
        <v/>
      </c>
    </row>
    <row r="512">
      <c r="A512" s="28">
        <f>IF(C512="","", "CR-"&amp;TEXT(ROW()-7,"000"))</f>
        <v/>
      </c>
      <c r="B512" s="28" t="n"/>
      <c r="C512" s="28" t="n"/>
      <c r="D512" s="111" t="n"/>
      <c r="E512" s="111" t="n"/>
      <c r="F512" s="111" t="n"/>
      <c r="G512" s="28" t="n"/>
      <c r="H512" s="45" t="n"/>
      <c r="I512" s="45" t="n"/>
      <c r="J512" s="28">
        <f>IF(H512="","",IF(I512&gt;=H512,"Recebido",IF($B$4&gt;E512,"Vencido","Aberto")))</f>
        <v/>
      </c>
      <c r="K512" s="4">
        <f>IF(J512="","",IF(OR(J512="Recebido",F512=""),MAX(0,F512-E512),MAX(0,$B$4-E512)))</f>
        <v/>
      </c>
      <c r="L512" s="4">
        <f>IF(K512="","",IF(K512=0,"Em dia",IF(K512&lt;=30,"1-30 dias",IF(K512&lt;=60,"31-60 dias",IF(K512&lt;=90,"61-90 dias","&gt;90 dias")))))</f>
        <v/>
      </c>
      <c r="M512" s="28" t="n"/>
      <c r="N512" s="104" t="inlineStr"/>
      <c r="O512" s="64" t="n"/>
      <c r="P512" s="64">
        <f>IF(C512="","",IF(ISNUMBER(SEARCH("PCMSO",C512)),"PCMSO",IF(OR(ISNUMBER(SEARCH("E-SOCIAL",C512)),ISNUMBER(SEARCH("PSICOSOCIAL",C512))),"eSocial / Psicossocial",IF(O512="Receita recorrente","Carteira recorrente","Projetos / Laudos / Avulsos"))))</f>
        <v/>
      </c>
      <c r="Q512" s="64">
        <f>IF(P512="","",IF(P512="Carteira recorrente","Operação recorrente",IF(P512="PCMSO","Projetos PCMSO",IF(P512="eSocial / Psicossocial","Projetos eSocial/Psicossocial","Projetos / Laudos / Avulsos"))))</f>
        <v/>
      </c>
      <c r="R512" s="64">
        <f>IF(C512="","",IF(ISNUMBER(SEARCH("PCMSO",C512)),"Título com PCMSO no nome",IF(OR(ISNUMBER(SEARCH("E-SOCIAL",C512)),ISNUMBER(SEARCH("PSICOSOCIAL",C512))),"Título com eSocial/Psicossocial no nome",IF(O512="Receita recorrente","Tipo DRE recorrente","Extra sem palavra-chave específica"))))</f>
        <v/>
      </c>
      <c r="S512" s="92">
        <f>IFERROR(VLOOKUP($A512,'13. Mapa Títulos-Receita'!$A$8:$P$1000,4,FALSE),"")</f>
        <v/>
      </c>
      <c r="T512" s="92">
        <f>IFERROR(VLOOKUP($A512,'13. Mapa Títulos-Receita'!$A$8:$P$1000,5,FALSE),"")</f>
        <v/>
      </c>
      <c r="U512" s="92">
        <f>IFERROR(VLOOKUP($A512,'13. Mapa Títulos-Receita'!$A$8:$P$1000,6,FALSE),"")</f>
        <v/>
      </c>
      <c r="V512" s="92">
        <f>IFERROR(VLOOKUP($A512,'13. Mapa Títulos-Receita'!$A$8:$P$1000,7,FALSE),"")</f>
        <v/>
      </c>
      <c r="W512" s="92">
        <f>IFERROR(VLOOKUP($A512,'13. Mapa Títulos-Receita'!$A$8:$P$1000,8,FALSE),"")</f>
        <v/>
      </c>
      <c r="X512" s="92">
        <f>IFERROR(VLOOKUP($A512,'13. Mapa Títulos-Receita'!$A$8:$P$1000,9,FALSE),"")</f>
        <v/>
      </c>
      <c r="Y512" s="92">
        <f>IFERROR(VLOOKUP($A512,'13. Mapa Títulos-Receita'!$A$8:$P$1000,10,FALSE),"")</f>
        <v/>
      </c>
      <c r="Z512" s="92">
        <f>IFERROR(VLOOKUP($A512,'13. Mapa Títulos-Receita'!$A$8:$P$1000,11,FALSE),"")</f>
        <v/>
      </c>
      <c r="AA512" s="92">
        <f>IFERROR(VLOOKUP($A512,'13. Mapa Títulos-Receita'!$A$8:$P$1000,12,FALSE),"")</f>
        <v/>
      </c>
      <c r="AB512" s="92">
        <f>IFERROR(VLOOKUP($A512,'13. Mapa Títulos-Receita'!$A$8:$P$1000,13,FALSE),"")</f>
        <v/>
      </c>
      <c r="AC512" s="92">
        <f>IFERROR(VLOOKUP($A512,'13. Mapa Títulos-Receita'!$A$8:$P$1000,14,FALSE),"")</f>
        <v/>
      </c>
      <c r="AD512" s="92">
        <f>IFERROR(VLOOKUP($A512,'13. Mapa Títulos-Receita'!$A$8:$P$1000,15,FALSE),"")</f>
        <v/>
      </c>
      <c r="AE512" s="92">
        <f>IFERROR(VLOOKUP($A512,'13. Mapa Títulos-Receita'!$A$8:$P$1000,16,FALSE),"")</f>
        <v/>
      </c>
    </row>
    <row r="513">
      <c r="A513" s="28">
        <f>IF(C513="","", "CR-"&amp;TEXT(ROW()-7,"000"))</f>
        <v/>
      </c>
      <c r="B513" s="28" t="n"/>
      <c r="C513" s="28" t="n"/>
      <c r="D513" s="111" t="n"/>
      <c r="E513" s="111" t="n"/>
      <c r="F513" s="111" t="n"/>
      <c r="G513" s="28" t="n"/>
      <c r="H513" s="45" t="n"/>
      <c r="I513" s="45" t="n"/>
      <c r="J513" s="28">
        <f>IF(H513="","",IF(I513&gt;=H513,"Recebido",IF($B$4&gt;E513,"Vencido","Aberto")))</f>
        <v/>
      </c>
      <c r="K513" s="4">
        <f>IF(J513="","",IF(OR(J513="Recebido",F513=""),MAX(0,F513-E513),MAX(0,$B$4-E513)))</f>
        <v/>
      </c>
      <c r="L513" s="4">
        <f>IF(K513="","",IF(K513=0,"Em dia",IF(K513&lt;=30,"1-30 dias",IF(K513&lt;=60,"31-60 dias",IF(K513&lt;=90,"61-90 dias","&gt;90 dias")))))</f>
        <v/>
      </c>
      <c r="M513" s="28" t="n"/>
      <c r="N513" s="104" t="inlineStr"/>
      <c r="O513" s="64" t="n"/>
      <c r="P513" s="64">
        <f>IF(C513="","",IF(ISNUMBER(SEARCH("PCMSO",C513)),"PCMSO",IF(OR(ISNUMBER(SEARCH("E-SOCIAL",C513)),ISNUMBER(SEARCH("PSICOSOCIAL",C513))),"eSocial / Psicossocial",IF(O513="Receita recorrente","Carteira recorrente","Projetos / Laudos / Avulsos"))))</f>
        <v/>
      </c>
      <c r="Q513" s="64">
        <f>IF(P513="","",IF(P513="Carteira recorrente","Operação recorrente",IF(P513="PCMSO","Projetos PCMSO",IF(P513="eSocial / Psicossocial","Projetos eSocial/Psicossocial","Projetos / Laudos / Avulsos"))))</f>
        <v/>
      </c>
      <c r="R513" s="64">
        <f>IF(C513="","",IF(ISNUMBER(SEARCH("PCMSO",C513)),"Título com PCMSO no nome",IF(OR(ISNUMBER(SEARCH("E-SOCIAL",C513)),ISNUMBER(SEARCH("PSICOSOCIAL",C513))),"Título com eSocial/Psicossocial no nome",IF(O513="Receita recorrente","Tipo DRE recorrente","Extra sem palavra-chave específica"))))</f>
        <v/>
      </c>
      <c r="S513" s="92">
        <f>IFERROR(VLOOKUP($A513,'13. Mapa Títulos-Receita'!$A$8:$P$1000,4,FALSE),"")</f>
        <v/>
      </c>
      <c r="T513" s="92">
        <f>IFERROR(VLOOKUP($A513,'13. Mapa Títulos-Receita'!$A$8:$P$1000,5,FALSE),"")</f>
        <v/>
      </c>
      <c r="U513" s="92">
        <f>IFERROR(VLOOKUP($A513,'13. Mapa Títulos-Receita'!$A$8:$P$1000,6,FALSE),"")</f>
        <v/>
      </c>
      <c r="V513" s="92">
        <f>IFERROR(VLOOKUP($A513,'13. Mapa Títulos-Receita'!$A$8:$P$1000,7,FALSE),"")</f>
        <v/>
      </c>
      <c r="W513" s="92">
        <f>IFERROR(VLOOKUP($A513,'13. Mapa Títulos-Receita'!$A$8:$P$1000,8,FALSE),"")</f>
        <v/>
      </c>
      <c r="X513" s="92">
        <f>IFERROR(VLOOKUP($A513,'13. Mapa Títulos-Receita'!$A$8:$P$1000,9,FALSE),"")</f>
        <v/>
      </c>
      <c r="Y513" s="92">
        <f>IFERROR(VLOOKUP($A513,'13. Mapa Títulos-Receita'!$A$8:$P$1000,10,FALSE),"")</f>
        <v/>
      </c>
      <c r="Z513" s="92">
        <f>IFERROR(VLOOKUP($A513,'13. Mapa Títulos-Receita'!$A$8:$P$1000,11,FALSE),"")</f>
        <v/>
      </c>
      <c r="AA513" s="92">
        <f>IFERROR(VLOOKUP($A513,'13. Mapa Títulos-Receita'!$A$8:$P$1000,12,FALSE),"")</f>
        <v/>
      </c>
      <c r="AB513" s="92">
        <f>IFERROR(VLOOKUP($A513,'13. Mapa Títulos-Receita'!$A$8:$P$1000,13,FALSE),"")</f>
        <v/>
      </c>
      <c r="AC513" s="92">
        <f>IFERROR(VLOOKUP($A513,'13. Mapa Títulos-Receita'!$A$8:$P$1000,14,FALSE),"")</f>
        <v/>
      </c>
      <c r="AD513" s="92">
        <f>IFERROR(VLOOKUP($A513,'13. Mapa Títulos-Receita'!$A$8:$P$1000,15,FALSE),"")</f>
        <v/>
      </c>
      <c r="AE513" s="92">
        <f>IFERROR(VLOOKUP($A513,'13. Mapa Títulos-Receita'!$A$8:$P$1000,16,FALSE),"")</f>
        <v/>
      </c>
    </row>
    <row r="514">
      <c r="A514" s="28">
        <f>IF(C514="","", "CR-"&amp;TEXT(ROW()-7,"000"))</f>
        <v/>
      </c>
      <c r="B514" s="28" t="n"/>
      <c r="C514" s="28" t="n"/>
      <c r="D514" s="111" t="n"/>
      <c r="E514" s="111" t="n"/>
      <c r="F514" s="111" t="n"/>
      <c r="G514" s="28" t="n"/>
      <c r="H514" s="45" t="n"/>
      <c r="I514" s="45" t="n"/>
      <c r="J514" s="28">
        <f>IF(H514="","",IF(I514&gt;=H514,"Recebido",IF($B$4&gt;E514,"Vencido","Aberto")))</f>
        <v/>
      </c>
      <c r="K514" s="4">
        <f>IF(J514="","",IF(OR(J514="Recebido",F514=""),MAX(0,F514-E514),MAX(0,$B$4-E514)))</f>
        <v/>
      </c>
      <c r="L514" s="4">
        <f>IF(K514="","",IF(K514=0,"Em dia",IF(K514&lt;=30,"1-30 dias",IF(K514&lt;=60,"31-60 dias",IF(K514&lt;=90,"61-90 dias","&gt;90 dias")))))</f>
        <v/>
      </c>
      <c r="M514" s="28" t="n"/>
      <c r="N514" s="104" t="inlineStr"/>
      <c r="O514" s="64" t="n"/>
      <c r="P514" s="64">
        <f>IF(C514="","",IF(ISNUMBER(SEARCH("PCMSO",C514)),"PCMSO",IF(OR(ISNUMBER(SEARCH("E-SOCIAL",C514)),ISNUMBER(SEARCH("PSICOSOCIAL",C514))),"eSocial / Psicossocial",IF(O514="Receita recorrente","Carteira recorrente","Projetos / Laudos / Avulsos"))))</f>
        <v/>
      </c>
      <c r="Q514" s="64">
        <f>IF(P514="","",IF(P514="Carteira recorrente","Operação recorrente",IF(P514="PCMSO","Projetos PCMSO",IF(P514="eSocial / Psicossocial","Projetos eSocial/Psicossocial","Projetos / Laudos / Avulsos"))))</f>
        <v/>
      </c>
      <c r="R514" s="64">
        <f>IF(C514="","",IF(ISNUMBER(SEARCH("PCMSO",C514)),"Título com PCMSO no nome",IF(OR(ISNUMBER(SEARCH("E-SOCIAL",C514)),ISNUMBER(SEARCH("PSICOSOCIAL",C514))),"Título com eSocial/Psicossocial no nome",IF(O514="Receita recorrente","Tipo DRE recorrente","Extra sem palavra-chave específica"))))</f>
        <v/>
      </c>
      <c r="S514" s="92">
        <f>IFERROR(VLOOKUP($A514,'13. Mapa Títulos-Receita'!$A$8:$P$1000,4,FALSE),"")</f>
        <v/>
      </c>
      <c r="T514" s="92">
        <f>IFERROR(VLOOKUP($A514,'13. Mapa Títulos-Receita'!$A$8:$P$1000,5,FALSE),"")</f>
        <v/>
      </c>
      <c r="U514" s="92">
        <f>IFERROR(VLOOKUP($A514,'13. Mapa Títulos-Receita'!$A$8:$P$1000,6,FALSE),"")</f>
        <v/>
      </c>
      <c r="V514" s="92">
        <f>IFERROR(VLOOKUP($A514,'13. Mapa Títulos-Receita'!$A$8:$P$1000,7,FALSE),"")</f>
        <v/>
      </c>
      <c r="W514" s="92">
        <f>IFERROR(VLOOKUP($A514,'13. Mapa Títulos-Receita'!$A$8:$P$1000,8,FALSE),"")</f>
        <v/>
      </c>
      <c r="X514" s="92">
        <f>IFERROR(VLOOKUP($A514,'13. Mapa Títulos-Receita'!$A$8:$P$1000,9,FALSE),"")</f>
        <v/>
      </c>
      <c r="Y514" s="92">
        <f>IFERROR(VLOOKUP($A514,'13. Mapa Títulos-Receita'!$A$8:$P$1000,10,FALSE),"")</f>
        <v/>
      </c>
      <c r="Z514" s="92">
        <f>IFERROR(VLOOKUP($A514,'13. Mapa Títulos-Receita'!$A$8:$P$1000,11,FALSE),"")</f>
        <v/>
      </c>
      <c r="AA514" s="92">
        <f>IFERROR(VLOOKUP($A514,'13. Mapa Títulos-Receita'!$A$8:$P$1000,12,FALSE),"")</f>
        <v/>
      </c>
      <c r="AB514" s="92">
        <f>IFERROR(VLOOKUP($A514,'13. Mapa Títulos-Receita'!$A$8:$P$1000,13,FALSE),"")</f>
        <v/>
      </c>
      <c r="AC514" s="92">
        <f>IFERROR(VLOOKUP($A514,'13. Mapa Títulos-Receita'!$A$8:$P$1000,14,FALSE),"")</f>
        <v/>
      </c>
      <c r="AD514" s="92">
        <f>IFERROR(VLOOKUP($A514,'13. Mapa Títulos-Receita'!$A$8:$P$1000,15,FALSE),"")</f>
        <v/>
      </c>
      <c r="AE514" s="92">
        <f>IFERROR(VLOOKUP($A514,'13. Mapa Títulos-Receita'!$A$8:$P$1000,16,FALSE),"")</f>
        <v/>
      </c>
    </row>
    <row r="515">
      <c r="A515" s="28">
        <f>IF(C515="","", "CR-"&amp;TEXT(ROW()-7,"000"))</f>
        <v/>
      </c>
      <c r="B515" s="28" t="n"/>
      <c r="C515" s="28" t="n"/>
      <c r="D515" s="111" t="n"/>
      <c r="E515" s="111" t="n"/>
      <c r="F515" s="111" t="n"/>
      <c r="G515" s="28" t="n"/>
      <c r="H515" s="45" t="n"/>
      <c r="I515" s="45" t="n"/>
      <c r="J515" s="28">
        <f>IF(H515="","",IF(I515&gt;=H515,"Recebido",IF($B$4&gt;E515,"Vencido","Aberto")))</f>
        <v/>
      </c>
      <c r="K515" s="4">
        <f>IF(J515="","",IF(OR(J515="Recebido",F515=""),MAX(0,F515-E515),MAX(0,$B$4-E515)))</f>
        <v/>
      </c>
      <c r="L515" s="4">
        <f>IF(K515="","",IF(K515=0,"Em dia",IF(K515&lt;=30,"1-30 dias",IF(K515&lt;=60,"31-60 dias",IF(K515&lt;=90,"61-90 dias","&gt;90 dias")))))</f>
        <v/>
      </c>
      <c r="M515" s="28" t="n"/>
      <c r="N515" s="104" t="inlineStr"/>
      <c r="O515" s="64" t="n"/>
      <c r="P515" s="64">
        <f>IF(C515="","",IF(ISNUMBER(SEARCH("PCMSO",C515)),"PCMSO",IF(OR(ISNUMBER(SEARCH("E-SOCIAL",C515)),ISNUMBER(SEARCH("PSICOSOCIAL",C515))),"eSocial / Psicossocial",IF(O515="Receita recorrente","Carteira recorrente","Projetos / Laudos / Avulsos"))))</f>
        <v/>
      </c>
      <c r="Q515" s="64">
        <f>IF(P515="","",IF(P515="Carteira recorrente","Operação recorrente",IF(P515="PCMSO","Projetos PCMSO",IF(P515="eSocial / Psicossocial","Projetos eSocial/Psicossocial","Projetos / Laudos / Avulsos"))))</f>
        <v/>
      </c>
      <c r="R515" s="64">
        <f>IF(C515="","",IF(ISNUMBER(SEARCH("PCMSO",C515)),"Título com PCMSO no nome",IF(OR(ISNUMBER(SEARCH("E-SOCIAL",C515)),ISNUMBER(SEARCH("PSICOSOCIAL",C515))),"Título com eSocial/Psicossocial no nome",IF(O515="Receita recorrente","Tipo DRE recorrente","Extra sem palavra-chave específica"))))</f>
        <v/>
      </c>
      <c r="S515" s="92">
        <f>IFERROR(VLOOKUP($A515,'13. Mapa Títulos-Receita'!$A$8:$P$1000,4,FALSE),"")</f>
        <v/>
      </c>
      <c r="T515" s="92">
        <f>IFERROR(VLOOKUP($A515,'13. Mapa Títulos-Receita'!$A$8:$P$1000,5,FALSE),"")</f>
        <v/>
      </c>
      <c r="U515" s="92">
        <f>IFERROR(VLOOKUP($A515,'13. Mapa Títulos-Receita'!$A$8:$P$1000,6,FALSE),"")</f>
        <v/>
      </c>
      <c r="V515" s="92">
        <f>IFERROR(VLOOKUP($A515,'13. Mapa Títulos-Receita'!$A$8:$P$1000,7,FALSE),"")</f>
        <v/>
      </c>
      <c r="W515" s="92">
        <f>IFERROR(VLOOKUP($A515,'13. Mapa Títulos-Receita'!$A$8:$P$1000,8,FALSE),"")</f>
        <v/>
      </c>
      <c r="X515" s="92">
        <f>IFERROR(VLOOKUP($A515,'13. Mapa Títulos-Receita'!$A$8:$P$1000,9,FALSE),"")</f>
        <v/>
      </c>
      <c r="Y515" s="92">
        <f>IFERROR(VLOOKUP($A515,'13. Mapa Títulos-Receita'!$A$8:$P$1000,10,FALSE),"")</f>
        <v/>
      </c>
      <c r="Z515" s="92">
        <f>IFERROR(VLOOKUP($A515,'13. Mapa Títulos-Receita'!$A$8:$P$1000,11,FALSE),"")</f>
        <v/>
      </c>
      <c r="AA515" s="92">
        <f>IFERROR(VLOOKUP($A515,'13. Mapa Títulos-Receita'!$A$8:$P$1000,12,FALSE),"")</f>
        <v/>
      </c>
      <c r="AB515" s="92">
        <f>IFERROR(VLOOKUP($A515,'13. Mapa Títulos-Receita'!$A$8:$P$1000,13,FALSE),"")</f>
        <v/>
      </c>
      <c r="AC515" s="92">
        <f>IFERROR(VLOOKUP($A515,'13. Mapa Títulos-Receita'!$A$8:$P$1000,14,FALSE),"")</f>
        <v/>
      </c>
      <c r="AD515" s="92">
        <f>IFERROR(VLOOKUP($A515,'13. Mapa Títulos-Receita'!$A$8:$P$1000,15,FALSE),"")</f>
        <v/>
      </c>
      <c r="AE515" s="92">
        <f>IFERROR(VLOOKUP($A515,'13. Mapa Títulos-Receita'!$A$8:$P$1000,16,FALSE),"")</f>
        <v/>
      </c>
    </row>
    <row r="516">
      <c r="A516" s="28">
        <f>IF(C516="","", "CR-"&amp;TEXT(ROW()-7,"000"))</f>
        <v/>
      </c>
      <c r="B516" s="28" t="n"/>
      <c r="C516" s="28" t="n"/>
      <c r="D516" s="111" t="n"/>
      <c r="E516" s="111" t="n"/>
      <c r="F516" s="111" t="n"/>
      <c r="G516" s="28" t="n"/>
      <c r="H516" s="45" t="n"/>
      <c r="I516" s="45" t="n"/>
      <c r="J516" s="28">
        <f>IF(H516="","",IF(I516&gt;=H516,"Recebido",IF($B$4&gt;E516,"Vencido","Aberto")))</f>
        <v/>
      </c>
      <c r="K516" s="4">
        <f>IF(J516="","",IF(OR(J516="Recebido",F516=""),MAX(0,F516-E516),MAX(0,$B$4-E516)))</f>
        <v/>
      </c>
      <c r="L516" s="4">
        <f>IF(K516="","",IF(K516=0,"Em dia",IF(K516&lt;=30,"1-30 dias",IF(K516&lt;=60,"31-60 dias",IF(K516&lt;=90,"61-90 dias","&gt;90 dias")))))</f>
        <v/>
      </c>
      <c r="M516" s="28" t="n"/>
      <c r="N516" s="104" t="inlineStr"/>
      <c r="O516" s="64" t="n"/>
      <c r="P516" s="64">
        <f>IF(C516="","",IF(ISNUMBER(SEARCH("PCMSO",C516)),"PCMSO",IF(OR(ISNUMBER(SEARCH("E-SOCIAL",C516)),ISNUMBER(SEARCH("PSICOSOCIAL",C516))),"eSocial / Psicossocial",IF(O516="Receita recorrente","Carteira recorrente","Projetos / Laudos / Avulsos"))))</f>
        <v/>
      </c>
      <c r="Q516" s="64">
        <f>IF(P516="","",IF(P516="Carteira recorrente","Operação recorrente",IF(P516="PCMSO","Projetos PCMSO",IF(P516="eSocial / Psicossocial","Projetos eSocial/Psicossocial","Projetos / Laudos / Avulsos"))))</f>
        <v/>
      </c>
      <c r="R516" s="64">
        <f>IF(C516="","",IF(ISNUMBER(SEARCH("PCMSO",C516)),"Título com PCMSO no nome",IF(OR(ISNUMBER(SEARCH("E-SOCIAL",C516)),ISNUMBER(SEARCH("PSICOSOCIAL",C516))),"Título com eSocial/Psicossocial no nome",IF(O516="Receita recorrente","Tipo DRE recorrente","Extra sem palavra-chave específica"))))</f>
        <v/>
      </c>
      <c r="S516" s="92">
        <f>IFERROR(VLOOKUP($A516,'13. Mapa Títulos-Receita'!$A$8:$P$1000,4,FALSE),"")</f>
        <v/>
      </c>
      <c r="T516" s="92">
        <f>IFERROR(VLOOKUP($A516,'13. Mapa Títulos-Receita'!$A$8:$P$1000,5,FALSE),"")</f>
        <v/>
      </c>
      <c r="U516" s="92">
        <f>IFERROR(VLOOKUP($A516,'13. Mapa Títulos-Receita'!$A$8:$P$1000,6,FALSE),"")</f>
        <v/>
      </c>
      <c r="V516" s="92">
        <f>IFERROR(VLOOKUP($A516,'13. Mapa Títulos-Receita'!$A$8:$P$1000,7,FALSE),"")</f>
        <v/>
      </c>
      <c r="W516" s="92">
        <f>IFERROR(VLOOKUP($A516,'13. Mapa Títulos-Receita'!$A$8:$P$1000,8,FALSE),"")</f>
        <v/>
      </c>
      <c r="X516" s="92">
        <f>IFERROR(VLOOKUP($A516,'13. Mapa Títulos-Receita'!$A$8:$P$1000,9,FALSE),"")</f>
        <v/>
      </c>
      <c r="Y516" s="92">
        <f>IFERROR(VLOOKUP($A516,'13. Mapa Títulos-Receita'!$A$8:$P$1000,10,FALSE),"")</f>
        <v/>
      </c>
      <c r="Z516" s="92">
        <f>IFERROR(VLOOKUP($A516,'13. Mapa Títulos-Receita'!$A$8:$P$1000,11,FALSE),"")</f>
        <v/>
      </c>
      <c r="AA516" s="92">
        <f>IFERROR(VLOOKUP($A516,'13. Mapa Títulos-Receita'!$A$8:$P$1000,12,FALSE),"")</f>
        <v/>
      </c>
      <c r="AB516" s="92">
        <f>IFERROR(VLOOKUP($A516,'13. Mapa Títulos-Receita'!$A$8:$P$1000,13,FALSE),"")</f>
        <v/>
      </c>
      <c r="AC516" s="92">
        <f>IFERROR(VLOOKUP($A516,'13. Mapa Títulos-Receita'!$A$8:$P$1000,14,FALSE),"")</f>
        <v/>
      </c>
      <c r="AD516" s="92">
        <f>IFERROR(VLOOKUP($A516,'13. Mapa Títulos-Receita'!$A$8:$P$1000,15,FALSE),"")</f>
        <v/>
      </c>
      <c r="AE516" s="92">
        <f>IFERROR(VLOOKUP($A516,'13. Mapa Títulos-Receita'!$A$8:$P$1000,16,FALSE),"")</f>
        <v/>
      </c>
    </row>
    <row r="517">
      <c r="A517" s="28">
        <f>IF(C517="","", "CR-"&amp;TEXT(ROW()-7,"000"))</f>
        <v/>
      </c>
      <c r="B517" s="28" t="n"/>
      <c r="C517" s="28" t="n"/>
      <c r="D517" s="111" t="n"/>
      <c r="E517" s="111" t="n"/>
      <c r="F517" s="111" t="n"/>
      <c r="G517" s="28" t="n"/>
      <c r="H517" s="45" t="n"/>
      <c r="I517" s="45" t="n"/>
      <c r="J517" s="28">
        <f>IF(H517="","",IF(I517&gt;=H517,"Recebido",IF($B$4&gt;E517,"Vencido","Aberto")))</f>
        <v/>
      </c>
      <c r="K517" s="4">
        <f>IF(J517="","",IF(OR(J517="Recebido",F517=""),MAX(0,F517-E517),MAX(0,$B$4-E517)))</f>
        <v/>
      </c>
      <c r="L517" s="4">
        <f>IF(K517="","",IF(K517=0,"Em dia",IF(K517&lt;=30,"1-30 dias",IF(K517&lt;=60,"31-60 dias",IF(K517&lt;=90,"61-90 dias","&gt;90 dias")))))</f>
        <v/>
      </c>
      <c r="M517" s="28" t="n"/>
      <c r="N517" s="104" t="inlineStr"/>
      <c r="O517" s="64" t="n"/>
      <c r="P517" s="64">
        <f>IF(C517="","",IF(ISNUMBER(SEARCH("PCMSO",C517)),"PCMSO",IF(OR(ISNUMBER(SEARCH("E-SOCIAL",C517)),ISNUMBER(SEARCH("PSICOSOCIAL",C517))),"eSocial / Psicossocial",IF(O517="Receita recorrente","Carteira recorrente","Projetos / Laudos / Avulsos"))))</f>
        <v/>
      </c>
      <c r="Q517" s="64">
        <f>IF(P517="","",IF(P517="Carteira recorrente","Operação recorrente",IF(P517="PCMSO","Projetos PCMSO",IF(P517="eSocial / Psicossocial","Projetos eSocial/Psicossocial","Projetos / Laudos / Avulsos"))))</f>
        <v/>
      </c>
      <c r="R517" s="64">
        <f>IF(C517="","",IF(ISNUMBER(SEARCH("PCMSO",C517)),"Título com PCMSO no nome",IF(OR(ISNUMBER(SEARCH("E-SOCIAL",C517)),ISNUMBER(SEARCH("PSICOSOCIAL",C517))),"Título com eSocial/Psicossocial no nome",IF(O517="Receita recorrente","Tipo DRE recorrente","Extra sem palavra-chave específica"))))</f>
        <v/>
      </c>
      <c r="S517" s="92">
        <f>IFERROR(VLOOKUP($A517,'13. Mapa Títulos-Receita'!$A$8:$P$1000,4,FALSE),"")</f>
        <v/>
      </c>
      <c r="T517" s="92">
        <f>IFERROR(VLOOKUP($A517,'13. Mapa Títulos-Receita'!$A$8:$P$1000,5,FALSE),"")</f>
        <v/>
      </c>
      <c r="U517" s="92">
        <f>IFERROR(VLOOKUP($A517,'13. Mapa Títulos-Receita'!$A$8:$P$1000,6,FALSE),"")</f>
        <v/>
      </c>
      <c r="V517" s="92">
        <f>IFERROR(VLOOKUP($A517,'13. Mapa Títulos-Receita'!$A$8:$P$1000,7,FALSE),"")</f>
        <v/>
      </c>
      <c r="W517" s="92">
        <f>IFERROR(VLOOKUP($A517,'13. Mapa Títulos-Receita'!$A$8:$P$1000,8,FALSE),"")</f>
        <v/>
      </c>
      <c r="X517" s="92">
        <f>IFERROR(VLOOKUP($A517,'13. Mapa Títulos-Receita'!$A$8:$P$1000,9,FALSE),"")</f>
        <v/>
      </c>
      <c r="Y517" s="92">
        <f>IFERROR(VLOOKUP($A517,'13. Mapa Títulos-Receita'!$A$8:$P$1000,10,FALSE),"")</f>
        <v/>
      </c>
      <c r="Z517" s="92">
        <f>IFERROR(VLOOKUP($A517,'13. Mapa Títulos-Receita'!$A$8:$P$1000,11,FALSE),"")</f>
        <v/>
      </c>
      <c r="AA517" s="92">
        <f>IFERROR(VLOOKUP($A517,'13. Mapa Títulos-Receita'!$A$8:$P$1000,12,FALSE),"")</f>
        <v/>
      </c>
      <c r="AB517" s="92">
        <f>IFERROR(VLOOKUP($A517,'13. Mapa Títulos-Receita'!$A$8:$P$1000,13,FALSE),"")</f>
        <v/>
      </c>
      <c r="AC517" s="92">
        <f>IFERROR(VLOOKUP($A517,'13. Mapa Títulos-Receita'!$A$8:$P$1000,14,FALSE),"")</f>
        <v/>
      </c>
      <c r="AD517" s="92">
        <f>IFERROR(VLOOKUP($A517,'13. Mapa Títulos-Receita'!$A$8:$P$1000,15,FALSE),"")</f>
        <v/>
      </c>
      <c r="AE517" s="92">
        <f>IFERROR(VLOOKUP($A517,'13. Mapa Títulos-Receita'!$A$8:$P$1000,16,FALSE),"")</f>
        <v/>
      </c>
    </row>
    <row r="518">
      <c r="A518" s="28">
        <f>IF(C518="","", "CR-"&amp;TEXT(ROW()-7,"000"))</f>
        <v/>
      </c>
      <c r="B518" s="28" t="n"/>
      <c r="C518" s="28" t="n"/>
      <c r="D518" s="111" t="n"/>
      <c r="E518" s="111" t="n"/>
      <c r="F518" s="111" t="n"/>
      <c r="G518" s="28" t="n"/>
      <c r="H518" s="45" t="n"/>
      <c r="I518" s="45" t="n"/>
      <c r="J518" s="28">
        <f>IF(H518="","",IF(I518&gt;=H518,"Recebido",IF($B$4&gt;E518,"Vencido","Aberto")))</f>
        <v/>
      </c>
      <c r="K518" s="4">
        <f>IF(J518="","",IF(OR(J518="Recebido",F518=""),MAX(0,F518-E518),MAX(0,$B$4-E518)))</f>
        <v/>
      </c>
      <c r="L518" s="4">
        <f>IF(K518="","",IF(K518=0,"Em dia",IF(K518&lt;=30,"1-30 dias",IF(K518&lt;=60,"31-60 dias",IF(K518&lt;=90,"61-90 dias","&gt;90 dias")))))</f>
        <v/>
      </c>
      <c r="M518" s="28" t="n"/>
      <c r="N518" s="104" t="inlineStr"/>
      <c r="O518" s="64" t="n"/>
      <c r="P518" s="64">
        <f>IF(C518="","",IF(ISNUMBER(SEARCH("PCMSO",C518)),"PCMSO",IF(OR(ISNUMBER(SEARCH("E-SOCIAL",C518)),ISNUMBER(SEARCH("PSICOSOCIAL",C518))),"eSocial / Psicossocial",IF(O518="Receita recorrente","Carteira recorrente","Projetos / Laudos / Avulsos"))))</f>
        <v/>
      </c>
      <c r="Q518" s="64">
        <f>IF(P518="","",IF(P518="Carteira recorrente","Operação recorrente",IF(P518="PCMSO","Projetos PCMSO",IF(P518="eSocial / Psicossocial","Projetos eSocial/Psicossocial","Projetos / Laudos / Avulsos"))))</f>
        <v/>
      </c>
      <c r="R518" s="64">
        <f>IF(C518="","",IF(ISNUMBER(SEARCH("PCMSO",C518)),"Título com PCMSO no nome",IF(OR(ISNUMBER(SEARCH("E-SOCIAL",C518)),ISNUMBER(SEARCH("PSICOSOCIAL",C518))),"Título com eSocial/Psicossocial no nome",IF(O518="Receita recorrente","Tipo DRE recorrente","Extra sem palavra-chave específica"))))</f>
        <v/>
      </c>
      <c r="S518" s="92">
        <f>IFERROR(VLOOKUP($A518,'13. Mapa Títulos-Receita'!$A$8:$P$1000,4,FALSE),"")</f>
        <v/>
      </c>
      <c r="T518" s="92">
        <f>IFERROR(VLOOKUP($A518,'13. Mapa Títulos-Receita'!$A$8:$P$1000,5,FALSE),"")</f>
        <v/>
      </c>
      <c r="U518" s="92">
        <f>IFERROR(VLOOKUP($A518,'13. Mapa Títulos-Receita'!$A$8:$P$1000,6,FALSE),"")</f>
        <v/>
      </c>
      <c r="V518" s="92">
        <f>IFERROR(VLOOKUP($A518,'13. Mapa Títulos-Receita'!$A$8:$P$1000,7,FALSE),"")</f>
        <v/>
      </c>
      <c r="W518" s="92">
        <f>IFERROR(VLOOKUP($A518,'13. Mapa Títulos-Receita'!$A$8:$P$1000,8,FALSE),"")</f>
        <v/>
      </c>
      <c r="X518" s="92">
        <f>IFERROR(VLOOKUP($A518,'13. Mapa Títulos-Receita'!$A$8:$P$1000,9,FALSE),"")</f>
        <v/>
      </c>
      <c r="Y518" s="92">
        <f>IFERROR(VLOOKUP($A518,'13. Mapa Títulos-Receita'!$A$8:$P$1000,10,FALSE),"")</f>
        <v/>
      </c>
      <c r="Z518" s="92">
        <f>IFERROR(VLOOKUP($A518,'13. Mapa Títulos-Receita'!$A$8:$P$1000,11,FALSE),"")</f>
        <v/>
      </c>
      <c r="AA518" s="92">
        <f>IFERROR(VLOOKUP($A518,'13. Mapa Títulos-Receita'!$A$8:$P$1000,12,FALSE),"")</f>
        <v/>
      </c>
      <c r="AB518" s="92">
        <f>IFERROR(VLOOKUP($A518,'13. Mapa Títulos-Receita'!$A$8:$P$1000,13,FALSE),"")</f>
        <v/>
      </c>
      <c r="AC518" s="92">
        <f>IFERROR(VLOOKUP($A518,'13. Mapa Títulos-Receita'!$A$8:$P$1000,14,FALSE),"")</f>
        <v/>
      </c>
      <c r="AD518" s="92">
        <f>IFERROR(VLOOKUP($A518,'13. Mapa Títulos-Receita'!$A$8:$P$1000,15,FALSE),"")</f>
        <v/>
      </c>
      <c r="AE518" s="92">
        <f>IFERROR(VLOOKUP($A518,'13. Mapa Títulos-Receita'!$A$8:$P$1000,16,FALSE),"")</f>
        <v/>
      </c>
    </row>
    <row r="519">
      <c r="A519" s="28">
        <f>IF(C519="","", "CR-"&amp;TEXT(ROW()-7,"000"))</f>
        <v/>
      </c>
      <c r="B519" s="28" t="n"/>
      <c r="C519" s="28" t="n"/>
      <c r="D519" s="111" t="n"/>
      <c r="E519" s="111" t="n"/>
      <c r="F519" s="111" t="n"/>
      <c r="G519" s="28" t="n"/>
      <c r="H519" s="45" t="n"/>
      <c r="I519" s="45" t="n"/>
      <c r="J519" s="28">
        <f>IF(H519="","",IF(I519&gt;=H519,"Recebido",IF($B$4&gt;E519,"Vencido","Aberto")))</f>
        <v/>
      </c>
      <c r="K519" s="4">
        <f>IF(J519="","",IF(OR(J519="Recebido",F519=""),MAX(0,F519-E519),MAX(0,$B$4-E519)))</f>
        <v/>
      </c>
      <c r="L519" s="4">
        <f>IF(K519="","",IF(K519=0,"Em dia",IF(K519&lt;=30,"1-30 dias",IF(K519&lt;=60,"31-60 dias",IF(K519&lt;=90,"61-90 dias","&gt;90 dias")))))</f>
        <v/>
      </c>
      <c r="M519" s="28" t="n"/>
      <c r="N519" s="104" t="inlineStr"/>
      <c r="O519" s="64" t="n"/>
      <c r="P519" s="64">
        <f>IF(C519="","",IF(ISNUMBER(SEARCH("PCMSO",C519)),"PCMSO",IF(OR(ISNUMBER(SEARCH("E-SOCIAL",C519)),ISNUMBER(SEARCH("PSICOSOCIAL",C519))),"eSocial / Psicossocial",IF(O519="Receita recorrente","Carteira recorrente","Projetos / Laudos / Avulsos"))))</f>
        <v/>
      </c>
      <c r="Q519" s="64">
        <f>IF(P519="","",IF(P519="Carteira recorrente","Operação recorrente",IF(P519="PCMSO","Projetos PCMSO",IF(P519="eSocial / Psicossocial","Projetos eSocial/Psicossocial","Projetos / Laudos / Avulsos"))))</f>
        <v/>
      </c>
      <c r="R519" s="64">
        <f>IF(C519="","",IF(ISNUMBER(SEARCH("PCMSO",C519)),"Título com PCMSO no nome",IF(OR(ISNUMBER(SEARCH("E-SOCIAL",C519)),ISNUMBER(SEARCH("PSICOSOCIAL",C519))),"Título com eSocial/Psicossocial no nome",IF(O519="Receita recorrente","Tipo DRE recorrente","Extra sem palavra-chave específica"))))</f>
        <v/>
      </c>
      <c r="S519" s="92">
        <f>IFERROR(VLOOKUP($A519,'13. Mapa Títulos-Receita'!$A$8:$P$1000,4,FALSE),"")</f>
        <v/>
      </c>
      <c r="T519" s="92">
        <f>IFERROR(VLOOKUP($A519,'13. Mapa Títulos-Receita'!$A$8:$P$1000,5,FALSE),"")</f>
        <v/>
      </c>
      <c r="U519" s="92">
        <f>IFERROR(VLOOKUP($A519,'13. Mapa Títulos-Receita'!$A$8:$P$1000,6,FALSE),"")</f>
        <v/>
      </c>
      <c r="V519" s="92">
        <f>IFERROR(VLOOKUP($A519,'13. Mapa Títulos-Receita'!$A$8:$P$1000,7,FALSE),"")</f>
        <v/>
      </c>
      <c r="W519" s="92">
        <f>IFERROR(VLOOKUP($A519,'13. Mapa Títulos-Receita'!$A$8:$P$1000,8,FALSE),"")</f>
        <v/>
      </c>
      <c r="X519" s="92">
        <f>IFERROR(VLOOKUP($A519,'13. Mapa Títulos-Receita'!$A$8:$P$1000,9,FALSE),"")</f>
        <v/>
      </c>
      <c r="Y519" s="92">
        <f>IFERROR(VLOOKUP($A519,'13. Mapa Títulos-Receita'!$A$8:$P$1000,10,FALSE),"")</f>
        <v/>
      </c>
      <c r="Z519" s="92">
        <f>IFERROR(VLOOKUP($A519,'13. Mapa Títulos-Receita'!$A$8:$P$1000,11,FALSE),"")</f>
        <v/>
      </c>
      <c r="AA519" s="92">
        <f>IFERROR(VLOOKUP($A519,'13. Mapa Títulos-Receita'!$A$8:$P$1000,12,FALSE),"")</f>
        <v/>
      </c>
      <c r="AB519" s="92">
        <f>IFERROR(VLOOKUP($A519,'13. Mapa Títulos-Receita'!$A$8:$P$1000,13,FALSE),"")</f>
        <v/>
      </c>
      <c r="AC519" s="92">
        <f>IFERROR(VLOOKUP($A519,'13. Mapa Títulos-Receita'!$A$8:$P$1000,14,FALSE),"")</f>
        <v/>
      </c>
      <c r="AD519" s="92">
        <f>IFERROR(VLOOKUP($A519,'13. Mapa Títulos-Receita'!$A$8:$P$1000,15,FALSE),"")</f>
        <v/>
      </c>
      <c r="AE519" s="92">
        <f>IFERROR(VLOOKUP($A519,'13. Mapa Títulos-Receita'!$A$8:$P$1000,16,FALSE),"")</f>
        <v/>
      </c>
    </row>
    <row r="520">
      <c r="A520" s="28">
        <f>IF(C520="","", "CR-"&amp;TEXT(ROW()-7,"000"))</f>
        <v/>
      </c>
      <c r="B520" s="28" t="n"/>
      <c r="C520" s="28" t="n"/>
      <c r="D520" s="111" t="n"/>
      <c r="E520" s="111" t="n"/>
      <c r="F520" s="111" t="n"/>
      <c r="G520" s="28" t="n"/>
      <c r="H520" s="45" t="n"/>
      <c r="I520" s="45" t="n"/>
      <c r="J520" s="28">
        <f>IF(H520="","",IF(I520&gt;=H520,"Recebido",IF($B$4&gt;E520,"Vencido","Aberto")))</f>
        <v/>
      </c>
      <c r="K520" s="4">
        <f>IF(J520="","",IF(OR(J520="Recebido",F520=""),MAX(0,F520-E520),MAX(0,$B$4-E520)))</f>
        <v/>
      </c>
      <c r="L520" s="4">
        <f>IF(K520="","",IF(K520=0,"Em dia",IF(K520&lt;=30,"1-30 dias",IF(K520&lt;=60,"31-60 dias",IF(K520&lt;=90,"61-90 dias","&gt;90 dias")))))</f>
        <v/>
      </c>
      <c r="M520" s="28" t="n"/>
      <c r="N520" s="104" t="inlineStr"/>
      <c r="O520" s="64" t="n"/>
      <c r="P520" s="64">
        <f>IF(C520="","",IF(ISNUMBER(SEARCH("PCMSO",C520)),"PCMSO",IF(OR(ISNUMBER(SEARCH("E-SOCIAL",C520)),ISNUMBER(SEARCH("PSICOSOCIAL",C520))),"eSocial / Psicossocial",IF(O520="Receita recorrente","Carteira recorrente","Projetos / Laudos / Avulsos"))))</f>
        <v/>
      </c>
      <c r="Q520" s="64">
        <f>IF(P520="","",IF(P520="Carteira recorrente","Operação recorrente",IF(P520="PCMSO","Projetos PCMSO",IF(P520="eSocial / Psicossocial","Projetos eSocial/Psicossocial","Projetos / Laudos / Avulsos"))))</f>
        <v/>
      </c>
      <c r="R520" s="64">
        <f>IF(C520="","",IF(ISNUMBER(SEARCH("PCMSO",C520)),"Título com PCMSO no nome",IF(OR(ISNUMBER(SEARCH("E-SOCIAL",C520)),ISNUMBER(SEARCH("PSICOSOCIAL",C520))),"Título com eSocial/Psicossocial no nome",IF(O520="Receita recorrente","Tipo DRE recorrente","Extra sem palavra-chave específica"))))</f>
        <v/>
      </c>
      <c r="S520" s="92">
        <f>IFERROR(VLOOKUP($A520,'13. Mapa Títulos-Receita'!$A$8:$P$1000,4,FALSE),"")</f>
        <v/>
      </c>
      <c r="T520" s="92">
        <f>IFERROR(VLOOKUP($A520,'13. Mapa Títulos-Receita'!$A$8:$P$1000,5,FALSE),"")</f>
        <v/>
      </c>
      <c r="U520" s="92">
        <f>IFERROR(VLOOKUP($A520,'13. Mapa Títulos-Receita'!$A$8:$P$1000,6,FALSE),"")</f>
        <v/>
      </c>
      <c r="V520" s="92">
        <f>IFERROR(VLOOKUP($A520,'13. Mapa Títulos-Receita'!$A$8:$P$1000,7,FALSE),"")</f>
        <v/>
      </c>
      <c r="W520" s="92">
        <f>IFERROR(VLOOKUP($A520,'13. Mapa Títulos-Receita'!$A$8:$P$1000,8,FALSE),"")</f>
        <v/>
      </c>
      <c r="X520" s="92">
        <f>IFERROR(VLOOKUP($A520,'13. Mapa Títulos-Receita'!$A$8:$P$1000,9,FALSE),"")</f>
        <v/>
      </c>
      <c r="Y520" s="92">
        <f>IFERROR(VLOOKUP($A520,'13. Mapa Títulos-Receita'!$A$8:$P$1000,10,FALSE),"")</f>
        <v/>
      </c>
      <c r="Z520" s="92">
        <f>IFERROR(VLOOKUP($A520,'13. Mapa Títulos-Receita'!$A$8:$P$1000,11,FALSE),"")</f>
        <v/>
      </c>
      <c r="AA520" s="92">
        <f>IFERROR(VLOOKUP($A520,'13. Mapa Títulos-Receita'!$A$8:$P$1000,12,FALSE),"")</f>
        <v/>
      </c>
      <c r="AB520" s="92">
        <f>IFERROR(VLOOKUP($A520,'13. Mapa Títulos-Receita'!$A$8:$P$1000,13,FALSE),"")</f>
        <v/>
      </c>
      <c r="AC520" s="92">
        <f>IFERROR(VLOOKUP($A520,'13. Mapa Títulos-Receita'!$A$8:$P$1000,14,FALSE),"")</f>
        <v/>
      </c>
      <c r="AD520" s="92">
        <f>IFERROR(VLOOKUP($A520,'13. Mapa Títulos-Receita'!$A$8:$P$1000,15,FALSE),"")</f>
        <v/>
      </c>
      <c r="AE520" s="92">
        <f>IFERROR(VLOOKUP($A520,'13. Mapa Títulos-Receita'!$A$8:$P$1000,16,FALSE),"")</f>
        <v/>
      </c>
    </row>
    <row r="521">
      <c r="A521" s="28">
        <f>IF(C521="","", "CR-"&amp;TEXT(ROW()-7,"000"))</f>
        <v/>
      </c>
      <c r="B521" s="28" t="n"/>
      <c r="C521" s="28" t="n"/>
      <c r="D521" s="111" t="n"/>
      <c r="E521" s="111" t="n"/>
      <c r="F521" s="111" t="n"/>
      <c r="G521" s="28" t="n"/>
      <c r="H521" s="45" t="n"/>
      <c r="I521" s="45" t="n"/>
      <c r="J521" s="28">
        <f>IF(H521="","",IF(I521&gt;=H521,"Recebido",IF($B$4&gt;E521,"Vencido","Aberto")))</f>
        <v/>
      </c>
      <c r="K521" s="4">
        <f>IF(J521="","",IF(OR(J521="Recebido",F521=""),MAX(0,F521-E521),MAX(0,$B$4-E521)))</f>
        <v/>
      </c>
      <c r="L521" s="4">
        <f>IF(K521="","",IF(K521=0,"Em dia",IF(K521&lt;=30,"1-30 dias",IF(K521&lt;=60,"31-60 dias",IF(K521&lt;=90,"61-90 dias","&gt;90 dias")))))</f>
        <v/>
      </c>
      <c r="M521" s="28" t="n"/>
      <c r="N521" s="104" t="inlineStr"/>
      <c r="O521" s="64" t="n"/>
      <c r="P521" s="64">
        <f>IF(C521="","",IF(ISNUMBER(SEARCH("PCMSO",C521)),"PCMSO",IF(OR(ISNUMBER(SEARCH("E-SOCIAL",C521)),ISNUMBER(SEARCH("PSICOSOCIAL",C521))),"eSocial / Psicossocial",IF(O521="Receita recorrente","Carteira recorrente","Projetos / Laudos / Avulsos"))))</f>
        <v/>
      </c>
      <c r="Q521" s="64">
        <f>IF(P521="","",IF(P521="Carteira recorrente","Operação recorrente",IF(P521="PCMSO","Projetos PCMSO",IF(P521="eSocial / Psicossocial","Projetos eSocial/Psicossocial","Projetos / Laudos / Avulsos"))))</f>
        <v/>
      </c>
      <c r="R521" s="64">
        <f>IF(C521="","",IF(ISNUMBER(SEARCH("PCMSO",C521)),"Título com PCMSO no nome",IF(OR(ISNUMBER(SEARCH("E-SOCIAL",C521)),ISNUMBER(SEARCH("PSICOSOCIAL",C521))),"Título com eSocial/Psicossocial no nome",IF(O521="Receita recorrente","Tipo DRE recorrente","Extra sem palavra-chave específica"))))</f>
        <v/>
      </c>
      <c r="S521" s="92">
        <f>IFERROR(VLOOKUP($A521,'13. Mapa Títulos-Receita'!$A$8:$P$1000,4,FALSE),"")</f>
        <v/>
      </c>
      <c r="T521" s="92">
        <f>IFERROR(VLOOKUP($A521,'13. Mapa Títulos-Receita'!$A$8:$P$1000,5,FALSE),"")</f>
        <v/>
      </c>
      <c r="U521" s="92">
        <f>IFERROR(VLOOKUP($A521,'13. Mapa Títulos-Receita'!$A$8:$P$1000,6,FALSE),"")</f>
        <v/>
      </c>
      <c r="V521" s="92">
        <f>IFERROR(VLOOKUP($A521,'13. Mapa Títulos-Receita'!$A$8:$P$1000,7,FALSE),"")</f>
        <v/>
      </c>
      <c r="W521" s="92">
        <f>IFERROR(VLOOKUP($A521,'13. Mapa Títulos-Receita'!$A$8:$P$1000,8,FALSE),"")</f>
        <v/>
      </c>
      <c r="X521" s="92">
        <f>IFERROR(VLOOKUP($A521,'13. Mapa Títulos-Receita'!$A$8:$P$1000,9,FALSE),"")</f>
        <v/>
      </c>
      <c r="Y521" s="92">
        <f>IFERROR(VLOOKUP($A521,'13. Mapa Títulos-Receita'!$A$8:$P$1000,10,FALSE),"")</f>
        <v/>
      </c>
      <c r="Z521" s="92">
        <f>IFERROR(VLOOKUP($A521,'13. Mapa Títulos-Receita'!$A$8:$P$1000,11,FALSE),"")</f>
        <v/>
      </c>
      <c r="AA521" s="92">
        <f>IFERROR(VLOOKUP($A521,'13. Mapa Títulos-Receita'!$A$8:$P$1000,12,FALSE),"")</f>
        <v/>
      </c>
      <c r="AB521" s="92">
        <f>IFERROR(VLOOKUP($A521,'13. Mapa Títulos-Receita'!$A$8:$P$1000,13,FALSE),"")</f>
        <v/>
      </c>
      <c r="AC521" s="92">
        <f>IFERROR(VLOOKUP($A521,'13. Mapa Títulos-Receita'!$A$8:$P$1000,14,FALSE),"")</f>
        <v/>
      </c>
      <c r="AD521" s="92">
        <f>IFERROR(VLOOKUP($A521,'13. Mapa Títulos-Receita'!$A$8:$P$1000,15,FALSE),"")</f>
        <v/>
      </c>
      <c r="AE521" s="92">
        <f>IFERROR(VLOOKUP($A521,'13. Mapa Títulos-Receita'!$A$8:$P$1000,16,FALSE),"")</f>
        <v/>
      </c>
    </row>
    <row r="522">
      <c r="A522" s="28">
        <f>IF(C522="","", "CR-"&amp;TEXT(ROW()-7,"000"))</f>
        <v/>
      </c>
      <c r="B522" s="28" t="n"/>
      <c r="C522" s="28" t="n"/>
      <c r="D522" s="111" t="n"/>
      <c r="E522" s="111" t="n"/>
      <c r="F522" s="111" t="n"/>
      <c r="G522" s="28" t="n"/>
      <c r="H522" s="45" t="n"/>
      <c r="I522" s="45" t="n"/>
      <c r="J522" s="28">
        <f>IF(H522="","",IF(I522&gt;=H522,"Recebido",IF($B$4&gt;E522,"Vencido","Aberto")))</f>
        <v/>
      </c>
      <c r="K522" s="4">
        <f>IF(J522="","",IF(OR(J522="Recebido",F522=""),MAX(0,F522-E522),MAX(0,$B$4-E522)))</f>
        <v/>
      </c>
      <c r="L522" s="4">
        <f>IF(K522="","",IF(K522=0,"Em dia",IF(K522&lt;=30,"1-30 dias",IF(K522&lt;=60,"31-60 dias",IF(K522&lt;=90,"61-90 dias","&gt;90 dias")))))</f>
        <v/>
      </c>
      <c r="M522" s="28" t="n"/>
      <c r="N522" s="104" t="inlineStr"/>
      <c r="O522" s="64" t="n"/>
      <c r="P522" s="64">
        <f>IF(C522="","",IF(ISNUMBER(SEARCH("PCMSO",C522)),"PCMSO",IF(OR(ISNUMBER(SEARCH("E-SOCIAL",C522)),ISNUMBER(SEARCH("PSICOSOCIAL",C522))),"eSocial / Psicossocial",IF(O522="Receita recorrente","Carteira recorrente","Projetos / Laudos / Avulsos"))))</f>
        <v/>
      </c>
      <c r="Q522" s="64">
        <f>IF(P522="","",IF(P522="Carteira recorrente","Operação recorrente",IF(P522="PCMSO","Projetos PCMSO",IF(P522="eSocial / Psicossocial","Projetos eSocial/Psicossocial","Projetos / Laudos / Avulsos"))))</f>
        <v/>
      </c>
      <c r="R522" s="64">
        <f>IF(C522="","",IF(ISNUMBER(SEARCH("PCMSO",C522)),"Título com PCMSO no nome",IF(OR(ISNUMBER(SEARCH("E-SOCIAL",C522)),ISNUMBER(SEARCH("PSICOSOCIAL",C522))),"Título com eSocial/Psicossocial no nome",IF(O522="Receita recorrente","Tipo DRE recorrente","Extra sem palavra-chave específica"))))</f>
        <v/>
      </c>
      <c r="S522" s="92">
        <f>IFERROR(VLOOKUP($A522,'13. Mapa Títulos-Receita'!$A$8:$P$1000,4,FALSE),"")</f>
        <v/>
      </c>
      <c r="T522" s="92">
        <f>IFERROR(VLOOKUP($A522,'13. Mapa Títulos-Receita'!$A$8:$P$1000,5,FALSE),"")</f>
        <v/>
      </c>
      <c r="U522" s="92">
        <f>IFERROR(VLOOKUP($A522,'13. Mapa Títulos-Receita'!$A$8:$P$1000,6,FALSE),"")</f>
        <v/>
      </c>
      <c r="V522" s="92">
        <f>IFERROR(VLOOKUP($A522,'13. Mapa Títulos-Receita'!$A$8:$P$1000,7,FALSE),"")</f>
        <v/>
      </c>
      <c r="W522" s="92">
        <f>IFERROR(VLOOKUP($A522,'13. Mapa Títulos-Receita'!$A$8:$P$1000,8,FALSE),"")</f>
        <v/>
      </c>
      <c r="X522" s="92">
        <f>IFERROR(VLOOKUP($A522,'13. Mapa Títulos-Receita'!$A$8:$P$1000,9,FALSE),"")</f>
        <v/>
      </c>
      <c r="Y522" s="92">
        <f>IFERROR(VLOOKUP($A522,'13. Mapa Títulos-Receita'!$A$8:$P$1000,10,FALSE),"")</f>
        <v/>
      </c>
      <c r="Z522" s="92">
        <f>IFERROR(VLOOKUP($A522,'13. Mapa Títulos-Receita'!$A$8:$P$1000,11,FALSE),"")</f>
        <v/>
      </c>
      <c r="AA522" s="92">
        <f>IFERROR(VLOOKUP($A522,'13. Mapa Títulos-Receita'!$A$8:$P$1000,12,FALSE),"")</f>
        <v/>
      </c>
      <c r="AB522" s="92">
        <f>IFERROR(VLOOKUP($A522,'13. Mapa Títulos-Receita'!$A$8:$P$1000,13,FALSE),"")</f>
        <v/>
      </c>
      <c r="AC522" s="92">
        <f>IFERROR(VLOOKUP($A522,'13. Mapa Títulos-Receita'!$A$8:$P$1000,14,FALSE),"")</f>
        <v/>
      </c>
      <c r="AD522" s="92">
        <f>IFERROR(VLOOKUP($A522,'13. Mapa Títulos-Receita'!$A$8:$P$1000,15,FALSE),"")</f>
        <v/>
      </c>
      <c r="AE522" s="92">
        <f>IFERROR(VLOOKUP($A522,'13. Mapa Títulos-Receita'!$A$8:$P$1000,16,FALSE),"")</f>
        <v/>
      </c>
    </row>
    <row r="523">
      <c r="A523" s="28">
        <f>IF(C523="","", "CR-"&amp;TEXT(ROW()-7,"000"))</f>
        <v/>
      </c>
      <c r="B523" s="28" t="n"/>
      <c r="C523" s="28" t="n"/>
      <c r="D523" s="111" t="n"/>
      <c r="E523" s="111" t="n"/>
      <c r="F523" s="111" t="n"/>
      <c r="G523" s="28" t="n"/>
      <c r="H523" s="45" t="n"/>
      <c r="I523" s="45" t="n"/>
      <c r="J523" s="28">
        <f>IF(H523="","",IF(I523&gt;=H523,"Recebido",IF($B$4&gt;E523,"Vencido","Aberto")))</f>
        <v/>
      </c>
      <c r="K523" s="4">
        <f>IF(J523="","",IF(OR(J523="Recebido",F523=""),MAX(0,F523-E523),MAX(0,$B$4-E523)))</f>
        <v/>
      </c>
      <c r="L523" s="4">
        <f>IF(K523="","",IF(K523=0,"Em dia",IF(K523&lt;=30,"1-30 dias",IF(K523&lt;=60,"31-60 dias",IF(K523&lt;=90,"61-90 dias","&gt;90 dias")))))</f>
        <v/>
      </c>
      <c r="M523" s="28" t="n"/>
      <c r="N523" s="104" t="inlineStr"/>
      <c r="O523" s="64" t="n"/>
      <c r="P523" s="64">
        <f>IF(C523="","",IF(ISNUMBER(SEARCH("PCMSO",C523)),"PCMSO",IF(OR(ISNUMBER(SEARCH("E-SOCIAL",C523)),ISNUMBER(SEARCH("PSICOSOCIAL",C523))),"eSocial / Psicossocial",IF(O523="Receita recorrente","Carteira recorrente","Projetos / Laudos / Avulsos"))))</f>
        <v/>
      </c>
      <c r="Q523" s="64">
        <f>IF(P523="","",IF(P523="Carteira recorrente","Operação recorrente",IF(P523="PCMSO","Projetos PCMSO",IF(P523="eSocial / Psicossocial","Projetos eSocial/Psicossocial","Projetos / Laudos / Avulsos"))))</f>
        <v/>
      </c>
      <c r="R523" s="64">
        <f>IF(C523="","",IF(ISNUMBER(SEARCH("PCMSO",C523)),"Título com PCMSO no nome",IF(OR(ISNUMBER(SEARCH("E-SOCIAL",C523)),ISNUMBER(SEARCH("PSICOSOCIAL",C523))),"Título com eSocial/Psicossocial no nome",IF(O523="Receita recorrente","Tipo DRE recorrente","Extra sem palavra-chave específica"))))</f>
        <v/>
      </c>
      <c r="S523" s="92">
        <f>IFERROR(VLOOKUP($A523,'13. Mapa Títulos-Receita'!$A$8:$P$1000,4,FALSE),"")</f>
        <v/>
      </c>
      <c r="T523" s="92">
        <f>IFERROR(VLOOKUP($A523,'13. Mapa Títulos-Receita'!$A$8:$P$1000,5,FALSE),"")</f>
        <v/>
      </c>
      <c r="U523" s="92">
        <f>IFERROR(VLOOKUP($A523,'13. Mapa Títulos-Receita'!$A$8:$P$1000,6,FALSE),"")</f>
        <v/>
      </c>
      <c r="V523" s="92">
        <f>IFERROR(VLOOKUP($A523,'13. Mapa Títulos-Receita'!$A$8:$P$1000,7,FALSE),"")</f>
        <v/>
      </c>
      <c r="W523" s="92">
        <f>IFERROR(VLOOKUP($A523,'13. Mapa Títulos-Receita'!$A$8:$P$1000,8,FALSE),"")</f>
        <v/>
      </c>
      <c r="X523" s="92">
        <f>IFERROR(VLOOKUP($A523,'13. Mapa Títulos-Receita'!$A$8:$P$1000,9,FALSE),"")</f>
        <v/>
      </c>
      <c r="Y523" s="92">
        <f>IFERROR(VLOOKUP($A523,'13. Mapa Títulos-Receita'!$A$8:$P$1000,10,FALSE),"")</f>
        <v/>
      </c>
      <c r="Z523" s="92">
        <f>IFERROR(VLOOKUP($A523,'13. Mapa Títulos-Receita'!$A$8:$P$1000,11,FALSE),"")</f>
        <v/>
      </c>
      <c r="AA523" s="92">
        <f>IFERROR(VLOOKUP($A523,'13. Mapa Títulos-Receita'!$A$8:$P$1000,12,FALSE),"")</f>
        <v/>
      </c>
      <c r="AB523" s="92">
        <f>IFERROR(VLOOKUP($A523,'13. Mapa Títulos-Receita'!$A$8:$P$1000,13,FALSE),"")</f>
        <v/>
      </c>
      <c r="AC523" s="92">
        <f>IFERROR(VLOOKUP($A523,'13. Mapa Títulos-Receita'!$A$8:$P$1000,14,FALSE),"")</f>
        <v/>
      </c>
      <c r="AD523" s="92">
        <f>IFERROR(VLOOKUP($A523,'13. Mapa Títulos-Receita'!$A$8:$P$1000,15,FALSE),"")</f>
        <v/>
      </c>
      <c r="AE523" s="92">
        <f>IFERROR(VLOOKUP($A523,'13. Mapa Títulos-Receita'!$A$8:$P$1000,16,FALSE),"")</f>
        <v/>
      </c>
    </row>
    <row r="524">
      <c r="A524" s="28">
        <f>IF(C524="","", "CR-"&amp;TEXT(ROW()-7,"000"))</f>
        <v/>
      </c>
      <c r="B524" s="28" t="n"/>
      <c r="C524" s="28" t="n"/>
      <c r="D524" s="111" t="n"/>
      <c r="E524" s="111" t="n"/>
      <c r="F524" s="111" t="n"/>
      <c r="G524" s="28" t="n"/>
      <c r="H524" s="45" t="n"/>
      <c r="I524" s="45" t="n"/>
      <c r="J524" s="28">
        <f>IF(H524="","",IF(I524&gt;=H524,"Recebido",IF($B$4&gt;E524,"Vencido","Aberto")))</f>
        <v/>
      </c>
      <c r="K524" s="4">
        <f>IF(J524="","",IF(OR(J524="Recebido",F524=""),MAX(0,F524-E524),MAX(0,$B$4-E524)))</f>
        <v/>
      </c>
      <c r="L524" s="4">
        <f>IF(K524="","",IF(K524=0,"Em dia",IF(K524&lt;=30,"1-30 dias",IF(K524&lt;=60,"31-60 dias",IF(K524&lt;=90,"61-90 dias","&gt;90 dias")))))</f>
        <v/>
      </c>
      <c r="M524" s="28" t="n"/>
      <c r="N524" s="104" t="inlineStr"/>
      <c r="O524" s="64" t="n"/>
      <c r="P524" s="64">
        <f>IF(C524="","",IF(ISNUMBER(SEARCH("PCMSO",C524)),"PCMSO",IF(OR(ISNUMBER(SEARCH("E-SOCIAL",C524)),ISNUMBER(SEARCH("PSICOSOCIAL",C524))),"eSocial / Psicossocial",IF(O524="Receita recorrente","Carteira recorrente","Projetos / Laudos / Avulsos"))))</f>
        <v/>
      </c>
      <c r="Q524" s="64">
        <f>IF(P524="","",IF(P524="Carteira recorrente","Operação recorrente",IF(P524="PCMSO","Projetos PCMSO",IF(P524="eSocial / Psicossocial","Projetos eSocial/Psicossocial","Projetos / Laudos / Avulsos"))))</f>
        <v/>
      </c>
      <c r="R524" s="64">
        <f>IF(C524="","",IF(ISNUMBER(SEARCH("PCMSO",C524)),"Título com PCMSO no nome",IF(OR(ISNUMBER(SEARCH("E-SOCIAL",C524)),ISNUMBER(SEARCH("PSICOSOCIAL",C524))),"Título com eSocial/Psicossocial no nome",IF(O524="Receita recorrente","Tipo DRE recorrente","Extra sem palavra-chave específica"))))</f>
        <v/>
      </c>
      <c r="S524" s="92">
        <f>IFERROR(VLOOKUP($A524,'13. Mapa Títulos-Receita'!$A$8:$P$1000,4,FALSE),"")</f>
        <v/>
      </c>
      <c r="T524" s="92">
        <f>IFERROR(VLOOKUP($A524,'13. Mapa Títulos-Receita'!$A$8:$P$1000,5,FALSE),"")</f>
        <v/>
      </c>
      <c r="U524" s="92">
        <f>IFERROR(VLOOKUP($A524,'13. Mapa Títulos-Receita'!$A$8:$P$1000,6,FALSE),"")</f>
        <v/>
      </c>
      <c r="V524" s="92">
        <f>IFERROR(VLOOKUP($A524,'13. Mapa Títulos-Receita'!$A$8:$P$1000,7,FALSE),"")</f>
        <v/>
      </c>
      <c r="W524" s="92">
        <f>IFERROR(VLOOKUP($A524,'13. Mapa Títulos-Receita'!$A$8:$P$1000,8,FALSE),"")</f>
        <v/>
      </c>
      <c r="X524" s="92">
        <f>IFERROR(VLOOKUP($A524,'13. Mapa Títulos-Receita'!$A$8:$P$1000,9,FALSE),"")</f>
        <v/>
      </c>
      <c r="Y524" s="92">
        <f>IFERROR(VLOOKUP($A524,'13. Mapa Títulos-Receita'!$A$8:$P$1000,10,FALSE),"")</f>
        <v/>
      </c>
      <c r="Z524" s="92">
        <f>IFERROR(VLOOKUP($A524,'13. Mapa Títulos-Receita'!$A$8:$P$1000,11,FALSE),"")</f>
        <v/>
      </c>
      <c r="AA524" s="92">
        <f>IFERROR(VLOOKUP($A524,'13. Mapa Títulos-Receita'!$A$8:$P$1000,12,FALSE),"")</f>
        <v/>
      </c>
      <c r="AB524" s="92">
        <f>IFERROR(VLOOKUP($A524,'13. Mapa Títulos-Receita'!$A$8:$P$1000,13,FALSE),"")</f>
        <v/>
      </c>
      <c r="AC524" s="92">
        <f>IFERROR(VLOOKUP($A524,'13. Mapa Títulos-Receita'!$A$8:$P$1000,14,FALSE),"")</f>
        <v/>
      </c>
      <c r="AD524" s="92">
        <f>IFERROR(VLOOKUP($A524,'13. Mapa Títulos-Receita'!$A$8:$P$1000,15,FALSE),"")</f>
        <v/>
      </c>
      <c r="AE524" s="92">
        <f>IFERROR(VLOOKUP($A524,'13. Mapa Títulos-Receita'!$A$8:$P$1000,16,FALSE),"")</f>
        <v/>
      </c>
    </row>
    <row r="525">
      <c r="A525" s="28">
        <f>IF(C525="","", "CR-"&amp;TEXT(ROW()-7,"000"))</f>
        <v/>
      </c>
      <c r="B525" s="28" t="n"/>
      <c r="C525" s="28" t="n"/>
      <c r="D525" s="111" t="n"/>
      <c r="E525" s="111" t="n"/>
      <c r="F525" s="111" t="n"/>
      <c r="G525" s="28" t="n"/>
      <c r="H525" s="45" t="n"/>
      <c r="I525" s="45" t="n"/>
      <c r="J525" s="28">
        <f>IF(H525="","",IF(I525&gt;=H525,"Recebido",IF($B$4&gt;E525,"Vencido","Aberto")))</f>
        <v/>
      </c>
      <c r="K525" s="4">
        <f>IF(J525="","",IF(OR(J525="Recebido",F525=""),MAX(0,F525-E525),MAX(0,$B$4-E525)))</f>
        <v/>
      </c>
      <c r="L525" s="4">
        <f>IF(K525="","",IF(K525=0,"Em dia",IF(K525&lt;=30,"1-30 dias",IF(K525&lt;=60,"31-60 dias",IF(K525&lt;=90,"61-90 dias","&gt;90 dias")))))</f>
        <v/>
      </c>
      <c r="M525" s="28" t="n"/>
      <c r="N525" s="104" t="inlineStr"/>
      <c r="O525" s="64" t="n"/>
      <c r="P525" s="64">
        <f>IF(C525="","",IF(ISNUMBER(SEARCH("PCMSO",C525)),"PCMSO",IF(OR(ISNUMBER(SEARCH("E-SOCIAL",C525)),ISNUMBER(SEARCH("PSICOSOCIAL",C525))),"eSocial / Psicossocial",IF(O525="Receita recorrente","Carteira recorrente","Projetos / Laudos / Avulsos"))))</f>
        <v/>
      </c>
      <c r="Q525" s="64">
        <f>IF(P525="","",IF(P525="Carteira recorrente","Operação recorrente",IF(P525="PCMSO","Projetos PCMSO",IF(P525="eSocial / Psicossocial","Projetos eSocial/Psicossocial","Projetos / Laudos / Avulsos"))))</f>
        <v/>
      </c>
      <c r="R525" s="64">
        <f>IF(C525="","",IF(ISNUMBER(SEARCH("PCMSO",C525)),"Título com PCMSO no nome",IF(OR(ISNUMBER(SEARCH("E-SOCIAL",C525)),ISNUMBER(SEARCH("PSICOSOCIAL",C525))),"Título com eSocial/Psicossocial no nome",IF(O525="Receita recorrente","Tipo DRE recorrente","Extra sem palavra-chave específica"))))</f>
        <v/>
      </c>
      <c r="S525" s="92">
        <f>IFERROR(VLOOKUP($A525,'13. Mapa Títulos-Receita'!$A$8:$P$1000,4,FALSE),"")</f>
        <v/>
      </c>
      <c r="T525" s="92">
        <f>IFERROR(VLOOKUP($A525,'13. Mapa Títulos-Receita'!$A$8:$P$1000,5,FALSE),"")</f>
        <v/>
      </c>
      <c r="U525" s="92">
        <f>IFERROR(VLOOKUP($A525,'13. Mapa Títulos-Receita'!$A$8:$P$1000,6,FALSE),"")</f>
        <v/>
      </c>
      <c r="V525" s="92">
        <f>IFERROR(VLOOKUP($A525,'13. Mapa Títulos-Receita'!$A$8:$P$1000,7,FALSE),"")</f>
        <v/>
      </c>
      <c r="W525" s="92">
        <f>IFERROR(VLOOKUP($A525,'13. Mapa Títulos-Receita'!$A$8:$P$1000,8,FALSE),"")</f>
        <v/>
      </c>
      <c r="X525" s="92">
        <f>IFERROR(VLOOKUP($A525,'13. Mapa Títulos-Receita'!$A$8:$P$1000,9,FALSE),"")</f>
        <v/>
      </c>
      <c r="Y525" s="92">
        <f>IFERROR(VLOOKUP($A525,'13. Mapa Títulos-Receita'!$A$8:$P$1000,10,FALSE),"")</f>
        <v/>
      </c>
      <c r="Z525" s="92">
        <f>IFERROR(VLOOKUP($A525,'13. Mapa Títulos-Receita'!$A$8:$P$1000,11,FALSE),"")</f>
        <v/>
      </c>
      <c r="AA525" s="92">
        <f>IFERROR(VLOOKUP($A525,'13. Mapa Títulos-Receita'!$A$8:$P$1000,12,FALSE),"")</f>
        <v/>
      </c>
      <c r="AB525" s="92">
        <f>IFERROR(VLOOKUP($A525,'13. Mapa Títulos-Receita'!$A$8:$P$1000,13,FALSE),"")</f>
        <v/>
      </c>
      <c r="AC525" s="92">
        <f>IFERROR(VLOOKUP($A525,'13. Mapa Títulos-Receita'!$A$8:$P$1000,14,FALSE),"")</f>
        <v/>
      </c>
      <c r="AD525" s="92">
        <f>IFERROR(VLOOKUP($A525,'13. Mapa Títulos-Receita'!$A$8:$P$1000,15,FALSE),"")</f>
        <v/>
      </c>
      <c r="AE525" s="92">
        <f>IFERROR(VLOOKUP($A525,'13. Mapa Títulos-Receita'!$A$8:$P$1000,16,FALSE),"")</f>
        <v/>
      </c>
    </row>
    <row r="526">
      <c r="A526" s="28">
        <f>IF(C526="","", "CR-"&amp;TEXT(ROW()-7,"000"))</f>
        <v/>
      </c>
      <c r="B526" s="28" t="n"/>
      <c r="C526" s="28" t="n"/>
      <c r="D526" s="111" t="n"/>
      <c r="E526" s="111" t="n"/>
      <c r="F526" s="111" t="n"/>
      <c r="G526" s="28" t="n"/>
      <c r="H526" s="45" t="n"/>
      <c r="I526" s="45" t="n"/>
      <c r="J526" s="28">
        <f>IF(H526="","",IF(I526&gt;=H526,"Recebido",IF($B$4&gt;E526,"Vencido","Aberto")))</f>
        <v/>
      </c>
      <c r="K526" s="4">
        <f>IF(J526="","",IF(OR(J526="Recebido",F526=""),MAX(0,F526-E526),MAX(0,$B$4-E526)))</f>
        <v/>
      </c>
      <c r="L526" s="4">
        <f>IF(K526="","",IF(K526=0,"Em dia",IF(K526&lt;=30,"1-30 dias",IF(K526&lt;=60,"31-60 dias",IF(K526&lt;=90,"61-90 dias","&gt;90 dias")))))</f>
        <v/>
      </c>
      <c r="M526" s="28" t="n"/>
      <c r="N526" s="104" t="inlineStr"/>
      <c r="O526" s="64" t="n"/>
      <c r="P526" s="64">
        <f>IF(C526="","",IF(ISNUMBER(SEARCH("PCMSO",C526)),"PCMSO",IF(OR(ISNUMBER(SEARCH("E-SOCIAL",C526)),ISNUMBER(SEARCH("PSICOSOCIAL",C526))),"eSocial / Psicossocial",IF(O526="Receita recorrente","Carteira recorrente","Projetos / Laudos / Avulsos"))))</f>
        <v/>
      </c>
      <c r="Q526" s="64">
        <f>IF(P526="","",IF(P526="Carteira recorrente","Operação recorrente",IF(P526="PCMSO","Projetos PCMSO",IF(P526="eSocial / Psicossocial","Projetos eSocial/Psicossocial","Projetos / Laudos / Avulsos"))))</f>
        <v/>
      </c>
      <c r="R526" s="64">
        <f>IF(C526="","",IF(ISNUMBER(SEARCH("PCMSO",C526)),"Título com PCMSO no nome",IF(OR(ISNUMBER(SEARCH("E-SOCIAL",C526)),ISNUMBER(SEARCH("PSICOSOCIAL",C526))),"Título com eSocial/Psicossocial no nome",IF(O526="Receita recorrente","Tipo DRE recorrente","Extra sem palavra-chave específica"))))</f>
        <v/>
      </c>
      <c r="S526" s="92">
        <f>IFERROR(VLOOKUP($A526,'13. Mapa Títulos-Receita'!$A$8:$P$1000,4,FALSE),"")</f>
        <v/>
      </c>
      <c r="T526" s="92">
        <f>IFERROR(VLOOKUP($A526,'13. Mapa Títulos-Receita'!$A$8:$P$1000,5,FALSE),"")</f>
        <v/>
      </c>
      <c r="U526" s="92">
        <f>IFERROR(VLOOKUP($A526,'13. Mapa Títulos-Receita'!$A$8:$P$1000,6,FALSE),"")</f>
        <v/>
      </c>
      <c r="V526" s="92">
        <f>IFERROR(VLOOKUP($A526,'13. Mapa Títulos-Receita'!$A$8:$P$1000,7,FALSE),"")</f>
        <v/>
      </c>
      <c r="W526" s="92">
        <f>IFERROR(VLOOKUP($A526,'13. Mapa Títulos-Receita'!$A$8:$P$1000,8,FALSE),"")</f>
        <v/>
      </c>
      <c r="X526" s="92">
        <f>IFERROR(VLOOKUP($A526,'13. Mapa Títulos-Receita'!$A$8:$P$1000,9,FALSE),"")</f>
        <v/>
      </c>
      <c r="Y526" s="92">
        <f>IFERROR(VLOOKUP($A526,'13. Mapa Títulos-Receita'!$A$8:$P$1000,10,FALSE),"")</f>
        <v/>
      </c>
      <c r="Z526" s="92">
        <f>IFERROR(VLOOKUP($A526,'13. Mapa Títulos-Receita'!$A$8:$P$1000,11,FALSE),"")</f>
        <v/>
      </c>
      <c r="AA526" s="92">
        <f>IFERROR(VLOOKUP($A526,'13. Mapa Títulos-Receita'!$A$8:$P$1000,12,FALSE),"")</f>
        <v/>
      </c>
      <c r="AB526" s="92">
        <f>IFERROR(VLOOKUP($A526,'13. Mapa Títulos-Receita'!$A$8:$P$1000,13,FALSE),"")</f>
        <v/>
      </c>
      <c r="AC526" s="92">
        <f>IFERROR(VLOOKUP($A526,'13. Mapa Títulos-Receita'!$A$8:$P$1000,14,FALSE),"")</f>
        <v/>
      </c>
      <c r="AD526" s="92">
        <f>IFERROR(VLOOKUP($A526,'13. Mapa Títulos-Receita'!$A$8:$P$1000,15,FALSE),"")</f>
        <v/>
      </c>
      <c r="AE526" s="92">
        <f>IFERROR(VLOOKUP($A526,'13. Mapa Títulos-Receita'!$A$8:$P$1000,16,FALSE),"")</f>
        <v/>
      </c>
    </row>
    <row r="527">
      <c r="A527" s="28">
        <f>IF(C527="","", "CR-"&amp;TEXT(ROW()-7,"000"))</f>
        <v/>
      </c>
      <c r="B527" s="28" t="n"/>
      <c r="C527" s="28" t="n"/>
      <c r="D527" s="111" t="n"/>
      <c r="E527" s="111" t="n"/>
      <c r="F527" s="111" t="n"/>
      <c r="G527" s="28" t="n"/>
      <c r="H527" s="45" t="n"/>
      <c r="I527" s="45" t="n"/>
      <c r="J527" s="28">
        <f>IF(H527="","",IF(I527&gt;=H527,"Recebido",IF($B$4&gt;E527,"Vencido","Aberto")))</f>
        <v/>
      </c>
      <c r="K527" s="4">
        <f>IF(J527="","",IF(OR(J527="Recebido",F527=""),MAX(0,F527-E527),MAX(0,$B$4-E527)))</f>
        <v/>
      </c>
      <c r="L527" s="4">
        <f>IF(K527="","",IF(K527=0,"Em dia",IF(K527&lt;=30,"1-30 dias",IF(K527&lt;=60,"31-60 dias",IF(K527&lt;=90,"61-90 dias","&gt;90 dias")))))</f>
        <v/>
      </c>
      <c r="M527" s="28" t="n"/>
      <c r="N527" s="104" t="inlineStr"/>
      <c r="O527" s="64" t="n"/>
      <c r="P527" s="64">
        <f>IF(C527="","",IF(ISNUMBER(SEARCH("PCMSO",C527)),"PCMSO",IF(OR(ISNUMBER(SEARCH("E-SOCIAL",C527)),ISNUMBER(SEARCH("PSICOSOCIAL",C527))),"eSocial / Psicossocial",IF(O527="Receita recorrente","Carteira recorrente","Projetos / Laudos / Avulsos"))))</f>
        <v/>
      </c>
      <c r="Q527" s="64">
        <f>IF(P527="","",IF(P527="Carteira recorrente","Operação recorrente",IF(P527="PCMSO","Projetos PCMSO",IF(P527="eSocial / Psicossocial","Projetos eSocial/Psicossocial","Projetos / Laudos / Avulsos"))))</f>
        <v/>
      </c>
      <c r="R527" s="64">
        <f>IF(C527="","",IF(ISNUMBER(SEARCH("PCMSO",C527)),"Título com PCMSO no nome",IF(OR(ISNUMBER(SEARCH("E-SOCIAL",C527)),ISNUMBER(SEARCH("PSICOSOCIAL",C527))),"Título com eSocial/Psicossocial no nome",IF(O527="Receita recorrente","Tipo DRE recorrente","Extra sem palavra-chave específica"))))</f>
        <v/>
      </c>
      <c r="S527" s="92">
        <f>IFERROR(VLOOKUP($A527,'13. Mapa Títulos-Receita'!$A$8:$P$1000,4,FALSE),"")</f>
        <v/>
      </c>
      <c r="T527" s="92">
        <f>IFERROR(VLOOKUP($A527,'13. Mapa Títulos-Receita'!$A$8:$P$1000,5,FALSE),"")</f>
        <v/>
      </c>
      <c r="U527" s="92">
        <f>IFERROR(VLOOKUP($A527,'13. Mapa Títulos-Receita'!$A$8:$P$1000,6,FALSE),"")</f>
        <v/>
      </c>
      <c r="V527" s="92">
        <f>IFERROR(VLOOKUP($A527,'13. Mapa Títulos-Receita'!$A$8:$P$1000,7,FALSE),"")</f>
        <v/>
      </c>
      <c r="W527" s="92">
        <f>IFERROR(VLOOKUP($A527,'13. Mapa Títulos-Receita'!$A$8:$P$1000,8,FALSE),"")</f>
        <v/>
      </c>
      <c r="X527" s="92">
        <f>IFERROR(VLOOKUP($A527,'13. Mapa Títulos-Receita'!$A$8:$P$1000,9,FALSE),"")</f>
        <v/>
      </c>
      <c r="Y527" s="92">
        <f>IFERROR(VLOOKUP($A527,'13. Mapa Títulos-Receita'!$A$8:$P$1000,10,FALSE),"")</f>
        <v/>
      </c>
      <c r="Z527" s="92">
        <f>IFERROR(VLOOKUP($A527,'13. Mapa Títulos-Receita'!$A$8:$P$1000,11,FALSE),"")</f>
        <v/>
      </c>
      <c r="AA527" s="92">
        <f>IFERROR(VLOOKUP($A527,'13. Mapa Títulos-Receita'!$A$8:$P$1000,12,FALSE),"")</f>
        <v/>
      </c>
      <c r="AB527" s="92">
        <f>IFERROR(VLOOKUP($A527,'13. Mapa Títulos-Receita'!$A$8:$P$1000,13,FALSE),"")</f>
        <v/>
      </c>
      <c r="AC527" s="92">
        <f>IFERROR(VLOOKUP($A527,'13. Mapa Títulos-Receita'!$A$8:$P$1000,14,FALSE),"")</f>
        <v/>
      </c>
      <c r="AD527" s="92">
        <f>IFERROR(VLOOKUP($A527,'13. Mapa Títulos-Receita'!$A$8:$P$1000,15,FALSE),"")</f>
        <v/>
      </c>
      <c r="AE527" s="92">
        <f>IFERROR(VLOOKUP($A527,'13. Mapa Títulos-Receita'!$A$8:$P$1000,16,FALSE),"")</f>
        <v/>
      </c>
    </row>
    <row r="528">
      <c r="A528" s="28">
        <f>IF(C528="","", "CR-"&amp;TEXT(ROW()-7,"000"))</f>
        <v/>
      </c>
      <c r="B528" s="28" t="n"/>
      <c r="C528" s="28" t="n"/>
      <c r="D528" s="111" t="n"/>
      <c r="E528" s="111" t="n"/>
      <c r="F528" s="111" t="n"/>
      <c r="G528" s="28" t="n"/>
      <c r="H528" s="45" t="n"/>
      <c r="I528" s="45" t="n"/>
      <c r="J528" s="28">
        <f>IF(H528="","",IF(I528&gt;=H528,"Recebido",IF($B$4&gt;E528,"Vencido","Aberto")))</f>
        <v/>
      </c>
      <c r="K528" s="4">
        <f>IF(J528="","",IF(OR(J528="Recebido",F528=""),MAX(0,F528-E528),MAX(0,$B$4-E528)))</f>
        <v/>
      </c>
      <c r="L528" s="4">
        <f>IF(K528="","",IF(K528=0,"Em dia",IF(K528&lt;=30,"1-30 dias",IF(K528&lt;=60,"31-60 dias",IF(K528&lt;=90,"61-90 dias","&gt;90 dias")))))</f>
        <v/>
      </c>
      <c r="M528" s="28" t="n"/>
      <c r="N528" s="104" t="inlineStr"/>
      <c r="O528" s="64" t="n"/>
      <c r="P528" s="64">
        <f>IF(C528="","",IF(ISNUMBER(SEARCH("PCMSO",C528)),"PCMSO",IF(OR(ISNUMBER(SEARCH("E-SOCIAL",C528)),ISNUMBER(SEARCH("PSICOSOCIAL",C528))),"eSocial / Psicossocial",IF(O528="Receita recorrente","Carteira recorrente","Projetos / Laudos / Avulsos"))))</f>
        <v/>
      </c>
      <c r="Q528" s="64">
        <f>IF(P528="","",IF(P528="Carteira recorrente","Operação recorrente",IF(P528="PCMSO","Projetos PCMSO",IF(P528="eSocial / Psicossocial","Projetos eSocial/Psicossocial","Projetos / Laudos / Avulsos"))))</f>
        <v/>
      </c>
      <c r="R528" s="64">
        <f>IF(C528="","",IF(ISNUMBER(SEARCH("PCMSO",C528)),"Título com PCMSO no nome",IF(OR(ISNUMBER(SEARCH("E-SOCIAL",C528)),ISNUMBER(SEARCH("PSICOSOCIAL",C528))),"Título com eSocial/Psicossocial no nome",IF(O528="Receita recorrente","Tipo DRE recorrente","Extra sem palavra-chave específica"))))</f>
        <v/>
      </c>
      <c r="S528" s="92">
        <f>IFERROR(VLOOKUP($A528,'13. Mapa Títulos-Receita'!$A$8:$P$1000,4,FALSE),"")</f>
        <v/>
      </c>
      <c r="T528" s="92">
        <f>IFERROR(VLOOKUP($A528,'13. Mapa Títulos-Receita'!$A$8:$P$1000,5,FALSE),"")</f>
        <v/>
      </c>
      <c r="U528" s="92">
        <f>IFERROR(VLOOKUP($A528,'13. Mapa Títulos-Receita'!$A$8:$P$1000,6,FALSE),"")</f>
        <v/>
      </c>
      <c r="V528" s="92">
        <f>IFERROR(VLOOKUP($A528,'13. Mapa Títulos-Receita'!$A$8:$P$1000,7,FALSE),"")</f>
        <v/>
      </c>
      <c r="W528" s="92">
        <f>IFERROR(VLOOKUP($A528,'13. Mapa Títulos-Receita'!$A$8:$P$1000,8,FALSE),"")</f>
        <v/>
      </c>
      <c r="X528" s="92">
        <f>IFERROR(VLOOKUP($A528,'13. Mapa Títulos-Receita'!$A$8:$P$1000,9,FALSE),"")</f>
        <v/>
      </c>
      <c r="Y528" s="92">
        <f>IFERROR(VLOOKUP($A528,'13. Mapa Títulos-Receita'!$A$8:$P$1000,10,FALSE),"")</f>
        <v/>
      </c>
      <c r="Z528" s="92">
        <f>IFERROR(VLOOKUP($A528,'13. Mapa Títulos-Receita'!$A$8:$P$1000,11,FALSE),"")</f>
        <v/>
      </c>
      <c r="AA528" s="92">
        <f>IFERROR(VLOOKUP($A528,'13. Mapa Títulos-Receita'!$A$8:$P$1000,12,FALSE),"")</f>
        <v/>
      </c>
      <c r="AB528" s="92">
        <f>IFERROR(VLOOKUP($A528,'13. Mapa Títulos-Receita'!$A$8:$P$1000,13,FALSE),"")</f>
        <v/>
      </c>
      <c r="AC528" s="92">
        <f>IFERROR(VLOOKUP($A528,'13. Mapa Títulos-Receita'!$A$8:$P$1000,14,FALSE),"")</f>
        <v/>
      </c>
      <c r="AD528" s="92">
        <f>IFERROR(VLOOKUP($A528,'13. Mapa Títulos-Receita'!$A$8:$P$1000,15,FALSE),"")</f>
        <v/>
      </c>
      <c r="AE528" s="92">
        <f>IFERROR(VLOOKUP($A528,'13. Mapa Títulos-Receita'!$A$8:$P$1000,16,FALSE),"")</f>
        <v/>
      </c>
    </row>
    <row r="529">
      <c r="A529" s="28">
        <f>IF(C529="","", "CR-"&amp;TEXT(ROW()-7,"000"))</f>
        <v/>
      </c>
      <c r="B529" s="28" t="n"/>
      <c r="C529" s="28" t="n"/>
      <c r="D529" s="111" t="n"/>
      <c r="E529" s="111" t="n"/>
      <c r="F529" s="111" t="n"/>
      <c r="G529" s="28" t="n"/>
      <c r="H529" s="45" t="n"/>
      <c r="I529" s="45" t="n"/>
      <c r="J529" s="28">
        <f>IF(H529="","",IF(I529&gt;=H529,"Recebido",IF($B$4&gt;E529,"Vencido","Aberto")))</f>
        <v/>
      </c>
      <c r="K529" s="4">
        <f>IF(J529="","",IF(OR(J529="Recebido",F529=""),MAX(0,F529-E529),MAX(0,$B$4-E529)))</f>
        <v/>
      </c>
      <c r="L529" s="4">
        <f>IF(K529="","",IF(K529=0,"Em dia",IF(K529&lt;=30,"1-30 dias",IF(K529&lt;=60,"31-60 dias",IF(K529&lt;=90,"61-90 dias","&gt;90 dias")))))</f>
        <v/>
      </c>
      <c r="M529" s="28" t="n"/>
      <c r="N529" s="104" t="inlineStr"/>
      <c r="O529" s="64" t="n"/>
      <c r="P529" s="64">
        <f>IF(C529="","",IF(ISNUMBER(SEARCH("PCMSO",C529)),"PCMSO",IF(OR(ISNUMBER(SEARCH("E-SOCIAL",C529)),ISNUMBER(SEARCH("PSICOSOCIAL",C529))),"eSocial / Psicossocial",IF(O529="Receita recorrente","Carteira recorrente","Projetos / Laudos / Avulsos"))))</f>
        <v/>
      </c>
      <c r="Q529" s="64">
        <f>IF(P529="","",IF(P529="Carteira recorrente","Operação recorrente",IF(P529="PCMSO","Projetos PCMSO",IF(P529="eSocial / Psicossocial","Projetos eSocial/Psicossocial","Projetos / Laudos / Avulsos"))))</f>
        <v/>
      </c>
      <c r="R529" s="64">
        <f>IF(C529="","",IF(ISNUMBER(SEARCH("PCMSO",C529)),"Título com PCMSO no nome",IF(OR(ISNUMBER(SEARCH("E-SOCIAL",C529)),ISNUMBER(SEARCH("PSICOSOCIAL",C529))),"Título com eSocial/Psicossocial no nome",IF(O529="Receita recorrente","Tipo DRE recorrente","Extra sem palavra-chave específica"))))</f>
        <v/>
      </c>
      <c r="S529" s="92">
        <f>IFERROR(VLOOKUP($A529,'13. Mapa Títulos-Receita'!$A$8:$P$1000,4,FALSE),"")</f>
        <v/>
      </c>
      <c r="T529" s="92">
        <f>IFERROR(VLOOKUP($A529,'13. Mapa Títulos-Receita'!$A$8:$P$1000,5,FALSE),"")</f>
        <v/>
      </c>
      <c r="U529" s="92">
        <f>IFERROR(VLOOKUP($A529,'13. Mapa Títulos-Receita'!$A$8:$P$1000,6,FALSE),"")</f>
        <v/>
      </c>
      <c r="V529" s="92">
        <f>IFERROR(VLOOKUP($A529,'13. Mapa Títulos-Receita'!$A$8:$P$1000,7,FALSE),"")</f>
        <v/>
      </c>
      <c r="W529" s="92">
        <f>IFERROR(VLOOKUP($A529,'13. Mapa Títulos-Receita'!$A$8:$P$1000,8,FALSE),"")</f>
        <v/>
      </c>
      <c r="X529" s="92">
        <f>IFERROR(VLOOKUP($A529,'13. Mapa Títulos-Receita'!$A$8:$P$1000,9,FALSE),"")</f>
        <v/>
      </c>
      <c r="Y529" s="92">
        <f>IFERROR(VLOOKUP($A529,'13. Mapa Títulos-Receita'!$A$8:$P$1000,10,FALSE),"")</f>
        <v/>
      </c>
      <c r="Z529" s="92">
        <f>IFERROR(VLOOKUP($A529,'13. Mapa Títulos-Receita'!$A$8:$P$1000,11,FALSE),"")</f>
        <v/>
      </c>
      <c r="AA529" s="92">
        <f>IFERROR(VLOOKUP($A529,'13. Mapa Títulos-Receita'!$A$8:$P$1000,12,FALSE),"")</f>
        <v/>
      </c>
      <c r="AB529" s="92">
        <f>IFERROR(VLOOKUP($A529,'13. Mapa Títulos-Receita'!$A$8:$P$1000,13,FALSE),"")</f>
        <v/>
      </c>
      <c r="AC529" s="92">
        <f>IFERROR(VLOOKUP($A529,'13. Mapa Títulos-Receita'!$A$8:$P$1000,14,FALSE),"")</f>
        <v/>
      </c>
      <c r="AD529" s="92">
        <f>IFERROR(VLOOKUP($A529,'13. Mapa Títulos-Receita'!$A$8:$P$1000,15,FALSE),"")</f>
        <v/>
      </c>
      <c r="AE529" s="92">
        <f>IFERROR(VLOOKUP($A529,'13. Mapa Títulos-Receita'!$A$8:$P$1000,16,FALSE),"")</f>
        <v/>
      </c>
    </row>
    <row r="530">
      <c r="A530" s="28">
        <f>IF(C530="","", "CR-"&amp;TEXT(ROW()-7,"000"))</f>
        <v/>
      </c>
      <c r="B530" s="28" t="n"/>
      <c r="C530" s="28" t="n"/>
      <c r="D530" s="111" t="n"/>
      <c r="E530" s="111" t="n"/>
      <c r="F530" s="111" t="n"/>
      <c r="G530" s="28" t="n"/>
      <c r="H530" s="45" t="n"/>
      <c r="I530" s="45" t="n"/>
      <c r="J530" s="28">
        <f>IF(H530="","",IF(I530&gt;=H530,"Recebido",IF($B$4&gt;E530,"Vencido","Aberto")))</f>
        <v/>
      </c>
      <c r="K530" s="4">
        <f>IF(J530="","",IF(OR(J530="Recebido",F530=""),MAX(0,F530-E530),MAX(0,$B$4-E530)))</f>
        <v/>
      </c>
      <c r="L530" s="4">
        <f>IF(K530="","",IF(K530=0,"Em dia",IF(K530&lt;=30,"1-30 dias",IF(K530&lt;=60,"31-60 dias",IF(K530&lt;=90,"61-90 dias","&gt;90 dias")))))</f>
        <v/>
      </c>
      <c r="M530" s="28" t="n"/>
      <c r="N530" s="104" t="inlineStr"/>
      <c r="O530" s="64" t="n"/>
      <c r="P530" s="64">
        <f>IF(C530="","",IF(ISNUMBER(SEARCH("PCMSO",C530)),"PCMSO",IF(OR(ISNUMBER(SEARCH("E-SOCIAL",C530)),ISNUMBER(SEARCH("PSICOSOCIAL",C530))),"eSocial / Psicossocial",IF(O530="Receita recorrente","Carteira recorrente","Projetos / Laudos / Avulsos"))))</f>
        <v/>
      </c>
      <c r="Q530" s="64">
        <f>IF(P530="","",IF(P530="Carteira recorrente","Operação recorrente",IF(P530="PCMSO","Projetos PCMSO",IF(P530="eSocial / Psicossocial","Projetos eSocial/Psicossocial","Projetos / Laudos / Avulsos"))))</f>
        <v/>
      </c>
      <c r="R530" s="64">
        <f>IF(C530="","",IF(ISNUMBER(SEARCH("PCMSO",C530)),"Título com PCMSO no nome",IF(OR(ISNUMBER(SEARCH("E-SOCIAL",C530)),ISNUMBER(SEARCH("PSICOSOCIAL",C530))),"Título com eSocial/Psicossocial no nome",IF(O530="Receita recorrente","Tipo DRE recorrente","Extra sem palavra-chave específica"))))</f>
        <v/>
      </c>
      <c r="S530" s="92">
        <f>IFERROR(VLOOKUP($A530,'13. Mapa Títulos-Receita'!$A$8:$P$1000,4,FALSE),"")</f>
        <v/>
      </c>
      <c r="T530" s="92">
        <f>IFERROR(VLOOKUP($A530,'13. Mapa Títulos-Receita'!$A$8:$P$1000,5,FALSE),"")</f>
        <v/>
      </c>
      <c r="U530" s="92">
        <f>IFERROR(VLOOKUP($A530,'13. Mapa Títulos-Receita'!$A$8:$P$1000,6,FALSE),"")</f>
        <v/>
      </c>
      <c r="V530" s="92">
        <f>IFERROR(VLOOKUP($A530,'13. Mapa Títulos-Receita'!$A$8:$P$1000,7,FALSE),"")</f>
        <v/>
      </c>
      <c r="W530" s="92">
        <f>IFERROR(VLOOKUP($A530,'13. Mapa Títulos-Receita'!$A$8:$P$1000,8,FALSE),"")</f>
        <v/>
      </c>
      <c r="X530" s="92">
        <f>IFERROR(VLOOKUP($A530,'13. Mapa Títulos-Receita'!$A$8:$P$1000,9,FALSE),"")</f>
        <v/>
      </c>
      <c r="Y530" s="92">
        <f>IFERROR(VLOOKUP($A530,'13. Mapa Títulos-Receita'!$A$8:$P$1000,10,FALSE),"")</f>
        <v/>
      </c>
      <c r="Z530" s="92">
        <f>IFERROR(VLOOKUP($A530,'13. Mapa Títulos-Receita'!$A$8:$P$1000,11,FALSE),"")</f>
        <v/>
      </c>
      <c r="AA530" s="92">
        <f>IFERROR(VLOOKUP($A530,'13. Mapa Títulos-Receita'!$A$8:$P$1000,12,FALSE),"")</f>
        <v/>
      </c>
      <c r="AB530" s="92">
        <f>IFERROR(VLOOKUP($A530,'13. Mapa Títulos-Receita'!$A$8:$P$1000,13,FALSE),"")</f>
        <v/>
      </c>
      <c r="AC530" s="92">
        <f>IFERROR(VLOOKUP($A530,'13. Mapa Títulos-Receita'!$A$8:$P$1000,14,FALSE),"")</f>
        <v/>
      </c>
      <c r="AD530" s="92">
        <f>IFERROR(VLOOKUP($A530,'13. Mapa Títulos-Receita'!$A$8:$P$1000,15,FALSE),"")</f>
        <v/>
      </c>
      <c r="AE530" s="92">
        <f>IFERROR(VLOOKUP($A530,'13. Mapa Títulos-Receita'!$A$8:$P$1000,16,FALSE),"")</f>
        <v/>
      </c>
    </row>
    <row r="531">
      <c r="A531" s="28">
        <f>IF(C531="","", "CR-"&amp;TEXT(ROW()-7,"000"))</f>
        <v/>
      </c>
      <c r="B531" s="28" t="n"/>
      <c r="C531" s="28" t="n"/>
      <c r="D531" s="111" t="n"/>
      <c r="E531" s="111" t="n"/>
      <c r="F531" s="111" t="n"/>
      <c r="G531" s="28" t="n"/>
      <c r="H531" s="45" t="n"/>
      <c r="I531" s="45" t="n"/>
      <c r="J531" s="28">
        <f>IF(H531="","",IF(I531&gt;=H531,"Recebido",IF($B$4&gt;E531,"Vencido","Aberto")))</f>
        <v/>
      </c>
      <c r="K531" s="4">
        <f>IF(J531="","",IF(OR(J531="Recebido",F531=""),MAX(0,F531-E531),MAX(0,$B$4-E531)))</f>
        <v/>
      </c>
      <c r="L531" s="4">
        <f>IF(K531="","",IF(K531=0,"Em dia",IF(K531&lt;=30,"1-30 dias",IF(K531&lt;=60,"31-60 dias",IF(K531&lt;=90,"61-90 dias","&gt;90 dias")))))</f>
        <v/>
      </c>
      <c r="M531" s="28" t="n"/>
      <c r="N531" s="104" t="inlineStr"/>
      <c r="O531" s="64" t="n"/>
      <c r="P531" s="64">
        <f>IF(C531="","",IF(ISNUMBER(SEARCH("PCMSO",C531)),"PCMSO",IF(OR(ISNUMBER(SEARCH("E-SOCIAL",C531)),ISNUMBER(SEARCH("PSICOSOCIAL",C531))),"eSocial / Psicossocial",IF(O531="Receita recorrente","Carteira recorrente","Projetos / Laudos / Avulsos"))))</f>
        <v/>
      </c>
      <c r="Q531" s="64">
        <f>IF(P531="","",IF(P531="Carteira recorrente","Operação recorrente",IF(P531="PCMSO","Projetos PCMSO",IF(P531="eSocial / Psicossocial","Projetos eSocial/Psicossocial","Projetos / Laudos / Avulsos"))))</f>
        <v/>
      </c>
      <c r="R531" s="64">
        <f>IF(C531="","",IF(ISNUMBER(SEARCH("PCMSO",C531)),"Título com PCMSO no nome",IF(OR(ISNUMBER(SEARCH("E-SOCIAL",C531)),ISNUMBER(SEARCH("PSICOSOCIAL",C531))),"Título com eSocial/Psicossocial no nome",IF(O531="Receita recorrente","Tipo DRE recorrente","Extra sem palavra-chave específica"))))</f>
        <v/>
      </c>
      <c r="S531" s="92">
        <f>IFERROR(VLOOKUP($A531,'13. Mapa Títulos-Receita'!$A$8:$P$1000,4,FALSE),"")</f>
        <v/>
      </c>
      <c r="T531" s="92">
        <f>IFERROR(VLOOKUP($A531,'13. Mapa Títulos-Receita'!$A$8:$P$1000,5,FALSE),"")</f>
        <v/>
      </c>
      <c r="U531" s="92">
        <f>IFERROR(VLOOKUP($A531,'13. Mapa Títulos-Receita'!$A$8:$P$1000,6,FALSE),"")</f>
        <v/>
      </c>
      <c r="V531" s="92">
        <f>IFERROR(VLOOKUP($A531,'13. Mapa Títulos-Receita'!$A$8:$P$1000,7,FALSE),"")</f>
        <v/>
      </c>
      <c r="W531" s="92">
        <f>IFERROR(VLOOKUP($A531,'13. Mapa Títulos-Receita'!$A$8:$P$1000,8,FALSE),"")</f>
        <v/>
      </c>
      <c r="X531" s="92">
        <f>IFERROR(VLOOKUP($A531,'13. Mapa Títulos-Receita'!$A$8:$P$1000,9,FALSE),"")</f>
        <v/>
      </c>
      <c r="Y531" s="92">
        <f>IFERROR(VLOOKUP($A531,'13. Mapa Títulos-Receita'!$A$8:$P$1000,10,FALSE),"")</f>
        <v/>
      </c>
      <c r="Z531" s="92">
        <f>IFERROR(VLOOKUP($A531,'13. Mapa Títulos-Receita'!$A$8:$P$1000,11,FALSE),"")</f>
        <v/>
      </c>
      <c r="AA531" s="92">
        <f>IFERROR(VLOOKUP($A531,'13. Mapa Títulos-Receita'!$A$8:$P$1000,12,FALSE),"")</f>
        <v/>
      </c>
      <c r="AB531" s="92">
        <f>IFERROR(VLOOKUP($A531,'13. Mapa Títulos-Receita'!$A$8:$P$1000,13,FALSE),"")</f>
        <v/>
      </c>
      <c r="AC531" s="92">
        <f>IFERROR(VLOOKUP($A531,'13. Mapa Títulos-Receita'!$A$8:$P$1000,14,FALSE),"")</f>
        <v/>
      </c>
      <c r="AD531" s="92">
        <f>IFERROR(VLOOKUP($A531,'13. Mapa Títulos-Receita'!$A$8:$P$1000,15,FALSE),"")</f>
        <v/>
      </c>
      <c r="AE531" s="92">
        <f>IFERROR(VLOOKUP($A531,'13. Mapa Títulos-Receita'!$A$8:$P$1000,16,FALSE),"")</f>
        <v/>
      </c>
    </row>
    <row r="532">
      <c r="A532" s="28">
        <f>IF(C532="","", "CR-"&amp;TEXT(ROW()-7,"000"))</f>
        <v/>
      </c>
      <c r="B532" s="28" t="n"/>
      <c r="C532" s="28" t="n"/>
      <c r="D532" s="111" t="n"/>
      <c r="E532" s="111" t="n"/>
      <c r="F532" s="111" t="n"/>
      <c r="G532" s="28" t="n"/>
      <c r="H532" s="45" t="n"/>
      <c r="I532" s="45" t="n"/>
      <c r="J532" s="28">
        <f>IF(H532="","",IF(I532&gt;=H532,"Recebido",IF($B$4&gt;E532,"Vencido","Aberto")))</f>
        <v/>
      </c>
      <c r="K532" s="4">
        <f>IF(J532="","",IF(OR(J532="Recebido",F532=""),MAX(0,F532-E532),MAX(0,$B$4-E532)))</f>
        <v/>
      </c>
      <c r="L532" s="4">
        <f>IF(K532="","",IF(K532=0,"Em dia",IF(K532&lt;=30,"1-30 dias",IF(K532&lt;=60,"31-60 dias",IF(K532&lt;=90,"61-90 dias","&gt;90 dias")))))</f>
        <v/>
      </c>
      <c r="M532" s="28" t="n"/>
      <c r="N532" s="104" t="inlineStr"/>
      <c r="O532" s="64" t="n"/>
      <c r="P532" s="64">
        <f>IF(C532="","",IF(ISNUMBER(SEARCH("PCMSO",C532)),"PCMSO",IF(OR(ISNUMBER(SEARCH("E-SOCIAL",C532)),ISNUMBER(SEARCH("PSICOSOCIAL",C532))),"eSocial / Psicossocial",IF(O532="Receita recorrente","Carteira recorrente","Projetos / Laudos / Avulsos"))))</f>
        <v/>
      </c>
      <c r="Q532" s="64">
        <f>IF(P532="","",IF(P532="Carteira recorrente","Operação recorrente",IF(P532="PCMSO","Projetos PCMSO",IF(P532="eSocial / Psicossocial","Projetos eSocial/Psicossocial","Projetos / Laudos / Avulsos"))))</f>
        <v/>
      </c>
      <c r="R532" s="64">
        <f>IF(C532="","",IF(ISNUMBER(SEARCH("PCMSO",C532)),"Título com PCMSO no nome",IF(OR(ISNUMBER(SEARCH("E-SOCIAL",C532)),ISNUMBER(SEARCH("PSICOSOCIAL",C532))),"Título com eSocial/Psicossocial no nome",IF(O532="Receita recorrente","Tipo DRE recorrente","Extra sem palavra-chave específica"))))</f>
        <v/>
      </c>
      <c r="S532" s="92">
        <f>IFERROR(VLOOKUP($A532,'13. Mapa Títulos-Receita'!$A$8:$P$1000,4,FALSE),"")</f>
        <v/>
      </c>
      <c r="T532" s="92">
        <f>IFERROR(VLOOKUP($A532,'13. Mapa Títulos-Receita'!$A$8:$P$1000,5,FALSE),"")</f>
        <v/>
      </c>
      <c r="U532" s="92">
        <f>IFERROR(VLOOKUP($A532,'13. Mapa Títulos-Receita'!$A$8:$P$1000,6,FALSE),"")</f>
        <v/>
      </c>
      <c r="V532" s="92">
        <f>IFERROR(VLOOKUP($A532,'13. Mapa Títulos-Receita'!$A$8:$P$1000,7,FALSE),"")</f>
        <v/>
      </c>
      <c r="W532" s="92">
        <f>IFERROR(VLOOKUP($A532,'13. Mapa Títulos-Receita'!$A$8:$P$1000,8,FALSE),"")</f>
        <v/>
      </c>
      <c r="X532" s="92">
        <f>IFERROR(VLOOKUP($A532,'13. Mapa Títulos-Receita'!$A$8:$P$1000,9,FALSE),"")</f>
        <v/>
      </c>
      <c r="Y532" s="92">
        <f>IFERROR(VLOOKUP($A532,'13. Mapa Títulos-Receita'!$A$8:$P$1000,10,FALSE),"")</f>
        <v/>
      </c>
      <c r="Z532" s="92">
        <f>IFERROR(VLOOKUP($A532,'13. Mapa Títulos-Receita'!$A$8:$P$1000,11,FALSE),"")</f>
        <v/>
      </c>
      <c r="AA532" s="92">
        <f>IFERROR(VLOOKUP($A532,'13. Mapa Títulos-Receita'!$A$8:$P$1000,12,FALSE),"")</f>
        <v/>
      </c>
      <c r="AB532" s="92">
        <f>IFERROR(VLOOKUP($A532,'13. Mapa Títulos-Receita'!$A$8:$P$1000,13,FALSE),"")</f>
        <v/>
      </c>
      <c r="AC532" s="92">
        <f>IFERROR(VLOOKUP($A532,'13. Mapa Títulos-Receita'!$A$8:$P$1000,14,FALSE),"")</f>
        <v/>
      </c>
      <c r="AD532" s="92">
        <f>IFERROR(VLOOKUP($A532,'13. Mapa Títulos-Receita'!$A$8:$P$1000,15,FALSE),"")</f>
        <v/>
      </c>
      <c r="AE532" s="92">
        <f>IFERROR(VLOOKUP($A532,'13. Mapa Títulos-Receita'!$A$8:$P$1000,16,FALSE),"")</f>
        <v/>
      </c>
    </row>
    <row r="533">
      <c r="A533" s="28">
        <f>IF(C533="","", "CR-"&amp;TEXT(ROW()-7,"000"))</f>
        <v/>
      </c>
      <c r="B533" s="28" t="n"/>
      <c r="C533" s="28" t="n"/>
      <c r="D533" s="111" t="n"/>
      <c r="E533" s="111" t="n"/>
      <c r="F533" s="111" t="n"/>
      <c r="G533" s="28" t="n"/>
      <c r="H533" s="45" t="n"/>
      <c r="I533" s="45" t="n"/>
      <c r="J533" s="28">
        <f>IF(H533="","",IF(I533&gt;=H533,"Recebido",IF($B$4&gt;E533,"Vencido","Aberto")))</f>
        <v/>
      </c>
      <c r="K533" s="4">
        <f>IF(J533="","",IF(OR(J533="Recebido",F533=""),MAX(0,F533-E533),MAX(0,$B$4-E533)))</f>
        <v/>
      </c>
      <c r="L533" s="4">
        <f>IF(K533="","",IF(K533=0,"Em dia",IF(K533&lt;=30,"1-30 dias",IF(K533&lt;=60,"31-60 dias",IF(K533&lt;=90,"61-90 dias","&gt;90 dias")))))</f>
        <v/>
      </c>
      <c r="M533" s="28" t="n"/>
      <c r="N533" s="104" t="inlineStr"/>
      <c r="O533" s="64" t="n"/>
      <c r="P533" s="64">
        <f>IF(C533="","",IF(ISNUMBER(SEARCH("PCMSO",C533)),"PCMSO",IF(OR(ISNUMBER(SEARCH("E-SOCIAL",C533)),ISNUMBER(SEARCH("PSICOSOCIAL",C533))),"eSocial / Psicossocial",IF(O533="Receita recorrente","Carteira recorrente","Projetos / Laudos / Avulsos"))))</f>
        <v/>
      </c>
      <c r="Q533" s="64">
        <f>IF(P533="","",IF(P533="Carteira recorrente","Operação recorrente",IF(P533="PCMSO","Projetos PCMSO",IF(P533="eSocial / Psicossocial","Projetos eSocial/Psicossocial","Projetos / Laudos / Avulsos"))))</f>
        <v/>
      </c>
      <c r="R533" s="64">
        <f>IF(C533="","",IF(ISNUMBER(SEARCH("PCMSO",C533)),"Título com PCMSO no nome",IF(OR(ISNUMBER(SEARCH("E-SOCIAL",C533)),ISNUMBER(SEARCH("PSICOSOCIAL",C533))),"Título com eSocial/Psicossocial no nome",IF(O533="Receita recorrente","Tipo DRE recorrente","Extra sem palavra-chave específica"))))</f>
        <v/>
      </c>
      <c r="S533" s="92">
        <f>IFERROR(VLOOKUP($A533,'13. Mapa Títulos-Receita'!$A$8:$P$1000,4,FALSE),"")</f>
        <v/>
      </c>
      <c r="T533" s="92">
        <f>IFERROR(VLOOKUP($A533,'13. Mapa Títulos-Receita'!$A$8:$P$1000,5,FALSE),"")</f>
        <v/>
      </c>
      <c r="U533" s="92">
        <f>IFERROR(VLOOKUP($A533,'13. Mapa Títulos-Receita'!$A$8:$P$1000,6,FALSE),"")</f>
        <v/>
      </c>
      <c r="V533" s="92">
        <f>IFERROR(VLOOKUP($A533,'13. Mapa Títulos-Receita'!$A$8:$P$1000,7,FALSE),"")</f>
        <v/>
      </c>
      <c r="W533" s="92">
        <f>IFERROR(VLOOKUP($A533,'13. Mapa Títulos-Receita'!$A$8:$P$1000,8,FALSE),"")</f>
        <v/>
      </c>
      <c r="X533" s="92">
        <f>IFERROR(VLOOKUP($A533,'13. Mapa Títulos-Receita'!$A$8:$P$1000,9,FALSE),"")</f>
        <v/>
      </c>
      <c r="Y533" s="92">
        <f>IFERROR(VLOOKUP($A533,'13. Mapa Títulos-Receita'!$A$8:$P$1000,10,FALSE),"")</f>
        <v/>
      </c>
      <c r="Z533" s="92">
        <f>IFERROR(VLOOKUP($A533,'13. Mapa Títulos-Receita'!$A$8:$P$1000,11,FALSE),"")</f>
        <v/>
      </c>
      <c r="AA533" s="92">
        <f>IFERROR(VLOOKUP($A533,'13. Mapa Títulos-Receita'!$A$8:$P$1000,12,FALSE),"")</f>
        <v/>
      </c>
      <c r="AB533" s="92">
        <f>IFERROR(VLOOKUP($A533,'13. Mapa Títulos-Receita'!$A$8:$P$1000,13,FALSE),"")</f>
        <v/>
      </c>
      <c r="AC533" s="92">
        <f>IFERROR(VLOOKUP($A533,'13. Mapa Títulos-Receita'!$A$8:$P$1000,14,FALSE),"")</f>
        <v/>
      </c>
      <c r="AD533" s="92">
        <f>IFERROR(VLOOKUP($A533,'13. Mapa Títulos-Receita'!$A$8:$P$1000,15,FALSE),"")</f>
        <v/>
      </c>
      <c r="AE533" s="92">
        <f>IFERROR(VLOOKUP($A533,'13. Mapa Títulos-Receita'!$A$8:$P$1000,16,FALSE),"")</f>
        <v/>
      </c>
    </row>
    <row r="534">
      <c r="A534" s="28">
        <f>IF(C534="","", "CR-"&amp;TEXT(ROW()-7,"000"))</f>
        <v/>
      </c>
      <c r="B534" s="28" t="n"/>
      <c r="C534" s="28" t="n"/>
      <c r="D534" s="111" t="n"/>
      <c r="E534" s="111" t="n"/>
      <c r="F534" s="111" t="n"/>
      <c r="G534" s="28" t="n"/>
      <c r="H534" s="45" t="n"/>
      <c r="I534" s="45" t="n"/>
      <c r="J534" s="28">
        <f>IF(H534="","",IF(I534&gt;=H534,"Recebido",IF($B$4&gt;E534,"Vencido","Aberto")))</f>
        <v/>
      </c>
      <c r="K534" s="4">
        <f>IF(J534="","",IF(OR(J534="Recebido",F534=""),MAX(0,F534-E534),MAX(0,$B$4-E534)))</f>
        <v/>
      </c>
      <c r="L534" s="4">
        <f>IF(K534="","",IF(K534=0,"Em dia",IF(K534&lt;=30,"1-30 dias",IF(K534&lt;=60,"31-60 dias",IF(K534&lt;=90,"61-90 dias","&gt;90 dias")))))</f>
        <v/>
      </c>
      <c r="M534" s="28" t="n"/>
      <c r="N534" s="104" t="inlineStr"/>
      <c r="O534" s="64" t="n"/>
      <c r="P534" s="64">
        <f>IF(C534="","",IF(ISNUMBER(SEARCH("PCMSO",C534)),"PCMSO",IF(OR(ISNUMBER(SEARCH("E-SOCIAL",C534)),ISNUMBER(SEARCH("PSICOSOCIAL",C534))),"eSocial / Psicossocial",IF(O534="Receita recorrente","Carteira recorrente","Projetos / Laudos / Avulsos"))))</f>
        <v/>
      </c>
      <c r="Q534" s="64">
        <f>IF(P534="","",IF(P534="Carteira recorrente","Operação recorrente",IF(P534="PCMSO","Projetos PCMSO",IF(P534="eSocial / Psicossocial","Projetos eSocial/Psicossocial","Projetos / Laudos / Avulsos"))))</f>
        <v/>
      </c>
      <c r="R534" s="64">
        <f>IF(C534="","",IF(ISNUMBER(SEARCH("PCMSO",C534)),"Título com PCMSO no nome",IF(OR(ISNUMBER(SEARCH("E-SOCIAL",C534)),ISNUMBER(SEARCH("PSICOSOCIAL",C534))),"Título com eSocial/Psicossocial no nome",IF(O534="Receita recorrente","Tipo DRE recorrente","Extra sem palavra-chave específica"))))</f>
        <v/>
      </c>
      <c r="S534" s="92">
        <f>IFERROR(VLOOKUP($A534,'13. Mapa Títulos-Receita'!$A$8:$P$1000,4,FALSE),"")</f>
        <v/>
      </c>
      <c r="T534" s="92">
        <f>IFERROR(VLOOKUP($A534,'13. Mapa Títulos-Receita'!$A$8:$P$1000,5,FALSE),"")</f>
        <v/>
      </c>
      <c r="U534" s="92">
        <f>IFERROR(VLOOKUP($A534,'13. Mapa Títulos-Receita'!$A$8:$P$1000,6,FALSE),"")</f>
        <v/>
      </c>
      <c r="V534" s="92">
        <f>IFERROR(VLOOKUP($A534,'13. Mapa Títulos-Receita'!$A$8:$P$1000,7,FALSE),"")</f>
        <v/>
      </c>
      <c r="W534" s="92">
        <f>IFERROR(VLOOKUP($A534,'13. Mapa Títulos-Receita'!$A$8:$P$1000,8,FALSE),"")</f>
        <v/>
      </c>
      <c r="X534" s="92">
        <f>IFERROR(VLOOKUP($A534,'13. Mapa Títulos-Receita'!$A$8:$P$1000,9,FALSE),"")</f>
        <v/>
      </c>
      <c r="Y534" s="92">
        <f>IFERROR(VLOOKUP($A534,'13. Mapa Títulos-Receita'!$A$8:$P$1000,10,FALSE),"")</f>
        <v/>
      </c>
      <c r="Z534" s="92">
        <f>IFERROR(VLOOKUP($A534,'13. Mapa Títulos-Receita'!$A$8:$P$1000,11,FALSE),"")</f>
        <v/>
      </c>
      <c r="AA534" s="92">
        <f>IFERROR(VLOOKUP($A534,'13. Mapa Títulos-Receita'!$A$8:$P$1000,12,FALSE),"")</f>
        <v/>
      </c>
      <c r="AB534" s="92">
        <f>IFERROR(VLOOKUP($A534,'13. Mapa Títulos-Receita'!$A$8:$P$1000,13,FALSE),"")</f>
        <v/>
      </c>
      <c r="AC534" s="92">
        <f>IFERROR(VLOOKUP($A534,'13. Mapa Títulos-Receita'!$A$8:$P$1000,14,FALSE),"")</f>
        <v/>
      </c>
      <c r="AD534" s="92">
        <f>IFERROR(VLOOKUP($A534,'13. Mapa Títulos-Receita'!$A$8:$P$1000,15,FALSE),"")</f>
        <v/>
      </c>
      <c r="AE534" s="92">
        <f>IFERROR(VLOOKUP($A534,'13. Mapa Títulos-Receita'!$A$8:$P$1000,16,FALSE),"")</f>
        <v/>
      </c>
    </row>
    <row r="535">
      <c r="A535" s="28">
        <f>IF(C535="","", "CR-"&amp;TEXT(ROW()-7,"000"))</f>
        <v/>
      </c>
      <c r="B535" s="28" t="n"/>
      <c r="C535" s="28" t="n"/>
      <c r="D535" s="111" t="n"/>
      <c r="E535" s="111" t="n"/>
      <c r="F535" s="111" t="n"/>
      <c r="G535" s="28" t="n"/>
      <c r="H535" s="45" t="n"/>
      <c r="I535" s="45" t="n"/>
      <c r="J535" s="28">
        <f>IF(H535="","",IF(I535&gt;=H535,"Recebido",IF($B$4&gt;E535,"Vencido","Aberto")))</f>
        <v/>
      </c>
      <c r="K535" s="4">
        <f>IF(J535="","",IF(OR(J535="Recebido",F535=""),MAX(0,F535-E535),MAX(0,$B$4-E535)))</f>
        <v/>
      </c>
      <c r="L535" s="4">
        <f>IF(K535="","",IF(K535=0,"Em dia",IF(K535&lt;=30,"1-30 dias",IF(K535&lt;=60,"31-60 dias",IF(K535&lt;=90,"61-90 dias","&gt;90 dias")))))</f>
        <v/>
      </c>
      <c r="M535" s="28" t="n"/>
      <c r="N535" s="104" t="inlineStr"/>
      <c r="O535" s="64" t="n"/>
      <c r="P535" s="64">
        <f>IF(C535="","",IF(ISNUMBER(SEARCH("PCMSO",C535)),"PCMSO",IF(OR(ISNUMBER(SEARCH("E-SOCIAL",C535)),ISNUMBER(SEARCH("PSICOSOCIAL",C535))),"eSocial / Psicossocial",IF(O535="Receita recorrente","Carteira recorrente","Projetos / Laudos / Avulsos"))))</f>
        <v/>
      </c>
      <c r="Q535" s="64">
        <f>IF(P535="","",IF(P535="Carteira recorrente","Operação recorrente",IF(P535="PCMSO","Projetos PCMSO",IF(P535="eSocial / Psicossocial","Projetos eSocial/Psicossocial","Projetos / Laudos / Avulsos"))))</f>
        <v/>
      </c>
      <c r="R535" s="64">
        <f>IF(C535="","",IF(ISNUMBER(SEARCH("PCMSO",C535)),"Título com PCMSO no nome",IF(OR(ISNUMBER(SEARCH("E-SOCIAL",C535)),ISNUMBER(SEARCH("PSICOSOCIAL",C535))),"Título com eSocial/Psicossocial no nome",IF(O535="Receita recorrente","Tipo DRE recorrente","Extra sem palavra-chave específica"))))</f>
        <v/>
      </c>
      <c r="S535" s="92">
        <f>IFERROR(VLOOKUP($A535,'13. Mapa Títulos-Receita'!$A$8:$P$1000,4,FALSE),"")</f>
        <v/>
      </c>
      <c r="T535" s="92">
        <f>IFERROR(VLOOKUP($A535,'13. Mapa Títulos-Receita'!$A$8:$P$1000,5,FALSE),"")</f>
        <v/>
      </c>
      <c r="U535" s="92">
        <f>IFERROR(VLOOKUP($A535,'13. Mapa Títulos-Receita'!$A$8:$P$1000,6,FALSE),"")</f>
        <v/>
      </c>
      <c r="V535" s="92">
        <f>IFERROR(VLOOKUP($A535,'13. Mapa Títulos-Receita'!$A$8:$P$1000,7,FALSE),"")</f>
        <v/>
      </c>
      <c r="W535" s="92">
        <f>IFERROR(VLOOKUP($A535,'13. Mapa Títulos-Receita'!$A$8:$P$1000,8,FALSE),"")</f>
        <v/>
      </c>
      <c r="X535" s="92">
        <f>IFERROR(VLOOKUP($A535,'13. Mapa Títulos-Receita'!$A$8:$P$1000,9,FALSE),"")</f>
        <v/>
      </c>
      <c r="Y535" s="92">
        <f>IFERROR(VLOOKUP($A535,'13. Mapa Títulos-Receita'!$A$8:$P$1000,10,FALSE),"")</f>
        <v/>
      </c>
      <c r="Z535" s="92">
        <f>IFERROR(VLOOKUP($A535,'13. Mapa Títulos-Receita'!$A$8:$P$1000,11,FALSE),"")</f>
        <v/>
      </c>
      <c r="AA535" s="92">
        <f>IFERROR(VLOOKUP($A535,'13. Mapa Títulos-Receita'!$A$8:$P$1000,12,FALSE),"")</f>
        <v/>
      </c>
      <c r="AB535" s="92">
        <f>IFERROR(VLOOKUP($A535,'13. Mapa Títulos-Receita'!$A$8:$P$1000,13,FALSE),"")</f>
        <v/>
      </c>
      <c r="AC535" s="92">
        <f>IFERROR(VLOOKUP($A535,'13. Mapa Títulos-Receita'!$A$8:$P$1000,14,FALSE),"")</f>
        <v/>
      </c>
      <c r="AD535" s="92">
        <f>IFERROR(VLOOKUP($A535,'13. Mapa Títulos-Receita'!$A$8:$P$1000,15,FALSE),"")</f>
        <v/>
      </c>
      <c r="AE535" s="92">
        <f>IFERROR(VLOOKUP($A535,'13. Mapa Títulos-Receita'!$A$8:$P$1000,16,FALSE),"")</f>
        <v/>
      </c>
    </row>
    <row r="536">
      <c r="A536" s="28">
        <f>IF(C536="","", "CR-"&amp;TEXT(ROW()-7,"000"))</f>
        <v/>
      </c>
      <c r="B536" s="28" t="n"/>
      <c r="C536" s="28" t="n"/>
      <c r="D536" s="111" t="n"/>
      <c r="E536" s="111" t="n"/>
      <c r="F536" s="111" t="n"/>
      <c r="G536" s="28" t="n"/>
      <c r="H536" s="45" t="n"/>
      <c r="I536" s="45" t="n"/>
      <c r="J536" s="28">
        <f>IF(H536="","",IF(I536&gt;=H536,"Recebido",IF($B$4&gt;E536,"Vencido","Aberto")))</f>
        <v/>
      </c>
      <c r="K536" s="4">
        <f>IF(J536="","",IF(OR(J536="Recebido",F536=""),MAX(0,F536-E536),MAX(0,$B$4-E536)))</f>
        <v/>
      </c>
      <c r="L536" s="4">
        <f>IF(K536="","",IF(K536=0,"Em dia",IF(K536&lt;=30,"1-30 dias",IF(K536&lt;=60,"31-60 dias",IF(K536&lt;=90,"61-90 dias","&gt;90 dias")))))</f>
        <v/>
      </c>
      <c r="M536" s="28" t="n"/>
      <c r="N536" s="104" t="inlineStr"/>
      <c r="O536" s="64" t="n"/>
      <c r="P536" s="64">
        <f>IF(C536="","",IF(ISNUMBER(SEARCH("PCMSO",C536)),"PCMSO",IF(OR(ISNUMBER(SEARCH("E-SOCIAL",C536)),ISNUMBER(SEARCH("PSICOSOCIAL",C536))),"eSocial / Psicossocial",IF(O536="Receita recorrente","Carteira recorrente","Projetos / Laudos / Avulsos"))))</f>
        <v/>
      </c>
      <c r="Q536" s="64">
        <f>IF(P536="","",IF(P536="Carteira recorrente","Operação recorrente",IF(P536="PCMSO","Projetos PCMSO",IF(P536="eSocial / Psicossocial","Projetos eSocial/Psicossocial","Projetos / Laudos / Avulsos"))))</f>
        <v/>
      </c>
      <c r="R536" s="64">
        <f>IF(C536="","",IF(ISNUMBER(SEARCH("PCMSO",C536)),"Título com PCMSO no nome",IF(OR(ISNUMBER(SEARCH("E-SOCIAL",C536)),ISNUMBER(SEARCH("PSICOSOCIAL",C536))),"Título com eSocial/Psicossocial no nome",IF(O536="Receita recorrente","Tipo DRE recorrente","Extra sem palavra-chave específica"))))</f>
        <v/>
      </c>
      <c r="S536" s="92">
        <f>IFERROR(VLOOKUP($A536,'13. Mapa Títulos-Receita'!$A$8:$P$1000,4,FALSE),"")</f>
        <v/>
      </c>
      <c r="T536" s="92">
        <f>IFERROR(VLOOKUP($A536,'13. Mapa Títulos-Receita'!$A$8:$P$1000,5,FALSE),"")</f>
        <v/>
      </c>
      <c r="U536" s="92">
        <f>IFERROR(VLOOKUP($A536,'13. Mapa Títulos-Receita'!$A$8:$P$1000,6,FALSE),"")</f>
        <v/>
      </c>
      <c r="V536" s="92">
        <f>IFERROR(VLOOKUP($A536,'13. Mapa Títulos-Receita'!$A$8:$P$1000,7,FALSE),"")</f>
        <v/>
      </c>
      <c r="W536" s="92">
        <f>IFERROR(VLOOKUP($A536,'13. Mapa Títulos-Receita'!$A$8:$P$1000,8,FALSE),"")</f>
        <v/>
      </c>
      <c r="X536" s="92">
        <f>IFERROR(VLOOKUP($A536,'13. Mapa Títulos-Receita'!$A$8:$P$1000,9,FALSE),"")</f>
        <v/>
      </c>
      <c r="Y536" s="92">
        <f>IFERROR(VLOOKUP($A536,'13. Mapa Títulos-Receita'!$A$8:$P$1000,10,FALSE),"")</f>
        <v/>
      </c>
      <c r="Z536" s="92">
        <f>IFERROR(VLOOKUP($A536,'13. Mapa Títulos-Receita'!$A$8:$P$1000,11,FALSE),"")</f>
        <v/>
      </c>
      <c r="AA536" s="92">
        <f>IFERROR(VLOOKUP($A536,'13. Mapa Títulos-Receita'!$A$8:$P$1000,12,FALSE),"")</f>
        <v/>
      </c>
      <c r="AB536" s="92">
        <f>IFERROR(VLOOKUP($A536,'13. Mapa Títulos-Receita'!$A$8:$P$1000,13,FALSE),"")</f>
        <v/>
      </c>
      <c r="AC536" s="92">
        <f>IFERROR(VLOOKUP($A536,'13. Mapa Títulos-Receita'!$A$8:$P$1000,14,FALSE),"")</f>
        <v/>
      </c>
      <c r="AD536" s="92">
        <f>IFERROR(VLOOKUP($A536,'13. Mapa Títulos-Receita'!$A$8:$P$1000,15,FALSE),"")</f>
        <v/>
      </c>
      <c r="AE536" s="92">
        <f>IFERROR(VLOOKUP($A536,'13. Mapa Títulos-Receita'!$A$8:$P$1000,16,FALSE),"")</f>
        <v/>
      </c>
    </row>
    <row r="537">
      <c r="A537" s="28">
        <f>IF(C537="","", "CR-"&amp;TEXT(ROW()-7,"000"))</f>
        <v/>
      </c>
      <c r="B537" s="28" t="n"/>
      <c r="C537" s="28" t="n"/>
      <c r="D537" s="111" t="n"/>
      <c r="E537" s="111" t="n"/>
      <c r="F537" s="111" t="n"/>
      <c r="G537" s="28" t="n"/>
      <c r="H537" s="45" t="n"/>
      <c r="I537" s="45" t="n"/>
      <c r="J537" s="28">
        <f>IF(H537="","",IF(I537&gt;=H537,"Recebido",IF($B$4&gt;E537,"Vencido","Aberto")))</f>
        <v/>
      </c>
      <c r="K537" s="4">
        <f>IF(J537="","",IF(OR(J537="Recebido",F537=""),MAX(0,F537-E537),MAX(0,$B$4-E537)))</f>
        <v/>
      </c>
      <c r="L537" s="4">
        <f>IF(K537="","",IF(K537=0,"Em dia",IF(K537&lt;=30,"1-30 dias",IF(K537&lt;=60,"31-60 dias",IF(K537&lt;=90,"61-90 dias","&gt;90 dias")))))</f>
        <v/>
      </c>
      <c r="M537" s="28" t="n"/>
      <c r="N537" s="104" t="inlineStr"/>
      <c r="O537" s="64" t="n"/>
      <c r="P537" s="64">
        <f>IF(C537="","",IF(ISNUMBER(SEARCH("PCMSO",C537)),"PCMSO",IF(OR(ISNUMBER(SEARCH("E-SOCIAL",C537)),ISNUMBER(SEARCH("PSICOSOCIAL",C537))),"eSocial / Psicossocial",IF(O537="Receita recorrente","Carteira recorrente","Projetos / Laudos / Avulsos"))))</f>
        <v/>
      </c>
      <c r="Q537" s="64">
        <f>IF(P537="","",IF(P537="Carteira recorrente","Operação recorrente",IF(P537="PCMSO","Projetos PCMSO",IF(P537="eSocial / Psicossocial","Projetos eSocial/Psicossocial","Projetos / Laudos / Avulsos"))))</f>
        <v/>
      </c>
      <c r="R537" s="64">
        <f>IF(C537="","",IF(ISNUMBER(SEARCH("PCMSO",C537)),"Título com PCMSO no nome",IF(OR(ISNUMBER(SEARCH("E-SOCIAL",C537)),ISNUMBER(SEARCH("PSICOSOCIAL",C537))),"Título com eSocial/Psicossocial no nome",IF(O537="Receita recorrente","Tipo DRE recorrente","Extra sem palavra-chave específica"))))</f>
        <v/>
      </c>
      <c r="S537" s="92">
        <f>IFERROR(VLOOKUP($A537,'13. Mapa Títulos-Receita'!$A$8:$P$1000,4,FALSE),"")</f>
        <v/>
      </c>
      <c r="T537" s="92">
        <f>IFERROR(VLOOKUP($A537,'13. Mapa Títulos-Receita'!$A$8:$P$1000,5,FALSE),"")</f>
        <v/>
      </c>
      <c r="U537" s="92">
        <f>IFERROR(VLOOKUP($A537,'13. Mapa Títulos-Receita'!$A$8:$P$1000,6,FALSE),"")</f>
        <v/>
      </c>
      <c r="V537" s="92">
        <f>IFERROR(VLOOKUP($A537,'13. Mapa Títulos-Receita'!$A$8:$P$1000,7,FALSE),"")</f>
        <v/>
      </c>
      <c r="W537" s="92">
        <f>IFERROR(VLOOKUP($A537,'13. Mapa Títulos-Receita'!$A$8:$P$1000,8,FALSE),"")</f>
        <v/>
      </c>
      <c r="X537" s="92">
        <f>IFERROR(VLOOKUP($A537,'13. Mapa Títulos-Receita'!$A$8:$P$1000,9,FALSE),"")</f>
        <v/>
      </c>
      <c r="Y537" s="92">
        <f>IFERROR(VLOOKUP($A537,'13. Mapa Títulos-Receita'!$A$8:$P$1000,10,FALSE),"")</f>
        <v/>
      </c>
      <c r="Z537" s="92">
        <f>IFERROR(VLOOKUP($A537,'13. Mapa Títulos-Receita'!$A$8:$P$1000,11,FALSE),"")</f>
        <v/>
      </c>
      <c r="AA537" s="92">
        <f>IFERROR(VLOOKUP($A537,'13. Mapa Títulos-Receita'!$A$8:$P$1000,12,FALSE),"")</f>
        <v/>
      </c>
      <c r="AB537" s="92">
        <f>IFERROR(VLOOKUP($A537,'13. Mapa Títulos-Receita'!$A$8:$P$1000,13,FALSE),"")</f>
        <v/>
      </c>
      <c r="AC537" s="92">
        <f>IFERROR(VLOOKUP($A537,'13. Mapa Títulos-Receita'!$A$8:$P$1000,14,FALSE),"")</f>
        <v/>
      </c>
      <c r="AD537" s="92">
        <f>IFERROR(VLOOKUP($A537,'13. Mapa Títulos-Receita'!$A$8:$P$1000,15,FALSE),"")</f>
        <v/>
      </c>
      <c r="AE537" s="92">
        <f>IFERROR(VLOOKUP($A537,'13. Mapa Títulos-Receita'!$A$8:$P$1000,16,FALSE),"")</f>
        <v/>
      </c>
    </row>
    <row r="538">
      <c r="A538" s="28">
        <f>IF(C538="","", "CR-"&amp;TEXT(ROW()-7,"000"))</f>
        <v/>
      </c>
      <c r="B538" s="28" t="n"/>
      <c r="C538" s="28" t="n"/>
      <c r="D538" s="111" t="n"/>
      <c r="E538" s="111" t="n"/>
      <c r="F538" s="111" t="n"/>
      <c r="G538" s="28" t="n"/>
      <c r="H538" s="45" t="n"/>
      <c r="I538" s="45" t="n"/>
      <c r="J538" s="28">
        <f>IF(H538="","",IF(I538&gt;=H538,"Recebido",IF($B$4&gt;E538,"Vencido","Aberto")))</f>
        <v/>
      </c>
      <c r="K538" s="4">
        <f>IF(J538="","",IF(OR(J538="Recebido",F538=""),MAX(0,F538-E538),MAX(0,$B$4-E538)))</f>
        <v/>
      </c>
      <c r="L538" s="4">
        <f>IF(K538="","",IF(K538=0,"Em dia",IF(K538&lt;=30,"1-30 dias",IF(K538&lt;=60,"31-60 dias",IF(K538&lt;=90,"61-90 dias","&gt;90 dias")))))</f>
        <v/>
      </c>
      <c r="M538" s="28" t="n"/>
      <c r="N538" s="104" t="inlineStr"/>
      <c r="O538" s="64" t="n"/>
      <c r="P538" s="64">
        <f>IF(C538="","",IF(ISNUMBER(SEARCH("PCMSO",C538)),"PCMSO",IF(OR(ISNUMBER(SEARCH("E-SOCIAL",C538)),ISNUMBER(SEARCH("PSICOSOCIAL",C538))),"eSocial / Psicossocial",IF(O538="Receita recorrente","Carteira recorrente","Projetos / Laudos / Avulsos"))))</f>
        <v/>
      </c>
      <c r="Q538" s="64">
        <f>IF(P538="","",IF(P538="Carteira recorrente","Operação recorrente",IF(P538="PCMSO","Projetos PCMSO",IF(P538="eSocial / Psicossocial","Projetos eSocial/Psicossocial","Projetos / Laudos / Avulsos"))))</f>
        <v/>
      </c>
      <c r="R538" s="64">
        <f>IF(C538="","",IF(ISNUMBER(SEARCH("PCMSO",C538)),"Título com PCMSO no nome",IF(OR(ISNUMBER(SEARCH("E-SOCIAL",C538)),ISNUMBER(SEARCH("PSICOSOCIAL",C538))),"Título com eSocial/Psicossocial no nome",IF(O538="Receita recorrente","Tipo DRE recorrente","Extra sem palavra-chave específica"))))</f>
        <v/>
      </c>
      <c r="S538" s="92">
        <f>IFERROR(VLOOKUP($A538,'13. Mapa Títulos-Receita'!$A$8:$P$1000,4,FALSE),"")</f>
        <v/>
      </c>
      <c r="T538" s="92">
        <f>IFERROR(VLOOKUP($A538,'13. Mapa Títulos-Receita'!$A$8:$P$1000,5,FALSE),"")</f>
        <v/>
      </c>
      <c r="U538" s="92">
        <f>IFERROR(VLOOKUP($A538,'13. Mapa Títulos-Receita'!$A$8:$P$1000,6,FALSE),"")</f>
        <v/>
      </c>
      <c r="V538" s="92">
        <f>IFERROR(VLOOKUP($A538,'13. Mapa Títulos-Receita'!$A$8:$P$1000,7,FALSE),"")</f>
        <v/>
      </c>
      <c r="W538" s="92">
        <f>IFERROR(VLOOKUP($A538,'13. Mapa Títulos-Receita'!$A$8:$P$1000,8,FALSE),"")</f>
        <v/>
      </c>
      <c r="X538" s="92">
        <f>IFERROR(VLOOKUP($A538,'13. Mapa Títulos-Receita'!$A$8:$P$1000,9,FALSE),"")</f>
        <v/>
      </c>
      <c r="Y538" s="92">
        <f>IFERROR(VLOOKUP($A538,'13. Mapa Títulos-Receita'!$A$8:$P$1000,10,FALSE),"")</f>
        <v/>
      </c>
      <c r="Z538" s="92">
        <f>IFERROR(VLOOKUP($A538,'13. Mapa Títulos-Receita'!$A$8:$P$1000,11,FALSE),"")</f>
        <v/>
      </c>
      <c r="AA538" s="92">
        <f>IFERROR(VLOOKUP($A538,'13. Mapa Títulos-Receita'!$A$8:$P$1000,12,FALSE),"")</f>
        <v/>
      </c>
      <c r="AB538" s="92">
        <f>IFERROR(VLOOKUP($A538,'13. Mapa Títulos-Receita'!$A$8:$P$1000,13,FALSE),"")</f>
        <v/>
      </c>
      <c r="AC538" s="92">
        <f>IFERROR(VLOOKUP($A538,'13. Mapa Títulos-Receita'!$A$8:$P$1000,14,FALSE),"")</f>
        <v/>
      </c>
      <c r="AD538" s="92">
        <f>IFERROR(VLOOKUP($A538,'13. Mapa Títulos-Receita'!$A$8:$P$1000,15,FALSE),"")</f>
        <v/>
      </c>
      <c r="AE538" s="92">
        <f>IFERROR(VLOOKUP($A538,'13. Mapa Títulos-Receita'!$A$8:$P$1000,16,FALSE),"")</f>
        <v/>
      </c>
    </row>
    <row r="539">
      <c r="A539" s="28">
        <f>IF(C539="","", "CR-"&amp;TEXT(ROW()-7,"000"))</f>
        <v/>
      </c>
      <c r="B539" s="28" t="n"/>
      <c r="C539" s="28" t="n"/>
      <c r="D539" s="111" t="n"/>
      <c r="E539" s="111" t="n"/>
      <c r="F539" s="111" t="n"/>
      <c r="G539" s="28" t="n"/>
      <c r="H539" s="45" t="n"/>
      <c r="I539" s="45" t="n"/>
      <c r="J539" s="28">
        <f>IF(H539="","",IF(I539&gt;=H539,"Recebido",IF($B$4&gt;E539,"Vencido","Aberto")))</f>
        <v/>
      </c>
      <c r="K539" s="4">
        <f>IF(J539="","",IF(OR(J539="Recebido",F539=""),MAX(0,F539-E539),MAX(0,$B$4-E539)))</f>
        <v/>
      </c>
      <c r="L539" s="4">
        <f>IF(K539="","",IF(K539=0,"Em dia",IF(K539&lt;=30,"1-30 dias",IF(K539&lt;=60,"31-60 dias",IF(K539&lt;=90,"61-90 dias","&gt;90 dias")))))</f>
        <v/>
      </c>
      <c r="M539" s="28" t="n"/>
      <c r="N539" s="104" t="inlineStr"/>
      <c r="O539" s="64" t="n"/>
      <c r="P539" s="64">
        <f>IF(C539="","",IF(ISNUMBER(SEARCH("PCMSO",C539)),"PCMSO",IF(OR(ISNUMBER(SEARCH("E-SOCIAL",C539)),ISNUMBER(SEARCH("PSICOSOCIAL",C539))),"eSocial / Psicossocial",IF(O539="Receita recorrente","Carteira recorrente","Projetos / Laudos / Avulsos"))))</f>
        <v/>
      </c>
      <c r="Q539" s="64">
        <f>IF(P539="","",IF(P539="Carteira recorrente","Operação recorrente",IF(P539="PCMSO","Projetos PCMSO",IF(P539="eSocial / Psicossocial","Projetos eSocial/Psicossocial","Projetos / Laudos / Avulsos"))))</f>
        <v/>
      </c>
      <c r="R539" s="64">
        <f>IF(C539="","",IF(ISNUMBER(SEARCH("PCMSO",C539)),"Título com PCMSO no nome",IF(OR(ISNUMBER(SEARCH("E-SOCIAL",C539)),ISNUMBER(SEARCH("PSICOSOCIAL",C539))),"Título com eSocial/Psicossocial no nome",IF(O539="Receita recorrente","Tipo DRE recorrente","Extra sem palavra-chave específica"))))</f>
        <v/>
      </c>
      <c r="S539" s="92">
        <f>IFERROR(VLOOKUP($A539,'13. Mapa Títulos-Receita'!$A$8:$P$1000,4,FALSE),"")</f>
        <v/>
      </c>
      <c r="T539" s="92">
        <f>IFERROR(VLOOKUP($A539,'13. Mapa Títulos-Receita'!$A$8:$P$1000,5,FALSE),"")</f>
        <v/>
      </c>
      <c r="U539" s="92">
        <f>IFERROR(VLOOKUP($A539,'13. Mapa Títulos-Receita'!$A$8:$P$1000,6,FALSE),"")</f>
        <v/>
      </c>
      <c r="V539" s="92">
        <f>IFERROR(VLOOKUP($A539,'13. Mapa Títulos-Receita'!$A$8:$P$1000,7,FALSE),"")</f>
        <v/>
      </c>
      <c r="W539" s="92">
        <f>IFERROR(VLOOKUP($A539,'13. Mapa Títulos-Receita'!$A$8:$P$1000,8,FALSE),"")</f>
        <v/>
      </c>
      <c r="X539" s="92">
        <f>IFERROR(VLOOKUP($A539,'13. Mapa Títulos-Receita'!$A$8:$P$1000,9,FALSE),"")</f>
        <v/>
      </c>
      <c r="Y539" s="92">
        <f>IFERROR(VLOOKUP($A539,'13. Mapa Títulos-Receita'!$A$8:$P$1000,10,FALSE),"")</f>
        <v/>
      </c>
      <c r="Z539" s="92">
        <f>IFERROR(VLOOKUP($A539,'13. Mapa Títulos-Receita'!$A$8:$P$1000,11,FALSE),"")</f>
        <v/>
      </c>
      <c r="AA539" s="92">
        <f>IFERROR(VLOOKUP($A539,'13. Mapa Títulos-Receita'!$A$8:$P$1000,12,FALSE),"")</f>
        <v/>
      </c>
      <c r="AB539" s="92">
        <f>IFERROR(VLOOKUP($A539,'13. Mapa Títulos-Receita'!$A$8:$P$1000,13,FALSE),"")</f>
        <v/>
      </c>
      <c r="AC539" s="92">
        <f>IFERROR(VLOOKUP($A539,'13. Mapa Títulos-Receita'!$A$8:$P$1000,14,FALSE),"")</f>
        <v/>
      </c>
      <c r="AD539" s="92">
        <f>IFERROR(VLOOKUP($A539,'13. Mapa Títulos-Receita'!$A$8:$P$1000,15,FALSE),"")</f>
        <v/>
      </c>
      <c r="AE539" s="92">
        <f>IFERROR(VLOOKUP($A539,'13. Mapa Títulos-Receita'!$A$8:$P$1000,16,FALSE),"")</f>
        <v/>
      </c>
    </row>
    <row r="540">
      <c r="A540" s="28">
        <f>IF(C540="","", "CR-"&amp;TEXT(ROW()-7,"000"))</f>
        <v/>
      </c>
      <c r="B540" s="28" t="n"/>
      <c r="C540" s="28" t="n"/>
      <c r="D540" s="111" t="n"/>
      <c r="E540" s="111" t="n"/>
      <c r="F540" s="111" t="n"/>
      <c r="G540" s="28" t="n"/>
      <c r="H540" s="45" t="n"/>
      <c r="I540" s="45" t="n"/>
      <c r="J540" s="28">
        <f>IF(H540="","",IF(I540&gt;=H540,"Recebido",IF($B$4&gt;E540,"Vencido","Aberto")))</f>
        <v/>
      </c>
      <c r="K540" s="4">
        <f>IF(J540="","",IF(OR(J540="Recebido",F540=""),MAX(0,F540-E540),MAX(0,$B$4-E540)))</f>
        <v/>
      </c>
      <c r="L540" s="4">
        <f>IF(K540="","",IF(K540=0,"Em dia",IF(K540&lt;=30,"1-30 dias",IF(K540&lt;=60,"31-60 dias",IF(K540&lt;=90,"61-90 dias","&gt;90 dias")))))</f>
        <v/>
      </c>
      <c r="M540" s="28" t="n"/>
      <c r="N540" s="104" t="inlineStr"/>
      <c r="O540" s="64" t="n"/>
      <c r="P540" s="64">
        <f>IF(C540="","",IF(ISNUMBER(SEARCH("PCMSO",C540)),"PCMSO",IF(OR(ISNUMBER(SEARCH("E-SOCIAL",C540)),ISNUMBER(SEARCH("PSICOSOCIAL",C540))),"eSocial / Psicossocial",IF(O540="Receita recorrente","Carteira recorrente","Projetos / Laudos / Avulsos"))))</f>
        <v/>
      </c>
      <c r="Q540" s="64">
        <f>IF(P540="","",IF(P540="Carteira recorrente","Operação recorrente",IF(P540="PCMSO","Projetos PCMSO",IF(P540="eSocial / Psicossocial","Projetos eSocial/Psicossocial","Projetos / Laudos / Avulsos"))))</f>
        <v/>
      </c>
      <c r="R540" s="64">
        <f>IF(C540="","",IF(ISNUMBER(SEARCH("PCMSO",C540)),"Título com PCMSO no nome",IF(OR(ISNUMBER(SEARCH("E-SOCIAL",C540)),ISNUMBER(SEARCH("PSICOSOCIAL",C540))),"Título com eSocial/Psicossocial no nome",IF(O540="Receita recorrente","Tipo DRE recorrente","Extra sem palavra-chave específica"))))</f>
        <v/>
      </c>
      <c r="S540" s="92">
        <f>IFERROR(VLOOKUP($A540,'13. Mapa Títulos-Receita'!$A$8:$P$1000,4,FALSE),"")</f>
        <v/>
      </c>
      <c r="T540" s="92">
        <f>IFERROR(VLOOKUP($A540,'13. Mapa Títulos-Receita'!$A$8:$P$1000,5,FALSE),"")</f>
        <v/>
      </c>
      <c r="U540" s="92">
        <f>IFERROR(VLOOKUP($A540,'13. Mapa Títulos-Receita'!$A$8:$P$1000,6,FALSE),"")</f>
        <v/>
      </c>
      <c r="V540" s="92">
        <f>IFERROR(VLOOKUP($A540,'13. Mapa Títulos-Receita'!$A$8:$P$1000,7,FALSE),"")</f>
        <v/>
      </c>
      <c r="W540" s="92">
        <f>IFERROR(VLOOKUP($A540,'13. Mapa Títulos-Receita'!$A$8:$P$1000,8,FALSE),"")</f>
        <v/>
      </c>
      <c r="X540" s="92">
        <f>IFERROR(VLOOKUP($A540,'13. Mapa Títulos-Receita'!$A$8:$P$1000,9,FALSE),"")</f>
        <v/>
      </c>
      <c r="Y540" s="92">
        <f>IFERROR(VLOOKUP($A540,'13. Mapa Títulos-Receita'!$A$8:$P$1000,10,FALSE),"")</f>
        <v/>
      </c>
      <c r="Z540" s="92">
        <f>IFERROR(VLOOKUP($A540,'13. Mapa Títulos-Receita'!$A$8:$P$1000,11,FALSE),"")</f>
        <v/>
      </c>
      <c r="AA540" s="92">
        <f>IFERROR(VLOOKUP($A540,'13. Mapa Títulos-Receita'!$A$8:$P$1000,12,FALSE),"")</f>
        <v/>
      </c>
      <c r="AB540" s="92">
        <f>IFERROR(VLOOKUP($A540,'13. Mapa Títulos-Receita'!$A$8:$P$1000,13,FALSE),"")</f>
        <v/>
      </c>
      <c r="AC540" s="92">
        <f>IFERROR(VLOOKUP($A540,'13. Mapa Títulos-Receita'!$A$8:$P$1000,14,FALSE),"")</f>
        <v/>
      </c>
      <c r="AD540" s="92">
        <f>IFERROR(VLOOKUP($A540,'13. Mapa Títulos-Receita'!$A$8:$P$1000,15,FALSE),"")</f>
        <v/>
      </c>
      <c r="AE540" s="92">
        <f>IFERROR(VLOOKUP($A540,'13. Mapa Títulos-Receita'!$A$8:$P$1000,16,FALSE),"")</f>
        <v/>
      </c>
    </row>
    <row r="541">
      <c r="A541" s="28">
        <f>IF(C541="","", "CR-"&amp;TEXT(ROW()-7,"000"))</f>
        <v/>
      </c>
      <c r="B541" s="28" t="n"/>
      <c r="C541" s="28" t="n"/>
      <c r="D541" s="111" t="n"/>
      <c r="E541" s="111" t="n"/>
      <c r="F541" s="111" t="n"/>
      <c r="G541" s="28" t="n"/>
      <c r="H541" s="45" t="n"/>
      <c r="I541" s="45" t="n"/>
      <c r="J541" s="28">
        <f>IF(H541="","",IF(I541&gt;=H541,"Recebido",IF($B$4&gt;E541,"Vencido","Aberto")))</f>
        <v/>
      </c>
      <c r="K541" s="4">
        <f>IF(J541="","",IF(OR(J541="Recebido",F541=""),MAX(0,F541-E541),MAX(0,$B$4-E541)))</f>
        <v/>
      </c>
      <c r="L541" s="4">
        <f>IF(K541="","",IF(K541=0,"Em dia",IF(K541&lt;=30,"1-30 dias",IF(K541&lt;=60,"31-60 dias",IF(K541&lt;=90,"61-90 dias","&gt;90 dias")))))</f>
        <v/>
      </c>
      <c r="M541" s="28" t="n"/>
      <c r="N541" s="104" t="inlineStr"/>
      <c r="O541" s="64" t="n"/>
      <c r="P541" s="64">
        <f>IF(C541="","",IF(ISNUMBER(SEARCH("PCMSO",C541)),"PCMSO",IF(OR(ISNUMBER(SEARCH("E-SOCIAL",C541)),ISNUMBER(SEARCH("PSICOSOCIAL",C541))),"eSocial / Psicossocial",IF(O541="Receita recorrente","Carteira recorrente","Projetos / Laudos / Avulsos"))))</f>
        <v/>
      </c>
      <c r="Q541" s="64">
        <f>IF(P541="","",IF(P541="Carteira recorrente","Operação recorrente",IF(P541="PCMSO","Projetos PCMSO",IF(P541="eSocial / Psicossocial","Projetos eSocial/Psicossocial","Projetos / Laudos / Avulsos"))))</f>
        <v/>
      </c>
      <c r="R541" s="64">
        <f>IF(C541="","",IF(ISNUMBER(SEARCH("PCMSO",C541)),"Título com PCMSO no nome",IF(OR(ISNUMBER(SEARCH("E-SOCIAL",C541)),ISNUMBER(SEARCH("PSICOSOCIAL",C541))),"Título com eSocial/Psicossocial no nome",IF(O541="Receita recorrente","Tipo DRE recorrente","Extra sem palavra-chave específica"))))</f>
        <v/>
      </c>
      <c r="S541" s="92">
        <f>IFERROR(VLOOKUP($A541,'13. Mapa Títulos-Receita'!$A$8:$P$1000,4,FALSE),"")</f>
        <v/>
      </c>
      <c r="T541" s="92">
        <f>IFERROR(VLOOKUP($A541,'13. Mapa Títulos-Receita'!$A$8:$P$1000,5,FALSE),"")</f>
        <v/>
      </c>
      <c r="U541" s="92">
        <f>IFERROR(VLOOKUP($A541,'13. Mapa Títulos-Receita'!$A$8:$P$1000,6,FALSE),"")</f>
        <v/>
      </c>
      <c r="V541" s="92">
        <f>IFERROR(VLOOKUP($A541,'13. Mapa Títulos-Receita'!$A$8:$P$1000,7,FALSE),"")</f>
        <v/>
      </c>
      <c r="W541" s="92">
        <f>IFERROR(VLOOKUP($A541,'13. Mapa Títulos-Receita'!$A$8:$P$1000,8,FALSE),"")</f>
        <v/>
      </c>
      <c r="X541" s="92">
        <f>IFERROR(VLOOKUP($A541,'13. Mapa Títulos-Receita'!$A$8:$P$1000,9,FALSE),"")</f>
        <v/>
      </c>
      <c r="Y541" s="92">
        <f>IFERROR(VLOOKUP($A541,'13. Mapa Títulos-Receita'!$A$8:$P$1000,10,FALSE),"")</f>
        <v/>
      </c>
      <c r="Z541" s="92">
        <f>IFERROR(VLOOKUP($A541,'13. Mapa Títulos-Receita'!$A$8:$P$1000,11,FALSE),"")</f>
        <v/>
      </c>
      <c r="AA541" s="92">
        <f>IFERROR(VLOOKUP($A541,'13. Mapa Títulos-Receita'!$A$8:$P$1000,12,FALSE),"")</f>
        <v/>
      </c>
      <c r="AB541" s="92">
        <f>IFERROR(VLOOKUP($A541,'13. Mapa Títulos-Receita'!$A$8:$P$1000,13,FALSE),"")</f>
        <v/>
      </c>
      <c r="AC541" s="92">
        <f>IFERROR(VLOOKUP($A541,'13. Mapa Títulos-Receita'!$A$8:$P$1000,14,FALSE),"")</f>
        <v/>
      </c>
      <c r="AD541" s="92">
        <f>IFERROR(VLOOKUP($A541,'13. Mapa Títulos-Receita'!$A$8:$P$1000,15,FALSE),"")</f>
        <v/>
      </c>
      <c r="AE541" s="92">
        <f>IFERROR(VLOOKUP($A541,'13. Mapa Títulos-Receita'!$A$8:$P$1000,16,FALSE),"")</f>
        <v/>
      </c>
    </row>
    <row r="542">
      <c r="A542" s="28">
        <f>IF(C542="","", "CR-"&amp;TEXT(ROW()-7,"000"))</f>
        <v/>
      </c>
      <c r="B542" s="28" t="n"/>
      <c r="C542" s="28" t="n"/>
      <c r="D542" s="111" t="n"/>
      <c r="E542" s="111" t="n"/>
      <c r="F542" s="111" t="n"/>
      <c r="G542" s="28" t="n"/>
      <c r="H542" s="45" t="n"/>
      <c r="I542" s="45" t="n"/>
      <c r="J542" s="28">
        <f>IF(H542="","",IF(I542&gt;=H542,"Recebido",IF($B$4&gt;E542,"Vencido","Aberto")))</f>
        <v/>
      </c>
      <c r="K542" s="4">
        <f>IF(J542="","",IF(OR(J542="Recebido",F542=""),MAX(0,F542-E542),MAX(0,$B$4-E542)))</f>
        <v/>
      </c>
      <c r="L542" s="4">
        <f>IF(K542="","",IF(K542=0,"Em dia",IF(K542&lt;=30,"1-30 dias",IF(K542&lt;=60,"31-60 dias",IF(K542&lt;=90,"61-90 dias","&gt;90 dias")))))</f>
        <v/>
      </c>
      <c r="M542" s="28" t="n"/>
      <c r="N542" s="104" t="inlineStr"/>
      <c r="O542" s="64" t="n"/>
      <c r="P542" s="64">
        <f>IF(C542="","",IF(ISNUMBER(SEARCH("PCMSO",C542)),"PCMSO",IF(OR(ISNUMBER(SEARCH("E-SOCIAL",C542)),ISNUMBER(SEARCH("PSICOSOCIAL",C542))),"eSocial / Psicossocial",IF(O542="Receita recorrente","Carteira recorrente","Projetos / Laudos / Avulsos"))))</f>
        <v/>
      </c>
      <c r="Q542" s="64">
        <f>IF(P542="","",IF(P542="Carteira recorrente","Operação recorrente",IF(P542="PCMSO","Projetos PCMSO",IF(P542="eSocial / Psicossocial","Projetos eSocial/Psicossocial","Projetos / Laudos / Avulsos"))))</f>
        <v/>
      </c>
      <c r="R542" s="64">
        <f>IF(C542="","",IF(ISNUMBER(SEARCH("PCMSO",C542)),"Título com PCMSO no nome",IF(OR(ISNUMBER(SEARCH("E-SOCIAL",C542)),ISNUMBER(SEARCH("PSICOSOCIAL",C542))),"Título com eSocial/Psicossocial no nome",IF(O542="Receita recorrente","Tipo DRE recorrente","Extra sem palavra-chave específica"))))</f>
        <v/>
      </c>
      <c r="S542" s="92">
        <f>IFERROR(VLOOKUP($A542,'13. Mapa Títulos-Receita'!$A$8:$P$1000,4,FALSE),"")</f>
        <v/>
      </c>
      <c r="T542" s="92">
        <f>IFERROR(VLOOKUP($A542,'13. Mapa Títulos-Receita'!$A$8:$P$1000,5,FALSE),"")</f>
        <v/>
      </c>
      <c r="U542" s="92">
        <f>IFERROR(VLOOKUP($A542,'13. Mapa Títulos-Receita'!$A$8:$P$1000,6,FALSE),"")</f>
        <v/>
      </c>
      <c r="V542" s="92">
        <f>IFERROR(VLOOKUP($A542,'13. Mapa Títulos-Receita'!$A$8:$P$1000,7,FALSE),"")</f>
        <v/>
      </c>
      <c r="W542" s="92">
        <f>IFERROR(VLOOKUP($A542,'13. Mapa Títulos-Receita'!$A$8:$P$1000,8,FALSE),"")</f>
        <v/>
      </c>
      <c r="X542" s="92">
        <f>IFERROR(VLOOKUP($A542,'13. Mapa Títulos-Receita'!$A$8:$P$1000,9,FALSE),"")</f>
        <v/>
      </c>
      <c r="Y542" s="92">
        <f>IFERROR(VLOOKUP($A542,'13. Mapa Títulos-Receita'!$A$8:$P$1000,10,FALSE),"")</f>
        <v/>
      </c>
      <c r="Z542" s="92">
        <f>IFERROR(VLOOKUP($A542,'13. Mapa Títulos-Receita'!$A$8:$P$1000,11,FALSE),"")</f>
        <v/>
      </c>
      <c r="AA542" s="92">
        <f>IFERROR(VLOOKUP($A542,'13. Mapa Títulos-Receita'!$A$8:$P$1000,12,FALSE),"")</f>
        <v/>
      </c>
      <c r="AB542" s="92">
        <f>IFERROR(VLOOKUP($A542,'13. Mapa Títulos-Receita'!$A$8:$P$1000,13,FALSE),"")</f>
        <v/>
      </c>
      <c r="AC542" s="92">
        <f>IFERROR(VLOOKUP($A542,'13. Mapa Títulos-Receita'!$A$8:$P$1000,14,FALSE),"")</f>
        <v/>
      </c>
      <c r="AD542" s="92">
        <f>IFERROR(VLOOKUP($A542,'13. Mapa Títulos-Receita'!$A$8:$P$1000,15,FALSE),"")</f>
        <v/>
      </c>
      <c r="AE542" s="92">
        <f>IFERROR(VLOOKUP($A542,'13. Mapa Títulos-Receita'!$A$8:$P$1000,16,FALSE),"")</f>
        <v/>
      </c>
    </row>
    <row r="543">
      <c r="A543" s="28">
        <f>IF(C543="","", "CR-"&amp;TEXT(ROW()-7,"000"))</f>
        <v/>
      </c>
      <c r="B543" s="28" t="n"/>
      <c r="C543" s="28" t="n"/>
      <c r="D543" s="111" t="n"/>
      <c r="E543" s="111" t="n"/>
      <c r="F543" s="111" t="n"/>
      <c r="G543" s="28" t="n"/>
      <c r="H543" s="45" t="n"/>
      <c r="I543" s="45" t="n"/>
      <c r="J543" s="28">
        <f>IF(H543="","",IF(I543&gt;=H543,"Recebido",IF($B$4&gt;E543,"Vencido","Aberto")))</f>
        <v/>
      </c>
      <c r="K543" s="4">
        <f>IF(J543="","",IF(OR(J543="Recebido",F543=""),MAX(0,F543-E543),MAX(0,$B$4-E543)))</f>
        <v/>
      </c>
      <c r="L543" s="4">
        <f>IF(K543="","",IF(K543=0,"Em dia",IF(K543&lt;=30,"1-30 dias",IF(K543&lt;=60,"31-60 dias",IF(K543&lt;=90,"61-90 dias","&gt;90 dias")))))</f>
        <v/>
      </c>
      <c r="M543" s="28" t="n"/>
      <c r="N543" s="104" t="inlineStr"/>
      <c r="O543" s="64" t="n"/>
      <c r="P543" s="64">
        <f>IF(C543="","",IF(ISNUMBER(SEARCH("PCMSO",C543)),"PCMSO",IF(OR(ISNUMBER(SEARCH("E-SOCIAL",C543)),ISNUMBER(SEARCH("PSICOSOCIAL",C543))),"eSocial / Psicossocial",IF(O543="Receita recorrente","Carteira recorrente","Projetos / Laudos / Avulsos"))))</f>
        <v/>
      </c>
      <c r="Q543" s="64">
        <f>IF(P543="","",IF(P543="Carteira recorrente","Operação recorrente",IF(P543="PCMSO","Projetos PCMSO",IF(P543="eSocial / Psicossocial","Projetos eSocial/Psicossocial","Projetos / Laudos / Avulsos"))))</f>
        <v/>
      </c>
      <c r="R543" s="64">
        <f>IF(C543="","",IF(ISNUMBER(SEARCH("PCMSO",C543)),"Título com PCMSO no nome",IF(OR(ISNUMBER(SEARCH("E-SOCIAL",C543)),ISNUMBER(SEARCH("PSICOSOCIAL",C543))),"Título com eSocial/Psicossocial no nome",IF(O543="Receita recorrente","Tipo DRE recorrente","Extra sem palavra-chave específica"))))</f>
        <v/>
      </c>
      <c r="S543" s="92">
        <f>IFERROR(VLOOKUP($A543,'13. Mapa Títulos-Receita'!$A$8:$P$1000,4,FALSE),"")</f>
        <v/>
      </c>
      <c r="T543" s="92">
        <f>IFERROR(VLOOKUP($A543,'13. Mapa Títulos-Receita'!$A$8:$P$1000,5,FALSE),"")</f>
        <v/>
      </c>
      <c r="U543" s="92">
        <f>IFERROR(VLOOKUP($A543,'13. Mapa Títulos-Receita'!$A$8:$P$1000,6,FALSE),"")</f>
        <v/>
      </c>
      <c r="V543" s="92">
        <f>IFERROR(VLOOKUP($A543,'13. Mapa Títulos-Receita'!$A$8:$P$1000,7,FALSE),"")</f>
        <v/>
      </c>
      <c r="W543" s="92">
        <f>IFERROR(VLOOKUP($A543,'13. Mapa Títulos-Receita'!$A$8:$P$1000,8,FALSE),"")</f>
        <v/>
      </c>
      <c r="X543" s="92">
        <f>IFERROR(VLOOKUP($A543,'13. Mapa Títulos-Receita'!$A$8:$P$1000,9,FALSE),"")</f>
        <v/>
      </c>
      <c r="Y543" s="92">
        <f>IFERROR(VLOOKUP($A543,'13. Mapa Títulos-Receita'!$A$8:$P$1000,10,FALSE),"")</f>
        <v/>
      </c>
      <c r="Z543" s="92">
        <f>IFERROR(VLOOKUP($A543,'13. Mapa Títulos-Receita'!$A$8:$P$1000,11,FALSE),"")</f>
        <v/>
      </c>
      <c r="AA543" s="92">
        <f>IFERROR(VLOOKUP($A543,'13. Mapa Títulos-Receita'!$A$8:$P$1000,12,FALSE),"")</f>
        <v/>
      </c>
      <c r="AB543" s="92">
        <f>IFERROR(VLOOKUP($A543,'13. Mapa Títulos-Receita'!$A$8:$P$1000,13,FALSE),"")</f>
        <v/>
      </c>
      <c r="AC543" s="92">
        <f>IFERROR(VLOOKUP($A543,'13. Mapa Títulos-Receita'!$A$8:$P$1000,14,FALSE),"")</f>
        <v/>
      </c>
      <c r="AD543" s="92">
        <f>IFERROR(VLOOKUP($A543,'13. Mapa Títulos-Receita'!$A$8:$P$1000,15,FALSE),"")</f>
        <v/>
      </c>
      <c r="AE543" s="92">
        <f>IFERROR(VLOOKUP($A543,'13. Mapa Títulos-Receita'!$A$8:$P$1000,16,FALSE),"")</f>
        <v/>
      </c>
    </row>
    <row r="544">
      <c r="A544" s="28">
        <f>IF(C544="","", "CR-"&amp;TEXT(ROW()-7,"000"))</f>
        <v/>
      </c>
      <c r="B544" s="28" t="n"/>
      <c r="C544" s="28" t="n"/>
      <c r="D544" s="111" t="n"/>
      <c r="E544" s="111" t="n"/>
      <c r="F544" s="111" t="n"/>
      <c r="G544" s="28" t="n"/>
      <c r="H544" s="45" t="n"/>
      <c r="I544" s="45" t="n"/>
      <c r="J544" s="28">
        <f>IF(H544="","",IF(I544&gt;=H544,"Recebido",IF($B$4&gt;E544,"Vencido","Aberto")))</f>
        <v/>
      </c>
      <c r="K544" s="4">
        <f>IF(J544="","",IF(OR(J544="Recebido",F544=""),MAX(0,F544-E544),MAX(0,$B$4-E544)))</f>
        <v/>
      </c>
      <c r="L544" s="4">
        <f>IF(K544="","",IF(K544=0,"Em dia",IF(K544&lt;=30,"1-30 dias",IF(K544&lt;=60,"31-60 dias",IF(K544&lt;=90,"61-90 dias","&gt;90 dias")))))</f>
        <v/>
      </c>
      <c r="M544" s="28" t="n"/>
      <c r="N544" s="104" t="inlineStr"/>
      <c r="O544" s="64" t="n"/>
      <c r="P544" s="64">
        <f>IF(C544="","",IF(ISNUMBER(SEARCH("PCMSO",C544)),"PCMSO",IF(OR(ISNUMBER(SEARCH("E-SOCIAL",C544)),ISNUMBER(SEARCH("PSICOSOCIAL",C544))),"eSocial / Psicossocial",IF(O544="Receita recorrente","Carteira recorrente","Projetos / Laudos / Avulsos"))))</f>
        <v/>
      </c>
      <c r="Q544" s="64">
        <f>IF(P544="","",IF(P544="Carteira recorrente","Operação recorrente",IF(P544="PCMSO","Projetos PCMSO",IF(P544="eSocial / Psicossocial","Projetos eSocial/Psicossocial","Projetos / Laudos / Avulsos"))))</f>
        <v/>
      </c>
      <c r="R544" s="64">
        <f>IF(C544="","",IF(ISNUMBER(SEARCH("PCMSO",C544)),"Título com PCMSO no nome",IF(OR(ISNUMBER(SEARCH("E-SOCIAL",C544)),ISNUMBER(SEARCH("PSICOSOCIAL",C544))),"Título com eSocial/Psicossocial no nome",IF(O544="Receita recorrente","Tipo DRE recorrente","Extra sem palavra-chave específica"))))</f>
        <v/>
      </c>
      <c r="S544" s="92">
        <f>IFERROR(VLOOKUP($A544,'13. Mapa Títulos-Receita'!$A$8:$P$1000,4,FALSE),"")</f>
        <v/>
      </c>
      <c r="T544" s="92">
        <f>IFERROR(VLOOKUP($A544,'13. Mapa Títulos-Receita'!$A$8:$P$1000,5,FALSE),"")</f>
        <v/>
      </c>
      <c r="U544" s="92">
        <f>IFERROR(VLOOKUP($A544,'13. Mapa Títulos-Receita'!$A$8:$P$1000,6,FALSE),"")</f>
        <v/>
      </c>
      <c r="V544" s="92">
        <f>IFERROR(VLOOKUP($A544,'13. Mapa Títulos-Receita'!$A$8:$P$1000,7,FALSE),"")</f>
        <v/>
      </c>
      <c r="W544" s="92">
        <f>IFERROR(VLOOKUP($A544,'13. Mapa Títulos-Receita'!$A$8:$P$1000,8,FALSE),"")</f>
        <v/>
      </c>
      <c r="X544" s="92">
        <f>IFERROR(VLOOKUP($A544,'13. Mapa Títulos-Receita'!$A$8:$P$1000,9,FALSE),"")</f>
        <v/>
      </c>
      <c r="Y544" s="92">
        <f>IFERROR(VLOOKUP($A544,'13. Mapa Títulos-Receita'!$A$8:$P$1000,10,FALSE),"")</f>
        <v/>
      </c>
      <c r="Z544" s="92">
        <f>IFERROR(VLOOKUP($A544,'13. Mapa Títulos-Receita'!$A$8:$P$1000,11,FALSE),"")</f>
        <v/>
      </c>
      <c r="AA544" s="92">
        <f>IFERROR(VLOOKUP($A544,'13. Mapa Títulos-Receita'!$A$8:$P$1000,12,FALSE),"")</f>
        <v/>
      </c>
      <c r="AB544" s="92">
        <f>IFERROR(VLOOKUP($A544,'13. Mapa Títulos-Receita'!$A$8:$P$1000,13,FALSE),"")</f>
        <v/>
      </c>
      <c r="AC544" s="92">
        <f>IFERROR(VLOOKUP($A544,'13. Mapa Títulos-Receita'!$A$8:$P$1000,14,FALSE),"")</f>
        <v/>
      </c>
      <c r="AD544" s="92">
        <f>IFERROR(VLOOKUP($A544,'13. Mapa Títulos-Receita'!$A$8:$P$1000,15,FALSE),"")</f>
        <v/>
      </c>
      <c r="AE544" s="92">
        <f>IFERROR(VLOOKUP($A544,'13. Mapa Títulos-Receita'!$A$8:$P$1000,16,FALSE),"")</f>
        <v/>
      </c>
    </row>
    <row r="545">
      <c r="A545" s="28">
        <f>IF(C545="","", "CR-"&amp;TEXT(ROW()-7,"000"))</f>
        <v/>
      </c>
      <c r="B545" s="28" t="n"/>
      <c r="C545" s="28" t="n"/>
      <c r="D545" s="111" t="n"/>
      <c r="E545" s="111" t="n"/>
      <c r="F545" s="111" t="n"/>
      <c r="G545" s="28" t="n"/>
      <c r="H545" s="45" t="n"/>
      <c r="I545" s="45" t="n"/>
      <c r="J545" s="28">
        <f>IF(H545="","",IF(I545&gt;=H545,"Recebido",IF($B$4&gt;E545,"Vencido","Aberto")))</f>
        <v/>
      </c>
      <c r="K545" s="4">
        <f>IF(J545="","",IF(OR(J545="Recebido",F545=""),MAX(0,F545-E545),MAX(0,$B$4-E545)))</f>
        <v/>
      </c>
      <c r="L545" s="4">
        <f>IF(K545="","",IF(K545=0,"Em dia",IF(K545&lt;=30,"1-30 dias",IF(K545&lt;=60,"31-60 dias",IF(K545&lt;=90,"61-90 dias","&gt;90 dias")))))</f>
        <v/>
      </c>
      <c r="M545" s="28" t="n"/>
      <c r="N545" s="104" t="inlineStr"/>
      <c r="O545" s="64" t="n"/>
      <c r="P545" s="64">
        <f>IF(C545="","",IF(ISNUMBER(SEARCH("PCMSO",C545)),"PCMSO",IF(OR(ISNUMBER(SEARCH("E-SOCIAL",C545)),ISNUMBER(SEARCH("PSICOSOCIAL",C545))),"eSocial / Psicossocial",IF(O545="Receita recorrente","Carteira recorrente","Projetos / Laudos / Avulsos"))))</f>
        <v/>
      </c>
      <c r="Q545" s="64">
        <f>IF(P545="","",IF(P545="Carteira recorrente","Operação recorrente",IF(P545="PCMSO","Projetos PCMSO",IF(P545="eSocial / Psicossocial","Projetos eSocial/Psicossocial","Projetos / Laudos / Avulsos"))))</f>
        <v/>
      </c>
      <c r="R545" s="64">
        <f>IF(C545="","",IF(ISNUMBER(SEARCH("PCMSO",C545)),"Título com PCMSO no nome",IF(OR(ISNUMBER(SEARCH("E-SOCIAL",C545)),ISNUMBER(SEARCH("PSICOSOCIAL",C545))),"Título com eSocial/Psicossocial no nome",IF(O545="Receita recorrente","Tipo DRE recorrente","Extra sem palavra-chave específica"))))</f>
        <v/>
      </c>
      <c r="S545" s="92">
        <f>IFERROR(VLOOKUP($A545,'13. Mapa Títulos-Receita'!$A$8:$P$1000,4,FALSE),"")</f>
        <v/>
      </c>
      <c r="T545" s="92">
        <f>IFERROR(VLOOKUP($A545,'13. Mapa Títulos-Receita'!$A$8:$P$1000,5,FALSE),"")</f>
        <v/>
      </c>
      <c r="U545" s="92">
        <f>IFERROR(VLOOKUP($A545,'13. Mapa Títulos-Receita'!$A$8:$P$1000,6,FALSE),"")</f>
        <v/>
      </c>
      <c r="V545" s="92">
        <f>IFERROR(VLOOKUP($A545,'13. Mapa Títulos-Receita'!$A$8:$P$1000,7,FALSE),"")</f>
        <v/>
      </c>
      <c r="W545" s="92">
        <f>IFERROR(VLOOKUP($A545,'13. Mapa Títulos-Receita'!$A$8:$P$1000,8,FALSE),"")</f>
        <v/>
      </c>
      <c r="X545" s="92">
        <f>IFERROR(VLOOKUP($A545,'13. Mapa Títulos-Receita'!$A$8:$P$1000,9,FALSE),"")</f>
        <v/>
      </c>
      <c r="Y545" s="92">
        <f>IFERROR(VLOOKUP($A545,'13. Mapa Títulos-Receita'!$A$8:$P$1000,10,FALSE),"")</f>
        <v/>
      </c>
      <c r="Z545" s="92">
        <f>IFERROR(VLOOKUP($A545,'13. Mapa Títulos-Receita'!$A$8:$P$1000,11,FALSE),"")</f>
        <v/>
      </c>
      <c r="AA545" s="92">
        <f>IFERROR(VLOOKUP($A545,'13. Mapa Títulos-Receita'!$A$8:$P$1000,12,FALSE),"")</f>
        <v/>
      </c>
      <c r="AB545" s="92">
        <f>IFERROR(VLOOKUP($A545,'13. Mapa Títulos-Receita'!$A$8:$P$1000,13,FALSE),"")</f>
        <v/>
      </c>
      <c r="AC545" s="92">
        <f>IFERROR(VLOOKUP($A545,'13. Mapa Títulos-Receita'!$A$8:$P$1000,14,FALSE),"")</f>
        <v/>
      </c>
      <c r="AD545" s="92">
        <f>IFERROR(VLOOKUP($A545,'13. Mapa Títulos-Receita'!$A$8:$P$1000,15,FALSE),"")</f>
        <v/>
      </c>
      <c r="AE545" s="92">
        <f>IFERROR(VLOOKUP($A545,'13. Mapa Títulos-Receita'!$A$8:$P$1000,16,FALSE),"")</f>
        <v/>
      </c>
    </row>
    <row r="546">
      <c r="A546" s="28">
        <f>IF(C546="","", "CR-"&amp;TEXT(ROW()-7,"000"))</f>
        <v/>
      </c>
      <c r="B546" s="28" t="n"/>
      <c r="C546" s="28" t="n"/>
      <c r="D546" s="111" t="n"/>
      <c r="E546" s="111" t="n"/>
      <c r="F546" s="111" t="n"/>
      <c r="G546" s="28" t="n"/>
      <c r="H546" s="45" t="n"/>
      <c r="I546" s="45" t="n"/>
      <c r="J546" s="28">
        <f>IF(H546="","",IF(I546&gt;=H546,"Recebido",IF($B$4&gt;E546,"Vencido","Aberto")))</f>
        <v/>
      </c>
      <c r="K546" s="4">
        <f>IF(J546="","",IF(OR(J546="Recebido",F546=""),MAX(0,F546-E546),MAX(0,$B$4-E546)))</f>
        <v/>
      </c>
      <c r="L546" s="4">
        <f>IF(K546="","",IF(K546=0,"Em dia",IF(K546&lt;=30,"1-30 dias",IF(K546&lt;=60,"31-60 dias",IF(K546&lt;=90,"61-90 dias","&gt;90 dias")))))</f>
        <v/>
      </c>
      <c r="M546" s="28" t="n"/>
      <c r="N546" s="104" t="inlineStr"/>
      <c r="O546" s="64" t="n"/>
      <c r="P546" s="64">
        <f>IF(C546="","",IF(ISNUMBER(SEARCH("PCMSO",C546)),"PCMSO",IF(OR(ISNUMBER(SEARCH("E-SOCIAL",C546)),ISNUMBER(SEARCH("PSICOSOCIAL",C546))),"eSocial / Psicossocial",IF(O546="Receita recorrente","Carteira recorrente","Projetos / Laudos / Avulsos"))))</f>
        <v/>
      </c>
      <c r="Q546" s="64">
        <f>IF(P546="","",IF(P546="Carteira recorrente","Operação recorrente",IF(P546="PCMSO","Projetos PCMSO",IF(P546="eSocial / Psicossocial","Projetos eSocial/Psicossocial","Projetos / Laudos / Avulsos"))))</f>
        <v/>
      </c>
      <c r="R546" s="64">
        <f>IF(C546="","",IF(ISNUMBER(SEARCH("PCMSO",C546)),"Título com PCMSO no nome",IF(OR(ISNUMBER(SEARCH("E-SOCIAL",C546)),ISNUMBER(SEARCH("PSICOSOCIAL",C546))),"Título com eSocial/Psicossocial no nome",IF(O546="Receita recorrente","Tipo DRE recorrente","Extra sem palavra-chave específica"))))</f>
        <v/>
      </c>
      <c r="S546" s="92">
        <f>IFERROR(VLOOKUP($A546,'13. Mapa Títulos-Receita'!$A$8:$P$1000,4,FALSE),"")</f>
        <v/>
      </c>
      <c r="T546" s="92">
        <f>IFERROR(VLOOKUP($A546,'13. Mapa Títulos-Receita'!$A$8:$P$1000,5,FALSE),"")</f>
        <v/>
      </c>
      <c r="U546" s="92">
        <f>IFERROR(VLOOKUP($A546,'13. Mapa Títulos-Receita'!$A$8:$P$1000,6,FALSE),"")</f>
        <v/>
      </c>
      <c r="V546" s="92">
        <f>IFERROR(VLOOKUP($A546,'13. Mapa Títulos-Receita'!$A$8:$P$1000,7,FALSE),"")</f>
        <v/>
      </c>
      <c r="W546" s="92">
        <f>IFERROR(VLOOKUP($A546,'13. Mapa Títulos-Receita'!$A$8:$P$1000,8,FALSE),"")</f>
        <v/>
      </c>
      <c r="X546" s="92">
        <f>IFERROR(VLOOKUP($A546,'13. Mapa Títulos-Receita'!$A$8:$P$1000,9,FALSE),"")</f>
        <v/>
      </c>
      <c r="Y546" s="92">
        <f>IFERROR(VLOOKUP($A546,'13. Mapa Títulos-Receita'!$A$8:$P$1000,10,FALSE),"")</f>
        <v/>
      </c>
      <c r="Z546" s="92">
        <f>IFERROR(VLOOKUP($A546,'13. Mapa Títulos-Receita'!$A$8:$P$1000,11,FALSE),"")</f>
        <v/>
      </c>
      <c r="AA546" s="92">
        <f>IFERROR(VLOOKUP($A546,'13. Mapa Títulos-Receita'!$A$8:$P$1000,12,FALSE),"")</f>
        <v/>
      </c>
      <c r="AB546" s="92">
        <f>IFERROR(VLOOKUP($A546,'13. Mapa Títulos-Receita'!$A$8:$P$1000,13,FALSE),"")</f>
        <v/>
      </c>
      <c r="AC546" s="92">
        <f>IFERROR(VLOOKUP($A546,'13. Mapa Títulos-Receita'!$A$8:$P$1000,14,FALSE),"")</f>
        <v/>
      </c>
      <c r="AD546" s="92">
        <f>IFERROR(VLOOKUP($A546,'13. Mapa Títulos-Receita'!$A$8:$P$1000,15,FALSE),"")</f>
        <v/>
      </c>
      <c r="AE546" s="92">
        <f>IFERROR(VLOOKUP($A546,'13. Mapa Títulos-Receita'!$A$8:$P$1000,16,FALSE),"")</f>
        <v/>
      </c>
    </row>
    <row r="547">
      <c r="A547" s="28">
        <f>IF(C547="","", "CR-"&amp;TEXT(ROW()-7,"000"))</f>
        <v/>
      </c>
      <c r="B547" s="28" t="n"/>
      <c r="C547" s="28" t="n"/>
      <c r="D547" s="111" t="n"/>
      <c r="E547" s="111" t="n"/>
      <c r="F547" s="111" t="n"/>
      <c r="G547" s="28" t="n"/>
      <c r="H547" s="45" t="n"/>
      <c r="I547" s="45" t="n"/>
      <c r="J547" s="28">
        <f>IF(H547="","",IF(I547&gt;=H547,"Recebido",IF($B$4&gt;E547,"Vencido","Aberto")))</f>
        <v/>
      </c>
      <c r="K547" s="4">
        <f>IF(J547="","",IF(OR(J547="Recebido",F547=""),MAX(0,F547-E547),MAX(0,$B$4-E547)))</f>
        <v/>
      </c>
      <c r="L547" s="4">
        <f>IF(K547="","",IF(K547=0,"Em dia",IF(K547&lt;=30,"1-30 dias",IF(K547&lt;=60,"31-60 dias",IF(K547&lt;=90,"61-90 dias","&gt;90 dias")))))</f>
        <v/>
      </c>
      <c r="M547" s="28" t="n"/>
      <c r="N547" s="104" t="inlineStr"/>
      <c r="O547" s="64" t="n"/>
      <c r="P547" s="64">
        <f>IF(C547="","",IF(ISNUMBER(SEARCH("PCMSO",C547)),"PCMSO",IF(OR(ISNUMBER(SEARCH("E-SOCIAL",C547)),ISNUMBER(SEARCH("PSICOSOCIAL",C547))),"eSocial / Psicossocial",IF(O547="Receita recorrente","Carteira recorrente","Projetos / Laudos / Avulsos"))))</f>
        <v/>
      </c>
      <c r="Q547" s="64">
        <f>IF(P547="","",IF(P547="Carteira recorrente","Operação recorrente",IF(P547="PCMSO","Projetos PCMSO",IF(P547="eSocial / Psicossocial","Projetos eSocial/Psicossocial","Projetos / Laudos / Avulsos"))))</f>
        <v/>
      </c>
      <c r="R547" s="64">
        <f>IF(C547="","",IF(ISNUMBER(SEARCH("PCMSO",C547)),"Título com PCMSO no nome",IF(OR(ISNUMBER(SEARCH("E-SOCIAL",C547)),ISNUMBER(SEARCH("PSICOSOCIAL",C547))),"Título com eSocial/Psicossocial no nome",IF(O547="Receita recorrente","Tipo DRE recorrente","Extra sem palavra-chave específica"))))</f>
        <v/>
      </c>
      <c r="S547" s="92">
        <f>IFERROR(VLOOKUP($A547,'13. Mapa Títulos-Receita'!$A$8:$P$1000,4,FALSE),"")</f>
        <v/>
      </c>
      <c r="T547" s="92">
        <f>IFERROR(VLOOKUP($A547,'13. Mapa Títulos-Receita'!$A$8:$P$1000,5,FALSE),"")</f>
        <v/>
      </c>
      <c r="U547" s="92">
        <f>IFERROR(VLOOKUP($A547,'13. Mapa Títulos-Receita'!$A$8:$P$1000,6,FALSE),"")</f>
        <v/>
      </c>
      <c r="V547" s="92">
        <f>IFERROR(VLOOKUP($A547,'13. Mapa Títulos-Receita'!$A$8:$P$1000,7,FALSE),"")</f>
        <v/>
      </c>
      <c r="W547" s="92">
        <f>IFERROR(VLOOKUP($A547,'13. Mapa Títulos-Receita'!$A$8:$P$1000,8,FALSE),"")</f>
        <v/>
      </c>
      <c r="X547" s="92">
        <f>IFERROR(VLOOKUP($A547,'13. Mapa Títulos-Receita'!$A$8:$P$1000,9,FALSE),"")</f>
        <v/>
      </c>
      <c r="Y547" s="92">
        <f>IFERROR(VLOOKUP($A547,'13. Mapa Títulos-Receita'!$A$8:$P$1000,10,FALSE),"")</f>
        <v/>
      </c>
      <c r="Z547" s="92">
        <f>IFERROR(VLOOKUP($A547,'13. Mapa Títulos-Receita'!$A$8:$P$1000,11,FALSE),"")</f>
        <v/>
      </c>
      <c r="AA547" s="92">
        <f>IFERROR(VLOOKUP($A547,'13. Mapa Títulos-Receita'!$A$8:$P$1000,12,FALSE),"")</f>
        <v/>
      </c>
      <c r="AB547" s="92">
        <f>IFERROR(VLOOKUP($A547,'13. Mapa Títulos-Receita'!$A$8:$P$1000,13,FALSE),"")</f>
        <v/>
      </c>
      <c r="AC547" s="92">
        <f>IFERROR(VLOOKUP($A547,'13. Mapa Títulos-Receita'!$A$8:$P$1000,14,FALSE),"")</f>
        <v/>
      </c>
      <c r="AD547" s="92">
        <f>IFERROR(VLOOKUP($A547,'13. Mapa Títulos-Receita'!$A$8:$P$1000,15,FALSE),"")</f>
        <v/>
      </c>
      <c r="AE547" s="92">
        <f>IFERROR(VLOOKUP($A547,'13. Mapa Títulos-Receita'!$A$8:$P$1000,16,FALSE),"")</f>
        <v/>
      </c>
    </row>
    <row r="548">
      <c r="A548" s="28">
        <f>IF(C548="","", "CR-"&amp;TEXT(ROW()-7,"000"))</f>
        <v/>
      </c>
      <c r="B548" s="28" t="n"/>
      <c r="C548" s="28" t="n"/>
      <c r="D548" s="111" t="n"/>
      <c r="E548" s="111" t="n"/>
      <c r="F548" s="111" t="n"/>
      <c r="G548" s="28" t="n"/>
      <c r="H548" s="45" t="n"/>
      <c r="I548" s="45" t="n"/>
      <c r="J548" s="28">
        <f>IF(H548="","",IF(I548&gt;=H548,"Recebido",IF($B$4&gt;E548,"Vencido","Aberto")))</f>
        <v/>
      </c>
      <c r="K548" s="4">
        <f>IF(J548="","",IF(OR(J548="Recebido",F548=""),MAX(0,F548-E548),MAX(0,$B$4-E548)))</f>
        <v/>
      </c>
      <c r="L548" s="4">
        <f>IF(K548="","",IF(K548=0,"Em dia",IF(K548&lt;=30,"1-30 dias",IF(K548&lt;=60,"31-60 dias",IF(K548&lt;=90,"61-90 dias","&gt;90 dias")))))</f>
        <v/>
      </c>
      <c r="M548" s="28" t="n"/>
      <c r="N548" s="104" t="inlineStr"/>
      <c r="O548" s="64" t="n"/>
      <c r="P548" s="64">
        <f>IF(C548="","",IF(ISNUMBER(SEARCH("PCMSO",C548)),"PCMSO",IF(OR(ISNUMBER(SEARCH("E-SOCIAL",C548)),ISNUMBER(SEARCH("PSICOSOCIAL",C548))),"eSocial / Psicossocial",IF(O548="Receita recorrente","Carteira recorrente","Projetos / Laudos / Avulsos"))))</f>
        <v/>
      </c>
      <c r="Q548" s="64">
        <f>IF(P548="","",IF(P548="Carteira recorrente","Operação recorrente",IF(P548="PCMSO","Projetos PCMSO",IF(P548="eSocial / Psicossocial","Projetos eSocial/Psicossocial","Projetos / Laudos / Avulsos"))))</f>
        <v/>
      </c>
      <c r="R548" s="64">
        <f>IF(C548="","",IF(ISNUMBER(SEARCH("PCMSO",C548)),"Título com PCMSO no nome",IF(OR(ISNUMBER(SEARCH("E-SOCIAL",C548)),ISNUMBER(SEARCH("PSICOSOCIAL",C548))),"Título com eSocial/Psicossocial no nome",IF(O548="Receita recorrente","Tipo DRE recorrente","Extra sem palavra-chave específica"))))</f>
        <v/>
      </c>
      <c r="S548" s="92">
        <f>IFERROR(VLOOKUP($A548,'13. Mapa Títulos-Receita'!$A$8:$P$1000,4,FALSE),"")</f>
        <v/>
      </c>
      <c r="T548" s="92">
        <f>IFERROR(VLOOKUP($A548,'13. Mapa Títulos-Receita'!$A$8:$P$1000,5,FALSE),"")</f>
        <v/>
      </c>
      <c r="U548" s="92">
        <f>IFERROR(VLOOKUP($A548,'13. Mapa Títulos-Receita'!$A$8:$P$1000,6,FALSE),"")</f>
        <v/>
      </c>
      <c r="V548" s="92">
        <f>IFERROR(VLOOKUP($A548,'13. Mapa Títulos-Receita'!$A$8:$P$1000,7,FALSE),"")</f>
        <v/>
      </c>
      <c r="W548" s="92">
        <f>IFERROR(VLOOKUP($A548,'13. Mapa Títulos-Receita'!$A$8:$P$1000,8,FALSE),"")</f>
        <v/>
      </c>
      <c r="X548" s="92">
        <f>IFERROR(VLOOKUP($A548,'13. Mapa Títulos-Receita'!$A$8:$P$1000,9,FALSE),"")</f>
        <v/>
      </c>
      <c r="Y548" s="92">
        <f>IFERROR(VLOOKUP($A548,'13. Mapa Títulos-Receita'!$A$8:$P$1000,10,FALSE),"")</f>
        <v/>
      </c>
      <c r="Z548" s="92">
        <f>IFERROR(VLOOKUP($A548,'13. Mapa Títulos-Receita'!$A$8:$P$1000,11,FALSE),"")</f>
        <v/>
      </c>
      <c r="AA548" s="92">
        <f>IFERROR(VLOOKUP($A548,'13. Mapa Títulos-Receita'!$A$8:$P$1000,12,FALSE),"")</f>
        <v/>
      </c>
      <c r="AB548" s="92">
        <f>IFERROR(VLOOKUP($A548,'13. Mapa Títulos-Receita'!$A$8:$P$1000,13,FALSE),"")</f>
        <v/>
      </c>
      <c r="AC548" s="92">
        <f>IFERROR(VLOOKUP($A548,'13. Mapa Títulos-Receita'!$A$8:$P$1000,14,FALSE),"")</f>
        <v/>
      </c>
      <c r="AD548" s="92">
        <f>IFERROR(VLOOKUP($A548,'13. Mapa Títulos-Receita'!$A$8:$P$1000,15,FALSE),"")</f>
        <v/>
      </c>
      <c r="AE548" s="92">
        <f>IFERROR(VLOOKUP($A548,'13. Mapa Títulos-Receita'!$A$8:$P$1000,16,FALSE),"")</f>
        <v/>
      </c>
    </row>
    <row r="549">
      <c r="A549" s="28">
        <f>IF(C549="","", "CR-"&amp;TEXT(ROW()-7,"000"))</f>
        <v/>
      </c>
      <c r="B549" s="28" t="n"/>
      <c r="C549" s="28" t="n"/>
      <c r="D549" s="111" t="n"/>
      <c r="E549" s="111" t="n"/>
      <c r="F549" s="111" t="n"/>
      <c r="G549" s="28" t="n"/>
      <c r="H549" s="45" t="n"/>
      <c r="I549" s="45" t="n"/>
      <c r="J549" s="28">
        <f>IF(H549="","",IF(I549&gt;=H549,"Recebido",IF($B$4&gt;E549,"Vencido","Aberto")))</f>
        <v/>
      </c>
      <c r="K549" s="4">
        <f>IF(J549="","",IF(OR(J549="Recebido",F549=""),MAX(0,F549-E549),MAX(0,$B$4-E549)))</f>
        <v/>
      </c>
      <c r="L549" s="4">
        <f>IF(K549="","",IF(K549=0,"Em dia",IF(K549&lt;=30,"1-30 dias",IF(K549&lt;=60,"31-60 dias",IF(K549&lt;=90,"61-90 dias","&gt;90 dias")))))</f>
        <v/>
      </c>
      <c r="M549" s="28" t="n"/>
      <c r="N549" s="104" t="inlineStr"/>
      <c r="O549" s="64" t="n"/>
      <c r="P549" s="64">
        <f>IF(C549="","",IF(ISNUMBER(SEARCH("PCMSO",C549)),"PCMSO",IF(OR(ISNUMBER(SEARCH("E-SOCIAL",C549)),ISNUMBER(SEARCH("PSICOSOCIAL",C549))),"eSocial / Psicossocial",IF(O549="Receita recorrente","Carteira recorrente","Projetos / Laudos / Avulsos"))))</f>
        <v/>
      </c>
      <c r="Q549" s="64">
        <f>IF(P549="","",IF(P549="Carteira recorrente","Operação recorrente",IF(P549="PCMSO","Projetos PCMSO",IF(P549="eSocial / Psicossocial","Projetos eSocial/Psicossocial","Projetos / Laudos / Avulsos"))))</f>
        <v/>
      </c>
      <c r="R549" s="64">
        <f>IF(C549="","",IF(ISNUMBER(SEARCH("PCMSO",C549)),"Título com PCMSO no nome",IF(OR(ISNUMBER(SEARCH("E-SOCIAL",C549)),ISNUMBER(SEARCH("PSICOSOCIAL",C549))),"Título com eSocial/Psicossocial no nome",IF(O549="Receita recorrente","Tipo DRE recorrente","Extra sem palavra-chave específica"))))</f>
        <v/>
      </c>
      <c r="S549" s="92">
        <f>IFERROR(VLOOKUP($A549,'13. Mapa Títulos-Receita'!$A$8:$P$1000,4,FALSE),"")</f>
        <v/>
      </c>
      <c r="T549" s="92">
        <f>IFERROR(VLOOKUP($A549,'13. Mapa Títulos-Receita'!$A$8:$P$1000,5,FALSE),"")</f>
        <v/>
      </c>
      <c r="U549" s="92">
        <f>IFERROR(VLOOKUP($A549,'13. Mapa Títulos-Receita'!$A$8:$P$1000,6,FALSE),"")</f>
        <v/>
      </c>
      <c r="V549" s="92">
        <f>IFERROR(VLOOKUP($A549,'13. Mapa Títulos-Receita'!$A$8:$P$1000,7,FALSE),"")</f>
        <v/>
      </c>
      <c r="W549" s="92">
        <f>IFERROR(VLOOKUP($A549,'13. Mapa Títulos-Receita'!$A$8:$P$1000,8,FALSE),"")</f>
        <v/>
      </c>
      <c r="X549" s="92">
        <f>IFERROR(VLOOKUP($A549,'13. Mapa Títulos-Receita'!$A$8:$P$1000,9,FALSE),"")</f>
        <v/>
      </c>
      <c r="Y549" s="92">
        <f>IFERROR(VLOOKUP($A549,'13. Mapa Títulos-Receita'!$A$8:$P$1000,10,FALSE),"")</f>
        <v/>
      </c>
      <c r="Z549" s="92">
        <f>IFERROR(VLOOKUP($A549,'13. Mapa Títulos-Receita'!$A$8:$P$1000,11,FALSE),"")</f>
        <v/>
      </c>
      <c r="AA549" s="92">
        <f>IFERROR(VLOOKUP($A549,'13. Mapa Títulos-Receita'!$A$8:$P$1000,12,FALSE),"")</f>
        <v/>
      </c>
      <c r="AB549" s="92">
        <f>IFERROR(VLOOKUP($A549,'13. Mapa Títulos-Receita'!$A$8:$P$1000,13,FALSE),"")</f>
        <v/>
      </c>
      <c r="AC549" s="92">
        <f>IFERROR(VLOOKUP($A549,'13. Mapa Títulos-Receita'!$A$8:$P$1000,14,FALSE),"")</f>
        <v/>
      </c>
      <c r="AD549" s="92">
        <f>IFERROR(VLOOKUP($A549,'13. Mapa Títulos-Receita'!$A$8:$P$1000,15,FALSE),"")</f>
        <v/>
      </c>
      <c r="AE549" s="92">
        <f>IFERROR(VLOOKUP($A549,'13. Mapa Títulos-Receita'!$A$8:$P$1000,16,FALSE),"")</f>
        <v/>
      </c>
    </row>
    <row r="550">
      <c r="A550" s="28">
        <f>IF(C550="","", "CR-"&amp;TEXT(ROW()-7,"000"))</f>
        <v/>
      </c>
      <c r="B550" s="28" t="n"/>
      <c r="C550" s="28" t="n"/>
      <c r="D550" s="111" t="n"/>
      <c r="E550" s="111" t="n"/>
      <c r="F550" s="111" t="n"/>
      <c r="G550" s="28" t="n"/>
      <c r="H550" s="45" t="n"/>
      <c r="I550" s="45" t="n"/>
      <c r="J550" s="28">
        <f>IF(H550="","",IF(I550&gt;=H550,"Recebido",IF($B$4&gt;E550,"Vencido","Aberto")))</f>
        <v/>
      </c>
      <c r="K550" s="4">
        <f>IF(J550="","",IF(OR(J550="Recebido",F550=""),MAX(0,F550-E550),MAX(0,$B$4-E550)))</f>
        <v/>
      </c>
      <c r="L550" s="4">
        <f>IF(K550="","",IF(K550=0,"Em dia",IF(K550&lt;=30,"1-30 dias",IF(K550&lt;=60,"31-60 dias",IF(K550&lt;=90,"61-90 dias","&gt;90 dias")))))</f>
        <v/>
      </c>
      <c r="M550" s="28" t="n"/>
      <c r="N550" s="104" t="inlineStr"/>
      <c r="O550" s="64" t="n"/>
      <c r="P550" s="64">
        <f>IF(C550="","",IF(ISNUMBER(SEARCH("PCMSO",C550)),"PCMSO",IF(OR(ISNUMBER(SEARCH("E-SOCIAL",C550)),ISNUMBER(SEARCH("PSICOSOCIAL",C550))),"eSocial / Psicossocial",IF(O550="Receita recorrente","Carteira recorrente","Projetos / Laudos / Avulsos"))))</f>
        <v/>
      </c>
      <c r="Q550" s="64">
        <f>IF(P550="","",IF(P550="Carteira recorrente","Operação recorrente",IF(P550="PCMSO","Projetos PCMSO",IF(P550="eSocial / Psicossocial","Projetos eSocial/Psicossocial","Projetos / Laudos / Avulsos"))))</f>
        <v/>
      </c>
      <c r="R550" s="64">
        <f>IF(C550="","",IF(ISNUMBER(SEARCH("PCMSO",C550)),"Título com PCMSO no nome",IF(OR(ISNUMBER(SEARCH("E-SOCIAL",C550)),ISNUMBER(SEARCH("PSICOSOCIAL",C550))),"Título com eSocial/Psicossocial no nome",IF(O550="Receita recorrente","Tipo DRE recorrente","Extra sem palavra-chave específica"))))</f>
        <v/>
      </c>
      <c r="S550" s="92">
        <f>IFERROR(VLOOKUP($A550,'13. Mapa Títulos-Receita'!$A$8:$P$1000,4,FALSE),"")</f>
        <v/>
      </c>
      <c r="T550" s="92">
        <f>IFERROR(VLOOKUP($A550,'13. Mapa Títulos-Receita'!$A$8:$P$1000,5,FALSE),"")</f>
        <v/>
      </c>
      <c r="U550" s="92">
        <f>IFERROR(VLOOKUP($A550,'13. Mapa Títulos-Receita'!$A$8:$P$1000,6,FALSE),"")</f>
        <v/>
      </c>
      <c r="V550" s="92">
        <f>IFERROR(VLOOKUP($A550,'13. Mapa Títulos-Receita'!$A$8:$P$1000,7,FALSE),"")</f>
        <v/>
      </c>
      <c r="W550" s="92">
        <f>IFERROR(VLOOKUP($A550,'13. Mapa Títulos-Receita'!$A$8:$P$1000,8,FALSE),"")</f>
        <v/>
      </c>
      <c r="X550" s="92">
        <f>IFERROR(VLOOKUP($A550,'13. Mapa Títulos-Receita'!$A$8:$P$1000,9,FALSE),"")</f>
        <v/>
      </c>
      <c r="Y550" s="92">
        <f>IFERROR(VLOOKUP($A550,'13. Mapa Títulos-Receita'!$A$8:$P$1000,10,FALSE),"")</f>
        <v/>
      </c>
      <c r="Z550" s="92">
        <f>IFERROR(VLOOKUP($A550,'13. Mapa Títulos-Receita'!$A$8:$P$1000,11,FALSE),"")</f>
        <v/>
      </c>
      <c r="AA550" s="92">
        <f>IFERROR(VLOOKUP($A550,'13. Mapa Títulos-Receita'!$A$8:$P$1000,12,FALSE),"")</f>
        <v/>
      </c>
      <c r="AB550" s="92">
        <f>IFERROR(VLOOKUP($A550,'13. Mapa Títulos-Receita'!$A$8:$P$1000,13,FALSE),"")</f>
        <v/>
      </c>
      <c r="AC550" s="92">
        <f>IFERROR(VLOOKUP($A550,'13. Mapa Títulos-Receita'!$A$8:$P$1000,14,FALSE),"")</f>
        <v/>
      </c>
      <c r="AD550" s="92">
        <f>IFERROR(VLOOKUP($A550,'13. Mapa Títulos-Receita'!$A$8:$P$1000,15,FALSE),"")</f>
        <v/>
      </c>
      <c r="AE550" s="92">
        <f>IFERROR(VLOOKUP($A550,'13. Mapa Títulos-Receita'!$A$8:$P$1000,16,FALSE),"")</f>
        <v/>
      </c>
    </row>
    <row r="551">
      <c r="A551" s="28">
        <f>IF(C551="","", "CR-"&amp;TEXT(ROW()-7,"000"))</f>
        <v/>
      </c>
      <c r="B551" s="28" t="n"/>
      <c r="C551" s="28" t="n"/>
      <c r="D551" s="111" t="n"/>
      <c r="E551" s="111" t="n"/>
      <c r="F551" s="111" t="n"/>
      <c r="G551" s="28" t="n"/>
      <c r="H551" s="45" t="n"/>
      <c r="I551" s="45" t="n"/>
      <c r="J551" s="28">
        <f>IF(H551="","",IF(I551&gt;=H551,"Recebido",IF($B$4&gt;E551,"Vencido","Aberto")))</f>
        <v/>
      </c>
      <c r="K551" s="4">
        <f>IF(J551="","",IF(OR(J551="Recebido",F551=""),MAX(0,F551-E551),MAX(0,$B$4-E551)))</f>
        <v/>
      </c>
      <c r="L551" s="4">
        <f>IF(K551="","",IF(K551=0,"Em dia",IF(K551&lt;=30,"1-30 dias",IF(K551&lt;=60,"31-60 dias",IF(K551&lt;=90,"61-90 dias","&gt;90 dias")))))</f>
        <v/>
      </c>
      <c r="M551" s="28" t="n"/>
      <c r="N551" s="104" t="inlineStr"/>
      <c r="O551" s="64" t="n"/>
      <c r="P551" s="64">
        <f>IF(C551="","",IF(ISNUMBER(SEARCH("PCMSO",C551)),"PCMSO",IF(OR(ISNUMBER(SEARCH("E-SOCIAL",C551)),ISNUMBER(SEARCH("PSICOSOCIAL",C551))),"eSocial / Psicossocial",IF(O551="Receita recorrente","Carteira recorrente","Projetos / Laudos / Avulsos"))))</f>
        <v/>
      </c>
      <c r="Q551" s="64">
        <f>IF(P551="","",IF(P551="Carteira recorrente","Operação recorrente",IF(P551="PCMSO","Projetos PCMSO",IF(P551="eSocial / Psicossocial","Projetos eSocial/Psicossocial","Projetos / Laudos / Avulsos"))))</f>
        <v/>
      </c>
      <c r="R551" s="64">
        <f>IF(C551="","",IF(ISNUMBER(SEARCH("PCMSO",C551)),"Título com PCMSO no nome",IF(OR(ISNUMBER(SEARCH("E-SOCIAL",C551)),ISNUMBER(SEARCH("PSICOSOCIAL",C551))),"Título com eSocial/Psicossocial no nome",IF(O551="Receita recorrente","Tipo DRE recorrente","Extra sem palavra-chave específica"))))</f>
        <v/>
      </c>
      <c r="S551" s="92">
        <f>IFERROR(VLOOKUP($A551,'13. Mapa Títulos-Receita'!$A$8:$P$1000,4,FALSE),"")</f>
        <v/>
      </c>
      <c r="T551" s="92">
        <f>IFERROR(VLOOKUP($A551,'13. Mapa Títulos-Receita'!$A$8:$P$1000,5,FALSE),"")</f>
        <v/>
      </c>
      <c r="U551" s="92">
        <f>IFERROR(VLOOKUP($A551,'13. Mapa Títulos-Receita'!$A$8:$P$1000,6,FALSE),"")</f>
        <v/>
      </c>
      <c r="V551" s="92">
        <f>IFERROR(VLOOKUP($A551,'13. Mapa Títulos-Receita'!$A$8:$P$1000,7,FALSE),"")</f>
        <v/>
      </c>
      <c r="W551" s="92">
        <f>IFERROR(VLOOKUP($A551,'13. Mapa Títulos-Receita'!$A$8:$P$1000,8,FALSE),"")</f>
        <v/>
      </c>
      <c r="X551" s="92">
        <f>IFERROR(VLOOKUP($A551,'13. Mapa Títulos-Receita'!$A$8:$P$1000,9,FALSE),"")</f>
        <v/>
      </c>
      <c r="Y551" s="92">
        <f>IFERROR(VLOOKUP($A551,'13. Mapa Títulos-Receita'!$A$8:$P$1000,10,FALSE),"")</f>
        <v/>
      </c>
      <c r="Z551" s="92">
        <f>IFERROR(VLOOKUP($A551,'13. Mapa Títulos-Receita'!$A$8:$P$1000,11,FALSE),"")</f>
        <v/>
      </c>
      <c r="AA551" s="92">
        <f>IFERROR(VLOOKUP($A551,'13. Mapa Títulos-Receita'!$A$8:$P$1000,12,FALSE),"")</f>
        <v/>
      </c>
      <c r="AB551" s="92">
        <f>IFERROR(VLOOKUP($A551,'13. Mapa Títulos-Receita'!$A$8:$P$1000,13,FALSE),"")</f>
        <v/>
      </c>
      <c r="AC551" s="92">
        <f>IFERROR(VLOOKUP($A551,'13. Mapa Títulos-Receita'!$A$8:$P$1000,14,FALSE),"")</f>
        <v/>
      </c>
      <c r="AD551" s="92">
        <f>IFERROR(VLOOKUP($A551,'13. Mapa Títulos-Receita'!$A$8:$P$1000,15,FALSE),"")</f>
        <v/>
      </c>
      <c r="AE551" s="92">
        <f>IFERROR(VLOOKUP($A551,'13. Mapa Títulos-Receita'!$A$8:$P$1000,16,FALSE),"")</f>
        <v/>
      </c>
    </row>
    <row r="552">
      <c r="A552" s="28">
        <f>IF(C552="","", "CR-"&amp;TEXT(ROW()-7,"000"))</f>
        <v/>
      </c>
      <c r="B552" s="28" t="n"/>
      <c r="C552" s="28" t="n"/>
      <c r="D552" s="111" t="n"/>
      <c r="E552" s="111" t="n"/>
      <c r="F552" s="111" t="n"/>
      <c r="G552" s="28" t="n"/>
      <c r="H552" s="45" t="n"/>
      <c r="I552" s="45" t="n"/>
      <c r="J552" s="28">
        <f>IF(H552="","",IF(I552&gt;=H552,"Recebido",IF($B$4&gt;E552,"Vencido","Aberto")))</f>
        <v/>
      </c>
      <c r="K552" s="4">
        <f>IF(J552="","",IF(OR(J552="Recebido",F552=""),MAX(0,F552-E552),MAX(0,$B$4-E552)))</f>
        <v/>
      </c>
      <c r="L552" s="4">
        <f>IF(K552="","",IF(K552=0,"Em dia",IF(K552&lt;=30,"1-30 dias",IF(K552&lt;=60,"31-60 dias",IF(K552&lt;=90,"61-90 dias","&gt;90 dias")))))</f>
        <v/>
      </c>
      <c r="M552" s="28" t="n"/>
      <c r="N552" s="104" t="inlineStr"/>
      <c r="O552" s="64" t="n"/>
      <c r="P552" s="64">
        <f>IF(C552="","",IF(ISNUMBER(SEARCH("PCMSO",C552)),"PCMSO",IF(OR(ISNUMBER(SEARCH("E-SOCIAL",C552)),ISNUMBER(SEARCH("PSICOSOCIAL",C552))),"eSocial / Psicossocial",IF(O552="Receita recorrente","Carteira recorrente","Projetos / Laudos / Avulsos"))))</f>
        <v/>
      </c>
      <c r="Q552" s="64">
        <f>IF(P552="","",IF(P552="Carteira recorrente","Operação recorrente",IF(P552="PCMSO","Projetos PCMSO",IF(P552="eSocial / Psicossocial","Projetos eSocial/Psicossocial","Projetos / Laudos / Avulsos"))))</f>
        <v/>
      </c>
      <c r="R552" s="64">
        <f>IF(C552="","",IF(ISNUMBER(SEARCH("PCMSO",C552)),"Título com PCMSO no nome",IF(OR(ISNUMBER(SEARCH("E-SOCIAL",C552)),ISNUMBER(SEARCH("PSICOSOCIAL",C552))),"Título com eSocial/Psicossocial no nome",IF(O552="Receita recorrente","Tipo DRE recorrente","Extra sem palavra-chave específica"))))</f>
        <v/>
      </c>
      <c r="S552" s="92">
        <f>IFERROR(VLOOKUP($A552,'13. Mapa Títulos-Receita'!$A$8:$P$1000,4,FALSE),"")</f>
        <v/>
      </c>
      <c r="T552" s="92">
        <f>IFERROR(VLOOKUP($A552,'13. Mapa Títulos-Receita'!$A$8:$P$1000,5,FALSE),"")</f>
        <v/>
      </c>
      <c r="U552" s="92">
        <f>IFERROR(VLOOKUP($A552,'13. Mapa Títulos-Receita'!$A$8:$P$1000,6,FALSE),"")</f>
        <v/>
      </c>
      <c r="V552" s="92">
        <f>IFERROR(VLOOKUP($A552,'13. Mapa Títulos-Receita'!$A$8:$P$1000,7,FALSE),"")</f>
        <v/>
      </c>
      <c r="W552" s="92">
        <f>IFERROR(VLOOKUP($A552,'13. Mapa Títulos-Receita'!$A$8:$P$1000,8,FALSE),"")</f>
        <v/>
      </c>
      <c r="X552" s="92">
        <f>IFERROR(VLOOKUP($A552,'13. Mapa Títulos-Receita'!$A$8:$P$1000,9,FALSE),"")</f>
        <v/>
      </c>
      <c r="Y552" s="92">
        <f>IFERROR(VLOOKUP($A552,'13. Mapa Títulos-Receita'!$A$8:$P$1000,10,FALSE),"")</f>
        <v/>
      </c>
      <c r="Z552" s="92">
        <f>IFERROR(VLOOKUP($A552,'13. Mapa Títulos-Receita'!$A$8:$P$1000,11,FALSE),"")</f>
        <v/>
      </c>
      <c r="AA552" s="92">
        <f>IFERROR(VLOOKUP($A552,'13. Mapa Títulos-Receita'!$A$8:$P$1000,12,FALSE),"")</f>
        <v/>
      </c>
      <c r="AB552" s="92">
        <f>IFERROR(VLOOKUP($A552,'13. Mapa Títulos-Receita'!$A$8:$P$1000,13,FALSE),"")</f>
        <v/>
      </c>
      <c r="AC552" s="92">
        <f>IFERROR(VLOOKUP($A552,'13. Mapa Títulos-Receita'!$A$8:$P$1000,14,FALSE),"")</f>
        <v/>
      </c>
      <c r="AD552" s="92">
        <f>IFERROR(VLOOKUP($A552,'13. Mapa Títulos-Receita'!$A$8:$P$1000,15,FALSE),"")</f>
        <v/>
      </c>
      <c r="AE552" s="92">
        <f>IFERROR(VLOOKUP($A552,'13. Mapa Títulos-Receita'!$A$8:$P$1000,16,FALSE),"")</f>
        <v/>
      </c>
    </row>
    <row r="553">
      <c r="A553" s="28">
        <f>IF(C553="","", "CR-"&amp;TEXT(ROW()-7,"000"))</f>
        <v/>
      </c>
      <c r="B553" s="28" t="n"/>
      <c r="C553" s="28" t="n"/>
      <c r="D553" s="111" t="n"/>
      <c r="E553" s="111" t="n"/>
      <c r="F553" s="111" t="n"/>
      <c r="G553" s="28" t="n"/>
      <c r="H553" s="45" t="n"/>
      <c r="I553" s="45" t="n"/>
      <c r="J553" s="28">
        <f>IF(H553="","",IF(I553&gt;=H553,"Recebido",IF($B$4&gt;E553,"Vencido","Aberto")))</f>
        <v/>
      </c>
      <c r="K553" s="4">
        <f>IF(J553="","",IF(OR(J553="Recebido",F553=""),MAX(0,F553-E553),MAX(0,$B$4-E553)))</f>
        <v/>
      </c>
      <c r="L553" s="4">
        <f>IF(K553="","",IF(K553=0,"Em dia",IF(K553&lt;=30,"1-30 dias",IF(K553&lt;=60,"31-60 dias",IF(K553&lt;=90,"61-90 dias","&gt;90 dias")))))</f>
        <v/>
      </c>
      <c r="M553" s="28" t="n"/>
      <c r="N553" s="104" t="inlineStr"/>
      <c r="O553" s="64" t="n"/>
      <c r="P553" s="64">
        <f>IF(C553="","",IF(ISNUMBER(SEARCH("PCMSO",C553)),"PCMSO",IF(OR(ISNUMBER(SEARCH("E-SOCIAL",C553)),ISNUMBER(SEARCH("PSICOSOCIAL",C553))),"eSocial / Psicossocial",IF(O553="Receita recorrente","Carteira recorrente","Projetos / Laudos / Avulsos"))))</f>
        <v/>
      </c>
      <c r="Q553" s="64">
        <f>IF(P553="","",IF(P553="Carteira recorrente","Operação recorrente",IF(P553="PCMSO","Projetos PCMSO",IF(P553="eSocial / Psicossocial","Projetos eSocial/Psicossocial","Projetos / Laudos / Avulsos"))))</f>
        <v/>
      </c>
      <c r="R553" s="64">
        <f>IF(C553="","",IF(ISNUMBER(SEARCH("PCMSO",C553)),"Título com PCMSO no nome",IF(OR(ISNUMBER(SEARCH("E-SOCIAL",C553)),ISNUMBER(SEARCH("PSICOSOCIAL",C553))),"Título com eSocial/Psicossocial no nome",IF(O553="Receita recorrente","Tipo DRE recorrente","Extra sem palavra-chave específica"))))</f>
        <v/>
      </c>
      <c r="S553" s="92">
        <f>IFERROR(VLOOKUP($A553,'13. Mapa Títulos-Receita'!$A$8:$P$1000,4,FALSE),"")</f>
        <v/>
      </c>
      <c r="T553" s="92">
        <f>IFERROR(VLOOKUP($A553,'13. Mapa Títulos-Receita'!$A$8:$P$1000,5,FALSE),"")</f>
        <v/>
      </c>
      <c r="U553" s="92">
        <f>IFERROR(VLOOKUP($A553,'13. Mapa Títulos-Receita'!$A$8:$P$1000,6,FALSE),"")</f>
        <v/>
      </c>
      <c r="V553" s="92">
        <f>IFERROR(VLOOKUP($A553,'13. Mapa Títulos-Receita'!$A$8:$P$1000,7,FALSE),"")</f>
        <v/>
      </c>
      <c r="W553" s="92">
        <f>IFERROR(VLOOKUP($A553,'13. Mapa Títulos-Receita'!$A$8:$P$1000,8,FALSE),"")</f>
        <v/>
      </c>
      <c r="X553" s="92">
        <f>IFERROR(VLOOKUP($A553,'13. Mapa Títulos-Receita'!$A$8:$P$1000,9,FALSE),"")</f>
        <v/>
      </c>
      <c r="Y553" s="92">
        <f>IFERROR(VLOOKUP($A553,'13. Mapa Títulos-Receita'!$A$8:$P$1000,10,FALSE),"")</f>
        <v/>
      </c>
      <c r="Z553" s="92">
        <f>IFERROR(VLOOKUP($A553,'13. Mapa Títulos-Receita'!$A$8:$P$1000,11,FALSE),"")</f>
        <v/>
      </c>
      <c r="AA553" s="92">
        <f>IFERROR(VLOOKUP($A553,'13. Mapa Títulos-Receita'!$A$8:$P$1000,12,FALSE),"")</f>
        <v/>
      </c>
      <c r="AB553" s="92">
        <f>IFERROR(VLOOKUP($A553,'13. Mapa Títulos-Receita'!$A$8:$P$1000,13,FALSE),"")</f>
        <v/>
      </c>
      <c r="AC553" s="92">
        <f>IFERROR(VLOOKUP($A553,'13. Mapa Títulos-Receita'!$A$8:$P$1000,14,FALSE),"")</f>
        <v/>
      </c>
      <c r="AD553" s="92">
        <f>IFERROR(VLOOKUP($A553,'13. Mapa Títulos-Receita'!$A$8:$P$1000,15,FALSE),"")</f>
        <v/>
      </c>
      <c r="AE553" s="92">
        <f>IFERROR(VLOOKUP($A553,'13. Mapa Títulos-Receita'!$A$8:$P$1000,16,FALSE),"")</f>
        <v/>
      </c>
    </row>
    <row r="554">
      <c r="A554" s="28">
        <f>IF(C554="","", "CR-"&amp;TEXT(ROW()-7,"000"))</f>
        <v/>
      </c>
      <c r="B554" s="28" t="n"/>
      <c r="C554" s="28" t="n"/>
      <c r="D554" s="111" t="n"/>
      <c r="E554" s="111" t="n"/>
      <c r="F554" s="111" t="n"/>
      <c r="G554" s="28" t="n"/>
      <c r="H554" s="45" t="n"/>
      <c r="I554" s="45" t="n"/>
      <c r="J554" s="28">
        <f>IF(H554="","",IF(I554&gt;=H554,"Recebido",IF($B$4&gt;E554,"Vencido","Aberto")))</f>
        <v/>
      </c>
      <c r="K554" s="4">
        <f>IF(J554="","",IF(OR(J554="Recebido",F554=""),MAX(0,F554-E554),MAX(0,$B$4-E554)))</f>
        <v/>
      </c>
      <c r="L554" s="4">
        <f>IF(K554="","",IF(K554=0,"Em dia",IF(K554&lt;=30,"1-30 dias",IF(K554&lt;=60,"31-60 dias",IF(K554&lt;=90,"61-90 dias","&gt;90 dias")))))</f>
        <v/>
      </c>
      <c r="M554" s="28" t="n"/>
      <c r="N554" s="104" t="inlineStr"/>
      <c r="O554" s="64" t="n"/>
      <c r="P554" s="64">
        <f>IF(C554="","",IF(ISNUMBER(SEARCH("PCMSO",C554)),"PCMSO",IF(OR(ISNUMBER(SEARCH("E-SOCIAL",C554)),ISNUMBER(SEARCH("PSICOSOCIAL",C554))),"eSocial / Psicossocial",IF(O554="Receita recorrente","Carteira recorrente","Projetos / Laudos / Avulsos"))))</f>
        <v/>
      </c>
      <c r="Q554" s="64">
        <f>IF(P554="","",IF(P554="Carteira recorrente","Operação recorrente",IF(P554="PCMSO","Projetos PCMSO",IF(P554="eSocial / Psicossocial","Projetos eSocial/Psicossocial","Projetos / Laudos / Avulsos"))))</f>
        <v/>
      </c>
      <c r="R554" s="64">
        <f>IF(C554="","",IF(ISNUMBER(SEARCH("PCMSO",C554)),"Título com PCMSO no nome",IF(OR(ISNUMBER(SEARCH("E-SOCIAL",C554)),ISNUMBER(SEARCH("PSICOSOCIAL",C554))),"Título com eSocial/Psicossocial no nome",IF(O554="Receita recorrente","Tipo DRE recorrente","Extra sem palavra-chave específica"))))</f>
        <v/>
      </c>
      <c r="S554" s="92">
        <f>IFERROR(VLOOKUP($A554,'13. Mapa Títulos-Receita'!$A$8:$P$1000,4,FALSE),"")</f>
        <v/>
      </c>
      <c r="T554" s="92">
        <f>IFERROR(VLOOKUP($A554,'13. Mapa Títulos-Receita'!$A$8:$P$1000,5,FALSE),"")</f>
        <v/>
      </c>
      <c r="U554" s="92">
        <f>IFERROR(VLOOKUP($A554,'13. Mapa Títulos-Receita'!$A$8:$P$1000,6,FALSE),"")</f>
        <v/>
      </c>
      <c r="V554" s="92">
        <f>IFERROR(VLOOKUP($A554,'13. Mapa Títulos-Receita'!$A$8:$P$1000,7,FALSE),"")</f>
        <v/>
      </c>
      <c r="W554" s="92">
        <f>IFERROR(VLOOKUP($A554,'13. Mapa Títulos-Receita'!$A$8:$P$1000,8,FALSE),"")</f>
        <v/>
      </c>
      <c r="X554" s="92">
        <f>IFERROR(VLOOKUP($A554,'13. Mapa Títulos-Receita'!$A$8:$P$1000,9,FALSE),"")</f>
        <v/>
      </c>
      <c r="Y554" s="92">
        <f>IFERROR(VLOOKUP($A554,'13. Mapa Títulos-Receita'!$A$8:$P$1000,10,FALSE),"")</f>
        <v/>
      </c>
      <c r="Z554" s="92">
        <f>IFERROR(VLOOKUP($A554,'13. Mapa Títulos-Receita'!$A$8:$P$1000,11,FALSE),"")</f>
        <v/>
      </c>
      <c r="AA554" s="92">
        <f>IFERROR(VLOOKUP($A554,'13. Mapa Títulos-Receita'!$A$8:$P$1000,12,FALSE),"")</f>
        <v/>
      </c>
      <c r="AB554" s="92">
        <f>IFERROR(VLOOKUP($A554,'13. Mapa Títulos-Receita'!$A$8:$P$1000,13,FALSE),"")</f>
        <v/>
      </c>
      <c r="AC554" s="92">
        <f>IFERROR(VLOOKUP($A554,'13. Mapa Títulos-Receita'!$A$8:$P$1000,14,FALSE),"")</f>
        <v/>
      </c>
      <c r="AD554" s="92">
        <f>IFERROR(VLOOKUP($A554,'13. Mapa Títulos-Receita'!$A$8:$P$1000,15,FALSE),"")</f>
        <v/>
      </c>
      <c r="AE554" s="92">
        <f>IFERROR(VLOOKUP($A554,'13. Mapa Títulos-Receita'!$A$8:$P$1000,16,FALSE),"")</f>
        <v/>
      </c>
    </row>
    <row r="555">
      <c r="A555" s="28">
        <f>IF(C555="","", "CR-"&amp;TEXT(ROW()-7,"000"))</f>
        <v/>
      </c>
      <c r="B555" s="28" t="n"/>
      <c r="C555" s="28" t="n"/>
      <c r="D555" s="111" t="n"/>
      <c r="E555" s="111" t="n"/>
      <c r="F555" s="111" t="n"/>
      <c r="G555" s="28" t="n"/>
      <c r="H555" s="45" t="n"/>
      <c r="I555" s="45" t="n"/>
      <c r="J555" s="28">
        <f>IF(H555="","",IF(I555&gt;=H555,"Recebido",IF($B$4&gt;E555,"Vencido","Aberto")))</f>
        <v/>
      </c>
      <c r="K555" s="4">
        <f>IF(J555="","",IF(OR(J555="Recebido",F555=""),MAX(0,F555-E555),MAX(0,$B$4-E555)))</f>
        <v/>
      </c>
      <c r="L555" s="4">
        <f>IF(K555="","",IF(K555=0,"Em dia",IF(K555&lt;=30,"1-30 dias",IF(K555&lt;=60,"31-60 dias",IF(K555&lt;=90,"61-90 dias","&gt;90 dias")))))</f>
        <v/>
      </c>
      <c r="M555" s="28" t="n"/>
      <c r="N555" s="104" t="inlineStr"/>
      <c r="O555" s="64" t="n"/>
      <c r="P555" s="64">
        <f>IF(C555="","",IF(ISNUMBER(SEARCH("PCMSO",C555)),"PCMSO",IF(OR(ISNUMBER(SEARCH("E-SOCIAL",C555)),ISNUMBER(SEARCH("PSICOSOCIAL",C555))),"eSocial / Psicossocial",IF(O555="Receita recorrente","Carteira recorrente","Projetos / Laudos / Avulsos"))))</f>
        <v/>
      </c>
      <c r="Q555" s="64">
        <f>IF(P555="","",IF(P555="Carteira recorrente","Operação recorrente",IF(P555="PCMSO","Projetos PCMSO",IF(P555="eSocial / Psicossocial","Projetos eSocial/Psicossocial","Projetos / Laudos / Avulsos"))))</f>
        <v/>
      </c>
      <c r="R555" s="64">
        <f>IF(C555="","",IF(ISNUMBER(SEARCH("PCMSO",C555)),"Título com PCMSO no nome",IF(OR(ISNUMBER(SEARCH("E-SOCIAL",C555)),ISNUMBER(SEARCH("PSICOSOCIAL",C555))),"Título com eSocial/Psicossocial no nome",IF(O555="Receita recorrente","Tipo DRE recorrente","Extra sem palavra-chave específica"))))</f>
        <v/>
      </c>
      <c r="S555" s="92">
        <f>IFERROR(VLOOKUP($A555,'13. Mapa Títulos-Receita'!$A$8:$P$1000,4,FALSE),"")</f>
        <v/>
      </c>
      <c r="T555" s="92">
        <f>IFERROR(VLOOKUP($A555,'13. Mapa Títulos-Receita'!$A$8:$P$1000,5,FALSE),"")</f>
        <v/>
      </c>
      <c r="U555" s="92">
        <f>IFERROR(VLOOKUP($A555,'13. Mapa Títulos-Receita'!$A$8:$P$1000,6,FALSE),"")</f>
        <v/>
      </c>
      <c r="V555" s="92">
        <f>IFERROR(VLOOKUP($A555,'13. Mapa Títulos-Receita'!$A$8:$P$1000,7,FALSE),"")</f>
        <v/>
      </c>
      <c r="W555" s="92">
        <f>IFERROR(VLOOKUP($A555,'13. Mapa Títulos-Receita'!$A$8:$P$1000,8,FALSE),"")</f>
        <v/>
      </c>
      <c r="X555" s="92">
        <f>IFERROR(VLOOKUP($A555,'13. Mapa Títulos-Receita'!$A$8:$P$1000,9,FALSE),"")</f>
        <v/>
      </c>
      <c r="Y555" s="92">
        <f>IFERROR(VLOOKUP($A555,'13. Mapa Títulos-Receita'!$A$8:$P$1000,10,FALSE),"")</f>
        <v/>
      </c>
      <c r="Z555" s="92">
        <f>IFERROR(VLOOKUP($A555,'13. Mapa Títulos-Receita'!$A$8:$P$1000,11,FALSE),"")</f>
        <v/>
      </c>
      <c r="AA555" s="92">
        <f>IFERROR(VLOOKUP($A555,'13. Mapa Títulos-Receita'!$A$8:$P$1000,12,FALSE),"")</f>
        <v/>
      </c>
      <c r="AB555" s="92">
        <f>IFERROR(VLOOKUP($A555,'13. Mapa Títulos-Receita'!$A$8:$P$1000,13,FALSE),"")</f>
        <v/>
      </c>
      <c r="AC555" s="92">
        <f>IFERROR(VLOOKUP($A555,'13. Mapa Títulos-Receita'!$A$8:$P$1000,14,FALSE),"")</f>
        <v/>
      </c>
      <c r="AD555" s="92">
        <f>IFERROR(VLOOKUP($A555,'13. Mapa Títulos-Receita'!$A$8:$P$1000,15,FALSE),"")</f>
        <v/>
      </c>
      <c r="AE555" s="92">
        <f>IFERROR(VLOOKUP($A555,'13. Mapa Títulos-Receita'!$A$8:$P$1000,16,FALSE),"")</f>
        <v/>
      </c>
    </row>
    <row r="556">
      <c r="A556" s="28">
        <f>IF(C556="","", "CR-"&amp;TEXT(ROW()-7,"000"))</f>
        <v/>
      </c>
      <c r="B556" s="28" t="n"/>
      <c r="C556" s="28" t="n"/>
      <c r="D556" s="111" t="n"/>
      <c r="E556" s="111" t="n"/>
      <c r="F556" s="111" t="n"/>
      <c r="G556" s="28" t="n"/>
      <c r="H556" s="45" t="n"/>
      <c r="I556" s="45" t="n"/>
      <c r="J556" s="28">
        <f>IF(H556="","",IF(I556&gt;=H556,"Recebido",IF($B$4&gt;E556,"Vencido","Aberto")))</f>
        <v/>
      </c>
      <c r="K556" s="4">
        <f>IF(J556="","",IF(OR(J556="Recebido",F556=""),MAX(0,F556-E556),MAX(0,$B$4-E556)))</f>
        <v/>
      </c>
      <c r="L556" s="4">
        <f>IF(K556="","",IF(K556=0,"Em dia",IF(K556&lt;=30,"1-30 dias",IF(K556&lt;=60,"31-60 dias",IF(K556&lt;=90,"61-90 dias","&gt;90 dias")))))</f>
        <v/>
      </c>
      <c r="M556" s="28" t="n"/>
      <c r="N556" s="104" t="inlineStr"/>
      <c r="O556" s="64" t="n"/>
      <c r="P556" s="64">
        <f>IF(C556="","",IF(ISNUMBER(SEARCH("PCMSO",C556)),"PCMSO",IF(OR(ISNUMBER(SEARCH("E-SOCIAL",C556)),ISNUMBER(SEARCH("PSICOSOCIAL",C556))),"eSocial / Psicossocial",IF(O556="Receita recorrente","Carteira recorrente","Projetos / Laudos / Avulsos"))))</f>
        <v/>
      </c>
      <c r="Q556" s="64">
        <f>IF(P556="","",IF(P556="Carteira recorrente","Operação recorrente",IF(P556="PCMSO","Projetos PCMSO",IF(P556="eSocial / Psicossocial","Projetos eSocial/Psicossocial","Projetos / Laudos / Avulsos"))))</f>
        <v/>
      </c>
      <c r="R556" s="64">
        <f>IF(C556="","",IF(ISNUMBER(SEARCH("PCMSO",C556)),"Título com PCMSO no nome",IF(OR(ISNUMBER(SEARCH("E-SOCIAL",C556)),ISNUMBER(SEARCH("PSICOSOCIAL",C556))),"Título com eSocial/Psicossocial no nome",IF(O556="Receita recorrente","Tipo DRE recorrente","Extra sem palavra-chave específica"))))</f>
        <v/>
      </c>
      <c r="S556" s="92">
        <f>IFERROR(VLOOKUP($A556,'13. Mapa Títulos-Receita'!$A$8:$P$1000,4,FALSE),"")</f>
        <v/>
      </c>
      <c r="T556" s="92">
        <f>IFERROR(VLOOKUP($A556,'13. Mapa Títulos-Receita'!$A$8:$P$1000,5,FALSE),"")</f>
        <v/>
      </c>
      <c r="U556" s="92">
        <f>IFERROR(VLOOKUP($A556,'13. Mapa Títulos-Receita'!$A$8:$P$1000,6,FALSE),"")</f>
        <v/>
      </c>
      <c r="V556" s="92">
        <f>IFERROR(VLOOKUP($A556,'13. Mapa Títulos-Receita'!$A$8:$P$1000,7,FALSE),"")</f>
        <v/>
      </c>
      <c r="W556" s="92">
        <f>IFERROR(VLOOKUP($A556,'13. Mapa Títulos-Receita'!$A$8:$P$1000,8,FALSE),"")</f>
        <v/>
      </c>
      <c r="X556" s="92">
        <f>IFERROR(VLOOKUP($A556,'13. Mapa Títulos-Receita'!$A$8:$P$1000,9,FALSE),"")</f>
        <v/>
      </c>
      <c r="Y556" s="92">
        <f>IFERROR(VLOOKUP($A556,'13. Mapa Títulos-Receita'!$A$8:$P$1000,10,FALSE),"")</f>
        <v/>
      </c>
      <c r="Z556" s="92">
        <f>IFERROR(VLOOKUP($A556,'13. Mapa Títulos-Receita'!$A$8:$P$1000,11,FALSE),"")</f>
        <v/>
      </c>
      <c r="AA556" s="92">
        <f>IFERROR(VLOOKUP($A556,'13. Mapa Títulos-Receita'!$A$8:$P$1000,12,FALSE),"")</f>
        <v/>
      </c>
      <c r="AB556" s="92">
        <f>IFERROR(VLOOKUP($A556,'13. Mapa Títulos-Receita'!$A$8:$P$1000,13,FALSE),"")</f>
        <v/>
      </c>
      <c r="AC556" s="92">
        <f>IFERROR(VLOOKUP($A556,'13. Mapa Títulos-Receita'!$A$8:$P$1000,14,FALSE),"")</f>
        <v/>
      </c>
      <c r="AD556" s="92">
        <f>IFERROR(VLOOKUP($A556,'13. Mapa Títulos-Receita'!$A$8:$P$1000,15,FALSE),"")</f>
        <v/>
      </c>
      <c r="AE556" s="92">
        <f>IFERROR(VLOOKUP($A556,'13. Mapa Títulos-Receita'!$A$8:$P$1000,16,FALSE),"")</f>
        <v/>
      </c>
    </row>
    <row r="557">
      <c r="A557" s="28">
        <f>IF(C557="","", "CR-"&amp;TEXT(ROW()-7,"000"))</f>
        <v/>
      </c>
      <c r="B557" s="28" t="n"/>
      <c r="C557" s="28" t="n"/>
      <c r="D557" s="111" t="n"/>
      <c r="E557" s="111" t="n"/>
      <c r="F557" s="111" t="n"/>
      <c r="G557" s="28" t="n"/>
      <c r="H557" s="45" t="n"/>
      <c r="I557" s="45" t="n"/>
      <c r="J557" s="28">
        <f>IF(H557="","",IF(I557&gt;=H557,"Recebido",IF($B$4&gt;E557,"Vencido","Aberto")))</f>
        <v/>
      </c>
      <c r="K557" s="4">
        <f>IF(J557="","",IF(OR(J557="Recebido",F557=""),MAX(0,F557-E557),MAX(0,$B$4-E557)))</f>
        <v/>
      </c>
      <c r="L557" s="4">
        <f>IF(K557="","",IF(K557=0,"Em dia",IF(K557&lt;=30,"1-30 dias",IF(K557&lt;=60,"31-60 dias",IF(K557&lt;=90,"61-90 dias","&gt;90 dias")))))</f>
        <v/>
      </c>
      <c r="M557" s="28" t="n"/>
      <c r="N557" s="104" t="inlineStr"/>
      <c r="O557" s="64" t="n"/>
      <c r="P557" s="64">
        <f>IF(C557="","",IF(ISNUMBER(SEARCH("PCMSO",C557)),"PCMSO",IF(OR(ISNUMBER(SEARCH("E-SOCIAL",C557)),ISNUMBER(SEARCH("PSICOSOCIAL",C557))),"eSocial / Psicossocial",IF(O557="Receita recorrente","Carteira recorrente","Projetos / Laudos / Avulsos"))))</f>
        <v/>
      </c>
      <c r="Q557" s="64">
        <f>IF(P557="","",IF(P557="Carteira recorrente","Operação recorrente",IF(P557="PCMSO","Projetos PCMSO",IF(P557="eSocial / Psicossocial","Projetos eSocial/Psicossocial","Projetos / Laudos / Avulsos"))))</f>
        <v/>
      </c>
      <c r="R557" s="64">
        <f>IF(C557="","",IF(ISNUMBER(SEARCH("PCMSO",C557)),"Título com PCMSO no nome",IF(OR(ISNUMBER(SEARCH("E-SOCIAL",C557)),ISNUMBER(SEARCH("PSICOSOCIAL",C557))),"Título com eSocial/Psicossocial no nome",IF(O557="Receita recorrente","Tipo DRE recorrente","Extra sem palavra-chave específica"))))</f>
        <v/>
      </c>
      <c r="S557" s="92">
        <f>IFERROR(VLOOKUP($A557,'13. Mapa Títulos-Receita'!$A$8:$P$1000,4,FALSE),"")</f>
        <v/>
      </c>
      <c r="T557" s="92">
        <f>IFERROR(VLOOKUP($A557,'13. Mapa Títulos-Receita'!$A$8:$P$1000,5,FALSE),"")</f>
        <v/>
      </c>
      <c r="U557" s="92">
        <f>IFERROR(VLOOKUP($A557,'13. Mapa Títulos-Receita'!$A$8:$P$1000,6,FALSE),"")</f>
        <v/>
      </c>
      <c r="V557" s="92">
        <f>IFERROR(VLOOKUP($A557,'13. Mapa Títulos-Receita'!$A$8:$P$1000,7,FALSE),"")</f>
        <v/>
      </c>
      <c r="W557" s="92">
        <f>IFERROR(VLOOKUP($A557,'13. Mapa Títulos-Receita'!$A$8:$P$1000,8,FALSE),"")</f>
        <v/>
      </c>
      <c r="X557" s="92">
        <f>IFERROR(VLOOKUP($A557,'13. Mapa Títulos-Receita'!$A$8:$P$1000,9,FALSE),"")</f>
        <v/>
      </c>
      <c r="Y557" s="92">
        <f>IFERROR(VLOOKUP($A557,'13. Mapa Títulos-Receita'!$A$8:$P$1000,10,FALSE),"")</f>
        <v/>
      </c>
      <c r="Z557" s="92">
        <f>IFERROR(VLOOKUP($A557,'13. Mapa Títulos-Receita'!$A$8:$P$1000,11,FALSE),"")</f>
        <v/>
      </c>
      <c r="AA557" s="92">
        <f>IFERROR(VLOOKUP($A557,'13. Mapa Títulos-Receita'!$A$8:$P$1000,12,FALSE),"")</f>
        <v/>
      </c>
      <c r="AB557" s="92">
        <f>IFERROR(VLOOKUP($A557,'13. Mapa Títulos-Receita'!$A$8:$P$1000,13,FALSE),"")</f>
        <v/>
      </c>
      <c r="AC557" s="92">
        <f>IFERROR(VLOOKUP($A557,'13. Mapa Títulos-Receita'!$A$8:$P$1000,14,FALSE),"")</f>
        <v/>
      </c>
      <c r="AD557" s="92">
        <f>IFERROR(VLOOKUP($A557,'13. Mapa Títulos-Receita'!$A$8:$P$1000,15,FALSE),"")</f>
        <v/>
      </c>
      <c r="AE557" s="92">
        <f>IFERROR(VLOOKUP($A557,'13. Mapa Títulos-Receita'!$A$8:$P$1000,16,FALSE),"")</f>
        <v/>
      </c>
    </row>
    <row r="558">
      <c r="A558" s="28">
        <f>IF(C558="","", "CR-"&amp;TEXT(ROW()-7,"000"))</f>
        <v/>
      </c>
      <c r="B558" s="28" t="n"/>
      <c r="C558" s="28" t="n"/>
      <c r="D558" s="111" t="n"/>
      <c r="E558" s="111" t="n"/>
      <c r="F558" s="111" t="n"/>
      <c r="G558" s="28" t="n"/>
      <c r="H558" s="45" t="n"/>
      <c r="I558" s="45" t="n"/>
      <c r="J558" s="28">
        <f>IF(H558="","",IF(I558&gt;=H558,"Recebido",IF($B$4&gt;E558,"Vencido","Aberto")))</f>
        <v/>
      </c>
      <c r="K558" s="4">
        <f>IF(J558="","",IF(OR(J558="Recebido",F558=""),MAX(0,F558-E558),MAX(0,$B$4-E558)))</f>
        <v/>
      </c>
      <c r="L558" s="4">
        <f>IF(K558="","",IF(K558=0,"Em dia",IF(K558&lt;=30,"1-30 dias",IF(K558&lt;=60,"31-60 dias",IF(K558&lt;=90,"61-90 dias","&gt;90 dias")))))</f>
        <v/>
      </c>
      <c r="M558" s="28" t="n"/>
      <c r="N558" s="104" t="inlineStr"/>
      <c r="O558" s="64" t="n"/>
      <c r="P558" s="64">
        <f>IF(C558="","",IF(ISNUMBER(SEARCH("PCMSO",C558)),"PCMSO",IF(OR(ISNUMBER(SEARCH("E-SOCIAL",C558)),ISNUMBER(SEARCH("PSICOSOCIAL",C558))),"eSocial / Psicossocial",IF(O558="Receita recorrente","Carteira recorrente","Projetos / Laudos / Avulsos"))))</f>
        <v/>
      </c>
      <c r="Q558" s="64">
        <f>IF(P558="","",IF(P558="Carteira recorrente","Operação recorrente",IF(P558="PCMSO","Projetos PCMSO",IF(P558="eSocial / Psicossocial","Projetos eSocial/Psicossocial","Projetos / Laudos / Avulsos"))))</f>
        <v/>
      </c>
      <c r="R558" s="64">
        <f>IF(C558="","",IF(ISNUMBER(SEARCH("PCMSO",C558)),"Título com PCMSO no nome",IF(OR(ISNUMBER(SEARCH("E-SOCIAL",C558)),ISNUMBER(SEARCH("PSICOSOCIAL",C558))),"Título com eSocial/Psicossocial no nome",IF(O558="Receita recorrente","Tipo DRE recorrente","Extra sem palavra-chave específica"))))</f>
        <v/>
      </c>
      <c r="S558" s="92">
        <f>IFERROR(VLOOKUP($A558,'13. Mapa Títulos-Receita'!$A$8:$P$1000,4,FALSE),"")</f>
        <v/>
      </c>
      <c r="T558" s="92">
        <f>IFERROR(VLOOKUP($A558,'13. Mapa Títulos-Receita'!$A$8:$P$1000,5,FALSE),"")</f>
        <v/>
      </c>
      <c r="U558" s="92">
        <f>IFERROR(VLOOKUP($A558,'13. Mapa Títulos-Receita'!$A$8:$P$1000,6,FALSE),"")</f>
        <v/>
      </c>
      <c r="V558" s="92">
        <f>IFERROR(VLOOKUP($A558,'13. Mapa Títulos-Receita'!$A$8:$P$1000,7,FALSE),"")</f>
        <v/>
      </c>
      <c r="W558" s="92">
        <f>IFERROR(VLOOKUP($A558,'13. Mapa Títulos-Receita'!$A$8:$P$1000,8,FALSE),"")</f>
        <v/>
      </c>
      <c r="X558" s="92">
        <f>IFERROR(VLOOKUP($A558,'13. Mapa Títulos-Receita'!$A$8:$P$1000,9,FALSE),"")</f>
        <v/>
      </c>
      <c r="Y558" s="92">
        <f>IFERROR(VLOOKUP($A558,'13. Mapa Títulos-Receita'!$A$8:$P$1000,10,FALSE),"")</f>
        <v/>
      </c>
      <c r="Z558" s="92">
        <f>IFERROR(VLOOKUP($A558,'13. Mapa Títulos-Receita'!$A$8:$P$1000,11,FALSE),"")</f>
        <v/>
      </c>
      <c r="AA558" s="92">
        <f>IFERROR(VLOOKUP($A558,'13. Mapa Títulos-Receita'!$A$8:$P$1000,12,FALSE),"")</f>
        <v/>
      </c>
      <c r="AB558" s="92">
        <f>IFERROR(VLOOKUP($A558,'13. Mapa Títulos-Receita'!$A$8:$P$1000,13,FALSE),"")</f>
        <v/>
      </c>
      <c r="AC558" s="92">
        <f>IFERROR(VLOOKUP($A558,'13. Mapa Títulos-Receita'!$A$8:$P$1000,14,FALSE),"")</f>
        <v/>
      </c>
      <c r="AD558" s="92">
        <f>IFERROR(VLOOKUP($A558,'13. Mapa Títulos-Receita'!$A$8:$P$1000,15,FALSE),"")</f>
        <v/>
      </c>
      <c r="AE558" s="92">
        <f>IFERROR(VLOOKUP($A558,'13. Mapa Títulos-Receita'!$A$8:$P$1000,16,FALSE),"")</f>
        <v/>
      </c>
    </row>
    <row r="559">
      <c r="A559" s="28">
        <f>IF(C559="","", "CR-"&amp;TEXT(ROW()-7,"000"))</f>
        <v/>
      </c>
      <c r="B559" s="28" t="n"/>
      <c r="C559" s="28" t="n"/>
      <c r="D559" s="111" t="n"/>
      <c r="E559" s="111" t="n"/>
      <c r="F559" s="111" t="n"/>
      <c r="G559" s="28" t="n"/>
      <c r="H559" s="45" t="n"/>
      <c r="I559" s="45" t="n"/>
      <c r="J559" s="28">
        <f>IF(H559="","",IF(I559&gt;=H559,"Recebido",IF($B$4&gt;E559,"Vencido","Aberto")))</f>
        <v/>
      </c>
      <c r="K559" s="4">
        <f>IF(J559="","",IF(OR(J559="Recebido",F559=""),MAX(0,F559-E559),MAX(0,$B$4-E559)))</f>
        <v/>
      </c>
      <c r="L559" s="4">
        <f>IF(K559="","",IF(K559=0,"Em dia",IF(K559&lt;=30,"1-30 dias",IF(K559&lt;=60,"31-60 dias",IF(K559&lt;=90,"61-90 dias","&gt;90 dias")))))</f>
        <v/>
      </c>
      <c r="M559" s="28" t="n"/>
      <c r="N559" s="104" t="inlineStr"/>
      <c r="O559" s="64" t="n"/>
      <c r="P559" s="64">
        <f>IF(C559="","",IF(ISNUMBER(SEARCH("PCMSO",C559)),"PCMSO",IF(OR(ISNUMBER(SEARCH("E-SOCIAL",C559)),ISNUMBER(SEARCH("PSICOSOCIAL",C559))),"eSocial / Psicossocial",IF(O559="Receita recorrente","Carteira recorrente","Projetos / Laudos / Avulsos"))))</f>
        <v/>
      </c>
      <c r="Q559" s="64">
        <f>IF(P559="","",IF(P559="Carteira recorrente","Operação recorrente",IF(P559="PCMSO","Projetos PCMSO",IF(P559="eSocial / Psicossocial","Projetos eSocial/Psicossocial","Projetos / Laudos / Avulsos"))))</f>
        <v/>
      </c>
      <c r="R559" s="64">
        <f>IF(C559="","",IF(ISNUMBER(SEARCH("PCMSO",C559)),"Título com PCMSO no nome",IF(OR(ISNUMBER(SEARCH("E-SOCIAL",C559)),ISNUMBER(SEARCH("PSICOSOCIAL",C559))),"Título com eSocial/Psicossocial no nome",IF(O559="Receita recorrente","Tipo DRE recorrente","Extra sem palavra-chave específica"))))</f>
        <v/>
      </c>
      <c r="S559" s="92">
        <f>IFERROR(VLOOKUP($A559,'13. Mapa Títulos-Receita'!$A$8:$P$1000,4,FALSE),"")</f>
        <v/>
      </c>
      <c r="T559" s="92">
        <f>IFERROR(VLOOKUP($A559,'13. Mapa Títulos-Receita'!$A$8:$P$1000,5,FALSE),"")</f>
        <v/>
      </c>
      <c r="U559" s="92">
        <f>IFERROR(VLOOKUP($A559,'13. Mapa Títulos-Receita'!$A$8:$P$1000,6,FALSE),"")</f>
        <v/>
      </c>
      <c r="V559" s="92">
        <f>IFERROR(VLOOKUP($A559,'13. Mapa Títulos-Receita'!$A$8:$P$1000,7,FALSE),"")</f>
        <v/>
      </c>
      <c r="W559" s="92">
        <f>IFERROR(VLOOKUP($A559,'13. Mapa Títulos-Receita'!$A$8:$P$1000,8,FALSE),"")</f>
        <v/>
      </c>
      <c r="X559" s="92">
        <f>IFERROR(VLOOKUP($A559,'13. Mapa Títulos-Receita'!$A$8:$P$1000,9,FALSE),"")</f>
        <v/>
      </c>
      <c r="Y559" s="92">
        <f>IFERROR(VLOOKUP($A559,'13. Mapa Títulos-Receita'!$A$8:$P$1000,10,FALSE),"")</f>
        <v/>
      </c>
      <c r="Z559" s="92">
        <f>IFERROR(VLOOKUP($A559,'13. Mapa Títulos-Receita'!$A$8:$P$1000,11,FALSE),"")</f>
        <v/>
      </c>
      <c r="AA559" s="92">
        <f>IFERROR(VLOOKUP($A559,'13. Mapa Títulos-Receita'!$A$8:$P$1000,12,FALSE),"")</f>
        <v/>
      </c>
      <c r="AB559" s="92">
        <f>IFERROR(VLOOKUP($A559,'13. Mapa Títulos-Receita'!$A$8:$P$1000,13,FALSE),"")</f>
        <v/>
      </c>
      <c r="AC559" s="92">
        <f>IFERROR(VLOOKUP($A559,'13. Mapa Títulos-Receita'!$A$8:$P$1000,14,FALSE),"")</f>
        <v/>
      </c>
      <c r="AD559" s="92">
        <f>IFERROR(VLOOKUP($A559,'13. Mapa Títulos-Receita'!$A$8:$P$1000,15,FALSE),"")</f>
        <v/>
      </c>
      <c r="AE559" s="92">
        <f>IFERROR(VLOOKUP($A559,'13. Mapa Títulos-Receita'!$A$8:$P$1000,16,FALSE),"")</f>
        <v/>
      </c>
    </row>
    <row r="560">
      <c r="A560" s="28">
        <f>IF(C560="","", "CR-"&amp;TEXT(ROW()-7,"000"))</f>
        <v/>
      </c>
      <c r="B560" s="28" t="n"/>
      <c r="C560" s="28" t="n"/>
      <c r="D560" s="111" t="n"/>
      <c r="E560" s="111" t="n"/>
      <c r="F560" s="111" t="n"/>
      <c r="G560" s="28" t="n"/>
      <c r="H560" s="45" t="n"/>
      <c r="I560" s="45" t="n"/>
      <c r="J560" s="28">
        <f>IF(H560="","",IF(I560&gt;=H560,"Recebido",IF($B$4&gt;E560,"Vencido","Aberto")))</f>
        <v/>
      </c>
      <c r="K560" s="4">
        <f>IF(J560="","",IF(OR(J560="Recebido",F560=""),MAX(0,F560-E560),MAX(0,$B$4-E560)))</f>
        <v/>
      </c>
      <c r="L560" s="4">
        <f>IF(K560="","",IF(K560=0,"Em dia",IF(K560&lt;=30,"1-30 dias",IF(K560&lt;=60,"31-60 dias",IF(K560&lt;=90,"61-90 dias","&gt;90 dias")))))</f>
        <v/>
      </c>
      <c r="M560" s="28" t="n"/>
      <c r="N560" s="104" t="inlineStr"/>
      <c r="O560" s="64" t="n"/>
      <c r="P560" s="64">
        <f>IF(C560="","",IF(ISNUMBER(SEARCH("PCMSO",C560)),"PCMSO",IF(OR(ISNUMBER(SEARCH("E-SOCIAL",C560)),ISNUMBER(SEARCH("PSICOSOCIAL",C560))),"eSocial / Psicossocial",IF(O560="Receita recorrente","Carteira recorrente","Projetos / Laudos / Avulsos"))))</f>
        <v/>
      </c>
      <c r="Q560" s="64">
        <f>IF(P560="","",IF(P560="Carteira recorrente","Operação recorrente",IF(P560="PCMSO","Projetos PCMSO",IF(P560="eSocial / Psicossocial","Projetos eSocial/Psicossocial","Projetos / Laudos / Avulsos"))))</f>
        <v/>
      </c>
      <c r="R560" s="64">
        <f>IF(C560="","",IF(ISNUMBER(SEARCH("PCMSO",C560)),"Título com PCMSO no nome",IF(OR(ISNUMBER(SEARCH("E-SOCIAL",C560)),ISNUMBER(SEARCH("PSICOSOCIAL",C560))),"Título com eSocial/Psicossocial no nome",IF(O560="Receita recorrente","Tipo DRE recorrente","Extra sem palavra-chave específica"))))</f>
        <v/>
      </c>
      <c r="S560" s="92">
        <f>IFERROR(VLOOKUP($A560,'13. Mapa Títulos-Receita'!$A$8:$P$1000,4,FALSE),"")</f>
        <v/>
      </c>
      <c r="T560" s="92">
        <f>IFERROR(VLOOKUP($A560,'13. Mapa Títulos-Receita'!$A$8:$P$1000,5,FALSE),"")</f>
        <v/>
      </c>
      <c r="U560" s="92">
        <f>IFERROR(VLOOKUP($A560,'13. Mapa Títulos-Receita'!$A$8:$P$1000,6,FALSE),"")</f>
        <v/>
      </c>
      <c r="V560" s="92">
        <f>IFERROR(VLOOKUP($A560,'13. Mapa Títulos-Receita'!$A$8:$P$1000,7,FALSE),"")</f>
        <v/>
      </c>
      <c r="W560" s="92">
        <f>IFERROR(VLOOKUP($A560,'13. Mapa Títulos-Receita'!$A$8:$P$1000,8,FALSE),"")</f>
        <v/>
      </c>
      <c r="X560" s="92">
        <f>IFERROR(VLOOKUP($A560,'13. Mapa Títulos-Receita'!$A$8:$P$1000,9,FALSE),"")</f>
        <v/>
      </c>
      <c r="Y560" s="92">
        <f>IFERROR(VLOOKUP($A560,'13. Mapa Títulos-Receita'!$A$8:$P$1000,10,FALSE),"")</f>
        <v/>
      </c>
      <c r="Z560" s="92">
        <f>IFERROR(VLOOKUP($A560,'13. Mapa Títulos-Receita'!$A$8:$P$1000,11,FALSE),"")</f>
        <v/>
      </c>
      <c r="AA560" s="92">
        <f>IFERROR(VLOOKUP($A560,'13. Mapa Títulos-Receita'!$A$8:$P$1000,12,FALSE),"")</f>
        <v/>
      </c>
      <c r="AB560" s="92">
        <f>IFERROR(VLOOKUP($A560,'13. Mapa Títulos-Receita'!$A$8:$P$1000,13,FALSE),"")</f>
        <v/>
      </c>
      <c r="AC560" s="92">
        <f>IFERROR(VLOOKUP($A560,'13. Mapa Títulos-Receita'!$A$8:$P$1000,14,FALSE),"")</f>
        <v/>
      </c>
      <c r="AD560" s="92">
        <f>IFERROR(VLOOKUP($A560,'13. Mapa Títulos-Receita'!$A$8:$P$1000,15,FALSE),"")</f>
        <v/>
      </c>
      <c r="AE560" s="92">
        <f>IFERROR(VLOOKUP($A560,'13. Mapa Títulos-Receita'!$A$8:$P$1000,16,FALSE),"")</f>
        <v/>
      </c>
    </row>
    <row r="561">
      <c r="A561" s="28">
        <f>IF(C561="","", "CR-"&amp;TEXT(ROW()-7,"000"))</f>
        <v/>
      </c>
      <c r="B561" s="28" t="n"/>
      <c r="C561" s="28" t="n"/>
      <c r="D561" s="111" t="n"/>
      <c r="E561" s="111" t="n"/>
      <c r="F561" s="111" t="n"/>
      <c r="G561" s="28" t="n"/>
      <c r="H561" s="45" t="n"/>
      <c r="I561" s="45" t="n"/>
      <c r="J561" s="28">
        <f>IF(H561="","",IF(I561&gt;=H561,"Recebido",IF($B$4&gt;E561,"Vencido","Aberto")))</f>
        <v/>
      </c>
      <c r="K561" s="4">
        <f>IF(J561="","",IF(OR(J561="Recebido",F561=""),MAX(0,F561-E561),MAX(0,$B$4-E561)))</f>
        <v/>
      </c>
      <c r="L561" s="4">
        <f>IF(K561="","",IF(K561=0,"Em dia",IF(K561&lt;=30,"1-30 dias",IF(K561&lt;=60,"31-60 dias",IF(K561&lt;=90,"61-90 dias","&gt;90 dias")))))</f>
        <v/>
      </c>
      <c r="M561" s="28" t="n"/>
      <c r="N561" s="104" t="inlineStr"/>
      <c r="O561" s="64" t="n"/>
      <c r="P561" s="64">
        <f>IF(C561="","",IF(ISNUMBER(SEARCH("PCMSO",C561)),"PCMSO",IF(OR(ISNUMBER(SEARCH("E-SOCIAL",C561)),ISNUMBER(SEARCH("PSICOSOCIAL",C561))),"eSocial / Psicossocial",IF(O561="Receita recorrente","Carteira recorrente","Projetos / Laudos / Avulsos"))))</f>
        <v/>
      </c>
      <c r="Q561" s="64">
        <f>IF(P561="","",IF(P561="Carteira recorrente","Operação recorrente",IF(P561="PCMSO","Projetos PCMSO",IF(P561="eSocial / Psicossocial","Projetos eSocial/Psicossocial","Projetos / Laudos / Avulsos"))))</f>
        <v/>
      </c>
      <c r="R561" s="64">
        <f>IF(C561="","",IF(ISNUMBER(SEARCH("PCMSO",C561)),"Título com PCMSO no nome",IF(OR(ISNUMBER(SEARCH("E-SOCIAL",C561)),ISNUMBER(SEARCH("PSICOSOCIAL",C561))),"Título com eSocial/Psicossocial no nome",IF(O561="Receita recorrente","Tipo DRE recorrente","Extra sem palavra-chave específica"))))</f>
        <v/>
      </c>
      <c r="S561" s="92">
        <f>IFERROR(VLOOKUP($A561,'13. Mapa Títulos-Receita'!$A$8:$P$1000,4,FALSE),"")</f>
        <v/>
      </c>
      <c r="T561" s="92">
        <f>IFERROR(VLOOKUP($A561,'13. Mapa Títulos-Receita'!$A$8:$P$1000,5,FALSE),"")</f>
        <v/>
      </c>
      <c r="U561" s="92">
        <f>IFERROR(VLOOKUP($A561,'13. Mapa Títulos-Receita'!$A$8:$P$1000,6,FALSE),"")</f>
        <v/>
      </c>
      <c r="V561" s="92">
        <f>IFERROR(VLOOKUP($A561,'13. Mapa Títulos-Receita'!$A$8:$P$1000,7,FALSE),"")</f>
        <v/>
      </c>
      <c r="W561" s="92">
        <f>IFERROR(VLOOKUP($A561,'13. Mapa Títulos-Receita'!$A$8:$P$1000,8,FALSE),"")</f>
        <v/>
      </c>
      <c r="X561" s="92">
        <f>IFERROR(VLOOKUP($A561,'13. Mapa Títulos-Receita'!$A$8:$P$1000,9,FALSE),"")</f>
        <v/>
      </c>
      <c r="Y561" s="92">
        <f>IFERROR(VLOOKUP($A561,'13. Mapa Títulos-Receita'!$A$8:$P$1000,10,FALSE),"")</f>
        <v/>
      </c>
      <c r="Z561" s="92">
        <f>IFERROR(VLOOKUP($A561,'13. Mapa Títulos-Receita'!$A$8:$P$1000,11,FALSE),"")</f>
        <v/>
      </c>
      <c r="AA561" s="92">
        <f>IFERROR(VLOOKUP($A561,'13. Mapa Títulos-Receita'!$A$8:$P$1000,12,FALSE),"")</f>
        <v/>
      </c>
      <c r="AB561" s="92">
        <f>IFERROR(VLOOKUP($A561,'13. Mapa Títulos-Receita'!$A$8:$P$1000,13,FALSE),"")</f>
        <v/>
      </c>
      <c r="AC561" s="92">
        <f>IFERROR(VLOOKUP($A561,'13. Mapa Títulos-Receita'!$A$8:$P$1000,14,FALSE),"")</f>
        <v/>
      </c>
      <c r="AD561" s="92">
        <f>IFERROR(VLOOKUP($A561,'13. Mapa Títulos-Receita'!$A$8:$P$1000,15,FALSE),"")</f>
        <v/>
      </c>
      <c r="AE561" s="92">
        <f>IFERROR(VLOOKUP($A561,'13. Mapa Títulos-Receita'!$A$8:$P$1000,16,FALSE),"")</f>
        <v/>
      </c>
    </row>
    <row r="562">
      <c r="A562" s="28">
        <f>IF(C562="","", "CR-"&amp;TEXT(ROW()-7,"000"))</f>
        <v/>
      </c>
      <c r="B562" s="28" t="n"/>
      <c r="C562" s="28" t="n"/>
      <c r="D562" s="111" t="n"/>
      <c r="E562" s="111" t="n"/>
      <c r="F562" s="111" t="n"/>
      <c r="G562" s="28" t="n"/>
      <c r="H562" s="45" t="n"/>
      <c r="I562" s="45" t="n"/>
      <c r="J562" s="28">
        <f>IF(H562="","",IF(I562&gt;=H562,"Recebido",IF($B$4&gt;E562,"Vencido","Aberto")))</f>
        <v/>
      </c>
      <c r="K562" s="4">
        <f>IF(J562="","",IF(OR(J562="Recebido",F562=""),MAX(0,F562-E562),MAX(0,$B$4-E562)))</f>
        <v/>
      </c>
      <c r="L562" s="4">
        <f>IF(K562="","",IF(K562=0,"Em dia",IF(K562&lt;=30,"1-30 dias",IF(K562&lt;=60,"31-60 dias",IF(K562&lt;=90,"61-90 dias","&gt;90 dias")))))</f>
        <v/>
      </c>
      <c r="M562" s="28" t="n"/>
      <c r="N562" s="104" t="inlineStr"/>
      <c r="O562" s="64" t="n"/>
      <c r="P562" s="64">
        <f>IF(C562="","",IF(ISNUMBER(SEARCH("PCMSO",C562)),"PCMSO",IF(OR(ISNUMBER(SEARCH("E-SOCIAL",C562)),ISNUMBER(SEARCH("PSICOSOCIAL",C562))),"eSocial / Psicossocial",IF(O562="Receita recorrente","Carteira recorrente","Projetos / Laudos / Avulsos"))))</f>
        <v/>
      </c>
      <c r="Q562" s="64">
        <f>IF(P562="","",IF(P562="Carteira recorrente","Operação recorrente",IF(P562="PCMSO","Projetos PCMSO",IF(P562="eSocial / Psicossocial","Projetos eSocial/Psicossocial","Projetos / Laudos / Avulsos"))))</f>
        <v/>
      </c>
      <c r="R562" s="64">
        <f>IF(C562="","",IF(ISNUMBER(SEARCH("PCMSO",C562)),"Título com PCMSO no nome",IF(OR(ISNUMBER(SEARCH("E-SOCIAL",C562)),ISNUMBER(SEARCH("PSICOSOCIAL",C562))),"Título com eSocial/Psicossocial no nome",IF(O562="Receita recorrente","Tipo DRE recorrente","Extra sem palavra-chave específica"))))</f>
        <v/>
      </c>
      <c r="S562" s="92">
        <f>IFERROR(VLOOKUP($A562,'13. Mapa Títulos-Receita'!$A$8:$P$1000,4,FALSE),"")</f>
        <v/>
      </c>
      <c r="T562" s="92">
        <f>IFERROR(VLOOKUP($A562,'13. Mapa Títulos-Receita'!$A$8:$P$1000,5,FALSE),"")</f>
        <v/>
      </c>
      <c r="U562" s="92">
        <f>IFERROR(VLOOKUP($A562,'13. Mapa Títulos-Receita'!$A$8:$P$1000,6,FALSE),"")</f>
        <v/>
      </c>
      <c r="V562" s="92">
        <f>IFERROR(VLOOKUP($A562,'13. Mapa Títulos-Receita'!$A$8:$P$1000,7,FALSE),"")</f>
        <v/>
      </c>
      <c r="W562" s="92">
        <f>IFERROR(VLOOKUP($A562,'13. Mapa Títulos-Receita'!$A$8:$P$1000,8,FALSE),"")</f>
        <v/>
      </c>
      <c r="X562" s="92">
        <f>IFERROR(VLOOKUP($A562,'13. Mapa Títulos-Receita'!$A$8:$P$1000,9,FALSE),"")</f>
        <v/>
      </c>
      <c r="Y562" s="92">
        <f>IFERROR(VLOOKUP($A562,'13. Mapa Títulos-Receita'!$A$8:$P$1000,10,FALSE),"")</f>
        <v/>
      </c>
      <c r="Z562" s="92">
        <f>IFERROR(VLOOKUP($A562,'13. Mapa Títulos-Receita'!$A$8:$P$1000,11,FALSE),"")</f>
        <v/>
      </c>
      <c r="AA562" s="92">
        <f>IFERROR(VLOOKUP($A562,'13. Mapa Títulos-Receita'!$A$8:$P$1000,12,FALSE),"")</f>
        <v/>
      </c>
      <c r="AB562" s="92">
        <f>IFERROR(VLOOKUP($A562,'13. Mapa Títulos-Receita'!$A$8:$P$1000,13,FALSE),"")</f>
        <v/>
      </c>
      <c r="AC562" s="92">
        <f>IFERROR(VLOOKUP($A562,'13. Mapa Títulos-Receita'!$A$8:$P$1000,14,FALSE),"")</f>
        <v/>
      </c>
      <c r="AD562" s="92">
        <f>IFERROR(VLOOKUP($A562,'13. Mapa Títulos-Receita'!$A$8:$P$1000,15,FALSE),"")</f>
        <v/>
      </c>
      <c r="AE562" s="92">
        <f>IFERROR(VLOOKUP($A562,'13. Mapa Títulos-Receita'!$A$8:$P$1000,16,FALSE),"")</f>
        <v/>
      </c>
    </row>
    <row r="563">
      <c r="A563" s="28">
        <f>IF(C563="","", "CR-"&amp;TEXT(ROW()-7,"000"))</f>
        <v/>
      </c>
      <c r="B563" s="28" t="n"/>
      <c r="C563" s="28" t="n"/>
      <c r="D563" s="111" t="n"/>
      <c r="E563" s="111" t="n"/>
      <c r="F563" s="111" t="n"/>
      <c r="G563" s="28" t="n"/>
      <c r="H563" s="45" t="n"/>
      <c r="I563" s="45" t="n"/>
      <c r="J563" s="28">
        <f>IF(H563="","",IF(I563&gt;=H563,"Recebido",IF($B$4&gt;E563,"Vencido","Aberto")))</f>
        <v/>
      </c>
      <c r="K563" s="4">
        <f>IF(J563="","",IF(OR(J563="Recebido",F563=""),MAX(0,F563-E563),MAX(0,$B$4-E563)))</f>
        <v/>
      </c>
      <c r="L563" s="4">
        <f>IF(K563="","",IF(K563=0,"Em dia",IF(K563&lt;=30,"1-30 dias",IF(K563&lt;=60,"31-60 dias",IF(K563&lt;=90,"61-90 dias","&gt;90 dias")))))</f>
        <v/>
      </c>
      <c r="M563" s="28" t="n"/>
      <c r="N563" s="104" t="inlineStr"/>
      <c r="O563" s="64" t="n"/>
      <c r="P563" s="64">
        <f>IF(C563="","",IF(ISNUMBER(SEARCH("PCMSO",C563)),"PCMSO",IF(OR(ISNUMBER(SEARCH("E-SOCIAL",C563)),ISNUMBER(SEARCH("PSICOSOCIAL",C563))),"eSocial / Psicossocial",IF(O563="Receita recorrente","Carteira recorrente","Projetos / Laudos / Avulsos"))))</f>
        <v/>
      </c>
      <c r="Q563" s="64">
        <f>IF(P563="","",IF(P563="Carteira recorrente","Operação recorrente",IF(P563="PCMSO","Projetos PCMSO",IF(P563="eSocial / Psicossocial","Projetos eSocial/Psicossocial","Projetos / Laudos / Avulsos"))))</f>
        <v/>
      </c>
      <c r="R563" s="64">
        <f>IF(C563="","",IF(ISNUMBER(SEARCH("PCMSO",C563)),"Título com PCMSO no nome",IF(OR(ISNUMBER(SEARCH("E-SOCIAL",C563)),ISNUMBER(SEARCH("PSICOSOCIAL",C563))),"Título com eSocial/Psicossocial no nome",IF(O563="Receita recorrente","Tipo DRE recorrente","Extra sem palavra-chave específica"))))</f>
        <v/>
      </c>
      <c r="S563" s="92">
        <f>IFERROR(VLOOKUP($A563,'13. Mapa Títulos-Receita'!$A$8:$P$1000,4,FALSE),"")</f>
        <v/>
      </c>
      <c r="T563" s="92">
        <f>IFERROR(VLOOKUP($A563,'13. Mapa Títulos-Receita'!$A$8:$P$1000,5,FALSE),"")</f>
        <v/>
      </c>
      <c r="U563" s="92">
        <f>IFERROR(VLOOKUP($A563,'13. Mapa Títulos-Receita'!$A$8:$P$1000,6,FALSE),"")</f>
        <v/>
      </c>
      <c r="V563" s="92">
        <f>IFERROR(VLOOKUP($A563,'13. Mapa Títulos-Receita'!$A$8:$P$1000,7,FALSE),"")</f>
        <v/>
      </c>
      <c r="W563" s="92">
        <f>IFERROR(VLOOKUP($A563,'13. Mapa Títulos-Receita'!$A$8:$P$1000,8,FALSE),"")</f>
        <v/>
      </c>
      <c r="X563" s="92">
        <f>IFERROR(VLOOKUP($A563,'13. Mapa Títulos-Receita'!$A$8:$P$1000,9,FALSE),"")</f>
        <v/>
      </c>
      <c r="Y563" s="92">
        <f>IFERROR(VLOOKUP($A563,'13. Mapa Títulos-Receita'!$A$8:$P$1000,10,FALSE),"")</f>
        <v/>
      </c>
      <c r="Z563" s="92">
        <f>IFERROR(VLOOKUP($A563,'13. Mapa Títulos-Receita'!$A$8:$P$1000,11,FALSE),"")</f>
        <v/>
      </c>
      <c r="AA563" s="92">
        <f>IFERROR(VLOOKUP($A563,'13. Mapa Títulos-Receita'!$A$8:$P$1000,12,FALSE),"")</f>
        <v/>
      </c>
      <c r="AB563" s="92">
        <f>IFERROR(VLOOKUP($A563,'13. Mapa Títulos-Receita'!$A$8:$P$1000,13,FALSE),"")</f>
        <v/>
      </c>
      <c r="AC563" s="92">
        <f>IFERROR(VLOOKUP($A563,'13. Mapa Títulos-Receita'!$A$8:$P$1000,14,FALSE),"")</f>
        <v/>
      </c>
      <c r="AD563" s="92">
        <f>IFERROR(VLOOKUP($A563,'13. Mapa Títulos-Receita'!$A$8:$P$1000,15,FALSE),"")</f>
        <v/>
      </c>
      <c r="AE563" s="92">
        <f>IFERROR(VLOOKUP($A563,'13. Mapa Títulos-Receita'!$A$8:$P$1000,16,FALSE),"")</f>
        <v/>
      </c>
    </row>
    <row r="564">
      <c r="A564" s="28">
        <f>IF(C564="","", "CR-"&amp;TEXT(ROW()-7,"000"))</f>
        <v/>
      </c>
      <c r="B564" s="28" t="n"/>
      <c r="C564" s="28" t="n"/>
      <c r="D564" s="111" t="n"/>
      <c r="E564" s="111" t="n"/>
      <c r="F564" s="111" t="n"/>
      <c r="G564" s="28" t="n"/>
      <c r="H564" s="45" t="n"/>
      <c r="I564" s="45" t="n"/>
      <c r="J564" s="28">
        <f>IF(H564="","",IF(I564&gt;=H564,"Recebido",IF($B$4&gt;E564,"Vencido","Aberto")))</f>
        <v/>
      </c>
      <c r="K564" s="4">
        <f>IF(J564="","",IF(OR(J564="Recebido",F564=""),MAX(0,F564-E564),MAX(0,$B$4-E564)))</f>
        <v/>
      </c>
      <c r="L564" s="4">
        <f>IF(K564="","",IF(K564=0,"Em dia",IF(K564&lt;=30,"1-30 dias",IF(K564&lt;=60,"31-60 dias",IF(K564&lt;=90,"61-90 dias","&gt;90 dias")))))</f>
        <v/>
      </c>
      <c r="M564" s="28" t="n"/>
      <c r="N564" s="104" t="inlineStr"/>
      <c r="O564" s="64" t="n"/>
      <c r="P564" s="64">
        <f>IF(C564="","",IF(ISNUMBER(SEARCH("PCMSO",C564)),"PCMSO",IF(OR(ISNUMBER(SEARCH("E-SOCIAL",C564)),ISNUMBER(SEARCH("PSICOSOCIAL",C564))),"eSocial / Psicossocial",IF(O564="Receita recorrente","Carteira recorrente","Projetos / Laudos / Avulsos"))))</f>
        <v/>
      </c>
      <c r="Q564" s="64">
        <f>IF(P564="","",IF(P564="Carteira recorrente","Operação recorrente",IF(P564="PCMSO","Projetos PCMSO",IF(P564="eSocial / Psicossocial","Projetos eSocial/Psicossocial","Projetos / Laudos / Avulsos"))))</f>
        <v/>
      </c>
      <c r="R564" s="64">
        <f>IF(C564="","",IF(ISNUMBER(SEARCH("PCMSO",C564)),"Título com PCMSO no nome",IF(OR(ISNUMBER(SEARCH("E-SOCIAL",C564)),ISNUMBER(SEARCH("PSICOSOCIAL",C564))),"Título com eSocial/Psicossocial no nome",IF(O564="Receita recorrente","Tipo DRE recorrente","Extra sem palavra-chave específica"))))</f>
        <v/>
      </c>
      <c r="S564" s="92">
        <f>IFERROR(VLOOKUP($A564,'13. Mapa Títulos-Receita'!$A$8:$P$1000,4,FALSE),"")</f>
        <v/>
      </c>
      <c r="T564" s="92">
        <f>IFERROR(VLOOKUP($A564,'13. Mapa Títulos-Receita'!$A$8:$P$1000,5,FALSE),"")</f>
        <v/>
      </c>
      <c r="U564" s="92">
        <f>IFERROR(VLOOKUP($A564,'13. Mapa Títulos-Receita'!$A$8:$P$1000,6,FALSE),"")</f>
        <v/>
      </c>
      <c r="V564" s="92">
        <f>IFERROR(VLOOKUP($A564,'13. Mapa Títulos-Receita'!$A$8:$P$1000,7,FALSE),"")</f>
        <v/>
      </c>
      <c r="W564" s="92">
        <f>IFERROR(VLOOKUP($A564,'13. Mapa Títulos-Receita'!$A$8:$P$1000,8,FALSE),"")</f>
        <v/>
      </c>
      <c r="X564" s="92">
        <f>IFERROR(VLOOKUP($A564,'13. Mapa Títulos-Receita'!$A$8:$P$1000,9,FALSE),"")</f>
        <v/>
      </c>
      <c r="Y564" s="92">
        <f>IFERROR(VLOOKUP($A564,'13. Mapa Títulos-Receita'!$A$8:$P$1000,10,FALSE),"")</f>
        <v/>
      </c>
      <c r="Z564" s="92">
        <f>IFERROR(VLOOKUP($A564,'13. Mapa Títulos-Receita'!$A$8:$P$1000,11,FALSE),"")</f>
        <v/>
      </c>
      <c r="AA564" s="92">
        <f>IFERROR(VLOOKUP($A564,'13. Mapa Títulos-Receita'!$A$8:$P$1000,12,FALSE),"")</f>
        <v/>
      </c>
      <c r="AB564" s="92">
        <f>IFERROR(VLOOKUP($A564,'13. Mapa Títulos-Receita'!$A$8:$P$1000,13,FALSE),"")</f>
        <v/>
      </c>
      <c r="AC564" s="92">
        <f>IFERROR(VLOOKUP($A564,'13. Mapa Títulos-Receita'!$A$8:$P$1000,14,FALSE),"")</f>
        <v/>
      </c>
      <c r="AD564" s="92">
        <f>IFERROR(VLOOKUP($A564,'13. Mapa Títulos-Receita'!$A$8:$P$1000,15,FALSE),"")</f>
        <v/>
      </c>
      <c r="AE564" s="92">
        <f>IFERROR(VLOOKUP($A564,'13. Mapa Títulos-Receita'!$A$8:$P$1000,16,FALSE),"")</f>
        <v/>
      </c>
    </row>
    <row r="565">
      <c r="A565" s="28">
        <f>IF(C565="","", "CR-"&amp;TEXT(ROW()-7,"000"))</f>
        <v/>
      </c>
      <c r="B565" s="28" t="n"/>
      <c r="C565" s="28" t="n"/>
      <c r="D565" s="111" t="n"/>
      <c r="E565" s="111" t="n"/>
      <c r="F565" s="111" t="n"/>
      <c r="G565" s="28" t="n"/>
      <c r="H565" s="45" t="n"/>
      <c r="I565" s="45" t="n"/>
      <c r="J565" s="28">
        <f>IF(H565="","",IF(I565&gt;=H565,"Recebido",IF($B$4&gt;E565,"Vencido","Aberto")))</f>
        <v/>
      </c>
      <c r="K565" s="4">
        <f>IF(J565="","",IF(OR(J565="Recebido",F565=""),MAX(0,F565-E565),MAX(0,$B$4-E565)))</f>
        <v/>
      </c>
      <c r="L565" s="4">
        <f>IF(K565="","",IF(K565=0,"Em dia",IF(K565&lt;=30,"1-30 dias",IF(K565&lt;=60,"31-60 dias",IF(K565&lt;=90,"61-90 dias","&gt;90 dias")))))</f>
        <v/>
      </c>
      <c r="M565" s="28" t="n"/>
      <c r="N565" s="104" t="inlineStr"/>
      <c r="O565" s="64" t="n"/>
      <c r="P565" s="64">
        <f>IF(C565="","",IF(ISNUMBER(SEARCH("PCMSO",C565)),"PCMSO",IF(OR(ISNUMBER(SEARCH("E-SOCIAL",C565)),ISNUMBER(SEARCH("PSICOSOCIAL",C565))),"eSocial / Psicossocial",IF(O565="Receita recorrente","Carteira recorrente","Projetos / Laudos / Avulsos"))))</f>
        <v/>
      </c>
      <c r="Q565" s="64">
        <f>IF(P565="","",IF(P565="Carteira recorrente","Operação recorrente",IF(P565="PCMSO","Projetos PCMSO",IF(P565="eSocial / Psicossocial","Projetos eSocial/Psicossocial","Projetos / Laudos / Avulsos"))))</f>
        <v/>
      </c>
      <c r="R565" s="64">
        <f>IF(C565="","",IF(ISNUMBER(SEARCH("PCMSO",C565)),"Título com PCMSO no nome",IF(OR(ISNUMBER(SEARCH("E-SOCIAL",C565)),ISNUMBER(SEARCH("PSICOSOCIAL",C565))),"Título com eSocial/Psicossocial no nome",IF(O565="Receita recorrente","Tipo DRE recorrente","Extra sem palavra-chave específica"))))</f>
        <v/>
      </c>
      <c r="S565" s="92">
        <f>IFERROR(VLOOKUP($A565,'13. Mapa Títulos-Receita'!$A$8:$P$1000,4,FALSE),"")</f>
        <v/>
      </c>
      <c r="T565" s="92">
        <f>IFERROR(VLOOKUP($A565,'13. Mapa Títulos-Receita'!$A$8:$P$1000,5,FALSE),"")</f>
        <v/>
      </c>
      <c r="U565" s="92">
        <f>IFERROR(VLOOKUP($A565,'13. Mapa Títulos-Receita'!$A$8:$P$1000,6,FALSE),"")</f>
        <v/>
      </c>
      <c r="V565" s="92">
        <f>IFERROR(VLOOKUP($A565,'13. Mapa Títulos-Receita'!$A$8:$P$1000,7,FALSE),"")</f>
        <v/>
      </c>
      <c r="W565" s="92">
        <f>IFERROR(VLOOKUP($A565,'13. Mapa Títulos-Receita'!$A$8:$P$1000,8,FALSE),"")</f>
        <v/>
      </c>
      <c r="X565" s="92">
        <f>IFERROR(VLOOKUP($A565,'13. Mapa Títulos-Receita'!$A$8:$P$1000,9,FALSE),"")</f>
        <v/>
      </c>
      <c r="Y565" s="92">
        <f>IFERROR(VLOOKUP($A565,'13. Mapa Títulos-Receita'!$A$8:$P$1000,10,FALSE),"")</f>
        <v/>
      </c>
      <c r="Z565" s="92">
        <f>IFERROR(VLOOKUP($A565,'13. Mapa Títulos-Receita'!$A$8:$P$1000,11,FALSE),"")</f>
        <v/>
      </c>
      <c r="AA565" s="92">
        <f>IFERROR(VLOOKUP($A565,'13. Mapa Títulos-Receita'!$A$8:$P$1000,12,FALSE),"")</f>
        <v/>
      </c>
      <c r="AB565" s="92">
        <f>IFERROR(VLOOKUP($A565,'13. Mapa Títulos-Receita'!$A$8:$P$1000,13,FALSE),"")</f>
        <v/>
      </c>
      <c r="AC565" s="92">
        <f>IFERROR(VLOOKUP($A565,'13. Mapa Títulos-Receita'!$A$8:$P$1000,14,FALSE),"")</f>
        <v/>
      </c>
      <c r="AD565" s="92">
        <f>IFERROR(VLOOKUP($A565,'13. Mapa Títulos-Receita'!$A$8:$P$1000,15,FALSE),"")</f>
        <v/>
      </c>
      <c r="AE565" s="92">
        <f>IFERROR(VLOOKUP($A565,'13. Mapa Títulos-Receita'!$A$8:$P$1000,16,FALSE),"")</f>
        <v/>
      </c>
    </row>
    <row r="566">
      <c r="A566" s="28">
        <f>IF(C566="","", "CR-"&amp;TEXT(ROW()-7,"000"))</f>
        <v/>
      </c>
      <c r="B566" s="28" t="n"/>
      <c r="C566" s="28" t="n"/>
      <c r="D566" s="111" t="n"/>
      <c r="E566" s="111" t="n"/>
      <c r="F566" s="111" t="n"/>
      <c r="G566" s="28" t="n"/>
      <c r="H566" s="45" t="n"/>
      <c r="I566" s="45" t="n"/>
      <c r="J566" s="28">
        <f>IF(H566="","",IF(I566&gt;=H566,"Recebido",IF($B$4&gt;E566,"Vencido","Aberto")))</f>
        <v/>
      </c>
      <c r="K566" s="4">
        <f>IF(J566="","",IF(OR(J566="Recebido",F566=""),MAX(0,F566-E566),MAX(0,$B$4-E566)))</f>
        <v/>
      </c>
      <c r="L566" s="4">
        <f>IF(K566="","",IF(K566=0,"Em dia",IF(K566&lt;=30,"1-30 dias",IF(K566&lt;=60,"31-60 dias",IF(K566&lt;=90,"61-90 dias","&gt;90 dias")))))</f>
        <v/>
      </c>
      <c r="M566" s="28" t="n"/>
      <c r="N566" s="104" t="inlineStr"/>
      <c r="O566" s="64" t="n"/>
      <c r="P566" s="64">
        <f>IF(C566="","",IF(ISNUMBER(SEARCH("PCMSO",C566)),"PCMSO",IF(OR(ISNUMBER(SEARCH("E-SOCIAL",C566)),ISNUMBER(SEARCH("PSICOSOCIAL",C566))),"eSocial / Psicossocial",IF(O566="Receita recorrente","Carteira recorrente","Projetos / Laudos / Avulsos"))))</f>
        <v/>
      </c>
      <c r="Q566" s="64">
        <f>IF(P566="","",IF(P566="Carteira recorrente","Operação recorrente",IF(P566="PCMSO","Projetos PCMSO",IF(P566="eSocial / Psicossocial","Projetos eSocial/Psicossocial","Projetos / Laudos / Avulsos"))))</f>
        <v/>
      </c>
      <c r="R566" s="64">
        <f>IF(C566="","",IF(ISNUMBER(SEARCH("PCMSO",C566)),"Título com PCMSO no nome",IF(OR(ISNUMBER(SEARCH("E-SOCIAL",C566)),ISNUMBER(SEARCH("PSICOSOCIAL",C566))),"Título com eSocial/Psicossocial no nome",IF(O566="Receita recorrente","Tipo DRE recorrente","Extra sem palavra-chave específica"))))</f>
        <v/>
      </c>
      <c r="S566" s="92">
        <f>IFERROR(VLOOKUP($A566,'13. Mapa Títulos-Receita'!$A$8:$P$1000,4,FALSE),"")</f>
        <v/>
      </c>
      <c r="T566" s="92">
        <f>IFERROR(VLOOKUP($A566,'13. Mapa Títulos-Receita'!$A$8:$P$1000,5,FALSE),"")</f>
        <v/>
      </c>
      <c r="U566" s="92">
        <f>IFERROR(VLOOKUP($A566,'13. Mapa Títulos-Receita'!$A$8:$P$1000,6,FALSE),"")</f>
        <v/>
      </c>
      <c r="V566" s="92">
        <f>IFERROR(VLOOKUP($A566,'13. Mapa Títulos-Receita'!$A$8:$P$1000,7,FALSE),"")</f>
        <v/>
      </c>
      <c r="W566" s="92">
        <f>IFERROR(VLOOKUP($A566,'13. Mapa Títulos-Receita'!$A$8:$P$1000,8,FALSE),"")</f>
        <v/>
      </c>
      <c r="X566" s="92">
        <f>IFERROR(VLOOKUP($A566,'13. Mapa Títulos-Receita'!$A$8:$P$1000,9,FALSE),"")</f>
        <v/>
      </c>
      <c r="Y566" s="92">
        <f>IFERROR(VLOOKUP($A566,'13. Mapa Títulos-Receita'!$A$8:$P$1000,10,FALSE),"")</f>
        <v/>
      </c>
      <c r="Z566" s="92">
        <f>IFERROR(VLOOKUP($A566,'13. Mapa Títulos-Receita'!$A$8:$P$1000,11,FALSE),"")</f>
        <v/>
      </c>
      <c r="AA566" s="92">
        <f>IFERROR(VLOOKUP($A566,'13. Mapa Títulos-Receita'!$A$8:$P$1000,12,FALSE),"")</f>
        <v/>
      </c>
      <c r="AB566" s="92">
        <f>IFERROR(VLOOKUP($A566,'13. Mapa Títulos-Receita'!$A$8:$P$1000,13,FALSE),"")</f>
        <v/>
      </c>
      <c r="AC566" s="92">
        <f>IFERROR(VLOOKUP($A566,'13. Mapa Títulos-Receita'!$A$8:$P$1000,14,FALSE),"")</f>
        <v/>
      </c>
      <c r="AD566" s="92">
        <f>IFERROR(VLOOKUP($A566,'13. Mapa Títulos-Receita'!$A$8:$P$1000,15,FALSE),"")</f>
        <v/>
      </c>
      <c r="AE566" s="92">
        <f>IFERROR(VLOOKUP($A566,'13. Mapa Títulos-Receita'!$A$8:$P$1000,16,FALSE),"")</f>
        <v/>
      </c>
    </row>
    <row r="567">
      <c r="A567" s="28">
        <f>IF(C567="","", "CR-"&amp;TEXT(ROW()-7,"000"))</f>
        <v/>
      </c>
      <c r="B567" s="28" t="n"/>
      <c r="C567" s="28" t="n"/>
      <c r="D567" s="111" t="n"/>
      <c r="E567" s="111" t="n"/>
      <c r="F567" s="111" t="n"/>
      <c r="G567" s="28" t="n"/>
      <c r="H567" s="45" t="n"/>
      <c r="I567" s="45" t="n"/>
      <c r="J567" s="28">
        <f>IF(H567="","",IF(I567&gt;=H567,"Recebido",IF($B$4&gt;E567,"Vencido","Aberto")))</f>
        <v/>
      </c>
      <c r="K567" s="4">
        <f>IF(J567="","",IF(OR(J567="Recebido",F567=""),MAX(0,F567-E567),MAX(0,$B$4-E567)))</f>
        <v/>
      </c>
      <c r="L567" s="4">
        <f>IF(K567="","",IF(K567=0,"Em dia",IF(K567&lt;=30,"1-30 dias",IF(K567&lt;=60,"31-60 dias",IF(K567&lt;=90,"61-90 dias","&gt;90 dias")))))</f>
        <v/>
      </c>
      <c r="M567" s="28" t="n"/>
      <c r="N567" s="104" t="inlineStr"/>
      <c r="O567" s="64" t="n"/>
      <c r="P567" s="64">
        <f>IF(C567="","",IF(ISNUMBER(SEARCH("PCMSO",C567)),"PCMSO",IF(OR(ISNUMBER(SEARCH("E-SOCIAL",C567)),ISNUMBER(SEARCH("PSICOSOCIAL",C567))),"eSocial / Psicossocial",IF(O567="Receita recorrente","Carteira recorrente","Projetos / Laudos / Avulsos"))))</f>
        <v/>
      </c>
      <c r="Q567" s="64">
        <f>IF(P567="","",IF(P567="Carteira recorrente","Operação recorrente",IF(P567="PCMSO","Projetos PCMSO",IF(P567="eSocial / Psicossocial","Projetos eSocial/Psicossocial","Projetos / Laudos / Avulsos"))))</f>
        <v/>
      </c>
      <c r="R567" s="64">
        <f>IF(C567="","",IF(ISNUMBER(SEARCH("PCMSO",C567)),"Título com PCMSO no nome",IF(OR(ISNUMBER(SEARCH("E-SOCIAL",C567)),ISNUMBER(SEARCH("PSICOSOCIAL",C567))),"Título com eSocial/Psicossocial no nome",IF(O567="Receita recorrente","Tipo DRE recorrente","Extra sem palavra-chave específica"))))</f>
        <v/>
      </c>
      <c r="S567" s="92">
        <f>IFERROR(VLOOKUP($A567,'13. Mapa Títulos-Receita'!$A$8:$P$1000,4,FALSE),"")</f>
        <v/>
      </c>
      <c r="T567" s="92">
        <f>IFERROR(VLOOKUP($A567,'13. Mapa Títulos-Receita'!$A$8:$P$1000,5,FALSE),"")</f>
        <v/>
      </c>
      <c r="U567" s="92">
        <f>IFERROR(VLOOKUP($A567,'13. Mapa Títulos-Receita'!$A$8:$P$1000,6,FALSE),"")</f>
        <v/>
      </c>
      <c r="V567" s="92">
        <f>IFERROR(VLOOKUP($A567,'13. Mapa Títulos-Receita'!$A$8:$P$1000,7,FALSE),"")</f>
        <v/>
      </c>
      <c r="W567" s="92">
        <f>IFERROR(VLOOKUP($A567,'13. Mapa Títulos-Receita'!$A$8:$P$1000,8,FALSE),"")</f>
        <v/>
      </c>
      <c r="X567" s="92">
        <f>IFERROR(VLOOKUP($A567,'13. Mapa Títulos-Receita'!$A$8:$P$1000,9,FALSE),"")</f>
        <v/>
      </c>
      <c r="Y567" s="92">
        <f>IFERROR(VLOOKUP($A567,'13. Mapa Títulos-Receita'!$A$8:$P$1000,10,FALSE),"")</f>
        <v/>
      </c>
      <c r="Z567" s="92">
        <f>IFERROR(VLOOKUP($A567,'13. Mapa Títulos-Receita'!$A$8:$P$1000,11,FALSE),"")</f>
        <v/>
      </c>
      <c r="AA567" s="92">
        <f>IFERROR(VLOOKUP($A567,'13. Mapa Títulos-Receita'!$A$8:$P$1000,12,FALSE),"")</f>
        <v/>
      </c>
      <c r="AB567" s="92">
        <f>IFERROR(VLOOKUP($A567,'13. Mapa Títulos-Receita'!$A$8:$P$1000,13,FALSE),"")</f>
        <v/>
      </c>
      <c r="AC567" s="92">
        <f>IFERROR(VLOOKUP($A567,'13. Mapa Títulos-Receita'!$A$8:$P$1000,14,FALSE),"")</f>
        <v/>
      </c>
      <c r="AD567" s="92">
        <f>IFERROR(VLOOKUP($A567,'13. Mapa Títulos-Receita'!$A$8:$P$1000,15,FALSE),"")</f>
        <v/>
      </c>
      <c r="AE567" s="92">
        <f>IFERROR(VLOOKUP($A567,'13. Mapa Títulos-Receita'!$A$8:$P$1000,16,FALSE),"")</f>
        <v/>
      </c>
    </row>
    <row r="568">
      <c r="A568" s="28">
        <f>IF(C568="","", "CR-"&amp;TEXT(ROW()-7,"000"))</f>
        <v/>
      </c>
      <c r="B568" s="28" t="n"/>
      <c r="C568" s="28" t="n"/>
      <c r="D568" s="111" t="n"/>
      <c r="E568" s="111" t="n"/>
      <c r="F568" s="111" t="n"/>
      <c r="G568" s="28" t="n"/>
      <c r="H568" s="45" t="n"/>
      <c r="I568" s="45" t="n"/>
      <c r="J568" s="28">
        <f>IF(H568="","",IF(I568&gt;=H568,"Recebido",IF($B$4&gt;E568,"Vencido","Aberto")))</f>
        <v/>
      </c>
      <c r="K568" s="4">
        <f>IF(J568="","",IF(OR(J568="Recebido",F568=""),MAX(0,F568-E568),MAX(0,$B$4-E568)))</f>
        <v/>
      </c>
      <c r="L568" s="4">
        <f>IF(K568="","",IF(K568=0,"Em dia",IF(K568&lt;=30,"1-30 dias",IF(K568&lt;=60,"31-60 dias",IF(K568&lt;=90,"61-90 dias","&gt;90 dias")))))</f>
        <v/>
      </c>
      <c r="M568" s="28" t="n"/>
      <c r="N568" s="104" t="inlineStr"/>
      <c r="O568" s="64" t="n"/>
      <c r="P568" s="64">
        <f>IF(C568="","",IF(ISNUMBER(SEARCH("PCMSO",C568)),"PCMSO",IF(OR(ISNUMBER(SEARCH("E-SOCIAL",C568)),ISNUMBER(SEARCH("PSICOSOCIAL",C568))),"eSocial / Psicossocial",IF(O568="Receita recorrente","Carteira recorrente","Projetos / Laudos / Avulsos"))))</f>
        <v/>
      </c>
      <c r="Q568" s="64">
        <f>IF(P568="","",IF(P568="Carteira recorrente","Operação recorrente",IF(P568="PCMSO","Projetos PCMSO",IF(P568="eSocial / Psicossocial","Projetos eSocial/Psicossocial","Projetos / Laudos / Avulsos"))))</f>
        <v/>
      </c>
      <c r="R568" s="64">
        <f>IF(C568="","",IF(ISNUMBER(SEARCH("PCMSO",C568)),"Título com PCMSO no nome",IF(OR(ISNUMBER(SEARCH("E-SOCIAL",C568)),ISNUMBER(SEARCH("PSICOSOCIAL",C568))),"Título com eSocial/Psicossocial no nome",IF(O568="Receita recorrente","Tipo DRE recorrente","Extra sem palavra-chave específica"))))</f>
        <v/>
      </c>
      <c r="S568" s="92">
        <f>IFERROR(VLOOKUP($A568,'13. Mapa Títulos-Receita'!$A$8:$P$1000,4,FALSE),"")</f>
        <v/>
      </c>
      <c r="T568" s="92">
        <f>IFERROR(VLOOKUP($A568,'13. Mapa Títulos-Receita'!$A$8:$P$1000,5,FALSE),"")</f>
        <v/>
      </c>
      <c r="U568" s="92">
        <f>IFERROR(VLOOKUP($A568,'13. Mapa Títulos-Receita'!$A$8:$P$1000,6,FALSE),"")</f>
        <v/>
      </c>
      <c r="V568" s="92">
        <f>IFERROR(VLOOKUP($A568,'13. Mapa Títulos-Receita'!$A$8:$P$1000,7,FALSE),"")</f>
        <v/>
      </c>
      <c r="W568" s="92">
        <f>IFERROR(VLOOKUP($A568,'13. Mapa Títulos-Receita'!$A$8:$P$1000,8,FALSE),"")</f>
        <v/>
      </c>
      <c r="X568" s="92">
        <f>IFERROR(VLOOKUP($A568,'13. Mapa Títulos-Receita'!$A$8:$P$1000,9,FALSE),"")</f>
        <v/>
      </c>
      <c r="Y568" s="92">
        <f>IFERROR(VLOOKUP($A568,'13. Mapa Títulos-Receita'!$A$8:$P$1000,10,FALSE),"")</f>
        <v/>
      </c>
      <c r="Z568" s="92">
        <f>IFERROR(VLOOKUP($A568,'13. Mapa Títulos-Receita'!$A$8:$P$1000,11,FALSE),"")</f>
        <v/>
      </c>
      <c r="AA568" s="92">
        <f>IFERROR(VLOOKUP($A568,'13. Mapa Títulos-Receita'!$A$8:$P$1000,12,FALSE),"")</f>
        <v/>
      </c>
      <c r="AB568" s="92">
        <f>IFERROR(VLOOKUP($A568,'13. Mapa Títulos-Receita'!$A$8:$P$1000,13,FALSE),"")</f>
        <v/>
      </c>
      <c r="AC568" s="92">
        <f>IFERROR(VLOOKUP($A568,'13. Mapa Títulos-Receita'!$A$8:$P$1000,14,FALSE),"")</f>
        <v/>
      </c>
      <c r="AD568" s="92">
        <f>IFERROR(VLOOKUP($A568,'13. Mapa Títulos-Receita'!$A$8:$P$1000,15,FALSE),"")</f>
        <v/>
      </c>
      <c r="AE568" s="92">
        <f>IFERROR(VLOOKUP($A568,'13. Mapa Títulos-Receita'!$A$8:$P$1000,16,FALSE),"")</f>
        <v/>
      </c>
    </row>
    <row r="569">
      <c r="A569" s="28">
        <f>IF(C569="","", "CR-"&amp;TEXT(ROW()-7,"000"))</f>
        <v/>
      </c>
      <c r="B569" s="28" t="n"/>
      <c r="C569" s="28" t="n"/>
      <c r="D569" s="111" t="n"/>
      <c r="E569" s="111" t="n"/>
      <c r="F569" s="111" t="n"/>
      <c r="G569" s="28" t="n"/>
      <c r="H569" s="45" t="n"/>
      <c r="I569" s="45" t="n"/>
      <c r="J569" s="28">
        <f>IF(H569="","",IF(I569&gt;=H569,"Recebido",IF($B$4&gt;E569,"Vencido","Aberto")))</f>
        <v/>
      </c>
      <c r="K569" s="4">
        <f>IF(J569="","",IF(OR(J569="Recebido",F569=""),MAX(0,F569-E569),MAX(0,$B$4-E569)))</f>
        <v/>
      </c>
      <c r="L569" s="4">
        <f>IF(K569="","",IF(K569=0,"Em dia",IF(K569&lt;=30,"1-30 dias",IF(K569&lt;=60,"31-60 dias",IF(K569&lt;=90,"61-90 dias","&gt;90 dias")))))</f>
        <v/>
      </c>
      <c r="M569" s="28" t="n"/>
      <c r="N569" s="104" t="inlineStr"/>
      <c r="O569" s="64" t="n"/>
      <c r="P569" s="64">
        <f>IF(C569="","",IF(ISNUMBER(SEARCH("PCMSO",C569)),"PCMSO",IF(OR(ISNUMBER(SEARCH("E-SOCIAL",C569)),ISNUMBER(SEARCH("PSICOSOCIAL",C569))),"eSocial / Psicossocial",IF(O569="Receita recorrente","Carteira recorrente","Projetos / Laudos / Avulsos"))))</f>
        <v/>
      </c>
      <c r="Q569" s="64">
        <f>IF(P569="","",IF(P569="Carteira recorrente","Operação recorrente",IF(P569="PCMSO","Projetos PCMSO",IF(P569="eSocial / Psicossocial","Projetos eSocial/Psicossocial","Projetos / Laudos / Avulsos"))))</f>
        <v/>
      </c>
      <c r="R569" s="64">
        <f>IF(C569="","",IF(ISNUMBER(SEARCH("PCMSO",C569)),"Título com PCMSO no nome",IF(OR(ISNUMBER(SEARCH("E-SOCIAL",C569)),ISNUMBER(SEARCH("PSICOSOCIAL",C569))),"Título com eSocial/Psicossocial no nome",IF(O569="Receita recorrente","Tipo DRE recorrente","Extra sem palavra-chave específica"))))</f>
        <v/>
      </c>
      <c r="S569" s="92">
        <f>IFERROR(VLOOKUP($A569,'13. Mapa Títulos-Receita'!$A$8:$P$1000,4,FALSE),"")</f>
        <v/>
      </c>
      <c r="T569" s="92">
        <f>IFERROR(VLOOKUP($A569,'13. Mapa Títulos-Receita'!$A$8:$P$1000,5,FALSE),"")</f>
        <v/>
      </c>
      <c r="U569" s="92">
        <f>IFERROR(VLOOKUP($A569,'13. Mapa Títulos-Receita'!$A$8:$P$1000,6,FALSE),"")</f>
        <v/>
      </c>
      <c r="V569" s="92">
        <f>IFERROR(VLOOKUP($A569,'13. Mapa Títulos-Receita'!$A$8:$P$1000,7,FALSE),"")</f>
        <v/>
      </c>
      <c r="W569" s="92">
        <f>IFERROR(VLOOKUP($A569,'13. Mapa Títulos-Receita'!$A$8:$P$1000,8,FALSE),"")</f>
        <v/>
      </c>
      <c r="X569" s="92">
        <f>IFERROR(VLOOKUP($A569,'13. Mapa Títulos-Receita'!$A$8:$P$1000,9,FALSE),"")</f>
        <v/>
      </c>
      <c r="Y569" s="92">
        <f>IFERROR(VLOOKUP($A569,'13. Mapa Títulos-Receita'!$A$8:$P$1000,10,FALSE),"")</f>
        <v/>
      </c>
      <c r="Z569" s="92">
        <f>IFERROR(VLOOKUP($A569,'13. Mapa Títulos-Receita'!$A$8:$P$1000,11,FALSE),"")</f>
        <v/>
      </c>
      <c r="AA569" s="92">
        <f>IFERROR(VLOOKUP($A569,'13. Mapa Títulos-Receita'!$A$8:$P$1000,12,FALSE),"")</f>
        <v/>
      </c>
      <c r="AB569" s="92">
        <f>IFERROR(VLOOKUP($A569,'13. Mapa Títulos-Receita'!$A$8:$P$1000,13,FALSE),"")</f>
        <v/>
      </c>
      <c r="AC569" s="92">
        <f>IFERROR(VLOOKUP($A569,'13. Mapa Títulos-Receita'!$A$8:$P$1000,14,FALSE),"")</f>
        <v/>
      </c>
      <c r="AD569" s="92">
        <f>IFERROR(VLOOKUP($A569,'13. Mapa Títulos-Receita'!$A$8:$P$1000,15,FALSE),"")</f>
        <v/>
      </c>
      <c r="AE569" s="92">
        <f>IFERROR(VLOOKUP($A569,'13. Mapa Títulos-Receita'!$A$8:$P$1000,16,FALSE),"")</f>
        <v/>
      </c>
    </row>
    <row r="570">
      <c r="A570" s="28">
        <f>IF(C570="","", "CR-"&amp;TEXT(ROW()-7,"000"))</f>
        <v/>
      </c>
      <c r="B570" s="28" t="n"/>
      <c r="C570" s="28" t="n"/>
      <c r="D570" s="111" t="n"/>
      <c r="E570" s="111" t="n"/>
      <c r="F570" s="111" t="n"/>
      <c r="G570" s="28" t="n"/>
      <c r="H570" s="45" t="n"/>
      <c r="I570" s="45" t="n"/>
      <c r="J570" s="28">
        <f>IF(H570="","",IF(I570&gt;=H570,"Recebido",IF($B$4&gt;E570,"Vencido","Aberto")))</f>
        <v/>
      </c>
      <c r="K570" s="4">
        <f>IF(J570="","",IF(OR(J570="Recebido",F570=""),MAX(0,F570-E570),MAX(0,$B$4-E570)))</f>
        <v/>
      </c>
      <c r="L570" s="4">
        <f>IF(K570="","",IF(K570=0,"Em dia",IF(K570&lt;=30,"1-30 dias",IF(K570&lt;=60,"31-60 dias",IF(K570&lt;=90,"61-90 dias","&gt;90 dias")))))</f>
        <v/>
      </c>
      <c r="M570" s="28" t="n"/>
      <c r="N570" s="104" t="inlineStr"/>
      <c r="O570" s="64" t="n"/>
      <c r="P570" s="64">
        <f>IF(C570="","",IF(ISNUMBER(SEARCH("PCMSO",C570)),"PCMSO",IF(OR(ISNUMBER(SEARCH("E-SOCIAL",C570)),ISNUMBER(SEARCH("PSICOSOCIAL",C570))),"eSocial / Psicossocial",IF(O570="Receita recorrente","Carteira recorrente","Projetos / Laudos / Avulsos"))))</f>
        <v/>
      </c>
      <c r="Q570" s="64">
        <f>IF(P570="","",IF(P570="Carteira recorrente","Operação recorrente",IF(P570="PCMSO","Projetos PCMSO",IF(P570="eSocial / Psicossocial","Projetos eSocial/Psicossocial","Projetos / Laudos / Avulsos"))))</f>
        <v/>
      </c>
      <c r="R570" s="64">
        <f>IF(C570="","",IF(ISNUMBER(SEARCH("PCMSO",C570)),"Título com PCMSO no nome",IF(OR(ISNUMBER(SEARCH("E-SOCIAL",C570)),ISNUMBER(SEARCH("PSICOSOCIAL",C570))),"Título com eSocial/Psicossocial no nome",IF(O570="Receita recorrente","Tipo DRE recorrente","Extra sem palavra-chave específica"))))</f>
        <v/>
      </c>
      <c r="S570" s="92">
        <f>IFERROR(VLOOKUP($A570,'13. Mapa Títulos-Receita'!$A$8:$P$1000,4,FALSE),"")</f>
        <v/>
      </c>
      <c r="T570" s="92">
        <f>IFERROR(VLOOKUP($A570,'13. Mapa Títulos-Receita'!$A$8:$P$1000,5,FALSE),"")</f>
        <v/>
      </c>
      <c r="U570" s="92">
        <f>IFERROR(VLOOKUP($A570,'13. Mapa Títulos-Receita'!$A$8:$P$1000,6,FALSE),"")</f>
        <v/>
      </c>
      <c r="V570" s="92">
        <f>IFERROR(VLOOKUP($A570,'13. Mapa Títulos-Receita'!$A$8:$P$1000,7,FALSE),"")</f>
        <v/>
      </c>
      <c r="W570" s="92">
        <f>IFERROR(VLOOKUP($A570,'13. Mapa Títulos-Receita'!$A$8:$P$1000,8,FALSE),"")</f>
        <v/>
      </c>
      <c r="X570" s="92">
        <f>IFERROR(VLOOKUP($A570,'13. Mapa Títulos-Receita'!$A$8:$P$1000,9,FALSE),"")</f>
        <v/>
      </c>
      <c r="Y570" s="92">
        <f>IFERROR(VLOOKUP($A570,'13. Mapa Títulos-Receita'!$A$8:$P$1000,10,FALSE),"")</f>
        <v/>
      </c>
      <c r="Z570" s="92">
        <f>IFERROR(VLOOKUP($A570,'13. Mapa Títulos-Receita'!$A$8:$P$1000,11,FALSE),"")</f>
        <v/>
      </c>
      <c r="AA570" s="92">
        <f>IFERROR(VLOOKUP($A570,'13. Mapa Títulos-Receita'!$A$8:$P$1000,12,FALSE),"")</f>
        <v/>
      </c>
      <c r="AB570" s="92">
        <f>IFERROR(VLOOKUP($A570,'13. Mapa Títulos-Receita'!$A$8:$P$1000,13,FALSE),"")</f>
        <v/>
      </c>
      <c r="AC570" s="92">
        <f>IFERROR(VLOOKUP($A570,'13. Mapa Títulos-Receita'!$A$8:$P$1000,14,FALSE),"")</f>
        <v/>
      </c>
      <c r="AD570" s="92">
        <f>IFERROR(VLOOKUP($A570,'13. Mapa Títulos-Receita'!$A$8:$P$1000,15,FALSE),"")</f>
        <v/>
      </c>
      <c r="AE570" s="92">
        <f>IFERROR(VLOOKUP($A570,'13. Mapa Títulos-Receita'!$A$8:$P$1000,16,FALSE),"")</f>
        <v/>
      </c>
    </row>
    <row r="571">
      <c r="A571" s="28">
        <f>IF(C571="","", "CR-"&amp;TEXT(ROW()-7,"000"))</f>
        <v/>
      </c>
      <c r="B571" s="28" t="n"/>
      <c r="C571" s="28" t="n"/>
      <c r="D571" s="111" t="n"/>
      <c r="E571" s="111" t="n"/>
      <c r="F571" s="111" t="n"/>
      <c r="G571" s="28" t="n"/>
      <c r="H571" s="45" t="n"/>
      <c r="I571" s="45" t="n"/>
      <c r="J571" s="28">
        <f>IF(H571="","",IF(I571&gt;=H571,"Recebido",IF($B$4&gt;E571,"Vencido","Aberto")))</f>
        <v/>
      </c>
      <c r="K571" s="4">
        <f>IF(J571="","",IF(OR(J571="Recebido",F571=""),MAX(0,F571-E571),MAX(0,$B$4-E571)))</f>
        <v/>
      </c>
      <c r="L571" s="4">
        <f>IF(K571="","",IF(K571=0,"Em dia",IF(K571&lt;=30,"1-30 dias",IF(K571&lt;=60,"31-60 dias",IF(K571&lt;=90,"61-90 dias","&gt;90 dias")))))</f>
        <v/>
      </c>
      <c r="M571" s="28" t="n"/>
      <c r="N571" s="104" t="inlineStr"/>
      <c r="O571" s="64" t="n"/>
      <c r="P571" s="64">
        <f>IF(C571="","",IF(ISNUMBER(SEARCH("PCMSO",C571)),"PCMSO",IF(OR(ISNUMBER(SEARCH("E-SOCIAL",C571)),ISNUMBER(SEARCH("PSICOSOCIAL",C571))),"eSocial / Psicossocial",IF(O571="Receita recorrente","Carteira recorrente","Projetos / Laudos / Avulsos"))))</f>
        <v/>
      </c>
      <c r="Q571" s="64">
        <f>IF(P571="","",IF(P571="Carteira recorrente","Operação recorrente",IF(P571="PCMSO","Projetos PCMSO",IF(P571="eSocial / Psicossocial","Projetos eSocial/Psicossocial","Projetos / Laudos / Avulsos"))))</f>
        <v/>
      </c>
      <c r="R571" s="64">
        <f>IF(C571="","",IF(ISNUMBER(SEARCH("PCMSO",C571)),"Título com PCMSO no nome",IF(OR(ISNUMBER(SEARCH("E-SOCIAL",C571)),ISNUMBER(SEARCH("PSICOSOCIAL",C571))),"Título com eSocial/Psicossocial no nome",IF(O571="Receita recorrente","Tipo DRE recorrente","Extra sem palavra-chave específica"))))</f>
        <v/>
      </c>
      <c r="S571" s="92">
        <f>IFERROR(VLOOKUP($A571,'13. Mapa Títulos-Receita'!$A$8:$P$1000,4,FALSE),"")</f>
        <v/>
      </c>
      <c r="T571" s="92">
        <f>IFERROR(VLOOKUP($A571,'13. Mapa Títulos-Receita'!$A$8:$P$1000,5,FALSE),"")</f>
        <v/>
      </c>
      <c r="U571" s="92">
        <f>IFERROR(VLOOKUP($A571,'13. Mapa Títulos-Receita'!$A$8:$P$1000,6,FALSE),"")</f>
        <v/>
      </c>
      <c r="V571" s="92">
        <f>IFERROR(VLOOKUP($A571,'13. Mapa Títulos-Receita'!$A$8:$P$1000,7,FALSE),"")</f>
        <v/>
      </c>
      <c r="W571" s="92">
        <f>IFERROR(VLOOKUP($A571,'13. Mapa Títulos-Receita'!$A$8:$P$1000,8,FALSE),"")</f>
        <v/>
      </c>
      <c r="X571" s="92">
        <f>IFERROR(VLOOKUP($A571,'13. Mapa Títulos-Receita'!$A$8:$P$1000,9,FALSE),"")</f>
        <v/>
      </c>
      <c r="Y571" s="92">
        <f>IFERROR(VLOOKUP($A571,'13. Mapa Títulos-Receita'!$A$8:$P$1000,10,FALSE),"")</f>
        <v/>
      </c>
      <c r="Z571" s="92">
        <f>IFERROR(VLOOKUP($A571,'13. Mapa Títulos-Receita'!$A$8:$P$1000,11,FALSE),"")</f>
        <v/>
      </c>
      <c r="AA571" s="92">
        <f>IFERROR(VLOOKUP($A571,'13. Mapa Títulos-Receita'!$A$8:$P$1000,12,FALSE),"")</f>
        <v/>
      </c>
      <c r="AB571" s="92">
        <f>IFERROR(VLOOKUP($A571,'13. Mapa Títulos-Receita'!$A$8:$P$1000,13,FALSE),"")</f>
        <v/>
      </c>
      <c r="AC571" s="92">
        <f>IFERROR(VLOOKUP($A571,'13. Mapa Títulos-Receita'!$A$8:$P$1000,14,FALSE),"")</f>
        <v/>
      </c>
      <c r="AD571" s="92">
        <f>IFERROR(VLOOKUP($A571,'13. Mapa Títulos-Receita'!$A$8:$P$1000,15,FALSE),"")</f>
        <v/>
      </c>
      <c r="AE571" s="92">
        <f>IFERROR(VLOOKUP($A571,'13. Mapa Títulos-Receita'!$A$8:$P$1000,16,FALSE),"")</f>
        <v/>
      </c>
    </row>
    <row r="572">
      <c r="A572" s="28">
        <f>IF(C572="","", "CR-"&amp;TEXT(ROW()-7,"000"))</f>
        <v/>
      </c>
      <c r="B572" s="28" t="n"/>
      <c r="C572" s="28" t="n"/>
      <c r="D572" s="111" t="n"/>
      <c r="E572" s="111" t="n"/>
      <c r="F572" s="111" t="n"/>
      <c r="G572" s="28" t="n"/>
      <c r="H572" s="45" t="n"/>
      <c r="I572" s="45" t="n"/>
      <c r="J572" s="28">
        <f>IF(H572="","",IF(I572&gt;=H572,"Recebido",IF($B$4&gt;E572,"Vencido","Aberto")))</f>
        <v/>
      </c>
      <c r="K572" s="4">
        <f>IF(J572="","",IF(OR(J572="Recebido",F572=""),MAX(0,F572-E572),MAX(0,$B$4-E572)))</f>
        <v/>
      </c>
      <c r="L572" s="4">
        <f>IF(K572="","",IF(K572=0,"Em dia",IF(K572&lt;=30,"1-30 dias",IF(K572&lt;=60,"31-60 dias",IF(K572&lt;=90,"61-90 dias","&gt;90 dias")))))</f>
        <v/>
      </c>
      <c r="M572" s="28" t="n"/>
      <c r="N572" s="104" t="inlineStr"/>
      <c r="O572" s="64" t="n"/>
      <c r="P572" s="64">
        <f>IF(C572="","",IF(ISNUMBER(SEARCH("PCMSO",C572)),"PCMSO",IF(OR(ISNUMBER(SEARCH("E-SOCIAL",C572)),ISNUMBER(SEARCH("PSICOSOCIAL",C572))),"eSocial / Psicossocial",IF(O572="Receita recorrente","Carteira recorrente","Projetos / Laudos / Avulsos"))))</f>
        <v/>
      </c>
      <c r="Q572" s="64">
        <f>IF(P572="","",IF(P572="Carteira recorrente","Operação recorrente",IF(P572="PCMSO","Projetos PCMSO",IF(P572="eSocial / Psicossocial","Projetos eSocial/Psicossocial","Projetos / Laudos / Avulsos"))))</f>
        <v/>
      </c>
      <c r="R572" s="64">
        <f>IF(C572="","",IF(ISNUMBER(SEARCH("PCMSO",C572)),"Título com PCMSO no nome",IF(OR(ISNUMBER(SEARCH("E-SOCIAL",C572)),ISNUMBER(SEARCH("PSICOSOCIAL",C572))),"Título com eSocial/Psicossocial no nome",IF(O572="Receita recorrente","Tipo DRE recorrente","Extra sem palavra-chave específica"))))</f>
        <v/>
      </c>
      <c r="S572" s="92">
        <f>IFERROR(VLOOKUP($A572,'13. Mapa Títulos-Receita'!$A$8:$P$1000,4,FALSE),"")</f>
        <v/>
      </c>
      <c r="T572" s="92">
        <f>IFERROR(VLOOKUP($A572,'13. Mapa Títulos-Receita'!$A$8:$P$1000,5,FALSE),"")</f>
        <v/>
      </c>
      <c r="U572" s="92">
        <f>IFERROR(VLOOKUP($A572,'13. Mapa Títulos-Receita'!$A$8:$P$1000,6,FALSE),"")</f>
        <v/>
      </c>
      <c r="V572" s="92">
        <f>IFERROR(VLOOKUP($A572,'13. Mapa Títulos-Receita'!$A$8:$P$1000,7,FALSE),"")</f>
        <v/>
      </c>
      <c r="W572" s="92">
        <f>IFERROR(VLOOKUP($A572,'13. Mapa Títulos-Receita'!$A$8:$P$1000,8,FALSE),"")</f>
        <v/>
      </c>
      <c r="X572" s="92">
        <f>IFERROR(VLOOKUP($A572,'13. Mapa Títulos-Receita'!$A$8:$P$1000,9,FALSE),"")</f>
        <v/>
      </c>
      <c r="Y572" s="92">
        <f>IFERROR(VLOOKUP($A572,'13. Mapa Títulos-Receita'!$A$8:$P$1000,10,FALSE),"")</f>
        <v/>
      </c>
      <c r="Z572" s="92">
        <f>IFERROR(VLOOKUP($A572,'13. Mapa Títulos-Receita'!$A$8:$P$1000,11,FALSE),"")</f>
        <v/>
      </c>
      <c r="AA572" s="92">
        <f>IFERROR(VLOOKUP($A572,'13. Mapa Títulos-Receita'!$A$8:$P$1000,12,FALSE),"")</f>
        <v/>
      </c>
      <c r="AB572" s="92">
        <f>IFERROR(VLOOKUP($A572,'13. Mapa Títulos-Receita'!$A$8:$P$1000,13,FALSE),"")</f>
        <v/>
      </c>
      <c r="AC572" s="92">
        <f>IFERROR(VLOOKUP($A572,'13. Mapa Títulos-Receita'!$A$8:$P$1000,14,FALSE),"")</f>
        <v/>
      </c>
      <c r="AD572" s="92">
        <f>IFERROR(VLOOKUP($A572,'13. Mapa Títulos-Receita'!$A$8:$P$1000,15,FALSE),"")</f>
        <v/>
      </c>
      <c r="AE572" s="92">
        <f>IFERROR(VLOOKUP($A572,'13. Mapa Títulos-Receita'!$A$8:$P$1000,16,FALSE),"")</f>
        <v/>
      </c>
    </row>
    <row r="573">
      <c r="A573" s="28">
        <f>IF(C573="","", "CR-"&amp;TEXT(ROW()-7,"000"))</f>
        <v/>
      </c>
      <c r="B573" s="28" t="n"/>
      <c r="C573" s="28" t="n"/>
      <c r="D573" s="111" t="n"/>
      <c r="E573" s="111" t="n"/>
      <c r="F573" s="111" t="n"/>
      <c r="G573" s="28" t="n"/>
      <c r="H573" s="45" t="n"/>
      <c r="I573" s="45" t="n"/>
      <c r="J573" s="28">
        <f>IF(H573="","",IF(I573&gt;=H573,"Recebido",IF($B$4&gt;E573,"Vencido","Aberto")))</f>
        <v/>
      </c>
      <c r="K573" s="4">
        <f>IF(J573="","",IF(OR(J573="Recebido",F573=""),MAX(0,F573-E573),MAX(0,$B$4-E573)))</f>
        <v/>
      </c>
      <c r="L573" s="4">
        <f>IF(K573="","",IF(K573=0,"Em dia",IF(K573&lt;=30,"1-30 dias",IF(K573&lt;=60,"31-60 dias",IF(K573&lt;=90,"61-90 dias","&gt;90 dias")))))</f>
        <v/>
      </c>
      <c r="M573" s="28" t="n"/>
      <c r="N573" s="104" t="inlineStr"/>
      <c r="O573" s="64" t="n"/>
      <c r="P573" s="64">
        <f>IF(C573="","",IF(ISNUMBER(SEARCH("PCMSO",C573)),"PCMSO",IF(OR(ISNUMBER(SEARCH("E-SOCIAL",C573)),ISNUMBER(SEARCH("PSICOSOCIAL",C573))),"eSocial / Psicossocial",IF(O573="Receita recorrente","Carteira recorrente","Projetos / Laudos / Avulsos"))))</f>
        <v/>
      </c>
      <c r="Q573" s="64">
        <f>IF(P573="","",IF(P573="Carteira recorrente","Operação recorrente",IF(P573="PCMSO","Projetos PCMSO",IF(P573="eSocial / Psicossocial","Projetos eSocial/Psicossocial","Projetos / Laudos / Avulsos"))))</f>
        <v/>
      </c>
      <c r="R573" s="64">
        <f>IF(C573="","",IF(ISNUMBER(SEARCH("PCMSO",C573)),"Título com PCMSO no nome",IF(OR(ISNUMBER(SEARCH("E-SOCIAL",C573)),ISNUMBER(SEARCH("PSICOSOCIAL",C573))),"Título com eSocial/Psicossocial no nome",IF(O573="Receita recorrente","Tipo DRE recorrente","Extra sem palavra-chave específica"))))</f>
        <v/>
      </c>
      <c r="S573" s="92">
        <f>IFERROR(VLOOKUP($A573,'13. Mapa Títulos-Receita'!$A$8:$P$1000,4,FALSE),"")</f>
        <v/>
      </c>
      <c r="T573" s="92">
        <f>IFERROR(VLOOKUP($A573,'13. Mapa Títulos-Receita'!$A$8:$P$1000,5,FALSE),"")</f>
        <v/>
      </c>
      <c r="U573" s="92">
        <f>IFERROR(VLOOKUP($A573,'13. Mapa Títulos-Receita'!$A$8:$P$1000,6,FALSE),"")</f>
        <v/>
      </c>
      <c r="V573" s="92">
        <f>IFERROR(VLOOKUP($A573,'13. Mapa Títulos-Receita'!$A$8:$P$1000,7,FALSE),"")</f>
        <v/>
      </c>
      <c r="W573" s="92">
        <f>IFERROR(VLOOKUP($A573,'13. Mapa Títulos-Receita'!$A$8:$P$1000,8,FALSE),"")</f>
        <v/>
      </c>
      <c r="X573" s="92">
        <f>IFERROR(VLOOKUP($A573,'13. Mapa Títulos-Receita'!$A$8:$P$1000,9,FALSE),"")</f>
        <v/>
      </c>
      <c r="Y573" s="92">
        <f>IFERROR(VLOOKUP($A573,'13. Mapa Títulos-Receita'!$A$8:$P$1000,10,FALSE),"")</f>
        <v/>
      </c>
      <c r="Z573" s="92">
        <f>IFERROR(VLOOKUP($A573,'13. Mapa Títulos-Receita'!$A$8:$P$1000,11,FALSE),"")</f>
        <v/>
      </c>
      <c r="AA573" s="92">
        <f>IFERROR(VLOOKUP($A573,'13. Mapa Títulos-Receita'!$A$8:$P$1000,12,FALSE),"")</f>
        <v/>
      </c>
      <c r="AB573" s="92">
        <f>IFERROR(VLOOKUP($A573,'13. Mapa Títulos-Receita'!$A$8:$P$1000,13,FALSE),"")</f>
        <v/>
      </c>
      <c r="AC573" s="92">
        <f>IFERROR(VLOOKUP($A573,'13. Mapa Títulos-Receita'!$A$8:$P$1000,14,FALSE),"")</f>
        <v/>
      </c>
      <c r="AD573" s="92">
        <f>IFERROR(VLOOKUP($A573,'13. Mapa Títulos-Receita'!$A$8:$P$1000,15,FALSE),"")</f>
        <v/>
      </c>
      <c r="AE573" s="92">
        <f>IFERROR(VLOOKUP($A573,'13. Mapa Títulos-Receita'!$A$8:$P$1000,16,FALSE),"")</f>
        <v/>
      </c>
    </row>
    <row r="574">
      <c r="A574" s="28">
        <f>IF(C574="","", "CR-"&amp;TEXT(ROW()-7,"000"))</f>
        <v/>
      </c>
      <c r="B574" s="28" t="n"/>
      <c r="C574" s="28" t="n"/>
      <c r="D574" s="111" t="n"/>
      <c r="E574" s="111" t="n"/>
      <c r="F574" s="111" t="n"/>
      <c r="G574" s="28" t="n"/>
      <c r="H574" s="45" t="n"/>
      <c r="I574" s="45" t="n"/>
      <c r="J574" s="28">
        <f>IF(H574="","",IF(I574&gt;=H574,"Recebido",IF($B$4&gt;E574,"Vencido","Aberto")))</f>
        <v/>
      </c>
      <c r="K574" s="4">
        <f>IF(J574="","",IF(OR(J574="Recebido",F574=""),MAX(0,F574-E574),MAX(0,$B$4-E574)))</f>
        <v/>
      </c>
      <c r="L574" s="4">
        <f>IF(K574="","",IF(K574=0,"Em dia",IF(K574&lt;=30,"1-30 dias",IF(K574&lt;=60,"31-60 dias",IF(K574&lt;=90,"61-90 dias","&gt;90 dias")))))</f>
        <v/>
      </c>
      <c r="M574" s="28" t="n"/>
      <c r="N574" s="104" t="inlineStr"/>
      <c r="O574" s="64" t="n"/>
      <c r="P574" s="64">
        <f>IF(C574="","",IF(ISNUMBER(SEARCH("PCMSO",C574)),"PCMSO",IF(OR(ISNUMBER(SEARCH("E-SOCIAL",C574)),ISNUMBER(SEARCH("PSICOSOCIAL",C574))),"eSocial / Psicossocial",IF(O574="Receita recorrente","Carteira recorrente","Projetos / Laudos / Avulsos"))))</f>
        <v/>
      </c>
      <c r="Q574" s="64">
        <f>IF(P574="","",IF(P574="Carteira recorrente","Operação recorrente",IF(P574="PCMSO","Projetos PCMSO",IF(P574="eSocial / Psicossocial","Projetos eSocial/Psicossocial","Projetos / Laudos / Avulsos"))))</f>
        <v/>
      </c>
      <c r="R574" s="64">
        <f>IF(C574="","",IF(ISNUMBER(SEARCH("PCMSO",C574)),"Título com PCMSO no nome",IF(OR(ISNUMBER(SEARCH("E-SOCIAL",C574)),ISNUMBER(SEARCH("PSICOSOCIAL",C574))),"Título com eSocial/Psicossocial no nome",IF(O574="Receita recorrente","Tipo DRE recorrente","Extra sem palavra-chave específica"))))</f>
        <v/>
      </c>
      <c r="S574" s="92">
        <f>IFERROR(VLOOKUP($A574,'13. Mapa Títulos-Receita'!$A$8:$P$1000,4,FALSE),"")</f>
        <v/>
      </c>
      <c r="T574" s="92">
        <f>IFERROR(VLOOKUP($A574,'13. Mapa Títulos-Receita'!$A$8:$P$1000,5,FALSE),"")</f>
        <v/>
      </c>
      <c r="U574" s="92">
        <f>IFERROR(VLOOKUP($A574,'13. Mapa Títulos-Receita'!$A$8:$P$1000,6,FALSE),"")</f>
        <v/>
      </c>
      <c r="V574" s="92">
        <f>IFERROR(VLOOKUP($A574,'13. Mapa Títulos-Receita'!$A$8:$P$1000,7,FALSE),"")</f>
        <v/>
      </c>
      <c r="W574" s="92">
        <f>IFERROR(VLOOKUP($A574,'13. Mapa Títulos-Receita'!$A$8:$P$1000,8,FALSE),"")</f>
        <v/>
      </c>
      <c r="X574" s="92">
        <f>IFERROR(VLOOKUP($A574,'13. Mapa Títulos-Receita'!$A$8:$P$1000,9,FALSE),"")</f>
        <v/>
      </c>
      <c r="Y574" s="92">
        <f>IFERROR(VLOOKUP($A574,'13. Mapa Títulos-Receita'!$A$8:$P$1000,10,FALSE),"")</f>
        <v/>
      </c>
      <c r="Z574" s="92">
        <f>IFERROR(VLOOKUP($A574,'13. Mapa Títulos-Receita'!$A$8:$P$1000,11,FALSE),"")</f>
        <v/>
      </c>
      <c r="AA574" s="92">
        <f>IFERROR(VLOOKUP($A574,'13. Mapa Títulos-Receita'!$A$8:$P$1000,12,FALSE),"")</f>
        <v/>
      </c>
      <c r="AB574" s="92">
        <f>IFERROR(VLOOKUP($A574,'13. Mapa Títulos-Receita'!$A$8:$P$1000,13,FALSE),"")</f>
        <v/>
      </c>
      <c r="AC574" s="92">
        <f>IFERROR(VLOOKUP($A574,'13. Mapa Títulos-Receita'!$A$8:$P$1000,14,FALSE),"")</f>
        <v/>
      </c>
      <c r="AD574" s="92">
        <f>IFERROR(VLOOKUP($A574,'13. Mapa Títulos-Receita'!$A$8:$P$1000,15,FALSE),"")</f>
        <v/>
      </c>
      <c r="AE574" s="92">
        <f>IFERROR(VLOOKUP($A574,'13. Mapa Títulos-Receita'!$A$8:$P$1000,16,FALSE),"")</f>
        <v/>
      </c>
    </row>
    <row r="575">
      <c r="A575" s="28">
        <f>IF(C575="","", "CR-"&amp;TEXT(ROW()-7,"000"))</f>
        <v/>
      </c>
      <c r="B575" s="28" t="n"/>
      <c r="C575" s="28" t="n"/>
      <c r="D575" s="111" t="n"/>
      <c r="E575" s="111" t="n"/>
      <c r="F575" s="111" t="n"/>
      <c r="G575" s="28" t="n"/>
      <c r="H575" s="45" t="n"/>
      <c r="I575" s="45" t="n"/>
      <c r="J575" s="28">
        <f>IF(H575="","",IF(I575&gt;=H575,"Recebido",IF($B$4&gt;E575,"Vencido","Aberto")))</f>
        <v/>
      </c>
      <c r="K575" s="4">
        <f>IF(J575="","",IF(OR(J575="Recebido",F575=""),MAX(0,F575-E575),MAX(0,$B$4-E575)))</f>
        <v/>
      </c>
      <c r="L575" s="4">
        <f>IF(K575="","",IF(K575=0,"Em dia",IF(K575&lt;=30,"1-30 dias",IF(K575&lt;=60,"31-60 dias",IF(K575&lt;=90,"61-90 dias","&gt;90 dias")))))</f>
        <v/>
      </c>
      <c r="M575" s="28" t="n"/>
      <c r="N575" s="104" t="inlineStr"/>
      <c r="O575" s="64" t="n"/>
      <c r="P575" s="64">
        <f>IF(C575="","",IF(ISNUMBER(SEARCH("PCMSO",C575)),"PCMSO",IF(OR(ISNUMBER(SEARCH("E-SOCIAL",C575)),ISNUMBER(SEARCH("PSICOSOCIAL",C575))),"eSocial / Psicossocial",IF(O575="Receita recorrente","Carteira recorrente","Projetos / Laudos / Avulsos"))))</f>
        <v/>
      </c>
      <c r="Q575" s="64">
        <f>IF(P575="","",IF(P575="Carteira recorrente","Operação recorrente",IF(P575="PCMSO","Projetos PCMSO",IF(P575="eSocial / Psicossocial","Projetos eSocial/Psicossocial","Projetos / Laudos / Avulsos"))))</f>
        <v/>
      </c>
      <c r="R575" s="64">
        <f>IF(C575="","",IF(ISNUMBER(SEARCH("PCMSO",C575)),"Título com PCMSO no nome",IF(OR(ISNUMBER(SEARCH("E-SOCIAL",C575)),ISNUMBER(SEARCH("PSICOSOCIAL",C575))),"Título com eSocial/Psicossocial no nome",IF(O575="Receita recorrente","Tipo DRE recorrente","Extra sem palavra-chave específica"))))</f>
        <v/>
      </c>
      <c r="S575" s="92">
        <f>IFERROR(VLOOKUP($A575,'13. Mapa Títulos-Receita'!$A$8:$P$1000,4,FALSE),"")</f>
        <v/>
      </c>
      <c r="T575" s="92">
        <f>IFERROR(VLOOKUP($A575,'13. Mapa Títulos-Receita'!$A$8:$P$1000,5,FALSE),"")</f>
        <v/>
      </c>
      <c r="U575" s="92">
        <f>IFERROR(VLOOKUP($A575,'13. Mapa Títulos-Receita'!$A$8:$P$1000,6,FALSE),"")</f>
        <v/>
      </c>
      <c r="V575" s="92">
        <f>IFERROR(VLOOKUP($A575,'13. Mapa Títulos-Receita'!$A$8:$P$1000,7,FALSE),"")</f>
        <v/>
      </c>
      <c r="W575" s="92">
        <f>IFERROR(VLOOKUP($A575,'13. Mapa Títulos-Receita'!$A$8:$P$1000,8,FALSE),"")</f>
        <v/>
      </c>
      <c r="X575" s="92">
        <f>IFERROR(VLOOKUP($A575,'13. Mapa Títulos-Receita'!$A$8:$P$1000,9,FALSE),"")</f>
        <v/>
      </c>
      <c r="Y575" s="92">
        <f>IFERROR(VLOOKUP($A575,'13. Mapa Títulos-Receita'!$A$8:$P$1000,10,FALSE),"")</f>
        <v/>
      </c>
      <c r="Z575" s="92">
        <f>IFERROR(VLOOKUP($A575,'13. Mapa Títulos-Receita'!$A$8:$P$1000,11,FALSE),"")</f>
        <v/>
      </c>
      <c r="AA575" s="92">
        <f>IFERROR(VLOOKUP($A575,'13. Mapa Títulos-Receita'!$A$8:$P$1000,12,FALSE),"")</f>
        <v/>
      </c>
      <c r="AB575" s="92">
        <f>IFERROR(VLOOKUP($A575,'13. Mapa Títulos-Receita'!$A$8:$P$1000,13,FALSE),"")</f>
        <v/>
      </c>
      <c r="AC575" s="92">
        <f>IFERROR(VLOOKUP($A575,'13. Mapa Títulos-Receita'!$A$8:$P$1000,14,FALSE),"")</f>
        <v/>
      </c>
      <c r="AD575" s="92">
        <f>IFERROR(VLOOKUP($A575,'13. Mapa Títulos-Receita'!$A$8:$P$1000,15,FALSE),"")</f>
        <v/>
      </c>
      <c r="AE575" s="92">
        <f>IFERROR(VLOOKUP($A575,'13. Mapa Títulos-Receita'!$A$8:$P$1000,16,FALSE),"")</f>
        <v/>
      </c>
    </row>
    <row r="576">
      <c r="A576" s="28">
        <f>IF(C576="","", "CR-"&amp;TEXT(ROW()-7,"000"))</f>
        <v/>
      </c>
      <c r="B576" s="28" t="n"/>
      <c r="C576" s="28" t="n"/>
      <c r="D576" s="111" t="n"/>
      <c r="E576" s="111" t="n"/>
      <c r="F576" s="111" t="n"/>
      <c r="G576" s="28" t="n"/>
      <c r="H576" s="45" t="n"/>
      <c r="I576" s="45" t="n"/>
      <c r="J576" s="28">
        <f>IF(H576="","",IF(I576&gt;=H576,"Recebido",IF($B$4&gt;E576,"Vencido","Aberto")))</f>
        <v/>
      </c>
      <c r="K576" s="4">
        <f>IF(J576="","",IF(OR(J576="Recebido",F576=""),MAX(0,F576-E576),MAX(0,$B$4-E576)))</f>
        <v/>
      </c>
      <c r="L576" s="4">
        <f>IF(K576="","",IF(K576=0,"Em dia",IF(K576&lt;=30,"1-30 dias",IF(K576&lt;=60,"31-60 dias",IF(K576&lt;=90,"61-90 dias","&gt;90 dias")))))</f>
        <v/>
      </c>
      <c r="M576" s="28" t="n"/>
      <c r="N576" s="104" t="inlineStr"/>
      <c r="O576" s="64" t="n"/>
      <c r="P576" s="64">
        <f>IF(C576="","",IF(ISNUMBER(SEARCH("PCMSO",C576)),"PCMSO",IF(OR(ISNUMBER(SEARCH("E-SOCIAL",C576)),ISNUMBER(SEARCH("PSICOSOCIAL",C576))),"eSocial / Psicossocial",IF(O576="Receita recorrente","Carteira recorrente","Projetos / Laudos / Avulsos"))))</f>
        <v/>
      </c>
      <c r="Q576" s="64">
        <f>IF(P576="","",IF(P576="Carteira recorrente","Operação recorrente",IF(P576="PCMSO","Projetos PCMSO",IF(P576="eSocial / Psicossocial","Projetos eSocial/Psicossocial","Projetos / Laudos / Avulsos"))))</f>
        <v/>
      </c>
      <c r="R576" s="64">
        <f>IF(C576="","",IF(ISNUMBER(SEARCH("PCMSO",C576)),"Título com PCMSO no nome",IF(OR(ISNUMBER(SEARCH("E-SOCIAL",C576)),ISNUMBER(SEARCH("PSICOSOCIAL",C576))),"Título com eSocial/Psicossocial no nome",IF(O576="Receita recorrente","Tipo DRE recorrente","Extra sem palavra-chave específica"))))</f>
        <v/>
      </c>
      <c r="S576" s="92">
        <f>IFERROR(VLOOKUP($A576,'13. Mapa Títulos-Receita'!$A$8:$P$1000,4,FALSE),"")</f>
        <v/>
      </c>
      <c r="T576" s="92">
        <f>IFERROR(VLOOKUP($A576,'13. Mapa Títulos-Receita'!$A$8:$P$1000,5,FALSE),"")</f>
        <v/>
      </c>
      <c r="U576" s="92">
        <f>IFERROR(VLOOKUP($A576,'13. Mapa Títulos-Receita'!$A$8:$P$1000,6,FALSE),"")</f>
        <v/>
      </c>
      <c r="V576" s="92">
        <f>IFERROR(VLOOKUP($A576,'13. Mapa Títulos-Receita'!$A$8:$P$1000,7,FALSE),"")</f>
        <v/>
      </c>
      <c r="W576" s="92">
        <f>IFERROR(VLOOKUP($A576,'13. Mapa Títulos-Receita'!$A$8:$P$1000,8,FALSE),"")</f>
        <v/>
      </c>
      <c r="X576" s="92">
        <f>IFERROR(VLOOKUP($A576,'13. Mapa Títulos-Receita'!$A$8:$P$1000,9,FALSE),"")</f>
        <v/>
      </c>
      <c r="Y576" s="92">
        <f>IFERROR(VLOOKUP($A576,'13. Mapa Títulos-Receita'!$A$8:$P$1000,10,FALSE),"")</f>
        <v/>
      </c>
      <c r="Z576" s="92">
        <f>IFERROR(VLOOKUP($A576,'13. Mapa Títulos-Receita'!$A$8:$P$1000,11,FALSE),"")</f>
        <v/>
      </c>
      <c r="AA576" s="92">
        <f>IFERROR(VLOOKUP($A576,'13. Mapa Títulos-Receita'!$A$8:$P$1000,12,FALSE),"")</f>
        <v/>
      </c>
      <c r="AB576" s="92">
        <f>IFERROR(VLOOKUP($A576,'13. Mapa Títulos-Receita'!$A$8:$P$1000,13,FALSE),"")</f>
        <v/>
      </c>
      <c r="AC576" s="92">
        <f>IFERROR(VLOOKUP($A576,'13. Mapa Títulos-Receita'!$A$8:$P$1000,14,FALSE),"")</f>
        <v/>
      </c>
      <c r="AD576" s="92">
        <f>IFERROR(VLOOKUP($A576,'13. Mapa Títulos-Receita'!$A$8:$P$1000,15,FALSE),"")</f>
        <v/>
      </c>
      <c r="AE576" s="92">
        <f>IFERROR(VLOOKUP($A576,'13. Mapa Títulos-Receita'!$A$8:$P$1000,16,FALSE),"")</f>
        <v/>
      </c>
    </row>
    <row r="577">
      <c r="A577" s="28">
        <f>IF(C577="","", "CR-"&amp;TEXT(ROW()-7,"000"))</f>
        <v/>
      </c>
      <c r="B577" s="28" t="n"/>
      <c r="C577" s="28" t="n"/>
      <c r="D577" s="111" t="n"/>
      <c r="E577" s="111" t="n"/>
      <c r="F577" s="111" t="n"/>
      <c r="G577" s="28" t="n"/>
      <c r="H577" s="45" t="n"/>
      <c r="I577" s="45" t="n"/>
      <c r="J577" s="28">
        <f>IF(H577="","",IF(I577&gt;=H577,"Recebido",IF($B$4&gt;E577,"Vencido","Aberto")))</f>
        <v/>
      </c>
      <c r="K577" s="4">
        <f>IF(J577="","",IF(OR(J577="Recebido",F577=""),MAX(0,F577-E577),MAX(0,$B$4-E577)))</f>
        <v/>
      </c>
      <c r="L577" s="4">
        <f>IF(K577="","",IF(K577=0,"Em dia",IF(K577&lt;=30,"1-30 dias",IF(K577&lt;=60,"31-60 dias",IF(K577&lt;=90,"61-90 dias","&gt;90 dias")))))</f>
        <v/>
      </c>
      <c r="M577" s="28" t="n"/>
      <c r="N577" s="104" t="inlineStr"/>
      <c r="O577" s="64" t="n"/>
      <c r="P577" s="64">
        <f>IF(C577="","",IF(ISNUMBER(SEARCH("PCMSO",C577)),"PCMSO",IF(OR(ISNUMBER(SEARCH("E-SOCIAL",C577)),ISNUMBER(SEARCH("PSICOSOCIAL",C577))),"eSocial / Psicossocial",IF(O577="Receita recorrente","Carteira recorrente","Projetos / Laudos / Avulsos"))))</f>
        <v/>
      </c>
      <c r="Q577" s="64">
        <f>IF(P577="","",IF(P577="Carteira recorrente","Operação recorrente",IF(P577="PCMSO","Projetos PCMSO",IF(P577="eSocial / Psicossocial","Projetos eSocial/Psicossocial","Projetos / Laudos / Avulsos"))))</f>
        <v/>
      </c>
      <c r="R577" s="64">
        <f>IF(C577="","",IF(ISNUMBER(SEARCH("PCMSO",C577)),"Título com PCMSO no nome",IF(OR(ISNUMBER(SEARCH("E-SOCIAL",C577)),ISNUMBER(SEARCH("PSICOSOCIAL",C577))),"Título com eSocial/Psicossocial no nome",IF(O577="Receita recorrente","Tipo DRE recorrente","Extra sem palavra-chave específica"))))</f>
        <v/>
      </c>
      <c r="S577" s="92">
        <f>IFERROR(VLOOKUP($A577,'13. Mapa Títulos-Receita'!$A$8:$P$1000,4,FALSE),"")</f>
        <v/>
      </c>
      <c r="T577" s="92">
        <f>IFERROR(VLOOKUP($A577,'13. Mapa Títulos-Receita'!$A$8:$P$1000,5,FALSE),"")</f>
        <v/>
      </c>
      <c r="U577" s="92">
        <f>IFERROR(VLOOKUP($A577,'13. Mapa Títulos-Receita'!$A$8:$P$1000,6,FALSE),"")</f>
        <v/>
      </c>
      <c r="V577" s="92">
        <f>IFERROR(VLOOKUP($A577,'13. Mapa Títulos-Receita'!$A$8:$P$1000,7,FALSE),"")</f>
        <v/>
      </c>
      <c r="W577" s="92">
        <f>IFERROR(VLOOKUP($A577,'13. Mapa Títulos-Receita'!$A$8:$P$1000,8,FALSE),"")</f>
        <v/>
      </c>
      <c r="X577" s="92">
        <f>IFERROR(VLOOKUP($A577,'13. Mapa Títulos-Receita'!$A$8:$P$1000,9,FALSE),"")</f>
        <v/>
      </c>
      <c r="Y577" s="92">
        <f>IFERROR(VLOOKUP($A577,'13. Mapa Títulos-Receita'!$A$8:$P$1000,10,FALSE),"")</f>
        <v/>
      </c>
      <c r="Z577" s="92">
        <f>IFERROR(VLOOKUP($A577,'13. Mapa Títulos-Receita'!$A$8:$P$1000,11,FALSE),"")</f>
        <v/>
      </c>
      <c r="AA577" s="92">
        <f>IFERROR(VLOOKUP($A577,'13. Mapa Títulos-Receita'!$A$8:$P$1000,12,FALSE),"")</f>
        <v/>
      </c>
      <c r="AB577" s="92">
        <f>IFERROR(VLOOKUP($A577,'13. Mapa Títulos-Receita'!$A$8:$P$1000,13,FALSE),"")</f>
        <v/>
      </c>
      <c r="AC577" s="92">
        <f>IFERROR(VLOOKUP($A577,'13. Mapa Títulos-Receita'!$A$8:$P$1000,14,FALSE),"")</f>
        <v/>
      </c>
      <c r="AD577" s="92">
        <f>IFERROR(VLOOKUP($A577,'13. Mapa Títulos-Receita'!$A$8:$P$1000,15,FALSE),"")</f>
        <v/>
      </c>
      <c r="AE577" s="92">
        <f>IFERROR(VLOOKUP($A577,'13. Mapa Títulos-Receita'!$A$8:$P$1000,16,FALSE),"")</f>
        <v/>
      </c>
    </row>
    <row r="578">
      <c r="A578" s="28">
        <f>IF(C578="","", "CR-"&amp;TEXT(ROW()-7,"000"))</f>
        <v/>
      </c>
      <c r="B578" s="28" t="n"/>
      <c r="C578" s="28" t="n"/>
      <c r="D578" s="111" t="n"/>
      <c r="E578" s="111" t="n"/>
      <c r="F578" s="111" t="n"/>
      <c r="G578" s="28" t="n"/>
      <c r="H578" s="45" t="n"/>
      <c r="I578" s="45" t="n"/>
      <c r="J578" s="28">
        <f>IF(H578="","",IF(I578&gt;=H578,"Recebido",IF($B$4&gt;E578,"Vencido","Aberto")))</f>
        <v/>
      </c>
      <c r="K578" s="4">
        <f>IF(J578="","",IF(OR(J578="Recebido",F578=""),MAX(0,F578-E578),MAX(0,$B$4-E578)))</f>
        <v/>
      </c>
      <c r="L578" s="4">
        <f>IF(K578="","",IF(K578=0,"Em dia",IF(K578&lt;=30,"1-30 dias",IF(K578&lt;=60,"31-60 dias",IF(K578&lt;=90,"61-90 dias","&gt;90 dias")))))</f>
        <v/>
      </c>
      <c r="M578" s="28" t="n"/>
      <c r="N578" s="104" t="inlineStr"/>
      <c r="O578" s="64" t="n"/>
      <c r="P578" s="64">
        <f>IF(C578="","",IF(ISNUMBER(SEARCH("PCMSO",C578)),"PCMSO",IF(OR(ISNUMBER(SEARCH("E-SOCIAL",C578)),ISNUMBER(SEARCH("PSICOSOCIAL",C578))),"eSocial / Psicossocial",IF(O578="Receita recorrente","Carteira recorrente","Projetos / Laudos / Avulsos"))))</f>
        <v/>
      </c>
      <c r="Q578" s="64">
        <f>IF(P578="","",IF(P578="Carteira recorrente","Operação recorrente",IF(P578="PCMSO","Projetos PCMSO",IF(P578="eSocial / Psicossocial","Projetos eSocial/Psicossocial","Projetos / Laudos / Avulsos"))))</f>
        <v/>
      </c>
      <c r="R578" s="64">
        <f>IF(C578="","",IF(ISNUMBER(SEARCH("PCMSO",C578)),"Título com PCMSO no nome",IF(OR(ISNUMBER(SEARCH("E-SOCIAL",C578)),ISNUMBER(SEARCH("PSICOSOCIAL",C578))),"Título com eSocial/Psicossocial no nome",IF(O578="Receita recorrente","Tipo DRE recorrente","Extra sem palavra-chave específica"))))</f>
        <v/>
      </c>
      <c r="S578" s="92">
        <f>IFERROR(VLOOKUP($A578,'13. Mapa Títulos-Receita'!$A$8:$P$1000,4,FALSE),"")</f>
        <v/>
      </c>
      <c r="T578" s="92">
        <f>IFERROR(VLOOKUP($A578,'13. Mapa Títulos-Receita'!$A$8:$P$1000,5,FALSE),"")</f>
        <v/>
      </c>
      <c r="U578" s="92">
        <f>IFERROR(VLOOKUP($A578,'13. Mapa Títulos-Receita'!$A$8:$P$1000,6,FALSE),"")</f>
        <v/>
      </c>
      <c r="V578" s="92">
        <f>IFERROR(VLOOKUP($A578,'13. Mapa Títulos-Receita'!$A$8:$P$1000,7,FALSE),"")</f>
        <v/>
      </c>
      <c r="W578" s="92">
        <f>IFERROR(VLOOKUP($A578,'13. Mapa Títulos-Receita'!$A$8:$P$1000,8,FALSE),"")</f>
        <v/>
      </c>
      <c r="X578" s="92">
        <f>IFERROR(VLOOKUP($A578,'13. Mapa Títulos-Receita'!$A$8:$P$1000,9,FALSE),"")</f>
        <v/>
      </c>
      <c r="Y578" s="92">
        <f>IFERROR(VLOOKUP($A578,'13. Mapa Títulos-Receita'!$A$8:$P$1000,10,FALSE),"")</f>
        <v/>
      </c>
      <c r="Z578" s="92">
        <f>IFERROR(VLOOKUP($A578,'13. Mapa Títulos-Receita'!$A$8:$P$1000,11,FALSE),"")</f>
        <v/>
      </c>
      <c r="AA578" s="92">
        <f>IFERROR(VLOOKUP($A578,'13. Mapa Títulos-Receita'!$A$8:$P$1000,12,FALSE),"")</f>
        <v/>
      </c>
      <c r="AB578" s="92">
        <f>IFERROR(VLOOKUP($A578,'13. Mapa Títulos-Receita'!$A$8:$P$1000,13,FALSE),"")</f>
        <v/>
      </c>
      <c r="AC578" s="92">
        <f>IFERROR(VLOOKUP($A578,'13. Mapa Títulos-Receita'!$A$8:$P$1000,14,FALSE),"")</f>
        <v/>
      </c>
      <c r="AD578" s="92">
        <f>IFERROR(VLOOKUP($A578,'13. Mapa Títulos-Receita'!$A$8:$P$1000,15,FALSE),"")</f>
        <v/>
      </c>
      <c r="AE578" s="92">
        <f>IFERROR(VLOOKUP($A578,'13. Mapa Títulos-Receita'!$A$8:$P$1000,16,FALSE),"")</f>
        <v/>
      </c>
    </row>
    <row r="579">
      <c r="A579" s="28">
        <f>IF(C579="","", "CR-"&amp;TEXT(ROW()-7,"000"))</f>
        <v/>
      </c>
      <c r="B579" s="28" t="n"/>
      <c r="C579" s="28" t="n"/>
      <c r="D579" s="111" t="n"/>
      <c r="E579" s="111" t="n"/>
      <c r="F579" s="111" t="n"/>
      <c r="G579" s="28" t="n"/>
      <c r="H579" s="45" t="n"/>
      <c r="I579" s="45" t="n"/>
      <c r="J579" s="28">
        <f>IF(H579="","",IF(I579&gt;=H579,"Recebido",IF($B$4&gt;E579,"Vencido","Aberto")))</f>
        <v/>
      </c>
      <c r="K579" s="4">
        <f>IF(J579="","",IF(OR(J579="Recebido",F579=""),MAX(0,F579-E579),MAX(0,$B$4-E579)))</f>
        <v/>
      </c>
      <c r="L579" s="4">
        <f>IF(K579="","",IF(K579=0,"Em dia",IF(K579&lt;=30,"1-30 dias",IF(K579&lt;=60,"31-60 dias",IF(K579&lt;=90,"61-90 dias","&gt;90 dias")))))</f>
        <v/>
      </c>
      <c r="M579" s="28" t="n"/>
      <c r="N579" s="104" t="inlineStr"/>
      <c r="O579" s="64" t="n"/>
      <c r="P579" s="64">
        <f>IF(C579="","",IF(ISNUMBER(SEARCH("PCMSO",C579)),"PCMSO",IF(OR(ISNUMBER(SEARCH("E-SOCIAL",C579)),ISNUMBER(SEARCH("PSICOSOCIAL",C579))),"eSocial / Psicossocial",IF(O579="Receita recorrente","Carteira recorrente","Projetos / Laudos / Avulsos"))))</f>
        <v/>
      </c>
      <c r="Q579" s="64">
        <f>IF(P579="","",IF(P579="Carteira recorrente","Operação recorrente",IF(P579="PCMSO","Projetos PCMSO",IF(P579="eSocial / Psicossocial","Projetos eSocial/Psicossocial","Projetos / Laudos / Avulsos"))))</f>
        <v/>
      </c>
      <c r="R579" s="64">
        <f>IF(C579="","",IF(ISNUMBER(SEARCH("PCMSO",C579)),"Título com PCMSO no nome",IF(OR(ISNUMBER(SEARCH("E-SOCIAL",C579)),ISNUMBER(SEARCH("PSICOSOCIAL",C579))),"Título com eSocial/Psicossocial no nome",IF(O579="Receita recorrente","Tipo DRE recorrente","Extra sem palavra-chave específica"))))</f>
        <v/>
      </c>
      <c r="S579" s="92">
        <f>IFERROR(VLOOKUP($A579,'13. Mapa Títulos-Receita'!$A$8:$P$1000,4,FALSE),"")</f>
        <v/>
      </c>
      <c r="T579" s="92">
        <f>IFERROR(VLOOKUP($A579,'13. Mapa Títulos-Receita'!$A$8:$P$1000,5,FALSE),"")</f>
        <v/>
      </c>
      <c r="U579" s="92">
        <f>IFERROR(VLOOKUP($A579,'13. Mapa Títulos-Receita'!$A$8:$P$1000,6,FALSE),"")</f>
        <v/>
      </c>
      <c r="V579" s="92">
        <f>IFERROR(VLOOKUP($A579,'13. Mapa Títulos-Receita'!$A$8:$P$1000,7,FALSE),"")</f>
        <v/>
      </c>
      <c r="W579" s="92">
        <f>IFERROR(VLOOKUP($A579,'13. Mapa Títulos-Receita'!$A$8:$P$1000,8,FALSE),"")</f>
        <v/>
      </c>
      <c r="X579" s="92">
        <f>IFERROR(VLOOKUP($A579,'13. Mapa Títulos-Receita'!$A$8:$P$1000,9,FALSE),"")</f>
        <v/>
      </c>
      <c r="Y579" s="92">
        <f>IFERROR(VLOOKUP($A579,'13. Mapa Títulos-Receita'!$A$8:$P$1000,10,FALSE),"")</f>
        <v/>
      </c>
      <c r="Z579" s="92">
        <f>IFERROR(VLOOKUP($A579,'13. Mapa Títulos-Receita'!$A$8:$P$1000,11,FALSE),"")</f>
        <v/>
      </c>
      <c r="AA579" s="92">
        <f>IFERROR(VLOOKUP($A579,'13. Mapa Títulos-Receita'!$A$8:$P$1000,12,FALSE),"")</f>
        <v/>
      </c>
      <c r="AB579" s="92">
        <f>IFERROR(VLOOKUP($A579,'13. Mapa Títulos-Receita'!$A$8:$P$1000,13,FALSE),"")</f>
        <v/>
      </c>
      <c r="AC579" s="92">
        <f>IFERROR(VLOOKUP($A579,'13. Mapa Títulos-Receita'!$A$8:$P$1000,14,FALSE),"")</f>
        <v/>
      </c>
      <c r="AD579" s="92">
        <f>IFERROR(VLOOKUP($A579,'13. Mapa Títulos-Receita'!$A$8:$P$1000,15,FALSE),"")</f>
        <v/>
      </c>
      <c r="AE579" s="92">
        <f>IFERROR(VLOOKUP($A579,'13. Mapa Títulos-Receita'!$A$8:$P$1000,16,FALSE),"")</f>
        <v/>
      </c>
    </row>
    <row r="580">
      <c r="A580" s="28">
        <f>IF(C580="","", "CR-"&amp;TEXT(ROW()-7,"000"))</f>
        <v/>
      </c>
      <c r="B580" s="28" t="n"/>
      <c r="C580" s="28" t="n"/>
      <c r="D580" s="111" t="n"/>
      <c r="E580" s="111" t="n"/>
      <c r="F580" s="111" t="n"/>
      <c r="G580" s="28" t="n"/>
      <c r="H580" s="45" t="n"/>
      <c r="I580" s="45" t="n"/>
      <c r="J580" s="28">
        <f>IF(H580="","",IF(I580&gt;=H580,"Recebido",IF($B$4&gt;E580,"Vencido","Aberto")))</f>
        <v/>
      </c>
      <c r="K580" s="4">
        <f>IF(J580="","",IF(OR(J580="Recebido",F580=""),MAX(0,F580-E580),MAX(0,$B$4-E580)))</f>
        <v/>
      </c>
      <c r="L580" s="4">
        <f>IF(K580="","",IF(K580=0,"Em dia",IF(K580&lt;=30,"1-30 dias",IF(K580&lt;=60,"31-60 dias",IF(K580&lt;=90,"61-90 dias","&gt;90 dias")))))</f>
        <v/>
      </c>
      <c r="M580" s="28" t="n"/>
      <c r="N580" s="104" t="inlineStr"/>
      <c r="O580" s="64" t="n"/>
      <c r="P580" s="64">
        <f>IF(C580="","",IF(ISNUMBER(SEARCH("PCMSO",C580)),"PCMSO",IF(OR(ISNUMBER(SEARCH("E-SOCIAL",C580)),ISNUMBER(SEARCH("PSICOSOCIAL",C580))),"eSocial / Psicossocial",IF(O580="Receita recorrente","Carteira recorrente","Projetos / Laudos / Avulsos"))))</f>
        <v/>
      </c>
      <c r="Q580" s="64">
        <f>IF(P580="","",IF(P580="Carteira recorrente","Operação recorrente",IF(P580="PCMSO","Projetos PCMSO",IF(P580="eSocial / Psicossocial","Projetos eSocial/Psicossocial","Projetos / Laudos / Avulsos"))))</f>
        <v/>
      </c>
      <c r="R580" s="64">
        <f>IF(C580="","",IF(ISNUMBER(SEARCH("PCMSO",C580)),"Título com PCMSO no nome",IF(OR(ISNUMBER(SEARCH("E-SOCIAL",C580)),ISNUMBER(SEARCH("PSICOSOCIAL",C580))),"Título com eSocial/Psicossocial no nome",IF(O580="Receita recorrente","Tipo DRE recorrente","Extra sem palavra-chave específica"))))</f>
        <v/>
      </c>
      <c r="S580" s="92">
        <f>IFERROR(VLOOKUP($A580,'13. Mapa Títulos-Receita'!$A$8:$P$1000,4,FALSE),"")</f>
        <v/>
      </c>
      <c r="T580" s="92">
        <f>IFERROR(VLOOKUP($A580,'13. Mapa Títulos-Receita'!$A$8:$P$1000,5,FALSE),"")</f>
        <v/>
      </c>
      <c r="U580" s="92">
        <f>IFERROR(VLOOKUP($A580,'13. Mapa Títulos-Receita'!$A$8:$P$1000,6,FALSE),"")</f>
        <v/>
      </c>
      <c r="V580" s="92">
        <f>IFERROR(VLOOKUP($A580,'13. Mapa Títulos-Receita'!$A$8:$P$1000,7,FALSE),"")</f>
        <v/>
      </c>
      <c r="W580" s="92">
        <f>IFERROR(VLOOKUP($A580,'13. Mapa Títulos-Receita'!$A$8:$P$1000,8,FALSE),"")</f>
        <v/>
      </c>
      <c r="X580" s="92">
        <f>IFERROR(VLOOKUP($A580,'13. Mapa Títulos-Receita'!$A$8:$P$1000,9,FALSE),"")</f>
        <v/>
      </c>
      <c r="Y580" s="92">
        <f>IFERROR(VLOOKUP($A580,'13. Mapa Títulos-Receita'!$A$8:$P$1000,10,FALSE),"")</f>
        <v/>
      </c>
      <c r="Z580" s="92">
        <f>IFERROR(VLOOKUP($A580,'13. Mapa Títulos-Receita'!$A$8:$P$1000,11,FALSE),"")</f>
        <v/>
      </c>
      <c r="AA580" s="92">
        <f>IFERROR(VLOOKUP($A580,'13. Mapa Títulos-Receita'!$A$8:$P$1000,12,FALSE),"")</f>
        <v/>
      </c>
      <c r="AB580" s="92">
        <f>IFERROR(VLOOKUP($A580,'13. Mapa Títulos-Receita'!$A$8:$P$1000,13,FALSE),"")</f>
        <v/>
      </c>
      <c r="AC580" s="92">
        <f>IFERROR(VLOOKUP($A580,'13. Mapa Títulos-Receita'!$A$8:$P$1000,14,FALSE),"")</f>
        <v/>
      </c>
      <c r="AD580" s="92">
        <f>IFERROR(VLOOKUP($A580,'13. Mapa Títulos-Receita'!$A$8:$P$1000,15,FALSE),"")</f>
        <v/>
      </c>
      <c r="AE580" s="92">
        <f>IFERROR(VLOOKUP($A580,'13. Mapa Títulos-Receita'!$A$8:$P$1000,16,FALSE),"")</f>
        <v/>
      </c>
    </row>
    <row r="581">
      <c r="A581" s="28">
        <f>IF(C581="","", "CR-"&amp;TEXT(ROW()-7,"000"))</f>
        <v/>
      </c>
      <c r="B581" s="28" t="n"/>
      <c r="C581" s="28" t="n"/>
      <c r="D581" s="111" t="n"/>
      <c r="E581" s="111" t="n"/>
      <c r="F581" s="111" t="n"/>
      <c r="G581" s="28" t="n"/>
      <c r="H581" s="45" t="n"/>
      <c r="I581" s="45" t="n"/>
      <c r="J581" s="28">
        <f>IF(H581="","",IF(I581&gt;=H581,"Recebido",IF($B$4&gt;E581,"Vencido","Aberto")))</f>
        <v/>
      </c>
      <c r="K581" s="4">
        <f>IF(J581="","",IF(OR(J581="Recebido",F581=""),MAX(0,F581-E581),MAX(0,$B$4-E581)))</f>
        <v/>
      </c>
      <c r="L581" s="4">
        <f>IF(K581="","",IF(K581=0,"Em dia",IF(K581&lt;=30,"1-30 dias",IF(K581&lt;=60,"31-60 dias",IF(K581&lt;=90,"61-90 dias","&gt;90 dias")))))</f>
        <v/>
      </c>
      <c r="M581" s="28" t="n"/>
      <c r="N581" s="104" t="inlineStr"/>
      <c r="O581" s="64" t="n"/>
      <c r="P581" s="64">
        <f>IF(C581="","",IF(ISNUMBER(SEARCH("PCMSO",C581)),"PCMSO",IF(OR(ISNUMBER(SEARCH("E-SOCIAL",C581)),ISNUMBER(SEARCH("PSICOSOCIAL",C581))),"eSocial / Psicossocial",IF(O581="Receita recorrente","Carteira recorrente","Projetos / Laudos / Avulsos"))))</f>
        <v/>
      </c>
      <c r="Q581" s="64">
        <f>IF(P581="","",IF(P581="Carteira recorrente","Operação recorrente",IF(P581="PCMSO","Projetos PCMSO",IF(P581="eSocial / Psicossocial","Projetos eSocial/Psicossocial","Projetos / Laudos / Avulsos"))))</f>
        <v/>
      </c>
      <c r="R581" s="64">
        <f>IF(C581="","",IF(ISNUMBER(SEARCH("PCMSO",C581)),"Título com PCMSO no nome",IF(OR(ISNUMBER(SEARCH("E-SOCIAL",C581)),ISNUMBER(SEARCH("PSICOSOCIAL",C581))),"Título com eSocial/Psicossocial no nome",IF(O581="Receita recorrente","Tipo DRE recorrente","Extra sem palavra-chave específica"))))</f>
        <v/>
      </c>
      <c r="S581" s="92">
        <f>IFERROR(VLOOKUP($A581,'13. Mapa Títulos-Receita'!$A$8:$P$1000,4,FALSE),"")</f>
        <v/>
      </c>
      <c r="T581" s="92">
        <f>IFERROR(VLOOKUP($A581,'13. Mapa Títulos-Receita'!$A$8:$P$1000,5,FALSE),"")</f>
        <v/>
      </c>
      <c r="U581" s="92">
        <f>IFERROR(VLOOKUP($A581,'13. Mapa Títulos-Receita'!$A$8:$P$1000,6,FALSE),"")</f>
        <v/>
      </c>
      <c r="V581" s="92">
        <f>IFERROR(VLOOKUP($A581,'13. Mapa Títulos-Receita'!$A$8:$P$1000,7,FALSE),"")</f>
        <v/>
      </c>
      <c r="W581" s="92">
        <f>IFERROR(VLOOKUP($A581,'13. Mapa Títulos-Receita'!$A$8:$P$1000,8,FALSE),"")</f>
        <v/>
      </c>
      <c r="X581" s="92">
        <f>IFERROR(VLOOKUP($A581,'13. Mapa Títulos-Receita'!$A$8:$P$1000,9,FALSE),"")</f>
        <v/>
      </c>
      <c r="Y581" s="92">
        <f>IFERROR(VLOOKUP($A581,'13. Mapa Títulos-Receita'!$A$8:$P$1000,10,FALSE),"")</f>
        <v/>
      </c>
      <c r="Z581" s="92">
        <f>IFERROR(VLOOKUP($A581,'13. Mapa Títulos-Receita'!$A$8:$P$1000,11,FALSE),"")</f>
        <v/>
      </c>
      <c r="AA581" s="92">
        <f>IFERROR(VLOOKUP($A581,'13. Mapa Títulos-Receita'!$A$8:$P$1000,12,FALSE),"")</f>
        <v/>
      </c>
      <c r="AB581" s="92">
        <f>IFERROR(VLOOKUP($A581,'13. Mapa Títulos-Receita'!$A$8:$P$1000,13,FALSE),"")</f>
        <v/>
      </c>
      <c r="AC581" s="92">
        <f>IFERROR(VLOOKUP($A581,'13. Mapa Títulos-Receita'!$A$8:$P$1000,14,FALSE),"")</f>
        <v/>
      </c>
      <c r="AD581" s="92">
        <f>IFERROR(VLOOKUP($A581,'13. Mapa Títulos-Receita'!$A$8:$P$1000,15,FALSE),"")</f>
        <v/>
      </c>
      <c r="AE581" s="92">
        <f>IFERROR(VLOOKUP($A581,'13. Mapa Títulos-Receita'!$A$8:$P$1000,16,FALSE),"")</f>
        <v/>
      </c>
    </row>
    <row r="582">
      <c r="A582" s="28">
        <f>IF(C582="","", "CR-"&amp;TEXT(ROW()-7,"000"))</f>
        <v/>
      </c>
      <c r="B582" s="28" t="n"/>
      <c r="C582" s="28" t="n"/>
      <c r="D582" s="111" t="n"/>
      <c r="E582" s="111" t="n"/>
      <c r="F582" s="111" t="n"/>
      <c r="G582" s="28" t="n"/>
      <c r="H582" s="45" t="n"/>
      <c r="I582" s="45" t="n"/>
      <c r="J582" s="28">
        <f>IF(H582="","",IF(I582&gt;=H582,"Recebido",IF($B$4&gt;E582,"Vencido","Aberto")))</f>
        <v/>
      </c>
      <c r="K582" s="4">
        <f>IF(J582="","",IF(OR(J582="Recebido",F582=""),MAX(0,F582-E582),MAX(0,$B$4-E582)))</f>
        <v/>
      </c>
      <c r="L582" s="4">
        <f>IF(K582="","",IF(K582=0,"Em dia",IF(K582&lt;=30,"1-30 dias",IF(K582&lt;=60,"31-60 dias",IF(K582&lt;=90,"61-90 dias","&gt;90 dias")))))</f>
        <v/>
      </c>
      <c r="M582" s="28" t="n"/>
      <c r="N582" s="104" t="inlineStr"/>
      <c r="O582" s="64" t="n"/>
      <c r="P582" s="64">
        <f>IF(C582="","",IF(ISNUMBER(SEARCH("PCMSO",C582)),"PCMSO",IF(OR(ISNUMBER(SEARCH("E-SOCIAL",C582)),ISNUMBER(SEARCH("PSICOSOCIAL",C582))),"eSocial / Psicossocial",IF(O582="Receita recorrente","Carteira recorrente","Projetos / Laudos / Avulsos"))))</f>
        <v/>
      </c>
      <c r="Q582" s="64">
        <f>IF(P582="","",IF(P582="Carteira recorrente","Operação recorrente",IF(P582="PCMSO","Projetos PCMSO",IF(P582="eSocial / Psicossocial","Projetos eSocial/Psicossocial","Projetos / Laudos / Avulsos"))))</f>
        <v/>
      </c>
      <c r="R582" s="64">
        <f>IF(C582="","",IF(ISNUMBER(SEARCH("PCMSO",C582)),"Título com PCMSO no nome",IF(OR(ISNUMBER(SEARCH("E-SOCIAL",C582)),ISNUMBER(SEARCH("PSICOSOCIAL",C582))),"Título com eSocial/Psicossocial no nome",IF(O582="Receita recorrente","Tipo DRE recorrente","Extra sem palavra-chave específica"))))</f>
        <v/>
      </c>
      <c r="S582" s="92">
        <f>IFERROR(VLOOKUP($A582,'13. Mapa Títulos-Receita'!$A$8:$P$1000,4,FALSE),"")</f>
        <v/>
      </c>
      <c r="T582" s="92">
        <f>IFERROR(VLOOKUP($A582,'13. Mapa Títulos-Receita'!$A$8:$P$1000,5,FALSE),"")</f>
        <v/>
      </c>
      <c r="U582" s="92">
        <f>IFERROR(VLOOKUP($A582,'13. Mapa Títulos-Receita'!$A$8:$P$1000,6,FALSE),"")</f>
        <v/>
      </c>
      <c r="V582" s="92">
        <f>IFERROR(VLOOKUP($A582,'13. Mapa Títulos-Receita'!$A$8:$P$1000,7,FALSE),"")</f>
        <v/>
      </c>
      <c r="W582" s="92">
        <f>IFERROR(VLOOKUP($A582,'13. Mapa Títulos-Receita'!$A$8:$P$1000,8,FALSE),"")</f>
        <v/>
      </c>
      <c r="X582" s="92">
        <f>IFERROR(VLOOKUP($A582,'13. Mapa Títulos-Receita'!$A$8:$P$1000,9,FALSE),"")</f>
        <v/>
      </c>
      <c r="Y582" s="92">
        <f>IFERROR(VLOOKUP($A582,'13. Mapa Títulos-Receita'!$A$8:$P$1000,10,FALSE),"")</f>
        <v/>
      </c>
      <c r="Z582" s="92">
        <f>IFERROR(VLOOKUP($A582,'13. Mapa Títulos-Receita'!$A$8:$P$1000,11,FALSE),"")</f>
        <v/>
      </c>
      <c r="AA582" s="92">
        <f>IFERROR(VLOOKUP($A582,'13. Mapa Títulos-Receita'!$A$8:$P$1000,12,FALSE),"")</f>
        <v/>
      </c>
      <c r="AB582" s="92">
        <f>IFERROR(VLOOKUP($A582,'13. Mapa Títulos-Receita'!$A$8:$P$1000,13,FALSE),"")</f>
        <v/>
      </c>
      <c r="AC582" s="92">
        <f>IFERROR(VLOOKUP($A582,'13. Mapa Títulos-Receita'!$A$8:$P$1000,14,FALSE),"")</f>
        <v/>
      </c>
      <c r="AD582" s="92">
        <f>IFERROR(VLOOKUP($A582,'13. Mapa Títulos-Receita'!$A$8:$P$1000,15,FALSE),"")</f>
        <v/>
      </c>
      <c r="AE582" s="92">
        <f>IFERROR(VLOOKUP($A582,'13. Mapa Títulos-Receita'!$A$8:$P$1000,16,FALSE),"")</f>
        <v/>
      </c>
    </row>
    <row r="583">
      <c r="A583" s="28">
        <f>IF(C583="","", "CR-"&amp;TEXT(ROW()-7,"000"))</f>
        <v/>
      </c>
      <c r="B583" s="28" t="n"/>
      <c r="C583" s="28" t="n"/>
      <c r="D583" s="111" t="n"/>
      <c r="E583" s="111" t="n"/>
      <c r="F583" s="111" t="n"/>
      <c r="G583" s="28" t="n"/>
      <c r="H583" s="45" t="n"/>
      <c r="I583" s="45" t="n"/>
      <c r="J583" s="28">
        <f>IF(H583="","",IF(I583&gt;=H583,"Recebido",IF($B$4&gt;E583,"Vencido","Aberto")))</f>
        <v/>
      </c>
      <c r="K583" s="4">
        <f>IF(J583="","",IF(OR(J583="Recebido",F583=""),MAX(0,F583-E583),MAX(0,$B$4-E583)))</f>
        <v/>
      </c>
      <c r="L583" s="4">
        <f>IF(K583="","",IF(K583=0,"Em dia",IF(K583&lt;=30,"1-30 dias",IF(K583&lt;=60,"31-60 dias",IF(K583&lt;=90,"61-90 dias","&gt;90 dias")))))</f>
        <v/>
      </c>
      <c r="M583" s="28" t="n"/>
      <c r="N583" s="104" t="inlineStr"/>
      <c r="O583" s="64" t="n"/>
      <c r="P583" s="64">
        <f>IF(C583="","",IF(ISNUMBER(SEARCH("PCMSO",C583)),"PCMSO",IF(OR(ISNUMBER(SEARCH("E-SOCIAL",C583)),ISNUMBER(SEARCH("PSICOSOCIAL",C583))),"eSocial / Psicossocial",IF(O583="Receita recorrente","Carteira recorrente","Projetos / Laudos / Avulsos"))))</f>
        <v/>
      </c>
      <c r="Q583" s="64">
        <f>IF(P583="","",IF(P583="Carteira recorrente","Operação recorrente",IF(P583="PCMSO","Projetos PCMSO",IF(P583="eSocial / Psicossocial","Projetos eSocial/Psicossocial","Projetos / Laudos / Avulsos"))))</f>
        <v/>
      </c>
      <c r="R583" s="64">
        <f>IF(C583="","",IF(ISNUMBER(SEARCH("PCMSO",C583)),"Título com PCMSO no nome",IF(OR(ISNUMBER(SEARCH("E-SOCIAL",C583)),ISNUMBER(SEARCH("PSICOSOCIAL",C583))),"Título com eSocial/Psicossocial no nome",IF(O583="Receita recorrente","Tipo DRE recorrente","Extra sem palavra-chave específica"))))</f>
        <v/>
      </c>
      <c r="S583" s="92">
        <f>IFERROR(VLOOKUP($A583,'13. Mapa Títulos-Receita'!$A$8:$P$1000,4,FALSE),"")</f>
        <v/>
      </c>
      <c r="T583" s="92">
        <f>IFERROR(VLOOKUP($A583,'13. Mapa Títulos-Receita'!$A$8:$P$1000,5,FALSE),"")</f>
        <v/>
      </c>
      <c r="U583" s="92">
        <f>IFERROR(VLOOKUP($A583,'13. Mapa Títulos-Receita'!$A$8:$P$1000,6,FALSE),"")</f>
        <v/>
      </c>
      <c r="V583" s="92">
        <f>IFERROR(VLOOKUP($A583,'13. Mapa Títulos-Receita'!$A$8:$P$1000,7,FALSE),"")</f>
        <v/>
      </c>
      <c r="W583" s="92">
        <f>IFERROR(VLOOKUP($A583,'13. Mapa Títulos-Receita'!$A$8:$P$1000,8,FALSE),"")</f>
        <v/>
      </c>
      <c r="X583" s="92">
        <f>IFERROR(VLOOKUP($A583,'13. Mapa Títulos-Receita'!$A$8:$P$1000,9,FALSE),"")</f>
        <v/>
      </c>
      <c r="Y583" s="92">
        <f>IFERROR(VLOOKUP($A583,'13. Mapa Títulos-Receita'!$A$8:$P$1000,10,FALSE),"")</f>
        <v/>
      </c>
      <c r="Z583" s="92">
        <f>IFERROR(VLOOKUP($A583,'13. Mapa Títulos-Receita'!$A$8:$P$1000,11,FALSE),"")</f>
        <v/>
      </c>
      <c r="AA583" s="92">
        <f>IFERROR(VLOOKUP($A583,'13. Mapa Títulos-Receita'!$A$8:$P$1000,12,FALSE),"")</f>
        <v/>
      </c>
      <c r="AB583" s="92">
        <f>IFERROR(VLOOKUP($A583,'13. Mapa Títulos-Receita'!$A$8:$P$1000,13,FALSE),"")</f>
        <v/>
      </c>
      <c r="AC583" s="92">
        <f>IFERROR(VLOOKUP($A583,'13. Mapa Títulos-Receita'!$A$8:$P$1000,14,FALSE),"")</f>
        <v/>
      </c>
      <c r="AD583" s="92">
        <f>IFERROR(VLOOKUP($A583,'13. Mapa Títulos-Receita'!$A$8:$P$1000,15,FALSE),"")</f>
        <v/>
      </c>
      <c r="AE583" s="92">
        <f>IFERROR(VLOOKUP($A583,'13. Mapa Títulos-Receita'!$A$8:$P$1000,16,FALSE),"")</f>
        <v/>
      </c>
    </row>
    <row r="584">
      <c r="A584" s="28">
        <f>IF(C584="","", "CR-"&amp;TEXT(ROW()-7,"000"))</f>
        <v/>
      </c>
      <c r="B584" s="28" t="n"/>
      <c r="C584" s="28" t="n"/>
      <c r="D584" s="111" t="n"/>
      <c r="E584" s="111" t="n"/>
      <c r="F584" s="111" t="n"/>
      <c r="G584" s="28" t="n"/>
      <c r="H584" s="45" t="n"/>
      <c r="I584" s="45" t="n"/>
      <c r="J584" s="28">
        <f>IF(H584="","",IF(I584&gt;=H584,"Recebido",IF($B$4&gt;E584,"Vencido","Aberto")))</f>
        <v/>
      </c>
      <c r="K584" s="4">
        <f>IF(J584="","",IF(OR(J584="Recebido",F584=""),MAX(0,F584-E584),MAX(0,$B$4-E584)))</f>
        <v/>
      </c>
      <c r="L584" s="4">
        <f>IF(K584="","",IF(K584=0,"Em dia",IF(K584&lt;=30,"1-30 dias",IF(K584&lt;=60,"31-60 dias",IF(K584&lt;=90,"61-90 dias","&gt;90 dias")))))</f>
        <v/>
      </c>
      <c r="M584" s="28" t="n"/>
      <c r="N584" s="104" t="inlineStr"/>
      <c r="O584" s="64" t="n"/>
      <c r="P584" s="64">
        <f>IF(C584="","",IF(ISNUMBER(SEARCH("PCMSO",C584)),"PCMSO",IF(OR(ISNUMBER(SEARCH("E-SOCIAL",C584)),ISNUMBER(SEARCH("PSICOSOCIAL",C584))),"eSocial / Psicossocial",IF(O584="Receita recorrente","Carteira recorrente","Projetos / Laudos / Avulsos"))))</f>
        <v/>
      </c>
      <c r="Q584" s="64">
        <f>IF(P584="","",IF(P584="Carteira recorrente","Operação recorrente",IF(P584="PCMSO","Projetos PCMSO",IF(P584="eSocial / Psicossocial","Projetos eSocial/Psicossocial","Projetos / Laudos / Avulsos"))))</f>
        <v/>
      </c>
      <c r="R584" s="64">
        <f>IF(C584="","",IF(ISNUMBER(SEARCH("PCMSO",C584)),"Título com PCMSO no nome",IF(OR(ISNUMBER(SEARCH("E-SOCIAL",C584)),ISNUMBER(SEARCH("PSICOSOCIAL",C584))),"Título com eSocial/Psicossocial no nome",IF(O584="Receita recorrente","Tipo DRE recorrente","Extra sem palavra-chave específica"))))</f>
        <v/>
      </c>
      <c r="S584" s="92">
        <f>IFERROR(VLOOKUP($A584,'13. Mapa Títulos-Receita'!$A$8:$P$1000,4,FALSE),"")</f>
        <v/>
      </c>
      <c r="T584" s="92">
        <f>IFERROR(VLOOKUP($A584,'13. Mapa Títulos-Receita'!$A$8:$P$1000,5,FALSE),"")</f>
        <v/>
      </c>
      <c r="U584" s="92">
        <f>IFERROR(VLOOKUP($A584,'13. Mapa Títulos-Receita'!$A$8:$P$1000,6,FALSE),"")</f>
        <v/>
      </c>
      <c r="V584" s="92">
        <f>IFERROR(VLOOKUP($A584,'13. Mapa Títulos-Receita'!$A$8:$P$1000,7,FALSE),"")</f>
        <v/>
      </c>
      <c r="W584" s="92">
        <f>IFERROR(VLOOKUP($A584,'13. Mapa Títulos-Receita'!$A$8:$P$1000,8,FALSE),"")</f>
        <v/>
      </c>
      <c r="X584" s="92">
        <f>IFERROR(VLOOKUP($A584,'13. Mapa Títulos-Receita'!$A$8:$P$1000,9,FALSE),"")</f>
        <v/>
      </c>
      <c r="Y584" s="92">
        <f>IFERROR(VLOOKUP($A584,'13. Mapa Títulos-Receita'!$A$8:$P$1000,10,FALSE),"")</f>
        <v/>
      </c>
      <c r="Z584" s="92">
        <f>IFERROR(VLOOKUP($A584,'13. Mapa Títulos-Receita'!$A$8:$P$1000,11,FALSE),"")</f>
        <v/>
      </c>
      <c r="AA584" s="92">
        <f>IFERROR(VLOOKUP($A584,'13. Mapa Títulos-Receita'!$A$8:$P$1000,12,FALSE),"")</f>
        <v/>
      </c>
      <c r="AB584" s="92">
        <f>IFERROR(VLOOKUP($A584,'13. Mapa Títulos-Receita'!$A$8:$P$1000,13,FALSE),"")</f>
        <v/>
      </c>
      <c r="AC584" s="92">
        <f>IFERROR(VLOOKUP($A584,'13. Mapa Títulos-Receita'!$A$8:$P$1000,14,FALSE),"")</f>
        <v/>
      </c>
      <c r="AD584" s="92">
        <f>IFERROR(VLOOKUP($A584,'13. Mapa Títulos-Receita'!$A$8:$P$1000,15,FALSE),"")</f>
        <v/>
      </c>
      <c r="AE584" s="92">
        <f>IFERROR(VLOOKUP($A584,'13. Mapa Títulos-Receita'!$A$8:$P$1000,16,FALSE),"")</f>
        <v/>
      </c>
    </row>
    <row r="585">
      <c r="A585" s="28">
        <f>IF(C585="","", "CR-"&amp;TEXT(ROW()-7,"000"))</f>
        <v/>
      </c>
      <c r="B585" s="28" t="n"/>
      <c r="C585" s="28" t="n"/>
      <c r="D585" s="111" t="n"/>
      <c r="E585" s="111" t="n"/>
      <c r="F585" s="111" t="n"/>
      <c r="G585" s="28" t="n"/>
      <c r="H585" s="45" t="n"/>
      <c r="I585" s="45" t="n"/>
      <c r="J585" s="28">
        <f>IF(H585="","",IF(I585&gt;=H585,"Recebido",IF($B$4&gt;E585,"Vencido","Aberto")))</f>
        <v/>
      </c>
      <c r="K585" s="4">
        <f>IF(J585="","",IF(OR(J585="Recebido",F585=""),MAX(0,F585-E585),MAX(0,$B$4-E585)))</f>
        <v/>
      </c>
      <c r="L585" s="4">
        <f>IF(K585="","",IF(K585=0,"Em dia",IF(K585&lt;=30,"1-30 dias",IF(K585&lt;=60,"31-60 dias",IF(K585&lt;=90,"61-90 dias","&gt;90 dias")))))</f>
        <v/>
      </c>
      <c r="M585" s="28" t="n"/>
      <c r="N585" s="104" t="inlineStr"/>
      <c r="O585" s="64" t="n"/>
      <c r="P585" s="64">
        <f>IF(C585="","",IF(ISNUMBER(SEARCH("PCMSO",C585)),"PCMSO",IF(OR(ISNUMBER(SEARCH("E-SOCIAL",C585)),ISNUMBER(SEARCH("PSICOSOCIAL",C585))),"eSocial / Psicossocial",IF(O585="Receita recorrente","Carteira recorrente","Projetos / Laudos / Avulsos"))))</f>
        <v/>
      </c>
      <c r="Q585" s="64">
        <f>IF(P585="","",IF(P585="Carteira recorrente","Operação recorrente",IF(P585="PCMSO","Projetos PCMSO",IF(P585="eSocial / Psicossocial","Projetos eSocial/Psicossocial","Projetos / Laudos / Avulsos"))))</f>
        <v/>
      </c>
      <c r="R585" s="64">
        <f>IF(C585="","",IF(ISNUMBER(SEARCH("PCMSO",C585)),"Título com PCMSO no nome",IF(OR(ISNUMBER(SEARCH("E-SOCIAL",C585)),ISNUMBER(SEARCH("PSICOSOCIAL",C585))),"Título com eSocial/Psicossocial no nome",IF(O585="Receita recorrente","Tipo DRE recorrente","Extra sem palavra-chave específica"))))</f>
        <v/>
      </c>
      <c r="S585" s="92">
        <f>IFERROR(VLOOKUP($A585,'13. Mapa Títulos-Receita'!$A$8:$P$1000,4,FALSE),"")</f>
        <v/>
      </c>
      <c r="T585" s="92">
        <f>IFERROR(VLOOKUP($A585,'13. Mapa Títulos-Receita'!$A$8:$P$1000,5,FALSE),"")</f>
        <v/>
      </c>
      <c r="U585" s="92">
        <f>IFERROR(VLOOKUP($A585,'13. Mapa Títulos-Receita'!$A$8:$P$1000,6,FALSE),"")</f>
        <v/>
      </c>
      <c r="V585" s="92">
        <f>IFERROR(VLOOKUP($A585,'13. Mapa Títulos-Receita'!$A$8:$P$1000,7,FALSE),"")</f>
        <v/>
      </c>
      <c r="W585" s="92">
        <f>IFERROR(VLOOKUP($A585,'13. Mapa Títulos-Receita'!$A$8:$P$1000,8,FALSE),"")</f>
        <v/>
      </c>
      <c r="X585" s="92">
        <f>IFERROR(VLOOKUP($A585,'13. Mapa Títulos-Receita'!$A$8:$P$1000,9,FALSE),"")</f>
        <v/>
      </c>
      <c r="Y585" s="92">
        <f>IFERROR(VLOOKUP($A585,'13. Mapa Títulos-Receita'!$A$8:$P$1000,10,FALSE),"")</f>
        <v/>
      </c>
      <c r="Z585" s="92">
        <f>IFERROR(VLOOKUP($A585,'13. Mapa Títulos-Receita'!$A$8:$P$1000,11,FALSE),"")</f>
        <v/>
      </c>
      <c r="AA585" s="92">
        <f>IFERROR(VLOOKUP($A585,'13. Mapa Títulos-Receita'!$A$8:$P$1000,12,FALSE),"")</f>
        <v/>
      </c>
      <c r="AB585" s="92">
        <f>IFERROR(VLOOKUP($A585,'13. Mapa Títulos-Receita'!$A$8:$P$1000,13,FALSE),"")</f>
        <v/>
      </c>
      <c r="AC585" s="92">
        <f>IFERROR(VLOOKUP($A585,'13. Mapa Títulos-Receita'!$A$8:$P$1000,14,FALSE),"")</f>
        <v/>
      </c>
      <c r="AD585" s="92">
        <f>IFERROR(VLOOKUP($A585,'13. Mapa Títulos-Receita'!$A$8:$P$1000,15,FALSE),"")</f>
        <v/>
      </c>
      <c r="AE585" s="92">
        <f>IFERROR(VLOOKUP($A585,'13. Mapa Títulos-Receita'!$A$8:$P$1000,16,FALSE),"")</f>
        <v/>
      </c>
    </row>
    <row r="586">
      <c r="A586" s="28">
        <f>IF(C586="","", "CR-"&amp;TEXT(ROW()-7,"000"))</f>
        <v/>
      </c>
      <c r="B586" s="28" t="n"/>
      <c r="C586" s="28" t="n"/>
      <c r="D586" s="111" t="n"/>
      <c r="E586" s="111" t="n"/>
      <c r="F586" s="111" t="n"/>
      <c r="G586" s="28" t="n"/>
      <c r="H586" s="45" t="n"/>
      <c r="I586" s="45" t="n"/>
      <c r="J586" s="28">
        <f>IF(H586="","",IF(I586&gt;=H586,"Recebido",IF($B$4&gt;E586,"Vencido","Aberto")))</f>
        <v/>
      </c>
      <c r="K586" s="4">
        <f>IF(J586="","",IF(OR(J586="Recebido",F586=""),MAX(0,F586-E586),MAX(0,$B$4-E586)))</f>
        <v/>
      </c>
      <c r="L586" s="4">
        <f>IF(K586="","",IF(K586=0,"Em dia",IF(K586&lt;=30,"1-30 dias",IF(K586&lt;=60,"31-60 dias",IF(K586&lt;=90,"61-90 dias","&gt;90 dias")))))</f>
        <v/>
      </c>
      <c r="M586" s="28" t="n"/>
      <c r="N586" s="104" t="inlineStr"/>
      <c r="O586" s="64" t="n"/>
      <c r="P586" s="64">
        <f>IF(C586="","",IF(ISNUMBER(SEARCH("PCMSO",C586)),"PCMSO",IF(OR(ISNUMBER(SEARCH("E-SOCIAL",C586)),ISNUMBER(SEARCH("PSICOSOCIAL",C586))),"eSocial / Psicossocial",IF(O586="Receita recorrente","Carteira recorrente","Projetos / Laudos / Avulsos"))))</f>
        <v/>
      </c>
      <c r="Q586" s="64">
        <f>IF(P586="","",IF(P586="Carteira recorrente","Operação recorrente",IF(P586="PCMSO","Projetos PCMSO",IF(P586="eSocial / Psicossocial","Projetos eSocial/Psicossocial","Projetos / Laudos / Avulsos"))))</f>
        <v/>
      </c>
      <c r="R586" s="64">
        <f>IF(C586="","",IF(ISNUMBER(SEARCH("PCMSO",C586)),"Título com PCMSO no nome",IF(OR(ISNUMBER(SEARCH("E-SOCIAL",C586)),ISNUMBER(SEARCH("PSICOSOCIAL",C586))),"Título com eSocial/Psicossocial no nome",IF(O586="Receita recorrente","Tipo DRE recorrente","Extra sem palavra-chave específica"))))</f>
        <v/>
      </c>
      <c r="S586" s="92">
        <f>IFERROR(VLOOKUP($A586,'13. Mapa Títulos-Receita'!$A$8:$P$1000,4,FALSE),"")</f>
        <v/>
      </c>
      <c r="T586" s="92">
        <f>IFERROR(VLOOKUP($A586,'13. Mapa Títulos-Receita'!$A$8:$P$1000,5,FALSE),"")</f>
        <v/>
      </c>
      <c r="U586" s="92">
        <f>IFERROR(VLOOKUP($A586,'13. Mapa Títulos-Receita'!$A$8:$P$1000,6,FALSE),"")</f>
        <v/>
      </c>
      <c r="V586" s="92">
        <f>IFERROR(VLOOKUP($A586,'13. Mapa Títulos-Receita'!$A$8:$P$1000,7,FALSE),"")</f>
        <v/>
      </c>
      <c r="W586" s="92">
        <f>IFERROR(VLOOKUP($A586,'13. Mapa Títulos-Receita'!$A$8:$P$1000,8,FALSE),"")</f>
        <v/>
      </c>
      <c r="X586" s="92">
        <f>IFERROR(VLOOKUP($A586,'13. Mapa Títulos-Receita'!$A$8:$P$1000,9,FALSE),"")</f>
        <v/>
      </c>
      <c r="Y586" s="92">
        <f>IFERROR(VLOOKUP($A586,'13. Mapa Títulos-Receita'!$A$8:$P$1000,10,FALSE),"")</f>
        <v/>
      </c>
      <c r="Z586" s="92">
        <f>IFERROR(VLOOKUP($A586,'13. Mapa Títulos-Receita'!$A$8:$P$1000,11,FALSE),"")</f>
        <v/>
      </c>
      <c r="AA586" s="92">
        <f>IFERROR(VLOOKUP($A586,'13. Mapa Títulos-Receita'!$A$8:$P$1000,12,FALSE),"")</f>
        <v/>
      </c>
      <c r="AB586" s="92">
        <f>IFERROR(VLOOKUP($A586,'13. Mapa Títulos-Receita'!$A$8:$P$1000,13,FALSE),"")</f>
        <v/>
      </c>
      <c r="AC586" s="92">
        <f>IFERROR(VLOOKUP($A586,'13. Mapa Títulos-Receita'!$A$8:$P$1000,14,FALSE),"")</f>
        <v/>
      </c>
      <c r="AD586" s="92">
        <f>IFERROR(VLOOKUP($A586,'13. Mapa Títulos-Receita'!$A$8:$P$1000,15,FALSE),"")</f>
        <v/>
      </c>
      <c r="AE586" s="92">
        <f>IFERROR(VLOOKUP($A586,'13. Mapa Títulos-Receita'!$A$8:$P$1000,16,FALSE),"")</f>
        <v/>
      </c>
    </row>
    <row r="587">
      <c r="A587" s="28">
        <f>IF(C587="","", "CR-"&amp;TEXT(ROW()-7,"000"))</f>
        <v/>
      </c>
      <c r="B587" s="28" t="n"/>
      <c r="C587" s="28" t="n"/>
      <c r="D587" s="111" t="n"/>
      <c r="E587" s="111" t="n"/>
      <c r="F587" s="111" t="n"/>
      <c r="G587" s="28" t="n"/>
      <c r="H587" s="45" t="n"/>
      <c r="I587" s="45" t="n"/>
      <c r="J587" s="28">
        <f>IF(H587="","",IF(I587&gt;=H587,"Recebido",IF($B$4&gt;E587,"Vencido","Aberto")))</f>
        <v/>
      </c>
      <c r="K587" s="4">
        <f>IF(J587="","",IF(OR(J587="Recebido",F587=""),MAX(0,F587-E587),MAX(0,$B$4-E587)))</f>
        <v/>
      </c>
      <c r="L587" s="4">
        <f>IF(K587="","",IF(K587=0,"Em dia",IF(K587&lt;=30,"1-30 dias",IF(K587&lt;=60,"31-60 dias",IF(K587&lt;=90,"61-90 dias","&gt;90 dias")))))</f>
        <v/>
      </c>
      <c r="M587" s="28" t="n"/>
      <c r="N587" s="104" t="inlineStr"/>
      <c r="O587" s="64" t="n"/>
      <c r="P587" s="64">
        <f>IF(C587="","",IF(ISNUMBER(SEARCH("PCMSO",C587)),"PCMSO",IF(OR(ISNUMBER(SEARCH("E-SOCIAL",C587)),ISNUMBER(SEARCH("PSICOSOCIAL",C587))),"eSocial / Psicossocial",IF(O587="Receita recorrente","Carteira recorrente","Projetos / Laudos / Avulsos"))))</f>
        <v/>
      </c>
      <c r="Q587" s="64">
        <f>IF(P587="","",IF(P587="Carteira recorrente","Operação recorrente",IF(P587="PCMSO","Projetos PCMSO",IF(P587="eSocial / Psicossocial","Projetos eSocial/Psicossocial","Projetos / Laudos / Avulsos"))))</f>
        <v/>
      </c>
      <c r="R587" s="64">
        <f>IF(C587="","",IF(ISNUMBER(SEARCH("PCMSO",C587)),"Título com PCMSO no nome",IF(OR(ISNUMBER(SEARCH("E-SOCIAL",C587)),ISNUMBER(SEARCH("PSICOSOCIAL",C587))),"Título com eSocial/Psicossocial no nome",IF(O587="Receita recorrente","Tipo DRE recorrente","Extra sem palavra-chave específica"))))</f>
        <v/>
      </c>
      <c r="S587" s="92">
        <f>IFERROR(VLOOKUP($A587,'13. Mapa Títulos-Receita'!$A$8:$P$1000,4,FALSE),"")</f>
        <v/>
      </c>
      <c r="T587" s="92">
        <f>IFERROR(VLOOKUP($A587,'13. Mapa Títulos-Receita'!$A$8:$P$1000,5,FALSE),"")</f>
        <v/>
      </c>
      <c r="U587" s="92">
        <f>IFERROR(VLOOKUP($A587,'13. Mapa Títulos-Receita'!$A$8:$P$1000,6,FALSE),"")</f>
        <v/>
      </c>
      <c r="V587" s="92">
        <f>IFERROR(VLOOKUP($A587,'13. Mapa Títulos-Receita'!$A$8:$P$1000,7,FALSE),"")</f>
        <v/>
      </c>
      <c r="W587" s="92">
        <f>IFERROR(VLOOKUP($A587,'13. Mapa Títulos-Receita'!$A$8:$P$1000,8,FALSE),"")</f>
        <v/>
      </c>
      <c r="X587" s="92">
        <f>IFERROR(VLOOKUP($A587,'13. Mapa Títulos-Receita'!$A$8:$P$1000,9,FALSE),"")</f>
        <v/>
      </c>
      <c r="Y587" s="92">
        <f>IFERROR(VLOOKUP($A587,'13. Mapa Títulos-Receita'!$A$8:$P$1000,10,FALSE),"")</f>
        <v/>
      </c>
      <c r="Z587" s="92">
        <f>IFERROR(VLOOKUP($A587,'13. Mapa Títulos-Receita'!$A$8:$P$1000,11,FALSE),"")</f>
        <v/>
      </c>
      <c r="AA587" s="92">
        <f>IFERROR(VLOOKUP($A587,'13. Mapa Títulos-Receita'!$A$8:$P$1000,12,FALSE),"")</f>
        <v/>
      </c>
      <c r="AB587" s="92">
        <f>IFERROR(VLOOKUP($A587,'13. Mapa Títulos-Receita'!$A$8:$P$1000,13,FALSE),"")</f>
        <v/>
      </c>
      <c r="AC587" s="92">
        <f>IFERROR(VLOOKUP($A587,'13. Mapa Títulos-Receita'!$A$8:$P$1000,14,FALSE),"")</f>
        <v/>
      </c>
      <c r="AD587" s="92">
        <f>IFERROR(VLOOKUP($A587,'13. Mapa Títulos-Receita'!$A$8:$P$1000,15,FALSE),"")</f>
        <v/>
      </c>
      <c r="AE587" s="92">
        <f>IFERROR(VLOOKUP($A587,'13. Mapa Títulos-Receita'!$A$8:$P$1000,16,FALSE),"")</f>
        <v/>
      </c>
    </row>
    <row r="588">
      <c r="A588" s="28">
        <f>IF(C588="","", "CR-"&amp;TEXT(ROW()-7,"000"))</f>
        <v/>
      </c>
      <c r="B588" s="28" t="n"/>
      <c r="C588" s="28" t="n"/>
      <c r="D588" s="111" t="n"/>
      <c r="E588" s="111" t="n"/>
      <c r="F588" s="111" t="n"/>
      <c r="G588" s="28" t="n"/>
      <c r="H588" s="45" t="n"/>
      <c r="I588" s="45" t="n"/>
      <c r="J588" s="28">
        <f>IF(H588="","",IF(I588&gt;=H588,"Recebido",IF($B$4&gt;E588,"Vencido","Aberto")))</f>
        <v/>
      </c>
      <c r="K588" s="4">
        <f>IF(J588="","",IF(OR(J588="Recebido",F588=""),MAX(0,F588-E588),MAX(0,$B$4-E588)))</f>
        <v/>
      </c>
      <c r="L588" s="4">
        <f>IF(K588="","",IF(K588=0,"Em dia",IF(K588&lt;=30,"1-30 dias",IF(K588&lt;=60,"31-60 dias",IF(K588&lt;=90,"61-90 dias","&gt;90 dias")))))</f>
        <v/>
      </c>
      <c r="M588" s="28" t="n"/>
      <c r="N588" s="104" t="inlineStr"/>
      <c r="O588" s="64" t="n"/>
      <c r="P588" s="64">
        <f>IF(C588="","",IF(ISNUMBER(SEARCH("PCMSO",C588)),"PCMSO",IF(OR(ISNUMBER(SEARCH("E-SOCIAL",C588)),ISNUMBER(SEARCH("PSICOSOCIAL",C588))),"eSocial / Psicossocial",IF(O588="Receita recorrente","Carteira recorrente","Projetos / Laudos / Avulsos"))))</f>
        <v/>
      </c>
      <c r="Q588" s="64">
        <f>IF(P588="","",IF(P588="Carteira recorrente","Operação recorrente",IF(P588="PCMSO","Projetos PCMSO",IF(P588="eSocial / Psicossocial","Projetos eSocial/Psicossocial","Projetos / Laudos / Avulsos"))))</f>
        <v/>
      </c>
      <c r="R588" s="64">
        <f>IF(C588="","",IF(ISNUMBER(SEARCH("PCMSO",C588)),"Título com PCMSO no nome",IF(OR(ISNUMBER(SEARCH("E-SOCIAL",C588)),ISNUMBER(SEARCH("PSICOSOCIAL",C588))),"Título com eSocial/Psicossocial no nome",IF(O588="Receita recorrente","Tipo DRE recorrente","Extra sem palavra-chave específica"))))</f>
        <v/>
      </c>
      <c r="S588" s="92">
        <f>IFERROR(VLOOKUP($A588,'13. Mapa Títulos-Receita'!$A$8:$P$1000,4,FALSE),"")</f>
        <v/>
      </c>
      <c r="T588" s="92">
        <f>IFERROR(VLOOKUP($A588,'13. Mapa Títulos-Receita'!$A$8:$P$1000,5,FALSE),"")</f>
        <v/>
      </c>
      <c r="U588" s="92">
        <f>IFERROR(VLOOKUP($A588,'13. Mapa Títulos-Receita'!$A$8:$P$1000,6,FALSE),"")</f>
        <v/>
      </c>
      <c r="V588" s="92">
        <f>IFERROR(VLOOKUP($A588,'13. Mapa Títulos-Receita'!$A$8:$P$1000,7,FALSE),"")</f>
        <v/>
      </c>
      <c r="W588" s="92">
        <f>IFERROR(VLOOKUP($A588,'13. Mapa Títulos-Receita'!$A$8:$P$1000,8,FALSE),"")</f>
        <v/>
      </c>
      <c r="X588" s="92">
        <f>IFERROR(VLOOKUP($A588,'13. Mapa Títulos-Receita'!$A$8:$P$1000,9,FALSE),"")</f>
        <v/>
      </c>
      <c r="Y588" s="92">
        <f>IFERROR(VLOOKUP($A588,'13. Mapa Títulos-Receita'!$A$8:$P$1000,10,FALSE),"")</f>
        <v/>
      </c>
      <c r="Z588" s="92">
        <f>IFERROR(VLOOKUP($A588,'13. Mapa Títulos-Receita'!$A$8:$P$1000,11,FALSE),"")</f>
        <v/>
      </c>
      <c r="AA588" s="92">
        <f>IFERROR(VLOOKUP($A588,'13. Mapa Títulos-Receita'!$A$8:$P$1000,12,FALSE),"")</f>
        <v/>
      </c>
      <c r="AB588" s="92">
        <f>IFERROR(VLOOKUP($A588,'13. Mapa Títulos-Receita'!$A$8:$P$1000,13,FALSE),"")</f>
        <v/>
      </c>
      <c r="AC588" s="92">
        <f>IFERROR(VLOOKUP($A588,'13. Mapa Títulos-Receita'!$A$8:$P$1000,14,FALSE),"")</f>
        <v/>
      </c>
      <c r="AD588" s="92">
        <f>IFERROR(VLOOKUP($A588,'13. Mapa Títulos-Receita'!$A$8:$P$1000,15,FALSE),"")</f>
        <v/>
      </c>
      <c r="AE588" s="92">
        <f>IFERROR(VLOOKUP($A588,'13. Mapa Títulos-Receita'!$A$8:$P$1000,16,FALSE),"")</f>
        <v/>
      </c>
    </row>
    <row r="589">
      <c r="A589" s="28">
        <f>IF(C589="","", "CR-"&amp;TEXT(ROW()-7,"000"))</f>
        <v/>
      </c>
      <c r="B589" s="28" t="n"/>
      <c r="C589" s="28" t="n"/>
      <c r="D589" s="111" t="n"/>
      <c r="E589" s="111" t="n"/>
      <c r="F589" s="111" t="n"/>
      <c r="G589" s="28" t="n"/>
      <c r="H589" s="45" t="n"/>
      <c r="I589" s="45" t="n"/>
      <c r="J589" s="28">
        <f>IF(H589="","",IF(I589&gt;=H589,"Recebido",IF($B$4&gt;E589,"Vencido","Aberto")))</f>
        <v/>
      </c>
      <c r="K589" s="4">
        <f>IF(J589="","",IF(OR(J589="Recebido",F589=""),MAX(0,F589-E589),MAX(0,$B$4-E589)))</f>
        <v/>
      </c>
      <c r="L589" s="4">
        <f>IF(K589="","",IF(K589=0,"Em dia",IF(K589&lt;=30,"1-30 dias",IF(K589&lt;=60,"31-60 dias",IF(K589&lt;=90,"61-90 dias","&gt;90 dias")))))</f>
        <v/>
      </c>
      <c r="M589" s="28" t="n"/>
      <c r="N589" s="104" t="inlineStr"/>
      <c r="O589" s="64" t="n"/>
      <c r="P589" s="64">
        <f>IF(C589="","",IF(ISNUMBER(SEARCH("PCMSO",C589)),"PCMSO",IF(OR(ISNUMBER(SEARCH("E-SOCIAL",C589)),ISNUMBER(SEARCH("PSICOSOCIAL",C589))),"eSocial / Psicossocial",IF(O589="Receita recorrente","Carteira recorrente","Projetos / Laudos / Avulsos"))))</f>
        <v/>
      </c>
      <c r="Q589" s="64">
        <f>IF(P589="","",IF(P589="Carteira recorrente","Operação recorrente",IF(P589="PCMSO","Projetos PCMSO",IF(P589="eSocial / Psicossocial","Projetos eSocial/Psicossocial","Projetos / Laudos / Avulsos"))))</f>
        <v/>
      </c>
      <c r="R589" s="64">
        <f>IF(C589="","",IF(ISNUMBER(SEARCH("PCMSO",C589)),"Título com PCMSO no nome",IF(OR(ISNUMBER(SEARCH("E-SOCIAL",C589)),ISNUMBER(SEARCH("PSICOSOCIAL",C589))),"Título com eSocial/Psicossocial no nome",IF(O589="Receita recorrente","Tipo DRE recorrente","Extra sem palavra-chave específica"))))</f>
        <v/>
      </c>
      <c r="S589" s="92">
        <f>IFERROR(VLOOKUP($A589,'13. Mapa Títulos-Receita'!$A$8:$P$1000,4,FALSE),"")</f>
        <v/>
      </c>
      <c r="T589" s="92">
        <f>IFERROR(VLOOKUP($A589,'13. Mapa Títulos-Receita'!$A$8:$P$1000,5,FALSE),"")</f>
        <v/>
      </c>
      <c r="U589" s="92">
        <f>IFERROR(VLOOKUP($A589,'13. Mapa Títulos-Receita'!$A$8:$P$1000,6,FALSE),"")</f>
        <v/>
      </c>
      <c r="V589" s="92">
        <f>IFERROR(VLOOKUP($A589,'13. Mapa Títulos-Receita'!$A$8:$P$1000,7,FALSE),"")</f>
        <v/>
      </c>
      <c r="W589" s="92">
        <f>IFERROR(VLOOKUP($A589,'13. Mapa Títulos-Receita'!$A$8:$P$1000,8,FALSE),"")</f>
        <v/>
      </c>
      <c r="X589" s="92">
        <f>IFERROR(VLOOKUP($A589,'13. Mapa Títulos-Receita'!$A$8:$P$1000,9,FALSE),"")</f>
        <v/>
      </c>
      <c r="Y589" s="92">
        <f>IFERROR(VLOOKUP($A589,'13. Mapa Títulos-Receita'!$A$8:$P$1000,10,FALSE),"")</f>
        <v/>
      </c>
      <c r="Z589" s="92">
        <f>IFERROR(VLOOKUP($A589,'13. Mapa Títulos-Receita'!$A$8:$P$1000,11,FALSE),"")</f>
        <v/>
      </c>
      <c r="AA589" s="92">
        <f>IFERROR(VLOOKUP($A589,'13. Mapa Títulos-Receita'!$A$8:$P$1000,12,FALSE),"")</f>
        <v/>
      </c>
      <c r="AB589" s="92">
        <f>IFERROR(VLOOKUP($A589,'13. Mapa Títulos-Receita'!$A$8:$P$1000,13,FALSE),"")</f>
        <v/>
      </c>
      <c r="AC589" s="92">
        <f>IFERROR(VLOOKUP($A589,'13. Mapa Títulos-Receita'!$A$8:$P$1000,14,FALSE),"")</f>
        <v/>
      </c>
      <c r="AD589" s="92">
        <f>IFERROR(VLOOKUP($A589,'13. Mapa Títulos-Receita'!$A$8:$P$1000,15,FALSE),"")</f>
        <v/>
      </c>
      <c r="AE589" s="92">
        <f>IFERROR(VLOOKUP($A589,'13. Mapa Títulos-Receita'!$A$8:$P$1000,16,FALSE),"")</f>
        <v/>
      </c>
    </row>
    <row r="590">
      <c r="A590" s="28">
        <f>IF(C590="","", "CR-"&amp;TEXT(ROW()-7,"000"))</f>
        <v/>
      </c>
      <c r="B590" s="28" t="n"/>
      <c r="C590" s="28" t="n"/>
      <c r="D590" s="111" t="n"/>
      <c r="E590" s="111" t="n"/>
      <c r="F590" s="111" t="n"/>
      <c r="G590" s="28" t="n"/>
      <c r="H590" s="45" t="n"/>
      <c r="I590" s="45" t="n"/>
      <c r="J590" s="28">
        <f>IF(H590="","",IF(I590&gt;=H590,"Recebido",IF($B$4&gt;E590,"Vencido","Aberto")))</f>
        <v/>
      </c>
      <c r="K590" s="4">
        <f>IF(J590="","",IF(OR(J590="Recebido",F590=""),MAX(0,F590-E590),MAX(0,$B$4-E590)))</f>
        <v/>
      </c>
      <c r="L590" s="4">
        <f>IF(K590="","",IF(K590=0,"Em dia",IF(K590&lt;=30,"1-30 dias",IF(K590&lt;=60,"31-60 dias",IF(K590&lt;=90,"61-90 dias","&gt;90 dias")))))</f>
        <v/>
      </c>
      <c r="M590" s="28" t="n"/>
      <c r="N590" s="104" t="inlineStr"/>
      <c r="O590" s="64" t="n"/>
      <c r="P590" s="64">
        <f>IF(C590="","",IF(ISNUMBER(SEARCH("PCMSO",C590)),"PCMSO",IF(OR(ISNUMBER(SEARCH("E-SOCIAL",C590)),ISNUMBER(SEARCH("PSICOSOCIAL",C590))),"eSocial / Psicossocial",IF(O590="Receita recorrente","Carteira recorrente","Projetos / Laudos / Avulsos"))))</f>
        <v/>
      </c>
      <c r="Q590" s="64">
        <f>IF(P590="","",IF(P590="Carteira recorrente","Operação recorrente",IF(P590="PCMSO","Projetos PCMSO",IF(P590="eSocial / Psicossocial","Projetos eSocial/Psicossocial","Projetos / Laudos / Avulsos"))))</f>
        <v/>
      </c>
      <c r="R590" s="64">
        <f>IF(C590="","",IF(ISNUMBER(SEARCH("PCMSO",C590)),"Título com PCMSO no nome",IF(OR(ISNUMBER(SEARCH("E-SOCIAL",C590)),ISNUMBER(SEARCH("PSICOSOCIAL",C590))),"Título com eSocial/Psicossocial no nome",IF(O590="Receita recorrente","Tipo DRE recorrente","Extra sem palavra-chave específica"))))</f>
        <v/>
      </c>
      <c r="S590" s="92">
        <f>IFERROR(VLOOKUP($A590,'13. Mapa Títulos-Receita'!$A$8:$P$1000,4,FALSE),"")</f>
        <v/>
      </c>
      <c r="T590" s="92">
        <f>IFERROR(VLOOKUP($A590,'13. Mapa Títulos-Receita'!$A$8:$P$1000,5,FALSE),"")</f>
        <v/>
      </c>
      <c r="U590" s="92">
        <f>IFERROR(VLOOKUP($A590,'13. Mapa Títulos-Receita'!$A$8:$P$1000,6,FALSE),"")</f>
        <v/>
      </c>
      <c r="V590" s="92">
        <f>IFERROR(VLOOKUP($A590,'13. Mapa Títulos-Receita'!$A$8:$P$1000,7,FALSE),"")</f>
        <v/>
      </c>
      <c r="W590" s="92">
        <f>IFERROR(VLOOKUP($A590,'13. Mapa Títulos-Receita'!$A$8:$P$1000,8,FALSE),"")</f>
        <v/>
      </c>
      <c r="X590" s="92">
        <f>IFERROR(VLOOKUP($A590,'13. Mapa Títulos-Receita'!$A$8:$P$1000,9,FALSE),"")</f>
        <v/>
      </c>
      <c r="Y590" s="92">
        <f>IFERROR(VLOOKUP($A590,'13. Mapa Títulos-Receita'!$A$8:$P$1000,10,FALSE),"")</f>
        <v/>
      </c>
      <c r="Z590" s="92">
        <f>IFERROR(VLOOKUP($A590,'13. Mapa Títulos-Receita'!$A$8:$P$1000,11,FALSE),"")</f>
        <v/>
      </c>
      <c r="AA590" s="92">
        <f>IFERROR(VLOOKUP($A590,'13. Mapa Títulos-Receita'!$A$8:$P$1000,12,FALSE),"")</f>
        <v/>
      </c>
      <c r="AB590" s="92">
        <f>IFERROR(VLOOKUP($A590,'13. Mapa Títulos-Receita'!$A$8:$P$1000,13,FALSE),"")</f>
        <v/>
      </c>
      <c r="AC590" s="92">
        <f>IFERROR(VLOOKUP($A590,'13. Mapa Títulos-Receita'!$A$8:$P$1000,14,FALSE),"")</f>
        <v/>
      </c>
      <c r="AD590" s="92">
        <f>IFERROR(VLOOKUP($A590,'13. Mapa Títulos-Receita'!$A$8:$P$1000,15,FALSE),"")</f>
        <v/>
      </c>
      <c r="AE590" s="92">
        <f>IFERROR(VLOOKUP($A590,'13. Mapa Títulos-Receita'!$A$8:$P$1000,16,FALSE),"")</f>
        <v/>
      </c>
    </row>
    <row r="591">
      <c r="A591" s="28">
        <f>IF(C591="","", "CR-"&amp;TEXT(ROW()-7,"000"))</f>
        <v/>
      </c>
      <c r="B591" s="28" t="n"/>
      <c r="C591" s="28" t="n"/>
      <c r="D591" s="111" t="n"/>
      <c r="E591" s="111" t="n"/>
      <c r="F591" s="111" t="n"/>
      <c r="G591" s="28" t="n"/>
      <c r="H591" s="45" t="n"/>
      <c r="I591" s="45" t="n"/>
      <c r="J591" s="28">
        <f>IF(H591="","",IF(I591&gt;=H591,"Recebido",IF($B$4&gt;E591,"Vencido","Aberto")))</f>
        <v/>
      </c>
      <c r="K591" s="4">
        <f>IF(J591="","",IF(OR(J591="Recebido",F591=""),MAX(0,F591-E591),MAX(0,$B$4-E591)))</f>
        <v/>
      </c>
      <c r="L591" s="4">
        <f>IF(K591="","",IF(K591=0,"Em dia",IF(K591&lt;=30,"1-30 dias",IF(K591&lt;=60,"31-60 dias",IF(K591&lt;=90,"61-90 dias","&gt;90 dias")))))</f>
        <v/>
      </c>
      <c r="M591" s="28" t="n"/>
      <c r="N591" s="104" t="inlineStr"/>
      <c r="O591" s="64" t="n"/>
      <c r="P591" s="64">
        <f>IF(C591="","",IF(ISNUMBER(SEARCH("PCMSO",C591)),"PCMSO",IF(OR(ISNUMBER(SEARCH("E-SOCIAL",C591)),ISNUMBER(SEARCH("PSICOSOCIAL",C591))),"eSocial / Psicossocial",IF(O591="Receita recorrente","Carteira recorrente","Projetos / Laudos / Avulsos"))))</f>
        <v/>
      </c>
      <c r="Q591" s="64">
        <f>IF(P591="","",IF(P591="Carteira recorrente","Operação recorrente",IF(P591="PCMSO","Projetos PCMSO",IF(P591="eSocial / Psicossocial","Projetos eSocial/Psicossocial","Projetos / Laudos / Avulsos"))))</f>
        <v/>
      </c>
      <c r="R591" s="64">
        <f>IF(C591="","",IF(ISNUMBER(SEARCH("PCMSO",C591)),"Título com PCMSO no nome",IF(OR(ISNUMBER(SEARCH("E-SOCIAL",C591)),ISNUMBER(SEARCH("PSICOSOCIAL",C591))),"Título com eSocial/Psicossocial no nome",IF(O591="Receita recorrente","Tipo DRE recorrente","Extra sem palavra-chave específica"))))</f>
        <v/>
      </c>
      <c r="S591" s="92">
        <f>IFERROR(VLOOKUP($A591,'13. Mapa Títulos-Receita'!$A$8:$P$1000,4,FALSE),"")</f>
        <v/>
      </c>
      <c r="T591" s="92">
        <f>IFERROR(VLOOKUP($A591,'13. Mapa Títulos-Receita'!$A$8:$P$1000,5,FALSE),"")</f>
        <v/>
      </c>
      <c r="U591" s="92">
        <f>IFERROR(VLOOKUP($A591,'13. Mapa Títulos-Receita'!$A$8:$P$1000,6,FALSE),"")</f>
        <v/>
      </c>
      <c r="V591" s="92">
        <f>IFERROR(VLOOKUP($A591,'13. Mapa Títulos-Receita'!$A$8:$P$1000,7,FALSE),"")</f>
        <v/>
      </c>
      <c r="W591" s="92">
        <f>IFERROR(VLOOKUP($A591,'13. Mapa Títulos-Receita'!$A$8:$P$1000,8,FALSE),"")</f>
        <v/>
      </c>
      <c r="X591" s="92">
        <f>IFERROR(VLOOKUP($A591,'13. Mapa Títulos-Receita'!$A$8:$P$1000,9,FALSE),"")</f>
        <v/>
      </c>
      <c r="Y591" s="92">
        <f>IFERROR(VLOOKUP($A591,'13. Mapa Títulos-Receita'!$A$8:$P$1000,10,FALSE),"")</f>
        <v/>
      </c>
      <c r="Z591" s="92">
        <f>IFERROR(VLOOKUP($A591,'13. Mapa Títulos-Receita'!$A$8:$P$1000,11,FALSE),"")</f>
        <v/>
      </c>
      <c r="AA591" s="92">
        <f>IFERROR(VLOOKUP($A591,'13. Mapa Títulos-Receita'!$A$8:$P$1000,12,FALSE),"")</f>
        <v/>
      </c>
      <c r="AB591" s="92">
        <f>IFERROR(VLOOKUP($A591,'13. Mapa Títulos-Receita'!$A$8:$P$1000,13,FALSE),"")</f>
        <v/>
      </c>
      <c r="AC591" s="92">
        <f>IFERROR(VLOOKUP($A591,'13. Mapa Títulos-Receita'!$A$8:$P$1000,14,FALSE),"")</f>
        <v/>
      </c>
      <c r="AD591" s="92">
        <f>IFERROR(VLOOKUP($A591,'13. Mapa Títulos-Receita'!$A$8:$P$1000,15,FALSE),"")</f>
        <v/>
      </c>
      <c r="AE591" s="92">
        <f>IFERROR(VLOOKUP($A591,'13. Mapa Títulos-Receita'!$A$8:$P$1000,16,FALSE),"")</f>
        <v/>
      </c>
    </row>
    <row r="592">
      <c r="A592" s="28">
        <f>IF(C592="","", "CR-"&amp;TEXT(ROW()-7,"000"))</f>
        <v/>
      </c>
      <c r="B592" s="28" t="n"/>
      <c r="C592" s="28" t="n"/>
      <c r="D592" s="111" t="n"/>
      <c r="E592" s="111" t="n"/>
      <c r="F592" s="111" t="n"/>
      <c r="G592" s="28" t="n"/>
      <c r="H592" s="45" t="n"/>
      <c r="I592" s="45" t="n"/>
      <c r="J592" s="28">
        <f>IF(H592="","",IF(I592&gt;=H592,"Recebido",IF($B$4&gt;E592,"Vencido","Aberto")))</f>
        <v/>
      </c>
      <c r="K592" s="4">
        <f>IF(J592="","",IF(OR(J592="Recebido",F592=""),MAX(0,F592-E592),MAX(0,$B$4-E592)))</f>
        <v/>
      </c>
      <c r="L592" s="4">
        <f>IF(K592="","",IF(K592=0,"Em dia",IF(K592&lt;=30,"1-30 dias",IF(K592&lt;=60,"31-60 dias",IF(K592&lt;=90,"61-90 dias","&gt;90 dias")))))</f>
        <v/>
      </c>
      <c r="M592" s="28" t="n"/>
      <c r="N592" s="104" t="inlineStr"/>
      <c r="O592" s="64" t="n"/>
      <c r="P592" s="64">
        <f>IF(C592="","",IF(ISNUMBER(SEARCH("PCMSO",C592)),"PCMSO",IF(OR(ISNUMBER(SEARCH("E-SOCIAL",C592)),ISNUMBER(SEARCH("PSICOSOCIAL",C592))),"eSocial / Psicossocial",IF(O592="Receita recorrente","Carteira recorrente","Projetos / Laudos / Avulsos"))))</f>
        <v/>
      </c>
      <c r="Q592" s="64">
        <f>IF(P592="","",IF(P592="Carteira recorrente","Operação recorrente",IF(P592="PCMSO","Projetos PCMSO",IF(P592="eSocial / Psicossocial","Projetos eSocial/Psicossocial","Projetos / Laudos / Avulsos"))))</f>
        <v/>
      </c>
      <c r="R592" s="64">
        <f>IF(C592="","",IF(ISNUMBER(SEARCH("PCMSO",C592)),"Título com PCMSO no nome",IF(OR(ISNUMBER(SEARCH("E-SOCIAL",C592)),ISNUMBER(SEARCH("PSICOSOCIAL",C592))),"Título com eSocial/Psicossocial no nome",IF(O592="Receita recorrente","Tipo DRE recorrente","Extra sem palavra-chave específica"))))</f>
        <v/>
      </c>
      <c r="S592" s="92">
        <f>IFERROR(VLOOKUP($A592,'13. Mapa Títulos-Receita'!$A$8:$P$1000,4,FALSE),"")</f>
        <v/>
      </c>
      <c r="T592" s="92">
        <f>IFERROR(VLOOKUP($A592,'13. Mapa Títulos-Receita'!$A$8:$P$1000,5,FALSE),"")</f>
        <v/>
      </c>
      <c r="U592" s="92">
        <f>IFERROR(VLOOKUP($A592,'13. Mapa Títulos-Receita'!$A$8:$P$1000,6,FALSE),"")</f>
        <v/>
      </c>
      <c r="V592" s="92">
        <f>IFERROR(VLOOKUP($A592,'13. Mapa Títulos-Receita'!$A$8:$P$1000,7,FALSE),"")</f>
        <v/>
      </c>
      <c r="W592" s="92">
        <f>IFERROR(VLOOKUP($A592,'13. Mapa Títulos-Receita'!$A$8:$P$1000,8,FALSE),"")</f>
        <v/>
      </c>
      <c r="X592" s="92">
        <f>IFERROR(VLOOKUP($A592,'13. Mapa Títulos-Receita'!$A$8:$P$1000,9,FALSE),"")</f>
        <v/>
      </c>
      <c r="Y592" s="92">
        <f>IFERROR(VLOOKUP($A592,'13. Mapa Títulos-Receita'!$A$8:$P$1000,10,FALSE),"")</f>
        <v/>
      </c>
      <c r="Z592" s="92">
        <f>IFERROR(VLOOKUP($A592,'13. Mapa Títulos-Receita'!$A$8:$P$1000,11,FALSE),"")</f>
        <v/>
      </c>
      <c r="AA592" s="92">
        <f>IFERROR(VLOOKUP($A592,'13. Mapa Títulos-Receita'!$A$8:$P$1000,12,FALSE),"")</f>
        <v/>
      </c>
      <c r="AB592" s="92">
        <f>IFERROR(VLOOKUP($A592,'13. Mapa Títulos-Receita'!$A$8:$P$1000,13,FALSE),"")</f>
        <v/>
      </c>
      <c r="AC592" s="92">
        <f>IFERROR(VLOOKUP($A592,'13. Mapa Títulos-Receita'!$A$8:$P$1000,14,FALSE),"")</f>
        <v/>
      </c>
      <c r="AD592" s="92">
        <f>IFERROR(VLOOKUP($A592,'13. Mapa Títulos-Receita'!$A$8:$P$1000,15,FALSE),"")</f>
        <v/>
      </c>
      <c r="AE592" s="92">
        <f>IFERROR(VLOOKUP($A592,'13. Mapa Títulos-Receita'!$A$8:$P$1000,16,FALSE),"")</f>
        <v/>
      </c>
    </row>
    <row r="593">
      <c r="A593" s="28">
        <f>IF(C593="","", "CR-"&amp;TEXT(ROW()-7,"000"))</f>
        <v/>
      </c>
      <c r="B593" s="28" t="n"/>
      <c r="C593" s="28" t="n"/>
      <c r="D593" s="111" t="n"/>
      <c r="E593" s="111" t="n"/>
      <c r="F593" s="111" t="n"/>
      <c r="G593" s="28" t="n"/>
      <c r="H593" s="45" t="n"/>
      <c r="I593" s="45" t="n"/>
      <c r="J593" s="28">
        <f>IF(H593="","",IF(I593&gt;=H593,"Recebido",IF($B$4&gt;E593,"Vencido","Aberto")))</f>
        <v/>
      </c>
      <c r="K593" s="4">
        <f>IF(J593="","",IF(OR(J593="Recebido",F593=""),MAX(0,F593-E593),MAX(0,$B$4-E593)))</f>
        <v/>
      </c>
      <c r="L593" s="4">
        <f>IF(K593="","",IF(K593=0,"Em dia",IF(K593&lt;=30,"1-30 dias",IF(K593&lt;=60,"31-60 dias",IF(K593&lt;=90,"61-90 dias","&gt;90 dias")))))</f>
        <v/>
      </c>
      <c r="M593" s="28" t="n"/>
      <c r="N593" s="104" t="inlineStr"/>
      <c r="O593" s="64" t="n"/>
      <c r="P593" s="64">
        <f>IF(C593="","",IF(ISNUMBER(SEARCH("PCMSO",C593)),"PCMSO",IF(OR(ISNUMBER(SEARCH("E-SOCIAL",C593)),ISNUMBER(SEARCH("PSICOSOCIAL",C593))),"eSocial / Psicossocial",IF(O593="Receita recorrente","Carteira recorrente","Projetos / Laudos / Avulsos"))))</f>
        <v/>
      </c>
      <c r="Q593" s="64">
        <f>IF(P593="","",IF(P593="Carteira recorrente","Operação recorrente",IF(P593="PCMSO","Projetos PCMSO",IF(P593="eSocial / Psicossocial","Projetos eSocial/Psicossocial","Projetos / Laudos / Avulsos"))))</f>
        <v/>
      </c>
      <c r="R593" s="64">
        <f>IF(C593="","",IF(ISNUMBER(SEARCH("PCMSO",C593)),"Título com PCMSO no nome",IF(OR(ISNUMBER(SEARCH("E-SOCIAL",C593)),ISNUMBER(SEARCH("PSICOSOCIAL",C593))),"Título com eSocial/Psicossocial no nome",IF(O593="Receita recorrente","Tipo DRE recorrente","Extra sem palavra-chave específica"))))</f>
        <v/>
      </c>
      <c r="S593" s="92">
        <f>IFERROR(VLOOKUP($A593,'13. Mapa Títulos-Receita'!$A$8:$P$1000,4,FALSE),"")</f>
        <v/>
      </c>
      <c r="T593" s="92">
        <f>IFERROR(VLOOKUP($A593,'13. Mapa Títulos-Receita'!$A$8:$P$1000,5,FALSE),"")</f>
        <v/>
      </c>
      <c r="U593" s="92">
        <f>IFERROR(VLOOKUP($A593,'13. Mapa Títulos-Receita'!$A$8:$P$1000,6,FALSE),"")</f>
        <v/>
      </c>
      <c r="V593" s="92">
        <f>IFERROR(VLOOKUP($A593,'13. Mapa Títulos-Receita'!$A$8:$P$1000,7,FALSE),"")</f>
        <v/>
      </c>
      <c r="W593" s="92">
        <f>IFERROR(VLOOKUP($A593,'13. Mapa Títulos-Receita'!$A$8:$P$1000,8,FALSE),"")</f>
        <v/>
      </c>
      <c r="X593" s="92">
        <f>IFERROR(VLOOKUP($A593,'13. Mapa Títulos-Receita'!$A$8:$P$1000,9,FALSE),"")</f>
        <v/>
      </c>
      <c r="Y593" s="92">
        <f>IFERROR(VLOOKUP($A593,'13. Mapa Títulos-Receita'!$A$8:$P$1000,10,FALSE),"")</f>
        <v/>
      </c>
      <c r="Z593" s="92">
        <f>IFERROR(VLOOKUP($A593,'13. Mapa Títulos-Receita'!$A$8:$P$1000,11,FALSE),"")</f>
        <v/>
      </c>
      <c r="AA593" s="92">
        <f>IFERROR(VLOOKUP($A593,'13. Mapa Títulos-Receita'!$A$8:$P$1000,12,FALSE),"")</f>
        <v/>
      </c>
      <c r="AB593" s="92">
        <f>IFERROR(VLOOKUP($A593,'13. Mapa Títulos-Receita'!$A$8:$P$1000,13,FALSE),"")</f>
        <v/>
      </c>
      <c r="AC593" s="92">
        <f>IFERROR(VLOOKUP($A593,'13. Mapa Títulos-Receita'!$A$8:$P$1000,14,FALSE),"")</f>
        <v/>
      </c>
      <c r="AD593" s="92">
        <f>IFERROR(VLOOKUP($A593,'13. Mapa Títulos-Receita'!$A$8:$P$1000,15,FALSE),"")</f>
        <v/>
      </c>
      <c r="AE593" s="92">
        <f>IFERROR(VLOOKUP($A593,'13. Mapa Títulos-Receita'!$A$8:$P$1000,16,FALSE),"")</f>
        <v/>
      </c>
    </row>
    <row r="594">
      <c r="A594" s="28">
        <f>IF(C594="","", "CR-"&amp;TEXT(ROW()-7,"000"))</f>
        <v/>
      </c>
      <c r="B594" s="28" t="n"/>
      <c r="C594" s="28" t="n"/>
      <c r="D594" s="111" t="n"/>
      <c r="E594" s="111" t="n"/>
      <c r="F594" s="111" t="n"/>
      <c r="G594" s="28" t="n"/>
      <c r="H594" s="45" t="n"/>
      <c r="I594" s="45" t="n"/>
      <c r="J594" s="28">
        <f>IF(H594="","",IF(I594&gt;=H594,"Recebido",IF($B$4&gt;E594,"Vencido","Aberto")))</f>
        <v/>
      </c>
      <c r="K594" s="4">
        <f>IF(J594="","",IF(OR(J594="Recebido",F594=""),MAX(0,F594-E594),MAX(0,$B$4-E594)))</f>
        <v/>
      </c>
      <c r="L594" s="4">
        <f>IF(K594="","",IF(K594=0,"Em dia",IF(K594&lt;=30,"1-30 dias",IF(K594&lt;=60,"31-60 dias",IF(K594&lt;=90,"61-90 dias","&gt;90 dias")))))</f>
        <v/>
      </c>
      <c r="M594" s="28" t="n"/>
      <c r="N594" s="104" t="inlineStr"/>
      <c r="O594" s="64" t="n"/>
      <c r="P594" s="64">
        <f>IF(C594="","",IF(ISNUMBER(SEARCH("PCMSO",C594)),"PCMSO",IF(OR(ISNUMBER(SEARCH("E-SOCIAL",C594)),ISNUMBER(SEARCH("PSICOSOCIAL",C594))),"eSocial / Psicossocial",IF(O594="Receita recorrente","Carteira recorrente","Projetos / Laudos / Avulsos"))))</f>
        <v/>
      </c>
      <c r="Q594" s="64">
        <f>IF(P594="","",IF(P594="Carteira recorrente","Operação recorrente",IF(P594="PCMSO","Projetos PCMSO",IF(P594="eSocial / Psicossocial","Projetos eSocial/Psicossocial","Projetos / Laudos / Avulsos"))))</f>
        <v/>
      </c>
      <c r="R594" s="64">
        <f>IF(C594="","",IF(ISNUMBER(SEARCH("PCMSO",C594)),"Título com PCMSO no nome",IF(OR(ISNUMBER(SEARCH("E-SOCIAL",C594)),ISNUMBER(SEARCH("PSICOSOCIAL",C594))),"Título com eSocial/Psicossocial no nome",IF(O594="Receita recorrente","Tipo DRE recorrente","Extra sem palavra-chave específica"))))</f>
        <v/>
      </c>
      <c r="S594" s="92">
        <f>IFERROR(VLOOKUP($A594,'13. Mapa Títulos-Receita'!$A$8:$P$1000,4,FALSE),"")</f>
        <v/>
      </c>
      <c r="T594" s="92">
        <f>IFERROR(VLOOKUP($A594,'13. Mapa Títulos-Receita'!$A$8:$P$1000,5,FALSE),"")</f>
        <v/>
      </c>
      <c r="U594" s="92">
        <f>IFERROR(VLOOKUP($A594,'13. Mapa Títulos-Receita'!$A$8:$P$1000,6,FALSE),"")</f>
        <v/>
      </c>
      <c r="V594" s="92">
        <f>IFERROR(VLOOKUP($A594,'13. Mapa Títulos-Receita'!$A$8:$P$1000,7,FALSE),"")</f>
        <v/>
      </c>
      <c r="W594" s="92">
        <f>IFERROR(VLOOKUP($A594,'13. Mapa Títulos-Receita'!$A$8:$P$1000,8,FALSE),"")</f>
        <v/>
      </c>
      <c r="X594" s="92">
        <f>IFERROR(VLOOKUP($A594,'13. Mapa Títulos-Receita'!$A$8:$P$1000,9,FALSE),"")</f>
        <v/>
      </c>
      <c r="Y594" s="92">
        <f>IFERROR(VLOOKUP($A594,'13. Mapa Títulos-Receita'!$A$8:$P$1000,10,FALSE),"")</f>
        <v/>
      </c>
      <c r="Z594" s="92">
        <f>IFERROR(VLOOKUP($A594,'13. Mapa Títulos-Receita'!$A$8:$P$1000,11,FALSE),"")</f>
        <v/>
      </c>
      <c r="AA594" s="92">
        <f>IFERROR(VLOOKUP($A594,'13. Mapa Títulos-Receita'!$A$8:$P$1000,12,FALSE),"")</f>
        <v/>
      </c>
      <c r="AB594" s="92">
        <f>IFERROR(VLOOKUP($A594,'13. Mapa Títulos-Receita'!$A$8:$P$1000,13,FALSE),"")</f>
        <v/>
      </c>
      <c r="AC594" s="92">
        <f>IFERROR(VLOOKUP($A594,'13. Mapa Títulos-Receita'!$A$8:$P$1000,14,FALSE),"")</f>
        <v/>
      </c>
      <c r="AD594" s="92">
        <f>IFERROR(VLOOKUP($A594,'13. Mapa Títulos-Receita'!$A$8:$P$1000,15,FALSE),"")</f>
        <v/>
      </c>
      <c r="AE594" s="92">
        <f>IFERROR(VLOOKUP($A594,'13. Mapa Títulos-Receita'!$A$8:$P$1000,16,FALSE),"")</f>
        <v/>
      </c>
    </row>
    <row r="595">
      <c r="A595" s="28">
        <f>IF(C595="","", "CR-"&amp;TEXT(ROW()-7,"000"))</f>
        <v/>
      </c>
      <c r="B595" s="28" t="n"/>
      <c r="C595" s="28" t="n"/>
      <c r="D595" s="111" t="n"/>
      <c r="E595" s="111" t="n"/>
      <c r="F595" s="111" t="n"/>
      <c r="G595" s="28" t="n"/>
      <c r="H595" s="45" t="n"/>
      <c r="I595" s="45" t="n"/>
      <c r="J595" s="28">
        <f>IF(H595="","",IF(I595&gt;=H595,"Recebido",IF($B$4&gt;E595,"Vencido","Aberto")))</f>
        <v/>
      </c>
      <c r="K595" s="4">
        <f>IF(J595="","",IF(OR(J595="Recebido",F595=""),MAX(0,F595-E595),MAX(0,$B$4-E595)))</f>
        <v/>
      </c>
      <c r="L595" s="4">
        <f>IF(K595="","",IF(K595=0,"Em dia",IF(K595&lt;=30,"1-30 dias",IF(K595&lt;=60,"31-60 dias",IF(K595&lt;=90,"61-90 dias","&gt;90 dias")))))</f>
        <v/>
      </c>
      <c r="M595" s="28" t="n"/>
      <c r="N595" s="104" t="inlineStr"/>
      <c r="O595" s="64" t="n"/>
      <c r="P595" s="64">
        <f>IF(C595="","",IF(ISNUMBER(SEARCH("PCMSO",C595)),"PCMSO",IF(OR(ISNUMBER(SEARCH("E-SOCIAL",C595)),ISNUMBER(SEARCH("PSICOSOCIAL",C595))),"eSocial / Psicossocial",IF(O595="Receita recorrente","Carteira recorrente","Projetos / Laudos / Avulsos"))))</f>
        <v/>
      </c>
      <c r="Q595" s="64">
        <f>IF(P595="","",IF(P595="Carteira recorrente","Operação recorrente",IF(P595="PCMSO","Projetos PCMSO",IF(P595="eSocial / Psicossocial","Projetos eSocial/Psicossocial","Projetos / Laudos / Avulsos"))))</f>
        <v/>
      </c>
      <c r="R595" s="64">
        <f>IF(C595="","",IF(ISNUMBER(SEARCH("PCMSO",C595)),"Título com PCMSO no nome",IF(OR(ISNUMBER(SEARCH("E-SOCIAL",C595)),ISNUMBER(SEARCH("PSICOSOCIAL",C595))),"Título com eSocial/Psicossocial no nome",IF(O595="Receita recorrente","Tipo DRE recorrente","Extra sem palavra-chave específica"))))</f>
        <v/>
      </c>
      <c r="S595" s="92">
        <f>IFERROR(VLOOKUP($A595,'13. Mapa Títulos-Receita'!$A$8:$P$1000,4,FALSE),"")</f>
        <v/>
      </c>
      <c r="T595" s="92">
        <f>IFERROR(VLOOKUP($A595,'13. Mapa Títulos-Receita'!$A$8:$P$1000,5,FALSE),"")</f>
        <v/>
      </c>
      <c r="U595" s="92">
        <f>IFERROR(VLOOKUP($A595,'13. Mapa Títulos-Receita'!$A$8:$P$1000,6,FALSE),"")</f>
        <v/>
      </c>
      <c r="V595" s="92">
        <f>IFERROR(VLOOKUP($A595,'13. Mapa Títulos-Receita'!$A$8:$P$1000,7,FALSE),"")</f>
        <v/>
      </c>
      <c r="W595" s="92">
        <f>IFERROR(VLOOKUP($A595,'13. Mapa Títulos-Receita'!$A$8:$P$1000,8,FALSE),"")</f>
        <v/>
      </c>
      <c r="X595" s="92">
        <f>IFERROR(VLOOKUP($A595,'13. Mapa Títulos-Receita'!$A$8:$P$1000,9,FALSE),"")</f>
        <v/>
      </c>
      <c r="Y595" s="92">
        <f>IFERROR(VLOOKUP($A595,'13. Mapa Títulos-Receita'!$A$8:$P$1000,10,FALSE),"")</f>
        <v/>
      </c>
      <c r="Z595" s="92">
        <f>IFERROR(VLOOKUP($A595,'13. Mapa Títulos-Receita'!$A$8:$P$1000,11,FALSE),"")</f>
        <v/>
      </c>
      <c r="AA595" s="92">
        <f>IFERROR(VLOOKUP($A595,'13. Mapa Títulos-Receita'!$A$8:$P$1000,12,FALSE),"")</f>
        <v/>
      </c>
      <c r="AB595" s="92">
        <f>IFERROR(VLOOKUP($A595,'13. Mapa Títulos-Receita'!$A$8:$P$1000,13,FALSE),"")</f>
        <v/>
      </c>
      <c r="AC595" s="92">
        <f>IFERROR(VLOOKUP($A595,'13. Mapa Títulos-Receita'!$A$8:$P$1000,14,FALSE),"")</f>
        <v/>
      </c>
      <c r="AD595" s="92">
        <f>IFERROR(VLOOKUP($A595,'13. Mapa Títulos-Receita'!$A$8:$P$1000,15,FALSE),"")</f>
        <v/>
      </c>
      <c r="AE595" s="92">
        <f>IFERROR(VLOOKUP($A595,'13. Mapa Títulos-Receita'!$A$8:$P$1000,16,FALSE),"")</f>
        <v/>
      </c>
    </row>
    <row r="596">
      <c r="A596" s="28">
        <f>IF(C596="","", "CR-"&amp;TEXT(ROW()-7,"000"))</f>
        <v/>
      </c>
      <c r="B596" s="28" t="n"/>
      <c r="C596" s="28" t="n"/>
      <c r="D596" s="111" t="n"/>
      <c r="E596" s="111" t="n"/>
      <c r="F596" s="111" t="n"/>
      <c r="G596" s="28" t="n"/>
      <c r="H596" s="45" t="n"/>
      <c r="I596" s="45" t="n"/>
      <c r="J596" s="28">
        <f>IF(H596="","",IF(I596&gt;=H596,"Recebido",IF($B$4&gt;E596,"Vencido","Aberto")))</f>
        <v/>
      </c>
      <c r="K596" s="4">
        <f>IF(J596="","",IF(OR(J596="Recebido",F596=""),MAX(0,F596-E596),MAX(0,$B$4-E596)))</f>
        <v/>
      </c>
      <c r="L596" s="4">
        <f>IF(K596="","",IF(K596=0,"Em dia",IF(K596&lt;=30,"1-30 dias",IF(K596&lt;=60,"31-60 dias",IF(K596&lt;=90,"61-90 dias","&gt;90 dias")))))</f>
        <v/>
      </c>
      <c r="M596" s="28" t="n"/>
      <c r="N596" s="104" t="inlineStr"/>
      <c r="O596" s="64" t="n"/>
      <c r="P596" s="64">
        <f>IF(C596="","",IF(ISNUMBER(SEARCH("PCMSO",C596)),"PCMSO",IF(OR(ISNUMBER(SEARCH("E-SOCIAL",C596)),ISNUMBER(SEARCH("PSICOSOCIAL",C596))),"eSocial / Psicossocial",IF(O596="Receita recorrente","Carteira recorrente","Projetos / Laudos / Avulsos"))))</f>
        <v/>
      </c>
      <c r="Q596" s="64">
        <f>IF(P596="","",IF(P596="Carteira recorrente","Operação recorrente",IF(P596="PCMSO","Projetos PCMSO",IF(P596="eSocial / Psicossocial","Projetos eSocial/Psicossocial","Projetos / Laudos / Avulsos"))))</f>
        <v/>
      </c>
      <c r="R596" s="64">
        <f>IF(C596="","",IF(ISNUMBER(SEARCH("PCMSO",C596)),"Título com PCMSO no nome",IF(OR(ISNUMBER(SEARCH("E-SOCIAL",C596)),ISNUMBER(SEARCH("PSICOSOCIAL",C596))),"Título com eSocial/Psicossocial no nome",IF(O596="Receita recorrente","Tipo DRE recorrente","Extra sem palavra-chave específica"))))</f>
        <v/>
      </c>
      <c r="S596" s="92">
        <f>IFERROR(VLOOKUP($A596,'13. Mapa Títulos-Receita'!$A$8:$P$1000,4,FALSE),"")</f>
        <v/>
      </c>
      <c r="T596" s="92">
        <f>IFERROR(VLOOKUP($A596,'13. Mapa Títulos-Receita'!$A$8:$P$1000,5,FALSE),"")</f>
        <v/>
      </c>
      <c r="U596" s="92">
        <f>IFERROR(VLOOKUP($A596,'13. Mapa Títulos-Receita'!$A$8:$P$1000,6,FALSE),"")</f>
        <v/>
      </c>
      <c r="V596" s="92">
        <f>IFERROR(VLOOKUP($A596,'13. Mapa Títulos-Receita'!$A$8:$P$1000,7,FALSE),"")</f>
        <v/>
      </c>
      <c r="W596" s="92">
        <f>IFERROR(VLOOKUP($A596,'13. Mapa Títulos-Receita'!$A$8:$P$1000,8,FALSE),"")</f>
        <v/>
      </c>
      <c r="X596" s="92">
        <f>IFERROR(VLOOKUP($A596,'13. Mapa Títulos-Receita'!$A$8:$P$1000,9,FALSE),"")</f>
        <v/>
      </c>
      <c r="Y596" s="92">
        <f>IFERROR(VLOOKUP($A596,'13. Mapa Títulos-Receita'!$A$8:$P$1000,10,FALSE),"")</f>
        <v/>
      </c>
      <c r="Z596" s="92">
        <f>IFERROR(VLOOKUP($A596,'13. Mapa Títulos-Receita'!$A$8:$P$1000,11,FALSE),"")</f>
        <v/>
      </c>
      <c r="AA596" s="92">
        <f>IFERROR(VLOOKUP($A596,'13. Mapa Títulos-Receita'!$A$8:$P$1000,12,FALSE),"")</f>
        <v/>
      </c>
      <c r="AB596" s="92">
        <f>IFERROR(VLOOKUP($A596,'13. Mapa Títulos-Receita'!$A$8:$P$1000,13,FALSE),"")</f>
        <v/>
      </c>
      <c r="AC596" s="92">
        <f>IFERROR(VLOOKUP($A596,'13. Mapa Títulos-Receita'!$A$8:$P$1000,14,FALSE),"")</f>
        <v/>
      </c>
      <c r="AD596" s="92">
        <f>IFERROR(VLOOKUP($A596,'13. Mapa Títulos-Receita'!$A$8:$P$1000,15,FALSE),"")</f>
        <v/>
      </c>
      <c r="AE596" s="92">
        <f>IFERROR(VLOOKUP($A596,'13. Mapa Títulos-Receita'!$A$8:$P$1000,16,FALSE),"")</f>
        <v/>
      </c>
    </row>
    <row r="597">
      <c r="A597" s="28">
        <f>IF(C597="","", "CR-"&amp;TEXT(ROW()-7,"000"))</f>
        <v/>
      </c>
      <c r="B597" s="28" t="n"/>
      <c r="C597" s="28" t="n"/>
      <c r="D597" s="111" t="n"/>
      <c r="E597" s="111" t="n"/>
      <c r="F597" s="111" t="n"/>
      <c r="G597" s="28" t="n"/>
      <c r="H597" s="45" t="n"/>
      <c r="I597" s="45" t="n"/>
      <c r="J597" s="28">
        <f>IF(H597="","",IF(I597&gt;=H597,"Recebido",IF($B$4&gt;E597,"Vencido","Aberto")))</f>
        <v/>
      </c>
      <c r="K597" s="4">
        <f>IF(J597="","",IF(OR(J597="Recebido",F597=""),MAX(0,F597-E597),MAX(0,$B$4-E597)))</f>
        <v/>
      </c>
      <c r="L597" s="4">
        <f>IF(K597="","",IF(K597=0,"Em dia",IF(K597&lt;=30,"1-30 dias",IF(K597&lt;=60,"31-60 dias",IF(K597&lt;=90,"61-90 dias","&gt;90 dias")))))</f>
        <v/>
      </c>
      <c r="M597" s="28" t="n"/>
      <c r="N597" s="104" t="inlineStr"/>
      <c r="O597" s="64" t="n"/>
      <c r="P597" s="64">
        <f>IF(C597="","",IF(ISNUMBER(SEARCH("PCMSO",C597)),"PCMSO",IF(OR(ISNUMBER(SEARCH("E-SOCIAL",C597)),ISNUMBER(SEARCH("PSICOSOCIAL",C597))),"eSocial / Psicossocial",IF(O597="Receita recorrente","Carteira recorrente","Projetos / Laudos / Avulsos"))))</f>
        <v/>
      </c>
      <c r="Q597" s="64">
        <f>IF(P597="","",IF(P597="Carteira recorrente","Operação recorrente",IF(P597="PCMSO","Projetos PCMSO",IF(P597="eSocial / Psicossocial","Projetos eSocial/Psicossocial","Projetos / Laudos / Avulsos"))))</f>
        <v/>
      </c>
      <c r="R597" s="64">
        <f>IF(C597="","",IF(ISNUMBER(SEARCH("PCMSO",C597)),"Título com PCMSO no nome",IF(OR(ISNUMBER(SEARCH("E-SOCIAL",C597)),ISNUMBER(SEARCH("PSICOSOCIAL",C597))),"Título com eSocial/Psicossocial no nome",IF(O597="Receita recorrente","Tipo DRE recorrente","Extra sem palavra-chave específica"))))</f>
        <v/>
      </c>
      <c r="S597" s="92">
        <f>IFERROR(VLOOKUP($A597,'13. Mapa Títulos-Receita'!$A$8:$P$1000,4,FALSE),"")</f>
        <v/>
      </c>
      <c r="T597" s="92">
        <f>IFERROR(VLOOKUP($A597,'13. Mapa Títulos-Receita'!$A$8:$P$1000,5,FALSE),"")</f>
        <v/>
      </c>
      <c r="U597" s="92">
        <f>IFERROR(VLOOKUP($A597,'13. Mapa Títulos-Receita'!$A$8:$P$1000,6,FALSE),"")</f>
        <v/>
      </c>
      <c r="V597" s="92">
        <f>IFERROR(VLOOKUP($A597,'13. Mapa Títulos-Receita'!$A$8:$P$1000,7,FALSE),"")</f>
        <v/>
      </c>
      <c r="W597" s="92">
        <f>IFERROR(VLOOKUP($A597,'13. Mapa Títulos-Receita'!$A$8:$P$1000,8,FALSE),"")</f>
        <v/>
      </c>
      <c r="X597" s="92">
        <f>IFERROR(VLOOKUP($A597,'13. Mapa Títulos-Receita'!$A$8:$P$1000,9,FALSE),"")</f>
        <v/>
      </c>
      <c r="Y597" s="92">
        <f>IFERROR(VLOOKUP($A597,'13. Mapa Títulos-Receita'!$A$8:$P$1000,10,FALSE),"")</f>
        <v/>
      </c>
      <c r="Z597" s="92">
        <f>IFERROR(VLOOKUP($A597,'13. Mapa Títulos-Receita'!$A$8:$P$1000,11,FALSE),"")</f>
        <v/>
      </c>
      <c r="AA597" s="92">
        <f>IFERROR(VLOOKUP($A597,'13. Mapa Títulos-Receita'!$A$8:$P$1000,12,FALSE),"")</f>
        <v/>
      </c>
      <c r="AB597" s="92">
        <f>IFERROR(VLOOKUP($A597,'13. Mapa Títulos-Receita'!$A$8:$P$1000,13,FALSE),"")</f>
        <v/>
      </c>
      <c r="AC597" s="92">
        <f>IFERROR(VLOOKUP($A597,'13. Mapa Títulos-Receita'!$A$8:$P$1000,14,FALSE),"")</f>
        <v/>
      </c>
      <c r="AD597" s="92">
        <f>IFERROR(VLOOKUP($A597,'13. Mapa Títulos-Receita'!$A$8:$P$1000,15,FALSE),"")</f>
        <v/>
      </c>
      <c r="AE597" s="92">
        <f>IFERROR(VLOOKUP($A597,'13. Mapa Títulos-Receita'!$A$8:$P$1000,16,FALSE),"")</f>
        <v/>
      </c>
    </row>
    <row r="598">
      <c r="A598" s="28">
        <f>IF(C598="","", "CR-"&amp;TEXT(ROW()-7,"000"))</f>
        <v/>
      </c>
      <c r="B598" s="28" t="n"/>
      <c r="C598" s="28" t="n"/>
      <c r="D598" s="111" t="n"/>
      <c r="E598" s="111" t="n"/>
      <c r="F598" s="111" t="n"/>
      <c r="G598" s="28" t="n"/>
      <c r="H598" s="45" t="n"/>
      <c r="I598" s="45" t="n"/>
      <c r="J598" s="28">
        <f>IF(H598="","",IF(I598&gt;=H598,"Recebido",IF($B$4&gt;E598,"Vencido","Aberto")))</f>
        <v/>
      </c>
      <c r="K598" s="4">
        <f>IF(J598="","",IF(OR(J598="Recebido",F598=""),MAX(0,F598-E598),MAX(0,$B$4-E598)))</f>
        <v/>
      </c>
      <c r="L598" s="4">
        <f>IF(K598="","",IF(K598=0,"Em dia",IF(K598&lt;=30,"1-30 dias",IF(K598&lt;=60,"31-60 dias",IF(K598&lt;=90,"61-90 dias","&gt;90 dias")))))</f>
        <v/>
      </c>
      <c r="M598" s="28" t="n"/>
      <c r="N598" s="104" t="inlineStr"/>
      <c r="O598" s="64" t="n"/>
      <c r="P598" s="64">
        <f>IF(C598="","",IF(ISNUMBER(SEARCH("PCMSO",C598)),"PCMSO",IF(OR(ISNUMBER(SEARCH("E-SOCIAL",C598)),ISNUMBER(SEARCH("PSICOSOCIAL",C598))),"eSocial / Psicossocial",IF(O598="Receita recorrente","Carteira recorrente","Projetos / Laudos / Avulsos"))))</f>
        <v/>
      </c>
      <c r="Q598" s="64">
        <f>IF(P598="","",IF(P598="Carteira recorrente","Operação recorrente",IF(P598="PCMSO","Projetos PCMSO",IF(P598="eSocial / Psicossocial","Projetos eSocial/Psicossocial","Projetos / Laudos / Avulsos"))))</f>
        <v/>
      </c>
      <c r="R598" s="64">
        <f>IF(C598="","",IF(ISNUMBER(SEARCH("PCMSO",C598)),"Título com PCMSO no nome",IF(OR(ISNUMBER(SEARCH("E-SOCIAL",C598)),ISNUMBER(SEARCH("PSICOSOCIAL",C598))),"Título com eSocial/Psicossocial no nome",IF(O598="Receita recorrente","Tipo DRE recorrente","Extra sem palavra-chave específica"))))</f>
        <v/>
      </c>
      <c r="S598" s="92">
        <f>IFERROR(VLOOKUP($A598,'13. Mapa Títulos-Receita'!$A$8:$P$1000,4,FALSE),"")</f>
        <v/>
      </c>
      <c r="T598" s="92">
        <f>IFERROR(VLOOKUP($A598,'13. Mapa Títulos-Receita'!$A$8:$P$1000,5,FALSE),"")</f>
        <v/>
      </c>
      <c r="U598" s="92">
        <f>IFERROR(VLOOKUP($A598,'13. Mapa Títulos-Receita'!$A$8:$P$1000,6,FALSE),"")</f>
        <v/>
      </c>
      <c r="V598" s="92">
        <f>IFERROR(VLOOKUP($A598,'13. Mapa Títulos-Receita'!$A$8:$P$1000,7,FALSE),"")</f>
        <v/>
      </c>
      <c r="W598" s="92">
        <f>IFERROR(VLOOKUP($A598,'13. Mapa Títulos-Receita'!$A$8:$P$1000,8,FALSE),"")</f>
        <v/>
      </c>
      <c r="X598" s="92">
        <f>IFERROR(VLOOKUP($A598,'13. Mapa Títulos-Receita'!$A$8:$P$1000,9,FALSE),"")</f>
        <v/>
      </c>
      <c r="Y598" s="92">
        <f>IFERROR(VLOOKUP($A598,'13. Mapa Títulos-Receita'!$A$8:$P$1000,10,FALSE),"")</f>
        <v/>
      </c>
      <c r="Z598" s="92">
        <f>IFERROR(VLOOKUP($A598,'13. Mapa Títulos-Receita'!$A$8:$P$1000,11,FALSE),"")</f>
        <v/>
      </c>
      <c r="AA598" s="92">
        <f>IFERROR(VLOOKUP($A598,'13. Mapa Títulos-Receita'!$A$8:$P$1000,12,FALSE),"")</f>
        <v/>
      </c>
      <c r="AB598" s="92">
        <f>IFERROR(VLOOKUP($A598,'13. Mapa Títulos-Receita'!$A$8:$P$1000,13,FALSE),"")</f>
        <v/>
      </c>
      <c r="AC598" s="92">
        <f>IFERROR(VLOOKUP($A598,'13. Mapa Títulos-Receita'!$A$8:$P$1000,14,FALSE),"")</f>
        <v/>
      </c>
      <c r="AD598" s="92">
        <f>IFERROR(VLOOKUP($A598,'13. Mapa Títulos-Receita'!$A$8:$P$1000,15,FALSE),"")</f>
        <v/>
      </c>
      <c r="AE598" s="92">
        <f>IFERROR(VLOOKUP($A598,'13. Mapa Títulos-Receita'!$A$8:$P$1000,16,FALSE),"")</f>
        <v/>
      </c>
    </row>
    <row r="599">
      <c r="A599" s="28">
        <f>IF(C599="","", "CR-"&amp;TEXT(ROW()-7,"000"))</f>
        <v/>
      </c>
      <c r="B599" s="28" t="n"/>
      <c r="C599" s="28" t="n"/>
      <c r="D599" s="111" t="n"/>
      <c r="E599" s="111" t="n"/>
      <c r="F599" s="111" t="n"/>
      <c r="G599" s="28" t="n"/>
      <c r="H599" s="45" t="n"/>
      <c r="I599" s="45" t="n"/>
      <c r="J599" s="28">
        <f>IF(H599="","",IF(I599&gt;=H599,"Recebido",IF($B$4&gt;E599,"Vencido","Aberto")))</f>
        <v/>
      </c>
      <c r="K599" s="4">
        <f>IF(J599="","",IF(OR(J599="Recebido",F599=""),MAX(0,F599-E599),MAX(0,$B$4-E599)))</f>
        <v/>
      </c>
      <c r="L599" s="4">
        <f>IF(K599="","",IF(K599=0,"Em dia",IF(K599&lt;=30,"1-30 dias",IF(K599&lt;=60,"31-60 dias",IF(K599&lt;=90,"61-90 dias","&gt;90 dias")))))</f>
        <v/>
      </c>
      <c r="M599" s="28" t="n"/>
      <c r="N599" s="104" t="inlineStr"/>
      <c r="O599" s="64" t="n"/>
      <c r="P599" s="64">
        <f>IF(C599="","",IF(ISNUMBER(SEARCH("PCMSO",C599)),"PCMSO",IF(OR(ISNUMBER(SEARCH("E-SOCIAL",C599)),ISNUMBER(SEARCH("PSICOSOCIAL",C599))),"eSocial / Psicossocial",IF(O599="Receita recorrente","Carteira recorrente","Projetos / Laudos / Avulsos"))))</f>
        <v/>
      </c>
      <c r="Q599" s="64">
        <f>IF(P599="","",IF(P599="Carteira recorrente","Operação recorrente",IF(P599="PCMSO","Projetos PCMSO",IF(P599="eSocial / Psicossocial","Projetos eSocial/Psicossocial","Projetos / Laudos / Avulsos"))))</f>
        <v/>
      </c>
      <c r="R599" s="64">
        <f>IF(C599="","",IF(ISNUMBER(SEARCH("PCMSO",C599)),"Título com PCMSO no nome",IF(OR(ISNUMBER(SEARCH("E-SOCIAL",C599)),ISNUMBER(SEARCH("PSICOSOCIAL",C599))),"Título com eSocial/Psicossocial no nome",IF(O599="Receita recorrente","Tipo DRE recorrente","Extra sem palavra-chave específica"))))</f>
        <v/>
      </c>
      <c r="S599" s="92">
        <f>IFERROR(VLOOKUP($A599,'13. Mapa Títulos-Receita'!$A$8:$P$1000,4,FALSE),"")</f>
        <v/>
      </c>
      <c r="T599" s="92">
        <f>IFERROR(VLOOKUP($A599,'13. Mapa Títulos-Receita'!$A$8:$P$1000,5,FALSE),"")</f>
        <v/>
      </c>
      <c r="U599" s="92">
        <f>IFERROR(VLOOKUP($A599,'13. Mapa Títulos-Receita'!$A$8:$P$1000,6,FALSE),"")</f>
        <v/>
      </c>
      <c r="V599" s="92">
        <f>IFERROR(VLOOKUP($A599,'13. Mapa Títulos-Receita'!$A$8:$P$1000,7,FALSE),"")</f>
        <v/>
      </c>
      <c r="W599" s="92">
        <f>IFERROR(VLOOKUP($A599,'13. Mapa Títulos-Receita'!$A$8:$P$1000,8,FALSE),"")</f>
        <v/>
      </c>
      <c r="X599" s="92">
        <f>IFERROR(VLOOKUP($A599,'13. Mapa Títulos-Receita'!$A$8:$P$1000,9,FALSE),"")</f>
        <v/>
      </c>
      <c r="Y599" s="92">
        <f>IFERROR(VLOOKUP($A599,'13. Mapa Títulos-Receita'!$A$8:$P$1000,10,FALSE),"")</f>
        <v/>
      </c>
      <c r="Z599" s="92">
        <f>IFERROR(VLOOKUP($A599,'13. Mapa Títulos-Receita'!$A$8:$P$1000,11,FALSE),"")</f>
        <v/>
      </c>
      <c r="AA599" s="92">
        <f>IFERROR(VLOOKUP($A599,'13. Mapa Títulos-Receita'!$A$8:$P$1000,12,FALSE),"")</f>
        <v/>
      </c>
      <c r="AB599" s="92">
        <f>IFERROR(VLOOKUP($A599,'13. Mapa Títulos-Receita'!$A$8:$P$1000,13,FALSE),"")</f>
        <v/>
      </c>
      <c r="AC599" s="92">
        <f>IFERROR(VLOOKUP($A599,'13. Mapa Títulos-Receita'!$A$8:$P$1000,14,FALSE),"")</f>
        <v/>
      </c>
      <c r="AD599" s="92">
        <f>IFERROR(VLOOKUP($A599,'13. Mapa Títulos-Receita'!$A$8:$P$1000,15,FALSE),"")</f>
        <v/>
      </c>
      <c r="AE599" s="92">
        <f>IFERROR(VLOOKUP($A599,'13. Mapa Títulos-Receita'!$A$8:$P$1000,16,FALSE),"")</f>
        <v/>
      </c>
    </row>
    <row r="600">
      <c r="A600" s="28">
        <f>IF(C600="","", "CR-"&amp;TEXT(ROW()-7,"000"))</f>
        <v/>
      </c>
      <c r="B600" s="28" t="n"/>
      <c r="C600" s="28" t="n"/>
      <c r="D600" s="111" t="n"/>
      <c r="E600" s="111" t="n"/>
      <c r="F600" s="111" t="n"/>
      <c r="G600" s="28" t="n"/>
      <c r="H600" s="45" t="n"/>
      <c r="I600" s="45" t="n"/>
      <c r="J600" s="28">
        <f>IF(H600="","",IF(I600&gt;=H600,"Recebido",IF($B$4&gt;E600,"Vencido","Aberto")))</f>
        <v/>
      </c>
      <c r="K600" s="4">
        <f>IF(J600="","",IF(OR(J600="Recebido",F600=""),MAX(0,F600-E600),MAX(0,$B$4-E600)))</f>
        <v/>
      </c>
      <c r="L600" s="4">
        <f>IF(K600="","",IF(K600=0,"Em dia",IF(K600&lt;=30,"1-30 dias",IF(K600&lt;=60,"31-60 dias",IF(K600&lt;=90,"61-90 dias","&gt;90 dias")))))</f>
        <v/>
      </c>
      <c r="M600" s="28" t="n"/>
      <c r="N600" s="104" t="inlineStr"/>
      <c r="O600" s="64" t="n"/>
      <c r="P600" s="64">
        <f>IF(C600="","",IF(ISNUMBER(SEARCH("PCMSO",C600)),"PCMSO",IF(OR(ISNUMBER(SEARCH("E-SOCIAL",C600)),ISNUMBER(SEARCH("PSICOSOCIAL",C600))),"eSocial / Psicossocial",IF(O600="Receita recorrente","Carteira recorrente","Projetos / Laudos / Avulsos"))))</f>
        <v/>
      </c>
      <c r="Q600" s="64">
        <f>IF(P600="","",IF(P600="Carteira recorrente","Operação recorrente",IF(P600="PCMSO","Projetos PCMSO",IF(P600="eSocial / Psicossocial","Projetos eSocial/Psicossocial","Projetos / Laudos / Avulsos"))))</f>
        <v/>
      </c>
      <c r="R600" s="64">
        <f>IF(C600="","",IF(ISNUMBER(SEARCH("PCMSO",C600)),"Título com PCMSO no nome",IF(OR(ISNUMBER(SEARCH("E-SOCIAL",C600)),ISNUMBER(SEARCH("PSICOSOCIAL",C600))),"Título com eSocial/Psicossocial no nome",IF(O600="Receita recorrente","Tipo DRE recorrente","Extra sem palavra-chave específica"))))</f>
        <v/>
      </c>
      <c r="S600" s="92">
        <f>IFERROR(VLOOKUP($A600,'13. Mapa Títulos-Receita'!$A$8:$P$1000,4,FALSE),"")</f>
        <v/>
      </c>
      <c r="T600" s="92">
        <f>IFERROR(VLOOKUP($A600,'13. Mapa Títulos-Receita'!$A$8:$P$1000,5,FALSE),"")</f>
        <v/>
      </c>
      <c r="U600" s="92">
        <f>IFERROR(VLOOKUP($A600,'13. Mapa Títulos-Receita'!$A$8:$P$1000,6,FALSE),"")</f>
        <v/>
      </c>
      <c r="V600" s="92">
        <f>IFERROR(VLOOKUP($A600,'13. Mapa Títulos-Receita'!$A$8:$P$1000,7,FALSE),"")</f>
        <v/>
      </c>
      <c r="W600" s="92">
        <f>IFERROR(VLOOKUP($A600,'13. Mapa Títulos-Receita'!$A$8:$P$1000,8,FALSE),"")</f>
        <v/>
      </c>
      <c r="X600" s="92">
        <f>IFERROR(VLOOKUP($A600,'13. Mapa Títulos-Receita'!$A$8:$P$1000,9,FALSE),"")</f>
        <v/>
      </c>
      <c r="Y600" s="92">
        <f>IFERROR(VLOOKUP($A600,'13. Mapa Títulos-Receita'!$A$8:$P$1000,10,FALSE),"")</f>
        <v/>
      </c>
      <c r="Z600" s="92">
        <f>IFERROR(VLOOKUP($A600,'13. Mapa Títulos-Receita'!$A$8:$P$1000,11,FALSE),"")</f>
        <v/>
      </c>
      <c r="AA600" s="92">
        <f>IFERROR(VLOOKUP($A600,'13. Mapa Títulos-Receita'!$A$8:$P$1000,12,FALSE),"")</f>
        <v/>
      </c>
      <c r="AB600" s="92">
        <f>IFERROR(VLOOKUP($A600,'13. Mapa Títulos-Receita'!$A$8:$P$1000,13,FALSE),"")</f>
        <v/>
      </c>
      <c r="AC600" s="92">
        <f>IFERROR(VLOOKUP($A600,'13. Mapa Títulos-Receita'!$A$8:$P$1000,14,FALSE),"")</f>
        <v/>
      </c>
      <c r="AD600" s="92">
        <f>IFERROR(VLOOKUP($A600,'13. Mapa Títulos-Receita'!$A$8:$P$1000,15,FALSE),"")</f>
        <v/>
      </c>
      <c r="AE600" s="92">
        <f>IFERROR(VLOOKUP($A600,'13. Mapa Títulos-Receita'!$A$8:$P$1000,16,FALSE),"")</f>
        <v/>
      </c>
    </row>
    <row r="601">
      <c r="A601" s="28">
        <f>IF(C601="","", "CR-"&amp;TEXT(ROW()-7,"000"))</f>
        <v/>
      </c>
      <c r="B601" s="28" t="n"/>
      <c r="C601" s="28" t="n"/>
      <c r="D601" s="111" t="n"/>
      <c r="E601" s="111" t="n"/>
      <c r="F601" s="111" t="n"/>
      <c r="G601" s="28" t="n"/>
      <c r="H601" s="45" t="n"/>
      <c r="I601" s="45" t="n"/>
      <c r="J601" s="28">
        <f>IF(H601="","",IF(I601&gt;=H601,"Recebido",IF($B$4&gt;E601,"Vencido","Aberto")))</f>
        <v/>
      </c>
      <c r="K601" s="4">
        <f>IF(J601="","",IF(OR(J601="Recebido",F601=""),MAX(0,F601-E601),MAX(0,$B$4-E601)))</f>
        <v/>
      </c>
      <c r="L601" s="4">
        <f>IF(K601="","",IF(K601=0,"Em dia",IF(K601&lt;=30,"1-30 dias",IF(K601&lt;=60,"31-60 dias",IF(K601&lt;=90,"61-90 dias","&gt;90 dias")))))</f>
        <v/>
      </c>
      <c r="M601" s="28" t="n"/>
      <c r="N601" s="104" t="inlineStr"/>
      <c r="O601" s="64" t="n"/>
      <c r="P601" s="64">
        <f>IF(C601="","",IF(ISNUMBER(SEARCH("PCMSO",C601)),"PCMSO",IF(OR(ISNUMBER(SEARCH("E-SOCIAL",C601)),ISNUMBER(SEARCH("PSICOSOCIAL",C601))),"eSocial / Psicossocial",IF(O601="Receita recorrente","Carteira recorrente","Projetos / Laudos / Avulsos"))))</f>
        <v/>
      </c>
      <c r="Q601" s="64">
        <f>IF(P601="","",IF(P601="Carteira recorrente","Operação recorrente",IF(P601="PCMSO","Projetos PCMSO",IF(P601="eSocial / Psicossocial","Projetos eSocial/Psicossocial","Projetos / Laudos / Avulsos"))))</f>
        <v/>
      </c>
      <c r="R601" s="64">
        <f>IF(C601="","",IF(ISNUMBER(SEARCH("PCMSO",C601)),"Título com PCMSO no nome",IF(OR(ISNUMBER(SEARCH("E-SOCIAL",C601)),ISNUMBER(SEARCH("PSICOSOCIAL",C601))),"Título com eSocial/Psicossocial no nome",IF(O601="Receita recorrente","Tipo DRE recorrente","Extra sem palavra-chave específica"))))</f>
        <v/>
      </c>
      <c r="S601" s="92">
        <f>IFERROR(VLOOKUP($A601,'13. Mapa Títulos-Receita'!$A$8:$P$1000,4,FALSE),"")</f>
        <v/>
      </c>
      <c r="T601" s="92">
        <f>IFERROR(VLOOKUP($A601,'13. Mapa Títulos-Receita'!$A$8:$P$1000,5,FALSE),"")</f>
        <v/>
      </c>
      <c r="U601" s="92">
        <f>IFERROR(VLOOKUP($A601,'13. Mapa Títulos-Receita'!$A$8:$P$1000,6,FALSE),"")</f>
        <v/>
      </c>
      <c r="V601" s="92">
        <f>IFERROR(VLOOKUP($A601,'13. Mapa Títulos-Receita'!$A$8:$P$1000,7,FALSE),"")</f>
        <v/>
      </c>
      <c r="W601" s="92">
        <f>IFERROR(VLOOKUP($A601,'13. Mapa Títulos-Receita'!$A$8:$P$1000,8,FALSE),"")</f>
        <v/>
      </c>
      <c r="X601" s="92">
        <f>IFERROR(VLOOKUP($A601,'13. Mapa Títulos-Receita'!$A$8:$P$1000,9,FALSE),"")</f>
        <v/>
      </c>
      <c r="Y601" s="92">
        <f>IFERROR(VLOOKUP($A601,'13. Mapa Títulos-Receita'!$A$8:$P$1000,10,FALSE),"")</f>
        <v/>
      </c>
      <c r="Z601" s="92">
        <f>IFERROR(VLOOKUP($A601,'13. Mapa Títulos-Receita'!$A$8:$P$1000,11,FALSE),"")</f>
        <v/>
      </c>
      <c r="AA601" s="92">
        <f>IFERROR(VLOOKUP($A601,'13. Mapa Títulos-Receita'!$A$8:$P$1000,12,FALSE),"")</f>
        <v/>
      </c>
      <c r="AB601" s="92">
        <f>IFERROR(VLOOKUP($A601,'13. Mapa Títulos-Receita'!$A$8:$P$1000,13,FALSE),"")</f>
        <v/>
      </c>
      <c r="AC601" s="92">
        <f>IFERROR(VLOOKUP($A601,'13. Mapa Títulos-Receita'!$A$8:$P$1000,14,FALSE),"")</f>
        <v/>
      </c>
      <c r="AD601" s="92">
        <f>IFERROR(VLOOKUP($A601,'13. Mapa Títulos-Receita'!$A$8:$P$1000,15,FALSE),"")</f>
        <v/>
      </c>
      <c r="AE601" s="92">
        <f>IFERROR(VLOOKUP($A601,'13. Mapa Títulos-Receita'!$A$8:$P$1000,16,FALSE),"")</f>
        <v/>
      </c>
    </row>
    <row r="602">
      <c r="A602" s="28">
        <f>IF(C602="","", "CR-"&amp;TEXT(ROW()-7,"000"))</f>
        <v/>
      </c>
      <c r="B602" s="28" t="n"/>
      <c r="C602" s="28" t="n"/>
      <c r="D602" s="111" t="n"/>
      <c r="E602" s="111" t="n"/>
      <c r="F602" s="111" t="n"/>
      <c r="G602" s="28" t="n"/>
      <c r="H602" s="45" t="n"/>
      <c r="I602" s="45" t="n"/>
      <c r="J602" s="28">
        <f>IF(H602="","",IF(I602&gt;=H602,"Recebido",IF($B$4&gt;E602,"Vencido","Aberto")))</f>
        <v/>
      </c>
      <c r="K602" s="4">
        <f>IF(J602="","",IF(OR(J602="Recebido",F602=""),MAX(0,F602-E602),MAX(0,$B$4-E602)))</f>
        <v/>
      </c>
      <c r="L602" s="4">
        <f>IF(K602="","",IF(K602=0,"Em dia",IF(K602&lt;=30,"1-30 dias",IF(K602&lt;=60,"31-60 dias",IF(K602&lt;=90,"61-90 dias","&gt;90 dias")))))</f>
        <v/>
      </c>
      <c r="M602" s="28" t="n"/>
      <c r="N602" s="104" t="inlineStr"/>
      <c r="O602" s="64" t="n"/>
      <c r="P602" s="64">
        <f>IF(C602="","",IF(ISNUMBER(SEARCH("PCMSO",C602)),"PCMSO",IF(OR(ISNUMBER(SEARCH("E-SOCIAL",C602)),ISNUMBER(SEARCH("PSICOSOCIAL",C602))),"eSocial / Psicossocial",IF(O602="Receita recorrente","Carteira recorrente","Projetos / Laudos / Avulsos"))))</f>
        <v/>
      </c>
      <c r="Q602" s="64">
        <f>IF(P602="","",IF(P602="Carteira recorrente","Operação recorrente",IF(P602="PCMSO","Projetos PCMSO",IF(P602="eSocial / Psicossocial","Projetos eSocial/Psicossocial","Projetos / Laudos / Avulsos"))))</f>
        <v/>
      </c>
      <c r="R602" s="64">
        <f>IF(C602="","",IF(ISNUMBER(SEARCH("PCMSO",C602)),"Título com PCMSO no nome",IF(OR(ISNUMBER(SEARCH("E-SOCIAL",C602)),ISNUMBER(SEARCH("PSICOSOCIAL",C602))),"Título com eSocial/Psicossocial no nome",IF(O602="Receita recorrente","Tipo DRE recorrente","Extra sem palavra-chave específica"))))</f>
        <v/>
      </c>
      <c r="S602" s="92">
        <f>IFERROR(VLOOKUP($A602,'13. Mapa Títulos-Receita'!$A$8:$P$1000,4,FALSE),"")</f>
        <v/>
      </c>
      <c r="T602" s="92">
        <f>IFERROR(VLOOKUP($A602,'13. Mapa Títulos-Receita'!$A$8:$P$1000,5,FALSE),"")</f>
        <v/>
      </c>
      <c r="U602" s="92">
        <f>IFERROR(VLOOKUP($A602,'13. Mapa Títulos-Receita'!$A$8:$P$1000,6,FALSE),"")</f>
        <v/>
      </c>
      <c r="V602" s="92">
        <f>IFERROR(VLOOKUP($A602,'13. Mapa Títulos-Receita'!$A$8:$P$1000,7,FALSE),"")</f>
        <v/>
      </c>
      <c r="W602" s="92">
        <f>IFERROR(VLOOKUP($A602,'13. Mapa Títulos-Receita'!$A$8:$P$1000,8,FALSE),"")</f>
        <v/>
      </c>
      <c r="X602" s="92">
        <f>IFERROR(VLOOKUP($A602,'13. Mapa Títulos-Receita'!$A$8:$P$1000,9,FALSE),"")</f>
        <v/>
      </c>
      <c r="Y602" s="92">
        <f>IFERROR(VLOOKUP($A602,'13. Mapa Títulos-Receita'!$A$8:$P$1000,10,FALSE),"")</f>
        <v/>
      </c>
      <c r="Z602" s="92">
        <f>IFERROR(VLOOKUP($A602,'13. Mapa Títulos-Receita'!$A$8:$P$1000,11,FALSE),"")</f>
        <v/>
      </c>
      <c r="AA602" s="92">
        <f>IFERROR(VLOOKUP($A602,'13. Mapa Títulos-Receita'!$A$8:$P$1000,12,FALSE),"")</f>
        <v/>
      </c>
      <c r="AB602" s="92">
        <f>IFERROR(VLOOKUP($A602,'13. Mapa Títulos-Receita'!$A$8:$P$1000,13,FALSE),"")</f>
        <v/>
      </c>
      <c r="AC602" s="92">
        <f>IFERROR(VLOOKUP($A602,'13. Mapa Títulos-Receita'!$A$8:$P$1000,14,FALSE),"")</f>
        <v/>
      </c>
      <c r="AD602" s="92">
        <f>IFERROR(VLOOKUP($A602,'13. Mapa Títulos-Receita'!$A$8:$P$1000,15,FALSE),"")</f>
        <v/>
      </c>
      <c r="AE602" s="92">
        <f>IFERROR(VLOOKUP($A602,'13. Mapa Títulos-Receita'!$A$8:$P$1000,16,FALSE),"")</f>
        <v/>
      </c>
    </row>
    <row r="603">
      <c r="A603" s="28">
        <f>IF(C603="","", "CR-"&amp;TEXT(ROW()-7,"000"))</f>
        <v/>
      </c>
      <c r="B603" s="28" t="n"/>
      <c r="C603" s="28" t="n"/>
      <c r="D603" s="111" t="n"/>
      <c r="E603" s="111" t="n"/>
      <c r="F603" s="111" t="n"/>
      <c r="G603" s="28" t="n"/>
      <c r="H603" s="45" t="n"/>
      <c r="I603" s="45" t="n"/>
      <c r="J603" s="28">
        <f>IF(H603="","",IF(I603&gt;=H603,"Recebido",IF($B$4&gt;E603,"Vencido","Aberto")))</f>
        <v/>
      </c>
      <c r="K603" s="4">
        <f>IF(J603="","",IF(OR(J603="Recebido",F603=""),MAX(0,F603-E603),MAX(0,$B$4-E603)))</f>
        <v/>
      </c>
      <c r="L603" s="4">
        <f>IF(K603="","",IF(K603=0,"Em dia",IF(K603&lt;=30,"1-30 dias",IF(K603&lt;=60,"31-60 dias",IF(K603&lt;=90,"61-90 dias","&gt;90 dias")))))</f>
        <v/>
      </c>
      <c r="M603" s="28" t="n"/>
      <c r="N603" s="104" t="inlineStr"/>
      <c r="O603" s="64" t="n"/>
      <c r="P603" s="64">
        <f>IF(C603="","",IF(ISNUMBER(SEARCH("PCMSO",C603)),"PCMSO",IF(OR(ISNUMBER(SEARCH("E-SOCIAL",C603)),ISNUMBER(SEARCH("PSICOSOCIAL",C603))),"eSocial / Psicossocial",IF(O603="Receita recorrente","Carteira recorrente","Projetos / Laudos / Avulsos"))))</f>
        <v/>
      </c>
      <c r="Q603" s="64">
        <f>IF(P603="","",IF(P603="Carteira recorrente","Operação recorrente",IF(P603="PCMSO","Projetos PCMSO",IF(P603="eSocial / Psicossocial","Projetos eSocial/Psicossocial","Projetos / Laudos / Avulsos"))))</f>
        <v/>
      </c>
      <c r="R603" s="64">
        <f>IF(C603="","",IF(ISNUMBER(SEARCH("PCMSO",C603)),"Título com PCMSO no nome",IF(OR(ISNUMBER(SEARCH("E-SOCIAL",C603)),ISNUMBER(SEARCH("PSICOSOCIAL",C603))),"Título com eSocial/Psicossocial no nome",IF(O603="Receita recorrente","Tipo DRE recorrente","Extra sem palavra-chave específica"))))</f>
        <v/>
      </c>
      <c r="S603" s="92">
        <f>IFERROR(VLOOKUP($A603,'13. Mapa Títulos-Receita'!$A$8:$P$1000,4,FALSE),"")</f>
        <v/>
      </c>
      <c r="T603" s="92">
        <f>IFERROR(VLOOKUP($A603,'13. Mapa Títulos-Receita'!$A$8:$P$1000,5,FALSE),"")</f>
        <v/>
      </c>
      <c r="U603" s="92">
        <f>IFERROR(VLOOKUP($A603,'13. Mapa Títulos-Receita'!$A$8:$P$1000,6,FALSE),"")</f>
        <v/>
      </c>
      <c r="V603" s="92">
        <f>IFERROR(VLOOKUP($A603,'13. Mapa Títulos-Receita'!$A$8:$P$1000,7,FALSE),"")</f>
        <v/>
      </c>
      <c r="W603" s="92">
        <f>IFERROR(VLOOKUP($A603,'13. Mapa Títulos-Receita'!$A$8:$P$1000,8,FALSE),"")</f>
        <v/>
      </c>
      <c r="X603" s="92">
        <f>IFERROR(VLOOKUP($A603,'13. Mapa Títulos-Receita'!$A$8:$P$1000,9,FALSE),"")</f>
        <v/>
      </c>
      <c r="Y603" s="92">
        <f>IFERROR(VLOOKUP($A603,'13. Mapa Títulos-Receita'!$A$8:$P$1000,10,FALSE),"")</f>
        <v/>
      </c>
      <c r="Z603" s="92">
        <f>IFERROR(VLOOKUP($A603,'13. Mapa Títulos-Receita'!$A$8:$P$1000,11,FALSE),"")</f>
        <v/>
      </c>
      <c r="AA603" s="92">
        <f>IFERROR(VLOOKUP($A603,'13. Mapa Títulos-Receita'!$A$8:$P$1000,12,FALSE),"")</f>
        <v/>
      </c>
      <c r="AB603" s="92">
        <f>IFERROR(VLOOKUP($A603,'13. Mapa Títulos-Receita'!$A$8:$P$1000,13,FALSE),"")</f>
        <v/>
      </c>
      <c r="AC603" s="92">
        <f>IFERROR(VLOOKUP($A603,'13. Mapa Títulos-Receita'!$A$8:$P$1000,14,FALSE),"")</f>
        <v/>
      </c>
      <c r="AD603" s="92">
        <f>IFERROR(VLOOKUP($A603,'13. Mapa Títulos-Receita'!$A$8:$P$1000,15,FALSE),"")</f>
        <v/>
      </c>
      <c r="AE603" s="92">
        <f>IFERROR(VLOOKUP($A603,'13. Mapa Títulos-Receita'!$A$8:$P$1000,16,FALSE),"")</f>
        <v/>
      </c>
    </row>
    <row r="604">
      <c r="A604" s="28">
        <f>IF(C604="","", "CR-"&amp;TEXT(ROW()-7,"000"))</f>
        <v/>
      </c>
      <c r="B604" s="28" t="n"/>
      <c r="C604" s="28" t="n"/>
      <c r="D604" s="111" t="n"/>
      <c r="E604" s="111" t="n"/>
      <c r="F604" s="111" t="n"/>
      <c r="G604" s="28" t="n"/>
      <c r="H604" s="45" t="n"/>
      <c r="I604" s="45" t="n"/>
      <c r="J604" s="28">
        <f>IF(H604="","",IF(I604&gt;=H604,"Recebido",IF($B$4&gt;E604,"Vencido","Aberto")))</f>
        <v/>
      </c>
      <c r="K604" s="4">
        <f>IF(J604="","",IF(OR(J604="Recebido",F604=""),MAX(0,F604-E604),MAX(0,$B$4-E604)))</f>
        <v/>
      </c>
      <c r="L604" s="4">
        <f>IF(K604="","",IF(K604=0,"Em dia",IF(K604&lt;=30,"1-30 dias",IF(K604&lt;=60,"31-60 dias",IF(K604&lt;=90,"61-90 dias","&gt;90 dias")))))</f>
        <v/>
      </c>
      <c r="M604" s="28" t="n"/>
      <c r="N604" s="104" t="inlineStr"/>
      <c r="O604" s="64" t="n"/>
      <c r="P604" s="64">
        <f>IF(C604="","",IF(ISNUMBER(SEARCH("PCMSO",C604)),"PCMSO",IF(OR(ISNUMBER(SEARCH("E-SOCIAL",C604)),ISNUMBER(SEARCH("PSICOSOCIAL",C604))),"eSocial / Psicossocial",IF(O604="Receita recorrente","Carteira recorrente","Projetos / Laudos / Avulsos"))))</f>
        <v/>
      </c>
      <c r="Q604" s="64">
        <f>IF(P604="","",IF(P604="Carteira recorrente","Operação recorrente",IF(P604="PCMSO","Projetos PCMSO",IF(P604="eSocial / Psicossocial","Projetos eSocial/Psicossocial","Projetos / Laudos / Avulsos"))))</f>
        <v/>
      </c>
      <c r="R604" s="64">
        <f>IF(C604="","",IF(ISNUMBER(SEARCH("PCMSO",C604)),"Título com PCMSO no nome",IF(OR(ISNUMBER(SEARCH("E-SOCIAL",C604)),ISNUMBER(SEARCH("PSICOSOCIAL",C604))),"Título com eSocial/Psicossocial no nome",IF(O604="Receita recorrente","Tipo DRE recorrente","Extra sem palavra-chave específica"))))</f>
        <v/>
      </c>
      <c r="S604" s="92">
        <f>IFERROR(VLOOKUP($A604,'13. Mapa Títulos-Receita'!$A$8:$P$1000,4,FALSE),"")</f>
        <v/>
      </c>
      <c r="T604" s="92">
        <f>IFERROR(VLOOKUP($A604,'13. Mapa Títulos-Receita'!$A$8:$P$1000,5,FALSE),"")</f>
        <v/>
      </c>
      <c r="U604" s="92">
        <f>IFERROR(VLOOKUP($A604,'13. Mapa Títulos-Receita'!$A$8:$P$1000,6,FALSE),"")</f>
        <v/>
      </c>
      <c r="V604" s="92">
        <f>IFERROR(VLOOKUP($A604,'13. Mapa Títulos-Receita'!$A$8:$P$1000,7,FALSE),"")</f>
        <v/>
      </c>
      <c r="W604" s="92">
        <f>IFERROR(VLOOKUP($A604,'13. Mapa Títulos-Receita'!$A$8:$P$1000,8,FALSE),"")</f>
        <v/>
      </c>
      <c r="X604" s="92">
        <f>IFERROR(VLOOKUP($A604,'13. Mapa Títulos-Receita'!$A$8:$P$1000,9,FALSE),"")</f>
        <v/>
      </c>
      <c r="Y604" s="92">
        <f>IFERROR(VLOOKUP($A604,'13. Mapa Títulos-Receita'!$A$8:$P$1000,10,FALSE),"")</f>
        <v/>
      </c>
      <c r="Z604" s="92">
        <f>IFERROR(VLOOKUP($A604,'13. Mapa Títulos-Receita'!$A$8:$P$1000,11,FALSE),"")</f>
        <v/>
      </c>
      <c r="AA604" s="92">
        <f>IFERROR(VLOOKUP($A604,'13. Mapa Títulos-Receita'!$A$8:$P$1000,12,FALSE),"")</f>
        <v/>
      </c>
      <c r="AB604" s="92">
        <f>IFERROR(VLOOKUP($A604,'13. Mapa Títulos-Receita'!$A$8:$P$1000,13,FALSE),"")</f>
        <v/>
      </c>
      <c r="AC604" s="92">
        <f>IFERROR(VLOOKUP($A604,'13. Mapa Títulos-Receita'!$A$8:$P$1000,14,FALSE),"")</f>
        <v/>
      </c>
      <c r="AD604" s="92">
        <f>IFERROR(VLOOKUP($A604,'13. Mapa Títulos-Receita'!$A$8:$P$1000,15,FALSE),"")</f>
        <v/>
      </c>
      <c r="AE604" s="92">
        <f>IFERROR(VLOOKUP($A604,'13. Mapa Títulos-Receita'!$A$8:$P$1000,16,FALSE),"")</f>
        <v/>
      </c>
    </row>
    <row r="605">
      <c r="A605" s="28">
        <f>IF(C605="","", "CR-"&amp;TEXT(ROW()-7,"000"))</f>
        <v/>
      </c>
      <c r="B605" s="28" t="n"/>
      <c r="C605" s="28" t="n"/>
      <c r="D605" s="111" t="n"/>
      <c r="E605" s="111" t="n"/>
      <c r="F605" s="111" t="n"/>
      <c r="G605" s="28" t="n"/>
      <c r="H605" s="45" t="n"/>
      <c r="I605" s="45" t="n"/>
      <c r="J605" s="28">
        <f>IF(H605="","",IF(I605&gt;=H605,"Recebido",IF($B$4&gt;E605,"Vencido","Aberto")))</f>
        <v/>
      </c>
      <c r="K605" s="4">
        <f>IF(J605="","",IF(OR(J605="Recebido",F605=""),MAX(0,F605-E605),MAX(0,$B$4-E605)))</f>
        <v/>
      </c>
      <c r="L605" s="4">
        <f>IF(K605="","",IF(K605=0,"Em dia",IF(K605&lt;=30,"1-30 dias",IF(K605&lt;=60,"31-60 dias",IF(K605&lt;=90,"61-90 dias","&gt;90 dias")))))</f>
        <v/>
      </c>
      <c r="M605" s="28" t="n"/>
      <c r="N605" s="104" t="inlineStr"/>
      <c r="O605" s="64" t="n"/>
      <c r="P605" s="64">
        <f>IF(C605="","",IF(ISNUMBER(SEARCH("PCMSO",C605)),"PCMSO",IF(OR(ISNUMBER(SEARCH("E-SOCIAL",C605)),ISNUMBER(SEARCH("PSICOSOCIAL",C605))),"eSocial / Psicossocial",IF(O605="Receita recorrente","Carteira recorrente","Projetos / Laudos / Avulsos"))))</f>
        <v/>
      </c>
      <c r="Q605" s="64">
        <f>IF(P605="","",IF(P605="Carteira recorrente","Operação recorrente",IF(P605="PCMSO","Projetos PCMSO",IF(P605="eSocial / Psicossocial","Projetos eSocial/Psicossocial","Projetos / Laudos / Avulsos"))))</f>
        <v/>
      </c>
      <c r="R605" s="64">
        <f>IF(C605="","",IF(ISNUMBER(SEARCH("PCMSO",C605)),"Título com PCMSO no nome",IF(OR(ISNUMBER(SEARCH("E-SOCIAL",C605)),ISNUMBER(SEARCH("PSICOSOCIAL",C605))),"Título com eSocial/Psicossocial no nome",IF(O605="Receita recorrente","Tipo DRE recorrente","Extra sem palavra-chave específica"))))</f>
        <v/>
      </c>
      <c r="S605" s="92">
        <f>IFERROR(VLOOKUP($A605,'13. Mapa Títulos-Receita'!$A$8:$P$1000,4,FALSE),"")</f>
        <v/>
      </c>
      <c r="T605" s="92">
        <f>IFERROR(VLOOKUP($A605,'13. Mapa Títulos-Receita'!$A$8:$P$1000,5,FALSE),"")</f>
        <v/>
      </c>
      <c r="U605" s="92">
        <f>IFERROR(VLOOKUP($A605,'13. Mapa Títulos-Receita'!$A$8:$P$1000,6,FALSE),"")</f>
        <v/>
      </c>
      <c r="V605" s="92">
        <f>IFERROR(VLOOKUP($A605,'13. Mapa Títulos-Receita'!$A$8:$P$1000,7,FALSE),"")</f>
        <v/>
      </c>
      <c r="W605" s="92">
        <f>IFERROR(VLOOKUP($A605,'13. Mapa Títulos-Receita'!$A$8:$P$1000,8,FALSE),"")</f>
        <v/>
      </c>
      <c r="X605" s="92">
        <f>IFERROR(VLOOKUP($A605,'13. Mapa Títulos-Receita'!$A$8:$P$1000,9,FALSE),"")</f>
        <v/>
      </c>
      <c r="Y605" s="92">
        <f>IFERROR(VLOOKUP($A605,'13. Mapa Títulos-Receita'!$A$8:$P$1000,10,FALSE),"")</f>
        <v/>
      </c>
      <c r="Z605" s="92">
        <f>IFERROR(VLOOKUP($A605,'13. Mapa Títulos-Receita'!$A$8:$P$1000,11,FALSE),"")</f>
        <v/>
      </c>
      <c r="AA605" s="92">
        <f>IFERROR(VLOOKUP($A605,'13. Mapa Títulos-Receita'!$A$8:$P$1000,12,FALSE),"")</f>
        <v/>
      </c>
      <c r="AB605" s="92">
        <f>IFERROR(VLOOKUP($A605,'13. Mapa Títulos-Receita'!$A$8:$P$1000,13,FALSE),"")</f>
        <v/>
      </c>
      <c r="AC605" s="92">
        <f>IFERROR(VLOOKUP($A605,'13. Mapa Títulos-Receita'!$A$8:$P$1000,14,FALSE),"")</f>
        <v/>
      </c>
      <c r="AD605" s="92">
        <f>IFERROR(VLOOKUP($A605,'13. Mapa Títulos-Receita'!$A$8:$P$1000,15,FALSE),"")</f>
        <v/>
      </c>
      <c r="AE605" s="92">
        <f>IFERROR(VLOOKUP($A605,'13. Mapa Títulos-Receita'!$A$8:$P$1000,16,FALSE),"")</f>
        <v/>
      </c>
    </row>
    <row r="606">
      <c r="A606" s="28">
        <f>IF(C606="","", "CR-"&amp;TEXT(ROW()-7,"000"))</f>
        <v/>
      </c>
      <c r="B606" s="28" t="n"/>
      <c r="C606" s="28" t="n"/>
      <c r="D606" s="111" t="n"/>
      <c r="E606" s="111" t="n"/>
      <c r="F606" s="111" t="n"/>
      <c r="G606" s="28" t="n"/>
      <c r="H606" s="45" t="n"/>
      <c r="I606" s="45" t="n"/>
      <c r="J606" s="28">
        <f>IF(H606="","",IF(I606&gt;=H606,"Recebido",IF($B$4&gt;E606,"Vencido","Aberto")))</f>
        <v/>
      </c>
      <c r="K606" s="4">
        <f>IF(J606="","",IF(OR(J606="Recebido",F606=""),MAX(0,F606-E606),MAX(0,$B$4-E606)))</f>
        <v/>
      </c>
      <c r="L606" s="4">
        <f>IF(K606="","",IF(K606=0,"Em dia",IF(K606&lt;=30,"1-30 dias",IF(K606&lt;=60,"31-60 dias",IF(K606&lt;=90,"61-90 dias","&gt;90 dias")))))</f>
        <v/>
      </c>
      <c r="M606" s="28" t="n"/>
      <c r="N606" s="104" t="inlineStr"/>
      <c r="O606" s="64" t="n"/>
      <c r="P606" s="64">
        <f>IF(C606="","",IF(ISNUMBER(SEARCH("PCMSO",C606)),"PCMSO",IF(OR(ISNUMBER(SEARCH("E-SOCIAL",C606)),ISNUMBER(SEARCH("PSICOSOCIAL",C606))),"eSocial / Psicossocial",IF(O606="Receita recorrente","Carteira recorrente","Projetos / Laudos / Avulsos"))))</f>
        <v/>
      </c>
      <c r="Q606" s="64">
        <f>IF(P606="","",IF(P606="Carteira recorrente","Operação recorrente",IF(P606="PCMSO","Projetos PCMSO",IF(P606="eSocial / Psicossocial","Projetos eSocial/Psicossocial","Projetos / Laudos / Avulsos"))))</f>
        <v/>
      </c>
      <c r="R606" s="64">
        <f>IF(C606="","",IF(ISNUMBER(SEARCH("PCMSO",C606)),"Título com PCMSO no nome",IF(OR(ISNUMBER(SEARCH("E-SOCIAL",C606)),ISNUMBER(SEARCH("PSICOSOCIAL",C606))),"Título com eSocial/Psicossocial no nome",IF(O606="Receita recorrente","Tipo DRE recorrente","Extra sem palavra-chave específica"))))</f>
        <v/>
      </c>
      <c r="S606" s="92">
        <f>IFERROR(VLOOKUP($A606,'13. Mapa Títulos-Receita'!$A$8:$P$1000,4,FALSE),"")</f>
        <v/>
      </c>
      <c r="T606" s="92">
        <f>IFERROR(VLOOKUP($A606,'13. Mapa Títulos-Receita'!$A$8:$P$1000,5,FALSE),"")</f>
        <v/>
      </c>
      <c r="U606" s="92">
        <f>IFERROR(VLOOKUP($A606,'13. Mapa Títulos-Receita'!$A$8:$P$1000,6,FALSE),"")</f>
        <v/>
      </c>
      <c r="V606" s="92">
        <f>IFERROR(VLOOKUP($A606,'13. Mapa Títulos-Receita'!$A$8:$P$1000,7,FALSE),"")</f>
        <v/>
      </c>
      <c r="W606" s="92">
        <f>IFERROR(VLOOKUP($A606,'13. Mapa Títulos-Receita'!$A$8:$P$1000,8,FALSE),"")</f>
        <v/>
      </c>
      <c r="X606" s="92">
        <f>IFERROR(VLOOKUP($A606,'13. Mapa Títulos-Receita'!$A$8:$P$1000,9,FALSE),"")</f>
        <v/>
      </c>
      <c r="Y606" s="92">
        <f>IFERROR(VLOOKUP($A606,'13. Mapa Títulos-Receita'!$A$8:$P$1000,10,FALSE),"")</f>
        <v/>
      </c>
      <c r="Z606" s="92">
        <f>IFERROR(VLOOKUP($A606,'13. Mapa Títulos-Receita'!$A$8:$P$1000,11,FALSE),"")</f>
        <v/>
      </c>
      <c r="AA606" s="92">
        <f>IFERROR(VLOOKUP($A606,'13. Mapa Títulos-Receita'!$A$8:$P$1000,12,FALSE),"")</f>
        <v/>
      </c>
      <c r="AB606" s="92">
        <f>IFERROR(VLOOKUP($A606,'13. Mapa Títulos-Receita'!$A$8:$P$1000,13,FALSE),"")</f>
        <v/>
      </c>
      <c r="AC606" s="92">
        <f>IFERROR(VLOOKUP($A606,'13. Mapa Títulos-Receita'!$A$8:$P$1000,14,FALSE),"")</f>
        <v/>
      </c>
      <c r="AD606" s="92">
        <f>IFERROR(VLOOKUP($A606,'13. Mapa Títulos-Receita'!$A$8:$P$1000,15,FALSE),"")</f>
        <v/>
      </c>
      <c r="AE606" s="92">
        <f>IFERROR(VLOOKUP($A606,'13. Mapa Títulos-Receita'!$A$8:$P$1000,16,FALSE),"")</f>
        <v/>
      </c>
    </row>
    <row r="607">
      <c r="A607" s="28">
        <f>IF(C607="","", "CR-"&amp;TEXT(ROW()-7,"000"))</f>
        <v/>
      </c>
      <c r="B607" s="28" t="n"/>
      <c r="C607" s="28" t="n"/>
      <c r="D607" s="111" t="n"/>
      <c r="E607" s="111" t="n"/>
      <c r="F607" s="111" t="n"/>
      <c r="G607" s="28" t="n"/>
      <c r="H607" s="45" t="n"/>
      <c r="I607" s="45" t="n"/>
      <c r="J607" s="28">
        <f>IF(H607="","",IF(I607&gt;=H607,"Recebido",IF($B$4&gt;E607,"Vencido","Aberto")))</f>
        <v/>
      </c>
      <c r="K607" s="4">
        <f>IF(J607="","",IF(OR(J607="Recebido",F607=""),MAX(0,F607-E607),MAX(0,$B$4-E607)))</f>
        <v/>
      </c>
      <c r="L607" s="4">
        <f>IF(K607="","",IF(K607=0,"Em dia",IF(K607&lt;=30,"1-30 dias",IF(K607&lt;=60,"31-60 dias",IF(K607&lt;=90,"61-90 dias","&gt;90 dias")))))</f>
        <v/>
      </c>
      <c r="M607" s="28" t="n"/>
      <c r="N607" s="104" t="inlineStr"/>
      <c r="O607" s="64" t="n"/>
      <c r="P607" s="64">
        <f>IF(C607="","",IF(ISNUMBER(SEARCH("PCMSO",C607)),"PCMSO",IF(OR(ISNUMBER(SEARCH("E-SOCIAL",C607)),ISNUMBER(SEARCH("PSICOSOCIAL",C607))),"eSocial / Psicossocial",IF(O607="Receita recorrente","Carteira recorrente","Projetos / Laudos / Avulsos"))))</f>
        <v/>
      </c>
      <c r="Q607" s="64">
        <f>IF(P607="","",IF(P607="Carteira recorrente","Operação recorrente",IF(P607="PCMSO","Projetos PCMSO",IF(P607="eSocial / Psicossocial","Projetos eSocial/Psicossocial","Projetos / Laudos / Avulsos"))))</f>
        <v/>
      </c>
      <c r="R607" s="64">
        <f>IF(C607="","",IF(ISNUMBER(SEARCH("PCMSO",C607)),"Título com PCMSO no nome",IF(OR(ISNUMBER(SEARCH("E-SOCIAL",C607)),ISNUMBER(SEARCH("PSICOSOCIAL",C607))),"Título com eSocial/Psicossocial no nome",IF(O607="Receita recorrente","Tipo DRE recorrente","Extra sem palavra-chave específica"))))</f>
        <v/>
      </c>
      <c r="S607" s="92">
        <f>IFERROR(VLOOKUP($A607,'13. Mapa Títulos-Receita'!$A$8:$P$1000,4,FALSE),"")</f>
        <v/>
      </c>
      <c r="T607" s="92">
        <f>IFERROR(VLOOKUP($A607,'13. Mapa Títulos-Receita'!$A$8:$P$1000,5,FALSE),"")</f>
        <v/>
      </c>
      <c r="U607" s="92">
        <f>IFERROR(VLOOKUP($A607,'13. Mapa Títulos-Receita'!$A$8:$P$1000,6,FALSE),"")</f>
        <v/>
      </c>
      <c r="V607" s="92">
        <f>IFERROR(VLOOKUP($A607,'13. Mapa Títulos-Receita'!$A$8:$P$1000,7,FALSE),"")</f>
        <v/>
      </c>
      <c r="W607" s="92">
        <f>IFERROR(VLOOKUP($A607,'13. Mapa Títulos-Receita'!$A$8:$P$1000,8,FALSE),"")</f>
        <v/>
      </c>
      <c r="X607" s="92">
        <f>IFERROR(VLOOKUP($A607,'13. Mapa Títulos-Receita'!$A$8:$P$1000,9,FALSE),"")</f>
        <v/>
      </c>
      <c r="Y607" s="92">
        <f>IFERROR(VLOOKUP($A607,'13. Mapa Títulos-Receita'!$A$8:$P$1000,10,FALSE),"")</f>
        <v/>
      </c>
      <c r="Z607" s="92">
        <f>IFERROR(VLOOKUP($A607,'13. Mapa Títulos-Receita'!$A$8:$P$1000,11,FALSE),"")</f>
        <v/>
      </c>
      <c r="AA607" s="92">
        <f>IFERROR(VLOOKUP($A607,'13. Mapa Títulos-Receita'!$A$8:$P$1000,12,FALSE),"")</f>
        <v/>
      </c>
      <c r="AB607" s="92">
        <f>IFERROR(VLOOKUP($A607,'13. Mapa Títulos-Receita'!$A$8:$P$1000,13,FALSE),"")</f>
        <v/>
      </c>
      <c r="AC607" s="92">
        <f>IFERROR(VLOOKUP($A607,'13. Mapa Títulos-Receita'!$A$8:$P$1000,14,FALSE),"")</f>
        <v/>
      </c>
      <c r="AD607" s="92">
        <f>IFERROR(VLOOKUP($A607,'13. Mapa Títulos-Receita'!$A$8:$P$1000,15,FALSE),"")</f>
        <v/>
      </c>
      <c r="AE607" s="92">
        <f>IFERROR(VLOOKUP($A607,'13. Mapa Títulos-Receita'!$A$8:$P$1000,16,FALSE),"")</f>
        <v/>
      </c>
    </row>
    <row r="608">
      <c r="A608" s="28">
        <f>IF(C608="","", "CR-"&amp;TEXT(ROW()-7,"000"))</f>
        <v/>
      </c>
      <c r="B608" s="28" t="n"/>
      <c r="C608" s="28" t="n"/>
      <c r="D608" s="111" t="n"/>
      <c r="E608" s="111" t="n"/>
      <c r="F608" s="111" t="n"/>
      <c r="G608" s="28" t="n"/>
      <c r="H608" s="45" t="n"/>
      <c r="I608" s="45" t="n"/>
      <c r="J608" s="28">
        <f>IF(H608="","",IF(I608&gt;=H608,"Recebido",IF($B$4&gt;E608,"Vencido","Aberto")))</f>
        <v/>
      </c>
      <c r="K608" s="4">
        <f>IF(J608="","",IF(OR(J608="Recebido",F608=""),MAX(0,F608-E608),MAX(0,$B$4-E608)))</f>
        <v/>
      </c>
      <c r="L608" s="4">
        <f>IF(K608="","",IF(K608=0,"Em dia",IF(K608&lt;=30,"1-30 dias",IF(K608&lt;=60,"31-60 dias",IF(K608&lt;=90,"61-90 dias","&gt;90 dias")))))</f>
        <v/>
      </c>
      <c r="M608" s="28" t="n"/>
      <c r="N608" s="104" t="inlineStr"/>
      <c r="O608" s="64" t="n"/>
      <c r="P608" s="64">
        <f>IF(C608="","",IF(ISNUMBER(SEARCH("PCMSO",C608)),"PCMSO",IF(OR(ISNUMBER(SEARCH("E-SOCIAL",C608)),ISNUMBER(SEARCH("PSICOSOCIAL",C608))),"eSocial / Psicossocial",IF(O608="Receita recorrente","Carteira recorrente","Projetos / Laudos / Avulsos"))))</f>
        <v/>
      </c>
      <c r="Q608" s="64">
        <f>IF(P608="","",IF(P608="Carteira recorrente","Operação recorrente",IF(P608="PCMSO","Projetos PCMSO",IF(P608="eSocial / Psicossocial","Projetos eSocial/Psicossocial","Projetos / Laudos / Avulsos"))))</f>
        <v/>
      </c>
      <c r="R608" s="64">
        <f>IF(C608="","",IF(ISNUMBER(SEARCH("PCMSO",C608)),"Título com PCMSO no nome",IF(OR(ISNUMBER(SEARCH("E-SOCIAL",C608)),ISNUMBER(SEARCH("PSICOSOCIAL",C608))),"Título com eSocial/Psicossocial no nome",IF(O608="Receita recorrente","Tipo DRE recorrente","Extra sem palavra-chave específica"))))</f>
        <v/>
      </c>
      <c r="S608" s="92">
        <f>IFERROR(VLOOKUP($A608,'13. Mapa Títulos-Receita'!$A$8:$P$1000,4,FALSE),"")</f>
        <v/>
      </c>
      <c r="T608" s="92">
        <f>IFERROR(VLOOKUP($A608,'13. Mapa Títulos-Receita'!$A$8:$P$1000,5,FALSE),"")</f>
        <v/>
      </c>
      <c r="U608" s="92">
        <f>IFERROR(VLOOKUP($A608,'13. Mapa Títulos-Receita'!$A$8:$P$1000,6,FALSE),"")</f>
        <v/>
      </c>
      <c r="V608" s="92">
        <f>IFERROR(VLOOKUP($A608,'13. Mapa Títulos-Receita'!$A$8:$P$1000,7,FALSE),"")</f>
        <v/>
      </c>
      <c r="W608" s="92">
        <f>IFERROR(VLOOKUP($A608,'13. Mapa Títulos-Receita'!$A$8:$P$1000,8,FALSE),"")</f>
        <v/>
      </c>
      <c r="X608" s="92">
        <f>IFERROR(VLOOKUP($A608,'13. Mapa Títulos-Receita'!$A$8:$P$1000,9,FALSE),"")</f>
        <v/>
      </c>
      <c r="Y608" s="92">
        <f>IFERROR(VLOOKUP($A608,'13. Mapa Títulos-Receita'!$A$8:$P$1000,10,FALSE),"")</f>
        <v/>
      </c>
      <c r="Z608" s="92">
        <f>IFERROR(VLOOKUP($A608,'13. Mapa Títulos-Receita'!$A$8:$P$1000,11,FALSE),"")</f>
        <v/>
      </c>
      <c r="AA608" s="92">
        <f>IFERROR(VLOOKUP($A608,'13. Mapa Títulos-Receita'!$A$8:$P$1000,12,FALSE),"")</f>
        <v/>
      </c>
      <c r="AB608" s="92">
        <f>IFERROR(VLOOKUP($A608,'13. Mapa Títulos-Receita'!$A$8:$P$1000,13,FALSE),"")</f>
        <v/>
      </c>
      <c r="AC608" s="92">
        <f>IFERROR(VLOOKUP($A608,'13. Mapa Títulos-Receita'!$A$8:$P$1000,14,FALSE),"")</f>
        <v/>
      </c>
      <c r="AD608" s="92">
        <f>IFERROR(VLOOKUP($A608,'13. Mapa Títulos-Receita'!$A$8:$P$1000,15,FALSE),"")</f>
        <v/>
      </c>
      <c r="AE608" s="92">
        <f>IFERROR(VLOOKUP($A608,'13. Mapa Títulos-Receita'!$A$8:$P$1000,16,FALSE),"")</f>
        <v/>
      </c>
    </row>
    <row r="609">
      <c r="A609" s="28">
        <f>IF(C609="","", "CR-"&amp;TEXT(ROW()-7,"000"))</f>
        <v/>
      </c>
      <c r="B609" s="28" t="n"/>
      <c r="C609" s="28" t="n"/>
      <c r="D609" s="111" t="n"/>
      <c r="E609" s="111" t="n"/>
      <c r="F609" s="111" t="n"/>
      <c r="G609" s="28" t="n"/>
      <c r="H609" s="45" t="n"/>
      <c r="I609" s="45" t="n"/>
      <c r="J609" s="28">
        <f>IF(H609="","",IF(I609&gt;=H609,"Recebido",IF($B$4&gt;E609,"Vencido","Aberto")))</f>
        <v/>
      </c>
      <c r="K609" s="4">
        <f>IF(J609="","",IF(OR(J609="Recebido",F609=""),MAX(0,F609-E609),MAX(0,$B$4-E609)))</f>
        <v/>
      </c>
      <c r="L609" s="4">
        <f>IF(K609="","",IF(K609=0,"Em dia",IF(K609&lt;=30,"1-30 dias",IF(K609&lt;=60,"31-60 dias",IF(K609&lt;=90,"61-90 dias","&gt;90 dias")))))</f>
        <v/>
      </c>
      <c r="M609" s="28" t="n"/>
      <c r="N609" s="104" t="inlineStr"/>
      <c r="O609" s="64" t="n"/>
      <c r="P609" s="64">
        <f>IF(C609="","",IF(ISNUMBER(SEARCH("PCMSO",C609)),"PCMSO",IF(OR(ISNUMBER(SEARCH("E-SOCIAL",C609)),ISNUMBER(SEARCH("PSICOSOCIAL",C609))),"eSocial / Psicossocial",IF(O609="Receita recorrente","Carteira recorrente","Projetos / Laudos / Avulsos"))))</f>
        <v/>
      </c>
      <c r="Q609" s="64">
        <f>IF(P609="","",IF(P609="Carteira recorrente","Operação recorrente",IF(P609="PCMSO","Projetos PCMSO",IF(P609="eSocial / Psicossocial","Projetos eSocial/Psicossocial","Projetos / Laudos / Avulsos"))))</f>
        <v/>
      </c>
      <c r="R609" s="64">
        <f>IF(C609="","",IF(ISNUMBER(SEARCH("PCMSO",C609)),"Título com PCMSO no nome",IF(OR(ISNUMBER(SEARCH("E-SOCIAL",C609)),ISNUMBER(SEARCH("PSICOSOCIAL",C609))),"Título com eSocial/Psicossocial no nome",IF(O609="Receita recorrente","Tipo DRE recorrente","Extra sem palavra-chave específica"))))</f>
        <v/>
      </c>
      <c r="S609" s="92">
        <f>IFERROR(VLOOKUP($A609,'13. Mapa Títulos-Receita'!$A$8:$P$1000,4,FALSE),"")</f>
        <v/>
      </c>
      <c r="T609" s="92">
        <f>IFERROR(VLOOKUP($A609,'13. Mapa Títulos-Receita'!$A$8:$P$1000,5,FALSE),"")</f>
        <v/>
      </c>
      <c r="U609" s="92">
        <f>IFERROR(VLOOKUP($A609,'13. Mapa Títulos-Receita'!$A$8:$P$1000,6,FALSE),"")</f>
        <v/>
      </c>
      <c r="V609" s="92">
        <f>IFERROR(VLOOKUP($A609,'13. Mapa Títulos-Receita'!$A$8:$P$1000,7,FALSE),"")</f>
        <v/>
      </c>
      <c r="W609" s="92">
        <f>IFERROR(VLOOKUP($A609,'13. Mapa Títulos-Receita'!$A$8:$P$1000,8,FALSE),"")</f>
        <v/>
      </c>
      <c r="X609" s="92">
        <f>IFERROR(VLOOKUP($A609,'13. Mapa Títulos-Receita'!$A$8:$P$1000,9,FALSE),"")</f>
        <v/>
      </c>
      <c r="Y609" s="92">
        <f>IFERROR(VLOOKUP($A609,'13. Mapa Títulos-Receita'!$A$8:$P$1000,10,FALSE),"")</f>
        <v/>
      </c>
      <c r="Z609" s="92">
        <f>IFERROR(VLOOKUP($A609,'13. Mapa Títulos-Receita'!$A$8:$P$1000,11,FALSE),"")</f>
        <v/>
      </c>
      <c r="AA609" s="92">
        <f>IFERROR(VLOOKUP($A609,'13. Mapa Títulos-Receita'!$A$8:$P$1000,12,FALSE),"")</f>
        <v/>
      </c>
      <c r="AB609" s="92">
        <f>IFERROR(VLOOKUP($A609,'13. Mapa Títulos-Receita'!$A$8:$P$1000,13,FALSE),"")</f>
        <v/>
      </c>
      <c r="AC609" s="92">
        <f>IFERROR(VLOOKUP($A609,'13. Mapa Títulos-Receita'!$A$8:$P$1000,14,FALSE),"")</f>
        <v/>
      </c>
      <c r="AD609" s="92">
        <f>IFERROR(VLOOKUP($A609,'13. Mapa Títulos-Receita'!$A$8:$P$1000,15,FALSE),"")</f>
        <v/>
      </c>
      <c r="AE609" s="92">
        <f>IFERROR(VLOOKUP($A609,'13. Mapa Títulos-Receita'!$A$8:$P$1000,16,FALSE),"")</f>
        <v/>
      </c>
    </row>
    <row r="610">
      <c r="A610" s="28">
        <f>IF(C610="","", "CR-"&amp;TEXT(ROW()-7,"000"))</f>
        <v/>
      </c>
      <c r="B610" s="28" t="n"/>
      <c r="C610" s="28" t="n"/>
      <c r="D610" s="111" t="n"/>
      <c r="E610" s="111" t="n"/>
      <c r="F610" s="111" t="n"/>
      <c r="G610" s="28" t="n"/>
      <c r="H610" s="45" t="n"/>
      <c r="I610" s="45" t="n"/>
      <c r="J610" s="28">
        <f>IF(H610="","",IF(I610&gt;=H610,"Recebido",IF($B$4&gt;E610,"Vencido","Aberto")))</f>
        <v/>
      </c>
      <c r="K610" s="4">
        <f>IF(J610="","",IF(OR(J610="Recebido",F610=""),MAX(0,F610-E610),MAX(0,$B$4-E610)))</f>
        <v/>
      </c>
      <c r="L610" s="4">
        <f>IF(K610="","",IF(K610=0,"Em dia",IF(K610&lt;=30,"1-30 dias",IF(K610&lt;=60,"31-60 dias",IF(K610&lt;=90,"61-90 dias","&gt;90 dias")))))</f>
        <v/>
      </c>
      <c r="M610" s="28" t="n"/>
      <c r="N610" s="104" t="inlineStr"/>
      <c r="O610" s="64" t="n"/>
      <c r="P610" s="64">
        <f>IF(C610="","",IF(ISNUMBER(SEARCH("PCMSO",C610)),"PCMSO",IF(OR(ISNUMBER(SEARCH("E-SOCIAL",C610)),ISNUMBER(SEARCH("PSICOSOCIAL",C610))),"eSocial / Psicossocial",IF(O610="Receita recorrente","Carteira recorrente","Projetos / Laudos / Avulsos"))))</f>
        <v/>
      </c>
      <c r="Q610" s="64">
        <f>IF(P610="","",IF(P610="Carteira recorrente","Operação recorrente",IF(P610="PCMSO","Projetos PCMSO",IF(P610="eSocial / Psicossocial","Projetos eSocial/Psicossocial","Projetos / Laudos / Avulsos"))))</f>
        <v/>
      </c>
      <c r="R610" s="64">
        <f>IF(C610="","",IF(ISNUMBER(SEARCH("PCMSO",C610)),"Título com PCMSO no nome",IF(OR(ISNUMBER(SEARCH("E-SOCIAL",C610)),ISNUMBER(SEARCH("PSICOSOCIAL",C610))),"Título com eSocial/Psicossocial no nome",IF(O610="Receita recorrente","Tipo DRE recorrente","Extra sem palavra-chave específica"))))</f>
        <v/>
      </c>
      <c r="S610" s="92">
        <f>IFERROR(VLOOKUP($A610,'13. Mapa Títulos-Receita'!$A$8:$P$1000,4,FALSE),"")</f>
        <v/>
      </c>
      <c r="T610" s="92">
        <f>IFERROR(VLOOKUP($A610,'13. Mapa Títulos-Receita'!$A$8:$P$1000,5,FALSE),"")</f>
        <v/>
      </c>
      <c r="U610" s="92">
        <f>IFERROR(VLOOKUP($A610,'13. Mapa Títulos-Receita'!$A$8:$P$1000,6,FALSE),"")</f>
        <v/>
      </c>
      <c r="V610" s="92">
        <f>IFERROR(VLOOKUP($A610,'13. Mapa Títulos-Receita'!$A$8:$P$1000,7,FALSE),"")</f>
        <v/>
      </c>
      <c r="W610" s="92">
        <f>IFERROR(VLOOKUP($A610,'13. Mapa Títulos-Receita'!$A$8:$P$1000,8,FALSE),"")</f>
        <v/>
      </c>
      <c r="X610" s="92">
        <f>IFERROR(VLOOKUP($A610,'13. Mapa Títulos-Receita'!$A$8:$P$1000,9,FALSE),"")</f>
        <v/>
      </c>
      <c r="Y610" s="92">
        <f>IFERROR(VLOOKUP($A610,'13. Mapa Títulos-Receita'!$A$8:$P$1000,10,FALSE),"")</f>
        <v/>
      </c>
      <c r="Z610" s="92">
        <f>IFERROR(VLOOKUP($A610,'13. Mapa Títulos-Receita'!$A$8:$P$1000,11,FALSE),"")</f>
        <v/>
      </c>
      <c r="AA610" s="92">
        <f>IFERROR(VLOOKUP($A610,'13. Mapa Títulos-Receita'!$A$8:$P$1000,12,FALSE),"")</f>
        <v/>
      </c>
      <c r="AB610" s="92">
        <f>IFERROR(VLOOKUP($A610,'13. Mapa Títulos-Receita'!$A$8:$P$1000,13,FALSE),"")</f>
        <v/>
      </c>
      <c r="AC610" s="92">
        <f>IFERROR(VLOOKUP($A610,'13. Mapa Títulos-Receita'!$A$8:$P$1000,14,FALSE),"")</f>
        <v/>
      </c>
      <c r="AD610" s="92">
        <f>IFERROR(VLOOKUP($A610,'13. Mapa Títulos-Receita'!$A$8:$P$1000,15,FALSE),"")</f>
        <v/>
      </c>
      <c r="AE610" s="92">
        <f>IFERROR(VLOOKUP($A610,'13. Mapa Títulos-Receita'!$A$8:$P$1000,16,FALSE),"")</f>
        <v/>
      </c>
    </row>
    <row r="611">
      <c r="A611" s="28">
        <f>IF(C611="","", "CR-"&amp;TEXT(ROW()-7,"000"))</f>
        <v/>
      </c>
      <c r="B611" s="28" t="n"/>
      <c r="C611" s="28" t="n"/>
      <c r="D611" s="111" t="n"/>
      <c r="E611" s="111" t="n"/>
      <c r="F611" s="111" t="n"/>
      <c r="G611" s="28" t="n"/>
      <c r="H611" s="45" t="n"/>
      <c r="I611" s="45" t="n"/>
      <c r="J611" s="28">
        <f>IF(H611="","",IF(I611&gt;=H611,"Recebido",IF($B$4&gt;E611,"Vencido","Aberto")))</f>
        <v/>
      </c>
      <c r="K611" s="4">
        <f>IF(J611="","",IF(OR(J611="Recebido",F611=""),MAX(0,F611-E611),MAX(0,$B$4-E611)))</f>
        <v/>
      </c>
      <c r="L611" s="4">
        <f>IF(K611="","",IF(K611=0,"Em dia",IF(K611&lt;=30,"1-30 dias",IF(K611&lt;=60,"31-60 dias",IF(K611&lt;=90,"61-90 dias","&gt;90 dias")))))</f>
        <v/>
      </c>
      <c r="M611" s="28" t="n"/>
      <c r="N611" s="104" t="inlineStr"/>
      <c r="O611" s="64" t="n"/>
      <c r="P611" s="64">
        <f>IF(C611="","",IF(ISNUMBER(SEARCH("PCMSO",C611)),"PCMSO",IF(OR(ISNUMBER(SEARCH("E-SOCIAL",C611)),ISNUMBER(SEARCH("PSICOSOCIAL",C611))),"eSocial / Psicossocial",IF(O611="Receita recorrente","Carteira recorrente","Projetos / Laudos / Avulsos"))))</f>
        <v/>
      </c>
      <c r="Q611" s="64">
        <f>IF(P611="","",IF(P611="Carteira recorrente","Operação recorrente",IF(P611="PCMSO","Projetos PCMSO",IF(P611="eSocial / Psicossocial","Projetos eSocial/Psicossocial","Projetos / Laudos / Avulsos"))))</f>
        <v/>
      </c>
      <c r="R611" s="64">
        <f>IF(C611="","",IF(ISNUMBER(SEARCH("PCMSO",C611)),"Título com PCMSO no nome",IF(OR(ISNUMBER(SEARCH("E-SOCIAL",C611)),ISNUMBER(SEARCH("PSICOSOCIAL",C611))),"Título com eSocial/Psicossocial no nome",IF(O611="Receita recorrente","Tipo DRE recorrente","Extra sem palavra-chave específica"))))</f>
        <v/>
      </c>
      <c r="S611" s="92">
        <f>IFERROR(VLOOKUP($A611,'13. Mapa Títulos-Receita'!$A$8:$P$1000,4,FALSE),"")</f>
        <v/>
      </c>
      <c r="T611" s="92">
        <f>IFERROR(VLOOKUP($A611,'13. Mapa Títulos-Receita'!$A$8:$P$1000,5,FALSE),"")</f>
        <v/>
      </c>
      <c r="U611" s="92">
        <f>IFERROR(VLOOKUP($A611,'13. Mapa Títulos-Receita'!$A$8:$P$1000,6,FALSE),"")</f>
        <v/>
      </c>
      <c r="V611" s="92">
        <f>IFERROR(VLOOKUP($A611,'13. Mapa Títulos-Receita'!$A$8:$P$1000,7,FALSE),"")</f>
        <v/>
      </c>
      <c r="W611" s="92">
        <f>IFERROR(VLOOKUP($A611,'13. Mapa Títulos-Receita'!$A$8:$P$1000,8,FALSE),"")</f>
        <v/>
      </c>
      <c r="X611" s="92">
        <f>IFERROR(VLOOKUP($A611,'13. Mapa Títulos-Receita'!$A$8:$P$1000,9,FALSE),"")</f>
        <v/>
      </c>
      <c r="Y611" s="92">
        <f>IFERROR(VLOOKUP($A611,'13. Mapa Títulos-Receita'!$A$8:$P$1000,10,FALSE),"")</f>
        <v/>
      </c>
      <c r="Z611" s="92">
        <f>IFERROR(VLOOKUP($A611,'13. Mapa Títulos-Receita'!$A$8:$P$1000,11,FALSE),"")</f>
        <v/>
      </c>
      <c r="AA611" s="92">
        <f>IFERROR(VLOOKUP($A611,'13. Mapa Títulos-Receita'!$A$8:$P$1000,12,FALSE),"")</f>
        <v/>
      </c>
      <c r="AB611" s="92">
        <f>IFERROR(VLOOKUP($A611,'13. Mapa Títulos-Receita'!$A$8:$P$1000,13,FALSE),"")</f>
        <v/>
      </c>
      <c r="AC611" s="92">
        <f>IFERROR(VLOOKUP($A611,'13. Mapa Títulos-Receita'!$A$8:$P$1000,14,FALSE),"")</f>
        <v/>
      </c>
      <c r="AD611" s="92">
        <f>IFERROR(VLOOKUP($A611,'13. Mapa Títulos-Receita'!$A$8:$P$1000,15,FALSE),"")</f>
        <v/>
      </c>
      <c r="AE611" s="92">
        <f>IFERROR(VLOOKUP($A611,'13. Mapa Títulos-Receita'!$A$8:$P$1000,16,FALSE),"")</f>
        <v/>
      </c>
    </row>
    <row r="612">
      <c r="A612" s="28">
        <f>IF(C612="","", "CR-"&amp;TEXT(ROW()-7,"000"))</f>
        <v/>
      </c>
      <c r="B612" s="28" t="n"/>
      <c r="C612" s="28" t="n"/>
      <c r="D612" s="111" t="n"/>
      <c r="E612" s="111" t="n"/>
      <c r="F612" s="111" t="n"/>
      <c r="G612" s="28" t="n"/>
      <c r="H612" s="45" t="n"/>
      <c r="I612" s="45" t="n"/>
      <c r="J612" s="28">
        <f>IF(H612="","",IF(I612&gt;=H612,"Recebido",IF($B$4&gt;E612,"Vencido","Aberto")))</f>
        <v/>
      </c>
      <c r="K612" s="4">
        <f>IF(J612="","",IF(OR(J612="Recebido",F612=""),MAX(0,F612-E612),MAX(0,$B$4-E612)))</f>
        <v/>
      </c>
      <c r="L612" s="4">
        <f>IF(K612="","",IF(K612=0,"Em dia",IF(K612&lt;=30,"1-30 dias",IF(K612&lt;=60,"31-60 dias",IF(K612&lt;=90,"61-90 dias","&gt;90 dias")))))</f>
        <v/>
      </c>
      <c r="M612" s="28" t="n"/>
      <c r="N612" s="104" t="inlineStr"/>
      <c r="O612" s="64" t="n"/>
      <c r="P612" s="64">
        <f>IF(C612="","",IF(ISNUMBER(SEARCH("PCMSO",C612)),"PCMSO",IF(OR(ISNUMBER(SEARCH("E-SOCIAL",C612)),ISNUMBER(SEARCH("PSICOSOCIAL",C612))),"eSocial / Psicossocial",IF(O612="Receita recorrente","Carteira recorrente","Projetos / Laudos / Avulsos"))))</f>
        <v/>
      </c>
      <c r="Q612" s="64">
        <f>IF(P612="","",IF(P612="Carteira recorrente","Operação recorrente",IF(P612="PCMSO","Projetos PCMSO",IF(P612="eSocial / Psicossocial","Projetos eSocial/Psicossocial","Projetos / Laudos / Avulsos"))))</f>
        <v/>
      </c>
      <c r="R612" s="64">
        <f>IF(C612="","",IF(ISNUMBER(SEARCH("PCMSO",C612)),"Título com PCMSO no nome",IF(OR(ISNUMBER(SEARCH("E-SOCIAL",C612)),ISNUMBER(SEARCH("PSICOSOCIAL",C612))),"Título com eSocial/Psicossocial no nome",IF(O612="Receita recorrente","Tipo DRE recorrente","Extra sem palavra-chave específica"))))</f>
        <v/>
      </c>
      <c r="S612" s="92">
        <f>IFERROR(VLOOKUP($A612,'13. Mapa Títulos-Receita'!$A$8:$P$1000,4,FALSE),"")</f>
        <v/>
      </c>
      <c r="T612" s="92">
        <f>IFERROR(VLOOKUP($A612,'13. Mapa Títulos-Receita'!$A$8:$P$1000,5,FALSE),"")</f>
        <v/>
      </c>
      <c r="U612" s="92">
        <f>IFERROR(VLOOKUP($A612,'13. Mapa Títulos-Receita'!$A$8:$P$1000,6,FALSE),"")</f>
        <v/>
      </c>
      <c r="V612" s="92">
        <f>IFERROR(VLOOKUP($A612,'13. Mapa Títulos-Receita'!$A$8:$P$1000,7,FALSE),"")</f>
        <v/>
      </c>
      <c r="W612" s="92">
        <f>IFERROR(VLOOKUP($A612,'13. Mapa Títulos-Receita'!$A$8:$P$1000,8,FALSE),"")</f>
        <v/>
      </c>
      <c r="X612" s="92">
        <f>IFERROR(VLOOKUP($A612,'13. Mapa Títulos-Receita'!$A$8:$P$1000,9,FALSE),"")</f>
        <v/>
      </c>
      <c r="Y612" s="92">
        <f>IFERROR(VLOOKUP($A612,'13. Mapa Títulos-Receita'!$A$8:$P$1000,10,FALSE),"")</f>
        <v/>
      </c>
      <c r="Z612" s="92">
        <f>IFERROR(VLOOKUP($A612,'13. Mapa Títulos-Receita'!$A$8:$P$1000,11,FALSE),"")</f>
        <v/>
      </c>
      <c r="AA612" s="92">
        <f>IFERROR(VLOOKUP($A612,'13. Mapa Títulos-Receita'!$A$8:$P$1000,12,FALSE),"")</f>
        <v/>
      </c>
      <c r="AB612" s="92">
        <f>IFERROR(VLOOKUP($A612,'13. Mapa Títulos-Receita'!$A$8:$P$1000,13,FALSE),"")</f>
        <v/>
      </c>
      <c r="AC612" s="92">
        <f>IFERROR(VLOOKUP($A612,'13. Mapa Títulos-Receita'!$A$8:$P$1000,14,FALSE),"")</f>
        <v/>
      </c>
      <c r="AD612" s="92">
        <f>IFERROR(VLOOKUP($A612,'13. Mapa Títulos-Receita'!$A$8:$P$1000,15,FALSE),"")</f>
        <v/>
      </c>
      <c r="AE612" s="92">
        <f>IFERROR(VLOOKUP($A612,'13. Mapa Títulos-Receita'!$A$8:$P$1000,16,FALSE),"")</f>
        <v/>
      </c>
    </row>
    <row r="613">
      <c r="A613" s="28">
        <f>IF(C613="","", "CR-"&amp;TEXT(ROW()-7,"000"))</f>
        <v/>
      </c>
      <c r="B613" s="28" t="n"/>
      <c r="C613" s="28" t="n"/>
      <c r="D613" s="111" t="n"/>
      <c r="E613" s="111" t="n"/>
      <c r="F613" s="111" t="n"/>
      <c r="G613" s="28" t="n"/>
      <c r="H613" s="45" t="n"/>
      <c r="I613" s="45" t="n"/>
      <c r="J613" s="28">
        <f>IF(H613="","",IF(I613&gt;=H613,"Recebido",IF($B$4&gt;E613,"Vencido","Aberto")))</f>
        <v/>
      </c>
      <c r="K613" s="4">
        <f>IF(J613="","",IF(OR(J613="Recebido",F613=""),MAX(0,F613-E613),MAX(0,$B$4-E613)))</f>
        <v/>
      </c>
      <c r="L613" s="4">
        <f>IF(K613="","",IF(K613=0,"Em dia",IF(K613&lt;=30,"1-30 dias",IF(K613&lt;=60,"31-60 dias",IF(K613&lt;=90,"61-90 dias","&gt;90 dias")))))</f>
        <v/>
      </c>
      <c r="M613" s="28" t="n"/>
      <c r="N613" s="104" t="inlineStr"/>
      <c r="O613" s="64" t="n"/>
      <c r="P613" s="64">
        <f>IF(C613="","",IF(ISNUMBER(SEARCH("PCMSO",C613)),"PCMSO",IF(OR(ISNUMBER(SEARCH("E-SOCIAL",C613)),ISNUMBER(SEARCH("PSICOSOCIAL",C613))),"eSocial / Psicossocial",IF(O613="Receita recorrente","Carteira recorrente","Projetos / Laudos / Avulsos"))))</f>
        <v/>
      </c>
      <c r="Q613" s="64">
        <f>IF(P613="","",IF(P613="Carteira recorrente","Operação recorrente",IF(P613="PCMSO","Projetos PCMSO",IF(P613="eSocial / Psicossocial","Projetos eSocial/Psicossocial","Projetos / Laudos / Avulsos"))))</f>
        <v/>
      </c>
      <c r="R613" s="64">
        <f>IF(C613="","",IF(ISNUMBER(SEARCH("PCMSO",C613)),"Título com PCMSO no nome",IF(OR(ISNUMBER(SEARCH("E-SOCIAL",C613)),ISNUMBER(SEARCH("PSICOSOCIAL",C613))),"Título com eSocial/Psicossocial no nome",IF(O613="Receita recorrente","Tipo DRE recorrente","Extra sem palavra-chave específica"))))</f>
        <v/>
      </c>
      <c r="S613" s="92">
        <f>IFERROR(VLOOKUP($A613,'13. Mapa Títulos-Receita'!$A$8:$P$1000,4,FALSE),"")</f>
        <v/>
      </c>
      <c r="T613" s="92">
        <f>IFERROR(VLOOKUP($A613,'13. Mapa Títulos-Receita'!$A$8:$P$1000,5,FALSE),"")</f>
        <v/>
      </c>
      <c r="U613" s="92">
        <f>IFERROR(VLOOKUP($A613,'13. Mapa Títulos-Receita'!$A$8:$P$1000,6,FALSE),"")</f>
        <v/>
      </c>
      <c r="V613" s="92">
        <f>IFERROR(VLOOKUP($A613,'13. Mapa Títulos-Receita'!$A$8:$P$1000,7,FALSE),"")</f>
        <v/>
      </c>
      <c r="W613" s="92">
        <f>IFERROR(VLOOKUP($A613,'13. Mapa Títulos-Receita'!$A$8:$P$1000,8,FALSE),"")</f>
        <v/>
      </c>
      <c r="X613" s="92">
        <f>IFERROR(VLOOKUP($A613,'13. Mapa Títulos-Receita'!$A$8:$P$1000,9,FALSE),"")</f>
        <v/>
      </c>
      <c r="Y613" s="92">
        <f>IFERROR(VLOOKUP($A613,'13. Mapa Títulos-Receita'!$A$8:$P$1000,10,FALSE),"")</f>
        <v/>
      </c>
      <c r="Z613" s="92">
        <f>IFERROR(VLOOKUP($A613,'13. Mapa Títulos-Receita'!$A$8:$P$1000,11,FALSE),"")</f>
        <v/>
      </c>
      <c r="AA613" s="92">
        <f>IFERROR(VLOOKUP($A613,'13. Mapa Títulos-Receita'!$A$8:$P$1000,12,FALSE),"")</f>
        <v/>
      </c>
      <c r="AB613" s="92">
        <f>IFERROR(VLOOKUP($A613,'13. Mapa Títulos-Receita'!$A$8:$P$1000,13,FALSE),"")</f>
        <v/>
      </c>
      <c r="AC613" s="92">
        <f>IFERROR(VLOOKUP($A613,'13. Mapa Títulos-Receita'!$A$8:$P$1000,14,FALSE),"")</f>
        <v/>
      </c>
      <c r="AD613" s="92">
        <f>IFERROR(VLOOKUP($A613,'13. Mapa Títulos-Receita'!$A$8:$P$1000,15,FALSE),"")</f>
        <v/>
      </c>
      <c r="AE613" s="92">
        <f>IFERROR(VLOOKUP($A613,'13. Mapa Títulos-Receita'!$A$8:$P$1000,16,FALSE),"")</f>
        <v/>
      </c>
    </row>
    <row r="614">
      <c r="A614" s="28">
        <f>IF(C614="","", "CR-"&amp;TEXT(ROW()-7,"000"))</f>
        <v/>
      </c>
      <c r="B614" s="28" t="n"/>
      <c r="C614" s="28" t="n"/>
      <c r="D614" s="111" t="n"/>
      <c r="E614" s="111" t="n"/>
      <c r="F614" s="111" t="n"/>
      <c r="G614" s="28" t="n"/>
      <c r="H614" s="45" t="n"/>
      <c r="I614" s="45" t="n"/>
      <c r="J614" s="28">
        <f>IF(H614="","",IF(I614&gt;=H614,"Recebido",IF($B$4&gt;E614,"Vencido","Aberto")))</f>
        <v/>
      </c>
      <c r="K614" s="4">
        <f>IF(J614="","",IF(OR(J614="Recebido",F614=""),MAX(0,F614-E614),MAX(0,$B$4-E614)))</f>
        <v/>
      </c>
      <c r="L614" s="4">
        <f>IF(K614="","",IF(K614=0,"Em dia",IF(K614&lt;=30,"1-30 dias",IF(K614&lt;=60,"31-60 dias",IF(K614&lt;=90,"61-90 dias","&gt;90 dias")))))</f>
        <v/>
      </c>
      <c r="M614" s="28" t="n"/>
      <c r="N614" s="104" t="inlineStr"/>
      <c r="O614" s="64" t="n"/>
      <c r="P614" s="64">
        <f>IF(C614="","",IF(ISNUMBER(SEARCH("PCMSO",C614)),"PCMSO",IF(OR(ISNUMBER(SEARCH("E-SOCIAL",C614)),ISNUMBER(SEARCH("PSICOSOCIAL",C614))),"eSocial / Psicossocial",IF(O614="Receita recorrente","Carteira recorrente","Projetos / Laudos / Avulsos"))))</f>
        <v/>
      </c>
      <c r="Q614" s="64">
        <f>IF(P614="","",IF(P614="Carteira recorrente","Operação recorrente",IF(P614="PCMSO","Projetos PCMSO",IF(P614="eSocial / Psicossocial","Projetos eSocial/Psicossocial","Projetos / Laudos / Avulsos"))))</f>
        <v/>
      </c>
      <c r="R614" s="64">
        <f>IF(C614="","",IF(ISNUMBER(SEARCH("PCMSO",C614)),"Título com PCMSO no nome",IF(OR(ISNUMBER(SEARCH("E-SOCIAL",C614)),ISNUMBER(SEARCH("PSICOSOCIAL",C614))),"Título com eSocial/Psicossocial no nome",IF(O614="Receita recorrente","Tipo DRE recorrente","Extra sem palavra-chave específica"))))</f>
        <v/>
      </c>
      <c r="S614" s="92">
        <f>IFERROR(VLOOKUP($A614,'13. Mapa Títulos-Receita'!$A$8:$P$1000,4,FALSE),"")</f>
        <v/>
      </c>
      <c r="T614" s="92">
        <f>IFERROR(VLOOKUP($A614,'13. Mapa Títulos-Receita'!$A$8:$P$1000,5,FALSE),"")</f>
        <v/>
      </c>
      <c r="U614" s="92">
        <f>IFERROR(VLOOKUP($A614,'13. Mapa Títulos-Receita'!$A$8:$P$1000,6,FALSE),"")</f>
        <v/>
      </c>
      <c r="V614" s="92">
        <f>IFERROR(VLOOKUP($A614,'13. Mapa Títulos-Receita'!$A$8:$P$1000,7,FALSE),"")</f>
        <v/>
      </c>
      <c r="W614" s="92">
        <f>IFERROR(VLOOKUP($A614,'13. Mapa Títulos-Receita'!$A$8:$P$1000,8,FALSE),"")</f>
        <v/>
      </c>
      <c r="X614" s="92">
        <f>IFERROR(VLOOKUP($A614,'13. Mapa Títulos-Receita'!$A$8:$P$1000,9,FALSE),"")</f>
        <v/>
      </c>
      <c r="Y614" s="92">
        <f>IFERROR(VLOOKUP($A614,'13. Mapa Títulos-Receita'!$A$8:$P$1000,10,FALSE),"")</f>
        <v/>
      </c>
      <c r="Z614" s="92">
        <f>IFERROR(VLOOKUP($A614,'13. Mapa Títulos-Receita'!$A$8:$P$1000,11,FALSE),"")</f>
        <v/>
      </c>
      <c r="AA614" s="92">
        <f>IFERROR(VLOOKUP($A614,'13. Mapa Títulos-Receita'!$A$8:$P$1000,12,FALSE),"")</f>
        <v/>
      </c>
      <c r="AB614" s="92">
        <f>IFERROR(VLOOKUP($A614,'13. Mapa Títulos-Receita'!$A$8:$P$1000,13,FALSE),"")</f>
        <v/>
      </c>
      <c r="AC614" s="92">
        <f>IFERROR(VLOOKUP($A614,'13. Mapa Títulos-Receita'!$A$8:$P$1000,14,FALSE),"")</f>
        <v/>
      </c>
      <c r="AD614" s="92">
        <f>IFERROR(VLOOKUP($A614,'13. Mapa Títulos-Receita'!$A$8:$P$1000,15,FALSE),"")</f>
        <v/>
      </c>
      <c r="AE614" s="92">
        <f>IFERROR(VLOOKUP($A614,'13. Mapa Títulos-Receita'!$A$8:$P$1000,16,FALSE),"")</f>
        <v/>
      </c>
    </row>
    <row r="615">
      <c r="A615" s="28">
        <f>IF(C615="","", "CR-"&amp;TEXT(ROW()-7,"000"))</f>
        <v/>
      </c>
      <c r="B615" s="28" t="n"/>
      <c r="C615" s="28" t="n"/>
      <c r="D615" s="111" t="n"/>
      <c r="E615" s="111" t="n"/>
      <c r="F615" s="111" t="n"/>
      <c r="G615" s="28" t="n"/>
      <c r="H615" s="45" t="n"/>
      <c r="I615" s="45" t="n"/>
      <c r="J615" s="28">
        <f>IF(H615="","",IF(I615&gt;=H615,"Recebido",IF($B$4&gt;E615,"Vencido","Aberto")))</f>
        <v/>
      </c>
      <c r="K615" s="4">
        <f>IF(J615="","",IF(OR(J615="Recebido",F615=""),MAX(0,F615-E615),MAX(0,$B$4-E615)))</f>
        <v/>
      </c>
      <c r="L615" s="4">
        <f>IF(K615="","",IF(K615=0,"Em dia",IF(K615&lt;=30,"1-30 dias",IF(K615&lt;=60,"31-60 dias",IF(K615&lt;=90,"61-90 dias","&gt;90 dias")))))</f>
        <v/>
      </c>
      <c r="M615" s="28" t="n"/>
      <c r="N615" s="104" t="inlineStr"/>
      <c r="O615" s="64" t="n"/>
      <c r="P615" s="64">
        <f>IF(C615="","",IF(ISNUMBER(SEARCH("PCMSO",C615)),"PCMSO",IF(OR(ISNUMBER(SEARCH("E-SOCIAL",C615)),ISNUMBER(SEARCH("PSICOSOCIAL",C615))),"eSocial / Psicossocial",IF(O615="Receita recorrente","Carteira recorrente","Projetos / Laudos / Avulsos"))))</f>
        <v/>
      </c>
      <c r="Q615" s="64">
        <f>IF(P615="","",IF(P615="Carteira recorrente","Operação recorrente",IF(P615="PCMSO","Projetos PCMSO",IF(P615="eSocial / Psicossocial","Projetos eSocial/Psicossocial","Projetos / Laudos / Avulsos"))))</f>
        <v/>
      </c>
      <c r="R615" s="64">
        <f>IF(C615="","",IF(ISNUMBER(SEARCH("PCMSO",C615)),"Título com PCMSO no nome",IF(OR(ISNUMBER(SEARCH("E-SOCIAL",C615)),ISNUMBER(SEARCH("PSICOSOCIAL",C615))),"Título com eSocial/Psicossocial no nome",IF(O615="Receita recorrente","Tipo DRE recorrente","Extra sem palavra-chave específica"))))</f>
        <v/>
      </c>
      <c r="S615" s="92">
        <f>IFERROR(VLOOKUP($A615,'13. Mapa Títulos-Receita'!$A$8:$P$1000,4,FALSE),"")</f>
        <v/>
      </c>
      <c r="T615" s="92">
        <f>IFERROR(VLOOKUP($A615,'13. Mapa Títulos-Receita'!$A$8:$P$1000,5,FALSE),"")</f>
        <v/>
      </c>
      <c r="U615" s="92">
        <f>IFERROR(VLOOKUP($A615,'13. Mapa Títulos-Receita'!$A$8:$P$1000,6,FALSE),"")</f>
        <v/>
      </c>
      <c r="V615" s="92">
        <f>IFERROR(VLOOKUP($A615,'13. Mapa Títulos-Receita'!$A$8:$P$1000,7,FALSE),"")</f>
        <v/>
      </c>
      <c r="W615" s="92">
        <f>IFERROR(VLOOKUP($A615,'13. Mapa Títulos-Receita'!$A$8:$P$1000,8,FALSE),"")</f>
        <v/>
      </c>
      <c r="X615" s="92">
        <f>IFERROR(VLOOKUP($A615,'13. Mapa Títulos-Receita'!$A$8:$P$1000,9,FALSE),"")</f>
        <v/>
      </c>
      <c r="Y615" s="92">
        <f>IFERROR(VLOOKUP($A615,'13. Mapa Títulos-Receita'!$A$8:$P$1000,10,FALSE),"")</f>
        <v/>
      </c>
      <c r="Z615" s="92">
        <f>IFERROR(VLOOKUP($A615,'13. Mapa Títulos-Receita'!$A$8:$P$1000,11,FALSE),"")</f>
        <v/>
      </c>
      <c r="AA615" s="92">
        <f>IFERROR(VLOOKUP($A615,'13. Mapa Títulos-Receita'!$A$8:$P$1000,12,FALSE),"")</f>
        <v/>
      </c>
      <c r="AB615" s="92">
        <f>IFERROR(VLOOKUP($A615,'13. Mapa Títulos-Receita'!$A$8:$P$1000,13,FALSE),"")</f>
        <v/>
      </c>
      <c r="AC615" s="92">
        <f>IFERROR(VLOOKUP($A615,'13. Mapa Títulos-Receita'!$A$8:$P$1000,14,FALSE),"")</f>
        <v/>
      </c>
      <c r="AD615" s="92">
        <f>IFERROR(VLOOKUP($A615,'13. Mapa Títulos-Receita'!$A$8:$P$1000,15,FALSE),"")</f>
        <v/>
      </c>
      <c r="AE615" s="92">
        <f>IFERROR(VLOOKUP($A615,'13. Mapa Títulos-Receita'!$A$8:$P$1000,16,FALSE),"")</f>
        <v/>
      </c>
    </row>
    <row r="616">
      <c r="A616" s="28">
        <f>IF(C616="","", "CR-"&amp;TEXT(ROW()-7,"000"))</f>
        <v/>
      </c>
      <c r="B616" s="28" t="n"/>
      <c r="C616" s="28" t="n"/>
      <c r="D616" s="111" t="n"/>
      <c r="E616" s="111" t="n"/>
      <c r="F616" s="111" t="n"/>
      <c r="G616" s="28" t="n"/>
      <c r="H616" s="45" t="n"/>
      <c r="I616" s="45" t="n"/>
      <c r="J616" s="28">
        <f>IF(H616="","",IF(I616&gt;=H616,"Recebido",IF($B$4&gt;E616,"Vencido","Aberto")))</f>
        <v/>
      </c>
      <c r="K616" s="4">
        <f>IF(J616="","",IF(OR(J616="Recebido",F616=""),MAX(0,F616-E616),MAX(0,$B$4-E616)))</f>
        <v/>
      </c>
      <c r="L616" s="4">
        <f>IF(K616="","",IF(K616=0,"Em dia",IF(K616&lt;=30,"1-30 dias",IF(K616&lt;=60,"31-60 dias",IF(K616&lt;=90,"61-90 dias","&gt;90 dias")))))</f>
        <v/>
      </c>
      <c r="M616" s="28" t="n"/>
      <c r="N616" s="104" t="inlineStr"/>
      <c r="O616" s="64" t="n"/>
      <c r="P616" s="64">
        <f>IF(C616="","",IF(ISNUMBER(SEARCH("PCMSO",C616)),"PCMSO",IF(OR(ISNUMBER(SEARCH("E-SOCIAL",C616)),ISNUMBER(SEARCH("PSICOSOCIAL",C616))),"eSocial / Psicossocial",IF(O616="Receita recorrente","Carteira recorrente","Projetos / Laudos / Avulsos"))))</f>
        <v/>
      </c>
      <c r="Q616" s="64">
        <f>IF(P616="","",IF(P616="Carteira recorrente","Operação recorrente",IF(P616="PCMSO","Projetos PCMSO",IF(P616="eSocial / Psicossocial","Projetos eSocial/Psicossocial","Projetos / Laudos / Avulsos"))))</f>
        <v/>
      </c>
      <c r="R616" s="64">
        <f>IF(C616="","",IF(ISNUMBER(SEARCH("PCMSO",C616)),"Título com PCMSO no nome",IF(OR(ISNUMBER(SEARCH("E-SOCIAL",C616)),ISNUMBER(SEARCH("PSICOSOCIAL",C616))),"Título com eSocial/Psicossocial no nome",IF(O616="Receita recorrente","Tipo DRE recorrente","Extra sem palavra-chave específica"))))</f>
        <v/>
      </c>
      <c r="S616" s="92">
        <f>IFERROR(VLOOKUP($A616,'13. Mapa Títulos-Receita'!$A$8:$P$1000,4,FALSE),"")</f>
        <v/>
      </c>
      <c r="T616" s="92">
        <f>IFERROR(VLOOKUP($A616,'13. Mapa Títulos-Receita'!$A$8:$P$1000,5,FALSE),"")</f>
        <v/>
      </c>
      <c r="U616" s="92">
        <f>IFERROR(VLOOKUP($A616,'13. Mapa Títulos-Receita'!$A$8:$P$1000,6,FALSE),"")</f>
        <v/>
      </c>
      <c r="V616" s="92">
        <f>IFERROR(VLOOKUP($A616,'13. Mapa Títulos-Receita'!$A$8:$P$1000,7,FALSE),"")</f>
        <v/>
      </c>
      <c r="W616" s="92">
        <f>IFERROR(VLOOKUP($A616,'13. Mapa Títulos-Receita'!$A$8:$P$1000,8,FALSE),"")</f>
        <v/>
      </c>
      <c r="X616" s="92">
        <f>IFERROR(VLOOKUP($A616,'13. Mapa Títulos-Receita'!$A$8:$P$1000,9,FALSE),"")</f>
        <v/>
      </c>
      <c r="Y616" s="92">
        <f>IFERROR(VLOOKUP($A616,'13. Mapa Títulos-Receita'!$A$8:$P$1000,10,FALSE),"")</f>
        <v/>
      </c>
      <c r="Z616" s="92">
        <f>IFERROR(VLOOKUP($A616,'13. Mapa Títulos-Receita'!$A$8:$P$1000,11,FALSE),"")</f>
        <v/>
      </c>
      <c r="AA616" s="92">
        <f>IFERROR(VLOOKUP($A616,'13. Mapa Títulos-Receita'!$A$8:$P$1000,12,FALSE),"")</f>
        <v/>
      </c>
      <c r="AB616" s="92">
        <f>IFERROR(VLOOKUP($A616,'13. Mapa Títulos-Receita'!$A$8:$P$1000,13,FALSE),"")</f>
        <v/>
      </c>
      <c r="AC616" s="92">
        <f>IFERROR(VLOOKUP($A616,'13. Mapa Títulos-Receita'!$A$8:$P$1000,14,FALSE),"")</f>
        <v/>
      </c>
      <c r="AD616" s="92">
        <f>IFERROR(VLOOKUP($A616,'13. Mapa Títulos-Receita'!$A$8:$P$1000,15,FALSE),"")</f>
        <v/>
      </c>
      <c r="AE616" s="92">
        <f>IFERROR(VLOOKUP($A616,'13. Mapa Títulos-Receita'!$A$8:$P$1000,16,FALSE),"")</f>
        <v/>
      </c>
    </row>
    <row r="617">
      <c r="A617" s="28">
        <f>IF(C617="","", "CR-"&amp;TEXT(ROW()-7,"000"))</f>
        <v/>
      </c>
      <c r="B617" s="28" t="n"/>
      <c r="C617" s="28" t="n"/>
      <c r="D617" s="111" t="n"/>
      <c r="E617" s="111" t="n"/>
      <c r="F617" s="111" t="n"/>
      <c r="G617" s="28" t="n"/>
      <c r="H617" s="45" t="n"/>
      <c r="I617" s="45" t="n"/>
      <c r="J617" s="28">
        <f>IF(H617="","",IF(I617&gt;=H617,"Recebido",IF($B$4&gt;E617,"Vencido","Aberto")))</f>
        <v/>
      </c>
      <c r="K617" s="4">
        <f>IF(J617="","",IF(OR(J617="Recebido",F617=""),MAX(0,F617-E617),MAX(0,$B$4-E617)))</f>
        <v/>
      </c>
      <c r="L617" s="4">
        <f>IF(K617="","",IF(K617=0,"Em dia",IF(K617&lt;=30,"1-30 dias",IF(K617&lt;=60,"31-60 dias",IF(K617&lt;=90,"61-90 dias","&gt;90 dias")))))</f>
        <v/>
      </c>
      <c r="M617" s="28" t="n"/>
      <c r="N617" s="104" t="inlineStr"/>
      <c r="O617" s="64" t="n"/>
      <c r="P617" s="64">
        <f>IF(C617="","",IF(ISNUMBER(SEARCH("PCMSO",C617)),"PCMSO",IF(OR(ISNUMBER(SEARCH("E-SOCIAL",C617)),ISNUMBER(SEARCH("PSICOSOCIAL",C617))),"eSocial / Psicossocial",IF(O617="Receita recorrente","Carteira recorrente","Projetos / Laudos / Avulsos"))))</f>
        <v/>
      </c>
      <c r="Q617" s="64">
        <f>IF(P617="","",IF(P617="Carteira recorrente","Operação recorrente",IF(P617="PCMSO","Projetos PCMSO",IF(P617="eSocial / Psicossocial","Projetos eSocial/Psicossocial","Projetos / Laudos / Avulsos"))))</f>
        <v/>
      </c>
      <c r="R617" s="64">
        <f>IF(C617="","",IF(ISNUMBER(SEARCH("PCMSO",C617)),"Título com PCMSO no nome",IF(OR(ISNUMBER(SEARCH("E-SOCIAL",C617)),ISNUMBER(SEARCH("PSICOSOCIAL",C617))),"Título com eSocial/Psicossocial no nome",IF(O617="Receita recorrente","Tipo DRE recorrente","Extra sem palavra-chave específica"))))</f>
        <v/>
      </c>
      <c r="S617" s="92">
        <f>IFERROR(VLOOKUP($A617,'13. Mapa Títulos-Receita'!$A$8:$P$1000,4,FALSE),"")</f>
        <v/>
      </c>
      <c r="T617" s="92">
        <f>IFERROR(VLOOKUP($A617,'13. Mapa Títulos-Receita'!$A$8:$P$1000,5,FALSE),"")</f>
        <v/>
      </c>
      <c r="U617" s="92">
        <f>IFERROR(VLOOKUP($A617,'13. Mapa Títulos-Receita'!$A$8:$P$1000,6,FALSE),"")</f>
        <v/>
      </c>
      <c r="V617" s="92">
        <f>IFERROR(VLOOKUP($A617,'13. Mapa Títulos-Receita'!$A$8:$P$1000,7,FALSE),"")</f>
        <v/>
      </c>
      <c r="W617" s="92">
        <f>IFERROR(VLOOKUP($A617,'13. Mapa Títulos-Receita'!$A$8:$P$1000,8,FALSE),"")</f>
        <v/>
      </c>
      <c r="X617" s="92">
        <f>IFERROR(VLOOKUP($A617,'13. Mapa Títulos-Receita'!$A$8:$P$1000,9,FALSE),"")</f>
        <v/>
      </c>
      <c r="Y617" s="92">
        <f>IFERROR(VLOOKUP($A617,'13. Mapa Títulos-Receita'!$A$8:$P$1000,10,FALSE),"")</f>
        <v/>
      </c>
      <c r="Z617" s="92">
        <f>IFERROR(VLOOKUP($A617,'13. Mapa Títulos-Receita'!$A$8:$P$1000,11,FALSE),"")</f>
        <v/>
      </c>
      <c r="AA617" s="92">
        <f>IFERROR(VLOOKUP($A617,'13. Mapa Títulos-Receita'!$A$8:$P$1000,12,FALSE),"")</f>
        <v/>
      </c>
      <c r="AB617" s="92">
        <f>IFERROR(VLOOKUP($A617,'13. Mapa Títulos-Receita'!$A$8:$P$1000,13,FALSE),"")</f>
        <v/>
      </c>
      <c r="AC617" s="92">
        <f>IFERROR(VLOOKUP($A617,'13. Mapa Títulos-Receita'!$A$8:$P$1000,14,FALSE),"")</f>
        <v/>
      </c>
      <c r="AD617" s="92">
        <f>IFERROR(VLOOKUP($A617,'13. Mapa Títulos-Receita'!$A$8:$P$1000,15,FALSE),"")</f>
        <v/>
      </c>
      <c r="AE617" s="92">
        <f>IFERROR(VLOOKUP($A617,'13. Mapa Títulos-Receita'!$A$8:$P$1000,16,FALSE),"")</f>
        <v/>
      </c>
    </row>
    <row r="618">
      <c r="A618" s="28">
        <f>IF(C618="","", "CR-"&amp;TEXT(ROW()-7,"000"))</f>
        <v/>
      </c>
      <c r="B618" s="28" t="n"/>
      <c r="C618" s="28" t="n"/>
      <c r="D618" s="111" t="n"/>
      <c r="E618" s="111" t="n"/>
      <c r="F618" s="111" t="n"/>
      <c r="G618" s="28" t="n"/>
      <c r="H618" s="45" t="n"/>
      <c r="I618" s="45" t="n"/>
      <c r="J618" s="28">
        <f>IF(H618="","",IF(I618&gt;=H618,"Recebido",IF($B$4&gt;E618,"Vencido","Aberto")))</f>
        <v/>
      </c>
      <c r="K618" s="4">
        <f>IF(J618="","",IF(OR(J618="Recebido",F618=""),MAX(0,F618-E618),MAX(0,$B$4-E618)))</f>
        <v/>
      </c>
      <c r="L618" s="4">
        <f>IF(K618="","",IF(K618=0,"Em dia",IF(K618&lt;=30,"1-30 dias",IF(K618&lt;=60,"31-60 dias",IF(K618&lt;=90,"61-90 dias","&gt;90 dias")))))</f>
        <v/>
      </c>
      <c r="M618" s="28" t="n"/>
      <c r="N618" s="104" t="inlineStr"/>
      <c r="O618" s="64" t="n"/>
      <c r="P618" s="64">
        <f>IF(C618="","",IF(ISNUMBER(SEARCH("PCMSO",C618)),"PCMSO",IF(OR(ISNUMBER(SEARCH("E-SOCIAL",C618)),ISNUMBER(SEARCH("PSICOSOCIAL",C618))),"eSocial / Psicossocial",IF(O618="Receita recorrente","Carteira recorrente","Projetos / Laudos / Avulsos"))))</f>
        <v/>
      </c>
      <c r="Q618" s="64">
        <f>IF(P618="","",IF(P618="Carteira recorrente","Operação recorrente",IF(P618="PCMSO","Projetos PCMSO",IF(P618="eSocial / Psicossocial","Projetos eSocial/Psicossocial","Projetos / Laudos / Avulsos"))))</f>
        <v/>
      </c>
      <c r="R618" s="64">
        <f>IF(C618="","",IF(ISNUMBER(SEARCH("PCMSO",C618)),"Título com PCMSO no nome",IF(OR(ISNUMBER(SEARCH("E-SOCIAL",C618)),ISNUMBER(SEARCH("PSICOSOCIAL",C618))),"Título com eSocial/Psicossocial no nome",IF(O618="Receita recorrente","Tipo DRE recorrente","Extra sem palavra-chave específica"))))</f>
        <v/>
      </c>
      <c r="S618" s="92">
        <f>IFERROR(VLOOKUP($A618,'13. Mapa Títulos-Receita'!$A$8:$P$1000,4,FALSE),"")</f>
        <v/>
      </c>
      <c r="T618" s="92">
        <f>IFERROR(VLOOKUP($A618,'13. Mapa Títulos-Receita'!$A$8:$P$1000,5,FALSE),"")</f>
        <v/>
      </c>
      <c r="U618" s="92">
        <f>IFERROR(VLOOKUP($A618,'13. Mapa Títulos-Receita'!$A$8:$P$1000,6,FALSE),"")</f>
        <v/>
      </c>
      <c r="V618" s="92">
        <f>IFERROR(VLOOKUP($A618,'13. Mapa Títulos-Receita'!$A$8:$P$1000,7,FALSE),"")</f>
        <v/>
      </c>
      <c r="W618" s="92">
        <f>IFERROR(VLOOKUP($A618,'13. Mapa Títulos-Receita'!$A$8:$P$1000,8,FALSE),"")</f>
        <v/>
      </c>
      <c r="X618" s="92">
        <f>IFERROR(VLOOKUP($A618,'13. Mapa Títulos-Receita'!$A$8:$P$1000,9,FALSE),"")</f>
        <v/>
      </c>
      <c r="Y618" s="92">
        <f>IFERROR(VLOOKUP($A618,'13. Mapa Títulos-Receita'!$A$8:$P$1000,10,FALSE),"")</f>
        <v/>
      </c>
      <c r="Z618" s="92">
        <f>IFERROR(VLOOKUP($A618,'13. Mapa Títulos-Receita'!$A$8:$P$1000,11,FALSE),"")</f>
        <v/>
      </c>
      <c r="AA618" s="92">
        <f>IFERROR(VLOOKUP($A618,'13. Mapa Títulos-Receita'!$A$8:$P$1000,12,FALSE),"")</f>
        <v/>
      </c>
      <c r="AB618" s="92">
        <f>IFERROR(VLOOKUP($A618,'13. Mapa Títulos-Receita'!$A$8:$P$1000,13,FALSE),"")</f>
        <v/>
      </c>
      <c r="AC618" s="92">
        <f>IFERROR(VLOOKUP($A618,'13. Mapa Títulos-Receita'!$A$8:$P$1000,14,FALSE),"")</f>
        <v/>
      </c>
      <c r="AD618" s="92">
        <f>IFERROR(VLOOKUP($A618,'13. Mapa Títulos-Receita'!$A$8:$P$1000,15,FALSE),"")</f>
        <v/>
      </c>
      <c r="AE618" s="92">
        <f>IFERROR(VLOOKUP($A618,'13. Mapa Títulos-Receita'!$A$8:$P$1000,16,FALSE),"")</f>
        <v/>
      </c>
    </row>
    <row r="619">
      <c r="A619" s="28">
        <f>IF(C619="","", "CR-"&amp;TEXT(ROW()-7,"000"))</f>
        <v/>
      </c>
      <c r="B619" s="28" t="n"/>
      <c r="C619" s="28" t="n"/>
      <c r="D619" s="111" t="n"/>
      <c r="E619" s="111" t="n"/>
      <c r="F619" s="111" t="n"/>
      <c r="G619" s="28" t="n"/>
      <c r="H619" s="45" t="n"/>
      <c r="I619" s="45" t="n"/>
      <c r="J619" s="28">
        <f>IF(H619="","",IF(I619&gt;=H619,"Recebido",IF($B$4&gt;E619,"Vencido","Aberto")))</f>
        <v/>
      </c>
      <c r="K619" s="4">
        <f>IF(J619="","",IF(OR(J619="Recebido",F619=""),MAX(0,F619-E619),MAX(0,$B$4-E619)))</f>
        <v/>
      </c>
      <c r="L619" s="4">
        <f>IF(K619="","",IF(K619=0,"Em dia",IF(K619&lt;=30,"1-30 dias",IF(K619&lt;=60,"31-60 dias",IF(K619&lt;=90,"61-90 dias","&gt;90 dias")))))</f>
        <v/>
      </c>
      <c r="M619" s="28" t="n"/>
      <c r="N619" s="104" t="inlineStr"/>
      <c r="O619" s="64" t="n"/>
      <c r="P619" s="64">
        <f>IF(C619="","",IF(ISNUMBER(SEARCH("PCMSO",C619)),"PCMSO",IF(OR(ISNUMBER(SEARCH("E-SOCIAL",C619)),ISNUMBER(SEARCH("PSICOSOCIAL",C619))),"eSocial / Psicossocial",IF(O619="Receita recorrente","Carteira recorrente","Projetos / Laudos / Avulsos"))))</f>
        <v/>
      </c>
      <c r="Q619" s="64">
        <f>IF(P619="","",IF(P619="Carteira recorrente","Operação recorrente",IF(P619="PCMSO","Projetos PCMSO",IF(P619="eSocial / Psicossocial","Projetos eSocial/Psicossocial","Projetos / Laudos / Avulsos"))))</f>
        <v/>
      </c>
      <c r="R619" s="64">
        <f>IF(C619="","",IF(ISNUMBER(SEARCH("PCMSO",C619)),"Título com PCMSO no nome",IF(OR(ISNUMBER(SEARCH("E-SOCIAL",C619)),ISNUMBER(SEARCH("PSICOSOCIAL",C619))),"Título com eSocial/Psicossocial no nome",IF(O619="Receita recorrente","Tipo DRE recorrente","Extra sem palavra-chave específica"))))</f>
        <v/>
      </c>
      <c r="S619" s="92">
        <f>IFERROR(VLOOKUP($A619,'13. Mapa Títulos-Receita'!$A$8:$P$1000,4,FALSE),"")</f>
        <v/>
      </c>
      <c r="T619" s="92">
        <f>IFERROR(VLOOKUP($A619,'13. Mapa Títulos-Receita'!$A$8:$P$1000,5,FALSE),"")</f>
        <v/>
      </c>
      <c r="U619" s="92">
        <f>IFERROR(VLOOKUP($A619,'13. Mapa Títulos-Receita'!$A$8:$P$1000,6,FALSE),"")</f>
        <v/>
      </c>
      <c r="V619" s="92">
        <f>IFERROR(VLOOKUP($A619,'13. Mapa Títulos-Receita'!$A$8:$P$1000,7,FALSE),"")</f>
        <v/>
      </c>
      <c r="W619" s="92">
        <f>IFERROR(VLOOKUP($A619,'13. Mapa Títulos-Receita'!$A$8:$P$1000,8,FALSE),"")</f>
        <v/>
      </c>
      <c r="X619" s="92">
        <f>IFERROR(VLOOKUP($A619,'13. Mapa Títulos-Receita'!$A$8:$P$1000,9,FALSE),"")</f>
        <v/>
      </c>
      <c r="Y619" s="92">
        <f>IFERROR(VLOOKUP($A619,'13. Mapa Títulos-Receita'!$A$8:$P$1000,10,FALSE),"")</f>
        <v/>
      </c>
      <c r="Z619" s="92">
        <f>IFERROR(VLOOKUP($A619,'13. Mapa Títulos-Receita'!$A$8:$P$1000,11,FALSE),"")</f>
        <v/>
      </c>
      <c r="AA619" s="92">
        <f>IFERROR(VLOOKUP($A619,'13. Mapa Títulos-Receita'!$A$8:$P$1000,12,FALSE),"")</f>
        <v/>
      </c>
      <c r="AB619" s="92">
        <f>IFERROR(VLOOKUP($A619,'13. Mapa Títulos-Receita'!$A$8:$P$1000,13,FALSE),"")</f>
        <v/>
      </c>
      <c r="AC619" s="92">
        <f>IFERROR(VLOOKUP($A619,'13. Mapa Títulos-Receita'!$A$8:$P$1000,14,FALSE),"")</f>
        <v/>
      </c>
      <c r="AD619" s="92">
        <f>IFERROR(VLOOKUP($A619,'13. Mapa Títulos-Receita'!$A$8:$P$1000,15,FALSE),"")</f>
        <v/>
      </c>
      <c r="AE619" s="92">
        <f>IFERROR(VLOOKUP($A619,'13. Mapa Títulos-Receita'!$A$8:$P$1000,16,FALSE),"")</f>
        <v/>
      </c>
    </row>
    <row r="620">
      <c r="A620" s="28">
        <f>IF(C620="","", "CR-"&amp;TEXT(ROW()-7,"000"))</f>
        <v/>
      </c>
      <c r="B620" s="28" t="n"/>
      <c r="C620" s="28" t="n"/>
      <c r="D620" s="111" t="n"/>
      <c r="E620" s="111" t="n"/>
      <c r="F620" s="111" t="n"/>
      <c r="G620" s="28" t="n"/>
      <c r="H620" s="45" t="n"/>
      <c r="I620" s="45" t="n"/>
      <c r="J620" s="28">
        <f>IF(H620="","",IF(I620&gt;=H620,"Recebido",IF($B$4&gt;E620,"Vencido","Aberto")))</f>
        <v/>
      </c>
      <c r="K620" s="4">
        <f>IF(J620="","",IF(OR(J620="Recebido",F620=""),MAX(0,F620-E620),MAX(0,$B$4-E620)))</f>
        <v/>
      </c>
      <c r="L620" s="4">
        <f>IF(K620="","",IF(K620=0,"Em dia",IF(K620&lt;=30,"1-30 dias",IF(K620&lt;=60,"31-60 dias",IF(K620&lt;=90,"61-90 dias","&gt;90 dias")))))</f>
        <v/>
      </c>
      <c r="M620" s="28" t="n"/>
      <c r="N620" s="104" t="inlineStr"/>
      <c r="O620" s="64" t="n"/>
      <c r="P620" s="64">
        <f>IF(C620="","",IF(ISNUMBER(SEARCH("PCMSO",C620)),"PCMSO",IF(OR(ISNUMBER(SEARCH("E-SOCIAL",C620)),ISNUMBER(SEARCH("PSICOSOCIAL",C620))),"eSocial / Psicossocial",IF(O620="Receita recorrente","Carteira recorrente","Projetos / Laudos / Avulsos"))))</f>
        <v/>
      </c>
      <c r="Q620" s="64">
        <f>IF(P620="","",IF(P620="Carteira recorrente","Operação recorrente",IF(P620="PCMSO","Projetos PCMSO",IF(P620="eSocial / Psicossocial","Projetos eSocial/Psicossocial","Projetos / Laudos / Avulsos"))))</f>
        <v/>
      </c>
      <c r="R620" s="64">
        <f>IF(C620="","",IF(ISNUMBER(SEARCH("PCMSO",C620)),"Título com PCMSO no nome",IF(OR(ISNUMBER(SEARCH("E-SOCIAL",C620)),ISNUMBER(SEARCH("PSICOSOCIAL",C620))),"Título com eSocial/Psicossocial no nome",IF(O620="Receita recorrente","Tipo DRE recorrente","Extra sem palavra-chave específica"))))</f>
        <v/>
      </c>
      <c r="S620" s="92">
        <f>IFERROR(VLOOKUP($A620,'13. Mapa Títulos-Receita'!$A$8:$P$1000,4,FALSE),"")</f>
        <v/>
      </c>
      <c r="T620" s="92">
        <f>IFERROR(VLOOKUP($A620,'13. Mapa Títulos-Receita'!$A$8:$P$1000,5,FALSE),"")</f>
        <v/>
      </c>
      <c r="U620" s="92">
        <f>IFERROR(VLOOKUP($A620,'13. Mapa Títulos-Receita'!$A$8:$P$1000,6,FALSE),"")</f>
        <v/>
      </c>
      <c r="V620" s="92">
        <f>IFERROR(VLOOKUP($A620,'13. Mapa Títulos-Receita'!$A$8:$P$1000,7,FALSE),"")</f>
        <v/>
      </c>
      <c r="W620" s="92">
        <f>IFERROR(VLOOKUP($A620,'13. Mapa Títulos-Receita'!$A$8:$P$1000,8,FALSE),"")</f>
        <v/>
      </c>
      <c r="X620" s="92">
        <f>IFERROR(VLOOKUP($A620,'13. Mapa Títulos-Receita'!$A$8:$P$1000,9,FALSE),"")</f>
        <v/>
      </c>
      <c r="Y620" s="92">
        <f>IFERROR(VLOOKUP($A620,'13. Mapa Títulos-Receita'!$A$8:$P$1000,10,FALSE),"")</f>
        <v/>
      </c>
      <c r="Z620" s="92">
        <f>IFERROR(VLOOKUP($A620,'13. Mapa Títulos-Receita'!$A$8:$P$1000,11,FALSE),"")</f>
        <v/>
      </c>
      <c r="AA620" s="92">
        <f>IFERROR(VLOOKUP($A620,'13. Mapa Títulos-Receita'!$A$8:$P$1000,12,FALSE),"")</f>
        <v/>
      </c>
      <c r="AB620" s="92">
        <f>IFERROR(VLOOKUP($A620,'13. Mapa Títulos-Receita'!$A$8:$P$1000,13,FALSE),"")</f>
        <v/>
      </c>
      <c r="AC620" s="92">
        <f>IFERROR(VLOOKUP($A620,'13. Mapa Títulos-Receita'!$A$8:$P$1000,14,FALSE),"")</f>
        <v/>
      </c>
      <c r="AD620" s="92">
        <f>IFERROR(VLOOKUP($A620,'13. Mapa Títulos-Receita'!$A$8:$P$1000,15,FALSE),"")</f>
        <v/>
      </c>
      <c r="AE620" s="92">
        <f>IFERROR(VLOOKUP($A620,'13. Mapa Títulos-Receita'!$A$8:$P$1000,16,FALSE),"")</f>
        <v/>
      </c>
    </row>
    <row r="621">
      <c r="A621" s="28">
        <f>IF(C621="","", "CR-"&amp;TEXT(ROW()-7,"000"))</f>
        <v/>
      </c>
      <c r="B621" s="28" t="n"/>
      <c r="C621" s="28" t="n"/>
      <c r="D621" s="111" t="n"/>
      <c r="E621" s="111" t="n"/>
      <c r="F621" s="111" t="n"/>
      <c r="G621" s="28" t="n"/>
      <c r="H621" s="45" t="n"/>
      <c r="I621" s="45" t="n"/>
      <c r="J621" s="28">
        <f>IF(H621="","",IF(I621&gt;=H621,"Recebido",IF($B$4&gt;E621,"Vencido","Aberto")))</f>
        <v/>
      </c>
      <c r="K621" s="4">
        <f>IF(J621="","",IF(OR(J621="Recebido",F621=""),MAX(0,F621-E621),MAX(0,$B$4-E621)))</f>
        <v/>
      </c>
      <c r="L621" s="4">
        <f>IF(K621="","",IF(K621=0,"Em dia",IF(K621&lt;=30,"1-30 dias",IF(K621&lt;=60,"31-60 dias",IF(K621&lt;=90,"61-90 dias","&gt;90 dias")))))</f>
        <v/>
      </c>
      <c r="M621" s="28" t="n"/>
      <c r="N621" s="104" t="inlineStr"/>
      <c r="O621" s="64" t="n"/>
      <c r="P621" s="64">
        <f>IF(C621="","",IF(ISNUMBER(SEARCH("PCMSO",C621)),"PCMSO",IF(OR(ISNUMBER(SEARCH("E-SOCIAL",C621)),ISNUMBER(SEARCH("PSICOSOCIAL",C621))),"eSocial / Psicossocial",IF(O621="Receita recorrente","Carteira recorrente","Projetos / Laudos / Avulsos"))))</f>
        <v/>
      </c>
      <c r="Q621" s="64">
        <f>IF(P621="","",IF(P621="Carteira recorrente","Operação recorrente",IF(P621="PCMSO","Projetos PCMSO",IF(P621="eSocial / Psicossocial","Projetos eSocial/Psicossocial","Projetos / Laudos / Avulsos"))))</f>
        <v/>
      </c>
      <c r="R621" s="64">
        <f>IF(C621="","",IF(ISNUMBER(SEARCH("PCMSO",C621)),"Título com PCMSO no nome",IF(OR(ISNUMBER(SEARCH("E-SOCIAL",C621)),ISNUMBER(SEARCH("PSICOSOCIAL",C621))),"Título com eSocial/Psicossocial no nome",IF(O621="Receita recorrente","Tipo DRE recorrente","Extra sem palavra-chave específica"))))</f>
        <v/>
      </c>
      <c r="S621" s="92">
        <f>IFERROR(VLOOKUP($A621,'13. Mapa Títulos-Receita'!$A$8:$P$1000,4,FALSE),"")</f>
        <v/>
      </c>
      <c r="T621" s="92">
        <f>IFERROR(VLOOKUP($A621,'13. Mapa Títulos-Receita'!$A$8:$P$1000,5,FALSE),"")</f>
        <v/>
      </c>
      <c r="U621" s="92">
        <f>IFERROR(VLOOKUP($A621,'13. Mapa Títulos-Receita'!$A$8:$P$1000,6,FALSE),"")</f>
        <v/>
      </c>
      <c r="V621" s="92">
        <f>IFERROR(VLOOKUP($A621,'13. Mapa Títulos-Receita'!$A$8:$P$1000,7,FALSE),"")</f>
        <v/>
      </c>
      <c r="W621" s="92">
        <f>IFERROR(VLOOKUP($A621,'13. Mapa Títulos-Receita'!$A$8:$P$1000,8,FALSE),"")</f>
        <v/>
      </c>
      <c r="X621" s="92">
        <f>IFERROR(VLOOKUP($A621,'13. Mapa Títulos-Receita'!$A$8:$P$1000,9,FALSE),"")</f>
        <v/>
      </c>
      <c r="Y621" s="92">
        <f>IFERROR(VLOOKUP($A621,'13. Mapa Títulos-Receita'!$A$8:$P$1000,10,FALSE),"")</f>
        <v/>
      </c>
      <c r="Z621" s="92">
        <f>IFERROR(VLOOKUP($A621,'13. Mapa Títulos-Receita'!$A$8:$P$1000,11,FALSE),"")</f>
        <v/>
      </c>
      <c r="AA621" s="92">
        <f>IFERROR(VLOOKUP($A621,'13. Mapa Títulos-Receita'!$A$8:$P$1000,12,FALSE),"")</f>
        <v/>
      </c>
      <c r="AB621" s="92">
        <f>IFERROR(VLOOKUP($A621,'13. Mapa Títulos-Receita'!$A$8:$P$1000,13,FALSE),"")</f>
        <v/>
      </c>
      <c r="AC621" s="92">
        <f>IFERROR(VLOOKUP($A621,'13. Mapa Títulos-Receita'!$A$8:$P$1000,14,FALSE),"")</f>
        <v/>
      </c>
      <c r="AD621" s="92">
        <f>IFERROR(VLOOKUP($A621,'13. Mapa Títulos-Receita'!$A$8:$P$1000,15,FALSE),"")</f>
        <v/>
      </c>
      <c r="AE621" s="92">
        <f>IFERROR(VLOOKUP($A621,'13. Mapa Títulos-Receita'!$A$8:$P$1000,16,FALSE),"")</f>
        <v/>
      </c>
    </row>
    <row r="622">
      <c r="A622" s="28">
        <f>IF(C622="","", "CR-"&amp;TEXT(ROW()-7,"000"))</f>
        <v/>
      </c>
      <c r="B622" s="28" t="n"/>
      <c r="C622" s="28" t="n"/>
      <c r="D622" s="111" t="n"/>
      <c r="E622" s="111" t="n"/>
      <c r="F622" s="111" t="n"/>
      <c r="G622" s="28" t="n"/>
      <c r="H622" s="45" t="n"/>
      <c r="I622" s="45" t="n"/>
      <c r="J622" s="28">
        <f>IF(H622="","",IF(I622&gt;=H622,"Recebido",IF($B$4&gt;E622,"Vencido","Aberto")))</f>
        <v/>
      </c>
      <c r="K622" s="4">
        <f>IF(J622="","",IF(OR(J622="Recebido",F622=""),MAX(0,F622-E622),MAX(0,$B$4-E622)))</f>
        <v/>
      </c>
      <c r="L622" s="4">
        <f>IF(K622="","",IF(K622=0,"Em dia",IF(K622&lt;=30,"1-30 dias",IF(K622&lt;=60,"31-60 dias",IF(K622&lt;=90,"61-90 dias","&gt;90 dias")))))</f>
        <v/>
      </c>
      <c r="M622" s="28" t="n"/>
      <c r="N622" s="104" t="inlineStr"/>
      <c r="O622" s="64" t="n"/>
      <c r="P622" s="64">
        <f>IF(C622="","",IF(ISNUMBER(SEARCH("PCMSO",C622)),"PCMSO",IF(OR(ISNUMBER(SEARCH("E-SOCIAL",C622)),ISNUMBER(SEARCH("PSICOSOCIAL",C622))),"eSocial / Psicossocial",IF(O622="Receita recorrente","Carteira recorrente","Projetos / Laudos / Avulsos"))))</f>
        <v/>
      </c>
      <c r="Q622" s="64">
        <f>IF(P622="","",IF(P622="Carteira recorrente","Operação recorrente",IF(P622="PCMSO","Projetos PCMSO",IF(P622="eSocial / Psicossocial","Projetos eSocial/Psicossocial","Projetos / Laudos / Avulsos"))))</f>
        <v/>
      </c>
      <c r="R622" s="64">
        <f>IF(C622="","",IF(ISNUMBER(SEARCH("PCMSO",C622)),"Título com PCMSO no nome",IF(OR(ISNUMBER(SEARCH("E-SOCIAL",C622)),ISNUMBER(SEARCH("PSICOSOCIAL",C622))),"Título com eSocial/Psicossocial no nome",IF(O622="Receita recorrente","Tipo DRE recorrente","Extra sem palavra-chave específica"))))</f>
        <v/>
      </c>
      <c r="S622" s="92">
        <f>IFERROR(VLOOKUP($A622,'13. Mapa Títulos-Receita'!$A$8:$P$1000,4,FALSE),"")</f>
        <v/>
      </c>
      <c r="T622" s="92">
        <f>IFERROR(VLOOKUP($A622,'13. Mapa Títulos-Receita'!$A$8:$P$1000,5,FALSE),"")</f>
        <v/>
      </c>
      <c r="U622" s="92">
        <f>IFERROR(VLOOKUP($A622,'13. Mapa Títulos-Receita'!$A$8:$P$1000,6,FALSE),"")</f>
        <v/>
      </c>
      <c r="V622" s="92">
        <f>IFERROR(VLOOKUP($A622,'13. Mapa Títulos-Receita'!$A$8:$P$1000,7,FALSE),"")</f>
        <v/>
      </c>
      <c r="W622" s="92">
        <f>IFERROR(VLOOKUP($A622,'13. Mapa Títulos-Receita'!$A$8:$P$1000,8,FALSE),"")</f>
        <v/>
      </c>
      <c r="X622" s="92">
        <f>IFERROR(VLOOKUP($A622,'13. Mapa Títulos-Receita'!$A$8:$P$1000,9,FALSE),"")</f>
        <v/>
      </c>
      <c r="Y622" s="92">
        <f>IFERROR(VLOOKUP($A622,'13. Mapa Títulos-Receita'!$A$8:$P$1000,10,FALSE),"")</f>
        <v/>
      </c>
      <c r="Z622" s="92">
        <f>IFERROR(VLOOKUP($A622,'13. Mapa Títulos-Receita'!$A$8:$P$1000,11,FALSE),"")</f>
        <v/>
      </c>
      <c r="AA622" s="92">
        <f>IFERROR(VLOOKUP($A622,'13. Mapa Títulos-Receita'!$A$8:$P$1000,12,FALSE),"")</f>
        <v/>
      </c>
      <c r="AB622" s="92">
        <f>IFERROR(VLOOKUP($A622,'13. Mapa Títulos-Receita'!$A$8:$P$1000,13,FALSE),"")</f>
        <v/>
      </c>
      <c r="AC622" s="92">
        <f>IFERROR(VLOOKUP($A622,'13. Mapa Títulos-Receita'!$A$8:$P$1000,14,FALSE),"")</f>
        <v/>
      </c>
      <c r="AD622" s="92">
        <f>IFERROR(VLOOKUP($A622,'13. Mapa Títulos-Receita'!$A$8:$P$1000,15,FALSE),"")</f>
        <v/>
      </c>
      <c r="AE622" s="92">
        <f>IFERROR(VLOOKUP($A622,'13. Mapa Títulos-Receita'!$A$8:$P$1000,16,FALSE),"")</f>
        <v/>
      </c>
    </row>
    <row r="623">
      <c r="A623" s="28">
        <f>IF(C623="","", "CR-"&amp;TEXT(ROW()-7,"000"))</f>
        <v/>
      </c>
      <c r="B623" s="28" t="n"/>
      <c r="C623" s="28" t="n"/>
      <c r="D623" s="111" t="n"/>
      <c r="E623" s="111" t="n"/>
      <c r="F623" s="111" t="n"/>
      <c r="G623" s="28" t="n"/>
      <c r="H623" s="45" t="n"/>
      <c r="I623" s="45" t="n"/>
      <c r="J623" s="28">
        <f>IF(H623="","",IF(I623&gt;=H623,"Recebido",IF($B$4&gt;E623,"Vencido","Aberto")))</f>
        <v/>
      </c>
      <c r="K623" s="4">
        <f>IF(J623="","",IF(OR(J623="Recebido",F623=""),MAX(0,F623-E623),MAX(0,$B$4-E623)))</f>
        <v/>
      </c>
      <c r="L623" s="4">
        <f>IF(K623="","",IF(K623=0,"Em dia",IF(K623&lt;=30,"1-30 dias",IF(K623&lt;=60,"31-60 dias",IF(K623&lt;=90,"61-90 dias","&gt;90 dias")))))</f>
        <v/>
      </c>
      <c r="M623" s="28" t="n"/>
      <c r="N623" s="104" t="inlineStr"/>
      <c r="O623" s="64" t="n"/>
      <c r="P623" s="64">
        <f>IF(C623="","",IF(ISNUMBER(SEARCH("PCMSO",C623)),"PCMSO",IF(OR(ISNUMBER(SEARCH("E-SOCIAL",C623)),ISNUMBER(SEARCH("PSICOSOCIAL",C623))),"eSocial / Psicossocial",IF(O623="Receita recorrente","Carteira recorrente","Projetos / Laudos / Avulsos"))))</f>
        <v/>
      </c>
      <c r="Q623" s="64">
        <f>IF(P623="","",IF(P623="Carteira recorrente","Operação recorrente",IF(P623="PCMSO","Projetos PCMSO",IF(P623="eSocial / Psicossocial","Projetos eSocial/Psicossocial","Projetos / Laudos / Avulsos"))))</f>
        <v/>
      </c>
      <c r="R623" s="64">
        <f>IF(C623="","",IF(ISNUMBER(SEARCH("PCMSO",C623)),"Título com PCMSO no nome",IF(OR(ISNUMBER(SEARCH("E-SOCIAL",C623)),ISNUMBER(SEARCH("PSICOSOCIAL",C623))),"Título com eSocial/Psicossocial no nome",IF(O623="Receita recorrente","Tipo DRE recorrente","Extra sem palavra-chave específica"))))</f>
        <v/>
      </c>
      <c r="S623" s="92">
        <f>IFERROR(VLOOKUP($A623,'13. Mapa Títulos-Receita'!$A$8:$P$1000,4,FALSE),"")</f>
        <v/>
      </c>
      <c r="T623" s="92">
        <f>IFERROR(VLOOKUP($A623,'13. Mapa Títulos-Receita'!$A$8:$P$1000,5,FALSE),"")</f>
        <v/>
      </c>
      <c r="U623" s="92">
        <f>IFERROR(VLOOKUP($A623,'13. Mapa Títulos-Receita'!$A$8:$P$1000,6,FALSE),"")</f>
        <v/>
      </c>
      <c r="V623" s="92">
        <f>IFERROR(VLOOKUP($A623,'13. Mapa Títulos-Receita'!$A$8:$P$1000,7,FALSE),"")</f>
        <v/>
      </c>
      <c r="W623" s="92">
        <f>IFERROR(VLOOKUP($A623,'13. Mapa Títulos-Receita'!$A$8:$P$1000,8,FALSE),"")</f>
        <v/>
      </c>
      <c r="X623" s="92">
        <f>IFERROR(VLOOKUP($A623,'13. Mapa Títulos-Receita'!$A$8:$P$1000,9,FALSE),"")</f>
        <v/>
      </c>
      <c r="Y623" s="92">
        <f>IFERROR(VLOOKUP($A623,'13. Mapa Títulos-Receita'!$A$8:$P$1000,10,FALSE),"")</f>
        <v/>
      </c>
      <c r="Z623" s="92">
        <f>IFERROR(VLOOKUP($A623,'13. Mapa Títulos-Receita'!$A$8:$P$1000,11,FALSE),"")</f>
        <v/>
      </c>
      <c r="AA623" s="92">
        <f>IFERROR(VLOOKUP($A623,'13. Mapa Títulos-Receita'!$A$8:$P$1000,12,FALSE),"")</f>
        <v/>
      </c>
      <c r="AB623" s="92">
        <f>IFERROR(VLOOKUP($A623,'13. Mapa Títulos-Receita'!$A$8:$P$1000,13,FALSE),"")</f>
        <v/>
      </c>
      <c r="AC623" s="92">
        <f>IFERROR(VLOOKUP($A623,'13. Mapa Títulos-Receita'!$A$8:$P$1000,14,FALSE),"")</f>
        <v/>
      </c>
      <c r="AD623" s="92">
        <f>IFERROR(VLOOKUP($A623,'13. Mapa Títulos-Receita'!$A$8:$P$1000,15,FALSE),"")</f>
        <v/>
      </c>
      <c r="AE623" s="92">
        <f>IFERROR(VLOOKUP($A623,'13. Mapa Títulos-Receita'!$A$8:$P$1000,16,FALSE),"")</f>
        <v/>
      </c>
    </row>
    <row r="624">
      <c r="A624" s="28">
        <f>IF(C624="","", "CR-"&amp;TEXT(ROW()-7,"000"))</f>
        <v/>
      </c>
      <c r="B624" s="28" t="n"/>
      <c r="C624" s="28" t="n"/>
      <c r="D624" s="111" t="n"/>
      <c r="E624" s="111" t="n"/>
      <c r="F624" s="111" t="n"/>
      <c r="G624" s="28" t="n"/>
      <c r="H624" s="45" t="n"/>
      <c r="I624" s="45" t="n"/>
      <c r="J624" s="28">
        <f>IF(H624="","",IF(I624&gt;=H624,"Recebido",IF($B$4&gt;E624,"Vencido","Aberto")))</f>
        <v/>
      </c>
      <c r="K624" s="4">
        <f>IF(J624="","",IF(OR(J624="Recebido",F624=""),MAX(0,F624-E624),MAX(0,$B$4-E624)))</f>
        <v/>
      </c>
      <c r="L624" s="4">
        <f>IF(K624="","",IF(K624=0,"Em dia",IF(K624&lt;=30,"1-30 dias",IF(K624&lt;=60,"31-60 dias",IF(K624&lt;=90,"61-90 dias","&gt;90 dias")))))</f>
        <v/>
      </c>
      <c r="M624" s="28" t="n"/>
      <c r="N624" s="104" t="inlineStr"/>
      <c r="O624" s="64" t="n"/>
      <c r="P624" s="64">
        <f>IF(C624="","",IF(ISNUMBER(SEARCH("PCMSO",C624)),"PCMSO",IF(OR(ISNUMBER(SEARCH("E-SOCIAL",C624)),ISNUMBER(SEARCH("PSICOSOCIAL",C624))),"eSocial / Psicossocial",IF(O624="Receita recorrente","Carteira recorrente","Projetos / Laudos / Avulsos"))))</f>
        <v/>
      </c>
      <c r="Q624" s="64">
        <f>IF(P624="","",IF(P624="Carteira recorrente","Operação recorrente",IF(P624="PCMSO","Projetos PCMSO",IF(P624="eSocial / Psicossocial","Projetos eSocial/Psicossocial","Projetos / Laudos / Avulsos"))))</f>
        <v/>
      </c>
      <c r="R624" s="64">
        <f>IF(C624="","",IF(ISNUMBER(SEARCH("PCMSO",C624)),"Título com PCMSO no nome",IF(OR(ISNUMBER(SEARCH("E-SOCIAL",C624)),ISNUMBER(SEARCH("PSICOSOCIAL",C624))),"Título com eSocial/Psicossocial no nome",IF(O624="Receita recorrente","Tipo DRE recorrente","Extra sem palavra-chave específica"))))</f>
        <v/>
      </c>
      <c r="S624" s="92">
        <f>IFERROR(VLOOKUP($A624,'13. Mapa Títulos-Receita'!$A$8:$P$1000,4,FALSE),"")</f>
        <v/>
      </c>
      <c r="T624" s="92">
        <f>IFERROR(VLOOKUP($A624,'13. Mapa Títulos-Receita'!$A$8:$P$1000,5,FALSE),"")</f>
        <v/>
      </c>
      <c r="U624" s="92">
        <f>IFERROR(VLOOKUP($A624,'13. Mapa Títulos-Receita'!$A$8:$P$1000,6,FALSE),"")</f>
        <v/>
      </c>
      <c r="V624" s="92">
        <f>IFERROR(VLOOKUP($A624,'13. Mapa Títulos-Receita'!$A$8:$P$1000,7,FALSE),"")</f>
        <v/>
      </c>
      <c r="W624" s="92">
        <f>IFERROR(VLOOKUP($A624,'13. Mapa Títulos-Receita'!$A$8:$P$1000,8,FALSE),"")</f>
        <v/>
      </c>
      <c r="X624" s="92">
        <f>IFERROR(VLOOKUP($A624,'13. Mapa Títulos-Receita'!$A$8:$P$1000,9,FALSE),"")</f>
        <v/>
      </c>
      <c r="Y624" s="92">
        <f>IFERROR(VLOOKUP($A624,'13. Mapa Títulos-Receita'!$A$8:$P$1000,10,FALSE),"")</f>
        <v/>
      </c>
      <c r="Z624" s="92">
        <f>IFERROR(VLOOKUP($A624,'13. Mapa Títulos-Receita'!$A$8:$P$1000,11,FALSE),"")</f>
        <v/>
      </c>
      <c r="AA624" s="92">
        <f>IFERROR(VLOOKUP($A624,'13. Mapa Títulos-Receita'!$A$8:$P$1000,12,FALSE),"")</f>
        <v/>
      </c>
      <c r="AB624" s="92">
        <f>IFERROR(VLOOKUP($A624,'13. Mapa Títulos-Receita'!$A$8:$P$1000,13,FALSE),"")</f>
        <v/>
      </c>
      <c r="AC624" s="92">
        <f>IFERROR(VLOOKUP($A624,'13. Mapa Títulos-Receita'!$A$8:$P$1000,14,FALSE),"")</f>
        <v/>
      </c>
      <c r="AD624" s="92">
        <f>IFERROR(VLOOKUP($A624,'13. Mapa Títulos-Receita'!$A$8:$P$1000,15,FALSE),"")</f>
        <v/>
      </c>
      <c r="AE624" s="92">
        <f>IFERROR(VLOOKUP($A624,'13. Mapa Títulos-Receita'!$A$8:$P$1000,16,FALSE),"")</f>
        <v/>
      </c>
    </row>
    <row r="625">
      <c r="A625" s="28">
        <f>IF(C625="","", "CR-"&amp;TEXT(ROW()-7,"000"))</f>
        <v/>
      </c>
      <c r="B625" s="28" t="n"/>
      <c r="C625" s="28" t="n"/>
      <c r="D625" s="111" t="n"/>
      <c r="E625" s="111" t="n"/>
      <c r="F625" s="111" t="n"/>
      <c r="G625" s="28" t="n"/>
      <c r="H625" s="45" t="n"/>
      <c r="I625" s="45" t="n"/>
      <c r="J625" s="28">
        <f>IF(H625="","",IF(I625&gt;=H625,"Recebido",IF($B$4&gt;E625,"Vencido","Aberto")))</f>
        <v/>
      </c>
      <c r="K625" s="4">
        <f>IF(J625="","",IF(OR(J625="Recebido",F625=""),MAX(0,F625-E625),MAX(0,$B$4-E625)))</f>
        <v/>
      </c>
      <c r="L625" s="4">
        <f>IF(K625="","",IF(K625=0,"Em dia",IF(K625&lt;=30,"1-30 dias",IF(K625&lt;=60,"31-60 dias",IF(K625&lt;=90,"61-90 dias","&gt;90 dias")))))</f>
        <v/>
      </c>
      <c r="M625" s="28" t="n"/>
      <c r="N625" s="104" t="inlineStr"/>
      <c r="O625" s="64" t="n"/>
      <c r="P625" s="64">
        <f>IF(C625="","",IF(ISNUMBER(SEARCH("PCMSO",C625)),"PCMSO",IF(OR(ISNUMBER(SEARCH("E-SOCIAL",C625)),ISNUMBER(SEARCH("PSICOSOCIAL",C625))),"eSocial / Psicossocial",IF(O625="Receita recorrente","Carteira recorrente","Projetos / Laudos / Avulsos"))))</f>
        <v/>
      </c>
      <c r="Q625" s="64">
        <f>IF(P625="","",IF(P625="Carteira recorrente","Operação recorrente",IF(P625="PCMSO","Projetos PCMSO",IF(P625="eSocial / Psicossocial","Projetos eSocial/Psicossocial","Projetos / Laudos / Avulsos"))))</f>
        <v/>
      </c>
      <c r="R625" s="64">
        <f>IF(C625="","",IF(ISNUMBER(SEARCH("PCMSO",C625)),"Título com PCMSO no nome",IF(OR(ISNUMBER(SEARCH("E-SOCIAL",C625)),ISNUMBER(SEARCH("PSICOSOCIAL",C625))),"Título com eSocial/Psicossocial no nome",IF(O625="Receita recorrente","Tipo DRE recorrente","Extra sem palavra-chave específica"))))</f>
        <v/>
      </c>
      <c r="S625" s="92">
        <f>IFERROR(VLOOKUP($A625,'13. Mapa Títulos-Receita'!$A$8:$P$1000,4,FALSE),"")</f>
        <v/>
      </c>
      <c r="T625" s="92">
        <f>IFERROR(VLOOKUP($A625,'13. Mapa Títulos-Receita'!$A$8:$P$1000,5,FALSE),"")</f>
        <v/>
      </c>
      <c r="U625" s="92">
        <f>IFERROR(VLOOKUP($A625,'13. Mapa Títulos-Receita'!$A$8:$P$1000,6,FALSE),"")</f>
        <v/>
      </c>
      <c r="V625" s="92">
        <f>IFERROR(VLOOKUP($A625,'13. Mapa Títulos-Receita'!$A$8:$P$1000,7,FALSE),"")</f>
        <v/>
      </c>
      <c r="W625" s="92">
        <f>IFERROR(VLOOKUP($A625,'13. Mapa Títulos-Receita'!$A$8:$P$1000,8,FALSE),"")</f>
        <v/>
      </c>
      <c r="X625" s="92">
        <f>IFERROR(VLOOKUP($A625,'13. Mapa Títulos-Receita'!$A$8:$P$1000,9,FALSE),"")</f>
        <v/>
      </c>
      <c r="Y625" s="92">
        <f>IFERROR(VLOOKUP($A625,'13. Mapa Títulos-Receita'!$A$8:$P$1000,10,FALSE),"")</f>
        <v/>
      </c>
      <c r="Z625" s="92">
        <f>IFERROR(VLOOKUP($A625,'13. Mapa Títulos-Receita'!$A$8:$P$1000,11,FALSE),"")</f>
        <v/>
      </c>
      <c r="AA625" s="92">
        <f>IFERROR(VLOOKUP($A625,'13. Mapa Títulos-Receita'!$A$8:$P$1000,12,FALSE),"")</f>
        <v/>
      </c>
      <c r="AB625" s="92">
        <f>IFERROR(VLOOKUP($A625,'13. Mapa Títulos-Receita'!$A$8:$P$1000,13,FALSE),"")</f>
        <v/>
      </c>
      <c r="AC625" s="92">
        <f>IFERROR(VLOOKUP($A625,'13. Mapa Títulos-Receita'!$A$8:$P$1000,14,FALSE),"")</f>
        <v/>
      </c>
      <c r="AD625" s="92">
        <f>IFERROR(VLOOKUP($A625,'13. Mapa Títulos-Receita'!$A$8:$P$1000,15,FALSE),"")</f>
        <v/>
      </c>
      <c r="AE625" s="92">
        <f>IFERROR(VLOOKUP($A625,'13. Mapa Títulos-Receita'!$A$8:$P$1000,16,FALSE),"")</f>
        <v/>
      </c>
    </row>
    <row r="626">
      <c r="A626" s="28">
        <f>IF(C626="","", "CR-"&amp;TEXT(ROW()-7,"000"))</f>
        <v/>
      </c>
      <c r="B626" s="28" t="n"/>
      <c r="C626" s="28" t="n"/>
      <c r="D626" s="111" t="n"/>
      <c r="E626" s="111" t="n"/>
      <c r="F626" s="111" t="n"/>
      <c r="G626" s="28" t="n"/>
      <c r="H626" s="45" t="n"/>
      <c r="I626" s="45" t="n"/>
      <c r="J626" s="28">
        <f>IF(H626="","",IF(I626&gt;=H626,"Recebido",IF($B$4&gt;E626,"Vencido","Aberto")))</f>
        <v/>
      </c>
      <c r="K626" s="4">
        <f>IF(J626="","",IF(OR(J626="Recebido",F626=""),MAX(0,F626-E626),MAX(0,$B$4-E626)))</f>
        <v/>
      </c>
      <c r="L626" s="4">
        <f>IF(K626="","",IF(K626=0,"Em dia",IF(K626&lt;=30,"1-30 dias",IF(K626&lt;=60,"31-60 dias",IF(K626&lt;=90,"61-90 dias","&gt;90 dias")))))</f>
        <v/>
      </c>
      <c r="M626" s="28" t="n"/>
      <c r="N626" s="104" t="inlineStr"/>
      <c r="O626" s="64" t="n"/>
      <c r="P626" s="64">
        <f>IF(C626="","",IF(ISNUMBER(SEARCH("PCMSO",C626)),"PCMSO",IF(OR(ISNUMBER(SEARCH("E-SOCIAL",C626)),ISNUMBER(SEARCH("PSICOSOCIAL",C626))),"eSocial / Psicossocial",IF(O626="Receita recorrente","Carteira recorrente","Projetos / Laudos / Avulsos"))))</f>
        <v/>
      </c>
      <c r="Q626" s="64">
        <f>IF(P626="","",IF(P626="Carteira recorrente","Operação recorrente",IF(P626="PCMSO","Projetos PCMSO",IF(P626="eSocial / Psicossocial","Projetos eSocial/Psicossocial","Projetos / Laudos / Avulsos"))))</f>
        <v/>
      </c>
      <c r="R626" s="64">
        <f>IF(C626="","",IF(ISNUMBER(SEARCH("PCMSO",C626)),"Título com PCMSO no nome",IF(OR(ISNUMBER(SEARCH("E-SOCIAL",C626)),ISNUMBER(SEARCH("PSICOSOCIAL",C626))),"Título com eSocial/Psicossocial no nome",IF(O626="Receita recorrente","Tipo DRE recorrente","Extra sem palavra-chave específica"))))</f>
        <v/>
      </c>
      <c r="S626" s="92">
        <f>IFERROR(VLOOKUP($A626,'13. Mapa Títulos-Receita'!$A$8:$P$1000,4,FALSE),"")</f>
        <v/>
      </c>
      <c r="T626" s="92">
        <f>IFERROR(VLOOKUP($A626,'13. Mapa Títulos-Receita'!$A$8:$P$1000,5,FALSE),"")</f>
        <v/>
      </c>
      <c r="U626" s="92">
        <f>IFERROR(VLOOKUP($A626,'13. Mapa Títulos-Receita'!$A$8:$P$1000,6,FALSE),"")</f>
        <v/>
      </c>
      <c r="V626" s="92">
        <f>IFERROR(VLOOKUP($A626,'13. Mapa Títulos-Receita'!$A$8:$P$1000,7,FALSE),"")</f>
        <v/>
      </c>
      <c r="W626" s="92">
        <f>IFERROR(VLOOKUP($A626,'13. Mapa Títulos-Receita'!$A$8:$P$1000,8,FALSE),"")</f>
        <v/>
      </c>
      <c r="X626" s="92">
        <f>IFERROR(VLOOKUP($A626,'13. Mapa Títulos-Receita'!$A$8:$P$1000,9,FALSE),"")</f>
        <v/>
      </c>
      <c r="Y626" s="92">
        <f>IFERROR(VLOOKUP($A626,'13. Mapa Títulos-Receita'!$A$8:$P$1000,10,FALSE),"")</f>
        <v/>
      </c>
      <c r="Z626" s="92">
        <f>IFERROR(VLOOKUP($A626,'13. Mapa Títulos-Receita'!$A$8:$P$1000,11,FALSE),"")</f>
        <v/>
      </c>
      <c r="AA626" s="92">
        <f>IFERROR(VLOOKUP($A626,'13. Mapa Títulos-Receita'!$A$8:$P$1000,12,FALSE),"")</f>
        <v/>
      </c>
      <c r="AB626" s="92">
        <f>IFERROR(VLOOKUP($A626,'13. Mapa Títulos-Receita'!$A$8:$P$1000,13,FALSE),"")</f>
        <v/>
      </c>
      <c r="AC626" s="92">
        <f>IFERROR(VLOOKUP($A626,'13. Mapa Títulos-Receita'!$A$8:$P$1000,14,FALSE),"")</f>
        <v/>
      </c>
      <c r="AD626" s="92">
        <f>IFERROR(VLOOKUP($A626,'13. Mapa Títulos-Receita'!$A$8:$P$1000,15,FALSE),"")</f>
        <v/>
      </c>
      <c r="AE626" s="92">
        <f>IFERROR(VLOOKUP($A626,'13. Mapa Títulos-Receita'!$A$8:$P$1000,16,FALSE),"")</f>
        <v/>
      </c>
    </row>
    <row r="627">
      <c r="A627" s="28">
        <f>IF(C627="","", "CR-"&amp;TEXT(ROW()-7,"000"))</f>
        <v/>
      </c>
      <c r="B627" s="28" t="n"/>
      <c r="C627" s="28" t="n"/>
      <c r="D627" s="111" t="n"/>
      <c r="E627" s="111" t="n"/>
      <c r="F627" s="111" t="n"/>
      <c r="G627" s="28" t="n"/>
      <c r="H627" s="45" t="n"/>
      <c r="I627" s="45" t="n"/>
      <c r="J627" s="28">
        <f>IF(H627="","",IF(I627&gt;=H627,"Recebido",IF($B$4&gt;E627,"Vencido","Aberto")))</f>
        <v/>
      </c>
      <c r="K627" s="4">
        <f>IF(J627="","",IF(OR(J627="Recebido",F627=""),MAX(0,F627-E627),MAX(0,$B$4-E627)))</f>
        <v/>
      </c>
      <c r="L627" s="4">
        <f>IF(K627="","",IF(K627=0,"Em dia",IF(K627&lt;=30,"1-30 dias",IF(K627&lt;=60,"31-60 dias",IF(K627&lt;=90,"61-90 dias","&gt;90 dias")))))</f>
        <v/>
      </c>
      <c r="M627" s="28" t="n"/>
      <c r="N627" s="104" t="inlineStr"/>
      <c r="O627" s="64" t="n"/>
      <c r="P627" s="64">
        <f>IF(C627="","",IF(ISNUMBER(SEARCH("PCMSO",C627)),"PCMSO",IF(OR(ISNUMBER(SEARCH("E-SOCIAL",C627)),ISNUMBER(SEARCH("PSICOSOCIAL",C627))),"eSocial / Psicossocial",IF(O627="Receita recorrente","Carteira recorrente","Projetos / Laudos / Avulsos"))))</f>
        <v/>
      </c>
      <c r="Q627" s="64">
        <f>IF(P627="","",IF(P627="Carteira recorrente","Operação recorrente",IF(P627="PCMSO","Projetos PCMSO",IF(P627="eSocial / Psicossocial","Projetos eSocial/Psicossocial","Projetos / Laudos / Avulsos"))))</f>
        <v/>
      </c>
      <c r="R627" s="64">
        <f>IF(C627="","",IF(ISNUMBER(SEARCH("PCMSO",C627)),"Título com PCMSO no nome",IF(OR(ISNUMBER(SEARCH("E-SOCIAL",C627)),ISNUMBER(SEARCH("PSICOSOCIAL",C627))),"Título com eSocial/Psicossocial no nome",IF(O627="Receita recorrente","Tipo DRE recorrente","Extra sem palavra-chave específica"))))</f>
        <v/>
      </c>
      <c r="S627" s="92">
        <f>IFERROR(VLOOKUP($A627,'13. Mapa Títulos-Receita'!$A$8:$P$1000,4,FALSE),"")</f>
        <v/>
      </c>
      <c r="T627" s="92">
        <f>IFERROR(VLOOKUP($A627,'13. Mapa Títulos-Receita'!$A$8:$P$1000,5,FALSE),"")</f>
        <v/>
      </c>
      <c r="U627" s="92">
        <f>IFERROR(VLOOKUP($A627,'13. Mapa Títulos-Receita'!$A$8:$P$1000,6,FALSE),"")</f>
        <v/>
      </c>
      <c r="V627" s="92">
        <f>IFERROR(VLOOKUP($A627,'13. Mapa Títulos-Receita'!$A$8:$P$1000,7,FALSE),"")</f>
        <v/>
      </c>
      <c r="W627" s="92">
        <f>IFERROR(VLOOKUP($A627,'13. Mapa Títulos-Receita'!$A$8:$P$1000,8,FALSE),"")</f>
        <v/>
      </c>
      <c r="X627" s="92">
        <f>IFERROR(VLOOKUP($A627,'13. Mapa Títulos-Receita'!$A$8:$P$1000,9,FALSE),"")</f>
        <v/>
      </c>
      <c r="Y627" s="92">
        <f>IFERROR(VLOOKUP($A627,'13. Mapa Títulos-Receita'!$A$8:$P$1000,10,FALSE),"")</f>
        <v/>
      </c>
      <c r="Z627" s="92">
        <f>IFERROR(VLOOKUP($A627,'13. Mapa Títulos-Receita'!$A$8:$P$1000,11,FALSE),"")</f>
        <v/>
      </c>
      <c r="AA627" s="92">
        <f>IFERROR(VLOOKUP($A627,'13. Mapa Títulos-Receita'!$A$8:$P$1000,12,FALSE),"")</f>
        <v/>
      </c>
      <c r="AB627" s="92">
        <f>IFERROR(VLOOKUP($A627,'13. Mapa Títulos-Receita'!$A$8:$P$1000,13,FALSE),"")</f>
        <v/>
      </c>
      <c r="AC627" s="92">
        <f>IFERROR(VLOOKUP($A627,'13. Mapa Títulos-Receita'!$A$8:$P$1000,14,FALSE),"")</f>
        <v/>
      </c>
      <c r="AD627" s="92">
        <f>IFERROR(VLOOKUP($A627,'13. Mapa Títulos-Receita'!$A$8:$P$1000,15,FALSE),"")</f>
        <v/>
      </c>
      <c r="AE627" s="92">
        <f>IFERROR(VLOOKUP($A627,'13. Mapa Títulos-Receita'!$A$8:$P$1000,16,FALSE),"")</f>
        <v/>
      </c>
    </row>
    <row r="628">
      <c r="A628" s="28">
        <f>IF(C628="","", "CR-"&amp;TEXT(ROW()-7,"000"))</f>
        <v/>
      </c>
      <c r="B628" s="28" t="n"/>
      <c r="C628" s="28" t="n"/>
      <c r="D628" s="111" t="n"/>
      <c r="E628" s="111" t="n"/>
      <c r="F628" s="111" t="n"/>
      <c r="G628" s="28" t="n"/>
      <c r="H628" s="45" t="n"/>
      <c r="I628" s="45" t="n"/>
      <c r="J628" s="28">
        <f>IF(H628="","",IF(I628&gt;=H628,"Recebido",IF($B$4&gt;E628,"Vencido","Aberto")))</f>
        <v/>
      </c>
      <c r="K628" s="4">
        <f>IF(J628="","",IF(OR(J628="Recebido",F628=""),MAX(0,F628-E628),MAX(0,$B$4-E628)))</f>
        <v/>
      </c>
      <c r="L628" s="4">
        <f>IF(K628="","",IF(K628=0,"Em dia",IF(K628&lt;=30,"1-30 dias",IF(K628&lt;=60,"31-60 dias",IF(K628&lt;=90,"61-90 dias","&gt;90 dias")))))</f>
        <v/>
      </c>
      <c r="M628" s="28" t="n"/>
      <c r="N628" s="104" t="inlineStr"/>
      <c r="O628" s="64" t="n"/>
      <c r="P628" s="64">
        <f>IF(C628="","",IF(ISNUMBER(SEARCH("PCMSO",C628)),"PCMSO",IF(OR(ISNUMBER(SEARCH("E-SOCIAL",C628)),ISNUMBER(SEARCH("PSICOSOCIAL",C628))),"eSocial / Psicossocial",IF(O628="Receita recorrente","Carteira recorrente","Projetos / Laudos / Avulsos"))))</f>
        <v/>
      </c>
      <c r="Q628" s="64">
        <f>IF(P628="","",IF(P628="Carteira recorrente","Operação recorrente",IF(P628="PCMSO","Projetos PCMSO",IF(P628="eSocial / Psicossocial","Projetos eSocial/Psicossocial","Projetos / Laudos / Avulsos"))))</f>
        <v/>
      </c>
      <c r="R628" s="64">
        <f>IF(C628="","",IF(ISNUMBER(SEARCH("PCMSO",C628)),"Título com PCMSO no nome",IF(OR(ISNUMBER(SEARCH("E-SOCIAL",C628)),ISNUMBER(SEARCH("PSICOSOCIAL",C628))),"Título com eSocial/Psicossocial no nome",IF(O628="Receita recorrente","Tipo DRE recorrente","Extra sem palavra-chave específica"))))</f>
        <v/>
      </c>
      <c r="S628" s="92">
        <f>IFERROR(VLOOKUP($A628,'13. Mapa Títulos-Receita'!$A$8:$P$1000,4,FALSE),"")</f>
        <v/>
      </c>
      <c r="T628" s="92">
        <f>IFERROR(VLOOKUP($A628,'13. Mapa Títulos-Receita'!$A$8:$P$1000,5,FALSE),"")</f>
        <v/>
      </c>
      <c r="U628" s="92">
        <f>IFERROR(VLOOKUP($A628,'13. Mapa Títulos-Receita'!$A$8:$P$1000,6,FALSE),"")</f>
        <v/>
      </c>
      <c r="V628" s="92">
        <f>IFERROR(VLOOKUP($A628,'13. Mapa Títulos-Receita'!$A$8:$P$1000,7,FALSE),"")</f>
        <v/>
      </c>
      <c r="W628" s="92">
        <f>IFERROR(VLOOKUP($A628,'13. Mapa Títulos-Receita'!$A$8:$P$1000,8,FALSE),"")</f>
        <v/>
      </c>
      <c r="X628" s="92">
        <f>IFERROR(VLOOKUP($A628,'13. Mapa Títulos-Receita'!$A$8:$P$1000,9,FALSE),"")</f>
        <v/>
      </c>
      <c r="Y628" s="92">
        <f>IFERROR(VLOOKUP($A628,'13. Mapa Títulos-Receita'!$A$8:$P$1000,10,FALSE),"")</f>
        <v/>
      </c>
      <c r="Z628" s="92">
        <f>IFERROR(VLOOKUP($A628,'13. Mapa Títulos-Receita'!$A$8:$P$1000,11,FALSE),"")</f>
        <v/>
      </c>
      <c r="AA628" s="92">
        <f>IFERROR(VLOOKUP($A628,'13. Mapa Títulos-Receita'!$A$8:$P$1000,12,FALSE),"")</f>
        <v/>
      </c>
      <c r="AB628" s="92">
        <f>IFERROR(VLOOKUP($A628,'13. Mapa Títulos-Receita'!$A$8:$P$1000,13,FALSE),"")</f>
        <v/>
      </c>
      <c r="AC628" s="92">
        <f>IFERROR(VLOOKUP($A628,'13. Mapa Títulos-Receita'!$A$8:$P$1000,14,FALSE),"")</f>
        <v/>
      </c>
      <c r="AD628" s="92">
        <f>IFERROR(VLOOKUP($A628,'13. Mapa Títulos-Receita'!$A$8:$P$1000,15,FALSE),"")</f>
        <v/>
      </c>
      <c r="AE628" s="92">
        <f>IFERROR(VLOOKUP($A628,'13. Mapa Títulos-Receita'!$A$8:$P$1000,16,FALSE),"")</f>
        <v/>
      </c>
    </row>
    <row r="629">
      <c r="A629" s="28">
        <f>IF(C629="","", "CR-"&amp;TEXT(ROW()-7,"000"))</f>
        <v/>
      </c>
      <c r="B629" s="28" t="n"/>
      <c r="C629" s="28" t="n"/>
      <c r="D629" s="111" t="n"/>
      <c r="E629" s="111" t="n"/>
      <c r="F629" s="111" t="n"/>
      <c r="G629" s="28" t="n"/>
      <c r="H629" s="45" t="n"/>
      <c r="I629" s="45" t="n"/>
      <c r="J629" s="28">
        <f>IF(H629="","",IF(I629&gt;=H629,"Recebido",IF($B$4&gt;E629,"Vencido","Aberto")))</f>
        <v/>
      </c>
      <c r="K629" s="4">
        <f>IF(J629="","",IF(OR(J629="Recebido",F629=""),MAX(0,F629-E629),MAX(0,$B$4-E629)))</f>
        <v/>
      </c>
      <c r="L629" s="4">
        <f>IF(K629="","",IF(K629=0,"Em dia",IF(K629&lt;=30,"1-30 dias",IF(K629&lt;=60,"31-60 dias",IF(K629&lt;=90,"61-90 dias","&gt;90 dias")))))</f>
        <v/>
      </c>
      <c r="M629" s="28" t="n"/>
      <c r="N629" s="104" t="inlineStr"/>
      <c r="O629" s="64" t="n"/>
      <c r="P629" s="64">
        <f>IF(C629="","",IF(ISNUMBER(SEARCH("PCMSO",C629)),"PCMSO",IF(OR(ISNUMBER(SEARCH("E-SOCIAL",C629)),ISNUMBER(SEARCH("PSICOSOCIAL",C629))),"eSocial / Psicossocial",IF(O629="Receita recorrente","Carteira recorrente","Projetos / Laudos / Avulsos"))))</f>
        <v/>
      </c>
      <c r="Q629" s="64">
        <f>IF(P629="","",IF(P629="Carteira recorrente","Operação recorrente",IF(P629="PCMSO","Projetos PCMSO",IF(P629="eSocial / Psicossocial","Projetos eSocial/Psicossocial","Projetos / Laudos / Avulsos"))))</f>
        <v/>
      </c>
      <c r="R629" s="64">
        <f>IF(C629="","",IF(ISNUMBER(SEARCH("PCMSO",C629)),"Título com PCMSO no nome",IF(OR(ISNUMBER(SEARCH("E-SOCIAL",C629)),ISNUMBER(SEARCH("PSICOSOCIAL",C629))),"Título com eSocial/Psicossocial no nome",IF(O629="Receita recorrente","Tipo DRE recorrente","Extra sem palavra-chave específica"))))</f>
        <v/>
      </c>
      <c r="S629" s="92">
        <f>IFERROR(VLOOKUP($A629,'13. Mapa Títulos-Receita'!$A$8:$P$1000,4,FALSE),"")</f>
        <v/>
      </c>
      <c r="T629" s="92">
        <f>IFERROR(VLOOKUP($A629,'13. Mapa Títulos-Receita'!$A$8:$P$1000,5,FALSE),"")</f>
        <v/>
      </c>
      <c r="U629" s="92">
        <f>IFERROR(VLOOKUP($A629,'13. Mapa Títulos-Receita'!$A$8:$P$1000,6,FALSE),"")</f>
        <v/>
      </c>
      <c r="V629" s="92">
        <f>IFERROR(VLOOKUP($A629,'13. Mapa Títulos-Receita'!$A$8:$P$1000,7,FALSE),"")</f>
        <v/>
      </c>
      <c r="W629" s="92">
        <f>IFERROR(VLOOKUP($A629,'13. Mapa Títulos-Receita'!$A$8:$P$1000,8,FALSE),"")</f>
        <v/>
      </c>
      <c r="X629" s="92">
        <f>IFERROR(VLOOKUP($A629,'13. Mapa Títulos-Receita'!$A$8:$P$1000,9,FALSE),"")</f>
        <v/>
      </c>
      <c r="Y629" s="92">
        <f>IFERROR(VLOOKUP($A629,'13. Mapa Títulos-Receita'!$A$8:$P$1000,10,FALSE),"")</f>
        <v/>
      </c>
      <c r="Z629" s="92">
        <f>IFERROR(VLOOKUP($A629,'13. Mapa Títulos-Receita'!$A$8:$P$1000,11,FALSE),"")</f>
        <v/>
      </c>
      <c r="AA629" s="92">
        <f>IFERROR(VLOOKUP($A629,'13. Mapa Títulos-Receita'!$A$8:$P$1000,12,FALSE),"")</f>
        <v/>
      </c>
      <c r="AB629" s="92">
        <f>IFERROR(VLOOKUP($A629,'13. Mapa Títulos-Receita'!$A$8:$P$1000,13,FALSE),"")</f>
        <v/>
      </c>
      <c r="AC629" s="92">
        <f>IFERROR(VLOOKUP($A629,'13. Mapa Títulos-Receita'!$A$8:$P$1000,14,FALSE),"")</f>
        <v/>
      </c>
      <c r="AD629" s="92">
        <f>IFERROR(VLOOKUP($A629,'13. Mapa Títulos-Receita'!$A$8:$P$1000,15,FALSE),"")</f>
        <v/>
      </c>
      <c r="AE629" s="92">
        <f>IFERROR(VLOOKUP($A629,'13. Mapa Títulos-Receita'!$A$8:$P$1000,16,FALSE),"")</f>
        <v/>
      </c>
    </row>
    <row r="630">
      <c r="A630" s="28">
        <f>IF(C630="","", "CR-"&amp;TEXT(ROW()-7,"000"))</f>
        <v/>
      </c>
      <c r="B630" s="28" t="n"/>
      <c r="C630" s="28" t="n"/>
      <c r="D630" s="111" t="n"/>
      <c r="E630" s="111" t="n"/>
      <c r="F630" s="111" t="n"/>
      <c r="G630" s="28" t="n"/>
      <c r="H630" s="45" t="n"/>
      <c r="I630" s="45" t="n"/>
      <c r="J630" s="28">
        <f>IF(H630="","",IF(I630&gt;=H630,"Recebido",IF($B$4&gt;E630,"Vencido","Aberto")))</f>
        <v/>
      </c>
      <c r="K630" s="4">
        <f>IF(J630="","",IF(OR(J630="Recebido",F630=""),MAX(0,F630-E630),MAX(0,$B$4-E630)))</f>
        <v/>
      </c>
      <c r="L630" s="4">
        <f>IF(K630="","",IF(K630=0,"Em dia",IF(K630&lt;=30,"1-30 dias",IF(K630&lt;=60,"31-60 dias",IF(K630&lt;=90,"61-90 dias","&gt;90 dias")))))</f>
        <v/>
      </c>
      <c r="M630" s="28" t="n"/>
      <c r="N630" s="104" t="inlineStr"/>
      <c r="O630" s="64" t="n"/>
      <c r="P630" s="64">
        <f>IF(C630="","",IF(ISNUMBER(SEARCH("PCMSO",C630)),"PCMSO",IF(OR(ISNUMBER(SEARCH("E-SOCIAL",C630)),ISNUMBER(SEARCH("PSICOSOCIAL",C630))),"eSocial / Psicossocial",IF(O630="Receita recorrente","Carteira recorrente","Projetos / Laudos / Avulsos"))))</f>
        <v/>
      </c>
      <c r="Q630" s="64">
        <f>IF(P630="","",IF(P630="Carteira recorrente","Operação recorrente",IF(P630="PCMSO","Projetos PCMSO",IF(P630="eSocial / Psicossocial","Projetos eSocial/Psicossocial","Projetos / Laudos / Avulsos"))))</f>
        <v/>
      </c>
      <c r="R630" s="64">
        <f>IF(C630="","",IF(ISNUMBER(SEARCH("PCMSO",C630)),"Título com PCMSO no nome",IF(OR(ISNUMBER(SEARCH("E-SOCIAL",C630)),ISNUMBER(SEARCH("PSICOSOCIAL",C630))),"Título com eSocial/Psicossocial no nome",IF(O630="Receita recorrente","Tipo DRE recorrente","Extra sem palavra-chave específica"))))</f>
        <v/>
      </c>
      <c r="S630" s="92">
        <f>IFERROR(VLOOKUP($A630,'13. Mapa Títulos-Receita'!$A$8:$P$1000,4,FALSE),"")</f>
        <v/>
      </c>
      <c r="T630" s="92">
        <f>IFERROR(VLOOKUP($A630,'13. Mapa Títulos-Receita'!$A$8:$P$1000,5,FALSE),"")</f>
        <v/>
      </c>
      <c r="U630" s="92">
        <f>IFERROR(VLOOKUP($A630,'13. Mapa Títulos-Receita'!$A$8:$P$1000,6,FALSE),"")</f>
        <v/>
      </c>
      <c r="V630" s="92">
        <f>IFERROR(VLOOKUP($A630,'13. Mapa Títulos-Receita'!$A$8:$P$1000,7,FALSE),"")</f>
        <v/>
      </c>
      <c r="W630" s="92">
        <f>IFERROR(VLOOKUP($A630,'13. Mapa Títulos-Receita'!$A$8:$P$1000,8,FALSE),"")</f>
        <v/>
      </c>
      <c r="X630" s="92">
        <f>IFERROR(VLOOKUP($A630,'13. Mapa Títulos-Receita'!$A$8:$P$1000,9,FALSE),"")</f>
        <v/>
      </c>
      <c r="Y630" s="92">
        <f>IFERROR(VLOOKUP($A630,'13. Mapa Títulos-Receita'!$A$8:$P$1000,10,FALSE),"")</f>
        <v/>
      </c>
      <c r="Z630" s="92">
        <f>IFERROR(VLOOKUP($A630,'13. Mapa Títulos-Receita'!$A$8:$P$1000,11,FALSE),"")</f>
        <v/>
      </c>
      <c r="AA630" s="92">
        <f>IFERROR(VLOOKUP($A630,'13. Mapa Títulos-Receita'!$A$8:$P$1000,12,FALSE),"")</f>
        <v/>
      </c>
      <c r="AB630" s="92">
        <f>IFERROR(VLOOKUP($A630,'13. Mapa Títulos-Receita'!$A$8:$P$1000,13,FALSE),"")</f>
        <v/>
      </c>
      <c r="AC630" s="92">
        <f>IFERROR(VLOOKUP($A630,'13. Mapa Títulos-Receita'!$A$8:$P$1000,14,FALSE),"")</f>
        <v/>
      </c>
      <c r="AD630" s="92">
        <f>IFERROR(VLOOKUP($A630,'13. Mapa Títulos-Receita'!$A$8:$P$1000,15,FALSE),"")</f>
        <v/>
      </c>
      <c r="AE630" s="92">
        <f>IFERROR(VLOOKUP($A630,'13. Mapa Títulos-Receita'!$A$8:$P$1000,16,FALSE),"")</f>
        <v/>
      </c>
    </row>
    <row r="631">
      <c r="A631" s="28">
        <f>IF(C631="","", "CR-"&amp;TEXT(ROW()-7,"000"))</f>
        <v/>
      </c>
      <c r="B631" s="28" t="n"/>
      <c r="C631" s="28" t="n"/>
      <c r="D631" s="111" t="n"/>
      <c r="E631" s="111" t="n"/>
      <c r="F631" s="111" t="n"/>
      <c r="G631" s="28" t="n"/>
      <c r="H631" s="45" t="n"/>
      <c r="I631" s="45" t="n"/>
      <c r="J631" s="28">
        <f>IF(H631="","",IF(I631&gt;=H631,"Recebido",IF($B$4&gt;E631,"Vencido","Aberto")))</f>
        <v/>
      </c>
      <c r="K631" s="4">
        <f>IF(J631="","",IF(OR(J631="Recebido",F631=""),MAX(0,F631-E631),MAX(0,$B$4-E631)))</f>
        <v/>
      </c>
      <c r="L631" s="4">
        <f>IF(K631="","",IF(K631=0,"Em dia",IF(K631&lt;=30,"1-30 dias",IF(K631&lt;=60,"31-60 dias",IF(K631&lt;=90,"61-90 dias","&gt;90 dias")))))</f>
        <v/>
      </c>
      <c r="M631" s="28" t="n"/>
      <c r="N631" s="104" t="inlineStr"/>
      <c r="O631" s="64" t="n"/>
      <c r="P631" s="64">
        <f>IF(C631="","",IF(ISNUMBER(SEARCH("PCMSO",C631)),"PCMSO",IF(OR(ISNUMBER(SEARCH("E-SOCIAL",C631)),ISNUMBER(SEARCH("PSICOSOCIAL",C631))),"eSocial / Psicossocial",IF(O631="Receita recorrente","Carteira recorrente","Projetos / Laudos / Avulsos"))))</f>
        <v/>
      </c>
      <c r="Q631" s="64">
        <f>IF(P631="","",IF(P631="Carteira recorrente","Operação recorrente",IF(P631="PCMSO","Projetos PCMSO",IF(P631="eSocial / Psicossocial","Projetos eSocial/Psicossocial","Projetos / Laudos / Avulsos"))))</f>
        <v/>
      </c>
      <c r="R631" s="64">
        <f>IF(C631="","",IF(ISNUMBER(SEARCH("PCMSO",C631)),"Título com PCMSO no nome",IF(OR(ISNUMBER(SEARCH("E-SOCIAL",C631)),ISNUMBER(SEARCH("PSICOSOCIAL",C631))),"Título com eSocial/Psicossocial no nome",IF(O631="Receita recorrente","Tipo DRE recorrente","Extra sem palavra-chave específica"))))</f>
        <v/>
      </c>
      <c r="S631" s="92">
        <f>IFERROR(VLOOKUP($A631,'13. Mapa Títulos-Receita'!$A$8:$P$1000,4,FALSE),"")</f>
        <v/>
      </c>
      <c r="T631" s="92">
        <f>IFERROR(VLOOKUP($A631,'13. Mapa Títulos-Receita'!$A$8:$P$1000,5,FALSE),"")</f>
        <v/>
      </c>
      <c r="U631" s="92">
        <f>IFERROR(VLOOKUP($A631,'13. Mapa Títulos-Receita'!$A$8:$P$1000,6,FALSE),"")</f>
        <v/>
      </c>
      <c r="V631" s="92">
        <f>IFERROR(VLOOKUP($A631,'13. Mapa Títulos-Receita'!$A$8:$P$1000,7,FALSE),"")</f>
        <v/>
      </c>
      <c r="W631" s="92">
        <f>IFERROR(VLOOKUP($A631,'13. Mapa Títulos-Receita'!$A$8:$P$1000,8,FALSE),"")</f>
        <v/>
      </c>
      <c r="X631" s="92">
        <f>IFERROR(VLOOKUP($A631,'13. Mapa Títulos-Receita'!$A$8:$P$1000,9,FALSE),"")</f>
        <v/>
      </c>
      <c r="Y631" s="92">
        <f>IFERROR(VLOOKUP($A631,'13. Mapa Títulos-Receita'!$A$8:$P$1000,10,FALSE),"")</f>
        <v/>
      </c>
      <c r="Z631" s="92">
        <f>IFERROR(VLOOKUP($A631,'13. Mapa Títulos-Receita'!$A$8:$P$1000,11,FALSE),"")</f>
        <v/>
      </c>
      <c r="AA631" s="92">
        <f>IFERROR(VLOOKUP($A631,'13. Mapa Títulos-Receita'!$A$8:$P$1000,12,FALSE),"")</f>
        <v/>
      </c>
      <c r="AB631" s="92">
        <f>IFERROR(VLOOKUP($A631,'13. Mapa Títulos-Receita'!$A$8:$P$1000,13,FALSE),"")</f>
        <v/>
      </c>
      <c r="AC631" s="92">
        <f>IFERROR(VLOOKUP($A631,'13. Mapa Títulos-Receita'!$A$8:$P$1000,14,FALSE),"")</f>
        <v/>
      </c>
      <c r="AD631" s="92">
        <f>IFERROR(VLOOKUP($A631,'13. Mapa Títulos-Receita'!$A$8:$P$1000,15,FALSE),"")</f>
        <v/>
      </c>
      <c r="AE631" s="92">
        <f>IFERROR(VLOOKUP($A631,'13. Mapa Títulos-Receita'!$A$8:$P$1000,16,FALSE),"")</f>
        <v/>
      </c>
    </row>
    <row r="632">
      <c r="A632" s="28">
        <f>IF(C632="","", "CR-"&amp;TEXT(ROW()-7,"000"))</f>
        <v/>
      </c>
      <c r="B632" s="28" t="n"/>
      <c r="C632" s="28" t="n"/>
      <c r="D632" s="111" t="n"/>
      <c r="E632" s="111" t="n"/>
      <c r="F632" s="111" t="n"/>
      <c r="G632" s="28" t="n"/>
      <c r="H632" s="45" t="n"/>
      <c r="I632" s="45" t="n"/>
      <c r="J632" s="28">
        <f>IF(H632="","",IF(I632&gt;=H632,"Recebido",IF($B$4&gt;E632,"Vencido","Aberto")))</f>
        <v/>
      </c>
      <c r="K632" s="4">
        <f>IF(J632="","",IF(OR(J632="Recebido",F632=""),MAX(0,F632-E632),MAX(0,$B$4-E632)))</f>
        <v/>
      </c>
      <c r="L632" s="4">
        <f>IF(K632="","",IF(K632=0,"Em dia",IF(K632&lt;=30,"1-30 dias",IF(K632&lt;=60,"31-60 dias",IF(K632&lt;=90,"61-90 dias","&gt;90 dias")))))</f>
        <v/>
      </c>
      <c r="M632" s="28" t="n"/>
      <c r="N632" s="104" t="inlineStr"/>
      <c r="O632" s="64" t="n"/>
      <c r="P632" s="64">
        <f>IF(C632="","",IF(ISNUMBER(SEARCH("PCMSO",C632)),"PCMSO",IF(OR(ISNUMBER(SEARCH("E-SOCIAL",C632)),ISNUMBER(SEARCH("PSICOSOCIAL",C632))),"eSocial / Psicossocial",IF(O632="Receita recorrente","Carteira recorrente","Projetos / Laudos / Avulsos"))))</f>
        <v/>
      </c>
      <c r="Q632" s="64">
        <f>IF(P632="","",IF(P632="Carteira recorrente","Operação recorrente",IF(P632="PCMSO","Projetos PCMSO",IF(P632="eSocial / Psicossocial","Projetos eSocial/Psicossocial","Projetos / Laudos / Avulsos"))))</f>
        <v/>
      </c>
      <c r="R632" s="64">
        <f>IF(C632="","",IF(ISNUMBER(SEARCH("PCMSO",C632)),"Título com PCMSO no nome",IF(OR(ISNUMBER(SEARCH("E-SOCIAL",C632)),ISNUMBER(SEARCH("PSICOSOCIAL",C632))),"Título com eSocial/Psicossocial no nome",IF(O632="Receita recorrente","Tipo DRE recorrente","Extra sem palavra-chave específica"))))</f>
        <v/>
      </c>
      <c r="S632" s="92">
        <f>IFERROR(VLOOKUP($A632,'13. Mapa Títulos-Receita'!$A$8:$P$1000,4,FALSE),"")</f>
        <v/>
      </c>
      <c r="T632" s="92">
        <f>IFERROR(VLOOKUP($A632,'13. Mapa Títulos-Receita'!$A$8:$P$1000,5,FALSE),"")</f>
        <v/>
      </c>
      <c r="U632" s="92">
        <f>IFERROR(VLOOKUP($A632,'13. Mapa Títulos-Receita'!$A$8:$P$1000,6,FALSE),"")</f>
        <v/>
      </c>
      <c r="V632" s="92">
        <f>IFERROR(VLOOKUP($A632,'13. Mapa Títulos-Receita'!$A$8:$P$1000,7,FALSE),"")</f>
        <v/>
      </c>
      <c r="W632" s="92">
        <f>IFERROR(VLOOKUP($A632,'13. Mapa Títulos-Receita'!$A$8:$P$1000,8,FALSE),"")</f>
        <v/>
      </c>
      <c r="X632" s="92">
        <f>IFERROR(VLOOKUP($A632,'13. Mapa Títulos-Receita'!$A$8:$P$1000,9,FALSE),"")</f>
        <v/>
      </c>
      <c r="Y632" s="92">
        <f>IFERROR(VLOOKUP($A632,'13. Mapa Títulos-Receita'!$A$8:$P$1000,10,FALSE),"")</f>
        <v/>
      </c>
      <c r="Z632" s="92">
        <f>IFERROR(VLOOKUP($A632,'13. Mapa Títulos-Receita'!$A$8:$P$1000,11,FALSE),"")</f>
        <v/>
      </c>
      <c r="AA632" s="92">
        <f>IFERROR(VLOOKUP($A632,'13. Mapa Títulos-Receita'!$A$8:$P$1000,12,FALSE),"")</f>
        <v/>
      </c>
      <c r="AB632" s="92">
        <f>IFERROR(VLOOKUP($A632,'13. Mapa Títulos-Receita'!$A$8:$P$1000,13,FALSE),"")</f>
        <v/>
      </c>
      <c r="AC632" s="92">
        <f>IFERROR(VLOOKUP($A632,'13. Mapa Títulos-Receita'!$A$8:$P$1000,14,FALSE),"")</f>
        <v/>
      </c>
      <c r="AD632" s="92">
        <f>IFERROR(VLOOKUP($A632,'13. Mapa Títulos-Receita'!$A$8:$P$1000,15,FALSE),"")</f>
        <v/>
      </c>
      <c r="AE632" s="92">
        <f>IFERROR(VLOOKUP($A632,'13. Mapa Títulos-Receita'!$A$8:$P$1000,16,FALSE),"")</f>
        <v/>
      </c>
    </row>
    <row r="633">
      <c r="A633" s="28">
        <f>IF(C633="","", "CR-"&amp;TEXT(ROW()-7,"000"))</f>
        <v/>
      </c>
      <c r="B633" s="28" t="n"/>
      <c r="C633" s="28" t="n"/>
      <c r="D633" s="111" t="n"/>
      <c r="E633" s="111" t="n"/>
      <c r="F633" s="111" t="n"/>
      <c r="G633" s="28" t="n"/>
      <c r="H633" s="45" t="n"/>
      <c r="I633" s="45" t="n"/>
      <c r="J633" s="28">
        <f>IF(H633="","",IF(I633&gt;=H633,"Recebido",IF($B$4&gt;E633,"Vencido","Aberto")))</f>
        <v/>
      </c>
      <c r="K633" s="4">
        <f>IF(J633="","",IF(OR(J633="Recebido",F633=""),MAX(0,F633-E633),MAX(0,$B$4-E633)))</f>
        <v/>
      </c>
      <c r="L633" s="4">
        <f>IF(K633="","",IF(K633=0,"Em dia",IF(K633&lt;=30,"1-30 dias",IF(K633&lt;=60,"31-60 dias",IF(K633&lt;=90,"61-90 dias","&gt;90 dias")))))</f>
        <v/>
      </c>
      <c r="M633" s="28" t="n"/>
      <c r="N633" s="104" t="inlineStr"/>
      <c r="O633" s="64" t="n"/>
      <c r="P633" s="64">
        <f>IF(C633="","",IF(ISNUMBER(SEARCH("PCMSO",C633)),"PCMSO",IF(OR(ISNUMBER(SEARCH("E-SOCIAL",C633)),ISNUMBER(SEARCH("PSICOSOCIAL",C633))),"eSocial / Psicossocial",IF(O633="Receita recorrente","Carteira recorrente","Projetos / Laudos / Avulsos"))))</f>
        <v/>
      </c>
      <c r="Q633" s="64">
        <f>IF(P633="","",IF(P633="Carteira recorrente","Operação recorrente",IF(P633="PCMSO","Projetos PCMSO",IF(P633="eSocial / Psicossocial","Projetos eSocial/Psicossocial","Projetos / Laudos / Avulsos"))))</f>
        <v/>
      </c>
      <c r="R633" s="64">
        <f>IF(C633="","",IF(ISNUMBER(SEARCH("PCMSO",C633)),"Título com PCMSO no nome",IF(OR(ISNUMBER(SEARCH("E-SOCIAL",C633)),ISNUMBER(SEARCH("PSICOSOCIAL",C633))),"Título com eSocial/Psicossocial no nome",IF(O633="Receita recorrente","Tipo DRE recorrente","Extra sem palavra-chave específica"))))</f>
        <v/>
      </c>
      <c r="S633" s="92">
        <f>IFERROR(VLOOKUP($A633,'13. Mapa Títulos-Receita'!$A$8:$P$1000,4,FALSE),"")</f>
        <v/>
      </c>
      <c r="T633" s="92">
        <f>IFERROR(VLOOKUP($A633,'13. Mapa Títulos-Receita'!$A$8:$P$1000,5,FALSE),"")</f>
        <v/>
      </c>
      <c r="U633" s="92">
        <f>IFERROR(VLOOKUP($A633,'13. Mapa Títulos-Receita'!$A$8:$P$1000,6,FALSE),"")</f>
        <v/>
      </c>
      <c r="V633" s="92">
        <f>IFERROR(VLOOKUP($A633,'13. Mapa Títulos-Receita'!$A$8:$P$1000,7,FALSE),"")</f>
        <v/>
      </c>
      <c r="W633" s="92">
        <f>IFERROR(VLOOKUP($A633,'13. Mapa Títulos-Receita'!$A$8:$P$1000,8,FALSE),"")</f>
        <v/>
      </c>
      <c r="X633" s="92">
        <f>IFERROR(VLOOKUP($A633,'13. Mapa Títulos-Receita'!$A$8:$P$1000,9,FALSE),"")</f>
        <v/>
      </c>
      <c r="Y633" s="92">
        <f>IFERROR(VLOOKUP($A633,'13. Mapa Títulos-Receita'!$A$8:$P$1000,10,FALSE),"")</f>
        <v/>
      </c>
      <c r="Z633" s="92">
        <f>IFERROR(VLOOKUP($A633,'13. Mapa Títulos-Receita'!$A$8:$P$1000,11,FALSE),"")</f>
        <v/>
      </c>
      <c r="AA633" s="92">
        <f>IFERROR(VLOOKUP($A633,'13. Mapa Títulos-Receita'!$A$8:$P$1000,12,FALSE),"")</f>
        <v/>
      </c>
      <c r="AB633" s="92">
        <f>IFERROR(VLOOKUP($A633,'13. Mapa Títulos-Receita'!$A$8:$P$1000,13,FALSE),"")</f>
        <v/>
      </c>
      <c r="AC633" s="92">
        <f>IFERROR(VLOOKUP($A633,'13. Mapa Títulos-Receita'!$A$8:$P$1000,14,FALSE),"")</f>
        <v/>
      </c>
      <c r="AD633" s="92">
        <f>IFERROR(VLOOKUP($A633,'13. Mapa Títulos-Receita'!$A$8:$P$1000,15,FALSE),"")</f>
        <v/>
      </c>
      <c r="AE633" s="92">
        <f>IFERROR(VLOOKUP($A633,'13. Mapa Títulos-Receita'!$A$8:$P$1000,16,FALSE),"")</f>
        <v/>
      </c>
    </row>
    <row r="634">
      <c r="A634" s="28">
        <f>IF(C634="","", "CR-"&amp;TEXT(ROW()-7,"000"))</f>
        <v/>
      </c>
      <c r="B634" s="28" t="n"/>
      <c r="C634" s="28" t="n"/>
      <c r="D634" s="111" t="n"/>
      <c r="E634" s="111" t="n"/>
      <c r="F634" s="111" t="n"/>
      <c r="G634" s="28" t="n"/>
      <c r="H634" s="45" t="n"/>
      <c r="I634" s="45" t="n"/>
      <c r="J634" s="28">
        <f>IF(H634="","",IF(I634&gt;=H634,"Recebido",IF($B$4&gt;E634,"Vencido","Aberto")))</f>
        <v/>
      </c>
      <c r="K634" s="4">
        <f>IF(J634="","",IF(OR(J634="Recebido",F634=""),MAX(0,F634-E634),MAX(0,$B$4-E634)))</f>
        <v/>
      </c>
      <c r="L634" s="4">
        <f>IF(K634="","",IF(K634=0,"Em dia",IF(K634&lt;=30,"1-30 dias",IF(K634&lt;=60,"31-60 dias",IF(K634&lt;=90,"61-90 dias","&gt;90 dias")))))</f>
        <v/>
      </c>
      <c r="M634" s="28" t="n"/>
      <c r="N634" s="104" t="inlineStr"/>
      <c r="O634" s="64" t="n"/>
      <c r="P634" s="64">
        <f>IF(C634="","",IF(ISNUMBER(SEARCH("PCMSO",C634)),"PCMSO",IF(OR(ISNUMBER(SEARCH("E-SOCIAL",C634)),ISNUMBER(SEARCH("PSICOSOCIAL",C634))),"eSocial / Psicossocial",IF(O634="Receita recorrente","Carteira recorrente","Projetos / Laudos / Avulsos"))))</f>
        <v/>
      </c>
      <c r="Q634" s="64">
        <f>IF(P634="","",IF(P634="Carteira recorrente","Operação recorrente",IF(P634="PCMSO","Projetos PCMSO",IF(P634="eSocial / Psicossocial","Projetos eSocial/Psicossocial","Projetos / Laudos / Avulsos"))))</f>
        <v/>
      </c>
      <c r="R634" s="64">
        <f>IF(C634="","",IF(ISNUMBER(SEARCH("PCMSO",C634)),"Título com PCMSO no nome",IF(OR(ISNUMBER(SEARCH("E-SOCIAL",C634)),ISNUMBER(SEARCH("PSICOSOCIAL",C634))),"Título com eSocial/Psicossocial no nome",IF(O634="Receita recorrente","Tipo DRE recorrente","Extra sem palavra-chave específica"))))</f>
        <v/>
      </c>
      <c r="S634" s="92">
        <f>IFERROR(VLOOKUP($A634,'13. Mapa Títulos-Receita'!$A$8:$P$1000,4,FALSE),"")</f>
        <v/>
      </c>
      <c r="T634" s="92">
        <f>IFERROR(VLOOKUP($A634,'13. Mapa Títulos-Receita'!$A$8:$P$1000,5,FALSE),"")</f>
        <v/>
      </c>
      <c r="U634" s="92">
        <f>IFERROR(VLOOKUP($A634,'13. Mapa Títulos-Receita'!$A$8:$P$1000,6,FALSE),"")</f>
        <v/>
      </c>
      <c r="V634" s="92">
        <f>IFERROR(VLOOKUP($A634,'13. Mapa Títulos-Receita'!$A$8:$P$1000,7,FALSE),"")</f>
        <v/>
      </c>
      <c r="W634" s="92">
        <f>IFERROR(VLOOKUP($A634,'13. Mapa Títulos-Receita'!$A$8:$P$1000,8,FALSE),"")</f>
        <v/>
      </c>
      <c r="X634" s="92">
        <f>IFERROR(VLOOKUP($A634,'13. Mapa Títulos-Receita'!$A$8:$P$1000,9,FALSE),"")</f>
        <v/>
      </c>
      <c r="Y634" s="92">
        <f>IFERROR(VLOOKUP($A634,'13. Mapa Títulos-Receita'!$A$8:$P$1000,10,FALSE),"")</f>
        <v/>
      </c>
      <c r="Z634" s="92">
        <f>IFERROR(VLOOKUP($A634,'13. Mapa Títulos-Receita'!$A$8:$P$1000,11,FALSE),"")</f>
        <v/>
      </c>
      <c r="AA634" s="92">
        <f>IFERROR(VLOOKUP($A634,'13. Mapa Títulos-Receita'!$A$8:$P$1000,12,FALSE),"")</f>
        <v/>
      </c>
      <c r="AB634" s="92">
        <f>IFERROR(VLOOKUP($A634,'13. Mapa Títulos-Receita'!$A$8:$P$1000,13,FALSE),"")</f>
        <v/>
      </c>
      <c r="AC634" s="92">
        <f>IFERROR(VLOOKUP($A634,'13. Mapa Títulos-Receita'!$A$8:$P$1000,14,FALSE),"")</f>
        <v/>
      </c>
      <c r="AD634" s="92">
        <f>IFERROR(VLOOKUP($A634,'13. Mapa Títulos-Receita'!$A$8:$P$1000,15,FALSE),"")</f>
        <v/>
      </c>
      <c r="AE634" s="92">
        <f>IFERROR(VLOOKUP($A634,'13. Mapa Títulos-Receita'!$A$8:$P$1000,16,FALSE),"")</f>
        <v/>
      </c>
    </row>
    <row r="635">
      <c r="A635" s="28">
        <f>IF(C635="","", "CR-"&amp;TEXT(ROW()-7,"000"))</f>
        <v/>
      </c>
      <c r="B635" s="28" t="n"/>
      <c r="C635" s="28" t="n"/>
      <c r="D635" s="111" t="n"/>
      <c r="E635" s="111" t="n"/>
      <c r="F635" s="111" t="n"/>
      <c r="G635" s="28" t="n"/>
      <c r="H635" s="45" t="n"/>
      <c r="I635" s="45" t="n"/>
      <c r="J635" s="28">
        <f>IF(H635="","",IF(I635&gt;=H635,"Recebido",IF($B$4&gt;E635,"Vencido","Aberto")))</f>
        <v/>
      </c>
      <c r="K635" s="4">
        <f>IF(J635="","",IF(OR(J635="Recebido",F635=""),MAX(0,F635-E635),MAX(0,$B$4-E635)))</f>
        <v/>
      </c>
      <c r="L635" s="4">
        <f>IF(K635="","",IF(K635=0,"Em dia",IF(K635&lt;=30,"1-30 dias",IF(K635&lt;=60,"31-60 dias",IF(K635&lt;=90,"61-90 dias","&gt;90 dias")))))</f>
        <v/>
      </c>
      <c r="M635" s="28" t="n"/>
      <c r="N635" s="104" t="inlineStr"/>
      <c r="O635" s="64" t="n"/>
      <c r="P635" s="64">
        <f>IF(C635="","",IF(ISNUMBER(SEARCH("PCMSO",C635)),"PCMSO",IF(OR(ISNUMBER(SEARCH("E-SOCIAL",C635)),ISNUMBER(SEARCH("PSICOSOCIAL",C635))),"eSocial / Psicossocial",IF(O635="Receita recorrente","Carteira recorrente","Projetos / Laudos / Avulsos"))))</f>
        <v/>
      </c>
      <c r="Q635" s="64">
        <f>IF(P635="","",IF(P635="Carteira recorrente","Operação recorrente",IF(P635="PCMSO","Projetos PCMSO",IF(P635="eSocial / Psicossocial","Projetos eSocial/Psicossocial","Projetos / Laudos / Avulsos"))))</f>
        <v/>
      </c>
      <c r="R635" s="64">
        <f>IF(C635="","",IF(ISNUMBER(SEARCH("PCMSO",C635)),"Título com PCMSO no nome",IF(OR(ISNUMBER(SEARCH("E-SOCIAL",C635)),ISNUMBER(SEARCH("PSICOSOCIAL",C635))),"Título com eSocial/Psicossocial no nome",IF(O635="Receita recorrente","Tipo DRE recorrente","Extra sem palavra-chave específica"))))</f>
        <v/>
      </c>
      <c r="S635" s="92">
        <f>IFERROR(VLOOKUP($A635,'13. Mapa Títulos-Receita'!$A$8:$P$1000,4,FALSE),"")</f>
        <v/>
      </c>
      <c r="T635" s="92">
        <f>IFERROR(VLOOKUP($A635,'13. Mapa Títulos-Receita'!$A$8:$P$1000,5,FALSE),"")</f>
        <v/>
      </c>
      <c r="U635" s="92">
        <f>IFERROR(VLOOKUP($A635,'13. Mapa Títulos-Receita'!$A$8:$P$1000,6,FALSE),"")</f>
        <v/>
      </c>
      <c r="V635" s="92">
        <f>IFERROR(VLOOKUP($A635,'13. Mapa Títulos-Receita'!$A$8:$P$1000,7,FALSE),"")</f>
        <v/>
      </c>
      <c r="W635" s="92">
        <f>IFERROR(VLOOKUP($A635,'13. Mapa Títulos-Receita'!$A$8:$P$1000,8,FALSE),"")</f>
        <v/>
      </c>
      <c r="X635" s="92">
        <f>IFERROR(VLOOKUP($A635,'13. Mapa Títulos-Receita'!$A$8:$P$1000,9,FALSE),"")</f>
        <v/>
      </c>
      <c r="Y635" s="92">
        <f>IFERROR(VLOOKUP($A635,'13. Mapa Títulos-Receita'!$A$8:$P$1000,10,FALSE),"")</f>
        <v/>
      </c>
      <c r="Z635" s="92">
        <f>IFERROR(VLOOKUP($A635,'13. Mapa Títulos-Receita'!$A$8:$P$1000,11,FALSE),"")</f>
        <v/>
      </c>
      <c r="AA635" s="92">
        <f>IFERROR(VLOOKUP($A635,'13. Mapa Títulos-Receita'!$A$8:$P$1000,12,FALSE),"")</f>
        <v/>
      </c>
      <c r="AB635" s="92">
        <f>IFERROR(VLOOKUP($A635,'13. Mapa Títulos-Receita'!$A$8:$P$1000,13,FALSE),"")</f>
        <v/>
      </c>
      <c r="AC635" s="92">
        <f>IFERROR(VLOOKUP($A635,'13. Mapa Títulos-Receita'!$A$8:$P$1000,14,FALSE),"")</f>
        <v/>
      </c>
      <c r="AD635" s="92">
        <f>IFERROR(VLOOKUP($A635,'13. Mapa Títulos-Receita'!$A$8:$P$1000,15,FALSE),"")</f>
        <v/>
      </c>
      <c r="AE635" s="92">
        <f>IFERROR(VLOOKUP($A635,'13. Mapa Títulos-Receita'!$A$8:$P$1000,16,FALSE),"")</f>
        <v/>
      </c>
    </row>
    <row r="636">
      <c r="A636" s="28">
        <f>IF(C636="","", "CR-"&amp;TEXT(ROW()-7,"000"))</f>
        <v/>
      </c>
      <c r="B636" s="28" t="n"/>
      <c r="C636" s="28" t="n"/>
      <c r="D636" s="111" t="n"/>
      <c r="E636" s="111" t="n"/>
      <c r="F636" s="111" t="n"/>
      <c r="G636" s="28" t="n"/>
      <c r="H636" s="45" t="n"/>
      <c r="I636" s="45" t="n"/>
      <c r="J636" s="28">
        <f>IF(H636="","",IF(I636&gt;=H636,"Recebido",IF($B$4&gt;E636,"Vencido","Aberto")))</f>
        <v/>
      </c>
      <c r="K636" s="4">
        <f>IF(J636="","",IF(OR(J636="Recebido",F636=""),MAX(0,F636-E636),MAX(0,$B$4-E636)))</f>
        <v/>
      </c>
      <c r="L636" s="4">
        <f>IF(K636="","",IF(K636=0,"Em dia",IF(K636&lt;=30,"1-30 dias",IF(K636&lt;=60,"31-60 dias",IF(K636&lt;=90,"61-90 dias","&gt;90 dias")))))</f>
        <v/>
      </c>
      <c r="M636" s="28" t="n"/>
      <c r="N636" s="104" t="inlineStr"/>
      <c r="O636" s="64" t="n"/>
      <c r="P636" s="64">
        <f>IF(C636="","",IF(ISNUMBER(SEARCH("PCMSO",C636)),"PCMSO",IF(OR(ISNUMBER(SEARCH("E-SOCIAL",C636)),ISNUMBER(SEARCH("PSICOSOCIAL",C636))),"eSocial / Psicossocial",IF(O636="Receita recorrente","Carteira recorrente","Projetos / Laudos / Avulsos"))))</f>
        <v/>
      </c>
      <c r="Q636" s="64">
        <f>IF(P636="","",IF(P636="Carteira recorrente","Operação recorrente",IF(P636="PCMSO","Projetos PCMSO",IF(P636="eSocial / Psicossocial","Projetos eSocial/Psicossocial","Projetos / Laudos / Avulsos"))))</f>
        <v/>
      </c>
      <c r="R636" s="64">
        <f>IF(C636="","",IF(ISNUMBER(SEARCH("PCMSO",C636)),"Título com PCMSO no nome",IF(OR(ISNUMBER(SEARCH("E-SOCIAL",C636)),ISNUMBER(SEARCH("PSICOSOCIAL",C636))),"Título com eSocial/Psicossocial no nome",IF(O636="Receita recorrente","Tipo DRE recorrente","Extra sem palavra-chave específica"))))</f>
        <v/>
      </c>
      <c r="S636" s="92">
        <f>IFERROR(VLOOKUP($A636,'13. Mapa Títulos-Receita'!$A$8:$P$1000,4,FALSE),"")</f>
        <v/>
      </c>
      <c r="T636" s="92">
        <f>IFERROR(VLOOKUP($A636,'13. Mapa Títulos-Receita'!$A$8:$P$1000,5,FALSE),"")</f>
        <v/>
      </c>
      <c r="U636" s="92">
        <f>IFERROR(VLOOKUP($A636,'13. Mapa Títulos-Receita'!$A$8:$P$1000,6,FALSE),"")</f>
        <v/>
      </c>
      <c r="V636" s="92">
        <f>IFERROR(VLOOKUP($A636,'13. Mapa Títulos-Receita'!$A$8:$P$1000,7,FALSE),"")</f>
        <v/>
      </c>
      <c r="W636" s="92">
        <f>IFERROR(VLOOKUP($A636,'13. Mapa Títulos-Receita'!$A$8:$P$1000,8,FALSE),"")</f>
        <v/>
      </c>
      <c r="X636" s="92">
        <f>IFERROR(VLOOKUP($A636,'13. Mapa Títulos-Receita'!$A$8:$P$1000,9,FALSE),"")</f>
        <v/>
      </c>
      <c r="Y636" s="92">
        <f>IFERROR(VLOOKUP($A636,'13. Mapa Títulos-Receita'!$A$8:$P$1000,10,FALSE),"")</f>
        <v/>
      </c>
      <c r="Z636" s="92">
        <f>IFERROR(VLOOKUP($A636,'13. Mapa Títulos-Receita'!$A$8:$P$1000,11,FALSE),"")</f>
        <v/>
      </c>
      <c r="AA636" s="92">
        <f>IFERROR(VLOOKUP($A636,'13. Mapa Títulos-Receita'!$A$8:$P$1000,12,FALSE),"")</f>
        <v/>
      </c>
      <c r="AB636" s="92">
        <f>IFERROR(VLOOKUP($A636,'13. Mapa Títulos-Receita'!$A$8:$P$1000,13,FALSE),"")</f>
        <v/>
      </c>
      <c r="AC636" s="92">
        <f>IFERROR(VLOOKUP($A636,'13. Mapa Títulos-Receita'!$A$8:$P$1000,14,FALSE),"")</f>
        <v/>
      </c>
      <c r="AD636" s="92">
        <f>IFERROR(VLOOKUP($A636,'13. Mapa Títulos-Receita'!$A$8:$P$1000,15,FALSE),"")</f>
        <v/>
      </c>
      <c r="AE636" s="92">
        <f>IFERROR(VLOOKUP($A636,'13. Mapa Títulos-Receita'!$A$8:$P$1000,16,FALSE),"")</f>
        <v/>
      </c>
    </row>
    <row r="637">
      <c r="A637" s="28">
        <f>IF(C637="","", "CR-"&amp;TEXT(ROW()-7,"000"))</f>
        <v/>
      </c>
      <c r="B637" s="28" t="n"/>
      <c r="C637" s="28" t="n"/>
      <c r="D637" s="111" t="n"/>
      <c r="E637" s="111" t="n"/>
      <c r="F637" s="111" t="n"/>
      <c r="G637" s="28" t="n"/>
      <c r="H637" s="45" t="n"/>
      <c r="I637" s="45" t="n"/>
      <c r="J637" s="28">
        <f>IF(H637="","",IF(I637&gt;=H637,"Recebido",IF($B$4&gt;E637,"Vencido","Aberto")))</f>
        <v/>
      </c>
      <c r="K637" s="4">
        <f>IF(J637="","",IF(OR(J637="Recebido",F637=""),MAX(0,F637-E637),MAX(0,$B$4-E637)))</f>
        <v/>
      </c>
      <c r="L637" s="4">
        <f>IF(K637="","",IF(K637=0,"Em dia",IF(K637&lt;=30,"1-30 dias",IF(K637&lt;=60,"31-60 dias",IF(K637&lt;=90,"61-90 dias","&gt;90 dias")))))</f>
        <v/>
      </c>
      <c r="M637" s="28" t="n"/>
      <c r="N637" s="104" t="inlineStr"/>
      <c r="O637" s="64" t="n"/>
      <c r="P637" s="64">
        <f>IF(C637="","",IF(ISNUMBER(SEARCH("PCMSO",C637)),"PCMSO",IF(OR(ISNUMBER(SEARCH("E-SOCIAL",C637)),ISNUMBER(SEARCH("PSICOSOCIAL",C637))),"eSocial / Psicossocial",IF(O637="Receita recorrente","Carteira recorrente","Projetos / Laudos / Avulsos"))))</f>
        <v/>
      </c>
      <c r="Q637" s="64">
        <f>IF(P637="","",IF(P637="Carteira recorrente","Operação recorrente",IF(P637="PCMSO","Projetos PCMSO",IF(P637="eSocial / Psicossocial","Projetos eSocial/Psicossocial","Projetos / Laudos / Avulsos"))))</f>
        <v/>
      </c>
      <c r="R637" s="64">
        <f>IF(C637="","",IF(ISNUMBER(SEARCH("PCMSO",C637)),"Título com PCMSO no nome",IF(OR(ISNUMBER(SEARCH("E-SOCIAL",C637)),ISNUMBER(SEARCH("PSICOSOCIAL",C637))),"Título com eSocial/Psicossocial no nome",IF(O637="Receita recorrente","Tipo DRE recorrente","Extra sem palavra-chave específica"))))</f>
        <v/>
      </c>
      <c r="S637" s="92">
        <f>IFERROR(VLOOKUP($A637,'13. Mapa Títulos-Receita'!$A$8:$P$1000,4,FALSE),"")</f>
        <v/>
      </c>
      <c r="T637" s="92">
        <f>IFERROR(VLOOKUP($A637,'13. Mapa Títulos-Receita'!$A$8:$P$1000,5,FALSE),"")</f>
        <v/>
      </c>
      <c r="U637" s="92">
        <f>IFERROR(VLOOKUP($A637,'13. Mapa Títulos-Receita'!$A$8:$P$1000,6,FALSE),"")</f>
        <v/>
      </c>
      <c r="V637" s="92">
        <f>IFERROR(VLOOKUP($A637,'13. Mapa Títulos-Receita'!$A$8:$P$1000,7,FALSE),"")</f>
        <v/>
      </c>
      <c r="W637" s="92">
        <f>IFERROR(VLOOKUP($A637,'13. Mapa Títulos-Receita'!$A$8:$P$1000,8,FALSE),"")</f>
        <v/>
      </c>
      <c r="X637" s="92">
        <f>IFERROR(VLOOKUP($A637,'13. Mapa Títulos-Receita'!$A$8:$P$1000,9,FALSE),"")</f>
        <v/>
      </c>
      <c r="Y637" s="92">
        <f>IFERROR(VLOOKUP($A637,'13. Mapa Títulos-Receita'!$A$8:$P$1000,10,FALSE),"")</f>
        <v/>
      </c>
      <c r="Z637" s="92">
        <f>IFERROR(VLOOKUP($A637,'13. Mapa Títulos-Receita'!$A$8:$P$1000,11,FALSE),"")</f>
        <v/>
      </c>
      <c r="AA637" s="92">
        <f>IFERROR(VLOOKUP($A637,'13. Mapa Títulos-Receita'!$A$8:$P$1000,12,FALSE),"")</f>
        <v/>
      </c>
      <c r="AB637" s="92">
        <f>IFERROR(VLOOKUP($A637,'13. Mapa Títulos-Receita'!$A$8:$P$1000,13,FALSE),"")</f>
        <v/>
      </c>
      <c r="AC637" s="92">
        <f>IFERROR(VLOOKUP($A637,'13. Mapa Títulos-Receita'!$A$8:$P$1000,14,FALSE),"")</f>
        <v/>
      </c>
      <c r="AD637" s="92">
        <f>IFERROR(VLOOKUP($A637,'13. Mapa Títulos-Receita'!$A$8:$P$1000,15,FALSE),"")</f>
        <v/>
      </c>
      <c r="AE637" s="92">
        <f>IFERROR(VLOOKUP($A637,'13. Mapa Títulos-Receita'!$A$8:$P$1000,16,FALSE),"")</f>
        <v/>
      </c>
    </row>
    <row r="638">
      <c r="A638" s="28">
        <f>IF(C638="","", "CR-"&amp;TEXT(ROW()-7,"000"))</f>
        <v/>
      </c>
      <c r="B638" s="28" t="n"/>
      <c r="C638" s="28" t="n"/>
      <c r="D638" s="111" t="n"/>
      <c r="E638" s="111" t="n"/>
      <c r="F638" s="111" t="n"/>
      <c r="G638" s="28" t="n"/>
      <c r="H638" s="45" t="n"/>
      <c r="I638" s="45" t="n"/>
      <c r="J638" s="28">
        <f>IF(H638="","",IF(I638&gt;=H638,"Recebido",IF($B$4&gt;E638,"Vencido","Aberto")))</f>
        <v/>
      </c>
      <c r="K638" s="4">
        <f>IF(J638="","",IF(OR(J638="Recebido",F638=""),MAX(0,F638-E638),MAX(0,$B$4-E638)))</f>
        <v/>
      </c>
      <c r="L638" s="4">
        <f>IF(K638="","",IF(K638=0,"Em dia",IF(K638&lt;=30,"1-30 dias",IF(K638&lt;=60,"31-60 dias",IF(K638&lt;=90,"61-90 dias","&gt;90 dias")))))</f>
        <v/>
      </c>
      <c r="M638" s="28" t="n"/>
      <c r="N638" s="104" t="inlineStr"/>
      <c r="O638" s="64" t="n"/>
      <c r="P638" s="64">
        <f>IF(C638="","",IF(ISNUMBER(SEARCH("PCMSO",C638)),"PCMSO",IF(OR(ISNUMBER(SEARCH("E-SOCIAL",C638)),ISNUMBER(SEARCH("PSICOSOCIAL",C638))),"eSocial / Psicossocial",IF(O638="Receita recorrente","Carteira recorrente","Projetos / Laudos / Avulsos"))))</f>
        <v/>
      </c>
      <c r="Q638" s="64">
        <f>IF(P638="","",IF(P638="Carteira recorrente","Operação recorrente",IF(P638="PCMSO","Projetos PCMSO",IF(P638="eSocial / Psicossocial","Projetos eSocial/Psicossocial","Projetos / Laudos / Avulsos"))))</f>
        <v/>
      </c>
      <c r="R638" s="64">
        <f>IF(C638="","",IF(ISNUMBER(SEARCH("PCMSO",C638)),"Título com PCMSO no nome",IF(OR(ISNUMBER(SEARCH("E-SOCIAL",C638)),ISNUMBER(SEARCH("PSICOSOCIAL",C638))),"Título com eSocial/Psicossocial no nome",IF(O638="Receita recorrente","Tipo DRE recorrente","Extra sem palavra-chave específica"))))</f>
        <v/>
      </c>
      <c r="S638" s="92">
        <f>IFERROR(VLOOKUP($A638,'13. Mapa Títulos-Receita'!$A$8:$P$1000,4,FALSE),"")</f>
        <v/>
      </c>
      <c r="T638" s="92">
        <f>IFERROR(VLOOKUP($A638,'13. Mapa Títulos-Receita'!$A$8:$P$1000,5,FALSE),"")</f>
        <v/>
      </c>
      <c r="U638" s="92">
        <f>IFERROR(VLOOKUP($A638,'13. Mapa Títulos-Receita'!$A$8:$P$1000,6,FALSE),"")</f>
        <v/>
      </c>
      <c r="V638" s="92">
        <f>IFERROR(VLOOKUP($A638,'13. Mapa Títulos-Receita'!$A$8:$P$1000,7,FALSE),"")</f>
        <v/>
      </c>
      <c r="W638" s="92">
        <f>IFERROR(VLOOKUP($A638,'13. Mapa Títulos-Receita'!$A$8:$P$1000,8,FALSE),"")</f>
        <v/>
      </c>
      <c r="X638" s="92">
        <f>IFERROR(VLOOKUP($A638,'13. Mapa Títulos-Receita'!$A$8:$P$1000,9,FALSE),"")</f>
        <v/>
      </c>
      <c r="Y638" s="92">
        <f>IFERROR(VLOOKUP($A638,'13. Mapa Títulos-Receita'!$A$8:$P$1000,10,FALSE),"")</f>
        <v/>
      </c>
      <c r="Z638" s="92">
        <f>IFERROR(VLOOKUP($A638,'13. Mapa Títulos-Receita'!$A$8:$P$1000,11,FALSE),"")</f>
        <v/>
      </c>
      <c r="AA638" s="92">
        <f>IFERROR(VLOOKUP($A638,'13. Mapa Títulos-Receita'!$A$8:$P$1000,12,FALSE),"")</f>
        <v/>
      </c>
      <c r="AB638" s="92">
        <f>IFERROR(VLOOKUP($A638,'13. Mapa Títulos-Receita'!$A$8:$P$1000,13,FALSE),"")</f>
        <v/>
      </c>
      <c r="AC638" s="92">
        <f>IFERROR(VLOOKUP($A638,'13. Mapa Títulos-Receita'!$A$8:$P$1000,14,FALSE),"")</f>
        <v/>
      </c>
      <c r="AD638" s="92">
        <f>IFERROR(VLOOKUP($A638,'13. Mapa Títulos-Receita'!$A$8:$P$1000,15,FALSE),"")</f>
        <v/>
      </c>
      <c r="AE638" s="92">
        <f>IFERROR(VLOOKUP($A638,'13. Mapa Títulos-Receita'!$A$8:$P$1000,16,FALSE),"")</f>
        <v/>
      </c>
    </row>
    <row r="639">
      <c r="A639" s="28">
        <f>IF(C639="","", "CR-"&amp;TEXT(ROW()-7,"000"))</f>
        <v/>
      </c>
      <c r="B639" s="28" t="n"/>
      <c r="C639" s="28" t="n"/>
      <c r="D639" s="111" t="n"/>
      <c r="E639" s="111" t="n"/>
      <c r="F639" s="111" t="n"/>
      <c r="G639" s="28" t="n"/>
      <c r="H639" s="45" t="n"/>
      <c r="I639" s="45" t="n"/>
      <c r="J639" s="28">
        <f>IF(H639="","",IF(I639&gt;=H639,"Recebido",IF($B$4&gt;E639,"Vencido","Aberto")))</f>
        <v/>
      </c>
      <c r="K639" s="4">
        <f>IF(J639="","",IF(OR(J639="Recebido",F639=""),MAX(0,F639-E639),MAX(0,$B$4-E639)))</f>
        <v/>
      </c>
      <c r="L639" s="4">
        <f>IF(K639="","",IF(K639=0,"Em dia",IF(K639&lt;=30,"1-30 dias",IF(K639&lt;=60,"31-60 dias",IF(K639&lt;=90,"61-90 dias","&gt;90 dias")))))</f>
        <v/>
      </c>
      <c r="M639" s="28" t="n"/>
      <c r="N639" s="104" t="inlineStr"/>
      <c r="O639" s="64" t="n"/>
      <c r="P639" s="64">
        <f>IF(C639="","",IF(ISNUMBER(SEARCH("PCMSO",C639)),"PCMSO",IF(OR(ISNUMBER(SEARCH("E-SOCIAL",C639)),ISNUMBER(SEARCH("PSICOSOCIAL",C639))),"eSocial / Psicossocial",IF(O639="Receita recorrente","Carteira recorrente","Projetos / Laudos / Avulsos"))))</f>
        <v/>
      </c>
      <c r="Q639" s="64">
        <f>IF(P639="","",IF(P639="Carteira recorrente","Operação recorrente",IF(P639="PCMSO","Projetos PCMSO",IF(P639="eSocial / Psicossocial","Projetos eSocial/Psicossocial","Projetos / Laudos / Avulsos"))))</f>
        <v/>
      </c>
      <c r="R639" s="64">
        <f>IF(C639="","",IF(ISNUMBER(SEARCH("PCMSO",C639)),"Título com PCMSO no nome",IF(OR(ISNUMBER(SEARCH("E-SOCIAL",C639)),ISNUMBER(SEARCH("PSICOSOCIAL",C639))),"Título com eSocial/Psicossocial no nome",IF(O639="Receita recorrente","Tipo DRE recorrente","Extra sem palavra-chave específica"))))</f>
        <v/>
      </c>
      <c r="S639" s="92">
        <f>IFERROR(VLOOKUP($A639,'13. Mapa Títulos-Receita'!$A$8:$P$1000,4,FALSE),"")</f>
        <v/>
      </c>
      <c r="T639" s="92">
        <f>IFERROR(VLOOKUP($A639,'13. Mapa Títulos-Receita'!$A$8:$P$1000,5,FALSE),"")</f>
        <v/>
      </c>
      <c r="U639" s="92">
        <f>IFERROR(VLOOKUP($A639,'13. Mapa Títulos-Receita'!$A$8:$P$1000,6,FALSE),"")</f>
        <v/>
      </c>
      <c r="V639" s="92">
        <f>IFERROR(VLOOKUP($A639,'13. Mapa Títulos-Receita'!$A$8:$P$1000,7,FALSE),"")</f>
        <v/>
      </c>
      <c r="W639" s="92">
        <f>IFERROR(VLOOKUP($A639,'13. Mapa Títulos-Receita'!$A$8:$P$1000,8,FALSE),"")</f>
        <v/>
      </c>
      <c r="X639" s="92">
        <f>IFERROR(VLOOKUP($A639,'13. Mapa Títulos-Receita'!$A$8:$P$1000,9,FALSE),"")</f>
        <v/>
      </c>
      <c r="Y639" s="92">
        <f>IFERROR(VLOOKUP($A639,'13. Mapa Títulos-Receita'!$A$8:$P$1000,10,FALSE),"")</f>
        <v/>
      </c>
      <c r="Z639" s="92">
        <f>IFERROR(VLOOKUP($A639,'13. Mapa Títulos-Receita'!$A$8:$P$1000,11,FALSE),"")</f>
        <v/>
      </c>
      <c r="AA639" s="92">
        <f>IFERROR(VLOOKUP($A639,'13. Mapa Títulos-Receita'!$A$8:$P$1000,12,FALSE),"")</f>
        <v/>
      </c>
      <c r="AB639" s="92">
        <f>IFERROR(VLOOKUP($A639,'13. Mapa Títulos-Receita'!$A$8:$P$1000,13,FALSE),"")</f>
        <v/>
      </c>
      <c r="AC639" s="92">
        <f>IFERROR(VLOOKUP($A639,'13. Mapa Títulos-Receita'!$A$8:$P$1000,14,FALSE),"")</f>
        <v/>
      </c>
      <c r="AD639" s="92">
        <f>IFERROR(VLOOKUP($A639,'13. Mapa Títulos-Receita'!$A$8:$P$1000,15,FALSE),"")</f>
        <v/>
      </c>
      <c r="AE639" s="92">
        <f>IFERROR(VLOOKUP($A639,'13. Mapa Títulos-Receita'!$A$8:$P$1000,16,FALSE),"")</f>
        <v/>
      </c>
    </row>
    <row r="640">
      <c r="A640" s="28">
        <f>IF(C640="","", "CR-"&amp;TEXT(ROW()-7,"000"))</f>
        <v/>
      </c>
      <c r="B640" s="28" t="n"/>
      <c r="C640" s="28" t="n"/>
      <c r="D640" s="111" t="n"/>
      <c r="E640" s="111" t="n"/>
      <c r="F640" s="111" t="n"/>
      <c r="G640" s="28" t="n"/>
      <c r="H640" s="45" t="n"/>
      <c r="I640" s="45" t="n"/>
      <c r="J640" s="28">
        <f>IF(H640="","",IF(I640&gt;=H640,"Recebido",IF($B$4&gt;E640,"Vencido","Aberto")))</f>
        <v/>
      </c>
      <c r="K640" s="4">
        <f>IF(J640="","",IF(OR(J640="Recebido",F640=""),MAX(0,F640-E640),MAX(0,$B$4-E640)))</f>
        <v/>
      </c>
      <c r="L640" s="4">
        <f>IF(K640="","",IF(K640=0,"Em dia",IF(K640&lt;=30,"1-30 dias",IF(K640&lt;=60,"31-60 dias",IF(K640&lt;=90,"61-90 dias","&gt;90 dias")))))</f>
        <v/>
      </c>
      <c r="M640" s="28" t="n"/>
      <c r="N640" s="104" t="inlineStr"/>
      <c r="O640" s="64" t="n"/>
      <c r="P640" s="64">
        <f>IF(C640="","",IF(ISNUMBER(SEARCH("PCMSO",C640)),"PCMSO",IF(OR(ISNUMBER(SEARCH("E-SOCIAL",C640)),ISNUMBER(SEARCH("PSICOSOCIAL",C640))),"eSocial / Psicossocial",IF(O640="Receita recorrente","Carteira recorrente","Projetos / Laudos / Avulsos"))))</f>
        <v/>
      </c>
      <c r="Q640" s="64">
        <f>IF(P640="","",IF(P640="Carteira recorrente","Operação recorrente",IF(P640="PCMSO","Projetos PCMSO",IF(P640="eSocial / Psicossocial","Projetos eSocial/Psicossocial","Projetos / Laudos / Avulsos"))))</f>
        <v/>
      </c>
      <c r="R640" s="64">
        <f>IF(C640="","",IF(ISNUMBER(SEARCH("PCMSO",C640)),"Título com PCMSO no nome",IF(OR(ISNUMBER(SEARCH("E-SOCIAL",C640)),ISNUMBER(SEARCH("PSICOSOCIAL",C640))),"Título com eSocial/Psicossocial no nome",IF(O640="Receita recorrente","Tipo DRE recorrente","Extra sem palavra-chave específica"))))</f>
        <v/>
      </c>
      <c r="S640" s="92">
        <f>IFERROR(VLOOKUP($A640,'13. Mapa Títulos-Receita'!$A$8:$P$1000,4,FALSE),"")</f>
        <v/>
      </c>
      <c r="T640" s="92">
        <f>IFERROR(VLOOKUP($A640,'13. Mapa Títulos-Receita'!$A$8:$P$1000,5,FALSE),"")</f>
        <v/>
      </c>
      <c r="U640" s="92">
        <f>IFERROR(VLOOKUP($A640,'13. Mapa Títulos-Receita'!$A$8:$P$1000,6,FALSE),"")</f>
        <v/>
      </c>
      <c r="V640" s="92">
        <f>IFERROR(VLOOKUP($A640,'13. Mapa Títulos-Receita'!$A$8:$P$1000,7,FALSE),"")</f>
        <v/>
      </c>
      <c r="W640" s="92">
        <f>IFERROR(VLOOKUP($A640,'13. Mapa Títulos-Receita'!$A$8:$P$1000,8,FALSE),"")</f>
        <v/>
      </c>
      <c r="X640" s="92">
        <f>IFERROR(VLOOKUP($A640,'13. Mapa Títulos-Receita'!$A$8:$P$1000,9,FALSE),"")</f>
        <v/>
      </c>
      <c r="Y640" s="92">
        <f>IFERROR(VLOOKUP($A640,'13. Mapa Títulos-Receita'!$A$8:$P$1000,10,FALSE),"")</f>
        <v/>
      </c>
      <c r="Z640" s="92">
        <f>IFERROR(VLOOKUP($A640,'13. Mapa Títulos-Receita'!$A$8:$P$1000,11,FALSE),"")</f>
        <v/>
      </c>
      <c r="AA640" s="92">
        <f>IFERROR(VLOOKUP($A640,'13. Mapa Títulos-Receita'!$A$8:$P$1000,12,FALSE),"")</f>
        <v/>
      </c>
      <c r="AB640" s="92">
        <f>IFERROR(VLOOKUP($A640,'13. Mapa Títulos-Receita'!$A$8:$P$1000,13,FALSE),"")</f>
        <v/>
      </c>
      <c r="AC640" s="92">
        <f>IFERROR(VLOOKUP($A640,'13. Mapa Títulos-Receita'!$A$8:$P$1000,14,FALSE),"")</f>
        <v/>
      </c>
      <c r="AD640" s="92">
        <f>IFERROR(VLOOKUP($A640,'13. Mapa Títulos-Receita'!$A$8:$P$1000,15,FALSE),"")</f>
        <v/>
      </c>
      <c r="AE640" s="92">
        <f>IFERROR(VLOOKUP($A640,'13. Mapa Títulos-Receita'!$A$8:$P$1000,16,FALSE),"")</f>
        <v/>
      </c>
    </row>
    <row r="641">
      <c r="A641" s="28">
        <f>IF(C641="","", "CR-"&amp;TEXT(ROW()-7,"000"))</f>
        <v/>
      </c>
      <c r="B641" s="28" t="n"/>
      <c r="C641" s="28" t="n"/>
      <c r="D641" s="111" t="n"/>
      <c r="E641" s="111" t="n"/>
      <c r="F641" s="111" t="n"/>
      <c r="G641" s="28" t="n"/>
      <c r="H641" s="45" t="n"/>
      <c r="I641" s="45" t="n"/>
      <c r="J641" s="28">
        <f>IF(H641="","",IF(I641&gt;=H641,"Recebido",IF($B$4&gt;E641,"Vencido","Aberto")))</f>
        <v/>
      </c>
      <c r="K641" s="4">
        <f>IF(J641="","",IF(OR(J641="Recebido",F641=""),MAX(0,F641-E641),MAX(0,$B$4-E641)))</f>
        <v/>
      </c>
      <c r="L641" s="4">
        <f>IF(K641="","",IF(K641=0,"Em dia",IF(K641&lt;=30,"1-30 dias",IF(K641&lt;=60,"31-60 dias",IF(K641&lt;=90,"61-90 dias","&gt;90 dias")))))</f>
        <v/>
      </c>
      <c r="M641" s="28" t="n"/>
      <c r="N641" s="104" t="inlineStr"/>
      <c r="O641" s="64" t="n"/>
      <c r="P641" s="64">
        <f>IF(C641="","",IF(ISNUMBER(SEARCH("PCMSO",C641)),"PCMSO",IF(OR(ISNUMBER(SEARCH("E-SOCIAL",C641)),ISNUMBER(SEARCH("PSICOSOCIAL",C641))),"eSocial / Psicossocial",IF(O641="Receita recorrente","Carteira recorrente","Projetos / Laudos / Avulsos"))))</f>
        <v/>
      </c>
      <c r="Q641" s="64">
        <f>IF(P641="","",IF(P641="Carteira recorrente","Operação recorrente",IF(P641="PCMSO","Projetos PCMSO",IF(P641="eSocial / Psicossocial","Projetos eSocial/Psicossocial","Projetos / Laudos / Avulsos"))))</f>
        <v/>
      </c>
      <c r="R641" s="64">
        <f>IF(C641="","",IF(ISNUMBER(SEARCH("PCMSO",C641)),"Título com PCMSO no nome",IF(OR(ISNUMBER(SEARCH("E-SOCIAL",C641)),ISNUMBER(SEARCH("PSICOSOCIAL",C641))),"Título com eSocial/Psicossocial no nome",IF(O641="Receita recorrente","Tipo DRE recorrente","Extra sem palavra-chave específica"))))</f>
        <v/>
      </c>
      <c r="S641" s="92">
        <f>IFERROR(VLOOKUP($A641,'13. Mapa Títulos-Receita'!$A$8:$P$1000,4,FALSE),"")</f>
        <v/>
      </c>
      <c r="T641" s="92">
        <f>IFERROR(VLOOKUP($A641,'13. Mapa Títulos-Receita'!$A$8:$P$1000,5,FALSE),"")</f>
        <v/>
      </c>
      <c r="U641" s="92">
        <f>IFERROR(VLOOKUP($A641,'13. Mapa Títulos-Receita'!$A$8:$P$1000,6,FALSE),"")</f>
        <v/>
      </c>
      <c r="V641" s="92">
        <f>IFERROR(VLOOKUP($A641,'13. Mapa Títulos-Receita'!$A$8:$P$1000,7,FALSE),"")</f>
        <v/>
      </c>
      <c r="W641" s="92">
        <f>IFERROR(VLOOKUP($A641,'13. Mapa Títulos-Receita'!$A$8:$P$1000,8,FALSE),"")</f>
        <v/>
      </c>
      <c r="X641" s="92">
        <f>IFERROR(VLOOKUP($A641,'13. Mapa Títulos-Receita'!$A$8:$P$1000,9,FALSE),"")</f>
        <v/>
      </c>
      <c r="Y641" s="92">
        <f>IFERROR(VLOOKUP($A641,'13. Mapa Títulos-Receita'!$A$8:$P$1000,10,FALSE),"")</f>
        <v/>
      </c>
      <c r="Z641" s="92">
        <f>IFERROR(VLOOKUP($A641,'13. Mapa Títulos-Receita'!$A$8:$P$1000,11,FALSE),"")</f>
        <v/>
      </c>
      <c r="AA641" s="92">
        <f>IFERROR(VLOOKUP($A641,'13. Mapa Títulos-Receita'!$A$8:$P$1000,12,FALSE),"")</f>
        <v/>
      </c>
      <c r="AB641" s="92">
        <f>IFERROR(VLOOKUP($A641,'13. Mapa Títulos-Receita'!$A$8:$P$1000,13,FALSE),"")</f>
        <v/>
      </c>
      <c r="AC641" s="92">
        <f>IFERROR(VLOOKUP($A641,'13. Mapa Títulos-Receita'!$A$8:$P$1000,14,FALSE),"")</f>
        <v/>
      </c>
      <c r="AD641" s="92">
        <f>IFERROR(VLOOKUP($A641,'13. Mapa Títulos-Receita'!$A$8:$P$1000,15,FALSE),"")</f>
        <v/>
      </c>
      <c r="AE641" s="92">
        <f>IFERROR(VLOOKUP($A641,'13. Mapa Títulos-Receita'!$A$8:$P$1000,16,FALSE),"")</f>
        <v/>
      </c>
    </row>
    <row r="642">
      <c r="A642" s="28">
        <f>IF(C642="","", "CR-"&amp;TEXT(ROW()-7,"000"))</f>
        <v/>
      </c>
      <c r="B642" s="28" t="n"/>
      <c r="C642" s="28" t="n"/>
      <c r="D642" s="111" t="n"/>
      <c r="E642" s="111" t="n"/>
      <c r="F642" s="111" t="n"/>
      <c r="G642" s="28" t="n"/>
      <c r="H642" s="45" t="n"/>
      <c r="I642" s="45" t="n"/>
      <c r="J642" s="28">
        <f>IF(H642="","",IF(I642&gt;=H642,"Recebido",IF($B$4&gt;E642,"Vencido","Aberto")))</f>
        <v/>
      </c>
      <c r="K642" s="4">
        <f>IF(J642="","",IF(OR(J642="Recebido",F642=""),MAX(0,F642-E642),MAX(0,$B$4-E642)))</f>
        <v/>
      </c>
      <c r="L642" s="4">
        <f>IF(K642="","",IF(K642=0,"Em dia",IF(K642&lt;=30,"1-30 dias",IF(K642&lt;=60,"31-60 dias",IF(K642&lt;=90,"61-90 dias","&gt;90 dias")))))</f>
        <v/>
      </c>
      <c r="M642" s="28" t="n"/>
      <c r="N642" s="104" t="inlineStr"/>
      <c r="O642" s="64" t="n"/>
      <c r="P642" s="64">
        <f>IF(C642="","",IF(ISNUMBER(SEARCH("PCMSO",C642)),"PCMSO",IF(OR(ISNUMBER(SEARCH("E-SOCIAL",C642)),ISNUMBER(SEARCH("PSICOSOCIAL",C642))),"eSocial / Psicossocial",IF(O642="Receita recorrente","Carteira recorrente","Projetos / Laudos / Avulsos"))))</f>
        <v/>
      </c>
      <c r="Q642" s="64">
        <f>IF(P642="","",IF(P642="Carteira recorrente","Operação recorrente",IF(P642="PCMSO","Projetos PCMSO",IF(P642="eSocial / Psicossocial","Projetos eSocial/Psicossocial","Projetos / Laudos / Avulsos"))))</f>
        <v/>
      </c>
      <c r="R642" s="64">
        <f>IF(C642="","",IF(ISNUMBER(SEARCH("PCMSO",C642)),"Título com PCMSO no nome",IF(OR(ISNUMBER(SEARCH("E-SOCIAL",C642)),ISNUMBER(SEARCH("PSICOSOCIAL",C642))),"Título com eSocial/Psicossocial no nome",IF(O642="Receita recorrente","Tipo DRE recorrente","Extra sem palavra-chave específica"))))</f>
        <v/>
      </c>
      <c r="S642" s="92">
        <f>IFERROR(VLOOKUP($A642,'13. Mapa Títulos-Receita'!$A$8:$P$1000,4,FALSE),"")</f>
        <v/>
      </c>
      <c r="T642" s="92">
        <f>IFERROR(VLOOKUP($A642,'13. Mapa Títulos-Receita'!$A$8:$P$1000,5,FALSE),"")</f>
        <v/>
      </c>
      <c r="U642" s="92">
        <f>IFERROR(VLOOKUP($A642,'13. Mapa Títulos-Receita'!$A$8:$P$1000,6,FALSE),"")</f>
        <v/>
      </c>
      <c r="V642" s="92">
        <f>IFERROR(VLOOKUP($A642,'13. Mapa Títulos-Receita'!$A$8:$P$1000,7,FALSE),"")</f>
        <v/>
      </c>
      <c r="W642" s="92">
        <f>IFERROR(VLOOKUP($A642,'13. Mapa Títulos-Receita'!$A$8:$P$1000,8,FALSE),"")</f>
        <v/>
      </c>
      <c r="X642" s="92">
        <f>IFERROR(VLOOKUP($A642,'13. Mapa Títulos-Receita'!$A$8:$P$1000,9,FALSE),"")</f>
        <v/>
      </c>
      <c r="Y642" s="92">
        <f>IFERROR(VLOOKUP($A642,'13. Mapa Títulos-Receita'!$A$8:$P$1000,10,FALSE),"")</f>
        <v/>
      </c>
      <c r="Z642" s="92">
        <f>IFERROR(VLOOKUP($A642,'13. Mapa Títulos-Receita'!$A$8:$P$1000,11,FALSE),"")</f>
        <v/>
      </c>
      <c r="AA642" s="92">
        <f>IFERROR(VLOOKUP($A642,'13. Mapa Títulos-Receita'!$A$8:$P$1000,12,FALSE),"")</f>
        <v/>
      </c>
      <c r="AB642" s="92">
        <f>IFERROR(VLOOKUP($A642,'13. Mapa Títulos-Receita'!$A$8:$P$1000,13,FALSE),"")</f>
        <v/>
      </c>
      <c r="AC642" s="92">
        <f>IFERROR(VLOOKUP($A642,'13. Mapa Títulos-Receita'!$A$8:$P$1000,14,FALSE),"")</f>
        <v/>
      </c>
      <c r="AD642" s="92">
        <f>IFERROR(VLOOKUP($A642,'13. Mapa Títulos-Receita'!$A$8:$P$1000,15,FALSE),"")</f>
        <v/>
      </c>
      <c r="AE642" s="92">
        <f>IFERROR(VLOOKUP($A642,'13. Mapa Títulos-Receita'!$A$8:$P$1000,16,FALSE),"")</f>
        <v/>
      </c>
    </row>
    <row r="643">
      <c r="A643" s="28">
        <f>IF(C643="","", "CR-"&amp;TEXT(ROW()-7,"000"))</f>
        <v/>
      </c>
      <c r="B643" s="28" t="n"/>
      <c r="C643" s="28" t="n"/>
      <c r="D643" s="111" t="n"/>
      <c r="E643" s="111" t="n"/>
      <c r="F643" s="111" t="n"/>
      <c r="G643" s="28" t="n"/>
      <c r="H643" s="45" t="n"/>
      <c r="I643" s="45" t="n"/>
      <c r="J643" s="28">
        <f>IF(H643="","",IF(I643&gt;=H643,"Recebido",IF($B$4&gt;E643,"Vencido","Aberto")))</f>
        <v/>
      </c>
      <c r="K643" s="4">
        <f>IF(J643="","",IF(OR(J643="Recebido",F643=""),MAX(0,F643-E643),MAX(0,$B$4-E643)))</f>
        <v/>
      </c>
      <c r="L643" s="4">
        <f>IF(K643="","",IF(K643=0,"Em dia",IF(K643&lt;=30,"1-30 dias",IF(K643&lt;=60,"31-60 dias",IF(K643&lt;=90,"61-90 dias","&gt;90 dias")))))</f>
        <v/>
      </c>
      <c r="M643" s="28" t="n"/>
      <c r="N643" s="104" t="inlineStr"/>
      <c r="O643" s="64" t="n"/>
      <c r="P643" s="64">
        <f>IF(C643="","",IF(ISNUMBER(SEARCH("PCMSO",C643)),"PCMSO",IF(OR(ISNUMBER(SEARCH("E-SOCIAL",C643)),ISNUMBER(SEARCH("PSICOSOCIAL",C643))),"eSocial / Psicossocial",IF(O643="Receita recorrente","Carteira recorrente","Projetos / Laudos / Avulsos"))))</f>
        <v/>
      </c>
      <c r="Q643" s="64">
        <f>IF(P643="","",IF(P643="Carteira recorrente","Operação recorrente",IF(P643="PCMSO","Projetos PCMSO",IF(P643="eSocial / Psicossocial","Projetos eSocial/Psicossocial","Projetos / Laudos / Avulsos"))))</f>
        <v/>
      </c>
      <c r="R643" s="64">
        <f>IF(C643="","",IF(ISNUMBER(SEARCH("PCMSO",C643)),"Título com PCMSO no nome",IF(OR(ISNUMBER(SEARCH("E-SOCIAL",C643)),ISNUMBER(SEARCH("PSICOSOCIAL",C643))),"Título com eSocial/Psicossocial no nome",IF(O643="Receita recorrente","Tipo DRE recorrente","Extra sem palavra-chave específica"))))</f>
        <v/>
      </c>
      <c r="S643" s="92">
        <f>IFERROR(VLOOKUP($A643,'13. Mapa Títulos-Receita'!$A$8:$P$1000,4,FALSE),"")</f>
        <v/>
      </c>
      <c r="T643" s="92">
        <f>IFERROR(VLOOKUP($A643,'13. Mapa Títulos-Receita'!$A$8:$P$1000,5,FALSE),"")</f>
        <v/>
      </c>
      <c r="U643" s="92">
        <f>IFERROR(VLOOKUP($A643,'13. Mapa Títulos-Receita'!$A$8:$P$1000,6,FALSE),"")</f>
        <v/>
      </c>
      <c r="V643" s="92">
        <f>IFERROR(VLOOKUP($A643,'13. Mapa Títulos-Receita'!$A$8:$P$1000,7,FALSE),"")</f>
        <v/>
      </c>
      <c r="W643" s="92">
        <f>IFERROR(VLOOKUP($A643,'13. Mapa Títulos-Receita'!$A$8:$P$1000,8,FALSE),"")</f>
        <v/>
      </c>
      <c r="X643" s="92">
        <f>IFERROR(VLOOKUP($A643,'13. Mapa Títulos-Receita'!$A$8:$P$1000,9,FALSE),"")</f>
        <v/>
      </c>
      <c r="Y643" s="92">
        <f>IFERROR(VLOOKUP($A643,'13. Mapa Títulos-Receita'!$A$8:$P$1000,10,FALSE),"")</f>
        <v/>
      </c>
      <c r="Z643" s="92">
        <f>IFERROR(VLOOKUP($A643,'13. Mapa Títulos-Receita'!$A$8:$P$1000,11,FALSE),"")</f>
        <v/>
      </c>
      <c r="AA643" s="92">
        <f>IFERROR(VLOOKUP($A643,'13. Mapa Títulos-Receita'!$A$8:$P$1000,12,FALSE),"")</f>
        <v/>
      </c>
      <c r="AB643" s="92">
        <f>IFERROR(VLOOKUP($A643,'13. Mapa Títulos-Receita'!$A$8:$P$1000,13,FALSE),"")</f>
        <v/>
      </c>
      <c r="AC643" s="92">
        <f>IFERROR(VLOOKUP($A643,'13. Mapa Títulos-Receita'!$A$8:$P$1000,14,FALSE),"")</f>
        <v/>
      </c>
      <c r="AD643" s="92">
        <f>IFERROR(VLOOKUP($A643,'13. Mapa Títulos-Receita'!$A$8:$P$1000,15,FALSE),"")</f>
        <v/>
      </c>
      <c r="AE643" s="92">
        <f>IFERROR(VLOOKUP($A643,'13. Mapa Títulos-Receita'!$A$8:$P$1000,16,FALSE),"")</f>
        <v/>
      </c>
    </row>
    <row r="644">
      <c r="A644" s="28">
        <f>IF(C644="","", "CR-"&amp;TEXT(ROW()-7,"000"))</f>
        <v/>
      </c>
      <c r="B644" s="28" t="n"/>
      <c r="C644" s="28" t="n"/>
      <c r="D644" s="111" t="n"/>
      <c r="E644" s="111" t="n"/>
      <c r="F644" s="111" t="n"/>
      <c r="G644" s="28" t="n"/>
      <c r="H644" s="45" t="n"/>
      <c r="I644" s="45" t="n"/>
      <c r="J644" s="28">
        <f>IF(H644="","",IF(I644&gt;=H644,"Recebido",IF($B$4&gt;E644,"Vencido","Aberto")))</f>
        <v/>
      </c>
      <c r="K644" s="4">
        <f>IF(J644="","",IF(OR(J644="Recebido",F644=""),MAX(0,F644-E644),MAX(0,$B$4-E644)))</f>
        <v/>
      </c>
      <c r="L644" s="4">
        <f>IF(K644="","",IF(K644=0,"Em dia",IF(K644&lt;=30,"1-30 dias",IF(K644&lt;=60,"31-60 dias",IF(K644&lt;=90,"61-90 dias","&gt;90 dias")))))</f>
        <v/>
      </c>
      <c r="M644" s="28" t="n"/>
      <c r="N644" s="104" t="inlineStr"/>
      <c r="O644" s="64" t="n"/>
      <c r="P644" s="64">
        <f>IF(C644="","",IF(ISNUMBER(SEARCH("PCMSO",C644)),"PCMSO",IF(OR(ISNUMBER(SEARCH("E-SOCIAL",C644)),ISNUMBER(SEARCH("PSICOSOCIAL",C644))),"eSocial / Psicossocial",IF(O644="Receita recorrente","Carteira recorrente","Projetos / Laudos / Avulsos"))))</f>
        <v/>
      </c>
      <c r="Q644" s="64">
        <f>IF(P644="","",IF(P644="Carteira recorrente","Operação recorrente",IF(P644="PCMSO","Projetos PCMSO",IF(P644="eSocial / Psicossocial","Projetos eSocial/Psicossocial","Projetos / Laudos / Avulsos"))))</f>
        <v/>
      </c>
      <c r="R644" s="64">
        <f>IF(C644="","",IF(ISNUMBER(SEARCH("PCMSO",C644)),"Título com PCMSO no nome",IF(OR(ISNUMBER(SEARCH("E-SOCIAL",C644)),ISNUMBER(SEARCH("PSICOSOCIAL",C644))),"Título com eSocial/Psicossocial no nome",IF(O644="Receita recorrente","Tipo DRE recorrente","Extra sem palavra-chave específica"))))</f>
        <v/>
      </c>
      <c r="S644" s="92">
        <f>IFERROR(VLOOKUP($A644,'13. Mapa Títulos-Receita'!$A$8:$P$1000,4,FALSE),"")</f>
        <v/>
      </c>
      <c r="T644" s="92">
        <f>IFERROR(VLOOKUP($A644,'13. Mapa Títulos-Receita'!$A$8:$P$1000,5,FALSE),"")</f>
        <v/>
      </c>
      <c r="U644" s="92">
        <f>IFERROR(VLOOKUP($A644,'13. Mapa Títulos-Receita'!$A$8:$P$1000,6,FALSE),"")</f>
        <v/>
      </c>
      <c r="V644" s="92">
        <f>IFERROR(VLOOKUP($A644,'13. Mapa Títulos-Receita'!$A$8:$P$1000,7,FALSE),"")</f>
        <v/>
      </c>
      <c r="W644" s="92">
        <f>IFERROR(VLOOKUP($A644,'13. Mapa Títulos-Receita'!$A$8:$P$1000,8,FALSE),"")</f>
        <v/>
      </c>
      <c r="X644" s="92">
        <f>IFERROR(VLOOKUP($A644,'13. Mapa Títulos-Receita'!$A$8:$P$1000,9,FALSE),"")</f>
        <v/>
      </c>
      <c r="Y644" s="92">
        <f>IFERROR(VLOOKUP($A644,'13. Mapa Títulos-Receita'!$A$8:$P$1000,10,FALSE),"")</f>
        <v/>
      </c>
      <c r="Z644" s="92">
        <f>IFERROR(VLOOKUP($A644,'13. Mapa Títulos-Receita'!$A$8:$P$1000,11,FALSE),"")</f>
        <v/>
      </c>
      <c r="AA644" s="92">
        <f>IFERROR(VLOOKUP($A644,'13. Mapa Títulos-Receita'!$A$8:$P$1000,12,FALSE),"")</f>
        <v/>
      </c>
      <c r="AB644" s="92">
        <f>IFERROR(VLOOKUP($A644,'13. Mapa Títulos-Receita'!$A$8:$P$1000,13,FALSE),"")</f>
        <v/>
      </c>
      <c r="AC644" s="92">
        <f>IFERROR(VLOOKUP($A644,'13. Mapa Títulos-Receita'!$A$8:$P$1000,14,FALSE),"")</f>
        <v/>
      </c>
      <c r="AD644" s="92">
        <f>IFERROR(VLOOKUP($A644,'13. Mapa Títulos-Receita'!$A$8:$P$1000,15,FALSE),"")</f>
        <v/>
      </c>
      <c r="AE644" s="92">
        <f>IFERROR(VLOOKUP($A644,'13. Mapa Títulos-Receita'!$A$8:$P$1000,16,FALSE),"")</f>
        <v/>
      </c>
    </row>
    <row r="645">
      <c r="A645" s="28">
        <f>IF(C645="","", "CR-"&amp;TEXT(ROW()-7,"000"))</f>
        <v/>
      </c>
      <c r="B645" s="28" t="n"/>
      <c r="C645" s="28" t="n"/>
      <c r="D645" s="111" t="n"/>
      <c r="E645" s="111" t="n"/>
      <c r="F645" s="111" t="n"/>
      <c r="G645" s="28" t="n"/>
      <c r="H645" s="45" t="n"/>
      <c r="I645" s="45" t="n"/>
      <c r="J645" s="28">
        <f>IF(H645="","",IF(I645&gt;=H645,"Recebido",IF($B$4&gt;E645,"Vencido","Aberto")))</f>
        <v/>
      </c>
      <c r="K645" s="4">
        <f>IF(J645="","",IF(OR(J645="Recebido",F645=""),MAX(0,F645-E645),MAX(0,$B$4-E645)))</f>
        <v/>
      </c>
      <c r="L645" s="4">
        <f>IF(K645="","",IF(K645=0,"Em dia",IF(K645&lt;=30,"1-30 dias",IF(K645&lt;=60,"31-60 dias",IF(K645&lt;=90,"61-90 dias","&gt;90 dias")))))</f>
        <v/>
      </c>
      <c r="M645" s="28" t="n"/>
      <c r="N645" s="104" t="inlineStr"/>
      <c r="O645" s="64" t="n"/>
      <c r="P645" s="64">
        <f>IF(C645="","",IF(ISNUMBER(SEARCH("PCMSO",C645)),"PCMSO",IF(OR(ISNUMBER(SEARCH("E-SOCIAL",C645)),ISNUMBER(SEARCH("PSICOSOCIAL",C645))),"eSocial / Psicossocial",IF(O645="Receita recorrente","Carteira recorrente","Projetos / Laudos / Avulsos"))))</f>
        <v/>
      </c>
      <c r="Q645" s="64">
        <f>IF(P645="","",IF(P645="Carteira recorrente","Operação recorrente",IF(P645="PCMSO","Projetos PCMSO",IF(P645="eSocial / Psicossocial","Projetos eSocial/Psicossocial","Projetos / Laudos / Avulsos"))))</f>
        <v/>
      </c>
      <c r="R645" s="64">
        <f>IF(C645="","",IF(ISNUMBER(SEARCH("PCMSO",C645)),"Título com PCMSO no nome",IF(OR(ISNUMBER(SEARCH("E-SOCIAL",C645)),ISNUMBER(SEARCH("PSICOSOCIAL",C645))),"Título com eSocial/Psicossocial no nome",IF(O645="Receita recorrente","Tipo DRE recorrente","Extra sem palavra-chave específica"))))</f>
        <v/>
      </c>
      <c r="S645" s="92">
        <f>IFERROR(VLOOKUP($A645,'13. Mapa Títulos-Receita'!$A$8:$P$1000,4,FALSE),"")</f>
        <v/>
      </c>
      <c r="T645" s="92">
        <f>IFERROR(VLOOKUP($A645,'13. Mapa Títulos-Receita'!$A$8:$P$1000,5,FALSE),"")</f>
        <v/>
      </c>
      <c r="U645" s="92">
        <f>IFERROR(VLOOKUP($A645,'13. Mapa Títulos-Receita'!$A$8:$P$1000,6,FALSE),"")</f>
        <v/>
      </c>
      <c r="V645" s="92">
        <f>IFERROR(VLOOKUP($A645,'13. Mapa Títulos-Receita'!$A$8:$P$1000,7,FALSE),"")</f>
        <v/>
      </c>
      <c r="W645" s="92">
        <f>IFERROR(VLOOKUP($A645,'13. Mapa Títulos-Receita'!$A$8:$P$1000,8,FALSE),"")</f>
        <v/>
      </c>
      <c r="X645" s="92">
        <f>IFERROR(VLOOKUP($A645,'13. Mapa Títulos-Receita'!$A$8:$P$1000,9,FALSE),"")</f>
        <v/>
      </c>
      <c r="Y645" s="92">
        <f>IFERROR(VLOOKUP($A645,'13. Mapa Títulos-Receita'!$A$8:$P$1000,10,FALSE),"")</f>
        <v/>
      </c>
      <c r="Z645" s="92">
        <f>IFERROR(VLOOKUP($A645,'13. Mapa Títulos-Receita'!$A$8:$P$1000,11,FALSE),"")</f>
        <v/>
      </c>
      <c r="AA645" s="92">
        <f>IFERROR(VLOOKUP($A645,'13. Mapa Títulos-Receita'!$A$8:$P$1000,12,FALSE),"")</f>
        <v/>
      </c>
      <c r="AB645" s="92">
        <f>IFERROR(VLOOKUP($A645,'13. Mapa Títulos-Receita'!$A$8:$P$1000,13,FALSE),"")</f>
        <v/>
      </c>
      <c r="AC645" s="92">
        <f>IFERROR(VLOOKUP($A645,'13. Mapa Títulos-Receita'!$A$8:$P$1000,14,FALSE),"")</f>
        <v/>
      </c>
      <c r="AD645" s="92">
        <f>IFERROR(VLOOKUP($A645,'13. Mapa Títulos-Receita'!$A$8:$P$1000,15,FALSE),"")</f>
        <v/>
      </c>
      <c r="AE645" s="92">
        <f>IFERROR(VLOOKUP($A645,'13. Mapa Títulos-Receita'!$A$8:$P$1000,16,FALSE),"")</f>
        <v/>
      </c>
    </row>
    <row r="646">
      <c r="A646" s="28">
        <f>IF(C646="","", "CR-"&amp;TEXT(ROW()-7,"000"))</f>
        <v/>
      </c>
      <c r="B646" s="28" t="n"/>
      <c r="C646" s="28" t="n"/>
      <c r="D646" s="111" t="n"/>
      <c r="E646" s="111" t="n"/>
      <c r="F646" s="111" t="n"/>
      <c r="G646" s="28" t="n"/>
      <c r="H646" s="45" t="n"/>
      <c r="I646" s="45" t="n"/>
      <c r="J646" s="28">
        <f>IF(H646="","",IF(I646&gt;=H646,"Recebido",IF($B$4&gt;E646,"Vencido","Aberto")))</f>
        <v/>
      </c>
      <c r="K646" s="4">
        <f>IF(J646="","",IF(OR(J646="Recebido",F646=""),MAX(0,F646-E646),MAX(0,$B$4-E646)))</f>
        <v/>
      </c>
      <c r="L646" s="4">
        <f>IF(K646="","",IF(K646=0,"Em dia",IF(K646&lt;=30,"1-30 dias",IF(K646&lt;=60,"31-60 dias",IF(K646&lt;=90,"61-90 dias","&gt;90 dias")))))</f>
        <v/>
      </c>
      <c r="M646" s="28" t="n"/>
      <c r="N646" s="104" t="inlineStr"/>
      <c r="O646" s="64" t="n"/>
      <c r="P646" s="64">
        <f>IF(C646="","",IF(ISNUMBER(SEARCH("PCMSO",C646)),"PCMSO",IF(OR(ISNUMBER(SEARCH("E-SOCIAL",C646)),ISNUMBER(SEARCH("PSICOSOCIAL",C646))),"eSocial / Psicossocial",IF(O646="Receita recorrente","Carteira recorrente","Projetos / Laudos / Avulsos"))))</f>
        <v/>
      </c>
      <c r="Q646" s="64">
        <f>IF(P646="","",IF(P646="Carteira recorrente","Operação recorrente",IF(P646="PCMSO","Projetos PCMSO",IF(P646="eSocial / Psicossocial","Projetos eSocial/Psicossocial","Projetos / Laudos / Avulsos"))))</f>
        <v/>
      </c>
      <c r="R646" s="64">
        <f>IF(C646="","",IF(ISNUMBER(SEARCH("PCMSO",C646)),"Título com PCMSO no nome",IF(OR(ISNUMBER(SEARCH("E-SOCIAL",C646)),ISNUMBER(SEARCH("PSICOSOCIAL",C646))),"Título com eSocial/Psicossocial no nome",IF(O646="Receita recorrente","Tipo DRE recorrente","Extra sem palavra-chave específica"))))</f>
        <v/>
      </c>
      <c r="S646" s="92">
        <f>IFERROR(VLOOKUP($A646,'13. Mapa Títulos-Receita'!$A$8:$P$1000,4,FALSE),"")</f>
        <v/>
      </c>
      <c r="T646" s="92">
        <f>IFERROR(VLOOKUP($A646,'13. Mapa Títulos-Receita'!$A$8:$P$1000,5,FALSE),"")</f>
        <v/>
      </c>
      <c r="U646" s="92">
        <f>IFERROR(VLOOKUP($A646,'13. Mapa Títulos-Receita'!$A$8:$P$1000,6,FALSE),"")</f>
        <v/>
      </c>
      <c r="V646" s="92">
        <f>IFERROR(VLOOKUP($A646,'13. Mapa Títulos-Receita'!$A$8:$P$1000,7,FALSE),"")</f>
        <v/>
      </c>
      <c r="W646" s="92">
        <f>IFERROR(VLOOKUP($A646,'13. Mapa Títulos-Receita'!$A$8:$P$1000,8,FALSE),"")</f>
        <v/>
      </c>
      <c r="X646" s="92">
        <f>IFERROR(VLOOKUP($A646,'13. Mapa Títulos-Receita'!$A$8:$P$1000,9,FALSE),"")</f>
        <v/>
      </c>
      <c r="Y646" s="92">
        <f>IFERROR(VLOOKUP($A646,'13. Mapa Títulos-Receita'!$A$8:$P$1000,10,FALSE),"")</f>
        <v/>
      </c>
      <c r="Z646" s="92">
        <f>IFERROR(VLOOKUP($A646,'13. Mapa Títulos-Receita'!$A$8:$P$1000,11,FALSE),"")</f>
        <v/>
      </c>
      <c r="AA646" s="92">
        <f>IFERROR(VLOOKUP($A646,'13. Mapa Títulos-Receita'!$A$8:$P$1000,12,FALSE),"")</f>
        <v/>
      </c>
      <c r="AB646" s="92">
        <f>IFERROR(VLOOKUP($A646,'13. Mapa Títulos-Receita'!$A$8:$P$1000,13,FALSE),"")</f>
        <v/>
      </c>
      <c r="AC646" s="92">
        <f>IFERROR(VLOOKUP($A646,'13. Mapa Títulos-Receita'!$A$8:$P$1000,14,FALSE),"")</f>
        <v/>
      </c>
      <c r="AD646" s="92">
        <f>IFERROR(VLOOKUP($A646,'13. Mapa Títulos-Receita'!$A$8:$P$1000,15,FALSE),"")</f>
        <v/>
      </c>
      <c r="AE646" s="92">
        <f>IFERROR(VLOOKUP($A646,'13. Mapa Títulos-Receita'!$A$8:$P$1000,16,FALSE),"")</f>
        <v/>
      </c>
    </row>
    <row r="647">
      <c r="A647" s="28">
        <f>IF(C647="","", "CR-"&amp;TEXT(ROW()-7,"000"))</f>
        <v/>
      </c>
      <c r="B647" s="28" t="n"/>
      <c r="C647" s="28" t="n"/>
      <c r="D647" s="111" t="n"/>
      <c r="E647" s="111" t="n"/>
      <c r="F647" s="111" t="n"/>
      <c r="G647" s="28" t="n"/>
      <c r="H647" s="45" t="n"/>
      <c r="I647" s="45" t="n"/>
      <c r="J647" s="28">
        <f>IF(H647="","",IF(I647&gt;=H647,"Recebido",IF($B$4&gt;E647,"Vencido","Aberto")))</f>
        <v/>
      </c>
      <c r="K647" s="4">
        <f>IF(J647="","",IF(OR(J647="Recebido",F647=""),MAX(0,F647-E647),MAX(0,$B$4-E647)))</f>
        <v/>
      </c>
      <c r="L647" s="4">
        <f>IF(K647="","",IF(K647=0,"Em dia",IF(K647&lt;=30,"1-30 dias",IF(K647&lt;=60,"31-60 dias",IF(K647&lt;=90,"61-90 dias","&gt;90 dias")))))</f>
        <v/>
      </c>
      <c r="M647" s="28" t="n"/>
      <c r="N647" s="104" t="inlineStr"/>
      <c r="O647" s="64" t="n"/>
      <c r="P647" s="64">
        <f>IF(C647="","",IF(ISNUMBER(SEARCH("PCMSO",C647)),"PCMSO",IF(OR(ISNUMBER(SEARCH("E-SOCIAL",C647)),ISNUMBER(SEARCH("PSICOSOCIAL",C647))),"eSocial / Psicossocial",IF(O647="Receita recorrente","Carteira recorrente","Projetos / Laudos / Avulsos"))))</f>
        <v/>
      </c>
      <c r="Q647" s="64">
        <f>IF(P647="","",IF(P647="Carteira recorrente","Operação recorrente",IF(P647="PCMSO","Projetos PCMSO",IF(P647="eSocial / Psicossocial","Projetos eSocial/Psicossocial","Projetos / Laudos / Avulsos"))))</f>
        <v/>
      </c>
      <c r="R647" s="64">
        <f>IF(C647="","",IF(ISNUMBER(SEARCH("PCMSO",C647)),"Título com PCMSO no nome",IF(OR(ISNUMBER(SEARCH("E-SOCIAL",C647)),ISNUMBER(SEARCH("PSICOSOCIAL",C647))),"Título com eSocial/Psicossocial no nome",IF(O647="Receita recorrente","Tipo DRE recorrente","Extra sem palavra-chave específica"))))</f>
        <v/>
      </c>
      <c r="S647" s="92">
        <f>IFERROR(VLOOKUP($A647,'13. Mapa Títulos-Receita'!$A$8:$P$1000,4,FALSE),"")</f>
        <v/>
      </c>
      <c r="T647" s="92">
        <f>IFERROR(VLOOKUP($A647,'13. Mapa Títulos-Receita'!$A$8:$P$1000,5,FALSE),"")</f>
        <v/>
      </c>
      <c r="U647" s="92">
        <f>IFERROR(VLOOKUP($A647,'13. Mapa Títulos-Receita'!$A$8:$P$1000,6,FALSE),"")</f>
        <v/>
      </c>
      <c r="V647" s="92">
        <f>IFERROR(VLOOKUP($A647,'13. Mapa Títulos-Receita'!$A$8:$P$1000,7,FALSE),"")</f>
        <v/>
      </c>
      <c r="W647" s="92">
        <f>IFERROR(VLOOKUP($A647,'13. Mapa Títulos-Receita'!$A$8:$P$1000,8,FALSE),"")</f>
        <v/>
      </c>
      <c r="X647" s="92">
        <f>IFERROR(VLOOKUP($A647,'13. Mapa Títulos-Receita'!$A$8:$P$1000,9,FALSE),"")</f>
        <v/>
      </c>
      <c r="Y647" s="92">
        <f>IFERROR(VLOOKUP($A647,'13. Mapa Títulos-Receita'!$A$8:$P$1000,10,FALSE),"")</f>
        <v/>
      </c>
      <c r="Z647" s="92">
        <f>IFERROR(VLOOKUP($A647,'13. Mapa Títulos-Receita'!$A$8:$P$1000,11,FALSE),"")</f>
        <v/>
      </c>
      <c r="AA647" s="92">
        <f>IFERROR(VLOOKUP($A647,'13. Mapa Títulos-Receita'!$A$8:$P$1000,12,FALSE),"")</f>
        <v/>
      </c>
      <c r="AB647" s="92">
        <f>IFERROR(VLOOKUP($A647,'13. Mapa Títulos-Receita'!$A$8:$P$1000,13,FALSE),"")</f>
        <v/>
      </c>
      <c r="AC647" s="92">
        <f>IFERROR(VLOOKUP($A647,'13. Mapa Títulos-Receita'!$A$8:$P$1000,14,FALSE),"")</f>
        <v/>
      </c>
      <c r="AD647" s="92">
        <f>IFERROR(VLOOKUP($A647,'13. Mapa Títulos-Receita'!$A$8:$P$1000,15,FALSE),"")</f>
        <v/>
      </c>
      <c r="AE647" s="92">
        <f>IFERROR(VLOOKUP($A647,'13. Mapa Títulos-Receita'!$A$8:$P$1000,16,FALSE),"")</f>
        <v/>
      </c>
    </row>
    <row r="648">
      <c r="A648" s="28">
        <f>IF(C648="","", "CR-"&amp;TEXT(ROW()-7,"000"))</f>
        <v/>
      </c>
      <c r="B648" s="28" t="n"/>
      <c r="C648" s="28" t="n"/>
      <c r="D648" s="111" t="n"/>
      <c r="E648" s="111" t="n"/>
      <c r="F648" s="111" t="n"/>
      <c r="G648" s="28" t="n"/>
      <c r="H648" s="45" t="n"/>
      <c r="I648" s="45" t="n"/>
      <c r="J648" s="28">
        <f>IF(H648="","",IF(I648&gt;=H648,"Recebido",IF($B$4&gt;E648,"Vencido","Aberto")))</f>
        <v/>
      </c>
      <c r="K648" s="4">
        <f>IF(J648="","",IF(OR(J648="Recebido",F648=""),MAX(0,F648-E648),MAX(0,$B$4-E648)))</f>
        <v/>
      </c>
      <c r="L648" s="4">
        <f>IF(K648="","",IF(K648=0,"Em dia",IF(K648&lt;=30,"1-30 dias",IF(K648&lt;=60,"31-60 dias",IF(K648&lt;=90,"61-90 dias","&gt;90 dias")))))</f>
        <v/>
      </c>
      <c r="M648" s="28" t="n"/>
      <c r="N648" s="104" t="inlineStr"/>
      <c r="O648" s="64" t="n"/>
      <c r="P648" s="64">
        <f>IF(C648="","",IF(ISNUMBER(SEARCH("PCMSO",C648)),"PCMSO",IF(OR(ISNUMBER(SEARCH("E-SOCIAL",C648)),ISNUMBER(SEARCH("PSICOSOCIAL",C648))),"eSocial / Psicossocial",IF(O648="Receita recorrente","Carteira recorrente","Projetos / Laudos / Avulsos"))))</f>
        <v/>
      </c>
      <c r="Q648" s="64">
        <f>IF(P648="","",IF(P648="Carteira recorrente","Operação recorrente",IF(P648="PCMSO","Projetos PCMSO",IF(P648="eSocial / Psicossocial","Projetos eSocial/Psicossocial","Projetos / Laudos / Avulsos"))))</f>
        <v/>
      </c>
      <c r="R648" s="64">
        <f>IF(C648="","",IF(ISNUMBER(SEARCH("PCMSO",C648)),"Título com PCMSO no nome",IF(OR(ISNUMBER(SEARCH("E-SOCIAL",C648)),ISNUMBER(SEARCH("PSICOSOCIAL",C648))),"Título com eSocial/Psicossocial no nome",IF(O648="Receita recorrente","Tipo DRE recorrente","Extra sem palavra-chave específica"))))</f>
        <v/>
      </c>
      <c r="S648" s="92">
        <f>IFERROR(VLOOKUP($A648,'13. Mapa Títulos-Receita'!$A$8:$P$1000,4,FALSE),"")</f>
        <v/>
      </c>
      <c r="T648" s="92">
        <f>IFERROR(VLOOKUP($A648,'13. Mapa Títulos-Receita'!$A$8:$P$1000,5,FALSE),"")</f>
        <v/>
      </c>
      <c r="U648" s="92">
        <f>IFERROR(VLOOKUP($A648,'13. Mapa Títulos-Receita'!$A$8:$P$1000,6,FALSE),"")</f>
        <v/>
      </c>
      <c r="V648" s="92">
        <f>IFERROR(VLOOKUP($A648,'13. Mapa Títulos-Receita'!$A$8:$P$1000,7,FALSE),"")</f>
        <v/>
      </c>
      <c r="W648" s="92">
        <f>IFERROR(VLOOKUP($A648,'13. Mapa Títulos-Receita'!$A$8:$P$1000,8,FALSE),"")</f>
        <v/>
      </c>
      <c r="X648" s="92">
        <f>IFERROR(VLOOKUP($A648,'13. Mapa Títulos-Receita'!$A$8:$P$1000,9,FALSE),"")</f>
        <v/>
      </c>
      <c r="Y648" s="92">
        <f>IFERROR(VLOOKUP($A648,'13. Mapa Títulos-Receita'!$A$8:$P$1000,10,FALSE),"")</f>
        <v/>
      </c>
      <c r="Z648" s="92">
        <f>IFERROR(VLOOKUP($A648,'13. Mapa Títulos-Receita'!$A$8:$P$1000,11,FALSE),"")</f>
        <v/>
      </c>
      <c r="AA648" s="92">
        <f>IFERROR(VLOOKUP($A648,'13. Mapa Títulos-Receita'!$A$8:$P$1000,12,FALSE),"")</f>
        <v/>
      </c>
      <c r="AB648" s="92">
        <f>IFERROR(VLOOKUP($A648,'13. Mapa Títulos-Receita'!$A$8:$P$1000,13,FALSE),"")</f>
        <v/>
      </c>
      <c r="AC648" s="92">
        <f>IFERROR(VLOOKUP($A648,'13. Mapa Títulos-Receita'!$A$8:$P$1000,14,FALSE),"")</f>
        <v/>
      </c>
      <c r="AD648" s="92">
        <f>IFERROR(VLOOKUP($A648,'13. Mapa Títulos-Receita'!$A$8:$P$1000,15,FALSE),"")</f>
        <v/>
      </c>
      <c r="AE648" s="92">
        <f>IFERROR(VLOOKUP($A648,'13. Mapa Títulos-Receita'!$A$8:$P$1000,16,FALSE),"")</f>
        <v/>
      </c>
    </row>
    <row r="649">
      <c r="A649" s="28">
        <f>IF(C649="","", "CR-"&amp;TEXT(ROW()-7,"000"))</f>
        <v/>
      </c>
      <c r="B649" s="28" t="n"/>
      <c r="C649" s="28" t="n"/>
      <c r="D649" s="111" t="n"/>
      <c r="E649" s="111" t="n"/>
      <c r="F649" s="111" t="n"/>
      <c r="G649" s="28" t="n"/>
      <c r="H649" s="45" t="n"/>
      <c r="I649" s="45" t="n"/>
      <c r="J649" s="28">
        <f>IF(H649="","",IF(I649&gt;=H649,"Recebido",IF($B$4&gt;E649,"Vencido","Aberto")))</f>
        <v/>
      </c>
      <c r="K649" s="4">
        <f>IF(J649="","",IF(OR(J649="Recebido",F649=""),MAX(0,F649-E649),MAX(0,$B$4-E649)))</f>
        <v/>
      </c>
      <c r="L649" s="4">
        <f>IF(K649="","",IF(K649=0,"Em dia",IF(K649&lt;=30,"1-30 dias",IF(K649&lt;=60,"31-60 dias",IF(K649&lt;=90,"61-90 dias","&gt;90 dias")))))</f>
        <v/>
      </c>
      <c r="M649" s="28" t="n"/>
      <c r="N649" s="104" t="inlineStr"/>
      <c r="O649" s="64" t="n"/>
      <c r="P649" s="64">
        <f>IF(C649="","",IF(ISNUMBER(SEARCH("PCMSO",C649)),"PCMSO",IF(OR(ISNUMBER(SEARCH("E-SOCIAL",C649)),ISNUMBER(SEARCH("PSICOSOCIAL",C649))),"eSocial / Psicossocial",IF(O649="Receita recorrente","Carteira recorrente","Projetos / Laudos / Avulsos"))))</f>
        <v/>
      </c>
      <c r="Q649" s="64">
        <f>IF(P649="","",IF(P649="Carteira recorrente","Operação recorrente",IF(P649="PCMSO","Projetos PCMSO",IF(P649="eSocial / Psicossocial","Projetos eSocial/Psicossocial","Projetos / Laudos / Avulsos"))))</f>
        <v/>
      </c>
      <c r="R649" s="64">
        <f>IF(C649="","",IF(ISNUMBER(SEARCH("PCMSO",C649)),"Título com PCMSO no nome",IF(OR(ISNUMBER(SEARCH("E-SOCIAL",C649)),ISNUMBER(SEARCH("PSICOSOCIAL",C649))),"Título com eSocial/Psicossocial no nome",IF(O649="Receita recorrente","Tipo DRE recorrente","Extra sem palavra-chave específica"))))</f>
        <v/>
      </c>
      <c r="S649" s="92">
        <f>IFERROR(VLOOKUP($A649,'13. Mapa Títulos-Receita'!$A$8:$P$1000,4,FALSE),"")</f>
        <v/>
      </c>
      <c r="T649" s="92">
        <f>IFERROR(VLOOKUP($A649,'13. Mapa Títulos-Receita'!$A$8:$P$1000,5,FALSE),"")</f>
        <v/>
      </c>
      <c r="U649" s="92">
        <f>IFERROR(VLOOKUP($A649,'13. Mapa Títulos-Receita'!$A$8:$P$1000,6,FALSE),"")</f>
        <v/>
      </c>
      <c r="V649" s="92">
        <f>IFERROR(VLOOKUP($A649,'13. Mapa Títulos-Receita'!$A$8:$P$1000,7,FALSE),"")</f>
        <v/>
      </c>
      <c r="W649" s="92">
        <f>IFERROR(VLOOKUP($A649,'13. Mapa Títulos-Receita'!$A$8:$P$1000,8,FALSE),"")</f>
        <v/>
      </c>
      <c r="X649" s="92">
        <f>IFERROR(VLOOKUP($A649,'13. Mapa Títulos-Receita'!$A$8:$P$1000,9,FALSE),"")</f>
        <v/>
      </c>
      <c r="Y649" s="92">
        <f>IFERROR(VLOOKUP($A649,'13. Mapa Títulos-Receita'!$A$8:$P$1000,10,FALSE),"")</f>
        <v/>
      </c>
      <c r="Z649" s="92">
        <f>IFERROR(VLOOKUP($A649,'13. Mapa Títulos-Receita'!$A$8:$P$1000,11,FALSE),"")</f>
        <v/>
      </c>
      <c r="AA649" s="92">
        <f>IFERROR(VLOOKUP($A649,'13. Mapa Títulos-Receita'!$A$8:$P$1000,12,FALSE),"")</f>
        <v/>
      </c>
      <c r="AB649" s="92">
        <f>IFERROR(VLOOKUP($A649,'13. Mapa Títulos-Receita'!$A$8:$P$1000,13,FALSE),"")</f>
        <v/>
      </c>
      <c r="AC649" s="92">
        <f>IFERROR(VLOOKUP($A649,'13. Mapa Títulos-Receita'!$A$8:$P$1000,14,FALSE),"")</f>
        <v/>
      </c>
      <c r="AD649" s="92">
        <f>IFERROR(VLOOKUP($A649,'13. Mapa Títulos-Receita'!$A$8:$P$1000,15,FALSE),"")</f>
        <v/>
      </c>
      <c r="AE649" s="92">
        <f>IFERROR(VLOOKUP($A649,'13. Mapa Títulos-Receita'!$A$8:$P$1000,16,FALSE),"")</f>
        <v/>
      </c>
    </row>
    <row r="650">
      <c r="A650" s="28">
        <f>IF(C650="","", "CR-"&amp;TEXT(ROW()-7,"000"))</f>
        <v/>
      </c>
      <c r="B650" s="28" t="n"/>
      <c r="C650" s="28" t="n"/>
      <c r="D650" s="111" t="n"/>
      <c r="E650" s="111" t="n"/>
      <c r="F650" s="111" t="n"/>
      <c r="G650" s="28" t="n"/>
      <c r="H650" s="45" t="n"/>
      <c r="I650" s="45" t="n"/>
      <c r="J650" s="28">
        <f>IF(H650="","",IF(I650&gt;=H650,"Recebido",IF($B$4&gt;E650,"Vencido","Aberto")))</f>
        <v/>
      </c>
      <c r="K650" s="4">
        <f>IF(J650="","",IF(OR(J650="Recebido",F650=""),MAX(0,F650-E650),MAX(0,$B$4-E650)))</f>
        <v/>
      </c>
      <c r="L650" s="4">
        <f>IF(K650="","",IF(K650=0,"Em dia",IF(K650&lt;=30,"1-30 dias",IF(K650&lt;=60,"31-60 dias",IF(K650&lt;=90,"61-90 dias","&gt;90 dias")))))</f>
        <v/>
      </c>
      <c r="M650" s="28" t="n"/>
      <c r="N650" s="104" t="inlineStr"/>
      <c r="O650" s="64" t="n"/>
      <c r="P650" s="64">
        <f>IF(C650="","",IF(ISNUMBER(SEARCH("PCMSO",C650)),"PCMSO",IF(OR(ISNUMBER(SEARCH("E-SOCIAL",C650)),ISNUMBER(SEARCH("PSICOSOCIAL",C650))),"eSocial / Psicossocial",IF(O650="Receita recorrente","Carteira recorrente","Projetos / Laudos / Avulsos"))))</f>
        <v/>
      </c>
      <c r="Q650" s="64">
        <f>IF(P650="","",IF(P650="Carteira recorrente","Operação recorrente",IF(P650="PCMSO","Projetos PCMSO",IF(P650="eSocial / Psicossocial","Projetos eSocial/Psicossocial","Projetos / Laudos / Avulsos"))))</f>
        <v/>
      </c>
      <c r="R650" s="64">
        <f>IF(C650="","",IF(ISNUMBER(SEARCH("PCMSO",C650)),"Título com PCMSO no nome",IF(OR(ISNUMBER(SEARCH("E-SOCIAL",C650)),ISNUMBER(SEARCH("PSICOSOCIAL",C650))),"Título com eSocial/Psicossocial no nome",IF(O650="Receita recorrente","Tipo DRE recorrente","Extra sem palavra-chave específica"))))</f>
        <v/>
      </c>
      <c r="S650" s="92">
        <f>IFERROR(VLOOKUP($A650,'13. Mapa Títulos-Receita'!$A$8:$P$1000,4,FALSE),"")</f>
        <v/>
      </c>
      <c r="T650" s="92">
        <f>IFERROR(VLOOKUP($A650,'13. Mapa Títulos-Receita'!$A$8:$P$1000,5,FALSE),"")</f>
        <v/>
      </c>
      <c r="U650" s="92">
        <f>IFERROR(VLOOKUP($A650,'13. Mapa Títulos-Receita'!$A$8:$P$1000,6,FALSE),"")</f>
        <v/>
      </c>
      <c r="V650" s="92">
        <f>IFERROR(VLOOKUP($A650,'13. Mapa Títulos-Receita'!$A$8:$P$1000,7,FALSE),"")</f>
        <v/>
      </c>
      <c r="W650" s="92">
        <f>IFERROR(VLOOKUP($A650,'13. Mapa Títulos-Receita'!$A$8:$P$1000,8,FALSE),"")</f>
        <v/>
      </c>
      <c r="X650" s="92">
        <f>IFERROR(VLOOKUP($A650,'13. Mapa Títulos-Receita'!$A$8:$P$1000,9,FALSE),"")</f>
        <v/>
      </c>
      <c r="Y650" s="92">
        <f>IFERROR(VLOOKUP($A650,'13. Mapa Títulos-Receita'!$A$8:$P$1000,10,FALSE),"")</f>
        <v/>
      </c>
      <c r="Z650" s="92">
        <f>IFERROR(VLOOKUP($A650,'13. Mapa Títulos-Receita'!$A$8:$P$1000,11,FALSE),"")</f>
        <v/>
      </c>
      <c r="AA650" s="92">
        <f>IFERROR(VLOOKUP($A650,'13. Mapa Títulos-Receita'!$A$8:$P$1000,12,FALSE),"")</f>
        <v/>
      </c>
      <c r="AB650" s="92">
        <f>IFERROR(VLOOKUP($A650,'13. Mapa Títulos-Receita'!$A$8:$P$1000,13,FALSE),"")</f>
        <v/>
      </c>
      <c r="AC650" s="92">
        <f>IFERROR(VLOOKUP($A650,'13. Mapa Títulos-Receita'!$A$8:$P$1000,14,FALSE),"")</f>
        <v/>
      </c>
      <c r="AD650" s="92">
        <f>IFERROR(VLOOKUP($A650,'13. Mapa Títulos-Receita'!$A$8:$P$1000,15,FALSE),"")</f>
        <v/>
      </c>
      <c r="AE650" s="92">
        <f>IFERROR(VLOOKUP($A650,'13. Mapa Títulos-Receita'!$A$8:$P$1000,16,FALSE),"")</f>
        <v/>
      </c>
    </row>
    <row r="651">
      <c r="A651" s="28">
        <f>IF(C651="","", "CR-"&amp;TEXT(ROW()-7,"000"))</f>
        <v/>
      </c>
      <c r="B651" s="28" t="n"/>
      <c r="C651" s="28" t="n"/>
      <c r="D651" s="111" t="n"/>
      <c r="E651" s="111" t="n"/>
      <c r="F651" s="111" t="n"/>
      <c r="G651" s="28" t="n"/>
      <c r="H651" s="45" t="n"/>
      <c r="I651" s="45" t="n"/>
      <c r="J651" s="28">
        <f>IF(H651="","",IF(I651&gt;=H651,"Recebido",IF($B$4&gt;E651,"Vencido","Aberto")))</f>
        <v/>
      </c>
      <c r="K651" s="4">
        <f>IF(J651="","",IF(OR(J651="Recebido",F651=""),MAX(0,F651-E651),MAX(0,$B$4-E651)))</f>
        <v/>
      </c>
      <c r="L651" s="4">
        <f>IF(K651="","",IF(K651=0,"Em dia",IF(K651&lt;=30,"1-30 dias",IF(K651&lt;=60,"31-60 dias",IF(K651&lt;=90,"61-90 dias","&gt;90 dias")))))</f>
        <v/>
      </c>
      <c r="M651" s="28" t="n"/>
      <c r="N651" s="104" t="inlineStr"/>
      <c r="O651" s="64" t="n"/>
      <c r="P651" s="64">
        <f>IF(C651="","",IF(ISNUMBER(SEARCH("PCMSO",C651)),"PCMSO",IF(OR(ISNUMBER(SEARCH("E-SOCIAL",C651)),ISNUMBER(SEARCH("PSICOSOCIAL",C651))),"eSocial / Psicossocial",IF(O651="Receita recorrente","Carteira recorrente","Projetos / Laudos / Avulsos"))))</f>
        <v/>
      </c>
      <c r="Q651" s="64">
        <f>IF(P651="","",IF(P651="Carteira recorrente","Operação recorrente",IF(P651="PCMSO","Projetos PCMSO",IF(P651="eSocial / Psicossocial","Projetos eSocial/Psicossocial","Projetos / Laudos / Avulsos"))))</f>
        <v/>
      </c>
      <c r="R651" s="64">
        <f>IF(C651="","",IF(ISNUMBER(SEARCH("PCMSO",C651)),"Título com PCMSO no nome",IF(OR(ISNUMBER(SEARCH("E-SOCIAL",C651)),ISNUMBER(SEARCH("PSICOSOCIAL",C651))),"Título com eSocial/Psicossocial no nome",IF(O651="Receita recorrente","Tipo DRE recorrente","Extra sem palavra-chave específica"))))</f>
        <v/>
      </c>
      <c r="S651" s="92">
        <f>IFERROR(VLOOKUP($A651,'13. Mapa Títulos-Receita'!$A$8:$P$1000,4,FALSE),"")</f>
        <v/>
      </c>
      <c r="T651" s="92">
        <f>IFERROR(VLOOKUP($A651,'13. Mapa Títulos-Receita'!$A$8:$P$1000,5,FALSE),"")</f>
        <v/>
      </c>
      <c r="U651" s="92">
        <f>IFERROR(VLOOKUP($A651,'13. Mapa Títulos-Receita'!$A$8:$P$1000,6,FALSE),"")</f>
        <v/>
      </c>
      <c r="V651" s="92">
        <f>IFERROR(VLOOKUP($A651,'13. Mapa Títulos-Receita'!$A$8:$P$1000,7,FALSE),"")</f>
        <v/>
      </c>
      <c r="W651" s="92">
        <f>IFERROR(VLOOKUP($A651,'13. Mapa Títulos-Receita'!$A$8:$P$1000,8,FALSE),"")</f>
        <v/>
      </c>
      <c r="X651" s="92">
        <f>IFERROR(VLOOKUP($A651,'13. Mapa Títulos-Receita'!$A$8:$P$1000,9,FALSE),"")</f>
        <v/>
      </c>
      <c r="Y651" s="92">
        <f>IFERROR(VLOOKUP($A651,'13. Mapa Títulos-Receita'!$A$8:$P$1000,10,FALSE),"")</f>
        <v/>
      </c>
      <c r="Z651" s="92">
        <f>IFERROR(VLOOKUP($A651,'13. Mapa Títulos-Receita'!$A$8:$P$1000,11,FALSE),"")</f>
        <v/>
      </c>
      <c r="AA651" s="92">
        <f>IFERROR(VLOOKUP($A651,'13. Mapa Títulos-Receita'!$A$8:$P$1000,12,FALSE),"")</f>
        <v/>
      </c>
      <c r="AB651" s="92">
        <f>IFERROR(VLOOKUP($A651,'13. Mapa Títulos-Receita'!$A$8:$P$1000,13,FALSE),"")</f>
        <v/>
      </c>
      <c r="AC651" s="92">
        <f>IFERROR(VLOOKUP($A651,'13. Mapa Títulos-Receita'!$A$8:$P$1000,14,FALSE),"")</f>
        <v/>
      </c>
      <c r="AD651" s="92">
        <f>IFERROR(VLOOKUP($A651,'13. Mapa Títulos-Receita'!$A$8:$P$1000,15,FALSE),"")</f>
        <v/>
      </c>
      <c r="AE651" s="92">
        <f>IFERROR(VLOOKUP($A651,'13. Mapa Títulos-Receita'!$A$8:$P$1000,16,FALSE),"")</f>
        <v/>
      </c>
    </row>
    <row r="652">
      <c r="A652" s="28">
        <f>IF(C652="","", "CR-"&amp;TEXT(ROW()-7,"000"))</f>
        <v/>
      </c>
      <c r="B652" s="28" t="n"/>
      <c r="C652" s="28" t="n"/>
      <c r="D652" s="111" t="n"/>
      <c r="E652" s="111" t="n"/>
      <c r="F652" s="111" t="n"/>
      <c r="G652" s="28" t="n"/>
      <c r="H652" s="45" t="n"/>
      <c r="I652" s="45" t="n"/>
      <c r="J652" s="28">
        <f>IF(H652="","",IF(I652&gt;=H652,"Recebido",IF($B$4&gt;E652,"Vencido","Aberto")))</f>
        <v/>
      </c>
      <c r="K652" s="4">
        <f>IF(J652="","",IF(OR(J652="Recebido",F652=""),MAX(0,F652-E652),MAX(0,$B$4-E652)))</f>
        <v/>
      </c>
      <c r="L652" s="4">
        <f>IF(K652="","",IF(K652=0,"Em dia",IF(K652&lt;=30,"1-30 dias",IF(K652&lt;=60,"31-60 dias",IF(K652&lt;=90,"61-90 dias","&gt;90 dias")))))</f>
        <v/>
      </c>
      <c r="M652" s="28" t="n"/>
      <c r="N652" s="104" t="inlineStr"/>
      <c r="O652" s="64" t="n"/>
      <c r="P652" s="64">
        <f>IF(C652="","",IF(ISNUMBER(SEARCH("PCMSO",C652)),"PCMSO",IF(OR(ISNUMBER(SEARCH("E-SOCIAL",C652)),ISNUMBER(SEARCH("PSICOSOCIAL",C652))),"eSocial / Psicossocial",IF(O652="Receita recorrente","Carteira recorrente","Projetos / Laudos / Avulsos"))))</f>
        <v/>
      </c>
      <c r="Q652" s="64">
        <f>IF(P652="","",IF(P652="Carteira recorrente","Operação recorrente",IF(P652="PCMSO","Projetos PCMSO",IF(P652="eSocial / Psicossocial","Projetos eSocial/Psicossocial","Projetos / Laudos / Avulsos"))))</f>
        <v/>
      </c>
      <c r="R652" s="64">
        <f>IF(C652="","",IF(ISNUMBER(SEARCH("PCMSO",C652)),"Título com PCMSO no nome",IF(OR(ISNUMBER(SEARCH("E-SOCIAL",C652)),ISNUMBER(SEARCH("PSICOSOCIAL",C652))),"Título com eSocial/Psicossocial no nome",IF(O652="Receita recorrente","Tipo DRE recorrente","Extra sem palavra-chave específica"))))</f>
        <v/>
      </c>
      <c r="S652" s="92">
        <f>IFERROR(VLOOKUP($A652,'13. Mapa Títulos-Receita'!$A$8:$P$1000,4,FALSE),"")</f>
        <v/>
      </c>
      <c r="T652" s="92">
        <f>IFERROR(VLOOKUP($A652,'13. Mapa Títulos-Receita'!$A$8:$P$1000,5,FALSE),"")</f>
        <v/>
      </c>
      <c r="U652" s="92">
        <f>IFERROR(VLOOKUP($A652,'13. Mapa Títulos-Receita'!$A$8:$P$1000,6,FALSE),"")</f>
        <v/>
      </c>
      <c r="V652" s="92">
        <f>IFERROR(VLOOKUP($A652,'13. Mapa Títulos-Receita'!$A$8:$P$1000,7,FALSE),"")</f>
        <v/>
      </c>
      <c r="W652" s="92">
        <f>IFERROR(VLOOKUP($A652,'13. Mapa Títulos-Receita'!$A$8:$P$1000,8,FALSE),"")</f>
        <v/>
      </c>
      <c r="X652" s="92">
        <f>IFERROR(VLOOKUP($A652,'13. Mapa Títulos-Receita'!$A$8:$P$1000,9,FALSE),"")</f>
        <v/>
      </c>
      <c r="Y652" s="92">
        <f>IFERROR(VLOOKUP($A652,'13. Mapa Títulos-Receita'!$A$8:$P$1000,10,FALSE),"")</f>
        <v/>
      </c>
      <c r="Z652" s="92">
        <f>IFERROR(VLOOKUP($A652,'13. Mapa Títulos-Receita'!$A$8:$P$1000,11,FALSE),"")</f>
        <v/>
      </c>
      <c r="AA652" s="92">
        <f>IFERROR(VLOOKUP($A652,'13. Mapa Títulos-Receita'!$A$8:$P$1000,12,FALSE),"")</f>
        <v/>
      </c>
      <c r="AB652" s="92">
        <f>IFERROR(VLOOKUP($A652,'13. Mapa Títulos-Receita'!$A$8:$P$1000,13,FALSE),"")</f>
        <v/>
      </c>
      <c r="AC652" s="92">
        <f>IFERROR(VLOOKUP($A652,'13. Mapa Títulos-Receita'!$A$8:$P$1000,14,FALSE),"")</f>
        <v/>
      </c>
      <c r="AD652" s="92">
        <f>IFERROR(VLOOKUP($A652,'13. Mapa Títulos-Receita'!$A$8:$P$1000,15,FALSE),"")</f>
        <v/>
      </c>
      <c r="AE652" s="92">
        <f>IFERROR(VLOOKUP($A652,'13. Mapa Títulos-Receita'!$A$8:$P$1000,16,FALSE),"")</f>
        <v/>
      </c>
    </row>
    <row r="653">
      <c r="A653" s="28">
        <f>IF(C653="","", "CR-"&amp;TEXT(ROW()-7,"000"))</f>
        <v/>
      </c>
      <c r="B653" s="28" t="n"/>
      <c r="C653" s="28" t="n"/>
      <c r="D653" s="111" t="n"/>
      <c r="E653" s="111" t="n"/>
      <c r="F653" s="111" t="n"/>
      <c r="G653" s="28" t="n"/>
      <c r="H653" s="45" t="n"/>
      <c r="I653" s="45" t="n"/>
      <c r="J653" s="28">
        <f>IF(H653="","",IF(I653&gt;=H653,"Recebido",IF($B$4&gt;E653,"Vencido","Aberto")))</f>
        <v/>
      </c>
      <c r="K653" s="4">
        <f>IF(J653="","",IF(OR(J653="Recebido",F653=""),MAX(0,F653-E653),MAX(0,$B$4-E653)))</f>
        <v/>
      </c>
      <c r="L653" s="4">
        <f>IF(K653="","",IF(K653=0,"Em dia",IF(K653&lt;=30,"1-30 dias",IF(K653&lt;=60,"31-60 dias",IF(K653&lt;=90,"61-90 dias","&gt;90 dias")))))</f>
        <v/>
      </c>
      <c r="M653" s="28" t="n"/>
      <c r="N653" s="104" t="inlineStr"/>
      <c r="O653" s="64" t="n"/>
      <c r="P653" s="64">
        <f>IF(C653="","",IF(ISNUMBER(SEARCH("PCMSO",C653)),"PCMSO",IF(OR(ISNUMBER(SEARCH("E-SOCIAL",C653)),ISNUMBER(SEARCH("PSICOSOCIAL",C653))),"eSocial / Psicossocial",IF(O653="Receita recorrente","Carteira recorrente","Projetos / Laudos / Avulsos"))))</f>
        <v/>
      </c>
      <c r="Q653" s="64">
        <f>IF(P653="","",IF(P653="Carteira recorrente","Operação recorrente",IF(P653="PCMSO","Projetos PCMSO",IF(P653="eSocial / Psicossocial","Projetos eSocial/Psicossocial","Projetos / Laudos / Avulsos"))))</f>
        <v/>
      </c>
      <c r="R653" s="64">
        <f>IF(C653="","",IF(ISNUMBER(SEARCH("PCMSO",C653)),"Título com PCMSO no nome",IF(OR(ISNUMBER(SEARCH("E-SOCIAL",C653)),ISNUMBER(SEARCH("PSICOSOCIAL",C653))),"Título com eSocial/Psicossocial no nome",IF(O653="Receita recorrente","Tipo DRE recorrente","Extra sem palavra-chave específica"))))</f>
        <v/>
      </c>
      <c r="S653" s="92">
        <f>IFERROR(VLOOKUP($A653,'13. Mapa Títulos-Receita'!$A$8:$P$1000,4,FALSE),"")</f>
        <v/>
      </c>
      <c r="T653" s="92">
        <f>IFERROR(VLOOKUP($A653,'13. Mapa Títulos-Receita'!$A$8:$P$1000,5,FALSE),"")</f>
        <v/>
      </c>
      <c r="U653" s="92">
        <f>IFERROR(VLOOKUP($A653,'13. Mapa Títulos-Receita'!$A$8:$P$1000,6,FALSE),"")</f>
        <v/>
      </c>
      <c r="V653" s="92">
        <f>IFERROR(VLOOKUP($A653,'13. Mapa Títulos-Receita'!$A$8:$P$1000,7,FALSE),"")</f>
        <v/>
      </c>
      <c r="W653" s="92">
        <f>IFERROR(VLOOKUP($A653,'13. Mapa Títulos-Receita'!$A$8:$P$1000,8,FALSE),"")</f>
        <v/>
      </c>
      <c r="X653" s="92">
        <f>IFERROR(VLOOKUP($A653,'13. Mapa Títulos-Receita'!$A$8:$P$1000,9,FALSE),"")</f>
        <v/>
      </c>
      <c r="Y653" s="92">
        <f>IFERROR(VLOOKUP($A653,'13. Mapa Títulos-Receita'!$A$8:$P$1000,10,FALSE),"")</f>
        <v/>
      </c>
      <c r="Z653" s="92">
        <f>IFERROR(VLOOKUP($A653,'13. Mapa Títulos-Receita'!$A$8:$P$1000,11,FALSE),"")</f>
        <v/>
      </c>
      <c r="AA653" s="92">
        <f>IFERROR(VLOOKUP($A653,'13. Mapa Títulos-Receita'!$A$8:$P$1000,12,FALSE),"")</f>
        <v/>
      </c>
      <c r="AB653" s="92">
        <f>IFERROR(VLOOKUP($A653,'13. Mapa Títulos-Receita'!$A$8:$P$1000,13,FALSE),"")</f>
        <v/>
      </c>
      <c r="AC653" s="92">
        <f>IFERROR(VLOOKUP($A653,'13. Mapa Títulos-Receita'!$A$8:$P$1000,14,FALSE),"")</f>
        <v/>
      </c>
      <c r="AD653" s="92">
        <f>IFERROR(VLOOKUP($A653,'13. Mapa Títulos-Receita'!$A$8:$P$1000,15,FALSE),"")</f>
        <v/>
      </c>
      <c r="AE653" s="92">
        <f>IFERROR(VLOOKUP($A653,'13. Mapa Títulos-Receita'!$A$8:$P$1000,16,FALSE),"")</f>
        <v/>
      </c>
    </row>
    <row r="654">
      <c r="A654" s="28">
        <f>IF(C654="","", "CR-"&amp;TEXT(ROW()-7,"000"))</f>
        <v/>
      </c>
      <c r="B654" s="28" t="n"/>
      <c r="C654" s="28" t="n"/>
      <c r="D654" s="111" t="n"/>
      <c r="E654" s="111" t="n"/>
      <c r="F654" s="111" t="n"/>
      <c r="G654" s="28" t="n"/>
      <c r="H654" s="45" t="n"/>
      <c r="I654" s="45" t="n"/>
      <c r="J654" s="28">
        <f>IF(H654="","",IF(I654&gt;=H654,"Recebido",IF($B$4&gt;E654,"Vencido","Aberto")))</f>
        <v/>
      </c>
      <c r="K654" s="4">
        <f>IF(J654="","",IF(OR(J654="Recebido",F654=""),MAX(0,F654-E654),MAX(0,$B$4-E654)))</f>
        <v/>
      </c>
      <c r="L654" s="4">
        <f>IF(K654="","",IF(K654=0,"Em dia",IF(K654&lt;=30,"1-30 dias",IF(K654&lt;=60,"31-60 dias",IF(K654&lt;=90,"61-90 dias","&gt;90 dias")))))</f>
        <v/>
      </c>
      <c r="M654" s="28" t="n"/>
      <c r="N654" s="104" t="inlineStr"/>
      <c r="O654" s="64" t="n"/>
      <c r="P654" s="64">
        <f>IF(C654="","",IF(ISNUMBER(SEARCH("PCMSO",C654)),"PCMSO",IF(OR(ISNUMBER(SEARCH("E-SOCIAL",C654)),ISNUMBER(SEARCH("PSICOSOCIAL",C654))),"eSocial / Psicossocial",IF(O654="Receita recorrente","Carteira recorrente","Projetos / Laudos / Avulsos"))))</f>
        <v/>
      </c>
      <c r="Q654" s="64">
        <f>IF(P654="","",IF(P654="Carteira recorrente","Operação recorrente",IF(P654="PCMSO","Projetos PCMSO",IF(P654="eSocial / Psicossocial","Projetos eSocial/Psicossocial","Projetos / Laudos / Avulsos"))))</f>
        <v/>
      </c>
      <c r="R654" s="64">
        <f>IF(C654="","",IF(ISNUMBER(SEARCH("PCMSO",C654)),"Título com PCMSO no nome",IF(OR(ISNUMBER(SEARCH("E-SOCIAL",C654)),ISNUMBER(SEARCH("PSICOSOCIAL",C654))),"Título com eSocial/Psicossocial no nome",IF(O654="Receita recorrente","Tipo DRE recorrente","Extra sem palavra-chave específica"))))</f>
        <v/>
      </c>
      <c r="S654" s="92">
        <f>IFERROR(VLOOKUP($A654,'13. Mapa Títulos-Receita'!$A$8:$P$1000,4,FALSE),"")</f>
        <v/>
      </c>
      <c r="T654" s="92">
        <f>IFERROR(VLOOKUP($A654,'13. Mapa Títulos-Receita'!$A$8:$P$1000,5,FALSE),"")</f>
        <v/>
      </c>
      <c r="U654" s="92">
        <f>IFERROR(VLOOKUP($A654,'13. Mapa Títulos-Receita'!$A$8:$P$1000,6,FALSE),"")</f>
        <v/>
      </c>
      <c r="V654" s="92">
        <f>IFERROR(VLOOKUP($A654,'13. Mapa Títulos-Receita'!$A$8:$P$1000,7,FALSE),"")</f>
        <v/>
      </c>
      <c r="W654" s="92">
        <f>IFERROR(VLOOKUP($A654,'13. Mapa Títulos-Receita'!$A$8:$P$1000,8,FALSE),"")</f>
        <v/>
      </c>
      <c r="X654" s="92">
        <f>IFERROR(VLOOKUP($A654,'13. Mapa Títulos-Receita'!$A$8:$P$1000,9,FALSE),"")</f>
        <v/>
      </c>
      <c r="Y654" s="92">
        <f>IFERROR(VLOOKUP($A654,'13. Mapa Títulos-Receita'!$A$8:$P$1000,10,FALSE),"")</f>
        <v/>
      </c>
      <c r="Z654" s="92">
        <f>IFERROR(VLOOKUP($A654,'13. Mapa Títulos-Receita'!$A$8:$P$1000,11,FALSE),"")</f>
        <v/>
      </c>
      <c r="AA654" s="92">
        <f>IFERROR(VLOOKUP($A654,'13. Mapa Títulos-Receita'!$A$8:$P$1000,12,FALSE),"")</f>
        <v/>
      </c>
      <c r="AB654" s="92">
        <f>IFERROR(VLOOKUP($A654,'13. Mapa Títulos-Receita'!$A$8:$P$1000,13,FALSE),"")</f>
        <v/>
      </c>
      <c r="AC654" s="92">
        <f>IFERROR(VLOOKUP($A654,'13. Mapa Títulos-Receita'!$A$8:$P$1000,14,FALSE),"")</f>
        <v/>
      </c>
      <c r="AD654" s="92">
        <f>IFERROR(VLOOKUP($A654,'13. Mapa Títulos-Receita'!$A$8:$P$1000,15,FALSE),"")</f>
        <v/>
      </c>
      <c r="AE654" s="92">
        <f>IFERROR(VLOOKUP($A654,'13. Mapa Títulos-Receita'!$A$8:$P$1000,16,FALSE),"")</f>
        <v/>
      </c>
    </row>
    <row r="655">
      <c r="A655" s="28">
        <f>IF(C655="","", "CR-"&amp;TEXT(ROW()-7,"000"))</f>
        <v/>
      </c>
      <c r="B655" s="28" t="n"/>
      <c r="C655" s="28" t="n"/>
      <c r="D655" s="111" t="n"/>
      <c r="E655" s="111" t="n"/>
      <c r="F655" s="111" t="n"/>
      <c r="G655" s="28" t="n"/>
      <c r="H655" s="45" t="n"/>
      <c r="I655" s="45" t="n"/>
      <c r="J655" s="28">
        <f>IF(H655="","",IF(I655&gt;=H655,"Recebido",IF($B$4&gt;E655,"Vencido","Aberto")))</f>
        <v/>
      </c>
      <c r="K655" s="4">
        <f>IF(J655="","",IF(OR(J655="Recebido",F655=""),MAX(0,F655-E655),MAX(0,$B$4-E655)))</f>
        <v/>
      </c>
      <c r="L655" s="4">
        <f>IF(K655="","",IF(K655=0,"Em dia",IF(K655&lt;=30,"1-30 dias",IF(K655&lt;=60,"31-60 dias",IF(K655&lt;=90,"61-90 dias","&gt;90 dias")))))</f>
        <v/>
      </c>
      <c r="M655" s="28" t="n"/>
      <c r="N655" s="104" t="inlineStr"/>
      <c r="O655" s="64" t="n"/>
      <c r="P655" s="64">
        <f>IF(C655="","",IF(ISNUMBER(SEARCH("PCMSO",C655)),"PCMSO",IF(OR(ISNUMBER(SEARCH("E-SOCIAL",C655)),ISNUMBER(SEARCH("PSICOSOCIAL",C655))),"eSocial / Psicossocial",IF(O655="Receita recorrente","Carteira recorrente","Projetos / Laudos / Avulsos"))))</f>
        <v/>
      </c>
      <c r="Q655" s="64">
        <f>IF(P655="","",IF(P655="Carteira recorrente","Operação recorrente",IF(P655="PCMSO","Projetos PCMSO",IF(P655="eSocial / Psicossocial","Projetos eSocial/Psicossocial","Projetos / Laudos / Avulsos"))))</f>
        <v/>
      </c>
      <c r="R655" s="64">
        <f>IF(C655="","",IF(ISNUMBER(SEARCH("PCMSO",C655)),"Título com PCMSO no nome",IF(OR(ISNUMBER(SEARCH("E-SOCIAL",C655)),ISNUMBER(SEARCH("PSICOSOCIAL",C655))),"Título com eSocial/Psicossocial no nome",IF(O655="Receita recorrente","Tipo DRE recorrente","Extra sem palavra-chave específica"))))</f>
        <v/>
      </c>
      <c r="S655" s="92">
        <f>IFERROR(VLOOKUP($A655,'13. Mapa Títulos-Receita'!$A$8:$P$1000,4,FALSE),"")</f>
        <v/>
      </c>
      <c r="T655" s="92">
        <f>IFERROR(VLOOKUP($A655,'13. Mapa Títulos-Receita'!$A$8:$P$1000,5,FALSE),"")</f>
        <v/>
      </c>
      <c r="U655" s="92">
        <f>IFERROR(VLOOKUP($A655,'13. Mapa Títulos-Receita'!$A$8:$P$1000,6,FALSE),"")</f>
        <v/>
      </c>
      <c r="V655" s="92">
        <f>IFERROR(VLOOKUP($A655,'13. Mapa Títulos-Receita'!$A$8:$P$1000,7,FALSE),"")</f>
        <v/>
      </c>
      <c r="W655" s="92">
        <f>IFERROR(VLOOKUP($A655,'13. Mapa Títulos-Receita'!$A$8:$P$1000,8,FALSE),"")</f>
        <v/>
      </c>
      <c r="X655" s="92">
        <f>IFERROR(VLOOKUP($A655,'13. Mapa Títulos-Receita'!$A$8:$P$1000,9,FALSE),"")</f>
        <v/>
      </c>
      <c r="Y655" s="92">
        <f>IFERROR(VLOOKUP($A655,'13. Mapa Títulos-Receita'!$A$8:$P$1000,10,FALSE),"")</f>
        <v/>
      </c>
      <c r="Z655" s="92">
        <f>IFERROR(VLOOKUP($A655,'13. Mapa Títulos-Receita'!$A$8:$P$1000,11,FALSE),"")</f>
        <v/>
      </c>
      <c r="AA655" s="92">
        <f>IFERROR(VLOOKUP($A655,'13. Mapa Títulos-Receita'!$A$8:$P$1000,12,FALSE),"")</f>
        <v/>
      </c>
      <c r="AB655" s="92">
        <f>IFERROR(VLOOKUP($A655,'13. Mapa Títulos-Receita'!$A$8:$P$1000,13,FALSE),"")</f>
        <v/>
      </c>
      <c r="AC655" s="92">
        <f>IFERROR(VLOOKUP($A655,'13. Mapa Títulos-Receita'!$A$8:$P$1000,14,FALSE),"")</f>
        <v/>
      </c>
      <c r="AD655" s="92">
        <f>IFERROR(VLOOKUP($A655,'13. Mapa Títulos-Receita'!$A$8:$P$1000,15,FALSE),"")</f>
        <v/>
      </c>
      <c r="AE655" s="92">
        <f>IFERROR(VLOOKUP($A655,'13. Mapa Títulos-Receita'!$A$8:$P$1000,16,FALSE),"")</f>
        <v/>
      </c>
    </row>
    <row r="656">
      <c r="A656" s="28">
        <f>IF(C656="","", "CR-"&amp;TEXT(ROW()-7,"000"))</f>
        <v/>
      </c>
      <c r="B656" s="28" t="n"/>
      <c r="C656" s="28" t="n"/>
      <c r="D656" s="111" t="n"/>
      <c r="E656" s="111" t="n"/>
      <c r="F656" s="111" t="n"/>
      <c r="G656" s="28" t="n"/>
      <c r="H656" s="45" t="n"/>
      <c r="I656" s="45" t="n"/>
      <c r="J656" s="28">
        <f>IF(H656="","",IF(I656&gt;=H656,"Recebido",IF($B$4&gt;E656,"Vencido","Aberto")))</f>
        <v/>
      </c>
      <c r="K656" s="4">
        <f>IF(J656="","",IF(OR(J656="Recebido",F656=""),MAX(0,F656-E656),MAX(0,$B$4-E656)))</f>
        <v/>
      </c>
      <c r="L656" s="4">
        <f>IF(K656="","",IF(K656=0,"Em dia",IF(K656&lt;=30,"1-30 dias",IF(K656&lt;=60,"31-60 dias",IF(K656&lt;=90,"61-90 dias","&gt;90 dias")))))</f>
        <v/>
      </c>
      <c r="M656" s="28" t="n"/>
      <c r="N656" s="104" t="inlineStr"/>
      <c r="O656" s="64" t="n"/>
      <c r="P656" s="64">
        <f>IF(C656="","",IF(ISNUMBER(SEARCH("PCMSO",C656)),"PCMSO",IF(OR(ISNUMBER(SEARCH("E-SOCIAL",C656)),ISNUMBER(SEARCH("PSICOSOCIAL",C656))),"eSocial / Psicossocial",IF(O656="Receita recorrente","Carteira recorrente","Projetos / Laudos / Avulsos"))))</f>
        <v/>
      </c>
      <c r="Q656" s="64">
        <f>IF(P656="","",IF(P656="Carteira recorrente","Operação recorrente",IF(P656="PCMSO","Projetos PCMSO",IF(P656="eSocial / Psicossocial","Projetos eSocial/Psicossocial","Projetos / Laudos / Avulsos"))))</f>
        <v/>
      </c>
      <c r="R656" s="64">
        <f>IF(C656="","",IF(ISNUMBER(SEARCH("PCMSO",C656)),"Título com PCMSO no nome",IF(OR(ISNUMBER(SEARCH("E-SOCIAL",C656)),ISNUMBER(SEARCH("PSICOSOCIAL",C656))),"Título com eSocial/Psicossocial no nome",IF(O656="Receita recorrente","Tipo DRE recorrente","Extra sem palavra-chave específica"))))</f>
        <v/>
      </c>
      <c r="S656" s="92">
        <f>IFERROR(VLOOKUP($A656,'13. Mapa Títulos-Receita'!$A$8:$P$1000,4,FALSE),"")</f>
        <v/>
      </c>
      <c r="T656" s="92">
        <f>IFERROR(VLOOKUP($A656,'13. Mapa Títulos-Receita'!$A$8:$P$1000,5,FALSE),"")</f>
        <v/>
      </c>
      <c r="U656" s="92">
        <f>IFERROR(VLOOKUP($A656,'13. Mapa Títulos-Receita'!$A$8:$P$1000,6,FALSE),"")</f>
        <v/>
      </c>
      <c r="V656" s="92">
        <f>IFERROR(VLOOKUP($A656,'13. Mapa Títulos-Receita'!$A$8:$P$1000,7,FALSE),"")</f>
        <v/>
      </c>
      <c r="W656" s="92">
        <f>IFERROR(VLOOKUP($A656,'13. Mapa Títulos-Receita'!$A$8:$P$1000,8,FALSE),"")</f>
        <v/>
      </c>
      <c r="X656" s="92">
        <f>IFERROR(VLOOKUP($A656,'13. Mapa Títulos-Receita'!$A$8:$P$1000,9,FALSE),"")</f>
        <v/>
      </c>
      <c r="Y656" s="92">
        <f>IFERROR(VLOOKUP($A656,'13. Mapa Títulos-Receita'!$A$8:$P$1000,10,FALSE),"")</f>
        <v/>
      </c>
      <c r="Z656" s="92">
        <f>IFERROR(VLOOKUP($A656,'13. Mapa Títulos-Receita'!$A$8:$P$1000,11,FALSE),"")</f>
        <v/>
      </c>
      <c r="AA656" s="92">
        <f>IFERROR(VLOOKUP($A656,'13. Mapa Títulos-Receita'!$A$8:$P$1000,12,FALSE),"")</f>
        <v/>
      </c>
      <c r="AB656" s="92">
        <f>IFERROR(VLOOKUP($A656,'13. Mapa Títulos-Receita'!$A$8:$P$1000,13,FALSE),"")</f>
        <v/>
      </c>
      <c r="AC656" s="92">
        <f>IFERROR(VLOOKUP($A656,'13. Mapa Títulos-Receita'!$A$8:$P$1000,14,FALSE),"")</f>
        <v/>
      </c>
      <c r="AD656" s="92">
        <f>IFERROR(VLOOKUP($A656,'13. Mapa Títulos-Receita'!$A$8:$P$1000,15,FALSE),"")</f>
        <v/>
      </c>
      <c r="AE656" s="92">
        <f>IFERROR(VLOOKUP($A656,'13. Mapa Títulos-Receita'!$A$8:$P$1000,16,FALSE),"")</f>
        <v/>
      </c>
    </row>
    <row r="657">
      <c r="A657" s="28">
        <f>IF(C657="","", "CR-"&amp;TEXT(ROW()-7,"000"))</f>
        <v/>
      </c>
      <c r="B657" s="28" t="n"/>
      <c r="C657" s="28" t="n"/>
      <c r="D657" s="111" t="n"/>
      <c r="E657" s="111" t="n"/>
      <c r="F657" s="111" t="n"/>
      <c r="G657" s="28" t="n"/>
      <c r="H657" s="45" t="n"/>
      <c r="I657" s="45" t="n"/>
      <c r="J657" s="28">
        <f>IF(H657="","",IF(I657&gt;=H657,"Recebido",IF($B$4&gt;E657,"Vencido","Aberto")))</f>
        <v/>
      </c>
      <c r="K657" s="4">
        <f>IF(J657="","",IF(OR(J657="Recebido",F657=""),MAX(0,F657-E657),MAX(0,$B$4-E657)))</f>
        <v/>
      </c>
      <c r="L657" s="4">
        <f>IF(K657="","",IF(K657=0,"Em dia",IF(K657&lt;=30,"1-30 dias",IF(K657&lt;=60,"31-60 dias",IF(K657&lt;=90,"61-90 dias","&gt;90 dias")))))</f>
        <v/>
      </c>
      <c r="M657" s="28" t="n"/>
      <c r="N657" s="104" t="inlineStr"/>
      <c r="O657" s="64" t="n"/>
      <c r="P657" s="64">
        <f>IF(C657="","",IF(ISNUMBER(SEARCH("PCMSO",C657)),"PCMSO",IF(OR(ISNUMBER(SEARCH("E-SOCIAL",C657)),ISNUMBER(SEARCH("PSICOSOCIAL",C657))),"eSocial / Psicossocial",IF(O657="Receita recorrente","Carteira recorrente","Projetos / Laudos / Avulsos"))))</f>
        <v/>
      </c>
      <c r="Q657" s="64">
        <f>IF(P657="","",IF(P657="Carteira recorrente","Operação recorrente",IF(P657="PCMSO","Projetos PCMSO",IF(P657="eSocial / Psicossocial","Projetos eSocial/Psicossocial","Projetos / Laudos / Avulsos"))))</f>
        <v/>
      </c>
      <c r="R657" s="64">
        <f>IF(C657="","",IF(ISNUMBER(SEARCH("PCMSO",C657)),"Título com PCMSO no nome",IF(OR(ISNUMBER(SEARCH("E-SOCIAL",C657)),ISNUMBER(SEARCH("PSICOSOCIAL",C657))),"Título com eSocial/Psicossocial no nome",IF(O657="Receita recorrente","Tipo DRE recorrente","Extra sem palavra-chave específica"))))</f>
        <v/>
      </c>
      <c r="S657" s="92">
        <f>IFERROR(VLOOKUP($A657,'13. Mapa Títulos-Receita'!$A$8:$P$1000,4,FALSE),"")</f>
        <v/>
      </c>
      <c r="T657" s="92">
        <f>IFERROR(VLOOKUP($A657,'13. Mapa Títulos-Receita'!$A$8:$P$1000,5,FALSE),"")</f>
        <v/>
      </c>
      <c r="U657" s="92">
        <f>IFERROR(VLOOKUP($A657,'13. Mapa Títulos-Receita'!$A$8:$P$1000,6,FALSE),"")</f>
        <v/>
      </c>
      <c r="V657" s="92">
        <f>IFERROR(VLOOKUP($A657,'13. Mapa Títulos-Receita'!$A$8:$P$1000,7,FALSE),"")</f>
        <v/>
      </c>
      <c r="W657" s="92">
        <f>IFERROR(VLOOKUP($A657,'13. Mapa Títulos-Receita'!$A$8:$P$1000,8,FALSE),"")</f>
        <v/>
      </c>
      <c r="X657" s="92">
        <f>IFERROR(VLOOKUP($A657,'13. Mapa Títulos-Receita'!$A$8:$P$1000,9,FALSE),"")</f>
        <v/>
      </c>
      <c r="Y657" s="92">
        <f>IFERROR(VLOOKUP($A657,'13. Mapa Títulos-Receita'!$A$8:$P$1000,10,FALSE),"")</f>
        <v/>
      </c>
      <c r="Z657" s="92">
        <f>IFERROR(VLOOKUP($A657,'13. Mapa Títulos-Receita'!$A$8:$P$1000,11,FALSE),"")</f>
        <v/>
      </c>
      <c r="AA657" s="92">
        <f>IFERROR(VLOOKUP($A657,'13. Mapa Títulos-Receita'!$A$8:$P$1000,12,FALSE),"")</f>
        <v/>
      </c>
      <c r="AB657" s="92">
        <f>IFERROR(VLOOKUP($A657,'13. Mapa Títulos-Receita'!$A$8:$P$1000,13,FALSE),"")</f>
        <v/>
      </c>
      <c r="AC657" s="92">
        <f>IFERROR(VLOOKUP($A657,'13. Mapa Títulos-Receita'!$A$8:$P$1000,14,FALSE),"")</f>
        <v/>
      </c>
      <c r="AD657" s="92">
        <f>IFERROR(VLOOKUP($A657,'13. Mapa Títulos-Receita'!$A$8:$P$1000,15,FALSE),"")</f>
        <v/>
      </c>
      <c r="AE657" s="92">
        <f>IFERROR(VLOOKUP($A657,'13. Mapa Títulos-Receita'!$A$8:$P$1000,16,FALSE),"")</f>
        <v/>
      </c>
    </row>
    <row r="658">
      <c r="A658" s="28">
        <f>IF(C658="","", "CR-"&amp;TEXT(ROW()-7,"000"))</f>
        <v/>
      </c>
      <c r="B658" s="28" t="n"/>
      <c r="C658" s="28" t="n"/>
      <c r="D658" s="111" t="n"/>
      <c r="E658" s="111" t="n"/>
      <c r="F658" s="111" t="n"/>
      <c r="G658" s="28" t="n"/>
      <c r="H658" s="45" t="n"/>
      <c r="I658" s="45" t="n"/>
      <c r="J658" s="28">
        <f>IF(H658="","",IF(I658&gt;=H658,"Recebido",IF($B$4&gt;E658,"Vencido","Aberto")))</f>
        <v/>
      </c>
      <c r="K658" s="4">
        <f>IF(J658="","",IF(OR(J658="Recebido",F658=""),MAX(0,F658-E658),MAX(0,$B$4-E658)))</f>
        <v/>
      </c>
      <c r="L658" s="4">
        <f>IF(K658="","",IF(K658=0,"Em dia",IF(K658&lt;=30,"1-30 dias",IF(K658&lt;=60,"31-60 dias",IF(K658&lt;=90,"61-90 dias","&gt;90 dias")))))</f>
        <v/>
      </c>
      <c r="M658" s="28" t="n"/>
      <c r="N658" s="104" t="inlineStr"/>
      <c r="O658" s="64" t="n"/>
      <c r="P658" s="64">
        <f>IF(C658="","",IF(ISNUMBER(SEARCH("PCMSO",C658)),"PCMSO",IF(OR(ISNUMBER(SEARCH("E-SOCIAL",C658)),ISNUMBER(SEARCH("PSICOSOCIAL",C658))),"eSocial / Psicossocial",IF(O658="Receita recorrente","Carteira recorrente","Projetos / Laudos / Avulsos"))))</f>
        <v/>
      </c>
      <c r="Q658" s="64">
        <f>IF(P658="","",IF(P658="Carteira recorrente","Operação recorrente",IF(P658="PCMSO","Projetos PCMSO",IF(P658="eSocial / Psicossocial","Projetos eSocial/Psicossocial","Projetos / Laudos / Avulsos"))))</f>
        <v/>
      </c>
      <c r="R658" s="64">
        <f>IF(C658="","",IF(ISNUMBER(SEARCH("PCMSO",C658)),"Título com PCMSO no nome",IF(OR(ISNUMBER(SEARCH("E-SOCIAL",C658)),ISNUMBER(SEARCH("PSICOSOCIAL",C658))),"Título com eSocial/Psicossocial no nome",IF(O658="Receita recorrente","Tipo DRE recorrente","Extra sem palavra-chave específica"))))</f>
        <v/>
      </c>
      <c r="S658" s="92">
        <f>IFERROR(VLOOKUP($A658,'13. Mapa Títulos-Receita'!$A$8:$P$1000,4,FALSE),"")</f>
        <v/>
      </c>
      <c r="T658" s="92">
        <f>IFERROR(VLOOKUP($A658,'13. Mapa Títulos-Receita'!$A$8:$P$1000,5,FALSE),"")</f>
        <v/>
      </c>
      <c r="U658" s="92">
        <f>IFERROR(VLOOKUP($A658,'13. Mapa Títulos-Receita'!$A$8:$P$1000,6,FALSE),"")</f>
        <v/>
      </c>
      <c r="V658" s="92">
        <f>IFERROR(VLOOKUP($A658,'13. Mapa Títulos-Receita'!$A$8:$P$1000,7,FALSE),"")</f>
        <v/>
      </c>
      <c r="W658" s="92">
        <f>IFERROR(VLOOKUP($A658,'13. Mapa Títulos-Receita'!$A$8:$P$1000,8,FALSE),"")</f>
        <v/>
      </c>
      <c r="X658" s="92">
        <f>IFERROR(VLOOKUP($A658,'13. Mapa Títulos-Receita'!$A$8:$P$1000,9,FALSE),"")</f>
        <v/>
      </c>
      <c r="Y658" s="92">
        <f>IFERROR(VLOOKUP($A658,'13. Mapa Títulos-Receita'!$A$8:$P$1000,10,FALSE),"")</f>
        <v/>
      </c>
      <c r="Z658" s="92">
        <f>IFERROR(VLOOKUP($A658,'13. Mapa Títulos-Receita'!$A$8:$P$1000,11,FALSE),"")</f>
        <v/>
      </c>
      <c r="AA658" s="92">
        <f>IFERROR(VLOOKUP($A658,'13. Mapa Títulos-Receita'!$A$8:$P$1000,12,FALSE),"")</f>
        <v/>
      </c>
      <c r="AB658" s="92">
        <f>IFERROR(VLOOKUP($A658,'13. Mapa Títulos-Receita'!$A$8:$P$1000,13,FALSE),"")</f>
        <v/>
      </c>
      <c r="AC658" s="92">
        <f>IFERROR(VLOOKUP($A658,'13. Mapa Títulos-Receita'!$A$8:$P$1000,14,FALSE),"")</f>
        <v/>
      </c>
      <c r="AD658" s="92">
        <f>IFERROR(VLOOKUP($A658,'13. Mapa Títulos-Receita'!$A$8:$P$1000,15,FALSE),"")</f>
        <v/>
      </c>
      <c r="AE658" s="92">
        <f>IFERROR(VLOOKUP($A658,'13. Mapa Títulos-Receita'!$A$8:$P$1000,16,FALSE),"")</f>
        <v/>
      </c>
    </row>
    <row r="659">
      <c r="A659" s="28">
        <f>IF(C659="","", "CR-"&amp;TEXT(ROW()-7,"000"))</f>
        <v/>
      </c>
      <c r="B659" s="28" t="n"/>
      <c r="C659" s="28" t="n"/>
      <c r="D659" s="111" t="n"/>
      <c r="E659" s="111" t="n"/>
      <c r="F659" s="111" t="n"/>
      <c r="G659" s="28" t="n"/>
      <c r="H659" s="45" t="n"/>
      <c r="I659" s="45" t="n"/>
      <c r="J659" s="28">
        <f>IF(H659="","",IF(I659&gt;=H659,"Recebido",IF($B$4&gt;E659,"Vencido","Aberto")))</f>
        <v/>
      </c>
      <c r="K659" s="4">
        <f>IF(J659="","",IF(OR(J659="Recebido",F659=""),MAX(0,F659-E659),MAX(0,$B$4-E659)))</f>
        <v/>
      </c>
      <c r="L659" s="4">
        <f>IF(K659="","",IF(K659=0,"Em dia",IF(K659&lt;=30,"1-30 dias",IF(K659&lt;=60,"31-60 dias",IF(K659&lt;=90,"61-90 dias","&gt;90 dias")))))</f>
        <v/>
      </c>
      <c r="M659" s="28" t="n"/>
      <c r="N659" s="104" t="inlineStr"/>
      <c r="O659" s="64" t="n"/>
      <c r="P659" s="64">
        <f>IF(C659="","",IF(ISNUMBER(SEARCH("PCMSO",C659)),"PCMSO",IF(OR(ISNUMBER(SEARCH("E-SOCIAL",C659)),ISNUMBER(SEARCH("PSICOSOCIAL",C659))),"eSocial / Psicossocial",IF(O659="Receita recorrente","Carteira recorrente","Projetos / Laudos / Avulsos"))))</f>
        <v/>
      </c>
      <c r="Q659" s="64">
        <f>IF(P659="","",IF(P659="Carteira recorrente","Operação recorrente",IF(P659="PCMSO","Projetos PCMSO",IF(P659="eSocial / Psicossocial","Projetos eSocial/Psicossocial","Projetos / Laudos / Avulsos"))))</f>
        <v/>
      </c>
      <c r="R659" s="64">
        <f>IF(C659="","",IF(ISNUMBER(SEARCH("PCMSO",C659)),"Título com PCMSO no nome",IF(OR(ISNUMBER(SEARCH("E-SOCIAL",C659)),ISNUMBER(SEARCH("PSICOSOCIAL",C659))),"Título com eSocial/Psicossocial no nome",IF(O659="Receita recorrente","Tipo DRE recorrente","Extra sem palavra-chave específica"))))</f>
        <v/>
      </c>
      <c r="S659" s="92">
        <f>IFERROR(VLOOKUP($A659,'13. Mapa Títulos-Receita'!$A$8:$P$1000,4,FALSE),"")</f>
        <v/>
      </c>
      <c r="T659" s="92">
        <f>IFERROR(VLOOKUP($A659,'13. Mapa Títulos-Receita'!$A$8:$P$1000,5,FALSE),"")</f>
        <v/>
      </c>
      <c r="U659" s="92">
        <f>IFERROR(VLOOKUP($A659,'13. Mapa Títulos-Receita'!$A$8:$P$1000,6,FALSE),"")</f>
        <v/>
      </c>
      <c r="V659" s="92">
        <f>IFERROR(VLOOKUP($A659,'13. Mapa Títulos-Receita'!$A$8:$P$1000,7,FALSE),"")</f>
        <v/>
      </c>
      <c r="W659" s="92">
        <f>IFERROR(VLOOKUP($A659,'13. Mapa Títulos-Receita'!$A$8:$P$1000,8,FALSE),"")</f>
        <v/>
      </c>
      <c r="X659" s="92">
        <f>IFERROR(VLOOKUP($A659,'13. Mapa Títulos-Receita'!$A$8:$P$1000,9,FALSE),"")</f>
        <v/>
      </c>
      <c r="Y659" s="92">
        <f>IFERROR(VLOOKUP($A659,'13. Mapa Títulos-Receita'!$A$8:$P$1000,10,FALSE),"")</f>
        <v/>
      </c>
      <c r="Z659" s="92">
        <f>IFERROR(VLOOKUP($A659,'13. Mapa Títulos-Receita'!$A$8:$P$1000,11,FALSE),"")</f>
        <v/>
      </c>
      <c r="AA659" s="92">
        <f>IFERROR(VLOOKUP($A659,'13. Mapa Títulos-Receita'!$A$8:$P$1000,12,FALSE),"")</f>
        <v/>
      </c>
      <c r="AB659" s="92">
        <f>IFERROR(VLOOKUP($A659,'13. Mapa Títulos-Receita'!$A$8:$P$1000,13,FALSE),"")</f>
        <v/>
      </c>
      <c r="AC659" s="92">
        <f>IFERROR(VLOOKUP($A659,'13. Mapa Títulos-Receita'!$A$8:$P$1000,14,FALSE),"")</f>
        <v/>
      </c>
      <c r="AD659" s="92">
        <f>IFERROR(VLOOKUP($A659,'13. Mapa Títulos-Receita'!$A$8:$P$1000,15,FALSE),"")</f>
        <v/>
      </c>
      <c r="AE659" s="92">
        <f>IFERROR(VLOOKUP($A659,'13. Mapa Títulos-Receita'!$A$8:$P$1000,16,FALSE),"")</f>
        <v/>
      </c>
    </row>
    <row r="660">
      <c r="A660" s="28">
        <f>IF(C660="","", "CR-"&amp;TEXT(ROW()-7,"000"))</f>
        <v/>
      </c>
      <c r="B660" s="28" t="n"/>
      <c r="C660" s="28" t="n"/>
      <c r="D660" s="111" t="n"/>
      <c r="E660" s="111" t="n"/>
      <c r="F660" s="111" t="n"/>
      <c r="G660" s="28" t="n"/>
      <c r="H660" s="45" t="n"/>
      <c r="I660" s="45" t="n"/>
      <c r="J660" s="28">
        <f>IF(H660="","",IF(I660&gt;=H660,"Recebido",IF($B$4&gt;E660,"Vencido","Aberto")))</f>
        <v/>
      </c>
      <c r="K660" s="4">
        <f>IF(J660="","",IF(OR(J660="Recebido",F660=""),MAX(0,F660-E660),MAX(0,$B$4-E660)))</f>
        <v/>
      </c>
      <c r="L660" s="4">
        <f>IF(K660="","",IF(K660=0,"Em dia",IF(K660&lt;=30,"1-30 dias",IF(K660&lt;=60,"31-60 dias",IF(K660&lt;=90,"61-90 dias","&gt;90 dias")))))</f>
        <v/>
      </c>
      <c r="M660" s="28" t="n"/>
      <c r="N660" s="104" t="inlineStr"/>
      <c r="O660" s="64" t="n"/>
      <c r="P660" s="64">
        <f>IF(C660="","",IF(ISNUMBER(SEARCH("PCMSO",C660)),"PCMSO",IF(OR(ISNUMBER(SEARCH("E-SOCIAL",C660)),ISNUMBER(SEARCH("PSICOSOCIAL",C660))),"eSocial / Psicossocial",IF(O660="Receita recorrente","Carteira recorrente","Projetos / Laudos / Avulsos"))))</f>
        <v/>
      </c>
      <c r="Q660" s="64">
        <f>IF(P660="","",IF(P660="Carteira recorrente","Operação recorrente",IF(P660="PCMSO","Projetos PCMSO",IF(P660="eSocial / Psicossocial","Projetos eSocial/Psicossocial","Projetos / Laudos / Avulsos"))))</f>
        <v/>
      </c>
      <c r="R660" s="64">
        <f>IF(C660="","",IF(ISNUMBER(SEARCH("PCMSO",C660)),"Título com PCMSO no nome",IF(OR(ISNUMBER(SEARCH("E-SOCIAL",C660)),ISNUMBER(SEARCH("PSICOSOCIAL",C660))),"Título com eSocial/Psicossocial no nome",IF(O660="Receita recorrente","Tipo DRE recorrente","Extra sem palavra-chave específica"))))</f>
        <v/>
      </c>
      <c r="S660" s="92">
        <f>IFERROR(VLOOKUP($A660,'13. Mapa Títulos-Receita'!$A$8:$P$1000,4,FALSE),"")</f>
        <v/>
      </c>
      <c r="T660" s="92">
        <f>IFERROR(VLOOKUP($A660,'13. Mapa Títulos-Receita'!$A$8:$P$1000,5,FALSE),"")</f>
        <v/>
      </c>
      <c r="U660" s="92">
        <f>IFERROR(VLOOKUP($A660,'13. Mapa Títulos-Receita'!$A$8:$P$1000,6,FALSE),"")</f>
        <v/>
      </c>
      <c r="V660" s="92">
        <f>IFERROR(VLOOKUP($A660,'13. Mapa Títulos-Receita'!$A$8:$P$1000,7,FALSE),"")</f>
        <v/>
      </c>
      <c r="W660" s="92">
        <f>IFERROR(VLOOKUP($A660,'13. Mapa Títulos-Receita'!$A$8:$P$1000,8,FALSE),"")</f>
        <v/>
      </c>
      <c r="X660" s="92">
        <f>IFERROR(VLOOKUP($A660,'13. Mapa Títulos-Receita'!$A$8:$P$1000,9,FALSE),"")</f>
        <v/>
      </c>
      <c r="Y660" s="92">
        <f>IFERROR(VLOOKUP($A660,'13. Mapa Títulos-Receita'!$A$8:$P$1000,10,FALSE),"")</f>
        <v/>
      </c>
      <c r="Z660" s="92">
        <f>IFERROR(VLOOKUP($A660,'13. Mapa Títulos-Receita'!$A$8:$P$1000,11,FALSE),"")</f>
        <v/>
      </c>
      <c r="AA660" s="92">
        <f>IFERROR(VLOOKUP($A660,'13. Mapa Títulos-Receita'!$A$8:$P$1000,12,FALSE),"")</f>
        <v/>
      </c>
      <c r="AB660" s="92">
        <f>IFERROR(VLOOKUP($A660,'13. Mapa Títulos-Receita'!$A$8:$P$1000,13,FALSE),"")</f>
        <v/>
      </c>
      <c r="AC660" s="92">
        <f>IFERROR(VLOOKUP($A660,'13. Mapa Títulos-Receita'!$A$8:$P$1000,14,FALSE),"")</f>
        <v/>
      </c>
      <c r="AD660" s="92">
        <f>IFERROR(VLOOKUP($A660,'13. Mapa Títulos-Receita'!$A$8:$P$1000,15,FALSE),"")</f>
        <v/>
      </c>
      <c r="AE660" s="92">
        <f>IFERROR(VLOOKUP($A660,'13. Mapa Títulos-Receita'!$A$8:$P$1000,16,FALSE),"")</f>
        <v/>
      </c>
    </row>
    <row r="661">
      <c r="A661" s="28">
        <f>IF(C661="","", "CR-"&amp;TEXT(ROW()-7,"000"))</f>
        <v/>
      </c>
      <c r="B661" s="28" t="n"/>
      <c r="C661" s="28" t="n"/>
      <c r="D661" s="111" t="n"/>
      <c r="E661" s="111" t="n"/>
      <c r="F661" s="111" t="n"/>
      <c r="G661" s="28" t="n"/>
      <c r="H661" s="45" t="n"/>
      <c r="I661" s="45" t="n"/>
      <c r="J661" s="28">
        <f>IF(H661="","",IF(I661&gt;=H661,"Recebido",IF($B$4&gt;E661,"Vencido","Aberto")))</f>
        <v/>
      </c>
      <c r="K661" s="4">
        <f>IF(J661="","",IF(OR(J661="Recebido",F661=""),MAX(0,F661-E661),MAX(0,$B$4-E661)))</f>
        <v/>
      </c>
      <c r="L661" s="4">
        <f>IF(K661="","",IF(K661=0,"Em dia",IF(K661&lt;=30,"1-30 dias",IF(K661&lt;=60,"31-60 dias",IF(K661&lt;=90,"61-90 dias","&gt;90 dias")))))</f>
        <v/>
      </c>
      <c r="M661" s="28" t="n"/>
      <c r="N661" s="104" t="inlineStr"/>
      <c r="O661" s="64" t="n"/>
      <c r="P661" s="64">
        <f>IF(C661="","",IF(ISNUMBER(SEARCH("PCMSO",C661)),"PCMSO",IF(OR(ISNUMBER(SEARCH("E-SOCIAL",C661)),ISNUMBER(SEARCH("PSICOSOCIAL",C661))),"eSocial / Psicossocial",IF(O661="Receita recorrente","Carteira recorrente","Projetos / Laudos / Avulsos"))))</f>
        <v/>
      </c>
      <c r="Q661" s="64">
        <f>IF(P661="","",IF(P661="Carteira recorrente","Operação recorrente",IF(P661="PCMSO","Projetos PCMSO",IF(P661="eSocial / Psicossocial","Projetos eSocial/Psicossocial","Projetos / Laudos / Avulsos"))))</f>
        <v/>
      </c>
      <c r="R661" s="64">
        <f>IF(C661="","",IF(ISNUMBER(SEARCH("PCMSO",C661)),"Título com PCMSO no nome",IF(OR(ISNUMBER(SEARCH("E-SOCIAL",C661)),ISNUMBER(SEARCH("PSICOSOCIAL",C661))),"Título com eSocial/Psicossocial no nome",IF(O661="Receita recorrente","Tipo DRE recorrente","Extra sem palavra-chave específica"))))</f>
        <v/>
      </c>
      <c r="S661" s="92">
        <f>IFERROR(VLOOKUP($A661,'13. Mapa Títulos-Receita'!$A$8:$P$1000,4,FALSE),"")</f>
        <v/>
      </c>
      <c r="T661" s="92">
        <f>IFERROR(VLOOKUP($A661,'13. Mapa Títulos-Receita'!$A$8:$P$1000,5,FALSE),"")</f>
        <v/>
      </c>
      <c r="U661" s="92">
        <f>IFERROR(VLOOKUP($A661,'13. Mapa Títulos-Receita'!$A$8:$P$1000,6,FALSE),"")</f>
        <v/>
      </c>
      <c r="V661" s="92">
        <f>IFERROR(VLOOKUP($A661,'13. Mapa Títulos-Receita'!$A$8:$P$1000,7,FALSE),"")</f>
        <v/>
      </c>
      <c r="W661" s="92">
        <f>IFERROR(VLOOKUP($A661,'13. Mapa Títulos-Receita'!$A$8:$P$1000,8,FALSE),"")</f>
        <v/>
      </c>
      <c r="X661" s="92">
        <f>IFERROR(VLOOKUP($A661,'13. Mapa Títulos-Receita'!$A$8:$P$1000,9,FALSE),"")</f>
        <v/>
      </c>
      <c r="Y661" s="92">
        <f>IFERROR(VLOOKUP($A661,'13. Mapa Títulos-Receita'!$A$8:$P$1000,10,FALSE),"")</f>
        <v/>
      </c>
      <c r="Z661" s="92">
        <f>IFERROR(VLOOKUP($A661,'13. Mapa Títulos-Receita'!$A$8:$P$1000,11,FALSE),"")</f>
        <v/>
      </c>
      <c r="AA661" s="92">
        <f>IFERROR(VLOOKUP($A661,'13. Mapa Títulos-Receita'!$A$8:$P$1000,12,FALSE),"")</f>
        <v/>
      </c>
      <c r="AB661" s="92">
        <f>IFERROR(VLOOKUP($A661,'13. Mapa Títulos-Receita'!$A$8:$P$1000,13,FALSE),"")</f>
        <v/>
      </c>
      <c r="AC661" s="92">
        <f>IFERROR(VLOOKUP($A661,'13. Mapa Títulos-Receita'!$A$8:$P$1000,14,FALSE),"")</f>
        <v/>
      </c>
      <c r="AD661" s="92">
        <f>IFERROR(VLOOKUP($A661,'13. Mapa Títulos-Receita'!$A$8:$P$1000,15,FALSE),"")</f>
        <v/>
      </c>
      <c r="AE661" s="92">
        <f>IFERROR(VLOOKUP($A661,'13. Mapa Títulos-Receita'!$A$8:$P$1000,16,FALSE),"")</f>
        <v/>
      </c>
    </row>
    <row r="662">
      <c r="A662" s="28">
        <f>IF(C662="","", "CR-"&amp;TEXT(ROW()-7,"000"))</f>
        <v/>
      </c>
      <c r="B662" s="28" t="n"/>
      <c r="C662" s="28" t="n"/>
      <c r="D662" s="111" t="n"/>
      <c r="E662" s="111" t="n"/>
      <c r="F662" s="111" t="n"/>
      <c r="G662" s="28" t="n"/>
      <c r="H662" s="45" t="n"/>
      <c r="I662" s="45" t="n"/>
      <c r="J662" s="28">
        <f>IF(H662="","",IF(I662&gt;=H662,"Recebido",IF($B$4&gt;E662,"Vencido","Aberto")))</f>
        <v/>
      </c>
      <c r="K662" s="4">
        <f>IF(J662="","",IF(OR(J662="Recebido",F662=""),MAX(0,F662-E662),MAX(0,$B$4-E662)))</f>
        <v/>
      </c>
      <c r="L662" s="4">
        <f>IF(K662="","",IF(K662=0,"Em dia",IF(K662&lt;=30,"1-30 dias",IF(K662&lt;=60,"31-60 dias",IF(K662&lt;=90,"61-90 dias","&gt;90 dias")))))</f>
        <v/>
      </c>
      <c r="M662" s="28" t="n"/>
      <c r="N662" s="104" t="inlineStr"/>
      <c r="O662" s="64" t="n"/>
      <c r="P662" s="64">
        <f>IF(C662="","",IF(ISNUMBER(SEARCH("PCMSO",C662)),"PCMSO",IF(OR(ISNUMBER(SEARCH("E-SOCIAL",C662)),ISNUMBER(SEARCH("PSICOSOCIAL",C662))),"eSocial / Psicossocial",IF(O662="Receita recorrente","Carteira recorrente","Projetos / Laudos / Avulsos"))))</f>
        <v/>
      </c>
      <c r="Q662" s="64">
        <f>IF(P662="","",IF(P662="Carteira recorrente","Operação recorrente",IF(P662="PCMSO","Projetos PCMSO",IF(P662="eSocial / Psicossocial","Projetos eSocial/Psicossocial","Projetos / Laudos / Avulsos"))))</f>
        <v/>
      </c>
      <c r="R662" s="64">
        <f>IF(C662="","",IF(ISNUMBER(SEARCH("PCMSO",C662)),"Título com PCMSO no nome",IF(OR(ISNUMBER(SEARCH("E-SOCIAL",C662)),ISNUMBER(SEARCH("PSICOSOCIAL",C662))),"Título com eSocial/Psicossocial no nome",IF(O662="Receita recorrente","Tipo DRE recorrente","Extra sem palavra-chave específica"))))</f>
        <v/>
      </c>
      <c r="S662" s="92">
        <f>IFERROR(VLOOKUP($A662,'13. Mapa Títulos-Receita'!$A$8:$P$1000,4,FALSE),"")</f>
        <v/>
      </c>
      <c r="T662" s="92">
        <f>IFERROR(VLOOKUP($A662,'13. Mapa Títulos-Receita'!$A$8:$P$1000,5,FALSE),"")</f>
        <v/>
      </c>
      <c r="U662" s="92">
        <f>IFERROR(VLOOKUP($A662,'13. Mapa Títulos-Receita'!$A$8:$P$1000,6,FALSE),"")</f>
        <v/>
      </c>
      <c r="V662" s="92">
        <f>IFERROR(VLOOKUP($A662,'13. Mapa Títulos-Receita'!$A$8:$P$1000,7,FALSE),"")</f>
        <v/>
      </c>
      <c r="W662" s="92">
        <f>IFERROR(VLOOKUP($A662,'13. Mapa Títulos-Receita'!$A$8:$P$1000,8,FALSE),"")</f>
        <v/>
      </c>
      <c r="X662" s="92">
        <f>IFERROR(VLOOKUP($A662,'13. Mapa Títulos-Receita'!$A$8:$P$1000,9,FALSE),"")</f>
        <v/>
      </c>
      <c r="Y662" s="92">
        <f>IFERROR(VLOOKUP($A662,'13. Mapa Títulos-Receita'!$A$8:$P$1000,10,FALSE),"")</f>
        <v/>
      </c>
      <c r="Z662" s="92">
        <f>IFERROR(VLOOKUP($A662,'13. Mapa Títulos-Receita'!$A$8:$P$1000,11,FALSE),"")</f>
        <v/>
      </c>
      <c r="AA662" s="92">
        <f>IFERROR(VLOOKUP($A662,'13. Mapa Títulos-Receita'!$A$8:$P$1000,12,FALSE),"")</f>
        <v/>
      </c>
      <c r="AB662" s="92">
        <f>IFERROR(VLOOKUP($A662,'13. Mapa Títulos-Receita'!$A$8:$P$1000,13,FALSE),"")</f>
        <v/>
      </c>
      <c r="AC662" s="92">
        <f>IFERROR(VLOOKUP($A662,'13. Mapa Títulos-Receita'!$A$8:$P$1000,14,FALSE),"")</f>
        <v/>
      </c>
      <c r="AD662" s="92">
        <f>IFERROR(VLOOKUP($A662,'13. Mapa Títulos-Receita'!$A$8:$P$1000,15,FALSE),"")</f>
        <v/>
      </c>
      <c r="AE662" s="92">
        <f>IFERROR(VLOOKUP($A662,'13. Mapa Títulos-Receita'!$A$8:$P$1000,16,FALSE),"")</f>
        <v/>
      </c>
    </row>
    <row r="663">
      <c r="A663" s="28">
        <f>IF(C663="","", "CR-"&amp;TEXT(ROW()-7,"000"))</f>
        <v/>
      </c>
      <c r="B663" s="28" t="n"/>
      <c r="C663" s="28" t="n"/>
      <c r="D663" s="111" t="n"/>
      <c r="E663" s="111" t="n"/>
      <c r="F663" s="111" t="n"/>
      <c r="G663" s="28" t="n"/>
      <c r="H663" s="45" t="n"/>
      <c r="I663" s="45" t="n"/>
      <c r="J663" s="28">
        <f>IF(H663="","",IF(I663&gt;=H663,"Recebido",IF($B$4&gt;E663,"Vencido","Aberto")))</f>
        <v/>
      </c>
      <c r="K663" s="4">
        <f>IF(J663="","",IF(OR(J663="Recebido",F663=""),MAX(0,F663-E663),MAX(0,$B$4-E663)))</f>
        <v/>
      </c>
      <c r="L663" s="4">
        <f>IF(K663="","",IF(K663=0,"Em dia",IF(K663&lt;=30,"1-30 dias",IF(K663&lt;=60,"31-60 dias",IF(K663&lt;=90,"61-90 dias","&gt;90 dias")))))</f>
        <v/>
      </c>
      <c r="M663" s="28" t="n"/>
      <c r="N663" s="104" t="inlineStr"/>
      <c r="O663" s="64" t="n"/>
      <c r="P663" s="64">
        <f>IF(C663="","",IF(ISNUMBER(SEARCH("PCMSO",C663)),"PCMSO",IF(OR(ISNUMBER(SEARCH("E-SOCIAL",C663)),ISNUMBER(SEARCH("PSICOSOCIAL",C663))),"eSocial / Psicossocial",IF(O663="Receita recorrente","Carteira recorrente","Projetos / Laudos / Avulsos"))))</f>
        <v/>
      </c>
      <c r="Q663" s="64">
        <f>IF(P663="","",IF(P663="Carteira recorrente","Operação recorrente",IF(P663="PCMSO","Projetos PCMSO",IF(P663="eSocial / Psicossocial","Projetos eSocial/Psicossocial","Projetos / Laudos / Avulsos"))))</f>
        <v/>
      </c>
      <c r="R663" s="64">
        <f>IF(C663="","",IF(ISNUMBER(SEARCH("PCMSO",C663)),"Título com PCMSO no nome",IF(OR(ISNUMBER(SEARCH("E-SOCIAL",C663)),ISNUMBER(SEARCH("PSICOSOCIAL",C663))),"Título com eSocial/Psicossocial no nome",IF(O663="Receita recorrente","Tipo DRE recorrente","Extra sem palavra-chave específica"))))</f>
        <v/>
      </c>
      <c r="S663" s="92">
        <f>IFERROR(VLOOKUP($A663,'13. Mapa Títulos-Receita'!$A$8:$P$1000,4,FALSE),"")</f>
        <v/>
      </c>
      <c r="T663" s="92">
        <f>IFERROR(VLOOKUP($A663,'13. Mapa Títulos-Receita'!$A$8:$P$1000,5,FALSE),"")</f>
        <v/>
      </c>
      <c r="U663" s="92">
        <f>IFERROR(VLOOKUP($A663,'13. Mapa Títulos-Receita'!$A$8:$P$1000,6,FALSE),"")</f>
        <v/>
      </c>
      <c r="V663" s="92">
        <f>IFERROR(VLOOKUP($A663,'13. Mapa Títulos-Receita'!$A$8:$P$1000,7,FALSE),"")</f>
        <v/>
      </c>
      <c r="W663" s="92">
        <f>IFERROR(VLOOKUP($A663,'13. Mapa Títulos-Receita'!$A$8:$P$1000,8,FALSE),"")</f>
        <v/>
      </c>
      <c r="X663" s="92">
        <f>IFERROR(VLOOKUP($A663,'13. Mapa Títulos-Receita'!$A$8:$P$1000,9,FALSE),"")</f>
        <v/>
      </c>
      <c r="Y663" s="92">
        <f>IFERROR(VLOOKUP($A663,'13. Mapa Títulos-Receita'!$A$8:$P$1000,10,FALSE),"")</f>
        <v/>
      </c>
      <c r="Z663" s="92">
        <f>IFERROR(VLOOKUP($A663,'13. Mapa Títulos-Receita'!$A$8:$P$1000,11,FALSE),"")</f>
        <v/>
      </c>
      <c r="AA663" s="92">
        <f>IFERROR(VLOOKUP($A663,'13. Mapa Títulos-Receita'!$A$8:$P$1000,12,FALSE),"")</f>
        <v/>
      </c>
      <c r="AB663" s="92">
        <f>IFERROR(VLOOKUP($A663,'13. Mapa Títulos-Receita'!$A$8:$P$1000,13,FALSE),"")</f>
        <v/>
      </c>
      <c r="AC663" s="92">
        <f>IFERROR(VLOOKUP($A663,'13. Mapa Títulos-Receita'!$A$8:$P$1000,14,FALSE),"")</f>
        <v/>
      </c>
      <c r="AD663" s="92">
        <f>IFERROR(VLOOKUP($A663,'13. Mapa Títulos-Receita'!$A$8:$P$1000,15,FALSE),"")</f>
        <v/>
      </c>
      <c r="AE663" s="92">
        <f>IFERROR(VLOOKUP($A663,'13. Mapa Títulos-Receita'!$A$8:$P$1000,16,FALSE),"")</f>
        <v/>
      </c>
    </row>
    <row r="664">
      <c r="A664" s="28">
        <f>IF(C664="","", "CR-"&amp;TEXT(ROW()-7,"000"))</f>
        <v/>
      </c>
      <c r="B664" s="28" t="n"/>
      <c r="C664" s="28" t="n"/>
      <c r="D664" s="111" t="n"/>
      <c r="E664" s="111" t="n"/>
      <c r="F664" s="111" t="n"/>
      <c r="G664" s="28" t="n"/>
      <c r="H664" s="45" t="n"/>
      <c r="I664" s="45" t="n"/>
      <c r="J664" s="28">
        <f>IF(H664="","",IF(I664&gt;=H664,"Recebido",IF($B$4&gt;E664,"Vencido","Aberto")))</f>
        <v/>
      </c>
      <c r="K664" s="4">
        <f>IF(J664="","",IF(OR(J664="Recebido",F664=""),MAX(0,F664-E664),MAX(0,$B$4-E664)))</f>
        <v/>
      </c>
      <c r="L664" s="4">
        <f>IF(K664="","",IF(K664=0,"Em dia",IF(K664&lt;=30,"1-30 dias",IF(K664&lt;=60,"31-60 dias",IF(K664&lt;=90,"61-90 dias","&gt;90 dias")))))</f>
        <v/>
      </c>
      <c r="M664" s="28" t="n"/>
      <c r="N664" s="104" t="inlineStr"/>
      <c r="O664" s="64" t="n"/>
      <c r="P664" s="64">
        <f>IF(C664="","",IF(ISNUMBER(SEARCH("PCMSO",C664)),"PCMSO",IF(OR(ISNUMBER(SEARCH("E-SOCIAL",C664)),ISNUMBER(SEARCH("PSICOSOCIAL",C664))),"eSocial / Psicossocial",IF(O664="Receita recorrente","Carteira recorrente","Projetos / Laudos / Avulsos"))))</f>
        <v/>
      </c>
      <c r="Q664" s="64">
        <f>IF(P664="","",IF(P664="Carteira recorrente","Operação recorrente",IF(P664="PCMSO","Projetos PCMSO",IF(P664="eSocial / Psicossocial","Projetos eSocial/Psicossocial","Projetos / Laudos / Avulsos"))))</f>
        <v/>
      </c>
      <c r="R664" s="64">
        <f>IF(C664="","",IF(ISNUMBER(SEARCH("PCMSO",C664)),"Título com PCMSO no nome",IF(OR(ISNUMBER(SEARCH("E-SOCIAL",C664)),ISNUMBER(SEARCH("PSICOSOCIAL",C664))),"Título com eSocial/Psicossocial no nome",IF(O664="Receita recorrente","Tipo DRE recorrente","Extra sem palavra-chave específica"))))</f>
        <v/>
      </c>
      <c r="S664" s="92">
        <f>IFERROR(VLOOKUP($A664,'13. Mapa Títulos-Receita'!$A$8:$P$1000,4,FALSE),"")</f>
        <v/>
      </c>
      <c r="T664" s="92">
        <f>IFERROR(VLOOKUP($A664,'13. Mapa Títulos-Receita'!$A$8:$P$1000,5,FALSE),"")</f>
        <v/>
      </c>
      <c r="U664" s="92">
        <f>IFERROR(VLOOKUP($A664,'13. Mapa Títulos-Receita'!$A$8:$P$1000,6,FALSE),"")</f>
        <v/>
      </c>
      <c r="V664" s="92">
        <f>IFERROR(VLOOKUP($A664,'13. Mapa Títulos-Receita'!$A$8:$P$1000,7,FALSE),"")</f>
        <v/>
      </c>
      <c r="W664" s="92">
        <f>IFERROR(VLOOKUP($A664,'13. Mapa Títulos-Receita'!$A$8:$P$1000,8,FALSE),"")</f>
        <v/>
      </c>
      <c r="X664" s="92">
        <f>IFERROR(VLOOKUP($A664,'13. Mapa Títulos-Receita'!$A$8:$P$1000,9,FALSE),"")</f>
        <v/>
      </c>
      <c r="Y664" s="92">
        <f>IFERROR(VLOOKUP($A664,'13. Mapa Títulos-Receita'!$A$8:$P$1000,10,FALSE),"")</f>
        <v/>
      </c>
      <c r="Z664" s="92">
        <f>IFERROR(VLOOKUP($A664,'13. Mapa Títulos-Receita'!$A$8:$P$1000,11,FALSE),"")</f>
        <v/>
      </c>
      <c r="AA664" s="92">
        <f>IFERROR(VLOOKUP($A664,'13. Mapa Títulos-Receita'!$A$8:$P$1000,12,FALSE),"")</f>
        <v/>
      </c>
      <c r="AB664" s="92">
        <f>IFERROR(VLOOKUP($A664,'13. Mapa Títulos-Receita'!$A$8:$P$1000,13,FALSE),"")</f>
        <v/>
      </c>
      <c r="AC664" s="92">
        <f>IFERROR(VLOOKUP($A664,'13. Mapa Títulos-Receita'!$A$8:$P$1000,14,FALSE),"")</f>
        <v/>
      </c>
      <c r="AD664" s="92">
        <f>IFERROR(VLOOKUP($A664,'13. Mapa Títulos-Receita'!$A$8:$P$1000,15,FALSE),"")</f>
        <v/>
      </c>
      <c r="AE664" s="92">
        <f>IFERROR(VLOOKUP($A664,'13. Mapa Títulos-Receita'!$A$8:$P$1000,16,FALSE),"")</f>
        <v/>
      </c>
    </row>
    <row r="665">
      <c r="A665" s="28">
        <f>IF(C665="","", "CR-"&amp;TEXT(ROW()-7,"000"))</f>
        <v/>
      </c>
      <c r="B665" s="28" t="n"/>
      <c r="C665" s="28" t="n"/>
      <c r="D665" s="111" t="n"/>
      <c r="E665" s="111" t="n"/>
      <c r="F665" s="111" t="n"/>
      <c r="G665" s="28" t="n"/>
      <c r="H665" s="45" t="n"/>
      <c r="I665" s="45" t="n"/>
      <c r="J665" s="28">
        <f>IF(H665="","",IF(I665&gt;=H665,"Recebido",IF($B$4&gt;E665,"Vencido","Aberto")))</f>
        <v/>
      </c>
      <c r="K665" s="4">
        <f>IF(J665="","",IF(OR(J665="Recebido",F665=""),MAX(0,F665-E665),MAX(0,$B$4-E665)))</f>
        <v/>
      </c>
      <c r="L665" s="4">
        <f>IF(K665="","",IF(K665=0,"Em dia",IF(K665&lt;=30,"1-30 dias",IF(K665&lt;=60,"31-60 dias",IF(K665&lt;=90,"61-90 dias","&gt;90 dias")))))</f>
        <v/>
      </c>
      <c r="M665" s="28" t="n"/>
      <c r="N665" s="104" t="inlineStr"/>
      <c r="O665" s="64" t="n"/>
      <c r="P665" s="64">
        <f>IF(C665="","",IF(ISNUMBER(SEARCH("PCMSO",C665)),"PCMSO",IF(OR(ISNUMBER(SEARCH("E-SOCIAL",C665)),ISNUMBER(SEARCH("PSICOSOCIAL",C665))),"eSocial / Psicossocial",IF(O665="Receita recorrente","Carteira recorrente","Projetos / Laudos / Avulsos"))))</f>
        <v/>
      </c>
      <c r="Q665" s="64">
        <f>IF(P665="","",IF(P665="Carteira recorrente","Operação recorrente",IF(P665="PCMSO","Projetos PCMSO",IF(P665="eSocial / Psicossocial","Projetos eSocial/Psicossocial","Projetos / Laudos / Avulsos"))))</f>
        <v/>
      </c>
      <c r="R665" s="64">
        <f>IF(C665="","",IF(ISNUMBER(SEARCH("PCMSO",C665)),"Título com PCMSO no nome",IF(OR(ISNUMBER(SEARCH("E-SOCIAL",C665)),ISNUMBER(SEARCH("PSICOSOCIAL",C665))),"Título com eSocial/Psicossocial no nome",IF(O665="Receita recorrente","Tipo DRE recorrente","Extra sem palavra-chave específica"))))</f>
        <v/>
      </c>
      <c r="S665" s="92">
        <f>IFERROR(VLOOKUP($A665,'13. Mapa Títulos-Receita'!$A$8:$P$1000,4,FALSE),"")</f>
        <v/>
      </c>
      <c r="T665" s="92">
        <f>IFERROR(VLOOKUP($A665,'13. Mapa Títulos-Receita'!$A$8:$P$1000,5,FALSE),"")</f>
        <v/>
      </c>
      <c r="U665" s="92">
        <f>IFERROR(VLOOKUP($A665,'13. Mapa Títulos-Receita'!$A$8:$P$1000,6,FALSE),"")</f>
        <v/>
      </c>
      <c r="V665" s="92">
        <f>IFERROR(VLOOKUP($A665,'13. Mapa Títulos-Receita'!$A$8:$P$1000,7,FALSE),"")</f>
        <v/>
      </c>
      <c r="W665" s="92">
        <f>IFERROR(VLOOKUP($A665,'13. Mapa Títulos-Receita'!$A$8:$P$1000,8,FALSE),"")</f>
        <v/>
      </c>
      <c r="X665" s="92">
        <f>IFERROR(VLOOKUP($A665,'13. Mapa Títulos-Receita'!$A$8:$P$1000,9,FALSE),"")</f>
        <v/>
      </c>
      <c r="Y665" s="92">
        <f>IFERROR(VLOOKUP($A665,'13. Mapa Títulos-Receita'!$A$8:$P$1000,10,FALSE),"")</f>
        <v/>
      </c>
      <c r="Z665" s="92">
        <f>IFERROR(VLOOKUP($A665,'13. Mapa Títulos-Receita'!$A$8:$P$1000,11,FALSE),"")</f>
        <v/>
      </c>
      <c r="AA665" s="92">
        <f>IFERROR(VLOOKUP($A665,'13. Mapa Títulos-Receita'!$A$8:$P$1000,12,FALSE),"")</f>
        <v/>
      </c>
      <c r="AB665" s="92">
        <f>IFERROR(VLOOKUP($A665,'13. Mapa Títulos-Receita'!$A$8:$P$1000,13,FALSE),"")</f>
        <v/>
      </c>
      <c r="AC665" s="92">
        <f>IFERROR(VLOOKUP($A665,'13. Mapa Títulos-Receita'!$A$8:$P$1000,14,FALSE),"")</f>
        <v/>
      </c>
      <c r="AD665" s="92">
        <f>IFERROR(VLOOKUP($A665,'13. Mapa Títulos-Receita'!$A$8:$P$1000,15,FALSE),"")</f>
        <v/>
      </c>
      <c r="AE665" s="92">
        <f>IFERROR(VLOOKUP($A665,'13. Mapa Títulos-Receita'!$A$8:$P$1000,16,FALSE),"")</f>
        <v/>
      </c>
    </row>
    <row r="666">
      <c r="A666" s="28">
        <f>IF(C666="","", "CR-"&amp;TEXT(ROW()-7,"000"))</f>
        <v/>
      </c>
      <c r="B666" s="28" t="n"/>
      <c r="C666" s="28" t="n"/>
      <c r="D666" s="111" t="n"/>
      <c r="E666" s="111" t="n"/>
      <c r="F666" s="111" t="n"/>
      <c r="G666" s="28" t="n"/>
      <c r="H666" s="45" t="n"/>
      <c r="I666" s="45" t="n"/>
      <c r="J666" s="28">
        <f>IF(H666="","",IF(I666&gt;=H666,"Recebido",IF($B$4&gt;E666,"Vencido","Aberto")))</f>
        <v/>
      </c>
      <c r="K666" s="4">
        <f>IF(J666="","",IF(OR(J666="Recebido",F666=""),MAX(0,F666-E666),MAX(0,$B$4-E666)))</f>
        <v/>
      </c>
      <c r="L666" s="4">
        <f>IF(K666="","",IF(K666=0,"Em dia",IF(K666&lt;=30,"1-30 dias",IF(K666&lt;=60,"31-60 dias",IF(K666&lt;=90,"61-90 dias","&gt;90 dias")))))</f>
        <v/>
      </c>
      <c r="M666" s="28" t="n"/>
      <c r="N666" s="104" t="inlineStr"/>
      <c r="O666" s="64" t="n"/>
      <c r="P666" s="64">
        <f>IF(C666="","",IF(ISNUMBER(SEARCH("PCMSO",C666)),"PCMSO",IF(OR(ISNUMBER(SEARCH("E-SOCIAL",C666)),ISNUMBER(SEARCH("PSICOSOCIAL",C666))),"eSocial / Psicossocial",IF(O666="Receita recorrente","Carteira recorrente","Projetos / Laudos / Avulsos"))))</f>
        <v/>
      </c>
      <c r="Q666" s="64">
        <f>IF(P666="","",IF(P666="Carteira recorrente","Operação recorrente",IF(P666="PCMSO","Projetos PCMSO",IF(P666="eSocial / Psicossocial","Projetos eSocial/Psicossocial","Projetos / Laudos / Avulsos"))))</f>
        <v/>
      </c>
      <c r="R666" s="64">
        <f>IF(C666="","",IF(ISNUMBER(SEARCH("PCMSO",C666)),"Título com PCMSO no nome",IF(OR(ISNUMBER(SEARCH("E-SOCIAL",C666)),ISNUMBER(SEARCH("PSICOSOCIAL",C666))),"Título com eSocial/Psicossocial no nome",IF(O666="Receita recorrente","Tipo DRE recorrente","Extra sem palavra-chave específica"))))</f>
        <v/>
      </c>
      <c r="S666" s="92">
        <f>IFERROR(VLOOKUP($A666,'13. Mapa Títulos-Receita'!$A$8:$P$1000,4,FALSE),"")</f>
        <v/>
      </c>
      <c r="T666" s="92">
        <f>IFERROR(VLOOKUP($A666,'13. Mapa Títulos-Receita'!$A$8:$P$1000,5,FALSE),"")</f>
        <v/>
      </c>
      <c r="U666" s="92">
        <f>IFERROR(VLOOKUP($A666,'13. Mapa Títulos-Receita'!$A$8:$P$1000,6,FALSE),"")</f>
        <v/>
      </c>
      <c r="V666" s="92">
        <f>IFERROR(VLOOKUP($A666,'13. Mapa Títulos-Receita'!$A$8:$P$1000,7,FALSE),"")</f>
        <v/>
      </c>
      <c r="W666" s="92">
        <f>IFERROR(VLOOKUP($A666,'13. Mapa Títulos-Receita'!$A$8:$P$1000,8,FALSE),"")</f>
        <v/>
      </c>
      <c r="X666" s="92">
        <f>IFERROR(VLOOKUP($A666,'13. Mapa Títulos-Receita'!$A$8:$P$1000,9,FALSE),"")</f>
        <v/>
      </c>
      <c r="Y666" s="92">
        <f>IFERROR(VLOOKUP($A666,'13. Mapa Títulos-Receita'!$A$8:$P$1000,10,FALSE),"")</f>
        <v/>
      </c>
      <c r="Z666" s="92">
        <f>IFERROR(VLOOKUP($A666,'13. Mapa Títulos-Receita'!$A$8:$P$1000,11,FALSE),"")</f>
        <v/>
      </c>
      <c r="AA666" s="92">
        <f>IFERROR(VLOOKUP($A666,'13. Mapa Títulos-Receita'!$A$8:$P$1000,12,FALSE),"")</f>
        <v/>
      </c>
      <c r="AB666" s="92">
        <f>IFERROR(VLOOKUP($A666,'13. Mapa Títulos-Receita'!$A$8:$P$1000,13,FALSE),"")</f>
        <v/>
      </c>
      <c r="AC666" s="92">
        <f>IFERROR(VLOOKUP($A666,'13. Mapa Títulos-Receita'!$A$8:$P$1000,14,FALSE),"")</f>
        <v/>
      </c>
      <c r="AD666" s="92">
        <f>IFERROR(VLOOKUP($A666,'13. Mapa Títulos-Receita'!$A$8:$P$1000,15,FALSE),"")</f>
        <v/>
      </c>
      <c r="AE666" s="92">
        <f>IFERROR(VLOOKUP($A666,'13. Mapa Títulos-Receita'!$A$8:$P$1000,16,FALSE),"")</f>
        <v/>
      </c>
    </row>
    <row r="667">
      <c r="A667" s="28">
        <f>IF(C667="","", "CR-"&amp;TEXT(ROW()-7,"000"))</f>
        <v/>
      </c>
      <c r="B667" s="28" t="n"/>
      <c r="C667" s="28" t="n"/>
      <c r="D667" s="111" t="n"/>
      <c r="E667" s="111" t="n"/>
      <c r="F667" s="111" t="n"/>
      <c r="G667" s="28" t="n"/>
      <c r="H667" s="45" t="n"/>
      <c r="I667" s="45" t="n"/>
      <c r="J667" s="28">
        <f>IF(H667="","",IF(I667&gt;=H667,"Recebido",IF($B$4&gt;E667,"Vencido","Aberto")))</f>
        <v/>
      </c>
      <c r="K667" s="4">
        <f>IF(J667="","",IF(OR(J667="Recebido",F667=""),MAX(0,F667-E667),MAX(0,$B$4-E667)))</f>
        <v/>
      </c>
      <c r="L667" s="4">
        <f>IF(K667="","",IF(K667=0,"Em dia",IF(K667&lt;=30,"1-30 dias",IF(K667&lt;=60,"31-60 dias",IF(K667&lt;=90,"61-90 dias","&gt;90 dias")))))</f>
        <v/>
      </c>
      <c r="M667" s="28" t="n"/>
      <c r="N667" s="104" t="inlineStr"/>
      <c r="O667" s="64" t="n"/>
      <c r="P667" s="64">
        <f>IF(C667="","",IF(ISNUMBER(SEARCH("PCMSO",C667)),"PCMSO",IF(OR(ISNUMBER(SEARCH("E-SOCIAL",C667)),ISNUMBER(SEARCH("PSICOSOCIAL",C667))),"eSocial / Psicossocial",IF(O667="Receita recorrente","Carteira recorrente","Projetos / Laudos / Avulsos"))))</f>
        <v/>
      </c>
      <c r="Q667" s="64">
        <f>IF(P667="","",IF(P667="Carteira recorrente","Operação recorrente",IF(P667="PCMSO","Projetos PCMSO",IF(P667="eSocial / Psicossocial","Projetos eSocial/Psicossocial","Projetos / Laudos / Avulsos"))))</f>
        <v/>
      </c>
      <c r="R667" s="64">
        <f>IF(C667="","",IF(ISNUMBER(SEARCH("PCMSO",C667)),"Título com PCMSO no nome",IF(OR(ISNUMBER(SEARCH("E-SOCIAL",C667)),ISNUMBER(SEARCH("PSICOSOCIAL",C667))),"Título com eSocial/Psicossocial no nome",IF(O667="Receita recorrente","Tipo DRE recorrente","Extra sem palavra-chave específica"))))</f>
        <v/>
      </c>
      <c r="S667" s="92">
        <f>IFERROR(VLOOKUP($A667,'13. Mapa Títulos-Receita'!$A$8:$P$1000,4,FALSE),"")</f>
        <v/>
      </c>
      <c r="T667" s="92">
        <f>IFERROR(VLOOKUP($A667,'13. Mapa Títulos-Receita'!$A$8:$P$1000,5,FALSE),"")</f>
        <v/>
      </c>
      <c r="U667" s="92">
        <f>IFERROR(VLOOKUP($A667,'13. Mapa Títulos-Receita'!$A$8:$P$1000,6,FALSE),"")</f>
        <v/>
      </c>
      <c r="V667" s="92">
        <f>IFERROR(VLOOKUP($A667,'13. Mapa Títulos-Receita'!$A$8:$P$1000,7,FALSE),"")</f>
        <v/>
      </c>
      <c r="W667" s="92">
        <f>IFERROR(VLOOKUP($A667,'13. Mapa Títulos-Receita'!$A$8:$P$1000,8,FALSE),"")</f>
        <v/>
      </c>
      <c r="X667" s="92">
        <f>IFERROR(VLOOKUP($A667,'13. Mapa Títulos-Receita'!$A$8:$P$1000,9,FALSE),"")</f>
        <v/>
      </c>
      <c r="Y667" s="92">
        <f>IFERROR(VLOOKUP($A667,'13. Mapa Títulos-Receita'!$A$8:$P$1000,10,FALSE),"")</f>
        <v/>
      </c>
      <c r="Z667" s="92">
        <f>IFERROR(VLOOKUP($A667,'13. Mapa Títulos-Receita'!$A$8:$P$1000,11,FALSE),"")</f>
        <v/>
      </c>
      <c r="AA667" s="92">
        <f>IFERROR(VLOOKUP($A667,'13. Mapa Títulos-Receita'!$A$8:$P$1000,12,FALSE),"")</f>
        <v/>
      </c>
      <c r="AB667" s="92">
        <f>IFERROR(VLOOKUP($A667,'13. Mapa Títulos-Receita'!$A$8:$P$1000,13,FALSE),"")</f>
        <v/>
      </c>
      <c r="AC667" s="92">
        <f>IFERROR(VLOOKUP($A667,'13. Mapa Títulos-Receita'!$A$8:$P$1000,14,FALSE),"")</f>
        <v/>
      </c>
      <c r="AD667" s="92">
        <f>IFERROR(VLOOKUP($A667,'13. Mapa Títulos-Receita'!$A$8:$P$1000,15,FALSE),"")</f>
        <v/>
      </c>
      <c r="AE667" s="92">
        <f>IFERROR(VLOOKUP($A667,'13. Mapa Títulos-Receita'!$A$8:$P$1000,16,FALSE),"")</f>
        <v/>
      </c>
    </row>
    <row r="668">
      <c r="A668" s="28">
        <f>IF(C668="","", "CR-"&amp;TEXT(ROW()-7,"000"))</f>
        <v/>
      </c>
      <c r="B668" s="28" t="n"/>
      <c r="C668" s="28" t="n"/>
      <c r="D668" s="111" t="n"/>
      <c r="E668" s="111" t="n"/>
      <c r="F668" s="111" t="n"/>
      <c r="G668" s="28" t="n"/>
      <c r="H668" s="45" t="n"/>
      <c r="I668" s="45" t="n"/>
      <c r="J668" s="28">
        <f>IF(H668="","",IF(I668&gt;=H668,"Recebido",IF($B$4&gt;E668,"Vencido","Aberto")))</f>
        <v/>
      </c>
      <c r="K668" s="4">
        <f>IF(J668="","",IF(OR(J668="Recebido",F668=""),MAX(0,F668-E668),MAX(0,$B$4-E668)))</f>
        <v/>
      </c>
      <c r="L668" s="4">
        <f>IF(K668="","",IF(K668=0,"Em dia",IF(K668&lt;=30,"1-30 dias",IF(K668&lt;=60,"31-60 dias",IF(K668&lt;=90,"61-90 dias","&gt;90 dias")))))</f>
        <v/>
      </c>
      <c r="M668" s="28" t="n"/>
      <c r="N668" s="104" t="inlineStr"/>
      <c r="O668" s="64" t="n"/>
      <c r="P668" s="64">
        <f>IF(C668="","",IF(ISNUMBER(SEARCH("PCMSO",C668)),"PCMSO",IF(OR(ISNUMBER(SEARCH("E-SOCIAL",C668)),ISNUMBER(SEARCH("PSICOSOCIAL",C668))),"eSocial / Psicossocial",IF(O668="Receita recorrente","Carteira recorrente","Projetos / Laudos / Avulsos"))))</f>
        <v/>
      </c>
      <c r="Q668" s="64">
        <f>IF(P668="","",IF(P668="Carteira recorrente","Operação recorrente",IF(P668="PCMSO","Projetos PCMSO",IF(P668="eSocial / Psicossocial","Projetos eSocial/Psicossocial","Projetos / Laudos / Avulsos"))))</f>
        <v/>
      </c>
      <c r="R668" s="64">
        <f>IF(C668="","",IF(ISNUMBER(SEARCH("PCMSO",C668)),"Título com PCMSO no nome",IF(OR(ISNUMBER(SEARCH("E-SOCIAL",C668)),ISNUMBER(SEARCH("PSICOSOCIAL",C668))),"Título com eSocial/Psicossocial no nome",IF(O668="Receita recorrente","Tipo DRE recorrente","Extra sem palavra-chave específica"))))</f>
        <v/>
      </c>
      <c r="S668" s="92">
        <f>IFERROR(VLOOKUP($A668,'13. Mapa Títulos-Receita'!$A$8:$P$1000,4,FALSE),"")</f>
        <v/>
      </c>
      <c r="T668" s="92">
        <f>IFERROR(VLOOKUP($A668,'13. Mapa Títulos-Receita'!$A$8:$P$1000,5,FALSE),"")</f>
        <v/>
      </c>
      <c r="U668" s="92">
        <f>IFERROR(VLOOKUP($A668,'13. Mapa Títulos-Receita'!$A$8:$P$1000,6,FALSE),"")</f>
        <v/>
      </c>
      <c r="V668" s="92">
        <f>IFERROR(VLOOKUP($A668,'13. Mapa Títulos-Receita'!$A$8:$P$1000,7,FALSE),"")</f>
        <v/>
      </c>
      <c r="W668" s="92">
        <f>IFERROR(VLOOKUP($A668,'13. Mapa Títulos-Receita'!$A$8:$P$1000,8,FALSE),"")</f>
        <v/>
      </c>
      <c r="X668" s="92">
        <f>IFERROR(VLOOKUP($A668,'13. Mapa Títulos-Receita'!$A$8:$P$1000,9,FALSE),"")</f>
        <v/>
      </c>
      <c r="Y668" s="92">
        <f>IFERROR(VLOOKUP($A668,'13. Mapa Títulos-Receita'!$A$8:$P$1000,10,FALSE),"")</f>
        <v/>
      </c>
      <c r="Z668" s="92">
        <f>IFERROR(VLOOKUP($A668,'13. Mapa Títulos-Receita'!$A$8:$P$1000,11,FALSE),"")</f>
        <v/>
      </c>
      <c r="AA668" s="92">
        <f>IFERROR(VLOOKUP($A668,'13. Mapa Títulos-Receita'!$A$8:$P$1000,12,FALSE),"")</f>
        <v/>
      </c>
      <c r="AB668" s="92">
        <f>IFERROR(VLOOKUP($A668,'13. Mapa Títulos-Receita'!$A$8:$P$1000,13,FALSE),"")</f>
        <v/>
      </c>
      <c r="AC668" s="92">
        <f>IFERROR(VLOOKUP($A668,'13. Mapa Títulos-Receita'!$A$8:$P$1000,14,FALSE),"")</f>
        <v/>
      </c>
      <c r="AD668" s="92">
        <f>IFERROR(VLOOKUP($A668,'13. Mapa Títulos-Receita'!$A$8:$P$1000,15,FALSE),"")</f>
        <v/>
      </c>
      <c r="AE668" s="92">
        <f>IFERROR(VLOOKUP($A668,'13. Mapa Títulos-Receita'!$A$8:$P$1000,16,FALSE),"")</f>
        <v/>
      </c>
    </row>
    <row r="669">
      <c r="A669" s="28">
        <f>IF(C669="","", "CR-"&amp;TEXT(ROW()-7,"000"))</f>
        <v/>
      </c>
      <c r="B669" s="28" t="n"/>
      <c r="C669" s="28" t="n"/>
      <c r="D669" s="111" t="n"/>
      <c r="E669" s="111" t="n"/>
      <c r="F669" s="111" t="n"/>
      <c r="G669" s="28" t="n"/>
      <c r="H669" s="45" t="n"/>
      <c r="I669" s="45" t="n"/>
      <c r="J669" s="28">
        <f>IF(H669="","",IF(I669&gt;=H669,"Recebido",IF($B$4&gt;E669,"Vencido","Aberto")))</f>
        <v/>
      </c>
      <c r="K669" s="4">
        <f>IF(J669="","",IF(OR(J669="Recebido",F669=""),MAX(0,F669-E669),MAX(0,$B$4-E669)))</f>
        <v/>
      </c>
      <c r="L669" s="4">
        <f>IF(K669="","",IF(K669=0,"Em dia",IF(K669&lt;=30,"1-30 dias",IF(K669&lt;=60,"31-60 dias",IF(K669&lt;=90,"61-90 dias","&gt;90 dias")))))</f>
        <v/>
      </c>
      <c r="M669" s="28" t="n"/>
      <c r="N669" s="104" t="inlineStr"/>
      <c r="O669" s="64" t="n"/>
      <c r="P669" s="64">
        <f>IF(C669="","",IF(ISNUMBER(SEARCH("PCMSO",C669)),"PCMSO",IF(OR(ISNUMBER(SEARCH("E-SOCIAL",C669)),ISNUMBER(SEARCH("PSICOSOCIAL",C669))),"eSocial / Psicossocial",IF(O669="Receita recorrente","Carteira recorrente","Projetos / Laudos / Avulsos"))))</f>
        <v/>
      </c>
      <c r="Q669" s="64">
        <f>IF(P669="","",IF(P669="Carteira recorrente","Operação recorrente",IF(P669="PCMSO","Projetos PCMSO",IF(P669="eSocial / Psicossocial","Projetos eSocial/Psicossocial","Projetos / Laudos / Avulsos"))))</f>
        <v/>
      </c>
      <c r="R669" s="64">
        <f>IF(C669="","",IF(ISNUMBER(SEARCH("PCMSO",C669)),"Título com PCMSO no nome",IF(OR(ISNUMBER(SEARCH("E-SOCIAL",C669)),ISNUMBER(SEARCH("PSICOSOCIAL",C669))),"Título com eSocial/Psicossocial no nome",IF(O669="Receita recorrente","Tipo DRE recorrente","Extra sem palavra-chave específica"))))</f>
        <v/>
      </c>
      <c r="S669" s="92">
        <f>IFERROR(VLOOKUP($A669,'13. Mapa Títulos-Receita'!$A$8:$P$1000,4,FALSE),"")</f>
        <v/>
      </c>
      <c r="T669" s="92">
        <f>IFERROR(VLOOKUP($A669,'13. Mapa Títulos-Receita'!$A$8:$P$1000,5,FALSE),"")</f>
        <v/>
      </c>
      <c r="U669" s="92">
        <f>IFERROR(VLOOKUP($A669,'13. Mapa Títulos-Receita'!$A$8:$P$1000,6,FALSE),"")</f>
        <v/>
      </c>
      <c r="V669" s="92">
        <f>IFERROR(VLOOKUP($A669,'13. Mapa Títulos-Receita'!$A$8:$P$1000,7,FALSE),"")</f>
        <v/>
      </c>
      <c r="W669" s="92">
        <f>IFERROR(VLOOKUP($A669,'13. Mapa Títulos-Receita'!$A$8:$P$1000,8,FALSE),"")</f>
        <v/>
      </c>
      <c r="X669" s="92">
        <f>IFERROR(VLOOKUP($A669,'13. Mapa Títulos-Receita'!$A$8:$P$1000,9,FALSE),"")</f>
        <v/>
      </c>
      <c r="Y669" s="92">
        <f>IFERROR(VLOOKUP($A669,'13. Mapa Títulos-Receita'!$A$8:$P$1000,10,FALSE),"")</f>
        <v/>
      </c>
      <c r="Z669" s="92">
        <f>IFERROR(VLOOKUP($A669,'13. Mapa Títulos-Receita'!$A$8:$P$1000,11,FALSE),"")</f>
        <v/>
      </c>
      <c r="AA669" s="92">
        <f>IFERROR(VLOOKUP($A669,'13. Mapa Títulos-Receita'!$A$8:$P$1000,12,FALSE),"")</f>
        <v/>
      </c>
      <c r="AB669" s="92">
        <f>IFERROR(VLOOKUP($A669,'13. Mapa Títulos-Receita'!$A$8:$P$1000,13,FALSE),"")</f>
        <v/>
      </c>
      <c r="AC669" s="92">
        <f>IFERROR(VLOOKUP($A669,'13. Mapa Títulos-Receita'!$A$8:$P$1000,14,FALSE),"")</f>
        <v/>
      </c>
      <c r="AD669" s="92">
        <f>IFERROR(VLOOKUP($A669,'13. Mapa Títulos-Receita'!$A$8:$P$1000,15,FALSE),"")</f>
        <v/>
      </c>
      <c r="AE669" s="92">
        <f>IFERROR(VLOOKUP($A669,'13. Mapa Títulos-Receita'!$A$8:$P$1000,16,FALSE),"")</f>
        <v/>
      </c>
    </row>
    <row r="670">
      <c r="A670" s="28">
        <f>IF(C670="","", "CR-"&amp;TEXT(ROW()-7,"000"))</f>
        <v/>
      </c>
      <c r="B670" s="28" t="n"/>
      <c r="C670" s="28" t="n"/>
      <c r="D670" s="111" t="n"/>
      <c r="E670" s="111" t="n"/>
      <c r="F670" s="111" t="n"/>
      <c r="G670" s="28" t="n"/>
      <c r="H670" s="45" t="n"/>
      <c r="I670" s="45" t="n"/>
      <c r="J670" s="28">
        <f>IF(H670="","",IF(I670&gt;=H670,"Recebido",IF($B$4&gt;E670,"Vencido","Aberto")))</f>
        <v/>
      </c>
      <c r="K670" s="4">
        <f>IF(J670="","",IF(OR(J670="Recebido",F670=""),MAX(0,F670-E670),MAX(0,$B$4-E670)))</f>
        <v/>
      </c>
      <c r="L670" s="4">
        <f>IF(K670="","",IF(K670=0,"Em dia",IF(K670&lt;=30,"1-30 dias",IF(K670&lt;=60,"31-60 dias",IF(K670&lt;=90,"61-90 dias","&gt;90 dias")))))</f>
        <v/>
      </c>
      <c r="M670" s="28" t="n"/>
      <c r="N670" s="104" t="inlineStr"/>
      <c r="O670" s="64" t="n"/>
      <c r="P670" s="64">
        <f>IF(C670="","",IF(ISNUMBER(SEARCH("PCMSO",C670)),"PCMSO",IF(OR(ISNUMBER(SEARCH("E-SOCIAL",C670)),ISNUMBER(SEARCH("PSICOSOCIAL",C670))),"eSocial / Psicossocial",IF(O670="Receita recorrente","Carteira recorrente","Projetos / Laudos / Avulsos"))))</f>
        <v/>
      </c>
      <c r="Q670" s="64">
        <f>IF(P670="","",IF(P670="Carteira recorrente","Operação recorrente",IF(P670="PCMSO","Projetos PCMSO",IF(P670="eSocial / Psicossocial","Projetos eSocial/Psicossocial","Projetos / Laudos / Avulsos"))))</f>
        <v/>
      </c>
      <c r="R670" s="64">
        <f>IF(C670="","",IF(ISNUMBER(SEARCH("PCMSO",C670)),"Título com PCMSO no nome",IF(OR(ISNUMBER(SEARCH("E-SOCIAL",C670)),ISNUMBER(SEARCH("PSICOSOCIAL",C670))),"Título com eSocial/Psicossocial no nome",IF(O670="Receita recorrente","Tipo DRE recorrente","Extra sem palavra-chave específica"))))</f>
        <v/>
      </c>
      <c r="S670" s="92">
        <f>IFERROR(VLOOKUP($A670,'13. Mapa Títulos-Receita'!$A$8:$P$1000,4,FALSE),"")</f>
        <v/>
      </c>
      <c r="T670" s="92">
        <f>IFERROR(VLOOKUP($A670,'13. Mapa Títulos-Receita'!$A$8:$P$1000,5,FALSE),"")</f>
        <v/>
      </c>
      <c r="U670" s="92">
        <f>IFERROR(VLOOKUP($A670,'13. Mapa Títulos-Receita'!$A$8:$P$1000,6,FALSE),"")</f>
        <v/>
      </c>
      <c r="V670" s="92">
        <f>IFERROR(VLOOKUP($A670,'13. Mapa Títulos-Receita'!$A$8:$P$1000,7,FALSE),"")</f>
        <v/>
      </c>
      <c r="W670" s="92">
        <f>IFERROR(VLOOKUP($A670,'13. Mapa Títulos-Receita'!$A$8:$P$1000,8,FALSE),"")</f>
        <v/>
      </c>
      <c r="X670" s="92">
        <f>IFERROR(VLOOKUP($A670,'13. Mapa Títulos-Receita'!$A$8:$P$1000,9,FALSE),"")</f>
        <v/>
      </c>
      <c r="Y670" s="92">
        <f>IFERROR(VLOOKUP($A670,'13. Mapa Títulos-Receita'!$A$8:$P$1000,10,FALSE),"")</f>
        <v/>
      </c>
      <c r="Z670" s="92">
        <f>IFERROR(VLOOKUP($A670,'13. Mapa Títulos-Receita'!$A$8:$P$1000,11,FALSE),"")</f>
        <v/>
      </c>
      <c r="AA670" s="92">
        <f>IFERROR(VLOOKUP($A670,'13. Mapa Títulos-Receita'!$A$8:$P$1000,12,FALSE),"")</f>
        <v/>
      </c>
      <c r="AB670" s="92">
        <f>IFERROR(VLOOKUP($A670,'13. Mapa Títulos-Receita'!$A$8:$P$1000,13,FALSE),"")</f>
        <v/>
      </c>
      <c r="AC670" s="92">
        <f>IFERROR(VLOOKUP($A670,'13. Mapa Títulos-Receita'!$A$8:$P$1000,14,FALSE),"")</f>
        <v/>
      </c>
      <c r="AD670" s="92">
        <f>IFERROR(VLOOKUP($A670,'13. Mapa Títulos-Receita'!$A$8:$P$1000,15,FALSE),"")</f>
        <v/>
      </c>
      <c r="AE670" s="92">
        <f>IFERROR(VLOOKUP($A670,'13. Mapa Títulos-Receita'!$A$8:$P$1000,16,FALSE),"")</f>
        <v/>
      </c>
    </row>
    <row r="671">
      <c r="A671" s="28">
        <f>IF(C671="","", "CR-"&amp;TEXT(ROW()-7,"000"))</f>
        <v/>
      </c>
      <c r="B671" s="28" t="n"/>
      <c r="C671" s="28" t="n"/>
      <c r="D671" s="111" t="n"/>
      <c r="E671" s="111" t="n"/>
      <c r="F671" s="111" t="n"/>
      <c r="G671" s="28" t="n"/>
      <c r="H671" s="45" t="n"/>
      <c r="I671" s="45" t="n"/>
      <c r="J671" s="28">
        <f>IF(H671="","",IF(I671&gt;=H671,"Recebido",IF($B$4&gt;E671,"Vencido","Aberto")))</f>
        <v/>
      </c>
      <c r="K671" s="4">
        <f>IF(J671="","",IF(OR(J671="Recebido",F671=""),MAX(0,F671-E671),MAX(0,$B$4-E671)))</f>
        <v/>
      </c>
      <c r="L671" s="4">
        <f>IF(K671="","",IF(K671=0,"Em dia",IF(K671&lt;=30,"1-30 dias",IF(K671&lt;=60,"31-60 dias",IF(K671&lt;=90,"61-90 dias","&gt;90 dias")))))</f>
        <v/>
      </c>
      <c r="M671" s="28" t="n"/>
      <c r="N671" s="104" t="inlineStr"/>
      <c r="O671" s="64" t="n"/>
      <c r="P671" s="64">
        <f>IF(C671="","",IF(ISNUMBER(SEARCH("PCMSO",C671)),"PCMSO",IF(OR(ISNUMBER(SEARCH("E-SOCIAL",C671)),ISNUMBER(SEARCH("PSICOSOCIAL",C671))),"eSocial / Psicossocial",IF(O671="Receita recorrente","Carteira recorrente","Projetos / Laudos / Avulsos"))))</f>
        <v/>
      </c>
      <c r="Q671" s="64">
        <f>IF(P671="","",IF(P671="Carteira recorrente","Operação recorrente",IF(P671="PCMSO","Projetos PCMSO",IF(P671="eSocial / Psicossocial","Projetos eSocial/Psicossocial","Projetos / Laudos / Avulsos"))))</f>
        <v/>
      </c>
      <c r="R671" s="64">
        <f>IF(C671="","",IF(ISNUMBER(SEARCH("PCMSO",C671)),"Título com PCMSO no nome",IF(OR(ISNUMBER(SEARCH("E-SOCIAL",C671)),ISNUMBER(SEARCH("PSICOSOCIAL",C671))),"Título com eSocial/Psicossocial no nome",IF(O671="Receita recorrente","Tipo DRE recorrente","Extra sem palavra-chave específica"))))</f>
        <v/>
      </c>
      <c r="S671" s="92">
        <f>IFERROR(VLOOKUP($A671,'13. Mapa Títulos-Receita'!$A$8:$P$1000,4,FALSE),"")</f>
        <v/>
      </c>
      <c r="T671" s="92">
        <f>IFERROR(VLOOKUP($A671,'13. Mapa Títulos-Receita'!$A$8:$P$1000,5,FALSE),"")</f>
        <v/>
      </c>
      <c r="U671" s="92">
        <f>IFERROR(VLOOKUP($A671,'13. Mapa Títulos-Receita'!$A$8:$P$1000,6,FALSE),"")</f>
        <v/>
      </c>
      <c r="V671" s="92">
        <f>IFERROR(VLOOKUP($A671,'13. Mapa Títulos-Receita'!$A$8:$P$1000,7,FALSE),"")</f>
        <v/>
      </c>
      <c r="W671" s="92">
        <f>IFERROR(VLOOKUP($A671,'13. Mapa Títulos-Receita'!$A$8:$P$1000,8,FALSE),"")</f>
        <v/>
      </c>
      <c r="X671" s="92">
        <f>IFERROR(VLOOKUP($A671,'13. Mapa Títulos-Receita'!$A$8:$P$1000,9,FALSE),"")</f>
        <v/>
      </c>
      <c r="Y671" s="92">
        <f>IFERROR(VLOOKUP($A671,'13. Mapa Títulos-Receita'!$A$8:$P$1000,10,FALSE),"")</f>
        <v/>
      </c>
      <c r="Z671" s="92">
        <f>IFERROR(VLOOKUP($A671,'13. Mapa Títulos-Receita'!$A$8:$P$1000,11,FALSE),"")</f>
        <v/>
      </c>
      <c r="AA671" s="92">
        <f>IFERROR(VLOOKUP($A671,'13. Mapa Títulos-Receita'!$A$8:$P$1000,12,FALSE),"")</f>
        <v/>
      </c>
      <c r="AB671" s="92">
        <f>IFERROR(VLOOKUP($A671,'13. Mapa Títulos-Receita'!$A$8:$P$1000,13,FALSE),"")</f>
        <v/>
      </c>
      <c r="AC671" s="92">
        <f>IFERROR(VLOOKUP($A671,'13. Mapa Títulos-Receita'!$A$8:$P$1000,14,FALSE),"")</f>
        <v/>
      </c>
      <c r="AD671" s="92">
        <f>IFERROR(VLOOKUP($A671,'13. Mapa Títulos-Receita'!$A$8:$P$1000,15,FALSE),"")</f>
        <v/>
      </c>
      <c r="AE671" s="92">
        <f>IFERROR(VLOOKUP($A671,'13. Mapa Títulos-Receita'!$A$8:$P$1000,16,FALSE),"")</f>
        <v/>
      </c>
    </row>
    <row r="672">
      <c r="A672" s="28">
        <f>IF(C672="","", "CR-"&amp;TEXT(ROW()-7,"000"))</f>
        <v/>
      </c>
      <c r="B672" s="28" t="n"/>
      <c r="C672" s="28" t="n"/>
      <c r="D672" s="111" t="n"/>
      <c r="E672" s="111" t="n"/>
      <c r="F672" s="111" t="n"/>
      <c r="G672" s="28" t="n"/>
      <c r="H672" s="45" t="n"/>
      <c r="I672" s="45" t="n"/>
      <c r="J672" s="28">
        <f>IF(H672="","",IF(I672&gt;=H672,"Recebido",IF($B$4&gt;E672,"Vencido","Aberto")))</f>
        <v/>
      </c>
      <c r="K672" s="4">
        <f>IF(J672="","",IF(OR(J672="Recebido",F672=""),MAX(0,F672-E672),MAX(0,$B$4-E672)))</f>
        <v/>
      </c>
      <c r="L672" s="4">
        <f>IF(K672="","",IF(K672=0,"Em dia",IF(K672&lt;=30,"1-30 dias",IF(K672&lt;=60,"31-60 dias",IF(K672&lt;=90,"61-90 dias","&gt;90 dias")))))</f>
        <v/>
      </c>
      <c r="M672" s="28" t="n"/>
      <c r="N672" s="104" t="inlineStr"/>
      <c r="O672" s="64" t="n"/>
      <c r="P672" s="64">
        <f>IF(C672="","",IF(ISNUMBER(SEARCH("PCMSO",C672)),"PCMSO",IF(OR(ISNUMBER(SEARCH("E-SOCIAL",C672)),ISNUMBER(SEARCH("PSICOSOCIAL",C672))),"eSocial / Psicossocial",IF(O672="Receita recorrente","Carteira recorrente","Projetos / Laudos / Avulsos"))))</f>
        <v/>
      </c>
      <c r="Q672" s="64">
        <f>IF(P672="","",IF(P672="Carteira recorrente","Operação recorrente",IF(P672="PCMSO","Projetos PCMSO",IF(P672="eSocial / Psicossocial","Projetos eSocial/Psicossocial","Projetos / Laudos / Avulsos"))))</f>
        <v/>
      </c>
      <c r="R672" s="64">
        <f>IF(C672="","",IF(ISNUMBER(SEARCH("PCMSO",C672)),"Título com PCMSO no nome",IF(OR(ISNUMBER(SEARCH("E-SOCIAL",C672)),ISNUMBER(SEARCH("PSICOSOCIAL",C672))),"Título com eSocial/Psicossocial no nome",IF(O672="Receita recorrente","Tipo DRE recorrente","Extra sem palavra-chave específica"))))</f>
        <v/>
      </c>
      <c r="S672" s="92">
        <f>IFERROR(VLOOKUP($A672,'13. Mapa Títulos-Receita'!$A$8:$P$1000,4,FALSE),"")</f>
        <v/>
      </c>
      <c r="T672" s="92">
        <f>IFERROR(VLOOKUP($A672,'13. Mapa Títulos-Receita'!$A$8:$P$1000,5,FALSE),"")</f>
        <v/>
      </c>
      <c r="U672" s="92">
        <f>IFERROR(VLOOKUP($A672,'13. Mapa Títulos-Receita'!$A$8:$P$1000,6,FALSE),"")</f>
        <v/>
      </c>
      <c r="V672" s="92">
        <f>IFERROR(VLOOKUP($A672,'13. Mapa Títulos-Receita'!$A$8:$P$1000,7,FALSE),"")</f>
        <v/>
      </c>
      <c r="W672" s="92">
        <f>IFERROR(VLOOKUP($A672,'13. Mapa Títulos-Receita'!$A$8:$P$1000,8,FALSE),"")</f>
        <v/>
      </c>
      <c r="X672" s="92">
        <f>IFERROR(VLOOKUP($A672,'13. Mapa Títulos-Receita'!$A$8:$P$1000,9,FALSE),"")</f>
        <v/>
      </c>
      <c r="Y672" s="92">
        <f>IFERROR(VLOOKUP($A672,'13. Mapa Títulos-Receita'!$A$8:$P$1000,10,FALSE),"")</f>
        <v/>
      </c>
      <c r="Z672" s="92">
        <f>IFERROR(VLOOKUP($A672,'13. Mapa Títulos-Receita'!$A$8:$P$1000,11,FALSE),"")</f>
        <v/>
      </c>
      <c r="AA672" s="92">
        <f>IFERROR(VLOOKUP($A672,'13. Mapa Títulos-Receita'!$A$8:$P$1000,12,FALSE),"")</f>
        <v/>
      </c>
      <c r="AB672" s="92">
        <f>IFERROR(VLOOKUP($A672,'13. Mapa Títulos-Receita'!$A$8:$P$1000,13,FALSE),"")</f>
        <v/>
      </c>
      <c r="AC672" s="92">
        <f>IFERROR(VLOOKUP($A672,'13. Mapa Títulos-Receita'!$A$8:$P$1000,14,FALSE),"")</f>
        <v/>
      </c>
      <c r="AD672" s="92">
        <f>IFERROR(VLOOKUP($A672,'13. Mapa Títulos-Receita'!$A$8:$P$1000,15,FALSE),"")</f>
        <v/>
      </c>
      <c r="AE672" s="92">
        <f>IFERROR(VLOOKUP($A672,'13. Mapa Títulos-Receita'!$A$8:$P$1000,16,FALSE),"")</f>
        <v/>
      </c>
    </row>
    <row r="673">
      <c r="A673" s="28">
        <f>IF(C673="","", "CR-"&amp;TEXT(ROW()-7,"000"))</f>
        <v/>
      </c>
      <c r="B673" s="28" t="n"/>
      <c r="C673" s="28" t="n"/>
      <c r="D673" s="111" t="n"/>
      <c r="E673" s="111" t="n"/>
      <c r="F673" s="111" t="n"/>
      <c r="G673" s="28" t="n"/>
      <c r="H673" s="45" t="n"/>
      <c r="I673" s="45" t="n"/>
      <c r="J673" s="28">
        <f>IF(H673="","",IF(I673&gt;=H673,"Recebido",IF($B$4&gt;E673,"Vencido","Aberto")))</f>
        <v/>
      </c>
      <c r="K673" s="4">
        <f>IF(J673="","",IF(OR(J673="Recebido",F673=""),MAX(0,F673-E673),MAX(0,$B$4-E673)))</f>
        <v/>
      </c>
      <c r="L673" s="4">
        <f>IF(K673="","",IF(K673=0,"Em dia",IF(K673&lt;=30,"1-30 dias",IF(K673&lt;=60,"31-60 dias",IF(K673&lt;=90,"61-90 dias","&gt;90 dias")))))</f>
        <v/>
      </c>
      <c r="M673" s="28" t="n"/>
      <c r="N673" s="104" t="inlineStr"/>
      <c r="O673" s="64" t="n"/>
      <c r="P673" s="64">
        <f>IF(C673="","",IF(ISNUMBER(SEARCH("PCMSO",C673)),"PCMSO",IF(OR(ISNUMBER(SEARCH("E-SOCIAL",C673)),ISNUMBER(SEARCH("PSICOSOCIAL",C673))),"eSocial / Psicossocial",IF(O673="Receita recorrente","Carteira recorrente","Projetos / Laudos / Avulsos"))))</f>
        <v/>
      </c>
      <c r="Q673" s="64">
        <f>IF(P673="","",IF(P673="Carteira recorrente","Operação recorrente",IF(P673="PCMSO","Projetos PCMSO",IF(P673="eSocial / Psicossocial","Projetos eSocial/Psicossocial","Projetos / Laudos / Avulsos"))))</f>
        <v/>
      </c>
      <c r="R673" s="64">
        <f>IF(C673="","",IF(ISNUMBER(SEARCH("PCMSO",C673)),"Título com PCMSO no nome",IF(OR(ISNUMBER(SEARCH("E-SOCIAL",C673)),ISNUMBER(SEARCH("PSICOSOCIAL",C673))),"Título com eSocial/Psicossocial no nome",IF(O673="Receita recorrente","Tipo DRE recorrente","Extra sem palavra-chave específica"))))</f>
        <v/>
      </c>
      <c r="S673" s="92">
        <f>IFERROR(VLOOKUP($A673,'13. Mapa Títulos-Receita'!$A$8:$P$1000,4,FALSE),"")</f>
        <v/>
      </c>
      <c r="T673" s="92">
        <f>IFERROR(VLOOKUP($A673,'13. Mapa Títulos-Receita'!$A$8:$P$1000,5,FALSE),"")</f>
        <v/>
      </c>
      <c r="U673" s="92">
        <f>IFERROR(VLOOKUP($A673,'13. Mapa Títulos-Receita'!$A$8:$P$1000,6,FALSE),"")</f>
        <v/>
      </c>
      <c r="V673" s="92">
        <f>IFERROR(VLOOKUP($A673,'13. Mapa Títulos-Receita'!$A$8:$P$1000,7,FALSE),"")</f>
        <v/>
      </c>
      <c r="W673" s="92">
        <f>IFERROR(VLOOKUP($A673,'13. Mapa Títulos-Receita'!$A$8:$P$1000,8,FALSE),"")</f>
        <v/>
      </c>
      <c r="X673" s="92">
        <f>IFERROR(VLOOKUP($A673,'13. Mapa Títulos-Receita'!$A$8:$P$1000,9,FALSE),"")</f>
        <v/>
      </c>
      <c r="Y673" s="92">
        <f>IFERROR(VLOOKUP($A673,'13. Mapa Títulos-Receita'!$A$8:$P$1000,10,FALSE),"")</f>
        <v/>
      </c>
      <c r="Z673" s="92">
        <f>IFERROR(VLOOKUP($A673,'13. Mapa Títulos-Receita'!$A$8:$P$1000,11,FALSE),"")</f>
        <v/>
      </c>
      <c r="AA673" s="92">
        <f>IFERROR(VLOOKUP($A673,'13. Mapa Títulos-Receita'!$A$8:$P$1000,12,FALSE),"")</f>
        <v/>
      </c>
      <c r="AB673" s="92">
        <f>IFERROR(VLOOKUP($A673,'13. Mapa Títulos-Receita'!$A$8:$P$1000,13,FALSE),"")</f>
        <v/>
      </c>
      <c r="AC673" s="92">
        <f>IFERROR(VLOOKUP($A673,'13. Mapa Títulos-Receita'!$A$8:$P$1000,14,FALSE),"")</f>
        <v/>
      </c>
      <c r="AD673" s="92">
        <f>IFERROR(VLOOKUP($A673,'13. Mapa Títulos-Receita'!$A$8:$P$1000,15,FALSE),"")</f>
        <v/>
      </c>
      <c r="AE673" s="92">
        <f>IFERROR(VLOOKUP($A673,'13. Mapa Títulos-Receita'!$A$8:$P$1000,16,FALSE),"")</f>
        <v/>
      </c>
    </row>
    <row r="674">
      <c r="A674" s="28">
        <f>IF(C674="","", "CR-"&amp;TEXT(ROW()-7,"000"))</f>
        <v/>
      </c>
      <c r="B674" s="28" t="n"/>
      <c r="C674" s="28" t="n"/>
      <c r="D674" s="111" t="n"/>
      <c r="E674" s="111" t="n"/>
      <c r="F674" s="111" t="n"/>
      <c r="G674" s="28" t="n"/>
      <c r="H674" s="45" t="n"/>
      <c r="I674" s="45" t="n"/>
      <c r="J674" s="28">
        <f>IF(H674="","",IF(I674&gt;=H674,"Recebido",IF($B$4&gt;E674,"Vencido","Aberto")))</f>
        <v/>
      </c>
      <c r="K674" s="4">
        <f>IF(J674="","",IF(OR(J674="Recebido",F674=""),MAX(0,F674-E674),MAX(0,$B$4-E674)))</f>
        <v/>
      </c>
      <c r="L674" s="4">
        <f>IF(K674="","",IF(K674=0,"Em dia",IF(K674&lt;=30,"1-30 dias",IF(K674&lt;=60,"31-60 dias",IF(K674&lt;=90,"61-90 dias","&gt;90 dias")))))</f>
        <v/>
      </c>
      <c r="M674" s="28" t="n"/>
      <c r="N674" s="104" t="inlineStr"/>
      <c r="O674" s="64" t="n"/>
      <c r="P674" s="64">
        <f>IF(C674="","",IF(ISNUMBER(SEARCH("PCMSO",C674)),"PCMSO",IF(OR(ISNUMBER(SEARCH("E-SOCIAL",C674)),ISNUMBER(SEARCH("PSICOSOCIAL",C674))),"eSocial / Psicossocial",IF(O674="Receita recorrente","Carteira recorrente","Projetos / Laudos / Avulsos"))))</f>
        <v/>
      </c>
      <c r="Q674" s="64">
        <f>IF(P674="","",IF(P674="Carteira recorrente","Operação recorrente",IF(P674="PCMSO","Projetos PCMSO",IF(P674="eSocial / Psicossocial","Projetos eSocial/Psicossocial","Projetos / Laudos / Avulsos"))))</f>
        <v/>
      </c>
      <c r="R674" s="64">
        <f>IF(C674="","",IF(ISNUMBER(SEARCH("PCMSO",C674)),"Título com PCMSO no nome",IF(OR(ISNUMBER(SEARCH("E-SOCIAL",C674)),ISNUMBER(SEARCH("PSICOSOCIAL",C674))),"Título com eSocial/Psicossocial no nome",IF(O674="Receita recorrente","Tipo DRE recorrente","Extra sem palavra-chave específica"))))</f>
        <v/>
      </c>
      <c r="S674" s="92">
        <f>IFERROR(VLOOKUP($A674,'13. Mapa Títulos-Receita'!$A$8:$P$1000,4,FALSE),"")</f>
        <v/>
      </c>
      <c r="T674" s="92">
        <f>IFERROR(VLOOKUP($A674,'13. Mapa Títulos-Receita'!$A$8:$P$1000,5,FALSE),"")</f>
        <v/>
      </c>
      <c r="U674" s="92">
        <f>IFERROR(VLOOKUP($A674,'13. Mapa Títulos-Receita'!$A$8:$P$1000,6,FALSE),"")</f>
        <v/>
      </c>
      <c r="V674" s="92">
        <f>IFERROR(VLOOKUP($A674,'13. Mapa Títulos-Receita'!$A$8:$P$1000,7,FALSE),"")</f>
        <v/>
      </c>
      <c r="W674" s="92">
        <f>IFERROR(VLOOKUP($A674,'13. Mapa Títulos-Receita'!$A$8:$P$1000,8,FALSE),"")</f>
        <v/>
      </c>
      <c r="X674" s="92">
        <f>IFERROR(VLOOKUP($A674,'13. Mapa Títulos-Receita'!$A$8:$P$1000,9,FALSE),"")</f>
        <v/>
      </c>
      <c r="Y674" s="92">
        <f>IFERROR(VLOOKUP($A674,'13. Mapa Títulos-Receita'!$A$8:$P$1000,10,FALSE),"")</f>
        <v/>
      </c>
      <c r="Z674" s="92">
        <f>IFERROR(VLOOKUP($A674,'13. Mapa Títulos-Receita'!$A$8:$P$1000,11,FALSE),"")</f>
        <v/>
      </c>
      <c r="AA674" s="92">
        <f>IFERROR(VLOOKUP($A674,'13. Mapa Títulos-Receita'!$A$8:$P$1000,12,FALSE),"")</f>
        <v/>
      </c>
      <c r="AB674" s="92">
        <f>IFERROR(VLOOKUP($A674,'13. Mapa Títulos-Receita'!$A$8:$P$1000,13,FALSE),"")</f>
        <v/>
      </c>
      <c r="AC674" s="92">
        <f>IFERROR(VLOOKUP($A674,'13. Mapa Títulos-Receita'!$A$8:$P$1000,14,FALSE),"")</f>
        <v/>
      </c>
      <c r="AD674" s="92">
        <f>IFERROR(VLOOKUP($A674,'13. Mapa Títulos-Receita'!$A$8:$P$1000,15,FALSE),"")</f>
        <v/>
      </c>
      <c r="AE674" s="92">
        <f>IFERROR(VLOOKUP($A674,'13. Mapa Títulos-Receita'!$A$8:$P$1000,16,FALSE),"")</f>
        <v/>
      </c>
    </row>
    <row r="675">
      <c r="A675" s="28">
        <f>IF(C675="","", "CR-"&amp;TEXT(ROW()-7,"000"))</f>
        <v/>
      </c>
      <c r="B675" s="28" t="n"/>
      <c r="C675" s="28" t="n"/>
      <c r="D675" s="111" t="n"/>
      <c r="E675" s="111" t="n"/>
      <c r="F675" s="111" t="n"/>
      <c r="G675" s="28" t="n"/>
      <c r="H675" s="45" t="n"/>
      <c r="I675" s="45" t="n"/>
      <c r="J675" s="28">
        <f>IF(H675="","",IF(I675&gt;=H675,"Recebido",IF($B$4&gt;E675,"Vencido","Aberto")))</f>
        <v/>
      </c>
      <c r="K675" s="4">
        <f>IF(J675="","",IF(OR(J675="Recebido",F675=""),MAX(0,F675-E675),MAX(0,$B$4-E675)))</f>
        <v/>
      </c>
      <c r="L675" s="4">
        <f>IF(K675="","",IF(K675=0,"Em dia",IF(K675&lt;=30,"1-30 dias",IF(K675&lt;=60,"31-60 dias",IF(K675&lt;=90,"61-90 dias","&gt;90 dias")))))</f>
        <v/>
      </c>
      <c r="M675" s="28" t="n"/>
      <c r="N675" s="104" t="inlineStr"/>
      <c r="O675" s="64" t="n"/>
      <c r="P675" s="64">
        <f>IF(C675="","",IF(ISNUMBER(SEARCH("PCMSO",C675)),"PCMSO",IF(OR(ISNUMBER(SEARCH("E-SOCIAL",C675)),ISNUMBER(SEARCH("PSICOSOCIAL",C675))),"eSocial / Psicossocial",IF(O675="Receita recorrente","Carteira recorrente","Projetos / Laudos / Avulsos"))))</f>
        <v/>
      </c>
      <c r="Q675" s="64">
        <f>IF(P675="","",IF(P675="Carteira recorrente","Operação recorrente",IF(P675="PCMSO","Projetos PCMSO",IF(P675="eSocial / Psicossocial","Projetos eSocial/Psicossocial","Projetos / Laudos / Avulsos"))))</f>
        <v/>
      </c>
      <c r="R675" s="64">
        <f>IF(C675="","",IF(ISNUMBER(SEARCH("PCMSO",C675)),"Título com PCMSO no nome",IF(OR(ISNUMBER(SEARCH("E-SOCIAL",C675)),ISNUMBER(SEARCH("PSICOSOCIAL",C675))),"Título com eSocial/Psicossocial no nome",IF(O675="Receita recorrente","Tipo DRE recorrente","Extra sem palavra-chave específica"))))</f>
        <v/>
      </c>
      <c r="S675" s="92">
        <f>IFERROR(VLOOKUP($A675,'13. Mapa Títulos-Receita'!$A$8:$P$1000,4,FALSE),"")</f>
        <v/>
      </c>
      <c r="T675" s="92">
        <f>IFERROR(VLOOKUP($A675,'13. Mapa Títulos-Receita'!$A$8:$P$1000,5,FALSE),"")</f>
        <v/>
      </c>
      <c r="U675" s="92">
        <f>IFERROR(VLOOKUP($A675,'13. Mapa Títulos-Receita'!$A$8:$P$1000,6,FALSE),"")</f>
        <v/>
      </c>
      <c r="V675" s="92">
        <f>IFERROR(VLOOKUP($A675,'13. Mapa Títulos-Receita'!$A$8:$P$1000,7,FALSE),"")</f>
        <v/>
      </c>
      <c r="W675" s="92">
        <f>IFERROR(VLOOKUP($A675,'13. Mapa Títulos-Receita'!$A$8:$P$1000,8,FALSE),"")</f>
        <v/>
      </c>
      <c r="X675" s="92">
        <f>IFERROR(VLOOKUP($A675,'13. Mapa Títulos-Receita'!$A$8:$P$1000,9,FALSE),"")</f>
        <v/>
      </c>
      <c r="Y675" s="92">
        <f>IFERROR(VLOOKUP($A675,'13. Mapa Títulos-Receita'!$A$8:$P$1000,10,FALSE),"")</f>
        <v/>
      </c>
      <c r="Z675" s="92">
        <f>IFERROR(VLOOKUP($A675,'13. Mapa Títulos-Receita'!$A$8:$P$1000,11,FALSE),"")</f>
        <v/>
      </c>
      <c r="AA675" s="92">
        <f>IFERROR(VLOOKUP($A675,'13. Mapa Títulos-Receita'!$A$8:$P$1000,12,FALSE),"")</f>
        <v/>
      </c>
      <c r="AB675" s="92">
        <f>IFERROR(VLOOKUP($A675,'13. Mapa Títulos-Receita'!$A$8:$P$1000,13,FALSE),"")</f>
        <v/>
      </c>
      <c r="AC675" s="92">
        <f>IFERROR(VLOOKUP($A675,'13. Mapa Títulos-Receita'!$A$8:$P$1000,14,FALSE),"")</f>
        <v/>
      </c>
      <c r="AD675" s="92">
        <f>IFERROR(VLOOKUP($A675,'13. Mapa Títulos-Receita'!$A$8:$P$1000,15,FALSE),"")</f>
        <v/>
      </c>
      <c r="AE675" s="92">
        <f>IFERROR(VLOOKUP($A675,'13. Mapa Títulos-Receita'!$A$8:$P$1000,16,FALSE),"")</f>
        <v/>
      </c>
    </row>
    <row r="676">
      <c r="A676" s="28">
        <f>IF(C676="","", "CR-"&amp;TEXT(ROW()-7,"000"))</f>
        <v/>
      </c>
      <c r="B676" s="28" t="n"/>
      <c r="C676" s="28" t="n"/>
      <c r="D676" s="111" t="n"/>
      <c r="E676" s="111" t="n"/>
      <c r="F676" s="111" t="n"/>
      <c r="G676" s="28" t="n"/>
      <c r="H676" s="45" t="n"/>
      <c r="I676" s="45" t="n"/>
      <c r="J676" s="28">
        <f>IF(H676="","",IF(I676&gt;=H676,"Recebido",IF($B$4&gt;E676,"Vencido","Aberto")))</f>
        <v/>
      </c>
      <c r="K676" s="4">
        <f>IF(J676="","",IF(OR(J676="Recebido",F676=""),MAX(0,F676-E676),MAX(0,$B$4-E676)))</f>
        <v/>
      </c>
      <c r="L676" s="4">
        <f>IF(K676="","",IF(K676=0,"Em dia",IF(K676&lt;=30,"1-30 dias",IF(K676&lt;=60,"31-60 dias",IF(K676&lt;=90,"61-90 dias","&gt;90 dias")))))</f>
        <v/>
      </c>
      <c r="M676" s="28" t="n"/>
      <c r="N676" s="104" t="inlineStr"/>
      <c r="O676" s="64" t="n"/>
      <c r="P676" s="64">
        <f>IF(C676="","",IF(ISNUMBER(SEARCH("PCMSO",C676)),"PCMSO",IF(OR(ISNUMBER(SEARCH("E-SOCIAL",C676)),ISNUMBER(SEARCH("PSICOSOCIAL",C676))),"eSocial / Psicossocial",IF(O676="Receita recorrente","Carteira recorrente","Projetos / Laudos / Avulsos"))))</f>
        <v/>
      </c>
      <c r="Q676" s="64">
        <f>IF(P676="","",IF(P676="Carteira recorrente","Operação recorrente",IF(P676="PCMSO","Projetos PCMSO",IF(P676="eSocial / Psicossocial","Projetos eSocial/Psicossocial","Projetos / Laudos / Avulsos"))))</f>
        <v/>
      </c>
      <c r="R676" s="64">
        <f>IF(C676="","",IF(ISNUMBER(SEARCH("PCMSO",C676)),"Título com PCMSO no nome",IF(OR(ISNUMBER(SEARCH("E-SOCIAL",C676)),ISNUMBER(SEARCH("PSICOSOCIAL",C676))),"Título com eSocial/Psicossocial no nome",IF(O676="Receita recorrente","Tipo DRE recorrente","Extra sem palavra-chave específica"))))</f>
        <v/>
      </c>
      <c r="S676" s="92">
        <f>IFERROR(VLOOKUP($A676,'13. Mapa Títulos-Receita'!$A$8:$P$1000,4,FALSE),"")</f>
        <v/>
      </c>
      <c r="T676" s="92">
        <f>IFERROR(VLOOKUP($A676,'13. Mapa Títulos-Receita'!$A$8:$P$1000,5,FALSE),"")</f>
        <v/>
      </c>
      <c r="U676" s="92">
        <f>IFERROR(VLOOKUP($A676,'13. Mapa Títulos-Receita'!$A$8:$P$1000,6,FALSE),"")</f>
        <v/>
      </c>
      <c r="V676" s="92">
        <f>IFERROR(VLOOKUP($A676,'13. Mapa Títulos-Receita'!$A$8:$P$1000,7,FALSE),"")</f>
        <v/>
      </c>
      <c r="W676" s="92">
        <f>IFERROR(VLOOKUP($A676,'13. Mapa Títulos-Receita'!$A$8:$P$1000,8,FALSE),"")</f>
        <v/>
      </c>
      <c r="X676" s="92">
        <f>IFERROR(VLOOKUP($A676,'13. Mapa Títulos-Receita'!$A$8:$P$1000,9,FALSE),"")</f>
        <v/>
      </c>
      <c r="Y676" s="92">
        <f>IFERROR(VLOOKUP($A676,'13. Mapa Títulos-Receita'!$A$8:$P$1000,10,FALSE),"")</f>
        <v/>
      </c>
      <c r="Z676" s="92">
        <f>IFERROR(VLOOKUP($A676,'13. Mapa Títulos-Receita'!$A$8:$P$1000,11,FALSE),"")</f>
        <v/>
      </c>
      <c r="AA676" s="92">
        <f>IFERROR(VLOOKUP($A676,'13. Mapa Títulos-Receita'!$A$8:$P$1000,12,FALSE),"")</f>
        <v/>
      </c>
      <c r="AB676" s="92">
        <f>IFERROR(VLOOKUP($A676,'13. Mapa Títulos-Receita'!$A$8:$P$1000,13,FALSE),"")</f>
        <v/>
      </c>
      <c r="AC676" s="92">
        <f>IFERROR(VLOOKUP($A676,'13. Mapa Títulos-Receita'!$A$8:$P$1000,14,FALSE),"")</f>
        <v/>
      </c>
      <c r="AD676" s="92">
        <f>IFERROR(VLOOKUP($A676,'13. Mapa Títulos-Receita'!$A$8:$P$1000,15,FALSE),"")</f>
        <v/>
      </c>
      <c r="AE676" s="92">
        <f>IFERROR(VLOOKUP($A676,'13. Mapa Títulos-Receita'!$A$8:$P$1000,16,FALSE),"")</f>
        <v/>
      </c>
    </row>
    <row r="677">
      <c r="A677" s="28">
        <f>IF(C677="","", "CR-"&amp;TEXT(ROW()-7,"000"))</f>
        <v/>
      </c>
      <c r="B677" s="28" t="n"/>
      <c r="C677" s="28" t="n"/>
      <c r="D677" s="111" t="n"/>
      <c r="E677" s="111" t="n"/>
      <c r="F677" s="111" t="n"/>
      <c r="G677" s="28" t="n"/>
      <c r="H677" s="45" t="n"/>
      <c r="I677" s="45" t="n"/>
      <c r="J677" s="28">
        <f>IF(H677="","",IF(I677&gt;=H677,"Recebido",IF($B$4&gt;E677,"Vencido","Aberto")))</f>
        <v/>
      </c>
      <c r="K677" s="4">
        <f>IF(J677="","",IF(OR(J677="Recebido",F677=""),MAX(0,F677-E677),MAX(0,$B$4-E677)))</f>
        <v/>
      </c>
      <c r="L677" s="4">
        <f>IF(K677="","",IF(K677=0,"Em dia",IF(K677&lt;=30,"1-30 dias",IF(K677&lt;=60,"31-60 dias",IF(K677&lt;=90,"61-90 dias","&gt;90 dias")))))</f>
        <v/>
      </c>
      <c r="M677" s="28" t="n"/>
      <c r="N677" s="104" t="inlineStr"/>
      <c r="O677" s="64" t="n"/>
      <c r="P677" s="64">
        <f>IF(C677="","",IF(ISNUMBER(SEARCH("PCMSO",C677)),"PCMSO",IF(OR(ISNUMBER(SEARCH("E-SOCIAL",C677)),ISNUMBER(SEARCH("PSICOSOCIAL",C677))),"eSocial / Psicossocial",IF(O677="Receita recorrente","Carteira recorrente","Projetos / Laudos / Avulsos"))))</f>
        <v/>
      </c>
      <c r="Q677" s="64">
        <f>IF(P677="","",IF(P677="Carteira recorrente","Operação recorrente",IF(P677="PCMSO","Projetos PCMSO",IF(P677="eSocial / Psicossocial","Projetos eSocial/Psicossocial","Projetos / Laudos / Avulsos"))))</f>
        <v/>
      </c>
      <c r="R677" s="64">
        <f>IF(C677="","",IF(ISNUMBER(SEARCH("PCMSO",C677)),"Título com PCMSO no nome",IF(OR(ISNUMBER(SEARCH("E-SOCIAL",C677)),ISNUMBER(SEARCH("PSICOSOCIAL",C677))),"Título com eSocial/Psicossocial no nome",IF(O677="Receita recorrente","Tipo DRE recorrente","Extra sem palavra-chave específica"))))</f>
        <v/>
      </c>
      <c r="S677" s="92">
        <f>IFERROR(VLOOKUP($A677,'13. Mapa Títulos-Receita'!$A$8:$P$1000,4,FALSE),"")</f>
        <v/>
      </c>
      <c r="T677" s="92">
        <f>IFERROR(VLOOKUP($A677,'13. Mapa Títulos-Receita'!$A$8:$P$1000,5,FALSE),"")</f>
        <v/>
      </c>
      <c r="U677" s="92">
        <f>IFERROR(VLOOKUP($A677,'13. Mapa Títulos-Receita'!$A$8:$P$1000,6,FALSE),"")</f>
        <v/>
      </c>
      <c r="V677" s="92">
        <f>IFERROR(VLOOKUP($A677,'13. Mapa Títulos-Receita'!$A$8:$P$1000,7,FALSE),"")</f>
        <v/>
      </c>
      <c r="W677" s="92">
        <f>IFERROR(VLOOKUP($A677,'13. Mapa Títulos-Receita'!$A$8:$P$1000,8,FALSE),"")</f>
        <v/>
      </c>
      <c r="X677" s="92">
        <f>IFERROR(VLOOKUP($A677,'13. Mapa Títulos-Receita'!$A$8:$P$1000,9,FALSE),"")</f>
        <v/>
      </c>
      <c r="Y677" s="92">
        <f>IFERROR(VLOOKUP($A677,'13. Mapa Títulos-Receita'!$A$8:$P$1000,10,FALSE),"")</f>
        <v/>
      </c>
      <c r="Z677" s="92">
        <f>IFERROR(VLOOKUP($A677,'13. Mapa Títulos-Receita'!$A$8:$P$1000,11,FALSE),"")</f>
        <v/>
      </c>
      <c r="AA677" s="92">
        <f>IFERROR(VLOOKUP($A677,'13. Mapa Títulos-Receita'!$A$8:$P$1000,12,FALSE),"")</f>
        <v/>
      </c>
      <c r="AB677" s="92">
        <f>IFERROR(VLOOKUP($A677,'13. Mapa Títulos-Receita'!$A$8:$P$1000,13,FALSE),"")</f>
        <v/>
      </c>
      <c r="AC677" s="92">
        <f>IFERROR(VLOOKUP($A677,'13. Mapa Títulos-Receita'!$A$8:$P$1000,14,FALSE),"")</f>
        <v/>
      </c>
      <c r="AD677" s="92">
        <f>IFERROR(VLOOKUP($A677,'13. Mapa Títulos-Receita'!$A$8:$P$1000,15,FALSE),"")</f>
        <v/>
      </c>
      <c r="AE677" s="92">
        <f>IFERROR(VLOOKUP($A677,'13. Mapa Títulos-Receita'!$A$8:$P$1000,16,FALSE),"")</f>
        <v/>
      </c>
    </row>
    <row r="678">
      <c r="A678" s="28">
        <f>IF(C678="","", "CR-"&amp;TEXT(ROW()-7,"000"))</f>
        <v/>
      </c>
      <c r="B678" s="28" t="n"/>
      <c r="C678" s="28" t="n"/>
      <c r="D678" s="111" t="n"/>
      <c r="E678" s="111" t="n"/>
      <c r="F678" s="111" t="n"/>
      <c r="G678" s="28" t="n"/>
      <c r="H678" s="45" t="n"/>
      <c r="I678" s="45" t="n"/>
      <c r="J678" s="28">
        <f>IF(H678="","",IF(I678&gt;=H678,"Recebido",IF($B$4&gt;E678,"Vencido","Aberto")))</f>
        <v/>
      </c>
      <c r="K678" s="4">
        <f>IF(J678="","",IF(OR(J678="Recebido",F678=""),MAX(0,F678-E678),MAX(0,$B$4-E678)))</f>
        <v/>
      </c>
      <c r="L678" s="4">
        <f>IF(K678="","",IF(K678=0,"Em dia",IF(K678&lt;=30,"1-30 dias",IF(K678&lt;=60,"31-60 dias",IF(K678&lt;=90,"61-90 dias","&gt;90 dias")))))</f>
        <v/>
      </c>
      <c r="M678" s="28" t="n"/>
      <c r="N678" s="104" t="inlineStr"/>
      <c r="O678" s="64" t="n"/>
      <c r="P678" s="64">
        <f>IF(C678="","",IF(ISNUMBER(SEARCH("PCMSO",C678)),"PCMSO",IF(OR(ISNUMBER(SEARCH("E-SOCIAL",C678)),ISNUMBER(SEARCH("PSICOSOCIAL",C678))),"eSocial / Psicossocial",IF(O678="Receita recorrente","Carteira recorrente","Projetos / Laudos / Avulsos"))))</f>
        <v/>
      </c>
      <c r="Q678" s="64">
        <f>IF(P678="","",IF(P678="Carteira recorrente","Operação recorrente",IF(P678="PCMSO","Projetos PCMSO",IF(P678="eSocial / Psicossocial","Projetos eSocial/Psicossocial","Projetos / Laudos / Avulsos"))))</f>
        <v/>
      </c>
      <c r="R678" s="64">
        <f>IF(C678="","",IF(ISNUMBER(SEARCH("PCMSO",C678)),"Título com PCMSO no nome",IF(OR(ISNUMBER(SEARCH("E-SOCIAL",C678)),ISNUMBER(SEARCH("PSICOSOCIAL",C678))),"Título com eSocial/Psicossocial no nome",IF(O678="Receita recorrente","Tipo DRE recorrente","Extra sem palavra-chave específica"))))</f>
        <v/>
      </c>
      <c r="S678" s="92">
        <f>IFERROR(VLOOKUP($A678,'13. Mapa Títulos-Receita'!$A$8:$P$1000,4,FALSE),"")</f>
        <v/>
      </c>
      <c r="T678" s="92">
        <f>IFERROR(VLOOKUP($A678,'13. Mapa Títulos-Receita'!$A$8:$P$1000,5,FALSE),"")</f>
        <v/>
      </c>
      <c r="U678" s="92">
        <f>IFERROR(VLOOKUP($A678,'13. Mapa Títulos-Receita'!$A$8:$P$1000,6,FALSE),"")</f>
        <v/>
      </c>
      <c r="V678" s="92">
        <f>IFERROR(VLOOKUP($A678,'13. Mapa Títulos-Receita'!$A$8:$P$1000,7,FALSE),"")</f>
        <v/>
      </c>
      <c r="W678" s="92">
        <f>IFERROR(VLOOKUP($A678,'13. Mapa Títulos-Receita'!$A$8:$P$1000,8,FALSE),"")</f>
        <v/>
      </c>
      <c r="X678" s="92">
        <f>IFERROR(VLOOKUP($A678,'13. Mapa Títulos-Receita'!$A$8:$P$1000,9,FALSE),"")</f>
        <v/>
      </c>
      <c r="Y678" s="92">
        <f>IFERROR(VLOOKUP($A678,'13. Mapa Títulos-Receita'!$A$8:$P$1000,10,FALSE),"")</f>
        <v/>
      </c>
      <c r="Z678" s="92">
        <f>IFERROR(VLOOKUP($A678,'13. Mapa Títulos-Receita'!$A$8:$P$1000,11,FALSE),"")</f>
        <v/>
      </c>
      <c r="AA678" s="92">
        <f>IFERROR(VLOOKUP($A678,'13. Mapa Títulos-Receita'!$A$8:$P$1000,12,FALSE),"")</f>
        <v/>
      </c>
      <c r="AB678" s="92">
        <f>IFERROR(VLOOKUP($A678,'13. Mapa Títulos-Receita'!$A$8:$P$1000,13,FALSE),"")</f>
        <v/>
      </c>
      <c r="AC678" s="92">
        <f>IFERROR(VLOOKUP($A678,'13. Mapa Títulos-Receita'!$A$8:$P$1000,14,FALSE),"")</f>
        <v/>
      </c>
      <c r="AD678" s="92">
        <f>IFERROR(VLOOKUP($A678,'13. Mapa Títulos-Receita'!$A$8:$P$1000,15,FALSE),"")</f>
        <v/>
      </c>
      <c r="AE678" s="92">
        <f>IFERROR(VLOOKUP($A678,'13. Mapa Títulos-Receita'!$A$8:$P$1000,16,FALSE),"")</f>
        <v/>
      </c>
    </row>
    <row r="679">
      <c r="A679" s="28">
        <f>IF(C679="","", "CR-"&amp;TEXT(ROW()-7,"000"))</f>
        <v/>
      </c>
      <c r="B679" s="28" t="n"/>
      <c r="C679" s="28" t="n"/>
      <c r="D679" s="111" t="n"/>
      <c r="E679" s="111" t="n"/>
      <c r="F679" s="111" t="n"/>
      <c r="G679" s="28" t="n"/>
      <c r="H679" s="45" t="n"/>
      <c r="I679" s="45" t="n"/>
      <c r="J679" s="28">
        <f>IF(H679="","",IF(I679&gt;=H679,"Recebido",IF($B$4&gt;E679,"Vencido","Aberto")))</f>
        <v/>
      </c>
      <c r="K679" s="4">
        <f>IF(J679="","",IF(OR(J679="Recebido",F679=""),MAX(0,F679-E679),MAX(0,$B$4-E679)))</f>
        <v/>
      </c>
      <c r="L679" s="4">
        <f>IF(K679="","",IF(K679=0,"Em dia",IF(K679&lt;=30,"1-30 dias",IF(K679&lt;=60,"31-60 dias",IF(K679&lt;=90,"61-90 dias","&gt;90 dias")))))</f>
        <v/>
      </c>
      <c r="M679" s="28" t="n"/>
      <c r="N679" s="104" t="inlineStr"/>
      <c r="O679" s="64" t="n"/>
      <c r="P679" s="64">
        <f>IF(C679="","",IF(ISNUMBER(SEARCH("PCMSO",C679)),"PCMSO",IF(OR(ISNUMBER(SEARCH("E-SOCIAL",C679)),ISNUMBER(SEARCH("PSICOSOCIAL",C679))),"eSocial / Psicossocial",IF(O679="Receita recorrente","Carteira recorrente","Projetos / Laudos / Avulsos"))))</f>
        <v/>
      </c>
      <c r="Q679" s="64">
        <f>IF(P679="","",IF(P679="Carteira recorrente","Operação recorrente",IF(P679="PCMSO","Projetos PCMSO",IF(P679="eSocial / Psicossocial","Projetos eSocial/Psicossocial","Projetos / Laudos / Avulsos"))))</f>
        <v/>
      </c>
      <c r="R679" s="64">
        <f>IF(C679="","",IF(ISNUMBER(SEARCH("PCMSO",C679)),"Título com PCMSO no nome",IF(OR(ISNUMBER(SEARCH("E-SOCIAL",C679)),ISNUMBER(SEARCH("PSICOSOCIAL",C679))),"Título com eSocial/Psicossocial no nome",IF(O679="Receita recorrente","Tipo DRE recorrente","Extra sem palavra-chave específica"))))</f>
        <v/>
      </c>
      <c r="S679" s="92">
        <f>IFERROR(VLOOKUP($A679,'13. Mapa Títulos-Receita'!$A$8:$P$1000,4,FALSE),"")</f>
        <v/>
      </c>
      <c r="T679" s="92">
        <f>IFERROR(VLOOKUP($A679,'13. Mapa Títulos-Receita'!$A$8:$P$1000,5,FALSE),"")</f>
        <v/>
      </c>
      <c r="U679" s="92">
        <f>IFERROR(VLOOKUP($A679,'13. Mapa Títulos-Receita'!$A$8:$P$1000,6,FALSE),"")</f>
        <v/>
      </c>
      <c r="V679" s="92">
        <f>IFERROR(VLOOKUP($A679,'13. Mapa Títulos-Receita'!$A$8:$P$1000,7,FALSE),"")</f>
        <v/>
      </c>
      <c r="W679" s="92">
        <f>IFERROR(VLOOKUP($A679,'13. Mapa Títulos-Receita'!$A$8:$P$1000,8,FALSE),"")</f>
        <v/>
      </c>
      <c r="X679" s="92">
        <f>IFERROR(VLOOKUP($A679,'13. Mapa Títulos-Receita'!$A$8:$P$1000,9,FALSE),"")</f>
        <v/>
      </c>
      <c r="Y679" s="92">
        <f>IFERROR(VLOOKUP($A679,'13. Mapa Títulos-Receita'!$A$8:$P$1000,10,FALSE),"")</f>
        <v/>
      </c>
      <c r="Z679" s="92">
        <f>IFERROR(VLOOKUP($A679,'13. Mapa Títulos-Receita'!$A$8:$P$1000,11,FALSE),"")</f>
        <v/>
      </c>
      <c r="AA679" s="92">
        <f>IFERROR(VLOOKUP($A679,'13. Mapa Títulos-Receita'!$A$8:$P$1000,12,FALSE),"")</f>
        <v/>
      </c>
      <c r="AB679" s="92">
        <f>IFERROR(VLOOKUP($A679,'13. Mapa Títulos-Receita'!$A$8:$P$1000,13,FALSE),"")</f>
        <v/>
      </c>
      <c r="AC679" s="92">
        <f>IFERROR(VLOOKUP($A679,'13. Mapa Títulos-Receita'!$A$8:$P$1000,14,FALSE),"")</f>
        <v/>
      </c>
      <c r="AD679" s="92">
        <f>IFERROR(VLOOKUP($A679,'13. Mapa Títulos-Receita'!$A$8:$P$1000,15,FALSE),"")</f>
        <v/>
      </c>
      <c r="AE679" s="92">
        <f>IFERROR(VLOOKUP($A679,'13. Mapa Títulos-Receita'!$A$8:$P$1000,16,FALSE),"")</f>
        <v/>
      </c>
    </row>
    <row r="680">
      <c r="A680" s="28">
        <f>IF(C680="","", "CR-"&amp;TEXT(ROW()-7,"000"))</f>
        <v/>
      </c>
      <c r="B680" s="28" t="n"/>
      <c r="C680" s="28" t="n"/>
      <c r="D680" s="111" t="n"/>
      <c r="E680" s="111" t="n"/>
      <c r="F680" s="111" t="n"/>
      <c r="G680" s="28" t="n"/>
      <c r="H680" s="45" t="n"/>
      <c r="I680" s="45" t="n"/>
      <c r="J680" s="28">
        <f>IF(H680="","",IF(I680&gt;=H680,"Recebido",IF($B$4&gt;E680,"Vencido","Aberto")))</f>
        <v/>
      </c>
      <c r="K680" s="4">
        <f>IF(J680="","",IF(OR(J680="Recebido",F680=""),MAX(0,F680-E680),MAX(0,$B$4-E680)))</f>
        <v/>
      </c>
      <c r="L680" s="4">
        <f>IF(K680="","",IF(K680=0,"Em dia",IF(K680&lt;=30,"1-30 dias",IF(K680&lt;=60,"31-60 dias",IF(K680&lt;=90,"61-90 dias","&gt;90 dias")))))</f>
        <v/>
      </c>
      <c r="M680" s="28" t="n"/>
      <c r="N680" s="104" t="inlineStr"/>
      <c r="O680" s="64" t="n"/>
      <c r="P680" s="64">
        <f>IF(C680="","",IF(ISNUMBER(SEARCH("PCMSO",C680)),"PCMSO",IF(OR(ISNUMBER(SEARCH("E-SOCIAL",C680)),ISNUMBER(SEARCH("PSICOSOCIAL",C680))),"eSocial / Psicossocial",IF(O680="Receita recorrente","Carteira recorrente","Projetos / Laudos / Avulsos"))))</f>
        <v/>
      </c>
      <c r="Q680" s="64">
        <f>IF(P680="","",IF(P680="Carteira recorrente","Operação recorrente",IF(P680="PCMSO","Projetos PCMSO",IF(P680="eSocial / Psicossocial","Projetos eSocial/Psicossocial","Projetos / Laudos / Avulsos"))))</f>
        <v/>
      </c>
      <c r="R680" s="64">
        <f>IF(C680="","",IF(ISNUMBER(SEARCH("PCMSO",C680)),"Título com PCMSO no nome",IF(OR(ISNUMBER(SEARCH("E-SOCIAL",C680)),ISNUMBER(SEARCH("PSICOSOCIAL",C680))),"Título com eSocial/Psicossocial no nome",IF(O680="Receita recorrente","Tipo DRE recorrente","Extra sem palavra-chave específica"))))</f>
        <v/>
      </c>
      <c r="S680" s="92">
        <f>IFERROR(VLOOKUP($A680,'13. Mapa Títulos-Receita'!$A$8:$P$1000,4,FALSE),"")</f>
        <v/>
      </c>
      <c r="T680" s="92">
        <f>IFERROR(VLOOKUP($A680,'13. Mapa Títulos-Receita'!$A$8:$P$1000,5,FALSE),"")</f>
        <v/>
      </c>
      <c r="U680" s="92">
        <f>IFERROR(VLOOKUP($A680,'13. Mapa Títulos-Receita'!$A$8:$P$1000,6,FALSE),"")</f>
        <v/>
      </c>
      <c r="V680" s="92">
        <f>IFERROR(VLOOKUP($A680,'13. Mapa Títulos-Receita'!$A$8:$P$1000,7,FALSE),"")</f>
        <v/>
      </c>
      <c r="W680" s="92">
        <f>IFERROR(VLOOKUP($A680,'13. Mapa Títulos-Receita'!$A$8:$P$1000,8,FALSE),"")</f>
        <v/>
      </c>
      <c r="X680" s="92">
        <f>IFERROR(VLOOKUP($A680,'13. Mapa Títulos-Receita'!$A$8:$P$1000,9,FALSE),"")</f>
        <v/>
      </c>
      <c r="Y680" s="92">
        <f>IFERROR(VLOOKUP($A680,'13. Mapa Títulos-Receita'!$A$8:$P$1000,10,FALSE),"")</f>
        <v/>
      </c>
      <c r="Z680" s="92">
        <f>IFERROR(VLOOKUP($A680,'13. Mapa Títulos-Receita'!$A$8:$P$1000,11,FALSE),"")</f>
        <v/>
      </c>
      <c r="AA680" s="92">
        <f>IFERROR(VLOOKUP($A680,'13. Mapa Títulos-Receita'!$A$8:$P$1000,12,FALSE),"")</f>
        <v/>
      </c>
      <c r="AB680" s="92">
        <f>IFERROR(VLOOKUP($A680,'13. Mapa Títulos-Receita'!$A$8:$P$1000,13,FALSE),"")</f>
        <v/>
      </c>
      <c r="AC680" s="92">
        <f>IFERROR(VLOOKUP($A680,'13. Mapa Títulos-Receita'!$A$8:$P$1000,14,FALSE),"")</f>
        <v/>
      </c>
      <c r="AD680" s="92">
        <f>IFERROR(VLOOKUP($A680,'13. Mapa Títulos-Receita'!$A$8:$P$1000,15,FALSE),"")</f>
        <v/>
      </c>
      <c r="AE680" s="92">
        <f>IFERROR(VLOOKUP($A680,'13. Mapa Títulos-Receita'!$A$8:$P$1000,16,FALSE),"")</f>
        <v/>
      </c>
    </row>
    <row r="681">
      <c r="A681" s="28">
        <f>IF(C681="","", "CR-"&amp;TEXT(ROW()-7,"000"))</f>
        <v/>
      </c>
      <c r="B681" s="28" t="n"/>
      <c r="C681" s="28" t="n"/>
      <c r="D681" s="111" t="n"/>
      <c r="E681" s="111" t="n"/>
      <c r="F681" s="111" t="n"/>
      <c r="G681" s="28" t="n"/>
      <c r="H681" s="45" t="n"/>
      <c r="I681" s="45" t="n"/>
      <c r="J681" s="28">
        <f>IF(H681="","",IF(I681&gt;=H681,"Recebido",IF($B$4&gt;E681,"Vencido","Aberto")))</f>
        <v/>
      </c>
      <c r="K681" s="4">
        <f>IF(J681="","",IF(OR(J681="Recebido",F681=""),MAX(0,F681-E681),MAX(0,$B$4-E681)))</f>
        <v/>
      </c>
      <c r="L681" s="4">
        <f>IF(K681="","",IF(K681=0,"Em dia",IF(K681&lt;=30,"1-30 dias",IF(K681&lt;=60,"31-60 dias",IF(K681&lt;=90,"61-90 dias","&gt;90 dias")))))</f>
        <v/>
      </c>
      <c r="M681" s="28" t="n"/>
      <c r="N681" s="104" t="inlineStr"/>
      <c r="O681" s="64" t="n"/>
      <c r="P681" s="64">
        <f>IF(C681="","",IF(ISNUMBER(SEARCH("PCMSO",C681)),"PCMSO",IF(OR(ISNUMBER(SEARCH("E-SOCIAL",C681)),ISNUMBER(SEARCH("PSICOSOCIAL",C681))),"eSocial / Psicossocial",IF(O681="Receita recorrente","Carteira recorrente","Projetos / Laudos / Avulsos"))))</f>
        <v/>
      </c>
      <c r="Q681" s="64">
        <f>IF(P681="","",IF(P681="Carteira recorrente","Operação recorrente",IF(P681="PCMSO","Projetos PCMSO",IF(P681="eSocial / Psicossocial","Projetos eSocial/Psicossocial","Projetos / Laudos / Avulsos"))))</f>
        <v/>
      </c>
      <c r="R681" s="64">
        <f>IF(C681="","",IF(ISNUMBER(SEARCH("PCMSO",C681)),"Título com PCMSO no nome",IF(OR(ISNUMBER(SEARCH("E-SOCIAL",C681)),ISNUMBER(SEARCH("PSICOSOCIAL",C681))),"Título com eSocial/Psicossocial no nome",IF(O681="Receita recorrente","Tipo DRE recorrente","Extra sem palavra-chave específica"))))</f>
        <v/>
      </c>
      <c r="S681" s="92">
        <f>IFERROR(VLOOKUP($A681,'13. Mapa Títulos-Receita'!$A$8:$P$1000,4,FALSE),"")</f>
        <v/>
      </c>
      <c r="T681" s="92">
        <f>IFERROR(VLOOKUP($A681,'13. Mapa Títulos-Receita'!$A$8:$P$1000,5,FALSE),"")</f>
        <v/>
      </c>
      <c r="U681" s="92">
        <f>IFERROR(VLOOKUP($A681,'13. Mapa Títulos-Receita'!$A$8:$P$1000,6,FALSE),"")</f>
        <v/>
      </c>
      <c r="V681" s="92">
        <f>IFERROR(VLOOKUP($A681,'13. Mapa Títulos-Receita'!$A$8:$P$1000,7,FALSE),"")</f>
        <v/>
      </c>
      <c r="W681" s="92">
        <f>IFERROR(VLOOKUP($A681,'13. Mapa Títulos-Receita'!$A$8:$P$1000,8,FALSE),"")</f>
        <v/>
      </c>
      <c r="X681" s="92">
        <f>IFERROR(VLOOKUP($A681,'13. Mapa Títulos-Receita'!$A$8:$P$1000,9,FALSE),"")</f>
        <v/>
      </c>
      <c r="Y681" s="92">
        <f>IFERROR(VLOOKUP($A681,'13. Mapa Títulos-Receita'!$A$8:$P$1000,10,FALSE),"")</f>
        <v/>
      </c>
      <c r="Z681" s="92">
        <f>IFERROR(VLOOKUP($A681,'13. Mapa Títulos-Receita'!$A$8:$P$1000,11,FALSE),"")</f>
        <v/>
      </c>
      <c r="AA681" s="92">
        <f>IFERROR(VLOOKUP($A681,'13. Mapa Títulos-Receita'!$A$8:$P$1000,12,FALSE),"")</f>
        <v/>
      </c>
      <c r="AB681" s="92">
        <f>IFERROR(VLOOKUP($A681,'13. Mapa Títulos-Receita'!$A$8:$P$1000,13,FALSE),"")</f>
        <v/>
      </c>
      <c r="AC681" s="92">
        <f>IFERROR(VLOOKUP($A681,'13. Mapa Títulos-Receita'!$A$8:$P$1000,14,FALSE),"")</f>
        <v/>
      </c>
      <c r="AD681" s="92">
        <f>IFERROR(VLOOKUP($A681,'13. Mapa Títulos-Receita'!$A$8:$P$1000,15,FALSE),"")</f>
        <v/>
      </c>
      <c r="AE681" s="92">
        <f>IFERROR(VLOOKUP($A681,'13. Mapa Títulos-Receita'!$A$8:$P$1000,16,FALSE),"")</f>
        <v/>
      </c>
    </row>
    <row r="682">
      <c r="A682" s="28">
        <f>IF(C682="","", "CR-"&amp;TEXT(ROW()-7,"000"))</f>
        <v/>
      </c>
      <c r="B682" s="28" t="n"/>
      <c r="C682" s="28" t="n"/>
      <c r="D682" s="111" t="n"/>
      <c r="E682" s="111" t="n"/>
      <c r="F682" s="111" t="n"/>
      <c r="G682" s="28" t="n"/>
      <c r="H682" s="45" t="n"/>
      <c r="I682" s="45" t="n"/>
      <c r="J682" s="28">
        <f>IF(H682="","",IF(I682&gt;=H682,"Recebido",IF($B$4&gt;E682,"Vencido","Aberto")))</f>
        <v/>
      </c>
      <c r="K682" s="4">
        <f>IF(J682="","",IF(OR(J682="Recebido",F682=""),MAX(0,F682-E682),MAX(0,$B$4-E682)))</f>
        <v/>
      </c>
      <c r="L682" s="4">
        <f>IF(K682="","",IF(K682=0,"Em dia",IF(K682&lt;=30,"1-30 dias",IF(K682&lt;=60,"31-60 dias",IF(K682&lt;=90,"61-90 dias","&gt;90 dias")))))</f>
        <v/>
      </c>
      <c r="M682" s="28" t="n"/>
      <c r="N682" s="104" t="inlineStr"/>
      <c r="O682" s="64" t="n"/>
      <c r="P682" s="64">
        <f>IF(C682="","",IF(ISNUMBER(SEARCH("PCMSO",C682)),"PCMSO",IF(OR(ISNUMBER(SEARCH("E-SOCIAL",C682)),ISNUMBER(SEARCH("PSICOSOCIAL",C682))),"eSocial / Psicossocial",IF(O682="Receita recorrente","Carteira recorrente","Projetos / Laudos / Avulsos"))))</f>
        <v/>
      </c>
      <c r="Q682" s="64">
        <f>IF(P682="","",IF(P682="Carteira recorrente","Operação recorrente",IF(P682="PCMSO","Projetos PCMSO",IF(P682="eSocial / Psicossocial","Projetos eSocial/Psicossocial","Projetos / Laudos / Avulsos"))))</f>
        <v/>
      </c>
      <c r="R682" s="64">
        <f>IF(C682="","",IF(ISNUMBER(SEARCH("PCMSO",C682)),"Título com PCMSO no nome",IF(OR(ISNUMBER(SEARCH("E-SOCIAL",C682)),ISNUMBER(SEARCH("PSICOSOCIAL",C682))),"Título com eSocial/Psicossocial no nome",IF(O682="Receita recorrente","Tipo DRE recorrente","Extra sem palavra-chave específica"))))</f>
        <v/>
      </c>
      <c r="S682" s="92">
        <f>IFERROR(VLOOKUP($A682,'13. Mapa Títulos-Receita'!$A$8:$P$1000,4,FALSE),"")</f>
        <v/>
      </c>
      <c r="T682" s="92">
        <f>IFERROR(VLOOKUP($A682,'13. Mapa Títulos-Receita'!$A$8:$P$1000,5,FALSE),"")</f>
        <v/>
      </c>
      <c r="U682" s="92">
        <f>IFERROR(VLOOKUP($A682,'13. Mapa Títulos-Receita'!$A$8:$P$1000,6,FALSE),"")</f>
        <v/>
      </c>
      <c r="V682" s="92">
        <f>IFERROR(VLOOKUP($A682,'13. Mapa Títulos-Receita'!$A$8:$P$1000,7,FALSE),"")</f>
        <v/>
      </c>
      <c r="W682" s="92">
        <f>IFERROR(VLOOKUP($A682,'13. Mapa Títulos-Receita'!$A$8:$P$1000,8,FALSE),"")</f>
        <v/>
      </c>
      <c r="X682" s="92">
        <f>IFERROR(VLOOKUP($A682,'13. Mapa Títulos-Receita'!$A$8:$P$1000,9,FALSE),"")</f>
        <v/>
      </c>
      <c r="Y682" s="92">
        <f>IFERROR(VLOOKUP($A682,'13. Mapa Títulos-Receita'!$A$8:$P$1000,10,FALSE),"")</f>
        <v/>
      </c>
      <c r="Z682" s="92">
        <f>IFERROR(VLOOKUP($A682,'13. Mapa Títulos-Receita'!$A$8:$P$1000,11,FALSE),"")</f>
        <v/>
      </c>
      <c r="AA682" s="92">
        <f>IFERROR(VLOOKUP($A682,'13. Mapa Títulos-Receita'!$A$8:$P$1000,12,FALSE),"")</f>
        <v/>
      </c>
      <c r="AB682" s="92">
        <f>IFERROR(VLOOKUP($A682,'13. Mapa Títulos-Receita'!$A$8:$P$1000,13,FALSE),"")</f>
        <v/>
      </c>
      <c r="AC682" s="92">
        <f>IFERROR(VLOOKUP($A682,'13. Mapa Títulos-Receita'!$A$8:$P$1000,14,FALSE),"")</f>
        <v/>
      </c>
      <c r="AD682" s="92">
        <f>IFERROR(VLOOKUP($A682,'13. Mapa Títulos-Receita'!$A$8:$P$1000,15,FALSE),"")</f>
        <v/>
      </c>
      <c r="AE682" s="92">
        <f>IFERROR(VLOOKUP($A682,'13. Mapa Títulos-Receita'!$A$8:$P$1000,16,FALSE),"")</f>
        <v/>
      </c>
    </row>
    <row r="683">
      <c r="A683" s="28">
        <f>IF(C683="","", "CR-"&amp;TEXT(ROW()-7,"000"))</f>
        <v/>
      </c>
      <c r="B683" s="28" t="n"/>
      <c r="C683" s="28" t="n"/>
      <c r="D683" s="111" t="n"/>
      <c r="E683" s="111" t="n"/>
      <c r="F683" s="111" t="n"/>
      <c r="G683" s="28" t="n"/>
      <c r="H683" s="45" t="n"/>
      <c r="I683" s="45" t="n"/>
      <c r="J683" s="28">
        <f>IF(H683="","",IF(I683&gt;=H683,"Recebido",IF($B$4&gt;E683,"Vencido","Aberto")))</f>
        <v/>
      </c>
      <c r="K683" s="4">
        <f>IF(J683="","",IF(OR(J683="Recebido",F683=""),MAX(0,F683-E683),MAX(0,$B$4-E683)))</f>
        <v/>
      </c>
      <c r="L683" s="4">
        <f>IF(K683="","",IF(K683=0,"Em dia",IF(K683&lt;=30,"1-30 dias",IF(K683&lt;=60,"31-60 dias",IF(K683&lt;=90,"61-90 dias","&gt;90 dias")))))</f>
        <v/>
      </c>
      <c r="M683" s="28" t="n"/>
      <c r="N683" s="104" t="inlineStr"/>
      <c r="O683" s="64" t="n"/>
      <c r="P683" s="64">
        <f>IF(C683="","",IF(ISNUMBER(SEARCH("PCMSO",C683)),"PCMSO",IF(OR(ISNUMBER(SEARCH("E-SOCIAL",C683)),ISNUMBER(SEARCH("PSICOSOCIAL",C683))),"eSocial / Psicossocial",IF(O683="Receita recorrente","Carteira recorrente","Projetos / Laudos / Avulsos"))))</f>
        <v/>
      </c>
      <c r="Q683" s="64">
        <f>IF(P683="","",IF(P683="Carteira recorrente","Operação recorrente",IF(P683="PCMSO","Projetos PCMSO",IF(P683="eSocial / Psicossocial","Projetos eSocial/Psicossocial","Projetos / Laudos / Avulsos"))))</f>
        <v/>
      </c>
      <c r="R683" s="64">
        <f>IF(C683="","",IF(ISNUMBER(SEARCH("PCMSO",C683)),"Título com PCMSO no nome",IF(OR(ISNUMBER(SEARCH("E-SOCIAL",C683)),ISNUMBER(SEARCH("PSICOSOCIAL",C683))),"Título com eSocial/Psicossocial no nome",IF(O683="Receita recorrente","Tipo DRE recorrente","Extra sem palavra-chave específica"))))</f>
        <v/>
      </c>
      <c r="S683" s="92">
        <f>IFERROR(VLOOKUP($A683,'13. Mapa Títulos-Receita'!$A$8:$P$1000,4,FALSE),"")</f>
        <v/>
      </c>
      <c r="T683" s="92">
        <f>IFERROR(VLOOKUP($A683,'13. Mapa Títulos-Receita'!$A$8:$P$1000,5,FALSE),"")</f>
        <v/>
      </c>
      <c r="U683" s="92">
        <f>IFERROR(VLOOKUP($A683,'13. Mapa Títulos-Receita'!$A$8:$P$1000,6,FALSE),"")</f>
        <v/>
      </c>
      <c r="V683" s="92">
        <f>IFERROR(VLOOKUP($A683,'13. Mapa Títulos-Receita'!$A$8:$P$1000,7,FALSE),"")</f>
        <v/>
      </c>
      <c r="W683" s="92">
        <f>IFERROR(VLOOKUP($A683,'13. Mapa Títulos-Receita'!$A$8:$P$1000,8,FALSE),"")</f>
        <v/>
      </c>
      <c r="X683" s="92">
        <f>IFERROR(VLOOKUP($A683,'13. Mapa Títulos-Receita'!$A$8:$P$1000,9,FALSE),"")</f>
        <v/>
      </c>
      <c r="Y683" s="92">
        <f>IFERROR(VLOOKUP($A683,'13. Mapa Títulos-Receita'!$A$8:$P$1000,10,FALSE),"")</f>
        <v/>
      </c>
      <c r="Z683" s="92">
        <f>IFERROR(VLOOKUP($A683,'13. Mapa Títulos-Receita'!$A$8:$P$1000,11,FALSE),"")</f>
        <v/>
      </c>
      <c r="AA683" s="92">
        <f>IFERROR(VLOOKUP($A683,'13. Mapa Títulos-Receita'!$A$8:$P$1000,12,FALSE),"")</f>
        <v/>
      </c>
      <c r="AB683" s="92">
        <f>IFERROR(VLOOKUP($A683,'13. Mapa Títulos-Receita'!$A$8:$P$1000,13,FALSE),"")</f>
        <v/>
      </c>
      <c r="AC683" s="92">
        <f>IFERROR(VLOOKUP($A683,'13. Mapa Títulos-Receita'!$A$8:$P$1000,14,FALSE),"")</f>
        <v/>
      </c>
      <c r="AD683" s="92">
        <f>IFERROR(VLOOKUP($A683,'13. Mapa Títulos-Receita'!$A$8:$P$1000,15,FALSE),"")</f>
        <v/>
      </c>
      <c r="AE683" s="92">
        <f>IFERROR(VLOOKUP($A683,'13. Mapa Títulos-Receita'!$A$8:$P$1000,16,FALSE),"")</f>
        <v/>
      </c>
    </row>
    <row r="684">
      <c r="A684" s="28">
        <f>IF(C684="","", "CR-"&amp;TEXT(ROW()-7,"000"))</f>
        <v/>
      </c>
      <c r="B684" s="28" t="n"/>
      <c r="C684" s="28" t="n"/>
      <c r="D684" s="111" t="n"/>
      <c r="E684" s="111" t="n"/>
      <c r="F684" s="111" t="n"/>
      <c r="G684" s="28" t="n"/>
      <c r="H684" s="45" t="n"/>
      <c r="I684" s="45" t="n"/>
      <c r="J684" s="28">
        <f>IF(H684="","",IF(I684&gt;=H684,"Recebido",IF($B$4&gt;E684,"Vencido","Aberto")))</f>
        <v/>
      </c>
      <c r="K684" s="4">
        <f>IF(J684="","",IF(OR(J684="Recebido",F684=""),MAX(0,F684-E684),MAX(0,$B$4-E684)))</f>
        <v/>
      </c>
      <c r="L684" s="4">
        <f>IF(K684="","",IF(K684=0,"Em dia",IF(K684&lt;=30,"1-30 dias",IF(K684&lt;=60,"31-60 dias",IF(K684&lt;=90,"61-90 dias","&gt;90 dias")))))</f>
        <v/>
      </c>
      <c r="M684" s="28" t="n"/>
      <c r="N684" s="104" t="inlineStr"/>
      <c r="O684" s="64" t="n"/>
      <c r="P684" s="64">
        <f>IF(C684="","",IF(ISNUMBER(SEARCH("PCMSO",C684)),"PCMSO",IF(OR(ISNUMBER(SEARCH("E-SOCIAL",C684)),ISNUMBER(SEARCH("PSICOSOCIAL",C684))),"eSocial / Psicossocial",IF(O684="Receita recorrente","Carteira recorrente","Projetos / Laudos / Avulsos"))))</f>
        <v/>
      </c>
      <c r="Q684" s="64">
        <f>IF(P684="","",IF(P684="Carteira recorrente","Operação recorrente",IF(P684="PCMSO","Projetos PCMSO",IF(P684="eSocial / Psicossocial","Projetos eSocial/Psicossocial","Projetos / Laudos / Avulsos"))))</f>
        <v/>
      </c>
      <c r="R684" s="64">
        <f>IF(C684="","",IF(ISNUMBER(SEARCH("PCMSO",C684)),"Título com PCMSO no nome",IF(OR(ISNUMBER(SEARCH("E-SOCIAL",C684)),ISNUMBER(SEARCH("PSICOSOCIAL",C684))),"Título com eSocial/Psicossocial no nome",IF(O684="Receita recorrente","Tipo DRE recorrente","Extra sem palavra-chave específica"))))</f>
        <v/>
      </c>
      <c r="S684" s="92">
        <f>IFERROR(VLOOKUP($A684,'13. Mapa Títulos-Receita'!$A$8:$P$1000,4,FALSE),"")</f>
        <v/>
      </c>
      <c r="T684" s="92">
        <f>IFERROR(VLOOKUP($A684,'13. Mapa Títulos-Receita'!$A$8:$P$1000,5,FALSE),"")</f>
        <v/>
      </c>
      <c r="U684" s="92">
        <f>IFERROR(VLOOKUP($A684,'13. Mapa Títulos-Receita'!$A$8:$P$1000,6,FALSE),"")</f>
        <v/>
      </c>
      <c r="V684" s="92">
        <f>IFERROR(VLOOKUP($A684,'13. Mapa Títulos-Receita'!$A$8:$P$1000,7,FALSE),"")</f>
        <v/>
      </c>
      <c r="W684" s="92">
        <f>IFERROR(VLOOKUP($A684,'13. Mapa Títulos-Receita'!$A$8:$P$1000,8,FALSE),"")</f>
        <v/>
      </c>
      <c r="X684" s="92">
        <f>IFERROR(VLOOKUP($A684,'13. Mapa Títulos-Receita'!$A$8:$P$1000,9,FALSE),"")</f>
        <v/>
      </c>
      <c r="Y684" s="92">
        <f>IFERROR(VLOOKUP($A684,'13. Mapa Títulos-Receita'!$A$8:$P$1000,10,FALSE),"")</f>
        <v/>
      </c>
      <c r="Z684" s="92">
        <f>IFERROR(VLOOKUP($A684,'13. Mapa Títulos-Receita'!$A$8:$P$1000,11,FALSE),"")</f>
        <v/>
      </c>
      <c r="AA684" s="92">
        <f>IFERROR(VLOOKUP($A684,'13. Mapa Títulos-Receita'!$A$8:$P$1000,12,FALSE),"")</f>
        <v/>
      </c>
      <c r="AB684" s="92">
        <f>IFERROR(VLOOKUP($A684,'13. Mapa Títulos-Receita'!$A$8:$P$1000,13,FALSE),"")</f>
        <v/>
      </c>
      <c r="AC684" s="92">
        <f>IFERROR(VLOOKUP($A684,'13. Mapa Títulos-Receita'!$A$8:$P$1000,14,FALSE),"")</f>
        <v/>
      </c>
      <c r="AD684" s="92">
        <f>IFERROR(VLOOKUP($A684,'13. Mapa Títulos-Receita'!$A$8:$P$1000,15,FALSE),"")</f>
        <v/>
      </c>
      <c r="AE684" s="92">
        <f>IFERROR(VLOOKUP($A684,'13. Mapa Títulos-Receita'!$A$8:$P$1000,16,FALSE),"")</f>
        <v/>
      </c>
    </row>
    <row r="685">
      <c r="A685" s="28">
        <f>IF(C685="","", "CR-"&amp;TEXT(ROW()-7,"000"))</f>
        <v/>
      </c>
      <c r="B685" s="28" t="n"/>
      <c r="C685" s="28" t="n"/>
      <c r="D685" s="111" t="n"/>
      <c r="E685" s="111" t="n"/>
      <c r="F685" s="111" t="n"/>
      <c r="G685" s="28" t="n"/>
      <c r="H685" s="45" t="n"/>
      <c r="I685" s="45" t="n"/>
      <c r="J685" s="28">
        <f>IF(H685="","",IF(I685&gt;=H685,"Recebido",IF($B$4&gt;E685,"Vencido","Aberto")))</f>
        <v/>
      </c>
      <c r="K685" s="4">
        <f>IF(J685="","",IF(OR(J685="Recebido",F685=""),MAX(0,F685-E685),MAX(0,$B$4-E685)))</f>
        <v/>
      </c>
      <c r="L685" s="4">
        <f>IF(K685="","",IF(K685=0,"Em dia",IF(K685&lt;=30,"1-30 dias",IF(K685&lt;=60,"31-60 dias",IF(K685&lt;=90,"61-90 dias","&gt;90 dias")))))</f>
        <v/>
      </c>
      <c r="M685" s="28" t="n"/>
      <c r="N685" s="104" t="inlineStr"/>
      <c r="O685" s="64" t="n"/>
      <c r="P685" s="64">
        <f>IF(C685="","",IF(ISNUMBER(SEARCH("PCMSO",C685)),"PCMSO",IF(OR(ISNUMBER(SEARCH("E-SOCIAL",C685)),ISNUMBER(SEARCH("PSICOSOCIAL",C685))),"eSocial / Psicossocial",IF(O685="Receita recorrente","Carteira recorrente","Projetos / Laudos / Avulsos"))))</f>
        <v/>
      </c>
      <c r="Q685" s="64">
        <f>IF(P685="","",IF(P685="Carteira recorrente","Operação recorrente",IF(P685="PCMSO","Projetos PCMSO",IF(P685="eSocial / Psicossocial","Projetos eSocial/Psicossocial","Projetos / Laudos / Avulsos"))))</f>
        <v/>
      </c>
      <c r="R685" s="64">
        <f>IF(C685="","",IF(ISNUMBER(SEARCH("PCMSO",C685)),"Título com PCMSO no nome",IF(OR(ISNUMBER(SEARCH("E-SOCIAL",C685)),ISNUMBER(SEARCH("PSICOSOCIAL",C685))),"Título com eSocial/Psicossocial no nome",IF(O685="Receita recorrente","Tipo DRE recorrente","Extra sem palavra-chave específica"))))</f>
        <v/>
      </c>
      <c r="S685" s="92">
        <f>IFERROR(VLOOKUP($A685,'13. Mapa Títulos-Receita'!$A$8:$P$1000,4,FALSE),"")</f>
        <v/>
      </c>
      <c r="T685" s="92">
        <f>IFERROR(VLOOKUP($A685,'13. Mapa Títulos-Receita'!$A$8:$P$1000,5,FALSE),"")</f>
        <v/>
      </c>
      <c r="U685" s="92">
        <f>IFERROR(VLOOKUP($A685,'13. Mapa Títulos-Receita'!$A$8:$P$1000,6,FALSE),"")</f>
        <v/>
      </c>
      <c r="V685" s="92">
        <f>IFERROR(VLOOKUP($A685,'13. Mapa Títulos-Receita'!$A$8:$P$1000,7,FALSE),"")</f>
        <v/>
      </c>
      <c r="W685" s="92">
        <f>IFERROR(VLOOKUP($A685,'13. Mapa Títulos-Receita'!$A$8:$P$1000,8,FALSE),"")</f>
        <v/>
      </c>
      <c r="X685" s="92">
        <f>IFERROR(VLOOKUP($A685,'13. Mapa Títulos-Receita'!$A$8:$P$1000,9,FALSE),"")</f>
        <v/>
      </c>
      <c r="Y685" s="92">
        <f>IFERROR(VLOOKUP($A685,'13. Mapa Títulos-Receita'!$A$8:$P$1000,10,FALSE),"")</f>
        <v/>
      </c>
      <c r="Z685" s="92">
        <f>IFERROR(VLOOKUP($A685,'13. Mapa Títulos-Receita'!$A$8:$P$1000,11,FALSE),"")</f>
        <v/>
      </c>
      <c r="AA685" s="92">
        <f>IFERROR(VLOOKUP($A685,'13. Mapa Títulos-Receita'!$A$8:$P$1000,12,FALSE),"")</f>
        <v/>
      </c>
      <c r="AB685" s="92">
        <f>IFERROR(VLOOKUP($A685,'13. Mapa Títulos-Receita'!$A$8:$P$1000,13,FALSE),"")</f>
        <v/>
      </c>
      <c r="AC685" s="92">
        <f>IFERROR(VLOOKUP($A685,'13. Mapa Títulos-Receita'!$A$8:$P$1000,14,FALSE),"")</f>
        <v/>
      </c>
      <c r="AD685" s="92">
        <f>IFERROR(VLOOKUP($A685,'13. Mapa Títulos-Receita'!$A$8:$P$1000,15,FALSE),"")</f>
        <v/>
      </c>
      <c r="AE685" s="92">
        <f>IFERROR(VLOOKUP($A685,'13. Mapa Títulos-Receita'!$A$8:$P$1000,16,FALSE),"")</f>
        <v/>
      </c>
    </row>
    <row r="686">
      <c r="A686" s="28">
        <f>IF(C686="","", "CR-"&amp;TEXT(ROW()-7,"000"))</f>
        <v/>
      </c>
      <c r="B686" s="28" t="n"/>
      <c r="C686" s="28" t="n"/>
      <c r="D686" s="111" t="n"/>
      <c r="E686" s="111" t="n"/>
      <c r="F686" s="111" t="n"/>
      <c r="G686" s="28" t="n"/>
      <c r="H686" s="45" t="n"/>
      <c r="I686" s="45" t="n"/>
      <c r="J686" s="28">
        <f>IF(H686="","",IF(I686&gt;=H686,"Recebido",IF($B$4&gt;E686,"Vencido","Aberto")))</f>
        <v/>
      </c>
      <c r="K686" s="4">
        <f>IF(J686="","",IF(OR(J686="Recebido",F686=""),MAX(0,F686-E686),MAX(0,$B$4-E686)))</f>
        <v/>
      </c>
      <c r="L686" s="4">
        <f>IF(K686="","",IF(K686=0,"Em dia",IF(K686&lt;=30,"1-30 dias",IF(K686&lt;=60,"31-60 dias",IF(K686&lt;=90,"61-90 dias","&gt;90 dias")))))</f>
        <v/>
      </c>
      <c r="M686" s="28" t="n"/>
      <c r="N686" s="104" t="inlineStr"/>
      <c r="O686" s="64" t="n"/>
      <c r="P686" s="64">
        <f>IF(C686="","",IF(ISNUMBER(SEARCH("PCMSO",C686)),"PCMSO",IF(OR(ISNUMBER(SEARCH("E-SOCIAL",C686)),ISNUMBER(SEARCH("PSICOSOCIAL",C686))),"eSocial / Psicossocial",IF(O686="Receita recorrente","Carteira recorrente","Projetos / Laudos / Avulsos"))))</f>
        <v/>
      </c>
      <c r="Q686" s="64">
        <f>IF(P686="","",IF(P686="Carteira recorrente","Operação recorrente",IF(P686="PCMSO","Projetos PCMSO",IF(P686="eSocial / Psicossocial","Projetos eSocial/Psicossocial","Projetos / Laudos / Avulsos"))))</f>
        <v/>
      </c>
      <c r="R686" s="64">
        <f>IF(C686="","",IF(ISNUMBER(SEARCH("PCMSO",C686)),"Título com PCMSO no nome",IF(OR(ISNUMBER(SEARCH("E-SOCIAL",C686)),ISNUMBER(SEARCH("PSICOSOCIAL",C686))),"Título com eSocial/Psicossocial no nome",IF(O686="Receita recorrente","Tipo DRE recorrente","Extra sem palavra-chave específica"))))</f>
        <v/>
      </c>
      <c r="S686" s="92">
        <f>IFERROR(VLOOKUP($A686,'13. Mapa Títulos-Receita'!$A$8:$P$1000,4,FALSE),"")</f>
        <v/>
      </c>
      <c r="T686" s="92">
        <f>IFERROR(VLOOKUP($A686,'13. Mapa Títulos-Receita'!$A$8:$P$1000,5,FALSE),"")</f>
        <v/>
      </c>
      <c r="U686" s="92">
        <f>IFERROR(VLOOKUP($A686,'13. Mapa Títulos-Receita'!$A$8:$P$1000,6,FALSE),"")</f>
        <v/>
      </c>
      <c r="V686" s="92">
        <f>IFERROR(VLOOKUP($A686,'13. Mapa Títulos-Receita'!$A$8:$P$1000,7,FALSE),"")</f>
        <v/>
      </c>
      <c r="W686" s="92">
        <f>IFERROR(VLOOKUP($A686,'13. Mapa Títulos-Receita'!$A$8:$P$1000,8,FALSE),"")</f>
        <v/>
      </c>
      <c r="X686" s="92">
        <f>IFERROR(VLOOKUP($A686,'13. Mapa Títulos-Receita'!$A$8:$P$1000,9,FALSE),"")</f>
        <v/>
      </c>
      <c r="Y686" s="92">
        <f>IFERROR(VLOOKUP($A686,'13. Mapa Títulos-Receita'!$A$8:$P$1000,10,FALSE),"")</f>
        <v/>
      </c>
      <c r="Z686" s="92">
        <f>IFERROR(VLOOKUP($A686,'13. Mapa Títulos-Receita'!$A$8:$P$1000,11,FALSE),"")</f>
        <v/>
      </c>
      <c r="AA686" s="92">
        <f>IFERROR(VLOOKUP($A686,'13. Mapa Títulos-Receita'!$A$8:$P$1000,12,FALSE),"")</f>
        <v/>
      </c>
      <c r="AB686" s="92">
        <f>IFERROR(VLOOKUP($A686,'13. Mapa Títulos-Receita'!$A$8:$P$1000,13,FALSE),"")</f>
        <v/>
      </c>
      <c r="AC686" s="92">
        <f>IFERROR(VLOOKUP($A686,'13. Mapa Títulos-Receita'!$A$8:$P$1000,14,FALSE),"")</f>
        <v/>
      </c>
      <c r="AD686" s="92">
        <f>IFERROR(VLOOKUP($A686,'13. Mapa Títulos-Receita'!$A$8:$P$1000,15,FALSE),"")</f>
        <v/>
      </c>
      <c r="AE686" s="92">
        <f>IFERROR(VLOOKUP($A686,'13. Mapa Títulos-Receita'!$A$8:$P$1000,16,FALSE),"")</f>
        <v/>
      </c>
    </row>
    <row r="687">
      <c r="A687" s="28">
        <f>IF(C687="","", "CR-"&amp;TEXT(ROW()-7,"000"))</f>
        <v/>
      </c>
      <c r="B687" s="28" t="n"/>
      <c r="C687" s="28" t="n"/>
      <c r="D687" s="111" t="n"/>
      <c r="E687" s="111" t="n"/>
      <c r="F687" s="111" t="n"/>
      <c r="G687" s="28" t="n"/>
      <c r="H687" s="45" t="n"/>
      <c r="I687" s="45" t="n"/>
      <c r="J687" s="28">
        <f>IF(H687="","",IF(I687&gt;=H687,"Recebido",IF($B$4&gt;E687,"Vencido","Aberto")))</f>
        <v/>
      </c>
      <c r="K687" s="4">
        <f>IF(J687="","",IF(OR(J687="Recebido",F687=""),MAX(0,F687-E687),MAX(0,$B$4-E687)))</f>
        <v/>
      </c>
      <c r="L687" s="4">
        <f>IF(K687="","",IF(K687=0,"Em dia",IF(K687&lt;=30,"1-30 dias",IF(K687&lt;=60,"31-60 dias",IF(K687&lt;=90,"61-90 dias","&gt;90 dias")))))</f>
        <v/>
      </c>
      <c r="M687" s="28" t="n"/>
      <c r="N687" s="104" t="inlineStr"/>
      <c r="O687" s="64" t="n"/>
      <c r="P687" s="64">
        <f>IF(C687="","",IF(ISNUMBER(SEARCH("PCMSO",C687)),"PCMSO",IF(OR(ISNUMBER(SEARCH("E-SOCIAL",C687)),ISNUMBER(SEARCH("PSICOSOCIAL",C687))),"eSocial / Psicossocial",IF(O687="Receita recorrente","Carteira recorrente","Projetos / Laudos / Avulsos"))))</f>
        <v/>
      </c>
      <c r="Q687" s="64">
        <f>IF(P687="","",IF(P687="Carteira recorrente","Operação recorrente",IF(P687="PCMSO","Projetos PCMSO",IF(P687="eSocial / Psicossocial","Projetos eSocial/Psicossocial","Projetos / Laudos / Avulsos"))))</f>
        <v/>
      </c>
      <c r="R687" s="64">
        <f>IF(C687="","",IF(ISNUMBER(SEARCH("PCMSO",C687)),"Título com PCMSO no nome",IF(OR(ISNUMBER(SEARCH("E-SOCIAL",C687)),ISNUMBER(SEARCH("PSICOSOCIAL",C687))),"Título com eSocial/Psicossocial no nome",IF(O687="Receita recorrente","Tipo DRE recorrente","Extra sem palavra-chave específica"))))</f>
        <v/>
      </c>
      <c r="S687" s="92">
        <f>IFERROR(VLOOKUP($A687,'13. Mapa Títulos-Receita'!$A$8:$P$1000,4,FALSE),"")</f>
        <v/>
      </c>
      <c r="T687" s="92">
        <f>IFERROR(VLOOKUP($A687,'13. Mapa Títulos-Receita'!$A$8:$P$1000,5,FALSE),"")</f>
        <v/>
      </c>
      <c r="U687" s="92">
        <f>IFERROR(VLOOKUP($A687,'13. Mapa Títulos-Receita'!$A$8:$P$1000,6,FALSE),"")</f>
        <v/>
      </c>
      <c r="V687" s="92">
        <f>IFERROR(VLOOKUP($A687,'13. Mapa Títulos-Receita'!$A$8:$P$1000,7,FALSE),"")</f>
        <v/>
      </c>
      <c r="W687" s="92">
        <f>IFERROR(VLOOKUP($A687,'13. Mapa Títulos-Receita'!$A$8:$P$1000,8,FALSE),"")</f>
        <v/>
      </c>
      <c r="X687" s="92">
        <f>IFERROR(VLOOKUP($A687,'13. Mapa Títulos-Receita'!$A$8:$P$1000,9,FALSE),"")</f>
        <v/>
      </c>
      <c r="Y687" s="92">
        <f>IFERROR(VLOOKUP($A687,'13. Mapa Títulos-Receita'!$A$8:$P$1000,10,FALSE),"")</f>
        <v/>
      </c>
      <c r="Z687" s="92">
        <f>IFERROR(VLOOKUP($A687,'13. Mapa Títulos-Receita'!$A$8:$P$1000,11,FALSE),"")</f>
        <v/>
      </c>
      <c r="AA687" s="92">
        <f>IFERROR(VLOOKUP($A687,'13. Mapa Títulos-Receita'!$A$8:$P$1000,12,FALSE),"")</f>
        <v/>
      </c>
      <c r="AB687" s="92">
        <f>IFERROR(VLOOKUP($A687,'13. Mapa Títulos-Receita'!$A$8:$P$1000,13,FALSE),"")</f>
        <v/>
      </c>
      <c r="AC687" s="92">
        <f>IFERROR(VLOOKUP($A687,'13. Mapa Títulos-Receita'!$A$8:$P$1000,14,FALSE),"")</f>
        <v/>
      </c>
      <c r="AD687" s="92">
        <f>IFERROR(VLOOKUP($A687,'13. Mapa Títulos-Receita'!$A$8:$P$1000,15,FALSE),"")</f>
        <v/>
      </c>
      <c r="AE687" s="92">
        <f>IFERROR(VLOOKUP($A687,'13. Mapa Títulos-Receita'!$A$8:$P$1000,16,FALSE),"")</f>
        <v/>
      </c>
    </row>
    <row r="688">
      <c r="A688" s="28">
        <f>IF(C688="","", "CR-"&amp;TEXT(ROW()-7,"000"))</f>
        <v/>
      </c>
      <c r="B688" s="28" t="n"/>
      <c r="C688" s="28" t="n"/>
      <c r="D688" s="111" t="n"/>
      <c r="E688" s="111" t="n"/>
      <c r="F688" s="111" t="n"/>
      <c r="G688" s="28" t="n"/>
      <c r="H688" s="45" t="n"/>
      <c r="I688" s="45" t="n"/>
      <c r="J688" s="28">
        <f>IF(H688="","",IF(I688&gt;=H688,"Recebido",IF($B$4&gt;E688,"Vencido","Aberto")))</f>
        <v/>
      </c>
      <c r="K688" s="4">
        <f>IF(J688="","",IF(OR(J688="Recebido",F688=""),MAX(0,F688-E688),MAX(0,$B$4-E688)))</f>
        <v/>
      </c>
      <c r="L688" s="4">
        <f>IF(K688="","",IF(K688=0,"Em dia",IF(K688&lt;=30,"1-30 dias",IF(K688&lt;=60,"31-60 dias",IF(K688&lt;=90,"61-90 dias","&gt;90 dias")))))</f>
        <v/>
      </c>
      <c r="M688" s="28" t="n"/>
      <c r="N688" s="104" t="inlineStr"/>
      <c r="O688" s="64" t="n"/>
      <c r="P688" s="64">
        <f>IF(C688="","",IF(ISNUMBER(SEARCH("PCMSO",C688)),"PCMSO",IF(OR(ISNUMBER(SEARCH("E-SOCIAL",C688)),ISNUMBER(SEARCH("PSICOSOCIAL",C688))),"eSocial / Psicossocial",IF(O688="Receita recorrente","Carteira recorrente","Projetos / Laudos / Avulsos"))))</f>
        <v/>
      </c>
      <c r="Q688" s="64">
        <f>IF(P688="","",IF(P688="Carteira recorrente","Operação recorrente",IF(P688="PCMSO","Projetos PCMSO",IF(P688="eSocial / Psicossocial","Projetos eSocial/Psicossocial","Projetos / Laudos / Avulsos"))))</f>
        <v/>
      </c>
      <c r="R688" s="64">
        <f>IF(C688="","",IF(ISNUMBER(SEARCH("PCMSO",C688)),"Título com PCMSO no nome",IF(OR(ISNUMBER(SEARCH("E-SOCIAL",C688)),ISNUMBER(SEARCH("PSICOSOCIAL",C688))),"Título com eSocial/Psicossocial no nome",IF(O688="Receita recorrente","Tipo DRE recorrente","Extra sem palavra-chave específica"))))</f>
        <v/>
      </c>
      <c r="S688" s="92">
        <f>IFERROR(VLOOKUP($A688,'13. Mapa Títulos-Receita'!$A$8:$P$1000,4,FALSE),"")</f>
        <v/>
      </c>
      <c r="T688" s="92">
        <f>IFERROR(VLOOKUP($A688,'13. Mapa Títulos-Receita'!$A$8:$P$1000,5,FALSE),"")</f>
        <v/>
      </c>
      <c r="U688" s="92">
        <f>IFERROR(VLOOKUP($A688,'13. Mapa Títulos-Receita'!$A$8:$P$1000,6,FALSE),"")</f>
        <v/>
      </c>
      <c r="V688" s="92">
        <f>IFERROR(VLOOKUP($A688,'13. Mapa Títulos-Receita'!$A$8:$P$1000,7,FALSE),"")</f>
        <v/>
      </c>
      <c r="W688" s="92">
        <f>IFERROR(VLOOKUP($A688,'13. Mapa Títulos-Receita'!$A$8:$P$1000,8,FALSE),"")</f>
        <v/>
      </c>
      <c r="X688" s="92">
        <f>IFERROR(VLOOKUP($A688,'13. Mapa Títulos-Receita'!$A$8:$P$1000,9,FALSE),"")</f>
        <v/>
      </c>
      <c r="Y688" s="92">
        <f>IFERROR(VLOOKUP($A688,'13. Mapa Títulos-Receita'!$A$8:$P$1000,10,FALSE),"")</f>
        <v/>
      </c>
      <c r="Z688" s="92">
        <f>IFERROR(VLOOKUP($A688,'13. Mapa Títulos-Receita'!$A$8:$P$1000,11,FALSE),"")</f>
        <v/>
      </c>
      <c r="AA688" s="92">
        <f>IFERROR(VLOOKUP($A688,'13. Mapa Títulos-Receita'!$A$8:$P$1000,12,FALSE),"")</f>
        <v/>
      </c>
      <c r="AB688" s="92">
        <f>IFERROR(VLOOKUP($A688,'13. Mapa Títulos-Receita'!$A$8:$P$1000,13,FALSE),"")</f>
        <v/>
      </c>
      <c r="AC688" s="92">
        <f>IFERROR(VLOOKUP($A688,'13. Mapa Títulos-Receita'!$A$8:$P$1000,14,FALSE),"")</f>
        <v/>
      </c>
      <c r="AD688" s="92">
        <f>IFERROR(VLOOKUP($A688,'13. Mapa Títulos-Receita'!$A$8:$P$1000,15,FALSE),"")</f>
        <v/>
      </c>
      <c r="AE688" s="92">
        <f>IFERROR(VLOOKUP($A688,'13. Mapa Títulos-Receita'!$A$8:$P$1000,16,FALSE),"")</f>
        <v/>
      </c>
    </row>
    <row r="689">
      <c r="A689" s="28">
        <f>IF(C689="","", "CR-"&amp;TEXT(ROW()-7,"000"))</f>
        <v/>
      </c>
      <c r="B689" s="28" t="n"/>
      <c r="C689" s="28" t="n"/>
      <c r="D689" s="111" t="n"/>
      <c r="E689" s="111" t="n"/>
      <c r="F689" s="111" t="n"/>
      <c r="G689" s="28" t="n"/>
      <c r="H689" s="45" t="n"/>
      <c r="I689" s="45" t="n"/>
      <c r="J689" s="28">
        <f>IF(H689="","",IF(I689&gt;=H689,"Recebido",IF($B$4&gt;E689,"Vencido","Aberto")))</f>
        <v/>
      </c>
      <c r="K689" s="4">
        <f>IF(J689="","",IF(OR(J689="Recebido",F689=""),MAX(0,F689-E689),MAX(0,$B$4-E689)))</f>
        <v/>
      </c>
      <c r="L689" s="4">
        <f>IF(K689="","",IF(K689=0,"Em dia",IF(K689&lt;=30,"1-30 dias",IF(K689&lt;=60,"31-60 dias",IF(K689&lt;=90,"61-90 dias","&gt;90 dias")))))</f>
        <v/>
      </c>
      <c r="M689" s="28" t="n"/>
      <c r="N689" s="104" t="inlineStr"/>
      <c r="O689" s="64" t="n"/>
      <c r="P689" s="64">
        <f>IF(C689="","",IF(ISNUMBER(SEARCH("PCMSO",C689)),"PCMSO",IF(OR(ISNUMBER(SEARCH("E-SOCIAL",C689)),ISNUMBER(SEARCH("PSICOSOCIAL",C689))),"eSocial / Psicossocial",IF(O689="Receita recorrente","Carteira recorrente","Projetos / Laudos / Avulsos"))))</f>
        <v/>
      </c>
      <c r="Q689" s="64">
        <f>IF(P689="","",IF(P689="Carteira recorrente","Operação recorrente",IF(P689="PCMSO","Projetos PCMSO",IF(P689="eSocial / Psicossocial","Projetos eSocial/Psicossocial","Projetos / Laudos / Avulsos"))))</f>
        <v/>
      </c>
      <c r="R689" s="64">
        <f>IF(C689="","",IF(ISNUMBER(SEARCH("PCMSO",C689)),"Título com PCMSO no nome",IF(OR(ISNUMBER(SEARCH("E-SOCIAL",C689)),ISNUMBER(SEARCH("PSICOSOCIAL",C689))),"Título com eSocial/Psicossocial no nome",IF(O689="Receita recorrente","Tipo DRE recorrente","Extra sem palavra-chave específica"))))</f>
        <v/>
      </c>
      <c r="S689" s="92">
        <f>IFERROR(VLOOKUP($A689,'13. Mapa Títulos-Receita'!$A$8:$P$1000,4,FALSE),"")</f>
        <v/>
      </c>
      <c r="T689" s="92">
        <f>IFERROR(VLOOKUP($A689,'13. Mapa Títulos-Receita'!$A$8:$P$1000,5,FALSE),"")</f>
        <v/>
      </c>
      <c r="U689" s="92">
        <f>IFERROR(VLOOKUP($A689,'13. Mapa Títulos-Receita'!$A$8:$P$1000,6,FALSE),"")</f>
        <v/>
      </c>
      <c r="V689" s="92">
        <f>IFERROR(VLOOKUP($A689,'13. Mapa Títulos-Receita'!$A$8:$P$1000,7,FALSE),"")</f>
        <v/>
      </c>
      <c r="W689" s="92">
        <f>IFERROR(VLOOKUP($A689,'13. Mapa Títulos-Receita'!$A$8:$P$1000,8,FALSE),"")</f>
        <v/>
      </c>
      <c r="X689" s="92">
        <f>IFERROR(VLOOKUP($A689,'13. Mapa Títulos-Receita'!$A$8:$P$1000,9,FALSE),"")</f>
        <v/>
      </c>
      <c r="Y689" s="92">
        <f>IFERROR(VLOOKUP($A689,'13. Mapa Títulos-Receita'!$A$8:$P$1000,10,FALSE),"")</f>
        <v/>
      </c>
      <c r="Z689" s="92">
        <f>IFERROR(VLOOKUP($A689,'13. Mapa Títulos-Receita'!$A$8:$P$1000,11,FALSE),"")</f>
        <v/>
      </c>
      <c r="AA689" s="92">
        <f>IFERROR(VLOOKUP($A689,'13. Mapa Títulos-Receita'!$A$8:$P$1000,12,FALSE),"")</f>
        <v/>
      </c>
      <c r="AB689" s="92">
        <f>IFERROR(VLOOKUP($A689,'13. Mapa Títulos-Receita'!$A$8:$P$1000,13,FALSE),"")</f>
        <v/>
      </c>
      <c r="AC689" s="92">
        <f>IFERROR(VLOOKUP($A689,'13. Mapa Títulos-Receita'!$A$8:$P$1000,14,FALSE),"")</f>
        <v/>
      </c>
      <c r="AD689" s="92">
        <f>IFERROR(VLOOKUP($A689,'13. Mapa Títulos-Receita'!$A$8:$P$1000,15,FALSE),"")</f>
        <v/>
      </c>
      <c r="AE689" s="92">
        <f>IFERROR(VLOOKUP($A689,'13. Mapa Títulos-Receita'!$A$8:$P$1000,16,FALSE),"")</f>
        <v/>
      </c>
    </row>
    <row r="690">
      <c r="A690" s="28">
        <f>IF(C690="","", "CR-"&amp;TEXT(ROW()-7,"000"))</f>
        <v/>
      </c>
      <c r="B690" s="28" t="n"/>
      <c r="C690" s="28" t="n"/>
      <c r="D690" s="111" t="n"/>
      <c r="E690" s="111" t="n"/>
      <c r="F690" s="111" t="n"/>
      <c r="G690" s="28" t="n"/>
      <c r="H690" s="45" t="n"/>
      <c r="I690" s="45" t="n"/>
      <c r="J690" s="28">
        <f>IF(H690="","",IF(I690&gt;=H690,"Recebido",IF($B$4&gt;E690,"Vencido","Aberto")))</f>
        <v/>
      </c>
      <c r="K690" s="4">
        <f>IF(J690="","",IF(OR(J690="Recebido",F690=""),MAX(0,F690-E690),MAX(0,$B$4-E690)))</f>
        <v/>
      </c>
      <c r="L690" s="4">
        <f>IF(K690="","",IF(K690=0,"Em dia",IF(K690&lt;=30,"1-30 dias",IF(K690&lt;=60,"31-60 dias",IF(K690&lt;=90,"61-90 dias","&gt;90 dias")))))</f>
        <v/>
      </c>
      <c r="M690" s="28" t="n"/>
      <c r="N690" s="104" t="inlineStr"/>
      <c r="O690" s="64" t="n"/>
      <c r="P690" s="64">
        <f>IF(C690="","",IF(ISNUMBER(SEARCH("PCMSO",C690)),"PCMSO",IF(OR(ISNUMBER(SEARCH("E-SOCIAL",C690)),ISNUMBER(SEARCH("PSICOSOCIAL",C690))),"eSocial / Psicossocial",IF(O690="Receita recorrente","Carteira recorrente","Projetos / Laudos / Avulsos"))))</f>
        <v/>
      </c>
      <c r="Q690" s="64">
        <f>IF(P690="","",IF(P690="Carteira recorrente","Operação recorrente",IF(P690="PCMSO","Projetos PCMSO",IF(P690="eSocial / Psicossocial","Projetos eSocial/Psicossocial","Projetos / Laudos / Avulsos"))))</f>
        <v/>
      </c>
      <c r="R690" s="64">
        <f>IF(C690="","",IF(ISNUMBER(SEARCH("PCMSO",C690)),"Título com PCMSO no nome",IF(OR(ISNUMBER(SEARCH("E-SOCIAL",C690)),ISNUMBER(SEARCH("PSICOSOCIAL",C690))),"Título com eSocial/Psicossocial no nome",IF(O690="Receita recorrente","Tipo DRE recorrente","Extra sem palavra-chave específica"))))</f>
        <v/>
      </c>
      <c r="S690" s="92">
        <f>IFERROR(VLOOKUP($A690,'13. Mapa Títulos-Receita'!$A$8:$P$1000,4,FALSE),"")</f>
        <v/>
      </c>
      <c r="T690" s="92">
        <f>IFERROR(VLOOKUP($A690,'13. Mapa Títulos-Receita'!$A$8:$P$1000,5,FALSE),"")</f>
        <v/>
      </c>
      <c r="U690" s="92">
        <f>IFERROR(VLOOKUP($A690,'13. Mapa Títulos-Receita'!$A$8:$P$1000,6,FALSE),"")</f>
        <v/>
      </c>
      <c r="V690" s="92">
        <f>IFERROR(VLOOKUP($A690,'13. Mapa Títulos-Receita'!$A$8:$P$1000,7,FALSE),"")</f>
        <v/>
      </c>
      <c r="W690" s="92">
        <f>IFERROR(VLOOKUP($A690,'13. Mapa Títulos-Receita'!$A$8:$P$1000,8,FALSE),"")</f>
        <v/>
      </c>
      <c r="X690" s="92">
        <f>IFERROR(VLOOKUP($A690,'13. Mapa Títulos-Receita'!$A$8:$P$1000,9,FALSE),"")</f>
        <v/>
      </c>
      <c r="Y690" s="92">
        <f>IFERROR(VLOOKUP($A690,'13. Mapa Títulos-Receita'!$A$8:$P$1000,10,FALSE),"")</f>
        <v/>
      </c>
      <c r="Z690" s="92">
        <f>IFERROR(VLOOKUP($A690,'13. Mapa Títulos-Receita'!$A$8:$P$1000,11,FALSE),"")</f>
        <v/>
      </c>
      <c r="AA690" s="92">
        <f>IFERROR(VLOOKUP($A690,'13. Mapa Títulos-Receita'!$A$8:$P$1000,12,FALSE),"")</f>
        <v/>
      </c>
      <c r="AB690" s="92">
        <f>IFERROR(VLOOKUP($A690,'13. Mapa Títulos-Receita'!$A$8:$P$1000,13,FALSE),"")</f>
        <v/>
      </c>
      <c r="AC690" s="92">
        <f>IFERROR(VLOOKUP($A690,'13. Mapa Títulos-Receita'!$A$8:$P$1000,14,FALSE),"")</f>
        <v/>
      </c>
      <c r="AD690" s="92">
        <f>IFERROR(VLOOKUP($A690,'13. Mapa Títulos-Receita'!$A$8:$P$1000,15,FALSE),"")</f>
        <v/>
      </c>
      <c r="AE690" s="92">
        <f>IFERROR(VLOOKUP($A690,'13. Mapa Títulos-Receita'!$A$8:$P$1000,16,FALSE),"")</f>
        <v/>
      </c>
    </row>
    <row r="691">
      <c r="A691" s="28">
        <f>IF(C691="","", "CR-"&amp;TEXT(ROW()-7,"000"))</f>
        <v/>
      </c>
      <c r="B691" s="28" t="n"/>
      <c r="C691" s="28" t="n"/>
      <c r="D691" s="111" t="n"/>
      <c r="E691" s="111" t="n"/>
      <c r="F691" s="111" t="n"/>
      <c r="G691" s="28" t="n"/>
      <c r="H691" s="45" t="n"/>
      <c r="I691" s="45" t="n"/>
      <c r="J691" s="28">
        <f>IF(H691="","",IF(I691&gt;=H691,"Recebido",IF($B$4&gt;E691,"Vencido","Aberto")))</f>
        <v/>
      </c>
      <c r="K691" s="4">
        <f>IF(J691="","",IF(OR(J691="Recebido",F691=""),MAX(0,F691-E691),MAX(0,$B$4-E691)))</f>
        <v/>
      </c>
      <c r="L691" s="4">
        <f>IF(K691="","",IF(K691=0,"Em dia",IF(K691&lt;=30,"1-30 dias",IF(K691&lt;=60,"31-60 dias",IF(K691&lt;=90,"61-90 dias","&gt;90 dias")))))</f>
        <v/>
      </c>
      <c r="M691" s="28" t="n"/>
      <c r="N691" s="104" t="inlineStr"/>
      <c r="O691" s="64" t="n"/>
      <c r="P691" s="64">
        <f>IF(C691="","",IF(ISNUMBER(SEARCH("PCMSO",C691)),"PCMSO",IF(OR(ISNUMBER(SEARCH("E-SOCIAL",C691)),ISNUMBER(SEARCH("PSICOSOCIAL",C691))),"eSocial / Psicossocial",IF(O691="Receita recorrente","Carteira recorrente","Projetos / Laudos / Avulsos"))))</f>
        <v/>
      </c>
      <c r="Q691" s="64">
        <f>IF(P691="","",IF(P691="Carteira recorrente","Operação recorrente",IF(P691="PCMSO","Projetos PCMSO",IF(P691="eSocial / Psicossocial","Projetos eSocial/Psicossocial","Projetos / Laudos / Avulsos"))))</f>
        <v/>
      </c>
      <c r="R691" s="64">
        <f>IF(C691="","",IF(ISNUMBER(SEARCH("PCMSO",C691)),"Título com PCMSO no nome",IF(OR(ISNUMBER(SEARCH("E-SOCIAL",C691)),ISNUMBER(SEARCH("PSICOSOCIAL",C691))),"Título com eSocial/Psicossocial no nome",IF(O691="Receita recorrente","Tipo DRE recorrente","Extra sem palavra-chave específica"))))</f>
        <v/>
      </c>
      <c r="S691" s="92">
        <f>IFERROR(VLOOKUP($A691,'13. Mapa Títulos-Receita'!$A$8:$P$1000,4,FALSE),"")</f>
        <v/>
      </c>
      <c r="T691" s="92">
        <f>IFERROR(VLOOKUP($A691,'13. Mapa Títulos-Receita'!$A$8:$P$1000,5,FALSE),"")</f>
        <v/>
      </c>
      <c r="U691" s="92">
        <f>IFERROR(VLOOKUP($A691,'13. Mapa Títulos-Receita'!$A$8:$P$1000,6,FALSE),"")</f>
        <v/>
      </c>
      <c r="V691" s="92">
        <f>IFERROR(VLOOKUP($A691,'13. Mapa Títulos-Receita'!$A$8:$P$1000,7,FALSE),"")</f>
        <v/>
      </c>
      <c r="W691" s="92">
        <f>IFERROR(VLOOKUP($A691,'13. Mapa Títulos-Receita'!$A$8:$P$1000,8,FALSE),"")</f>
        <v/>
      </c>
      <c r="X691" s="92">
        <f>IFERROR(VLOOKUP($A691,'13. Mapa Títulos-Receita'!$A$8:$P$1000,9,FALSE),"")</f>
        <v/>
      </c>
      <c r="Y691" s="92">
        <f>IFERROR(VLOOKUP($A691,'13. Mapa Títulos-Receita'!$A$8:$P$1000,10,FALSE),"")</f>
        <v/>
      </c>
      <c r="Z691" s="92">
        <f>IFERROR(VLOOKUP($A691,'13. Mapa Títulos-Receita'!$A$8:$P$1000,11,FALSE),"")</f>
        <v/>
      </c>
      <c r="AA691" s="92">
        <f>IFERROR(VLOOKUP($A691,'13. Mapa Títulos-Receita'!$A$8:$P$1000,12,FALSE),"")</f>
        <v/>
      </c>
      <c r="AB691" s="92">
        <f>IFERROR(VLOOKUP($A691,'13. Mapa Títulos-Receita'!$A$8:$P$1000,13,FALSE),"")</f>
        <v/>
      </c>
      <c r="AC691" s="92">
        <f>IFERROR(VLOOKUP($A691,'13. Mapa Títulos-Receita'!$A$8:$P$1000,14,FALSE),"")</f>
        <v/>
      </c>
      <c r="AD691" s="92">
        <f>IFERROR(VLOOKUP($A691,'13. Mapa Títulos-Receita'!$A$8:$P$1000,15,FALSE),"")</f>
        <v/>
      </c>
      <c r="AE691" s="92">
        <f>IFERROR(VLOOKUP($A691,'13. Mapa Títulos-Receita'!$A$8:$P$1000,16,FALSE),"")</f>
        <v/>
      </c>
    </row>
    <row r="692">
      <c r="A692" s="28">
        <f>IF(C692="","", "CR-"&amp;TEXT(ROW()-7,"000"))</f>
        <v/>
      </c>
      <c r="B692" s="28" t="n"/>
      <c r="C692" s="28" t="n"/>
      <c r="D692" s="111" t="n"/>
      <c r="E692" s="111" t="n"/>
      <c r="F692" s="111" t="n"/>
      <c r="G692" s="28" t="n"/>
      <c r="H692" s="45" t="n"/>
      <c r="I692" s="45" t="n"/>
      <c r="J692" s="28">
        <f>IF(H692="","",IF(I692&gt;=H692,"Recebido",IF($B$4&gt;E692,"Vencido","Aberto")))</f>
        <v/>
      </c>
      <c r="K692" s="4">
        <f>IF(J692="","",IF(OR(J692="Recebido",F692=""),MAX(0,F692-E692),MAX(0,$B$4-E692)))</f>
        <v/>
      </c>
      <c r="L692" s="4">
        <f>IF(K692="","",IF(K692=0,"Em dia",IF(K692&lt;=30,"1-30 dias",IF(K692&lt;=60,"31-60 dias",IF(K692&lt;=90,"61-90 dias","&gt;90 dias")))))</f>
        <v/>
      </c>
      <c r="M692" s="28" t="n"/>
      <c r="N692" s="104" t="inlineStr"/>
      <c r="O692" s="64" t="n"/>
      <c r="P692" s="64">
        <f>IF(C692="","",IF(ISNUMBER(SEARCH("PCMSO",C692)),"PCMSO",IF(OR(ISNUMBER(SEARCH("E-SOCIAL",C692)),ISNUMBER(SEARCH("PSICOSOCIAL",C692))),"eSocial / Psicossocial",IF(O692="Receita recorrente","Carteira recorrente","Projetos / Laudos / Avulsos"))))</f>
        <v/>
      </c>
      <c r="Q692" s="64">
        <f>IF(P692="","",IF(P692="Carteira recorrente","Operação recorrente",IF(P692="PCMSO","Projetos PCMSO",IF(P692="eSocial / Psicossocial","Projetos eSocial/Psicossocial","Projetos / Laudos / Avulsos"))))</f>
        <v/>
      </c>
      <c r="R692" s="64">
        <f>IF(C692="","",IF(ISNUMBER(SEARCH("PCMSO",C692)),"Título com PCMSO no nome",IF(OR(ISNUMBER(SEARCH("E-SOCIAL",C692)),ISNUMBER(SEARCH("PSICOSOCIAL",C692))),"Título com eSocial/Psicossocial no nome",IF(O692="Receita recorrente","Tipo DRE recorrente","Extra sem palavra-chave específica"))))</f>
        <v/>
      </c>
      <c r="S692" s="92">
        <f>IFERROR(VLOOKUP($A692,'13. Mapa Títulos-Receita'!$A$8:$P$1000,4,FALSE),"")</f>
        <v/>
      </c>
      <c r="T692" s="92">
        <f>IFERROR(VLOOKUP($A692,'13. Mapa Títulos-Receita'!$A$8:$P$1000,5,FALSE),"")</f>
        <v/>
      </c>
      <c r="U692" s="92">
        <f>IFERROR(VLOOKUP($A692,'13. Mapa Títulos-Receita'!$A$8:$P$1000,6,FALSE),"")</f>
        <v/>
      </c>
      <c r="V692" s="92">
        <f>IFERROR(VLOOKUP($A692,'13. Mapa Títulos-Receita'!$A$8:$P$1000,7,FALSE),"")</f>
        <v/>
      </c>
      <c r="W692" s="92">
        <f>IFERROR(VLOOKUP($A692,'13. Mapa Títulos-Receita'!$A$8:$P$1000,8,FALSE),"")</f>
        <v/>
      </c>
      <c r="X692" s="92">
        <f>IFERROR(VLOOKUP($A692,'13. Mapa Títulos-Receita'!$A$8:$P$1000,9,FALSE),"")</f>
        <v/>
      </c>
      <c r="Y692" s="92">
        <f>IFERROR(VLOOKUP($A692,'13. Mapa Títulos-Receita'!$A$8:$P$1000,10,FALSE),"")</f>
        <v/>
      </c>
      <c r="Z692" s="92">
        <f>IFERROR(VLOOKUP($A692,'13. Mapa Títulos-Receita'!$A$8:$P$1000,11,FALSE),"")</f>
        <v/>
      </c>
      <c r="AA692" s="92">
        <f>IFERROR(VLOOKUP($A692,'13. Mapa Títulos-Receita'!$A$8:$P$1000,12,FALSE),"")</f>
        <v/>
      </c>
      <c r="AB692" s="92">
        <f>IFERROR(VLOOKUP($A692,'13. Mapa Títulos-Receita'!$A$8:$P$1000,13,FALSE),"")</f>
        <v/>
      </c>
      <c r="AC692" s="92">
        <f>IFERROR(VLOOKUP($A692,'13. Mapa Títulos-Receita'!$A$8:$P$1000,14,FALSE),"")</f>
        <v/>
      </c>
      <c r="AD692" s="92">
        <f>IFERROR(VLOOKUP($A692,'13. Mapa Títulos-Receita'!$A$8:$P$1000,15,FALSE),"")</f>
        <v/>
      </c>
      <c r="AE692" s="92">
        <f>IFERROR(VLOOKUP($A692,'13. Mapa Títulos-Receita'!$A$8:$P$1000,16,FALSE),"")</f>
        <v/>
      </c>
    </row>
    <row r="693">
      <c r="A693" s="28">
        <f>IF(C693="","", "CR-"&amp;TEXT(ROW()-7,"000"))</f>
        <v/>
      </c>
      <c r="B693" s="28" t="n"/>
      <c r="C693" s="28" t="n"/>
      <c r="D693" s="111" t="n"/>
      <c r="E693" s="111" t="n"/>
      <c r="F693" s="111" t="n"/>
      <c r="G693" s="28" t="n"/>
      <c r="H693" s="45" t="n"/>
      <c r="I693" s="45" t="n"/>
      <c r="J693" s="28">
        <f>IF(H693="","",IF(I693&gt;=H693,"Recebido",IF($B$4&gt;E693,"Vencido","Aberto")))</f>
        <v/>
      </c>
      <c r="K693" s="4">
        <f>IF(J693="","",IF(OR(J693="Recebido",F693=""),MAX(0,F693-E693),MAX(0,$B$4-E693)))</f>
        <v/>
      </c>
      <c r="L693" s="4">
        <f>IF(K693="","",IF(K693=0,"Em dia",IF(K693&lt;=30,"1-30 dias",IF(K693&lt;=60,"31-60 dias",IF(K693&lt;=90,"61-90 dias","&gt;90 dias")))))</f>
        <v/>
      </c>
      <c r="M693" s="28" t="n"/>
      <c r="N693" s="104" t="inlineStr"/>
      <c r="O693" s="64" t="n"/>
      <c r="P693" s="64">
        <f>IF(C693="","",IF(ISNUMBER(SEARCH("PCMSO",C693)),"PCMSO",IF(OR(ISNUMBER(SEARCH("E-SOCIAL",C693)),ISNUMBER(SEARCH("PSICOSOCIAL",C693))),"eSocial / Psicossocial",IF(O693="Receita recorrente","Carteira recorrente","Projetos / Laudos / Avulsos"))))</f>
        <v/>
      </c>
      <c r="Q693" s="64">
        <f>IF(P693="","",IF(P693="Carteira recorrente","Operação recorrente",IF(P693="PCMSO","Projetos PCMSO",IF(P693="eSocial / Psicossocial","Projetos eSocial/Psicossocial","Projetos / Laudos / Avulsos"))))</f>
        <v/>
      </c>
      <c r="R693" s="64">
        <f>IF(C693="","",IF(ISNUMBER(SEARCH("PCMSO",C693)),"Título com PCMSO no nome",IF(OR(ISNUMBER(SEARCH("E-SOCIAL",C693)),ISNUMBER(SEARCH("PSICOSOCIAL",C693))),"Título com eSocial/Psicossocial no nome",IF(O693="Receita recorrente","Tipo DRE recorrente","Extra sem palavra-chave específica"))))</f>
        <v/>
      </c>
      <c r="S693" s="92">
        <f>IFERROR(VLOOKUP($A693,'13. Mapa Títulos-Receita'!$A$8:$P$1000,4,FALSE),"")</f>
        <v/>
      </c>
      <c r="T693" s="92">
        <f>IFERROR(VLOOKUP($A693,'13. Mapa Títulos-Receita'!$A$8:$P$1000,5,FALSE),"")</f>
        <v/>
      </c>
      <c r="U693" s="92">
        <f>IFERROR(VLOOKUP($A693,'13. Mapa Títulos-Receita'!$A$8:$P$1000,6,FALSE),"")</f>
        <v/>
      </c>
      <c r="V693" s="92">
        <f>IFERROR(VLOOKUP($A693,'13. Mapa Títulos-Receita'!$A$8:$P$1000,7,FALSE),"")</f>
        <v/>
      </c>
      <c r="W693" s="92">
        <f>IFERROR(VLOOKUP($A693,'13. Mapa Títulos-Receita'!$A$8:$P$1000,8,FALSE),"")</f>
        <v/>
      </c>
      <c r="X693" s="92">
        <f>IFERROR(VLOOKUP($A693,'13. Mapa Títulos-Receita'!$A$8:$P$1000,9,FALSE),"")</f>
        <v/>
      </c>
      <c r="Y693" s="92">
        <f>IFERROR(VLOOKUP($A693,'13. Mapa Títulos-Receita'!$A$8:$P$1000,10,FALSE),"")</f>
        <v/>
      </c>
      <c r="Z693" s="92">
        <f>IFERROR(VLOOKUP($A693,'13. Mapa Títulos-Receita'!$A$8:$P$1000,11,FALSE),"")</f>
        <v/>
      </c>
      <c r="AA693" s="92">
        <f>IFERROR(VLOOKUP($A693,'13. Mapa Títulos-Receita'!$A$8:$P$1000,12,FALSE),"")</f>
        <v/>
      </c>
      <c r="AB693" s="92">
        <f>IFERROR(VLOOKUP($A693,'13. Mapa Títulos-Receita'!$A$8:$P$1000,13,FALSE),"")</f>
        <v/>
      </c>
      <c r="AC693" s="92">
        <f>IFERROR(VLOOKUP($A693,'13. Mapa Títulos-Receita'!$A$8:$P$1000,14,FALSE),"")</f>
        <v/>
      </c>
      <c r="AD693" s="92">
        <f>IFERROR(VLOOKUP($A693,'13. Mapa Títulos-Receita'!$A$8:$P$1000,15,FALSE),"")</f>
        <v/>
      </c>
      <c r="AE693" s="92">
        <f>IFERROR(VLOOKUP($A693,'13. Mapa Títulos-Receita'!$A$8:$P$1000,16,FALSE),"")</f>
        <v/>
      </c>
    </row>
    <row r="694">
      <c r="A694" s="28">
        <f>IF(C694="","", "CR-"&amp;TEXT(ROW()-7,"000"))</f>
        <v/>
      </c>
      <c r="B694" s="28" t="n"/>
      <c r="C694" s="28" t="n"/>
      <c r="D694" s="111" t="n"/>
      <c r="E694" s="111" t="n"/>
      <c r="F694" s="111" t="n"/>
      <c r="G694" s="28" t="n"/>
      <c r="H694" s="45" t="n"/>
      <c r="I694" s="45" t="n"/>
      <c r="J694" s="28">
        <f>IF(H694="","",IF(I694&gt;=H694,"Recebido",IF($B$4&gt;E694,"Vencido","Aberto")))</f>
        <v/>
      </c>
      <c r="K694" s="4">
        <f>IF(J694="","",IF(OR(J694="Recebido",F694=""),MAX(0,F694-E694),MAX(0,$B$4-E694)))</f>
        <v/>
      </c>
      <c r="L694" s="4">
        <f>IF(K694="","",IF(K694=0,"Em dia",IF(K694&lt;=30,"1-30 dias",IF(K694&lt;=60,"31-60 dias",IF(K694&lt;=90,"61-90 dias","&gt;90 dias")))))</f>
        <v/>
      </c>
      <c r="M694" s="28" t="n"/>
      <c r="N694" s="104" t="inlineStr"/>
      <c r="O694" s="64" t="n"/>
      <c r="P694" s="64">
        <f>IF(C694="","",IF(ISNUMBER(SEARCH("PCMSO",C694)),"PCMSO",IF(OR(ISNUMBER(SEARCH("E-SOCIAL",C694)),ISNUMBER(SEARCH("PSICOSOCIAL",C694))),"eSocial / Psicossocial",IF(O694="Receita recorrente","Carteira recorrente","Projetos / Laudos / Avulsos"))))</f>
        <v/>
      </c>
      <c r="Q694" s="64">
        <f>IF(P694="","",IF(P694="Carteira recorrente","Operação recorrente",IF(P694="PCMSO","Projetos PCMSO",IF(P694="eSocial / Psicossocial","Projetos eSocial/Psicossocial","Projetos / Laudos / Avulsos"))))</f>
        <v/>
      </c>
      <c r="R694" s="64">
        <f>IF(C694="","",IF(ISNUMBER(SEARCH("PCMSO",C694)),"Título com PCMSO no nome",IF(OR(ISNUMBER(SEARCH("E-SOCIAL",C694)),ISNUMBER(SEARCH("PSICOSOCIAL",C694))),"Título com eSocial/Psicossocial no nome",IF(O694="Receita recorrente","Tipo DRE recorrente","Extra sem palavra-chave específica"))))</f>
        <v/>
      </c>
      <c r="S694" s="92">
        <f>IFERROR(VLOOKUP($A694,'13. Mapa Títulos-Receita'!$A$8:$P$1000,4,FALSE),"")</f>
        <v/>
      </c>
      <c r="T694" s="92">
        <f>IFERROR(VLOOKUP($A694,'13. Mapa Títulos-Receita'!$A$8:$P$1000,5,FALSE),"")</f>
        <v/>
      </c>
      <c r="U694" s="92">
        <f>IFERROR(VLOOKUP($A694,'13. Mapa Títulos-Receita'!$A$8:$P$1000,6,FALSE),"")</f>
        <v/>
      </c>
      <c r="V694" s="92">
        <f>IFERROR(VLOOKUP($A694,'13. Mapa Títulos-Receita'!$A$8:$P$1000,7,FALSE),"")</f>
        <v/>
      </c>
      <c r="W694" s="92">
        <f>IFERROR(VLOOKUP($A694,'13. Mapa Títulos-Receita'!$A$8:$P$1000,8,FALSE),"")</f>
        <v/>
      </c>
      <c r="X694" s="92">
        <f>IFERROR(VLOOKUP($A694,'13. Mapa Títulos-Receita'!$A$8:$P$1000,9,FALSE),"")</f>
        <v/>
      </c>
      <c r="Y694" s="92">
        <f>IFERROR(VLOOKUP($A694,'13. Mapa Títulos-Receita'!$A$8:$P$1000,10,FALSE),"")</f>
        <v/>
      </c>
      <c r="Z694" s="92">
        <f>IFERROR(VLOOKUP($A694,'13. Mapa Títulos-Receita'!$A$8:$P$1000,11,FALSE),"")</f>
        <v/>
      </c>
      <c r="AA694" s="92">
        <f>IFERROR(VLOOKUP($A694,'13. Mapa Títulos-Receita'!$A$8:$P$1000,12,FALSE),"")</f>
        <v/>
      </c>
      <c r="AB694" s="92">
        <f>IFERROR(VLOOKUP($A694,'13. Mapa Títulos-Receita'!$A$8:$P$1000,13,FALSE),"")</f>
        <v/>
      </c>
      <c r="AC694" s="92">
        <f>IFERROR(VLOOKUP($A694,'13. Mapa Títulos-Receita'!$A$8:$P$1000,14,FALSE),"")</f>
        <v/>
      </c>
      <c r="AD694" s="92">
        <f>IFERROR(VLOOKUP($A694,'13. Mapa Títulos-Receita'!$A$8:$P$1000,15,FALSE),"")</f>
        <v/>
      </c>
      <c r="AE694" s="92">
        <f>IFERROR(VLOOKUP($A694,'13. Mapa Títulos-Receita'!$A$8:$P$1000,16,FALSE),"")</f>
        <v/>
      </c>
    </row>
    <row r="695">
      <c r="A695" s="28">
        <f>IF(C695="","", "CR-"&amp;TEXT(ROW()-7,"000"))</f>
        <v/>
      </c>
      <c r="B695" s="28" t="n"/>
      <c r="C695" s="28" t="n"/>
      <c r="D695" s="111" t="n"/>
      <c r="E695" s="111" t="n"/>
      <c r="F695" s="111" t="n"/>
      <c r="G695" s="28" t="n"/>
      <c r="H695" s="45" t="n"/>
      <c r="I695" s="45" t="n"/>
      <c r="J695" s="28">
        <f>IF(H695="","",IF(I695&gt;=H695,"Recebido",IF($B$4&gt;E695,"Vencido","Aberto")))</f>
        <v/>
      </c>
      <c r="K695" s="4">
        <f>IF(J695="","",IF(OR(J695="Recebido",F695=""),MAX(0,F695-E695),MAX(0,$B$4-E695)))</f>
        <v/>
      </c>
      <c r="L695" s="4">
        <f>IF(K695="","",IF(K695=0,"Em dia",IF(K695&lt;=30,"1-30 dias",IF(K695&lt;=60,"31-60 dias",IF(K695&lt;=90,"61-90 dias","&gt;90 dias")))))</f>
        <v/>
      </c>
      <c r="M695" s="28" t="n"/>
      <c r="N695" s="104" t="inlineStr"/>
      <c r="O695" s="64" t="n"/>
      <c r="P695" s="64">
        <f>IF(C695="","",IF(ISNUMBER(SEARCH("PCMSO",C695)),"PCMSO",IF(OR(ISNUMBER(SEARCH("E-SOCIAL",C695)),ISNUMBER(SEARCH("PSICOSOCIAL",C695))),"eSocial / Psicossocial",IF(O695="Receita recorrente","Carteira recorrente","Projetos / Laudos / Avulsos"))))</f>
        <v/>
      </c>
      <c r="Q695" s="64">
        <f>IF(P695="","",IF(P695="Carteira recorrente","Operação recorrente",IF(P695="PCMSO","Projetos PCMSO",IF(P695="eSocial / Psicossocial","Projetos eSocial/Psicossocial","Projetos / Laudos / Avulsos"))))</f>
        <v/>
      </c>
      <c r="R695" s="64">
        <f>IF(C695="","",IF(ISNUMBER(SEARCH("PCMSO",C695)),"Título com PCMSO no nome",IF(OR(ISNUMBER(SEARCH("E-SOCIAL",C695)),ISNUMBER(SEARCH("PSICOSOCIAL",C695))),"Título com eSocial/Psicossocial no nome",IF(O695="Receita recorrente","Tipo DRE recorrente","Extra sem palavra-chave específica"))))</f>
        <v/>
      </c>
      <c r="S695" s="92">
        <f>IFERROR(VLOOKUP($A695,'13. Mapa Títulos-Receita'!$A$8:$P$1000,4,FALSE),"")</f>
        <v/>
      </c>
      <c r="T695" s="92">
        <f>IFERROR(VLOOKUP($A695,'13. Mapa Títulos-Receita'!$A$8:$P$1000,5,FALSE),"")</f>
        <v/>
      </c>
      <c r="U695" s="92">
        <f>IFERROR(VLOOKUP($A695,'13. Mapa Títulos-Receita'!$A$8:$P$1000,6,FALSE),"")</f>
        <v/>
      </c>
      <c r="V695" s="92">
        <f>IFERROR(VLOOKUP($A695,'13. Mapa Títulos-Receita'!$A$8:$P$1000,7,FALSE),"")</f>
        <v/>
      </c>
      <c r="W695" s="92">
        <f>IFERROR(VLOOKUP($A695,'13. Mapa Títulos-Receita'!$A$8:$P$1000,8,FALSE),"")</f>
        <v/>
      </c>
      <c r="X695" s="92">
        <f>IFERROR(VLOOKUP($A695,'13. Mapa Títulos-Receita'!$A$8:$P$1000,9,FALSE),"")</f>
        <v/>
      </c>
      <c r="Y695" s="92">
        <f>IFERROR(VLOOKUP($A695,'13. Mapa Títulos-Receita'!$A$8:$P$1000,10,FALSE),"")</f>
        <v/>
      </c>
      <c r="Z695" s="92">
        <f>IFERROR(VLOOKUP($A695,'13. Mapa Títulos-Receita'!$A$8:$P$1000,11,FALSE),"")</f>
        <v/>
      </c>
      <c r="AA695" s="92">
        <f>IFERROR(VLOOKUP($A695,'13. Mapa Títulos-Receita'!$A$8:$P$1000,12,FALSE),"")</f>
        <v/>
      </c>
      <c r="AB695" s="92">
        <f>IFERROR(VLOOKUP($A695,'13. Mapa Títulos-Receita'!$A$8:$P$1000,13,FALSE),"")</f>
        <v/>
      </c>
      <c r="AC695" s="92">
        <f>IFERROR(VLOOKUP($A695,'13. Mapa Títulos-Receita'!$A$8:$P$1000,14,FALSE),"")</f>
        <v/>
      </c>
      <c r="AD695" s="92">
        <f>IFERROR(VLOOKUP($A695,'13. Mapa Títulos-Receita'!$A$8:$P$1000,15,FALSE),"")</f>
        <v/>
      </c>
      <c r="AE695" s="92">
        <f>IFERROR(VLOOKUP($A695,'13. Mapa Títulos-Receita'!$A$8:$P$1000,16,FALSE),"")</f>
        <v/>
      </c>
    </row>
    <row r="696">
      <c r="A696" s="28">
        <f>IF(C696="","", "CR-"&amp;TEXT(ROW()-7,"000"))</f>
        <v/>
      </c>
      <c r="B696" s="28" t="n"/>
      <c r="C696" s="28" t="n"/>
      <c r="D696" s="111" t="n"/>
      <c r="E696" s="111" t="n"/>
      <c r="F696" s="111" t="n"/>
      <c r="G696" s="28" t="n"/>
      <c r="H696" s="45" t="n"/>
      <c r="I696" s="45" t="n"/>
      <c r="J696" s="28">
        <f>IF(H696="","",IF(I696&gt;=H696,"Recebido",IF($B$4&gt;E696,"Vencido","Aberto")))</f>
        <v/>
      </c>
      <c r="K696" s="4">
        <f>IF(J696="","",IF(OR(J696="Recebido",F696=""),MAX(0,F696-E696),MAX(0,$B$4-E696)))</f>
        <v/>
      </c>
      <c r="L696" s="4">
        <f>IF(K696="","",IF(K696=0,"Em dia",IF(K696&lt;=30,"1-30 dias",IF(K696&lt;=60,"31-60 dias",IF(K696&lt;=90,"61-90 dias","&gt;90 dias")))))</f>
        <v/>
      </c>
      <c r="M696" s="28" t="n"/>
      <c r="N696" s="104" t="inlineStr"/>
      <c r="O696" s="64" t="n"/>
      <c r="P696" s="64">
        <f>IF(C696="","",IF(ISNUMBER(SEARCH("PCMSO",C696)),"PCMSO",IF(OR(ISNUMBER(SEARCH("E-SOCIAL",C696)),ISNUMBER(SEARCH("PSICOSOCIAL",C696))),"eSocial / Psicossocial",IF(O696="Receita recorrente","Carteira recorrente","Projetos / Laudos / Avulsos"))))</f>
        <v/>
      </c>
      <c r="Q696" s="64">
        <f>IF(P696="","",IF(P696="Carteira recorrente","Operação recorrente",IF(P696="PCMSO","Projetos PCMSO",IF(P696="eSocial / Psicossocial","Projetos eSocial/Psicossocial","Projetos / Laudos / Avulsos"))))</f>
        <v/>
      </c>
      <c r="R696" s="64">
        <f>IF(C696="","",IF(ISNUMBER(SEARCH("PCMSO",C696)),"Título com PCMSO no nome",IF(OR(ISNUMBER(SEARCH("E-SOCIAL",C696)),ISNUMBER(SEARCH("PSICOSOCIAL",C696))),"Título com eSocial/Psicossocial no nome",IF(O696="Receita recorrente","Tipo DRE recorrente","Extra sem palavra-chave específica"))))</f>
        <v/>
      </c>
      <c r="S696" s="92">
        <f>IFERROR(VLOOKUP($A696,'13. Mapa Títulos-Receita'!$A$8:$P$1000,4,FALSE),"")</f>
        <v/>
      </c>
      <c r="T696" s="92">
        <f>IFERROR(VLOOKUP($A696,'13. Mapa Títulos-Receita'!$A$8:$P$1000,5,FALSE),"")</f>
        <v/>
      </c>
      <c r="U696" s="92">
        <f>IFERROR(VLOOKUP($A696,'13. Mapa Títulos-Receita'!$A$8:$P$1000,6,FALSE),"")</f>
        <v/>
      </c>
      <c r="V696" s="92">
        <f>IFERROR(VLOOKUP($A696,'13. Mapa Títulos-Receita'!$A$8:$P$1000,7,FALSE),"")</f>
        <v/>
      </c>
      <c r="W696" s="92">
        <f>IFERROR(VLOOKUP($A696,'13. Mapa Títulos-Receita'!$A$8:$P$1000,8,FALSE),"")</f>
        <v/>
      </c>
      <c r="X696" s="92">
        <f>IFERROR(VLOOKUP($A696,'13. Mapa Títulos-Receita'!$A$8:$P$1000,9,FALSE),"")</f>
        <v/>
      </c>
      <c r="Y696" s="92">
        <f>IFERROR(VLOOKUP($A696,'13. Mapa Títulos-Receita'!$A$8:$P$1000,10,FALSE),"")</f>
        <v/>
      </c>
      <c r="Z696" s="92">
        <f>IFERROR(VLOOKUP($A696,'13. Mapa Títulos-Receita'!$A$8:$P$1000,11,FALSE),"")</f>
        <v/>
      </c>
      <c r="AA696" s="92">
        <f>IFERROR(VLOOKUP($A696,'13. Mapa Títulos-Receita'!$A$8:$P$1000,12,FALSE),"")</f>
        <v/>
      </c>
      <c r="AB696" s="92">
        <f>IFERROR(VLOOKUP($A696,'13. Mapa Títulos-Receita'!$A$8:$P$1000,13,FALSE),"")</f>
        <v/>
      </c>
      <c r="AC696" s="92">
        <f>IFERROR(VLOOKUP($A696,'13. Mapa Títulos-Receita'!$A$8:$P$1000,14,FALSE),"")</f>
        <v/>
      </c>
      <c r="AD696" s="92">
        <f>IFERROR(VLOOKUP($A696,'13. Mapa Títulos-Receita'!$A$8:$P$1000,15,FALSE),"")</f>
        <v/>
      </c>
      <c r="AE696" s="92">
        <f>IFERROR(VLOOKUP($A696,'13. Mapa Títulos-Receita'!$A$8:$P$1000,16,FALSE),"")</f>
        <v/>
      </c>
    </row>
    <row r="697">
      <c r="A697" s="28">
        <f>IF(C697="","", "CR-"&amp;TEXT(ROW()-7,"000"))</f>
        <v/>
      </c>
      <c r="B697" s="28" t="n"/>
      <c r="C697" s="28" t="n"/>
      <c r="D697" s="111" t="n"/>
      <c r="E697" s="111" t="n"/>
      <c r="F697" s="111" t="n"/>
      <c r="G697" s="28" t="n"/>
      <c r="H697" s="45" t="n"/>
      <c r="I697" s="45" t="n"/>
      <c r="J697" s="28">
        <f>IF(H697="","",IF(I697&gt;=H697,"Recebido",IF($B$4&gt;E697,"Vencido","Aberto")))</f>
        <v/>
      </c>
      <c r="K697" s="4">
        <f>IF(J697="","",IF(OR(J697="Recebido",F697=""),MAX(0,F697-E697),MAX(0,$B$4-E697)))</f>
        <v/>
      </c>
      <c r="L697" s="4">
        <f>IF(K697="","",IF(K697=0,"Em dia",IF(K697&lt;=30,"1-30 dias",IF(K697&lt;=60,"31-60 dias",IF(K697&lt;=90,"61-90 dias","&gt;90 dias")))))</f>
        <v/>
      </c>
      <c r="M697" s="28" t="n"/>
      <c r="N697" s="104" t="inlineStr"/>
      <c r="O697" s="64" t="n"/>
      <c r="P697" s="64">
        <f>IF(C697="","",IF(ISNUMBER(SEARCH("PCMSO",C697)),"PCMSO",IF(OR(ISNUMBER(SEARCH("E-SOCIAL",C697)),ISNUMBER(SEARCH("PSICOSOCIAL",C697))),"eSocial / Psicossocial",IF(O697="Receita recorrente","Carteira recorrente","Projetos / Laudos / Avulsos"))))</f>
        <v/>
      </c>
      <c r="Q697" s="64">
        <f>IF(P697="","",IF(P697="Carteira recorrente","Operação recorrente",IF(P697="PCMSO","Projetos PCMSO",IF(P697="eSocial / Psicossocial","Projetos eSocial/Psicossocial","Projetos / Laudos / Avulsos"))))</f>
        <v/>
      </c>
      <c r="R697" s="64">
        <f>IF(C697="","",IF(ISNUMBER(SEARCH("PCMSO",C697)),"Título com PCMSO no nome",IF(OR(ISNUMBER(SEARCH("E-SOCIAL",C697)),ISNUMBER(SEARCH("PSICOSOCIAL",C697))),"Título com eSocial/Psicossocial no nome",IF(O697="Receita recorrente","Tipo DRE recorrente","Extra sem palavra-chave específica"))))</f>
        <v/>
      </c>
      <c r="S697" s="92">
        <f>IFERROR(VLOOKUP($A697,'13. Mapa Títulos-Receita'!$A$8:$P$1000,4,FALSE),"")</f>
        <v/>
      </c>
      <c r="T697" s="92">
        <f>IFERROR(VLOOKUP($A697,'13. Mapa Títulos-Receita'!$A$8:$P$1000,5,FALSE),"")</f>
        <v/>
      </c>
      <c r="U697" s="92">
        <f>IFERROR(VLOOKUP($A697,'13. Mapa Títulos-Receita'!$A$8:$P$1000,6,FALSE),"")</f>
        <v/>
      </c>
      <c r="V697" s="92">
        <f>IFERROR(VLOOKUP($A697,'13. Mapa Títulos-Receita'!$A$8:$P$1000,7,FALSE),"")</f>
        <v/>
      </c>
      <c r="W697" s="92">
        <f>IFERROR(VLOOKUP($A697,'13. Mapa Títulos-Receita'!$A$8:$P$1000,8,FALSE),"")</f>
        <v/>
      </c>
      <c r="X697" s="92">
        <f>IFERROR(VLOOKUP($A697,'13. Mapa Títulos-Receita'!$A$8:$P$1000,9,FALSE),"")</f>
        <v/>
      </c>
      <c r="Y697" s="92">
        <f>IFERROR(VLOOKUP($A697,'13. Mapa Títulos-Receita'!$A$8:$P$1000,10,FALSE),"")</f>
        <v/>
      </c>
      <c r="Z697" s="92">
        <f>IFERROR(VLOOKUP($A697,'13. Mapa Títulos-Receita'!$A$8:$P$1000,11,FALSE),"")</f>
        <v/>
      </c>
      <c r="AA697" s="92">
        <f>IFERROR(VLOOKUP($A697,'13. Mapa Títulos-Receita'!$A$8:$P$1000,12,FALSE),"")</f>
        <v/>
      </c>
      <c r="AB697" s="92">
        <f>IFERROR(VLOOKUP($A697,'13. Mapa Títulos-Receita'!$A$8:$P$1000,13,FALSE),"")</f>
        <v/>
      </c>
      <c r="AC697" s="92">
        <f>IFERROR(VLOOKUP($A697,'13. Mapa Títulos-Receita'!$A$8:$P$1000,14,FALSE),"")</f>
        <v/>
      </c>
      <c r="AD697" s="92">
        <f>IFERROR(VLOOKUP($A697,'13. Mapa Títulos-Receita'!$A$8:$P$1000,15,FALSE),"")</f>
        <v/>
      </c>
      <c r="AE697" s="92">
        <f>IFERROR(VLOOKUP($A697,'13. Mapa Títulos-Receita'!$A$8:$P$1000,16,FALSE),"")</f>
        <v/>
      </c>
    </row>
    <row r="698">
      <c r="A698" s="28">
        <f>IF(C698="","", "CR-"&amp;TEXT(ROW()-7,"000"))</f>
        <v/>
      </c>
      <c r="B698" s="28" t="n"/>
      <c r="C698" s="28" t="n"/>
      <c r="D698" s="111" t="n"/>
      <c r="E698" s="111" t="n"/>
      <c r="F698" s="111" t="n"/>
      <c r="G698" s="28" t="n"/>
      <c r="H698" s="45" t="n"/>
      <c r="I698" s="45" t="n"/>
      <c r="J698" s="28">
        <f>IF(H698="","",IF(I698&gt;=H698,"Recebido",IF($B$4&gt;E698,"Vencido","Aberto")))</f>
        <v/>
      </c>
      <c r="K698" s="4">
        <f>IF(J698="","",IF(OR(J698="Recebido",F698=""),MAX(0,F698-E698),MAX(0,$B$4-E698)))</f>
        <v/>
      </c>
      <c r="L698" s="4">
        <f>IF(K698="","",IF(K698=0,"Em dia",IF(K698&lt;=30,"1-30 dias",IF(K698&lt;=60,"31-60 dias",IF(K698&lt;=90,"61-90 dias","&gt;90 dias")))))</f>
        <v/>
      </c>
      <c r="M698" s="28" t="n"/>
      <c r="N698" s="104" t="inlineStr"/>
      <c r="O698" s="64" t="n"/>
      <c r="P698" s="64">
        <f>IF(C698="","",IF(ISNUMBER(SEARCH("PCMSO",C698)),"PCMSO",IF(OR(ISNUMBER(SEARCH("E-SOCIAL",C698)),ISNUMBER(SEARCH("PSICOSOCIAL",C698))),"eSocial / Psicossocial",IF(O698="Receita recorrente","Carteira recorrente","Projetos / Laudos / Avulsos"))))</f>
        <v/>
      </c>
      <c r="Q698" s="64">
        <f>IF(P698="","",IF(P698="Carteira recorrente","Operação recorrente",IF(P698="PCMSO","Projetos PCMSO",IF(P698="eSocial / Psicossocial","Projetos eSocial/Psicossocial","Projetos / Laudos / Avulsos"))))</f>
        <v/>
      </c>
      <c r="R698" s="64">
        <f>IF(C698="","",IF(ISNUMBER(SEARCH("PCMSO",C698)),"Título com PCMSO no nome",IF(OR(ISNUMBER(SEARCH("E-SOCIAL",C698)),ISNUMBER(SEARCH("PSICOSOCIAL",C698))),"Título com eSocial/Psicossocial no nome",IF(O698="Receita recorrente","Tipo DRE recorrente","Extra sem palavra-chave específica"))))</f>
        <v/>
      </c>
      <c r="S698" s="92">
        <f>IFERROR(VLOOKUP($A698,'13. Mapa Títulos-Receita'!$A$8:$P$1000,4,FALSE),"")</f>
        <v/>
      </c>
      <c r="T698" s="92">
        <f>IFERROR(VLOOKUP($A698,'13. Mapa Títulos-Receita'!$A$8:$P$1000,5,FALSE),"")</f>
        <v/>
      </c>
      <c r="U698" s="92">
        <f>IFERROR(VLOOKUP($A698,'13. Mapa Títulos-Receita'!$A$8:$P$1000,6,FALSE),"")</f>
        <v/>
      </c>
      <c r="V698" s="92">
        <f>IFERROR(VLOOKUP($A698,'13. Mapa Títulos-Receita'!$A$8:$P$1000,7,FALSE),"")</f>
        <v/>
      </c>
      <c r="W698" s="92">
        <f>IFERROR(VLOOKUP($A698,'13. Mapa Títulos-Receita'!$A$8:$P$1000,8,FALSE),"")</f>
        <v/>
      </c>
      <c r="X698" s="92">
        <f>IFERROR(VLOOKUP($A698,'13. Mapa Títulos-Receita'!$A$8:$P$1000,9,FALSE),"")</f>
        <v/>
      </c>
      <c r="Y698" s="92">
        <f>IFERROR(VLOOKUP($A698,'13. Mapa Títulos-Receita'!$A$8:$P$1000,10,FALSE),"")</f>
        <v/>
      </c>
      <c r="Z698" s="92">
        <f>IFERROR(VLOOKUP($A698,'13. Mapa Títulos-Receita'!$A$8:$P$1000,11,FALSE),"")</f>
        <v/>
      </c>
      <c r="AA698" s="92">
        <f>IFERROR(VLOOKUP($A698,'13. Mapa Títulos-Receita'!$A$8:$P$1000,12,FALSE),"")</f>
        <v/>
      </c>
      <c r="AB698" s="92">
        <f>IFERROR(VLOOKUP($A698,'13. Mapa Títulos-Receita'!$A$8:$P$1000,13,FALSE),"")</f>
        <v/>
      </c>
      <c r="AC698" s="92">
        <f>IFERROR(VLOOKUP($A698,'13. Mapa Títulos-Receita'!$A$8:$P$1000,14,FALSE),"")</f>
        <v/>
      </c>
      <c r="AD698" s="92">
        <f>IFERROR(VLOOKUP($A698,'13. Mapa Títulos-Receita'!$A$8:$P$1000,15,FALSE),"")</f>
        <v/>
      </c>
      <c r="AE698" s="92">
        <f>IFERROR(VLOOKUP($A698,'13. Mapa Títulos-Receita'!$A$8:$P$1000,16,FALSE),"")</f>
        <v/>
      </c>
    </row>
    <row r="699">
      <c r="A699" s="28">
        <f>IF(C699="","", "CR-"&amp;TEXT(ROW()-7,"000"))</f>
        <v/>
      </c>
      <c r="B699" s="28" t="n"/>
      <c r="C699" s="28" t="n"/>
      <c r="D699" s="111" t="n"/>
      <c r="E699" s="111" t="n"/>
      <c r="F699" s="111" t="n"/>
      <c r="G699" s="28" t="n"/>
      <c r="H699" s="45" t="n"/>
      <c r="I699" s="45" t="n"/>
      <c r="J699" s="28">
        <f>IF(H699="","",IF(I699&gt;=H699,"Recebido",IF($B$4&gt;E699,"Vencido","Aberto")))</f>
        <v/>
      </c>
      <c r="K699" s="4">
        <f>IF(J699="","",IF(OR(J699="Recebido",F699=""),MAX(0,F699-E699),MAX(0,$B$4-E699)))</f>
        <v/>
      </c>
      <c r="L699" s="4">
        <f>IF(K699="","",IF(K699=0,"Em dia",IF(K699&lt;=30,"1-30 dias",IF(K699&lt;=60,"31-60 dias",IF(K699&lt;=90,"61-90 dias","&gt;90 dias")))))</f>
        <v/>
      </c>
      <c r="M699" s="28" t="n"/>
      <c r="N699" s="104" t="inlineStr"/>
      <c r="O699" s="64" t="n"/>
      <c r="P699" s="64">
        <f>IF(C699="","",IF(ISNUMBER(SEARCH("PCMSO",C699)),"PCMSO",IF(OR(ISNUMBER(SEARCH("E-SOCIAL",C699)),ISNUMBER(SEARCH("PSICOSOCIAL",C699))),"eSocial / Psicossocial",IF(O699="Receita recorrente","Carteira recorrente","Projetos / Laudos / Avulsos"))))</f>
        <v/>
      </c>
      <c r="Q699" s="64">
        <f>IF(P699="","",IF(P699="Carteira recorrente","Operação recorrente",IF(P699="PCMSO","Projetos PCMSO",IF(P699="eSocial / Psicossocial","Projetos eSocial/Psicossocial","Projetos / Laudos / Avulsos"))))</f>
        <v/>
      </c>
      <c r="R699" s="64">
        <f>IF(C699="","",IF(ISNUMBER(SEARCH("PCMSO",C699)),"Título com PCMSO no nome",IF(OR(ISNUMBER(SEARCH("E-SOCIAL",C699)),ISNUMBER(SEARCH("PSICOSOCIAL",C699))),"Título com eSocial/Psicossocial no nome",IF(O699="Receita recorrente","Tipo DRE recorrente","Extra sem palavra-chave específica"))))</f>
        <v/>
      </c>
      <c r="S699" s="92">
        <f>IFERROR(VLOOKUP($A699,'13. Mapa Títulos-Receita'!$A$8:$P$1000,4,FALSE),"")</f>
        <v/>
      </c>
      <c r="T699" s="92">
        <f>IFERROR(VLOOKUP($A699,'13. Mapa Títulos-Receita'!$A$8:$P$1000,5,FALSE),"")</f>
        <v/>
      </c>
      <c r="U699" s="92">
        <f>IFERROR(VLOOKUP($A699,'13. Mapa Títulos-Receita'!$A$8:$P$1000,6,FALSE),"")</f>
        <v/>
      </c>
      <c r="V699" s="92">
        <f>IFERROR(VLOOKUP($A699,'13. Mapa Títulos-Receita'!$A$8:$P$1000,7,FALSE),"")</f>
        <v/>
      </c>
      <c r="W699" s="92">
        <f>IFERROR(VLOOKUP($A699,'13. Mapa Títulos-Receita'!$A$8:$P$1000,8,FALSE),"")</f>
        <v/>
      </c>
      <c r="X699" s="92">
        <f>IFERROR(VLOOKUP($A699,'13. Mapa Títulos-Receita'!$A$8:$P$1000,9,FALSE),"")</f>
        <v/>
      </c>
      <c r="Y699" s="92">
        <f>IFERROR(VLOOKUP($A699,'13. Mapa Títulos-Receita'!$A$8:$P$1000,10,FALSE),"")</f>
        <v/>
      </c>
      <c r="Z699" s="92">
        <f>IFERROR(VLOOKUP($A699,'13. Mapa Títulos-Receita'!$A$8:$P$1000,11,FALSE),"")</f>
        <v/>
      </c>
      <c r="AA699" s="92">
        <f>IFERROR(VLOOKUP($A699,'13. Mapa Títulos-Receita'!$A$8:$P$1000,12,FALSE),"")</f>
        <v/>
      </c>
      <c r="AB699" s="92">
        <f>IFERROR(VLOOKUP($A699,'13. Mapa Títulos-Receita'!$A$8:$P$1000,13,FALSE),"")</f>
        <v/>
      </c>
      <c r="AC699" s="92">
        <f>IFERROR(VLOOKUP($A699,'13. Mapa Títulos-Receita'!$A$8:$P$1000,14,FALSE),"")</f>
        <v/>
      </c>
      <c r="AD699" s="92">
        <f>IFERROR(VLOOKUP($A699,'13. Mapa Títulos-Receita'!$A$8:$P$1000,15,FALSE),"")</f>
        <v/>
      </c>
      <c r="AE699" s="92">
        <f>IFERROR(VLOOKUP($A699,'13. Mapa Títulos-Receita'!$A$8:$P$1000,16,FALSE),"")</f>
        <v/>
      </c>
    </row>
    <row r="700">
      <c r="A700" s="28">
        <f>IF(C700="","", "CR-"&amp;TEXT(ROW()-7,"000"))</f>
        <v/>
      </c>
      <c r="B700" s="28" t="n"/>
      <c r="C700" s="28" t="n"/>
      <c r="D700" s="111" t="n"/>
      <c r="E700" s="111" t="n"/>
      <c r="F700" s="111" t="n"/>
      <c r="G700" s="28" t="n"/>
      <c r="H700" s="45" t="n"/>
      <c r="I700" s="45" t="n"/>
      <c r="J700" s="28">
        <f>IF(H700="","",IF(I700&gt;=H700,"Recebido",IF($B$4&gt;E700,"Vencido","Aberto")))</f>
        <v/>
      </c>
      <c r="K700" s="4">
        <f>IF(J700="","",IF(OR(J700="Recebido",F700=""),MAX(0,F700-E700),MAX(0,$B$4-E700)))</f>
        <v/>
      </c>
      <c r="L700" s="4">
        <f>IF(K700="","",IF(K700=0,"Em dia",IF(K700&lt;=30,"1-30 dias",IF(K700&lt;=60,"31-60 dias",IF(K700&lt;=90,"61-90 dias","&gt;90 dias")))))</f>
        <v/>
      </c>
      <c r="M700" s="28" t="n"/>
      <c r="N700" s="104" t="inlineStr"/>
      <c r="O700" s="64" t="n"/>
      <c r="P700" s="64">
        <f>IF(C700="","",IF(ISNUMBER(SEARCH("PCMSO",C700)),"PCMSO",IF(OR(ISNUMBER(SEARCH("E-SOCIAL",C700)),ISNUMBER(SEARCH("PSICOSOCIAL",C700))),"eSocial / Psicossocial",IF(O700="Receita recorrente","Carteira recorrente","Projetos / Laudos / Avulsos"))))</f>
        <v/>
      </c>
      <c r="Q700" s="64">
        <f>IF(P700="","",IF(P700="Carteira recorrente","Operação recorrente",IF(P700="PCMSO","Projetos PCMSO",IF(P700="eSocial / Psicossocial","Projetos eSocial/Psicossocial","Projetos / Laudos / Avulsos"))))</f>
        <v/>
      </c>
      <c r="R700" s="64">
        <f>IF(C700="","",IF(ISNUMBER(SEARCH("PCMSO",C700)),"Título com PCMSO no nome",IF(OR(ISNUMBER(SEARCH("E-SOCIAL",C700)),ISNUMBER(SEARCH("PSICOSOCIAL",C700))),"Título com eSocial/Psicossocial no nome",IF(O700="Receita recorrente","Tipo DRE recorrente","Extra sem palavra-chave específica"))))</f>
        <v/>
      </c>
      <c r="S700" s="92">
        <f>IFERROR(VLOOKUP($A700,'13. Mapa Títulos-Receita'!$A$8:$P$1000,4,FALSE),"")</f>
        <v/>
      </c>
      <c r="T700" s="92">
        <f>IFERROR(VLOOKUP($A700,'13. Mapa Títulos-Receita'!$A$8:$P$1000,5,FALSE),"")</f>
        <v/>
      </c>
      <c r="U700" s="92">
        <f>IFERROR(VLOOKUP($A700,'13. Mapa Títulos-Receita'!$A$8:$P$1000,6,FALSE),"")</f>
        <v/>
      </c>
      <c r="V700" s="92">
        <f>IFERROR(VLOOKUP($A700,'13. Mapa Títulos-Receita'!$A$8:$P$1000,7,FALSE),"")</f>
        <v/>
      </c>
      <c r="W700" s="92">
        <f>IFERROR(VLOOKUP($A700,'13. Mapa Títulos-Receita'!$A$8:$P$1000,8,FALSE),"")</f>
        <v/>
      </c>
      <c r="X700" s="92">
        <f>IFERROR(VLOOKUP($A700,'13. Mapa Títulos-Receita'!$A$8:$P$1000,9,FALSE),"")</f>
        <v/>
      </c>
      <c r="Y700" s="92">
        <f>IFERROR(VLOOKUP($A700,'13. Mapa Títulos-Receita'!$A$8:$P$1000,10,FALSE),"")</f>
        <v/>
      </c>
      <c r="Z700" s="92">
        <f>IFERROR(VLOOKUP($A700,'13. Mapa Títulos-Receita'!$A$8:$P$1000,11,FALSE),"")</f>
        <v/>
      </c>
      <c r="AA700" s="92">
        <f>IFERROR(VLOOKUP($A700,'13. Mapa Títulos-Receita'!$A$8:$P$1000,12,FALSE),"")</f>
        <v/>
      </c>
      <c r="AB700" s="92">
        <f>IFERROR(VLOOKUP($A700,'13. Mapa Títulos-Receita'!$A$8:$P$1000,13,FALSE),"")</f>
        <v/>
      </c>
      <c r="AC700" s="92">
        <f>IFERROR(VLOOKUP($A700,'13. Mapa Títulos-Receita'!$A$8:$P$1000,14,FALSE),"")</f>
        <v/>
      </c>
      <c r="AD700" s="92">
        <f>IFERROR(VLOOKUP($A700,'13. Mapa Títulos-Receita'!$A$8:$P$1000,15,FALSE),"")</f>
        <v/>
      </c>
      <c r="AE700" s="92">
        <f>IFERROR(VLOOKUP($A700,'13. Mapa Títulos-Receita'!$A$8:$P$1000,16,FALSE),"")</f>
        <v/>
      </c>
    </row>
    <row r="701">
      <c r="A701" s="28">
        <f>IF(C701="","", "CR-"&amp;TEXT(ROW()-7,"000"))</f>
        <v/>
      </c>
      <c r="B701" s="28" t="n"/>
      <c r="C701" s="28" t="n"/>
      <c r="D701" s="111" t="n"/>
      <c r="E701" s="111" t="n"/>
      <c r="F701" s="111" t="n"/>
      <c r="G701" s="28" t="n"/>
      <c r="H701" s="45" t="n"/>
      <c r="I701" s="45" t="n"/>
      <c r="J701" s="28">
        <f>IF(H701="","",IF(I701&gt;=H701,"Recebido",IF($B$4&gt;E701,"Vencido","Aberto")))</f>
        <v/>
      </c>
      <c r="K701" s="4">
        <f>IF(J701="","",IF(OR(J701="Recebido",F701=""),MAX(0,F701-E701),MAX(0,$B$4-E701)))</f>
        <v/>
      </c>
      <c r="L701" s="4">
        <f>IF(K701="","",IF(K701=0,"Em dia",IF(K701&lt;=30,"1-30 dias",IF(K701&lt;=60,"31-60 dias",IF(K701&lt;=90,"61-90 dias","&gt;90 dias")))))</f>
        <v/>
      </c>
      <c r="M701" s="28" t="n"/>
      <c r="N701" s="104" t="inlineStr"/>
      <c r="O701" s="64" t="n"/>
      <c r="P701" s="64">
        <f>IF(C701="","",IF(ISNUMBER(SEARCH("PCMSO",C701)),"PCMSO",IF(OR(ISNUMBER(SEARCH("E-SOCIAL",C701)),ISNUMBER(SEARCH("PSICOSOCIAL",C701))),"eSocial / Psicossocial",IF(O701="Receita recorrente","Carteira recorrente","Projetos / Laudos / Avulsos"))))</f>
        <v/>
      </c>
      <c r="Q701" s="64">
        <f>IF(P701="","",IF(P701="Carteira recorrente","Operação recorrente",IF(P701="PCMSO","Projetos PCMSO",IF(P701="eSocial / Psicossocial","Projetos eSocial/Psicossocial","Projetos / Laudos / Avulsos"))))</f>
        <v/>
      </c>
      <c r="R701" s="64">
        <f>IF(C701="","",IF(ISNUMBER(SEARCH("PCMSO",C701)),"Título com PCMSO no nome",IF(OR(ISNUMBER(SEARCH("E-SOCIAL",C701)),ISNUMBER(SEARCH("PSICOSOCIAL",C701))),"Título com eSocial/Psicossocial no nome",IF(O701="Receita recorrente","Tipo DRE recorrente","Extra sem palavra-chave específica"))))</f>
        <v/>
      </c>
      <c r="S701" s="92">
        <f>IFERROR(VLOOKUP($A701,'13. Mapa Títulos-Receita'!$A$8:$P$1000,4,FALSE),"")</f>
        <v/>
      </c>
      <c r="T701" s="92">
        <f>IFERROR(VLOOKUP($A701,'13. Mapa Títulos-Receita'!$A$8:$P$1000,5,FALSE),"")</f>
        <v/>
      </c>
      <c r="U701" s="92">
        <f>IFERROR(VLOOKUP($A701,'13. Mapa Títulos-Receita'!$A$8:$P$1000,6,FALSE),"")</f>
        <v/>
      </c>
      <c r="V701" s="92">
        <f>IFERROR(VLOOKUP($A701,'13. Mapa Títulos-Receita'!$A$8:$P$1000,7,FALSE),"")</f>
        <v/>
      </c>
      <c r="W701" s="92">
        <f>IFERROR(VLOOKUP($A701,'13. Mapa Títulos-Receita'!$A$8:$P$1000,8,FALSE),"")</f>
        <v/>
      </c>
      <c r="X701" s="92">
        <f>IFERROR(VLOOKUP($A701,'13. Mapa Títulos-Receita'!$A$8:$P$1000,9,FALSE),"")</f>
        <v/>
      </c>
      <c r="Y701" s="92">
        <f>IFERROR(VLOOKUP($A701,'13. Mapa Títulos-Receita'!$A$8:$P$1000,10,FALSE),"")</f>
        <v/>
      </c>
      <c r="Z701" s="92">
        <f>IFERROR(VLOOKUP($A701,'13. Mapa Títulos-Receita'!$A$8:$P$1000,11,FALSE),"")</f>
        <v/>
      </c>
      <c r="AA701" s="92">
        <f>IFERROR(VLOOKUP($A701,'13. Mapa Títulos-Receita'!$A$8:$P$1000,12,FALSE),"")</f>
        <v/>
      </c>
      <c r="AB701" s="92">
        <f>IFERROR(VLOOKUP($A701,'13. Mapa Títulos-Receita'!$A$8:$P$1000,13,FALSE),"")</f>
        <v/>
      </c>
      <c r="AC701" s="92">
        <f>IFERROR(VLOOKUP($A701,'13. Mapa Títulos-Receita'!$A$8:$P$1000,14,FALSE),"")</f>
        <v/>
      </c>
      <c r="AD701" s="92">
        <f>IFERROR(VLOOKUP($A701,'13. Mapa Títulos-Receita'!$A$8:$P$1000,15,FALSE),"")</f>
        <v/>
      </c>
      <c r="AE701" s="92">
        <f>IFERROR(VLOOKUP($A701,'13. Mapa Títulos-Receita'!$A$8:$P$1000,16,FALSE),"")</f>
        <v/>
      </c>
    </row>
    <row r="702">
      <c r="A702" s="28">
        <f>IF(C702="","", "CR-"&amp;TEXT(ROW()-7,"000"))</f>
        <v/>
      </c>
      <c r="B702" s="28" t="n"/>
      <c r="C702" s="28" t="n"/>
      <c r="D702" s="111" t="n"/>
      <c r="E702" s="111" t="n"/>
      <c r="F702" s="111" t="n"/>
      <c r="G702" s="28" t="n"/>
      <c r="H702" s="45" t="n"/>
      <c r="I702" s="45" t="n"/>
      <c r="J702" s="28">
        <f>IF(H702="","",IF(I702&gt;=H702,"Recebido",IF($B$4&gt;E702,"Vencido","Aberto")))</f>
        <v/>
      </c>
      <c r="K702" s="4">
        <f>IF(J702="","",IF(OR(J702="Recebido",F702=""),MAX(0,F702-E702),MAX(0,$B$4-E702)))</f>
        <v/>
      </c>
      <c r="L702" s="4">
        <f>IF(K702="","",IF(K702=0,"Em dia",IF(K702&lt;=30,"1-30 dias",IF(K702&lt;=60,"31-60 dias",IF(K702&lt;=90,"61-90 dias","&gt;90 dias")))))</f>
        <v/>
      </c>
      <c r="M702" s="28" t="n"/>
      <c r="N702" s="104" t="inlineStr"/>
      <c r="O702" s="64" t="n"/>
      <c r="P702" s="64">
        <f>IF(C702="","",IF(ISNUMBER(SEARCH("PCMSO",C702)),"PCMSO",IF(OR(ISNUMBER(SEARCH("E-SOCIAL",C702)),ISNUMBER(SEARCH("PSICOSOCIAL",C702))),"eSocial / Psicossocial",IF(O702="Receita recorrente","Carteira recorrente","Projetos / Laudos / Avulsos"))))</f>
        <v/>
      </c>
      <c r="Q702" s="64">
        <f>IF(P702="","",IF(P702="Carteira recorrente","Operação recorrente",IF(P702="PCMSO","Projetos PCMSO",IF(P702="eSocial / Psicossocial","Projetos eSocial/Psicossocial","Projetos / Laudos / Avulsos"))))</f>
        <v/>
      </c>
      <c r="R702" s="64">
        <f>IF(C702="","",IF(ISNUMBER(SEARCH("PCMSO",C702)),"Título com PCMSO no nome",IF(OR(ISNUMBER(SEARCH("E-SOCIAL",C702)),ISNUMBER(SEARCH("PSICOSOCIAL",C702))),"Título com eSocial/Psicossocial no nome",IF(O702="Receita recorrente","Tipo DRE recorrente","Extra sem palavra-chave específica"))))</f>
        <v/>
      </c>
      <c r="S702" s="92">
        <f>IFERROR(VLOOKUP($A702,'13. Mapa Títulos-Receita'!$A$8:$P$1000,4,FALSE),"")</f>
        <v/>
      </c>
      <c r="T702" s="92">
        <f>IFERROR(VLOOKUP($A702,'13. Mapa Títulos-Receita'!$A$8:$P$1000,5,FALSE),"")</f>
        <v/>
      </c>
      <c r="U702" s="92">
        <f>IFERROR(VLOOKUP($A702,'13. Mapa Títulos-Receita'!$A$8:$P$1000,6,FALSE),"")</f>
        <v/>
      </c>
      <c r="V702" s="92">
        <f>IFERROR(VLOOKUP($A702,'13. Mapa Títulos-Receita'!$A$8:$P$1000,7,FALSE),"")</f>
        <v/>
      </c>
      <c r="W702" s="92">
        <f>IFERROR(VLOOKUP($A702,'13. Mapa Títulos-Receita'!$A$8:$P$1000,8,FALSE),"")</f>
        <v/>
      </c>
      <c r="X702" s="92">
        <f>IFERROR(VLOOKUP($A702,'13. Mapa Títulos-Receita'!$A$8:$P$1000,9,FALSE),"")</f>
        <v/>
      </c>
      <c r="Y702" s="92">
        <f>IFERROR(VLOOKUP($A702,'13. Mapa Títulos-Receita'!$A$8:$P$1000,10,FALSE),"")</f>
        <v/>
      </c>
      <c r="Z702" s="92">
        <f>IFERROR(VLOOKUP($A702,'13. Mapa Títulos-Receita'!$A$8:$P$1000,11,FALSE),"")</f>
        <v/>
      </c>
      <c r="AA702" s="92">
        <f>IFERROR(VLOOKUP($A702,'13. Mapa Títulos-Receita'!$A$8:$P$1000,12,FALSE),"")</f>
        <v/>
      </c>
      <c r="AB702" s="92">
        <f>IFERROR(VLOOKUP($A702,'13. Mapa Títulos-Receita'!$A$8:$P$1000,13,FALSE),"")</f>
        <v/>
      </c>
      <c r="AC702" s="92">
        <f>IFERROR(VLOOKUP($A702,'13. Mapa Títulos-Receita'!$A$8:$P$1000,14,FALSE),"")</f>
        <v/>
      </c>
      <c r="AD702" s="92">
        <f>IFERROR(VLOOKUP($A702,'13. Mapa Títulos-Receita'!$A$8:$P$1000,15,FALSE),"")</f>
        <v/>
      </c>
      <c r="AE702" s="92">
        <f>IFERROR(VLOOKUP($A702,'13. Mapa Títulos-Receita'!$A$8:$P$1000,16,FALSE),"")</f>
        <v/>
      </c>
    </row>
    <row r="703">
      <c r="A703" s="28">
        <f>IF(C703="","", "CR-"&amp;TEXT(ROW()-7,"000"))</f>
        <v/>
      </c>
      <c r="B703" s="28" t="n"/>
      <c r="C703" s="28" t="n"/>
      <c r="D703" s="111" t="n"/>
      <c r="E703" s="111" t="n"/>
      <c r="F703" s="111" t="n"/>
      <c r="G703" s="28" t="n"/>
      <c r="H703" s="45" t="n"/>
      <c r="I703" s="45" t="n"/>
      <c r="J703" s="28">
        <f>IF(H703="","",IF(I703&gt;=H703,"Recebido",IF($B$4&gt;E703,"Vencido","Aberto")))</f>
        <v/>
      </c>
      <c r="K703" s="4">
        <f>IF(J703="","",IF(OR(J703="Recebido",F703=""),MAX(0,F703-E703),MAX(0,$B$4-E703)))</f>
        <v/>
      </c>
      <c r="L703" s="4">
        <f>IF(K703="","",IF(K703=0,"Em dia",IF(K703&lt;=30,"1-30 dias",IF(K703&lt;=60,"31-60 dias",IF(K703&lt;=90,"61-90 dias","&gt;90 dias")))))</f>
        <v/>
      </c>
      <c r="M703" s="28" t="n"/>
      <c r="N703" s="104" t="inlineStr"/>
      <c r="O703" s="64" t="n"/>
      <c r="P703" s="64">
        <f>IF(C703="","",IF(ISNUMBER(SEARCH("PCMSO",C703)),"PCMSO",IF(OR(ISNUMBER(SEARCH("E-SOCIAL",C703)),ISNUMBER(SEARCH("PSICOSOCIAL",C703))),"eSocial / Psicossocial",IF(O703="Receita recorrente","Carteira recorrente","Projetos / Laudos / Avulsos"))))</f>
        <v/>
      </c>
      <c r="Q703" s="64">
        <f>IF(P703="","",IF(P703="Carteira recorrente","Operação recorrente",IF(P703="PCMSO","Projetos PCMSO",IF(P703="eSocial / Psicossocial","Projetos eSocial/Psicossocial","Projetos / Laudos / Avulsos"))))</f>
        <v/>
      </c>
      <c r="R703" s="64">
        <f>IF(C703="","",IF(ISNUMBER(SEARCH("PCMSO",C703)),"Título com PCMSO no nome",IF(OR(ISNUMBER(SEARCH("E-SOCIAL",C703)),ISNUMBER(SEARCH("PSICOSOCIAL",C703))),"Título com eSocial/Psicossocial no nome",IF(O703="Receita recorrente","Tipo DRE recorrente","Extra sem palavra-chave específica"))))</f>
        <v/>
      </c>
      <c r="S703" s="92">
        <f>IFERROR(VLOOKUP($A703,'13. Mapa Títulos-Receita'!$A$8:$P$1000,4,FALSE),"")</f>
        <v/>
      </c>
      <c r="T703" s="92">
        <f>IFERROR(VLOOKUP($A703,'13. Mapa Títulos-Receita'!$A$8:$P$1000,5,FALSE),"")</f>
        <v/>
      </c>
      <c r="U703" s="92">
        <f>IFERROR(VLOOKUP($A703,'13. Mapa Títulos-Receita'!$A$8:$P$1000,6,FALSE),"")</f>
        <v/>
      </c>
      <c r="V703" s="92">
        <f>IFERROR(VLOOKUP($A703,'13. Mapa Títulos-Receita'!$A$8:$P$1000,7,FALSE),"")</f>
        <v/>
      </c>
      <c r="W703" s="92">
        <f>IFERROR(VLOOKUP($A703,'13. Mapa Títulos-Receita'!$A$8:$P$1000,8,FALSE),"")</f>
        <v/>
      </c>
      <c r="X703" s="92">
        <f>IFERROR(VLOOKUP($A703,'13. Mapa Títulos-Receita'!$A$8:$P$1000,9,FALSE),"")</f>
        <v/>
      </c>
      <c r="Y703" s="92">
        <f>IFERROR(VLOOKUP($A703,'13. Mapa Títulos-Receita'!$A$8:$P$1000,10,FALSE),"")</f>
        <v/>
      </c>
      <c r="Z703" s="92">
        <f>IFERROR(VLOOKUP($A703,'13. Mapa Títulos-Receita'!$A$8:$P$1000,11,FALSE),"")</f>
        <v/>
      </c>
      <c r="AA703" s="92">
        <f>IFERROR(VLOOKUP($A703,'13. Mapa Títulos-Receita'!$A$8:$P$1000,12,FALSE),"")</f>
        <v/>
      </c>
      <c r="AB703" s="92">
        <f>IFERROR(VLOOKUP($A703,'13. Mapa Títulos-Receita'!$A$8:$P$1000,13,FALSE),"")</f>
        <v/>
      </c>
      <c r="AC703" s="92">
        <f>IFERROR(VLOOKUP($A703,'13. Mapa Títulos-Receita'!$A$8:$P$1000,14,FALSE),"")</f>
        <v/>
      </c>
      <c r="AD703" s="92">
        <f>IFERROR(VLOOKUP($A703,'13. Mapa Títulos-Receita'!$A$8:$P$1000,15,FALSE),"")</f>
        <v/>
      </c>
      <c r="AE703" s="92">
        <f>IFERROR(VLOOKUP($A703,'13. Mapa Títulos-Receita'!$A$8:$P$1000,16,FALSE),"")</f>
        <v/>
      </c>
    </row>
    <row r="704">
      <c r="A704" s="28">
        <f>IF(C704="","", "CR-"&amp;TEXT(ROW()-7,"000"))</f>
        <v/>
      </c>
      <c r="B704" s="28" t="n"/>
      <c r="C704" s="28" t="n"/>
      <c r="D704" s="111" t="n"/>
      <c r="E704" s="111" t="n"/>
      <c r="F704" s="111" t="n"/>
      <c r="G704" s="28" t="n"/>
      <c r="H704" s="45" t="n"/>
      <c r="I704" s="45" t="n"/>
      <c r="J704" s="28">
        <f>IF(H704="","",IF(I704&gt;=H704,"Recebido",IF($B$4&gt;E704,"Vencido","Aberto")))</f>
        <v/>
      </c>
      <c r="K704" s="4">
        <f>IF(J704="","",IF(OR(J704="Recebido",F704=""),MAX(0,F704-E704),MAX(0,$B$4-E704)))</f>
        <v/>
      </c>
      <c r="L704" s="4">
        <f>IF(K704="","",IF(K704=0,"Em dia",IF(K704&lt;=30,"1-30 dias",IF(K704&lt;=60,"31-60 dias",IF(K704&lt;=90,"61-90 dias","&gt;90 dias")))))</f>
        <v/>
      </c>
      <c r="M704" s="28" t="n"/>
      <c r="N704" s="104" t="inlineStr"/>
      <c r="O704" s="64" t="n"/>
      <c r="P704" s="64">
        <f>IF(C704="","",IF(ISNUMBER(SEARCH("PCMSO",C704)),"PCMSO",IF(OR(ISNUMBER(SEARCH("E-SOCIAL",C704)),ISNUMBER(SEARCH("PSICOSOCIAL",C704))),"eSocial / Psicossocial",IF(O704="Receita recorrente","Carteira recorrente","Projetos / Laudos / Avulsos"))))</f>
        <v/>
      </c>
      <c r="Q704" s="64">
        <f>IF(P704="","",IF(P704="Carteira recorrente","Operação recorrente",IF(P704="PCMSO","Projetos PCMSO",IF(P704="eSocial / Psicossocial","Projetos eSocial/Psicossocial","Projetos / Laudos / Avulsos"))))</f>
        <v/>
      </c>
      <c r="R704" s="64">
        <f>IF(C704="","",IF(ISNUMBER(SEARCH("PCMSO",C704)),"Título com PCMSO no nome",IF(OR(ISNUMBER(SEARCH("E-SOCIAL",C704)),ISNUMBER(SEARCH("PSICOSOCIAL",C704))),"Título com eSocial/Psicossocial no nome",IF(O704="Receita recorrente","Tipo DRE recorrente","Extra sem palavra-chave específica"))))</f>
        <v/>
      </c>
      <c r="S704" s="92">
        <f>IFERROR(VLOOKUP($A704,'13. Mapa Títulos-Receita'!$A$8:$P$1000,4,FALSE),"")</f>
        <v/>
      </c>
      <c r="T704" s="92">
        <f>IFERROR(VLOOKUP($A704,'13. Mapa Títulos-Receita'!$A$8:$P$1000,5,FALSE),"")</f>
        <v/>
      </c>
      <c r="U704" s="92">
        <f>IFERROR(VLOOKUP($A704,'13. Mapa Títulos-Receita'!$A$8:$P$1000,6,FALSE),"")</f>
        <v/>
      </c>
      <c r="V704" s="92">
        <f>IFERROR(VLOOKUP($A704,'13. Mapa Títulos-Receita'!$A$8:$P$1000,7,FALSE),"")</f>
        <v/>
      </c>
      <c r="W704" s="92">
        <f>IFERROR(VLOOKUP($A704,'13. Mapa Títulos-Receita'!$A$8:$P$1000,8,FALSE),"")</f>
        <v/>
      </c>
      <c r="X704" s="92">
        <f>IFERROR(VLOOKUP($A704,'13. Mapa Títulos-Receita'!$A$8:$P$1000,9,FALSE),"")</f>
        <v/>
      </c>
      <c r="Y704" s="92">
        <f>IFERROR(VLOOKUP($A704,'13. Mapa Títulos-Receita'!$A$8:$P$1000,10,FALSE),"")</f>
        <v/>
      </c>
      <c r="Z704" s="92">
        <f>IFERROR(VLOOKUP($A704,'13. Mapa Títulos-Receita'!$A$8:$P$1000,11,FALSE),"")</f>
        <v/>
      </c>
      <c r="AA704" s="92">
        <f>IFERROR(VLOOKUP($A704,'13. Mapa Títulos-Receita'!$A$8:$P$1000,12,FALSE),"")</f>
        <v/>
      </c>
      <c r="AB704" s="92">
        <f>IFERROR(VLOOKUP($A704,'13. Mapa Títulos-Receita'!$A$8:$P$1000,13,FALSE),"")</f>
        <v/>
      </c>
      <c r="AC704" s="92">
        <f>IFERROR(VLOOKUP($A704,'13. Mapa Títulos-Receita'!$A$8:$P$1000,14,FALSE),"")</f>
        <v/>
      </c>
      <c r="AD704" s="92">
        <f>IFERROR(VLOOKUP($A704,'13. Mapa Títulos-Receita'!$A$8:$P$1000,15,FALSE),"")</f>
        <v/>
      </c>
      <c r="AE704" s="92">
        <f>IFERROR(VLOOKUP($A704,'13. Mapa Títulos-Receita'!$A$8:$P$1000,16,FALSE),"")</f>
        <v/>
      </c>
    </row>
    <row r="705">
      <c r="A705" s="28">
        <f>IF(C705="","", "CR-"&amp;TEXT(ROW()-7,"000"))</f>
        <v/>
      </c>
      <c r="B705" s="28" t="n"/>
      <c r="C705" s="28" t="n"/>
      <c r="D705" s="111" t="n"/>
      <c r="E705" s="111" t="n"/>
      <c r="F705" s="111" t="n"/>
      <c r="G705" s="28" t="n"/>
      <c r="H705" s="45" t="n"/>
      <c r="I705" s="45" t="n"/>
      <c r="J705" s="28">
        <f>IF(H705="","",IF(I705&gt;=H705,"Recebido",IF($B$4&gt;E705,"Vencido","Aberto")))</f>
        <v/>
      </c>
      <c r="K705" s="4">
        <f>IF(J705="","",IF(OR(J705="Recebido",F705=""),MAX(0,F705-E705),MAX(0,$B$4-E705)))</f>
        <v/>
      </c>
      <c r="L705" s="4">
        <f>IF(K705="","",IF(K705=0,"Em dia",IF(K705&lt;=30,"1-30 dias",IF(K705&lt;=60,"31-60 dias",IF(K705&lt;=90,"61-90 dias","&gt;90 dias")))))</f>
        <v/>
      </c>
      <c r="M705" s="28" t="n"/>
      <c r="N705" s="104" t="inlineStr"/>
      <c r="O705" s="64" t="n"/>
      <c r="P705" s="64">
        <f>IF(C705="","",IF(ISNUMBER(SEARCH("PCMSO",C705)),"PCMSO",IF(OR(ISNUMBER(SEARCH("E-SOCIAL",C705)),ISNUMBER(SEARCH("PSICOSOCIAL",C705))),"eSocial / Psicossocial",IF(O705="Receita recorrente","Carteira recorrente","Projetos / Laudos / Avulsos"))))</f>
        <v/>
      </c>
      <c r="Q705" s="64">
        <f>IF(P705="","",IF(P705="Carteira recorrente","Operação recorrente",IF(P705="PCMSO","Projetos PCMSO",IF(P705="eSocial / Psicossocial","Projetos eSocial/Psicossocial","Projetos / Laudos / Avulsos"))))</f>
        <v/>
      </c>
      <c r="R705" s="64">
        <f>IF(C705="","",IF(ISNUMBER(SEARCH("PCMSO",C705)),"Título com PCMSO no nome",IF(OR(ISNUMBER(SEARCH("E-SOCIAL",C705)),ISNUMBER(SEARCH("PSICOSOCIAL",C705))),"Título com eSocial/Psicossocial no nome",IF(O705="Receita recorrente","Tipo DRE recorrente","Extra sem palavra-chave específica"))))</f>
        <v/>
      </c>
      <c r="S705" s="92">
        <f>IFERROR(VLOOKUP($A705,'13. Mapa Títulos-Receita'!$A$8:$P$1000,4,FALSE),"")</f>
        <v/>
      </c>
      <c r="T705" s="92">
        <f>IFERROR(VLOOKUP($A705,'13. Mapa Títulos-Receita'!$A$8:$P$1000,5,FALSE),"")</f>
        <v/>
      </c>
      <c r="U705" s="92">
        <f>IFERROR(VLOOKUP($A705,'13. Mapa Títulos-Receita'!$A$8:$P$1000,6,FALSE),"")</f>
        <v/>
      </c>
      <c r="V705" s="92">
        <f>IFERROR(VLOOKUP($A705,'13. Mapa Títulos-Receita'!$A$8:$P$1000,7,FALSE),"")</f>
        <v/>
      </c>
      <c r="W705" s="92">
        <f>IFERROR(VLOOKUP($A705,'13. Mapa Títulos-Receita'!$A$8:$P$1000,8,FALSE),"")</f>
        <v/>
      </c>
      <c r="X705" s="92">
        <f>IFERROR(VLOOKUP($A705,'13. Mapa Títulos-Receita'!$A$8:$P$1000,9,FALSE),"")</f>
        <v/>
      </c>
      <c r="Y705" s="92">
        <f>IFERROR(VLOOKUP($A705,'13. Mapa Títulos-Receita'!$A$8:$P$1000,10,FALSE),"")</f>
        <v/>
      </c>
      <c r="Z705" s="92">
        <f>IFERROR(VLOOKUP($A705,'13. Mapa Títulos-Receita'!$A$8:$P$1000,11,FALSE),"")</f>
        <v/>
      </c>
      <c r="AA705" s="92">
        <f>IFERROR(VLOOKUP($A705,'13. Mapa Títulos-Receita'!$A$8:$P$1000,12,FALSE),"")</f>
        <v/>
      </c>
      <c r="AB705" s="92">
        <f>IFERROR(VLOOKUP($A705,'13. Mapa Títulos-Receita'!$A$8:$P$1000,13,FALSE),"")</f>
        <v/>
      </c>
      <c r="AC705" s="92">
        <f>IFERROR(VLOOKUP($A705,'13. Mapa Títulos-Receita'!$A$8:$P$1000,14,FALSE),"")</f>
        <v/>
      </c>
      <c r="AD705" s="92">
        <f>IFERROR(VLOOKUP($A705,'13. Mapa Títulos-Receita'!$A$8:$P$1000,15,FALSE),"")</f>
        <v/>
      </c>
      <c r="AE705" s="92">
        <f>IFERROR(VLOOKUP($A705,'13. Mapa Títulos-Receita'!$A$8:$P$1000,16,FALSE),"")</f>
        <v/>
      </c>
    </row>
    <row r="706">
      <c r="A706" s="28">
        <f>IF(C706="","", "CR-"&amp;TEXT(ROW()-7,"000"))</f>
        <v/>
      </c>
      <c r="B706" s="28" t="n"/>
      <c r="C706" s="28" t="n"/>
      <c r="D706" s="111" t="n"/>
      <c r="E706" s="111" t="n"/>
      <c r="F706" s="111" t="n"/>
      <c r="G706" s="28" t="n"/>
      <c r="H706" s="45" t="n"/>
      <c r="I706" s="45" t="n"/>
      <c r="J706" s="28">
        <f>IF(H706="","",IF(I706&gt;=H706,"Recebido",IF($B$4&gt;E706,"Vencido","Aberto")))</f>
        <v/>
      </c>
      <c r="K706" s="4">
        <f>IF(J706="","",IF(OR(J706="Recebido",F706=""),MAX(0,F706-E706),MAX(0,$B$4-E706)))</f>
        <v/>
      </c>
      <c r="L706" s="4">
        <f>IF(K706="","",IF(K706=0,"Em dia",IF(K706&lt;=30,"1-30 dias",IF(K706&lt;=60,"31-60 dias",IF(K706&lt;=90,"61-90 dias","&gt;90 dias")))))</f>
        <v/>
      </c>
      <c r="M706" s="28" t="n"/>
      <c r="N706" s="104" t="inlineStr"/>
      <c r="O706" s="64" t="n"/>
      <c r="P706" s="64">
        <f>IF(C706="","",IF(ISNUMBER(SEARCH("PCMSO",C706)),"PCMSO",IF(OR(ISNUMBER(SEARCH("E-SOCIAL",C706)),ISNUMBER(SEARCH("PSICOSOCIAL",C706))),"eSocial / Psicossocial",IF(O706="Receita recorrente","Carteira recorrente","Projetos / Laudos / Avulsos"))))</f>
        <v/>
      </c>
      <c r="Q706" s="64">
        <f>IF(P706="","",IF(P706="Carteira recorrente","Operação recorrente",IF(P706="PCMSO","Projetos PCMSO",IF(P706="eSocial / Psicossocial","Projetos eSocial/Psicossocial","Projetos / Laudos / Avulsos"))))</f>
        <v/>
      </c>
      <c r="R706" s="64">
        <f>IF(C706="","",IF(ISNUMBER(SEARCH("PCMSO",C706)),"Título com PCMSO no nome",IF(OR(ISNUMBER(SEARCH("E-SOCIAL",C706)),ISNUMBER(SEARCH("PSICOSOCIAL",C706))),"Título com eSocial/Psicossocial no nome",IF(O706="Receita recorrente","Tipo DRE recorrente","Extra sem palavra-chave específica"))))</f>
        <v/>
      </c>
      <c r="S706" s="92">
        <f>IFERROR(VLOOKUP($A706,'13. Mapa Títulos-Receita'!$A$8:$P$1000,4,FALSE),"")</f>
        <v/>
      </c>
      <c r="T706" s="92">
        <f>IFERROR(VLOOKUP($A706,'13. Mapa Títulos-Receita'!$A$8:$P$1000,5,FALSE),"")</f>
        <v/>
      </c>
      <c r="U706" s="92">
        <f>IFERROR(VLOOKUP($A706,'13. Mapa Títulos-Receita'!$A$8:$P$1000,6,FALSE),"")</f>
        <v/>
      </c>
      <c r="V706" s="92">
        <f>IFERROR(VLOOKUP($A706,'13. Mapa Títulos-Receita'!$A$8:$P$1000,7,FALSE),"")</f>
        <v/>
      </c>
      <c r="W706" s="92">
        <f>IFERROR(VLOOKUP($A706,'13. Mapa Títulos-Receita'!$A$8:$P$1000,8,FALSE),"")</f>
        <v/>
      </c>
      <c r="X706" s="92">
        <f>IFERROR(VLOOKUP($A706,'13. Mapa Títulos-Receita'!$A$8:$P$1000,9,FALSE),"")</f>
        <v/>
      </c>
      <c r="Y706" s="92">
        <f>IFERROR(VLOOKUP($A706,'13. Mapa Títulos-Receita'!$A$8:$P$1000,10,FALSE),"")</f>
        <v/>
      </c>
      <c r="Z706" s="92">
        <f>IFERROR(VLOOKUP($A706,'13. Mapa Títulos-Receita'!$A$8:$P$1000,11,FALSE),"")</f>
        <v/>
      </c>
      <c r="AA706" s="92">
        <f>IFERROR(VLOOKUP($A706,'13. Mapa Títulos-Receita'!$A$8:$P$1000,12,FALSE),"")</f>
        <v/>
      </c>
      <c r="AB706" s="92">
        <f>IFERROR(VLOOKUP($A706,'13. Mapa Títulos-Receita'!$A$8:$P$1000,13,FALSE),"")</f>
        <v/>
      </c>
      <c r="AC706" s="92">
        <f>IFERROR(VLOOKUP($A706,'13. Mapa Títulos-Receita'!$A$8:$P$1000,14,FALSE),"")</f>
        <v/>
      </c>
      <c r="AD706" s="92">
        <f>IFERROR(VLOOKUP($A706,'13. Mapa Títulos-Receita'!$A$8:$P$1000,15,FALSE),"")</f>
        <v/>
      </c>
      <c r="AE706" s="92">
        <f>IFERROR(VLOOKUP($A706,'13. Mapa Títulos-Receita'!$A$8:$P$1000,16,FALSE),"")</f>
        <v/>
      </c>
    </row>
    <row r="707">
      <c r="A707" s="28">
        <f>IF(C707="","", "CR-"&amp;TEXT(ROW()-7,"000"))</f>
        <v/>
      </c>
      <c r="B707" s="28" t="n"/>
      <c r="C707" s="28" t="n"/>
      <c r="D707" s="111" t="n"/>
      <c r="E707" s="111" t="n"/>
      <c r="F707" s="111" t="n"/>
      <c r="G707" s="28" t="n"/>
      <c r="H707" s="45" t="n"/>
      <c r="I707" s="45" t="n"/>
      <c r="J707" s="28">
        <f>IF(H707="","",IF(I707&gt;=H707,"Recebido",IF($B$4&gt;E707,"Vencido","Aberto")))</f>
        <v/>
      </c>
      <c r="K707" s="4">
        <f>IF(J707="","",IF(OR(J707="Recebido",F707=""),MAX(0,F707-E707),MAX(0,$B$4-E707)))</f>
        <v/>
      </c>
      <c r="L707" s="4">
        <f>IF(K707="","",IF(K707=0,"Em dia",IF(K707&lt;=30,"1-30 dias",IF(K707&lt;=60,"31-60 dias",IF(K707&lt;=90,"61-90 dias","&gt;90 dias")))))</f>
        <v/>
      </c>
      <c r="M707" s="28" t="n"/>
      <c r="N707" s="104" t="inlineStr"/>
      <c r="O707" s="64" t="n"/>
      <c r="P707" s="64">
        <f>IF(C707="","",IF(ISNUMBER(SEARCH("PCMSO",C707)),"PCMSO",IF(OR(ISNUMBER(SEARCH("E-SOCIAL",C707)),ISNUMBER(SEARCH("PSICOSOCIAL",C707))),"eSocial / Psicossocial",IF(O707="Receita recorrente","Carteira recorrente","Projetos / Laudos / Avulsos"))))</f>
        <v/>
      </c>
      <c r="Q707" s="64">
        <f>IF(P707="","",IF(P707="Carteira recorrente","Operação recorrente",IF(P707="PCMSO","Projetos PCMSO",IF(P707="eSocial / Psicossocial","Projetos eSocial/Psicossocial","Projetos / Laudos / Avulsos"))))</f>
        <v/>
      </c>
      <c r="R707" s="64">
        <f>IF(C707="","",IF(ISNUMBER(SEARCH("PCMSO",C707)),"Título com PCMSO no nome",IF(OR(ISNUMBER(SEARCH("E-SOCIAL",C707)),ISNUMBER(SEARCH("PSICOSOCIAL",C707))),"Título com eSocial/Psicossocial no nome",IF(O707="Receita recorrente","Tipo DRE recorrente","Extra sem palavra-chave específica"))))</f>
        <v/>
      </c>
      <c r="S707" s="92">
        <f>IFERROR(VLOOKUP($A707,'13. Mapa Títulos-Receita'!$A$8:$P$1000,4,FALSE),"")</f>
        <v/>
      </c>
      <c r="T707" s="92">
        <f>IFERROR(VLOOKUP($A707,'13. Mapa Títulos-Receita'!$A$8:$P$1000,5,FALSE),"")</f>
        <v/>
      </c>
      <c r="U707" s="92">
        <f>IFERROR(VLOOKUP($A707,'13. Mapa Títulos-Receita'!$A$8:$P$1000,6,FALSE),"")</f>
        <v/>
      </c>
      <c r="V707" s="92">
        <f>IFERROR(VLOOKUP($A707,'13. Mapa Títulos-Receita'!$A$8:$P$1000,7,FALSE),"")</f>
        <v/>
      </c>
      <c r="W707" s="92">
        <f>IFERROR(VLOOKUP($A707,'13. Mapa Títulos-Receita'!$A$8:$P$1000,8,FALSE),"")</f>
        <v/>
      </c>
      <c r="X707" s="92">
        <f>IFERROR(VLOOKUP($A707,'13. Mapa Títulos-Receita'!$A$8:$P$1000,9,FALSE),"")</f>
        <v/>
      </c>
      <c r="Y707" s="92">
        <f>IFERROR(VLOOKUP($A707,'13. Mapa Títulos-Receita'!$A$8:$P$1000,10,FALSE),"")</f>
        <v/>
      </c>
      <c r="Z707" s="92">
        <f>IFERROR(VLOOKUP($A707,'13. Mapa Títulos-Receita'!$A$8:$P$1000,11,FALSE),"")</f>
        <v/>
      </c>
      <c r="AA707" s="92">
        <f>IFERROR(VLOOKUP($A707,'13. Mapa Títulos-Receita'!$A$8:$P$1000,12,FALSE),"")</f>
        <v/>
      </c>
      <c r="AB707" s="92">
        <f>IFERROR(VLOOKUP($A707,'13. Mapa Títulos-Receita'!$A$8:$P$1000,13,FALSE),"")</f>
        <v/>
      </c>
      <c r="AC707" s="92">
        <f>IFERROR(VLOOKUP($A707,'13. Mapa Títulos-Receita'!$A$8:$P$1000,14,FALSE),"")</f>
        <v/>
      </c>
      <c r="AD707" s="92">
        <f>IFERROR(VLOOKUP($A707,'13. Mapa Títulos-Receita'!$A$8:$P$1000,15,FALSE),"")</f>
        <v/>
      </c>
      <c r="AE707" s="92">
        <f>IFERROR(VLOOKUP($A707,'13. Mapa Títulos-Receita'!$A$8:$P$1000,16,FALSE),"")</f>
        <v/>
      </c>
    </row>
    <row r="708">
      <c r="A708" s="28">
        <f>IF(C708="","", "CR-"&amp;TEXT(ROW()-7,"000"))</f>
        <v/>
      </c>
      <c r="B708" s="28" t="n"/>
      <c r="C708" s="28" t="n"/>
      <c r="D708" s="111" t="n"/>
      <c r="E708" s="111" t="n"/>
      <c r="F708" s="111" t="n"/>
      <c r="G708" s="28" t="n"/>
      <c r="H708" s="45" t="n"/>
      <c r="I708" s="45" t="n"/>
      <c r="J708" s="28">
        <f>IF(H708="","",IF(I708&gt;=H708,"Recebido",IF($B$4&gt;E708,"Vencido","Aberto")))</f>
        <v/>
      </c>
      <c r="K708" s="4">
        <f>IF(J708="","",IF(OR(J708="Recebido",F708=""),MAX(0,F708-E708),MAX(0,$B$4-E708)))</f>
        <v/>
      </c>
      <c r="L708" s="4">
        <f>IF(K708="","",IF(K708=0,"Em dia",IF(K708&lt;=30,"1-30 dias",IF(K708&lt;=60,"31-60 dias",IF(K708&lt;=90,"61-90 dias","&gt;90 dias")))))</f>
        <v/>
      </c>
      <c r="M708" s="28" t="n"/>
      <c r="N708" s="104" t="inlineStr"/>
      <c r="O708" s="64" t="n"/>
      <c r="P708" s="64">
        <f>IF(C708="","",IF(ISNUMBER(SEARCH("PCMSO",C708)),"PCMSO",IF(OR(ISNUMBER(SEARCH("E-SOCIAL",C708)),ISNUMBER(SEARCH("PSICOSOCIAL",C708))),"eSocial / Psicossocial",IF(O708="Receita recorrente","Carteira recorrente","Projetos / Laudos / Avulsos"))))</f>
        <v/>
      </c>
      <c r="Q708" s="64">
        <f>IF(P708="","",IF(P708="Carteira recorrente","Operação recorrente",IF(P708="PCMSO","Projetos PCMSO",IF(P708="eSocial / Psicossocial","Projetos eSocial/Psicossocial","Projetos / Laudos / Avulsos"))))</f>
        <v/>
      </c>
      <c r="R708" s="64">
        <f>IF(C708="","",IF(ISNUMBER(SEARCH("PCMSO",C708)),"Título com PCMSO no nome",IF(OR(ISNUMBER(SEARCH("E-SOCIAL",C708)),ISNUMBER(SEARCH("PSICOSOCIAL",C708))),"Título com eSocial/Psicossocial no nome",IF(O708="Receita recorrente","Tipo DRE recorrente","Extra sem palavra-chave específica"))))</f>
        <v/>
      </c>
      <c r="S708" s="92">
        <f>IFERROR(VLOOKUP($A708,'13. Mapa Títulos-Receita'!$A$8:$P$1000,4,FALSE),"")</f>
        <v/>
      </c>
      <c r="T708" s="92">
        <f>IFERROR(VLOOKUP($A708,'13. Mapa Títulos-Receita'!$A$8:$P$1000,5,FALSE),"")</f>
        <v/>
      </c>
      <c r="U708" s="92">
        <f>IFERROR(VLOOKUP($A708,'13. Mapa Títulos-Receita'!$A$8:$P$1000,6,FALSE),"")</f>
        <v/>
      </c>
      <c r="V708" s="92">
        <f>IFERROR(VLOOKUP($A708,'13. Mapa Títulos-Receita'!$A$8:$P$1000,7,FALSE),"")</f>
        <v/>
      </c>
      <c r="W708" s="92">
        <f>IFERROR(VLOOKUP($A708,'13. Mapa Títulos-Receita'!$A$8:$P$1000,8,FALSE),"")</f>
        <v/>
      </c>
      <c r="X708" s="92">
        <f>IFERROR(VLOOKUP($A708,'13. Mapa Títulos-Receita'!$A$8:$P$1000,9,FALSE),"")</f>
        <v/>
      </c>
      <c r="Y708" s="92">
        <f>IFERROR(VLOOKUP($A708,'13. Mapa Títulos-Receita'!$A$8:$P$1000,10,FALSE),"")</f>
        <v/>
      </c>
      <c r="Z708" s="92">
        <f>IFERROR(VLOOKUP($A708,'13. Mapa Títulos-Receita'!$A$8:$P$1000,11,FALSE),"")</f>
        <v/>
      </c>
      <c r="AA708" s="92">
        <f>IFERROR(VLOOKUP($A708,'13. Mapa Títulos-Receita'!$A$8:$P$1000,12,FALSE),"")</f>
        <v/>
      </c>
      <c r="AB708" s="92">
        <f>IFERROR(VLOOKUP($A708,'13. Mapa Títulos-Receita'!$A$8:$P$1000,13,FALSE),"")</f>
        <v/>
      </c>
      <c r="AC708" s="92">
        <f>IFERROR(VLOOKUP($A708,'13. Mapa Títulos-Receita'!$A$8:$P$1000,14,FALSE),"")</f>
        <v/>
      </c>
      <c r="AD708" s="92">
        <f>IFERROR(VLOOKUP($A708,'13. Mapa Títulos-Receita'!$A$8:$P$1000,15,FALSE),"")</f>
        <v/>
      </c>
      <c r="AE708" s="92">
        <f>IFERROR(VLOOKUP($A708,'13. Mapa Títulos-Receita'!$A$8:$P$1000,16,FALSE),"")</f>
        <v/>
      </c>
    </row>
    <row r="709">
      <c r="A709" s="28">
        <f>IF(C709="","", "CR-"&amp;TEXT(ROW()-7,"000"))</f>
        <v/>
      </c>
      <c r="B709" s="28" t="n"/>
      <c r="C709" s="28" t="n"/>
      <c r="D709" s="111" t="n"/>
      <c r="E709" s="111" t="n"/>
      <c r="F709" s="111" t="n"/>
      <c r="G709" s="28" t="n"/>
      <c r="H709" s="45" t="n"/>
      <c r="I709" s="45" t="n"/>
      <c r="J709" s="28">
        <f>IF(H709="","",IF(I709&gt;=H709,"Recebido",IF($B$4&gt;E709,"Vencido","Aberto")))</f>
        <v/>
      </c>
      <c r="K709" s="4">
        <f>IF(J709="","",IF(OR(J709="Recebido",F709=""),MAX(0,F709-E709),MAX(0,$B$4-E709)))</f>
        <v/>
      </c>
      <c r="L709" s="4">
        <f>IF(K709="","",IF(K709=0,"Em dia",IF(K709&lt;=30,"1-30 dias",IF(K709&lt;=60,"31-60 dias",IF(K709&lt;=90,"61-90 dias","&gt;90 dias")))))</f>
        <v/>
      </c>
      <c r="M709" s="28" t="n"/>
      <c r="N709" s="104" t="inlineStr"/>
      <c r="O709" s="64" t="n"/>
      <c r="P709" s="64">
        <f>IF(C709="","",IF(ISNUMBER(SEARCH("PCMSO",C709)),"PCMSO",IF(OR(ISNUMBER(SEARCH("E-SOCIAL",C709)),ISNUMBER(SEARCH("PSICOSOCIAL",C709))),"eSocial / Psicossocial",IF(O709="Receita recorrente","Carteira recorrente","Projetos / Laudos / Avulsos"))))</f>
        <v/>
      </c>
      <c r="Q709" s="64">
        <f>IF(P709="","",IF(P709="Carteira recorrente","Operação recorrente",IF(P709="PCMSO","Projetos PCMSO",IF(P709="eSocial / Psicossocial","Projetos eSocial/Psicossocial","Projetos / Laudos / Avulsos"))))</f>
        <v/>
      </c>
      <c r="R709" s="64">
        <f>IF(C709="","",IF(ISNUMBER(SEARCH("PCMSO",C709)),"Título com PCMSO no nome",IF(OR(ISNUMBER(SEARCH("E-SOCIAL",C709)),ISNUMBER(SEARCH("PSICOSOCIAL",C709))),"Título com eSocial/Psicossocial no nome",IF(O709="Receita recorrente","Tipo DRE recorrente","Extra sem palavra-chave específica"))))</f>
        <v/>
      </c>
      <c r="S709" s="92">
        <f>IFERROR(VLOOKUP($A709,'13. Mapa Títulos-Receita'!$A$8:$P$1000,4,FALSE),"")</f>
        <v/>
      </c>
      <c r="T709" s="92">
        <f>IFERROR(VLOOKUP($A709,'13. Mapa Títulos-Receita'!$A$8:$P$1000,5,FALSE),"")</f>
        <v/>
      </c>
      <c r="U709" s="92">
        <f>IFERROR(VLOOKUP($A709,'13. Mapa Títulos-Receita'!$A$8:$P$1000,6,FALSE),"")</f>
        <v/>
      </c>
      <c r="V709" s="92">
        <f>IFERROR(VLOOKUP($A709,'13. Mapa Títulos-Receita'!$A$8:$P$1000,7,FALSE),"")</f>
        <v/>
      </c>
      <c r="W709" s="92">
        <f>IFERROR(VLOOKUP($A709,'13. Mapa Títulos-Receita'!$A$8:$P$1000,8,FALSE),"")</f>
        <v/>
      </c>
      <c r="X709" s="92">
        <f>IFERROR(VLOOKUP($A709,'13. Mapa Títulos-Receita'!$A$8:$P$1000,9,FALSE),"")</f>
        <v/>
      </c>
      <c r="Y709" s="92">
        <f>IFERROR(VLOOKUP($A709,'13. Mapa Títulos-Receita'!$A$8:$P$1000,10,FALSE),"")</f>
        <v/>
      </c>
      <c r="Z709" s="92">
        <f>IFERROR(VLOOKUP($A709,'13. Mapa Títulos-Receita'!$A$8:$P$1000,11,FALSE),"")</f>
        <v/>
      </c>
      <c r="AA709" s="92">
        <f>IFERROR(VLOOKUP($A709,'13. Mapa Títulos-Receita'!$A$8:$P$1000,12,FALSE),"")</f>
        <v/>
      </c>
      <c r="AB709" s="92">
        <f>IFERROR(VLOOKUP($A709,'13. Mapa Títulos-Receita'!$A$8:$P$1000,13,FALSE),"")</f>
        <v/>
      </c>
      <c r="AC709" s="92">
        <f>IFERROR(VLOOKUP($A709,'13. Mapa Títulos-Receita'!$A$8:$P$1000,14,FALSE),"")</f>
        <v/>
      </c>
      <c r="AD709" s="92">
        <f>IFERROR(VLOOKUP($A709,'13. Mapa Títulos-Receita'!$A$8:$P$1000,15,FALSE),"")</f>
        <v/>
      </c>
      <c r="AE709" s="92">
        <f>IFERROR(VLOOKUP($A709,'13. Mapa Títulos-Receita'!$A$8:$P$1000,16,FALSE),"")</f>
        <v/>
      </c>
    </row>
    <row r="710">
      <c r="A710" s="28">
        <f>IF(C710="","", "CR-"&amp;TEXT(ROW()-7,"000"))</f>
        <v/>
      </c>
      <c r="B710" s="28" t="n"/>
      <c r="C710" s="28" t="n"/>
      <c r="D710" s="111" t="n"/>
      <c r="E710" s="111" t="n"/>
      <c r="F710" s="111" t="n"/>
      <c r="G710" s="28" t="n"/>
      <c r="H710" s="45" t="n"/>
      <c r="I710" s="45" t="n"/>
      <c r="J710" s="28">
        <f>IF(H710="","",IF(I710&gt;=H710,"Recebido",IF($B$4&gt;E710,"Vencido","Aberto")))</f>
        <v/>
      </c>
      <c r="K710" s="4">
        <f>IF(J710="","",IF(OR(J710="Recebido",F710=""),MAX(0,F710-E710),MAX(0,$B$4-E710)))</f>
        <v/>
      </c>
      <c r="L710" s="4">
        <f>IF(K710="","",IF(K710=0,"Em dia",IF(K710&lt;=30,"1-30 dias",IF(K710&lt;=60,"31-60 dias",IF(K710&lt;=90,"61-90 dias","&gt;90 dias")))))</f>
        <v/>
      </c>
      <c r="M710" s="28" t="n"/>
      <c r="N710" s="104" t="inlineStr"/>
      <c r="O710" s="64" t="n"/>
      <c r="P710" s="64">
        <f>IF(C710="","",IF(ISNUMBER(SEARCH("PCMSO",C710)),"PCMSO",IF(OR(ISNUMBER(SEARCH("E-SOCIAL",C710)),ISNUMBER(SEARCH("PSICOSOCIAL",C710))),"eSocial / Psicossocial",IF(O710="Receita recorrente","Carteira recorrente","Projetos / Laudos / Avulsos"))))</f>
        <v/>
      </c>
      <c r="Q710" s="64">
        <f>IF(P710="","",IF(P710="Carteira recorrente","Operação recorrente",IF(P710="PCMSO","Projetos PCMSO",IF(P710="eSocial / Psicossocial","Projetos eSocial/Psicossocial","Projetos / Laudos / Avulsos"))))</f>
        <v/>
      </c>
      <c r="R710" s="64">
        <f>IF(C710="","",IF(ISNUMBER(SEARCH("PCMSO",C710)),"Título com PCMSO no nome",IF(OR(ISNUMBER(SEARCH("E-SOCIAL",C710)),ISNUMBER(SEARCH("PSICOSOCIAL",C710))),"Título com eSocial/Psicossocial no nome",IF(O710="Receita recorrente","Tipo DRE recorrente","Extra sem palavra-chave específica"))))</f>
        <v/>
      </c>
      <c r="S710" s="92">
        <f>IFERROR(VLOOKUP($A710,'13. Mapa Títulos-Receita'!$A$8:$P$1000,4,FALSE),"")</f>
        <v/>
      </c>
      <c r="T710" s="92">
        <f>IFERROR(VLOOKUP($A710,'13. Mapa Títulos-Receita'!$A$8:$P$1000,5,FALSE),"")</f>
        <v/>
      </c>
      <c r="U710" s="92">
        <f>IFERROR(VLOOKUP($A710,'13. Mapa Títulos-Receita'!$A$8:$P$1000,6,FALSE),"")</f>
        <v/>
      </c>
      <c r="V710" s="92">
        <f>IFERROR(VLOOKUP($A710,'13. Mapa Títulos-Receita'!$A$8:$P$1000,7,FALSE),"")</f>
        <v/>
      </c>
      <c r="W710" s="92">
        <f>IFERROR(VLOOKUP($A710,'13. Mapa Títulos-Receita'!$A$8:$P$1000,8,FALSE),"")</f>
        <v/>
      </c>
      <c r="X710" s="92">
        <f>IFERROR(VLOOKUP($A710,'13. Mapa Títulos-Receita'!$A$8:$P$1000,9,FALSE),"")</f>
        <v/>
      </c>
      <c r="Y710" s="92">
        <f>IFERROR(VLOOKUP($A710,'13. Mapa Títulos-Receita'!$A$8:$P$1000,10,FALSE),"")</f>
        <v/>
      </c>
      <c r="Z710" s="92">
        <f>IFERROR(VLOOKUP($A710,'13. Mapa Títulos-Receita'!$A$8:$P$1000,11,FALSE),"")</f>
        <v/>
      </c>
      <c r="AA710" s="92">
        <f>IFERROR(VLOOKUP($A710,'13. Mapa Títulos-Receita'!$A$8:$P$1000,12,FALSE),"")</f>
        <v/>
      </c>
      <c r="AB710" s="92">
        <f>IFERROR(VLOOKUP($A710,'13. Mapa Títulos-Receita'!$A$8:$P$1000,13,FALSE),"")</f>
        <v/>
      </c>
      <c r="AC710" s="92">
        <f>IFERROR(VLOOKUP($A710,'13. Mapa Títulos-Receita'!$A$8:$P$1000,14,FALSE),"")</f>
        <v/>
      </c>
      <c r="AD710" s="92">
        <f>IFERROR(VLOOKUP($A710,'13. Mapa Títulos-Receita'!$A$8:$P$1000,15,FALSE),"")</f>
        <v/>
      </c>
      <c r="AE710" s="92">
        <f>IFERROR(VLOOKUP($A710,'13. Mapa Títulos-Receita'!$A$8:$P$1000,16,FALSE),"")</f>
        <v/>
      </c>
    </row>
    <row r="711">
      <c r="A711" s="28">
        <f>IF(C711="","", "CR-"&amp;TEXT(ROW()-7,"000"))</f>
        <v/>
      </c>
      <c r="B711" s="28" t="n"/>
      <c r="C711" s="28" t="n"/>
      <c r="D711" s="111" t="n"/>
      <c r="E711" s="111" t="n"/>
      <c r="F711" s="111" t="n"/>
      <c r="G711" s="28" t="n"/>
      <c r="H711" s="45" t="n"/>
      <c r="I711" s="45" t="n"/>
      <c r="J711" s="28">
        <f>IF(H711="","",IF(I711&gt;=H711,"Recebido",IF($B$4&gt;E711,"Vencido","Aberto")))</f>
        <v/>
      </c>
      <c r="K711" s="4">
        <f>IF(J711="","",IF(OR(J711="Recebido",F711=""),MAX(0,F711-E711),MAX(0,$B$4-E711)))</f>
        <v/>
      </c>
      <c r="L711" s="4">
        <f>IF(K711="","",IF(K711=0,"Em dia",IF(K711&lt;=30,"1-30 dias",IF(K711&lt;=60,"31-60 dias",IF(K711&lt;=90,"61-90 dias","&gt;90 dias")))))</f>
        <v/>
      </c>
      <c r="M711" s="28" t="n"/>
      <c r="N711" s="104" t="inlineStr"/>
      <c r="O711" s="64" t="n"/>
      <c r="P711" s="64">
        <f>IF(C711="","",IF(ISNUMBER(SEARCH("PCMSO",C711)),"PCMSO",IF(OR(ISNUMBER(SEARCH("E-SOCIAL",C711)),ISNUMBER(SEARCH("PSICOSOCIAL",C711))),"eSocial / Psicossocial",IF(O711="Receita recorrente","Carteira recorrente","Projetos / Laudos / Avulsos"))))</f>
        <v/>
      </c>
      <c r="Q711" s="64">
        <f>IF(P711="","",IF(P711="Carteira recorrente","Operação recorrente",IF(P711="PCMSO","Projetos PCMSO",IF(P711="eSocial / Psicossocial","Projetos eSocial/Psicossocial","Projetos / Laudos / Avulsos"))))</f>
        <v/>
      </c>
      <c r="R711" s="64">
        <f>IF(C711="","",IF(ISNUMBER(SEARCH("PCMSO",C711)),"Título com PCMSO no nome",IF(OR(ISNUMBER(SEARCH("E-SOCIAL",C711)),ISNUMBER(SEARCH("PSICOSOCIAL",C711))),"Título com eSocial/Psicossocial no nome",IF(O711="Receita recorrente","Tipo DRE recorrente","Extra sem palavra-chave específica"))))</f>
        <v/>
      </c>
      <c r="S711" s="92">
        <f>IFERROR(VLOOKUP($A711,'13. Mapa Títulos-Receita'!$A$8:$P$1000,4,FALSE),"")</f>
        <v/>
      </c>
      <c r="T711" s="92">
        <f>IFERROR(VLOOKUP($A711,'13. Mapa Títulos-Receita'!$A$8:$P$1000,5,FALSE),"")</f>
        <v/>
      </c>
      <c r="U711" s="92">
        <f>IFERROR(VLOOKUP($A711,'13. Mapa Títulos-Receita'!$A$8:$P$1000,6,FALSE),"")</f>
        <v/>
      </c>
      <c r="V711" s="92">
        <f>IFERROR(VLOOKUP($A711,'13. Mapa Títulos-Receita'!$A$8:$P$1000,7,FALSE),"")</f>
        <v/>
      </c>
      <c r="W711" s="92">
        <f>IFERROR(VLOOKUP($A711,'13. Mapa Títulos-Receita'!$A$8:$P$1000,8,FALSE),"")</f>
        <v/>
      </c>
      <c r="X711" s="92">
        <f>IFERROR(VLOOKUP($A711,'13. Mapa Títulos-Receita'!$A$8:$P$1000,9,FALSE),"")</f>
        <v/>
      </c>
      <c r="Y711" s="92">
        <f>IFERROR(VLOOKUP($A711,'13. Mapa Títulos-Receita'!$A$8:$P$1000,10,FALSE),"")</f>
        <v/>
      </c>
      <c r="Z711" s="92">
        <f>IFERROR(VLOOKUP($A711,'13. Mapa Títulos-Receita'!$A$8:$P$1000,11,FALSE),"")</f>
        <v/>
      </c>
      <c r="AA711" s="92">
        <f>IFERROR(VLOOKUP($A711,'13. Mapa Títulos-Receita'!$A$8:$P$1000,12,FALSE),"")</f>
        <v/>
      </c>
      <c r="AB711" s="92">
        <f>IFERROR(VLOOKUP($A711,'13. Mapa Títulos-Receita'!$A$8:$P$1000,13,FALSE),"")</f>
        <v/>
      </c>
      <c r="AC711" s="92">
        <f>IFERROR(VLOOKUP($A711,'13. Mapa Títulos-Receita'!$A$8:$P$1000,14,FALSE),"")</f>
        <v/>
      </c>
      <c r="AD711" s="92">
        <f>IFERROR(VLOOKUP($A711,'13. Mapa Títulos-Receita'!$A$8:$P$1000,15,FALSE),"")</f>
        <v/>
      </c>
      <c r="AE711" s="92">
        <f>IFERROR(VLOOKUP($A711,'13. Mapa Títulos-Receita'!$A$8:$P$1000,16,FALSE),"")</f>
        <v/>
      </c>
    </row>
    <row r="712">
      <c r="A712" s="28">
        <f>IF(C712="","", "CR-"&amp;TEXT(ROW()-7,"000"))</f>
        <v/>
      </c>
      <c r="B712" s="28" t="n"/>
      <c r="C712" s="28" t="n"/>
      <c r="D712" s="111" t="n"/>
      <c r="E712" s="111" t="n"/>
      <c r="F712" s="111" t="n"/>
      <c r="G712" s="28" t="n"/>
      <c r="H712" s="45" t="n"/>
      <c r="I712" s="45" t="n"/>
      <c r="J712" s="28">
        <f>IF(H712="","",IF(I712&gt;=H712,"Recebido",IF($B$4&gt;E712,"Vencido","Aberto")))</f>
        <v/>
      </c>
      <c r="K712" s="4">
        <f>IF(J712="","",IF(OR(J712="Recebido",F712=""),MAX(0,F712-E712),MAX(0,$B$4-E712)))</f>
        <v/>
      </c>
      <c r="L712" s="4">
        <f>IF(K712="","",IF(K712=0,"Em dia",IF(K712&lt;=30,"1-30 dias",IF(K712&lt;=60,"31-60 dias",IF(K712&lt;=90,"61-90 dias","&gt;90 dias")))))</f>
        <v/>
      </c>
      <c r="M712" s="28" t="n"/>
      <c r="N712" s="104" t="inlineStr"/>
      <c r="O712" s="64" t="n"/>
      <c r="P712" s="64">
        <f>IF(C712="","",IF(ISNUMBER(SEARCH("PCMSO",C712)),"PCMSO",IF(OR(ISNUMBER(SEARCH("E-SOCIAL",C712)),ISNUMBER(SEARCH("PSICOSOCIAL",C712))),"eSocial / Psicossocial",IF(O712="Receita recorrente","Carteira recorrente","Projetos / Laudos / Avulsos"))))</f>
        <v/>
      </c>
      <c r="Q712" s="64">
        <f>IF(P712="","",IF(P712="Carteira recorrente","Operação recorrente",IF(P712="PCMSO","Projetos PCMSO",IF(P712="eSocial / Psicossocial","Projetos eSocial/Psicossocial","Projetos / Laudos / Avulsos"))))</f>
        <v/>
      </c>
      <c r="R712" s="64">
        <f>IF(C712="","",IF(ISNUMBER(SEARCH("PCMSO",C712)),"Título com PCMSO no nome",IF(OR(ISNUMBER(SEARCH("E-SOCIAL",C712)),ISNUMBER(SEARCH("PSICOSOCIAL",C712))),"Título com eSocial/Psicossocial no nome",IF(O712="Receita recorrente","Tipo DRE recorrente","Extra sem palavra-chave específica"))))</f>
        <v/>
      </c>
      <c r="S712" s="92">
        <f>IFERROR(VLOOKUP($A712,'13. Mapa Títulos-Receita'!$A$8:$P$1000,4,FALSE),"")</f>
        <v/>
      </c>
      <c r="T712" s="92">
        <f>IFERROR(VLOOKUP($A712,'13. Mapa Títulos-Receita'!$A$8:$P$1000,5,FALSE),"")</f>
        <v/>
      </c>
      <c r="U712" s="92">
        <f>IFERROR(VLOOKUP($A712,'13. Mapa Títulos-Receita'!$A$8:$P$1000,6,FALSE),"")</f>
        <v/>
      </c>
      <c r="V712" s="92">
        <f>IFERROR(VLOOKUP($A712,'13. Mapa Títulos-Receita'!$A$8:$P$1000,7,FALSE),"")</f>
        <v/>
      </c>
      <c r="W712" s="92">
        <f>IFERROR(VLOOKUP($A712,'13. Mapa Títulos-Receita'!$A$8:$P$1000,8,FALSE),"")</f>
        <v/>
      </c>
      <c r="X712" s="92">
        <f>IFERROR(VLOOKUP($A712,'13. Mapa Títulos-Receita'!$A$8:$P$1000,9,FALSE),"")</f>
        <v/>
      </c>
      <c r="Y712" s="92">
        <f>IFERROR(VLOOKUP($A712,'13. Mapa Títulos-Receita'!$A$8:$P$1000,10,FALSE),"")</f>
        <v/>
      </c>
      <c r="Z712" s="92">
        <f>IFERROR(VLOOKUP($A712,'13. Mapa Títulos-Receita'!$A$8:$P$1000,11,FALSE),"")</f>
        <v/>
      </c>
      <c r="AA712" s="92">
        <f>IFERROR(VLOOKUP($A712,'13. Mapa Títulos-Receita'!$A$8:$P$1000,12,FALSE),"")</f>
        <v/>
      </c>
      <c r="AB712" s="92">
        <f>IFERROR(VLOOKUP($A712,'13. Mapa Títulos-Receita'!$A$8:$P$1000,13,FALSE),"")</f>
        <v/>
      </c>
      <c r="AC712" s="92">
        <f>IFERROR(VLOOKUP($A712,'13. Mapa Títulos-Receita'!$A$8:$P$1000,14,FALSE),"")</f>
        <v/>
      </c>
      <c r="AD712" s="92">
        <f>IFERROR(VLOOKUP($A712,'13. Mapa Títulos-Receita'!$A$8:$P$1000,15,FALSE),"")</f>
        <v/>
      </c>
      <c r="AE712" s="92">
        <f>IFERROR(VLOOKUP($A712,'13. Mapa Títulos-Receita'!$A$8:$P$1000,16,FALSE),"")</f>
        <v/>
      </c>
    </row>
    <row r="713">
      <c r="A713" s="28">
        <f>IF(C713="","", "CR-"&amp;TEXT(ROW()-7,"000"))</f>
        <v/>
      </c>
      <c r="B713" s="28" t="n"/>
      <c r="C713" s="28" t="n"/>
      <c r="D713" s="111" t="n"/>
      <c r="E713" s="111" t="n"/>
      <c r="F713" s="111" t="n"/>
      <c r="G713" s="28" t="n"/>
      <c r="H713" s="45" t="n"/>
      <c r="I713" s="45" t="n"/>
      <c r="J713" s="28">
        <f>IF(H713="","",IF(I713&gt;=H713,"Recebido",IF($B$4&gt;E713,"Vencido","Aberto")))</f>
        <v/>
      </c>
      <c r="K713" s="4">
        <f>IF(J713="","",IF(OR(J713="Recebido",F713=""),MAX(0,F713-E713),MAX(0,$B$4-E713)))</f>
        <v/>
      </c>
      <c r="L713" s="4">
        <f>IF(K713="","",IF(K713=0,"Em dia",IF(K713&lt;=30,"1-30 dias",IF(K713&lt;=60,"31-60 dias",IF(K713&lt;=90,"61-90 dias","&gt;90 dias")))))</f>
        <v/>
      </c>
      <c r="M713" s="28" t="n"/>
      <c r="N713" s="104" t="inlineStr"/>
      <c r="O713" s="64" t="n"/>
      <c r="P713" s="64">
        <f>IF(C713="","",IF(ISNUMBER(SEARCH("PCMSO",C713)),"PCMSO",IF(OR(ISNUMBER(SEARCH("E-SOCIAL",C713)),ISNUMBER(SEARCH("PSICOSOCIAL",C713))),"eSocial / Psicossocial",IF(O713="Receita recorrente","Carteira recorrente","Projetos / Laudos / Avulsos"))))</f>
        <v/>
      </c>
      <c r="Q713" s="64">
        <f>IF(P713="","",IF(P713="Carteira recorrente","Operação recorrente",IF(P713="PCMSO","Projetos PCMSO",IF(P713="eSocial / Psicossocial","Projetos eSocial/Psicossocial","Projetos / Laudos / Avulsos"))))</f>
        <v/>
      </c>
      <c r="R713" s="64">
        <f>IF(C713="","",IF(ISNUMBER(SEARCH("PCMSO",C713)),"Título com PCMSO no nome",IF(OR(ISNUMBER(SEARCH("E-SOCIAL",C713)),ISNUMBER(SEARCH("PSICOSOCIAL",C713))),"Título com eSocial/Psicossocial no nome",IF(O713="Receita recorrente","Tipo DRE recorrente","Extra sem palavra-chave específica"))))</f>
        <v/>
      </c>
      <c r="S713" s="92">
        <f>IFERROR(VLOOKUP($A713,'13. Mapa Títulos-Receita'!$A$8:$P$1000,4,FALSE),"")</f>
        <v/>
      </c>
      <c r="T713" s="92">
        <f>IFERROR(VLOOKUP($A713,'13. Mapa Títulos-Receita'!$A$8:$P$1000,5,FALSE),"")</f>
        <v/>
      </c>
      <c r="U713" s="92">
        <f>IFERROR(VLOOKUP($A713,'13. Mapa Títulos-Receita'!$A$8:$P$1000,6,FALSE),"")</f>
        <v/>
      </c>
      <c r="V713" s="92">
        <f>IFERROR(VLOOKUP($A713,'13. Mapa Títulos-Receita'!$A$8:$P$1000,7,FALSE),"")</f>
        <v/>
      </c>
      <c r="W713" s="92">
        <f>IFERROR(VLOOKUP($A713,'13. Mapa Títulos-Receita'!$A$8:$P$1000,8,FALSE),"")</f>
        <v/>
      </c>
      <c r="X713" s="92">
        <f>IFERROR(VLOOKUP($A713,'13. Mapa Títulos-Receita'!$A$8:$P$1000,9,FALSE),"")</f>
        <v/>
      </c>
      <c r="Y713" s="92">
        <f>IFERROR(VLOOKUP($A713,'13. Mapa Títulos-Receita'!$A$8:$P$1000,10,FALSE),"")</f>
        <v/>
      </c>
      <c r="Z713" s="92">
        <f>IFERROR(VLOOKUP($A713,'13. Mapa Títulos-Receita'!$A$8:$P$1000,11,FALSE),"")</f>
        <v/>
      </c>
      <c r="AA713" s="92">
        <f>IFERROR(VLOOKUP($A713,'13. Mapa Títulos-Receita'!$A$8:$P$1000,12,FALSE),"")</f>
        <v/>
      </c>
      <c r="AB713" s="92">
        <f>IFERROR(VLOOKUP($A713,'13. Mapa Títulos-Receita'!$A$8:$P$1000,13,FALSE),"")</f>
        <v/>
      </c>
      <c r="AC713" s="92">
        <f>IFERROR(VLOOKUP($A713,'13. Mapa Títulos-Receita'!$A$8:$P$1000,14,FALSE),"")</f>
        <v/>
      </c>
      <c r="AD713" s="92">
        <f>IFERROR(VLOOKUP($A713,'13. Mapa Títulos-Receita'!$A$8:$P$1000,15,FALSE),"")</f>
        <v/>
      </c>
      <c r="AE713" s="92">
        <f>IFERROR(VLOOKUP($A713,'13. Mapa Títulos-Receita'!$A$8:$P$1000,16,FALSE),"")</f>
        <v/>
      </c>
    </row>
    <row r="714">
      <c r="A714" s="28">
        <f>IF(C714="","", "CR-"&amp;TEXT(ROW()-7,"000"))</f>
        <v/>
      </c>
      <c r="B714" s="28" t="n"/>
      <c r="C714" s="28" t="n"/>
      <c r="D714" s="111" t="n"/>
      <c r="E714" s="111" t="n"/>
      <c r="F714" s="111" t="n"/>
      <c r="G714" s="28" t="n"/>
      <c r="H714" s="45" t="n"/>
      <c r="I714" s="45" t="n"/>
      <c r="J714" s="28">
        <f>IF(H714="","",IF(I714&gt;=H714,"Recebido",IF($B$4&gt;E714,"Vencido","Aberto")))</f>
        <v/>
      </c>
      <c r="K714" s="4">
        <f>IF(J714="","",IF(OR(J714="Recebido",F714=""),MAX(0,F714-E714),MAX(0,$B$4-E714)))</f>
        <v/>
      </c>
      <c r="L714" s="4">
        <f>IF(K714="","",IF(K714=0,"Em dia",IF(K714&lt;=30,"1-30 dias",IF(K714&lt;=60,"31-60 dias",IF(K714&lt;=90,"61-90 dias","&gt;90 dias")))))</f>
        <v/>
      </c>
      <c r="M714" s="28" t="n"/>
      <c r="N714" s="104" t="inlineStr"/>
      <c r="O714" s="64" t="n"/>
      <c r="P714" s="64">
        <f>IF(C714="","",IF(ISNUMBER(SEARCH("PCMSO",C714)),"PCMSO",IF(OR(ISNUMBER(SEARCH("E-SOCIAL",C714)),ISNUMBER(SEARCH("PSICOSOCIAL",C714))),"eSocial / Psicossocial",IF(O714="Receita recorrente","Carteira recorrente","Projetos / Laudos / Avulsos"))))</f>
        <v/>
      </c>
      <c r="Q714" s="64">
        <f>IF(P714="","",IF(P714="Carteira recorrente","Operação recorrente",IF(P714="PCMSO","Projetos PCMSO",IF(P714="eSocial / Psicossocial","Projetos eSocial/Psicossocial","Projetos / Laudos / Avulsos"))))</f>
        <v/>
      </c>
      <c r="R714" s="64">
        <f>IF(C714="","",IF(ISNUMBER(SEARCH("PCMSO",C714)),"Título com PCMSO no nome",IF(OR(ISNUMBER(SEARCH("E-SOCIAL",C714)),ISNUMBER(SEARCH("PSICOSOCIAL",C714))),"Título com eSocial/Psicossocial no nome",IF(O714="Receita recorrente","Tipo DRE recorrente","Extra sem palavra-chave específica"))))</f>
        <v/>
      </c>
      <c r="S714" s="92">
        <f>IFERROR(VLOOKUP($A714,'13. Mapa Títulos-Receita'!$A$8:$P$1000,4,FALSE),"")</f>
        <v/>
      </c>
      <c r="T714" s="92">
        <f>IFERROR(VLOOKUP($A714,'13. Mapa Títulos-Receita'!$A$8:$P$1000,5,FALSE),"")</f>
        <v/>
      </c>
      <c r="U714" s="92">
        <f>IFERROR(VLOOKUP($A714,'13. Mapa Títulos-Receita'!$A$8:$P$1000,6,FALSE),"")</f>
        <v/>
      </c>
      <c r="V714" s="92">
        <f>IFERROR(VLOOKUP($A714,'13. Mapa Títulos-Receita'!$A$8:$P$1000,7,FALSE),"")</f>
        <v/>
      </c>
      <c r="W714" s="92">
        <f>IFERROR(VLOOKUP($A714,'13. Mapa Títulos-Receita'!$A$8:$P$1000,8,FALSE),"")</f>
        <v/>
      </c>
      <c r="X714" s="92">
        <f>IFERROR(VLOOKUP($A714,'13. Mapa Títulos-Receita'!$A$8:$P$1000,9,FALSE),"")</f>
        <v/>
      </c>
      <c r="Y714" s="92">
        <f>IFERROR(VLOOKUP($A714,'13. Mapa Títulos-Receita'!$A$8:$P$1000,10,FALSE),"")</f>
        <v/>
      </c>
      <c r="Z714" s="92">
        <f>IFERROR(VLOOKUP($A714,'13. Mapa Títulos-Receita'!$A$8:$P$1000,11,FALSE),"")</f>
        <v/>
      </c>
      <c r="AA714" s="92">
        <f>IFERROR(VLOOKUP($A714,'13. Mapa Títulos-Receita'!$A$8:$P$1000,12,FALSE),"")</f>
        <v/>
      </c>
      <c r="AB714" s="92">
        <f>IFERROR(VLOOKUP($A714,'13. Mapa Títulos-Receita'!$A$8:$P$1000,13,FALSE),"")</f>
        <v/>
      </c>
      <c r="AC714" s="92">
        <f>IFERROR(VLOOKUP($A714,'13. Mapa Títulos-Receita'!$A$8:$P$1000,14,FALSE),"")</f>
        <v/>
      </c>
      <c r="AD714" s="92">
        <f>IFERROR(VLOOKUP($A714,'13. Mapa Títulos-Receita'!$A$8:$P$1000,15,FALSE),"")</f>
        <v/>
      </c>
      <c r="AE714" s="92">
        <f>IFERROR(VLOOKUP($A714,'13. Mapa Títulos-Receita'!$A$8:$P$1000,16,FALSE),"")</f>
        <v/>
      </c>
    </row>
    <row r="715">
      <c r="A715" s="28">
        <f>IF(C715="","", "CR-"&amp;TEXT(ROW()-7,"000"))</f>
        <v/>
      </c>
      <c r="B715" s="28" t="n"/>
      <c r="C715" s="28" t="n"/>
      <c r="D715" s="111" t="n"/>
      <c r="E715" s="111" t="n"/>
      <c r="F715" s="111" t="n"/>
      <c r="G715" s="28" t="n"/>
      <c r="H715" s="45" t="n"/>
      <c r="I715" s="45" t="n"/>
      <c r="J715" s="28">
        <f>IF(H715="","",IF(I715&gt;=H715,"Recebido",IF($B$4&gt;E715,"Vencido","Aberto")))</f>
        <v/>
      </c>
      <c r="K715" s="4">
        <f>IF(J715="","",IF(OR(J715="Recebido",F715=""),MAX(0,F715-E715),MAX(0,$B$4-E715)))</f>
        <v/>
      </c>
      <c r="L715" s="4">
        <f>IF(K715="","",IF(K715=0,"Em dia",IF(K715&lt;=30,"1-30 dias",IF(K715&lt;=60,"31-60 dias",IF(K715&lt;=90,"61-90 dias","&gt;90 dias")))))</f>
        <v/>
      </c>
      <c r="M715" s="28" t="n"/>
      <c r="N715" s="104" t="inlineStr"/>
      <c r="O715" s="64" t="n"/>
      <c r="P715" s="64">
        <f>IF(C715="","",IF(ISNUMBER(SEARCH("PCMSO",C715)),"PCMSO",IF(OR(ISNUMBER(SEARCH("E-SOCIAL",C715)),ISNUMBER(SEARCH("PSICOSOCIAL",C715))),"eSocial / Psicossocial",IF(O715="Receita recorrente","Carteira recorrente","Projetos / Laudos / Avulsos"))))</f>
        <v/>
      </c>
      <c r="Q715" s="64">
        <f>IF(P715="","",IF(P715="Carteira recorrente","Operação recorrente",IF(P715="PCMSO","Projetos PCMSO",IF(P715="eSocial / Psicossocial","Projetos eSocial/Psicossocial","Projetos / Laudos / Avulsos"))))</f>
        <v/>
      </c>
      <c r="R715" s="64">
        <f>IF(C715="","",IF(ISNUMBER(SEARCH("PCMSO",C715)),"Título com PCMSO no nome",IF(OR(ISNUMBER(SEARCH("E-SOCIAL",C715)),ISNUMBER(SEARCH("PSICOSOCIAL",C715))),"Título com eSocial/Psicossocial no nome",IF(O715="Receita recorrente","Tipo DRE recorrente","Extra sem palavra-chave específica"))))</f>
        <v/>
      </c>
      <c r="S715" s="92">
        <f>IFERROR(VLOOKUP($A715,'13. Mapa Títulos-Receita'!$A$8:$P$1000,4,FALSE),"")</f>
        <v/>
      </c>
      <c r="T715" s="92">
        <f>IFERROR(VLOOKUP($A715,'13. Mapa Títulos-Receita'!$A$8:$P$1000,5,FALSE),"")</f>
        <v/>
      </c>
      <c r="U715" s="92">
        <f>IFERROR(VLOOKUP($A715,'13. Mapa Títulos-Receita'!$A$8:$P$1000,6,FALSE),"")</f>
        <v/>
      </c>
      <c r="V715" s="92">
        <f>IFERROR(VLOOKUP($A715,'13. Mapa Títulos-Receita'!$A$8:$P$1000,7,FALSE),"")</f>
        <v/>
      </c>
      <c r="W715" s="92">
        <f>IFERROR(VLOOKUP($A715,'13. Mapa Títulos-Receita'!$A$8:$P$1000,8,FALSE),"")</f>
        <v/>
      </c>
      <c r="X715" s="92">
        <f>IFERROR(VLOOKUP($A715,'13. Mapa Títulos-Receita'!$A$8:$P$1000,9,FALSE),"")</f>
        <v/>
      </c>
      <c r="Y715" s="92">
        <f>IFERROR(VLOOKUP($A715,'13. Mapa Títulos-Receita'!$A$8:$P$1000,10,FALSE),"")</f>
        <v/>
      </c>
      <c r="Z715" s="92">
        <f>IFERROR(VLOOKUP($A715,'13. Mapa Títulos-Receita'!$A$8:$P$1000,11,FALSE),"")</f>
        <v/>
      </c>
      <c r="AA715" s="92">
        <f>IFERROR(VLOOKUP($A715,'13. Mapa Títulos-Receita'!$A$8:$P$1000,12,FALSE),"")</f>
        <v/>
      </c>
      <c r="AB715" s="92">
        <f>IFERROR(VLOOKUP($A715,'13. Mapa Títulos-Receita'!$A$8:$P$1000,13,FALSE),"")</f>
        <v/>
      </c>
      <c r="AC715" s="92">
        <f>IFERROR(VLOOKUP($A715,'13. Mapa Títulos-Receita'!$A$8:$P$1000,14,FALSE),"")</f>
        <v/>
      </c>
      <c r="AD715" s="92">
        <f>IFERROR(VLOOKUP($A715,'13. Mapa Títulos-Receita'!$A$8:$P$1000,15,FALSE),"")</f>
        <v/>
      </c>
      <c r="AE715" s="92">
        <f>IFERROR(VLOOKUP($A715,'13. Mapa Títulos-Receita'!$A$8:$P$1000,16,FALSE),"")</f>
        <v/>
      </c>
    </row>
    <row r="716">
      <c r="A716" s="28">
        <f>IF(C716="","", "CR-"&amp;TEXT(ROW()-7,"000"))</f>
        <v/>
      </c>
      <c r="B716" s="28" t="n"/>
      <c r="C716" s="28" t="n"/>
      <c r="D716" s="111" t="n"/>
      <c r="E716" s="111" t="n"/>
      <c r="F716" s="111" t="n"/>
      <c r="G716" s="28" t="n"/>
      <c r="H716" s="45" t="n"/>
      <c r="I716" s="45" t="n"/>
      <c r="J716" s="28">
        <f>IF(H716="","",IF(I716&gt;=H716,"Recebido",IF($B$4&gt;E716,"Vencido","Aberto")))</f>
        <v/>
      </c>
      <c r="K716" s="4">
        <f>IF(J716="","",IF(OR(J716="Recebido",F716=""),MAX(0,F716-E716),MAX(0,$B$4-E716)))</f>
        <v/>
      </c>
      <c r="L716" s="4">
        <f>IF(K716="","",IF(K716=0,"Em dia",IF(K716&lt;=30,"1-30 dias",IF(K716&lt;=60,"31-60 dias",IF(K716&lt;=90,"61-90 dias","&gt;90 dias")))))</f>
        <v/>
      </c>
      <c r="M716" s="28" t="n"/>
      <c r="N716" s="104" t="inlineStr"/>
      <c r="O716" s="64" t="n"/>
      <c r="P716" s="64">
        <f>IF(C716="","",IF(ISNUMBER(SEARCH("PCMSO",C716)),"PCMSO",IF(OR(ISNUMBER(SEARCH("E-SOCIAL",C716)),ISNUMBER(SEARCH("PSICOSOCIAL",C716))),"eSocial / Psicossocial",IF(O716="Receita recorrente","Carteira recorrente","Projetos / Laudos / Avulsos"))))</f>
        <v/>
      </c>
      <c r="Q716" s="64">
        <f>IF(P716="","",IF(P716="Carteira recorrente","Operação recorrente",IF(P716="PCMSO","Projetos PCMSO",IF(P716="eSocial / Psicossocial","Projetos eSocial/Psicossocial","Projetos / Laudos / Avulsos"))))</f>
        <v/>
      </c>
      <c r="R716" s="64">
        <f>IF(C716="","",IF(ISNUMBER(SEARCH("PCMSO",C716)),"Título com PCMSO no nome",IF(OR(ISNUMBER(SEARCH("E-SOCIAL",C716)),ISNUMBER(SEARCH("PSICOSOCIAL",C716))),"Título com eSocial/Psicossocial no nome",IF(O716="Receita recorrente","Tipo DRE recorrente","Extra sem palavra-chave específica"))))</f>
        <v/>
      </c>
      <c r="S716" s="92">
        <f>IFERROR(VLOOKUP($A716,'13. Mapa Títulos-Receita'!$A$8:$P$1000,4,FALSE),"")</f>
        <v/>
      </c>
      <c r="T716" s="92">
        <f>IFERROR(VLOOKUP($A716,'13. Mapa Títulos-Receita'!$A$8:$P$1000,5,FALSE),"")</f>
        <v/>
      </c>
      <c r="U716" s="92">
        <f>IFERROR(VLOOKUP($A716,'13. Mapa Títulos-Receita'!$A$8:$P$1000,6,FALSE),"")</f>
        <v/>
      </c>
      <c r="V716" s="92">
        <f>IFERROR(VLOOKUP($A716,'13. Mapa Títulos-Receita'!$A$8:$P$1000,7,FALSE),"")</f>
        <v/>
      </c>
      <c r="W716" s="92">
        <f>IFERROR(VLOOKUP($A716,'13. Mapa Títulos-Receita'!$A$8:$P$1000,8,FALSE),"")</f>
        <v/>
      </c>
      <c r="X716" s="92">
        <f>IFERROR(VLOOKUP($A716,'13. Mapa Títulos-Receita'!$A$8:$P$1000,9,FALSE),"")</f>
        <v/>
      </c>
      <c r="Y716" s="92">
        <f>IFERROR(VLOOKUP($A716,'13. Mapa Títulos-Receita'!$A$8:$P$1000,10,FALSE),"")</f>
        <v/>
      </c>
      <c r="Z716" s="92">
        <f>IFERROR(VLOOKUP($A716,'13. Mapa Títulos-Receita'!$A$8:$P$1000,11,FALSE),"")</f>
        <v/>
      </c>
      <c r="AA716" s="92">
        <f>IFERROR(VLOOKUP($A716,'13. Mapa Títulos-Receita'!$A$8:$P$1000,12,FALSE),"")</f>
        <v/>
      </c>
      <c r="AB716" s="92">
        <f>IFERROR(VLOOKUP($A716,'13. Mapa Títulos-Receita'!$A$8:$P$1000,13,FALSE),"")</f>
        <v/>
      </c>
      <c r="AC716" s="92">
        <f>IFERROR(VLOOKUP($A716,'13. Mapa Títulos-Receita'!$A$8:$P$1000,14,FALSE),"")</f>
        <v/>
      </c>
      <c r="AD716" s="92">
        <f>IFERROR(VLOOKUP($A716,'13. Mapa Títulos-Receita'!$A$8:$P$1000,15,FALSE),"")</f>
        <v/>
      </c>
      <c r="AE716" s="92">
        <f>IFERROR(VLOOKUP($A716,'13. Mapa Títulos-Receita'!$A$8:$P$1000,16,FALSE),"")</f>
        <v/>
      </c>
    </row>
    <row r="717">
      <c r="A717" s="28">
        <f>IF(C717="","", "CR-"&amp;TEXT(ROW()-7,"000"))</f>
        <v/>
      </c>
      <c r="B717" s="28" t="n"/>
      <c r="C717" s="28" t="n"/>
      <c r="D717" s="111" t="n"/>
      <c r="E717" s="111" t="n"/>
      <c r="F717" s="111" t="n"/>
      <c r="G717" s="28" t="n"/>
      <c r="H717" s="45" t="n"/>
      <c r="I717" s="45" t="n"/>
      <c r="J717" s="28">
        <f>IF(H717="","",IF(I717&gt;=H717,"Recebido",IF($B$4&gt;E717,"Vencido","Aberto")))</f>
        <v/>
      </c>
      <c r="K717" s="4">
        <f>IF(J717="","",IF(OR(J717="Recebido",F717=""),MAX(0,F717-E717),MAX(0,$B$4-E717)))</f>
        <v/>
      </c>
      <c r="L717" s="4">
        <f>IF(K717="","",IF(K717=0,"Em dia",IF(K717&lt;=30,"1-30 dias",IF(K717&lt;=60,"31-60 dias",IF(K717&lt;=90,"61-90 dias","&gt;90 dias")))))</f>
        <v/>
      </c>
      <c r="M717" s="28" t="n"/>
      <c r="N717" s="104" t="inlineStr"/>
      <c r="O717" s="64" t="n"/>
      <c r="P717" s="64">
        <f>IF(C717="","",IF(ISNUMBER(SEARCH("PCMSO",C717)),"PCMSO",IF(OR(ISNUMBER(SEARCH("E-SOCIAL",C717)),ISNUMBER(SEARCH("PSICOSOCIAL",C717))),"eSocial / Psicossocial",IF(O717="Receita recorrente","Carteira recorrente","Projetos / Laudos / Avulsos"))))</f>
        <v/>
      </c>
      <c r="Q717" s="64">
        <f>IF(P717="","",IF(P717="Carteira recorrente","Operação recorrente",IF(P717="PCMSO","Projetos PCMSO",IF(P717="eSocial / Psicossocial","Projetos eSocial/Psicossocial","Projetos / Laudos / Avulsos"))))</f>
        <v/>
      </c>
      <c r="R717" s="64">
        <f>IF(C717="","",IF(ISNUMBER(SEARCH("PCMSO",C717)),"Título com PCMSO no nome",IF(OR(ISNUMBER(SEARCH("E-SOCIAL",C717)),ISNUMBER(SEARCH("PSICOSOCIAL",C717))),"Título com eSocial/Psicossocial no nome",IF(O717="Receita recorrente","Tipo DRE recorrente","Extra sem palavra-chave específica"))))</f>
        <v/>
      </c>
      <c r="S717" s="92">
        <f>IFERROR(VLOOKUP($A717,'13. Mapa Títulos-Receita'!$A$8:$P$1000,4,FALSE),"")</f>
        <v/>
      </c>
      <c r="T717" s="92">
        <f>IFERROR(VLOOKUP($A717,'13. Mapa Títulos-Receita'!$A$8:$P$1000,5,FALSE),"")</f>
        <v/>
      </c>
      <c r="U717" s="92">
        <f>IFERROR(VLOOKUP($A717,'13. Mapa Títulos-Receita'!$A$8:$P$1000,6,FALSE),"")</f>
        <v/>
      </c>
      <c r="V717" s="92">
        <f>IFERROR(VLOOKUP($A717,'13. Mapa Títulos-Receita'!$A$8:$P$1000,7,FALSE),"")</f>
        <v/>
      </c>
      <c r="W717" s="92">
        <f>IFERROR(VLOOKUP($A717,'13. Mapa Títulos-Receita'!$A$8:$P$1000,8,FALSE),"")</f>
        <v/>
      </c>
      <c r="X717" s="92">
        <f>IFERROR(VLOOKUP($A717,'13. Mapa Títulos-Receita'!$A$8:$P$1000,9,FALSE),"")</f>
        <v/>
      </c>
      <c r="Y717" s="92">
        <f>IFERROR(VLOOKUP($A717,'13. Mapa Títulos-Receita'!$A$8:$P$1000,10,FALSE),"")</f>
        <v/>
      </c>
      <c r="Z717" s="92">
        <f>IFERROR(VLOOKUP($A717,'13. Mapa Títulos-Receita'!$A$8:$P$1000,11,FALSE),"")</f>
        <v/>
      </c>
      <c r="AA717" s="92">
        <f>IFERROR(VLOOKUP($A717,'13. Mapa Títulos-Receita'!$A$8:$P$1000,12,FALSE),"")</f>
        <v/>
      </c>
      <c r="AB717" s="92">
        <f>IFERROR(VLOOKUP($A717,'13. Mapa Títulos-Receita'!$A$8:$P$1000,13,FALSE),"")</f>
        <v/>
      </c>
      <c r="AC717" s="92">
        <f>IFERROR(VLOOKUP($A717,'13. Mapa Títulos-Receita'!$A$8:$P$1000,14,FALSE),"")</f>
        <v/>
      </c>
      <c r="AD717" s="92">
        <f>IFERROR(VLOOKUP($A717,'13. Mapa Títulos-Receita'!$A$8:$P$1000,15,FALSE),"")</f>
        <v/>
      </c>
      <c r="AE717" s="92">
        <f>IFERROR(VLOOKUP($A717,'13. Mapa Títulos-Receita'!$A$8:$P$1000,16,FALSE),"")</f>
        <v/>
      </c>
    </row>
    <row r="718">
      <c r="A718" s="28">
        <f>IF(C718="","", "CR-"&amp;TEXT(ROW()-7,"000"))</f>
        <v/>
      </c>
      <c r="B718" s="28" t="n"/>
      <c r="C718" s="28" t="n"/>
      <c r="D718" s="111" t="n"/>
      <c r="E718" s="111" t="n"/>
      <c r="F718" s="111" t="n"/>
      <c r="G718" s="28" t="n"/>
      <c r="H718" s="45" t="n"/>
      <c r="I718" s="45" t="n"/>
      <c r="J718" s="28">
        <f>IF(H718="","",IF(I718&gt;=H718,"Recebido",IF($B$4&gt;E718,"Vencido","Aberto")))</f>
        <v/>
      </c>
      <c r="K718" s="4">
        <f>IF(J718="","",IF(OR(J718="Recebido",F718=""),MAX(0,F718-E718),MAX(0,$B$4-E718)))</f>
        <v/>
      </c>
      <c r="L718" s="4">
        <f>IF(K718="","",IF(K718=0,"Em dia",IF(K718&lt;=30,"1-30 dias",IF(K718&lt;=60,"31-60 dias",IF(K718&lt;=90,"61-90 dias","&gt;90 dias")))))</f>
        <v/>
      </c>
      <c r="M718" s="28" t="n"/>
      <c r="N718" s="104" t="inlineStr"/>
      <c r="O718" s="64" t="n"/>
      <c r="P718" s="64">
        <f>IF(C718="","",IF(ISNUMBER(SEARCH("PCMSO",C718)),"PCMSO",IF(OR(ISNUMBER(SEARCH("E-SOCIAL",C718)),ISNUMBER(SEARCH("PSICOSOCIAL",C718))),"eSocial / Psicossocial",IF(O718="Receita recorrente","Carteira recorrente","Projetos / Laudos / Avulsos"))))</f>
        <v/>
      </c>
      <c r="Q718" s="64">
        <f>IF(P718="","",IF(P718="Carteira recorrente","Operação recorrente",IF(P718="PCMSO","Projetos PCMSO",IF(P718="eSocial / Psicossocial","Projetos eSocial/Psicossocial","Projetos / Laudos / Avulsos"))))</f>
        <v/>
      </c>
      <c r="R718" s="64">
        <f>IF(C718="","",IF(ISNUMBER(SEARCH("PCMSO",C718)),"Título com PCMSO no nome",IF(OR(ISNUMBER(SEARCH("E-SOCIAL",C718)),ISNUMBER(SEARCH("PSICOSOCIAL",C718))),"Título com eSocial/Psicossocial no nome",IF(O718="Receita recorrente","Tipo DRE recorrente","Extra sem palavra-chave específica"))))</f>
        <v/>
      </c>
      <c r="S718" s="92">
        <f>IFERROR(VLOOKUP($A718,'13. Mapa Títulos-Receita'!$A$8:$P$1000,4,FALSE),"")</f>
        <v/>
      </c>
      <c r="T718" s="92">
        <f>IFERROR(VLOOKUP($A718,'13. Mapa Títulos-Receita'!$A$8:$P$1000,5,FALSE),"")</f>
        <v/>
      </c>
      <c r="U718" s="92">
        <f>IFERROR(VLOOKUP($A718,'13. Mapa Títulos-Receita'!$A$8:$P$1000,6,FALSE),"")</f>
        <v/>
      </c>
      <c r="V718" s="92">
        <f>IFERROR(VLOOKUP($A718,'13. Mapa Títulos-Receita'!$A$8:$P$1000,7,FALSE),"")</f>
        <v/>
      </c>
      <c r="W718" s="92">
        <f>IFERROR(VLOOKUP($A718,'13. Mapa Títulos-Receita'!$A$8:$P$1000,8,FALSE),"")</f>
        <v/>
      </c>
      <c r="X718" s="92">
        <f>IFERROR(VLOOKUP($A718,'13. Mapa Títulos-Receita'!$A$8:$P$1000,9,FALSE),"")</f>
        <v/>
      </c>
      <c r="Y718" s="92">
        <f>IFERROR(VLOOKUP($A718,'13. Mapa Títulos-Receita'!$A$8:$P$1000,10,FALSE),"")</f>
        <v/>
      </c>
      <c r="Z718" s="92">
        <f>IFERROR(VLOOKUP($A718,'13. Mapa Títulos-Receita'!$A$8:$P$1000,11,FALSE),"")</f>
        <v/>
      </c>
      <c r="AA718" s="92">
        <f>IFERROR(VLOOKUP($A718,'13. Mapa Títulos-Receita'!$A$8:$P$1000,12,FALSE),"")</f>
        <v/>
      </c>
      <c r="AB718" s="92">
        <f>IFERROR(VLOOKUP($A718,'13. Mapa Títulos-Receita'!$A$8:$P$1000,13,FALSE),"")</f>
        <v/>
      </c>
      <c r="AC718" s="92">
        <f>IFERROR(VLOOKUP($A718,'13. Mapa Títulos-Receita'!$A$8:$P$1000,14,FALSE),"")</f>
        <v/>
      </c>
      <c r="AD718" s="92">
        <f>IFERROR(VLOOKUP($A718,'13. Mapa Títulos-Receita'!$A$8:$P$1000,15,FALSE),"")</f>
        <v/>
      </c>
      <c r="AE718" s="92">
        <f>IFERROR(VLOOKUP($A718,'13. Mapa Títulos-Receita'!$A$8:$P$1000,16,FALSE),"")</f>
        <v/>
      </c>
    </row>
    <row r="719">
      <c r="A719" s="28">
        <f>IF(C719="","", "CR-"&amp;TEXT(ROW()-7,"000"))</f>
        <v/>
      </c>
      <c r="B719" s="28" t="n"/>
      <c r="C719" s="28" t="n"/>
      <c r="D719" s="111" t="n"/>
      <c r="E719" s="111" t="n"/>
      <c r="F719" s="111" t="n"/>
      <c r="G719" s="28" t="n"/>
      <c r="H719" s="45" t="n"/>
      <c r="I719" s="45" t="n"/>
      <c r="J719" s="28">
        <f>IF(H719="","",IF(I719&gt;=H719,"Recebido",IF($B$4&gt;E719,"Vencido","Aberto")))</f>
        <v/>
      </c>
      <c r="K719" s="4">
        <f>IF(J719="","",IF(OR(J719="Recebido",F719=""),MAX(0,F719-E719),MAX(0,$B$4-E719)))</f>
        <v/>
      </c>
      <c r="L719" s="4">
        <f>IF(K719="","",IF(K719=0,"Em dia",IF(K719&lt;=30,"1-30 dias",IF(K719&lt;=60,"31-60 dias",IF(K719&lt;=90,"61-90 dias","&gt;90 dias")))))</f>
        <v/>
      </c>
      <c r="M719" s="28" t="n"/>
      <c r="N719" s="104" t="inlineStr"/>
      <c r="O719" s="64" t="n"/>
      <c r="P719" s="64">
        <f>IF(C719="","",IF(ISNUMBER(SEARCH("PCMSO",C719)),"PCMSO",IF(OR(ISNUMBER(SEARCH("E-SOCIAL",C719)),ISNUMBER(SEARCH("PSICOSOCIAL",C719))),"eSocial / Psicossocial",IF(O719="Receita recorrente","Carteira recorrente","Projetos / Laudos / Avulsos"))))</f>
        <v/>
      </c>
      <c r="Q719" s="64">
        <f>IF(P719="","",IF(P719="Carteira recorrente","Operação recorrente",IF(P719="PCMSO","Projetos PCMSO",IF(P719="eSocial / Psicossocial","Projetos eSocial/Psicossocial","Projetos / Laudos / Avulsos"))))</f>
        <v/>
      </c>
      <c r="R719" s="64">
        <f>IF(C719="","",IF(ISNUMBER(SEARCH("PCMSO",C719)),"Título com PCMSO no nome",IF(OR(ISNUMBER(SEARCH("E-SOCIAL",C719)),ISNUMBER(SEARCH("PSICOSOCIAL",C719))),"Título com eSocial/Psicossocial no nome",IF(O719="Receita recorrente","Tipo DRE recorrente","Extra sem palavra-chave específica"))))</f>
        <v/>
      </c>
      <c r="S719" s="92">
        <f>IFERROR(VLOOKUP($A719,'13. Mapa Títulos-Receita'!$A$8:$P$1000,4,FALSE),"")</f>
        <v/>
      </c>
      <c r="T719" s="92">
        <f>IFERROR(VLOOKUP($A719,'13. Mapa Títulos-Receita'!$A$8:$P$1000,5,FALSE),"")</f>
        <v/>
      </c>
      <c r="U719" s="92">
        <f>IFERROR(VLOOKUP($A719,'13. Mapa Títulos-Receita'!$A$8:$P$1000,6,FALSE),"")</f>
        <v/>
      </c>
      <c r="V719" s="92">
        <f>IFERROR(VLOOKUP($A719,'13. Mapa Títulos-Receita'!$A$8:$P$1000,7,FALSE),"")</f>
        <v/>
      </c>
      <c r="W719" s="92">
        <f>IFERROR(VLOOKUP($A719,'13. Mapa Títulos-Receita'!$A$8:$P$1000,8,FALSE),"")</f>
        <v/>
      </c>
      <c r="X719" s="92">
        <f>IFERROR(VLOOKUP($A719,'13. Mapa Títulos-Receita'!$A$8:$P$1000,9,FALSE),"")</f>
        <v/>
      </c>
      <c r="Y719" s="92">
        <f>IFERROR(VLOOKUP($A719,'13. Mapa Títulos-Receita'!$A$8:$P$1000,10,FALSE),"")</f>
        <v/>
      </c>
      <c r="Z719" s="92">
        <f>IFERROR(VLOOKUP($A719,'13. Mapa Títulos-Receita'!$A$8:$P$1000,11,FALSE),"")</f>
        <v/>
      </c>
      <c r="AA719" s="92">
        <f>IFERROR(VLOOKUP($A719,'13. Mapa Títulos-Receita'!$A$8:$P$1000,12,FALSE),"")</f>
        <v/>
      </c>
      <c r="AB719" s="92">
        <f>IFERROR(VLOOKUP($A719,'13. Mapa Títulos-Receita'!$A$8:$P$1000,13,FALSE),"")</f>
        <v/>
      </c>
      <c r="AC719" s="92">
        <f>IFERROR(VLOOKUP($A719,'13. Mapa Títulos-Receita'!$A$8:$P$1000,14,FALSE),"")</f>
        <v/>
      </c>
      <c r="AD719" s="92">
        <f>IFERROR(VLOOKUP($A719,'13. Mapa Títulos-Receita'!$A$8:$P$1000,15,FALSE),"")</f>
        <v/>
      </c>
      <c r="AE719" s="92">
        <f>IFERROR(VLOOKUP($A719,'13. Mapa Títulos-Receita'!$A$8:$P$1000,16,FALSE),"")</f>
        <v/>
      </c>
    </row>
    <row r="720">
      <c r="A720" s="28">
        <f>IF(C720="","", "CR-"&amp;TEXT(ROW()-7,"000"))</f>
        <v/>
      </c>
      <c r="B720" s="28" t="n"/>
      <c r="C720" s="28" t="n"/>
      <c r="D720" s="111" t="n"/>
      <c r="E720" s="111" t="n"/>
      <c r="F720" s="111" t="n"/>
      <c r="G720" s="28" t="n"/>
      <c r="H720" s="45" t="n"/>
      <c r="I720" s="45" t="n"/>
      <c r="J720" s="28">
        <f>IF(H720="","",IF(I720&gt;=H720,"Recebido",IF($B$4&gt;E720,"Vencido","Aberto")))</f>
        <v/>
      </c>
      <c r="K720" s="4">
        <f>IF(J720="","",IF(OR(J720="Recebido",F720=""),MAX(0,F720-E720),MAX(0,$B$4-E720)))</f>
        <v/>
      </c>
      <c r="L720" s="4">
        <f>IF(K720="","",IF(K720=0,"Em dia",IF(K720&lt;=30,"1-30 dias",IF(K720&lt;=60,"31-60 dias",IF(K720&lt;=90,"61-90 dias","&gt;90 dias")))))</f>
        <v/>
      </c>
      <c r="M720" s="28" t="n"/>
      <c r="N720" s="104" t="inlineStr"/>
      <c r="O720" s="64" t="n"/>
      <c r="P720" s="64">
        <f>IF(C720="","",IF(ISNUMBER(SEARCH("PCMSO",C720)),"PCMSO",IF(OR(ISNUMBER(SEARCH("E-SOCIAL",C720)),ISNUMBER(SEARCH("PSICOSOCIAL",C720))),"eSocial / Psicossocial",IF(O720="Receita recorrente","Carteira recorrente","Projetos / Laudos / Avulsos"))))</f>
        <v/>
      </c>
      <c r="Q720" s="64">
        <f>IF(P720="","",IF(P720="Carteira recorrente","Operação recorrente",IF(P720="PCMSO","Projetos PCMSO",IF(P720="eSocial / Psicossocial","Projetos eSocial/Psicossocial","Projetos / Laudos / Avulsos"))))</f>
        <v/>
      </c>
      <c r="R720" s="64">
        <f>IF(C720="","",IF(ISNUMBER(SEARCH("PCMSO",C720)),"Título com PCMSO no nome",IF(OR(ISNUMBER(SEARCH("E-SOCIAL",C720)),ISNUMBER(SEARCH("PSICOSOCIAL",C720))),"Título com eSocial/Psicossocial no nome",IF(O720="Receita recorrente","Tipo DRE recorrente","Extra sem palavra-chave específica"))))</f>
        <v/>
      </c>
      <c r="S720" s="92">
        <f>IFERROR(VLOOKUP($A720,'13. Mapa Títulos-Receita'!$A$8:$P$1000,4,FALSE),"")</f>
        <v/>
      </c>
      <c r="T720" s="92">
        <f>IFERROR(VLOOKUP($A720,'13. Mapa Títulos-Receita'!$A$8:$P$1000,5,FALSE),"")</f>
        <v/>
      </c>
      <c r="U720" s="92">
        <f>IFERROR(VLOOKUP($A720,'13. Mapa Títulos-Receita'!$A$8:$P$1000,6,FALSE),"")</f>
        <v/>
      </c>
      <c r="V720" s="92">
        <f>IFERROR(VLOOKUP($A720,'13. Mapa Títulos-Receita'!$A$8:$P$1000,7,FALSE),"")</f>
        <v/>
      </c>
      <c r="W720" s="92">
        <f>IFERROR(VLOOKUP($A720,'13. Mapa Títulos-Receita'!$A$8:$P$1000,8,FALSE),"")</f>
        <v/>
      </c>
      <c r="X720" s="92">
        <f>IFERROR(VLOOKUP($A720,'13. Mapa Títulos-Receita'!$A$8:$P$1000,9,FALSE),"")</f>
        <v/>
      </c>
      <c r="Y720" s="92">
        <f>IFERROR(VLOOKUP($A720,'13. Mapa Títulos-Receita'!$A$8:$P$1000,10,FALSE),"")</f>
        <v/>
      </c>
      <c r="Z720" s="92">
        <f>IFERROR(VLOOKUP($A720,'13. Mapa Títulos-Receita'!$A$8:$P$1000,11,FALSE),"")</f>
        <v/>
      </c>
      <c r="AA720" s="92">
        <f>IFERROR(VLOOKUP($A720,'13. Mapa Títulos-Receita'!$A$8:$P$1000,12,FALSE),"")</f>
        <v/>
      </c>
      <c r="AB720" s="92">
        <f>IFERROR(VLOOKUP($A720,'13. Mapa Títulos-Receita'!$A$8:$P$1000,13,FALSE),"")</f>
        <v/>
      </c>
      <c r="AC720" s="92">
        <f>IFERROR(VLOOKUP($A720,'13. Mapa Títulos-Receita'!$A$8:$P$1000,14,FALSE),"")</f>
        <v/>
      </c>
      <c r="AD720" s="92">
        <f>IFERROR(VLOOKUP($A720,'13. Mapa Títulos-Receita'!$A$8:$P$1000,15,FALSE),"")</f>
        <v/>
      </c>
      <c r="AE720" s="92">
        <f>IFERROR(VLOOKUP($A720,'13. Mapa Títulos-Receita'!$A$8:$P$1000,16,FALSE),"")</f>
        <v/>
      </c>
    </row>
    <row r="721">
      <c r="A721" s="28">
        <f>IF(C721="","", "CR-"&amp;TEXT(ROW()-7,"000"))</f>
        <v/>
      </c>
      <c r="B721" s="28" t="n"/>
      <c r="C721" s="28" t="n"/>
      <c r="D721" s="111" t="n"/>
      <c r="E721" s="111" t="n"/>
      <c r="F721" s="111" t="n"/>
      <c r="G721" s="28" t="n"/>
      <c r="H721" s="45" t="n"/>
      <c r="I721" s="45" t="n"/>
      <c r="J721" s="28">
        <f>IF(H721="","",IF(I721&gt;=H721,"Recebido",IF($B$4&gt;E721,"Vencido","Aberto")))</f>
        <v/>
      </c>
      <c r="K721" s="4">
        <f>IF(J721="","",IF(OR(J721="Recebido",F721=""),MAX(0,F721-E721),MAX(0,$B$4-E721)))</f>
        <v/>
      </c>
      <c r="L721" s="4">
        <f>IF(K721="","",IF(K721=0,"Em dia",IF(K721&lt;=30,"1-30 dias",IF(K721&lt;=60,"31-60 dias",IF(K721&lt;=90,"61-90 dias","&gt;90 dias")))))</f>
        <v/>
      </c>
      <c r="M721" s="28" t="n"/>
      <c r="N721" s="104" t="inlineStr"/>
      <c r="O721" s="64" t="n"/>
      <c r="P721" s="64">
        <f>IF(C721="","",IF(ISNUMBER(SEARCH("PCMSO",C721)),"PCMSO",IF(OR(ISNUMBER(SEARCH("E-SOCIAL",C721)),ISNUMBER(SEARCH("PSICOSOCIAL",C721))),"eSocial / Psicossocial",IF(O721="Receita recorrente","Carteira recorrente","Projetos / Laudos / Avulsos"))))</f>
        <v/>
      </c>
      <c r="Q721" s="64">
        <f>IF(P721="","",IF(P721="Carteira recorrente","Operação recorrente",IF(P721="PCMSO","Projetos PCMSO",IF(P721="eSocial / Psicossocial","Projetos eSocial/Psicossocial","Projetos / Laudos / Avulsos"))))</f>
        <v/>
      </c>
      <c r="R721" s="64">
        <f>IF(C721="","",IF(ISNUMBER(SEARCH("PCMSO",C721)),"Título com PCMSO no nome",IF(OR(ISNUMBER(SEARCH("E-SOCIAL",C721)),ISNUMBER(SEARCH("PSICOSOCIAL",C721))),"Título com eSocial/Psicossocial no nome",IF(O721="Receita recorrente","Tipo DRE recorrente","Extra sem palavra-chave específica"))))</f>
        <v/>
      </c>
      <c r="S721" s="92">
        <f>IFERROR(VLOOKUP($A721,'13. Mapa Títulos-Receita'!$A$8:$P$1000,4,FALSE),"")</f>
        <v/>
      </c>
      <c r="T721" s="92">
        <f>IFERROR(VLOOKUP($A721,'13. Mapa Títulos-Receita'!$A$8:$P$1000,5,FALSE),"")</f>
        <v/>
      </c>
      <c r="U721" s="92">
        <f>IFERROR(VLOOKUP($A721,'13. Mapa Títulos-Receita'!$A$8:$P$1000,6,FALSE),"")</f>
        <v/>
      </c>
      <c r="V721" s="92">
        <f>IFERROR(VLOOKUP($A721,'13. Mapa Títulos-Receita'!$A$8:$P$1000,7,FALSE),"")</f>
        <v/>
      </c>
      <c r="W721" s="92">
        <f>IFERROR(VLOOKUP($A721,'13. Mapa Títulos-Receita'!$A$8:$P$1000,8,FALSE),"")</f>
        <v/>
      </c>
      <c r="X721" s="92">
        <f>IFERROR(VLOOKUP($A721,'13. Mapa Títulos-Receita'!$A$8:$P$1000,9,FALSE),"")</f>
        <v/>
      </c>
      <c r="Y721" s="92">
        <f>IFERROR(VLOOKUP($A721,'13. Mapa Títulos-Receita'!$A$8:$P$1000,10,FALSE),"")</f>
        <v/>
      </c>
      <c r="Z721" s="92">
        <f>IFERROR(VLOOKUP($A721,'13. Mapa Títulos-Receita'!$A$8:$P$1000,11,FALSE),"")</f>
        <v/>
      </c>
      <c r="AA721" s="92">
        <f>IFERROR(VLOOKUP($A721,'13. Mapa Títulos-Receita'!$A$8:$P$1000,12,FALSE),"")</f>
        <v/>
      </c>
      <c r="AB721" s="92">
        <f>IFERROR(VLOOKUP($A721,'13. Mapa Títulos-Receita'!$A$8:$P$1000,13,FALSE),"")</f>
        <v/>
      </c>
      <c r="AC721" s="92">
        <f>IFERROR(VLOOKUP($A721,'13. Mapa Títulos-Receita'!$A$8:$P$1000,14,FALSE),"")</f>
        <v/>
      </c>
      <c r="AD721" s="92">
        <f>IFERROR(VLOOKUP($A721,'13. Mapa Títulos-Receita'!$A$8:$P$1000,15,FALSE),"")</f>
        <v/>
      </c>
      <c r="AE721" s="92">
        <f>IFERROR(VLOOKUP($A721,'13. Mapa Títulos-Receita'!$A$8:$P$1000,16,FALSE),"")</f>
        <v/>
      </c>
    </row>
    <row r="722">
      <c r="A722" s="28">
        <f>IF(C722="","", "CR-"&amp;TEXT(ROW()-7,"000"))</f>
        <v/>
      </c>
      <c r="B722" s="28" t="n"/>
      <c r="C722" s="28" t="n"/>
      <c r="D722" s="111" t="n"/>
      <c r="E722" s="111" t="n"/>
      <c r="F722" s="111" t="n"/>
      <c r="G722" s="28" t="n"/>
      <c r="H722" s="45" t="n"/>
      <c r="I722" s="45" t="n"/>
      <c r="J722" s="28">
        <f>IF(H722="","",IF(I722&gt;=H722,"Recebido",IF($B$4&gt;E722,"Vencido","Aberto")))</f>
        <v/>
      </c>
      <c r="K722" s="4">
        <f>IF(J722="","",IF(OR(J722="Recebido",F722=""),MAX(0,F722-E722),MAX(0,$B$4-E722)))</f>
        <v/>
      </c>
      <c r="L722" s="4">
        <f>IF(K722="","",IF(K722=0,"Em dia",IF(K722&lt;=30,"1-30 dias",IF(K722&lt;=60,"31-60 dias",IF(K722&lt;=90,"61-90 dias","&gt;90 dias")))))</f>
        <v/>
      </c>
      <c r="M722" s="28" t="n"/>
      <c r="N722" s="104" t="inlineStr"/>
      <c r="O722" s="64" t="n"/>
      <c r="P722" s="64">
        <f>IF(C722="","",IF(ISNUMBER(SEARCH("PCMSO",C722)),"PCMSO",IF(OR(ISNUMBER(SEARCH("E-SOCIAL",C722)),ISNUMBER(SEARCH("PSICOSOCIAL",C722))),"eSocial / Psicossocial",IF(O722="Receita recorrente","Carteira recorrente","Projetos / Laudos / Avulsos"))))</f>
        <v/>
      </c>
      <c r="Q722" s="64">
        <f>IF(P722="","",IF(P722="Carteira recorrente","Operação recorrente",IF(P722="PCMSO","Projetos PCMSO",IF(P722="eSocial / Psicossocial","Projetos eSocial/Psicossocial","Projetos / Laudos / Avulsos"))))</f>
        <v/>
      </c>
      <c r="R722" s="64">
        <f>IF(C722="","",IF(ISNUMBER(SEARCH("PCMSO",C722)),"Título com PCMSO no nome",IF(OR(ISNUMBER(SEARCH("E-SOCIAL",C722)),ISNUMBER(SEARCH("PSICOSOCIAL",C722))),"Título com eSocial/Psicossocial no nome",IF(O722="Receita recorrente","Tipo DRE recorrente","Extra sem palavra-chave específica"))))</f>
        <v/>
      </c>
      <c r="S722" s="92">
        <f>IFERROR(VLOOKUP($A722,'13. Mapa Títulos-Receita'!$A$8:$P$1000,4,FALSE),"")</f>
        <v/>
      </c>
      <c r="T722" s="92">
        <f>IFERROR(VLOOKUP($A722,'13. Mapa Títulos-Receita'!$A$8:$P$1000,5,FALSE),"")</f>
        <v/>
      </c>
      <c r="U722" s="92">
        <f>IFERROR(VLOOKUP($A722,'13. Mapa Títulos-Receita'!$A$8:$P$1000,6,FALSE),"")</f>
        <v/>
      </c>
      <c r="V722" s="92">
        <f>IFERROR(VLOOKUP($A722,'13. Mapa Títulos-Receita'!$A$8:$P$1000,7,FALSE),"")</f>
        <v/>
      </c>
      <c r="W722" s="92">
        <f>IFERROR(VLOOKUP($A722,'13. Mapa Títulos-Receita'!$A$8:$P$1000,8,FALSE),"")</f>
        <v/>
      </c>
      <c r="X722" s="92">
        <f>IFERROR(VLOOKUP($A722,'13. Mapa Títulos-Receita'!$A$8:$P$1000,9,FALSE),"")</f>
        <v/>
      </c>
      <c r="Y722" s="92">
        <f>IFERROR(VLOOKUP($A722,'13. Mapa Títulos-Receita'!$A$8:$P$1000,10,FALSE),"")</f>
        <v/>
      </c>
      <c r="Z722" s="92">
        <f>IFERROR(VLOOKUP($A722,'13. Mapa Títulos-Receita'!$A$8:$P$1000,11,FALSE),"")</f>
        <v/>
      </c>
      <c r="AA722" s="92">
        <f>IFERROR(VLOOKUP($A722,'13. Mapa Títulos-Receita'!$A$8:$P$1000,12,FALSE),"")</f>
        <v/>
      </c>
      <c r="AB722" s="92">
        <f>IFERROR(VLOOKUP($A722,'13. Mapa Títulos-Receita'!$A$8:$P$1000,13,FALSE),"")</f>
        <v/>
      </c>
      <c r="AC722" s="92">
        <f>IFERROR(VLOOKUP($A722,'13. Mapa Títulos-Receita'!$A$8:$P$1000,14,FALSE),"")</f>
        <v/>
      </c>
      <c r="AD722" s="92">
        <f>IFERROR(VLOOKUP($A722,'13. Mapa Títulos-Receita'!$A$8:$P$1000,15,FALSE),"")</f>
        <v/>
      </c>
      <c r="AE722" s="92">
        <f>IFERROR(VLOOKUP($A722,'13. Mapa Títulos-Receita'!$A$8:$P$1000,16,FALSE),"")</f>
        <v/>
      </c>
    </row>
    <row r="723">
      <c r="A723" s="28">
        <f>IF(C723="","", "CR-"&amp;TEXT(ROW()-7,"000"))</f>
        <v/>
      </c>
      <c r="B723" s="28" t="n"/>
      <c r="C723" s="28" t="n"/>
      <c r="D723" s="111" t="n"/>
      <c r="E723" s="111" t="n"/>
      <c r="F723" s="111" t="n"/>
      <c r="G723" s="28" t="n"/>
      <c r="H723" s="45" t="n"/>
      <c r="I723" s="45" t="n"/>
      <c r="J723" s="28">
        <f>IF(H723="","",IF(I723&gt;=H723,"Recebido",IF($B$4&gt;E723,"Vencido","Aberto")))</f>
        <v/>
      </c>
      <c r="K723" s="4">
        <f>IF(J723="","",IF(OR(J723="Recebido",F723=""),MAX(0,F723-E723),MAX(0,$B$4-E723)))</f>
        <v/>
      </c>
      <c r="L723" s="4">
        <f>IF(K723="","",IF(K723=0,"Em dia",IF(K723&lt;=30,"1-30 dias",IF(K723&lt;=60,"31-60 dias",IF(K723&lt;=90,"61-90 dias","&gt;90 dias")))))</f>
        <v/>
      </c>
      <c r="M723" s="28" t="n"/>
      <c r="N723" s="104" t="inlineStr"/>
      <c r="O723" s="64" t="n"/>
      <c r="P723" s="64">
        <f>IF(C723="","",IF(ISNUMBER(SEARCH("PCMSO",C723)),"PCMSO",IF(OR(ISNUMBER(SEARCH("E-SOCIAL",C723)),ISNUMBER(SEARCH("PSICOSOCIAL",C723))),"eSocial / Psicossocial",IF(O723="Receita recorrente","Carteira recorrente","Projetos / Laudos / Avulsos"))))</f>
        <v/>
      </c>
      <c r="Q723" s="64">
        <f>IF(P723="","",IF(P723="Carteira recorrente","Operação recorrente",IF(P723="PCMSO","Projetos PCMSO",IF(P723="eSocial / Psicossocial","Projetos eSocial/Psicossocial","Projetos / Laudos / Avulsos"))))</f>
        <v/>
      </c>
      <c r="R723" s="64">
        <f>IF(C723="","",IF(ISNUMBER(SEARCH("PCMSO",C723)),"Título com PCMSO no nome",IF(OR(ISNUMBER(SEARCH("E-SOCIAL",C723)),ISNUMBER(SEARCH("PSICOSOCIAL",C723))),"Título com eSocial/Psicossocial no nome",IF(O723="Receita recorrente","Tipo DRE recorrente","Extra sem palavra-chave específica"))))</f>
        <v/>
      </c>
      <c r="S723" s="92">
        <f>IFERROR(VLOOKUP($A723,'13. Mapa Títulos-Receita'!$A$8:$P$1000,4,FALSE),"")</f>
        <v/>
      </c>
      <c r="T723" s="92">
        <f>IFERROR(VLOOKUP($A723,'13. Mapa Títulos-Receita'!$A$8:$P$1000,5,FALSE),"")</f>
        <v/>
      </c>
      <c r="U723" s="92">
        <f>IFERROR(VLOOKUP($A723,'13. Mapa Títulos-Receita'!$A$8:$P$1000,6,FALSE),"")</f>
        <v/>
      </c>
      <c r="V723" s="92">
        <f>IFERROR(VLOOKUP($A723,'13. Mapa Títulos-Receita'!$A$8:$P$1000,7,FALSE),"")</f>
        <v/>
      </c>
      <c r="W723" s="92">
        <f>IFERROR(VLOOKUP($A723,'13. Mapa Títulos-Receita'!$A$8:$P$1000,8,FALSE),"")</f>
        <v/>
      </c>
      <c r="X723" s="92">
        <f>IFERROR(VLOOKUP($A723,'13. Mapa Títulos-Receita'!$A$8:$P$1000,9,FALSE),"")</f>
        <v/>
      </c>
      <c r="Y723" s="92">
        <f>IFERROR(VLOOKUP($A723,'13. Mapa Títulos-Receita'!$A$8:$P$1000,10,FALSE),"")</f>
        <v/>
      </c>
      <c r="Z723" s="92">
        <f>IFERROR(VLOOKUP($A723,'13. Mapa Títulos-Receita'!$A$8:$P$1000,11,FALSE),"")</f>
        <v/>
      </c>
      <c r="AA723" s="92">
        <f>IFERROR(VLOOKUP($A723,'13. Mapa Títulos-Receita'!$A$8:$P$1000,12,FALSE),"")</f>
        <v/>
      </c>
      <c r="AB723" s="92">
        <f>IFERROR(VLOOKUP($A723,'13. Mapa Títulos-Receita'!$A$8:$P$1000,13,FALSE),"")</f>
        <v/>
      </c>
      <c r="AC723" s="92">
        <f>IFERROR(VLOOKUP($A723,'13. Mapa Títulos-Receita'!$A$8:$P$1000,14,FALSE),"")</f>
        <v/>
      </c>
      <c r="AD723" s="92">
        <f>IFERROR(VLOOKUP($A723,'13. Mapa Títulos-Receita'!$A$8:$P$1000,15,FALSE),"")</f>
        <v/>
      </c>
      <c r="AE723" s="92">
        <f>IFERROR(VLOOKUP($A723,'13. Mapa Títulos-Receita'!$A$8:$P$1000,16,FALSE),"")</f>
        <v/>
      </c>
    </row>
    <row r="724">
      <c r="A724" s="28">
        <f>IF(C724="","", "CR-"&amp;TEXT(ROW()-7,"000"))</f>
        <v/>
      </c>
      <c r="B724" s="28" t="n"/>
      <c r="C724" s="28" t="n"/>
      <c r="D724" s="111" t="n"/>
      <c r="E724" s="111" t="n"/>
      <c r="F724" s="111" t="n"/>
      <c r="G724" s="28" t="n"/>
      <c r="H724" s="45" t="n"/>
      <c r="I724" s="45" t="n"/>
      <c r="J724" s="28">
        <f>IF(H724="","",IF(I724&gt;=H724,"Recebido",IF($B$4&gt;E724,"Vencido","Aberto")))</f>
        <v/>
      </c>
      <c r="K724" s="4">
        <f>IF(J724="","",IF(OR(J724="Recebido",F724=""),MAX(0,F724-E724),MAX(0,$B$4-E724)))</f>
        <v/>
      </c>
      <c r="L724" s="4">
        <f>IF(K724="","",IF(K724=0,"Em dia",IF(K724&lt;=30,"1-30 dias",IF(K724&lt;=60,"31-60 dias",IF(K724&lt;=90,"61-90 dias","&gt;90 dias")))))</f>
        <v/>
      </c>
      <c r="M724" s="28" t="n"/>
      <c r="N724" s="104" t="inlineStr"/>
      <c r="O724" s="64" t="n"/>
      <c r="P724" s="64">
        <f>IF(C724="","",IF(ISNUMBER(SEARCH("PCMSO",C724)),"PCMSO",IF(OR(ISNUMBER(SEARCH("E-SOCIAL",C724)),ISNUMBER(SEARCH("PSICOSOCIAL",C724))),"eSocial / Psicossocial",IF(O724="Receita recorrente","Carteira recorrente","Projetos / Laudos / Avulsos"))))</f>
        <v/>
      </c>
      <c r="Q724" s="64">
        <f>IF(P724="","",IF(P724="Carteira recorrente","Operação recorrente",IF(P724="PCMSO","Projetos PCMSO",IF(P724="eSocial / Psicossocial","Projetos eSocial/Psicossocial","Projetos / Laudos / Avulsos"))))</f>
        <v/>
      </c>
      <c r="R724" s="64">
        <f>IF(C724="","",IF(ISNUMBER(SEARCH("PCMSO",C724)),"Título com PCMSO no nome",IF(OR(ISNUMBER(SEARCH("E-SOCIAL",C724)),ISNUMBER(SEARCH("PSICOSOCIAL",C724))),"Título com eSocial/Psicossocial no nome",IF(O724="Receita recorrente","Tipo DRE recorrente","Extra sem palavra-chave específica"))))</f>
        <v/>
      </c>
      <c r="S724" s="92">
        <f>IFERROR(VLOOKUP($A724,'13. Mapa Títulos-Receita'!$A$8:$P$1000,4,FALSE),"")</f>
        <v/>
      </c>
      <c r="T724" s="92">
        <f>IFERROR(VLOOKUP($A724,'13. Mapa Títulos-Receita'!$A$8:$P$1000,5,FALSE),"")</f>
        <v/>
      </c>
      <c r="U724" s="92">
        <f>IFERROR(VLOOKUP($A724,'13. Mapa Títulos-Receita'!$A$8:$P$1000,6,FALSE),"")</f>
        <v/>
      </c>
      <c r="V724" s="92">
        <f>IFERROR(VLOOKUP($A724,'13. Mapa Títulos-Receita'!$A$8:$P$1000,7,FALSE),"")</f>
        <v/>
      </c>
      <c r="W724" s="92">
        <f>IFERROR(VLOOKUP($A724,'13. Mapa Títulos-Receita'!$A$8:$P$1000,8,FALSE),"")</f>
        <v/>
      </c>
      <c r="X724" s="92">
        <f>IFERROR(VLOOKUP($A724,'13. Mapa Títulos-Receita'!$A$8:$P$1000,9,FALSE),"")</f>
        <v/>
      </c>
      <c r="Y724" s="92">
        <f>IFERROR(VLOOKUP($A724,'13. Mapa Títulos-Receita'!$A$8:$P$1000,10,FALSE),"")</f>
        <v/>
      </c>
      <c r="Z724" s="92">
        <f>IFERROR(VLOOKUP($A724,'13. Mapa Títulos-Receita'!$A$8:$P$1000,11,FALSE),"")</f>
        <v/>
      </c>
      <c r="AA724" s="92">
        <f>IFERROR(VLOOKUP($A724,'13. Mapa Títulos-Receita'!$A$8:$P$1000,12,FALSE),"")</f>
        <v/>
      </c>
      <c r="AB724" s="92">
        <f>IFERROR(VLOOKUP($A724,'13. Mapa Títulos-Receita'!$A$8:$P$1000,13,FALSE),"")</f>
        <v/>
      </c>
      <c r="AC724" s="92">
        <f>IFERROR(VLOOKUP($A724,'13. Mapa Títulos-Receita'!$A$8:$P$1000,14,FALSE),"")</f>
        <v/>
      </c>
      <c r="AD724" s="92">
        <f>IFERROR(VLOOKUP($A724,'13. Mapa Títulos-Receita'!$A$8:$P$1000,15,FALSE),"")</f>
        <v/>
      </c>
      <c r="AE724" s="92">
        <f>IFERROR(VLOOKUP($A724,'13. Mapa Títulos-Receita'!$A$8:$P$1000,16,FALSE),"")</f>
        <v/>
      </c>
    </row>
    <row r="725">
      <c r="A725" s="28">
        <f>IF(C725="","", "CR-"&amp;TEXT(ROW()-7,"000"))</f>
        <v/>
      </c>
      <c r="B725" s="28" t="n"/>
      <c r="C725" s="28" t="n"/>
      <c r="D725" s="111" t="n"/>
      <c r="E725" s="111" t="n"/>
      <c r="F725" s="111" t="n"/>
      <c r="G725" s="28" t="n"/>
      <c r="H725" s="45" t="n"/>
      <c r="I725" s="45" t="n"/>
      <c r="J725" s="28">
        <f>IF(H725="","",IF(I725&gt;=H725,"Recebido",IF($B$4&gt;E725,"Vencido","Aberto")))</f>
        <v/>
      </c>
      <c r="K725" s="4">
        <f>IF(J725="","",IF(OR(J725="Recebido",F725=""),MAX(0,F725-E725),MAX(0,$B$4-E725)))</f>
        <v/>
      </c>
      <c r="L725" s="4">
        <f>IF(K725="","",IF(K725=0,"Em dia",IF(K725&lt;=30,"1-30 dias",IF(K725&lt;=60,"31-60 dias",IF(K725&lt;=90,"61-90 dias","&gt;90 dias")))))</f>
        <v/>
      </c>
      <c r="M725" s="28" t="n"/>
      <c r="N725" s="104" t="inlineStr"/>
      <c r="O725" s="64" t="n"/>
      <c r="P725" s="64">
        <f>IF(C725="","",IF(ISNUMBER(SEARCH("PCMSO",C725)),"PCMSO",IF(OR(ISNUMBER(SEARCH("E-SOCIAL",C725)),ISNUMBER(SEARCH("PSICOSOCIAL",C725))),"eSocial / Psicossocial",IF(O725="Receita recorrente","Carteira recorrente","Projetos / Laudos / Avulsos"))))</f>
        <v/>
      </c>
      <c r="Q725" s="64">
        <f>IF(P725="","",IF(P725="Carteira recorrente","Operação recorrente",IF(P725="PCMSO","Projetos PCMSO",IF(P725="eSocial / Psicossocial","Projetos eSocial/Psicossocial","Projetos / Laudos / Avulsos"))))</f>
        <v/>
      </c>
      <c r="R725" s="64">
        <f>IF(C725="","",IF(ISNUMBER(SEARCH("PCMSO",C725)),"Título com PCMSO no nome",IF(OR(ISNUMBER(SEARCH("E-SOCIAL",C725)),ISNUMBER(SEARCH("PSICOSOCIAL",C725))),"Título com eSocial/Psicossocial no nome",IF(O725="Receita recorrente","Tipo DRE recorrente","Extra sem palavra-chave específica"))))</f>
        <v/>
      </c>
      <c r="S725" s="92">
        <f>IFERROR(VLOOKUP($A725,'13. Mapa Títulos-Receita'!$A$8:$P$1000,4,FALSE),"")</f>
        <v/>
      </c>
      <c r="T725" s="92">
        <f>IFERROR(VLOOKUP($A725,'13. Mapa Títulos-Receita'!$A$8:$P$1000,5,FALSE),"")</f>
        <v/>
      </c>
      <c r="U725" s="92">
        <f>IFERROR(VLOOKUP($A725,'13. Mapa Títulos-Receita'!$A$8:$P$1000,6,FALSE),"")</f>
        <v/>
      </c>
      <c r="V725" s="92">
        <f>IFERROR(VLOOKUP($A725,'13. Mapa Títulos-Receita'!$A$8:$P$1000,7,FALSE),"")</f>
        <v/>
      </c>
      <c r="W725" s="92">
        <f>IFERROR(VLOOKUP($A725,'13. Mapa Títulos-Receita'!$A$8:$P$1000,8,FALSE),"")</f>
        <v/>
      </c>
      <c r="X725" s="92">
        <f>IFERROR(VLOOKUP($A725,'13. Mapa Títulos-Receita'!$A$8:$P$1000,9,FALSE),"")</f>
        <v/>
      </c>
      <c r="Y725" s="92">
        <f>IFERROR(VLOOKUP($A725,'13. Mapa Títulos-Receita'!$A$8:$P$1000,10,FALSE),"")</f>
        <v/>
      </c>
      <c r="Z725" s="92">
        <f>IFERROR(VLOOKUP($A725,'13. Mapa Títulos-Receita'!$A$8:$P$1000,11,FALSE),"")</f>
        <v/>
      </c>
      <c r="AA725" s="92">
        <f>IFERROR(VLOOKUP($A725,'13. Mapa Títulos-Receita'!$A$8:$P$1000,12,FALSE),"")</f>
        <v/>
      </c>
      <c r="AB725" s="92">
        <f>IFERROR(VLOOKUP($A725,'13. Mapa Títulos-Receita'!$A$8:$P$1000,13,FALSE),"")</f>
        <v/>
      </c>
      <c r="AC725" s="92">
        <f>IFERROR(VLOOKUP($A725,'13. Mapa Títulos-Receita'!$A$8:$P$1000,14,FALSE),"")</f>
        <v/>
      </c>
      <c r="AD725" s="92">
        <f>IFERROR(VLOOKUP($A725,'13. Mapa Títulos-Receita'!$A$8:$P$1000,15,FALSE),"")</f>
        <v/>
      </c>
      <c r="AE725" s="92">
        <f>IFERROR(VLOOKUP($A725,'13. Mapa Títulos-Receita'!$A$8:$P$1000,16,FALSE),"")</f>
        <v/>
      </c>
    </row>
    <row r="726">
      <c r="A726" s="28">
        <f>IF(C726="","", "CR-"&amp;TEXT(ROW()-7,"000"))</f>
        <v/>
      </c>
      <c r="B726" s="28" t="n"/>
      <c r="C726" s="28" t="n"/>
      <c r="D726" s="111" t="n"/>
      <c r="E726" s="111" t="n"/>
      <c r="F726" s="111" t="n"/>
      <c r="G726" s="28" t="n"/>
      <c r="H726" s="45" t="n"/>
      <c r="I726" s="45" t="n"/>
      <c r="J726" s="28">
        <f>IF(H726="","",IF(I726&gt;=H726,"Recebido",IF($B$4&gt;E726,"Vencido","Aberto")))</f>
        <v/>
      </c>
      <c r="K726" s="4">
        <f>IF(J726="","",IF(OR(J726="Recebido",F726=""),MAX(0,F726-E726),MAX(0,$B$4-E726)))</f>
        <v/>
      </c>
      <c r="L726" s="4">
        <f>IF(K726="","",IF(K726=0,"Em dia",IF(K726&lt;=30,"1-30 dias",IF(K726&lt;=60,"31-60 dias",IF(K726&lt;=90,"61-90 dias","&gt;90 dias")))))</f>
        <v/>
      </c>
      <c r="M726" s="28" t="n"/>
      <c r="N726" s="104" t="inlineStr"/>
      <c r="O726" s="64" t="n"/>
      <c r="P726" s="64">
        <f>IF(C726="","",IF(ISNUMBER(SEARCH("PCMSO",C726)),"PCMSO",IF(OR(ISNUMBER(SEARCH("E-SOCIAL",C726)),ISNUMBER(SEARCH("PSICOSOCIAL",C726))),"eSocial / Psicossocial",IF(O726="Receita recorrente","Carteira recorrente","Projetos / Laudos / Avulsos"))))</f>
        <v/>
      </c>
      <c r="Q726" s="64">
        <f>IF(P726="","",IF(P726="Carteira recorrente","Operação recorrente",IF(P726="PCMSO","Projetos PCMSO",IF(P726="eSocial / Psicossocial","Projetos eSocial/Psicossocial","Projetos / Laudos / Avulsos"))))</f>
        <v/>
      </c>
      <c r="R726" s="64">
        <f>IF(C726="","",IF(ISNUMBER(SEARCH("PCMSO",C726)),"Título com PCMSO no nome",IF(OR(ISNUMBER(SEARCH("E-SOCIAL",C726)),ISNUMBER(SEARCH("PSICOSOCIAL",C726))),"Título com eSocial/Psicossocial no nome",IF(O726="Receita recorrente","Tipo DRE recorrente","Extra sem palavra-chave específica"))))</f>
        <v/>
      </c>
      <c r="S726" s="92">
        <f>IFERROR(VLOOKUP($A726,'13. Mapa Títulos-Receita'!$A$8:$P$1000,4,FALSE),"")</f>
        <v/>
      </c>
      <c r="T726" s="92">
        <f>IFERROR(VLOOKUP($A726,'13. Mapa Títulos-Receita'!$A$8:$P$1000,5,FALSE),"")</f>
        <v/>
      </c>
      <c r="U726" s="92">
        <f>IFERROR(VLOOKUP($A726,'13. Mapa Títulos-Receita'!$A$8:$P$1000,6,FALSE),"")</f>
        <v/>
      </c>
      <c r="V726" s="92">
        <f>IFERROR(VLOOKUP($A726,'13. Mapa Títulos-Receita'!$A$8:$P$1000,7,FALSE),"")</f>
        <v/>
      </c>
      <c r="W726" s="92">
        <f>IFERROR(VLOOKUP($A726,'13. Mapa Títulos-Receita'!$A$8:$P$1000,8,FALSE),"")</f>
        <v/>
      </c>
      <c r="X726" s="92">
        <f>IFERROR(VLOOKUP($A726,'13. Mapa Títulos-Receita'!$A$8:$P$1000,9,FALSE),"")</f>
        <v/>
      </c>
      <c r="Y726" s="92">
        <f>IFERROR(VLOOKUP($A726,'13. Mapa Títulos-Receita'!$A$8:$P$1000,10,FALSE),"")</f>
        <v/>
      </c>
      <c r="Z726" s="92">
        <f>IFERROR(VLOOKUP($A726,'13. Mapa Títulos-Receita'!$A$8:$P$1000,11,FALSE),"")</f>
        <v/>
      </c>
      <c r="AA726" s="92">
        <f>IFERROR(VLOOKUP($A726,'13. Mapa Títulos-Receita'!$A$8:$P$1000,12,FALSE),"")</f>
        <v/>
      </c>
      <c r="AB726" s="92">
        <f>IFERROR(VLOOKUP($A726,'13. Mapa Títulos-Receita'!$A$8:$P$1000,13,FALSE),"")</f>
        <v/>
      </c>
      <c r="AC726" s="92">
        <f>IFERROR(VLOOKUP($A726,'13. Mapa Títulos-Receita'!$A$8:$P$1000,14,FALSE),"")</f>
        <v/>
      </c>
      <c r="AD726" s="92">
        <f>IFERROR(VLOOKUP($A726,'13. Mapa Títulos-Receita'!$A$8:$P$1000,15,FALSE),"")</f>
        <v/>
      </c>
      <c r="AE726" s="92">
        <f>IFERROR(VLOOKUP($A726,'13. Mapa Títulos-Receita'!$A$8:$P$1000,16,FALSE),"")</f>
        <v/>
      </c>
    </row>
    <row r="727">
      <c r="A727" s="28">
        <f>IF(C727="","", "CR-"&amp;TEXT(ROW()-7,"000"))</f>
        <v/>
      </c>
      <c r="B727" s="28" t="n"/>
      <c r="C727" s="28" t="n"/>
      <c r="D727" s="111" t="n"/>
      <c r="E727" s="111" t="n"/>
      <c r="F727" s="111" t="n"/>
      <c r="G727" s="28" t="n"/>
      <c r="H727" s="45" t="n"/>
      <c r="I727" s="45" t="n"/>
      <c r="J727" s="28">
        <f>IF(H727="","",IF(I727&gt;=H727,"Recebido",IF($B$4&gt;E727,"Vencido","Aberto")))</f>
        <v/>
      </c>
      <c r="K727" s="4">
        <f>IF(J727="","",IF(OR(J727="Recebido",F727=""),MAX(0,F727-E727),MAX(0,$B$4-E727)))</f>
        <v/>
      </c>
      <c r="L727" s="4">
        <f>IF(K727="","",IF(K727=0,"Em dia",IF(K727&lt;=30,"1-30 dias",IF(K727&lt;=60,"31-60 dias",IF(K727&lt;=90,"61-90 dias","&gt;90 dias")))))</f>
        <v/>
      </c>
      <c r="M727" s="28" t="n"/>
      <c r="N727" s="104" t="inlineStr"/>
      <c r="O727" s="64" t="n"/>
      <c r="P727" s="64">
        <f>IF(C727="","",IF(ISNUMBER(SEARCH("PCMSO",C727)),"PCMSO",IF(OR(ISNUMBER(SEARCH("E-SOCIAL",C727)),ISNUMBER(SEARCH("PSICOSOCIAL",C727))),"eSocial / Psicossocial",IF(O727="Receita recorrente","Carteira recorrente","Projetos / Laudos / Avulsos"))))</f>
        <v/>
      </c>
      <c r="Q727" s="64">
        <f>IF(P727="","",IF(P727="Carteira recorrente","Operação recorrente",IF(P727="PCMSO","Projetos PCMSO",IF(P727="eSocial / Psicossocial","Projetos eSocial/Psicossocial","Projetos / Laudos / Avulsos"))))</f>
        <v/>
      </c>
      <c r="R727" s="64">
        <f>IF(C727="","",IF(ISNUMBER(SEARCH("PCMSO",C727)),"Título com PCMSO no nome",IF(OR(ISNUMBER(SEARCH("E-SOCIAL",C727)),ISNUMBER(SEARCH("PSICOSOCIAL",C727))),"Título com eSocial/Psicossocial no nome",IF(O727="Receita recorrente","Tipo DRE recorrente","Extra sem palavra-chave específica"))))</f>
        <v/>
      </c>
      <c r="S727" s="92">
        <f>IFERROR(VLOOKUP($A727,'13. Mapa Títulos-Receita'!$A$8:$P$1000,4,FALSE),"")</f>
        <v/>
      </c>
      <c r="T727" s="92">
        <f>IFERROR(VLOOKUP($A727,'13. Mapa Títulos-Receita'!$A$8:$P$1000,5,FALSE),"")</f>
        <v/>
      </c>
      <c r="U727" s="92">
        <f>IFERROR(VLOOKUP($A727,'13. Mapa Títulos-Receita'!$A$8:$P$1000,6,FALSE),"")</f>
        <v/>
      </c>
      <c r="V727" s="92">
        <f>IFERROR(VLOOKUP($A727,'13. Mapa Títulos-Receita'!$A$8:$P$1000,7,FALSE),"")</f>
        <v/>
      </c>
      <c r="W727" s="92">
        <f>IFERROR(VLOOKUP($A727,'13. Mapa Títulos-Receita'!$A$8:$P$1000,8,FALSE),"")</f>
        <v/>
      </c>
      <c r="X727" s="92">
        <f>IFERROR(VLOOKUP($A727,'13. Mapa Títulos-Receita'!$A$8:$P$1000,9,FALSE),"")</f>
        <v/>
      </c>
      <c r="Y727" s="92">
        <f>IFERROR(VLOOKUP($A727,'13. Mapa Títulos-Receita'!$A$8:$P$1000,10,FALSE),"")</f>
        <v/>
      </c>
      <c r="Z727" s="92">
        <f>IFERROR(VLOOKUP($A727,'13. Mapa Títulos-Receita'!$A$8:$P$1000,11,FALSE),"")</f>
        <v/>
      </c>
      <c r="AA727" s="92">
        <f>IFERROR(VLOOKUP($A727,'13. Mapa Títulos-Receita'!$A$8:$P$1000,12,FALSE),"")</f>
        <v/>
      </c>
      <c r="AB727" s="92">
        <f>IFERROR(VLOOKUP($A727,'13. Mapa Títulos-Receita'!$A$8:$P$1000,13,FALSE),"")</f>
        <v/>
      </c>
      <c r="AC727" s="92">
        <f>IFERROR(VLOOKUP($A727,'13. Mapa Títulos-Receita'!$A$8:$P$1000,14,FALSE),"")</f>
        <v/>
      </c>
      <c r="AD727" s="92">
        <f>IFERROR(VLOOKUP($A727,'13. Mapa Títulos-Receita'!$A$8:$P$1000,15,FALSE),"")</f>
        <v/>
      </c>
      <c r="AE727" s="92">
        <f>IFERROR(VLOOKUP($A727,'13. Mapa Títulos-Receita'!$A$8:$P$1000,16,FALSE),"")</f>
        <v/>
      </c>
    </row>
    <row r="728">
      <c r="A728" s="28">
        <f>IF(C728="","", "CR-"&amp;TEXT(ROW()-7,"000"))</f>
        <v/>
      </c>
      <c r="B728" s="28" t="n"/>
      <c r="C728" s="28" t="n"/>
      <c r="D728" s="111" t="n"/>
      <c r="E728" s="111" t="n"/>
      <c r="F728" s="111" t="n"/>
      <c r="G728" s="28" t="n"/>
      <c r="H728" s="45" t="n"/>
      <c r="I728" s="45" t="n"/>
      <c r="J728" s="28">
        <f>IF(H728="","",IF(I728&gt;=H728,"Recebido",IF($B$4&gt;E728,"Vencido","Aberto")))</f>
        <v/>
      </c>
      <c r="K728" s="4">
        <f>IF(J728="","",IF(OR(J728="Recebido",F728=""),MAX(0,F728-E728),MAX(0,$B$4-E728)))</f>
        <v/>
      </c>
      <c r="L728" s="4">
        <f>IF(K728="","",IF(K728=0,"Em dia",IF(K728&lt;=30,"1-30 dias",IF(K728&lt;=60,"31-60 dias",IF(K728&lt;=90,"61-90 dias","&gt;90 dias")))))</f>
        <v/>
      </c>
      <c r="M728" s="28" t="n"/>
      <c r="N728" s="104" t="inlineStr"/>
      <c r="O728" s="64" t="n"/>
      <c r="P728" s="64">
        <f>IF(C728="","",IF(ISNUMBER(SEARCH("PCMSO",C728)),"PCMSO",IF(OR(ISNUMBER(SEARCH("E-SOCIAL",C728)),ISNUMBER(SEARCH("PSICOSOCIAL",C728))),"eSocial / Psicossocial",IF(O728="Receita recorrente","Carteira recorrente","Projetos / Laudos / Avulsos"))))</f>
        <v/>
      </c>
      <c r="Q728" s="64">
        <f>IF(P728="","",IF(P728="Carteira recorrente","Operação recorrente",IF(P728="PCMSO","Projetos PCMSO",IF(P728="eSocial / Psicossocial","Projetos eSocial/Psicossocial","Projetos / Laudos / Avulsos"))))</f>
        <v/>
      </c>
      <c r="R728" s="64">
        <f>IF(C728="","",IF(ISNUMBER(SEARCH("PCMSO",C728)),"Título com PCMSO no nome",IF(OR(ISNUMBER(SEARCH("E-SOCIAL",C728)),ISNUMBER(SEARCH("PSICOSOCIAL",C728))),"Título com eSocial/Psicossocial no nome",IF(O728="Receita recorrente","Tipo DRE recorrente","Extra sem palavra-chave específica"))))</f>
        <v/>
      </c>
      <c r="S728" s="92">
        <f>IFERROR(VLOOKUP($A728,'13. Mapa Títulos-Receita'!$A$8:$P$1000,4,FALSE),"")</f>
        <v/>
      </c>
      <c r="T728" s="92">
        <f>IFERROR(VLOOKUP($A728,'13. Mapa Títulos-Receita'!$A$8:$P$1000,5,FALSE),"")</f>
        <v/>
      </c>
      <c r="U728" s="92">
        <f>IFERROR(VLOOKUP($A728,'13. Mapa Títulos-Receita'!$A$8:$P$1000,6,FALSE),"")</f>
        <v/>
      </c>
      <c r="V728" s="92">
        <f>IFERROR(VLOOKUP($A728,'13. Mapa Títulos-Receita'!$A$8:$P$1000,7,FALSE),"")</f>
        <v/>
      </c>
      <c r="W728" s="92">
        <f>IFERROR(VLOOKUP($A728,'13. Mapa Títulos-Receita'!$A$8:$P$1000,8,FALSE),"")</f>
        <v/>
      </c>
      <c r="X728" s="92">
        <f>IFERROR(VLOOKUP($A728,'13. Mapa Títulos-Receita'!$A$8:$P$1000,9,FALSE),"")</f>
        <v/>
      </c>
      <c r="Y728" s="92">
        <f>IFERROR(VLOOKUP($A728,'13. Mapa Títulos-Receita'!$A$8:$P$1000,10,FALSE),"")</f>
        <v/>
      </c>
      <c r="Z728" s="92">
        <f>IFERROR(VLOOKUP($A728,'13. Mapa Títulos-Receita'!$A$8:$P$1000,11,FALSE),"")</f>
        <v/>
      </c>
      <c r="AA728" s="92">
        <f>IFERROR(VLOOKUP($A728,'13. Mapa Títulos-Receita'!$A$8:$P$1000,12,FALSE),"")</f>
        <v/>
      </c>
      <c r="AB728" s="92">
        <f>IFERROR(VLOOKUP($A728,'13. Mapa Títulos-Receita'!$A$8:$P$1000,13,FALSE),"")</f>
        <v/>
      </c>
      <c r="AC728" s="92">
        <f>IFERROR(VLOOKUP($A728,'13. Mapa Títulos-Receita'!$A$8:$P$1000,14,FALSE),"")</f>
        <v/>
      </c>
      <c r="AD728" s="92">
        <f>IFERROR(VLOOKUP($A728,'13. Mapa Títulos-Receita'!$A$8:$P$1000,15,FALSE),"")</f>
        <v/>
      </c>
      <c r="AE728" s="92">
        <f>IFERROR(VLOOKUP($A728,'13. Mapa Títulos-Receita'!$A$8:$P$1000,16,FALSE),"")</f>
        <v/>
      </c>
    </row>
    <row r="729">
      <c r="A729" s="28">
        <f>IF(C729="","", "CR-"&amp;TEXT(ROW()-7,"000"))</f>
        <v/>
      </c>
      <c r="B729" s="28" t="n"/>
      <c r="C729" s="28" t="n"/>
      <c r="D729" s="111" t="n"/>
      <c r="E729" s="111" t="n"/>
      <c r="F729" s="111" t="n"/>
      <c r="G729" s="28" t="n"/>
      <c r="H729" s="45" t="n"/>
      <c r="I729" s="45" t="n"/>
      <c r="J729" s="28">
        <f>IF(H729="","",IF(I729&gt;=H729,"Recebido",IF($B$4&gt;E729,"Vencido","Aberto")))</f>
        <v/>
      </c>
      <c r="K729" s="4">
        <f>IF(J729="","",IF(OR(J729="Recebido",F729=""),MAX(0,F729-E729),MAX(0,$B$4-E729)))</f>
        <v/>
      </c>
      <c r="L729" s="4">
        <f>IF(K729="","",IF(K729=0,"Em dia",IF(K729&lt;=30,"1-30 dias",IF(K729&lt;=60,"31-60 dias",IF(K729&lt;=90,"61-90 dias","&gt;90 dias")))))</f>
        <v/>
      </c>
      <c r="M729" s="28" t="n"/>
      <c r="N729" s="104" t="inlineStr"/>
      <c r="O729" s="64" t="n"/>
      <c r="P729" s="64">
        <f>IF(C729="","",IF(ISNUMBER(SEARCH("PCMSO",C729)),"PCMSO",IF(OR(ISNUMBER(SEARCH("E-SOCIAL",C729)),ISNUMBER(SEARCH("PSICOSOCIAL",C729))),"eSocial / Psicossocial",IF(O729="Receita recorrente","Carteira recorrente","Projetos / Laudos / Avulsos"))))</f>
        <v/>
      </c>
      <c r="Q729" s="64">
        <f>IF(P729="","",IF(P729="Carteira recorrente","Operação recorrente",IF(P729="PCMSO","Projetos PCMSO",IF(P729="eSocial / Psicossocial","Projetos eSocial/Psicossocial","Projetos / Laudos / Avulsos"))))</f>
        <v/>
      </c>
      <c r="R729" s="64">
        <f>IF(C729="","",IF(ISNUMBER(SEARCH("PCMSO",C729)),"Título com PCMSO no nome",IF(OR(ISNUMBER(SEARCH("E-SOCIAL",C729)),ISNUMBER(SEARCH("PSICOSOCIAL",C729))),"Título com eSocial/Psicossocial no nome",IF(O729="Receita recorrente","Tipo DRE recorrente","Extra sem palavra-chave específica"))))</f>
        <v/>
      </c>
      <c r="S729" s="92">
        <f>IFERROR(VLOOKUP($A729,'13. Mapa Títulos-Receita'!$A$8:$P$1000,4,FALSE),"")</f>
        <v/>
      </c>
      <c r="T729" s="92">
        <f>IFERROR(VLOOKUP($A729,'13. Mapa Títulos-Receita'!$A$8:$P$1000,5,FALSE),"")</f>
        <v/>
      </c>
      <c r="U729" s="92">
        <f>IFERROR(VLOOKUP($A729,'13. Mapa Títulos-Receita'!$A$8:$P$1000,6,FALSE),"")</f>
        <v/>
      </c>
      <c r="V729" s="92">
        <f>IFERROR(VLOOKUP($A729,'13. Mapa Títulos-Receita'!$A$8:$P$1000,7,FALSE),"")</f>
        <v/>
      </c>
      <c r="W729" s="92">
        <f>IFERROR(VLOOKUP($A729,'13. Mapa Títulos-Receita'!$A$8:$P$1000,8,FALSE),"")</f>
        <v/>
      </c>
      <c r="X729" s="92">
        <f>IFERROR(VLOOKUP($A729,'13. Mapa Títulos-Receita'!$A$8:$P$1000,9,FALSE),"")</f>
        <v/>
      </c>
      <c r="Y729" s="92">
        <f>IFERROR(VLOOKUP($A729,'13. Mapa Títulos-Receita'!$A$8:$P$1000,10,FALSE),"")</f>
        <v/>
      </c>
      <c r="Z729" s="92">
        <f>IFERROR(VLOOKUP($A729,'13. Mapa Títulos-Receita'!$A$8:$P$1000,11,FALSE),"")</f>
        <v/>
      </c>
      <c r="AA729" s="92">
        <f>IFERROR(VLOOKUP($A729,'13. Mapa Títulos-Receita'!$A$8:$P$1000,12,FALSE),"")</f>
        <v/>
      </c>
      <c r="AB729" s="92">
        <f>IFERROR(VLOOKUP($A729,'13. Mapa Títulos-Receita'!$A$8:$P$1000,13,FALSE),"")</f>
        <v/>
      </c>
      <c r="AC729" s="92">
        <f>IFERROR(VLOOKUP($A729,'13. Mapa Títulos-Receita'!$A$8:$P$1000,14,FALSE),"")</f>
        <v/>
      </c>
      <c r="AD729" s="92">
        <f>IFERROR(VLOOKUP($A729,'13. Mapa Títulos-Receita'!$A$8:$P$1000,15,FALSE),"")</f>
        <v/>
      </c>
      <c r="AE729" s="92">
        <f>IFERROR(VLOOKUP($A729,'13. Mapa Títulos-Receita'!$A$8:$P$1000,16,FALSE),"")</f>
        <v/>
      </c>
    </row>
    <row r="730">
      <c r="A730" s="28">
        <f>IF(C730="","", "CR-"&amp;TEXT(ROW()-7,"000"))</f>
        <v/>
      </c>
      <c r="B730" s="28" t="n"/>
      <c r="C730" s="28" t="n"/>
      <c r="D730" s="111" t="n"/>
      <c r="E730" s="111" t="n"/>
      <c r="F730" s="111" t="n"/>
      <c r="G730" s="28" t="n"/>
      <c r="H730" s="45" t="n"/>
      <c r="I730" s="45" t="n"/>
      <c r="J730" s="28">
        <f>IF(H730="","",IF(I730&gt;=H730,"Recebido",IF($B$4&gt;E730,"Vencido","Aberto")))</f>
        <v/>
      </c>
      <c r="K730" s="4">
        <f>IF(J730="","",IF(OR(J730="Recebido",F730=""),MAX(0,F730-E730),MAX(0,$B$4-E730)))</f>
        <v/>
      </c>
      <c r="L730" s="4">
        <f>IF(K730="","",IF(K730=0,"Em dia",IF(K730&lt;=30,"1-30 dias",IF(K730&lt;=60,"31-60 dias",IF(K730&lt;=90,"61-90 dias","&gt;90 dias")))))</f>
        <v/>
      </c>
      <c r="M730" s="28" t="n"/>
      <c r="N730" s="104" t="inlineStr"/>
      <c r="O730" s="64" t="n"/>
      <c r="P730" s="64">
        <f>IF(C730="","",IF(ISNUMBER(SEARCH("PCMSO",C730)),"PCMSO",IF(OR(ISNUMBER(SEARCH("E-SOCIAL",C730)),ISNUMBER(SEARCH("PSICOSOCIAL",C730))),"eSocial / Psicossocial",IF(O730="Receita recorrente","Carteira recorrente","Projetos / Laudos / Avulsos"))))</f>
        <v/>
      </c>
      <c r="Q730" s="64">
        <f>IF(P730="","",IF(P730="Carteira recorrente","Operação recorrente",IF(P730="PCMSO","Projetos PCMSO",IF(P730="eSocial / Psicossocial","Projetos eSocial/Psicossocial","Projetos / Laudos / Avulsos"))))</f>
        <v/>
      </c>
      <c r="R730" s="64">
        <f>IF(C730="","",IF(ISNUMBER(SEARCH("PCMSO",C730)),"Título com PCMSO no nome",IF(OR(ISNUMBER(SEARCH("E-SOCIAL",C730)),ISNUMBER(SEARCH("PSICOSOCIAL",C730))),"Título com eSocial/Psicossocial no nome",IF(O730="Receita recorrente","Tipo DRE recorrente","Extra sem palavra-chave específica"))))</f>
        <v/>
      </c>
      <c r="S730" s="92">
        <f>IFERROR(VLOOKUP($A730,'13. Mapa Títulos-Receita'!$A$8:$P$1000,4,FALSE),"")</f>
        <v/>
      </c>
      <c r="T730" s="92">
        <f>IFERROR(VLOOKUP($A730,'13. Mapa Títulos-Receita'!$A$8:$P$1000,5,FALSE),"")</f>
        <v/>
      </c>
      <c r="U730" s="92">
        <f>IFERROR(VLOOKUP($A730,'13. Mapa Títulos-Receita'!$A$8:$P$1000,6,FALSE),"")</f>
        <v/>
      </c>
      <c r="V730" s="92">
        <f>IFERROR(VLOOKUP($A730,'13. Mapa Títulos-Receita'!$A$8:$P$1000,7,FALSE),"")</f>
        <v/>
      </c>
      <c r="W730" s="92">
        <f>IFERROR(VLOOKUP($A730,'13. Mapa Títulos-Receita'!$A$8:$P$1000,8,FALSE),"")</f>
        <v/>
      </c>
      <c r="X730" s="92">
        <f>IFERROR(VLOOKUP($A730,'13. Mapa Títulos-Receita'!$A$8:$P$1000,9,FALSE),"")</f>
        <v/>
      </c>
      <c r="Y730" s="92">
        <f>IFERROR(VLOOKUP($A730,'13. Mapa Títulos-Receita'!$A$8:$P$1000,10,FALSE),"")</f>
        <v/>
      </c>
      <c r="Z730" s="92">
        <f>IFERROR(VLOOKUP($A730,'13. Mapa Títulos-Receita'!$A$8:$P$1000,11,FALSE),"")</f>
        <v/>
      </c>
      <c r="AA730" s="92">
        <f>IFERROR(VLOOKUP($A730,'13. Mapa Títulos-Receita'!$A$8:$P$1000,12,FALSE),"")</f>
        <v/>
      </c>
      <c r="AB730" s="92">
        <f>IFERROR(VLOOKUP($A730,'13. Mapa Títulos-Receita'!$A$8:$P$1000,13,FALSE),"")</f>
        <v/>
      </c>
      <c r="AC730" s="92">
        <f>IFERROR(VLOOKUP($A730,'13. Mapa Títulos-Receita'!$A$8:$P$1000,14,FALSE),"")</f>
        <v/>
      </c>
      <c r="AD730" s="92">
        <f>IFERROR(VLOOKUP($A730,'13. Mapa Títulos-Receita'!$A$8:$P$1000,15,FALSE),"")</f>
        <v/>
      </c>
      <c r="AE730" s="92">
        <f>IFERROR(VLOOKUP($A730,'13. Mapa Títulos-Receita'!$A$8:$P$1000,16,FALSE),"")</f>
        <v/>
      </c>
    </row>
    <row r="731">
      <c r="A731" s="28">
        <f>IF(C731="","", "CR-"&amp;TEXT(ROW()-7,"000"))</f>
        <v/>
      </c>
      <c r="B731" s="28" t="n"/>
      <c r="C731" s="28" t="n"/>
      <c r="D731" s="111" t="n"/>
      <c r="E731" s="111" t="n"/>
      <c r="F731" s="111" t="n"/>
      <c r="G731" s="28" t="n"/>
      <c r="H731" s="45" t="n"/>
      <c r="I731" s="45" t="n"/>
      <c r="J731" s="28">
        <f>IF(H731="","",IF(I731&gt;=H731,"Recebido",IF($B$4&gt;E731,"Vencido","Aberto")))</f>
        <v/>
      </c>
      <c r="K731" s="4">
        <f>IF(J731="","",IF(OR(J731="Recebido",F731=""),MAX(0,F731-E731),MAX(0,$B$4-E731)))</f>
        <v/>
      </c>
      <c r="L731" s="4">
        <f>IF(K731="","",IF(K731=0,"Em dia",IF(K731&lt;=30,"1-30 dias",IF(K731&lt;=60,"31-60 dias",IF(K731&lt;=90,"61-90 dias","&gt;90 dias")))))</f>
        <v/>
      </c>
      <c r="M731" s="28" t="n"/>
      <c r="N731" s="104" t="inlineStr"/>
      <c r="O731" s="64" t="n"/>
      <c r="P731" s="64">
        <f>IF(C731="","",IF(ISNUMBER(SEARCH("PCMSO",C731)),"PCMSO",IF(OR(ISNUMBER(SEARCH("E-SOCIAL",C731)),ISNUMBER(SEARCH("PSICOSOCIAL",C731))),"eSocial / Psicossocial",IF(O731="Receita recorrente","Carteira recorrente","Projetos / Laudos / Avulsos"))))</f>
        <v/>
      </c>
      <c r="Q731" s="64">
        <f>IF(P731="","",IF(P731="Carteira recorrente","Operação recorrente",IF(P731="PCMSO","Projetos PCMSO",IF(P731="eSocial / Psicossocial","Projetos eSocial/Psicossocial","Projetos / Laudos / Avulsos"))))</f>
        <v/>
      </c>
      <c r="R731" s="64">
        <f>IF(C731="","",IF(ISNUMBER(SEARCH("PCMSO",C731)),"Título com PCMSO no nome",IF(OR(ISNUMBER(SEARCH("E-SOCIAL",C731)),ISNUMBER(SEARCH("PSICOSOCIAL",C731))),"Título com eSocial/Psicossocial no nome",IF(O731="Receita recorrente","Tipo DRE recorrente","Extra sem palavra-chave específica"))))</f>
        <v/>
      </c>
      <c r="S731" s="92">
        <f>IFERROR(VLOOKUP($A731,'13. Mapa Títulos-Receita'!$A$8:$P$1000,4,FALSE),"")</f>
        <v/>
      </c>
      <c r="T731" s="92">
        <f>IFERROR(VLOOKUP($A731,'13. Mapa Títulos-Receita'!$A$8:$P$1000,5,FALSE),"")</f>
        <v/>
      </c>
      <c r="U731" s="92">
        <f>IFERROR(VLOOKUP($A731,'13. Mapa Títulos-Receita'!$A$8:$P$1000,6,FALSE),"")</f>
        <v/>
      </c>
      <c r="V731" s="92">
        <f>IFERROR(VLOOKUP($A731,'13. Mapa Títulos-Receita'!$A$8:$P$1000,7,FALSE),"")</f>
        <v/>
      </c>
      <c r="W731" s="92">
        <f>IFERROR(VLOOKUP($A731,'13. Mapa Títulos-Receita'!$A$8:$P$1000,8,FALSE),"")</f>
        <v/>
      </c>
      <c r="X731" s="92">
        <f>IFERROR(VLOOKUP($A731,'13. Mapa Títulos-Receita'!$A$8:$P$1000,9,FALSE),"")</f>
        <v/>
      </c>
      <c r="Y731" s="92">
        <f>IFERROR(VLOOKUP($A731,'13. Mapa Títulos-Receita'!$A$8:$P$1000,10,FALSE),"")</f>
        <v/>
      </c>
      <c r="Z731" s="92">
        <f>IFERROR(VLOOKUP($A731,'13. Mapa Títulos-Receita'!$A$8:$P$1000,11,FALSE),"")</f>
        <v/>
      </c>
      <c r="AA731" s="92">
        <f>IFERROR(VLOOKUP($A731,'13. Mapa Títulos-Receita'!$A$8:$P$1000,12,FALSE),"")</f>
        <v/>
      </c>
      <c r="AB731" s="92">
        <f>IFERROR(VLOOKUP($A731,'13. Mapa Títulos-Receita'!$A$8:$P$1000,13,FALSE),"")</f>
        <v/>
      </c>
      <c r="AC731" s="92">
        <f>IFERROR(VLOOKUP($A731,'13. Mapa Títulos-Receita'!$A$8:$P$1000,14,FALSE),"")</f>
        <v/>
      </c>
      <c r="AD731" s="92">
        <f>IFERROR(VLOOKUP($A731,'13. Mapa Títulos-Receita'!$A$8:$P$1000,15,FALSE),"")</f>
        <v/>
      </c>
      <c r="AE731" s="92">
        <f>IFERROR(VLOOKUP($A731,'13. Mapa Títulos-Receita'!$A$8:$P$1000,16,FALSE),"")</f>
        <v/>
      </c>
    </row>
    <row r="732">
      <c r="A732" s="28">
        <f>IF(C732="","", "CR-"&amp;TEXT(ROW()-7,"000"))</f>
        <v/>
      </c>
      <c r="B732" s="28" t="n"/>
      <c r="C732" s="28" t="n"/>
      <c r="D732" s="111" t="n"/>
      <c r="E732" s="111" t="n"/>
      <c r="F732" s="111" t="n"/>
      <c r="G732" s="28" t="n"/>
      <c r="H732" s="45" t="n"/>
      <c r="I732" s="45" t="n"/>
      <c r="J732" s="28">
        <f>IF(H732="","",IF(I732&gt;=H732,"Recebido",IF($B$4&gt;E732,"Vencido","Aberto")))</f>
        <v/>
      </c>
      <c r="K732" s="4">
        <f>IF(J732="","",IF(OR(J732="Recebido",F732=""),MAX(0,F732-E732),MAX(0,$B$4-E732)))</f>
        <v/>
      </c>
      <c r="L732" s="4">
        <f>IF(K732="","",IF(K732=0,"Em dia",IF(K732&lt;=30,"1-30 dias",IF(K732&lt;=60,"31-60 dias",IF(K732&lt;=90,"61-90 dias","&gt;90 dias")))))</f>
        <v/>
      </c>
      <c r="M732" s="28" t="n"/>
      <c r="N732" s="104" t="inlineStr"/>
      <c r="O732" s="64" t="n"/>
      <c r="P732" s="64">
        <f>IF(C732="","",IF(ISNUMBER(SEARCH("PCMSO",C732)),"PCMSO",IF(OR(ISNUMBER(SEARCH("E-SOCIAL",C732)),ISNUMBER(SEARCH("PSICOSOCIAL",C732))),"eSocial / Psicossocial",IF(O732="Receita recorrente","Carteira recorrente","Projetos / Laudos / Avulsos"))))</f>
        <v/>
      </c>
      <c r="Q732" s="64">
        <f>IF(P732="","",IF(P732="Carteira recorrente","Operação recorrente",IF(P732="PCMSO","Projetos PCMSO",IF(P732="eSocial / Psicossocial","Projetos eSocial/Psicossocial","Projetos / Laudos / Avulsos"))))</f>
        <v/>
      </c>
      <c r="R732" s="64">
        <f>IF(C732="","",IF(ISNUMBER(SEARCH("PCMSO",C732)),"Título com PCMSO no nome",IF(OR(ISNUMBER(SEARCH("E-SOCIAL",C732)),ISNUMBER(SEARCH("PSICOSOCIAL",C732))),"Título com eSocial/Psicossocial no nome",IF(O732="Receita recorrente","Tipo DRE recorrente","Extra sem palavra-chave específica"))))</f>
        <v/>
      </c>
      <c r="S732" s="92">
        <f>IFERROR(VLOOKUP($A732,'13. Mapa Títulos-Receita'!$A$8:$P$1000,4,FALSE),"")</f>
        <v/>
      </c>
      <c r="T732" s="92">
        <f>IFERROR(VLOOKUP($A732,'13. Mapa Títulos-Receita'!$A$8:$P$1000,5,FALSE),"")</f>
        <v/>
      </c>
      <c r="U732" s="92">
        <f>IFERROR(VLOOKUP($A732,'13. Mapa Títulos-Receita'!$A$8:$P$1000,6,FALSE),"")</f>
        <v/>
      </c>
      <c r="V732" s="92">
        <f>IFERROR(VLOOKUP($A732,'13. Mapa Títulos-Receita'!$A$8:$P$1000,7,FALSE),"")</f>
        <v/>
      </c>
      <c r="W732" s="92">
        <f>IFERROR(VLOOKUP($A732,'13. Mapa Títulos-Receita'!$A$8:$P$1000,8,FALSE),"")</f>
        <v/>
      </c>
      <c r="X732" s="92">
        <f>IFERROR(VLOOKUP($A732,'13. Mapa Títulos-Receita'!$A$8:$P$1000,9,FALSE),"")</f>
        <v/>
      </c>
      <c r="Y732" s="92">
        <f>IFERROR(VLOOKUP($A732,'13. Mapa Títulos-Receita'!$A$8:$P$1000,10,FALSE),"")</f>
        <v/>
      </c>
      <c r="Z732" s="92">
        <f>IFERROR(VLOOKUP($A732,'13. Mapa Títulos-Receita'!$A$8:$P$1000,11,FALSE),"")</f>
        <v/>
      </c>
      <c r="AA732" s="92">
        <f>IFERROR(VLOOKUP($A732,'13. Mapa Títulos-Receita'!$A$8:$P$1000,12,FALSE),"")</f>
        <v/>
      </c>
      <c r="AB732" s="92">
        <f>IFERROR(VLOOKUP($A732,'13. Mapa Títulos-Receita'!$A$8:$P$1000,13,FALSE),"")</f>
        <v/>
      </c>
      <c r="AC732" s="92">
        <f>IFERROR(VLOOKUP($A732,'13. Mapa Títulos-Receita'!$A$8:$P$1000,14,FALSE),"")</f>
        <v/>
      </c>
      <c r="AD732" s="92">
        <f>IFERROR(VLOOKUP($A732,'13. Mapa Títulos-Receita'!$A$8:$P$1000,15,FALSE),"")</f>
        <v/>
      </c>
      <c r="AE732" s="92">
        <f>IFERROR(VLOOKUP($A732,'13. Mapa Títulos-Receita'!$A$8:$P$1000,16,FALSE),"")</f>
        <v/>
      </c>
    </row>
    <row r="733">
      <c r="A733" s="28">
        <f>IF(C733="","", "CR-"&amp;TEXT(ROW()-7,"000"))</f>
        <v/>
      </c>
      <c r="B733" s="28" t="n"/>
      <c r="C733" s="28" t="n"/>
      <c r="D733" s="111" t="n"/>
      <c r="E733" s="111" t="n"/>
      <c r="F733" s="111" t="n"/>
      <c r="G733" s="28" t="n"/>
      <c r="H733" s="45" t="n"/>
      <c r="I733" s="45" t="n"/>
      <c r="J733" s="28">
        <f>IF(H733="","",IF(I733&gt;=H733,"Recebido",IF($B$4&gt;E733,"Vencido","Aberto")))</f>
        <v/>
      </c>
      <c r="K733" s="4">
        <f>IF(J733="","",IF(OR(J733="Recebido",F733=""),MAX(0,F733-E733),MAX(0,$B$4-E733)))</f>
        <v/>
      </c>
      <c r="L733" s="4">
        <f>IF(K733="","",IF(K733=0,"Em dia",IF(K733&lt;=30,"1-30 dias",IF(K733&lt;=60,"31-60 dias",IF(K733&lt;=90,"61-90 dias","&gt;90 dias")))))</f>
        <v/>
      </c>
      <c r="M733" s="28" t="n"/>
      <c r="N733" s="104" t="inlineStr"/>
      <c r="O733" s="64" t="n"/>
      <c r="P733" s="64">
        <f>IF(C733="","",IF(ISNUMBER(SEARCH("PCMSO",C733)),"PCMSO",IF(OR(ISNUMBER(SEARCH("E-SOCIAL",C733)),ISNUMBER(SEARCH("PSICOSOCIAL",C733))),"eSocial / Psicossocial",IF(O733="Receita recorrente","Carteira recorrente","Projetos / Laudos / Avulsos"))))</f>
        <v/>
      </c>
      <c r="Q733" s="64">
        <f>IF(P733="","",IF(P733="Carteira recorrente","Operação recorrente",IF(P733="PCMSO","Projetos PCMSO",IF(P733="eSocial / Psicossocial","Projetos eSocial/Psicossocial","Projetos / Laudos / Avulsos"))))</f>
        <v/>
      </c>
      <c r="R733" s="64">
        <f>IF(C733="","",IF(ISNUMBER(SEARCH("PCMSO",C733)),"Título com PCMSO no nome",IF(OR(ISNUMBER(SEARCH("E-SOCIAL",C733)),ISNUMBER(SEARCH("PSICOSOCIAL",C733))),"Título com eSocial/Psicossocial no nome",IF(O733="Receita recorrente","Tipo DRE recorrente","Extra sem palavra-chave específica"))))</f>
        <v/>
      </c>
      <c r="S733" s="92">
        <f>IFERROR(VLOOKUP($A733,'13. Mapa Títulos-Receita'!$A$8:$P$1000,4,FALSE),"")</f>
        <v/>
      </c>
      <c r="T733" s="92">
        <f>IFERROR(VLOOKUP($A733,'13. Mapa Títulos-Receita'!$A$8:$P$1000,5,FALSE),"")</f>
        <v/>
      </c>
      <c r="U733" s="92">
        <f>IFERROR(VLOOKUP($A733,'13. Mapa Títulos-Receita'!$A$8:$P$1000,6,FALSE),"")</f>
        <v/>
      </c>
      <c r="V733" s="92">
        <f>IFERROR(VLOOKUP($A733,'13. Mapa Títulos-Receita'!$A$8:$P$1000,7,FALSE),"")</f>
        <v/>
      </c>
      <c r="W733" s="92">
        <f>IFERROR(VLOOKUP($A733,'13. Mapa Títulos-Receita'!$A$8:$P$1000,8,FALSE),"")</f>
        <v/>
      </c>
      <c r="X733" s="92">
        <f>IFERROR(VLOOKUP($A733,'13. Mapa Títulos-Receita'!$A$8:$P$1000,9,FALSE),"")</f>
        <v/>
      </c>
      <c r="Y733" s="92">
        <f>IFERROR(VLOOKUP($A733,'13. Mapa Títulos-Receita'!$A$8:$P$1000,10,FALSE),"")</f>
        <v/>
      </c>
      <c r="Z733" s="92">
        <f>IFERROR(VLOOKUP($A733,'13. Mapa Títulos-Receita'!$A$8:$P$1000,11,FALSE),"")</f>
        <v/>
      </c>
      <c r="AA733" s="92">
        <f>IFERROR(VLOOKUP($A733,'13. Mapa Títulos-Receita'!$A$8:$P$1000,12,FALSE),"")</f>
        <v/>
      </c>
      <c r="AB733" s="92">
        <f>IFERROR(VLOOKUP($A733,'13. Mapa Títulos-Receita'!$A$8:$P$1000,13,FALSE),"")</f>
        <v/>
      </c>
      <c r="AC733" s="92">
        <f>IFERROR(VLOOKUP($A733,'13. Mapa Títulos-Receita'!$A$8:$P$1000,14,FALSE),"")</f>
        <v/>
      </c>
      <c r="AD733" s="92">
        <f>IFERROR(VLOOKUP($A733,'13. Mapa Títulos-Receita'!$A$8:$P$1000,15,FALSE),"")</f>
        <v/>
      </c>
      <c r="AE733" s="92">
        <f>IFERROR(VLOOKUP($A733,'13. Mapa Títulos-Receita'!$A$8:$P$1000,16,FALSE),"")</f>
        <v/>
      </c>
    </row>
    <row r="734">
      <c r="A734" s="28">
        <f>IF(C734="","", "CR-"&amp;TEXT(ROW()-7,"000"))</f>
        <v/>
      </c>
      <c r="B734" s="28" t="n"/>
      <c r="C734" s="28" t="n"/>
      <c r="D734" s="111" t="n"/>
      <c r="E734" s="111" t="n"/>
      <c r="F734" s="111" t="n"/>
      <c r="G734" s="28" t="n"/>
      <c r="H734" s="45" t="n"/>
      <c r="I734" s="45" t="n"/>
      <c r="J734" s="28">
        <f>IF(H734="","",IF(I734&gt;=H734,"Recebido",IF($B$4&gt;E734,"Vencido","Aberto")))</f>
        <v/>
      </c>
      <c r="K734" s="4">
        <f>IF(J734="","",IF(OR(J734="Recebido",F734=""),MAX(0,F734-E734),MAX(0,$B$4-E734)))</f>
        <v/>
      </c>
      <c r="L734" s="4">
        <f>IF(K734="","",IF(K734=0,"Em dia",IF(K734&lt;=30,"1-30 dias",IF(K734&lt;=60,"31-60 dias",IF(K734&lt;=90,"61-90 dias","&gt;90 dias")))))</f>
        <v/>
      </c>
      <c r="M734" s="28" t="n"/>
      <c r="N734" s="104" t="inlineStr"/>
      <c r="O734" s="64" t="n"/>
      <c r="P734" s="64">
        <f>IF(C734="","",IF(ISNUMBER(SEARCH("PCMSO",C734)),"PCMSO",IF(OR(ISNUMBER(SEARCH("E-SOCIAL",C734)),ISNUMBER(SEARCH("PSICOSOCIAL",C734))),"eSocial / Psicossocial",IF(O734="Receita recorrente","Carteira recorrente","Projetos / Laudos / Avulsos"))))</f>
        <v/>
      </c>
      <c r="Q734" s="64">
        <f>IF(P734="","",IF(P734="Carteira recorrente","Operação recorrente",IF(P734="PCMSO","Projetos PCMSO",IF(P734="eSocial / Psicossocial","Projetos eSocial/Psicossocial","Projetos / Laudos / Avulsos"))))</f>
        <v/>
      </c>
      <c r="R734" s="64">
        <f>IF(C734="","",IF(ISNUMBER(SEARCH("PCMSO",C734)),"Título com PCMSO no nome",IF(OR(ISNUMBER(SEARCH("E-SOCIAL",C734)),ISNUMBER(SEARCH("PSICOSOCIAL",C734))),"Título com eSocial/Psicossocial no nome",IF(O734="Receita recorrente","Tipo DRE recorrente","Extra sem palavra-chave específica"))))</f>
        <v/>
      </c>
      <c r="S734" s="92">
        <f>IFERROR(VLOOKUP($A734,'13. Mapa Títulos-Receita'!$A$8:$P$1000,4,FALSE),"")</f>
        <v/>
      </c>
      <c r="T734" s="92">
        <f>IFERROR(VLOOKUP($A734,'13. Mapa Títulos-Receita'!$A$8:$P$1000,5,FALSE),"")</f>
        <v/>
      </c>
      <c r="U734" s="92">
        <f>IFERROR(VLOOKUP($A734,'13. Mapa Títulos-Receita'!$A$8:$P$1000,6,FALSE),"")</f>
        <v/>
      </c>
      <c r="V734" s="92">
        <f>IFERROR(VLOOKUP($A734,'13. Mapa Títulos-Receita'!$A$8:$P$1000,7,FALSE),"")</f>
        <v/>
      </c>
      <c r="W734" s="92">
        <f>IFERROR(VLOOKUP($A734,'13. Mapa Títulos-Receita'!$A$8:$P$1000,8,FALSE),"")</f>
        <v/>
      </c>
      <c r="X734" s="92">
        <f>IFERROR(VLOOKUP($A734,'13. Mapa Títulos-Receita'!$A$8:$P$1000,9,FALSE),"")</f>
        <v/>
      </c>
      <c r="Y734" s="92">
        <f>IFERROR(VLOOKUP($A734,'13. Mapa Títulos-Receita'!$A$8:$P$1000,10,FALSE),"")</f>
        <v/>
      </c>
      <c r="Z734" s="92">
        <f>IFERROR(VLOOKUP($A734,'13. Mapa Títulos-Receita'!$A$8:$P$1000,11,FALSE),"")</f>
        <v/>
      </c>
      <c r="AA734" s="92">
        <f>IFERROR(VLOOKUP($A734,'13. Mapa Títulos-Receita'!$A$8:$P$1000,12,FALSE),"")</f>
        <v/>
      </c>
      <c r="AB734" s="92">
        <f>IFERROR(VLOOKUP($A734,'13. Mapa Títulos-Receita'!$A$8:$P$1000,13,FALSE),"")</f>
        <v/>
      </c>
      <c r="AC734" s="92">
        <f>IFERROR(VLOOKUP($A734,'13. Mapa Títulos-Receita'!$A$8:$P$1000,14,FALSE),"")</f>
        <v/>
      </c>
      <c r="AD734" s="92">
        <f>IFERROR(VLOOKUP($A734,'13. Mapa Títulos-Receita'!$A$8:$P$1000,15,FALSE),"")</f>
        <v/>
      </c>
      <c r="AE734" s="92">
        <f>IFERROR(VLOOKUP($A734,'13. Mapa Títulos-Receita'!$A$8:$P$1000,16,FALSE),"")</f>
        <v/>
      </c>
    </row>
    <row r="735">
      <c r="A735" s="28">
        <f>IF(C735="","", "CR-"&amp;TEXT(ROW()-7,"000"))</f>
        <v/>
      </c>
      <c r="B735" s="28" t="n"/>
      <c r="C735" s="28" t="n"/>
      <c r="D735" s="111" t="n"/>
      <c r="E735" s="111" t="n"/>
      <c r="F735" s="111" t="n"/>
      <c r="G735" s="28" t="n"/>
      <c r="H735" s="45" t="n"/>
      <c r="I735" s="45" t="n"/>
      <c r="J735" s="28">
        <f>IF(H735="","",IF(I735&gt;=H735,"Recebido",IF($B$4&gt;E735,"Vencido","Aberto")))</f>
        <v/>
      </c>
      <c r="K735" s="4">
        <f>IF(J735="","",IF(OR(J735="Recebido",F735=""),MAX(0,F735-E735),MAX(0,$B$4-E735)))</f>
        <v/>
      </c>
      <c r="L735" s="4">
        <f>IF(K735="","",IF(K735=0,"Em dia",IF(K735&lt;=30,"1-30 dias",IF(K735&lt;=60,"31-60 dias",IF(K735&lt;=90,"61-90 dias","&gt;90 dias")))))</f>
        <v/>
      </c>
      <c r="M735" s="28" t="n"/>
      <c r="N735" s="104" t="inlineStr"/>
      <c r="O735" s="64" t="n"/>
      <c r="P735" s="64">
        <f>IF(C735="","",IF(ISNUMBER(SEARCH("PCMSO",C735)),"PCMSO",IF(OR(ISNUMBER(SEARCH("E-SOCIAL",C735)),ISNUMBER(SEARCH("PSICOSOCIAL",C735))),"eSocial / Psicossocial",IF(O735="Receita recorrente","Carteira recorrente","Projetos / Laudos / Avulsos"))))</f>
        <v/>
      </c>
      <c r="Q735" s="64">
        <f>IF(P735="","",IF(P735="Carteira recorrente","Operação recorrente",IF(P735="PCMSO","Projetos PCMSO",IF(P735="eSocial / Psicossocial","Projetos eSocial/Psicossocial","Projetos / Laudos / Avulsos"))))</f>
        <v/>
      </c>
      <c r="R735" s="64">
        <f>IF(C735="","",IF(ISNUMBER(SEARCH("PCMSO",C735)),"Título com PCMSO no nome",IF(OR(ISNUMBER(SEARCH("E-SOCIAL",C735)),ISNUMBER(SEARCH("PSICOSOCIAL",C735))),"Título com eSocial/Psicossocial no nome",IF(O735="Receita recorrente","Tipo DRE recorrente","Extra sem palavra-chave específica"))))</f>
        <v/>
      </c>
      <c r="S735" s="92">
        <f>IFERROR(VLOOKUP($A735,'13. Mapa Títulos-Receita'!$A$8:$P$1000,4,FALSE),"")</f>
        <v/>
      </c>
      <c r="T735" s="92">
        <f>IFERROR(VLOOKUP($A735,'13. Mapa Títulos-Receita'!$A$8:$P$1000,5,FALSE),"")</f>
        <v/>
      </c>
      <c r="U735" s="92">
        <f>IFERROR(VLOOKUP($A735,'13. Mapa Títulos-Receita'!$A$8:$P$1000,6,FALSE),"")</f>
        <v/>
      </c>
      <c r="V735" s="92">
        <f>IFERROR(VLOOKUP($A735,'13. Mapa Títulos-Receita'!$A$8:$P$1000,7,FALSE),"")</f>
        <v/>
      </c>
      <c r="W735" s="92">
        <f>IFERROR(VLOOKUP($A735,'13. Mapa Títulos-Receita'!$A$8:$P$1000,8,FALSE),"")</f>
        <v/>
      </c>
      <c r="X735" s="92">
        <f>IFERROR(VLOOKUP($A735,'13. Mapa Títulos-Receita'!$A$8:$P$1000,9,FALSE),"")</f>
        <v/>
      </c>
      <c r="Y735" s="92">
        <f>IFERROR(VLOOKUP($A735,'13. Mapa Títulos-Receita'!$A$8:$P$1000,10,FALSE),"")</f>
        <v/>
      </c>
      <c r="Z735" s="92">
        <f>IFERROR(VLOOKUP($A735,'13. Mapa Títulos-Receita'!$A$8:$P$1000,11,FALSE),"")</f>
        <v/>
      </c>
      <c r="AA735" s="92">
        <f>IFERROR(VLOOKUP($A735,'13. Mapa Títulos-Receita'!$A$8:$P$1000,12,FALSE),"")</f>
        <v/>
      </c>
      <c r="AB735" s="92">
        <f>IFERROR(VLOOKUP($A735,'13. Mapa Títulos-Receita'!$A$8:$P$1000,13,FALSE),"")</f>
        <v/>
      </c>
      <c r="AC735" s="92">
        <f>IFERROR(VLOOKUP($A735,'13. Mapa Títulos-Receita'!$A$8:$P$1000,14,FALSE),"")</f>
        <v/>
      </c>
      <c r="AD735" s="92">
        <f>IFERROR(VLOOKUP($A735,'13. Mapa Títulos-Receita'!$A$8:$P$1000,15,FALSE),"")</f>
        <v/>
      </c>
      <c r="AE735" s="92">
        <f>IFERROR(VLOOKUP($A735,'13. Mapa Títulos-Receita'!$A$8:$P$1000,16,FALSE),"")</f>
        <v/>
      </c>
    </row>
    <row r="736">
      <c r="A736" s="28">
        <f>IF(C736="","", "CR-"&amp;TEXT(ROW()-7,"000"))</f>
        <v/>
      </c>
      <c r="B736" s="28" t="n"/>
      <c r="C736" s="28" t="n"/>
      <c r="D736" s="111" t="n"/>
      <c r="E736" s="111" t="n"/>
      <c r="F736" s="111" t="n"/>
      <c r="G736" s="28" t="n"/>
      <c r="H736" s="45" t="n"/>
      <c r="I736" s="45" t="n"/>
      <c r="J736" s="28">
        <f>IF(H736="","",IF(I736&gt;=H736,"Recebido",IF($B$4&gt;E736,"Vencido","Aberto")))</f>
        <v/>
      </c>
      <c r="K736" s="4">
        <f>IF(J736="","",IF(OR(J736="Recebido",F736=""),MAX(0,F736-E736),MAX(0,$B$4-E736)))</f>
        <v/>
      </c>
      <c r="L736" s="4">
        <f>IF(K736="","",IF(K736=0,"Em dia",IF(K736&lt;=30,"1-30 dias",IF(K736&lt;=60,"31-60 dias",IF(K736&lt;=90,"61-90 dias","&gt;90 dias")))))</f>
        <v/>
      </c>
      <c r="M736" s="28" t="n"/>
      <c r="N736" s="104" t="inlineStr"/>
      <c r="O736" s="64" t="n"/>
      <c r="P736" s="64">
        <f>IF(C736="","",IF(ISNUMBER(SEARCH("PCMSO",C736)),"PCMSO",IF(OR(ISNUMBER(SEARCH("E-SOCIAL",C736)),ISNUMBER(SEARCH("PSICOSOCIAL",C736))),"eSocial / Psicossocial",IF(O736="Receita recorrente","Carteira recorrente","Projetos / Laudos / Avulsos"))))</f>
        <v/>
      </c>
      <c r="Q736" s="64">
        <f>IF(P736="","",IF(P736="Carteira recorrente","Operação recorrente",IF(P736="PCMSO","Projetos PCMSO",IF(P736="eSocial / Psicossocial","Projetos eSocial/Psicossocial","Projetos / Laudos / Avulsos"))))</f>
        <v/>
      </c>
      <c r="R736" s="64">
        <f>IF(C736="","",IF(ISNUMBER(SEARCH("PCMSO",C736)),"Título com PCMSO no nome",IF(OR(ISNUMBER(SEARCH("E-SOCIAL",C736)),ISNUMBER(SEARCH("PSICOSOCIAL",C736))),"Título com eSocial/Psicossocial no nome",IF(O736="Receita recorrente","Tipo DRE recorrente","Extra sem palavra-chave específica"))))</f>
        <v/>
      </c>
      <c r="S736" s="92">
        <f>IFERROR(VLOOKUP($A736,'13. Mapa Títulos-Receita'!$A$8:$P$1000,4,FALSE),"")</f>
        <v/>
      </c>
      <c r="T736" s="92">
        <f>IFERROR(VLOOKUP($A736,'13. Mapa Títulos-Receita'!$A$8:$P$1000,5,FALSE),"")</f>
        <v/>
      </c>
      <c r="U736" s="92">
        <f>IFERROR(VLOOKUP($A736,'13. Mapa Títulos-Receita'!$A$8:$P$1000,6,FALSE),"")</f>
        <v/>
      </c>
      <c r="V736" s="92">
        <f>IFERROR(VLOOKUP($A736,'13. Mapa Títulos-Receita'!$A$8:$P$1000,7,FALSE),"")</f>
        <v/>
      </c>
      <c r="W736" s="92">
        <f>IFERROR(VLOOKUP($A736,'13. Mapa Títulos-Receita'!$A$8:$P$1000,8,FALSE),"")</f>
        <v/>
      </c>
      <c r="X736" s="92">
        <f>IFERROR(VLOOKUP($A736,'13. Mapa Títulos-Receita'!$A$8:$P$1000,9,FALSE),"")</f>
        <v/>
      </c>
      <c r="Y736" s="92">
        <f>IFERROR(VLOOKUP($A736,'13. Mapa Títulos-Receita'!$A$8:$P$1000,10,FALSE),"")</f>
        <v/>
      </c>
      <c r="Z736" s="92">
        <f>IFERROR(VLOOKUP($A736,'13. Mapa Títulos-Receita'!$A$8:$P$1000,11,FALSE),"")</f>
        <v/>
      </c>
      <c r="AA736" s="92">
        <f>IFERROR(VLOOKUP($A736,'13. Mapa Títulos-Receita'!$A$8:$P$1000,12,FALSE),"")</f>
        <v/>
      </c>
      <c r="AB736" s="92">
        <f>IFERROR(VLOOKUP($A736,'13. Mapa Títulos-Receita'!$A$8:$P$1000,13,FALSE),"")</f>
        <v/>
      </c>
      <c r="AC736" s="92">
        <f>IFERROR(VLOOKUP($A736,'13. Mapa Títulos-Receita'!$A$8:$P$1000,14,FALSE),"")</f>
        <v/>
      </c>
      <c r="AD736" s="92">
        <f>IFERROR(VLOOKUP($A736,'13. Mapa Títulos-Receita'!$A$8:$P$1000,15,FALSE),"")</f>
        <v/>
      </c>
      <c r="AE736" s="92">
        <f>IFERROR(VLOOKUP($A736,'13. Mapa Títulos-Receita'!$A$8:$P$1000,16,FALSE),"")</f>
        <v/>
      </c>
    </row>
    <row r="737">
      <c r="A737" s="28">
        <f>IF(C737="","", "CR-"&amp;TEXT(ROW()-7,"000"))</f>
        <v/>
      </c>
      <c r="B737" s="28" t="n"/>
      <c r="C737" s="28" t="n"/>
      <c r="D737" s="111" t="n"/>
      <c r="E737" s="111" t="n"/>
      <c r="F737" s="111" t="n"/>
      <c r="G737" s="28" t="n"/>
      <c r="H737" s="45" t="n"/>
      <c r="I737" s="45" t="n"/>
      <c r="J737" s="28">
        <f>IF(H737="","",IF(I737&gt;=H737,"Recebido",IF($B$4&gt;E737,"Vencido","Aberto")))</f>
        <v/>
      </c>
      <c r="K737" s="4">
        <f>IF(J737="","",IF(OR(J737="Recebido",F737=""),MAX(0,F737-E737),MAX(0,$B$4-E737)))</f>
        <v/>
      </c>
      <c r="L737" s="4">
        <f>IF(K737="","",IF(K737=0,"Em dia",IF(K737&lt;=30,"1-30 dias",IF(K737&lt;=60,"31-60 dias",IF(K737&lt;=90,"61-90 dias","&gt;90 dias")))))</f>
        <v/>
      </c>
      <c r="M737" s="28" t="n"/>
      <c r="N737" s="104" t="inlineStr"/>
      <c r="O737" s="64" t="n"/>
      <c r="P737" s="64">
        <f>IF(C737="","",IF(ISNUMBER(SEARCH("PCMSO",C737)),"PCMSO",IF(OR(ISNUMBER(SEARCH("E-SOCIAL",C737)),ISNUMBER(SEARCH("PSICOSOCIAL",C737))),"eSocial / Psicossocial",IF(O737="Receita recorrente","Carteira recorrente","Projetos / Laudos / Avulsos"))))</f>
        <v/>
      </c>
      <c r="Q737" s="64">
        <f>IF(P737="","",IF(P737="Carteira recorrente","Operação recorrente",IF(P737="PCMSO","Projetos PCMSO",IF(P737="eSocial / Psicossocial","Projetos eSocial/Psicossocial","Projetos / Laudos / Avulsos"))))</f>
        <v/>
      </c>
      <c r="R737" s="64">
        <f>IF(C737="","",IF(ISNUMBER(SEARCH("PCMSO",C737)),"Título com PCMSO no nome",IF(OR(ISNUMBER(SEARCH("E-SOCIAL",C737)),ISNUMBER(SEARCH("PSICOSOCIAL",C737))),"Título com eSocial/Psicossocial no nome",IF(O737="Receita recorrente","Tipo DRE recorrente","Extra sem palavra-chave específica"))))</f>
        <v/>
      </c>
      <c r="S737" s="92">
        <f>IFERROR(VLOOKUP($A737,'13. Mapa Títulos-Receita'!$A$8:$P$1000,4,FALSE),"")</f>
        <v/>
      </c>
      <c r="T737" s="92">
        <f>IFERROR(VLOOKUP($A737,'13. Mapa Títulos-Receita'!$A$8:$P$1000,5,FALSE),"")</f>
        <v/>
      </c>
      <c r="U737" s="92">
        <f>IFERROR(VLOOKUP($A737,'13. Mapa Títulos-Receita'!$A$8:$P$1000,6,FALSE),"")</f>
        <v/>
      </c>
      <c r="V737" s="92">
        <f>IFERROR(VLOOKUP($A737,'13. Mapa Títulos-Receita'!$A$8:$P$1000,7,FALSE),"")</f>
        <v/>
      </c>
      <c r="W737" s="92">
        <f>IFERROR(VLOOKUP($A737,'13. Mapa Títulos-Receita'!$A$8:$P$1000,8,FALSE),"")</f>
        <v/>
      </c>
      <c r="X737" s="92">
        <f>IFERROR(VLOOKUP($A737,'13. Mapa Títulos-Receita'!$A$8:$P$1000,9,FALSE),"")</f>
        <v/>
      </c>
      <c r="Y737" s="92">
        <f>IFERROR(VLOOKUP($A737,'13. Mapa Títulos-Receita'!$A$8:$P$1000,10,FALSE),"")</f>
        <v/>
      </c>
      <c r="Z737" s="92">
        <f>IFERROR(VLOOKUP($A737,'13. Mapa Títulos-Receita'!$A$8:$P$1000,11,FALSE),"")</f>
        <v/>
      </c>
      <c r="AA737" s="92">
        <f>IFERROR(VLOOKUP($A737,'13. Mapa Títulos-Receita'!$A$8:$P$1000,12,FALSE),"")</f>
        <v/>
      </c>
      <c r="AB737" s="92">
        <f>IFERROR(VLOOKUP($A737,'13. Mapa Títulos-Receita'!$A$8:$P$1000,13,FALSE),"")</f>
        <v/>
      </c>
      <c r="AC737" s="92">
        <f>IFERROR(VLOOKUP($A737,'13. Mapa Títulos-Receita'!$A$8:$P$1000,14,FALSE),"")</f>
        <v/>
      </c>
      <c r="AD737" s="92">
        <f>IFERROR(VLOOKUP($A737,'13. Mapa Títulos-Receita'!$A$8:$P$1000,15,FALSE),"")</f>
        <v/>
      </c>
      <c r="AE737" s="92">
        <f>IFERROR(VLOOKUP($A737,'13. Mapa Títulos-Receita'!$A$8:$P$1000,16,FALSE),"")</f>
        <v/>
      </c>
    </row>
    <row r="738">
      <c r="A738" s="28">
        <f>IF(C738="","", "CR-"&amp;TEXT(ROW()-7,"000"))</f>
        <v/>
      </c>
      <c r="B738" s="28" t="n"/>
      <c r="C738" s="28" t="n"/>
      <c r="D738" s="111" t="n"/>
      <c r="E738" s="111" t="n"/>
      <c r="F738" s="111" t="n"/>
      <c r="G738" s="28" t="n"/>
      <c r="H738" s="45" t="n"/>
      <c r="I738" s="45" t="n"/>
      <c r="J738" s="28">
        <f>IF(H738="","",IF(I738&gt;=H738,"Recebido",IF($B$4&gt;E738,"Vencido","Aberto")))</f>
        <v/>
      </c>
      <c r="K738" s="4">
        <f>IF(J738="","",IF(OR(J738="Recebido",F738=""),MAX(0,F738-E738),MAX(0,$B$4-E738)))</f>
        <v/>
      </c>
      <c r="L738" s="4">
        <f>IF(K738="","",IF(K738=0,"Em dia",IF(K738&lt;=30,"1-30 dias",IF(K738&lt;=60,"31-60 dias",IF(K738&lt;=90,"61-90 dias","&gt;90 dias")))))</f>
        <v/>
      </c>
      <c r="M738" s="28" t="n"/>
      <c r="N738" s="104" t="inlineStr"/>
      <c r="O738" s="64" t="n"/>
      <c r="P738" s="64">
        <f>IF(C738="","",IF(ISNUMBER(SEARCH("PCMSO",C738)),"PCMSO",IF(OR(ISNUMBER(SEARCH("E-SOCIAL",C738)),ISNUMBER(SEARCH("PSICOSOCIAL",C738))),"eSocial / Psicossocial",IF(O738="Receita recorrente","Carteira recorrente","Projetos / Laudos / Avulsos"))))</f>
        <v/>
      </c>
      <c r="Q738" s="64">
        <f>IF(P738="","",IF(P738="Carteira recorrente","Operação recorrente",IF(P738="PCMSO","Projetos PCMSO",IF(P738="eSocial / Psicossocial","Projetos eSocial/Psicossocial","Projetos / Laudos / Avulsos"))))</f>
        <v/>
      </c>
      <c r="R738" s="64">
        <f>IF(C738="","",IF(ISNUMBER(SEARCH("PCMSO",C738)),"Título com PCMSO no nome",IF(OR(ISNUMBER(SEARCH("E-SOCIAL",C738)),ISNUMBER(SEARCH("PSICOSOCIAL",C738))),"Título com eSocial/Psicossocial no nome",IF(O738="Receita recorrente","Tipo DRE recorrente","Extra sem palavra-chave específica"))))</f>
        <v/>
      </c>
      <c r="S738" s="92">
        <f>IFERROR(VLOOKUP($A738,'13. Mapa Títulos-Receita'!$A$8:$P$1000,4,FALSE),"")</f>
        <v/>
      </c>
      <c r="T738" s="92">
        <f>IFERROR(VLOOKUP($A738,'13. Mapa Títulos-Receita'!$A$8:$P$1000,5,FALSE),"")</f>
        <v/>
      </c>
      <c r="U738" s="92">
        <f>IFERROR(VLOOKUP($A738,'13. Mapa Títulos-Receita'!$A$8:$P$1000,6,FALSE),"")</f>
        <v/>
      </c>
      <c r="V738" s="92">
        <f>IFERROR(VLOOKUP($A738,'13. Mapa Títulos-Receita'!$A$8:$P$1000,7,FALSE),"")</f>
        <v/>
      </c>
      <c r="W738" s="92">
        <f>IFERROR(VLOOKUP($A738,'13. Mapa Títulos-Receita'!$A$8:$P$1000,8,FALSE),"")</f>
        <v/>
      </c>
      <c r="X738" s="92">
        <f>IFERROR(VLOOKUP($A738,'13. Mapa Títulos-Receita'!$A$8:$P$1000,9,FALSE),"")</f>
        <v/>
      </c>
      <c r="Y738" s="92">
        <f>IFERROR(VLOOKUP($A738,'13. Mapa Títulos-Receita'!$A$8:$P$1000,10,FALSE),"")</f>
        <v/>
      </c>
      <c r="Z738" s="92">
        <f>IFERROR(VLOOKUP($A738,'13. Mapa Títulos-Receita'!$A$8:$P$1000,11,FALSE),"")</f>
        <v/>
      </c>
      <c r="AA738" s="92">
        <f>IFERROR(VLOOKUP($A738,'13. Mapa Títulos-Receita'!$A$8:$P$1000,12,FALSE),"")</f>
        <v/>
      </c>
      <c r="AB738" s="92">
        <f>IFERROR(VLOOKUP($A738,'13. Mapa Títulos-Receita'!$A$8:$P$1000,13,FALSE),"")</f>
        <v/>
      </c>
      <c r="AC738" s="92">
        <f>IFERROR(VLOOKUP($A738,'13. Mapa Títulos-Receita'!$A$8:$P$1000,14,FALSE),"")</f>
        <v/>
      </c>
      <c r="AD738" s="92">
        <f>IFERROR(VLOOKUP($A738,'13. Mapa Títulos-Receita'!$A$8:$P$1000,15,FALSE),"")</f>
        <v/>
      </c>
      <c r="AE738" s="92">
        <f>IFERROR(VLOOKUP($A738,'13. Mapa Títulos-Receita'!$A$8:$P$1000,16,FALSE),"")</f>
        <v/>
      </c>
    </row>
    <row r="739">
      <c r="A739" s="28">
        <f>IF(C739="","", "CR-"&amp;TEXT(ROW()-7,"000"))</f>
        <v/>
      </c>
      <c r="B739" s="28" t="n"/>
      <c r="C739" s="28" t="n"/>
      <c r="D739" s="111" t="n"/>
      <c r="E739" s="111" t="n"/>
      <c r="F739" s="111" t="n"/>
      <c r="G739" s="28" t="n"/>
      <c r="H739" s="45" t="n"/>
      <c r="I739" s="45" t="n"/>
      <c r="J739" s="28">
        <f>IF(H739="","",IF(I739&gt;=H739,"Recebido",IF($B$4&gt;E739,"Vencido","Aberto")))</f>
        <v/>
      </c>
      <c r="K739" s="4">
        <f>IF(J739="","",IF(OR(J739="Recebido",F739=""),MAX(0,F739-E739),MAX(0,$B$4-E739)))</f>
        <v/>
      </c>
      <c r="L739" s="4">
        <f>IF(K739="","",IF(K739=0,"Em dia",IF(K739&lt;=30,"1-30 dias",IF(K739&lt;=60,"31-60 dias",IF(K739&lt;=90,"61-90 dias","&gt;90 dias")))))</f>
        <v/>
      </c>
      <c r="M739" s="28" t="n"/>
      <c r="N739" s="104" t="inlineStr"/>
      <c r="O739" s="64" t="n"/>
      <c r="P739" s="64">
        <f>IF(C739="","",IF(ISNUMBER(SEARCH("PCMSO",C739)),"PCMSO",IF(OR(ISNUMBER(SEARCH("E-SOCIAL",C739)),ISNUMBER(SEARCH("PSICOSOCIAL",C739))),"eSocial / Psicossocial",IF(O739="Receita recorrente","Carteira recorrente","Projetos / Laudos / Avulsos"))))</f>
        <v/>
      </c>
      <c r="Q739" s="64">
        <f>IF(P739="","",IF(P739="Carteira recorrente","Operação recorrente",IF(P739="PCMSO","Projetos PCMSO",IF(P739="eSocial / Psicossocial","Projetos eSocial/Psicossocial","Projetos / Laudos / Avulsos"))))</f>
        <v/>
      </c>
      <c r="R739" s="64">
        <f>IF(C739="","",IF(ISNUMBER(SEARCH("PCMSO",C739)),"Título com PCMSO no nome",IF(OR(ISNUMBER(SEARCH("E-SOCIAL",C739)),ISNUMBER(SEARCH("PSICOSOCIAL",C739))),"Título com eSocial/Psicossocial no nome",IF(O739="Receita recorrente","Tipo DRE recorrente","Extra sem palavra-chave específica"))))</f>
        <v/>
      </c>
      <c r="S739" s="92">
        <f>IFERROR(VLOOKUP($A739,'13. Mapa Títulos-Receita'!$A$8:$P$1000,4,FALSE),"")</f>
        <v/>
      </c>
      <c r="T739" s="92">
        <f>IFERROR(VLOOKUP($A739,'13. Mapa Títulos-Receita'!$A$8:$P$1000,5,FALSE),"")</f>
        <v/>
      </c>
      <c r="U739" s="92">
        <f>IFERROR(VLOOKUP($A739,'13. Mapa Títulos-Receita'!$A$8:$P$1000,6,FALSE),"")</f>
        <v/>
      </c>
      <c r="V739" s="92">
        <f>IFERROR(VLOOKUP($A739,'13. Mapa Títulos-Receita'!$A$8:$P$1000,7,FALSE),"")</f>
        <v/>
      </c>
      <c r="W739" s="92">
        <f>IFERROR(VLOOKUP($A739,'13. Mapa Títulos-Receita'!$A$8:$P$1000,8,FALSE),"")</f>
        <v/>
      </c>
      <c r="X739" s="92">
        <f>IFERROR(VLOOKUP($A739,'13. Mapa Títulos-Receita'!$A$8:$P$1000,9,FALSE),"")</f>
        <v/>
      </c>
      <c r="Y739" s="92">
        <f>IFERROR(VLOOKUP($A739,'13. Mapa Títulos-Receita'!$A$8:$P$1000,10,FALSE),"")</f>
        <v/>
      </c>
      <c r="Z739" s="92">
        <f>IFERROR(VLOOKUP($A739,'13. Mapa Títulos-Receita'!$A$8:$P$1000,11,FALSE),"")</f>
        <v/>
      </c>
      <c r="AA739" s="92">
        <f>IFERROR(VLOOKUP($A739,'13. Mapa Títulos-Receita'!$A$8:$P$1000,12,FALSE),"")</f>
        <v/>
      </c>
      <c r="AB739" s="92">
        <f>IFERROR(VLOOKUP($A739,'13. Mapa Títulos-Receita'!$A$8:$P$1000,13,FALSE),"")</f>
        <v/>
      </c>
      <c r="AC739" s="92">
        <f>IFERROR(VLOOKUP($A739,'13. Mapa Títulos-Receita'!$A$8:$P$1000,14,FALSE),"")</f>
        <v/>
      </c>
      <c r="AD739" s="92">
        <f>IFERROR(VLOOKUP($A739,'13. Mapa Títulos-Receita'!$A$8:$P$1000,15,FALSE),"")</f>
        <v/>
      </c>
      <c r="AE739" s="92">
        <f>IFERROR(VLOOKUP($A739,'13. Mapa Títulos-Receita'!$A$8:$P$1000,16,FALSE),"")</f>
        <v/>
      </c>
    </row>
    <row r="740">
      <c r="A740" s="28">
        <f>IF(C740="","", "CR-"&amp;TEXT(ROW()-7,"000"))</f>
        <v/>
      </c>
      <c r="B740" s="28" t="n"/>
      <c r="C740" s="28" t="n"/>
      <c r="D740" s="111" t="n"/>
      <c r="E740" s="111" t="n"/>
      <c r="F740" s="111" t="n"/>
      <c r="G740" s="28" t="n"/>
      <c r="H740" s="45" t="n"/>
      <c r="I740" s="45" t="n"/>
      <c r="J740" s="28">
        <f>IF(H740="","",IF(I740&gt;=H740,"Recebido",IF($B$4&gt;E740,"Vencido","Aberto")))</f>
        <v/>
      </c>
      <c r="K740" s="4">
        <f>IF(J740="","",IF(OR(J740="Recebido",F740=""),MAX(0,F740-E740),MAX(0,$B$4-E740)))</f>
        <v/>
      </c>
      <c r="L740" s="4">
        <f>IF(K740="","",IF(K740=0,"Em dia",IF(K740&lt;=30,"1-30 dias",IF(K740&lt;=60,"31-60 dias",IF(K740&lt;=90,"61-90 dias","&gt;90 dias")))))</f>
        <v/>
      </c>
      <c r="M740" s="28" t="n"/>
      <c r="N740" s="104" t="inlineStr"/>
      <c r="O740" s="64" t="n"/>
      <c r="P740" s="64">
        <f>IF(C740="","",IF(ISNUMBER(SEARCH("PCMSO",C740)),"PCMSO",IF(OR(ISNUMBER(SEARCH("E-SOCIAL",C740)),ISNUMBER(SEARCH("PSICOSOCIAL",C740))),"eSocial / Psicossocial",IF(O740="Receita recorrente","Carteira recorrente","Projetos / Laudos / Avulsos"))))</f>
        <v/>
      </c>
      <c r="Q740" s="64">
        <f>IF(P740="","",IF(P740="Carteira recorrente","Operação recorrente",IF(P740="PCMSO","Projetos PCMSO",IF(P740="eSocial / Psicossocial","Projetos eSocial/Psicossocial","Projetos / Laudos / Avulsos"))))</f>
        <v/>
      </c>
      <c r="R740" s="64">
        <f>IF(C740="","",IF(ISNUMBER(SEARCH("PCMSO",C740)),"Título com PCMSO no nome",IF(OR(ISNUMBER(SEARCH("E-SOCIAL",C740)),ISNUMBER(SEARCH("PSICOSOCIAL",C740))),"Título com eSocial/Psicossocial no nome",IF(O740="Receita recorrente","Tipo DRE recorrente","Extra sem palavra-chave específica"))))</f>
        <v/>
      </c>
      <c r="S740" s="92">
        <f>IFERROR(VLOOKUP($A740,'13. Mapa Títulos-Receita'!$A$8:$P$1000,4,FALSE),"")</f>
        <v/>
      </c>
      <c r="T740" s="92">
        <f>IFERROR(VLOOKUP($A740,'13. Mapa Títulos-Receita'!$A$8:$P$1000,5,FALSE),"")</f>
        <v/>
      </c>
      <c r="U740" s="92">
        <f>IFERROR(VLOOKUP($A740,'13. Mapa Títulos-Receita'!$A$8:$P$1000,6,FALSE),"")</f>
        <v/>
      </c>
      <c r="V740" s="92">
        <f>IFERROR(VLOOKUP($A740,'13. Mapa Títulos-Receita'!$A$8:$P$1000,7,FALSE),"")</f>
        <v/>
      </c>
      <c r="W740" s="92">
        <f>IFERROR(VLOOKUP($A740,'13. Mapa Títulos-Receita'!$A$8:$P$1000,8,FALSE),"")</f>
        <v/>
      </c>
      <c r="X740" s="92">
        <f>IFERROR(VLOOKUP($A740,'13. Mapa Títulos-Receita'!$A$8:$P$1000,9,FALSE),"")</f>
        <v/>
      </c>
      <c r="Y740" s="92">
        <f>IFERROR(VLOOKUP($A740,'13. Mapa Títulos-Receita'!$A$8:$P$1000,10,FALSE),"")</f>
        <v/>
      </c>
      <c r="Z740" s="92">
        <f>IFERROR(VLOOKUP($A740,'13. Mapa Títulos-Receita'!$A$8:$P$1000,11,FALSE),"")</f>
        <v/>
      </c>
      <c r="AA740" s="92">
        <f>IFERROR(VLOOKUP($A740,'13. Mapa Títulos-Receita'!$A$8:$P$1000,12,FALSE),"")</f>
        <v/>
      </c>
      <c r="AB740" s="92">
        <f>IFERROR(VLOOKUP($A740,'13. Mapa Títulos-Receita'!$A$8:$P$1000,13,FALSE),"")</f>
        <v/>
      </c>
      <c r="AC740" s="92">
        <f>IFERROR(VLOOKUP($A740,'13. Mapa Títulos-Receita'!$A$8:$P$1000,14,FALSE),"")</f>
        <v/>
      </c>
      <c r="AD740" s="92">
        <f>IFERROR(VLOOKUP($A740,'13. Mapa Títulos-Receita'!$A$8:$P$1000,15,FALSE),"")</f>
        <v/>
      </c>
      <c r="AE740" s="92">
        <f>IFERROR(VLOOKUP($A740,'13. Mapa Títulos-Receita'!$A$8:$P$1000,16,FALSE),"")</f>
        <v/>
      </c>
    </row>
    <row r="741">
      <c r="A741" s="28">
        <f>IF(C741="","", "CR-"&amp;TEXT(ROW()-7,"000"))</f>
        <v/>
      </c>
      <c r="B741" s="28" t="n"/>
      <c r="C741" s="28" t="n"/>
      <c r="D741" s="111" t="n"/>
      <c r="E741" s="111" t="n"/>
      <c r="F741" s="111" t="n"/>
      <c r="G741" s="28" t="n"/>
      <c r="H741" s="45" t="n"/>
      <c r="I741" s="45" t="n"/>
      <c r="J741" s="28">
        <f>IF(H741="","",IF(I741&gt;=H741,"Recebido",IF($B$4&gt;E741,"Vencido","Aberto")))</f>
        <v/>
      </c>
      <c r="K741" s="4">
        <f>IF(J741="","",IF(OR(J741="Recebido",F741=""),MAX(0,F741-E741),MAX(0,$B$4-E741)))</f>
        <v/>
      </c>
      <c r="L741" s="4">
        <f>IF(K741="","",IF(K741=0,"Em dia",IF(K741&lt;=30,"1-30 dias",IF(K741&lt;=60,"31-60 dias",IF(K741&lt;=90,"61-90 dias","&gt;90 dias")))))</f>
        <v/>
      </c>
      <c r="M741" s="28" t="n"/>
      <c r="N741" s="104" t="inlineStr"/>
      <c r="O741" s="64" t="n"/>
      <c r="P741" s="64">
        <f>IF(C741="","",IF(ISNUMBER(SEARCH("PCMSO",C741)),"PCMSO",IF(OR(ISNUMBER(SEARCH("E-SOCIAL",C741)),ISNUMBER(SEARCH("PSICOSOCIAL",C741))),"eSocial / Psicossocial",IF(O741="Receita recorrente","Carteira recorrente","Projetos / Laudos / Avulsos"))))</f>
        <v/>
      </c>
      <c r="Q741" s="64">
        <f>IF(P741="","",IF(P741="Carteira recorrente","Operação recorrente",IF(P741="PCMSO","Projetos PCMSO",IF(P741="eSocial / Psicossocial","Projetos eSocial/Psicossocial","Projetos / Laudos / Avulsos"))))</f>
        <v/>
      </c>
      <c r="R741" s="64">
        <f>IF(C741="","",IF(ISNUMBER(SEARCH("PCMSO",C741)),"Título com PCMSO no nome",IF(OR(ISNUMBER(SEARCH("E-SOCIAL",C741)),ISNUMBER(SEARCH("PSICOSOCIAL",C741))),"Título com eSocial/Psicossocial no nome",IF(O741="Receita recorrente","Tipo DRE recorrente","Extra sem palavra-chave específica"))))</f>
        <v/>
      </c>
      <c r="S741" s="92">
        <f>IFERROR(VLOOKUP($A741,'13. Mapa Títulos-Receita'!$A$8:$P$1000,4,FALSE),"")</f>
        <v/>
      </c>
      <c r="T741" s="92">
        <f>IFERROR(VLOOKUP($A741,'13. Mapa Títulos-Receita'!$A$8:$P$1000,5,FALSE),"")</f>
        <v/>
      </c>
      <c r="U741" s="92">
        <f>IFERROR(VLOOKUP($A741,'13. Mapa Títulos-Receita'!$A$8:$P$1000,6,FALSE),"")</f>
        <v/>
      </c>
      <c r="V741" s="92">
        <f>IFERROR(VLOOKUP($A741,'13. Mapa Títulos-Receita'!$A$8:$P$1000,7,FALSE),"")</f>
        <v/>
      </c>
      <c r="W741" s="92">
        <f>IFERROR(VLOOKUP($A741,'13. Mapa Títulos-Receita'!$A$8:$P$1000,8,FALSE),"")</f>
        <v/>
      </c>
      <c r="X741" s="92">
        <f>IFERROR(VLOOKUP($A741,'13. Mapa Títulos-Receita'!$A$8:$P$1000,9,FALSE),"")</f>
        <v/>
      </c>
      <c r="Y741" s="92">
        <f>IFERROR(VLOOKUP($A741,'13. Mapa Títulos-Receita'!$A$8:$P$1000,10,FALSE),"")</f>
        <v/>
      </c>
      <c r="Z741" s="92">
        <f>IFERROR(VLOOKUP($A741,'13. Mapa Títulos-Receita'!$A$8:$P$1000,11,FALSE),"")</f>
        <v/>
      </c>
      <c r="AA741" s="92">
        <f>IFERROR(VLOOKUP($A741,'13. Mapa Títulos-Receita'!$A$8:$P$1000,12,FALSE),"")</f>
        <v/>
      </c>
      <c r="AB741" s="92">
        <f>IFERROR(VLOOKUP($A741,'13. Mapa Títulos-Receita'!$A$8:$P$1000,13,FALSE),"")</f>
        <v/>
      </c>
      <c r="AC741" s="92">
        <f>IFERROR(VLOOKUP($A741,'13. Mapa Títulos-Receita'!$A$8:$P$1000,14,FALSE),"")</f>
        <v/>
      </c>
      <c r="AD741" s="92">
        <f>IFERROR(VLOOKUP($A741,'13. Mapa Títulos-Receita'!$A$8:$P$1000,15,FALSE),"")</f>
        <v/>
      </c>
      <c r="AE741" s="92">
        <f>IFERROR(VLOOKUP($A741,'13. Mapa Títulos-Receita'!$A$8:$P$1000,16,FALSE),"")</f>
        <v/>
      </c>
    </row>
    <row r="742">
      <c r="A742" s="28">
        <f>IF(C742="","", "CR-"&amp;TEXT(ROW()-7,"000"))</f>
        <v/>
      </c>
      <c r="B742" s="28" t="n"/>
      <c r="C742" s="28" t="n"/>
      <c r="D742" s="111" t="n"/>
      <c r="E742" s="111" t="n"/>
      <c r="F742" s="111" t="n"/>
      <c r="G742" s="28" t="n"/>
      <c r="H742" s="45" t="n"/>
      <c r="I742" s="45" t="n"/>
      <c r="J742" s="28">
        <f>IF(H742="","",IF(I742&gt;=H742,"Recebido",IF($B$4&gt;E742,"Vencido","Aberto")))</f>
        <v/>
      </c>
      <c r="K742" s="4">
        <f>IF(J742="","",IF(OR(J742="Recebido",F742=""),MAX(0,F742-E742),MAX(0,$B$4-E742)))</f>
        <v/>
      </c>
      <c r="L742" s="4">
        <f>IF(K742="","",IF(K742=0,"Em dia",IF(K742&lt;=30,"1-30 dias",IF(K742&lt;=60,"31-60 dias",IF(K742&lt;=90,"61-90 dias","&gt;90 dias")))))</f>
        <v/>
      </c>
      <c r="M742" s="28" t="n"/>
      <c r="N742" s="104" t="inlineStr"/>
      <c r="O742" s="64" t="n"/>
      <c r="P742" s="64">
        <f>IF(C742="","",IF(ISNUMBER(SEARCH("PCMSO",C742)),"PCMSO",IF(OR(ISNUMBER(SEARCH("E-SOCIAL",C742)),ISNUMBER(SEARCH("PSICOSOCIAL",C742))),"eSocial / Psicossocial",IF(O742="Receita recorrente","Carteira recorrente","Projetos / Laudos / Avulsos"))))</f>
        <v/>
      </c>
      <c r="Q742" s="64">
        <f>IF(P742="","",IF(P742="Carteira recorrente","Operação recorrente",IF(P742="PCMSO","Projetos PCMSO",IF(P742="eSocial / Psicossocial","Projetos eSocial/Psicossocial","Projetos / Laudos / Avulsos"))))</f>
        <v/>
      </c>
      <c r="R742" s="64">
        <f>IF(C742="","",IF(ISNUMBER(SEARCH("PCMSO",C742)),"Título com PCMSO no nome",IF(OR(ISNUMBER(SEARCH("E-SOCIAL",C742)),ISNUMBER(SEARCH("PSICOSOCIAL",C742))),"Título com eSocial/Psicossocial no nome",IF(O742="Receita recorrente","Tipo DRE recorrente","Extra sem palavra-chave específica"))))</f>
        <v/>
      </c>
      <c r="S742" s="92">
        <f>IFERROR(VLOOKUP($A742,'13. Mapa Títulos-Receita'!$A$8:$P$1000,4,FALSE),"")</f>
        <v/>
      </c>
      <c r="T742" s="92">
        <f>IFERROR(VLOOKUP($A742,'13. Mapa Títulos-Receita'!$A$8:$P$1000,5,FALSE),"")</f>
        <v/>
      </c>
      <c r="U742" s="92">
        <f>IFERROR(VLOOKUP($A742,'13. Mapa Títulos-Receita'!$A$8:$P$1000,6,FALSE),"")</f>
        <v/>
      </c>
      <c r="V742" s="92">
        <f>IFERROR(VLOOKUP($A742,'13. Mapa Títulos-Receita'!$A$8:$P$1000,7,FALSE),"")</f>
        <v/>
      </c>
      <c r="W742" s="92">
        <f>IFERROR(VLOOKUP($A742,'13. Mapa Títulos-Receita'!$A$8:$P$1000,8,FALSE),"")</f>
        <v/>
      </c>
      <c r="X742" s="92">
        <f>IFERROR(VLOOKUP($A742,'13. Mapa Títulos-Receita'!$A$8:$P$1000,9,FALSE),"")</f>
        <v/>
      </c>
      <c r="Y742" s="92">
        <f>IFERROR(VLOOKUP($A742,'13. Mapa Títulos-Receita'!$A$8:$P$1000,10,FALSE),"")</f>
        <v/>
      </c>
      <c r="Z742" s="92">
        <f>IFERROR(VLOOKUP($A742,'13. Mapa Títulos-Receita'!$A$8:$P$1000,11,FALSE),"")</f>
        <v/>
      </c>
      <c r="AA742" s="92">
        <f>IFERROR(VLOOKUP($A742,'13. Mapa Títulos-Receita'!$A$8:$P$1000,12,FALSE),"")</f>
        <v/>
      </c>
      <c r="AB742" s="92">
        <f>IFERROR(VLOOKUP($A742,'13. Mapa Títulos-Receita'!$A$8:$P$1000,13,FALSE),"")</f>
        <v/>
      </c>
      <c r="AC742" s="92">
        <f>IFERROR(VLOOKUP($A742,'13. Mapa Títulos-Receita'!$A$8:$P$1000,14,FALSE),"")</f>
        <v/>
      </c>
      <c r="AD742" s="92">
        <f>IFERROR(VLOOKUP($A742,'13. Mapa Títulos-Receita'!$A$8:$P$1000,15,FALSE),"")</f>
        <v/>
      </c>
      <c r="AE742" s="92">
        <f>IFERROR(VLOOKUP($A742,'13. Mapa Títulos-Receita'!$A$8:$P$1000,16,FALSE),"")</f>
        <v/>
      </c>
    </row>
    <row r="743">
      <c r="A743" s="28">
        <f>IF(C743="","", "CR-"&amp;TEXT(ROW()-7,"000"))</f>
        <v/>
      </c>
      <c r="B743" s="28" t="n"/>
      <c r="C743" s="28" t="n"/>
      <c r="D743" s="111" t="n"/>
      <c r="E743" s="111" t="n"/>
      <c r="F743" s="111" t="n"/>
      <c r="G743" s="28" t="n"/>
      <c r="H743" s="45" t="n"/>
      <c r="I743" s="45" t="n"/>
      <c r="J743" s="28">
        <f>IF(H743="","",IF(I743&gt;=H743,"Recebido",IF($B$4&gt;E743,"Vencido","Aberto")))</f>
        <v/>
      </c>
      <c r="K743" s="4">
        <f>IF(J743="","",IF(OR(J743="Recebido",F743=""),MAX(0,F743-E743),MAX(0,$B$4-E743)))</f>
        <v/>
      </c>
      <c r="L743" s="4">
        <f>IF(K743="","",IF(K743=0,"Em dia",IF(K743&lt;=30,"1-30 dias",IF(K743&lt;=60,"31-60 dias",IF(K743&lt;=90,"61-90 dias","&gt;90 dias")))))</f>
        <v/>
      </c>
      <c r="M743" s="28" t="n"/>
      <c r="N743" s="104" t="inlineStr"/>
      <c r="O743" s="64" t="n"/>
      <c r="P743" s="64">
        <f>IF(C743="","",IF(ISNUMBER(SEARCH("PCMSO",C743)),"PCMSO",IF(OR(ISNUMBER(SEARCH("E-SOCIAL",C743)),ISNUMBER(SEARCH("PSICOSOCIAL",C743))),"eSocial / Psicossocial",IF(O743="Receita recorrente","Carteira recorrente","Projetos / Laudos / Avulsos"))))</f>
        <v/>
      </c>
      <c r="Q743" s="64">
        <f>IF(P743="","",IF(P743="Carteira recorrente","Operação recorrente",IF(P743="PCMSO","Projetos PCMSO",IF(P743="eSocial / Psicossocial","Projetos eSocial/Psicossocial","Projetos / Laudos / Avulsos"))))</f>
        <v/>
      </c>
      <c r="R743" s="64">
        <f>IF(C743="","",IF(ISNUMBER(SEARCH("PCMSO",C743)),"Título com PCMSO no nome",IF(OR(ISNUMBER(SEARCH("E-SOCIAL",C743)),ISNUMBER(SEARCH("PSICOSOCIAL",C743))),"Título com eSocial/Psicossocial no nome",IF(O743="Receita recorrente","Tipo DRE recorrente","Extra sem palavra-chave específica"))))</f>
        <v/>
      </c>
      <c r="S743" s="92">
        <f>IFERROR(VLOOKUP($A743,'13. Mapa Títulos-Receita'!$A$8:$P$1000,4,FALSE),"")</f>
        <v/>
      </c>
      <c r="T743" s="92">
        <f>IFERROR(VLOOKUP($A743,'13. Mapa Títulos-Receita'!$A$8:$P$1000,5,FALSE),"")</f>
        <v/>
      </c>
      <c r="U743" s="92">
        <f>IFERROR(VLOOKUP($A743,'13. Mapa Títulos-Receita'!$A$8:$P$1000,6,FALSE),"")</f>
        <v/>
      </c>
      <c r="V743" s="92">
        <f>IFERROR(VLOOKUP($A743,'13. Mapa Títulos-Receita'!$A$8:$P$1000,7,FALSE),"")</f>
        <v/>
      </c>
      <c r="W743" s="92">
        <f>IFERROR(VLOOKUP($A743,'13. Mapa Títulos-Receita'!$A$8:$P$1000,8,FALSE),"")</f>
        <v/>
      </c>
      <c r="X743" s="92">
        <f>IFERROR(VLOOKUP($A743,'13. Mapa Títulos-Receita'!$A$8:$P$1000,9,FALSE),"")</f>
        <v/>
      </c>
      <c r="Y743" s="92">
        <f>IFERROR(VLOOKUP($A743,'13. Mapa Títulos-Receita'!$A$8:$P$1000,10,FALSE),"")</f>
        <v/>
      </c>
      <c r="Z743" s="92">
        <f>IFERROR(VLOOKUP($A743,'13. Mapa Títulos-Receita'!$A$8:$P$1000,11,FALSE),"")</f>
        <v/>
      </c>
      <c r="AA743" s="92">
        <f>IFERROR(VLOOKUP($A743,'13. Mapa Títulos-Receita'!$A$8:$P$1000,12,FALSE),"")</f>
        <v/>
      </c>
      <c r="AB743" s="92">
        <f>IFERROR(VLOOKUP($A743,'13. Mapa Títulos-Receita'!$A$8:$P$1000,13,FALSE),"")</f>
        <v/>
      </c>
      <c r="AC743" s="92">
        <f>IFERROR(VLOOKUP($A743,'13. Mapa Títulos-Receita'!$A$8:$P$1000,14,FALSE),"")</f>
        <v/>
      </c>
      <c r="AD743" s="92">
        <f>IFERROR(VLOOKUP($A743,'13. Mapa Títulos-Receita'!$A$8:$P$1000,15,FALSE),"")</f>
        <v/>
      </c>
      <c r="AE743" s="92">
        <f>IFERROR(VLOOKUP($A743,'13. Mapa Títulos-Receita'!$A$8:$P$1000,16,FALSE),"")</f>
        <v/>
      </c>
    </row>
    <row r="744">
      <c r="A744" s="28">
        <f>IF(C744="","", "CR-"&amp;TEXT(ROW()-7,"000"))</f>
        <v/>
      </c>
      <c r="B744" s="28" t="n"/>
      <c r="C744" s="28" t="n"/>
      <c r="D744" s="111" t="n"/>
      <c r="E744" s="111" t="n"/>
      <c r="F744" s="111" t="n"/>
      <c r="G744" s="28" t="n"/>
      <c r="H744" s="45" t="n"/>
      <c r="I744" s="45" t="n"/>
      <c r="J744" s="28">
        <f>IF(H744="","",IF(I744&gt;=H744,"Recebido",IF($B$4&gt;E744,"Vencido","Aberto")))</f>
        <v/>
      </c>
      <c r="K744" s="4">
        <f>IF(J744="","",IF(OR(J744="Recebido",F744=""),MAX(0,F744-E744),MAX(0,$B$4-E744)))</f>
        <v/>
      </c>
      <c r="L744" s="4">
        <f>IF(K744="","",IF(K744=0,"Em dia",IF(K744&lt;=30,"1-30 dias",IF(K744&lt;=60,"31-60 dias",IF(K744&lt;=90,"61-90 dias","&gt;90 dias")))))</f>
        <v/>
      </c>
      <c r="M744" s="28" t="n"/>
      <c r="N744" s="104" t="inlineStr"/>
      <c r="O744" s="64" t="n"/>
      <c r="P744" s="64">
        <f>IF(C744="","",IF(ISNUMBER(SEARCH("PCMSO",C744)),"PCMSO",IF(OR(ISNUMBER(SEARCH("E-SOCIAL",C744)),ISNUMBER(SEARCH("PSICOSOCIAL",C744))),"eSocial / Psicossocial",IF(O744="Receita recorrente","Carteira recorrente","Projetos / Laudos / Avulsos"))))</f>
        <v/>
      </c>
      <c r="Q744" s="64">
        <f>IF(P744="","",IF(P744="Carteira recorrente","Operação recorrente",IF(P744="PCMSO","Projetos PCMSO",IF(P744="eSocial / Psicossocial","Projetos eSocial/Psicossocial","Projetos / Laudos / Avulsos"))))</f>
        <v/>
      </c>
      <c r="R744" s="64">
        <f>IF(C744="","",IF(ISNUMBER(SEARCH("PCMSO",C744)),"Título com PCMSO no nome",IF(OR(ISNUMBER(SEARCH("E-SOCIAL",C744)),ISNUMBER(SEARCH("PSICOSOCIAL",C744))),"Título com eSocial/Psicossocial no nome",IF(O744="Receita recorrente","Tipo DRE recorrente","Extra sem palavra-chave específica"))))</f>
        <v/>
      </c>
      <c r="S744" s="92">
        <f>IFERROR(VLOOKUP($A744,'13. Mapa Títulos-Receita'!$A$8:$P$1000,4,FALSE),"")</f>
        <v/>
      </c>
      <c r="T744" s="92">
        <f>IFERROR(VLOOKUP($A744,'13. Mapa Títulos-Receita'!$A$8:$P$1000,5,FALSE),"")</f>
        <v/>
      </c>
      <c r="U744" s="92">
        <f>IFERROR(VLOOKUP($A744,'13. Mapa Títulos-Receita'!$A$8:$P$1000,6,FALSE),"")</f>
        <v/>
      </c>
      <c r="V744" s="92">
        <f>IFERROR(VLOOKUP($A744,'13. Mapa Títulos-Receita'!$A$8:$P$1000,7,FALSE),"")</f>
        <v/>
      </c>
      <c r="W744" s="92">
        <f>IFERROR(VLOOKUP($A744,'13. Mapa Títulos-Receita'!$A$8:$P$1000,8,FALSE),"")</f>
        <v/>
      </c>
      <c r="X744" s="92">
        <f>IFERROR(VLOOKUP($A744,'13. Mapa Títulos-Receita'!$A$8:$P$1000,9,FALSE),"")</f>
        <v/>
      </c>
      <c r="Y744" s="92">
        <f>IFERROR(VLOOKUP($A744,'13. Mapa Títulos-Receita'!$A$8:$P$1000,10,FALSE),"")</f>
        <v/>
      </c>
      <c r="Z744" s="92">
        <f>IFERROR(VLOOKUP($A744,'13. Mapa Títulos-Receita'!$A$8:$P$1000,11,FALSE),"")</f>
        <v/>
      </c>
      <c r="AA744" s="92">
        <f>IFERROR(VLOOKUP($A744,'13. Mapa Títulos-Receita'!$A$8:$P$1000,12,FALSE),"")</f>
        <v/>
      </c>
      <c r="AB744" s="92">
        <f>IFERROR(VLOOKUP($A744,'13. Mapa Títulos-Receita'!$A$8:$P$1000,13,FALSE),"")</f>
        <v/>
      </c>
      <c r="AC744" s="92">
        <f>IFERROR(VLOOKUP($A744,'13. Mapa Títulos-Receita'!$A$8:$P$1000,14,FALSE),"")</f>
        <v/>
      </c>
      <c r="AD744" s="92">
        <f>IFERROR(VLOOKUP($A744,'13. Mapa Títulos-Receita'!$A$8:$P$1000,15,FALSE),"")</f>
        <v/>
      </c>
      <c r="AE744" s="92">
        <f>IFERROR(VLOOKUP($A744,'13. Mapa Títulos-Receita'!$A$8:$P$1000,16,FALSE),"")</f>
        <v/>
      </c>
    </row>
    <row r="745">
      <c r="A745" s="28">
        <f>IF(C745="","", "CR-"&amp;TEXT(ROW()-7,"000"))</f>
        <v/>
      </c>
      <c r="B745" s="28" t="n"/>
      <c r="C745" s="28" t="n"/>
      <c r="D745" s="111" t="n"/>
      <c r="E745" s="111" t="n"/>
      <c r="F745" s="111" t="n"/>
      <c r="G745" s="28" t="n"/>
      <c r="H745" s="45" t="n"/>
      <c r="I745" s="45" t="n"/>
      <c r="J745" s="28">
        <f>IF(H745="","",IF(I745&gt;=H745,"Recebido",IF($B$4&gt;E745,"Vencido","Aberto")))</f>
        <v/>
      </c>
      <c r="K745" s="4">
        <f>IF(J745="","",IF(OR(J745="Recebido",F745=""),MAX(0,F745-E745),MAX(0,$B$4-E745)))</f>
        <v/>
      </c>
      <c r="L745" s="4">
        <f>IF(K745="","",IF(K745=0,"Em dia",IF(K745&lt;=30,"1-30 dias",IF(K745&lt;=60,"31-60 dias",IF(K745&lt;=90,"61-90 dias","&gt;90 dias")))))</f>
        <v/>
      </c>
      <c r="M745" s="28" t="n"/>
      <c r="N745" s="104" t="inlineStr"/>
      <c r="O745" s="64" t="n"/>
      <c r="P745" s="64">
        <f>IF(C745="","",IF(ISNUMBER(SEARCH("PCMSO",C745)),"PCMSO",IF(OR(ISNUMBER(SEARCH("E-SOCIAL",C745)),ISNUMBER(SEARCH("PSICOSOCIAL",C745))),"eSocial / Psicossocial",IF(O745="Receita recorrente","Carteira recorrente","Projetos / Laudos / Avulsos"))))</f>
        <v/>
      </c>
      <c r="Q745" s="64">
        <f>IF(P745="","",IF(P745="Carteira recorrente","Operação recorrente",IF(P745="PCMSO","Projetos PCMSO",IF(P745="eSocial / Psicossocial","Projetos eSocial/Psicossocial","Projetos / Laudos / Avulsos"))))</f>
        <v/>
      </c>
      <c r="R745" s="64">
        <f>IF(C745="","",IF(ISNUMBER(SEARCH("PCMSO",C745)),"Título com PCMSO no nome",IF(OR(ISNUMBER(SEARCH("E-SOCIAL",C745)),ISNUMBER(SEARCH("PSICOSOCIAL",C745))),"Título com eSocial/Psicossocial no nome",IF(O745="Receita recorrente","Tipo DRE recorrente","Extra sem palavra-chave específica"))))</f>
        <v/>
      </c>
      <c r="S745" s="92">
        <f>IFERROR(VLOOKUP($A745,'13. Mapa Títulos-Receita'!$A$8:$P$1000,4,FALSE),"")</f>
        <v/>
      </c>
      <c r="T745" s="92">
        <f>IFERROR(VLOOKUP($A745,'13. Mapa Títulos-Receita'!$A$8:$P$1000,5,FALSE),"")</f>
        <v/>
      </c>
      <c r="U745" s="92">
        <f>IFERROR(VLOOKUP($A745,'13. Mapa Títulos-Receita'!$A$8:$P$1000,6,FALSE),"")</f>
        <v/>
      </c>
      <c r="V745" s="92">
        <f>IFERROR(VLOOKUP($A745,'13. Mapa Títulos-Receita'!$A$8:$P$1000,7,FALSE),"")</f>
        <v/>
      </c>
      <c r="W745" s="92">
        <f>IFERROR(VLOOKUP($A745,'13. Mapa Títulos-Receita'!$A$8:$P$1000,8,FALSE),"")</f>
        <v/>
      </c>
      <c r="X745" s="92">
        <f>IFERROR(VLOOKUP($A745,'13. Mapa Títulos-Receita'!$A$8:$P$1000,9,FALSE),"")</f>
        <v/>
      </c>
      <c r="Y745" s="92">
        <f>IFERROR(VLOOKUP($A745,'13. Mapa Títulos-Receita'!$A$8:$P$1000,10,FALSE),"")</f>
        <v/>
      </c>
      <c r="Z745" s="92">
        <f>IFERROR(VLOOKUP($A745,'13. Mapa Títulos-Receita'!$A$8:$P$1000,11,FALSE),"")</f>
        <v/>
      </c>
      <c r="AA745" s="92">
        <f>IFERROR(VLOOKUP($A745,'13. Mapa Títulos-Receita'!$A$8:$P$1000,12,FALSE),"")</f>
        <v/>
      </c>
      <c r="AB745" s="92">
        <f>IFERROR(VLOOKUP($A745,'13. Mapa Títulos-Receita'!$A$8:$P$1000,13,FALSE),"")</f>
        <v/>
      </c>
      <c r="AC745" s="92">
        <f>IFERROR(VLOOKUP($A745,'13. Mapa Títulos-Receita'!$A$8:$P$1000,14,FALSE),"")</f>
        <v/>
      </c>
      <c r="AD745" s="92">
        <f>IFERROR(VLOOKUP($A745,'13. Mapa Títulos-Receita'!$A$8:$P$1000,15,FALSE),"")</f>
        <v/>
      </c>
      <c r="AE745" s="92">
        <f>IFERROR(VLOOKUP($A745,'13. Mapa Títulos-Receita'!$A$8:$P$1000,16,FALSE),"")</f>
        <v/>
      </c>
    </row>
    <row r="746">
      <c r="A746" s="28">
        <f>IF(C746="","", "CR-"&amp;TEXT(ROW()-7,"000"))</f>
        <v/>
      </c>
      <c r="B746" s="28" t="n"/>
      <c r="C746" s="28" t="n"/>
      <c r="D746" s="111" t="n"/>
      <c r="E746" s="111" t="n"/>
      <c r="F746" s="111" t="n"/>
      <c r="G746" s="28" t="n"/>
      <c r="H746" s="45" t="n"/>
      <c r="I746" s="45" t="n"/>
      <c r="J746" s="28">
        <f>IF(H746="","",IF(I746&gt;=H746,"Recebido",IF($B$4&gt;E746,"Vencido","Aberto")))</f>
        <v/>
      </c>
      <c r="K746" s="4">
        <f>IF(J746="","",IF(OR(J746="Recebido",F746=""),MAX(0,F746-E746),MAX(0,$B$4-E746)))</f>
        <v/>
      </c>
      <c r="L746" s="4">
        <f>IF(K746="","",IF(K746=0,"Em dia",IF(K746&lt;=30,"1-30 dias",IF(K746&lt;=60,"31-60 dias",IF(K746&lt;=90,"61-90 dias","&gt;90 dias")))))</f>
        <v/>
      </c>
      <c r="M746" s="28" t="n"/>
      <c r="N746" s="104" t="inlineStr"/>
      <c r="O746" s="64" t="n"/>
      <c r="P746" s="64">
        <f>IF(C746="","",IF(ISNUMBER(SEARCH("PCMSO",C746)),"PCMSO",IF(OR(ISNUMBER(SEARCH("E-SOCIAL",C746)),ISNUMBER(SEARCH("PSICOSOCIAL",C746))),"eSocial / Psicossocial",IF(O746="Receita recorrente","Carteira recorrente","Projetos / Laudos / Avulsos"))))</f>
        <v/>
      </c>
      <c r="Q746" s="64">
        <f>IF(P746="","",IF(P746="Carteira recorrente","Operação recorrente",IF(P746="PCMSO","Projetos PCMSO",IF(P746="eSocial / Psicossocial","Projetos eSocial/Psicossocial","Projetos / Laudos / Avulsos"))))</f>
        <v/>
      </c>
      <c r="R746" s="64">
        <f>IF(C746="","",IF(ISNUMBER(SEARCH("PCMSO",C746)),"Título com PCMSO no nome",IF(OR(ISNUMBER(SEARCH("E-SOCIAL",C746)),ISNUMBER(SEARCH("PSICOSOCIAL",C746))),"Título com eSocial/Psicossocial no nome",IF(O746="Receita recorrente","Tipo DRE recorrente","Extra sem palavra-chave específica"))))</f>
        <v/>
      </c>
      <c r="S746" s="92">
        <f>IFERROR(VLOOKUP($A746,'13. Mapa Títulos-Receita'!$A$8:$P$1000,4,FALSE),"")</f>
        <v/>
      </c>
      <c r="T746" s="92">
        <f>IFERROR(VLOOKUP($A746,'13. Mapa Títulos-Receita'!$A$8:$P$1000,5,FALSE),"")</f>
        <v/>
      </c>
      <c r="U746" s="92">
        <f>IFERROR(VLOOKUP($A746,'13. Mapa Títulos-Receita'!$A$8:$P$1000,6,FALSE),"")</f>
        <v/>
      </c>
      <c r="V746" s="92">
        <f>IFERROR(VLOOKUP($A746,'13. Mapa Títulos-Receita'!$A$8:$P$1000,7,FALSE),"")</f>
        <v/>
      </c>
      <c r="W746" s="92">
        <f>IFERROR(VLOOKUP($A746,'13. Mapa Títulos-Receita'!$A$8:$P$1000,8,FALSE),"")</f>
        <v/>
      </c>
      <c r="X746" s="92">
        <f>IFERROR(VLOOKUP($A746,'13. Mapa Títulos-Receita'!$A$8:$P$1000,9,FALSE),"")</f>
        <v/>
      </c>
      <c r="Y746" s="92">
        <f>IFERROR(VLOOKUP($A746,'13. Mapa Títulos-Receita'!$A$8:$P$1000,10,FALSE),"")</f>
        <v/>
      </c>
      <c r="Z746" s="92">
        <f>IFERROR(VLOOKUP($A746,'13. Mapa Títulos-Receita'!$A$8:$P$1000,11,FALSE),"")</f>
        <v/>
      </c>
      <c r="AA746" s="92">
        <f>IFERROR(VLOOKUP($A746,'13. Mapa Títulos-Receita'!$A$8:$P$1000,12,FALSE),"")</f>
        <v/>
      </c>
      <c r="AB746" s="92">
        <f>IFERROR(VLOOKUP($A746,'13. Mapa Títulos-Receita'!$A$8:$P$1000,13,FALSE),"")</f>
        <v/>
      </c>
      <c r="AC746" s="92">
        <f>IFERROR(VLOOKUP($A746,'13. Mapa Títulos-Receita'!$A$8:$P$1000,14,FALSE),"")</f>
        <v/>
      </c>
      <c r="AD746" s="92">
        <f>IFERROR(VLOOKUP($A746,'13. Mapa Títulos-Receita'!$A$8:$P$1000,15,FALSE),"")</f>
        <v/>
      </c>
      <c r="AE746" s="92">
        <f>IFERROR(VLOOKUP($A746,'13. Mapa Títulos-Receita'!$A$8:$P$1000,16,FALSE),"")</f>
        <v/>
      </c>
    </row>
    <row r="747">
      <c r="A747" s="28">
        <f>IF(C747="","", "CR-"&amp;TEXT(ROW()-7,"000"))</f>
        <v/>
      </c>
      <c r="B747" s="28" t="n"/>
      <c r="C747" s="28" t="n"/>
      <c r="D747" s="111" t="n"/>
      <c r="E747" s="111" t="n"/>
      <c r="F747" s="111" t="n"/>
      <c r="G747" s="28" t="n"/>
      <c r="H747" s="45" t="n"/>
      <c r="I747" s="45" t="n"/>
      <c r="J747" s="28">
        <f>IF(H747="","",IF(I747&gt;=H747,"Recebido",IF($B$4&gt;E747,"Vencido","Aberto")))</f>
        <v/>
      </c>
      <c r="K747" s="4">
        <f>IF(J747="","",IF(OR(J747="Recebido",F747=""),MAX(0,F747-E747),MAX(0,$B$4-E747)))</f>
        <v/>
      </c>
      <c r="L747" s="4">
        <f>IF(K747="","",IF(K747=0,"Em dia",IF(K747&lt;=30,"1-30 dias",IF(K747&lt;=60,"31-60 dias",IF(K747&lt;=90,"61-90 dias","&gt;90 dias")))))</f>
        <v/>
      </c>
      <c r="M747" s="28" t="n"/>
      <c r="N747" s="104" t="inlineStr"/>
      <c r="O747" s="64" t="n"/>
      <c r="P747" s="64">
        <f>IF(C747="","",IF(ISNUMBER(SEARCH("PCMSO",C747)),"PCMSO",IF(OR(ISNUMBER(SEARCH("E-SOCIAL",C747)),ISNUMBER(SEARCH("PSICOSOCIAL",C747))),"eSocial / Psicossocial",IF(O747="Receita recorrente","Carteira recorrente","Projetos / Laudos / Avulsos"))))</f>
        <v/>
      </c>
      <c r="Q747" s="64">
        <f>IF(P747="","",IF(P747="Carteira recorrente","Operação recorrente",IF(P747="PCMSO","Projetos PCMSO",IF(P747="eSocial / Psicossocial","Projetos eSocial/Psicossocial","Projetos / Laudos / Avulsos"))))</f>
        <v/>
      </c>
      <c r="R747" s="64">
        <f>IF(C747="","",IF(ISNUMBER(SEARCH("PCMSO",C747)),"Título com PCMSO no nome",IF(OR(ISNUMBER(SEARCH("E-SOCIAL",C747)),ISNUMBER(SEARCH("PSICOSOCIAL",C747))),"Título com eSocial/Psicossocial no nome",IF(O747="Receita recorrente","Tipo DRE recorrente","Extra sem palavra-chave específica"))))</f>
        <v/>
      </c>
      <c r="S747" s="92">
        <f>IFERROR(VLOOKUP($A747,'13. Mapa Títulos-Receita'!$A$8:$P$1000,4,FALSE),"")</f>
        <v/>
      </c>
      <c r="T747" s="92">
        <f>IFERROR(VLOOKUP($A747,'13. Mapa Títulos-Receita'!$A$8:$P$1000,5,FALSE),"")</f>
        <v/>
      </c>
      <c r="U747" s="92">
        <f>IFERROR(VLOOKUP($A747,'13. Mapa Títulos-Receita'!$A$8:$P$1000,6,FALSE),"")</f>
        <v/>
      </c>
      <c r="V747" s="92">
        <f>IFERROR(VLOOKUP($A747,'13. Mapa Títulos-Receita'!$A$8:$P$1000,7,FALSE),"")</f>
        <v/>
      </c>
      <c r="W747" s="92">
        <f>IFERROR(VLOOKUP($A747,'13. Mapa Títulos-Receita'!$A$8:$P$1000,8,FALSE),"")</f>
        <v/>
      </c>
      <c r="X747" s="92">
        <f>IFERROR(VLOOKUP($A747,'13. Mapa Títulos-Receita'!$A$8:$P$1000,9,FALSE),"")</f>
        <v/>
      </c>
      <c r="Y747" s="92">
        <f>IFERROR(VLOOKUP($A747,'13. Mapa Títulos-Receita'!$A$8:$P$1000,10,FALSE),"")</f>
        <v/>
      </c>
      <c r="Z747" s="92">
        <f>IFERROR(VLOOKUP($A747,'13. Mapa Títulos-Receita'!$A$8:$P$1000,11,FALSE),"")</f>
        <v/>
      </c>
      <c r="AA747" s="92">
        <f>IFERROR(VLOOKUP($A747,'13. Mapa Títulos-Receita'!$A$8:$P$1000,12,FALSE),"")</f>
        <v/>
      </c>
      <c r="AB747" s="92">
        <f>IFERROR(VLOOKUP($A747,'13. Mapa Títulos-Receita'!$A$8:$P$1000,13,FALSE),"")</f>
        <v/>
      </c>
      <c r="AC747" s="92">
        <f>IFERROR(VLOOKUP($A747,'13. Mapa Títulos-Receita'!$A$8:$P$1000,14,FALSE),"")</f>
        <v/>
      </c>
      <c r="AD747" s="92">
        <f>IFERROR(VLOOKUP($A747,'13. Mapa Títulos-Receita'!$A$8:$P$1000,15,FALSE),"")</f>
        <v/>
      </c>
      <c r="AE747" s="92">
        <f>IFERROR(VLOOKUP($A747,'13. Mapa Títulos-Receita'!$A$8:$P$1000,16,FALSE),"")</f>
        <v/>
      </c>
    </row>
    <row r="748">
      <c r="A748" s="28">
        <f>IF(C748="","", "CR-"&amp;TEXT(ROW()-7,"000"))</f>
        <v/>
      </c>
      <c r="B748" s="28" t="n"/>
      <c r="C748" s="28" t="n"/>
      <c r="D748" s="111" t="n"/>
      <c r="E748" s="111" t="n"/>
      <c r="F748" s="111" t="n"/>
      <c r="G748" s="28" t="n"/>
      <c r="H748" s="45" t="n"/>
      <c r="I748" s="45" t="n"/>
      <c r="J748" s="28">
        <f>IF(H748="","",IF(I748&gt;=H748,"Recebido",IF($B$4&gt;E748,"Vencido","Aberto")))</f>
        <v/>
      </c>
      <c r="K748" s="4">
        <f>IF(J748="","",IF(OR(J748="Recebido",F748=""),MAX(0,F748-E748),MAX(0,$B$4-E748)))</f>
        <v/>
      </c>
      <c r="L748" s="4">
        <f>IF(K748="","",IF(K748=0,"Em dia",IF(K748&lt;=30,"1-30 dias",IF(K748&lt;=60,"31-60 dias",IF(K748&lt;=90,"61-90 dias","&gt;90 dias")))))</f>
        <v/>
      </c>
      <c r="M748" s="28" t="n"/>
      <c r="N748" s="104" t="inlineStr"/>
      <c r="O748" s="64" t="n"/>
      <c r="P748" s="64">
        <f>IF(C748="","",IF(ISNUMBER(SEARCH("PCMSO",C748)),"PCMSO",IF(OR(ISNUMBER(SEARCH("E-SOCIAL",C748)),ISNUMBER(SEARCH("PSICOSOCIAL",C748))),"eSocial / Psicossocial",IF(O748="Receita recorrente","Carteira recorrente","Projetos / Laudos / Avulsos"))))</f>
        <v/>
      </c>
      <c r="Q748" s="64">
        <f>IF(P748="","",IF(P748="Carteira recorrente","Operação recorrente",IF(P748="PCMSO","Projetos PCMSO",IF(P748="eSocial / Psicossocial","Projetos eSocial/Psicossocial","Projetos / Laudos / Avulsos"))))</f>
        <v/>
      </c>
      <c r="R748" s="64">
        <f>IF(C748="","",IF(ISNUMBER(SEARCH("PCMSO",C748)),"Título com PCMSO no nome",IF(OR(ISNUMBER(SEARCH("E-SOCIAL",C748)),ISNUMBER(SEARCH("PSICOSOCIAL",C748))),"Título com eSocial/Psicossocial no nome",IF(O748="Receita recorrente","Tipo DRE recorrente","Extra sem palavra-chave específica"))))</f>
        <v/>
      </c>
      <c r="S748" s="92">
        <f>IFERROR(VLOOKUP($A748,'13. Mapa Títulos-Receita'!$A$8:$P$1000,4,FALSE),"")</f>
        <v/>
      </c>
      <c r="T748" s="92">
        <f>IFERROR(VLOOKUP($A748,'13. Mapa Títulos-Receita'!$A$8:$P$1000,5,FALSE),"")</f>
        <v/>
      </c>
      <c r="U748" s="92">
        <f>IFERROR(VLOOKUP($A748,'13. Mapa Títulos-Receita'!$A$8:$P$1000,6,FALSE),"")</f>
        <v/>
      </c>
      <c r="V748" s="92">
        <f>IFERROR(VLOOKUP($A748,'13. Mapa Títulos-Receita'!$A$8:$P$1000,7,FALSE),"")</f>
        <v/>
      </c>
      <c r="W748" s="92">
        <f>IFERROR(VLOOKUP($A748,'13. Mapa Títulos-Receita'!$A$8:$P$1000,8,FALSE),"")</f>
        <v/>
      </c>
      <c r="X748" s="92">
        <f>IFERROR(VLOOKUP($A748,'13. Mapa Títulos-Receita'!$A$8:$P$1000,9,FALSE),"")</f>
        <v/>
      </c>
      <c r="Y748" s="92">
        <f>IFERROR(VLOOKUP($A748,'13. Mapa Títulos-Receita'!$A$8:$P$1000,10,FALSE),"")</f>
        <v/>
      </c>
      <c r="Z748" s="92">
        <f>IFERROR(VLOOKUP($A748,'13. Mapa Títulos-Receita'!$A$8:$P$1000,11,FALSE),"")</f>
        <v/>
      </c>
      <c r="AA748" s="92">
        <f>IFERROR(VLOOKUP($A748,'13. Mapa Títulos-Receita'!$A$8:$P$1000,12,FALSE),"")</f>
        <v/>
      </c>
      <c r="AB748" s="92">
        <f>IFERROR(VLOOKUP($A748,'13. Mapa Títulos-Receita'!$A$8:$P$1000,13,FALSE),"")</f>
        <v/>
      </c>
      <c r="AC748" s="92">
        <f>IFERROR(VLOOKUP($A748,'13. Mapa Títulos-Receita'!$A$8:$P$1000,14,FALSE),"")</f>
        <v/>
      </c>
      <c r="AD748" s="92">
        <f>IFERROR(VLOOKUP($A748,'13. Mapa Títulos-Receita'!$A$8:$P$1000,15,FALSE),"")</f>
        <v/>
      </c>
      <c r="AE748" s="92">
        <f>IFERROR(VLOOKUP($A748,'13. Mapa Títulos-Receita'!$A$8:$P$1000,16,FALSE),"")</f>
        <v/>
      </c>
    </row>
    <row r="749">
      <c r="A749" s="28">
        <f>IF(C749="","", "CR-"&amp;TEXT(ROW()-7,"000"))</f>
        <v/>
      </c>
      <c r="B749" s="28" t="n"/>
      <c r="C749" s="28" t="n"/>
      <c r="D749" s="111" t="n"/>
      <c r="E749" s="111" t="n"/>
      <c r="F749" s="111" t="n"/>
      <c r="G749" s="28" t="n"/>
      <c r="H749" s="45" t="n"/>
      <c r="I749" s="45" t="n"/>
      <c r="J749" s="28">
        <f>IF(H749="","",IF(I749&gt;=H749,"Recebido",IF($B$4&gt;E749,"Vencido","Aberto")))</f>
        <v/>
      </c>
      <c r="K749" s="4">
        <f>IF(J749="","",IF(OR(J749="Recebido",F749=""),MAX(0,F749-E749),MAX(0,$B$4-E749)))</f>
        <v/>
      </c>
      <c r="L749" s="4">
        <f>IF(K749="","",IF(K749=0,"Em dia",IF(K749&lt;=30,"1-30 dias",IF(K749&lt;=60,"31-60 dias",IF(K749&lt;=90,"61-90 dias","&gt;90 dias")))))</f>
        <v/>
      </c>
      <c r="M749" s="28" t="n"/>
      <c r="N749" s="104" t="inlineStr"/>
      <c r="O749" s="64" t="n"/>
      <c r="P749" s="64">
        <f>IF(C749="","",IF(ISNUMBER(SEARCH("PCMSO",C749)),"PCMSO",IF(OR(ISNUMBER(SEARCH("E-SOCIAL",C749)),ISNUMBER(SEARCH("PSICOSOCIAL",C749))),"eSocial / Psicossocial",IF(O749="Receita recorrente","Carteira recorrente","Projetos / Laudos / Avulsos"))))</f>
        <v/>
      </c>
      <c r="Q749" s="64">
        <f>IF(P749="","",IF(P749="Carteira recorrente","Operação recorrente",IF(P749="PCMSO","Projetos PCMSO",IF(P749="eSocial / Psicossocial","Projetos eSocial/Psicossocial","Projetos / Laudos / Avulsos"))))</f>
        <v/>
      </c>
      <c r="R749" s="64">
        <f>IF(C749="","",IF(ISNUMBER(SEARCH("PCMSO",C749)),"Título com PCMSO no nome",IF(OR(ISNUMBER(SEARCH("E-SOCIAL",C749)),ISNUMBER(SEARCH("PSICOSOCIAL",C749))),"Título com eSocial/Psicossocial no nome",IF(O749="Receita recorrente","Tipo DRE recorrente","Extra sem palavra-chave específica"))))</f>
        <v/>
      </c>
      <c r="S749" s="92">
        <f>IFERROR(VLOOKUP($A749,'13. Mapa Títulos-Receita'!$A$8:$P$1000,4,FALSE),"")</f>
        <v/>
      </c>
      <c r="T749" s="92">
        <f>IFERROR(VLOOKUP($A749,'13. Mapa Títulos-Receita'!$A$8:$P$1000,5,FALSE),"")</f>
        <v/>
      </c>
      <c r="U749" s="92">
        <f>IFERROR(VLOOKUP($A749,'13. Mapa Títulos-Receita'!$A$8:$P$1000,6,FALSE),"")</f>
        <v/>
      </c>
      <c r="V749" s="92">
        <f>IFERROR(VLOOKUP($A749,'13. Mapa Títulos-Receita'!$A$8:$P$1000,7,FALSE),"")</f>
        <v/>
      </c>
      <c r="W749" s="92">
        <f>IFERROR(VLOOKUP($A749,'13. Mapa Títulos-Receita'!$A$8:$P$1000,8,FALSE),"")</f>
        <v/>
      </c>
      <c r="X749" s="92">
        <f>IFERROR(VLOOKUP($A749,'13. Mapa Títulos-Receita'!$A$8:$P$1000,9,FALSE),"")</f>
        <v/>
      </c>
      <c r="Y749" s="92">
        <f>IFERROR(VLOOKUP($A749,'13. Mapa Títulos-Receita'!$A$8:$P$1000,10,FALSE),"")</f>
        <v/>
      </c>
      <c r="Z749" s="92">
        <f>IFERROR(VLOOKUP($A749,'13. Mapa Títulos-Receita'!$A$8:$P$1000,11,FALSE),"")</f>
        <v/>
      </c>
      <c r="AA749" s="92">
        <f>IFERROR(VLOOKUP($A749,'13. Mapa Títulos-Receita'!$A$8:$P$1000,12,FALSE),"")</f>
        <v/>
      </c>
      <c r="AB749" s="92">
        <f>IFERROR(VLOOKUP($A749,'13. Mapa Títulos-Receita'!$A$8:$P$1000,13,FALSE),"")</f>
        <v/>
      </c>
      <c r="AC749" s="92">
        <f>IFERROR(VLOOKUP($A749,'13. Mapa Títulos-Receita'!$A$8:$P$1000,14,FALSE),"")</f>
        <v/>
      </c>
      <c r="AD749" s="92">
        <f>IFERROR(VLOOKUP($A749,'13. Mapa Títulos-Receita'!$A$8:$P$1000,15,FALSE),"")</f>
        <v/>
      </c>
      <c r="AE749" s="92">
        <f>IFERROR(VLOOKUP($A749,'13. Mapa Títulos-Receita'!$A$8:$P$1000,16,FALSE),"")</f>
        <v/>
      </c>
    </row>
    <row r="750">
      <c r="A750" s="28">
        <f>IF(C750="","", "CR-"&amp;TEXT(ROW()-7,"000"))</f>
        <v/>
      </c>
      <c r="B750" s="28" t="n"/>
      <c r="C750" s="28" t="n"/>
      <c r="D750" s="111" t="n"/>
      <c r="E750" s="111" t="n"/>
      <c r="F750" s="111" t="n"/>
      <c r="G750" s="28" t="n"/>
      <c r="H750" s="45" t="n"/>
      <c r="I750" s="45" t="n"/>
      <c r="J750" s="28">
        <f>IF(H750="","",IF(I750&gt;=H750,"Recebido",IF($B$4&gt;E750,"Vencido","Aberto")))</f>
        <v/>
      </c>
      <c r="K750" s="4">
        <f>IF(J750="","",IF(OR(J750="Recebido",F750=""),MAX(0,F750-E750),MAX(0,$B$4-E750)))</f>
        <v/>
      </c>
      <c r="L750" s="4">
        <f>IF(K750="","",IF(K750=0,"Em dia",IF(K750&lt;=30,"1-30 dias",IF(K750&lt;=60,"31-60 dias",IF(K750&lt;=90,"61-90 dias","&gt;90 dias")))))</f>
        <v/>
      </c>
      <c r="M750" s="28" t="n"/>
      <c r="N750" s="104" t="inlineStr"/>
      <c r="O750" s="64" t="n"/>
      <c r="P750" s="64">
        <f>IF(C750="","",IF(ISNUMBER(SEARCH("PCMSO",C750)),"PCMSO",IF(OR(ISNUMBER(SEARCH("E-SOCIAL",C750)),ISNUMBER(SEARCH("PSICOSOCIAL",C750))),"eSocial / Psicossocial",IF(O750="Receita recorrente","Carteira recorrente","Projetos / Laudos / Avulsos"))))</f>
        <v/>
      </c>
      <c r="Q750" s="64">
        <f>IF(P750="","",IF(P750="Carteira recorrente","Operação recorrente",IF(P750="PCMSO","Projetos PCMSO",IF(P750="eSocial / Psicossocial","Projetos eSocial/Psicossocial","Projetos / Laudos / Avulsos"))))</f>
        <v/>
      </c>
      <c r="R750" s="64">
        <f>IF(C750="","",IF(ISNUMBER(SEARCH("PCMSO",C750)),"Título com PCMSO no nome",IF(OR(ISNUMBER(SEARCH("E-SOCIAL",C750)),ISNUMBER(SEARCH("PSICOSOCIAL",C750))),"Título com eSocial/Psicossocial no nome",IF(O750="Receita recorrente","Tipo DRE recorrente","Extra sem palavra-chave específica"))))</f>
        <v/>
      </c>
      <c r="S750" s="92">
        <f>IFERROR(VLOOKUP($A750,'13. Mapa Títulos-Receita'!$A$8:$P$1000,4,FALSE),"")</f>
        <v/>
      </c>
      <c r="T750" s="92">
        <f>IFERROR(VLOOKUP($A750,'13. Mapa Títulos-Receita'!$A$8:$P$1000,5,FALSE),"")</f>
        <v/>
      </c>
      <c r="U750" s="92">
        <f>IFERROR(VLOOKUP($A750,'13. Mapa Títulos-Receita'!$A$8:$P$1000,6,FALSE),"")</f>
        <v/>
      </c>
      <c r="V750" s="92">
        <f>IFERROR(VLOOKUP($A750,'13. Mapa Títulos-Receita'!$A$8:$P$1000,7,FALSE),"")</f>
        <v/>
      </c>
      <c r="W750" s="92">
        <f>IFERROR(VLOOKUP($A750,'13. Mapa Títulos-Receita'!$A$8:$P$1000,8,FALSE),"")</f>
        <v/>
      </c>
      <c r="X750" s="92">
        <f>IFERROR(VLOOKUP($A750,'13. Mapa Títulos-Receita'!$A$8:$P$1000,9,FALSE),"")</f>
        <v/>
      </c>
      <c r="Y750" s="92">
        <f>IFERROR(VLOOKUP($A750,'13. Mapa Títulos-Receita'!$A$8:$P$1000,10,FALSE),"")</f>
        <v/>
      </c>
      <c r="Z750" s="92">
        <f>IFERROR(VLOOKUP($A750,'13. Mapa Títulos-Receita'!$A$8:$P$1000,11,FALSE),"")</f>
        <v/>
      </c>
      <c r="AA750" s="92">
        <f>IFERROR(VLOOKUP($A750,'13. Mapa Títulos-Receita'!$A$8:$P$1000,12,FALSE),"")</f>
        <v/>
      </c>
      <c r="AB750" s="92">
        <f>IFERROR(VLOOKUP($A750,'13. Mapa Títulos-Receita'!$A$8:$P$1000,13,FALSE),"")</f>
        <v/>
      </c>
      <c r="AC750" s="92">
        <f>IFERROR(VLOOKUP($A750,'13. Mapa Títulos-Receita'!$A$8:$P$1000,14,FALSE),"")</f>
        <v/>
      </c>
      <c r="AD750" s="92">
        <f>IFERROR(VLOOKUP($A750,'13. Mapa Títulos-Receita'!$A$8:$P$1000,15,FALSE),"")</f>
        <v/>
      </c>
      <c r="AE750" s="92">
        <f>IFERROR(VLOOKUP($A750,'13. Mapa Títulos-Receita'!$A$8:$P$1000,16,FALSE),"")</f>
        <v/>
      </c>
    </row>
    <row r="751">
      <c r="A751" s="28">
        <f>IF(C751="","", "CR-"&amp;TEXT(ROW()-7,"000"))</f>
        <v/>
      </c>
      <c r="B751" s="28" t="n"/>
      <c r="C751" s="28" t="n"/>
      <c r="D751" s="111" t="n"/>
      <c r="E751" s="111" t="n"/>
      <c r="F751" s="111" t="n"/>
      <c r="G751" s="28" t="n"/>
      <c r="H751" s="45" t="n"/>
      <c r="I751" s="45" t="n"/>
      <c r="J751" s="28">
        <f>IF(H751="","",IF(I751&gt;=H751,"Recebido",IF($B$4&gt;E751,"Vencido","Aberto")))</f>
        <v/>
      </c>
      <c r="K751" s="4">
        <f>IF(J751="","",IF(OR(J751="Recebido",F751=""),MAX(0,F751-E751),MAX(0,$B$4-E751)))</f>
        <v/>
      </c>
      <c r="L751" s="4">
        <f>IF(K751="","",IF(K751=0,"Em dia",IF(K751&lt;=30,"1-30 dias",IF(K751&lt;=60,"31-60 dias",IF(K751&lt;=90,"61-90 dias","&gt;90 dias")))))</f>
        <v/>
      </c>
      <c r="M751" s="28" t="n"/>
      <c r="N751" s="104" t="inlineStr"/>
      <c r="O751" s="64" t="n"/>
      <c r="P751" s="64">
        <f>IF(C751="","",IF(ISNUMBER(SEARCH("PCMSO",C751)),"PCMSO",IF(OR(ISNUMBER(SEARCH("E-SOCIAL",C751)),ISNUMBER(SEARCH("PSICOSOCIAL",C751))),"eSocial / Psicossocial",IF(O751="Receita recorrente","Carteira recorrente","Projetos / Laudos / Avulsos"))))</f>
        <v/>
      </c>
      <c r="Q751" s="64">
        <f>IF(P751="","",IF(P751="Carteira recorrente","Operação recorrente",IF(P751="PCMSO","Projetos PCMSO",IF(P751="eSocial / Psicossocial","Projetos eSocial/Psicossocial","Projetos / Laudos / Avulsos"))))</f>
        <v/>
      </c>
      <c r="R751" s="64">
        <f>IF(C751="","",IF(ISNUMBER(SEARCH("PCMSO",C751)),"Título com PCMSO no nome",IF(OR(ISNUMBER(SEARCH("E-SOCIAL",C751)),ISNUMBER(SEARCH("PSICOSOCIAL",C751))),"Título com eSocial/Psicossocial no nome",IF(O751="Receita recorrente","Tipo DRE recorrente","Extra sem palavra-chave específica"))))</f>
        <v/>
      </c>
      <c r="S751" s="92">
        <f>IFERROR(VLOOKUP($A751,'13. Mapa Títulos-Receita'!$A$8:$P$1000,4,FALSE),"")</f>
        <v/>
      </c>
      <c r="T751" s="92">
        <f>IFERROR(VLOOKUP($A751,'13. Mapa Títulos-Receita'!$A$8:$P$1000,5,FALSE),"")</f>
        <v/>
      </c>
      <c r="U751" s="92">
        <f>IFERROR(VLOOKUP($A751,'13. Mapa Títulos-Receita'!$A$8:$P$1000,6,FALSE),"")</f>
        <v/>
      </c>
      <c r="V751" s="92">
        <f>IFERROR(VLOOKUP($A751,'13. Mapa Títulos-Receita'!$A$8:$P$1000,7,FALSE),"")</f>
        <v/>
      </c>
      <c r="W751" s="92">
        <f>IFERROR(VLOOKUP($A751,'13. Mapa Títulos-Receita'!$A$8:$P$1000,8,FALSE),"")</f>
        <v/>
      </c>
      <c r="X751" s="92">
        <f>IFERROR(VLOOKUP($A751,'13. Mapa Títulos-Receita'!$A$8:$P$1000,9,FALSE),"")</f>
        <v/>
      </c>
      <c r="Y751" s="92">
        <f>IFERROR(VLOOKUP($A751,'13. Mapa Títulos-Receita'!$A$8:$P$1000,10,FALSE),"")</f>
        <v/>
      </c>
      <c r="Z751" s="92">
        <f>IFERROR(VLOOKUP($A751,'13. Mapa Títulos-Receita'!$A$8:$P$1000,11,FALSE),"")</f>
        <v/>
      </c>
      <c r="AA751" s="92">
        <f>IFERROR(VLOOKUP($A751,'13. Mapa Títulos-Receita'!$A$8:$P$1000,12,FALSE),"")</f>
        <v/>
      </c>
      <c r="AB751" s="92">
        <f>IFERROR(VLOOKUP($A751,'13. Mapa Títulos-Receita'!$A$8:$P$1000,13,FALSE),"")</f>
        <v/>
      </c>
      <c r="AC751" s="92">
        <f>IFERROR(VLOOKUP($A751,'13. Mapa Títulos-Receita'!$A$8:$P$1000,14,FALSE),"")</f>
        <v/>
      </c>
      <c r="AD751" s="92">
        <f>IFERROR(VLOOKUP($A751,'13. Mapa Títulos-Receita'!$A$8:$P$1000,15,FALSE),"")</f>
        <v/>
      </c>
      <c r="AE751" s="92">
        <f>IFERROR(VLOOKUP($A751,'13. Mapa Títulos-Receita'!$A$8:$P$1000,16,FALSE),"")</f>
        <v/>
      </c>
    </row>
    <row r="752">
      <c r="A752" s="28">
        <f>IF(C752="","", "CR-"&amp;TEXT(ROW()-7,"000"))</f>
        <v/>
      </c>
      <c r="B752" s="28" t="n"/>
      <c r="C752" s="28" t="n"/>
      <c r="D752" s="111" t="n"/>
      <c r="E752" s="111" t="n"/>
      <c r="F752" s="111" t="n"/>
      <c r="G752" s="28" t="n"/>
      <c r="H752" s="45" t="n"/>
      <c r="I752" s="45" t="n"/>
      <c r="J752" s="28">
        <f>IF(H752="","",IF(I752&gt;=H752,"Recebido",IF($B$4&gt;E752,"Vencido","Aberto")))</f>
        <v/>
      </c>
      <c r="K752" s="4">
        <f>IF(J752="","",IF(OR(J752="Recebido",F752=""),MAX(0,F752-E752),MAX(0,$B$4-E752)))</f>
        <v/>
      </c>
      <c r="L752" s="4">
        <f>IF(K752="","",IF(K752=0,"Em dia",IF(K752&lt;=30,"1-30 dias",IF(K752&lt;=60,"31-60 dias",IF(K752&lt;=90,"61-90 dias","&gt;90 dias")))))</f>
        <v/>
      </c>
      <c r="M752" s="28" t="n"/>
      <c r="N752" s="104" t="inlineStr"/>
      <c r="O752" s="64" t="n"/>
      <c r="P752" s="64">
        <f>IF(C752="","",IF(ISNUMBER(SEARCH("PCMSO",C752)),"PCMSO",IF(OR(ISNUMBER(SEARCH("E-SOCIAL",C752)),ISNUMBER(SEARCH("PSICOSOCIAL",C752))),"eSocial / Psicossocial",IF(O752="Receita recorrente","Carteira recorrente","Projetos / Laudos / Avulsos"))))</f>
        <v/>
      </c>
      <c r="Q752" s="64">
        <f>IF(P752="","",IF(P752="Carteira recorrente","Operação recorrente",IF(P752="PCMSO","Projetos PCMSO",IF(P752="eSocial / Psicossocial","Projetos eSocial/Psicossocial","Projetos / Laudos / Avulsos"))))</f>
        <v/>
      </c>
      <c r="R752" s="64">
        <f>IF(C752="","",IF(ISNUMBER(SEARCH("PCMSO",C752)),"Título com PCMSO no nome",IF(OR(ISNUMBER(SEARCH("E-SOCIAL",C752)),ISNUMBER(SEARCH("PSICOSOCIAL",C752))),"Título com eSocial/Psicossocial no nome",IF(O752="Receita recorrente","Tipo DRE recorrente","Extra sem palavra-chave específica"))))</f>
        <v/>
      </c>
      <c r="S752" s="92">
        <f>IFERROR(VLOOKUP($A752,'13. Mapa Títulos-Receita'!$A$8:$P$1000,4,FALSE),"")</f>
        <v/>
      </c>
      <c r="T752" s="92">
        <f>IFERROR(VLOOKUP($A752,'13. Mapa Títulos-Receita'!$A$8:$P$1000,5,FALSE),"")</f>
        <v/>
      </c>
      <c r="U752" s="92">
        <f>IFERROR(VLOOKUP($A752,'13. Mapa Títulos-Receita'!$A$8:$P$1000,6,FALSE),"")</f>
        <v/>
      </c>
      <c r="V752" s="92">
        <f>IFERROR(VLOOKUP($A752,'13. Mapa Títulos-Receita'!$A$8:$P$1000,7,FALSE),"")</f>
        <v/>
      </c>
      <c r="W752" s="92">
        <f>IFERROR(VLOOKUP($A752,'13. Mapa Títulos-Receita'!$A$8:$P$1000,8,FALSE),"")</f>
        <v/>
      </c>
      <c r="X752" s="92">
        <f>IFERROR(VLOOKUP($A752,'13. Mapa Títulos-Receita'!$A$8:$P$1000,9,FALSE),"")</f>
        <v/>
      </c>
      <c r="Y752" s="92">
        <f>IFERROR(VLOOKUP($A752,'13. Mapa Títulos-Receita'!$A$8:$P$1000,10,FALSE),"")</f>
        <v/>
      </c>
      <c r="Z752" s="92">
        <f>IFERROR(VLOOKUP($A752,'13. Mapa Títulos-Receita'!$A$8:$P$1000,11,FALSE),"")</f>
        <v/>
      </c>
      <c r="AA752" s="92">
        <f>IFERROR(VLOOKUP($A752,'13. Mapa Títulos-Receita'!$A$8:$P$1000,12,FALSE),"")</f>
        <v/>
      </c>
      <c r="AB752" s="92">
        <f>IFERROR(VLOOKUP($A752,'13. Mapa Títulos-Receita'!$A$8:$P$1000,13,FALSE),"")</f>
        <v/>
      </c>
      <c r="AC752" s="92">
        <f>IFERROR(VLOOKUP($A752,'13. Mapa Títulos-Receita'!$A$8:$P$1000,14,FALSE),"")</f>
        <v/>
      </c>
      <c r="AD752" s="92">
        <f>IFERROR(VLOOKUP($A752,'13. Mapa Títulos-Receita'!$A$8:$P$1000,15,FALSE),"")</f>
        <v/>
      </c>
      <c r="AE752" s="92">
        <f>IFERROR(VLOOKUP($A752,'13. Mapa Títulos-Receita'!$A$8:$P$1000,16,FALSE),"")</f>
        <v/>
      </c>
    </row>
    <row r="753">
      <c r="A753" s="28">
        <f>IF(C753="","", "CR-"&amp;TEXT(ROW()-7,"000"))</f>
        <v/>
      </c>
      <c r="B753" s="28" t="n"/>
      <c r="C753" s="28" t="n"/>
      <c r="D753" s="111" t="n"/>
      <c r="E753" s="111" t="n"/>
      <c r="F753" s="111" t="n"/>
      <c r="G753" s="28" t="n"/>
      <c r="H753" s="45" t="n"/>
      <c r="I753" s="45" t="n"/>
      <c r="J753" s="28">
        <f>IF(H753="","",IF(I753&gt;=H753,"Recebido",IF($B$4&gt;E753,"Vencido","Aberto")))</f>
        <v/>
      </c>
      <c r="K753" s="4">
        <f>IF(J753="","",IF(OR(J753="Recebido",F753=""),MAX(0,F753-E753),MAX(0,$B$4-E753)))</f>
        <v/>
      </c>
      <c r="L753" s="4">
        <f>IF(K753="","",IF(K753=0,"Em dia",IF(K753&lt;=30,"1-30 dias",IF(K753&lt;=60,"31-60 dias",IF(K753&lt;=90,"61-90 dias","&gt;90 dias")))))</f>
        <v/>
      </c>
      <c r="M753" s="28" t="n"/>
      <c r="N753" s="104" t="inlineStr"/>
      <c r="O753" s="64" t="n"/>
      <c r="P753" s="64">
        <f>IF(C753="","",IF(ISNUMBER(SEARCH("PCMSO",C753)),"PCMSO",IF(OR(ISNUMBER(SEARCH("E-SOCIAL",C753)),ISNUMBER(SEARCH("PSICOSOCIAL",C753))),"eSocial / Psicossocial",IF(O753="Receita recorrente","Carteira recorrente","Projetos / Laudos / Avulsos"))))</f>
        <v/>
      </c>
      <c r="Q753" s="64">
        <f>IF(P753="","",IF(P753="Carteira recorrente","Operação recorrente",IF(P753="PCMSO","Projetos PCMSO",IF(P753="eSocial / Psicossocial","Projetos eSocial/Psicossocial","Projetos / Laudos / Avulsos"))))</f>
        <v/>
      </c>
      <c r="R753" s="64">
        <f>IF(C753="","",IF(ISNUMBER(SEARCH("PCMSO",C753)),"Título com PCMSO no nome",IF(OR(ISNUMBER(SEARCH("E-SOCIAL",C753)),ISNUMBER(SEARCH("PSICOSOCIAL",C753))),"Título com eSocial/Psicossocial no nome",IF(O753="Receita recorrente","Tipo DRE recorrente","Extra sem palavra-chave específica"))))</f>
        <v/>
      </c>
      <c r="S753" s="92">
        <f>IFERROR(VLOOKUP($A753,'13. Mapa Títulos-Receita'!$A$8:$P$1000,4,FALSE),"")</f>
        <v/>
      </c>
      <c r="T753" s="92">
        <f>IFERROR(VLOOKUP($A753,'13. Mapa Títulos-Receita'!$A$8:$P$1000,5,FALSE),"")</f>
        <v/>
      </c>
      <c r="U753" s="92">
        <f>IFERROR(VLOOKUP($A753,'13. Mapa Títulos-Receita'!$A$8:$P$1000,6,FALSE),"")</f>
        <v/>
      </c>
      <c r="V753" s="92">
        <f>IFERROR(VLOOKUP($A753,'13. Mapa Títulos-Receita'!$A$8:$P$1000,7,FALSE),"")</f>
        <v/>
      </c>
      <c r="W753" s="92">
        <f>IFERROR(VLOOKUP($A753,'13. Mapa Títulos-Receita'!$A$8:$P$1000,8,FALSE),"")</f>
        <v/>
      </c>
      <c r="X753" s="92">
        <f>IFERROR(VLOOKUP($A753,'13. Mapa Títulos-Receita'!$A$8:$P$1000,9,FALSE),"")</f>
        <v/>
      </c>
      <c r="Y753" s="92">
        <f>IFERROR(VLOOKUP($A753,'13. Mapa Títulos-Receita'!$A$8:$P$1000,10,FALSE),"")</f>
        <v/>
      </c>
      <c r="Z753" s="92">
        <f>IFERROR(VLOOKUP($A753,'13. Mapa Títulos-Receita'!$A$8:$P$1000,11,FALSE),"")</f>
        <v/>
      </c>
      <c r="AA753" s="92">
        <f>IFERROR(VLOOKUP($A753,'13. Mapa Títulos-Receita'!$A$8:$P$1000,12,FALSE),"")</f>
        <v/>
      </c>
      <c r="AB753" s="92">
        <f>IFERROR(VLOOKUP($A753,'13. Mapa Títulos-Receita'!$A$8:$P$1000,13,FALSE),"")</f>
        <v/>
      </c>
      <c r="AC753" s="92">
        <f>IFERROR(VLOOKUP($A753,'13. Mapa Títulos-Receita'!$A$8:$P$1000,14,FALSE),"")</f>
        <v/>
      </c>
      <c r="AD753" s="92">
        <f>IFERROR(VLOOKUP($A753,'13. Mapa Títulos-Receita'!$A$8:$P$1000,15,FALSE),"")</f>
        <v/>
      </c>
      <c r="AE753" s="92">
        <f>IFERROR(VLOOKUP($A753,'13. Mapa Títulos-Receita'!$A$8:$P$1000,16,FALSE),"")</f>
        <v/>
      </c>
    </row>
    <row r="754">
      <c r="A754" s="28">
        <f>IF(C754="","", "CR-"&amp;TEXT(ROW()-7,"000"))</f>
        <v/>
      </c>
      <c r="B754" s="28" t="n"/>
      <c r="C754" s="28" t="n"/>
      <c r="D754" s="111" t="n"/>
      <c r="E754" s="111" t="n"/>
      <c r="F754" s="111" t="n"/>
      <c r="G754" s="28" t="n"/>
      <c r="H754" s="45" t="n"/>
      <c r="I754" s="45" t="n"/>
      <c r="J754" s="28">
        <f>IF(H754="","",IF(I754&gt;=H754,"Recebido",IF($B$4&gt;E754,"Vencido","Aberto")))</f>
        <v/>
      </c>
      <c r="K754" s="4">
        <f>IF(J754="","",IF(OR(J754="Recebido",F754=""),MAX(0,F754-E754),MAX(0,$B$4-E754)))</f>
        <v/>
      </c>
      <c r="L754" s="4">
        <f>IF(K754="","",IF(K754=0,"Em dia",IF(K754&lt;=30,"1-30 dias",IF(K754&lt;=60,"31-60 dias",IF(K754&lt;=90,"61-90 dias","&gt;90 dias")))))</f>
        <v/>
      </c>
      <c r="M754" s="28" t="n"/>
      <c r="N754" s="104" t="inlineStr"/>
      <c r="O754" s="64" t="n"/>
      <c r="P754" s="64">
        <f>IF(C754="","",IF(ISNUMBER(SEARCH("PCMSO",C754)),"PCMSO",IF(OR(ISNUMBER(SEARCH("E-SOCIAL",C754)),ISNUMBER(SEARCH("PSICOSOCIAL",C754))),"eSocial / Psicossocial",IF(O754="Receita recorrente","Carteira recorrente","Projetos / Laudos / Avulsos"))))</f>
        <v/>
      </c>
      <c r="Q754" s="64">
        <f>IF(P754="","",IF(P754="Carteira recorrente","Operação recorrente",IF(P754="PCMSO","Projetos PCMSO",IF(P754="eSocial / Psicossocial","Projetos eSocial/Psicossocial","Projetos / Laudos / Avulsos"))))</f>
        <v/>
      </c>
      <c r="R754" s="64">
        <f>IF(C754="","",IF(ISNUMBER(SEARCH("PCMSO",C754)),"Título com PCMSO no nome",IF(OR(ISNUMBER(SEARCH("E-SOCIAL",C754)),ISNUMBER(SEARCH("PSICOSOCIAL",C754))),"Título com eSocial/Psicossocial no nome",IF(O754="Receita recorrente","Tipo DRE recorrente","Extra sem palavra-chave específica"))))</f>
        <v/>
      </c>
      <c r="S754" s="92">
        <f>IFERROR(VLOOKUP($A754,'13. Mapa Títulos-Receita'!$A$8:$P$1000,4,FALSE),"")</f>
        <v/>
      </c>
      <c r="T754" s="92">
        <f>IFERROR(VLOOKUP($A754,'13. Mapa Títulos-Receita'!$A$8:$P$1000,5,FALSE),"")</f>
        <v/>
      </c>
      <c r="U754" s="92">
        <f>IFERROR(VLOOKUP($A754,'13. Mapa Títulos-Receita'!$A$8:$P$1000,6,FALSE),"")</f>
        <v/>
      </c>
      <c r="V754" s="92">
        <f>IFERROR(VLOOKUP($A754,'13. Mapa Títulos-Receita'!$A$8:$P$1000,7,FALSE),"")</f>
        <v/>
      </c>
      <c r="W754" s="92">
        <f>IFERROR(VLOOKUP($A754,'13. Mapa Títulos-Receita'!$A$8:$P$1000,8,FALSE),"")</f>
        <v/>
      </c>
      <c r="X754" s="92">
        <f>IFERROR(VLOOKUP($A754,'13. Mapa Títulos-Receita'!$A$8:$P$1000,9,FALSE),"")</f>
        <v/>
      </c>
      <c r="Y754" s="92">
        <f>IFERROR(VLOOKUP($A754,'13. Mapa Títulos-Receita'!$A$8:$P$1000,10,FALSE),"")</f>
        <v/>
      </c>
      <c r="Z754" s="92">
        <f>IFERROR(VLOOKUP($A754,'13. Mapa Títulos-Receita'!$A$8:$P$1000,11,FALSE),"")</f>
        <v/>
      </c>
      <c r="AA754" s="92">
        <f>IFERROR(VLOOKUP($A754,'13. Mapa Títulos-Receita'!$A$8:$P$1000,12,FALSE),"")</f>
        <v/>
      </c>
      <c r="AB754" s="92">
        <f>IFERROR(VLOOKUP($A754,'13. Mapa Títulos-Receita'!$A$8:$P$1000,13,FALSE),"")</f>
        <v/>
      </c>
      <c r="AC754" s="92">
        <f>IFERROR(VLOOKUP($A754,'13. Mapa Títulos-Receita'!$A$8:$P$1000,14,FALSE),"")</f>
        <v/>
      </c>
      <c r="AD754" s="92">
        <f>IFERROR(VLOOKUP($A754,'13. Mapa Títulos-Receita'!$A$8:$P$1000,15,FALSE),"")</f>
        <v/>
      </c>
      <c r="AE754" s="92">
        <f>IFERROR(VLOOKUP($A754,'13. Mapa Títulos-Receita'!$A$8:$P$1000,16,FALSE),"")</f>
        <v/>
      </c>
    </row>
    <row r="755">
      <c r="A755" s="28">
        <f>IF(C755="","", "CR-"&amp;TEXT(ROW()-7,"000"))</f>
        <v/>
      </c>
      <c r="B755" s="28" t="n"/>
      <c r="C755" s="28" t="n"/>
      <c r="D755" s="111" t="n"/>
      <c r="E755" s="111" t="n"/>
      <c r="F755" s="111" t="n"/>
      <c r="G755" s="28" t="n"/>
      <c r="H755" s="45" t="n"/>
      <c r="I755" s="45" t="n"/>
      <c r="J755" s="28">
        <f>IF(H755="","",IF(I755&gt;=H755,"Recebido",IF($B$4&gt;E755,"Vencido","Aberto")))</f>
        <v/>
      </c>
      <c r="K755" s="4">
        <f>IF(J755="","",IF(OR(J755="Recebido",F755=""),MAX(0,F755-E755),MAX(0,$B$4-E755)))</f>
        <v/>
      </c>
      <c r="L755" s="4">
        <f>IF(K755="","",IF(K755=0,"Em dia",IF(K755&lt;=30,"1-30 dias",IF(K755&lt;=60,"31-60 dias",IF(K755&lt;=90,"61-90 dias","&gt;90 dias")))))</f>
        <v/>
      </c>
      <c r="M755" s="28" t="n"/>
      <c r="N755" s="104" t="inlineStr"/>
      <c r="O755" s="64" t="n"/>
      <c r="P755" s="64">
        <f>IF(C755="","",IF(ISNUMBER(SEARCH("PCMSO",C755)),"PCMSO",IF(OR(ISNUMBER(SEARCH("E-SOCIAL",C755)),ISNUMBER(SEARCH("PSICOSOCIAL",C755))),"eSocial / Psicossocial",IF(O755="Receita recorrente","Carteira recorrente","Projetos / Laudos / Avulsos"))))</f>
        <v/>
      </c>
      <c r="Q755" s="64">
        <f>IF(P755="","",IF(P755="Carteira recorrente","Operação recorrente",IF(P755="PCMSO","Projetos PCMSO",IF(P755="eSocial / Psicossocial","Projetos eSocial/Psicossocial","Projetos / Laudos / Avulsos"))))</f>
        <v/>
      </c>
      <c r="R755" s="64">
        <f>IF(C755="","",IF(ISNUMBER(SEARCH("PCMSO",C755)),"Título com PCMSO no nome",IF(OR(ISNUMBER(SEARCH("E-SOCIAL",C755)),ISNUMBER(SEARCH("PSICOSOCIAL",C755))),"Título com eSocial/Psicossocial no nome",IF(O755="Receita recorrente","Tipo DRE recorrente","Extra sem palavra-chave específica"))))</f>
        <v/>
      </c>
      <c r="S755" s="92">
        <f>IFERROR(VLOOKUP($A755,'13. Mapa Títulos-Receita'!$A$8:$P$1000,4,FALSE),"")</f>
        <v/>
      </c>
      <c r="T755" s="92">
        <f>IFERROR(VLOOKUP($A755,'13. Mapa Títulos-Receita'!$A$8:$P$1000,5,FALSE),"")</f>
        <v/>
      </c>
      <c r="U755" s="92">
        <f>IFERROR(VLOOKUP($A755,'13. Mapa Títulos-Receita'!$A$8:$P$1000,6,FALSE),"")</f>
        <v/>
      </c>
      <c r="V755" s="92">
        <f>IFERROR(VLOOKUP($A755,'13. Mapa Títulos-Receita'!$A$8:$P$1000,7,FALSE),"")</f>
        <v/>
      </c>
      <c r="W755" s="92">
        <f>IFERROR(VLOOKUP($A755,'13. Mapa Títulos-Receita'!$A$8:$P$1000,8,FALSE),"")</f>
        <v/>
      </c>
      <c r="X755" s="92">
        <f>IFERROR(VLOOKUP($A755,'13. Mapa Títulos-Receita'!$A$8:$P$1000,9,FALSE),"")</f>
        <v/>
      </c>
      <c r="Y755" s="92">
        <f>IFERROR(VLOOKUP($A755,'13. Mapa Títulos-Receita'!$A$8:$P$1000,10,FALSE),"")</f>
        <v/>
      </c>
      <c r="Z755" s="92">
        <f>IFERROR(VLOOKUP($A755,'13. Mapa Títulos-Receita'!$A$8:$P$1000,11,FALSE),"")</f>
        <v/>
      </c>
      <c r="AA755" s="92">
        <f>IFERROR(VLOOKUP($A755,'13. Mapa Títulos-Receita'!$A$8:$P$1000,12,FALSE),"")</f>
        <v/>
      </c>
      <c r="AB755" s="92">
        <f>IFERROR(VLOOKUP($A755,'13. Mapa Títulos-Receita'!$A$8:$P$1000,13,FALSE),"")</f>
        <v/>
      </c>
      <c r="AC755" s="92">
        <f>IFERROR(VLOOKUP($A755,'13. Mapa Títulos-Receita'!$A$8:$P$1000,14,FALSE),"")</f>
        <v/>
      </c>
      <c r="AD755" s="92">
        <f>IFERROR(VLOOKUP($A755,'13. Mapa Títulos-Receita'!$A$8:$P$1000,15,FALSE),"")</f>
        <v/>
      </c>
      <c r="AE755" s="92">
        <f>IFERROR(VLOOKUP($A755,'13. Mapa Títulos-Receita'!$A$8:$P$1000,16,FALSE),"")</f>
        <v/>
      </c>
    </row>
    <row r="756">
      <c r="A756" s="28">
        <f>IF(C756="","", "CR-"&amp;TEXT(ROW()-7,"000"))</f>
        <v/>
      </c>
      <c r="B756" s="28" t="n"/>
      <c r="C756" s="28" t="n"/>
      <c r="D756" s="111" t="n"/>
      <c r="E756" s="111" t="n"/>
      <c r="F756" s="111" t="n"/>
      <c r="G756" s="28" t="n"/>
      <c r="H756" s="45" t="n"/>
      <c r="I756" s="45" t="n"/>
      <c r="J756" s="28">
        <f>IF(H756="","",IF(I756&gt;=H756,"Recebido",IF($B$4&gt;E756,"Vencido","Aberto")))</f>
        <v/>
      </c>
      <c r="K756" s="4">
        <f>IF(J756="","",IF(OR(J756="Recebido",F756=""),MAX(0,F756-E756),MAX(0,$B$4-E756)))</f>
        <v/>
      </c>
      <c r="L756" s="4">
        <f>IF(K756="","",IF(K756=0,"Em dia",IF(K756&lt;=30,"1-30 dias",IF(K756&lt;=60,"31-60 dias",IF(K756&lt;=90,"61-90 dias","&gt;90 dias")))))</f>
        <v/>
      </c>
      <c r="M756" s="28" t="n"/>
      <c r="N756" s="104" t="inlineStr"/>
      <c r="O756" s="64" t="n"/>
      <c r="P756" s="64">
        <f>IF(C756="","",IF(ISNUMBER(SEARCH("PCMSO",C756)),"PCMSO",IF(OR(ISNUMBER(SEARCH("E-SOCIAL",C756)),ISNUMBER(SEARCH("PSICOSOCIAL",C756))),"eSocial / Psicossocial",IF(O756="Receita recorrente","Carteira recorrente","Projetos / Laudos / Avulsos"))))</f>
        <v/>
      </c>
      <c r="Q756" s="64">
        <f>IF(P756="","",IF(P756="Carteira recorrente","Operação recorrente",IF(P756="PCMSO","Projetos PCMSO",IF(P756="eSocial / Psicossocial","Projetos eSocial/Psicossocial","Projetos / Laudos / Avulsos"))))</f>
        <v/>
      </c>
      <c r="R756" s="64">
        <f>IF(C756="","",IF(ISNUMBER(SEARCH("PCMSO",C756)),"Título com PCMSO no nome",IF(OR(ISNUMBER(SEARCH("E-SOCIAL",C756)),ISNUMBER(SEARCH("PSICOSOCIAL",C756))),"Título com eSocial/Psicossocial no nome",IF(O756="Receita recorrente","Tipo DRE recorrente","Extra sem palavra-chave específica"))))</f>
        <v/>
      </c>
      <c r="S756" s="92">
        <f>IFERROR(VLOOKUP($A756,'13. Mapa Títulos-Receita'!$A$8:$P$1000,4,FALSE),"")</f>
        <v/>
      </c>
      <c r="T756" s="92">
        <f>IFERROR(VLOOKUP($A756,'13. Mapa Títulos-Receita'!$A$8:$P$1000,5,FALSE),"")</f>
        <v/>
      </c>
      <c r="U756" s="92">
        <f>IFERROR(VLOOKUP($A756,'13. Mapa Títulos-Receita'!$A$8:$P$1000,6,FALSE),"")</f>
        <v/>
      </c>
      <c r="V756" s="92">
        <f>IFERROR(VLOOKUP($A756,'13. Mapa Títulos-Receita'!$A$8:$P$1000,7,FALSE),"")</f>
        <v/>
      </c>
      <c r="W756" s="92">
        <f>IFERROR(VLOOKUP($A756,'13. Mapa Títulos-Receita'!$A$8:$P$1000,8,FALSE),"")</f>
        <v/>
      </c>
      <c r="X756" s="92">
        <f>IFERROR(VLOOKUP($A756,'13. Mapa Títulos-Receita'!$A$8:$P$1000,9,FALSE),"")</f>
        <v/>
      </c>
      <c r="Y756" s="92">
        <f>IFERROR(VLOOKUP($A756,'13. Mapa Títulos-Receita'!$A$8:$P$1000,10,FALSE),"")</f>
        <v/>
      </c>
      <c r="Z756" s="92">
        <f>IFERROR(VLOOKUP($A756,'13. Mapa Títulos-Receita'!$A$8:$P$1000,11,FALSE),"")</f>
        <v/>
      </c>
      <c r="AA756" s="92">
        <f>IFERROR(VLOOKUP($A756,'13. Mapa Títulos-Receita'!$A$8:$P$1000,12,FALSE),"")</f>
        <v/>
      </c>
      <c r="AB756" s="92">
        <f>IFERROR(VLOOKUP($A756,'13. Mapa Títulos-Receita'!$A$8:$P$1000,13,FALSE),"")</f>
        <v/>
      </c>
      <c r="AC756" s="92">
        <f>IFERROR(VLOOKUP($A756,'13. Mapa Títulos-Receita'!$A$8:$P$1000,14,FALSE),"")</f>
        <v/>
      </c>
      <c r="AD756" s="92">
        <f>IFERROR(VLOOKUP($A756,'13. Mapa Títulos-Receita'!$A$8:$P$1000,15,FALSE),"")</f>
        <v/>
      </c>
      <c r="AE756" s="92">
        <f>IFERROR(VLOOKUP($A756,'13. Mapa Títulos-Receita'!$A$8:$P$1000,16,FALSE),"")</f>
        <v/>
      </c>
    </row>
    <row r="757">
      <c r="A757" s="28">
        <f>IF(C757="","", "CR-"&amp;TEXT(ROW()-7,"000"))</f>
        <v/>
      </c>
      <c r="B757" s="28" t="n"/>
      <c r="C757" s="28" t="n"/>
      <c r="D757" s="111" t="n"/>
      <c r="E757" s="111" t="n"/>
      <c r="F757" s="111" t="n"/>
      <c r="G757" s="28" t="n"/>
      <c r="H757" s="45" t="n"/>
      <c r="I757" s="45" t="n"/>
      <c r="J757" s="28">
        <f>IF(H757="","",IF(I757&gt;=H757,"Recebido",IF($B$4&gt;E757,"Vencido","Aberto")))</f>
        <v/>
      </c>
      <c r="K757" s="4">
        <f>IF(J757="","",IF(OR(J757="Recebido",F757=""),MAX(0,F757-E757),MAX(0,$B$4-E757)))</f>
        <v/>
      </c>
      <c r="L757" s="4">
        <f>IF(K757="","",IF(K757=0,"Em dia",IF(K757&lt;=30,"1-30 dias",IF(K757&lt;=60,"31-60 dias",IF(K757&lt;=90,"61-90 dias","&gt;90 dias")))))</f>
        <v/>
      </c>
      <c r="M757" s="28" t="n"/>
      <c r="N757" s="104" t="inlineStr"/>
      <c r="O757" s="64" t="n"/>
      <c r="P757" s="64">
        <f>IF(C757="","",IF(ISNUMBER(SEARCH("PCMSO",C757)),"PCMSO",IF(OR(ISNUMBER(SEARCH("E-SOCIAL",C757)),ISNUMBER(SEARCH("PSICOSOCIAL",C757))),"eSocial / Psicossocial",IF(O757="Receita recorrente","Carteira recorrente","Projetos / Laudos / Avulsos"))))</f>
        <v/>
      </c>
      <c r="Q757" s="64">
        <f>IF(P757="","",IF(P757="Carteira recorrente","Operação recorrente",IF(P757="PCMSO","Projetos PCMSO",IF(P757="eSocial / Psicossocial","Projetos eSocial/Psicossocial","Projetos / Laudos / Avulsos"))))</f>
        <v/>
      </c>
      <c r="R757" s="64">
        <f>IF(C757="","",IF(ISNUMBER(SEARCH("PCMSO",C757)),"Título com PCMSO no nome",IF(OR(ISNUMBER(SEARCH("E-SOCIAL",C757)),ISNUMBER(SEARCH("PSICOSOCIAL",C757))),"Título com eSocial/Psicossocial no nome",IF(O757="Receita recorrente","Tipo DRE recorrente","Extra sem palavra-chave específica"))))</f>
        <v/>
      </c>
      <c r="S757" s="92">
        <f>IFERROR(VLOOKUP($A757,'13. Mapa Títulos-Receita'!$A$8:$P$1000,4,FALSE),"")</f>
        <v/>
      </c>
      <c r="T757" s="92">
        <f>IFERROR(VLOOKUP($A757,'13. Mapa Títulos-Receita'!$A$8:$P$1000,5,FALSE),"")</f>
        <v/>
      </c>
      <c r="U757" s="92">
        <f>IFERROR(VLOOKUP($A757,'13. Mapa Títulos-Receita'!$A$8:$P$1000,6,FALSE),"")</f>
        <v/>
      </c>
      <c r="V757" s="92">
        <f>IFERROR(VLOOKUP($A757,'13. Mapa Títulos-Receita'!$A$8:$P$1000,7,FALSE),"")</f>
        <v/>
      </c>
      <c r="W757" s="92">
        <f>IFERROR(VLOOKUP($A757,'13. Mapa Títulos-Receita'!$A$8:$P$1000,8,FALSE),"")</f>
        <v/>
      </c>
      <c r="X757" s="92">
        <f>IFERROR(VLOOKUP($A757,'13. Mapa Títulos-Receita'!$A$8:$P$1000,9,FALSE),"")</f>
        <v/>
      </c>
      <c r="Y757" s="92">
        <f>IFERROR(VLOOKUP($A757,'13. Mapa Títulos-Receita'!$A$8:$P$1000,10,FALSE),"")</f>
        <v/>
      </c>
      <c r="Z757" s="92">
        <f>IFERROR(VLOOKUP($A757,'13. Mapa Títulos-Receita'!$A$8:$P$1000,11,FALSE),"")</f>
        <v/>
      </c>
      <c r="AA757" s="92">
        <f>IFERROR(VLOOKUP($A757,'13. Mapa Títulos-Receita'!$A$8:$P$1000,12,FALSE),"")</f>
        <v/>
      </c>
      <c r="AB757" s="92">
        <f>IFERROR(VLOOKUP($A757,'13. Mapa Títulos-Receita'!$A$8:$P$1000,13,FALSE),"")</f>
        <v/>
      </c>
      <c r="AC757" s="92">
        <f>IFERROR(VLOOKUP($A757,'13. Mapa Títulos-Receita'!$A$8:$P$1000,14,FALSE),"")</f>
        <v/>
      </c>
      <c r="AD757" s="92">
        <f>IFERROR(VLOOKUP($A757,'13. Mapa Títulos-Receita'!$A$8:$P$1000,15,FALSE),"")</f>
        <v/>
      </c>
      <c r="AE757" s="92">
        <f>IFERROR(VLOOKUP($A757,'13. Mapa Títulos-Receita'!$A$8:$P$1000,16,FALSE),"")</f>
        <v/>
      </c>
    </row>
    <row r="758">
      <c r="A758" s="28">
        <f>IF(C758="","", "CR-"&amp;TEXT(ROW()-7,"000"))</f>
        <v/>
      </c>
      <c r="B758" s="28" t="n"/>
      <c r="C758" s="28" t="n"/>
      <c r="D758" s="111" t="n"/>
      <c r="E758" s="111" t="n"/>
      <c r="F758" s="111" t="n"/>
      <c r="G758" s="28" t="n"/>
      <c r="H758" s="45" t="n"/>
      <c r="I758" s="45" t="n"/>
      <c r="J758" s="28">
        <f>IF(H758="","",IF(I758&gt;=H758,"Recebido",IF($B$4&gt;E758,"Vencido","Aberto")))</f>
        <v/>
      </c>
      <c r="K758" s="4">
        <f>IF(J758="","",IF(OR(J758="Recebido",F758=""),MAX(0,F758-E758),MAX(0,$B$4-E758)))</f>
        <v/>
      </c>
      <c r="L758" s="4">
        <f>IF(K758="","",IF(K758=0,"Em dia",IF(K758&lt;=30,"1-30 dias",IF(K758&lt;=60,"31-60 dias",IF(K758&lt;=90,"61-90 dias","&gt;90 dias")))))</f>
        <v/>
      </c>
      <c r="M758" s="28" t="n"/>
      <c r="N758" s="104" t="inlineStr"/>
      <c r="O758" s="64" t="n"/>
      <c r="P758" s="64">
        <f>IF(C758="","",IF(ISNUMBER(SEARCH("PCMSO",C758)),"PCMSO",IF(OR(ISNUMBER(SEARCH("E-SOCIAL",C758)),ISNUMBER(SEARCH("PSICOSOCIAL",C758))),"eSocial / Psicossocial",IF(O758="Receita recorrente","Carteira recorrente","Projetos / Laudos / Avulsos"))))</f>
        <v/>
      </c>
      <c r="Q758" s="64">
        <f>IF(P758="","",IF(P758="Carteira recorrente","Operação recorrente",IF(P758="PCMSO","Projetos PCMSO",IF(P758="eSocial / Psicossocial","Projetos eSocial/Psicossocial","Projetos / Laudos / Avulsos"))))</f>
        <v/>
      </c>
      <c r="R758" s="64">
        <f>IF(C758="","",IF(ISNUMBER(SEARCH("PCMSO",C758)),"Título com PCMSO no nome",IF(OR(ISNUMBER(SEARCH("E-SOCIAL",C758)),ISNUMBER(SEARCH("PSICOSOCIAL",C758))),"Título com eSocial/Psicossocial no nome",IF(O758="Receita recorrente","Tipo DRE recorrente","Extra sem palavra-chave específica"))))</f>
        <v/>
      </c>
      <c r="S758" s="92">
        <f>IFERROR(VLOOKUP($A758,'13. Mapa Títulos-Receita'!$A$8:$P$1000,4,FALSE),"")</f>
        <v/>
      </c>
      <c r="T758" s="92">
        <f>IFERROR(VLOOKUP($A758,'13. Mapa Títulos-Receita'!$A$8:$P$1000,5,FALSE),"")</f>
        <v/>
      </c>
      <c r="U758" s="92">
        <f>IFERROR(VLOOKUP($A758,'13. Mapa Títulos-Receita'!$A$8:$P$1000,6,FALSE),"")</f>
        <v/>
      </c>
      <c r="V758" s="92">
        <f>IFERROR(VLOOKUP($A758,'13. Mapa Títulos-Receita'!$A$8:$P$1000,7,FALSE),"")</f>
        <v/>
      </c>
      <c r="W758" s="92">
        <f>IFERROR(VLOOKUP($A758,'13. Mapa Títulos-Receita'!$A$8:$P$1000,8,FALSE),"")</f>
        <v/>
      </c>
      <c r="X758" s="92">
        <f>IFERROR(VLOOKUP($A758,'13. Mapa Títulos-Receita'!$A$8:$P$1000,9,FALSE),"")</f>
        <v/>
      </c>
      <c r="Y758" s="92">
        <f>IFERROR(VLOOKUP($A758,'13. Mapa Títulos-Receita'!$A$8:$P$1000,10,FALSE),"")</f>
        <v/>
      </c>
      <c r="Z758" s="92">
        <f>IFERROR(VLOOKUP($A758,'13. Mapa Títulos-Receita'!$A$8:$P$1000,11,FALSE),"")</f>
        <v/>
      </c>
      <c r="AA758" s="92">
        <f>IFERROR(VLOOKUP($A758,'13. Mapa Títulos-Receita'!$A$8:$P$1000,12,FALSE),"")</f>
        <v/>
      </c>
      <c r="AB758" s="92">
        <f>IFERROR(VLOOKUP($A758,'13. Mapa Títulos-Receita'!$A$8:$P$1000,13,FALSE),"")</f>
        <v/>
      </c>
      <c r="AC758" s="92">
        <f>IFERROR(VLOOKUP($A758,'13. Mapa Títulos-Receita'!$A$8:$P$1000,14,FALSE),"")</f>
        <v/>
      </c>
      <c r="AD758" s="92">
        <f>IFERROR(VLOOKUP($A758,'13. Mapa Títulos-Receita'!$A$8:$P$1000,15,FALSE),"")</f>
        <v/>
      </c>
      <c r="AE758" s="92">
        <f>IFERROR(VLOOKUP($A758,'13. Mapa Títulos-Receita'!$A$8:$P$1000,16,FALSE),"")</f>
        <v/>
      </c>
    </row>
    <row r="759">
      <c r="A759" s="28">
        <f>IF(C759="","", "CR-"&amp;TEXT(ROW()-7,"000"))</f>
        <v/>
      </c>
      <c r="B759" s="28" t="n"/>
      <c r="C759" s="28" t="n"/>
      <c r="D759" s="111" t="n"/>
      <c r="E759" s="111" t="n"/>
      <c r="F759" s="111" t="n"/>
      <c r="G759" s="28" t="n"/>
      <c r="H759" s="45" t="n"/>
      <c r="I759" s="45" t="n"/>
      <c r="J759" s="28">
        <f>IF(H759="","",IF(I759&gt;=H759,"Recebido",IF($B$4&gt;E759,"Vencido","Aberto")))</f>
        <v/>
      </c>
      <c r="K759" s="4">
        <f>IF(J759="","",IF(OR(J759="Recebido",F759=""),MAX(0,F759-E759),MAX(0,$B$4-E759)))</f>
        <v/>
      </c>
      <c r="L759" s="4">
        <f>IF(K759="","",IF(K759=0,"Em dia",IF(K759&lt;=30,"1-30 dias",IF(K759&lt;=60,"31-60 dias",IF(K759&lt;=90,"61-90 dias","&gt;90 dias")))))</f>
        <v/>
      </c>
      <c r="M759" s="28" t="n"/>
      <c r="N759" s="104" t="inlineStr"/>
      <c r="O759" s="64" t="n"/>
      <c r="P759" s="64">
        <f>IF(C759="","",IF(ISNUMBER(SEARCH("PCMSO",C759)),"PCMSO",IF(OR(ISNUMBER(SEARCH("E-SOCIAL",C759)),ISNUMBER(SEARCH("PSICOSOCIAL",C759))),"eSocial / Psicossocial",IF(O759="Receita recorrente","Carteira recorrente","Projetos / Laudos / Avulsos"))))</f>
        <v/>
      </c>
      <c r="Q759" s="64">
        <f>IF(P759="","",IF(P759="Carteira recorrente","Operação recorrente",IF(P759="PCMSO","Projetos PCMSO",IF(P759="eSocial / Psicossocial","Projetos eSocial/Psicossocial","Projetos / Laudos / Avulsos"))))</f>
        <v/>
      </c>
      <c r="R759" s="64">
        <f>IF(C759="","",IF(ISNUMBER(SEARCH("PCMSO",C759)),"Título com PCMSO no nome",IF(OR(ISNUMBER(SEARCH("E-SOCIAL",C759)),ISNUMBER(SEARCH("PSICOSOCIAL",C759))),"Título com eSocial/Psicossocial no nome",IF(O759="Receita recorrente","Tipo DRE recorrente","Extra sem palavra-chave específica"))))</f>
        <v/>
      </c>
      <c r="S759" s="92">
        <f>IFERROR(VLOOKUP($A759,'13. Mapa Títulos-Receita'!$A$8:$P$1000,4,FALSE),"")</f>
        <v/>
      </c>
      <c r="T759" s="92">
        <f>IFERROR(VLOOKUP($A759,'13. Mapa Títulos-Receita'!$A$8:$P$1000,5,FALSE),"")</f>
        <v/>
      </c>
      <c r="U759" s="92">
        <f>IFERROR(VLOOKUP($A759,'13. Mapa Títulos-Receita'!$A$8:$P$1000,6,FALSE),"")</f>
        <v/>
      </c>
      <c r="V759" s="92">
        <f>IFERROR(VLOOKUP($A759,'13. Mapa Títulos-Receita'!$A$8:$P$1000,7,FALSE),"")</f>
        <v/>
      </c>
      <c r="W759" s="92">
        <f>IFERROR(VLOOKUP($A759,'13. Mapa Títulos-Receita'!$A$8:$P$1000,8,FALSE),"")</f>
        <v/>
      </c>
      <c r="X759" s="92">
        <f>IFERROR(VLOOKUP($A759,'13. Mapa Títulos-Receita'!$A$8:$P$1000,9,FALSE),"")</f>
        <v/>
      </c>
      <c r="Y759" s="92">
        <f>IFERROR(VLOOKUP($A759,'13. Mapa Títulos-Receita'!$A$8:$P$1000,10,FALSE),"")</f>
        <v/>
      </c>
      <c r="Z759" s="92">
        <f>IFERROR(VLOOKUP($A759,'13. Mapa Títulos-Receita'!$A$8:$P$1000,11,FALSE),"")</f>
        <v/>
      </c>
      <c r="AA759" s="92">
        <f>IFERROR(VLOOKUP($A759,'13. Mapa Títulos-Receita'!$A$8:$P$1000,12,FALSE),"")</f>
        <v/>
      </c>
      <c r="AB759" s="92">
        <f>IFERROR(VLOOKUP($A759,'13. Mapa Títulos-Receita'!$A$8:$P$1000,13,FALSE),"")</f>
        <v/>
      </c>
      <c r="AC759" s="92">
        <f>IFERROR(VLOOKUP($A759,'13. Mapa Títulos-Receita'!$A$8:$P$1000,14,FALSE),"")</f>
        <v/>
      </c>
      <c r="AD759" s="92">
        <f>IFERROR(VLOOKUP($A759,'13. Mapa Títulos-Receita'!$A$8:$P$1000,15,FALSE),"")</f>
        <v/>
      </c>
      <c r="AE759" s="92">
        <f>IFERROR(VLOOKUP($A759,'13. Mapa Títulos-Receita'!$A$8:$P$1000,16,FALSE),"")</f>
        <v/>
      </c>
    </row>
    <row r="760">
      <c r="A760" s="28">
        <f>IF(C760="","", "CR-"&amp;TEXT(ROW()-7,"000"))</f>
        <v/>
      </c>
      <c r="B760" s="28" t="n"/>
      <c r="C760" s="28" t="n"/>
      <c r="D760" s="111" t="n"/>
      <c r="E760" s="111" t="n"/>
      <c r="F760" s="111" t="n"/>
      <c r="G760" s="28" t="n"/>
      <c r="H760" s="45" t="n"/>
      <c r="I760" s="45" t="n"/>
      <c r="J760" s="28">
        <f>IF(H760="","",IF(I760&gt;=H760,"Recebido",IF($B$4&gt;E760,"Vencido","Aberto")))</f>
        <v/>
      </c>
      <c r="K760" s="4">
        <f>IF(J760="","",IF(OR(J760="Recebido",F760=""),MAX(0,F760-E760),MAX(0,$B$4-E760)))</f>
        <v/>
      </c>
      <c r="L760" s="4">
        <f>IF(K760="","",IF(K760=0,"Em dia",IF(K760&lt;=30,"1-30 dias",IF(K760&lt;=60,"31-60 dias",IF(K760&lt;=90,"61-90 dias","&gt;90 dias")))))</f>
        <v/>
      </c>
      <c r="M760" s="28" t="n"/>
      <c r="N760" s="104" t="inlineStr"/>
      <c r="O760" s="64" t="n"/>
      <c r="P760" s="64">
        <f>IF(C760="","",IF(ISNUMBER(SEARCH("PCMSO",C760)),"PCMSO",IF(OR(ISNUMBER(SEARCH("E-SOCIAL",C760)),ISNUMBER(SEARCH("PSICOSOCIAL",C760))),"eSocial / Psicossocial",IF(O760="Receita recorrente","Carteira recorrente","Projetos / Laudos / Avulsos"))))</f>
        <v/>
      </c>
      <c r="Q760" s="64">
        <f>IF(P760="","",IF(P760="Carteira recorrente","Operação recorrente",IF(P760="PCMSO","Projetos PCMSO",IF(P760="eSocial / Psicossocial","Projetos eSocial/Psicossocial","Projetos / Laudos / Avulsos"))))</f>
        <v/>
      </c>
      <c r="R760" s="64">
        <f>IF(C760="","",IF(ISNUMBER(SEARCH("PCMSO",C760)),"Título com PCMSO no nome",IF(OR(ISNUMBER(SEARCH("E-SOCIAL",C760)),ISNUMBER(SEARCH("PSICOSOCIAL",C760))),"Título com eSocial/Psicossocial no nome",IF(O760="Receita recorrente","Tipo DRE recorrente","Extra sem palavra-chave específica"))))</f>
        <v/>
      </c>
      <c r="S760" s="92">
        <f>IFERROR(VLOOKUP($A760,'13. Mapa Títulos-Receita'!$A$8:$P$1000,4,FALSE),"")</f>
        <v/>
      </c>
      <c r="T760" s="92">
        <f>IFERROR(VLOOKUP($A760,'13. Mapa Títulos-Receita'!$A$8:$P$1000,5,FALSE),"")</f>
        <v/>
      </c>
      <c r="U760" s="92">
        <f>IFERROR(VLOOKUP($A760,'13. Mapa Títulos-Receita'!$A$8:$P$1000,6,FALSE),"")</f>
        <v/>
      </c>
      <c r="V760" s="92">
        <f>IFERROR(VLOOKUP($A760,'13. Mapa Títulos-Receita'!$A$8:$P$1000,7,FALSE),"")</f>
        <v/>
      </c>
      <c r="W760" s="92">
        <f>IFERROR(VLOOKUP($A760,'13. Mapa Títulos-Receita'!$A$8:$P$1000,8,FALSE),"")</f>
        <v/>
      </c>
      <c r="X760" s="92">
        <f>IFERROR(VLOOKUP($A760,'13. Mapa Títulos-Receita'!$A$8:$P$1000,9,FALSE),"")</f>
        <v/>
      </c>
      <c r="Y760" s="92">
        <f>IFERROR(VLOOKUP($A760,'13. Mapa Títulos-Receita'!$A$8:$P$1000,10,FALSE),"")</f>
        <v/>
      </c>
      <c r="Z760" s="92">
        <f>IFERROR(VLOOKUP($A760,'13. Mapa Títulos-Receita'!$A$8:$P$1000,11,FALSE),"")</f>
        <v/>
      </c>
      <c r="AA760" s="92">
        <f>IFERROR(VLOOKUP($A760,'13. Mapa Títulos-Receita'!$A$8:$P$1000,12,FALSE),"")</f>
        <v/>
      </c>
      <c r="AB760" s="92">
        <f>IFERROR(VLOOKUP($A760,'13. Mapa Títulos-Receita'!$A$8:$P$1000,13,FALSE),"")</f>
        <v/>
      </c>
      <c r="AC760" s="92">
        <f>IFERROR(VLOOKUP($A760,'13. Mapa Títulos-Receita'!$A$8:$P$1000,14,FALSE),"")</f>
        <v/>
      </c>
      <c r="AD760" s="92">
        <f>IFERROR(VLOOKUP($A760,'13. Mapa Títulos-Receita'!$A$8:$P$1000,15,FALSE),"")</f>
        <v/>
      </c>
      <c r="AE760" s="92">
        <f>IFERROR(VLOOKUP($A760,'13. Mapa Títulos-Receita'!$A$8:$P$1000,16,FALSE),"")</f>
        <v/>
      </c>
    </row>
    <row r="761">
      <c r="A761" s="28">
        <f>IF(C761="","", "CR-"&amp;TEXT(ROW()-7,"000"))</f>
        <v/>
      </c>
      <c r="B761" s="28" t="n"/>
      <c r="C761" s="28" t="n"/>
      <c r="D761" s="111" t="n"/>
      <c r="E761" s="111" t="n"/>
      <c r="F761" s="111" t="n"/>
      <c r="G761" s="28" t="n"/>
      <c r="H761" s="45" t="n"/>
      <c r="I761" s="45" t="n"/>
      <c r="J761" s="28">
        <f>IF(H761="","",IF(I761&gt;=H761,"Recebido",IF($B$4&gt;E761,"Vencido","Aberto")))</f>
        <v/>
      </c>
      <c r="K761" s="4">
        <f>IF(J761="","",IF(OR(J761="Recebido",F761=""),MAX(0,F761-E761),MAX(0,$B$4-E761)))</f>
        <v/>
      </c>
      <c r="L761" s="4">
        <f>IF(K761="","",IF(K761=0,"Em dia",IF(K761&lt;=30,"1-30 dias",IF(K761&lt;=60,"31-60 dias",IF(K761&lt;=90,"61-90 dias","&gt;90 dias")))))</f>
        <v/>
      </c>
      <c r="M761" s="28" t="n"/>
      <c r="N761" s="104" t="inlineStr"/>
      <c r="O761" s="64" t="n"/>
      <c r="P761" s="64">
        <f>IF(C761="","",IF(ISNUMBER(SEARCH("PCMSO",C761)),"PCMSO",IF(OR(ISNUMBER(SEARCH("E-SOCIAL",C761)),ISNUMBER(SEARCH("PSICOSOCIAL",C761))),"eSocial / Psicossocial",IF(O761="Receita recorrente","Carteira recorrente","Projetos / Laudos / Avulsos"))))</f>
        <v/>
      </c>
      <c r="Q761" s="64">
        <f>IF(P761="","",IF(P761="Carteira recorrente","Operação recorrente",IF(P761="PCMSO","Projetos PCMSO",IF(P761="eSocial / Psicossocial","Projetos eSocial/Psicossocial","Projetos / Laudos / Avulsos"))))</f>
        <v/>
      </c>
      <c r="R761" s="64">
        <f>IF(C761="","",IF(ISNUMBER(SEARCH("PCMSO",C761)),"Título com PCMSO no nome",IF(OR(ISNUMBER(SEARCH("E-SOCIAL",C761)),ISNUMBER(SEARCH("PSICOSOCIAL",C761))),"Título com eSocial/Psicossocial no nome",IF(O761="Receita recorrente","Tipo DRE recorrente","Extra sem palavra-chave específica"))))</f>
        <v/>
      </c>
      <c r="S761" s="92">
        <f>IFERROR(VLOOKUP($A761,'13. Mapa Títulos-Receita'!$A$8:$P$1000,4,FALSE),"")</f>
        <v/>
      </c>
      <c r="T761" s="92">
        <f>IFERROR(VLOOKUP($A761,'13. Mapa Títulos-Receita'!$A$8:$P$1000,5,FALSE),"")</f>
        <v/>
      </c>
      <c r="U761" s="92">
        <f>IFERROR(VLOOKUP($A761,'13. Mapa Títulos-Receita'!$A$8:$P$1000,6,FALSE),"")</f>
        <v/>
      </c>
      <c r="V761" s="92">
        <f>IFERROR(VLOOKUP($A761,'13. Mapa Títulos-Receita'!$A$8:$P$1000,7,FALSE),"")</f>
        <v/>
      </c>
      <c r="W761" s="92">
        <f>IFERROR(VLOOKUP($A761,'13. Mapa Títulos-Receita'!$A$8:$P$1000,8,FALSE),"")</f>
        <v/>
      </c>
      <c r="X761" s="92">
        <f>IFERROR(VLOOKUP($A761,'13. Mapa Títulos-Receita'!$A$8:$P$1000,9,FALSE),"")</f>
        <v/>
      </c>
      <c r="Y761" s="92">
        <f>IFERROR(VLOOKUP($A761,'13. Mapa Títulos-Receita'!$A$8:$P$1000,10,FALSE),"")</f>
        <v/>
      </c>
      <c r="Z761" s="92">
        <f>IFERROR(VLOOKUP($A761,'13. Mapa Títulos-Receita'!$A$8:$P$1000,11,FALSE),"")</f>
        <v/>
      </c>
      <c r="AA761" s="92">
        <f>IFERROR(VLOOKUP($A761,'13. Mapa Títulos-Receita'!$A$8:$P$1000,12,FALSE),"")</f>
        <v/>
      </c>
      <c r="AB761" s="92">
        <f>IFERROR(VLOOKUP($A761,'13. Mapa Títulos-Receita'!$A$8:$P$1000,13,FALSE),"")</f>
        <v/>
      </c>
      <c r="AC761" s="92">
        <f>IFERROR(VLOOKUP($A761,'13. Mapa Títulos-Receita'!$A$8:$P$1000,14,FALSE),"")</f>
        <v/>
      </c>
      <c r="AD761" s="92">
        <f>IFERROR(VLOOKUP($A761,'13. Mapa Títulos-Receita'!$A$8:$P$1000,15,FALSE),"")</f>
        <v/>
      </c>
      <c r="AE761" s="92">
        <f>IFERROR(VLOOKUP($A761,'13. Mapa Títulos-Receita'!$A$8:$P$1000,16,FALSE),"")</f>
        <v/>
      </c>
    </row>
    <row r="762">
      <c r="A762" s="28">
        <f>IF(C762="","", "CR-"&amp;TEXT(ROW()-7,"000"))</f>
        <v/>
      </c>
      <c r="B762" s="28" t="n"/>
      <c r="C762" s="28" t="n"/>
      <c r="D762" s="111" t="n"/>
      <c r="E762" s="111" t="n"/>
      <c r="F762" s="111" t="n"/>
      <c r="G762" s="28" t="n"/>
      <c r="H762" s="45" t="n"/>
      <c r="I762" s="45" t="n"/>
      <c r="J762" s="28">
        <f>IF(H762="","",IF(I762&gt;=H762,"Recebido",IF($B$4&gt;E762,"Vencido","Aberto")))</f>
        <v/>
      </c>
      <c r="K762" s="4">
        <f>IF(J762="","",IF(OR(J762="Recebido",F762=""),MAX(0,F762-E762),MAX(0,$B$4-E762)))</f>
        <v/>
      </c>
      <c r="L762" s="4">
        <f>IF(K762="","",IF(K762=0,"Em dia",IF(K762&lt;=30,"1-30 dias",IF(K762&lt;=60,"31-60 dias",IF(K762&lt;=90,"61-90 dias","&gt;90 dias")))))</f>
        <v/>
      </c>
      <c r="M762" s="28" t="n"/>
      <c r="N762" s="104" t="inlineStr"/>
      <c r="O762" s="64" t="n"/>
      <c r="P762" s="64">
        <f>IF(C762="","",IF(ISNUMBER(SEARCH("PCMSO",C762)),"PCMSO",IF(OR(ISNUMBER(SEARCH("E-SOCIAL",C762)),ISNUMBER(SEARCH("PSICOSOCIAL",C762))),"eSocial / Psicossocial",IF(O762="Receita recorrente","Carteira recorrente","Projetos / Laudos / Avulsos"))))</f>
        <v/>
      </c>
      <c r="Q762" s="64">
        <f>IF(P762="","",IF(P762="Carteira recorrente","Operação recorrente",IF(P762="PCMSO","Projetos PCMSO",IF(P762="eSocial / Psicossocial","Projetos eSocial/Psicossocial","Projetos / Laudos / Avulsos"))))</f>
        <v/>
      </c>
      <c r="R762" s="64">
        <f>IF(C762="","",IF(ISNUMBER(SEARCH("PCMSO",C762)),"Título com PCMSO no nome",IF(OR(ISNUMBER(SEARCH("E-SOCIAL",C762)),ISNUMBER(SEARCH("PSICOSOCIAL",C762))),"Título com eSocial/Psicossocial no nome",IF(O762="Receita recorrente","Tipo DRE recorrente","Extra sem palavra-chave específica"))))</f>
        <v/>
      </c>
      <c r="S762" s="92">
        <f>IFERROR(VLOOKUP($A762,'13. Mapa Títulos-Receita'!$A$8:$P$1000,4,FALSE),"")</f>
        <v/>
      </c>
      <c r="T762" s="92">
        <f>IFERROR(VLOOKUP($A762,'13. Mapa Títulos-Receita'!$A$8:$P$1000,5,FALSE),"")</f>
        <v/>
      </c>
      <c r="U762" s="92">
        <f>IFERROR(VLOOKUP($A762,'13. Mapa Títulos-Receita'!$A$8:$P$1000,6,FALSE),"")</f>
        <v/>
      </c>
      <c r="V762" s="92">
        <f>IFERROR(VLOOKUP($A762,'13. Mapa Títulos-Receita'!$A$8:$P$1000,7,FALSE),"")</f>
        <v/>
      </c>
      <c r="W762" s="92">
        <f>IFERROR(VLOOKUP($A762,'13. Mapa Títulos-Receita'!$A$8:$P$1000,8,FALSE),"")</f>
        <v/>
      </c>
      <c r="X762" s="92">
        <f>IFERROR(VLOOKUP($A762,'13. Mapa Títulos-Receita'!$A$8:$P$1000,9,FALSE),"")</f>
        <v/>
      </c>
      <c r="Y762" s="92">
        <f>IFERROR(VLOOKUP($A762,'13. Mapa Títulos-Receita'!$A$8:$P$1000,10,FALSE),"")</f>
        <v/>
      </c>
      <c r="Z762" s="92">
        <f>IFERROR(VLOOKUP($A762,'13. Mapa Títulos-Receita'!$A$8:$P$1000,11,FALSE),"")</f>
        <v/>
      </c>
      <c r="AA762" s="92">
        <f>IFERROR(VLOOKUP($A762,'13. Mapa Títulos-Receita'!$A$8:$P$1000,12,FALSE),"")</f>
        <v/>
      </c>
      <c r="AB762" s="92">
        <f>IFERROR(VLOOKUP($A762,'13. Mapa Títulos-Receita'!$A$8:$P$1000,13,FALSE),"")</f>
        <v/>
      </c>
      <c r="AC762" s="92">
        <f>IFERROR(VLOOKUP($A762,'13. Mapa Títulos-Receita'!$A$8:$P$1000,14,FALSE),"")</f>
        <v/>
      </c>
      <c r="AD762" s="92">
        <f>IFERROR(VLOOKUP($A762,'13. Mapa Títulos-Receita'!$A$8:$P$1000,15,FALSE),"")</f>
        <v/>
      </c>
      <c r="AE762" s="92">
        <f>IFERROR(VLOOKUP($A762,'13. Mapa Títulos-Receita'!$A$8:$P$1000,16,FALSE),"")</f>
        <v/>
      </c>
    </row>
    <row r="763">
      <c r="A763" s="28">
        <f>IF(C763="","", "CR-"&amp;TEXT(ROW()-7,"000"))</f>
        <v/>
      </c>
      <c r="B763" s="28" t="n"/>
      <c r="C763" s="28" t="n"/>
      <c r="D763" s="111" t="n"/>
      <c r="E763" s="111" t="n"/>
      <c r="F763" s="111" t="n"/>
      <c r="G763" s="28" t="n"/>
      <c r="H763" s="45" t="n"/>
      <c r="I763" s="45" t="n"/>
      <c r="J763" s="28">
        <f>IF(H763="","",IF(I763&gt;=H763,"Recebido",IF($B$4&gt;E763,"Vencido","Aberto")))</f>
        <v/>
      </c>
      <c r="K763" s="4">
        <f>IF(J763="","",IF(OR(J763="Recebido",F763=""),MAX(0,F763-E763),MAX(0,$B$4-E763)))</f>
        <v/>
      </c>
      <c r="L763" s="4">
        <f>IF(K763="","",IF(K763=0,"Em dia",IF(K763&lt;=30,"1-30 dias",IF(K763&lt;=60,"31-60 dias",IF(K763&lt;=90,"61-90 dias","&gt;90 dias")))))</f>
        <v/>
      </c>
      <c r="M763" s="28" t="n"/>
      <c r="N763" s="104" t="inlineStr"/>
      <c r="O763" s="64" t="n"/>
      <c r="P763" s="64">
        <f>IF(C763="","",IF(ISNUMBER(SEARCH("PCMSO",C763)),"PCMSO",IF(OR(ISNUMBER(SEARCH("E-SOCIAL",C763)),ISNUMBER(SEARCH("PSICOSOCIAL",C763))),"eSocial / Psicossocial",IF(O763="Receita recorrente","Carteira recorrente","Projetos / Laudos / Avulsos"))))</f>
        <v/>
      </c>
      <c r="Q763" s="64">
        <f>IF(P763="","",IF(P763="Carteira recorrente","Operação recorrente",IF(P763="PCMSO","Projetos PCMSO",IF(P763="eSocial / Psicossocial","Projetos eSocial/Psicossocial","Projetos / Laudos / Avulsos"))))</f>
        <v/>
      </c>
      <c r="R763" s="64">
        <f>IF(C763="","",IF(ISNUMBER(SEARCH("PCMSO",C763)),"Título com PCMSO no nome",IF(OR(ISNUMBER(SEARCH("E-SOCIAL",C763)),ISNUMBER(SEARCH("PSICOSOCIAL",C763))),"Título com eSocial/Psicossocial no nome",IF(O763="Receita recorrente","Tipo DRE recorrente","Extra sem palavra-chave específica"))))</f>
        <v/>
      </c>
      <c r="S763" s="92">
        <f>IFERROR(VLOOKUP($A763,'13. Mapa Títulos-Receita'!$A$8:$P$1000,4,FALSE),"")</f>
        <v/>
      </c>
      <c r="T763" s="92">
        <f>IFERROR(VLOOKUP($A763,'13. Mapa Títulos-Receita'!$A$8:$P$1000,5,FALSE),"")</f>
        <v/>
      </c>
      <c r="U763" s="92">
        <f>IFERROR(VLOOKUP($A763,'13. Mapa Títulos-Receita'!$A$8:$P$1000,6,FALSE),"")</f>
        <v/>
      </c>
      <c r="V763" s="92">
        <f>IFERROR(VLOOKUP($A763,'13. Mapa Títulos-Receita'!$A$8:$P$1000,7,FALSE),"")</f>
        <v/>
      </c>
      <c r="W763" s="92">
        <f>IFERROR(VLOOKUP($A763,'13. Mapa Títulos-Receita'!$A$8:$P$1000,8,FALSE),"")</f>
        <v/>
      </c>
      <c r="X763" s="92">
        <f>IFERROR(VLOOKUP($A763,'13. Mapa Títulos-Receita'!$A$8:$P$1000,9,FALSE),"")</f>
        <v/>
      </c>
      <c r="Y763" s="92">
        <f>IFERROR(VLOOKUP($A763,'13. Mapa Títulos-Receita'!$A$8:$P$1000,10,FALSE),"")</f>
        <v/>
      </c>
      <c r="Z763" s="92">
        <f>IFERROR(VLOOKUP($A763,'13. Mapa Títulos-Receita'!$A$8:$P$1000,11,FALSE),"")</f>
        <v/>
      </c>
      <c r="AA763" s="92">
        <f>IFERROR(VLOOKUP($A763,'13. Mapa Títulos-Receita'!$A$8:$P$1000,12,FALSE),"")</f>
        <v/>
      </c>
      <c r="AB763" s="92">
        <f>IFERROR(VLOOKUP($A763,'13. Mapa Títulos-Receita'!$A$8:$P$1000,13,FALSE),"")</f>
        <v/>
      </c>
      <c r="AC763" s="92">
        <f>IFERROR(VLOOKUP($A763,'13. Mapa Títulos-Receita'!$A$8:$P$1000,14,FALSE),"")</f>
        <v/>
      </c>
      <c r="AD763" s="92">
        <f>IFERROR(VLOOKUP($A763,'13. Mapa Títulos-Receita'!$A$8:$P$1000,15,FALSE),"")</f>
        <v/>
      </c>
      <c r="AE763" s="92">
        <f>IFERROR(VLOOKUP($A763,'13. Mapa Títulos-Receita'!$A$8:$P$1000,16,FALSE),"")</f>
        <v/>
      </c>
    </row>
    <row r="764">
      <c r="A764" s="28">
        <f>IF(C764="","", "CR-"&amp;TEXT(ROW()-7,"000"))</f>
        <v/>
      </c>
      <c r="B764" s="28" t="n"/>
      <c r="C764" s="28" t="n"/>
      <c r="D764" s="111" t="n"/>
      <c r="E764" s="111" t="n"/>
      <c r="F764" s="111" t="n"/>
      <c r="G764" s="28" t="n"/>
      <c r="H764" s="45" t="n"/>
      <c r="I764" s="45" t="n"/>
      <c r="J764" s="28">
        <f>IF(H764="","",IF(I764&gt;=H764,"Recebido",IF($B$4&gt;E764,"Vencido","Aberto")))</f>
        <v/>
      </c>
      <c r="K764" s="4">
        <f>IF(J764="","",IF(OR(J764="Recebido",F764=""),MAX(0,F764-E764),MAX(0,$B$4-E764)))</f>
        <v/>
      </c>
      <c r="L764" s="4">
        <f>IF(K764="","",IF(K764=0,"Em dia",IF(K764&lt;=30,"1-30 dias",IF(K764&lt;=60,"31-60 dias",IF(K764&lt;=90,"61-90 dias","&gt;90 dias")))))</f>
        <v/>
      </c>
      <c r="M764" s="28" t="n"/>
      <c r="N764" s="104" t="inlineStr"/>
      <c r="O764" s="64" t="n"/>
      <c r="P764" s="64">
        <f>IF(C764="","",IF(ISNUMBER(SEARCH("PCMSO",C764)),"PCMSO",IF(OR(ISNUMBER(SEARCH("E-SOCIAL",C764)),ISNUMBER(SEARCH("PSICOSOCIAL",C764))),"eSocial / Psicossocial",IF(O764="Receita recorrente","Carteira recorrente","Projetos / Laudos / Avulsos"))))</f>
        <v/>
      </c>
      <c r="Q764" s="64">
        <f>IF(P764="","",IF(P764="Carteira recorrente","Operação recorrente",IF(P764="PCMSO","Projetos PCMSO",IF(P764="eSocial / Psicossocial","Projetos eSocial/Psicossocial","Projetos / Laudos / Avulsos"))))</f>
        <v/>
      </c>
      <c r="R764" s="64">
        <f>IF(C764="","",IF(ISNUMBER(SEARCH("PCMSO",C764)),"Título com PCMSO no nome",IF(OR(ISNUMBER(SEARCH("E-SOCIAL",C764)),ISNUMBER(SEARCH("PSICOSOCIAL",C764))),"Título com eSocial/Psicossocial no nome",IF(O764="Receita recorrente","Tipo DRE recorrente","Extra sem palavra-chave específica"))))</f>
        <v/>
      </c>
      <c r="S764" s="92">
        <f>IFERROR(VLOOKUP($A764,'13. Mapa Títulos-Receita'!$A$8:$P$1000,4,FALSE),"")</f>
        <v/>
      </c>
      <c r="T764" s="92">
        <f>IFERROR(VLOOKUP($A764,'13. Mapa Títulos-Receita'!$A$8:$P$1000,5,FALSE),"")</f>
        <v/>
      </c>
      <c r="U764" s="92">
        <f>IFERROR(VLOOKUP($A764,'13. Mapa Títulos-Receita'!$A$8:$P$1000,6,FALSE),"")</f>
        <v/>
      </c>
      <c r="V764" s="92">
        <f>IFERROR(VLOOKUP($A764,'13. Mapa Títulos-Receita'!$A$8:$P$1000,7,FALSE),"")</f>
        <v/>
      </c>
      <c r="W764" s="92">
        <f>IFERROR(VLOOKUP($A764,'13. Mapa Títulos-Receita'!$A$8:$P$1000,8,FALSE),"")</f>
        <v/>
      </c>
      <c r="X764" s="92">
        <f>IFERROR(VLOOKUP($A764,'13. Mapa Títulos-Receita'!$A$8:$P$1000,9,FALSE),"")</f>
        <v/>
      </c>
      <c r="Y764" s="92">
        <f>IFERROR(VLOOKUP($A764,'13. Mapa Títulos-Receita'!$A$8:$P$1000,10,FALSE),"")</f>
        <v/>
      </c>
      <c r="Z764" s="92">
        <f>IFERROR(VLOOKUP($A764,'13. Mapa Títulos-Receita'!$A$8:$P$1000,11,FALSE),"")</f>
        <v/>
      </c>
      <c r="AA764" s="92">
        <f>IFERROR(VLOOKUP($A764,'13. Mapa Títulos-Receita'!$A$8:$P$1000,12,FALSE),"")</f>
        <v/>
      </c>
      <c r="AB764" s="92">
        <f>IFERROR(VLOOKUP($A764,'13. Mapa Títulos-Receita'!$A$8:$P$1000,13,FALSE),"")</f>
        <v/>
      </c>
      <c r="AC764" s="92">
        <f>IFERROR(VLOOKUP($A764,'13. Mapa Títulos-Receita'!$A$8:$P$1000,14,FALSE),"")</f>
        <v/>
      </c>
      <c r="AD764" s="92">
        <f>IFERROR(VLOOKUP($A764,'13. Mapa Títulos-Receita'!$A$8:$P$1000,15,FALSE),"")</f>
        <v/>
      </c>
      <c r="AE764" s="92">
        <f>IFERROR(VLOOKUP($A764,'13. Mapa Títulos-Receita'!$A$8:$P$1000,16,FALSE),"")</f>
        <v/>
      </c>
    </row>
    <row r="765">
      <c r="A765" s="28">
        <f>IF(C765="","", "CR-"&amp;TEXT(ROW()-7,"000"))</f>
        <v/>
      </c>
      <c r="B765" s="28" t="n"/>
      <c r="C765" s="28" t="n"/>
      <c r="D765" s="111" t="n"/>
      <c r="E765" s="111" t="n"/>
      <c r="F765" s="111" t="n"/>
      <c r="G765" s="28" t="n"/>
      <c r="H765" s="45" t="n"/>
      <c r="I765" s="45" t="n"/>
      <c r="J765" s="28">
        <f>IF(H765="","",IF(I765&gt;=H765,"Recebido",IF($B$4&gt;E765,"Vencido","Aberto")))</f>
        <v/>
      </c>
      <c r="K765" s="4">
        <f>IF(J765="","",IF(OR(J765="Recebido",F765=""),MAX(0,F765-E765),MAX(0,$B$4-E765)))</f>
        <v/>
      </c>
      <c r="L765" s="4">
        <f>IF(K765="","",IF(K765=0,"Em dia",IF(K765&lt;=30,"1-30 dias",IF(K765&lt;=60,"31-60 dias",IF(K765&lt;=90,"61-90 dias","&gt;90 dias")))))</f>
        <v/>
      </c>
      <c r="M765" s="28" t="n"/>
      <c r="N765" s="104" t="inlineStr"/>
      <c r="O765" s="64" t="n"/>
      <c r="P765" s="64">
        <f>IF(C765="","",IF(ISNUMBER(SEARCH("PCMSO",C765)),"PCMSO",IF(OR(ISNUMBER(SEARCH("E-SOCIAL",C765)),ISNUMBER(SEARCH("PSICOSOCIAL",C765))),"eSocial / Psicossocial",IF(O765="Receita recorrente","Carteira recorrente","Projetos / Laudos / Avulsos"))))</f>
        <v/>
      </c>
      <c r="Q765" s="64">
        <f>IF(P765="","",IF(P765="Carteira recorrente","Operação recorrente",IF(P765="PCMSO","Projetos PCMSO",IF(P765="eSocial / Psicossocial","Projetos eSocial/Psicossocial","Projetos / Laudos / Avulsos"))))</f>
        <v/>
      </c>
      <c r="R765" s="64">
        <f>IF(C765="","",IF(ISNUMBER(SEARCH("PCMSO",C765)),"Título com PCMSO no nome",IF(OR(ISNUMBER(SEARCH("E-SOCIAL",C765)),ISNUMBER(SEARCH("PSICOSOCIAL",C765))),"Título com eSocial/Psicossocial no nome",IF(O765="Receita recorrente","Tipo DRE recorrente","Extra sem palavra-chave específica"))))</f>
        <v/>
      </c>
      <c r="S765" s="92">
        <f>IFERROR(VLOOKUP($A765,'13. Mapa Títulos-Receita'!$A$8:$P$1000,4,FALSE),"")</f>
        <v/>
      </c>
      <c r="T765" s="92">
        <f>IFERROR(VLOOKUP($A765,'13. Mapa Títulos-Receita'!$A$8:$P$1000,5,FALSE),"")</f>
        <v/>
      </c>
      <c r="U765" s="92">
        <f>IFERROR(VLOOKUP($A765,'13. Mapa Títulos-Receita'!$A$8:$P$1000,6,FALSE),"")</f>
        <v/>
      </c>
      <c r="V765" s="92">
        <f>IFERROR(VLOOKUP($A765,'13. Mapa Títulos-Receita'!$A$8:$P$1000,7,FALSE),"")</f>
        <v/>
      </c>
      <c r="W765" s="92">
        <f>IFERROR(VLOOKUP($A765,'13. Mapa Títulos-Receita'!$A$8:$P$1000,8,FALSE),"")</f>
        <v/>
      </c>
      <c r="X765" s="92">
        <f>IFERROR(VLOOKUP($A765,'13. Mapa Títulos-Receita'!$A$8:$P$1000,9,FALSE),"")</f>
        <v/>
      </c>
      <c r="Y765" s="92">
        <f>IFERROR(VLOOKUP($A765,'13. Mapa Títulos-Receita'!$A$8:$P$1000,10,FALSE),"")</f>
        <v/>
      </c>
      <c r="Z765" s="92">
        <f>IFERROR(VLOOKUP($A765,'13. Mapa Títulos-Receita'!$A$8:$P$1000,11,FALSE),"")</f>
        <v/>
      </c>
      <c r="AA765" s="92">
        <f>IFERROR(VLOOKUP($A765,'13. Mapa Títulos-Receita'!$A$8:$P$1000,12,FALSE),"")</f>
        <v/>
      </c>
      <c r="AB765" s="92">
        <f>IFERROR(VLOOKUP($A765,'13. Mapa Títulos-Receita'!$A$8:$P$1000,13,FALSE),"")</f>
        <v/>
      </c>
      <c r="AC765" s="92">
        <f>IFERROR(VLOOKUP($A765,'13. Mapa Títulos-Receita'!$A$8:$P$1000,14,FALSE),"")</f>
        <v/>
      </c>
      <c r="AD765" s="92">
        <f>IFERROR(VLOOKUP($A765,'13. Mapa Títulos-Receita'!$A$8:$P$1000,15,FALSE),"")</f>
        <v/>
      </c>
      <c r="AE765" s="92">
        <f>IFERROR(VLOOKUP($A765,'13. Mapa Títulos-Receita'!$A$8:$P$1000,16,FALSE),"")</f>
        <v/>
      </c>
    </row>
    <row r="766">
      <c r="A766" s="28">
        <f>IF(C766="","", "CR-"&amp;TEXT(ROW()-7,"000"))</f>
        <v/>
      </c>
      <c r="B766" s="28" t="n"/>
      <c r="C766" s="28" t="n"/>
      <c r="D766" s="111" t="n"/>
      <c r="E766" s="111" t="n"/>
      <c r="F766" s="111" t="n"/>
      <c r="G766" s="28" t="n"/>
      <c r="H766" s="45" t="n"/>
      <c r="I766" s="45" t="n"/>
      <c r="J766" s="28">
        <f>IF(H766="","",IF(I766&gt;=H766,"Recebido",IF($B$4&gt;E766,"Vencido","Aberto")))</f>
        <v/>
      </c>
      <c r="K766" s="4">
        <f>IF(J766="","",IF(OR(J766="Recebido",F766=""),MAX(0,F766-E766),MAX(0,$B$4-E766)))</f>
        <v/>
      </c>
      <c r="L766" s="4">
        <f>IF(K766="","",IF(K766=0,"Em dia",IF(K766&lt;=30,"1-30 dias",IF(K766&lt;=60,"31-60 dias",IF(K766&lt;=90,"61-90 dias","&gt;90 dias")))))</f>
        <v/>
      </c>
      <c r="M766" s="28" t="n"/>
      <c r="N766" s="104" t="inlineStr"/>
      <c r="O766" s="64" t="n"/>
      <c r="P766" s="64">
        <f>IF(C766="","",IF(ISNUMBER(SEARCH("PCMSO",C766)),"PCMSO",IF(OR(ISNUMBER(SEARCH("E-SOCIAL",C766)),ISNUMBER(SEARCH("PSICOSOCIAL",C766))),"eSocial / Psicossocial",IF(O766="Receita recorrente","Carteira recorrente","Projetos / Laudos / Avulsos"))))</f>
        <v/>
      </c>
      <c r="Q766" s="64">
        <f>IF(P766="","",IF(P766="Carteira recorrente","Operação recorrente",IF(P766="PCMSO","Projetos PCMSO",IF(P766="eSocial / Psicossocial","Projetos eSocial/Psicossocial","Projetos / Laudos / Avulsos"))))</f>
        <v/>
      </c>
      <c r="R766" s="64">
        <f>IF(C766="","",IF(ISNUMBER(SEARCH("PCMSO",C766)),"Título com PCMSO no nome",IF(OR(ISNUMBER(SEARCH("E-SOCIAL",C766)),ISNUMBER(SEARCH("PSICOSOCIAL",C766))),"Título com eSocial/Psicossocial no nome",IF(O766="Receita recorrente","Tipo DRE recorrente","Extra sem palavra-chave específica"))))</f>
        <v/>
      </c>
      <c r="S766" s="92">
        <f>IFERROR(VLOOKUP($A766,'13. Mapa Títulos-Receita'!$A$8:$P$1000,4,FALSE),"")</f>
        <v/>
      </c>
      <c r="T766" s="92">
        <f>IFERROR(VLOOKUP($A766,'13. Mapa Títulos-Receita'!$A$8:$P$1000,5,FALSE),"")</f>
        <v/>
      </c>
      <c r="U766" s="92">
        <f>IFERROR(VLOOKUP($A766,'13. Mapa Títulos-Receita'!$A$8:$P$1000,6,FALSE),"")</f>
        <v/>
      </c>
      <c r="V766" s="92">
        <f>IFERROR(VLOOKUP($A766,'13. Mapa Títulos-Receita'!$A$8:$P$1000,7,FALSE),"")</f>
        <v/>
      </c>
      <c r="W766" s="92">
        <f>IFERROR(VLOOKUP($A766,'13. Mapa Títulos-Receita'!$A$8:$P$1000,8,FALSE),"")</f>
        <v/>
      </c>
      <c r="X766" s="92">
        <f>IFERROR(VLOOKUP($A766,'13. Mapa Títulos-Receita'!$A$8:$P$1000,9,FALSE),"")</f>
        <v/>
      </c>
      <c r="Y766" s="92">
        <f>IFERROR(VLOOKUP($A766,'13. Mapa Títulos-Receita'!$A$8:$P$1000,10,FALSE),"")</f>
        <v/>
      </c>
      <c r="Z766" s="92">
        <f>IFERROR(VLOOKUP($A766,'13. Mapa Títulos-Receita'!$A$8:$P$1000,11,FALSE),"")</f>
        <v/>
      </c>
      <c r="AA766" s="92">
        <f>IFERROR(VLOOKUP($A766,'13. Mapa Títulos-Receita'!$A$8:$P$1000,12,FALSE),"")</f>
        <v/>
      </c>
      <c r="AB766" s="92">
        <f>IFERROR(VLOOKUP($A766,'13. Mapa Títulos-Receita'!$A$8:$P$1000,13,FALSE),"")</f>
        <v/>
      </c>
      <c r="AC766" s="92">
        <f>IFERROR(VLOOKUP($A766,'13. Mapa Títulos-Receita'!$A$8:$P$1000,14,FALSE),"")</f>
        <v/>
      </c>
      <c r="AD766" s="92">
        <f>IFERROR(VLOOKUP($A766,'13. Mapa Títulos-Receita'!$A$8:$P$1000,15,FALSE),"")</f>
        <v/>
      </c>
      <c r="AE766" s="92">
        <f>IFERROR(VLOOKUP($A766,'13. Mapa Títulos-Receita'!$A$8:$P$1000,16,FALSE),"")</f>
        <v/>
      </c>
    </row>
    <row r="767">
      <c r="A767" s="28">
        <f>IF(C767="","", "CR-"&amp;TEXT(ROW()-7,"000"))</f>
        <v/>
      </c>
      <c r="B767" s="28" t="n"/>
      <c r="C767" s="28" t="n"/>
      <c r="D767" s="111" t="n"/>
      <c r="E767" s="111" t="n"/>
      <c r="F767" s="111" t="n"/>
      <c r="G767" s="28" t="n"/>
      <c r="H767" s="45" t="n"/>
      <c r="I767" s="45" t="n"/>
      <c r="J767" s="28">
        <f>IF(H767="","",IF(I767&gt;=H767,"Recebido",IF($B$4&gt;E767,"Vencido","Aberto")))</f>
        <v/>
      </c>
      <c r="K767" s="4">
        <f>IF(J767="","",IF(OR(J767="Recebido",F767=""),MAX(0,F767-E767),MAX(0,$B$4-E767)))</f>
        <v/>
      </c>
      <c r="L767" s="4">
        <f>IF(K767="","",IF(K767=0,"Em dia",IF(K767&lt;=30,"1-30 dias",IF(K767&lt;=60,"31-60 dias",IF(K767&lt;=90,"61-90 dias","&gt;90 dias")))))</f>
        <v/>
      </c>
      <c r="M767" s="28" t="n"/>
      <c r="N767" s="104" t="inlineStr"/>
      <c r="O767" s="64" t="n"/>
      <c r="P767" s="64">
        <f>IF(C767="","",IF(ISNUMBER(SEARCH("PCMSO",C767)),"PCMSO",IF(OR(ISNUMBER(SEARCH("E-SOCIAL",C767)),ISNUMBER(SEARCH("PSICOSOCIAL",C767))),"eSocial / Psicossocial",IF(O767="Receita recorrente","Carteira recorrente","Projetos / Laudos / Avulsos"))))</f>
        <v/>
      </c>
      <c r="Q767" s="64">
        <f>IF(P767="","",IF(P767="Carteira recorrente","Operação recorrente",IF(P767="PCMSO","Projetos PCMSO",IF(P767="eSocial / Psicossocial","Projetos eSocial/Psicossocial","Projetos / Laudos / Avulsos"))))</f>
        <v/>
      </c>
      <c r="R767" s="64">
        <f>IF(C767="","",IF(ISNUMBER(SEARCH("PCMSO",C767)),"Título com PCMSO no nome",IF(OR(ISNUMBER(SEARCH("E-SOCIAL",C767)),ISNUMBER(SEARCH("PSICOSOCIAL",C767))),"Título com eSocial/Psicossocial no nome",IF(O767="Receita recorrente","Tipo DRE recorrente","Extra sem palavra-chave específica"))))</f>
        <v/>
      </c>
      <c r="S767" s="92">
        <f>IFERROR(VLOOKUP($A767,'13. Mapa Títulos-Receita'!$A$8:$P$1000,4,FALSE),"")</f>
        <v/>
      </c>
      <c r="T767" s="92">
        <f>IFERROR(VLOOKUP($A767,'13. Mapa Títulos-Receita'!$A$8:$P$1000,5,FALSE),"")</f>
        <v/>
      </c>
      <c r="U767" s="92">
        <f>IFERROR(VLOOKUP($A767,'13. Mapa Títulos-Receita'!$A$8:$P$1000,6,FALSE),"")</f>
        <v/>
      </c>
      <c r="V767" s="92">
        <f>IFERROR(VLOOKUP($A767,'13. Mapa Títulos-Receita'!$A$8:$P$1000,7,FALSE),"")</f>
        <v/>
      </c>
      <c r="W767" s="92">
        <f>IFERROR(VLOOKUP($A767,'13. Mapa Títulos-Receita'!$A$8:$P$1000,8,FALSE),"")</f>
        <v/>
      </c>
      <c r="X767" s="92">
        <f>IFERROR(VLOOKUP($A767,'13. Mapa Títulos-Receita'!$A$8:$P$1000,9,FALSE),"")</f>
        <v/>
      </c>
      <c r="Y767" s="92">
        <f>IFERROR(VLOOKUP($A767,'13. Mapa Títulos-Receita'!$A$8:$P$1000,10,FALSE),"")</f>
        <v/>
      </c>
      <c r="Z767" s="92">
        <f>IFERROR(VLOOKUP($A767,'13. Mapa Títulos-Receita'!$A$8:$P$1000,11,FALSE),"")</f>
        <v/>
      </c>
      <c r="AA767" s="92">
        <f>IFERROR(VLOOKUP($A767,'13. Mapa Títulos-Receita'!$A$8:$P$1000,12,FALSE),"")</f>
        <v/>
      </c>
      <c r="AB767" s="92">
        <f>IFERROR(VLOOKUP($A767,'13. Mapa Títulos-Receita'!$A$8:$P$1000,13,FALSE),"")</f>
        <v/>
      </c>
      <c r="AC767" s="92">
        <f>IFERROR(VLOOKUP($A767,'13. Mapa Títulos-Receita'!$A$8:$P$1000,14,FALSE),"")</f>
        <v/>
      </c>
      <c r="AD767" s="92">
        <f>IFERROR(VLOOKUP($A767,'13. Mapa Títulos-Receita'!$A$8:$P$1000,15,FALSE),"")</f>
        <v/>
      </c>
      <c r="AE767" s="92">
        <f>IFERROR(VLOOKUP($A767,'13. Mapa Títulos-Receita'!$A$8:$P$1000,16,FALSE),"")</f>
        <v/>
      </c>
    </row>
    <row r="768">
      <c r="A768" s="28">
        <f>IF(C768="","", "CR-"&amp;TEXT(ROW()-7,"000"))</f>
        <v/>
      </c>
      <c r="B768" s="28" t="n"/>
      <c r="C768" s="28" t="n"/>
      <c r="D768" s="111" t="n"/>
      <c r="E768" s="111" t="n"/>
      <c r="F768" s="111" t="n"/>
      <c r="G768" s="28" t="n"/>
      <c r="H768" s="45" t="n"/>
      <c r="I768" s="45" t="n"/>
      <c r="J768" s="28">
        <f>IF(H768="","",IF(I768&gt;=H768,"Recebido",IF($B$4&gt;E768,"Vencido","Aberto")))</f>
        <v/>
      </c>
      <c r="K768" s="4">
        <f>IF(J768="","",IF(OR(J768="Recebido",F768=""),MAX(0,F768-E768),MAX(0,$B$4-E768)))</f>
        <v/>
      </c>
      <c r="L768" s="4">
        <f>IF(K768="","",IF(K768=0,"Em dia",IF(K768&lt;=30,"1-30 dias",IF(K768&lt;=60,"31-60 dias",IF(K768&lt;=90,"61-90 dias","&gt;90 dias")))))</f>
        <v/>
      </c>
      <c r="M768" s="28" t="n"/>
      <c r="N768" s="104" t="inlineStr"/>
      <c r="O768" s="64" t="n"/>
      <c r="P768" s="64">
        <f>IF(C768="","",IF(ISNUMBER(SEARCH("PCMSO",C768)),"PCMSO",IF(OR(ISNUMBER(SEARCH("E-SOCIAL",C768)),ISNUMBER(SEARCH("PSICOSOCIAL",C768))),"eSocial / Psicossocial",IF(O768="Receita recorrente","Carteira recorrente","Projetos / Laudos / Avulsos"))))</f>
        <v/>
      </c>
      <c r="Q768" s="64">
        <f>IF(P768="","",IF(P768="Carteira recorrente","Operação recorrente",IF(P768="PCMSO","Projetos PCMSO",IF(P768="eSocial / Psicossocial","Projetos eSocial/Psicossocial","Projetos / Laudos / Avulsos"))))</f>
        <v/>
      </c>
      <c r="R768" s="64">
        <f>IF(C768="","",IF(ISNUMBER(SEARCH("PCMSO",C768)),"Título com PCMSO no nome",IF(OR(ISNUMBER(SEARCH("E-SOCIAL",C768)),ISNUMBER(SEARCH("PSICOSOCIAL",C768))),"Título com eSocial/Psicossocial no nome",IF(O768="Receita recorrente","Tipo DRE recorrente","Extra sem palavra-chave específica"))))</f>
        <v/>
      </c>
      <c r="S768" s="92">
        <f>IFERROR(VLOOKUP($A768,'13. Mapa Títulos-Receita'!$A$8:$P$1000,4,FALSE),"")</f>
        <v/>
      </c>
      <c r="T768" s="92">
        <f>IFERROR(VLOOKUP($A768,'13. Mapa Títulos-Receita'!$A$8:$P$1000,5,FALSE),"")</f>
        <v/>
      </c>
      <c r="U768" s="92">
        <f>IFERROR(VLOOKUP($A768,'13. Mapa Títulos-Receita'!$A$8:$P$1000,6,FALSE),"")</f>
        <v/>
      </c>
      <c r="V768" s="92">
        <f>IFERROR(VLOOKUP($A768,'13. Mapa Títulos-Receita'!$A$8:$P$1000,7,FALSE),"")</f>
        <v/>
      </c>
      <c r="W768" s="92">
        <f>IFERROR(VLOOKUP($A768,'13. Mapa Títulos-Receita'!$A$8:$P$1000,8,FALSE),"")</f>
        <v/>
      </c>
      <c r="X768" s="92">
        <f>IFERROR(VLOOKUP($A768,'13. Mapa Títulos-Receita'!$A$8:$P$1000,9,FALSE),"")</f>
        <v/>
      </c>
      <c r="Y768" s="92">
        <f>IFERROR(VLOOKUP($A768,'13. Mapa Títulos-Receita'!$A$8:$P$1000,10,FALSE),"")</f>
        <v/>
      </c>
      <c r="Z768" s="92">
        <f>IFERROR(VLOOKUP($A768,'13. Mapa Títulos-Receita'!$A$8:$P$1000,11,FALSE),"")</f>
        <v/>
      </c>
      <c r="AA768" s="92">
        <f>IFERROR(VLOOKUP($A768,'13. Mapa Títulos-Receita'!$A$8:$P$1000,12,FALSE),"")</f>
        <v/>
      </c>
      <c r="AB768" s="92">
        <f>IFERROR(VLOOKUP($A768,'13. Mapa Títulos-Receita'!$A$8:$P$1000,13,FALSE),"")</f>
        <v/>
      </c>
      <c r="AC768" s="92">
        <f>IFERROR(VLOOKUP($A768,'13. Mapa Títulos-Receita'!$A$8:$P$1000,14,FALSE),"")</f>
        <v/>
      </c>
      <c r="AD768" s="92">
        <f>IFERROR(VLOOKUP($A768,'13. Mapa Títulos-Receita'!$A$8:$P$1000,15,FALSE),"")</f>
        <v/>
      </c>
      <c r="AE768" s="92">
        <f>IFERROR(VLOOKUP($A768,'13. Mapa Títulos-Receita'!$A$8:$P$1000,16,FALSE),"")</f>
        <v/>
      </c>
    </row>
    <row r="769">
      <c r="A769" s="28">
        <f>IF(C769="","", "CR-"&amp;TEXT(ROW()-7,"000"))</f>
        <v/>
      </c>
      <c r="B769" s="28" t="n"/>
      <c r="C769" s="28" t="n"/>
      <c r="D769" s="111" t="n"/>
      <c r="E769" s="111" t="n"/>
      <c r="F769" s="111" t="n"/>
      <c r="G769" s="28" t="n"/>
      <c r="H769" s="45" t="n"/>
      <c r="I769" s="45" t="n"/>
      <c r="J769" s="28">
        <f>IF(H769="","",IF(I769&gt;=H769,"Recebido",IF($B$4&gt;E769,"Vencido","Aberto")))</f>
        <v/>
      </c>
      <c r="K769" s="4">
        <f>IF(J769="","",IF(OR(J769="Recebido",F769=""),MAX(0,F769-E769),MAX(0,$B$4-E769)))</f>
        <v/>
      </c>
      <c r="L769" s="4">
        <f>IF(K769="","",IF(K769=0,"Em dia",IF(K769&lt;=30,"1-30 dias",IF(K769&lt;=60,"31-60 dias",IF(K769&lt;=90,"61-90 dias","&gt;90 dias")))))</f>
        <v/>
      </c>
      <c r="M769" s="28" t="n"/>
      <c r="N769" s="104" t="inlineStr"/>
      <c r="O769" s="64" t="n"/>
      <c r="P769" s="64">
        <f>IF(C769="","",IF(ISNUMBER(SEARCH("PCMSO",C769)),"PCMSO",IF(OR(ISNUMBER(SEARCH("E-SOCIAL",C769)),ISNUMBER(SEARCH("PSICOSOCIAL",C769))),"eSocial / Psicossocial",IF(O769="Receita recorrente","Carteira recorrente","Projetos / Laudos / Avulsos"))))</f>
        <v/>
      </c>
      <c r="Q769" s="64">
        <f>IF(P769="","",IF(P769="Carteira recorrente","Operação recorrente",IF(P769="PCMSO","Projetos PCMSO",IF(P769="eSocial / Psicossocial","Projetos eSocial/Psicossocial","Projetos / Laudos / Avulsos"))))</f>
        <v/>
      </c>
      <c r="R769" s="64">
        <f>IF(C769="","",IF(ISNUMBER(SEARCH("PCMSO",C769)),"Título com PCMSO no nome",IF(OR(ISNUMBER(SEARCH("E-SOCIAL",C769)),ISNUMBER(SEARCH("PSICOSOCIAL",C769))),"Título com eSocial/Psicossocial no nome",IF(O769="Receita recorrente","Tipo DRE recorrente","Extra sem palavra-chave específica"))))</f>
        <v/>
      </c>
      <c r="S769" s="92">
        <f>IFERROR(VLOOKUP($A769,'13. Mapa Títulos-Receita'!$A$8:$P$1000,4,FALSE),"")</f>
        <v/>
      </c>
      <c r="T769" s="92">
        <f>IFERROR(VLOOKUP($A769,'13. Mapa Títulos-Receita'!$A$8:$P$1000,5,FALSE),"")</f>
        <v/>
      </c>
      <c r="U769" s="92">
        <f>IFERROR(VLOOKUP($A769,'13. Mapa Títulos-Receita'!$A$8:$P$1000,6,FALSE),"")</f>
        <v/>
      </c>
      <c r="V769" s="92">
        <f>IFERROR(VLOOKUP($A769,'13. Mapa Títulos-Receita'!$A$8:$P$1000,7,FALSE),"")</f>
        <v/>
      </c>
      <c r="W769" s="92">
        <f>IFERROR(VLOOKUP($A769,'13. Mapa Títulos-Receita'!$A$8:$P$1000,8,FALSE),"")</f>
        <v/>
      </c>
      <c r="X769" s="92">
        <f>IFERROR(VLOOKUP($A769,'13. Mapa Títulos-Receita'!$A$8:$P$1000,9,FALSE),"")</f>
        <v/>
      </c>
      <c r="Y769" s="92">
        <f>IFERROR(VLOOKUP($A769,'13. Mapa Títulos-Receita'!$A$8:$P$1000,10,FALSE),"")</f>
        <v/>
      </c>
      <c r="Z769" s="92">
        <f>IFERROR(VLOOKUP($A769,'13. Mapa Títulos-Receita'!$A$8:$P$1000,11,FALSE),"")</f>
        <v/>
      </c>
      <c r="AA769" s="92">
        <f>IFERROR(VLOOKUP($A769,'13. Mapa Títulos-Receita'!$A$8:$P$1000,12,FALSE),"")</f>
        <v/>
      </c>
      <c r="AB769" s="92">
        <f>IFERROR(VLOOKUP($A769,'13. Mapa Títulos-Receita'!$A$8:$P$1000,13,FALSE),"")</f>
        <v/>
      </c>
      <c r="AC769" s="92">
        <f>IFERROR(VLOOKUP($A769,'13. Mapa Títulos-Receita'!$A$8:$P$1000,14,FALSE),"")</f>
        <v/>
      </c>
      <c r="AD769" s="92">
        <f>IFERROR(VLOOKUP($A769,'13. Mapa Títulos-Receita'!$A$8:$P$1000,15,FALSE),"")</f>
        <v/>
      </c>
      <c r="AE769" s="92">
        <f>IFERROR(VLOOKUP($A769,'13. Mapa Títulos-Receita'!$A$8:$P$1000,16,FALSE),"")</f>
        <v/>
      </c>
    </row>
    <row r="770">
      <c r="A770" s="28">
        <f>IF(C770="","", "CR-"&amp;TEXT(ROW()-7,"000"))</f>
        <v/>
      </c>
      <c r="B770" s="28" t="n"/>
      <c r="C770" s="28" t="n"/>
      <c r="D770" s="111" t="n"/>
      <c r="E770" s="111" t="n"/>
      <c r="F770" s="111" t="n"/>
      <c r="G770" s="28" t="n"/>
      <c r="H770" s="45" t="n"/>
      <c r="I770" s="45" t="n"/>
      <c r="J770" s="28">
        <f>IF(H770="","",IF(I770&gt;=H770,"Recebido",IF($B$4&gt;E770,"Vencido","Aberto")))</f>
        <v/>
      </c>
      <c r="K770" s="4">
        <f>IF(J770="","",IF(OR(J770="Recebido",F770=""),MAX(0,F770-E770),MAX(0,$B$4-E770)))</f>
        <v/>
      </c>
      <c r="L770" s="4">
        <f>IF(K770="","",IF(K770=0,"Em dia",IF(K770&lt;=30,"1-30 dias",IF(K770&lt;=60,"31-60 dias",IF(K770&lt;=90,"61-90 dias","&gt;90 dias")))))</f>
        <v/>
      </c>
      <c r="M770" s="28" t="n"/>
      <c r="N770" s="104" t="inlineStr"/>
      <c r="O770" s="64" t="n"/>
      <c r="P770" s="64">
        <f>IF(C770="","",IF(ISNUMBER(SEARCH("PCMSO",C770)),"PCMSO",IF(OR(ISNUMBER(SEARCH("E-SOCIAL",C770)),ISNUMBER(SEARCH("PSICOSOCIAL",C770))),"eSocial / Psicossocial",IF(O770="Receita recorrente","Carteira recorrente","Projetos / Laudos / Avulsos"))))</f>
        <v/>
      </c>
      <c r="Q770" s="64">
        <f>IF(P770="","",IF(P770="Carteira recorrente","Operação recorrente",IF(P770="PCMSO","Projetos PCMSO",IF(P770="eSocial / Psicossocial","Projetos eSocial/Psicossocial","Projetos / Laudos / Avulsos"))))</f>
        <v/>
      </c>
      <c r="R770" s="64">
        <f>IF(C770="","",IF(ISNUMBER(SEARCH("PCMSO",C770)),"Título com PCMSO no nome",IF(OR(ISNUMBER(SEARCH("E-SOCIAL",C770)),ISNUMBER(SEARCH("PSICOSOCIAL",C770))),"Título com eSocial/Psicossocial no nome",IF(O770="Receita recorrente","Tipo DRE recorrente","Extra sem palavra-chave específica"))))</f>
        <v/>
      </c>
      <c r="S770" s="92">
        <f>IFERROR(VLOOKUP($A770,'13. Mapa Títulos-Receita'!$A$8:$P$1000,4,FALSE),"")</f>
        <v/>
      </c>
      <c r="T770" s="92">
        <f>IFERROR(VLOOKUP($A770,'13. Mapa Títulos-Receita'!$A$8:$P$1000,5,FALSE),"")</f>
        <v/>
      </c>
      <c r="U770" s="92">
        <f>IFERROR(VLOOKUP($A770,'13. Mapa Títulos-Receita'!$A$8:$P$1000,6,FALSE),"")</f>
        <v/>
      </c>
      <c r="V770" s="92">
        <f>IFERROR(VLOOKUP($A770,'13. Mapa Títulos-Receita'!$A$8:$P$1000,7,FALSE),"")</f>
        <v/>
      </c>
      <c r="W770" s="92">
        <f>IFERROR(VLOOKUP($A770,'13. Mapa Títulos-Receita'!$A$8:$P$1000,8,FALSE),"")</f>
        <v/>
      </c>
      <c r="X770" s="92">
        <f>IFERROR(VLOOKUP($A770,'13. Mapa Títulos-Receita'!$A$8:$P$1000,9,FALSE),"")</f>
        <v/>
      </c>
      <c r="Y770" s="92">
        <f>IFERROR(VLOOKUP($A770,'13. Mapa Títulos-Receita'!$A$8:$P$1000,10,FALSE),"")</f>
        <v/>
      </c>
      <c r="Z770" s="92">
        <f>IFERROR(VLOOKUP($A770,'13. Mapa Títulos-Receita'!$A$8:$P$1000,11,FALSE),"")</f>
        <v/>
      </c>
      <c r="AA770" s="92">
        <f>IFERROR(VLOOKUP($A770,'13. Mapa Títulos-Receita'!$A$8:$P$1000,12,FALSE),"")</f>
        <v/>
      </c>
      <c r="AB770" s="92">
        <f>IFERROR(VLOOKUP($A770,'13. Mapa Títulos-Receita'!$A$8:$P$1000,13,FALSE),"")</f>
        <v/>
      </c>
      <c r="AC770" s="92">
        <f>IFERROR(VLOOKUP($A770,'13. Mapa Títulos-Receita'!$A$8:$P$1000,14,FALSE),"")</f>
        <v/>
      </c>
      <c r="AD770" s="92">
        <f>IFERROR(VLOOKUP($A770,'13. Mapa Títulos-Receita'!$A$8:$P$1000,15,FALSE),"")</f>
        <v/>
      </c>
      <c r="AE770" s="92">
        <f>IFERROR(VLOOKUP($A770,'13. Mapa Títulos-Receita'!$A$8:$P$1000,16,FALSE),"")</f>
        <v/>
      </c>
    </row>
    <row r="771">
      <c r="A771" s="28">
        <f>IF(C771="","", "CR-"&amp;TEXT(ROW()-7,"000"))</f>
        <v/>
      </c>
      <c r="B771" s="28" t="n"/>
      <c r="C771" s="28" t="n"/>
      <c r="D771" s="111" t="n"/>
      <c r="E771" s="111" t="n"/>
      <c r="F771" s="111" t="n"/>
      <c r="G771" s="28" t="n"/>
      <c r="H771" s="45" t="n"/>
      <c r="I771" s="45" t="n"/>
      <c r="J771" s="28">
        <f>IF(H771="","",IF(I771&gt;=H771,"Recebido",IF($B$4&gt;E771,"Vencido","Aberto")))</f>
        <v/>
      </c>
      <c r="K771" s="4">
        <f>IF(J771="","",IF(OR(J771="Recebido",F771=""),MAX(0,F771-E771),MAX(0,$B$4-E771)))</f>
        <v/>
      </c>
      <c r="L771" s="4">
        <f>IF(K771="","",IF(K771=0,"Em dia",IF(K771&lt;=30,"1-30 dias",IF(K771&lt;=60,"31-60 dias",IF(K771&lt;=90,"61-90 dias","&gt;90 dias")))))</f>
        <v/>
      </c>
      <c r="M771" s="28" t="n"/>
      <c r="N771" s="104" t="inlineStr"/>
      <c r="O771" s="64" t="n"/>
      <c r="P771" s="64">
        <f>IF(C771="","",IF(ISNUMBER(SEARCH("PCMSO",C771)),"PCMSO",IF(OR(ISNUMBER(SEARCH("E-SOCIAL",C771)),ISNUMBER(SEARCH("PSICOSOCIAL",C771))),"eSocial / Psicossocial",IF(O771="Receita recorrente","Carteira recorrente","Projetos / Laudos / Avulsos"))))</f>
        <v/>
      </c>
      <c r="Q771" s="64">
        <f>IF(P771="","",IF(P771="Carteira recorrente","Operação recorrente",IF(P771="PCMSO","Projetos PCMSO",IF(P771="eSocial / Psicossocial","Projetos eSocial/Psicossocial","Projetos / Laudos / Avulsos"))))</f>
        <v/>
      </c>
      <c r="R771" s="64">
        <f>IF(C771="","",IF(ISNUMBER(SEARCH("PCMSO",C771)),"Título com PCMSO no nome",IF(OR(ISNUMBER(SEARCH("E-SOCIAL",C771)),ISNUMBER(SEARCH("PSICOSOCIAL",C771))),"Título com eSocial/Psicossocial no nome",IF(O771="Receita recorrente","Tipo DRE recorrente","Extra sem palavra-chave específica"))))</f>
        <v/>
      </c>
      <c r="S771" s="92">
        <f>IFERROR(VLOOKUP($A771,'13. Mapa Títulos-Receita'!$A$8:$P$1000,4,FALSE),"")</f>
        <v/>
      </c>
      <c r="T771" s="92">
        <f>IFERROR(VLOOKUP($A771,'13. Mapa Títulos-Receita'!$A$8:$P$1000,5,FALSE),"")</f>
        <v/>
      </c>
      <c r="U771" s="92">
        <f>IFERROR(VLOOKUP($A771,'13. Mapa Títulos-Receita'!$A$8:$P$1000,6,FALSE),"")</f>
        <v/>
      </c>
      <c r="V771" s="92">
        <f>IFERROR(VLOOKUP($A771,'13. Mapa Títulos-Receita'!$A$8:$P$1000,7,FALSE),"")</f>
        <v/>
      </c>
      <c r="W771" s="92">
        <f>IFERROR(VLOOKUP($A771,'13. Mapa Títulos-Receita'!$A$8:$P$1000,8,FALSE),"")</f>
        <v/>
      </c>
      <c r="X771" s="92">
        <f>IFERROR(VLOOKUP($A771,'13. Mapa Títulos-Receita'!$A$8:$P$1000,9,FALSE),"")</f>
        <v/>
      </c>
      <c r="Y771" s="92">
        <f>IFERROR(VLOOKUP($A771,'13. Mapa Títulos-Receita'!$A$8:$P$1000,10,FALSE),"")</f>
        <v/>
      </c>
      <c r="Z771" s="92">
        <f>IFERROR(VLOOKUP($A771,'13. Mapa Títulos-Receita'!$A$8:$P$1000,11,FALSE),"")</f>
        <v/>
      </c>
      <c r="AA771" s="92">
        <f>IFERROR(VLOOKUP($A771,'13. Mapa Títulos-Receita'!$A$8:$P$1000,12,FALSE),"")</f>
        <v/>
      </c>
      <c r="AB771" s="92">
        <f>IFERROR(VLOOKUP($A771,'13. Mapa Títulos-Receita'!$A$8:$P$1000,13,FALSE),"")</f>
        <v/>
      </c>
      <c r="AC771" s="92">
        <f>IFERROR(VLOOKUP($A771,'13. Mapa Títulos-Receita'!$A$8:$P$1000,14,FALSE),"")</f>
        <v/>
      </c>
      <c r="AD771" s="92">
        <f>IFERROR(VLOOKUP($A771,'13. Mapa Títulos-Receita'!$A$8:$P$1000,15,FALSE),"")</f>
        <v/>
      </c>
      <c r="AE771" s="92">
        <f>IFERROR(VLOOKUP($A771,'13. Mapa Títulos-Receita'!$A$8:$P$1000,16,FALSE),"")</f>
        <v/>
      </c>
    </row>
    <row r="772">
      <c r="A772" s="28">
        <f>IF(C772="","", "CR-"&amp;TEXT(ROW()-7,"000"))</f>
        <v/>
      </c>
      <c r="B772" s="28" t="n"/>
      <c r="C772" s="28" t="n"/>
      <c r="D772" s="111" t="n"/>
      <c r="E772" s="111" t="n"/>
      <c r="F772" s="111" t="n"/>
      <c r="G772" s="28" t="n"/>
      <c r="H772" s="45" t="n"/>
      <c r="I772" s="45" t="n"/>
      <c r="J772" s="28">
        <f>IF(H772="","",IF(I772&gt;=H772,"Recebido",IF($B$4&gt;E772,"Vencido","Aberto")))</f>
        <v/>
      </c>
      <c r="K772" s="4">
        <f>IF(J772="","",IF(OR(J772="Recebido",F772=""),MAX(0,F772-E772),MAX(0,$B$4-E772)))</f>
        <v/>
      </c>
      <c r="L772" s="4">
        <f>IF(K772="","",IF(K772=0,"Em dia",IF(K772&lt;=30,"1-30 dias",IF(K772&lt;=60,"31-60 dias",IF(K772&lt;=90,"61-90 dias","&gt;90 dias")))))</f>
        <v/>
      </c>
      <c r="M772" s="28" t="n"/>
      <c r="N772" s="104" t="inlineStr"/>
      <c r="O772" s="64" t="n"/>
      <c r="P772" s="64">
        <f>IF(C772="","",IF(ISNUMBER(SEARCH("PCMSO",C772)),"PCMSO",IF(OR(ISNUMBER(SEARCH("E-SOCIAL",C772)),ISNUMBER(SEARCH("PSICOSOCIAL",C772))),"eSocial / Psicossocial",IF(O772="Receita recorrente","Carteira recorrente","Projetos / Laudos / Avulsos"))))</f>
        <v/>
      </c>
      <c r="Q772" s="64">
        <f>IF(P772="","",IF(P772="Carteira recorrente","Operação recorrente",IF(P772="PCMSO","Projetos PCMSO",IF(P772="eSocial / Psicossocial","Projetos eSocial/Psicossocial","Projetos / Laudos / Avulsos"))))</f>
        <v/>
      </c>
      <c r="R772" s="64">
        <f>IF(C772="","",IF(ISNUMBER(SEARCH("PCMSO",C772)),"Título com PCMSO no nome",IF(OR(ISNUMBER(SEARCH("E-SOCIAL",C772)),ISNUMBER(SEARCH("PSICOSOCIAL",C772))),"Título com eSocial/Psicossocial no nome",IF(O772="Receita recorrente","Tipo DRE recorrente","Extra sem palavra-chave específica"))))</f>
        <v/>
      </c>
      <c r="S772" s="92">
        <f>IFERROR(VLOOKUP($A772,'13. Mapa Títulos-Receita'!$A$8:$P$1000,4,FALSE),"")</f>
        <v/>
      </c>
      <c r="T772" s="92">
        <f>IFERROR(VLOOKUP($A772,'13. Mapa Títulos-Receita'!$A$8:$P$1000,5,FALSE),"")</f>
        <v/>
      </c>
      <c r="U772" s="92">
        <f>IFERROR(VLOOKUP($A772,'13. Mapa Títulos-Receita'!$A$8:$P$1000,6,FALSE),"")</f>
        <v/>
      </c>
      <c r="V772" s="92">
        <f>IFERROR(VLOOKUP($A772,'13. Mapa Títulos-Receita'!$A$8:$P$1000,7,FALSE),"")</f>
        <v/>
      </c>
      <c r="W772" s="92">
        <f>IFERROR(VLOOKUP($A772,'13. Mapa Títulos-Receita'!$A$8:$P$1000,8,FALSE),"")</f>
        <v/>
      </c>
      <c r="X772" s="92">
        <f>IFERROR(VLOOKUP($A772,'13. Mapa Títulos-Receita'!$A$8:$P$1000,9,FALSE),"")</f>
        <v/>
      </c>
      <c r="Y772" s="92">
        <f>IFERROR(VLOOKUP($A772,'13. Mapa Títulos-Receita'!$A$8:$P$1000,10,FALSE),"")</f>
        <v/>
      </c>
      <c r="Z772" s="92">
        <f>IFERROR(VLOOKUP($A772,'13. Mapa Títulos-Receita'!$A$8:$P$1000,11,FALSE),"")</f>
        <v/>
      </c>
      <c r="AA772" s="92">
        <f>IFERROR(VLOOKUP($A772,'13. Mapa Títulos-Receita'!$A$8:$P$1000,12,FALSE),"")</f>
        <v/>
      </c>
      <c r="AB772" s="92">
        <f>IFERROR(VLOOKUP($A772,'13. Mapa Títulos-Receita'!$A$8:$P$1000,13,FALSE),"")</f>
        <v/>
      </c>
      <c r="AC772" s="92">
        <f>IFERROR(VLOOKUP($A772,'13. Mapa Títulos-Receita'!$A$8:$P$1000,14,FALSE),"")</f>
        <v/>
      </c>
      <c r="AD772" s="92">
        <f>IFERROR(VLOOKUP($A772,'13. Mapa Títulos-Receita'!$A$8:$P$1000,15,FALSE),"")</f>
        <v/>
      </c>
      <c r="AE772" s="92">
        <f>IFERROR(VLOOKUP($A772,'13. Mapa Títulos-Receita'!$A$8:$P$1000,16,FALSE),"")</f>
        <v/>
      </c>
    </row>
    <row r="773">
      <c r="A773" s="28">
        <f>IF(C773="","", "CR-"&amp;TEXT(ROW()-7,"000"))</f>
        <v/>
      </c>
      <c r="B773" s="28" t="n"/>
      <c r="C773" s="28" t="n"/>
      <c r="D773" s="111" t="n"/>
      <c r="E773" s="111" t="n"/>
      <c r="F773" s="111" t="n"/>
      <c r="G773" s="28" t="n"/>
      <c r="H773" s="45" t="n"/>
      <c r="I773" s="45" t="n"/>
      <c r="J773" s="28">
        <f>IF(H773="","",IF(I773&gt;=H773,"Recebido",IF($B$4&gt;E773,"Vencido","Aberto")))</f>
        <v/>
      </c>
      <c r="K773" s="4">
        <f>IF(J773="","",IF(OR(J773="Recebido",F773=""),MAX(0,F773-E773),MAX(0,$B$4-E773)))</f>
        <v/>
      </c>
      <c r="L773" s="4">
        <f>IF(K773="","",IF(K773=0,"Em dia",IF(K773&lt;=30,"1-30 dias",IF(K773&lt;=60,"31-60 dias",IF(K773&lt;=90,"61-90 dias","&gt;90 dias")))))</f>
        <v/>
      </c>
      <c r="M773" s="28" t="n"/>
      <c r="N773" s="104" t="inlineStr"/>
      <c r="O773" s="64" t="n"/>
      <c r="P773" s="64">
        <f>IF(C773="","",IF(ISNUMBER(SEARCH("PCMSO",C773)),"PCMSO",IF(OR(ISNUMBER(SEARCH("E-SOCIAL",C773)),ISNUMBER(SEARCH("PSICOSOCIAL",C773))),"eSocial / Psicossocial",IF(O773="Receita recorrente","Carteira recorrente","Projetos / Laudos / Avulsos"))))</f>
        <v/>
      </c>
      <c r="Q773" s="64">
        <f>IF(P773="","",IF(P773="Carteira recorrente","Operação recorrente",IF(P773="PCMSO","Projetos PCMSO",IF(P773="eSocial / Psicossocial","Projetos eSocial/Psicossocial","Projetos / Laudos / Avulsos"))))</f>
        <v/>
      </c>
      <c r="R773" s="64">
        <f>IF(C773="","",IF(ISNUMBER(SEARCH("PCMSO",C773)),"Título com PCMSO no nome",IF(OR(ISNUMBER(SEARCH("E-SOCIAL",C773)),ISNUMBER(SEARCH("PSICOSOCIAL",C773))),"Título com eSocial/Psicossocial no nome",IF(O773="Receita recorrente","Tipo DRE recorrente","Extra sem palavra-chave específica"))))</f>
        <v/>
      </c>
      <c r="S773" s="92">
        <f>IFERROR(VLOOKUP($A773,'13. Mapa Títulos-Receita'!$A$8:$P$1000,4,FALSE),"")</f>
        <v/>
      </c>
      <c r="T773" s="92">
        <f>IFERROR(VLOOKUP($A773,'13. Mapa Títulos-Receita'!$A$8:$P$1000,5,FALSE),"")</f>
        <v/>
      </c>
      <c r="U773" s="92">
        <f>IFERROR(VLOOKUP($A773,'13. Mapa Títulos-Receita'!$A$8:$P$1000,6,FALSE),"")</f>
        <v/>
      </c>
      <c r="V773" s="92">
        <f>IFERROR(VLOOKUP($A773,'13. Mapa Títulos-Receita'!$A$8:$P$1000,7,FALSE),"")</f>
        <v/>
      </c>
      <c r="W773" s="92">
        <f>IFERROR(VLOOKUP($A773,'13. Mapa Títulos-Receita'!$A$8:$P$1000,8,FALSE),"")</f>
        <v/>
      </c>
      <c r="X773" s="92">
        <f>IFERROR(VLOOKUP($A773,'13. Mapa Títulos-Receita'!$A$8:$P$1000,9,FALSE),"")</f>
        <v/>
      </c>
      <c r="Y773" s="92">
        <f>IFERROR(VLOOKUP($A773,'13. Mapa Títulos-Receita'!$A$8:$P$1000,10,FALSE),"")</f>
        <v/>
      </c>
      <c r="Z773" s="92">
        <f>IFERROR(VLOOKUP($A773,'13. Mapa Títulos-Receita'!$A$8:$P$1000,11,FALSE),"")</f>
        <v/>
      </c>
      <c r="AA773" s="92">
        <f>IFERROR(VLOOKUP($A773,'13. Mapa Títulos-Receita'!$A$8:$P$1000,12,FALSE),"")</f>
        <v/>
      </c>
      <c r="AB773" s="92">
        <f>IFERROR(VLOOKUP($A773,'13. Mapa Títulos-Receita'!$A$8:$P$1000,13,FALSE),"")</f>
        <v/>
      </c>
      <c r="AC773" s="92">
        <f>IFERROR(VLOOKUP($A773,'13. Mapa Títulos-Receita'!$A$8:$P$1000,14,FALSE),"")</f>
        <v/>
      </c>
      <c r="AD773" s="92">
        <f>IFERROR(VLOOKUP($A773,'13. Mapa Títulos-Receita'!$A$8:$P$1000,15,FALSE),"")</f>
        <v/>
      </c>
      <c r="AE773" s="92">
        <f>IFERROR(VLOOKUP($A773,'13. Mapa Títulos-Receita'!$A$8:$P$1000,16,FALSE),"")</f>
        <v/>
      </c>
    </row>
    <row r="774">
      <c r="A774" s="28">
        <f>IF(C774="","", "CR-"&amp;TEXT(ROW()-7,"000"))</f>
        <v/>
      </c>
      <c r="B774" s="28" t="n"/>
      <c r="C774" s="28" t="n"/>
      <c r="D774" s="111" t="n"/>
      <c r="E774" s="111" t="n"/>
      <c r="F774" s="111" t="n"/>
      <c r="G774" s="28" t="n"/>
      <c r="H774" s="45" t="n"/>
      <c r="I774" s="45" t="n"/>
      <c r="J774" s="28">
        <f>IF(H774="","",IF(I774&gt;=H774,"Recebido",IF($B$4&gt;E774,"Vencido","Aberto")))</f>
        <v/>
      </c>
      <c r="K774" s="4">
        <f>IF(J774="","",IF(OR(J774="Recebido",F774=""),MAX(0,F774-E774),MAX(0,$B$4-E774)))</f>
        <v/>
      </c>
      <c r="L774" s="4">
        <f>IF(K774="","",IF(K774=0,"Em dia",IF(K774&lt;=30,"1-30 dias",IF(K774&lt;=60,"31-60 dias",IF(K774&lt;=90,"61-90 dias","&gt;90 dias")))))</f>
        <v/>
      </c>
      <c r="M774" s="28" t="n"/>
      <c r="N774" s="104" t="inlineStr"/>
      <c r="O774" s="64" t="n"/>
      <c r="P774" s="64">
        <f>IF(C774="","",IF(ISNUMBER(SEARCH("PCMSO",C774)),"PCMSO",IF(OR(ISNUMBER(SEARCH("E-SOCIAL",C774)),ISNUMBER(SEARCH("PSICOSOCIAL",C774))),"eSocial / Psicossocial",IF(O774="Receita recorrente","Carteira recorrente","Projetos / Laudos / Avulsos"))))</f>
        <v/>
      </c>
      <c r="Q774" s="64">
        <f>IF(P774="","",IF(P774="Carteira recorrente","Operação recorrente",IF(P774="PCMSO","Projetos PCMSO",IF(P774="eSocial / Psicossocial","Projetos eSocial/Psicossocial","Projetos / Laudos / Avulsos"))))</f>
        <v/>
      </c>
      <c r="R774" s="64">
        <f>IF(C774="","",IF(ISNUMBER(SEARCH("PCMSO",C774)),"Título com PCMSO no nome",IF(OR(ISNUMBER(SEARCH("E-SOCIAL",C774)),ISNUMBER(SEARCH("PSICOSOCIAL",C774))),"Título com eSocial/Psicossocial no nome",IF(O774="Receita recorrente","Tipo DRE recorrente","Extra sem palavra-chave específica"))))</f>
        <v/>
      </c>
      <c r="S774" s="92">
        <f>IFERROR(VLOOKUP($A774,'13. Mapa Títulos-Receita'!$A$8:$P$1000,4,FALSE),"")</f>
        <v/>
      </c>
      <c r="T774" s="92">
        <f>IFERROR(VLOOKUP($A774,'13. Mapa Títulos-Receita'!$A$8:$P$1000,5,FALSE),"")</f>
        <v/>
      </c>
      <c r="U774" s="92">
        <f>IFERROR(VLOOKUP($A774,'13. Mapa Títulos-Receita'!$A$8:$P$1000,6,FALSE),"")</f>
        <v/>
      </c>
      <c r="V774" s="92">
        <f>IFERROR(VLOOKUP($A774,'13. Mapa Títulos-Receita'!$A$8:$P$1000,7,FALSE),"")</f>
        <v/>
      </c>
      <c r="W774" s="92">
        <f>IFERROR(VLOOKUP($A774,'13. Mapa Títulos-Receita'!$A$8:$P$1000,8,FALSE),"")</f>
        <v/>
      </c>
      <c r="X774" s="92">
        <f>IFERROR(VLOOKUP($A774,'13. Mapa Títulos-Receita'!$A$8:$P$1000,9,FALSE),"")</f>
        <v/>
      </c>
      <c r="Y774" s="92">
        <f>IFERROR(VLOOKUP($A774,'13. Mapa Títulos-Receita'!$A$8:$P$1000,10,FALSE),"")</f>
        <v/>
      </c>
      <c r="Z774" s="92">
        <f>IFERROR(VLOOKUP($A774,'13. Mapa Títulos-Receita'!$A$8:$P$1000,11,FALSE),"")</f>
        <v/>
      </c>
      <c r="AA774" s="92">
        <f>IFERROR(VLOOKUP($A774,'13. Mapa Títulos-Receita'!$A$8:$P$1000,12,FALSE),"")</f>
        <v/>
      </c>
      <c r="AB774" s="92">
        <f>IFERROR(VLOOKUP($A774,'13. Mapa Títulos-Receita'!$A$8:$P$1000,13,FALSE),"")</f>
        <v/>
      </c>
      <c r="AC774" s="92">
        <f>IFERROR(VLOOKUP($A774,'13. Mapa Títulos-Receita'!$A$8:$P$1000,14,FALSE),"")</f>
        <v/>
      </c>
      <c r="AD774" s="92">
        <f>IFERROR(VLOOKUP($A774,'13. Mapa Títulos-Receita'!$A$8:$P$1000,15,FALSE),"")</f>
        <v/>
      </c>
      <c r="AE774" s="92">
        <f>IFERROR(VLOOKUP($A774,'13. Mapa Títulos-Receita'!$A$8:$P$1000,16,FALSE),"")</f>
        <v/>
      </c>
    </row>
    <row r="775">
      <c r="A775" s="28">
        <f>IF(C775="","", "CR-"&amp;TEXT(ROW()-7,"000"))</f>
        <v/>
      </c>
      <c r="B775" s="28" t="n"/>
      <c r="C775" s="28" t="n"/>
      <c r="D775" s="111" t="n"/>
      <c r="E775" s="111" t="n"/>
      <c r="F775" s="111" t="n"/>
      <c r="G775" s="28" t="n"/>
      <c r="H775" s="45" t="n"/>
      <c r="I775" s="45" t="n"/>
      <c r="J775" s="28">
        <f>IF(H775="","",IF(I775&gt;=H775,"Recebido",IF($B$4&gt;E775,"Vencido","Aberto")))</f>
        <v/>
      </c>
      <c r="K775" s="4">
        <f>IF(J775="","",IF(OR(J775="Recebido",F775=""),MAX(0,F775-E775),MAX(0,$B$4-E775)))</f>
        <v/>
      </c>
      <c r="L775" s="4">
        <f>IF(K775="","",IF(K775=0,"Em dia",IF(K775&lt;=30,"1-30 dias",IF(K775&lt;=60,"31-60 dias",IF(K775&lt;=90,"61-90 dias","&gt;90 dias")))))</f>
        <v/>
      </c>
      <c r="M775" s="28" t="n"/>
      <c r="N775" s="104" t="inlineStr"/>
      <c r="O775" s="64" t="n"/>
      <c r="P775" s="64">
        <f>IF(C775="","",IF(ISNUMBER(SEARCH("PCMSO",C775)),"PCMSO",IF(OR(ISNUMBER(SEARCH("E-SOCIAL",C775)),ISNUMBER(SEARCH("PSICOSOCIAL",C775))),"eSocial / Psicossocial",IF(O775="Receita recorrente","Carteira recorrente","Projetos / Laudos / Avulsos"))))</f>
        <v/>
      </c>
      <c r="Q775" s="64">
        <f>IF(P775="","",IF(P775="Carteira recorrente","Operação recorrente",IF(P775="PCMSO","Projetos PCMSO",IF(P775="eSocial / Psicossocial","Projetos eSocial/Psicossocial","Projetos / Laudos / Avulsos"))))</f>
        <v/>
      </c>
      <c r="R775" s="64">
        <f>IF(C775="","",IF(ISNUMBER(SEARCH("PCMSO",C775)),"Título com PCMSO no nome",IF(OR(ISNUMBER(SEARCH("E-SOCIAL",C775)),ISNUMBER(SEARCH("PSICOSOCIAL",C775))),"Título com eSocial/Psicossocial no nome",IF(O775="Receita recorrente","Tipo DRE recorrente","Extra sem palavra-chave específica"))))</f>
        <v/>
      </c>
      <c r="S775" s="92">
        <f>IFERROR(VLOOKUP($A775,'13. Mapa Títulos-Receita'!$A$8:$P$1000,4,FALSE),"")</f>
        <v/>
      </c>
      <c r="T775" s="92">
        <f>IFERROR(VLOOKUP($A775,'13. Mapa Títulos-Receita'!$A$8:$P$1000,5,FALSE),"")</f>
        <v/>
      </c>
      <c r="U775" s="92">
        <f>IFERROR(VLOOKUP($A775,'13. Mapa Títulos-Receita'!$A$8:$P$1000,6,FALSE),"")</f>
        <v/>
      </c>
      <c r="V775" s="92">
        <f>IFERROR(VLOOKUP($A775,'13. Mapa Títulos-Receita'!$A$8:$P$1000,7,FALSE),"")</f>
        <v/>
      </c>
      <c r="W775" s="92">
        <f>IFERROR(VLOOKUP($A775,'13. Mapa Títulos-Receita'!$A$8:$P$1000,8,FALSE),"")</f>
        <v/>
      </c>
      <c r="X775" s="92">
        <f>IFERROR(VLOOKUP($A775,'13. Mapa Títulos-Receita'!$A$8:$P$1000,9,FALSE),"")</f>
        <v/>
      </c>
      <c r="Y775" s="92">
        <f>IFERROR(VLOOKUP($A775,'13. Mapa Títulos-Receita'!$A$8:$P$1000,10,FALSE),"")</f>
        <v/>
      </c>
      <c r="Z775" s="92">
        <f>IFERROR(VLOOKUP($A775,'13. Mapa Títulos-Receita'!$A$8:$P$1000,11,FALSE),"")</f>
        <v/>
      </c>
      <c r="AA775" s="92">
        <f>IFERROR(VLOOKUP($A775,'13. Mapa Títulos-Receita'!$A$8:$P$1000,12,FALSE),"")</f>
        <v/>
      </c>
      <c r="AB775" s="92">
        <f>IFERROR(VLOOKUP($A775,'13. Mapa Títulos-Receita'!$A$8:$P$1000,13,FALSE),"")</f>
        <v/>
      </c>
      <c r="AC775" s="92">
        <f>IFERROR(VLOOKUP($A775,'13. Mapa Títulos-Receita'!$A$8:$P$1000,14,FALSE),"")</f>
        <v/>
      </c>
      <c r="AD775" s="92">
        <f>IFERROR(VLOOKUP($A775,'13. Mapa Títulos-Receita'!$A$8:$P$1000,15,FALSE),"")</f>
        <v/>
      </c>
      <c r="AE775" s="92">
        <f>IFERROR(VLOOKUP($A775,'13. Mapa Títulos-Receita'!$A$8:$P$1000,16,FALSE),"")</f>
        <v/>
      </c>
    </row>
    <row r="776">
      <c r="A776" s="28">
        <f>IF(C776="","", "CR-"&amp;TEXT(ROW()-7,"000"))</f>
        <v/>
      </c>
      <c r="B776" s="28" t="n"/>
      <c r="C776" s="28" t="n"/>
      <c r="D776" s="111" t="n"/>
      <c r="E776" s="111" t="n"/>
      <c r="F776" s="111" t="n"/>
      <c r="G776" s="28" t="n"/>
      <c r="H776" s="45" t="n"/>
      <c r="I776" s="45" t="n"/>
      <c r="J776" s="28">
        <f>IF(H776="","",IF(I776&gt;=H776,"Recebido",IF($B$4&gt;E776,"Vencido","Aberto")))</f>
        <v/>
      </c>
      <c r="K776" s="4">
        <f>IF(J776="","",IF(OR(J776="Recebido",F776=""),MAX(0,F776-E776),MAX(0,$B$4-E776)))</f>
        <v/>
      </c>
      <c r="L776" s="4">
        <f>IF(K776="","",IF(K776=0,"Em dia",IF(K776&lt;=30,"1-30 dias",IF(K776&lt;=60,"31-60 dias",IF(K776&lt;=90,"61-90 dias","&gt;90 dias")))))</f>
        <v/>
      </c>
      <c r="M776" s="28" t="n"/>
      <c r="N776" s="104" t="inlineStr"/>
      <c r="O776" s="64" t="n"/>
      <c r="P776" s="64">
        <f>IF(C776="","",IF(ISNUMBER(SEARCH("PCMSO",C776)),"PCMSO",IF(OR(ISNUMBER(SEARCH("E-SOCIAL",C776)),ISNUMBER(SEARCH("PSICOSOCIAL",C776))),"eSocial / Psicossocial",IF(O776="Receita recorrente","Carteira recorrente","Projetos / Laudos / Avulsos"))))</f>
        <v/>
      </c>
      <c r="Q776" s="64">
        <f>IF(P776="","",IF(P776="Carteira recorrente","Operação recorrente",IF(P776="PCMSO","Projetos PCMSO",IF(P776="eSocial / Psicossocial","Projetos eSocial/Psicossocial","Projetos / Laudos / Avulsos"))))</f>
        <v/>
      </c>
      <c r="R776" s="64">
        <f>IF(C776="","",IF(ISNUMBER(SEARCH("PCMSO",C776)),"Título com PCMSO no nome",IF(OR(ISNUMBER(SEARCH("E-SOCIAL",C776)),ISNUMBER(SEARCH("PSICOSOCIAL",C776))),"Título com eSocial/Psicossocial no nome",IF(O776="Receita recorrente","Tipo DRE recorrente","Extra sem palavra-chave específica"))))</f>
        <v/>
      </c>
      <c r="S776" s="92">
        <f>IFERROR(VLOOKUP($A776,'13. Mapa Títulos-Receita'!$A$8:$P$1000,4,FALSE),"")</f>
        <v/>
      </c>
      <c r="T776" s="92">
        <f>IFERROR(VLOOKUP($A776,'13. Mapa Títulos-Receita'!$A$8:$P$1000,5,FALSE),"")</f>
        <v/>
      </c>
      <c r="U776" s="92">
        <f>IFERROR(VLOOKUP($A776,'13. Mapa Títulos-Receita'!$A$8:$P$1000,6,FALSE),"")</f>
        <v/>
      </c>
      <c r="V776" s="92">
        <f>IFERROR(VLOOKUP($A776,'13. Mapa Títulos-Receita'!$A$8:$P$1000,7,FALSE),"")</f>
        <v/>
      </c>
      <c r="W776" s="92">
        <f>IFERROR(VLOOKUP($A776,'13. Mapa Títulos-Receita'!$A$8:$P$1000,8,FALSE),"")</f>
        <v/>
      </c>
      <c r="X776" s="92">
        <f>IFERROR(VLOOKUP($A776,'13. Mapa Títulos-Receita'!$A$8:$P$1000,9,FALSE),"")</f>
        <v/>
      </c>
      <c r="Y776" s="92">
        <f>IFERROR(VLOOKUP($A776,'13. Mapa Títulos-Receita'!$A$8:$P$1000,10,FALSE),"")</f>
        <v/>
      </c>
      <c r="Z776" s="92">
        <f>IFERROR(VLOOKUP($A776,'13. Mapa Títulos-Receita'!$A$8:$P$1000,11,FALSE),"")</f>
        <v/>
      </c>
      <c r="AA776" s="92">
        <f>IFERROR(VLOOKUP($A776,'13. Mapa Títulos-Receita'!$A$8:$P$1000,12,FALSE),"")</f>
        <v/>
      </c>
      <c r="AB776" s="92">
        <f>IFERROR(VLOOKUP($A776,'13. Mapa Títulos-Receita'!$A$8:$P$1000,13,FALSE),"")</f>
        <v/>
      </c>
      <c r="AC776" s="92">
        <f>IFERROR(VLOOKUP($A776,'13. Mapa Títulos-Receita'!$A$8:$P$1000,14,FALSE),"")</f>
        <v/>
      </c>
      <c r="AD776" s="92">
        <f>IFERROR(VLOOKUP($A776,'13. Mapa Títulos-Receita'!$A$8:$P$1000,15,FALSE),"")</f>
        <v/>
      </c>
      <c r="AE776" s="92">
        <f>IFERROR(VLOOKUP($A776,'13. Mapa Títulos-Receita'!$A$8:$P$1000,16,FALSE),"")</f>
        <v/>
      </c>
    </row>
    <row r="777">
      <c r="A777" s="28">
        <f>IF(C777="","", "CR-"&amp;TEXT(ROW()-7,"000"))</f>
        <v/>
      </c>
      <c r="B777" s="28" t="n"/>
      <c r="C777" s="28" t="n"/>
      <c r="D777" s="111" t="n"/>
      <c r="E777" s="111" t="n"/>
      <c r="F777" s="111" t="n"/>
      <c r="G777" s="28" t="n"/>
      <c r="H777" s="45" t="n"/>
      <c r="I777" s="45" t="n"/>
      <c r="J777" s="28">
        <f>IF(H777="","",IF(I777&gt;=H777,"Recebido",IF($B$4&gt;E777,"Vencido","Aberto")))</f>
        <v/>
      </c>
      <c r="K777" s="4">
        <f>IF(J777="","",IF(OR(J777="Recebido",F777=""),MAX(0,F777-E777),MAX(0,$B$4-E777)))</f>
        <v/>
      </c>
      <c r="L777" s="4">
        <f>IF(K777="","",IF(K777=0,"Em dia",IF(K777&lt;=30,"1-30 dias",IF(K777&lt;=60,"31-60 dias",IF(K777&lt;=90,"61-90 dias","&gt;90 dias")))))</f>
        <v/>
      </c>
      <c r="M777" s="28" t="n"/>
      <c r="N777" s="104" t="inlineStr"/>
      <c r="O777" s="64" t="n"/>
      <c r="P777" s="64">
        <f>IF(C777="","",IF(ISNUMBER(SEARCH("PCMSO",C777)),"PCMSO",IF(OR(ISNUMBER(SEARCH("E-SOCIAL",C777)),ISNUMBER(SEARCH("PSICOSOCIAL",C777))),"eSocial / Psicossocial",IF(O777="Receita recorrente","Carteira recorrente","Projetos / Laudos / Avulsos"))))</f>
        <v/>
      </c>
      <c r="Q777" s="64">
        <f>IF(P777="","",IF(P777="Carteira recorrente","Operação recorrente",IF(P777="PCMSO","Projetos PCMSO",IF(P777="eSocial / Psicossocial","Projetos eSocial/Psicossocial","Projetos / Laudos / Avulsos"))))</f>
        <v/>
      </c>
      <c r="R777" s="64">
        <f>IF(C777="","",IF(ISNUMBER(SEARCH("PCMSO",C777)),"Título com PCMSO no nome",IF(OR(ISNUMBER(SEARCH("E-SOCIAL",C777)),ISNUMBER(SEARCH("PSICOSOCIAL",C777))),"Título com eSocial/Psicossocial no nome",IF(O777="Receita recorrente","Tipo DRE recorrente","Extra sem palavra-chave específica"))))</f>
        <v/>
      </c>
      <c r="S777" s="92">
        <f>IFERROR(VLOOKUP($A777,'13. Mapa Títulos-Receita'!$A$8:$P$1000,4,FALSE),"")</f>
        <v/>
      </c>
      <c r="T777" s="92">
        <f>IFERROR(VLOOKUP($A777,'13. Mapa Títulos-Receita'!$A$8:$P$1000,5,FALSE),"")</f>
        <v/>
      </c>
      <c r="U777" s="92">
        <f>IFERROR(VLOOKUP($A777,'13. Mapa Títulos-Receita'!$A$8:$P$1000,6,FALSE),"")</f>
        <v/>
      </c>
      <c r="V777" s="92">
        <f>IFERROR(VLOOKUP($A777,'13. Mapa Títulos-Receita'!$A$8:$P$1000,7,FALSE),"")</f>
        <v/>
      </c>
      <c r="W777" s="92">
        <f>IFERROR(VLOOKUP($A777,'13. Mapa Títulos-Receita'!$A$8:$P$1000,8,FALSE),"")</f>
        <v/>
      </c>
      <c r="X777" s="92">
        <f>IFERROR(VLOOKUP($A777,'13. Mapa Títulos-Receita'!$A$8:$P$1000,9,FALSE),"")</f>
        <v/>
      </c>
      <c r="Y777" s="92">
        <f>IFERROR(VLOOKUP($A777,'13. Mapa Títulos-Receita'!$A$8:$P$1000,10,FALSE),"")</f>
        <v/>
      </c>
      <c r="Z777" s="92">
        <f>IFERROR(VLOOKUP($A777,'13. Mapa Títulos-Receita'!$A$8:$P$1000,11,FALSE),"")</f>
        <v/>
      </c>
      <c r="AA777" s="92">
        <f>IFERROR(VLOOKUP($A777,'13. Mapa Títulos-Receita'!$A$8:$P$1000,12,FALSE),"")</f>
        <v/>
      </c>
      <c r="AB777" s="92">
        <f>IFERROR(VLOOKUP($A777,'13. Mapa Títulos-Receita'!$A$8:$P$1000,13,FALSE),"")</f>
        <v/>
      </c>
      <c r="AC777" s="92">
        <f>IFERROR(VLOOKUP($A777,'13. Mapa Títulos-Receita'!$A$8:$P$1000,14,FALSE),"")</f>
        <v/>
      </c>
      <c r="AD777" s="92">
        <f>IFERROR(VLOOKUP($A777,'13. Mapa Títulos-Receita'!$A$8:$P$1000,15,FALSE),"")</f>
        <v/>
      </c>
      <c r="AE777" s="92">
        <f>IFERROR(VLOOKUP($A777,'13. Mapa Títulos-Receita'!$A$8:$P$1000,16,FALSE),"")</f>
        <v/>
      </c>
    </row>
    <row r="778">
      <c r="A778" s="28">
        <f>IF(C778="","", "CR-"&amp;TEXT(ROW()-7,"000"))</f>
        <v/>
      </c>
      <c r="B778" s="28" t="n"/>
      <c r="C778" s="28" t="n"/>
      <c r="D778" s="111" t="n"/>
      <c r="E778" s="111" t="n"/>
      <c r="F778" s="111" t="n"/>
      <c r="G778" s="28" t="n"/>
      <c r="H778" s="45" t="n"/>
      <c r="I778" s="45" t="n"/>
      <c r="J778" s="28">
        <f>IF(H778="","",IF(I778&gt;=H778,"Recebido",IF($B$4&gt;E778,"Vencido","Aberto")))</f>
        <v/>
      </c>
      <c r="K778" s="4">
        <f>IF(J778="","",IF(OR(J778="Recebido",F778=""),MAX(0,F778-E778),MAX(0,$B$4-E778)))</f>
        <v/>
      </c>
      <c r="L778" s="4">
        <f>IF(K778="","",IF(K778=0,"Em dia",IF(K778&lt;=30,"1-30 dias",IF(K778&lt;=60,"31-60 dias",IF(K778&lt;=90,"61-90 dias","&gt;90 dias")))))</f>
        <v/>
      </c>
      <c r="M778" s="28" t="n"/>
      <c r="N778" s="104" t="inlineStr"/>
      <c r="O778" s="64" t="n"/>
      <c r="P778" s="64">
        <f>IF(C778="","",IF(ISNUMBER(SEARCH("PCMSO",C778)),"PCMSO",IF(OR(ISNUMBER(SEARCH("E-SOCIAL",C778)),ISNUMBER(SEARCH("PSICOSOCIAL",C778))),"eSocial / Psicossocial",IF(O778="Receita recorrente","Carteira recorrente","Projetos / Laudos / Avulsos"))))</f>
        <v/>
      </c>
      <c r="Q778" s="64">
        <f>IF(P778="","",IF(P778="Carteira recorrente","Operação recorrente",IF(P778="PCMSO","Projetos PCMSO",IF(P778="eSocial / Psicossocial","Projetos eSocial/Psicossocial","Projetos / Laudos / Avulsos"))))</f>
        <v/>
      </c>
      <c r="R778" s="64">
        <f>IF(C778="","",IF(ISNUMBER(SEARCH("PCMSO",C778)),"Título com PCMSO no nome",IF(OR(ISNUMBER(SEARCH("E-SOCIAL",C778)),ISNUMBER(SEARCH("PSICOSOCIAL",C778))),"Título com eSocial/Psicossocial no nome",IF(O778="Receita recorrente","Tipo DRE recorrente","Extra sem palavra-chave específica"))))</f>
        <v/>
      </c>
      <c r="S778" s="92">
        <f>IFERROR(VLOOKUP($A778,'13. Mapa Títulos-Receita'!$A$8:$P$1000,4,FALSE),"")</f>
        <v/>
      </c>
      <c r="T778" s="92">
        <f>IFERROR(VLOOKUP($A778,'13. Mapa Títulos-Receita'!$A$8:$P$1000,5,FALSE),"")</f>
        <v/>
      </c>
      <c r="U778" s="92">
        <f>IFERROR(VLOOKUP($A778,'13. Mapa Títulos-Receita'!$A$8:$P$1000,6,FALSE),"")</f>
        <v/>
      </c>
      <c r="V778" s="92">
        <f>IFERROR(VLOOKUP($A778,'13. Mapa Títulos-Receita'!$A$8:$P$1000,7,FALSE),"")</f>
        <v/>
      </c>
      <c r="W778" s="92">
        <f>IFERROR(VLOOKUP($A778,'13. Mapa Títulos-Receita'!$A$8:$P$1000,8,FALSE),"")</f>
        <v/>
      </c>
      <c r="X778" s="92">
        <f>IFERROR(VLOOKUP($A778,'13. Mapa Títulos-Receita'!$A$8:$P$1000,9,FALSE),"")</f>
        <v/>
      </c>
      <c r="Y778" s="92">
        <f>IFERROR(VLOOKUP($A778,'13. Mapa Títulos-Receita'!$A$8:$P$1000,10,FALSE),"")</f>
        <v/>
      </c>
      <c r="Z778" s="92">
        <f>IFERROR(VLOOKUP($A778,'13. Mapa Títulos-Receita'!$A$8:$P$1000,11,FALSE),"")</f>
        <v/>
      </c>
      <c r="AA778" s="92">
        <f>IFERROR(VLOOKUP($A778,'13. Mapa Títulos-Receita'!$A$8:$P$1000,12,FALSE),"")</f>
        <v/>
      </c>
      <c r="AB778" s="92">
        <f>IFERROR(VLOOKUP($A778,'13. Mapa Títulos-Receita'!$A$8:$P$1000,13,FALSE),"")</f>
        <v/>
      </c>
      <c r="AC778" s="92">
        <f>IFERROR(VLOOKUP($A778,'13. Mapa Títulos-Receita'!$A$8:$P$1000,14,FALSE),"")</f>
        <v/>
      </c>
      <c r="AD778" s="92">
        <f>IFERROR(VLOOKUP($A778,'13. Mapa Títulos-Receita'!$A$8:$P$1000,15,FALSE),"")</f>
        <v/>
      </c>
      <c r="AE778" s="92">
        <f>IFERROR(VLOOKUP($A778,'13. Mapa Títulos-Receita'!$A$8:$P$1000,16,FALSE),"")</f>
        <v/>
      </c>
    </row>
    <row r="779">
      <c r="A779" s="28">
        <f>IF(C779="","", "CR-"&amp;TEXT(ROW()-7,"000"))</f>
        <v/>
      </c>
      <c r="B779" s="28" t="n"/>
      <c r="C779" s="28" t="n"/>
      <c r="D779" s="111" t="n"/>
      <c r="E779" s="111" t="n"/>
      <c r="F779" s="111" t="n"/>
      <c r="G779" s="28" t="n"/>
      <c r="H779" s="45" t="n"/>
      <c r="I779" s="45" t="n"/>
      <c r="J779" s="28">
        <f>IF(H779="","",IF(I779&gt;=H779,"Recebido",IF($B$4&gt;E779,"Vencido","Aberto")))</f>
        <v/>
      </c>
      <c r="K779" s="4">
        <f>IF(J779="","",IF(OR(J779="Recebido",F779=""),MAX(0,F779-E779),MAX(0,$B$4-E779)))</f>
        <v/>
      </c>
      <c r="L779" s="4">
        <f>IF(K779="","",IF(K779=0,"Em dia",IF(K779&lt;=30,"1-30 dias",IF(K779&lt;=60,"31-60 dias",IF(K779&lt;=90,"61-90 dias","&gt;90 dias")))))</f>
        <v/>
      </c>
      <c r="M779" s="28" t="n"/>
      <c r="N779" s="104" t="inlineStr"/>
      <c r="O779" s="64" t="n"/>
      <c r="P779" s="64">
        <f>IF(C779="","",IF(ISNUMBER(SEARCH("PCMSO",C779)),"PCMSO",IF(OR(ISNUMBER(SEARCH("E-SOCIAL",C779)),ISNUMBER(SEARCH("PSICOSOCIAL",C779))),"eSocial / Psicossocial",IF(O779="Receita recorrente","Carteira recorrente","Projetos / Laudos / Avulsos"))))</f>
        <v/>
      </c>
      <c r="Q779" s="64">
        <f>IF(P779="","",IF(P779="Carteira recorrente","Operação recorrente",IF(P779="PCMSO","Projetos PCMSO",IF(P779="eSocial / Psicossocial","Projetos eSocial/Psicossocial","Projetos / Laudos / Avulsos"))))</f>
        <v/>
      </c>
      <c r="R779" s="64">
        <f>IF(C779="","",IF(ISNUMBER(SEARCH("PCMSO",C779)),"Título com PCMSO no nome",IF(OR(ISNUMBER(SEARCH("E-SOCIAL",C779)),ISNUMBER(SEARCH("PSICOSOCIAL",C779))),"Título com eSocial/Psicossocial no nome",IF(O779="Receita recorrente","Tipo DRE recorrente","Extra sem palavra-chave específica"))))</f>
        <v/>
      </c>
      <c r="S779" s="92">
        <f>IFERROR(VLOOKUP($A779,'13. Mapa Títulos-Receita'!$A$8:$P$1000,4,FALSE),"")</f>
        <v/>
      </c>
      <c r="T779" s="92">
        <f>IFERROR(VLOOKUP($A779,'13. Mapa Títulos-Receita'!$A$8:$P$1000,5,FALSE),"")</f>
        <v/>
      </c>
      <c r="U779" s="92">
        <f>IFERROR(VLOOKUP($A779,'13. Mapa Títulos-Receita'!$A$8:$P$1000,6,FALSE),"")</f>
        <v/>
      </c>
      <c r="V779" s="92">
        <f>IFERROR(VLOOKUP($A779,'13. Mapa Títulos-Receita'!$A$8:$P$1000,7,FALSE),"")</f>
        <v/>
      </c>
      <c r="W779" s="92">
        <f>IFERROR(VLOOKUP($A779,'13. Mapa Títulos-Receita'!$A$8:$P$1000,8,FALSE),"")</f>
        <v/>
      </c>
      <c r="X779" s="92">
        <f>IFERROR(VLOOKUP($A779,'13. Mapa Títulos-Receita'!$A$8:$P$1000,9,FALSE),"")</f>
        <v/>
      </c>
      <c r="Y779" s="92">
        <f>IFERROR(VLOOKUP($A779,'13. Mapa Títulos-Receita'!$A$8:$P$1000,10,FALSE),"")</f>
        <v/>
      </c>
      <c r="Z779" s="92">
        <f>IFERROR(VLOOKUP($A779,'13. Mapa Títulos-Receita'!$A$8:$P$1000,11,FALSE),"")</f>
        <v/>
      </c>
      <c r="AA779" s="92">
        <f>IFERROR(VLOOKUP($A779,'13. Mapa Títulos-Receita'!$A$8:$P$1000,12,FALSE),"")</f>
        <v/>
      </c>
      <c r="AB779" s="92">
        <f>IFERROR(VLOOKUP($A779,'13. Mapa Títulos-Receita'!$A$8:$P$1000,13,FALSE),"")</f>
        <v/>
      </c>
      <c r="AC779" s="92">
        <f>IFERROR(VLOOKUP($A779,'13. Mapa Títulos-Receita'!$A$8:$P$1000,14,FALSE),"")</f>
        <v/>
      </c>
      <c r="AD779" s="92">
        <f>IFERROR(VLOOKUP($A779,'13. Mapa Títulos-Receita'!$A$8:$P$1000,15,FALSE),"")</f>
        <v/>
      </c>
      <c r="AE779" s="92">
        <f>IFERROR(VLOOKUP($A779,'13. Mapa Títulos-Receita'!$A$8:$P$1000,16,FALSE),"")</f>
        <v/>
      </c>
    </row>
    <row r="780">
      <c r="A780" s="28">
        <f>IF(C780="","", "CR-"&amp;TEXT(ROW()-7,"000"))</f>
        <v/>
      </c>
      <c r="B780" s="28" t="n"/>
      <c r="C780" s="28" t="n"/>
      <c r="D780" s="111" t="n"/>
      <c r="E780" s="111" t="n"/>
      <c r="F780" s="111" t="n"/>
      <c r="G780" s="28" t="n"/>
      <c r="H780" s="45" t="n"/>
      <c r="I780" s="45" t="n"/>
      <c r="J780" s="28">
        <f>IF(H780="","",IF(I780&gt;=H780,"Recebido",IF($B$4&gt;E780,"Vencido","Aberto")))</f>
        <v/>
      </c>
      <c r="K780" s="4">
        <f>IF(J780="","",IF(OR(J780="Recebido",F780=""),MAX(0,F780-E780),MAX(0,$B$4-E780)))</f>
        <v/>
      </c>
      <c r="L780" s="4">
        <f>IF(K780="","",IF(K780=0,"Em dia",IF(K780&lt;=30,"1-30 dias",IF(K780&lt;=60,"31-60 dias",IF(K780&lt;=90,"61-90 dias","&gt;90 dias")))))</f>
        <v/>
      </c>
      <c r="M780" s="28" t="n"/>
      <c r="N780" s="104" t="inlineStr"/>
      <c r="O780" s="64" t="n"/>
      <c r="P780" s="64">
        <f>IF(C780="","",IF(ISNUMBER(SEARCH("PCMSO",C780)),"PCMSO",IF(OR(ISNUMBER(SEARCH("E-SOCIAL",C780)),ISNUMBER(SEARCH("PSICOSOCIAL",C780))),"eSocial / Psicossocial",IF(O780="Receita recorrente","Carteira recorrente","Projetos / Laudos / Avulsos"))))</f>
        <v/>
      </c>
      <c r="Q780" s="64">
        <f>IF(P780="","",IF(P780="Carteira recorrente","Operação recorrente",IF(P780="PCMSO","Projetos PCMSO",IF(P780="eSocial / Psicossocial","Projetos eSocial/Psicossocial","Projetos / Laudos / Avulsos"))))</f>
        <v/>
      </c>
      <c r="R780" s="64">
        <f>IF(C780="","",IF(ISNUMBER(SEARCH("PCMSO",C780)),"Título com PCMSO no nome",IF(OR(ISNUMBER(SEARCH("E-SOCIAL",C780)),ISNUMBER(SEARCH("PSICOSOCIAL",C780))),"Título com eSocial/Psicossocial no nome",IF(O780="Receita recorrente","Tipo DRE recorrente","Extra sem palavra-chave específica"))))</f>
        <v/>
      </c>
      <c r="S780" s="92">
        <f>IFERROR(VLOOKUP($A780,'13. Mapa Títulos-Receita'!$A$8:$P$1000,4,FALSE),"")</f>
        <v/>
      </c>
      <c r="T780" s="92">
        <f>IFERROR(VLOOKUP($A780,'13. Mapa Títulos-Receita'!$A$8:$P$1000,5,FALSE),"")</f>
        <v/>
      </c>
      <c r="U780" s="92">
        <f>IFERROR(VLOOKUP($A780,'13. Mapa Títulos-Receita'!$A$8:$P$1000,6,FALSE),"")</f>
        <v/>
      </c>
      <c r="V780" s="92">
        <f>IFERROR(VLOOKUP($A780,'13. Mapa Títulos-Receita'!$A$8:$P$1000,7,FALSE),"")</f>
        <v/>
      </c>
      <c r="W780" s="92">
        <f>IFERROR(VLOOKUP($A780,'13. Mapa Títulos-Receita'!$A$8:$P$1000,8,FALSE),"")</f>
        <v/>
      </c>
      <c r="X780" s="92">
        <f>IFERROR(VLOOKUP($A780,'13. Mapa Títulos-Receita'!$A$8:$P$1000,9,FALSE),"")</f>
        <v/>
      </c>
      <c r="Y780" s="92">
        <f>IFERROR(VLOOKUP($A780,'13. Mapa Títulos-Receita'!$A$8:$P$1000,10,FALSE),"")</f>
        <v/>
      </c>
      <c r="Z780" s="92">
        <f>IFERROR(VLOOKUP($A780,'13. Mapa Títulos-Receita'!$A$8:$P$1000,11,FALSE),"")</f>
        <v/>
      </c>
      <c r="AA780" s="92">
        <f>IFERROR(VLOOKUP($A780,'13. Mapa Títulos-Receita'!$A$8:$P$1000,12,FALSE),"")</f>
        <v/>
      </c>
      <c r="AB780" s="92">
        <f>IFERROR(VLOOKUP($A780,'13. Mapa Títulos-Receita'!$A$8:$P$1000,13,FALSE),"")</f>
        <v/>
      </c>
      <c r="AC780" s="92">
        <f>IFERROR(VLOOKUP($A780,'13. Mapa Títulos-Receita'!$A$8:$P$1000,14,FALSE),"")</f>
        <v/>
      </c>
      <c r="AD780" s="92">
        <f>IFERROR(VLOOKUP($A780,'13. Mapa Títulos-Receita'!$A$8:$P$1000,15,FALSE),"")</f>
        <v/>
      </c>
      <c r="AE780" s="92">
        <f>IFERROR(VLOOKUP($A780,'13. Mapa Títulos-Receita'!$A$8:$P$1000,16,FALSE),"")</f>
        <v/>
      </c>
    </row>
    <row r="781">
      <c r="A781" s="28">
        <f>IF(C781="","", "CR-"&amp;TEXT(ROW()-7,"000"))</f>
        <v/>
      </c>
      <c r="B781" s="28" t="n"/>
      <c r="C781" s="28" t="n"/>
      <c r="D781" s="111" t="n"/>
      <c r="E781" s="111" t="n"/>
      <c r="F781" s="111" t="n"/>
      <c r="G781" s="28" t="n"/>
      <c r="H781" s="45" t="n"/>
      <c r="I781" s="45" t="n"/>
      <c r="J781" s="28">
        <f>IF(H781="","",IF(I781&gt;=H781,"Recebido",IF($B$4&gt;E781,"Vencido","Aberto")))</f>
        <v/>
      </c>
      <c r="K781" s="4">
        <f>IF(J781="","",IF(OR(J781="Recebido",F781=""),MAX(0,F781-E781),MAX(0,$B$4-E781)))</f>
        <v/>
      </c>
      <c r="L781" s="4">
        <f>IF(K781="","",IF(K781=0,"Em dia",IF(K781&lt;=30,"1-30 dias",IF(K781&lt;=60,"31-60 dias",IF(K781&lt;=90,"61-90 dias","&gt;90 dias")))))</f>
        <v/>
      </c>
      <c r="M781" s="28" t="n"/>
      <c r="N781" s="104" t="inlineStr"/>
      <c r="O781" s="64" t="n"/>
      <c r="P781" s="64">
        <f>IF(C781="","",IF(ISNUMBER(SEARCH("PCMSO",C781)),"PCMSO",IF(OR(ISNUMBER(SEARCH("E-SOCIAL",C781)),ISNUMBER(SEARCH("PSICOSOCIAL",C781))),"eSocial / Psicossocial",IF(O781="Receita recorrente","Carteira recorrente","Projetos / Laudos / Avulsos"))))</f>
        <v/>
      </c>
      <c r="Q781" s="64">
        <f>IF(P781="","",IF(P781="Carteira recorrente","Operação recorrente",IF(P781="PCMSO","Projetos PCMSO",IF(P781="eSocial / Psicossocial","Projetos eSocial/Psicossocial","Projetos / Laudos / Avulsos"))))</f>
        <v/>
      </c>
      <c r="R781" s="64">
        <f>IF(C781="","",IF(ISNUMBER(SEARCH("PCMSO",C781)),"Título com PCMSO no nome",IF(OR(ISNUMBER(SEARCH("E-SOCIAL",C781)),ISNUMBER(SEARCH("PSICOSOCIAL",C781))),"Título com eSocial/Psicossocial no nome",IF(O781="Receita recorrente","Tipo DRE recorrente","Extra sem palavra-chave específica"))))</f>
        <v/>
      </c>
      <c r="S781" s="92">
        <f>IFERROR(VLOOKUP($A781,'13. Mapa Títulos-Receita'!$A$8:$P$1000,4,FALSE),"")</f>
        <v/>
      </c>
      <c r="T781" s="92">
        <f>IFERROR(VLOOKUP($A781,'13. Mapa Títulos-Receita'!$A$8:$P$1000,5,FALSE),"")</f>
        <v/>
      </c>
      <c r="U781" s="92">
        <f>IFERROR(VLOOKUP($A781,'13. Mapa Títulos-Receita'!$A$8:$P$1000,6,FALSE),"")</f>
        <v/>
      </c>
      <c r="V781" s="92">
        <f>IFERROR(VLOOKUP($A781,'13. Mapa Títulos-Receita'!$A$8:$P$1000,7,FALSE),"")</f>
        <v/>
      </c>
      <c r="W781" s="92">
        <f>IFERROR(VLOOKUP($A781,'13. Mapa Títulos-Receita'!$A$8:$P$1000,8,FALSE),"")</f>
        <v/>
      </c>
      <c r="X781" s="92">
        <f>IFERROR(VLOOKUP($A781,'13. Mapa Títulos-Receita'!$A$8:$P$1000,9,FALSE),"")</f>
        <v/>
      </c>
      <c r="Y781" s="92">
        <f>IFERROR(VLOOKUP($A781,'13. Mapa Títulos-Receita'!$A$8:$P$1000,10,FALSE),"")</f>
        <v/>
      </c>
      <c r="Z781" s="92">
        <f>IFERROR(VLOOKUP($A781,'13. Mapa Títulos-Receita'!$A$8:$P$1000,11,FALSE),"")</f>
        <v/>
      </c>
      <c r="AA781" s="92">
        <f>IFERROR(VLOOKUP($A781,'13. Mapa Títulos-Receita'!$A$8:$P$1000,12,FALSE),"")</f>
        <v/>
      </c>
      <c r="AB781" s="92">
        <f>IFERROR(VLOOKUP($A781,'13. Mapa Títulos-Receita'!$A$8:$P$1000,13,FALSE),"")</f>
        <v/>
      </c>
      <c r="AC781" s="92">
        <f>IFERROR(VLOOKUP($A781,'13. Mapa Títulos-Receita'!$A$8:$P$1000,14,FALSE),"")</f>
        <v/>
      </c>
      <c r="AD781" s="92">
        <f>IFERROR(VLOOKUP($A781,'13. Mapa Títulos-Receita'!$A$8:$P$1000,15,FALSE),"")</f>
        <v/>
      </c>
      <c r="AE781" s="92">
        <f>IFERROR(VLOOKUP($A781,'13. Mapa Títulos-Receita'!$A$8:$P$1000,16,FALSE),"")</f>
        <v/>
      </c>
    </row>
    <row r="782">
      <c r="A782" s="28">
        <f>IF(C782="","", "CR-"&amp;TEXT(ROW()-7,"000"))</f>
        <v/>
      </c>
      <c r="B782" s="28" t="n"/>
      <c r="C782" s="28" t="n"/>
      <c r="D782" s="111" t="n"/>
      <c r="E782" s="111" t="n"/>
      <c r="F782" s="111" t="n"/>
      <c r="G782" s="28" t="n"/>
      <c r="H782" s="45" t="n"/>
      <c r="I782" s="45" t="n"/>
      <c r="J782" s="28">
        <f>IF(H782="","",IF(I782&gt;=H782,"Recebido",IF($B$4&gt;E782,"Vencido","Aberto")))</f>
        <v/>
      </c>
      <c r="K782" s="4">
        <f>IF(J782="","",IF(OR(J782="Recebido",F782=""),MAX(0,F782-E782),MAX(0,$B$4-E782)))</f>
        <v/>
      </c>
      <c r="L782" s="4">
        <f>IF(K782="","",IF(K782=0,"Em dia",IF(K782&lt;=30,"1-30 dias",IF(K782&lt;=60,"31-60 dias",IF(K782&lt;=90,"61-90 dias","&gt;90 dias")))))</f>
        <v/>
      </c>
      <c r="M782" s="28" t="n"/>
      <c r="N782" s="104" t="inlineStr"/>
      <c r="O782" s="64" t="n"/>
      <c r="P782" s="64">
        <f>IF(C782="","",IF(ISNUMBER(SEARCH("PCMSO",C782)),"PCMSO",IF(OR(ISNUMBER(SEARCH("E-SOCIAL",C782)),ISNUMBER(SEARCH("PSICOSOCIAL",C782))),"eSocial / Psicossocial",IF(O782="Receita recorrente","Carteira recorrente","Projetos / Laudos / Avulsos"))))</f>
        <v/>
      </c>
      <c r="Q782" s="64">
        <f>IF(P782="","",IF(P782="Carteira recorrente","Operação recorrente",IF(P782="PCMSO","Projetos PCMSO",IF(P782="eSocial / Psicossocial","Projetos eSocial/Psicossocial","Projetos / Laudos / Avulsos"))))</f>
        <v/>
      </c>
      <c r="R782" s="64">
        <f>IF(C782="","",IF(ISNUMBER(SEARCH("PCMSO",C782)),"Título com PCMSO no nome",IF(OR(ISNUMBER(SEARCH("E-SOCIAL",C782)),ISNUMBER(SEARCH("PSICOSOCIAL",C782))),"Título com eSocial/Psicossocial no nome",IF(O782="Receita recorrente","Tipo DRE recorrente","Extra sem palavra-chave específica"))))</f>
        <v/>
      </c>
      <c r="S782" s="92">
        <f>IFERROR(VLOOKUP($A782,'13. Mapa Títulos-Receita'!$A$8:$P$1000,4,FALSE),"")</f>
        <v/>
      </c>
      <c r="T782" s="92">
        <f>IFERROR(VLOOKUP($A782,'13. Mapa Títulos-Receita'!$A$8:$P$1000,5,FALSE),"")</f>
        <v/>
      </c>
      <c r="U782" s="92">
        <f>IFERROR(VLOOKUP($A782,'13. Mapa Títulos-Receita'!$A$8:$P$1000,6,FALSE),"")</f>
        <v/>
      </c>
      <c r="V782" s="92">
        <f>IFERROR(VLOOKUP($A782,'13. Mapa Títulos-Receita'!$A$8:$P$1000,7,FALSE),"")</f>
        <v/>
      </c>
      <c r="W782" s="92">
        <f>IFERROR(VLOOKUP($A782,'13. Mapa Títulos-Receita'!$A$8:$P$1000,8,FALSE),"")</f>
        <v/>
      </c>
      <c r="X782" s="92">
        <f>IFERROR(VLOOKUP($A782,'13. Mapa Títulos-Receita'!$A$8:$P$1000,9,FALSE),"")</f>
        <v/>
      </c>
      <c r="Y782" s="92">
        <f>IFERROR(VLOOKUP($A782,'13. Mapa Títulos-Receita'!$A$8:$P$1000,10,FALSE),"")</f>
        <v/>
      </c>
      <c r="Z782" s="92">
        <f>IFERROR(VLOOKUP($A782,'13. Mapa Títulos-Receita'!$A$8:$P$1000,11,FALSE),"")</f>
        <v/>
      </c>
      <c r="AA782" s="92">
        <f>IFERROR(VLOOKUP($A782,'13. Mapa Títulos-Receita'!$A$8:$P$1000,12,FALSE),"")</f>
        <v/>
      </c>
      <c r="AB782" s="92">
        <f>IFERROR(VLOOKUP($A782,'13. Mapa Títulos-Receita'!$A$8:$P$1000,13,FALSE),"")</f>
        <v/>
      </c>
      <c r="AC782" s="92">
        <f>IFERROR(VLOOKUP($A782,'13. Mapa Títulos-Receita'!$A$8:$P$1000,14,FALSE),"")</f>
        <v/>
      </c>
      <c r="AD782" s="92">
        <f>IFERROR(VLOOKUP($A782,'13. Mapa Títulos-Receita'!$A$8:$P$1000,15,FALSE),"")</f>
        <v/>
      </c>
      <c r="AE782" s="92">
        <f>IFERROR(VLOOKUP($A782,'13. Mapa Títulos-Receita'!$A$8:$P$1000,16,FALSE),"")</f>
        <v/>
      </c>
    </row>
    <row r="783">
      <c r="A783" s="28">
        <f>IF(C783="","", "CR-"&amp;TEXT(ROW()-7,"000"))</f>
        <v/>
      </c>
      <c r="B783" s="28" t="n"/>
      <c r="C783" s="28" t="n"/>
      <c r="D783" s="111" t="n"/>
      <c r="E783" s="111" t="n"/>
      <c r="F783" s="111" t="n"/>
      <c r="G783" s="28" t="n"/>
      <c r="H783" s="45" t="n"/>
      <c r="I783" s="45" t="n"/>
      <c r="J783" s="28">
        <f>IF(H783="","",IF(I783&gt;=H783,"Recebido",IF($B$4&gt;E783,"Vencido","Aberto")))</f>
        <v/>
      </c>
      <c r="K783" s="4">
        <f>IF(J783="","",IF(OR(J783="Recebido",F783=""),MAX(0,F783-E783),MAX(0,$B$4-E783)))</f>
        <v/>
      </c>
      <c r="L783" s="4">
        <f>IF(K783="","",IF(K783=0,"Em dia",IF(K783&lt;=30,"1-30 dias",IF(K783&lt;=60,"31-60 dias",IF(K783&lt;=90,"61-90 dias","&gt;90 dias")))))</f>
        <v/>
      </c>
      <c r="M783" s="28" t="n"/>
      <c r="N783" s="104" t="inlineStr"/>
      <c r="O783" s="64" t="n"/>
      <c r="P783" s="64">
        <f>IF(C783="","",IF(ISNUMBER(SEARCH("PCMSO",C783)),"PCMSO",IF(OR(ISNUMBER(SEARCH("E-SOCIAL",C783)),ISNUMBER(SEARCH("PSICOSOCIAL",C783))),"eSocial / Psicossocial",IF(O783="Receita recorrente","Carteira recorrente","Projetos / Laudos / Avulsos"))))</f>
        <v/>
      </c>
      <c r="Q783" s="64">
        <f>IF(P783="","",IF(P783="Carteira recorrente","Operação recorrente",IF(P783="PCMSO","Projetos PCMSO",IF(P783="eSocial / Psicossocial","Projetos eSocial/Psicossocial","Projetos / Laudos / Avulsos"))))</f>
        <v/>
      </c>
      <c r="R783" s="64">
        <f>IF(C783="","",IF(ISNUMBER(SEARCH("PCMSO",C783)),"Título com PCMSO no nome",IF(OR(ISNUMBER(SEARCH("E-SOCIAL",C783)),ISNUMBER(SEARCH("PSICOSOCIAL",C783))),"Título com eSocial/Psicossocial no nome",IF(O783="Receita recorrente","Tipo DRE recorrente","Extra sem palavra-chave específica"))))</f>
        <v/>
      </c>
      <c r="S783" s="92">
        <f>IFERROR(VLOOKUP($A783,'13. Mapa Títulos-Receita'!$A$8:$P$1000,4,FALSE),"")</f>
        <v/>
      </c>
      <c r="T783" s="92">
        <f>IFERROR(VLOOKUP($A783,'13. Mapa Títulos-Receita'!$A$8:$P$1000,5,FALSE),"")</f>
        <v/>
      </c>
      <c r="U783" s="92">
        <f>IFERROR(VLOOKUP($A783,'13. Mapa Títulos-Receita'!$A$8:$P$1000,6,FALSE),"")</f>
        <v/>
      </c>
      <c r="V783" s="92">
        <f>IFERROR(VLOOKUP($A783,'13. Mapa Títulos-Receita'!$A$8:$P$1000,7,FALSE),"")</f>
        <v/>
      </c>
      <c r="W783" s="92">
        <f>IFERROR(VLOOKUP($A783,'13. Mapa Títulos-Receita'!$A$8:$P$1000,8,FALSE),"")</f>
        <v/>
      </c>
      <c r="X783" s="92">
        <f>IFERROR(VLOOKUP($A783,'13. Mapa Títulos-Receita'!$A$8:$P$1000,9,FALSE),"")</f>
        <v/>
      </c>
      <c r="Y783" s="92">
        <f>IFERROR(VLOOKUP($A783,'13. Mapa Títulos-Receita'!$A$8:$P$1000,10,FALSE),"")</f>
        <v/>
      </c>
      <c r="Z783" s="92">
        <f>IFERROR(VLOOKUP($A783,'13. Mapa Títulos-Receita'!$A$8:$P$1000,11,FALSE),"")</f>
        <v/>
      </c>
      <c r="AA783" s="92">
        <f>IFERROR(VLOOKUP($A783,'13. Mapa Títulos-Receita'!$A$8:$P$1000,12,FALSE),"")</f>
        <v/>
      </c>
      <c r="AB783" s="92">
        <f>IFERROR(VLOOKUP($A783,'13. Mapa Títulos-Receita'!$A$8:$P$1000,13,FALSE),"")</f>
        <v/>
      </c>
      <c r="AC783" s="92">
        <f>IFERROR(VLOOKUP($A783,'13. Mapa Títulos-Receita'!$A$8:$P$1000,14,FALSE),"")</f>
        <v/>
      </c>
      <c r="AD783" s="92">
        <f>IFERROR(VLOOKUP($A783,'13. Mapa Títulos-Receita'!$A$8:$P$1000,15,FALSE),"")</f>
        <v/>
      </c>
      <c r="AE783" s="92">
        <f>IFERROR(VLOOKUP($A783,'13. Mapa Títulos-Receita'!$A$8:$P$1000,16,FALSE),"")</f>
        <v/>
      </c>
    </row>
    <row r="784">
      <c r="A784" s="28">
        <f>IF(C784="","", "CR-"&amp;TEXT(ROW()-7,"000"))</f>
        <v/>
      </c>
      <c r="B784" s="28" t="n"/>
      <c r="C784" s="28" t="n"/>
      <c r="D784" s="111" t="n"/>
      <c r="E784" s="111" t="n"/>
      <c r="F784" s="111" t="n"/>
      <c r="G784" s="28" t="n"/>
      <c r="H784" s="45" t="n"/>
      <c r="I784" s="45" t="n"/>
      <c r="J784" s="28">
        <f>IF(H784="","",IF(I784&gt;=H784,"Recebido",IF($B$4&gt;E784,"Vencido","Aberto")))</f>
        <v/>
      </c>
      <c r="K784" s="4">
        <f>IF(J784="","",IF(OR(J784="Recebido",F784=""),MAX(0,F784-E784),MAX(0,$B$4-E784)))</f>
        <v/>
      </c>
      <c r="L784" s="4">
        <f>IF(K784="","",IF(K784=0,"Em dia",IF(K784&lt;=30,"1-30 dias",IF(K784&lt;=60,"31-60 dias",IF(K784&lt;=90,"61-90 dias","&gt;90 dias")))))</f>
        <v/>
      </c>
      <c r="M784" s="28" t="n"/>
      <c r="N784" s="104" t="inlineStr"/>
      <c r="O784" s="64" t="n"/>
      <c r="P784" s="64">
        <f>IF(C784="","",IF(ISNUMBER(SEARCH("PCMSO",C784)),"PCMSO",IF(OR(ISNUMBER(SEARCH("E-SOCIAL",C784)),ISNUMBER(SEARCH("PSICOSOCIAL",C784))),"eSocial / Psicossocial",IF(O784="Receita recorrente","Carteira recorrente","Projetos / Laudos / Avulsos"))))</f>
        <v/>
      </c>
      <c r="Q784" s="64">
        <f>IF(P784="","",IF(P784="Carteira recorrente","Operação recorrente",IF(P784="PCMSO","Projetos PCMSO",IF(P784="eSocial / Psicossocial","Projetos eSocial/Psicossocial","Projetos / Laudos / Avulsos"))))</f>
        <v/>
      </c>
      <c r="R784" s="64">
        <f>IF(C784="","",IF(ISNUMBER(SEARCH("PCMSO",C784)),"Título com PCMSO no nome",IF(OR(ISNUMBER(SEARCH("E-SOCIAL",C784)),ISNUMBER(SEARCH("PSICOSOCIAL",C784))),"Título com eSocial/Psicossocial no nome",IF(O784="Receita recorrente","Tipo DRE recorrente","Extra sem palavra-chave específica"))))</f>
        <v/>
      </c>
      <c r="S784" s="92">
        <f>IFERROR(VLOOKUP($A784,'13. Mapa Títulos-Receita'!$A$8:$P$1000,4,FALSE),"")</f>
        <v/>
      </c>
      <c r="T784" s="92">
        <f>IFERROR(VLOOKUP($A784,'13. Mapa Títulos-Receita'!$A$8:$P$1000,5,FALSE),"")</f>
        <v/>
      </c>
      <c r="U784" s="92">
        <f>IFERROR(VLOOKUP($A784,'13. Mapa Títulos-Receita'!$A$8:$P$1000,6,FALSE),"")</f>
        <v/>
      </c>
      <c r="V784" s="92">
        <f>IFERROR(VLOOKUP($A784,'13. Mapa Títulos-Receita'!$A$8:$P$1000,7,FALSE),"")</f>
        <v/>
      </c>
      <c r="W784" s="92">
        <f>IFERROR(VLOOKUP($A784,'13. Mapa Títulos-Receita'!$A$8:$P$1000,8,FALSE),"")</f>
        <v/>
      </c>
      <c r="X784" s="92">
        <f>IFERROR(VLOOKUP($A784,'13. Mapa Títulos-Receita'!$A$8:$P$1000,9,FALSE),"")</f>
        <v/>
      </c>
      <c r="Y784" s="92">
        <f>IFERROR(VLOOKUP($A784,'13. Mapa Títulos-Receita'!$A$8:$P$1000,10,FALSE),"")</f>
        <v/>
      </c>
      <c r="Z784" s="92">
        <f>IFERROR(VLOOKUP($A784,'13. Mapa Títulos-Receita'!$A$8:$P$1000,11,FALSE),"")</f>
        <v/>
      </c>
      <c r="AA784" s="92">
        <f>IFERROR(VLOOKUP($A784,'13. Mapa Títulos-Receita'!$A$8:$P$1000,12,FALSE),"")</f>
        <v/>
      </c>
      <c r="AB784" s="92">
        <f>IFERROR(VLOOKUP($A784,'13. Mapa Títulos-Receita'!$A$8:$P$1000,13,FALSE),"")</f>
        <v/>
      </c>
      <c r="AC784" s="92">
        <f>IFERROR(VLOOKUP($A784,'13. Mapa Títulos-Receita'!$A$8:$P$1000,14,FALSE),"")</f>
        <v/>
      </c>
      <c r="AD784" s="92">
        <f>IFERROR(VLOOKUP($A784,'13. Mapa Títulos-Receita'!$A$8:$P$1000,15,FALSE),"")</f>
        <v/>
      </c>
      <c r="AE784" s="92">
        <f>IFERROR(VLOOKUP($A784,'13. Mapa Títulos-Receita'!$A$8:$P$1000,16,FALSE),"")</f>
        <v/>
      </c>
    </row>
    <row r="785">
      <c r="A785" s="28">
        <f>IF(C785="","", "CR-"&amp;TEXT(ROW()-7,"000"))</f>
        <v/>
      </c>
      <c r="B785" s="28" t="n"/>
      <c r="C785" s="28" t="n"/>
      <c r="D785" s="111" t="n"/>
      <c r="E785" s="111" t="n"/>
      <c r="F785" s="111" t="n"/>
      <c r="G785" s="28" t="n"/>
      <c r="H785" s="45" t="n"/>
      <c r="I785" s="45" t="n"/>
      <c r="J785" s="28">
        <f>IF(H785="","",IF(I785&gt;=H785,"Recebido",IF($B$4&gt;E785,"Vencido","Aberto")))</f>
        <v/>
      </c>
      <c r="K785" s="4">
        <f>IF(J785="","",IF(OR(J785="Recebido",F785=""),MAX(0,F785-E785),MAX(0,$B$4-E785)))</f>
        <v/>
      </c>
      <c r="L785" s="4">
        <f>IF(K785="","",IF(K785=0,"Em dia",IF(K785&lt;=30,"1-30 dias",IF(K785&lt;=60,"31-60 dias",IF(K785&lt;=90,"61-90 dias","&gt;90 dias")))))</f>
        <v/>
      </c>
      <c r="M785" s="28" t="n"/>
      <c r="N785" s="104" t="inlineStr"/>
      <c r="O785" s="64" t="n"/>
      <c r="P785" s="64">
        <f>IF(C785="","",IF(ISNUMBER(SEARCH("PCMSO",C785)),"PCMSO",IF(OR(ISNUMBER(SEARCH("E-SOCIAL",C785)),ISNUMBER(SEARCH("PSICOSOCIAL",C785))),"eSocial / Psicossocial",IF(O785="Receita recorrente","Carteira recorrente","Projetos / Laudos / Avulsos"))))</f>
        <v/>
      </c>
      <c r="Q785" s="64">
        <f>IF(P785="","",IF(P785="Carteira recorrente","Operação recorrente",IF(P785="PCMSO","Projetos PCMSO",IF(P785="eSocial / Psicossocial","Projetos eSocial/Psicossocial","Projetos / Laudos / Avulsos"))))</f>
        <v/>
      </c>
      <c r="R785" s="64">
        <f>IF(C785="","",IF(ISNUMBER(SEARCH("PCMSO",C785)),"Título com PCMSO no nome",IF(OR(ISNUMBER(SEARCH("E-SOCIAL",C785)),ISNUMBER(SEARCH("PSICOSOCIAL",C785))),"Título com eSocial/Psicossocial no nome",IF(O785="Receita recorrente","Tipo DRE recorrente","Extra sem palavra-chave específica"))))</f>
        <v/>
      </c>
      <c r="S785" s="92">
        <f>IFERROR(VLOOKUP($A785,'13. Mapa Títulos-Receita'!$A$8:$P$1000,4,FALSE),"")</f>
        <v/>
      </c>
      <c r="T785" s="92">
        <f>IFERROR(VLOOKUP($A785,'13. Mapa Títulos-Receita'!$A$8:$P$1000,5,FALSE),"")</f>
        <v/>
      </c>
      <c r="U785" s="92">
        <f>IFERROR(VLOOKUP($A785,'13. Mapa Títulos-Receita'!$A$8:$P$1000,6,FALSE),"")</f>
        <v/>
      </c>
      <c r="V785" s="92">
        <f>IFERROR(VLOOKUP($A785,'13. Mapa Títulos-Receita'!$A$8:$P$1000,7,FALSE),"")</f>
        <v/>
      </c>
      <c r="W785" s="92">
        <f>IFERROR(VLOOKUP($A785,'13. Mapa Títulos-Receita'!$A$8:$P$1000,8,FALSE),"")</f>
        <v/>
      </c>
      <c r="X785" s="92">
        <f>IFERROR(VLOOKUP($A785,'13. Mapa Títulos-Receita'!$A$8:$P$1000,9,FALSE),"")</f>
        <v/>
      </c>
      <c r="Y785" s="92">
        <f>IFERROR(VLOOKUP($A785,'13. Mapa Títulos-Receita'!$A$8:$P$1000,10,FALSE),"")</f>
        <v/>
      </c>
      <c r="Z785" s="92">
        <f>IFERROR(VLOOKUP($A785,'13. Mapa Títulos-Receita'!$A$8:$P$1000,11,FALSE),"")</f>
        <v/>
      </c>
      <c r="AA785" s="92">
        <f>IFERROR(VLOOKUP($A785,'13. Mapa Títulos-Receita'!$A$8:$P$1000,12,FALSE),"")</f>
        <v/>
      </c>
      <c r="AB785" s="92">
        <f>IFERROR(VLOOKUP($A785,'13. Mapa Títulos-Receita'!$A$8:$P$1000,13,FALSE),"")</f>
        <v/>
      </c>
      <c r="AC785" s="92">
        <f>IFERROR(VLOOKUP($A785,'13. Mapa Títulos-Receita'!$A$8:$P$1000,14,FALSE),"")</f>
        <v/>
      </c>
      <c r="AD785" s="92">
        <f>IFERROR(VLOOKUP($A785,'13. Mapa Títulos-Receita'!$A$8:$P$1000,15,FALSE),"")</f>
        <v/>
      </c>
      <c r="AE785" s="92">
        <f>IFERROR(VLOOKUP($A785,'13. Mapa Títulos-Receita'!$A$8:$P$1000,16,FALSE),"")</f>
        <v/>
      </c>
    </row>
    <row r="786">
      <c r="A786" s="28">
        <f>IF(C786="","", "CR-"&amp;TEXT(ROW()-7,"000"))</f>
        <v/>
      </c>
      <c r="B786" s="28" t="n"/>
      <c r="C786" s="28" t="n"/>
      <c r="D786" s="111" t="n"/>
      <c r="E786" s="111" t="n"/>
      <c r="F786" s="111" t="n"/>
      <c r="G786" s="28" t="n"/>
      <c r="H786" s="45" t="n"/>
      <c r="I786" s="45" t="n"/>
      <c r="J786" s="28">
        <f>IF(H786="","",IF(I786&gt;=H786,"Recebido",IF($B$4&gt;E786,"Vencido","Aberto")))</f>
        <v/>
      </c>
      <c r="K786" s="4">
        <f>IF(J786="","",IF(OR(J786="Recebido",F786=""),MAX(0,F786-E786),MAX(0,$B$4-E786)))</f>
        <v/>
      </c>
      <c r="L786" s="4">
        <f>IF(K786="","",IF(K786=0,"Em dia",IF(K786&lt;=30,"1-30 dias",IF(K786&lt;=60,"31-60 dias",IF(K786&lt;=90,"61-90 dias","&gt;90 dias")))))</f>
        <v/>
      </c>
      <c r="M786" s="28" t="n"/>
      <c r="N786" s="104" t="inlineStr"/>
      <c r="O786" s="64" t="n"/>
      <c r="P786" s="64">
        <f>IF(C786="","",IF(ISNUMBER(SEARCH("PCMSO",C786)),"PCMSO",IF(OR(ISNUMBER(SEARCH("E-SOCIAL",C786)),ISNUMBER(SEARCH("PSICOSOCIAL",C786))),"eSocial / Psicossocial",IF(O786="Receita recorrente","Carteira recorrente","Projetos / Laudos / Avulsos"))))</f>
        <v/>
      </c>
      <c r="Q786" s="64">
        <f>IF(P786="","",IF(P786="Carteira recorrente","Operação recorrente",IF(P786="PCMSO","Projetos PCMSO",IF(P786="eSocial / Psicossocial","Projetos eSocial/Psicossocial","Projetos / Laudos / Avulsos"))))</f>
        <v/>
      </c>
      <c r="R786" s="64">
        <f>IF(C786="","",IF(ISNUMBER(SEARCH("PCMSO",C786)),"Título com PCMSO no nome",IF(OR(ISNUMBER(SEARCH("E-SOCIAL",C786)),ISNUMBER(SEARCH("PSICOSOCIAL",C786))),"Título com eSocial/Psicossocial no nome",IF(O786="Receita recorrente","Tipo DRE recorrente","Extra sem palavra-chave específica"))))</f>
        <v/>
      </c>
      <c r="S786" s="92">
        <f>IFERROR(VLOOKUP($A786,'13. Mapa Títulos-Receita'!$A$8:$P$1000,4,FALSE),"")</f>
        <v/>
      </c>
      <c r="T786" s="92">
        <f>IFERROR(VLOOKUP($A786,'13. Mapa Títulos-Receita'!$A$8:$P$1000,5,FALSE),"")</f>
        <v/>
      </c>
      <c r="U786" s="92">
        <f>IFERROR(VLOOKUP($A786,'13. Mapa Títulos-Receita'!$A$8:$P$1000,6,FALSE),"")</f>
        <v/>
      </c>
      <c r="V786" s="92">
        <f>IFERROR(VLOOKUP($A786,'13. Mapa Títulos-Receita'!$A$8:$P$1000,7,FALSE),"")</f>
        <v/>
      </c>
      <c r="W786" s="92">
        <f>IFERROR(VLOOKUP($A786,'13. Mapa Títulos-Receita'!$A$8:$P$1000,8,FALSE),"")</f>
        <v/>
      </c>
      <c r="X786" s="92">
        <f>IFERROR(VLOOKUP($A786,'13. Mapa Títulos-Receita'!$A$8:$P$1000,9,FALSE),"")</f>
        <v/>
      </c>
      <c r="Y786" s="92">
        <f>IFERROR(VLOOKUP($A786,'13. Mapa Títulos-Receita'!$A$8:$P$1000,10,FALSE),"")</f>
        <v/>
      </c>
      <c r="Z786" s="92">
        <f>IFERROR(VLOOKUP($A786,'13. Mapa Títulos-Receita'!$A$8:$P$1000,11,FALSE),"")</f>
        <v/>
      </c>
      <c r="AA786" s="92">
        <f>IFERROR(VLOOKUP($A786,'13. Mapa Títulos-Receita'!$A$8:$P$1000,12,FALSE),"")</f>
        <v/>
      </c>
      <c r="AB786" s="92">
        <f>IFERROR(VLOOKUP($A786,'13. Mapa Títulos-Receita'!$A$8:$P$1000,13,FALSE),"")</f>
        <v/>
      </c>
      <c r="AC786" s="92">
        <f>IFERROR(VLOOKUP($A786,'13. Mapa Títulos-Receita'!$A$8:$P$1000,14,FALSE),"")</f>
        <v/>
      </c>
      <c r="AD786" s="92">
        <f>IFERROR(VLOOKUP($A786,'13. Mapa Títulos-Receita'!$A$8:$P$1000,15,FALSE),"")</f>
        <v/>
      </c>
      <c r="AE786" s="92">
        <f>IFERROR(VLOOKUP($A786,'13. Mapa Títulos-Receita'!$A$8:$P$1000,16,FALSE),"")</f>
        <v/>
      </c>
    </row>
    <row r="787">
      <c r="A787" s="28">
        <f>IF(C787="","", "CR-"&amp;TEXT(ROW()-7,"000"))</f>
        <v/>
      </c>
      <c r="B787" s="28" t="n"/>
      <c r="C787" s="28" t="n"/>
      <c r="D787" s="111" t="n"/>
      <c r="E787" s="111" t="n"/>
      <c r="F787" s="111" t="n"/>
      <c r="G787" s="28" t="n"/>
      <c r="H787" s="45" t="n"/>
      <c r="I787" s="45" t="n"/>
      <c r="J787" s="28">
        <f>IF(H787="","",IF(I787&gt;=H787,"Recebido",IF($B$4&gt;E787,"Vencido","Aberto")))</f>
        <v/>
      </c>
      <c r="K787" s="4">
        <f>IF(J787="","",IF(OR(J787="Recebido",F787=""),MAX(0,F787-E787),MAX(0,$B$4-E787)))</f>
        <v/>
      </c>
      <c r="L787" s="4">
        <f>IF(K787="","",IF(K787=0,"Em dia",IF(K787&lt;=30,"1-30 dias",IF(K787&lt;=60,"31-60 dias",IF(K787&lt;=90,"61-90 dias","&gt;90 dias")))))</f>
        <v/>
      </c>
      <c r="M787" s="28" t="n"/>
      <c r="N787" s="104" t="inlineStr"/>
      <c r="O787" s="64" t="n"/>
      <c r="P787" s="64">
        <f>IF(C787="","",IF(ISNUMBER(SEARCH("PCMSO",C787)),"PCMSO",IF(OR(ISNUMBER(SEARCH("E-SOCIAL",C787)),ISNUMBER(SEARCH("PSICOSOCIAL",C787))),"eSocial / Psicossocial",IF(O787="Receita recorrente","Carteira recorrente","Projetos / Laudos / Avulsos"))))</f>
        <v/>
      </c>
      <c r="Q787" s="64">
        <f>IF(P787="","",IF(P787="Carteira recorrente","Operação recorrente",IF(P787="PCMSO","Projetos PCMSO",IF(P787="eSocial / Psicossocial","Projetos eSocial/Psicossocial","Projetos / Laudos / Avulsos"))))</f>
        <v/>
      </c>
      <c r="R787" s="64">
        <f>IF(C787="","",IF(ISNUMBER(SEARCH("PCMSO",C787)),"Título com PCMSO no nome",IF(OR(ISNUMBER(SEARCH("E-SOCIAL",C787)),ISNUMBER(SEARCH("PSICOSOCIAL",C787))),"Título com eSocial/Psicossocial no nome",IF(O787="Receita recorrente","Tipo DRE recorrente","Extra sem palavra-chave específica"))))</f>
        <v/>
      </c>
      <c r="S787" s="92">
        <f>IFERROR(VLOOKUP($A787,'13. Mapa Títulos-Receita'!$A$8:$P$1000,4,FALSE),"")</f>
        <v/>
      </c>
      <c r="T787" s="92">
        <f>IFERROR(VLOOKUP($A787,'13. Mapa Títulos-Receita'!$A$8:$P$1000,5,FALSE),"")</f>
        <v/>
      </c>
      <c r="U787" s="92">
        <f>IFERROR(VLOOKUP($A787,'13. Mapa Títulos-Receita'!$A$8:$P$1000,6,FALSE),"")</f>
        <v/>
      </c>
      <c r="V787" s="92">
        <f>IFERROR(VLOOKUP($A787,'13. Mapa Títulos-Receita'!$A$8:$P$1000,7,FALSE),"")</f>
        <v/>
      </c>
      <c r="W787" s="92">
        <f>IFERROR(VLOOKUP($A787,'13. Mapa Títulos-Receita'!$A$8:$P$1000,8,FALSE),"")</f>
        <v/>
      </c>
      <c r="X787" s="92">
        <f>IFERROR(VLOOKUP($A787,'13. Mapa Títulos-Receita'!$A$8:$P$1000,9,FALSE),"")</f>
        <v/>
      </c>
      <c r="Y787" s="92">
        <f>IFERROR(VLOOKUP($A787,'13. Mapa Títulos-Receita'!$A$8:$P$1000,10,FALSE),"")</f>
        <v/>
      </c>
      <c r="Z787" s="92">
        <f>IFERROR(VLOOKUP($A787,'13. Mapa Títulos-Receita'!$A$8:$P$1000,11,FALSE),"")</f>
        <v/>
      </c>
      <c r="AA787" s="92">
        <f>IFERROR(VLOOKUP($A787,'13. Mapa Títulos-Receita'!$A$8:$P$1000,12,FALSE),"")</f>
        <v/>
      </c>
      <c r="AB787" s="92">
        <f>IFERROR(VLOOKUP($A787,'13. Mapa Títulos-Receita'!$A$8:$P$1000,13,FALSE),"")</f>
        <v/>
      </c>
      <c r="AC787" s="92">
        <f>IFERROR(VLOOKUP($A787,'13. Mapa Títulos-Receita'!$A$8:$P$1000,14,FALSE),"")</f>
        <v/>
      </c>
      <c r="AD787" s="92">
        <f>IFERROR(VLOOKUP($A787,'13. Mapa Títulos-Receita'!$A$8:$P$1000,15,FALSE),"")</f>
        <v/>
      </c>
      <c r="AE787" s="92">
        <f>IFERROR(VLOOKUP($A787,'13. Mapa Títulos-Receita'!$A$8:$P$1000,16,FALSE),"")</f>
        <v/>
      </c>
    </row>
    <row r="788">
      <c r="A788" s="28">
        <f>IF(C788="","", "CR-"&amp;TEXT(ROW()-7,"000"))</f>
        <v/>
      </c>
      <c r="B788" s="28" t="n"/>
      <c r="C788" s="28" t="n"/>
      <c r="D788" s="111" t="n"/>
      <c r="E788" s="111" t="n"/>
      <c r="F788" s="111" t="n"/>
      <c r="G788" s="28" t="n"/>
      <c r="H788" s="45" t="n"/>
      <c r="I788" s="45" t="n"/>
      <c r="J788" s="28">
        <f>IF(H788="","",IF(I788&gt;=H788,"Recebido",IF($B$4&gt;E788,"Vencido","Aberto")))</f>
        <v/>
      </c>
      <c r="K788" s="4">
        <f>IF(J788="","",IF(OR(J788="Recebido",F788=""),MAX(0,F788-E788),MAX(0,$B$4-E788)))</f>
        <v/>
      </c>
      <c r="L788" s="4">
        <f>IF(K788="","",IF(K788=0,"Em dia",IF(K788&lt;=30,"1-30 dias",IF(K788&lt;=60,"31-60 dias",IF(K788&lt;=90,"61-90 dias","&gt;90 dias")))))</f>
        <v/>
      </c>
      <c r="M788" s="28" t="n"/>
      <c r="N788" s="104" t="inlineStr"/>
      <c r="O788" s="64" t="n"/>
      <c r="P788" s="64">
        <f>IF(C788="","",IF(ISNUMBER(SEARCH("PCMSO",C788)),"PCMSO",IF(OR(ISNUMBER(SEARCH("E-SOCIAL",C788)),ISNUMBER(SEARCH("PSICOSOCIAL",C788))),"eSocial / Psicossocial",IF(O788="Receita recorrente","Carteira recorrente","Projetos / Laudos / Avulsos"))))</f>
        <v/>
      </c>
      <c r="Q788" s="64">
        <f>IF(P788="","",IF(P788="Carteira recorrente","Operação recorrente",IF(P788="PCMSO","Projetos PCMSO",IF(P788="eSocial / Psicossocial","Projetos eSocial/Psicossocial","Projetos / Laudos / Avulsos"))))</f>
        <v/>
      </c>
      <c r="R788" s="64">
        <f>IF(C788="","",IF(ISNUMBER(SEARCH("PCMSO",C788)),"Título com PCMSO no nome",IF(OR(ISNUMBER(SEARCH("E-SOCIAL",C788)),ISNUMBER(SEARCH("PSICOSOCIAL",C788))),"Título com eSocial/Psicossocial no nome",IF(O788="Receita recorrente","Tipo DRE recorrente","Extra sem palavra-chave específica"))))</f>
        <v/>
      </c>
      <c r="S788" s="92">
        <f>IFERROR(VLOOKUP($A788,'13. Mapa Títulos-Receita'!$A$8:$P$1000,4,FALSE),"")</f>
        <v/>
      </c>
      <c r="T788" s="92">
        <f>IFERROR(VLOOKUP($A788,'13. Mapa Títulos-Receita'!$A$8:$P$1000,5,FALSE),"")</f>
        <v/>
      </c>
      <c r="U788" s="92">
        <f>IFERROR(VLOOKUP($A788,'13. Mapa Títulos-Receita'!$A$8:$P$1000,6,FALSE),"")</f>
        <v/>
      </c>
      <c r="V788" s="92">
        <f>IFERROR(VLOOKUP($A788,'13. Mapa Títulos-Receita'!$A$8:$P$1000,7,FALSE),"")</f>
        <v/>
      </c>
      <c r="W788" s="92">
        <f>IFERROR(VLOOKUP($A788,'13. Mapa Títulos-Receita'!$A$8:$P$1000,8,FALSE),"")</f>
        <v/>
      </c>
      <c r="X788" s="92">
        <f>IFERROR(VLOOKUP($A788,'13. Mapa Títulos-Receita'!$A$8:$P$1000,9,FALSE),"")</f>
        <v/>
      </c>
      <c r="Y788" s="92">
        <f>IFERROR(VLOOKUP($A788,'13. Mapa Títulos-Receita'!$A$8:$P$1000,10,FALSE),"")</f>
        <v/>
      </c>
      <c r="Z788" s="92">
        <f>IFERROR(VLOOKUP($A788,'13. Mapa Títulos-Receita'!$A$8:$P$1000,11,FALSE),"")</f>
        <v/>
      </c>
      <c r="AA788" s="92">
        <f>IFERROR(VLOOKUP($A788,'13. Mapa Títulos-Receita'!$A$8:$P$1000,12,FALSE),"")</f>
        <v/>
      </c>
      <c r="AB788" s="92">
        <f>IFERROR(VLOOKUP($A788,'13. Mapa Títulos-Receita'!$A$8:$P$1000,13,FALSE),"")</f>
        <v/>
      </c>
      <c r="AC788" s="92">
        <f>IFERROR(VLOOKUP($A788,'13. Mapa Títulos-Receita'!$A$8:$P$1000,14,FALSE),"")</f>
        <v/>
      </c>
      <c r="AD788" s="92">
        <f>IFERROR(VLOOKUP($A788,'13. Mapa Títulos-Receita'!$A$8:$P$1000,15,FALSE),"")</f>
        <v/>
      </c>
      <c r="AE788" s="92">
        <f>IFERROR(VLOOKUP($A788,'13. Mapa Títulos-Receita'!$A$8:$P$1000,16,FALSE),"")</f>
        <v/>
      </c>
    </row>
    <row r="789">
      <c r="A789" s="28">
        <f>IF(C789="","", "CR-"&amp;TEXT(ROW()-7,"000"))</f>
        <v/>
      </c>
      <c r="B789" s="28" t="n"/>
      <c r="C789" s="28" t="n"/>
      <c r="D789" s="111" t="n"/>
      <c r="E789" s="111" t="n"/>
      <c r="F789" s="111" t="n"/>
      <c r="G789" s="28" t="n"/>
      <c r="H789" s="45" t="n"/>
      <c r="I789" s="45" t="n"/>
      <c r="J789" s="28">
        <f>IF(H789="","",IF(I789&gt;=H789,"Recebido",IF($B$4&gt;E789,"Vencido","Aberto")))</f>
        <v/>
      </c>
      <c r="K789" s="4">
        <f>IF(J789="","",IF(OR(J789="Recebido",F789=""),MAX(0,F789-E789),MAX(0,$B$4-E789)))</f>
        <v/>
      </c>
      <c r="L789" s="4">
        <f>IF(K789="","",IF(K789=0,"Em dia",IF(K789&lt;=30,"1-30 dias",IF(K789&lt;=60,"31-60 dias",IF(K789&lt;=90,"61-90 dias","&gt;90 dias")))))</f>
        <v/>
      </c>
      <c r="M789" s="28" t="n"/>
      <c r="N789" s="104" t="inlineStr"/>
      <c r="O789" s="64" t="n"/>
      <c r="P789" s="64">
        <f>IF(C789="","",IF(ISNUMBER(SEARCH("PCMSO",C789)),"PCMSO",IF(OR(ISNUMBER(SEARCH("E-SOCIAL",C789)),ISNUMBER(SEARCH("PSICOSOCIAL",C789))),"eSocial / Psicossocial",IF(O789="Receita recorrente","Carteira recorrente","Projetos / Laudos / Avulsos"))))</f>
        <v/>
      </c>
      <c r="Q789" s="64">
        <f>IF(P789="","",IF(P789="Carteira recorrente","Operação recorrente",IF(P789="PCMSO","Projetos PCMSO",IF(P789="eSocial / Psicossocial","Projetos eSocial/Psicossocial","Projetos / Laudos / Avulsos"))))</f>
        <v/>
      </c>
      <c r="R789" s="64">
        <f>IF(C789="","",IF(ISNUMBER(SEARCH("PCMSO",C789)),"Título com PCMSO no nome",IF(OR(ISNUMBER(SEARCH("E-SOCIAL",C789)),ISNUMBER(SEARCH("PSICOSOCIAL",C789))),"Título com eSocial/Psicossocial no nome",IF(O789="Receita recorrente","Tipo DRE recorrente","Extra sem palavra-chave específica"))))</f>
        <v/>
      </c>
      <c r="S789" s="92">
        <f>IFERROR(VLOOKUP($A789,'13. Mapa Títulos-Receita'!$A$8:$P$1000,4,FALSE),"")</f>
        <v/>
      </c>
      <c r="T789" s="92">
        <f>IFERROR(VLOOKUP($A789,'13. Mapa Títulos-Receita'!$A$8:$P$1000,5,FALSE),"")</f>
        <v/>
      </c>
      <c r="U789" s="92">
        <f>IFERROR(VLOOKUP($A789,'13. Mapa Títulos-Receita'!$A$8:$P$1000,6,FALSE),"")</f>
        <v/>
      </c>
      <c r="V789" s="92">
        <f>IFERROR(VLOOKUP($A789,'13. Mapa Títulos-Receita'!$A$8:$P$1000,7,FALSE),"")</f>
        <v/>
      </c>
      <c r="W789" s="92">
        <f>IFERROR(VLOOKUP($A789,'13. Mapa Títulos-Receita'!$A$8:$P$1000,8,FALSE),"")</f>
        <v/>
      </c>
      <c r="X789" s="92">
        <f>IFERROR(VLOOKUP($A789,'13. Mapa Títulos-Receita'!$A$8:$P$1000,9,FALSE),"")</f>
        <v/>
      </c>
      <c r="Y789" s="92">
        <f>IFERROR(VLOOKUP($A789,'13. Mapa Títulos-Receita'!$A$8:$P$1000,10,FALSE),"")</f>
        <v/>
      </c>
      <c r="Z789" s="92">
        <f>IFERROR(VLOOKUP($A789,'13. Mapa Títulos-Receita'!$A$8:$P$1000,11,FALSE),"")</f>
        <v/>
      </c>
      <c r="AA789" s="92">
        <f>IFERROR(VLOOKUP($A789,'13. Mapa Títulos-Receita'!$A$8:$P$1000,12,FALSE),"")</f>
        <v/>
      </c>
      <c r="AB789" s="92">
        <f>IFERROR(VLOOKUP($A789,'13. Mapa Títulos-Receita'!$A$8:$P$1000,13,FALSE),"")</f>
        <v/>
      </c>
      <c r="AC789" s="92">
        <f>IFERROR(VLOOKUP($A789,'13. Mapa Títulos-Receita'!$A$8:$P$1000,14,FALSE),"")</f>
        <v/>
      </c>
      <c r="AD789" s="92">
        <f>IFERROR(VLOOKUP($A789,'13. Mapa Títulos-Receita'!$A$8:$P$1000,15,FALSE),"")</f>
        <v/>
      </c>
      <c r="AE789" s="92">
        <f>IFERROR(VLOOKUP($A789,'13. Mapa Títulos-Receita'!$A$8:$P$1000,16,FALSE),"")</f>
        <v/>
      </c>
    </row>
    <row r="790">
      <c r="A790" s="28">
        <f>IF(C790="","", "CR-"&amp;TEXT(ROW()-7,"000"))</f>
        <v/>
      </c>
      <c r="B790" s="28" t="n"/>
      <c r="C790" s="28" t="n"/>
      <c r="D790" s="111" t="n"/>
      <c r="E790" s="111" t="n"/>
      <c r="F790" s="111" t="n"/>
      <c r="G790" s="28" t="n"/>
      <c r="H790" s="45" t="n"/>
      <c r="I790" s="45" t="n"/>
      <c r="J790" s="28">
        <f>IF(H790="","",IF(I790&gt;=H790,"Recebido",IF($B$4&gt;E790,"Vencido","Aberto")))</f>
        <v/>
      </c>
      <c r="K790" s="4">
        <f>IF(J790="","",IF(OR(J790="Recebido",F790=""),MAX(0,F790-E790),MAX(0,$B$4-E790)))</f>
        <v/>
      </c>
      <c r="L790" s="4">
        <f>IF(K790="","",IF(K790=0,"Em dia",IF(K790&lt;=30,"1-30 dias",IF(K790&lt;=60,"31-60 dias",IF(K790&lt;=90,"61-90 dias","&gt;90 dias")))))</f>
        <v/>
      </c>
      <c r="M790" s="28" t="n"/>
      <c r="N790" s="104" t="inlineStr"/>
      <c r="O790" s="64" t="n"/>
      <c r="P790" s="64">
        <f>IF(C790="","",IF(ISNUMBER(SEARCH("PCMSO",C790)),"PCMSO",IF(OR(ISNUMBER(SEARCH("E-SOCIAL",C790)),ISNUMBER(SEARCH("PSICOSOCIAL",C790))),"eSocial / Psicossocial",IF(O790="Receita recorrente","Carteira recorrente","Projetos / Laudos / Avulsos"))))</f>
        <v/>
      </c>
      <c r="Q790" s="64">
        <f>IF(P790="","",IF(P790="Carteira recorrente","Operação recorrente",IF(P790="PCMSO","Projetos PCMSO",IF(P790="eSocial / Psicossocial","Projetos eSocial/Psicossocial","Projetos / Laudos / Avulsos"))))</f>
        <v/>
      </c>
      <c r="R790" s="64">
        <f>IF(C790="","",IF(ISNUMBER(SEARCH("PCMSO",C790)),"Título com PCMSO no nome",IF(OR(ISNUMBER(SEARCH("E-SOCIAL",C790)),ISNUMBER(SEARCH("PSICOSOCIAL",C790))),"Título com eSocial/Psicossocial no nome",IF(O790="Receita recorrente","Tipo DRE recorrente","Extra sem palavra-chave específica"))))</f>
        <v/>
      </c>
      <c r="S790" s="92">
        <f>IFERROR(VLOOKUP($A790,'13. Mapa Títulos-Receita'!$A$8:$P$1000,4,FALSE),"")</f>
        <v/>
      </c>
      <c r="T790" s="92">
        <f>IFERROR(VLOOKUP($A790,'13. Mapa Títulos-Receita'!$A$8:$P$1000,5,FALSE),"")</f>
        <v/>
      </c>
      <c r="U790" s="92">
        <f>IFERROR(VLOOKUP($A790,'13. Mapa Títulos-Receita'!$A$8:$P$1000,6,FALSE),"")</f>
        <v/>
      </c>
      <c r="V790" s="92">
        <f>IFERROR(VLOOKUP($A790,'13. Mapa Títulos-Receita'!$A$8:$P$1000,7,FALSE),"")</f>
        <v/>
      </c>
      <c r="W790" s="92">
        <f>IFERROR(VLOOKUP($A790,'13. Mapa Títulos-Receita'!$A$8:$P$1000,8,FALSE),"")</f>
        <v/>
      </c>
      <c r="X790" s="92">
        <f>IFERROR(VLOOKUP($A790,'13. Mapa Títulos-Receita'!$A$8:$P$1000,9,FALSE),"")</f>
        <v/>
      </c>
      <c r="Y790" s="92">
        <f>IFERROR(VLOOKUP($A790,'13. Mapa Títulos-Receita'!$A$8:$P$1000,10,FALSE),"")</f>
        <v/>
      </c>
      <c r="Z790" s="92">
        <f>IFERROR(VLOOKUP($A790,'13. Mapa Títulos-Receita'!$A$8:$P$1000,11,FALSE),"")</f>
        <v/>
      </c>
      <c r="AA790" s="92">
        <f>IFERROR(VLOOKUP($A790,'13. Mapa Títulos-Receita'!$A$8:$P$1000,12,FALSE),"")</f>
        <v/>
      </c>
      <c r="AB790" s="92">
        <f>IFERROR(VLOOKUP($A790,'13. Mapa Títulos-Receita'!$A$8:$P$1000,13,FALSE),"")</f>
        <v/>
      </c>
      <c r="AC790" s="92">
        <f>IFERROR(VLOOKUP($A790,'13. Mapa Títulos-Receita'!$A$8:$P$1000,14,FALSE),"")</f>
        <v/>
      </c>
      <c r="AD790" s="92">
        <f>IFERROR(VLOOKUP($A790,'13. Mapa Títulos-Receita'!$A$8:$P$1000,15,FALSE),"")</f>
        <v/>
      </c>
      <c r="AE790" s="92">
        <f>IFERROR(VLOOKUP($A790,'13. Mapa Títulos-Receita'!$A$8:$P$1000,16,FALSE),"")</f>
        <v/>
      </c>
    </row>
    <row r="791">
      <c r="A791" s="28">
        <f>IF(C791="","", "CR-"&amp;TEXT(ROW()-7,"000"))</f>
        <v/>
      </c>
      <c r="B791" s="28" t="n"/>
      <c r="C791" s="28" t="n"/>
      <c r="D791" s="111" t="n"/>
      <c r="E791" s="111" t="n"/>
      <c r="F791" s="111" t="n"/>
      <c r="G791" s="28" t="n"/>
      <c r="H791" s="45" t="n"/>
      <c r="I791" s="45" t="n"/>
      <c r="J791" s="28">
        <f>IF(H791="","",IF(I791&gt;=H791,"Recebido",IF($B$4&gt;E791,"Vencido","Aberto")))</f>
        <v/>
      </c>
      <c r="K791" s="4">
        <f>IF(J791="","",IF(OR(J791="Recebido",F791=""),MAX(0,F791-E791),MAX(0,$B$4-E791)))</f>
        <v/>
      </c>
      <c r="L791" s="4">
        <f>IF(K791="","",IF(K791=0,"Em dia",IF(K791&lt;=30,"1-30 dias",IF(K791&lt;=60,"31-60 dias",IF(K791&lt;=90,"61-90 dias","&gt;90 dias")))))</f>
        <v/>
      </c>
      <c r="M791" s="28" t="n"/>
      <c r="N791" s="104" t="inlineStr"/>
      <c r="O791" s="64" t="n"/>
      <c r="P791" s="64">
        <f>IF(C791="","",IF(ISNUMBER(SEARCH("PCMSO",C791)),"PCMSO",IF(OR(ISNUMBER(SEARCH("E-SOCIAL",C791)),ISNUMBER(SEARCH("PSICOSOCIAL",C791))),"eSocial / Psicossocial",IF(O791="Receita recorrente","Carteira recorrente","Projetos / Laudos / Avulsos"))))</f>
        <v/>
      </c>
      <c r="Q791" s="64">
        <f>IF(P791="","",IF(P791="Carteira recorrente","Operação recorrente",IF(P791="PCMSO","Projetos PCMSO",IF(P791="eSocial / Psicossocial","Projetos eSocial/Psicossocial","Projetos / Laudos / Avulsos"))))</f>
        <v/>
      </c>
      <c r="R791" s="64">
        <f>IF(C791="","",IF(ISNUMBER(SEARCH("PCMSO",C791)),"Título com PCMSO no nome",IF(OR(ISNUMBER(SEARCH("E-SOCIAL",C791)),ISNUMBER(SEARCH("PSICOSOCIAL",C791))),"Título com eSocial/Psicossocial no nome",IF(O791="Receita recorrente","Tipo DRE recorrente","Extra sem palavra-chave específica"))))</f>
        <v/>
      </c>
      <c r="S791" s="92">
        <f>IFERROR(VLOOKUP($A791,'13. Mapa Títulos-Receita'!$A$8:$P$1000,4,FALSE),"")</f>
        <v/>
      </c>
      <c r="T791" s="92">
        <f>IFERROR(VLOOKUP($A791,'13. Mapa Títulos-Receita'!$A$8:$P$1000,5,FALSE),"")</f>
        <v/>
      </c>
      <c r="U791" s="92">
        <f>IFERROR(VLOOKUP($A791,'13. Mapa Títulos-Receita'!$A$8:$P$1000,6,FALSE),"")</f>
        <v/>
      </c>
      <c r="V791" s="92">
        <f>IFERROR(VLOOKUP($A791,'13. Mapa Títulos-Receita'!$A$8:$P$1000,7,FALSE),"")</f>
        <v/>
      </c>
      <c r="W791" s="92">
        <f>IFERROR(VLOOKUP($A791,'13. Mapa Títulos-Receita'!$A$8:$P$1000,8,FALSE),"")</f>
        <v/>
      </c>
      <c r="X791" s="92">
        <f>IFERROR(VLOOKUP($A791,'13. Mapa Títulos-Receita'!$A$8:$P$1000,9,FALSE),"")</f>
        <v/>
      </c>
      <c r="Y791" s="92">
        <f>IFERROR(VLOOKUP($A791,'13. Mapa Títulos-Receita'!$A$8:$P$1000,10,FALSE),"")</f>
        <v/>
      </c>
      <c r="Z791" s="92">
        <f>IFERROR(VLOOKUP($A791,'13. Mapa Títulos-Receita'!$A$8:$P$1000,11,FALSE),"")</f>
        <v/>
      </c>
      <c r="AA791" s="92">
        <f>IFERROR(VLOOKUP($A791,'13. Mapa Títulos-Receita'!$A$8:$P$1000,12,FALSE),"")</f>
        <v/>
      </c>
      <c r="AB791" s="92">
        <f>IFERROR(VLOOKUP($A791,'13. Mapa Títulos-Receita'!$A$8:$P$1000,13,FALSE),"")</f>
        <v/>
      </c>
      <c r="AC791" s="92">
        <f>IFERROR(VLOOKUP($A791,'13. Mapa Títulos-Receita'!$A$8:$P$1000,14,FALSE),"")</f>
        <v/>
      </c>
      <c r="AD791" s="92">
        <f>IFERROR(VLOOKUP($A791,'13. Mapa Títulos-Receita'!$A$8:$P$1000,15,FALSE),"")</f>
        <v/>
      </c>
      <c r="AE791" s="92">
        <f>IFERROR(VLOOKUP($A791,'13. Mapa Títulos-Receita'!$A$8:$P$1000,16,FALSE),"")</f>
        <v/>
      </c>
    </row>
    <row r="792">
      <c r="A792" s="28">
        <f>IF(C792="","", "CR-"&amp;TEXT(ROW()-7,"000"))</f>
        <v/>
      </c>
      <c r="B792" s="28" t="n"/>
      <c r="C792" s="28" t="n"/>
      <c r="D792" s="111" t="n"/>
      <c r="E792" s="111" t="n"/>
      <c r="F792" s="111" t="n"/>
      <c r="G792" s="28" t="n"/>
      <c r="H792" s="45" t="n"/>
      <c r="I792" s="45" t="n"/>
      <c r="J792" s="28">
        <f>IF(H792="","",IF(I792&gt;=H792,"Recebido",IF($B$4&gt;E792,"Vencido","Aberto")))</f>
        <v/>
      </c>
      <c r="K792" s="4">
        <f>IF(J792="","",IF(OR(J792="Recebido",F792=""),MAX(0,F792-E792),MAX(0,$B$4-E792)))</f>
        <v/>
      </c>
      <c r="L792" s="4">
        <f>IF(K792="","",IF(K792=0,"Em dia",IF(K792&lt;=30,"1-30 dias",IF(K792&lt;=60,"31-60 dias",IF(K792&lt;=90,"61-90 dias","&gt;90 dias")))))</f>
        <v/>
      </c>
      <c r="M792" s="28" t="n"/>
      <c r="N792" s="104" t="inlineStr"/>
      <c r="O792" s="64" t="n"/>
      <c r="P792" s="64">
        <f>IF(C792="","",IF(ISNUMBER(SEARCH("PCMSO",C792)),"PCMSO",IF(OR(ISNUMBER(SEARCH("E-SOCIAL",C792)),ISNUMBER(SEARCH("PSICOSOCIAL",C792))),"eSocial / Psicossocial",IF(O792="Receita recorrente","Carteira recorrente","Projetos / Laudos / Avulsos"))))</f>
        <v/>
      </c>
      <c r="Q792" s="64">
        <f>IF(P792="","",IF(P792="Carteira recorrente","Operação recorrente",IF(P792="PCMSO","Projetos PCMSO",IF(P792="eSocial / Psicossocial","Projetos eSocial/Psicossocial","Projetos / Laudos / Avulsos"))))</f>
        <v/>
      </c>
      <c r="R792" s="64">
        <f>IF(C792="","",IF(ISNUMBER(SEARCH("PCMSO",C792)),"Título com PCMSO no nome",IF(OR(ISNUMBER(SEARCH("E-SOCIAL",C792)),ISNUMBER(SEARCH("PSICOSOCIAL",C792))),"Título com eSocial/Psicossocial no nome",IF(O792="Receita recorrente","Tipo DRE recorrente","Extra sem palavra-chave específica"))))</f>
        <v/>
      </c>
      <c r="S792" s="92">
        <f>IFERROR(VLOOKUP($A792,'13. Mapa Títulos-Receita'!$A$8:$P$1000,4,FALSE),"")</f>
        <v/>
      </c>
      <c r="T792" s="92">
        <f>IFERROR(VLOOKUP($A792,'13. Mapa Títulos-Receita'!$A$8:$P$1000,5,FALSE),"")</f>
        <v/>
      </c>
      <c r="U792" s="92">
        <f>IFERROR(VLOOKUP($A792,'13. Mapa Títulos-Receita'!$A$8:$P$1000,6,FALSE),"")</f>
        <v/>
      </c>
      <c r="V792" s="92">
        <f>IFERROR(VLOOKUP($A792,'13. Mapa Títulos-Receita'!$A$8:$P$1000,7,FALSE),"")</f>
        <v/>
      </c>
      <c r="W792" s="92">
        <f>IFERROR(VLOOKUP($A792,'13. Mapa Títulos-Receita'!$A$8:$P$1000,8,FALSE),"")</f>
        <v/>
      </c>
      <c r="X792" s="92">
        <f>IFERROR(VLOOKUP($A792,'13. Mapa Títulos-Receita'!$A$8:$P$1000,9,FALSE),"")</f>
        <v/>
      </c>
      <c r="Y792" s="92">
        <f>IFERROR(VLOOKUP($A792,'13. Mapa Títulos-Receita'!$A$8:$P$1000,10,FALSE),"")</f>
        <v/>
      </c>
      <c r="Z792" s="92">
        <f>IFERROR(VLOOKUP($A792,'13. Mapa Títulos-Receita'!$A$8:$P$1000,11,FALSE),"")</f>
        <v/>
      </c>
      <c r="AA792" s="92">
        <f>IFERROR(VLOOKUP($A792,'13. Mapa Títulos-Receita'!$A$8:$P$1000,12,FALSE),"")</f>
        <v/>
      </c>
      <c r="AB792" s="92">
        <f>IFERROR(VLOOKUP($A792,'13. Mapa Títulos-Receita'!$A$8:$P$1000,13,FALSE),"")</f>
        <v/>
      </c>
      <c r="AC792" s="92">
        <f>IFERROR(VLOOKUP($A792,'13. Mapa Títulos-Receita'!$A$8:$P$1000,14,FALSE),"")</f>
        <v/>
      </c>
      <c r="AD792" s="92">
        <f>IFERROR(VLOOKUP($A792,'13. Mapa Títulos-Receita'!$A$8:$P$1000,15,FALSE),"")</f>
        <v/>
      </c>
      <c r="AE792" s="92">
        <f>IFERROR(VLOOKUP($A792,'13. Mapa Títulos-Receita'!$A$8:$P$1000,16,FALSE),"")</f>
        <v/>
      </c>
    </row>
    <row r="793">
      <c r="A793" s="28">
        <f>IF(C793="","", "CR-"&amp;TEXT(ROW()-7,"000"))</f>
        <v/>
      </c>
      <c r="B793" s="28" t="n"/>
      <c r="C793" s="28" t="n"/>
      <c r="D793" s="111" t="n"/>
      <c r="E793" s="111" t="n"/>
      <c r="F793" s="111" t="n"/>
      <c r="G793" s="28" t="n"/>
      <c r="H793" s="45" t="n"/>
      <c r="I793" s="45" t="n"/>
      <c r="J793" s="28">
        <f>IF(H793="","",IF(I793&gt;=H793,"Recebido",IF($B$4&gt;E793,"Vencido","Aberto")))</f>
        <v/>
      </c>
      <c r="K793" s="4">
        <f>IF(J793="","",IF(OR(J793="Recebido",F793=""),MAX(0,F793-E793),MAX(0,$B$4-E793)))</f>
        <v/>
      </c>
      <c r="L793" s="4">
        <f>IF(K793="","",IF(K793=0,"Em dia",IF(K793&lt;=30,"1-30 dias",IF(K793&lt;=60,"31-60 dias",IF(K793&lt;=90,"61-90 dias","&gt;90 dias")))))</f>
        <v/>
      </c>
      <c r="M793" s="28" t="n"/>
      <c r="N793" s="104" t="inlineStr"/>
      <c r="O793" s="64" t="n"/>
      <c r="P793" s="64">
        <f>IF(C793="","",IF(ISNUMBER(SEARCH("PCMSO",C793)),"PCMSO",IF(OR(ISNUMBER(SEARCH("E-SOCIAL",C793)),ISNUMBER(SEARCH("PSICOSOCIAL",C793))),"eSocial / Psicossocial",IF(O793="Receita recorrente","Carteira recorrente","Projetos / Laudos / Avulsos"))))</f>
        <v/>
      </c>
      <c r="Q793" s="64">
        <f>IF(P793="","",IF(P793="Carteira recorrente","Operação recorrente",IF(P793="PCMSO","Projetos PCMSO",IF(P793="eSocial / Psicossocial","Projetos eSocial/Psicossocial","Projetos / Laudos / Avulsos"))))</f>
        <v/>
      </c>
      <c r="R793" s="64">
        <f>IF(C793="","",IF(ISNUMBER(SEARCH("PCMSO",C793)),"Título com PCMSO no nome",IF(OR(ISNUMBER(SEARCH("E-SOCIAL",C793)),ISNUMBER(SEARCH("PSICOSOCIAL",C793))),"Título com eSocial/Psicossocial no nome",IF(O793="Receita recorrente","Tipo DRE recorrente","Extra sem palavra-chave específica"))))</f>
        <v/>
      </c>
      <c r="S793" s="92">
        <f>IFERROR(VLOOKUP($A793,'13. Mapa Títulos-Receita'!$A$8:$P$1000,4,FALSE),"")</f>
        <v/>
      </c>
      <c r="T793" s="92">
        <f>IFERROR(VLOOKUP($A793,'13. Mapa Títulos-Receita'!$A$8:$P$1000,5,FALSE),"")</f>
        <v/>
      </c>
      <c r="U793" s="92">
        <f>IFERROR(VLOOKUP($A793,'13. Mapa Títulos-Receita'!$A$8:$P$1000,6,FALSE),"")</f>
        <v/>
      </c>
      <c r="V793" s="92">
        <f>IFERROR(VLOOKUP($A793,'13. Mapa Títulos-Receita'!$A$8:$P$1000,7,FALSE),"")</f>
        <v/>
      </c>
      <c r="W793" s="92">
        <f>IFERROR(VLOOKUP($A793,'13. Mapa Títulos-Receita'!$A$8:$P$1000,8,FALSE),"")</f>
        <v/>
      </c>
      <c r="X793" s="92">
        <f>IFERROR(VLOOKUP($A793,'13. Mapa Títulos-Receita'!$A$8:$P$1000,9,FALSE),"")</f>
        <v/>
      </c>
      <c r="Y793" s="92">
        <f>IFERROR(VLOOKUP($A793,'13. Mapa Títulos-Receita'!$A$8:$P$1000,10,FALSE),"")</f>
        <v/>
      </c>
      <c r="Z793" s="92">
        <f>IFERROR(VLOOKUP($A793,'13. Mapa Títulos-Receita'!$A$8:$P$1000,11,FALSE),"")</f>
        <v/>
      </c>
      <c r="AA793" s="92">
        <f>IFERROR(VLOOKUP($A793,'13. Mapa Títulos-Receita'!$A$8:$P$1000,12,FALSE),"")</f>
        <v/>
      </c>
      <c r="AB793" s="92">
        <f>IFERROR(VLOOKUP($A793,'13. Mapa Títulos-Receita'!$A$8:$P$1000,13,FALSE),"")</f>
        <v/>
      </c>
      <c r="AC793" s="92">
        <f>IFERROR(VLOOKUP($A793,'13. Mapa Títulos-Receita'!$A$8:$P$1000,14,FALSE),"")</f>
        <v/>
      </c>
      <c r="AD793" s="92">
        <f>IFERROR(VLOOKUP($A793,'13. Mapa Títulos-Receita'!$A$8:$P$1000,15,FALSE),"")</f>
        <v/>
      </c>
      <c r="AE793" s="92">
        <f>IFERROR(VLOOKUP($A793,'13. Mapa Títulos-Receita'!$A$8:$P$1000,16,FALSE),"")</f>
        <v/>
      </c>
    </row>
    <row r="794">
      <c r="A794" s="28">
        <f>IF(C794="","", "CR-"&amp;TEXT(ROW()-7,"000"))</f>
        <v/>
      </c>
      <c r="B794" s="28" t="n"/>
      <c r="C794" s="28" t="n"/>
      <c r="D794" s="111" t="n"/>
      <c r="E794" s="111" t="n"/>
      <c r="F794" s="111" t="n"/>
      <c r="G794" s="28" t="n"/>
      <c r="H794" s="45" t="n"/>
      <c r="I794" s="45" t="n"/>
      <c r="J794" s="28">
        <f>IF(H794="","",IF(I794&gt;=H794,"Recebido",IF($B$4&gt;E794,"Vencido","Aberto")))</f>
        <v/>
      </c>
      <c r="K794" s="4">
        <f>IF(J794="","",IF(OR(J794="Recebido",F794=""),MAX(0,F794-E794),MAX(0,$B$4-E794)))</f>
        <v/>
      </c>
      <c r="L794" s="4">
        <f>IF(K794="","",IF(K794=0,"Em dia",IF(K794&lt;=30,"1-30 dias",IF(K794&lt;=60,"31-60 dias",IF(K794&lt;=90,"61-90 dias","&gt;90 dias")))))</f>
        <v/>
      </c>
      <c r="M794" s="28" t="n"/>
      <c r="N794" s="104" t="inlineStr"/>
      <c r="O794" s="64" t="n"/>
      <c r="P794" s="64">
        <f>IF(C794="","",IF(ISNUMBER(SEARCH("PCMSO",C794)),"PCMSO",IF(OR(ISNUMBER(SEARCH("E-SOCIAL",C794)),ISNUMBER(SEARCH("PSICOSOCIAL",C794))),"eSocial / Psicossocial",IF(O794="Receita recorrente","Carteira recorrente","Projetos / Laudos / Avulsos"))))</f>
        <v/>
      </c>
      <c r="Q794" s="64">
        <f>IF(P794="","",IF(P794="Carteira recorrente","Operação recorrente",IF(P794="PCMSO","Projetos PCMSO",IF(P794="eSocial / Psicossocial","Projetos eSocial/Psicossocial","Projetos / Laudos / Avulsos"))))</f>
        <v/>
      </c>
      <c r="R794" s="64">
        <f>IF(C794="","",IF(ISNUMBER(SEARCH("PCMSO",C794)),"Título com PCMSO no nome",IF(OR(ISNUMBER(SEARCH("E-SOCIAL",C794)),ISNUMBER(SEARCH("PSICOSOCIAL",C794))),"Título com eSocial/Psicossocial no nome",IF(O794="Receita recorrente","Tipo DRE recorrente","Extra sem palavra-chave específica"))))</f>
        <v/>
      </c>
      <c r="S794" s="92">
        <f>IFERROR(VLOOKUP($A794,'13. Mapa Títulos-Receita'!$A$8:$P$1000,4,FALSE),"")</f>
        <v/>
      </c>
      <c r="T794" s="92">
        <f>IFERROR(VLOOKUP($A794,'13. Mapa Títulos-Receita'!$A$8:$P$1000,5,FALSE),"")</f>
        <v/>
      </c>
      <c r="U794" s="92">
        <f>IFERROR(VLOOKUP($A794,'13. Mapa Títulos-Receita'!$A$8:$P$1000,6,FALSE),"")</f>
        <v/>
      </c>
      <c r="V794" s="92">
        <f>IFERROR(VLOOKUP($A794,'13. Mapa Títulos-Receita'!$A$8:$P$1000,7,FALSE),"")</f>
        <v/>
      </c>
      <c r="W794" s="92">
        <f>IFERROR(VLOOKUP($A794,'13. Mapa Títulos-Receita'!$A$8:$P$1000,8,FALSE),"")</f>
        <v/>
      </c>
      <c r="X794" s="92">
        <f>IFERROR(VLOOKUP($A794,'13. Mapa Títulos-Receita'!$A$8:$P$1000,9,FALSE),"")</f>
        <v/>
      </c>
      <c r="Y794" s="92">
        <f>IFERROR(VLOOKUP($A794,'13. Mapa Títulos-Receita'!$A$8:$P$1000,10,FALSE),"")</f>
        <v/>
      </c>
      <c r="Z794" s="92">
        <f>IFERROR(VLOOKUP($A794,'13. Mapa Títulos-Receita'!$A$8:$P$1000,11,FALSE),"")</f>
        <v/>
      </c>
      <c r="AA794" s="92">
        <f>IFERROR(VLOOKUP($A794,'13. Mapa Títulos-Receita'!$A$8:$P$1000,12,FALSE),"")</f>
        <v/>
      </c>
      <c r="AB794" s="92">
        <f>IFERROR(VLOOKUP($A794,'13. Mapa Títulos-Receita'!$A$8:$P$1000,13,FALSE),"")</f>
        <v/>
      </c>
      <c r="AC794" s="92">
        <f>IFERROR(VLOOKUP($A794,'13. Mapa Títulos-Receita'!$A$8:$P$1000,14,FALSE),"")</f>
        <v/>
      </c>
      <c r="AD794" s="92">
        <f>IFERROR(VLOOKUP($A794,'13. Mapa Títulos-Receita'!$A$8:$P$1000,15,FALSE),"")</f>
        <v/>
      </c>
      <c r="AE794" s="92">
        <f>IFERROR(VLOOKUP($A794,'13. Mapa Títulos-Receita'!$A$8:$P$1000,16,FALSE),"")</f>
        <v/>
      </c>
    </row>
    <row r="795">
      <c r="A795" s="28">
        <f>IF(C795="","", "CR-"&amp;TEXT(ROW()-7,"000"))</f>
        <v/>
      </c>
      <c r="B795" s="28" t="n"/>
      <c r="C795" s="28" t="n"/>
      <c r="D795" s="111" t="n"/>
      <c r="E795" s="111" t="n"/>
      <c r="F795" s="111" t="n"/>
      <c r="G795" s="28" t="n"/>
      <c r="H795" s="45" t="n"/>
      <c r="I795" s="45" t="n"/>
      <c r="J795" s="28">
        <f>IF(H795="","",IF(I795&gt;=H795,"Recebido",IF($B$4&gt;E795,"Vencido","Aberto")))</f>
        <v/>
      </c>
      <c r="K795" s="4">
        <f>IF(J795="","",IF(OR(J795="Recebido",F795=""),MAX(0,F795-E795),MAX(0,$B$4-E795)))</f>
        <v/>
      </c>
      <c r="L795" s="4">
        <f>IF(K795="","",IF(K795=0,"Em dia",IF(K795&lt;=30,"1-30 dias",IF(K795&lt;=60,"31-60 dias",IF(K795&lt;=90,"61-90 dias","&gt;90 dias")))))</f>
        <v/>
      </c>
      <c r="M795" s="28" t="n"/>
      <c r="N795" s="104" t="inlineStr"/>
      <c r="O795" s="64" t="n"/>
      <c r="P795" s="64">
        <f>IF(C795="","",IF(ISNUMBER(SEARCH("PCMSO",C795)),"PCMSO",IF(OR(ISNUMBER(SEARCH("E-SOCIAL",C795)),ISNUMBER(SEARCH("PSICOSOCIAL",C795))),"eSocial / Psicossocial",IF(O795="Receita recorrente","Carteira recorrente","Projetos / Laudos / Avulsos"))))</f>
        <v/>
      </c>
      <c r="Q795" s="64">
        <f>IF(P795="","",IF(P795="Carteira recorrente","Operação recorrente",IF(P795="PCMSO","Projetos PCMSO",IF(P795="eSocial / Psicossocial","Projetos eSocial/Psicossocial","Projetos / Laudos / Avulsos"))))</f>
        <v/>
      </c>
      <c r="R795" s="64">
        <f>IF(C795="","",IF(ISNUMBER(SEARCH("PCMSO",C795)),"Título com PCMSO no nome",IF(OR(ISNUMBER(SEARCH("E-SOCIAL",C795)),ISNUMBER(SEARCH("PSICOSOCIAL",C795))),"Título com eSocial/Psicossocial no nome",IF(O795="Receita recorrente","Tipo DRE recorrente","Extra sem palavra-chave específica"))))</f>
        <v/>
      </c>
      <c r="S795" s="92">
        <f>IFERROR(VLOOKUP($A795,'13. Mapa Títulos-Receita'!$A$8:$P$1000,4,FALSE),"")</f>
        <v/>
      </c>
      <c r="T795" s="92">
        <f>IFERROR(VLOOKUP($A795,'13. Mapa Títulos-Receita'!$A$8:$P$1000,5,FALSE),"")</f>
        <v/>
      </c>
      <c r="U795" s="92">
        <f>IFERROR(VLOOKUP($A795,'13. Mapa Títulos-Receita'!$A$8:$P$1000,6,FALSE),"")</f>
        <v/>
      </c>
      <c r="V795" s="92">
        <f>IFERROR(VLOOKUP($A795,'13. Mapa Títulos-Receita'!$A$8:$P$1000,7,FALSE),"")</f>
        <v/>
      </c>
      <c r="W795" s="92">
        <f>IFERROR(VLOOKUP($A795,'13. Mapa Títulos-Receita'!$A$8:$P$1000,8,FALSE),"")</f>
        <v/>
      </c>
      <c r="X795" s="92">
        <f>IFERROR(VLOOKUP($A795,'13. Mapa Títulos-Receita'!$A$8:$P$1000,9,FALSE),"")</f>
        <v/>
      </c>
      <c r="Y795" s="92">
        <f>IFERROR(VLOOKUP($A795,'13. Mapa Títulos-Receita'!$A$8:$P$1000,10,FALSE),"")</f>
        <v/>
      </c>
      <c r="Z795" s="92">
        <f>IFERROR(VLOOKUP($A795,'13. Mapa Títulos-Receita'!$A$8:$P$1000,11,FALSE),"")</f>
        <v/>
      </c>
      <c r="AA795" s="92">
        <f>IFERROR(VLOOKUP($A795,'13. Mapa Títulos-Receita'!$A$8:$P$1000,12,FALSE),"")</f>
        <v/>
      </c>
      <c r="AB795" s="92">
        <f>IFERROR(VLOOKUP($A795,'13. Mapa Títulos-Receita'!$A$8:$P$1000,13,FALSE),"")</f>
        <v/>
      </c>
      <c r="AC795" s="92">
        <f>IFERROR(VLOOKUP($A795,'13. Mapa Títulos-Receita'!$A$8:$P$1000,14,FALSE),"")</f>
        <v/>
      </c>
      <c r="AD795" s="92">
        <f>IFERROR(VLOOKUP($A795,'13. Mapa Títulos-Receita'!$A$8:$P$1000,15,FALSE),"")</f>
        <v/>
      </c>
      <c r="AE795" s="92">
        <f>IFERROR(VLOOKUP($A795,'13. Mapa Títulos-Receita'!$A$8:$P$1000,16,FALSE),"")</f>
        <v/>
      </c>
    </row>
    <row r="796">
      <c r="A796" s="28">
        <f>IF(C796="","", "CR-"&amp;TEXT(ROW()-7,"000"))</f>
        <v/>
      </c>
      <c r="B796" s="28" t="n"/>
      <c r="C796" s="28" t="n"/>
      <c r="D796" s="111" t="n"/>
      <c r="E796" s="111" t="n"/>
      <c r="F796" s="111" t="n"/>
      <c r="G796" s="28" t="n"/>
      <c r="H796" s="45" t="n"/>
      <c r="I796" s="45" t="n"/>
      <c r="J796" s="28">
        <f>IF(H796="","",IF(I796&gt;=H796,"Recebido",IF($B$4&gt;E796,"Vencido","Aberto")))</f>
        <v/>
      </c>
      <c r="K796" s="4">
        <f>IF(J796="","",IF(OR(J796="Recebido",F796=""),MAX(0,F796-E796),MAX(0,$B$4-E796)))</f>
        <v/>
      </c>
      <c r="L796" s="4">
        <f>IF(K796="","",IF(K796=0,"Em dia",IF(K796&lt;=30,"1-30 dias",IF(K796&lt;=60,"31-60 dias",IF(K796&lt;=90,"61-90 dias","&gt;90 dias")))))</f>
        <v/>
      </c>
      <c r="M796" s="28" t="n"/>
      <c r="N796" s="104" t="inlineStr"/>
      <c r="O796" s="64" t="n"/>
      <c r="P796" s="64">
        <f>IF(C796="","",IF(ISNUMBER(SEARCH("PCMSO",C796)),"PCMSO",IF(OR(ISNUMBER(SEARCH("E-SOCIAL",C796)),ISNUMBER(SEARCH("PSICOSOCIAL",C796))),"eSocial / Psicossocial",IF(O796="Receita recorrente","Carteira recorrente","Projetos / Laudos / Avulsos"))))</f>
        <v/>
      </c>
      <c r="Q796" s="64">
        <f>IF(P796="","",IF(P796="Carteira recorrente","Operação recorrente",IF(P796="PCMSO","Projetos PCMSO",IF(P796="eSocial / Psicossocial","Projetos eSocial/Psicossocial","Projetos / Laudos / Avulsos"))))</f>
        <v/>
      </c>
      <c r="R796" s="64">
        <f>IF(C796="","",IF(ISNUMBER(SEARCH("PCMSO",C796)),"Título com PCMSO no nome",IF(OR(ISNUMBER(SEARCH("E-SOCIAL",C796)),ISNUMBER(SEARCH("PSICOSOCIAL",C796))),"Título com eSocial/Psicossocial no nome",IF(O796="Receita recorrente","Tipo DRE recorrente","Extra sem palavra-chave específica"))))</f>
        <v/>
      </c>
      <c r="S796" s="92">
        <f>IFERROR(VLOOKUP($A796,'13. Mapa Títulos-Receita'!$A$8:$P$1000,4,FALSE),"")</f>
        <v/>
      </c>
      <c r="T796" s="92">
        <f>IFERROR(VLOOKUP($A796,'13. Mapa Títulos-Receita'!$A$8:$P$1000,5,FALSE),"")</f>
        <v/>
      </c>
      <c r="U796" s="92">
        <f>IFERROR(VLOOKUP($A796,'13. Mapa Títulos-Receita'!$A$8:$P$1000,6,FALSE),"")</f>
        <v/>
      </c>
      <c r="V796" s="92">
        <f>IFERROR(VLOOKUP($A796,'13. Mapa Títulos-Receita'!$A$8:$P$1000,7,FALSE),"")</f>
        <v/>
      </c>
      <c r="W796" s="92">
        <f>IFERROR(VLOOKUP($A796,'13. Mapa Títulos-Receita'!$A$8:$P$1000,8,FALSE),"")</f>
        <v/>
      </c>
      <c r="X796" s="92">
        <f>IFERROR(VLOOKUP($A796,'13. Mapa Títulos-Receita'!$A$8:$P$1000,9,FALSE),"")</f>
        <v/>
      </c>
      <c r="Y796" s="92">
        <f>IFERROR(VLOOKUP($A796,'13. Mapa Títulos-Receita'!$A$8:$P$1000,10,FALSE),"")</f>
        <v/>
      </c>
      <c r="Z796" s="92">
        <f>IFERROR(VLOOKUP($A796,'13. Mapa Títulos-Receita'!$A$8:$P$1000,11,FALSE),"")</f>
        <v/>
      </c>
      <c r="AA796" s="92">
        <f>IFERROR(VLOOKUP($A796,'13. Mapa Títulos-Receita'!$A$8:$P$1000,12,FALSE),"")</f>
        <v/>
      </c>
      <c r="AB796" s="92">
        <f>IFERROR(VLOOKUP($A796,'13. Mapa Títulos-Receita'!$A$8:$P$1000,13,FALSE),"")</f>
        <v/>
      </c>
      <c r="AC796" s="92">
        <f>IFERROR(VLOOKUP($A796,'13. Mapa Títulos-Receita'!$A$8:$P$1000,14,FALSE),"")</f>
        <v/>
      </c>
      <c r="AD796" s="92">
        <f>IFERROR(VLOOKUP($A796,'13. Mapa Títulos-Receita'!$A$8:$P$1000,15,FALSE),"")</f>
        <v/>
      </c>
      <c r="AE796" s="92">
        <f>IFERROR(VLOOKUP($A796,'13. Mapa Títulos-Receita'!$A$8:$P$1000,16,FALSE),"")</f>
        <v/>
      </c>
    </row>
    <row r="797">
      <c r="A797" s="28">
        <f>IF(C797="","", "CR-"&amp;TEXT(ROW()-7,"000"))</f>
        <v/>
      </c>
      <c r="B797" s="28" t="n"/>
      <c r="C797" s="28" t="n"/>
      <c r="D797" s="111" t="n"/>
      <c r="E797" s="111" t="n"/>
      <c r="F797" s="111" t="n"/>
      <c r="G797" s="28" t="n"/>
      <c r="H797" s="45" t="n"/>
      <c r="I797" s="45" t="n"/>
      <c r="J797" s="28">
        <f>IF(H797="","",IF(I797&gt;=H797,"Recebido",IF($B$4&gt;E797,"Vencido","Aberto")))</f>
        <v/>
      </c>
      <c r="K797" s="4">
        <f>IF(J797="","",IF(OR(J797="Recebido",F797=""),MAX(0,F797-E797),MAX(0,$B$4-E797)))</f>
        <v/>
      </c>
      <c r="L797" s="4">
        <f>IF(K797="","",IF(K797=0,"Em dia",IF(K797&lt;=30,"1-30 dias",IF(K797&lt;=60,"31-60 dias",IF(K797&lt;=90,"61-90 dias","&gt;90 dias")))))</f>
        <v/>
      </c>
      <c r="M797" s="28" t="n"/>
      <c r="N797" s="104" t="inlineStr"/>
      <c r="O797" s="64" t="n"/>
      <c r="P797" s="64">
        <f>IF(C797="","",IF(ISNUMBER(SEARCH("PCMSO",C797)),"PCMSO",IF(OR(ISNUMBER(SEARCH("E-SOCIAL",C797)),ISNUMBER(SEARCH("PSICOSOCIAL",C797))),"eSocial / Psicossocial",IF(O797="Receita recorrente","Carteira recorrente","Projetos / Laudos / Avulsos"))))</f>
        <v/>
      </c>
      <c r="Q797" s="64">
        <f>IF(P797="","",IF(P797="Carteira recorrente","Operação recorrente",IF(P797="PCMSO","Projetos PCMSO",IF(P797="eSocial / Psicossocial","Projetos eSocial/Psicossocial","Projetos / Laudos / Avulsos"))))</f>
        <v/>
      </c>
      <c r="R797" s="64">
        <f>IF(C797="","",IF(ISNUMBER(SEARCH("PCMSO",C797)),"Título com PCMSO no nome",IF(OR(ISNUMBER(SEARCH("E-SOCIAL",C797)),ISNUMBER(SEARCH("PSICOSOCIAL",C797))),"Título com eSocial/Psicossocial no nome",IF(O797="Receita recorrente","Tipo DRE recorrente","Extra sem palavra-chave específica"))))</f>
        <v/>
      </c>
      <c r="S797" s="92">
        <f>IFERROR(VLOOKUP($A797,'13. Mapa Títulos-Receita'!$A$8:$P$1000,4,FALSE),"")</f>
        <v/>
      </c>
      <c r="T797" s="92">
        <f>IFERROR(VLOOKUP($A797,'13. Mapa Títulos-Receita'!$A$8:$P$1000,5,FALSE),"")</f>
        <v/>
      </c>
      <c r="U797" s="92">
        <f>IFERROR(VLOOKUP($A797,'13. Mapa Títulos-Receita'!$A$8:$P$1000,6,FALSE),"")</f>
        <v/>
      </c>
      <c r="V797" s="92">
        <f>IFERROR(VLOOKUP($A797,'13. Mapa Títulos-Receita'!$A$8:$P$1000,7,FALSE),"")</f>
        <v/>
      </c>
      <c r="W797" s="92">
        <f>IFERROR(VLOOKUP($A797,'13. Mapa Títulos-Receita'!$A$8:$P$1000,8,FALSE),"")</f>
        <v/>
      </c>
      <c r="X797" s="92">
        <f>IFERROR(VLOOKUP($A797,'13. Mapa Títulos-Receita'!$A$8:$P$1000,9,FALSE),"")</f>
        <v/>
      </c>
      <c r="Y797" s="92">
        <f>IFERROR(VLOOKUP($A797,'13. Mapa Títulos-Receita'!$A$8:$P$1000,10,FALSE),"")</f>
        <v/>
      </c>
      <c r="Z797" s="92">
        <f>IFERROR(VLOOKUP($A797,'13. Mapa Títulos-Receita'!$A$8:$P$1000,11,FALSE),"")</f>
        <v/>
      </c>
      <c r="AA797" s="92">
        <f>IFERROR(VLOOKUP($A797,'13. Mapa Títulos-Receita'!$A$8:$P$1000,12,FALSE),"")</f>
        <v/>
      </c>
      <c r="AB797" s="92">
        <f>IFERROR(VLOOKUP($A797,'13. Mapa Títulos-Receita'!$A$8:$P$1000,13,FALSE),"")</f>
        <v/>
      </c>
      <c r="AC797" s="92">
        <f>IFERROR(VLOOKUP($A797,'13. Mapa Títulos-Receita'!$A$8:$P$1000,14,FALSE),"")</f>
        <v/>
      </c>
      <c r="AD797" s="92">
        <f>IFERROR(VLOOKUP($A797,'13. Mapa Títulos-Receita'!$A$8:$P$1000,15,FALSE),"")</f>
        <v/>
      </c>
      <c r="AE797" s="92">
        <f>IFERROR(VLOOKUP($A797,'13. Mapa Títulos-Receita'!$A$8:$P$1000,16,FALSE),"")</f>
        <v/>
      </c>
    </row>
    <row r="798">
      <c r="A798" s="28">
        <f>IF(C798="","", "CR-"&amp;TEXT(ROW()-7,"000"))</f>
        <v/>
      </c>
      <c r="B798" s="28" t="n"/>
      <c r="C798" s="28" t="n"/>
      <c r="D798" s="111" t="n"/>
      <c r="E798" s="111" t="n"/>
      <c r="F798" s="111" t="n"/>
      <c r="G798" s="28" t="n"/>
      <c r="H798" s="45" t="n"/>
      <c r="I798" s="45" t="n"/>
      <c r="J798" s="28">
        <f>IF(H798="","",IF(I798&gt;=H798,"Recebido",IF($B$4&gt;E798,"Vencido","Aberto")))</f>
        <v/>
      </c>
      <c r="K798" s="4">
        <f>IF(J798="","",IF(OR(J798="Recebido",F798=""),MAX(0,F798-E798),MAX(0,$B$4-E798)))</f>
        <v/>
      </c>
      <c r="L798" s="4">
        <f>IF(K798="","",IF(K798=0,"Em dia",IF(K798&lt;=30,"1-30 dias",IF(K798&lt;=60,"31-60 dias",IF(K798&lt;=90,"61-90 dias","&gt;90 dias")))))</f>
        <v/>
      </c>
      <c r="M798" s="28" t="n"/>
      <c r="N798" s="104" t="inlineStr"/>
      <c r="O798" s="64" t="n"/>
      <c r="P798" s="64">
        <f>IF(C798="","",IF(ISNUMBER(SEARCH("PCMSO",C798)),"PCMSO",IF(OR(ISNUMBER(SEARCH("E-SOCIAL",C798)),ISNUMBER(SEARCH("PSICOSOCIAL",C798))),"eSocial / Psicossocial",IF(O798="Receita recorrente","Carteira recorrente","Projetos / Laudos / Avulsos"))))</f>
        <v/>
      </c>
      <c r="Q798" s="64">
        <f>IF(P798="","",IF(P798="Carteira recorrente","Operação recorrente",IF(P798="PCMSO","Projetos PCMSO",IF(P798="eSocial / Psicossocial","Projetos eSocial/Psicossocial","Projetos / Laudos / Avulsos"))))</f>
        <v/>
      </c>
      <c r="R798" s="64">
        <f>IF(C798="","",IF(ISNUMBER(SEARCH("PCMSO",C798)),"Título com PCMSO no nome",IF(OR(ISNUMBER(SEARCH("E-SOCIAL",C798)),ISNUMBER(SEARCH("PSICOSOCIAL",C798))),"Título com eSocial/Psicossocial no nome",IF(O798="Receita recorrente","Tipo DRE recorrente","Extra sem palavra-chave específica"))))</f>
        <v/>
      </c>
      <c r="S798" s="92">
        <f>IFERROR(VLOOKUP($A798,'13. Mapa Títulos-Receita'!$A$8:$P$1000,4,FALSE),"")</f>
        <v/>
      </c>
      <c r="T798" s="92">
        <f>IFERROR(VLOOKUP($A798,'13. Mapa Títulos-Receita'!$A$8:$P$1000,5,FALSE),"")</f>
        <v/>
      </c>
      <c r="U798" s="92">
        <f>IFERROR(VLOOKUP($A798,'13. Mapa Títulos-Receita'!$A$8:$P$1000,6,FALSE),"")</f>
        <v/>
      </c>
      <c r="V798" s="92">
        <f>IFERROR(VLOOKUP($A798,'13. Mapa Títulos-Receita'!$A$8:$P$1000,7,FALSE),"")</f>
        <v/>
      </c>
      <c r="W798" s="92">
        <f>IFERROR(VLOOKUP($A798,'13. Mapa Títulos-Receita'!$A$8:$P$1000,8,FALSE),"")</f>
        <v/>
      </c>
      <c r="X798" s="92">
        <f>IFERROR(VLOOKUP($A798,'13. Mapa Títulos-Receita'!$A$8:$P$1000,9,FALSE),"")</f>
        <v/>
      </c>
      <c r="Y798" s="92">
        <f>IFERROR(VLOOKUP($A798,'13. Mapa Títulos-Receita'!$A$8:$P$1000,10,FALSE),"")</f>
        <v/>
      </c>
      <c r="Z798" s="92">
        <f>IFERROR(VLOOKUP($A798,'13. Mapa Títulos-Receita'!$A$8:$P$1000,11,FALSE),"")</f>
        <v/>
      </c>
      <c r="AA798" s="92">
        <f>IFERROR(VLOOKUP($A798,'13. Mapa Títulos-Receita'!$A$8:$P$1000,12,FALSE),"")</f>
        <v/>
      </c>
      <c r="AB798" s="92">
        <f>IFERROR(VLOOKUP($A798,'13. Mapa Títulos-Receita'!$A$8:$P$1000,13,FALSE),"")</f>
        <v/>
      </c>
      <c r="AC798" s="92">
        <f>IFERROR(VLOOKUP($A798,'13. Mapa Títulos-Receita'!$A$8:$P$1000,14,FALSE),"")</f>
        <v/>
      </c>
      <c r="AD798" s="92">
        <f>IFERROR(VLOOKUP($A798,'13. Mapa Títulos-Receita'!$A$8:$P$1000,15,FALSE),"")</f>
        <v/>
      </c>
      <c r="AE798" s="92">
        <f>IFERROR(VLOOKUP($A798,'13. Mapa Títulos-Receita'!$A$8:$P$1000,16,FALSE),"")</f>
        <v/>
      </c>
    </row>
    <row r="799">
      <c r="A799" s="28">
        <f>IF(C799="","", "CR-"&amp;TEXT(ROW()-7,"000"))</f>
        <v/>
      </c>
      <c r="B799" s="28" t="n"/>
      <c r="C799" s="28" t="n"/>
      <c r="D799" s="111" t="n"/>
      <c r="E799" s="111" t="n"/>
      <c r="F799" s="111" t="n"/>
      <c r="G799" s="28" t="n"/>
      <c r="H799" s="45" t="n"/>
      <c r="I799" s="45" t="n"/>
      <c r="J799" s="28">
        <f>IF(H799="","",IF(I799&gt;=H799,"Recebido",IF($B$4&gt;E799,"Vencido","Aberto")))</f>
        <v/>
      </c>
      <c r="K799" s="4">
        <f>IF(J799="","",IF(OR(J799="Recebido",F799=""),MAX(0,F799-E799),MAX(0,$B$4-E799)))</f>
        <v/>
      </c>
      <c r="L799" s="4">
        <f>IF(K799="","",IF(K799=0,"Em dia",IF(K799&lt;=30,"1-30 dias",IF(K799&lt;=60,"31-60 dias",IF(K799&lt;=90,"61-90 dias","&gt;90 dias")))))</f>
        <v/>
      </c>
      <c r="M799" s="28" t="n"/>
      <c r="N799" s="104" t="inlineStr"/>
      <c r="O799" s="64" t="n"/>
      <c r="P799" s="64">
        <f>IF(C799="","",IF(ISNUMBER(SEARCH("PCMSO",C799)),"PCMSO",IF(OR(ISNUMBER(SEARCH("E-SOCIAL",C799)),ISNUMBER(SEARCH("PSICOSOCIAL",C799))),"eSocial / Psicossocial",IF(O799="Receita recorrente","Carteira recorrente","Projetos / Laudos / Avulsos"))))</f>
        <v/>
      </c>
      <c r="Q799" s="64">
        <f>IF(P799="","",IF(P799="Carteira recorrente","Operação recorrente",IF(P799="PCMSO","Projetos PCMSO",IF(P799="eSocial / Psicossocial","Projetos eSocial/Psicossocial","Projetos / Laudos / Avulsos"))))</f>
        <v/>
      </c>
      <c r="R799" s="64">
        <f>IF(C799="","",IF(ISNUMBER(SEARCH("PCMSO",C799)),"Título com PCMSO no nome",IF(OR(ISNUMBER(SEARCH("E-SOCIAL",C799)),ISNUMBER(SEARCH("PSICOSOCIAL",C799))),"Título com eSocial/Psicossocial no nome",IF(O799="Receita recorrente","Tipo DRE recorrente","Extra sem palavra-chave específica"))))</f>
        <v/>
      </c>
      <c r="S799" s="92">
        <f>IFERROR(VLOOKUP($A799,'13. Mapa Títulos-Receita'!$A$8:$P$1000,4,FALSE),"")</f>
        <v/>
      </c>
      <c r="T799" s="92">
        <f>IFERROR(VLOOKUP($A799,'13. Mapa Títulos-Receita'!$A$8:$P$1000,5,FALSE),"")</f>
        <v/>
      </c>
      <c r="U799" s="92">
        <f>IFERROR(VLOOKUP($A799,'13. Mapa Títulos-Receita'!$A$8:$P$1000,6,FALSE),"")</f>
        <v/>
      </c>
      <c r="V799" s="92">
        <f>IFERROR(VLOOKUP($A799,'13. Mapa Títulos-Receita'!$A$8:$P$1000,7,FALSE),"")</f>
        <v/>
      </c>
      <c r="W799" s="92">
        <f>IFERROR(VLOOKUP($A799,'13. Mapa Títulos-Receita'!$A$8:$P$1000,8,FALSE),"")</f>
        <v/>
      </c>
      <c r="X799" s="92">
        <f>IFERROR(VLOOKUP($A799,'13. Mapa Títulos-Receita'!$A$8:$P$1000,9,FALSE),"")</f>
        <v/>
      </c>
      <c r="Y799" s="92">
        <f>IFERROR(VLOOKUP($A799,'13. Mapa Títulos-Receita'!$A$8:$P$1000,10,FALSE),"")</f>
        <v/>
      </c>
      <c r="Z799" s="92">
        <f>IFERROR(VLOOKUP($A799,'13. Mapa Títulos-Receita'!$A$8:$P$1000,11,FALSE),"")</f>
        <v/>
      </c>
      <c r="AA799" s="92">
        <f>IFERROR(VLOOKUP($A799,'13. Mapa Títulos-Receita'!$A$8:$P$1000,12,FALSE),"")</f>
        <v/>
      </c>
      <c r="AB799" s="92">
        <f>IFERROR(VLOOKUP($A799,'13. Mapa Títulos-Receita'!$A$8:$P$1000,13,FALSE),"")</f>
        <v/>
      </c>
      <c r="AC799" s="92">
        <f>IFERROR(VLOOKUP($A799,'13. Mapa Títulos-Receita'!$A$8:$P$1000,14,FALSE),"")</f>
        <v/>
      </c>
      <c r="AD799" s="92">
        <f>IFERROR(VLOOKUP($A799,'13. Mapa Títulos-Receita'!$A$8:$P$1000,15,FALSE),"")</f>
        <v/>
      </c>
      <c r="AE799" s="92">
        <f>IFERROR(VLOOKUP($A799,'13. Mapa Títulos-Receita'!$A$8:$P$1000,16,FALSE),"")</f>
        <v/>
      </c>
    </row>
    <row r="800">
      <c r="A800" s="28">
        <f>IF(C800="","", "CR-"&amp;TEXT(ROW()-7,"000"))</f>
        <v/>
      </c>
      <c r="B800" s="28" t="n"/>
      <c r="C800" s="28" t="n"/>
      <c r="D800" s="111" t="n"/>
      <c r="E800" s="111" t="n"/>
      <c r="F800" s="111" t="n"/>
      <c r="G800" s="28" t="n"/>
      <c r="H800" s="45" t="n"/>
      <c r="I800" s="45" t="n"/>
      <c r="J800" s="28">
        <f>IF(H800="","",IF(I800&gt;=H800,"Recebido",IF($B$4&gt;E800,"Vencido","Aberto")))</f>
        <v/>
      </c>
      <c r="K800" s="4">
        <f>IF(J800="","",IF(OR(J800="Recebido",F800=""),MAX(0,F800-E800),MAX(0,$B$4-E800)))</f>
        <v/>
      </c>
      <c r="L800" s="4">
        <f>IF(K800="","",IF(K800=0,"Em dia",IF(K800&lt;=30,"1-30 dias",IF(K800&lt;=60,"31-60 dias",IF(K800&lt;=90,"61-90 dias","&gt;90 dias")))))</f>
        <v/>
      </c>
      <c r="M800" s="28" t="n"/>
      <c r="N800" s="104" t="inlineStr"/>
      <c r="O800" s="64" t="n"/>
      <c r="P800" s="64">
        <f>IF(C800="","",IF(ISNUMBER(SEARCH("PCMSO",C800)),"PCMSO",IF(OR(ISNUMBER(SEARCH("E-SOCIAL",C800)),ISNUMBER(SEARCH("PSICOSOCIAL",C800))),"eSocial / Psicossocial",IF(O800="Receita recorrente","Carteira recorrente","Projetos / Laudos / Avulsos"))))</f>
        <v/>
      </c>
      <c r="Q800" s="64">
        <f>IF(P800="","",IF(P800="Carteira recorrente","Operação recorrente",IF(P800="PCMSO","Projetos PCMSO",IF(P800="eSocial / Psicossocial","Projetos eSocial/Psicossocial","Projetos / Laudos / Avulsos"))))</f>
        <v/>
      </c>
      <c r="R800" s="64">
        <f>IF(C800="","",IF(ISNUMBER(SEARCH("PCMSO",C800)),"Título com PCMSO no nome",IF(OR(ISNUMBER(SEARCH("E-SOCIAL",C800)),ISNUMBER(SEARCH("PSICOSOCIAL",C800))),"Título com eSocial/Psicossocial no nome",IF(O800="Receita recorrente","Tipo DRE recorrente","Extra sem palavra-chave específica"))))</f>
        <v/>
      </c>
      <c r="S800" s="92">
        <f>IFERROR(VLOOKUP($A800,'13. Mapa Títulos-Receita'!$A$8:$P$1000,4,FALSE),"")</f>
        <v/>
      </c>
      <c r="T800" s="92">
        <f>IFERROR(VLOOKUP($A800,'13. Mapa Títulos-Receita'!$A$8:$P$1000,5,FALSE),"")</f>
        <v/>
      </c>
      <c r="U800" s="92">
        <f>IFERROR(VLOOKUP($A800,'13. Mapa Títulos-Receita'!$A$8:$P$1000,6,FALSE),"")</f>
        <v/>
      </c>
      <c r="V800" s="92">
        <f>IFERROR(VLOOKUP($A800,'13. Mapa Títulos-Receita'!$A$8:$P$1000,7,FALSE),"")</f>
        <v/>
      </c>
      <c r="W800" s="92">
        <f>IFERROR(VLOOKUP($A800,'13. Mapa Títulos-Receita'!$A$8:$P$1000,8,FALSE),"")</f>
        <v/>
      </c>
      <c r="X800" s="92">
        <f>IFERROR(VLOOKUP($A800,'13. Mapa Títulos-Receita'!$A$8:$P$1000,9,FALSE),"")</f>
        <v/>
      </c>
      <c r="Y800" s="92">
        <f>IFERROR(VLOOKUP($A800,'13. Mapa Títulos-Receita'!$A$8:$P$1000,10,FALSE),"")</f>
        <v/>
      </c>
      <c r="Z800" s="92">
        <f>IFERROR(VLOOKUP($A800,'13. Mapa Títulos-Receita'!$A$8:$P$1000,11,FALSE),"")</f>
        <v/>
      </c>
      <c r="AA800" s="92">
        <f>IFERROR(VLOOKUP($A800,'13. Mapa Títulos-Receita'!$A$8:$P$1000,12,FALSE),"")</f>
        <v/>
      </c>
      <c r="AB800" s="92">
        <f>IFERROR(VLOOKUP($A800,'13. Mapa Títulos-Receita'!$A$8:$P$1000,13,FALSE),"")</f>
        <v/>
      </c>
      <c r="AC800" s="92">
        <f>IFERROR(VLOOKUP($A800,'13. Mapa Títulos-Receita'!$A$8:$P$1000,14,FALSE),"")</f>
        <v/>
      </c>
      <c r="AD800" s="92">
        <f>IFERROR(VLOOKUP($A800,'13. Mapa Títulos-Receita'!$A$8:$P$1000,15,FALSE),"")</f>
        <v/>
      </c>
      <c r="AE800" s="92">
        <f>IFERROR(VLOOKUP($A800,'13. Mapa Títulos-Receita'!$A$8:$P$1000,16,FALSE),"")</f>
        <v/>
      </c>
    </row>
    <row r="801">
      <c r="A801" s="28">
        <f>IF(C801="","", "CR-"&amp;TEXT(ROW()-7,"000"))</f>
        <v/>
      </c>
      <c r="B801" s="28" t="n"/>
      <c r="C801" s="28" t="n"/>
      <c r="D801" s="111" t="n"/>
      <c r="E801" s="111" t="n"/>
      <c r="F801" s="111" t="n"/>
      <c r="G801" s="28" t="n"/>
      <c r="H801" s="45" t="n"/>
      <c r="I801" s="45" t="n"/>
      <c r="J801" s="28">
        <f>IF(H801="","",IF(I801&gt;=H801,"Recebido",IF($B$4&gt;E801,"Vencido","Aberto")))</f>
        <v/>
      </c>
      <c r="K801" s="4">
        <f>IF(J801="","",IF(OR(J801="Recebido",F801=""),MAX(0,F801-E801),MAX(0,$B$4-E801)))</f>
        <v/>
      </c>
      <c r="L801" s="4">
        <f>IF(K801="","",IF(K801=0,"Em dia",IF(K801&lt;=30,"1-30 dias",IF(K801&lt;=60,"31-60 dias",IF(K801&lt;=90,"61-90 dias","&gt;90 dias")))))</f>
        <v/>
      </c>
      <c r="M801" s="28" t="n"/>
      <c r="N801" s="104" t="inlineStr"/>
      <c r="O801" s="64" t="n"/>
      <c r="P801" s="64">
        <f>IF(C801="","",IF(ISNUMBER(SEARCH("PCMSO",C801)),"PCMSO",IF(OR(ISNUMBER(SEARCH("E-SOCIAL",C801)),ISNUMBER(SEARCH("PSICOSOCIAL",C801))),"eSocial / Psicossocial",IF(O801="Receita recorrente","Carteira recorrente","Projetos / Laudos / Avulsos"))))</f>
        <v/>
      </c>
      <c r="Q801" s="64">
        <f>IF(P801="","",IF(P801="Carteira recorrente","Operação recorrente",IF(P801="PCMSO","Projetos PCMSO",IF(P801="eSocial / Psicossocial","Projetos eSocial/Psicossocial","Projetos / Laudos / Avulsos"))))</f>
        <v/>
      </c>
      <c r="R801" s="64">
        <f>IF(C801="","",IF(ISNUMBER(SEARCH("PCMSO",C801)),"Título com PCMSO no nome",IF(OR(ISNUMBER(SEARCH("E-SOCIAL",C801)),ISNUMBER(SEARCH("PSICOSOCIAL",C801))),"Título com eSocial/Psicossocial no nome",IF(O801="Receita recorrente","Tipo DRE recorrente","Extra sem palavra-chave específica"))))</f>
        <v/>
      </c>
      <c r="S801" s="92">
        <f>IFERROR(VLOOKUP($A801,'13. Mapa Títulos-Receita'!$A$8:$P$1000,4,FALSE),"")</f>
        <v/>
      </c>
      <c r="T801" s="92">
        <f>IFERROR(VLOOKUP($A801,'13. Mapa Títulos-Receita'!$A$8:$P$1000,5,FALSE),"")</f>
        <v/>
      </c>
      <c r="U801" s="92">
        <f>IFERROR(VLOOKUP($A801,'13. Mapa Títulos-Receita'!$A$8:$P$1000,6,FALSE),"")</f>
        <v/>
      </c>
      <c r="V801" s="92">
        <f>IFERROR(VLOOKUP($A801,'13. Mapa Títulos-Receita'!$A$8:$P$1000,7,FALSE),"")</f>
        <v/>
      </c>
      <c r="W801" s="92">
        <f>IFERROR(VLOOKUP($A801,'13. Mapa Títulos-Receita'!$A$8:$P$1000,8,FALSE),"")</f>
        <v/>
      </c>
      <c r="X801" s="92">
        <f>IFERROR(VLOOKUP($A801,'13. Mapa Títulos-Receita'!$A$8:$P$1000,9,FALSE),"")</f>
        <v/>
      </c>
      <c r="Y801" s="92">
        <f>IFERROR(VLOOKUP($A801,'13. Mapa Títulos-Receita'!$A$8:$P$1000,10,FALSE),"")</f>
        <v/>
      </c>
      <c r="Z801" s="92">
        <f>IFERROR(VLOOKUP($A801,'13. Mapa Títulos-Receita'!$A$8:$P$1000,11,FALSE),"")</f>
        <v/>
      </c>
      <c r="AA801" s="92">
        <f>IFERROR(VLOOKUP($A801,'13. Mapa Títulos-Receita'!$A$8:$P$1000,12,FALSE),"")</f>
        <v/>
      </c>
      <c r="AB801" s="92">
        <f>IFERROR(VLOOKUP($A801,'13. Mapa Títulos-Receita'!$A$8:$P$1000,13,FALSE),"")</f>
        <v/>
      </c>
      <c r="AC801" s="92">
        <f>IFERROR(VLOOKUP($A801,'13. Mapa Títulos-Receita'!$A$8:$P$1000,14,FALSE),"")</f>
        <v/>
      </c>
      <c r="AD801" s="92">
        <f>IFERROR(VLOOKUP($A801,'13. Mapa Títulos-Receita'!$A$8:$P$1000,15,FALSE),"")</f>
        <v/>
      </c>
      <c r="AE801" s="92">
        <f>IFERROR(VLOOKUP($A801,'13. Mapa Títulos-Receita'!$A$8:$P$1000,16,FALSE),"")</f>
        <v/>
      </c>
    </row>
    <row r="802">
      <c r="A802" s="28">
        <f>IF(C802="","", "CR-"&amp;TEXT(ROW()-7,"000"))</f>
        <v/>
      </c>
      <c r="B802" s="28" t="n"/>
      <c r="C802" s="28" t="n"/>
      <c r="D802" s="111" t="n"/>
      <c r="E802" s="111" t="n"/>
      <c r="F802" s="111" t="n"/>
      <c r="G802" s="28" t="n"/>
      <c r="H802" s="45" t="n"/>
      <c r="I802" s="45" t="n"/>
      <c r="J802" s="28">
        <f>IF(H802="","",IF(I802&gt;=H802,"Recebido",IF($B$4&gt;E802,"Vencido","Aberto")))</f>
        <v/>
      </c>
      <c r="K802" s="4">
        <f>IF(J802="","",IF(OR(J802="Recebido",F802=""),MAX(0,F802-E802),MAX(0,$B$4-E802)))</f>
        <v/>
      </c>
      <c r="L802" s="4">
        <f>IF(K802="","",IF(K802=0,"Em dia",IF(K802&lt;=30,"1-30 dias",IF(K802&lt;=60,"31-60 dias",IF(K802&lt;=90,"61-90 dias","&gt;90 dias")))))</f>
        <v/>
      </c>
      <c r="M802" s="28" t="n"/>
      <c r="N802" s="104" t="inlineStr"/>
      <c r="O802" s="64" t="n"/>
      <c r="P802" s="64">
        <f>IF(C802="","",IF(ISNUMBER(SEARCH("PCMSO",C802)),"PCMSO",IF(OR(ISNUMBER(SEARCH("E-SOCIAL",C802)),ISNUMBER(SEARCH("PSICOSOCIAL",C802))),"eSocial / Psicossocial",IF(O802="Receita recorrente","Carteira recorrente","Projetos / Laudos / Avulsos"))))</f>
        <v/>
      </c>
      <c r="Q802" s="64">
        <f>IF(P802="","",IF(P802="Carteira recorrente","Operação recorrente",IF(P802="PCMSO","Projetos PCMSO",IF(P802="eSocial / Psicossocial","Projetos eSocial/Psicossocial","Projetos / Laudos / Avulsos"))))</f>
        <v/>
      </c>
      <c r="R802" s="64">
        <f>IF(C802="","",IF(ISNUMBER(SEARCH("PCMSO",C802)),"Título com PCMSO no nome",IF(OR(ISNUMBER(SEARCH("E-SOCIAL",C802)),ISNUMBER(SEARCH("PSICOSOCIAL",C802))),"Título com eSocial/Psicossocial no nome",IF(O802="Receita recorrente","Tipo DRE recorrente","Extra sem palavra-chave específica"))))</f>
        <v/>
      </c>
      <c r="S802" s="92">
        <f>IFERROR(VLOOKUP($A802,'13. Mapa Títulos-Receita'!$A$8:$P$1000,4,FALSE),"")</f>
        <v/>
      </c>
      <c r="T802" s="92">
        <f>IFERROR(VLOOKUP($A802,'13. Mapa Títulos-Receita'!$A$8:$P$1000,5,FALSE),"")</f>
        <v/>
      </c>
      <c r="U802" s="92">
        <f>IFERROR(VLOOKUP($A802,'13. Mapa Títulos-Receita'!$A$8:$P$1000,6,FALSE),"")</f>
        <v/>
      </c>
      <c r="V802" s="92">
        <f>IFERROR(VLOOKUP($A802,'13. Mapa Títulos-Receita'!$A$8:$P$1000,7,FALSE),"")</f>
        <v/>
      </c>
      <c r="W802" s="92">
        <f>IFERROR(VLOOKUP($A802,'13. Mapa Títulos-Receita'!$A$8:$P$1000,8,FALSE),"")</f>
        <v/>
      </c>
      <c r="X802" s="92">
        <f>IFERROR(VLOOKUP($A802,'13. Mapa Títulos-Receita'!$A$8:$P$1000,9,FALSE),"")</f>
        <v/>
      </c>
      <c r="Y802" s="92">
        <f>IFERROR(VLOOKUP($A802,'13. Mapa Títulos-Receita'!$A$8:$P$1000,10,FALSE),"")</f>
        <v/>
      </c>
      <c r="Z802" s="92">
        <f>IFERROR(VLOOKUP($A802,'13. Mapa Títulos-Receita'!$A$8:$P$1000,11,FALSE),"")</f>
        <v/>
      </c>
      <c r="AA802" s="92">
        <f>IFERROR(VLOOKUP($A802,'13. Mapa Títulos-Receita'!$A$8:$P$1000,12,FALSE),"")</f>
        <v/>
      </c>
      <c r="AB802" s="92">
        <f>IFERROR(VLOOKUP($A802,'13. Mapa Títulos-Receita'!$A$8:$P$1000,13,FALSE),"")</f>
        <v/>
      </c>
      <c r="AC802" s="92">
        <f>IFERROR(VLOOKUP($A802,'13. Mapa Títulos-Receita'!$A$8:$P$1000,14,FALSE),"")</f>
        <v/>
      </c>
      <c r="AD802" s="92">
        <f>IFERROR(VLOOKUP($A802,'13. Mapa Títulos-Receita'!$A$8:$P$1000,15,FALSE),"")</f>
        <v/>
      </c>
      <c r="AE802" s="92">
        <f>IFERROR(VLOOKUP($A802,'13. Mapa Títulos-Receita'!$A$8:$P$1000,16,FALSE),"")</f>
        <v/>
      </c>
    </row>
    <row r="803">
      <c r="A803" s="28">
        <f>IF(C803="","", "CR-"&amp;TEXT(ROW()-7,"000"))</f>
        <v/>
      </c>
      <c r="B803" s="28" t="n"/>
      <c r="C803" s="28" t="n"/>
      <c r="D803" s="111" t="n"/>
      <c r="E803" s="111" t="n"/>
      <c r="F803" s="111" t="n"/>
      <c r="G803" s="28" t="n"/>
      <c r="H803" s="45" t="n"/>
      <c r="I803" s="45" t="n"/>
      <c r="J803" s="28">
        <f>IF(H803="","",IF(I803&gt;=H803,"Recebido",IF($B$4&gt;E803,"Vencido","Aberto")))</f>
        <v/>
      </c>
      <c r="K803" s="4">
        <f>IF(J803="","",IF(OR(J803="Recebido",F803=""),MAX(0,F803-E803),MAX(0,$B$4-E803)))</f>
        <v/>
      </c>
      <c r="L803" s="4">
        <f>IF(K803="","",IF(K803=0,"Em dia",IF(K803&lt;=30,"1-30 dias",IF(K803&lt;=60,"31-60 dias",IF(K803&lt;=90,"61-90 dias","&gt;90 dias")))))</f>
        <v/>
      </c>
      <c r="M803" s="28" t="n"/>
      <c r="N803" s="104" t="inlineStr"/>
      <c r="O803" s="64" t="n"/>
      <c r="P803" s="64">
        <f>IF(C803="","",IF(ISNUMBER(SEARCH("PCMSO",C803)),"PCMSO",IF(OR(ISNUMBER(SEARCH("E-SOCIAL",C803)),ISNUMBER(SEARCH("PSICOSOCIAL",C803))),"eSocial / Psicossocial",IF(O803="Receita recorrente","Carteira recorrente","Projetos / Laudos / Avulsos"))))</f>
        <v/>
      </c>
      <c r="Q803" s="64">
        <f>IF(P803="","",IF(P803="Carteira recorrente","Operação recorrente",IF(P803="PCMSO","Projetos PCMSO",IF(P803="eSocial / Psicossocial","Projetos eSocial/Psicossocial","Projetos / Laudos / Avulsos"))))</f>
        <v/>
      </c>
      <c r="R803" s="64">
        <f>IF(C803="","",IF(ISNUMBER(SEARCH("PCMSO",C803)),"Título com PCMSO no nome",IF(OR(ISNUMBER(SEARCH("E-SOCIAL",C803)),ISNUMBER(SEARCH("PSICOSOCIAL",C803))),"Título com eSocial/Psicossocial no nome",IF(O803="Receita recorrente","Tipo DRE recorrente","Extra sem palavra-chave específica"))))</f>
        <v/>
      </c>
      <c r="S803" s="92">
        <f>IFERROR(VLOOKUP($A803,'13. Mapa Títulos-Receita'!$A$8:$P$1000,4,FALSE),"")</f>
        <v/>
      </c>
      <c r="T803" s="92">
        <f>IFERROR(VLOOKUP($A803,'13. Mapa Títulos-Receita'!$A$8:$P$1000,5,FALSE),"")</f>
        <v/>
      </c>
      <c r="U803" s="92">
        <f>IFERROR(VLOOKUP($A803,'13. Mapa Títulos-Receita'!$A$8:$P$1000,6,FALSE),"")</f>
        <v/>
      </c>
      <c r="V803" s="92">
        <f>IFERROR(VLOOKUP($A803,'13. Mapa Títulos-Receita'!$A$8:$P$1000,7,FALSE),"")</f>
        <v/>
      </c>
      <c r="W803" s="92">
        <f>IFERROR(VLOOKUP($A803,'13. Mapa Títulos-Receita'!$A$8:$P$1000,8,FALSE),"")</f>
        <v/>
      </c>
      <c r="X803" s="92">
        <f>IFERROR(VLOOKUP($A803,'13. Mapa Títulos-Receita'!$A$8:$P$1000,9,FALSE),"")</f>
        <v/>
      </c>
      <c r="Y803" s="92">
        <f>IFERROR(VLOOKUP($A803,'13. Mapa Títulos-Receita'!$A$8:$P$1000,10,FALSE),"")</f>
        <v/>
      </c>
      <c r="Z803" s="92">
        <f>IFERROR(VLOOKUP($A803,'13. Mapa Títulos-Receita'!$A$8:$P$1000,11,FALSE),"")</f>
        <v/>
      </c>
      <c r="AA803" s="92">
        <f>IFERROR(VLOOKUP($A803,'13. Mapa Títulos-Receita'!$A$8:$P$1000,12,FALSE),"")</f>
        <v/>
      </c>
      <c r="AB803" s="92">
        <f>IFERROR(VLOOKUP($A803,'13. Mapa Títulos-Receita'!$A$8:$P$1000,13,FALSE),"")</f>
        <v/>
      </c>
      <c r="AC803" s="92">
        <f>IFERROR(VLOOKUP($A803,'13. Mapa Títulos-Receita'!$A$8:$P$1000,14,FALSE),"")</f>
        <v/>
      </c>
      <c r="AD803" s="92">
        <f>IFERROR(VLOOKUP($A803,'13. Mapa Títulos-Receita'!$A$8:$P$1000,15,FALSE),"")</f>
        <v/>
      </c>
      <c r="AE803" s="92">
        <f>IFERROR(VLOOKUP($A803,'13. Mapa Títulos-Receita'!$A$8:$P$1000,16,FALSE),"")</f>
        <v/>
      </c>
    </row>
    <row r="804">
      <c r="A804" s="28">
        <f>IF(C804="","", "CR-"&amp;TEXT(ROW()-7,"000"))</f>
        <v/>
      </c>
      <c r="B804" s="28" t="n"/>
      <c r="C804" s="28" t="n"/>
      <c r="D804" s="111" t="n"/>
      <c r="E804" s="111" t="n"/>
      <c r="F804" s="111" t="n"/>
      <c r="G804" s="28" t="n"/>
      <c r="H804" s="45" t="n"/>
      <c r="I804" s="45" t="n"/>
      <c r="J804" s="28">
        <f>IF(H804="","",IF(I804&gt;=H804,"Recebido",IF($B$4&gt;E804,"Vencido","Aberto")))</f>
        <v/>
      </c>
      <c r="K804" s="4">
        <f>IF(J804="","",IF(OR(J804="Recebido",F804=""),MAX(0,F804-E804),MAX(0,$B$4-E804)))</f>
        <v/>
      </c>
      <c r="L804" s="4">
        <f>IF(K804="","",IF(K804=0,"Em dia",IF(K804&lt;=30,"1-30 dias",IF(K804&lt;=60,"31-60 dias",IF(K804&lt;=90,"61-90 dias","&gt;90 dias")))))</f>
        <v/>
      </c>
      <c r="M804" s="28" t="n"/>
      <c r="N804" s="104" t="inlineStr"/>
      <c r="O804" s="64" t="n"/>
      <c r="P804" s="64">
        <f>IF(C804="","",IF(ISNUMBER(SEARCH("PCMSO",C804)),"PCMSO",IF(OR(ISNUMBER(SEARCH("E-SOCIAL",C804)),ISNUMBER(SEARCH("PSICOSOCIAL",C804))),"eSocial / Psicossocial",IF(O804="Receita recorrente","Carteira recorrente","Projetos / Laudos / Avulsos"))))</f>
        <v/>
      </c>
      <c r="Q804" s="64">
        <f>IF(P804="","",IF(P804="Carteira recorrente","Operação recorrente",IF(P804="PCMSO","Projetos PCMSO",IF(P804="eSocial / Psicossocial","Projetos eSocial/Psicossocial","Projetos / Laudos / Avulsos"))))</f>
        <v/>
      </c>
      <c r="R804" s="64">
        <f>IF(C804="","",IF(ISNUMBER(SEARCH("PCMSO",C804)),"Título com PCMSO no nome",IF(OR(ISNUMBER(SEARCH("E-SOCIAL",C804)),ISNUMBER(SEARCH("PSICOSOCIAL",C804))),"Título com eSocial/Psicossocial no nome",IF(O804="Receita recorrente","Tipo DRE recorrente","Extra sem palavra-chave específica"))))</f>
        <v/>
      </c>
      <c r="S804" s="92">
        <f>IFERROR(VLOOKUP($A804,'13. Mapa Títulos-Receita'!$A$8:$P$1000,4,FALSE),"")</f>
        <v/>
      </c>
      <c r="T804" s="92">
        <f>IFERROR(VLOOKUP($A804,'13. Mapa Títulos-Receita'!$A$8:$P$1000,5,FALSE),"")</f>
        <v/>
      </c>
      <c r="U804" s="92">
        <f>IFERROR(VLOOKUP($A804,'13. Mapa Títulos-Receita'!$A$8:$P$1000,6,FALSE),"")</f>
        <v/>
      </c>
      <c r="V804" s="92">
        <f>IFERROR(VLOOKUP($A804,'13. Mapa Títulos-Receita'!$A$8:$P$1000,7,FALSE),"")</f>
        <v/>
      </c>
      <c r="W804" s="92">
        <f>IFERROR(VLOOKUP($A804,'13. Mapa Títulos-Receita'!$A$8:$P$1000,8,FALSE),"")</f>
        <v/>
      </c>
      <c r="X804" s="92">
        <f>IFERROR(VLOOKUP($A804,'13. Mapa Títulos-Receita'!$A$8:$P$1000,9,FALSE),"")</f>
        <v/>
      </c>
      <c r="Y804" s="92">
        <f>IFERROR(VLOOKUP($A804,'13. Mapa Títulos-Receita'!$A$8:$P$1000,10,FALSE),"")</f>
        <v/>
      </c>
      <c r="Z804" s="92">
        <f>IFERROR(VLOOKUP($A804,'13. Mapa Títulos-Receita'!$A$8:$P$1000,11,FALSE),"")</f>
        <v/>
      </c>
      <c r="AA804" s="92">
        <f>IFERROR(VLOOKUP($A804,'13. Mapa Títulos-Receita'!$A$8:$P$1000,12,FALSE),"")</f>
        <v/>
      </c>
      <c r="AB804" s="92">
        <f>IFERROR(VLOOKUP($A804,'13. Mapa Títulos-Receita'!$A$8:$P$1000,13,FALSE),"")</f>
        <v/>
      </c>
      <c r="AC804" s="92">
        <f>IFERROR(VLOOKUP($A804,'13. Mapa Títulos-Receita'!$A$8:$P$1000,14,FALSE),"")</f>
        <v/>
      </c>
      <c r="AD804" s="92">
        <f>IFERROR(VLOOKUP($A804,'13. Mapa Títulos-Receita'!$A$8:$P$1000,15,FALSE),"")</f>
        <v/>
      </c>
      <c r="AE804" s="92">
        <f>IFERROR(VLOOKUP($A804,'13. Mapa Títulos-Receita'!$A$8:$P$1000,16,FALSE),"")</f>
        <v/>
      </c>
    </row>
    <row r="805">
      <c r="A805" s="28">
        <f>IF(C805="","", "CR-"&amp;TEXT(ROW()-7,"000"))</f>
        <v/>
      </c>
      <c r="B805" s="28" t="n"/>
      <c r="C805" s="28" t="n"/>
      <c r="D805" s="111" t="n"/>
      <c r="E805" s="111" t="n"/>
      <c r="F805" s="111" t="n"/>
      <c r="G805" s="28" t="n"/>
      <c r="H805" s="45" t="n"/>
      <c r="I805" s="45" t="n"/>
      <c r="J805" s="28">
        <f>IF(H805="","",IF(I805&gt;=H805,"Recebido",IF($B$4&gt;E805,"Vencido","Aberto")))</f>
        <v/>
      </c>
      <c r="K805" s="4">
        <f>IF(J805="","",IF(OR(J805="Recebido",F805=""),MAX(0,F805-E805),MAX(0,$B$4-E805)))</f>
        <v/>
      </c>
      <c r="L805" s="4">
        <f>IF(K805="","",IF(K805=0,"Em dia",IF(K805&lt;=30,"1-30 dias",IF(K805&lt;=60,"31-60 dias",IF(K805&lt;=90,"61-90 dias","&gt;90 dias")))))</f>
        <v/>
      </c>
      <c r="M805" s="28" t="n"/>
      <c r="N805" s="104" t="inlineStr"/>
      <c r="O805" s="64" t="n"/>
      <c r="P805" s="64">
        <f>IF(C805="","",IF(ISNUMBER(SEARCH("PCMSO",C805)),"PCMSO",IF(OR(ISNUMBER(SEARCH("E-SOCIAL",C805)),ISNUMBER(SEARCH("PSICOSOCIAL",C805))),"eSocial / Psicossocial",IF(O805="Receita recorrente","Carteira recorrente","Projetos / Laudos / Avulsos"))))</f>
        <v/>
      </c>
      <c r="Q805" s="64">
        <f>IF(P805="","",IF(P805="Carteira recorrente","Operação recorrente",IF(P805="PCMSO","Projetos PCMSO",IF(P805="eSocial / Psicossocial","Projetos eSocial/Psicossocial","Projetos / Laudos / Avulsos"))))</f>
        <v/>
      </c>
      <c r="R805" s="64">
        <f>IF(C805="","",IF(ISNUMBER(SEARCH("PCMSO",C805)),"Título com PCMSO no nome",IF(OR(ISNUMBER(SEARCH("E-SOCIAL",C805)),ISNUMBER(SEARCH("PSICOSOCIAL",C805))),"Título com eSocial/Psicossocial no nome",IF(O805="Receita recorrente","Tipo DRE recorrente","Extra sem palavra-chave específica"))))</f>
        <v/>
      </c>
      <c r="S805" s="92">
        <f>IFERROR(VLOOKUP($A805,'13. Mapa Títulos-Receita'!$A$8:$P$1000,4,FALSE),"")</f>
        <v/>
      </c>
      <c r="T805" s="92">
        <f>IFERROR(VLOOKUP($A805,'13. Mapa Títulos-Receita'!$A$8:$P$1000,5,FALSE),"")</f>
        <v/>
      </c>
      <c r="U805" s="92">
        <f>IFERROR(VLOOKUP($A805,'13. Mapa Títulos-Receita'!$A$8:$P$1000,6,FALSE),"")</f>
        <v/>
      </c>
      <c r="V805" s="92">
        <f>IFERROR(VLOOKUP($A805,'13. Mapa Títulos-Receita'!$A$8:$P$1000,7,FALSE),"")</f>
        <v/>
      </c>
      <c r="W805" s="92">
        <f>IFERROR(VLOOKUP($A805,'13. Mapa Títulos-Receita'!$A$8:$P$1000,8,FALSE),"")</f>
        <v/>
      </c>
      <c r="X805" s="92">
        <f>IFERROR(VLOOKUP($A805,'13. Mapa Títulos-Receita'!$A$8:$P$1000,9,FALSE),"")</f>
        <v/>
      </c>
      <c r="Y805" s="92">
        <f>IFERROR(VLOOKUP($A805,'13. Mapa Títulos-Receita'!$A$8:$P$1000,10,FALSE),"")</f>
        <v/>
      </c>
      <c r="Z805" s="92">
        <f>IFERROR(VLOOKUP($A805,'13. Mapa Títulos-Receita'!$A$8:$P$1000,11,FALSE),"")</f>
        <v/>
      </c>
      <c r="AA805" s="92">
        <f>IFERROR(VLOOKUP($A805,'13. Mapa Títulos-Receita'!$A$8:$P$1000,12,FALSE),"")</f>
        <v/>
      </c>
      <c r="AB805" s="92">
        <f>IFERROR(VLOOKUP($A805,'13. Mapa Títulos-Receita'!$A$8:$P$1000,13,FALSE),"")</f>
        <v/>
      </c>
      <c r="AC805" s="92">
        <f>IFERROR(VLOOKUP($A805,'13. Mapa Títulos-Receita'!$A$8:$P$1000,14,FALSE),"")</f>
        <v/>
      </c>
      <c r="AD805" s="92">
        <f>IFERROR(VLOOKUP($A805,'13. Mapa Títulos-Receita'!$A$8:$P$1000,15,FALSE),"")</f>
        <v/>
      </c>
      <c r="AE805" s="92">
        <f>IFERROR(VLOOKUP($A805,'13. Mapa Títulos-Receita'!$A$8:$P$1000,16,FALSE),"")</f>
        <v/>
      </c>
    </row>
    <row r="806">
      <c r="A806" s="28">
        <f>IF(C806="","", "CR-"&amp;TEXT(ROW()-7,"000"))</f>
        <v/>
      </c>
      <c r="B806" s="28" t="n"/>
      <c r="C806" s="28" t="n"/>
      <c r="D806" s="111" t="n"/>
      <c r="E806" s="111" t="n"/>
      <c r="F806" s="111" t="n"/>
      <c r="G806" s="28" t="n"/>
      <c r="H806" s="45" t="n"/>
      <c r="I806" s="45" t="n"/>
      <c r="J806" s="28">
        <f>IF(H806="","",IF(I806&gt;=H806,"Recebido",IF($B$4&gt;E806,"Vencido","Aberto")))</f>
        <v/>
      </c>
      <c r="K806" s="4">
        <f>IF(J806="","",IF(OR(J806="Recebido",F806=""),MAX(0,F806-E806),MAX(0,$B$4-E806)))</f>
        <v/>
      </c>
      <c r="L806" s="4">
        <f>IF(K806="","",IF(K806=0,"Em dia",IF(K806&lt;=30,"1-30 dias",IF(K806&lt;=60,"31-60 dias",IF(K806&lt;=90,"61-90 dias","&gt;90 dias")))))</f>
        <v/>
      </c>
      <c r="M806" s="28" t="n"/>
      <c r="N806" s="104" t="inlineStr"/>
      <c r="O806" s="64" t="n"/>
      <c r="P806" s="64">
        <f>IF(C806="","",IF(ISNUMBER(SEARCH("PCMSO",C806)),"PCMSO",IF(OR(ISNUMBER(SEARCH("E-SOCIAL",C806)),ISNUMBER(SEARCH("PSICOSOCIAL",C806))),"eSocial / Psicossocial",IF(O806="Receita recorrente","Carteira recorrente","Projetos / Laudos / Avulsos"))))</f>
        <v/>
      </c>
      <c r="Q806" s="64">
        <f>IF(P806="","",IF(P806="Carteira recorrente","Operação recorrente",IF(P806="PCMSO","Projetos PCMSO",IF(P806="eSocial / Psicossocial","Projetos eSocial/Psicossocial","Projetos / Laudos / Avulsos"))))</f>
        <v/>
      </c>
      <c r="R806" s="64">
        <f>IF(C806="","",IF(ISNUMBER(SEARCH("PCMSO",C806)),"Título com PCMSO no nome",IF(OR(ISNUMBER(SEARCH("E-SOCIAL",C806)),ISNUMBER(SEARCH("PSICOSOCIAL",C806))),"Título com eSocial/Psicossocial no nome",IF(O806="Receita recorrente","Tipo DRE recorrente","Extra sem palavra-chave específica"))))</f>
        <v/>
      </c>
      <c r="S806" s="92">
        <f>IFERROR(VLOOKUP($A806,'13. Mapa Títulos-Receita'!$A$8:$P$1000,4,FALSE),"")</f>
        <v/>
      </c>
      <c r="T806" s="92">
        <f>IFERROR(VLOOKUP($A806,'13. Mapa Títulos-Receita'!$A$8:$P$1000,5,FALSE),"")</f>
        <v/>
      </c>
      <c r="U806" s="92">
        <f>IFERROR(VLOOKUP($A806,'13. Mapa Títulos-Receita'!$A$8:$P$1000,6,FALSE),"")</f>
        <v/>
      </c>
      <c r="V806" s="92">
        <f>IFERROR(VLOOKUP($A806,'13. Mapa Títulos-Receita'!$A$8:$P$1000,7,FALSE),"")</f>
        <v/>
      </c>
      <c r="W806" s="92">
        <f>IFERROR(VLOOKUP($A806,'13. Mapa Títulos-Receita'!$A$8:$P$1000,8,FALSE),"")</f>
        <v/>
      </c>
      <c r="X806" s="92">
        <f>IFERROR(VLOOKUP($A806,'13. Mapa Títulos-Receita'!$A$8:$P$1000,9,FALSE),"")</f>
        <v/>
      </c>
      <c r="Y806" s="92">
        <f>IFERROR(VLOOKUP($A806,'13. Mapa Títulos-Receita'!$A$8:$P$1000,10,FALSE),"")</f>
        <v/>
      </c>
      <c r="Z806" s="92">
        <f>IFERROR(VLOOKUP($A806,'13. Mapa Títulos-Receita'!$A$8:$P$1000,11,FALSE),"")</f>
        <v/>
      </c>
      <c r="AA806" s="92">
        <f>IFERROR(VLOOKUP($A806,'13. Mapa Títulos-Receita'!$A$8:$P$1000,12,FALSE),"")</f>
        <v/>
      </c>
      <c r="AB806" s="92">
        <f>IFERROR(VLOOKUP($A806,'13. Mapa Títulos-Receita'!$A$8:$P$1000,13,FALSE),"")</f>
        <v/>
      </c>
      <c r="AC806" s="92">
        <f>IFERROR(VLOOKUP($A806,'13. Mapa Títulos-Receita'!$A$8:$P$1000,14,FALSE),"")</f>
        <v/>
      </c>
      <c r="AD806" s="92">
        <f>IFERROR(VLOOKUP($A806,'13. Mapa Títulos-Receita'!$A$8:$P$1000,15,FALSE),"")</f>
        <v/>
      </c>
      <c r="AE806" s="92">
        <f>IFERROR(VLOOKUP($A806,'13. Mapa Títulos-Receita'!$A$8:$P$1000,16,FALSE),"")</f>
        <v/>
      </c>
    </row>
    <row r="807">
      <c r="A807" s="28">
        <f>IF(C807="","", "CR-"&amp;TEXT(ROW()-7,"000"))</f>
        <v/>
      </c>
      <c r="B807" s="28" t="n"/>
      <c r="C807" s="28" t="n"/>
      <c r="D807" s="111" t="n"/>
      <c r="E807" s="111" t="n"/>
      <c r="F807" s="111" t="n"/>
      <c r="G807" s="28" t="n"/>
      <c r="H807" s="45" t="n"/>
      <c r="I807" s="45" t="n"/>
      <c r="J807" s="28">
        <f>IF(H807="","",IF(I807&gt;=H807,"Recebido",IF($B$4&gt;E807,"Vencido","Aberto")))</f>
        <v/>
      </c>
      <c r="K807" s="4">
        <f>IF(J807="","",IF(OR(J807="Recebido",F807=""),MAX(0,F807-E807),MAX(0,$B$4-E807)))</f>
        <v/>
      </c>
      <c r="L807" s="4">
        <f>IF(K807="","",IF(K807=0,"Em dia",IF(K807&lt;=30,"1-30 dias",IF(K807&lt;=60,"31-60 dias",IF(K807&lt;=90,"61-90 dias","&gt;90 dias")))))</f>
        <v/>
      </c>
      <c r="M807" s="28" t="n"/>
      <c r="N807" s="104" t="inlineStr"/>
      <c r="O807" s="64" t="n"/>
      <c r="P807" s="64">
        <f>IF(C807="","",IF(ISNUMBER(SEARCH("PCMSO",C807)),"PCMSO",IF(OR(ISNUMBER(SEARCH("E-SOCIAL",C807)),ISNUMBER(SEARCH("PSICOSOCIAL",C807))),"eSocial / Psicossocial",IF(O807="Receita recorrente","Carteira recorrente","Projetos / Laudos / Avulsos"))))</f>
        <v/>
      </c>
      <c r="Q807" s="64">
        <f>IF(P807="","",IF(P807="Carteira recorrente","Operação recorrente",IF(P807="PCMSO","Projetos PCMSO",IF(P807="eSocial / Psicossocial","Projetos eSocial/Psicossocial","Projetos / Laudos / Avulsos"))))</f>
        <v/>
      </c>
      <c r="R807" s="64">
        <f>IF(C807="","",IF(ISNUMBER(SEARCH("PCMSO",C807)),"Título com PCMSO no nome",IF(OR(ISNUMBER(SEARCH("E-SOCIAL",C807)),ISNUMBER(SEARCH("PSICOSOCIAL",C807))),"Título com eSocial/Psicossocial no nome",IF(O807="Receita recorrente","Tipo DRE recorrente","Extra sem palavra-chave específica"))))</f>
        <v/>
      </c>
      <c r="S807" s="92">
        <f>IFERROR(VLOOKUP($A807,'13. Mapa Títulos-Receita'!$A$8:$P$1000,4,FALSE),"")</f>
        <v/>
      </c>
      <c r="T807" s="92">
        <f>IFERROR(VLOOKUP($A807,'13. Mapa Títulos-Receita'!$A$8:$P$1000,5,FALSE),"")</f>
        <v/>
      </c>
      <c r="U807" s="92">
        <f>IFERROR(VLOOKUP($A807,'13. Mapa Títulos-Receita'!$A$8:$P$1000,6,FALSE),"")</f>
        <v/>
      </c>
      <c r="V807" s="92">
        <f>IFERROR(VLOOKUP($A807,'13. Mapa Títulos-Receita'!$A$8:$P$1000,7,FALSE),"")</f>
        <v/>
      </c>
      <c r="W807" s="92">
        <f>IFERROR(VLOOKUP($A807,'13. Mapa Títulos-Receita'!$A$8:$P$1000,8,FALSE),"")</f>
        <v/>
      </c>
      <c r="X807" s="92">
        <f>IFERROR(VLOOKUP($A807,'13. Mapa Títulos-Receita'!$A$8:$P$1000,9,FALSE),"")</f>
        <v/>
      </c>
      <c r="Y807" s="92">
        <f>IFERROR(VLOOKUP($A807,'13. Mapa Títulos-Receita'!$A$8:$P$1000,10,FALSE),"")</f>
        <v/>
      </c>
      <c r="Z807" s="92">
        <f>IFERROR(VLOOKUP($A807,'13. Mapa Títulos-Receita'!$A$8:$P$1000,11,FALSE),"")</f>
        <v/>
      </c>
      <c r="AA807" s="92">
        <f>IFERROR(VLOOKUP($A807,'13. Mapa Títulos-Receita'!$A$8:$P$1000,12,FALSE),"")</f>
        <v/>
      </c>
      <c r="AB807" s="92">
        <f>IFERROR(VLOOKUP($A807,'13. Mapa Títulos-Receita'!$A$8:$P$1000,13,FALSE),"")</f>
        <v/>
      </c>
      <c r="AC807" s="92">
        <f>IFERROR(VLOOKUP($A807,'13. Mapa Títulos-Receita'!$A$8:$P$1000,14,FALSE),"")</f>
        <v/>
      </c>
      <c r="AD807" s="92">
        <f>IFERROR(VLOOKUP($A807,'13. Mapa Títulos-Receita'!$A$8:$P$1000,15,FALSE),"")</f>
        <v/>
      </c>
      <c r="AE807" s="92">
        <f>IFERROR(VLOOKUP($A807,'13. Mapa Títulos-Receita'!$A$8:$P$1000,16,FALSE),"")</f>
        <v/>
      </c>
    </row>
    <row r="808">
      <c r="A808" s="28">
        <f>IF(C808="","", "CR-"&amp;TEXT(ROW()-7,"000"))</f>
        <v/>
      </c>
      <c r="B808" s="28" t="n"/>
      <c r="C808" s="28" t="n"/>
      <c r="D808" s="111" t="n"/>
      <c r="E808" s="111" t="n"/>
      <c r="F808" s="111" t="n"/>
      <c r="G808" s="28" t="n"/>
      <c r="H808" s="45" t="n"/>
      <c r="I808" s="45" t="n"/>
      <c r="J808" s="28">
        <f>IF(H808="","",IF(I808&gt;=H808,"Recebido",IF($B$4&gt;E808,"Vencido","Aberto")))</f>
        <v/>
      </c>
      <c r="K808" s="4">
        <f>IF(J808="","",IF(OR(J808="Recebido",F808=""),MAX(0,F808-E808),MAX(0,$B$4-E808)))</f>
        <v/>
      </c>
      <c r="L808" s="4">
        <f>IF(K808="","",IF(K808=0,"Em dia",IF(K808&lt;=30,"1-30 dias",IF(K808&lt;=60,"31-60 dias",IF(K808&lt;=90,"61-90 dias","&gt;90 dias")))))</f>
        <v/>
      </c>
      <c r="M808" s="28" t="n"/>
      <c r="N808" s="104" t="inlineStr"/>
      <c r="O808" s="64" t="n"/>
      <c r="P808" s="64">
        <f>IF(C808="","",IF(ISNUMBER(SEARCH("PCMSO",C808)),"PCMSO",IF(OR(ISNUMBER(SEARCH("E-SOCIAL",C808)),ISNUMBER(SEARCH("PSICOSOCIAL",C808))),"eSocial / Psicossocial",IF(O808="Receita recorrente","Carteira recorrente","Projetos / Laudos / Avulsos"))))</f>
        <v/>
      </c>
      <c r="Q808" s="64">
        <f>IF(P808="","",IF(P808="Carteira recorrente","Operação recorrente",IF(P808="PCMSO","Projetos PCMSO",IF(P808="eSocial / Psicossocial","Projetos eSocial/Psicossocial","Projetos / Laudos / Avulsos"))))</f>
        <v/>
      </c>
      <c r="R808" s="64">
        <f>IF(C808="","",IF(ISNUMBER(SEARCH("PCMSO",C808)),"Título com PCMSO no nome",IF(OR(ISNUMBER(SEARCH("E-SOCIAL",C808)),ISNUMBER(SEARCH("PSICOSOCIAL",C808))),"Título com eSocial/Psicossocial no nome",IF(O808="Receita recorrente","Tipo DRE recorrente","Extra sem palavra-chave específica"))))</f>
        <v/>
      </c>
      <c r="S808" s="92">
        <f>IFERROR(VLOOKUP($A808,'13. Mapa Títulos-Receita'!$A$8:$P$1000,4,FALSE),"")</f>
        <v/>
      </c>
      <c r="T808" s="92">
        <f>IFERROR(VLOOKUP($A808,'13. Mapa Títulos-Receita'!$A$8:$P$1000,5,FALSE),"")</f>
        <v/>
      </c>
      <c r="U808" s="92">
        <f>IFERROR(VLOOKUP($A808,'13. Mapa Títulos-Receita'!$A$8:$P$1000,6,FALSE),"")</f>
        <v/>
      </c>
      <c r="V808" s="92">
        <f>IFERROR(VLOOKUP($A808,'13. Mapa Títulos-Receita'!$A$8:$P$1000,7,FALSE),"")</f>
        <v/>
      </c>
      <c r="W808" s="92">
        <f>IFERROR(VLOOKUP($A808,'13. Mapa Títulos-Receita'!$A$8:$P$1000,8,FALSE),"")</f>
        <v/>
      </c>
      <c r="X808" s="92">
        <f>IFERROR(VLOOKUP($A808,'13. Mapa Títulos-Receita'!$A$8:$P$1000,9,FALSE),"")</f>
        <v/>
      </c>
      <c r="Y808" s="92">
        <f>IFERROR(VLOOKUP($A808,'13. Mapa Títulos-Receita'!$A$8:$P$1000,10,FALSE),"")</f>
        <v/>
      </c>
      <c r="Z808" s="92">
        <f>IFERROR(VLOOKUP($A808,'13. Mapa Títulos-Receita'!$A$8:$P$1000,11,FALSE),"")</f>
        <v/>
      </c>
      <c r="AA808" s="92">
        <f>IFERROR(VLOOKUP($A808,'13. Mapa Títulos-Receita'!$A$8:$P$1000,12,FALSE),"")</f>
        <v/>
      </c>
      <c r="AB808" s="92">
        <f>IFERROR(VLOOKUP($A808,'13. Mapa Títulos-Receita'!$A$8:$P$1000,13,FALSE),"")</f>
        <v/>
      </c>
      <c r="AC808" s="92">
        <f>IFERROR(VLOOKUP($A808,'13. Mapa Títulos-Receita'!$A$8:$P$1000,14,FALSE),"")</f>
        <v/>
      </c>
      <c r="AD808" s="92">
        <f>IFERROR(VLOOKUP($A808,'13. Mapa Títulos-Receita'!$A$8:$P$1000,15,FALSE),"")</f>
        <v/>
      </c>
      <c r="AE808" s="92">
        <f>IFERROR(VLOOKUP($A808,'13. Mapa Títulos-Receita'!$A$8:$P$1000,16,FALSE),"")</f>
        <v/>
      </c>
    </row>
    <row r="809">
      <c r="A809" s="28">
        <f>IF(C809="","", "CR-"&amp;TEXT(ROW()-7,"000"))</f>
        <v/>
      </c>
      <c r="B809" s="28" t="n"/>
      <c r="C809" s="28" t="n"/>
      <c r="D809" s="111" t="n"/>
      <c r="E809" s="111" t="n"/>
      <c r="F809" s="111" t="n"/>
      <c r="G809" s="28" t="n"/>
      <c r="H809" s="45" t="n"/>
      <c r="I809" s="45" t="n"/>
      <c r="J809" s="28">
        <f>IF(H809="","",IF(I809&gt;=H809,"Recebido",IF($B$4&gt;E809,"Vencido","Aberto")))</f>
        <v/>
      </c>
      <c r="K809" s="4">
        <f>IF(J809="","",IF(OR(J809="Recebido",F809=""),MAX(0,F809-E809),MAX(0,$B$4-E809)))</f>
        <v/>
      </c>
      <c r="L809" s="4">
        <f>IF(K809="","",IF(K809=0,"Em dia",IF(K809&lt;=30,"1-30 dias",IF(K809&lt;=60,"31-60 dias",IF(K809&lt;=90,"61-90 dias","&gt;90 dias")))))</f>
        <v/>
      </c>
      <c r="M809" s="28" t="n"/>
      <c r="N809" s="104" t="inlineStr"/>
      <c r="O809" s="64" t="n"/>
      <c r="P809" s="64">
        <f>IF(C809="","",IF(ISNUMBER(SEARCH("PCMSO",C809)),"PCMSO",IF(OR(ISNUMBER(SEARCH("E-SOCIAL",C809)),ISNUMBER(SEARCH("PSICOSOCIAL",C809))),"eSocial / Psicossocial",IF(O809="Receita recorrente","Carteira recorrente","Projetos / Laudos / Avulsos"))))</f>
        <v/>
      </c>
      <c r="Q809" s="64">
        <f>IF(P809="","",IF(P809="Carteira recorrente","Operação recorrente",IF(P809="PCMSO","Projetos PCMSO",IF(P809="eSocial / Psicossocial","Projetos eSocial/Psicossocial","Projetos / Laudos / Avulsos"))))</f>
        <v/>
      </c>
      <c r="R809" s="64">
        <f>IF(C809="","",IF(ISNUMBER(SEARCH("PCMSO",C809)),"Título com PCMSO no nome",IF(OR(ISNUMBER(SEARCH("E-SOCIAL",C809)),ISNUMBER(SEARCH("PSICOSOCIAL",C809))),"Título com eSocial/Psicossocial no nome",IF(O809="Receita recorrente","Tipo DRE recorrente","Extra sem palavra-chave específica"))))</f>
        <v/>
      </c>
      <c r="S809" s="92">
        <f>IFERROR(VLOOKUP($A809,'13. Mapa Títulos-Receita'!$A$8:$P$1000,4,FALSE),"")</f>
        <v/>
      </c>
      <c r="T809" s="92">
        <f>IFERROR(VLOOKUP($A809,'13. Mapa Títulos-Receita'!$A$8:$P$1000,5,FALSE),"")</f>
        <v/>
      </c>
      <c r="U809" s="92">
        <f>IFERROR(VLOOKUP($A809,'13. Mapa Títulos-Receita'!$A$8:$P$1000,6,FALSE),"")</f>
        <v/>
      </c>
      <c r="V809" s="92">
        <f>IFERROR(VLOOKUP($A809,'13. Mapa Títulos-Receita'!$A$8:$P$1000,7,FALSE),"")</f>
        <v/>
      </c>
      <c r="W809" s="92">
        <f>IFERROR(VLOOKUP($A809,'13. Mapa Títulos-Receita'!$A$8:$P$1000,8,FALSE),"")</f>
        <v/>
      </c>
      <c r="X809" s="92">
        <f>IFERROR(VLOOKUP($A809,'13. Mapa Títulos-Receita'!$A$8:$P$1000,9,FALSE),"")</f>
        <v/>
      </c>
      <c r="Y809" s="92">
        <f>IFERROR(VLOOKUP($A809,'13. Mapa Títulos-Receita'!$A$8:$P$1000,10,FALSE),"")</f>
        <v/>
      </c>
      <c r="Z809" s="92">
        <f>IFERROR(VLOOKUP($A809,'13. Mapa Títulos-Receita'!$A$8:$P$1000,11,FALSE),"")</f>
        <v/>
      </c>
      <c r="AA809" s="92">
        <f>IFERROR(VLOOKUP($A809,'13. Mapa Títulos-Receita'!$A$8:$P$1000,12,FALSE),"")</f>
        <v/>
      </c>
      <c r="AB809" s="92">
        <f>IFERROR(VLOOKUP($A809,'13. Mapa Títulos-Receita'!$A$8:$P$1000,13,FALSE),"")</f>
        <v/>
      </c>
      <c r="AC809" s="92">
        <f>IFERROR(VLOOKUP($A809,'13. Mapa Títulos-Receita'!$A$8:$P$1000,14,FALSE),"")</f>
        <v/>
      </c>
      <c r="AD809" s="92">
        <f>IFERROR(VLOOKUP($A809,'13. Mapa Títulos-Receita'!$A$8:$P$1000,15,FALSE),"")</f>
        <v/>
      </c>
      <c r="AE809" s="92">
        <f>IFERROR(VLOOKUP($A809,'13. Mapa Títulos-Receita'!$A$8:$P$1000,16,FALSE),"")</f>
        <v/>
      </c>
    </row>
    <row r="810">
      <c r="A810" s="28">
        <f>IF(C810="","", "CR-"&amp;TEXT(ROW()-7,"000"))</f>
        <v/>
      </c>
      <c r="B810" s="28" t="n"/>
      <c r="C810" s="28" t="n"/>
      <c r="D810" s="111" t="n"/>
      <c r="E810" s="111" t="n"/>
      <c r="F810" s="111" t="n"/>
      <c r="G810" s="28" t="n"/>
      <c r="H810" s="45" t="n"/>
      <c r="I810" s="45" t="n"/>
      <c r="J810" s="28">
        <f>IF(H810="","",IF(I810&gt;=H810,"Recebido",IF($B$4&gt;E810,"Vencido","Aberto")))</f>
        <v/>
      </c>
      <c r="K810" s="4">
        <f>IF(J810="","",IF(OR(J810="Recebido",F810=""),MAX(0,F810-E810),MAX(0,$B$4-E810)))</f>
        <v/>
      </c>
      <c r="L810" s="4">
        <f>IF(K810="","",IF(K810=0,"Em dia",IF(K810&lt;=30,"1-30 dias",IF(K810&lt;=60,"31-60 dias",IF(K810&lt;=90,"61-90 dias","&gt;90 dias")))))</f>
        <v/>
      </c>
      <c r="M810" s="28" t="n"/>
      <c r="N810" s="104" t="inlineStr"/>
      <c r="O810" s="64" t="n"/>
      <c r="P810" s="64">
        <f>IF(C810="","",IF(ISNUMBER(SEARCH("PCMSO",C810)),"PCMSO",IF(OR(ISNUMBER(SEARCH("E-SOCIAL",C810)),ISNUMBER(SEARCH("PSICOSOCIAL",C810))),"eSocial / Psicossocial",IF(O810="Receita recorrente","Carteira recorrente","Projetos / Laudos / Avulsos"))))</f>
        <v/>
      </c>
      <c r="Q810" s="64">
        <f>IF(P810="","",IF(P810="Carteira recorrente","Operação recorrente",IF(P810="PCMSO","Projetos PCMSO",IF(P810="eSocial / Psicossocial","Projetos eSocial/Psicossocial","Projetos / Laudos / Avulsos"))))</f>
        <v/>
      </c>
      <c r="R810" s="64">
        <f>IF(C810="","",IF(ISNUMBER(SEARCH("PCMSO",C810)),"Título com PCMSO no nome",IF(OR(ISNUMBER(SEARCH("E-SOCIAL",C810)),ISNUMBER(SEARCH("PSICOSOCIAL",C810))),"Título com eSocial/Psicossocial no nome",IF(O810="Receita recorrente","Tipo DRE recorrente","Extra sem palavra-chave específica"))))</f>
        <v/>
      </c>
      <c r="S810" s="92">
        <f>IFERROR(VLOOKUP($A810,'13. Mapa Títulos-Receita'!$A$8:$P$1000,4,FALSE),"")</f>
        <v/>
      </c>
      <c r="T810" s="92">
        <f>IFERROR(VLOOKUP($A810,'13. Mapa Títulos-Receita'!$A$8:$P$1000,5,FALSE),"")</f>
        <v/>
      </c>
      <c r="U810" s="92">
        <f>IFERROR(VLOOKUP($A810,'13. Mapa Títulos-Receita'!$A$8:$P$1000,6,FALSE),"")</f>
        <v/>
      </c>
      <c r="V810" s="92">
        <f>IFERROR(VLOOKUP($A810,'13. Mapa Títulos-Receita'!$A$8:$P$1000,7,FALSE),"")</f>
        <v/>
      </c>
      <c r="W810" s="92">
        <f>IFERROR(VLOOKUP($A810,'13. Mapa Títulos-Receita'!$A$8:$P$1000,8,FALSE),"")</f>
        <v/>
      </c>
      <c r="X810" s="92">
        <f>IFERROR(VLOOKUP($A810,'13. Mapa Títulos-Receita'!$A$8:$P$1000,9,FALSE),"")</f>
        <v/>
      </c>
      <c r="Y810" s="92">
        <f>IFERROR(VLOOKUP($A810,'13. Mapa Títulos-Receita'!$A$8:$P$1000,10,FALSE),"")</f>
        <v/>
      </c>
      <c r="Z810" s="92">
        <f>IFERROR(VLOOKUP($A810,'13. Mapa Títulos-Receita'!$A$8:$P$1000,11,FALSE),"")</f>
        <v/>
      </c>
      <c r="AA810" s="92">
        <f>IFERROR(VLOOKUP($A810,'13. Mapa Títulos-Receita'!$A$8:$P$1000,12,FALSE),"")</f>
        <v/>
      </c>
      <c r="AB810" s="92">
        <f>IFERROR(VLOOKUP($A810,'13. Mapa Títulos-Receita'!$A$8:$P$1000,13,FALSE),"")</f>
        <v/>
      </c>
      <c r="AC810" s="92">
        <f>IFERROR(VLOOKUP($A810,'13. Mapa Títulos-Receita'!$A$8:$P$1000,14,FALSE),"")</f>
        <v/>
      </c>
      <c r="AD810" s="92">
        <f>IFERROR(VLOOKUP($A810,'13. Mapa Títulos-Receita'!$A$8:$P$1000,15,FALSE),"")</f>
        <v/>
      </c>
      <c r="AE810" s="92">
        <f>IFERROR(VLOOKUP($A810,'13. Mapa Títulos-Receita'!$A$8:$P$1000,16,FALSE),"")</f>
        <v/>
      </c>
    </row>
    <row r="811">
      <c r="A811" s="28">
        <f>IF(C811="","", "CR-"&amp;TEXT(ROW()-7,"000"))</f>
        <v/>
      </c>
      <c r="B811" s="28" t="n"/>
      <c r="C811" s="28" t="n"/>
      <c r="D811" s="111" t="n"/>
      <c r="E811" s="111" t="n"/>
      <c r="F811" s="111" t="n"/>
      <c r="G811" s="28" t="n"/>
      <c r="H811" s="45" t="n"/>
      <c r="I811" s="45" t="n"/>
      <c r="J811" s="28">
        <f>IF(H811="","",IF(I811&gt;=H811,"Recebido",IF($B$4&gt;E811,"Vencido","Aberto")))</f>
        <v/>
      </c>
      <c r="K811" s="4">
        <f>IF(J811="","",IF(OR(J811="Recebido",F811=""),MAX(0,F811-E811),MAX(0,$B$4-E811)))</f>
        <v/>
      </c>
      <c r="L811" s="4">
        <f>IF(K811="","",IF(K811=0,"Em dia",IF(K811&lt;=30,"1-30 dias",IF(K811&lt;=60,"31-60 dias",IF(K811&lt;=90,"61-90 dias","&gt;90 dias")))))</f>
        <v/>
      </c>
      <c r="M811" s="28" t="n"/>
      <c r="N811" s="104" t="inlineStr"/>
      <c r="O811" s="64" t="n"/>
      <c r="P811" s="64">
        <f>IF(C811="","",IF(ISNUMBER(SEARCH("PCMSO",C811)),"PCMSO",IF(OR(ISNUMBER(SEARCH("E-SOCIAL",C811)),ISNUMBER(SEARCH("PSICOSOCIAL",C811))),"eSocial / Psicossocial",IF(O811="Receita recorrente","Carteira recorrente","Projetos / Laudos / Avulsos"))))</f>
        <v/>
      </c>
      <c r="Q811" s="64">
        <f>IF(P811="","",IF(P811="Carteira recorrente","Operação recorrente",IF(P811="PCMSO","Projetos PCMSO",IF(P811="eSocial / Psicossocial","Projetos eSocial/Psicossocial","Projetos / Laudos / Avulsos"))))</f>
        <v/>
      </c>
      <c r="R811" s="64">
        <f>IF(C811="","",IF(ISNUMBER(SEARCH("PCMSO",C811)),"Título com PCMSO no nome",IF(OR(ISNUMBER(SEARCH("E-SOCIAL",C811)),ISNUMBER(SEARCH("PSICOSOCIAL",C811))),"Título com eSocial/Psicossocial no nome",IF(O811="Receita recorrente","Tipo DRE recorrente","Extra sem palavra-chave específica"))))</f>
        <v/>
      </c>
      <c r="S811" s="92">
        <f>IFERROR(VLOOKUP($A811,'13. Mapa Títulos-Receita'!$A$8:$P$1000,4,FALSE),"")</f>
        <v/>
      </c>
      <c r="T811" s="92">
        <f>IFERROR(VLOOKUP($A811,'13. Mapa Títulos-Receita'!$A$8:$P$1000,5,FALSE),"")</f>
        <v/>
      </c>
      <c r="U811" s="92">
        <f>IFERROR(VLOOKUP($A811,'13. Mapa Títulos-Receita'!$A$8:$P$1000,6,FALSE),"")</f>
        <v/>
      </c>
      <c r="V811" s="92">
        <f>IFERROR(VLOOKUP($A811,'13. Mapa Títulos-Receita'!$A$8:$P$1000,7,FALSE),"")</f>
        <v/>
      </c>
      <c r="W811" s="92">
        <f>IFERROR(VLOOKUP($A811,'13. Mapa Títulos-Receita'!$A$8:$P$1000,8,FALSE),"")</f>
        <v/>
      </c>
      <c r="X811" s="92">
        <f>IFERROR(VLOOKUP($A811,'13. Mapa Títulos-Receita'!$A$8:$P$1000,9,FALSE),"")</f>
        <v/>
      </c>
      <c r="Y811" s="92">
        <f>IFERROR(VLOOKUP($A811,'13. Mapa Títulos-Receita'!$A$8:$P$1000,10,FALSE),"")</f>
        <v/>
      </c>
      <c r="Z811" s="92">
        <f>IFERROR(VLOOKUP($A811,'13. Mapa Títulos-Receita'!$A$8:$P$1000,11,FALSE),"")</f>
        <v/>
      </c>
      <c r="AA811" s="92">
        <f>IFERROR(VLOOKUP($A811,'13. Mapa Títulos-Receita'!$A$8:$P$1000,12,FALSE),"")</f>
        <v/>
      </c>
      <c r="AB811" s="92">
        <f>IFERROR(VLOOKUP($A811,'13. Mapa Títulos-Receita'!$A$8:$P$1000,13,FALSE),"")</f>
        <v/>
      </c>
      <c r="AC811" s="92">
        <f>IFERROR(VLOOKUP($A811,'13. Mapa Títulos-Receita'!$A$8:$P$1000,14,FALSE),"")</f>
        <v/>
      </c>
      <c r="AD811" s="92">
        <f>IFERROR(VLOOKUP($A811,'13. Mapa Títulos-Receita'!$A$8:$P$1000,15,FALSE),"")</f>
        <v/>
      </c>
      <c r="AE811" s="92">
        <f>IFERROR(VLOOKUP($A811,'13. Mapa Títulos-Receita'!$A$8:$P$1000,16,FALSE),"")</f>
        <v/>
      </c>
    </row>
    <row r="812">
      <c r="A812" s="28">
        <f>IF(C812="","", "CR-"&amp;TEXT(ROW()-7,"000"))</f>
        <v/>
      </c>
      <c r="B812" s="28" t="n"/>
      <c r="C812" s="28" t="n"/>
      <c r="D812" s="111" t="n"/>
      <c r="E812" s="111" t="n"/>
      <c r="F812" s="111" t="n"/>
      <c r="G812" s="28" t="n"/>
      <c r="H812" s="45" t="n"/>
      <c r="I812" s="45" t="n"/>
      <c r="J812" s="28">
        <f>IF(H812="","",IF(I812&gt;=H812,"Recebido",IF($B$4&gt;E812,"Vencido","Aberto")))</f>
        <v/>
      </c>
      <c r="K812" s="4">
        <f>IF(J812="","",IF(OR(J812="Recebido",F812=""),MAX(0,F812-E812),MAX(0,$B$4-E812)))</f>
        <v/>
      </c>
      <c r="L812" s="4">
        <f>IF(K812="","",IF(K812=0,"Em dia",IF(K812&lt;=30,"1-30 dias",IF(K812&lt;=60,"31-60 dias",IF(K812&lt;=90,"61-90 dias","&gt;90 dias")))))</f>
        <v/>
      </c>
      <c r="M812" s="28" t="n"/>
      <c r="N812" s="104" t="inlineStr"/>
      <c r="O812" s="64" t="n"/>
      <c r="P812" s="64">
        <f>IF(C812="","",IF(ISNUMBER(SEARCH("PCMSO",C812)),"PCMSO",IF(OR(ISNUMBER(SEARCH("E-SOCIAL",C812)),ISNUMBER(SEARCH("PSICOSOCIAL",C812))),"eSocial / Psicossocial",IF(O812="Receita recorrente","Carteira recorrente","Projetos / Laudos / Avulsos"))))</f>
        <v/>
      </c>
      <c r="Q812" s="64">
        <f>IF(P812="","",IF(P812="Carteira recorrente","Operação recorrente",IF(P812="PCMSO","Projetos PCMSO",IF(P812="eSocial / Psicossocial","Projetos eSocial/Psicossocial","Projetos / Laudos / Avulsos"))))</f>
        <v/>
      </c>
      <c r="R812" s="64">
        <f>IF(C812="","",IF(ISNUMBER(SEARCH("PCMSO",C812)),"Título com PCMSO no nome",IF(OR(ISNUMBER(SEARCH("E-SOCIAL",C812)),ISNUMBER(SEARCH("PSICOSOCIAL",C812))),"Título com eSocial/Psicossocial no nome",IF(O812="Receita recorrente","Tipo DRE recorrente","Extra sem palavra-chave específica"))))</f>
        <v/>
      </c>
      <c r="S812" s="92">
        <f>IFERROR(VLOOKUP($A812,'13. Mapa Títulos-Receita'!$A$8:$P$1000,4,FALSE),"")</f>
        <v/>
      </c>
      <c r="T812" s="92">
        <f>IFERROR(VLOOKUP($A812,'13. Mapa Títulos-Receita'!$A$8:$P$1000,5,FALSE),"")</f>
        <v/>
      </c>
      <c r="U812" s="92">
        <f>IFERROR(VLOOKUP($A812,'13. Mapa Títulos-Receita'!$A$8:$P$1000,6,FALSE),"")</f>
        <v/>
      </c>
      <c r="V812" s="92">
        <f>IFERROR(VLOOKUP($A812,'13. Mapa Títulos-Receita'!$A$8:$P$1000,7,FALSE),"")</f>
        <v/>
      </c>
      <c r="W812" s="92">
        <f>IFERROR(VLOOKUP($A812,'13. Mapa Títulos-Receita'!$A$8:$P$1000,8,FALSE),"")</f>
        <v/>
      </c>
      <c r="X812" s="92">
        <f>IFERROR(VLOOKUP($A812,'13. Mapa Títulos-Receita'!$A$8:$P$1000,9,FALSE),"")</f>
        <v/>
      </c>
      <c r="Y812" s="92">
        <f>IFERROR(VLOOKUP($A812,'13. Mapa Títulos-Receita'!$A$8:$P$1000,10,FALSE),"")</f>
        <v/>
      </c>
      <c r="Z812" s="92">
        <f>IFERROR(VLOOKUP($A812,'13. Mapa Títulos-Receita'!$A$8:$P$1000,11,FALSE),"")</f>
        <v/>
      </c>
      <c r="AA812" s="92">
        <f>IFERROR(VLOOKUP($A812,'13. Mapa Títulos-Receita'!$A$8:$P$1000,12,FALSE),"")</f>
        <v/>
      </c>
      <c r="AB812" s="92">
        <f>IFERROR(VLOOKUP($A812,'13. Mapa Títulos-Receita'!$A$8:$P$1000,13,FALSE),"")</f>
        <v/>
      </c>
      <c r="AC812" s="92">
        <f>IFERROR(VLOOKUP($A812,'13. Mapa Títulos-Receita'!$A$8:$P$1000,14,FALSE),"")</f>
        <v/>
      </c>
      <c r="AD812" s="92">
        <f>IFERROR(VLOOKUP($A812,'13. Mapa Títulos-Receita'!$A$8:$P$1000,15,FALSE),"")</f>
        <v/>
      </c>
      <c r="AE812" s="92">
        <f>IFERROR(VLOOKUP($A812,'13. Mapa Títulos-Receita'!$A$8:$P$1000,16,FALSE),"")</f>
        <v/>
      </c>
    </row>
    <row r="813">
      <c r="A813" s="28">
        <f>IF(C813="","", "CR-"&amp;TEXT(ROW()-7,"000"))</f>
        <v/>
      </c>
      <c r="B813" s="28" t="n"/>
      <c r="C813" s="28" t="n"/>
      <c r="D813" s="111" t="n"/>
      <c r="E813" s="111" t="n"/>
      <c r="F813" s="111" t="n"/>
      <c r="G813" s="28" t="n"/>
      <c r="H813" s="45" t="n"/>
      <c r="I813" s="45" t="n"/>
      <c r="J813" s="28">
        <f>IF(H813="","",IF(I813&gt;=H813,"Recebido",IF($B$4&gt;E813,"Vencido","Aberto")))</f>
        <v/>
      </c>
      <c r="K813" s="4">
        <f>IF(J813="","",IF(OR(J813="Recebido",F813=""),MAX(0,F813-E813),MAX(0,$B$4-E813)))</f>
        <v/>
      </c>
      <c r="L813" s="4">
        <f>IF(K813="","",IF(K813=0,"Em dia",IF(K813&lt;=30,"1-30 dias",IF(K813&lt;=60,"31-60 dias",IF(K813&lt;=90,"61-90 dias","&gt;90 dias")))))</f>
        <v/>
      </c>
      <c r="M813" s="28" t="n"/>
      <c r="N813" s="104" t="inlineStr"/>
      <c r="O813" s="64" t="n"/>
      <c r="P813" s="64">
        <f>IF(C813="","",IF(ISNUMBER(SEARCH("PCMSO",C813)),"PCMSO",IF(OR(ISNUMBER(SEARCH("E-SOCIAL",C813)),ISNUMBER(SEARCH("PSICOSOCIAL",C813))),"eSocial / Psicossocial",IF(O813="Receita recorrente","Carteira recorrente","Projetos / Laudos / Avulsos"))))</f>
        <v/>
      </c>
      <c r="Q813" s="64">
        <f>IF(P813="","",IF(P813="Carteira recorrente","Operação recorrente",IF(P813="PCMSO","Projetos PCMSO",IF(P813="eSocial / Psicossocial","Projetos eSocial/Psicossocial","Projetos / Laudos / Avulsos"))))</f>
        <v/>
      </c>
      <c r="R813" s="64">
        <f>IF(C813="","",IF(ISNUMBER(SEARCH("PCMSO",C813)),"Título com PCMSO no nome",IF(OR(ISNUMBER(SEARCH("E-SOCIAL",C813)),ISNUMBER(SEARCH("PSICOSOCIAL",C813))),"Título com eSocial/Psicossocial no nome",IF(O813="Receita recorrente","Tipo DRE recorrente","Extra sem palavra-chave específica"))))</f>
        <v/>
      </c>
      <c r="S813" s="92">
        <f>IFERROR(VLOOKUP($A813,'13. Mapa Títulos-Receita'!$A$8:$P$1000,4,FALSE),"")</f>
        <v/>
      </c>
      <c r="T813" s="92">
        <f>IFERROR(VLOOKUP($A813,'13. Mapa Títulos-Receita'!$A$8:$P$1000,5,FALSE),"")</f>
        <v/>
      </c>
      <c r="U813" s="92">
        <f>IFERROR(VLOOKUP($A813,'13. Mapa Títulos-Receita'!$A$8:$P$1000,6,FALSE),"")</f>
        <v/>
      </c>
      <c r="V813" s="92">
        <f>IFERROR(VLOOKUP($A813,'13. Mapa Títulos-Receita'!$A$8:$P$1000,7,FALSE),"")</f>
        <v/>
      </c>
      <c r="W813" s="92">
        <f>IFERROR(VLOOKUP($A813,'13. Mapa Títulos-Receita'!$A$8:$P$1000,8,FALSE),"")</f>
        <v/>
      </c>
      <c r="X813" s="92">
        <f>IFERROR(VLOOKUP($A813,'13. Mapa Títulos-Receita'!$A$8:$P$1000,9,FALSE),"")</f>
        <v/>
      </c>
      <c r="Y813" s="92">
        <f>IFERROR(VLOOKUP($A813,'13. Mapa Títulos-Receita'!$A$8:$P$1000,10,FALSE),"")</f>
        <v/>
      </c>
      <c r="Z813" s="92">
        <f>IFERROR(VLOOKUP($A813,'13. Mapa Títulos-Receita'!$A$8:$P$1000,11,FALSE),"")</f>
        <v/>
      </c>
      <c r="AA813" s="92">
        <f>IFERROR(VLOOKUP($A813,'13. Mapa Títulos-Receita'!$A$8:$P$1000,12,FALSE),"")</f>
        <v/>
      </c>
      <c r="AB813" s="92">
        <f>IFERROR(VLOOKUP($A813,'13. Mapa Títulos-Receita'!$A$8:$P$1000,13,FALSE),"")</f>
        <v/>
      </c>
      <c r="AC813" s="92">
        <f>IFERROR(VLOOKUP($A813,'13. Mapa Títulos-Receita'!$A$8:$P$1000,14,FALSE),"")</f>
        <v/>
      </c>
      <c r="AD813" s="92">
        <f>IFERROR(VLOOKUP($A813,'13. Mapa Títulos-Receita'!$A$8:$P$1000,15,FALSE),"")</f>
        <v/>
      </c>
      <c r="AE813" s="92">
        <f>IFERROR(VLOOKUP($A813,'13. Mapa Títulos-Receita'!$A$8:$P$1000,16,FALSE),"")</f>
        <v/>
      </c>
    </row>
    <row r="814">
      <c r="A814" s="28">
        <f>IF(C814="","", "CR-"&amp;TEXT(ROW()-7,"000"))</f>
        <v/>
      </c>
      <c r="B814" s="28" t="n"/>
      <c r="C814" s="28" t="n"/>
      <c r="D814" s="111" t="n"/>
      <c r="E814" s="111" t="n"/>
      <c r="F814" s="111" t="n"/>
      <c r="G814" s="28" t="n"/>
      <c r="H814" s="45" t="n"/>
      <c r="I814" s="45" t="n"/>
      <c r="J814" s="28">
        <f>IF(H814="","",IF(I814&gt;=H814,"Recebido",IF($B$4&gt;E814,"Vencido","Aberto")))</f>
        <v/>
      </c>
      <c r="K814" s="4">
        <f>IF(J814="","",IF(OR(J814="Recebido",F814=""),MAX(0,F814-E814),MAX(0,$B$4-E814)))</f>
        <v/>
      </c>
      <c r="L814" s="4">
        <f>IF(K814="","",IF(K814=0,"Em dia",IF(K814&lt;=30,"1-30 dias",IF(K814&lt;=60,"31-60 dias",IF(K814&lt;=90,"61-90 dias","&gt;90 dias")))))</f>
        <v/>
      </c>
      <c r="M814" s="28" t="n"/>
      <c r="N814" s="104" t="inlineStr"/>
      <c r="O814" s="64" t="n"/>
      <c r="P814" s="64">
        <f>IF(C814="","",IF(ISNUMBER(SEARCH("PCMSO",C814)),"PCMSO",IF(OR(ISNUMBER(SEARCH("E-SOCIAL",C814)),ISNUMBER(SEARCH("PSICOSOCIAL",C814))),"eSocial / Psicossocial",IF(O814="Receita recorrente","Carteira recorrente","Projetos / Laudos / Avulsos"))))</f>
        <v/>
      </c>
      <c r="Q814" s="64">
        <f>IF(P814="","",IF(P814="Carteira recorrente","Operação recorrente",IF(P814="PCMSO","Projetos PCMSO",IF(P814="eSocial / Psicossocial","Projetos eSocial/Psicossocial","Projetos / Laudos / Avulsos"))))</f>
        <v/>
      </c>
      <c r="R814" s="64">
        <f>IF(C814="","",IF(ISNUMBER(SEARCH("PCMSO",C814)),"Título com PCMSO no nome",IF(OR(ISNUMBER(SEARCH("E-SOCIAL",C814)),ISNUMBER(SEARCH("PSICOSOCIAL",C814))),"Título com eSocial/Psicossocial no nome",IF(O814="Receita recorrente","Tipo DRE recorrente","Extra sem palavra-chave específica"))))</f>
        <v/>
      </c>
      <c r="S814" s="92">
        <f>IFERROR(VLOOKUP($A814,'13. Mapa Títulos-Receita'!$A$8:$P$1000,4,FALSE),"")</f>
        <v/>
      </c>
      <c r="T814" s="92">
        <f>IFERROR(VLOOKUP($A814,'13. Mapa Títulos-Receita'!$A$8:$P$1000,5,FALSE),"")</f>
        <v/>
      </c>
      <c r="U814" s="92">
        <f>IFERROR(VLOOKUP($A814,'13. Mapa Títulos-Receita'!$A$8:$P$1000,6,FALSE),"")</f>
        <v/>
      </c>
      <c r="V814" s="92">
        <f>IFERROR(VLOOKUP($A814,'13. Mapa Títulos-Receita'!$A$8:$P$1000,7,FALSE),"")</f>
        <v/>
      </c>
      <c r="W814" s="92">
        <f>IFERROR(VLOOKUP($A814,'13. Mapa Títulos-Receita'!$A$8:$P$1000,8,FALSE),"")</f>
        <v/>
      </c>
      <c r="X814" s="92">
        <f>IFERROR(VLOOKUP($A814,'13. Mapa Títulos-Receita'!$A$8:$P$1000,9,FALSE),"")</f>
        <v/>
      </c>
      <c r="Y814" s="92">
        <f>IFERROR(VLOOKUP($A814,'13. Mapa Títulos-Receita'!$A$8:$P$1000,10,FALSE),"")</f>
        <v/>
      </c>
      <c r="Z814" s="92">
        <f>IFERROR(VLOOKUP($A814,'13. Mapa Títulos-Receita'!$A$8:$P$1000,11,FALSE),"")</f>
        <v/>
      </c>
      <c r="AA814" s="92">
        <f>IFERROR(VLOOKUP($A814,'13. Mapa Títulos-Receita'!$A$8:$P$1000,12,FALSE),"")</f>
        <v/>
      </c>
      <c r="AB814" s="92">
        <f>IFERROR(VLOOKUP($A814,'13. Mapa Títulos-Receita'!$A$8:$P$1000,13,FALSE),"")</f>
        <v/>
      </c>
      <c r="AC814" s="92">
        <f>IFERROR(VLOOKUP($A814,'13. Mapa Títulos-Receita'!$A$8:$P$1000,14,FALSE),"")</f>
        <v/>
      </c>
      <c r="AD814" s="92">
        <f>IFERROR(VLOOKUP($A814,'13. Mapa Títulos-Receita'!$A$8:$P$1000,15,FALSE),"")</f>
        <v/>
      </c>
      <c r="AE814" s="92">
        <f>IFERROR(VLOOKUP($A814,'13. Mapa Títulos-Receita'!$A$8:$P$1000,16,FALSE),"")</f>
        <v/>
      </c>
    </row>
    <row r="815">
      <c r="A815" s="28">
        <f>IF(C815="","", "CR-"&amp;TEXT(ROW()-7,"000"))</f>
        <v/>
      </c>
      <c r="B815" s="28" t="n"/>
      <c r="C815" s="28" t="n"/>
      <c r="D815" s="111" t="n"/>
      <c r="E815" s="111" t="n"/>
      <c r="F815" s="111" t="n"/>
      <c r="G815" s="28" t="n"/>
      <c r="H815" s="45" t="n"/>
      <c r="I815" s="45" t="n"/>
      <c r="J815" s="28">
        <f>IF(H815="","",IF(I815&gt;=H815,"Recebido",IF($B$4&gt;E815,"Vencido","Aberto")))</f>
        <v/>
      </c>
      <c r="K815" s="4">
        <f>IF(J815="","",IF(OR(J815="Recebido",F815=""),MAX(0,F815-E815),MAX(0,$B$4-E815)))</f>
        <v/>
      </c>
      <c r="L815" s="4">
        <f>IF(K815="","",IF(K815=0,"Em dia",IF(K815&lt;=30,"1-30 dias",IF(K815&lt;=60,"31-60 dias",IF(K815&lt;=90,"61-90 dias","&gt;90 dias")))))</f>
        <v/>
      </c>
      <c r="M815" s="28" t="n"/>
      <c r="N815" s="104" t="inlineStr"/>
      <c r="O815" s="64" t="n"/>
      <c r="P815" s="64">
        <f>IF(C815="","",IF(ISNUMBER(SEARCH("PCMSO",C815)),"PCMSO",IF(OR(ISNUMBER(SEARCH("E-SOCIAL",C815)),ISNUMBER(SEARCH("PSICOSOCIAL",C815))),"eSocial / Psicossocial",IF(O815="Receita recorrente","Carteira recorrente","Projetos / Laudos / Avulsos"))))</f>
        <v/>
      </c>
      <c r="Q815" s="64">
        <f>IF(P815="","",IF(P815="Carteira recorrente","Operação recorrente",IF(P815="PCMSO","Projetos PCMSO",IF(P815="eSocial / Psicossocial","Projetos eSocial/Psicossocial","Projetos / Laudos / Avulsos"))))</f>
        <v/>
      </c>
      <c r="R815" s="64">
        <f>IF(C815="","",IF(ISNUMBER(SEARCH("PCMSO",C815)),"Título com PCMSO no nome",IF(OR(ISNUMBER(SEARCH("E-SOCIAL",C815)),ISNUMBER(SEARCH("PSICOSOCIAL",C815))),"Título com eSocial/Psicossocial no nome",IF(O815="Receita recorrente","Tipo DRE recorrente","Extra sem palavra-chave específica"))))</f>
        <v/>
      </c>
      <c r="S815" s="92">
        <f>IFERROR(VLOOKUP($A815,'13. Mapa Títulos-Receita'!$A$8:$P$1000,4,FALSE),"")</f>
        <v/>
      </c>
      <c r="T815" s="92">
        <f>IFERROR(VLOOKUP($A815,'13. Mapa Títulos-Receita'!$A$8:$P$1000,5,FALSE),"")</f>
        <v/>
      </c>
      <c r="U815" s="92">
        <f>IFERROR(VLOOKUP($A815,'13. Mapa Títulos-Receita'!$A$8:$P$1000,6,FALSE),"")</f>
        <v/>
      </c>
      <c r="V815" s="92">
        <f>IFERROR(VLOOKUP($A815,'13. Mapa Títulos-Receita'!$A$8:$P$1000,7,FALSE),"")</f>
        <v/>
      </c>
      <c r="W815" s="92">
        <f>IFERROR(VLOOKUP($A815,'13. Mapa Títulos-Receita'!$A$8:$P$1000,8,FALSE),"")</f>
        <v/>
      </c>
      <c r="X815" s="92">
        <f>IFERROR(VLOOKUP($A815,'13. Mapa Títulos-Receita'!$A$8:$P$1000,9,FALSE),"")</f>
        <v/>
      </c>
      <c r="Y815" s="92">
        <f>IFERROR(VLOOKUP($A815,'13. Mapa Títulos-Receita'!$A$8:$P$1000,10,FALSE),"")</f>
        <v/>
      </c>
      <c r="Z815" s="92">
        <f>IFERROR(VLOOKUP($A815,'13. Mapa Títulos-Receita'!$A$8:$P$1000,11,FALSE),"")</f>
        <v/>
      </c>
      <c r="AA815" s="92">
        <f>IFERROR(VLOOKUP($A815,'13. Mapa Títulos-Receita'!$A$8:$P$1000,12,FALSE),"")</f>
        <v/>
      </c>
      <c r="AB815" s="92">
        <f>IFERROR(VLOOKUP($A815,'13. Mapa Títulos-Receita'!$A$8:$P$1000,13,FALSE),"")</f>
        <v/>
      </c>
      <c r="AC815" s="92">
        <f>IFERROR(VLOOKUP($A815,'13. Mapa Títulos-Receita'!$A$8:$P$1000,14,FALSE),"")</f>
        <v/>
      </c>
      <c r="AD815" s="92">
        <f>IFERROR(VLOOKUP($A815,'13. Mapa Títulos-Receita'!$A$8:$P$1000,15,FALSE),"")</f>
        <v/>
      </c>
      <c r="AE815" s="92">
        <f>IFERROR(VLOOKUP($A815,'13. Mapa Títulos-Receita'!$A$8:$P$1000,16,FALSE),"")</f>
        <v/>
      </c>
    </row>
    <row r="816">
      <c r="A816" s="28">
        <f>IF(C816="","", "CR-"&amp;TEXT(ROW()-7,"000"))</f>
        <v/>
      </c>
      <c r="B816" s="28" t="n"/>
      <c r="C816" s="28" t="n"/>
      <c r="D816" s="111" t="n"/>
      <c r="E816" s="111" t="n"/>
      <c r="F816" s="111" t="n"/>
      <c r="G816" s="28" t="n"/>
      <c r="H816" s="45" t="n"/>
      <c r="I816" s="45" t="n"/>
      <c r="J816" s="28">
        <f>IF(H816="","",IF(I816&gt;=H816,"Recebido",IF($B$4&gt;E816,"Vencido","Aberto")))</f>
        <v/>
      </c>
      <c r="K816" s="4">
        <f>IF(J816="","",IF(OR(J816="Recebido",F816=""),MAX(0,F816-E816),MAX(0,$B$4-E816)))</f>
        <v/>
      </c>
      <c r="L816" s="4">
        <f>IF(K816="","",IF(K816=0,"Em dia",IF(K816&lt;=30,"1-30 dias",IF(K816&lt;=60,"31-60 dias",IF(K816&lt;=90,"61-90 dias","&gt;90 dias")))))</f>
        <v/>
      </c>
      <c r="M816" s="28" t="n"/>
      <c r="N816" s="104" t="inlineStr"/>
      <c r="O816" s="64" t="n"/>
      <c r="P816" s="64">
        <f>IF(C816="","",IF(ISNUMBER(SEARCH("PCMSO",C816)),"PCMSO",IF(OR(ISNUMBER(SEARCH("E-SOCIAL",C816)),ISNUMBER(SEARCH("PSICOSOCIAL",C816))),"eSocial / Psicossocial",IF(O816="Receita recorrente","Carteira recorrente","Projetos / Laudos / Avulsos"))))</f>
        <v/>
      </c>
      <c r="Q816" s="64">
        <f>IF(P816="","",IF(P816="Carteira recorrente","Operação recorrente",IF(P816="PCMSO","Projetos PCMSO",IF(P816="eSocial / Psicossocial","Projetos eSocial/Psicossocial","Projetos / Laudos / Avulsos"))))</f>
        <v/>
      </c>
      <c r="R816" s="64">
        <f>IF(C816="","",IF(ISNUMBER(SEARCH("PCMSO",C816)),"Título com PCMSO no nome",IF(OR(ISNUMBER(SEARCH("E-SOCIAL",C816)),ISNUMBER(SEARCH("PSICOSOCIAL",C816))),"Título com eSocial/Psicossocial no nome",IF(O816="Receita recorrente","Tipo DRE recorrente","Extra sem palavra-chave específica"))))</f>
        <v/>
      </c>
      <c r="S816" s="92">
        <f>IFERROR(VLOOKUP($A816,'13. Mapa Títulos-Receita'!$A$8:$P$1000,4,FALSE),"")</f>
        <v/>
      </c>
      <c r="T816" s="92">
        <f>IFERROR(VLOOKUP($A816,'13. Mapa Títulos-Receita'!$A$8:$P$1000,5,FALSE),"")</f>
        <v/>
      </c>
      <c r="U816" s="92">
        <f>IFERROR(VLOOKUP($A816,'13. Mapa Títulos-Receita'!$A$8:$P$1000,6,FALSE),"")</f>
        <v/>
      </c>
      <c r="V816" s="92">
        <f>IFERROR(VLOOKUP($A816,'13. Mapa Títulos-Receita'!$A$8:$P$1000,7,FALSE),"")</f>
        <v/>
      </c>
      <c r="W816" s="92">
        <f>IFERROR(VLOOKUP($A816,'13. Mapa Títulos-Receita'!$A$8:$P$1000,8,FALSE),"")</f>
        <v/>
      </c>
      <c r="X816" s="92">
        <f>IFERROR(VLOOKUP($A816,'13. Mapa Títulos-Receita'!$A$8:$P$1000,9,FALSE),"")</f>
        <v/>
      </c>
      <c r="Y816" s="92">
        <f>IFERROR(VLOOKUP($A816,'13. Mapa Títulos-Receita'!$A$8:$P$1000,10,FALSE),"")</f>
        <v/>
      </c>
      <c r="Z816" s="92">
        <f>IFERROR(VLOOKUP($A816,'13. Mapa Títulos-Receita'!$A$8:$P$1000,11,FALSE),"")</f>
        <v/>
      </c>
      <c r="AA816" s="92">
        <f>IFERROR(VLOOKUP($A816,'13. Mapa Títulos-Receita'!$A$8:$P$1000,12,FALSE),"")</f>
        <v/>
      </c>
      <c r="AB816" s="92">
        <f>IFERROR(VLOOKUP($A816,'13. Mapa Títulos-Receita'!$A$8:$P$1000,13,FALSE),"")</f>
        <v/>
      </c>
      <c r="AC816" s="92">
        <f>IFERROR(VLOOKUP($A816,'13. Mapa Títulos-Receita'!$A$8:$P$1000,14,FALSE),"")</f>
        <v/>
      </c>
      <c r="AD816" s="92">
        <f>IFERROR(VLOOKUP($A816,'13. Mapa Títulos-Receita'!$A$8:$P$1000,15,FALSE),"")</f>
        <v/>
      </c>
      <c r="AE816" s="92">
        <f>IFERROR(VLOOKUP($A816,'13. Mapa Títulos-Receita'!$A$8:$P$1000,16,FALSE),"")</f>
        <v/>
      </c>
    </row>
    <row r="817">
      <c r="A817" s="28">
        <f>IF(C817="","", "CR-"&amp;TEXT(ROW()-7,"000"))</f>
        <v/>
      </c>
      <c r="B817" s="28" t="n"/>
      <c r="C817" s="28" t="n"/>
      <c r="D817" s="111" t="n"/>
      <c r="E817" s="111" t="n"/>
      <c r="F817" s="111" t="n"/>
      <c r="G817" s="28" t="n"/>
      <c r="H817" s="45" t="n"/>
      <c r="I817" s="45" t="n"/>
      <c r="J817" s="28">
        <f>IF(H817="","",IF(I817&gt;=H817,"Recebido",IF($B$4&gt;E817,"Vencido","Aberto")))</f>
        <v/>
      </c>
      <c r="K817" s="4">
        <f>IF(J817="","",IF(OR(J817="Recebido",F817=""),MAX(0,F817-E817),MAX(0,$B$4-E817)))</f>
        <v/>
      </c>
      <c r="L817" s="4">
        <f>IF(K817="","",IF(K817=0,"Em dia",IF(K817&lt;=30,"1-30 dias",IF(K817&lt;=60,"31-60 dias",IF(K817&lt;=90,"61-90 dias","&gt;90 dias")))))</f>
        <v/>
      </c>
      <c r="M817" s="28" t="n"/>
      <c r="N817" s="104" t="inlineStr"/>
      <c r="O817" s="64" t="n"/>
      <c r="P817" s="64">
        <f>IF(C817="","",IF(ISNUMBER(SEARCH("PCMSO",C817)),"PCMSO",IF(OR(ISNUMBER(SEARCH("E-SOCIAL",C817)),ISNUMBER(SEARCH("PSICOSOCIAL",C817))),"eSocial / Psicossocial",IF(O817="Receita recorrente","Carteira recorrente","Projetos / Laudos / Avulsos"))))</f>
        <v/>
      </c>
      <c r="Q817" s="64">
        <f>IF(P817="","",IF(P817="Carteira recorrente","Operação recorrente",IF(P817="PCMSO","Projetos PCMSO",IF(P817="eSocial / Psicossocial","Projetos eSocial/Psicossocial","Projetos / Laudos / Avulsos"))))</f>
        <v/>
      </c>
      <c r="R817" s="64">
        <f>IF(C817="","",IF(ISNUMBER(SEARCH("PCMSO",C817)),"Título com PCMSO no nome",IF(OR(ISNUMBER(SEARCH("E-SOCIAL",C817)),ISNUMBER(SEARCH("PSICOSOCIAL",C817))),"Título com eSocial/Psicossocial no nome",IF(O817="Receita recorrente","Tipo DRE recorrente","Extra sem palavra-chave específica"))))</f>
        <v/>
      </c>
      <c r="S817" s="92">
        <f>IFERROR(VLOOKUP($A817,'13. Mapa Títulos-Receita'!$A$8:$P$1000,4,FALSE),"")</f>
        <v/>
      </c>
      <c r="T817" s="92">
        <f>IFERROR(VLOOKUP($A817,'13. Mapa Títulos-Receita'!$A$8:$P$1000,5,FALSE),"")</f>
        <v/>
      </c>
      <c r="U817" s="92">
        <f>IFERROR(VLOOKUP($A817,'13. Mapa Títulos-Receita'!$A$8:$P$1000,6,FALSE),"")</f>
        <v/>
      </c>
      <c r="V817" s="92">
        <f>IFERROR(VLOOKUP($A817,'13. Mapa Títulos-Receita'!$A$8:$P$1000,7,FALSE),"")</f>
        <v/>
      </c>
      <c r="W817" s="92">
        <f>IFERROR(VLOOKUP($A817,'13. Mapa Títulos-Receita'!$A$8:$P$1000,8,FALSE),"")</f>
        <v/>
      </c>
      <c r="X817" s="92">
        <f>IFERROR(VLOOKUP($A817,'13. Mapa Títulos-Receita'!$A$8:$P$1000,9,FALSE),"")</f>
        <v/>
      </c>
      <c r="Y817" s="92">
        <f>IFERROR(VLOOKUP($A817,'13. Mapa Títulos-Receita'!$A$8:$P$1000,10,FALSE),"")</f>
        <v/>
      </c>
      <c r="Z817" s="92">
        <f>IFERROR(VLOOKUP($A817,'13. Mapa Títulos-Receita'!$A$8:$P$1000,11,FALSE),"")</f>
        <v/>
      </c>
      <c r="AA817" s="92">
        <f>IFERROR(VLOOKUP($A817,'13. Mapa Títulos-Receita'!$A$8:$P$1000,12,FALSE),"")</f>
        <v/>
      </c>
      <c r="AB817" s="92">
        <f>IFERROR(VLOOKUP($A817,'13. Mapa Títulos-Receita'!$A$8:$P$1000,13,FALSE),"")</f>
        <v/>
      </c>
      <c r="AC817" s="92">
        <f>IFERROR(VLOOKUP($A817,'13. Mapa Títulos-Receita'!$A$8:$P$1000,14,FALSE),"")</f>
        <v/>
      </c>
      <c r="AD817" s="92">
        <f>IFERROR(VLOOKUP($A817,'13. Mapa Títulos-Receita'!$A$8:$P$1000,15,FALSE),"")</f>
        <v/>
      </c>
      <c r="AE817" s="92">
        <f>IFERROR(VLOOKUP($A817,'13. Mapa Títulos-Receita'!$A$8:$P$1000,16,FALSE),"")</f>
        <v/>
      </c>
    </row>
    <row r="818">
      <c r="A818" s="28">
        <f>IF(C818="","", "CR-"&amp;TEXT(ROW()-7,"000"))</f>
        <v/>
      </c>
      <c r="B818" s="28" t="n"/>
      <c r="C818" s="28" t="n"/>
      <c r="D818" s="111" t="n"/>
      <c r="E818" s="111" t="n"/>
      <c r="F818" s="111" t="n"/>
      <c r="G818" s="28" t="n"/>
      <c r="H818" s="45" t="n"/>
      <c r="I818" s="45" t="n"/>
      <c r="J818" s="28">
        <f>IF(H818="","",IF(I818&gt;=H818,"Recebido",IF($B$4&gt;E818,"Vencido","Aberto")))</f>
        <v/>
      </c>
      <c r="K818" s="4">
        <f>IF(J818="","",IF(OR(J818="Recebido",F818=""),MAX(0,F818-E818),MAX(0,$B$4-E818)))</f>
        <v/>
      </c>
      <c r="L818" s="4">
        <f>IF(K818="","",IF(K818=0,"Em dia",IF(K818&lt;=30,"1-30 dias",IF(K818&lt;=60,"31-60 dias",IF(K818&lt;=90,"61-90 dias","&gt;90 dias")))))</f>
        <v/>
      </c>
      <c r="M818" s="28" t="n"/>
      <c r="N818" s="104" t="inlineStr"/>
      <c r="O818" s="64" t="n"/>
      <c r="P818" s="64">
        <f>IF(C818="","",IF(ISNUMBER(SEARCH("PCMSO",C818)),"PCMSO",IF(OR(ISNUMBER(SEARCH("E-SOCIAL",C818)),ISNUMBER(SEARCH("PSICOSOCIAL",C818))),"eSocial / Psicossocial",IF(O818="Receita recorrente","Carteira recorrente","Projetos / Laudos / Avulsos"))))</f>
        <v/>
      </c>
      <c r="Q818" s="64">
        <f>IF(P818="","",IF(P818="Carteira recorrente","Operação recorrente",IF(P818="PCMSO","Projetos PCMSO",IF(P818="eSocial / Psicossocial","Projetos eSocial/Psicossocial","Projetos / Laudos / Avulsos"))))</f>
        <v/>
      </c>
      <c r="R818" s="64">
        <f>IF(C818="","",IF(ISNUMBER(SEARCH("PCMSO",C818)),"Título com PCMSO no nome",IF(OR(ISNUMBER(SEARCH("E-SOCIAL",C818)),ISNUMBER(SEARCH("PSICOSOCIAL",C818))),"Título com eSocial/Psicossocial no nome",IF(O818="Receita recorrente","Tipo DRE recorrente","Extra sem palavra-chave específica"))))</f>
        <v/>
      </c>
      <c r="S818" s="92">
        <f>IFERROR(VLOOKUP($A818,'13. Mapa Títulos-Receita'!$A$8:$P$1000,4,FALSE),"")</f>
        <v/>
      </c>
      <c r="T818" s="92">
        <f>IFERROR(VLOOKUP($A818,'13. Mapa Títulos-Receita'!$A$8:$P$1000,5,FALSE),"")</f>
        <v/>
      </c>
      <c r="U818" s="92">
        <f>IFERROR(VLOOKUP($A818,'13. Mapa Títulos-Receita'!$A$8:$P$1000,6,FALSE),"")</f>
        <v/>
      </c>
      <c r="V818" s="92">
        <f>IFERROR(VLOOKUP($A818,'13. Mapa Títulos-Receita'!$A$8:$P$1000,7,FALSE),"")</f>
        <v/>
      </c>
      <c r="W818" s="92">
        <f>IFERROR(VLOOKUP($A818,'13. Mapa Títulos-Receita'!$A$8:$P$1000,8,FALSE),"")</f>
        <v/>
      </c>
      <c r="X818" s="92">
        <f>IFERROR(VLOOKUP($A818,'13. Mapa Títulos-Receita'!$A$8:$P$1000,9,FALSE),"")</f>
        <v/>
      </c>
      <c r="Y818" s="92">
        <f>IFERROR(VLOOKUP($A818,'13. Mapa Títulos-Receita'!$A$8:$P$1000,10,FALSE),"")</f>
        <v/>
      </c>
      <c r="Z818" s="92">
        <f>IFERROR(VLOOKUP($A818,'13. Mapa Títulos-Receita'!$A$8:$P$1000,11,FALSE),"")</f>
        <v/>
      </c>
      <c r="AA818" s="92">
        <f>IFERROR(VLOOKUP($A818,'13. Mapa Títulos-Receita'!$A$8:$P$1000,12,FALSE),"")</f>
        <v/>
      </c>
      <c r="AB818" s="92">
        <f>IFERROR(VLOOKUP($A818,'13. Mapa Títulos-Receita'!$A$8:$P$1000,13,FALSE),"")</f>
        <v/>
      </c>
      <c r="AC818" s="92">
        <f>IFERROR(VLOOKUP($A818,'13. Mapa Títulos-Receita'!$A$8:$P$1000,14,FALSE),"")</f>
        <v/>
      </c>
      <c r="AD818" s="92">
        <f>IFERROR(VLOOKUP($A818,'13. Mapa Títulos-Receita'!$A$8:$P$1000,15,FALSE),"")</f>
        <v/>
      </c>
      <c r="AE818" s="92">
        <f>IFERROR(VLOOKUP($A818,'13. Mapa Títulos-Receita'!$A$8:$P$1000,16,FALSE),"")</f>
        <v/>
      </c>
    </row>
    <row r="819">
      <c r="A819" s="28">
        <f>IF(C819="","", "CR-"&amp;TEXT(ROW()-7,"000"))</f>
        <v/>
      </c>
      <c r="B819" s="28" t="n"/>
      <c r="C819" s="28" t="n"/>
      <c r="D819" s="111" t="n"/>
      <c r="E819" s="111" t="n"/>
      <c r="F819" s="111" t="n"/>
      <c r="G819" s="28" t="n"/>
      <c r="H819" s="45" t="n"/>
      <c r="I819" s="45" t="n"/>
      <c r="J819" s="28">
        <f>IF(H819="","",IF(I819&gt;=H819,"Recebido",IF($B$4&gt;E819,"Vencido","Aberto")))</f>
        <v/>
      </c>
      <c r="K819" s="4">
        <f>IF(J819="","",IF(OR(J819="Recebido",F819=""),MAX(0,F819-E819),MAX(0,$B$4-E819)))</f>
        <v/>
      </c>
      <c r="L819" s="4">
        <f>IF(K819="","",IF(K819=0,"Em dia",IF(K819&lt;=30,"1-30 dias",IF(K819&lt;=60,"31-60 dias",IF(K819&lt;=90,"61-90 dias","&gt;90 dias")))))</f>
        <v/>
      </c>
      <c r="M819" s="28" t="n"/>
      <c r="N819" s="104" t="inlineStr"/>
      <c r="O819" s="64" t="n"/>
      <c r="P819" s="64">
        <f>IF(C819="","",IF(ISNUMBER(SEARCH("PCMSO",C819)),"PCMSO",IF(OR(ISNUMBER(SEARCH("E-SOCIAL",C819)),ISNUMBER(SEARCH("PSICOSOCIAL",C819))),"eSocial / Psicossocial",IF(O819="Receita recorrente","Carteira recorrente","Projetos / Laudos / Avulsos"))))</f>
        <v/>
      </c>
      <c r="Q819" s="64">
        <f>IF(P819="","",IF(P819="Carteira recorrente","Operação recorrente",IF(P819="PCMSO","Projetos PCMSO",IF(P819="eSocial / Psicossocial","Projetos eSocial/Psicossocial","Projetos / Laudos / Avulsos"))))</f>
        <v/>
      </c>
      <c r="R819" s="64">
        <f>IF(C819="","",IF(ISNUMBER(SEARCH("PCMSO",C819)),"Título com PCMSO no nome",IF(OR(ISNUMBER(SEARCH("E-SOCIAL",C819)),ISNUMBER(SEARCH("PSICOSOCIAL",C819))),"Título com eSocial/Psicossocial no nome",IF(O819="Receita recorrente","Tipo DRE recorrente","Extra sem palavra-chave específica"))))</f>
        <v/>
      </c>
      <c r="S819" s="92">
        <f>IFERROR(VLOOKUP($A819,'13. Mapa Títulos-Receita'!$A$8:$P$1000,4,FALSE),"")</f>
        <v/>
      </c>
      <c r="T819" s="92">
        <f>IFERROR(VLOOKUP($A819,'13. Mapa Títulos-Receita'!$A$8:$P$1000,5,FALSE),"")</f>
        <v/>
      </c>
      <c r="U819" s="92">
        <f>IFERROR(VLOOKUP($A819,'13. Mapa Títulos-Receita'!$A$8:$P$1000,6,FALSE),"")</f>
        <v/>
      </c>
      <c r="V819" s="92">
        <f>IFERROR(VLOOKUP($A819,'13. Mapa Títulos-Receita'!$A$8:$P$1000,7,FALSE),"")</f>
        <v/>
      </c>
      <c r="W819" s="92">
        <f>IFERROR(VLOOKUP($A819,'13. Mapa Títulos-Receita'!$A$8:$P$1000,8,FALSE),"")</f>
        <v/>
      </c>
      <c r="X819" s="92">
        <f>IFERROR(VLOOKUP($A819,'13. Mapa Títulos-Receita'!$A$8:$P$1000,9,FALSE),"")</f>
        <v/>
      </c>
      <c r="Y819" s="92">
        <f>IFERROR(VLOOKUP($A819,'13. Mapa Títulos-Receita'!$A$8:$P$1000,10,FALSE),"")</f>
        <v/>
      </c>
      <c r="Z819" s="92">
        <f>IFERROR(VLOOKUP($A819,'13. Mapa Títulos-Receita'!$A$8:$P$1000,11,FALSE),"")</f>
        <v/>
      </c>
      <c r="AA819" s="92">
        <f>IFERROR(VLOOKUP($A819,'13. Mapa Títulos-Receita'!$A$8:$P$1000,12,FALSE),"")</f>
        <v/>
      </c>
      <c r="AB819" s="92">
        <f>IFERROR(VLOOKUP($A819,'13. Mapa Títulos-Receita'!$A$8:$P$1000,13,FALSE),"")</f>
        <v/>
      </c>
      <c r="AC819" s="92">
        <f>IFERROR(VLOOKUP($A819,'13. Mapa Títulos-Receita'!$A$8:$P$1000,14,FALSE),"")</f>
        <v/>
      </c>
      <c r="AD819" s="92">
        <f>IFERROR(VLOOKUP($A819,'13. Mapa Títulos-Receita'!$A$8:$P$1000,15,FALSE),"")</f>
        <v/>
      </c>
      <c r="AE819" s="92">
        <f>IFERROR(VLOOKUP($A819,'13. Mapa Títulos-Receita'!$A$8:$P$1000,16,FALSE),"")</f>
        <v/>
      </c>
    </row>
    <row r="820">
      <c r="A820" s="28">
        <f>IF(C820="","", "CR-"&amp;TEXT(ROW()-7,"000"))</f>
        <v/>
      </c>
      <c r="B820" s="28" t="n"/>
      <c r="C820" s="28" t="n"/>
      <c r="D820" s="111" t="n"/>
      <c r="E820" s="111" t="n"/>
      <c r="F820" s="111" t="n"/>
      <c r="G820" s="28" t="n"/>
      <c r="H820" s="45" t="n"/>
      <c r="I820" s="45" t="n"/>
      <c r="J820" s="28">
        <f>IF(H820="","",IF(I820&gt;=H820,"Recebido",IF($B$4&gt;E820,"Vencido","Aberto")))</f>
        <v/>
      </c>
      <c r="K820" s="4">
        <f>IF(J820="","",IF(OR(J820="Recebido",F820=""),MAX(0,F820-E820),MAX(0,$B$4-E820)))</f>
        <v/>
      </c>
      <c r="L820" s="4">
        <f>IF(K820="","",IF(K820=0,"Em dia",IF(K820&lt;=30,"1-30 dias",IF(K820&lt;=60,"31-60 dias",IF(K820&lt;=90,"61-90 dias","&gt;90 dias")))))</f>
        <v/>
      </c>
      <c r="M820" s="28" t="n"/>
      <c r="N820" s="104" t="inlineStr"/>
      <c r="O820" s="64" t="n"/>
      <c r="P820" s="64">
        <f>IF(C820="","",IF(ISNUMBER(SEARCH("PCMSO",C820)),"PCMSO",IF(OR(ISNUMBER(SEARCH("E-SOCIAL",C820)),ISNUMBER(SEARCH("PSICOSOCIAL",C820))),"eSocial / Psicossocial",IF(O820="Receita recorrente","Carteira recorrente","Projetos / Laudos / Avulsos"))))</f>
        <v/>
      </c>
      <c r="Q820" s="64">
        <f>IF(P820="","",IF(P820="Carteira recorrente","Operação recorrente",IF(P820="PCMSO","Projetos PCMSO",IF(P820="eSocial / Psicossocial","Projetos eSocial/Psicossocial","Projetos / Laudos / Avulsos"))))</f>
        <v/>
      </c>
      <c r="R820" s="64">
        <f>IF(C820="","",IF(ISNUMBER(SEARCH("PCMSO",C820)),"Título com PCMSO no nome",IF(OR(ISNUMBER(SEARCH("E-SOCIAL",C820)),ISNUMBER(SEARCH("PSICOSOCIAL",C820))),"Título com eSocial/Psicossocial no nome",IF(O820="Receita recorrente","Tipo DRE recorrente","Extra sem palavra-chave específica"))))</f>
        <v/>
      </c>
      <c r="S820" s="92">
        <f>IFERROR(VLOOKUP($A820,'13. Mapa Títulos-Receita'!$A$8:$P$1000,4,FALSE),"")</f>
        <v/>
      </c>
      <c r="T820" s="92">
        <f>IFERROR(VLOOKUP($A820,'13. Mapa Títulos-Receita'!$A$8:$P$1000,5,FALSE),"")</f>
        <v/>
      </c>
      <c r="U820" s="92">
        <f>IFERROR(VLOOKUP($A820,'13. Mapa Títulos-Receita'!$A$8:$P$1000,6,FALSE),"")</f>
        <v/>
      </c>
      <c r="V820" s="92">
        <f>IFERROR(VLOOKUP($A820,'13. Mapa Títulos-Receita'!$A$8:$P$1000,7,FALSE),"")</f>
        <v/>
      </c>
      <c r="W820" s="92">
        <f>IFERROR(VLOOKUP($A820,'13. Mapa Títulos-Receita'!$A$8:$P$1000,8,FALSE),"")</f>
        <v/>
      </c>
      <c r="X820" s="92">
        <f>IFERROR(VLOOKUP($A820,'13. Mapa Títulos-Receita'!$A$8:$P$1000,9,FALSE),"")</f>
        <v/>
      </c>
      <c r="Y820" s="92">
        <f>IFERROR(VLOOKUP($A820,'13. Mapa Títulos-Receita'!$A$8:$P$1000,10,FALSE),"")</f>
        <v/>
      </c>
      <c r="Z820" s="92">
        <f>IFERROR(VLOOKUP($A820,'13. Mapa Títulos-Receita'!$A$8:$P$1000,11,FALSE),"")</f>
        <v/>
      </c>
      <c r="AA820" s="92">
        <f>IFERROR(VLOOKUP($A820,'13. Mapa Títulos-Receita'!$A$8:$P$1000,12,FALSE),"")</f>
        <v/>
      </c>
      <c r="AB820" s="92">
        <f>IFERROR(VLOOKUP($A820,'13. Mapa Títulos-Receita'!$A$8:$P$1000,13,FALSE),"")</f>
        <v/>
      </c>
      <c r="AC820" s="92">
        <f>IFERROR(VLOOKUP($A820,'13. Mapa Títulos-Receita'!$A$8:$P$1000,14,FALSE),"")</f>
        <v/>
      </c>
      <c r="AD820" s="92">
        <f>IFERROR(VLOOKUP($A820,'13. Mapa Títulos-Receita'!$A$8:$P$1000,15,FALSE),"")</f>
        <v/>
      </c>
      <c r="AE820" s="92">
        <f>IFERROR(VLOOKUP($A820,'13. Mapa Títulos-Receita'!$A$8:$P$1000,16,FALSE),"")</f>
        <v/>
      </c>
    </row>
    <row r="821">
      <c r="A821" s="28">
        <f>IF(C821="","", "CR-"&amp;TEXT(ROW()-7,"000"))</f>
        <v/>
      </c>
      <c r="B821" s="28" t="n"/>
      <c r="C821" s="28" t="n"/>
      <c r="D821" s="111" t="n"/>
      <c r="E821" s="111" t="n"/>
      <c r="F821" s="111" t="n"/>
      <c r="G821" s="28" t="n"/>
      <c r="H821" s="45" t="n"/>
      <c r="I821" s="45" t="n"/>
      <c r="J821" s="28">
        <f>IF(H821="","",IF(I821&gt;=H821,"Recebido",IF($B$4&gt;E821,"Vencido","Aberto")))</f>
        <v/>
      </c>
      <c r="K821" s="4">
        <f>IF(J821="","",IF(OR(J821="Recebido",F821=""),MAX(0,F821-E821),MAX(0,$B$4-E821)))</f>
        <v/>
      </c>
      <c r="L821" s="4">
        <f>IF(K821="","",IF(K821=0,"Em dia",IF(K821&lt;=30,"1-30 dias",IF(K821&lt;=60,"31-60 dias",IF(K821&lt;=90,"61-90 dias","&gt;90 dias")))))</f>
        <v/>
      </c>
      <c r="M821" s="28" t="n"/>
      <c r="N821" s="104" t="inlineStr"/>
      <c r="O821" s="64" t="n"/>
      <c r="P821" s="64">
        <f>IF(C821="","",IF(ISNUMBER(SEARCH("PCMSO",C821)),"PCMSO",IF(OR(ISNUMBER(SEARCH("E-SOCIAL",C821)),ISNUMBER(SEARCH("PSICOSOCIAL",C821))),"eSocial / Psicossocial",IF(O821="Receita recorrente","Carteira recorrente","Projetos / Laudos / Avulsos"))))</f>
        <v/>
      </c>
      <c r="Q821" s="64">
        <f>IF(P821="","",IF(P821="Carteira recorrente","Operação recorrente",IF(P821="PCMSO","Projetos PCMSO",IF(P821="eSocial / Psicossocial","Projetos eSocial/Psicossocial","Projetos / Laudos / Avulsos"))))</f>
        <v/>
      </c>
      <c r="R821" s="64">
        <f>IF(C821="","",IF(ISNUMBER(SEARCH("PCMSO",C821)),"Título com PCMSO no nome",IF(OR(ISNUMBER(SEARCH("E-SOCIAL",C821)),ISNUMBER(SEARCH("PSICOSOCIAL",C821))),"Título com eSocial/Psicossocial no nome",IF(O821="Receita recorrente","Tipo DRE recorrente","Extra sem palavra-chave específica"))))</f>
        <v/>
      </c>
      <c r="S821" s="92">
        <f>IFERROR(VLOOKUP($A821,'13. Mapa Títulos-Receita'!$A$8:$P$1000,4,FALSE),"")</f>
        <v/>
      </c>
      <c r="T821" s="92">
        <f>IFERROR(VLOOKUP($A821,'13. Mapa Títulos-Receita'!$A$8:$P$1000,5,FALSE),"")</f>
        <v/>
      </c>
      <c r="U821" s="92">
        <f>IFERROR(VLOOKUP($A821,'13. Mapa Títulos-Receita'!$A$8:$P$1000,6,FALSE),"")</f>
        <v/>
      </c>
      <c r="V821" s="92">
        <f>IFERROR(VLOOKUP($A821,'13. Mapa Títulos-Receita'!$A$8:$P$1000,7,FALSE),"")</f>
        <v/>
      </c>
      <c r="W821" s="92">
        <f>IFERROR(VLOOKUP($A821,'13. Mapa Títulos-Receita'!$A$8:$P$1000,8,FALSE),"")</f>
        <v/>
      </c>
      <c r="X821" s="92">
        <f>IFERROR(VLOOKUP($A821,'13. Mapa Títulos-Receita'!$A$8:$P$1000,9,FALSE),"")</f>
        <v/>
      </c>
      <c r="Y821" s="92">
        <f>IFERROR(VLOOKUP($A821,'13. Mapa Títulos-Receita'!$A$8:$P$1000,10,FALSE),"")</f>
        <v/>
      </c>
      <c r="Z821" s="92">
        <f>IFERROR(VLOOKUP($A821,'13. Mapa Títulos-Receita'!$A$8:$P$1000,11,FALSE),"")</f>
        <v/>
      </c>
      <c r="AA821" s="92">
        <f>IFERROR(VLOOKUP($A821,'13. Mapa Títulos-Receita'!$A$8:$P$1000,12,FALSE),"")</f>
        <v/>
      </c>
      <c r="AB821" s="92">
        <f>IFERROR(VLOOKUP($A821,'13. Mapa Títulos-Receita'!$A$8:$P$1000,13,FALSE),"")</f>
        <v/>
      </c>
      <c r="AC821" s="92">
        <f>IFERROR(VLOOKUP($A821,'13. Mapa Títulos-Receita'!$A$8:$P$1000,14,FALSE),"")</f>
        <v/>
      </c>
      <c r="AD821" s="92">
        <f>IFERROR(VLOOKUP($A821,'13. Mapa Títulos-Receita'!$A$8:$P$1000,15,FALSE),"")</f>
        <v/>
      </c>
      <c r="AE821" s="92">
        <f>IFERROR(VLOOKUP($A821,'13. Mapa Títulos-Receita'!$A$8:$P$1000,16,FALSE),"")</f>
        <v/>
      </c>
    </row>
    <row r="822">
      <c r="A822" s="28">
        <f>IF(C822="","", "CR-"&amp;TEXT(ROW()-7,"000"))</f>
        <v/>
      </c>
      <c r="B822" s="28" t="n"/>
      <c r="C822" s="28" t="n"/>
      <c r="D822" s="111" t="n"/>
      <c r="E822" s="111" t="n"/>
      <c r="F822" s="111" t="n"/>
      <c r="G822" s="28" t="n"/>
      <c r="H822" s="45" t="n"/>
      <c r="I822" s="45" t="n"/>
      <c r="J822" s="28">
        <f>IF(H822="","",IF(I822&gt;=H822,"Recebido",IF($B$4&gt;E822,"Vencido","Aberto")))</f>
        <v/>
      </c>
      <c r="K822" s="4">
        <f>IF(J822="","",IF(OR(J822="Recebido",F822=""),MAX(0,F822-E822),MAX(0,$B$4-E822)))</f>
        <v/>
      </c>
      <c r="L822" s="4">
        <f>IF(K822="","",IF(K822=0,"Em dia",IF(K822&lt;=30,"1-30 dias",IF(K822&lt;=60,"31-60 dias",IF(K822&lt;=90,"61-90 dias","&gt;90 dias")))))</f>
        <v/>
      </c>
      <c r="M822" s="28" t="n"/>
      <c r="N822" s="104" t="inlineStr"/>
      <c r="O822" s="64" t="n"/>
      <c r="P822" s="64">
        <f>IF(C822="","",IF(ISNUMBER(SEARCH("PCMSO",C822)),"PCMSO",IF(OR(ISNUMBER(SEARCH("E-SOCIAL",C822)),ISNUMBER(SEARCH("PSICOSOCIAL",C822))),"eSocial / Psicossocial",IF(O822="Receita recorrente","Carteira recorrente","Projetos / Laudos / Avulsos"))))</f>
        <v/>
      </c>
      <c r="Q822" s="64">
        <f>IF(P822="","",IF(P822="Carteira recorrente","Operação recorrente",IF(P822="PCMSO","Projetos PCMSO",IF(P822="eSocial / Psicossocial","Projetos eSocial/Psicossocial","Projetos / Laudos / Avulsos"))))</f>
        <v/>
      </c>
      <c r="R822" s="64">
        <f>IF(C822="","",IF(ISNUMBER(SEARCH("PCMSO",C822)),"Título com PCMSO no nome",IF(OR(ISNUMBER(SEARCH("E-SOCIAL",C822)),ISNUMBER(SEARCH("PSICOSOCIAL",C822))),"Título com eSocial/Psicossocial no nome",IF(O822="Receita recorrente","Tipo DRE recorrente","Extra sem palavra-chave específica"))))</f>
        <v/>
      </c>
      <c r="S822" s="92">
        <f>IFERROR(VLOOKUP($A822,'13. Mapa Títulos-Receita'!$A$8:$P$1000,4,FALSE),"")</f>
        <v/>
      </c>
      <c r="T822" s="92">
        <f>IFERROR(VLOOKUP($A822,'13. Mapa Títulos-Receita'!$A$8:$P$1000,5,FALSE),"")</f>
        <v/>
      </c>
      <c r="U822" s="92">
        <f>IFERROR(VLOOKUP($A822,'13. Mapa Títulos-Receita'!$A$8:$P$1000,6,FALSE),"")</f>
        <v/>
      </c>
      <c r="V822" s="92">
        <f>IFERROR(VLOOKUP($A822,'13. Mapa Títulos-Receita'!$A$8:$P$1000,7,FALSE),"")</f>
        <v/>
      </c>
      <c r="W822" s="92">
        <f>IFERROR(VLOOKUP($A822,'13. Mapa Títulos-Receita'!$A$8:$P$1000,8,FALSE),"")</f>
        <v/>
      </c>
      <c r="X822" s="92">
        <f>IFERROR(VLOOKUP($A822,'13. Mapa Títulos-Receita'!$A$8:$P$1000,9,FALSE),"")</f>
        <v/>
      </c>
      <c r="Y822" s="92">
        <f>IFERROR(VLOOKUP($A822,'13. Mapa Títulos-Receita'!$A$8:$P$1000,10,FALSE),"")</f>
        <v/>
      </c>
      <c r="Z822" s="92">
        <f>IFERROR(VLOOKUP($A822,'13. Mapa Títulos-Receita'!$A$8:$P$1000,11,FALSE),"")</f>
        <v/>
      </c>
      <c r="AA822" s="92">
        <f>IFERROR(VLOOKUP($A822,'13. Mapa Títulos-Receita'!$A$8:$P$1000,12,FALSE),"")</f>
        <v/>
      </c>
      <c r="AB822" s="92">
        <f>IFERROR(VLOOKUP($A822,'13. Mapa Títulos-Receita'!$A$8:$P$1000,13,FALSE),"")</f>
        <v/>
      </c>
      <c r="AC822" s="92">
        <f>IFERROR(VLOOKUP($A822,'13. Mapa Títulos-Receita'!$A$8:$P$1000,14,FALSE),"")</f>
        <v/>
      </c>
      <c r="AD822" s="92">
        <f>IFERROR(VLOOKUP($A822,'13. Mapa Títulos-Receita'!$A$8:$P$1000,15,FALSE),"")</f>
        <v/>
      </c>
      <c r="AE822" s="92">
        <f>IFERROR(VLOOKUP($A822,'13. Mapa Títulos-Receita'!$A$8:$P$1000,16,FALSE),"")</f>
        <v/>
      </c>
    </row>
    <row r="823">
      <c r="A823" s="28">
        <f>IF(C823="","", "CR-"&amp;TEXT(ROW()-7,"000"))</f>
        <v/>
      </c>
      <c r="B823" s="28" t="n"/>
      <c r="C823" s="28" t="n"/>
      <c r="D823" s="111" t="n"/>
      <c r="E823" s="111" t="n"/>
      <c r="F823" s="111" t="n"/>
      <c r="G823" s="28" t="n"/>
      <c r="H823" s="45" t="n"/>
      <c r="I823" s="45" t="n"/>
      <c r="J823" s="28">
        <f>IF(H823="","",IF(I823&gt;=H823,"Recebido",IF($B$4&gt;E823,"Vencido","Aberto")))</f>
        <v/>
      </c>
      <c r="K823" s="4">
        <f>IF(J823="","",IF(OR(J823="Recebido",F823=""),MAX(0,F823-E823),MAX(0,$B$4-E823)))</f>
        <v/>
      </c>
      <c r="L823" s="4">
        <f>IF(K823="","",IF(K823=0,"Em dia",IF(K823&lt;=30,"1-30 dias",IF(K823&lt;=60,"31-60 dias",IF(K823&lt;=90,"61-90 dias","&gt;90 dias")))))</f>
        <v/>
      </c>
      <c r="M823" s="28" t="n"/>
      <c r="N823" s="104" t="inlineStr"/>
      <c r="O823" s="64" t="n"/>
      <c r="P823" s="64">
        <f>IF(C823="","",IF(ISNUMBER(SEARCH("PCMSO",C823)),"PCMSO",IF(OR(ISNUMBER(SEARCH("E-SOCIAL",C823)),ISNUMBER(SEARCH("PSICOSOCIAL",C823))),"eSocial / Psicossocial",IF(O823="Receita recorrente","Carteira recorrente","Projetos / Laudos / Avulsos"))))</f>
        <v/>
      </c>
      <c r="Q823" s="64">
        <f>IF(P823="","",IF(P823="Carteira recorrente","Operação recorrente",IF(P823="PCMSO","Projetos PCMSO",IF(P823="eSocial / Psicossocial","Projetos eSocial/Psicossocial","Projetos / Laudos / Avulsos"))))</f>
        <v/>
      </c>
      <c r="R823" s="64">
        <f>IF(C823="","",IF(ISNUMBER(SEARCH("PCMSO",C823)),"Título com PCMSO no nome",IF(OR(ISNUMBER(SEARCH("E-SOCIAL",C823)),ISNUMBER(SEARCH("PSICOSOCIAL",C823))),"Título com eSocial/Psicossocial no nome",IF(O823="Receita recorrente","Tipo DRE recorrente","Extra sem palavra-chave específica"))))</f>
        <v/>
      </c>
      <c r="S823" s="92">
        <f>IFERROR(VLOOKUP($A823,'13. Mapa Títulos-Receita'!$A$8:$P$1000,4,FALSE),"")</f>
        <v/>
      </c>
      <c r="T823" s="92">
        <f>IFERROR(VLOOKUP($A823,'13. Mapa Títulos-Receita'!$A$8:$P$1000,5,FALSE),"")</f>
        <v/>
      </c>
      <c r="U823" s="92">
        <f>IFERROR(VLOOKUP($A823,'13. Mapa Títulos-Receita'!$A$8:$P$1000,6,FALSE),"")</f>
        <v/>
      </c>
      <c r="V823" s="92">
        <f>IFERROR(VLOOKUP($A823,'13. Mapa Títulos-Receita'!$A$8:$P$1000,7,FALSE),"")</f>
        <v/>
      </c>
      <c r="W823" s="92">
        <f>IFERROR(VLOOKUP($A823,'13. Mapa Títulos-Receita'!$A$8:$P$1000,8,FALSE),"")</f>
        <v/>
      </c>
      <c r="X823" s="92">
        <f>IFERROR(VLOOKUP($A823,'13. Mapa Títulos-Receita'!$A$8:$P$1000,9,FALSE),"")</f>
        <v/>
      </c>
      <c r="Y823" s="92">
        <f>IFERROR(VLOOKUP($A823,'13. Mapa Títulos-Receita'!$A$8:$P$1000,10,FALSE),"")</f>
        <v/>
      </c>
      <c r="Z823" s="92">
        <f>IFERROR(VLOOKUP($A823,'13. Mapa Títulos-Receita'!$A$8:$P$1000,11,FALSE),"")</f>
        <v/>
      </c>
      <c r="AA823" s="92">
        <f>IFERROR(VLOOKUP($A823,'13. Mapa Títulos-Receita'!$A$8:$P$1000,12,FALSE),"")</f>
        <v/>
      </c>
      <c r="AB823" s="92">
        <f>IFERROR(VLOOKUP($A823,'13. Mapa Títulos-Receita'!$A$8:$P$1000,13,FALSE),"")</f>
        <v/>
      </c>
      <c r="AC823" s="92">
        <f>IFERROR(VLOOKUP($A823,'13. Mapa Títulos-Receita'!$A$8:$P$1000,14,FALSE),"")</f>
        <v/>
      </c>
      <c r="AD823" s="92">
        <f>IFERROR(VLOOKUP($A823,'13. Mapa Títulos-Receita'!$A$8:$P$1000,15,FALSE),"")</f>
        <v/>
      </c>
      <c r="AE823" s="92">
        <f>IFERROR(VLOOKUP($A823,'13. Mapa Títulos-Receita'!$A$8:$P$1000,16,FALSE),"")</f>
        <v/>
      </c>
    </row>
    <row r="824">
      <c r="A824" s="28">
        <f>IF(C824="","", "CR-"&amp;TEXT(ROW()-7,"000"))</f>
        <v/>
      </c>
      <c r="B824" s="28" t="n"/>
      <c r="C824" s="28" t="n"/>
      <c r="D824" s="111" t="n"/>
      <c r="E824" s="111" t="n"/>
      <c r="F824" s="111" t="n"/>
      <c r="G824" s="28" t="n"/>
      <c r="H824" s="45" t="n"/>
      <c r="I824" s="45" t="n"/>
      <c r="J824" s="28">
        <f>IF(H824="","",IF(I824&gt;=H824,"Recebido",IF($B$4&gt;E824,"Vencido","Aberto")))</f>
        <v/>
      </c>
      <c r="K824" s="4">
        <f>IF(J824="","",IF(OR(J824="Recebido",F824=""),MAX(0,F824-E824),MAX(0,$B$4-E824)))</f>
        <v/>
      </c>
      <c r="L824" s="4">
        <f>IF(K824="","",IF(K824=0,"Em dia",IF(K824&lt;=30,"1-30 dias",IF(K824&lt;=60,"31-60 dias",IF(K824&lt;=90,"61-90 dias","&gt;90 dias")))))</f>
        <v/>
      </c>
      <c r="M824" s="28" t="n"/>
      <c r="N824" s="104" t="inlineStr"/>
      <c r="O824" s="64" t="n"/>
      <c r="P824" s="64">
        <f>IF(C824="","",IF(ISNUMBER(SEARCH("PCMSO",C824)),"PCMSO",IF(OR(ISNUMBER(SEARCH("E-SOCIAL",C824)),ISNUMBER(SEARCH("PSICOSOCIAL",C824))),"eSocial / Psicossocial",IF(O824="Receita recorrente","Carteira recorrente","Projetos / Laudos / Avulsos"))))</f>
        <v/>
      </c>
      <c r="Q824" s="64">
        <f>IF(P824="","",IF(P824="Carteira recorrente","Operação recorrente",IF(P824="PCMSO","Projetos PCMSO",IF(P824="eSocial / Psicossocial","Projetos eSocial/Psicossocial","Projetos / Laudos / Avulsos"))))</f>
        <v/>
      </c>
      <c r="R824" s="64">
        <f>IF(C824="","",IF(ISNUMBER(SEARCH("PCMSO",C824)),"Título com PCMSO no nome",IF(OR(ISNUMBER(SEARCH("E-SOCIAL",C824)),ISNUMBER(SEARCH("PSICOSOCIAL",C824))),"Título com eSocial/Psicossocial no nome",IF(O824="Receita recorrente","Tipo DRE recorrente","Extra sem palavra-chave específica"))))</f>
        <v/>
      </c>
      <c r="S824" s="92">
        <f>IFERROR(VLOOKUP($A824,'13. Mapa Títulos-Receita'!$A$8:$P$1000,4,FALSE),"")</f>
        <v/>
      </c>
      <c r="T824" s="92">
        <f>IFERROR(VLOOKUP($A824,'13. Mapa Títulos-Receita'!$A$8:$P$1000,5,FALSE),"")</f>
        <v/>
      </c>
      <c r="U824" s="92">
        <f>IFERROR(VLOOKUP($A824,'13. Mapa Títulos-Receita'!$A$8:$P$1000,6,FALSE),"")</f>
        <v/>
      </c>
      <c r="V824" s="92">
        <f>IFERROR(VLOOKUP($A824,'13. Mapa Títulos-Receita'!$A$8:$P$1000,7,FALSE),"")</f>
        <v/>
      </c>
      <c r="W824" s="92">
        <f>IFERROR(VLOOKUP($A824,'13. Mapa Títulos-Receita'!$A$8:$P$1000,8,FALSE),"")</f>
        <v/>
      </c>
      <c r="X824" s="92">
        <f>IFERROR(VLOOKUP($A824,'13. Mapa Títulos-Receita'!$A$8:$P$1000,9,FALSE),"")</f>
        <v/>
      </c>
      <c r="Y824" s="92">
        <f>IFERROR(VLOOKUP($A824,'13. Mapa Títulos-Receita'!$A$8:$P$1000,10,FALSE),"")</f>
        <v/>
      </c>
      <c r="Z824" s="92">
        <f>IFERROR(VLOOKUP($A824,'13. Mapa Títulos-Receita'!$A$8:$P$1000,11,FALSE),"")</f>
        <v/>
      </c>
      <c r="AA824" s="92">
        <f>IFERROR(VLOOKUP($A824,'13. Mapa Títulos-Receita'!$A$8:$P$1000,12,FALSE),"")</f>
        <v/>
      </c>
      <c r="AB824" s="92">
        <f>IFERROR(VLOOKUP($A824,'13. Mapa Títulos-Receita'!$A$8:$P$1000,13,FALSE),"")</f>
        <v/>
      </c>
      <c r="AC824" s="92">
        <f>IFERROR(VLOOKUP($A824,'13. Mapa Títulos-Receita'!$A$8:$P$1000,14,FALSE),"")</f>
        <v/>
      </c>
      <c r="AD824" s="92">
        <f>IFERROR(VLOOKUP($A824,'13. Mapa Títulos-Receita'!$A$8:$P$1000,15,FALSE),"")</f>
        <v/>
      </c>
      <c r="AE824" s="92">
        <f>IFERROR(VLOOKUP($A824,'13. Mapa Títulos-Receita'!$A$8:$P$1000,16,FALSE),"")</f>
        <v/>
      </c>
    </row>
    <row r="825">
      <c r="A825" s="28">
        <f>IF(C825="","", "CR-"&amp;TEXT(ROW()-7,"000"))</f>
        <v/>
      </c>
      <c r="B825" s="28" t="n"/>
      <c r="C825" s="28" t="n"/>
      <c r="D825" s="111" t="n"/>
      <c r="E825" s="111" t="n"/>
      <c r="F825" s="111" t="n"/>
      <c r="G825" s="28" t="n"/>
      <c r="H825" s="45" t="n"/>
      <c r="I825" s="45" t="n"/>
      <c r="J825" s="28">
        <f>IF(H825="","",IF(I825&gt;=H825,"Recebido",IF($B$4&gt;E825,"Vencido","Aberto")))</f>
        <v/>
      </c>
      <c r="K825" s="4">
        <f>IF(J825="","",IF(OR(J825="Recebido",F825=""),MAX(0,F825-E825),MAX(0,$B$4-E825)))</f>
        <v/>
      </c>
      <c r="L825" s="4">
        <f>IF(K825="","",IF(K825=0,"Em dia",IF(K825&lt;=30,"1-30 dias",IF(K825&lt;=60,"31-60 dias",IF(K825&lt;=90,"61-90 dias","&gt;90 dias")))))</f>
        <v/>
      </c>
      <c r="M825" s="28" t="n"/>
      <c r="N825" s="104" t="inlineStr"/>
      <c r="O825" s="64" t="n"/>
      <c r="P825" s="64">
        <f>IF(C825="","",IF(ISNUMBER(SEARCH("PCMSO",C825)),"PCMSO",IF(OR(ISNUMBER(SEARCH("E-SOCIAL",C825)),ISNUMBER(SEARCH("PSICOSOCIAL",C825))),"eSocial / Psicossocial",IF(O825="Receita recorrente","Carteira recorrente","Projetos / Laudos / Avulsos"))))</f>
        <v/>
      </c>
      <c r="Q825" s="64">
        <f>IF(P825="","",IF(P825="Carteira recorrente","Operação recorrente",IF(P825="PCMSO","Projetos PCMSO",IF(P825="eSocial / Psicossocial","Projetos eSocial/Psicossocial","Projetos / Laudos / Avulsos"))))</f>
        <v/>
      </c>
      <c r="R825" s="64">
        <f>IF(C825="","",IF(ISNUMBER(SEARCH("PCMSO",C825)),"Título com PCMSO no nome",IF(OR(ISNUMBER(SEARCH("E-SOCIAL",C825)),ISNUMBER(SEARCH("PSICOSOCIAL",C825))),"Título com eSocial/Psicossocial no nome",IF(O825="Receita recorrente","Tipo DRE recorrente","Extra sem palavra-chave específica"))))</f>
        <v/>
      </c>
      <c r="S825" s="92">
        <f>IFERROR(VLOOKUP($A825,'13. Mapa Títulos-Receita'!$A$8:$P$1000,4,FALSE),"")</f>
        <v/>
      </c>
      <c r="T825" s="92">
        <f>IFERROR(VLOOKUP($A825,'13. Mapa Títulos-Receita'!$A$8:$P$1000,5,FALSE),"")</f>
        <v/>
      </c>
      <c r="U825" s="92">
        <f>IFERROR(VLOOKUP($A825,'13. Mapa Títulos-Receita'!$A$8:$P$1000,6,FALSE),"")</f>
        <v/>
      </c>
      <c r="V825" s="92">
        <f>IFERROR(VLOOKUP($A825,'13. Mapa Títulos-Receita'!$A$8:$P$1000,7,FALSE),"")</f>
        <v/>
      </c>
      <c r="W825" s="92">
        <f>IFERROR(VLOOKUP($A825,'13. Mapa Títulos-Receita'!$A$8:$P$1000,8,FALSE),"")</f>
        <v/>
      </c>
      <c r="X825" s="92">
        <f>IFERROR(VLOOKUP($A825,'13. Mapa Títulos-Receita'!$A$8:$P$1000,9,FALSE),"")</f>
        <v/>
      </c>
      <c r="Y825" s="92">
        <f>IFERROR(VLOOKUP($A825,'13. Mapa Títulos-Receita'!$A$8:$P$1000,10,FALSE),"")</f>
        <v/>
      </c>
      <c r="Z825" s="92">
        <f>IFERROR(VLOOKUP($A825,'13. Mapa Títulos-Receita'!$A$8:$P$1000,11,FALSE),"")</f>
        <v/>
      </c>
      <c r="AA825" s="92">
        <f>IFERROR(VLOOKUP($A825,'13. Mapa Títulos-Receita'!$A$8:$P$1000,12,FALSE),"")</f>
        <v/>
      </c>
      <c r="AB825" s="92">
        <f>IFERROR(VLOOKUP($A825,'13. Mapa Títulos-Receita'!$A$8:$P$1000,13,FALSE),"")</f>
        <v/>
      </c>
      <c r="AC825" s="92">
        <f>IFERROR(VLOOKUP($A825,'13. Mapa Títulos-Receita'!$A$8:$P$1000,14,FALSE),"")</f>
        <v/>
      </c>
      <c r="AD825" s="92">
        <f>IFERROR(VLOOKUP($A825,'13. Mapa Títulos-Receita'!$A$8:$P$1000,15,FALSE),"")</f>
        <v/>
      </c>
      <c r="AE825" s="92">
        <f>IFERROR(VLOOKUP($A825,'13. Mapa Títulos-Receita'!$A$8:$P$1000,16,FALSE),"")</f>
        <v/>
      </c>
    </row>
    <row r="826">
      <c r="A826" s="28">
        <f>IF(C826="","", "CR-"&amp;TEXT(ROW()-7,"000"))</f>
        <v/>
      </c>
      <c r="B826" s="28" t="n"/>
      <c r="C826" s="28" t="n"/>
      <c r="D826" s="111" t="n"/>
      <c r="E826" s="111" t="n"/>
      <c r="F826" s="111" t="n"/>
      <c r="G826" s="28" t="n"/>
      <c r="H826" s="45" t="n"/>
      <c r="I826" s="45" t="n"/>
      <c r="J826" s="28">
        <f>IF(H826="","",IF(I826&gt;=H826,"Recebido",IF($B$4&gt;E826,"Vencido","Aberto")))</f>
        <v/>
      </c>
      <c r="K826" s="4">
        <f>IF(J826="","",IF(OR(J826="Recebido",F826=""),MAX(0,F826-E826),MAX(0,$B$4-E826)))</f>
        <v/>
      </c>
      <c r="L826" s="4">
        <f>IF(K826="","",IF(K826=0,"Em dia",IF(K826&lt;=30,"1-30 dias",IF(K826&lt;=60,"31-60 dias",IF(K826&lt;=90,"61-90 dias","&gt;90 dias")))))</f>
        <v/>
      </c>
      <c r="M826" s="28" t="n"/>
      <c r="N826" s="104" t="inlineStr"/>
      <c r="O826" s="64" t="n"/>
      <c r="P826" s="64">
        <f>IF(C826="","",IF(ISNUMBER(SEARCH("PCMSO",C826)),"PCMSO",IF(OR(ISNUMBER(SEARCH("E-SOCIAL",C826)),ISNUMBER(SEARCH("PSICOSOCIAL",C826))),"eSocial / Psicossocial",IF(O826="Receita recorrente","Carteira recorrente","Projetos / Laudos / Avulsos"))))</f>
        <v/>
      </c>
      <c r="Q826" s="64">
        <f>IF(P826="","",IF(P826="Carteira recorrente","Operação recorrente",IF(P826="PCMSO","Projetos PCMSO",IF(P826="eSocial / Psicossocial","Projetos eSocial/Psicossocial","Projetos / Laudos / Avulsos"))))</f>
        <v/>
      </c>
      <c r="R826" s="64">
        <f>IF(C826="","",IF(ISNUMBER(SEARCH("PCMSO",C826)),"Título com PCMSO no nome",IF(OR(ISNUMBER(SEARCH("E-SOCIAL",C826)),ISNUMBER(SEARCH("PSICOSOCIAL",C826))),"Título com eSocial/Psicossocial no nome",IF(O826="Receita recorrente","Tipo DRE recorrente","Extra sem palavra-chave específica"))))</f>
        <v/>
      </c>
      <c r="S826" s="92">
        <f>IFERROR(VLOOKUP($A826,'13. Mapa Títulos-Receita'!$A$8:$P$1000,4,FALSE),"")</f>
        <v/>
      </c>
      <c r="T826" s="92">
        <f>IFERROR(VLOOKUP($A826,'13. Mapa Títulos-Receita'!$A$8:$P$1000,5,FALSE),"")</f>
        <v/>
      </c>
      <c r="U826" s="92">
        <f>IFERROR(VLOOKUP($A826,'13. Mapa Títulos-Receita'!$A$8:$P$1000,6,FALSE),"")</f>
        <v/>
      </c>
      <c r="V826" s="92">
        <f>IFERROR(VLOOKUP($A826,'13. Mapa Títulos-Receita'!$A$8:$P$1000,7,FALSE),"")</f>
        <v/>
      </c>
      <c r="W826" s="92">
        <f>IFERROR(VLOOKUP($A826,'13. Mapa Títulos-Receita'!$A$8:$P$1000,8,FALSE),"")</f>
        <v/>
      </c>
      <c r="X826" s="92">
        <f>IFERROR(VLOOKUP($A826,'13. Mapa Títulos-Receita'!$A$8:$P$1000,9,FALSE),"")</f>
        <v/>
      </c>
      <c r="Y826" s="92">
        <f>IFERROR(VLOOKUP($A826,'13. Mapa Títulos-Receita'!$A$8:$P$1000,10,FALSE),"")</f>
        <v/>
      </c>
      <c r="Z826" s="92">
        <f>IFERROR(VLOOKUP($A826,'13. Mapa Títulos-Receita'!$A$8:$P$1000,11,FALSE),"")</f>
        <v/>
      </c>
      <c r="AA826" s="92">
        <f>IFERROR(VLOOKUP($A826,'13. Mapa Títulos-Receita'!$A$8:$P$1000,12,FALSE),"")</f>
        <v/>
      </c>
      <c r="AB826" s="92">
        <f>IFERROR(VLOOKUP($A826,'13. Mapa Títulos-Receita'!$A$8:$P$1000,13,FALSE),"")</f>
        <v/>
      </c>
      <c r="AC826" s="92">
        <f>IFERROR(VLOOKUP($A826,'13. Mapa Títulos-Receita'!$A$8:$P$1000,14,FALSE),"")</f>
        <v/>
      </c>
      <c r="AD826" s="92">
        <f>IFERROR(VLOOKUP($A826,'13. Mapa Títulos-Receita'!$A$8:$P$1000,15,FALSE),"")</f>
        <v/>
      </c>
      <c r="AE826" s="92">
        <f>IFERROR(VLOOKUP($A826,'13. Mapa Títulos-Receita'!$A$8:$P$1000,16,FALSE),"")</f>
        <v/>
      </c>
    </row>
    <row r="827">
      <c r="A827" s="28">
        <f>IF(C827="","", "CR-"&amp;TEXT(ROW()-7,"000"))</f>
        <v/>
      </c>
      <c r="B827" s="28" t="n"/>
      <c r="C827" s="28" t="n"/>
      <c r="D827" s="111" t="n"/>
      <c r="E827" s="111" t="n"/>
      <c r="F827" s="111" t="n"/>
      <c r="G827" s="28" t="n"/>
      <c r="H827" s="45" t="n"/>
      <c r="I827" s="45" t="n"/>
      <c r="J827" s="28">
        <f>IF(H827="","",IF(I827&gt;=H827,"Recebido",IF($B$4&gt;E827,"Vencido","Aberto")))</f>
        <v/>
      </c>
      <c r="K827" s="4">
        <f>IF(J827="","",IF(OR(J827="Recebido",F827=""),MAX(0,F827-E827),MAX(0,$B$4-E827)))</f>
        <v/>
      </c>
      <c r="L827" s="4">
        <f>IF(K827="","",IF(K827=0,"Em dia",IF(K827&lt;=30,"1-30 dias",IF(K827&lt;=60,"31-60 dias",IF(K827&lt;=90,"61-90 dias","&gt;90 dias")))))</f>
        <v/>
      </c>
      <c r="M827" s="28" t="n"/>
      <c r="N827" s="104" t="inlineStr"/>
      <c r="O827" s="64" t="n"/>
      <c r="P827" s="64">
        <f>IF(C827="","",IF(ISNUMBER(SEARCH("PCMSO",C827)),"PCMSO",IF(OR(ISNUMBER(SEARCH("E-SOCIAL",C827)),ISNUMBER(SEARCH("PSICOSOCIAL",C827))),"eSocial / Psicossocial",IF(O827="Receita recorrente","Carteira recorrente","Projetos / Laudos / Avulsos"))))</f>
        <v/>
      </c>
      <c r="Q827" s="64">
        <f>IF(P827="","",IF(P827="Carteira recorrente","Operação recorrente",IF(P827="PCMSO","Projetos PCMSO",IF(P827="eSocial / Psicossocial","Projetos eSocial/Psicossocial","Projetos / Laudos / Avulsos"))))</f>
        <v/>
      </c>
      <c r="R827" s="64">
        <f>IF(C827="","",IF(ISNUMBER(SEARCH("PCMSO",C827)),"Título com PCMSO no nome",IF(OR(ISNUMBER(SEARCH("E-SOCIAL",C827)),ISNUMBER(SEARCH("PSICOSOCIAL",C827))),"Título com eSocial/Psicossocial no nome",IF(O827="Receita recorrente","Tipo DRE recorrente","Extra sem palavra-chave específica"))))</f>
        <v/>
      </c>
      <c r="S827" s="92">
        <f>IFERROR(VLOOKUP($A827,'13. Mapa Títulos-Receita'!$A$8:$P$1000,4,FALSE),"")</f>
        <v/>
      </c>
      <c r="T827" s="92">
        <f>IFERROR(VLOOKUP($A827,'13. Mapa Títulos-Receita'!$A$8:$P$1000,5,FALSE),"")</f>
        <v/>
      </c>
      <c r="U827" s="92">
        <f>IFERROR(VLOOKUP($A827,'13. Mapa Títulos-Receita'!$A$8:$P$1000,6,FALSE),"")</f>
        <v/>
      </c>
      <c r="V827" s="92">
        <f>IFERROR(VLOOKUP($A827,'13. Mapa Títulos-Receita'!$A$8:$P$1000,7,FALSE),"")</f>
        <v/>
      </c>
      <c r="W827" s="92">
        <f>IFERROR(VLOOKUP($A827,'13. Mapa Títulos-Receita'!$A$8:$P$1000,8,FALSE),"")</f>
        <v/>
      </c>
      <c r="X827" s="92">
        <f>IFERROR(VLOOKUP($A827,'13. Mapa Títulos-Receita'!$A$8:$P$1000,9,FALSE),"")</f>
        <v/>
      </c>
      <c r="Y827" s="92">
        <f>IFERROR(VLOOKUP($A827,'13. Mapa Títulos-Receita'!$A$8:$P$1000,10,FALSE),"")</f>
        <v/>
      </c>
      <c r="Z827" s="92">
        <f>IFERROR(VLOOKUP($A827,'13. Mapa Títulos-Receita'!$A$8:$P$1000,11,FALSE),"")</f>
        <v/>
      </c>
      <c r="AA827" s="92">
        <f>IFERROR(VLOOKUP($A827,'13. Mapa Títulos-Receita'!$A$8:$P$1000,12,FALSE),"")</f>
        <v/>
      </c>
      <c r="AB827" s="92">
        <f>IFERROR(VLOOKUP($A827,'13. Mapa Títulos-Receita'!$A$8:$P$1000,13,FALSE),"")</f>
        <v/>
      </c>
      <c r="AC827" s="92">
        <f>IFERROR(VLOOKUP($A827,'13. Mapa Títulos-Receita'!$A$8:$P$1000,14,FALSE),"")</f>
        <v/>
      </c>
      <c r="AD827" s="92">
        <f>IFERROR(VLOOKUP($A827,'13. Mapa Títulos-Receita'!$A$8:$P$1000,15,FALSE),"")</f>
        <v/>
      </c>
      <c r="AE827" s="92">
        <f>IFERROR(VLOOKUP($A827,'13. Mapa Títulos-Receita'!$A$8:$P$1000,16,FALSE),"")</f>
        <v/>
      </c>
    </row>
    <row r="828">
      <c r="A828" s="28">
        <f>IF(C828="","", "CR-"&amp;TEXT(ROW()-7,"000"))</f>
        <v/>
      </c>
      <c r="B828" s="28" t="n"/>
      <c r="C828" s="28" t="n"/>
      <c r="D828" s="111" t="n"/>
      <c r="E828" s="111" t="n"/>
      <c r="F828" s="111" t="n"/>
      <c r="G828" s="28" t="n"/>
      <c r="H828" s="45" t="n"/>
      <c r="I828" s="45" t="n"/>
      <c r="J828" s="28">
        <f>IF(H828="","",IF(I828&gt;=H828,"Recebido",IF($B$4&gt;E828,"Vencido","Aberto")))</f>
        <v/>
      </c>
      <c r="K828" s="4">
        <f>IF(J828="","",IF(OR(J828="Recebido",F828=""),MAX(0,F828-E828),MAX(0,$B$4-E828)))</f>
        <v/>
      </c>
      <c r="L828" s="4">
        <f>IF(K828="","",IF(K828=0,"Em dia",IF(K828&lt;=30,"1-30 dias",IF(K828&lt;=60,"31-60 dias",IF(K828&lt;=90,"61-90 dias","&gt;90 dias")))))</f>
        <v/>
      </c>
      <c r="M828" s="28" t="n"/>
      <c r="N828" s="104" t="inlineStr"/>
      <c r="O828" s="64" t="n"/>
      <c r="P828" s="64">
        <f>IF(C828="","",IF(ISNUMBER(SEARCH("PCMSO",C828)),"PCMSO",IF(OR(ISNUMBER(SEARCH("E-SOCIAL",C828)),ISNUMBER(SEARCH("PSICOSOCIAL",C828))),"eSocial / Psicossocial",IF(O828="Receita recorrente","Carteira recorrente","Projetos / Laudos / Avulsos"))))</f>
        <v/>
      </c>
      <c r="Q828" s="64">
        <f>IF(P828="","",IF(P828="Carteira recorrente","Operação recorrente",IF(P828="PCMSO","Projetos PCMSO",IF(P828="eSocial / Psicossocial","Projetos eSocial/Psicossocial","Projetos / Laudos / Avulsos"))))</f>
        <v/>
      </c>
      <c r="R828" s="64">
        <f>IF(C828="","",IF(ISNUMBER(SEARCH("PCMSO",C828)),"Título com PCMSO no nome",IF(OR(ISNUMBER(SEARCH("E-SOCIAL",C828)),ISNUMBER(SEARCH("PSICOSOCIAL",C828))),"Título com eSocial/Psicossocial no nome",IF(O828="Receita recorrente","Tipo DRE recorrente","Extra sem palavra-chave específica"))))</f>
        <v/>
      </c>
      <c r="S828" s="92">
        <f>IFERROR(VLOOKUP($A828,'13. Mapa Títulos-Receita'!$A$8:$P$1000,4,FALSE),"")</f>
        <v/>
      </c>
      <c r="T828" s="92">
        <f>IFERROR(VLOOKUP($A828,'13. Mapa Títulos-Receita'!$A$8:$P$1000,5,FALSE),"")</f>
        <v/>
      </c>
      <c r="U828" s="92">
        <f>IFERROR(VLOOKUP($A828,'13. Mapa Títulos-Receita'!$A$8:$P$1000,6,FALSE),"")</f>
        <v/>
      </c>
      <c r="V828" s="92">
        <f>IFERROR(VLOOKUP($A828,'13. Mapa Títulos-Receita'!$A$8:$P$1000,7,FALSE),"")</f>
        <v/>
      </c>
      <c r="W828" s="92">
        <f>IFERROR(VLOOKUP($A828,'13. Mapa Títulos-Receita'!$A$8:$P$1000,8,FALSE),"")</f>
        <v/>
      </c>
      <c r="X828" s="92">
        <f>IFERROR(VLOOKUP($A828,'13. Mapa Títulos-Receita'!$A$8:$P$1000,9,FALSE),"")</f>
        <v/>
      </c>
      <c r="Y828" s="92">
        <f>IFERROR(VLOOKUP($A828,'13. Mapa Títulos-Receita'!$A$8:$P$1000,10,FALSE),"")</f>
        <v/>
      </c>
      <c r="Z828" s="92">
        <f>IFERROR(VLOOKUP($A828,'13. Mapa Títulos-Receita'!$A$8:$P$1000,11,FALSE),"")</f>
        <v/>
      </c>
      <c r="AA828" s="92">
        <f>IFERROR(VLOOKUP($A828,'13. Mapa Títulos-Receita'!$A$8:$P$1000,12,FALSE),"")</f>
        <v/>
      </c>
      <c r="AB828" s="92">
        <f>IFERROR(VLOOKUP($A828,'13. Mapa Títulos-Receita'!$A$8:$P$1000,13,FALSE),"")</f>
        <v/>
      </c>
      <c r="AC828" s="92">
        <f>IFERROR(VLOOKUP($A828,'13. Mapa Títulos-Receita'!$A$8:$P$1000,14,FALSE),"")</f>
        <v/>
      </c>
      <c r="AD828" s="92">
        <f>IFERROR(VLOOKUP($A828,'13. Mapa Títulos-Receita'!$A$8:$P$1000,15,FALSE),"")</f>
        <v/>
      </c>
      <c r="AE828" s="92">
        <f>IFERROR(VLOOKUP($A828,'13. Mapa Títulos-Receita'!$A$8:$P$1000,16,FALSE),"")</f>
        <v/>
      </c>
    </row>
    <row r="829">
      <c r="A829" s="28">
        <f>IF(C829="","", "CR-"&amp;TEXT(ROW()-7,"000"))</f>
        <v/>
      </c>
      <c r="B829" s="28" t="n"/>
      <c r="C829" s="28" t="n"/>
      <c r="D829" s="111" t="n"/>
      <c r="E829" s="111" t="n"/>
      <c r="F829" s="111" t="n"/>
      <c r="G829" s="28" t="n"/>
      <c r="H829" s="45" t="n"/>
      <c r="I829" s="45" t="n"/>
      <c r="J829" s="28">
        <f>IF(H829="","",IF(I829&gt;=H829,"Recebido",IF($B$4&gt;E829,"Vencido","Aberto")))</f>
        <v/>
      </c>
      <c r="K829" s="4">
        <f>IF(J829="","",IF(OR(J829="Recebido",F829=""),MAX(0,F829-E829),MAX(0,$B$4-E829)))</f>
        <v/>
      </c>
      <c r="L829" s="4">
        <f>IF(K829="","",IF(K829=0,"Em dia",IF(K829&lt;=30,"1-30 dias",IF(K829&lt;=60,"31-60 dias",IF(K829&lt;=90,"61-90 dias","&gt;90 dias")))))</f>
        <v/>
      </c>
      <c r="M829" s="28" t="n"/>
      <c r="N829" s="104" t="inlineStr"/>
      <c r="O829" s="64" t="n"/>
      <c r="P829" s="64">
        <f>IF(C829="","",IF(ISNUMBER(SEARCH("PCMSO",C829)),"PCMSO",IF(OR(ISNUMBER(SEARCH("E-SOCIAL",C829)),ISNUMBER(SEARCH("PSICOSOCIAL",C829))),"eSocial / Psicossocial",IF(O829="Receita recorrente","Carteira recorrente","Projetos / Laudos / Avulsos"))))</f>
        <v/>
      </c>
      <c r="Q829" s="64">
        <f>IF(P829="","",IF(P829="Carteira recorrente","Operação recorrente",IF(P829="PCMSO","Projetos PCMSO",IF(P829="eSocial / Psicossocial","Projetos eSocial/Psicossocial","Projetos / Laudos / Avulsos"))))</f>
        <v/>
      </c>
      <c r="R829" s="64">
        <f>IF(C829="","",IF(ISNUMBER(SEARCH("PCMSO",C829)),"Título com PCMSO no nome",IF(OR(ISNUMBER(SEARCH("E-SOCIAL",C829)),ISNUMBER(SEARCH("PSICOSOCIAL",C829))),"Título com eSocial/Psicossocial no nome",IF(O829="Receita recorrente","Tipo DRE recorrente","Extra sem palavra-chave específica"))))</f>
        <v/>
      </c>
      <c r="S829" s="92">
        <f>IFERROR(VLOOKUP($A829,'13. Mapa Títulos-Receita'!$A$8:$P$1000,4,FALSE),"")</f>
        <v/>
      </c>
      <c r="T829" s="92">
        <f>IFERROR(VLOOKUP($A829,'13. Mapa Títulos-Receita'!$A$8:$P$1000,5,FALSE),"")</f>
        <v/>
      </c>
      <c r="U829" s="92">
        <f>IFERROR(VLOOKUP($A829,'13. Mapa Títulos-Receita'!$A$8:$P$1000,6,FALSE),"")</f>
        <v/>
      </c>
      <c r="V829" s="92">
        <f>IFERROR(VLOOKUP($A829,'13. Mapa Títulos-Receita'!$A$8:$P$1000,7,FALSE),"")</f>
        <v/>
      </c>
      <c r="W829" s="92">
        <f>IFERROR(VLOOKUP($A829,'13. Mapa Títulos-Receita'!$A$8:$P$1000,8,FALSE),"")</f>
        <v/>
      </c>
      <c r="X829" s="92">
        <f>IFERROR(VLOOKUP($A829,'13. Mapa Títulos-Receita'!$A$8:$P$1000,9,FALSE),"")</f>
        <v/>
      </c>
      <c r="Y829" s="92">
        <f>IFERROR(VLOOKUP($A829,'13. Mapa Títulos-Receita'!$A$8:$P$1000,10,FALSE),"")</f>
        <v/>
      </c>
      <c r="Z829" s="92">
        <f>IFERROR(VLOOKUP($A829,'13. Mapa Títulos-Receita'!$A$8:$P$1000,11,FALSE),"")</f>
        <v/>
      </c>
      <c r="AA829" s="92">
        <f>IFERROR(VLOOKUP($A829,'13. Mapa Títulos-Receita'!$A$8:$P$1000,12,FALSE),"")</f>
        <v/>
      </c>
      <c r="AB829" s="92">
        <f>IFERROR(VLOOKUP($A829,'13. Mapa Títulos-Receita'!$A$8:$P$1000,13,FALSE),"")</f>
        <v/>
      </c>
      <c r="AC829" s="92">
        <f>IFERROR(VLOOKUP($A829,'13. Mapa Títulos-Receita'!$A$8:$P$1000,14,FALSE),"")</f>
        <v/>
      </c>
      <c r="AD829" s="92">
        <f>IFERROR(VLOOKUP($A829,'13. Mapa Títulos-Receita'!$A$8:$P$1000,15,FALSE),"")</f>
        <v/>
      </c>
      <c r="AE829" s="92">
        <f>IFERROR(VLOOKUP($A829,'13. Mapa Títulos-Receita'!$A$8:$P$1000,16,FALSE),"")</f>
        <v/>
      </c>
    </row>
    <row r="830">
      <c r="A830" s="28">
        <f>IF(C830="","", "CR-"&amp;TEXT(ROW()-7,"000"))</f>
        <v/>
      </c>
      <c r="B830" s="28" t="n"/>
      <c r="C830" s="28" t="n"/>
      <c r="D830" s="111" t="n"/>
      <c r="E830" s="111" t="n"/>
      <c r="F830" s="111" t="n"/>
      <c r="G830" s="28" t="n"/>
      <c r="H830" s="45" t="n"/>
      <c r="I830" s="45" t="n"/>
      <c r="J830" s="28">
        <f>IF(H830="","",IF(I830&gt;=H830,"Recebido",IF($B$4&gt;E830,"Vencido","Aberto")))</f>
        <v/>
      </c>
      <c r="K830" s="4">
        <f>IF(J830="","",IF(OR(J830="Recebido",F830=""),MAX(0,F830-E830),MAX(0,$B$4-E830)))</f>
        <v/>
      </c>
      <c r="L830" s="4">
        <f>IF(K830="","",IF(K830=0,"Em dia",IF(K830&lt;=30,"1-30 dias",IF(K830&lt;=60,"31-60 dias",IF(K830&lt;=90,"61-90 dias","&gt;90 dias")))))</f>
        <v/>
      </c>
      <c r="M830" s="28" t="n"/>
      <c r="N830" s="104" t="inlineStr"/>
      <c r="O830" s="64" t="n"/>
      <c r="P830" s="64">
        <f>IF(C830="","",IF(ISNUMBER(SEARCH("PCMSO",C830)),"PCMSO",IF(OR(ISNUMBER(SEARCH("E-SOCIAL",C830)),ISNUMBER(SEARCH("PSICOSOCIAL",C830))),"eSocial / Psicossocial",IF(O830="Receita recorrente","Carteira recorrente","Projetos / Laudos / Avulsos"))))</f>
        <v/>
      </c>
      <c r="Q830" s="64">
        <f>IF(P830="","",IF(P830="Carteira recorrente","Operação recorrente",IF(P830="PCMSO","Projetos PCMSO",IF(P830="eSocial / Psicossocial","Projetos eSocial/Psicossocial","Projetos / Laudos / Avulsos"))))</f>
        <v/>
      </c>
      <c r="R830" s="64">
        <f>IF(C830="","",IF(ISNUMBER(SEARCH("PCMSO",C830)),"Título com PCMSO no nome",IF(OR(ISNUMBER(SEARCH("E-SOCIAL",C830)),ISNUMBER(SEARCH("PSICOSOCIAL",C830))),"Título com eSocial/Psicossocial no nome",IF(O830="Receita recorrente","Tipo DRE recorrente","Extra sem palavra-chave específica"))))</f>
        <v/>
      </c>
      <c r="S830" s="92">
        <f>IFERROR(VLOOKUP($A830,'13. Mapa Títulos-Receita'!$A$8:$P$1000,4,FALSE),"")</f>
        <v/>
      </c>
      <c r="T830" s="92">
        <f>IFERROR(VLOOKUP($A830,'13. Mapa Títulos-Receita'!$A$8:$P$1000,5,FALSE),"")</f>
        <v/>
      </c>
      <c r="U830" s="92">
        <f>IFERROR(VLOOKUP($A830,'13. Mapa Títulos-Receita'!$A$8:$P$1000,6,FALSE),"")</f>
        <v/>
      </c>
      <c r="V830" s="92">
        <f>IFERROR(VLOOKUP($A830,'13. Mapa Títulos-Receita'!$A$8:$P$1000,7,FALSE),"")</f>
        <v/>
      </c>
      <c r="W830" s="92">
        <f>IFERROR(VLOOKUP($A830,'13. Mapa Títulos-Receita'!$A$8:$P$1000,8,FALSE),"")</f>
        <v/>
      </c>
      <c r="X830" s="92">
        <f>IFERROR(VLOOKUP($A830,'13. Mapa Títulos-Receita'!$A$8:$P$1000,9,FALSE),"")</f>
        <v/>
      </c>
      <c r="Y830" s="92">
        <f>IFERROR(VLOOKUP($A830,'13. Mapa Títulos-Receita'!$A$8:$P$1000,10,FALSE),"")</f>
        <v/>
      </c>
      <c r="Z830" s="92">
        <f>IFERROR(VLOOKUP($A830,'13. Mapa Títulos-Receita'!$A$8:$P$1000,11,FALSE),"")</f>
        <v/>
      </c>
      <c r="AA830" s="92">
        <f>IFERROR(VLOOKUP($A830,'13. Mapa Títulos-Receita'!$A$8:$P$1000,12,FALSE),"")</f>
        <v/>
      </c>
      <c r="AB830" s="92">
        <f>IFERROR(VLOOKUP($A830,'13. Mapa Títulos-Receita'!$A$8:$P$1000,13,FALSE),"")</f>
        <v/>
      </c>
      <c r="AC830" s="92">
        <f>IFERROR(VLOOKUP($A830,'13. Mapa Títulos-Receita'!$A$8:$P$1000,14,FALSE),"")</f>
        <v/>
      </c>
      <c r="AD830" s="92">
        <f>IFERROR(VLOOKUP($A830,'13. Mapa Títulos-Receita'!$A$8:$P$1000,15,FALSE),"")</f>
        <v/>
      </c>
      <c r="AE830" s="92">
        <f>IFERROR(VLOOKUP($A830,'13. Mapa Títulos-Receita'!$A$8:$P$1000,16,FALSE),"")</f>
        <v/>
      </c>
    </row>
    <row r="831">
      <c r="A831" s="28">
        <f>IF(C831="","", "CR-"&amp;TEXT(ROW()-7,"000"))</f>
        <v/>
      </c>
      <c r="B831" s="28" t="n"/>
      <c r="C831" s="28" t="n"/>
      <c r="D831" s="111" t="n"/>
      <c r="E831" s="111" t="n"/>
      <c r="F831" s="111" t="n"/>
      <c r="G831" s="28" t="n"/>
      <c r="H831" s="45" t="n"/>
      <c r="I831" s="45" t="n"/>
      <c r="J831" s="28">
        <f>IF(H831="","",IF(I831&gt;=H831,"Recebido",IF($B$4&gt;E831,"Vencido","Aberto")))</f>
        <v/>
      </c>
      <c r="K831" s="4">
        <f>IF(J831="","",IF(OR(J831="Recebido",F831=""),MAX(0,F831-E831),MAX(0,$B$4-E831)))</f>
        <v/>
      </c>
      <c r="L831" s="4">
        <f>IF(K831="","",IF(K831=0,"Em dia",IF(K831&lt;=30,"1-30 dias",IF(K831&lt;=60,"31-60 dias",IF(K831&lt;=90,"61-90 dias","&gt;90 dias")))))</f>
        <v/>
      </c>
      <c r="M831" s="28" t="n"/>
      <c r="N831" s="104" t="inlineStr"/>
      <c r="O831" s="64" t="n"/>
      <c r="P831" s="64">
        <f>IF(C831="","",IF(ISNUMBER(SEARCH("PCMSO",C831)),"PCMSO",IF(OR(ISNUMBER(SEARCH("E-SOCIAL",C831)),ISNUMBER(SEARCH("PSICOSOCIAL",C831))),"eSocial / Psicossocial",IF(O831="Receita recorrente","Carteira recorrente","Projetos / Laudos / Avulsos"))))</f>
        <v/>
      </c>
      <c r="Q831" s="64">
        <f>IF(P831="","",IF(P831="Carteira recorrente","Operação recorrente",IF(P831="PCMSO","Projetos PCMSO",IF(P831="eSocial / Psicossocial","Projetos eSocial/Psicossocial","Projetos / Laudos / Avulsos"))))</f>
        <v/>
      </c>
      <c r="R831" s="64">
        <f>IF(C831="","",IF(ISNUMBER(SEARCH("PCMSO",C831)),"Título com PCMSO no nome",IF(OR(ISNUMBER(SEARCH("E-SOCIAL",C831)),ISNUMBER(SEARCH("PSICOSOCIAL",C831))),"Título com eSocial/Psicossocial no nome",IF(O831="Receita recorrente","Tipo DRE recorrente","Extra sem palavra-chave específica"))))</f>
        <v/>
      </c>
      <c r="S831" s="92">
        <f>IFERROR(VLOOKUP($A831,'13. Mapa Títulos-Receita'!$A$8:$P$1000,4,FALSE),"")</f>
        <v/>
      </c>
      <c r="T831" s="92">
        <f>IFERROR(VLOOKUP($A831,'13. Mapa Títulos-Receita'!$A$8:$P$1000,5,FALSE),"")</f>
        <v/>
      </c>
      <c r="U831" s="92">
        <f>IFERROR(VLOOKUP($A831,'13. Mapa Títulos-Receita'!$A$8:$P$1000,6,FALSE),"")</f>
        <v/>
      </c>
      <c r="V831" s="92">
        <f>IFERROR(VLOOKUP($A831,'13. Mapa Títulos-Receita'!$A$8:$P$1000,7,FALSE),"")</f>
        <v/>
      </c>
      <c r="W831" s="92">
        <f>IFERROR(VLOOKUP($A831,'13. Mapa Títulos-Receita'!$A$8:$P$1000,8,FALSE),"")</f>
        <v/>
      </c>
      <c r="X831" s="92">
        <f>IFERROR(VLOOKUP($A831,'13. Mapa Títulos-Receita'!$A$8:$P$1000,9,FALSE),"")</f>
        <v/>
      </c>
      <c r="Y831" s="92">
        <f>IFERROR(VLOOKUP($A831,'13. Mapa Títulos-Receita'!$A$8:$P$1000,10,FALSE),"")</f>
        <v/>
      </c>
      <c r="Z831" s="92">
        <f>IFERROR(VLOOKUP($A831,'13. Mapa Títulos-Receita'!$A$8:$P$1000,11,FALSE),"")</f>
        <v/>
      </c>
      <c r="AA831" s="92">
        <f>IFERROR(VLOOKUP($A831,'13. Mapa Títulos-Receita'!$A$8:$P$1000,12,FALSE),"")</f>
        <v/>
      </c>
      <c r="AB831" s="92">
        <f>IFERROR(VLOOKUP($A831,'13. Mapa Títulos-Receita'!$A$8:$P$1000,13,FALSE),"")</f>
        <v/>
      </c>
      <c r="AC831" s="92">
        <f>IFERROR(VLOOKUP($A831,'13. Mapa Títulos-Receita'!$A$8:$P$1000,14,FALSE),"")</f>
        <v/>
      </c>
      <c r="AD831" s="92">
        <f>IFERROR(VLOOKUP($A831,'13. Mapa Títulos-Receita'!$A$8:$P$1000,15,FALSE),"")</f>
        <v/>
      </c>
      <c r="AE831" s="92">
        <f>IFERROR(VLOOKUP($A831,'13. Mapa Títulos-Receita'!$A$8:$P$1000,16,FALSE),"")</f>
        <v/>
      </c>
    </row>
    <row r="832">
      <c r="A832" s="28">
        <f>IF(C832="","", "CR-"&amp;TEXT(ROW()-7,"000"))</f>
        <v/>
      </c>
      <c r="B832" s="28" t="n"/>
      <c r="C832" s="28" t="n"/>
      <c r="D832" s="111" t="n"/>
      <c r="E832" s="111" t="n"/>
      <c r="F832" s="111" t="n"/>
      <c r="G832" s="28" t="n"/>
      <c r="H832" s="45" t="n"/>
      <c r="I832" s="45" t="n"/>
      <c r="J832" s="28">
        <f>IF(H832="","",IF(I832&gt;=H832,"Recebido",IF($B$4&gt;E832,"Vencido","Aberto")))</f>
        <v/>
      </c>
      <c r="K832" s="4">
        <f>IF(J832="","",IF(OR(J832="Recebido",F832=""),MAX(0,F832-E832),MAX(0,$B$4-E832)))</f>
        <v/>
      </c>
      <c r="L832" s="4">
        <f>IF(K832="","",IF(K832=0,"Em dia",IF(K832&lt;=30,"1-30 dias",IF(K832&lt;=60,"31-60 dias",IF(K832&lt;=90,"61-90 dias","&gt;90 dias")))))</f>
        <v/>
      </c>
      <c r="M832" s="28" t="n"/>
      <c r="N832" s="104" t="inlineStr"/>
      <c r="O832" s="64" t="n"/>
      <c r="P832" s="64">
        <f>IF(C832="","",IF(ISNUMBER(SEARCH("PCMSO",C832)),"PCMSO",IF(OR(ISNUMBER(SEARCH("E-SOCIAL",C832)),ISNUMBER(SEARCH("PSICOSOCIAL",C832))),"eSocial / Psicossocial",IF(O832="Receita recorrente","Carteira recorrente","Projetos / Laudos / Avulsos"))))</f>
        <v/>
      </c>
      <c r="Q832" s="64">
        <f>IF(P832="","",IF(P832="Carteira recorrente","Operação recorrente",IF(P832="PCMSO","Projetos PCMSO",IF(P832="eSocial / Psicossocial","Projetos eSocial/Psicossocial","Projetos / Laudos / Avulsos"))))</f>
        <v/>
      </c>
      <c r="R832" s="64">
        <f>IF(C832="","",IF(ISNUMBER(SEARCH("PCMSO",C832)),"Título com PCMSO no nome",IF(OR(ISNUMBER(SEARCH("E-SOCIAL",C832)),ISNUMBER(SEARCH("PSICOSOCIAL",C832))),"Título com eSocial/Psicossocial no nome",IF(O832="Receita recorrente","Tipo DRE recorrente","Extra sem palavra-chave específica"))))</f>
        <v/>
      </c>
      <c r="S832" s="92">
        <f>IFERROR(VLOOKUP($A832,'13. Mapa Títulos-Receita'!$A$8:$P$1000,4,FALSE),"")</f>
        <v/>
      </c>
      <c r="T832" s="92">
        <f>IFERROR(VLOOKUP($A832,'13. Mapa Títulos-Receita'!$A$8:$P$1000,5,FALSE),"")</f>
        <v/>
      </c>
      <c r="U832" s="92">
        <f>IFERROR(VLOOKUP($A832,'13. Mapa Títulos-Receita'!$A$8:$P$1000,6,FALSE),"")</f>
        <v/>
      </c>
      <c r="V832" s="92">
        <f>IFERROR(VLOOKUP($A832,'13. Mapa Títulos-Receita'!$A$8:$P$1000,7,FALSE),"")</f>
        <v/>
      </c>
      <c r="W832" s="92">
        <f>IFERROR(VLOOKUP($A832,'13. Mapa Títulos-Receita'!$A$8:$P$1000,8,FALSE),"")</f>
        <v/>
      </c>
      <c r="X832" s="92">
        <f>IFERROR(VLOOKUP($A832,'13. Mapa Títulos-Receita'!$A$8:$P$1000,9,FALSE),"")</f>
        <v/>
      </c>
      <c r="Y832" s="92">
        <f>IFERROR(VLOOKUP($A832,'13. Mapa Títulos-Receita'!$A$8:$P$1000,10,FALSE),"")</f>
        <v/>
      </c>
      <c r="Z832" s="92">
        <f>IFERROR(VLOOKUP($A832,'13. Mapa Títulos-Receita'!$A$8:$P$1000,11,FALSE),"")</f>
        <v/>
      </c>
      <c r="AA832" s="92">
        <f>IFERROR(VLOOKUP($A832,'13. Mapa Títulos-Receita'!$A$8:$P$1000,12,FALSE),"")</f>
        <v/>
      </c>
      <c r="AB832" s="92">
        <f>IFERROR(VLOOKUP($A832,'13. Mapa Títulos-Receita'!$A$8:$P$1000,13,FALSE),"")</f>
        <v/>
      </c>
      <c r="AC832" s="92">
        <f>IFERROR(VLOOKUP($A832,'13. Mapa Títulos-Receita'!$A$8:$P$1000,14,FALSE),"")</f>
        <v/>
      </c>
      <c r="AD832" s="92">
        <f>IFERROR(VLOOKUP($A832,'13. Mapa Títulos-Receita'!$A$8:$P$1000,15,FALSE),"")</f>
        <v/>
      </c>
      <c r="AE832" s="92">
        <f>IFERROR(VLOOKUP($A832,'13. Mapa Títulos-Receita'!$A$8:$P$1000,16,FALSE),"")</f>
        <v/>
      </c>
    </row>
    <row r="833">
      <c r="A833" s="28">
        <f>IF(C833="","", "CR-"&amp;TEXT(ROW()-7,"000"))</f>
        <v/>
      </c>
      <c r="B833" s="28" t="n"/>
      <c r="C833" s="28" t="n"/>
      <c r="D833" s="111" t="n"/>
      <c r="E833" s="111" t="n"/>
      <c r="F833" s="111" t="n"/>
      <c r="G833" s="28" t="n"/>
      <c r="H833" s="45" t="n"/>
      <c r="I833" s="45" t="n"/>
      <c r="J833" s="28">
        <f>IF(H833="","",IF(I833&gt;=H833,"Recebido",IF($B$4&gt;E833,"Vencido","Aberto")))</f>
        <v/>
      </c>
      <c r="K833" s="4">
        <f>IF(J833="","",IF(OR(J833="Recebido",F833=""),MAX(0,F833-E833),MAX(0,$B$4-E833)))</f>
        <v/>
      </c>
      <c r="L833" s="4">
        <f>IF(K833="","",IF(K833=0,"Em dia",IF(K833&lt;=30,"1-30 dias",IF(K833&lt;=60,"31-60 dias",IF(K833&lt;=90,"61-90 dias","&gt;90 dias")))))</f>
        <v/>
      </c>
      <c r="M833" s="28" t="n"/>
      <c r="N833" s="104" t="inlineStr"/>
      <c r="O833" s="64" t="n"/>
      <c r="P833" s="64">
        <f>IF(C833="","",IF(ISNUMBER(SEARCH("PCMSO",C833)),"PCMSO",IF(OR(ISNUMBER(SEARCH("E-SOCIAL",C833)),ISNUMBER(SEARCH("PSICOSOCIAL",C833))),"eSocial / Psicossocial",IF(O833="Receita recorrente","Carteira recorrente","Projetos / Laudos / Avulsos"))))</f>
        <v/>
      </c>
      <c r="Q833" s="64">
        <f>IF(P833="","",IF(P833="Carteira recorrente","Operação recorrente",IF(P833="PCMSO","Projetos PCMSO",IF(P833="eSocial / Psicossocial","Projetos eSocial/Psicossocial","Projetos / Laudos / Avulsos"))))</f>
        <v/>
      </c>
      <c r="R833" s="64">
        <f>IF(C833="","",IF(ISNUMBER(SEARCH("PCMSO",C833)),"Título com PCMSO no nome",IF(OR(ISNUMBER(SEARCH("E-SOCIAL",C833)),ISNUMBER(SEARCH("PSICOSOCIAL",C833))),"Título com eSocial/Psicossocial no nome",IF(O833="Receita recorrente","Tipo DRE recorrente","Extra sem palavra-chave específica"))))</f>
        <v/>
      </c>
      <c r="S833" s="92">
        <f>IFERROR(VLOOKUP($A833,'13. Mapa Títulos-Receita'!$A$8:$P$1000,4,FALSE),"")</f>
        <v/>
      </c>
      <c r="T833" s="92">
        <f>IFERROR(VLOOKUP($A833,'13. Mapa Títulos-Receita'!$A$8:$P$1000,5,FALSE),"")</f>
        <v/>
      </c>
      <c r="U833" s="92">
        <f>IFERROR(VLOOKUP($A833,'13. Mapa Títulos-Receita'!$A$8:$P$1000,6,FALSE),"")</f>
        <v/>
      </c>
      <c r="V833" s="92">
        <f>IFERROR(VLOOKUP($A833,'13. Mapa Títulos-Receita'!$A$8:$P$1000,7,FALSE),"")</f>
        <v/>
      </c>
      <c r="W833" s="92">
        <f>IFERROR(VLOOKUP($A833,'13. Mapa Títulos-Receita'!$A$8:$P$1000,8,FALSE),"")</f>
        <v/>
      </c>
      <c r="X833" s="92">
        <f>IFERROR(VLOOKUP($A833,'13. Mapa Títulos-Receita'!$A$8:$P$1000,9,FALSE),"")</f>
        <v/>
      </c>
      <c r="Y833" s="92">
        <f>IFERROR(VLOOKUP($A833,'13. Mapa Títulos-Receita'!$A$8:$P$1000,10,FALSE),"")</f>
        <v/>
      </c>
      <c r="Z833" s="92">
        <f>IFERROR(VLOOKUP($A833,'13. Mapa Títulos-Receita'!$A$8:$P$1000,11,FALSE),"")</f>
        <v/>
      </c>
      <c r="AA833" s="92">
        <f>IFERROR(VLOOKUP($A833,'13. Mapa Títulos-Receita'!$A$8:$P$1000,12,FALSE),"")</f>
        <v/>
      </c>
      <c r="AB833" s="92">
        <f>IFERROR(VLOOKUP($A833,'13. Mapa Títulos-Receita'!$A$8:$P$1000,13,FALSE),"")</f>
        <v/>
      </c>
      <c r="AC833" s="92">
        <f>IFERROR(VLOOKUP($A833,'13. Mapa Títulos-Receita'!$A$8:$P$1000,14,FALSE),"")</f>
        <v/>
      </c>
      <c r="AD833" s="92">
        <f>IFERROR(VLOOKUP($A833,'13. Mapa Títulos-Receita'!$A$8:$P$1000,15,FALSE),"")</f>
        <v/>
      </c>
      <c r="AE833" s="92">
        <f>IFERROR(VLOOKUP($A833,'13. Mapa Títulos-Receita'!$A$8:$P$1000,16,FALSE),"")</f>
        <v/>
      </c>
    </row>
    <row r="834">
      <c r="A834" s="28">
        <f>IF(C834="","", "CR-"&amp;TEXT(ROW()-7,"000"))</f>
        <v/>
      </c>
      <c r="B834" s="28" t="n"/>
      <c r="C834" s="28" t="n"/>
      <c r="D834" s="111" t="n"/>
      <c r="E834" s="111" t="n"/>
      <c r="F834" s="111" t="n"/>
      <c r="G834" s="28" t="n"/>
      <c r="H834" s="45" t="n"/>
      <c r="I834" s="45" t="n"/>
      <c r="J834" s="28">
        <f>IF(H834="","",IF(I834&gt;=H834,"Recebido",IF($B$4&gt;E834,"Vencido","Aberto")))</f>
        <v/>
      </c>
      <c r="K834" s="4">
        <f>IF(J834="","",IF(OR(J834="Recebido",F834=""),MAX(0,F834-E834),MAX(0,$B$4-E834)))</f>
        <v/>
      </c>
      <c r="L834" s="4">
        <f>IF(K834="","",IF(K834=0,"Em dia",IF(K834&lt;=30,"1-30 dias",IF(K834&lt;=60,"31-60 dias",IF(K834&lt;=90,"61-90 dias","&gt;90 dias")))))</f>
        <v/>
      </c>
      <c r="M834" s="28" t="n"/>
      <c r="N834" s="104" t="inlineStr"/>
      <c r="O834" s="64" t="n"/>
      <c r="P834" s="64">
        <f>IF(C834="","",IF(ISNUMBER(SEARCH("PCMSO",C834)),"PCMSO",IF(OR(ISNUMBER(SEARCH("E-SOCIAL",C834)),ISNUMBER(SEARCH("PSICOSOCIAL",C834))),"eSocial / Psicossocial",IF(O834="Receita recorrente","Carteira recorrente","Projetos / Laudos / Avulsos"))))</f>
        <v/>
      </c>
      <c r="Q834" s="64">
        <f>IF(P834="","",IF(P834="Carteira recorrente","Operação recorrente",IF(P834="PCMSO","Projetos PCMSO",IF(P834="eSocial / Psicossocial","Projetos eSocial/Psicossocial","Projetos / Laudos / Avulsos"))))</f>
        <v/>
      </c>
      <c r="R834" s="64">
        <f>IF(C834="","",IF(ISNUMBER(SEARCH("PCMSO",C834)),"Título com PCMSO no nome",IF(OR(ISNUMBER(SEARCH("E-SOCIAL",C834)),ISNUMBER(SEARCH("PSICOSOCIAL",C834))),"Título com eSocial/Psicossocial no nome",IF(O834="Receita recorrente","Tipo DRE recorrente","Extra sem palavra-chave específica"))))</f>
        <v/>
      </c>
      <c r="S834" s="92">
        <f>IFERROR(VLOOKUP($A834,'13. Mapa Títulos-Receita'!$A$8:$P$1000,4,FALSE),"")</f>
        <v/>
      </c>
      <c r="T834" s="92">
        <f>IFERROR(VLOOKUP($A834,'13. Mapa Títulos-Receita'!$A$8:$P$1000,5,FALSE),"")</f>
        <v/>
      </c>
      <c r="U834" s="92">
        <f>IFERROR(VLOOKUP($A834,'13. Mapa Títulos-Receita'!$A$8:$P$1000,6,FALSE),"")</f>
        <v/>
      </c>
      <c r="V834" s="92">
        <f>IFERROR(VLOOKUP($A834,'13. Mapa Títulos-Receita'!$A$8:$P$1000,7,FALSE),"")</f>
        <v/>
      </c>
      <c r="W834" s="92">
        <f>IFERROR(VLOOKUP($A834,'13. Mapa Títulos-Receita'!$A$8:$P$1000,8,FALSE),"")</f>
        <v/>
      </c>
      <c r="X834" s="92">
        <f>IFERROR(VLOOKUP($A834,'13. Mapa Títulos-Receita'!$A$8:$P$1000,9,FALSE),"")</f>
        <v/>
      </c>
      <c r="Y834" s="92">
        <f>IFERROR(VLOOKUP($A834,'13. Mapa Títulos-Receita'!$A$8:$P$1000,10,FALSE),"")</f>
        <v/>
      </c>
      <c r="Z834" s="92">
        <f>IFERROR(VLOOKUP($A834,'13. Mapa Títulos-Receita'!$A$8:$P$1000,11,FALSE),"")</f>
        <v/>
      </c>
      <c r="AA834" s="92">
        <f>IFERROR(VLOOKUP($A834,'13. Mapa Títulos-Receita'!$A$8:$P$1000,12,FALSE),"")</f>
        <v/>
      </c>
      <c r="AB834" s="92">
        <f>IFERROR(VLOOKUP($A834,'13. Mapa Títulos-Receita'!$A$8:$P$1000,13,FALSE),"")</f>
        <v/>
      </c>
      <c r="AC834" s="92">
        <f>IFERROR(VLOOKUP($A834,'13. Mapa Títulos-Receita'!$A$8:$P$1000,14,FALSE),"")</f>
        <v/>
      </c>
      <c r="AD834" s="92">
        <f>IFERROR(VLOOKUP($A834,'13. Mapa Títulos-Receita'!$A$8:$P$1000,15,FALSE),"")</f>
        <v/>
      </c>
      <c r="AE834" s="92">
        <f>IFERROR(VLOOKUP($A834,'13. Mapa Títulos-Receita'!$A$8:$P$1000,16,FALSE),"")</f>
        <v/>
      </c>
    </row>
    <row r="835">
      <c r="A835" s="28">
        <f>IF(C835="","", "CR-"&amp;TEXT(ROW()-7,"000"))</f>
        <v/>
      </c>
      <c r="B835" s="28" t="n"/>
      <c r="C835" s="28" t="n"/>
      <c r="D835" s="111" t="n"/>
      <c r="E835" s="111" t="n"/>
      <c r="F835" s="111" t="n"/>
      <c r="G835" s="28" t="n"/>
      <c r="H835" s="45" t="n"/>
      <c r="I835" s="45" t="n"/>
      <c r="J835" s="28">
        <f>IF(H835="","",IF(I835&gt;=H835,"Recebido",IF($B$4&gt;E835,"Vencido","Aberto")))</f>
        <v/>
      </c>
      <c r="K835" s="4">
        <f>IF(J835="","",IF(OR(J835="Recebido",F835=""),MAX(0,F835-E835),MAX(0,$B$4-E835)))</f>
        <v/>
      </c>
      <c r="L835" s="4">
        <f>IF(K835="","",IF(K835=0,"Em dia",IF(K835&lt;=30,"1-30 dias",IF(K835&lt;=60,"31-60 dias",IF(K835&lt;=90,"61-90 dias","&gt;90 dias")))))</f>
        <v/>
      </c>
      <c r="M835" s="28" t="n"/>
      <c r="N835" s="104" t="inlineStr"/>
      <c r="O835" s="64" t="n"/>
      <c r="P835" s="64">
        <f>IF(C835="","",IF(ISNUMBER(SEARCH("PCMSO",C835)),"PCMSO",IF(OR(ISNUMBER(SEARCH("E-SOCIAL",C835)),ISNUMBER(SEARCH("PSICOSOCIAL",C835))),"eSocial / Psicossocial",IF(O835="Receita recorrente","Carteira recorrente","Projetos / Laudos / Avulsos"))))</f>
        <v/>
      </c>
      <c r="Q835" s="64">
        <f>IF(P835="","",IF(P835="Carteira recorrente","Operação recorrente",IF(P835="PCMSO","Projetos PCMSO",IF(P835="eSocial / Psicossocial","Projetos eSocial/Psicossocial","Projetos / Laudos / Avulsos"))))</f>
        <v/>
      </c>
      <c r="R835" s="64">
        <f>IF(C835="","",IF(ISNUMBER(SEARCH("PCMSO",C835)),"Título com PCMSO no nome",IF(OR(ISNUMBER(SEARCH("E-SOCIAL",C835)),ISNUMBER(SEARCH("PSICOSOCIAL",C835))),"Título com eSocial/Psicossocial no nome",IF(O835="Receita recorrente","Tipo DRE recorrente","Extra sem palavra-chave específica"))))</f>
        <v/>
      </c>
      <c r="S835" s="92">
        <f>IFERROR(VLOOKUP($A835,'13. Mapa Títulos-Receita'!$A$8:$P$1000,4,FALSE),"")</f>
        <v/>
      </c>
      <c r="T835" s="92">
        <f>IFERROR(VLOOKUP($A835,'13. Mapa Títulos-Receita'!$A$8:$P$1000,5,FALSE),"")</f>
        <v/>
      </c>
      <c r="U835" s="92">
        <f>IFERROR(VLOOKUP($A835,'13. Mapa Títulos-Receita'!$A$8:$P$1000,6,FALSE),"")</f>
        <v/>
      </c>
      <c r="V835" s="92">
        <f>IFERROR(VLOOKUP($A835,'13. Mapa Títulos-Receita'!$A$8:$P$1000,7,FALSE),"")</f>
        <v/>
      </c>
      <c r="W835" s="92">
        <f>IFERROR(VLOOKUP($A835,'13. Mapa Títulos-Receita'!$A$8:$P$1000,8,FALSE),"")</f>
        <v/>
      </c>
      <c r="X835" s="92">
        <f>IFERROR(VLOOKUP($A835,'13. Mapa Títulos-Receita'!$A$8:$P$1000,9,FALSE),"")</f>
        <v/>
      </c>
      <c r="Y835" s="92">
        <f>IFERROR(VLOOKUP($A835,'13. Mapa Títulos-Receita'!$A$8:$P$1000,10,FALSE),"")</f>
        <v/>
      </c>
      <c r="Z835" s="92">
        <f>IFERROR(VLOOKUP($A835,'13. Mapa Títulos-Receita'!$A$8:$P$1000,11,FALSE),"")</f>
        <v/>
      </c>
      <c r="AA835" s="92">
        <f>IFERROR(VLOOKUP($A835,'13. Mapa Títulos-Receita'!$A$8:$P$1000,12,FALSE),"")</f>
        <v/>
      </c>
      <c r="AB835" s="92">
        <f>IFERROR(VLOOKUP($A835,'13. Mapa Títulos-Receita'!$A$8:$P$1000,13,FALSE),"")</f>
        <v/>
      </c>
      <c r="AC835" s="92">
        <f>IFERROR(VLOOKUP($A835,'13. Mapa Títulos-Receita'!$A$8:$P$1000,14,FALSE),"")</f>
        <v/>
      </c>
      <c r="AD835" s="92">
        <f>IFERROR(VLOOKUP($A835,'13. Mapa Títulos-Receita'!$A$8:$P$1000,15,FALSE),"")</f>
        <v/>
      </c>
      <c r="AE835" s="92">
        <f>IFERROR(VLOOKUP($A835,'13. Mapa Títulos-Receita'!$A$8:$P$1000,16,FALSE),"")</f>
        <v/>
      </c>
    </row>
    <row r="836">
      <c r="A836" s="28">
        <f>IF(C836="","", "CR-"&amp;TEXT(ROW()-7,"000"))</f>
        <v/>
      </c>
      <c r="B836" s="28" t="n"/>
      <c r="C836" s="28" t="n"/>
      <c r="D836" s="111" t="n"/>
      <c r="E836" s="111" t="n"/>
      <c r="F836" s="111" t="n"/>
      <c r="G836" s="28" t="n"/>
      <c r="H836" s="45" t="n"/>
      <c r="I836" s="45" t="n"/>
      <c r="J836" s="28">
        <f>IF(H836="","",IF(I836&gt;=H836,"Recebido",IF($B$4&gt;E836,"Vencido","Aberto")))</f>
        <v/>
      </c>
      <c r="K836" s="4">
        <f>IF(J836="","",IF(OR(J836="Recebido",F836=""),MAX(0,F836-E836),MAX(0,$B$4-E836)))</f>
        <v/>
      </c>
      <c r="L836" s="4">
        <f>IF(K836="","",IF(K836=0,"Em dia",IF(K836&lt;=30,"1-30 dias",IF(K836&lt;=60,"31-60 dias",IF(K836&lt;=90,"61-90 dias","&gt;90 dias")))))</f>
        <v/>
      </c>
      <c r="M836" s="28" t="n"/>
      <c r="N836" s="104" t="inlineStr"/>
      <c r="O836" s="64" t="n"/>
      <c r="P836" s="64">
        <f>IF(C836="","",IF(ISNUMBER(SEARCH("PCMSO",C836)),"PCMSO",IF(OR(ISNUMBER(SEARCH("E-SOCIAL",C836)),ISNUMBER(SEARCH("PSICOSOCIAL",C836))),"eSocial / Psicossocial",IF(O836="Receita recorrente","Carteira recorrente","Projetos / Laudos / Avulsos"))))</f>
        <v/>
      </c>
      <c r="Q836" s="64">
        <f>IF(P836="","",IF(P836="Carteira recorrente","Operação recorrente",IF(P836="PCMSO","Projetos PCMSO",IF(P836="eSocial / Psicossocial","Projetos eSocial/Psicossocial","Projetos / Laudos / Avulsos"))))</f>
        <v/>
      </c>
      <c r="R836" s="64">
        <f>IF(C836="","",IF(ISNUMBER(SEARCH("PCMSO",C836)),"Título com PCMSO no nome",IF(OR(ISNUMBER(SEARCH("E-SOCIAL",C836)),ISNUMBER(SEARCH("PSICOSOCIAL",C836))),"Título com eSocial/Psicossocial no nome",IF(O836="Receita recorrente","Tipo DRE recorrente","Extra sem palavra-chave específica"))))</f>
        <v/>
      </c>
      <c r="S836" s="92">
        <f>IFERROR(VLOOKUP($A836,'13. Mapa Títulos-Receita'!$A$8:$P$1000,4,FALSE),"")</f>
        <v/>
      </c>
      <c r="T836" s="92">
        <f>IFERROR(VLOOKUP($A836,'13. Mapa Títulos-Receita'!$A$8:$P$1000,5,FALSE),"")</f>
        <v/>
      </c>
      <c r="U836" s="92">
        <f>IFERROR(VLOOKUP($A836,'13. Mapa Títulos-Receita'!$A$8:$P$1000,6,FALSE),"")</f>
        <v/>
      </c>
      <c r="V836" s="92">
        <f>IFERROR(VLOOKUP($A836,'13. Mapa Títulos-Receita'!$A$8:$P$1000,7,FALSE),"")</f>
        <v/>
      </c>
      <c r="W836" s="92">
        <f>IFERROR(VLOOKUP($A836,'13. Mapa Títulos-Receita'!$A$8:$P$1000,8,FALSE),"")</f>
        <v/>
      </c>
      <c r="X836" s="92">
        <f>IFERROR(VLOOKUP($A836,'13. Mapa Títulos-Receita'!$A$8:$P$1000,9,FALSE),"")</f>
        <v/>
      </c>
      <c r="Y836" s="92">
        <f>IFERROR(VLOOKUP($A836,'13. Mapa Títulos-Receita'!$A$8:$P$1000,10,FALSE),"")</f>
        <v/>
      </c>
      <c r="Z836" s="92">
        <f>IFERROR(VLOOKUP($A836,'13. Mapa Títulos-Receita'!$A$8:$P$1000,11,FALSE),"")</f>
        <v/>
      </c>
      <c r="AA836" s="92">
        <f>IFERROR(VLOOKUP($A836,'13. Mapa Títulos-Receita'!$A$8:$P$1000,12,FALSE),"")</f>
        <v/>
      </c>
      <c r="AB836" s="92">
        <f>IFERROR(VLOOKUP($A836,'13. Mapa Títulos-Receita'!$A$8:$P$1000,13,FALSE),"")</f>
        <v/>
      </c>
      <c r="AC836" s="92">
        <f>IFERROR(VLOOKUP($A836,'13. Mapa Títulos-Receita'!$A$8:$P$1000,14,FALSE),"")</f>
        <v/>
      </c>
      <c r="AD836" s="92">
        <f>IFERROR(VLOOKUP($A836,'13. Mapa Títulos-Receita'!$A$8:$P$1000,15,FALSE),"")</f>
        <v/>
      </c>
      <c r="AE836" s="92">
        <f>IFERROR(VLOOKUP($A836,'13. Mapa Títulos-Receita'!$A$8:$P$1000,16,FALSE),"")</f>
        <v/>
      </c>
    </row>
    <row r="837">
      <c r="A837" s="28">
        <f>IF(C837="","", "CR-"&amp;TEXT(ROW()-7,"000"))</f>
        <v/>
      </c>
      <c r="B837" s="28" t="n"/>
      <c r="C837" s="28" t="n"/>
      <c r="D837" s="111" t="n"/>
      <c r="E837" s="111" t="n"/>
      <c r="F837" s="111" t="n"/>
      <c r="G837" s="28" t="n"/>
      <c r="H837" s="45" t="n"/>
      <c r="I837" s="45" t="n"/>
      <c r="J837" s="28">
        <f>IF(H837="","",IF(I837&gt;=H837,"Recebido",IF($B$4&gt;E837,"Vencido","Aberto")))</f>
        <v/>
      </c>
      <c r="K837" s="4">
        <f>IF(J837="","",IF(OR(J837="Recebido",F837=""),MAX(0,F837-E837),MAX(0,$B$4-E837)))</f>
        <v/>
      </c>
      <c r="L837" s="4">
        <f>IF(K837="","",IF(K837=0,"Em dia",IF(K837&lt;=30,"1-30 dias",IF(K837&lt;=60,"31-60 dias",IF(K837&lt;=90,"61-90 dias","&gt;90 dias")))))</f>
        <v/>
      </c>
      <c r="M837" s="28" t="n"/>
      <c r="N837" s="104" t="inlineStr"/>
      <c r="O837" s="64" t="n"/>
      <c r="P837" s="64">
        <f>IF(C837="","",IF(ISNUMBER(SEARCH("PCMSO",C837)),"PCMSO",IF(OR(ISNUMBER(SEARCH("E-SOCIAL",C837)),ISNUMBER(SEARCH("PSICOSOCIAL",C837))),"eSocial / Psicossocial",IF(O837="Receita recorrente","Carteira recorrente","Projetos / Laudos / Avulsos"))))</f>
        <v/>
      </c>
      <c r="Q837" s="64">
        <f>IF(P837="","",IF(P837="Carteira recorrente","Operação recorrente",IF(P837="PCMSO","Projetos PCMSO",IF(P837="eSocial / Psicossocial","Projetos eSocial/Psicossocial","Projetos / Laudos / Avulsos"))))</f>
        <v/>
      </c>
      <c r="R837" s="64">
        <f>IF(C837="","",IF(ISNUMBER(SEARCH("PCMSO",C837)),"Título com PCMSO no nome",IF(OR(ISNUMBER(SEARCH("E-SOCIAL",C837)),ISNUMBER(SEARCH("PSICOSOCIAL",C837))),"Título com eSocial/Psicossocial no nome",IF(O837="Receita recorrente","Tipo DRE recorrente","Extra sem palavra-chave específica"))))</f>
        <v/>
      </c>
      <c r="S837" s="92">
        <f>IFERROR(VLOOKUP($A837,'13. Mapa Títulos-Receita'!$A$8:$P$1000,4,FALSE),"")</f>
        <v/>
      </c>
      <c r="T837" s="92">
        <f>IFERROR(VLOOKUP($A837,'13. Mapa Títulos-Receita'!$A$8:$P$1000,5,FALSE),"")</f>
        <v/>
      </c>
      <c r="U837" s="92">
        <f>IFERROR(VLOOKUP($A837,'13. Mapa Títulos-Receita'!$A$8:$P$1000,6,FALSE),"")</f>
        <v/>
      </c>
      <c r="V837" s="92">
        <f>IFERROR(VLOOKUP($A837,'13. Mapa Títulos-Receita'!$A$8:$P$1000,7,FALSE),"")</f>
        <v/>
      </c>
      <c r="W837" s="92">
        <f>IFERROR(VLOOKUP($A837,'13. Mapa Títulos-Receita'!$A$8:$P$1000,8,FALSE),"")</f>
        <v/>
      </c>
      <c r="X837" s="92">
        <f>IFERROR(VLOOKUP($A837,'13. Mapa Títulos-Receita'!$A$8:$P$1000,9,FALSE),"")</f>
        <v/>
      </c>
      <c r="Y837" s="92">
        <f>IFERROR(VLOOKUP($A837,'13. Mapa Títulos-Receita'!$A$8:$P$1000,10,FALSE),"")</f>
        <v/>
      </c>
      <c r="Z837" s="92">
        <f>IFERROR(VLOOKUP($A837,'13. Mapa Títulos-Receita'!$A$8:$P$1000,11,FALSE),"")</f>
        <v/>
      </c>
      <c r="AA837" s="92">
        <f>IFERROR(VLOOKUP($A837,'13. Mapa Títulos-Receita'!$A$8:$P$1000,12,FALSE),"")</f>
        <v/>
      </c>
      <c r="AB837" s="92">
        <f>IFERROR(VLOOKUP($A837,'13. Mapa Títulos-Receita'!$A$8:$P$1000,13,FALSE),"")</f>
        <v/>
      </c>
      <c r="AC837" s="92">
        <f>IFERROR(VLOOKUP($A837,'13. Mapa Títulos-Receita'!$A$8:$P$1000,14,FALSE),"")</f>
        <v/>
      </c>
      <c r="AD837" s="92">
        <f>IFERROR(VLOOKUP($A837,'13. Mapa Títulos-Receita'!$A$8:$P$1000,15,FALSE),"")</f>
        <v/>
      </c>
      <c r="AE837" s="92">
        <f>IFERROR(VLOOKUP($A837,'13. Mapa Títulos-Receita'!$A$8:$P$1000,16,FALSE),"")</f>
        <v/>
      </c>
    </row>
    <row r="838">
      <c r="A838" s="28">
        <f>IF(C838="","", "CR-"&amp;TEXT(ROW()-7,"000"))</f>
        <v/>
      </c>
      <c r="B838" s="28" t="n"/>
      <c r="C838" s="28" t="n"/>
      <c r="D838" s="111" t="n"/>
      <c r="E838" s="111" t="n"/>
      <c r="F838" s="111" t="n"/>
      <c r="G838" s="28" t="n"/>
      <c r="H838" s="45" t="n"/>
      <c r="I838" s="45" t="n"/>
      <c r="J838" s="28">
        <f>IF(H838="","",IF(I838&gt;=H838,"Recebido",IF($B$4&gt;E838,"Vencido","Aberto")))</f>
        <v/>
      </c>
      <c r="K838" s="4">
        <f>IF(J838="","",IF(OR(J838="Recebido",F838=""),MAX(0,F838-E838),MAX(0,$B$4-E838)))</f>
        <v/>
      </c>
      <c r="L838" s="4">
        <f>IF(K838="","",IF(K838=0,"Em dia",IF(K838&lt;=30,"1-30 dias",IF(K838&lt;=60,"31-60 dias",IF(K838&lt;=90,"61-90 dias","&gt;90 dias")))))</f>
        <v/>
      </c>
      <c r="M838" s="28" t="n"/>
      <c r="N838" s="104" t="inlineStr"/>
      <c r="O838" s="64" t="n"/>
      <c r="P838" s="64">
        <f>IF(C838="","",IF(ISNUMBER(SEARCH("PCMSO",C838)),"PCMSO",IF(OR(ISNUMBER(SEARCH("E-SOCIAL",C838)),ISNUMBER(SEARCH("PSICOSOCIAL",C838))),"eSocial / Psicossocial",IF(O838="Receita recorrente","Carteira recorrente","Projetos / Laudos / Avulsos"))))</f>
        <v/>
      </c>
      <c r="Q838" s="64">
        <f>IF(P838="","",IF(P838="Carteira recorrente","Operação recorrente",IF(P838="PCMSO","Projetos PCMSO",IF(P838="eSocial / Psicossocial","Projetos eSocial/Psicossocial","Projetos / Laudos / Avulsos"))))</f>
        <v/>
      </c>
      <c r="R838" s="64">
        <f>IF(C838="","",IF(ISNUMBER(SEARCH("PCMSO",C838)),"Título com PCMSO no nome",IF(OR(ISNUMBER(SEARCH("E-SOCIAL",C838)),ISNUMBER(SEARCH("PSICOSOCIAL",C838))),"Título com eSocial/Psicossocial no nome",IF(O838="Receita recorrente","Tipo DRE recorrente","Extra sem palavra-chave específica"))))</f>
        <v/>
      </c>
      <c r="S838" s="92">
        <f>IFERROR(VLOOKUP($A838,'13. Mapa Títulos-Receita'!$A$8:$P$1000,4,FALSE),"")</f>
        <v/>
      </c>
      <c r="T838" s="92">
        <f>IFERROR(VLOOKUP($A838,'13. Mapa Títulos-Receita'!$A$8:$P$1000,5,FALSE),"")</f>
        <v/>
      </c>
      <c r="U838" s="92">
        <f>IFERROR(VLOOKUP($A838,'13. Mapa Títulos-Receita'!$A$8:$P$1000,6,FALSE),"")</f>
        <v/>
      </c>
      <c r="V838" s="92">
        <f>IFERROR(VLOOKUP($A838,'13. Mapa Títulos-Receita'!$A$8:$P$1000,7,FALSE),"")</f>
        <v/>
      </c>
      <c r="W838" s="92">
        <f>IFERROR(VLOOKUP($A838,'13. Mapa Títulos-Receita'!$A$8:$P$1000,8,FALSE),"")</f>
        <v/>
      </c>
      <c r="X838" s="92">
        <f>IFERROR(VLOOKUP($A838,'13. Mapa Títulos-Receita'!$A$8:$P$1000,9,FALSE),"")</f>
        <v/>
      </c>
      <c r="Y838" s="92">
        <f>IFERROR(VLOOKUP($A838,'13. Mapa Títulos-Receita'!$A$8:$P$1000,10,FALSE),"")</f>
        <v/>
      </c>
      <c r="Z838" s="92">
        <f>IFERROR(VLOOKUP($A838,'13. Mapa Títulos-Receita'!$A$8:$P$1000,11,FALSE),"")</f>
        <v/>
      </c>
      <c r="AA838" s="92">
        <f>IFERROR(VLOOKUP($A838,'13. Mapa Títulos-Receita'!$A$8:$P$1000,12,FALSE),"")</f>
        <v/>
      </c>
      <c r="AB838" s="92">
        <f>IFERROR(VLOOKUP($A838,'13. Mapa Títulos-Receita'!$A$8:$P$1000,13,FALSE),"")</f>
        <v/>
      </c>
      <c r="AC838" s="92">
        <f>IFERROR(VLOOKUP($A838,'13. Mapa Títulos-Receita'!$A$8:$P$1000,14,FALSE),"")</f>
        <v/>
      </c>
      <c r="AD838" s="92">
        <f>IFERROR(VLOOKUP($A838,'13. Mapa Títulos-Receita'!$A$8:$P$1000,15,FALSE),"")</f>
        <v/>
      </c>
      <c r="AE838" s="92">
        <f>IFERROR(VLOOKUP($A838,'13. Mapa Títulos-Receita'!$A$8:$P$1000,16,FALSE),"")</f>
        <v/>
      </c>
    </row>
    <row r="839">
      <c r="A839" s="28">
        <f>IF(C839="","", "CR-"&amp;TEXT(ROW()-7,"000"))</f>
        <v/>
      </c>
      <c r="B839" s="28" t="n"/>
      <c r="C839" s="28" t="n"/>
      <c r="D839" s="111" t="n"/>
      <c r="E839" s="111" t="n"/>
      <c r="F839" s="111" t="n"/>
      <c r="G839" s="28" t="n"/>
      <c r="H839" s="45" t="n"/>
      <c r="I839" s="45" t="n"/>
      <c r="J839" s="28">
        <f>IF(H839="","",IF(I839&gt;=H839,"Recebido",IF($B$4&gt;E839,"Vencido","Aberto")))</f>
        <v/>
      </c>
      <c r="K839" s="4">
        <f>IF(J839="","",IF(OR(J839="Recebido",F839=""),MAX(0,F839-E839),MAX(0,$B$4-E839)))</f>
        <v/>
      </c>
      <c r="L839" s="4">
        <f>IF(K839="","",IF(K839=0,"Em dia",IF(K839&lt;=30,"1-30 dias",IF(K839&lt;=60,"31-60 dias",IF(K839&lt;=90,"61-90 dias","&gt;90 dias")))))</f>
        <v/>
      </c>
      <c r="M839" s="28" t="n"/>
      <c r="N839" s="104" t="inlineStr"/>
      <c r="O839" s="64" t="n"/>
      <c r="P839" s="64">
        <f>IF(C839="","",IF(ISNUMBER(SEARCH("PCMSO",C839)),"PCMSO",IF(OR(ISNUMBER(SEARCH("E-SOCIAL",C839)),ISNUMBER(SEARCH("PSICOSOCIAL",C839))),"eSocial / Psicossocial",IF(O839="Receita recorrente","Carteira recorrente","Projetos / Laudos / Avulsos"))))</f>
        <v/>
      </c>
      <c r="Q839" s="64">
        <f>IF(P839="","",IF(P839="Carteira recorrente","Operação recorrente",IF(P839="PCMSO","Projetos PCMSO",IF(P839="eSocial / Psicossocial","Projetos eSocial/Psicossocial","Projetos / Laudos / Avulsos"))))</f>
        <v/>
      </c>
      <c r="R839" s="64">
        <f>IF(C839="","",IF(ISNUMBER(SEARCH("PCMSO",C839)),"Título com PCMSO no nome",IF(OR(ISNUMBER(SEARCH("E-SOCIAL",C839)),ISNUMBER(SEARCH("PSICOSOCIAL",C839))),"Título com eSocial/Psicossocial no nome",IF(O839="Receita recorrente","Tipo DRE recorrente","Extra sem palavra-chave específica"))))</f>
        <v/>
      </c>
      <c r="S839" s="92">
        <f>IFERROR(VLOOKUP($A839,'13. Mapa Títulos-Receita'!$A$8:$P$1000,4,FALSE),"")</f>
        <v/>
      </c>
      <c r="T839" s="92">
        <f>IFERROR(VLOOKUP($A839,'13. Mapa Títulos-Receita'!$A$8:$P$1000,5,FALSE),"")</f>
        <v/>
      </c>
      <c r="U839" s="92">
        <f>IFERROR(VLOOKUP($A839,'13. Mapa Títulos-Receita'!$A$8:$P$1000,6,FALSE),"")</f>
        <v/>
      </c>
      <c r="V839" s="92">
        <f>IFERROR(VLOOKUP($A839,'13. Mapa Títulos-Receita'!$A$8:$P$1000,7,FALSE),"")</f>
        <v/>
      </c>
      <c r="W839" s="92">
        <f>IFERROR(VLOOKUP($A839,'13. Mapa Títulos-Receita'!$A$8:$P$1000,8,FALSE),"")</f>
        <v/>
      </c>
      <c r="X839" s="92">
        <f>IFERROR(VLOOKUP($A839,'13. Mapa Títulos-Receita'!$A$8:$P$1000,9,FALSE),"")</f>
        <v/>
      </c>
      <c r="Y839" s="92">
        <f>IFERROR(VLOOKUP($A839,'13. Mapa Títulos-Receita'!$A$8:$P$1000,10,FALSE),"")</f>
        <v/>
      </c>
      <c r="Z839" s="92">
        <f>IFERROR(VLOOKUP($A839,'13. Mapa Títulos-Receita'!$A$8:$P$1000,11,FALSE),"")</f>
        <v/>
      </c>
      <c r="AA839" s="92">
        <f>IFERROR(VLOOKUP($A839,'13. Mapa Títulos-Receita'!$A$8:$P$1000,12,FALSE),"")</f>
        <v/>
      </c>
      <c r="AB839" s="92">
        <f>IFERROR(VLOOKUP($A839,'13. Mapa Títulos-Receita'!$A$8:$P$1000,13,FALSE),"")</f>
        <v/>
      </c>
      <c r="AC839" s="92">
        <f>IFERROR(VLOOKUP($A839,'13. Mapa Títulos-Receita'!$A$8:$P$1000,14,FALSE),"")</f>
        <v/>
      </c>
      <c r="AD839" s="92">
        <f>IFERROR(VLOOKUP($A839,'13. Mapa Títulos-Receita'!$A$8:$P$1000,15,FALSE),"")</f>
        <v/>
      </c>
      <c r="AE839" s="92">
        <f>IFERROR(VLOOKUP($A839,'13. Mapa Títulos-Receita'!$A$8:$P$1000,16,FALSE),"")</f>
        <v/>
      </c>
    </row>
    <row r="840">
      <c r="A840" s="28">
        <f>IF(C840="","", "CR-"&amp;TEXT(ROW()-7,"000"))</f>
        <v/>
      </c>
      <c r="B840" s="28" t="n"/>
      <c r="C840" s="28" t="n"/>
      <c r="D840" s="111" t="n"/>
      <c r="E840" s="111" t="n"/>
      <c r="F840" s="111" t="n"/>
      <c r="G840" s="28" t="n"/>
      <c r="H840" s="45" t="n"/>
      <c r="I840" s="45" t="n"/>
      <c r="J840" s="28">
        <f>IF(H840="","",IF(I840&gt;=H840,"Recebido",IF($B$4&gt;E840,"Vencido","Aberto")))</f>
        <v/>
      </c>
      <c r="K840" s="4">
        <f>IF(J840="","",IF(OR(J840="Recebido",F840=""),MAX(0,F840-E840),MAX(0,$B$4-E840)))</f>
        <v/>
      </c>
      <c r="L840" s="4">
        <f>IF(K840="","",IF(K840=0,"Em dia",IF(K840&lt;=30,"1-30 dias",IF(K840&lt;=60,"31-60 dias",IF(K840&lt;=90,"61-90 dias","&gt;90 dias")))))</f>
        <v/>
      </c>
      <c r="M840" s="28" t="n"/>
      <c r="N840" s="104" t="inlineStr"/>
      <c r="O840" s="64" t="n"/>
      <c r="P840" s="64">
        <f>IF(C840="","",IF(ISNUMBER(SEARCH("PCMSO",C840)),"PCMSO",IF(OR(ISNUMBER(SEARCH("E-SOCIAL",C840)),ISNUMBER(SEARCH("PSICOSOCIAL",C840))),"eSocial / Psicossocial",IF(O840="Receita recorrente","Carteira recorrente","Projetos / Laudos / Avulsos"))))</f>
        <v/>
      </c>
      <c r="Q840" s="64">
        <f>IF(P840="","",IF(P840="Carteira recorrente","Operação recorrente",IF(P840="PCMSO","Projetos PCMSO",IF(P840="eSocial / Psicossocial","Projetos eSocial/Psicossocial","Projetos / Laudos / Avulsos"))))</f>
        <v/>
      </c>
      <c r="R840" s="64">
        <f>IF(C840="","",IF(ISNUMBER(SEARCH("PCMSO",C840)),"Título com PCMSO no nome",IF(OR(ISNUMBER(SEARCH("E-SOCIAL",C840)),ISNUMBER(SEARCH("PSICOSOCIAL",C840))),"Título com eSocial/Psicossocial no nome",IF(O840="Receita recorrente","Tipo DRE recorrente","Extra sem palavra-chave específica"))))</f>
        <v/>
      </c>
      <c r="S840" s="92">
        <f>IFERROR(VLOOKUP($A840,'13. Mapa Títulos-Receita'!$A$8:$P$1000,4,FALSE),"")</f>
        <v/>
      </c>
      <c r="T840" s="92">
        <f>IFERROR(VLOOKUP($A840,'13. Mapa Títulos-Receita'!$A$8:$P$1000,5,FALSE),"")</f>
        <v/>
      </c>
      <c r="U840" s="92">
        <f>IFERROR(VLOOKUP($A840,'13. Mapa Títulos-Receita'!$A$8:$P$1000,6,FALSE),"")</f>
        <v/>
      </c>
      <c r="V840" s="92">
        <f>IFERROR(VLOOKUP($A840,'13. Mapa Títulos-Receita'!$A$8:$P$1000,7,FALSE),"")</f>
        <v/>
      </c>
      <c r="W840" s="92">
        <f>IFERROR(VLOOKUP($A840,'13. Mapa Títulos-Receita'!$A$8:$P$1000,8,FALSE),"")</f>
        <v/>
      </c>
      <c r="X840" s="92">
        <f>IFERROR(VLOOKUP($A840,'13. Mapa Títulos-Receita'!$A$8:$P$1000,9,FALSE),"")</f>
        <v/>
      </c>
      <c r="Y840" s="92">
        <f>IFERROR(VLOOKUP($A840,'13. Mapa Títulos-Receita'!$A$8:$P$1000,10,FALSE),"")</f>
        <v/>
      </c>
      <c r="Z840" s="92">
        <f>IFERROR(VLOOKUP($A840,'13. Mapa Títulos-Receita'!$A$8:$P$1000,11,FALSE),"")</f>
        <v/>
      </c>
      <c r="AA840" s="92">
        <f>IFERROR(VLOOKUP($A840,'13. Mapa Títulos-Receita'!$A$8:$P$1000,12,FALSE),"")</f>
        <v/>
      </c>
      <c r="AB840" s="92">
        <f>IFERROR(VLOOKUP($A840,'13. Mapa Títulos-Receita'!$A$8:$P$1000,13,FALSE),"")</f>
        <v/>
      </c>
      <c r="AC840" s="92">
        <f>IFERROR(VLOOKUP($A840,'13. Mapa Títulos-Receita'!$A$8:$P$1000,14,FALSE),"")</f>
        <v/>
      </c>
      <c r="AD840" s="92">
        <f>IFERROR(VLOOKUP($A840,'13. Mapa Títulos-Receita'!$A$8:$P$1000,15,FALSE),"")</f>
        <v/>
      </c>
      <c r="AE840" s="92">
        <f>IFERROR(VLOOKUP($A840,'13. Mapa Títulos-Receita'!$A$8:$P$1000,16,FALSE),"")</f>
        <v/>
      </c>
    </row>
    <row r="841">
      <c r="A841" s="28">
        <f>IF(C841="","", "CR-"&amp;TEXT(ROW()-7,"000"))</f>
        <v/>
      </c>
      <c r="B841" s="28" t="n"/>
      <c r="C841" s="28" t="n"/>
      <c r="D841" s="111" t="n"/>
      <c r="E841" s="111" t="n"/>
      <c r="F841" s="111" t="n"/>
      <c r="G841" s="28" t="n"/>
      <c r="H841" s="45" t="n"/>
      <c r="I841" s="45" t="n"/>
      <c r="J841" s="28">
        <f>IF(H841="","",IF(I841&gt;=H841,"Recebido",IF($B$4&gt;E841,"Vencido","Aberto")))</f>
        <v/>
      </c>
      <c r="K841" s="4">
        <f>IF(J841="","",IF(OR(J841="Recebido",F841=""),MAX(0,F841-E841),MAX(0,$B$4-E841)))</f>
        <v/>
      </c>
      <c r="L841" s="4">
        <f>IF(K841="","",IF(K841=0,"Em dia",IF(K841&lt;=30,"1-30 dias",IF(K841&lt;=60,"31-60 dias",IF(K841&lt;=90,"61-90 dias","&gt;90 dias")))))</f>
        <v/>
      </c>
      <c r="M841" s="28" t="n"/>
      <c r="N841" s="104" t="inlineStr"/>
      <c r="O841" s="64" t="n"/>
      <c r="P841" s="64">
        <f>IF(C841="","",IF(ISNUMBER(SEARCH("PCMSO",C841)),"PCMSO",IF(OR(ISNUMBER(SEARCH("E-SOCIAL",C841)),ISNUMBER(SEARCH("PSICOSOCIAL",C841))),"eSocial / Psicossocial",IF(O841="Receita recorrente","Carteira recorrente","Projetos / Laudos / Avulsos"))))</f>
        <v/>
      </c>
      <c r="Q841" s="64">
        <f>IF(P841="","",IF(P841="Carteira recorrente","Operação recorrente",IF(P841="PCMSO","Projetos PCMSO",IF(P841="eSocial / Psicossocial","Projetos eSocial/Psicossocial","Projetos / Laudos / Avulsos"))))</f>
        <v/>
      </c>
      <c r="R841" s="64">
        <f>IF(C841="","",IF(ISNUMBER(SEARCH("PCMSO",C841)),"Título com PCMSO no nome",IF(OR(ISNUMBER(SEARCH("E-SOCIAL",C841)),ISNUMBER(SEARCH("PSICOSOCIAL",C841))),"Título com eSocial/Psicossocial no nome",IF(O841="Receita recorrente","Tipo DRE recorrente","Extra sem palavra-chave específica"))))</f>
        <v/>
      </c>
      <c r="S841" s="92">
        <f>IFERROR(VLOOKUP($A841,'13. Mapa Títulos-Receita'!$A$8:$P$1000,4,FALSE),"")</f>
        <v/>
      </c>
      <c r="T841" s="92">
        <f>IFERROR(VLOOKUP($A841,'13. Mapa Títulos-Receita'!$A$8:$P$1000,5,FALSE),"")</f>
        <v/>
      </c>
      <c r="U841" s="92">
        <f>IFERROR(VLOOKUP($A841,'13. Mapa Títulos-Receita'!$A$8:$P$1000,6,FALSE),"")</f>
        <v/>
      </c>
      <c r="V841" s="92">
        <f>IFERROR(VLOOKUP($A841,'13. Mapa Títulos-Receita'!$A$8:$P$1000,7,FALSE),"")</f>
        <v/>
      </c>
      <c r="W841" s="92">
        <f>IFERROR(VLOOKUP($A841,'13. Mapa Títulos-Receita'!$A$8:$P$1000,8,FALSE),"")</f>
        <v/>
      </c>
      <c r="X841" s="92">
        <f>IFERROR(VLOOKUP($A841,'13. Mapa Títulos-Receita'!$A$8:$P$1000,9,FALSE),"")</f>
        <v/>
      </c>
      <c r="Y841" s="92">
        <f>IFERROR(VLOOKUP($A841,'13. Mapa Títulos-Receita'!$A$8:$P$1000,10,FALSE),"")</f>
        <v/>
      </c>
      <c r="Z841" s="92">
        <f>IFERROR(VLOOKUP($A841,'13. Mapa Títulos-Receita'!$A$8:$P$1000,11,FALSE),"")</f>
        <v/>
      </c>
      <c r="AA841" s="92">
        <f>IFERROR(VLOOKUP($A841,'13. Mapa Títulos-Receita'!$A$8:$P$1000,12,FALSE),"")</f>
        <v/>
      </c>
      <c r="AB841" s="92">
        <f>IFERROR(VLOOKUP($A841,'13. Mapa Títulos-Receita'!$A$8:$P$1000,13,FALSE),"")</f>
        <v/>
      </c>
      <c r="AC841" s="92">
        <f>IFERROR(VLOOKUP($A841,'13. Mapa Títulos-Receita'!$A$8:$P$1000,14,FALSE),"")</f>
        <v/>
      </c>
      <c r="AD841" s="92">
        <f>IFERROR(VLOOKUP($A841,'13. Mapa Títulos-Receita'!$A$8:$P$1000,15,FALSE),"")</f>
        <v/>
      </c>
      <c r="AE841" s="92">
        <f>IFERROR(VLOOKUP($A841,'13. Mapa Títulos-Receita'!$A$8:$P$1000,16,FALSE),"")</f>
        <v/>
      </c>
    </row>
    <row r="842">
      <c r="A842" s="28">
        <f>IF(C842="","", "CR-"&amp;TEXT(ROW()-7,"000"))</f>
        <v/>
      </c>
      <c r="B842" s="28" t="n"/>
      <c r="C842" s="28" t="n"/>
      <c r="D842" s="111" t="n"/>
      <c r="E842" s="111" t="n"/>
      <c r="F842" s="111" t="n"/>
      <c r="G842" s="28" t="n"/>
      <c r="H842" s="45" t="n"/>
      <c r="I842" s="45" t="n"/>
      <c r="J842" s="28">
        <f>IF(H842="","",IF(I842&gt;=H842,"Recebido",IF($B$4&gt;E842,"Vencido","Aberto")))</f>
        <v/>
      </c>
      <c r="K842" s="4">
        <f>IF(J842="","",IF(OR(J842="Recebido",F842=""),MAX(0,F842-E842),MAX(0,$B$4-E842)))</f>
        <v/>
      </c>
      <c r="L842" s="4">
        <f>IF(K842="","",IF(K842=0,"Em dia",IF(K842&lt;=30,"1-30 dias",IF(K842&lt;=60,"31-60 dias",IF(K842&lt;=90,"61-90 dias","&gt;90 dias")))))</f>
        <v/>
      </c>
      <c r="M842" s="28" t="n"/>
      <c r="N842" s="104" t="inlineStr"/>
      <c r="O842" s="64" t="n"/>
      <c r="P842" s="64">
        <f>IF(C842="","",IF(ISNUMBER(SEARCH("PCMSO",C842)),"PCMSO",IF(OR(ISNUMBER(SEARCH("E-SOCIAL",C842)),ISNUMBER(SEARCH("PSICOSOCIAL",C842))),"eSocial / Psicossocial",IF(O842="Receita recorrente","Carteira recorrente","Projetos / Laudos / Avulsos"))))</f>
        <v/>
      </c>
      <c r="Q842" s="64">
        <f>IF(P842="","",IF(P842="Carteira recorrente","Operação recorrente",IF(P842="PCMSO","Projetos PCMSO",IF(P842="eSocial / Psicossocial","Projetos eSocial/Psicossocial","Projetos / Laudos / Avulsos"))))</f>
        <v/>
      </c>
      <c r="R842" s="64">
        <f>IF(C842="","",IF(ISNUMBER(SEARCH("PCMSO",C842)),"Título com PCMSO no nome",IF(OR(ISNUMBER(SEARCH("E-SOCIAL",C842)),ISNUMBER(SEARCH("PSICOSOCIAL",C842))),"Título com eSocial/Psicossocial no nome",IF(O842="Receita recorrente","Tipo DRE recorrente","Extra sem palavra-chave específica"))))</f>
        <v/>
      </c>
      <c r="S842" s="92">
        <f>IFERROR(VLOOKUP($A842,'13. Mapa Títulos-Receita'!$A$8:$P$1000,4,FALSE),"")</f>
        <v/>
      </c>
      <c r="T842" s="92">
        <f>IFERROR(VLOOKUP($A842,'13. Mapa Títulos-Receita'!$A$8:$P$1000,5,FALSE),"")</f>
        <v/>
      </c>
      <c r="U842" s="92">
        <f>IFERROR(VLOOKUP($A842,'13. Mapa Títulos-Receita'!$A$8:$P$1000,6,FALSE),"")</f>
        <v/>
      </c>
      <c r="V842" s="92">
        <f>IFERROR(VLOOKUP($A842,'13. Mapa Títulos-Receita'!$A$8:$P$1000,7,FALSE),"")</f>
        <v/>
      </c>
      <c r="W842" s="92">
        <f>IFERROR(VLOOKUP($A842,'13. Mapa Títulos-Receita'!$A$8:$P$1000,8,FALSE),"")</f>
        <v/>
      </c>
      <c r="X842" s="92">
        <f>IFERROR(VLOOKUP($A842,'13. Mapa Títulos-Receita'!$A$8:$P$1000,9,FALSE),"")</f>
        <v/>
      </c>
      <c r="Y842" s="92">
        <f>IFERROR(VLOOKUP($A842,'13. Mapa Títulos-Receita'!$A$8:$P$1000,10,FALSE),"")</f>
        <v/>
      </c>
      <c r="Z842" s="92">
        <f>IFERROR(VLOOKUP($A842,'13. Mapa Títulos-Receita'!$A$8:$P$1000,11,FALSE),"")</f>
        <v/>
      </c>
      <c r="AA842" s="92">
        <f>IFERROR(VLOOKUP($A842,'13. Mapa Títulos-Receita'!$A$8:$P$1000,12,FALSE),"")</f>
        <v/>
      </c>
      <c r="AB842" s="92">
        <f>IFERROR(VLOOKUP($A842,'13. Mapa Títulos-Receita'!$A$8:$P$1000,13,FALSE),"")</f>
        <v/>
      </c>
      <c r="AC842" s="92">
        <f>IFERROR(VLOOKUP($A842,'13. Mapa Títulos-Receita'!$A$8:$P$1000,14,FALSE),"")</f>
        <v/>
      </c>
      <c r="AD842" s="92">
        <f>IFERROR(VLOOKUP($A842,'13. Mapa Títulos-Receita'!$A$8:$P$1000,15,FALSE),"")</f>
        <v/>
      </c>
      <c r="AE842" s="92">
        <f>IFERROR(VLOOKUP($A842,'13. Mapa Títulos-Receita'!$A$8:$P$1000,16,FALSE),"")</f>
        <v/>
      </c>
    </row>
    <row r="843">
      <c r="A843" s="28">
        <f>IF(C843="","", "CR-"&amp;TEXT(ROW()-7,"000"))</f>
        <v/>
      </c>
      <c r="B843" s="28" t="n"/>
      <c r="C843" s="28" t="n"/>
      <c r="D843" s="111" t="n"/>
      <c r="E843" s="111" t="n"/>
      <c r="F843" s="111" t="n"/>
      <c r="G843" s="28" t="n"/>
      <c r="H843" s="45" t="n"/>
      <c r="I843" s="45" t="n"/>
      <c r="J843" s="28">
        <f>IF(H843="","",IF(I843&gt;=H843,"Recebido",IF($B$4&gt;E843,"Vencido","Aberto")))</f>
        <v/>
      </c>
      <c r="K843" s="4">
        <f>IF(J843="","",IF(OR(J843="Recebido",F843=""),MAX(0,F843-E843),MAX(0,$B$4-E843)))</f>
        <v/>
      </c>
      <c r="L843" s="4">
        <f>IF(K843="","",IF(K843=0,"Em dia",IF(K843&lt;=30,"1-30 dias",IF(K843&lt;=60,"31-60 dias",IF(K843&lt;=90,"61-90 dias","&gt;90 dias")))))</f>
        <v/>
      </c>
      <c r="M843" s="28" t="n"/>
      <c r="N843" s="104" t="inlineStr"/>
      <c r="O843" s="64" t="n"/>
      <c r="P843" s="64">
        <f>IF(C843="","",IF(ISNUMBER(SEARCH("PCMSO",C843)),"PCMSO",IF(OR(ISNUMBER(SEARCH("E-SOCIAL",C843)),ISNUMBER(SEARCH("PSICOSOCIAL",C843))),"eSocial / Psicossocial",IF(O843="Receita recorrente","Carteira recorrente","Projetos / Laudos / Avulsos"))))</f>
        <v/>
      </c>
      <c r="Q843" s="64">
        <f>IF(P843="","",IF(P843="Carteira recorrente","Operação recorrente",IF(P843="PCMSO","Projetos PCMSO",IF(P843="eSocial / Psicossocial","Projetos eSocial/Psicossocial","Projetos / Laudos / Avulsos"))))</f>
        <v/>
      </c>
      <c r="R843" s="64">
        <f>IF(C843="","",IF(ISNUMBER(SEARCH("PCMSO",C843)),"Título com PCMSO no nome",IF(OR(ISNUMBER(SEARCH("E-SOCIAL",C843)),ISNUMBER(SEARCH("PSICOSOCIAL",C843))),"Título com eSocial/Psicossocial no nome",IF(O843="Receita recorrente","Tipo DRE recorrente","Extra sem palavra-chave específica"))))</f>
        <v/>
      </c>
      <c r="S843" s="92">
        <f>IFERROR(VLOOKUP($A843,'13. Mapa Títulos-Receita'!$A$8:$P$1000,4,FALSE),"")</f>
        <v/>
      </c>
      <c r="T843" s="92">
        <f>IFERROR(VLOOKUP($A843,'13. Mapa Títulos-Receita'!$A$8:$P$1000,5,FALSE),"")</f>
        <v/>
      </c>
      <c r="U843" s="92">
        <f>IFERROR(VLOOKUP($A843,'13. Mapa Títulos-Receita'!$A$8:$P$1000,6,FALSE),"")</f>
        <v/>
      </c>
      <c r="V843" s="92">
        <f>IFERROR(VLOOKUP($A843,'13. Mapa Títulos-Receita'!$A$8:$P$1000,7,FALSE),"")</f>
        <v/>
      </c>
      <c r="W843" s="92">
        <f>IFERROR(VLOOKUP($A843,'13. Mapa Títulos-Receita'!$A$8:$P$1000,8,FALSE),"")</f>
        <v/>
      </c>
      <c r="X843" s="92">
        <f>IFERROR(VLOOKUP($A843,'13. Mapa Títulos-Receita'!$A$8:$P$1000,9,FALSE),"")</f>
        <v/>
      </c>
      <c r="Y843" s="92">
        <f>IFERROR(VLOOKUP($A843,'13. Mapa Títulos-Receita'!$A$8:$P$1000,10,FALSE),"")</f>
        <v/>
      </c>
      <c r="Z843" s="92">
        <f>IFERROR(VLOOKUP($A843,'13. Mapa Títulos-Receita'!$A$8:$P$1000,11,FALSE),"")</f>
        <v/>
      </c>
      <c r="AA843" s="92">
        <f>IFERROR(VLOOKUP($A843,'13. Mapa Títulos-Receita'!$A$8:$P$1000,12,FALSE),"")</f>
        <v/>
      </c>
      <c r="AB843" s="92">
        <f>IFERROR(VLOOKUP($A843,'13. Mapa Títulos-Receita'!$A$8:$P$1000,13,FALSE),"")</f>
        <v/>
      </c>
      <c r="AC843" s="92">
        <f>IFERROR(VLOOKUP($A843,'13. Mapa Títulos-Receita'!$A$8:$P$1000,14,FALSE),"")</f>
        <v/>
      </c>
      <c r="AD843" s="92">
        <f>IFERROR(VLOOKUP($A843,'13. Mapa Títulos-Receita'!$A$8:$P$1000,15,FALSE),"")</f>
        <v/>
      </c>
      <c r="AE843" s="92">
        <f>IFERROR(VLOOKUP($A843,'13. Mapa Títulos-Receita'!$A$8:$P$1000,16,FALSE),"")</f>
        <v/>
      </c>
    </row>
    <row r="844">
      <c r="A844" s="28">
        <f>IF(C844="","", "CR-"&amp;TEXT(ROW()-7,"000"))</f>
        <v/>
      </c>
      <c r="B844" s="28" t="n"/>
      <c r="C844" s="28" t="n"/>
      <c r="D844" s="111" t="n"/>
      <c r="E844" s="111" t="n"/>
      <c r="F844" s="111" t="n"/>
      <c r="G844" s="28" t="n"/>
      <c r="H844" s="45" t="n"/>
      <c r="I844" s="45" t="n"/>
      <c r="J844" s="28">
        <f>IF(H844="","",IF(I844&gt;=H844,"Recebido",IF($B$4&gt;E844,"Vencido","Aberto")))</f>
        <v/>
      </c>
      <c r="K844" s="4">
        <f>IF(J844="","",IF(OR(J844="Recebido",F844=""),MAX(0,F844-E844),MAX(0,$B$4-E844)))</f>
        <v/>
      </c>
      <c r="L844" s="4">
        <f>IF(K844="","",IF(K844=0,"Em dia",IF(K844&lt;=30,"1-30 dias",IF(K844&lt;=60,"31-60 dias",IF(K844&lt;=90,"61-90 dias","&gt;90 dias")))))</f>
        <v/>
      </c>
      <c r="M844" s="28" t="n"/>
      <c r="N844" s="104" t="inlineStr"/>
      <c r="O844" s="64" t="n"/>
      <c r="P844" s="64">
        <f>IF(C844="","",IF(ISNUMBER(SEARCH("PCMSO",C844)),"PCMSO",IF(OR(ISNUMBER(SEARCH("E-SOCIAL",C844)),ISNUMBER(SEARCH("PSICOSOCIAL",C844))),"eSocial / Psicossocial",IF(O844="Receita recorrente","Carteira recorrente","Projetos / Laudos / Avulsos"))))</f>
        <v/>
      </c>
      <c r="Q844" s="64">
        <f>IF(P844="","",IF(P844="Carteira recorrente","Operação recorrente",IF(P844="PCMSO","Projetos PCMSO",IF(P844="eSocial / Psicossocial","Projetos eSocial/Psicossocial","Projetos / Laudos / Avulsos"))))</f>
        <v/>
      </c>
      <c r="R844" s="64">
        <f>IF(C844="","",IF(ISNUMBER(SEARCH("PCMSO",C844)),"Título com PCMSO no nome",IF(OR(ISNUMBER(SEARCH("E-SOCIAL",C844)),ISNUMBER(SEARCH("PSICOSOCIAL",C844))),"Título com eSocial/Psicossocial no nome",IF(O844="Receita recorrente","Tipo DRE recorrente","Extra sem palavra-chave específica"))))</f>
        <v/>
      </c>
      <c r="S844" s="92">
        <f>IFERROR(VLOOKUP($A844,'13. Mapa Títulos-Receita'!$A$8:$P$1000,4,FALSE),"")</f>
        <v/>
      </c>
      <c r="T844" s="92">
        <f>IFERROR(VLOOKUP($A844,'13. Mapa Títulos-Receita'!$A$8:$P$1000,5,FALSE),"")</f>
        <v/>
      </c>
      <c r="U844" s="92">
        <f>IFERROR(VLOOKUP($A844,'13. Mapa Títulos-Receita'!$A$8:$P$1000,6,FALSE),"")</f>
        <v/>
      </c>
      <c r="V844" s="92">
        <f>IFERROR(VLOOKUP($A844,'13. Mapa Títulos-Receita'!$A$8:$P$1000,7,FALSE),"")</f>
        <v/>
      </c>
      <c r="W844" s="92">
        <f>IFERROR(VLOOKUP($A844,'13. Mapa Títulos-Receita'!$A$8:$P$1000,8,FALSE),"")</f>
        <v/>
      </c>
      <c r="X844" s="92">
        <f>IFERROR(VLOOKUP($A844,'13. Mapa Títulos-Receita'!$A$8:$P$1000,9,FALSE),"")</f>
        <v/>
      </c>
      <c r="Y844" s="92">
        <f>IFERROR(VLOOKUP($A844,'13. Mapa Títulos-Receita'!$A$8:$P$1000,10,FALSE),"")</f>
        <v/>
      </c>
      <c r="Z844" s="92">
        <f>IFERROR(VLOOKUP($A844,'13. Mapa Títulos-Receita'!$A$8:$P$1000,11,FALSE),"")</f>
        <v/>
      </c>
      <c r="AA844" s="92">
        <f>IFERROR(VLOOKUP($A844,'13. Mapa Títulos-Receita'!$A$8:$P$1000,12,FALSE),"")</f>
        <v/>
      </c>
      <c r="AB844" s="92">
        <f>IFERROR(VLOOKUP($A844,'13. Mapa Títulos-Receita'!$A$8:$P$1000,13,FALSE),"")</f>
        <v/>
      </c>
      <c r="AC844" s="92">
        <f>IFERROR(VLOOKUP($A844,'13. Mapa Títulos-Receita'!$A$8:$P$1000,14,FALSE),"")</f>
        <v/>
      </c>
      <c r="AD844" s="92">
        <f>IFERROR(VLOOKUP($A844,'13. Mapa Títulos-Receita'!$A$8:$P$1000,15,FALSE),"")</f>
        <v/>
      </c>
      <c r="AE844" s="92">
        <f>IFERROR(VLOOKUP($A844,'13. Mapa Títulos-Receita'!$A$8:$P$1000,16,FALSE),"")</f>
        <v/>
      </c>
    </row>
    <row r="845">
      <c r="A845" s="28">
        <f>IF(C845="","", "CR-"&amp;TEXT(ROW()-7,"000"))</f>
        <v/>
      </c>
      <c r="B845" s="28" t="n"/>
      <c r="C845" s="28" t="n"/>
      <c r="D845" s="111" t="n"/>
      <c r="E845" s="111" t="n"/>
      <c r="F845" s="111" t="n"/>
      <c r="G845" s="28" t="n"/>
      <c r="H845" s="45" t="n"/>
      <c r="I845" s="45" t="n"/>
      <c r="J845" s="28">
        <f>IF(H845="","",IF(I845&gt;=H845,"Recebido",IF($B$4&gt;E845,"Vencido","Aberto")))</f>
        <v/>
      </c>
      <c r="K845" s="4">
        <f>IF(J845="","",IF(OR(J845="Recebido",F845=""),MAX(0,F845-E845),MAX(0,$B$4-E845)))</f>
        <v/>
      </c>
      <c r="L845" s="4">
        <f>IF(K845="","",IF(K845=0,"Em dia",IF(K845&lt;=30,"1-30 dias",IF(K845&lt;=60,"31-60 dias",IF(K845&lt;=90,"61-90 dias","&gt;90 dias")))))</f>
        <v/>
      </c>
      <c r="M845" s="28" t="n"/>
      <c r="N845" s="104" t="inlineStr"/>
      <c r="O845" s="64" t="n"/>
      <c r="P845" s="64">
        <f>IF(C845="","",IF(ISNUMBER(SEARCH("PCMSO",C845)),"PCMSO",IF(OR(ISNUMBER(SEARCH("E-SOCIAL",C845)),ISNUMBER(SEARCH("PSICOSOCIAL",C845))),"eSocial / Psicossocial",IF(O845="Receita recorrente","Carteira recorrente","Projetos / Laudos / Avulsos"))))</f>
        <v/>
      </c>
      <c r="Q845" s="64">
        <f>IF(P845="","",IF(P845="Carteira recorrente","Operação recorrente",IF(P845="PCMSO","Projetos PCMSO",IF(P845="eSocial / Psicossocial","Projetos eSocial/Psicossocial","Projetos / Laudos / Avulsos"))))</f>
        <v/>
      </c>
      <c r="R845" s="64">
        <f>IF(C845="","",IF(ISNUMBER(SEARCH("PCMSO",C845)),"Título com PCMSO no nome",IF(OR(ISNUMBER(SEARCH("E-SOCIAL",C845)),ISNUMBER(SEARCH("PSICOSOCIAL",C845))),"Título com eSocial/Psicossocial no nome",IF(O845="Receita recorrente","Tipo DRE recorrente","Extra sem palavra-chave específica"))))</f>
        <v/>
      </c>
      <c r="S845" s="92">
        <f>IFERROR(VLOOKUP($A845,'13. Mapa Títulos-Receita'!$A$8:$P$1000,4,FALSE),"")</f>
        <v/>
      </c>
      <c r="T845" s="92">
        <f>IFERROR(VLOOKUP($A845,'13. Mapa Títulos-Receita'!$A$8:$P$1000,5,FALSE),"")</f>
        <v/>
      </c>
      <c r="U845" s="92">
        <f>IFERROR(VLOOKUP($A845,'13. Mapa Títulos-Receita'!$A$8:$P$1000,6,FALSE),"")</f>
        <v/>
      </c>
      <c r="V845" s="92">
        <f>IFERROR(VLOOKUP($A845,'13. Mapa Títulos-Receita'!$A$8:$P$1000,7,FALSE),"")</f>
        <v/>
      </c>
      <c r="W845" s="92">
        <f>IFERROR(VLOOKUP($A845,'13. Mapa Títulos-Receita'!$A$8:$P$1000,8,FALSE),"")</f>
        <v/>
      </c>
      <c r="X845" s="92">
        <f>IFERROR(VLOOKUP($A845,'13. Mapa Títulos-Receita'!$A$8:$P$1000,9,FALSE),"")</f>
        <v/>
      </c>
      <c r="Y845" s="92">
        <f>IFERROR(VLOOKUP($A845,'13. Mapa Títulos-Receita'!$A$8:$P$1000,10,FALSE),"")</f>
        <v/>
      </c>
      <c r="Z845" s="92">
        <f>IFERROR(VLOOKUP($A845,'13. Mapa Títulos-Receita'!$A$8:$P$1000,11,FALSE),"")</f>
        <v/>
      </c>
      <c r="AA845" s="92">
        <f>IFERROR(VLOOKUP($A845,'13. Mapa Títulos-Receita'!$A$8:$P$1000,12,FALSE),"")</f>
        <v/>
      </c>
      <c r="AB845" s="92">
        <f>IFERROR(VLOOKUP($A845,'13. Mapa Títulos-Receita'!$A$8:$P$1000,13,FALSE),"")</f>
        <v/>
      </c>
      <c r="AC845" s="92">
        <f>IFERROR(VLOOKUP($A845,'13. Mapa Títulos-Receita'!$A$8:$P$1000,14,FALSE),"")</f>
        <v/>
      </c>
      <c r="AD845" s="92">
        <f>IFERROR(VLOOKUP($A845,'13. Mapa Títulos-Receita'!$A$8:$P$1000,15,FALSE),"")</f>
        <v/>
      </c>
      <c r="AE845" s="92">
        <f>IFERROR(VLOOKUP($A845,'13. Mapa Títulos-Receita'!$A$8:$P$1000,16,FALSE),"")</f>
        <v/>
      </c>
    </row>
    <row r="846">
      <c r="A846" s="28">
        <f>IF(C846="","", "CR-"&amp;TEXT(ROW()-7,"000"))</f>
        <v/>
      </c>
      <c r="B846" s="28" t="n"/>
      <c r="C846" s="28" t="n"/>
      <c r="D846" s="111" t="n"/>
      <c r="E846" s="111" t="n"/>
      <c r="F846" s="111" t="n"/>
      <c r="G846" s="28" t="n"/>
      <c r="H846" s="45" t="n"/>
      <c r="I846" s="45" t="n"/>
      <c r="J846" s="28">
        <f>IF(H846="","",IF(I846&gt;=H846,"Recebido",IF($B$4&gt;E846,"Vencido","Aberto")))</f>
        <v/>
      </c>
      <c r="K846" s="4">
        <f>IF(J846="","",IF(OR(J846="Recebido",F846=""),MAX(0,F846-E846),MAX(0,$B$4-E846)))</f>
        <v/>
      </c>
      <c r="L846" s="4">
        <f>IF(K846="","",IF(K846=0,"Em dia",IF(K846&lt;=30,"1-30 dias",IF(K846&lt;=60,"31-60 dias",IF(K846&lt;=90,"61-90 dias","&gt;90 dias")))))</f>
        <v/>
      </c>
      <c r="M846" s="28" t="n"/>
      <c r="N846" s="104" t="inlineStr"/>
      <c r="O846" s="64" t="n"/>
      <c r="P846" s="64">
        <f>IF(C846="","",IF(ISNUMBER(SEARCH("PCMSO",C846)),"PCMSO",IF(OR(ISNUMBER(SEARCH("E-SOCIAL",C846)),ISNUMBER(SEARCH("PSICOSOCIAL",C846))),"eSocial / Psicossocial",IF(O846="Receita recorrente","Carteira recorrente","Projetos / Laudos / Avulsos"))))</f>
        <v/>
      </c>
      <c r="Q846" s="64">
        <f>IF(P846="","",IF(P846="Carteira recorrente","Operação recorrente",IF(P846="PCMSO","Projetos PCMSO",IF(P846="eSocial / Psicossocial","Projetos eSocial/Psicossocial","Projetos / Laudos / Avulsos"))))</f>
        <v/>
      </c>
      <c r="R846" s="64">
        <f>IF(C846="","",IF(ISNUMBER(SEARCH("PCMSO",C846)),"Título com PCMSO no nome",IF(OR(ISNUMBER(SEARCH("E-SOCIAL",C846)),ISNUMBER(SEARCH("PSICOSOCIAL",C846))),"Título com eSocial/Psicossocial no nome",IF(O846="Receita recorrente","Tipo DRE recorrente","Extra sem palavra-chave específica"))))</f>
        <v/>
      </c>
      <c r="S846" s="92">
        <f>IFERROR(VLOOKUP($A846,'13. Mapa Títulos-Receita'!$A$8:$P$1000,4,FALSE),"")</f>
        <v/>
      </c>
      <c r="T846" s="92">
        <f>IFERROR(VLOOKUP($A846,'13. Mapa Títulos-Receita'!$A$8:$P$1000,5,FALSE),"")</f>
        <v/>
      </c>
      <c r="U846" s="92">
        <f>IFERROR(VLOOKUP($A846,'13. Mapa Títulos-Receita'!$A$8:$P$1000,6,FALSE),"")</f>
        <v/>
      </c>
      <c r="V846" s="92">
        <f>IFERROR(VLOOKUP($A846,'13. Mapa Títulos-Receita'!$A$8:$P$1000,7,FALSE),"")</f>
        <v/>
      </c>
      <c r="W846" s="92">
        <f>IFERROR(VLOOKUP($A846,'13. Mapa Títulos-Receita'!$A$8:$P$1000,8,FALSE),"")</f>
        <v/>
      </c>
      <c r="X846" s="92">
        <f>IFERROR(VLOOKUP($A846,'13. Mapa Títulos-Receita'!$A$8:$P$1000,9,FALSE),"")</f>
        <v/>
      </c>
      <c r="Y846" s="92">
        <f>IFERROR(VLOOKUP($A846,'13. Mapa Títulos-Receita'!$A$8:$P$1000,10,FALSE),"")</f>
        <v/>
      </c>
      <c r="Z846" s="92">
        <f>IFERROR(VLOOKUP($A846,'13. Mapa Títulos-Receita'!$A$8:$P$1000,11,FALSE),"")</f>
        <v/>
      </c>
      <c r="AA846" s="92">
        <f>IFERROR(VLOOKUP($A846,'13. Mapa Títulos-Receita'!$A$8:$P$1000,12,FALSE),"")</f>
        <v/>
      </c>
      <c r="AB846" s="92">
        <f>IFERROR(VLOOKUP($A846,'13. Mapa Títulos-Receita'!$A$8:$P$1000,13,FALSE),"")</f>
        <v/>
      </c>
      <c r="AC846" s="92">
        <f>IFERROR(VLOOKUP($A846,'13. Mapa Títulos-Receita'!$A$8:$P$1000,14,FALSE),"")</f>
        <v/>
      </c>
      <c r="AD846" s="92">
        <f>IFERROR(VLOOKUP($A846,'13. Mapa Títulos-Receita'!$A$8:$P$1000,15,FALSE),"")</f>
        <v/>
      </c>
      <c r="AE846" s="92">
        <f>IFERROR(VLOOKUP($A846,'13. Mapa Títulos-Receita'!$A$8:$P$1000,16,FALSE),"")</f>
        <v/>
      </c>
    </row>
    <row r="847">
      <c r="A847" s="28">
        <f>IF(C847="","", "CR-"&amp;TEXT(ROW()-7,"000"))</f>
        <v/>
      </c>
      <c r="B847" s="28" t="n"/>
      <c r="C847" s="28" t="n"/>
      <c r="D847" s="111" t="n"/>
      <c r="E847" s="111" t="n"/>
      <c r="F847" s="111" t="n"/>
      <c r="G847" s="28" t="n"/>
      <c r="H847" s="45" t="n"/>
      <c r="I847" s="45" t="n"/>
      <c r="J847" s="28">
        <f>IF(H847="","",IF(I847&gt;=H847,"Recebido",IF($B$4&gt;E847,"Vencido","Aberto")))</f>
        <v/>
      </c>
      <c r="K847" s="4">
        <f>IF(J847="","",IF(OR(J847="Recebido",F847=""),MAX(0,F847-E847),MAX(0,$B$4-E847)))</f>
        <v/>
      </c>
      <c r="L847" s="4">
        <f>IF(K847="","",IF(K847=0,"Em dia",IF(K847&lt;=30,"1-30 dias",IF(K847&lt;=60,"31-60 dias",IF(K847&lt;=90,"61-90 dias","&gt;90 dias")))))</f>
        <v/>
      </c>
      <c r="M847" s="28" t="n"/>
      <c r="N847" s="104" t="inlineStr"/>
      <c r="O847" s="64" t="n"/>
      <c r="P847" s="64">
        <f>IF(C847="","",IF(ISNUMBER(SEARCH("PCMSO",C847)),"PCMSO",IF(OR(ISNUMBER(SEARCH("E-SOCIAL",C847)),ISNUMBER(SEARCH("PSICOSOCIAL",C847))),"eSocial / Psicossocial",IF(O847="Receita recorrente","Carteira recorrente","Projetos / Laudos / Avulsos"))))</f>
        <v/>
      </c>
      <c r="Q847" s="64">
        <f>IF(P847="","",IF(P847="Carteira recorrente","Operação recorrente",IF(P847="PCMSO","Projetos PCMSO",IF(P847="eSocial / Psicossocial","Projetos eSocial/Psicossocial","Projetos / Laudos / Avulsos"))))</f>
        <v/>
      </c>
      <c r="R847" s="64">
        <f>IF(C847="","",IF(ISNUMBER(SEARCH("PCMSO",C847)),"Título com PCMSO no nome",IF(OR(ISNUMBER(SEARCH("E-SOCIAL",C847)),ISNUMBER(SEARCH("PSICOSOCIAL",C847))),"Título com eSocial/Psicossocial no nome",IF(O847="Receita recorrente","Tipo DRE recorrente","Extra sem palavra-chave específica"))))</f>
        <v/>
      </c>
      <c r="S847" s="92">
        <f>IFERROR(VLOOKUP($A847,'13. Mapa Títulos-Receita'!$A$8:$P$1000,4,FALSE),"")</f>
        <v/>
      </c>
      <c r="T847" s="92">
        <f>IFERROR(VLOOKUP($A847,'13. Mapa Títulos-Receita'!$A$8:$P$1000,5,FALSE),"")</f>
        <v/>
      </c>
      <c r="U847" s="92">
        <f>IFERROR(VLOOKUP($A847,'13. Mapa Títulos-Receita'!$A$8:$P$1000,6,FALSE),"")</f>
        <v/>
      </c>
      <c r="V847" s="92">
        <f>IFERROR(VLOOKUP($A847,'13. Mapa Títulos-Receita'!$A$8:$P$1000,7,FALSE),"")</f>
        <v/>
      </c>
      <c r="W847" s="92">
        <f>IFERROR(VLOOKUP($A847,'13. Mapa Títulos-Receita'!$A$8:$P$1000,8,FALSE),"")</f>
        <v/>
      </c>
      <c r="X847" s="92">
        <f>IFERROR(VLOOKUP($A847,'13. Mapa Títulos-Receita'!$A$8:$P$1000,9,FALSE),"")</f>
        <v/>
      </c>
      <c r="Y847" s="92">
        <f>IFERROR(VLOOKUP($A847,'13. Mapa Títulos-Receita'!$A$8:$P$1000,10,FALSE),"")</f>
        <v/>
      </c>
      <c r="Z847" s="92">
        <f>IFERROR(VLOOKUP($A847,'13. Mapa Títulos-Receita'!$A$8:$P$1000,11,FALSE),"")</f>
        <v/>
      </c>
      <c r="AA847" s="92">
        <f>IFERROR(VLOOKUP($A847,'13. Mapa Títulos-Receita'!$A$8:$P$1000,12,FALSE),"")</f>
        <v/>
      </c>
      <c r="AB847" s="92">
        <f>IFERROR(VLOOKUP($A847,'13. Mapa Títulos-Receita'!$A$8:$P$1000,13,FALSE),"")</f>
        <v/>
      </c>
      <c r="AC847" s="92">
        <f>IFERROR(VLOOKUP($A847,'13. Mapa Títulos-Receita'!$A$8:$P$1000,14,FALSE),"")</f>
        <v/>
      </c>
      <c r="AD847" s="92">
        <f>IFERROR(VLOOKUP($A847,'13. Mapa Títulos-Receita'!$A$8:$P$1000,15,FALSE),"")</f>
        <v/>
      </c>
      <c r="AE847" s="92">
        <f>IFERROR(VLOOKUP($A847,'13. Mapa Títulos-Receita'!$A$8:$P$1000,16,FALSE),"")</f>
        <v/>
      </c>
    </row>
    <row r="848">
      <c r="A848" s="28">
        <f>IF(C848="","", "CR-"&amp;TEXT(ROW()-7,"000"))</f>
        <v/>
      </c>
      <c r="B848" s="28" t="n"/>
      <c r="C848" s="28" t="n"/>
      <c r="D848" s="111" t="n"/>
      <c r="E848" s="111" t="n"/>
      <c r="F848" s="111" t="n"/>
      <c r="G848" s="28" t="n"/>
      <c r="H848" s="45" t="n"/>
      <c r="I848" s="45" t="n"/>
      <c r="J848" s="28">
        <f>IF(H848="","",IF(I848&gt;=H848,"Recebido",IF($B$4&gt;E848,"Vencido","Aberto")))</f>
        <v/>
      </c>
      <c r="K848" s="4">
        <f>IF(J848="","",IF(OR(J848="Recebido",F848=""),MAX(0,F848-E848),MAX(0,$B$4-E848)))</f>
        <v/>
      </c>
      <c r="L848" s="4">
        <f>IF(K848="","",IF(K848=0,"Em dia",IF(K848&lt;=30,"1-30 dias",IF(K848&lt;=60,"31-60 dias",IF(K848&lt;=90,"61-90 dias","&gt;90 dias")))))</f>
        <v/>
      </c>
      <c r="M848" s="28" t="n"/>
      <c r="N848" s="104" t="inlineStr"/>
      <c r="O848" s="64" t="n"/>
      <c r="P848" s="64">
        <f>IF(C848="","",IF(ISNUMBER(SEARCH("PCMSO",C848)),"PCMSO",IF(OR(ISNUMBER(SEARCH("E-SOCIAL",C848)),ISNUMBER(SEARCH("PSICOSOCIAL",C848))),"eSocial / Psicossocial",IF(O848="Receita recorrente","Carteira recorrente","Projetos / Laudos / Avulsos"))))</f>
        <v/>
      </c>
      <c r="Q848" s="64">
        <f>IF(P848="","",IF(P848="Carteira recorrente","Operação recorrente",IF(P848="PCMSO","Projetos PCMSO",IF(P848="eSocial / Psicossocial","Projetos eSocial/Psicossocial","Projetos / Laudos / Avulsos"))))</f>
        <v/>
      </c>
      <c r="R848" s="64">
        <f>IF(C848="","",IF(ISNUMBER(SEARCH("PCMSO",C848)),"Título com PCMSO no nome",IF(OR(ISNUMBER(SEARCH("E-SOCIAL",C848)),ISNUMBER(SEARCH("PSICOSOCIAL",C848))),"Título com eSocial/Psicossocial no nome",IF(O848="Receita recorrente","Tipo DRE recorrente","Extra sem palavra-chave específica"))))</f>
        <v/>
      </c>
      <c r="S848" s="92">
        <f>IFERROR(VLOOKUP($A848,'13. Mapa Títulos-Receita'!$A$8:$P$1000,4,FALSE),"")</f>
        <v/>
      </c>
      <c r="T848" s="92">
        <f>IFERROR(VLOOKUP($A848,'13. Mapa Títulos-Receita'!$A$8:$P$1000,5,FALSE),"")</f>
        <v/>
      </c>
      <c r="U848" s="92">
        <f>IFERROR(VLOOKUP($A848,'13. Mapa Títulos-Receita'!$A$8:$P$1000,6,FALSE),"")</f>
        <v/>
      </c>
      <c r="V848" s="92">
        <f>IFERROR(VLOOKUP($A848,'13. Mapa Títulos-Receita'!$A$8:$P$1000,7,FALSE),"")</f>
        <v/>
      </c>
      <c r="W848" s="92">
        <f>IFERROR(VLOOKUP($A848,'13. Mapa Títulos-Receita'!$A$8:$P$1000,8,FALSE),"")</f>
        <v/>
      </c>
      <c r="X848" s="92">
        <f>IFERROR(VLOOKUP($A848,'13. Mapa Títulos-Receita'!$A$8:$P$1000,9,FALSE),"")</f>
        <v/>
      </c>
      <c r="Y848" s="92">
        <f>IFERROR(VLOOKUP($A848,'13. Mapa Títulos-Receita'!$A$8:$P$1000,10,FALSE),"")</f>
        <v/>
      </c>
      <c r="Z848" s="92">
        <f>IFERROR(VLOOKUP($A848,'13. Mapa Títulos-Receita'!$A$8:$P$1000,11,FALSE),"")</f>
        <v/>
      </c>
      <c r="AA848" s="92">
        <f>IFERROR(VLOOKUP($A848,'13. Mapa Títulos-Receita'!$A$8:$P$1000,12,FALSE),"")</f>
        <v/>
      </c>
      <c r="AB848" s="92">
        <f>IFERROR(VLOOKUP($A848,'13. Mapa Títulos-Receita'!$A$8:$P$1000,13,FALSE),"")</f>
        <v/>
      </c>
      <c r="AC848" s="92">
        <f>IFERROR(VLOOKUP($A848,'13. Mapa Títulos-Receita'!$A$8:$P$1000,14,FALSE),"")</f>
        <v/>
      </c>
      <c r="AD848" s="92">
        <f>IFERROR(VLOOKUP($A848,'13. Mapa Títulos-Receita'!$A$8:$P$1000,15,FALSE),"")</f>
        <v/>
      </c>
      <c r="AE848" s="92">
        <f>IFERROR(VLOOKUP($A848,'13. Mapa Títulos-Receita'!$A$8:$P$1000,16,FALSE),"")</f>
        <v/>
      </c>
    </row>
    <row r="849">
      <c r="A849" s="28">
        <f>IF(C849="","", "CR-"&amp;TEXT(ROW()-7,"000"))</f>
        <v/>
      </c>
      <c r="B849" s="28" t="n"/>
      <c r="C849" s="28" t="n"/>
      <c r="D849" s="111" t="n"/>
      <c r="E849" s="111" t="n"/>
      <c r="F849" s="111" t="n"/>
      <c r="G849" s="28" t="n"/>
      <c r="H849" s="45" t="n"/>
      <c r="I849" s="45" t="n"/>
      <c r="J849" s="28">
        <f>IF(H849="","",IF(I849&gt;=H849,"Recebido",IF($B$4&gt;E849,"Vencido","Aberto")))</f>
        <v/>
      </c>
      <c r="K849" s="4">
        <f>IF(J849="","",IF(OR(J849="Recebido",F849=""),MAX(0,F849-E849),MAX(0,$B$4-E849)))</f>
        <v/>
      </c>
      <c r="L849" s="4">
        <f>IF(K849="","",IF(K849=0,"Em dia",IF(K849&lt;=30,"1-30 dias",IF(K849&lt;=60,"31-60 dias",IF(K849&lt;=90,"61-90 dias","&gt;90 dias")))))</f>
        <v/>
      </c>
      <c r="M849" s="28" t="n"/>
      <c r="N849" s="104" t="inlineStr"/>
      <c r="O849" s="64" t="n"/>
      <c r="P849" s="64">
        <f>IF(C849="","",IF(ISNUMBER(SEARCH("PCMSO",C849)),"PCMSO",IF(OR(ISNUMBER(SEARCH("E-SOCIAL",C849)),ISNUMBER(SEARCH("PSICOSOCIAL",C849))),"eSocial / Psicossocial",IF(O849="Receita recorrente","Carteira recorrente","Projetos / Laudos / Avulsos"))))</f>
        <v/>
      </c>
      <c r="Q849" s="64">
        <f>IF(P849="","",IF(P849="Carteira recorrente","Operação recorrente",IF(P849="PCMSO","Projetos PCMSO",IF(P849="eSocial / Psicossocial","Projetos eSocial/Psicossocial","Projetos / Laudos / Avulsos"))))</f>
        <v/>
      </c>
      <c r="R849" s="64">
        <f>IF(C849="","",IF(ISNUMBER(SEARCH("PCMSO",C849)),"Título com PCMSO no nome",IF(OR(ISNUMBER(SEARCH("E-SOCIAL",C849)),ISNUMBER(SEARCH("PSICOSOCIAL",C849))),"Título com eSocial/Psicossocial no nome",IF(O849="Receita recorrente","Tipo DRE recorrente","Extra sem palavra-chave específica"))))</f>
        <v/>
      </c>
      <c r="S849" s="92">
        <f>IFERROR(VLOOKUP($A849,'13. Mapa Títulos-Receita'!$A$8:$P$1000,4,FALSE),"")</f>
        <v/>
      </c>
      <c r="T849" s="92">
        <f>IFERROR(VLOOKUP($A849,'13. Mapa Títulos-Receita'!$A$8:$P$1000,5,FALSE),"")</f>
        <v/>
      </c>
      <c r="U849" s="92">
        <f>IFERROR(VLOOKUP($A849,'13. Mapa Títulos-Receita'!$A$8:$P$1000,6,FALSE),"")</f>
        <v/>
      </c>
      <c r="V849" s="92">
        <f>IFERROR(VLOOKUP($A849,'13. Mapa Títulos-Receita'!$A$8:$P$1000,7,FALSE),"")</f>
        <v/>
      </c>
      <c r="W849" s="92">
        <f>IFERROR(VLOOKUP($A849,'13. Mapa Títulos-Receita'!$A$8:$P$1000,8,FALSE),"")</f>
        <v/>
      </c>
      <c r="X849" s="92">
        <f>IFERROR(VLOOKUP($A849,'13. Mapa Títulos-Receita'!$A$8:$P$1000,9,FALSE),"")</f>
        <v/>
      </c>
      <c r="Y849" s="92">
        <f>IFERROR(VLOOKUP($A849,'13. Mapa Títulos-Receita'!$A$8:$P$1000,10,FALSE),"")</f>
        <v/>
      </c>
      <c r="Z849" s="92">
        <f>IFERROR(VLOOKUP($A849,'13. Mapa Títulos-Receita'!$A$8:$P$1000,11,FALSE),"")</f>
        <v/>
      </c>
      <c r="AA849" s="92">
        <f>IFERROR(VLOOKUP($A849,'13. Mapa Títulos-Receita'!$A$8:$P$1000,12,FALSE),"")</f>
        <v/>
      </c>
      <c r="AB849" s="92">
        <f>IFERROR(VLOOKUP($A849,'13. Mapa Títulos-Receita'!$A$8:$P$1000,13,FALSE),"")</f>
        <v/>
      </c>
      <c r="AC849" s="92">
        <f>IFERROR(VLOOKUP($A849,'13. Mapa Títulos-Receita'!$A$8:$P$1000,14,FALSE),"")</f>
        <v/>
      </c>
      <c r="AD849" s="92">
        <f>IFERROR(VLOOKUP($A849,'13. Mapa Títulos-Receita'!$A$8:$P$1000,15,FALSE),"")</f>
        <v/>
      </c>
      <c r="AE849" s="92">
        <f>IFERROR(VLOOKUP($A849,'13. Mapa Títulos-Receita'!$A$8:$P$1000,16,FALSE),"")</f>
        <v/>
      </c>
    </row>
    <row r="850">
      <c r="A850" s="28">
        <f>IF(C850="","", "CR-"&amp;TEXT(ROW()-7,"000"))</f>
        <v/>
      </c>
      <c r="B850" s="28" t="n"/>
      <c r="C850" s="28" t="n"/>
      <c r="D850" s="111" t="n"/>
      <c r="E850" s="111" t="n"/>
      <c r="F850" s="111" t="n"/>
      <c r="G850" s="28" t="n"/>
      <c r="H850" s="45" t="n"/>
      <c r="I850" s="45" t="n"/>
      <c r="J850" s="28">
        <f>IF(H850="","",IF(I850&gt;=H850,"Recebido",IF($B$4&gt;E850,"Vencido","Aberto")))</f>
        <v/>
      </c>
      <c r="K850" s="4">
        <f>IF(J850="","",IF(OR(J850="Recebido",F850=""),MAX(0,F850-E850),MAX(0,$B$4-E850)))</f>
        <v/>
      </c>
      <c r="L850" s="4">
        <f>IF(K850="","",IF(K850=0,"Em dia",IF(K850&lt;=30,"1-30 dias",IF(K850&lt;=60,"31-60 dias",IF(K850&lt;=90,"61-90 dias","&gt;90 dias")))))</f>
        <v/>
      </c>
      <c r="M850" s="28" t="n"/>
      <c r="N850" s="104" t="inlineStr"/>
      <c r="O850" s="64" t="n"/>
      <c r="P850" s="64">
        <f>IF(C850="","",IF(ISNUMBER(SEARCH("PCMSO",C850)),"PCMSO",IF(OR(ISNUMBER(SEARCH("E-SOCIAL",C850)),ISNUMBER(SEARCH("PSICOSOCIAL",C850))),"eSocial / Psicossocial",IF(O850="Receita recorrente","Carteira recorrente","Projetos / Laudos / Avulsos"))))</f>
        <v/>
      </c>
      <c r="Q850" s="64">
        <f>IF(P850="","",IF(P850="Carteira recorrente","Operação recorrente",IF(P850="PCMSO","Projetos PCMSO",IF(P850="eSocial / Psicossocial","Projetos eSocial/Psicossocial","Projetos / Laudos / Avulsos"))))</f>
        <v/>
      </c>
      <c r="R850" s="64">
        <f>IF(C850="","",IF(ISNUMBER(SEARCH("PCMSO",C850)),"Título com PCMSO no nome",IF(OR(ISNUMBER(SEARCH("E-SOCIAL",C850)),ISNUMBER(SEARCH("PSICOSOCIAL",C850))),"Título com eSocial/Psicossocial no nome",IF(O850="Receita recorrente","Tipo DRE recorrente","Extra sem palavra-chave específica"))))</f>
        <v/>
      </c>
      <c r="S850" s="92">
        <f>IFERROR(VLOOKUP($A850,'13. Mapa Títulos-Receita'!$A$8:$P$1000,4,FALSE),"")</f>
        <v/>
      </c>
      <c r="T850" s="92">
        <f>IFERROR(VLOOKUP($A850,'13. Mapa Títulos-Receita'!$A$8:$P$1000,5,FALSE),"")</f>
        <v/>
      </c>
      <c r="U850" s="92">
        <f>IFERROR(VLOOKUP($A850,'13. Mapa Títulos-Receita'!$A$8:$P$1000,6,FALSE),"")</f>
        <v/>
      </c>
      <c r="V850" s="92">
        <f>IFERROR(VLOOKUP($A850,'13. Mapa Títulos-Receita'!$A$8:$P$1000,7,FALSE),"")</f>
        <v/>
      </c>
      <c r="W850" s="92">
        <f>IFERROR(VLOOKUP($A850,'13. Mapa Títulos-Receita'!$A$8:$P$1000,8,FALSE),"")</f>
        <v/>
      </c>
      <c r="X850" s="92">
        <f>IFERROR(VLOOKUP($A850,'13. Mapa Títulos-Receita'!$A$8:$P$1000,9,FALSE),"")</f>
        <v/>
      </c>
      <c r="Y850" s="92">
        <f>IFERROR(VLOOKUP($A850,'13. Mapa Títulos-Receita'!$A$8:$P$1000,10,FALSE),"")</f>
        <v/>
      </c>
      <c r="Z850" s="92">
        <f>IFERROR(VLOOKUP($A850,'13. Mapa Títulos-Receita'!$A$8:$P$1000,11,FALSE),"")</f>
        <v/>
      </c>
      <c r="AA850" s="92">
        <f>IFERROR(VLOOKUP($A850,'13. Mapa Títulos-Receita'!$A$8:$P$1000,12,FALSE),"")</f>
        <v/>
      </c>
      <c r="AB850" s="92">
        <f>IFERROR(VLOOKUP($A850,'13. Mapa Títulos-Receita'!$A$8:$P$1000,13,FALSE),"")</f>
        <v/>
      </c>
      <c r="AC850" s="92">
        <f>IFERROR(VLOOKUP($A850,'13. Mapa Títulos-Receita'!$A$8:$P$1000,14,FALSE),"")</f>
        <v/>
      </c>
      <c r="AD850" s="92">
        <f>IFERROR(VLOOKUP($A850,'13. Mapa Títulos-Receita'!$A$8:$P$1000,15,FALSE),"")</f>
        <v/>
      </c>
      <c r="AE850" s="92">
        <f>IFERROR(VLOOKUP($A850,'13. Mapa Títulos-Receita'!$A$8:$P$1000,16,FALSE),"")</f>
        <v/>
      </c>
    </row>
    <row r="851">
      <c r="A851" s="28">
        <f>IF(C851="","", "CR-"&amp;TEXT(ROW()-7,"000"))</f>
        <v/>
      </c>
      <c r="B851" s="28" t="n"/>
      <c r="C851" s="28" t="n"/>
      <c r="D851" s="111" t="n"/>
      <c r="E851" s="111" t="n"/>
      <c r="F851" s="111" t="n"/>
      <c r="G851" s="28" t="n"/>
      <c r="H851" s="45" t="n"/>
      <c r="I851" s="45" t="n"/>
      <c r="J851" s="28">
        <f>IF(H851="","",IF(I851&gt;=H851,"Recebido",IF($B$4&gt;E851,"Vencido","Aberto")))</f>
        <v/>
      </c>
      <c r="K851" s="4">
        <f>IF(J851="","",IF(OR(J851="Recebido",F851=""),MAX(0,F851-E851),MAX(0,$B$4-E851)))</f>
        <v/>
      </c>
      <c r="L851" s="4">
        <f>IF(K851="","",IF(K851=0,"Em dia",IF(K851&lt;=30,"1-30 dias",IF(K851&lt;=60,"31-60 dias",IF(K851&lt;=90,"61-90 dias","&gt;90 dias")))))</f>
        <v/>
      </c>
      <c r="M851" s="28" t="n"/>
      <c r="N851" s="104" t="inlineStr"/>
      <c r="O851" s="64" t="n"/>
      <c r="P851" s="64">
        <f>IF(C851="","",IF(ISNUMBER(SEARCH("PCMSO",C851)),"PCMSO",IF(OR(ISNUMBER(SEARCH("E-SOCIAL",C851)),ISNUMBER(SEARCH("PSICOSOCIAL",C851))),"eSocial / Psicossocial",IF(O851="Receita recorrente","Carteira recorrente","Projetos / Laudos / Avulsos"))))</f>
        <v/>
      </c>
      <c r="Q851" s="64">
        <f>IF(P851="","",IF(P851="Carteira recorrente","Operação recorrente",IF(P851="PCMSO","Projetos PCMSO",IF(P851="eSocial / Psicossocial","Projetos eSocial/Psicossocial","Projetos / Laudos / Avulsos"))))</f>
        <v/>
      </c>
      <c r="R851" s="64">
        <f>IF(C851="","",IF(ISNUMBER(SEARCH("PCMSO",C851)),"Título com PCMSO no nome",IF(OR(ISNUMBER(SEARCH("E-SOCIAL",C851)),ISNUMBER(SEARCH("PSICOSOCIAL",C851))),"Título com eSocial/Psicossocial no nome",IF(O851="Receita recorrente","Tipo DRE recorrente","Extra sem palavra-chave específica"))))</f>
        <v/>
      </c>
      <c r="S851" s="92">
        <f>IFERROR(VLOOKUP($A851,'13. Mapa Títulos-Receita'!$A$8:$P$1000,4,FALSE),"")</f>
        <v/>
      </c>
      <c r="T851" s="92">
        <f>IFERROR(VLOOKUP($A851,'13. Mapa Títulos-Receita'!$A$8:$P$1000,5,FALSE),"")</f>
        <v/>
      </c>
      <c r="U851" s="92">
        <f>IFERROR(VLOOKUP($A851,'13. Mapa Títulos-Receita'!$A$8:$P$1000,6,FALSE),"")</f>
        <v/>
      </c>
      <c r="V851" s="92">
        <f>IFERROR(VLOOKUP($A851,'13. Mapa Títulos-Receita'!$A$8:$P$1000,7,FALSE),"")</f>
        <v/>
      </c>
      <c r="W851" s="92">
        <f>IFERROR(VLOOKUP($A851,'13. Mapa Títulos-Receita'!$A$8:$P$1000,8,FALSE),"")</f>
        <v/>
      </c>
      <c r="X851" s="92">
        <f>IFERROR(VLOOKUP($A851,'13. Mapa Títulos-Receita'!$A$8:$P$1000,9,FALSE),"")</f>
        <v/>
      </c>
      <c r="Y851" s="92">
        <f>IFERROR(VLOOKUP($A851,'13. Mapa Títulos-Receita'!$A$8:$P$1000,10,FALSE),"")</f>
        <v/>
      </c>
      <c r="Z851" s="92">
        <f>IFERROR(VLOOKUP($A851,'13. Mapa Títulos-Receita'!$A$8:$P$1000,11,FALSE),"")</f>
        <v/>
      </c>
      <c r="AA851" s="92">
        <f>IFERROR(VLOOKUP($A851,'13. Mapa Títulos-Receita'!$A$8:$P$1000,12,FALSE),"")</f>
        <v/>
      </c>
      <c r="AB851" s="92">
        <f>IFERROR(VLOOKUP($A851,'13. Mapa Títulos-Receita'!$A$8:$P$1000,13,FALSE),"")</f>
        <v/>
      </c>
      <c r="AC851" s="92">
        <f>IFERROR(VLOOKUP($A851,'13. Mapa Títulos-Receita'!$A$8:$P$1000,14,FALSE),"")</f>
        <v/>
      </c>
      <c r="AD851" s="92">
        <f>IFERROR(VLOOKUP($A851,'13. Mapa Títulos-Receita'!$A$8:$P$1000,15,FALSE),"")</f>
        <v/>
      </c>
      <c r="AE851" s="92">
        <f>IFERROR(VLOOKUP($A851,'13. Mapa Títulos-Receita'!$A$8:$P$1000,16,FALSE),"")</f>
        <v/>
      </c>
    </row>
    <row r="852">
      <c r="A852" s="28">
        <f>IF(C852="","", "CR-"&amp;TEXT(ROW()-7,"000"))</f>
        <v/>
      </c>
      <c r="B852" s="28" t="n"/>
      <c r="C852" s="28" t="n"/>
      <c r="D852" s="111" t="n"/>
      <c r="E852" s="111" t="n"/>
      <c r="F852" s="111" t="n"/>
      <c r="G852" s="28" t="n"/>
      <c r="H852" s="45" t="n"/>
      <c r="I852" s="45" t="n"/>
      <c r="J852" s="28">
        <f>IF(H852="","",IF(I852&gt;=H852,"Recebido",IF($B$4&gt;E852,"Vencido","Aberto")))</f>
        <v/>
      </c>
      <c r="K852" s="4">
        <f>IF(J852="","",IF(OR(J852="Recebido",F852=""),MAX(0,F852-E852),MAX(0,$B$4-E852)))</f>
        <v/>
      </c>
      <c r="L852" s="4">
        <f>IF(K852="","",IF(K852=0,"Em dia",IF(K852&lt;=30,"1-30 dias",IF(K852&lt;=60,"31-60 dias",IF(K852&lt;=90,"61-90 dias","&gt;90 dias")))))</f>
        <v/>
      </c>
      <c r="M852" s="28" t="n"/>
      <c r="N852" s="104" t="inlineStr"/>
      <c r="O852" s="64" t="n"/>
      <c r="P852" s="64">
        <f>IF(C852="","",IF(ISNUMBER(SEARCH("PCMSO",C852)),"PCMSO",IF(OR(ISNUMBER(SEARCH("E-SOCIAL",C852)),ISNUMBER(SEARCH("PSICOSOCIAL",C852))),"eSocial / Psicossocial",IF(O852="Receita recorrente","Carteira recorrente","Projetos / Laudos / Avulsos"))))</f>
        <v/>
      </c>
      <c r="Q852" s="64">
        <f>IF(P852="","",IF(P852="Carteira recorrente","Operação recorrente",IF(P852="PCMSO","Projetos PCMSO",IF(P852="eSocial / Psicossocial","Projetos eSocial/Psicossocial","Projetos / Laudos / Avulsos"))))</f>
        <v/>
      </c>
      <c r="R852" s="64">
        <f>IF(C852="","",IF(ISNUMBER(SEARCH("PCMSO",C852)),"Título com PCMSO no nome",IF(OR(ISNUMBER(SEARCH("E-SOCIAL",C852)),ISNUMBER(SEARCH("PSICOSOCIAL",C852))),"Título com eSocial/Psicossocial no nome",IF(O852="Receita recorrente","Tipo DRE recorrente","Extra sem palavra-chave específica"))))</f>
        <v/>
      </c>
      <c r="S852" s="92">
        <f>IFERROR(VLOOKUP($A852,'13. Mapa Títulos-Receita'!$A$8:$P$1000,4,FALSE),"")</f>
        <v/>
      </c>
      <c r="T852" s="92">
        <f>IFERROR(VLOOKUP($A852,'13. Mapa Títulos-Receita'!$A$8:$P$1000,5,FALSE),"")</f>
        <v/>
      </c>
      <c r="U852" s="92">
        <f>IFERROR(VLOOKUP($A852,'13. Mapa Títulos-Receita'!$A$8:$P$1000,6,FALSE),"")</f>
        <v/>
      </c>
      <c r="V852" s="92">
        <f>IFERROR(VLOOKUP($A852,'13. Mapa Títulos-Receita'!$A$8:$P$1000,7,FALSE),"")</f>
        <v/>
      </c>
      <c r="W852" s="92">
        <f>IFERROR(VLOOKUP($A852,'13. Mapa Títulos-Receita'!$A$8:$P$1000,8,FALSE),"")</f>
        <v/>
      </c>
      <c r="X852" s="92">
        <f>IFERROR(VLOOKUP($A852,'13. Mapa Títulos-Receita'!$A$8:$P$1000,9,FALSE),"")</f>
        <v/>
      </c>
      <c r="Y852" s="92">
        <f>IFERROR(VLOOKUP($A852,'13. Mapa Títulos-Receita'!$A$8:$P$1000,10,FALSE),"")</f>
        <v/>
      </c>
      <c r="Z852" s="92">
        <f>IFERROR(VLOOKUP($A852,'13. Mapa Títulos-Receita'!$A$8:$P$1000,11,FALSE),"")</f>
        <v/>
      </c>
      <c r="AA852" s="92">
        <f>IFERROR(VLOOKUP($A852,'13. Mapa Títulos-Receita'!$A$8:$P$1000,12,FALSE),"")</f>
        <v/>
      </c>
      <c r="AB852" s="92">
        <f>IFERROR(VLOOKUP($A852,'13. Mapa Títulos-Receita'!$A$8:$P$1000,13,FALSE),"")</f>
        <v/>
      </c>
      <c r="AC852" s="92">
        <f>IFERROR(VLOOKUP($A852,'13. Mapa Títulos-Receita'!$A$8:$P$1000,14,FALSE),"")</f>
        <v/>
      </c>
      <c r="AD852" s="92">
        <f>IFERROR(VLOOKUP($A852,'13. Mapa Títulos-Receita'!$A$8:$P$1000,15,FALSE),"")</f>
        <v/>
      </c>
      <c r="AE852" s="92">
        <f>IFERROR(VLOOKUP($A852,'13. Mapa Títulos-Receita'!$A$8:$P$1000,16,FALSE),"")</f>
        <v/>
      </c>
    </row>
    <row r="853">
      <c r="A853" s="28">
        <f>IF(C853="","", "CR-"&amp;TEXT(ROW()-7,"000"))</f>
        <v/>
      </c>
      <c r="B853" s="28" t="n"/>
      <c r="C853" s="28" t="n"/>
      <c r="D853" s="111" t="n"/>
      <c r="E853" s="111" t="n"/>
      <c r="F853" s="111" t="n"/>
      <c r="G853" s="28" t="n"/>
      <c r="H853" s="45" t="n"/>
      <c r="I853" s="45" t="n"/>
      <c r="J853" s="28">
        <f>IF(H853="","",IF(I853&gt;=H853,"Recebido",IF($B$4&gt;E853,"Vencido","Aberto")))</f>
        <v/>
      </c>
      <c r="K853" s="4">
        <f>IF(J853="","",IF(OR(J853="Recebido",F853=""),MAX(0,F853-E853),MAX(0,$B$4-E853)))</f>
        <v/>
      </c>
      <c r="L853" s="4">
        <f>IF(K853="","",IF(K853=0,"Em dia",IF(K853&lt;=30,"1-30 dias",IF(K853&lt;=60,"31-60 dias",IF(K853&lt;=90,"61-90 dias","&gt;90 dias")))))</f>
        <v/>
      </c>
      <c r="M853" s="28" t="n"/>
      <c r="N853" s="104" t="inlineStr"/>
      <c r="O853" s="64" t="n"/>
      <c r="P853" s="64">
        <f>IF(C853="","",IF(ISNUMBER(SEARCH("PCMSO",C853)),"PCMSO",IF(OR(ISNUMBER(SEARCH("E-SOCIAL",C853)),ISNUMBER(SEARCH("PSICOSOCIAL",C853))),"eSocial / Psicossocial",IF(O853="Receita recorrente","Carteira recorrente","Projetos / Laudos / Avulsos"))))</f>
        <v/>
      </c>
      <c r="Q853" s="64">
        <f>IF(P853="","",IF(P853="Carteira recorrente","Operação recorrente",IF(P853="PCMSO","Projetos PCMSO",IF(P853="eSocial / Psicossocial","Projetos eSocial/Psicossocial","Projetos / Laudos / Avulsos"))))</f>
        <v/>
      </c>
      <c r="R853" s="64">
        <f>IF(C853="","",IF(ISNUMBER(SEARCH("PCMSO",C853)),"Título com PCMSO no nome",IF(OR(ISNUMBER(SEARCH("E-SOCIAL",C853)),ISNUMBER(SEARCH("PSICOSOCIAL",C853))),"Título com eSocial/Psicossocial no nome",IF(O853="Receita recorrente","Tipo DRE recorrente","Extra sem palavra-chave específica"))))</f>
        <v/>
      </c>
      <c r="S853" s="92">
        <f>IFERROR(VLOOKUP($A853,'13. Mapa Títulos-Receita'!$A$8:$P$1000,4,FALSE),"")</f>
        <v/>
      </c>
      <c r="T853" s="92">
        <f>IFERROR(VLOOKUP($A853,'13. Mapa Títulos-Receita'!$A$8:$P$1000,5,FALSE),"")</f>
        <v/>
      </c>
      <c r="U853" s="92">
        <f>IFERROR(VLOOKUP($A853,'13. Mapa Títulos-Receita'!$A$8:$P$1000,6,FALSE),"")</f>
        <v/>
      </c>
      <c r="V853" s="92">
        <f>IFERROR(VLOOKUP($A853,'13. Mapa Títulos-Receita'!$A$8:$P$1000,7,FALSE),"")</f>
        <v/>
      </c>
      <c r="W853" s="92">
        <f>IFERROR(VLOOKUP($A853,'13. Mapa Títulos-Receita'!$A$8:$P$1000,8,FALSE),"")</f>
        <v/>
      </c>
      <c r="X853" s="92">
        <f>IFERROR(VLOOKUP($A853,'13. Mapa Títulos-Receita'!$A$8:$P$1000,9,FALSE),"")</f>
        <v/>
      </c>
      <c r="Y853" s="92">
        <f>IFERROR(VLOOKUP($A853,'13. Mapa Títulos-Receita'!$A$8:$P$1000,10,FALSE),"")</f>
        <v/>
      </c>
      <c r="Z853" s="92">
        <f>IFERROR(VLOOKUP($A853,'13. Mapa Títulos-Receita'!$A$8:$P$1000,11,FALSE),"")</f>
        <v/>
      </c>
      <c r="AA853" s="92">
        <f>IFERROR(VLOOKUP($A853,'13. Mapa Títulos-Receita'!$A$8:$P$1000,12,FALSE),"")</f>
        <v/>
      </c>
      <c r="AB853" s="92">
        <f>IFERROR(VLOOKUP($A853,'13. Mapa Títulos-Receita'!$A$8:$P$1000,13,FALSE),"")</f>
        <v/>
      </c>
      <c r="AC853" s="92">
        <f>IFERROR(VLOOKUP($A853,'13. Mapa Títulos-Receita'!$A$8:$P$1000,14,FALSE),"")</f>
        <v/>
      </c>
      <c r="AD853" s="92">
        <f>IFERROR(VLOOKUP($A853,'13. Mapa Títulos-Receita'!$A$8:$P$1000,15,FALSE),"")</f>
        <v/>
      </c>
      <c r="AE853" s="92">
        <f>IFERROR(VLOOKUP($A853,'13. Mapa Títulos-Receita'!$A$8:$P$1000,16,FALSE),"")</f>
        <v/>
      </c>
    </row>
    <row r="854">
      <c r="A854" s="28">
        <f>IF(C854="","", "CR-"&amp;TEXT(ROW()-7,"000"))</f>
        <v/>
      </c>
      <c r="B854" s="28" t="n"/>
      <c r="C854" s="28" t="n"/>
      <c r="D854" s="111" t="n"/>
      <c r="E854" s="111" t="n"/>
      <c r="F854" s="111" t="n"/>
      <c r="G854" s="28" t="n"/>
      <c r="H854" s="45" t="n"/>
      <c r="I854" s="45" t="n"/>
      <c r="J854" s="28">
        <f>IF(H854="","",IF(I854&gt;=H854,"Recebido",IF($B$4&gt;E854,"Vencido","Aberto")))</f>
        <v/>
      </c>
      <c r="K854" s="4">
        <f>IF(J854="","",IF(OR(J854="Recebido",F854=""),MAX(0,F854-E854),MAX(0,$B$4-E854)))</f>
        <v/>
      </c>
      <c r="L854" s="4">
        <f>IF(K854="","",IF(K854=0,"Em dia",IF(K854&lt;=30,"1-30 dias",IF(K854&lt;=60,"31-60 dias",IF(K854&lt;=90,"61-90 dias","&gt;90 dias")))))</f>
        <v/>
      </c>
      <c r="M854" s="28" t="n"/>
      <c r="N854" s="104" t="inlineStr"/>
      <c r="O854" s="64" t="n"/>
      <c r="P854" s="64">
        <f>IF(C854="","",IF(ISNUMBER(SEARCH("PCMSO",C854)),"PCMSO",IF(OR(ISNUMBER(SEARCH("E-SOCIAL",C854)),ISNUMBER(SEARCH("PSICOSOCIAL",C854))),"eSocial / Psicossocial",IF(O854="Receita recorrente","Carteira recorrente","Projetos / Laudos / Avulsos"))))</f>
        <v/>
      </c>
      <c r="Q854" s="64">
        <f>IF(P854="","",IF(P854="Carteira recorrente","Operação recorrente",IF(P854="PCMSO","Projetos PCMSO",IF(P854="eSocial / Psicossocial","Projetos eSocial/Psicossocial","Projetos / Laudos / Avulsos"))))</f>
        <v/>
      </c>
      <c r="R854" s="64">
        <f>IF(C854="","",IF(ISNUMBER(SEARCH("PCMSO",C854)),"Título com PCMSO no nome",IF(OR(ISNUMBER(SEARCH("E-SOCIAL",C854)),ISNUMBER(SEARCH("PSICOSOCIAL",C854))),"Título com eSocial/Psicossocial no nome",IF(O854="Receita recorrente","Tipo DRE recorrente","Extra sem palavra-chave específica"))))</f>
        <v/>
      </c>
      <c r="S854" s="92">
        <f>IFERROR(VLOOKUP($A854,'13. Mapa Títulos-Receita'!$A$8:$P$1000,4,FALSE),"")</f>
        <v/>
      </c>
      <c r="T854" s="92">
        <f>IFERROR(VLOOKUP($A854,'13. Mapa Títulos-Receita'!$A$8:$P$1000,5,FALSE),"")</f>
        <v/>
      </c>
      <c r="U854" s="92">
        <f>IFERROR(VLOOKUP($A854,'13. Mapa Títulos-Receita'!$A$8:$P$1000,6,FALSE),"")</f>
        <v/>
      </c>
      <c r="V854" s="92">
        <f>IFERROR(VLOOKUP($A854,'13. Mapa Títulos-Receita'!$A$8:$P$1000,7,FALSE),"")</f>
        <v/>
      </c>
      <c r="W854" s="92">
        <f>IFERROR(VLOOKUP($A854,'13. Mapa Títulos-Receita'!$A$8:$P$1000,8,FALSE),"")</f>
        <v/>
      </c>
      <c r="X854" s="92">
        <f>IFERROR(VLOOKUP($A854,'13. Mapa Títulos-Receita'!$A$8:$P$1000,9,FALSE),"")</f>
        <v/>
      </c>
      <c r="Y854" s="92">
        <f>IFERROR(VLOOKUP($A854,'13. Mapa Títulos-Receita'!$A$8:$P$1000,10,FALSE),"")</f>
        <v/>
      </c>
      <c r="Z854" s="92">
        <f>IFERROR(VLOOKUP($A854,'13. Mapa Títulos-Receita'!$A$8:$P$1000,11,FALSE),"")</f>
        <v/>
      </c>
      <c r="AA854" s="92">
        <f>IFERROR(VLOOKUP($A854,'13. Mapa Títulos-Receita'!$A$8:$P$1000,12,FALSE),"")</f>
        <v/>
      </c>
      <c r="AB854" s="92">
        <f>IFERROR(VLOOKUP($A854,'13. Mapa Títulos-Receita'!$A$8:$P$1000,13,FALSE),"")</f>
        <v/>
      </c>
      <c r="AC854" s="92">
        <f>IFERROR(VLOOKUP($A854,'13. Mapa Títulos-Receita'!$A$8:$P$1000,14,FALSE),"")</f>
        <v/>
      </c>
      <c r="AD854" s="92">
        <f>IFERROR(VLOOKUP($A854,'13. Mapa Títulos-Receita'!$A$8:$P$1000,15,FALSE),"")</f>
        <v/>
      </c>
      <c r="AE854" s="92">
        <f>IFERROR(VLOOKUP($A854,'13. Mapa Títulos-Receita'!$A$8:$P$1000,16,FALSE),"")</f>
        <v/>
      </c>
    </row>
    <row r="855">
      <c r="A855" s="28">
        <f>IF(C855="","", "CR-"&amp;TEXT(ROW()-7,"000"))</f>
        <v/>
      </c>
      <c r="B855" s="28" t="n"/>
      <c r="C855" s="28" t="n"/>
      <c r="D855" s="111" t="n"/>
      <c r="E855" s="111" t="n"/>
      <c r="F855" s="111" t="n"/>
      <c r="G855" s="28" t="n"/>
      <c r="H855" s="45" t="n"/>
      <c r="I855" s="45" t="n"/>
      <c r="J855" s="28">
        <f>IF(H855="","",IF(I855&gt;=H855,"Recebido",IF($B$4&gt;E855,"Vencido","Aberto")))</f>
        <v/>
      </c>
      <c r="K855" s="4">
        <f>IF(J855="","",IF(OR(J855="Recebido",F855=""),MAX(0,F855-E855),MAX(0,$B$4-E855)))</f>
        <v/>
      </c>
      <c r="L855" s="4">
        <f>IF(K855="","",IF(K855=0,"Em dia",IF(K855&lt;=30,"1-30 dias",IF(K855&lt;=60,"31-60 dias",IF(K855&lt;=90,"61-90 dias","&gt;90 dias")))))</f>
        <v/>
      </c>
      <c r="M855" s="28" t="n"/>
      <c r="N855" s="104" t="inlineStr"/>
      <c r="O855" s="64" t="n"/>
      <c r="P855" s="64">
        <f>IF(C855="","",IF(ISNUMBER(SEARCH("PCMSO",C855)),"PCMSO",IF(OR(ISNUMBER(SEARCH("E-SOCIAL",C855)),ISNUMBER(SEARCH("PSICOSOCIAL",C855))),"eSocial / Psicossocial",IF(O855="Receita recorrente","Carteira recorrente","Projetos / Laudos / Avulsos"))))</f>
        <v/>
      </c>
      <c r="Q855" s="64">
        <f>IF(P855="","",IF(P855="Carteira recorrente","Operação recorrente",IF(P855="PCMSO","Projetos PCMSO",IF(P855="eSocial / Psicossocial","Projetos eSocial/Psicossocial","Projetos / Laudos / Avulsos"))))</f>
        <v/>
      </c>
      <c r="R855" s="64">
        <f>IF(C855="","",IF(ISNUMBER(SEARCH("PCMSO",C855)),"Título com PCMSO no nome",IF(OR(ISNUMBER(SEARCH("E-SOCIAL",C855)),ISNUMBER(SEARCH("PSICOSOCIAL",C855))),"Título com eSocial/Psicossocial no nome",IF(O855="Receita recorrente","Tipo DRE recorrente","Extra sem palavra-chave específica"))))</f>
        <v/>
      </c>
      <c r="S855" s="92">
        <f>IFERROR(VLOOKUP($A855,'13. Mapa Títulos-Receita'!$A$8:$P$1000,4,FALSE),"")</f>
        <v/>
      </c>
      <c r="T855" s="92">
        <f>IFERROR(VLOOKUP($A855,'13. Mapa Títulos-Receita'!$A$8:$P$1000,5,FALSE),"")</f>
        <v/>
      </c>
      <c r="U855" s="92">
        <f>IFERROR(VLOOKUP($A855,'13. Mapa Títulos-Receita'!$A$8:$P$1000,6,FALSE),"")</f>
        <v/>
      </c>
      <c r="V855" s="92">
        <f>IFERROR(VLOOKUP($A855,'13. Mapa Títulos-Receita'!$A$8:$P$1000,7,FALSE),"")</f>
        <v/>
      </c>
      <c r="W855" s="92">
        <f>IFERROR(VLOOKUP($A855,'13. Mapa Títulos-Receita'!$A$8:$P$1000,8,FALSE),"")</f>
        <v/>
      </c>
      <c r="X855" s="92">
        <f>IFERROR(VLOOKUP($A855,'13. Mapa Títulos-Receita'!$A$8:$P$1000,9,FALSE),"")</f>
        <v/>
      </c>
      <c r="Y855" s="92">
        <f>IFERROR(VLOOKUP($A855,'13. Mapa Títulos-Receita'!$A$8:$P$1000,10,FALSE),"")</f>
        <v/>
      </c>
      <c r="Z855" s="92">
        <f>IFERROR(VLOOKUP($A855,'13. Mapa Títulos-Receita'!$A$8:$P$1000,11,FALSE),"")</f>
        <v/>
      </c>
      <c r="AA855" s="92">
        <f>IFERROR(VLOOKUP($A855,'13. Mapa Títulos-Receita'!$A$8:$P$1000,12,FALSE),"")</f>
        <v/>
      </c>
      <c r="AB855" s="92">
        <f>IFERROR(VLOOKUP($A855,'13. Mapa Títulos-Receita'!$A$8:$P$1000,13,FALSE),"")</f>
        <v/>
      </c>
      <c r="AC855" s="92">
        <f>IFERROR(VLOOKUP($A855,'13. Mapa Títulos-Receita'!$A$8:$P$1000,14,FALSE),"")</f>
        <v/>
      </c>
      <c r="AD855" s="92">
        <f>IFERROR(VLOOKUP($A855,'13. Mapa Títulos-Receita'!$A$8:$P$1000,15,FALSE),"")</f>
        <v/>
      </c>
      <c r="AE855" s="92">
        <f>IFERROR(VLOOKUP($A855,'13. Mapa Títulos-Receita'!$A$8:$P$1000,16,FALSE),"")</f>
        <v/>
      </c>
    </row>
    <row r="856">
      <c r="A856" s="28">
        <f>IF(C856="","", "CR-"&amp;TEXT(ROW()-7,"000"))</f>
        <v/>
      </c>
      <c r="B856" s="28" t="n"/>
      <c r="C856" s="28" t="n"/>
      <c r="D856" s="111" t="n"/>
      <c r="E856" s="111" t="n"/>
      <c r="F856" s="111" t="n"/>
      <c r="G856" s="28" t="n"/>
      <c r="H856" s="45" t="n"/>
      <c r="I856" s="45" t="n"/>
      <c r="J856" s="28">
        <f>IF(H856="","",IF(I856&gt;=H856,"Recebido",IF($B$4&gt;E856,"Vencido","Aberto")))</f>
        <v/>
      </c>
      <c r="K856" s="4">
        <f>IF(J856="","",IF(OR(J856="Recebido",F856=""),MAX(0,F856-E856),MAX(0,$B$4-E856)))</f>
        <v/>
      </c>
      <c r="L856" s="4">
        <f>IF(K856="","",IF(K856=0,"Em dia",IF(K856&lt;=30,"1-30 dias",IF(K856&lt;=60,"31-60 dias",IF(K856&lt;=90,"61-90 dias","&gt;90 dias")))))</f>
        <v/>
      </c>
      <c r="M856" s="28" t="n"/>
      <c r="N856" s="104" t="inlineStr"/>
      <c r="O856" s="64" t="n"/>
      <c r="P856" s="64">
        <f>IF(C856="","",IF(ISNUMBER(SEARCH("PCMSO",C856)),"PCMSO",IF(OR(ISNUMBER(SEARCH("E-SOCIAL",C856)),ISNUMBER(SEARCH("PSICOSOCIAL",C856))),"eSocial / Psicossocial",IF(O856="Receita recorrente","Carteira recorrente","Projetos / Laudos / Avulsos"))))</f>
        <v/>
      </c>
      <c r="Q856" s="64">
        <f>IF(P856="","",IF(P856="Carteira recorrente","Operação recorrente",IF(P856="PCMSO","Projetos PCMSO",IF(P856="eSocial / Psicossocial","Projetos eSocial/Psicossocial","Projetos / Laudos / Avulsos"))))</f>
        <v/>
      </c>
      <c r="R856" s="64">
        <f>IF(C856="","",IF(ISNUMBER(SEARCH("PCMSO",C856)),"Título com PCMSO no nome",IF(OR(ISNUMBER(SEARCH("E-SOCIAL",C856)),ISNUMBER(SEARCH("PSICOSOCIAL",C856))),"Título com eSocial/Psicossocial no nome",IF(O856="Receita recorrente","Tipo DRE recorrente","Extra sem palavra-chave específica"))))</f>
        <v/>
      </c>
      <c r="S856" s="92">
        <f>IFERROR(VLOOKUP($A856,'13. Mapa Títulos-Receita'!$A$8:$P$1000,4,FALSE),"")</f>
        <v/>
      </c>
      <c r="T856" s="92">
        <f>IFERROR(VLOOKUP($A856,'13. Mapa Títulos-Receita'!$A$8:$P$1000,5,FALSE),"")</f>
        <v/>
      </c>
      <c r="U856" s="92">
        <f>IFERROR(VLOOKUP($A856,'13. Mapa Títulos-Receita'!$A$8:$P$1000,6,FALSE),"")</f>
        <v/>
      </c>
      <c r="V856" s="92">
        <f>IFERROR(VLOOKUP($A856,'13. Mapa Títulos-Receita'!$A$8:$P$1000,7,FALSE),"")</f>
        <v/>
      </c>
      <c r="W856" s="92">
        <f>IFERROR(VLOOKUP($A856,'13. Mapa Títulos-Receita'!$A$8:$P$1000,8,FALSE),"")</f>
        <v/>
      </c>
      <c r="X856" s="92">
        <f>IFERROR(VLOOKUP($A856,'13. Mapa Títulos-Receita'!$A$8:$P$1000,9,FALSE),"")</f>
        <v/>
      </c>
      <c r="Y856" s="92">
        <f>IFERROR(VLOOKUP($A856,'13. Mapa Títulos-Receita'!$A$8:$P$1000,10,FALSE),"")</f>
        <v/>
      </c>
      <c r="Z856" s="92">
        <f>IFERROR(VLOOKUP($A856,'13. Mapa Títulos-Receita'!$A$8:$P$1000,11,FALSE),"")</f>
        <v/>
      </c>
      <c r="AA856" s="92">
        <f>IFERROR(VLOOKUP($A856,'13. Mapa Títulos-Receita'!$A$8:$P$1000,12,FALSE),"")</f>
        <v/>
      </c>
      <c r="AB856" s="92">
        <f>IFERROR(VLOOKUP($A856,'13. Mapa Títulos-Receita'!$A$8:$P$1000,13,FALSE),"")</f>
        <v/>
      </c>
      <c r="AC856" s="92">
        <f>IFERROR(VLOOKUP($A856,'13. Mapa Títulos-Receita'!$A$8:$P$1000,14,FALSE),"")</f>
        <v/>
      </c>
      <c r="AD856" s="92">
        <f>IFERROR(VLOOKUP($A856,'13. Mapa Títulos-Receita'!$A$8:$P$1000,15,FALSE),"")</f>
        <v/>
      </c>
      <c r="AE856" s="92">
        <f>IFERROR(VLOOKUP($A856,'13. Mapa Títulos-Receita'!$A$8:$P$1000,16,FALSE),"")</f>
        <v/>
      </c>
    </row>
    <row r="857">
      <c r="A857" s="28">
        <f>IF(C857="","", "CR-"&amp;TEXT(ROW()-7,"000"))</f>
        <v/>
      </c>
      <c r="B857" s="28" t="n"/>
      <c r="C857" s="28" t="n"/>
      <c r="D857" s="111" t="n"/>
      <c r="E857" s="111" t="n"/>
      <c r="F857" s="111" t="n"/>
      <c r="G857" s="28" t="n"/>
      <c r="H857" s="45" t="n"/>
      <c r="I857" s="45" t="n"/>
      <c r="J857" s="28">
        <f>IF(H857="","",IF(I857&gt;=H857,"Recebido",IF($B$4&gt;E857,"Vencido","Aberto")))</f>
        <v/>
      </c>
      <c r="K857" s="4">
        <f>IF(J857="","",IF(OR(J857="Recebido",F857=""),MAX(0,F857-E857),MAX(0,$B$4-E857)))</f>
        <v/>
      </c>
      <c r="L857" s="4">
        <f>IF(K857="","",IF(K857=0,"Em dia",IF(K857&lt;=30,"1-30 dias",IF(K857&lt;=60,"31-60 dias",IF(K857&lt;=90,"61-90 dias","&gt;90 dias")))))</f>
        <v/>
      </c>
      <c r="M857" s="28" t="n"/>
      <c r="N857" s="104" t="inlineStr"/>
      <c r="O857" s="64" t="n"/>
      <c r="P857" s="64">
        <f>IF(C857="","",IF(ISNUMBER(SEARCH("PCMSO",C857)),"PCMSO",IF(OR(ISNUMBER(SEARCH("E-SOCIAL",C857)),ISNUMBER(SEARCH("PSICOSOCIAL",C857))),"eSocial / Psicossocial",IF(O857="Receita recorrente","Carteira recorrente","Projetos / Laudos / Avulsos"))))</f>
        <v/>
      </c>
      <c r="Q857" s="64">
        <f>IF(P857="","",IF(P857="Carteira recorrente","Operação recorrente",IF(P857="PCMSO","Projetos PCMSO",IF(P857="eSocial / Psicossocial","Projetos eSocial/Psicossocial","Projetos / Laudos / Avulsos"))))</f>
        <v/>
      </c>
      <c r="R857" s="64">
        <f>IF(C857="","",IF(ISNUMBER(SEARCH("PCMSO",C857)),"Título com PCMSO no nome",IF(OR(ISNUMBER(SEARCH("E-SOCIAL",C857)),ISNUMBER(SEARCH("PSICOSOCIAL",C857))),"Título com eSocial/Psicossocial no nome",IF(O857="Receita recorrente","Tipo DRE recorrente","Extra sem palavra-chave específica"))))</f>
        <v/>
      </c>
      <c r="S857" s="92">
        <f>IFERROR(VLOOKUP($A857,'13. Mapa Títulos-Receita'!$A$8:$P$1000,4,FALSE),"")</f>
        <v/>
      </c>
      <c r="T857" s="92">
        <f>IFERROR(VLOOKUP($A857,'13. Mapa Títulos-Receita'!$A$8:$P$1000,5,FALSE),"")</f>
        <v/>
      </c>
      <c r="U857" s="92">
        <f>IFERROR(VLOOKUP($A857,'13. Mapa Títulos-Receita'!$A$8:$P$1000,6,FALSE),"")</f>
        <v/>
      </c>
      <c r="V857" s="92">
        <f>IFERROR(VLOOKUP($A857,'13. Mapa Títulos-Receita'!$A$8:$P$1000,7,FALSE),"")</f>
        <v/>
      </c>
      <c r="W857" s="92">
        <f>IFERROR(VLOOKUP($A857,'13. Mapa Títulos-Receita'!$A$8:$P$1000,8,FALSE),"")</f>
        <v/>
      </c>
      <c r="X857" s="92">
        <f>IFERROR(VLOOKUP($A857,'13. Mapa Títulos-Receita'!$A$8:$P$1000,9,FALSE),"")</f>
        <v/>
      </c>
      <c r="Y857" s="92">
        <f>IFERROR(VLOOKUP($A857,'13. Mapa Títulos-Receita'!$A$8:$P$1000,10,FALSE),"")</f>
        <v/>
      </c>
      <c r="Z857" s="92">
        <f>IFERROR(VLOOKUP($A857,'13. Mapa Títulos-Receita'!$A$8:$P$1000,11,FALSE),"")</f>
        <v/>
      </c>
      <c r="AA857" s="92">
        <f>IFERROR(VLOOKUP($A857,'13. Mapa Títulos-Receita'!$A$8:$P$1000,12,FALSE),"")</f>
        <v/>
      </c>
      <c r="AB857" s="92">
        <f>IFERROR(VLOOKUP($A857,'13. Mapa Títulos-Receita'!$A$8:$P$1000,13,FALSE),"")</f>
        <v/>
      </c>
      <c r="AC857" s="92">
        <f>IFERROR(VLOOKUP($A857,'13. Mapa Títulos-Receita'!$A$8:$P$1000,14,FALSE),"")</f>
        <v/>
      </c>
      <c r="AD857" s="92">
        <f>IFERROR(VLOOKUP($A857,'13. Mapa Títulos-Receita'!$A$8:$P$1000,15,FALSE),"")</f>
        <v/>
      </c>
      <c r="AE857" s="92">
        <f>IFERROR(VLOOKUP($A857,'13. Mapa Títulos-Receita'!$A$8:$P$1000,16,FALSE),"")</f>
        <v/>
      </c>
    </row>
    <row r="858">
      <c r="A858" s="28">
        <f>IF(C858="","", "CR-"&amp;TEXT(ROW()-7,"000"))</f>
        <v/>
      </c>
      <c r="B858" s="28" t="n"/>
      <c r="C858" s="28" t="n"/>
      <c r="D858" s="111" t="n"/>
      <c r="E858" s="111" t="n"/>
      <c r="F858" s="111" t="n"/>
      <c r="G858" s="28" t="n"/>
      <c r="H858" s="45" t="n"/>
      <c r="I858" s="45" t="n"/>
      <c r="J858" s="28">
        <f>IF(H858="","",IF(I858&gt;=H858,"Recebido",IF($B$4&gt;E858,"Vencido","Aberto")))</f>
        <v/>
      </c>
      <c r="K858" s="4">
        <f>IF(J858="","",IF(OR(J858="Recebido",F858=""),MAX(0,F858-E858),MAX(0,$B$4-E858)))</f>
        <v/>
      </c>
      <c r="L858" s="4">
        <f>IF(K858="","",IF(K858=0,"Em dia",IF(K858&lt;=30,"1-30 dias",IF(K858&lt;=60,"31-60 dias",IF(K858&lt;=90,"61-90 dias","&gt;90 dias")))))</f>
        <v/>
      </c>
      <c r="M858" s="28" t="n"/>
      <c r="N858" s="104" t="inlineStr"/>
      <c r="O858" s="64" t="n"/>
      <c r="P858" s="64">
        <f>IF(C858="","",IF(ISNUMBER(SEARCH("PCMSO",C858)),"PCMSO",IF(OR(ISNUMBER(SEARCH("E-SOCIAL",C858)),ISNUMBER(SEARCH("PSICOSOCIAL",C858))),"eSocial / Psicossocial",IF(O858="Receita recorrente","Carteira recorrente","Projetos / Laudos / Avulsos"))))</f>
        <v/>
      </c>
      <c r="Q858" s="64">
        <f>IF(P858="","",IF(P858="Carteira recorrente","Operação recorrente",IF(P858="PCMSO","Projetos PCMSO",IF(P858="eSocial / Psicossocial","Projetos eSocial/Psicossocial","Projetos / Laudos / Avulsos"))))</f>
        <v/>
      </c>
      <c r="R858" s="64">
        <f>IF(C858="","",IF(ISNUMBER(SEARCH("PCMSO",C858)),"Título com PCMSO no nome",IF(OR(ISNUMBER(SEARCH("E-SOCIAL",C858)),ISNUMBER(SEARCH("PSICOSOCIAL",C858))),"Título com eSocial/Psicossocial no nome",IF(O858="Receita recorrente","Tipo DRE recorrente","Extra sem palavra-chave específica"))))</f>
        <v/>
      </c>
      <c r="S858" s="92">
        <f>IFERROR(VLOOKUP($A858,'13. Mapa Títulos-Receita'!$A$8:$P$1000,4,FALSE),"")</f>
        <v/>
      </c>
      <c r="T858" s="92">
        <f>IFERROR(VLOOKUP($A858,'13. Mapa Títulos-Receita'!$A$8:$P$1000,5,FALSE),"")</f>
        <v/>
      </c>
      <c r="U858" s="92">
        <f>IFERROR(VLOOKUP($A858,'13. Mapa Títulos-Receita'!$A$8:$P$1000,6,FALSE),"")</f>
        <v/>
      </c>
      <c r="V858" s="92">
        <f>IFERROR(VLOOKUP($A858,'13. Mapa Títulos-Receita'!$A$8:$P$1000,7,FALSE),"")</f>
        <v/>
      </c>
      <c r="W858" s="92">
        <f>IFERROR(VLOOKUP($A858,'13. Mapa Títulos-Receita'!$A$8:$P$1000,8,FALSE),"")</f>
        <v/>
      </c>
      <c r="X858" s="92">
        <f>IFERROR(VLOOKUP($A858,'13. Mapa Títulos-Receita'!$A$8:$P$1000,9,FALSE),"")</f>
        <v/>
      </c>
      <c r="Y858" s="92">
        <f>IFERROR(VLOOKUP($A858,'13. Mapa Títulos-Receita'!$A$8:$P$1000,10,FALSE),"")</f>
        <v/>
      </c>
      <c r="Z858" s="92">
        <f>IFERROR(VLOOKUP($A858,'13. Mapa Títulos-Receita'!$A$8:$P$1000,11,FALSE),"")</f>
        <v/>
      </c>
      <c r="AA858" s="92">
        <f>IFERROR(VLOOKUP($A858,'13. Mapa Títulos-Receita'!$A$8:$P$1000,12,FALSE),"")</f>
        <v/>
      </c>
      <c r="AB858" s="92">
        <f>IFERROR(VLOOKUP($A858,'13. Mapa Títulos-Receita'!$A$8:$P$1000,13,FALSE),"")</f>
        <v/>
      </c>
      <c r="AC858" s="92">
        <f>IFERROR(VLOOKUP($A858,'13. Mapa Títulos-Receita'!$A$8:$P$1000,14,FALSE),"")</f>
        <v/>
      </c>
      <c r="AD858" s="92">
        <f>IFERROR(VLOOKUP($A858,'13. Mapa Títulos-Receita'!$A$8:$P$1000,15,FALSE),"")</f>
        <v/>
      </c>
      <c r="AE858" s="92">
        <f>IFERROR(VLOOKUP($A858,'13. Mapa Títulos-Receita'!$A$8:$P$1000,16,FALSE),"")</f>
        <v/>
      </c>
    </row>
    <row r="859">
      <c r="A859" s="28">
        <f>IF(C859="","", "CR-"&amp;TEXT(ROW()-7,"000"))</f>
        <v/>
      </c>
      <c r="B859" s="28" t="n"/>
      <c r="C859" s="28" t="n"/>
      <c r="D859" s="111" t="n"/>
      <c r="E859" s="111" t="n"/>
      <c r="F859" s="111" t="n"/>
      <c r="G859" s="28" t="n"/>
      <c r="H859" s="45" t="n"/>
      <c r="I859" s="45" t="n"/>
      <c r="J859" s="28">
        <f>IF(H859="","",IF(I859&gt;=H859,"Recebido",IF($B$4&gt;E859,"Vencido","Aberto")))</f>
        <v/>
      </c>
      <c r="K859" s="4">
        <f>IF(J859="","",IF(OR(J859="Recebido",F859=""),MAX(0,F859-E859),MAX(0,$B$4-E859)))</f>
        <v/>
      </c>
      <c r="L859" s="4">
        <f>IF(K859="","",IF(K859=0,"Em dia",IF(K859&lt;=30,"1-30 dias",IF(K859&lt;=60,"31-60 dias",IF(K859&lt;=90,"61-90 dias","&gt;90 dias")))))</f>
        <v/>
      </c>
      <c r="M859" s="28" t="n"/>
      <c r="N859" s="104" t="inlineStr"/>
      <c r="O859" s="64" t="n"/>
      <c r="P859" s="64">
        <f>IF(C859="","",IF(ISNUMBER(SEARCH("PCMSO",C859)),"PCMSO",IF(OR(ISNUMBER(SEARCH("E-SOCIAL",C859)),ISNUMBER(SEARCH("PSICOSOCIAL",C859))),"eSocial / Psicossocial",IF(O859="Receita recorrente","Carteira recorrente","Projetos / Laudos / Avulsos"))))</f>
        <v/>
      </c>
      <c r="Q859" s="64">
        <f>IF(P859="","",IF(P859="Carteira recorrente","Operação recorrente",IF(P859="PCMSO","Projetos PCMSO",IF(P859="eSocial / Psicossocial","Projetos eSocial/Psicossocial","Projetos / Laudos / Avulsos"))))</f>
        <v/>
      </c>
      <c r="R859" s="64">
        <f>IF(C859="","",IF(ISNUMBER(SEARCH("PCMSO",C859)),"Título com PCMSO no nome",IF(OR(ISNUMBER(SEARCH("E-SOCIAL",C859)),ISNUMBER(SEARCH("PSICOSOCIAL",C859))),"Título com eSocial/Psicossocial no nome",IF(O859="Receita recorrente","Tipo DRE recorrente","Extra sem palavra-chave específica"))))</f>
        <v/>
      </c>
      <c r="S859" s="92">
        <f>IFERROR(VLOOKUP($A859,'13. Mapa Títulos-Receita'!$A$8:$P$1000,4,FALSE),"")</f>
        <v/>
      </c>
      <c r="T859" s="92">
        <f>IFERROR(VLOOKUP($A859,'13. Mapa Títulos-Receita'!$A$8:$P$1000,5,FALSE),"")</f>
        <v/>
      </c>
      <c r="U859" s="92">
        <f>IFERROR(VLOOKUP($A859,'13. Mapa Títulos-Receita'!$A$8:$P$1000,6,FALSE),"")</f>
        <v/>
      </c>
      <c r="V859" s="92">
        <f>IFERROR(VLOOKUP($A859,'13. Mapa Títulos-Receita'!$A$8:$P$1000,7,FALSE),"")</f>
        <v/>
      </c>
      <c r="W859" s="92">
        <f>IFERROR(VLOOKUP($A859,'13. Mapa Títulos-Receita'!$A$8:$P$1000,8,FALSE),"")</f>
        <v/>
      </c>
      <c r="X859" s="92">
        <f>IFERROR(VLOOKUP($A859,'13. Mapa Títulos-Receita'!$A$8:$P$1000,9,FALSE),"")</f>
        <v/>
      </c>
      <c r="Y859" s="92">
        <f>IFERROR(VLOOKUP($A859,'13. Mapa Títulos-Receita'!$A$8:$P$1000,10,FALSE),"")</f>
        <v/>
      </c>
      <c r="Z859" s="92">
        <f>IFERROR(VLOOKUP($A859,'13. Mapa Títulos-Receita'!$A$8:$P$1000,11,FALSE),"")</f>
        <v/>
      </c>
      <c r="AA859" s="92">
        <f>IFERROR(VLOOKUP($A859,'13. Mapa Títulos-Receita'!$A$8:$P$1000,12,FALSE),"")</f>
        <v/>
      </c>
      <c r="AB859" s="92">
        <f>IFERROR(VLOOKUP($A859,'13. Mapa Títulos-Receita'!$A$8:$P$1000,13,FALSE),"")</f>
        <v/>
      </c>
      <c r="AC859" s="92">
        <f>IFERROR(VLOOKUP($A859,'13. Mapa Títulos-Receita'!$A$8:$P$1000,14,FALSE),"")</f>
        <v/>
      </c>
      <c r="AD859" s="92">
        <f>IFERROR(VLOOKUP($A859,'13. Mapa Títulos-Receita'!$A$8:$P$1000,15,FALSE),"")</f>
        <v/>
      </c>
      <c r="AE859" s="92">
        <f>IFERROR(VLOOKUP($A859,'13. Mapa Títulos-Receita'!$A$8:$P$1000,16,FALSE),"")</f>
        <v/>
      </c>
    </row>
    <row r="860">
      <c r="A860" s="28">
        <f>IF(C860="","", "CR-"&amp;TEXT(ROW()-7,"000"))</f>
        <v/>
      </c>
      <c r="B860" s="28" t="n"/>
      <c r="C860" s="28" t="n"/>
      <c r="D860" s="111" t="n"/>
      <c r="E860" s="111" t="n"/>
      <c r="F860" s="111" t="n"/>
      <c r="G860" s="28" t="n"/>
      <c r="H860" s="45" t="n"/>
      <c r="I860" s="45" t="n"/>
      <c r="J860" s="28">
        <f>IF(H860="","",IF(I860&gt;=H860,"Recebido",IF($B$4&gt;E860,"Vencido","Aberto")))</f>
        <v/>
      </c>
      <c r="K860" s="4">
        <f>IF(J860="","",IF(OR(J860="Recebido",F860=""),MAX(0,F860-E860),MAX(0,$B$4-E860)))</f>
        <v/>
      </c>
      <c r="L860" s="4">
        <f>IF(K860="","",IF(K860=0,"Em dia",IF(K860&lt;=30,"1-30 dias",IF(K860&lt;=60,"31-60 dias",IF(K860&lt;=90,"61-90 dias","&gt;90 dias")))))</f>
        <v/>
      </c>
      <c r="M860" s="28" t="n"/>
      <c r="N860" s="104" t="inlineStr"/>
      <c r="O860" s="64" t="n"/>
      <c r="P860" s="64">
        <f>IF(C860="","",IF(ISNUMBER(SEARCH("PCMSO",C860)),"PCMSO",IF(OR(ISNUMBER(SEARCH("E-SOCIAL",C860)),ISNUMBER(SEARCH("PSICOSOCIAL",C860))),"eSocial / Psicossocial",IF(O860="Receita recorrente","Carteira recorrente","Projetos / Laudos / Avulsos"))))</f>
        <v/>
      </c>
      <c r="Q860" s="64">
        <f>IF(P860="","",IF(P860="Carteira recorrente","Operação recorrente",IF(P860="PCMSO","Projetos PCMSO",IF(P860="eSocial / Psicossocial","Projetos eSocial/Psicossocial","Projetos / Laudos / Avulsos"))))</f>
        <v/>
      </c>
      <c r="R860" s="64">
        <f>IF(C860="","",IF(ISNUMBER(SEARCH("PCMSO",C860)),"Título com PCMSO no nome",IF(OR(ISNUMBER(SEARCH("E-SOCIAL",C860)),ISNUMBER(SEARCH("PSICOSOCIAL",C860))),"Título com eSocial/Psicossocial no nome",IF(O860="Receita recorrente","Tipo DRE recorrente","Extra sem palavra-chave específica"))))</f>
        <v/>
      </c>
      <c r="S860" s="92">
        <f>IFERROR(VLOOKUP($A860,'13. Mapa Títulos-Receita'!$A$8:$P$1000,4,FALSE),"")</f>
        <v/>
      </c>
      <c r="T860" s="92">
        <f>IFERROR(VLOOKUP($A860,'13. Mapa Títulos-Receita'!$A$8:$P$1000,5,FALSE),"")</f>
        <v/>
      </c>
      <c r="U860" s="92">
        <f>IFERROR(VLOOKUP($A860,'13. Mapa Títulos-Receita'!$A$8:$P$1000,6,FALSE),"")</f>
        <v/>
      </c>
      <c r="V860" s="92">
        <f>IFERROR(VLOOKUP($A860,'13. Mapa Títulos-Receita'!$A$8:$P$1000,7,FALSE),"")</f>
        <v/>
      </c>
      <c r="W860" s="92">
        <f>IFERROR(VLOOKUP($A860,'13. Mapa Títulos-Receita'!$A$8:$P$1000,8,FALSE),"")</f>
        <v/>
      </c>
      <c r="X860" s="92">
        <f>IFERROR(VLOOKUP($A860,'13. Mapa Títulos-Receita'!$A$8:$P$1000,9,FALSE),"")</f>
        <v/>
      </c>
      <c r="Y860" s="92">
        <f>IFERROR(VLOOKUP($A860,'13. Mapa Títulos-Receita'!$A$8:$P$1000,10,FALSE),"")</f>
        <v/>
      </c>
      <c r="Z860" s="92">
        <f>IFERROR(VLOOKUP($A860,'13. Mapa Títulos-Receita'!$A$8:$P$1000,11,FALSE),"")</f>
        <v/>
      </c>
      <c r="AA860" s="92">
        <f>IFERROR(VLOOKUP($A860,'13. Mapa Títulos-Receita'!$A$8:$P$1000,12,FALSE),"")</f>
        <v/>
      </c>
      <c r="AB860" s="92">
        <f>IFERROR(VLOOKUP($A860,'13. Mapa Títulos-Receita'!$A$8:$P$1000,13,FALSE),"")</f>
        <v/>
      </c>
      <c r="AC860" s="92">
        <f>IFERROR(VLOOKUP($A860,'13. Mapa Títulos-Receita'!$A$8:$P$1000,14,FALSE),"")</f>
        <v/>
      </c>
      <c r="AD860" s="92">
        <f>IFERROR(VLOOKUP($A860,'13. Mapa Títulos-Receita'!$A$8:$P$1000,15,FALSE),"")</f>
        <v/>
      </c>
      <c r="AE860" s="92">
        <f>IFERROR(VLOOKUP($A860,'13. Mapa Títulos-Receita'!$A$8:$P$1000,16,FALSE),"")</f>
        <v/>
      </c>
    </row>
    <row r="861">
      <c r="A861" s="28">
        <f>IF(C861="","", "CR-"&amp;TEXT(ROW()-7,"000"))</f>
        <v/>
      </c>
      <c r="B861" s="28" t="n"/>
      <c r="C861" s="28" t="n"/>
      <c r="D861" s="111" t="n"/>
      <c r="E861" s="111" t="n"/>
      <c r="F861" s="111" t="n"/>
      <c r="G861" s="28" t="n"/>
      <c r="H861" s="45" t="n"/>
      <c r="I861" s="45" t="n"/>
      <c r="J861" s="28">
        <f>IF(H861="","",IF(I861&gt;=H861,"Recebido",IF($B$4&gt;E861,"Vencido","Aberto")))</f>
        <v/>
      </c>
      <c r="K861" s="4">
        <f>IF(J861="","",IF(OR(J861="Recebido",F861=""),MAX(0,F861-E861),MAX(0,$B$4-E861)))</f>
        <v/>
      </c>
      <c r="L861" s="4">
        <f>IF(K861="","",IF(K861=0,"Em dia",IF(K861&lt;=30,"1-30 dias",IF(K861&lt;=60,"31-60 dias",IF(K861&lt;=90,"61-90 dias","&gt;90 dias")))))</f>
        <v/>
      </c>
      <c r="M861" s="28" t="n"/>
      <c r="N861" s="104" t="inlineStr"/>
      <c r="O861" s="64" t="n"/>
      <c r="P861" s="64">
        <f>IF(C861="","",IF(ISNUMBER(SEARCH("PCMSO",C861)),"PCMSO",IF(OR(ISNUMBER(SEARCH("E-SOCIAL",C861)),ISNUMBER(SEARCH("PSICOSOCIAL",C861))),"eSocial / Psicossocial",IF(O861="Receita recorrente","Carteira recorrente","Projetos / Laudos / Avulsos"))))</f>
        <v/>
      </c>
      <c r="Q861" s="64">
        <f>IF(P861="","",IF(P861="Carteira recorrente","Operação recorrente",IF(P861="PCMSO","Projetos PCMSO",IF(P861="eSocial / Psicossocial","Projetos eSocial/Psicossocial","Projetos / Laudos / Avulsos"))))</f>
        <v/>
      </c>
      <c r="R861" s="64">
        <f>IF(C861="","",IF(ISNUMBER(SEARCH("PCMSO",C861)),"Título com PCMSO no nome",IF(OR(ISNUMBER(SEARCH("E-SOCIAL",C861)),ISNUMBER(SEARCH("PSICOSOCIAL",C861))),"Título com eSocial/Psicossocial no nome",IF(O861="Receita recorrente","Tipo DRE recorrente","Extra sem palavra-chave específica"))))</f>
        <v/>
      </c>
      <c r="S861" s="92">
        <f>IFERROR(VLOOKUP($A861,'13. Mapa Títulos-Receita'!$A$8:$P$1000,4,FALSE),"")</f>
        <v/>
      </c>
      <c r="T861" s="92">
        <f>IFERROR(VLOOKUP($A861,'13. Mapa Títulos-Receita'!$A$8:$P$1000,5,FALSE),"")</f>
        <v/>
      </c>
      <c r="U861" s="92">
        <f>IFERROR(VLOOKUP($A861,'13. Mapa Títulos-Receita'!$A$8:$P$1000,6,FALSE),"")</f>
        <v/>
      </c>
      <c r="V861" s="92">
        <f>IFERROR(VLOOKUP($A861,'13. Mapa Títulos-Receita'!$A$8:$P$1000,7,FALSE),"")</f>
        <v/>
      </c>
      <c r="W861" s="92">
        <f>IFERROR(VLOOKUP($A861,'13. Mapa Títulos-Receita'!$A$8:$P$1000,8,FALSE),"")</f>
        <v/>
      </c>
      <c r="X861" s="92">
        <f>IFERROR(VLOOKUP($A861,'13. Mapa Títulos-Receita'!$A$8:$P$1000,9,FALSE),"")</f>
        <v/>
      </c>
      <c r="Y861" s="92">
        <f>IFERROR(VLOOKUP($A861,'13. Mapa Títulos-Receita'!$A$8:$P$1000,10,FALSE),"")</f>
        <v/>
      </c>
      <c r="Z861" s="92">
        <f>IFERROR(VLOOKUP($A861,'13. Mapa Títulos-Receita'!$A$8:$P$1000,11,FALSE),"")</f>
        <v/>
      </c>
      <c r="AA861" s="92">
        <f>IFERROR(VLOOKUP($A861,'13. Mapa Títulos-Receita'!$A$8:$P$1000,12,FALSE),"")</f>
        <v/>
      </c>
      <c r="AB861" s="92">
        <f>IFERROR(VLOOKUP($A861,'13. Mapa Títulos-Receita'!$A$8:$P$1000,13,FALSE),"")</f>
        <v/>
      </c>
      <c r="AC861" s="92">
        <f>IFERROR(VLOOKUP($A861,'13. Mapa Títulos-Receita'!$A$8:$P$1000,14,FALSE),"")</f>
        <v/>
      </c>
      <c r="AD861" s="92">
        <f>IFERROR(VLOOKUP($A861,'13. Mapa Títulos-Receita'!$A$8:$P$1000,15,FALSE),"")</f>
        <v/>
      </c>
      <c r="AE861" s="92">
        <f>IFERROR(VLOOKUP($A861,'13. Mapa Títulos-Receita'!$A$8:$P$1000,16,FALSE),"")</f>
        <v/>
      </c>
    </row>
    <row r="862">
      <c r="A862" s="28">
        <f>IF(C862="","", "CR-"&amp;TEXT(ROW()-7,"000"))</f>
        <v/>
      </c>
      <c r="B862" s="28" t="n"/>
      <c r="C862" s="28" t="n"/>
      <c r="D862" s="111" t="n"/>
      <c r="E862" s="111" t="n"/>
      <c r="F862" s="111" t="n"/>
      <c r="G862" s="28" t="n"/>
      <c r="H862" s="45" t="n"/>
      <c r="I862" s="45" t="n"/>
      <c r="J862" s="28">
        <f>IF(H862="","",IF(I862&gt;=H862,"Recebido",IF($B$4&gt;E862,"Vencido","Aberto")))</f>
        <v/>
      </c>
      <c r="K862" s="4">
        <f>IF(J862="","",IF(OR(J862="Recebido",F862=""),MAX(0,F862-E862),MAX(0,$B$4-E862)))</f>
        <v/>
      </c>
      <c r="L862" s="4">
        <f>IF(K862="","",IF(K862=0,"Em dia",IF(K862&lt;=30,"1-30 dias",IF(K862&lt;=60,"31-60 dias",IF(K862&lt;=90,"61-90 dias","&gt;90 dias")))))</f>
        <v/>
      </c>
      <c r="M862" s="28" t="n"/>
      <c r="N862" s="104" t="inlineStr"/>
      <c r="O862" s="64" t="n"/>
      <c r="P862" s="64">
        <f>IF(C862="","",IF(ISNUMBER(SEARCH("PCMSO",C862)),"PCMSO",IF(OR(ISNUMBER(SEARCH("E-SOCIAL",C862)),ISNUMBER(SEARCH("PSICOSOCIAL",C862))),"eSocial / Psicossocial",IF(O862="Receita recorrente","Carteira recorrente","Projetos / Laudos / Avulsos"))))</f>
        <v/>
      </c>
      <c r="Q862" s="64">
        <f>IF(P862="","",IF(P862="Carteira recorrente","Operação recorrente",IF(P862="PCMSO","Projetos PCMSO",IF(P862="eSocial / Psicossocial","Projetos eSocial/Psicossocial","Projetos / Laudos / Avulsos"))))</f>
        <v/>
      </c>
      <c r="R862" s="64">
        <f>IF(C862="","",IF(ISNUMBER(SEARCH("PCMSO",C862)),"Título com PCMSO no nome",IF(OR(ISNUMBER(SEARCH("E-SOCIAL",C862)),ISNUMBER(SEARCH("PSICOSOCIAL",C862))),"Título com eSocial/Psicossocial no nome",IF(O862="Receita recorrente","Tipo DRE recorrente","Extra sem palavra-chave específica"))))</f>
        <v/>
      </c>
      <c r="S862" s="92">
        <f>IFERROR(VLOOKUP($A862,'13. Mapa Títulos-Receita'!$A$8:$P$1000,4,FALSE),"")</f>
        <v/>
      </c>
      <c r="T862" s="92">
        <f>IFERROR(VLOOKUP($A862,'13. Mapa Títulos-Receita'!$A$8:$P$1000,5,FALSE),"")</f>
        <v/>
      </c>
      <c r="U862" s="92">
        <f>IFERROR(VLOOKUP($A862,'13. Mapa Títulos-Receita'!$A$8:$P$1000,6,FALSE),"")</f>
        <v/>
      </c>
      <c r="V862" s="92">
        <f>IFERROR(VLOOKUP($A862,'13. Mapa Títulos-Receita'!$A$8:$P$1000,7,FALSE),"")</f>
        <v/>
      </c>
      <c r="W862" s="92">
        <f>IFERROR(VLOOKUP($A862,'13. Mapa Títulos-Receita'!$A$8:$P$1000,8,FALSE),"")</f>
        <v/>
      </c>
      <c r="X862" s="92">
        <f>IFERROR(VLOOKUP($A862,'13. Mapa Títulos-Receita'!$A$8:$P$1000,9,FALSE),"")</f>
        <v/>
      </c>
      <c r="Y862" s="92">
        <f>IFERROR(VLOOKUP($A862,'13. Mapa Títulos-Receita'!$A$8:$P$1000,10,FALSE),"")</f>
        <v/>
      </c>
      <c r="Z862" s="92">
        <f>IFERROR(VLOOKUP($A862,'13. Mapa Títulos-Receita'!$A$8:$P$1000,11,FALSE),"")</f>
        <v/>
      </c>
      <c r="AA862" s="92">
        <f>IFERROR(VLOOKUP($A862,'13. Mapa Títulos-Receita'!$A$8:$P$1000,12,FALSE),"")</f>
        <v/>
      </c>
      <c r="AB862" s="92">
        <f>IFERROR(VLOOKUP($A862,'13. Mapa Títulos-Receita'!$A$8:$P$1000,13,FALSE),"")</f>
        <v/>
      </c>
      <c r="AC862" s="92">
        <f>IFERROR(VLOOKUP($A862,'13. Mapa Títulos-Receita'!$A$8:$P$1000,14,FALSE),"")</f>
        <v/>
      </c>
      <c r="AD862" s="92">
        <f>IFERROR(VLOOKUP($A862,'13. Mapa Títulos-Receita'!$A$8:$P$1000,15,FALSE),"")</f>
        <v/>
      </c>
      <c r="AE862" s="92">
        <f>IFERROR(VLOOKUP($A862,'13. Mapa Títulos-Receita'!$A$8:$P$1000,16,FALSE),"")</f>
        <v/>
      </c>
    </row>
    <row r="863">
      <c r="A863" s="28">
        <f>IF(C863="","", "CR-"&amp;TEXT(ROW()-7,"000"))</f>
        <v/>
      </c>
      <c r="B863" s="28" t="n"/>
      <c r="C863" s="28" t="n"/>
      <c r="D863" s="111" t="n"/>
      <c r="E863" s="111" t="n"/>
      <c r="F863" s="111" t="n"/>
      <c r="G863" s="28" t="n"/>
      <c r="H863" s="45" t="n"/>
      <c r="I863" s="45" t="n"/>
      <c r="J863" s="28">
        <f>IF(H863="","",IF(I863&gt;=H863,"Recebido",IF($B$4&gt;E863,"Vencido","Aberto")))</f>
        <v/>
      </c>
      <c r="K863" s="4">
        <f>IF(J863="","",IF(OR(J863="Recebido",F863=""),MAX(0,F863-E863),MAX(0,$B$4-E863)))</f>
        <v/>
      </c>
      <c r="L863" s="4">
        <f>IF(K863="","",IF(K863=0,"Em dia",IF(K863&lt;=30,"1-30 dias",IF(K863&lt;=60,"31-60 dias",IF(K863&lt;=90,"61-90 dias","&gt;90 dias")))))</f>
        <v/>
      </c>
      <c r="M863" s="28" t="n"/>
      <c r="N863" s="104" t="inlineStr"/>
      <c r="O863" s="64" t="n"/>
      <c r="P863" s="64">
        <f>IF(C863="","",IF(ISNUMBER(SEARCH("PCMSO",C863)),"PCMSO",IF(OR(ISNUMBER(SEARCH("E-SOCIAL",C863)),ISNUMBER(SEARCH("PSICOSOCIAL",C863))),"eSocial / Psicossocial",IF(O863="Receita recorrente","Carteira recorrente","Projetos / Laudos / Avulsos"))))</f>
        <v/>
      </c>
      <c r="Q863" s="64">
        <f>IF(P863="","",IF(P863="Carteira recorrente","Operação recorrente",IF(P863="PCMSO","Projetos PCMSO",IF(P863="eSocial / Psicossocial","Projetos eSocial/Psicossocial","Projetos / Laudos / Avulsos"))))</f>
        <v/>
      </c>
      <c r="R863" s="64">
        <f>IF(C863="","",IF(ISNUMBER(SEARCH("PCMSO",C863)),"Título com PCMSO no nome",IF(OR(ISNUMBER(SEARCH("E-SOCIAL",C863)),ISNUMBER(SEARCH("PSICOSOCIAL",C863))),"Título com eSocial/Psicossocial no nome",IF(O863="Receita recorrente","Tipo DRE recorrente","Extra sem palavra-chave específica"))))</f>
        <v/>
      </c>
      <c r="S863" s="92">
        <f>IFERROR(VLOOKUP($A863,'13. Mapa Títulos-Receita'!$A$8:$P$1000,4,FALSE),"")</f>
        <v/>
      </c>
      <c r="T863" s="92">
        <f>IFERROR(VLOOKUP($A863,'13. Mapa Títulos-Receita'!$A$8:$P$1000,5,FALSE),"")</f>
        <v/>
      </c>
      <c r="U863" s="92">
        <f>IFERROR(VLOOKUP($A863,'13. Mapa Títulos-Receita'!$A$8:$P$1000,6,FALSE),"")</f>
        <v/>
      </c>
      <c r="V863" s="92">
        <f>IFERROR(VLOOKUP($A863,'13. Mapa Títulos-Receita'!$A$8:$P$1000,7,FALSE),"")</f>
        <v/>
      </c>
      <c r="W863" s="92">
        <f>IFERROR(VLOOKUP($A863,'13. Mapa Títulos-Receita'!$A$8:$P$1000,8,FALSE),"")</f>
        <v/>
      </c>
      <c r="X863" s="92">
        <f>IFERROR(VLOOKUP($A863,'13. Mapa Títulos-Receita'!$A$8:$P$1000,9,FALSE),"")</f>
        <v/>
      </c>
      <c r="Y863" s="92">
        <f>IFERROR(VLOOKUP($A863,'13. Mapa Títulos-Receita'!$A$8:$P$1000,10,FALSE),"")</f>
        <v/>
      </c>
      <c r="Z863" s="92">
        <f>IFERROR(VLOOKUP($A863,'13. Mapa Títulos-Receita'!$A$8:$P$1000,11,FALSE),"")</f>
        <v/>
      </c>
      <c r="AA863" s="92">
        <f>IFERROR(VLOOKUP($A863,'13. Mapa Títulos-Receita'!$A$8:$P$1000,12,FALSE),"")</f>
        <v/>
      </c>
      <c r="AB863" s="92">
        <f>IFERROR(VLOOKUP($A863,'13. Mapa Títulos-Receita'!$A$8:$P$1000,13,FALSE),"")</f>
        <v/>
      </c>
      <c r="AC863" s="92">
        <f>IFERROR(VLOOKUP($A863,'13. Mapa Títulos-Receita'!$A$8:$P$1000,14,FALSE),"")</f>
        <v/>
      </c>
      <c r="AD863" s="92">
        <f>IFERROR(VLOOKUP($A863,'13. Mapa Títulos-Receita'!$A$8:$P$1000,15,FALSE),"")</f>
        <v/>
      </c>
      <c r="AE863" s="92">
        <f>IFERROR(VLOOKUP($A863,'13. Mapa Títulos-Receita'!$A$8:$P$1000,16,FALSE),"")</f>
        <v/>
      </c>
    </row>
    <row r="864">
      <c r="A864" s="28">
        <f>IF(C864="","", "CR-"&amp;TEXT(ROW()-7,"000"))</f>
        <v/>
      </c>
      <c r="B864" s="28" t="n"/>
      <c r="C864" s="28" t="n"/>
      <c r="D864" s="111" t="n"/>
      <c r="E864" s="111" t="n"/>
      <c r="F864" s="111" t="n"/>
      <c r="G864" s="28" t="n"/>
      <c r="H864" s="45" t="n"/>
      <c r="I864" s="45" t="n"/>
      <c r="J864" s="28">
        <f>IF(H864="","",IF(I864&gt;=H864,"Recebido",IF($B$4&gt;E864,"Vencido","Aberto")))</f>
        <v/>
      </c>
      <c r="K864" s="4">
        <f>IF(J864="","",IF(OR(J864="Recebido",F864=""),MAX(0,F864-E864),MAX(0,$B$4-E864)))</f>
        <v/>
      </c>
      <c r="L864" s="4">
        <f>IF(K864="","",IF(K864=0,"Em dia",IF(K864&lt;=30,"1-30 dias",IF(K864&lt;=60,"31-60 dias",IF(K864&lt;=90,"61-90 dias","&gt;90 dias")))))</f>
        <v/>
      </c>
      <c r="M864" s="28" t="n"/>
      <c r="N864" s="104" t="inlineStr"/>
      <c r="O864" s="64" t="n"/>
      <c r="P864" s="64">
        <f>IF(C864="","",IF(ISNUMBER(SEARCH("PCMSO",C864)),"PCMSO",IF(OR(ISNUMBER(SEARCH("E-SOCIAL",C864)),ISNUMBER(SEARCH("PSICOSOCIAL",C864))),"eSocial / Psicossocial",IF(O864="Receita recorrente","Carteira recorrente","Projetos / Laudos / Avulsos"))))</f>
        <v/>
      </c>
      <c r="Q864" s="64">
        <f>IF(P864="","",IF(P864="Carteira recorrente","Operação recorrente",IF(P864="PCMSO","Projetos PCMSO",IF(P864="eSocial / Psicossocial","Projetos eSocial/Psicossocial","Projetos / Laudos / Avulsos"))))</f>
        <v/>
      </c>
      <c r="R864" s="64">
        <f>IF(C864="","",IF(ISNUMBER(SEARCH("PCMSO",C864)),"Título com PCMSO no nome",IF(OR(ISNUMBER(SEARCH("E-SOCIAL",C864)),ISNUMBER(SEARCH("PSICOSOCIAL",C864))),"Título com eSocial/Psicossocial no nome",IF(O864="Receita recorrente","Tipo DRE recorrente","Extra sem palavra-chave específica"))))</f>
        <v/>
      </c>
      <c r="S864" s="92">
        <f>IFERROR(VLOOKUP($A864,'13. Mapa Títulos-Receita'!$A$8:$P$1000,4,FALSE),"")</f>
        <v/>
      </c>
      <c r="T864" s="92">
        <f>IFERROR(VLOOKUP($A864,'13. Mapa Títulos-Receita'!$A$8:$P$1000,5,FALSE),"")</f>
        <v/>
      </c>
      <c r="U864" s="92">
        <f>IFERROR(VLOOKUP($A864,'13. Mapa Títulos-Receita'!$A$8:$P$1000,6,FALSE),"")</f>
        <v/>
      </c>
      <c r="V864" s="92">
        <f>IFERROR(VLOOKUP($A864,'13. Mapa Títulos-Receita'!$A$8:$P$1000,7,FALSE),"")</f>
        <v/>
      </c>
      <c r="W864" s="92">
        <f>IFERROR(VLOOKUP($A864,'13. Mapa Títulos-Receita'!$A$8:$P$1000,8,FALSE),"")</f>
        <v/>
      </c>
      <c r="X864" s="92">
        <f>IFERROR(VLOOKUP($A864,'13. Mapa Títulos-Receita'!$A$8:$P$1000,9,FALSE),"")</f>
        <v/>
      </c>
      <c r="Y864" s="92">
        <f>IFERROR(VLOOKUP($A864,'13. Mapa Títulos-Receita'!$A$8:$P$1000,10,FALSE),"")</f>
        <v/>
      </c>
      <c r="Z864" s="92">
        <f>IFERROR(VLOOKUP($A864,'13. Mapa Títulos-Receita'!$A$8:$P$1000,11,FALSE),"")</f>
        <v/>
      </c>
      <c r="AA864" s="92">
        <f>IFERROR(VLOOKUP($A864,'13. Mapa Títulos-Receita'!$A$8:$P$1000,12,FALSE),"")</f>
        <v/>
      </c>
      <c r="AB864" s="92">
        <f>IFERROR(VLOOKUP($A864,'13. Mapa Títulos-Receita'!$A$8:$P$1000,13,FALSE),"")</f>
        <v/>
      </c>
      <c r="AC864" s="92">
        <f>IFERROR(VLOOKUP($A864,'13. Mapa Títulos-Receita'!$A$8:$P$1000,14,FALSE),"")</f>
        <v/>
      </c>
      <c r="AD864" s="92">
        <f>IFERROR(VLOOKUP($A864,'13. Mapa Títulos-Receita'!$A$8:$P$1000,15,FALSE),"")</f>
        <v/>
      </c>
      <c r="AE864" s="92">
        <f>IFERROR(VLOOKUP($A864,'13. Mapa Títulos-Receita'!$A$8:$P$1000,16,FALSE),"")</f>
        <v/>
      </c>
    </row>
    <row r="865">
      <c r="A865" s="28">
        <f>IF(C865="","", "CR-"&amp;TEXT(ROW()-7,"000"))</f>
        <v/>
      </c>
      <c r="B865" s="28" t="n"/>
      <c r="C865" s="28" t="n"/>
      <c r="D865" s="111" t="n"/>
      <c r="E865" s="111" t="n"/>
      <c r="F865" s="111" t="n"/>
      <c r="G865" s="28" t="n"/>
      <c r="H865" s="45" t="n"/>
      <c r="I865" s="45" t="n"/>
      <c r="J865" s="28">
        <f>IF(H865="","",IF(I865&gt;=H865,"Recebido",IF($B$4&gt;E865,"Vencido","Aberto")))</f>
        <v/>
      </c>
      <c r="K865" s="4">
        <f>IF(J865="","",IF(OR(J865="Recebido",F865=""),MAX(0,F865-E865),MAX(0,$B$4-E865)))</f>
        <v/>
      </c>
      <c r="L865" s="4">
        <f>IF(K865="","",IF(K865=0,"Em dia",IF(K865&lt;=30,"1-30 dias",IF(K865&lt;=60,"31-60 dias",IF(K865&lt;=90,"61-90 dias","&gt;90 dias")))))</f>
        <v/>
      </c>
      <c r="M865" s="28" t="n"/>
      <c r="N865" s="104" t="inlineStr"/>
      <c r="O865" s="64" t="n"/>
      <c r="P865" s="64">
        <f>IF(C865="","",IF(ISNUMBER(SEARCH("PCMSO",C865)),"PCMSO",IF(OR(ISNUMBER(SEARCH("E-SOCIAL",C865)),ISNUMBER(SEARCH("PSICOSOCIAL",C865))),"eSocial / Psicossocial",IF(O865="Receita recorrente","Carteira recorrente","Projetos / Laudos / Avulsos"))))</f>
        <v/>
      </c>
      <c r="Q865" s="64">
        <f>IF(P865="","",IF(P865="Carteira recorrente","Operação recorrente",IF(P865="PCMSO","Projetos PCMSO",IF(P865="eSocial / Psicossocial","Projetos eSocial/Psicossocial","Projetos / Laudos / Avulsos"))))</f>
        <v/>
      </c>
      <c r="R865" s="64">
        <f>IF(C865="","",IF(ISNUMBER(SEARCH("PCMSO",C865)),"Título com PCMSO no nome",IF(OR(ISNUMBER(SEARCH("E-SOCIAL",C865)),ISNUMBER(SEARCH("PSICOSOCIAL",C865))),"Título com eSocial/Psicossocial no nome",IF(O865="Receita recorrente","Tipo DRE recorrente","Extra sem palavra-chave específica"))))</f>
        <v/>
      </c>
      <c r="S865" s="92">
        <f>IFERROR(VLOOKUP($A865,'13. Mapa Títulos-Receita'!$A$8:$P$1000,4,FALSE),"")</f>
        <v/>
      </c>
      <c r="T865" s="92">
        <f>IFERROR(VLOOKUP($A865,'13. Mapa Títulos-Receita'!$A$8:$P$1000,5,FALSE),"")</f>
        <v/>
      </c>
      <c r="U865" s="92">
        <f>IFERROR(VLOOKUP($A865,'13. Mapa Títulos-Receita'!$A$8:$P$1000,6,FALSE),"")</f>
        <v/>
      </c>
      <c r="V865" s="92">
        <f>IFERROR(VLOOKUP($A865,'13. Mapa Títulos-Receita'!$A$8:$P$1000,7,FALSE),"")</f>
        <v/>
      </c>
      <c r="W865" s="92">
        <f>IFERROR(VLOOKUP($A865,'13. Mapa Títulos-Receita'!$A$8:$P$1000,8,FALSE),"")</f>
        <v/>
      </c>
      <c r="X865" s="92">
        <f>IFERROR(VLOOKUP($A865,'13. Mapa Títulos-Receita'!$A$8:$P$1000,9,FALSE),"")</f>
        <v/>
      </c>
      <c r="Y865" s="92">
        <f>IFERROR(VLOOKUP($A865,'13. Mapa Títulos-Receita'!$A$8:$P$1000,10,FALSE),"")</f>
        <v/>
      </c>
      <c r="Z865" s="92">
        <f>IFERROR(VLOOKUP($A865,'13. Mapa Títulos-Receita'!$A$8:$P$1000,11,FALSE),"")</f>
        <v/>
      </c>
      <c r="AA865" s="92">
        <f>IFERROR(VLOOKUP($A865,'13. Mapa Títulos-Receita'!$A$8:$P$1000,12,FALSE),"")</f>
        <v/>
      </c>
      <c r="AB865" s="92">
        <f>IFERROR(VLOOKUP($A865,'13. Mapa Títulos-Receita'!$A$8:$P$1000,13,FALSE),"")</f>
        <v/>
      </c>
      <c r="AC865" s="92">
        <f>IFERROR(VLOOKUP($A865,'13. Mapa Títulos-Receita'!$A$8:$P$1000,14,FALSE),"")</f>
        <v/>
      </c>
      <c r="AD865" s="92">
        <f>IFERROR(VLOOKUP($A865,'13. Mapa Títulos-Receita'!$A$8:$P$1000,15,FALSE),"")</f>
        <v/>
      </c>
      <c r="AE865" s="92">
        <f>IFERROR(VLOOKUP($A865,'13. Mapa Títulos-Receita'!$A$8:$P$1000,16,FALSE),"")</f>
        <v/>
      </c>
    </row>
    <row r="866">
      <c r="A866" s="28">
        <f>IF(C866="","", "CR-"&amp;TEXT(ROW()-7,"000"))</f>
        <v/>
      </c>
      <c r="B866" s="28" t="n"/>
      <c r="C866" s="28" t="n"/>
      <c r="D866" s="111" t="n"/>
      <c r="E866" s="111" t="n"/>
      <c r="F866" s="111" t="n"/>
      <c r="G866" s="28" t="n"/>
      <c r="H866" s="45" t="n"/>
      <c r="I866" s="45" t="n"/>
      <c r="J866" s="28">
        <f>IF(H866="","",IF(I866&gt;=H866,"Recebido",IF($B$4&gt;E866,"Vencido","Aberto")))</f>
        <v/>
      </c>
      <c r="K866" s="4">
        <f>IF(J866="","",IF(OR(J866="Recebido",F866=""),MAX(0,F866-E866),MAX(0,$B$4-E866)))</f>
        <v/>
      </c>
      <c r="L866" s="4">
        <f>IF(K866="","",IF(K866=0,"Em dia",IF(K866&lt;=30,"1-30 dias",IF(K866&lt;=60,"31-60 dias",IF(K866&lt;=90,"61-90 dias","&gt;90 dias")))))</f>
        <v/>
      </c>
      <c r="M866" s="28" t="n"/>
      <c r="N866" s="104" t="inlineStr"/>
      <c r="O866" s="64" t="n"/>
      <c r="P866" s="64">
        <f>IF(C866="","",IF(ISNUMBER(SEARCH("PCMSO",C866)),"PCMSO",IF(OR(ISNUMBER(SEARCH("E-SOCIAL",C866)),ISNUMBER(SEARCH("PSICOSOCIAL",C866))),"eSocial / Psicossocial",IF(O866="Receita recorrente","Carteira recorrente","Projetos / Laudos / Avulsos"))))</f>
        <v/>
      </c>
      <c r="Q866" s="64">
        <f>IF(P866="","",IF(P866="Carteira recorrente","Operação recorrente",IF(P866="PCMSO","Projetos PCMSO",IF(P866="eSocial / Psicossocial","Projetos eSocial/Psicossocial","Projetos / Laudos / Avulsos"))))</f>
        <v/>
      </c>
      <c r="R866" s="64">
        <f>IF(C866="","",IF(ISNUMBER(SEARCH("PCMSO",C866)),"Título com PCMSO no nome",IF(OR(ISNUMBER(SEARCH("E-SOCIAL",C866)),ISNUMBER(SEARCH("PSICOSOCIAL",C866))),"Título com eSocial/Psicossocial no nome",IF(O866="Receita recorrente","Tipo DRE recorrente","Extra sem palavra-chave específica"))))</f>
        <v/>
      </c>
      <c r="S866" s="92">
        <f>IFERROR(VLOOKUP($A866,'13. Mapa Títulos-Receita'!$A$8:$P$1000,4,FALSE),"")</f>
        <v/>
      </c>
      <c r="T866" s="92">
        <f>IFERROR(VLOOKUP($A866,'13. Mapa Títulos-Receita'!$A$8:$P$1000,5,FALSE),"")</f>
        <v/>
      </c>
      <c r="U866" s="92">
        <f>IFERROR(VLOOKUP($A866,'13. Mapa Títulos-Receita'!$A$8:$P$1000,6,FALSE),"")</f>
        <v/>
      </c>
      <c r="V866" s="92">
        <f>IFERROR(VLOOKUP($A866,'13. Mapa Títulos-Receita'!$A$8:$P$1000,7,FALSE),"")</f>
        <v/>
      </c>
      <c r="W866" s="92">
        <f>IFERROR(VLOOKUP($A866,'13. Mapa Títulos-Receita'!$A$8:$P$1000,8,FALSE),"")</f>
        <v/>
      </c>
      <c r="X866" s="92">
        <f>IFERROR(VLOOKUP($A866,'13. Mapa Títulos-Receita'!$A$8:$P$1000,9,FALSE),"")</f>
        <v/>
      </c>
      <c r="Y866" s="92">
        <f>IFERROR(VLOOKUP($A866,'13. Mapa Títulos-Receita'!$A$8:$P$1000,10,FALSE),"")</f>
        <v/>
      </c>
      <c r="Z866" s="92">
        <f>IFERROR(VLOOKUP($A866,'13. Mapa Títulos-Receita'!$A$8:$P$1000,11,FALSE),"")</f>
        <v/>
      </c>
      <c r="AA866" s="92">
        <f>IFERROR(VLOOKUP($A866,'13. Mapa Títulos-Receita'!$A$8:$P$1000,12,FALSE),"")</f>
        <v/>
      </c>
      <c r="AB866" s="92">
        <f>IFERROR(VLOOKUP($A866,'13. Mapa Títulos-Receita'!$A$8:$P$1000,13,FALSE),"")</f>
        <v/>
      </c>
      <c r="AC866" s="92">
        <f>IFERROR(VLOOKUP($A866,'13. Mapa Títulos-Receita'!$A$8:$P$1000,14,FALSE),"")</f>
        <v/>
      </c>
      <c r="AD866" s="92">
        <f>IFERROR(VLOOKUP($A866,'13. Mapa Títulos-Receita'!$A$8:$P$1000,15,FALSE),"")</f>
        <v/>
      </c>
      <c r="AE866" s="92">
        <f>IFERROR(VLOOKUP($A866,'13. Mapa Títulos-Receita'!$A$8:$P$1000,16,FALSE),"")</f>
        <v/>
      </c>
    </row>
    <row r="867">
      <c r="A867" s="28">
        <f>IF(C867="","", "CR-"&amp;TEXT(ROW()-7,"000"))</f>
        <v/>
      </c>
      <c r="B867" s="28" t="n"/>
      <c r="C867" s="28" t="n"/>
      <c r="D867" s="111" t="n"/>
      <c r="E867" s="111" t="n"/>
      <c r="F867" s="111" t="n"/>
      <c r="G867" s="28" t="n"/>
      <c r="H867" s="45" t="n"/>
      <c r="I867" s="45" t="n"/>
      <c r="J867" s="28">
        <f>IF(H867="","",IF(I867&gt;=H867,"Recebido",IF($B$4&gt;E867,"Vencido","Aberto")))</f>
        <v/>
      </c>
      <c r="K867" s="4">
        <f>IF(J867="","",IF(OR(J867="Recebido",F867=""),MAX(0,F867-E867),MAX(0,$B$4-E867)))</f>
        <v/>
      </c>
      <c r="L867" s="4">
        <f>IF(K867="","",IF(K867=0,"Em dia",IF(K867&lt;=30,"1-30 dias",IF(K867&lt;=60,"31-60 dias",IF(K867&lt;=90,"61-90 dias","&gt;90 dias")))))</f>
        <v/>
      </c>
      <c r="M867" s="28" t="n"/>
      <c r="N867" s="104" t="inlineStr"/>
      <c r="O867" s="64" t="n"/>
      <c r="P867" s="64">
        <f>IF(C867="","",IF(ISNUMBER(SEARCH("PCMSO",C867)),"PCMSO",IF(OR(ISNUMBER(SEARCH("E-SOCIAL",C867)),ISNUMBER(SEARCH("PSICOSOCIAL",C867))),"eSocial / Psicossocial",IF(O867="Receita recorrente","Carteira recorrente","Projetos / Laudos / Avulsos"))))</f>
        <v/>
      </c>
      <c r="Q867" s="64">
        <f>IF(P867="","",IF(P867="Carteira recorrente","Operação recorrente",IF(P867="PCMSO","Projetos PCMSO",IF(P867="eSocial / Psicossocial","Projetos eSocial/Psicossocial","Projetos / Laudos / Avulsos"))))</f>
        <v/>
      </c>
      <c r="R867" s="64">
        <f>IF(C867="","",IF(ISNUMBER(SEARCH("PCMSO",C867)),"Título com PCMSO no nome",IF(OR(ISNUMBER(SEARCH("E-SOCIAL",C867)),ISNUMBER(SEARCH("PSICOSOCIAL",C867))),"Título com eSocial/Psicossocial no nome",IF(O867="Receita recorrente","Tipo DRE recorrente","Extra sem palavra-chave específica"))))</f>
        <v/>
      </c>
      <c r="S867" s="92">
        <f>IFERROR(VLOOKUP($A867,'13. Mapa Títulos-Receita'!$A$8:$P$1000,4,FALSE),"")</f>
        <v/>
      </c>
      <c r="T867" s="92">
        <f>IFERROR(VLOOKUP($A867,'13. Mapa Títulos-Receita'!$A$8:$P$1000,5,FALSE),"")</f>
        <v/>
      </c>
      <c r="U867" s="92">
        <f>IFERROR(VLOOKUP($A867,'13. Mapa Títulos-Receita'!$A$8:$P$1000,6,FALSE),"")</f>
        <v/>
      </c>
      <c r="V867" s="92">
        <f>IFERROR(VLOOKUP($A867,'13. Mapa Títulos-Receita'!$A$8:$P$1000,7,FALSE),"")</f>
        <v/>
      </c>
      <c r="W867" s="92">
        <f>IFERROR(VLOOKUP($A867,'13. Mapa Títulos-Receita'!$A$8:$P$1000,8,FALSE),"")</f>
        <v/>
      </c>
      <c r="X867" s="92">
        <f>IFERROR(VLOOKUP($A867,'13. Mapa Títulos-Receita'!$A$8:$P$1000,9,FALSE),"")</f>
        <v/>
      </c>
      <c r="Y867" s="92">
        <f>IFERROR(VLOOKUP($A867,'13. Mapa Títulos-Receita'!$A$8:$P$1000,10,FALSE),"")</f>
        <v/>
      </c>
      <c r="Z867" s="92">
        <f>IFERROR(VLOOKUP($A867,'13. Mapa Títulos-Receita'!$A$8:$P$1000,11,FALSE),"")</f>
        <v/>
      </c>
      <c r="AA867" s="92">
        <f>IFERROR(VLOOKUP($A867,'13. Mapa Títulos-Receita'!$A$8:$P$1000,12,FALSE),"")</f>
        <v/>
      </c>
      <c r="AB867" s="92">
        <f>IFERROR(VLOOKUP($A867,'13. Mapa Títulos-Receita'!$A$8:$P$1000,13,FALSE),"")</f>
        <v/>
      </c>
      <c r="AC867" s="92">
        <f>IFERROR(VLOOKUP($A867,'13. Mapa Títulos-Receita'!$A$8:$P$1000,14,FALSE),"")</f>
        <v/>
      </c>
      <c r="AD867" s="92">
        <f>IFERROR(VLOOKUP($A867,'13. Mapa Títulos-Receita'!$A$8:$P$1000,15,FALSE),"")</f>
        <v/>
      </c>
      <c r="AE867" s="92">
        <f>IFERROR(VLOOKUP($A867,'13. Mapa Títulos-Receita'!$A$8:$P$1000,16,FALSE),"")</f>
        <v/>
      </c>
    </row>
    <row r="868">
      <c r="A868" s="28">
        <f>IF(C868="","", "CR-"&amp;TEXT(ROW()-7,"000"))</f>
        <v/>
      </c>
      <c r="B868" s="28" t="n"/>
      <c r="C868" s="28" t="n"/>
      <c r="D868" s="111" t="n"/>
      <c r="E868" s="111" t="n"/>
      <c r="F868" s="111" t="n"/>
      <c r="G868" s="28" t="n"/>
      <c r="H868" s="45" t="n"/>
      <c r="I868" s="45" t="n"/>
      <c r="J868" s="28">
        <f>IF(H868="","",IF(I868&gt;=H868,"Recebido",IF($B$4&gt;E868,"Vencido","Aberto")))</f>
        <v/>
      </c>
      <c r="K868" s="4">
        <f>IF(J868="","",IF(OR(J868="Recebido",F868=""),MAX(0,F868-E868),MAX(0,$B$4-E868)))</f>
        <v/>
      </c>
      <c r="L868" s="4">
        <f>IF(K868="","",IF(K868=0,"Em dia",IF(K868&lt;=30,"1-30 dias",IF(K868&lt;=60,"31-60 dias",IF(K868&lt;=90,"61-90 dias","&gt;90 dias")))))</f>
        <v/>
      </c>
      <c r="M868" s="28" t="n"/>
      <c r="N868" s="104" t="inlineStr"/>
      <c r="O868" s="64" t="n"/>
      <c r="P868" s="64">
        <f>IF(C868="","",IF(ISNUMBER(SEARCH("PCMSO",C868)),"PCMSO",IF(OR(ISNUMBER(SEARCH("E-SOCIAL",C868)),ISNUMBER(SEARCH("PSICOSOCIAL",C868))),"eSocial / Psicossocial",IF(O868="Receita recorrente","Carteira recorrente","Projetos / Laudos / Avulsos"))))</f>
        <v/>
      </c>
      <c r="Q868" s="64">
        <f>IF(P868="","",IF(P868="Carteira recorrente","Operação recorrente",IF(P868="PCMSO","Projetos PCMSO",IF(P868="eSocial / Psicossocial","Projetos eSocial/Psicossocial","Projetos / Laudos / Avulsos"))))</f>
        <v/>
      </c>
      <c r="R868" s="64">
        <f>IF(C868="","",IF(ISNUMBER(SEARCH("PCMSO",C868)),"Título com PCMSO no nome",IF(OR(ISNUMBER(SEARCH("E-SOCIAL",C868)),ISNUMBER(SEARCH("PSICOSOCIAL",C868))),"Título com eSocial/Psicossocial no nome",IF(O868="Receita recorrente","Tipo DRE recorrente","Extra sem palavra-chave específica"))))</f>
        <v/>
      </c>
      <c r="S868" s="92">
        <f>IFERROR(VLOOKUP($A868,'13. Mapa Títulos-Receita'!$A$8:$P$1000,4,FALSE),"")</f>
        <v/>
      </c>
      <c r="T868" s="92">
        <f>IFERROR(VLOOKUP($A868,'13. Mapa Títulos-Receita'!$A$8:$P$1000,5,FALSE),"")</f>
        <v/>
      </c>
      <c r="U868" s="92">
        <f>IFERROR(VLOOKUP($A868,'13. Mapa Títulos-Receita'!$A$8:$P$1000,6,FALSE),"")</f>
        <v/>
      </c>
      <c r="V868" s="92">
        <f>IFERROR(VLOOKUP($A868,'13. Mapa Títulos-Receita'!$A$8:$P$1000,7,FALSE),"")</f>
        <v/>
      </c>
      <c r="W868" s="92">
        <f>IFERROR(VLOOKUP($A868,'13. Mapa Títulos-Receita'!$A$8:$P$1000,8,FALSE),"")</f>
        <v/>
      </c>
      <c r="X868" s="92">
        <f>IFERROR(VLOOKUP($A868,'13. Mapa Títulos-Receita'!$A$8:$P$1000,9,FALSE),"")</f>
        <v/>
      </c>
      <c r="Y868" s="92">
        <f>IFERROR(VLOOKUP($A868,'13. Mapa Títulos-Receita'!$A$8:$P$1000,10,FALSE),"")</f>
        <v/>
      </c>
      <c r="Z868" s="92">
        <f>IFERROR(VLOOKUP($A868,'13. Mapa Títulos-Receita'!$A$8:$P$1000,11,FALSE),"")</f>
        <v/>
      </c>
      <c r="AA868" s="92">
        <f>IFERROR(VLOOKUP($A868,'13. Mapa Títulos-Receita'!$A$8:$P$1000,12,FALSE),"")</f>
        <v/>
      </c>
      <c r="AB868" s="92">
        <f>IFERROR(VLOOKUP($A868,'13. Mapa Títulos-Receita'!$A$8:$P$1000,13,FALSE),"")</f>
        <v/>
      </c>
      <c r="AC868" s="92">
        <f>IFERROR(VLOOKUP($A868,'13. Mapa Títulos-Receita'!$A$8:$P$1000,14,FALSE),"")</f>
        <v/>
      </c>
      <c r="AD868" s="92">
        <f>IFERROR(VLOOKUP($A868,'13. Mapa Títulos-Receita'!$A$8:$P$1000,15,FALSE),"")</f>
        <v/>
      </c>
      <c r="AE868" s="92">
        <f>IFERROR(VLOOKUP($A868,'13. Mapa Títulos-Receita'!$A$8:$P$1000,16,FALSE),"")</f>
        <v/>
      </c>
    </row>
    <row r="869">
      <c r="A869" s="28">
        <f>IF(C869="","", "CR-"&amp;TEXT(ROW()-7,"000"))</f>
        <v/>
      </c>
      <c r="B869" s="28" t="n"/>
      <c r="C869" s="28" t="n"/>
      <c r="D869" s="111" t="n"/>
      <c r="E869" s="111" t="n"/>
      <c r="F869" s="111" t="n"/>
      <c r="G869" s="28" t="n"/>
      <c r="H869" s="45" t="n"/>
      <c r="I869" s="45" t="n"/>
      <c r="J869" s="28">
        <f>IF(H869="","",IF(I869&gt;=H869,"Recebido",IF($B$4&gt;E869,"Vencido","Aberto")))</f>
        <v/>
      </c>
      <c r="K869" s="4">
        <f>IF(J869="","",IF(OR(J869="Recebido",F869=""),MAX(0,F869-E869),MAX(0,$B$4-E869)))</f>
        <v/>
      </c>
      <c r="L869" s="4">
        <f>IF(K869="","",IF(K869=0,"Em dia",IF(K869&lt;=30,"1-30 dias",IF(K869&lt;=60,"31-60 dias",IF(K869&lt;=90,"61-90 dias","&gt;90 dias")))))</f>
        <v/>
      </c>
      <c r="M869" s="28" t="n"/>
      <c r="N869" s="104" t="inlineStr"/>
      <c r="O869" s="64" t="n"/>
      <c r="P869" s="64">
        <f>IF(C869="","",IF(ISNUMBER(SEARCH("PCMSO",C869)),"PCMSO",IF(OR(ISNUMBER(SEARCH("E-SOCIAL",C869)),ISNUMBER(SEARCH("PSICOSOCIAL",C869))),"eSocial / Psicossocial",IF(O869="Receita recorrente","Carteira recorrente","Projetos / Laudos / Avulsos"))))</f>
        <v/>
      </c>
      <c r="Q869" s="64">
        <f>IF(P869="","",IF(P869="Carteira recorrente","Operação recorrente",IF(P869="PCMSO","Projetos PCMSO",IF(P869="eSocial / Psicossocial","Projetos eSocial/Psicossocial","Projetos / Laudos / Avulsos"))))</f>
        <v/>
      </c>
      <c r="R869" s="64">
        <f>IF(C869="","",IF(ISNUMBER(SEARCH("PCMSO",C869)),"Título com PCMSO no nome",IF(OR(ISNUMBER(SEARCH("E-SOCIAL",C869)),ISNUMBER(SEARCH("PSICOSOCIAL",C869))),"Título com eSocial/Psicossocial no nome",IF(O869="Receita recorrente","Tipo DRE recorrente","Extra sem palavra-chave específica"))))</f>
        <v/>
      </c>
      <c r="S869" s="92">
        <f>IFERROR(VLOOKUP($A869,'13. Mapa Títulos-Receita'!$A$8:$P$1000,4,FALSE),"")</f>
        <v/>
      </c>
      <c r="T869" s="92">
        <f>IFERROR(VLOOKUP($A869,'13. Mapa Títulos-Receita'!$A$8:$P$1000,5,FALSE),"")</f>
        <v/>
      </c>
      <c r="U869" s="92">
        <f>IFERROR(VLOOKUP($A869,'13. Mapa Títulos-Receita'!$A$8:$P$1000,6,FALSE),"")</f>
        <v/>
      </c>
      <c r="V869" s="92">
        <f>IFERROR(VLOOKUP($A869,'13. Mapa Títulos-Receita'!$A$8:$P$1000,7,FALSE),"")</f>
        <v/>
      </c>
      <c r="W869" s="92">
        <f>IFERROR(VLOOKUP($A869,'13. Mapa Títulos-Receita'!$A$8:$P$1000,8,FALSE),"")</f>
        <v/>
      </c>
      <c r="X869" s="92">
        <f>IFERROR(VLOOKUP($A869,'13. Mapa Títulos-Receita'!$A$8:$P$1000,9,FALSE),"")</f>
        <v/>
      </c>
      <c r="Y869" s="92">
        <f>IFERROR(VLOOKUP($A869,'13. Mapa Títulos-Receita'!$A$8:$P$1000,10,FALSE),"")</f>
        <v/>
      </c>
      <c r="Z869" s="92">
        <f>IFERROR(VLOOKUP($A869,'13. Mapa Títulos-Receita'!$A$8:$P$1000,11,FALSE),"")</f>
        <v/>
      </c>
      <c r="AA869" s="92">
        <f>IFERROR(VLOOKUP($A869,'13. Mapa Títulos-Receita'!$A$8:$P$1000,12,FALSE),"")</f>
        <v/>
      </c>
      <c r="AB869" s="92">
        <f>IFERROR(VLOOKUP($A869,'13. Mapa Títulos-Receita'!$A$8:$P$1000,13,FALSE),"")</f>
        <v/>
      </c>
      <c r="AC869" s="92">
        <f>IFERROR(VLOOKUP($A869,'13. Mapa Títulos-Receita'!$A$8:$P$1000,14,FALSE),"")</f>
        <v/>
      </c>
      <c r="AD869" s="92">
        <f>IFERROR(VLOOKUP($A869,'13. Mapa Títulos-Receita'!$A$8:$P$1000,15,FALSE),"")</f>
        <v/>
      </c>
      <c r="AE869" s="92">
        <f>IFERROR(VLOOKUP($A869,'13. Mapa Títulos-Receita'!$A$8:$P$1000,16,FALSE),"")</f>
        <v/>
      </c>
    </row>
    <row r="870">
      <c r="A870" s="28">
        <f>IF(C870="","", "CR-"&amp;TEXT(ROW()-7,"000"))</f>
        <v/>
      </c>
      <c r="B870" s="28" t="n"/>
      <c r="C870" s="28" t="n"/>
      <c r="D870" s="111" t="n"/>
      <c r="E870" s="111" t="n"/>
      <c r="F870" s="111" t="n"/>
      <c r="G870" s="28" t="n"/>
      <c r="H870" s="45" t="n"/>
      <c r="I870" s="45" t="n"/>
      <c r="J870" s="28">
        <f>IF(H870="","",IF(I870&gt;=H870,"Recebido",IF($B$4&gt;E870,"Vencido","Aberto")))</f>
        <v/>
      </c>
      <c r="K870" s="4">
        <f>IF(J870="","",IF(OR(J870="Recebido",F870=""),MAX(0,F870-E870),MAX(0,$B$4-E870)))</f>
        <v/>
      </c>
      <c r="L870" s="4">
        <f>IF(K870="","",IF(K870=0,"Em dia",IF(K870&lt;=30,"1-30 dias",IF(K870&lt;=60,"31-60 dias",IF(K870&lt;=90,"61-90 dias","&gt;90 dias")))))</f>
        <v/>
      </c>
      <c r="M870" s="28" t="n"/>
      <c r="N870" s="104" t="inlineStr"/>
      <c r="O870" s="64" t="n"/>
      <c r="P870" s="64">
        <f>IF(C870="","",IF(ISNUMBER(SEARCH("PCMSO",C870)),"PCMSO",IF(OR(ISNUMBER(SEARCH("E-SOCIAL",C870)),ISNUMBER(SEARCH("PSICOSOCIAL",C870))),"eSocial / Psicossocial",IF(O870="Receita recorrente","Carteira recorrente","Projetos / Laudos / Avulsos"))))</f>
        <v/>
      </c>
      <c r="Q870" s="64">
        <f>IF(P870="","",IF(P870="Carteira recorrente","Operação recorrente",IF(P870="PCMSO","Projetos PCMSO",IF(P870="eSocial / Psicossocial","Projetos eSocial/Psicossocial","Projetos / Laudos / Avulsos"))))</f>
        <v/>
      </c>
      <c r="R870" s="64">
        <f>IF(C870="","",IF(ISNUMBER(SEARCH("PCMSO",C870)),"Título com PCMSO no nome",IF(OR(ISNUMBER(SEARCH("E-SOCIAL",C870)),ISNUMBER(SEARCH("PSICOSOCIAL",C870))),"Título com eSocial/Psicossocial no nome",IF(O870="Receita recorrente","Tipo DRE recorrente","Extra sem palavra-chave específica"))))</f>
        <v/>
      </c>
      <c r="S870" s="92">
        <f>IFERROR(VLOOKUP($A870,'13. Mapa Títulos-Receita'!$A$8:$P$1000,4,FALSE),"")</f>
        <v/>
      </c>
      <c r="T870" s="92">
        <f>IFERROR(VLOOKUP($A870,'13. Mapa Títulos-Receita'!$A$8:$P$1000,5,FALSE),"")</f>
        <v/>
      </c>
      <c r="U870" s="92">
        <f>IFERROR(VLOOKUP($A870,'13. Mapa Títulos-Receita'!$A$8:$P$1000,6,FALSE),"")</f>
        <v/>
      </c>
      <c r="V870" s="92">
        <f>IFERROR(VLOOKUP($A870,'13. Mapa Títulos-Receita'!$A$8:$P$1000,7,FALSE),"")</f>
        <v/>
      </c>
      <c r="W870" s="92">
        <f>IFERROR(VLOOKUP($A870,'13. Mapa Títulos-Receita'!$A$8:$P$1000,8,FALSE),"")</f>
        <v/>
      </c>
      <c r="X870" s="92">
        <f>IFERROR(VLOOKUP($A870,'13. Mapa Títulos-Receita'!$A$8:$P$1000,9,FALSE),"")</f>
        <v/>
      </c>
      <c r="Y870" s="92">
        <f>IFERROR(VLOOKUP($A870,'13. Mapa Títulos-Receita'!$A$8:$P$1000,10,FALSE),"")</f>
        <v/>
      </c>
      <c r="Z870" s="92">
        <f>IFERROR(VLOOKUP($A870,'13. Mapa Títulos-Receita'!$A$8:$P$1000,11,FALSE),"")</f>
        <v/>
      </c>
      <c r="AA870" s="92">
        <f>IFERROR(VLOOKUP($A870,'13. Mapa Títulos-Receita'!$A$8:$P$1000,12,FALSE),"")</f>
        <v/>
      </c>
      <c r="AB870" s="92">
        <f>IFERROR(VLOOKUP($A870,'13. Mapa Títulos-Receita'!$A$8:$P$1000,13,FALSE),"")</f>
        <v/>
      </c>
      <c r="AC870" s="92">
        <f>IFERROR(VLOOKUP($A870,'13. Mapa Títulos-Receita'!$A$8:$P$1000,14,FALSE),"")</f>
        <v/>
      </c>
      <c r="AD870" s="92">
        <f>IFERROR(VLOOKUP($A870,'13. Mapa Títulos-Receita'!$A$8:$P$1000,15,FALSE),"")</f>
        <v/>
      </c>
      <c r="AE870" s="92">
        <f>IFERROR(VLOOKUP($A870,'13. Mapa Títulos-Receita'!$A$8:$P$1000,16,FALSE),"")</f>
        <v/>
      </c>
    </row>
    <row r="871">
      <c r="A871" s="28">
        <f>IF(C871="","", "CR-"&amp;TEXT(ROW()-7,"000"))</f>
        <v/>
      </c>
      <c r="B871" s="28" t="n"/>
      <c r="C871" s="28" t="n"/>
      <c r="D871" s="111" t="n"/>
      <c r="E871" s="111" t="n"/>
      <c r="F871" s="111" t="n"/>
      <c r="G871" s="28" t="n"/>
      <c r="H871" s="45" t="n"/>
      <c r="I871" s="45" t="n"/>
      <c r="J871" s="28">
        <f>IF(H871="","",IF(I871&gt;=H871,"Recebido",IF($B$4&gt;E871,"Vencido","Aberto")))</f>
        <v/>
      </c>
      <c r="K871" s="4">
        <f>IF(J871="","",IF(OR(J871="Recebido",F871=""),MAX(0,F871-E871),MAX(0,$B$4-E871)))</f>
        <v/>
      </c>
      <c r="L871" s="4">
        <f>IF(K871="","",IF(K871=0,"Em dia",IF(K871&lt;=30,"1-30 dias",IF(K871&lt;=60,"31-60 dias",IF(K871&lt;=90,"61-90 dias","&gt;90 dias")))))</f>
        <v/>
      </c>
      <c r="M871" s="28" t="n"/>
      <c r="N871" s="104" t="inlineStr"/>
      <c r="O871" s="64" t="n"/>
      <c r="P871" s="64">
        <f>IF(C871="","",IF(ISNUMBER(SEARCH("PCMSO",C871)),"PCMSO",IF(OR(ISNUMBER(SEARCH("E-SOCIAL",C871)),ISNUMBER(SEARCH("PSICOSOCIAL",C871))),"eSocial / Psicossocial",IF(O871="Receita recorrente","Carteira recorrente","Projetos / Laudos / Avulsos"))))</f>
        <v/>
      </c>
      <c r="Q871" s="64">
        <f>IF(P871="","",IF(P871="Carteira recorrente","Operação recorrente",IF(P871="PCMSO","Projetos PCMSO",IF(P871="eSocial / Psicossocial","Projetos eSocial/Psicossocial","Projetos / Laudos / Avulsos"))))</f>
        <v/>
      </c>
      <c r="R871" s="64">
        <f>IF(C871="","",IF(ISNUMBER(SEARCH("PCMSO",C871)),"Título com PCMSO no nome",IF(OR(ISNUMBER(SEARCH("E-SOCIAL",C871)),ISNUMBER(SEARCH("PSICOSOCIAL",C871))),"Título com eSocial/Psicossocial no nome",IF(O871="Receita recorrente","Tipo DRE recorrente","Extra sem palavra-chave específica"))))</f>
        <v/>
      </c>
      <c r="S871" s="92">
        <f>IFERROR(VLOOKUP($A871,'13. Mapa Títulos-Receita'!$A$8:$P$1000,4,FALSE),"")</f>
        <v/>
      </c>
      <c r="T871" s="92">
        <f>IFERROR(VLOOKUP($A871,'13. Mapa Títulos-Receita'!$A$8:$P$1000,5,FALSE),"")</f>
        <v/>
      </c>
      <c r="U871" s="92">
        <f>IFERROR(VLOOKUP($A871,'13. Mapa Títulos-Receita'!$A$8:$P$1000,6,FALSE),"")</f>
        <v/>
      </c>
      <c r="V871" s="92">
        <f>IFERROR(VLOOKUP($A871,'13. Mapa Títulos-Receita'!$A$8:$P$1000,7,FALSE),"")</f>
        <v/>
      </c>
      <c r="W871" s="92">
        <f>IFERROR(VLOOKUP($A871,'13. Mapa Títulos-Receita'!$A$8:$P$1000,8,FALSE),"")</f>
        <v/>
      </c>
      <c r="X871" s="92">
        <f>IFERROR(VLOOKUP($A871,'13. Mapa Títulos-Receita'!$A$8:$P$1000,9,FALSE),"")</f>
        <v/>
      </c>
      <c r="Y871" s="92">
        <f>IFERROR(VLOOKUP($A871,'13. Mapa Títulos-Receita'!$A$8:$P$1000,10,FALSE),"")</f>
        <v/>
      </c>
      <c r="Z871" s="92">
        <f>IFERROR(VLOOKUP($A871,'13. Mapa Títulos-Receita'!$A$8:$P$1000,11,FALSE),"")</f>
        <v/>
      </c>
      <c r="AA871" s="92">
        <f>IFERROR(VLOOKUP($A871,'13. Mapa Títulos-Receita'!$A$8:$P$1000,12,FALSE),"")</f>
        <v/>
      </c>
      <c r="AB871" s="92">
        <f>IFERROR(VLOOKUP($A871,'13. Mapa Títulos-Receita'!$A$8:$P$1000,13,FALSE),"")</f>
        <v/>
      </c>
      <c r="AC871" s="92">
        <f>IFERROR(VLOOKUP($A871,'13. Mapa Títulos-Receita'!$A$8:$P$1000,14,FALSE),"")</f>
        <v/>
      </c>
      <c r="AD871" s="92">
        <f>IFERROR(VLOOKUP($A871,'13. Mapa Títulos-Receita'!$A$8:$P$1000,15,FALSE),"")</f>
        <v/>
      </c>
      <c r="AE871" s="92">
        <f>IFERROR(VLOOKUP($A871,'13. Mapa Títulos-Receita'!$A$8:$P$1000,16,FALSE),"")</f>
        <v/>
      </c>
    </row>
    <row r="872">
      <c r="A872" s="28">
        <f>IF(C872="","", "CR-"&amp;TEXT(ROW()-7,"000"))</f>
        <v/>
      </c>
      <c r="B872" s="28" t="n"/>
      <c r="C872" s="28" t="n"/>
      <c r="D872" s="111" t="n"/>
      <c r="E872" s="111" t="n"/>
      <c r="F872" s="111" t="n"/>
      <c r="G872" s="28" t="n"/>
      <c r="H872" s="45" t="n"/>
      <c r="I872" s="45" t="n"/>
      <c r="J872" s="28">
        <f>IF(H872="","",IF(I872&gt;=H872,"Recebido",IF($B$4&gt;E872,"Vencido","Aberto")))</f>
        <v/>
      </c>
      <c r="K872" s="4">
        <f>IF(J872="","",IF(OR(J872="Recebido",F872=""),MAX(0,F872-E872),MAX(0,$B$4-E872)))</f>
        <v/>
      </c>
      <c r="L872" s="4">
        <f>IF(K872="","",IF(K872=0,"Em dia",IF(K872&lt;=30,"1-30 dias",IF(K872&lt;=60,"31-60 dias",IF(K872&lt;=90,"61-90 dias","&gt;90 dias")))))</f>
        <v/>
      </c>
      <c r="M872" s="28" t="n"/>
      <c r="N872" s="104" t="inlineStr"/>
      <c r="O872" s="64" t="n"/>
      <c r="P872" s="64">
        <f>IF(C872="","",IF(ISNUMBER(SEARCH("PCMSO",C872)),"PCMSO",IF(OR(ISNUMBER(SEARCH("E-SOCIAL",C872)),ISNUMBER(SEARCH("PSICOSOCIAL",C872))),"eSocial / Psicossocial",IF(O872="Receita recorrente","Carteira recorrente","Projetos / Laudos / Avulsos"))))</f>
        <v/>
      </c>
      <c r="Q872" s="64">
        <f>IF(P872="","",IF(P872="Carteira recorrente","Operação recorrente",IF(P872="PCMSO","Projetos PCMSO",IF(P872="eSocial / Psicossocial","Projetos eSocial/Psicossocial","Projetos / Laudos / Avulsos"))))</f>
        <v/>
      </c>
      <c r="R872" s="64">
        <f>IF(C872="","",IF(ISNUMBER(SEARCH("PCMSO",C872)),"Título com PCMSO no nome",IF(OR(ISNUMBER(SEARCH("E-SOCIAL",C872)),ISNUMBER(SEARCH("PSICOSOCIAL",C872))),"Título com eSocial/Psicossocial no nome",IF(O872="Receita recorrente","Tipo DRE recorrente","Extra sem palavra-chave específica"))))</f>
        <v/>
      </c>
      <c r="S872" s="92">
        <f>IFERROR(VLOOKUP($A872,'13. Mapa Títulos-Receita'!$A$8:$P$1000,4,FALSE),"")</f>
        <v/>
      </c>
      <c r="T872" s="92">
        <f>IFERROR(VLOOKUP($A872,'13. Mapa Títulos-Receita'!$A$8:$P$1000,5,FALSE),"")</f>
        <v/>
      </c>
      <c r="U872" s="92">
        <f>IFERROR(VLOOKUP($A872,'13. Mapa Títulos-Receita'!$A$8:$P$1000,6,FALSE),"")</f>
        <v/>
      </c>
      <c r="V872" s="92">
        <f>IFERROR(VLOOKUP($A872,'13. Mapa Títulos-Receita'!$A$8:$P$1000,7,FALSE),"")</f>
        <v/>
      </c>
      <c r="W872" s="92">
        <f>IFERROR(VLOOKUP($A872,'13. Mapa Títulos-Receita'!$A$8:$P$1000,8,FALSE),"")</f>
        <v/>
      </c>
      <c r="X872" s="92">
        <f>IFERROR(VLOOKUP($A872,'13. Mapa Títulos-Receita'!$A$8:$P$1000,9,FALSE),"")</f>
        <v/>
      </c>
      <c r="Y872" s="92">
        <f>IFERROR(VLOOKUP($A872,'13. Mapa Títulos-Receita'!$A$8:$P$1000,10,FALSE),"")</f>
        <v/>
      </c>
      <c r="Z872" s="92">
        <f>IFERROR(VLOOKUP($A872,'13. Mapa Títulos-Receita'!$A$8:$P$1000,11,FALSE),"")</f>
        <v/>
      </c>
      <c r="AA872" s="92">
        <f>IFERROR(VLOOKUP($A872,'13. Mapa Títulos-Receita'!$A$8:$P$1000,12,FALSE),"")</f>
        <v/>
      </c>
      <c r="AB872" s="92">
        <f>IFERROR(VLOOKUP($A872,'13. Mapa Títulos-Receita'!$A$8:$P$1000,13,FALSE),"")</f>
        <v/>
      </c>
      <c r="AC872" s="92">
        <f>IFERROR(VLOOKUP($A872,'13. Mapa Títulos-Receita'!$A$8:$P$1000,14,FALSE),"")</f>
        <v/>
      </c>
      <c r="AD872" s="92">
        <f>IFERROR(VLOOKUP($A872,'13. Mapa Títulos-Receita'!$A$8:$P$1000,15,FALSE),"")</f>
        <v/>
      </c>
      <c r="AE872" s="92">
        <f>IFERROR(VLOOKUP($A872,'13. Mapa Títulos-Receita'!$A$8:$P$1000,16,FALSE),"")</f>
        <v/>
      </c>
    </row>
    <row r="873">
      <c r="A873" s="28">
        <f>IF(C873="","", "CR-"&amp;TEXT(ROW()-7,"000"))</f>
        <v/>
      </c>
      <c r="B873" s="28" t="n"/>
      <c r="C873" s="28" t="n"/>
      <c r="D873" s="111" t="n"/>
      <c r="E873" s="111" t="n"/>
      <c r="F873" s="111" t="n"/>
      <c r="G873" s="28" t="n"/>
      <c r="H873" s="45" t="n"/>
      <c r="I873" s="45" t="n"/>
      <c r="J873" s="28">
        <f>IF(H873="","",IF(I873&gt;=H873,"Recebido",IF($B$4&gt;E873,"Vencido","Aberto")))</f>
        <v/>
      </c>
      <c r="K873" s="4">
        <f>IF(J873="","",IF(OR(J873="Recebido",F873=""),MAX(0,F873-E873),MAX(0,$B$4-E873)))</f>
        <v/>
      </c>
      <c r="L873" s="4">
        <f>IF(K873="","",IF(K873=0,"Em dia",IF(K873&lt;=30,"1-30 dias",IF(K873&lt;=60,"31-60 dias",IF(K873&lt;=90,"61-90 dias","&gt;90 dias")))))</f>
        <v/>
      </c>
      <c r="M873" s="28" t="n"/>
      <c r="N873" s="104" t="inlineStr"/>
      <c r="O873" s="64" t="n"/>
      <c r="P873" s="64">
        <f>IF(C873="","",IF(ISNUMBER(SEARCH("PCMSO",C873)),"PCMSO",IF(OR(ISNUMBER(SEARCH("E-SOCIAL",C873)),ISNUMBER(SEARCH("PSICOSOCIAL",C873))),"eSocial / Psicossocial",IF(O873="Receita recorrente","Carteira recorrente","Projetos / Laudos / Avulsos"))))</f>
        <v/>
      </c>
      <c r="Q873" s="64">
        <f>IF(P873="","",IF(P873="Carteira recorrente","Operação recorrente",IF(P873="PCMSO","Projetos PCMSO",IF(P873="eSocial / Psicossocial","Projetos eSocial/Psicossocial","Projetos / Laudos / Avulsos"))))</f>
        <v/>
      </c>
      <c r="R873" s="64">
        <f>IF(C873="","",IF(ISNUMBER(SEARCH("PCMSO",C873)),"Título com PCMSO no nome",IF(OR(ISNUMBER(SEARCH("E-SOCIAL",C873)),ISNUMBER(SEARCH("PSICOSOCIAL",C873))),"Título com eSocial/Psicossocial no nome",IF(O873="Receita recorrente","Tipo DRE recorrente","Extra sem palavra-chave específica"))))</f>
        <v/>
      </c>
      <c r="S873" s="92">
        <f>IFERROR(VLOOKUP($A873,'13. Mapa Títulos-Receita'!$A$8:$P$1000,4,FALSE),"")</f>
        <v/>
      </c>
      <c r="T873" s="92">
        <f>IFERROR(VLOOKUP($A873,'13. Mapa Títulos-Receita'!$A$8:$P$1000,5,FALSE),"")</f>
        <v/>
      </c>
      <c r="U873" s="92">
        <f>IFERROR(VLOOKUP($A873,'13. Mapa Títulos-Receita'!$A$8:$P$1000,6,FALSE),"")</f>
        <v/>
      </c>
      <c r="V873" s="92">
        <f>IFERROR(VLOOKUP($A873,'13. Mapa Títulos-Receita'!$A$8:$P$1000,7,FALSE),"")</f>
        <v/>
      </c>
      <c r="W873" s="92">
        <f>IFERROR(VLOOKUP($A873,'13. Mapa Títulos-Receita'!$A$8:$P$1000,8,FALSE),"")</f>
        <v/>
      </c>
      <c r="X873" s="92">
        <f>IFERROR(VLOOKUP($A873,'13. Mapa Títulos-Receita'!$A$8:$P$1000,9,FALSE),"")</f>
        <v/>
      </c>
      <c r="Y873" s="92">
        <f>IFERROR(VLOOKUP($A873,'13. Mapa Títulos-Receita'!$A$8:$P$1000,10,FALSE),"")</f>
        <v/>
      </c>
      <c r="Z873" s="92">
        <f>IFERROR(VLOOKUP($A873,'13. Mapa Títulos-Receita'!$A$8:$P$1000,11,FALSE),"")</f>
        <v/>
      </c>
      <c r="AA873" s="92">
        <f>IFERROR(VLOOKUP($A873,'13. Mapa Títulos-Receita'!$A$8:$P$1000,12,FALSE),"")</f>
        <v/>
      </c>
      <c r="AB873" s="92">
        <f>IFERROR(VLOOKUP($A873,'13. Mapa Títulos-Receita'!$A$8:$P$1000,13,FALSE),"")</f>
        <v/>
      </c>
      <c r="AC873" s="92">
        <f>IFERROR(VLOOKUP($A873,'13. Mapa Títulos-Receita'!$A$8:$P$1000,14,FALSE),"")</f>
        <v/>
      </c>
      <c r="AD873" s="92">
        <f>IFERROR(VLOOKUP($A873,'13. Mapa Títulos-Receita'!$A$8:$P$1000,15,FALSE),"")</f>
        <v/>
      </c>
      <c r="AE873" s="92">
        <f>IFERROR(VLOOKUP($A873,'13. Mapa Títulos-Receita'!$A$8:$P$1000,16,FALSE),"")</f>
        <v/>
      </c>
    </row>
    <row r="874">
      <c r="A874" s="28">
        <f>IF(C874="","", "CR-"&amp;TEXT(ROW()-7,"000"))</f>
        <v/>
      </c>
      <c r="B874" s="28" t="n"/>
      <c r="C874" s="28" t="n"/>
      <c r="D874" s="111" t="n"/>
      <c r="E874" s="111" t="n"/>
      <c r="F874" s="111" t="n"/>
      <c r="G874" s="28" t="n"/>
      <c r="H874" s="45" t="n"/>
      <c r="I874" s="45" t="n"/>
      <c r="J874" s="28">
        <f>IF(H874="","",IF(I874&gt;=H874,"Recebido",IF($B$4&gt;E874,"Vencido","Aberto")))</f>
        <v/>
      </c>
      <c r="K874" s="4">
        <f>IF(J874="","",IF(OR(J874="Recebido",F874=""),MAX(0,F874-E874),MAX(0,$B$4-E874)))</f>
        <v/>
      </c>
      <c r="L874" s="4">
        <f>IF(K874="","",IF(K874=0,"Em dia",IF(K874&lt;=30,"1-30 dias",IF(K874&lt;=60,"31-60 dias",IF(K874&lt;=90,"61-90 dias","&gt;90 dias")))))</f>
        <v/>
      </c>
      <c r="M874" s="28" t="n"/>
      <c r="N874" s="104" t="inlineStr"/>
      <c r="O874" s="64" t="n"/>
      <c r="P874" s="64">
        <f>IF(C874="","",IF(ISNUMBER(SEARCH("PCMSO",C874)),"PCMSO",IF(OR(ISNUMBER(SEARCH("E-SOCIAL",C874)),ISNUMBER(SEARCH("PSICOSOCIAL",C874))),"eSocial / Psicossocial",IF(O874="Receita recorrente","Carteira recorrente","Projetos / Laudos / Avulsos"))))</f>
        <v/>
      </c>
      <c r="Q874" s="64">
        <f>IF(P874="","",IF(P874="Carteira recorrente","Operação recorrente",IF(P874="PCMSO","Projetos PCMSO",IF(P874="eSocial / Psicossocial","Projetos eSocial/Psicossocial","Projetos / Laudos / Avulsos"))))</f>
        <v/>
      </c>
      <c r="R874" s="64">
        <f>IF(C874="","",IF(ISNUMBER(SEARCH("PCMSO",C874)),"Título com PCMSO no nome",IF(OR(ISNUMBER(SEARCH("E-SOCIAL",C874)),ISNUMBER(SEARCH("PSICOSOCIAL",C874))),"Título com eSocial/Psicossocial no nome",IF(O874="Receita recorrente","Tipo DRE recorrente","Extra sem palavra-chave específica"))))</f>
        <v/>
      </c>
      <c r="S874" s="92">
        <f>IFERROR(VLOOKUP($A874,'13. Mapa Títulos-Receita'!$A$8:$P$1000,4,FALSE),"")</f>
        <v/>
      </c>
      <c r="T874" s="92">
        <f>IFERROR(VLOOKUP($A874,'13. Mapa Títulos-Receita'!$A$8:$P$1000,5,FALSE),"")</f>
        <v/>
      </c>
      <c r="U874" s="92">
        <f>IFERROR(VLOOKUP($A874,'13. Mapa Títulos-Receita'!$A$8:$P$1000,6,FALSE),"")</f>
        <v/>
      </c>
      <c r="V874" s="92">
        <f>IFERROR(VLOOKUP($A874,'13. Mapa Títulos-Receita'!$A$8:$P$1000,7,FALSE),"")</f>
        <v/>
      </c>
      <c r="W874" s="92">
        <f>IFERROR(VLOOKUP($A874,'13. Mapa Títulos-Receita'!$A$8:$P$1000,8,FALSE),"")</f>
        <v/>
      </c>
      <c r="X874" s="92">
        <f>IFERROR(VLOOKUP($A874,'13. Mapa Títulos-Receita'!$A$8:$P$1000,9,FALSE),"")</f>
        <v/>
      </c>
      <c r="Y874" s="92">
        <f>IFERROR(VLOOKUP($A874,'13. Mapa Títulos-Receita'!$A$8:$P$1000,10,FALSE),"")</f>
        <v/>
      </c>
      <c r="Z874" s="92">
        <f>IFERROR(VLOOKUP($A874,'13. Mapa Títulos-Receita'!$A$8:$P$1000,11,FALSE),"")</f>
        <v/>
      </c>
      <c r="AA874" s="92">
        <f>IFERROR(VLOOKUP($A874,'13. Mapa Títulos-Receita'!$A$8:$P$1000,12,FALSE),"")</f>
        <v/>
      </c>
      <c r="AB874" s="92">
        <f>IFERROR(VLOOKUP($A874,'13. Mapa Títulos-Receita'!$A$8:$P$1000,13,FALSE),"")</f>
        <v/>
      </c>
      <c r="AC874" s="92">
        <f>IFERROR(VLOOKUP($A874,'13. Mapa Títulos-Receita'!$A$8:$P$1000,14,FALSE),"")</f>
        <v/>
      </c>
      <c r="AD874" s="92">
        <f>IFERROR(VLOOKUP($A874,'13. Mapa Títulos-Receita'!$A$8:$P$1000,15,FALSE),"")</f>
        <v/>
      </c>
      <c r="AE874" s="92">
        <f>IFERROR(VLOOKUP($A874,'13. Mapa Títulos-Receita'!$A$8:$P$1000,16,FALSE),"")</f>
        <v/>
      </c>
    </row>
    <row r="875">
      <c r="A875" s="28">
        <f>IF(C875="","", "CR-"&amp;TEXT(ROW()-7,"000"))</f>
        <v/>
      </c>
      <c r="B875" s="28" t="n"/>
      <c r="C875" s="28" t="n"/>
      <c r="D875" s="111" t="n"/>
      <c r="E875" s="111" t="n"/>
      <c r="F875" s="111" t="n"/>
      <c r="G875" s="28" t="n"/>
      <c r="H875" s="45" t="n"/>
      <c r="I875" s="45" t="n"/>
      <c r="J875" s="28">
        <f>IF(H875="","",IF(I875&gt;=H875,"Recebido",IF($B$4&gt;E875,"Vencido","Aberto")))</f>
        <v/>
      </c>
      <c r="K875" s="4">
        <f>IF(J875="","",IF(OR(J875="Recebido",F875=""),MAX(0,F875-E875),MAX(0,$B$4-E875)))</f>
        <v/>
      </c>
      <c r="L875" s="4">
        <f>IF(K875="","",IF(K875=0,"Em dia",IF(K875&lt;=30,"1-30 dias",IF(K875&lt;=60,"31-60 dias",IF(K875&lt;=90,"61-90 dias","&gt;90 dias")))))</f>
        <v/>
      </c>
      <c r="M875" s="28" t="n"/>
      <c r="N875" s="104" t="inlineStr"/>
      <c r="O875" s="64" t="n"/>
      <c r="P875" s="64">
        <f>IF(C875="","",IF(ISNUMBER(SEARCH("PCMSO",C875)),"PCMSO",IF(OR(ISNUMBER(SEARCH("E-SOCIAL",C875)),ISNUMBER(SEARCH("PSICOSOCIAL",C875))),"eSocial / Psicossocial",IF(O875="Receita recorrente","Carteira recorrente","Projetos / Laudos / Avulsos"))))</f>
        <v/>
      </c>
      <c r="Q875" s="64">
        <f>IF(P875="","",IF(P875="Carteira recorrente","Operação recorrente",IF(P875="PCMSO","Projetos PCMSO",IF(P875="eSocial / Psicossocial","Projetos eSocial/Psicossocial","Projetos / Laudos / Avulsos"))))</f>
        <v/>
      </c>
      <c r="R875" s="64">
        <f>IF(C875="","",IF(ISNUMBER(SEARCH("PCMSO",C875)),"Título com PCMSO no nome",IF(OR(ISNUMBER(SEARCH("E-SOCIAL",C875)),ISNUMBER(SEARCH("PSICOSOCIAL",C875))),"Título com eSocial/Psicossocial no nome",IF(O875="Receita recorrente","Tipo DRE recorrente","Extra sem palavra-chave específica"))))</f>
        <v/>
      </c>
      <c r="S875" s="92">
        <f>IFERROR(VLOOKUP($A875,'13. Mapa Títulos-Receita'!$A$8:$P$1000,4,FALSE),"")</f>
        <v/>
      </c>
      <c r="T875" s="92">
        <f>IFERROR(VLOOKUP($A875,'13. Mapa Títulos-Receita'!$A$8:$P$1000,5,FALSE),"")</f>
        <v/>
      </c>
      <c r="U875" s="92">
        <f>IFERROR(VLOOKUP($A875,'13. Mapa Títulos-Receita'!$A$8:$P$1000,6,FALSE),"")</f>
        <v/>
      </c>
      <c r="V875" s="92">
        <f>IFERROR(VLOOKUP($A875,'13. Mapa Títulos-Receita'!$A$8:$P$1000,7,FALSE),"")</f>
        <v/>
      </c>
      <c r="W875" s="92">
        <f>IFERROR(VLOOKUP($A875,'13. Mapa Títulos-Receita'!$A$8:$P$1000,8,FALSE),"")</f>
        <v/>
      </c>
      <c r="X875" s="92">
        <f>IFERROR(VLOOKUP($A875,'13. Mapa Títulos-Receita'!$A$8:$P$1000,9,FALSE),"")</f>
        <v/>
      </c>
      <c r="Y875" s="92">
        <f>IFERROR(VLOOKUP($A875,'13. Mapa Títulos-Receita'!$A$8:$P$1000,10,FALSE),"")</f>
        <v/>
      </c>
      <c r="Z875" s="92">
        <f>IFERROR(VLOOKUP($A875,'13. Mapa Títulos-Receita'!$A$8:$P$1000,11,FALSE),"")</f>
        <v/>
      </c>
      <c r="AA875" s="92">
        <f>IFERROR(VLOOKUP($A875,'13. Mapa Títulos-Receita'!$A$8:$P$1000,12,FALSE),"")</f>
        <v/>
      </c>
      <c r="AB875" s="92">
        <f>IFERROR(VLOOKUP($A875,'13. Mapa Títulos-Receita'!$A$8:$P$1000,13,FALSE),"")</f>
        <v/>
      </c>
      <c r="AC875" s="92">
        <f>IFERROR(VLOOKUP($A875,'13. Mapa Títulos-Receita'!$A$8:$P$1000,14,FALSE),"")</f>
        <v/>
      </c>
      <c r="AD875" s="92">
        <f>IFERROR(VLOOKUP($A875,'13. Mapa Títulos-Receita'!$A$8:$P$1000,15,FALSE),"")</f>
        <v/>
      </c>
      <c r="AE875" s="92">
        <f>IFERROR(VLOOKUP($A875,'13. Mapa Títulos-Receita'!$A$8:$P$1000,16,FALSE),"")</f>
        <v/>
      </c>
    </row>
    <row r="876">
      <c r="A876" s="28">
        <f>IF(C876="","", "CR-"&amp;TEXT(ROW()-7,"000"))</f>
        <v/>
      </c>
      <c r="B876" s="28" t="n"/>
      <c r="C876" s="28" t="n"/>
      <c r="D876" s="111" t="n"/>
      <c r="E876" s="111" t="n"/>
      <c r="F876" s="111" t="n"/>
      <c r="G876" s="28" t="n"/>
      <c r="H876" s="45" t="n"/>
      <c r="I876" s="45" t="n"/>
      <c r="J876" s="28">
        <f>IF(H876="","",IF(I876&gt;=H876,"Recebido",IF($B$4&gt;E876,"Vencido","Aberto")))</f>
        <v/>
      </c>
      <c r="K876" s="4">
        <f>IF(J876="","",IF(OR(J876="Recebido",F876=""),MAX(0,F876-E876),MAX(0,$B$4-E876)))</f>
        <v/>
      </c>
      <c r="L876" s="4">
        <f>IF(K876="","",IF(K876=0,"Em dia",IF(K876&lt;=30,"1-30 dias",IF(K876&lt;=60,"31-60 dias",IF(K876&lt;=90,"61-90 dias","&gt;90 dias")))))</f>
        <v/>
      </c>
      <c r="M876" s="28" t="n"/>
      <c r="N876" s="104" t="inlineStr"/>
      <c r="O876" s="64" t="n"/>
      <c r="P876" s="64">
        <f>IF(C876="","",IF(ISNUMBER(SEARCH("PCMSO",C876)),"PCMSO",IF(OR(ISNUMBER(SEARCH("E-SOCIAL",C876)),ISNUMBER(SEARCH("PSICOSOCIAL",C876))),"eSocial / Psicossocial",IF(O876="Receita recorrente","Carteira recorrente","Projetos / Laudos / Avulsos"))))</f>
        <v/>
      </c>
      <c r="Q876" s="64">
        <f>IF(P876="","",IF(P876="Carteira recorrente","Operação recorrente",IF(P876="PCMSO","Projetos PCMSO",IF(P876="eSocial / Psicossocial","Projetos eSocial/Psicossocial","Projetos / Laudos / Avulsos"))))</f>
        <v/>
      </c>
      <c r="R876" s="64">
        <f>IF(C876="","",IF(ISNUMBER(SEARCH("PCMSO",C876)),"Título com PCMSO no nome",IF(OR(ISNUMBER(SEARCH("E-SOCIAL",C876)),ISNUMBER(SEARCH("PSICOSOCIAL",C876))),"Título com eSocial/Psicossocial no nome",IF(O876="Receita recorrente","Tipo DRE recorrente","Extra sem palavra-chave específica"))))</f>
        <v/>
      </c>
      <c r="S876" s="92">
        <f>IFERROR(VLOOKUP($A876,'13. Mapa Títulos-Receita'!$A$8:$P$1000,4,FALSE),"")</f>
        <v/>
      </c>
      <c r="T876" s="92">
        <f>IFERROR(VLOOKUP($A876,'13. Mapa Títulos-Receita'!$A$8:$P$1000,5,FALSE),"")</f>
        <v/>
      </c>
      <c r="U876" s="92">
        <f>IFERROR(VLOOKUP($A876,'13. Mapa Títulos-Receita'!$A$8:$P$1000,6,FALSE),"")</f>
        <v/>
      </c>
      <c r="V876" s="92">
        <f>IFERROR(VLOOKUP($A876,'13. Mapa Títulos-Receita'!$A$8:$P$1000,7,FALSE),"")</f>
        <v/>
      </c>
      <c r="W876" s="92">
        <f>IFERROR(VLOOKUP($A876,'13. Mapa Títulos-Receita'!$A$8:$P$1000,8,FALSE),"")</f>
        <v/>
      </c>
      <c r="X876" s="92">
        <f>IFERROR(VLOOKUP($A876,'13. Mapa Títulos-Receita'!$A$8:$P$1000,9,FALSE),"")</f>
        <v/>
      </c>
      <c r="Y876" s="92">
        <f>IFERROR(VLOOKUP($A876,'13. Mapa Títulos-Receita'!$A$8:$P$1000,10,FALSE),"")</f>
        <v/>
      </c>
      <c r="Z876" s="92">
        <f>IFERROR(VLOOKUP($A876,'13. Mapa Títulos-Receita'!$A$8:$P$1000,11,FALSE),"")</f>
        <v/>
      </c>
      <c r="AA876" s="92">
        <f>IFERROR(VLOOKUP($A876,'13. Mapa Títulos-Receita'!$A$8:$P$1000,12,FALSE),"")</f>
        <v/>
      </c>
      <c r="AB876" s="92">
        <f>IFERROR(VLOOKUP($A876,'13. Mapa Títulos-Receita'!$A$8:$P$1000,13,FALSE),"")</f>
        <v/>
      </c>
      <c r="AC876" s="92">
        <f>IFERROR(VLOOKUP($A876,'13. Mapa Títulos-Receita'!$A$8:$P$1000,14,FALSE),"")</f>
        <v/>
      </c>
      <c r="AD876" s="92">
        <f>IFERROR(VLOOKUP($A876,'13. Mapa Títulos-Receita'!$A$8:$P$1000,15,FALSE),"")</f>
        <v/>
      </c>
      <c r="AE876" s="92">
        <f>IFERROR(VLOOKUP($A876,'13. Mapa Títulos-Receita'!$A$8:$P$1000,16,FALSE),"")</f>
        <v/>
      </c>
    </row>
    <row r="877">
      <c r="A877" s="28">
        <f>IF(C877="","", "CR-"&amp;TEXT(ROW()-7,"000"))</f>
        <v/>
      </c>
      <c r="B877" s="28" t="n"/>
      <c r="C877" s="28" t="n"/>
      <c r="D877" s="111" t="n"/>
      <c r="E877" s="111" t="n"/>
      <c r="F877" s="111" t="n"/>
      <c r="G877" s="28" t="n"/>
      <c r="H877" s="45" t="n"/>
      <c r="I877" s="45" t="n"/>
      <c r="J877" s="28">
        <f>IF(H877="","",IF(I877&gt;=H877,"Recebido",IF($B$4&gt;E877,"Vencido","Aberto")))</f>
        <v/>
      </c>
      <c r="K877" s="4">
        <f>IF(J877="","",IF(OR(J877="Recebido",F877=""),MAX(0,F877-E877),MAX(0,$B$4-E877)))</f>
        <v/>
      </c>
      <c r="L877" s="4">
        <f>IF(K877="","",IF(K877=0,"Em dia",IF(K877&lt;=30,"1-30 dias",IF(K877&lt;=60,"31-60 dias",IF(K877&lt;=90,"61-90 dias","&gt;90 dias")))))</f>
        <v/>
      </c>
      <c r="M877" s="28" t="n"/>
      <c r="N877" s="104" t="inlineStr"/>
      <c r="O877" s="64" t="n"/>
      <c r="P877" s="64">
        <f>IF(C877="","",IF(ISNUMBER(SEARCH("PCMSO",C877)),"PCMSO",IF(OR(ISNUMBER(SEARCH("E-SOCIAL",C877)),ISNUMBER(SEARCH("PSICOSOCIAL",C877))),"eSocial / Psicossocial",IF(O877="Receita recorrente","Carteira recorrente","Projetos / Laudos / Avulsos"))))</f>
        <v/>
      </c>
      <c r="Q877" s="64">
        <f>IF(P877="","",IF(P877="Carteira recorrente","Operação recorrente",IF(P877="PCMSO","Projetos PCMSO",IF(P877="eSocial / Psicossocial","Projetos eSocial/Psicossocial","Projetos / Laudos / Avulsos"))))</f>
        <v/>
      </c>
      <c r="R877" s="64">
        <f>IF(C877="","",IF(ISNUMBER(SEARCH("PCMSO",C877)),"Título com PCMSO no nome",IF(OR(ISNUMBER(SEARCH("E-SOCIAL",C877)),ISNUMBER(SEARCH("PSICOSOCIAL",C877))),"Título com eSocial/Psicossocial no nome",IF(O877="Receita recorrente","Tipo DRE recorrente","Extra sem palavra-chave específica"))))</f>
        <v/>
      </c>
      <c r="S877" s="92">
        <f>IFERROR(VLOOKUP($A877,'13. Mapa Títulos-Receita'!$A$8:$P$1000,4,FALSE),"")</f>
        <v/>
      </c>
      <c r="T877" s="92">
        <f>IFERROR(VLOOKUP($A877,'13. Mapa Títulos-Receita'!$A$8:$P$1000,5,FALSE),"")</f>
        <v/>
      </c>
      <c r="U877" s="92">
        <f>IFERROR(VLOOKUP($A877,'13. Mapa Títulos-Receita'!$A$8:$P$1000,6,FALSE),"")</f>
        <v/>
      </c>
      <c r="V877" s="92">
        <f>IFERROR(VLOOKUP($A877,'13. Mapa Títulos-Receita'!$A$8:$P$1000,7,FALSE),"")</f>
        <v/>
      </c>
      <c r="W877" s="92">
        <f>IFERROR(VLOOKUP($A877,'13. Mapa Títulos-Receita'!$A$8:$P$1000,8,FALSE),"")</f>
        <v/>
      </c>
      <c r="X877" s="92">
        <f>IFERROR(VLOOKUP($A877,'13. Mapa Títulos-Receita'!$A$8:$P$1000,9,FALSE),"")</f>
        <v/>
      </c>
      <c r="Y877" s="92">
        <f>IFERROR(VLOOKUP($A877,'13. Mapa Títulos-Receita'!$A$8:$P$1000,10,FALSE),"")</f>
        <v/>
      </c>
      <c r="Z877" s="92">
        <f>IFERROR(VLOOKUP($A877,'13. Mapa Títulos-Receita'!$A$8:$P$1000,11,FALSE),"")</f>
        <v/>
      </c>
      <c r="AA877" s="92">
        <f>IFERROR(VLOOKUP($A877,'13. Mapa Títulos-Receita'!$A$8:$P$1000,12,FALSE),"")</f>
        <v/>
      </c>
      <c r="AB877" s="92">
        <f>IFERROR(VLOOKUP($A877,'13. Mapa Títulos-Receita'!$A$8:$P$1000,13,FALSE),"")</f>
        <v/>
      </c>
      <c r="AC877" s="92">
        <f>IFERROR(VLOOKUP($A877,'13. Mapa Títulos-Receita'!$A$8:$P$1000,14,FALSE),"")</f>
        <v/>
      </c>
      <c r="AD877" s="92">
        <f>IFERROR(VLOOKUP($A877,'13. Mapa Títulos-Receita'!$A$8:$P$1000,15,FALSE),"")</f>
        <v/>
      </c>
      <c r="AE877" s="92">
        <f>IFERROR(VLOOKUP($A877,'13. Mapa Títulos-Receita'!$A$8:$P$1000,16,FALSE),"")</f>
        <v/>
      </c>
    </row>
    <row r="878">
      <c r="A878" s="28">
        <f>IF(C878="","", "CR-"&amp;TEXT(ROW()-7,"000"))</f>
        <v/>
      </c>
      <c r="B878" s="28" t="n"/>
      <c r="C878" s="28" t="n"/>
      <c r="D878" s="111" t="n"/>
      <c r="E878" s="111" t="n"/>
      <c r="F878" s="111" t="n"/>
      <c r="G878" s="28" t="n"/>
      <c r="H878" s="45" t="n"/>
      <c r="I878" s="45" t="n"/>
      <c r="J878" s="28">
        <f>IF(H878="","",IF(I878&gt;=H878,"Recebido",IF($B$4&gt;E878,"Vencido","Aberto")))</f>
        <v/>
      </c>
      <c r="K878" s="4">
        <f>IF(J878="","",IF(OR(J878="Recebido",F878=""),MAX(0,F878-E878),MAX(0,$B$4-E878)))</f>
        <v/>
      </c>
      <c r="L878" s="4">
        <f>IF(K878="","",IF(K878=0,"Em dia",IF(K878&lt;=30,"1-30 dias",IF(K878&lt;=60,"31-60 dias",IF(K878&lt;=90,"61-90 dias","&gt;90 dias")))))</f>
        <v/>
      </c>
      <c r="M878" s="28" t="n"/>
      <c r="N878" s="104" t="inlineStr"/>
      <c r="O878" s="64" t="n"/>
      <c r="P878" s="64">
        <f>IF(C878="","",IF(ISNUMBER(SEARCH("PCMSO",C878)),"PCMSO",IF(OR(ISNUMBER(SEARCH("E-SOCIAL",C878)),ISNUMBER(SEARCH("PSICOSOCIAL",C878))),"eSocial / Psicossocial",IF(O878="Receita recorrente","Carteira recorrente","Projetos / Laudos / Avulsos"))))</f>
        <v/>
      </c>
      <c r="Q878" s="64">
        <f>IF(P878="","",IF(P878="Carteira recorrente","Operação recorrente",IF(P878="PCMSO","Projetos PCMSO",IF(P878="eSocial / Psicossocial","Projetos eSocial/Psicossocial","Projetos / Laudos / Avulsos"))))</f>
        <v/>
      </c>
      <c r="R878" s="64">
        <f>IF(C878="","",IF(ISNUMBER(SEARCH("PCMSO",C878)),"Título com PCMSO no nome",IF(OR(ISNUMBER(SEARCH("E-SOCIAL",C878)),ISNUMBER(SEARCH("PSICOSOCIAL",C878))),"Título com eSocial/Psicossocial no nome",IF(O878="Receita recorrente","Tipo DRE recorrente","Extra sem palavra-chave específica"))))</f>
        <v/>
      </c>
      <c r="S878" s="92">
        <f>IFERROR(VLOOKUP($A878,'13. Mapa Títulos-Receita'!$A$8:$P$1000,4,FALSE),"")</f>
        <v/>
      </c>
      <c r="T878" s="92">
        <f>IFERROR(VLOOKUP($A878,'13. Mapa Títulos-Receita'!$A$8:$P$1000,5,FALSE),"")</f>
        <v/>
      </c>
      <c r="U878" s="92">
        <f>IFERROR(VLOOKUP($A878,'13. Mapa Títulos-Receita'!$A$8:$P$1000,6,FALSE),"")</f>
        <v/>
      </c>
      <c r="V878" s="92">
        <f>IFERROR(VLOOKUP($A878,'13. Mapa Títulos-Receita'!$A$8:$P$1000,7,FALSE),"")</f>
        <v/>
      </c>
      <c r="W878" s="92">
        <f>IFERROR(VLOOKUP($A878,'13. Mapa Títulos-Receita'!$A$8:$P$1000,8,FALSE),"")</f>
        <v/>
      </c>
      <c r="X878" s="92">
        <f>IFERROR(VLOOKUP($A878,'13. Mapa Títulos-Receita'!$A$8:$P$1000,9,FALSE),"")</f>
        <v/>
      </c>
      <c r="Y878" s="92">
        <f>IFERROR(VLOOKUP($A878,'13. Mapa Títulos-Receita'!$A$8:$P$1000,10,FALSE),"")</f>
        <v/>
      </c>
      <c r="Z878" s="92">
        <f>IFERROR(VLOOKUP($A878,'13. Mapa Títulos-Receita'!$A$8:$P$1000,11,FALSE),"")</f>
        <v/>
      </c>
      <c r="AA878" s="92">
        <f>IFERROR(VLOOKUP($A878,'13. Mapa Títulos-Receita'!$A$8:$P$1000,12,FALSE),"")</f>
        <v/>
      </c>
      <c r="AB878" s="92">
        <f>IFERROR(VLOOKUP($A878,'13. Mapa Títulos-Receita'!$A$8:$P$1000,13,FALSE),"")</f>
        <v/>
      </c>
      <c r="AC878" s="92">
        <f>IFERROR(VLOOKUP($A878,'13. Mapa Títulos-Receita'!$A$8:$P$1000,14,FALSE),"")</f>
        <v/>
      </c>
      <c r="AD878" s="92">
        <f>IFERROR(VLOOKUP($A878,'13. Mapa Títulos-Receita'!$A$8:$P$1000,15,FALSE),"")</f>
        <v/>
      </c>
      <c r="AE878" s="92">
        <f>IFERROR(VLOOKUP($A878,'13. Mapa Títulos-Receita'!$A$8:$P$1000,16,FALSE),"")</f>
        <v/>
      </c>
    </row>
    <row r="879">
      <c r="A879" s="28">
        <f>IF(C879="","", "CR-"&amp;TEXT(ROW()-7,"000"))</f>
        <v/>
      </c>
      <c r="B879" s="28" t="n"/>
      <c r="C879" s="28" t="n"/>
      <c r="D879" s="111" t="n"/>
      <c r="E879" s="111" t="n"/>
      <c r="F879" s="111" t="n"/>
      <c r="G879" s="28" t="n"/>
      <c r="H879" s="45" t="n"/>
      <c r="I879" s="45" t="n"/>
      <c r="J879" s="28">
        <f>IF(H879="","",IF(I879&gt;=H879,"Recebido",IF($B$4&gt;E879,"Vencido","Aberto")))</f>
        <v/>
      </c>
      <c r="K879" s="4">
        <f>IF(J879="","",IF(OR(J879="Recebido",F879=""),MAX(0,F879-E879),MAX(0,$B$4-E879)))</f>
        <v/>
      </c>
      <c r="L879" s="4">
        <f>IF(K879="","",IF(K879=0,"Em dia",IF(K879&lt;=30,"1-30 dias",IF(K879&lt;=60,"31-60 dias",IF(K879&lt;=90,"61-90 dias","&gt;90 dias")))))</f>
        <v/>
      </c>
      <c r="M879" s="28" t="n"/>
      <c r="N879" s="104" t="inlineStr"/>
      <c r="O879" s="64" t="n"/>
      <c r="P879" s="64">
        <f>IF(C879="","",IF(ISNUMBER(SEARCH("PCMSO",C879)),"PCMSO",IF(OR(ISNUMBER(SEARCH("E-SOCIAL",C879)),ISNUMBER(SEARCH("PSICOSOCIAL",C879))),"eSocial / Psicossocial",IF(O879="Receita recorrente","Carteira recorrente","Projetos / Laudos / Avulsos"))))</f>
        <v/>
      </c>
      <c r="Q879" s="64">
        <f>IF(P879="","",IF(P879="Carteira recorrente","Operação recorrente",IF(P879="PCMSO","Projetos PCMSO",IF(P879="eSocial / Psicossocial","Projetos eSocial/Psicossocial","Projetos / Laudos / Avulsos"))))</f>
        <v/>
      </c>
      <c r="R879" s="64">
        <f>IF(C879="","",IF(ISNUMBER(SEARCH("PCMSO",C879)),"Título com PCMSO no nome",IF(OR(ISNUMBER(SEARCH("E-SOCIAL",C879)),ISNUMBER(SEARCH("PSICOSOCIAL",C879))),"Título com eSocial/Psicossocial no nome",IF(O879="Receita recorrente","Tipo DRE recorrente","Extra sem palavra-chave específica"))))</f>
        <v/>
      </c>
      <c r="S879" s="92">
        <f>IFERROR(VLOOKUP($A879,'13. Mapa Títulos-Receita'!$A$8:$P$1000,4,FALSE),"")</f>
        <v/>
      </c>
      <c r="T879" s="92">
        <f>IFERROR(VLOOKUP($A879,'13. Mapa Títulos-Receita'!$A$8:$P$1000,5,FALSE),"")</f>
        <v/>
      </c>
      <c r="U879" s="92">
        <f>IFERROR(VLOOKUP($A879,'13. Mapa Títulos-Receita'!$A$8:$P$1000,6,FALSE),"")</f>
        <v/>
      </c>
      <c r="V879" s="92">
        <f>IFERROR(VLOOKUP($A879,'13. Mapa Títulos-Receita'!$A$8:$P$1000,7,FALSE),"")</f>
        <v/>
      </c>
      <c r="W879" s="92">
        <f>IFERROR(VLOOKUP($A879,'13. Mapa Títulos-Receita'!$A$8:$P$1000,8,FALSE),"")</f>
        <v/>
      </c>
      <c r="X879" s="92">
        <f>IFERROR(VLOOKUP($A879,'13. Mapa Títulos-Receita'!$A$8:$P$1000,9,FALSE),"")</f>
        <v/>
      </c>
      <c r="Y879" s="92">
        <f>IFERROR(VLOOKUP($A879,'13. Mapa Títulos-Receita'!$A$8:$P$1000,10,FALSE),"")</f>
        <v/>
      </c>
      <c r="Z879" s="92">
        <f>IFERROR(VLOOKUP($A879,'13. Mapa Títulos-Receita'!$A$8:$P$1000,11,FALSE),"")</f>
        <v/>
      </c>
      <c r="AA879" s="92">
        <f>IFERROR(VLOOKUP($A879,'13. Mapa Títulos-Receita'!$A$8:$P$1000,12,FALSE),"")</f>
        <v/>
      </c>
      <c r="AB879" s="92">
        <f>IFERROR(VLOOKUP($A879,'13. Mapa Títulos-Receita'!$A$8:$P$1000,13,FALSE),"")</f>
        <v/>
      </c>
      <c r="AC879" s="92">
        <f>IFERROR(VLOOKUP($A879,'13. Mapa Títulos-Receita'!$A$8:$P$1000,14,FALSE),"")</f>
        <v/>
      </c>
      <c r="AD879" s="92">
        <f>IFERROR(VLOOKUP($A879,'13. Mapa Títulos-Receita'!$A$8:$P$1000,15,FALSE),"")</f>
        <v/>
      </c>
      <c r="AE879" s="92">
        <f>IFERROR(VLOOKUP($A879,'13. Mapa Títulos-Receita'!$A$8:$P$1000,16,FALSE),"")</f>
        <v/>
      </c>
    </row>
    <row r="880">
      <c r="A880" s="28">
        <f>IF(C880="","", "CR-"&amp;TEXT(ROW()-7,"000"))</f>
        <v/>
      </c>
      <c r="B880" s="28" t="n"/>
      <c r="C880" s="28" t="n"/>
      <c r="D880" s="111" t="n"/>
      <c r="E880" s="111" t="n"/>
      <c r="F880" s="111" t="n"/>
      <c r="G880" s="28" t="n"/>
      <c r="H880" s="45" t="n"/>
      <c r="I880" s="45" t="n"/>
      <c r="J880" s="28">
        <f>IF(H880="","",IF(I880&gt;=H880,"Recebido",IF($B$4&gt;E880,"Vencido","Aberto")))</f>
        <v/>
      </c>
      <c r="K880" s="4">
        <f>IF(J880="","",IF(OR(J880="Recebido",F880=""),MAX(0,F880-E880),MAX(0,$B$4-E880)))</f>
        <v/>
      </c>
      <c r="L880" s="4">
        <f>IF(K880="","",IF(K880=0,"Em dia",IF(K880&lt;=30,"1-30 dias",IF(K880&lt;=60,"31-60 dias",IF(K880&lt;=90,"61-90 dias","&gt;90 dias")))))</f>
        <v/>
      </c>
      <c r="M880" s="28" t="n"/>
      <c r="N880" s="104" t="inlineStr"/>
      <c r="O880" s="64" t="n"/>
      <c r="P880" s="64">
        <f>IF(C880="","",IF(ISNUMBER(SEARCH("PCMSO",C880)),"PCMSO",IF(OR(ISNUMBER(SEARCH("E-SOCIAL",C880)),ISNUMBER(SEARCH("PSICOSOCIAL",C880))),"eSocial / Psicossocial",IF(O880="Receita recorrente","Carteira recorrente","Projetos / Laudos / Avulsos"))))</f>
        <v/>
      </c>
      <c r="Q880" s="64">
        <f>IF(P880="","",IF(P880="Carteira recorrente","Operação recorrente",IF(P880="PCMSO","Projetos PCMSO",IF(P880="eSocial / Psicossocial","Projetos eSocial/Psicossocial","Projetos / Laudos / Avulsos"))))</f>
        <v/>
      </c>
      <c r="R880" s="64">
        <f>IF(C880="","",IF(ISNUMBER(SEARCH("PCMSO",C880)),"Título com PCMSO no nome",IF(OR(ISNUMBER(SEARCH("E-SOCIAL",C880)),ISNUMBER(SEARCH("PSICOSOCIAL",C880))),"Título com eSocial/Psicossocial no nome",IF(O880="Receita recorrente","Tipo DRE recorrente","Extra sem palavra-chave específica"))))</f>
        <v/>
      </c>
      <c r="S880" s="92">
        <f>IFERROR(VLOOKUP($A880,'13. Mapa Títulos-Receita'!$A$8:$P$1000,4,FALSE),"")</f>
        <v/>
      </c>
      <c r="T880" s="92">
        <f>IFERROR(VLOOKUP($A880,'13. Mapa Títulos-Receita'!$A$8:$P$1000,5,FALSE),"")</f>
        <v/>
      </c>
      <c r="U880" s="92">
        <f>IFERROR(VLOOKUP($A880,'13. Mapa Títulos-Receita'!$A$8:$P$1000,6,FALSE),"")</f>
        <v/>
      </c>
      <c r="V880" s="92">
        <f>IFERROR(VLOOKUP($A880,'13. Mapa Títulos-Receita'!$A$8:$P$1000,7,FALSE),"")</f>
        <v/>
      </c>
      <c r="W880" s="92">
        <f>IFERROR(VLOOKUP($A880,'13. Mapa Títulos-Receita'!$A$8:$P$1000,8,FALSE),"")</f>
        <v/>
      </c>
      <c r="X880" s="92">
        <f>IFERROR(VLOOKUP($A880,'13. Mapa Títulos-Receita'!$A$8:$P$1000,9,FALSE),"")</f>
        <v/>
      </c>
      <c r="Y880" s="92">
        <f>IFERROR(VLOOKUP($A880,'13. Mapa Títulos-Receita'!$A$8:$P$1000,10,FALSE),"")</f>
        <v/>
      </c>
      <c r="Z880" s="92">
        <f>IFERROR(VLOOKUP($A880,'13. Mapa Títulos-Receita'!$A$8:$P$1000,11,FALSE),"")</f>
        <v/>
      </c>
      <c r="AA880" s="92">
        <f>IFERROR(VLOOKUP($A880,'13. Mapa Títulos-Receita'!$A$8:$P$1000,12,FALSE),"")</f>
        <v/>
      </c>
      <c r="AB880" s="92">
        <f>IFERROR(VLOOKUP($A880,'13. Mapa Títulos-Receita'!$A$8:$P$1000,13,FALSE),"")</f>
        <v/>
      </c>
      <c r="AC880" s="92">
        <f>IFERROR(VLOOKUP($A880,'13. Mapa Títulos-Receita'!$A$8:$P$1000,14,FALSE),"")</f>
        <v/>
      </c>
      <c r="AD880" s="92">
        <f>IFERROR(VLOOKUP($A880,'13. Mapa Títulos-Receita'!$A$8:$P$1000,15,FALSE),"")</f>
        <v/>
      </c>
      <c r="AE880" s="92">
        <f>IFERROR(VLOOKUP($A880,'13. Mapa Títulos-Receita'!$A$8:$P$1000,16,FALSE),"")</f>
        <v/>
      </c>
    </row>
    <row r="881">
      <c r="A881" s="28">
        <f>IF(C881="","", "CR-"&amp;TEXT(ROW()-7,"000"))</f>
        <v/>
      </c>
      <c r="B881" s="28" t="n"/>
      <c r="C881" s="28" t="n"/>
      <c r="D881" s="111" t="n"/>
      <c r="E881" s="111" t="n"/>
      <c r="F881" s="111" t="n"/>
      <c r="G881" s="28" t="n"/>
      <c r="H881" s="45" t="n"/>
      <c r="I881" s="45" t="n"/>
      <c r="J881" s="28">
        <f>IF(H881="","",IF(I881&gt;=H881,"Recebido",IF($B$4&gt;E881,"Vencido","Aberto")))</f>
        <v/>
      </c>
      <c r="K881" s="4">
        <f>IF(J881="","",IF(OR(J881="Recebido",F881=""),MAX(0,F881-E881),MAX(0,$B$4-E881)))</f>
        <v/>
      </c>
      <c r="L881" s="4">
        <f>IF(K881="","",IF(K881=0,"Em dia",IF(K881&lt;=30,"1-30 dias",IF(K881&lt;=60,"31-60 dias",IF(K881&lt;=90,"61-90 dias","&gt;90 dias")))))</f>
        <v/>
      </c>
      <c r="M881" s="28" t="n"/>
      <c r="N881" s="104" t="inlineStr"/>
      <c r="O881" s="64" t="n"/>
      <c r="P881" s="64">
        <f>IF(C881="","",IF(ISNUMBER(SEARCH("PCMSO",C881)),"PCMSO",IF(OR(ISNUMBER(SEARCH("E-SOCIAL",C881)),ISNUMBER(SEARCH("PSICOSOCIAL",C881))),"eSocial / Psicossocial",IF(O881="Receita recorrente","Carteira recorrente","Projetos / Laudos / Avulsos"))))</f>
        <v/>
      </c>
      <c r="Q881" s="64">
        <f>IF(P881="","",IF(P881="Carteira recorrente","Operação recorrente",IF(P881="PCMSO","Projetos PCMSO",IF(P881="eSocial / Psicossocial","Projetos eSocial/Psicossocial","Projetos / Laudos / Avulsos"))))</f>
        <v/>
      </c>
      <c r="R881" s="64">
        <f>IF(C881="","",IF(ISNUMBER(SEARCH("PCMSO",C881)),"Título com PCMSO no nome",IF(OR(ISNUMBER(SEARCH("E-SOCIAL",C881)),ISNUMBER(SEARCH("PSICOSOCIAL",C881))),"Título com eSocial/Psicossocial no nome",IF(O881="Receita recorrente","Tipo DRE recorrente","Extra sem palavra-chave específica"))))</f>
        <v/>
      </c>
      <c r="S881" s="92">
        <f>IFERROR(VLOOKUP($A881,'13. Mapa Títulos-Receita'!$A$8:$P$1000,4,FALSE),"")</f>
        <v/>
      </c>
      <c r="T881" s="92">
        <f>IFERROR(VLOOKUP($A881,'13. Mapa Títulos-Receita'!$A$8:$P$1000,5,FALSE),"")</f>
        <v/>
      </c>
      <c r="U881" s="92">
        <f>IFERROR(VLOOKUP($A881,'13. Mapa Títulos-Receita'!$A$8:$P$1000,6,FALSE),"")</f>
        <v/>
      </c>
      <c r="V881" s="92">
        <f>IFERROR(VLOOKUP($A881,'13. Mapa Títulos-Receita'!$A$8:$P$1000,7,FALSE),"")</f>
        <v/>
      </c>
      <c r="W881" s="92">
        <f>IFERROR(VLOOKUP($A881,'13. Mapa Títulos-Receita'!$A$8:$P$1000,8,FALSE),"")</f>
        <v/>
      </c>
      <c r="X881" s="92">
        <f>IFERROR(VLOOKUP($A881,'13. Mapa Títulos-Receita'!$A$8:$P$1000,9,FALSE),"")</f>
        <v/>
      </c>
      <c r="Y881" s="92">
        <f>IFERROR(VLOOKUP($A881,'13. Mapa Títulos-Receita'!$A$8:$P$1000,10,FALSE),"")</f>
        <v/>
      </c>
      <c r="Z881" s="92">
        <f>IFERROR(VLOOKUP($A881,'13. Mapa Títulos-Receita'!$A$8:$P$1000,11,FALSE),"")</f>
        <v/>
      </c>
      <c r="AA881" s="92">
        <f>IFERROR(VLOOKUP($A881,'13. Mapa Títulos-Receita'!$A$8:$P$1000,12,FALSE),"")</f>
        <v/>
      </c>
      <c r="AB881" s="92">
        <f>IFERROR(VLOOKUP($A881,'13. Mapa Títulos-Receita'!$A$8:$P$1000,13,FALSE),"")</f>
        <v/>
      </c>
      <c r="AC881" s="92">
        <f>IFERROR(VLOOKUP($A881,'13. Mapa Títulos-Receita'!$A$8:$P$1000,14,FALSE),"")</f>
        <v/>
      </c>
      <c r="AD881" s="92">
        <f>IFERROR(VLOOKUP($A881,'13. Mapa Títulos-Receita'!$A$8:$P$1000,15,FALSE),"")</f>
        <v/>
      </c>
      <c r="AE881" s="92">
        <f>IFERROR(VLOOKUP($A881,'13. Mapa Títulos-Receita'!$A$8:$P$1000,16,FALSE),"")</f>
        <v/>
      </c>
    </row>
    <row r="882">
      <c r="A882" s="28">
        <f>IF(C882="","", "CR-"&amp;TEXT(ROW()-7,"000"))</f>
        <v/>
      </c>
      <c r="B882" s="28" t="n"/>
      <c r="C882" s="28" t="n"/>
      <c r="D882" s="111" t="n"/>
      <c r="E882" s="111" t="n"/>
      <c r="F882" s="111" t="n"/>
      <c r="G882" s="28" t="n"/>
      <c r="H882" s="45" t="n"/>
      <c r="I882" s="45" t="n"/>
      <c r="J882" s="28">
        <f>IF(H882="","",IF(I882&gt;=H882,"Recebido",IF($B$4&gt;E882,"Vencido","Aberto")))</f>
        <v/>
      </c>
      <c r="K882" s="4">
        <f>IF(J882="","",IF(OR(J882="Recebido",F882=""),MAX(0,F882-E882),MAX(0,$B$4-E882)))</f>
        <v/>
      </c>
      <c r="L882" s="4">
        <f>IF(K882="","",IF(K882=0,"Em dia",IF(K882&lt;=30,"1-30 dias",IF(K882&lt;=60,"31-60 dias",IF(K882&lt;=90,"61-90 dias","&gt;90 dias")))))</f>
        <v/>
      </c>
      <c r="M882" s="28" t="n"/>
      <c r="N882" s="104" t="inlineStr"/>
      <c r="O882" s="64" t="n"/>
      <c r="P882" s="64">
        <f>IF(C882="","",IF(ISNUMBER(SEARCH("PCMSO",C882)),"PCMSO",IF(OR(ISNUMBER(SEARCH("E-SOCIAL",C882)),ISNUMBER(SEARCH("PSICOSOCIAL",C882))),"eSocial / Psicossocial",IF(O882="Receita recorrente","Carteira recorrente","Projetos / Laudos / Avulsos"))))</f>
        <v/>
      </c>
      <c r="Q882" s="64">
        <f>IF(P882="","",IF(P882="Carteira recorrente","Operação recorrente",IF(P882="PCMSO","Projetos PCMSO",IF(P882="eSocial / Psicossocial","Projetos eSocial/Psicossocial","Projetos / Laudos / Avulsos"))))</f>
        <v/>
      </c>
      <c r="R882" s="64">
        <f>IF(C882="","",IF(ISNUMBER(SEARCH("PCMSO",C882)),"Título com PCMSO no nome",IF(OR(ISNUMBER(SEARCH("E-SOCIAL",C882)),ISNUMBER(SEARCH("PSICOSOCIAL",C882))),"Título com eSocial/Psicossocial no nome",IF(O882="Receita recorrente","Tipo DRE recorrente","Extra sem palavra-chave específica"))))</f>
        <v/>
      </c>
      <c r="S882" s="92">
        <f>IFERROR(VLOOKUP($A882,'13. Mapa Títulos-Receita'!$A$8:$P$1000,4,FALSE),"")</f>
        <v/>
      </c>
      <c r="T882" s="92">
        <f>IFERROR(VLOOKUP($A882,'13. Mapa Títulos-Receita'!$A$8:$P$1000,5,FALSE),"")</f>
        <v/>
      </c>
      <c r="U882" s="92">
        <f>IFERROR(VLOOKUP($A882,'13. Mapa Títulos-Receita'!$A$8:$P$1000,6,FALSE),"")</f>
        <v/>
      </c>
      <c r="V882" s="92">
        <f>IFERROR(VLOOKUP($A882,'13. Mapa Títulos-Receita'!$A$8:$P$1000,7,FALSE),"")</f>
        <v/>
      </c>
      <c r="W882" s="92">
        <f>IFERROR(VLOOKUP($A882,'13. Mapa Títulos-Receita'!$A$8:$P$1000,8,FALSE),"")</f>
        <v/>
      </c>
      <c r="X882" s="92">
        <f>IFERROR(VLOOKUP($A882,'13. Mapa Títulos-Receita'!$A$8:$P$1000,9,FALSE),"")</f>
        <v/>
      </c>
      <c r="Y882" s="92">
        <f>IFERROR(VLOOKUP($A882,'13. Mapa Títulos-Receita'!$A$8:$P$1000,10,FALSE),"")</f>
        <v/>
      </c>
      <c r="Z882" s="92">
        <f>IFERROR(VLOOKUP($A882,'13. Mapa Títulos-Receita'!$A$8:$P$1000,11,FALSE),"")</f>
        <v/>
      </c>
      <c r="AA882" s="92">
        <f>IFERROR(VLOOKUP($A882,'13. Mapa Títulos-Receita'!$A$8:$P$1000,12,FALSE),"")</f>
        <v/>
      </c>
      <c r="AB882" s="92">
        <f>IFERROR(VLOOKUP($A882,'13. Mapa Títulos-Receita'!$A$8:$P$1000,13,FALSE),"")</f>
        <v/>
      </c>
      <c r="AC882" s="92">
        <f>IFERROR(VLOOKUP($A882,'13. Mapa Títulos-Receita'!$A$8:$P$1000,14,FALSE),"")</f>
        <v/>
      </c>
      <c r="AD882" s="92">
        <f>IFERROR(VLOOKUP($A882,'13. Mapa Títulos-Receita'!$A$8:$P$1000,15,FALSE),"")</f>
        <v/>
      </c>
      <c r="AE882" s="92">
        <f>IFERROR(VLOOKUP($A882,'13. Mapa Títulos-Receita'!$A$8:$P$1000,16,FALSE),"")</f>
        <v/>
      </c>
    </row>
    <row r="883">
      <c r="A883" s="28">
        <f>IF(C883="","", "CR-"&amp;TEXT(ROW()-7,"000"))</f>
        <v/>
      </c>
      <c r="B883" s="28" t="n"/>
      <c r="C883" s="28" t="n"/>
      <c r="D883" s="111" t="n"/>
      <c r="E883" s="111" t="n"/>
      <c r="F883" s="111" t="n"/>
      <c r="G883" s="28" t="n"/>
      <c r="H883" s="45" t="n"/>
      <c r="I883" s="45" t="n"/>
      <c r="J883" s="28">
        <f>IF(H883="","",IF(I883&gt;=H883,"Recebido",IF($B$4&gt;E883,"Vencido","Aberto")))</f>
        <v/>
      </c>
      <c r="K883" s="4">
        <f>IF(J883="","",IF(OR(J883="Recebido",F883=""),MAX(0,F883-E883),MAX(0,$B$4-E883)))</f>
        <v/>
      </c>
      <c r="L883" s="4">
        <f>IF(K883="","",IF(K883=0,"Em dia",IF(K883&lt;=30,"1-30 dias",IF(K883&lt;=60,"31-60 dias",IF(K883&lt;=90,"61-90 dias","&gt;90 dias")))))</f>
        <v/>
      </c>
      <c r="M883" s="28" t="n"/>
      <c r="N883" s="104" t="inlineStr"/>
      <c r="O883" s="64" t="n"/>
      <c r="P883" s="64">
        <f>IF(C883="","",IF(ISNUMBER(SEARCH("PCMSO",C883)),"PCMSO",IF(OR(ISNUMBER(SEARCH("E-SOCIAL",C883)),ISNUMBER(SEARCH("PSICOSOCIAL",C883))),"eSocial / Psicossocial",IF(O883="Receita recorrente","Carteira recorrente","Projetos / Laudos / Avulsos"))))</f>
        <v/>
      </c>
      <c r="Q883" s="64">
        <f>IF(P883="","",IF(P883="Carteira recorrente","Operação recorrente",IF(P883="PCMSO","Projetos PCMSO",IF(P883="eSocial / Psicossocial","Projetos eSocial/Psicossocial","Projetos / Laudos / Avulsos"))))</f>
        <v/>
      </c>
      <c r="R883" s="64">
        <f>IF(C883="","",IF(ISNUMBER(SEARCH("PCMSO",C883)),"Título com PCMSO no nome",IF(OR(ISNUMBER(SEARCH("E-SOCIAL",C883)),ISNUMBER(SEARCH("PSICOSOCIAL",C883))),"Título com eSocial/Psicossocial no nome",IF(O883="Receita recorrente","Tipo DRE recorrente","Extra sem palavra-chave específica"))))</f>
        <v/>
      </c>
      <c r="S883" s="92">
        <f>IFERROR(VLOOKUP($A883,'13. Mapa Títulos-Receita'!$A$8:$P$1000,4,FALSE),"")</f>
        <v/>
      </c>
      <c r="T883" s="92">
        <f>IFERROR(VLOOKUP($A883,'13. Mapa Títulos-Receita'!$A$8:$P$1000,5,FALSE),"")</f>
        <v/>
      </c>
      <c r="U883" s="92">
        <f>IFERROR(VLOOKUP($A883,'13. Mapa Títulos-Receita'!$A$8:$P$1000,6,FALSE),"")</f>
        <v/>
      </c>
      <c r="V883" s="92">
        <f>IFERROR(VLOOKUP($A883,'13. Mapa Títulos-Receita'!$A$8:$P$1000,7,FALSE),"")</f>
        <v/>
      </c>
      <c r="W883" s="92">
        <f>IFERROR(VLOOKUP($A883,'13. Mapa Títulos-Receita'!$A$8:$P$1000,8,FALSE),"")</f>
        <v/>
      </c>
      <c r="X883" s="92">
        <f>IFERROR(VLOOKUP($A883,'13. Mapa Títulos-Receita'!$A$8:$P$1000,9,FALSE),"")</f>
        <v/>
      </c>
      <c r="Y883" s="92">
        <f>IFERROR(VLOOKUP($A883,'13. Mapa Títulos-Receita'!$A$8:$P$1000,10,FALSE),"")</f>
        <v/>
      </c>
      <c r="Z883" s="92">
        <f>IFERROR(VLOOKUP($A883,'13. Mapa Títulos-Receita'!$A$8:$P$1000,11,FALSE),"")</f>
        <v/>
      </c>
      <c r="AA883" s="92">
        <f>IFERROR(VLOOKUP($A883,'13. Mapa Títulos-Receita'!$A$8:$P$1000,12,FALSE),"")</f>
        <v/>
      </c>
      <c r="AB883" s="92">
        <f>IFERROR(VLOOKUP($A883,'13. Mapa Títulos-Receita'!$A$8:$P$1000,13,FALSE),"")</f>
        <v/>
      </c>
      <c r="AC883" s="92">
        <f>IFERROR(VLOOKUP($A883,'13. Mapa Títulos-Receita'!$A$8:$P$1000,14,FALSE),"")</f>
        <v/>
      </c>
      <c r="AD883" s="92">
        <f>IFERROR(VLOOKUP($A883,'13. Mapa Títulos-Receita'!$A$8:$P$1000,15,FALSE),"")</f>
        <v/>
      </c>
      <c r="AE883" s="92">
        <f>IFERROR(VLOOKUP($A883,'13. Mapa Títulos-Receita'!$A$8:$P$1000,16,FALSE),"")</f>
        <v/>
      </c>
    </row>
    <row r="884">
      <c r="A884" s="28">
        <f>IF(C884="","", "CR-"&amp;TEXT(ROW()-7,"000"))</f>
        <v/>
      </c>
      <c r="B884" s="28" t="n"/>
      <c r="C884" s="28" t="n"/>
      <c r="D884" s="111" t="n"/>
      <c r="E884" s="111" t="n"/>
      <c r="F884" s="111" t="n"/>
      <c r="G884" s="28" t="n"/>
      <c r="H884" s="45" t="n"/>
      <c r="I884" s="45" t="n"/>
      <c r="J884" s="28">
        <f>IF(H884="","",IF(I884&gt;=H884,"Recebido",IF($B$4&gt;E884,"Vencido","Aberto")))</f>
        <v/>
      </c>
      <c r="K884" s="4">
        <f>IF(J884="","",IF(OR(J884="Recebido",F884=""),MAX(0,F884-E884),MAX(0,$B$4-E884)))</f>
        <v/>
      </c>
      <c r="L884" s="4">
        <f>IF(K884="","",IF(K884=0,"Em dia",IF(K884&lt;=30,"1-30 dias",IF(K884&lt;=60,"31-60 dias",IF(K884&lt;=90,"61-90 dias","&gt;90 dias")))))</f>
        <v/>
      </c>
      <c r="M884" s="28" t="n"/>
      <c r="N884" s="104" t="inlineStr"/>
      <c r="O884" s="64" t="n"/>
      <c r="P884" s="64">
        <f>IF(C884="","",IF(ISNUMBER(SEARCH("PCMSO",C884)),"PCMSO",IF(OR(ISNUMBER(SEARCH("E-SOCIAL",C884)),ISNUMBER(SEARCH("PSICOSOCIAL",C884))),"eSocial / Psicossocial",IF(O884="Receita recorrente","Carteira recorrente","Projetos / Laudos / Avulsos"))))</f>
        <v/>
      </c>
      <c r="Q884" s="64">
        <f>IF(P884="","",IF(P884="Carteira recorrente","Operação recorrente",IF(P884="PCMSO","Projetos PCMSO",IF(P884="eSocial / Psicossocial","Projetos eSocial/Psicossocial","Projetos / Laudos / Avulsos"))))</f>
        <v/>
      </c>
      <c r="R884" s="64">
        <f>IF(C884="","",IF(ISNUMBER(SEARCH("PCMSO",C884)),"Título com PCMSO no nome",IF(OR(ISNUMBER(SEARCH("E-SOCIAL",C884)),ISNUMBER(SEARCH("PSICOSOCIAL",C884))),"Título com eSocial/Psicossocial no nome",IF(O884="Receita recorrente","Tipo DRE recorrente","Extra sem palavra-chave específica"))))</f>
        <v/>
      </c>
      <c r="S884" s="92">
        <f>IFERROR(VLOOKUP($A884,'13. Mapa Títulos-Receita'!$A$8:$P$1000,4,FALSE),"")</f>
        <v/>
      </c>
      <c r="T884" s="92">
        <f>IFERROR(VLOOKUP($A884,'13. Mapa Títulos-Receita'!$A$8:$P$1000,5,FALSE),"")</f>
        <v/>
      </c>
      <c r="U884" s="92">
        <f>IFERROR(VLOOKUP($A884,'13. Mapa Títulos-Receita'!$A$8:$P$1000,6,FALSE),"")</f>
        <v/>
      </c>
      <c r="V884" s="92">
        <f>IFERROR(VLOOKUP($A884,'13. Mapa Títulos-Receita'!$A$8:$P$1000,7,FALSE),"")</f>
        <v/>
      </c>
      <c r="W884" s="92">
        <f>IFERROR(VLOOKUP($A884,'13. Mapa Títulos-Receita'!$A$8:$P$1000,8,FALSE),"")</f>
        <v/>
      </c>
      <c r="X884" s="92">
        <f>IFERROR(VLOOKUP($A884,'13. Mapa Títulos-Receita'!$A$8:$P$1000,9,FALSE),"")</f>
        <v/>
      </c>
      <c r="Y884" s="92">
        <f>IFERROR(VLOOKUP($A884,'13. Mapa Títulos-Receita'!$A$8:$P$1000,10,FALSE),"")</f>
        <v/>
      </c>
      <c r="Z884" s="92">
        <f>IFERROR(VLOOKUP($A884,'13. Mapa Títulos-Receita'!$A$8:$P$1000,11,FALSE),"")</f>
        <v/>
      </c>
      <c r="AA884" s="92">
        <f>IFERROR(VLOOKUP($A884,'13. Mapa Títulos-Receita'!$A$8:$P$1000,12,FALSE),"")</f>
        <v/>
      </c>
      <c r="AB884" s="92">
        <f>IFERROR(VLOOKUP($A884,'13. Mapa Títulos-Receita'!$A$8:$P$1000,13,FALSE),"")</f>
        <v/>
      </c>
      <c r="AC884" s="92">
        <f>IFERROR(VLOOKUP($A884,'13. Mapa Títulos-Receita'!$A$8:$P$1000,14,FALSE),"")</f>
        <v/>
      </c>
      <c r="AD884" s="92">
        <f>IFERROR(VLOOKUP($A884,'13. Mapa Títulos-Receita'!$A$8:$P$1000,15,FALSE),"")</f>
        <v/>
      </c>
      <c r="AE884" s="92">
        <f>IFERROR(VLOOKUP($A884,'13. Mapa Títulos-Receita'!$A$8:$P$1000,16,FALSE),"")</f>
        <v/>
      </c>
    </row>
    <row r="885">
      <c r="A885" s="28">
        <f>IF(C885="","", "CR-"&amp;TEXT(ROW()-7,"000"))</f>
        <v/>
      </c>
      <c r="B885" s="28" t="n"/>
      <c r="C885" s="28" t="n"/>
      <c r="D885" s="111" t="n"/>
      <c r="E885" s="111" t="n"/>
      <c r="F885" s="111" t="n"/>
      <c r="G885" s="28" t="n"/>
      <c r="H885" s="45" t="n"/>
      <c r="I885" s="45" t="n"/>
      <c r="J885" s="28">
        <f>IF(H885="","",IF(I885&gt;=H885,"Recebido",IF($B$4&gt;E885,"Vencido","Aberto")))</f>
        <v/>
      </c>
      <c r="K885" s="4">
        <f>IF(J885="","",IF(OR(J885="Recebido",F885=""),MAX(0,F885-E885),MAX(0,$B$4-E885)))</f>
        <v/>
      </c>
      <c r="L885" s="4">
        <f>IF(K885="","",IF(K885=0,"Em dia",IF(K885&lt;=30,"1-30 dias",IF(K885&lt;=60,"31-60 dias",IF(K885&lt;=90,"61-90 dias","&gt;90 dias")))))</f>
        <v/>
      </c>
      <c r="M885" s="28" t="n"/>
      <c r="N885" s="104" t="inlineStr"/>
      <c r="O885" s="64" t="n"/>
      <c r="P885" s="64">
        <f>IF(C885="","",IF(ISNUMBER(SEARCH("PCMSO",C885)),"PCMSO",IF(OR(ISNUMBER(SEARCH("E-SOCIAL",C885)),ISNUMBER(SEARCH("PSICOSOCIAL",C885))),"eSocial / Psicossocial",IF(O885="Receita recorrente","Carteira recorrente","Projetos / Laudos / Avulsos"))))</f>
        <v/>
      </c>
      <c r="Q885" s="64">
        <f>IF(P885="","",IF(P885="Carteira recorrente","Operação recorrente",IF(P885="PCMSO","Projetos PCMSO",IF(P885="eSocial / Psicossocial","Projetos eSocial/Psicossocial","Projetos / Laudos / Avulsos"))))</f>
        <v/>
      </c>
      <c r="R885" s="64">
        <f>IF(C885="","",IF(ISNUMBER(SEARCH("PCMSO",C885)),"Título com PCMSO no nome",IF(OR(ISNUMBER(SEARCH("E-SOCIAL",C885)),ISNUMBER(SEARCH("PSICOSOCIAL",C885))),"Título com eSocial/Psicossocial no nome",IF(O885="Receita recorrente","Tipo DRE recorrente","Extra sem palavra-chave específica"))))</f>
        <v/>
      </c>
      <c r="S885" s="92">
        <f>IFERROR(VLOOKUP($A885,'13. Mapa Títulos-Receita'!$A$8:$P$1000,4,FALSE),"")</f>
        <v/>
      </c>
      <c r="T885" s="92">
        <f>IFERROR(VLOOKUP($A885,'13. Mapa Títulos-Receita'!$A$8:$P$1000,5,FALSE),"")</f>
        <v/>
      </c>
      <c r="U885" s="92">
        <f>IFERROR(VLOOKUP($A885,'13. Mapa Títulos-Receita'!$A$8:$P$1000,6,FALSE),"")</f>
        <v/>
      </c>
      <c r="V885" s="92">
        <f>IFERROR(VLOOKUP($A885,'13. Mapa Títulos-Receita'!$A$8:$P$1000,7,FALSE),"")</f>
        <v/>
      </c>
      <c r="W885" s="92">
        <f>IFERROR(VLOOKUP($A885,'13. Mapa Títulos-Receita'!$A$8:$P$1000,8,FALSE),"")</f>
        <v/>
      </c>
      <c r="X885" s="92">
        <f>IFERROR(VLOOKUP($A885,'13. Mapa Títulos-Receita'!$A$8:$P$1000,9,FALSE),"")</f>
        <v/>
      </c>
      <c r="Y885" s="92">
        <f>IFERROR(VLOOKUP($A885,'13. Mapa Títulos-Receita'!$A$8:$P$1000,10,FALSE),"")</f>
        <v/>
      </c>
      <c r="Z885" s="92">
        <f>IFERROR(VLOOKUP($A885,'13. Mapa Títulos-Receita'!$A$8:$P$1000,11,FALSE),"")</f>
        <v/>
      </c>
      <c r="AA885" s="92">
        <f>IFERROR(VLOOKUP($A885,'13. Mapa Títulos-Receita'!$A$8:$P$1000,12,FALSE),"")</f>
        <v/>
      </c>
      <c r="AB885" s="92">
        <f>IFERROR(VLOOKUP($A885,'13. Mapa Títulos-Receita'!$A$8:$P$1000,13,FALSE),"")</f>
        <v/>
      </c>
      <c r="AC885" s="92">
        <f>IFERROR(VLOOKUP($A885,'13. Mapa Títulos-Receita'!$A$8:$P$1000,14,FALSE),"")</f>
        <v/>
      </c>
      <c r="AD885" s="92">
        <f>IFERROR(VLOOKUP($A885,'13. Mapa Títulos-Receita'!$A$8:$P$1000,15,FALSE),"")</f>
        <v/>
      </c>
      <c r="AE885" s="92">
        <f>IFERROR(VLOOKUP($A885,'13. Mapa Títulos-Receita'!$A$8:$P$1000,16,FALSE),"")</f>
        <v/>
      </c>
    </row>
    <row r="886">
      <c r="A886" s="28">
        <f>IF(C886="","", "CR-"&amp;TEXT(ROW()-7,"000"))</f>
        <v/>
      </c>
      <c r="B886" s="28" t="n"/>
      <c r="C886" s="28" t="n"/>
      <c r="D886" s="111" t="n"/>
      <c r="E886" s="111" t="n"/>
      <c r="F886" s="111" t="n"/>
      <c r="G886" s="28" t="n"/>
      <c r="H886" s="45" t="n"/>
      <c r="I886" s="45" t="n"/>
      <c r="J886" s="28">
        <f>IF(H886="","",IF(I886&gt;=H886,"Recebido",IF($B$4&gt;E886,"Vencido","Aberto")))</f>
        <v/>
      </c>
      <c r="K886" s="4">
        <f>IF(J886="","",IF(OR(J886="Recebido",F886=""),MAX(0,F886-E886),MAX(0,$B$4-E886)))</f>
        <v/>
      </c>
      <c r="L886" s="4">
        <f>IF(K886="","",IF(K886=0,"Em dia",IF(K886&lt;=30,"1-30 dias",IF(K886&lt;=60,"31-60 dias",IF(K886&lt;=90,"61-90 dias","&gt;90 dias")))))</f>
        <v/>
      </c>
      <c r="M886" s="28" t="n"/>
      <c r="N886" s="104" t="inlineStr"/>
      <c r="O886" s="64" t="n"/>
      <c r="P886" s="64">
        <f>IF(C886="","",IF(ISNUMBER(SEARCH("PCMSO",C886)),"PCMSO",IF(OR(ISNUMBER(SEARCH("E-SOCIAL",C886)),ISNUMBER(SEARCH("PSICOSOCIAL",C886))),"eSocial / Psicossocial",IF(O886="Receita recorrente","Carteira recorrente","Projetos / Laudos / Avulsos"))))</f>
        <v/>
      </c>
      <c r="Q886" s="64">
        <f>IF(P886="","",IF(P886="Carteira recorrente","Operação recorrente",IF(P886="PCMSO","Projetos PCMSO",IF(P886="eSocial / Psicossocial","Projetos eSocial/Psicossocial","Projetos / Laudos / Avulsos"))))</f>
        <v/>
      </c>
      <c r="R886" s="64">
        <f>IF(C886="","",IF(ISNUMBER(SEARCH("PCMSO",C886)),"Título com PCMSO no nome",IF(OR(ISNUMBER(SEARCH("E-SOCIAL",C886)),ISNUMBER(SEARCH("PSICOSOCIAL",C886))),"Título com eSocial/Psicossocial no nome",IF(O886="Receita recorrente","Tipo DRE recorrente","Extra sem palavra-chave específica"))))</f>
        <v/>
      </c>
      <c r="S886" s="92">
        <f>IFERROR(VLOOKUP($A886,'13. Mapa Títulos-Receita'!$A$8:$P$1000,4,FALSE),"")</f>
        <v/>
      </c>
      <c r="T886" s="92">
        <f>IFERROR(VLOOKUP($A886,'13. Mapa Títulos-Receita'!$A$8:$P$1000,5,FALSE),"")</f>
        <v/>
      </c>
      <c r="U886" s="92">
        <f>IFERROR(VLOOKUP($A886,'13. Mapa Títulos-Receita'!$A$8:$P$1000,6,FALSE),"")</f>
        <v/>
      </c>
      <c r="V886" s="92">
        <f>IFERROR(VLOOKUP($A886,'13. Mapa Títulos-Receita'!$A$8:$P$1000,7,FALSE),"")</f>
        <v/>
      </c>
      <c r="W886" s="92">
        <f>IFERROR(VLOOKUP($A886,'13. Mapa Títulos-Receita'!$A$8:$P$1000,8,FALSE),"")</f>
        <v/>
      </c>
      <c r="X886" s="92">
        <f>IFERROR(VLOOKUP($A886,'13. Mapa Títulos-Receita'!$A$8:$P$1000,9,FALSE),"")</f>
        <v/>
      </c>
      <c r="Y886" s="92">
        <f>IFERROR(VLOOKUP($A886,'13. Mapa Títulos-Receita'!$A$8:$P$1000,10,FALSE),"")</f>
        <v/>
      </c>
      <c r="Z886" s="92">
        <f>IFERROR(VLOOKUP($A886,'13. Mapa Títulos-Receita'!$A$8:$P$1000,11,FALSE),"")</f>
        <v/>
      </c>
      <c r="AA886" s="92">
        <f>IFERROR(VLOOKUP($A886,'13. Mapa Títulos-Receita'!$A$8:$P$1000,12,FALSE),"")</f>
        <v/>
      </c>
      <c r="AB886" s="92">
        <f>IFERROR(VLOOKUP($A886,'13. Mapa Títulos-Receita'!$A$8:$P$1000,13,FALSE),"")</f>
        <v/>
      </c>
      <c r="AC886" s="92">
        <f>IFERROR(VLOOKUP($A886,'13. Mapa Títulos-Receita'!$A$8:$P$1000,14,FALSE),"")</f>
        <v/>
      </c>
      <c r="AD886" s="92">
        <f>IFERROR(VLOOKUP($A886,'13. Mapa Títulos-Receita'!$A$8:$P$1000,15,FALSE),"")</f>
        <v/>
      </c>
      <c r="AE886" s="92">
        <f>IFERROR(VLOOKUP($A886,'13. Mapa Títulos-Receita'!$A$8:$P$1000,16,FALSE),"")</f>
        <v/>
      </c>
    </row>
    <row r="887">
      <c r="A887" s="28">
        <f>IF(C887="","", "CR-"&amp;TEXT(ROW()-7,"000"))</f>
        <v/>
      </c>
      <c r="B887" s="28" t="n"/>
      <c r="C887" s="28" t="n"/>
      <c r="D887" s="111" t="n"/>
      <c r="E887" s="111" t="n"/>
      <c r="F887" s="111" t="n"/>
      <c r="G887" s="28" t="n"/>
      <c r="H887" s="45" t="n"/>
      <c r="I887" s="45" t="n"/>
      <c r="J887" s="28">
        <f>IF(H887="","",IF(I887&gt;=H887,"Recebido",IF($B$4&gt;E887,"Vencido","Aberto")))</f>
        <v/>
      </c>
      <c r="K887" s="4">
        <f>IF(J887="","",IF(OR(J887="Recebido",F887=""),MAX(0,F887-E887),MAX(0,$B$4-E887)))</f>
        <v/>
      </c>
      <c r="L887" s="4">
        <f>IF(K887="","",IF(K887=0,"Em dia",IF(K887&lt;=30,"1-30 dias",IF(K887&lt;=60,"31-60 dias",IF(K887&lt;=90,"61-90 dias","&gt;90 dias")))))</f>
        <v/>
      </c>
      <c r="M887" s="28" t="n"/>
      <c r="N887" s="104" t="inlineStr"/>
      <c r="O887" s="64" t="n"/>
      <c r="P887" s="64">
        <f>IF(C887="","",IF(ISNUMBER(SEARCH("PCMSO",C887)),"PCMSO",IF(OR(ISNUMBER(SEARCH("E-SOCIAL",C887)),ISNUMBER(SEARCH("PSICOSOCIAL",C887))),"eSocial / Psicossocial",IF(O887="Receita recorrente","Carteira recorrente","Projetos / Laudos / Avulsos"))))</f>
        <v/>
      </c>
      <c r="Q887" s="64">
        <f>IF(P887="","",IF(P887="Carteira recorrente","Operação recorrente",IF(P887="PCMSO","Projetos PCMSO",IF(P887="eSocial / Psicossocial","Projetos eSocial/Psicossocial","Projetos / Laudos / Avulsos"))))</f>
        <v/>
      </c>
      <c r="R887" s="64">
        <f>IF(C887="","",IF(ISNUMBER(SEARCH("PCMSO",C887)),"Título com PCMSO no nome",IF(OR(ISNUMBER(SEARCH("E-SOCIAL",C887)),ISNUMBER(SEARCH("PSICOSOCIAL",C887))),"Título com eSocial/Psicossocial no nome",IF(O887="Receita recorrente","Tipo DRE recorrente","Extra sem palavra-chave específica"))))</f>
        <v/>
      </c>
      <c r="S887" s="92">
        <f>IFERROR(VLOOKUP($A887,'13. Mapa Títulos-Receita'!$A$8:$P$1000,4,FALSE),"")</f>
        <v/>
      </c>
      <c r="T887" s="92">
        <f>IFERROR(VLOOKUP($A887,'13. Mapa Títulos-Receita'!$A$8:$P$1000,5,FALSE),"")</f>
        <v/>
      </c>
      <c r="U887" s="92">
        <f>IFERROR(VLOOKUP($A887,'13. Mapa Títulos-Receita'!$A$8:$P$1000,6,FALSE),"")</f>
        <v/>
      </c>
      <c r="V887" s="92">
        <f>IFERROR(VLOOKUP($A887,'13. Mapa Títulos-Receita'!$A$8:$P$1000,7,FALSE),"")</f>
        <v/>
      </c>
      <c r="W887" s="92">
        <f>IFERROR(VLOOKUP($A887,'13. Mapa Títulos-Receita'!$A$8:$P$1000,8,FALSE),"")</f>
        <v/>
      </c>
      <c r="X887" s="92">
        <f>IFERROR(VLOOKUP($A887,'13. Mapa Títulos-Receita'!$A$8:$P$1000,9,FALSE),"")</f>
        <v/>
      </c>
      <c r="Y887" s="92">
        <f>IFERROR(VLOOKUP($A887,'13. Mapa Títulos-Receita'!$A$8:$P$1000,10,FALSE),"")</f>
        <v/>
      </c>
      <c r="Z887" s="92">
        <f>IFERROR(VLOOKUP($A887,'13. Mapa Títulos-Receita'!$A$8:$P$1000,11,FALSE),"")</f>
        <v/>
      </c>
      <c r="AA887" s="92">
        <f>IFERROR(VLOOKUP($A887,'13. Mapa Títulos-Receita'!$A$8:$P$1000,12,FALSE),"")</f>
        <v/>
      </c>
      <c r="AB887" s="92">
        <f>IFERROR(VLOOKUP($A887,'13. Mapa Títulos-Receita'!$A$8:$P$1000,13,FALSE),"")</f>
        <v/>
      </c>
      <c r="AC887" s="92">
        <f>IFERROR(VLOOKUP($A887,'13. Mapa Títulos-Receita'!$A$8:$P$1000,14,FALSE),"")</f>
        <v/>
      </c>
      <c r="AD887" s="92">
        <f>IFERROR(VLOOKUP($A887,'13. Mapa Títulos-Receita'!$A$8:$P$1000,15,FALSE),"")</f>
        <v/>
      </c>
      <c r="AE887" s="92">
        <f>IFERROR(VLOOKUP($A887,'13. Mapa Títulos-Receita'!$A$8:$P$1000,16,FALSE),"")</f>
        <v/>
      </c>
    </row>
    <row r="888">
      <c r="A888" s="28">
        <f>IF(C888="","", "CR-"&amp;TEXT(ROW()-7,"000"))</f>
        <v/>
      </c>
      <c r="B888" s="28" t="n"/>
      <c r="C888" s="28" t="n"/>
      <c r="D888" s="111" t="n"/>
      <c r="E888" s="111" t="n"/>
      <c r="F888" s="111" t="n"/>
      <c r="G888" s="28" t="n"/>
      <c r="H888" s="45" t="n"/>
      <c r="I888" s="45" t="n"/>
      <c r="J888" s="28">
        <f>IF(H888="","",IF(I888&gt;=H888,"Recebido",IF($B$4&gt;E888,"Vencido","Aberto")))</f>
        <v/>
      </c>
      <c r="K888" s="4">
        <f>IF(J888="","",IF(OR(J888="Recebido",F888=""),MAX(0,F888-E888),MAX(0,$B$4-E888)))</f>
        <v/>
      </c>
      <c r="L888" s="4">
        <f>IF(K888="","",IF(K888=0,"Em dia",IF(K888&lt;=30,"1-30 dias",IF(K888&lt;=60,"31-60 dias",IF(K888&lt;=90,"61-90 dias","&gt;90 dias")))))</f>
        <v/>
      </c>
      <c r="M888" s="28" t="n"/>
      <c r="N888" s="104" t="inlineStr"/>
      <c r="O888" s="64" t="n"/>
      <c r="P888" s="64">
        <f>IF(C888="","",IF(ISNUMBER(SEARCH("PCMSO",C888)),"PCMSO",IF(OR(ISNUMBER(SEARCH("E-SOCIAL",C888)),ISNUMBER(SEARCH("PSICOSOCIAL",C888))),"eSocial / Psicossocial",IF(O888="Receita recorrente","Carteira recorrente","Projetos / Laudos / Avulsos"))))</f>
        <v/>
      </c>
      <c r="Q888" s="64">
        <f>IF(P888="","",IF(P888="Carteira recorrente","Operação recorrente",IF(P888="PCMSO","Projetos PCMSO",IF(P888="eSocial / Psicossocial","Projetos eSocial/Psicossocial","Projetos / Laudos / Avulsos"))))</f>
        <v/>
      </c>
      <c r="R888" s="64">
        <f>IF(C888="","",IF(ISNUMBER(SEARCH("PCMSO",C888)),"Título com PCMSO no nome",IF(OR(ISNUMBER(SEARCH("E-SOCIAL",C888)),ISNUMBER(SEARCH("PSICOSOCIAL",C888))),"Título com eSocial/Psicossocial no nome",IF(O888="Receita recorrente","Tipo DRE recorrente","Extra sem palavra-chave específica"))))</f>
        <v/>
      </c>
      <c r="S888" s="92">
        <f>IFERROR(VLOOKUP($A888,'13. Mapa Títulos-Receita'!$A$8:$P$1000,4,FALSE),"")</f>
        <v/>
      </c>
      <c r="T888" s="92">
        <f>IFERROR(VLOOKUP($A888,'13. Mapa Títulos-Receita'!$A$8:$P$1000,5,FALSE),"")</f>
        <v/>
      </c>
      <c r="U888" s="92">
        <f>IFERROR(VLOOKUP($A888,'13. Mapa Títulos-Receita'!$A$8:$P$1000,6,FALSE),"")</f>
        <v/>
      </c>
      <c r="V888" s="92">
        <f>IFERROR(VLOOKUP($A888,'13. Mapa Títulos-Receita'!$A$8:$P$1000,7,FALSE),"")</f>
        <v/>
      </c>
      <c r="W888" s="92">
        <f>IFERROR(VLOOKUP($A888,'13. Mapa Títulos-Receita'!$A$8:$P$1000,8,FALSE),"")</f>
        <v/>
      </c>
      <c r="X888" s="92">
        <f>IFERROR(VLOOKUP($A888,'13. Mapa Títulos-Receita'!$A$8:$P$1000,9,FALSE),"")</f>
        <v/>
      </c>
      <c r="Y888" s="92">
        <f>IFERROR(VLOOKUP($A888,'13. Mapa Títulos-Receita'!$A$8:$P$1000,10,FALSE),"")</f>
        <v/>
      </c>
      <c r="Z888" s="92">
        <f>IFERROR(VLOOKUP($A888,'13. Mapa Títulos-Receita'!$A$8:$P$1000,11,FALSE),"")</f>
        <v/>
      </c>
      <c r="AA888" s="92">
        <f>IFERROR(VLOOKUP($A888,'13. Mapa Títulos-Receita'!$A$8:$P$1000,12,FALSE),"")</f>
        <v/>
      </c>
      <c r="AB888" s="92">
        <f>IFERROR(VLOOKUP($A888,'13. Mapa Títulos-Receita'!$A$8:$P$1000,13,FALSE),"")</f>
        <v/>
      </c>
      <c r="AC888" s="92">
        <f>IFERROR(VLOOKUP($A888,'13. Mapa Títulos-Receita'!$A$8:$P$1000,14,FALSE),"")</f>
        <v/>
      </c>
      <c r="AD888" s="92">
        <f>IFERROR(VLOOKUP($A888,'13. Mapa Títulos-Receita'!$A$8:$P$1000,15,FALSE),"")</f>
        <v/>
      </c>
      <c r="AE888" s="92">
        <f>IFERROR(VLOOKUP($A888,'13. Mapa Títulos-Receita'!$A$8:$P$1000,16,FALSE),"")</f>
        <v/>
      </c>
    </row>
    <row r="889">
      <c r="A889" s="28">
        <f>IF(C889="","", "CR-"&amp;TEXT(ROW()-7,"000"))</f>
        <v/>
      </c>
      <c r="B889" s="28" t="n"/>
      <c r="C889" s="28" t="n"/>
      <c r="D889" s="111" t="n"/>
      <c r="E889" s="111" t="n"/>
      <c r="F889" s="111" t="n"/>
      <c r="G889" s="28" t="n"/>
      <c r="H889" s="45" t="n"/>
      <c r="I889" s="45" t="n"/>
      <c r="J889" s="28">
        <f>IF(H889="","",IF(I889&gt;=H889,"Recebido",IF($B$4&gt;E889,"Vencido","Aberto")))</f>
        <v/>
      </c>
      <c r="K889" s="4">
        <f>IF(J889="","",IF(OR(J889="Recebido",F889=""),MAX(0,F889-E889),MAX(0,$B$4-E889)))</f>
        <v/>
      </c>
      <c r="L889" s="4">
        <f>IF(K889="","",IF(K889=0,"Em dia",IF(K889&lt;=30,"1-30 dias",IF(K889&lt;=60,"31-60 dias",IF(K889&lt;=90,"61-90 dias","&gt;90 dias")))))</f>
        <v/>
      </c>
      <c r="M889" s="28" t="n"/>
      <c r="N889" s="104" t="inlineStr"/>
      <c r="O889" s="64" t="n"/>
      <c r="P889" s="64">
        <f>IF(C889="","",IF(ISNUMBER(SEARCH("PCMSO",C889)),"PCMSO",IF(OR(ISNUMBER(SEARCH("E-SOCIAL",C889)),ISNUMBER(SEARCH("PSICOSOCIAL",C889))),"eSocial / Psicossocial",IF(O889="Receita recorrente","Carteira recorrente","Projetos / Laudos / Avulsos"))))</f>
        <v/>
      </c>
      <c r="Q889" s="64">
        <f>IF(P889="","",IF(P889="Carteira recorrente","Operação recorrente",IF(P889="PCMSO","Projetos PCMSO",IF(P889="eSocial / Psicossocial","Projetos eSocial/Psicossocial","Projetos / Laudos / Avulsos"))))</f>
        <v/>
      </c>
      <c r="R889" s="64">
        <f>IF(C889="","",IF(ISNUMBER(SEARCH("PCMSO",C889)),"Título com PCMSO no nome",IF(OR(ISNUMBER(SEARCH("E-SOCIAL",C889)),ISNUMBER(SEARCH("PSICOSOCIAL",C889))),"Título com eSocial/Psicossocial no nome",IF(O889="Receita recorrente","Tipo DRE recorrente","Extra sem palavra-chave específica"))))</f>
        <v/>
      </c>
      <c r="S889" s="92">
        <f>IFERROR(VLOOKUP($A889,'13. Mapa Títulos-Receita'!$A$8:$P$1000,4,FALSE),"")</f>
        <v/>
      </c>
      <c r="T889" s="92">
        <f>IFERROR(VLOOKUP($A889,'13. Mapa Títulos-Receita'!$A$8:$P$1000,5,FALSE),"")</f>
        <v/>
      </c>
      <c r="U889" s="92">
        <f>IFERROR(VLOOKUP($A889,'13. Mapa Títulos-Receita'!$A$8:$P$1000,6,FALSE),"")</f>
        <v/>
      </c>
      <c r="V889" s="92">
        <f>IFERROR(VLOOKUP($A889,'13. Mapa Títulos-Receita'!$A$8:$P$1000,7,FALSE),"")</f>
        <v/>
      </c>
      <c r="W889" s="92">
        <f>IFERROR(VLOOKUP($A889,'13. Mapa Títulos-Receita'!$A$8:$P$1000,8,FALSE),"")</f>
        <v/>
      </c>
      <c r="X889" s="92">
        <f>IFERROR(VLOOKUP($A889,'13. Mapa Títulos-Receita'!$A$8:$P$1000,9,FALSE),"")</f>
        <v/>
      </c>
      <c r="Y889" s="92">
        <f>IFERROR(VLOOKUP($A889,'13. Mapa Títulos-Receita'!$A$8:$P$1000,10,FALSE),"")</f>
        <v/>
      </c>
      <c r="Z889" s="92">
        <f>IFERROR(VLOOKUP($A889,'13. Mapa Títulos-Receita'!$A$8:$P$1000,11,FALSE),"")</f>
        <v/>
      </c>
      <c r="AA889" s="92">
        <f>IFERROR(VLOOKUP($A889,'13. Mapa Títulos-Receita'!$A$8:$P$1000,12,FALSE),"")</f>
        <v/>
      </c>
      <c r="AB889" s="92">
        <f>IFERROR(VLOOKUP($A889,'13. Mapa Títulos-Receita'!$A$8:$P$1000,13,FALSE),"")</f>
        <v/>
      </c>
      <c r="AC889" s="92">
        <f>IFERROR(VLOOKUP($A889,'13. Mapa Títulos-Receita'!$A$8:$P$1000,14,FALSE),"")</f>
        <v/>
      </c>
      <c r="AD889" s="92">
        <f>IFERROR(VLOOKUP($A889,'13. Mapa Títulos-Receita'!$A$8:$P$1000,15,FALSE),"")</f>
        <v/>
      </c>
      <c r="AE889" s="92">
        <f>IFERROR(VLOOKUP($A889,'13. Mapa Títulos-Receita'!$A$8:$P$1000,16,FALSE),"")</f>
        <v/>
      </c>
    </row>
    <row r="890">
      <c r="A890" s="28">
        <f>IF(C890="","", "CR-"&amp;TEXT(ROW()-7,"000"))</f>
        <v/>
      </c>
      <c r="B890" s="28" t="n"/>
      <c r="C890" s="28" t="n"/>
      <c r="D890" s="111" t="n"/>
      <c r="E890" s="111" t="n"/>
      <c r="F890" s="111" t="n"/>
      <c r="G890" s="28" t="n"/>
      <c r="H890" s="45" t="n"/>
      <c r="I890" s="45" t="n"/>
      <c r="J890" s="28">
        <f>IF(H890="","",IF(I890&gt;=H890,"Recebido",IF($B$4&gt;E890,"Vencido","Aberto")))</f>
        <v/>
      </c>
      <c r="K890" s="4">
        <f>IF(J890="","",IF(OR(J890="Recebido",F890=""),MAX(0,F890-E890),MAX(0,$B$4-E890)))</f>
        <v/>
      </c>
      <c r="L890" s="4">
        <f>IF(K890="","",IF(K890=0,"Em dia",IF(K890&lt;=30,"1-30 dias",IF(K890&lt;=60,"31-60 dias",IF(K890&lt;=90,"61-90 dias","&gt;90 dias")))))</f>
        <v/>
      </c>
      <c r="M890" s="28" t="n"/>
      <c r="N890" s="104" t="inlineStr"/>
      <c r="O890" s="64" t="n"/>
      <c r="P890" s="64">
        <f>IF(C890="","",IF(ISNUMBER(SEARCH("PCMSO",C890)),"PCMSO",IF(OR(ISNUMBER(SEARCH("E-SOCIAL",C890)),ISNUMBER(SEARCH("PSICOSOCIAL",C890))),"eSocial / Psicossocial",IF(O890="Receita recorrente","Carteira recorrente","Projetos / Laudos / Avulsos"))))</f>
        <v/>
      </c>
      <c r="Q890" s="64">
        <f>IF(P890="","",IF(P890="Carteira recorrente","Operação recorrente",IF(P890="PCMSO","Projetos PCMSO",IF(P890="eSocial / Psicossocial","Projetos eSocial/Psicossocial","Projetos / Laudos / Avulsos"))))</f>
        <v/>
      </c>
      <c r="R890" s="64">
        <f>IF(C890="","",IF(ISNUMBER(SEARCH("PCMSO",C890)),"Título com PCMSO no nome",IF(OR(ISNUMBER(SEARCH("E-SOCIAL",C890)),ISNUMBER(SEARCH("PSICOSOCIAL",C890))),"Título com eSocial/Psicossocial no nome",IF(O890="Receita recorrente","Tipo DRE recorrente","Extra sem palavra-chave específica"))))</f>
        <v/>
      </c>
      <c r="S890" s="92">
        <f>IFERROR(VLOOKUP($A890,'13. Mapa Títulos-Receita'!$A$8:$P$1000,4,FALSE),"")</f>
        <v/>
      </c>
      <c r="T890" s="92">
        <f>IFERROR(VLOOKUP($A890,'13. Mapa Títulos-Receita'!$A$8:$P$1000,5,FALSE),"")</f>
        <v/>
      </c>
      <c r="U890" s="92">
        <f>IFERROR(VLOOKUP($A890,'13. Mapa Títulos-Receita'!$A$8:$P$1000,6,FALSE),"")</f>
        <v/>
      </c>
      <c r="V890" s="92">
        <f>IFERROR(VLOOKUP($A890,'13. Mapa Títulos-Receita'!$A$8:$P$1000,7,FALSE),"")</f>
        <v/>
      </c>
      <c r="W890" s="92">
        <f>IFERROR(VLOOKUP($A890,'13. Mapa Títulos-Receita'!$A$8:$P$1000,8,FALSE),"")</f>
        <v/>
      </c>
      <c r="X890" s="92">
        <f>IFERROR(VLOOKUP($A890,'13. Mapa Títulos-Receita'!$A$8:$P$1000,9,FALSE),"")</f>
        <v/>
      </c>
      <c r="Y890" s="92">
        <f>IFERROR(VLOOKUP($A890,'13. Mapa Títulos-Receita'!$A$8:$P$1000,10,FALSE),"")</f>
        <v/>
      </c>
      <c r="Z890" s="92">
        <f>IFERROR(VLOOKUP($A890,'13. Mapa Títulos-Receita'!$A$8:$P$1000,11,FALSE),"")</f>
        <v/>
      </c>
      <c r="AA890" s="92">
        <f>IFERROR(VLOOKUP($A890,'13. Mapa Títulos-Receita'!$A$8:$P$1000,12,FALSE),"")</f>
        <v/>
      </c>
      <c r="AB890" s="92">
        <f>IFERROR(VLOOKUP($A890,'13. Mapa Títulos-Receita'!$A$8:$P$1000,13,FALSE),"")</f>
        <v/>
      </c>
      <c r="AC890" s="92">
        <f>IFERROR(VLOOKUP($A890,'13. Mapa Títulos-Receita'!$A$8:$P$1000,14,FALSE),"")</f>
        <v/>
      </c>
      <c r="AD890" s="92">
        <f>IFERROR(VLOOKUP($A890,'13. Mapa Títulos-Receita'!$A$8:$P$1000,15,FALSE),"")</f>
        <v/>
      </c>
      <c r="AE890" s="92">
        <f>IFERROR(VLOOKUP($A890,'13. Mapa Títulos-Receita'!$A$8:$P$1000,16,FALSE),"")</f>
        <v/>
      </c>
    </row>
    <row r="891">
      <c r="A891" s="28">
        <f>IF(C891="","", "CR-"&amp;TEXT(ROW()-7,"000"))</f>
        <v/>
      </c>
      <c r="B891" s="28" t="n"/>
      <c r="C891" s="28" t="n"/>
      <c r="D891" s="111" t="n"/>
      <c r="E891" s="111" t="n"/>
      <c r="F891" s="111" t="n"/>
      <c r="G891" s="28" t="n"/>
      <c r="H891" s="45" t="n"/>
      <c r="I891" s="45" t="n"/>
      <c r="J891" s="28">
        <f>IF(H891="","",IF(I891&gt;=H891,"Recebido",IF($B$4&gt;E891,"Vencido","Aberto")))</f>
        <v/>
      </c>
      <c r="K891" s="4">
        <f>IF(J891="","",IF(OR(J891="Recebido",F891=""),MAX(0,F891-E891),MAX(0,$B$4-E891)))</f>
        <v/>
      </c>
      <c r="L891" s="4">
        <f>IF(K891="","",IF(K891=0,"Em dia",IF(K891&lt;=30,"1-30 dias",IF(K891&lt;=60,"31-60 dias",IF(K891&lt;=90,"61-90 dias","&gt;90 dias")))))</f>
        <v/>
      </c>
      <c r="M891" s="28" t="n"/>
      <c r="N891" s="104" t="inlineStr"/>
      <c r="O891" s="64" t="n"/>
      <c r="P891" s="64">
        <f>IF(C891="","",IF(ISNUMBER(SEARCH("PCMSO",C891)),"PCMSO",IF(OR(ISNUMBER(SEARCH("E-SOCIAL",C891)),ISNUMBER(SEARCH("PSICOSOCIAL",C891))),"eSocial / Psicossocial",IF(O891="Receita recorrente","Carteira recorrente","Projetos / Laudos / Avulsos"))))</f>
        <v/>
      </c>
      <c r="Q891" s="64">
        <f>IF(P891="","",IF(P891="Carteira recorrente","Operação recorrente",IF(P891="PCMSO","Projetos PCMSO",IF(P891="eSocial / Psicossocial","Projetos eSocial/Psicossocial","Projetos / Laudos / Avulsos"))))</f>
        <v/>
      </c>
      <c r="R891" s="64">
        <f>IF(C891="","",IF(ISNUMBER(SEARCH("PCMSO",C891)),"Título com PCMSO no nome",IF(OR(ISNUMBER(SEARCH("E-SOCIAL",C891)),ISNUMBER(SEARCH("PSICOSOCIAL",C891))),"Título com eSocial/Psicossocial no nome",IF(O891="Receita recorrente","Tipo DRE recorrente","Extra sem palavra-chave específica"))))</f>
        <v/>
      </c>
      <c r="S891" s="92">
        <f>IFERROR(VLOOKUP($A891,'13. Mapa Títulos-Receita'!$A$8:$P$1000,4,FALSE),"")</f>
        <v/>
      </c>
      <c r="T891" s="92">
        <f>IFERROR(VLOOKUP($A891,'13. Mapa Títulos-Receita'!$A$8:$P$1000,5,FALSE),"")</f>
        <v/>
      </c>
      <c r="U891" s="92">
        <f>IFERROR(VLOOKUP($A891,'13. Mapa Títulos-Receita'!$A$8:$P$1000,6,FALSE),"")</f>
        <v/>
      </c>
      <c r="V891" s="92">
        <f>IFERROR(VLOOKUP($A891,'13. Mapa Títulos-Receita'!$A$8:$P$1000,7,FALSE),"")</f>
        <v/>
      </c>
      <c r="W891" s="92">
        <f>IFERROR(VLOOKUP($A891,'13. Mapa Títulos-Receita'!$A$8:$P$1000,8,FALSE),"")</f>
        <v/>
      </c>
      <c r="X891" s="92">
        <f>IFERROR(VLOOKUP($A891,'13. Mapa Títulos-Receita'!$A$8:$P$1000,9,FALSE),"")</f>
        <v/>
      </c>
      <c r="Y891" s="92">
        <f>IFERROR(VLOOKUP($A891,'13. Mapa Títulos-Receita'!$A$8:$P$1000,10,FALSE),"")</f>
        <v/>
      </c>
      <c r="Z891" s="92">
        <f>IFERROR(VLOOKUP($A891,'13. Mapa Títulos-Receita'!$A$8:$P$1000,11,FALSE),"")</f>
        <v/>
      </c>
      <c r="AA891" s="92">
        <f>IFERROR(VLOOKUP($A891,'13. Mapa Títulos-Receita'!$A$8:$P$1000,12,FALSE),"")</f>
        <v/>
      </c>
      <c r="AB891" s="92">
        <f>IFERROR(VLOOKUP($A891,'13. Mapa Títulos-Receita'!$A$8:$P$1000,13,FALSE),"")</f>
        <v/>
      </c>
      <c r="AC891" s="92">
        <f>IFERROR(VLOOKUP($A891,'13. Mapa Títulos-Receita'!$A$8:$P$1000,14,FALSE),"")</f>
        <v/>
      </c>
      <c r="AD891" s="92">
        <f>IFERROR(VLOOKUP($A891,'13. Mapa Títulos-Receita'!$A$8:$P$1000,15,FALSE),"")</f>
        <v/>
      </c>
      <c r="AE891" s="92">
        <f>IFERROR(VLOOKUP($A891,'13. Mapa Títulos-Receita'!$A$8:$P$1000,16,FALSE),"")</f>
        <v/>
      </c>
    </row>
    <row r="892">
      <c r="A892" s="28">
        <f>IF(C892="","", "CR-"&amp;TEXT(ROW()-7,"000"))</f>
        <v/>
      </c>
      <c r="B892" s="28" t="n"/>
      <c r="C892" s="28" t="n"/>
      <c r="D892" s="111" t="n"/>
      <c r="E892" s="111" t="n"/>
      <c r="F892" s="111" t="n"/>
      <c r="G892" s="28" t="n"/>
      <c r="H892" s="45" t="n"/>
      <c r="I892" s="45" t="n"/>
      <c r="J892" s="28">
        <f>IF(H892="","",IF(I892&gt;=H892,"Recebido",IF($B$4&gt;E892,"Vencido","Aberto")))</f>
        <v/>
      </c>
      <c r="K892" s="4">
        <f>IF(J892="","",IF(OR(J892="Recebido",F892=""),MAX(0,F892-E892),MAX(0,$B$4-E892)))</f>
        <v/>
      </c>
      <c r="L892" s="4">
        <f>IF(K892="","",IF(K892=0,"Em dia",IF(K892&lt;=30,"1-30 dias",IF(K892&lt;=60,"31-60 dias",IF(K892&lt;=90,"61-90 dias","&gt;90 dias")))))</f>
        <v/>
      </c>
      <c r="M892" s="28" t="n"/>
      <c r="N892" s="104" t="inlineStr"/>
      <c r="O892" s="64" t="n"/>
      <c r="P892" s="64">
        <f>IF(C892="","",IF(ISNUMBER(SEARCH("PCMSO",C892)),"PCMSO",IF(OR(ISNUMBER(SEARCH("E-SOCIAL",C892)),ISNUMBER(SEARCH("PSICOSOCIAL",C892))),"eSocial / Psicossocial",IF(O892="Receita recorrente","Carteira recorrente","Projetos / Laudos / Avulsos"))))</f>
        <v/>
      </c>
      <c r="Q892" s="64">
        <f>IF(P892="","",IF(P892="Carteira recorrente","Operação recorrente",IF(P892="PCMSO","Projetos PCMSO",IF(P892="eSocial / Psicossocial","Projetos eSocial/Psicossocial","Projetos / Laudos / Avulsos"))))</f>
        <v/>
      </c>
      <c r="R892" s="64">
        <f>IF(C892="","",IF(ISNUMBER(SEARCH("PCMSO",C892)),"Título com PCMSO no nome",IF(OR(ISNUMBER(SEARCH("E-SOCIAL",C892)),ISNUMBER(SEARCH("PSICOSOCIAL",C892))),"Título com eSocial/Psicossocial no nome",IF(O892="Receita recorrente","Tipo DRE recorrente","Extra sem palavra-chave específica"))))</f>
        <v/>
      </c>
      <c r="S892" s="92">
        <f>IFERROR(VLOOKUP($A892,'13. Mapa Títulos-Receita'!$A$8:$P$1000,4,FALSE),"")</f>
        <v/>
      </c>
      <c r="T892" s="92">
        <f>IFERROR(VLOOKUP($A892,'13. Mapa Títulos-Receita'!$A$8:$P$1000,5,FALSE),"")</f>
        <v/>
      </c>
      <c r="U892" s="92">
        <f>IFERROR(VLOOKUP($A892,'13. Mapa Títulos-Receita'!$A$8:$P$1000,6,FALSE),"")</f>
        <v/>
      </c>
      <c r="V892" s="92">
        <f>IFERROR(VLOOKUP($A892,'13. Mapa Títulos-Receita'!$A$8:$P$1000,7,FALSE),"")</f>
        <v/>
      </c>
      <c r="W892" s="92">
        <f>IFERROR(VLOOKUP($A892,'13. Mapa Títulos-Receita'!$A$8:$P$1000,8,FALSE),"")</f>
        <v/>
      </c>
      <c r="X892" s="92">
        <f>IFERROR(VLOOKUP($A892,'13. Mapa Títulos-Receita'!$A$8:$P$1000,9,FALSE),"")</f>
        <v/>
      </c>
      <c r="Y892" s="92">
        <f>IFERROR(VLOOKUP($A892,'13. Mapa Títulos-Receita'!$A$8:$P$1000,10,FALSE),"")</f>
        <v/>
      </c>
      <c r="Z892" s="92">
        <f>IFERROR(VLOOKUP($A892,'13. Mapa Títulos-Receita'!$A$8:$P$1000,11,FALSE),"")</f>
        <v/>
      </c>
      <c r="AA892" s="92">
        <f>IFERROR(VLOOKUP($A892,'13. Mapa Títulos-Receita'!$A$8:$P$1000,12,FALSE),"")</f>
        <v/>
      </c>
      <c r="AB892" s="92">
        <f>IFERROR(VLOOKUP($A892,'13. Mapa Títulos-Receita'!$A$8:$P$1000,13,FALSE),"")</f>
        <v/>
      </c>
      <c r="AC892" s="92">
        <f>IFERROR(VLOOKUP($A892,'13. Mapa Títulos-Receita'!$A$8:$P$1000,14,FALSE),"")</f>
        <v/>
      </c>
      <c r="AD892" s="92">
        <f>IFERROR(VLOOKUP($A892,'13. Mapa Títulos-Receita'!$A$8:$P$1000,15,FALSE),"")</f>
        <v/>
      </c>
      <c r="AE892" s="92">
        <f>IFERROR(VLOOKUP($A892,'13. Mapa Títulos-Receita'!$A$8:$P$1000,16,FALSE),"")</f>
        <v/>
      </c>
    </row>
    <row r="893">
      <c r="A893" s="28">
        <f>IF(C893="","", "CR-"&amp;TEXT(ROW()-7,"000"))</f>
        <v/>
      </c>
      <c r="B893" s="28" t="n"/>
      <c r="C893" s="28" t="n"/>
      <c r="D893" s="111" t="n"/>
      <c r="E893" s="111" t="n"/>
      <c r="F893" s="111" t="n"/>
      <c r="G893" s="28" t="n"/>
      <c r="H893" s="45" t="n"/>
      <c r="I893" s="45" t="n"/>
      <c r="J893" s="28">
        <f>IF(H893="","",IF(I893&gt;=H893,"Recebido",IF($B$4&gt;E893,"Vencido","Aberto")))</f>
        <v/>
      </c>
      <c r="K893" s="4">
        <f>IF(J893="","",IF(OR(J893="Recebido",F893=""),MAX(0,F893-E893),MAX(0,$B$4-E893)))</f>
        <v/>
      </c>
      <c r="L893" s="4">
        <f>IF(K893="","",IF(K893=0,"Em dia",IF(K893&lt;=30,"1-30 dias",IF(K893&lt;=60,"31-60 dias",IF(K893&lt;=90,"61-90 dias","&gt;90 dias")))))</f>
        <v/>
      </c>
      <c r="M893" s="28" t="n"/>
      <c r="N893" s="104" t="inlineStr"/>
      <c r="O893" s="64" t="n"/>
      <c r="P893" s="64">
        <f>IF(C893="","",IF(ISNUMBER(SEARCH("PCMSO",C893)),"PCMSO",IF(OR(ISNUMBER(SEARCH("E-SOCIAL",C893)),ISNUMBER(SEARCH("PSICOSOCIAL",C893))),"eSocial / Psicossocial",IF(O893="Receita recorrente","Carteira recorrente","Projetos / Laudos / Avulsos"))))</f>
        <v/>
      </c>
      <c r="Q893" s="64">
        <f>IF(P893="","",IF(P893="Carteira recorrente","Operação recorrente",IF(P893="PCMSO","Projetos PCMSO",IF(P893="eSocial / Psicossocial","Projetos eSocial/Psicossocial","Projetos / Laudos / Avulsos"))))</f>
        <v/>
      </c>
      <c r="R893" s="64">
        <f>IF(C893="","",IF(ISNUMBER(SEARCH("PCMSO",C893)),"Título com PCMSO no nome",IF(OR(ISNUMBER(SEARCH("E-SOCIAL",C893)),ISNUMBER(SEARCH("PSICOSOCIAL",C893))),"Título com eSocial/Psicossocial no nome",IF(O893="Receita recorrente","Tipo DRE recorrente","Extra sem palavra-chave específica"))))</f>
        <v/>
      </c>
      <c r="S893" s="92">
        <f>IFERROR(VLOOKUP($A893,'13. Mapa Títulos-Receita'!$A$8:$P$1000,4,FALSE),"")</f>
        <v/>
      </c>
      <c r="T893" s="92">
        <f>IFERROR(VLOOKUP($A893,'13. Mapa Títulos-Receita'!$A$8:$P$1000,5,FALSE),"")</f>
        <v/>
      </c>
      <c r="U893" s="92">
        <f>IFERROR(VLOOKUP($A893,'13. Mapa Títulos-Receita'!$A$8:$P$1000,6,FALSE),"")</f>
        <v/>
      </c>
      <c r="V893" s="92">
        <f>IFERROR(VLOOKUP($A893,'13. Mapa Títulos-Receita'!$A$8:$P$1000,7,FALSE),"")</f>
        <v/>
      </c>
      <c r="W893" s="92">
        <f>IFERROR(VLOOKUP($A893,'13. Mapa Títulos-Receita'!$A$8:$P$1000,8,FALSE),"")</f>
        <v/>
      </c>
      <c r="X893" s="92">
        <f>IFERROR(VLOOKUP($A893,'13. Mapa Títulos-Receita'!$A$8:$P$1000,9,FALSE),"")</f>
        <v/>
      </c>
      <c r="Y893" s="92">
        <f>IFERROR(VLOOKUP($A893,'13. Mapa Títulos-Receita'!$A$8:$P$1000,10,FALSE),"")</f>
        <v/>
      </c>
      <c r="Z893" s="92">
        <f>IFERROR(VLOOKUP($A893,'13. Mapa Títulos-Receita'!$A$8:$P$1000,11,FALSE),"")</f>
        <v/>
      </c>
      <c r="AA893" s="92">
        <f>IFERROR(VLOOKUP($A893,'13. Mapa Títulos-Receita'!$A$8:$P$1000,12,FALSE),"")</f>
        <v/>
      </c>
      <c r="AB893" s="92">
        <f>IFERROR(VLOOKUP($A893,'13. Mapa Títulos-Receita'!$A$8:$P$1000,13,FALSE),"")</f>
        <v/>
      </c>
      <c r="AC893" s="92">
        <f>IFERROR(VLOOKUP($A893,'13. Mapa Títulos-Receita'!$A$8:$P$1000,14,FALSE),"")</f>
        <v/>
      </c>
      <c r="AD893" s="92">
        <f>IFERROR(VLOOKUP($A893,'13. Mapa Títulos-Receita'!$A$8:$P$1000,15,FALSE),"")</f>
        <v/>
      </c>
      <c r="AE893" s="92">
        <f>IFERROR(VLOOKUP($A893,'13. Mapa Títulos-Receita'!$A$8:$P$1000,16,FALSE),"")</f>
        <v/>
      </c>
    </row>
    <row r="894">
      <c r="A894" s="28">
        <f>IF(C894="","", "CR-"&amp;TEXT(ROW()-7,"000"))</f>
        <v/>
      </c>
      <c r="B894" s="28" t="n"/>
      <c r="C894" s="28" t="n"/>
      <c r="D894" s="111" t="n"/>
      <c r="E894" s="111" t="n"/>
      <c r="F894" s="111" t="n"/>
      <c r="G894" s="28" t="n"/>
      <c r="H894" s="45" t="n"/>
      <c r="I894" s="45" t="n"/>
      <c r="J894" s="28">
        <f>IF(H894="","",IF(I894&gt;=H894,"Recebido",IF($B$4&gt;E894,"Vencido","Aberto")))</f>
        <v/>
      </c>
      <c r="K894" s="4">
        <f>IF(J894="","",IF(OR(J894="Recebido",F894=""),MAX(0,F894-E894),MAX(0,$B$4-E894)))</f>
        <v/>
      </c>
      <c r="L894" s="4">
        <f>IF(K894="","",IF(K894=0,"Em dia",IF(K894&lt;=30,"1-30 dias",IF(K894&lt;=60,"31-60 dias",IF(K894&lt;=90,"61-90 dias","&gt;90 dias")))))</f>
        <v/>
      </c>
      <c r="M894" s="28" t="n"/>
      <c r="N894" s="104" t="inlineStr"/>
      <c r="O894" s="64" t="n"/>
      <c r="P894" s="64">
        <f>IF(C894="","",IF(ISNUMBER(SEARCH("PCMSO",C894)),"PCMSO",IF(OR(ISNUMBER(SEARCH("E-SOCIAL",C894)),ISNUMBER(SEARCH("PSICOSOCIAL",C894))),"eSocial / Psicossocial",IF(O894="Receita recorrente","Carteira recorrente","Projetos / Laudos / Avulsos"))))</f>
        <v/>
      </c>
      <c r="Q894" s="64">
        <f>IF(P894="","",IF(P894="Carteira recorrente","Operação recorrente",IF(P894="PCMSO","Projetos PCMSO",IF(P894="eSocial / Psicossocial","Projetos eSocial/Psicossocial","Projetos / Laudos / Avulsos"))))</f>
        <v/>
      </c>
      <c r="R894" s="64">
        <f>IF(C894="","",IF(ISNUMBER(SEARCH("PCMSO",C894)),"Título com PCMSO no nome",IF(OR(ISNUMBER(SEARCH("E-SOCIAL",C894)),ISNUMBER(SEARCH("PSICOSOCIAL",C894))),"Título com eSocial/Psicossocial no nome",IF(O894="Receita recorrente","Tipo DRE recorrente","Extra sem palavra-chave específica"))))</f>
        <v/>
      </c>
      <c r="S894" s="92">
        <f>IFERROR(VLOOKUP($A894,'13. Mapa Títulos-Receita'!$A$8:$P$1000,4,FALSE),"")</f>
        <v/>
      </c>
      <c r="T894" s="92">
        <f>IFERROR(VLOOKUP($A894,'13. Mapa Títulos-Receita'!$A$8:$P$1000,5,FALSE),"")</f>
        <v/>
      </c>
      <c r="U894" s="92">
        <f>IFERROR(VLOOKUP($A894,'13. Mapa Títulos-Receita'!$A$8:$P$1000,6,FALSE),"")</f>
        <v/>
      </c>
      <c r="V894" s="92">
        <f>IFERROR(VLOOKUP($A894,'13. Mapa Títulos-Receita'!$A$8:$P$1000,7,FALSE),"")</f>
        <v/>
      </c>
      <c r="W894" s="92">
        <f>IFERROR(VLOOKUP($A894,'13. Mapa Títulos-Receita'!$A$8:$P$1000,8,FALSE),"")</f>
        <v/>
      </c>
      <c r="X894" s="92">
        <f>IFERROR(VLOOKUP($A894,'13. Mapa Títulos-Receita'!$A$8:$P$1000,9,FALSE),"")</f>
        <v/>
      </c>
      <c r="Y894" s="92">
        <f>IFERROR(VLOOKUP($A894,'13. Mapa Títulos-Receita'!$A$8:$P$1000,10,FALSE),"")</f>
        <v/>
      </c>
      <c r="Z894" s="92">
        <f>IFERROR(VLOOKUP($A894,'13. Mapa Títulos-Receita'!$A$8:$P$1000,11,FALSE),"")</f>
        <v/>
      </c>
      <c r="AA894" s="92">
        <f>IFERROR(VLOOKUP($A894,'13. Mapa Títulos-Receita'!$A$8:$P$1000,12,FALSE),"")</f>
        <v/>
      </c>
      <c r="AB894" s="92">
        <f>IFERROR(VLOOKUP($A894,'13. Mapa Títulos-Receita'!$A$8:$P$1000,13,FALSE),"")</f>
        <v/>
      </c>
      <c r="AC894" s="92">
        <f>IFERROR(VLOOKUP($A894,'13. Mapa Títulos-Receita'!$A$8:$P$1000,14,FALSE),"")</f>
        <v/>
      </c>
      <c r="AD894" s="92">
        <f>IFERROR(VLOOKUP($A894,'13. Mapa Títulos-Receita'!$A$8:$P$1000,15,FALSE),"")</f>
        <v/>
      </c>
      <c r="AE894" s="92">
        <f>IFERROR(VLOOKUP($A894,'13. Mapa Títulos-Receita'!$A$8:$P$1000,16,FALSE),"")</f>
        <v/>
      </c>
    </row>
    <row r="895">
      <c r="A895" s="28">
        <f>IF(C895="","", "CR-"&amp;TEXT(ROW()-7,"000"))</f>
        <v/>
      </c>
      <c r="B895" s="28" t="n"/>
      <c r="C895" s="28" t="n"/>
      <c r="D895" s="111" t="n"/>
      <c r="E895" s="111" t="n"/>
      <c r="F895" s="111" t="n"/>
      <c r="G895" s="28" t="n"/>
      <c r="H895" s="45" t="n"/>
      <c r="I895" s="45" t="n"/>
      <c r="J895" s="28">
        <f>IF(H895="","",IF(I895&gt;=H895,"Recebido",IF($B$4&gt;E895,"Vencido","Aberto")))</f>
        <v/>
      </c>
      <c r="K895" s="4">
        <f>IF(J895="","",IF(OR(J895="Recebido",F895=""),MAX(0,F895-E895),MAX(0,$B$4-E895)))</f>
        <v/>
      </c>
      <c r="L895" s="4">
        <f>IF(K895="","",IF(K895=0,"Em dia",IF(K895&lt;=30,"1-30 dias",IF(K895&lt;=60,"31-60 dias",IF(K895&lt;=90,"61-90 dias","&gt;90 dias")))))</f>
        <v/>
      </c>
      <c r="M895" s="28" t="n"/>
      <c r="N895" s="104" t="inlineStr"/>
      <c r="O895" s="64" t="n"/>
      <c r="P895" s="64">
        <f>IF(C895="","",IF(ISNUMBER(SEARCH("PCMSO",C895)),"PCMSO",IF(OR(ISNUMBER(SEARCH("E-SOCIAL",C895)),ISNUMBER(SEARCH("PSICOSOCIAL",C895))),"eSocial / Psicossocial",IF(O895="Receita recorrente","Carteira recorrente","Projetos / Laudos / Avulsos"))))</f>
        <v/>
      </c>
      <c r="Q895" s="64">
        <f>IF(P895="","",IF(P895="Carteira recorrente","Operação recorrente",IF(P895="PCMSO","Projetos PCMSO",IF(P895="eSocial / Psicossocial","Projetos eSocial/Psicossocial","Projetos / Laudos / Avulsos"))))</f>
        <v/>
      </c>
      <c r="R895" s="64">
        <f>IF(C895="","",IF(ISNUMBER(SEARCH("PCMSO",C895)),"Título com PCMSO no nome",IF(OR(ISNUMBER(SEARCH("E-SOCIAL",C895)),ISNUMBER(SEARCH("PSICOSOCIAL",C895))),"Título com eSocial/Psicossocial no nome",IF(O895="Receita recorrente","Tipo DRE recorrente","Extra sem palavra-chave específica"))))</f>
        <v/>
      </c>
      <c r="S895" s="92">
        <f>IFERROR(VLOOKUP($A895,'13. Mapa Títulos-Receita'!$A$8:$P$1000,4,FALSE),"")</f>
        <v/>
      </c>
      <c r="T895" s="92">
        <f>IFERROR(VLOOKUP($A895,'13. Mapa Títulos-Receita'!$A$8:$P$1000,5,FALSE),"")</f>
        <v/>
      </c>
      <c r="U895" s="92">
        <f>IFERROR(VLOOKUP($A895,'13. Mapa Títulos-Receita'!$A$8:$P$1000,6,FALSE),"")</f>
        <v/>
      </c>
      <c r="V895" s="92">
        <f>IFERROR(VLOOKUP($A895,'13. Mapa Títulos-Receita'!$A$8:$P$1000,7,FALSE),"")</f>
        <v/>
      </c>
      <c r="W895" s="92">
        <f>IFERROR(VLOOKUP($A895,'13. Mapa Títulos-Receita'!$A$8:$P$1000,8,FALSE),"")</f>
        <v/>
      </c>
      <c r="X895" s="92">
        <f>IFERROR(VLOOKUP($A895,'13. Mapa Títulos-Receita'!$A$8:$P$1000,9,FALSE),"")</f>
        <v/>
      </c>
      <c r="Y895" s="92">
        <f>IFERROR(VLOOKUP($A895,'13. Mapa Títulos-Receita'!$A$8:$P$1000,10,FALSE),"")</f>
        <v/>
      </c>
      <c r="Z895" s="92">
        <f>IFERROR(VLOOKUP($A895,'13. Mapa Títulos-Receita'!$A$8:$P$1000,11,FALSE),"")</f>
        <v/>
      </c>
      <c r="AA895" s="92">
        <f>IFERROR(VLOOKUP($A895,'13. Mapa Títulos-Receita'!$A$8:$P$1000,12,FALSE),"")</f>
        <v/>
      </c>
      <c r="AB895" s="92">
        <f>IFERROR(VLOOKUP($A895,'13. Mapa Títulos-Receita'!$A$8:$P$1000,13,FALSE),"")</f>
        <v/>
      </c>
      <c r="AC895" s="92">
        <f>IFERROR(VLOOKUP($A895,'13. Mapa Títulos-Receita'!$A$8:$P$1000,14,FALSE),"")</f>
        <v/>
      </c>
      <c r="AD895" s="92">
        <f>IFERROR(VLOOKUP($A895,'13. Mapa Títulos-Receita'!$A$8:$P$1000,15,FALSE),"")</f>
        <v/>
      </c>
      <c r="AE895" s="92">
        <f>IFERROR(VLOOKUP($A895,'13. Mapa Títulos-Receita'!$A$8:$P$1000,16,FALSE),"")</f>
        <v/>
      </c>
    </row>
    <row r="896">
      <c r="A896" s="28">
        <f>IF(C896="","", "CR-"&amp;TEXT(ROW()-7,"000"))</f>
        <v/>
      </c>
      <c r="B896" s="28" t="n"/>
      <c r="C896" s="28" t="n"/>
      <c r="D896" s="111" t="n"/>
      <c r="E896" s="111" t="n"/>
      <c r="F896" s="111" t="n"/>
      <c r="G896" s="28" t="n"/>
      <c r="H896" s="45" t="n"/>
      <c r="I896" s="45" t="n"/>
      <c r="J896" s="28">
        <f>IF(H896="","",IF(I896&gt;=H896,"Recebido",IF($B$4&gt;E896,"Vencido","Aberto")))</f>
        <v/>
      </c>
      <c r="K896" s="4">
        <f>IF(J896="","",IF(OR(J896="Recebido",F896=""),MAX(0,F896-E896),MAX(0,$B$4-E896)))</f>
        <v/>
      </c>
      <c r="L896" s="4">
        <f>IF(K896="","",IF(K896=0,"Em dia",IF(K896&lt;=30,"1-30 dias",IF(K896&lt;=60,"31-60 dias",IF(K896&lt;=90,"61-90 dias","&gt;90 dias")))))</f>
        <v/>
      </c>
      <c r="M896" s="28" t="n"/>
      <c r="N896" s="104" t="inlineStr"/>
      <c r="O896" s="64" t="n"/>
      <c r="P896" s="64">
        <f>IF(C896="","",IF(ISNUMBER(SEARCH("PCMSO",C896)),"PCMSO",IF(OR(ISNUMBER(SEARCH("E-SOCIAL",C896)),ISNUMBER(SEARCH("PSICOSOCIAL",C896))),"eSocial / Psicossocial",IF(O896="Receita recorrente","Carteira recorrente","Projetos / Laudos / Avulsos"))))</f>
        <v/>
      </c>
      <c r="Q896" s="64">
        <f>IF(P896="","",IF(P896="Carteira recorrente","Operação recorrente",IF(P896="PCMSO","Projetos PCMSO",IF(P896="eSocial / Psicossocial","Projetos eSocial/Psicossocial","Projetos / Laudos / Avulsos"))))</f>
        <v/>
      </c>
      <c r="R896" s="64">
        <f>IF(C896="","",IF(ISNUMBER(SEARCH("PCMSO",C896)),"Título com PCMSO no nome",IF(OR(ISNUMBER(SEARCH("E-SOCIAL",C896)),ISNUMBER(SEARCH("PSICOSOCIAL",C896))),"Título com eSocial/Psicossocial no nome",IF(O896="Receita recorrente","Tipo DRE recorrente","Extra sem palavra-chave específica"))))</f>
        <v/>
      </c>
      <c r="S896" s="92">
        <f>IFERROR(VLOOKUP($A896,'13. Mapa Títulos-Receita'!$A$8:$P$1000,4,FALSE),"")</f>
        <v/>
      </c>
      <c r="T896" s="92">
        <f>IFERROR(VLOOKUP($A896,'13. Mapa Títulos-Receita'!$A$8:$P$1000,5,FALSE),"")</f>
        <v/>
      </c>
      <c r="U896" s="92">
        <f>IFERROR(VLOOKUP($A896,'13. Mapa Títulos-Receita'!$A$8:$P$1000,6,FALSE),"")</f>
        <v/>
      </c>
      <c r="V896" s="92">
        <f>IFERROR(VLOOKUP($A896,'13. Mapa Títulos-Receita'!$A$8:$P$1000,7,FALSE),"")</f>
        <v/>
      </c>
      <c r="W896" s="92">
        <f>IFERROR(VLOOKUP($A896,'13. Mapa Títulos-Receita'!$A$8:$P$1000,8,FALSE),"")</f>
        <v/>
      </c>
      <c r="X896" s="92">
        <f>IFERROR(VLOOKUP($A896,'13. Mapa Títulos-Receita'!$A$8:$P$1000,9,FALSE),"")</f>
        <v/>
      </c>
      <c r="Y896" s="92">
        <f>IFERROR(VLOOKUP($A896,'13. Mapa Títulos-Receita'!$A$8:$P$1000,10,FALSE),"")</f>
        <v/>
      </c>
      <c r="Z896" s="92">
        <f>IFERROR(VLOOKUP($A896,'13. Mapa Títulos-Receita'!$A$8:$P$1000,11,FALSE),"")</f>
        <v/>
      </c>
      <c r="AA896" s="92">
        <f>IFERROR(VLOOKUP($A896,'13. Mapa Títulos-Receita'!$A$8:$P$1000,12,FALSE),"")</f>
        <v/>
      </c>
      <c r="AB896" s="92">
        <f>IFERROR(VLOOKUP($A896,'13. Mapa Títulos-Receita'!$A$8:$P$1000,13,FALSE),"")</f>
        <v/>
      </c>
      <c r="AC896" s="92">
        <f>IFERROR(VLOOKUP($A896,'13. Mapa Títulos-Receita'!$A$8:$P$1000,14,FALSE),"")</f>
        <v/>
      </c>
      <c r="AD896" s="92">
        <f>IFERROR(VLOOKUP($A896,'13. Mapa Títulos-Receita'!$A$8:$P$1000,15,FALSE),"")</f>
        <v/>
      </c>
      <c r="AE896" s="92">
        <f>IFERROR(VLOOKUP($A896,'13. Mapa Títulos-Receita'!$A$8:$P$1000,16,FALSE),"")</f>
        <v/>
      </c>
    </row>
    <row r="897">
      <c r="A897" s="28">
        <f>IF(C897="","", "CR-"&amp;TEXT(ROW()-7,"000"))</f>
        <v/>
      </c>
      <c r="B897" s="28" t="n"/>
      <c r="C897" s="28" t="n"/>
      <c r="D897" s="111" t="n"/>
      <c r="E897" s="111" t="n"/>
      <c r="F897" s="111" t="n"/>
      <c r="G897" s="28" t="n"/>
      <c r="H897" s="45" t="n"/>
      <c r="I897" s="45" t="n"/>
      <c r="J897" s="28">
        <f>IF(H897="","",IF(I897&gt;=H897,"Recebido",IF($B$4&gt;E897,"Vencido","Aberto")))</f>
        <v/>
      </c>
      <c r="K897" s="4">
        <f>IF(J897="","",IF(OR(J897="Recebido",F897=""),MAX(0,F897-E897),MAX(0,$B$4-E897)))</f>
        <v/>
      </c>
      <c r="L897" s="4">
        <f>IF(K897="","",IF(K897=0,"Em dia",IF(K897&lt;=30,"1-30 dias",IF(K897&lt;=60,"31-60 dias",IF(K897&lt;=90,"61-90 dias","&gt;90 dias")))))</f>
        <v/>
      </c>
      <c r="M897" s="28" t="n"/>
      <c r="N897" s="104" t="inlineStr"/>
      <c r="O897" s="64" t="n"/>
      <c r="P897" s="64">
        <f>IF(C897="","",IF(ISNUMBER(SEARCH("PCMSO",C897)),"PCMSO",IF(OR(ISNUMBER(SEARCH("E-SOCIAL",C897)),ISNUMBER(SEARCH("PSICOSOCIAL",C897))),"eSocial / Psicossocial",IF(O897="Receita recorrente","Carteira recorrente","Projetos / Laudos / Avulsos"))))</f>
        <v/>
      </c>
      <c r="Q897" s="64">
        <f>IF(P897="","",IF(P897="Carteira recorrente","Operação recorrente",IF(P897="PCMSO","Projetos PCMSO",IF(P897="eSocial / Psicossocial","Projetos eSocial/Psicossocial","Projetos / Laudos / Avulsos"))))</f>
        <v/>
      </c>
      <c r="R897" s="64">
        <f>IF(C897="","",IF(ISNUMBER(SEARCH("PCMSO",C897)),"Título com PCMSO no nome",IF(OR(ISNUMBER(SEARCH("E-SOCIAL",C897)),ISNUMBER(SEARCH("PSICOSOCIAL",C897))),"Título com eSocial/Psicossocial no nome",IF(O897="Receita recorrente","Tipo DRE recorrente","Extra sem palavra-chave específica"))))</f>
        <v/>
      </c>
      <c r="S897" s="92">
        <f>IFERROR(VLOOKUP($A897,'13. Mapa Títulos-Receita'!$A$8:$P$1000,4,FALSE),"")</f>
        <v/>
      </c>
      <c r="T897" s="92">
        <f>IFERROR(VLOOKUP($A897,'13. Mapa Títulos-Receita'!$A$8:$P$1000,5,FALSE),"")</f>
        <v/>
      </c>
      <c r="U897" s="92">
        <f>IFERROR(VLOOKUP($A897,'13. Mapa Títulos-Receita'!$A$8:$P$1000,6,FALSE),"")</f>
        <v/>
      </c>
      <c r="V897" s="92">
        <f>IFERROR(VLOOKUP($A897,'13. Mapa Títulos-Receita'!$A$8:$P$1000,7,FALSE),"")</f>
        <v/>
      </c>
      <c r="W897" s="92">
        <f>IFERROR(VLOOKUP($A897,'13. Mapa Títulos-Receita'!$A$8:$P$1000,8,FALSE),"")</f>
        <v/>
      </c>
      <c r="X897" s="92">
        <f>IFERROR(VLOOKUP($A897,'13. Mapa Títulos-Receita'!$A$8:$P$1000,9,FALSE),"")</f>
        <v/>
      </c>
      <c r="Y897" s="92">
        <f>IFERROR(VLOOKUP($A897,'13. Mapa Títulos-Receita'!$A$8:$P$1000,10,FALSE),"")</f>
        <v/>
      </c>
      <c r="Z897" s="92">
        <f>IFERROR(VLOOKUP($A897,'13. Mapa Títulos-Receita'!$A$8:$P$1000,11,FALSE),"")</f>
        <v/>
      </c>
      <c r="AA897" s="92">
        <f>IFERROR(VLOOKUP($A897,'13. Mapa Títulos-Receita'!$A$8:$P$1000,12,FALSE),"")</f>
        <v/>
      </c>
      <c r="AB897" s="92">
        <f>IFERROR(VLOOKUP($A897,'13. Mapa Títulos-Receita'!$A$8:$P$1000,13,FALSE),"")</f>
        <v/>
      </c>
      <c r="AC897" s="92">
        <f>IFERROR(VLOOKUP($A897,'13. Mapa Títulos-Receita'!$A$8:$P$1000,14,FALSE),"")</f>
        <v/>
      </c>
      <c r="AD897" s="92">
        <f>IFERROR(VLOOKUP($A897,'13. Mapa Títulos-Receita'!$A$8:$P$1000,15,FALSE),"")</f>
        <v/>
      </c>
      <c r="AE897" s="92">
        <f>IFERROR(VLOOKUP($A897,'13. Mapa Títulos-Receita'!$A$8:$P$1000,16,FALSE),"")</f>
        <v/>
      </c>
    </row>
    <row r="898">
      <c r="A898" s="28">
        <f>IF(C898="","", "CR-"&amp;TEXT(ROW()-7,"000"))</f>
        <v/>
      </c>
      <c r="B898" s="28" t="n"/>
      <c r="C898" s="28" t="n"/>
      <c r="D898" s="111" t="n"/>
      <c r="E898" s="111" t="n"/>
      <c r="F898" s="111" t="n"/>
      <c r="G898" s="28" t="n"/>
      <c r="H898" s="45" t="n"/>
      <c r="I898" s="45" t="n"/>
      <c r="J898" s="28">
        <f>IF(H898="","",IF(I898&gt;=H898,"Recebido",IF($B$4&gt;E898,"Vencido","Aberto")))</f>
        <v/>
      </c>
      <c r="K898" s="4">
        <f>IF(J898="","",IF(OR(J898="Recebido",F898=""),MAX(0,F898-E898),MAX(0,$B$4-E898)))</f>
        <v/>
      </c>
      <c r="L898" s="4">
        <f>IF(K898="","",IF(K898=0,"Em dia",IF(K898&lt;=30,"1-30 dias",IF(K898&lt;=60,"31-60 dias",IF(K898&lt;=90,"61-90 dias","&gt;90 dias")))))</f>
        <v/>
      </c>
      <c r="M898" s="28" t="n"/>
      <c r="N898" s="104" t="inlineStr"/>
      <c r="O898" s="64" t="n"/>
      <c r="P898" s="64">
        <f>IF(C898="","",IF(ISNUMBER(SEARCH("PCMSO",C898)),"PCMSO",IF(OR(ISNUMBER(SEARCH("E-SOCIAL",C898)),ISNUMBER(SEARCH("PSICOSOCIAL",C898))),"eSocial / Psicossocial",IF(O898="Receita recorrente","Carteira recorrente","Projetos / Laudos / Avulsos"))))</f>
        <v/>
      </c>
      <c r="Q898" s="64">
        <f>IF(P898="","",IF(P898="Carteira recorrente","Operação recorrente",IF(P898="PCMSO","Projetos PCMSO",IF(P898="eSocial / Psicossocial","Projetos eSocial/Psicossocial","Projetos / Laudos / Avulsos"))))</f>
        <v/>
      </c>
      <c r="R898" s="64">
        <f>IF(C898="","",IF(ISNUMBER(SEARCH("PCMSO",C898)),"Título com PCMSO no nome",IF(OR(ISNUMBER(SEARCH("E-SOCIAL",C898)),ISNUMBER(SEARCH("PSICOSOCIAL",C898))),"Título com eSocial/Psicossocial no nome",IF(O898="Receita recorrente","Tipo DRE recorrente","Extra sem palavra-chave específica"))))</f>
        <v/>
      </c>
      <c r="S898" s="92">
        <f>IFERROR(VLOOKUP($A898,'13. Mapa Títulos-Receita'!$A$8:$P$1000,4,FALSE),"")</f>
        <v/>
      </c>
      <c r="T898" s="92">
        <f>IFERROR(VLOOKUP($A898,'13. Mapa Títulos-Receita'!$A$8:$P$1000,5,FALSE),"")</f>
        <v/>
      </c>
      <c r="U898" s="92">
        <f>IFERROR(VLOOKUP($A898,'13. Mapa Títulos-Receita'!$A$8:$P$1000,6,FALSE),"")</f>
        <v/>
      </c>
      <c r="V898" s="92">
        <f>IFERROR(VLOOKUP($A898,'13. Mapa Títulos-Receita'!$A$8:$P$1000,7,FALSE),"")</f>
        <v/>
      </c>
      <c r="W898" s="92">
        <f>IFERROR(VLOOKUP($A898,'13. Mapa Títulos-Receita'!$A$8:$P$1000,8,FALSE),"")</f>
        <v/>
      </c>
      <c r="X898" s="92">
        <f>IFERROR(VLOOKUP($A898,'13. Mapa Títulos-Receita'!$A$8:$P$1000,9,FALSE),"")</f>
        <v/>
      </c>
      <c r="Y898" s="92">
        <f>IFERROR(VLOOKUP($A898,'13. Mapa Títulos-Receita'!$A$8:$P$1000,10,FALSE),"")</f>
        <v/>
      </c>
      <c r="Z898" s="92">
        <f>IFERROR(VLOOKUP($A898,'13. Mapa Títulos-Receita'!$A$8:$P$1000,11,FALSE),"")</f>
        <v/>
      </c>
      <c r="AA898" s="92">
        <f>IFERROR(VLOOKUP($A898,'13. Mapa Títulos-Receita'!$A$8:$P$1000,12,FALSE),"")</f>
        <v/>
      </c>
      <c r="AB898" s="92">
        <f>IFERROR(VLOOKUP($A898,'13. Mapa Títulos-Receita'!$A$8:$P$1000,13,FALSE),"")</f>
        <v/>
      </c>
      <c r="AC898" s="92">
        <f>IFERROR(VLOOKUP($A898,'13. Mapa Títulos-Receita'!$A$8:$P$1000,14,FALSE),"")</f>
        <v/>
      </c>
      <c r="AD898" s="92">
        <f>IFERROR(VLOOKUP($A898,'13. Mapa Títulos-Receita'!$A$8:$P$1000,15,FALSE),"")</f>
        <v/>
      </c>
      <c r="AE898" s="92">
        <f>IFERROR(VLOOKUP($A898,'13. Mapa Títulos-Receita'!$A$8:$P$1000,16,FALSE),"")</f>
        <v/>
      </c>
    </row>
    <row r="899">
      <c r="A899" s="28">
        <f>IF(C899="","", "CR-"&amp;TEXT(ROW()-7,"000"))</f>
        <v/>
      </c>
      <c r="B899" s="28" t="n"/>
      <c r="C899" s="28" t="n"/>
      <c r="D899" s="111" t="n"/>
      <c r="E899" s="111" t="n"/>
      <c r="F899" s="111" t="n"/>
      <c r="G899" s="28" t="n"/>
      <c r="H899" s="45" t="n"/>
      <c r="I899" s="45" t="n"/>
      <c r="J899" s="28">
        <f>IF(H899="","",IF(I899&gt;=H899,"Recebido",IF($B$4&gt;E899,"Vencido","Aberto")))</f>
        <v/>
      </c>
      <c r="K899" s="4">
        <f>IF(J899="","",IF(OR(J899="Recebido",F899=""),MAX(0,F899-E899),MAX(0,$B$4-E899)))</f>
        <v/>
      </c>
      <c r="L899" s="4">
        <f>IF(K899="","",IF(K899=0,"Em dia",IF(K899&lt;=30,"1-30 dias",IF(K899&lt;=60,"31-60 dias",IF(K899&lt;=90,"61-90 dias","&gt;90 dias")))))</f>
        <v/>
      </c>
      <c r="M899" s="28" t="n"/>
      <c r="N899" s="104" t="inlineStr"/>
      <c r="O899" s="64" t="n"/>
      <c r="P899" s="64">
        <f>IF(C899="","",IF(ISNUMBER(SEARCH("PCMSO",C899)),"PCMSO",IF(OR(ISNUMBER(SEARCH("E-SOCIAL",C899)),ISNUMBER(SEARCH("PSICOSOCIAL",C899))),"eSocial / Psicossocial",IF(O899="Receita recorrente","Carteira recorrente","Projetos / Laudos / Avulsos"))))</f>
        <v/>
      </c>
      <c r="Q899" s="64">
        <f>IF(P899="","",IF(P899="Carteira recorrente","Operação recorrente",IF(P899="PCMSO","Projetos PCMSO",IF(P899="eSocial / Psicossocial","Projetos eSocial/Psicossocial","Projetos / Laudos / Avulsos"))))</f>
        <v/>
      </c>
      <c r="R899" s="64">
        <f>IF(C899="","",IF(ISNUMBER(SEARCH("PCMSO",C899)),"Título com PCMSO no nome",IF(OR(ISNUMBER(SEARCH("E-SOCIAL",C899)),ISNUMBER(SEARCH("PSICOSOCIAL",C899))),"Título com eSocial/Psicossocial no nome",IF(O899="Receita recorrente","Tipo DRE recorrente","Extra sem palavra-chave específica"))))</f>
        <v/>
      </c>
      <c r="S899" s="92">
        <f>IFERROR(VLOOKUP($A899,'13. Mapa Títulos-Receita'!$A$8:$P$1000,4,FALSE),"")</f>
        <v/>
      </c>
      <c r="T899" s="92">
        <f>IFERROR(VLOOKUP($A899,'13. Mapa Títulos-Receita'!$A$8:$P$1000,5,FALSE),"")</f>
        <v/>
      </c>
      <c r="U899" s="92">
        <f>IFERROR(VLOOKUP($A899,'13. Mapa Títulos-Receita'!$A$8:$P$1000,6,FALSE),"")</f>
        <v/>
      </c>
      <c r="V899" s="92">
        <f>IFERROR(VLOOKUP($A899,'13. Mapa Títulos-Receita'!$A$8:$P$1000,7,FALSE),"")</f>
        <v/>
      </c>
      <c r="W899" s="92">
        <f>IFERROR(VLOOKUP($A899,'13. Mapa Títulos-Receita'!$A$8:$P$1000,8,FALSE),"")</f>
        <v/>
      </c>
      <c r="X899" s="92">
        <f>IFERROR(VLOOKUP($A899,'13. Mapa Títulos-Receita'!$A$8:$P$1000,9,FALSE),"")</f>
        <v/>
      </c>
      <c r="Y899" s="92">
        <f>IFERROR(VLOOKUP($A899,'13. Mapa Títulos-Receita'!$A$8:$P$1000,10,FALSE),"")</f>
        <v/>
      </c>
      <c r="Z899" s="92">
        <f>IFERROR(VLOOKUP($A899,'13. Mapa Títulos-Receita'!$A$8:$P$1000,11,FALSE),"")</f>
        <v/>
      </c>
      <c r="AA899" s="92">
        <f>IFERROR(VLOOKUP($A899,'13. Mapa Títulos-Receita'!$A$8:$P$1000,12,FALSE),"")</f>
        <v/>
      </c>
      <c r="AB899" s="92">
        <f>IFERROR(VLOOKUP($A899,'13. Mapa Títulos-Receita'!$A$8:$P$1000,13,FALSE),"")</f>
        <v/>
      </c>
      <c r="AC899" s="92">
        <f>IFERROR(VLOOKUP($A899,'13. Mapa Títulos-Receita'!$A$8:$P$1000,14,FALSE),"")</f>
        <v/>
      </c>
      <c r="AD899" s="92">
        <f>IFERROR(VLOOKUP($A899,'13. Mapa Títulos-Receita'!$A$8:$P$1000,15,FALSE),"")</f>
        <v/>
      </c>
      <c r="AE899" s="92">
        <f>IFERROR(VLOOKUP($A899,'13. Mapa Títulos-Receita'!$A$8:$P$1000,16,FALSE),"")</f>
        <v/>
      </c>
    </row>
    <row r="900">
      <c r="A900" s="28">
        <f>IF(C900="","", "CR-"&amp;TEXT(ROW()-7,"000"))</f>
        <v/>
      </c>
      <c r="B900" s="28" t="n"/>
      <c r="C900" s="28" t="n"/>
      <c r="D900" s="111" t="n"/>
      <c r="E900" s="111" t="n"/>
      <c r="F900" s="111" t="n"/>
      <c r="G900" s="28" t="n"/>
      <c r="H900" s="45" t="n"/>
      <c r="I900" s="45" t="n"/>
      <c r="J900" s="28">
        <f>IF(H900="","",IF(I900&gt;=H900,"Recebido",IF($B$4&gt;E900,"Vencido","Aberto")))</f>
        <v/>
      </c>
      <c r="K900" s="4">
        <f>IF(J900="","",IF(OR(J900="Recebido",F900=""),MAX(0,F900-E900),MAX(0,$B$4-E900)))</f>
        <v/>
      </c>
      <c r="L900" s="4">
        <f>IF(K900="","",IF(K900=0,"Em dia",IF(K900&lt;=30,"1-30 dias",IF(K900&lt;=60,"31-60 dias",IF(K900&lt;=90,"61-90 dias","&gt;90 dias")))))</f>
        <v/>
      </c>
      <c r="M900" s="28" t="n"/>
      <c r="N900" s="104" t="inlineStr"/>
      <c r="O900" s="64" t="n"/>
      <c r="P900" s="64">
        <f>IF(C900="","",IF(ISNUMBER(SEARCH("PCMSO",C900)),"PCMSO",IF(OR(ISNUMBER(SEARCH("E-SOCIAL",C900)),ISNUMBER(SEARCH("PSICOSOCIAL",C900))),"eSocial / Psicossocial",IF(O900="Receita recorrente","Carteira recorrente","Projetos / Laudos / Avulsos"))))</f>
        <v/>
      </c>
      <c r="Q900" s="64">
        <f>IF(P900="","",IF(P900="Carteira recorrente","Operação recorrente",IF(P900="PCMSO","Projetos PCMSO",IF(P900="eSocial / Psicossocial","Projetos eSocial/Psicossocial","Projetos / Laudos / Avulsos"))))</f>
        <v/>
      </c>
      <c r="R900" s="64">
        <f>IF(C900="","",IF(ISNUMBER(SEARCH("PCMSO",C900)),"Título com PCMSO no nome",IF(OR(ISNUMBER(SEARCH("E-SOCIAL",C900)),ISNUMBER(SEARCH("PSICOSOCIAL",C900))),"Título com eSocial/Psicossocial no nome",IF(O900="Receita recorrente","Tipo DRE recorrente","Extra sem palavra-chave específica"))))</f>
        <v/>
      </c>
      <c r="S900" s="92">
        <f>IFERROR(VLOOKUP($A900,'13. Mapa Títulos-Receita'!$A$8:$P$1000,4,FALSE),"")</f>
        <v/>
      </c>
      <c r="T900" s="92">
        <f>IFERROR(VLOOKUP($A900,'13. Mapa Títulos-Receita'!$A$8:$P$1000,5,FALSE),"")</f>
        <v/>
      </c>
      <c r="U900" s="92">
        <f>IFERROR(VLOOKUP($A900,'13. Mapa Títulos-Receita'!$A$8:$P$1000,6,FALSE),"")</f>
        <v/>
      </c>
      <c r="V900" s="92">
        <f>IFERROR(VLOOKUP($A900,'13. Mapa Títulos-Receita'!$A$8:$P$1000,7,FALSE),"")</f>
        <v/>
      </c>
      <c r="W900" s="92">
        <f>IFERROR(VLOOKUP($A900,'13. Mapa Títulos-Receita'!$A$8:$P$1000,8,FALSE),"")</f>
        <v/>
      </c>
      <c r="X900" s="92">
        <f>IFERROR(VLOOKUP($A900,'13. Mapa Títulos-Receita'!$A$8:$P$1000,9,FALSE),"")</f>
        <v/>
      </c>
      <c r="Y900" s="92">
        <f>IFERROR(VLOOKUP($A900,'13. Mapa Títulos-Receita'!$A$8:$P$1000,10,FALSE),"")</f>
        <v/>
      </c>
      <c r="Z900" s="92">
        <f>IFERROR(VLOOKUP($A900,'13. Mapa Títulos-Receita'!$A$8:$P$1000,11,FALSE),"")</f>
        <v/>
      </c>
      <c r="AA900" s="92">
        <f>IFERROR(VLOOKUP($A900,'13. Mapa Títulos-Receita'!$A$8:$P$1000,12,FALSE),"")</f>
        <v/>
      </c>
      <c r="AB900" s="92">
        <f>IFERROR(VLOOKUP($A900,'13. Mapa Títulos-Receita'!$A$8:$P$1000,13,FALSE),"")</f>
        <v/>
      </c>
      <c r="AC900" s="92">
        <f>IFERROR(VLOOKUP($A900,'13. Mapa Títulos-Receita'!$A$8:$P$1000,14,FALSE),"")</f>
        <v/>
      </c>
      <c r="AD900" s="92">
        <f>IFERROR(VLOOKUP($A900,'13. Mapa Títulos-Receita'!$A$8:$P$1000,15,FALSE),"")</f>
        <v/>
      </c>
      <c r="AE900" s="92">
        <f>IFERROR(VLOOKUP($A900,'13. Mapa Títulos-Receita'!$A$8:$P$1000,16,FALSE),"")</f>
        <v/>
      </c>
    </row>
    <row r="901">
      <c r="A901" s="28">
        <f>IF(C901="","", "CR-"&amp;TEXT(ROW()-7,"000"))</f>
        <v/>
      </c>
      <c r="B901" s="28" t="n"/>
      <c r="C901" s="28" t="n"/>
      <c r="D901" s="111" t="n"/>
      <c r="E901" s="111" t="n"/>
      <c r="F901" s="111" t="n"/>
      <c r="G901" s="28" t="n"/>
      <c r="H901" s="45" t="n"/>
      <c r="I901" s="45" t="n"/>
      <c r="J901" s="28">
        <f>IF(H901="","",IF(I901&gt;=H901,"Recebido",IF($B$4&gt;E901,"Vencido","Aberto")))</f>
        <v/>
      </c>
      <c r="K901" s="4">
        <f>IF(J901="","",IF(OR(J901="Recebido",F901=""),MAX(0,F901-E901),MAX(0,$B$4-E901)))</f>
        <v/>
      </c>
      <c r="L901" s="4">
        <f>IF(K901="","",IF(K901=0,"Em dia",IF(K901&lt;=30,"1-30 dias",IF(K901&lt;=60,"31-60 dias",IF(K901&lt;=90,"61-90 dias","&gt;90 dias")))))</f>
        <v/>
      </c>
      <c r="M901" s="28" t="n"/>
      <c r="N901" s="104" t="inlineStr"/>
      <c r="O901" s="64" t="n"/>
      <c r="P901" s="64">
        <f>IF(C901="","",IF(ISNUMBER(SEARCH("PCMSO",C901)),"PCMSO",IF(OR(ISNUMBER(SEARCH("E-SOCIAL",C901)),ISNUMBER(SEARCH("PSICOSOCIAL",C901))),"eSocial / Psicossocial",IF(O901="Receita recorrente","Carteira recorrente","Projetos / Laudos / Avulsos"))))</f>
        <v/>
      </c>
      <c r="Q901" s="64">
        <f>IF(P901="","",IF(P901="Carteira recorrente","Operação recorrente",IF(P901="PCMSO","Projetos PCMSO",IF(P901="eSocial / Psicossocial","Projetos eSocial/Psicossocial","Projetos / Laudos / Avulsos"))))</f>
        <v/>
      </c>
      <c r="R901" s="64">
        <f>IF(C901="","",IF(ISNUMBER(SEARCH("PCMSO",C901)),"Título com PCMSO no nome",IF(OR(ISNUMBER(SEARCH("E-SOCIAL",C901)),ISNUMBER(SEARCH("PSICOSOCIAL",C901))),"Título com eSocial/Psicossocial no nome",IF(O901="Receita recorrente","Tipo DRE recorrente","Extra sem palavra-chave específica"))))</f>
        <v/>
      </c>
      <c r="S901" s="92">
        <f>IFERROR(VLOOKUP($A901,'13. Mapa Títulos-Receita'!$A$8:$P$1000,4,FALSE),"")</f>
        <v/>
      </c>
      <c r="T901" s="92">
        <f>IFERROR(VLOOKUP($A901,'13. Mapa Títulos-Receita'!$A$8:$P$1000,5,FALSE),"")</f>
        <v/>
      </c>
      <c r="U901" s="92">
        <f>IFERROR(VLOOKUP($A901,'13. Mapa Títulos-Receita'!$A$8:$P$1000,6,FALSE),"")</f>
        <v/>
      </c>
      <c r="V901" s="92">
        <f>IFERROR(VLOOKUP($A901,'13. Mapa Títulos-Receita'!$A$8:$P$1000,7,FALSE),"")</f>
        <v/>
      </c>
      <c r="W901" s="92">
        <f>IFERROR(VLOOKUP($A901,'13. Mapa Títulos-Receita'!$A$8:$P$1000,8,FALSE),"")</f>
        <v/>
      </c>
      <c r="X901" s="92">
        <f>IFERROR(VLOOKUP($A901,'13. Mapa Títulos-Receita'!$A$8:$P$1000,9,FALSE),"")</f>
        <v/>
      </c>
      <c r="Y901" s="92">
        <f>IFERROR(VLOOKUP($A901,'13. Mapa Títulos-Receita'!$A$8:$P$1000,10,FALSE),"")</f>
        <v/>
      </c>
      <c r="Z901" s="92">
        <f>IFERROR(VLOOKUP($A901,'13. Mapa Títulos-Receita'!$A$8:$P$1000,11,FALSE),"")</f>
        <v/>
      </c>
      <c r="AA901" s="92">
        <f>IFERROR(VLOOKUP($A901,'13. Mapa Títulos-Receita'!$A$8:$P$1000,12,FALSE),"")</f>
        <v/>
      </c>
      <c r="AB901" s="92">
        <f>IFERROR(VLOOKUP($A901,'13. Mapa Títulos-Receita'!$A$8:$P$1000,13,FALSE),"")</f>
        <v/>
      </c>
      <c r="AC901" s="92">
        <f>IFERROR(VLOOKUP($A901,'13. Mapa Títulos-Receita'!$A$8:$P$1000,14,FALSE),"")</f>
        <v/>
      </c>
      <c r="AD901" s="92">
        <f>IFERROR(VLOOKUP($A901,'13. Mapa Títulos-Receita'!$A$8:$P$1000,15,FALSE),"")</f>
        <v/>
      </c>
      <c r="AE901" s="92">
        <f>IFERROR(VLOOKUP($A901,'13. Mapa Títulos-Receita'!$A$8:$P$1000,16,FALSE),"")</f>
        <v/>
      </c>
    </row>
    <row r="902">
      <c r="A902" s="28">
        <f>IF(C902="","", "CR-"&amp;TEXT(ROW()-7,"000"))</f>
        <v/>
      </c>
      <c r="B902" s="28" t="n"/>
      <c r="C902" s="28" t="n"/>
      <c r="D902" s="111" t="n"/>
      <c r="E902" s="111" t="n"/>
      <c r="F902" s="111" t="n"/>
      <c r="G902" s="28" t="n"/>
      <c r="H902" s="45" t="n"/>
      <c r="I902" s="45" t="n"/>
      <c r="J902" s="28">
        <f>IF(H902="","",IF(I902&gt;=H902,"Recebido",IF($B$4&gt;E902,"Vencido","Aberto")))</f>
        <v/>
      </c>
      <c r="K902" s="4">
        <f>IF(J902="","",IF(OR(J902="Recebido",F902=""),MAX(0,F902-E902),MAX(0,$B$4-E902)))</f>
        <v/>
      </c>
      <c r="L902" s="4">
        <f>IF(K902="","",IF(K902=0,"Em dia",IF(K902&lt;=30,"1-30 dias",IF(K902&lt;=60,"31-60 dias",IF(K902&lt;=90,"61-90 dias","&gt;90 dias")))))</f>
        <v/>
      </c>
      <c r="M902" s="28" t="n"/>
      <c r="N902" s="104" t="inlineStr"/>
      <c r="O902" s="64" t="n"/>
      <c r="P902" s="64">
        <f>IF(C902="","",IF(ISNUMBER(SEARCH("PCMSO",C902)),"PCMSO",IF(OR(ISNUMBER(SEARCH("E-SOCIAL",C902)),ISNUMBER(SEARCH("PSICOSOCIAL",C902))),"eSocial / Psicossocial",IF(O902="Receita recorrente","Carteira recorrente","Projetos / Laudos / Avulsos"))))</f>
        <v/>
      </c>
      <c r="Q902" s="64">
        <f>IF(P902="","",IF(P902="Carteira recorrente","Operação recorrente",IF(P902="PCMSO","Projetos PCMSO",IF(P902="eSocial / Psicossocial","Projetos eSocial/Psicossocial","Projetos / Laudos / Avulsos"))))</f>
        <v/>
      </c>
      <c r="R902" s="64">
        <f>IF(C902="","",IF(ISNUMBER(SEARCH("PCMSO",C902)),"Título com PCMSO no nome",IF(OR(ISNUMBER(SEARCH("E-SOCIAL",C902)),ISNUMBER(SEARCH("PSICOSOCIAL",C902))),"Título com eSocial/Psicossocial no nome",IF(O902="Receita recorrente","Tipo DRE recorrente","Extra sem palavra-chave específica"))))</f>
        <v/>
      </c>
      <c r="S902" s="92">
        <f>IFERROR(VLOOKUP($A902,'13. Mapa Títulos-Receita'!$A$8:$P$1000,4,FALSE),"")</f>
        <v/>
      </c>
      <c r="T902" s="92">
        <f>IFERROR(VLOOKUP($A902,'13. Mapa Títulos-Receita'!$A$8:$P$1000,5,FALSE),"")</f>
        <v/>
      </c>
      <c r="U902" s="92">
        <f>IFERROR(VLOOKUP($A902,'13. Mapa Títulos-Receita'!$A$8:$P$1000,6,FALSE),"")</f>
        <v/>
      </c>
      <c r="V902" s="92">
        <f>IFERROR(VLOOKUP($A902,'13. Mapa Títulos-Receita'!$A$8:$P$1000,7,FALSE),"")</f>
        <v/>
      </c>
      <c r="W902" s="92">
        <f>IFERROR(VLOOKUP($A902,'13. Mapa Títulos-Receita'!$A$8:$P$1000,8,FALSE),"")</f>
        <v/>
      </c>
      <c r="X902" s="92">
        <f>IFERROR(VLOOKUP($A902,'13. Mapa Títulos-Receita'!$A$8:$P$1000,9,FALSE),"")</f>
        <v/>
      </c>
      <c r="Y902" s="92">
        <f>IFERROR(VLOOKUP($A902,'13. Mapa Títulos-Receita'!$A$8:$P$1000,10,FALSE),"")</f>
        <v/>
      </c>
      <c r="Z902" s="92">
        <f>IFERROR(VLOOKUP($A902,'13. Mapa Títulos-Receita'!$A$8:$P$1000,11,FALSE),"")</f>
        <v/>
      </c>
      <c r="AA902" s="92">
        <f>IFERROR(VLOOKUP($A902,'13. Mapa Títulos-Receita'!$A$8:$P$1000,12,FALSE),"")</f>
        <v/>
      </c>
      <c r="AB902" s="92">
        <f>IFERROR(VLOOKUP($A902,'13. Mapa Títulos-Receita'!$A$8:$P$1000,13,FALSE),"")</f>
        <v/>
      </c>
      <c r="AC902" s="92">
        <f>IFERROR(VLOOKUP($A902,'13. Mapa Títulos-Receita'!$A$8:$P$1000,14,FALSE),"")</f>
        <v/>
      </c>
      <c r="AD902" s="92">
        <f>IFERROR(VLOOKUP($A902,'13. Mapa Títulos-Receita'!$A$8:$P$1000,15,FALSE),"")</f>
        <v/>
      </c>
      <c r="AE902" s="92">
        <f>IFERROR(VLOOKUP($A902,'13. Mapa Títulos-Receita'!$A$8:$P$1000,16,FALSE),"")</f>
        <v/>
      </c>
    </row>
    <row r="903">
      <c r="A903" s="28">
        <f>IF(C903="","", "CR-"&amp;TEXT(ROW()-7,"000"))</f>
        <v/>
      </c>
      <c r="B903" s="28" t="n"/>
      <c r="C903" s="28" t="n"/>
      <c r="D903" s="111" t="n"/>
      <c r="E903" s="111" t="n"/>
      <c r="F903" s="111" t="n"/>
      <c r="G903" s="28" t="n"/>
      <c r="H903" s="45" t="n"/>
      <c r="I903" s="45" t="n"/>
      <c r="J903" s="28">
        <f>IF(H903="","",IF(I903&gt;=H903,"Recebido",IF($B$4&gt;E903,"Vencido","Aberto")))</f>
        <v/>
      </c>
      <c r="K903" s="4">
        <f>IF(J903="","",IF(OR(J903="Recebido",F903=""),MAX(0,F903-E903),MAX(0,$B$4-E903)))</f>
        <v/>
      </c>
      <c r="L903" s="4">
        <f>IF(K903="","",IF(K903=0,"Em dia",IF(K903&lt;=30,"1-30 dias",IF(K903&lt;=60,"31-60 dias",IF(K903&lt;=90,"61-90 dias","&gt;90 dias")))))</f>
        <v/>
      </c>
      <c r="M903" s="28" t="n"/>
      <c r="N903" s="104" t="inlineStr"/>
      <c r="O903" s="64" t="n"/>
      <c r="P903" s="64">
        <f>IF(C903="","",IF(ISNUMBER(SEARCH("PCMSO",C903)),"PCMSO",IF(OR(ISNUMBER(SEARCH("E-SOCIAL",C903)),ISNUMBER(SEARCH("PSICOSOCIAL",C903))),"eSocial / Psicossocial",IF(O903="Receita recorrente","Carteira recorrente","Projetos / Laudos / Avulsos"))))</f>
        <v/>
      </c>
      <c r="Q903" s="64">
        <f>IF(P903="","",IF(P903="Carteira recorrente","Operação recorrente",IF(P903="PCMSO","Projetos PCMSO",IF(P903="eSocial / Psicossocial","Projetos eSocial/Psicossocial","Projetos / Laudos / Avulsos"))))</f>
        <v/>
      </c>
      <c r="R903" s="64">
        <f>IF(C903="","",IF(ISNUMBER(SEARCH("PCMSO",C903)),"Título com PCMSO no nome",IF(OR(ISNUMBER(SEARCH("E-SOCIAL",C903)),ISNUMBER(SEARCH("PSICOSOCIAL",C903))),"Título com eSocial/Psicossocial no nome",IF(O903="Receita recorrente","Tipo DRE recorrente","Extra sem palavra-chave específica"))))</f>
        <v/>
      </c>
      <c r="S903" s="92">
        <f>IFERROR(VLOOKUP($A903,'13. Mapa Títulos-Receita'!$A$8:$P$1000,4,FALSE),"")</f>
        <v/>
      </c>
      <c r="T903" s="92">
        <f>IFERROR(VLOOKUP($A903,'13. Mapa Títulos-Receita'!$A$8:$P$1000,5,FALSE),"")</f>
        <v/>
      </c>
      <c r="U903" s="92">
        <f>IFERROR(VLOOKUP($A903,'13. Mapa Títulos-Receita'!$A$8:$P$1000,6,FALSE),"")</f>
        <v/>
      </c>
      <c r="V903" s="92">
        <f>IFERROR(VLOOKUP($A903,'13. Mapa Títulos-Receita'!$A$8:$P$1000,7,FALSE),"")</f>
        <v/>
      </c>
      <c r="W903" s="92">
        <f>IFERROR(VLOOKUP($A903,'13. Mapa Títulos-Receita'!$A$8:$P$1000,8,FALSE),"")</f>
        <v/>
      </c>
      <c r="X903" s="92">
        <f>IFERROR(VLOOKUP($A903,'13. Mapa Títulos-Receita'!$A$8:$P$1000,9,FALSE),"")</f>
        <v/>
      </c>
      <c r="Y903" s="92">
        <f>IFERROR(VLOOKUP($A903,'13. Mapa Títulos-Receita'!$A$8:$P$1000,10,FALSE),"")</f>
        <v/>
      </c>
      <c r="Z903" s="92">
        <f>IFERROR(VLOOKUP($A903,'13. Mapa Títulos-Receita'!$A$8:$P$1000,11,FALSE),"")</f>
        <v/>
      </c>
      <c r="AA903" s="92">
        <f>IFERROR(VLOOKUP($A903,'13. Mapa Títulos-Receita'!$A$8:$P$1000,12,FALSE),"")</f>
        <v/>
      </c>
      <c r="AB903" s="92">
        <f>IFERROR(VLOOKUP($A903,'13. Mapa Títulos-Receita'!$A$8:$P$1000,13,FALSE),"")</f>
        <v/>
      </c>
      <c r="AC903" s="92">
        <f>IFERROR(VLOOKUP($A903,'13. Mapa Títulos-Receita'!$A$8:$P$1000,14,FALSE),"")</f>
        <v/>
      </c>
      <c r="AD903" s="92">
        <f>IFERROR(VLOOKUP($A903,'13. Mapa Títulos-Receita'!$A$8:$P$1000,15,FALSE),"")</f>
        <v/>
      </c>
      <c r="AE903" s="92">
        <f>IFERROR(VLOOKUP($A903,'13. Mapa Títulos-Receita'!$A$8:$P$1000,16,FALSE),"")</f>
        <v/>
      </c>
    </row>
    <row r="904">
      <c r="A904" s="28">
        <f>IF(C904="","", "CR-"&amp;TEXT(ROW()-7,"000"))</f>
        <v/>
      </c>
      <c r="B904" s="28" t="n"/>
      <c r="C904" s="28" t="n"/>
      <c r="D904" s="111" t="n"/>
      <c r="E904" s="111" t="n"/>
      <c r="F904" s="111" t="n"/>
      <c r="G904" s="28" t="n"/>
      <c r="H904" s="45" t="n"/>
      <c r="I904" s="45" t="n"/>
      <c r="J904" s="28">
        <f>IF(H904="","",IF(I904&gt;=H904,"Recebido",IF($B$4&gt;E904,"Vencido","Aberto")))</f>
        <v/>
      </c>
      <c r="K904" s="4">
        <f>IF(J904="","",IF(OR(J904="Recebido",F904=""),MAX(0,F904-E904),MAX(0,$B$4-E904)))</f>
        <v/>
      </c>
      <c r="L904" s="4">
        <f>IF(K904="","",IF(K904=0,"Em dia",IF(K904&lt;=30,"1-30 dias",IF(K904&lt;=60,"31-60 dias",IF(K904&lt;=90,"61-90 dias","&gt;90 dias")))))</f>
        <v/>
      </c>
      <c r="M904" s="28" t="n"/>
      <c r="N904" s="104" t="inlineStr"/>
      <c r="O904" s="64" t="n"/>
      <c r="P904" s="64">
        <f>IF(C904="","",IF(ISNUMBER(SEARCH("PCMSO",C904)),"PCMSO",IF(OR(ISNUMBER(SEARCH("E-SOCIAL",C904)),ISNUMBER(SEARCH("PSICOSOCIAL",C904))),"eSocial / Psicossocial",IF(O904="Receita recorrente","Carteira recorrente","Projetos / Laudos / Avulsos"))))</f>
        <v/>
      </c>
      <c r="Q904" s="64">
        <f>IF(P904="","",IF(P904="Carteira recorrente","Operação recorrente",IF(P904="PCMSO","Projetos PCMSO",IF(P904="eSocial / Psicossocial","Projetos eSocial/Psicossocial","Projetos / Laudos / Avulsos"))))</f>
        <v/>
      </c>
      <c r="R904" s="64">
        <f>IF(C904="","",IF(ISNUMBER(SEARCH("PCMSO",C904)),"Título com PCMSO no nome",IF(OR(ISNUMBER(SEARCH("E-SOCIAL",C904)),ISNUMBER(SEARCH("PSICOSOCIAL",C904))),"Título com eSocial/Psicossocial no nome",IF(O904="Receita recorrente","Tipo DRE recorrente","Extra sem palavra-chave específica"))))</f>
        <v/>
      </c>
      <c r="S904" s="92">
        <f>IFERROR(VLOOKUP($A904,'13. Mapa Títulos-Receita'!$A$8:$P$1000,4,FALSE),"")</f>
        <v/>
      </c>
      <c r="T904" s="92">
        <f>IFERROR(VLOOKUP($A904,'13. Mapa Títulos-Receita'!$A$8:$P$1000,5,FALSE),"")</f>
        <v/>
      </c>
      <c r="U904" s="92">
        <f>IFERROR(VLOOKUP($A904,'13. Mapa Títulos-Receita'!$A$8:$P$1000,6,FALSE),"")</f>
        <v/>
      </c>
      <c r="V904" s="92">
        <f>IFERROR(VLOOKUP($A904,'13. Mapa Títulos-Receita'!$A$8:$P$1000,7,FALSE),"")</f>
        <v/>
      </c>
      <c r="W904" s="92">
        <f>IFERROR(VLOOKUP($A904,'13. Mapa Títulos-Receita'!$A$8:$P$1000,8,FALSE),"")</f>
        <v/>
      </c>
      <c r="X904" s="92">
        <f>IFERROR(VLOOKUP($A904,'13. Mapa Títulos-Receita'!$A$8:$P$1000,9,FALSE),"")</f>
        <v/>
      </c>
      <c r="Y904" s="92">
        <f>IFERROR(VLOOKUP($A904,'13. Mapa Títulos-Receita'!$A$8:$P$1000,10,FALSE),"")</f>
        <v/>
      </c>
      <c r="Z904" s="92">
        <f>IFERROR(VLOOKUP($A904,'13. Mapa Títulos-Receita'!$A$8:$P$1000,11,FALSE),"")</f>
        <v/>
      </c>
      <c r="AA904" s="92">
        <f>IFERROR(VLOOKUP($A904,'13. Mapa Títulos-Receita'!$A$8:$P$1000,12,FALSE),"")</f>
        <v/>
      </c>
      <c r="AB904" s="92">
        <f>IFERROR(VLOOKUP($A904,'13. Mapa Títulos-Receita'!$A$8:$P$1000,13,FALSE),"")</f>
        <v/>
      </c>
      <c r="AC904" s="92">
        <f>IFERROR(VLOOKUP($A904,'13. Mapa Títulos-Receita'!$A$8:$P$1000,14,FALSE),"")</f>
        <v/>
      </c>
      <c r="AD904" s="92">
        <f>IFERROR(VLOOKUP($A904,'13. Mapa Títulos-Receita'!$A$8:$P$1000,15,FALSE),"")</f>
        <v/>
      </c>
      <c r="AE904" s="92">
        <f>IFERROR(VLOOKUP($A904,'13. Mapa Títulos-Receita'!$A$8:$P$1000,16,FALSE),"")</f>
        <v/>
      </c>
    </row>
    <row r="905">
      <c r="A905" s="28">
        <f>IF(C905="","", "CR-"&amp;TEXT(ROW()-7,"000"))</f>
        <v/>
      </c>
      <c r="B905" s="28" t="n"/>
      <c r="C905" s="28" t="n"/>
      <c r="D905" s="111" t="n"/>
      <c r="E905" s="111" t="n"/>
      <c r="F905" s="111" t="n"/>
      <c r="G905" s="28" t="n"/>
      <c r="H905" s="45" t="n"/>
      <c r="I905" s="45" t="n"/>
      <c r="J905" s="28">
        <f>IF(H905="","",IF(I905&gt;=H905,"Recebido",IF($B$4&gt;E905,"Vencido","Aberto")))</f>
        <v/>
      </c>
      <c r="K905" s="4">
        <f>IF(J905="","",IF(OR(J905="Recebido",F905=""),MAX(0,F905-E905),MAX(0,$B$4-E905)))</f>
        <v/>
      </c>
      <c r="L905" s="4">
        <f>IF(K905="","",IF(K905=0,"Em dia",IF(K905&lt;=30,"1-30 dias",IF(K905&lt;=60,"31-60 dias",IF(K905&lt;=90,"61-90 dias","&gt;90 dias")))))</f>
        <v/>
      </c>
      <c r="M905" s="28" t="n"/>
      <c r="N905" s="104" t="inlineStr"/>
      <c r="O905" s="64" t="n"/>
      <c r="P905" s="64">
        <f>IF(C905="","",IF(ISNUMBER(SEARCH("PCMSO",C905)),"PCMSO",IF(OR(ISNUMBER(SEARCH("E-SOCIAL",C905)),ISNUMBER(SEARCH("PSICOSOCIAL",C905))),"eSocial / Psicossocial",IF(O905="Receita recorrente","Carteira recorrente","Projetos / Laudos / Avulsos"))))</f>
        <v/>
      </c>
      <c r="Q905" s="64">
        <f>IF(P905="","",IF(P905="Carteira recorrente","Operação recorrente",IF(P905="PCMSO","Projetos PCMSO",IF(P905="eSocial / Psicossocial","Projetos eSocial/Psicossocial","Projetos / Laudos / Avulsos"))))</f>
        <v/>
      </c>
      <c r="R905" s="64">
        <f>IF(C905="","",IF(ISNUMBER(SEARCH("PCMSO",C905)),"Título com PCMSO no nome",IF(OR(ISNUMBER(SEARCH("E-SOCIAL",C905)),ISNUMBER(SEARCH("PSICOSOCIAL",C905))),"Título com eSocial/Psicossocial no nome",IF(O905="Receita recorrente","Tipo DRE recorrente","Extra sem palavra-chave específica"))))</f>
        <v/>
      </c>
      <c r="S905" s="92">
        <f>IFERROR(VLOOKUP($A905,'13. Mapa Títulos-Receita'!$A$8:$P$1000,4,FALSE),"")</f>
        <v/>
      </c>
      <c r="T905" s="92">
        <f>IFERROR(VLOOKUP($A905,'13. Mapa Títulos-Receita'!$A$8:$P$1000,5,FALSE),"")</f>
        <v/>
      </c>
      <c r="U905" s="92">
        <f>IFERROR(VLOOKUP($A905,'13. Mapa Títulos-Receita'!$A$8:$P$1000,6,FALSE),"")</f>
        <v/>
      </c>
      <c r="V905" s="92">
        <f>IFERROR(VLOOKUP($A905,'13. Mapa Títulos-Receita'!$A$8:$P$1000,7,FALSE),"")</f>
        <v/>
      </c>
      <c r="W905" s="92">
        <f>IFERROR(VLOOKUP($A905,'13. Mapa Títulos-Receita'!$A$8:$P$1000,8,FALSE),"")</f>
        <v/>
      </c>
      <c r="X905" s="92">
        <f>IFERROR(VLOOKUP($A905,'13. Mapa Títulos-Receita'!$A$8:$P$1000,9,FALSE),"")</f>
        <v/>
      </c>
      <c r="Y905" s="92">
        <f>IFERROR(VLOOKUP($A905,'13. Mapa Títulos-Receita'!$A$8:$P$1000,10,FALSE),"")</f>
        <v/>
      </c>
      <c r="Z905" s="92">
        <f>IFERROR(VLOOKUP($A905,'13. Mapa Títulos-Receita'!$A$8:$P$1000,11,FALSE),"")</f>
        <v/>
      </c>
      <c r="AA905" s="92">
        <f>IFERROR(VLOOKUP($A905,'13. Mapa Títulos-Receita'!$A$8:$P$1000,12,FALSE),"")</f>
        <v/>
      </c>
      <c r="AB905" s="92">
        <f>IFERROR(VLOOKUP($A905,'13. Mapa Títulos-Receita'!$A$8:$P$1000,13,FALSE),"")</f>
        <v/>
      </c>
      <c r="AC905" s="92">
        <f>IFERROR(VLOOKUP($A905,'13. Mapa Títulos-Receita'!$A$8:$P$1000,14,FALSE),"")</f>
        <v/>
      </c>
      <c r="AD905" s="92">
        <f>IFERROR(VLOOKUP($A905,'13. Mapa Títulos-Receita'!$A$8:$P$1000,15,FALSE),"")</f>
        <v/>
      </c>
      <c r="AE905" s="92">
        <f>IFERROR(VLOOKUP($A905,'13. Mapa Títulos-Receita'!$A$8:$P$1000,16,FALSE),"")</f>
        <v/>
      </c>
    </row>
    <row r="906">
      <c r="A906" s="28">
        <f>IF(C906="","", "CR-"&amp;TEXT(ROW()-7,"000"))</f>
        <v/>
      </c>
      <c r="B906" s="28" t="n"/>
      <c r="C906" s="28" t="n"/>
      <c r="D906" s="111" t="n"/>
      <c r="E906" s="111" t="n"/>
      <c r="F906" s="111" t="n"/>
      <c r="G906" s="28" t="n"/>
      <c r="H906" s="45" t="n"/>
      <c r="I906" s="45" t="n"/>
      <c r="J906" s="28">
        <f>IF(H906="","",IF(I906&gt;=H906,"Recebido",IF($B$4&gt;E906,"Vencido","Aberto")))</f>
        <v/>
      </c>
      <c r="K906" s="4">
        <f>IF(J906="","",IF(OR(J906="Recebido",F906=""),MAX(0,F906-E906),MAX(0,$B$4-E906)))</f>
        <v/>
      </c>
      <c r="L906" s="4">
        <f>IF(K906="","",IF(K906=0,"Em dia",IF(K906&lt;=30,"1-30 dias",IF(K906&lt;=60,"31-60 dias",IF(K906&lt;=90,"61-90 dias","&gt;90 dias")))))</f>
        <v/>
      </c>
      <c r="M906" s="28" t="n"/>
      <c r="N906" s="104" t="inlineStr"/>
      <c r="O906" s="64" t="n"/>
      <c r="P906" s="64">
        <f>IF(C906="","",IF(ISNUMBER(SEARCH("PCMSO",C906)),"PCMSO",IF(OR(ISNUMBER(SEARCH("E-SOCIAL",C906)),ISNUMBER(SEARCH("PSICOSOCIAL",C906))),"eSocial / Psicossocial",IF(O906="Receita recorrente","Carteira recorrente","Projetos / Laudos / Avulsos"))))</f>
        <v/>
      </c>
      <c r="Q906" s="64">
        <f>IF(P906="","",IF(P906="Carteira recorrente","Operação recorrente",IF(P906="PCMSO","Projetos PCMSO",IF(P906="eSocial / Psicossocial","Projetos eSocial/Psicossocial","Projetos / Laudos / Avulsos"))))</f>
        <v/>
      </c>
      <c r="R906" s="64">
        <f>IF(C906="","",IF(ISNUMBER(SEARCH("PCMSO",C906)),"Título com PCMSO no nome",IF(OR(ISNUMBER(SEARCH("E-SOCIAL",C906)),ISNUMBER(SEARCH("PSICOSOCIAL",C906))),"Título com eSocial/Psicossocial no nome",IF(O906="Receita recorrente","Tipo DRE recorrente","Extra sem palavra-chave específica"))))</f>
        <v/>
      </c>
      <c r="S906" s="92">
        <f>IFERROR(VLOOKUP($A906,'13. Mapa Títulos-Receita'!$A$8:$P$1000,4,FALSE),"")</f>
        <v/>
      </c>
      <c r="T906" s="92">
        <f>IFERROR(VLOOKUP($A906,'13. Mapa Títulos-Receita'!$A$8:$P$1000,5,FALSE),"")</f>
        <v/>
      </c>
      <c r="U906" s="92">
        <f>IFERROR(VLOOKUP($A906,'13. Mapa Títulos-Receita'!$A$8:$P$1000,6,FALSE),"")</f>
        <v/>
      </c>
      <c r="V906" s="92">
        <f>IFERROR(VLOOKUP($A906,'13. Mapa Títulos-Receita'!$A$8:$P$1000,7,FALSE),"")</f>
        <v/>
      </c>
      <c r="W906" s="92">
        <f>IFERROR(VLOOKUP($A906,'13. Mapa Títulos-Receita'!$A$8:$P$1000,8,FALSE),"")</f>
        <v/>
      </c>
      <c r="X906" s="92">
        <f>IFERROR(VLOOKUP($A906,'13. Mapa Títulos-Receita'!$A$8:$P$1000,9,FALSE),"")</f>
        <v/>
      </c>
      <c r="Y906" s="92">
        <f>IFERROR(VLOOKUP($A906,'13. Mapa Títulos-Receita'!$A$8:$P$1000,10,FALSE),"")</f>
        <v/>
      </c>
      <c r="Z906" s="92">
        <f>IFERROR(VLOOKUP($A906,'13. Mapa Títulos-Receita'!$A$8:$P$1000,11,FALSE),"")</f>
        <v/>
      </c>
      <c r="AA906" s="92">
        <f>IFERROR(VLOOKUP($A906,'13. Mapa Títulos-Receita'!$A$8:$P$1000,12,FALSE),"")</f>
        <v/>
      </c>
      <c r="AB906" s="92">
        <f>IFERROR(VLOOKUP($A906,'13. Mapa Títulos-Receita'!$A$8:$P$1000,13,FALSE),"")</f>
        <v/>
      </c>
      <c r="AC906" s="92">
        <f>IFERROR(VLOOKUP($A906,'13. Mapa Títulos-Receita'!$A$8:$P$1000,14,FALSE),"")</f>
        <v/>
      </c>
      <c r="AD906" s="92">
        <f>IFERROR(VLOOKUP($A906,'13. Mapa Títulos-Receita'!$A$8:$P$1000,15,FALSE),"")</f>
        <v/>
      </c>
      <c r="AE906" s="92">
        <f>IFERROR(VLOOKUP($A906,'13. Mapa Títulos-Receita'!$A$8:$P$1000,16,FALSE),"")</f>
        <v/>
      </c>
    </row>
    <row r="907">
      <c r="A907" s="28">
        <f>IF(C907="","", "CR-"&amp;TEXT(ROW()-7,"000"))</f>
        <v/>
      </c>
      <c r="B907" s="28" t="n"/>
      <c r="C907" s="28" t="n"/>
      <c r="D907" s="111" t="n"/>
      <c r="E907" s="111" t="n"/>
      <c r="F907" s="111" t="n"/>
      <c r="G907" s="28" t="n"/>
      <c r="H907" s="45" t="n"/>
      <c r="I907" s="45" t="n"/>
      <c r="J907" s="28">
        <f>IF(H907="","",IF(I907&gt;=H907,"Recebido",IF($B$4&gt;E907,"Vencido","Aberto")))</f>
        <v/>
      </c>
      <c r="K907" s="4">
        <f>IF(J907="","",IF(OR(J907="Recebido",F907=""),MAX(0,F907-E907),MAX(0,$B$4-E907)))</f>
        <v/>
      </c>
      <c r="L907" s="4">
        <f>IF(K907="","",IF(K907=0,"Em dia",IF(K907&lt;=30,"1-30 dias",IF(K907&lt;=60,"31-60 dias",IF(K907&lt;=90,"61-90 dias","&gt;90 dias")))))</f>
        <v/>
      </c>
      <c r="M907" s="28" t="n"/>
      <c r="N907" s="104" t="inlineStr"/>
      <c r="O907" s="64" t="n"/>
      <c r="P907" s="64">
        <f>IF(C907="","",IF(ISNUMBER(SEARCH("PCMSO",C907)),"PCMSO",IF(OR(ISNUMBER(SEARCH("E-SOCIAL",C907)),ISNUMBER(SEARCH("PSICOSOCIAL",C907))),"eSocial / Psicossocial",IF(O907="Receita recorrente","Carteira recorrente","Projetos / Laudos / Avulsos"))))</f>
        <v/>
      </c>
      <c r="Q907" s="64">
        <f>IF(P907="","",IF(P907="Carteira recorrente","Operação recorrente",IF(P907="PCMSO","Projetos PCMSO",IF(P907="eSocial / Psicossocial","Projetos eSocial/Psicossocial","Projetos / Laudos / Avulsos"))))</f>
        <v/>
      </c>
      <c r="R907" s="64">
        <f>IF(C907="","",IF(ISNUMBER(SEARCH("PCMSO",C907)),"Título com PCMSO no nome",IF(OR(ISNUMBER(SEARCH("E-SOCIAL",C907)),ISNUMBER(SEARCH("PSICOSOCIAL",C907))),"Título com eSocial/Psicossocial no nome",IF(O907="Receita recorrente","Tipo DRE recorrente","Extra sem palavra-chave específica"))))</f>
        <v/>
      </c>
      <c r="S907" s="92">
        <f>IFERROR(VLOOKUP($A907,'13. Mapa Títulos-Receita'!$A$8:$P$1000,4,FALSE),"")</f>
        <v/>
      </c>
      <c r="T907" s="92">
        <f>IFERROR(VLOOKUP($A907,'13. Mapa Títulos-Receita'!$A$8:$P$1000,5,FALSE),"")</f>
        <v/>
      </c>
      <c r="U907" s="92">
        <f>IFERROR(VLOOKUP($A907,'13. Mapa Títulos-Receita'!$A$8:$P$1000,6,FALSE),"")</f>
        <v/>
      </c>
      <c r="V907" s="92">
        <f>IFERROR(VLOOKUP($A907,'13. Mapa Títulos-Receita'!$A$8:$P$1000,7,FALSE),"")</f>
        <v/>
      </c>
      <c r="W907" s="92">
        <f>IFERROR(VLOOKUP($A907,'13. Mapa Títulos-Receita'!$A$8:$P$1000,8,FALSE),"")</f>
        <v/>
      </c>
      <c r="X907" s="92">
        <f>IFERROR(VLOOKUP($A907,'13. Mapa Títulos-Receita'!$A$8:$P$1000,9,FALSE),"")</f>
        <v/>
      </c>
      <c r="Y907" s="92">
        <f>IFERROR(VLOOKUP($A907,'13. Mapa Títulos-Receita'!$A$8:$P$1000,10,FALSE),"")</f>
        <v/>
      </c>
      <c r="Z907" s="92">
        <f>IFERROR(VLOOKUP($A907,'13. Mapa Títulos-Receita'!$A$8:$P$1000,11,FALSE),"")</f>
        <v/>
      </c>
      <c r="AA907" s="92">
        <f>IFERROR(VLOOKUP($A907,'13. Mapa Títulos-Receita'!$A$8:$P$1000,12,FALSE),"")</f>
        <v/>
      </c>
      <c r="AB907" s="92">
        <f>IFERROR(VLOOKUP($A907,'13. Mapa Títulos-Receita'!$A$8:$P$1000,13,FALSE),"")</f>
        <v/>
      </c>
      <c r="AC907" s="92">
        <f>IFERROR(VLOOKUP($A907,'13. Mapa Títulos-Receita'!$A$8:$P$1000,14,FALSE),"")</f>
        <v/>
      </c>
      <c r="AD907" s="92">
        <f>IFERROR(VLOOKUP($A907,'13. Mapa Títulos-Receita'!$A$8:$P$1000,15,FALSE),"")</f>
        <v/>
      </c>
      <c r="AE907" s="92">
        <f>IFERROR(VLOOKUP($A907,'13. Mapa Títulos-Receita'!$A$8:$P$1000,16,FALSE),"")</f>
        <v/>
      </c>
    </row>
    <row r="908">
      <c r="A908" s="28">
        <f>IF(C908="","", "CR-"&amp;TEXT(ROW()-7,"000"))</f>
        <v/>
      </c>
      <c r="B908" s="28" t="n"/>
      <c r="C908" s="28" t="n"/>
      <c r="D908" s="111" t="n"/>
      <c r="E908" s="111" t="n"/>
      <c r="F908" s="111" t="n"/>
      <c r="G908" s="28" t="n"/>
      <c r="H908" s="45" t="n"/>
      <c r="I908" s="45" t="n"/>
      <c r="J908" s="28">
        <f>IF(H908="","",IF(I908&gt;=H908,"Recebido",IF($B$4&gt;E908,"Vencido","Aberto")))</f>
        <v/>
      </c>
      <c r="K908" s="4">
        <f>IF(J908="","",IF(OR(J908="Recebido",F908=""),MAX(0,F908-E908),MAX(0,$B$4-E908)))</f>
        <v/>
      </c>
      <c r="L908" s="4">
        <f>IF(K908="","",IF(K908=0,"Em dia",IF(K908&lt;=30,"1-30 dias",IF(K908&lt;=60,"31-60 dias",IF(K908&lt;=90,"61-90 dias","&gt;90 dias")))))</f>
        <v/>
      </c>
      <c r="M908" s="28" t="n"/>
      <c r="N908" s="104" t="inlineStr"/>
      <c r="O908" s="64" t="n"/>
      <c r="P908" s="64">
        <f>IF(C908="","",IF(ISNUMBER(SEARCH("PCMSO",C908)),"PCMSO",IF(OR(ISNUMBER(SEARCH("E-SOCIAL",C908)),ISNUMBER(SEARCH("PSICOSOCIAL",C908))),"eSocial / Psicossocial",IF(O908="Receita recorrente","Carteira recorrente","Projetos / Laudos / Avulsos"))))</f>
        <v/>
      </c>
      <c r="Q908" s="64">
        <f>IF(P908="","",IF(P908="Carteira recorrente","Operação recorrente",IF(P908="PCMSO","Projetos PCMSO",IF(P908="eSocial / Psicossocial","Projetos eSocial/Psicossocial","Projetos / Laudos / Avulsos"))))</f>
        <v/>
      </c>
      <c r="R908" s="64">
        <f>IF(C908="","",IF(ISNUMBER(SEARCH("PCMSO",C908)),"Título com PCMSO no nome",IF(OR(ISNUMBER(SEARCH("E-SOCIAL",C908)),ISNUMBER(SEARCH("PSICOSOCIAL",C908))),"Título com eSocial/Psicossocial no nome",IF(O908="Receita recorrente","Tipo DRE recorrente","Extra sem palavra-chave específica"))))</f>
        <v/>
      </c>
      <c r="S908" s="92">
        <f>IFERROR(VLOOKUP($A908,'13. Mapa Títulos-Receita'!$A$8:$P$1000,4,FALSE),"")</f>
        <v/>
      </c>
      <c r="T908" s="92">
        <f>IFERROR(VLOOKUP($A908,'13. Mapa Títulos-Receita'!$A$8:$P$1000,5,FALSE),"")</f>
        <v/>
      </c>
      <c r="U908" s="92">
        <f>IFERROR(VLOOKUP($A908,'13. Mapa Títulos-Receita'!$A$8:$P$1000,6,FALSE),"")</f>
        <v/>
      </c>
      <c r="V908" s="92">
        <f>IFERROR(VLOOKUP($A908,'13. Mapa Títulos-Receita'!$A$8:$P$1000,7,FALSE),"")</f>
        <v/>
      </c>
      <c r="W908" s="92">
        <f>IFERROR(VLOOKUP($A908,'13. Mapa Títulos-Receita'!$A$8:$P$1000,8,FALSE),"")</f>
        <v/>
      </c>
      <c r="X908" s="92">
        <f>IFERROR(VLOOKUP($A908,'13. Mapa Títulos-Receita'!$A$8:$P$1000,9,FALSE),"")</f>
        <v/>
      </c>
      <c r="Y908" s="92">
        <f>IFERROR(VLOOKUP($A908,'13. Mapa Títulos-Receita'!$A$8:$P$1000,10,FALSE),"")</f>
        <v/>
      </c>
      <c r="Z908" s="92">
        <f>IFERROR(VLOOKUP($A908,'13. Mapa Títulos-Receita'!$A$8:$P$1000,11,FALSE),"")</f>
        <v/>
      </c>
      <c r="AA908" s="92">
        <f>IFERROR(VLOOKUP($A908,'13. Mapa Títulos-Receita'!$A$8:$P$1000,12,FALSE),"")</f>
        <v/>
      </c>
      <c r="AB908" s="92">
        <f>IFERROR(VLOOKUP($A908,'13. Mapa Títulos-Receita'!$A$8:$P$1000,13,FALSE),"")</f>
        <v/>
      </c>
      <c r="AC908" s="92">
        <f>IFERROR(VLOOKUP($A908,'13. Mapa Títulos-Receita'!$A$8:$P$1000,14,FALSE),"")</f>
        <v/>
      </c>
      <c r="AD908" s="92">
        <f>IFERROR(VLOOKUP($A908,'13. Mapa Títulos-Receita'!$A$8:$P$1000,15,FALSE),"")</f>
        <v/>
      </c>
      <c r="AE908" s="92">
        <f>IFERROR(VLOOKUP($A908,'13. Mapa Títulos-Receita'!$A$8:$P$1000,16,FALSE),"")</f>
        <v/>
      </c>
    </row>
    <row r="909">
      <c r="A909" s="28">
        <f>IF(C909="","", "CR-"&amp;TEXT(ROW()-7,"000"))</f>
        <v/>
      </c>
      <c r="B909" s="28" t="n"/>
      <c r="C909" s="28" t="n"/>
      <c r="D909" s="111" t="n"/>
      <c r="E909" s="111" t="n"/>
      <c r="F909" s="111" t="n"/>
      <c r="G909" s="28" t="n"/>
      <c r="H909" s="45" t="n"/>
      <c r="I909" s="45" t="n"/>
      <c r="J909" s="28">
        <f>IF(H909="","",IF(I909&gt;=H909,"Recebido",IF($B$4&gt;E909,"Vencido","Aberto")))</f>
        <v/>
      </c>
      <c r="K909" s="4">
        <f>IF(J909="","",IF(OR(J909="Recebido",F909=""),MAX(0,F909-E909),MAX(0,$B$4-E909)))</f>
        <v/>
      </c>
      <c r="L909" s="4">
        <f>IF(K909="","",IF(K909=0,"Em dia",IF(K909&lt;=30,"1-30 dias",IF(K909&lt;=60,"31-60 dias",IF(K909&lt;=90,"61-90 dias","&gt;90 dias")))))</f>
        <v/>
      </c>
      <c r="M909" s="28" t="n"/>
      <c r="N909" s="104" t="inlineStr"/>
      <c r="O909" s="64" t="n"/>
      <c r="P909" s="64">
        <f>IF(C909="","",IF(ISNUMBER(SEARCH("PCMSO",C909)),"PCMSO",IF(OR(ISNUMBER(SEARCH("E-SOCIAL",C909)),ISNUMBER(SEARCH("PSICOSOCIAL",C909))),"eSocial / Psicossocial",IF(O909="Receita recorrente","Carteira recorrente","Projetos / Laudos / Avulsos"))))</f>
        <v/>
      </c>
      <c r="Q909" s="64">
        <f>IF(P909="","",IF(P909="Carteira recorrente","Operação recorrente",IF(P909="PCMSO","Projetos PCMSO",IF(P909="eSocial / Psicossocial","Projetos eSocial/Psicossocial","Projetos / Laudos / Avulsos"))))</f>
        <v/>
      </c>
      <c r="R909" s="64">
        <f>IF(C909="","",IF(ISNUMBER(SEARCH("PCMSO",C909)),"Título com PCMSO no nome",IF(OR(ISNUMBER(SEARCH("E-SOCIAL",C909)),ISNUMBER(SEARCH("PSICOSOCIAL",C909))),"Título com eSocial/Psicossocial no nome",IF(O909="Receita recorrente","Tipo DRE recorrente","Extra sem palavra-chave específica"))))</f>
        <v/>
      </c>
      <c r="S909" s="92">
        <f>IFERROR(VLOOKUP($A909,'13. Mapa Títulos-Receita'!$A$8:$P$1000,4,FALSE),"")</f>
        <v/>
      </c>
      <c r="T909" s="92">
        <f>IFERROR(VLOOKUP($A909,'13. Mapa Títulos-Receita'!$A$8:$P$1000,5,FALSE),"")</f>
        <v/>
      </c>
      <c r="U909" s="92">
        <f>IFERROR(VLOOKUP($A909,'13. Mapa Títulos-Receita'!$A$8:$P$1000,6,FALSE),"")</f>
        <v/>
      </c>
      <c r="V909" s="92">
        <f>IFERROR(VLOOKUP($A909,'13. Mapa Títulos-Receita'!$A$8:$P$1000,7,FALSE),"")</f>
        <v/>
      </c>
      <c r="W909" s="92">
        <f>IFERROR(VLOOKUP($A909,'13. Mapa Títulos-Receita'!$A$8:$P$1000,8,FALSE),"")</f>
        <v/>
      </c>
      <c r="X909" s="92">
        <f>IFERROR(VLOOKUP($A909,'13. Mapa Títulos-Receita'!$A$8:$P$1000,9,FALSE),"")</f>
        <v/>
      </c>
      <c r="Y909" s="92">
        <f>IFERROR(VLOOKUP($A909,'13. Mapa Títulos-Receita'!$A$8:$P$1000,10,FALSE),"")</f>
        <v/>
      </c>
      <c r="Z909" s="92">
        <f>IFERROR(VLOOKUP($A909,'13. Mapa Títulos-Receita'!$A$8:$P$1000,11,FALSE),"")</f>
        <v/>
      </c>
      <c r="AA909" s="92">
        <f>IFERROR(VLOOKUP($A909,'13. Mapa Títulos-Receita'!$A$8:$P$1000,12,FALSE),"")</f>
        <v/>
      </c>
      <c r="AB909" s="92">
        <f>IFERROR(VLOOKUP($A909,'13. Mapa Títulos-Receita'!$A$8:$P$1000,13,FALSE),"")</f>
        <v/>
      </c>
      <c r="AC909" s="92">
        <f>IFERROR(VLOOKUP($A909,'13. Mapa Títulos-Receita'!$A$8:$P$1000,14,FALSE),"")</f>
        <v/>
      </c>
      <c r="AD909" s="92">
        <f>IFERROR(VLOOKUP($A909,'13. Mapa Títulos-Receita'!$A$8:$P$1000,15,FALSE),"")</f>
        <v/>
      </c>
      <c r="AE909" s="92">
        <f>IFERROR(VLOOKUP($A909,'13. Mapa Títulos-Receita'!$A$8:$P$1000,16,FALSE),"")</f>
        <v/>
      </c>
    </row>
    <row r="910">
      <c r="A910" s="28">
        <f>IF(C910="","", "CR-"&amp;TEXT(ROW()-7,"000"))</f>
        <v/>
      </c>
      <c r="B910" s="28" t="n"/>
      <c r="C910" s="28" t="n"/>
      <c r="D910" s="111" t="n"/>
      <c r="E910" s="111" t="n"/>
      <c r="F910" s="111" t="n"/>
      <c r="G910" s="28" t="n"/>
      <c r="H910" s="45" t="n"/>
      <c r="I910" s="45" t="n"/>
      <c r="J910" s="28">
        <f>IF(H910="","",IF(I910&gt;=H910,"Recebido",IF($B$4&gt;E910,"Vencido","Aberto")))</f>
        <v/>
      </c>
      <c r="K910" s="4">
        <f>IF(J910="","",IF(OR(J910="Recebido",F910=""),MAX(0,F910-E910),MAX(0,$B$4-E910)))</f>
        <v/>
      </c>
      <c r="L910" s="4">
        <f>IF(K910="","",IF(K910=0,"Em dia",IF(K910&lt;=30,"1-30 dias",IF(K910&lt;=60,"31-60 dias",IF(K910&lt;=90,"61-90 dias","&gt;90 dias")))))</f>
        <v/>
      </c>
      <c r="M910" s="28" t="n"/>
      <c r="N910" s="104" t="inlineStr"/>
      <c r="O910" s="64" t="n"/>
      <c r="P910" s="64">
        <f>IF(C910="","",IF(ISNUMBER(SEARCH("PCMSO",C910)),"PCMSO",IF(OR(ISNUMBER(SEARCH("E-SOCIAL",C910)),ISNUMBER(SEARCH("PSICOSOCIAL",C910))),"eSocial / Psicossocial",IF(O910="Receita recorrente","Carteira recorrente","Projetos / Laudos / Avulsos"))))</f>
        <v/>
      </c>
      <c r="Q910" s="64">
        <f>IF(P910="","",IF(P910="Carteira recorrente","Operação recorrente",IF(P910="PCMSO","Projetos PCMSO",IF(P910="eSocial / Psicossocial","Projetos eSocial/Psicossocial","Projetos / Laudos / Avulsos"))))</f>
        <v/>
      </c>
      <c r="R910" s="64">
        <f>IF(C910="","",IF(ISNUMBER(SEARCH("PCMSO",C910)),"Título com PCMSO no nome",IF(OR(ISNUMBER(SEARCH("E-SOCIAL",C910)),ISNUMBER(SEARCH("PSICOSOCIAL",C910))),"Título com eSocial/Psicossocial no nome",IF(O910="Receita recorrente","Tipo DRE recorrente","Extra sem palavra-chave específica"))))</f>
        <v/>
      </c>
      <c r="S910" s="92">
        <f>IFERROR(VLOOKUP($A910,'13. Mapa Títulos-Receita'!$A$8:$P$1000,4,FALSE),"")</f>
        <v/>
      </c>
      <c r="T910" s="92">
        <f>IFERROR(VLOOKUP($A910,'13. Mapa Títulos-Receita'!$A$8:$P$1000,5,FALSE),"")</f>
        <v/>
      </c>
      <c r="U910" s="92">
        <f>IFERROR(VLOOKUP($A910,'13. Mapa Títulos-Receita'!$A$8:$P$1000,6,FALSE),"")</f>
        <v/>
      </c>
      <c r="V910" s="92">
        <f>IFERROR(VLOOKUP($A910,'13. Mapa Títulos-Receita'!$A$8:$P$1000,7,FALSE),"")</f>
        <v/>
      </c>
      <c r="W910" s="92">
        <f>IFERROR(VLOOKUP($A910,'13. Mapa Títulos-Receita'!$A$8:$P$1000,8,FALSE),"")</f>
        <v/>
      </c>
      <c r="X910" s="92">
        <f>IFERROR(VLOOKUP($A910,'13. Mapa Títulos-Receita'!$A$8:$P$1000,9,FALSE),"")</f>
        <v/>
      </c>
      <c r="Y910" s="92">
        <f>IFERROR(VLOOKUP($A910,'13. Mapa Títulos-Receita'!$A$8:$P$1000,10,FALSE),"")</f>
        <v/>
      </c>
      <c r="Z910" s="92">
        <f>IFERROR(VLOOKUP($A910,'13. Mapa Títulos-Receita'!$A$8:$P$1000,11,FALSE),"")</f>
        <v/>
      </c>
      <c r="AA910" s="92">
        <f>IFERROR(VLOOKUP($A910,'13. Mapa Títulos-Receita'!$A$8:$P$1000,12,FALSE),"")</f>
        <v/>
      </c>
      <c r="AB910" s="92">
        <f>IFERROR(VLOOKUP($A910,'13. Mapa Títulos-Receita'!$A$8:$P$1000,13,FALSE),"")</f>
        <v/>
      </c>
      <c r="AC910" s="92">
        <f>IFERROR(VLOOKUP($A910,'13. Mapa Títulos-Receita'!$A$8:$P$1000,14,FALSE),"")</f>
        <v/>
      </c>
      <c r="AD910" s="92">
        <f>IFERROR(VLOOKUP($A910,'13. Mapa Títulos-Receita'!$A$8:$P$1000,15,FALSE),"")</f>
        <v/>
      </c>
      <c r="AE910" s="92">
        <f>IFERROR(VLOOKUP($A910,'13. Mapa Títulos-Receita'!$A$8:$P$1000,16,FALSE),"")</f>
        <v/>
      </c>
    </row>
    <row r="911">
      <c r="A911" s="28">
        <f>IF(C911="","", "CR-"&amp;TEXT(ROW()-7,"000"))</f>
        <v/>
      </c>
      <c r="B911" s="28" t="n"/>
      <c r="C911" s="28" t="n"/>
      <c r="D911" s="111" t="n"/>
      <c r="E911" s="111" t="n"/>
      <c r="F911" s="111" t="n"/>
      <c r="G911" s="28" t="n"/>
      <c r="H911" s="45" t="n"/>
      <c r="I911" s="45" t="n"/>
      <c r="J911" s="28">
        <f>IF(H911="","",IF(I911&gt;=H911,"Recebido",IF($B$4&gt;E911,"Vencido","Aberto")))</f>
        <v/>
      </c>
      <c r="K911" s="4">
        <f>IF(J911="","",IF(OR(J911="Recebido",F911=""),MAX(0,F911-E911),MAX(0,$B$4-E911)))</f>
        <v/>
      </c>
      <c r="L911" s="4">
        <f>IF(K911="","",IF(K911=0,"Em dia",IF(K911&lt;=30,"1-30 dias",IF(K911&lt;=60,"31-60 dias",IF(K911&lt;=90,"61-90 dias","&gt;90 dias")))))</f>
        <v/>
      </c>
      <c r="M911" s="28" t="n"/>
      <c r="N911" s="104" t="inlineStr"/>
      <c r="O911" s="64" t="n"/>
      <c r="P911" s="64">
        <f>IF(C911="","",IF(ISNUMBER(SEARCH("PCMSO",C911)),"PCMSO",IF(OR(ISNUMBER(SEARCH("E-SOCIAL",C911)),ISNUMBER(SEARCH("PSICOSOCIAL",C911))),"eSocial / Psicossocial",IF(O911="Receita recorrente","Carteira recorrente","Projetos / Laudos / Avulsos"))))</f>
        <v/>
      </c>
      <c r="Q911" s="64">
        <f>IF(P911="","",IF(P911="Carteira recorrente","Operação recorrente",IF(P911="PCMSO","Projetos PCMSO",IF(P911="eSocial / Psicossocial","Projetos eSocial/Psicossocial","Projetos / Laudos / Avulsos"))))</f>
        <v/>
      </c>
      <c r="R911" s="64">
        <f>IF(C911="","",IF(ISNUMBER(SEARCH("PCMSO",C911)),"Título com PCMSO no nome",IF(OR(ISNUMBER(SEARCH("E-SOCIAL",C911)),ISNUMBER(SEARCH("PSICOSOCIAL",C911))),"Título com eSocial/Psicossocial no nome",IF(O911="Receita recorrente","Tipo DRE recorrente","Extra sem palavra-chave específica"))))</f>
        <v/>
      </c>
      <c r="S911" s="92">
        <f>IFERROR(VLOOKUP($A911,'13. Mapa Títulos-Receita'!$A$8:$P$1000,4,FALSE),"")</f>
        <v/>
      </c>
      <c r="T911" s="92">
        <f>IFERROR(VLOOKUP($A911,'13. Mapa Títulos-Receita'!$A$8:$P$1000,5,FALSE),"")</f>
        <v/>
      </c>
      <c r="U911" s="92">
        <f>IFERROR(VLOOKUP($A911,'13. Mapa Títulos-Receita'!$A$8:$P$1000,6,FALSE),"")</f>
        <v/>
      </c>
      <c r="V911" s="92">
        <f>IFERROR(VLOOKUP($A911,'13. Mapa Títulos-Receita'!$A$8:$P$1000,7,FALSE),"")</f>
        <v/>
      </c>
      <c r="W911" s="92">
        <f>IFERROR(VLOOKUP($A911,'13. Mapa Títulos-Receita'!$A$8:$P$1000,8,FALSE),"")</f>
        <v/>
      </c>
      <c r="X911" s="92">
        <f>IFERROR(VLOOKUP($A911,'13. Mapa Títulos-Receita'!$A$8:$P$1000,9,FALSE),"")</f>
        <v/>
      </c>
      <c r="Y911" s="92">
        <f>IFERROR(VLOOKUP($A911,'13. Mapa Títulos-Receita'!$A$8:$P$1000,10,FALSE),"")</f>
        <v/>
      </c>
      <c r="Z911" s="92">
        <f>IFERROR(VLOOKUP($A911,'13. Mapa Títulos-Receita'!$A$8:$P$1000,11,FALSE),"")</f>
        <v/>
      </c>
      <c r="AA911" s="92">
        <f>IFERROR(VLOOKUP($A911,'13. Mapa Títulos-Receita'!$A$8:$P$1000,12,FALSE),"")</f>
        <v/>
      </c>
      <c r="AB911" s="92">
        <f>IFERROR(VLOOKUP($A911,'13. Mapa Títulos-Receita'!$A$8:$P$1000,13,FALSE),"")</f>
        <v/>
      </c>
      <c r="AC911" s="92">
        <f>IFERROR(VLOOKUP($A911,'13. Mapa Títulos-Receita'!$A$8:$P$1000,14,FALSE),"")</f>
        <v/>
      </c>
      <c r="AD911" s="92">
        <f>IFERROR(VLOOKUP($A911,'13. Mapa Títulos-Receita'!$A$8:$P$1000,15,FALSE),"")</f>
        <v/>
      </c>
      <c r="AE911" s="92">
        <f>IFERROR(VLOOKUP($A911,'13. Mapa Títulos-Receita'!$A$8:$P$1000,16,FALSE),"")</f>
        <v/>
      </c>
    </row>
    <row r="912">
      <c r="A912" s="28">
        <f>IF(C912="","", "CR-"&amp;TEXT(ROW()-7,"000"))</f>
        <v/>
      </c>
      <c r="B912" s="28" t="n"/>
      <c r="C912" s="28" t="n"/>
      <c r="D912" s="111" t="n"/>
      <c r="E912" s="111" t="n"/>
      <c r="F912" s="111" t="n"/>
      <c r="G912" s="28" t="n"/>
      <c r="H912" s="45" t="n"/>
      <c r="I912" s="45" t="n"/>
      <c r="J912" s="28">
        <f>IF(H912="","",IF(I912&gt;=H912,"Recebido",IF($B$4&gt;E912,"Vencido","Aberto")))</f>
        <v/>
      </c>
      <c r="K912" s="4">
        <f>IF(J912="","",IF(OR(J912="Recebido",F912=""),MAX(0,F912-E912),MAX(0,$B$4-E912)))</f>
        <v/>
      </c>
      <c r="L912" s="4">
        <f>IF(K912="","",IF(K912=0,"Em dia",IF(K912&lt;=30,"1-30 dias",IF(K912&lt;=60,"31-60 dias",IF(K912&lt;=90,"61-90 dias","&gt;90 dias")))))</f>
        <v/>
      </c>
      <c r="M912" s="28" t="n"/>
      <c r="N912" s="104" t="inlineStr"/>
      <c r="O912" s="64" t="n"/>
      <c r="P912" s="64">
        <f>IF(C912="","",IF(ISNUMBER(SEARCH("PCMSO",C912)),"PCMSO",IF(OR(ISNUMBER(SEARCH("E-SOCIAL",C912)),ISNUMBER(SEARCH("PSICOSOCIAL",C912))),"eSocial / Psicossocial",IF(O912="Receita recorrente","Carteira recorrente","Projetos / Laudos / Avulsos"))))</f>
        <v/>
      </c>
      <c r="Q912" s="64">
        <f>IF(P912="","",IF(P912="Carteira recorrente","Operação recorrente",IF(P912="PCMSO","Projetos PCMSO",IF(P912="eSocial / Psicossocial","Projetos eSocial/Psicossocial","Projetos / Laudos / Avulsos"))))</f>
        <v/>
      </c>
      <c r="R912" s="64">
        <f>IF(C912="","",IF(ISNUMBER(SEARCH("PCMSO",C912)),"Título com PCMSO no nome",IF(OR(ISNUMBER(SEARCH("E-SOCIAL",C912)),ISNUMBER(SEARCH("PSICOSOCIAL",C912))),"Título com eSocial/Psicossocial no nome",IF(O912="Receita recorrente","Tipo DRE recorrente","Extra sem palavra-chave específica"))))</f>
        <v/>
      </c>
      <c r="S912" s="92">
        <f>IFERROR(VLOOKUP($A912,'13. Mapa Títulos-Receita'!$A$8:$P$1000,4,FALSE),"")</f>
        <v/>
      </c>
      <c r="T912" s="92">
        <f>IFERROR(VLOOKUP($A912,'13. Mapa Títulos-Receita'!$A$8:$P$1000,5,FALSE),"")</f>
        <v/>
      </c>
      <c r="U912" s="92">
        <f>IFERROR(VLOOKUP($A912,'13. Mapa Títulos-Receita'!$A$8:$P$1000,6,FALSE),"")</f>
        <v/>
      </c>
      <c r="V912" s="92">
        <f>IFERROR(VLOOKUP($A912,'13. Mapa Títulos-Receita'!$A$8:$P$1000,7,FALSE),"")</f>
        <v/>
      </c>
      <c r="W912" s="92">
        <f>IFERROR(VLOOKUP($A912,'13. Mapa Títulos-Receita'!$A$8:$P$1000,8,FALSE),"")</f>
        <v/>
      </c>
      <c r="X912" s="92">
        <f>IFERROR(VLOOKUP($A912,'13. Mapa Títulos-Receita'!$A$8:$P$1000,9,FALSE),"")</f>
        <v/>
      </c>
      <c r="Y912" s="92">
        <f>IFERROR(VLOOKUP($A912,'13. Mapa Títulos-Receita'!$A$8:$P$1000,10,FALSE),"")</f>
        <v/>
      </c>
      <c r="Z912" s="92">
        <f>IFERROR(VLOOKUP($A912,'13. Mapa Títulos-Receita'!$A$8:$P$1000,11,FALSE),"")</f>
        <v/>
      </c>
      <c r="AA912" s="92">
        <f>IFERROR(VLOOKUP($A912,'13. Mapa Títulos-Receita'!$A$8:$P$1000,12,FALSE),"")</f>
        <v/>
      </c>
      <c r="AB912" s="92">
        <f>IFERROR(VLOOKUP($A912,'13. Mapa Títulos-Receita'!$A$8:$P$1000,13,FALSE),"")</f>
        <v/>
      </c>
      <c r="AC912" s="92">
        <f>IFERROR(VLOOKUP($A912,'13. Mapa Títulos-Receita'!$A$8:$P$1000,14,FALSE),"")</f>
        <v/>
      </c>
      <c r="AD912" s="92">
        <f>IFERROR(VLOOKUP($A912,'13. Mapa Títulos-Receita'!$A$8:$P$1000,15,FALSE),"")</f>
        <v/>
      </c>
      <c r="AE912" s="92">
        <f>IFERROR(VLOOKUP($A912,'13. Mapa Títulos-Receita'!$A$8:$P$1000,16,FALSE),"")</f>
        <v/>
      </c>
    </row>
    <row r="913">
      <c r="A913" s="28">
        <f>IF(C913="","", "CR-"&amp;TEXT(ROW()-7,"000"))</f>
        <v/>
      </c>
      <c r="B913" s="28" t="n"/>
      <c r="C913" s="28" t="n"/>
      <c r="D913" s="111" t="n"/>
      <c r="E913" s="111" t="n"/>
      <c r="F913" s="111" t="n"/>
      <c r="G913" s="28" t="n"/>
      <c r="H913" s="45" t="n"/>
      <c r="I913" s="45" t="n"/>
      <c r="J913" s="28">
        <f>IF(H913="","",IF(I913&gt;=H913,"Recebido",IF($B$4&gt;E913,"Vencido","Aberto")))</f>
        <v/>
      </c>
      <c r="K913" s="4">
        <f>IF(J913="","",IF(OR(J913="Recebido",F913=""),MAX(0,F913-E913),MAX(0,$B$4-E913)))</f>
        <v/>
      </c>
      <c r="L913" s="4">
        <f>IF(K913="","",IF(K913=0,"Em dia",IF(K913&lt;=30,"1-30 dias",IF(K913&lt;=60,"31-60 dias",IF(K913&lt;=90,"61-90 dias","&gt;90 dias")))))</f>
        <v/>
      </c>
      <c r="M913" s="28" t="n"/>
      <c r="N913" s="104" t="inlineStr"/>
      <c r="O913" s="64" t="n"/>
      <c r="P913" s="64">
        <f>IF(C913="","",IF(ISNUMBER(SEARCH("PCMSO",C913)),"PCMSO",IF(OR(ISNUMBER(SEARCH("E-SOCIAL",C913)),ISNUMBER(SEARCH("PSICOSOCIAL",C913))),"eSocial / Psicossocial",IF(O913="Receita recorrente","Carteira recorrente","Projetos / Laudos / Avulsos"))))</f>
        <v/>
      </c>
      <c r="Q913" s="64">
        <f>IF(P913="","",IF(P913="Carteira recorrente","Operação recorrente",IF(P913="PCMSO","Projetos PCMSO",IF(P913="eSocial / Psicossocial","Projetos eSocial/Psicossocial","Projetos / Laudos / Avulsos"))))</f>
        <v/>
      </c>
      <c r="R913" s="64">
        <f>IF(C913="","",IF(ISNUMBER(SEARCH("PCMSO",C913)),"Título com PCMSO no nome",IF(OR(ISNUMBER(SEARCH("E-SOCIAL",C913)),ISNUMBER(SEARCH("PSICOSOCIAL",C913))),"Título com eSocial/Psicossocial no nome",IF(O913="Receita recorrente","Tipo DRE recorrente","Extra sem palavra-chave específica"))))</f>
        <v/>
      </c>
      <c r="S913" s="92">
        <f>IFERROR(VLOOKUP($A913,'13. Mapa Títulos-Receita'!$A$8:$P$1000,4,FALSE),"")</f>
        <v/>
      </c>
      <c r="T913" s="92">
        <f>IFERROR(VLOOKUP($A913,'13. Mapa Títulos-Receita'!$A$8:$P$1000,5,FALSE),"")</f>
        <v/>
      </c>
      <c r="U913" s="92">
        <f>IFERROR(VLOOKUP($A913,'13. Mapa Títulos-Receita'!$A$8:$P$1000,6,FALSE),"")</f>
        <v/>
      </c>
      <c r="V913" s="92">
        <f>IFERROR(VLOOKUP($A913,'13. Mapa Títulos-Receita'!$A$8:$P$1000,7,FALSE),"")</f>
        <v/>
      </c>
      <c r="W913" s="92">
        <f>IFERROR(VLOOKUP($A913,'13. Mapa Títulos-Receita'!$A$8:$P$1000,8,FALSE),"")</f>
        <v/>
      </c>
      <c r="X913" s="92">
        <f>IFERROR(VLOOKUP($A913,'13. Mapa Títulos-Receita'!$A$8:$P$1000,9,FALSE),"")</f>
        <v/>
      </c>
      <c r="Y913" s="92">
        <f>IFERROR(VLOOKUP($A913,'13. Mapa Títulos-Receita'!$A$8:$P$1000,10,FALSE),"")</f>
        <v/>
      </c>
      <c r="Z913" s="92">
        <f>IFERROR(VLOOKUP($A913,'13. Mapa Títulos-Receita'!$A$8:$P$1000,11,FALSE),"")</f>
        <v/>
      </c>
      <c r="AA913" s="92">
        <f>IFERROR(VLOOKUP($A913,'13. Mapa Títulos-Receita'!$A$8:$P$1000,12,FALSE),"")</f>
        <v/>
      </c>
      <c r="AB913" s="92">
        <f>IFERROR(VLOOKUP($A913,'13. Mapa Títulos-Receita'!$A$8:$P$1000,13,FALSE),"")</f>
        <v/>
      </c>
      <c r="AC913" s="92">
        <f>IFERROR(VLOOKUP($A913,'13. Mapa Títulos-Receita'!$A$8:$P$1000,14,FALSE),"")</f>
        <v/>
      </c>
      <c r="AD913" s="92">
        <f>IFERROR(VLOOKUP($A913,'13. Mapa Títulos-Receita'!$A$8:$P$1000,15,FALSE),"")</f>
        <v/>
      </c>
      <c r="AE913" s="92">
        <f>IFERROR(VLOOKUP($A913,'13. Mapa Títulos-Receita'!$A$8:$P$1000,16,FALSE),"")</f>
        <v/>
      </c>
    </row>
    <row r="914">
      <c r="A914" s="28">
        <f>IF(C914="","", "CR-"&amp;TEXT(ROW()-7,"000"))</f>
        <v/>
      </c>
      <c r="B914" s="28" t="n"/>
      <c r="C914" s="28" t="n"/>
      <c r="D914" s="111" t="n"/>
      <c r="E914" s="111" t="n"/>
      <c r="F914" s="111" t="n"/>
      <c r="G914" s="28" t="n"/>
      <c r="H914" s="45" t="n"/>
      <c r="I914" s="45" t="n"/>
      <c r="J914" s="28">
        <f>IF(H914="","",IF(I914&gt;=H914,"Recebido",IF($B$4&gt;E914,"Vencido","Aberto")))</f>
        <v/>
      </c>
      <c r="K914" s="4">
        <f>IF(J914="","",IF(OR(J914="Recebido",F914=""),MAX(0,F914-E914),MAX(0,$B$4-E914)))</f>
        <v/>
      </c>
      <c r="L914" s="4">
        <f>IF(K914="","",IF(K914=0,"Em dia",IF(K914&lt;=30,"1-30 dias",IF(K914&lt;=60,"31-60 dias",IF(K914&lt;=90,"61-90 dias","&gt;90 dias")))))</f>
        <v/>
      </c>
      <c r="M914" s="28" t="n"/>
      <c r="N914" s="104" t="inlineStr"/>
      <c r="O914" s="64" t="n"/>
      <c r="P914" s="64">
        <f>IF(C914="","",IF(ISNUMBER(SEARCH("PCMSO",C914)),"PCMSO",IF(OR(ISNUMBER(SEARCH("E-SOCIAL",C914)),ISNUMBER(SEARCH("PSICOSOCIAL",C914))),"eSocial / Psicossocial",IF(O914="Receita recorrente","Carteira recorrente","Projetos / Laudos / Avulsos"))))</f>
        <v/>
      </c>
      <c r="Q914" s="64">
        <f>IF(P914="","",IF(P914="Carteira recorrente","Operação recorrente",IF(P914="PCMSO","Projetos PCMSO",IF(P914="eSocial / Psicossocial","Projetos eSocial/Psicossocial","Projetos / Laudos / Avulsos"))))</f>
        <v/>
      </c>
      <c r="R914" s="64">
        <f>IF(C914="","",IF(ISNUMBER(SEARCH("PCMSO",C914)),"Título com PCMSO no nome",IF(OR(ISNUMBER(SEARCH("E-SOCIAL",C914)),ISNUMBER(SEARCH("PSICOSOCIAL",C914))),"Título com eSocial/Psicossocial no nome",IF(O914="Receita recorrente","Tipo DRE recorrente","Extra sem palavra-chave específica"))))</f>
        <v/>
      </c>
      <c r="S914" s="92">
        <f>IFERROR(VLOOKUP($A914,'13. Mapa Títulos-Receita'!$A$8:$P$1000,4,FALSE),"")</f>
        <v/>
      </c>
      <c r="T914" s="92">
        <f>IFERROR(VLOOKUP($A914,'13. Mapa Títulos-Receita'!$A$8:$P$1000,5,FALSE),"")</f>
        <v/>
      </c>
      <c r="U914" s="92">
        <f>IFERROR(VLOOKUP($A914,'13. Mapa Títulos-Receita'!$A$8:$P$1000,6,FALSE),"")</f>
        <v/>
      </c>
      <c r="V914" s="92">
        <f>IFERROR(VLOOKUP($A914,'13. Mapa Títulos-Receita'!$A$8:$P$1000,7,FALSE),"")</f>
        <v/>
      </c>
      <c r="W914" s="92">
        <f>IFERROR(VLOOKUP($A914,'13. Mapa Títulos-Receita'!$A$8:$P$1000,8,FALSE),"")</f>
        <v/>
      </c>
      <c r="X914" s="92">
        <f>IFERROR(VLOOKUP($A914,'13. Mapa Títulos-Receita'!$A$8:$P$1000,9,FALSE),"")</f>
        <v/>
      </c>
      <c r="Y914" s="92">
        <f>IFERROR(VLOOKUP($A914,'13. Mapa Títulos-Receita'!$A$8:$P$1000,10,FALSE),"")</f>
        <v/>
      </c>
      <c r="Z914" s="92">
        <f>IFERROR(VLOOKUP($A914,'13. Mapa Títulos-Receita'!$A$8:$P$1000,11,FALSE),"")</f>
        <v/>
      </c>
      <c r="AA914" s="92">
        <f>IFERROR(VLOOKUP($A914,'13. Mapa Títulos-Receita'!$A$8:$P$1000,12,FALSE),"")</f>
        <v/>
      </c>
      <c r="AB914" s="92">
        <f>IFERROR(VLOOKUP($A914,'13. Mapa Títulos-Receita'!$A$8:$P$1000,13,FALSE),"")</f>
        <v/>
      </c>
      <c r="AC914" s="92">
        <f>IFERROR(VLOOKUP($A914,'13. Mapa Títulos-Receita'!$A$8:$P$1000,14,FALSE),"")</f>
        <v/>
      </c>
      <c r="AD914" s="92">
        <f>IFERROR(VLOOKUP($A914,'13. Mapa Títulos-Receita'!$A$8:$P$1000,15,FALSE),"")</f>
        <v/>
      </c>
      <c r="AE914" s="92">
        <f>IFERROR(VLOOKUP($A914,'13. Mapa Títulos-Receita'!$A$8:$P$1000,16,FALSE),"")</f>
        <v/>
      </c>
    </row>
    <row r="915">
      <c r="A915" s="28">
        <f>IF(C915="","", "CR-"&amp;TEXT(ROW()-7,"000"))</f>
        <v/>
      </c>
      <c r="B915" s="28" t="n"/>
      <c r="C915" s="28" t="n"/>
      <c r="D915" s="111" t="n"/>
      <c r="E915" s="111" t="n"/>
      <c r="F915" s="111" t="n"/>
      <c r="G915" s="28" t="n"/>
      <c r="H915" s="45" t="n"/>
      <c r="I915" s="45" t="n"/>
      <c r="J915" s="28">
        <f>IF(H915="","",IF(I915&gt;=H915,"Recebido",IF($B$4&gt;E915,"Vencido","Aberto")))</f>
        <v/>
      </c>
      <c r="K915" s="4">
        <f>IF(J915="","",IF(OR(J915="Recebido",F915=""),MAX(0,F915-E915),MAX(0,$B$4-E915)))</f>
        <v/>
      </c>
      <c r="L915" s="4">
        <f>IF(K915="","",IF(K915=0,"Em dia",IF(K915&lt;=30,"1-30 dias",IF(K915&lt;=60,"31-60 dias",IF(K915&lt;=90,"61-90 dias","&gt;90 dias")))))</f>
        <v/>
      </c>
      <c r="M915" s="28" t="n"/>
      <c r="N915" s="104" t="inlineStr"/>
      <c r="O915" s="64" t="n"/>
      <c r="P915" s="64">
        <f>IF(C915="","",IF(ISNUMBER(SEARCH("PCMSO",C915)),"PCMSO",IF(OR(ISNUMBER(SEARCH("E-SOCIAL",C915)),ISNUMBER(SEARCH("PSICOSOCIAL",C915))),"eSocial / Psicossocial",IF(O915="Receita recorrente","Carteira recorrente","Projetos / Laudos / Avulsos"))))</f>
        <v/>
      </c>
      <c r="Q915" s="64">
        <f>IF(P915="","",IF(P915="Carteira recorrente","Operação recorrente",IF(P915="PCMSO","Projetos PCMSO",IF(P915="eSocial / Psicossocial","Projetos eSocial/Psicossocial","Projetos / Laudos / Avulsos"))))</f>
        <v/>
      </c>
      <c r="R915" s="64">
        <f>IF(C915="","",IF(ISNUMBER(SEARCH("PCMSO",C915)),"Título com PCMSO no nome",IF(OR(ISNUMBER(SEARCH("E-SOCIAL",C915)),ISNUMBER(SEARCH("PSICOSOCIAL",C915))),"Título com eSocial/Psicossocial no nome",IF(O915="Receita recorrente","Tipo DRE recorrente","Extra sem palavra-chave específica"))))</f>
        <v/>
      </c>
      <c r="S915" s="92">
        <f>IFERROR(VLOOKUP($A915,'13. Mapa Títulos-Receita'!$A$8:$P$1000,4,FALSE),"")</f>
        <v/>
      </c>
      <c r="T915" s="92">
        <f>IFERROR(VLOOKUP($A915,'13. Mapa Títulos-Receita'!$A$8:$P$1000,5,FALSE),"")</f>
        <v/>
      </c>
      <c r="U915" s="92">
        <f>IFERROR(VLOOKUP($A915,'13. Mapa Títulos-Receita'!$A$8:$P$1000,6,FALSE),"")</f>
        <v/>
      </c>
      <c r="V915" s="92">
        <f>IFERROR(VLOOKUP($A915,'13. Mapa Títulos-Receita'!$A$8:$P$1000,7,FALSE),"")</f>
        <v/>
      </c>
      <c r="W915" s="92">
        <f>IFERROR(VLOOKUP($A915,'13. Mapa Títulos-Receita'!$A$8:$P$1000,8,FALSE),"")</f>
        <v/>
      </c>
      <c r="X915" s="92">
        <f>IFERROR(VLOOKUP($A915,'13. Mapa Títulos-Receita'!$A$8:$P$1000,9,FALSE),"")</f>
        <v/>
      </c>
      <c r="Y915" s="92">
        <f>IFERROR(VLOOKUP($A915,'13. Mapa Títulos-Receita'!$A$8:$P$1000,10,FALSE),"")</f>
        <v/>
      </c>
      <c r="Z915" s="92">
        <f>IFERROR(VLOOKUP($A915,'13. Mapa Títulos-Receita'!$A$8:$P$1000,11,FALSE),"")</f>
        <v/>
      </c>
      <c r="AA915" s="92">
        <f>IFERROR(VLOOKUP($A915,'13. Mapa Títulos-Receita'!$A$8:$P$1000,12,FALSE),"")</f>
        <v/>
      </c>
      <c r="AB915" s="92">
        <f>IFERROR(VLOOKUP($A915,'13. Mapa Títulos-Receita'!$A$8:$P$1000,13,FALSE),"")</f>
        <v/>
      </c>
      <c r="AC915" s="92">
        <f>IFERROR(VLOOKUP($A915,'13. Mapa Títulos-Receita'!$A$8:$P$1000,14,FALSE),"")</f>
        <v/>
      </c>
      <c r="AD915" s="92">
        <f>IFERROR(VLOOKUP($A915,'13. Mapa Títulos-Receita'!$A$8:$P$1000,15,FALSE),"")</f>
        <v/>
      </c>
      <c r="AE915" s="92">
        <f>IFERROR(VLOOKUP($A915,'13. Mapa Títulos-Receita'!$A$8:$P$1000,16,FALSE),"")</f>
        <v/>
      </c>
    </row>
    <row r="916">
      <c r="A916" s="28">
        <f>IF(C916="","", "CR-"&amp;TEXT(ROW()-7,"000"))</f>
        <v/>
      </c>
      <c r="B916" s="28" t="n"/>
      <c r="C916" s="28" t="n"/>
      <c r="D916" s="111" t="n"/>
      <c r="E916" s="111" t="n"/>
      <c r="F916" s="111" t="n"/>
      <c r="G916" s="28" t="n"/>
      <c r="H916" s="45" t="n"/>
      <c r="I916" s="45" t="n"/>
      <c r="J916" s="28">
        <f>IF(H916="","",IF(I916&gt;=H916,"Recebido",IF($B$4&gt;E916,"Vencido","Aberto")))</f>
        <v/>
      </c>
      <c r="K916" s="4">
        <f>IF(J916="","",IF(OR(J916="Recebido",F916=""),MAX(0,F916-E916),MAX(0,$B$4-E916)))</f>
        <v/>
      </c>
      <c r="L916" s="4">
        <f>IF(K916="","",IF(K916=0,"Em dia",IF(K916&lt;=30,"1-30 dias",IF(K916&lt;=60,"31-60 dias",IF(K916&lt;=90,"61-90 dias","&gt;90 dias")))))</f>
        <v/>
      </c>
      <c r="M916" s="28" t="n"/>
      <c r="N916" s="104" t="inlineStr"/>
      <c r="O916" s="64" t="n"/>
      <c r="P916" s="64">
        <f>IF(C916="","",IF(ISNUMBER(SEARCH("PCMSO",C916)),"PCMSO",IF(OR(ISNUMBER(SEARCH("E-SOCIAL",C916)),ISNUMBER(SEARCH("PSICOSOCIAL",C916))),"eSocial / Psicossocial",IF(O916="Receita recorrente","Carteira recorrente","Projetos / Laudos / Avulsos"))))</f>
        <v/>
      </c>
      <c r="Q916" s="64">
        <f>IF(P916="","",IF(P916="Carteira recorrente","Operação recorrente",IF(P916="PCMSO","Projetos PCMSO",IF(P916="eSocial / Psicossocial","Projetos eSocial/Psicossocial","Projetos / Laudos / Avulsos"))))</f>
        <v/>
      </c>
      <c r="R916" s="64">
        <f>IF(C916="","",IF(ISNUMBER(SEARCH("PCMSO",C916)),"Título com PCMSO no nome",IF(OR(ISNUMBER(SEARCH("E-SOCIAL",C916)),ISNUMBER(SEARCH("PSICOSOCIAL",C916))),"Título com eSocial/Psicossocial no nome",IF(O916="Receita recorrente","Tipo DRE recorrente","Extra sem palavra-chave específica"))))</f>
        <v/>
      </c>
      <c r="S916" s="92">
        <f>IFERROR(VLOOKUP($A916,'13. Mapa Títulos-Receita'!$A$8:$P$1000,4,FALSE),"")</f>
        <v/>
      </c>
      <c r="T916" s="92">
        <f>IFERROR(VLOOKUP($A916,'13. Mapa Títulos-Receita'!$A$8:$P$1000,5,FALSE),"")</f>
        <v/>
      </c>
      <c r="U916" s="92">
        <f>IFERROR(VLOOKUP($A916,'13. Mapa Títulos-Receita'!$A$8:$P$1000,6,FALSE),"")</f>
        <v/>
      </c>
      <c r="V916" s="92">
        <f>IFERROR(VLOOKUP($A916,'13. Mapa Títulos-Receita'!$A$8:$P$1000,7,FALSE),"")</f>
        <v/>
      </c>
      <c r="W916" s="92">
        <f>IFERROR(VLOOKUP($A916,'13. Mapa Títulos-Receita'!$A$8:$P$1000,8,FALSE),"")</f>
        <v/>
      </c>
      <c r="X916" s="92">
        <f>IFERROR(VLOOKUP($A916,'13. Mapa Títulos-Receita'!$A$8:$P$1000,9,FALSE),"")</f>
        <v/>
      </c>
      <c r="Y916" s="92">
        <f>IFERROR(VLOOKUP($A916,'13. Mapa Títulos-Receita'!$A$8:$P$1000,10,FALSE),"")</f>
        <v/>
      </c>
      <c r="Z916" s="92">
        <f>IFERROR(VLOOKUP($A916,'13. Mapa Títulos-Receita'!$A$8:$P$1000,11,FALSE),"")</f>
        <v/>
      </c>
      <c r="AA916" s="92">
        <f>IFERROR(VLOOKUP($A916,'13. Mapa Títulos-Receita'!$A$8:$P$1000,12,FALSE),"")</f>
        <v/>
      </c>
      <c r="AB916" s="92">
        <f>IFERROR(VLOOKUP($A916,'13. Mapa Títulos-Receita'!$A$8:$P$1000,13,FALSE),"")</f>
        <v/>
      </c>
      <c r="AC916" s="92">
        <f>IFERROR(VLOOKUP($A916,'13. Mapa Títulos-Receita'!$A$8:$P$1000,14,FALSE),"")</f>
        <v/>
      </c>
      <c r="AD916" s="92">
        <f>IFERROR(VLOOKUP($A916,'13. Mapa Títulos-Receita'!$A$8:$P$1000,15,FALSE),"")</f>
        <v/>
      </c>
      <c r="AE916" s="92">
        <f>IFERROR(VLOOKUP($A916,'13. Mapa Títulos-Receita'!$A$8:$P$1000,16,FALSE),"")</f>
        <v/>
      </c>
    </row>
    <row r="917">
      <c r="A917" s="28">
        <f>IF(C917="","", "CR-"&amp;TEXT(ROW()-7,"000"))</f>
        <v/>
      </c>
      <c r="B917" s="28" t="n"/>
      <c r="C917" s="28" t="n"/>
      <c r="D917" s="111" t="n"/>
      <c r="E917" s="111" t="n"/>
      <c r="F917" s="111" t="n"/>
      <c r="G917" s="28" t="n"/>
      <c r="H917" s="45" t="n"/>
      <c r="I917" s="45" t="n"/>
      <c r="J917" s="28">
        <f>IF(H917="","",IF(I917&gt;=H917,"Recebido",IF($B$4&gt;E917,"Vencido","Aberto")))</f>
        <v/>
      </c>
      <c r="K917" s="4">
        <f>IF(J917="","",IF(OR(J917="Recebido",F917=""),MAX(0,F917-E917),MAX(0,$B$4-E917)))</f>
        <v/>
      </c>
      <c r="L917" s="4">
        <f>IF(K917="","",IF(K917=0,"Em dia",IF(K917&lt;=30,"1-30 dias",IF(K917&lt;=60,"31-60 dias",IF(K917&lt;=90,"61-90 dias","&gt;90 dias")))))</f>
        <v/>
      </c>
      <c r="M917" s="28" t="n"/>
      <c r="N917" s="104" t="inlineStr"/>
      <c r="O917" s="64" t="n"/>
      <c r="P917" s="64">
        <f>IF(C917="","",IF(ISNUMBER(SEARCH("PCMSO",C917)),"PCMSO",IF(OR(ISNUMBER(SEARCH("E-SOCIAL",C917)),ISNUMBER(SEARCH("PSICOSOCIAL",C917))),"eSocial / Psicossocial",IF(O917="Receita recorrente","Carteira recorrente","Projetos / Laudos / Avulsos"))))</f>
        <v/>
      </c>
      <c r="Q917" s="64">
        <f>IF(P917="","",IF(P917="Carteira recorrente","Operação recorrente",IF(P917="PCMSO","Projetos PCMSO",IF(P917="eSocial / Psicossocial","Projetos eSocial/Psicossocial","Projetos / Laudos / Avulsos"))))</f>
        <v/>
      </c>
      <c r="R917" s="64">
        <f>IF(C917="","",IF(ISNUMBER(SEARCH("PCMSO",C917)),"Título com PCMSO no nome",IF(OR(ISNUMBER(SEARCH("E-SOCIAL",C917)),ISNUMBER(SEARCH("PSICOSOCIAL",C917))),"Título com eSocial/Psicossocial no nome",IF(O917="Receita recorrente","Tipo DRE recorrente","Extra sem palavra-chave específica"))))</f>
        <v/>
      </c>
      <c r="S917" s="92">
        <f>IFERROR(VLOOKUP($A917,'13. Mapa Títulos-Receita'!$A$8:$P$1000,4,FALSE),"")</f>
        <v/>
      </c>
      <c r="T917" s="92">
        <f>IFERROR(VLOOKUP($A917,'13. Mapa Títulos-Receita'!$A$8:$P$1000,5,FALSE),"")</f>
        <v/>
      </c>
      <c r="U917" s="92">
        <f>IFERROR(VLOOKUP($A917,'13. Mapa Títulos-Receita'!$A$8:$P$1000,6,FALSE),"")</f>
        <v/>
      </c>
      <c r="V917" s="92">
        <f>IFERROR(VLOOKUP($A917,'13. Mapa Títulos-Receita'!$A$8:$P$1000,7,FALSE),"")</f>
        <v/>
      </c>
      <c r="W917" s="92">
        <f>IFERROR(VLOOKUP($A917,'13. Mapa Títulos-Receita'!$A$8:$P$1000,8,FALSE),"")</f>
        <v/>
      </c>
      <c r="X917" s="92">
        <f>IFERROR(VLOOKUP($A917,'13. Mapa Títulos-Receita'!$A$8:$P$1000,9,FALSE),"")</f>
        <v/>
      </c>
      <c r="Y917" s="92">
        <f>IFERROR(VLOOKUP($A917,'13. Mapa Títulos-Receita'!$A$8:$P$1000,10,FALSE),"")</f>
        <v/>
      </c>
      <c r="Z917" s="92">
        <f>IFERROR(VLOOKUP($A917,'13. Mapa Títulos-Receita'!$A$8:$P$1000,11,FALSE),"")</f>
        <v/>
      </c>
      <c r="AA917" s="92">
        <f>IFERROR(VLOOKUP($A917,'13. Mapa Títulos-Receita'!$A$8:$P$1000,12,FALSE),"")</f>
        <v/>
      </c>
      <c r="AB917" s="92">
        <f>IFERROR(VLOOKUP($A917,'13. Mapa Títulos-Receita'!$A$8:$P$1000,13,FALSE),"")</f>
        <v/>
      </c>
      <c r="AC917" s="92">
        <f>IFERROR(VLOOKUP($A917,'13. Mapa Títulos-Receita'!$A$8:$P$1000,14,FALSE),"")</f>
        <v/>
      </c>
      <c r="AD917" s="92">
        <f>IFERROR(VLOOKUP($A917,'13. Mapa Títulos-Receita'!$A$8:$P$1000,15,FALSE),"")</f>
        <v/>
      </c>
      <c r="AE917" s="92">
        <f>IFERROR(VLOOKUP($A917,'13. Mapa Títulos-Receita'!$A$8:$P$1000,16,FALSE),"")</f>
        <v/>
      </c>
    </row>
    <row r="918">
      <c r="A918" s="28">
        <f>IF(C918="","", "CR-"&amp;TEXT(ROW()-7,"000"))</f>
        <v/>
      </c>
      <c r="B918" s="28" t="n"/>
      <c r="C918" s="28" t="n"/>
      <c r="D918" s="111" t="n"/>
      <c r="E918" s="111" t="n"/>
      <c r="F918" s="111" t="n"/>
      <c r="G918" s="28" t="n"/>
      <c r="H918" s="45" t="n"/>
      <c r="I918" s="45" t="n"/>
      <c r="J918" s="28">
        <f>IF(H918="","",IF(I918&gt;=H918,"Recebido",IF($B$4&gt;E918,"Vencido","Aberto")))</f>
        <v/>
      </c>
      <c r="K918" s="4">
        <f>IF(J918="","",IF(OR(J918="Recebido",F918=""),MAX(0,F918-E918),MAX(0,$B$4-E918)))</f>
        <v/>
      </c>
      <c r="L918" s="4">
        <f>IF(K918="","",IF(K918=0,"Em dia",IF(K918&lt;=30,"1-30 dias",IF(K918&lt;=60,"31-60 dias",IF(K918&lt;=90,"61-90 dias","&gt;90 dias")))))</f>
        <v/>
      </c>
      <c r="M918" s="28" t="n"/>
      <c r="N918" s="104" t="inlineStr"/>
      <c r="O918" s="64" t="n"/>
      <c r="P918" s="64">
        <f>IF(C918="","",IF(ISNUMBER(SEARCH("PCMSO",C918)),"PCMSO",IF(OR(ISNUMBER(SEARCH("E-SOCIAL",C918)),ISNUMBER(SEARCH("PSICOSOCIAL",C918))),"eSocial / Psicossocial",IF(O918="Receita recorrente","Carteira recorrente","Projetos / Laudos / Avulsos"))))</f>
        <v/>
      </c>
      <c r="Q918" s="64">
        <f>IF(P918="","",IF(P918="Carteira recorrente","Operação recorrente",IF(P918="PCMSO","Projetos PCMSO",IF(P918="eSocial / Psicossocial","Projetos eSocial/Psicossocial","Projetos / Laudos / Avulsos"))))</f>
        <v/>
      </c>
      <c r="R918" s="64">
        <f>IF(C918="","",IF(ISNUMBER(SEARCH("PCMSO",C918)),"Título com PCMSO no nome",IF(OR(ISNUMBER(SEARCH("E-SOCIAL",C918)),ISNUMBER(SEARCH("PSICOSOCIAL",C918))),"Título com eSocial/Psicossocial no nome",IF(O918="Receita recorrente","Tipo DRE recorrente","Extra sem palavra-chave específica"))))</f>
        <v/>
      </c>
      <c r="S918" s="92">
        <f>IFERROR(VLOOKUP($A918,'13. Mapa Títulos-Receita'!$A$8:$P$1000,4,FALSE),"")</f>
        <v/>
      </c>
      <c r="T918" s="92">
        <f>IFERROR(VLOOKUP($A918,'13. Mapa Títulos-Receita'!$A$8:$P$1000,5,FALSE),"")</f>
        <v/>
      </c>
      <c r="U918" s="92">
        <f>IFERROR(VLOOKUP($A918,'13. Mapa Títulos-Receita'!$A$8:$P$1000,6,FALSE),"")</f>
        <v/>
      </c>
      <c r="V918" s="92">
        <f>IFERROR(VLOOKUP($A918,'13. Mapa Títulos-Receita'!$A$8:$P$1000,7,FALSE),"")</f>
        <v/>
      </c>
      <c r="W918" s="92">
        <f>IFERROR(VLOOKUP($A918,'13. Mapa Títulos-Receita'!$A$8:$P$1000,8,FALSE),"")</f>
        <v/>
      </c>
      <c r="X918" s="92">
        <f>IFERROR(VLOOKUP($A918,'13. Mapa Títulos-Receita'!$A$8:$P$1000,9,FALSE),"")</f>
        <v/>
      </c>
      <c r="Y918" s="92">
        <f>IFERROR(VLOOKUP($A918,'13. Mapa Títulos-Receita'!$A$8:$P$1000,10,FALSE),"")</f>
        <v/>
      </c>
      <c r="Z918" s="92">
        <f>IFERROR(VLOOKUP($A918,'13. Mapa Títulos-Receita'!$A$8:$P$1000,11,FALSE),"")</f>
        <v/>
      </c>
      <c r="AA918" s="92">
        <f>IFERROR(VLOOKUP($A918,'13. Mapa Títulos-Receita'!$A$8:$P$1000,12,FALSE),"")</f>
        <v/>
      </c>
      <c r="AB918" s="92">
        <f>IFERROR(VLOOKUP($A918,'13. Mapa Títulos-Receita'!$A$8:$P$1000,13,FALSE),"")</f>
        <v/>
      </c>
      <c r="AC918" s="92">
        <f>IFERROR(VLOOKUP($A918,'13. Mapa Títulos-Receita'!$A$8:$P$1000,14,FALSE),"")</f>
        <v/>
      </c>
      <c r="AD918" s="92">
        <f>IFERROR(VLOOKUP($A918,'13. Mapa Títulos-Receita'!$A$8:$P$1000,15,FALSE),"")</f>
        <v/>
      </c>
      <c r="AE918" s="92">
        <f>IFERROR(VLOOKUP($A918,'13. Mapa Títulos-Receita'!$A$8:$P$1000,16,FALSE),"")</f>
        <v/>
      </c>
    </row>
    <row r="919">
      <c r="A919" s="28">
        <f>IF(C919="","", "CR-"&amp;TEXT(ROW()-7,"000"))</f>
        <v/>
      </c>
      <c r="B919" s="28" t="n"/>
      <c r="C919" s="28" t="n"/>
      <c r="D919" s="111" t="n"/>
      <c r="E919" s="111" t="n"/>
      <c r="F919" s="111" t="n"/>
      <c r="G919" s="28" t="n"/>
      <c r="H919" s="45" t="n"/>
      <c r="I919" s="45" t="n"/>
      <c r="J919" s="28">
        <f>IF(H919="","",IF(I919&gt;=H919,"Recebido",IF($B$4&gt;E919,"Vencido","Aberto")))</f>
        <v/>
      </c>
      <c r="K919" s="4">
        <f>IF(J919="","",IF(OR(J919="Recebido",F919=""),MAX(0,F919-E919),MAX(0,$B$4-E919)))</f>
        <v/>
      </c>
      <c r="L919" s="4">
        <f>IF(K919="","",IF(K919=0,"Em dia",IF(K919&lt;=30,"1-30 dias",IF(K919&lt;=60,"31-60 dias",IF(K919&lt;=90,"61-90 dias","&gt;90 dias")))))</f>
        <v/>
      </c>
      <c r="M919" s="28" t="n"/>
      <c r="N919" s="104" t="inlineStr"/>
      <c r="O919" s="64" t="n"/>
      <c r="P919" s="64">
        <f>IF(C919="","",IF(ISNUMBER(SEARCH("PCMSO",C919)),"PCMSO",IF(OR(ISNUMBER(SEARCH("E-SOCIAL",C919)),ISNUMBER(SEARCH("PSICOSOCIAL",C919))),"eSocial / Psicossocial",IF(O919="Receita recorrente","Carteira recorrente","Projetos / Laudos / Avulsos"))))</f>
        <v/>
      </c>
      <c r="Q919" s="64">
        <f>IF(P919="","",IF(P919="Carteira recorrente","Operação recorrente",IF(P919="PCMSO","Projetos PCMSO",IF(P919="eSocial / Psicossocial","Projetos eSocial/Psicossocial","Projetos / Laudos / Avulsos"))))</f>
        <v/>
      </c>
      <c r="R919" s="64">
        <f>IF(C919="","",IF(ISNUMBER(SEARCH("PCMSO",C919)),"Título com PCMSO no nome",IF(OR(ISNUMBER(SEARCH("E-SOCIAL",C919)),ISNUMBER(SEARCH("PSICOSOCIAL",C919))),"Título com eSocial/Psicossocial no nome",IF(O919="Receita recorrente","Tipo DRE recorrente","Extra sem palavra-chave específica"))))</f>
        <v/>
      </c>
      <c r="S919" s="92">
        <f>IFERROR(VLOOKUP($A919,'13. Mapa Títulos-Receita'!$A$8:$P$1000,4,FALSE),"")</f>
        <v/>
      </c>
      <c r="T919" s="92">
        <f>IFERROR(VLOOKUP($A919,'13. Mapa Títulos-Receita'!$A$8:$P$1000,5,FALSE),"")</f>
        <v/>
      </c>
      <c r="U919" s="92">
        <f>IFERROR(VLOOKUP($A919,'13. Mapa Títulos-Receita'!$A$8:$P$1000,6,FALSE),"")</f>
        <v/>
      </c>
      <c r="V919" s="92">
        <f>IFERROR(VLOOKUP($A919,'13. Mapa Títulos-Receita'!$A$8:$P$1000,7,FALSE),"")</f>
        <v/>
      </c>
      <c r="W919" s="92">
        <f>IFERROR(VLOOKUP($A919,'13. Mapa Títulos-Receita'!$A$8:$P$1000,8,FALSE),"")</f>
        <v/>
      </c>
      <c r="X919" s="92">
        <f>IFERROR(VLOOKUP($A919,'13. Mapa Títulos-Receita'!$A$8:$P$1000,9,FALSE),"")</f>
        <v/>
      </c>
      <c r="Y919" s="92">
        <f>IFERROR(VLOOKUP($A919,'13. Mapa Títulos-Receita'!$A$8:$P$1000,10,FALSE),"")</f>
        <v/>
      </c>
      <c r="Z919" s="92">
        <f>IFERROR(VLOOKUP($A919,'13. Mapa Títulos-Receita'!$A$8:$P$1000,11,FALSE),"")</f>
        <v/>
      </c>
      <c r="AA919" s="92">
        <f>IFERROR(VLOOKUP($A919,'13. Mapa Títulos-Receita'!$A$8:$P$1000,12,FALSE),"")</f>
        <v/>
      </c>
      <c r="AB919" s="92">
        <f>IFERROR(VLOOKUP($A919,'13. Mapa Títulos-Receita'!$A$8:$P$1000,13,FALSE),"")</f>
        <v/>
      </c>
      <c r="AC919" s="92">
        <f>IFERROR(VLOOKUP($A919,'13. Mapa Títulos-Receita'!$A$8:$P$1000,14,FALSE),"")</f>
        <v/>
      </c>
      <c r="AD919" s="92">
        <f>IFERROR(VLOOKUP($A919,'13. Mapa Títulos-Receita'!$A$8:$P$1000,15,FALSE),"")</f>
        <v/>
      </c>
      <c r="AE919" s="92">
        <f>IFERROR(VLOOKUP($A919,'13. Mapa Títulos-Receita'!$A$8:$P$1000,16,FALSE),"")</f>
        <v/>
      </c>
    </row>
    <row r="920">
      <c r="A920" s="28">
        <f>IF(C920="","", "CR-"&amp;TEXT(ROW()-7,"000"))</f>
        <v/>
      </c>
      <c r="B920" s="28" t="n"/>
      <c r="C920" s="28" t="n"/>
      <c r="D920" s="111" t="n"/>
      <c r="E920" s="111" t="n"/>
      <c r="F920" s="111" t="n"/>
      <c r="G920" s="28" t="n"/>
      <c r="H920" s="45" t="n"/>
      <c r="I920" s="45" t="n"/>
      <c r="J920" s="28">
        <f>IF(H920="","",IF(I920&gt;=H920,"Recebido",IF($B$4&gt;E920,"Vencido","Aberto")))</f>
        <v/>
      </c>
      <c r="K920" s="4">
        <f>IF(J920="","",IF(OR(J920="Recebido",F920=""),MAX(0,F920-E920),MAX(0,$B$4-E920)))</f>
        <v/>
      </c>
      <c r="L920" s="4">
        <f>IF(K920="","",IF(K920=0,"Em dia",IF(K920&lt;=30,"1-30 dias",IF(K920&lt;=60,"31-60 dias",IF(K920&lt;=90,"61-90 dias","&gt;90 dias")))))</f>
        <v/>
      </c>
      <c r="M920" s="28" t="n"/>
      <c r="N920" s="104" t="inlineStr"/>
      <c r="O920" s="64" t="n"/>
      <c r="P920" s="64">
        <f>IF(C920="","",IF(ISNUMBER(SEARCH("PCMSO",C920)),"PCMSO",IF(OR(ISNUMBER(SEARCH("E-SOCIAL",C920)),ISNUMBER(SEARCH("PSICOSOCIAL",C920))),"eSocial / Psicossocial",IF(O920="Receita recorrente","Carteira recorrente","Projetos / Laudos / Avulsos"))))</f>
        <v/>
      </c>
      <c r="Q920" s="64">
        <f>IF(P920="","",IF(P920="Carteira recorrente","Operação recorrente",IF(P920="PCMSO","Projetos PCMSO",IF(P920="eSocial / Psicossocial","Projetos eSocial/Psicossocial","Projetos / Laudos / Avulsos"))))</f>
        <v/>
      </c>
      <c r="R920" s="64">
        <f>IF(C920="","",IF(ISNUMBER(SEARCH("PCMSO",C920)),"Título com PCMSO no nome",IF(OR(ISNUMBER(SEARCH("E-SOCIAL",C920)),ISNUMBER(SEARCH("PSICOSOCIAL",C920))),"Título com eSocial/Psicossocial no nome",IF(O920="Receita recorrente","Tipo DRE recorrente","Extra sem palavra-chave específica"))))</f>
        <v/>
      </c>
      <c r="S920" s="92">
        <f>IFERROR(VLOOKUP($A920,'13. Mapa Títulos-Receita'!$A$8:$P$1000,4,FALSE),"")</f>
        <v/>
      </c>
      <c r="T920" s="92">
        <f>IFERROR(VLOOKUP($A920,'13. Mapa Títulos-Receita'!$A$8:$P$1000,5,FALSE),"")</f>
        <v/>
      </c>
      <c r="U920" s="92">
        <f>IFERROR(VLOOKUP($A920,'13. Mapa Títulos-Receita'!$A$8:$P$1000,6,FALSE),"")</f>
        <v/>
      </c>
      <c r="V920" s="92">
        <f>IFERROR(VLOOKUP($A920,'13. Mapa Títulos-Receita'!$A$8:$P$1000,7,FALSE),"")</f>
        <v/>
      </c>
      <c r="W920" s="92">
        <f>IFERROR(VLOOKUP($A920,'13. Mapa Títulos-Receita'!$A$8:$P$1000,8,FALSE),"")</f>
        <v/>
      </c>
      <c r="X920" s="92">
        <f>IFERROR(VLOOKUP($A920,'13. Mapa Títulos-Receita'!$A$8:$P$1000,9,FALSE),"")</f>
        <v/>
      </c>
      <c r="Y920" s="92">
        <f>IFERROR(VLOOKUP($A920,'13. Mapa Títulos-Receita'!$A$8:$P$1000,10,FALSE),"")</f>
        <v/>
      </c>
      <c r="Z920" s="92">
        <f>IFERROR(VLOOKUP($A920,'13. Mapa Títulos-Receita'!$A$8:$P$1000,11,FALSE),"")</f>
        <v/>
      </c>
      <c r="AA920" s="92">
        <f>IFERROR(VLOOKUP($A920,'13. Mapa Títulos-Receita'!$A$8:$P$1000,12,FALSE),"")</f>
        <v/>
      </c>
      <c r="AB920" s="92">
        <f>IFERROR(VLOOKUP($A920,'13. Mapa Títulos-Receita'!$A$8:$P$1000,13,FALSE),"")</f>
        <v/>
      </c>
      <c r="AC920" s="92">
        <f>IFERROR(VLOOKUP($A920,'13. Mapa Títulos-Receita'!$A$8:$P$1000,14,FALSE),"")</f>
        <v/>
      </c>
      <c r="AD920" s="92">
        <f>IFERROR(VLOOKUP($A920,'13. Mapa Títulos-Receita'!$A$8:$P$1000,15,FALSE),"")</f>
        <v/>
      </c>
      <c r="AE920" s="92">
        <f>IFERROR(VLOOKUP($A920,'13. Mapa Títulos-Receita'!$A$8:$P$1000,16,FALSE),"")</f>
        <v/>
      </c>
    </row>
    <row r="921">
      <c r="A921" s="28">
        <f>IF(C921="","", "CR-"&amp;TEXT(ROW()-7,"000"))</f>
        <v/>
      </c>
      <c r="B921" s="28" t="n"/>
      <c r="C921" s="28" t="n"/>
      <c r="D921" s="111" t="n"/>
      <c r="E921" s="111" t="n"/>
      <c r="F921" s="111" t="n"/>
      <c r="G921" s="28" t="n"/>
      <c r="H921" s="45" t="n"/>
      <c r="I921" s="45" t="n"/>
      <c r="J921" s="28">
        <f>IF(H921="","",IF(I921&gt;=H921,"Recebido",IF($B$4&gt;E921,"Vencido","Aberto")))</f>
        <v/>
      </c>
      <c r="K921" s="4">
        <f>IF(J921="","",IF(OR(J921="Recebido",F921=""),MAX(0,F921-E921),MAX(0,$B$4-E921)))</f>
        <v/>
      </c>
      <c r="L921" s="4">
        <f>IF(K921="","",IF(K921=0,"Em dia",IF(K921&lt;=30,"1-30 dias",IF(K921&lt;=60,"31-60 dias",IF(K921&lt;=90,"61-90 dias","&gt;90 dias")))))</f>
        <v/>
      </c>
      <c r="M921" s="28" t="n"/>
      <c r="N921" s="104" t="inlineStr"/>
      <c r="O921" s="64" t="n"/>
      <c r="P921" s="64">
        <f>IF(C921="","",IF(ISNUMBER(SEARCH("PCMSO",C921)),"PCMSO",IF(OR(ISNUMBER(SEARCH("E-SOCIAL",C921)),ISNUMBER(SEARCH("PSICOSOCIAL",C921))),"eSocial / Psicossocial",IF(O921="Receita recorrente","Carteira recorrente","Projetos / Laudos / Avulsos"))))</f>
        <v/>
      </c>
      <c r="Q921" s="64">
        <f>IF(P921="","",IF(P921="Carteira recorrente","Operação recorrente",IF(P921="PCMSO","Projetos PCMSO",IF(P921="eSocial / Psicossocial","Projetos eSocial/Psicossocial","Projetos / Laudos / Avulsos"))))</f>
        <v/>
      </c>
      <c r="R921" s="64">
        <f>IF(C921="","",IF(ISNUMBER(SEARCH("PCMSO",C921)),"Título com PCMSO no nome",IF(OR(ISNUMBER(SEARCH("E-SOCIAL",C921)),ISNUMBER(SEARCH("PSICOSOCIAL",C921))),"Título com eSocial/Psicossocial no nome",IF(O921="Receita recorrente","Tipo DRE recorrente","Extra sem palavra-chave específica"))))</f>
        <v/>
      </c>
      <c r="S921" s="92">
        <f>IFERROR(VLOOKUP($A921,'13. Mapa Títulos-Receita'!$A$8:$P$1000,4,FALSE),"")</f>
        <v/>
      </c>
      <c r="T921" s="92">
        <f>IFERROR(VLOOKUP($A921,'13. Mapa Títulos-Receita'!$A$8:$P$1000,5,FALSE),"")</f>
        <v/>
      </c>
      <c r="U921" s="92">
        <f>IFERROR(VLOOKUP($A921,'13. Mapa Títulos-Receita'!$A$8:$P$1000,6,FALSE),"")</f>
        <v/>
      </c>
      <c r="V921" s="92">
        <f>IFERROR(VLOOKUP($A921,'13. Mapa Títulos-Receita'!$A$8:$P$1000,7,FALSE),"")</f>
        <v/>
      </c>
      <c r="W921" s="92">
        <f>IFERROR(VLOOKUP($A921,'13. Mapa Títulos-Receita'!$A$8:$P$1000,8,FALSE),"")</f>
        <v/>
      </c>
      <c r="X921" s="92">
        <f>IFERROR(VLOOKUP($A921,'13. Mapa Títulos-Receita'!$A$8:$P$1000,9,FALSE),"")</f>
        <v/>
      </c>
      <c r="Y921" s="92">
        <f>IFERROR(VLOOKUP($A921,'13. Mapa Títulos-Receita'!$A$8:$P$1000,10,FALSE),"")</f>
        <v/>
      </c>
      <c r="Z921" s="92">
        <f>IFERROR(VLOOKUP($A921,'13. Mapa Títulos-Receita'!$A$8:$P$1000,11,FALSE),"")</f>
        <v/>
      </c>
      <c r="AA921" s="92">
        <f>IFERROR(VLOOKUP($A921,'13. Mapa Títulos-Receita'!$A$8:$P$1000,12,FALSE),"")</f>
        <v/>
      </c>
      <c r="AB921" s="92">
        <f>IFERROR(VLOOKUP($A921,'13. Mapa Títulos-Receita'!$A$8:$P$1000,13,FALSE),"")</f>
        <v/>
      </c>
      <c r="AC921" s="92">
        <f>IFERROR(VLOOKUP($A921,'13. Mapa Títulos-Receita'!$A$8:$P$1000,14,FALSE),"")</f>
        <v/>
      </c>
      <c r="AD921" s="92">
        <f>IFERROR(VLOOKUP($A921,'13. Mapa Títulos-Receita'!$A$8:$P$1000,15,FALSE),"")</f>
        <v/>
      </c>
      <c r="AE921" s="92">
        <f>IFERROR(VLOOKUP($A921,'13. Mapa Títulos-Receita'!$A$8:$P$1000,16,FALSE),"")</f>
        <v/>
      </c>
    </row>
    <row r="922">
      <c r="A922" s="28">
        <f>IF(C922="","", "CR-"&amp;TEXT(ROW()-7,"000"))</f>
        <v/>
      </c>
      <c r="B922" s="28" t="n"/>
      <c r="C922" s="28" t="n"/>
      <c r="D922" s="111" t="n"/>
      <c r="E922" s="111" t="n"/>
      <c r="F922" s="111" t="n"/>
      <c r="G922" s="28" t="n"/>
      <c r="H922" s="45" t="n"/>
      <c r="I922" s="45" t="n"/>
      <c r="J922" s="28">
        <f>IF(H922="","",IF(I922&gt;=H922,"Recebido",IF($B$4&gt;E922,"Vencido","Aberto")))</f>
        <v/>
      </c>
      <c r="K922" s="4">
        <f>IF(J922="","",IF(OR(J922="Recebido",F922=""),MAX(0,F922-E922),MAX(0,$B$4-E922)))</f>
        <v/>
      </c>
      <c r="L922" s="4">
        <f>IF(K922="","",IF(K922=0,"Em dia",IF(K922&lt;=30,"1-30 dias",IF(K922&lt;=60,"31-60 dias",IF(K922&lt;=90,"61-90 dias","&gt;90 dias")))))</f>
        <v/>
      </c>
      <c r="M922" s="28" t="n"/>
      <c r="N922" s="104" t="inlineStr"/>
      <c r="O922" s="64" t="n"/>
      <c r="P922" s="64">
        <f>IF(C922="","",IF(ISNUMBER(SEARCH("PCMSO",C922)),"PCMSO",IF(OR(ISNUMBER(SEARCH("E-SOCIAL",C922)),ISNUMBER(SEARCH("PSICOSOCIAL",C922))),"eSocial / Psicossocial",IF(O922="Receita recorrente","Carteira recorrente","Projetos / Laudos / Avulsos"))))</f>
        <v/>
      </c>
      <c r="Q922" s="64">
        <f>IF(P922="","",IF(P922="Carteira recorrente","Operação recorrente",IF(P922="PCMSO","Projetos PCMSO",IF(P922="eSocial / Psicossocial","Projetos eSocial/Psicossocial","Projetos / Laudos / Avulsos"))))</f>
        <v/>
      </c>
      <c r="R922" s="64">
        <f>IF(C922="","",IF(ISNUMBER(SEARCH("PCMSO",C922)),"Título com PCMSO no nome",IF(OR(ISNUMBER(SEARCH("E-SOCIAL",C922)),ISNUMBER(SEARCH("PSICOSOCIAL",C922))),"Título com eSocial/Psicossocial no nome",IF(O922="Receita recorrente","Tipo DRE recorrente","Extra sem palavra-chave específica"))))</f>
        <v/>
      </c>
      <c r="S922" s="92">
        <f>IFERROR(VLOOKUP($A922,'13. Mapa Títulos-Receita'!$A$8:$P$1000,4,FALSE),"")</f>
        <v/>
      </c>
      <c r="T922" s="92">
        <f>IFERROR(VLOOKUP($A922,'13. Mapa Títulos-Receita'!$A$8:$P$1000,5,FALSE),"")</f>
        <v/>
      </c>
      <c r="U922" s="92">
        <f>IFERROR(VLOOKUP($A922,'13. Mapa Títulos-Receita'!$A$8:$P$1000,6,FALSE),"")</f>
        <v/>
      </c>
      <c r="V922" s="92">
        <f>IFERROR(VLOOKUP($A922,'13. Mapa Títulos-Receita'!$A$8:$P$1000,7,FALSE),"")</f>
        <v/>
      </c>
      <c r="W922" s="92">
        <f>IFERROR(VLOOKUP($A922,'13. Mapa Títulos-Receita'!$A$8:$P$1000,8,FALSE),"")</f>
        <v/>
      </c>
      <c r="X922" s="92">
        <f>IFERROR(VLOOKUP($A922,'13. Mapa Títulos-Receita'!$A$8:$P$1000,9,FALSE),"")</f>
        <v/>
      </c>
      <c r="Y922" s="92">
        <f>IFERROR(VLOOKUP($A922,'13. Mapa Títulos-Receita'!$A$8:$P$1000,10,FALSE),"")</f>
        <v/>
      </c>
      <c r="Z922" s="92">
        <f>IFERROR(VLOOKUP($A922,'13. Mapa Títulos-Receita'!$A$8:$P$1000,11,FALSE),"")</f>
        <v/>
      </c>
      <c r="AA922" s="92">
        <f>IFERROR(VLOOKUP($A922,'13. Mapa Títulos-Receita'!$A$8:$P$1000,12,FALSE),"")</f>
        <v/>
      </c>
      <c r="AB922" s="92">
        <f>IFERROR(VLOOKUP($A922,'13. Mapa Títulos-Receita'!$A$8:$P$1000,13,FALSE),"")</f>
        <v/>
      </c>
      <c r="AC922" s="92">
        <f>IFERROR(VLOOKUP($A922,'13. Mapa Títulos-Receita'!$A$8:$P$1000,14,FALSE),"")</f>
        <v/>
      </c>
      <c r="AD922" s="92">
        <f>IFERROR(VLOOKUP($A922,'13. Mapa Títulos-Receita'!$A$8:$P$1000,15,FALSE),"")</f>
        <v/>
      </c>
      <c r="AE922" s="92">
        <f>IFERROR(VLOOKUP($A922,'13. Mapa Títulos-Receita'!$A$8:$P$1000,16,FALSE),"")</f>
        <v/>
      </c>
    </row>
    <row r="923">
      <c r="A923" s="28">
        <f>IF(C923="","", "CR-"&amp;TEXT(ROW()-7,"000"))</f>
        <v/>
      </c>
      <c r="B923" s="28" t="n"/>
      <c r="C923" s="28" t="n"/>
      <c r="D923" s="111" t="n"/>
      <c r="E923" s="111" t="n"/>
      <c r="F923" s="111" t="n"/>
      <c r="G923" s="28" t="n"/>
      <c r="H923" s="45" t="n"/>
      <c r="I923" s="45" t="n"/>
      <c r="J923" s="28">
        <f>IF(H923="","",IF(I923&gt;=H923,"Recebido",IF($B$4&gt;E923,"Vencido","Aberto")))</f>
        <v/>
      </c>
      <c r="K923" s="4">
        <f>IF(J923="","",IF(OR(J923="Recebido",F923=""),MAX(0,F923-E923),MAX(0,$B$4-E923)))</f>
        <v/>
      </c>
      <c r="L923" s="4">
        <f>IF(K923="","",IF(K923=0,"Em dia",IF(K923&lt;=30,"1-30 dias",IF(K923&lt;=60,"31-60 dias",IF(K923&lt;=90,"61-90 dias","&gt;90 dias")))))</f>
        <v/>
      </c>
      <c r="M923" s="28" t="n"/>
      <c r="N923" s="104" t="inlineStr"/>
      <c r="O923" s="64" t="n"/>
      <c r="P923" s="64">
        <f>IF(C923="","",IF(ISNUMBER(SEARCH("PCMSO",C923)),"PCMSO",IF(OR(ISNUMBER(SEARCH("E-SOCIAL",C923)),ISNUMBER(SEARCH("PSICOSOCIAL",C923))),"eSocial / Psicossocial",IF(O923="Receita recorrente","Carteira recorrente","Projetos / Laudos / Avulsos"))))</f>
        <v/>
      </c>
      <c r="Q923" s="64">
        <f>IF(P923="","",IF(P923="Carteira recorrente","Operação recorrente",IF(P923="PCMSO","Projetos PCMSO",IF(P923="eSocial / Psicossocial","Projetos eSocial/Psicossocial","Projetos / Laudos / Avulsos"))))</f>
        <v/>
      </c>
      <c r="R923" s="64">
        <f>IF(C923="","",IF(ISNUMBER(SEARCH("PCMSO",C923)),"Título com PCMSO no nome",IF(OR(ISNUMBER(SEARCH("E-SOCIAL",C923)),ISNUMBER(SEARCH("PSICOSOCIAL",C923))),"Título com eSocial/Psicossocial no nome",IF(O923="Receita recorrente","Tipo DRE recorrente","Extra sem palavra-chave específica"))))</f>
        <v/>
      </c>
      <c r="S923" s="92">
        <f>IFERROR(VLOOKUP($A923,'13. Mapa Títulos-Receita'!$A$8:$P$1000,4,FALSE),"")</f>
        <v/>
      </c>
      <c r="T923" s="92">
        <f>IFERROR(VLOOKUP($A923,'13. Mapa Títulos-Receita'!$A$8:$P$1000,5,FALSE),"")</f>
        <v/>
      </c>
      <c r="U923" s="92">
        <f>IFERROR(VLOOKUP($A923,'13. Mapa Títulos-Receita'!$A$8:$P$1000,6,FALSE),"")</f>
        <v/>
      </c>
      <c r="V923" s="92">
        <f>IFERROR(VLOOKUP($A923,'13. Mapa Títulos-Receita'!$A$8:$P$1000,7,FALSE),"")</f>
        <v/>
      </c>
      <c r="W923" s="92">
        <f>IFERROR(VLOOKUP($A923,'13. Mapa Títulos-Receita'!$A$8:$P$1000,8,FALSE),"")</f>
        <v/>
      </c>
      <c r="X923" s="92">
        <f>IFERROR(VLOOKUP($A923,'13. Mapa Títulos-Receita'!$A$8:$P$1000,9,FALSE),"")</f>
        <v/>
      </c>
      <c r="Y923" s="92">
        <f>IFERROR(VLOOKUP($A923,'13. Mapa Títulos-Receita'!$A$8:$P$1000,10,FALSE),"")</f>
        <v/>
      </c>
      <c r="Z923" s="92">
        <f>IFERROR(VLOOKUP($A923,'13. Mapa Títulos-Receita'!$A$8:$P$1000,11,FALSE),"")</f>
        <v/>
      </c>
      <c r="AA923" s="92">
        <f>IFERROR(VLOOKUP($A923,'13. Mapa Títulos-Receita'!$A$8:$P$1000,12,FALSE),"")</f>
        <v/>
      </c>
      <c r="AB923" s="92">
        <f>IFERROR(VLOOKUP($A923,'13. Mapa Títulos-Receita'!$A$8:$P$1000,13,FALSE),"")</f>
        <v/>
      </c>
      <c r="AC923" s="92">
        <f>IFERROR(VLOOKUP($A923,'13. Mapa Títulos-Receita'!$A$8:$P$1000,14,FALSE),"")</f>
        <v/>
      </c>
      <c r="AD923" s="92">
        <f>IFERROR(VLOOKUP($A923,'13. Mapa Títulos-Receita'!$A$8:$P$1000,15,FALSE),"")</f>
        <v/>
      </c>
      <c r="AE923" s="92">
        <f>IFERROR(VLOOKUP($A923,'13. Mapa Títulos-Receita'!$A$8:$P$1000,16,FALSE),"")</f>
        <v/>
      </c>
    </row>
    <row r="924">
      <c r="A924" s="28">
        <f>IF(C924="","", "CR-"&amp;TEXT(ROW()-7,"000"))</f>
        <v/>
      </c>
      <c r="B924" s="28" t="n"/>
      <c r="C924" s="28" t="n"/>
      <c r="D924" s="111" t="n"/>
      <c r="E924" s="111" t="n"/>
      <c r="F924" s="111" t="n"/>
      <c r="G924" s="28" t="n"/>
      <c r="H924" s="45" t="n"/>
      <c r="I924" s="45" t="n"/>
      <c r="J924" s="28">
        <f>IF(H924="","",IF(I924&gt;=H924,"Recebido",IF($B$4&gt;E924,"Vencido","Aberto")))</f>
        <v/>
      </c>
      <c r="K924" s="4">
        <f>IF(J924="","",IF(OR(J924="Recebido",F924=""),MAX(0,F924-E924),MAX(0,$B$4-E924)))</f>
        <v/>
      </c>
      <c r="L924" s="4">
        <f>IF(K924="","",IF(K924=0,"Em dia",IF(K924&lt;=30,"1-30 dias",IF(K924&lt;=60,"31-60 dias",IF(K924&lt;=90,"61-90 dias","&gt;90 dias")))))</f>
        <v/>
      </c>
      <c r="M924" s="28" t="n"/>
      <c r="N924" s="104" t="inlineStr"/>
      <c r="O924" s="64" t="n"/>
      <c r="P924" s="64">
        <f>IF(C924="","",IF(ISNUMBER(SEARCH("PCMSO",C924)),"PCMSO",IF(OR(ISNUMBER(SEARCH("E-SOCIAL",C924)),ISNUMBER(SEARCH("PSICOSOCIAL",C924))),"eSocial / Psicossocial",IF(O924="Receita recorrente","Carteira recorrente","Projetos / Laudos / Avulsos"))))</f>
        <v/>
      </c>
      <c r="Q924" s="64">
        <f>IF(P924="","",IF(P924="Carteira recorrente","Operação recorrente",IF(P924="PCMSO","Projetos PCMSO",IF(P924="eSocial / Psicossocial","Projetos eSocial/Psicossocial","Projetos / Laudos / Avulsos"))))</f>
        <v/>
      </c>
      <c r="R924" s="64">
        <f>IF(C924="","",IF(ISNUMBER(SEARCH("PCMSO",C924)),"Título com PCMSO no nome",IF(OR(ISNUMBER(SEARCH("E-SOCIAL",C924)),ISNUMBER(SEARCH("PSICOSOCIAL",C924))),"Título com eSocial/Psicossocial no nome",IF(O924="Receita recorrente","Tipo DRE recorrente","Extra sem palavra-chave específica"))))</f>
        <v/>
      </c>
      <c r="S924" s="92">
        <f>IFERROR(VLOOKUP($A924,'13. Mapa Títulos-Receita'!$A$8:$P$1000,4,FALSE),"")</f>
        <v/>
      </c>
      <c r="T924" s="92">
        <f>IFERROR(VLOOKUP($A924,'13. Mapa Títulos-Receita'!$A$8:$P$1000,5,FALSE),"")</f>
        <v/>
      </c>
      <c r="U924" s="92">
        <f>IFERROR(VLOOKUP($A924,'13. Mapa Títulos-Receita'!$A$8:$P$1000,6,FALSE),"")</f>
        <v/>
      </c>
      <c r="V924" s="92">
        <f>IFERROR(VLOOKUP($A924,'13. Mapa Títulos-Receita'!$A$8:$P$1000,7,FALSE),"")</f>
        <v/>
      </c>
      <c r="W924" s="92">
        <f>IFERROR(VLOOKUP($A924,'13. Mapa Títulos-Receita'!$A$8:$P$1000,8,FALSE),"")</f>
        <v/>
      </c>
      <c r="X924" s="92">
        <f>IFERROR(VLOOKUP($A924,'13. Mapa Títulos-Receita'!$A$8:$P$1000,9,FALSE),"")</f>
        <v/>
      </c>
      <c r="Y924" s="92">
        <f>IFERROR(VLOOKUP($A924,'13. Mapa Títulos-Receita'!$A$8:$P$1000,10,FALSE),"")</f>
        <v/>
      </c>
      <c r="Z924" s="92">
        <f>IFERROR(VLOOKUP($A924,'13. Mapa Títulos-Receita'!$A$8:$P$1000,11,FALSE),"")</f>
        <v/>
      </c>
      <c r="AA924" s="92">
        <f>IFERROR(VLOOKUP($A924,'13. Mapa Títulos-Receita'!$A$8:$P$1000,12,FALSE),"")</f>
        <v/>
      </c>
      <c r="AB924" s="92">
        <f>IFERROR(VLOOKUP($A924,'13. Mapa Títulos-Receita'!$A$8:$P$1000,13,FALSE),"")</f>
        <v/>
      </c>
      <c r="AC924" s="92">
        <f>IFERROR(VLOOKUP($A924,'13. Mapa Títulos-Receita'!$A$8:$P$1000,14,FALSE),"")</f>
        <v/>
      </c>
      <c r="AD924" s="92">
        <f>IFERROR(VLOOKUP($A924,'13. Mapa Títulos-Receita'!$A$8:$P$1000,15,FALSE),"")</f>
        <v/>
      </c>
      <c r="AE924" s="92">
        <f>IFERROR(VLOOKUP($A924,'13. Mapa Títulos-Receita'!$A$8:$P$1000,16,FALSE),"")</f>
        <v/>
      </c>
    </row>
    <row r="925">
      <c r="A925" s="28">
        <f>IF(C925="","", "CR-"&amp;TEXT(ROW()-7,"000"))</f>
        <v/>
      </c>
      <c r="B925" s="28" t="n"/>
      <c r="C925" s="28" t="n"/>
      <c r="D925" s="111" t="n"/>
      <c r="E925" s="111" t="n"/>
      <c r="F925" s="111" t="n"/>
      <c r="G925" s="28" t="n"/>
      <c r="H925" s="45" t="n"/>
      <c r="I925" s="45" t="n"/>
      <c r="J925" s="28">
        <f>IF(H925="","",IF(I925&gt;=H925,"Recebido",IF($B$4&gt;E925,"Vencido","Aberto")))</f>
        <v/>
      </c>
      <c r="K925" s="4">
        <f>IF(J925="","",IF(OR(J925="Recebido",F925=""),MAX(0,F925-E925),MAX(0,$B$4-E925)))</f>
        <v/>
      </c>
      <c r="L925" s="4">
        <f>IF(K925="","",IF(K925=0,"Em dia",IF(K925&lt;=30,"1-30 dias",IF(K925&lt;=60,"31-60 dias",IF(K925&lt;=90,"61-90 dias","&gt;90 dias")))))</f>
        <v/>
      </c>
      <c r="M925" s="28" t="n"/>
      <c r="N925" s="104" t="inlineStr"/>
      <c r="O925" s="64" t="n"/>
      <c r="P925" s="64">
        <f>IF(C925="","",IF(ISNUMBER(SEARCH("PCMSO",C925)),"PCMSO",IF(OR(ISNUMBER(SEARCH("E-SOCIAL",C925)),ISNUMBER(SEARCH("PSICOSOCIAL",C925))),"eSocial / Psicossocial",IF(O925="Receita recorrente","Carteira recorrente","Projetos / Laudos / Avulsos"))))</f>
        <v/>
      </c>
      <c r="Q925" s="64">
        <f>IF(P925="","",IF(P925="Carteira recorrente","Operação recorrente",IF(P925="PCMSO","Projetos PCMSO",IF(P925="eSocial / Psicossocial","Projetos eSocial/Psicossocial","Projetos / Laudos / Avulsos"))))</f>
        <v/>
      </c>
      <c r="R925" s="64">
        <f>IF(C925="","",IF(ISNUMBER(SEARCH("PCMSO",C925)),"Título com PCMSO no nome",IF(OR(ISNUMBER(SEARCH("E-SOCIAL",C925)),ISNUMBER(SEARCH("PSICOSOCIAL",C925))),"Título com eSocial/Psicossocial no nome",IF(O925="Receita recorrente","Tipo DRE recorrente","Extra sem palavra-chave específica"))))</f>
        <v/>
      </c>
      <c r="S925" s="92">
        <f>IFERROR(VLOOKUP($A925,'13. Mapa Títulos-Receita'!$A$8:$P$1000,4,FALSE),"")</f>
        <v/>
      </c>
      <c r="T925" s="92">
        <f>IFERROR(VLOOKUP($A925,'13. Mapa Títulos-Receita'!$A$8:$P$1000,5,FALSE),"")</f>
        <v/>
      </c>
      <c r="U925" s="92">
        <f>IFERROR(VLOOKUP($A925,'13. Mapa Títulos-Receita'!$A$8:$P$1000,6,FALSE),"")</f>
        <v/>
      </c>
      <c r="V925" s="92">
        <f>IFERROR(VLOOKUP($A925,'13. Mapa Títulos-Receita'!$A$8:$P$1000,7,FALSE),"")</f>
        <v/>
      </c>
      <c r="W925" s="92">
        <f>IFERROR(VLOOKUP($A925,'13. Mapa Títulos-Receita'!$A$8:$P$1000,8,FALSE),"")</f>
        <v/>
      </c>
      <c r="X925" s="92">
        <f>IFERROR(VLOOKUP($A925,'13. Mapa Títulos-Receita'!$A$8:$P$1000,9,FALSE),"")</f>
        <v/>
      </c>
      <c r="Y925" s="92">
        <f>IFERROR(VLOOKUP($A925,'13. Mapa Títulos-Receita'!$A$8:$P$1000,10,FALSE),"")</f>
        <v/>
      </c>
      <c r="Z925" s="92">
        <f>IFERROR(VLOOKUP($A925,'13. Mapa Títulos-Receita'!$A$8:$P$1000,11,FALSE),"")</f>
        <v/>
      </c>
      <c r="AA925" s="92">
        <f>IFERROR(VLOOKUP($A925,'13. Mapa Títulos-Receita'!$A$8:$P$1000,12,FALSE),"")</f>
        <v/>
      </c>
      <c r="AB925" s="92">
        <f>IFERROR(VLOOKUP($A925,'13. Mapa Títulos-Receita'!$A$8:$P$1000,13,FALSE),"")</f>
        <v/>
      </c>
      <c r="AC925" s="92">
        <f>IFERROR(VLOOKUP($A925,'13. Mapa Títulos-Receita'!$A$8:$P$1000,14,FALSE),"")</f>
        <v/>
      </c>
      <c r="AD925" s="92">
        <f>IFERROR(VLOOKUP($A925,'13. Mapa Títulos-Receita'!$A$8:$P$1000,15,FALSE),"")</f>
        <v/>
      </c>
      <c r="AE925" s="92">
        <f>IFERROR(VLOOKUP($A925,'13. Mapa Títulos-Receita'!$A$8:$P$1000,16,FALSE),"")</f>
        <v/>
      </c>
    </row>
    <row r="926">
      <c r="A926" s="28">
        <f>IF(C926="","", "CR-"&amp;TEXT(ROW()-7,"000"))</f>
        <v/>
      </c>
      <c r="B926" s="28" t="n"/>
      <c r="C926" s="28" t="n"/>
      <c r="D926" s="111" t="n"/>
      <c r="E926" s="111" t="n"/>
      <c r="F926" s="111" t="n"/>
      <c r="G926" s="28" t="n"/>
      <c r="H926" s="45" t="n"/>
      <c r="I926" s="45" t="n"/>
      <c r="J926" s="28">
        <f>IF(H926="","",IF(I926&gt;=H926,"Recebido",IF($B$4&gt;E926,"Vencido","Aberto")))</f>
        <v/>
      </c>
      <c r="K926" s="4">
        <f>IF(J926="","",IF(OR(J926="Recebido",F926=""),MAX(0,F926-E926),MAX(0,$B$4-E926)))</f>
        <v/>
      </c>
      <c r="L926" s="4">
        <f>IF(K926="","",IF(K926=0,"Em dia",IF(K926&lt;=30,"1-30 dias",IF(K926&lt;=60,"31-60 dias",IF(K926&lt;=90,"61-90 dias","&gt;90 dias")))))</f>
        <v/>
      </c>
      <c r="M926" s="28" t="n"/>
      <c r="N926" s="104" t="inlineStr"/>
      <c r="O926" s="64" t="n"/>
      <c r="P926" s="64">
        <f>IF(C926="","",IF(ISNUMBER(SEARCH("PCMSO",C926)),"PCMSO",IF(OR(ISNUMBER(SEARCH("E-SOCIAL",C926)),ISNUMBER(SEARCH("PSICOSOCIAL",C926))),"eSocial / Psicossocial",IF(O926="Receita recorrente","Carteira recorrente","Projetos / Laudos / Avulsos"))))</f>
        <v/>
      </c>
      <c r="Q926" s="64">
        <f>IF(P926="","",IF(P926="Carteira recorrente","Operação recorrente",IF(P926="PCMSO","Projetos PCMSO",IF(P926="eSocial / Psicossocial","Projetos eSocial/Psicossocial","Projetos / Laudos / Avulsos"))))</f>
        <v/>
      </c>
      <c r="R926" s="64">
        <f>IF(C926="","",IF(ISNUMBER(SEARCH("PCMSO",C926)),"Título com PCMSO no nome",IF(OR(ISNUMBER(SEARCH("E-SOCIAL",C926)),ISNUMBER(SEARCH("PSICOSOCIAL",C926))),"Título com eSocial/Psicossocial no nome",IF(O926="Receita recorrente","Tipo DRE recorrente","Extra sem palavra-chave específica"))))</f>
        <v/>
      </c>
      <c r="S926" s="92">
        <f>IFERROR(VLOOKUP($A926,'13. Mapa Títulos-Receita'!$A$8:$P$1000,4,FALSE),"")</f>
        <v/>
      </c>
      <c r="T926" s="92">
        <f>IFERROR(VLOOKUP($A926,'13. Mapa Títulos-Receita'!$A$8:$P$1000,5,FALSE),"")</f>
        <v/>
      </c>
      <c r="U926" s="92">
        <f>IFERROR(VLOOKUP($A926,'13. Mapa Títulos-Receita'!$A$8:$P$1000,6,FALSE),"")</f>
        <v/>
      </c>
      <c r="V926" s="92">
        <f>IFERROR(VLOOKUP($A926,'13. Mapa Títulos-Receita'!$A$8:$P$1000,7,FALSE),"")</f>
        <v/>
      </c>
      <c r="W926" s="92">
        <f>IFERROR(VLOOKUP($A926,'13. Mapa Títulos-Receita'!$A$8:$P$1000,8,FALSE),"")</f>
        <v/>
      </c>
      <c r="X926" s="92">
        <f>IFERROR(VLOOKUP($A926,'13. Mapa Títulos-Receita'!$A$8:$P$1000,9,FALSE),"")</f>
        <v/>
      </c>
      <c r="Y926" s="92">
        <f>IFERROR(VLOOKUP($A926,'13. Mapa Títulos-Receita'!$A$8:$P$1000,10,FALSE),"")</f>
        <v/>
      </c>
      <c r="Z926" s="92">
        <f>IFERROR(VLOOKUP($A926,'13. Mapa Títulos-Receita'!$A$8:$P$1000,11,FALSE),"")</f>
        <v/>
      </c>
      <c r="AA926" s="92">
        <f>IFERROR(VLOOKUP($A926,'13. Mapa Títulos-Receita'!$A$8:$P$1000,12,FALSE),"")</f>
        <v/>
      </c>
      <c r="AB926" s="92">
        <f>IFERROR(VLOOKUP($A926,'13. Mapa Títulos-Receita'!$A$8:$P$1000,13,FALSE),"")</f>
        <v/>
      </c>
      <c r="AC926" s="92">
        <f>IFERROR(VLOOKUP($A926,'13. Mapa Títulos-Receita'!$A$8:$P$1000,14,FALSE),"")</f>
        <v/>
      </c>
      <c r="AD926" s="92">
        <f>IFERROR(VLOOKUP($A926,'13. Mapa Títulos-Receita'!$A$8:$P$1000,15,FALSE),"")</f>
        <v/>
      </c>
      <c r="AE926" s="92">
        <f>IFERROR(VLOOKUP($A926,'13. Mapa Títulos-Receita'!$A$8:$P$1000,16,FALSE),"")</f>
        <v/>
      </c>
    </row>
    <row r="927">
      <c r="A927" s="28">
        <f>IF(C927="","", "CR-"&amp;TEXT(ROW()-7,"000"))</f>
        <v/>
      </c>
      <c r="B927" s="28" t="n"/>
      <c r="C927" s="28" t="n"/>
      <c r="D927" s="111" t="n"/>
      <c r="E927" s="111" t="n"/>
      <c r="F927" s="111" t="n"/>
      <c r="G927" s="28" t="n"/>
      <c r="H927" s="45" t="n"/>
      <c r="I927" s="45" t="n"/>
      <c r="J927" s="28">
        <f>IF(H927="","",IF(I927&gt;=H927,"Recebido",IF($B$4&gt;E927,"Vencido","Aberto")))</f>
        <v/>
      </c>
      <c r="K927" s="4">
        <f>IF(J927="","",IF(OR(J927="Recebido",F927=""),MAX(0,F927-E927),MAX(0,$B$4-E927)))</f>
        <v/>
      </c>
      <c r="L927" s="4">
        <f>IF(K927="","",IF(K927=0,"Em dia",IF(K927&lt;=30,"1-30 dias",IF(K927&lt;=60,"31-60 dias",IF(K927&lt;=90,"61-90 dias","&gt;90 dias")))))</f>
        <v/>
      </c>
      <c r="M927" s="28" t="n"/>
      <c r="N927" s="104" t="inlineStr"/>
      <c r="O927" s="64" t="n"/>
      <c r="P927" s="64">
        <f>IF(C927="","",IF(ISNUMBER(SEARCH("PCMSO",C927)),"PCMSO",IF(OR(ISNUMBER(SEARCH("E-SOCIAL",C927)),ISNUMBER(SEARCH("PSICOSOCIAL",C927))),"eSocial / Psicossocial",IF(O927="Receita recorrente","Carteira recorrente","Projetos / Laudos / Avulsos"))))</f>
        <v/>
      </c>
      <c r="Q927" s="64">
        <f>IF(P927="","",IF(P927="Carteira recorrente","Operação recorrente",IF(P927="PCMSO","Projetos PCMSO",IF(P927="eSocial / Psicossocial","Projetos eSocial/Psicossocial","Projetos / Laudos / Avulsos"))))</f>
        <v/>
      </c>
      <c r="R927" s="64">
        <f>IF(C927="","",IF(ISNUMBER(SEARCH("PCMSO",C927)),"Título com PCMSO no nome",IF(OR(ISNUMBER(SEARCH("E-SOCIAL",C927)),ISNUMBER(SEARCH("PSICOSOCIAL",C927))),"Título com eSocial/Psicossocial no nome",IF(O927="Receita recorrente","Tipo DRE recorrente","Extra sem palavra-chave específica"))))</f>
        <v/>
      </c>
      <c r="S927" s="92">
        <f>IFERROR(VLOOKUP($A927,'13. Mapa Títulos-Receita'!$A$8:$P$1000,4,FALSE),"")</f>
        <v/>
      </c>
      <c r="T927" s="92">
        <f>IFERROR(VLOOKUP($A927,'13. Mapa Títulos-Receita'!$A$8:$P$1000,5,FALSE),"")</f>
        <v/>
      </c>
      <c r="U927" s="92">
        <f>IFERROR(VLOOKUP($A927,'13. Mapa Títulos-Receita'!$A$8:$P$1000,6,FALSE),"")</f>
        <v/>
      </c>
      <c r="V927" s="92">
        <f>IFERROR(VLOOKUP($A927,'13. Mapa Títulos-Receita'!$A$8:$P$1000,7,FALSE),"")</f>
        <v/>
      </c>
      <c r="W927" s="92">
        <f>IFERROR(VLOOKUP($A927,'13. Mapa Títulos-Receita'!$A$8:$P$1000,8,FALSE),"")</f>
        <v/>
      </c>
      <c r="X927" s="92">
        <f>IFERROR(VLOOKUP($A927,'13. Mapa Títulos-Receita'!$A$8:$P$1000,9,FALSE),"")</f>
        <v/>
      </c>
      <c r="Y927" s="92">
        <f>IFERROR(VLOOKUP($A927,'13. Mapa Títulos-Receita'!$A$8:$P$1000,10,FALSE),"")</f>
        <v/>
      </c>
      <c r="Z927" s="92">
        <f>IFERROR(VLOOKUP($A927,'13. Mapa Títulos-Receita'!$A$8:$P$1000,11,FALSE),"")</f>
        <v/>
      </c>
      <c r="AA927" s="92">
        <f>IFERROR(VLOOKUP($A927,'13. Mapa Títulos-Receita'!$A$8:$P$1000,12,FALSE),"")</f>
        <v/>
      </c>
      <c r="AB927" s="92">
        <f>IFERROR(VLOOKUP($A927,'13. Mapa Títulos-Receita'!$A$8:$P$1000,13,FALSE),"")</f>
        <v/>
      </c>
      <c r="AC927" s="92">
        <f>IFERROR(VLOOKUP($A927,'13. Mapa Títulos-Receita'!$A$8:$P$1000,14,FALSE),"")</f>
        <v/>
      </c>
      <c r="AD927" s="92">
        <f>IFERROR(VLOOKUP($A927,'13. Mapa Títulos-Receita'!$A$8:$P$1000,15,FALSE),"")</f>
        <v/>
      </c>
      <c r="AE927" s="92">
        <f>IFERROR(VLOOKUP($A927,'13. Mapa Títulos-Receita'!$A$8:$P$1000,16,FALSE),"")</f>
        <v/>
      </c>
    </row>
    <row r="928">
      <c r="A928" s="28">
        <f>IF(C928="","", "CR-"&amp;TEXT(ROW()-7,"000"))</f>
        <v/>
      </c>
      <c r="B928" s="28" t="n"/>
      <c r="C928" s="28" t="n"/>
      <c r="D928" s="111" t="n"/>
      <c r="E928" s="111" t="n"/>
      <c r="F928" s="111" t="n"/>
      <c r="G928" s="28" t="n"/>
      <c r="H928" s="45" t="n"/>
      <c r="I928" s="45" t="n"/>
      <c r="J928" s="28">
        <f>IF(H928="","",IF(I928&gt;=H928,"Recebido",IF($B$4&gt;E928,"Vencido","Aberto")))</f>
        <v/>
      </c>
      <c r="K928" s="4">
        <f>IF(J928="","",IF(OR(J928="Recebido",F928=""),MAX(0,F928-E928),MAX(0,$B$4-E928)))</f>
        <v/>
      </c>
      <c r="L928" s="4">
        <f>IF(K928="","",IF(K928=0,"Em dia",IF(K928&lt;=30,"1-30 dias",IF(K928&lt;=60,"31-60 dias",IF(K928&lt;=90,"61-90 dias","&gt;90 dias")))))</f>
        <v/>
      </c>
      <c r="M928" s="28" t="n"/>
      <c r="N928" s="104" t="inlineStr"/>
      <c r="O928" s="64" t="n"/>
      <c r="P928" s="64">
        <f>IF(C928="","",IF(ISNUMBER(SEARCH("PCMSO",C928)),"PCMSO",IF(OR(ISNUMBER(SEARCH("E-SOCIAL",C928)),ISNUMBER(SEARCH("PSICOSOCIAL",C928))),"eSocial / Psicossocial",IF(O928="Receita recorrente","Carteira recorrente","Projetos / Laudos / Avulsos"))))</f>
        <v/>
      </c>
      <c r="Q928" s="64">
        <f>IF(P928="","",IF(P928="Carteira recorrente","Operação recorrente",IF(P928="PCMSO","Projetos PCMSO",IF(P928="eSocial / Psicossocial","Projetos eSocial/Psicossocial","Projetos / Laudos / Avulsos"))))</f>
        <v/>
      </c>
      <c r="R928" s="64">
        <f>IF(C928="","",IF(ISNUMBER(SEARCH("PCMSO",C928)),"Título com PCMSO no nome",IF(OR(ISNUMBER(SEARCH("E-SOCIAL",C928)),ISNUMBER(SEARCH("PSICOSOCIAL",C928))),"Título com eSocial/Psicossocial no nome",IF(O928="Receita recorrente","Tipo DRE recorrente","Extra sem palavra-chave específica"))))</f>
        <v/>
      </c>
      <c r="S928" s="92">
        <f>IFERROR(VLOOKUP($A928,'13. Mapa Títulos-Receita'!$A$8:$P$1000,4,FALSE),"")</f>
        <v/>
      </c>
      <c r="T928" s="92">
        <f>IFERROR(VLOOKUP($A928,'13. Mapa Títulos-Receita'!$A$8:$P$1000,5,FALSE),"")</f>
        <v/>
      </c>
      <c r="U928" s="92">
        <f>IFERROR(VLOOKUP($A928,'13. Mapa Títulos-Receita'!$A$8:$P$1000,6,FALSE),"")</f>
        <v/>
      </c>
      <c r="V928" s="92">
        <f>IFERROR(VLOOKUP($A928,'13. Mapa Títulos-Receita'!$A$8:$P$1000,7,FALSE),"")</f>
        <v/>
      </c>
      <c r="W928" s="92">
        <f>IFERROR(VLOOKUP($A928,'13. Mapa Títulos-Receita'!$A$8:$P$1000,8,FALSE),"")</f>
        <v/>
      </c>
      <c r="X928" s="92">
        <f>IFERROR(VLOOKUP($A928,'13. Mapa Títulos-Receita'!$A$8:$P$1000,9,FALSE),"")</f>
        <v/>
      </c>
      <c r="Y928" s="92">
        <f>IFERROR(VLOOKUP($A928,'13. Mapa Títulos-Receita'!$A$8:$P$1000,10,FALSE),"")</f>
        <v/>
      </c>
      <c r="Z928" s="92">
        <f>IFERROR(VLOOKUP($A928,'13. Mapa Títulos-Receita'!$A$8:$P$1000,11,FALSE),"")</f>
        <v/>
      </c>
      <c r="AA928" s="92">
        <f>IFERROR(VLOOKUP($A928,'13. Mapa Títulos-Receita'!$A$8:$P$1000,12,FALSE),"")</f>
        <v/>
      </c>
      <c r="AB928" s="92">
        <f>IFERROR(VLOOKUP($A928,'13. Mapa Títulos-Receita'!$A$8:$P$1000,13,FALSE),"")</f>
        <v/>
      </c>
      <c r="AC928" s="92">
        <f>IFERROR(VLOOKUP($A928,'13. Mapa Títulos-Receita'!$A$8:$P$1000,14,FALSE),"")</f>
        <v/>
      </c>
      <c r="AD928" s="92">
        <f>IFERROR(VLOOKUP($A928,'13. Mapa Títulos-Receita'!$A$8:$P$1000,15,FALSE),"")</f>
        <v/>
      </c>
      <c r="AE928" s="92">
        <f>IFERROR(VLOOKUP($A928,'13. Mapa Títulos-Receita'!$A$8:$P$1000,16,FALSE),"")</f>
        <v/>
      </c>
    </row>
    <row r="929">
      <c r="A929" s="28">
        <f>IF(C929="","", "CR-"&amp;TEXT(ROW()-7,"000"))</f>
        <v/>
      </c>
      <c r="B929" s="28" t="n"/>
      <c r="C929" s="28" t="n"/>
      <c r="D929" s="111" t="n"/>
      <c r="E929" s="111" t="n"/>
      <c r="F929" s="111" t="n"/>
      <c r="G929" s="28" t="n"/>
      <c r="H929" s="45" t="n"/>
      <c r="I929" s="45" t="n"/>
      <c r="J929" s="28">
        <f>IF(H929="","",IF(I929&gt;=H929,"Recebido",IF($B$4&gt;E929,"Vencido","Aberto")))</f>
        <v/>
      </c>
      <c r="K929" s="4">
        <f>IF(J929="","",IF(OR(J929="Recebido",F929=""),MAX(0,F929-E929),MAX(0,$B$4-E929)))</f>
        <v/>
      </c>
      <c r="L929" s="4">
        <f>IF(K929="","",IF(K929=0,"Em dia",IF(K929&lt;=30,"1-30 dias",IF(K929&lt;=60,"31-60 dias",IF(K929&lt;=90,"61-90 dias","&gt;90 dias")))))</f>
        <v/>
      </c>
      <c r="M929" s="28" t="n"/>
      <c r="N929" s="104" t="inlineStr"/>
      <c r="O929" s="64" t="n"/>
      <c r="P929" s="64">
        <f>IF(C929="","",IF(ISNUMBER(SEARCH("PCMSO",C929)),"PCMSO",IF(OR(ISNUMBER(SEARCH("E-SOCIAL",C929)),ISNUMBER(SEARCH("PSICOSOCIAL",C929))),"eSocial / Psicossocial",IF(O929="Receita recorrente","Carteira recorrente","Projetos / Laudos / Avulsos"))))</f>
        <v/>
      </c>
      <c r="Q929" s="64">
        <f>IF(P929="","",IF(P929="Carteira recorrente","Operação recorrente",IF(P929="PCMSO","Projetos PCMSO",IF(P929="eSocial / Psicossocial","Projetos eSocial/Psicossocial","Projetos / Laudos / Avulsos"))))</f>
        <v/>
      </c>
      <c r="R929" s="64">
        <f>IF(C929="","",IF(ISNUMBER(SEARCH("PCMSO",C929)),"Título com PCMSO no nome",IF(OR(ISNUMBER(SEARCH("E-SOCIAL",C929)),ISNUMBER(SEARCH("PSICOSOCIAL",C929))),"Título com eSocial/Psicossocial no nome",IF(O929="Receita recorrente","Tipo DRE recorrente","Extra sem palavra-chave específica"))))</f>
        <v/>
      </c>
      <c r="S929" s="92">
        <f>IFERROR(VLOOKUP($A929,'13. Mapa Títulos-Receita'!$A$8:$P$1000,4,FALSE),"")</f>
        <v/>
      </c>
      <c r="T929" s="92">
        <f>IFERROR(VLOOKUP($A929,'13. Mapa Títulos-Receita'!$A$8:$P$1000,5,FALSE),"")</f>
        <v/>
      </c>
      <c r="U929" s="92">
        <f>IFERROR(VLOOKUP($A929,'13. Mapa Títulos-Receita'!$A$8:$P$1000,6,FALSE),"")</f>
        <v/>
      </c>
      <c r="V929" s="92">
        <f>IFERROR(VLOOKUP($A929,'13. Mapa Títulos-Receita'!$A$8:$P$1000,7,FALSE),"")</f>
        <v/>
      </c>
      <c r="W929" s="92">
        <f>IFERROR(VLOOKUP($A929,'13. Mapa Títulos-Receita'!$A$8:$P$1000,8,FALSE),"")</f>
        <v/>
      </c>
      <c r="X929" s="92">
        <f>IFERROR(VLOOKUP($A929,'13. Mapa Títulos-Receita'!$A$8:$P$1000,9,FALSE),"")</f>
        <v/>
      </c>
      <c r="Y929" s="92">
        <f>IFERROR(VLOOKUP($A929,'13. Mapa Títulos-Receita'!$A$8:$P$1000,10,FALSE),"")</f>
        <v/>
      </c>
      <c r="Z929" s="92">
        <f>IFERROR(VLOOKUP($A929,'13. Mapa Títulos-Receita'!$A$8:$P$1000,11,FALSE),"")</f>
        <v/>
      </c>
      <c r="AA929" s="92">
        <f>IFERROR(VLOOKUP($A929,'13. Mapa Títulos-Receita'!$A$8:$P$1000,12,FALSE),"")</f>
        <v/>
      </c>
      <c r="AB929" s="92">
        <f>IFERROR(VLOOKUP($A929,'13. Mapa Títulos-Receita'!$A$8:$P$1000,13,FALSE),"")</f>
        <v/>
      </c>
      <c r="AC929" s="92">
        <f>IFERROR(VLOOKUP($A929,'13. Mapa Títulos-Receita'!$A$8:$P$1000,14,FALSE),"")</f>
        <v/>
      </c>
      <c r="AD929" s="92">
        <f>IFERROR(VLOOKUP($A929,'13. Mapa Títulos-Receita'!$A$8:$P$1000,15,FALSE),"")</f>
        <v/>
      </c>
      <c r="AE929" s="92">
        <f>IFERROR(VLOOKUP($A929,'13. Mapa Títulos-Receita'!$A$8:$P$1000,16,FALSE),"")</f>
        <v/>
      </c>
    </row>
    <row r="930">
      <c r="A930" s="28">
        <f>IF(C930="","", "CR-"&amp;TEXT(ROW()-7,"000"))</f>
        <v/>
      </c>
      <c r="B930" s="28" t="n"/>
      <c r="C930" s="28" t="n"/>
      <c r="D930" s="111" t="n"/>
      <c r="E930" s="111" t="n"/>
      <c r="F930" s="111" t="n"/>
      <c r="G930" s="28" t="n"/>
      <c r="H930" s="45" t="n"/>
      <c r="I930" s="45" t="n"/>
      <c r="J930" s="28">
        <f>IF(H930="","",IF(I930&gt;=H930,"Recebido",IF($B$4&gt;E930,"Vencido","Aberto")))</f>
        <v/>
      </c>
      <c r="K930" s="4">
        <f>IF(J930="","",IF(OR(J930="Recebido",F930=""),MAX(0,F930-E930),MAX(0,$B$4-E930)))</f>
        <v/>
      </c>
      <c r="L930" s="4">
        <f>IF(K930="","",IF(K930=0,"Em dia",IF(K930&lt;=30,"1-30 dias",IF(K930&lt;=60,"31-60 dias",IF(K930&lt;=90,"61-90 dias","&gt;90 dias")))))</f>
        <v/>
      </c>
      <c r="M930" s="28" t="n"/>
      <c r="N930" s="104" t="inlineStr"/>
      <c r="O930" s="64" t="n"/>
      <c r="P930" s="64">
        <f>IF(C930="","",IF(ISNUMBER(SEARCH("PCMSO",C930)),"PCMSO",IF(OR(ISNUMBER(SEARCH("E-SOCIAL",C930)),ISNUMBER(SEARCH("PSICOSOCIAL",C930))),"eSocial / Psicossocial",IF(O930="Receita recorrente","Carteira recorrente","Projetos / Laudos / Avulsos"))))</f>
        <v/>
      </c>
      <c r="Q930" s="64">
        <f>IF(P930="","",IF(P930="Carteira recorrente","Operação recorrente",IF(P930="PCMSO","Projetos PCMSO",IF(P930="eSocial / Psicossocial","Projetos eSocial/Psicossocial","Projetos / Laudos / Avulsos"))))</f>
        <v/>
      </c>
      <c r="R930" s="64">
        <f>IF(C930="","",IF(ISNUMBER(SEARCH("PCMSO",C930)),"Título com PCMSO no nome",IF(OR(ISNUMBER(SEARCH("E-SOCIAL",C930)),ISNUMBER(SEARCH("PSICOSOCIAL",C930))),"Título com eSocial/Psicossocial no nome",IF(O930="Receita recorrente","Tipo DRE recorrente","Extra sem palavra-chave específica"))))</f>
        <v/>
      </c>
      <c r="S930" s="92">
        <f>IFERROR(VLOOKUP($A930,'13. Mapa Títulos-Receita'!$A$8:$P$1000,4,FALSE),"")</f>
        <v/>
      </c>
      <c r="T930" s="92">
        <f>IFERROR(VLOOKUP($A930,'13. Mapa Títulos-Receita'!$A$8:$P$1000,5,FALSE),"")</f>
        <v/>
      </c>
      <c r="U930" s="92">
        <f>IFERROR(VLOOKUP($A930,'13. Mapa Títulos-Receita'!$A$8:$P$1000,6,FALSE),"")</f>
        <v/>
      </c>
      <c r="V930" s="92">
        <f>IFERROR(VLOOKUP($A930,'13. Mapa Títulos-Receita'!$A$8:$P$1000,7,FALSE),"")</f>
        <v/>
      </c>
      <c r="W930" s="92">
        <f>IFERROR(VLOOKUP($A930,'13. Mapa Títulos-Receita'!$A$8:$P$1000,8,FALSE),"")</f>
        <v/>
      </c>
      <c r="X930" s="92">
        <f>IFERROR(VLOOKUP($A930,'13. Mapa Títulos-Receita'!$A$8:$P$1000,9,FALSE),"")</f>
        <v/>
      </c>
      <c r="Y930" s="92">
        <f>IFERROR(VLOOKUP($A930,'13. Mapa Títulos-Receita'!$A$8:$P$1000,10,FALSE),"")</f>
        <v/>
      </c>
      <c r="Z930" s="92">
        <f>IFERROR(VLOOKUP($A930,'13. Mapa Títulos-Receita'!$A$8:$P$1000,11,FALSE),"")</f>
        <v/>
      </c>
      <c r="AA930" s="92">
        <f>IFERROR(VLOOKUP($A930,'13. Mapa Títulos-Receita'!$A$8:$P$1000,12,FALSE),"")</f>
        <v/>
      </c>
      <c r="AB930" s="92">
        <f>IFERROR(VLOOKUP($A930,'13. Mapa Títulos-Receita'!$A$8:$P$1000,13,FALSE),"")</f>
        <v/>
      </c>
      <c r="AC930" s="92">
        <f>IFERROR(VLOOKUP($A930,'13. Mapa Títulos-Receita'!$A$8:$P$1000,14,FALSE),"")</f>
        <v/>
      </c>
      <c r="AD930" s="92">
        <f>IFERROR(VLOOKUP($A930,'13. Mapa Títulos-Receita'!$A$8:$P$1000,15,FALSE),"")</f>
        <v/>
      </c>
      <c r="AE930" s="92">
        <f>IFERROR(VLOOKUP($A930,'13. Mapa Títulos-Receita'!$A$8:$P$1000,16,FALSE),"")</f>
        <v/>
      </c>
    </row>
    <row r="931">
      <c r="A931" s="28">
        <f>IF(C931="","", "CR-"&amp;TEXT(ROW()-7,"000"))</f>
        <v/>
      </c>
      <c r="B931" s="28" t="n"/>
      <c r="C931" s="28" t="n"/>
      <c r="D931" s="111" t="n"/>
      <c r="E931" s="111" t="n"/>
      <c r="F931" s="111" t="n"/>
      <c r="G931" s="28" t="n"/>
      <c r="H931" s="45" t="n"/>
      <c r="I931" s="45" t="n"/>
      <c r="J931" s="28">
        <f>IF(H931="","",IF(I931&gt;=H931,"Recebido",IF($B$4&gt;E931,"Vencido","Aberto")))</f>
        <v/>
      </c>
      <c r="K931" s="4">
        <f>IF(J931="","",IF(OR(J931="Recebido",F931=""),MAX(0,F931-E931),MAX(0,$B$4-E931)))</f>
        <v/>
      </c>
      <c r="L931" s="4">
        <f>IF(K931="","",IF(K931=0,"Em dia",IF(K931&lt;=30,"1-30 dias",IF(K931&lt;=60,"31-60 dias",IF(K931&lt;=90,"61-90 dias","&gt;90 dias")))))</f>
        <v/>
      </c>
      <c r="M931" s="28" t="n"/>
      <c r="N931" s="104" t="inlineStr"/>
      <c r="O931" s="64" t="n"/>
      <c r="P931" s="64">
        <f>IF(C931="","",IF(ISNUMBER(SEARCH("PCMSO",C931)),"PCMSO",IF(OR(ISNUMBER(SEARCH("E-SOCIAL",C931)),ISNUMBER(SEARCH("PSICOSOCIAL",C931))),"eSocial / Psicossocial",IF(O931="Receita recorrente","Carteira recorrente","Projetos / Laudos / Avulsos"))))</f>
        <v/>
      </c>
      <c r="Q931" s="64">
        <f>IF(P931="","",IF(P931="Carteira recorrente","Operação recorrente",IF(P931="PCMSO","Projetos PCMSO",IF(P931="eSocial / Psicossocial","Projetos eSocial/Psicossocial","Projetos / Laudos / Avulsos"))))</f>
        <v/>
      </c>
      <c r="R931" s="64">
        <f>IF(C931="","",IF(ISNUMBER(SEARCH("PCMSO",C931)),"Título com PCMSO no nome",IF(OR(ISNUMBER(SEARCH("E-SOCIAL",C931)),ISNUMBER(SEARCH("PSICOSOCIAL",C931))),"Título com eSocial/Psicossocial no nome",IF(O931="Receita recorrente","Tipo DRE recorrente","Extra sem palavra-chave específica"))))</f>
        <v/>
      </c>
      <c r="S931" s="92">
        <f>IFERROR(VLOOKUP($A931,'13. Mapa Títulos-Receita'!$A$8:$P$1000,4,FALSE),"")</f>
        <v/>
      </c>
      <c r="T931" s="92">
        <f>IFERROR(VLOOKUP($A931,'13. Mapa Títulos-Receita'!$A$8:$P$1000,5,FALSE),"")</f>
        <v/>
      </c>
      <c r="U931" s="92">
        <f>IFERROR(VLOOKUP($A931,'13. Mapa Títulos-Receita'!$A$8:$P$1000,6,FALSE),"")</f>
        <v/>
      </c>
      <c r="V931" s="92">
        <f>IFERROR(VLOOKUP($A931,'13. Mapa Títulos-Receita'!$A$8:$P$1000,7,FALSE),"")</f>
        <v/>
      </c>
      <c r="W931" s="92">
        <f>IFERROR(VLOOKUP($A931,'13. Mapa Títulos-Receita'!$A$8:$P$1000,8,FALSE),"")</f>
        <v/>
      </c>
      <c r="X931" s="92">
        <f>IFERROR(VLOOKUP($A931,'13. Mapa Títulos-Receita'!$A$8:$P$1000,9,FALSE),"")</f>
        <v/>
      </c>
      <c r="Y931" s="92">
        <f>IFERROR(VLOOKUP($A931,'13. Mapa Títulos-Receita'!$A$8:$P$1000,10,FALSE),"")</f>
        <v/>
      </c>
      <c r="Z931" s="92">
        <f>IFERROR(VLOOKUP($A931,'13. Mapa Títulos-Receita'!$A$8:$P$1000,11,FALSE),"")</f>
        <v/>
      </c>
      <c r="AA931" s="92">
        <f>IFERROR(VLOOKUP($A931,'13. Mapa Títulos-Receita'!$A$8:$P$1000,12,FALSE),"")</f>
        <v/>
      </c>
      <c r="AB931" s="92">
        <f>IFERROR(VLOOKUP($A931,'13. Mapa Títulos-Receita'!$A$8:$P$1000,13,FALSE),"")</f>
        <v/>
      </c>
      <c r="AC931" s="92">
        <f>IFERROR(VLOOKUP($A931,'13. Mapa Títulos-Receita'!$A$8:$P$1000,14,FALSE),"")</f>
        <v/>
      </c>
      <c r="AD931" s="92">
        <f>IFERROR(VLOOKUP($A931,'13. Mapa Títulos-Receita'!$A$8:$P$1000,15,FALSE),"")</f>
        <v/>
      </c>
      <c r="AE931" s="92">
        <f>IFERROR(VLOOKUP($A931,'13. Mapa Títulos-Receita'!$A$8:$P$1000,16,FALSE),"")</f>
        <v/>
      </c>
    </row>
    <row r="932">
      <c r="A932" s="28">
        <f>IF(C932="","", "CR-"&amp;TEXT(ROW()-7,"000"))</f>
        <v/>
      </c>
      <c r="B932" s="28" t="n"/>
      <c r="C932" s="28" t="n"/>
      <c r="D932" s="111" t="n"/>
      <c r="E932" s="111" t="n"/>
      <c r="F932" s="111" t="n"/>
      <c r="G932" s="28" t="n"/>
      <c r="H932" s="45" t="n"/>
      <c r="I932" s="45" t="n"/>
      <c r="J932" s="28">
        <f>IF(H932="","",IF(I932&gt;=H932,"Recebido",IF($B$4&gt;E932,"Vencido","Aberto")))</f>
        <v/>
      </c>
      <c r="K932" s="4">
        <f>IF(J932="","",IF(OR(J932="Recebido",F932=""),MAX(0,F932-E932),MAX(0,$B$4-E932)))</f>
        <v/>
      </c>
      <c r="L932" s="4">
        <f>IF(K932="","",IF(K932=0,"Em dia",IF(K932&lt;=30,"1-30 dias",IF(K932&lt;=60,"31-60 dias",IF(K932&lt;=90,"61-90 dias","&gt;90 dias")))))</f>
        <v/>
      </c>
      <c r="M932" s="28" t="n"/>
      <c r="N932" s="104" t="inlineStr"/>
      <c r="O932" s="64" t="n"/>
      <c r="P932" s="64">
        <f>IF(C932="","",IF(ISNUMBER(SEARCH("PCMSO",C932)),"PCMSO",IF(OR(ISNUMBER(SEARCH("E-SOCIAL",C932)),ISNUMBER(SEARCH("PSICOSOCIAL",C932))),"eSocial / Psicossocial",IF(O932="Receita recorrente","Carteira recorrente","Projetos / Laudos / Avulsos"))))</f>
        <v/>
      </c>
      <c r="Q932" s="64">
        <f>IF(P932="","",IF(P932="Carteira recorrente","Operação recorrente",IF(P932="PCMSO","Projetos PCMSO",IF(P932="eSocial / Psicossocial","Projetos eSocial/Psicossocial","Projetos / Laudos / Avulsos"))))</f>
        <v/>
      </c>
      <c r="R932" s="64">
        <f>IF(C932="","",IF(ISNUMBER(SEARCH("PCMSO",C932)),"Título com PCMSO no nome",IF(OR(ISNUMBER(SEARCH("E-SOCIAL",C932)),ISNUMBER(SEARCH("PSICOSOCIAL",C932))),"Título com eSocial/Psicossocial no nome",IF(O932="Receita recorrente","Tipo DRE recorrente","Extra sem palavra-chave específica"))))</f>
        <v/>
      </c>
      <c r="S932" s="92">
        <f>IFERROR(VLOOKUP($A932,'13. Mapa Títulos-Receita'!$A$8:$P$1000,4,FALSE),"")</f>
        <v/>
      </c>
      <c r="T932" s="92">
        <f>IFERROR(VLOOKUP($A932,'13. Mapa Títulos-Receita'!$A$8:$P$1000,5,FALSE),"")</f>
        <v/>
      </c>
      <c r="U932" s="92">
        <f>IFERROR(VLOOKUP($A932,'13. Mapa Títulos-Receita'!$A$8:$P$1000,6,FALSE),"")</f>
        <v/>
      </c>
      <c r="V932" s="92">
        <f>IFERROR(VLOOKUP($A932,'13. Mapa Títulos-Receita'!$A$8:$P$1000,7,FALSE),"")</f>
        <v/>
      </c>
      <c r="W932" s="92">
        <f>IFERROR(VLOOKUP($A932,'13. Mapa Títulos-Receita'!$A$8:$P$1000,8,FALSE),"")</f>
        <v/>
      </c>
      <c r="X932" s="92">
        <f>IFERROR(VLOOKUP($A932,'13. Mapa Títulos-Receita'!$A$8:$P$1000,9,FALSE),"")</f>
        <v/>
      </c>
      <c r="Y932" s="92">
        <f>IFERROR(VLOOKUP($A932,'13. Mapa Títulos-Receita'!$A$8:$P$1000,10,FALSE),"")</f>
        <v/>
      </c>
      <c r="Z932" s="92">
        <f>IFERROR(VLOOKUP($A932,'13. Mapa Títulos-Receita'!$A$8:$P$1000,11,FALSE),"")</f>
        <v/>
      </c>
      <c r="AA932" s="92">
        <f>IFERROR(VLOOKUP($A932,'13. Mapa Títulos-Receita'!$A$8:$P$1000,12,FALSE),"")</f>
        <v/>
      </c>
      <c r="AB932" s="92">
        <f>IFERROR(VLOOKUP($A932,'13. Mapa Títulos-Receita'!$A$8:$P$1000,13,FALSE),"")</f>
        <v/>
      </c>
      <c r="AC932" s="92">
        <f>IFERROR(VLOOKUP($A932,'13. Mapa Títulos-Receita'!$A$8:$P$1000,14,FALSE),"")</f>
        <v/>
      </c>
      <c r="AD932" s="92">
        <f>IFERROR(VLOOKUP($A932,'13. Mapa Títulos-Receita'!$A$8:$P$1000,15,FALSE),"")</f>
        <v/>
      </c>
      <c r="AE932" s="92">
        <f>IFERROR(VLOOKUP($A932,'13. Mapa Títulos-Receita'!$A$8:$P$1000,16,FALSE),"")</f>
        <v/>
      </c>
    </row>
    <row r="933">
      <c r="A933" s="28">
        <f>IF(C933="","", "CR-"&amp;TEXT(ROW()-7,"000"))</f>
        <v/>
      </c>
      <c r="B933" s="28" t="n"/>
      <c r="C933" s="28" t="n"/>
      <c r="D933" s="111" t="n"/>
      <c r="E933" s="111" t="n"/>
      <c r="F933" s="111" t="n"/>
      <c r="G933" s="28" t="n"/>
      <c r="H933" s="45" t="n"/>
      <c r="I933" s="45" t="n"/>
      <c r="J933" s="28">
        <f>IF(H933="","",IF(I933&gt;=H933,"Recebido",IF($B$4&gt;E933,"Vencido","Aberto")))</f>
        <v/>
      </c>
      <c r="K933" s="4">
        <f>IF(J933="","",IF(OR(J933="Recebido",F933=""),MAX(0,F933-E933),MAX(0,$B$4-E933)))</f>
        <v/>
      </c>
      <c r="L933" s="4">
        <f>IF(K933="","",IF(K933=0,"Em dia",IF(K933&lt;=30,"1-30 dias",IF(K933&lt;=60,"31-60 dias",IF(K933&lt;=90,"61-90 dias","&gt;90 dias")))))</f>
        <v/>
      </c>
      <c r="M933" s="28" t="n"/>
      <c r="N933" s="104" t="inlineStr"/>
      <c r="O933" s="64" t="n"/>
      <c r="P933" s="64">
        <f>IF(C933="","",IF(ISNUMBER(SEARCH("PCMSO",C933)),"PCMSO",IF(OR(ISNUMBER(SEARCH("E-SOCIAL",C933)),ISNUMBER(SEARCH("PSICOSOCIAL",C933))),"eSocial / Psicossocial",IF(O933="Receita recorrente","Carteira recorrente","Projetos / Laudos / Avulsos"))))</f>
        <v/>
      </c>
      <c r="Q933" s="64">
        <f>IF(P933="","",IF(P933="Carteira recorrente","Operação recorrente",IF(P933="PCMSO","Projetos PCMSO",IF(P933="eSocial / Psicossocial","Projetos eSocial/Psicossocial","Projetos / Laudos / Avulsos"))))</f>
        <v/>
      </c>
      <c r="R933" s="64">
        <f>IF(C933="","",IF(ISNUMBER(SEARCH("PCMSO",C933)),"Título com PCMSO no nome",IF(OR(ISNUMBER(SEARCH("E-SOCIAL",C933)),ISNUMBER(SEARCH("PSICOSOCIAL",C933))),"Título com eSocial/Psicossocial no nome",IF(O933="Receita recorrente","Tipo DRE recorrente","Extra sem palavra-chave específica"))))</f>
        <v/>
      </c>
      <c r="S933" s="92">
        <f>IFERROR(VLOOKUP($A933,'13. Mapa Títulos-Receita'!$A$8:$P$1000,4,FALSE),"")</f>
        <v/>
      </c>
      <c r="T933" s="92">
        <f>IFERROR(VLOOKUP($A933,'13. Mapa Títulos-Receita'!$A$8:$P$1000,5,FALSE),"")</f>
        <v/>
      </c>
      <c r="U933" s="92">
        <f>IFERROR(VLOOKUP($A933,'13. Mapa Títulos-Receita'!$A$8:$P$1000,6,FALSE),"")</f>
        <v/>
      </c>
      <c r="V933" s="92">
        <f>IFERROR(VLOOKUP($A933,'13. Mapa Títulos-Receita'!$A$8:$P$1000,7,FALSE),"")</f>
        <v/>
      </c>
      <c r="W933" s="92">
        <f>IFERROR(VLOOKUP($A933,'13. Mapa Títulos-Receita'!$A$8:$P$1000,8,FALSE),"")</f>
        <v/>
      </c>
      <c r="X933" s="92">
        <f>IFERROR(VLOOKUP($A933,'13. Mapa Títulos-Receita'!$A$8:$P$1000,9,FALSE),"")</f>
        <v/>
      </c>
      <c r="Y933" s="92">
        <f>IFERROR(VLOOKUP($A933,'13. Mapa Títulos-Receita'!$A$8:$P$1000,10,FALSE),"")</f>
        <v/>
      </c>
      <c r="Z933" s="92">
        <f>IFERROR(VLOOKUP($A933,'13. Mapa Títulos-Receita'!$A$8:$P$1000,11,FALSE),"")</f>
        <v/>
      </c>
      <c r="AA933" s="92">
        <f>IFERROR(VLOOKUP($A933,'13. Mapa Títulos-Receita'!$A$8:$P$1000,12,FALSE),"")</f>
        <v/>
      </c>
      <c r="AB933" s="92">
        <f>IFERROR(VLOOKUP($A933,'13. Mapa Títulos-Receita'!$A$8:$P$1000,13,FALSE),"")</f>
        <v/>
      </c>
      <c r="AC933" s="92">
        <f>IFERROR(VLOOKUP($A933,'13. Mapa Títulos-Receita'!$A$8:$P$1000,14,FALSE),"")</f>
        <v/>
      </c>
      <c r="AD933" s="92">
        <f>IFERROR(VLOOKUP($A933,'13. Mapa Títulos-Receita'!$A$8:$P$1000,15,FALSE),"")</f>
        <v/>
      </c>
      <c r="AE933" s="92">
        <f>IFERROR(VLOOKUP($A933,'13. Mapa Títulos-Receita'!$A$8:$P$1000,16,FALSE),"")</f>
        <v/>
      </c>
    </row>
    <row r="934">
      <c r="A934" s="28">
        <f>IF(C934="","", "CR-"&amp;TEXT(ROW()-7,"000"))</f>
        <v/>
      </c>
      <c r="B934" s="28" t="n"/>
      <c r="C934" s="28" t="n"/>
      <c r="D934" s="111" t="n"/>
      <c r="E934" s="111" t="n"/>
      <c r="F934" s="111" t="n"/>
      <c r="G934" s="28" t="n"/>
      <c r="H934" s="45" t="n"/>
      <c r="I934" s="45" t="n"/>
      <c r="J934" s="28">
        <f>IF(H934="","",IF(I934&gt;=H934,"Recebido",IF($B$4&gt;E934,"Vencido","Aberto")))</f>
        <v/>
      </c>
      <c r="K934" s="4">
        <f>IF(J934="","",IF(OR(J934="Recebido",F934=""),MAX(0,F934-E934),MAX(0,$B$4-E934)))</f>
        <v/>
      </c>
      <c r="L934" s="4">
        <f>IF(K934="","",IF(K934=0,"Em dia",IF(K934&lt;=30,"1-30 dias",IF(K934&lt;=60,"31-60 dias",IF(K934&lt;=90,"61-90 dias","&gt;90 dias")))))</f>
        <v/>
      </c>
      <c r="M934" s="28" t="n"/>
      <c r="N934" s="104" t="inlineStr"/>
      <c r="O934" s="64" t="n"/>
      <c r="P934" s="64">
        <f>IF(C934="","",IF(ISNUMBER(SEARCH("PCMSO",C934)),"PCMSO",IF(OR(ISNUMBER(SEARCH("E-SOCIAL",C934)),ISNUMBER(SEARCH("PSICOSOCIAL",C934))),"eSocial / Psicossocial",IF(O934="Receita recorrente","Carteira recorrente","Projetos / Laudos / Avulsos"))))</f>
        <v/>
      </c>
      <c r="Q934" s="64">
        <f>IF(P934="","",IF(P934="Carteira recorrente","Operação recorrente",IF(P934="PCMSO","Projetos PCMSO",IF(P934="eSocial / Psicossocial","Projetos eSocial/Psicossocial","Projetos / Laudos / Avulsos"))))</f>
        <v/>
      </c>
      <c r="R934" s="64">
        <f>IF(C934="","",IF(ISNUMBER(SEARCH("PCMSO",C934)),"Título com PCMSO no nome",IF(OR(ISNUMBER(SEARCH("E-SOCIAL",C934)),ISNUMBER(SEARCH("PSICOSOCIAL",C934))),"Título com eSocial/Psicossocial no nome",IF(O934="Receita recorrente","Tipo DRE recorrente","Extra sem palavra-chave específica"))))</f>
        <v/>
      </c>
      <c r="S934" s="92">
        <f>IFERROR(VLOOKUP($A934,'13. Mapa Títulos-Receita'!$A$8:$P$1000,4,FALSE),"")</f>
        <v/>
      </c>
      <c r="T934" s="92">
        <f>IFERROR(VLOOKUP($A934,'13. Mapa Títulos-Receita'!$A$8:$P$1000,5,FALSE),"")</f>
        <v/>
      </c>
      <c r="U934" s="92">
        <f>IFERROR(VLOOKUP($A934,'13. Mapa Títulos-Receita'!$A$8:$P$1000,6,FALSE),"")</f>
        <v/>
      </c>
      <c r="V934" s="92">
        <f>IFERROR(VLOOKUP($A934,'13. Mapa Títulos-Receita'!$A$8:$P$1000,7,FALSE),"")</f>
        <v/>
      </c>
      <c r="W934" s="92">
        <f>IFERROR(VLOOKUP($A934,'13. Mapa Títulos-Receita'!$A$8:$P$1000,8,FALSE),"")</f>
        <v/>
      </c>
      <c r="X934" s="92">
        <f>IFERROR(VLOOKUP($A934,'13. Mapa Títulos-Receita'!$A$8:$P$1000,9,FALSE),"")</f>
        <v/>
      </c>
      <c r="Y934" s="92">
        <f>IFERROR(VLOOKUP($A934,'13. Mapa Títulos-Receita'!$A$8:$P$1000,10,FALSE),"")</f>
        <v/>
      </c>
      <c r="Z934" s="92">
        <f>IFERROR(VLOOKUP($A934,'13. Mapa Títulos-Receita'!$A$8:$P$1000,11,FALSE),"")</f>
        <v/>
      </c>
      <c r="AA934" s="92">
        <f>IFERROR(VLOOKUP($A934,'13. Mapa Títulos-Receita'!$A$8:$P$1000,12,FALSE),"")</f>
        <v/>
      </c>
      <c r="AB934" s="92">
        <f>IFERROR(VLOOKUP($A934,'13. Mapa Títulos-Receita'!$A$8:$P$1000,13,FALSE),"")</f>
        <v/>
      </c>
      <c r="AC934" s="92">
        <f>IFERROR(VLOOKUP($A934,'13. Mapa Títulos-Receita'!$A$8:$P$1000,14,FALSE),"")</f>
        <v/>
      </c>
      <c r="AD934" s="92">
        <f>IFERROR(VLOOKUP($A934,'13. Mapa Títulos-Receita'!$A$8:$P$1000,15,FALSE),"")</f>
        <v/>
      </c>
      <c r="AE934" s="92">
        <f>IFERROR(VLOOKUP($A934,'13. Mapa Títulos-Receita'!$A$8:$P$1000,16,FALSE),"")</f>
        <v/>
      </c>
    </row>
    <row r="935">
      <c r="A935" s="28">
        <f>IF(C935="","", "CR-"&amp;TEXT(ROW()-7,"000"))</f>
        <v/>
      </c>
      <c r="B935" s="28" t="n"/>
      <c r="C935" s="28" t="n"/>
      <c r="D935" s="111" t="n"/>
      <c r="E935" s="111" t="n"/>
      <c r="F935" s="111" t="n"/>
      <c r="G935" s="28" t="n"/>
      <c r="H935" s="45" t="n"/>
      <c r="I935" s="45" t="n"/>
      <c r="J935" s="28">
        <f>IF(H935="","",IF(I935&gt;=H935,"Recebido",IF($B$4&gt;E935,"Vencido","Aberto")))</f>
        <v/>
      </c>
      <c r="K935" s="4">
        <f>IF(J935="","",IF(OR(J935="Recebido",F935=""),MAX(0,F935-E935),MAX(0,$B$4-E935)))</f>
        <v/>
      </c>
      <c r="L935" s="4">
        <f>IF(K935="","",IF(K935=0,"Em dia",IF(K935&lt;=30,"1-30 dias",IF(K935&lt;=60,"31-60 dias",IF(K935&lt;=90,"61-90 dias","&gt;90 dias")))))</f>
        <v/>
      </c>
      <c r="M935" s="28" t="n"/>
      <c r="N935" s="104" t="inlineStr"/>
      <c r="O935" s="64" t="n"/>
      <c r="P935" s="64">
        <f>IF(C935="","",IF(ISNUMBER(SEARCH("PCMSO",C935)),"PCMSO",IF(OR(ISNUMBER(SEARCH("E-SOCIAL",C935)),ISNUMBER(SEARCH("PSICOSOCIAL",C935))),"eSocial / Psicossocial",IF(O935="Receita recorrente","Carteira recorrente","Projetos / Laudos / Avulsos"))))</f>
        <v/>
      </c>
      <c r="Q935" s="64">
        <f>IF(P935="","",IF(P935="Carteira recorrente","Operação recorrente",IF(P935="PCMSO","Projetos PCMSO",IF(P935="eSocial / Psicossocial","Projetos eSocial/Psicossocial","Projetos / Laudos / Avulsos"))))</f>
        <v/>
      </c>
      <c r="R935" s="64">
        <f>IF(C935="","",IF(ISNUMBER(SEARCH("PCMSO",C935)),"Título com PCMSO no nome",IF(OR(ISNUMBER(SEARCH("E-SOCIAL",C935)),ISNUMBER(SEARCH("PSICOSOCIAL",C935))),"Título com eSocial/Psicossocial no nome",IF(O935="Receita recorrente","Tipo DRE recorrente","Extra sem palavra-chave específica"))))</f>
        <v/>
      </c>
      <c r="S935" s="92">
        <f>IFERROR(VLOOKUP($A935,'13. Mapa Títulos-Receita'!$A$8:$P$1000,4,FALSE),"")</f>
        <v/>
      </c>
      <c r="T935" s="92">
        <f>IFERROR(VLOOKUP($A935,'13. Mapa Títulos-Receita'!$A$8:$P$1000,5,FALSE),"")</f>
        <v/>
      </c>
      <c r="U935" s="92">
        <f>IFERROR(VLOOKUP($A935,'13. Mapa Títulos-Receita'!$A$8:$P$1000,6,FALSE),"")</f>
        <v/>
      </c>
      <c r="V935" s="92">
        <f>IFERROR(VLOOKUP($A935,'13. Mapa Títulos-Receita'!$A$8:$P$1000,7,FALSE),"")</f>
        <v/>
      </c>
      <c r="W935" s="92">
        <f>IFERROR(VLOOKUP($A935,'13. Mapa Títulos-Receita'!$A$8:$P$1000,8,FALSE),"")</f>
        <v/>
      </c>
      <c r="X935" s="92">
        <f>IFERROR(VLOOKUP($A935,'13. Mapa Títulos-Receita'!$A$8:$P$1000,9,FALSE),"")</f>
        <v/>
      </c>
      <c r="Y935" s="92">
        <f>IFERROR(VLOOKUP($A935,'13. Mapa Títulos-Receita'!$A$8:$P$1000,10,FALSE),"")</f>
        <v/>
      </c>
      <c r="Z935" s="92">
        <f>IFERROR(VLOOKUP($A935,'13. Mapa Títulos-Receita'!$A$8:$P$1000,11,FALSE),"")</f>
        <v/>
      </c>
      <c r="AA935" s="92">
        <f>IFERROR(VLOOKUP($A935,'13. Mapa Títulos-Receita'!$A$8:$P$1000,12,FALSE),"")</f>
        <v/>
      </c>
      <c r="AB935" s="92">
        <f>IFERROR(VLOOKUP($A935,'13. Mapa Títulos-Receita'!$A$8:$P$1000,13,FALSE),"")</f>
        <v/>
      </c>
      <c r="AC935" s="92">
        <f>IFERROR(VLOOKUP($A935,'13. Mapa Títulos-Receita'!$A$8:$P$1000,14,FALSE),"")</f>
        <v/>
      </c>
      <c r="AD935" s="92">
        <f>IFERROR(VLOOKUP($A935,'13. Mapa Títulos-Receita'!$A$8:$P$1000,15,FALSE),"")</f>
        <v/>
      </c>
      <c r="AE935" s="92">
        <f>IFERROR(VLOOKUP($A935,'13. Mapa Títulos-Receita'!$A$8:$P$1000,16,FALSE),"")</f>
        <v/>
      </c>
    </row>
    <row r="936">
      <c r="A936" s="28">
        <f>IF(C936="","", "CR-"&amp;TEXT(ROW()-7,"000"))</f>
        <v/>
      </c>
      <c r="B936" s="28" t="n"/>
      <c r="C936" s="28" t="n"/>
      <c r="D936" s="111" t="n"/>
      <c r="E936" s="111" t="n"/>
      <c r="F936" s="111" t="n"/>
      <c r="G936" s="28" t="n"/>
      <c r="H936" s="45" t="n"/>
      <c r="I936" s="45" t="n"/>
      <c r="J936" s="28">
        <f>IF(H936="","",IF(I936&gt;=H936,"Recebido",IF($B$4&gt;E936,"Vencido","Aberto")))</f>
        <v/>
      </c>
      <c r="K936" s="4">
        <f>IF(J936="","",IF(OR(J936="Recebido",F936=""),MAX(0,F936-E936),MAX(0,$B$4-E936)))</f>
        <v/>
      </c>
      <c r="L936" s="4">
        <f>IF(K936="","",IF(K936=0,"Em dia",IF(K936&lt;=30,"1-30 dias",IF(K936&lt;=60,"31-60 dias",IF(K936&lt;=90,"61-90 dias","&gt;90 dias")))))</f>
        <v/>
      </c>
      <c r="M936" s="28" t="n"/>
      <c r="N936" s="104" t="inlineStr"/>
      <c r="O936" s="64" t="n"/>
      <c r="P936" s="64">
        <f>IF(C936="","",IF(ISNUMBER(SEARCH("PCMSO",C936)),"PCMSO",IF(OR(ISNUMBER(SEARCH("E-SOCIAL",C936)),ISNUMBER(SEARCH("PSICOSOCIAL",C936))),"eSocial / Psicossocial",IF(O936="Receita recorrente","Carteira recorrente","Projetos / Laudos / Avulsos"))))</f>
        <v/>
      </c>
      <c r="Q936" s="64">
        <f>IF(P936="","",IF(P936="Carteira recorrente","Operação recorrente",IF(P936="PCMSO","Projetos PCMSO",IF(P936="eSocial / Psicossocial","Projetos eSocial/Psicossocial","Projetos / Laudos / Avulsos"))))</f>
        <v/>
      </c>
      <c r="R936" s="64">
        <f>IF(C936="","",IF(ISNUMBER(SEARCH("PCMSO",C936)),"Título com PCMSO no nome",IF(OR(ISNUMBER(SEARCH("E-SOCIAL",C936)),ISNUMBER(SEARCH("PSICOSOCIAL",C936))),"Título com eSocial/Psicossocial no nome",IF(O936="Receita recorrente","Tipo DRE recorrente","Extra sem palavra-chave específica"))))</f>
        <v/>
      </c>
      <c r="S936" s="92">
        <f>IFERROR(VLOOKUP($A936,'13. Mapa Títulos-Receita'!$A$8:$P$1000,4,FALSE),"")</f>
        <v/>
      </c>
      <c r="T936" s="92">
        <f>IFERROR(VLOOKUP($A936,'13. Mapa Títulos-Receita'!$A$8:$P$1000,5,FALSE),"")</f>
        <v/>
      </c>
      <c r="U936" s="92">
        <f>IFERROR(VLOOKUP($A936,'13. Mapa Títulos-Receita'!$A$8:$P$1000,6,FALSE),"")</f>
        <v/>
      </c>
      <c r="V936" s="92">
        <f>IFERROR(VLOOKUP($A936,'13. Mapa Títulos-Receita'!$A$8:$P$1000,7,FALSE),"")</f>
        <v/>
      </c>
      <c r="W936" s="92">
        <f>IFERROR(VLOOKUP($A936,'13. Mapa Títulos-Receita'!$A$8:$P$1000,8,FALSE),"")</f>
        <v/>
      </c>
      <c r="X936" s="92">
        <f>IFERROR(VLOOKUP($A936,'13. Mapa Títulos-Receita'!$A$8:$P$1000,9,FALSE),"")</f>
        <v/>
      </c>
      <c r="Y936" s="92">
        <f>IFERROR(VLOOKUP($A936,'13. Mapa Títulos-Receita'!$A$8:$P$1000,10,FALSE),"")</f>
        <v/>
      </c>
      <c r="Z936" s="92">
        <f>IFERROR(VLOOKUP($A936,'13. Mapa Títulos-Receita'!$A$8:$P$1000,11,FALSE),"")</f>
        <v/>
      </c>
      <c r="AA936" s="92">
        <f>IFERROR(VLOOKUP($A936,'13. Mapa Títulos-Receita'!$A$8:$P$1000,12,FALSE),"")</f>
        <v/>
      </c>
      <c r="AB936" s="92">
        <f>IFERROR(VLOOKUP($A936,'13. Mapa Títulos-Receita'!$A$8:$P$1000,13,FALSE),"")</f>
        <v/>
      </c>
      <c r="AC936" s="92">
        <f>IFERROR(VLOOKUP($A936,'13. Mapa Títulos-Receita'!$A$8:$P$1000,14,FALSE),"")</f>
        <v/>
      </c>
      <c r="AD936" s="92">
        <f>IFERROR(VLOOKUP($A936,'13. Mapa Títulos-Receita'!$A$8:$P$1000,15,FALSE),"")</f>
        <v/>
      </c>
      <c r="AE936" s="92">
        <f>IFERROR(VLOOKUP($A936,'13. Mapa Títulos-Receita'!$A$8:$P$1000,16,FALSE),"")</f>
        <v/>
      </c>
    </row>
    <row r="937">
      <c r="A937" s="28">
        <f>IF(C937="","", "CR-"&amp;TEXT(ROW()-7,"000"))</f>
        <v/>
      </c>
      <c r="B937" s="28" t="n"/>
      <c r="C937" s="28" t="n"/>
      <c r="D937" s="111" t="n"/>
      <c r="E937" s="111" t="n"/>
      <c r="F937" s="111" t="n"/>
      <c r="G937" s="28" t="n"/>
      <c r="H937" s="45" t="n"/>
      <c r="I937" s="45" t="n"/>
      <c r="J937" s="28">
        <f>IF(H937="","",IF(I937&gt;=H937,"Recebido",IF($B$4&gt;E937,"Vencido","Aberto")))</f>
        <v/>
      </c>
      <c r="K937" s="4">
        <f>IF(J937="","",IF(OR(J937="Recebido",F937=""),MAX(0,F937-E937),MAX(0,$B$4-E937)))</f>
        <v/>
      </c>
      <c r="L937" s="4">
        <f>IF(K937="","",IF(K937=0,"Em dia",IF(K937&lt;=30,"1-30 dias",IF(K937&lt;=60,"31-60 dias",IF(K937&lt;=90,"61-90 dias","&gt;90 dias")))))</f>
        <v/>
      </c>
      <c r="M937" s="28" t="n"/>
      <c r="N937" s="104" t="inlineStr"/>
      <c r="O937" s="64" t="n"/>
      <c r="P937" s="64">
        <f>IF(C937="","",IF(ISNUMBER(SEARCH("PCMSO",C937)),"PCMSO",IF(OR(ISNUMBER(SEARCH("E-SOCIAL",C937)),ISNUMBER(SEARCH("PSICOSOCIAL",C937))),"eSocial / Psicossocial",IF(O937="Receita recorrente","Carteira recorrente","Projetos / Laudos / Avulsos"))))</f>
        <v/>
      </c>
      <c r="Q937" s="64">
        <f>IF(P937="","",IF(P937="Carteira recorrente","Operação recorrente",IF(P937="PCMSO","Projetos PCMSO",IF(P937="eSocial / Psicossocial","Projetos eSocial/Psicossocial","Projetos / Laudos / Avulsos"))))</f>
        <v/>
      </c>
      <c r="R937" s="64">
        <f>IF(C937="","",IF(ISNUMBER(SEARCH("PCMSO",C937)),"Título com PCMSO no nome",IF(OR(ISNUMBER(SEARCH("E-SOCIAL",C937)),ISNUMBER(SEARCH("PSICOSOCIAL",C937))),"Título com eSocial/Psicossocial no nome",IF(O937="Receita recorrente","Tipo DRE recorrente","Extra sem palavra-chave específica"))))</f>
        <v/>
      </c>
      <c r="S937" s="92">
        <f>IFERROR(VLOOKUP($A937,'13. Mapa Títulos-Receita'!$A$8:$P$1000,4,FALSE),"")</f>
        <v/>
      </c>
      <c r="T937" s="92">
        <f>IFERROR(VLOOKUP($A937,'13. Mapa Títulos-Receita'!$A$8:$P$1000,5,FALSE),"")</f>
        <v/>
      </c>
      <c r="U937" s="92">
        <f>IFERROR(VLOOKUP($A937,'13. Mapa Títulos-Receita'!$A$8:$P$1000,6,FALSE),"")</f>
        <v/>
      </c>
      <c r="V937" s="92">
        <f>IFERROR(VLOOKUP($A937,'13. Mapa Títulos-Receita'!$A$8:$P$1000,7,FALSE),"")</f>
        <v/>
      </c>
      <c r="W937" s="92">
        <f>IFERROR(VLOOKUP($A937,'13. Mapa Títulos-Receita'!$A$8:$P$1000,8,FALSE),"")</f>
        <v/>
      </c>
      <c r="X937" s="92">
        <f>IFERROR(VLOOKUP($A937,'13. Mapa Títulos-Receita'!$A$8:$P$1000,9,FALSE),"")</f>
        <v/>
      </c>
      <c r="Y937" s="92">
        <f>IFERROR(VLOOKUP($A937,'13. Mapa Títulos-Receita'!$A$8:$P$1000,10,FALSE),"")</f>
        <v/>
      </c>
      <c r="Z937" s="92">
        <f>IFERROR(VLOOKUP($A937,'13. Mapa Títulos-Receita'!$A$8:$P$1000,11,FALSE),"")</f>
        <v/>
      </c>
      <c r="AA937" s="92">
        <f>IFERROR(VLOOKUP($A937,'13. Mapa Títulos-Receita'!$A$8:$P$1000,12,FALSE),"")</f>
        <v/>
      </c>
      <c r="AB937" s="92">
        <f>IFERROR(VLOOKUP($A937,'13. Mapa Títulos-Receita'!$A$8:$P$1000,13,FALSE),"")</f>
        <v/>
      </c>
      <c r="AC937" s="92">
        <f>IFERROR(VLOOKUP($A937,'13. Mapa Títulos-Receita'!$A$8:$P$1000,14,FALSE),"")</f>
        <v/>
      </c>
      <c r="AD937" s="92">
        <f>IFERROR(VLOOKUP($A937,'13. Mapa Títulos-Receita'!$A$8:$P$1000,15,FALSE),"")</f>
        <v/>
      </c>
      <c r="AE937" s="92">
        <f>IFERROR(VLOOKUP($A937,'13. Mapa Títulos-Receita'!$A$8:$P$1000,16,FALSE),"")</f>
        <v/>
      </c>
    </row>
    <row r="938">
      <c r="A938" s="28">
        <f>IF(C938="","", "CR-"&amp;TEXT(ROW()-7,"000"))</f>
        <v/>
      </c>
      <c r="B938" s="28" t="n"/>
      <c r="C938" s="28" t="n"/>
      <c r="D938" s="111" t="n"/>
      <c r="E938" s="111" t="n"/>
      <c r="F938" s="111" t="n"/>
      <c r="G938" s="28" t="n"/>
      <c r="H938" s="45" t="n"/>
      <c r="I938" s="45" t="n"/>
      <c r="J938" s="28">
        <f>IF(H938="","",IF(I938&gt;=H938,"Recebido",IF($B$4&gt;E938,"Vencido","Aberto")))</f>
        <v/>
      </c>
      <c r="K938" s="4">
        <f>IF(J938="","",IF(OR(J938="Recebido",F938=""),MAX(0,F938-E938),MAX(0,$B$4-E938)))</f>
        <v/>
      </c>
      <c r="L938" s="4">
        <f>IF(K938="","",IF(K938=0,"Em dia",IF(K938&lt;=30,"1-30 dias",IF(K938&lt;=60,"31-60 dias",IF(K938&lt;=90,"61-90 dias","&gt;90 dias")))))</f>
        <v/>
      </c>
      <c r="M938" s="28" t="n"/>
      <c r="N938" s="104" t="inlineStr"/>
      <c r="O938" s="64" t="n"/>
      <c r="P938" s="64">
        <f>IF(C938="","",IF(ISNUMBER(SEARCH("PCMSO",C938)),"PCMSO",IF(OR(ISNUMBER(SEARCH("E-SOCIAL",C938)),ISNUMBER(SEARCH("PSICOSOCIAL",C938))),"eSocial / Psicossocial",IF(O938="Receita recorrente","Carteira recorrente","Projetos / Laudos / Avulsos"))))</f>
        <v/>
      </c>
      <c r="Q938" s="64">
        <f>IF(P938="","",IF(P938="Carteira recorrente","Operação recorrente",IF(P938="PCMSO","Projetos PCMSO",IF(P938="eSocial / Psicossocial","Projetos eSocial/Psicossocial","Projetos / Laudos / Avulsos"))))</f>
        <v/>
      </c>
      <c r="R938" s="64">
        <f>IF(C938="","",IF(ISNUMBER(SEARCH("PCMSO",C938)),"Título com PCMSO no nome",IF(OR(ISNUMBER(SEARCH("E-SOCIAL",C938)),ISNUMBER(SEARCH("PSICOSOCIAL",C938))),"Título com eSocial/Psicossocial no nome",IF(O938="Receita recorrente","Tipo DRE recorrente","Extra sem palavra-chave específica"))))</f>
        <v/>
      </c>
      <c r="S938" s="92">
        <f>IFERROR(VLOOKUP($A938,'13. Mapa Títulos-Receita'!$A$8:$P$1000,4,FALSE),"")</f>
        <v/>
      </c>
      <c r="T938" s="92">
        <f>IFERROR(VLOOKUP($A938,'13. Mapa Títulos-Receita'!$A$8:$P$1000,5,FALSE),"")</f>
        <v/>
      </c>
      <c r="U938" s="92">
        <f>IFERROR(VLOOKUP($A938,'13. Mapa Títulos-Receita'!$A$8:$P$1000,6,FALSE),"")</f>
        <v/>
      </c>
      <c r="V938" s="92">
        <f>IFERROR(VLOOKUP($A938,'13. Mapa Títulos-Receita'!$A$8:$P$1000,7,FALSE),"")</f>
        <v/>
      </c>
      <c r="W938" s="92">
        <f>IFERROR(VLOOKUP($A938,'13. Mapa Títulos-Receita'!$A$8:$P$1000,8,FALSE),"")</f>
        <v/>
      </c>
      <c r="X938" s="92">
        <f>IFERROR(VLOOKUP($A938,'13. Mapa Títulos-Receita'!$A$8:$P$1000,9,FALSE),"")</f>
        <v/>
      </c>
      <c r="Y938" s="92">
        <f>IFERROR(VLOOKUP($A938,'13. Mapa Títulos-Receita'!$A$8:$P$1000,10,FALSE),"")</f>
        <v/>
      </c>
      <c r="Z938" s="92">
        <f>IFERROR(VLOOKUP($A938,'13. Mapa Títulos-Receita'!$A$8:$P$1000,11,FALSE),"")</f>
        <v/>
      </c>
      <c r="AA938" s="92">
        <f>IFERROR(VLOOKUP($A938,'13. Mapa Títulos-Receita'!$A$8:$P$1000,12,FALSE),"")</f>
        <v/>
      </c>
      <c r="AB938" s="92">
        <f>IFERROR(VLOOKUP($A938,'13. Mapa Títulos-Receita'!$A$8:$P$1000,13,FALSE),"")</f>
        <v/>
      </c>
      <c r="AC938" s="92">
        <f>IFERROR(VLOOKUP($A938,'13. Mapa Títulos-Receita'!$A$8:$P$1000,14,FALSE),"")</f>
        <v/>
      </c>
      <c r="AD938" s="92">
        <f>IFERROR(VLOOKUP($A938,'13. Mapa Títulos-Receita'!$A$8:$P$1000,15,FALSE),"")</f>
        <v/>
      </c>
      <c r="AE938" s="92">
        <f>IFERROR(VLOOKUP($A938,'13. Mapa Títulos-Receita'!$A$8:$P$1000,16,FALSE),"")</f>
        <v/>
      </c>
    </row>
    <row r="939">
      <c r="A939" s="28">
        <f>IF(C939="","", "CR-"&amp;TEXT(ROW()-7,"000"))</f>
        <v/>
      </c>
      <c r="B939" s="28" t="n"/>
      <c r="C939" s="28" t="n"/>
      <c r="D939" s="111" t="n"/>
      <c r="E939" s="111" t="n"/>
      <c r="F939" s="111" t="n"/>
      <c r="G939" s="28" t="n"/>
      <c r="H939" s="45" t="n"/>
      <c r="I939" s="45" t="n"/>
      <c r="J939" s="28">
        <f>IF(H939="","",IF(I939&gt;=H939,"Recebido",IF($B$4&gt;E939,"Vencido","Aberto")))</f>
        <v/>
      </c>
      <c r="K939" s="4">
        <f>IF(J939="","",IF(OR(J939="Recebido",F939=""),MAX(0,F939-E939),MAX(0,$B$4-E939)))</f>
        <v/>
      </c>
      <c r="L939" s="4">
        <f>IF(K939="","",IF(K939=0,"Em dia",IF(K939&lt;=30,"1-30 dias",IF(K939&lt;=60,"31-60 dias",IF(K939&lt;=90,"61-90 dias","&gt;90 dias")))))</f>
        <v/>
      </c>
      <c r="M939" s="28" t="n"/>
      <c r="N939" s="104" t="inlineStr"/>
      <c r="O939" s="64" t="n"/>
      <c r="P939" s="64">
        <f>IF(C939="","",IF(ISNUMBER(SEARCH("PCMSO",C939)),"PCMSO",IF(OR(ISNUMBER(SEARCH("E-SOCIAL",C939)),ISNUMBER(SEARCH("PSICOSOCIAL",C939))),"eSocial / Psicossocial",IF(O939="Receita recorrente","Carteira recorrente","Projetos / Laudos / Avulsos"))))</f>
        <v/>
      </c>
      <c r="Q939" s="64">
        <f>IF(P939="","",IF(P939="Carteira recorrente","Operação recorrente",IF(P939="PCMSO","Projetos PCMSO",IF(P939="eSocial / Psicossocial","Projetos eSocial/Psicossocial","Projetos / Laudos / Avulsos"))))</f>
        <v/>
      </c>
      <c r="R939" s="64">
        <f>IF(C939="","",IF(ISNUMBER(SEARCH("PCMSO",C939)),"Título com PCMSO no nome",IF(OR(ISNUMBER(SEARCH("E-SOCIAL",C939)),ISNUMBER(SEARCH("PSICOSOCIAL",C939))),"Título com eSocial/Psicossocial no nome",IF(O939="Receita recorrente","Tipo DRE recorrente","Extra sem palavra-chave específica"))))</f>
        <v/>
      </c>
      <c r="S939" s="92">
        <f>IFERROR(VLOOKUP($A939,'13. Mapa Títulos-Receita'!$A$8:$P$1000,4,FALSE),"")</f>
        <v/>
      </c>
      <c r="T939" s="92">
        <f>IFERROR(VLOOKUP($A939,'13. Mapa Títulos-Receita'!$A$8:$P$1000,5,FALSE),"")</f>
        <v/>
      </c>
      <c r="U939" s="92">
        <f>IFERROR(VLOOKUP($A939,'13. Mapa Títulos-Receita'!$A$8:$P$1000,6,FALSE),"")</f>
        <v/>
      </c>
      <c r="V939" s="92">
        <f>IFERROR(VLOOKUP($A939,'13. Mapa Títulos-Receita'!$A$8:$P$1000,7,FALSE),"")</f>
        <v/>
      </c>
      <c r="W939" s="92">
        <f>IFERROR(VLOOKUP($A939,'13. Mapa Títulos-Receita'!$A$8:$P$1000,8,FALSE),"")</f>
        <v/>
      </c>
      <c r="X939" s="92">
        <f>IFERROR(VLOOKUP($A939,'13. Mapa Títulos-Receita'!$A$8:$P$1000,9,FALSE),"")</f>
        <v/>
      </c>
      <c r="Y939" s="92">
        <f>IFERROR(VLOOKUP($A939,'13. Mapa Títulos-Receita'!$A$8:$P$1000,10,FALSE),"")</f>
        <v/>
      </c>
      <c r="Z939" s="92">
        <f>IFERROR(VLOOKUP($A939,'13. Mapa Títulos-Receita'!$A$8:$P$1000,11,FALSE),"")</f>
        <v/>
      </c>
      <c r="AA939" s="92">
        <f>IFERROR(VLOOKUP($A939,'13. Mapa Títulos-Receita'!$A$8:$P$1000,12,FALSE),"")</f>
        <v/>
      </c>
      <c r="AB939" s="92">
        <f>IFERROR(VLOOKUP($A939,'13. Mapa Títulos-Receita'!$A$8:$P$1000,13,FALSE),"")</f>
        <v/>
      </c>
      <c r="AC939" s="92">
        <f>IFERROR(VLOOKUP($A939,'13. Mapa Títulos-Receita'!$A$8:$P$1000,14,FALSE),"")</f>
        <v/>
      </c>
      <c r="AD939" s="92">
        <f>IFERROR(VLOOKUP($A939,'13. Mapa Títulos-Receita'!$A$8:$P$1000,15,FALSE),"")</f>
        <v/>
      </c>
      <c r="AE939" s="92">
        <f>IFERROR(VLOOKUP($A939,'13. Mapa Títulos-Receita'!$A$8:$P$1000,16,FALSE),"")</f>
        <v/>
      </c>
    </row>
    <row r="940">
      <c r="A940" s="28">
        <f>IF(C940="","", "CR-"&amp;TEXT(ROW()-7,"000"))</f>
        <v/>
      </c>
      <c r="B940" s="28" t="n"/>
      <c r="C940" s="28" t="n"/>
      <c r="D940" s="111" t="n"/>
      <c r="E940" s="111" t="n"/>
      <c r="F940" s="111" t="n"/>
      <c r="G940" s="28" t="n"/>
      <c r="H940" s="45" t="n"/>
      <c r="I940" s="45" t="n"/>
      <c r="J940" s="28">
        <f>IF(H940="","",IF(I940&gt;=H940,"Recebido",IF($B$4&gt;E940,"Vencido","Aberto")))</f>
        <v/>
      </c>
      <c r="K940" s="4">
        <f>IF(J940="","",IF(OR(J940="Recebido",F940=""),MAX(0,F940-E940),MAX(0,$B$4-E940)))</f>
        <v/>
      </c>
      <c r="L940" s="4">
        <f>IF(K940="","",IF(K940=0,"Em dia",IF(K940&lt;=30,"1-30 dias",IF(K940&lt;=60,"31-60 dias",IF(K940&lt;=90,"61-90 dias","&gt;90 dias")))))</f>
        <v/>
      </c>
      <c r="M940" s="28" t="n"/>
      <c r="N940" s="104" t="inlineStr"/>
      <c r="O940" s="64" t="n"/>
      <c r="P940" s="64">
        <f>IF(C940="","",IF(ISNUMBER(SEARCH("PCMSO",C940)),"PCMSO",IF(OR(ISNUMBER(SEARCH("E-SOCIAL",C940)),ISNUMBER(SEARCH("PSICOSOCIAL",C940))),"eSocial / Psicossocial",IF(O940="Receita recorrente","Carteira recorrente","Projetos / Laudos / Avulsos"))))</f>
        <v/>
      </c>
      <c r="Q940" s="64">
        <f>IF(P940="","",IF(P940="Carteira recorrente","Operação recorrente",IF(P940="PCMSO","Projetos PCMSO",IF(P940="eSocial / Psicossocial","Projetos eSocial/Psicossocial","Projetos / Laudos / Avulsos"))))</f>
        <v/>
      </c>
      <c r="R940" s="64">
        <f>IF(C940="","",IF(ISNUMBER(SEARCH("PCMSO",C940)),"Título com PCMSO no nome",IF(OR(ISNUMBER(SEARCH("E-SOCIAL",C940)),ISNUMBER(SEARCH("PSICOSOCIAL",C940))),"Título com eSocial/Psicossocial no nome",IF(O940="Receita recorrente","Tipo DRE recorrente","Extra sem palavra-chave específica"))))</f>
        <v/>
      </c>
      <c r="S940" s="92">
        <f>IFERROR(VLOOKUP($A940,'13. Mapa Títulos-Receita'!$A$8:$P$1000,4,FALSE),"")</f>
        <v/>
      </c>
      <c r="T940" s="92">
        <f>IFERROR(VLOOKUP($A940,'13. Mapa Títulos-Receita'!$A$8:$P$1000,5,FALSE),"")</f>
        <v/>
      </c>
      <c r="U940" s="92">
        <f>IFERROR(VLOOKUP($A940,'13. Mapa Títulos-Receita'!$A$8:$P$1000,6,FALSE),"")</f>
        <v/>
      </c>
      <c r="V940" s="92">
        <f>IFERROR(VLOOKUP($A940,'13. Mapa Títulos-Receita'!$A$8:$P$1000,7,FALSE),"")</f>
        <v/>
      </c>
      <c r="W940" s="92">
        <f>IFERROR(VLOOKUP($A940,'13. Mapa Títulos-Receita'!$A$8:$P$1000,8,FALSE),"")</f>
        <v/>
      </c>
      <c r="X940" s="92">
        <f>IFERROR(VLOOKUP($A940,'13. Mapa Títulos-Receita'!$A$8:$P$1000,9,FALSE),"")</f>
        <v/>
      </c>
      <c r="Y940" s="92">
        <f>IFERROR(VLOOKUP($A940,'13. Mapa Títulos-Receita'!$A$8:$P$1000,10,FALSE),"")</f>
        <v/>
      </c>
      <c r="Z940" s="92">
        <f>IFERROR(VLOOKUP($A940,'13. Mapa Títulos-Receita'!$A$8:$P$1000,11,FALSE),"")</f>
        <v/>
      </c>
      <c r="AA940" s="92">
        <f>IFERROR(VLOOKUP($A940,'13. Mapa Títulos-Receita'!$A$8:$P$1000,12,FALSE),"")</f>
        <v/>
      </c>
      <c r="AB940" s="92">
        <f>IFERROR(VLOOKUP($A940,'13. Mapa Títulos-Receita'!$A$8:$P$1000,13,FALSE),"")</f>
        <v/>
      </c>
      <c r="AC940" s="92">
        <f>IFERROR(VLOOKUP($A940,'13. Mapa Títulos-Receita'!$A$8:$P$1000,14,FALSE),"")</f>
        <v/>
      </c>
      <c r="AD940" s="92">
        <f>IFERROR(VLOOKUP($A940,'13. Mapa Títulos-Receita'!$A$8:$P$1000,15,FALSE),"")</f>
        <v/>
      </c>
      <c r="AE940" s="92">
        <f>IFERROR(VLOOKUP($A940,'13. Mapa Títulos-Receita'!$A$8:$P$1000,16,FALSE),"")</f>
        <v/>
      </c>
    </row>
    <row r="941">
      <c r="A941" s="28">
        <f>IF(C941="","", "CR-"&amp;TEXT(ROW()-7,"000"))</f>
        <v/>
      </c>
      <c r="B941" s="28" t="n"/>
      <c r="C941" s="28" t="n"/>
      <c r="D941" s="111" t="n"/>
      <c r="E941" s="111" t="n"/>
      <c r="F941" s="111" t="n"/>
      <c r="G941" s="28" t="n"/>
      <c r="H941" s="45" t="n"/>
      <c r="I941" s="45" t="n"/>
      <c r="J941" s="28">
        <f>IF(H941="","",IF(I941&gt;=H941,"Recebido",IF($B$4&gt;E941,"Vencido","Aberto")))</f>
        <v/>
      </c>
      <c r="K941" s="4">
        <f>IF(J941="","",IF(OR(J941="Recebido",F941=""),MAX(0,F941-E941),MAX(0,$B$4-E941)))</f>
        <v/>
      </c>
      <c r="L941" s="4">
        <f>IF(K941="","",IF(K941=0,"Em dia",IF(K941&lt;=30,"1-30 dias",IF(K941&lt;=60,"31-60 dias",IF(K941&lt;=90,"61-90 dias","&gt;90 dias")))))</f>
        <v/>
      </c>
      <c r="M941" s="28" t="n"/>
      <c r="N941" s="104" t="inlineStr"/>
      <c r="O941" s="64" t="n"/>
      <c r="P941" s="64">
        <f>IF(C941="","",IF(ISNUMBER(SEARCH("PCMSO",C941)),"PCMSO",IF(OR(ISNUMBER(SEARCH("E-SOCIAL",C941)),ISNUMBER(SEARCH("PSICOSOCIAL",C941))),"eSocial / Psicossocial",IF(O941="Receita recorrente","Carteira recorrente","Projetos / Laudos / Avulsos"))))</f>
        <v/>
      </c>
      <c r="Q941" s="64">
        <f>IF(P941="","",IF(P941="Carteira recorrente","Operação recorrente",IF(P941="PCMSO","Projetos PCMSO",IF(P941="eSocial / Psicossocial","Projetos eSocial/Psicossocial","Projetos / Laudos / Avulsos"))))</f>
        <v/>
      </c>
      <c r="R941" s="64">
        <f>IF(C941="","",IF(ISNUMBER(SEARCH("PCMSO",C941)),"Título com PCMSO no nome",IF(OR(ISNUMBER(SEARCH("E-SOCIAL",C941)),ISNUMBER(SEARCH("PSICOSOCIAL",C941))),"Título com eSocial/Psicossocial no nome",IF(O941="Receita recorrente","Tipo DRE recorrente","Extra sem palavra-chave específica"))))</f>
        <v/>
      </c>
      <c r="S941" s="92">
        <f>IFERROR(VLOOKUP($A941,'13. Mapa Títulos-Receita'!$A$8:$P$1000,4,FALSE),"")</f>
        <v/>
      </c>
      <c r="T941" s="92">
        <f>IFERROR(VLOOKUP($A941,'13. Mapa Títulos-Receita'!$A$8:$P$1000,5,FALSE),"")</f>
        <v/>
      </c>
      <c r="U941" s="92">
        <f>IFERROR(VLOOKUP($A941,'13. Mapa Títulos-Receita'!$A$8:$P$1000,6,FALSE),"")</f>
        <v/>
      </c>
      <c r="V941" s="92">
        <f>IFERROR(VLOOKUP($A941,'13. Mapa Títulos-Receita'!$A$8:$P$1000,7,FALSE),"")</f>
        <v/>
      </c>
      <c r="W941" s="92">
        <f>IFERROR(VLOOKUP($A941,'13. Mapa Títulos-Receita'!$A$8:$P$1000,8,FALSE),"")</f>
        <v/>
      </c>
      <c r="X941" s="92">
        <f>IFERROR(VLOOKUP($A941,'13. Mapa Títulos-Receita'!$A$8:$P$1000,9,FALSE),"")</f>
        <v/>
      </c>
      <c r="Y941" s="92">
        <f>IFERROR(VLOOKUP($A941,'13. Mapa Títulos-Receita'!$A$8:$P$1000,10,FALSE),"")</f>
        <v/>
      </c>
      <c r="Z941" s="92">
        <f>IFERROR(VLOOKUP($A941,'13. Mapa Títulos-Receita'!$A$8:$P$1000,11,FALSE),"")</f>
        <v/>
      </c>
      <c r="AA941" s="92">
        <f>IFERROR(VLOOKUP($A941,'13. Mapa Títulos-Receita'!$A$8:$P$1000,12,FALSE),"")</f>
        <v/>
      </c>
      <c r="AB941" s="92">
        <f>IFERROR(VLOOKUP($A941,'13. Mapa Títulos-Receita'!$A$8:$P$1000,13,FALSE),"")</f>
        <v/>
      </c>
      <c r="AC941" s="92">
        <f>IFERROR(VLOOKUP($A941,'13. Mapa Títulos-Receita'!$A$8:$P$1000,14,FALSE),"")</f>
        <v/>
      </c>
      <c r="AD941" s="92">
        <f>IFERROR(VLOOKUP($A941,'13. Mapa Títulos-Receita'!$A$8:$P$1000,15,FALSE),"")</f>
        <v/>
      </c>
      <c r="AE941" s="92">
        <f>IFERROR(VLOOKUP($A941,'13. Mapa Títulos-Receita'!$A$8:$P$1000,16,FALSE),"")</f>
        <v/>
      </c>
    </row>
    <row r="942">
      <c r="A942" s="28">
        <f>IF(C942="","", "CR-"&amp;TEXT(ROW()-7,"000"))</f>
        <v/>
      </c>
      <c r="B942" s="28" t="n"/>
      <c r="C942" s="28" t="n"/>
      <c r="D942" s="111" t="n"/>
      <c r="E942" s="111" t="n"/>
      <c r="F942" s="111" t="n"/>
      <c r="G942" s="28" t="n"/>
      <c r="H942" s="45" t="n"/>
      <c r="I942" s="45" t="n"/>
      <c r="J942" s="28">
        <f>IF(H942="","",IF(I942&gt;=H942,"Recebido",IF($B$4&gt;E942,"Vencido","Aberto")))</f>
        <v/>
      </c>
      <c r="K942" s="4">
        <f>IF(J942="","",IF(OR(J942="Recebido",F942=""),MAX(0,F942-E942),MAX(0,$B$4-E942)))</f>
        <v/>
      </c>
      <c r="L942" s="4">
        <f>IF(K942="","",IF(K942=0,"Em dia",IF(K942&lt;=30,"1-30 dias",IF(K942&lt;=60,"31-60 dias",IF(K942&lt;=90,"61-90 dias","&gt;90 dias")))))</f>
        <v/>
      </c>
      <c r="M942" s="28" t="n"/>
      <c r="N942" s="104" t="inlineStr"/>
      <c r="O942" s="64" t="n"/>
      <c r="P942" s="64">
        <f>IF(C942="","",IF(ISNUMBER(SEARCH("PCMSO",C942)),"PCMSO",IF(OR(ISNUMBER(SEARCH("E-SOCIAL",C942)),ISNUMBER(SEARCH("PSICOSOCIAL",C942))),"eSocial / Psicossocial",IF(O942="Receita recorrente","Carteira recorrente","Projetos / Laudos / Avulsos"))))</f>
        <v/>
      </c>
      <c r="Q942" s="64">
        <f>IF(P942="","",IF(P942="Carteira recorrente","Operação recorrente",IF(P942="PCMSO","Projetos PCMSO",IF(P942="eSocial / Psicossocial","Projetos eSocial/Psicossocial","Projetos / Laudos / Avulsos"))))</f>
        <v/>
      </c>
      <c r="R942" s="64">
        <f>IF(C942="","",IF(ISNUMBER(SEARCH("PCMSO",C942)),"Título com PCMSO no nome",IF(OR(ISNUMBER(SEARCH("E-SOCIAL",C942)),ISNUMBER(SEARCH("PSICOSOCIAL",C942))),"Título com eSocial/Psicossocial no nome",IF(O942="Receita recorrente","Tipo DRE recorrente","Extra sem palavra-chave específica"))))</f>
        <v/>
      </c>
      <c r="S942" s="92">
        <f>IFERROR(VLOOKUP($A942,'13. Mapa Títulos-Receita'!$A$8:$P$1000,4,FALSE),"")</f>
        <v/>
      </c>
      <c r="T942" s="92">
        <f>IFERROR(VLOOKUP($A942,'13. Mapa Títulos-Receita'!$A$8:$P$1000,5,FALSE),"")</f>
        <v/>
      </c>
      <c r="U942" s="92">
        <f>IFERROR(VLOOKUP($A942,'13. Mapa Títulos-Receita'!$A$8:$P$1000,6,FALSE),"")</f>
        <v/>
      </c>
      <c r="V942" s="92">
        <f>IFERROR(VLOOKUP($A942,'13. Mapa Títulos-Receita'!$A$8:$P$1000,7,FALSE),"")</f>
        <v/>
      </c>
      <c r="W942" s="92">
        <f>IFERROR(VLOOKUP($A942,'13. Mapa Títulos-Receita'!$A$8:$P$1000,8,FALSE),"")</f>
        <v/>
      </c>
      <c r="X942" s="92">
        <f>IFERROR(VLOOKUP($A942,'13. Mapa Títulos-Receita'!$A$8:$P$1000,9,FALSE),"")</f>
        <v/>
      </c>
      <c r="Y942" s="92">
        <f>IFERROR(VLOOKUP($A942,'13. Mapa Títulos-Receita'!$A$8:$P$1000,10,FALSE),"")</f>
        <v/>
      </c>
      <c r="Z942" s="92">
        <f>IFERROR(VLOOKUP($A942,'13. Mapa Títulos-Receita'!$A$8:$P$1000,11,FALSE),"")</f>
        <v/>
      </c>
      <c r="AA942" s="92">
        <f>IFERROR(VLOOKUP($A942,'13. Mapa Títulos-Receita'!$A$8:$P$1000,12,FALSE),"")</f>
        <v/>
      </c>
      <c r="AB942" s="92">
        <f>IFERROR(VLOOKUP($A942,'13. Mapa Títulos-Receita'!$A$8:$P$1000,13,FALSE),"")</f>
        <v/>
      </c>
      <c r="AC942" s="92">
        <f>IFERROR(VLOOKUP($A942,'13. Mapa Títulos-Receita'!$A$8:$P$1000,14,FALSE),"")</f>
        <v/>
      </c>
      <c r="AD942" s="92">
        <f>IFERROR(VLOOKUP($A942,'13. Mapa Títulos-Receita'!$A$8:$P$1000,15,FALSE),"")</f>
        <v/>
      </c>
      <c r="AE942" s="92">
        <f>IFERROR(VLOOKUP($A942,'13. Mapa Títulos-Receita'!$A$8:$P$1000,16,FALSE),"")</f>
        <v/>
      </c>
    </row>
    <row r="943">
      <c r="A943" s="28">
        <f>IF(C943="","", "CR-"&amp;TEXT(ROW()-7,"000"))</f>
        <v/>
      </c>
      <c r="B943" s="28" t="n"/>
      <c r="C943" s="28" t="n"/>
      <c r="D943" s="111" t="n"/>
      <c r="E943" s="111" t="n"/>
      <c r="F943" s="111" t="n"/>
      <c r="G943" s="28" t="n"/>
      <c r="H943" s="45" t="n"/>
      <c r="I943" s="45" t="n"/>
      <c r="J943" s="28">
        <f>IF(H943="","",IF(I943&gt;=H943,"Recebido",IF($B$4&gt;E943,"Vencido","Aberto")))</f>
        <v/>
      </c>
      <c r="K943" s="4">
        <f>IF(J943="","",IF(OR(J943="Recebido",F943=""),MAX(0,F943-E943),MAX(0,$B$4-E943)))</f>
        <v/>
      </c>
      <c r="L943" s="4">
        <f>IF(K943="","",IF(K943=0,"Em dia",IF(K943&lt;=30,"1-30 dias",IF(K943&lt;=60,"31-60 dias",IF(K943&lt;=90,"61-90 dias","&gt;90 dias")))))</f>
        <v/>
      </c>
      <c r="M943" s="28" t="n"/>
      <c r="N943" s="104" t="inlineStr"/>
      <c r="O943" s="64" t="n"/>
      <c r="P943" s="64">
        <f>IF(C943="","",IF(ISNUMBER(SEARCH("PCMSO",C943)),"PCMSO",IF(OR(ISNUMBER(SEARCH("E-SOCIAL",C943)),ISNUMBER(SEARCH("PSICOSOCIAL",C943))),"eSocial / Psicossocial",IF(O943="Receita recorrente","Carteira recorrente","Projetos / Laudos / Avulsos"))))</f>
        <v/>
      </c>
      <c r="Q943" s="64">
        <f>IF(P943="","",IF(P943="Carteira recorrente","Operação recorrente",IF(P943="PCMSO","Projetos PCMSO",IF(P943="eSocial / Psicossocial","Projetos eSocial/Psicossocial","Projetos / Laudos / Avulsos"))))</f>
        <v/>
      </c>
      <c r="R943" s="64">
        <f>IF(C943="","",IF(ISNUMBER(SEARCH("PCMSO",C943)),"Título com PCMSO no nome",IF(OR(ISNUMBER(SEARCH("E-SOCIAL",C943)),ISNUMBER(SEARCH("PSICOSOCIAL",C943))),"Título com eSocial/Psicossocial no nome",IF(O943="Receita recorrente","Tipo DRE recorrente","Extra sem palavra-chave específica"))))</f>
        <v/>
      </c>
      <c r="S943" s="92">
        <f>IFERROR(VLOOKUP($A943,'13. Mapa Títulos-Receita'!$A$8:$P$1000,4,FALSE),"")</f>
        <v/>
      </c>
      <c r="T943" s="92">
        <f>IFERROR(VLOOKUP($A943,'13. Mapa Títulos-Receita'!$A$8:$P$1000,5,FALSE),"")</f>
        <v/>
      </c>
      <c r="U943" s="92">
        <f>IFERROR(VLOOKUP($A943,'13. Mapa Títulos-Receita'!$A$8:$P$1000,6,FALSE),"")</f>
        <v/>
      </c>
      <c r="V943" s="92">
        <f>IFERROR(VLOOKUP($A943,'13. Mapa Títulos-Receita'!$A$8:$P$1000,7,FALSE),"")</f>
        <v/>
      </c>
      <c r="W943" s="92">
        <f>IFERROR(VLOOKUP($A943,'13. Mapa Títulos-Receita'!$A$8:$P$1000,8,FALSE),"")</f>
        <v/>
      </c>
      <c r="X943" s="92">
        <f>IFERROR(VLOOKUP($A943,'13. Mapa Títulos-Receita'!$A$8:$P$1000,9,FALSE),"")</f>
        <v/>
      </c>
      <c r="Y943" s="92">
        <f>IFERROR(VLOOKUP($A943,'13. Mapa Títulos-Receita'!$A$8:$P$1000,10,FALSE),"")</f>
        <v/>
      </c>
      <c r="Z943" s="92">
        <f>IFERROR(VLOOKUP($A943,'13. Mapa Títulos-Receita'!$A$8:$P$1000,11,FALSE),"")</f>
        <v/>
      </c>
      <c r="AA943" s="92">
        <f>IFERROR(VLOOKUP($A943,'13. Mapa Títulos-Receita'!$A$8:$P$1000,12,FALSE),"")</f>
        <v/>
      </c>
      <c r="AB943" s="92">
        <f>IFERROR(VLOOKUP($A943,'13. Mapa Títulos-Receita'!$A$8:$P$1000,13,FALSE),"")</f>
        <v/>
      </c>
      <c r="AC943" s="92">
        <f>IFERROR(VLOOKUP($A943,'13. Mapa Títulos-Receita'!$A$8:$P$1000,14,FALSE),"")</f>
        <v/>
      </c>
      <c r="AD943" s="92">
        <f>IFERROR(VLOOKUP($A943,'13. Mapa Títulos-Receita'!$A$8:$P$1000,15,FALSE),"")</f>
        <v/>
      </c>
      <c r="AE943" s="92">
        <f>IFERROR(VLOOKUP($A943,'13. Mapa Títulos-Receita'!$A$8:$P$1000,16,FALSE),"")</f>
        <v/>
      </c>
    </row>
    <row r="944">
      <c r="A944" s="28">
        <f>IF(C944="","", "CR-"&amp;TEXT(ROW()-7,"000"))</f>
        <v/>
      </c>
      <c r="B944" s="28" t="n"/>
      <c r="C944" s="28" t="n"/>
      <c r="D944" s="111" t="n"/>
      <c r="E944" s="111" t="n"/>
      <c r="F944" s="111" t="n"/>
      <c r="G944" s="28" t="n"/>
      <c r="H944" s="45" t="n"/>
      <c r="I944" s="45" t="n"/>
      <c r="J944" s="28">
        <f>IF(H944="","",IF(I944&gt;=H944,"Recebido",IF($B$4&gt;E944,"Vencido","Aberto")))</f>
        <v/>
      </c>
      <c r="K944" s="4">
        <f>IF(J944="","",IF(OR(J944="Recebido",F944=""),MAX(0,F944-E944),MAX(0,$B$4-E944)))</f>
        <v/>
      </c>
      <c r="L944" s="4">
        <f>IF(K944="","",IF(K944=0,"Em dia",IF(K944&lt;=30,"1-30 dias",IF(K944&lt;=60,"31-60 dias",IF(K944&lt;=90,"61-90 dias","&gt;90 dias")))))</f>
        <v/>
      </c>
      <c r="M944" s="28" t="n"/>
      <c r="N944" s="104" t="inlineStr"/>
      <c r="O944" s="64" t="n"/>
      <c r="P944" s="64">
        <f>IF(C944="","",IF(ISNUMBER(SEARCH("PCMSO",C944)),"PCMSO",IF(OR(ISNUMBER(SEARCH("E-SOCIAL",C944)),ISNUMBER(SEARCH("PSICOSOCIAL",C944))),"eSocial / Psicossocial",IF(O944="Receita recorrente","Carteira recorrente","Projetos / Laudos / Avulsos"))))</f>
        <v/>
      </c>
      <c r="Q944" s="64">
        <f>IF(P944="","",IF(P944="Carteira recorrente","Operação recorrente",IF(P944="PCMSO","Projetos PCMSO",IF(P944="eSocial / Psicossocial","Projetos eSocial/Psicossocial","Projetos / Laudos / Avulsos"))))</f>
        <v/>
      </c>
      <c r="R944" s="64">
        <f>IF(C944="","",IF(ISNUMBER(SEARCH("PCMSO",C944)),"Título com PCMSO no nome",IF(OR(ISNUMBER(SEARCH("E-SOCIAL",C944)),ISNUMBER(SEARCH("PSICOSOCIAL",C944))),"Título com eSocial/Psicossocial no nome",IF(O944="Receita recorrente","Tipo DRE recorrente","Extra sem palavra-chave específica"))))</f>
        <v/>
      </c>
      <c r="S944" s="92">
        <f>IFERROR(VLOOKUP($A944,'13. Mapa Títulos-Receita'!$A$8:$P$1000,4,FALSE),"")</f>
        <v/>
      </c>
      <c r="T944" s="92">
        <f>IFERROR(VLOOKUP($A944,'13. Mapa Títulos-Receita'!$A$8:$P$1000,5,FALSE),"")</f>
        <v/>
      </c>
      <c r="U944" s="92">
        <f>IFERROR(VLOOKUP($A944,'13. Mapa Títulos-Receita'!$A$8:$P$1000,6,FALSE),"")</f>
        <v/>
      </c>
      <c r="V944" s="92">
        <f>IFERROR(VLOOKUP($A944,'13. Mapa Títulos-Receita'!$A$8:$P$1000,7,FALSE),"")</f>
        <v/>
      </c>
      <c r="W944" s="92">
        <f>IFERROR(VLOOKUP($A944,'13. Mapa Títulos-Receita'!$A$8:$P$1000,8,FALSE),"")</f>
        <v/>
      </c>
      <c r="X944" s="92">
        <f>IFERROR(VLOOKUP($A944,'13. Mapa Títulos-Receita'!$A$8:$P$1000,9,FALSE),"")</f>
        <v/>
      </c>
      <c r="Y944" s="92">
        <f>IFERROR(VLOOKUP($A944,'13. Mapa Títulos-Receita'!$A$8:$P$1000,10,FALSE),"")</f>
        <v/>
      </c>
      <c r="Z944" s="92">
        <f>IFERROR(VLOOKUP($A944,'13. Mapa Títulos-Receita'!$A$8:$P$1000,11,FALSE),"")</f>
        <v/>
      </c>
      <c r="AA944" s="92">
        <f>IFERROR(VLOOKUP($A944,'13. Mapa Títulos-Receita'!$A$8:$P$1000,12,FALSE),"")</f>
        <v/>
      </c>
      <c r="AB944" s="92">
        <f>IFERROR(VLOOKUP($A944,'13. Mapa Títulos-Receita'!$A$8:$P$1000,13,FALSE),"")</f>
        <v/>
      </c>
      <c r="AC944" s="92">
        <f>IFERROR(VLOOKUP($A944,'13. Mapa Títulos-Receita'!$A$8:$P$1000,14,FALSE),"")</f>
        <v/>
      </c>
      <c r="AD944" s="92">
        <f>IFERROR(VLOOKUP($A944,'13. Mapa Títulos-Receita'!$A$8:$P$1000,15,FALSE),"")</f>
        <v/>
      </c>
      <c r="AE944" s="92">
        <f>IFERROR(VLOOKUP($A944,'13. Mapa Títulos-Receita'!$A$8:$P$1000,16,FALSE),"")</f>
        <v/>
      </c>
    </row>
    <row r="945">
      <c r="A945" s="28">
        <f>IF(C945="","", "CR-"&amp;TEXT(ROW()-7,"000"))</f>
        <v/>
      </c>
      <c r="B945" s="28" t="n"/>
      <c r="C945" s="28" t="n"/>
      <c r="D945" s="111" t="n"/>
      <c r="E945" s="111" t="n"/>
      <c r="F945" s="111" t="n"/>
      <c r="G945" s="28" t="n"/>
      <c r="H945" s="45" t="n"/>
      <c r="I945" s="45" t="n"/>
      <c r="J945" s="28">
        <f>IF(H945="","",IF(I945&gt;=H945,"Recebido",IF($B$4&gt;E945,"Vencido","Aberto")))</f>
        <v/>
      </c>
      <c r="K945" s="4">
        <f>IF(J945="","",IF(OR(J945="Recebido",F945=""),MAX(0,F945-E945),MAX(0,$B$4-E945)))</f>
        <v/>
      </c>
      <c r="L945" s="4">
        <f>IF(K945="","",IF(K945=0,"Em dia",IF(K945&lt;=30,"1-30 dias",IF(K945&lt;=60,"31-60 dias",IF(K945&lt;=90,"61-90 dias","&gt;90 dias")))))</f>
        <v/>
      </c>
      <c r="M945" s="28" t="n"/>
      <c r="N945" s="104" t="inlineStr"/>
      <c r="O945" s="64" t="n"/>
      <c r="P945" s="64">
        <f>IF(C945="","",IF(ISNUMBER(SEARCH("PCMSO",C945)),"PCMSO",IF(OR(ISNUMBER(SEARCH("E-SOCIAL",C945)),ISNUMBER(SEARCH("PSICOSOCIAL",C945))),"eSocial / Psicossocial",IF(O945="Receita recorrente","Carteira recorrente","Projetos / Laudos / Avulsos"))))</f>
        <v/>
      </c>
      <c r="Q945" s="64">
        <f>IF(P945="","",IF(P945="Carteira recorrente","Operação recorrente",IF(P945="PCMSO","Projetos PCMSO",IF(P945="eSocial / Psicossocial","Projetos eSocial/Psicossocial","Projetos / Laudos / Avulsos"))))</f>
        <v/>
      </c>
      <c r="R945" s="64">
        <f>IF(C945="","",IF(ISNUMBER(SEARCH("PCMSO",C945)),"Título com PCMSO no nome",IF(OR(ISNUMBER(SEARCH("E-SOCIAL",C945)),ISNUMBER(SEARCH("PSICOSOCIAL",C945))),"Título com eSocial/Psicossocial no nome",IF(O945="Receita recorrente","Tipo DRE recorrente","Extra sem palavra-chave específica"))))</f>
        <v/>
      </c>
      <c r="S945" s="92">
        <f>IFERROR(VLOOKUP($A945,'13. Mapa Títulos-Receita'!$A$8:$P$1000,4,FALSE),"")</f>
        <v/>
      </c>
      <c r="T945" s="92">
        <f>IFERROR(VLOOKUP($A945,'13. Mapa Títulos-Receita'!$A$8:$P$1000,5,FALSE),"")</f>
        <v/>
      </c>
      <c r="U945" s="92">
        <f>IFERROR(VLOOKUP($A945,'13. Mapa Títulos-Receita'!$A$8:$P$1000,6,FALSE),"")</f>
        <v/>
      </c>
      <c r="V945" s="92">
        <f>IFERROR(VLOOKUP($A945,'13. Mapa Títulos-Receita'!$A$8:$P$1000,7,FALSE),"")</f>
        <v/>
      </c>
      <c r="W945" s="92">
        <f>IFERROR(VLOOKUP($A945,'13. Mapa Títulos-Receita'!$A$8:$P$1000,8,FALSE),"")</f>
        <v/>
      </c>
      <c r="X945" s="92">
        <f>IFERROR(VLOOKUP($A945,'13. Mapa Títulos-Receita'!$A$8:$P$1000,9,FALSE),"")</f>
        <v/>
      </c>
      <c r="Y945" s="92">
        <f>IFERROR(VLOOKUP($A945,'13. Mapa Títulos-Receita'!$A$8:$P$1000,10,FALSE),"")</f>
        <v/>
      </c>
      <c r="Z945" s="92">
        <f>IFERROR(VLOOKUP($A945,'13. Mapa Títulos-Receita'!$A$8:$P$1000,11,FALSE),"")</f>
        <v/>
      </c>
      <c r="AA945" s="92">
        <f>IFERROR(VLOOKUP($A945,'13. Mapa Títulos-Receita'!$A$8:$P$1000,12,FALSE),"")</f>
        <v/>
      </c>
      <c r="AB945" s="92">
        <f>IFERROR(VLOOKUP($A945,'13. Mapa Títulos-Receita'!$A$8:$P$1000,13,FALSE),"")</f>
        <v/>
      </c>
      <c r="AC945" s="92">
        <f>IFERROR(VLOOKUP($A945,'13. Mapa Títulos-Receita'!$A$8:$P$1000,14,FALSE),"")</f>
        <v/>
      </c>
      <c r="AD945" s="92">
        <f>IFERROR(VLOOKUP($A945,'13. Mapa Títulos-Receita'!$A$8:$P$1000,15,FALSE),"")</f>
        <v/>
      </c>
      <c r="AE945" s="92">
        <f>IFERROR(VLOOKUP($A945,'13. Mapa Títulos-Receita'!$A$8:$P$1000,16,FALSE),"")</f>
        <v/>
      </c>
    </row>
    <row r="946">
      <c r="A946" s="28">
        <f>IF(C946="","", "CR-"&amp;TEXT(ROW()-7,"000"))</f>
        <v/>
      </c>
      <c r="B946" s="28" t="n"/>
      <c r="C946" s="28" t="n"/>
      <c r="D946" s="111" t="n"/>
      <c r="E946" s="111" t="n"/>
      <c r="F946" s="111" t="n"/>
      <c r="G946" s="28" t="n"/>
      <c r="H946" s="45" t="n"/>
      <c r="I946" s="45" t="n"/>
      <c r="J946" s="28">
        <f>IF(H946="","",IF(I946&gt;=H946,"Recebido",IF($B$4&gt;E946,"Vencido","Aberto")))</f>
        <v/>
      </c>
      <c r="K946" s="4">
        <f>IF(J946="","",IF(OR(J946="Recebido",F946=""),MAX(0,F946-E946),MAX(0,$B$4-E946)))</f>
        <v/>
      </c>
      <c r="L946" s="4">
        <f>IF(K946="","",IF(K946=0,"Em dia",IF(K946&lt;=30,"1-30 dias",IF(K946&lt;=60,"31-60 dias",IF(K946&lt;=90,"61-90 dias","&gt;90 dias")))))</f>
        <v/>
      </c>
      <c r="M946" s="28" t="n"/>
      <c r="N946" s="104" t="inlineStr"/>
      <c r="O946" s="64" t="n"/>
      <c r="P946" s="64">
        <f>IF(C946="","",IF(ISNUMBER(SEARCH("PCMSO",C946)),"PCMSO",IF(OR(ISNUMBER(SEARCH("E-SOCIAL",C946)),ISNUMBER(SEARCH("PSICOSOCIAL",C946))),"eSocial / Psicossocial",IF(O946="Receita recorrente","Carteira recorrente","Projetos / Laudos / Avulsos"))))</f>
        <v/>
      </c>
      <c r="Q946" s="64">
        <f>IF(P946="","",IF(P946="Carteira recorrente","Operação recorrente",IF(P946="PCMSO","Projetos PCMSO",IF(P946="eSocial / Psicossocial","Projetos eSocial/Psicossocial","Projetos / Laudos / Avulsos"))))</f>
        <v/>
      </c>
      <c r="R946" s="64">
        <f>IF(C946="","",IF(ISNUMBER(SEARCH("PCMSO",C946)),"Título com PCMSO no nome",IF(OR(ISNUMBER(SEARCH("E-SOCIAL",C946)),ISNUMBER(SEARCH("PSICOSOCIAL",C946))),"Título com eSocial/Psicossocial no nome",IF(O946="Receita recorrente","Tipo DRE recorrente","Extra sem palavra-chave específica"))))</f>
        <v/>
      </c>
      <c r="S946" s="92">
        <f>IFERROR(VLOOKUP($A946,'13. Mapa Títulos-Receita'!$A$8:$P$1000,4,FALSE),"")</f>
        <v/>
      </c>
      <c r="T946" s="92">
        <f>IFERROR(VLOOKUP($A946,'13. Mapa Títulos-Receita'!$A$8:$P$1000,5,FALSE),"")</f>
        <v/>
      </c>
      <c r="U946" s="92">
        <f>IFERROR(VLOOKUP($A946,'13. Mapa Títulos-Receita'!$A$8:$P$1000,6,FALSE),"")</f>
        <v/>
      </c>
      <c r="V946" s="92">
        <f>IFERROR(VLOOKUP($A946,'13. Mapa Títulos-Receita'!$A$8:$P$1000,7,FALSE),"")</f>
        <v/>
      </c>
      <c r="W946" s="92">
        <f>IFERROR(VLOOKUP($A946,'13. Mapa Títulos-Receita'!$A$8:$P$1000,8,FALSE),"")</f>
        <v/>
      </c>
      <c r="X946" s="92">
        <f>IFERROR(VLOOKUP($A946,'13. Mapa Títulos-Receita'!$A$8:$P$1000,9,FALSE),"")</f>
        <v/>
      </c>
      <c r="Y946" s="92">
        <f>IFERROR(VLOOKUP($A946,'13. Mapa Títulos-Receita'!$A$8:$P$1000,10,FALSE),"")</f>
        <v/>
      </c>
      <c r="Z946" s="92">
        <f>IFERROR(VLOOKUP($A946,'13. Mapa Títulos-Receita'!$A$8:$P$1000,11,FALSE),"")</f>
        <v/>
      </c>
      <c r="AA946" s="92">
        <f>IFERROR(VLOOKUP($A946,'13. Mapa Títulos-Receita'!$A$8:$P$1000,12,FALSE),"")</f>
        <v/>
      </c>
      <c r="AB946" s="92">
        <f>IFERROR(VLOOKUP($A946,'13. Mapa Títulos-Receita'!$A$8:$P$1000,13,FALSE),"")</f>
        <v/>
      </c>
      <c r="AC946" s="92">
        <f>IFERROR(VLOOKUP($A946,'13. Mapa Títulos-Receita'!$A$8:$P$1000,14,FALSE),"")</f>
        <v/>
      </c>
      <c r="AD946" s="92">
        <f>IFERROR(VLOOKUP($A946,'13. Mapa Títulos-Receita'!$A$8:$P$1000,15,FALSE),"")</f>
        <v/>
      </c>
      <c r="AE946" s="92">
        <f>IFERROR(VLOOKUP($A946,'13. Mapa Títulos-Receita'!$A$8:$P$1000,16,FALSE),"")</f>
        <v/>
      </c>
    </row>
    <row r="947">
      <c r="A947" s="28">
        <f>IF(C947="","", "CR-"&amp;TEXT(ROW()-7,"000"))</f>
        <v/>
      </c>
      <c r="B947" s="28" t="n"/>
      <c r="C947" s="28" t="n"/>
      <c r="D947" s="111" t="n"/>
      <c r="E947" s="111" t="n"/>
      <c r="F947" s="111" t="n"/>
      <c r="G947" s="28" t="n"/>
      <c r="H947" s="45" t="n"/>
      <c r="I947" s="45" t="n"/>
      <c r="J947" s="28">
        <f>IF(H947="","",IF(I947&gt;=H947,"Recebido",IF($B$4&gt;E947,"Vencido","Aberto")))</f>
        <v/>
      </c>
      <c r="K947" s="4">
        <f>IF(J947="","",IF(OR(J947="Recebido",F947=""),MAX(0,F947-E947),MAX(0,$B$4-E947)))</f>
        <v/>
      </c>
      <c r="L947" s="4">
        <f>IF(K947="","",IF(K947=0,"Em dia",IF(K947&lt;=30,"1-30 dias",IF(K947&lt;=60,"31-60 dias",IF(K947&lt;=90,"61-90 dias","&gt;90 dias")))))</f>
        <v/>
      </c>
      <c r="M947" s="28" t="n"/>
      <c r="N947" s="104" t="inlineStr"/>
      <c r="O947" s="64" t="n"/>
      <c r="P947" s="64">
        <f>IF(C947="","",IF(ISNUMBER(SEARCH("PCMSO",C947)),"PCMSO",IF(OR(ISNUMBER(SEARCH("E-SOCIAL",C947)),ISNUMBER(SEARCH("PSICOSOCIAL",C947))),"eSocial / Psicossocial",IF(O947="Receita recorrente","Carteira recorrente","Projetos / Laudos / Avulsos"))))</f>
        <v/>
      </c>
      <c r="Q947" s="64">
        <f>IF(P947="","",IF(P947="Carteira recorrente","Operação recorrente",IF(P947="PCMSO","Projetos PCMSO",IF(P947="eSocial / Psicossocial","Projetos eSocial/Psicossocial","Projetos / Laudos / Avulsos"))))</f>
        <v/>
      </c>
      <c r="R947" s="64">
        <f>IF(C947="","",IF(ISNUMBER(SEARCH("PCMSO",C947)),"Título com PCMSO no nome",IF(OR(ISNUMBER(SEARCH("E-SOCIAL",C947)),ISNUMBER(SEARCH("PSICOSOCIAL",C947))),"Título com eSocial/Psicossocial no nome",IF(O947="Receita recorrente","Tipo DRE recorrente","Extra sem palavra-chave específica"))))</f>
        <v/>
      </c>
      <c r="S947" s="92">
        <f>IFERROR(VLOOKUP($A947,'13. Mapa Títulos-Receita'!$A$8:$P$1000,4,FALSE),"")</f>
        <v/>
      </c>
      <c r="T947" s="92">
        <f>IFERROR(VLOOKUP($A947,'13. Mapa Títulos-Receita'!$A$8:$P$1000,5,FALSE),"")</f>
        <v/>
      </c>
      <c r="U947" s="92">
        <f>IFERROR(VLOOKUP($A947,'13. Mapa Títulos-Receita'!$A$8:$P$1000,6,FALSE),"")</f>
        <v/>
      </c>
      <c r="V947" s="92">
        <f>IFERROR(VLOOKUP($A947,'13. Mapa Títulos-Receita'!$A$8:$P$1000,7,FALSE),"")</f>
        <v/>
      </c>
      <c r="W947" s="92">
        <f>IFERROR(VLOOKUP($A947,'13. Mapa Títulos-Receita'!$A$8:$P$1000,8,FALSE),"")</f>
        <v/>
      </c>
      <c r="X947" s="92">
        <f>IFERROR(VLOOKUP($A947,'13. Mapa Títulos-Receita'!$A$8:$P$1000,9,FALSE),"")</f>
        <v/>
      </c>
      <c r="Y947" s="92">
        <f>IFERROR(VLOOKUP($A947,'13. Mapa Títulos-Receita'!$A$8:$P$1000,10,FALSE),"")</f>
        <v/>
      </c>
      <c r="Z947" s="92">
        <f>IFERROR(VLOOKUP($A947,'13. Mapa Títulos-Receita'!$A$8:$P$1000,11,FALSE),"")</f>
        <v/>
      </c>
      <c r="AA947" s="92">
        <f>IFERROR(VLOOKUP($A947,'13. Mapa Títulos-Receita'!$A$8:$P$1000,12,FALSE),"")</f>
        <v/>
      </c>
      <c r="AB947" s="92">
        <f>IFERROR(VLOOKUP($A947,'13. Mapa Títulos-Receita'!$A$8:$P$1000,13,FALSE),"")</f>
        <v/>
      </c>
      <c r="AC947" s="92">
        <f>IFERROR(VLOOKUP($A947,'13. Mapa Títulos-Receita'!$A$8:$P$1000,14,FALSE),"")</f>
        <v/>
      </c>
      <c r="AD947" s="92">
        <f>IFERROR(VLOOKUP($A947,'13. Mapa Títulos-Receita'!$A$8:$P$1000,15,FALSE),"")</f>
        <v/>
      </c>
      <c r="AE947" s="92">
        <f>IFERROR(VLOOKUP($A947,'13. Mapa Títulos-Receita'!$A$8:$P$1000,16,FALSE),"")</f>
        <v/>
      </c>
    </row>
    <row r="948">
      <c r="A948" s="28">
        <f>IF(C948="","", "CR-"&amp;TEXT(ROW()-7,"000"))</f>
        <v/>
      </c>
      <c r="B948" s="28" t="n"/>
      <c r="C948" s="28" t="n"/>
      <c r="D948" s="111" t="n"/>
      <c r="E948" s="111" t="n"/>
      <c r="F948" s="111" t="n"/>
      <c r="G948" s="28" t="n"/>
      <c r="H948" s="45" t="n"/>
      <c r="I948" s="45" t="n"/>
      <c r="J948" s="28">
        <f>IF(H948="","",IF(I948&gt;=H948,"Recebido",IF($B$4&gt;E948,"Vencido","Aberto")))</f>
        <v/>
      </c>
      <c r="K948" s="4">
        <f>IF(J948="","",IF(OR(J948="Recebido",F948=""),MAX(0,F948-E948),MAX(0,$B$4-E948)))</f>
        <v/>
      </c>
      <c r="L948" s="4">
        <f>IF(K948="","",IF(K948=0,"Em dia",IF(K948&lt;=30,"1-30 dias",IF(K948&lt;=60,"31-60 dias",IF(K948&lt;=90,"61-90 dias","&gt;90 dias")))))</f>
        <v/>
      </c>
      <c r="M948" s="28" t="n"/>
      <c r="N948" s="104" t="inlineStr"/>
      <c r="O948" s="64" t="n"/>
      <c r="P948" s="64">
        <f>IF(C948="","",IF(ISNUMBER(SEARCH("PCMSO",C948)),"PCMSO",IF(OR(ISNUMBER(SEARCH("E-SOCIAL",C948)),ISNUMBER(SEARCH("PSICOSOCIAL",C948))),"eSocial / Psicossocial",IF(O948="Receita recorrente","Carteira recorrente","Projetos / Laudos / Avulsos"))))</f>
        <v/>
      </c>
      <c r="Q948" s="64">
        <f>IF(P948="","",IF(P948="Carteira recorrente","Operação recorrente",IF(P948="PCMSO","Projetos PCMSO",IF(P948="eSocial / Psicossocial","Projetos eSocial/Psicossocial","Projetos / Laudos / Avulsos"))))</f>
        <v/>
      </c>
      <c r="R948" s="64">
        <f>IF(C948="","",IF(ISNUMBER(SEARCH("PCMSO",C948)),"Título com PCMSO no nome",IF(OR(ISNUMBER(SEARCH("E-SOCIAL",C948)),ISNUMBER(SEARCH("PSICOSOCIAL",C948))),"Título com eSocial/Psicossocial no nome",IF(O948="Receita recorrente","Tipo DRE recorrente","Extra sem palavra-chave específica"))))</f>
        <v/>
      </c>
      <c r="S948" s="92">
        <f>IFERROR(VLOOKUP($A948,'13. Mapa Títulos-Receita'!$A$8:$P$1000,4,FALSE),"")</f>
        <v/>
      </c>
      <c r="T948" s="92">
        <f>IFERROR(VLOOKUP($A948,'13. Mapa Títulos-Receita'!$A$8:$P$1000,5,FALSE),"")</f>
        <v/>
      </c>
      <c r="U948" s="92">
        <f>IFERROR(VLOOKUP($A948,'13. Mapa Títulos-Receita'!$A$8:$P$1000,6,FALSE),"")</f>
        <v/>
      </c>
      <c r="V948" s="92">
        <f>IFERROR(VLOOKUP($A948,'13. Mapa Títulos-Receita'!$A$8:$P$1000,7,FALSE),"")</f>
        <v/>
      </c>
      <c r="W948" s="92">
        <f>IFERROR(VLOOKUP($A948,'13. Mapa Títulos-Receita'!$A$8:$P$1000,8,FALSE),"")</f>
        <v/>
      </c>
      <c r="X948" s="92">
        <f>IFERROR(VLOOKUP($A948,'13. Mapa Títulos-Receita'!$A$8:$P$1000,9,FALSE),"")</f>
        <v/>
      </c>
      <c r="Y948" s="92">
        <f>IFERROR(VLOOKUP($A948,'13. Mapa Títulos-Receita'!$A$8:$P$1000,10,FALSE),"")</f>
        <v/>
      </c>
      <c r="Z948" s="92">
        <f>IFERROR(VLOOKUP($A948,'13. Mapa Títulos-Receita'!$A$8:$P$1000,11,FALSE),"")</f>
        <v/>
      </c>
      <c r="AA948" s="92">
        <f>IFERROR(VLOOKUP($A948,'13. Mapa Títulos-Receita'!$A$8:$P$1000,12,FALSE),"")</f>
        <v/>
      </c>
      <c r="AB948" s="92">
        <f>IFERROR(VLOOKUP($A948,'13. Mapa Títulos-Receita'!$A$8:$P$1000,13,FALSE),"")</f>
        <v/>
      </c>
      <c r="AC948" s="92">
        <f>IFERROR(VLOOKUP($A948,'13. Mapa Títulos-Receita'!$A$8:$P$1000,14,FALSE),"")</f>
        <v/>
      </c>
      <c r="AD948" s="92">
        <f>IFERROR(VLOOKUP($A948,'13. Mapa Títulos-Receita'!$A$8:$P$1000,15,FALSE),"")</f>
        <v/>
      </c>
      <c r="AE948" s="92">
        <f>IFERROR(VLOOKUP($A948,'13. Mapa Títulos-Receita'!$A$8:$P$1000,16,FALSE),"")</f>
        <v/>
      </c>
    </row>
    <row r="949">
      <c r="A949" s="28">
        <f>IF(C949="","", "CR-"&amp;TEXT(ROW()-7,"000"))</f>
        <v/>
      </c>
      <c r="B949" s="28" t="n"/>
      <c r="C949" s="28" t="n"/>
      <c r="D949" s="111" t="n"/>
      <c r="E949" s="111" t="n"/>
      <c r="F949" s="111" t="n"/>
      <c r="G949" s="28" t="n"/>
      <c r="H949" s="45" t="n"/>
      <c r="I949" s="45" t="n"/>
      <c r="J949" s="28">
        <f>IF(H949="","",IF(I949&gt;=H949,"Recebido",IF($B$4&gt;E949,"Vencido","Aberto")))</f>
        <v/>
      </c>
      <c r="K949" s="4">
        <f>IF(J949="","",IF(OR(J949="Recebido",F949=""),MAX(0,F949-E949),MAX(0,$B$4-E949)))</f>
        <v/>
      </c>
      <c r="L949" s="4">
        <f>IF(K949="","",IF(K949=0,"Em dia",IF(K949&lt;=30,"1-30 dias",IF(K949&lt;=60,"31-60 dias",IF(K949&lt;=90,"61-90 dias","&gt;90 dias")))))</f>
        <v/>
      </c>
      <c r="M949" s="28" t="n"/>
      <c r="N949" s="104" t="inlineStr"/>
      <c r="O949" s="64" t="n"/>
      <c r="P949" s="64">
        <f>IF(C949="","",IF(ISNUMBER(SEARCH("PCMSO",C949)),"PCMSO",IF(OR(ISNUMBER(SEARCH("E-SOCIAL",C949)),ISNUMBER(SEARCH("PSICOSOCIAL",C949))),"eSocial / Psicossocial",IF(O949="Receita recorrente","Carteira recorrente","Projetos / Laudos / Avulsos"))))</f>
        <v/>
      </c>
      <c r="Q949" s="64">
        <f>IF(P949="","",IF(P949="Carteira recorrente","Operação recorrente",IF(P949="PCMSO","Projetos PCMSO",IF(P949="eSocial / Psicossocial","Projetos eSocial/Psicossocial","Projetos / Laudos / Avulsos"))))</f>
        <v/>
      </c>
      <c r="R949" s="64">
        <f>IF(C949="","",IF(ISNUMBER(SEARCH("PCMSO",C949)),"Título com PCMSO no nome",IF(OR(ISNUMBER(SEARCH("E-SOCIAL",C949)),ISNUMBER(SEARCH("PSICOSOCIAL",C949))),"Título com eSocial/Psicossocial no nome",IF(O949="Receita recorrente","Tipo DRE recorrente","Extra sem palavra-chave específica"))))</f>
        <v/>
      </c>
      <c r="S949" s="92">
        <f>IFERROR(VLOOKUP($A949,'13. Mapa Títulos-Receita'!$A$8:$P$1000,4,FALSE),"")</f>
        <v/>
      </c>
      <c r="T949" s="92">
        <f>IFERROR(VLOOKUP($A949,'13. Mapa Títulos-Receita'!$A$8:$P$1000,5,FALSE),"")</f>
        <v/>
      </c>
      <c r="U949" s="92">
        <f>IFERROR(VLOOKUP($A949,'13. Mapa Títulos-Receita'!$A$8:$P$1000,6,FALSE),"")</f>
        <v/>
      </c>
      <c r="V949" s="92">
        <f>IFERROR(VLOOKUP($A949,'13. Mapa Títulos-Receita'!$A$8:$P$1000,7,FALSE),"")</f>
        <v/>
      </c>
      <c r="W949" s="92">
        <f>IFERROR(VLOOKUP($A949,'13. Mapa Títulos-Receita'!$A$8:$P$1000,8,FALSE),"")</f>
        <v/>
      </c>
      <c r="X949" s="92">
        <f>IFERROR(VLOOKUP($A949,'13. Mapa Títulos-Receita'!$A$8:$P$1000,9,FALSE),"")</f>
        <v/>
      </c>
      <c r="Y949" s="92">
        <f>IFERROR(VLOOKUP($A949,'13. Mapa Títulos-Receita'!$A$8:$P$1000,10,FALSE),"")</f>
        <v/>
      </c>
      <c r="Z949" s="92">
        <f>IFERROR(VLOOKUP($A949,'13. Mapa Títulos-Receita'!$A$8:$P$1000,11,FALSE),"")</f>
        <v/>
      </c>
      <c r="AA949" s="92">
        <f>IFERROR(VLOOKUP($A949,'13. Mapa Títulos-Receita'!$A$8:$P$1000,12,FALSE),"")</f>
        <v/>
      </c>
      <c r="AB949" s="92">
        <f>IFERROR(VLOOKUP($A949,'13. Mapa Títulos-Receita'!$A$8:$P$1000,13,FALSE),"")</f>
        <v/>
      </c>
      <c r="AC949" s="92">
        <f>IFERROR(VLOOKUP($A949,'13. Mapa Títulos-Receita'!$A$8:$P$1000,14,FALSE),"")</f>
        <v/>
      </c>
      <c r="AD949" s="92">
        <f>IFERROR(VLOOKUP($A949,'13. Mapa Títulos-Receita'!$A$8:$P$1000,15,FALSE),"")</f>
        <v/>
      </c>
      <c r="AE949" s="92">
        <f>IFERROR(VLOOKUP($A949,'13. Mapa Títulos-Receita'!$A$8:$P$1000,16,FALSE),"")</f>
        <v/>
      </c>
    </row>
    <row r="950">
      <c r="A950" s="28">
        <f>IF(C950="","", "CR-"&amp;TEXT(ROW()-7,"000"))</f>
        <v/>
      </c>
      <c r="B950" s="28" t="n"/>
      <c r="C950" s="28" t="n"/>
      <c r="D950" s="111" t="n"/>
      <c r="E950" s="111" t="n"/>
      <c r="F950" s="111" t="n"/>
      <c r="G950" s="28" t="n"/>
      <c r="H950" s="45" t="n"/>
      <c r="I950" s="45" t="n"/>
      <c r="J950" s="28">
        <f>IF(H950="","",IF(I950&gt;=H950,"Recebido",IF($B$4&gt;E950,"Vencido","Aberto")))</f>
        <v/>
      </c>
      <c r="K950" s="4">
        <f>IF(J950="","",IF(OR(J950="Recebido",F950=""),MAX(0,F950-E950),MAX(0,$B$4-E950)))</f>
        <v/>
      </c>
      <c r="L950" s="4">
        <f>IF(K950="","",IF(K950=0,"Em dia",IF(K950&lt;=30,"1-30 dias",IF(K950&lt;=60,"31-60 dias",IF(K950&lt;=90,"61-90 dias","&gt;90 dias")))))</f>
        <v/>
      </c>
      <c r="M950" s="28" t="n"/>
      <c r="N950" s="104" t="inlineStr"/>
      <c r="O950" s="64" t="n"/>
      <c r="P950" s="64">
        <f>IF(C950="","",IF(ISNUMBER(SEARCH("PCMSO",C950)),"PCMSO",IF(OR(ISNUMBER(SEARCH("E-SOCIAL",C950)),ISNUMBER(SEARCH("PSICOSOCIAL",C950))),"eSocial / Psicossocial",IF(O950="Receita recorrente","Carteira recorrente","Projetos / Laudos / Avulsos"))))</f>
        <v/>
      </c>
      <c r="Q950" s="64">
        <f>IF(P950="","",IF(P950="Carteira recorrente","Operação recorrente",IF(P950="PCMSO","Projetos PCMSO",IF(P950="eSocial / Psicossocial","Projetos eSocial/Psicossocial","Projetos / Laudos / Avulsos"))))</f>
        <v/>
      </c>
      <c r="R950" s="64">
        <f>IF(C950="","",IF(ISNUMBER(SEARCH("PCMSO",C950)),"Título com PCMSO no nome",IF(OR(ISNUMBER(SEARCH("E-SOCIAL",C950)),ISNUMBER(SEARCH("PSICOSOCIAL",C950))),"Título com eSocial/Psicossocial no nome",IF(O950="Receita recorrente","Tipo DRE recorrente","Extra sem palavra-chave específica"))))</f>
        <v/>
      </c>
      <c r="S950" s="92">
        <f>IFERROR(VLOOKUP($A950,'13. Mapa Títulos-Receita'!$A$8:$P$1000,4,FALSE),"")</f>
        <v/>
      </c>
      <c r="T950" s="92">
        <f>IFERROR(VLOOKUP($A950,'13. Mapa Títulos-Receita'!$A$8:$P$1000,5,FALSE),"")</f>
        <v/>
      </c>
      <c r="U950" s="92">
        <f>IFERROR(VLOOKUP($A950,'13. Mapa Títulos-Receita'!$A$8:$P$1000,6,FALSE),"")</f>
        <v/>
      </c>
      <c r="V950" s="92">
        <f>IFERROR(VLOOKUP($A950,'13. Mapa Títulos-Receita'!$A$8:$P$1000,7,FALSE),"")</f>
        <v/>
      </c>
      <c r="W950" s="92">
        <f>IFERROR(VLOOKUP($A950,'13. Mapa Títulos-Receita'!$A$8:$P$1000,8,FALSE),"")</f>
        <v/>
      </c>
      <c r="X950" s="92">
        <f>IFERROR(VLOOKUP($A950,'13. Mapa Títulos-Receita'!$A$8:$P$1000,9,FALSE),"")</f>
        <v/>
      </c>
      <c r="Y950" s="92">
        <f>IFERROR(VLOOKUP($A950,'13. Mapa Títulos-Receita'!$A$8:$P$1000,10,FALSE),"")</f>
        <v/>
      </c>
      <c r="Z950" s="92">
        <f>IFERROR(VLOOKUP($A950,'13. Mapa Títulos-Receita'!$A$8:$P$1000,11,FALSE),"")</f>
        <v/>
      </c>
      <c r="AA950" s="92">
        <f>IFERROR(VLOOKUP($A950,'13. Mapa Títulos-Receita'!$A$8:$P$1000,12,FALSE),"")</f>
        <v/>
      </c>
      <c r="AB950" s="92">
        <f>IFERROR(VLOOKUP($A950,'13. Mapa Títulos-Receita'!$A$8:$P$1000,13,FALSE),"")</f>
        <v/>
      </c>
      <c r="AC950" s="92">
        <f>IFERROR(VLOOKUP($A950,'13. Mapa Títulos-Receita'!$A$8:$P$1000,14,FALSE),"")</f>
        <v/>
      </c>
      <c r="AD950" s="92">
        <f>IFERROR(VLOOKUP($A950,'13. Mapa Títulos-Receita'!$A$8:$P$1000,15,FALSE),"")</f>
        <v/>
      </c>
      <c r="AE950" s="92">
        <f>IFERROR(VLOOKUP($A950,'13. Mapa Títulos-Receita'!$A$8:$P$1000,16,FALSE),"")</f>
        <v/>
      </c>
    </row>
    <row r="951">
      <c r="A951" s="28">
        <f>IF(C951="","", "CR-"&amp;TEXT(ROW()-7,"000"))</f>
        <v/>
      </c>
      <c r="B951" s="28" t="n"/>
      <c r="C951" s="28" t="n"/>
      <c r="D951" s="111" t="n"/>
      <c r="E951" s="111" t="n"/>
      <c r="F951" s="111" t="n"/>
      <c r="G951" s="28" t="n"/>
      <c r="H951" s="45" t="n"/>
      <c r="I951" s="45" t="n"/>
      <c r="J951" s="28">
        <f>IF(H951="","",IF(I951&gt;=H951,"Recebido",IF($B$4&gt;E951,"Vencido","Aberto")))</f>
        <v/>
      </c>
      <c r="K951" s="4">
        <f>IF(J951="","",IF(OR(J951="Recebido",F951=""),MAX(0,F951-E951),MAX(0,$B$4-E951)))</f>
        <v/>
      </c>
      <c r="L951" s="4">
        <f>IF(K951="","",IF(K951=0,"Em dia",IF(K951&lt;=30,"1-30 dias",IF(K951&lt;=60,"31-60 dias",IF(K951&lt;=90,"61-90 dias","&gt;90 dias")))))</f>
        <v/>
      </c>
      <c r="M951" s="28" t="n"/>
      <c r="N951" s="104" t="inlineStr"/>
      <c r="O951" s="64" t="n"/>
      <c r="P951" s="64">
        <f>IF(C951="","",IF(ISNUMBER(SEARCH("PCMSO",C951)),"PCMSO",IF(OR(ISNUMBER(SEARCH("E-SOCIAL",C951)),ISNUMBER(SEARCH("PSICOSOCIAL",C951))),"eSocial / Psicossocial",IF(O951="Receita recorrente","Carteira recorrente","Projetos / Laudos / Avulsos"))))</f>
        <v/>
      </c>
      <c r="Q951" s="64">
        <f>IF(P951="","",IF(P951="Carteira recorrente","Operação recorrente",IF(P951="PCMSO","Projetos PCMSO",IF(P951="eSocial / Psicossocial","Projetos eSocial/Psicossocial","Projetos / Laudos / Avulsos"))))</f>
        <v/>
      </c>
      <c r="R951" s="64">
        <f>IF(C951="","",IF(ISNUMBER(SEARCH("PCMSO",C951)),"Título com PCMSO no nome",IF(OR(ISNUMBER(SEARCH("E-SOCIAL",C951)),ISNUMBER(SEARCH("PSICOSOCIAL",C951))),"Título com eSocial/Psicossocial no nome",IF(O951="Receita recorrente","Tipo DRE recorrente","Extra sem palavra-chave específica"))))</f>
        <v/>
      </c>
      <c r="S951" s="92">
        <f>IFERROR(VLOOKUP($A951,'13. Mapa Títulos-Receita'!$A$8:$P$1000,4,FALSE),"")</f>
        <v/>
      </c>
      <c r="T951" s="92">
        <f>IFERROR(VLOOKUP($A951,'13. Mapa Títulos-Receita'!$A$8:$P$1000,5,FALSE),"")</f>
        <v/>
      </c>
      <c r="U951" s="92">
        <f>IFERROR(VLOOKUP($A951,'13. Mapa Títulos-Receita'!$A$8:$P$1000,6,FALSE),"")</f>
        <v/>
      </c>
      <c r="V951" s="92">
        <f>IFERROR(VLOOKUP($A951,'13. Mapa Títulos-Receita'!$A$8:$P$1000,7,FALSE),"")</f>
        <v/>
      </c>
      <c r="W951" s="92">
        <f>IFERROR(VLOOKUP($A951,'13. Mapa Títulos-Receita'!$A$8:$P$1000,8,FALSE),"")</f>
        <v/>
      </c>
      <c r="X951" s="92">
        <f>IFERROR(VLOOKUP($A951,'13. Mapa Títulos-Receita'!$A$8:$P$1000,9,FALSE),"")</f>
        <v/>
      </c>
      <c r="Y951" s="92">
        <f>IFERROR(VLOOKUP($A951,'13. Mapa Títulos-Receita'!$A$8:$P$1000,10,FALSE),"")</f>
        <v/>
      </c>
      <c r="Z951" s="92">
        <f>IFERROR(VLOOKUP($A951,'13. Mapa Títulos-Receita'!$A$8:$P$1000,11,FALSE),"")</f>
        <v/>
      </c>
      <c r="AA951" s="92">
        <f>IFERROR(VLOOKUP($A951,'13. Mapa Títulos-Receita'!$A$8:$P$1000,12,FALSE),"")</f>
        <v/>
      </c>
      <c r="AB951" s="92">
        <f>IFERROR(VLOOKUP($A951,'13. Mapa Títulos-Receita'!$A$8:$P$1000,13,FALSE),"")</f>
        <v/>
      </c>
      <c r="AC951" s="92">
        <f>IFERROR(VLOOKUP($A951,'13. Mapa Títulos-Receita'!$A$8:$P$1000,14,FALSE),"")</f>
        <v/>
      </c>
      <c r="AD951" s="92">
        <f>IFERROR(VLOOKUP($A951,'13. Mapa Títulos-Receita'!$A$8:$P$1000,15,FALSE),"")</f>
        <v/>
      </c>
      <c r="AE951" s="92">
        <f>IFERROR(VLOOKUP($A951,'13. Mapa Títulos-Receita'!$A$8:$P$1000,16,FALSE),"")</f>
        <v/>
      </c>
    </row>
    <row r="952">
      <c r="A952" s="28">
        <f>IF(C952="","", "CR-"&amp;TEXT(ROW()-7,"000"))</f>
        <v/>
      </c>
      <c r="B952" s="28" t="n"/>
      <c r="C952" s="28" t="n"/>
      <c r="D952" s="111" t="n"/>
      <c r="E952" s="111" t="n"/>
      <c r="F952" s="111" t="n"/>
      <c r="G952" s="28" t="n"/>
      <c r="H952" s="45" t="n"/>
      <c r="I952" s="45" t="n"/>
      <c r="J952" s="28">
        <f>IF(H952="","",IF(I952&gt;=H952,"Recebido",IF($B$4&gt;E952,"Vencido","Aberto")))</f>
        <v/>
      </c>
      <c r="K952" s="4">
        <f>IF(J952="","",IF(OR(J952="Recebido",F952=""),MAX(0,F952-E952),MAX(0,$B$4-E952)))</f>
        <v/>
      </c>
      <c r="L952" s="4">
        <f>IF(K952="","",IF(K952=0,"Em dia",IF(K952&lt;=30,"1-30 dias",IF(K952&lt;=60,"31-60 dias",IF(K952&lt;=90,"61-90 dias","&gt;90 dias")))))</f>
        <v/>
      </c>
      <c r="M952" s="28" t="n"/>
      <c r="N952" s="104" t="inlineStr"/>
      <c r="O952" s="64" t="n"/>
      <c r="P952" s="64">
        <f>IF(C952="","",IF(ISNUMBER(SEARCH("PCMSO",C952)),"PCMSO",IF(OR(ISNUMBER(SEARCH("E-SOCIAL",C952)),ISNUMBER(SEARCH("PSICOSOCIAL",C952))),"eSocial / Psicossocial",IF(O952="Receita recorrente","Carteira recorrente","Projetos / Laudos / Avulsos"))))</f>
        <v/>
      </c>
      <c r="Q952" s="64">
        <f>IF(P952="","",IF(P952="Carteira recorrente","Operação recorrente",IF(P952="PCMSO","Projetos PCMSO",IF(P952="eSocial / Psicossocial","Projetos eSocial/Psicossocial","Projetos / Laudos / Avulsos"))))</f>
        <v/>
      </c>
      <c r="R952" s="64">
        <f>IF(C952="","",IF(ISNUMBER(SEARCH("PCMSO",C952)),"Título com PCMSO no nome",IF(OR(ISNUMBER(SEARCH("E-SOCIAL",C952)),ISNUMBER(SEARCH("PSICOSOCIAL",C952))),"Título com eSocial/Psicossocial no nome",IF(O952="Receita recorrente","Tipo DRE recorrente","Extra sem palavra-chave específica"))))</f>
        <v/>
      </c>
      <c r="S952" s="92">
        <f>IFERROR(VLOOKUP($A952,'13. Mapa Títulos-Receita'!$A$8:$P$1000,4,FALSE),"")</f>
        <v/>
      </c>
      <c r="T952" s="92">
        <f>IFERROR(VLOOKUP($A952,'13. Mapa Títulos-Receita'!$A$8:$P$1000,5,FALSE),"")</f>
        <v/>
      </c>
      <c r="U952" s="92">
        <f>IFERROR(VLOOKUP($A952,'13. Mapa Títulos-Receita'!$A$8:$P$1000,6,FALSE),"")</f>
        <v/>
      </c>
      <c r="V952" s="92">
        <f>IFERROR(VLOOKUP($A952,'13. Mapa Títulos-Receita'!$A$8:$P$1000,7,FALSE),"")</f>
        <v/>
      </c>
      <c r="W952" s="92">
        <f>IFERROR(VLOOKUP($A952,'13. Mapa Títulos-Receita'!$A$8:$P$1000,8,FALSE),"")</f>
        <v/>
      </c>
      <c r="X952" s="92">
        <f>IFERROR(VLOOKUP($A952,'13. Mapa Títulos-Receita'!$A$8:$P$1000,9,FALSE),"")</f>
        <v/>
      </c>
      <c r="Y952" s="92">
        <f>IFERROR(VLOOKUP($A952,'13. Mapa Títulos-Receita'!$A$8:$P$1000,10,FALSE),"")</f>
        <v/>
      </c>
      <c r="Z952" s="92">
        <f>IFERROR(VLOOKUP($A952,'13. Mapa Títulos-Receita'!$A$8:$P$1000,11,FALSE),"")</f>
        <v/>
      </c>
      <c r="AA952" s="92">
        <f>IFERROR(VLOOKUP($A952,'13. Mapa Títulos-Receita'!$A$8:$P$1000,12,FALSE),"")</f>
        <v/>
      </c>
      <c r="AB952" s="92">
        <f>IFERROR(VLOOKUP($A952,'13. Mapa Títulos-Receita'!$A$8:$P$1000,13,FALSE),"")</f>
        <v/>
      </c>
      <c r="AC952" s="92">
        <f>IFERROR(VLOOKUP($A952,'13. Mapa Títulos-Receita'!$A$8:$P$1000,14,FALSE),"")</f>
        <v/>
      </c>
      <c r="AD952" s="92">
        <f>IFERROR(VLOOKUP($A952,'13. Mapa Títulos-Receita'!$A$8:$P$1000,15,FALSE),"")</f>
        <v/>
      </c>
      <c r="AE952" s="92">
        <f>IFERROR(VLOOKUP($A952,'13. Mapa Títulos-Receita'!$A$8:$P$1000,16,FALSE),"")</f>
        <v/>
      </c>
    </row>
    <row r="953">
      <c r="A953" s="28">
        <f>IF(C953="","", "CR-"&amp;TEXT(ROW()-7,"000"))</f>
        <v/>
      </c>
      <c r="B953" s="28" t="n"/>
      <c r="C953" s="28" t="n"/>
      <c r="D953" s="111" t="n"/>
      <c r="E953" s="111" t="n"/>
      <c r="F953" s="111" t="n"/>
      <c r="G953" s="28" t="n"/>
      <c r="H953" s="45" t="n"/>
      <c r="I953" s="45" t="n"/>
      <c r="J953" s="28">
        <f>IF(H953="","",IF(I953&gt;=H953,"Recebido",IF($B$4&gt;E953,"Vencido","Aberto")))</f>
        <v/>
      </c>
      <c r="K953" s="4">
        <f>IF(J953="","",IF(OR(J953="Recebido",F953=""),MAX(0,F953-E953),MAX(0,$B$4-E953)))</f>
        <v/>
      </c>
      <c r="L953" s="4">
        <f>IF(K953="","",IF(K953=0,"Em dia",IF(K953&lt;=30,"1-30 dias",IF(K953&lt;=60,"31-60 dias",IF(K953&lt;=90,"61-90 dias","&gt;90 dias")))))</f>
        <v/>
      </c>
      <c r="M953" s="28" t="n"/>
      <c r="N953" s="104" t="inlineStr"/>
      <c r="O953" s="64" t="n"/>
      <c r="P953" s="64">
        <f>IF(C953="","",IF(ISNUMBER(SEARCH("PCMSO",C953)),"PCMSO",IF(OR(ISNUMBER(SEARCH("E-SOCIAL",C953)),ISNUMBER(SEARCH("PSICOSOCIAL",C953))),"eSocial / Psicossocial",IF(O953="Receita recorrente","Carteira recorrente","Projetos / Laudos / Avulsos"))))</f>
        <v/>
      </c>
      <c r="Q953" s="64">
        <f>IF(P953="","",IF(P953="Carteira recorrente","Operação recorrente",IF(P953="PCMSO","Projetos PCMSO",IF(P953="eSocial / Psicossocial","Projetos eSocial/Psicossocial","Projetos / Laudos / Avulsos"))))</f>
        <v/>
      </c>
      <c r="R953" s="64">
        <f>IF(C953="","",IF(ISNUMBER(SEARCH("PCMSO",C953)),"Título com PCMSO no nome",IF(OR(ISNUMBER(SEARCH("E-SOCIAL",C953)),ISNUMBER(SEARCH("PSICOSOCIAL",C953))),"Título com eSocial/Psicossocial no nome",IF(O953="Receita recorrente","Tipo DRE recorrente","Extra sem palavra-chave específica"))))</f>
        <v/>
      </c>
      <c r="S953" s="92">
        <f>IFERROR(VLOOKUP($A953,'13. Mapa Títulos-Receita'!$A$8:$P$1000,4,FALSE),"")</f>
        <v/>
      </c>
      <c r="T953" s="92">
        <f>IFERROR(VLOOKUP($A953,'13. Mapa Títulos-Receita'!$A$8:$P$1000,5,FALSE),"")</f>
        <v/>
      </c>
      <c r="U953" s="92">
        <f>IFERROR(VLOOKUP($A953,'13. Mapa Títulos-Receita'!$A$8:$P$1000,6,FALSE),"")</f>
        <v/>
      </c>
      <c r="V953" s="92">
        <f>IFERROR(VLOOKUP($A953,'13. Mapa Títulos-Receita'!$A$8:$P$1000,7,FALSE),"")</f>
        <v/>
      </c>
      <c r="W953" s="92">
        <f>IFERROR(VLOOKUP($A953,'13. Mapa Títulos-Receita'!$A$8:$P$1000,8,FALSE),"")</f>
        <v/>
      </c>
      <c r="X953" s="92">
        <f>IFERROR(VLOOKUP($A953,'13. Mapa Títulos-Receita'!$A$8:$P$1000,9,FALSE),"")</f>
        <v/>
      </c>
      <c r="Y953" s="92">
        <f>IFERROR(VLOOKUP($A953,'13. Mapa Títulos-Receita'!$A$8:$P$1000,10,FALSE),"")</f>
        <v/>
      </c>
      <c r="Z953" s="92">
        <f>IFERROR(VLOOKUP($A953,'13. Mapa Títulos-Receita'!$A$8:$P$1000,11,FALSE),"")</f>
        <v/>
      </c>
      <c r="AA953" s="92">
        <f>IFERROR(VLOOKUP($A953,'13. Mapa Títulos-Receita'!$A$8:$P$1000,12,FALSE),"")</f>
        <v/>
      </c>
      <c r="AB953" s="92">
        <f>IFERROR(VLOOKUP($A953,'13. Mapa Títulos-Receita'!$A$8:$P$1000,13,FALSE),"")</f>
        <v/>
      </c>
      <c r="AC953" s="92">
        <f>IFERROR(VLOOKUP($A953,'13. Mapa Títulos-Receita'!$A$8:$P$1000,14,FALSE),"")</f>
        <v/>
      </c>
      <c r="AD953" s="92">
        <f>IFERROR(VLOOKUP($A953,'13. Mapa Títulos-Receita'!$A$8:$P$1000,15,FALSE),"")</f>
        <v/>
      </c>
      <c r="AE953" s="92">
        <f>IFERROR(VLOOKUP($A953,'13. Mapa Títulos-Receita'!$A$8:$P$1000,16,FALSE),"")</f>
        <v/>
      </c>
    </row>
    <row r="954">
      <c r="A954" s="28">
        <f>IF(C954="","", "CR-"&amp;TEXT(ROW()-7,"000"))</f>
        <v/>
      </c>
      <c r="B954" s="28" t="n"/>
      <c r="C954" s="28" t="n"/>
      <c r="D954" s="111" t="n"/>
      <c r="E954" s="111" t="n"/>
      <c r="F954" s="111" t="n"/>
      <c r="G954" s="28" t="n"/>
      <c r="H954" s="45" t="n"/>
      <c r="I954" s="45" t="n"/>
      <c r="J954" s="28">
        <f>IF(H954="","",IF(I954&gt;=H954,"Recebido",IF($B$4&gt;E954,"Vencido","Aberto")))</f>
        <v/>
      </c>
      <c r="K954" s="4">
        <f>IF(J954="","",IF(OR(J954="Recebido",F954=""),MAX(0,F954-E954),MAX(0,$B$4-E954)))</f>
        <v/>
      </c>
      <c r="L954" s="4">
        <f>IF(K954="","",IF(K954=0,"Em dia",IF(K954&lt;=30,"1-30 dias",IF(K954&lt;=60,"31-60 dias",IF(K954&lt;=90,"61-90 dias","&gt;90 dias")))))</f>
        <v/>
      </c>
      <c r="M954" s="28" t="n"/>
      <c r="N954" s="104" t="inlineStr"/>
      <c r="O954" s="64" t="n"/>
      <c r="P954" s="64">
        <f>IF(C954="","",IF(ISNUMBER(SEARCH("PCMSO",C954)),"PCMSO",IF(OR(ISNUMBER(SEARCH("E-SOCIAL",C954)),ISNUMBER(SEARCH("PSICOSOCIAL",C954))),"eSocial / Psicossocial",IF(O954="Receita recorrente","Carteira recorrente","Projetos / Laudos / Avulsos"))))</f>
        <v/>
      </c>
      <c r="Q954" s="64">
        <f>IF(P954="","",IF(P954="Carteira recorrente","Operação recorrente",IF(P954="PCMSO","Projetos PCMSO",IF(P954="eSocial / Psicossocial","Projetos eSocial/Psicossocial","Projetos / Laudos / Avulsos"))))</f>
        <v/>
      </c>
      <c r="R954" s="64">
        <f>IF(C954="","",IF(ISNUMBER(SEARCH("PCMSO",C954)),"Título com PCMSO no nome",IF(OR(ISNUMBER(SEARCH("E-SOCIAL",C954)),ISNUMBER(SEARCH("PSICOSOCIAL",C954))),"Título com eSocial/Psicossocial no nome",IF(O954="Receita recorrente","Tipo DRE recorrente","Extra sem palavra-chave específica"))))</f>
        <v/>
      </c>
      <c r="S954" s="92">
        <f>IFERROR(VLOOKUP($A954,'13. Mapa Títulos-Receita'!$A$8:$P$1000,4,FALSE),"")</f>
        <v/>
      </c>
      <c r="T954" s="92">
        <f>IFERROR(VLOOKUP($A954,'13. Mapa Títulos-Receita'!$A$8:$P$1000,5,FALSE),"")</f>
        <v/>
      </c>
      <c r="U954" s="92">
        <f>IFERROR(VLOOKUP($A954,'13. Mapa Títulos-Receita'!$A$8:$P$1000,6,FALSE),"")</f>
        <v/>
      </c>
      <c r="V954" s="92">
        <f>IFERROR(VLOOKUP($A954,'13. Mapa Títulos-Receita'!$A$8:$P$1000,7,FALSE),"")</f>
        <v/>
      </c>
      <c r="W954" s="92">
        <f>IFERROR(VLOOKUP($A954,'13. Mapa Títulos-Receita'!$A$8:$P$1000,8,FALSE),"")</f>
        <v/>
      </c>
      <c r="X954" s="92">
        <f>IFERROR(VLOOKUP($A954,'13. Mapa Títulos-Receita'!$A$8:$P$1000,9,FALSE),"")</f>
        <v/>
      </c>
      <c r="Y954" s="92">
        <f>IFERROR(VLOOKUP($A954,'13. Mapa Títulos-Receita'!$A$8:$P$1000,10,FALSE),"")</f>
        <v/>
      </c>
      <c r="Z954" s="92">
        <f>IFERROR(VLOOKUP($A954,'13. Mapa Títulos-Receita'!$A$8:$P$1000,11,FALSE),"")</f>
        <v/>
      </c>
      <c r="AA954" s="92">
        <f>IFERROR(VLOOKUP($A954,'13. Mapa Títulos-Receita'!$A$8:$P$1000,12,FALSE),"")</f>
        <v/>
      </c>
      <c r="AB954" s="92">
        <f>IFERROR(VLOOKUP($A954,'13. Mapa Títulos-Receita'!$A$8:$P$1000,13,FALSE),"")</f>
        <v/>
      </c>
      <c r="AC954" s="92">
        <f>IFERROR(VLOOKUP($A954,'13. Mapa Títulos-Receita'!$A$8:$P$1000,14,FALSE),"")</f>
        <v/>
      </c>
      <c r="AD954" s="92">
        <f>IFERROR(VLOOKUP($A954,'13. Mapa Títulos-Receita'!$A$8:$P$1000,15,FALSE),"")</f>
        <v/>
      </c>
      <c r="AE954" s="92">
        <f>IFERROR(VLOOKUP($A954,'13. Mapa Títulos-Receita'!$A$8:$P$1000,16,FALSE),"")</f>
        <v/>
      </c>
    </row>
    <row r="955">
      <c r="A955" s="28">
        <f>IF(C955="","", "CR-"&amp;TEXT(ROW()-7,"000"))</f>
        <v/>
      </c>
      <c r="B955" s="28" t="n"/>
      <c r="C955" s="28" t="n"/>
      <c r="D955" s="111" t="n"/>
      <c r="E955" s="111" t="n"/>
      <c r="F955" s="111" t="n"/>
      <c r="G955" s="28" t="n"/>
      <c r="H955" s="45" t="n"/>
      <c r="I955" s="45" t="n"/>
      <c r="J955" s="28">
        <f>IF(H955="","",IF(I955&gt;=H955,"Recebido",IF($B$4&gt;E955,"Vencido","Aberto")))</f>
        <v/>
      </c>
      <c r="K955" s="4">
        <f>IF(J955="","",IF(OR(J955="Recebido",F955=""),MAX(0,F955-E955),MAX(0,$B$4-E955)))</f>
        <v/>
      </c>
      <c r="L955" s="4">
        <f>IF(K955="","",IF(K955=0,"Em dia",IF(K955&lt;=30,"1-30 dias",IF(K955&lt;=60,"31-60 dias",IF(K955&lt;=90,"61-90 dias","&gt;90 dias")))))</f>
        <v/>
      </c>
      <c r="M955" s="28" t="n"/>
      <c r="N955" s="104" t="inlineStr"/>
      <c r="O955" s="64" t="n"/>
      <c r="P955" s="64">
        <f>IF(C955="","",IF(ISNUMBER(SEARCH("PCMSO",C955)),"PCMSO",IF(OR(ISNUMBER(SEARCH("E-SOCIAL",C955)),ISNUMBER(SEARCH("PSICOSOCIAL",C955))),"eSocial / Psicossocial",IF(O955="Receita recorrente","Carteira recorrente","Projetos / Laudos / Avulsos"))))</f>
        <v/>
      </c>
      <c r="Q955" s="64">
        <f>IF(P955="","",IF(P955="Carteira recorrente","Operação recorrente",IF(P955="PCMSO","Projetos PCMSO",IF(P955="eSocial / Psicossocial","Projetos eSocial/Psicossocial","Projetos / Laudos / Avulsos"))))</f>
        <v/>
      </c>
      <c r="R955" s="64">
        <f>IF(C955="","",IF(ISNUMBER(SEARCH("PCMSO",C955)),"Título com PCMSO no nome",IF(OR(ISNUMBER(SEARCH("E-SOCIAL",C955)),ISNUMBER(SEARCH("PSICOSOCIAL",C955))),"Título com eSocial/Psicossocial no nome",IF(O955="Receita recorrente","Tipo DRE recorrente","Extra sem palavra-chave específica"))))</f>
        <v/>
      </c>
      <c r="S955" s="92">
        <f>IFERROR(VLOOKUP($A955,'13. Mapa Títulos-Receita'!$A$8:$P$1000,4,FALSE),"")</f>
        <v/>
      </c>
      <c r="T955" s="92">
        <f>IFERROR(VLOOKUP($A955,'13. Mapa Títulos-Receita'!$A$8:$P$1000,5,FALSE),"")</f>
        <v/>
      </c>
      <c r="U955" s="92">
        <f>IFERROR(VLOOKUP($A955,'13. Mapa Títulos-Receita'!$A$8:$P$1000,6,FALSE),"")</f>
        <v/>
      </c>
      <c r="V955" s="92">
        <f>IFERROR(VLOOKUP($A955,'13. Mapa Títulos-Receita'!$A$8:$P$1000,7,FALSE),"")</f>
        <v/>
      </c>
      <c r="W955" s="92">
        <f>IFERROR(VLOOKUP($A955,'13. Mapa Títulos-Receita'!$A$8:$P$1000,8,FALSE),"")</f>
        <v/>
      </c>
      <c r="X955" s="92">
        <f>IFERROR(VLOOKUP($A955,'13. Mapa Títulos-Receita'!$A$8:$P$1000,9,FALSE),"")</f>
        <v/>
      </c>
      <c r="Y955" s="92">
        <f>IFERROR(VLOOKUP($A955,'13. Mapa Títulos-Receita'!$A$8:$P$1000,10,FALSE),"")</f>
        <v/>
      </c>
      <c r="Z955" s="92">
        <f>IFERROR(VLOOKUP($A955,'13. Mapa Títulos-Receita'!$A$8:$P$1000,11,FALSE),"")</f>
        <v/>
      </c>
      <c r="AA955" s="92">
        <f>IFERROR(VLOOKUP($A955,'13. Mapa Títulos-Receita'!$A$8:$P$1000,12,FALSE),"")</f>
        <v/>
      </c>
      <c r="AB955" s="92">
        <f>IFERROR(VLOOKUP($A955,'13. Mapa Títulos-Receita'!$A$8:$P$1000,13,FALSE),"")</f>
        <v/>
      </c>
      <c r="AC955" s="92">
        <f>IFERROR(VLOOKUP($A955,'13. Mapa Títulos-Receita'!$A$8:$P$1000,14,FALSE),"")</f>
        <v/>
      </c>
      <c r="AD955" s="92">
        <f>IFERROR(VLOOKUP($A955,'13. Mapa Títulos-Receita'!$A$8:$P$1000,15,FALSE),"")</f>
        <v/>
      </c>
      <c r="AE955" s="92">
        <f>IFERROR(VLOOKUP($A955,'13. Mapa Títulos-Receita'!$A$8:$P$1000,16,FALSE),"")</f>
        <v/>
      </c>
    </row>
    <row r="956">
      <c r="A956" s="28">
        <f>IF(C956="","", "CR-"&amp;TEXT(ROW()-7,"000"))</f>
        <v/>
      </c>
      <c r="B956" s="28" t="n"/>
      <c r="C956" s="28" t="n"/>
      <c r="D956" s="111" t="n"/>
      <c r="E956" s="111" t="n"/>
      <c r="F956" s="111" t="n"/>
      <c r="G956" s="28" t="n"/>
      <c r="H956" s="45" t="n"/>
      <c r="I956" s="45" t="n"/>
      <c r="J956" s="28">
        <f>IF(H956="","",IF(I956&gt;=H956,"Recebido",IF($B$4&gt;E956,"Vencido","Aberto")))</f>
        <v/>
      </c>
      <c r="K956" s="4">
        <f>IF(J956="","",IF(OR(J956="Recebido",F956=""),MAX(0,F956-E956),MAX(0,$B$4-E956)))</f>
        <v/>
      </c>
      <c r="L956" s="4">
        <f>IF(K956="","",IF(K956=0,"Em dia",IF(K956&lt;=30,"1-30 dias",IF(K956&lt;=60,"31-60 dias",IF(K956&lt;=90,"61-90 dias","&gt;90 dias")))))</f>
        <v/>
      </c>
      <c r="M956" s="28" t="n"/>
      <c r="N956" s="104" t="inlineStr"/>
      <c r="O956" s="64" t="n"/>
      <c r="P956" s="64">
        <f>IF(C956="","",IF(ISNUMBER(SEARCH("PCMSO",C956)),"PCMSO",IF(OR(ISNUMBER(SEARCH("E-SOCIAL",C956)),ISNUMBER(SEARCH("PSICOSOCIAL",C956))),"eSocial / Psicossocial",IF(O956="Receita recorrente","Carteira recorrente","Projetos / Laudos / Avulsos"))))</f>
        <v/>
      </c>
      <c r="Q956" s="64">
        <f>IF(P956="","",IF(P956="Carteira recorrente","Operação recorrente",IF(P956="PCMSO","Projetos PCMSO",IF(P956="eSocial / Psicossocial","Projetos eSocial/Psicossocial","Projetos / Laudos / Avulsos"))))</f>
        <v/>
      </c>
      <c r="R956" s="64">
        <f>IF(C956="","",IF(ISNUMBER(SEARCH("PCMSO",C956)),"Título com PCMSO no nome",IF(OR(ISNUMBER(SEARCH("E-SOCIAL",C956)),ISNUMBER(SEARCH("PSICOSOCIAL",C956))),"Título com eSocial/Psicossocial no nome",IF(O956="Receita recorrente","Tipo DRE recorrente","Extra sem palavra-chave específica"))))</f>
        <v/>
      </c>
      <c r="S956" s="92">
        <f>IFERROR(VLOOKUP($A956,'13. Mapa Títulos-Receita'!$A$8:$P$1000,4,FALSE),"")</f>
        <v/>
      </c>
      <c r="T956" s="92">
        <f>IFERROR(VLOOKUP($A956,'13. Mapa Títulos-Receita'!$A$8:$P$1000,5,FALSE),"")</f>
        <v/>
      </c>
      <c r="U956" s="92">
        <f>IFERROR(VLOOKUP($A956,'13. Mapa Títulos-Receita'!$A$8:$P$1000,6,FALSE),"")</f>
        <v/>
      </c>
      <c r="V956" s="92">
        <f>IFERROR(VLOOKUP($A956,'13. Mapa Títulos-Receita'!$A$8:$P$1000,7,FALSE),"")</f>
        <v/>
      </c>
      <c r="W956" s="92">
        <f>IFERROR(VLOOKUP($A956,'13. Mapa Títulos-Receita'!$A$8:$P$1000,8,FALSE),"")</f>
        <v/>
      </c>
      <c r="X956" s="92">
        <f>IFERROR(VLOOKUP($A956,'13. Mapa Títulos-Receita'!$A$8:$P$1000,9,FALSE),"")</f>
        <v/>
      </c>
      <c r="Y956" s="92">
        <f>IFERROR(VLOOKUP($A956,'13. Mapa Títulos-Receita'!$A$8:$P$1000,10,FALSE),"")</f>
        <v/>
      </c>
      <c r="Z956" s="92">
        <f>IFERROR(VLOOKUP($A956,'13. Mapa Títulos-Receita'!$A$8:$P$1000,11,FALSE),"")</f>
        <v/>
      </c>
      <c r="AA956" s="92">
        <f>IFERROR(VLOOKUP($A956,'13. Mapa Títulos-Receita'!$A$8:$P$1000,12,FALSE),"")</f>
        <v/>
      </c>
      <c r="AB956" s="92">
        <f>IFERROR(VLOOKUP($A956,'13. Mapa Títulos-Receita'!$A$8:$P$1000,13,FALSE),"")</f>
        <v/>
      </c>
      <c r="AC956" s="92">
        <f>IFERROR(VLOOKUP($A956,'13. Mapa Títulos-Receita'!$A$8:$P$1000,14,FALSE),"")</f>
        <v/>
      </c>
      <c r="AD956" s="92">
        <f>IFERROR(VLOOKUP($A956,'13. Mapa Títulos-Receita'!$A$8:$P$1000,15,FALSE),"")</f>
        <v/>
      </c>
      <c r="AE956" s="92">
        <f>IFERROR(VLOOKUP($A956,'13. Mapa Títulos-Receita'!$A$8:$P$1000,16,FALSE),"")</f>
        <v/>
      </c>
    </row>
    <row r="957">
      <c r="A957" s="28">
        <f>IF(C957="","", "CR-"&amp;TEXT(ROW()-7,"000"))</f>
        <v/>
      </c>
      <c r="B957" s="28" t="n"/>
      <c r="C957" s="28" t="n"/>
      <c r="D957" s="111" t="n"/>
      <c r="E957" s="111" t="n"/>
      <c r="F957" s="111" t="n"/>
      <c r="G957" s="28" t="n"/>
      <c r="H957" s="45" t="n"/>
      <c r="I957" s="45" t="n"/>
      <c r="J957" s="28">
        <f>IF(H957="","",IF(I957&gt;=H957,"Recebido",IF($B$4&gt;E957,"Vencido","Aberto")))</f>
        <v/>
      </c>
      <c r="K957" s="4">
        <f>IF(J957="","",IF(OR(J957="Recebido",F957=""),MAX(0,F957-E957),MAX(0,$B$4-E957)))</f>
        <v/>
      </c>
      <c r="L957" s="4">
        <f>IF(K957="","",IF(K957=0,"Em dia",IF(K957&lt;=30,"1-30 dias",IF(K957&lt;=60,"31-60 dias",IF(K957&lt;=90,"61-90 dias","&gt;90 dias")))))</f>
        <v/>
      </c>
      <c r="M957" s="28" t="n"/>
      <c r="N957" s="104" t="inlineStr"/>
      <c r="O957" s="64" t="n"/>
      <c r="P957" s="64">
        <f>IF(C957="","",IF(ISNUMBER(SEARCH("PCMSO",C957)),"PCMSO",IF(OR(ISNUMBER(SEARCH("E-SOCIAL",C957)),ISNUMBER(SEARCH("PSICOSOCIAL",C957))),"eSocial / Psicossocial",IF(O957="Receita recorrente","Carteira recorrente","Projetos / Laudos / Avulsos"))))</f>
        <v/>
      </c>
      <c r="Q957" s="64">
        <f>IF(P957="","",IF(P957="Carteira recorrente","Operação recorrente",IF(P957="PCMSO","Projetos PCMSO",IF(P957="eSocial / Psicossocial","Projetos eSocial/Psicossocial","Projetos / Laudos / Avulsos"))))</f>
        <v/>
      </c>
      <c r="R957" s="64">
        <f>IF(C957="","",IF(ISNUMBER(SEARCH("PCMSO",C957)),"Título com PCMSO no nome",IF(OR(ISNUMBER(SEARCH("E-SOCIAL",C957)),ISNUMBER(SEARCH("PSICOSOCIAL",C957))),"Título com eSocial/Psicossocial no nome",IF(O957="Receita recorrente","Tipo DRE recorrente","Extra sem palavra-chave específica"))))</f>
        <v/>
      </c>
      <c r="S957" s="92">
        <f>IFERROR(VLOOKUP($A957,'13. Mapa Títulos-Receita'!$A$8:$P$1000,4,FALSE),"")</f>
        <v/>
      </c>
      <c r="T957" s="92">
        <f>IFERROR(VLOOKUP($A957,'13. Mapa Títulos-Receita'!$A$8:$P$1000,5,FALSE),"")</f>
        <v/>
      </c>
      <c r="U957" s="92">
        <f>IFERROR(VLOOKUP($A957,'13. Mapa Títulos-Receita'!$A$8:$P$1000,6,FALSE),"")</f>
        <v/>
      </c>
      <c r="V957" s="92">
        <f>IFERROR(VLOOKUP($A957,'13. Mapa Títulos-Receita'!$A$8:$P$1000,7,FALSE),"")</f>
        <v/>
      </c>
      <c r="W957" s="92">
        <f>IFERROR(VLOOKUP($A957,'13. Mapa Títulos-Receita'!$A$8:$P$1000,8,FALSE),"")</f>
        <v/>
      </c>
      <c r="X957" s="92">
        <f>IFERROR(VLOOKUP($A957,'13. Mapa Títulos-Receita'!$A$8:$P$1000,9,FALSE),"")</f>
        <v/>
      </c>
      <c r="Y957" s="92">
        <f>IFERROR(VLOOKUP($A957,'13. Mapa Títulos-Receita'!$A$8:$P$1000,10,FALSE),"")</f>
        <v/>
      </c>
      <c r="Z957" s="92">
        <f>IFERROR(VLOOKUP($A957,'13. Mapa Títulos-Receita'!$A$8:$P$1000,11,FALSE),"")</f>
        <v/>
      </c>
      <c r="AA957" s="92">
        <f>IFERROR(VLOOKUP($A957,'13. Mapa Títulos-Receita'!$A$8:$P$1000,12,FALSE),"")</f>
        <v/>
      </c>
      <c r="AB957" s="92">
        <f>IFERROR(VLOOKUP($A957,'13. Mapa Títulos-Receita'!$A$8:$P$1000,13,FALSE),"")</f>
        <v/>
      </c>
      <c r="AC957" s="92">
        <f>IFERROR(VLOOKUP($A957,'13. Mapa Títulos-Receita'!$A$8:$P$1000,14,FALSE),"")</f>
        <v/>
      </c>
      <c r="AD957" s="92">
        <f>IFERROR(VLOOKUP($A957,'13. Mapa Títulos-Receita'!$A$8:$P$1000,15,FALSE),"")</f>
        <v/>
      </c>
      <c r="AE957" s="92">
        <f>IFERROR(VLOOKUP($A957,'13. Mapa Títulos-Receita'!$A$8:$P$1000,16,FALSE),"")</f>
        <v/>
      </c>
    </row>
    <row r="958">
      <c r="A958" s="28">
        <f>IF(C958="","", "CR-"&amp;TEXT(ROW()-7,"000"))</f>
        <v/>
      </c>
      <c r="B958" s="28" t="n"/>
      <c r="C958" s="28" t="n"/>
      <c r="D958" s="111" t="n"/>
      <c r="E958" s="111" t="n"/>
      <c r="F958" s="111" t="n"/>
      <c r="G958" s="28" t="n"/>
      <c r="H958" s="45" t="n"/>
      <c r="I958" s="45" t="n"/>
      <c r="J958" s="28">
        <f>IF(H958="","",IF(I958&gt;=H958,"Recebido",IF($B$4&gt;E958,"Vencido","Aberto")))</f>
        <v/>
      </c>
      <c r="K958" s="4">
        <f>IF(J958="","",IF(OR(J958="Recebido",F958=""),MAX(0,F958-E958),MAX(0,$B$4-E958)))</f>
        <v/>
      </c>
      <c r="L958" s="4">
        <f>IF(K958="","",IF(K958=0,"Em dia",IF(K958&lt;=30,"1-30 dias",IF(K958&lt;=60,"31-60 dias",IF(K958&lt;=90,"61-90 dias","&gt;90 dias")))))</f>
        <v/>
      </c>
      <c r="M958" s="28" t="n"/>
      <c r="N958" s="104" t="inlineStr"/>
      <c r="O958" s="64" t="n"/>
      <c r="P958" s="64">
        <f>IF(C958="","",IF(ISNUMBER(SEARCH("PCMSO",C958)),"PCMSO",IF(OR(ISNUMBER(SEARCH("E-SOCIAL",C958)),ISNUMBER(SEARCH("PSICOSOCIAL",C958))),"eSocial / Psicossocial",IF(O958="Receita recorrente","Carteira recorrente","Projetos / Laudos / Avulsos"))))</f>
        <v/>
      </c>
      <c r="Q958" s="64">
        <f>IF(P958="","",IF(P958="Carteira recorrente","Operação recorrente",IF(P958="PCMSO","Projetos PCMSO",IF(P958="eSocial / Psicossocial","Projetos eSocial/Psicossocial","Projetos / Laudos / Avulsos"))))</f>
        <v/>
      </c>
      <c r="R958" s="64">
        <f>IF(C958="","",IF(ISNUMBER(SEARCH("PCMSO",C958)),"Título com PCMSO no nome",IF(OR(ISNUMBER(SEARCH("E-SOCIAL",C958)),ISNUMBER(SEARCH("PSICOSOCIAL",C958))),"Título com eSocial/Psicossocial no nome",IF(O958="Receita recorrente","Tipo DRE recorrente","Extra sem palavra-chave específica"))))</f>
        <v/>
      </c>
      <c r="S958" s="92">
        <f>IFERROR(VLOOKUP($A958,'13. Mapa Títulos-Receita'!$A$8:$P$1000,4,FALSE),"")</f>
        <v/>
      </c>
      <c r="T958" s="92">
        <f>IFERROR(VLOOKUP($A958,'13. Mapa Títulos-Receita'!$A$8:$P$1000,5,FALSE),"")</f>
        <v/>
      </c>
      <c r="U958" s="92">
        <f>IFERROR(VLOOKUP($A958,'13. Mapa Títulos-Receita'!$A$8:$P$1000,6,FALSE),"")</f>
        <v/>
      </c>
      <c r="V958" s="92">
        <f>IFERROR(VLOOKUP($A958,'13. Mapa Títulos-Receita'!$A$8:$P$1000,7,FALSE),"")</f>
        <v/>
      </c>
      <c r="W958" s="92">
        <f>IFERROR(VLOOKUP($A958,'13. Mapa Títulos-Receita'!$A$8:$P$1000,8,FALSE),"")</f>
        <v/>
      </c>
      <c r="X958" s="92">
        <f>IFERROR(VLOOKUP($A958,'13. Mapa Títulos-Receita'!$A$8:$P$1000,9,FALSE),"")</f>
        <v/>
      </c>
      <c r="Y958" s="92">
        <f>IFERROR(VLOOKUP($A958,'13. Mapa Títulos-Receita'!$A$8:$P$1000,10,FALSE),"")</f>
        <v/>
      </c>
      <c r="Z958" s="92">
        <f>IFERROR(VLOOKUP($A958,'13. Mapa Títulos-Receita'!$A$8:$P$1000,11,FALSE),"")</f>
        <v/>
      </c>
      <c r="AA958" s="92">
        <f>IFERROR(VLOOKUP($A958,'13. Mapa Títulos-Receita'!$A$8:$P$1000,12,FALSE),"")</f>
        <v/>
      </c>
      <c r="AB958" s="92">
        <f>IFERROR(VLOOKUP($A958,'13. Mapa Títulos-Receita'!$A$8:$P$1000,13,FALSE),"")</f>
        <v/>
      </c>
      <c r="AC958" s="92">
        <f>IFERROR(VLOOKUP($A958,'13. Mapa Títulos-Receita'!$A$8:$P$1000,14,FALSE),"")</f>
        <v/>
      </c>
      <c r="AD958" s="92">
        <f>IFERROR(VLOOKUP($A958,'13. Mapa Títulos-Receita'!$A$8:$P$1000,15,FALSE),"")</f>
        <v/>
      </c>
      <c r="AE958" s="92">
        <f>IFERROR(VLOOKUP($A958,'13. Mapa Títulos-Receita'!$A$8:$P$1000,16,FALSE),"")</f>
        <v/>
      </c>
    </row>
    <row r="959">
      <c r="A959" s="28">
        <f>IF(C959="","", "CR-"&amp;TEXT(ROW()-7,"000"))</f>
        <v/>
      </c>
      <c r="B959" s="28" t="n"/>
      <c r="C959" s="28" t="n"/>
      <c r="D959" s="111" t="n"/>
      <c r="E959" s="111" t="n"/>
      <c r="F959" s="111" t="n"/>
      <c r="G959" s="28" t="n"/>
      <c r="H959" s="45" t="n"/>
      <c r="I959" s="45" t="n"/>
      <c r="J959" s="28">
        <f>IF(H959="","",IF(I959&gt;=H959,"Recebido",IF($B$4&gt;E959,"Vencido","Aberto")))</f>
        <v/>
      </c>
      <c r="K959" s="4">
        <f>IF(J959="","",IF(OR(J959="Recebido",F959=""),MAX(0,F959-E959),MAX(0,$B$4-E959)))</f>
        <v/>
      </c>
      <c r="L959" s="4">
        <f>IF(K959="","",IF(K959=0,"Em dia",IF(K959&lt;=30,"1-30 dias",IF(K959&lt;=60,"31-60 dias",IF(K959&lt;=90,"61-90 dias","&gt;90 dias")))))</f>
        <v/>
      </c>
      <c r="M959" s="28" t="n"/>
      <c r="N959" s="104" t="inlineStr"/>
      <c r="O959" s="64" t="n"/>
      <c r="P959" s="64">
        <f>IF(C959="","",IF(ISNUMBER(SEARCH("PCMSO",C959)),"PCMSO",IF(OR(ISNUMBER(SEARCH("E-SOCIAL",C959)),ISNUMBER(SEARCH("PSICOSOCIAL",C959))),"eSocial / Psicossocial",IF(O959="Receita recorrente","Carteira recorrente","Projetos / Laudos / Avulsos"))))</f>
        <v/>
      </c>
      <c r="Q959" s="64">
        <f>IF(P959="","",IF(P959="Carteira recorrente","Operação recorrente",IF(P959="PCMSO","Projetos PCMSO",IF(P959="eSocial / Psicossocial","Projetos eSocial/Psicossocial","Projetos / Laudos / Avulsos"))))</f>
        <v/>
      </c>
      <c r="R959" s="64">
        <f>IF(C959="","",IF(ISNUMBER(SEARCH("PCMSO",C959)),"Título com PCMSO no nome",IF(OR(ISNUMBER(SEARCH("E-SOCIAL",C959)),ISNUMBER(SEARCH("PSICOSOCIAL",C959))),"Título com eSocial/Psicossocial no nome",IF(O959="Receita recorrente","Tipo DRE recorrente","Extra sem palavra-chave específica"))))</f>
        <v/>
      </c>
      <c r="S959" s="92">
        <f>IFERROR(VLOOKUP($A959,'13. Mapa Títulos-Receita'!$A$8:$P$1000,4,FALSE),"")</f>
        <v/>
      </c>
      <c r="T959" s="92">
        <f>IFERROR(VLOOKUP($A959,'13. Mapa Títulos-Receita'!$A$8:$P$1000,5,FALSE),"")</f>
        <v/>
      </c>
      <c r="U959" s="92">
        <f>IFERROR(VLOOKUP($A959,'13. Mapa Títulos-Receita'!$A$8:$P$1000,6,FALSE),"")</f>
        <v/>
      </c>
      <c r="V959" s="92">
        <f>IFERROR(VLOOKUP($A959,'13. Mapa Títulos-Receita'!$A$8:$P$1000,7,FALSE),"")</f>
        <v/>
      </c>
      <c r="W959" s="92">
        <f>IFERROR(VLOOKUP($A959,'13. Mapa Títulos-Receita'!$A$8:$P$1000,8,FALSE),"")</f>
        <v/>
      </c>
      <c r="X959" s="92">
        <f>IFERROR(VLOOKUP($A959,'13. Mapa Títulos-Receita'!$A$8:$P$1000,9,FALSE),"")</f>
        <v/>
      </c>
      <c r="Y959" s="92">
        <f>IFERROR(VLOOKUP($A959,'13. Mapa Títulos-Receita'!$A$8:$P$1000,10,FALSE),"")</f>
        <v/>
      </c>
      <c r="Z959" s="92">
        <f>IFERROR(VLOOKUP($A959,'13. Mapa Títulos-Receita'!$A$8:$P$1000,11,FALSE),"")</f>
        <v/>
      </c>
      <c r="AA959" s="92">
        <f>IFERROR(VLOOKUP($A959,'13. Mapa Títulos-Receita'!$A$8:$P$1000,12,FALSE),"")</f>
        <v/>
      </c>
      <c r="AB959" s="92">
        <f>IFERROR(VLOOKUP($A959,'13. Mapa Títulos-Receita'!$A$8:$P$1000,13,FALSE),"")</f>
        <v/>
      </c>
      <c r="AC959" s="92">
        <f>IFERROR(VLOOKUP($A959,'13. Mapa Títulos-Receita'!$A$8:$P$1000,14,FALSE),"")</f>
        <v/>
      </c>
      <c r="AD959" s="92">
        <f>IFERROR(VLOOKUP($A959,'13. Mapa Títulos-Receita'!$A$8:$P$1000,15,FALSE),"")</f>
        <v/>
      </c>
      <c r="AE959" s="92">
        <f>IFERROR(VLOOKUP($A959,'13. Mapa Títulos-Receita'!$A$8:$P$1000,16,FALSE),"")</f>
        <v/>
      </c>
    </row>
    <row r="960">
      <c r="A960" s="28">
        <f>IF(C960="","", "CR-"&amp;TEXT(ROW()-7,"000"))</f>
        <v/>
      </c>
      <c r="B960" s="28" t="n"/>
      <c r="C960" s="28" t="n"/>
      <c r="D960" s="111" t="n"/>
      <c r="E960" s="111" t="n"/>
      <c r="F960" s="111" t="n"/>
      <c r="G960" s="28" t="n"/>
      <c r="H960" s="45" t="n"/>
      <c r="I960" s="45" t="n"/>
      <c r="J960" s="28">
        <f>IF(H960="","",IF(I960&gt;=H960,"Recebido",IF($B$4&gt;E960,"Vencido","Aberto")))</f>
        <v/>
      </c>
      <c r="K960" s="4">
        <f>IF(J960="","",IF(OR(J960="Recebido",F960=""),MAX(0,F960-E960),MAX(0,$B$4-E960)))</f>
        <v/>
      </c>
      <c r="L960" s="4">
        <f>IF(K960="","",IF(K960=0,"Em dia",IF(K960&lt;=30,"1-30 dias",IF(K960&lt;=60,"31-60 dias",IF(K960&lt;=90,"61-90 dias","&gt;90 dias")))))</f>
        <v/>
      </c>
      <c r="M960" s="28" t="n"/>
      <c r="N960" s="104" t="inlineStr"/>
      <c r="O960" s="64" t="n"/>
      <c r="P960" s="64">
        <f>IF(C960="","",IF(ISNUMBER(SEARCH("PCMSO",C960)),"PCMSO",IF(OR(ISNUMBER(SEARCH("E-SOCIAL",C960)),ISNUMBER(SEARCH("PSICOSOCIAL",C960))),"eSocial / Psicossocial",IF(O960="Receita recorrente","Carteira recorrente","Projetos / Laudos / Avulsos"))))</f>
        <v/>
      </c>
      <c r="Q960" s="64">
        <f>IF(P960="","",IF(P960="Carteira recorrente","Operação recorrente",IF(P960="PCMSO","Projetos PCMSO",IF(P960="eSocial / Psicossocial","Projetos eSocial/Psicossocial","Projetos / Laudos / Avulsos"))))</f>
        <v/>
      </c>
      <c r="R960" s="64">
        <f>IF(C960="","",IF(ISNUMBER(SEARCH("PCMSO",C960)),"Título com PCMSO no nome",IF(OR(ISNUMBER(SEARCH("E-SOCIAL",C960)),ISNUMBER(SEARCH("PSICOSOCIAL",C960))),"Título com eSocial/Psicossocial no nome",IF(O960="Receita recorrente","Tipo DRE recorrente","Extra sem palavra-chave específica"))))</f>
        <v/>
      </c>
      <c r="S960" s="92">
        <f>IFERROR(VLOOKUP($A960,'13. Mapa Títulos-Receita'!$A$8:$P$1000,4,FALSE),"")</f>
        <v/>
      </c>
      <c r="T960" s="92">
        <f>IFERROR(VLOOKUP($A960,'13. Mapa Títulos-Receita'!$A$8:$P$1000,5,FALSE),"")</f>
        <v/>
      </c>
      <c r="U960" s="92">
        <f>IFERROR(VLOOKUP($A960,'13. Mapa Títulos-Receita'!$A$8:$P$1000,6,FALSE),"")</f>
        <v/>
      </c>
      <c r="V960" s="92">
        <f>IFERROR(VLOOKUP($A960,'13. Mapa Títulos-Receita'!$A$8:$P$1000,7,FALSE),"")</f>
        <v/>
      </c>
      <c r="W960" s="92">
        <f>IFERROR(VLOOKUP($A960,'13. Mapa Títulos-Receita'!$A$8:$P$1000,8,FALSE),"")</f>
        <v/>
      </c>
      <c r="X960" s="92">
        <f>IFERROR(VLOOKUP($A960,'13. Mapa Títulos-Receita'!$A$8:$P$1000,9,FALSE),"")</f>
        <v/>
      </c>
      <c r="Y960" s="92">
        <f>IFERROR(VLOOKUP($A960,'13. Mapa Títulos-Receita'!$A$8:$P$1000,10,FALSE),"")</f>
        <v/>
      </c>
      <c r="Z960" s="92">
        <f>IFERROR(VLOOKUP($A960,'13. Mapa Títulos-Receita'!$A$8:$P$1000,11,FALSE),"")</f>
        <v/>
      </c>
      <c r="AA960" s="92">
        <f>IFERROR(VLOOKUP($A960,'13. Mapa Títulos-Receita'!$A$8:$P$1000,12,FALSE),"")</f>
        <v/>
      </c>
      <c r="AB960" s="92">
        <f>IFERROR(VLOOKUP($A960,'13. Mapa Títulos-Receita'!$A$8:$P$1000,13,FALSE),"")</f>
        <v/>
      </c>
      <c r="AC960" s="92">
        <f>IFERROR(VLOOKUP($A960,'13. Mapa Títulos-Receita'!$A$8:$P$1000,14,FALSE),"")</f>
        <v/>
      </c>
      <c r="AD960" s="92">
        <f>IFERROR(VLOOKUP($A960,'13. Mapa Títulos-Receita'!$A$8:$P$1000,15,FALSE),"")</f>
        <v/>
      </c>
      <c r="AE960" s="92">
        <f>IFERROR(VLOOKUP($A960,'13. Mapa Títulos-Receita'!$A$8:$P$1000,16,FALSE),"")</f>
        <v/>
      </c>
    </row>
    <row r="961">
      <c r="A961" s="28">
        <f>IF(C961="","", "CR-"&amp;TEXT(ROW()-7,"000"))</f>
        <v/>
      </c>
      <c r="B961" s="28" t="n"/>
      <c r="C961" s="28" t="n"/>
      <c r="D961" s="111" t="n"/>
      <c r="E961" s="111" t="n"/>
      <c r="F961" s="111" t="n"/>
      <c r="G961" s="28" t="n"/>
      <c r="H961" s="45" t="n"/>
      <c r="I961" s="45" t="n"/>
      <c r="J961" s="28">
        <f>IF(H961="","",IF(I961&gt;=H961,"Recebido",IF($B$4&gt;E961,"Vencido","Aberto")))</f>
        <v/>
      </c>
      <c r="K961" s="4">
        <f>IF(J961="","",IF(OR(J961="Recebido",F961=""),MAX(0,F961-E961),MAX(0,$B$4-E961)))</f>
        <v/>
      </c>
      <c r="L961" s="4">
        <f>IF(K961="","",IF(K961=0,"Em dia",IF(K961&lt;=30,"1-30 dias",IF(K961&lt;=60,"31-60 dias",IF(K961&lt;=90,"61-90 dias","&gt;90 dias")))))</f>
        <v/>
      </c>
      <c r="M961" s="28" t="n"/>
      <c r="N961" s="104" t="inlineStr"/>
      <c r="O961" s="64" t="n"/>
      <c r="P961" s="64">
        <f>IF(C961="","",IF(ISNUMBER(SEARCH("PCMSO",C961)),"PCMSO",IF(OR(ISNUMBER(SEARCH("E-SOCIAL",C961)),ISNUMBER(SEARCH("PSICOSOCIAL",C961))),"eSocial / Psicossocial",IF(O961="Receita recorrente","Carteira recorrente","Projetos / Laudos / Avulsos"))))</f>
        <v/>
      </c>
      <c r="Q961" s="64">
        <f>IF(P961="","",IF(P961="Carteira recorrente","Operação recorrente",IF(P961="PCMSO","Projetos PCMSO",IF(P961="eSocial / Psicossocial","Projetos eSocial/Psicossocial","Projetos / Laudos / Avulsos"))))</f>
        <v/>
      </c>
      <c r="R961" s="64">
        <f>IF(C961="","",IF(ISNUMBER(SEARCH("PCMSO",C961)),"Título com PCMSO no nome",IF(OR(ISNUMBER(SEARCH("E-SOCIAL",C961)),ISNUMBER(SEARCH("PSICOSOCIAL",C961))),"Título com eSocial/Psicossocial no nome",IF(O961="Receita recorrente","Tipo DRE recorrente","Extra sem palavra-chave específica"))))</f>
        <v/>
      </c>
      <c r="S961" s="92">
        <f>IFERROR(VLOOKUP($A961,'13. Mapa Títulos-Receita'!$A$8:$P$1000,4,FALSE),"")</f>
        <v/>
      </c>
      <c r="T961" s="92">
        <f>IFERROR(VLOOKUP($A961,'13. Mapa Títulos-Receita'!$A$8:$P$1000,5,FALSE),"")</f>
        <v/>
      </c>
      <c r="U961" s="92">
        <f>IFERROR(VLOOKUP($A961,'13. Mapa Títulos-Receita'!$A$8:$P$1000,6,FALSE),"")</f>
        <v/>
      </c>
      <c r="V961" s="92">
        <f>IFERROR(VLOOKUP($A961,'13. Mapa Títulos-Receita'!$A$8:$P$1000,7,FALSE),"")</f>
        <v/>
      </c>
      <c r="W961" s="92">
        <f>IFERROR(VLOOKUP($A961,'13. Mapa Títulos-Receita'!$A$8:$P$1000,8,FALSE),"")</f>
        <v/>
      </c>
      <c r="X961" s="92">
        <f>IFERROR(VLOOKUP($A961,'13. Mapa Títulos-Receita'!$A$8:$P$1000,9,FALSE),"")</f>
        <v/>
      </c>
      <c r="Y961" s="92">
        <f>IFERROR(VLOOKUP($A961,'13. Mapa Títulos-Receita'!$A$8:$P$1000,10,FALSE),"")</f>
        <v/>
      </c>
      <c r="Z961" s="92">
        <f>IFERROR(VLOOKUP($A961,'13. Mapa Títulos-Receita'!$A$8:$P$1000,11,FALSE),"")</f>
        <v/>
      </c>
      <c r="AA961" s="92">
        <f>IFERROR(VLOOKUP($A961,'13. Mapa Títulos-Receita'!$A$8:$P$1000,12,FALSE),"")</f>
        <v/>
      </c>
      <c r="AB961" s="92">
        <f>IFERROR(VLOOKUP($A961,'13. Mapa Títulos-Receita'!$A$8:$P$1000,13,FALSE),"")</f>
        <v/>
      </c>
      <c r="AC961" s="92">
        <f>IFERROR(VLOOKUP($A961,'13. Mapa Títulos-Receita'!$A$8:$P$1000,14,FALSE),"")</f>
        <v/>
      </c>
      <c r="AD961" s="92">
        <f>IFERROR(VLOOKUP($A961,'13. Mapa Títulos-Receita'!$A$8:$P$1000,15,FALSE),"")</f>
        <v/>
      </c>
      <c r="AE961" s="92">
        <f>IFERROR(VLOOKUP($A961,'13. Mapa Títulos-Receita'!$A$8:$P$1000,16,FALSE),"")</f>
        <v/>
      </c>
    </row>
    <row r="962">
      <c r="A962" s="28">
        <f>IF(C962="","", "CR-"&amp;TEXT(ROW()-7,"000"))</f>
        <v/>
      </c>
      <c r="B962" s="28" t="n"/>
      <c r="C962" s="28" t="n"/>
      <c r="D962" s="111" t="n"/>
      <c r="E962" s="111" t="n"/>
      <c r="F962" s="111" t="n"/>
      <c r="G962" s="28" t="n"/>
      <c r="H962" s="45" t="n"/>
      <c r="I962" s="45" t="n"/>
      <c r="J962" s="28">
        <f>IF(H962="","",IF(I962&gt;=H962,"Recebido",IF($B$4&gt;E962,"Vencido","Aberto")))</f>
        <v/>
      </c>
      <c r="K962" s="4">
        <f>IF(J962="","",IF(OR(J962="Recebido",F962=""),MAX(0,F962-E962),MAX(0,$B$4-E962)))</f>
        <v/>
      </c>
      <c r="L962" s="4">
        <f>IF(K962="","",IF(K962=0,"Em dia",IF(K962&lt;=30,"1-30 dias",IF(K962&lt;=60,"31-60 dias",IF(K962&lt;=90,"61-90 dias","&gt;90 dias")))))</f>
        <v/>
      </c>
      <c r="M962" s="28" t="n"/>
      <c r="N962" s="104" t="inlineStr"/>
      <c r="O962" s="64" t="n"/>
      <c r="P962" s="64">
        <f>IF(C962="","",IF(ISNUMBER(SEARCH("PCMSO",C962)),"PCMSO",IF(OR(ISNUMBER(SEARCH("E-SOCIAL",C962)),ISNUMBER(SEARCH("PSICOSOCIAL",C962))),"eSocial / Psicossocial",IF(O962="Receita recorrente","Carteira recorrente","Projetos / Laudos / Avulsos"))))</f>
        <v/>
      </c>
      <c r="Q962" s="64">
        <f>IF(P962="","",IF(P962="Carteira recorrente","Operação recorrente",IF(P962="PCMSO","Projetos PCMSO",IF(P962="eSocial / Psicossocial","Projetos eSocial/Psicossocial","Projetos / Laudos / Avulsos"))))</f>
        <v/>
      </c>
      <c r="R962" s="64">
        <f>IF(C962="","",IF(ISNUMBER(SEARCH("PCMSO",C962)),"Título com PCMSO no nome",IF(OR(ISNUMBER(SEARCH("E-SOCIAL",C962)),ISNUMBER(SEARCH("PSICOSOCIAL",C962))),"Título com eSocial/Psicossocial no nome",IF(O962="Receita recorrente","Tipo DRE recorrente","Extra sem palavra-chave específica"))))</f>
        <v/>
      </c>
      <c r="S962" s="92">
        <f>IFERROR(VLOOKUP($A962,'13. Mapa Títulos-Receita'!$A$8:$P$1000,4,FALSE),"")</f>
        <v/>
      </c>
      <c r="T962" s="92">
        <f>IFERROR(VLOOKUP($A962,'13. Mapa Títulos-Receita'!$A$8:$P$1000,5,FALSE),"")</f>
        <v/>
      </c>
      <c r="U962" s="92">
        <f>IFERROR(VLOOKUP($A962,'13. Mapa Títulos-Receita'!$A$8:$P$1000,6,FALSE),"")</f>
        <v/>
      </c>
      <c r="V962" s="92">
        <f>IFERROR(VLOOKUP($A962,'13. Mapa Títulos-Receita'!$A$8:$P$1000,7,FALSE),"")</f>
        <v/>
      </c>
      <c r="W962" s="92">
        <f>IFERROR(VLOOKUP($A962,'13. Mapa Títulos-Receita'!$A$8:$P$1000,8,FALSE),"")</f>
        <v/>
      </c>
      <c r="X962" s="92">
        <f>IFERROR(VLOOKUP($A962,'13. Mapa Títulos-Receita'!$A$8:$P$1000,9,FALSE),"")</f>
        <v/>
      </c>
      <c r="Y962" s="92">
        <f>IFERROR(VLOOKUP($A962,'13. Mapa Títulos-Receita'!$A$8:$P$1000,10,FALSE),"")</f>
        <v/>
      </c>
      <c r="Z962" s="92">
        <f>IFERROR(VLOOKUP($A962,'13. Mapa Títulos-Receita'!$A$8:$P$1000,11,FALSE),"")</f>
        <v/>
      </c>
      <c r="AA962" s="92">
        <f>IFERROR(VLOOKUP($A962,'13. Mapa Títulos-Receita'!$A$8:$P$1000,12,FALSE),"")</f>
        <v/>
      </c>
      <c r="AB962" s="92">
        <f>IFERROR(VLOOKUP($A962,'13. Mapa Títulos-Receita'!$A$8:$P$1000,13,FALSE),"")</f>
        <v/>
      </c>
      <c r="AC962" s="92">
        <f>IFERROR(VLOOKUP($A962,'13. Mapa Títulos-Receita'!$A$8:$P$1000,14,FALSE),"")</f>
        <v/>
      </c>
      <c r="AD962" s="92">
        <f>IFERROR(VLOOKUP($A962,'13. Mapa Títulos-Receita'!$A$8:$P$1000,15,FALSE),"")</f>
        <v/>
      </c>
      <c r="AE962" s="92">
        <f>IFERROR(VLOOKUP($A962,'13. Mapa Títulos-Receita'!$A$8:$P$1000,16,FALSE),"")</f>
        <v/>
      </c>
    </row>
    <row r="963">
      <c r="A963" s="28">
        <f>IF(C963="","", "CR-"&amp;TEXT(ROW()-7,"000"))</f>
        <v/>
      </c>
      <c r="B963" s="28" t="n"/>
      <c r="C963" s="28" t="n"/>
      <c r="D963" s="111" t="n"/>
      <c r="E963" s="111" t="n"/>
      <c r="F963" s="111" t="n"/>
      <c r="G963" s="28" t="n"/>
      <c r="H963" s="45" t="n"/>
      <c r="I963" s="45" t="n"/>
      <c r="J963" s="28">
        <f>IF(H963="","",IF(I963&gt;=H963,"Recebido",IF($B$4&gt;E963,"Vencido","Aberto")))</f>
        <v/>
      </c>
      <c r="K963" s="4">
        <f>IF(J963="","",IF(OR(J963="Recebido",F963=""),MAX(0,F963-E963),MAX(0,$B$4-E963)))</f>
        <v/>
      </c>
      <c r="L963" s="4">
        <f>IF(K963="","",IF(K963=0,"Em dia",IF(K963&lt;=30,"1-30 dias",IF(K963&lt;=60,"31-60 dias",IF(K963&lt;=90,"61-90 dias","&gt;90 dias")))))</f>
        <v/>
      </c>
      <c r="M963" s="28" t="n"/>
      <c r="N963" s="104" t="inlineStr"/>
      <c r="O963" s="64" t="n"/>
      <c r="P963" s="64">
        <f>IF(C963="","",IF(ISNUMBER(SEARCH("PCMSO",C963)),"PCMSO",IF(OR(ISNUMBER(SEARCH("E-SOCIAL",C963)),ISNUMBER(SEARCH("PSICOSOCIAL",C963))),"eSocial / Psicossocial",IF(O963="Receita recorrente","Carteira recorrente","Projetos / Laudos / Avulsos"))))</f>
        <v/>
      </c>
      <c r="Q963" s="64">
        <f>IF(P963="","",IF(P963="Carteira recorrente","Operação recorrente",IF(P963="PCMSO","Projetos PCMSO",IF(P963="eSocial / Psicossocial","Projetos eSocial/Psicossocial","Projetos / Laudos / Avulsos"))))</f>
        <v/>
      </c>
      <c r="R963" s="64">
        <f>IF(C963="","",IF(ISNUMBER(SEARCH("PCMSO",C963)),"Título com PCMSO no nome",IF(OR(ISNUMBER(SEARCH("E-SOCIAL",C963)),ISNUMBER(SEARCH("PSICOSOCIAL",C963))),"Título com eSocial/Psicossocial no nome",IF(O963="Receita recorrente","Tipo DRE recorrente","Extra sem palavra-chave específica"))))</f>
        <v/>
      </c>
      <c r="S963" s="92">
        <f>IFERROR(VLOOKUP($A963,'13. Mapa Títulos-Receita'!$A$8:$P$1000,4,FALSE),"")</f>
        <v/>
      </c>
      <c r="T963" s="92">
        <f>IFERROR(VLOOKUP($A963,'13. Mapa Títulos-Receita'!$A$8:$P$1000,5,FALSE),"")</f>
        <v/>
      </c>
      <c r="U963" s="92">
        <f>IFERROR(VLOOKUP($A963,'13. Mapa Títulos-Receita'!$A$8:$P$1000,6,FALSE),"")</f>
        <v/>
      </c>
      <c r="V963" s="92">
        <f>IFERROR(VLOOKUP($A963,'13. Mapa Títulos-Receita'!$A$8:$P$1000,7,FALSE),"")</f>
        <v/>
      </c>
      <c r="W963" s="92">
        <f>IFERROR(VLOOKUP($A963,'13. Mapa Títulos-Receita'!$A$8:$P$1000,8,FALSE),"")</f>
        <v/>
      </c>
      <c r="X963" s="92">
        <f>IFERROR(VLOOKUP($A963,'13. Mapa Títulos-Receita'!$A$8:$P$1000,9,FALSE),"")</f>
        <v/>
      </c>
      <c r="Y963" s="92">
        <f>IFERROR(VLOOKUP($A963,'13. Mapa Títulos-Receita'!$A$8:$P$1000,10,FALSE),"")</f>
        <v/>
      </c>
      <c r="Z963" s="92">
        <f>IFERROR(VLOOKUP($A963,'13. Mapa Títulos-Receita'!$A$8:$P$1000,11,FALSE),"")</f>
        <v/>
      </c>
      <c r="AA963" s="92">
        <f>IFERROR(VLOOKUP($A963,'13. Mapa Títulos-Receita'!$A$8:$P$1000,12,FALSE),"")</f>
        <v/>
      </c>
      <c r="AB963" s="92">
        <f>IFERROR(VLOOKUP($A963,'13. Mapa Títulos-Receita'!$A$8:$P$1000,13,FALSE),"")</f>
        <v/>
      </c>
      <c r="AC963" s="92">
        <f>IFERROR(VLOOKUP($A963,'13. Mapa Títulos-Receita'!$A$8:$P$1000,14,FALSE),"")</f>
        <v/>
      </c>
      <c r="AD963" s="92">
        <f>IFERROR(VLOOKUP($A963,'13. Mapa Títulos-Receita'!$A$8:$P$1000,15,FALSE),"")</f>
        <v/>
      </c>
      <c r="AE963" s="92">
        <f>IFERROR(VLOOKUP($A963,'13. Mapa Títulos-Receita'!$A$8:$P$1000,16,FALSE),"")</f>
        <v/>
      </c>
    </row>
    <row r="964">
      <c r="A964" s="28">
        <f>IF(C964="","", "CR-"&amp;TEXT(ROW()-7,"000"))</f>
        <v/>
      </c>
      <c r="B964" s="28" t="n"/>
      <c r="C964" s="28" t="n"/>
      <c r="D964" s="111" t="n"/>
      <c r="E964" s="111" t="n"/>
      <c r="F964" s="111" t="n"/>
      <c r="G964" s="28" t="n"/>
      <c r="H964" s="45" t="n"/>
      <c r="I964" s="45" t="n"/>
      <c r="J964" s="28">
        <f>IF(H964="","",IF(I964&gt;=H964,"Recebido",IF($B$4&gt;E964,"Vencido","Aberto")))</f>
        <v/>
      </c>
      <c r="K964" s="4">
        <f>IF(J964="","",IF(OR(J964="Recebido",F964=""),MAX(0,F964-E964),MAX(0,$B$4-E964)))</f>
        <v/>
      </c>
      <c r="L964" s="4">
        <f>IF(K964="","",IF(K964=0,"Em dia",IF(K964&lt;=30,"1-30 dias",IF(K964&lt;=60,"31-60 dias",IF(K964&lt;=90,"61-90 dias","&gt;90 dias")))))</f>
        <v/>
      </c>
      <c r="M964" s="28" t="n"/>
      <c r="N964" s="104" t="inlineStr"/>
      <c r="O964" s="64" t="n"/>
      <c r="P964" s="64">
        <f>IF(C964="","",IF(ISNUMBER(SEARCH("PCMSO",C964)),"PCMSO",IF(OR(ISNUMBER(SEARCH("E-SOCIAL",C964)),ISNUMBER(SEARCH("PSICOSOCIAL",C964))),"eSocial / Psicossocial",IF(O964="Receita recorrente","Carteira recorrente","Projetos / Laudos / Avulsos"))))</f>
        <v/>
      </c>
      <c r="Q964" s="64">
        <f>IF(P964="","",IF(P964="Carteira recorrente","Operação recorrente",IF(P964="PCMSO","Projetos PCMSO",IF(P964="eSocial / Psicossocial","Projetos eSocial/Psicossocial","Projetos / Laudos / Avulsos"))))</f>
        <v/>
      </c>
      <c r="R964" s="64">
        <f>IF(C964="","",IF(ISNUMBER(SEARCH("PCMSO",C964)),"Título com PCMSO no nome",IF(OR(ISNUMBER(SEARCH("E-SOCIAL",C964)),ISNUMBER(SEARCH("PSICOSOCIAL",C964))),"Título com eSocial/Psicossocial no nome",IF(O964="Receita recorrente","Tipo DRE recorrente","Extra sem palavra-chave específica"))))</f>
        <v/>
      </c>
      <c r="S964" s="92">
        <f>IFERROR(VLOOKUP($A964,'13. Mapa Títulos-Receita'!$A$8:$P$1000,4,FALSE),"")</f>
        <v/>
      </c>
      <c r="T964" s="92">
        <f>IFERROR(VLOOKUP($A964,'13. Mapa Títulos-Receita'!$A$8:$P$1000,5,FALSE),"")</f>
        <v/>
      </c>
      <c r="U964" s="92">
        <f>IFERROR(VLOOKUP($A964,'13. Mapa Títulos-Receita'!$A$8:$P$1000,6,FALSE),"")</f>
        <v/>
      </c>
      <c r="V964" s="92">
        <f>IFERROR(VLOOKUP($A964,'13. Mapa Títulos-Receita'!$A$8:$P$1000,7,FALSE),"")</f>
        <v/>
      </c>
      <c r="W964" s="92">
        <f>IFERROR(VLOOKUP($A964,'13. Mapa Títulos-Receita'!$A$8:$P$1000,8,FALSE),"")</f>
        <v/>
      </c>
      <c r="X964" s="92">
        <f>IFERROR(VLOOKUP($A964,'13. Mapa Títulos-Receita'!$A$8:$P$1000,9,FALSE),"")</f>
        <v/>
      </c>
      <c r="Y964" s="92">
        <f>IFERROR(VLOOKUP($A964,'13. Mapa Títulos-Receita'!$A$8:$P$1000,10,FALSE),"")</f>
        <v/>
      </c>
      <c r="Z964" s="92">
        <f>IFERROR(VLOOKUP($A964,'13. Mapa Títulos-Receita'!$A$8:$P$1000,11,FALSE),"")</f>
        <v/>
      </c>
      <c r="AA964" s="92">
        <f>IFERROR(VLOOKUP($A964,'13. Mapa Títulos-Receita'!$A$8:$P$1000,12,FALSE),"")</f>
        <v/>
      </c>
      <c r="AB964" s="92">
        <f>IFERROR(VLOOKUP($A964,'13. Mapa Títulos-Receita'!$A$8:$P$1000,13,FALSE),"")</f>
        <v/>
      </c>
      <c r="AC964" s="92">
        <f>IFERROR(VLOOKUP($A964,'13. Mapa Títulos-Receita'!$A$8:$P$1000,14,FALSE),"")</f>
        <v/>
      </c>
      <c r="AD964" s="92">
        <f>IFERROR(VLOOKUP($A964,'13. Mapa Títulos-Receita'!$A$8:$P$1000,15,FALSE),"")</f>
        <v/>
      </c>
      <c r="AE964" s="92">
        <f>IFERROR(VLOOKUP($A964,'13. Mapa Títulos-Receita'!$A$8:$P$1000,16,FALSE),"")</f>
        <v/>
      </c>
    </row>
    <row r="965">
      <c r="A965" s="28">
        <f>IF(C965="","", "CR-"&amp;TEXT(ROW()-7,"000"))</f>
        <v/>
      </c>
      <c r="B965" s="28" t="n"/>
      <c r="C965" s="28" t="n"/>
      <c r="D965" s="111" t="n"/>
      <c r="E965" s="111" t="n"/>
      <c r="F965" s="111" t="n"/>
      <c r="G965" s="28" t="n"/>
      <c r="H965" s="45" t="n"/>
      <c r="I965" s="45" t="n"/>
      <c r="J965" s="28">
        <f>IF(H965="","",IF(I965&gt;=H965,"Recebido",IF($B$4&gt;E965,"Vencido","Aberto")))</f>
        <v/>
      </c>
      <c r="K965" s="4">
        <f>IF(J965="","",IF(OR(J965="Recebido",F965=""),MAX(0,F965-E965),MAX(0,$B$4-E965)))</f>
        <v/>
      </c>
      <c r="L965" s="4">
        <f>IF(K965="","",IF(K965=0,"Em dia",IF(K965&lt;=30,"1-30 dias",IF(K965&lt;=60,"31-60 dias",IF(K965&lt;=90,"61-90 dias","&gt;90 dias")))))</f>
        <v/>
      </c>
      <c r="M965" s="28" t="n"/>
      <c r="N965" s="104" t="inlineStr"/>
      <c r="O965" s="64" t="n"/>
      <c r="P965" s="64">
        <f>IF(C965="","",IF(ISNUMBER(SEARCH("PCMSO",C965)),"PCMSO",IF(OR(ISNUMBER(SEARCH("E-SOCIAL",C965)),ISNUMBER(SEARCH("PSICOSOCIAL",C965))),"eSocial / Psicossocial",IF(O965="Receita recorrente","Carteira recorrente","Projetos / Laudos / Avulsos"))))</f>
        <v/>
      </c>
      <c r="Q965" s="64">
        <f>IF(P965="","",IF(P965="Carteira recorrente","Operação recorrente",IF(P965="PCMSO","Projetos PCMSO",IF(P965="eSocial / Psicossocial","Projetos eSocial/Psicossocial","Projetos / Laudos / Avulsos"))))</f>
        <v/>
      </c>
      <c r="R965" s="64">
        <f>IF(C965="","",IF(ISNUMBER(SEARCH("PCMSO",C965)),"Título com PCMSO no nome",IF(OR(ISNUMBER(SEARCH("E-SOCIAL",C965)),ISNUMBER(SEARCH("PSICOSOCIAL",C965))),"Título com eSocial/Psicossocial no nome",IF(O965="Receita recorrente","Tipo DRE recorrente","Extra sem palavra-chave específica"))))</f>
        <v/>
      </c>
      <c r="S965" s="92">
        <f>IFERROR(VLOOKUP($A965,'13. Mapa Títulos-Receita'!$A$8:$P$1000,4,FALSE),"")</f>
        <v/>
      </c>
      <c r="T965" s="92">
        <f>IFERROR(VLOOKUP($A965,'13. Mapa Títulos-Receita'!$A$8:$P$1000,5,FALSE),"")</f>
        <v/>
      </c>
      <c r="U965" s="92">
        <f>IFERROR(VLOOKUP($A965,'13. Mapa Títulos-Receita'!$A$8:$P$1000,6,FALSE),"")</f>
        <v/>
      </c>
      <c r="V965" s="92">
        <f>IFERROR(VLOOKUP($A965,'13. Mapa Títulos-Receita'!$A$8:$P$1000,7,FALSE),"")</f>
        <v/>
      </c>
      <c r="W965" s="92">
        <f>IFERROR(VLOOKUP($A965,'13. Mapa Títulos-Receita'!$A$8:$P$1000,8,FALSE),"")</f>
        <v/>
      </c>
      <c r="X965" s="92">
        <f>IFERROR(VLOOKUP($A965,'13. Mapa Títulos-Receita'!$A$8:$P$1000,9,FALSE),"")</f>
        <v/>
      </c>
      <c r="Y965" s="92">
        <f>IFERROR(VLOOKUP($A965,'13. Mapa Títulos-Receita'!$A$8:$P$1000,10,FALSE),"")</f>
        <v/>
      </c>
      <c r="Z965" s="92">
        <f>IFERROR(VLOOKUP($A965,'13. Mapa Títulos-Receita'!$A$8:$P$1000,11,FALSE),"")</f>
        <v/>
      </c>
      <c r="AA965" s="92">
        <f>IFERROR(VLOOKUP($A965,'13. Mapa Títulos-Receita'!$A$8:$P$1000,12,FALSE),"")</f>
        <v/>
      </c>
      <c r="AB965" s="92">
        <f>IFERROR(VLOOKUP($A965,'13. Mapa Títulos-Receita'!$A$8:$P$1000,13,FALSE),"")</f>
        <v/>
      </c>
      <c r="AC965" s="92">
        <f>IFERROR(VLOOKUP($A965,'13. Mapa Títulos-Receita'!$A$8:$P$1000,14,FALSE),"")</f>
        <v/>
      </c>
      <c r="AD965" s="92">
        <f>IFERROR(VLOOKUP($A965,'13. Mapa Títulos-Receita'!$A$8:$P$1000,15,FALSE),"")</f>
        <v/>
      </c>
      <c r="AE965" s="92">
        <f>IFERROR(VLOOKUP($A965,'13. Mapa Títulos-Receita'!$A$8:$P$1000,16,FALSE),"")</f>
        <v/>
      </c>
    </row>
    <row r="966">
      <c r="A966" s="28">
        <f>IF(C966="","", "CR-"&amp;TEXT(ROW()-7,"000"))</f>
        <v/>
      </c>
      <c r="B966" s="28" t="n"/>
      <c r="C966" s="28" t="n"/>
      <c r="D966" s="111" t="n"/>
      <c r="E966" s="111" t="n"/>
      <c r="F966" s="111" t="n"/>
      <c r="G966" s="28" t="n"/>
      <c r="H966" s="45" t="n"/>
      <c r="I966" s="45" t="n"/>
      <c r="J966" s="28">
        <f>IF(H966="","",IF(I966&gt;=H966,"Recebido",IF($B$4&gt;E966,"Vencido","Aberto")))</f>
        <v/>
      </c>
      <c r="K966" s="4">
        <f>IF(J966="","",IF(OR(J966="Recebido",F966=""),MAX(0,F966-E966),MAX(0,$B$4-E966)))</f>
        <v/>
      </c>
      <c r="L966" s="4">
        <f>IF(K966="","",IF(K966=0,"Em dia",IF(K966&lt;=30,"1-30 dias",IF(K966&lt;=60,"31-60 dias",IF(K966&lt;=90,"61-90 dias","&gt;90 dias")))))</f>
        <v/>
      </c>
      <c r="M966" s="28" t="n"/>
      <c r="N966" s="104" t="inlineStr"/>
      <c r="O966" s="64" t="n"/>
      <c r="P966" s="64">
        <f>IF(C966="","",IF(ISNUMBER(SEARCH("PCMSO",C966)),"PCMSO",IF(OR(ISNUMBER(SEARCH("E-SOCIAL",C966)),ISNUMBER(SEARCH("PSICOSOCIAL",C966))),"eSocial / Psicossocial",IF(O966="Receita recorrente","Carteira recorrente","Projetos / Laudos / Avulsos"))))</f>
        <v/>
      </c>
      <c r="Q966" s="64">
        <f>IF(P966="","",IF(P966="Carteira recorrente","Operação recorrente",IF(P966="PCMSO","Projetos PCMSO",IF(P966="eSocial / Psicossocial","Projetos eSocial/Psicossocial","Projetos / Laudos / Avulsos"))))</f>
        <v/>
      </c>
      <c r="R966" s="64">
        <f>IF(C966="","",IF(ISNUMBER(SEARCH("PCMSO",C966)),"Título com PCMSO no nome",IF(OR(ISNUMBER(SEARCH("E-SOCIAL",C966)),ISNUMBER(SEARCH("PSICOSOCIAL",C966))),"Título com eSocial/Psicossocial no nome",IF(O966="Receita recorrente","Tipo DRE recorrente","Extra sem palavra-chave específica"))))</f>
        <v/>
      </c>
      <c r="S966" s="92">
        <f>IFERROR(VLOOKUP($A966,'13. Mapa Títulos-Receita'!$A$8:$P$1000,4,FALSE),"")</f>
        <v/>
      </c>
      <c r="T966" s="92">
        <f>IFERROR(VLOOKUP($A966,'13. Mapa Títulos-Receita'!$A$8:$P$1000,5,FALSE),"")</f>
        <v/>
      </c>
      <c r="U966" s="92">
        <f>IFERROR(VLOOKUP($A966,'13. Mapa Títulos-Receita'!$A$8:$P$1000,6,FALSE),"")</f>
        <v/>
      </c>
      <c r="V966" s="92">
        <f>IFERROR(VLOOKUP($A966,'13. Mapa Títulos-Receita'!$A$8:$P$1000,7,FALSE),"")</f>
        <v/>
      </c>
      <c r="W966" s="92">
        <f>IFERROR(VLOOKUP($A966,'13. Mapa Títulos-Receita'!$A$8:$P$1000,8,FALSE),"")</f>
        <v/>
      </c>
      <c r="X966" s="92">
        <f>IFERROR(VLOOKUP($A966,'13. Mapa Títulos-Receita'!$A$8:$P$1000,9,FALSE),"")</f>
        <v/>
      </c>
      <c r="Y966" s="92">
        <f>IFERROR(VLOOKUP($A966,'13. Mapa Títulos-Receita'!$A$8:$P$1000,10,FALSE),"")</f>
        <v/>
      </c>
      <c r="Z966" s="92">
        <f>IFERROR(VLOOKUP($A966,'13. Mapa Títulos-Receita'!$A$8:$P$1000,11,FALSE),"")</f>
        <v/>
      </c>
      <c r="AA966" s="92">
        <f>IFERROR(VLOOKUP($A966,'13. Mapa Títulos-Receita'!$A$8:$P$1000,12,FALSE),"")</f>
        <v/>
      </c>
      <c r="AB966" s="92">
        <f>IFERROR(VLOOKUP($A966,'13. Mapa Títulos-Receita'!$A$8:$P$1000,13,FALSE),"")</f>
        <v/>
      </c>
      <c r="AC966" s="92">
        <f>IFERROR(VLOOKUP($A966,'13. Mapa Títulos-Receita'!$A$8:$P$1000,14,FALSE),"")</f>
        <v/>
      </c>
      <c r="AD966" s="92">
        <f>IFERROR(VLOOKUP($A966,'13. Mapa Títulos-Receita'!$A$8:$P$1000,15,FALSE),"")</f>
        <v/>
      </c>
      <c r="AE966" s="92">
        <f>IFERROR(VLOOKUP($A966,'13. Mapa Títulos-Receita'!$A$8:$P$1000,16,FALSE),"")</f>
        <v/>
      </c>
    </row>
    <row r="967">
      <c r="A967" s="28">
        <f>IF(C967="","", "CR-"&amp;TEXT(ROW()-7,"000"))</f>
        <v/>
      </c>
      <c r="B967" s="28" t="n"/>
      <c r="C967" s="28" t="n"/>
      <c r="D967" s="111" t="n"/>
      <c r="E967" s="111" t="n"/>
      <c r="F967" s="111" t="n"/>
      <c r="G967" s="28" t="n"/>
      <c r="H967" s="45" t="n"/>
      <c r="I967" s="45" t="n"/>
      <c r="J967" s="28">
        <f>IF(H967="","",IF(I967&gt;=H967,"Recebido",IF($B$4&gt;E967,"Vencido","Aberto")))</f>
        <v/>
      </c>
      <c r="K967" s="4">
        <f>IF(J967="","",IF(OR(J967="Recebido",F967=""),MAX(0,F967-E967),MAX(0,$B$4-E967)))</f>
        <v/>
      </c>
      <c r="L967" s="4">
        <f>IF(K967="","",IF(K967=0,"Em dia",IF(K967&lt;=30,"1-30 dias",IF(K967&lt;=60,"31-60 dias",IF(K967&lt;=90,"61-90 dias","&gt;90 dias")))))</f>
        <v/>
      </c>
      <c r="M967" s="28" t="n"/>
      <c r="N967" s="104" t="inlineStr"/>
      <c r="O967" s="64" t="n"/>
      <c r="P967" s="64">
        <f>IF(C967="","",IF(ISNUMBER(SEARCH("PCMSO",C967)),"PCMSO",IF(OR(ISNUMBER(SEARCH("E-SOCIAL",C967)),ISNUMBER(SEARCH("PSICOSOCIAL",C967))),"eSocial / Psicossocial",IF(O967="Receita recorrente","Carteira recorrente","Projetos / Laudos / Avulsos"))))</f>
        <v/>
      </c>
      <c r="Q967" s="64">
        <f>IF(P967="","",IF(P967="Carteira recorrente","Operação recorrente",IF(P967="PCMSO","Projetos PCMSO",IF(P967="eSocial / Psicossocial","Projetos eSocial/Psicossocial","Projetos / Laudos / Avulsos"))))</f>
        <v/>
      </c>
      <c r="R967" s="64">
        <f>IF(C967="","",IF(ISNUMBER(SEARCH("PCMSO",C967)),"Título com PCMSO no nome",IF(OR(ISNUMBER(SEARCH("E-SOCIAL",C967)),ISNUMBER(SEARCH("PSICOSOCIAL",C967))),"Título com eSocial/Psicossocial no nome",IF(O967="Receita recorrente","Tipo DRE recorrente","Extra sem palavra-chave específica"))))</f>
        <v/>
      </c>
      <c r="S967" s="92">
        <f>IFERROR(VLOOKUP($A967,'13. Mapa Títulos-Receita'!$A$8:$P$1000,4,FALSE),"")</f>
        <v/>
      </c>
      <c r="T967" s="92">
        <f>IFERROR(VLOOKUP($A967,'13. Mapa Títulos-Receita'!$A$8:$P$1000,5,FALSE),"")</f>
        <v/>
      </c>
      <c r="U967" s="92">
        <f>IFERROR(VLOOKUP($A967,'13. Mapa Títulos-Receita'!$A$8:$P$1000,6,FALSE),"")</f>
        <v/>
      </c>
      <c r="V967" s="92">
        <f>IFERROR(VLOOKUP($A967,'13. Mapa Títulos-Receita'!$A$8:$P$1000,7,FALSE),"")</f>
        <v/>
      </c>
      <c r="W967" s="92">
        <f>IFERROR(VLOOKUP($A967,'13. Mapa Títulos-Receita'!$A$8:$P$1000,8,FALSE),"")</f>
        <v/>
      </c>
      <c r="X967" s="92">
        <f>IFERROR(VLOOKUP($A967,'13. Mapa Títulos-Receita'!$A$8:$P$1000,9,FALSE),"")</f>
        <v/>
      </c>
      <c r="Y967" s="92">
        <f>IFERROR(VLOOKUP($A967,'13. Mapa Títulos-Receita'!$A$8:$P$1000,10,FALSE),"")</f>
        <v/>
      </c>
      <c r="Z967" s="92">
        <f>IFERROR(VLOOKUP($A967,'13. Mapa Títulos-Receita'!$A$8:$P$1000,11,FALSE),"")</f>
        <v/>
      </c>
      <c r="AA967" s="92">
        <f>IFERROR(VLOOKUP($A967,'13. Mapa Títulos-Receita'!$A$8:$P$1000,12,FALSE),"")</f>
        <v/>
      </c>
      <c r="AB967" s="92">
        <f>IFERROR(VLOOKUP($A967,'13. Mapa Títulos-Receita'!$A$8:$P$1000,13,FALSE),"")</f>
        <v/>
      </c>
      <c r="AC967" s="92">
        <f>IFERROR(VLOOKUP($A967,'13. Mapa Títulos-Receita'!$A$8:$P$1000,14,FALSE),"")</f>
        <v/>
      </c>
      <c r="AD967" s="92">
        <f>IFERROR(VLOOKUP($A967,'13. Mapa Títulos-Receita'!$A$8:$P$1000,15,FALSE),"")</f>
        <v/>
      </c>
      <c r="AE967" s="92">
        <f>IFERROR(VLOOKUP($A967,'13. Mapa Títulos-Receita'!$A$8:$P$1000,16,FALSE),"")</f>
        <v/>
      </c>
    </row>
    <row r="968">
      <c r="A968" s="28">
        <f>IF(C968="","", "CR-"&amp;TEXT(ROW()-7,"000"))</f>
        <v/>
      </c>
      <c r="B968" s="28" t="n"/>
      <c r="C968" s="28" t="n"/>
      <c r="D968" s="111" t="n"/>
      <c r="E968" s="111" t="n"/>
      <c r="F968" s="111" t="n"/>
      <c r="G968" s="28" t="n"/>
      <c r="H968" s="45" t="n"/>
      <c r="I968" s="45" t="n"/>
      <c r="J968" s="28">
        <f>IF(H968="","",IF(I968&gt;=H968,"Recebido",IF($B$4&gt;E968,"Vencido","Aberto")))</f>
        <v/>
      </c>
      <c r="K968" s="4">
        <f>IF(J968="","",IF(OR(J968="Recebido",F968=""),MAX(0,F968-E968),MAX(0,$B$4-E968)))</f>
        <v/>
      </c>
      <c r="L968" s="4">
        <f>IF(K968="","",IF(K968=0,"Em dia",IF(K968&lt;=30,"1-30 dias",IF(K968&lt;=60,"31-60 dias",IF(K968&lt;=90,"61-90 dias","&gt;90 dias")))))</f>
        <v/>
      </c>
      <c r="M968" s="28" t="n"/>
      <c r="N968" s="104" t="inlineStr"/>
      <c r="O968" s="64" t="n"/>
      <c r="P968" s="64">
        <f>IF(C968="","",IF(ISNUMBER(SEARCH("PCMSO",C968)),"PCMSO",IF(OR(ISNUMBER(SEARCH("E-SOCIAL",C968)),ISNUMBER(SEARCH("PSICOSOCIAL",C968))),"eSocial / Psicossocial",IF(O968="Receita recorrente","Carteira recorrente","Projetos / Laudos / Avulsos"))))</f>
        <v/>
      </c>
      <c r="Q968" s="64">
        <f>IF(P968="","",IF(P968="Carteira recorrente","Operação recorrente",IF(P968="PCMSO","Projetos PCMSO",IF(P968="eSocial / Psicossocial","Projetos eSocial/Psicossocial","Projetos / Laudos / Avulsos"))))</f>
        <v/>
      </c>
      <c r="R968" s="64">
        <f>IF(C968="","",IF(ISNUMBER(SEARCH("PCMSO",C968)),"Título com PCMSO no nome",IF(OR(ISNUMBER(SEARCH("E-SOCIAL",C968)),ISNUMBER(SEARCH("PSICOSOCIAL",C968))),"Título com eSocial/Psicossocial no nome",IF(O968="Receita recorrente","Tipo DRE recorrente","Extra sem palavra-chave específica"))))</f>
        <v/>
      </c>
      <c r="S968" s="92">
        <f>IFERROR(VLOOKUP($A968,'13. Mapa Títulos-Receita'!$A$8:$P$1000,4,FALSE),"")</f>
        <v/>
      </c>
      <c r="T968" s="92">
        <f>IFERROR(VLOOKUP($A968,'13. Mapa Títulos-Receita'!$A$8:$P$1000,5,FALSE),"")</f>
        <v/>
      </c>
      <c r="U968" s="92">
        <f>IFERROR(VLOOKUP($A968,'13. Mapa Títulos-Receita'!$A$8:$P$1000,6,FALSE),"")</f>
        <v/>
      </c>
      <c r="V968" s="92">
        <f>IFERROR(VLOOKUP($A968,'13. Mapa Títulos-Receita'!$A$8:$P$1000,7,FALSE),"")</f>
        <v/>
      </c>
      <c r="W968" s="92">
        <f>IFERROR(VLOOKUP($A968,'13. Mapa Títulos-Receita'!$A$8:$P$1000,8,FALSE),"")</f>
        <v/>
      </c>
      <c r="X968" s="92">
        <f>IFERROR(VLOOKUP($A968,'13. Mapa Títulos-Receita'!$A$8:$P$1000,9,FALSE),"")</f>
        <v/>
      </c>
      <c r="Y968" s="92">
        <f>IFERROR(VLOOKUP($A968,'13. Mapa Títulos-Receita'!$A$8:$P$1000,10,FALSE),"")</f>
        <v/>
      </c>
      <c r="Z968" s="92">
        <f>IFERROR(VLOOKUP($A968,'13. Mapa Títulos-Receita'!$A$8:$P$1000,11,FALSE),"")</f>
        <v/>
      </c>
      <c r="AA968" s="92">
        <f>IFERROR(VLOOKUP($A968,'13. Mapa Títulos-Receita'!$A$8:$P$1000,12,FALSE),"")</f>
        <v/>
      </c>
      <c r="AB968" s="92">
        <f>IFERROR(VLOOKUP($A968,'13. Mapa Títulos-Receita'!$A$8:$P$1000,13,FALSE),"")</f>
        <v/>
      </c>
      <c r="AC968" s="92">
        <f>IFERROR(VLOOKUP($A968,'13. Mapa Títulos-Receita'!$A$8:$P$1000,14,FALSE),"")</f>
        <v/>
      </c>
      <c r="AD968" s="92">
        <f>IFERROR(VLOOKUP($A968,'13. Mapa Títulos-Receita'!$A$8:$P$1000,15,FALSE),"")</f>
        <v/>
      </c>
      <c r="AE968" s="92">
        <f>IFERROR(VLOOKUP($A968,'13. Mapa Títulos-Receita'!$A$8:$P$1000,16,FALSE),"")</f>
        <v/>
      </c>
    </row>
    <row r="969">
      <c r="A969" s="28">
        <f>IF(C969="","", "CR-"&amp;TEXT(ROW()-7,"000"))</f>
        <v/>
      </c>
      <c r="B969" s="28" t="n"/>
      <c r="C969" s="28" t="n"/>
      <c r="D969" s="111" t="n"/>
      <c r="E969" s="111" t="n"/>
      <c r="F969" s="111" t="n"/>
      <c r="G969" s="28" t="n"/>
      <c r="H969" s="45" t="n"/>
      <c r="I969" s="45" t="n"/>
      <c r="J969" s="28">
        <f>IF(H969="","",IF(I969&gt;=H969,"Recebido",IF($B$4&gt;E969,"Vencido","Aberto")))</f>
        <v/>
      </c>
      <c r="K969" s="4">
        <f>IF(J969="","",IF(OR(J969="Recebido",F969=""),MAX(0,F969-E969),MAX(0,$B$4-E969)))</f>
        <v/>
      </c>
      <c r="L969" s="4">
        <f>IF(K969="","",IF(K969=0,"Em dia",IF(K969&lt;=30,"1-30 dias",IF(K969&lt;=60,"31-60 dias",IF(K969&lt;=90,"61-90 dias","&gt;90 dias")))))</f>
        <v/>
      </c>
      <c r="M969" s="28" t="n"/>
      <c r="N969" s="104" t="inlineStr"/>
      <c r="O969" s="64" t="n"/>
      <c r="P969" s="64">
        <f>IF(C969="","",IF(ISNUMBER(SEARCH("PCMSO",C969)),"PCMSO",IF(OR(ISNUMBER(SEARCH("E-SOCIAL",C969)),ISNUMBER(SEARCH("PSICOSOCIAL",C969))),"eSocial / Psicossocial",IF(O969="Receita recorrente","Carteira recorrente","Projetos / Laudos / Avulsos"))))</f>
        <v/>
      </c>
      <c r="Q969" s="64">
        <f>IF(P969="","",IF(P969="Carteira recorrente","Operação recorrente",IF(P969="PCMSO","Projetos PCMSO",IF(P969="eSocial / Psicossocial","Projetos eSocial/Psicossocial","Projetos / Laudos / Avulsos"))))</f>
        <v/>
      </c>
      <c r="R969" s="64">
        <f>IF(C969="","",IF(ISNUMBER(SEARCH("PCMSO",C969)),"Título com PCMSO no nome",IF(OR(ISNUMBER(SEARCH("E-SOCIAL",C969)),ISNUMBER(SEARCH("PSICOSOCIAL",C969))),"Título com eSocial/Psicossocial no nome",IF(O969="Receita recorrente","Tipo DRE recorrente","Extra sem palavra-chave específica"))))</f>
        <v/>
      </c>
      <c r="S969" s="92">
        <f>IFERROR(VLOOKUP($A969,'13. Mapa Títulos-Receita'!$A$8:$P$1000,4,FALSE),"")</f>
        <v/>
      </c>
      <c r="T969" s="92">
        <f>IFERROR(VLOOKUP($A969,'13. Mapa Títulos-Receita'!$A$8:$P$1000,5,FALSE),"")</f>
        <v/>
      </c>
      <c r="U969" s="92">
        <f>IFERROR(VLOOKUP($A969,'13. Mapa Títulos-Receita'!$A$8:$P$1000,6,FALSE),"")</f>
        <v/>
      </c>
      <c r="V969" s="92">
        <f>IFERROR(VLOOKUP($A969,'13. Mapa Títulos-Receita'!$A$8:$P$1000,7,FALSE),"")</f>
        <v/>
      </c>
      <c r="W969" s="92">
        <f>IFERROR(VLOOKUP($A969,'13. Mapa Títulos-Receita'!$A$8:$P$1000,8,FALSE),"")</f>
        <v/>
      </c>
      <c r="X969" s="92">
        <f>IFERROR(VLOOKUP($A969,'13. Mapa Títulos-Receita'!$A$8:$P$1000,9,FALSE),"")</f>
        <v/>
      </c>
      <c r="Y969" s="92">
        <f>IFERROR(VLOOKUP($A969,'13. Mapa Títulos-Receita'!$A$8:$P$1000,10,FALSE),"")</f>
        <v/>
      </c>
      <c r="Z969" s="92">
        <f>IFERROR(VLOOKUP($A969,'13. Mapa Títulos-Receita'!$A$8:$P$1000,11,FALSE),"")</f>
        <v/>
      </c>
      <c r="AA969" s="92">
        <f>IFERROR(VLOOKUP($A969,'13. Mapa Títulos-Receita'!$A$8:$P$1000,12,FALSE),"")</f>
        <v/>
      </c>
      <c r="AB969" s="92">
        <f>IFERROR(VLOOKUP($A969,'13. Mapa Títulos-Receita'!$A$8:$P$1000,13,FALSE),"")</f>
        <v/>
      </c>
      <c r="AC969" s="92">
        <f>IFERROR(VLOOKUP($A969,'13. Mapa Títulos-Receita'!$A$8:$P$1000,14,FALSE),"")</f>
        <v/>
      </c>
      <c r="AD969" s="92">
        <f>IFERROR(VLOOKUP($A969,'13. Mapa Títulos-Receita'!$A$8:$P$1000,15,FALSE),"")</f>
        <v/>
      </c>
      <c r="AE969" s="92">
        <f>IFERROR(VLOOKUP($A969,'13. Mapa Títulos-Receita'!$A$8:$P$1000,16,FALSE),"")</f>
        <v/>
      </c>
    </row>
    <row r="970">
      <c r="A970" s="28">
        <f>IF(C970="","", "CR-"&amp;TEXT(ROW()-7,"000"))</f>
        <v/>
      </c>
      <c r="B970" s="28" t="n"/>
      <c r="C970" s="28" t="n"/>
      <c r="D970" s="111" t="n"/>
      <c r="E970" s="111" t="n"/>
      <c r="F970" s="111" t="n"/>
      <c r="G970" s="28" t="n"/>
      <c r="H970" s="45" t="n"/>
      <c r="I970" s="45" t="n"/>
      <c r="J970" s="28">
        <f>IF(H970="","",IF(I970&gt;=H970,"Recebido",IF($B$4&gt;E970,"Vencido","Aberto")))</f>
        <v/>
      </c>
      <c r="K970" s="4">
        <f>IF(J970="","",IF(OR(J970="Recebido",F970=""),MAX(0,F970-E970),MAX(0,$B$4-E970)))</f>
        <v/>
      </c>
      <c r="L970" s="4">
        <f>IF(K970="","",IF(K970=0,"Em dia",IF(K970&lt;=30,"1-30 dias",IF(K970&lt;=60,"31-60 dias",IF(K970&lt;=90,"61-90 dias","&gt;90 dias")))))</f>
        <v/>
      </c>
      <c r="M970" s="28" t="n"/>
      <c r="N970" s="104" t="inlineStr"/>
      <c r="O970" s="64" t="n"/>
      <c r="P970" s="64">
        <f>IF(C970="","",IF(ISNUMBER(SEARCH("PCMSO",C970)),"PCMSO",IF(OR(ISNUMBER(SEARCH("E-SOCIAL",C970)),ISNUMBER(SEARCH("PSICOSOCIAL",C970))),"eSocial / Psicossocial",IF(O970="Receita recorrente","Carteira recorrente","Projetos / Laudos / Avulsos"))))</f>
        <v/>
      </c>
      <c r="Q970" s="64">
        <f>IF(P970="","",IF(P970="Carteira recorrente","Operação recorrente",IF(P970="PCMSO","Projetos PCMSO",IF(P970="eSocial / Psicossocial","Projetos eSocial/Psicossocial","Projetos / Laudos / Avulsos"))))</f>
        <v/>
      </c>
      <c r="R970" s="64">
        <f>IF(C970="","",IF(ISNUMBER(SEARCH("PCMSO",C970)),"Título com PCMSO no nome",IF(OR(ISNUMBER(SEARCH("E-SOCIAL",C970)),ISNUMBER(SEARCH("PSICOSOCIAL",C970))),"Título com eSocial/Psicossocial no nome",IF(O970="Receita recorrente","Tipo DRE recorrente","Extra sem palavra-chave específica"))))</f>
        <v/>
      </c>
      <c r="S970" s="92">
        <f>IFERROR(VLOOKUP($A970,'13. Mapa Títulos-Receita'!$A$8:$P$1000,4,FALSE),"")</f>
        <v/>
      </c>
      <c r="T970" s="92">
        <f>IFERROR(VLOOKUP($A970,'13. Mapa Títulos-Receita'!$A$8:$P$1000,5,FALSE),"")</f>
        <v/>
      </c>
      <c r="U970" s="92">
        <f>IFERROR(VLOOKUP($A970,'13. Mapa Títulos-Receita'!$A$8:$P$1000,6,FALSE),"")</f>
        <v/>
      </c>
      <c r="V970" s="92">
        <f>IFERROR(VLOOKUP($A970,'13. Mapa Títulos-Receita'!$A$8:$P$1000,7,FALSE),"")</f>
        <v/>
      </c>
      <c r="W970" s="92">
        <f>IFERROR(VLOOKUP($A970,'13. Mapa Títulos-Receita'!$A$8:$P$1000,8,FALSE),"")</f>
        <v/>
      </c>
      <c r="X970" s="92">
        <f>IFERROR(VLOOKUP($A970,'13. Mapa Títulos-Receita'!$A$8:$P$1000,9,FALSE),"")</f>
        <v/>
      </c>
      <c r="Y970" s="92">
        <f>IFERROR(VLOOKUP($A970,'13. Mapa Títulos-Receita'!$A$8:$P$1000,10,FALSE),"")</f>
        <v/>
      </c>
      <c r="Z970" s="92">
        <f>IFERROR(VLOOKUP($A970,'13. Mapa Títulos-Receita'!$A$8:$P$1000,11,FALSE),"")</f>
        <v/>
      </c>
      <c r="AA970" s="92">
        <f>IFERROR(VLOOKUP($A970,'13. Mapa Títulos-Receita'!$A$8:$P$1000,12,FALSE),"")</f>
        <v/>
      </c>
      <c r="AB970" s="92">
        <f>IFERROR(VLOOKUP($A970,'13. Mapa Títulos-Receita'!$A$8:$P$1000,13,FALSE),"")</f>
        <v/>
      </c>
      <c r="AC970" s="92">
        <f>IFERROR(VLOOKUP($A970,'13. Mapa Títulos-Receita'!$A$8:$P$1000,14,FALSE),"")</f>
        <v/>
      </c>
      <c r="AD970" s="92">
        <f>IFERROR(VLOOKUP($A970,'13. Mapa Títulos-Receita'!$A$8:$P$1000,15,FALSE),"")</f>
        <v/>
      </c>
      <c r="AE970" s="92">
        <f>IFERROR(VLOOKUP($A970,'13. Mapa Títulos-Receita'!$A$8:$P$1000,16,FALSE),"")</f>
        <v/>
      </c>
    </row>
    <row r="971">
      <c r="A971" s="28">
        <f>IF(C971="","", "CR-"&amp;TEXT(ROW()-7,"000"))</f>
        <v/>
      </c>
      <c r="B971" s="28" t="n"/>
      <c r="C971" s="28" t="n"/>
      <c r="D971" s="111" t="n"/>
      <c r="E971" s="111" t="n"/>
      <c r="F971" s="111" t="n"/>
      <c r="G971" s="28" t="n"/>
      <c r="H971" s="45" t="n"/>
      <c r="I971" s="45" t="n"/>
      <c r="J971" s="28">
        <f>IF(H971="","",IF(I971&gt;=H971,"Recebido",IF($B$4&gt;E971,"Vencido","Aberto")))</f>
        <v/>
      </c>
      <c r="K971" s="4">
        <f>IF(J971="","",IF(OR(J971="Recebido",F971=""),MAX(0,F971-E971),MAX(0,$B$4-E971)))</f>
        <v/>
      </c>
      <c r="L971" s="4">
        <f>IF(K971="","",IF(K971=0,"Em dia",IF(K971&lt;=30,"1-30 dias",IF(K971&lt;=60,"31-60 dias",IF(K971&lt;=90,"61-90 dias","&gt;90 dias")))))</f>
        <v/>
      </c>
      <c r="M971" s="28" t="n"/>
      <c r="N971" s="104" t="inlineStr"/>
      <c r="O971" s="64" t="n"/>
      <c r="P971" s="64">
        <f>IF(C971="","",IF(ISNUMBER(SEARCH("PCMSO",C971)),"PCMSO",IF(OR(ISNUMBER(SEARCH("E-SOCIAL",C971)),ISNUMBER(SEARCH("PSICOSOCIAL",C971))),"eSocial / Psicossocial",IF(O971="Receita recorrente","Carteira recorrente","Projetos / Laudos / Avulsos"))))</f>
        <v/>
      </c>
      <c r="Q971" s="64">
        <f>IF(P971="","",IF(P971="Carteira recorrente","Operação recorrente",IF(P971="PCMSO","Projetos PCMSO",IF(P971="eSocial / Psicossocial","Projetos eSocial/Psicossocial","Projetos / Laudos / Avulsos"))))</f>
        <v/>
      </c>
      <c r="R971" s="64">
        <f>IF(C971="","",IF(ISNUMBER(SEARCH("PCMSO",C971)),"Título com PCMSO no nome",IF(OR(ISNUMBER(SEARCH("E-SOCIAL",C971)),ISNUMBER(SEARCH("PSICOSOCIAL",C971))),"Título com eSocial/Psicossocial no nome",IF(O971="Receita recorrente","Tipo DRE recorrente","Extra sem palavra-chave específica"))))</f>
        <v/>
      </c>
      <c r="S971" s="92">
        <f>IFERROR(VLOOKUP($A971,'13. Mapa Títulos-Receita'!$A$8:$P$1000,4,FALSE),"")</f>
        <v/>
      </c>
      <c r="T971" s="92">
        <f>IFERROR(VLOOKUP($A971,'13. Mapa Títulos-Receita'!$A$8:$P$1000,5,FALSE),"")</f>
        <v/>
      </c>
      <c r="U971" s="92">
        <f>IFERROR(VLOOKUP($A971,'13. Mapa Títulos-Receita'!$A$8:$P$1000,6,FALSE),"")</f>
        <v/>
      </c>
      <c r="V971" s="92">
        <f>IFERROR(VLOOKUP($A971,'13. Mapa Títulos-Receita'!$A$8:$P$1000,7,FALSE),"")</f>
        <v/>
      </c>
      <c r="W971" s="92">
        <f>IFERROR(VLOOKUP($A971,'13. Mapa Títulos-Receita'!$A$8:$P$1000,8,FALSE),"")</f>
        <v/>
      </c>
      <c r="X971" s="92">
        <f>IFERROR(VLOOKUP($A971,'13. Mapa Títulos-Receita'!$A$8:$P$1000,9,FALSE),"")</f>
        <v/>
      </c>
      <c r="Y971" s="92">
        <f>IFERROR(VLOOKUP($A971,'13. Mapa Títulos-Receita'!$A$8:$P$1000,10,FALSE),"")</f>
        <v/>
      </c>
      <c r="Z971" s="92">
        <f>IFERROR(VLOOKUP($A971,'13. Mapa Títulos-Receita'!$A$8:$P$1000,11,FALSE),"")</f>
        <v/>
      </c>
      <c r="AA971" s="92">
        <f>IFERROR(VLOOKUP($A971,'13. Mapa Títulos-Receita'!$A$8:$P$1000,12,FALSE),"")</f>
        <v/>
      </c>
      <c r="AB971" s="92">
        <f>IFERROR(VLOOKUP($A971,'13. Mapa Títulos-Receita'!$A$8:$P$1000,13,FALSE),"")</f>
        <v/>
      </c>
      <c r="AC971" s="92">
        <f>IFERROR(VLOOKUP($A971,'13. Mapa Títulos-Receita'!$A$8:$P$1000,14,FALSE),"")</f>
        <v/>
      </c>
      <c r="AD971" s="92">
        <f>IFERROR(VLOOKUP($A971,'13. Mapa Títulos-Receita'!$A$8:$P$1000,15,FALSE),"")</f>
        <v/>
      </c>
      <c r="AE971" s="92">
        <f>IFERROR(VLOOKUP($A971,'13. Mapa Títulos-Receita'!$A$8:$P$1000,16,FALSE),"")</f>
        <v/>
      </c>
    </row>
    <row r="972">
      <c r="A972" s="28">
        <f>IF(C972="","", "CR-"&amp;TEXT(ROW()-7,"000"))</f>
        <v/>
      </c>
      <c r="B972" s="28" t="n"/>
      <c r="C972" s="28" t="n"/>
      <c r="D972" s="111" t="n"/>
      <c r="E972" s="111" t="n"/>
      <c r="F972" s="111" t="n"/>
      <c r="G972" s="28" t="n"/>
      <c r="H972" s="45" t="n"/>
      <c r="I972" s="45" t="n"/>
      <c r="J972" s="28">
        <f>IF(H972="","",IF(I972&gt;=H972,"Recebido",IF($B$4&gt;E972,"Vencido","Aberto")))</f>
        <v/>
      </c>
      <c r="K972" s="4">
        <f>IF(J972="","",IF(OR(J972="Recebido",F972=""),MAX(0,F972-E972),MAX(0,$B$4-E972)))</f>
        <v/>
      </c>
      <c r="L972" s="4">
        <f>IF(K972="","",IF(K972=0,"Em dia",IF(K972&lt;=30,"1-30 dias",IF(K972&lt;=60,"31-60 dias",IF(K972&lt;=90,"61-90 dias","&gt;90 dias")))))</f>
        <v/>
      </c>
      <c r="M972" s="28" t="n"/>
      <c r="N972" s="104" t="inlineStr"/>
      <c r="O972" s="64" t="n"/>
      <c r="P972" s="64">
        <f>IF(C972="","",IF(ISNUMBER(SEARCH("PCMSO",C972)),"PCMSO",IF(OR(ISNUMBER(SEARCH("E-SOCIAL",C972)),ISNUMBER(SEARCH("PSICOSOCIAL",C972))),"eSocial / Psicossocial",IF(O972="Receita recorrente","Carteira recorrente","Projetos / Laudos / Avulsos"))))</f>
        <v/>
      </c>
      <c r="Q972" s="64">
        <f>IF(P972="","",IF(P972="Carteira recorrente","Operação recorrente",IF(P972="PCMSO","Projetos PCMSO",IF(P972="eSocial / Psicossocial","Projetos eSocial/Psicossocial","Projetos / Laudos / Avulsos"))))</f>
        <v/>
      </c>
      <c r="R972" s="64">
        <f>IF(C972="","",IF(ISNUMBER(SEARCH("PCMSO",C972)),"Título com PCMSO no nome",IF(OR(ISNUMBER(SEARCH("E-SOCIAL",C972)),ISNUMBER(SEARCH("PSICOSOCIAL",C972))),"Título com eSocial/Psicossocial no nome",IF(O972="Receita recorrente","Tipo DRE recorrente","Extra sem palavra-chave específica"))))</f>
        <v/>
      </c>
      <c r="S972" s="92">
        <f>IFERROR(VLOOKUP($A972,'13. Mapa Títulos-Receita'!$A$8:$P$1000,4,FALSE),"")</f>
        <v/>
      </c>
      <c r="T972" s="92">
        <f>IFERROR(VLOOKUP($A972,'13. Mapa Títulos-Receita'!$A$8:$P$1000,5,FALSE),"")</f>
        <v/>
      </c>
      <c r="U972" s="92">
        <f>IFERROR(VLOOKUP($A972,'13. Mapa Títulos-Receita'!$A$8:$P$1000,6,FALSE),"")</f>
        <v/>
      </c>
      <c r="V972" s="92">
        <f>IFERROR(VLOOKUP($A972,'13. Mapa Títulos-Receita'!$A$8:$P$1000,7,FALSE),"")</f>
        <v/>
      </c>
      <c r="W972" s="92">
        <f>IFERROR(VLOOKUP($A972,'13. Mapa Títulos-Receita'!$A$8:$P$1000,8,FALSE),"")</f>
        <v/>
      </c>
      <c r="X972" s="92">
        <f>IFERROR(VLOOKUP($A972,'13. Mapa Títulos-Receita'!$A$8:$P$1000,9,FALSE),"")</f>
        <v/>
      </c>
      <c r="Y972" s="92">
        <f>IFERROR(VLOOKUP($A972,'13. Mapa Títulos-Receita'!$A$8:$P$1000,10,FALSE),"")</f>
        <v/>
      </c>
      <c r="Z972" s="92">
        <f>IFERROR(VLOOKUP($A972,'13. Mapa Títulos-Receita'!$A$8:$P$1000,11,FALSE),"")</f>
        <v/>
      </c>
      <c r="AA972" s="92">
        <f>IFERROR(VLOOKUP($A972,'13. Mapa Títulos-Receita'!$A$8:$P$1000,12,FALSE),"")</f>
        <v/>
      </c>
      <c r="AB972" s="92">
        <f>IFERROR(VLOOKUP($A972,'13. Mapa Títulos-Receita'!$A$8:$P$1000,13,FALSE),"")</f>
        <v/>
      </c>
      <c r="AC972" s="92">
        <f>IFERROR(VLOOKUP($A972,'13. Mapa Títulos-Receita'!$A$8:$P$1000,14,FALSE),"")</f>
        <v/>
      </c>
      <c r="AD972" s="92">
        <f>IFERROR(VLOOKUP($A972,'13. Mapa Títulos-Receita'!$A$8:$P$1000,15,FALSE),"")</f>
        <v/>
      </c>
      <c r="AE972" s="92">
        <f>IFERROR(VLOOKUP($A972,'13. Mapa Títulos-Receita'!$A$8:$P$1000,16,FALSE),"")</f>
        <v/>
      </c>
    </row>
    <row r="973">
      <c r="A973" s="28">
        <f>IF(C973="","", "CR-"&amp;TEXT(ROW()-7,"000"))</f>
        <v/>
      </c>
      <c r="B973" s="28" t="n"/>
      <c r="C973" s="28" t="n"/>
      <c r="D973" s="111" t="n"/>
      <c r="E973" s="111" t="n"/>
      <c r="F973" s="111" t="n"/>
      <c r="G973" s="28" t="n"/>
      <c r="H973" s="45" t="n"/>
      <c r="I973" s="45" t="n"/>
      <c r="J973" s="28">
        <f>IF(H973="","",IF(I973&gt;=H973,"Recebido",IF($B$4&gt;E973,"Vencido","Aberto")))</f>
        <v/>
      </c>
      <c r="K973" s="4">
        <f>IF(J973="","",IF(OR(J973="Recebido",F973=""),MAX(0,F973-E973),MAX(0,$B$4-E973)))</f>
        <v/>
      </c>
      <c r="L973" s="4">
        <f>IF(K973="","",IF(K973=0,"Em dia",IF(K973&lt;=30,"1-30 dias",IF(K973&lt;=60,"31-60 dias",IF(K973&lt;=90,"61-90 dias","&gt;90 dias")))))</f>
        <v/>
      </c>
      <c r="M973" s="28" t="n"/>
      <c r="N973" s="104" t="inlineStr"/>
      <c r="O973" s="64" t="n"/>
      <c r="P973" s="64">
        <f>IF(C973="","",IF(ISNUMBER(SEARCH("PCMSO",C973)),"PCMSO",IF(OR(ISNUMBER(SEARCH("E-SOCIAL",C973)),ISNUMBER(SEARCH("PSICOSOCIAL",C973))),"eSocial / Psicossocial",IF(O973="Receita recorrente","Carteira recorrente","Projetos / Laudos / Avulsos"))))</f>
        <v/>
      </c>
      <c r="Q973" s="64">
        <f>IF(P973="","",IF(P973="Carteira recorrente","Operação recorrente",IF(P973="PCMSO","Projetos PCMSO",IF(P973="eSocial / Psicossocial","Projetos eSocial/Psicossocial","Projetos / Laudos / Avulsos"))))</f>
        <v/>
      </c>
      <c r="R973" s="64">
        <f>IF(C973="","",IF(ISNUMBER(SEARCH("PCMSO",C973)),"Título com PCMSO no nome",IF(OR(ISNUMBER(SEARCH("E-SOCIAL",C973)),ISNUMBER(SEARCH("PSICOSOCIAL",C973))),"Título com eSocial/Psicossocial no nome",IF(O973="Receita recorrente","Tipo DRE recorrente","Extra sem palavra-chave específica"))))</f>
        <v/>
      </c>
      <c r="S973" s="92">
        <f>IFERROR(VLOOKUP($A973,'13. Mapa Títulos-Receita'!$A$8:$P$1000,4,FALSE),"")</f>
        <v/>
      </c>
      <c r="T973" s="92">
        <f>IFERROR(VLOOKUP($A973,'13. Mapa Títulos-Receita'!$A$8:$P$1000,5,FALSE),"")</f>
        <v/>
      </c>
      <c r="U973" s="92">
        <f>IFERROR(VLOOKUP($A973,'13. Mapa Títulos-Receita'!$A$8:$P$1000,6,FALSE),"")</f>
        <v/>
      </c>
      <c r="V973" s="92">
        <f>IFERROR(VLOOKUP($A973,'13. Mapa Títulos-Receita'!$A$8:$P$1000,7,FALSE),"")</f>
        <v/>
      </c>
      <c r="W973" s="92">
        <f>IFERROR(VLOOKUP($A973,'13. Mapa Títulos-Receita'!$A$8:$P$1000,8,FALSE),"")</f>
        <v/>
      </c>
      <c r="X973" s="92">
        <f>IFERROR(VLOOKUP($A973,'13. Mapa Títulos-Receita'!$A$8:$P$1000,9,FALSE),"")</f>
        <v/>
      </c>
      <c r="Y973" s="92">
        <f>IFERROR(VLOOKUP($A973,'13. Mapa Títulos-Receita'!$A$8:$P$1000,10,FALSE),"")</f>
        <v/>
      </c>
      <c r="Z973" s="92">
        <f>IFERROR(VLOOKUP($A973,'13. Mapa Títulos-Receita'!$A$8:$P$1000,11,FALSE),"")</f>
        <v/>
      </c>
      <c r="AA973" s="92">
        <f>IFERROR(VLOOKUP($A973,'13. Mapa Títulos-Receita'!$A$8:$P$1000,12,FALSE),"")</f>
        <v/>
      </c>
      <c r="AB973" s="92">
        <f>IFERROR(VLOOKUP($A973,'13. Mapa Títulos-Receita'!$A$8:$P$1000,13,FALSE),"")</f>
        <v/>
      </c>
      <c r="AC973" s="92">
        <f>IFERROR(VLOOKUP($A973,'13. Mapa Títulos-Receita'!$A$8:$P$1000,14,FALSE),"")</f>
        <v/>
      </c>
      <c r="AD973" s="92">
        <f>IFERROR(VLOOKUP($A973,'13. Mapa Títulos-Receita'!$A$8:$P$1000,15,FALSE),"")</f>
        <v/>
      </c>
      <c r="AE973" s="92">
        <f>IFERROR(VLOOKUP($A973,'13. Mapa Títulos-Receita'!$A$8:$P$1000,16,FALSE),"")</f>
        <v/>
      </c>
    </row>
    <row r="974">
      <c r="A974" s="28">
        <f>IF(C974="","", "CR-"&amp;TEXT(ROW()-7,"000"))</f>
        <v/>
      </c>
      <c r="B974" s="28" t="n"/>
      <c r="C974" s="28" t="n"/>
      <c r="D974" s="111" t="n"/>
      <c r="E974" s="111" t="n"/>
      <c r="F974" s="111" t="n"/>
      <c r="G974" s="28" t="n"/>
      <c r="H974" s="45" t="n"/>
      <c r="I974" s="45" t="n"/>
      <c r="J974" s="28">
        <f>IF(H974="","",IF(I974&gt;=H974,"Recebido",IF($B$4&gt;E974,"Vencido","Aberto")))</f>
        <v/>
      </c>
      <c r="K974" s="4">
        <f>IF(J974="","",IF(OR(J974="Recebido",F974=""),MAX(0,F974-E974),MAX(0,$B$4-E974)))</f>
        <v/>
      </c>
      <c r="L974" s="4">
        <f>IF(K974="","",IF(K974=0,"Em dia",IF(K974&lt;=30,"1-30 dias",IF(K974&lt;=60,"31-60 dias",IF(K974&lt;=90,"61-90 dias","&gt;90 dias")))))</f>
        <v/>
      </c>
      <c r="M974" s="28" t="n"/>
      <c r="N974" s="104" t="inlineStr"/>
      <c r="O974" s="64" t="n"/>
      <c r="P974" s="64">
        <f>IF(C974="","",IF(ISNUMBER(SEARCH("PCMSO",C974)),"PCMSO",IF(OR(ISNUMBER(SEARCH("E-SOCIAL",C974)),ISNUMBER(SEARCH("PSICOSOCIAL",C974))),"eSocial / Psicossocial",IF(O974="Receita recorrente","Carteira recorrente","Projetos / Laudos / Avulsos"))))</f>
        <v/>
      </c>
      <c r="Q974" s="64">
        <f>IF(P974="","",IF(P974="Carteira recorrente","Operação recorrente",IF(P974="PCMSO","Projetos PCMSO",IF(P974="eSocial / Psicossocial","Projetos eSocial/Psicossocial","Projetos / Laudos / Avulsos"))))</f>
        <v/>
      </c>
      <c r="R974" s="64">
        <f>IF(C974="","",IF(ISNUMBER(SEARCH("PCMSO",C974)),"Título com PCMSO no nome",IF(OR(ISNUMBER(SEARCH("E-SOCIAL",C974)),ISNUMBER(SEARCH("PSICOSOCIAL",C974))),"Título com eSocial/Psicossocial no nome",IF(O974="Receita recorrente","Tipo DRE recorrente","Extra sem palavra-chave específica"))))</f>
        <v/>
      </c>
      <c r="S974" s="92">
        <f>IFERROR(VLOOKUP($A974,'13. Mapa Títulos-Receita'!$A$8:$P$1000,4,FALSE),"")</f>
        <v/>
      </c>
      <c r="T974" s="92">
        <f>IFERROR(VLOOKUP($A974,'13. Mapa Títulos-Receita'!$A$8:$P$1000,5,FALSE),"")</f>
        <v/>
      </c>
      <c r="U974" s="92">
        <f>IFERROR(VLOOKUP($A974,'13. Mapa Títulos-Receita'!$A$8:$P$1000,6,FALSE),"")</f>
        <v/>
      </c>
      <c r="V974" s="92">
        <f>IFERROR(VLOOKUP($A974,'13. Mapa Títulos-Receita'!$A$8:$P$1000,7,FALSE),"")</f>
        <v/>
      </c>
      <c r="W974" s="92">
        <f>IFERROR(VLOOKUP($A974,'13. Mapa Títulos-Receita'!$A$8:$P$1000,8,FALSE),"")</f>
        <v/>
      </c>
      <c r="X974" s="92">
        <f>IFERROR(VLOOKUP($A974,'13. Mapa Títulos-Receita'!$A$8:$P$1000,9,FALSE),"")</f>
        <v/>
      </c>
      <c r="Y974" s="92">
        <f>IFERROR(VLOOKUP($A974,'13. Mapa Títulos-Receita'!$A$8:$P$1000,10,FALSE),"")</f>
        <v/>
      </c>
      <c r="Z974" s="92">
        <f>IFERROR(VLOOKUP($A974,'13. Mapa Títulos-Receita'!$A$8:$P$1000,11,FALSE),"")</f>
        <v/>
      </c>
      <c r="AA974" s="92">
        <f>IFERROR(VLOOKUP($A974,'13. Mapa Títulos-Receita'!$A$8:$P$1000,12,FALSE),"")</f>
        <v/>
      </c>
      <c r="AB974" s="92">
        <f>IFERROR(VLOOKUP($A974,'13. Mapa Títulos-Receita'!$A$8:$P$1000,13,FALSE),"")</f>
        <v/>
      </c>
      <c r="AC974" s="92">
        <f>IFERROR(VLOOKUP($A974,'13. Mapa Títulos-Receita'!$A$8:$P$1000,14,FALSE),"")</f>
        <v/>
      </c>
      <c r="AD974" s="92">
        <f>IFERROR(VLOOKUP($A974,'13. Mapa Títulos-Receita'!$A$8:$P$1000,15,FALSE),"")</f>
        <v/>
      </c>
      <c r="AE974" s="92">
        <f>IFERROR(VLOOKUP($A974,'13. Mapa Títulos-Receita'!$A$8:$P$1000,16,FALSE),"")</f>
        <v/>
      </c>
    </row>
    <row r="975">
      <c r="A975" s="28">
        <f>IF(C975="","", "CR-"&amp;TEXT(ROW()-7,"000"))</f>
        <v/>
      </c>
      <c r="B975" s="28" t="n"/>
      <c r="C975" s="28" t="n"/>
      <c r="D975" s="111" t="n"/>
      <c r="E975" s="111" t="n"/>
      <c r="F975" s="111" t="n"/>
      <c r="G975" s="28" t="n"/>
      <c r="H975" s="45" t="n"/>
      <c r="I975" s="45" t="n"/>
      <c r="J975" s="28">
        <f>IF(H975="","",IF(I975&gt;=H975,"Recebido",IF($B$4&gt;E975,"Vencido","Aberto")))</f>
        <v/>
      </c>
      <c r="K975" s="4">
        <f>IF(J975="","",IF(OR(J975="Recebido",F975=""),MAX(0,F975-E975),MAX(0,$B$4-E975)))</f>
        <v/>
      </c>
      <c r="L975" s="4">
        <f>IF(K975="","",IF(K975=0,"Em dia",IF(K975&lt;=30,"1-30 dias",IF(K975&lt;=60,"31-60 dias",IF(K975&lt;=90,"61-90 dias","&gt;90 dias")))))</f>
        <v/>
      </c>
      <c r="M975" s="28" t="n"/>
      <c r="N975" s="104" t="inlineStr"/>
      <c r="O975" s="64" t="n"/>
      <c r="P975" s="64">
        <f>IF(C975="","",IF(ISNUMBER(SEARCH("PCMSO",C975)),"PCMSO",IF(OR(ISNUMBER(SEARCH("E-SOCIAL",C975)),ISNUMBER(SEARCH("PSICOSOCIAL",C975))),"eSocial / Psicossocial",IF(O975="Receita recorrente","Carteira recorrente","Projetos / Laudos / Avulsos"))))</f>
        <v/>
      </c>
      <c r="Q975" s="64">
        <f>IF(P975="","",IF(P975="Carteira recorrente","Operação recorrente",IF(P975="PCMSO","Projetos PCMSO",IF(P975="eSocial / Psicossocial","Projetos eSocial/Psicossocial","Projetos / Laudos / Avulsos"))))</f>
        <v/>
      </c>
      <c r="R975" s="64">
        <f>IF(C975="","",IF(ISNUMBER(SEARCH("PCMSO",C975)),"Título com PCMSO no nome",IF(OR(ISNUMBER(SEARCH("E-SOCIAL",C975)),ISNUMBER(SEARCH("PSICOSOCIAL",C975))),"Título com eSocial/Psicossocial no nome",IF(O975="Receita recorrente","Tipo DRE recorrente","Extra sem palavra-chave específica"))))</f>
        <v/>
      </c>
      <c r="S975" s="92">
        <f>IFERROR(VLOOKUP($A975,'13. Mapa Títulos-Receita'!$A$8:$P$1000,4,FALSE),"")</f>
        <v/>
      </c>
      <c r="T975" s="92">
        <f>IFERROR(VLOOKUP($A975,'13. Mapa Títulos-Receita'!$A$8:$P$1000,5,FALSE),"")</f>
        <v/>
      </c>
      <c r="U975" s="92">
        <f>IFERROR(VLOOKUP($A975,'13. Mapa Títulos-Receita'!$A$8:$P$1000,6,FALSE),"")</f>
        <v/>
      </c>
      <c r="V975" s="92">
        <f>IFERROR(VLOOKUP($A975,'13. Mapa Títulos-Receita'!$A$8:$P$1000,7,FALSE),"")</f>
        <v/>
      </c>
      <c r="W975" s="92">
        <f>IFERROR(VLOOKUP($A975,'13. Mapa Títulos-Receita'!$A$8:$P$1000,8,FALSE),"")</f>
        <v/>
      </c>
      <c r="X975" s="92">
        <f>IFERROR(VLOOKUP($A975,'13. Mapa Títulos-Receita'!$A$8:$P$1000,9,FALSE),"")</f>
        <v/>
      </c>
      <c r="Y975" s="92">
        <f>IFERROR(VLOOKUP($A975,'13. Mapa Títulos-Receita'!$A$8:$P$1000,10,FALSE),"")</f>
        <v/>
      </c>
      <c r="Z975" s="92">
        <f>IFERROR(VLOOKUP($A975,'13. Mapa Títulos-Receita'!$A$8:$P$1000,11,FALSE),"")</f>
        <v/>
      </c>
      <c r="AA975" s="92">
        <f>IFERROR(VLOOKUP($A975,'13. Mapa Títulos-Receita'!$A$8:$P$1000,12,FALSE),"")</f>
        <v/>
      </c>
      <c r="AB975" s="92">
        <f>IFERROR(VLOOKUP($A975,'13. Mapa Títulos-Receita'!$A$8:$P$1000,13,FALSE),"")</f>
        <v/>
      </c>
      <c r="AC975" s="92">
        <f>IFERROR(VLOOKUP($A975,'13. Mapa Títulos-Receita'!$A$8:$P$1000,14,FALSE),"")</f>
        <v/>
      </c>
      <c r="AD975" s="92">
        <f>IFERROR(VLOOKUP($A975,'13. Mapa Títulos-Receita'!$A$8:$P$1000,15,FALSE),"")</f>
        <v/>
      </c>
      <c r="AE975" s="92">
        <f>IFERROR(VLOOKUP($A975,'13. Mapa Títulos-Receita'!$A$8:$P$1000,16,FALSE),"")</f>
        <v/>
      </c>
    </row>
    <row r="976">
      <c r="A976" s="28">
        <f>IF(C976="","", "CR-"&amp;TEXT(ROW()-7,"000"))</f>
        <v/>
      </c>
      <c r="B976" s="28" t="n"/>
      <c r="C976" s="28" t="n"/>
      <c r="D976" s="111" t="n"/>
      <c r="E976" s="111" t="n"/>
      <c r="F976" s="111" t="n"/>
      <c r="G976" s="28" t="n"/>
      <c r="H976" s="45" t="n"/>
      <c r="I976" s="45" t="n"/>
      <c r="J976" s="28">
        <f>IF(H976="","",IF(I976&gt;=H976,"Recebido",IF($B$4&gt;E976,"Vencido","Aberto")))</f>
        <v/>
      </c>
      <c r="K976" s="4">
        <f>IF(J976="","",IF(OR(J976="Recebido",F976=""),MAX(0,F976-E976),MAX(0,$B$4-E976)))</f>
        <v/>
      </c>
      <c r="L976" s="4">
        <f>IF(K976="","",IF(K976=0,"Em dia",IF(K976&lt;=30,"1-30 dias",IF(K976&lt;=60,"31-60 dias",IF(K976&lt;=90,"61-90 dias","&gt;90 dias")))))</f>
        <v/>
      </c>
      <c r="M976" s="28" t="n"/>
      <c r="N976" s="104" t="inlineStr"/>
      <c r="O976" s="64" t="n"/>
      <c r="P976" s="64">
        <f>IF(C976="","",IF(ISNUMBER(SEARCH("PCMSO",C976)),"PCMSO",IF(OR(ISNUMBER(SEARCH("E-SOCIAL",C976)),ISNUMBER(SEARCH("PSICOSOCIAL",C976))),"eSocial / Psicossocial",IF(O976="Receita recorrente","Carteira recorrente","Projetos / Laudos / Avulsos"))))</f>
        <v/>
      </c>
      <c r="Q976" s="64">
        <f>IF(P976="","",IF(P976="Carteira recorrente","Operação recorrente",IF(P976="PCMSO","Projetos PCMSO",IF(P976="eSocial / Psicossocial","Projetos eSocial/Psicossocial","Projetos / Laudos / Avulsos"))))</f>
        <v/>
      </c>
      <c r="R976" s="64">
        <f>IF(C976="","",IF(ISNUMBER(SEARCH("PCMSO",C976)),"Título com PCMSO no nome",IF(OR(ISNUMBER(SEARCH("E-SOCIAL",C976)),ISNUMBER(SEARCH("PSICOSOCIAL",C976))),"Título com eSocial/Psicossocial no nome",IF(O976="Receita recorrente","Tipo DRE recorrente","Extra sem palavra-chave específica"))))</f>
        <v/>
      </c>
      <c r="S976" s="92">
        <f>IFERROR(VLOOKUP($A976,'13. Mapa Títulos-Receita'!$A$8:$P$1000,4,FALSE),"")</f>
        <v/>
      </c>
      <c r="T976" s="92">
        <f>IFERROR(VLOOKUP($A976,'13. Mapa Títulos-Receita'!$A$8:$P$1000,5,FALSE),"")</f>
        <v/>
      </c>
      <c r="U976" s="92">
        <f>IFERROR(VLOOKUP($A976,'13. Mapa Títulos-Receita'!$A$8:$P$1000,6,FALSE),"")</f>
        <v/>
      </c>
      <c r="V976" s="92">
        <f>IFERROR(VLOOKUP($A976,'13. Mapa Títulos-Receita'!$A$8:$P$1000,7,FALSE),"")</f>
        <v/>
      </c>
      <c r="W976" s="92">
        <f>IFERROR(VLOOKUP($A976,'13. Mapa Títulos-Receita'!$A$8:$P$1000,8,FALSE),"")</f>
        <v/>
      </c>
      <c r="X976" s="92">
        <f>IFERROR(VLOOKUP($A976,'13. Mapa Títulos-Receita'!$A$8:$P$1000,9,FALSE),"")</f>
        <v/>
      </c>
      <c r="Y976" s="92">
        <f>IFERROR(VLOOKUP($A976,'13. Mapa Títulos-Receita'!$A$8:$P$1000,10,FALSE),"")</f>
        <v/>
      </c>
      <c r="Z976" s="92">
        <f>IFERROR(VLOOKUP($A976,'13. Mapa Títulos-Receita'!$A$8:$P$1000,11,FALSE),"")</f>
        <v/>
      </c>
      <c r="AA976" s="92">
        <f>IFERROR(VLOOKUP($A976,'13. Mapa Títulos-Receita'!$A$8:$P$1000,12,FALSE),"")</f>
        <v/>
      </c>
      <c r="AB976" s="92">
        <f>IFERROR(VLOOKUP($A976,'13. Mapa Títulos-Receita'!$A$8:$P$1000,13,FALSE),"")</f>
        <v/>
      </c>
      <c r="AC976" s="92">
        <f>IFERROR(VLOOKUP($A976,'13. Mapa Títulos-Receita'!$A$8:$P$1000,14,FALSE),"")</f>
        <v/>
      </c>
      <c r="AD976" s="92">
        <f>IFERROR(VLOOKUP($A976,'13. Mapa Títulos-Receita'!$A$8:$P$1000,15,FALSE),"")</f>
        <v/>
      </c>
      <c r="AE976" s="92">
        <f>IFERROR(VLOOKUP($A976,'13. Mapa Títulos-Receita'!$A$8:$P$1000,16,FALSE),"")</f>
        <v/>
      </c>
    </row>
    <row r="977">
      <c r="A977" s="28">
        <f>IF(C977="","", "CR-"&amp;TEXT(ROW()-7,"000"))</f>
        <v/>
      </c>
      <c r="B977" s="28" t="n"/>
      <c r="C977" s="28" t="n"/>
      <c r="D977" s="111" t="n"/>
      <c r="E977" s="111" t="n"/>
      <c r="F977" s="111" t="n"/>
      <c r="G977" s="28" t="n"/>
      <c r="H977" s="45" t="n"/>
      <c r="I977" s="45" t="n"/>
      <c r="J977" s="28">
        <f>IF(H977="","",IF(I977&gt;=H977,"Recebido",IF($B$4&gt;E977,"Vencido","Aberto")))</f>
        <v/>
      </c>
      <c r="K977" s="4">
        <f>IF(J977="","",IF(OR(J977="Recebido",F977=""),MAX(0,F977-E977),MAX(0,$B$4-E977)))</f>
        <v/>
      </c>
      <c r="L977" s="4">
        <f>IF(K977="","",IF(K977=0,"Em dia",IF(K977&lt;=30,"1-30 dias",IF(K977&lt;=60,"31-60 dias",IF(K977&lt;=90,"61-90 dias","&gt;90 dias")))))</f>
        <v/>
      </c>
      <c r="M977" s="28" t="n"/>
      <c r="N977" s="104" t="inlineStr"/>
      <c r="O977" s="64" t="n"/>
      <c r="P977" s="64">
        <f>IF(C977="","",IF(ISNUMBER(SEARCH("PCMSO",C977)),"PCMSO",IF(OR(ISNUMBER(SEARCH("E-SOCIAL",C977)),ISNUMBER(SEARCH("PSICOSOCIAL",C977))),"eSocial / Psicossocial",IF(O977="Receita recorrente","Carteira recorrente","Projetos / Laudos / Avulsos"))))</f>
        <v/>
      </c>
      <c r="Q977" s="64">
        <f>IF(P977="","",IF(P977="Carteira recorrente","Operação recorrente",IF(P977="PCMSO","Projetos PCMSO",IF(P977="eSocial / Psicossocial","Projetos eSocial/Psicossocial","Projetos / Laudos / Avulsos"))))</f>
        <v/>
      </c>
      <c r="R977" s="64">
        <f>IF(C977="","",IF(ISNUMBER(SEARCH("PCMSO",C977)),"Título com PCMSO no nome",IF(OR(ISNUMBER(SEARCH("E-SOCIAL",C977)),ISNUMBER(SEARCH("PSICOSOCIAL",C977))),"Título com eSocial/Psicossocial no nome",IF(O977="Receita recorrente","Tipo DRE recorrente","Extra sem palavra-chave específica"))))</f>
        <v/>
      </c>
      <c r="S977" s="92">
        <f>IFERROR(VLOOKUP($A977,'13. Mapa Títulos-Receita'!$A$8:$P$1000,4,FALSE),"")</f>
        <v/>
      </c>
      <c r="T977" s="92">
        <f>IFERROR(VLOOKUP($A977,'13. Mapa Títulos-Receita'!$A$8:$P$1000,5,FALSE),"")</f>
        <v/>
      </c>
      <c r="U977" s="92">
        <f>IFERROR(VLOOKUP($A977,'13. Mapa Títulos-Receita'!$A$8:$P$1000,6,FALSE),"")</f>
        <v/>
      </c>
      <c r="V977" s="92">
        <f>IFERROR(VLOOKUP($A977,'13. Mapa Títulos-Receita'!$A$8:$P$1000,7,FALSE),"")</f>
        <v/>
      </c>
      <c r="W977" s="92">
        <f>IFERROR(VLOOKUP($A977,'13. Mapa Títulos-Receita'!$A$8:$P$1000,8,FALSE),"")</f>
        <v/>
      </c>
      <c r="X977" s="92">
        <f>IFERROR(VLOOKUP($A977,'13. Mapa Títulos-Receita'!$A$8:$P$1000,9,FALSE),"")</f>
        <v/>
      </c>
      <c r="Y977" s="92">
        <f>IFERROR(VLOOKUP($A977,'13. Mapa Títulos-Receita'!$A$8:$P$1000,10,FALSE),"")</f>
        <v/>
      </c>
      <c r="Z977" s="92">
        <f>IFERROR(VLOOKUP($A977,'13. Mapa Títulos-Receita'!$A$8:$P$1000,11,FALSE),"")</f>
        <v/>
      </c>
      <c r="AA977" s="92">
        <f>IFERROR(VLOOKUP($A977,'13. Mapa Títulos-Receita'!$A$8:$P$1000,12,FALSE),"")</f>
        <v/>
      </c>
      <c r="AB977" s="92">
        <f>IFERROR(VLOOKUP($A977,'13. Mapa Títulos-Receita'!$A$8:$P$1000,13,FALSE),"")</f>
        <v/>
      </c>
      <c r="AC977" s="92">
        <f>IFERROR(VLOOKUP($A977,'13. Mapa Títulos-Receita'!$A$8:$P$1000,14,FALSE),"")</f>
        <v/>
      </c>
      <c r="AD977" s="92">
        <f>IFERROR(VLOOKUP($A977,'13. Mapa Títulos-Receita'!$A$8:$P$1000,15,FALSE),"")</f>
        <v/>
      </c>
      <c r="AE977" s="92">
        <f>IFERROR(VLOOKUP($A977,'13. Mapa Títulos-Receita'!$A$8:$P$1000,16,FALSE),"")</f>
        <v/>
      </c>
    </row>
    <row r="978">
      <c r="A978" s="28">
        <f>IF(C978="","", "CR-"&amp;TEXT(ROW()-7,"000"))</f>
        <v/>
      </c>
      <c r="B978" s="28" t="n"/>
      <c r="C978" s="28" t="n"/>
      <c r="D978" s="111" t="n"/>
      <c r="E978" s="111" t="n"/>
      <c r="F978" s="111" t="n"/>
      <c r="G978" s="28" t="n"/>
      <c r="H978" s="45" t="n"/>
      <c r="I978" s="45" t="n"/>
      <c r="J978" s="28">
        <f>IF(H978="","",IF(I978&gt;=H978,"Recebido",IF($B$4&gt;E978,"Vencido","Aberto")))</f>
        <v/>
      </c>
      <c r="K978" s="4">
        <f>IF(J978="","",IF(OR(J978="Recebido",F978=""),MAX(0,F978-E978),MAX(0,$B$4-E978)))</f>
        <v/>
      </c>
      <c r="L978" s="4">
        <f>IF(K978="","",IF(K978=0,"Em dia",IF(K978&lt;=30,"1-30 dias",IF(K978&lt;=60,"31-60 dias",IF(K978&lt;=90,"61-90 dias","&gt;90 dias")))))</f>
        <v/>
      </c>
      <c r="M978" s="28" t="n"/>
      <c r="N978" s="104" t="inlineStr"/>
      <c r="O978" s="64" t="n"/>
      <c r="P978" s="64">
        <f>IF(C978="","",IF(ISNUMBER(SEARCH("PCMSO",C978)),"PCMSO",IF(OR(ISNUMBER(SEARCH("E-SOCIAL",C978)),ISNUMBER(SEARCH("PSICOSOCIAL",C978))),"eSocial / Psicossocial",IF(O978="Receita recorrente","Carteira recorrente","Projetos / Laudos / Avulsos"))))</f>
        <v/>
      </c>
      <c r="Q978" s="64">
        <f>IF(P978="","",IF(P978="Carteira recorrente","Operação recorrente",IF(P978="PCMSO","Projetos PCMSO",IF(P978="eSocial / Psicossocial","Projetos eSocial/Psicossocial","Projetos / Laudos / Avulsos"))))</f>
        <v/>
      </c>
      <c r="R978" s="64">
        <f>IF(C978="","",IF(ISNUMBER(SEARCH("PCMSO",C978)),"Título com PCMSO no nome",IF(OR(ISNUMBER(SEARCH("E-SOCIAL",C978)),ISNUMBER(SEARCH("PSICOSOCIAL",C978))),"Título com eSocial/Psicossocial no nome",IF(O978="Receita recorrente","Tipo DRE recorrente","Extra sem palavra-chave específica"))))</f>
        <v/>
      </c>
      <c r="S978" s="92">
        <f>IFERROR(VLOOKUP($A978,'13. Mapa Títulos-Receita'!$A$8:$P$1000,4,FALSE),"")</f>
        <v/>
      </c>
      <c r="T978" s="92">
        <f>IFERROR(VLOOKUP($A978,'13. Mapa Títulos-Receita'!$A$8:$P$1000,5,FALSE),"")</f>
        <v/>
      </c>
      <c r="U978" s="92">
        <f>IFERROR(VLOOKUP($A978,'13. Mapa Títulos-Receita'!$A$8:$P$1000,6,FALSE),"")</f>
        <v/>
      </c>
      <c r="V978" s="92">
        <f>IFERROR(VLOOKUP($A978,'13. Mapa Títulos-Receita'!$A$8:$P$1000,7,FALSE),"")</f>
        <v/>
      </c>
      <c r="W978" s="92">
        <f>IFERROR(VLOOKUP($A978,'13. Mapa Títulos-Receita'!$A$8:$P$1000,8,FALSE),"")</f>
        <v/>
      </c>
      <c r="X978" s="92">
        <f>IFERROR(VLOOKUP($A978,'13. Mapa Títulos-Receita'!$A$8:$P$1000,9,FALSE),"")</f>
        <v/>
      </c>
      <c r="Y978" s="92">
        <f>IFERROR(VLOOKUP($A978,'13. Mapa Títulos-Receita'!$A$8:$P$1000,10,FALSE),"")</f>
        <v/>
      </c>
      <c r="Z978" s="92">
        <f>IFERROR(VLOOKUP($A978,'13. Mapa Títulos-Receita'!$A$8:$P$1000,11,FALSE),"")</f>
        <v/>
      </c>
      <c r="AA978" s="92">
        <f>IFERROR(VLOOKUP($A978,'13. Mapa Títulos-Receita'!$A$8:$P$1000,12,FALSE),"")</f>
        <v/>
      </c>
      <c r="AB978" s="92">
        <f>IFERROR(VLOOKUP($A978,'13. Mapa Títulos-Receita'!$A$8:$P$1000,13,FALSE),"")</f>
        <v/>
      </c>
      <c r="AC978" s="92">
        <f>IFERROR(VLOOKUP($A978,'13. Mapa Títulos-Receita'!$A$8:$P$1000,14,FALSE),"")</f>
        <v/>
      </c>
      <c r="AD978" s="92">
        <f>IFERROR(VLOOKUP($A978,'13. Mapa Títulos-Receita'!$A$8:$P$1000,15,FALSE),"")</f>
        <v/>
      </c>
      <c r="AE978" s="92">
        <f>IFERROR(VLOOKUP($A978,'13. Mapa Títulos-Receita'!$A$8:$P$1000,16,FALSE),"")</f>
        <v/>
      </c>
    </row>
    <row r="979">
      <c r="A979" s="28">
        <f>IF(C979="","", "CR-"&amp;TEXT(ROW()-7,"000"))</f>
        <v/>
      </c>
      <c r="B979" s="28" t="n"/>
      <c r="C979" s="28" t="n"/>
      <c r="D979" s="111" t="n"/>
      <c r="E979" s="111" t="n"/>
      <c r="F979" s="111" t="n"/>
      <c r="G979" s="28" t="n"/>
      <c r="H979" s="45" t="n"/>
      <c r="I979" s="45" t="n"/>
      <c r="J979" s="28">
        <f>IF(H979="","",IF(I979&gt;=H979,"Recebido",IF($B$4&gt;E979,"Vencido","Aberto")))</f>
        <v/>
      </c>
      <c r="K979" s="4">
        <f>IF(J979="","",IF(OR(J979="Recebido",F979=""),MAX(0,F979-E979),MAX(0,$B$4-E979)))</f>
        <v/>
      </c>
      <c r="L979" s="4">
        <f>IF(K979="","",IF(K979=0,"Em dia",IF(K979&lt;=30,"1-30 dias",IF(K979&lt;=60,"31-60 dias",IF(K979&lt;=90,"61-90 dias","&gt;90 dias")))))</f>
        <v/>
      </c>
      <c r="M979" s="28" t="n"/>
      <c r="N979" s="104" t="inlineStr"/>
      <c r="O979" s="64" t="n"/>
      <c r="P979" s="64">
        <f>IF(C979="","",IF(ISNUMBER(SEARCH("PCMSO",C979)),"PCMSO",IF(OR(ISNUMBER(SEARCH("E-SOCIAL",C979)),ISNUMBER(SEARCH("PSICOSOCIAL",C979))),"eSocial / Psicossocial",IF(O979="Receita recorrente","Carteira recorrente","Projetos / Laudos / Avulsos"))))</f>
        <v/>
      </c>
      <c r="Q979" s="64">
        <f>IF(P979="","",IF(P979="Carteira recorrente","Operação recorrente",IF(P979="PCMSO","Projetos PCMSO",IF(P979="eSocial / Psicossocial","Projetos eSocial/Psicossocial","Projetos / Laudos / Avulsos"))))</f>
        <v/>
      </c>
      <c r="R979" s="64">
        <f>IF(C979="","",IF(ISNUMBER(SEARCH("PCMSO",C979)),"Título com PCMSO no nome",IF(OR(ISNUMBER(SEARCH("E-SOCIAL",C979)),ISNUMBER(SEARCH("PSICOSOCIAL",C979))),"Título com eSocial/Psicossocial no nome",IF(O979="Receita recorrente","Tipo DRE recorrente","Extra sem palavra-chave específica"))))</f>
        <v/>
      </c>
      <c r="S979" s="92">
        <f>IFERROR(VLOOKUP($A979,'13. Mapa Títulos-Receita'!$A$8:$P$1000,4,FALSE),"")</f>
        <v/>
      </c>
      <c r="T979" s="92">
        <f>IFERROR(VLOOKUP($A979,'13. Mapa Títulos-Receita'!$A$8:$P$1000,5,FALSE),"")</f>
        <v/>
      </c>
      <c r="U979" s="92">
        <f>IFERROR(VLOOKUP($A979,'13. Mapa Títulos-Receita'!$A$8:$P$1000,6,FALSE),"")</f>
        <v/>
      </c>
      <c r="V979" s="92">
        <f>IFERROR(VLOOKUP($A979,'13. Mapa Títulos-Receita'!$A$8:$P$1000,7,FALSE),"")</f>
        <v/>
      </c>
      <c r="W979" s="92">
        <f>IFERROR(VLOOKUP($A979,'13. Mapa Títulos-Receita'!$A$8:$P$1000,8,FALSE),"")</f>
        <v/>
      </c>
      <c r="X979" s="92">
        <f>IFERROR(VLOOKUP($A979,'13. Mapa Títulos-Receita'!$A$8:$P$1000,9,FALSE),"")</f>
        <v/>
      </c>
      <c r="Y979" s="92">
        <f>IFERROR(VLOOKUP($A979,'13. Mapa Títulos-Receita'!$A$8:$P$1000,10,FALSE),"")</f>
        <v/>
      </c>
      <c r="Z979" s="92">
        <f>IFERROR(VLOOKUP($A979,'13. Mapa Títulos-Receita'!$A$8:$P$1000,11,FALSE),"")</f>
        <v/>
      </c>
      <c r="AA979" s="92">
        <f>IFERROR(VLOOKUP($A979,'13. Mapa Títulos-Receita'!$A$8:$P$1000,12,FALSE),"")</f>
        <v/>
      </c>
      <c r="AB979" s="92">
        <f>IFERROR(VLOOKUP($A979,'13. Mapa Títulos-Receita'!$A$8:$P$1000,13,FALSE),"")</f>
        <v/>
      </c>
      <c r="AC979" s="92">
        <f>IFERROR(VLOOKUP($A979,'13. Mapa Títulos-Receita'!$A$8:$P$1000,14,FALSE),"")</f>
        <v/>
      </c>
      <c r="AD979" s="92">
        <f>IFERROR(VLOOKUP($A979,'13. Mapa Títulos-Receita'!$A$8:$P$1000,15,FALSE),"")</f>
        <v/>
      </c>
      <c r="AE979" s="92">
        <f>IFERROR(VLOOKUP($A979,'13. Mapa Títulos-Receita'!$A$8:$P$1000,16,FALSE),"")</f>
        <v/>
      </c>
    </row>
    <row r="980">
      <c r="A980" s="28">
        <f>IF(C980="","", "CR-"&amp;TEXT(ROW()-7,"000"))</f>
        <v/>
      </c>
      <c r="B980" s="28" t="n"/>
      <c r="C980" s="28" t="n"/>
      <c r="D980" s="111" t="n"/>
      <c r="E980" s="111" t="n"/>
      <c r="F980" s="111" t="n"/>
      <c r="G980" s="28" t="n"/>
      <c r="H980" s="45" t="n"/>
      <c r="I980" s="45" t="n"/>
      <c r="J980" s="28">
        <f>IF(H980="","",IF(I980&gt;=H980,"Recebido",IF($B$4&gt;E980,"Vencido","Aberto")))</f>
        <v/>
      </c>
      <c r="K980" s="4">
        <f>IF(J980="","",IF(OR(J980="Recebido",F980=""),MAX(0,F980-E980),MAX(0,$B$4-E980)))</f>
        <v/>
      </c>
      <c r="L980" s="4">
        <f>IF(K980="","",IF(K980=0,"Em dia",IF(K980&lt;=30,"1-30 dias",IF(K980&lt;=60,"31-60 dias",IF(K980&lt;=90,"61-90 dias","&gt;90 dias")))))</f>
        <v/>
      </c>
      <c r="M980" s="28" t="n"/>
      <c r="N980" s="104" t="inlineStr"/>
      <c r="O980" s="64" t="n"/>
      <c r="P980" s="64">
        <f>IF(C980="","",IF(ISNUMBER(SEARCH("PCMSO",C980)),"PCMSO",IF(OR(ISNUMBER(SEARCH("E-SOCIAL",C980)),ISNUMBER(SEARCH("PSICOSOCIAL",C980))),"eSocial / Psicossocial",IF(O980="Receita recorrente","Carteira recorrente","Projetos / Laudos / Avulsos"))))</f>
        <v/>
      </c>
      <c r="Q980" s="64">
        <f>IF(P980="","",IF(P980="Carteira recorrente","Operação recorrente",IF(P980="PCMSO","Projetos PCMSO",IF(P980="eSocial / Psicossocial","Projetos eSocial/Psicossocial","Projetos / Laudos / Avulsos"))))</f>
        <v/>
      </c>
      <c r="R980" s="64">
        <f>IF(C980="","",IF(ISNUMBER(SEARCH("PCMSO",C980)),"Título com PCMSO no nome",IF(OR(ISNUMBER(SEARCH("E-SOCIAL",C980)),ISNUMBER(SEARCH("PSICOSOCIAL",C980))),"Título com eSocial/Psicossocial no nome",IF(O980="Receita recorrente","Tipo DRE recorrente","Extra sem palavra-chave específica"))))</f>
        <v/>
      </c>
      <c r="S980" s="92">
        <f>IFERROR(VLOOKUP($A980,'13. Mapa Títulos-Receita'!$A$8:$P$1000,4,FALSE),"")</f>
        <v/>
      </c>
      <c r="T980" s="92">
        <f>IFERROR(VLOOKUP($A980,'13. Mapa Títulos-Receita'!$A$8:$P$1000,5,FALSE),"")</f>
        <v/>
      </c>
      <c r="U980" s="92">
        <f>IFERROR(VLOOKUP($A980,'13. Mapa Títulos-Receita'!$A$8:$P$1000,6,FALSE),"")</f>
        <v/>
      </c>
      <c r="V980" s="92">
        <f>IFERROR(VLOOKUP($A980,'13. Mapa Títulos-Receita'!$A$8:$P$1000,7,FALSE),"")</f>
        <v/>
      </c>
      <c r="W980" s="92">
        <f>IFERROR(VLOOKUP($A980,'13. Mapa Títulos-Receita'!$A$8:$P$1000,8,FALSE),"")</f>
        <v/>
      </c>
      <c r="X980" s="92">
        <f>IFERROR(VLOOKUP($A980,'13. Mapa Títulos-Receita'!$A$8:$P$1000,9,FALSE),"")</f>
        <v/>
      </c>
      <c r="Y980" s="92">
        <f>IFERROR(VLOOKUP($A980,'13. Mapa Títulos-Receita'!$A$8:$P$1000,10,FALSE),"")</f>
        <v/>
      </c>
      <c r="Z980" s="92">
        <f>IFERROR(VLOOKUP($A980,'13. Mapa Títulos-Receita'!$A$8:$P$1000,11,FALSE),"")</f>
        <v/>
      </c>
      <c r="AA980" s="92">
        <f>IFERROR(VLOOKUP($A980,'13. Mapa Títulos-Receita'!$A$8:$P$1000,12,FALSE),"")</f>
        <v/>
      </c>
      <c r="AB980" s="92">
        <f>IFERROR(VLOOKUP($A980,'13. Mapa Títulos-Receita'!$A$8:$P$1000,13,FALSE),"")</f>
        <v/>
      </c>
      <c r="AC980" s="92">
        <f>IFERROR(VLOOKUP($A980,'13. Mapa Títulos-Receita'!$A$8:$P$1000,14,FALSE),"")</f>
        <v/>
      </c>
      <c r="AD980" s="92">
        <f>IFERROR(VLOOKUP($A980,'13. Mapa Títulos-Receita'!$A$8:$P$1000,15,FALSE),"")</f>
        <v/>
      </c>
      <c r="AE980" s="92">
        <f>IFERROR(VLOOKUP($A980,'13. Mapa Títulos-Receita'!$A$8:$P$1000,16,FALSE),"")</f>
        <v/>
      </c>
    </row>
    <row r="981">
      <c r="A981" s="28">
        <f>IF(C981="","", "CR-"&amp;TEXT(ROW()-7,"000"))</f>
        <v/>
      </c>
      <c r="B981" s="28" t="n"/>
      <c r="C981" s="28" t="n"/>
      <c r="D981" s="111" t="n"/>
      <c r="E981" s="111" t="n"/>
      <c r="F981" s="111" t="n"/>
      <c r="G981" s="28" t="n"/>
      <c r="H981" s="45" t="n"/>
      <c r="I981" s="45" t="n"/>
      <c r="J981" s="28">
        <f>IF(H981="","",IF(I981&gt;=H981,"Recebido",IF($B$4&gt;E981,"Vencido","Aberto")))</f>
        <v/>
      </c>
      <c r="K981" s="4">
        <f>IF(J981="","",IF(OR(J981="Recebido",F981=""),MAX(0,F981-E981),MAX(0,$B$4-E981)))</f>
        <v/>
      </c>
      <c r="L981" s="4">
        <f>IF(K981="","",IF(K981=0,"Em dia",IF(K981&lt;=30,"1-30 dias",IF(K981&lt;=60,"31-60 dias",IF(K981&lt;=90,"61-90 dias","&gt;90 dias")))))</f>
        <v/>
      </c>
      <c r="M981" s="28" t="n"/>
      <c r="N981" s="104" t="inlineStr"/>
      <c r="O981" s="64" t="n"/>
      <c r="P981" s="64">
        <f>IF(C981="","",IF(ISNUMBER(SEARCH("PCMSO",C981)),"PCMSO",IF(OR(ISNUMBER(SEARCH("E-SOCIAL",C981)),ISNUMBER(SEARCH("PSICOSOCIAL",C981))),"eSocial / Psicossocial",IF(O981="Receita recorrente","Carteira recorrente","Projetos / Laudos / Avulsos"))))</f>
        <v/>
      </c>
      <c r="Q981" s="64">
        <f>IF(P981="","",IF(P981="Carteira recorrente","Operação recorrente",IF(P981="PCMSO","Projetos PCMSO",IF(P981="eSocial / Psicossocial","Projetos eSocial/Psicossocial","Projetos / Laudos / Avulsos"))))</f>
        <v/>
      </c>
      <c r="R981" s="64">
        <f>IF(C981="","",IF(ISNUMBER(SEARCH("PCMSO",C981)),"Título com PCMSO no nome",IF(OR(ISNUMBER(SEARCH("E-SOCIAL",C981)),ISNUMBER(SEARCH("PSICOSOCIAL",C981))),"Título com eSocial/Psicossocial no nome",IF(O981="Receita recorrente","Tipo DRE recorrente","Extra sem palavra-chave específica"))))</f>
        <v/>
      </c>
      <c r="S981" s="92">
        <f>IFERROR(VLOOKUP($A981,'13. Mapa Títulos-Receita'!$A$8:$P$1000,4,FALSE),"")</f>
        <v/>
      </c>
      <c r="T981" s="92">
        <f>IFERROR(VLOOKUP($A981,'13. Mapa Títulos-Receita'!$A$8:$P$1000,5,FALSE),"")</f>
        <v/>
      </c>
      <c r="U981" s="92">
        <f>IFERROR(VLOOKUP($A981,'13. Mapa Títulos-Receita'!$A$8:$P$1000,6,FALSE),"")</f>
        <v/>
      </c>
      <c r="V981" s="92">
        <f>IFERROR(VLOOKUP($A981,'13. Mapa Títulos-Receita'!$A$8:$P$1000,7,FALSE),"")</f>
        <v/>
      </c>
      <c r="W981" s="92">
        <f>IFERROR(VLOOKUP($A981,'13. Mapa Títulos-Receita'!$A$8:$P$1000,8,FALSE),"")</f>
        <v/>
      </c>
      <c r="X981" s="92">
        <f>IFERROR(VLOOKUP($A981,'13. Mapa Títulos-Receita'!$A$8:$P$1000,9,FALSE),"")</f>
        <v/>
      </c>
      <c r="Y981" s="92">
        <f>IFERROR(VLOOKUP($A981,'13. Mapa Títulos-Receita'!$A$8:$P$1000,10,FALSE),"")</f>
        <v/>
      </c>
      <c r="Z981" s="92">
        <f>IFERROR(VLOOKUP($A981,'13. Mapa Títulos-Receita'!$A$8:$P$1000,11,FALSE),"")</f>
        <v/>
      </c>
      <c r="AA981" s="92">
        <f>IFERROR(VLOOKUP($A981,'13. Mapa Títulos-Receita'!$A$8:$P$1000,12,FALSE),"")</f>
        <v/>
      </c>
      <c r="AB981" s="92">
        <f>IFERROR(VLOOKUP($A981,'13. Mapa Títulos-Receita'!$A$8:$P$1000,13,FALSE),"")</f>
        <v/>
      </c>
      <c r="AC981" s="92">
        <f>IFERROR(VLOOKUP($A981,'13. Mapa Títulos-Receita'!$A$8:$P$1000,14,FALSE),"")</f>
        <v/>
      </c>
      <c r="AD981" s="92">
        <f>IFERROR(VLOOKUP($A981,'13. Mapa Títulos-Receita'!$A$8:$P$1000,15,FALSE),"")</f>
        <v/>
      </c>
      <c r="AE981" s="92">
        <f>IFERROR(VLOOKUP($A981,'13. Mapa Títulos-Receita'!$A$8:$P$1000,16,FALSE),"")</f>
        <v/>
      </c>
    </row>
    <row r="982">
      <c r="A982" s="28">
        <f>IF(C982="","", "CR-"&amp;TEXT(ROW()-7,"000"))</f>
        <v/>
      </c>
      <c r="B982" s="28" t="n"/>
      <c r="C982" s="28" t="n"/>
      <c r="D982" s="111" t="n"/>
      <c r="E982" s="111" t="n"/>
      <c r="F982" s="111" t="n"/>
      <c r="G982" s="28" t="n"/>
      <c r="H982" s="45" t="n"/>
      <c r="I982" s="45" t="n"/>
      <c r="J982" s="28">
        <f>IF(H982="","",IF(I982&gt;=H982,"Recebido",IF($B$4&gt;E982,"Vencido","Aberto")))</f>
        <v/>
      </c>
      <c r="K982" s="4">
        <f>IF(J982="","",IF(OR(J982="Recebido",F982=""),MAX(0,F982-E982),MAX(0,$B$4-E982)))</f>
        <v/>
      </c>
      <c r="L982" s="4">
        <f>IF(K982="","",IF(K982=0,"Em dia",IF(K982&lt;=30,"1-30 dias",IF(K982&lt;=60,"31-60 dias",IF(K982&lt;=90,"61-90 dias","&gt;90 dias")))))</f>
        <v/>
      </c>
      <c r="M982" s="28" t="n"/>
      <c r="N982" s="104" t="inlineStr"/>
      <c r="O982" s="64" t="n"/>
      <c r="P982" s="64">
        <f>IF(C982="","",IF(ISNUMBER(SEARCH("PCMSO",C982)),"PCMSO",IF(OR(ISNUMBER(SEARCH("E-SOCIAL",C982)),ISNUMBER(SEARCH("PSICOSOCIAL",C982))),"eSocial / Psicossocial",IF(O982="Receita recorrente","Carteira recorrente","Projetos / Laudos / Avulsos"))))</f>
        <v/>
      </c>
      <c r="Q982" s="64">
        <f>IF(P982="","",IF(P982="Carteira recorrente","Operação recorrente",IF(P982="PCMSO","Projetos PCMSO",IF(P982="eSocial / Psicossocial","Projetos eSocial/Psicossocial","Projetos / Laudos / Avulsos"))))</f>
        <v/>
      </c>
      <c r="R982" s="64">
        <f>IF(C982="","",IF(ISNUMBER(SEARCH("PCMSO",C982)),"Título com PCMSO no nome",IF(OR(ISNUMBER(SEARCH("E-SOCIAL",C982)),ISNUMBER(SEARCH("PSICOSOCIAL",C982))),"Título com eSocial/Psicossocial no nome",IF(O982="Receita recorrente","Tipo DRE recorrente","Extra sem palavra-chave específica"))))</f>
        <v/>
      </c>
      <c r="S982" s="92">
        <f>IFERROR(VLOOKUP($A982,'13. Mapa Títulos-Receita'!$A$8:$P$1000,4,FALSE),"")</f>
        <v/>
      </c>
      <c r="T982" s="92">
        <f>IFERROR(VLOOKUP($A982,'13. Mapa Títulos-Receita'!$A$8:$P$1000,5,FALSE),"")</f>
        <v/>
      </c>
      <c r="U982" s="92">
        <f>IFERROR(VLOOKUP($A982,'13. Mapa Títulos-Receita'!$A$8:$P$1000,6,FALSE),"")</f>
        <v/>
      </c>
      <c r="V982" s="92">
        <f>IFERROR(VLOOKUP($A982,'13. Mapa Títulos-Receita'!$A$8:$P$1000,7,FALSE),"")</f>
        <v/>
      </c>
      <c r="W982" s="92">
        <f>IFERROR(VLOOKUP($A982,'13. Mapa Títulos-Receita'!$A$8:$P$1000,8,FALSE),"")</f>
        <v/>
      </c>
      <c r="X982" s="92">
        <f>IFERROR(VLOOKUP($A982,'13. Mapa Títulos-Receita'!$A$8:$P$1000,9,FALSE),"")</f>
        <v/>
      </c>
      <c r="Y982" s="92">
        <f>IFERROR(VLOOKUP($A982,'13. Mapa Títulos-Receita'!$A$8:$P$1000,10,FALSE),"")</f>
        <v/>
      </c>
      <c r="Z982" s="92">
        <f>IFERROR(VLOOKUP($A982,'13. Mapa Títulos-Receita'!$A$8:$P$1000,11,FALSE),"")</f>
        <v/>
      </c>
      <c r="AA982" s="92">
        <f>IFERROR(VLOOKUP($A982,'13. Mapa Títulos-Receita'!$A$8:$P$1000,12,FALSE),"")</f>
        <v/>
      </c>
      <c r="AB982" s="92">
        <f>IFERROR(VLOOKUP($A982,'13. Mapa Títulos-Receita'!$A$8:$P$1000,13,FALSE),"")</f>
        <v/>
      </c>
      <c r="AC982" s="92">
        <f>IFERROR(VLOOKUP($A982,'13. Mapa Títulos-Receita'!$A$8:$P$1000,14,FALSE),"")</f>
        <v/>
      </c>
      <c r="AD982" s="92">
        <f>IFERROR(VLOOKUP($A982,'13. Mapa Títulos-Receita'!$A$8:$P$1000,15,FALSE),"")</f>
        <v/>
      </c>
      <c r="AE982" s="92">
        <f>IFERROR(VLOOKUP($A982,'13. Mapa Títulos-Receita'!$A$8:$P$1000,16,FALSE),"")</f>
        <v/>
      </c>
    </row>
    <row r="983">
      <c r="A983" s="28">
        <f>IF(C983="","", "CR-"&amp;TEXT(ROW()-7,"000"))</f>
        <v/>
      </c>
      <c r="B983" s="28" t="n"/>
      <c r="C983" s="28" t="n"/>
      <c r="D983" s="111" t="n"/>
      <c r="E983" s="111" t="n"/>
      <c r="F983" s="111" t="n"/>
      <c r="G983" s="28" t="n"/>
      <c r="H983" s="45" t="n"/>
      <c r="I983" s="45" t="n"/>
      <c r="J983" s="28">
        <f>IF(H983="","",IF(I983&gt;=H983,"Recebido",IF($B$4&gt;E983,"Vencido","Aberto")))</f>
        <v/>
      </c>
      <c r="K983" s="4">
        <f>IF(J983="","",IF(OR(J983="Recebido",F983=""),MAX(0,F983-E983),MAX(0,$B$4-E983)))</f>
        <v/>
      </c>
      <c r="L983" s="4">
        <f>IF(K983="","",IF(K983=0,"Em dia",IF(K983&lt;=30,"1-30 dias",IF(K983&lt;=60,"31-60 dias",IF(K983&lt;=90,"61-90 dias","&gt;90 dias")))))</f>
        <v/>
      </c>
      <c r="M983" s="28" t="n"/>
      <c r="N983" s="104" t="inlineStr"/>
      <c r="O983" s="64" t="n"/>
      <c r="P983" s="64">
        <f>IF(C983="","",IF(ISNUMBER(SEARCH("PCMSO",C983)),"PCMSO",IF(OR(ISNUMBER(SEARCH("E-SOCIAL",C983)),ISNUMBER(SEARCH("PSICOSOCIAL",C983))),"eSocial / Psicossocial",IF(O983="Receita recorrente","Carteira recorrente","Projetos / Laudos / Avulsos"))))</f>
        <v/>
      </c>
      <c r="Q983" s="64">
        <f>IF(P983="","",IF(P983="Carteira recorrente","Operação recorrente",IF(P983="PCMSO","Projetos PCMSO",IF(P983="eSocial / Psicossocial","Projetos eSocial/Psicossocial","Projetos / Laudos / Avulsos"))))</f>
        <v/>
      </c>
      <c r="R983" s="64">
        <f>IF(C983="","",IF(ISNUMBER(SEARCH("PCMSO",C983)),"Título com PCMSO no nome",IF(OR(ISNUMBER(SEARCH("E-SOCIAL",C983)),ISNUMBER(SEARCH("PSICOSOCIAL",C983))),"Título com eSocial/Psicossocial no nome",IF(O983="Receita recorrente","Tipo DRE recorrente","Extra sem palavra-chave específica"))))</f>
        <v/>
      </c>
      <c r="S983" s="92">
        <f>IFERROR(VLOOKUP($A983,'13. Mapa Títulos-Receita'!$A$8:$P$1000,4,FALSE),"")</f>
        <v/>
      </c>
      <c r="T983" s="92">
        <f>IFERROR(VLOOKUP($A983,'13. Mapa Títulos-Receita'!$A$8:$P$1000,5,FALSE),"")</f>
        <v/>
      </c>
      <c r="U983" s="92">
        <f>IFERROR(VLOOKUP($A983,'13. Mapa Títulos-Receita'!$A$8:$P$1000,6,FALSE),"")</f>
        <v/>
      </c>
      <c r="V983" s="92">
        <f>IFERROR(VLOOKUP($A983,'13. Mapa Títulos-Receita'!$A$8:$P$1000,7,FALSE),"")</f>
        <v/>
      </c>
      <c r="W983" s="92">
        <f>IFERROR(VLOOKUP($A983,'13. Mapa Títulos-Receita'!$A$8:$P$1000,8,FALSE),"")</f>
        <v/>
      </c>
      <c r="X983" s="92">
        <f>IFERROR(VLOOKUP($A983,'13. Mapa Títulos-Receita'!$A$8:$P$1000,9,FALSE),"")</f>
        <v/>
      </c>
      <c r="Y983" s="92">
        <f>IFERROR(VLOOKUP($A983,'13. Mapa Títulos-Receita'!$A$8:$P$1000,10,FALSE),"")</f>
        <v/>
      </c>
      <c r="Z983" s="92">
        <f>IFERROR(VLOOKUP($A983,'13. Mapa Títulos-Receita'!$A$8:$P$1000,11,FALSE),"")</f>
        <v/>
      </c>
      <c r="AA983" s="92">
        <f>IFERROR(VLOOKUP($A983,'13. Mapa Títulos-Receita'!$A$8:$P$1000,12,FALSE),"")</f>
        <v/>
      </c>
      <c r="AB983" s="92">
        <f>IFERROR(VLOOKUP($A983,'13. Mapa Títulos-Receita'!$A$8:$P$1000,13,FALSE),"")</f>
        <v/>
      </c>
      <c r="AC983" s="92">
        <f>IFERROR(VLOOKUP($A983,'13. Mapa Títulos-Receita'!$A$8:$P$1000,14,FALSE),"")</f>
        <v/>
      </c>
      <c r="AD983" s="92">
        <f>IFERROR(VLOOKUP($A983,'13. Mapa Títulos-Receita'!$A$8:$P$1000,15,FALSE),"")</f>
        <v/>
      </c>
      <c r="AE983" s="92">
        <f>IFERROR(VLOOKUP($A983,'13. Mapa Títulos-Receita'!$A$8:$P$1000,16,FALSE),"")</f>
        <v/>
      </c>
    </row>
    <row r="984">
      <c r="A984" s="28">
        <f>IF(C984="","", "CR-"&amp;TEXT(ROW()-7,"000"))</f>
        <v/>
      </c>
      <c r="B984" s="28" t="n"/>
      <c r="C984" s="28" t="n"/>
      <c r="D984" s="111" t="n"/>
      <c r="E984" s="111" t="n"/>
      <c r="F984" s="111" t="n"/>
      <c r="G984" s="28" t="n"/>
      <c r="H984" s="45" t="n"/>
      <c r="I984" s="45" t="n"/>
      <c r="J984" s="28">
        <f>IF(H984="","",IF(I984&gt;=H984,"Recebido",IF($B$4&gt;E984,"Vencido","Aberto")))</f>
        <v/>
      </c>
      <c r="K984" s="4">
        <f>IF(J984="","",IF(OR(J984="Recebido",F984=""),MAX(0,F984-E984),MAX(0,$B$4-E984)))</f>
        <v/>
      </c>
      <c r="L984" s="4">
        <f>IF(K984="","",IF(K984=0,"Em dia",IF(K984&lt;=30,"1-30 dias",IF(K984&lt;=60,"31-60 dias",IF(K984&lt;=90,"61-90 dias","&gt;90 dias")))))</f>
        <v/>
      </c>
      <c r="M984" s="28" t="n"/>
      <c r="N984" s="104" t="inlineStr"/>
      <c r="O984" s="64" t="n"/>
      <c r="P984" s="64">
        <f>IF(C984="","",IF(ISNUMBER(SEARCH("PCMSO",C984)),"PCMSO",IF(OR(ISNUMBER(SEARCH("E-SOCIAL",C984)),ISNUMBER(SEARCH("PSICOSOCIAL",C984))),"eSocial / Psicossocial",IF(O984="Receita recorrente","Carteira recorrente","Projetos / Laudos / Avulsos"))))</f>
        <v/>
      </c>
      <c r="Q984" s="64">
        <f>IF(P984="","",IF(P984="Carteira recorrente","Operação recorrente",IF(P984="PCMSO","Projetos PCMSO",IF(P984="eSocial / Psicossocial","Projetos eSocial/Psicossocial","Projetos / Laudos / Avulsos"))))</f>
        <v/>
      </c>
      <c r="R984" s="64">
        <f>IF(C984="","",IF(ISNUMBER(SEARCH("PCMSO",C984)),"Título com PCMSO no nome",IF(OR(ISNUMBER(SEARCH("E-SOCIAL",C984)),ISNUMBER(SEARCH("PSICOSOCIAL",C984))),"Título com eSocial/Psicossocial no nome",IF(O984="Receita recorrente","Tipo DRE recorrente","Extra sem palavra-chave específica"))))</f>
        <v/>
      </c>
      <c r="S984" s="92">
        <f>IFERROR(VLOOKUP($A984,'13. Mapa Títulos-Receita'!$A$8:$P$1000,4,FALSE),"")</f>
        <v/>
      </c>
      <c r="T984" s="92">
        <f>IFERROR(VLOOKUP($A984,'13. Mapa Títulos-Receita'!$A$8:$P$1000,5,FALSE),"")</f>
        <v/>
      </c>
      <c r="U984" s="92">
        <f>IFERROR(VLOOKUP($A984,'13. Mapa Títulos-Receita'!$A$8:$P$1000,6,FALSE),"")</f>
        <v/>
      </c>
      <c r="V984" s="92">
        <f>IFERROR(VLOOKUP($A984,'13. Mapa Títulos-Receita'!$A$8:$P$1000,7,FALSE),"")</f>
        <v/>
      </c>
      <c r="W984" s="92">
        <f>IFERROR(VLOOKUP($A984,'13. Mapa Títulos-Receita'!$A$8:$P$1000,8,FALSE),"")</f>
        <v/>
      </c>
      <c r="X984" s="92">
        <f>IFERROR(VLOOKUP($A984,'13. Mapa Títulos-Receita'!$A$8:$P$1000,9,FALSE),"")</f>
        <v/>
      </c>
      <c r="Y984" s="92">
        <f>IFERROR(VLOOKUP($A984,'13. Mapa Títulos-Receita'!$A$8:$P$1000,10,FALSE),"")</f>
        <v/>
      </c>
      <c r="Z984" s="92">
        <f>IFERROR(VLOOKUP($A984,'13. Mapa Títulos-Receita'!$A$8:$P$1000,11,FALSE),"")</f>
        <v/>
      </c>
      <c r="AA984" s="92">
        <f>IFERROR(VLOOKUP($A984,'13. Mapa Títulos-Receita'!$A$8:$P$1000,12,FALSE),"")</f>
        <v/>
      </c>
      <c r="AB984" s="92">
        <f>IFERROR(VLOOKUP($A984,'13. Mapa Títulos-Receita'!$A$8:$P$1000,13,FALSE),"")</f>
        <v/>
      </c>
      <c r="AC984" s="92">
        <f>IFERROR(VLOOKUP($A984,'13. Mapa Títulos-Receita'!$A$8:$P$1000,14,FALSE),"")</f>
        <v/>
      </c>
      <c r="AD984" s="92">
        <f>IFERROR(VLOOKUP($A984,'13. Mapa Títulos-Receita'!$A$8:$P$1000,15,FALSE),"")</f>
        <v/>
      </c>
      <c r="AE984" s="92">
        <f>IFERROR(VLOOKUP($A984,'13. Mapa Títulos-Receita'!$A$8:$P$1000,16,FALSE),"")</f>
        <v/>
      </c>
    </row>
    <row r="985">
      <c r="A985" s="28">
        <f>IF(C985="","", "CR-"&amp;TEXT(ROW()-7,"000"))</f>
        <v/>
      </c>
      <c r="B985" s="28" t="n"/>
      <c r="C985" s="28" t="n"/>
      <c r="D985" s="111" t="n"/>
      <c r="E985" s="111" t="n"/>
      <c r="F985" s="111" t="n"/>
      <c r="G985" s="28" t="n"/>
      <c r="H985" s="45" t="n"/>
      <c r="I985" s="45" t="n"/>
      <c r="J985" s="28">
        <f>IF(H985="","",IF(I985&gt;=H985,"Recebido",IF($B$4&gt;E985,"Vencido","Aberto")))</f>
        <v/>
      </c>
      <c r="K985" s="4">
        <f>IF(J985="","",IF(OR(J985="Recebido",F985=""),MAX(0,F985-E985),MAX(0,$B$4-E985)))</f>
        <v/>
      </c>
      <c r="L985" s="4">
        <f>IF(K985="","",IF(K985=0,"Em dia",IF(K985&lt;=30,"1-30 dias",IF(K985&lt;=60,"31-60 dias",IF(K985&lt;=90,"61-90 dias","&gt;90 dias")))))</f>
        <v/>
      </c>
      <c r="M985" s="28" t="n"/>
      <c r="N985" s="104" t="inlineStr"/>
      <c r="O985" s="64" t="n"/>
      <c r="P985" s="64">
        <f>IF(C985="","",IF(ISNUMBER(SEARCH("PCMSO",C985)),"PCMSO",IF(OR(ISNUMBER(SEARCH("E-SOCIAL",C985)),ISNUMBER(SEARCH("PSICOSOCIAL",C985))),"eSocial / Psicossocial",IF(O985="Receita recorrente","Carteira recorrente","Projetos / Laudos / Avulsos"))))</f>
        <v/>
      </c>
      <c r="Q985" s="64">
        <f>IF(P985="","",IF(P985="Carteira recorrente","Operação recorrente",IF(P985="PCMSO","Projetos PCMSO",IF(P985="eSocial / Psicossocial","Projetos eSocial/Psicossocial","Projetos / Laudos / Avulsos"))))</f>
        <v/>
      </c>
      <c r="R985" s="64">
        <f>IF(C985="","",IF(ISNUMBER(SEARCH("PCMSO",C985)),"Título com PCMSO no nome",IF(OR(ISNUMBER(SEARCH("E-SOCIAL",C985)),ISNUMBER(SEARCH("PSICOSOCIAL",C985))),"Título com eSocial/Psicossocial no nome",IF(O985="Receita recorrente","Tipo DRE recorrente","Extra sem palavra-chave específica"))))</f>
        <v/>
      </c>
      <c r="S985" s="92">
        <f>IFERROR(VLOOKUP($A985,'13. Mapa Títulos-Receita'!$A$8:$P$1000,4,FALSE),"")</f>
        <v/>
      </c>
      <c r="T985" s="92">
        <f>IFERROR(VLOOKUP($A985,'13. Mapa Títulos-Receita'!$A$8:$P$1000,5,FALSE),"")</f>
        <v/>
      </c>
      <c r="U985" s="92">
        <f>IFERROR(VLOOKUP($A985,'13. Mapa Títulos-Receita'!$A$8:$P$1000,6,FALSE),"")</f>
        <v/>
      </c>
      <c r="V985" s="92">
        <f>IFERROR(VLOOKUP($A985,'13. Mapa Títulos-Receita'!$A$8:$P$1000,7,FALSE),"")</f>
        <v/>
      </c>
      <c r="W985" s="92">
        <f>IFERROR(VLOOKUP($A985,'13. Mapa Títulos-Receita'!$A$8:$P$1000,8,FALSE),"")</f>
        <v/>
      </c>
      <c r="X985" s="92">
        <f>IFERROR(VLOOKUP($A985,'13. Mapa Títulos-Receita'!$A$8:$P$1000,9,FALSE),"")</f>
        <v/>
      </c>
      <c r="Y985" s="92">
        <f>IFERROR(VLOOKUP($A985,'13. Mapa Títulos-Receita'!$A$8:$P$1000,10,FALSE),"")</f>
        <v/>
      </c>
      <c r="Z985" s="92">
        <f>IFERROR(VLOOKUP($A985,'13. Mapa Títulos-Receita'!$A$8:$P$1000,11,FALSE),"")</f>
        <v/>
      </c>
      <c r="AA985" s="92">
        <f>IFERROR(VLOOKUP($A985,'13. Mapa Títulos-Receita'!$A$8:$P$1000,12,FALSE),"")</f>
        <v/>
      </c>
      <c r="AB985" s="92">
        <f>IFERROR(VLOOKUP($A985,'13. Mapa Títulos-Receita'!$A$8:$P$1000,13,FALSE),"")</f>
        <v/>
      </c>
      <c r="AC985" s="92">
        <f>IFERROR(VLOOKUP($A985,'13. Mapa Títulos-Receita'!$A$8:$P$1000,14,FALSE),"")</f>
        <v/>
      </c>
      <c r="AD985" s="92">
        <f>IFERROR(VLOOKUP($A985,'13. Mapa Títulos-Receita'!$A$8:$P$1000,15,FALSE),"")</f>
        <v/>
      </c>
      <c r="AE985" s="92">
        <f>IFERROR(VLOOKUP($A985,'13. Mapa Títulos-Receita'!$A$8:$P$1000,16,FALSE),"")</f>
        <v/>
      </c>
    </row>
    <row r="986">
      <c r="A986" s="28">
        <f>IF(C986="","", "CR-"&amp;TEXT(ROW()-7,"000"))</f>
        <v/>
      </c>
      <c r="B986" s="28" t="n"/>
      <c r="C986" s="28" t="n"/>
      <c r="D986" s="111" t="n"/>
      <c r="E986" s="111" t="n"/>
      <c r="F986" s="111" t="n"/>
      <c r="G986" s="28" t="n"/>
      <c r="H986" s="45" t="n"/>
      <c r="I986" s="45" t="n"/>
      <c r="J986" s="28">
        <f>IF(H986="","",IF(I986&gt;=H986,"Recebido",IF($B$4&gt;E986,"Vencido","Aberto")))</f>
        <v/>
      </c>
      <c r="K986" s="4">
        <f>IF(J986="","",IF(OR(J986="Recebido",F986=""),MAX(0,F986-E986),MAX(0,$B$4-E986)))</f>
        <v/>
      </c>
      <c r="L986" s="4">
        <f>IF(K986="","",IF(K986=0,"Em dia",IF(K986&lt;=30,"1-30 dias",IF(K986&lt;=60,"31-60 dias",IF(K986&lt;=90,"61-90 dias","&gt;90 dias")))))</f>
        <v/>
      </c>
      <c r="M986" s="28" t="n"/>
      <c r="N986" s="104" t="inlineStr"/>
      <c r="O986" s="64" t="n"/>
      <c r="P986" s="64">
        <f>IF(C986="","",IF(ISNUMBER(SEARCH("PCMSO",C986)),"PCMSO",IF(OR(ISNUMBER(SEARCH("E-SOCIAL",C986)),ISNUMBER(SEARCH("PSICOSOCIAL",C986))),"eSocial / Psicossocial",IF(O986="Receita recorrente","Carteira recorrente","Projetos / Laudos / Avulsos"))))</f>
        <v/>
      </c>
      <c r="Q986" s="64">
        <f>IF(P986="","",IF(P986="Carteira recorrente","Operação recorrente",IF(P986="PCMSO","Projetos PCMSO",IF(P986="eSocial / Psicossocial","Projetos eSocial/Psicossocial","Projetos / Laudos / Avulsos"))))</f>
        <v/>
      </c>
      <c r="R986" s="64">
        <f>IF(C986="","",IF(ISNUMBER(SEARCH("PCMSO",C986)),"Título com PCMSO no nome",IF(OR(ISNUMBER(SEARCH("E-SOCIAL",C986)),ISNUMBER(SEARCH("PSICOSOCIAL",C986))),"Título com eSocial/Psicossocial no nome",IF(O986="Receita recorrente","Tipo DRE recorrente","Extra sem palavra-chave específica"))))</f>
        <v/>
      </c>
      <c r="S986" s="92">
        <f>IFERROR(VLOOKUP($A986,'13. Mapa Títulos-Receita'!$A$8:$P$1000,4,FALSE),"")</f>
        <v/>
      </c>
      <c r="T986" s="92">
        <f>IFERROR(VLOOKUP($A986,'13. Mapa Títulos-Receita'!$A$8:$P$1000,5,FALSE),"")</f>
        <v/>
      </c>
      <c r="U986" s="92">
        <f>IFERROR(VLOOKUP($A986,'13. Mapa Títulos-Receita'!$A$8:$P$1000,6,FALSE),"")</f>
        <v/>
      </c>
      <c r="V986" s="92">
        <f>IFERROR(VLOOKUP($A986,'13. Mapa Títulos-Receita'!$A$8:$P$1000,7,FALSE),"")</f>
        <v/>
      </c>
      <c r="W986" s="92">
        <f>IFERROR(VLOOKUP($A986,'13. Mapa Títulos-Receita'!$A$8:$P$1000,8,FALSE),"")</f>
        <v/>
      </c>
      <c r="X986" s="92">
        <f>IFERROR(VLOOKUP($A986,'13. Mapa Títulos-Receita'!$A$8:$P$1000,9,FALSE),"")</f>
        <v/>
      </c>
      <c r="Y986" s="92">
        <f>IFERROR(VLOOKUP($A986,'13. Mapa Títulos-Receita'!$A$8:$P$1000,10,FALSE),"")</f>
        <v/>
      </c>
      <c r="Z986" s="92">
        <f>IFERROR(VLOOKUP($A986,'13. Mapa Títulos-Receita'!$A$8:$P$1000,11,FALSE),"")</f>
        <v/>
      </c>
      <c r="AA986" s="92">
        <f>IFERROR(VLOOKUP($A986,'13. Mapa Títulos-Receita'!$A$8:$P$1000,12,FALSE),"")</f>
        <v/>
      </c>
      <c r="AB986" s="92">
        <f>IFERROR(VLOOKUP($A986,'13. Mapa Títulos-Receita'!$A$8:$P$1000,13,FALSE),"")</f>
        <v/>
      </c>
      <c r="AC986" s="92">
        <f>IFERROR(VLOOKUP($A986,'13. Mapa Títulos-Receita'!$A$8:$P$1000,14,FALSE),"")</f>
        <v/>
      </c>
      <c r="AD986" s="92">
        <f>IFERROR(VLOOKUP($A986,'13. Mapa Títulos-Receita'!$A$8:$P$1000,15,FALSE),"")</f>
        <v/>
      </c>
      <c r="AE986" s="92">
        <f>IFERROR(VLOOKUP($A986,'13. Mapa Títulos-Receita'!$A$8:$P$1000,16,FALSE),"")</f>
        <v/>
      </c>
    </row>
    <row r="987">
      <c r="A987" s="28">
        <f>IF(C987="","", "CR-"&amp;TEXT(ROW()-7,"000"))</f>
        <v/>
      </c>
      <c r="B987" s="28" t="n"/>
      <c r="C987" s="28" t="n"/>
      <c r="D987" s="111" t="n"/>
      <c r="E987" s="111" t="n"/>
      <c r="F987" s="111" t="n"/>
      <c r="G987" s="28" t="n"/>
      <c r="H987" s="45" t="n"/>
      <c r="I987" s="45" t="n"/>
      <c r="J987" s="28">
        <f>IF(H987="","",IF(I987&gt;=H987,"Recebido",IF($B$4&gt;E987,"Vencido","Aberto")))</f>
        <v/>
      </c>
      <c r="K987" s="4">
        <f>IF(J987="","",IF(OR(J987="Recebido",F987=""),MAX(0,F987-E987),MAX(0,$B$4-E987)))</f>
        <v/>
      </c>
      <c r="L987" s="4">
        <f>IF(K987="","",IF(K987=0,"Em dia",IF(K987&lt;=30,"1-30 dias",IF(K987&lt;=60,"31-60 dias",IF(K987&lt;=90,"61-90 dias","&gt;90 dias")))))</f>
        <v/>
      </c>
      <c r="M987" s="28" t="n"/>
      <c r="N987" s="104" t="inlineStr"/>
      <c r="O987" s="64" t="n"/>
      <c r="P987" s="64">
        <f>IF(C987="","",IF(ISNUMBER(SEARCH("PCMSO",C987)),"PCMSO",IF(OR(ISNUMBER(SEARCH("E-SOCIAL",C987)),ISNUMBER(SEARCH("PSICOSOCIAL",C987))),"eSocial / Psicossocial",IF(O987="Receita recorrente","Carteira recorrente","Projetos / Laudos / Avulsos"))))</f>
        <v/>
      </c>
      <c r="Q987" s="64">
        <f>IF(P987="","",IF(P987="Carteira recorrente","Operação recorrente",IF(P987="PCMSO","Projetos PCMSO",IF(P987="eSocial / Psicossocial","Projetos eSocial/Psicossocial","Projetos / Laudos / Avulsos"))))</f>
        <v/>
      </c>
      <c r="R987" s="64">
        <f>IF(C987="","",IF(ISNUMBER(SEARCH("PCMSO",C987)),"Título com PCMSO no nome",IF(OR(ISNUMBER(SEARCH("E-SOCIAL",C987)),ISNUMBER(SEARCH("PSICOSOCIAL",C987))),"Título com eSocial/Psicossocial no nome",IF(O987="Receita recorrente","Tipo DRE recorrente","Extra sem palavra-chave específica"))))</f>
        <v/>
      </c>
      <c r="S987" s="92">
        <f>IFERROR(VLOOKUP($A987,'13. Mapa Títulos-Receita'!$A$8:$P$1000,4,FALSE),"")</f>
        <v/>
      </c>
      <c r="T987" s="92">
        <f>IFERROR(VLOOKUP($A987,'13. Mapa Títulos-Receita'!$A$8:$P$1000,5,FALSE),"")</f>
        <v/>
      </c>
      <c r="U987" s="92">
        <f>IFERROR(VLOOKUP($A987,'13. Mapa Títulos-Receita'!$A$8:$P$1000,6,FALSE),"")</f>
        <v/>
      </c>
      <c r="V987" s="92">
        <f>IFERROR(VLOOKUP($A987,'13. Mapa Títulos-Receita'!$A$8:$P$1000,7,FALSE),"")</f>
        <v/>
      </c>
      <c r="W987" s="92">
        <f>IFERROR(VLOOKUP($A987,'13. Mapa Títulos-Receita'!$A$8:$P$1000,8,FALSE),"")</f>
        <v/>
      </c>
      <c r="X987" s="92">
        <f>IFERROR(VLOOKUP($A987,'13. Mapa Títulos-Receita'!$A$8:$P$1000,9,FALSE),"")</f>
        <v/>
      </c>
      <c r="Y987" s="92">
        <f>IFERROR(VLOOKUP($A987,'13. Mapa Títulos-Receita'!$A$8:$P$1000,10,FALSE),"")</f>
        <v/>
      </c>
      <c r="Z987" s="92">
        <f>IFERROR(VLOOKUP($A987,'13. Mapa Títulos-Receita'!$A$8:$P$1000,11,FALSE),"")</f>
        <v/>
      </c>
      <c r="AA987" s="92">
        <f>IFERROR(VLOOKUP($A987,'13. Mapa Títulos-Receita'!$A$8:$P$1000,12,FALSE),"")</f>
        <v/>
      </c>
      <c r="AB987" s="92">
        <f>IFERROR(VLOOKUP($A987,'13. Mapa Títulos-Receita'!$A$8:$P$1000,13,FALSE),"")</f>
        <v/>
      </c>
      <c r="AC987" s="92">
        <f>IFERROR(VLOOKUP($A987,'13. Mapa Títulos-Receita'!$A$8:$P$1000,14,FALSE),"")</f>
        <v/>
      </c>
      <c r="AD987" s="92">
        <f>IFERROR(VLOOKUP($A987,'13. Mapa Títulos-Receita'!$A$8:$P$1000,15,FALSE),"")</f>
        <v/>
      </c>
      <c r="AE987" s="92">
        <f>IFERROR(VLOOKUP($A987,'13. Mapa Títulos-Receita'!$A$8:$P$1000,16,FALSE),"")</f>
        <v/>
      </c>
    </row>
    <row r="988">
      <c r="A988" s="28">
        <f>IF(C988="","", "CR-"&amp;TEXT(ROW()-7,"000"))</f>
        <v/>
      </c>
      <c r="B988" s="28" t="n"/>
      <c r="C988" s="28" t="n"/>
      <c r="D988" s="111" t="n"/>
      <c r="E988" s="111" t="n"/>
      <c r="F988" s="111" t="n"/>
      <c r="G988" s="28" t="n"/>
      <c r="H988" s="45" t="n"/>
      <c r="I988" s="45" t="n"/>
      <c r="J988" s="28">
        <f>IF(H988="","",IF(I988&gt;=H988,"Recebido",IF($B$4&gt;E988,"Vencido","Aberto")))</f>
        <v/>
      </c>
      <c r="K988" s="4">
        <f>IF(J988="","",IF(OR(J988="Recebido",F988=""),MAX(0,F988-E988),MAX(0,$B$4-E988)))</f>
        <v/>
      </c>
      <c r="L988" s="4">
        <f>IF(K988="","",IF(K988=0,"Em dia",IF(K988&lt;=30,"1-30 dias",IF(K988&lt;=60,"31-60 dias",IF(K988&lt;=90,"61-90 dias","&gt;90 dias")))))</f>
        <v/>
      </c>
      <c r="M988" s="28" t="n"/>
      <c r="N988" s="104" t="inlineStr"/>
      <c r="O988" s="64" t="n"/>
      <c r="P988" s="64">
        <f>IF(C988="","",IF(ISNUMBER(SEARCH("PCMSO",C988)),"PCMSO",IF(OR(ISNUMBER(SEARCH("E-SOCIAL",C988)),ISNUMBER(SEARCH("PSICOSOCIAL",C988))),"eSocial / Psicossocial",IF(O988="Receita recorrente","Carteira recorrente","Projetos / Laudos / Avulsos"))))</f>
        <v/>
      </c>
      <c r="Q988" s="64">
        <f>IF(P988="","",IF(P988="Carteira recorrente","Operação recorrente",IF(P988="PCMSO","Projetos PCMSO",IF(P988="eSocial / Psicossocial","Projetos eSocial/Psicossocial","Projetos / Laudos / Avulsos"))))</f>
        <v/>
      </c>
      <c r="R988" s="64">
        <f>IF(C988="","",IF(ISNUMBER(SEARCH("PCMSO",C988)),"Título com PCMSO no nome",IF(OR(ISNUMBER(SEARCH("E-SOCIAL",C988)),ISNUMBER(SEARCH("PSICOSOCIAL",C988))),"Título com eSocial/Psicossocial no nome",IF(O988="Receita recorrente","Tipo DRE recorrente","Extra sem palavra-chave específica"))))</f>
        <v/>
      </c>
      <c r="S988" s="92">
        <f>IFERROR(VLOOKUP($A988,'13. Mapa Títulos-Receita'!$A$8:$P$1000,4,FALSE),"")</f>
        <v/>
      </c>
      <c r="T988" s="92">
        <f>IFERROR(VLOOKUP($A988,'13. Mapa Títulos-Receita'!$A$8:$P$1000,5,FALSE),"")</f>
        <v/>
      </c>
      <c r="U988" s="92">
        <f>IFERROR(VLOOKUP($A988,'13. Mapa Títulos-Receita'!$A$8:$P$1000,6,FALSE),"")</f>
        <v/>
      </c>
      <c r="V988" s="92">
        <f>IFERROR(VLOOKUP($A988,'13. Mapa Títulos-Receita'!$A$8:$P$1000,7,FALSE),"")</f>
        <v/>
      </c>
      <c r="W988" s="92">
        <f>IFERROR(VLOOKUP($A988,'13. Mapa Títulos-Receita'!$A$8:$P$1000,8,FALSE),"")</f>
        <v/>
      </c>
      <c r="X988" s="92">
        <f>IFERROR(VLOOKUP($A988,'13. Mapa Títulos-Receita'!$A$8:$P$1000,9,FALSE),"")</f>
        <v/>
      </c>
      <c r="Y988" s="92">
        <f>IFERROR(VLOOKUP($A988,'13. Mapa Títulos-Receita'!$A$8:$P$1000,10,FALSE),"")</f>
        <v/>
      </c>
      <c r="Z988" s="92">
        <f>IFERROR(VLOOKUP($A988,'13. Mapa Títulos-Receita'!$A$8:$P$1000,11,FALSE),"")</f>
        <v/>
      </c>
      <c r="AA988" s="92">
        <f>IFERROR(VLOOKUP($A988,'13. Mapa Títulos-Receita'!$A$8:$P$1000,12,FALSE),"")</f>
        <v/>
      </c>
      <c r="AB988" s="92">
        <f>IFERROR(VLOOKUP($A988,'13. Mapa Títulos-Receita'!$A$8:$P$1000,13,FALSE),"")</f>
        <v/>
      </c>
      <c r="AC988" s="92">
        <f>IFERROR(VLOOKUP($A988,'13. Mapa Títulos-Receita'!$A$8:$P$1000,14,FALSE),"")</f>
        <v/>
      </c>
      <c r="AD988" s="92">
        <f>IFERROR(VLOOKUP($A988,'13. Mapa Títulos-Receita'!$A$8:$P$1000,15,FALSE),"")</f>
        <v/>
      </c>
      <c r="AE988" s="92">
        <f>IFERROR(VLOOKUP($A988,'13. Mapa Títulos-Receita'!$A$8:$P$1000,16,FALSE),"")</f>
        <v/>
      </c>
    </row>
    <row r="989">
      <c r="A989" s="28">
        <f>IF(C989="","", "CR-"&amp;TEXT(ROW()-7,"000"))</f>
        <v/>
      </c>
      <c r="B989" s="28" t="n"/>
      <c r="C989" s="28" t="n"/>
      <c r="D989" s="111" t="n"/>
      <c r="E989" s="111" t="n"/>
      <c r="F989" s="111" t="n"/>
      <c r="G989" s="28" t="n"/>
      <c r="H989" s="45" t="n"/>
      <c r="I989" s="45" t="n"/>
      <c r="J989" s="28">
        <f>IF(H989="","",IF(I989&gt;=H989,"Recebido",IF($B$4&gt;E989,"Vencido","Aberto")))</f>
        <v/>
      </c>
      <c r="K989" s="4">
        <f>IF(J989="","",IF(OR(J989="Recebido",F989=""),MAX(0,F989-E989),MAX(0,$B$4-E989)))</f>
        <v/>
      </c>
      <c r="L989" s="4">
        <f>IF(K989="","",IF(K989=0,"Em dia",IF(K989&lt;=30,"1-30 dias",IF(K989&lt;=60,"31-60 dias",IF(K989&lt;=90,"61-90 dias","&gt;90 dias")))))</f>
        <v/>
      </c>
      <c r="M989" s="28" t="n"/>
      <c r="N989" s="104" t="inlineStr"/>
      <c r="O989" s="64" t="n"/>
      <c r="P989" s="64">
        <f>IF(C989="","",IF(ISNUMBER(SEARCH("PCMSO",C989)),"PCMSO",IF(OR(ISNUMBER(SEARCH("E-SOCIAL",C989)),ISNUMBER(SEARCH("PSICOSOCIAL",C989))),"eSocial / Psicossocial",IF(O989="Receita recorrente","Carteira recorrente","Projetos / Laudos / Avulsos"))))</f>
        <v/>
      </c>
      <c r="Q989" s="64">
        <f>IF(P989="","",IF(P989="Carteira recorrente","Operação recorrente",IF(P989="PCMSO","Projetos PCMSO",IF(P989="eSocial / Psicossocial","Projetos eSocial/Psicossocial","Projetos / Laudos / Avulsos"))))</f>
        <v/>
      </c>
      <c r="R989" s="64">
        <f>IF(C989="","",IF(ISNUMBER(SEARCH("PCMSO",C989)),"Título com PCMSO no nome",IF(OR(ISNUMBER(SEARCH("E-SOCIAL",C989)),ISNUMBER(SEARCH("PSICOSOCIAL",C989))),"Título com eSocial/Psicossocial no nome",IF(O989="Receita recorrente","Tipo DRE recorrente","Extra sem palavra-chave específica"))))</f>
        <v/>
      </c>
      <c r="S989" s="92">
        <f>IFERROR(VLOOKUP($A989,'13. Mapa Títulos-Receita'!$A$8:$P$1000,4,FALSE),"")</f>
        <v/>
      </c>
      <c r="T989" s="92">
        <f>IFERROR(VLOOKUP($A989,'13. Mapa Títulos-Receita'!$A$8:$P$1000,5,FALSE),"")</f>
        <v/>
      </c>
      <c r="U989" s="92">
        <f>IFERROR(VLOOKUP($A989,'13. Mapa Títulos-Receita'!$A$8:$P$1000,6,FALSE),"")</f>
        <v/>
      </c>
      <c r="V989" s="92">
        <f>IFERROR(VLOOKUP($A989,'13. Mapa Títulos-Receita'!$A$8:$P$1000,7,FALSE),"")</f>
        <v/>
      </c>
      <c r="W989" s="92">
        <f>IFERROR(VLOOKUP($A989,'13. Mapa Títulos-Receita'!$A$8:$P$1000,8,FALSE),"")</f>
        <v/>
      </c>
      <c r="X989" s="92">
        <f>IFERROR(VLOOKUP($A989,'13. Mapa Títulos-Receita'!$A$8:$P$1000,9,FALSE),"")</f>
        <v/>
      </c>
      <c r="Y989" s="92">
        <f>IFERROR(VLOOKUP($A989,'13. Mapa Títulos-Receita'!$A$8:$P$1000,10,FALSE),"")</f>
        <v/>
      </c>
      <c r="Z989" s="92">
        <f>IFERROR(VLOOKUP($A989,'13. Mapa Títulos-Receita'!$A$8:$P$1000,11,FALSE),"")</f>
        <v/>
      </c>
      <c r="AA989" s="92">
        <f>IFERROR(VLOOKUP($A989,'13. Mapa Títulos-Receita'!$A$8:$P$1000,12,FALSE),"")</f>
        <v/>
      </c>
      <c r="AB989" s="92">
        <f>IFERROR(VLOOKUP($A989,'13. Mapa Títulos-Receita'!$A$8:$P$1000,13,FALSE),"")</f>
        <v/>
      </c>
      <c r="AC989" s="92">
        <f>IFERROR(VLOOKUP($A989,'13. Mapa Títulos-Receita'!$A$8:$P$1000,14,FALSE),"")</f>
        <v/>
      </c>
      <c r="AD989" s="92">
        <f>IFERROR(VLOOKUP($A989,'13. Mapa Títulos-Receita'!$A$8:$P$1000,15,FALSE),"")</f>
        <v/>
      </c>
      <c r="AE989" s="92">
        <f>IFERROR(VLOOKUP($A989,'13. Mapa Títulos-Receita'!$A$8:$P$1000,16,FALSE),"")</f>
        <v/>
      </c>
    </row>
    <row r="990">
      <c r="A990" s="28">
        <f>IF(C990="","", "CR-"&amp;TEXT(ROW()-7,"000"))</f>
        <v/>
      </c>
      <c r="B990" s="28" t="n"/>
      <c r="C990" s="28" t="n"/>
      <c r="D990" s="111" t="n"/>
      <c r="E990" s="111" t="n"/>
      <c r="F990" s="111" t="n"/>
      <c r="G990" s="28" t="n"/>
      <c r="H990" s="45" t="n"/>
      <c r="I990" s="45" t="n"/>
      <c r="J990" s="28">
        <f>IF(H990="","",IF(I990&gt;=H990,"Recebido",IF($B$4&gt;E990,"Vencido","Aberto")))</f>
        <v/>
      </c>
      <c r="K990" s="4">
        <f>IF(J990="","",IF(OR(J990="Recebido",F990=""),MAX(0,F990-E990),MAX(0,$B$4-E990)))</f>
        <v/>
      </c>
      <c r="L990" s="4">
        <f>IF(K990="","",IF(K990=0,"Em dia",IF(K990&lt;=30,"1-30 dias",IF(K990&lt;=60,"31-60 dias",IF(K990&lt;=90,"61-90 dias","&gt;90 dias")))))</f>
        <v/>
      </c>
      <c r="M990" s="28" t="n"/>
      <c r="N990" s="104" t="inlineStr"/>
      <c r="O990" s="64" t="n"/>
      <c r="P990" s="64">
        <f>IF(C990="","",IF(ISNUMBER(SEARCH("PCMSO",C990)),"PCMSO",IF(OR(ISNUMBER(SEARCH("E-SOCIAL",C990)),ISNUMBER(SEARCH("PSICOSOCIAL",C990))),"eSocial / Psicossocial",IF(O990="Receita recorrente","Carteira recorrente","Projetos / Laudos / Avulsos"))))</f>
        <v/>
      </c>
      <c r="Q990" s="64">
        <f>IF(P990="","",IF(P990="Carteira recorrente","Operação recorrente",IF(P990="PCMSO","Projetos PCMSO",IF(P990="eSocial / Psicossocial","Projetos eSocial/Psicossocial","Projetos / Laudos / Avulsos"))))</f>
        <v/>
      </c>
      <c r="R990" s="64">
        <f>IF(C990="","",IF(ISNUMBER(SEARCH("PCMSO",C990)),"Título com PCMSO no nome",IF(OR(ISNUMBER(SEARCH("E-SOCIAL",C990)),ISNUMBER(SEARCH("PSICOSOCIAL",C990))),"Título com eSocial/Psicossocial no nome",IF(O990="Receita recorrente","Tipo DRE recorrente","Extra sem palavra-chave específica"))))</f>
        <v/>
      </c>
      <c r="S990" s="92">
        <f>IFERROR(VLOOKUP($A990,'13. Mapa Títulos-Receita'!$A$8:$P$1000,4,FALSE),"")</f>
        <v/>
      </c>
      <c r="T990" s="92">
        <f>IFERROR(VLOOKUP($A990,'13. Mapa Títulos-Receita'!$A$8:$P$1000,5,FALSE),"")</f>
        <v/>
      </c>
      <c r="U990" s="92">
        <f>IFERROR(VLOOKUP($A990,'13. Mapa Títulos-Receita'!$A$8:$P$1000,6,FALSE),"")</f>
        <v/>
      </c>
      <c r="V990" s="92">
        <f>IFERROR(VLOOKUP($A990,'13. Mapa Títulos-Receita'!$A$8:$P$1000,7,FALSE),"")</f>
        <v/>
      </c>
      <c r="W990" s="92">
        <f>IFERROR(VLOOKUP($A990,'13. Mapa Títulos-Receita'!$A$8:$P$1000,8,FALSE),"")</f>
        <v/>
      </c>
      <c r="X990" s="92">
        <f>IFERROR(VLOOKUP($A990,'13. Mapa Títulos-Receita'!$A$8:$P$1000,9,FALSE),"")</f>
        <v/>
      </c>
      <c r="Y990" s="92">
        <f>IFERROR(VLOOKUP($A990,'13. Mapa Títulos-Receita'!$A$8:$P$1000,10,FALSE),"")</f>
        <v/>
      </c>
      <c r="Z990" s="92">
        <f>IFERROR(VLOOKUP($A990,'13. Mapa Títulos-Receita'!$A$8:$P$1000,11,FALSE),"")</f>
        <v/>
      </c>
      <c r="AA990" s="92">
        <f>IFERROR(VLOOKUP($A990,'13. Mapa Títulos-Receita'!$A$8:$P$1000,12,FALSE),"")</f>
        <v/>
      </c>
      <c r="AB990" s="92">
        <f>IFERROR(VLOOKUP($A990,'13. Mapa Títulos-Receita'!$A$8:$P$1000,13,FALSE),"")</f>
        <v/>
      </c>
      <c r="AC990" s="92">
        <f>IFERROR(VLOOKUP($A990,'13. Mapa Títulos-Receita'!$A$8:$P$1000,14,FALSE),"")</f>
        <v/>
      </c>
      <c r="AD990" s="92">
        <f>IFERROR(VLOOKUP($A990,'13. Mapa Títulos-Receita'!$A$8:$P$1000,15,FALSE),"")</f>
        <v/>
      </c>
      <c r="AE990" s="92">
        <f>IFERROR(VLOOKUP($A990,'13. Mapa Títulos-Receita'!$A$8:$P$1000,16,FALSE),"")</f>
        <v/>
      </c>
    </row>
    <row r="991">
      <c r="A991" s="28">
        <f>IF(C991="","", "CR-"&amp;TEXT(ROW()-7,"000"))</f>
        <v/>
      </c>
      <c r="B991" s="28" t="n"/>
      <c r="C991" s="28" t="n"/>
      <c r="D991" s="111" t="n"/>
      <c r="E991" s="111" t="n"/>
      <c r="F991" s="111" t="n"/>
      <c r="G991" s="28" t="n"/>
      <c r="H991" s="45" t="n"/>
      <c r="I991" s="45" t="n"/>
      <c r="J991" s="28">
        <f>IF(H991="","",IF(I991&gt;=H991,"Recebido",IF($B$4&gt;E991,"Vencido","Aberto")))</f>
        <v/>
      </c>
      <c r="K991" s="4">
        <f>IF(J991="","",IF(OR(J991="Recebido",F991=""),MAX(0,F991-E991),MAX(0,$B$4-E991)))</f>
        <v/>
      </c>
      <c r="L991" s="4">
        <f>IF(K991="","",IF(K991=0,"Em dia",IF(K991&lt;=30,"1-30 dias",IF(K991&lt;=60,"31-60 dias",IF(K991&lt;=90,"61-90 dias","&gt;90 dias")))))</f>
        <v/>
      </c>
      <c r="M991" s="28" t="n"/>
      <c r="N991" s="104" t="inlineStr"/>
      <c r="O991" s="64" t="n"/>
      <c r="P991" s="64">
        <f>IF(C991="","",IF(ISNUMBER(SEARCH("PCMSO",C991)),"PCMSO",IF(OR(ISNUMBER(SEARCH("E-SOCIAL",C991)),ISNUMBER(SEARCH("PSICOSOCIAL",C991))),"eSocial / Psicossocial",IF(O991="Receita recorrente","Carteira recorrente","Projetos / Laudos / Avulsos"))))</f>
        <v/>
      </c>
      <c r="Q991" s="64">
        <f>IF(P991="","",IF(P991="Carteira recorrente","Operação recorrente",IF(P991="PCMSO","Projetos PCMSO",IF(P991="eSocial / Psicossocial","Projetos eSocial/Psicossocial","Projetos / Laudos / Avulsos"))))</f>
        <v/>
      </c>
      <c r="R991" s="64">
        <f>IF(C991="","",IF(ISNUMBER(SEARCH("PCMSO",C991)),"Título com PCMSO no nome",IF(OR(ISNUMBER(SEARCH("E-SOCIAL",C991)),ISNUMBER(SEARCH("PSICOSOCIAL",C991))),"Título com eSocial/Psicossocial no nome",IF(O991="Receita recorrente","Tipo DRE recorrente","Extra sem palavra-chave específica"))))</f>
        <v/>
      </c>
      <c r="S991" s="92">
        <f>IFERROR(VLOOKUP($A991,'13. Mapa Títulos-Receita'!$A$8:$P$1000,4,FALSE),"")</f>
        <v/>
      </c>
      <c r="T991" s="92">
        <f>IFERROR(VLOOKUP($A991,'13. Mapa Títulos-Receita'!$A$8:$P$1000,5,FALSE),"")</f>
        <v/>
      </c>
      <c r="U991" s="92">
        <f>IFERROR(VLOOKUP($A991,'13. Mapa Títulos-Receita'!$A$8:$P$1000,6,FALSE),"")</f>
        <v/>
      </c>
      <c r="V991" s="92">
        <f>IFERROR(VLOOKUP($A991,'13. Mapa Títulos-Receita'!$A$8:$P$1000,7,FALSE),"")</f>
        <v/>
      </c>
      <c r="W991" s="92">
        <f>IFERROR(VLOOKUP($A991,'13. Mapa Títulos-Receita'!$A$8:$P$1000,8,FALSE),"")</f>
        <v/>
      </c>
      <c r="X991" s="92">
        <f>IFERROR(VLOOKUP($A991,'13. Mapa Títulos-Receita'!$A$8:$P$1000,9,FALSE),"")</f>
        <v/>
      </c>
      <c r="Y991" s="92">
        <f>IFERROR(VLOOKUP($A991,'13. Mapa Títulos-Receita'!$A$8:$P$1000,10,FALSE),"")</f>
        <v/>
      </c>
      <c r="Z991" s="92">
        <f>IFERROR(VLOOKUP($A991,'13. Mapa Títulos-Receita'!$A$8:$P$1000,11,FALSE),"")</f>
        <v/>
      </c>
      <c r="AA991" s="92">
        <f>IFERROR(VLOOKUP($A991,'13. Mapa Títulos-Receita'!$A$8:$P$1000,12,FALSE),"")</f>
        <v/>
      </c>
      <c r="AB991" s="92">
        <f>IFERROR(VLOOKUP($A991,'13. Mapa Títulos-Receita'!$A$8:$P$1000,13,FALSE),"")</f>
        <v/>
      </c>
      <c r="AC991" s="92">
        <f>IFERROR(VLOOKUP($A991,'13. Mapa Títulos-Receita'!$A$8:$P$1000,14,FALSE),"")</f>
        <v/>
      </c>
      <c r="AD991" s="92">
        <f>IFERROR(VLOOKUP($A991,'13. Mapa Títulos-Receita'!$A$8:$P$1000,15,FALSE),"")</f>
        <v/>
      </c>
      <c r="AE991" s="92">
        <f>IFERROR(VLOOKUP($A991,'13. Mapa Títulos-Receita'!$A$8:$P$1000,16,FALSE),"")</f>
        <v/>
      </c>
    </row>
    <row r="992">
      <c r="A992" s="28">
        <f>IF(C992="","", "CR-"&amp;TEXT(ROW()-7,"000"))</f>
        <v/>
      </c>
      <c r="B992" s="28" t="n"/>
      <c r="C992" s="28" t="n"/>
      <c r="D992" s="111" t="n"/>
      <c r="E992" s="111" t="n"/>
      <c r="F992" s="111" t="n"/>
      <c r="G992" s="28" t="n"/>
      <c r="H992" s="45" t="n"/>
      <c r="I992" s="45" t="n"/>
      <c r="J992" s="28">
        <f>IF(H992="","",IF(I992&gt;=H992,"Recebido",IF($B$4&gt;E992,"Vencido","Aberto")))</f>
        <v/>
      </c>
      <c r="K992" s="4">
        <f>IF(J992="","",IF(OR(J992="Recebido",F992=""),MAX(0,F992-E992),MAX(0,$B$4-E992)))</f>
        <v/>
      </c>
      <c r="L992" s="4">
        <f>IF(K992="","",IF(K992=0,"Em dia",IF(K992&lt;=30,"1-30 dias",IF(K992&lt;=60,"31-60 dias",IF(K992&lt;=90,"61-90 dias","&gt;90 dias")))))</f>
        <v/>
      </c>
      <c r="M992" s="28" t="n"/>
      <c r="N992" s="104" t="inlineStr"/>
      <c r="O992" s="64" t="n"/>
      <c r="P992" s="64">
        <f>IF(C992="","",IF(ISNUMBER(SEARCH("PCMSO",C992)),"PCMSO",IF(OR(ISNUMBER(SEARCH("E-SOCIAL",C992)),ISNUMBER(SEARCH("PSICOSOCIAL",C992))),"eSocial / Psicossocial",IF(O992="Receita recorrente","Carteira recorrente","Projetos / Laudos / Avulsos"))))</f>
        <v/>
      </c>
      <c r="Q992" s="64">
        <f>IF(P992="","",IF(P992="Carteira recorrente","Operação recorrente",IF(P992="PCMSO","Projetos PCMSO",IF(P992="eSocial / Psicossocial","Projetos eSocial/Psicossocial","Projetos / Laudos / Avulsos"))))</f>
        <v/>
      </c>
      <c r="R992" s="64">
        <f>IF(C992="","",IF(ISNUMBER(SEARCH("PCMSO",C992)),"Título com PCMSO no nome",IF(OR(ISNUMBER(SEARCH("E-SOCIAL",C992)),ISNUMBER(SEARCH("PSICOSOCIAL",C992))),"Título com eSocial/Psicossocial no nome",IF(O992="Receita recorrente","Tipo DRE recorrente","Extra sem palavra-chave específica"))))</f>
        <v/>
      </c>
      <c r="S992" s="92">
        <f>IFERROR(VLOOKUP($A992,'13. Mapa Títulos-Receita'!$A$8:$P$1000,4,FALSE),"")</f>
        <v/>
      </c>
      <c r="T992" s="92">
        <f>IFERROR(VLOOKUP($A992,'13. Mapa Títulos-Receita'!$A$8:$P$1000,5,FALSE),"")</f>
        <v/>
      </c>
      <c r="U992" s="92">
        <f>IFERROR(VLOOKUP($A992,'13. Mapa Títulos-Receita'!$A$8:$P$1000,6,FALSE),"")</f>
        <v/>
      </c>
      <c r="V992" s="92">
        <f>IFERROR(VLOOKUP($A992,'13. Mapa Títulos-Receita'!$A$8:$P$1000,7,FALSE),"")</f>
        <v/>
      </c>
      <c r="W992" s="92">
        <f>IFERROR(VLOOKUP($A992,'13. Mapa Títulos-Receita'!$A$8:$P$1000,8,FALSE),"")</f>
        <v/>
      </c>
      <c r="X992" s="92">
        <f>IFERROR(VLOOKUP($A992,'13. Mapa Títulos-Receita'!$A$8:$P$1000,9,FALSE),"")</f>
        <v/>
      </c>
      <c r="Y992" s="92">
        <f>IFERROR(VLOOKUP($A992,'13. Mapa Títulos-Receita'!$A$8:$P$1000,10,FALSE),"")</f>
        <v/>
      </c>
      <c r="Z992" s="92">
        <f>IFERROR(VLOOKUP($A992,'13. Mapa Títulos-Receita'!$A$8:$P$1000,11,FALSE),"")</f>
        <v/>
      </c>
      <c r="AA992" s="92">
        <f>IFERROR(VLOOKUP($A992,'13. Mapa Títulos-Receita'!$A$8:$P$1000,12,FALSE),"")</f>
        <v/>
      </c>
      <c r="AB992" s="92">
        <f>IFERROR(VLOOKUP($A992,'13. Mapa Títulos-Receita'!$A$8:$P$1000,13,FALSE),"")</f>
        <v/>
      </c>
      <c r="AC992" s="92">
        <f>IFERROR(VLOOKUP($A992,'13. Mapa Títulos-Receita'!$A$8:$P$1000,14,FALSE),"")</f>
        <v/>
      </c>
      <c r="AD992" s="92">
        <f>IFERROR(VLOOKUP($A992,'13. Mapa Títulos-Receita'!$A$8:$P$1000,15,FALSE),"")</f>
        <v/>
      </c>
      <c r="AE992" s="92">
        <f>IFERROR(VLOOKUP($A992,'13. Mapa Títulos-Receita'!$A$8:$P$1000,16,FALSE),"")</f>
        <v/>
      </c>
    </row>
    <row r="993">
      <c r="A993" s="28">
        <f>IF(C993="","", "CR-"&amp;TEXT(ROW()-7,"000"))</f>
        <v/>
      </c>
      <c r="B993" s="28" t="n"/>
      <c r="C993" s="28" t="n"/>
      <c r="D993" s="111" t="n"/>
      <c r="E993" s="111" t="n"/>
      <c r="F993" s="111" t="n"/>
      <c r="G993" s="28" t="n"/>
      <c r="H993" s="45" t="n"/>
      <c r="I993" s="45" t="n"/>
      <c r="J993" s="28">
        <f>IF(H993="","",IF(I993&gt;=H993,"Recebido",IF($B$4&gt;E993,"Vencido","Aberto")))</f>
        <v/>
      </c>
      <c r="K993" s="4">
        <f>IF(J993="","",IF(OR(J993="Recebido",F993=""),MAX(0,F993-E993),MAX(0,$B$4-E993)))</f>
        <v/>
      </c>
      <c r="L993" s="4">
        <f>IF(K993="","",IF(K993=0,"Em dia",IF(K993&lt;=30,"1-30 dias",IF(K993&lt;=60,"31-60 dias",IF(K993&lt;=90,"61-90 dias","&gt;90 dias")))))</f>
        <v/>
      </c>
      <c r="M993" s="28" t="n"/>
      <c r="N993" s="104" t="inlineStr"/>
      <c r="O993" s="64" t="n"/>
      <c r="P993" s="64">
        <f>IF(C993="","",IF(ISNUMBER(SEARCH("PCMSO",C993)),"PCMSO",IF(OR(ISNUMBER(SEARCH("E-SOCIAL",C993)),ISNUMBER(SEARCH("PSICOSOCIAL",C993))),"eSocial / Psicossocial",IF(O993="Receita recorrente","Carteira recorrente","Projetos / Laudos / Avulsos"))))</f>
        <v/>
      </c>
      <c r="Q993" s="64">
        <f>IF(P993="","",IF(P993="Carteira recorrente","Operação recorrente",IF(P993="PCMSO","Projetos PCMSO",IF(P993="eSocial / Psicossocial","Projetos eSocial/Psicossocial","Projetos / Laudos / Avulsos"))))</f>
        <v/>
      </c>
      <c r="R993" s="64">
        <f>IF(C993="","",IF(ISNUMBER(SEARCH("PCMSO",C993)),"Título com PCMSO no nome",IF(OR(ISNUMBER(SEARCH("E-SOCIAL",C993)),ISNUMBER(SEARCH("PSICOSOCIAL",C993))),"Título com eSocial/Psicossocial no nome",IF(O993="Receita recorrente","Tipo DRE recorrente","Extra sem palavra-chave específica"))))</f>
        <v/>
      </c>
      <c r="S993" s="92">
        <f>IFERROR(VLOOKUP($A993,'13. Mapa Títulos-Receita'!$A$8:$P$1000,4,FALSE),"")</f>
        <v/>
      </c>
      <c r="T993" s="92">
        <f>IFERROR(VLOOKUP($A993,'13. Mapa Títulos-Receita'!$A$8:$P$1000,5,FALSE),"")</f>
        <v/>
      </c>
      <c r="U993" s="92">
        <f>IFERROR(VLOOKUP($A993,'13. Mapa Títulos-Receita'!$A$8:$P$1000,6,FALSE),"")</f>
        <v/>
      </c>
      <c r="V993" s="92">
        <f>IFERROR(VLOOKUP($A993,'13. Mapa Títulos-Receita'!$A$8:$P$1000,7,FALSE),"")</f>
        <v/>
      </c>
      <c r="W993" s="92">
        <f>IFERROR(VLOOKUP($A993,'13. Mapa Títulos-Receita'!$A$8:$P$1000,8,FALSE),"")</f>
        <v/>
      </c>
      <c r="X993" s="92">
        <f>IFERROR(VLOOKUP($A993,'13. Mapa Títulos-Receita'!$A$8:$P$1000,9,FALSE),"")</f>
        <v/>
      </c>
      <c r="Y993" s="92">
        <f>IFERROR(VLOOKUP($A993,'13. Mapa Títulos-Receita'!$A$8:$P$1000,10,FALSE),"")</f>
        <v/>
      </c>
      <c r="Z993" s="92">
        <f>IFERROR(VLOOKUP($A993,'13. Mapa Títulos-Receita'!$A$8:$P$1000,11,FALSE),"")</f>
        <v/>
      </c>
      <c r="AA993" s="92">
        <f>IFERROR(VLOOKUP($A993,'13. Mapa Títulos-Receita'!$A$8:$P$1000,12,FALSE),"")</f>
        <v/>
      </c>
      <c r="AB993" s="92">
        <f>IFERROR(VLOOKUP($A993,'13. Mapa Títulos-Receita'!$A$8:$P$1000,13,FALSE),"")</f>
        <v/>
      </c>
      <c r="AC993" s="92">
        <f>IFERROR(VLOOKUP($A993,'13. Mapa Títulos-Receita'!$A$8:$P$1000,14,FALSE),"")</f>
        <v/>
      </c>
      <c r="AD993" s="92">
        <f>IFERROR(VLOOKUP($A993,'13. Mapa Títulos-Receita'!$A$8:$P$1000,15,FALSE),"")</f>
        <v/>
      </c>
      <c r="AE993" s="92">
        <f>IFERROR(VLOOKUP($A993,'13. Mapa Títulos-Receita'!$A$8:$P$1000,16,FALSE),"")</f>
        <v/>
      </c>
    </row>
    <row r="994">
      <c r="A994" s="28">
        <f>IF(C994="","", "CR-"&amp;TEXT(ROW()-7,"000"))</f>
        <v/>
      </c>
      <c r="B994" s="28" t="n"/>
      <c r="C994" s="28" t="n"/>
      <c r="D994" s="111" t="n"/>
      <c r="E994" s="111" t="n"/>
      <c r="F994" s="111" t="n"/>
      <c r="G994" s="28" t="n"/>
      <c r="H994" s="45" t="n"/>
      <c r="I994" s="45" t="n"/>
      <c r="J994" s="28">
        <f>IF(H994="","",IF(I994&gt;=H994,"Recebido",IF($B$4&gt;E994,"Vencido","Aberto")))</f>
        <v/>
      </c>
      <c r="K994" s="4">
        <f>IF(J994="","",IF(OR(J994="Recebido",F994=""),MAX(0,F994-E994),MAX(0,$B$4-E994)))</f>
        <v/>
      </c>
      <c r="L994" s="4">
        <f>IF(K994="","",IF(K994=0,"Em dia",IF(K994&lt;=30,"1-30 dias",IF(K994&lt;=60,"31-60 dias",IF(K994&lt;=90,"61-90 dias","&gt;90 dias")))))</f>
        <v/>
      </c>
      <c r="M994" s="28" t="n"/>
      <c r="N994" s="104" t="inlineStr"/>
      <c r="O994" s="64" t="n"/>
      <c r="P994" s="64">
        <f>IF(C994="","",IF(ISNUMBER(SEARCH("PCMSO",C994)),"PCMSO",IF(OR(ISNUMBER(SEARCH("E-SOCIAL",C994)),ISNUMBER(SEARCH("PSICOSOCIAL",C994))),"eSocial / Psicossocial",IF(O994="Receita recorrente","Carteira recorrente","Projetos / Laudos / Avulsos"))))</f>
        <v/>
      </c>
      <c r="Q994" s="64">
        <f>IF(P994="","",IF(P994="Carteira recorrente","Operação recorrente",IF(P994="PCMSO","Projetos PCMSO",IF(P994="eSocial / Psicossocial","Projetos eSocial/Psicossocial","Projetos / Laudos / Avulsos"))))</f>
        <v/>
      </c>
      <c r="R994" s="64">
        <f>IF(C994="","",IF(ISNUMBER(SEARCH("PCMSO",C994)),"Título com PCMSO no nome",IF(OR(ISNUMBER(SEARCH("E-SOCIAL",C994)),ISNUMBER(SEARCH("PSICOSOCIAL",C994))),"Título com eSocial/Psicossocial no nome",IF(O994="Receita recorrente","Tipo DRE recorrente","Extra sem palavra-chave específica"))))</f>
        <v/>
      </c>
      <c r="S994" s="92">
        <f>IFERROR(VLOOKUP($A994,'13. Mapa Títulos-Receita'!$A$8:$P$1000,4,FALSE),"")</f>
        <v/>
      </c>
      <c r="T994" s="92">
        <f>IFERROR(VLOOKUP($A994,'13. Mapa Títulos-Receita'!$A$8:$P$1000,5,FALSE),"")</f>
        <v/>
      </c>
      <c r="U994" s="92">
        <f>IFERROR(VLOOKUP($A994,'13. Mapa Títulos-Receita'!$A$8:$P$1000,6,FALSE),"")</f>
        <v/>
      </c>
      <c r="V994" s="92">
        <f>IFERROR(VLOOKUP($A994,'13. Mapa Títulos-Receita'!$A$8:$P$1000,7,FALSE),"")</f>
        <v/>
      </c>
      <c r="W994" s="92">
        <f>IFERROR(VLOOKUP($A994,'13. Mapa Títulos-Receita'!$A$8:$P$1000,8,FALSE),"")</f>
        <v/>
      </c>
      <c r="X994" s="92">
        <f>IFERROR(VLOOKUP($A994,'13. Mapa Títulos-Receita'!$A$8:$P$1000,9,FALSE),"")</f>
        <v/>
      </c>
      <c r="Y994" s="92">
        <f>IFERROR(VLOOKUP($A994,'13. Mapa Títulos-Receita'!$A$8:$P$1000,10,FALSE),"")</f>
        <v/>
      </c>
      <c r="Z994" s="92">
        <f>IFERROR(VLOOKUP($A994,'13. Mapa Títulos-Receita'!$A$8:$P$1000,11,FALSE),"")</f>
        <v/>
      </c>
      <c r="AA994" s="92">
        <f>IFERROR(VLOOKUP($A994,'13. Mapa Títulos-Receita'!$A$8:$P$1000,12,FALSE),"")</f>
        <v/>
      </c>
      <c r="AB994" s="92">
        <f>IFERROR(VLOOKUP($A994,'13. Mapa Títulos-Receita'!$A$8:$P$1000,13,FALSE),"")</f>
        <v/>
      </c>
      <c r="AC994" s="92">
        <f>IFERROR(VLOOKUP($A994,'13. Mapa Títulos-Receita'!$A$8:$P$1000,14,FALSE),"")</f>
        <v/>
      </c>
      <c r="AD994" s="92">
        <f>IFERROR(VLOOKUP($A994,'13. Mapa Títulos-Receita'!$A$8:$P$1000,15,FALSE),"")</f>
        <v/>
      </c>
      <c r="AE994" s="92">
        <f>IFERROR(VLOOKUP($A994,'13. Mapa Títulos-Receita'!$A$8:$P$1000,16,FALSE),"")</f>
        <v/>
      </c>
    </row>
    <row r="995">
      <c r="A995" s="28">
        <f>IF(C995="","", "CR-"&amp;TEXT(ROW()-7,"000"))</f>
        <v/>
      </c>
      <c r="B995" s="28" t="n"/>
      <c r="C995" s="28" t="n"/>
      <c r="D995" s="111" t="n"/>
      <c r="E995" s="111" t="n"/>
      <c r="F995" s="111" t="n"/>
      <c r="G995" s="28" t="n"/>
      <c r="H995" s="45" t="n"/>
      <c r="I995" s="45" t="n"/>
      <c r="J995" s="28">
        <f>IF(H995="","",IF(I995&gt;=H995,"Recebido",IF($B$4&gt;E995,"Vencido","Aberto")))</f>
        <v/>
      </c>
      <c r="K995" s="4">
        <f>IF(J995="","",IF(OR(J995="Recebido",F995=""),MAX(0,F995-E995),MAX(0,$B$4-E995)))</f>
        <v/>
      </c>
      <c r="L995" s="4">
        <f>IF(K995="","",IF(K995=0,"Em dia",IF(K995&lt;=30,"1-30 dias",IF(K995&lt;=60,"31-60 dias",IF(K995&lt;=90,"61-90 dias","&gt;90 dias")))))</f>
        <v/>
      </c>
      <c r="M995" s="28" t="n"/>
      <c r="N995" s="104" t="inlineStr"/>
      <c r="O995" s="64" t="n"/>
      <c r="P995" s="64">
        <f>IF(C995="","",IF(ISNUMBER(SEARCH("PCMSO",C995)),"PCMSO",IF(OR(ISNUMBER(SEARCH("E-SOCIAL",C995)),ISNUMBER(SEARCH("PSICOSOCIAL",C995))),"eSocial / Psicossocial",IF(O995="Receita recorrente","Carteira recorrente","Projetos / Laudos / Avulsos"))))</f>
        <v/>
      </c>
      <c r="Q995" s="64">
        <f>IF(P995="","",IF(P995="Carteira recorrente","Operação recorrente",IF(P995="PCMSO","Projetos PCMSO",IF(P995="eSocial / Psicossocial","Projetos eSocial/Psicossocial","Projetos / Laudos / Avulsos"))))</f>
        <v/>
      </c>
      <c r="R995" s="64">
        <f>IF(C995="","",IF(ISNUMBER(SEARCH("PCMSO",C995)),"Título com PCMSO no nome",IF(OR(ISNUMBER(SEARCH("E-SOCIAL",C995)),ISNUMBER(SEARCH("PSICOSOCIAL",C995))),"Título com eSocial/Psicossocial no nome",IF(O995="Receita recorrente","Tipo DRE recorrente","Extra sem palavra-chave específica"))))</f>
        <v/>
      </c>
      <c r="S995" s="92">
        <f>IFERROR(VLOOKUP($A995,'13. Mapa Títulos-Receita'!$A$8:$P$1000,4,FALSE),"")</f>
        <v/>
      </c>
      <c r="T995" s="92">
        <f>IFERROR(VLOOKUP($A995,'13. Mapa Títulos-Receita'!$A$8:$P$1000,5,FALSE),"")</f>
        <v/>
      </c>
      <c r="U995" s="92">
        <f>IFERROR(VLOOKUP($A995,'13. Mapa Títulos-Receita'!$A$8:$P$1000,6,FALSE),"")</f>
        <v/>
      </c>
      <c r="V995" s="92">
        <f>IFERROR(VLOOKUP($A995,'13. Mapa Títulos-Receita'!$A$8:$P$1000,7,FALSE),"")</f>
        <v/>
      </c>
      <c r="W995" s="92">
        <f>IFERROR(VLOOKUP($A995,'13. Mapa Títulos-Receita'!$A$8:$P$1000,8,FALSE),"")</f>
        <v/>
      </c>
      <c r="X995" s="92">
        <f>IFERROR(VLOOKUP($A995,'13. Mapa Títulos-Receita'!$A$8:$P$1000,9,FALSE),"")</f>
        <v/>
      </c>
      <c r="Y995" s="92">
        <f>IFERROR(VLOOKUP($A995,'13. Mapa Títulos-Receita'!$A$8:$P$1000,10,FALSE),"")</f>
        <v/>
      </c>
      <c r="Z995" s="92">
        <f>IFERROR(VLOOKUP($A995,'13. Mapa Títulos-Receita'!$A$8:$P$1000,11,FALSE),"")</f>
        <v/>
      </c>
      <c r="AA995" s="92">
        <f>IFERROR(VLOOKUP($A995,'13. Mapa Títulos-Receita'!$A$8:$P$1000,12,FALSE),"")</f>
        <v/>
      </c>
      <c r="AB995" s="92">
        <f>IFERROR(VLOOKUP($A995,'13. Mapa Títulos-Receita'!$A$8:$P$1000,13,FALSE),"")</f>
        <v/>
      </c>
      <c r="AC995" s="92">
        <f>IFERROR(VLOOKUP($A995,'13. Mapa Títulos-Receita'!$A$8:$P$1000,14,FALSE),"")</f>
        <v/>
      </c>
      <c r="AD995" s="92">
        <f>IFERROR(VLOOKUP($A995,'13. Mapa Títulos-Receita'!$A$8:$P$1000,15,FALSE),"")</f>
        <v/>
      </c>
      <c r="AE995" s="92">
        <f>IFERROR(VLOOKUP($A995,'13. Mapa Títulos-Receita'!$A$8:$P$1000,16,FALSE),"")</f>
        <v/>
      </c>
    </row>
    <row r="996">
      <c r="A996" s="28">
        <f>IF(C996="","", "CR-"&amp;TEXT(ROW()-7,"000"))</f>
        <v/>
      </c>
      <c r="B996" s="28" t="n"/>
      <c r="C996" s="28" t="n"/>
      <c r="D996" s="111" t="n"/>
      <c r="E996" s="111" t="n"/>
      <c r="F996" s="111" t="n"/>
      <c r="G996" s="28" t="n"/>
      <c r="H996" s="45" t="n"/>
      <c r="I996" s="45" t="n"/>
      <c r="J996" s="28">
        <f>IF(H996="","",IF(I996&gt;=H996,"Recebido",IF($B$4&gt;E996,"Vencido","Aberto")))</f>
        <v/>
      </c>
      <c r="K996" s="4">
        <f>IF(J996="","",IF(OR(J996="Recebido",F996=""),MAX(0,F996-E996),MAX(0,$B$4-E996)))</f>
        <v/>
      </c>
      <c r="L996" s="4">
        <f>IF(K996="","",IF(K996=0,"Em dia",IF(K996&lt;=30,"1-30 dias",IF(K996&lt;=60,"31-60 dias",IF(K996&lt;=90,"61-90 dias","&gt;90 dias")))))</f>
        <v/>
      </c>
      <c r="M996" s="28" t="n"/>
      <c r="N996" s="104" t="inlineStr"/>
      <c r="O996" s="64" t="n"/>
      <c r="P996" s="64">
        <f>IF(C996="","",IF(ISNUMBER(SEARCH("PCMSO",C996)),"PCMSO",IF(OR(ISNUMBER(SEARCH("E-SOCIAL",C996)),ISNUMBER(SEARCH("PSICOSOCIAL",C996))),"eSocial / Psicossocial",IF(O996="Receita recorrente","Carteira recorrente","Projetos / Laudos / Avulsos"))))</f>
        <v/>
      </c>
      <c r="Q996" s="64">
        <f>IF(P996="","",IF(P996="Carteira recorrente","Operação recorrente",IF(P996="PCMSO","Projetos PCMSO",IF(P996="eSocial / Psicossocial","Projetos eSocial/Psicossocial","Projetos / Laudos / Avulsos"))))</f>
        <v/>
      </c>
      <c r="R996" s="64">
        <f>IF(C996="","",IF(ISNUMBER(SEARCH("PCMSO",C996)),"Título com PCMSO no nome",IF(OR(ISNUMBER(SEARCH("E-SOCIAL",C996)),ISNUMBER(SEARCH("PSICOSOCIAL",C996))),"Título com eSocial/Psicossocial no nome",IF(O996="Receita recorrente","Tipo DRE recorrente","Extra sem palavra-chave específica"))))</f>
        <v/>
      </c>
      <c r="S996" s="92">
        <f>IFERROR(VLOOKUP($A996,'13. Mapa Títulos-Receita'!$A$8:$P$1000,4,FALSE),"")</f>
        <v/>
      </c>
      <c r="T996" s="92">
        <f>IFERROR(VLOOKUP($A996,'13. Mapa Títulos-Receita'!$A$8:$P$1000,5,FALSE),"")</f>
        <v/>
      </c>
      <c r="U996" s="92">
        <f>IFERROR(VLOOKUP($A996,'13. Mapa Títulos-Receita'!$A$8:$P$1000,6,FALSE),"")</f>
        <v/>
      </c>
      <c r="V996" s="92">
        <f>IFERROR(VLOOKUP($A996,'13. Mapa Títulos-Receita'!$A$8:$P$1000,7,FALSE),"")</f>
        <v/>
      </c>
      <c r="W996" s="92">
        <f>IFERROR(VLOOKUP($A996,'13. Mapa Títulos-Receita'!$A$8:$P$1000,8,FALSE),"")</f>
        <v/>
      </c>
      <c r="X996" s="92">
        <f>IFERROR(VLOOKUP($A996,'13. Mapa Títulos-Receita'!$A$8:$P$1000,9,FALSE),"")</f>
        <v/>
      </c>
      <c r="Y996" s="92">
        <f>IFERROR(VLOOKUP($A996,'13. Mapa Títulos-Receita'!$A$8:$P$1000,10,FALSE),"")</f>
        <v/>
      </c>
      <c r="Z996" s="92">
        <f>IFERROR(VLOOKUP($A996,'13. Mapa Títulos-Receita'!$A$8:$P$1000,11,FALSE),"")</f>
        <v/>
      </c>
      <c r="AA996" s="92">
        <f>IFERROR(VLOOKUP($A996,'13. Mapa Títulos-Receita'!$A$8:$P$1000,12,FALSE),"")</f>
        <v/>
      </c>
      <c r="AB996" s="92">
        <f>IFERROR(VLOOKUP($A996,'13. Mapa Títulos-Receita'!$A$8:$P$1000,13,FALSE),"")</f>
        <v/>
      </c>
      <c r="AC996" s="92">
        <f>IFERROR(VLOOKUP($A996,'13. Mapa Títulos-Receita'!$A$8:$P$1000,14,FALSE),"")</f>
        <v/>
      </c>
      <c r="AD996" s="92">
        <f>IFERROR(VLOOKUP($A996,'13. Mapa Títulos-Receita'!$A$8:$P$1000,15,FALSE),"")</f>
        <v/>
      </c>
      <c r="AE996" s="92">
        <f>IFERROR(VLOOKUP($A996,'13. Mapa Títulos-Receita'!$A$8:$P$1000,16,FALSE),"")</f>
        <v/>
      </c>
    </row>
    <row r="997">
      <c r="A997" s="28">
        <f>IF(C997="","", "CR-"&amp;TEXT(ROW()-7,"000"))</f>
        <v/>
      </c>
      <c r="B997" s="28" t="n"/>
      <c r="C997" s="28" t="n"/>
      <c r="D997" s="111" t="n"/>
      <c r="E997" s="111" t="n"/>
      <c r="F997" s="111" t="n"/>
      <c r="G997" s="28" t="n"/>
      <c r="H997" s="45" t="n"/>
      <c r="I997" s="45" t="n"/>
      <c r="J997" s="28">
        <f>IF(H997="","",IF(I997&gt;=H997,"Recebido",IF($B$4&gt;E997,"Vencido","Aberto")))</f>
        <v/>
      </c>
      <c r="K997" s="4">
        <f>IF(J997="","",IF(OR(J997="Recebido",F997=""),MAX(0,F997-E997),MAX(0,$B$4-E997)))</f>
        <v/>
      </c>
      <c r="L997" s="4">
        <f>IF(K997="","",IF(K997=0,"Em dia",IF(K997&lt;=30,"1-30 dias",IF(K997&lt;=60,"31-60 dias",IF(K997&lt;=90,"61-90 dias","&gt;90 dias")))))</f>
        <v/>
      </c>
      <c r="M997" s="28" t="n"/>
      <c r="N997" s="104" t="inlineStr"/>
      <c r="O997" s="64" t="n"/>
      <c r="P997" s="64">
        <f>IF(C997="","",IF(ISNUMBER(SEARCH("PCMSO",C997)),"PCMSO",IF(OR(ISNUMBER(SEARCH("E-SOCIAL",C997)),ISNUMBER(SEARCH("PSICOSOCIAL",C997))),"eSocial / Psicossocial",IF(O997="Receita recorrente","Carteira recorrente","Projetos / Laudos / Avulsos"))))</f>
        <v/>
      </c>
      <c r="Q997" s="64">
        <f>IF(P997="","",IF(P997="Carteira recorrente","Operação recorrente",IF(P997="PCMSO","Projetos PCMSO",IF(P997="eSocial / Psicossocial","Projetos eSocial/Psicossocial","Projetos / Laudos / Avulsos"))))</f>
        <v/>
      </c>
      <c r="R997" s="64">
        <f>IF(C997="","",IF(ISNUMBER(SEARCH("PCMSO",C997)),"Título com PCMSO no nome",IF(OR(ISNUMBER(SEARCH("E-SOCIAL",C997)),ISNUMBER(SEARCH("PSICOSOCIAL",C997))),"Título com eSocial/Psicossocial no nome",IF(O997="Receita recorrente","Tipo DRE recorrente","Extra sem palavra-chave específica"))))</f>
        <v/>
      </c>
      <c r="S997" s="92">
        <f>IFERROR(VLOOKUP($A997,'13. Mapa Títulos-Receita'!$A$8:$P$1000,4,FALSE),"")</f>
        <v/>
      </c>
      <c r="T997" s="92">
        <f>IFERROR(VLOOKUP($A997,'13. Mapa Títulos-Receita'!$A$8:$P$1000,5,FALSE),"")</f>
        <v/>
      </c>
      <c r="U997" s="92">
        <f>IFERROR(VLOOKUP($A997,'13. Mapa Títulos-Receita'!$A$8:$P$1000,6,FALSE),"")</f>
        <v/>
      </c>
      <c r="V997" s="92">
        <f>IFERROR(VLOOKUP($A997,'13. Mapa Títulos-Receita'!$A$8:$P$1000,7,FALSE),"")</f>
        <v/>
      </c>
      <c r="W997" s="92">
        <f>IFERROR(VLOOKUP($A997,'13. Mapa Títulos-Receita'!$A$8:$P$1000,8,FALSE),"")</f>
        <v/>
      </c>
      <c r="X997" s="92">
        <f>IFERROR(VLOOKUP($A997,'13. Mapa Títulos-Receita'!$A$8:$P$1000,9,FALSE),"")</f>
        <v/>
      </c>
      <c r="Y997" s="92">
        <f>IFERROR(VLOOKUP($A997,'13. Mapa Títulos-Receita'!$A$8:$P$1000,10,FALSE),"")</f>
        <v/>
      </c>
      <c r="Z997" s="92">
        <f>IFERROR(VLOOKUP($A997,'13. Mapa Títulos-Receita'!$A$8:$P$1000,11,FALSE),"")</f>
        <v/>
      </c>
      <c r="AA997" s="92">
        <f>IFERROR(VLOOKUP($A997,'13. Mapa Títulos-Receita'!$A$8:$P$1000,12,FALSE),"")</f>
        <v/>
      </c>
      <c r="AB997" s="92">
        <f>IFERROR(VLOOKUP($A997,'13. Mapa Títulos-Receita'!$A$8:$P$1000,13,FALSE),"")</f>
        <v/>
      </c>
      <c r="AC997" s="92">
        <f>IFERROR(VLOOKUP($A997,'13. Mapa Títulos-Receita'!$A$8:$P$1000,14,FALSE),"")</f>
        <v/>
      </c>
      <c r="AD997" s="92">
        <f>IFERROR(VLOOKUP($A997,'13. Mapa Títulos-Receita'!$A$8:$P$1000,15,FALSE),"")</f>
        <v/>
      </c>
      <c r="AE997" s="92">
        <f>IFERROR(VLOOKUP($A997,'13. Mapa Títulos-Receita'!$A$8:$P$1000,16,FALSE),"")</f>
        <v/>
      </c>
    </row>
    <row r="998">
      <c r="A998" s="28">
        <f>IF(C998="","", "CR-"&amp;TEXT(ROW()-7,"000"))</f>
        <v/>
      </c>
      <c r="B998" s="28" t="n"/>
      <c r="C998" s="28" t="n"/>
      <c r="D998" s="111" t="n"/>
      <c r="E998" s="111" t="n"/>
      <c r="F998" s="111" t="n"/>
      <c r="G998" s="28" t="n"/>
      <c r="H998" s="45" t="n"/>
      <c r="I998" s="45" t="n"/>
      <c r="J998" s="28">
        <f>IF(H998="","",IF(I998&gt;=H998,"Recebido",IF($B$4&gt;E998,"Vencido","Aberto")))</f>
        <v/>
      </c>
      <c r="K998" s="4">
        <f>IF(J998="","",IF(OR(J998="Recebido",F998=""),MAX(0,F998-E998),MAX(0,$B$4-E998)))</f>
        <v/>
      </c>
      <c r="L998" s="4">
        <f>IF(K998="","",IF(K998=0,"Em dia",IF(K998&lt;=30,"1-30 dias",IF(K998&lt;=60,"31-60 dias",IF(K998&lt;=90,"61-90 dias","&gt;90 dias")))))</f>
        <v/>
      </c>
      <c r="M998" s="28" t="n"/>
      <c r="N998" s="104" t="inlineStr"/>
      <c r="O998" s="64" t="n"/>
      <c r="P998" s="64">
        <f>IF(C998="","",IF(ISNUMBER(SEARCH("PCMSO",C998)),"PCMSO",IF(OR(ISNUMBER(SEARCH("E-SOCIAL",C998)),ISNUMBER(SEARCH("PSICOSOCIAL",C998))),"eSocial / Psicossocial",IF(O998="Receita recorrente","Carteira recorrente","Projetos / Laudos / Avulsos"))))</f>
        <v/>
      </c>
      <c r="Q998" s="64">
        <f>IF(P998="","",IF(P998="Carteira recorrente","Operação recorrente",IF(P998="PCMSO","Projetos PCMSO",IF(P998="eSocial / Psicossocial","Projetos eSocial/Psicossocial","Projetos / Laudos / Avulsos"))))</f>
        <v/>
      </c>
      <c r="R998" s="64">
        <f>IF(C998="","",IF(ISNUMBER(SEARCH("PCMSO",C998)),"Título com PCMSO no nome",IF(OR(ISNUMBER(SEARCH("E-SOCIAL",C998)),ISNUMBER(SEARCH("PSICOSOCIAL",C998))),"Título com eSocial/Psicossocial no nome",IF(O998="Receita recorrente","Tipo DRE recorrente","Extra sem palavra-chave específica"))))</f>
        <v/>
      </c>
      <c r="S998" s="92">
        <f>IFERROR(VLOOKUP($A998,'13. Mapa Títulos-Receita'!$A$8:$P$1000,4,FALSE),"")</f>
        <v/>
      </c>
      <c r="T998" s="92">
        <f>IFERROR(VLOOKUP($A998,'13. Mapa Títulos-Receita'!$A$8:$P$1000,5,FALSE),"")</f>
        <v/>
      </c>
      <c r="U998" s="92">
        <f>IFERROR(VLOOKUP($A998,'13. Mapa Títulos-Receita'!$A$8:$P$1000,6,FALSE),"")</f>
        <v/>
      </c>
      <c r="V998" s="92">
        <f>IFERROR(VLOOKUP($A998,'13. Mapa Títulos-Receita'!$A$8:$P$1000,7,FALSE),"")</f>
        <v/>
      </c>
      <c r="W998" s="92">
        <f>IFERROR(VLOOKUP($A998,'13. Mapa Títulos-Receita'!$A$8:$P$1000,8,FALSE),"")</f>
        <v/>
      </c>
      <c r="X998" s="92">
        <f>IFERROR(VLOOKUP($A998,'13. Mapa Títulos-Receita'!$A$8:$P$1000,9,FALSE),"")</f>
        <v/>
      </c>
      <c r="Y998" s="92">
        <f>IFERROR(VLOOKUP($A998,'13. Mapa Títulos-Receita'!$A$8:$P$1000,10,FALSE),"")</f>
        <v/>
      </c>
      <c r="Z998" s="92">
        <f>IFERROR(VLOOKUP($A998,'13. Mapa Títulos-Receita'!$A$8:$P$1000,11,FALSE),"")</f>
        <v/>
      </c>
      <c r="AA998" s="92">
        <f>IFERROR(VLOOKUP($A998,'13. Mapa Títulos-Receita'!$A$8:$P$1000,12,FALSE),"")</f>
        <v/>
      </c>
      <c r="AB998" s="92">
        <f>IFERROR(VLOOKUP($A998,'13. Mapa Títulos-Receita'!$A$8:$P$1000,13,FALSE),"")</f>
        <v/>
      </c>
      <c r="AC998" s="92">
        <f>IFERROR(VLOOKUP($A998,'13. Mapa Títulos-Receita'!$A$8:$P$1000,14,FALSE),"")</f>
        <v/>
      </c>
      <c r="AD998" s="92">
        <f>IFERROR(VLOOKUP($A998,'13. Mapa Títulos-Receita'!$A$8:$P$1000,15,FALSE),"")</f>
        <v/>
      </c>
      <c r="AE998" s="92">
        <f>IFERROR(VLOOKUP($A998,'13. Mapa Títulos-Receita'!$A$8:$P$1000,16,FALSE),"")</f>
        <v/>
      </c>
    </row>
    <row r="999">
      <c r="A999" s="28">
        <f>IF(C999="","", "CR-"&amp;TEXT(ROW()-7,"000"))</f>
        <v/>
      </c>
      <c r="B999" s="28" t="n"/>
      <c r="C999" s="28" t="n"/>
      <c r="D999" s="111" t="n"/>
      <c r="E999" s="111" t="n"/>
      <c r="F999" s="111" t="n"/>
      <c r="G999" s="28" t="n"/>
      <c r="H999" s="45" t="n"/>
      <c r="I999" s="45" t="n"/>
      <c r="J999" s="28">
        <f>IF(H999="","",IF(I999&gt;=H999,"Recebido",IF($B$4&gt;E999,"Vencido","Aberto")))</f>
        <v/>
      </c>
      <c r="K999" s="4">
        <f>IF(J999="","",IF(OR(J999="Recebido",F999=""),MAX(0,F999-E999),MAX(0,$B$4-E999)))</f>
        <v/>
      </c>
      <c r="L999" s="4">
        <f>IF(K999="","",IF(K999=0,"Em dia",IF(K999&lt;=30,"1-30 dias",IF(K999&lt;=60,"31-60 dias",IF(K999&lt;=90,"61-90 dias","&gt;90 dias")))))</f>
        <v/>
      </c>
      <c r="M999" s="28" t="n"/>
      <c r="N999" s="104" t="inlineStr"/>
      <c r="O999" s="64" t="n"/>
      <c r="P999" s="64">
        <f>IF(C999="","",IF(ISNUMBER(SEARCH("PCMSO",C999)),"PCMSO",IF(OR(ISNUMBER(SEARCH("E-SOCIAL",C999)),ISNUMBER(SEARCH("PSICOSOCIAL",C999))),"eSocial / Psicossocial",IF(O999="Receita recorrente","Carteira recorrente","Projetos / Laudos / Avulsos"))))</f>
        <v/>
      </c>
      <c r="Q999" s="64">
        <f>IF(P999="","",IF(P999="Carteira recorrente","Operação recorrente",IF(P999="PCMSO","Projetos PCMSO",IF(P999="eSocial / Psicossocial","Projetos eSocial/Psicossocial","Projetos / Laudos / Avulsos"))))</f>
        <v/>
      </c>
      <c r="R999" s="64">
        <f>IF(C999="","",IF(ISNUMBER(SEARCH("PCMSO",C999)),"Título com PCMSO no nome",IF(OR(ISNUMBER(SEARCH("E-SOCIAL",C999)),ISNUMBER(SEARCH("PSICOSOCIAL",C999))),"Título com eSocial/Psicossocial no nome",IF(O999="Receita recorrente","Tipo DRE recorrente","Extra sem palavra-chave específica"))))</f>
        <v/>
      </c>
      <c r="S999" s="92">
        <f>IFERROR(VLOOKUP($A999,'13. Mapa Títulos-Receita'!$A$8:$P$1000,4,FALSE),"")</f>
        <v/>
      </c>
      <c r="T999" s="92">
        <f>IFERROR(VLOOKUP($A999,'13. Mapa Títulos-Receita'!$A$8:$P$1000,5,FALSE),"")</f>
        <v/>
      </c>
      <c r="U999" s="92">
        <f>IFERROR(VLOOKUP($A999,'13. Mapa Títulos-Receita'!$A$8:$P$1000,6,FALSE),"")</f>
        <v/>
      </c>
      <c r="V999" s="92">
        <f>IFERROR(VLOOKUP($A999,'13. Mapa Títulos-Receita'!$A$8:$P$1000,7,FALSE),"")</f>
        <v/>
      </c>
      <c r="W999" s="92">
        <f>IFERROR(VLOOKUP($A999,'13. Mapa Títulos-Receita'!$A$8:$P$1000,8,FALSE),"")</f>
        <v/>
      </c>
      <c r="X999" s="92">
        <f>IFERROR(VLOOKUP($A999,'13. Mapa Títulos-Receita'!$A$8:$P$1000,9,FALSE),"")</f>
        <v/>
      </c>
      <c r="Y999" s="92">
        <f>IFERROR(VLOOKUP($A999,'13. Mapa Títulos-Receita'!$A$8:$P$1000,10,FALSE),"")</f>
        <v/>
      </c>
      <c r="Z999" s="92">
        <f>IFERROR(VLOOKUP($A999,'13. Mapa Títulos-Receita'!$A$8:$P$1000,11,FALSE),"")</f>
        <v/>
      </c>
      <c r="AA999" s="92">
        <f>IFERROR(VLOOKUP($A999,'13. Mapa Títulos-Receita'!$A$8:$P$1000,12,FALSE),"")</f>
        <v/>
      </c>
      <c r="AB999" s="92">
        <f>IFERROR(VLOOKUP($A999,'13. Mapa Títulos-Receita'!$A$8:$P$1000,13,FALSE),"")</f>
        <v/>
      </c>
      <c r="AC999" s="92">
        <f>IFERROR(VLOOKUP($A999,'13. Mapa Títulos-Receita'!$A$8:$P$1000,14,FALSE),"")</f>
        <v/>
      </c>
      <c r="AD999" s="92">
        <f>IFERROR(VLOOKUP($A999,'13. Mapa Títulos-Receita'!$A$8:$P$1000,15,FALSE),"")</f>
        <v/>
      </c>
      <c r="AE999" s="92">
        <f>IFERROR(VLOOKUP($A999,'13. Mapa Títulos-Receita'!$A$8:$P$1000,16,FALSE),"")</f>
        <v/>
      </c>
    </row>
    <row r="1000">
      <c r="A1000" s="28">
        <f>IF(C1000="","", "CR-"&amp;TEXT(ROW()-7,"000"))</f>
        <v/>
      </c>
      <c r="B1000" s="28" t="n"/>
      <c r="C1000" s="28" t="n"/>
      <c r="D1000" s="111" t="n"/>
      <c r="E1000" s="111" t="n"/>
      <c r="F1000" s="111" t="n"/>
      <c r="G1000" s="28" t="n"/>
      <c r="H1000" s="45" t="n"/>
      <c r="I1000" s="45" t="n"/>
      <c r="J1000" s="28">
        <f>IF(H1000="","",IF(I1000&gt;=H1000,"Recebido",IF($B$4&gt;E1000,"Vencido","Aberto")))</f>
        <v/>
      </c>
      <c r="K1000" s="4">
        <f>IF(J1000="","",IF(OR(J1000="Recebido",F1000=""),MAX(0,F1000-E1000),MAX(0,$B$4-E1000)))</f>
        <v/>
      </c>
      <c r="L1000" s="4">
        <f>IF(K1000="","",IF(K1000=0,"Em dia",IF(K1000&lt;=30,"1-30 dias",IF(K1000&lt;=60,"31-60 dias",IF(K1000&lt;=90,"61-90 dias","&gt;90 dias")))))</f>
        <v/>
      </c>
      <c r="M1000" s="28" t="n"/>
      <c r="N1000" s="104" t="inlineStr"/>
      <c r="O1000" s="64" t="n"/>
      <c r="P1000" s="64">
        <f>IF(C1000="","",IF(ISNUMBER(SEARCH("PCMSO",C1000)),"PCMSO",IF(OR(ISNUMBER(SEARCH("E-SOCIAL",C1000)),ISNUMBER(SEARCH("PSICOSOCIAL",C1000))),"eSocial / Psicossocial",IF(O1000="Receita recorrente","Carteira recorrente","Projetos / Laudos / Avulsos"))))</f>
        <v/>
      </c>
      <c r="Q1000" s="64">
        <f>IF(P1000="","",IF(P1000="Carteira recorrente","Operação recorrente",IF(P1000="PCMSO","Projetos PCMSO",IF(P1000="eSocial / Psicossocial","Projetos eSocial/Psicossocial","Projetos / Laudos / Avulsos"))))</f>
        <v/>
      </c>
      <c r="R1000" s="64">
        <f>IF(C1000="","",IF(ISNUMBER(SEARCH("PCMSO",C1000)),"Título com PCMSO no nome",IF(OR(ISNUMBER(SEARCH("E-SOCIAL",C1000)),ISNUMBER(SEARCH("PSICOSOCIAL",C1000))),"Título com eSocial/Psicossocial no nome",IF(O1000="Receita recorrente","Tipo DRE recorrente","Extra sem palavra-chave específica"))))</f>
        <v/>
      </c>
      <c r="S1000" s="92">
        <f>IFERROR(VLOOKUP($A1000,'13. Mapa Títulos-Receita'!$A$8:$P$1000,4,FALSE),"")</f>
        <v/>
      </c>
      <c r="T1000" s="92">
        <f>IFERROR(VLOOKUP($A1000,'13. Mapa Títulos-Receita'!$A$8:$P$1000,5,FALSE),"")</f>
        <v/>
      </c>
      <c r="U1000" s="92">
        <f>IFERROR(VLOOKUP($A1000,'13. Mapa Títulos-Receita'!$A$8:$P$1000,6,FALSE),"")</f>
        <v/>
      </c>
      <c r="V1000" s="92">
        <f>IFERROR(VLOOKUP($A1000,'13. Mapa Títulos-Receita'!$A$8:$P$1000,7,FALSE),"")</f>
        <v/>
      </c>
      <c r="W1000" s="92">
        <f>IFERROR(VLOOKUP($A1000,'13. Mapa Títulos-Receita'!$A$8:$P$1000,8,FALSE),"")</f>
        <v/>
      </c>
      <c r="X1000" s="92">
        <f>IFERROR(VLOOKUP($A1000,'13. Mapa Títulos-Receita'!$A$8:$P$1000,9,FALSE),"")</f>
        <v/>
      </c>
      <c r="Y1000" s="92">
        <f>IFERROR(VLOOKUP($A1000,'13. Mapa Títulos-Receita'!$A$8:$P$1000,10,FALSE),"")</f>
        <v/>
      </c>
      <c r="Z1000" s="92">
        <f>IFERROR(VLOOKUP($A1000,'13. Mapa Títulos-Receita'!$A$8:$P$1000,11,FALSE),"")</f>
        <v/>
      </c>
      <c r="AA1000" s="92">
        <f>IFERROR(VLOOKUP($A1000,'13. Mapa Títulos-Receita'!$A$8:$P$1000,12,FALSE),"")</f>
        <v/>
      </c>
      <c r="AB1000" s="92">
        <f>IFERROR(VLOOKUP($A1000,'13. Mapa Títulos-Receita'!$A$8:$P$1000,13,FALSE),"")</f>
        <v/>
      </c>
      <c r="AC1000" s="92">
        <f>IFERROR(VLOOKUP($A1000,'13. Mapa Títulos-Receita'!$A$8:$P$1000,14,FALSE),"")</f>
        <v/>
      </c>
      <c r="AD1000" s="92">
        <f>IFERROR(VLOOKUP($A1000,'13. Mapa Títulos-Receita'!$A$8:$P$1000,15,FALSE),"")</f>
        <v/>
      </c>
      <c r="AE1000" s="92">
        <f>IFERROR(VLOOKUP($A1000,'13. Mapa Títulos-Receita'!$A$8:$P$1000,16,FALSE),"")</f>
        <v/>
      </c>
    </row>
    <row r="1001">
      <c r="A1001" s="8" t="inlineStr">
        <is>
          <t>RESUMO DO BLOCO 2</t>
        </is>
      </c>
      <c r="B1001" s="23" t="n"/>
      <c r="C1001" s="23" t="n"/>
      <c r="D1001" s="23" t="n"/>
      <c r="E1001" s="23" t="n"/>
      <c r="F1001" s="23" t="n"/>
      <c r="G1001" s="23" t="n"/>
      <c r="H1001" s="23" t="n"/>
      <c r="I1001" s="23" t="n"/>
      <c r="J1001" s="23" t="n"/>
      <c r="K1001" s="23" t="n"/>
      <c r="L1001" s="23" t="n"/>
      <c r="M1001" s="23" t="n"/>
      <c r="N1001" s="23" t="n"/>
      <c r="O1001" s="23" t="n"/>
      <c r="P1001" s="23" t="n"/>
      <c r="Q1001" s="23" t="n"/>
      <c r="R1001" s="23" t="n"/>
      <c r="S1001" s="23" t="n"/>
      <c r="T1001" s="23" t="n"/>
      <c r="U1001" s="23" t="n"/>
      <c r="V1001" s="23" t="n"/>
      <c r="W1001" s="23" t="n"/>
      <c r="X1001" s="23" t="n"/>
      <c r="Y1001" s="23" t="n"/>
      <c r="Z1001" s="23" t="n"/>
      <c r="AA1001" s="23" t="n"/>
      <c r="AB1001" s="23" t="n"/>
      <c r="AC1001" s="23" t="n"/>
      <c r="AD1001" s="23" t="n"/>
      <c r="AE1001" s="23" t="n"/>
    </row>
    <row r="1002">
      <c r="A1002" s="4" t="inlineStr">
        <is>
          <t>Títulos lançados</t>
        </is>
      </c>
      <c r="B1002" s="19">
        <f>COUNTIF(C8:C1000,"&lt;&gt;")</f>
        <v/>
      </c>
    </row>
    <row r="1003">
      <c r="A1003" s="4" t="inlineStr">
        <is>
          <t>Carteira nominal</t>
        </is>
      </c>
      <c r="B1003" s="43">
        <f>SUM(H8:H1000)</f>
        <v/>
      </c>
    </row>
    <row r="1004">
      <c r="A1004" s="4" t="inlineStr">
        <is>
          <t>Recebido</t>
        </is>
      </c>
      <c r="B1004" s="43">
        <f>SUM(I8:I1000)</f>
        <v/>
      </c>
    </row>
    <row r="1005">
      <c r="A1005" s="4" t="inlineStr">
        <is>
          <t>Em aberto</t>
        </is>
      </c>
      <c r="B1005" s="43">
        <f>SUMIFS(H8:H1000,J8:J1000,"&lt;&gt;Recebido",J8:J1000,"&lt;&gt;Cancelado")</f>
        <v/>
      </c>
    </row>
    <row r="1006">
      <c r="A1006" s="4" t="inlineStr">
        <is>
          <t>Vencido</t>
        </is>
      </c>
      <c r="B1006" s="43">
        <f>SUMIFS(H8:H1000,J8:J1000,"Vencido")</f>
        <v/>
      </c>
    </row>
  </sheetData>
  <mergeCells count="4">
    <mergeCell ref="A1:AE1"/>
    <mergeCell ref="A60:AE60"/>
    <mergeCell ref="A2:AE2"/>
    <mergeCell ref="A6:AE6"/>
  </mergeCells>
  <dataValidations count="1">
    <dataValidation sqref="J8:J57" showDropDown="0" showInputMessage="0" showErrorMessage="0" allowBlank="0" type="list">
      <formula1>"A vencer,Recebido,Vencido,Renegociado,Cancelado"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8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4" customWidth="1" min="12" max="12"/>
    <col width="30" customWidth="1" min="13" max="13"/>
    <col width="22" customWidth="1" min="14" max="14"/>
    <col width="14" customWidth="1" min="15" max="15"/>
    <col width="18" customWidth="1" min="16" max="16"/>
    <col width="32" customWidth="1" min="17" max="17"/>
    <col width="38" customWidth="1" min="18" max="18"/>
    <col width="20" customWidth="1" min="19" max="19"/>
    <col width="24" customWidth="1" min="20" max="20"/>
    <col width="28" customWidth="1" min="21" max="21"/>
  </cols>
  <sheetData>
    <row r="1">
      <c r="A1" s="1" t="inlineStr">
        <is>
          <t>3. CONTAS A PAGAR — OBRIGAÇÕES E SAÍDAS</t>
        </is>
      </c>
    </row>
    <row r="2">
      <c r="A2" s="2" t="inlineStr">
        <is>
          <t>Cada linha representa uma obrigação. Agora o CP também está amarrado à Base_Custos com centro de custo real, grupo gerencial e natureza gerencial.</t>
        </is>
      </c>
    </row>
    <row r="4">
      <c r="A4" s="8" t="inlineStr">
        <is>
          <t>BASE OPERACIONAL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</row>
    <row r="5">
      <c r="A5" s="3" t="inlineStr">
        <is>
          <t>ID gasto</t>
        </is>
      </c>
      <c r="B5" s="3" t="inlineStr">
        <is>
          <t>Competência</t>
        </is>
      </c>
      <c r="C5" s="3" t="inlineStr">
        <is>
          <t>Fornecedor</t>
        </is>
      </c>
      <c r="D5" s="3" t="inlineStr">
        <is>
          <t>Categoria</t>
        </is>
      </c>
      <c r="E5" s="3" t="inlineStr">
        <is>
          <t>Centro de custo real</t>
        </is>
      </c>
      <c r="F5" s="3" t="inlineStr">
        <is>
          <t>Emissão</t>
        </is>
      </c>
      <c r="G5" s="3" t="inlineStr">
        <is>
          <t>Vencimento</t>
        </is>
      </c>
      <c r="H5" s="3" t="inlineStr">
        <is>
          <t>Pagamento</t>
        </is>
      </c>
      <c r="I5" s="3" t="inlineStr">
        <is>
          <t>Valor</t>
        </is>
      </c>
      <c r="J5" s="3" t="inlineStr">
        <is>
          <t>Status</t>
        </is>
      </c>
      <c r="K5" s="3" t="inlineStr">
        <is>
          <t>Tipo</t>
        </is>
      </c>
      <c r="L5" s="3" t="inlineStr">
        <is>
          <t>Observação</t>
        </is>
      </c>
      <c r="M5" s="3" t="inlineStr">
        <is>
          <t>Grupo gerencial (CSV)</t>
        </is>
      </c>
      <c r="N5" s="3" t="inlineStr">
        <is>
          <t>Natureza gerencial</t>
        </is>
      </c>
      <c r="O5" s="3" t="inlineStr">
        <is>
          <t>% estrutura base</t>
        </is>
      </c>
      <c r="P5" s="3" t="inlineStr">
        <is>
          <t>Vínculo c/ base</t>
        </is>
      </c>
      <c r="Q5" s="3" t="inlineStr">
        <is>
          <t>Nota gerencial</t>
        </is>
      </c>
      <c r="R5" s="3" t="inlineStr">
        <is>
          <t>Linha DRE</t>
        </is>
      </c>
      <c r="S5" s="3" t="inlineStr">
        <is>
          <t>Nível DRE</t>
        </is>
      </c>
      <c r="T5" s="3" t="inlineStr">
        <is>
          <t>Alocação p/ linha de serviço</t>
        </is>
      </c>
      <c r="U5" s="3" t="inlineStr">
        <is>
          <t>Critério alocação serviço</t>
        </is>
      </c>
    </row>
    <row r="6">
      <c r="A6" s="28" t="inlineStr">
        <is>
          <t>CP-001</t>
        </is>
      </c>
      <c r="B6" s="27">
        <f>IF(F6="","",DATE(YEAR(F6),MONTH(F6),1))</f>
        <v/>
      </c>
      <c r="C6" s="28" t="inlineStr">
        <is>
          <t>VISA VALE</t>
        </is>
      </c>
      <c r="D6" s="28" t="inlineStr">
        <is>
          <t>Despesa fixa</t>
        </is>
      </c>
      <c r="E6" s="59">
        <f>IF(C6="","",IFERROR(INDEX('6. Base de Custos'!$M$8:$M$42,MATCH(C6,'6. Base de Custos'!$L$8:$L$42,0)),"Não classificado"))</f>
        <v/>
      </c>
      <c r="F6" s="44" t="n">
        <v>46083</v>
      </c>
      <c r="G6" s="44" t="n">
        <v>46083</v>
      </c>
      <c r="H6" s="44" t="n">
        <v>46112</v>
      </c>
      <c r="I6" s="45" t="n">
        <v>891.46</v>
      </c>
      <c r="J6" s="28" t="inlineStr">
        <is>
          <t>Pago</t>
        </is>
      </c>
      <c r="K6" s="28" t="inlineStr">
        <is>
          <t>Fixo</t>
        </is>
      </c>
      <c r="L6" s="28" t="inlineStr">
        <is>
          <t>Origem: CP mar/2026. Data de pagamento não informada no PDF; alocada em 31/03 como proxy mensal.</t>
        </is>
      </c>
      <c r="M6" s="59">
        <f>IF(C6="","",IFERROR(INDEX('6. Base de Custos'!$N$8:$N$42,MATCH(C6,'6. Base de Custos'!$L$8:$L$42,0)),"Não classificado"))</f>
        <v/>
      </c>
      <c r="N6" s="59">
        <f>IF(C6="","",IFERROR(INDEX('6. Base de Custos'!$O$8:$O$42,MATCH(C6,'6. Base de Custos'!$L$8:$L$42,0)),"Revisar"))</f>
        <v/>
      </c>
      <c r="O6" s="60">
        <f>IF(M6="","",IFERROR(VLOOKUP(M6,'6. Base de Custos'!$H$12:$J$18,3,FALSE),0))</f>
        <v/>
      </c>
      <c r="P6" s="59">
        <f>IF(C6="","",IFERROR(INDEX('6. Base de Custos'!$P$8:$P$42,MATCH(C6,'6. Base de Custos'!$L$8:$L$42,0)),"Revisar"))</f>
        <v/>
      </c>
      <c r="Q6" s="59">
        <f>IF(C6="","",IFERROR(INDEX('6. Base de Custos'!$Q$8:$Q$42,MATCH(C6,'6. Base de Custos'!$L$8:$L$42,0)),""))</f>
        <v/>
      </c>
      <c r="R6" s="65" t="inlineStr">
        <is>
          <t>(-) Despesas comerciais e deslocamento</t>
        </is>
      </c>
      <c r="S6" s="65" t="inlineStr">
        <is>
          <t>Despesa operacional</t>
        </is>
      </c>
      <c r="T6" s="65">
        <f>IF(C6="","",IF(R6="(-) Custos diretos dos serviços",IF(ISNUMBER(SEARCH("PCMSO",C6)),"PCMSO",IF(OR(ISNUMBER(SEARCH("SGS",C6)),ISNUMBER(SEARCH("CASTRO NAVES",C6))),"Projetos / Laudos / Avulsos","Projetos / Laudos / Avulsos")),"Rateio pela receita bruta"))</f>
        <v/>
      </c>
      <c r="U6" s="65">
        <f>IF(C6="","",IF(R6="(-) Custos diretos dos serviços","Direto por fornecedor/natureza do gasto","Rateio proporcional à receita bruta da linha de serviço"))</f>
        <v/>
      </c>
    </row>
    <row r="7">
      <c r="A7" s="28" t="inlineStr">
        <is>
          <t>CP-002</t>
        </is>
      </c>
      <c r="B7" s="27">
        <f>IF(F7="","",DATE(YEAR(F7),MONTH(F7),1))</f>
        <v/>
      </c>
      <c r="C7" s="28" t="inlineStr">
        <is>
          <t>FAXINEIRA</t>
        </is>
      </c>
      <c r="D7" s="28" t="inlineStr">
        <is>
          <t>Despesa fixa</t>
        </is>
      </c>
      <c r="E7" s="59">
        <f>IF(C7="","",IFERROR(INDEX('6. Base de Custos'!$M$8:$M$42,MATCH(C7,'6. Base de Custos'!$L$8:$L$42,0)),"Não classificado"))</f>
        <v/>
      </c>
      <c r="F7" s="44" t="n">
        <v>46086</v>
      </c>
      <c r="G7" s="44" t="n">
        <v>46086</v>
      </c>
      <c r="H7" s="44" t="n">
        <v>46112</v>
      </c>
      <c r="I7" s="45" t="n">
        <v>375</v>
      </c>
      <c r="J7" s="28" t="inlineStr">
        <is>
          <t>Pago</t>
        </is>
      </c>
      <c r="K7" s="28" t="inlineStr">
        <is>
          <t>Fixo</t>
        </is>
      </c>
      <c r="L7" s="28" t="inlineStr">
        <is>
          <t>Origem: CP mar/2026. Data de pagamento não informada no PDF; alocada em 31/03 como proxy mensal.</t>
        </is>
      </c>
      <c r="M7" s="59">
        <f>IF(C7="","",IFERROR(INDEX('6. Base de Custos'!$N$8:$N$42,MATCH(C7,'6. Base de Custos'!$L$8:$L$42,0)),"Não classificado"))</f>
        <v/>
      </c>
      <c r="N7" s="59">
        <f>IF(C7="","",IFERROR(INDEX('6. Base de Custos'!$O$8:$O$42,MATCH(C7,'6. Base de Custos'!$L$8:$L$42,0)),"Revisar"))</f>
        <v/>
      </c>
      <c r="O7" s="60">
        <f>IF(M7="","",IFERROR(VLOOKUP(M7,'6. Base de Custos'!$H$12:$J$18,3,FALSE),0))</f>
        <v/>
      </c>
      <c r="P7" s="59">
        <f>IF(C7="","",IFERROR(INDEX('6. Base de Custos'!$P$8:$P$42,MATCH(C7,'6. Base de Custos'!$L$8:$L$42,0)),"Revisar"))</f>
        <v/>
      </c>
      <c r="Q7" s="59">
        <f>IF(C7="","",IFERROR(INDEX('6. Base de Custos'!$Q$8:$Q$42,MATCH(C7,'6. Base de Custos'!$L$8:$L$42,0)),""))</f>
        <v/>
      </c>
      <c r="R7" s="65" t="inlineStr">
        <is>
          <t>(-) Despesas com pessoal e equipe</t>
        </is>
      </c>
      <c r="S7" s="65" t="inlineStr">
        <is>
          <t>Despesa operacional</t>
        </is>
      </c>
      <c r="T7" s="65">
        <f>IF(C7="","",IF(R7="(-) Custos diretos dos serviços",IF(ISNUMBER(SEARCH("PCMSO",C7)),"PCMSO",IF(OR(ISNUMBER(SEARCH("SGS",C7)),ISNUMBER(SEARCH("CASTRO NAVES",C7))),"Projetos / Laudos / Avulsos","Projetos / Laudos / Avulsos")),"Rateio pela receita bruta"))</f>
        <v/>
      </c>
      <c r="U7" s="65">
        <f>IF(C7="","",IF(R7="(-) Custos diretos dos serviços","Direto por fornecedor/natureza do gasto","Rateio proporcional à receita bruta da linha de serviço"))</f>
        <v/>
      </c>
    </row>
    <row r="8">
      <c r="A8" s="28" t="inlineStr">
        <is>
          <t>CP-003</t>
        </is>
      </c>
      <c r="B8" s="27">
        <f>IF(F8="","",DATE(YEAR(F8),MONTH(F8),1))</f>
        <v/>
      </c>
      <c r="C8" s="28" t="inlineStr">
        <is>
          <t>FERNANDA</t>
        </is>
      </c>
      <c r="D8" s="28" t="inlineStr">
        <is>
          <t>Despesa fixa</t>
        </is>
      </c>
      <c r="E8" s="59">
        <f>IF(C8="","",IFERROR(INDEX('6. Base de Custos'!$M$8:$M$42,MATCH(C8,'6. Base de Custos'!$L$8:$L$42,0)),"Não classificado"))</f>
        <v/>
      </c>
      <c r="F8" s="44" t="n">
        <v>46086</v>
      </c>
      <c r="G8" s="44" t="n">
        <v>46086</v>
      </c>
      <c r="H8" s="44" t="n">
        <v>46112</v>
      </c>
      <c r="I8" s="45" t="n">
        <v>3008.07</v>
      </c>
      <c r="J8" s="28" t="inlineStr">
        <is>
          <t>Pago</t>
        </is>
      </c>
      <c r="K8" s="28" t="inlineStr">
        <is>
          <t>Fixo</t>
        </is>
      </c>
      <c r="L8" s="28" t="inlineStr">
        <is>
          <t>Origem: CP mar/2026. Data de pagamento não informada no PDF; alocada em 31/03 como proxy mensal.</t>
        </is>
      </c>
      <c r="M8" s="59">
        <f>IF(C8="","",IFERROR(INDEX('6. Base de Custos'!$N$8:$N$42,MATCH(C8,'6. Base de Custos'!$L$8:$L$42,0)),"Não classificado"))</f>
        <v/>
      </c>
      <c r="N8" s="59">
        <f>IF(C8="","",IFERROR(INDEX('6. Base de Custos'!$O$8:$O$42,MATCH(C8,'6. Base de Custos'!$L$8:$L$42,0)),"Revisar"))</f>
        <v/>
      </c>
      <c r="O8" s="60">
        <f>IF(M8="","",IFERROR(VLOOKUP(M8,'6. Base de Custos'!$H$12:$J$18,3,FALSE),0))</f>
        <v/>
      </c>
      <c r="P8" s="59">
        <f>IF(C8="","",IFERROR(INDEX('6. Base de Custos'!$P$8:$P$42,MATCH(C8,'6. Base de Custos'!$L$8:$L$42,0)),"Revisar"))</f>
        <v/>
      </c>
      <c r="Q8" s="59">
        <f>IF(C8="","",IFERROR(INDEX('6. Base de Custos'!$Q$8:$Q$42,MATCH(C8,'6. Base de Custos'!$L$8:$L$42,0)),""))</f>
        <v/>
      </c>
      <c r="R8" s="65" t="inlineStr">
        <is>
          <t>(-) Despesas com pessoal e equipe</t>
        </is>
      </c>
      <c r="S8" s="65" t="inlineStr">
        <is>
          <t>Despesa operacional</t>
        </is>
      </c>
      <c r="T8" s="65">
        <f>IF(C8="","",IF(R8="(-) Custos diretos dos serviços",IF(ISNUMBER(SEARCH("PCMSO",C8)),"PCMSO",IF(OR(ISNUMBER(SEARCH("SGS",C8)),ISNUMBER(SEARCH("CASTRO NAVES",C8))),"Projetos / Laudos / Avulsos","Projetos / Laudos / Avulsos")),"Rateio pela receita bruta"))</f>
        <v/>
      </c>
      <c r="U8" s="65">
        <f>IF(C8="","",IF(R8="(-) Custos diretos dos serviços","Direto por fornecedor/natureza do gasto","Rateio proporcional à receita bruta da linha de serviço"))</f>
        <v/>
      </c>
    </row>
    <row r="9">
      <c r="A9" s="28" t="inlineStr">
        <is>
          <t>CP-004</t>
        </is>
      </c>
      <c r="B9" s="27">
        <f>IF(F9="","",DATE(YEAR(F9),MONTH(F9),1))</f>
        <v/>
      </c>
      <c r="C9" s="28" t="inlineStr">
        <is>
          <t>EDMILSON</t>
        </is>
      </c>
      <c r="D9" s="28" t="inlineStr">
        <is>
          <t>Despesa fixa</t>
        </is>
      </c>
      <c r="E9" s="59">
        <f>IF(C9="","",IFERROR(INDEX('6. Base de Custos'!$M$8:$M$42,MATCH(C9,'6. Base de Custos'!$L$8:$L$42,0)),"Não classificado"))</f>
        <v/>
      </c>
      <c r="F9" s="44" t="n">
        <v>46085</v>
      </c>
      <c r="G9" s="44" t="n">
        <v>46085</v>
      </c>
      <c r="H9" s="44" t="n">
        <v>46112</v>
      </c>
      <c r="I9" s="45" t="n">
        <v>3008.07</v>
      </c>
      <c r="J9" s="28" t="inlineStr">
        <is>
          <t>Pago</t>
        </is>
      </c>
      <c r="K9" s="28" t="inlineStr">
        <is>
          <t>Fixo</t>
        </is>
      </c>
      <c r="L9" s="28" t="inlineStr">
        <is>
          <t>Origem: CP mar/2026. Data de pagamento não informada no PDF; alocada em 31/03 como proxy mensal.</t>
        </is>
      </c>
      <c r="M9" s="59">
        <f>IF(C9="","",IFERROR(INDEX('6. Base de Custos'!$N$8:$N$42,MATCH(C9,'6. Base de Custos'!$L$8:$L$42,0)),"Não classificado"))</f>
        <v/>
      </c>
      <c r="N9" s="59">
        <f>IF(C9="","",IFERROR(INDEX('6. Base de Custos'!$O$8:$O$42,MATCH(C9,'6. Base de Custos'!$L$8:$L$42,0)),"Revisar"))</f>
        <v/>
      </c>
      <c r="O9" s="60">
        <f>IF(M9="","",IFERROR(VLOOKUP(M9,'6. Base de Custos'!$H$12:$J$18,3,FALSE),0))</f>
        <v/>
      </c>
      <c r="P9" s="59">
        <f>IF(C9="","",IFERROR(INDEX('6. Base de Custos'!$P$8:$P$42,MATCH(C9,'6. Base de Custos'!$L$8:$L$42,0)),"Revisar"))</f>
        <v/>
      </c>
      <c r="Q9" s="59">
        <f>IF(C9="","",IFERROR(INDEX('6. Base de Custos'!$Q$8:$Q$42,MATCH(C9,'6. Base de Custos'!$L$8:$L$42,0)),""))</f>
        <v/>
      </c>
      <c r="R9" s="65" t="inlineStr">
        <is>
          <t>(-) Despesas com pessoal e equipe</t>
        </is>
      </c>
      <c r="S9" s="65" t="inlineStr">
        <is>
          <t>Despesa operacional</t>
        </is>
      </c>
      <c r="T9" s="65">
        <f>IF(C9="","",IF(R9="(-) Custos diretos dos serviços",IF(ISNUMBER(SEARCH("PCMSO",C9)),"PCMSO",IF(OR(ISNUMBER(SEARCH("SGS",C9)),ISNUMBER(SEARCH("CASTRO NAVES",C9))),"Projetos / Laudos / Avulsos","Projetos / Laudos / Avulsos")),"Rateio pela receita bruta"))</f>
        <v/>
      </c>
      <c r="U9" s="65">
        <f>IF(C9="","",IF(R9="(-) Custos diretos dos serviços","Direto por fornecedor/natureza do gasto","Rateio proporcional à receita bruta da linha de serviço"))</f>
        <v/>
      </c>
    </row>
    <row r="10">
      <c r="A10" s="28" t="inlineStr">
        <is>
          <t>CP-005</t>
        </is>
      </c>
      <c r="B10" s="27">
        <f>IF(F10="","",DATE(YEAR(F10),MONTH(F10),1))</f>
        <v/>
      </c>
      <c r="C10" s="28" t="inlineStr">
        <is>
          <t>GASOLINA - FERNANDA</t>
        </is>
      </c>
      <c r="D10" s="28" t="inlineStr">
        <is>
          <t>Despesa fixa</t>
        </is>
      </c>
      <c r="E10" s="59">
        <f>IF(C10="","",IFERROR(INDEX('6. Base de Custos'!$M$8:$M$42,MATCH(C10,'6. Base de Custos'!$L$8:$L$42,0)),"Não classificado"))</f>
        <v/>
      </c>
      <c r="F10" s="44" t="n">
        <v>46086</v>
      </c>
      <c r="G10" s="44" t="n">
        <v>46086</v>
      </c>
      <c r="H10" s="44" t="n">
        <v>46112</v>
      </c>
      <c r="I10" s="45" t="n">
        <v>250.8</v>
      </c>
      <c r="J10" s="28" t="inlineStr">
        <is>
          <t>Pago</t>
        </is>
      </c>
      <c r="K10" s="28" t="inlineStr">
        <is>
          <t>Fixo</t>
        </is>
      </c>
      <c r="L10" s="28" t="inlineStr">
        <is>
          <t>Origem: CP mar/2026. Data de pagamento não informada no PDF; alocada em 31/03 como proxy mensal.</t>
        </is>
      </c>
      <c r="M10" s="59">
        <f>IF(C10="","",IFERROR(INDEX('6. Base de Custos'!$N$8:$N$42,MATCH(C10,'6. Base de Custos'!$L$8:$L$42,0)),"Não classificado"))</f>
        <v/>
      </c>
      <c r="N10" s="59">
        <f>IF(C10="","",IFERROR(INDEX('6. Base de Custos'!$O$8:$O$42,MATCH(C10,'6. Base de Custos'!$L$8:$L$42,0)),"Revisar"))</f>
        <v/>
      </c>
      <c r="O10" s="60">
        <f>IF(M10="","",IFERROR(VLOOKUP(M10,'6. Base de Custos'!$H$12:$J$18,3,FALSE),0))</f>
        <v/>
      </c>
      <c r="P10" s="59">
        <f>IF(C10="","",IFERROR(INDEX('6. Base de Custos'!$P$8:$P$42,MATCH(C10,'6. Base de Custos'!$L$8:$L$42,0)),"Revisar"))</f>
        <v/>
      </c>
      <c r="Q10" s="59">
        <f>IF(C10="","",IFERROR(INDEX('6. Base de Custos'!$Q$8:$Q$42,MATCH(C10,'6. Base de Custos'!$L$8:$L$42,0)),""))</f>
        <v/>
      </c>
      <c r="R10" s="65" t="inlineStr">
        <is>
          <t>(-) Despesas comerciais e deslocamento</t>
        </is>
      </c>
      <c r="S10" s="65" t="inlineStr">
        <is>
          <t>Despesa operacional</t>
        </is>
      </c>
      <c r="T10" s="65">
        <f>IF(C10="","",IF(R10="(-) Custos diretos dos serviços",IF(ISNUMBER(SEARCH("PCMSO",C10)),"PCMSO",IF(OR(ISNUMBER(SEARCH("SGS",C10)),ISNUMBER(SEARCH("CASTRO NAVES",C10))),"Projetos / Laudos / Avulsos","Projetos / Laudos / Avulsos")),"Rateio pela receita bruta"))</f>
        <v/>
      </c>
      <c r="U10" s="65">
        <f>IF(C10="","",IF(R10="(-) Custos diretos dos serviços","Direto por fornecedor/natureza do gasto","Rateio proporcional à receita bruta da linha de serviço"))</f>
        <v/>
      </c>
    </row>
    <row r="11">
      <c r="A11" s="28" t="inlineStr">
        <is>
          <t>CP-006</t>
        </is>
      </c>
      <c r="B11" s="27">
        <f>IF(F11="","",DATE(YEAR(F11),MONTH(F11),1))</f>
        <v/>
      </c>
      <c r="C11" s="28" t="inlineStr">
        <is>
          <t>ENGENHEIRO KLEBER</t>
        </is>
      </c>
      <c r="D11" s="28" t="inlineStr">
        <is>
          <t>Despesa fixa</t>
        </is>
      </c>
      <c r="E11" s="59">
        <f>IF(C11="","",IFERROR(INDEX('6. Base de Custos'!$M$8:$M$42,MATCH(C11,'6. Base de Custos'!$L$8:$L$42,0)),"Não classificado"))</f>
        <v/>
      </c>
      <c r="F11" s="44" t="n">
        <v>46086</v>
      </c>
      <c r="G11" s="44" t="n">
        <v>46086</v>
      </c>
      <c r="H11" s="44" t="n">
        <v>46112</v>
      </c>
      <c r="I11" s="45" t="n">
        <v>4300</v>
      </c>
      <c r="J11" s="28" t="inlineStr">
        <is>
          <t>Pago</t>
        </is>
      </c>
      <c r="K11" s="28" t="inlineStr">
        <is>
          <t>Fixo</t>
        </is>
      </c>
      <c r="L11" s="28" t="inlineStr">
        <is>
          <t>Origem: CP mar/2026. Data de pagamento não informada no PDF; alocada em 31/03 como proxy mensal.</t>
        </is>
      </c>
      <c r="M11" s="59">
        <f>IF(C11="","",IFERROR(INDEX('6. Base de Custos'!$N$8:$N$42,MATCH(C11,'6. Base de Custos'!$L$8:$L$42,0)),"Não classificado"))</f>
        <v/>
      </c>
      <c r="N11" s="59">
        <f>IF(C11="","",IFERROR(INDEX('6. Base de Custos'!$O$8:$O$42,MATCH(C11,'6. Base de Custos'!$L$8:$L$42,0)),"Revisar"))</f>
        <v/>
      </c>
      <c r="O11" s="60">
        <f>IF(M11="","",IFERROR(VLOOKUP(M11,'6. Base de Custos'!$H$12:$J$18,3,FALSE),0))</f>
        <v/>
      </c>
      <c r="P11" s="59">
        <f>IF(C11="","",IFERROR(INDEX('6. Base de Custos'!$P$8:$P$42,MATCH(C11,'6. Base de Custos'!$L$8:$L$42,0)),"Revisar"))</f>
        <v/>
      </c>
      <c r="Q11" s="59">
        <f>IF(C11="","",IFERROR(INDEX('6. Base de Custos'!$Q$8:$Q$42,MATCH(C11,'6. Base de Custos'!$L$8:$L$42,0)),""))</f>
        <v/>
      </c>
      <c r="R11" s="65" t="inlineStr">
        <is>
          <t>(-) Despesas com pessoal e equipe</t>
        </is>
      </c>
      <c r="S11" s="65" t="inlineStr">
        <is>
          <t>Despesa operacional</t>
        </is>
      </c>
      <c r="T11" s="65">
        <f>IF(C11="","",IF(R11="(-) Custos diretos dos serviços",IF(ISNUMBER(SEARCH("PCMSO",C11)),"PCMSO",IF(OR(ISNUMBER(SEARCH("SGS",C11)),ISNUMBER(SEARCH("CASTRO NAVES",C11))),"Projetos / Laudos / Avulsos","Projetos / Laudos / Avulsos")),"Rateio pela receita bruta"))</f>
        <v/>
      </c>
      <c r="U11" s="65">
        <f>IF(C11="","",IF(R11="(-) Custos diretos dos serviços","Direto por fornecedor/natureza do gasto","Rateio proporcional à receita bruta da linha de serviço"))</f>
        <v/>
      </c>
    </row>
    <row r="12">
      <c r="A12" s="28" t="inlineStr">
        <is>
          <t>CP-007</t>
        </is>
      </c>
      <c r="B12" s="27">
        <f>IF(F12="","",DATE(YEAR(F12),MONTH(F12),1))</f>
        <v/>
      </c>
      <c r="C12" s="28" t="inlineStr">
        <is>
          <t>DMAE</t>
        </is>
      </c>
      <c r="D12" s="28" t="inlineStr">
        <is>
          <t>Despesa fixa</t>
        </is>
      </c>
      <c r="E12" s="59">
        <f>IF(C12="","",IFERROR(INDEX('6. Base de Custos'!$M$8:$M$42,MATCH(C12,'6. Base de Custos'!$L$8:$L$42,0)),"Não classificado"))</f>
        <v/>
      </c>
      <c r="F12" s="44" t="n">
        <v>46086</v>
      </c>
      <c r="G12" s="44" t="n">
        <v>46086</v>
      </c>
      <c r="H12" s="44" t="n">
        <v>46112</v>
      </c>
      <c r="I12" s="45" t="n">
        <v>157.04</v>
      </c>
      <c r="J12" s="28" t="inlineStr">
        <is>
          <t>Pago</t>
        </is>
      </c>
      <c r="K12" s="28" t="inlineStr">
        <is>
          <t>Fixo</t>
        </is>
      </c>
      <c r="L12" s="28" t="inlineStr">
        <is>
          <t>Origem: CP mar/2026. Data de pagamento não informada no PDF; alocada em 31/03 como proxy mensal.</t>
        </is>
      </c>
      <c r="M12" s="59">
        <f>IF(C12="","",IFERROR(INDEX('6. Base de Custos'!$N$8:$N$42,MATCH(C12,'6. Base de Custos'!$L$8:$L$42,0)),"Não classificado"))</f>
        <v/>
      </c>
      <c r="N12" s="59">
        <f>IF(C12="","",IFERROR(INDEX('6. Base de Custos'!$O$8:$O$42,MATCH(C12,'6. Base de Custos'!$L$8:$L$42,0)),"Revisar"))</f>
        <v/>
      </c>
      <c r="O12" s="60">
        <f>IF(M12="","",IFERROR(VLOOKUP(M12,'6. Base de Custos'!$H$12:$J$18,3,FALSE),0))</f>
        <v/>
      </c>
      <c r="P12" s="59">
        <f>IF(C12="","",IFERROR(INDEX('6. Base de Custos'!$P$8:$P$42,MATCH(C12,'6. Base de Custos'!$L$8:$L$42,0)),"Revisar"))</f>
        <v/>
      </c>
      <c r="Q12" s="59">
        <f>IF(C12="","",IFERROR(INDEX('6. Base de Custos'!$Q$8:$Q$42,MATCH(C12,'6. Base de Custos'!$L$8:$L$42,0)),""))</f>
        <v/>
      </c>
      <c r="R12" s="65" t="inlineStr">
        <is>
          <t>(-) Despesas operacionais e infraestrutura</t>
        </is>
      </c>
      <c r="S12" s="65" t="inlineStr">
        <is>
          <t>Despesa operacional</t>
        </is>
      </c>
      <c r="T12" s="65">
        <f>IF(C12="","",IF(R12="(-) Custos diretos dos serviços",IF(ISNUMBER(SEARCH("PCMSO",C12)),"PCMSO",IF(OR(ISNUMBER(SEARCH("SGS",C12)),ISNUMBER(SEARCH("CASTRO NAVES",C12))),"Projetos / Laudos / Avulsos","Projetos / Laudos / Avulsos")),"Rateio pela receita bruta"))</f>
        <v/>
      </c>
      <c r="U12" s="65">
        <f>IF(C12="","",IF(R12="(-) Custos diretos dos serviços","Direto por fornecedor/natureza do gasto","Rateio proporcional à receita bruta da linha de serviço"))</f>
        <v/>
      </c>
    </row>
    <row r="13">
      <c r="A13" s="28" t="inlineStr">
        <is>
          <t>CP-008</t>
        </is>
      </c>
      <c r="B13" s="27">
        <f>IF(F13="","",DATE(YEAR(F13),MONTH(F13),1))</f>
        <v/>
      </c>
      <c r="C13" s="28" t="inlineStr">
        <is>
          <t>MERCADO OPEN</t>
        </is>
      </c>
      <c r="D13" s="28" t="inlineStr">
        <is>
          <t>Despesa fixa</t>
        </is>
      </c>
      <c r="E13" s="59">
        <f>IF(C13="","",IFERROR(INDEX('6. Base de Custos'!$M$8:$M$42,MATCH(C13,'6. Base de Custos'!$L$8:$L$42,0)),"Não classificado"))</f>
        <v/>
      </c>
      <c r="F13" s="44" t="n">
        <v>46086</v>
      </c>
      <c r="G13" s="44" t="n">
        <v>46086</v>
      </c>
      <c r="H13" s="44" t="n">
        <v>46112</v>
      </c>
      <c r="I13" s="45" t="n">
        <v>404</v>
      </c>
      <c r="J13" s="28" t="inlineStr">
        <is>
          <t>Pago</t>
        </is>
      </c>
      <c r="K13" s="28" t="inlineStr">
        <is>
          <t>Fixo</t>
        </is>
      </c>
      <c r="L13" s="28" t="inlineStr">
        <is>
          <t>Origem: CP mar/2026. Data de pagamento não informada no PDF; alocada em 31/03 como proxy mensal.</t>
        </is>
      </c>
      <c r="M13" s="59">
        <f>IF(C13="","",IFERROR(INDEX('6. Base de Custos'!$N$8:$N$42,MATCH(C13,'6. Base de Custos'!$L$8:$L$42,0)),"Não classificado"))</f>
        <v/>
      </c>
      <c r="N13" s="59">
        <f>IF(C13="","",IFERROR(INDEX('6. Base de Custos'!$O$8:$O$42,MATCH(C13,'6. Base de Custos'!$L$8:$L$42,0)),"Revisar"))</f>
        <v/>
      </c>
      <c r="O13" s="60">
        <f>IF(M13="","",IFERROR(VLOOKUP(M13,'6. Base de Custos'!$H$12:$J$18,3,FALSE),0))</f>
        <v/>
      </c>
      <c r="P13" s="59">
        <f>IF(C13="","",IFERROR(INDEX('6. Base de Custos'!$P$8:$P$42,MATCH(C13,'6. Base de Custos'!$L$8:$L$42,0)),"Revisar"))</f>
        <v/>
      </c>
      <c r="Q13" s="59">
        <f>IF(C13="","",IFERROR(INDEX('6. Base de Custos'!$Q$8:$Q$42,MATCH(C13,'6. Base de Custos'!$L$8:$L$42,0)),""))</f>
        <v/>
      </c>
      <c r="R13" s="65" t="inlineStr">
        <is>
          <t>(-) Despesas operacionais e infraestrutura</t>
        </is>
      </c>
      <c r="S13" s="65" t="inlineStr">
        <is>
          <t>Despesa operacional</t>
        </is>
      </c>
      <c r="T13" s="65">
        <f>IF(C13="","",IF(R13="(-) Custos diretos dos serviços",IF(ISNUMBER(SEARCH("PCMSO",C13)),"PCMSO",IF(OR(ISNUMBER(SEARCH("SGS",C13)),ISNUMBER(SEARCH("CASTRO NAVES",C13))),"Projetos / Laudos / Avulsos","Projetos / Laudos / Avulsos")),"Rateio pela receita bruta"))</f>
        <v/>
      </c>
      <c r="U13" s="65">
        <f>IF(C13="","",IF(R13="(-) Custos diretos dos serviços","Direto por fornecedor/natureza do gasto","Rateio proporcional à receita bruta da linha de serviço"))</f>
        <v/>
      </c>
    </row>
    <row r="14">
      <c r="A14" s="28" t="inlineStr">
        <is>
          <t>CP-009</t>
        </is>
      </c>
      <c r="B14" s="27">
        <f>IF(F14="","",DATE(YEAR(F14),MONTH(F14),1))</f>
        <v/>
      </c>
      <c r="C14" s="28" t="inlineStr">
        <is>
          <t>CEMIG</t>
        </is>
      </c>
      <c r="D14" s="28" t="inlineStr">
        <is>
          <t>Despesa fixa</t>
        </is>
      </c>
      <c r="E14" s="59">
        <f>IF(C14="","",IFERROR(INDEX('6. Base de Custos'!$M$8:$M$42,MATCH(C14,'6. Base de Custos'!$L$8:$L$42,0)),"Não classificado"))</f>
        <v/>
      </c>
      <c r="F14" s="44" t="n">
        <v>46089</v>
      </c>
      <c r="G14" s="44" t="n">
        <v>46089</v>
      </c>
      <c r="H14" s="44" t="n">
        <v>46112</v>
      </c>
      <c r="I14" s="45" t="n">
        <v>56.27</v>
      </c>
      <c r="J14" s="28" t="inlineStr">
        <is>
          <t>Pago</t>
        </is>
      </c>
      <c r="K14" s="28" t="inlineStr">
        <is>
          <t>Fixo</t>
        </is>
      </c>
      <c r="L14" s="28" t="inlineStr">
        <is>
          <t>Origem: CP mar/2026. Data de pagamento não informada no PDF; alocada em 31/03 como proxy mensal.</t>
        </is>
      </c>
      <c r="M14" s="59">
        <f>IF(C14="","",IFERROR(INDEX('6. Base de Custos'!$N$8:$N$42,MATCH(C14,'6. Base de Custos'!$L$8:$L$42,0)),"Não classificado"))</f>
        <v/>
      </c>
      <c r="N14" s="59">
        <f>IF(C14="","",IFERROR(INDEX('6. Base de Custos'!$O$8:$O$42,MATCH(C14,'6. Base de Custos'!$L$8:$L$42,0)),"Revisar"))</f>
        <v/>
      </c>
      <c r="O14" s="60">
        <f>IF(M14="","",IFERROR(VLOOKUP(M14,'6. Base de Custos'!$H$12:$J$18,3,FALSE),0))</f>
        <v/>
      </c>
      <c r="P14" s="59">
        <f>IF(C14="","",IFERROR(INDEX('6. Base de Custos'!$P$8:$P$42,MATCH(C14,'6. Base de Custos'!$L$8:$L$42,0)),"Revisar"))</f>
        <v/>
      </c>
      <c r="Q14" s="59">
        <f>IF(C14="","",IFERROR(INDEX('6. Base de Custos'!$Q$8:$Q$42,MATCH(C14,'6. Base de Custos'!$L$8:$L$42,0)),""))</f>
        <v/>
      </c>
      <c r="R14" s="65" t="inlineStr">
        <is>
          <t>(-) Despesas operacionais e infraestrutura</t>
        </is>
      </c>
      <c r="S14" s="65" t="inlineStr">
        <is>
          <t>Despesa operacional</t>
        </is>
      </c>
      <c r="T14" s="65">
        <f>IF(C14="","",IF(R14="(-) Custos diretos dos serviços",IF(ISNUMBER(SEARCH("PCMSO",C14)),"PCMSO",IF(OR(ISNUMBER(SEARCH("SGS",C14)),ISNUMBER(SEARCH("CASTRO NAVES",C14))),"Projetos / Laudos / Avulsos","Projetos / Laudos / Avulsos")),"Rateio pela receita bruta"))</f>
        <v/>
      </c>
      <c r="U14" s="65">
        <f>IF(C14="","",IF(R14="(-) Custos diretos dos serviços","Direto por fornecedor/natureza do gasto","Rateio proporcional à receita bruta da linha de serviço"))</f>
        <v/>
      </c>
    </row>
    <row r="15">
      <c r="A15" s="28" t="inlineStr">
        <is>
          <t>CP-010</t>
        </is>
      </c>
      <c r="B15" s="27">
        <f>IF(F15="","",DATE(YEAR(F15),MONTH(F15),1))</f>
        <v/>
      </c>
      <c r="C15" s="28" t="inlineStr">
        <is>
          <t>CEMIG</t>
        </is>
      </c>
      <c r="D15" s="28" t="inlineStr">
        <is>
          <t>Despesa fixa</t>
        </is>
      </c>
      <c r="E15" s="59">
        <f>IF(C15="","",IFERROR(INDEX('6. Base de Custos'!$M$8:$M$42,MATCH(C15,'6. Base de Custos'!$L$8:$L$42,0)),"Não classificado"))</f>
        <v/>
      </c>
      <c r="F15" s="44" t="n">
        <v>46089</v>
      </c>
      <c r="G15" s="44" t="n">
        <v>46089</v>
      </c>
      <c r="H15" s="44" t="n">
        <v>46112</v>
      </c>
      <c r="I15" s="45" t="n">
        <v>165.32</v>
      </c>
      <c r="J15" s="28" t="inlineStr">
        <is>
          <t>Pago</t>
        </is>
      </c>
      <c r="K15" s="28" t="inlineStr">
        <is>
          <t>Fixo</t>
        </is>
      </c>
      <c r="L15" s="28" t="inlineStr">
        <is>
          <t>Origem: CP mar/2026. Data de pagamento não informada no PDF; alocada em 31/03 como proxy mensal.</t>
        </is>
      </c>
      <c r="M15" s="59">
        <f>IF(C15="","",IFERROR(INDEX('6. Base de Custos'!$N$8:$N$42,MATCH(C15,'6. Base de Custos'!$L$8:$L$42,0)),"Não classificado"))</f>
        <v/>
      </c>
      <c r="N15" s="59">
        <f>IF(C15="","",IFERROR(INDEX('6. Base de Custos'!$O$8:$O$42,MATCH(C15,'6. Base de Custos'!$L$8:$L$42,0)),"Revisar"))</f>
        <v/>
      </c>
      <c r="O15" s="60">
        <f>IF(M15="","",IFERROR(VLOOKUP(M15,'6. Base de Custos'!$H$12:$J$18,3,FALSE),0))</f>
        <v/>
      </c>
      <c r="P15" s="59">
        <f>IF(C15="","",IFERROR(INDEX('6. Base de Custos'!$P$8:$P$42,MATCH(C15,'6. Base de Custos'!$L$8:$L$42,0)),"Revisar"))</f>
        <v/>
      </c>
      <c r="Q15" s="59">
        <f>IF(C15="","",IFERROR(INDEX('6. Base de Custos'!$Q$8:$Q$42,MATCH(C15,'6. Base de Custos'!$L$8:$L$42,0)),""))</f>
        <v/>
      </c>
      <c r="R15" s="65" t="inlineStr">
        <is>
          <t>(-) Despesas operacionais e infraestrutura</t>
        </is>
      </c>
      <c r="S15" s="65" t="inlineStr">
        <is>
          <t>Despesa operacional</t>
        </is>
      </c>
      <c r="T15" s="65">
        <f>IF(C15="","",IF(R15="(-) Custos diretos dos serviços",IF(ISNUMBER(SEARCH("PCMSO",C15)),"PCMSO",IF(OR(ISNUMBER(SEARCH("SGS",C15)),ISNUMBER(SEARCH("CASTRO NAVES",C15))),"Projetos / Laudos / Avulsos","Projetos / Laudos / Avulsos")),"Rateio pela receita bruta"))</f>
        <v/>
      </c>
      <c r="U15" s="65">
        <f>IF(C15="","",IF(R15="(-) Custos diretos dos serviços","Direto por fornecedor/natureza do gasto","Rateio proporcional à receita bruta da linha de serviço"))</f>
        <v/>
      </c>
    </row>
    <row r="16">
      <c r="A16" s="28" t="inlineStr">
        <is>
          <t>CP-011</t>
        </is>
      </c>
      <c r="B16" s="27">
        <f>IF(F16="","",DATE(YEAR(F16),MONTH(F16),1))</f>
        <v/>
      </c>
      <c r="C16" s="28" t="inlineStr">
        <is>
          <t>CONTADORA</t>
        </is>
      </c>
      <c r="D16" s="28" t="inlineStr">
        <is>
          <t>Despesa fixa</t>
        </is>
      </c>
      <c r="E16" s="59">
        <f>IF(C16="","",IFERROR(INDEX('6. Base de Custos'!$M$8:$M$42,MATCH(C16,'6. Base de Custos'!$L$8:$L$42,0)),"Não classificado"))</f>
        <v/>
      </c>
      <c r="F16" s="44" t="n">
        <v>46091</v>
      </c>
      <c r="G16" s="44" t="n">
        <v>46091</v>
      </c>
      <c r="H16" s="44" t="n">
        <v>46112</v>
      </c>
      <c r="I16" s="45" t="n">
        <v>1621</v>
      </c>
      <c r="J16" s="28" t="inlineStr">
        <is>
          <t>Pago</t>
        </is>
      </c>
      <c r="K16" s="28" t="inlineStr">
        <is>
          <t>Fixo</t>
        </is>
      </c>
      <c r="L16" s="28" t="inlineStr">
        <is>
          <t>Origem: CP mar/2026. Data de pagamento não informada no PDF; alocada em 31/03 como proxy mensal.</t>
        </is>
      </c>
      <c r="M16" s="59">
        <f>IF(C16="","",IFERROR(INDEX('6. Base de Custos'!$N$8:$N$42,MATCH(C16,'6. Base de Custos'!$L$8:$L$42,0)),"Não classificado"))</f>
        <v/>
      </c>
      <c r="N16" s="59">
        <f>IF(C16="","",IFERROR(INDEX('6. Base de Custos'!$O$8:$O$42,MATCH(C16,'6. Base de Custos'!$L$8:$L$42,0)),"Revisar"))</f>
        <v/>
      </c>
      <c r="O16" s="60">
        <f>IF(M16="","",IFERROR(VLOOKUP(M16,'6. Base de Custos'!$H$12:$J$18,3,FALSE),0))</f>
        <v/>
      </c>
      <c r="P16" s="59">
        <f>IF(C16="","",IFERROR(INDEX('6. Base de Custos'!$P$8:$P$42,MATCH(C16,'6. Base de Custos'!$L$8:$L$42,0)),"Revisar"))</f>
        <v/>
      </c>
      <c r="Q16" s="59">
        <f>IF(C16="","",IFERROR(INDEX('6. Base de Custos'!$Q$8:$Q$42,MATCH(C16,'6. Base de Custos'!$L$8:$L$42,0)),""))</f>
        <v/>
      </c>
      <c r="R16" s="65" t="inlineStr">
        <is>
          <t>(-) Despesas com tecnologia e contábil</t>
        </is>
      </c>
      <c r="S16" s="65" t="inlineStr">
        <is>
          <t>Despesa operacional</t>
        </is>
      </c>
      <c r="T16" s="65">
        <f>IF(C16="","",IF(R16="(-) Custos diretos dos serviços",IF(ISNUMBER(SEARCH("PCMSO",C16)),"PCMSO",IF(OR(ISNUMBER(SEARCH("SGS",C16)),ISNUMBER(SEARCH("CASTRO NAVES",C16))),"Projetos / Laudos / Avulsos","Projetos / Laudos / Avulsos")),"Rateio pela receita bruta"))</f>
        <v/>
      </c>
      <c r="U16" s="65">
        <f>IF(C16="","",IF(R16="(-) Custos diretos dos serviços","Direto por fornecedor/natureza do gasto","Rateio proporcional à receita bruta da linha de serviço"))</f>
        <v/>
      </c>
    </row>
    <row r="17">
      <c r="A17" s="28" t="inlineStr">
        <is>
          <t>CP-012</t>
        </is>
      </c>
      <c r="B17" s="27">
        <f>IF(F17="","",DATE(YEAR(F17),MONTH(F17),1))</f>
        <v/>
      </c>
      <c r="C17" s="28" t="inlineStr">
        <is>
          <t>SISTEMA ESO</t>
        </is>
      </c>
      <c r="D17" s="28" t="inlineStr">
        <is>
          <t>Despesa fixa</t>
        </is>
      </c>
      <c r="E17" s="59">
        <f>IF(C17="","",IFERROR(INDEX('6. Base de Custos'!$M$8:$M$42,MATCH(C17,'6. Base de Custos'!$L$8:$L$42,0)),"Não classificado"))</f>
        <v/>
      </c>
      <c r="F17" s="44" t="n">
        <v>46091</v>
      </c>
      <c r="G17" s="44" t="n">
        <v>46091</v>
      </c>
      <c r="H17" s="44" t="n">
        <v>46112</v>
      </c>
      <c r="I17" s="45" t="n">
        <v>600</v>
      </c>
      <c r="J17" s="28" t="inlineStr">
        <is>
          <t>Pago</t>
        </is>
      </c>
      <c r="K17" s="28" t="inlineStr">
        <is>
          <t>Fixo</t>
        </is>
      </c>
      <c r="L17" s="28" t="inlineStr">
        <is>
          <t>Origem: CP mar/2026. Data de pagamento não informada no PDF; alocada em 31/03 como proxy mensal.</t>
        </is>
      </c>
      <c r="M17" s="59">
        <f>IF(C17="","",IFERROR(INDEX('6. Base de Custos'!$N$8:$N$42,MATCH(C17,'6. Base de Custos'!$L$8:$L$42,0)),"Não classificado"))</f>
        <v/>
      </c>
      <c r="N17" s="59">
        <f>IF(C17="","",IFERROR(INDEX('6. Base de Custos'!$O$8:$O$42,MATCH(C17,'6. Base de Custos'!$L$8:$L$42,0)),"Revisar"))</f>
        <v/>
      </c>
      <c r="O17" s="60">
        <f>IF(M17="","",IFERROR(VLOOKUP(M17,'6. Base de Custos'!$H$12:$J$18,3,FALSE),0))</f>
        <v/>
      </c>
      <c r="P17" s="59">
        <f>IF(C17="","",IFERROR(INDEX('6. Base de Custos'!$P$8:$P$42,MATCH(C17,'6. Base de Custos'!$L$8:$L$42,0)),"Revisar"))</f>
        <v/>
      </c>
      <c r="Q17" s="59">
        <f>IF(C17="","",IFERROR(INDEX('6. Base de Custos'!$Q$8:$Q$42,MATCH(C17,'6. Base de Custos'!$L$8:$L$42,0)),""))</f>
        <v/>
      </c>
      <c r="R17" s="65" t="inlineStr">
        <is>
          <t>(-) Despesas com tecnologia e contábil</t>
        </is>
      </c>
      <c r="S17" s="65" t="inlineStr">
        <is>
          <t>Despesa operacional</t>
        </is>
      </c>
      <c r="T17" s="65">
        <f>IF(C17="","",IF(R17="(-) Custos diretos dos serviços",IF(ISNUMBER(SEARCH("PCMSO",C17)),"PCMSO",IF(OR(ISNUMBER(SEARCH("SGS",C17)),ISNUMBER(SEARCH("CASTRO NAVES",C17))),"Projetos / Laudos / Avulsos","Projetos / Laudos / Avulsos")),"Rateio pela receita bruta"))</f>
        <v/>
      </c>
      <c r="U17" s="65">
        <f>IF(C17="","",IF(R17="(-) Custos diretos dos serviços","Direto por fornecedor/natureza do gasto","Rateio proporcional à receita bruta da linha de serviço"))</f>
        <v/>
      </c>
    </row>
    <row r="18">
      <c r="A18" s="28" t="inlineStr">
        <is>
          <t>CP-013</t>
        </is>
      </c>
      <c r="B18" s="27">
        <f>IF(F18="","",DATE(YEAR(F18),MONTH(F18),1))</f>
        <v/>
      </c>
      <c r="C18" s="28" t="inlineStr">
        <is>
          <t>PANIFICADORA</t>
        </is>
      </c>
      <c r="D18" s="28" t="inlineStr">
        <is>
          <t>Despesa fixa</t>
        </is>
      </c>
      <c r="E18" s="59">
        <f>IF(C18="","",IFERROR(INDEX('6. Base de Custos'!$M$8:$M$42,MATCH(C18,'6. Base de Custos'!$L$8:$L$42,0)),"Não classificado"))</f>
        <v/>
      </c>
      <c r="F18" s="44" t="n">
        <v>46091</v>
      </c>
      <c r="G18" s="44" t="n">
        <v>46091</v>
      </c>
      <c r="H18" s="44" t="n">
        <v>46112</v>
      </c>
      <c r="I18" s="45" t="n">
        <v>0</v>
      </c>
      <c r="J18" s="28" t="inlineStr">
        <is>
          <t>Pago</t>
        </is>
      </c>
      <c r="K18" s="28" t="inlineStr">
        <is>
          <t>Fixo</t>
        </is>
      </c>
      <c r="L18" s="28" t="inlineStr">
        <is>
          <t>Origem: CP mar/2026. Data de pagamento não informada no PDF; alocada em 31/03 como proxy mensal. valor não informado no PDF</t>
        </is>
      </c>
      <c r="M18" s="59">
        <f>IF(C18="","",IFERROR(INDEX('6. Base de Custos'!$N$8:$N$42,MATCH(C18,'6. Base de Custos'!$L$8:$L$42,0)),"Não classificado"))</f>
        <v/>
      </c>
      <c r="N18" s="59">
        <f>IF(C18="","",IFERROR(INDEX('6. Base de Custos'!$O$8:$O$42,MATCH(C18,'6. Base de Custos'!$L$8:$L$42,0)),"Revisar"))</f>
        <v/>
      </c>
      <c r="O18" s="60">
        <f>IF(M18="","",IFERROR(VLOOKUP(M18,'6. Base de Custos'!$H$12:$J$18,3,FALSE),0))</f>
        <v/>
      </c>
      <c r="P18" s="59">
        <f>IF(C18="","",IFERROR(INDEX('6. Base de Custos'!$P$8:$P$42,MATCH(C18,'6. Base de Custos'!$L$8:$L$42,0)),"Revisar"))</f>
        <v/>
      </c>
      <c r="Q18" s="59">
        <f>IF(C18="","",IFERROR(INDEX('6. Base de Custos'!$Q$8:$Q$42,MATCH(C18,'6. Base de Custos'!$L$8:$L$42,0)),""))</f>
        <v/>
      </c>
      <c r="R18" s="65" t="inlineStr">
        <is>
          <t>(-) Despesas operacionais e infraestrutura</t>
        </is>
      </c>
      <c r="S18" s="65" t="inlineStr">
        <is>
          <t>Despesa operacional</t>
        </is>
      </c>
      <c r="T18" s="65">
        <f>IF(C18="","",IF(R18="(-) Custos diretos dos serviços",IF(ISNUMBER(SEARCH("PCMSO",C18)),"PCMSO",IF(OR(ISNUMBER(SEARCH("SGS",C18)),ISNUMBER(SEARCH("CASTRO NAVES",C18))),"Projetos / Laudos / Avulsos","Projetos / Laudos / Avulsos")),"Rateio pela receita bruta"))</f>
        <v/>
      </c>
      <c r="U18" s="65">
        <f>IF(C18="","",IF(R18="(-) Custos diretos dos serviços","Direto por fornecedor/natureza do gasto","Rateio proporcional à receita bruta da linha de serviço"))</f>
        <v/>
      </c>
    </row>
    <row r="19">
      <c r="A19" s="28" t="inlineStr">
        <is>
          <t>CP-014</t>
        </is>
      </c>
      <c r="B19" s="27">
        <f>IF(F19="","",DATE(YEAR(F19),MONTH(F19),1))</f>
        <v/>
      </c>
      <c r="C19" s="28" t="inlineStr">
        <is>
          <t>CARTÃO MASTER</t>
        </is>
      </c>
      <c r="D19" s="28" t="inlineStr">
        <is>
          <t>Despesa fixa</t>
        </is>
      </c>
      <c r="E19" s="59">
        <f>IF(C19="","",IFERROR(INDEX('6. Base de Custos'!$M$8:$M$42,MATCH(C19,'6. Base de Custos'!$L$8:$L$42,0)),"Não classificado"))</f>
        <v/>
      </c>
      <c r="F19" s="44" t="n">
        <v>46092</v>
      </c>
      <c r="G19" s="44" t="n">
        <v>46092</v>
      </c>
      <c r="H19" s="44" t="n">
        <v>46112</v>
      </c>
      <c r="I19" s="45" t="n">
        <v>2683.72</v>
      </c>
      <c r="J19" s="28" t="inlineStr">
        <is>
          <t>Pago</t>
        </is>
      </c>
      <c r="K19" s="28" t="inlineStr">
        <is>
          <t>Fixo</t>
        </is>
      </c>
      <c r="L19" s="28" t="inlineStr">
        <is>
          <t>Origem: CP mar/2026. Data de pagamento não informada no PDF; alocada em 31/03 como proxy mensal.</t>
        </is>
      </c>
      <c r="M19" s="59">
        <f>IF(C19="","",IFERROR(INDEX('6. Base de Custos'!$N$8:$N$42,MATCH(C19,'6. Base de Custos'!$L$8:$L$42,0)),"Não classificado"))</f>
        <v/>
      </c>
      <c r="N19" s="59">
        <f>IF(C19="","",IFERROR(INDEX('6. Base de Custos'!$O$8:$O$42,MATCH(C19,'6. Base de Custos'!$L$8:$L$42,0)),"Revisar"))</f>
        <v/>
      </c>
      <c r="O19" s="60">
        <f>IF(M19="","",IFERROR(VLOOKUP(M19,'6. Base de Custos'!$H$12:$J$18,3,FALSE),0))</f>
        <v/>
      </c>
      <c r="P19" s="59">
        <f>IF(C19="","",IFERROR(INDEX('6. Base de Custos'!$P$8:$P$42,MATCH(C19,'6. Base de Custos'!$L$8:$L$42,0)),"Revisar"))</f>
        <v/>
      </c>
      <c r="Q19" s="59">
        <f>IF(C19="","",IFERROR(INDEX('6. Base de Custos'!$Q$8:$Q$42,MATCH(C19,'6. Base de Custos'!$L$8:$L$42,0)),""))</f>
        <v/>
      </c>
      <c r="R19" s="65" t="inlineStr">
        <is>
          <t>(-) Resultado financeiro e despesas gerais</t>
        </is>
      </c>
      <c r="S19" s="65" t="inlineStr">
        <is>
          <t>Abaixo do EBITDA</t>
        </is>
      </c>
      <c r="T19" s="65">
        <f>IF(C19="","",IF(R19="(-) Custos diretos dos serviços",IF(ISNUMBER(SEARCH("PCMSO",C19)),"PCMSO",IF(OR(ISNUMBER(SEARCH("SGS",C19)),ISNUMBER(SEARCH("CASTRO NAVES",C19))),"Projetos / Laudos / Avulsos","Projetos / Laudos / Avulsos")),"Rateio pela receita bruta"))</f>
        <v/>
      </c>
      <c r="U19" s="65">
        <f>IF(C19="","",IF(R19="(-) Custos diretos dos serviços","Direto por fornecedor/natureza do gasto","Rateio proporcional à receita bruta da linha de serviço"))</f>
        <v/>
      </c>
    </row>
    <row r="20">
      <c r="A20" s="28" t="inlineStr">
        <is>
          <t>CP-015</t>
        </is>
      </c>
      <c r="B20" s="27">
        <f>IF(F20="","",DATE(YEAR(F20),MONTH(F20),1))</f>
        <v/>
      </c>
      <c r="C20" s="28" t="inlineStr">
        <is>
          <t>RONALDO</t>
        </is>
      </c>
      <c r="D20" s="28" t="inlineStr">
        <is>
          <t>Despesa fixa</t>
        </is>
      </c>
      <c r="E20" s="59">
        <f>IF(C20="","",IFERROR(INDEX('6. Base de Custos'!$M$8:$M$42,MATCH(C20,'6. Base de Custos'!$L$8:$L$42,0)),"Não classificado"))</f>
        <v/>
      </c>
      <c r="F20" s="44" t="n">
        <v>46101</v>
      </c>
      <c r="G20" s="44" t="n">
        <v>46101</v>
      </c>
      <c r="H20" s="44" t="n">
        <v>46112</v>
      </c>
      <c r="I20" s="45" t="n">
        <v>5000</v>
      </c>
      <c r="J20" s="28" t="inlineStr">
        <is>
          <t>Pago</t>
        </is>
      </c>
      <c r="K20" s="28" t="inlineStr">
        <is>
          <t>Fixo</t>
        </is>
      </c>
      <c r="L20" s="28" t="inlineStr">
        <is>
          <t>Origem: CP mar/2026. Data de pagamento não informada no PDF; alocada em 31/03 como proxy mensal.</t>
        </is>
      </c>
      <c r="M20" s="59">
        <f>IF(C20="","",IFERROR(INDEX('6. Base de Custos'!$N$8:$N$42,MATCH(C20,'6. Base de Custos'!$L$8:$L$42,0)),"Não classificado"))</f>
        <v/>
      </c>
      <c r="N20" s="59">
        <f>IF(C20="","",IFERROR(INDEX('6. Base de Custos'!$O$8:$O$42,MATCH(C20,'6. Base de Custos'!$L$8:$L$42,0)),"Revisar"))</f>
        <v/>
      </c>
      <c r="O20" s="60">
        <f>IF(M20="","",IFERROR(VLOOKUP(M20,'6. Base de Custos'!$H$12:$J$18,3,FALSE),0))</f>
        <v/>
      </c>
      <c r="P20" s="59">
        <f>IF(C20="","",IFERROR(INDEX('6. Base de Custos'!$P$8:$P$42,MATCH(C20,'6. Base de Custos'!$L$8:$L$42,0)),"Revisar"))</f>
        <v/>
      </c>
      <c r="Q20" s="59">
        <f>IF(C20="","",IFERROR(INDEX('6. Base de Custos'!$Q$8:$Q$42,MATCH(C20,'6. Base de Custos'!$L$8:$L$42,0)),""))</f>
        <v/>
      </c>
      <c r="R20" s="65" t="inlineStr">
        <is>
          <t>(-) Despesas com pessoal e equipe</t>
        </is>
      </c>
      <c r="S20" s="65" t="inlineStr">
        <is>
          <t>Despesa operacional</t>
        </is>
      </c>
      <c r="T20" s="65">
        <f>IF(C20="","",IF(R20="(-) Custos diretos dos serviços",IF(ISNUMBER(SEARCH("PCMSO",C20)),"PCMSO",IF(OR(ISNUMBER(SEARCH("SGS",C20)),ISNUMBER(SEARCH("CASTRO NAVES",C20))),"Projetos / Laudos / Avulsos","Projetos / Laudos / Avulsos")),"Rateio pela receita bruta"))</f>
        <v/>
      </c>
      <c r="U20" s="65">
        <f>IF(C20="","",IF(R20="(-) Custos diretos dos serviços","Direto por fornecedor/natureza do gasto","Rateio proporcional à receita bruta da linha de serviço"))</f>
        <v/>
      </c>
    </row>
    <row r="21">
      <c r="A21" s="28" t="inlineStr">
        <is>
          <t>CP-016</t>
        </is>
      </c>
      <c r="B21" s="27">
        <f>IF(F21="","",DATE(YEAR(F21),MONTH(F21),1))</f>
        <v/>
      </c>
      <c r="C21" s="28" t="inlineStr">
        <is>
          <t>ELIANE</t>
        </is>
      </c>
      <c r="D21" s="28" t="inlineStr">
        <is>
          <t>Despesa fixa</t>
        </is>
      </c>
      <c r="E21" s="59">
        <f>IF(C21="","",IFERROR(INDEX('6. Base de Custos'!$M$8:$M$42,MATCH(C21,'6. Base de Custos'!$L$8:$L$42,0)),"Não classificado"))</f>
        <v/>
      </c>
      <c r="F21" s="44" t="n">
        <v>46104</v>
      </c>
      <c r="G21" s="44" t="n">
        <v>46104</v>
      </c>
      <c r="H21" s="44" t="n">
        <v>46112</v>
      </c>
      <c r="I21" s="45" t="n">
        <v>1442.39</v>
      </c>
      <c r="J21" s="28" t="inlineStr">
        <is>
          <t>Pago</t>
        </is>
      </c>
      <c r="K21" s="28" t="inlineStr">
        <is>
          <t>Fixo</t>
        </is>
      </c>
      <c r="L21" s="28" t="inlineStr">
        <is>
          <t>Origem: CP mar/2026. Data de pagamento não informada no PDF; alocada em 31/03 como proxy mensal.</t>
        </is>
      </c>
      <c r="M21" s="59">
        <f>IF(C21="","",IFERROR(INDEX('6. Base de Custos'!$N$8:$N$42,MATCH(C21,'6. Base de Custos'!$L$8:$L$42,0)),"Não classificado"))</f>
        <v/>
      </c>
      <c r="N21" s="59">
        <f>IF(C21="","",IFERROR(INDEX('6. Base de Custos'!$O$8:$O$42,MATCH(C21,'6. Base de Custos'!$L$8:$L$42,0)),"Revisar"))</f>
        <v/>
      </c>
      <c r="O21" s="60">
        <f>IF(M21="","",IFERROR(VLOOKUP(M21,'6. Base de Custos'!$H$12:$J$18,3,FALSE),0))</f>
        <v/>
      </c>
      <c r="P21" s="59">
        <f>IF(C21="","",IFERROR(INDEX('6. Base de Custos'!$P$8:$P$42,MATCH(C21,'6. Base de Custos'!$L$8:$L$42,0)),"Revisar"))</f>
        <v/>
      </c>
      <c r="Q21" s="59">
        <f>IF(C21="","",IFERROR(INDEX('6. Base de Custos'!$Q$8:$Q$42,MATCH(C21,'6. Base de Custos'!$L$8:$L$42,0)),""))</f>
        <v/>
      </c>
      <c r="R21" s="65" t="inlineStr">
        <is>
          <t>(-) Despesas com pessoal e equipe</t>
        </is>
      </c>
      <c r="S21" s="65" t="inlineStr">
        <is>
          <t>Despesa operacional</t>
        </is>
      </c>
      <c r="T21" s="65">
        <f>IF(C21="","",IF(R21="(-) Custos diretos dos serviços",IF(ISNUMBER(SEARCH("PCMSO",C21)),"PCMSO",IF(OR(ISNUMBER(SEARCH("SGS",C21)),ISNUMBER(SEARCH("CASTRO NAVES",C21))),"Projetos / Laudos / Avulsos","Projetos / Laudos / Avulsos")),"Rateio pela receita bruta"))</f>
        <v/>
      </c>
      <c r="U21" s="65">
        <f>IF(C21="","",IF(R21="(-) Custos diretos dos serviços","Direto por fornecedor/natureza do gasto","Rateio proporcional à receita bruta da linha de serviço"))</f>
        <v/>
      </c>
    </row>
    <row r="22">
      <c r="A22" s="28" t="inlineStr">
        <is>
          <t>CP-017</t>
        </is>
      </c>
      <c r="B22" s="27">
        <f>IF(F22="","",DATE(YEAR(F22),MONTH(F22),1))</f>
        <v/>
      </c>
      <c r="C22" s="28" t="inlineStr">
        <is>
          <t>CORREIO</t>
        </is>
      </c>
      <c r="D22" s="28" t="inlineStr">
        <is>
          <t>Despesa fixa</t>
        </is>
      </c>
      <c r="E22" s="59">
        <f>IF(C22="","",IFERROR(INDEX('6. Base de Custos'!$M$8:$M$42,MATCH(C22,'6. Base de Custos'!$L$8:$L$42,0)),"Não classificado"))</f>
        <v/>
      </c>
      <c r="F22" s="44" t="n">
        <v>46104</v>
      </c>
      <c r="G22" s="44" t="n">
        <v>46104</v>
      </c>
      <c r="H22" s="44" t="n">
        <v>46112</v>
      </c>
      <c r="I22" s="45" t="n">
        <v>0</v>
      </c>
      <c r="J22" s="28" t="inlineStr">
        <is>
          <t>Pago</t>
        </is>
      </c>
      <c r="K22" s="28" t="inlineStr">
        <is>
          <t>Fixo</t>
        </is>
      </c>
      <c r="L22" s="28" t="inlineStr">
        <is>
          <t>Origem: CP mar/2026. Data de pagamento não informada no PDF; alocada em 31/03 como proxy mensal. valor não informado no PDF</t>
        </is>
      </c>
      <c r="M22" s="59">
        <f>IF(C22="","",IFERROR(INDEX('6. Base de Custos'!$N$8:$N$42,MATCH(C22,'6. Base de Custos'!$L$8:$L$42,0)),"Não classificado"))</f>
        <v/>
      </c>
      <c r="N22" s="59">
        <f>IF(C22="","",IFERROR(INDEX('6. Base de Custos'!$O$8:$O$42,MATCH(C22,'6. Base de Custos'!$L$8:$L$42,0)),"Revisar"))</f>
        <v/>
      </c>
      <c r="O22" s="60">
        <f>IF(M22="","",IFERROR(VLOOKUP(M22,'6. Base de Custos'!$H$12:$J$18,3,FALSE),0))</f>
        <v/>
      </c>
      <c r="P22" s="59">
        <f>IF(C22="","",IFERROR(INDEX('6. Base de Custos'!$P$8:$P$42,MATCH(C22,'6. Base de Custos'!$L$8:$L$42,0)),"Revisar"))</f>
        <v/>
      </c>
      <c r="Q22" s="59">
        <f>IF(C22="","",IFERROR(INDEX('6. Base de Custos'!$Q$8:$Q$42,MATCH(C22,'6. Base de Custos'!$L$8:$L$42,0)),""))</f>
        <v/>
      </c>
      <c r="R22" s="65" t="inlineStr">
        <is>
          <t>(-) Despesas operacionais e infraestrutura</t>
        </is>
      </c>
      <c r="S22" s="65" t="inlineStr">
        <is>
          <t>Despesa operacional</t>
        </is>
      </c>
      <c r="T22" s="65">
        <f>IF(C22="","",IF(R22="(-) Custos diretos dos serviços",IF(ISNUMBER(SEARCH("PCMSO",C22)),"PCMSO",IF(OR(ISNUMBER(SEARCH("SGS",C22)),ISNUMBER(SEARCH("CASTRO NAVES",C22))),"Projetos / Laudos / Avulsos","Projetos / Laudos / Avulsos")),"Rateio pela receita bruta"))</f>
        <v/>
      </c>
      <c r="U22" s="65">
        <f>IF(C22="","",IF(R22="(-) Custos diretos dos serviços","Direto por fornecedor/natureza do gasto","Rateio proporcional à receita bruta da linha de serviço"))</f>
        <v/>
      </c>
    </row>
    <row r="23">
      <c r="A23" s="28" t="inlineStr">
        <is>
          <t>CP-018</t>
        </is>
      </c>
      <c r="B23" s="27">
        <f>IF(F23="","",DATE(YEAR(F23),MONTH(F23),1))</f>
        <v/>
      </c>
      <c r="C23" s="28" t="inlineStr">
        <is>
          <t>ARTE FINAL - ALARMES</t>
        </is>
      </c>
      <c r="D23" s="28" t="inlineStr">
        <is>
          <t>Despesa fixa</t>
        </is>
      </c>
      <c r="E23" s="59">
        <f>IF(C23="","",IFERROR(INDEX('6. Base de Custos'!$M$8:$M$42,MATCH(C23,'6. Base de Custos'!$L$8:$L$42,0)),"Não classificado"))</f>
        <v/>
      </c>
      <c r="F23" s="44" t="n">
        <v>46096</v>
      </c>
      <c r="G23" s="44" t="n">
        <v>46096</v>
      </c>
      <c r="H23" s="44" t="n">
        <v>46112</v>
      </c>
      <c r="I23" s="45" t="n">
        <v>222</v>
      </c>
      <c r="J23" s="28" t="inlineStr">
        <is>
          <t>Pago</t>
        </is>
      </c>
      <c r="K23" s="28" t="inlineStr">
        <is>
          <t>Fixo</t>
        </is>
      </c>
      <c r="L23" s="28" t="inlineStr">
        <is>
          <t>Origem: CP mar/2026. Data de pagamento não informada no PDF; alocada em 31/03 como proxy mensal.</t>
        </is>
      </c>
      <c r="M23" s="59">
        <f>IF(C23="","",IFERROR(INDEX('6. Base de Custos'!$N$8:$N$42,MATCH(C23,'6. Base de Custos'!$L$8:$L$42,0)),"Não classificado"))</f>
        <v/>
      </c>
      <c r="N23" s="59">
        <f>IF(C23="","",IFERROR(INDEX('6. Base de Custos'!$O$8:$O$42,MATCH(C23,'6. Base de Custos'!$L$8:$L$42,0)),"Revisar"))</f>
        <v/>
      </c>
      <c r="O23" s="60">
        <f>IF(M23="","",IFERROR(VLOOKUP(M23,'6. Base de Custos'!$H$12:$J$18,3,FALSE),0))</f>
        <v/>
      </c>
      <c r="P23" s="59">
        <f>IF(C23="","",IFERROR(INDEX('6. Base de Custos'!$P$8:$P$42,MATCH(C23,'6. Base de Custos'!$L$8:$L$42,0)),"Revisar"))</f>
        <v/>
      </c>
      <c r="Q23" s="59">
        <f>IF(C23="","",IFERROR(INDEX('6. Base de Custos'!$Q$8:$Q$42,MATCH(C23,'6. Base de Custos'!$L$8:$L$42,0)),""))</f>
        <v/>
      </c>
      <c r="R23" s="65" t="inlineStr">
        <is>
          <t>(-) Despesas operacionais e infraestrutura</t>
        </is>
      </c>
      <c r="S23" s="65" t="inlineStr">
        <is>
          <t>Despesa operacional</t>
        </is>
      </c>
      <c r="T23" s="65">
        <f>IF(C23="","",IF(R23="(-) Custos diretos dos serviços",IF(ISNUMBER(SEARCH("PCMSO",C23)),"PCMSO",IF(OR(ISNUMBER(SEARCH("SGS",C23)),ISNUMBER(SEARCH("CASTRO NAVES",C23))),"Projetos / Laudos / Avulsos","Projetos / Laudos / Avulsos")),"Rateio pela receita bruta"))</f>
        <v/>
      </c>
      <c r="U23" s="65">
        <f>IF(C23="","",IF(R23="(-) Custos diretos dos serviços","Direto por fornecedor/natureza do gasto","Rateio proporcional à receita bruta da linha de serviço"))</f>
        <v/>
      </c>
    </row>
    <row r="24">
      <c r="A24" s="28" t="inlineStr">
        <is>
          <t>CP-019</t>
        </is>
      </c>
      <c r="B24" s="27">
        <f>IF(F24="","",DATE(YEAR(F24),MONTH(F24),1))</f>
        <v/>
      </c>
      <c r="C24" s="28" t="inlineStr">
        <is>
          <t>SEGURO DE VIDA / ESCRITÓRIO</t>
        </is>
      </c>
      <c r="D24" s="28" t="inlineStr">
        <is>
          <t>Despesa fixa</t>
        </is>
      </c>
      <c r="E24" s="59">
        <f>IF(C24="","",IFERROR(INDEX('6. Base de Custos'!$M$8:$M$42,MATCH(C24,'6. Base de Custos'!$L$8:$L$42,0)),"Não classificado"))</f>
        <v/>
      </c>
      <c r="F24" s="44" t="n">
        <v>46096</v>
      </c>
      <c r="G24" s="44" t="n">
        <v>46096</v>
      </c>
      <c r="H24" s="44" t="n">
        <v>46112</v>
      </c>
      <c r="I24" s="45" t="n">
        <v>97.48999999999999</v>
      </c>
      <c r="J24" s="28" t="inlineStr">
        <is>
          <t>Pago</t>
        </is>
      </c>
      <c r="K24" s="28" t="inlineStr">
        <is>
          <t>Fixo</t>
        </is>
      </c>
      <c r="L24" s="28" t="inlineStr">
        <is>
          <t>Origem: CP mar/2026. Data de pagamento não informada no PDF; alocada em 31/03 como proxy mensal.</t>
        </is>
      </c>
      <c r="M24" s="59">
        <f>IF(C24="","",IFERROR(INDEX('6. Base de Custos'!$N$8:$N$42,MATCH(C24,'6. Base de Custos'!$L$8:$L$42,0)),"Não classificado"))</f>
        <v/>
      </c>
      <c r="N24" s="59">
        <f>IF(C24="","",IFERROR(INDEX('6. Base de Custos'!$O$8:$O$42,MATCH(C24,'6. Base de Custos'!$L$8:$L$42,0)),"Revisar"))</f>
        <v/>
      </c>
      <c r="O24" s="60">
        <f>IF(M24="","",IFERROR(VLOOKUP(M24,'6. Base de Custos'!$H$12:$J$18,3,FALSE),0))</f>
        <v/>
      </c>
      <c r="P24" s="59">
        <f>IF(C24="","",IFERROR(INDEX('6. Base de Custos'!$P$8:$P$42,MATCH(C24,'6. Base de Custos'!$L$8:$L$42,0)),"Revisar"))</f>
        <v/>
      </c>
      <c r="Q24" s="59">
        <f>IF(C24="","",IFERROR(INDEX('6. Base de Custos'!$Q$8:$Q$42,MATCH(C24,'6. Base de Custos'!$L$8:$L$42,0)),""))</f>
        <v/>
      </c>
      <c r="R24" s="65" t="inlineStr">
        <is>
          <t>(-) Despesas operacionais e infraestrutura</t>
        </is>
      </c>
      <c r="S24" s="65" t="inlineStr">
        <is>
          <t>Despesa operacional</t>
        </is>
      </c>
      <c r="T24" s="65">
        <f>IF(C24="","",IF(R24="(-) Custos diretos dos serviços",IF(ISNUMBER(SEARCH("PCMSO",C24)),"PCMSO",IF(OR(ISNUMBER(SEARCH("SGS",C24)),ISNUMBER(SEARCH("CASTRO NAVES",C24))),"Projetos / Laudos / Avulsos","Projetos / Laudos / Avulsos")),"Rateio pela receita bruta"))</f>
        <v/>
      </c>
      <c r="U24" s="65">
        <f>IF(C24="","",IF(R24="(-) Custos diretos dos serviços","Direto por fornecedor/natureza do gasto","Rateio proporcional à receita bruta da linha de serviço"))</f>
        <v/>
      </c>
    </row>
    <row r="25">
      <c r="A25" s="28" t="inlineStr">
        <is>
          <t>CP-020</t>
        </is>
      </c>
      <c r="B25" s="27">
        <f>IF(F25="","",DATE(YEAR(F25),MONTH(F25),1))</f>
        <v/>
      </c>
      <c r="C25" s="28" t="inlineStr">
        <is>
          <t>TELEFONE - FIXO</t>
        </is>
      </c>
      <c r="D25" s="28" t="inlineStr">
        <is>
          <t>Despesa fixa</t>
        </is>
      </c>
      <c r="E25" s="59">
        <f>IF(C25="","",IFERROR(INDEX('6. Base de Custos'!$M$8:$M$42,MATCH(C25,'6. Base de Custos'!$L$8:$L$42,0)),"Não classificado"))</f>
        <v/>
      </c>
      <c r="F25" s="44" t="n">
        <v>46097</v>
      </c>
      <c r="G25" s="44" t="n">
        <v>46097</v>
      </c>
      <c r="H25" s="44" t="n">
        <v>46112</v>
      </c>
      <c r="I25" s="45" t="n">
        <v>404</v>
      </c>
      <c r="J25" s="28" t="inlineStr">
        <is>
          <t>Pago</t>
        </is>
      </c>
      <c r="K25" s="28" t="inlineStr">
        <is>
          <t>Fixo</t>
        </is>
      </c>
      <c r="L25" s="28" t="inlineStr">
        <is>
          <t>Origem: CP mar/2026. Data de pagamento não informada no PDF; alocada em 31/03 como proxy mensal.</t>
        </is>
      </c>
      <c r="M25" s="59">
        <f>IF(C25="","",IFERROR(INDEX('6. Base de Custos'!$N$8:$N$42,MATCH(C25,'6. Base de Custos'!$L$8:$L$42,0)),"Não classificado"))</f>
        <v/>
      </c>
      <c r="N25" s="59">
        <f>IF(C25="","",IFERROR(INDEX('6. Base de Custos'!$O$8:$O$42,MATCH(C25,'6. Base de Custos'!$L$8:$L$42,0)),"Revisar"))</f>
        <v/>
      </c>
      <c r="O25" s="60">
        <f>IF(M25="","",IFERROR(VLOOKUP(M25,'6. Base de Custos'!$H$12:$J$18,3,FALSE),0))</f>
        <v/>
      </c>
      <c r="P25" s="59">
        <f>IF(C25="","",IFERROR(INDEX('6. Base de Custos'!$P$8:$P$42,MATCH(C25,'6. Base de Custos'!$L$8:$L$42,0)),"Revisar"))</f>
        <v/>
      </c>
      <c r="Q25" s="59">
        <f>IF(C25="","",IFERROR(INDEX('6. Base de Custos'!$Q$8:$Q$42,MATCH(C25,'6. Base de Custos'!$L$8:$L$42,0)),""))</f>
        <v/>
      </c>
      <c r="R25" s="65" t="inlineStr">
        <is>
          <t>(-) Despesas operacionais e infraestrutura</t>
        </is>
      </c>
      <c r="S25" s="65" t="inlineStr">
        <is>
          <t>Despesa operacional</t>
        </is>
      </c>
      <c r="T25" s="65">
        <f>IF(C25="","",IF(R25="(-) Custos diretos dos serviços",IF(ISNUMBER(SEARCH("PCMSO",C25)),"PCMSO",IF(OR(ISNUMBER(SEARCH("SGS",C25)),ISNUMBER(SEARCH("CASTRO NAVES",C25))),"Projetos / Laudos / Avulsos","Projetos / Laudos / Avulsos")),"Rateio pela receita bruta"))</f>
        <v/>
      </c>
      <c r="U25" s="65">
        <f>IF(C25="","",IF(R25="(-) Custos diretos dos serviços","Direto por fornecedor/natureza do gasto","Rateio proporcional à receita bruta da linha de serviço"))</f>
        <v/>
      </c>
    </row>
    <row r="26">
      <c r="A26" s="28" t="inlineStr">
        <is>
          <t>CP-021</t>
        </is>
      </c>
      <c r="B26" s="27">
        <f>IF(F26="","",DATE(YEAR(F26),MONTH(F26),1))</f>
        <v/>
      </c>
      <c r="C26" s="28" t="inlineStr">
        <is>
          <t>FGTS (GFIP)</t>
        </is>
      </c>
      <c r="D26" s="28" t="inlineStr">
        <is>
          <t>Despesa fixa</t>
        </is>
      </c>
      <c r="E26" s="59">
        <f>IF(C26="","",IFERROR(INDEX('6. Base de Custos'!$M$8:$M$42,MATCH(C26,'6. Base de Custos'!$L$8:$L$42,0)),"Não classificado"))</f>
        <v/>
      </c>
      <c r="F26" s="44" t="n">
        <v>46101</v>
      </c>
      <c r="G26" s="44" t="n">
        <v>46101</v>
      </c>
      <c r="H26" s="44" t="n">
        <v>46112</v>
      </c>
      <c r="I26" s="45" t="n">
        <v>526.66</v>
      </c>
      <c r="J26" s="28" t="inlineStr">
        <is>
          <t>Pago</t>
        </is>
      </c>
      <c r="K26" s="28" t="inlineStr">
        <is>
          <t>Fixo</t>
        </is>
      </c>
      <c r="L26" s="28" t="inlineStr">
        <is>
          <t>Origem: CP mar/2026. Data de pagamento não informada no PDF; alocada em 31/03 como proxy mensal.</t>
        </is>
      </c>
      <c r="M26" s="59">
        <f>IF(C26="","",IFERROR(INDEX('6. Base de Custos'!$N$8:$N$42,MATCH(C26,'6. Base de Custos'!$L$8:$L$42,0)),"Não classificado"))</f>
        <v/>
      </c>
      <c r="N26" s="59">
        <f>IF(C26="","",IFERROR(INDEX('6. Base de Custos'!$O$8:$O$42,MATCH(C26,'6. Base de Custos'!$L$8:$L$42,0)),"Revisar"))</f>
        <v/>
      </c>
      <c r="O26" s="60">
        <f>IF(M26="","",IFERROR(VLOOKUP(M26,'6. Base de Custos'!$H$12:$J$18,3,FALSE),0))</f>
        <v/>
      </c>
      <c r="P26" s="59">
        <f>IF(C26="","",IFERROR(INDEX('6. Base de Custos'!$P$8:$P$42,MATCH(C26,'6. Base de Custos'!$L$8:$L$42,0)),"Revisar"))</f>
        <v/>
      </c>
      <c r="Q26" s="59">
        <f>IF(C26="","",IFERROR(INDEX('6. Base de Custos'!$Q$8:$Q$42,MATCH(C26,'6. Base de Custos'!$L$8:$L$42,0)),""))</f>
        <v/>
      </c>
      <c r="R26" s="65" t="inlineStr">
        <is>
          <t>(-) Encargos trabalhistas e tributos operacionais</t>
        </is>
      </c>
      <c r="S26" s="65" t="inlineStr">
        <is>
          <t>Despesa operacional</t>
        </is>
      </c>
      <c r="T26" s="65">
        <f>IF(C26="","",IF(R26="(-) Custos diretos dos serviços",IF(ISNUMBER(SEARCH("PCMSO",C26)),"PCMSO",IF(OR(ISNUMBER(SEARCH("SGS",C26)),ISNUMBER(SEARCH("CASTRO NAVES",C26))),"Projetos / Laudos / Avulsos","Projetos / Laudos / Avulsos")),"Rateio pela receita bruta"))</f>
        <v/>
      </c>
      <c r="U26" s="65">
        <f>IF(C26="","",IF(R26="(-) Custos diretos dos serviços","Direto por fornecedor/natureza do gasto","Rateio proporcional à receita bruta da linha de serviço"))</f>
        <v/>
      </c>
    </row>
    <row r="27">
      <c r="A27" s="28" t="inlineStr">
        <is>
          <t>CP-022</t>
        </is>
      </c>
      <c r="B27" s="27">
        <f>IF(F27="","",DATE(YEAR(F27),MONTH(F27),1))</f>
        <v/>
      </c>
      <c r="C27" s="28" t="inlineStr">
        <is>
          <t>GPS</t>
        </is>
      </c>
      <c r="D27" s="28" t="inlineStr">
        <is>
          <t>Despesa fixa</t>
        </is>
      </c>
      <c r="E27" s="59">
        <f>IF(C27="","",IFERROR(INDEX('6. Base de Custos'!$M$8:$M$42,MATCH(C27,'6. Base de Custos'!$L$8:$L$42,0)),"Não classificado"))</f>
        <v/>
      </c>
      <c r="F27" s="44" t="n">
        <v>46101</v>
      </c>
      <c r="G27" s="44" t="n">
        <v>46101</v>
      </c>
      <c r="H27" s="44" t="n">
        <v>46112</v>
      </c>
      <c r="I27" s="45" t="n">
        <v>755.3</v>
      </c>
      <c r="J27" s="28" t="inlineStr">
        <is>
          <t>Pago</t>
        </is>
      </c>
      <c r="K27" s="28" t="inlineStr">
        <is>
          <t>Fixo</t>
        </is>
      </c>
      <c r="L27" s="28" t="inlineStr">
        <is>
          <t>Origem: CP mar/2026. Data de pagamento não informada no PDF; alocada em 31/03 como proxy mensal.</t>
        </is>
      </c>
      <c r="M27" s="59">
        <f>IF(C27="","",IFERROR(INDEX('6. Base de Custos'!$N$8:$N$42,MATCH(C27,'6. Base de Custos'!$L$8:$L$42,0)),"Não classificado"))</f>
        <v/>
      </c>
      <c r="N27" s="59">
        <f>IF(C27="","",IFERROR(INDEX('6. Base de Custos'!$O$8:$O$42,MATCH(C27,'6. Base de Custos'!$L$8:$L$42,0)),"Revisar"))</f>
        <v/>
      </c>
      <c r="O27" s="60">
        <f>IF(M27="","",IFERROR(VLOOKUP(M27,'6. Base de Custos'!$H$12:$J$18,3,FALSE),0))</f>
        <v/>
      </c>
      <c r="P27" s="59">
        <f>IF(C27="","",IFERROR(INDEX('6. Base de Custos'!$P$8:$P$42,MATCH(C27,'6. Base de Custos'!$L$8:$L$42,0)),"Revisar"))</f>
        <v/>
      </c>
      <c r="Q27" s="59">
        <f>IF(C27="","",IFERROR(INDEX('6. Base de Custos'!$Q$8:$Q$42,MATCH(C27,'6. Base de Custos'!$L$8:$L$42,0)),""))</f>
        <v/>
      </c>
      <c r="R27" s="65" t="inlineStr">
        <is>
          <t>(-) Encargos trabalhistas e tributos operacionais</t>
        </is>
      </c>
      <c r="S27" s="65" t="inlineStr">
        <is>
          <t>Despesa operacional</t>
        </is>
      </c>
      <c r="T27" s="65">
        <f>IF(C27="","",IF(R27="(-) Custos diretos dos serviços",IF(ISNUMBER(SEARCH("PCMSO",C27)),"PCMSO",IF(OR(ISNUMBER(SEARCH("SGS",C27)),ISNUMBER(SEARCH("CASTRO NAVES",C27))),"Projetos / Laudos / Avulsos","Projetos / Laudos / Avulsos")),"Rateio pela receita bruta"))</f>
        <v/>
      </c>
      <c r="U27" s="65">
        <f>IF(C27="","",IF(R27="(-) Custos diretos dos serviços","Direto por fornecedor/natureza do gasto","Rateio proporcional à receita bruta da linha de serviço"))</f>
        <v/>
      </c>
    </row>
    <row r="28">
      <c r="A28" s="28" t="inlineStr">
        <is>
          <t>CP-023</t>
        </is>
      </c>
      <c r="B28" s="27">
        <f>IF(F28="","",DATE(YEAR(F28),MONTH(F28),1))</f>
        <v/>
      </c>
      <c r="C28" s="28" t="inlineStr">
        <is>
          <t>DARF - RET.CONTR</t>
        </is>
      </c>
      <c r="D28" s="28" t="inlineStr">
        <is>
          <t>Despesa fixa</t>
        </is>
      </c>
      <c r="E28" s="59">
        <f>IF(C28="","",IFERROR(INDEX('6. Base de Custos'!$M$8:$M$42,MATCH(C28,'6. Base de Custos'!$L$8:$L$42,0)),"Não classificado"))</f>
        <v/>
      </c>
      <c r="F28" s="44" t="n">
        <v>46101</v>
      </c>
      <c r="G28" s="44" t="n">
        <v>46101</v>
      </c>
      <c r="H28" s="44" t="n">
        <v>46112</v>
      </c>
      <c r="I28" s="45" t="n">
        <v>11.63</v>
      </c>
      <c r="J28" s="28" t="inlineStr">
        <is>
          <t>Pago</t>
        </is>
      </c>
      <c r="K28" s="28" t="inlineStr">
        <is>
          <t>Fixo</t>
        </is>
      </c>
      <c r="L28" s="28" t="inlineStr">
        <is>
          <t>Origem: CP mar/2026. Data de pagamento não informada no PDF; alocada em 31/03 como proxy mensal.</t>
        </is>
      </c>
      <c r="M28" s="59">
        <f>IF(C28="","",IFERROR(INDEX('6. Base de Custos'!$N$8:$N$42,MATCH(C28,'6. Base de Custos'!$L$8:$L$42,0)),"Não classificado"))</f>
        <v/>
      </c>
      <c r="N28" s="59">
        <f>IF(C28="","",IFERROR(INDEX('6. Base de Custos'!$O$8:$O$42,MATCH(C28,'6. Base de Custos'!$L$8:$L$42,0)),"Revisar"))</f>
        <v/>
      </c>
      <c r="O28" s="60">
        <f>IF(M28="","",IFERROR(VLOOKUP(M28,'6. Base de Custos'!$H$12:$J$18,3,FALSE),0))</f>
        <v/>
      </c>
      <c r="P28" s="59">
        <f>IF(C28="","",IFERROR(INDEX('6. Base de Custos'!$P$8:$P$42,MATCH(C28,'6. Base de Custos'!$L$8:$L$42,0)),"Revisar"))</f>
        <v/>
      </c>
      <c r="Q28" s="59">
        <f>IF(C28="","",IFERROR(INDEX('6. Base de Custos'!$Q$8:$Q$42,MATCH(C28,'6. Base de Custos'!$L$8:$L$42,0)),""))</f>
        <v/>
      </c>
      <c r="R28" s="65" t="inlineStr">
        <is>
          <t>(-) Impostos sobre faturamento</t>
        </is>
      </c>
      <c r="S28" s="65" t="inlineStr">
        <is>
          <t>Deduções da receita</t>
        </is>
      </c>
      <c r="T28" s="65">
        <f>IF(C28="","",IF(R28="(-) Custos diretos dos serviços",IF(ISNUMBER(SEARCH("PCMSO",C28)),"PCMSO",IF(OR(ISNUMBER(SEARCH("SGS",C28)),ISNUMBER(SEARCH("CASTRO NAVES",C28))),"Projetos / Laudos / Avulsos","Projetos / Laudos / Avulsos")),"Rateio pela receita bruta"))</f>
        <v/>
      </c>
      <c r="U28" s="65">
        <f>IF(C28="","",IF(R28="(-) Custos diretos dos serviços","Direto por fornecedor/natureza do gasto","Rateio proporcional à receita bruta da linha de serviço"))</f>
        <v/>
      </c>
    </row>
    <row r="29">
      <c r="A29" s="28" t="inlineStr">
        <is>
          <t>CP-024</t>
        </is>
      </c>
      <c r="B29" s="27">
        <f>IF(F29="","",DATE(YEAR(F29),MONTH(F29),1))</f>
        <v/>
      </c>
      <c r="C29" s="28" t="inlineStr">
        <is>
          <t>SIMPLES</t>
        </is>
      </c>
      <c r="D29" s="28" t="inlineStr">
        <is>
          <t>Despesa fixa</t>
        </is>
      </c>
      <c r="E29" s="59">
        <f>IF(C29="","",IFERROR(INDEX('6. Base de Custos'!$M$8:$M$42,MATCH(C29,'6. Base de Custos'!$L$8:$L$42,0)),"Não classificado"))</f>
        <v/>
      </c>
      <c r="F29" s="44" t="n">
        <v>46101</v>
      </c>
      <c r="G29" s="44" t="n">
        <v>46101</v>
      </c>
      <c r="H29" s="44" t="n">
        <v>46112</v>
      </c>
      <c r="I29" s="45" t="n">
        <v>2651.92</v>
      </c>
      <c r="J29" s="28" t="inlineStr">
        <is>
          <t>Pago</t>
        </is>
      </c>
      <c r="K29" s="28" t="inlineStr">
        <is>
          <t>Fixo</t>
        </is>
      </c>
      <c r="L29" s="28" t="inlineStr">
        <is>
          <t>Origem: CP mar/2026. Data de pagamento não informada no PDF; alocada em 31/03 como proxy mensal.</t>
        </is>
      </c>
      <c r="M29" s="59">
        <f>IF(C29="","",IFERROR(INDEX('6. Base de Custos'!$N$8:$N$42,MATCH(C29,'6. Base de Custos'!$L$8:$L$42,0)),"Não classificado"))</f>
        <v/>
      </c>
      <c r="N29" s="59">
        <f>IF(C29="","",IFERROR(INDEX('6. Base de Custos'!$O$8:$O$42,MATCH(C29,'6. Base de Custos'!$L$8:$L$42,0)),"Revisar"))</f>
        <v/>
      </c>
      <c r="O29" s="60">
        <f>IF(M29="","",IFERROR(VLOOKUP(M29,'6. Base de Custos'!$H$12:$J$18,3,FALSE),0))</f>
        <v/>
      </c>
      <c r="P29" s="59">
        <f>IF(C29="","",IFERROR(INDEX('6. Base de Custos'!$P$8:$P$42,MATCH(C29,'6. Base de Custos'!$L$8:$L$42,0)),"Revisar"))</f>
        <v/>
      </c>
      <c r="Q29" s="59">
        <f>IF(C29="","",IFERROR(INDEX('6. Base de Custos'!$Q$8:$Q$42,MATCH(C29,'6. Base de Custos'!$L$8:$L$42,0)),""))</f>
        <v/>
      </c>
      <c r="R29" s="65" t="inlineStr">
        <is>
          <t>(-) Impostos sobre faturamento</t>
        </is>
      </c>
      <c r="S29" s="65" t="inlineStr">
        <is>
          <t>Deduções da receita</t>
        </is>
      </c>
      <c r="T29" s="65">
        <f>IF(C29="","",IF(R29="(-) Custos diretos dos serviços",IF(ISNUMBER(SEARCH("PCMSO",C29)),"PCMSO",IF(OR(ISNUMBER(SEARCH("SGS",C29)),ISNUMBER(SEARCH("CASTRO NAVES",C29))),"Projetos / Laudos / Avulsos","Projetos / Laudos / Avulsos")),"Rateio pela receita bruta"))</f>
        <v/>
      </c>
      <c r="U29" s="65">
        <f>IF(C29="","",IF(R29="(-) Custos diretos dos serviços","Direto por fornecedor/natureza do gasto","Rateio proporcional à receita bruta da linha de serviço"))</f>
        <v/>
      </c>
    </row>
    <row r="30">
      <c r="A30" s="28" t="inlineStr">
        <is>
          <t>CP-025</t>
        </is>
      </c>
      <c r="B30" s="27">
        <f>IF(F30="","",DATE(YEAR(F30),MONTH(F30),1))</f>
        <v/>
      </c>
      <c r="C30" s="28" t="inlineStr">
        <is>
          <t>SIMPLES - RONALDO</t>
        </is>
      </c>
      <c r="D30" s="28" t="inlineStr">
        <is>
          <t>Despesa fixa</t>
        </is>
      </c>
      <c r="E30" s="59">
        <f>IF(C30="","",IFERROR(INDEX('6. Base de Custos'!$M$8:$M$42,MATCH(C30,'6. Base de Custos'!$L$8:$L$42,0)),"Não classificado"))</f>
        <v/>
      </c>
      <c r="F30" s="44" t="n">
        <v>46132</v>
      </c>
      <c r="G30" s="44" t="n">
        <v>46132</v>
      </c>
      <c r="H30" s="44" t="n">
        <v>46112</v>
      </c>
      <c r="I30" s="45" t="n">
        <v>86.05</v>
      </c>
      <c r="J30" s="28" t="inlineStr">
        <is>
          <t>Pago</t>
        </is>
      </c>
      <c r="K30" s="28" t="inlineStr">
        <is>
          <t>Fixo</t>
        </is>
      </c>
      <c r="L30" s="28" t="inlineStr">
        <is>
          <t>Origem: CP mar/2026. Data de pagamento não informada no PDF; alocada em 31/03 como proxy mensal. vencimento abril; reportado como pago no fechamento de março</t>
        </is>
      </c>
      <c r="M30" s="59">
        <f>IF(C30="","",IFERROR(INDEX('6. Base de Custos'!$N$8:$N$42,MATCH(C30,'6. Base de Custos'!$L$8:$L$42,0)),"Não classificado"))</f>
        <v/>
      </c>
      <c r="N30" s="59">
        <f>IF(C30="","",IFERROR(INDEX('6. Base de Custos'!$O$8:$O$42,MATCH(C30,'6. Base de Custos'!$L$8:$L$42,0)),"Revisar"))</f>
        <v/>
      </c>
      <c r="O30" s="60">
        <f>IF(M30="","",IFERROR(VLOOKUP(M30,'6. Base de Custos'!$H$12:$J$18,3,FALSE),0))</f>
        <v/>
      </c>
      <c r="P30" s="59">
        <f>IF(C30="","",IFERROR(INDEX('6. Base de Custos'!$P$8:$P$42,MATCH(C30,'6. Base de Custos'!$L$8:$L$42,0)),"Revisar"))</f>
        <v/>
      </c>
      <c r="Q30" s="59">
        <f>IF(C30="","",IFERROR(INDEX('6. Base de Custos'!$Q$8:$Q$42,MATCH(C30,'6. Base de Custos'!$L$8:$L$42,0)),""))</f>
        <v/>
      </c>
      <c r="R30" s="65" t="inlineStr">
        <is>
          <t>(-) Impostos sobre faturamento</t>
        </is>
      </c>
      <c r="S30" s="65" t="inlineStr">
        <is>
          <t>Deduções da receita</t>
        </is>
      </c>
      <c r="T30" s="65">
        <f>IF(C30="","",IF(R30="(-) Custos diretos dos serviços",IF(ISNUMBER(SEARCH("PCMSO",C30)),"PCMSO",IF(OR(ISNUMBER(SEARCH("SGS",C30)),ISNUMBER(SEARCH("CASTRO NAVES",C30))),"Projetos / Laudos / Avulsos","Projetos / Laudos / Avulsos")),"Rateio pela receita bruta"))</f>
        <v/>
      </c>
      <c r="U30" s="65">
        <f>IF(C30="","",IF(R30="(-) Custos diretos dos serviços","Direto por fornecedor/natureza do gasto","Rateio proporcional à receita bruta da linha de serviço"))</f>
        <v/>
      </c>
    </row>
    <row r="31">
      <c r="A31" s="28" t="inlineStr">
        <is>
          <t>CP-026</t>
        </is>
      </c>
      <c r="B31" s="27">
        <f>IF(F31="","",DATE(YEAR(F31),MONTH(F31),1))</f>
        <v/>
      </c>
      <c r="C31" s="28" t="inlineStr">
        <is>
          <t>CARTÃO VISA</t>
        </is>
      </c>
      <c r="D31" s="28" t="inlineStr">
        <is>
          <t>Despesa fixa</t>
        </is>
      </c>
      <c r="E31" s="59">
        <f>IF(C31="","",IFERROR(INDEX('6. Base de Custos'!$M$8:$M$42,MATCH(C31,'6. Base de Custos'!$L$8:$L$42,0)),"Não classificado"))</f>
        <v/>
      </c>
      <c r="F31" s="44" t="n">
        <v>46101</v>
      </c>
      <c r="G31" s="44" t="n">
        <v>46101</v>
      </c>
      <c r="H31" s="44" t="n">
        <v>46112</v>
      </c>
      <c r="I31" s="45" t="n">
        <v>3521.3</v>
      </c>
      <c r="J31" s="28" t="inlineStr">
        <is>
          <t>Pago</t>
        </is>
      </c>
      <c r="K31" s="28" t="inlineStr">
        <is>
          <t>Fixo</t>
        </is>
      </c>
      <c r="L31" s="28" t="inlineStr">
        <is>
          <t>Origem: CP mar/2026. Data de pagamento não informada no PDF; alocada em 31/03 como proxy mensal.</t>
        </is>
      </c>
      <c r="M31" s="59">
        <f>IF(C31="","",IFERROR(INDEX('6. Base de Custos'!$N$8:$N$42,MATCH(C31,'6. Base de Custos'!$L$8:$L$42,0)),"Não classificado"))</f>
        <v/>
      </c>
      <c r="N31" s="59">
        <f>IF(C31="","",IFERROR(INDEX('6. Base de Custos'!$O$8:$O$42,MATCH(C31,'6. Base de Custos'!$L$8:$L$42,0)),"Revisar"))</f>
        <v/>
      </c>
      <c r="O31" s="60">
        <f>IF(M31="","",IFERROR(VLOOKUP(M31,'6. Base de Custos'!$H$12:$J$18,3,FALSE),0))</f>
        <v/>
      </c>
      <c r="P31" s="59">
        <f>IF(C31="","",IFERROR(INDEX('6. Base de Custos'!$P$8:$P$42,MATCH(C31,'6. Base de Custos'!$L$8:$L$42,0)),"Revisar"))</f>
        <v/>
      </c>
      <c r="Q31" s="59">
        <f>IF(C31="","",IFERROR(INDEX('6. Base de Custos'!$Q$8:$Q$42,MATCH(C31,'6. Base de Custos'!$L$8:$L$42,0)),""))</f>
        <v/>
      </c>
      <c r="R31" s="65" t="inlineStr">
        <is>
          <t>(-) Resultado financeiro e despesas gerais</t>
        </is>
      </c>
      <c r="S31" s="65" t="inlineStr">
        <is>
          <t>Abaixo do EBITDA</t>
        </is>
      </c>
      <c r="T31" s="65">
        <f>IF(C31="","",IF(R31="(-) Custos diretos dos serviços",IF(ISNUMBER(SEARCH("PCMSO",C31)),"PCMSO",IF(OR(ISNUMBER(SEARCH("SGS",C31)),ISNUMBER(SEARCH("CASTRO NAVES",C31))),"Projetos / Laudos / Avulsos","Projetos / Laudos / Avulsos")),"Rateio pela receita bruta"))</f>
        <v/>
      </c>
      <c r="U31" s="65">
        <f>IF(C31="","",IF(R31="(-) Custos diretos dos serviços","Direto por fornecedor/natureza do gasto","Rateio proporcional à receita bruta da linha de serviço"))</f>
        <v/>
      </c>
    </row>
    <row r="32">
      <c r="A32" s="28" t="inlineStr">
        <is>
          <t>CP-027</t>
        </is>
      </c>
      <c r="B32" s="27">
        <f>IF(F32="","",DATE(YEAR(F32),MONTH(F32),1))</f>
        <v/>
      </c>
      <c r="C32" s="28" t="inlineStr">
        <is>
          <t>SPEED - CARTUCHO</t>
        </is>
      </c>
      <c r="D32" s="28" t="inlineStr">
        <is>
          <t>Despesa fixa</t>
        </is>
      </c>
      <c r="E32" s="59">
        <f>IF(C32="","",IFERROR(INDEX('6. Base de Custos'!$M$8:$M$42,MATCH(C32,'6. Base de Custos'!$L$8:$L$42,0)),"Não classificado"))</f>
        <v/>
      </c>
      <c r="F32" s="44" t="n">
        <v>46101</v>
      </c>
      <c r="G32" s="44" t="n">
        <v>46101</v>
      </c>
      <c r="H32" s="44" t="n">
        <v>46112</v>
      </c>
      <c r="I32" s="45" t="n">
        <v>0</v>
      </c>
      <c r="J32" s="28" t="inlineStr">
        <is>
          <t>Pago</t>
        </is>
      </c>
      <c r="K32" s="28" t="inlineStr">
        <is>
          <t>Fixo</t>
        </is>
      </c>
      <c r="L32" s="28" t="inlineStr">
        <is>
          <t>Origem: CP mar/2026. Data de pagamento não informada no PDF; alocada em 31/03 como proxy mensal. valor não informado no PDF</t>
        </is>
      </c>
      <c r="M32" s="59">
        <f>IF(C32="","",IFERROR(INDEX('6. Base de Custos'!$N$8:$N$42,MATCH(C32,'6. Base de Custos'!$L$8:$L$42,0)),"Não classificado"))</f>
        <v/>
      </c>
      <c r="N32" s="59">
        <f>IF(C32="","",IFERROR(INDEX('6. Base de Custos'!$O$8:$O$42,MATCH(C32,'6. Base de Custos'!$L$8:$L$42,0)),"Revisar"))</f>
        <v/>
      </c>
      <c r="O32" s="60">
        <f>IF(M32="","",IFERROR(VLOOKUP(M32,'6. Base de Custos'!$H$12:$J$18,3,FALSE),0))</f>
        <v/>
      </c>
      <c r="P32" s="59">
        <f>IF(C32="","",IFERROR(INDEX('6. Base de Custos'!$P$8:$P$42,MATCH(C32,'6. Base de Custos'!$L$8:$L$42,0)),"Revisar"))</f>
        <v/>
      </c>
      <c r="Q32" s="59">
        <f>IF(C32="","",IFERROR(INDEX('6. Base de Custos'!$Q$8:$Q$42,MATCH(C32,'6. Base de Custos'!$L$8:$L$42,0)),""))</f>
        <v/>
      </c>
      <c r="R32" s="65" t="inlineStr">
        <is>
          <t>(-) Despesas operacionais e infraestrutura</t>
        </is>
      </c>
      <c r="S32" s="65" t="inlineStr">
        <is>
          <t>Despesa operacional</t>
        </is>
      </c>
      <c r="T32" s="65">
        <f>IF(C32="","",IF(R32="(-) Custos diretos dos serviços",IF(ISNUMBER(SEARCH("PCMSO",C32)),"PCMSO",IF(OR(ISNUMBER(SEARCH("SGS",C32)),ISNUMBER(SEARCH("CASTRO NAVES",C32))),"Projetos / Laudos / Avulsos","Projetos / Laudos / Avulsos")),"Rateio pela receita bruta"))</f>
        <v/>
      </c>
      <c r="U32" s="65">
        <f>IF(C32="","",IF(R32="(-) Custos diretos dos serviços","Direto por fornecedor/natureza do gasto","Rateio proporcional à receita bruta da linha de serviço"))</f>
        <v/>
      </c>
    </row>
    <row r="33">
      <c r="A33" s="28" t="inlineStr">
        <is>
          <t>CP-028</t>
        </is>
      </c>
      <c r="B33" s="27">
        <f>IF(F33="","",DATE(YEAR(F33),MONTH(F33),1))</f>
        <v/>
      </c>
      <c r="C33" s="28" t="inlineStr">
        <is>
          <t>WTA - PCMSO</t>
        </is>
      </c>
      <c r="D33" s="28" t="inlineStr">
        <is>
          <t>Despesa variável</t>
        </is>
      </c>
      <c r="E33" s="59">
        <f>IF(C33="","",IFERROR(INDEX('6. Base de Custos'!$M$8:$M$42,MATCH(C33,'6. Base de Custos'!$L$8:$L$42,0)),"Não classificado"))</f>
        <v/>
      </c>
      <c r="F33" s="44" t="n">
        <v>46101</v>
      </c>
      <c r="G33" s="44" t="n">
        <v>46101</v>
      </c>
      <c r="H33" s="44" t="n">
        <v>46112</v>
      </c>
      <c r="I33" s="45" t="n">
        <v>0</v>
      </c>
      <c r="J33" s="28" t="inlineStr">
        <is>
          <t>Pago</t>
        </is>
      </c>
      <c r="K33" s="28" t="inlineStr">
        <is>
          <t>Variável</t>
        </is>
      </c>
      <c r="L33" s="28" t="inlineStr">
        <is>
          <t>Origem: CP mar/2026. Data de pagamento não informada no PDF; alocada em 31/03 como proxy mensal. valor não informado no PDF</t>
        </is>
      </c>
      <c r="M33" s="59">
        <f>IF(C33="","",IFERROR(INDEX('6. Base de Custos'!$N$8:$N$42,MATCH(C33,'6. Base de Custos'!$L$8:$L$42,0)),"Não classificado"))</f>
        <v/>
      </c>
      <c r="N33" s="59">
        <f>IF(C33="","",IFERROR(INDEX('6. Base de Custos'!$O$8:$O$42,MATCH(C33,'6. Base de Custos'!$L$8:$L$42,0)),"Revisar"))</f>
        <v/>
      </c>
      <c r="O33" s="60">
        <f>IF(M33="","",IFERROR(VLOOKUP(M33,'6. Base de Custos'!$H$12:$J$18,3,FALSE),0))</f>
        <v/>
      </c>
      <c r="P33" s="59">
        <f>IF(C33="","",IFERROR(INDEX('6. Base de Custos'!$P$8:$P$42,MATCH(C33,'6. Base de Custos'!$L$8:$L$42,0)),"Revisar"))</f>
        <v/>
      </c>
      <c r="Q33" s="59">
        <f>IF(C33="","",IFERROR(INDEX('6. Base de Custos'!$Q$8:$Q$42,MATCH(C33,'6. Base de Custos'!$L$8:$L$42,0)),""))</f>
        <v/>
      </c>
      <c r="R33" s="65" t="inlineStr">
        <is>
          <t>(-) Custos diretos dos serviços</t>
        </is>
      </c>
      <c r="S33" s="65" t="inlineStr">
        <is>
          <t>Custo direto</t>
        </is>
      </c>
      <c r="T33" s="65">
        <f>IF(C33="","",IF(R33="(-) Custos diretos dos serviços",IF(ISNUMBER(SEARCH("PCMSO",C33)),"PCMSO",IF(OR(ISNUMBER(SEARCH("SGS",C33)),ISNUMBER(SEARCH("CASTRO NAVES",C33))),"Projetos / Laudos / Avulsos","Projetos / Laudos / Avulsos")),"Rateio pela receita bruta"))</f>
        <v/>
      </c>
      <c r="U33" s="65">
        <f>IF(C33="","",IF(R33="(-) Custos diretos dos serviços","Direto por fornecedor/natureza do gasto","Rateio proporcional à receita bruta da linha de serviço"))</f>
        <v/>
      </c>
    </row>
    <row r="34">
      <c r="A34" s="28" t="inlineStr">
        <is>
          <t>CP-029</t>
        </is>
      </c>
      <c r="B34" s="27">
        <f>IF(F34="","",DATE(YEAR(F34),MONTH(F34),1))</f>
        <v/>
      </c>
      <c r="C34" s="28" t="inlineStr">
        <is>
          <t>EMPRÉSTIMO GOVERNO (03/37)</t>
        </is>
      </c>
      <c r="D34" s="28" t="inlineStr">
        <is>
          <t>Despesa variável</t>
        </is>
      </c>
      <c r="E34" s="59">
        <f>IF(C34="","",IFERROR(INDEX('6. Base de Custos'!$M$8:$M$42,MATCH(C34,'6. Base de Custos'!$L$8:$L$42,0)),"Não classificado"))</f>
        <v/>
      </c>
      <c r="F34" s="44" t="n">
        <v>46084</v>
      </c>
      <c r="G34" s="44" t="n">
        <v>46084</v>
      </c>
      <c r="H34" s="44" t="n">
        <v>46112</v>
      </c>
      <c r="I34" s="45" t="n">
        <v>1470.77</v>
      </c>
      <c r="J34" s="28" t="inlineStr">
        <is>
          <t>Pago</t>
        </is>
      </c>
      <c r="K34" s="28" t="inlineStr">
        <is>
          <t>Variável</t>
        </is>
      </c>
      <c r="L34" s="28" t="inlineStr">
        <is>
          <t>Origem: CP mar/2026. Data de pagamento não informada no PDF; alocada em 31/03 como proxy mensal.</t>
        </is>
      </c>
      <c r="M34" s="59">
        <f>IF(C34="","",IFERROR(INDEX('6. Base de Custos'!$N$8:$N$42,MATCH(C34,'6. Base de Custos'!$L$8:$L$42,0)),"Não classificado"))</f>
        <v/>
      </c>
      <c r="N34" s="59">
        <f>IF(C34="","",IFERROR(INDEX('6. Base de Custos'!$O$8:$O$42,MATCH(C34,'6. Base de Custos'!$L$8:$L$42,0)),"Revisar"))</f>
        <v/>
      </c>
      <c r="O34" s="60">
        <f>IF(M34="","",IFERROR(VLOOKUP(M34,'6. Base de Custos'!$H$12:$J$18,3,FALSE),0))</f>
        <v/>
      </c>
      <c r="P34" s="59">
        <f>IF(C34="","",IFERROR(INDEX('6. Base de Custos'!$P$8:$P$42,MATCH(C34,'6. Base de Custos'!$L$8:$L$42,0)),"Revisar"))</f>
        <v/>
      </c>
      <c r="Q34" s="59">
        <f>IF(C34="","",IFERROR(INDEX('6. Base de Custos'!$Q$8:$Q$42,MATCH(C34,'6. Base de Custos'!$L$8:$L$42,0)),""))</f>
        <v/>
      </c>
      <c r="R34" s="65" t="inlineStr">
        <is>
          <t>(-) Resultado financeiro e despesas gerais</t>
        </is>
      </c>
      <c r="S34" s="65" t="inlineStr">
        <is>
          <t>Abaixo do EBITDA</t>
        </is>
      </c>
      <c r="T34" s="65">
        <f>IF(C34="","",IF(R34="(-) Custos diretos dos serviços",IF(ISNUMBER(SEARCH("PCMSO",C34)),"PCMSO",IF(OR(ISNUMBER(SEARCH("SGS",C34)),ISNUMBER(SEARCH("CASTRO NAVES",C34))),"Projetos / Laudos / Avulsos","Projetos / Laudos / Avulsos")),"Rateio pela receita bruta"))</f>
        <v/>
      </c>
      <c r="U34" s="65">
        <f>IF(C34="","",IF(R34="(-) Custos diretos dos serviços","Direto por fornecedor/natureza do gasto","Rateio proporcional à receita bruta da linha de serviço"))</f>
        <v/>
      </c>
    </row>
    <row r="35">
      <c r="A35" s="28" t="inlineStr">
        <is>
          <t>CP-030</t>
        </is>
      </c>
      <c r="B35" s="27">
        <f>IF(F35="","",DATE(YEAR(F35),MONTH(F35),1))</f>
        <v/>
      </c>
      <c r="C35" s="28" t="inlineStr">
        <is>
          <t>EMPRÉSTIMO GOVERNO (29/36)</t>
        </is>
      </c>
      <c r="D35" s="28" t="inlineStr">
        <is>
          <t>Despesa variável</t>
        </is>
      </c>
      <c r="E35" s="59">
        <f>IF(C35="","",IFERROR(INDEX('6. Base de Custos'!$M$8:$M$42,MATCH(C35,'6. Base de Custos'!$L$8:$L$42,0)),"Não classificado"))</f>
        <v/>
      </c>
      <c r="F35" s="44" t="n">
        <v>46092</v>
      </c>
      <c r="G35" s="44" t="n">
        <v>46092</v>
      </c>
      <c r="H35" s="44" t="n">
        <v>46112</v>
      </c>
      <c r="I35" s="45" t="n">
        <v>1393.26</v>
      </c>
      <c r="J35" s="28" t="inlineStr">
        <is>
          <t>Pago</t>
        </is>
      </c>
      <c r="K35" s="28" t="inlineStr">
        <is>
          <t>Variável</t>
        </is>
      </c>
      <c r="L35" s="28" t="inlineStr">
        <is>
          <t>Origem: CP mar/2026. Data de pagamento não informada no PDF; alocada em 31/03 como proxy mensal.</t>
        </is>
      </c>
      <c r="M35" s="59">
        <f>IF(C35="","",IFERROR(INDEX('6. Base de Custos'!$N$8:$N$42,MATCH(C35,'6. Base de Custos'!$L$8:$L$42,0)),"Não classificado"))</f>
        <v/>
      </c>
      <c r="N35" s="59">
        <f>IF(C35="","",IFERROR(INDEX('6. Base de Custos'!$O$8:$O$42,MATCH(C35,'6. Base de Custos'!$L$8:$L$42,0)),"Revisar"))</f>
        <v/>
      </c>
      <c r="O35" s="60">
        <f>IF(M35="","",IFERROR(VLOOKUP(M35,'6. Base de Custos'!$H$12:$J$18,3,FALSE),0))</f>
        <v/>
      </c>
      <c r="P35" s="59">
        <f>IF(C35="","",IFERROR(INDEX('6. Base de Custos'!$P$8:$P$42,MATCH(C35,'6. Base de Custos'!$L$8:$L$42,0)),"Revisar"))</f>
        <v/>
      </c>
      <c r="Q35" s="59">
        <f>IF(C35="","",IFERROR(INDEX('6. Base de Custos'!$Q$8:$Q$42,MATCH(C35,'6. Base de Custos'!$L$8:$L$42,0)),""))</f>
        <v/>
      </c>
      <c r="R35" s="65" t="inlineStr">
        <is>
          <t>(-) Resultado financeiro e despesas gerais</t>
        </is>
      </c>
      <c r="S35" s="65" t="inlineStr">
        <is>
          <t>Abaixo do EBITDA</t>
        </is>
      </c>
      <c r="T35" s="65">
        <f>IF(C35="","",IF(R35="(-) Custos diretos dos serviços",IF(ISNUMBER(SEARCH("PCMSO",C35)),"PCMSO",IF(OR(ISNUMBER(SEARCH("SGS",C35)),ISNUMBER(SEARCH("CASTRO NAVES",C35))),"Projetos / Laudos / Avulsos","Projetos / Laudos / Avulsos")),"Rateio pela receita bruta"))</f>
        <v/>
      </c>
      <c r="U35" s="65">
        <f>IF(C35="","",IF(R35="(-) Custos diretos dos serviços","Direto por fornecedor/natureza do gasto","Rateio proporcional à receita bruta da linha de serviço"))</f>
        <v/>
      </c>
    </row>
    <row r="36">
      <c r="A36" s="28" t="inlineStr">
        <is>
          <t>CP-031</t>
        </is>
      </c>
      <c r="B36" s="27">
        <f>IF(F36="","",DATE(YEAR(F36),MONTH(F36),1))</f>
        <v/>
      </c>
      <c r="C36" s="28" t="inlineStr">
        <is>
          <t>SGS - 27766</t>
        </is>
      </c>
      <c r="D36" s="28" t="inlineStr">
        <is>
          <t>Despesa variável</t>
        </is>
      </c>
      <c r="E36" s="59">
        <f>IF(C36="","",IFERROR(INDEX('6. Base de Custos'!$M$8:$M$42,MATCH(C36,'6. Base de Custos'!$L$8:$L$42,0)),"Não classificado"))</f>
        <v/>
      </c>
      <c r="F36" s="44" t="n">
        <v>46084</v>
      </c>
      <c r="G36" s="44" t="n">
        <v>46084</v>
      </c>
      <c r="H36" s="44" t="n">
        <v>46112</v>
      </c>
      <c r="I36" s="45" t="n">
        <v>438.46</v>
      </c>
      <c r="J36" s="28" t="inlineStr">
        <is>
          <t>Pago</t>
        </is>
      </c>
      <c r="K36" s="28" t="inlineStr">
        <is>
          <t>Variável</t>
        </is>
      </c>
      <c r="L36" s="28" t="inlineStr">
        <is>
          <t>Origem: CP mar/2026. Data de pagamento não informada no PDF; alocada em 31/03 como proxy mensal.</t>
        </is>
      </c>
      <c r="M36" s="59">
        <f>IF(C36="","",IFERROR(INDEX('6. Base de Custos'!$N$8:$N$42,MATCH(C36,'6. Base de Custos'!$L$8:$L$42,0)),"Não classificado"))</f>
        <v/>
      </c>
      <c r="N36" s="59">
        <f>IF(C36="","",IFERROR(INDEX('6. Base de Custos'!$O$8:$O$42,MATCH(C36,'6. Base de Custos'!$L$8:$L$42,0)),"Revisar"))</f>
        <v/>
      </c>
      <c r="O36" s="60">
        <f>IF(M36="","",IFERROR(VLOOKUP(M36,'6. Base de Custos'!$H$12:$J$18,3,FALSE),0))</f>
        <v/>
      </c>
      <c r="P36" s="59">
        <f>IF(C36="","",IFERROR(INDEX('6. Base de Custos'!$P$8:$P$42,MATCH(C36,'6. Base de Custos'!$L$8:$L$42,0)),"Revisar"))</f>
        <v/>
      </c>
      <c r="Q36" s="59">
        <f>IF(C36="","",IFERROR(INDEX('6. Base de Custos'!$Q$8:$Q$42,MATCH(C36,'6. Base de Custos'!$L$8:$L$42,0)),""))</f>
        <v/>
      </c>
      <c r="R36" s="65" t="inlineStr">
        <is>
          <t>(-) Custos diretos dos serviços</t>
        </is>
      </c>
      <c r="S36" s="65" t="inlineStr">
        <is>
          <t>Custo direto</t>
        </is>
      </c>
      <c r="T36" s="65">
        <f>IF(C36="","",IF(R36="(-) Custos diretos dos serviços",IF(ISNUMBER(SEARCH("PCMSO",C36)),"PCMSO",IF(OR(ISNUMBER(SEARCH("SGS",C36)),ISNUMBER(SEARCH("CASTRO NAVES",C36))),"Projetos / Laudos / Avulsos","Projetos / Laudos / Avulsos")),"Rateio pela receita bruta"))</f>
        <v/>
      </c>
      <c r="U36" s="65">
        <f>IF(C36="","",IF(R36="(-) Custos diretos dos serviços","Direto por fornecedor/natureza do gasto","Rateio proporcional à receita bruta da linha de serviço"))</f>
        <v/>
      </c>
    </row>
    <row r="37">
      <c r="A37" s="28" t="inlineStr">
        <is>
          <t>CP-032</t>
        </is>
      </c>
      <c r="B37" s="27">
        <f>IF(F37="","",DATE(YEAR(F37),MONTH(F37),1))</f>
        <v/>
      </c>
      <c r="C37" s="28" t="inlineStr">
        <is>
          <t>SGS - 27856</t>
        </is>
      </c>
      <c r="D37" s="28" t="inlineStr">
        <is>
          <t>Despesa variável</t>
        </is>
      </c>
      <c r="E37" s="59">
        <f>IF(C37="","",IFERROR(INDEX('6. Base de Custos'!$M$8:$M$42,MATCH(C37,'6. Base de Custos'!$L$8:$L$42,0)),"Não classificado"))</f>
        <v/>
      </c>
      <c r="F37" s="44" t="n">
        <v>46094</v>
      </c>
      <c r="G37" s="44" t="n">
        <v>46094</v>
      </c>
      <c r="H37" s="44" t="n">
        <v>46112</v>
      </c>
      <c r="I37" s="45" t="n">
        <v>1893.94</v>
      </c>
      <c r="J37" s="28" t="inlineStr">
        <is>
          <t>Pago</t>
        </is>
      </c>
      <c r="K37" s="28" t="inlineStr">
        <is>
          <t>Variável</t>
        </is>
      </c>
      <c r="L37" s="28" t="inlineStr">
        <is>
          <t>Origem: CP mar/2026. Data de pagamento não informada no PDF; alocada em 31/03 como proxy mensal.</t>
        </is>
      </c>
      <c r="M37" s="59">
        <f>IF(C37="","",IFERROR(INDEX('6. Base de Custos'!$N$8:$N$42,MATCH(C37,'6. Base de Custos'!$L$8:$L$42,0)),"Não classificado"))</f>
        <v/>
      </c>
      <c r="N37" s="59">
        <f>IF(C37="","",IFERROR(INDEX('6. Base de Custos'!$O$8:$O$42,MATCH(C37,'6. Base de Custos'!$L$8:$L$42,0)),"Revisar"))</f>
        <v/>
      </c>
      <c r="O37" s="60">
        <f>IF(M37="","",IFERROR(VLOOKUP(M37,'6. Base de Custos'!$H$12:$J$18,3,FALSE),0))</f>
        <v/>
      </c>
      <c r="P37" s="59">
        <f>IF(C37="","",IFERROR(INDEX('6. Base de Custos'!$P$8:$P$42,MATCH(C37,'6. Base de Custos'!$L$8:$L$42,0)),"Revisar"))</f>
        <v/>
      </c>
      <c r="Q37" s="59">
        <f>IF(C37="","",IFERROR(INDEX('6. Base de Custos'!$Q$8:$Q$42,MATCH(C37,'6. Base de Custos'!$L$8:$L$42,0)),""))</f>
        <v/>
      </c>
      <c r="R37" s="65" t="inlineStr">
        <is>
          <t>(-) Custos diretos dos serviços</t>
        </is>
      </c>
      <c r="S37" s="65" t="inlineStr">
        <is>
          <t>Custo direto</t>
        </is>
      </c>
      <c r="T37" s="65">
        <f>IF(C37="","",IF(R37="(-) Custos diretos dos serviços",IF(ISNUMBER(SEARCH("PCMSO",C37)),"PCMSO",IF(OR(ISNUMBER(SEARCH("SGS",C37)),ISNUMBER(SEARCH("CASTRO NAVES",C37))),"Projetos / Laudos / Avulsos","Projetos / Laudos / Avulsos")),"Rateio pela receita bruta"))</f>
        <v/>
      </c>
      <c r="U37" s="65">
        <f>IF(C37="","",IF(R37="(-) Custos diretos dos serviços","Direto por fornecedor/natureza do gasto","Rateio proporcional à receita bruta da linha de serviço"))</f>
        <v/>
      </c>
    </row>
    <row r="38">
      <c r="A38" s="28" t="inlineStr">
        <is>
          <t>CP-033</t>
        </is>
      </c>
      <c r="B38" s="27">
        <f>IF(F38="","",DATE(YEAR(F38),MONTH(F38),1))</f>
        <v/>
      </c>
      <c r="C38" s="28" t="inlineStr">
        <is>
          <t>ARTE FINAL - TROCA DA CENTRAL (3/4)</t>
        </is>
      </c>
      <c r="D38" s="28" t="inlineStr">
        <is>
          <t>Despesa variável</t>
        </is>
      </c>
      <c r="E38" s="59">
        <f>IF(C38="","",IFERROR(INDEX('6. Base de Custos'!$M$8:$M$42,MATCH(C38,'6. Base de Custos'!$L$8:$L$42,0)),"Não classificado"))</f>
        <v/>
      </c>
      <c r="F38" s="44" t="n">
        <v>46103</v>
      </c>
      <c r="G38" s="44" t="n">
        <v>46103</v>
      </c>
      <c r="H38" s="44" t="n">
        <v>46112</v>
      </c>
      <c r="I38" s="45" t="n">
        <v>345</v>
      </c>
      <c r="J38" s="28" t="inlineStr">
        <is>
          <t>Pago</t>
        </is>
      </c>
      <c r="K38" s="28" t="inlineStr">
        <is>
          <t>Variável</t>
        </is>
      </c>
      <c r="L38" s="28" t="inlineStr">
        <is>
          <t>Origem: CP mar/2026. Data de pagamento não informada no PDF; alocada em 31/03 como proxy mensal.</t>
        </is>
      </c>
      <c r="M38" s="59">
        <f>IF(C38="","",IFERROR(INDEX('6. Base de Custos'!$N$8:$N$42,MATCH(C38,'6. Base de Custos'!$L$8:$L$42,0)),"Não classificado"))</f>
        <v/>
      </c>
      <c r="N38" s="59">
        <f>IF(C38="","",IFERROR(INDEX('6. Base de Custos'!$O$8:$O$42,MATCH(C38,'6. Base de Custos'!$L$8:$L$42,0)),"Revisar"))</f>
        <v/>
      </c>
      <c r="O38" s="60">
        <f>IF(M38="","",IFERROR(VLOOKUP(M38,'6. Base de Custos'!$H$12:$J$18,3,FALSE),0))</f>
        <v/>
      </c>
      <c r="P38" s="59">
        <f>IF(C38="","",IFERROR(INDEX('6. Base de Custos'!$P$8:$P$42,MATCH(C38,'6. Base de Custos'!$L$8:$L$42,0)),"Revisar"))</f>
        <v/>
      </c>
      <c r="Q38" s="59">
        <f>IF(C38="","",IFERROR(INDEX('6. Base de Custos'!$Q$8:$Q$42,MATCH(C38,'6. Base de Custos'!$L$8:$L$42,0)),""))</f>
        <v/>
      </c>
      <c r="R38" s="65" t="inlineStr">
        <is>
          <t>(-) Despesas operacionais e infraestrutura</t>
        </is>
      </c>
      <c r="S38" s="65" t="inlineStr">
        <is>
          <t>Despesa operacional</t>
        </is>
      </c>
      <c r="T38" s="65">
        <f>IF(C38="","",IF(R38="(-) Custos diretos dos serviços",IF(ISNUMBER(SEARCH("PCMSO",C38)),"PCMSO",IF(OR(ISNUMBER(SEARCH("SGS",C38)),ISNUMBER(SEARCH("CASTRO NAVES",C38))),"Projetos / Laudos / Avulsos","Projetos / Laudos / Avulsos")),"Rateio pela receita bruta"))</f>
        <v/>
      </c>
      <c r="U38" s="65">
        <f>IF(C38="","",IF(R38="(-) Custos diretos dos serviços","Direto por fornecedor/natureza do gasto","Rateio proporcional à receita bruta da linha de serviço"))</f>
        <v/>
      </c>
    </row>
    <row r="39">
      <c r="A39" s="28" t="inlineStr">
        <is>
          <t>CP-034</t>
        </is>
      </c>
      <c r="B39" s="27">
        <f>IF(F39="","",DATE(YEAR(F39),MONTH(F39),1))</f>
        <v/>
      </c>
      <c r="C39" s="28" t="inlineStr">
        <is>
          <t>IPTU(1/6)</t>
        </is>
      </c>
      <c r="D39" s="28" t="inlineStr">
        <is>
          <t>Despesa variável</t>
        </is>
      </c>
      <c r="E39" s="59">
        <f>IF(C39="","",IFERROR(INDEX('6. Base de Custos'!$M$8:$M$42,MATCH(C39,'6. Base de Custos'!$L$8:$L$42,0)),"Não classificado"))</f>
        <v/>
      </c>
      <c r="F39" s="44" t="n">
        <v>46112</v>
      </c>
      <c r="G39" s="44" t="n">
        <v>46112</v>
      </c>
      <c r="H39" s="29" t="n"/>
      <c r="I39" s="45" t="n">
        <v>174.01</v>
      </c>
      <c r="J39" s="28" t="inlineStr">
        <is>
          <t>Aberto</t>
        </is>
      </c>
      <c r="K39" s="28" t="inlineStr">
        <is>
          <t>Variável</t>
        </is>
      </c>
      <c r="L39" s="28" t="inlineStr">
        <is>
          <t>Origem: CP mar/2026.</t>
        </is>
      </c>
      <c r="M39" s="59">
        <f>IF(C39="","",IFERROR(INDEX('6. Base de Custos'!$N$8:$N$42,MATCH(C39,'6. Base de Custos'!$L$8:$L$42,0)),"Não classificado"))</f>
        <v/>
      </c>
      <c r="N39" s="59">
        <f>IF(C39="","",IFERROR(INDEX('6. Base de Custos'!$O$8:$O$42,MATCH(C39,'6. Base de Custos'!$L$8:$L$42,0)),"Revisar"))</f>
        <v/>
      </c>
      <c r="O39" s="60">
        <f>IF(M39="","",IFERROR(VLOOKUP(M39,'6. Base de Custos'!$H$12:$J$18,3,FALSE),0))</f>
        <v/>
      </c>
      <c r="P39" s="59">
        <f>IF(C39="","",IFERROR(INDEX('6. Base de Custos'!$P$8:$P$42,MATCH(C39,'6. Base de Custos'!$L$8:$L$42,0)),"Revisar"))</f>
        <v/>
      </c>
      <c r="Q39" s="59">
        <f>IF(C39="","",IFERROR(INDEX('6. Base de Custos'!$Q$8:$Q$42,MATCH(C39,'6. Base de Custos'!$L$8:$L$42,0)),""))</f>
        <v/>
      </c>
      <c r="R39" s="65" t="inlineStr">
        <is>
          <t>(-) Encargos trabalhistas e tributos operacionais</t>
        </is>
      </c>
      <c r="S39" s="65" t="inlineStr">
        <is>
          <t>Despesa operacional</t>
        </is>
      </c>
      <c r="T39" s="65">
        <f>IF(C39="","",IF(R39="(-) Custos diretos dos serviços",IF(ISNUMBER(SEARCH("PCMSO",C39)),"PCMSO",IF(OR(ISNUMBER(SEARCH("SGS",C39)),ISNUMBER(SEARCH("CASTRO NAVES",C39))),"Projetos / Laudos / Avulsos","Projetos / Laudos / Avulsos")),"Rateio pela receita bruta"))</f>
        <v/>
      </c>
      <c r="U39" s="65">
        <f>IF(C39="","",IF(R39="(-) Custos diretos dos serviços","Direto por fornecedor/natureza do gasto","Rateio proporcional à receita bruta da linha de serviço"))</f>
        <v/>
      </c>
    </row>
    <row r="40">
      <c r="A40" s="28" t="inlineStr">
        <is>
          <t>CP-035</t>
        </is>
      </c>
      <c r="B40" s="27">
        <f>IF(F40="","",DATE(YEAR(F40),MONTH(F40),1))</f>
        <v/>
      </c>
      <c r="C40" s="28" t="inlineStr">
        <is>
          <t>CASTRO NAVES</t>
        </is>
      </c>
      <c r="D40" s="28" t="inlineStr">
        <is>
          <t>Despesa variável</t>
        </is>
      </c>
      <c r="E40" s="59">
        <f>IF(C40="","",IFERROR(INDEX('6. Base de Custos'!$M$8:$M$42,MATCH(C40,'6. Base de Custos'!$L$8:$L$42,0)),"Não classificado"))</f>
        <v/>
      </c>
      <c r="F40" s="44" t="n">
        <v>46112</v>
      </c>
      <c r="G40" s="44" t="n">
        <v>46112</v>
      </c>
      <c r="H40" s="44" t="n">
        <v>46112</v>
      </c>
      <c r="I40" s="45" t="n">
        <v>0</v>
      </c>
      <c r="J40" s="28" t="inlineStr">
        <is>
          <t>Pago</t>
        </is>
      </c>
      <c r="K40" s="28" t="inlineStr">
        <is>
          <t>Variável</t>
        </is>
      </c>
      <c r="L40" s="28" t="inlineStr">
        <is>
          <t>Origem: CP mar/2026. Data de pagamento não informada no PDF; alocada em 31/03 como proxy mensal. valor não informado no PDF</t>
        </is>
      </c>
      <c r="M40" s="59">
        <f>IF(C40="","",IFERROR(INDEX('6. Base de Custos'!$N$8:$N$42,MATCH(C40,'6. Base de Custos'!$L$8:$L$42,0)),"Não classificado"))</f>
        <v/>
      </c>
      <c r="N40" s="59">
        <f>IF(C40="","",IFERROR(INDEX('6. Base de Custos'!$O$8:$O$42,MATCH(C40,'6. Base de Custos'!$L$8:$L$42,0)),"Revisar"))</f>
        <v/>
      </c>
      <c r="O40" s="60">
        <f>IF(M40="","",IFERROR(VLOOKUP(M40,'6. Base de Custos'!$H$12:$J$18,3,FALSE),0))</f>
        <v/>
      </c>
      <c r="P40" s="59">
        <f>IF(C40="","",IFERROR(INDEX('6. Base de Custos'!$P$8:$P$42,MATCH(C40,'6. Base de Custos'!$L$8:$L$42,0)),"Revisar"))</f>
        <v/>
      </c>
      <c r="Q40" s="59">
        <f>IF(C40="","",IFERROR(INDEX('6. Base de Custos'!$Q$8:$Q$42,MATCH(C40,'6. Base de Custos'!$L$8:$L$42,0)),""))</f>
        <v/>
      </c>
      <c r="R40" s="65" t="inlineStr">
        <is>
          <t>(-) Custos diretos dos serviços</t>
        </is>
      </c>
      <c r="S40" s="65" t="inlineStr">
        <is>
          <t>Custo direto</t>
        </is>
      </c>
      <c r="T40" s="65">
        <f>IF(C40="","",IF(R40="(-) Custos diretos dos serviços",IF(ISNUMBER(SEARCH("PCMSO",C40)),"PCMSO",IF(OR(ISNUMBER(SEARCH("SGS",C40)),ISNUMBER(SEARCH("CASTRO NAVES",C40))),"Projetos / Laudos / Avulsos","Projetos / Laudos / Avulsos")),"Rateio pela receita bruta"))</f>
        <v/>
      </c>
      <c r="U40" s="65">
        <f>IF(C40="","",IF(R40="(-) Custos diretos dos serviços","Direto por fornecedor/natureza do gasto","Rateio proporcional à receita bruta da linha de serviço"))</f>
        <v/>
      </c>
    </row>
    <row r="41">
      <c r="A41" s="28" t="inlineStr">
        <is>
          <t>CP-036</t>
        </is>
      </c>
      <c r="B41" s="27">
        <f>IF(F41="","",DATE(YEAR(F41),MONTH(F41),1))</f>
        <v/>
      </c>
      <c r="C41" s="28" t="inlineStr">
        <is>
          <t>TX DE FUNCIONAMENTO (1/2)</t>
        </is>
      </c>
      <c r="D41" s="28" t="inlineStr">
        <is>
          <t>Despesa variável</t>
        </is>
      </c>
      <c r="E41" s="59">
        <f>IF(C41="","",IFERROR(INDEX('6. Base de Custos'!$M$8:$M$42,MATCH(C41,'6. Base de Custos'!$L$8:$L$42,0)),"Não classificado"))</f>
        <v/>
      </c>
      <c r="F41" s="44" t="n">
        <v>46112</v>
      </c>
      <c r="G41" s="44" t="n">
        <v>46112</v>
      </c>
      <c r="H41" s="29" t="n"/>
      <c r="I41" s="45" t="n">
        <v>194.79</v>
      </c>
      <c r="J41" s="28" t="inlineStr">
        <is>
          <t>Aberto</t>
        </is>
      </c>
      <c r="K41" s="28" t="inlineStr">
        <is>
          <t>Variável</t>
        </is>
      </c>
      <c r="L41" s="28" t="inlineStr">
        <is>
          <t>Origem: CP mar/2026.</t>
        </is>
      </c>
      <c r="M41" s="59">
        <f>IF(C41="","",IFERROR(INDEX('6. Base de Custos'!$N$8:$N$42,MATCH(C41,'6. Base de Custos'!$L$8:$L$42,0)),"Não classificado"))</f>
        <v/>
      </c>
      <c r="N41" s="59">
        <f>IF(C41="","",IFERROR(INDEX('6. Base de Custos'!$O$8:$O$42,MATCH(C41,'6. Base de Custos'!$L$8:$L$42,0)),"Revisar"))</f>
        <v/>
      </c>
      <c r="O41" s="60">
        <f>IF(M41="","",IFERROR(VLOOKUP(M41,'6. Base de Custos'!$H$12:$J$18,3,FALSE),0))</f>
        <v/>
      </c>
      <c r="P41" s="59">
        <f>IF(C41="","",IFERROR(INDEX('6. Base de Custos'!$P$8:$P$42,MATCH(C41,'6. Base de Custos'!$L$8:$L$42,0)),"Revisar"))</f>
        <v/>
      </c>
      <c r="Q41" s="59">
        <f>IF(C41="","",IFERROR(INDEX('6. Base de Custos'!$Q$8:$Q$42,MATCH(C41,'6. Base de Custos'!$L$8:$L$42,0)),""))</f>
        <v/>
      </c>
      <c r="R41" s="65" t="inlineStr">
        <is>
          <t>(-) Encargos trabalhistas e tributos operacionais</t>
        </is>
      </c>
      <c r="S41" s="65" t="inlineStr">
        <is>
          <t>Despesa operacional</t>
        </is>
      </c>
      <c r="T41" s="65">
        <f>IF(C41="","",IF(R41="(-) Custos diretos dos serviços",IF(ISNUMBER(SEARCH("PCMSO",C41)),"PCMSO",IF(OR(ISNUMBER(SEARCH("SGS",C41)),ISNUMBER(SEARCH("CASTRO NAVES",C41))),"Projetos / Laudos / Avulsos","Projetos / Laudos / Avulsos")),"Rateio pela receita bruta"))</f>
        <v/>
      </c>
      <c r="U41" s="65">
        <f>IF(C41="","",IF(R41="(-) Custos diretos dos serviços","Direto por fornecedor/natureza do gasto","Rateio proporcional à receita bruta da linha de serviço"))</f>
        <v/>
      </c>
    </row>
    <row r="42">
      <c r="A42" s="28" t="n"/>
      <c r="B42" s="27">
        <f>IF(F42="","",DATE(YEAR(F42),MONTH(F42),1))</f>
        <v/>
      </c>
      <c r="C42" s="28" t="n"/>
      <c r="D42" s="28" t="n"/>
      <c r="E42" s="59">
        <f>IF(C42="","",IFERROR(INDEX('6. Base de Custos'!$M$8:$M$42,MATCH(C42,'6. Base de Custos'!$L$8:$L$42,0)),"Não classificado"))</f>
        <v/>
      </c>
      <c r="F42" s="29" t="n"/>
      <c r="G42" s="29" t="n"/>
      <c r="H42" s="29" t="n"/>
      <c r="I42" s="18" t="n"/>
      <c r="J42" s="28" t="n"/>
      <c r="K42" s="28" t="n"/>
      <c r="L42" s="28" t="n"/>
      <c r="M42" s="59">
        <f>IF(C42="","",IFERROR(INDEX('6. Base de Custos'!$N$8:$N$42,MATCH(C42,'6. Base de Custos'!$L$8:$L$42,0)),"Não classificado"))</f>
        <v/>
      </c>
      <c r="N42" s="59">
        <f>IF(C42="","",IFERROR(INDEX('6. Base de Custos'!$O$8:$O$42,MATCH(C42,'6. Base de Custos'!$L$8:$L$42,0)),"Revisar"))</f>
        <v/>
      </c>
      <c r="O42" s="60">
        <f>IF(M42="","",IFERROR(VLOOKUP(M42,'6. Base de Custos'!$H$12:$J$18,3,FALSE),0))</f>
        <v/>
      </c>
      <c r="P42" s="59">
        <f>IF(C42="","",IFERROR(INDEX('6. Base de Custos'!$P$8:$P$42,MATCH(C42,'6. Base de Custos'!$L$8:$L$42,0)),"Revisar"))</f>
        <v/>
      </c>
      <c r="Q42" s="59">
        <f>IF(C42="","",IFERROR(INDEX('6. Base de Custos'!$Q$8:$Q$42,MATCH(C42,'6. Base de Custos'!$L$8:$L$42,0)),""))</f>
        <v/>
      </c>
      <c r="T42" s="65">
        <f>IF(C42="","",IF(R42="(-) Custos diretos dos serviços",IF(ISNUMBER(SEARCH("PCMSO",C42)),"PCMSO",IF(OR(ISNUMBER(SEARCH("SGS",C42)),ISNUMBER(SEARCH("CASTRO NAVES",C42))),"Projetos / Laudos / Avulsos","Projetos / Laudos / Avulsos")),"Rateio pela receita bruta"))</f>
        <v/>
      </c>
      <c r="U42" s="65">
        <f>IF(C42="","",IF(R42="(-) Custos diretos dos serviços","Direto por fornecedor/natureza do gasto","Rateio proporcional à receita bruta da linha de serviço"))</f>
        <v/>
      </c>
    </row>
    <row r="43">
      <c r="A43" s="28" t="n"/>
      <c r="B43" s="27">
        <f>IF(F43="","",DATE(YEAR(F43),MONTH(F43),1))</f>
        <v/>
      </c>
      <c r="C43" s="28" t="n"/>
      <c r="D43" s="28" t="n"/>
      <c r="E43" s="59">
        <f>IF(C43="","",IFERROR(INDEX('6. Base de Custos'!$M$8:$M$42,MATCH(C43,'6. Base de Custos'!$L$8:$L$42,0)),"Não classificado"))</f>
        <v/>
      </c>
      <c r="F43" s="29" t="n"/>
      <c r="G43" s="29" t="n"/>
      <c r="H43" s="29" t="n"/>
      <c r="I43" s="18" t="n"/>
      <c r="J43" s="28" t="n"/>
      <c r="K43" s="28" t="n"/>
      <c r="L43" s="28" t="n"/>
      <c r="M43" s="59">
        <f>IF(C43="","",IFERROR(INDEX('6. Base de Custos'!$N$8:$N$42,MATCH(C43,'6. Base de Custos'!$L$8:$L$42,0)),"Não classificado"))</f>
        <v/>
      </c>
      <c r="N43" s="59">
        <f>IF(C43="","",IFERROR(INDEX('6. Base de Custos'!$O$8:$O$42,MATCH(C43,'6. Base de Custos'!$L$8:$L$42,0)),"Revisar"))</f>
        <v/>
      </c>
      <c r="O43" s="60">
        <f>IF(M43="","",IFERROR(VLOOKUP(M43,'6. Base de Custos'!$H$12:$J$18,3,FALSE),0))</f>
        <v/>
      </c>
      <c r="P43" s="59">
        <f>IF(C43="","",IFERROR(INDEX('6. Base de Custos'!$P$8:$P$42,MATCH(C43,'6. Base de Custos'!$L$8:$L$42,0)),"Revisar"))</f>
        <v/>
      </c>
      <c r="Q43" s="59">
        <f>IF(C43="","",IFERROR(INDEX('6. Base de Custos'!$Q$8:$Q$42,MATCH(C43,'6. Base de Custos'!$L$8:$L$42,0)),""))</f>
        <v/>
      </c>
      <c r="T43" s="65">
        <f>IF(C43="","",IF(R43="(-) Custos diretos dos serviços",IF(ISNUMBER(SEARCH("PCMSO",C43)),"PCMSO",IF(OR(ISNUMBER(SEARCH("SGS",C43)),ISNUMBER(SEARCH("CASTRO NAVES",C43))),"Projetos / Laudos / Avulsos","Projetos / Laudos / Avulsos")),"Rateio pela receita bruta"))</f>
        <v/>
      </c>
      <c r="U43" s="65">
        <f>IF(C43="","",IF(R43="(-) Custos diretos dos serviços","Direto por fornecedor/natureza do gasto","Rateio proporcional à receita bruta da linha de serviço"))</f>
        <v/>
      </c>
    </row>
    <row r="44">
      <c r="A44" s="28" t="n"/>
      <c r="B44" s="27">
        <f>IF(F44="","",DATE(YEAR(F44),MONTH(F44),1))</f>
        <v/>
      </c>
      <c r="C44" s="28" t="n"/>
      <c r="D44" s="28" t="n"/>
      <c r="E44" s="59">
        <f>IF(C44="","",IFERROR(INDEX('6. Base de Custos'!$M$8:$M$42,MATCH(C44,'6. Base de Custos'!$L$8:$L$42,0)),"Não classificado"))</f>
        <v/>
      </c>
      <c r="F44" s="29" t="n"/>
      <c r="G44" s="29" t="n"/>
      <c r="H44" s="29" t="n"/>
      <c r="I44" s="18" t="n"/>
      <c r="J44" s="28" t="n"/>
      <c r="K44" s="28" t="n"/>
      <c r="L44" s="28" t="n"/>
      <c r="M44" s="59">
        <f>IF(C44="","",IFERROR(INDEX('6. Base de Custos'!$N$8:$N$42,MATCH(C44,'6. Base de Custos'!$L$8:$L$42,0)),"Não classificado"))</f>
        <v/>
      </c>
      <c r="N44" s="59">
        <f>IF(C44="","",IFERROR(INDEX('6. Base de Custos'!$O$8:$O$42,MATCH(C44,'6. Base de Custos'!$L$8:$L$42,0)),"Revisar"))</f>
        <v/>
      </c>
      <c r="O44" s="60">
        <f>IF(M44="","",IFERROR(VLOOKUP(M44,'6. Base de Custos'!$H$12:$J$18,3,FALSE),0))</f>
        <v/>
      </c>
      <c r="P44" s="59">
        <f>IF(C44="","",IFERROR(INDEX('6. Base de Custos'!$P$8:$P$42,MATCH(C44,'6. Base de Custos'!$L$8:$L$42,0)),"Revisar"))</f>
        <v/>
      </c>
      <c r="Q44" s="59">
        <f>IF(C44="","",IFERROR(INDEX('6. Base de Custos'!$Q$8:$Q$42,MATCH(C44,'6. Base de Custos'!$L$8:$L$42,0)),""))</f>
        <v/>
      </c>
      <c r="T44" s="65">
        <f>IF(C44="","",IF(R44="(-) Custos diretos dos serviços",IF(ISNUMBER(SEARCH("PCMSO",C44)),"PCMSO",IF(OR(ISNUMBER(SEARCH("SGS",C44)),ISNUMBER(SEARCH("CASTRO NAVES",C44))),"Projetos / Laudos / Avulsos","Projetos / Laudos / Avulsos")),"Rateio pela receita bruta"))</f>
        <v/>
      </c>
      <c r="U44" s="65">
        <f>IF(C44="","",IF(R44="(-) Custos diretos dos serviços","Direto por fornecedor/natureza do gasto","Rateio proporcional à receita bruta da linha de serviço"))</f>
        <v/>
      </c>
    </row>
    <row r="45">
      <c r="A45" s="28" t="n"/>
      <c r="B45" s="27">
        <f>IF(F45="","",DATE(YEAR(F45),MONTH(F45),1))</f>
        <v/>
      </c>
      <c r="C45" s="28" t="n"/>
      <c r="D45" s="28" t="n"/>
      <c r="E45" s="59">
        <f>IF(C45="","",IFERROR(INDEX('6. Base de Custos'!$M$8:$M$42,MATCH(C45,'6. Base de Custos'!$L$8:$L$42,0)),"Não classificado"))</f>
        <v/>
      </c>
      <c r="F45" s="29" t="n"/>
      <c r="G45" s="29" t="n"/>
      <c r="H45" s="29" t="n"/>
      <c r="I45" s="18" t="n"/>
      <c r="J45" s="28" t="n"/>
      <c r="K45" s="28" t="n"/>
      <c r="L45" s="28" t="n"/>
      <c r="M45" s="59">
        <f>IF(C45="","",IFERROR(INDEX('6. Base de Custos'!$N$8:$N$42,MATCH(C45,'6. Base de Custos'!$L$8:$L$42,0)),"Não classificado"))</f>
        <v/>
      </c>
      <c r="N45" s="59">
        <f>IF(C45="","",IFERROR(INDEX('6. Base de Custos'!$O$8:$O$42,MATCH(C45,'6. Base de Custos'!$L$8:$L$42,0)),"Revisar"))</f>
        <v/>
      </c>
      <c r="O45" s="60">
        <f>IF(M45="","",IFERROR(VLOOKUP(M45,'6. Base de Custos'!$H$12:$J$18,3,FALSE),0))</f>
        <v/>
      </c>
      <c r="P45" s="59">
        <f>IF(C45="","",IFERROR(INDEX('6. Base de Custos'!$P$8:$P$42,MATCH(C45,'6. Base de Custos'!$L$8:$L$42,0)),"Revisar"))</f>
        <v/>
      </c>
      <c r="Q45" s="59">
        <f>IF(C45="","",IFERROR(INDEX('6. Base de Custos'!$Q$8:$Q$42,MATCH(C45,'6. Base de Custos'!$L$8:$L$42,0)),""))</f>
        <v/>
      </c>
      <c r="T45" s="65">
        <f>IF(C45="","",IF(R45="(-) Custos diretos dos serviços",IF(ISNUMBER(SEARCH("PCMSO",C45)),"PCMSO",IF(OR(ISNUMBER(SEARCH("SGS",C45)),ISNUMBER(SEARCH("CASTRO NAVES",C45))),"Projetos / Laudos / Avulsos","Projetos / Laudos / Avulsos")),"Rateio pela receita bruta"))</f>
        <v/>
      </c>
      <c r="U45" s="65">
        <f>IF(C45="","",IF(R45="(-) Custos diretos dos serviços","Direto por fornecedor/natureza do gasto","Rateio proporcional à receita bruta da linha de serviço"))</f>
        <v/>
      </c>
    </row>
    <row r="46">
      <c r="A46" s="28" t="n"/>
      <c r="B46" s="27">
        <f>IF(F46="","",DATE(YEAR(F46),MONTH(F46),1))</f>
        <v/>
      </c>
      <c r="C46" s="28" t="n"/>
      <c r="D46" s="28" t="n"/>
      <c r="E46" s="59">
        <f>IF(C46="","",IFERROR(INDEX('6. Base de Custos'!$M$8:$M$42,MATCH(C46,'6. Base de Custos'!$L$8:$L$42,0)),"Não classificado"))</f>
        <v/>
      </c>
      <c r="F46" s="29" t="n"/>
      <c r="G46" s="29" t="n"/>
      <c r="H46" s="29" t="n"/>
      <c r="I46" s="18" t="n"/>
      <c r="J46" s="28" t="n"/>
      <c r="K46" s="28" t="n"/>
      <c r="L46" s="28" t="n"/>
      <c r="M46" s="59">
        <f>IF(C46="","",IFERROR(INDEX('6. Base de Custos'!$N$8:$N$42,MATCH(C46,'6. Base de Custos'!$L$8:$L$42,0)),"Não classificado"))</f>
        <v/>
      </c>
      <c r="N46" s="59">
        <f>IF(C46="","",IFERROR(INDEX('6. Base de Custos'!$O$8:$O$42,MATCH(C46,'6. Base de Custos'!$L$8:$L$42,0)),"Revisar"))</f>
        <v/>
      </c>
      <c r="O46" s="60">
        <f>IF(M46="","",IFERROR(VLOOKUP(M46,'6. Base de Custos'!$H$12:$J$18,3,FALSE),0))</f>
        <v/>
      </c>
      <c r="P46" s="59">
        <f>IF(C46="","",IFERROR(INDEX('6. Base de Custos'!$P$8:$P$42,MATCH(C46,'6. Base de Custos'!$L$8:$L$42,0)),"Revisar"))</f>
        <v/>
      </c>
      <c r="Q46" s="59">
        <f>IF(C46="","",IFERROR(INDEX('6. Base de Custos'!$Q$8:$Q$42,MATCH(C46,'6. Base de Custos'!$L$8:$L$42,0)),""))</f>
        <v/>
      </c>
      <c r="T46" s="65">
        <f>IF(C46="","",IF(R46="(-) Custos diretos dos serviços",IF(ISNUMBER(SEARCH("PCMSO",C46)),"PCMSO",IF(OR(ISNUMBER(SEARCH("SGS",C46)),ISNUMBER(SEARCH("CASTRO NAVES",C46))),"Projetos / Laudos / Avulsos","Projetos / Laudos / Avulsos")),"Rateio pela receita bruta"))</f>
        <v/>
      </c>
      <c r="U46" s="65">
        <f>IF(C46="","",IF(R46="(-) Custos diretos dos serviços","Direto por fornecedor/natureza do gasto","Rateio proporcional à receita bruta da linha de serviço"))</f>
        <v/>
      </c>
    </row>
    <row r="47">
      <c r="A47" s="28" t="n"/>
      <c r="B47" s="27">
        <f>IF(F47="","",DATE(YEAR(F47),MONTH(F47),1))</f>
        <v/>
      </c>
      <c r="C47" s="28" t="n"/>
      <c r="D47" s="28" t="n"/>
      <c r="E47" s="59">
        <f>IF(C47="","",IFERROR(INDEX('6. Base de Custos'!$M$8:$M$42,MATCH(C47,'6. Base de Custos'!$L$8:$L$42,0)),"Não classificado"))</f>
        <v/>
      </c>
      <c r="F47" s="29" t="n"/>
      <c r="G47" s="29" t="n"/>
      <c r="H47" s="29" t="n"/>
      <c r="I47" s="18" t="n"/>
      <c r="J47" s="28" t="n"/>
      <c r="K47" s="28" t="n"/>
      <c r="L47" s="28" t="n"/>
      <c r="M47" s="59">
        <f>IF(C47="","",IFERROR(INDEX('6. Base de Custos'!$N$8:$N$42,MATCH(C47,'6. Base de Custos'!$L$8:$L$42,0)),"Não classificado"))</f>
        <v/>
      </c>
      <c r="N47" s="59">
        <f>IF(C47="","",IFERROR(INDEX('6. Base de Custos'!$O$8:$O$42,MATCH(C47,'6. Base de Custos'!$L$8:$L$42,0)),"Revisar"))</f>
        <v/>
      </c>
      <c r="O47" s="60">
        <f>IF(M47="","",IFERROR(VLOOKUP(M47,'6. Base de Custos'!$H$12:$J$18,3,FALSE),0))</f>
        <v/>
      </c>
      <c r="P47" s="59">
        <f>IF(C47="","",IFERROR(INDEX('6. Base de Custos'!$P$8:$P$42,MATCH(C47,'6. Base de Custos'!$L$8:$L$42,0)),"Revisar"))</f>
        <v/>
      </c>
      <c r="Q47" s="59">
        <f>IF(C47="","",IFERROR(INDEX('6. Base de Custos'!$Q$8:$Q$42,MATCH(C47,'6. Base de Custos'!$L$8:$L$42,0)),""))</f>
        <v/>
      </c>
      <c r="T47" s="65">
        <f>IF(C47="","",IF(R47="(-) Custos diretos dos serviços",IF(ISNUMBER(SEARCH("PCMSO",C47)),"PCMSO",IF(OR(ISNUMBER(SEARCH("SGS",C47)),ISNUMBER(SEARCH("CASTRO NAVES",C47))),"Projetos / Laudos / Avulsos","Projetos / Laudos / Avulsos")),"Rateio pela receita bruta"))</f>
        <v/>
      </c>
      <c r="U47" s="65">
        <f>IF(C47="","",IF(R47="(-) Custos diretos dos serviços","Direto por fornecedor/natureza do gasto","Rateio proporcional à receita bruta da linha de serviço"))</f>
        <v/>
      </c>
    </row>
    <row r="48">
      <c r="A48" s="28" t="n"/>
      <c r="B48" s="27">
        <f>IF(F48="","",DATE(YEAR(F48),MONTH(F48),1))</f>
        <v/>
      </c>
      <c r="C48" s="28" t="n"/>
      <c r="D48" s="28" t="n"/>
      <c r="E48" s="59">
        <f>IF(C48="","",IFERROR(INDEX('6. Base de Custos'!$M$8:$M$42,MATCH(C48,'6. Base de Custos'!$L$8:$L$42,0)),"Não classificado"))</f>
        <v/>
      </c>
      <c r="F48" s="29" t="n"/>
      <c r="G48" s="29" t="n"/>
      <c r="H48" s="29" t="n"/>
      <c r="I48" s="18" t="n"/>
      <c r="J48" s="28" t="n"/>
      <c r="K48" s="28" t="n"/>
      <c r="L48" s="28" t="n"/>
      <c r="M48" s="59">
        <f>IF(C48="","",IFERROR(INDEX('6. Base de Custos'!$N$8:$N$42,MATCH(C48,'6. Base de Custos'!$L$8:$L$42,0)),"Não classificado"))</f>
        <v/>
      </c>
      <c r="N48" s="59">
        <f>IF(C48="","",IFERROR(INDEX('6. Base de Custos'!$O$8:$O$42,MATCH(C48,'6. Base de Custos'!$L$8:$L$42,0)),"Revisar"))</f>
        <v/>
      </c>
      <c r="O48" s="60">
        <f>IF(M48="","",IFERROR(VLOOKUP(M48,'6. Base de Custos'!$H$12:$J$18,3,FALSE),0))</f>
        <v/>
      </c>
      <c r="P48" s="59">
        <f>IF(C48="","",IFERROR(INDEX('6. Base de Custos'!$P$8:$P$42,MATCH(C48,'6. Base de Custos'!$L$8:$L$42,0)),"Revisar"))</f>
        <v/>
      </c>
      <c r="Q48" s="59">
        <f>IF(C48="","",IFERROR(INDEX('6. Base de Custos'!$Q$8:$Q$42,MATCH(C48,'6. Base de Custos'!$L$8:$L$42,0)),""))</f>
        <v/>
      </c>
      <c r="T48" s="65">
        <f>IF(C48="","",IF(R48="(-) Custos diretos dos serviços",IF(ISNUMBER(SEARCH("PCMSO",C48)),"PCMSO",IF(OR(ISNUMBER(SEARCH("SGS",C48)),ISNUMBER(SEARCH("CASTRO NAVES",C48))),"Projetos / Laudos / Avulsos","Projetos / Laudos / Avulsos")),"Rateio pela receita bruta"))</f>
        <v/>
      </c>
      <c r="U48" s="65">
        <f>IF(C48="","",IF(R48="(-) Custos diretos dos serviços","Direto por fornecedor/natureza do gasto","Rateio proporcional à receita bruta da linha de serviço"))</f>
        <v/>
      </c>
    </row>
    <row r="49">
      <c r="A49" s="28" t="n"/>
      <c r="B49" s="27">
        <f>IF(F49="","",DATE(YEAR(F49),MONTH(F49),1))</f>
        <v/>
      </c>
      <c r="C49" s="28" t="n"/>
      <c r="D49" s="28" t="n"/>
      <c r="E49" s="59">
        <f>IF(C49="","",IFERROR(INDEX('6. Base de Custos'!$M$8:$M$42,MATCH(C49,'6. Base de Custos'!$L$8:$L$42,0)),"Não classificado"))</f>
        <v/>
      </c>
      <c r="F49" s="29" t="n"/>
      <c r="G49" s="29" t="n"/>
      <c r="H49" s="29" t="n"/>
      <c r="I49" s="18" t="n"/>
      <c r="J49" s="28" t="n"/>
      <c r="K49" s="28" t="n"/>
      <c r="L49" s="28" t="n"/>
      <c r="M49" s="59">
        <f>IF(C49="","",IFERROR(INDEX('6. Base de Custos'!$N$8:$N$42,MATCH(C49,'6. Base de Custos'!$L$8:$L$42,0)),"Não classificado"))</f>
        <v/>
      </c>
      <c r="N49" s="59">
        <f>IF(C49="","",IFERROR(INDEX('6. Base de Custos'!$O$8:$O$42,MATCH(C49,'6. Base de Custos'!$L$8:$L$42,0)),"Revisar"))</f>
        <v/>
      </c>
      <c r="O49" s="60">
        <f>IF(M49="","",IFERROR(VLOOKUP(M49,'6. Base de Custos'!$H$12:$J$18,3,FALSE),0))</f>
        <v/>
      </c>
      <c r="P49" s="59">
        <f>IF(C49="","",IFERROR(INDEX('6. Base de Custos'!$P$8:$P$42,MATCH(C49,'6. Base de Custos'!$L$8:$L$42,0)),"Revisar"))</f>
        <v/>
      </c>
      <c r="Q49" s="59">
        <f>IF(C49="","",IFERROR(INDEX('6. Base de Custos'!$Q$8:$Q$42,MATCH(C49,'6. Base de Custos'!$L$8:$L$42,0)),""))</f>
        <v/>
      </c>
      <c r="T49" s="65">
        <f>IF(C49="","",IF(R49="(-) Custos diretos dos serviços",IF(ISNUMBER(SEARCH("PCMSO",C49)),"PCMSO",IF(OR(ISNUMBER(SEARCH("SGS",C49)),ISNUMBER(SEARCH("CASTRO NAVES",C49))),"Projetos / Laudos / Avulsos","Projetos / Laudos / Avulsos")),"Rateio pela receita bruta"))</f>
        <v/>
      </c>
      <c r="U49" s="65">
        <f>IF(C49="","",IF(R49="(-) Custos diretos dos serviços","Direto por fornecedor/natureza do gasto","Rateio proporcional à receita bruta da linha de serviço"))</f>
        <v/>
      </c>
    </row>
    <row r="50">
      <c r="A50" s="28" t="n"/>
      <c r="B50" s="27">
        <f>IF(F50="","",DATE(YEAR(F50),MONTH(F50),1))</f>
        <v/>
      </c>
      <c r="C50" s="28" t="n"/>
      <c r="D50" s="28" t="n"/>
      <c r="E50" s="59">
        <f>IF(C50="","",IFERROR(INDEX('6. Base de Custos'!$M$8:$M$42,MATCH(C50,'6. Base de Custos'!$L$8:$L$42,0)),"Não classificado"))</f>
        <v/>
      </c>
      <c r="F50" s="29" t="n"/>
      <c r="G50" s="29" t="n"/>
      <c r="H50" s="29" t="n"/>
      <c r="I50" s="18" t="n"/>
      <c r="J50" s="28" t="n"/>
      <c r="K50" s="28" t="n"/>
      <c r="L50" s="28" t="n"/>
      <c r="M50" s="59">
        <f>IF(C50="","",IFERROR(INDEX('6. Base de Custos'!$N$8:$N$42,MATCH(C50,'6. Base de Custos'!$L$8:$L$42,0)),"Não classificado"))</f>
        <v/>
      </c>
      <c r="N50" s="59">
        <f>IF(C50="","",IFERROR(INDEX('6. Base de Custos'!$O$8:$O$42,MATCH(C50,'6. Base de Custos'!$L$8:$L$42,0)),"Revisar"))</f>
        <v/>
      </c>
      <c r="O50" s="60">
        <f>IF(M50="","",IFERROR(VLOOKUP(M50,'6. Base de Custos'!$H$12:$J$18,3,FALSE),0))</f>
        <v/>
      </c>
      <c r="P50" s="59">
        <f>IF(C50="","",IFERROR(INDEX('6. Base de Custos'!$P$8:$P$42,MATCH(C50,'6. Base de Custos'!$L$8:$L$42,0)),"Revisar"))</f>
        <v/>
      </c>
      <c r="Q50" s="59">
        <f>IF(C50="","",IFERROR(INDEX('6. Base de Custos'!$Q$8:$Q$42,MATCH(C50,'6. Base de Custos'!$L$8:$L$42,0)),""))</f>
        <v/>
      </c>
      <c r="T50" s="65">
        <f>IF(C50="","",IF(R50="(-) Custos diretos dos serviços",IF(ISNUMBER(SEARCH("PCMSO",C50)),"PCMSO",IF(OR(ISNUMBER(SEARCH("SGS",C50)),ISNUMBER(SEARCH("CASTRO NAVES",C50))),"Projetos / Laudos / Avulsos","Projetos / Laudos / Avulsos")),"Rateio pela receita bruta"))</f>
        <v/>
      </c>
      <c r="U50" s="65">
        <f>IF(C50="","",IF(R50="(-) Custos diretos dos serviços","Direto por fornecedor/natureza do gasto","Rateio proporcional à receita bruta da linha de serviço"))</f>
        <v/>
      </c>
    </row>
    <row r="51">
      <c r="A51" s="28" t="n"/>
      <c r="B51" s="27">
        <f>IF(F51="","",DATE(YEAR(F51),MONTH(F51),1))</f>
        <v/>
      </c>
      <c r="C51" s="28" t="n"/>
      <c r="D51" s="28" t="n"/>
      <c r="E51" s="59">
        <f>IF(C51="","",IFERROR(INDEX('6. Base de Custos'!$M$8:$M$42,MATCH(C51,'6. Base de Custos'!$L$8:$L$42,0)),"Não classificado"))</f>
        <v/>
      </c>
      <c r="F51" s="29" t="n"/>
      <c r="G51" s="29" t="n"/>
      <c r="H51" s="29" t="n"/>
      <c r="I51" s="18" t="n"/>
      <c r="J51" s="28" t="n"/>
      <c r="K51" s="28" t="n"/>
      <c r="L51" s="28" t="n"/>
      <c r="M51" s="59">
        <f>IF(C51="","",IFERROR(INDEX('6. Base de Custos'!$N$8:$N$42,MATCH(C51,'6. Base de Custos'!$L$8:$L$42,0)),"Não classificado"))</f>
        <v/>
      </c>
      <c r="N51" s="59">
        <f>IF(C51="","",IFERROR(INDEX('6. Base de Custos'!$O$8:$O$42,MATCH(C51,'6. Base de Custos'!$L$8:$L$42,0)),"Revisar"))</f>
        <v/>
      </c>
      <c r="O51" s="60">
        <f>IF(M51="","",IFERROR(VLOOKUP(M51,'6. Base de Custos'!$H$12:$J$18,3,FALSE),0))</f>
        <v/>
      </c>
      <c r="P51" s="59">
        <f>IF(C51="","",IFERROR(INDEX('6. Base de Custos'!$P$8:$P$42,MATCH(C51,'6. Base de Custos'!$L$8:$L$42,0)),"Revisar"))</f>
        <v/>
      </c>
      <c r="Q51" s="59">
        <f>IF(C51="","",IFERROR(INDEX('6. Base de Custos'!$Q$8:$Q$42,MATCH(C51,'6. Base de Custos'!$L$8:$L$42,0)),""))</f>
        <v/>
      </c>
      <c r="T51" s="65">
        <f>IF(C51="","",IF(R51="(-) Custos diretos dos serviços",IF(ISNUMBER(SEARCH("PCMSO",C51)),"PCMSO",IF(OR(ISNUMBER(SEARCH("SGS",C51)),ISNUMBER(SEARCH("CASTRO NAVES",C51))),"Projetos / Laudos / Avulsos","Projetos / Laudos / Avulsos")),"Rateio pela receita bruta"))</f>
        <v/>
      </c>
      <c r="U51" s="65">
        <f>IF(C51="","",IF(R51="(-) Custos diretos dos serviços","Direto por fornecedor/natureza do gasto","Rateio proporcional à receita bruta da linha de serviço"))</f>
        <v/>
      </c>
    </row>
    <row r="52">
      <c r="A52" s="28" t="n"/>
      <c r="B52" s="27">
        <f>IF(F52="","",DATE(YEAR(F52),MONTH(F52),1))</f>
        <v/>
      </c>
      <c r="C52" s="28" t="n"/>
      <c r="D52" s="28" t="n"/>
      <c r="E52" s="59">
        <f>IF(C52="","",IFERROR(INDEX('6. Base de Custos'!$M$8:$M$42,MATCH(C52,'6. Base de Custos'!$L$8:$L$42,0)),"Não classificado"))</f>
        <v/>
      </c>
      <c r="F52" s="29" t="n"/>
      <c r="G52" s="29" t="n"/>
      <c r="H52" s="29" t="n"/>
      <c r="I52" s="18" t="n"/>
      <c r="J52" s="28" t="n"/>
      <c r="K52" s="28" t="n"/>
      <c r="L52" s="28" t="n"/>
      <c r="M52" s="59">
        <f>IF(C52="","",IFERROR(INDEX('6. Base de Custos'!$N$8:$N$42,MATCH(C52,'6. Base de Custos'!$L$8:$L$42,0)),"Não classificado"))</f>
        <v/>
      </c>
      <c r="N52" s="59">
        <f>IF(C52="","",IFERROR(INDEX('6. Base de Custos'!$O$8:$O$42,MATCH(C52,'6. Base de Custos'!$L$8:$L$42,0)),"Revisar"))</f>
        <v/>
      </c>
      <c r="O52" s="60">
        <f>IF(M52="","",IFERROR(VLOOKUP(M52,'6. Base de Custos'!$H$12:$J$18,3,FALSE),0))</f>
        <v/>
      </c>
      <c r="P52" s="59">
        <f>IF(C52="","",IFERROR(INDEX('6. Base de Custos'!$P$8:$P$42,MATCH(C52,'6. Base de Custos'!$L$8:$L$42,0)),"Revisar"))</f>
        <v/>
      </c>
      <c r="Q52" s="59">
        <f>IF(C52="","",IFERROR(INDEX('6. Base de Custos'!$Q$8:$Q$42,MATCH(C52,'6. Base de Custos'!$L$8:$L$42,0)),""))</f>
        <v/>
      </c>
      <c r="T52" s="65">
        <f>IF(C52="","",IF(R52="(-) Custos diretos dos serviços",IF(ISNUMBER(SEARCH("PCMSO",C52)),"PCMSO",IF(OR(ISNUMBER(SEARCH("SGS",C52)),ISNUMBER(SEARCH("CASTRO NAVES",C52))),"Projetos / Laudos / Avulsos","Projetos / Laudos / Avulsos")),"Rateio pela receita bruta"))</f>
        <v/>
      </c>
      <c r="U52" s="65">
        <f>IF(C52="","",IF(R52="(-) Custos diretos dos serviços","Direto por fornecedor/natureza do gasto","Rateio proporcional à receita bruta da linha de serviço"))</f>
        <v/>
      </c>
    </row>
    <row r="53">
      <c r="A53" s="28" t="n"/>
      <c r="B53" s="27">
        <f>IF(F53="","",DATE(YEAR(F53),MONTH(F53),1))</f>
        <v/>
      </c>
      <c r="C53" s="28" t="n"/>
      <c r="D53" s="28" t="n"/>
      <c r="E53" s="59">
        <f>IF(C53="","",IFERROR(INDEX('6. Base de Custos'!$M$8:$M$42,MATCH(C53,'6. Base de Custos'!$L$8:$L$42,0)),"Não classificado"))</f>
        <v/>
      </c>
      <c r="F53" s="29" t="n"/>
      <c r="G53" s="29" t="n"/>
      <c r="H53" s="29" t="n"/>
      <c r="I53" s="18" t="n"/>
      <c r="J53" s="28" t="n"/>
      <c r="K53" s="28" t="n"/>
      <c r="L53" s="28" t="n"/>
      <c r="M53" s="59">
        <f>IF(C53="","",IFERROR(INDEX('6. Base de Custos'!$N$8:$N$42,MATCH(C53,'6. Base de Custos'!$L$8:$L$42,0)),"Não classificado"))</f>
        <v/>
      </c>
      <c r="N53" s="59">
        <f>IF(C53="","",IFERROR(INDEX('6. Base de Custos'!$O$8:$O$42,MATCH(C53,'6. Base de Custos'!$L$8:$L$42,0)),"Revisar"))</f>
        <v/>
      </c>
      <c r="O53" s="60">
        <f>IF(M53="","",IFERROR(VLOOKUP(M53,'6. Base de Custos'!$H$12:$J$18,3,FALSE),0))</f>
        <v/>
      </c>
      <c r="P53" s="59">
        <f>IF(C53="","",IFERROR(INDEX('6. Base de Custos'!$P$8:$P$42,MATCH(C53,'6. Base de Custos'!$L$8:$L$42,0)),"Revisar"))</f>
        <v/>
      </c>
      <c r="Q53" s="59">
        <f>IF(C53="","",IFERROR(INDEX('6. Base de Custos'!$Q$8:$Q$42,MATCH(C53,'6. Base de Custos'!$L$8:$L$42,0)),""))</f>
        <v/>
      </c>
      <c r="T53" s="65">
        <f>IF(C53="","",IF(R53="(-) Custos diretos dos serviços",IF(ISNUMBER(SEARCH("PCMSO",C53)),"PCMSO",IF(OR(ISNUMBER(SEARCH("SGS",C53)),ISNUMBER(SEARCH("CASTRO NAVES",C53))),"Projetos / Laudos / Avulsos","Projetos / Laudos / Avulsos")),"Rateio pela receita bruta"))</f>
        <v/>
      </c>
      <c r="U53" s="65">
        <f>IF(C53="","",IF(R53="(-) Custos diretos dos serviços","Direto por fornecedor/natureza do gasto","Rateio proporcional à receita bruta da linha de serviço"))</f>
        <v/>
      </c>
    </row>
    <row r="54">
      <c r="A54" s="28" t="n"/>
      <c r="B54" s="27">
        <f>IF(F54="","",DATE(YEAR(F54),MONTH(F54),1))</f>
        <v/>
      </c>
      <c r="C54" s="28" t="n"/>
      <c r="D54" s="28" t="n"/>
      <c r="E54" s="59">
        <f>IF(C54="","",IFERROR(INDEX('6. Base de Custos'!$M$8:$M$42,MATCH(C54,'6. Base de Custos'!$L$8:$L$42,0)),"Não classificado"))</f>
        <v/>
      </c>
      <c r="F54" s="29" t="n"/>
      <c r="G54" s="29" t="n"/>
      <c r="H54" s="29" t="n"/>
      <c r="I54" s="18" t="n"/>
      <c r="J54" s="28" t="n"/>
      <c r="K54" s="28" t="n"/>
      <c r="L54" s="28" t="n"/>
      <c r="M54" s="59">
        <f>IF(C54="","",IFERROR(INDEX('6. Base de Custos'!$N$8:$N$42,MATCH(C54,'6. Base de Custos'!$L$8:$L$42,0)),"Não classificado"))</f>
        <v/>
      </c>
      <c r="N54" s="59">
        <f>IF(C54="","",IFERROR(INDEX('6. Base de Custos'!$O$8:$O$42,MATCH(C54,'6. Base de Custos'!$L$8:$L$42,0)),"Revisar"))</f>
        <v/>
      </c>
      <c r="O54" s="60">
        <f>IF(M54="","",IFERROR(VLOOKUP(M54,'6. Base de Custos'!$H$12:$J$18,3,FALSE),0))</f>
        <v/>
      </c>
      <c r="P54" s="59">
        <f>IF(C54="","",IFERROR(INDEX('6. Base de Custos'!$P$8:$P$42,MATCH(C54,'6. Base de Custos'!$L$8:$L$42,0)),"Revisar"))</f>
        <v/>
      </c>
      <c r="Q54" s="59">
        <f>IF(C54="","",IFERROR(INDEX('6. Base de Custos'!$Q$8:$Q$42,MATCH(C54,'6. Base de Custos'!$L$8:$L$42,0)),""))</f>
        <v/>
      </c>
      <c r="T54" s="65">
        <f>IF(C54="","",IF(R54="(-) Custos diretos dos serviços",IF(ISNUMBER(SEARCH("PCMSO",C54)),"PCMSO",IF(OR(ISNUMBER(SEARCH("SGS",C54)),ISNUMBER(SEARCH("CASTRO NAVES",C54))),"Projetos / Laudos / Avulsos","Projetos / Laudos / Avulsos")),"Rateio pela receita bruta"))</f>
        <v/>
      </c>
      <c r="U54" s="65">
        <f>IF(C54="","",IF(R54="(-) Custos diretos dos serviços","Direto por fornecedor/natureza do gasto","Rateio proporcional à receita bruta da linha de serviço"))</f>
        <v/>
      </c>
    </row>
    <row r="55">
      <c r="A55" s="28" t="n"/>
      <c r="B55" s="27">
        <f>IF(F55="","",DATE(YEAR(F55),MONTH(F55),1))</f>
        <v/>
      </c>
      <c r="C55" s="28" t="n"/>
      <c r="D55" s="28" t="n"/>
      <c r="E55" s="59">
        <f>IF(C55="","",IFERROR(INDEX('6. Base de Custos'!$M$8:$M$42,MATCH(C55,'6. Base de Custos'!$L$8:$L$42,0)),"Não classificado"))</f>
        <v/>
      </c>
      <c r="F55" s="29" t="n"/>
      <c r="G55" s="29" t="n"/>
      <c r="H55" s="29" t="n"/>
      <c r="I55" s="18" t="n"/>
      <c r="J55" s="28" t="n"/>
      <c r="K55" s="28" t="n"/>
      <c r="L55" s="28" t="n"/>
      <c r="M55" s="59">
        <f>IF(C55="","",IFERROR(INDEX('6. Base de Custos'!$N$8:$N$42,MATCH(C55,'6. Base de Custos'!$L$8:$L$42,0)),"Não classificado"))</f>
        <v/>
      </c>
      <c r="N55" s="59">
        <f>IF(C55="","",IFERROR(INDEX('6. Base de Custos'!$O$8:$O$42,MATCH(C55,'6. Base de Custos'!$L$8:$L$42,0)),"Revisar"))</f>
        <v/>
      </c>
      <c r="O55" s="60">
        <f>IF(M55="","",IFERROR(VLOOKUP(M55,'6. Base de Custos'!$H$12:$J$18,3,FALSE),0))</f>
        <v/>
      </c>
      <c r="P55" s="59">
        <f>IF(C55="","",IFERROR(INDEX('6. Base de Custos'!$P$8:$P$42,MATCH(C55,'6. Base de Custos'!$L$8:$L$42,0)),"Revisar"))</f>
        <v/>
      </c>
      <c r="Q55" s="59">
        <f>IF(C55="","",IFERROR(INDEX('6. Base de Custos'!$Q$8:$Q$42,MATCH(C55,'6. Base de Custos'!$L$8:$L$42,0)),""))</f>
        <v/>
      </c>
      <c r="T55" s="65">
        <f>IF(C55="","",IF(R55="(-) Custos diretos dos serviços",IF(ISNUMBER(SEARCH("PCMSO",C55)),"PCMSO",IF(OR(ISNUMBER(SEARCH("SGS",C55)),ISNUMBER(SEARCH("CASTRO NAVES",C55))),"Projetos / Laudos / Avulsos","Projetos / Laudos / Avulsos")),"Rateio pela receita bruta"))</f>
        <v/>
      </c>
      <c r="U55" s="65">
        <f>IF(C55="","",IF(R55="(-) Custos diretos dos serviços","Direto por fornecedor/natureza do gasto","Rateio proporcional à receita bruta da linha de serviço"))</f>
        <v/>
      </c>
    </row>
    <row r="56">
      <c r="A56" s="28">
        <f>IF(C56="","", "CP-"&amp;TEXT(ROW()-5,"000"))</f>
        <v/>
      </c>
      <c r="B56" s="27">
        <f>IF(F56="","",DATE(YEAR(F56),MONTH(F56),1))</f>
        <v/>
      </c>
      <c r="C56" s="28" t="n"/>
      <c r="D56" s="28" t="n"/>
      <c r="E56" s="59">
        <f>IF(C56="","",IFERROR(INDEX('6. Base de Custos'!$M$8:$M$42,MATCH(C56,'6. Base de Custos'!$L$8:$L$42,0)),"Não classificado"))</f>
        <v/>
      </c>
      <c r="F56" s="111" t="n"/>
      <c r="G56" s="111" t="n"/>
      <c r="H56" s="111" t="n"/>
      <c r="I56" s="45" t="n"/>
      <c r="J56" s="28" t="n"/>
      <c r="K56" s="28" t="n"/>
      <c r="L56" s="28" t="n"/>
      <c r="M56" s="59">
        <f>IF(C56="","",IFERROR(INDEX('6. Base de Custos'!$N$8:$N$42,MATCH(C56,'6. Base de Custos'!$L$8:$L$42,0)),"Não classificado"))</f>
        <v/>
      </c>
      <c r="N56" s="59">
        <f>IF(C56="","",IFERROR(INDEX('6. Base de Custos'!$O$8:$O$42,MATCH(C56,'6. Base de Custos'!$L$8:$L$42,0)),"Revisar"))</f>
        <v/>
      </c>
      <c r="O56" s="60">
        <f>IF(M56="","",IFERROR(VLOOKUP(M56,'6. Base de Custos'!$H$12:$J$18,3,FALSE),0))</f>
        <v/>
      </c>
      <c r="P56" s="59">
        <f>IF(C56="","",IFERROR(INDEX('6. Base de Custos'!$P$8:$P$42,MATCH(C56,'6. Base de Custos'!$L$8:$L$42,0)),"Revisar"))</f>
        <v/>
      </c>
      <c r="Q56" s="59">
        <f>IF(C56="","",IFERROR(INDEX('6. Base de Custos'!$Q$8:$Q$42,MATCH(C56,'6. Base de Custos'!$L$8:$L$42,0)),""))</f>
        <v/>
      </c>
      <c r="R56" s="65">
        <f>IF(C56="","",IFERROR(VLOOKUP(M56&amp;"|"&amp;N56,'17. Mapa DRE CP'!$E$5:$H$100,2,FALSE),"Revisar"))</f>
        <v/>
      </c>
      <c r="S56" s="65">
        <f>IF(C56="","",IFERROR(VLOOKUP(M56&amp;"|"&amp;N56,'17. Mapa DRE CP'!$E$5:$H$100,3,FALSE),"Revisar"))</f>
        <v/>
      </c>
      <c r="T56" s="65">
        <f>IF(C56="","",IF(R56="(-) Custos diretos dos serviços",IF(ISNUMBER(SEARCH("PCMSO",C56)),"PCMSO",IF(OR(ISNUMBER(SEARCH("SGS",C56)),ISNUMBER(SEARCH("CASTRO NAVES",C56))),"Projetos / Laudos / Avulsos","Projetos / Laudos / Avulsos")),"Rateio pela receita bruta"))</f>
        <v/>
      </c>
      <c r="U56" s="65">
        <f>IF(C56="","",IF(R56="(-) Custos diretos dos serviços","Direto por fornecedor/natureza do gasto","Rateio proporcional à receita bruta da linha de serviço"))</f>
        <v/>
      </c>
    </row>
    <row r="57">
      <c r="A57" s="28">
        <f>IF(C57="","", "CP-"&amp;TEXT(ROW()-5,"000"))</f>
        <v/>
      </c>
      <c r="B57" s="27">
        <f>IF(F57="","",DATE(YEAR(F57),MONTH(F57),1))</f>
        <v/>
      </c>
      <c r="C57" s="28" t="n"/>
      <c r="D57" s="28" t="n"/>
      <c r="E57" s="59">
        <f>IF(C57="","",IFERROR(INDEX('6. Base de Custos'!$M$8:$M$42,MATCH(C57,'6. Base de Custos'!$L$8:$L$42,0)),"Não classificado"))</f>
        <v/>
      </c>
      <c r="F57" s="111" t="n"/>
      <c r="G57" s="111" t="n"/>
      <c r="H57" s="111" t="n"/>
      <c r="I57" s="45" t="n"/>
      <c r="J57" s="28" t="n"/>
      <c r="K57" s="28" t="n"/>
      <c r="L57" s="28" t="n"/>
      <c r="M57" s="59">
        <f>IF(C57="","",IFERROR(INDEX('6. Base de Custos'!$N$8:$N$42,MATCH(C57,'6. Base de Custos'!$L$8:$L$42,0)),"Não classificado"))</f>
        <v/>
      </c>
      <c r="N57" s="59">
        <f>IF(C57="","",IFERROR(INDEX('6. Base de Custos'!$O$8:$O$42,MATCH(C57,'6. Base de Custos'!$L$8:$L$42,0)),"Revisar"))</f>
        <v/>
      </c>
      <c r="O57" s="60">
        <f>IF(M57="","",IFERROR(VLOOKUP(M57,'6. Base de Custos'!$H$12:$J$18,3,FALSE),0))</f>
        <v/>
      </c>
      <c r="P57" s="59">
        <f>IF(C57="","",IFERROR(INDEX('6. Base de Custos'!$P$8:$P$42,MATCH(C57,'6. Base de Custos'!$L$8:$L$42,0)),"Revisar"))</f>
        <v/>
      </c>
      <c r="Q57" s="59">
        <f>IF(C57="","",IFERROR(INDEX('6. Base de Custos'!$Q$8:$Q$42,MATCH(C57,'6. Base de Custos'!$L$8:$L$42,0)),""))</f>
        <v/>
      </c>
      <c r="R57" s="65">
        <f>IF(C57="","",IFERROR(VLOOKUP(M57&amp;"|"&amp;N57,'17. Mapa DRE CP'!$E$5:$H$100,2,FALSE),"Revisar"))</f>
        <v/>
      </c>
      <c r="S57" s="65">
        <f>IF(C57="","",IFERROR(VLOOKUP(M57&amp;"|"&amp;N57,'17. Mapa DRE CP'!$E$5:$H$100,3,FALSE),"Revisar"))</f>
        <v/>
      </c>
      <c r="T57" s="65">
        <f>IF(C57="","",IF(R57="(-) Custos diretos dos serviços",IF(ISNUMBER(SEARCH("PCMSO",C57)),"PCMSO",IF(OR(ISNUMBER(SEARCH("SGS",C57)),ISNUMBER(SEARCH("CASTRO NAVES",C57))),"Projetos / Laudos / Avulsos","Projetos / Laudos / Avulsos")),"Rateio pela receita bruta"))</f>
        <v/>
      </c>
      <c r="U57" s="65">
        <f>IF(C57="","",IF(R57="(-) Custos diretos dos serviços","Direto por fornecedor/natureza do gasto","Rateio proporcional à receita bruta da linha de serviço"))</f>
        <v/>
      </c>
    </row>
    <row r="58">
      <c r="A58" s="28">
        <f>IF(C58="","", "CP-"&amp;TEXT(ROW()-5,"000"))</f>
        <v/>
      </c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1" t="n"/>
      <c r="M58" s="59">
        <f>IF(C58="","",IFERROR(INDEX('6. Base de Custos'!$N$8:$N$42,MATCH(C58,'6. Base de Custos'!$L$8:$L$42,0)),"Não classificado"))</f>
        <v/>
      </c>
      <c r="N58" s="50" t="n"/>
      <c r="O58" s="50" t="n"/>
      <c r="P58" s="50" t="n"/>
      <c r="Q58" s="51" t="n"/>
      <c r="R58" s="65">
        <f>IF(C58="","",IFERROR(VLOOKUP(M58&amp;"|"&amp;N58,'17. Mapa DRE CP'!$E$5:$H$100,2,FALSE),"Revisar"))</f>
        <v/>
      </c>
      <c r="S58" s="65">
        <f>IF(C58="","",IFERROR(VLOOKUP(M58&amp;"|"&amp;N58,'17. Mapa DRE CP'!$E$5:$H$100,3,FALSE),"Revisar"))</f>
        <v/>
      </c>
      <c r="T58" s="65">
        <f>IF(C58="","",IF(R58="(-) Custos diretos dos serviços",IF(ISNUMBER(SEARCH("PCMSO",C58)),"PCMSO",IF(OR(ISNUMBER(SEARCH("SGS",C58)),ISNUMBER(SEARCH("CASTRO NAVES",C58))),"Projetos / Laudos / Avulsos","Projetos / Laudos / Avulsos")),"Rateio pela receita bruta"))</f>
        <v/>
      </c>
      <c r="U58" s="65">
        <f>IF(C58="","",IF(R58="(-) Custos diretos dos serviços","Direto por fornecedor/natureza do gasto","Rateio proporcional à receita bruta da linha de serviço"))</f>
        <v/>
      </c>
    </row>
    <row r="59">
      <c r="A59" s="28">
        <f>IF(C59="","", "CP-"&amp;TEXT(ROW()-5,"000"))</f>
        <v/>
      </c>
      <c r="B59" s="27">
        <f>IF(F59="","",DATE(YEAR(F59),MONTH(F59),1))</f>
        <v/>
      </c>
      <c r="C59" s="28" t="n"/>
      <c r="D59" s="28" t="n"/>
      <c r="E59" s="59">
        <f>IF(C59="","",IFERROR(INDEX('6. Base de Custos'!$M$8:$M$42,MATCH(C59,'6. Base de Custos'!$L$8:$L$42,0)),"Não classificado"))</f>
        <v/>
      </c>
      <c r="F59" s="111" t="n"/>
      <c r="G59" s="111" t="n"/>
      <c r="H59" s="111" t="n"/>
      <c r="I59" s="45" t="n"/>
      <c r="J59" s="28" t="n"/>
      <c r="K59" s="28" t="n"/>
      <c r="L59" s="28" t="n"/>
      <c r="M59" s="59">
        <f>IF(C59="","",IFERROR(INDEX('6. Base de Custos'!$N$8:$N$42,MATCH(C59,'6. Base de Custos'!$L$8:$L$42,0)),"Não classificado"))</f>
        <v/>
      </c>
      <c r="N59" s="59">
        <f>IF(C59="","",IFERROR(INDEX('6. Base de Custos'!$O$8:$O$42,MATCH(C59,'6. Base de Custos'!$L$8:$L$42,0)),"Revisar"))</f>
        <v/>
      </c>
      <c r="O59" s="60">
        <f>IF(M59="","",IFERROR(VLOOKUP(M59,'6. Base de Custos'!$H$12:$J$18,3,FALSE),0))</f>
        <v/>
      </c>
      <c r="P59" s="59">
        <f>IF(C59="","",IFERROR(INDEX('6. Base de Custos'!$P$8:$P$42,MATCH(C59,'6. Base de Custos'!$L$8:$L$42,0)),"Revisar"))</f>
        <v/>
      </c>
      <c r="Q59" s="59">
        <f>IF(C59="","",IFERROR(INDEX('6. Base de Custos'!$Q$8:$Q$42,MATCH(C59,'6. Base de Custos'!$L$8:$L$42,0)),""))</f>
        <v/>
      </c>
      <c r="R59" s="65">
        <f>IF(C59="","",IFERROR(VLOOKUP(M59&amp;"|"&amp;N59,'17. Mapa DRE CP'!$E$5:$H$100,2,FALSE),"Revisar"))</f>
        <v/>
      </c>
      <c r="S59" s="65">
        <f>IF(C59="","",IFERROR(VLOOKUP(M59&amp;"|"&amp;N59,'17. Mapa DRE CP'!$E$5:$H$100,3,FALSE),"Revisar"))</f>
        <v/>
      </c>
      <c r="T59" s="65">
        <f>IF(C59="","",IF(R59="(-) Custos diretos dos serviços",IF(ISNUMBER(SEARCH("PCMSO",C59)),"PCMSO",IF(OR(ISNUMBER(SEARCH("SGS",C59)),ISNUMBER(SEARCH("CASTRO NAVES",C59))),"Projetos / Laudos / Avulsos","Projetos / Laudos / Avulsos")),"Rateio pela receita bruta"))</f>
        <v/>
      </c>
      <c r="U59" s="65">
        <f>IF(C59="","",IF(R59="(-) Custos diretos dos serviços","Direto por fornecedor/natureza do gasto","Rateio proporcional à receita bruta da linha de serviço"))</f>
        <v/>
      </c>
    </row>
    <row r="60">
      <c r="A60" s="28">
        <f>IF(C60="","", "CP-"&amp;TEXT(ROW()-5,"000"))</f>
        <v/>
      </c>
      <c r="B60" s="27">
        <f>IF(F60="","",DATE(YEAR(F60),MONTH(F60),1))</f>
        <v/>
      </c>
      <c r="C60" s="28" t="n"/>
      <c r="D60" s="28" t="n"/>
      <c r="E60" s="59">
        <f>IF(C60="","",IFERROR(INDEX('6. Base de Custos'!$M$8:$M$42,MATCH(C60,'6. Base de Custos'!$L$8:$L$42,0)),"Não classificado"))</f>
        <v/>
      </c>
      <c r="F60" s="111" t="n"/>
      <c r="G60" s="111" t="n"/>
      <c r="H60" s="111" t="n"/>
      <c r="I60" s="45" t="n"/>
      <c r="J60" s="28" t="n"/>
      <c r="K60" s="28" t="n"/>
      <c r="L60" s="28" t="n"/>
      <c r="M60" s="59">
        <f>IF(C60="","",IFERROR(INDEX('6. Base de Custos'!$N$8:$N$42,MATCH(C60,'6. Base de Custos'!$L$8:$L$42,0)),"Não classificado"))</f>
        <v/>
      </c>
      <c r="N60" s="59">
        <f>IF(C60="","",IFERROR(INDEX('6. Base de Custos'!$O$8:$O$42,MATCH(C60,'6. Base de Custos'!$L$8:$L$42,0)),"Revisar"))</f>
        <v/>
      </c>
      <c r="O60" s="60">
        <f>IF(M60="","",IFERROR(VLOOKUP(M60,'6. Base de Custos'!$H$12:$J$18,3,FALSE),0))</f>
        <v/>
      </c>
      <c r="P60" s="59">
        <f>IF(C60="","",IFERROR(INDEX('6. Base de Custos'!$P$8:$P$42,MATCH(C60,'6. Base de Custos'!$L$8:$L$42,0)),"Revisar"))</f>
        <v/>
      </c>
      <c r="Q60" s="59">
        <f>IF(C60="","",IFERROR(INDEX('6. Base de Custos'!$Q$8:$Q$42,MATCH(C60,'6. Base de Custos'!$L$8:$L$42,0)),""))</f>
        <v/>
      </c>
      <c r="R60" s="65">
        <f>IF(C60="","",IFERROR(VLOOKUP(M60&amp;"|"&amp;N60,'17. Mapa DRE CP'!$E$5:$H$100,2,FALSE),"Revisar"))</f>
        <v/>
      </c>
      <c r="S60" s="65">
        <f>IF(C60="","",IFERROR(VLOOKUP(M60&amp;"|"&amp;N60,'17. Mapa DRE CP'!$E$5:$H$100,3,FALSE),"Revisar"))</f>
        <v/>
      </c>
      <c r="T60" s="65">
        <f>IF(C60="","",IF(R60="(-) Custos diretos dos serviços",IF(ISNUMBER(SEARCH("PCMSO",C60)),"PCMSO",IF(OR(ISNUMBER(SEARCH("SGS",C60)),ISNUMBER(SEARCH("CASTRO NAVES",C60))),"Projetos / Laudos / Avulsos","Projetos / Laudos / Avulsos")),"Rateio pela receita bruta"))</f>
        <v/>
      </c>
      <c r="U60" s="65">
        <f>IF(C60="","",IF(R60="(-) Custos diretos dos serviços","Direto por fornecedor/natureza do gasto","Rateio proporcional à receita bruta da linha de serviço"))</f>
        <v/>
      </c>
    </row>
    <row r="61">
      <c r="A61" s="28">
        <f>IF(C61="","", "CP-"&amp;TEXT(ROW()-5,"000"))</f>
        <v/>
      </c>
      <c r="B61" s="27">
        <f>IF(F61="","",DATE(YEAR(F61),MONTH(F61),1))</f>
        <v/>
      </c>
      <c r="C61" s="28" t="n"/>
      <c r="D61" s="28" t="n"/>
      <c r="E61" s="59">
        <f>IF(C61="","",IFERROR(INDEX('6. Base de Custos'!$M$8:$M$42,MATCH(C61,'6. Base de Custos'!$L$8:$L$42,0)),"Não classificado"))</f>
        <v/>
      </c>
      <c r="F61" s="111" t="n"/>
      <c r="G61" s="111" t="n"/>
      <c r="H61" s="111" t="n"/>
      <c r="I61" s="45" t="n"/>
      <c r="J61" s="28" t="n"/>
      <c r="K61" s="28" t="n"/>
      <c r="L61" s="28" t="n"/>
      <c r="M61" s="59">
        <f>IF(C61="","",IFERROR(INDEX('6. Base de Custos'!$N$8:$N$42,MATCH(C61,'6. Base de Custos'!$L$8:$L$42,0)),"Não classificado"))</f>
        <v/>
      </c>
      <c r="N61" s="59">
        <f>IF(C61="","",IFERROR(INDEX('6. Base de Custos'!$O$8:$O$42,MATCH(C61,'6. Base de Custos'!$L$8:$L$42,0)),"Revisar"))</f>
        <v/>
      </c>
      <c r="O61" s="60">
        <f>IF(M61="","",IFERROR(VLOOKUP(M61,'6. Base de Custos'!$H$12:$J$18,3,FALSE),0))</f>
        <v/>
      </c>
      <c r="P61" s="59">
        <f>IF(C61="","",IFERROR(INDEX('6. Base de Custos'!$P$8:$P$42,MATCH(C61,'6. Base de Custos'!$L$8:$L$42,0)),"Revisar"))</f>
        <v/>
      </c>
      <c r="Q61" s="59">
        <f>IF(C61="","",IFERROR(INDEX('6. Base de Custos'!$Q$8:$Q$42,MATCH(C61,'6. Base de Custos'!$L$8:$L$42,0)),""))</f>
        <v/>
      </c>
      <c r="R61" s="65">
        <f>IF(C61="","",IFERROR(VLOOKUP(M61&amp;"|"&amp;N61,'17. Mapa DRE CP'!$E$5:$H$100,2,FALSE),"Revisar"))</f>
        <v/>
      </c>
      <c r="S61" s="65">
        <f>IF(C61="","",IFERROR(VLOOKUP(M61&amp;"|"&amp;N61,'17. Mapa DRE CP'!$E$5:$H$100,3,FALSE),"Revisar"))</f>
        <v/>
      </c>
      <c r="T61" s="65">
        <f>IF(C61="","",IF(R61="(-) Custos diretos dos serviços",IF(ISNUMBER(SEARCH("PCMSO",C61)),"PCMSO",IF(OR(ISNUMBER(SEARCH("SGS",C61)),ISNUMBER(SEARCH("CASTRO NAVES",C61))),"Projetos / Laudos / Avulsos","Projetos / Laudos / Avulsos")),"Rateio pela receita bruta"))</f>
        <v/>
      </c>
      <c r="U61" s="65">
        <f>IF(C61="","",IF(R61="(-) Custos diretos dos serviços","Direto por fornecedor/natureza do gasto","Rateio proporcional à receita bruta da linha de serviço"))</f>
        <v/>
      </c>
    </row>
    <row r="62">
      <c r="A62" s="28">
        <f>IF(C62="","", "CP-"&amp;TEXT(ROW()-5,"000"))</f>
        <v/>
      </c>
      <c r="B62" s="27">
        <f>IF(F62="","",DATE(YEAR(F62),MONTH(F62),1))</f>
        <v/>
      </c>
      <c r="C62" s="28" t="n"/>
      <c r="D62" s="28" t="n"/>
      <c r="E62" s="59">
        <f>IF(C62="","",IFERROR(INDEX('6. Base de Custos'!$M$8:$M$42,MATCH(C62,'6. Base de Custos'!$L$8:$L$42,0)),"Não classificado"))</f>
        <v/>
      </c>
      <c r="F62" s="111" t="n"/>
      <c r="G62" s="111" t="n"/>
      <c r="H62" s="111" t="n"/>
      <c r="I62" s="45" t="n"/>
      <c r="J62" s="28" t="n"/>
      <c r="K62" s="28" t="n"/>
      <c r="L62" s="28" t="n"/>
      <c r="M62" s="59">
        <f>IF(C62="","",IFERROR(INDEX('6. Base de Custos'!$N$8:$N$42,MATCH(C62,'6. Base de Custos'!$L$8:$L$42,0)),"Não classificado"))</f>
        <v/>
      </c>
      <c r="N62" s="59">
        <f>IF(C62="","",IFERROR(INDEX('6. Base de Custos'!$O$8:$O$42,MATCH(C62,'6. Base de Custos'!$L$8:$L$42,0)),"Revisar"))</f>
        <v/>
      </c>
      <c r="O62" s="60">
        <f>IF(M62="","",IFERROR(VLOOKUP(M62,'6. Base de Custos'!$H$12:$J$18,3,FALSE),0))</f>
        <v/>
      </c>
      <c r="P62" s="59">
        <f>IF(C62="","",IFERROR(INDEX('6. Base de Custos'!$P$8:$P$42,MATCH(C62,'6. Base de Custos'!$L$8:$L$42,0)),"Revisar"))</f>
        <v/>
      </c>
      <c r="Q62" s="59">
        <f>IF(C62="","",IFERROR(INDEX('6. Base de Custos'!$Q$8:$Q$42,MATCH(C62,'6. Base de Custos'!$L$8:$L$42,0)),""))</f>
        <v/>
      </c>
      <c r="R62" s="65">
        <f>IF(C62="","",IFERROR(VLOOKUP(M62&amp;"|"&amp;N62,'17. Mapa DRE CP'!$E$5:$H$100,2,FALSE),"Revisar"))</f>
        <v/>
      </c>
      <c r="S62" s="65">
        <f>IF(C62="","",IFERROR(VLOOKUP(M62&amp;"|"&amp;N62,'17. Mapa DRE CP'!$E$5:$H$100,3,FALSE),"Revisar"))</f>
        <v/>
      </c>
      <c r="T62" s="65">
        <f>IF(C62="","",IF(R62="(-) Custos diretos dos serviços",IF(ISNUMBER(SEARCH("PCMSO",C62)),"PCMSO",IF(OR(ISNUMBER(SEARCH("SGS",C62)),ISNUMBER(SEARCH("CASTRO NAVES",C62))),"Projetos / Laudos / Avulsos","Projetos / Laudos / Avulsos")),"Rateio pela receita bruta"))</f>
        <v/>
      </c>
      <c r="U62" s="65">
        <f>IF(C62="","",IF(R62="(-) Custos diretos dos serviços","Direto por fornecedor/natureza do gasto","Rateio proporcional à receita bruta da linha de serviço"))</f>
        <v/>
      </c>
    </row>
    <row r="63">
      <c r="A63" s="28">
        <f>IF(C63="","", "CP-"&amp;TEXT(ROW()-5,"000"))</f>
        <v/>
      </c>
      <c r="B63" s="27">
        <f>IF(F63="","",DATE(YEAR(F63),MONTH(F63),1))</f>
        <v/>
      </c>
      <c r="C63" s="28" t="n"/>
      <c r="D63" s="28" t="n"/>
      <c r="E63" s="59">
        <f>IF(C63="","",IFERROR(INDEX('6. Base de Custos'!$M$8:$M$42,MATCH(C63,'6. Base de Custos'!$L$8:$L$42,0)),"Não classificado"))</f>
        <v/>
      </c>
      <c r="F63" s="111" t="n"/>
      <c r="G63" s="111" t="n"/>
      <c r="H63" s="111" t="n"/>
      <c r="I63" s="45" t="n"/>
      <c r="J63" s="28" t="n"/>
      <c r="K63" s="28" t="n"/>
      <c r="L63" s="28" t="n"/>
      <c r="M63" s="59">
        <f>IF(C63="","",IFERROR(INDEX('6. Base de Custos'!$N$8:$N$42,MATCH(C63,'6. Base de Custos'!$L$8:$L$42,0)),"Não classificado"))</f>
        <v/>
      </c>
      <c r="N63" s="59">
        <f>IF(C63="","",IFERROR(INDEX('6. Base de Custos'!$O$8:$O$42,MATCH(C63,'6. Base de Custos'!$L$8:$L$42,0)),"Revisar"))</f>
        <v/>
      </c>
      <c r="O63" s="60">
        <f>IF(M63="","",IFERROR(VLOOKUP(M63,'6. Base de Custos'!$H$12:$J$18,3,FALSE),0))</f>
        <v/>
      </c>
      <c r="P63" s="59">
        <f>IF(C63="","",IFERROR(INDEX('6. Base de Custos'!$P$8:$P$42,MATCH(C63,'6. Base de Custos'!$L$8:$L$42,0)),"Revisar"))</f>
        <v/>
      </c>
      <c r="Q63" s="59">
        <f>IF(C63="","",IFERROR(INDEX('6. Base de Custos'!$Q$8:$Q$42,MATCH(C63,'6. Base de Custos'!$L$8:$L$42,0)),""))</f>
        <v/>
      </c>
      <c r="R63" s="65">
        <f>IF(C63="","",IFERROR(VLOOKUP(M63&amp;"|"&amp;N63,'17. Mapa DRE CP'!$E$5:$H$100,2,FALSE),"Revisar"))</f>
        <v/>
      </c>
      <c r="S63" s="65">
        <f>IF(C63="","",IFERROR(VLOOKUP(M63&amp;"|"&amp;N63,'17. Mapa DRE CP'!$E$5:$H$100,3,FALSE),"Revisar"))</f>
        <v/>
      </c>
      <c r="T63" s="65">
        <f>IF(C63="","",IF(R63="(-) Custos diretos dos serviços",IF(ISNUMBER(SEARCH("PCMSO",C63)),"PCMSO",IF(OR(ISNUMBER(SEARCH("SGS",C63)),ISNUMBER(SEARCH("CASTRO NAVES",C63))),"Projetos / Laudos / Avulsos","Projetos / Laudos / Avulsos")),"Rateio pela receita bruta"))</f>
        <v/>
      </c>
      <c r="U63" s="65">
        <f>IF(C63="","",IF(R63="(-) Custos diretos dos serviços","Direto por fornecedor/natureza do gasto","Rateio proporcional à receita bruta da linha de serviço"))</f>
        <v/>
      </c>
    </row>
    <row r="64">
      <c r="A64" s="28">
        <f>IF(C64="","", "CP-"&amp;TEXT(ROW()-5,"000"))</f>
        <v/>
      </c>
      <c r="B64" s="50" t="n"/>
      <c r="C64" s="50" t="n"/>
      <c r="D64" s="51" t="n"/>
      <c r="E64" s="59">
        <f>IF(C64="","",IFERROR(INDEX('6. Base de Custos'!$M$8:$M$42,MATCH(C64,'6. Base de Custos'!$L$8:$L$42,0)),"Não classificado"))</f>
        <v/>
      </c>
      <c r="F64" s="111" t="n"/>
      <c r="G64" s="111" t="n"/>
      <c r="H64" s="111" t="n"/>
      <c r="I64" s="45" t="n"/>
      <c r="J64" s="28" t="n"/>
      <c r="K64" s="28" t="n"/>
      <c r="L64" s="28" t="n"/>
      <c r="M64" s="59">
        <f>IF(C64="","",IFERROR(INDEX('6. Base de Custos'!$N$8:$N$42,MATCH(C64,'6. Base de Custos'!$L$8:$L$42,0)),"Não classificado"))</f>
        <v/>
      </c>
      <c r="N64" s="59">
        <f>IF(C64="","",IFERROR(INDEX('6. Base de Custos'!$O$8:$O$42,MATCH(C64,'6. Base de Custos'!$L$8:$L$42,0)),"Revisar"))</f>
        <v/>
      </c>
      <c r="O64" s="60">
        <f>IF(M64="","",IFERROR(VLOOKUP(M64,'6. Base de Custos'!$H$12:$J$18,3,FALSE),0))</f>
        <v/>
      </c>
      <c r="P64" s="59">
        <f>IF(C64="","",IFERROR(INDEX('6. Base de Custos'!$P$8:$P$42,MATCH(C64,'6. Base de Custos'!$L$8:$L$42,0)),"Revisar"))</f>
        <v/>
      </c>
      <c r="Q64" s="59">
        <f>IF(C64="","",IFERROR(INDEX('6. Base de Custos'!$Q$8:$Q$42,MATCH(C64,'6. Base de Custos'!$L$8:$L$42,0)),""))</f>
        <v/>
      </c>
      <c r="R64" s="65">
        <f>IF(C64="","",IFERROR(VLOOKUP(M64&amp;"|"&amp;N64,'17. Mapa DRE CP'!$E$5:$H$100,2,FALSE),"Revisar"))</f>
        <v/>
      </c>
      <c r="S64" s="65">
        <f>IF(C64="","",IFERROR(VLOOKUP(M64&amp;"|"&amp;N64,'17. Mapa DRE CP'!$E$5:$H$100,3,FALSE),"Revisar"))</f>
        <v/>
      </c>
      <c r="T64" s="65">
        <f>IF(C64="","",IF(R64="(-) Custos diretos dos serviços",IF(ISNUMBER(SEARCH("PCMSO",C64)),"PCMSO",IF(OR(ISNUMBER(SEARCH("SGS",C64)),ISNUMBER(SEARCH("CASTRO NAVES",C64))),"Projetos / Laudos / Avulsos","Projetos / Laudos / Avulsos")),"Rateio pela receita bruta"))</f>
        <v/>
      </c>
      <c r="U64" s="65">
        <f>IF(C64="","",IF(R64="(-) Custos diretos dos serviços","Direto por fornecedor/natureza do gasto","Rateio proporcional à receita bruta da linha de serviço"))</f>
        <v/>
      </c>
    </row>
    <row r="65">
      <c r="A65" s="28">
        <f>IF(C65="","", "CP-"&amp;TEXT(ROW()-5,"000"))</f>
        <v/>
      </c>
      <c r="B65" s="27">
        <f>IF(F65="","",DATE(YEAR(F65),MONTH(F65),1))</f>
        <v/>
      </c>
      <c r="C65" s="28" t="n"/>
      <c r="D65" s="28" t="n"/>
      <c r="E65" s="59">
        <f>IF(C65="","",IFERROR(INDEX('6. Base de Custos'!$M$8:$M$42,MATCH(C65,'6. Base de Custos'!$L$8:$L$42,0)),"Não classificado"))</f>
        <v/>
      </c>
      <c r="F65" s="111" t="n"/>
      <c r="G65" s="111" t="n"/>
      <c r="H65" s="111" t="n"/>
      <c r="I65" s="45" t="n"/>
      <c r="J65" s="28" t="n"/>
      <c r="K65" s="28" t="n"/>
      <c r="L65" s="28" t="n"/>
      <c r="M65" s="59">
        <f>IF(C65="","",IFERROR(INDEX('6. Base de Custos'!$N$8:$N$42,MATCH(C65,'6. Base de Custos'!$L$8:$L$42,0)),"Não classificado"))</f>
        <v/>
      </c>
      <c r="N65" s="59">
        <f>IF(C65="","",IFERROR(INDEX('6. Base de Custos'!$O$8:$O$42,MATCH(C65,'6. Base de Custos'!$L$8:$L$42,0)),"Revisar"))</f>
        <v/>
      </c>
      <c r="O65" s="60">
        <f>IF(M65="","",IFERROR(VLOOKUP(M65,'6. Base de Custos'!$H$12:$J$18,3,FALSE),0))</f>
        <v/>
      </c>
      <c r="P65" s="59">
        <f>IF(C65="","",IFERROR(INDEX('6. Base de Custos'!$P$8:$P$42,MATCH(C65,'6. Base de Custos'!$L$8:$L$42,0)),"Revisar"))</f>
        <v/>
      </c>
      <c r="Q65" s="59">
        <f>IF(C65="","",IFERROR(INDEX('6. Base de Custos'!$Q$8:$Q$42,MATCH(C65,'6. Base de Custos'!$L$8:$L$42,0)),""))</f>
        <v/>
      </c>
      <c r="R65" s="65">
        <f>IF(C65="","",IFERROR(VLOOKUP(M65&amp;"|"&amp;N65,'17. Mapa DRE CP'!$E$5:$H$100,2,FALSE),"Revisar"))</f>
        <v/>
      </c>
      <c r="S65" s="65">
        <f>IF(C65="","",IFERROR(VLOOKUP(M65&amp;"|"&amp;N65,'17. Mapa DRE CP'!$E$5:$H$100,3,FALSE),"Revisar"))</f>
        <v/>
      </c>
      <c r="T65" s="65">
        <f>IF(C65="","",IF(R65="(-) Custos diretos dos serviços",IF(ISNUMBER(SEARCH("PCMSO",C65)),"PCMSO",IF(OR(ISNUMBER(SEARCH("SGS",C65)),ISNUMBER(SEARCH("CASTRO NAVES",C65))),"Projetos / Laudos / Avulsos","Projetos / Laudos / Avulsos")),"Rateio pela receita bruta"))</f>
        <v/>
      </c>
      <c r="U65" s="65">
        <f>IF(C65="","",IF(R65="(-) Custos diretos dos serviços","Direto por fornecedor/natureza do gasto","Rateio proporcional à receita bruta da linha de serviço"))</f>
        <v/>
      </c>
    </row>
    <row r="66">
      <c r="A66" s="28">
        <f>IF(C66="","", "CP-"&amp;TEXT(ROW()-5,"000"))</f>
        <v/>
      </c>
      <c r="B66" s="27">
        <f>IF(F66="","",DATE(YEAR(F66),MONTH(F66),1))</f>
        <v/>
      </c>
      <c r="C66" s="28" t="n"/>
      <c r="D66" s="28" t="n"/>
      <c r="E66" s="59">
        <f>IF(C66="","",IFERROR(INDEX('6. Base de Custos'!$M$8:$M$42,MATCH(C66,'6. Base de Custos'!$L$8:$L$42,0)),"Não classificado"))</f>
        <v/>
      </c>
      <c r="F66" s="111" t="n"/>
      <c r="G66" s="111" t="n"/>
      <c r="H66" s="111" t="n"/>
      <c r="I66" s="45" t="n"/>
      <c r="J66" s="28" t="n"/>
      <c r="K66" s="28" t="n"/>
      <c r="L66" s="28" t="n"/>
      <c r="M66" s="59">
        <f>IF(C66="","",IFERROR(INDEX('6. Base de Custos'!$N$8:$N$42,MATCH(C66,'6. Base de Custos'!$L$8:$L$42,0)),"Não classificado"))</f>
        <v/>
      </c>
      <c r="N66" s="59">
        <f>IF(C66="","",IFERROR(INDEX('6. Base de Custos'!$O$8:$O$42,MATCH(C66,'6. Base de Custos'!$L$8:$L$42,0)),"Revisar"))</f>
        <v/>
      </c>
      <c r="O66" s="60">
        <f>IF(M66="","",IFERROR(VLOOKUP(M66,'6. Base de Custos'!$H$12:$J$18,3,FALSE),0))</f>
        <v/>
      </c>
      <c r="P66" s="59">
        <f>IF(C66="","",IFERROR(INDEX('6. Base de Custos'!$P$8:$P$42,MATCH(C66,'6. Base de Custos'!$L$8:$L$42,0)),"Revisar"))</f>
        <v/>
      </c>
      <c r="Q66" s="59">
        <f>IF(C66="","",IFERROR(INDEX('6. Base de Custos'!$Q$8:$Q$42,MATCH(C66,'6. Base de Custos'!$L$8:$L$42,0)),""))</f>
        <v/>
      </c>
      <c r="R66" s="65">
        <f>IF(C66="","",IFERROR(VLOOKUP(M66&amp;"|"&amp;N66,'17. Mapa DRE CP'!$E$5:$H$100,2,FALSE),"Revisar"))</f>
        <v/>
      </c>
      <c r="S66" s="65">
        <f>IF(C66="","",IFERROR(VLOOKUP(M66&amp;"|"&amp;N66,'17. Mapa DRE CP'!$E$5:$H$100,3,FALSE),"Revisar"))</f>
        <v/>
      </c>
      <c r="T66" s="65">
        <f>IF(C66="","",IF(R66="(-) Custos diretos dos serviços",IF(ISNUMBER(SEARCH("PCMSO",C66)),"PCMSO",IF(OR(ISNUMBER(SEARCH("SGS",C66)),ISNUMBER(SEARCH("CASTRO NAVES",C66))),"Projetos / Laudos / Avulsos","Projetos / Laudos / Avulsos")),"Rateio pela receita bruta"))</f>
        <v/>
      </c>
      <c r="U66" s="65">
        <f>IF(C66="","",IF(R66="(-) Custos diretos dos serviços","Direto por fornecedor/natureza do gasto","Rateio proporcional à receita bruta da linha de serviço"))</f>
        <v/>
      </c>
    </row>
    <row r="67">
      <c r="A67" s="28">
        <f>IF(C67="","", "CP-"&amp;TEXT(ROW()-5,"000"))</f>
        <v/>
      </c>
      <c r="B67" s="27">
        <f>IF(F67="","",DATE(YEAR(F67),MONTH(F67),1))</f>
        <v/>
      </c>
      <c r="C67" s="28" t="n"/>
      <c r="D67" s="28" t="n"/>
      <c r="E67" s="59">
        <f>IF(C67="","",IFERROR(INDEX('6. Base de Custos'!$M$8:$M$42,MATCH(C67,'6. Base de Custos'!$L$8:$L$42,0)),"Não classificado"))</f>
        <v/>
      </c>
      <c r="F67" s="111" t="n"/>
      <c r="G67" s="111" t="n"/>
      <c r="H67" s="111" t="n"/>
      <c r="I67" s="45" t="n"/>
      <c r="J67" s="28" t="n"/>
      <c r="K67" s="28" t="n"/>
      <c r="L67" s="28" t="n"/>
      <c r="M67" s="59">
        <f>IF(C67="","",IFERROR(INDEX('6. Base de Custos'!$N$8:$N$42,MATCH(C67,'6. Base de Custos'!$L$8:$L$42,0)),"Não classificado"))</f>
        <v/>
      </c>
      <c r="N67" s="59">
        <f>IF(C67="","",IFERROR(INDEX('6. Base de Custos'!$O$8:$O$42,MATCH(C67,'6. Base de Custos'!$L$8:$L$42,0)),"Revisar"))</f>
        <v/>
      </c>
      <c r="O67" s="60">
        <f>IF(M67="","",IFERROR(VLOOKUP(M67,'6. Base de Custos'!$H$12:$J$18,3,FALSE),0))</f>
        <v/>
      </c>
      <c r="P67" s="59">
        <f>IF(C67="","",IFERROR(INDEX('6. Base de Custos'!$P$8:$P$42,MATCH(C67,'6. Base de Custos'!$L$8:$L$42,0)),"Revisar"))</f>
        <v/>
      </c>
      <c r="Q67" s="59">
        <f>IF(C67="","",IFERROR(INDEX('6. Base de Custos'!$Q$8:$Q$42,MATCH(C67,'6. Base de Custos'!$L$8:$L$42,0)),""))</f>
        <v/>
      </c>
      <c r="R67" s="65">
        <f>IF(C67="","",IFERROR(VLOOKUP(M67&amp;"|"&amp;N67,'17. Mapa DRE CP'!$E$5:$H$100,2,FALSE),"Revisar"))</f>
        <v/>
      </c>
      <c r="S67" s="65">
        <f>IF(C67="","",IFERROR(VLOOKUP(M67&amp;"|"&amp;N67,'17. Mapa DRE CP'!$E$5:$H$100,3,FALSE),"Revisar"))</f>
        <v/>
      </c>
      <c r="T67" s="65">
        <f>IF(C67="","",IF(R67="(-) Custos diretos dos serviços",IF(ISNUMBER(SEARCH("PCMSO",C67)),"PCMSO",IF(OR(ISNUMBER(SEARCH("SGS",C67)),ISNUMBER(SEARCH("CASTRO NAVES",C67))),"Projetos / Laudos / Avulsos","Projetos / Laudos / Avulsos")),"Rateio pela receita bruta"))</f>
        <v/>
      </c>
      <c r="U67" s="65">
        <f>IF(C67="","",IF(R67="(-) Custos diretos dos serviços","Direto por fornecedor/natureza do gasto","Rateio proporcional à receita bruta da linha de serviço"))</f>
        <v/>
      </c>
    </row>
    <row r="68">
      <c r="A68" s="28">
        <f>IF(C68="","", "CP-"&amp;TEXT(ROW()-5,"000"))</f>
        <v/>
      </c>
      <c r="B68" s="27">
        <f>IF(F68="","",DATE(YEAR(F68),MONTH(F68),1))</f>
        <v/>
      </c>
      <c r="C68" s="28" t="n"/>
      <c r="D68" s="28" t="n"/>
      <c r="E68" s="59">
        <f>IF(C68="","",IFERROR(INDEX('6. Base de Custos'!$M$8:$M$42,MATCH(C68,'6. Base de Custos'!$L$8:$L$42,0)),"Não classificado"))</f>
        <v/>
      </c>
      <c r="F68" s="111" t="n"/>
      <c r="G68" s="111" t="n"/>
      <c r="H68" s="111" t="n"/>
      <c r="I68" s="45" t="n"/>
      <c r="J68" s="28" t="n"/>
      <c r="K68" s="28" t="n"/>
      <c r="L68" s="28" t="n"/>
      <c r="M68" s="59">
        <f>IF(C68="","",IFERROR(INDEX('6. Base de Custos'!$N$8:$N$42,MATCH(C68,'6. Base de Custos'!$L$8:$L$42,0)),"Não classificado"))</f>
        <v/>
      </c>
      <c r="N68" s="59">
        <f>IF(C68="","",IFERROR(INDEX('6. Base de Custos'!$O$8:$O$42,MATCH(C68,'6. Base de Custos'!$L$8:$L$42,0)),"Revisar"))</f>
        <v/>
      </c>
      <c r="O68" s="60">
        <f>IF(M68="","",IFERROR(VLOOKUP(M68,'6. Base de Custos'!$H$12:$J$18,3,FALSE),0))</f>
        <v/>
      </c>
      <c r="P68" s="59">
        <f>IF(C68="","",IFERROR(INDEX('6. Base de Custos'!$P$8:$P$42,MATCH(C68,'6. Base de Custos'!$L$8:$L$42,0)),"Revisar"))</f>
        <v/>
      </c>
      <c r="Q68" s="59">
        <f>IF(C68="","",IFERROR(INDEX('6. Base de Custos'!$Q$8:$Q$42,MATCH(C68,'6. Base de Custos'!$L$8:$L$42,0)),""))</f>
        <v/>
      </c>
      <c r="R68" s="65">
        <f>IF(C68="","",IFERROR(VLOOKUP(M68&amp;"|"&amp;N68,'17. Mapa DRE CP'!$E$5:$H$100,2,FALSE),"Revisar"))</f>
        <v/>
      </c>
      <c r="S68" s="65">
        <f>IF(C68="","",IFERROR(VLOOKUP(M68&amp;"|"&amp;N68,'17. Mapa DRE CP'!$E$5:$H$100,3,FALSE),"Revisar"))</f>
        <v/>
      </c>
      <c r="T68" s="65">
        <f>IF(C68="","",IF(R68="(-) Custos diretos dos serviços",IF(ISNUMBER(SEARCH("PCMSO",C68)),"PCMSO",IF(OR(ISNUMBER(SEARCH("SGS",C68)),ISNUMBER(SEARCH("CASTRO NAVES",C68))),"Projetos / Laudos / Avulsos","Projetos / Laudos / Avulsos")),"Rateio pela receita bruta"))</f>
        <v/>
      </c>
      <c r="U68" s="65">
        <f>IF(C68="","",IF(R68="(-) Custos diretos dos serviços","Direto por fornecedor/natureza do gasto","Rateio proporcional à receita bruta da linha de serviço"))</f>
        <v/>
      </c>
    </row>
    <row r="69">
      <c r="A69" s="28">
        <f>IF(C69="","", "CP-"&amp;TEXT(ROW()-5,"000"))</f>
        <v/>
      </c>
      <c r="B69" s="27">
        <f>IF(F69="","",DATE(YEAR(F69),MONTH(F69),1))</f>
        <v/>
      </c>
      <c r="C69" s="28" t="n"/>
      <c r="D69" s="28" t="n"/>
      <c r="E69" s="59">
        <f>IF(C69="","",IFERROR(INDEX('6. Base de Custos'!$M$8:$M$42,MATCH(C69,'6. Base de Custos'!$L$8:$L$42,0)),"Não classificado"))</f>
        <v/>
      </c>
      <c r="F69" s="111" t="n"/>
      <c r="G69" s="111" t="n"/>
      <c r="H69" s="111" t="n"/>
      <c r="I69" s="45" t="n"/>
      <c r="J69" s="28" t="n"/>
      <c r="K69" s="28" t="n"/>
      <c r="L69" s="28" t="n"/>
      <c r="M69" s="59">
        <f>IF(C69="","",IFERROR(INDEX('6. Base de Custos'!$N$8:$N$42,MATCH(C69,'6. Base de Custos'!$L$8:$L$42,0)),"Não classificado"))</f>
        <v/>
      </c>
      <c r="N69" s="59">
        <f>IF(C69="","",IFERROR(INDEX('6. Base de Custos'!$O$8:$O$42,MATCH(C69,'6. Base de Custos'!$L$8:$L$42,0)),"Revisar"))</f>
        <v/>
      </c>
      <c r="O69" s="60">
        <f>IF(M69="","",IFERROR(VLOOKUP(M69,'6. Base de Custos'!$H$12:$J$18,3,FALSE),0))</f>
        <v/>
      </c>
      <c r="P69" s="59">
        <f>IF(C69="","",IFERROR(INDEX('6. Base de Custos'!$P$8:$P$42,MATCH(C69,'6. Base de Custos'!$L$8:$L$42,0)),"Revisar"))</f>
        <v/>
      </c>
      <c r="Q69" s="59">
        <f>IF(C69="","",IFERROR(INDEX('6. Base de Custos'!$Q$8:$Q$42,MATCH(C69,'6. Base de Custos'!$L$8:$L$42,0)),""))</f>
        <v/>
      </c>
      <c r="R69" s="65">
        <f>IF(C69="","",IFERROR(VLOOKUP(M69&amp;"|"&amp;N69,'17. Mapa DRE CP'!$E$5:$H$100,2,FALSE),"Revisar"))</f>
        <v/>
      </c>
      <c r="S69" s="65">
        <f>IF(C69="","",IFERROR(VLOOKUP(M69&amp;"|"&amp;N69,'17. Mapa DRE CP'!$E$5:$H$100,3,FALSE),"Revisar"))</f>
        <v/>
      </c>
      <c r="T69" s="65">
        <f>IF(C69="","",IF(R69="(-) Custos diretos dos serviços",IF(ISNUMBER(SEARCH("PCMSO",C69)),"PCMSO",IF(OR(ISNUMBER(SEARCH("SGS",C69)),ISNUMBER(SEARCH("CASTRO NAVES",C69))),"Projetos / Laudos / Avulsos","Projetos / Laudos / Avulsos")),"Rateio pela receita bruta"))</f>
        <v/>
      </c>
      <c r="U69" s="65">
        <f>IF(C69="","",IF(R69="(-) Custos diretos dos serviços","Direto por fornecedor/natureza do gasto","Rateio proporcional à receita bruta da linha de serviço"))</f>
        <v/>
      </c>
    </row>
    <row r="70">
      <c r="A70" s="28">
        <f>IF(C70="","", "CP-"&amp;TEXT(ROW()-5,"000"))</f>
        <v/>
      </c>
      <c r="B70" s="27">
        <f>IF(F70="","",DATE(YEAR(F70),MONTH(F70),1))</f>
        <v/>
      </c>
      <c r="C70" s="28" t="n"/>
      <c r="D70" s="28" t="n"/>
      <c r="E70" s="59">
        <f>IF(C70="","",IFERROR(INDEX('6. Base de Custos'!$M$8:$M$42,MATCH(C70,'6. Base de Custos'!$L$8:$L$42,0)),"Não classificado"))</f>
        <v/>
      </c>
      <c r="F70" s="111" t="n"/>
      <c r="G70" s="111" t="n"/>
      <c r="H70" s="111" t="n"/>
      <c r="I70" s="45" t="n"/>
      <c r="J70" s="28" t="n"/>
      <c r="K70" s="28" t="n"/>
      <c r="L70" s="28" t="n"/>
      <c r="M70" s="59">
        <f>IF(C70="","",IFERROR(INDEX('6. Base de Custos'!$N$8:$N$42,MATCH(C70,'6. Base de Custos'!$L$8:$L$42,0)),"Não classificado"))</f>
        <v/>
      </c>
      <c r="N70" s="59">
        <f>IF(C70="","",IFERROR(INDEX('6. Base de Custos'!$O$8:$O$42,MATCH(C70,'6. Base de Custos'!$L$8:$L$42,0)),"Revisar"))</f>
        <v/>
      </c>
      <c r="O70" s="60">
        <f>IF(M70="","",IFERROR(VLOOKUP(M70,'6. Base de Custos'!$H$12:$J$18,3,FALSE),0))</f>
        <v/>
      </c>
      <c r="P70" s="59">
        <f>IF(C70="","",IFERROR(INDEX('6. Base de Custos'!$P$8:$P$42,MATCH(C70,'6. Base de Custos'!$L$8:$L$42,0)),"Revisar"))</f>
        <v/>
      </c>
      <c r="Q70" s="59">
        <f>IF(C70="","",IFERROR(INDEX('6. Base de Custos'!$Q$8:$Q$42,MATCH(C70,'6. Base de Custos'!$L$8:$L$42,0)),""))</f>
        <v/>
      </c>
      <c r="R70" s="65">
        <f>IF(C70="","",IFERROR(VLOOKUP(M70&amp;"|"&amp;N70,'17. Mapa DRE CP'!$E$5:$H$100,2,FALSE),"Revisar"))</f>
        <v/>
      </c>
      <c r="S70" s="65">
        <f>IF(C70="","",IFERROR(VLOOKUP(M70&amp;"|"&amp;N70,'17. Mapa DRE CP'!$E$5:$H$100,3,FALSE),"Revisar"))</f>
        <v/>
      </c>
      <c r="T70" s="65">
        <f>IF(C70="","",IF(R70="(-) Custos diretos dos serviços",IF(ISNUMBER(SEARCH("PCMSO",C70)),"PCMSO",IF(OR(ISNUMBER(SEARCH("SGS",C70)),ISNUMBER(SEARCH("CASTRO NAVES",C70))),"Projetos / Laudos / Avulsos","Projetos / Laudos / Avulsos")),"Rateio pela receita bruta"))</f>
        <v/>
      </c>
      <c r="U70" s="65">
        <f>IF(C70="","",IF(R70="(-) Custos diretos dos serviços","Direto por fornecedor/natureza do gasto","Rateio proporcional à receita bruta da linha de serviço"))</f>
        <v/>
      </c>
    </row>
    <row r="71">
      <c r="A71" s="28">
        <f>IF(C71="","", "CP-"&amp;TEXT(ROW()-5,"000"))</f>
        <v/>
      </c>
      <c r="B71" s="27">
        <f>IF(F71="","",DATE(YEAR(F71),MONTH(F71),1))</f>
        <v/>
      </c>
      <c r="C71" s="28" t="n"/>
      <c r="D71" s="28" t="n"/>
      <c r="E71" s="59">
        <f>IF(C71="","",IFERROR(INDEX('6. Base de Custos'!$M$8:$M$42,MATCH(C71,'6. Base de Custos'!$L$8:$L$42,0)),"Não classificado"))</f>
        <v/>
      </c>
      <c r="F71" s="111" t="n"/>
      <c r="G71" s="111" t="n"/>
      <c r="H71" s="111" t="n"/>
      <c r="I71" s="45" t="n"/>
      <c r="J71" s="28" t="n"/>
      <c r="K71" s="28" t="n"/>
      <c r="L71" s="28" t="n"/>
      <c r="M71" s="59">
        <f>IF(C71="","",IFERROR(INDEX('6. Base de Custos'!$N$8:$N$42,MATCH(C71,'6. Base de Custos'!$L$8:$L$42,0)),"Não classificado"))</f>
        <v/>
      </c>
      <c r="N71" s="59">
        <f>IF(C71="","",IFERROR(INDEX('6. Base de Custos'!$O$8:$O$42,MATCH(C71,'6. Base de Custos'!$L$8:$L$42,0)),"Revisar"))</f>
        <v/>
      </c>
      <c r="O71" s="60">
        <f>IF(M71="","",IFERROR(VLOOKUP(M71,'6. Base de Custos'!$H$12:$J$18,3,FALSE),0))</f>
        <v/>
      </c>
      <c r="P71" s="59">
        <f>IF(C71="","",IFERROR(INDEX('6. Base de Custos'!$P$8:$P$42,MATCH(C71,'6. Base de Custos'!$L$8:$L$42,0)),"Revisar"))</f>
        <v/>
      </c>
      <c r="Q71" s="59">
        <f>IF(C71="","",IFERROR(INDEX('6. Base de Custos'!$Q$8:$Q$42,MATCH(C71,'6. Base de Custos'!$L$8:$L$42,0)),""))</f>
        <v/>
      </c>
      <c r="R71" s="65">
        <f>IF(C71="","",IFERROR(VLOOKUP(M71&amp;"|"&amp;N71,'17. Mapa DRE CP'!$E$5:$H$100,2,FALSE),"Revisar"))</f>
        <v/>
      </c>
      <c r="S71" s="65">
        <f>IF(C71="","",IFERROR(VLOOKUP(M71&amp;"|"&amp;N71,'17. Mapa DRE CP'!$E$5:$H$100,3,FALSE),"Revisar"))</f>
        <v/>
      </c>
      <c r="T71" s="65">
        <f>IF(C71="","",IF(R71="(-) Custos diretos dos serviços",IF(ISNUMBER(SEARCH("PCMSO",C71)),"PCMSO",IF(OR(ISNUMBER(SEARCH("SGS",C71)),ISNUMBER(SEARCH("CASTRO NAVES",C71))),"Projetos / Laudos / Avulsos","Projetos / Laudos / Avulsos")),"Rateio pela receita bruta"))</f>
        <v/>
      </c>
      <c r="U71" s="65">
        <f>IF(C71="","",IF(R71="(-) Custos diretos dos serviços","Direto por fornecedor/natureza do gasto","Rateio proporcional à receita bruta da linha de serviço"))</f>
        <v/>
      </c>
    </row>
    <row r="72">
      <c r="A72" s="28">
        <f>IF(C72="","", "CP-"&amp;TEXT(ROW()-5,"000"))</f>
        <v/>
      </c>
      <c r="B72" s="27">
        <f>IF(F72="","",DATE(YEAR(F72),MONTH(F72),1))</f>
        <v/>
      </c>
      <c r="C72" s="28" t="n"/>
      <c r="D72" s="28" t="n"/>
      <c r="E72" s="59">
        <f>IF(C72="","",IFERROR(INDEX('6. Base de Custos'!$M$8:$M$42,MATCH(C72,'6. Base de Custos'!$L$8:$L$42,0)),"Não classificado"))</f>
        <v/>
      </c>
      <c r="F72" s="111" t="n"/>
      <c r="G72" s="111" t="n"/>
      <c r="H72" s="111" t="n"/>
      <c r="I72" s="45" t="n"/>
      <c r="J72" s="28" t="n"/>
      <c r="K72" s="28" t="n"/>
      <c r="L72" s="28" t="n"/>
      <c r="M72" s="59">
        <f>IF(C72="","",IFERROR(INDEX('6. Base de Custos'!$N$8:$N$42,MATCH(C72,'6. Base de Custos'!$L$8:$L$42,0)),"Não classificado"))</f>
        <v/>
      </c>
      <c r="N72" s="59">
        <f>IF(C72="","",IFERROR(INDEX('6. Base de Custos'!$O$8:$O$42,MATCH(C72,'6. Base de Custos'!$L$8:$L$42,0)),"Revisar"))</f>
        <v/>
      </c>
      <c r="O72" s="60">
        <f>IF(M72="","",IFERROR(VLOOKUP(M72,'6. Base de Custos'!$H$12:$J$18,3,FALSE),0))</f>
        <v/>
      </c>
      <c r="P72" s="59">
        <f>IF(C72="","",IFERROR(INDEX('6. Base de Custos'!$P$8:$P$42,MATCH(C72,'6. Base de Custos'!$L$8:$L$42,0)),"Revisar"))</f>
        <v/>
      </c>
      <c r="Q72" s="59">
        <f>IF(C72="","",IFERROR(INDEX('6. Base de Custos'!$Q$8:$Q$42,MATCH(C72,'6. Base de Custos'!$L$8:$L$42,0)),""))</f>
        <v/>
      </c>
      <c r="R72" s="65">
        <f>IF(C72="","",IFERROR(VLOOKUP(M72&amp;"|"&amp;N72,'17. Mapa DRE CP'!$E$5:$H$100,2,FALSE),"Revisar"))</f>
        <v/>
      </c>
      <c r="S72" s="65">
        <f>IF(C72="","",IFERROR(VLOOKUP(M72&amp;"|"&amp;N72,'17. Mapa DRE CP'!$E$5:$H$100,3,FALSE),"Revisar"))</f>
        <v/>
      </c>
      <c r="T72" s="65">
        <f>IF(C72="","",IF(R72="(-) Custos diretos dos serviços",IF(ISNUMBER(SEARCH("PCMSO",C72)),"PCMSO",IF(OR(ISNUMBER(SEARCH("SGS",C72)),ISNUMBER(SEARCH("CASTRO NAVES",C72))),"Projetos / Laudos / Avulsos","Projetos / Laudos / Avulsos")),"Rateio pela receita bruta"))</f>
        <v/>
      </c>
      <c r="U72" s="65">
        <f>IF(C72="","",IF(R72="(-) Custos diretos dos serviços","Direto por fornecedor/natureza do gasto","Rateio proporcional à receita bruta da linha de serviço"))</f>
        <v/>
      </c>
    </row>
    <row r="73">
      <c r="A73" s="28">
        <f>IF(C73="","", "CP-"&amp;TEXT(ROW()-5,"000"))</f>
        <v/>
      </c>
      <c r="B73" s="27">
        <f>IF(F73="","",DATE(YEAR(F73),MONTH(F73),1))</f>
        <v/>
      </c>
      <c r="C73" s="28" t="n"/>
      <c r="D73" s="28" t="n"/>
      <c r="E73" s="59">
        <f>IF(C73="","",IFERROR(INDEX('6. Base de Custos'!$M$8:$M$42,MATCH(C73,'6. Base de Custos'!$L$8:$L$42,0)),"Não classificado"))</f>
        <v/>
      </c>
      <c r="F73" s="111" t="n"/>
      <c r="G73" s="111" t="n"/>
      <c r="H73" s="111" t="n"/>
      <c r="I73" s="45" t="n"/>
      <c r="J73" s="28" t="n"/>
      <c r="K73" s="28" t="n"/>
      <c r="L73" s="28" t="n"/>
      <c r="M73" s="59">
        <f>IF(C73="","",IFERROR(INDEX('6. Base de Custos'!$N$8:$N$42,MATCH(C73,'6. Base de Custos'!$L$8:$L$42,0)),"Não classificado"))</f>
        <v/>
      </c>
      <c r="N73" s="59">
        <f>IF(C73="","",IFERROR(INDEX('6. Base de Custos'!$O$8:$O$42,MATCH(C73,'6. Base de Custos'!$L$8:$L$42,0)),"Revisar"))</f>
        <v/>
      </c>
      <c r="O73" s="60">
        <f>IF(M73="","",IFERROR(VLOOKUP(M73,'6. Base de Custos'!$H$12:$J$18,3,FALSE),0))</f>
        <v/>
      </c>
      <c r="P73" s="59">
        <f>IF(C73="","",IFERROR(INDEX('6. Base de Custos'!$P$8:$P$42,MATCH(C73,'6. Base de Custos'!$L$8:$L$42,0)),"Revisar"))</f>
        <v/>
      </c>
      <c r="Q73" s="59">
        <f>IF(C73="","",IFERROR(INDEX('6. Base de Custos'!$Q$8:$Q$42,MATCH(C73,'6. Base de Custos'!$L$8:$L$42,0)),""))</f>
        <v/>
      </c>
      <c r="R73" s="65">
        <f>IF(C73="","",IFERROR(VLOOKUP(M73&amp;"|"&amp;N73,'17. Mapa DRE CP'!$E$5:$H$100,2,FALSE),"Revisar"))</f>
        <v/>
      </c>
      <c r="S73" s="65">
        <f>IF(C73="","",IFERROR(VLOOKUP(M73&amp;"|"&amp;N73,'17. Mapa DRE CP'!$E$5:$H$100,3,FALSE),"Revisar"))</f>
        <v/>
      </c>
      <c r="T73" s="65">
        <f>IF(C73="","",IF(R73="(-) Custos diretos dos serviços",IF(ISNUMBER(SEARCH("PCMSO",C73)),"PCMSO",IF(OR(ISNUMBER(SEARCH("SGS",C73)),ISNUMBER(SEARCH("CASTRO NAVES",C73))),"Projetos / Laudos / Avulsos","Projetos / Laudos / Avulsos")),"Rateio pela receita bruta"))</f>
        <v/>
      </c>
      <c r="U73" s="65">
        <f>IF(C73="","",IF(R73="(-) Custos diretos dos serviços","Direto por fornecedor/natureza do gasto","Rateio proporcional à receita bruta da linha de serviço"))</f>
        <v/>
      </c>
    </row>
    <row r="74">
      <c r="A74" s="28">
        <f>IF(C74="","", "CP-"&amp;TEXT(ROW()-5,"000"))</f>
        <v/>
      </c>
      <c r="B74" s="27">
        <f>IF(F74="","",DATE(YEAR(F74),MONTH(F74),1))</f>
        <v/>
      </c>
      <c r="C74" s="28" t="n"/>
      <c r="D74" s="28" t="n"/>
      <c r="E74" s="59">
        <f>IF(C74="","",IFERROR(INDEX('6. Base de Custos'!$M$8:$M$42,MATCH(C74,'6. Base de Custos'!$L$8:$L$42,0)),"Não classificado"))</f>
        <v/>
      </c>
      <c r="F74" s="111" t="n"/>
      <c r="G74" s="111" t="n"/>
      <c r="H74" s="111" t="n"/>
      <c r="I74" s="45" t="n"/>
      <c r="J74" s="28" t="n"/>
      <c r="K74" s="28" t="n"/>
      <c r="L74" s="28" t="n"/>
      <c r="M74" s="59">
        <f>IF(C74="","",IFERROR(INDEX('6. Base de Custos'!$N$8:$N$42,MATCH(C74,'6. Base de Custos'!$L$8:$L$42,0)),"Não classificado"))</f>
        <v/>
      </c>
      <c r="N74" s="59">
        <f>IF(C74="","",IFERROR(INDEX('6. Base de Custos'!$O$8:$O$42,MATCH(C74,'6. Base de Custos'!$L$8:$L$42,0)),"Revisar"))</f>
        <v/>
      </c>
      <c r="O74" s="60">
        <f>IF(M74="","",IFERROR(VLOOKUP(M74,'6. Base de Custos'!$H$12:$J$18,3,FALSE),0))</f>
        <v/>
      </c>
      <c r="P74" s="59">
        <f>IF(C74="","",IFERROR(INDEX('6. Base de Custos'!$P$8:$P$42,MATCH(C74,'6. Base de Custos'!$L$8:$L$42,0)),"Revisar"))</f>
        <v/>
      </c>
      <c r="Q74" s="59">
        <f>IF(C74="","",IFERROR(INDEX('6. Base de Custos'!$Q$8:$Q$42,MATCH(C74,'6. Base de Custos'!$L$8:$L$42,0)),""))</f>
        <v/>
      </c>
      <c r="R74" s="65">
        <f>IF(C74="","",IFERROR(VLOOKUP(M74&amp;"|"&amp;N74,'17. Mapa DRE CP'!$E$5:$H$100,2,FALSE),"Revisar"))</f>
        <v/>
      </c>
      <c r="S74" s="65">
        <f>IF(C74="","",IFERROR(VLOOKUP(M74&amp;"|"&amp;N74,'17. Mapa DRE CP'!$E$5:$H$100,3,FALSE),"Revisar"))</f>
        <v/>
      </c>
      <c r="T74" s="65">
        <f>IF(C74="","",IF(R74="(-) Custos diretos dos serviços",IF(ISNUMBER(SEARCH("PCMSO",C74)),"PCMSO",IF(OR(ISNUMBER(SEARCH("SGS",C74)),ISNUMBER(SEARCH("CASTRO NAVES",C74))),"Projetos / Laudos / Avulsos","Projetos / Laudos / Avulsos")),"Rateio pela receita bruta"))</f>
        <v/>
      </c>
      <c r="U74" s="65">
        <f>IF(C74="","",IF(R74="(-) Custos diretos dos serviços","Direto por fornecedor/natureza do gasto","Rateio proporcional à receita bruta da linha de serviço"))</f>
        <v/>
      </c>
    </row>
    <row r="75">
      <c r="A75" s="28">
        <f>IF(C75="","", "CP-"&amp;TEXT(ROW()-5,"000"))</f>
        <v/>
      </c>
      <c r="B75" s="27">
        <f>IF(F75="","",DATE(YEAR(F75),MONTH(F75),1))</f>
        <v/>
      </c>
      <c r="C75" s="28" t="n"/>
      <c r="D75" s="28" t="n"/>
      <c r="E75" s="59">
        <f>IF(C75="","",IFERROR(INDEX('6. Base de Custos'!$M$8:$M$42,MATCH(C75,'6. Base de Custos'!$L$8:$L$42,0)),"Não classificado"))</f>
        <v/>
      </c>
      <c r="F75" s="111" t="n"/>
      <c r="G75" s="111" t="n"/>
      <c r="H75" s="111" t="n"/>
      <c r="I75" s="45" t="n"/>
      <c r="J75" s="28" t="n"/>
      <c r="K75" s="28" t="n"/>
      <c r="L75" s="28" t="n"/>
      <c r="M75" s="59">
        <f>IF(C75="","",IFERROR(INDEX('6. Base de Custos'!$N$8:$N$42,MATCH(C75,'6. Base de Custos'!$L$8:$L$42,0)),"Não classificado"))</f>
        <v/>
      </c>
      <c r="N75" s="59">
        <f>IF(C75="","",IFERROR(INDEX('6. Base de Custos'!$O$8:$O$42,MATCH(C75,'6. Base de Custos'!$L$8:$L$42,0)),"Revisar"))</f>
        <v/>
      </c>
      <c r="O75" s="60">
        <f>IF(M75="","",IFERROR(VLOOKUP(M75,'6. Base de Custos'!$H$12:$J$18,3,FALSE),0))</f>
        <v/>
      </c>
      <c r="P75" s="59">
        <f>IF(C75="","",IFERROR(INDEX('6. Base de Custos'!$P$8:$P$42,MATCH(C75,'6. Base de Custos'!$L$8:$L$42,0)),"Revisar"))</f>
        <v/>
      </c>
      <c r="Q75" s="59">
        <f>IF(C75="","",IFERROR(INDEX('6. Base de Custos'!$Q$8:$Q$42,MATCH(C75,'6. Base de Custos'!$L$8:$L$42,0)),""))</f>
        <v/>
      </c>
      <c r="R75" s="65">
        <f>IF(C75="","",IFERROR(VLOOKUP(M75&amp;"|"&amp;N75,'17. Mapa DRE CP'!$E$5:$H$100,2,FALSE),"Revisar"))</f>
        <v/>
      </c>
      <c r="S75" s="65">
        <f>IF(C75="","",IFERROR(VLOOKUP(M75&amp;"|"&amp;N75,'17. Mapa DRE CP'!$E$5:$H$100,3,FALSE),"Revisar"))</f>
        <v/>
      </c>
      <c r="T75" s="65">
        <f>IF(C75="","",IF(R75="(-) Custos diretos dos serviços",IF(ISNUMBER(SEARCH("PCMSO",C75)),"PCMSO",IF(OR(ISNUMBER(SEARCH("SGS",C75)),ISNUMBER(SEARCH("CASTRO NAVES",C75))),"Projetos / Laudos / Avulsos","Projetos / Laudos / Avulsos")),"Rateio pela receita bruta"))</f>
        <v/>
      </c>
      <c r="U75" s="65">
        <f>IF(C75="","",IF(R75="(-) Custos diretos dos serviços","Direto por fornecedor/natureza do gasto","Rateio proporcional à receita bruta da linha de serviço"))</f>
        <v/>
      </c>
    </row>
    <row r="76">
      <c r="A76" s="28">
        <f>IF(C76="","", "CP-"&amp;TEXT(ROW()-5,"000"))</f>
        <v/>
      </c>
      <c r="B76" s="27">
        <f>IF(F76="","",DATE(YEAR(F76),MONTH(F76),1))</f>
        <v/>
      </c>
      <c r="C76" s="28" t="n"/>
      <c r="D76" s="28" t="n"/>
      <c r="E76" s="59">
        <f>IF(C76="","",IFERROR(INDEX('6. Base de Custos'!$M$8:$M$42,MATCH(C76,'6. Base de Custos'!$L$8:$L$42,0)),"Não classificado"))</f>
        <v/>
      </c>
      <c r="F76" s="111" t="n"/>
      <c r="G76" s="111" t="n"/>
      <c r="H76" s="111" t="n"/>
      <c r="I76" s="45" t="n"/>
      <c r="J76" s="28" t="n"/>
      <c r="K76" s="28" t="n"/>
      <c r="L76" s="28" t="n"/>
      <c r="M76" s="59">
        <f>IF(C76="","",IFERROR(INDEX('6. Base de Custos'!$N$8:$N$42,MATCH(C76,'6. Base de Custos'!$L$8:$L$42,0)),"Não classificado"))</f>
        <v/>
      </c>
      <c r="N76" s="59">
        <f>IF(C76="","",IFERROR(INDEX('6. Base de Custos'!$O$8:$O$42,MATCH(C76,'6. Base de Custos'!$L$8:$L$42,0)),"Revisar"))</f>
        <v/>
      </c>
      <c r="O76" s="60">
        <f>IF(M76="","",IFERROR(VLOOKUP(M76,'6. Base de Custos'!$H$12:$J$18,3,FALSE),0))</f>
        <v/>
      </c>
      <c r="P76" s="59">
        <f>IF(C76="","",IFERROR(INDEX('6. Base de Custos'!$P$8:$P$42,MATCH(C76,'6. Base de Custos'!$L$8:$L$42,0)),"Revisar"))</f>
        <v/>
      </c>
      <c r="Q76" s="59">
        <f>IF(C76="","",IFERROR(INDEX('6. Base de Custos'!$Q$8:$Q$42,MATCH(C76,'6. Base de Custos'!$L$8:$L$42,0)),""))</f>
        <v/>
      </c>
      <c r="R76" s="65">
        <f>IF(C76="","",IFERROR(VLOOKUP(M76&amp;"|"&amp;N76,'17. Mapa DRE CP'!$E$5:$H$100,2,FALSE),"Revisar"))</f>
        <v/>
      </c>
      <c r="S76" s="65">
        <f>IF(C76="","",IFERROR(VLOOKUP(M76&amp;"|"&amp;N76,'17. Mapa DRE CP'!$E$5:$H$100,3,FALSE),"Revisar"))</f>
        <v/>
      </c>
      <c r="T76" s="65">
        <f>IF(C76="","",IF(R76="(-) Custos diretos dos serviços",IF(ISNUMBER(SEARCH("PCMSO",C76)),"PCMSO",IF(OR(ISNUMBER(SEARCH("SGS",C76)),ISNUMBER(SEARCH("CASTRO NAVES",C76))),"Projetos / Laudos / Avulsos","Projetos / Laudos / Avulsos")),"Rateio pela receita bruta"))</f>
        <v/>
      </c>
      <c r="U76" s="65">
        <f>IF(C76="","",IF(R76="(-) Custos diretos dos serviços","Direto por fornecedor/natureza do gasto","Rateio proporcional à receita bruta da linha de serviço"))</f>
        <v/>
      </c>
    </row>
    <row r="77">
      <c r="A77" s="28">
        <f>IF(C77="","", "CP-"&amp;TEXT(ROW()-5,"000"))</f>
        <v/>
      </c>
      <c r="B77" s="27">
        <f>IF(F77="","",DATE(YEAR(F77),MONTH(F77),1))</f>
        <v/>
      </c>
      <c r="C77" s="28" t="n"/>
      <c r="D77" s="28" t="n"/>
      <c r="E77" s="59">
        <f>IF(C77="","",IFERROR(INDEX('6. Base de Custos'!$M$8:$M$42,MATCH(C77,'6. Base de Custos'!$L$8:$L$42,0)),"Não classificado"))</f>
        <v/>
      </c>
      <c r="F77" s="111" t="n"/>
      <c r="G77" s="111" t="n"/>
      <c r="H77" s="111" t="n"/>
      <c r="I77" s="45" t="n"/>
      <c r="J77" s="28" t="n"/>
      <c r="K77" s="28" t="n"/>
      <c r="L77" s="28" t="n"/>
      <c r="M77" s="59">
        <f>IF(C77="","",IFERROR(INDEX('6. Base de Custos'!$N$8:$N$42,MATCH(C77,'6. Base de Custos'!$L$8:$L$42,0)),"Não classificado"))</f>
        <v/>
      </c>
      <c r="N77" s="59">
        <f>IF(C77="","",IFERROR(INDEX('6. Base de Custos'!$O$8:$O$42,MATCH(C77,'6. Base de Custos'!$L$8:$L$42,0)),"Revisar"))</f>
        <v/>
      </c>
      <c r="O77" s="60">
        <f>IF(M77="","",IFERROR(VLOOKUP(M77,'6. Base de Custos'!$H$12:$J$18,3,FALSE),0))</f>
        <v/>
      </c>
      <c r="P77" s="59">
        <f>IF(C77="","",IFERROR(INDEX('6. Base de Custos'!$P$8:$P$42,MATCH(C77,'6. Base de Custos'!$L$8:$L$42,0)),"Revisar"))</f>
        <v/>
      </c>
      <c r="Q77" s="59">
        <f>IF(C77="","",IFERROR(INDEX('6. Base de Custos'!$Q$8:$Q$42,MATCH(C77,'6. Base de Custos'!$L$8:$L$42,0)),""))</f>
        <v/>
      </c>
      <c r="R77" s="65">
        <f>IF(C77="","",IFERROR(VLOOKUP(M77&amp;"|"&amp;N77,'17. Mapa DRE CP'!$E$5:$H$100,2,FALSE),"Revisar"))</f>
        <v/>
      </c>
      <c r="S77" s="65">
        <f>IF(C77="","",IFERROR(VLOOKUP(M77&amp;"|"&amp;N77,'17. Mapa DRE CP'!$E$5:$H$100,3,FALSE),"Revisar"))</f>
        <v/>
      </c>
      <c r="T77" s="65">
        <f>IF(C77="","",IF(R77="(-) Custos diretos dos serviços",IF(ISNUMBER(SEARCH("PCMSO",C77)),"PCMSO",IF(OR(ISNUMBER(SEARCH("SGS",C77)),ISNUMBER(SEARCH("CASTRO NAVES",C77))),"Projetos / Laudos / Avulsos","Projetos / Laudos / Avulsos")),"Rateio pela receita bruta"))</f>
        <v/>
      </c>
      <c r="U77" s="65">
        <f>IF(C77="","",IF(R77="(-) Custos diretos dos serviços","Direto por fornecedor/natureza do gasto","Rateio proporcional à receita bruta da linha de serviço"))</f>
        <v/>
      </c>
    </row>
    <row r="78">
      <c r="A78" s="28">
        <f>IF(C78="","", "CP-"&amp;TEXT(ROW()-5,"000"))</f>
        <v/>
      </c>
      <c r="B78" s="27">
        <f>IF(F78="","",DATE(YEAR(F78),MONTH(F78),1))</f>
        <v/>
      </c>
      <c r="C78" s="28" t="n"/>
      <c r="D78" s="28" t="n"/>
      <c r="E78" s="59">
        <f>IF(C78="","",IFERROR(INDEX('6. Base de Custos'!$M$8:$M$42,MATCH(C78,'6. Base de Custos'!$L$8:$L$42,0)),"Não classificado"))</f>
        <v/>
      </c>
      <c r="F78" s="111" t="n"/>
      <c r="G78" s="111" t="n"/>
      <c r="H78" s="111" t="n"/>
      <c r="I78" s="45" t="n"/>
      <c r="J78" s="28" t="n"/>
      <c r="K78" s="28" t="n"/>
      <c r="L78" s="28" t="n"/>
      <c r="M78" s="59">
        <f>IF(C78="","",IFERROR(INDEX('6. Base de Custos'!$N$8:$N$42,MATCH(C78,'6. Base de Custos'!$L$8:$L$42,0)),"Não classificado"))</f>
        <v/>
      </c>
      <c r="N78" s="59">
        <f>IF(C78="","",IFERROR(INDEX('6. Base de Custos'!$O$8:$O$42,MATCH(C78,'6. Base de Custos'!$L$8:$L$42,0)),"Revisar"))</f>
        <v/>
      </c>
      <c r="O78" s="60">
        <f>IF(M78="","",IFERROR(VLOOKUP(M78,'6. Base de Custos'!$H$12:$J$18,3,FALSE),0))</f>
        <v/>
      </c>
      <c r="P78" s="59">
        <f>IF(C78="","",IFERROR(INDEX('6. Base de Custos'!$P$8:$P$42,MATCH(C78,'6. Base de Custos'!$L$8:$L$42,0)),"Revisar"))</f>
        <v/>
      </c>
      <c r="Q78" s="59">
        <f>IF(C78="","",IFERROR(INDEX('6. Base de Custos'!$Q$8:$Q$42,MATCH(C78,'6. Base de Custos'!$L$8:$L$42,0)),""))</f>
        <v/>
      </c>
      <c r="R78" s="65">
        <f>IF(C78="","",IFERROR(VLOOKUP(M78&amp;"|"&amp;N78,'17. Mapa DRE CP'!$E$5:$H$100,2,FALSE),"Revisar"))</f>
        <v/>
      </c>
      <c r="S78" s="65">
        <f>IF(C78="","",IFERROR(VLOOKUP(M78&amp;"|"&amp;N78,'17. Mapa DRE CP'!$E$5:$H$100,3,FALSE),"Revisar"))</f>
        <v/>
      </c>
      <c r="T78" s="65">
        <f>IF(C78="","",IF(R78="(-) Custos diretos dos serviços",IF(ISNUMBER(SEARCH("PCMSO",C78)),"PCMSO",IF(OR(ISNUMBER(SEARCH("SGS",C78)),ISNUMBER(SEARCH("CASTRO NAVES",C78))),"Projetos / Laudos / Avulsos","Projetos / Laudos / Avulsos")),"Rateio pela receita bruta"))</f>
        <v/>
      </c>
      <c r="U78" s="65">
        <f>IF(C78="","",IF(R78="(-) Custos diretos dos serviços","Direto por fornecedor/natureza do gasto","Rateio proporcional à receita bruta da linha de serviço"))</f>
        <v/>
      </c>
    </row>
    <row r="79">
      <c r="A79" s="28">
        <f>IF(C79="","", "CP-"&amp;TEXT(ROW()-5,"000"))</f>
        <v/>
      </c>
      <c r="B79" s="27">
        <f>IF(F79="","",DATE(YEAR(F79),MONTH(F79),1))</f>
        <v/>
      </c>
      <c r="C79" s="28" t="n"/>
      <c r="D79" s="28" t="n"/>
      <c r="E79" s="59">
        <f>IF(C79="","",IFERROR(INDEX('6. Base de Custos'!$M$8:$M$42,MATCH(C79,'6. Base de Custos'!$L$8:$L$42,0)),"Não classificado"))</f>
        <v/>
      </c>
      <c r="F79" s="111" t="n"/>
      <c r="G79" s="111" t="n"/>
      <c r="H79" s="111" t="n"/>
      <c r="I79" s="45" t="n"/>
      <c r="J79" s="28" t="n"/>
      <c r="K79" s="28" t="n"/>
      <c r="L79" s="28" t="n"/>
      <c r="M79" s="59">
        <f>IF(C79="","",IFERROR(INDEX('6. Base de Custos'!$N$8:$N$42,MATCH(C79,'6. Base de Custos'!$L$8:$L$42,0)),"Não classificado"))</f>
        <v/>
      </c>
      <c r="N79" s="59">
        <f>IF(C79="","",IFERROR(INDEX('6. Base de Custos'!$O$8:$O$42,MATCH(C79,'6. Base de Custos'!$L$8:$L$42,0)),"Revisar"))</f>
        <v/>
      </c>
      <c r="O79" s="60">
        <f>IF(M79="","",IFERROR(VLOOKUP(M79,'6. Base de Custos'!$H$12:$J$18,3,FALSE),0))</f>
        <v/>
      </c>
      <c r="P79" s="59">
        <f>IF(C79="","",IFERROR(INDEX('6. Base de Custos'!$P$8:$P$42,MATCH(C79,'6. Base de Custos'!$L$8:$L$42,0)),"Revisar"))</f>
        <v/>
      </c>
      <c r="Q79" s="59">
        <f>IF(C79="","",IFERROR(INDEX('6. Base de Custos'!$Q$8:$Q$42,MATCH(C79,'6. Base de Custos'!$L$8:$L$42,0)),""))</f>
        <v/>
      </c>
      <c r="R79" s="65">
        <f>IF(C79="","",IFERROR(VLOOKUP(M79&amp;"|"&amp;N79,'17. Mapa DRE CP'!$E$5:$H$100,2,FALSE),"Revisar"))</f>
        <v/>
      </c>
      <c r="S79" s="65">
        <f>IF(C79="","",IFERROR(VLOOKUP(M79&amp;"|"&amp;N79,'17. Mapa DRE CP'!$E$5:$H$100,3,FALSE),"Revisar"))</f>
        <v/>
      </c>
      <c r="T79" s="65">
        <f>IF(C79="","",IF(R79="(-) Custos diretos dos serviços",IF(ISNUMBER(SEARCH("PCMSO",C79)),"PCMSO",IF(OR(ISNUMBER(SEARCH("SGS",C79)),ISNUMBER(SEARCH("CASTRO NAVES",C79))),"Projetos / Laudos / Avulsos","Projetos / Laudos / Avulsos")),"Rateio pela receita bruta"))</f>
        <v/>
      </c>
      <c r="U79" s="65">
        <f>IF(C79="","",IF(R79="(-) Custos diretos dos serviços","Direto por fornecedor/natureza do gasto","Rateio proporcional à receita bruta da linha de serviço"))</f>
        <v/>
      </c>
    </row>
    <row r="80">
      <c r="A80" s="28">
        <f>IF(C80="","", "CP-"&amp;TEXT(ROW()-5,"000"))</f>
        <v/>
      </c>
      <c r="B80" s="27">
        <f>IF(F80="","",DATE(YEAR(F80),MONTH(F80),1))</f>
        <v/>
      </c>
      <c r="C80" s="28" t="n"/>
      <c r="D80" s="28" t="n"/>
      <c r="E80" s="59">
        <f>IF(C80="","",IFERROR(INDEX('6. Base de Custos'!$M$8:$M$42,MATCH(C80,'6. Base de Custos'!$L$8:$L$42,0)),"Não classificado"))</f>
        <v/>
      </c>
      <c r="F80" s="111" t="n"/>
      <c r="G80" s="111" t="n"/>
      <c r="H80" s="111" t="n"/>
      <c r="I80" s="45" t="n"/>
      <c r="J80" s="28" t="n"/>
      <c r="K80" s="28" t="n"/>
      <c r="L80" s="28" t="n"/>
      <c r="M80" s="59">
        <f>IF(C80="","",IFERROR(INDEX('6. Base de Custos'!$N$8:$N$42,MATCH(C80,'6. Base de Custos'!$L$8:$L$42,0)),"Não classificado"))</f>
        <v/>
      </c>
      <c r="N80" s="59">
        <f>IF(C80="","",IFERROR(INDEX('6. Base de Custos'!$O$8:$O$42,MATCH(C80,'6. Base de Custos'!$L$8:$L$42,0)),"Revisar"))</f>
        <v/>
      </c>
      <c r="O80" s="60">
        <f>IF(M80="","",IFERROR(VLOOKUP(M80,'6. Base de Custos'!$H$12:$J$18,3,FALSE),0))</f>
        <v/>
      </c>
      <c r="P80" s="59">
        <f>IF(C80="","",IFERROR(INDEX('6. Base de Custos'!$P$8:$P$42,MATCH(C80,'6. Base de Custos'!$L$8:$L$42,0)),"Revisar"))</f>
        <v/>
      </c>
      <c r="Q80" s="59">
        <f>IF(C80="","",IFERROR(INDEX('6. Base de Custos'!$Q$8:$Q$42,MATCH(C80,'6. Base de Custos'!$L$8:$L$42,0)),""))</f>
        <v/>
      </c>
      <c r="R80" s="65">
        <f>IF(C80="","",IFERROR(VLOOKUP(M80&amp;"|"&amp;N80,'17. Mapa DRE CP'!$E$5:$H$100,2,FALSE),"Revisar"))</f>
        <v/>
      </c>
      <c r="S80" s="65">
        <f>IF(C80="","",IFERROR(VLOOKUP(M80&amp;"|"&amp;N80,'17. Mapa DRE CP'!$E$5:$H$100,3,FALSE),"Revisar"))</f>
        <v/>
      </c>
      <c r="T80" s="65">
        <f>IF(C80="","",IF(R80="(-) Custos diretos dos serviços",IF(ISNUMBER(SEARCH("PCMSO",C80)),"PCMSO",IF(OR(ISNUMBER(SEARCH("SGS",C80)),ISNUMBER(SEARCH("CASTRO NAVES",C80))),"Projetos / Laudos / Avulsos","Projetos / Laudos / Avulsos")),"Rateio pela receita bruta"))</f>
        <v/>
      </c>
      <c r="U80" s="65">
        <f>IF(C80="","",IF(R80="(-) Custos diretos dos serviços","Direto por fornecedor/natureza do gasto","Rateio proporcional à receita bruta da linha de serviço"))</f>
        <v/>
      </c>
    </row>
    <row r="81">
      <c r="A81" s="28">
        <f>IF(C81="","", "CP-"&amp;TEXT(ROW()-5,"000"))</f>
        <v/>
      </c>
      <c r="B81" s="27">
        <f>IF(F81="","",DATE(YEAR(F81),MONTH(F81),1))</f>
        <v/>
      </c>
      <c r="C81" s="28" t="n"/>
      <c r="D81" s="28" t="n"/>
      <c r="E81" s="59">
        <f>IF(C81="","",IFERROR(INDEX('6. Base de Custos'!$M$8:$M$42,MATCH(C81,'6. Base de Custos'!$L$8:$L$42,0)),"Não classificado"))</f>
        <v/>
      </c>
      <c r="F81" s="111" t="n"/>
      <c r="G81" s="111" t="n"/>
      <c r="H81" s="111" t="n"/>
      <c r="I81" s="45" t="n"/>
      <c r="J81" s="28" t="n"/>
      <c r="K81" s="28" t="n"/>
      <c r="L81" s="28" t="n"/>
      <c r="M81" s="59">
        <f>IF(C81="","",IFERROR(INDEX('6. Base de Custos'!$N$8:$N$42,MATCH(C81,'6. Base de Custos'!$L$8:$L$42,0)),"Não classificado"))</f>
        <v/>
      </c>
      <c r="N81" s="59">
        <f>IF(C81="","",IFERROR(INDEX('6. Base de Custos'!$O$8:$O$42,MATCH(C81,'6. Base de Custos'!$L$8:$L$42,0)),"Revisar"))</f>
        <v/>
      </c>
      <c r="O81" s="60">
        <f>IF(M81="","",IFERROR(VLOOKUP(M81,'6. Base de Custos'!$H$12:$J$18,3,FALSE),0))</f>
        <v/>
      </c>
      <c r="P81" s="59">
        <f>IF(C81="","",IFERROR(INDEX('6. Base de Custos'!$P$8:$P$42,MATCH(C81,'6. Base de Custos'!$L$8:$L$42,0)),"Revisar"))</f>
        <v/>
      </c>
      <c r="Q81" s="59">
        <f>IF(C81="","",IFERROR(INDEX('6. Base de Custos'!$Q$8:$Q$42,MATCH(C81,'6. Base de Custos'!$L$8:$L$42,0)),""))</f>
        <v/>
      </c>
      <c r="R81" s="65">
        <f>IF(C81="","",IFERROR(VLOOKUP(M81&amp;"|"&amp;N81,'17. Mapa DRE CP'!$E$5:$H$100,2,FALSE),"Revisar"))</f>
        <v/>
      </c>
      <c r="S81" s="65">
        <f>IF(C81="","",IFERROR(VLOOKUP(M81&amp;"|"&amp;N81,'17. Mapa DRE CP'!$E$5:$H$100,3,FALSE),"Revisar"))</f>
        <v/>
      </c>
      <c r="T81" s="65">
        <f>IF(C81="","",IF(R81="(-) Custos diretos dos serviços",IF(ISNUMBER(SEARCH("PCMSO",C81)),"PCMSO",IF(OR(ISNUMBER(SEARCH("SGS",C81)),ISNUMBER(SEARCH("CASTRO NAVES",C81))),"Projetos / Laudos / Avulsos","Projetos / Laudos / Avulsos")),"Rateio pela receita bruta"))</f>
        <v/>
      </c>
      <c r="U81" s="65">
        <f>IF(C81="","",IF(R81="(-) Custos diretos dos serviços","Direto por fornecedor/natureza do gasto","Rateio proporcional à receita bruta da linha de serviço"))</f>
        <v/>
      </c>
    </row>
    <row r="82">
      <c r="A82" s="28">
        <f>IF(C82="","", "CP-"&amp;TEXT(ROW()-5,"000"))</f>
        <v/>
      </c>
      <c r="B82" s="27">
        <f>IF(F82="","",DATE(YEAR(F82),MONTH(F82),1))</f>
        <v/>
      </c>
      <c r="C82" s="28" t="n"/>
      <c r="D82" s="28" t="n"/>
      <c r="E82" s="59">
        <f>IF(C82="","",IFERROR(INDEX('6. Base de Custos'!$M$8:$M$42,MATCH(C82,'6. Base de Custos'!$L$8:$L$42,0)),"Não classificado"))</f>
        <v/>
      </c>
      <c r="F82" s="111" t="n"/>
      <c r="G82" s="111" t="n"/>
      <c r="H82" s="111" t="n"/>
      <c r="I82" s="45" t="n"/>
      <c r="J82" s="28" t="n"/>
      <c r="K82" s="28" t="n"/>
      <c r="L82" s="28" t="n"/>
      <c r="M82" s="59">
        <f>IF(C82="","",IFERROR(INDEX('6. Base de Custos'!$N$8:$N$42,MATCH(C82,'6. Base de Custos'!$L$8:$L$42,0)),"Não classificado"))</f>
        <v/>
      </c>
      <c r="N82" s="59">
        <f>IF(C82="","",IFERROR(INDEX('6. Base de Custos'!$O$8:$O$42,MATCH(C82,'6. Base de Custos'!$L$8:$L$42,0)),"Revisar"))</f>
        <v/>
      </c>
      <c r="O82" s="60">
        <f>IF(M82="","",IFERROR(VLOOKUP(M82,'6. Base de Custos'!$H$12:$J$18,3,FALSE),0))</f>
        <v/>
      </c>
      <c r="P82" s="59">
        <f>IF(C82="","",IFERROR(INDEX('6. Base de Custos'!$P$8:$P$42,MATCH(C82,'6. Base de Custos'!$L$8:$L$42,0)),"Revisar"))</f>
        <v/>
      </c>
      <c r="Q82" s="59">
        <f>IF(C82="","",IFERROR(INDEX('6. Base de Custos'!$Q$8:$Q$42,MATCH(C82,'6. Base de Custos'!$L$8:$L$42,0)),""))</f>
        <v/>
      </c>
      <c r="R82" s="65">
        <f>IF(C82="","",IFERROR(VLOOKUP(M82&amp;"|"&amp;N82,'17. Mapa DRE CP'!$E$5:$H$100,2,FALSE),"Revisar"))</f>
        <v/>
      </c>
      <c r="S82" s="65">
        <f>IF(C82="","",IFERROR(VLOOKUP(M82&amp;"|"&amp;N82,'17. Mapa DRE CP'!$E$5:$H$100,3,FALSE),"Revisar"))</f>
        <v/>
      </c>
      <c r="T82" s="65">
        <f>IF(C82="","",IF(R82="(-) Custos diretos dos serviços",IF(ISNUMBER(SEARCH("PCMSO",C82)),"PCMSO",IF(OR(ISNUMBER(SEARCH("SGS",C82)),ISNUMBER(SEARCH("CASTRO NAVES",C82))),"Projetos / Laudos / Avulsos","Projetos / Laudos / Avulsos")),"Rateio pela receita bruta"))</f>
        <v/>
      </c>
      <c r="U82" s="65">
        <f>IF(C82="","",IF(R82="(-) Custos diretos dos serviços","Direto por fornecedor/natureza do gasto","Rateio proporcional à receita bruta da linha de serviço"))</f>
        <v/>
      </c>
    </row>
    <row r="83">
      <c r="A83" s="28">
        <f>IF(C83="","", "CP-"&amp;TEXT(ROW()-5,"000"))</f>
        <v/>
      </c>
      <c r="B83" s="27">
        <f>IF(F83="","",DATE(YEAR(F83),MONTH(F83),1))</f>
        <v/>
      </c>
      <c r="C83" s="28" t="n"/>
      <c r="D83" s="28" t="n"/>
      <c r="E83" s="59">
        <f>IF(C83="","",IFERROR(INDEX('6. Base de Custos'!$M$8:$M$42,MATCH(C83,'6. Base de Custos'!$L$8:$L$42,0)),"Não classificado"))</f>
        <v/>
      </c>
      <c r="F83" s="111" t="n"/>
      <c r="G83" s="111" t="n"/>
      <c r="H83" s="111" t="n"/>
      <c r="I83" s="45" t="n"/>
      <c r="J83" s="28" t="n"/>
      <c r="K83" s="28" t="n"/>
      <c r="L83" s="28" t="n"/>
      <c r="M83" s="59">
        <f>IF(C83="","",IFERROR(INDEX('6. Base de Custos'!$N$8:$N$42,MATCH(C83,'6. Base de Custos'!$L$8:$L$42,0)),"Não classificado"))</f>
        <v/>
      </c>
      <c r="N83" s="59">
        <f>IF(C83="","",IFERROR(INDEX('6. Base de Custos'!$O$8:$O$42,MATCH(C83,'6. Base de Custos'!$L$8:$L$42,0)),"Revisar"))</f>
        <v/>
      </c>
      <c r="O83" s="60">
        <f>IF(M83="","",IFERROR(VLOOKUP(M83,'6. Base de Custos'!$H$12:$J$18,3,FALSE),0))</f>
        <v/>
      </c>
      <c r="P83" s="59">
        <f>IF(C83="","",IFERROR(INDEX('6. Base de Custos'!$P$8:$P$42,MATCH(C83,'6. Base de Custos'!$L$8:$L$42,0)),"Revisar"))</f>
        <v/>
      </c>
      <c r="Q83" s="59">
        <f>IF(C83="","",IFERROR(INDEX('6. Base de Custos'!$Q$8:$Q$42,MATCH(C83,'6. Base de Custos'!$L$8:$L$42,0)),""))</f>
        <v/>
      </c>
      <c r="R83" s="65">
        <f>IF(C83="","",IFERROR(VLOOKUP(M83&amp;"|"&amp;N83,'17. Mapa DRE CP'!$E$5:$H$100,2,FALSE),"Revisar"))</f>
        <v/>
      </c>
      <c r="S83" s="65">
        <f>IF(C83="","",IFERROR(VLOOKUP(M83&amp;"|"&amp;N83,'17. Mapa DRE CP'!$E$5:$H$100,3,FALSE),"Revisar"))</f>
        <v/>
      </c>
      <c r="T83" s="65">
        <f>IF(C83="","",IF(R83="(-) Custos diretos dos serviços",IF(ISNUMBER(SEARCH("PCMSO",C83)),"PCMSO",IF(OR(ISNUMBER(SEARCH("SGS",C83)),ISNUMBER(SEARCH("CASTRO NAVES",C83))),"Projetos / Laudos / Avulsos","Projetos / Laudos / Avulsos")),"Rateio pela receita bruta"))</f>
        <v/>
      </c>
      <c r="U83" s="65">
        <f>IF(C83="","",IF(R83="(-) Custos diretos dos serviços","Direto por fornecedor/natureza do gasto","Rateio proporcional à receita bruta da linha de serviço"))</f>
        <v/>
      </c>
    </row>
    <row r="84">
      <c r="A84" s="28">
        <f>IF(C84="","", "CP-"&amp;TEXT(ROW()-5,"000"))</f>
        <v/>
      </c>
      <c r="B84" s="27">
        <f>IF(F84="","",DATE(YEAR(F84),MONTH(F84),1))</f>
        <v/>
      </c>
      <c r="C84" s="28" t="n"/>
      <c r="D84" s="28" t="n"/>
      <c r="E84" s="59">
        <f>IF(C84="","",IFERROR(INDEX('6. Base de Custos'!$M$8:$M$42,MATCH(C84,'6. Base de Custos'!$L$8:$L$42,0)),"Não classificado"))</f>
        <v/>
      </c>
      <c r="F84" s="111" t="n"/>
      <c r="G84" s="111" t="n"/>
      <c r="H84" s="111" t="n"/>
      <c r="I84" s="45" t="n"/>
      <c r="J84" s="28" t="n"/>
      <c r="K84" s="28" t="n"/>
      <c r="L84" s="28" t="n"/>
      <c r="M84" s="59">
        <f>IF(C84="","",IFERROR(INDEX('6. Base de Custos'!$N$8:$N$42,MATCH(C84,'6. Base de Custos'!$L$8:$L$42,0)),"Não classificado"))</f>
        <v/>
      </c>
      <c r="N84" s="59">
        <f>IF(C84="","",IFERROR(INDEX('6. Base de Custos'!$O$8:$O$42,MATCH(C84,'6. Base de Custos'!$L$8:$L$42,0)),"Revisar"))</f>
        <v/>
      </c>
      <c r="O84" s="60">
        <f>IF(M84="","",IFERROR(VLOOKUP(M84,'6. Base de Custos'!$H$12:$J$18,3,FALSE),0))</f>
        <v/>
      </c>
      <c r="P84" s="59">
        <f>IF(C84="","",IFERROR(INDEX('6. Base de Custos'!$P$8:$P$42,MATCH(C84,'6. Base de Custos'!$L$8:$L$42,0)),"Revisar"))</f>
        <v/>
      </c>
      <c r="Q84" s="59">
        <f>IF(C84="","",IFERROR(INDEX('6. Base de Custos'!$Q$8:$Q$42,MATCH(C84,'6. Base de Custos'!$L$8:$L$42,0)),""))</f>
        <v/>
      </c>
      <c r="R84" s="65">
        <f>IF(C84="","",IFERROR(VLOOKUP(M84&amp;"|"&amp;N84,'17. Mapa DRE CP'!$E$5:$H$100,2,FALSE),"Revisar"))</f>
        <v/>
      </c>
      <c r="S84" s="65">
        <f>IF(C84="","",IFERROR(VLOOKUP(M84&amp;"|"&amp;N84,'17. Mapa DRE CP'!$E$5:$H$100,3,FALSE),"Revisar"))</f>
        <v/>
      </c>
      <c r="T84" s="65">
        <f>IF(C84="","",IF(R84="(-) Custos diretos dos serviços",IF(ISNUMBER(SEARCH("PCMSO",C84)),"PCMSO",IF(OR(ISNUMBER(SEARCH("SGS",C84)),ISNUMBER(SEARCH("CASTRO NAVES",C84))),"Projetos / Laudos / Avulsos","Projetos / Laudos / Avulsos")),"Rateio pela receita bruta"))</f>
        <v/>
      </c>
      <c r="U84" s="65">
        <f>IF(C84="","",IF(R84="(-) Custos diretos dos serviços","Direto por fornecedor/natureza do gasto","Rateio proporcional à receita bruta da linha de serviço"))</f>
        <v/>
      </c>
    </row>
    <row r="85">
      <c r="A85" s="28">
        <f>IF(C85="","", "CP-"&amp;TEXT(ROW()-5,"000"))</f>
        <v/>
      </c>
      <c r="B85" s="27">
        <f>IF(F85="","",DATE(YEAR(F85),MONTH(F85),1))</f>
        <v/>
      </c>
      <c r="C85" s="28" t="n"/>
      <c r="D85" s="28" t="n"/>
      <c r="E85" s="59">
        <f>IF(C85="","",IFERROR(INDEX('6. Base de Custos'!$M$8:$M$42,MATCH(C85,'6. Base de Custos'!$L$8:$L$42,0)),"Não classificado"))</f>
        <v/>
      </c>
      <c r="F85" s="111" t="n"/>
      <c r="G85" s="111" t="n"/>
      <c r="H85" s="111" t="n"/>
      <c r="I85" s="45" t="n"/>
      <c r="J85" s="28" t="n"/>
      <c r="K85" s="28" t="n"/>
      <c r="L85" s="28" t="n"/>
      <c r="M85" s="59">
        <f>IF(C85="","",IFERROR(INDEX('6. Base de Custos'!$N$8:$N$42,MATCH(C85,'6. Base de Custos'!$L$8:$L$42,0)),"Não classificado"))</f>
        <v/>
      </c>
      <c r="N85" s="59">
        <f>IF(C85="","",IFERROR(INDEX('6. Base de Custos'!$O$8:$O$42,MATCH(C85,'6. Base de Custos'!$L$8:$L$42,0)),"Revisar"))</f>
        <v/>
      </c>
      <c r="O85" s="60">
        <f>IF(M85="","",IFERROR(VLOOKUP(M85,'6. Base de Custos'!$H$12:$J$18,3,FALSE),0))</f>
        <v/>
      </c>
      <c r="P85" s="59">
        <f>IF(C85="","",IFERROR(INDEX('6. Base de Custos'!$P$8:$P$42,MATCH(C85,'6. Base de Custos'!$L$8:$L$42,0)),"Revisar"))</f>
        <v/>
      </c>
      <c r="Q85" s="59">
        <f>IF(C85="","",IFERROR(INDEX('6. Base de Custos'!$Q$8:$Q$42,MATCH(C85,'6. Base de Custos'!$L$8:$L$42,0)),""))</f>
        <v/>
      </c>
      <c r="R85" s="65">
        <f>IF(C85="","",IFERROR(VLOOKUP(M85&amp;"|"&amp;N85,'17. Mapa DRE CP'!$E$5:$H$100,2,FALSE),"Revisar"))</f>
        <v/>
      </c>
      <c r="S85" s="65">
        <f>IF(C85="","",IFERROR(VLOOKUP(M85&amp;"|"&amp;N85,'17. Mapa DRE CP'!$E$5:$H$100,3,FALSE),"Revisar"))</f>
        <v/>
      </c>
      <c r="T85" s="65">
        <f>IF(C85="","",IF(R85="(-) Custos diretos dos serviços",IF(ISNUMBER(SEARCH("PCMSO",C85)),"PCMSO",IF(OR(ISNUMBER(SEARCH("SGS",C85)),ISNUMBER(SEARCH("CASTRO NAVES",C85))),"Projetos / Laudos / Avulsos","Projetos / Laudos / Avulsos")),"Rateio pela receita bruta"))</f>
        <v/>
      </c>
      <c r="U85" s="65">
        <f>IF(C85="","",IF(R85="(-) Custos diretos dos serviços","Direto por fornecedor/natureza do gasto","Rateio proporcional à receita bruta da linha de serviço"))</f>
        <v/>
      </c>
    </row>
    <row r="86">
      <c r="A86" s="28">
        <f>IF(C86="","", "CP-"&amp;TEXT(ROW()-5,"000"))</f>
        <v/>
      </c>
      <c r="B86" s="27">
        <f>IF(F86="","",DATE(YEAR(F86),MONTH(F86),1))</f>
        <v/>
      </c>
      <c r="C86" s="28" t="n"/>
      <c r="D86" s="28" t="n"/>
      <c r="E86" s="59">
        <f>IF(C86="","",IFERROR(INDEX('6. Base de Custos'!$M$8:$M$42,MATCH(C86,'6. Base de Custos'!$L$8:$L$42,0)),"Não classificado"))</f>
        <v/>
      </c>
      <c r="F86" s="111" t="n"/>
      <c r="G86" s="111" t="n"/>
      <c r="H86" s="111" t="n"/>
      <c r="I86" s="45" t="n"/>
      <c r="J86" s="28" t="n"/>
      <c r="K86" s="28" t="n"/>
      <c r="L86" s="28" t="n"/>
      <c r="M86" s="59">
        <f>IF(C86="","",IFERROR(INDEX('6. Base de Custos'!$N$8:$N$42,MATCH(C86,'6. Base de Custos'!$L$8:$L$42,0)),"Não classificado"))</f>
        <v/>
      </c>
      <c r="N86" s="59">
        <f>IF(C86="","",IFERROR(INDEX('6. Base de Custos'!$O$8:$O$42,MATCH(C86,'6. Base de Custos'!$L$8:$L$42,0)),"Revisar"))</f>
        <v/>
      </c>
      <c r="O86" s="60">
        <f>IF(M86="","",IFERROR(VLOOKUP(M86,'6. Base de Custos'!$H$12:$J$18,3,FALSE),0))</f>
        <v/>
      </c>
      <c r="P86" s="59">
        <f>IF(C86="","",IFERROR(INDEX('6. Base de Custos'!$P$8:$P$42,MATCH(C86,'6. Base de Custos'!$L$8:$L$42,0)),"Revisar"))</f>
        <v/>
      </c>
      <c r="Q86" s="59">
        <f>IF(C86="","",IFERROR(INDEX('6. Base de Custos'!$Q$8:$Q$42,MATCH(C86,'6. Base de Custos'!$L$8:$L$42,0)),""))</f>
        <v/>
      </c>
      <c r="R86" s="65">
        <f>IF(C86="","",IFERROR(VLOOKUP(M86&amp;"|"&amp;N86,'17. Mapa DRE CP'!$E$5:$H$100,2,FALSE),"Revisar"))</f>
        <v/>
      </c>
      <c r="S86" s="65">
        <f>IF(C86="","",IFERROR(VLOOKUP(M86&amp;"|"&amp;N86,'17. Mapa DRE CP'!$E$5:$H$100,3,FALSE),"Revisar"))</f>
        <v/>
      </c>
      <c r="T86" s="65">
        <f>IF(C86="","",IF(R86="(-) Custos diretos dos serviços",IF(ISNUMBER(SEARCH("PCMSO",C86)),"PCMSO",IF(OR(ISNUMBER(SEARCH("SGS",C86)),ISNUMBER(SEARCH("CASTRO NAVES",C86))),"Projetos / Laudos / Avulsos","Projetos / Laudos / Avulsos")),"Rateio pela receita bruta"))</f>
        <v/>
      </c>
      <c r="U86" s="65">
        <f>IF(C86="","",IF(R86="(-) Custos diretos dos serviços","Direto por fornecedor/natureza do gasto","Rateio proporcional à receita bruta da linha de serviço"))</f>
        <v/>
      </c>
    </row>
    <row r="87">
      <c r="A87" s="28">
        <f>IF(C87="","", "CP-"&amp;TEXT(ROW()-5,"000"))</f>
        <v/>
      </c>
      <c r="B87" s="27">
        <f>IF(F87="","",DATE(YEAR(F87),MONTH(F87),1))</f>
        <v/>
      </c>
      <c r="C87" s="28" t="n"/>
      <c r="D87" s="28" t="n"/>
      <c r="E87" s="59">
        <f>IF(C87="","",IFERROR(INDEX('6. Base de Custos'!$M$8:$M$42,MATCH(C87,'6. Base de Custos'!$L$8:$L$42,0)),"Não classificado"))</f>
        <v/>
      </c>
      <c r="F87" s="111" t="n"/>
      <c r="G87" s="111" t="n"/>
      <c r="H87" s="111" t="n"/>
      <c r="I87" s="45" t="n"/>
      <c r="J87" s="28" t="n"/>
      <c r="K87" s="28" t="n"/>
      <c r="L87" s="28" t="n"/>
      <c r="M87" s="59">
        <f>IF(C87="","",IFERROR(INDEX('6. Base de Custos'!$N$8:$N$42,MATCH(C87,'6. Base de Custos'!$L$8:$L$42,0)),"Não classificado"))</f>
        <v/>
      </c>
      <c r="N87" s="59">
        <f>IF(C87="","",IFERROR(INDEX('6. Base de Custos'!$O$8:$O$42,MATCH(C87,'6. Base de Custos'!$L$8:$L$42,0)),"Revisar"))</f>
        <v/>
      </c>
      <c r="O87" s="60">
        <f>IF(M87="","",IFERROR(VLOOKUP(M87,'6. Base de Custos'!$H$12:$J$18,3,FALSE),0))</f>
        <v/>
      </c>
      <c r="P87" s="59">
        <f>IF(C87="","",IFERROR(INDEX('6. Base de Custos'!$P$8:$P$42,MATCH(C87,'6. Base de Custos'!$L$8:$L$42,0)),"Revisar"))</f>
        <v/>
      </c>
      <c r="Q87" s="59">
        <f>IF(C87="","",IFERROR(INDEX('6. Base de Custos'!$Q$8:$Q$42,MATCH(C87,'6. Base de Custos'!$L$8:$L$42,0)),""))</f>
        <v/>
      </c>
      <c r="R87" s="65">
        <f>IF(C87="","",IFERROR(VLOOKUP(M87&amp;"|"&amp;N87,'17. Mapa DRE CP'!$E$5:$H$100,2,FALSE),"Revisar"))</f>
        <v/>
      </c>
      <c r="S87" s="65">
        <f>IF(C87="","",IFERROR(VLOOKUP(M87&amp;"|"&amp;N87,'17. Mapa DRE CP'!$E$5:$H$100,3,FALSE),"Revisar"))</f>
        <v/>
      </c>
      <c r="T87" s="65">
        <f>IF(C87="","",IF(R87="(-) Custos diretos dos serviços",IF(ISNUMBER(SEARCH("PCMSO",C87)),"PCMSO",IF(OR(ISNUMBER(SEARCH("SGS",C87)),ISNUMBER(SEARCH("CASTRO NAVES",C87))),"Projetos / Laudos / Avulsos","Projetos / Laudos / Avulsos")),"Rateio pela receita bruta"))</f>
        <v/>
      </c>
      <c r="U87" s="65">
        <f>IF(C87="","",IF(R87="(-) Custos diretos dos serviços","Direto por fornecedor/natureza do gasto","Rateio proporcional à receita bruta da linha de serviço"))</f>
        <v/>
      </c>
    </row>
    <row r="88">
      <c r="A88" s="28">
        <f>IF(C88="","", "CP-"&amp;TEXT(ROW()-5,"000"))</f>
        <v/>
      </c>
      <c r="B88" s="27">
        <f>IF(F88="","",DATE(YEAR(F88),MONTH(F88),1))</f>
        <v/>
      </c>
      <c r="C88" s="28" t="n"/>
      <c r="D88" s="28" t="n"/>
      <c r="E88" s="59">
        <f>IF(C88="","",IFERROR(INDEX('6. Base de Custos'!$M$8:$M$42,MATCH(C88,'6. Base de Custos'!$L$8:$L$42,0)),"Não classificado"))</f>
        <v/>
      </c>
      <c r="F88" s="111" t="n"/>
      <c r="G88" s="111" t="n"/>
      <c r="H88" s="111" t="n"/>
      <c r="I88" s="45" t="n"/>
      <c r="J88" s="28" t="n"/>
      <c r="K88" s="28" t="n"/>
      <c r="L88" s="28" t="n"/>
      <c r="M88" s="59">
        <f>IF(C88="","",IFERROR(INDEX('6. Base de Custos'!$N$8:$N$42,MATCH(C88,'6. Base de Custos'!$L$8:$L$42,0)),"Não classificado"))</f>
        <v/>
      </c>
      <c r="N88" s="59">
        <f>IF(C88="","",IFERROR(INDEX('6. Base de Custos'!$O$8:$O$42,MATCH(C88,'6. Base de Custos'!$L$8:$L$42,0)),"Revisar"))</f>
        <v/>
      </c>
      <c r="O88" s="60">
        <f>IF(M88="","",IFERROR(VLOOKUP(M88,'6. Base de Custos'!$H$12:$J$18,3,FALSE),0))</f>
        <v/>
      </c>
      <c r="P88" s="59">
        <f>IF(C88="","",IFERROR(INDEX('6. Base de Custos'!$P$8:$P$42,MATCH(C88,'6. Base de Custos'!$L$8:$L$42,0)),"Revisar"))</f>
        <v/>
      </c>
      <c r="Q88" s="59">
        <f>IF(C88="","",IFERROR(INDEX('6. Base de Custos'!$Q$8:$Q$42,MATCH(C88,'6. Base de Custos'!$L$8:$L$42,0)),""))</f>
        <v/>
      </c>
      <c r="R88" s="65">
        <f>IF(C88="","",IFERROR(VLOOKUP(M88&amp;"|"&amp;N88,'17. Mapa DRE CP'!$E$5:$H$100,2,FALSE),"Revisar"))</f>
        <v/>
      </c>
      <c r="S88" s="65">
        <f>IF(C88="","",IFERROR(VLOOKUP(M88&amp;"|"&amp;N88,'17. Mapa DRE CP'!$E$5:$H$100,3,FALSE),"Revisar"))</f>
        <v/>
      </c>
      <c r="T88" s="65">
        <f>IF(C88="","",IF(R88="(-) Custos diretos dos serviços",IF(ISNUMBER(SEARCH("PCMSO",C88)),"PCMSO",IF(OR(ISNUMBER(SEARCH("SGS",C88)),ISNUMBER(SEARCH("CASTRO NAVES",C88))),"Projetos / Laudos / Avulsos","Projetos / Laudos / Avulsos")),"Rateio pela receita bruta"))</f>
        <v/>
      </c>
      <c r="U88" s="65">
        <f>IF(C88="","",IF(R88="(-) Custos diretos dos serviços","Direto por fornecedor/natureza do gasto","Rateio proporcional à receita bruta da linha de serviço"))</f>
        <v/>
      </c>
    </row>
    <row r="89">
      <c r="A89" s="28">
        <f>IF(C89="","", "CP-"&amp;TEXT(ROW()-5,"000"))</f>
        <v/>
      </c>
      <c r="B89" s="27">
        <f>IF(F89="","",DATE(YEAR(F89),MONTH(F89),1))</f>
        <v/>
      </c>
      <c r="C89" s="28" t="n"/>
      <c r="D89" s="28" t="n"/>
      <c r="E89" s="59">
        <f>IF(C89="","",IFERROR(INDEX('6. Base de Custos'!$M$8:$M$42,MATCH(C89,'6. Base de Custos'!$L$8:$L$42,0)),"Não classificado"))</f>
        <v/>
      </c>
      <c r="F89" s="111" t="n"/>
      <c r="G89" s="111" t="n"/>
      <c r="H89" s="111" t="n"/>
      <c r="I89" s="45" t="n"/>
      <c r="J89" s="28" t="n"/>
      <c r="K89" s="28" t="n"/>
      <c r="L89" s="28" t="n"/>
      <c r="M89" s="59">
        <f>IF(C89="","",IFERROR(INDEX('6. Base de Custos'!$N$8:$N$42,MATCH(C89,'6. Base de Custos'!$L$8:$L$42,0)),"Não classificado"))</f>
        <v/>
      </c>
      <c r="N89" s="59">
        <f>IF(C89="","",IFERROR(INDEX('6. Base de Custos'!$O$8:$O$42,MATCH(C89,'6. Base de Custos'!$L$8:$L$42,0)),"Revisar"))</f>
        <v/>
      </c>
      <c r="O89" s="60">
        <f>IF(M89="","",IFERROR(VLOOKUP(M89,'6. Base de Custos'!$H$12:$J$18,3,FALSE),0))</f>
        <v/>
      </c>
      <c r="P89" s="59">
        <f>IF(C89="","",IFERROR(INDEX('6. Base de Custos'!$P$8:$P$42,MATCH(C89,'6. Base de Custos'!$L$8:$L$42,0)),"Revisar"))</f>
        <v/>
      </c>
      <c r="Q89" s="59">
        <f>IF(C89="","",IFERROR(INDEX('6. Base de Custos'!$Q$8:$Q$42,MATCH(C89,'6. Base de Custos'!$L$8:$L$42,0)),""))</f>
        <v/>
      </c>
      <c r="R89" s="65">
        <f>IF(C89="","",IFERROR(VLOOKUP(M89&amp;"|"&amp;N89,'17. Mapa DRE CP'!$E$5:$H$100,2,FALSE),"Revisar"))</f>
        <v/>
      </c>
      <c r="S89" s="65">
        <f>IF(C89="","",IFERROR(VLOOKUP(M89&amp;"|"&amp;N89,'17. Mapa DRE CP'!$E$5:$H$100,3,FALSE),"Revisar"))</f>
        <v/>
      </c>
      <c r="T89" s="65">
        <f>IF(C89="","",IF(R89="(-) Custos diretos dos serviços",IF(ISNUMBER(SEARCH("PCMSO",C89)),"PCMSO",IF(OR(ISNUMBER(SEARCH("SGS",C89)),ISNUMBER(SEARCH("CASTRO NAVES",C89))),"Projetos / Laudos / Avulsos","Projetos / Laudos / Avulsos")),"Rateio pela receita bruta"))</f>
        <v/>
      </c>
      <c r="U89" s="65">
        <f>IF(C89="","",IF(R89="(-) Custos diretos dos serviços","Direto por fornecedor/natureza do gasto","Rateio proporcional à receita bruta da linha de serviço"))</f>
        <v/>
      </c>
    </row>
    <row r="90">
      <c r="A90" s="28">
        <f>IF(C90="","", "CP-"&amp;TEXT(ROW()-5,"000"))</f>
        <v/>
      </c>
      <c r="B90" s="27">
        <f>IF(F90="","",DATE(YEAR(F90),MONTH(F90),1))</f>
        <v/>
      </c>
      <c r="C90" s="28" t="n"/>
      <c r="D90" s="28" t="n"/>
      <c r="E90" s="59">
        <f>IF(C90="","",IFERROR(INDEX('6. Base de Custos'!$M$8:$M$42,MATCH(C90,'6. Base de Custos'!$L$8:$L$42,0)),"Não classificado"))</f>
        <v/>
      </c>
      <c r="F90" s="111" t="n"/>
      <c r="G90" s="111" t="n"/>
      <c r="H90" s="111" t="n"/>
      <c r="I90" s="45" t="n"/>
      <c r="J90" s="28" t="n"/>
      <c r="K90" s="28" t="n"/>
      <c r="L90" s="28" t="n"/>
      <c r="M90" s="59">
        <f>IF(C90="","",IFERROR(INDEX('6. Base de Custos'!$N$8:$N$42,MATCH(C90,'6. Base de Custos'!$L$8:$L$42,0)),"Não classificado"))</f>
        <v/>
      </c>
      <c r="N90" s="59">
        <f>IF(C90="","",IFERROR(INDEX('6. Base de Custos'!$O$8:$O$42,MATCH(C90,'6. Base de Custos'!$L$8:$L$42,0)),"Revisar"))</f>
        <v/>
      </c>
      <c r="O90" s="60">
        <f>IF(M90="","",IFERROR(VLOOKUP(M90,'6. Base de Custos'!$H$12:$J$18,3,FALSE),0))</f>
        <v/>
      </c>
      <c r="P90" s="59">
        <f>IF(C90="","",IFERROR(INDEX('6. Base de Custos'!$P$8:$P$42,MATCH(C90,'6. Base de Custos'!$L$8:$L$42,0)),"Revisar"))</f>
        <v/>
      </c>
      <c r="Q90" s="59">
        <f>IF(C90="","",IFERROR(INDEX('6. Base de Custos'!$Q$8:$Q$42,MATCH(C90,'6. Base de Custos'!$L$8:$L$42,0)),""))</f>
        <v/>
      </c>
      <c r="R90" s="65">
        <f>IF(C90="","",IFERROR(VLOOKUP(M90&amp;"|"&amp;N90,'17. Mapa DRE CP'!$E$5:$H$100,2,FALSE),"Revisar"))</f>
        <v/>
      </c>
      <c r="S90" s="65">
        <f>IF(C90="","",IFERROR(VLOOKUP(M90&amp;"|"&amp;N90,'17. Mapa DRE CP'!$E$5:$H$100,3,FALSE),"Revisar"))</f>
        <v/>
      </c>
      <c r="T90" s="65">
        <f>IF(C90="","",IF(R90="(-) Custos diretos dos serviços",IF(ISNUMBER(SEARCH("PCMSO",C90)),"PCMSO",IF(OR(ISNUMBER(SEARCH("SGS",C90)),ISNUMBER(SEARCH("CASTRO NAVES",C90))),"Projetos / Laudos / Avulsos","Projetos / Laudos / Avulsos")),"Rateio pela receita bruta"))</f>
        <v/>
      </c>
      <c r="U90" s="65">
        <f>IF(C90="","",IF(R90="(-) Custos diretos dos serviços","Direto por fornecedor/natureza do gasto","Rateio proporcional à receita bruta da linha de serviço"))</f>
        <v/>
      </c>
    </row>
    <row r="91">
      <c r="A91" s="28">
        <f>IF(C91="","", "CP-"&amp;TEXT(ROW()-5,"000"))</f>
        <v/>
      </c>
      <c r="B91" s="27">
        <f>IF(F91="","",DATE(YEAR(F91),MONTH(F91),1))</f>
        <v/>
      </c>
      <c r="C91" s="28" t="n"/>
      <c r="D91" s="28" t="n"/>
      <c r="E91" s="59">
        <f>IF(C91="","",IFERROR(INDEX('6. Base de Custos'!$M$8:$M$42,MATCH(C91,'6. Base de Custos'!$L$8:$L$42,0)),"Não classificado"))</f>
        <v/>
      </c>
      <c r="F91" s="111" t="n"/>
      <c r="G91" s="111" t="n"/>
      <c r="H91" s="111" t="n"/>
      <c r="I91" s="45" t="n"/>
      <c r="J91" s="28" t="n"/>
      <c r="K91" s="28" t="n"/>
      <c r="L91" s="28" t="n"/>
      <c r="M91" s="59">
        <f>IF(C91="","",IFERROR(INDEX('6. Base de Custos'!$N$8:$N$42,MATCH(C91,'6. Base de Custos'!$L$8:$L$42,0)),"Não classificado"))</f>
        <v/>
      </c>
      <c r="N91" s="59">
        <f>IF(C91="","",IFERROR(INDEX('6. Base de Custos'!$O$8:$O$42,MATCH(C91,'6. Base de Custos'!$L$8:$L$42,0)),"Revisar"))</f>
        <v/>
      </c>
      <c r="O91" s="60">
        <f>IF(M91="","",IFERROR(VLOOKUP(M91,'6. Base de Custos'!$H$12:$J$18,3,FALSE),0))</f>
        <v/>
      </c>
      <c r="P91" s="59">
        <f>IF(C91="","",IFERROR(INDEX('6. Base de Custos'!$P$8:$P$42,MATCH(C91,'6. Base de Custos'!$L$8:$L$42,0)),"Revisar"))</f>
        <v/>
      </c>
      <c r="Q91" s="59">
        <f>IF(C91="","",IFERROR(INDEX('6. Base de Custos'!$Q$8:$Q$42,MATCH(C91,'6. Base de Custos'!$L$8:$L$42,0)),""))</f>
        <v/>
      </c>
      <c r="R91" s="65">
        <f>IF(C91="","",IFERROR(VLOOKUP(M91&amp;"|"&amp;N91,'17. Mapa DRE CP'!$E$5:$H$100,2,FALSE),"Revisar"))</f>
        <v/>
      </c>
      <c r="S91" s="65">
        <f>IF(C91="","",IFERROR(VLOOKUP(M91&amp;"|"&amp;N91,'17. Mapa DRE CP'!$E$5:$H$100,3,FALSE),"Revisar"))</f>
        <v/>
      </c>
      <c r="T91" s="65">
        <f>IF(C91="","",IF(R91="(-) Custos diretos dos serviços",IF(ISNUMBER(SEARCH("PCMSO",C91)),"PCMSO",IF(OR(ISNUMBER(SEARCH("SGS",C91)),ISNUMBER(SEARCH("CASTRO NAVES",C91))),"Projetos / Laudos / Avulsos","Projetos / Laudos / Avulsos")),"Rateio pela receita bruta"))</f>
        <v/>
      </c>
      <c r="U91" s="65">
        <f>IF(C91="","",IF(R91="(-) Custos diretos dos serviços","Direto por fornecedor/natureza do gasto","Rateio proporcional à receita bruta da linha de serviço"))</f>
        <v/>
      </c>
    </row>
    <row r="92">
      <c r="A92" s="28">
        <f>IF(C92="","", "CP-"&amp;TEXT(ROW()-5,"000"))</f>
        <v/>
      </c>
      <c r="B92" s="27">
        <f>IF(F92="","",DATE(YEAR(F92),MONTH(F92),1))</f>
        <v/>
      </c>
      <c r="C92" s="28" t="n"/>
      <c r="D92" s="28" t="n"/>
      <c r="E92" s="59">
        <f>IF(C92="","",IFERROR(INDEX('6. Base de Custos'!$M$8:$M$42,MATCH(C92,'6. Base de Custos'!$L$8:$L$42,0)),"Não classificado"))</f>
        <v/>
      </c>
      <c r="F92" s="111" t="n"/>
      <c r="G92" s="111" t="n"/>
      <c r="H92" s="111" t="n"/>
      <c r="I92" s="45" t="n"/>
      <c r="J92" s="28" t="n"/>
      <c r="K92" s="28" t="n"/>
      <c r="L92" s="28" t="n"/>
      <c r="M92" s="59">
        <f>IF(C92="","",IFERROR(INDEX('6. Base de Custos'!$N$8:$N$42,MATCH(C92,'6. Base de Custos'!$L$8:$L$42,0)),"Não classificado"))</f>
        <v/>
      </c>
      <c r="N92" s="59">
        <f>IF(C92="","",IFERROR(INDEX('6. Base de Custos'!$O$8:$O$42,MATCH(C92,'6. Base de Custos'!$L$8:$L$42,0)),"Revisar"))</f>
        <v/>
      </c>
      <c r="O92" s="60">
        <f>IF(M92="","",IFERROR(VLOOKUP(M92,'6. Base de Custos'!$H$12:$J$18,3,FALSE),0))</f>
        <v/>
      </c>
      <c r="P92" s="59">
        <f>IF(C92="","",IFERROR(INDEX('6. Base de Custos'!$P$8:$P$42,MATCH(C92,'6. Base de Custos'!$L$8:$L$42,0)),"Revisar"))</f>
        <v/>
      </c>
      <c r="Q92" s="59">
        <f>IF(C92="","",IFERROR(INDEX('6. Base de Custos'!$Q$8:$Q$42,MATCH(C92,'6. Base de Custos'!$L$8:$L$42,0)),""))</f>
        <v/>
      </c>
      <c r="R92" s="65">
        <f>IF(C92="","",IFERROR(VLOOKUP(M92&amp;"|"&amp;N92,'17. Mapa DRE CP'!$E$5:$H$100,2,FALSE),"Revisar"))</f>
        <v/>
      </c>
      <c r="S92" s="65">
        <f>IF(C92="","",IFERROR(VLOOKUP(M92&amp;"|"&amp;N92,'17. Mapa DRE CP'!$E$5:$H$100,3,FALSE),"Revisar"))</f>
        <v/>
      </c>
      <c r="T92" s="65">
        <f>IF(C92="","",IF(R92="(-) Custos diretos dos serviços",IF(ISNUMBER(SEARCH("PCMSO",C92)),"PCMSO",IF(OR(ISNUMBER(SEARCH("SGS",C92)),ISNUMBER(SEARCH("CASTRO NAVES",C92))),"Projetos / Laudos / Avulsos","Projetos / Laudos / Avulsos")),"Rateio pela receita bruta"))</f>
        <v/>
      </c>
      <c r="U92" s="65">
        <f>IF(C92="","",IF(R92="(-) Custos diretos dos serviços","Direto por fornecedor/natureza do gasto","Rateio proporcional à receita bruta da linha de serviço"))</f>
        <v/>
      </c>
    </row>
    <row r="93">
      <c r="A93" s="28">
        <f>IF(C93="","", "CP-"&amp;TEXT(ROW()-5,"000"))</f>
        <v/>
      </c>
      <c r="B93" s="27">
        <f>IF(F93="","",DATE(YEAR(F93),MONTH(F93),1))</f>
        <v/>
      </c>
      <c r="C93" s="28" t="n"/>
      <c r="D93" s="28" t="n"/>
      <c r="E93" s="59">
        <f>IF(C93="","",IFERROR(INDEX('6. Base de Custos'!$M$8:$M$42,MATCH(C93,'6. Base de Custos'!$L$8:$L$42,0)),"Não classificado"))</f>
        <v/>
      </c>
      <c r="F93" s="111" t="n"/>
      <c r="G93" s="111" t="n"/>
      <c r="H93" s="111" t="n"/>
      <c r="I93" s="45" t="n"/>
      <c r="J93" s="28" t="n"/>
      <c r="K93" s="28" t="n"/>
      <c r="L93" s="28" t="n"/>
      <c r="M93" s="59">
        <f>IF(C93="","",IFERROR(INDEX('6. Base de Custos'!$N$8:$N$42,MATCH(C93,'6. Base de Custos'!$L$8:$L$42,0)),"Não classificado"))</f>
        <v/>
      </c>
      <c r="N93" s="59">
        <f>IF(C93="","",IFERROR(INDEX('6. Base de Custos'!$O$8:$O$42,MATCH(C93,'6. Base de Custos'!$L$8:$L$42,0)),"Revisar"))</f>
        <v/>
      </c>
      <c r="O93" s="60">
        <f>IF(M93="","",IFERROR(VLOOKUP(M93,'6. Base de Custos'!$H$12:$J$18,3,FALSE),0))</f>
        <v/>
      </c>
      <c r="P93" s="59">
        <f>IF(C93="","",IFERROR(INDEX('6. Base de Custos'!$P$8:$P$42,MATCH(C93,'6. Base de Custos'!$L$8:$L$42,0)),"Revisar"))</f>
        <v/>
      </c>
      <c r="Q93" s="59">
        <f>IF(C93="","",IFERROR(INDEX('6. Base de Custos'!$Q$8:$Q$42,MATCH(C93,'6. Base de Custos'!$L$8:$L$42,0)),""))</f>
        <v/>
      </c>
      <c r="R93" s="65">
        <f>IF(C93="","",IFERROR(VLOOKUP(M93&amp;"|"&amp;N93,'17. Mapa DRE CP'!$E$5:$H$100,2,FALSE),"Revisar"))</f>
        <v/>
      </c>
      <c r="S93" s="65">
        <f>IF(C93="","",IFERROR(VLOOKUP(M93&amp;"|"&amp;N93,'17. Mapa DRE CP'!$E$5:$H$100,3,FALSE),"Revisar"))</f>
        <v/>
      </c>
      <c r="T93" s="65">
        <f>IF(C93="","",IF(R93="(-) Custos diretos dos serviços",IF(ISNUMBER(SEARCH("PCMSO",C93)),"PCMSO",IF(OR(ISNUMBER(SEARCH("SGS",C93)),ISNUMBER(SEARCH("CASTRO NAVES",C93))),"Projetos / Laudos / Avulsos","Projetos / Laudos / Avulsos")),"Rateio pela receita bruta"))</f>
        <v/>
      </c>
      <c r="U93" s="65">
        <f>IF(C93="","",IF(R93="(-) Custos diretos dos serviços","Direto por fornecedor/natureza do gasto","Rateio proporcional à receita bruta da linha de serviço"))</f>
        <v/>
      </c>
    </row>
    <row r="94">
      <c r="A94" s="28">
        <f>IF(C94="","", "CP-"&amp;TEXT(ROW()-5,"000"))</f>
        <v/>
      </c>
      <c r="B94" s="27">
        <f>IF(F94="","",DATE(YEAR(F94),MONTH(F94),1))</f>
        <v/>
      </c>
      <c r="C94" s="28" t="n"/>
      <c r="D94" s="28" t="n"/>
      <c r="E94" s="59">
        <f>IF(C94="","",IFERROR(INDEX('6. Base de Custos'!$M$8:$M$42,MATCH(C94,'6. Base de Custos'!$L$8:$L$42,0)),"Não classificado"))</f>
        <v/>
      </c>
      <c r="F94" s="111" t="n"/>
      <c r="G94" s="111" t="n"/>
      <c r="H94" s="111" t="n"/>
      <c r="I94" s="45" t="n"/>
      <c r="J94" s="28" t="n"/>
      <c r="K94" s="28" t="n"/>
      <c r="L94" s="28" t="n"/>
      <c r="M94" s="59">
        <f>IF(C94="","",IFERROR(INDEX('6. Base de Custos'!$N$8:$N$42,MATCH(C94,'6. Base de Custos'!$L$8:$L$42,0)),"Não classificado"))</f>
        <v/>
      </c>
      <c r="N94" s="59">
        <f>IF(C94="","",IFERROR(INDEX('6. Base de Custos'!$O$8:$O$42,MATCH(C94,'6. Base de Custos'!$L$8:$L$42,0)),"Revisar"))</f>
        <v/>
      </c>
      <c r="O94" s="60">
        <f>IF(M94="","",IFERROR(VLOOKUP(M94,'6. Base de Custos'!$H$12:$J$18,3,FALSE),0))</f>
        <v/>
      </c>
      <c r="P94" s="59">
        <f>IF(C94="","",IFERROR(INDEX('6. Base de Custos'!$P$8:$P$42,MATCH(C94,'6. Base de Custos'!$L$8:$L$42,0)),"Revisar"))</f>
        <v/>
      </c>
      <c r="Q94" s="59">
        <f>IF(C94="","",IFERROR(INDEX('6. Base de Custos'!$Q$8:$Q$42,MATCH(C94,'6. Base de Custos'!$L$8:$L$42,0)),""))</f>
        <v/>
      </c>
      <c r="R94" s="65">
        <f>IF(C94="","",IFERROR(VLOOKUP(M94&amp;"|"&amp;N94,'17. Mapa DRE CP'!$E$5:$H$100,2,FALSE),"Revisar"))</f>
        <v/>
      </c>
      <c r="S94" s="65">
        <f>IF(C94="","",IFERROR(VLOOKUP(M94&amp;"|"&amp;N94,'17. Mapa DRE CP'!$E$5:$H$100,3,FALSE),"Revisar"))</f>
        <v/>
      </c>
      <c r="T94" s="65">
        <f>IF(C94="","",IF(R94="(-) Custos diretos dos serviços",IF(ISNUMBER(SEARCH("PCMSO",C94)),"PCMSO",IF(OR(ISNUMBER(SEARCH("SGS",C94)),ISNUMBER(SEARCH("CASTRO NAVES",C94))),"Projetos / Laudos / Avulsos","Projetos / Laudos / Avulsos")),"Rateio pela receita bruta"))</f>
        <v/>
      </c>
      <c r="U94" s="65">
        <f>IF(C94="","",IF(R94="(-) Custos diretos dos serviços","Direto por fornecedor/natureza do gasto","Rateio proporcional à receita bruta da linha de serviço"))</f>
        <v/>
      </c>
    </row>
    <row r="95">
      <c r="A95" s="28">
        <f>IF(C95="","", "CP-"&amp;TEXT(ROW()-5,"000"))</f>
        <v/>
      </c>
      <c r="B95" s="27">
        <f>IF(F95="","",DATE(YEAR(F95),MONTH(F95),1))</f>
        <v/>
      </c>
      <c r="C95" s="28" t="n"/>
      <c r="D95" s="28" t="n"/>
      <c r="E95" s="59">
        <f>IF(C95="","",IFERROR(INDEX('6. Base de Custos'!$M$8:$M$42,MATCH(C95,'6. Base de Custos'!$L$8:$L$42,0)),"Não classificado"))</f>
        <v/>
      </c>
      <c r="F95" s="111" t="n"/>
      <c r="G95" s="111" t="n"/>
      <c r="H95" s="111" t="n"/>
      <c r="I95" s="45" t="n"/>
      <c r="J95" s="28" t="n"/>
      <c r="K95" s="28" t="n"/>
      <c r="L95" s="28" t="n"/>
      <c r="M95" s="59">
        <f>IF(C95="","",IFERROR(INDEX('6. Base de Custos'!$N$8:$N$42,MATCH(C95,'6. Base de Custos'!$L$8:$L$42,0)),"Não classificado"))</f>
        <v/>
      </c>
      <c r="N95" s="59">
        <f>IF(C95="","",IFERROR(INDEX('6. Base de Custos'!$O$8:$O$42,MATCH(C95,'6. Base de Custos'!$L$8:$L$42,0)),"Revisar"))</f>
        <v/>
      </c>
      <c r="O95" s="60">
        <f>IF(M95="","",IFERROR(VLOOKUP(M95,'6. Base de Custos'!$H$12:$J$18,3,FALSE),0))</f>
        <v/>
      </c>
      <c r="P95" s="59">
        <f>IF(C95="","",IFERROR(INDEX('6. Base de Custos'!$P$8:$P$42,MATCH(C95,'6. Base de Custos'!$L$8:$L$42,0)),"Revisar"))</f>
        <v/>
      </c>
      <c r="Q95" s="59">
        <f>IF(C95="","",IFERROR(INDEX('6. Base de Custos'!$Q$8:$Q$42,MATCH(C95,'6. Base de Custos'!$L$8:$L$42,0)),""))</f>
        <v/>
      </c>
      <c r="R95" s="65">
        <f>IF(C95="","",IFERROR(VLOOKUP(M95&amp;"|"&amp;N95,'17. Mapa DRE CP'!$E$5:$H$100,2,FALSE),"Revisar"))</f>
        <v/>
      </c>
      <c r="S95" s="65">
        <f>IF(C95="","",IFERROR(VLOOKUP(M95&amp;"|"&amp;N95,'17. Mapa DRE CP'!$E$5:$H$100,3,FALSE),"Revisar"))</f>
        <v/>
      </c>
      <c r="T95" s="65">
        <f>IF(C95="","",IF(R95="(-) Custos diretos dos serviços",IF(ISNUMBER(SEARCH("PCMSO",C95)),"PCMSO",IF(OR(ISNUMBER(SEARCH("SGS",C95)),ISNUMBER(SEARCH("CASTRO NAVES",C95))),"Projetos / Laudos / Avulsos","Projetos / Laudos / Avulsos")),"Rateio pela receita bruta"))</f>
        <v/>
      </c>
      <c r="U95" s="65">
        <f>IF(C95="","",IF(R95="(-) Custos diretos dos serviços","Direto por fornecedor/natureza do gasto","Rateio proporcional à receita bruta da linha de serviço"))</f>
        <v/>
      </c>
    </row>
    <row r="96">
      <c r="A96" s="28">
        <f>IF(C96="","", "CP-"&amp;TEXT(ROW()-5,"000"))</f>
        <v/>
      </c>
      <c r="B96" s="27">
        <f>IF(F96="","",DATE(YEAR(F96),MONTH(F96),1))</f>
        <v/>
      </c>
      <c r="C96" s="28" t="n"/>
      <c r="D96" s="28" t="n"/>
      <c r="E96" s="59">
        <f>IF(C96="","",IFERROR(INDEX('6. Base de Custos'!$M$8:$M$42,MATCH(C96,'6. Base de Custos'!$L$8:$L$42,0)),"Não classificado"))</f>
        <v/>
      </c>
      <c r="F96" s="111" t="n"/>
      <c r="G96" s="111" t="n"/>
      <c r="H96" s="111" t="n"/>
      <c r="I96" s="45" t="n"/>
      <c r="J96" s="28" t="n"/>
      <c r="K96" s="28" t="n"/>
      <c r="L96" s="28" t="n"/>
      <c r="M96" s="59">
        <f>IF(C96="","",IFERROR(INDEX('6. Base de Custos'!$N$8:$N$42,MATCH(C96,'6. Base de Custos'!$L$8:$L$42,0)),"Não classificado"))</f>
        <v/>
      </c>
      <c r="N96" s="59">
        <f>IF(C96="","",IFERROR(INDEX('6. Base de Custos'!$O$8:$O$42,MATCH(C96,'6. Base de Custos'!$L$8:$L$42,0)),"Revisar"))</f>
        <v/>
      </c>
      <c r="O96" s="60">
        <f>IF(M96="","",IFERROR(VLOOKUP(M96,'6. Base de Custos'!$H$12:$J$18,3,FALSE),0))</f>
        <v/>
      </c>
      <c r="P96" s="59">
        <f>IF(C96="","",IFERROR(INDEX('6. Base de Custos'!$P$8:$P$42,MATCH(C96,'6. Base de Custos'!$L$8:$L$42,0)),"Revisar"))</f>
        <v/>
      </c>
      <c r="Q96" s="59">
        <f>IF(C96="","",IFERROR(INDEX('6. Base de Custos'!$Q$8:$Q$42,MATCH(C96,'6. Base de Custos'!$L$8:$L$42,0)),""))</f>
        <v/>
      </c>
      <c r="R96" s="65">
        <f>IF(C96="","",IFERROR(VLOOKUP(M96&amp;"|"&amp;N96,'17. Mapa DRE CP'!$E$5:$H$100,2,FALSE),"Revisar"))</f>
        <v/>
      </c>
      <c r="S96" s="65">
        <f>IF(C96="","",IFERROR(VLOOKUP(M96&amp;"|"&amp;N96,'17. Mapa DRE CP'!$E$5:$H$100,3,FALSE),"Revisar"))</f>
        <v/>
      </c>
      <c r="T96" s="65">
        <f>IF(C96="","",IF(R96="(-) Custos diretos dos serviços",IF(ISNUMBER(SEARCH("PCMSO",C96)),"PCMSO",IF(OR(ISNUMBER(SEARCH("SGS",C96)),ISNUMBER(SEARCH("CASTRO NAVES",C96))),"Projetos / Laudos / Avulsos","Projetos / Laudos / Avulsos")),"Rateio pela receita bruta"))</f>
        <v/>
      </c>
      <c r="U96" s="65">
        <f>IF(C96="","",IF(R96="(-) Custos diretos dos serviços","Direto por fornecedor/natureza do gasto","Rateio proporcional à receita bruta da linha de serviço"))</f>
        <v/>
      </c>
    </row>
    <row r="97">
      <c r="A97" s="28">
        <f>IF(C97="","", "CP-"&amp;TEXT(ROW()-5,"000"))</f>
        <v/>
      </c>
      <c r="B97" s="27">
        <f>IF(F97="","",DATE(YEAR(F97),MONTH(F97),1))</f>
        <v/>
      </c>
      <c r="C97" s="28" t="n"/>
      <c r="D97" s="28" t="n"/>
      <c r="E97" s="59">
        <f>IF(C97="","",IFERROR(INDEX('6. Base de Custos'!$M$8:$M$42,MATCH(C97,'6. Base de Custos'!$L$8:$L$42,0)),"Não classificado"))</f>
        <v/>
      </c>
      <c r="F97" s="111" t="n"/>
      <c r="G97" s="111" t="n"/>
      <c r="H97" s="111" t="n"/>
      <c r="I97" s="45" t="n"/>
      <c r="J97" s="28" t="n"/>
      <c r="K97" s="28" t="n"/>
      <c r="L97" s="28" t="n"/>
      <c r="M97" s="59">
        <f>IF(C97="","",IFERROR(INDEX('6. Base de Custos'!$N$8:$N$42,MATCH(C97,'6. Base de Custos'!$L$8:$L$42,0)),"Não classificado"))</f>
        <v/>
      </c>
      <c r="N97" s="59">
        <f>IF(C97="","",IFERROR(INDEX('6. Base de Custos'!$O$8:$O$42,MATCH(C97,'6. Base de Custos'!$L$8:$L$42,0)),"Revisar"))</f>
        <v/>
      </c>
      <c r="O97" s="60">
        <f>IF(M97="","",IFERROR(VLOOKUP(M97,'6. Base de Custos'!$H$12:$J$18,3,FALSE),0))</f>
        <v/>
      </c>
      <c r="P97" s="59">
        <f>IF(C97="","",IFERROR(INDEX('6. Base de Custos'!$P$8:$P$42,MATCH(C97,'6. Base de Custos'!$L$8:$L$42,0)),"Revisar"))</f>
        <v/>
      </c>
      <c r="Q97" s="59">
        <f>IF(C97="","",IFERROR(INDEX('6. Base de Custos'!$Q$8:$Q$42,MATCH(C97,'6. Base de Custos'!$L$8:$L$42,0)),""))</f>
        <v/>
      </c>
      <c r="R97" s="65">
        <f>IF(C97="","",IFERROR(VLOOKUP(M97&amp;"|"&amp;N97,'17. Mapa DRE CP'!$E$5:$H$100,2,FALSE),"Revisar"))</f>
        <v/>
      </c>
      <c r="S97" s="65">
        <f>IF(C97="","",IFERROR(VLOOKUP(M97&amp;"|"&amp;N97,'17. Mapa DRE CP'!$E$5:$H$100,3,FALSE),"Revisar"))</f>
        <v/>
      </c>
      <c r="T97" s="65">
        <f>IF(C97="","",IF(R97="(-) Custos diretos dos serviços",IF(ISNUMBER(SEARCH("PCMSO",C97)),"PCMSO",IF(OR(ISNUMBER(SEARCH("SGS",C97)),ISNUMBER(SEARCH("CASTRO NAVES",C97))),"Projetos / Laudos / Avulsos","Projetos / Laudos / Avulsos")),"Rateio pela receita bruta"))</f>
        <v/>
      </c>
      <c r="U97" s="65">
        <f>IF(C97="","",IF(R97="(-) Custos diretos dos serviços","Direto por fornecedor/natureza do gasto","Rateio proporcional à receita bruta da linha de serviço"))</f>
        <v/>
      </c>
    </row>
    <row r="98">
      <c r="A98" s="28">
        <f>IF(C98="","", "CP-"&amp;TEXT(ROW()-5,"000"))</f>
        <v/>
      </c>
      <c r="B98" s="27">
        <f>IF(F98="","",DATE(YEAR(F98),MONTH(F98),1))</f>
        <v/>
      </c>
      <c r="C98" s="28" t="n"/>
      <c r="D98" s="28" t="n"/>
      <c r="E98" s="59">
        <f>IF(C98="","",IFERROR(INDEX('6. Base de Custos'!$M$8:$M$42,MATCH(C98,'6. Base de Custos'!$L$8:$L$42,0)),"Não classificado"))</f>
        <v/>
      </c>
      <c r="F98" s="111" t="n"/>
      <c r="G98" s="111" t="n"/>
      <c r="H98" s="111" t="n"/>
      <c r="I98" s="45" t="n"/>
      <c r="J98" s="28" t="n"/>
      <c r="K98" s="28" t="n"/>
      <c r="L98" s="28" t="n"/>
      <c r="M98" s="59">
        <f>IF(C98="","",IFERROR(INDEX('6. Base de Custos'!$N$8:$N$42,MATCH(C98,'6. Base de Custos'!$L$8:$L$42,0)),"Não classificado"))</f>
        <v/>
      </c>
      <c r="N98" s="59">
        <f>IF(C98="","",IFERROR(INDEX('6. Base de Custos'!$O$8:$O$42,MATCH(C98,'6. Base de Custos'!$L$8:$L$42,0)),"Revisar"))</f>
        <v/>
      </c>
      <c r="O98" s="60">
        <f>IF(M98="","",IFERROR(VLOOKUP(M98,'6. Base de Custos'!$H$12:$J$18,3,FALSE),0))</f>
        <v/>
      </c>
      <c r="P98" s="59">
        <f>IF(C98="","",IFERROR(INDEX('6. Base de Custos'!$P$8:$P$42,MATCH(C98,'6. Base de Custos'!$L$8:$L$42,0)),"Revisar"))</f>
        <v/>
      </c>
      <c r="Q98" s="59">
        <f>IF(C98="","",IFERROR(INDEX('6. Base de Custos'!$Q$8:$Q$42,MATCH(C98,'6. Base de Custos'!$L$8:$L$42,0)),""))</f>
        <v/>
      </c>
      <c r="R98" s="65">
        <f>IF(C98="","",IFERROR(VLOOKUP(M98&amp;"|"&amp;N98,'17. Mapa DRE CP'!$E$5:$H$100,2,FALSE),"Revisar"))</f>
        <v/>
      </c>
      <c r="S98" s="65">
        <f>IF(C98="","",IFERROR(VLOOKUP(M98&amp;"|"&amp;N98,'17. Mapa DRE CP'!$E$5:$H$100,3,FALSE),"Revisar"))</f>
        <v/>
      </c>
      <c r="T98" s="65">
        <f>IF(C98="","",IF(R98="(-) Custos diretos dos serviços",IF(ISNUMBER(SEARCH("PCMSO",C98)),"PCMSO",IF(OR(ISNUMBER(SEARCH("SGS",C98)),ISNUMBER(SEARCH("CASTRO NAVES",C98))),"Projetos / Laudos / Avulsos","Projetos / Laudos / Avulsos")),"Rateio pela receita bruta"))</f>
        <v/>
      </c>
      <c r="U98" s="65">
        <f>IF(C98="","",IF(R98="(-) Custos diretos dos serviços","Direto por fornecedor/natureza do gasto","Rateio proporcional à receita bruta da linha de serviço"))</f>
        <v/>
      </c>
    </row>
    <row r="99">
      <c r="A99" s="28">
        <f>IF(C99="","", "CP-"&amp;TEXT(ROW()-5,"000"))</f>
        <v/>
      </c>
      <c r="B99" s="27">
        <f>IF(F99="","",DATE(YEAR(F99),MONTH(F99),1))</f>
        <v/>
      </c>
      <c r="C99" s="28" t="n"/>
      <c r="D99" s="28" t="n"/>
      <c r="E99" s="59">
        <f>IF(C99="","",IFERROR(INDEX('6. Base de Custos'!$M$8:$M$42,MATCH(C99,'6. Base de Custos'!$L$8:$L$42,0)),"Não classificado"))</f>
        <v/>
      </c>
      <c r="F99" s="111" t="n"/>
      <c r="G99" s="111" t="n"/>
      <c r="H99" s="111" t="n"/>
      <c r="I99" s="45" t="n"/>
      <c r="J99" s="28" t="n"/>
      <c r="K99" s="28" t="n"/>
      <c r="L99" s="28" t="n"/>
      <c r="M99" s="59">
        <f>IF(C99="","",IFERROR(INDEX('6. Base de Custos'!$N$8:$N$42,MATCH(C99,'6. Base de Custos'!$L$8:$L$42,0)),"Não classificado"))</f>
        <v/>
      </c>
      <c r="N99" s="59">
        <f>IF(C99="","",IFERROR(INDEX('6. Base de Custos'!$O$8:$O$42,MATCH(C99,'6. Base de Custos'!$L$8:$L$42,0)),"Revisar"))</f>
        <v/>
      </c>
      <c r="O99" s="60">
        <f>IF(M99="","",IFERROR(VLOOKUP(M99,'6. Base de Custos'!$H$12:$J$18,3,FALSE),0))</f>
        <v/>
      </c>
      <c r="P99" s="59">
        <f>IF(C99="","",IFERROR(INDEX('6. Base de Custos'!$P$8:$P$42,MATCH(C99,'6. Base de Custos'!$L$8:$L$42,0)),"Revisar"))</f>
        <v/>
      </c>
      <c r="Q99" s="59">
        <f>IF(C99="","",IFERROR(INDEX('6. Base de Custos'!$Q$8:$Q$42,MATCH(C99,'6. Base de Custos'!$L$8:$L$42,0)),""))</f>
        <v/>
      </c>
      <c r="R99" s="65">
        <f>IF(C99="","",IFERROR(VLOOKUP(M99&amp;"|"&amp;N99,'17. Mapa DRE CP'!$E$5:$H$100,2,FALSE),"Revisar"))</f>
        <v/>
      </c>
      <c r="S99" s="65">
        <f>IF(C99="","",IFERROR(VLOOKUP(M99&amp;"|"&amp;N99,'17. Mapa DRE CP'!$E$5:$H$100,3,FALSE),"Revisar"))</f>
        <v/>
      </c>
      <c r="T99" s="65">
        <f>IF(C99="","",IF(R99="(-) Custos diretos dos serviços",IF(ISNUMBER(SEARCH("PCMSO",C99)),"PCMSO",IF(OR(ISNUMBER(SEARCH("SGS",C99)),ISNUMBER(SEARCH("CASTRO NAVES",C99))),"Projetos / Laudos / Avulsos","Projetos / Laudos / Avulsos")),"Rateio pela receita bruta"))</f>
        <v/>
      </c>
      <c r="U99" s="65">
        <f>IF(C99="","",IF(R99="(-) Custos diretos dos serviços","Direto por fornecedor/natureza do gasto","Rateio proporcional à receita bruta da linha de serviço"))</f>
        <v/>
      </c>
    </row>
    <row r="100">
      <c r="A100" s="28">
        <f>IF(C100="","", "CP-"&amp;TEXT(ROW()-5,"000"))</f>
        <v/>
      </c>
      <c r="B100" s="27">
        <f>IF(F100="","",DATE(YEAR(F100),MONTH(F100),1))</f>
        <v/>
      </c>
      <c r="C100" s="28" t="n"/>
      <c r="D100" s="28" t="n"/>
      <c r="E100" s="59">
        <f>IF(C100="","",IFERROR(INDEX('6. Base de Custos'!$M$8:$M$42,MATCH(C100,'6. Base de Custos'!$L$8:$L$42,0)),"Não classificado"))</f>
        <v/>
      </c>
      <c r="F100" s="111" t="n"/>
      <c r="G100" s="111" t="n"/>
      <c r="H100" s="111" t="n"/>
      <c r="I100" s="45" t="n"/>
      <c r="J100" s="28" t="n"/>
      <c r="K100" s="28" t="n"/>
      <c r="L100" s="28" t="n"/>
      <c r="M100" s="59">
        <f>IF(C100="","",IFERROR(INDEX('6. Base de Custos'!$N$8:$N$42,MATCH(C100,'6. Base de Custos'!$L$8:$L$42,0)),"Não classificado"))</f>
        <v/>
      </c>
      <c r="N100" s="59">
        <f>IF(C100="","",IFERROR(INDEX('6. Base de Custos'!$O$8:$O$42,MATCH(C100,'6. Base de Custos'!$L$8:$L$42,0)),"Revisar"))</f>
        <v/>
      </c>
      <c r="O100" s="60">
        <f>IF(M100="","",IFERROR(VLOOKUP(M100,'6. Base de Custos'!$H$12:$J$18,3,FALSE),0))</f>
        <v/>
      </c>
      <c r="P100" s="59">
        <f>IF(C100="","",IFERROR(INDEX('6. Base de Custos'!$P$8:$P$42,MATCH(C100,'6. Base de Custos'!$L$8:$L$42,0)),"Revisar"))</f>
        <v/>
      </c>
      <c r="Q100" s="59">
        <f>IF(C100="","",IFERROR(INDEX('6. Base de Custos'!$Q$8:$Q$42,MATCH(C100,'6. Base de Custos'!$L$8:$L$42,0)),""))</f>
        <v/>
      </c>
      <c r="R100" s="65">
        <f>IF(C100="","",IFERROR(VLOOKUP(M100&amp;"|"&amp;N100,'17. Mapa DRE CP'!$E$5:$H$100,2,FALSE),"Revisar"))</f>
        <v/>
      </c>
      <c r="S100" s="65">
        <f>IF(C100="","",IFERROR(VLOOKUP(M100&amp;"|"&amp;N100,'17. Mapa DRE CP'!$E$5:$H$100,3,FALSE),"Revisar"))</f>
        <v/>
      </c>
      <c r="T100" s="65">
        <f>IF(C100="","",IF(R100="(-) Custos diretos dos serviços",IF(ISNUMBER(SEARCH("PCMSO",C100)),"PCMSO",IF(OR(ISNUMBER(SEARCH("SGS",C100)),ISNUMBER(SEARCH("CASTRO NAVES",C100))),"Projetos / Laudos / Avulsos","Projetos / Laudos / Avulsos")),"Rateio pela receita bruta"))</f>
        <v/>
      </c>
      <c r="U100" s="65">
        <f>IF(C100="","",IF(R100="(-) Custos diretos dos serviços","Direto por fornecedor/natureza do gasto","Rateio proporcional à receita bruta da linha de serviço"))</f>
        <v/>
      </c>
    </row>
    <row r="101">
      <c r="A101" s="28">
        <f>IF(C101="","", "CP-"&amp;TEXT(ROW()-5,"000"))</f>
        <v/>
      </c>
      <c r="B101" s="27">
        <f>IF(F101="","",DATE(YEAR(F101),MONTH(F101),1))</f>
        <v/>
      </c>
      <c r="C101" s="28" t="n"/>
      <c r="D101" s="28" t="n"/>
      <c r="E101" s="59">
        <f>IF(C101="","",IFERROR(INDEX('6. Base de Custos'!$M$8:$M$42,MATCH(C101,'6. Base de Custos'!$L$8:$L$42,0)),"Não classificado"))</f>
        <v/>
      </c>
      <c r="F101" s="111" t="n"/>
      <c r="G101" s="111" t="n"/>
      <c r="H101" s="111" t="n"/>
      <c r="I101" s="45" t="n"/>
      <c r="J101" s="28" t="n"/>
      <c r="K101" s="28" t="n"/>
      <c r="L101" s="28" t="n"/>
      <c r="M101" s="59">
        <f>IF(C101="","",IFERROR(INDEX('6. Base de Custos'!$N$8:$N$42,MATCH(C101,'6. Base de Custos'!$L$8:$L$42,0)),"Não classificado"))</f>
        <v/>
      </c>
      <c r="N101" s="59">
        <f>IF(C101="","",IFERROR(INDEX('6. Base de Custos'!$O$8:$O$42,MATCH(C101,'6. Base de Custos'!$L$8:$L$42,0)),"Revisar"))</f>
        <v/>
      </c>
      <c r="O101" s="60">
        <f>IF(M101="","",IFERROR(VLOOKUP(M101,'6. Base de Custos'!$H$12:$J$18,3,FALSE),0))</f>
        <v/>
      </c>
      <c r="P101" s="59">
        <f>IF(C101="","",IFERROR(INDEX('6. Base de Custos'!$P$8:$P$42,MATCH(C101,'6. Base de Custos'!$L$8:$L$42,0)),"Revisar"))</f>
        <v/>
      </c>
      <c r="Q101" s="59">
        <f>IF(C101="","",IFERROR(INDEX('6. Base de Custos'!$Q$8:$Q$42,MATCH(C101,'6. Base de Custos'!$L$8:$L$42,0)),""))</f>
        <v/>
      </c>
      <c r="R101" s="65">
        <f>IF(C101="","",IFERROR(VLOOKUP(M101&amp;"|"&amp;N101,'17. Mapa DRE CP'!$E$5:$H$100,2,FALSE),"Revisar"))</f>
        <v/>
      </c>
      <c r="S101" s="65">
        <f>IF(C101="","",IFERROR(VLOOKUP(M101&amp;"|"&amp;N101,'17. Mapa DRE CP'!$E$5:$H$100,3,FALSE),"Revisar"))</f>
        <v/>
      </c>
      <c r="T101" s="65">
        <f>IF(C101="","",IF(R101="(-) Custos diretos dos serviços",IF(ISNUMBER(SEARCH("PCMSO",C101)),"PCMSO",IF(OR(ISNUMBER(SEARCH("SGS",C101)),ISNUMBER(SEARCH("CASTRO NAVES",C101))),"Projetos / Laudos / Avulsos","Projetos / Laudos / Avulsos")),"Rateio pela receita bruta"))</f>
        <v/>
      </c>
      <c r="U101" s="65">
        <f>IF(C101="","",IF(R101="(-) Custos diretos dos serviços","Direto por fornecedor/natureza do gasto","Rateio proporcional à receita bruta da linha de serviço"))</f>
        <v/>
      </c>
    </row>
    <row r="102">
      <c r="A102" s="28">
        <f>IF(C102="","", "CP-"&amp;TEXT(ROW()-5,"000"))</f>
        <v/>
      </c>
      <c r="B102" s="27">
        <f>IF(F102="","",DATE(YEAR(F102),MONTH(F102),1))</f>
        <v/>
      </c>
      <c r="C102" s="28" t="n"/>
      <c r="D102" s="28" t="n"/>
      <c r="E102" s="59">
        <f>IF(C102="","",IFERROR(INDEX('6. Base de Custos'!$M$8:$M$42,MATCH(C102,'6. Base de Custos'!$L$8:$L$42,0)),"Não classificado"))</f>
        <v/>
      </c>
      <c r="F102" s="111" t="n"/>
      <c r="G102" s="111" t="n"/>
      <c r="H102" s="111" t="n"/>
      <c r="I102" s="45" t="n"/>
      <c r="J102" s="28" t="n"/>
      <c r="K102" s="28" t="n"/>
      <c r="L102" s="28" t="n"/>
      <c r="M102" s="59">
        <f>IF(C102="","",IFERROR(INDEX('6. Base de Custos'!$N$8:$N$42,MATCH(C102,'6. Base de Custos'!$L$8:$L$42,0)),"Não classificado"))</f>
        <v/>
      </c>
      <c r="N102" s="59">
        <f>IF(C102="","",IFERROR(INDEX('6. Base de Custos'!$O$8:$O$42,MATCH(C102,'6. Base de Custos'!$L$8:$L$42,0)),"Revisar"))</f>
        <v/>
      </c>
      <c r="O102" s="60">
        <f>IF(M102="","",IFERROR(VLOOKUP(M102,'6. Base de Custos'!$H$12:$J$18,3,FALSE),0))</f>
        <v/>
      </c>
      <c r="P102" s="59">
        <f>IF(C102="","",IFERROR(INDEX('6. Base de Custos'!$P$8:$P$42,MATCH(C102,'6. Base de Custos'!$L$8:$L$42,0)),"Revisar"))</f>
        <v/>
      </c>
      <c r="Q102" s="59">
        <f>IF(C102="","",IFERROR(INDEX('6. Base de Custos'!$Q$8:$Q$42,MATCH(C102,'6. Base de Custos'!$L$8:$L$42,0)),""))</f>
        <v/>
      </c>
      <c r="R102" s="65">
        <f>IF(C102="","",IFERROR(VLOOKUP(M102&amp;"|"&amp;N102,'17. Mapa DRE CP'!$E$5:$H$100,2,FALSE),"Revisar"))</f>
        <v/>
      </c>
      <c r="S102" s="65">
        <f>IF(C102="","",IFERROR(VLOOKUP(M102&amp;"|"&amp;N102,'17. Mapa DRE CP'!$E$5:$H$100,3,FALSE),"Revisar"))</f>
        <v/>
      </c>
      <c r="T102" s="65">
        <f>IF(C102="","",IF(R102="(-) Custos diretos dos serviços",IF(ISNUMBER(SEARCH("PCMSO",C102)),"PCMSO",IF(OR(ISNUMBER(SEARCH("SGS",C102)),ISNUMBER(SEARCH("CASTRO NAVES",C102))),"Projetos / Laudos / Avulsos","Projetos / Laudos / Avulsos")),"Rateio pela receita bruta"))</f>
        <v/>
      </c>
      <c r="U102" s="65">
        <f>IF(C102="","",IF(R102="(-) Custos diretos dos serviços","Direto por fornecedor/natureza do gasto","Rateio proporcional à receita bruta da linha de serviço"))</f>
        <v/>
      </c>
    </row>
    <row r="103">
      <c r="A103" s="28">
        <f>IF(C103="","", "CP-"&amp;TEXT(ROW()-5,"000"))</f>
        <v/>
      </c>
      <c r="B103" s="27">
        <f>IF(F103="","",DATE(YEAR(F103),MONTH(F103),1))</f>
        <v/>
      </c>
      <c r="C103" s="28" t="n"/>
      <c r="D103" s="28" t="n"/>
      <c r="E103" s="59">
        <f>IF(C103="","",IFERROR(INDEX('6. Base de Custos'!$M$8:$M$42,MATCH(C103,'6. Base de Custos'!$L$8:$L$42,0)),"Não classificado"))</f>
        <v/>
      </c>
      <c r="F103" s="111" t="n"/>
      <c r="G103" s="111" t="n"/>
      <c r="H103" s="111" t="n"/>
      <c r="I103" s="45" t="n"/>
      <c r="J103" s="28" t="n"/>
      <c r="K103" s="28" t="n"/>
      <c r="L103" s="28" t="n"/>
      <c r="M103" s="59">
        <f>IF(C103="","",IFERROR(INDEX('6. Base de Custos'!$N$8:$N$42,MATCH(C103,'6. Base de Custos'!$L$8:$L$42,0)),"Não classificado"))</f>
        <v/>
      </c>
      <c r="N103" s="59">
        <f>IF(C103="","",IFERROR(INDEX('6. Base de Custos'!$O$8:$O$42,MATCH(C103,'6. Base de Custos'!$L$8:$L$42,0)),"Revisar"))</f>
        <v/>
      </c>
      <c r="O103" s="60">
        <f>IF(M103="","",IFERROR(VLOOKUP(M103,'6. Base de Custos'!$H$12:$J$18,3,FALSE),0))</f>
        <v/>
      </c>
      <c r="P103" s="59">
        <f>IF(C103="","",IFERROR(INDEX('6. Base de Custos'!$P$8:$P$42,MATCH(C103,'6. Base de Custos'!$L$8:$L$42,0)),"Revisar"))</f>
        <v/>
      </c>
      <c r="Q103" s="59">
        <f>IF(C103="","",IFERROR(INDEX('6. Base de Custos'!$Q$8:$Q$42,MATCH(C103,'6. Base de Custos'!$L$8:$L$42,0)),""))</f>
        <v/>
      </c>
      <c r="R103" s="65">
        <f>IF(C103="","",IFERROR(VLOOKUP(M103&amp;"|"&amp;N103,'17. Mapa DRE CP'!$E$5:$H$100,2,FALSE),"Revisar"))</f>
        <v/>
      </c>
      <c r="S103" s="65">
        <f>IF(C103="","",IFERROR(VLOOKUP(M103&amp;"|"&amp;N103,'17. Mapa DRE CP'!$E$5:$H$100,3,FALSE),"Revisar"))</f>
        <v/>
      </c>
      <c r="T103" s="65">
        <f>IF(C103="","",IF(R103="(-) Custos diretos dos serviços",IF(ISNUMBER(SEARCH("PCMSO",C103)),"PCMSO",IF(OR(ISNUMBER(SEARCH("SGS",C103)),ISNUMBER(SEARCH("CASTRO NAVES",C103))),"Projetos / Laudos / Avulsos","Projetos / Laudos / Avulsos")),"Rateio pela receita bruta"))</f>
        <v/>
      </c>
      <c r="U103" s="65">
        <f>IF(C103="","",IF(R103="(-) Custos diretos dos serviços","Direto por fornecedor/natureza do gasto","Rateio proporcional à receita bruta da linha de serviço"))</f>
        <v/>
      </c>
    </row>
    <row r="104">
      <c r="A104" s="28">
        <f>IF(C104="","", "CP-"&amp;TEXT(ROW()-5,"000"))</f>
        <v/>
      </c>
      <c r="B104" s="27">
        <f>IF(F104="","",DATE(YEAR(F104),MONTH(F104),1))</f>
        <v/>
      </c>
      <c r="C104" s="28" t="n"/>
      <c r="D104" s="28" t="n"/>
      <c r="E104" s="59">
        <f>IF(C104="","",IFERROR(INDEX('6. Base de Custos'!$M$8:$M$42,MATCH(C104,'6. Base de Custos'!$L$8:$L$42,0)),"Não classificado"))</f>
        <v/>
      </c>
      <c r="F104" s="111" t="n"/>
      <c r="G104" s="111" t="n"/>
      <c r="H104" s="111" t="n"/>
      <c r="I104" s="45" t="n"/>
      <c r="J104" s="28" t="n"/>
      <c r="K104" s="28" t="n"/>
      <c r="L104" s="28" t="n"/>
      <c r="M104" s="59">
        <f>IF(C104="","",IFERROR(INDEX('6. Base de Custos'!$N$8:$N$42,MATCH(C104,'6. Base de Custos'!$L$8:$L$42,0)),"Não classificado"))</f>
        <v/>
      </c>
      <c r="N104" s="59">
        <f>IF(C104="","",IFERROR(INDEX('6. Base de Custos'!$O$8:$O$42,MATCH(C104,'6. Base de Custos'!$L$8:$L$42,0)),"Revisar"))</f>
        <v/>
      </c>
      <c r="O104" s="60">
        <f>IF(M104="","",IFERROR(VLOOKUP(M104,'6. Base de Custos'!$H$12:$J$18,3,FALSE),0))</f>
        <v/>
      </c>
      <c r="P104" s="59">
        <f>IF(C104="","",IFERROR(INDEX('6. Base de Custos'!$P$8:$P$42,MATCH(C104,'6. Base de Custos'!$L$8:$L$42,0)),"Revisar"))</f>
        <v/>
      </c>
      <c r="Q104" s="59">
        <f>IF(C104="","",IFERROR(INDEX('6. Base de Custos'!$Q$8:$Q$42,MATCH(C104,'6. Base de Custos'!$L$8:$L$42,0)),""))</f>
        <v/>
      </c>
      <c r="R104" s="65">
        <f>IF(C104="","",IFERROR(VLOOKUP(M104&amp;"|"&amp;N104,'17. Mapa DRE CP'!$E$5:$H$100,2,FALSE),"Revisar"))</f>
        <v/>
      </c>
      <c r="S104" s="65">
        <f>IF(C104="","",IFERROR(VLOOKUP(M104&amp;"|"&amp;N104,'17. Mapa DRE CP'!$E$5:$H$100,3,FALSE),"Revisar"))</f>
        <v/>
      </c>
      <c r="T104" s="65">
        <f>IF(C104="","",IF(R104="(-) Custos diretos dos serviços",IF(ISNUMBER(SEARCH("PCMSO",C104)),"PCMSO",IF(OR(ISNUMBER(SEARCH("SGS",C104)),ISNUMBER(SEARCH("CASTRO NAVES",C104))),"Projetos / Laudos / Avulsos","Projetos / Laudos / Avulsos")),"Rateio pela receita bruta"))</f>
        <v/>
      </c>
      <c r="U104" s="65">
        <f>IF(C104="","",IF(R104="(-) Custos diretos dos serviços","Direto por fornecedor/natureza do gasto","Rateio proporcional à receita bruta da linha de serviço"))</f>
        <v/>
      </c>
    </row>
    <row r="105">
      <c r="A105" s="28">
        <f>IF(C105="","", "CP-"&amp;TEXT(ROW()-5,"000"))</f>
        <v/>
      </c>
      <c r="B105" s="27">
        <f>IF(F105="","",DATE(YEAR(F105),MONTH(F105),1))</f>
        <v/>
      </c>
      <c r="C105" s="28" t="n"/>
      <c r="D105" s="28" t="n"/>
      <c r="E105" s="59">
        <f>IF(C105="","",IFERROR(INDEX('6. Base de Custos'!$M$8:$M$42,MATCH(C105,'6. Base de Custos'!$L$8:$L$42,0)),"Não classificado"))</f>
        <v/>
      </c>
      <c r="F105" s="111" t="n"/>
      <c r="G105" s="111" t="n"/>
      <c r="H105" s="111" t="n"/>
      <c r="I105" s="45" t="n"/>
      <c r="J105" s="28" t="n"/>
      <c r="K105" s="28" t="n"/>
      <c r="L105" s="28" t="n"/>
      <c r="M105" s="59">
        <f>IF(C105="","",IFERROR(INDEX('6. Base de Custos'!$N$8:$N$42,MATCH(C105,'6. Base de Custos'!$L$8:$L$42,0)),"Não classificado"))</f>
        <v/>
      </c>
      <c r="N105" s="59">
        <f>IF(C105="","",IFERROR(INDEX('6. Base de Custos'!$O$8:$O$42,MATCH(C105,'6. Base de Custos'!$L$8:$L$42,0)),"Revisar"))</f>
        <v/>
      </c>
      <c r="O105" s="60">
        <f>IF(M105="","",IFERROR(VLOOKUP(M105,'6. Base de Custos'!$H$12:$J$18,3,FALSE),0))</f>
        <v/>
      </c>
      <c r="P105" s="59">
        <f>IF(C105="","",IFERROR(INDEX('6. Base de Custos'!$P$8:$P$42,MATCH(C105,'6. Base de Custos'!$L$8:$L$42,0)),"Revisar"))</f>
        <v/>
      </c>
      <c r="Q105" s="59">
        <f>IF(C105="","",IFERROR(INDEX('6. Base de Custos'!$Q$8:$Q$42,MATCH(C105,'6. Base de Custos'!$L$8:$L$42,0)),""))</f>
        <v/>
      </c>
      <c r="R105" s="65">
        <f>IF(C105="","",IFERROR(VLOOKUP(M105&amp;"|"&amp;N105,'17. Mapa DRE CP'!$E$5:$H$100,2,FALSE),"Revisar"))</f>
        <v/>
      </c>
      <c r="S105" s="65">
        <f>IF(C105="","",IFERROR(VLOOKUP(M105&amp;"|"&amp;N105,'17. Mapa DRE CP'!$E$5:$H$100,3,FALSE),"Revisar"))</f>
        <v/>
      </c>
      <c r="T105" s="65">
        <f>IF(C105="","",IF(R105="(-) Custos diretos dos serviços",IF(ISNUMBER(SEARCH("PCMSO",C105)),"PCMSO",IF(OR(ISNUMBER(SEARCH("SGS",C105)),ISNUMBER(SEARCH("CASTRO NAVES",C105))),"Projetos / Laudos / Avulsos","Projetos / Laudos / Avulsos")),"Rateio pela receita bruta"))</f>
        <v/>
      </c>
      <c r="U105" s="65">
        <f>IF(C105="","",IF(R105="(-) Custos diretos dos serviços","Direto por fornecedor/natureza do gasto","Rateio proporcional à receita bruta da linha de serviço"))</f>
        <v/>
      </c>
    </row>
    <row r="106">
      <c r="A106" s="28">
        <f>IF(C106="","", "CP-"&amp;TEXT(ROW()-5,"000"))</f>
        <v/>
      </c>
      <c r="B106" s="27">
        <f>IF(F106="","",DATE(YEAR(F106),MONTH(F106),1))</f>
        <v/>
      </c>
      <c r="C106" s="28" t="n"/>
      <c r="D106" s="28" t="n"/>
      <c r="E106" s="59">
        <f>IF(C106="","",IFERROR(INDEX('6. Base de Custos'!$M$8:$M$42,MATCH(C106,'6. Base de Custos'!$L$8:$L$42,0)),"Não classificado"))</f>
        <v/>
      </c>
      <c r="F106" s="111" t="n"/>
      <c r="G106" s="111" t="n"/>
      <c r="H106" s="111" t="n"/>
      <c r="I106" s="45" t="n"/>
      <c r="J106" s="28" t="n"/>
      <c r="K106" s="28" t="n"/>
      <c r="L106" s="28" t="n"/>
      <c r="M106" s="59">
        <f>IF(C106="","",IFERROR(INDEX('6. Base de Custos'!$N$8:$N$42,MATCH(C106,'6. Base de Custos'!$L$8:$L$42,0)),"Não classificado"))</f>
        <v/>
      </c>
      <c r="N106" s="59">
        <f>IF(C106="","",IFERROR(INDEX('6. Base de Custos'!$O$8:$O$42,MATCH(C106,'6. Base de Custos'!$L$8:$L$42,0)),"Revisar"))</f>
        <v/>
      </c>
      <c r="O106" s="60">
        <f>IF(M106="","",IFERROR(VLOOKUP(M106,'6. Base de Custos'!$H$12:$J$18,3,FALSE),0))</f>
        <v/>
      </c>
      <c r="P106" s="59">
        <f>IF(C106="","",IFERROR(INDEX('6. Base de Custos'!$P$8:$P$42,MATCH(C106,'6. Base de Custos'!$L$8:$L$42,0)),"Revisar"))</f>
        <v/>
      </c>
      <c r="Q106" s="59">
        <f>IF(C106="","",IFERROR(INDEX('6. Base de Custos'!$Q$8:$Q$42,MATCH(C106,'6. Base de Custos'!$L$8:$L$42,0)),""))</f>
        <v/>
      </c>
      <c r="R106" s="65">
        <f>IF(C106="","",IFERROR(VLOOKUP(M106&amp;"|"&amp;N106,'17. Mapa DRE CP'!$E$5:$H$100,2,FALSE),"Revisar"))</f>
        <v/>
      </c>
      <c r="S106" s="65">
        <f>IF(C106="","",IFERROR(VLOOKUP(M106&amp;"|"&amp;N106,'17. Mapa DRE CP'!$E$5:$H$100,3,FALSE),"Revisar"))</f>
        <v/>
      </c>
      <c r="T106" s="65">
        <f>IF(C106="","",IF(R106="(-) Custos diretos dos serviços",IF(ISNUMBER(SEARCH("PCMSO",C106)),"PCMSO",IF(OR(ISNUMBER(SEARCH("SGS",C106)),ISNUMBER(SEARCH("CASTRO NAVES",C106))),"Projetos / Laudos / Avulsos","Projetos / Laudos / Avulsos")),"Rateio pela receita bruta"))</f>
        <v/>
      </c>
      <c r="U106" s="65">
        <f>IF(C106="","",IF(R106="(-) Custos diretos dos serviços","Direto por fornecedor/natureza do gasto","Rateio proporcional à receita bruta da linha de serviço"))</f>
        <v/>
      </c>
    </row>
    <row r="107">
      <c r="A107" s="28">
        <f>IF(C107="","", "CP-"&amp;TEXT(ROW()-5,"000"))</f>
        <v/>
      </c>
      <c r="B107" s="27">
        <f>IF(F107="","",DATE(YEAR(F107),MONTH(F107),1))</f>
        <v/>
      </c>
      <c r="C107" s="28" t="n"/>
      <c r="D107" s="28" t="n"/>
      <c r="E107" s="59">
        <f>IF(C107="","",IFERROR(INDEX('6. Base de Custos'!$M$8:$M$42,MATCH(C107,'6. Base de Custos'!$L$8:$L$42,0)),"Não classificado"))</f>
        <v/>
      </c>
      <c r="F107" s="111" t="n"/>
      <c r="G107" s="111" t="n"/>
      <c r="H107" s="111" t="n"/>
      <c r="I107" s="45" t="n"/>
      <c r="J107" s="28" t="n"/>
      <c r="K107" s="28" t="n"/>
      <c r="L107" s="28" t="n"/>
      <c r="M107" s="59">
        <f>IF(C107="","",IFERROR(INDEX('6. Base de Custos'!$N$8:$N$42,MATCH(C107,'6. Base de Custos'!$L$8:$L$42,0)),"Não classificado"))</f>
        <v/>
      </c>
      <c r="N107" s="59">
        <f>IF(C107="","",IFERROR(INDEX('6. Base de Custos'!$O$8:$O$42,MATCH(C107,'6. Base de Custos'!$L$8:$L$42,0)),"Revisar"))</f>
        <v/>
      </c>
      <c r="O107" s="60">
        <f>IF(M107="","",IFERROR(VLOOKUP(M107,'6. Base de Custos'!$H$12:$J$18,3,FALSE),0))</f>
        <v/>
      </c>
      <c r="P107" s="59">
        <f>IF(C107="","",IFERROR(INDEX('6. Base de Custos'!$P$8:$P$42,MATCH(C107,'6. Base de Custos'!$L$8:$L$42,0)),"Revisar"))</f>
        <v/>
      </c>
      <c r="Q107" s="59">
        <f>IF(C107="","",IFERROR(INDEX('6. Base de Custos'!$Q$8:$Q$42,MATCH(C107,'6. Base de Custos'!$L$8:$L$42,0)),""))</f>
        <v/>
      </c>
      <c r="R107" s="65">
        <f>IF(C107="","",IFERROR(VLOOKUP(M107&amp;"|"&amp;N107,'17. Mapa DRE CP'!$E$5:$H$100,2,FALSE),"Revisar"))</f>
        <v/>
      </c>
      <c r="S107" s="65">
        <f>IF(C107="","",IFERROR(VLOOKUP(M107&amp;"|"&amp;N107,'17. Mapa DRE CP'!$E$5:$H$100,3,FALSE),"Revisar"))</f>
        <v/>
      </c>
      <c r="T107" s="65">
        <f>IF(C107="","",IF(R107="(-) Custos diretos dos serviços",IF(ISNUMBER(SEARCH("PCMSO",C107)),"PCMSO",IF(OR(ISNUMBER(SEARCH("SGS",C107)),ISNUMBER(SEARCH("CASTRO NAVES",C107))),"Projetos / Laudos / Avulsos","Projetos / Laudos / Avulsos")),"Rateio pela receita bruta"))</f>
        <v/>
      </c>
      <c r="U107" s="65">
        <f>IF(C107="","",IF(R107="(-) Custos diretos dos serviços","Direto por fornecedor/natureza do gasto","Rateio proporcional à receita bruta da linha de serviço"))</f>
        <v/>
      </c>
    </row>
    <row r="108">
      <c r="A108" s="28">
        <f>IF(C108="","", "CP-"&amp;TEXT(ROW()-5,"000"))</f>
        <v/>
      </c>
      <c r="B108" s="27">
        <f>IF(F108="","",DATE(YEAR(F108),MONTH(F108),1))</f>
        <v/>
      </c>
      <c r="C108" s="28" t="n"/>
      <c r="D108" s="28" t="n"/>
      <c r="E108" s="59">
        <f>IF(C108="","",IFERROR(INDEX('6. Base de Custos'!$M$8:$M$42,MATCH(C108,'6. Base de Custos'!$L$8:$L$42,0)),"Não classificado"))</f>
        <v/>
      </c>
      <c r="F108" s="111" t="n"/>
      <c r="G108" s="111" t="n"/>
      <c r="H108" s="111" t="n"/>
      <c r="I108" s="45" t="n"/>
      <c r="J108" s="28" t="n"/>
      <c r="K108" s="28" t="n"/>
      <c r="L108" s="28" t="n"/>
      <c r="M108" s="59">
        <f>IF(C108="","",IFERROR(INDEX('6. Base de Custos'!$N$8:$N$42,MATCH(C108,'6. Base de Custos'!$L$8:$L$42,0)),"Não classificado"))</f>
        <v/>
      </c>
      <c r="N108" s="59">
        <f>IF(C108="","",IFERROR(INDEX('6. Base de Custos'!$O$8:$O$42,MATCH(C108,'6. Base de Custos'!$L$8:$L$42,0)),"Revisar"))</f>
        <v/>
      </c>
      <c r="O108" s="60">
        <f>IF(M108="","",IFERROR(VLOOKUP(M108,'6. Base de Custos'!$H$12:$J$18,3,FALSE),0))</f>
        <v/>
      </c>
      <c r="P108" s="59">
        <f>IF(C108="","",IFERROR(INDEX('6. Base de Custos'!$P$8:$P$42,MATCH(C108,'6. Base de Custos'!$L$8:$L$42,0)),"Revisar"))</f>
        <v/>
      </c>
      <c r="Q108" s="59">
        <f>IF(C108="","",IFERROR(INDEX('6. Base de Custos'!$Q$8:$Q$42,MATCH(C108,'6. Base de Custos'!$L$8:$L$42,0)),""))</f>
        <v/>
      </c>
      <c r="R108" s="65">
        <f>IF(C108="","",IFERROR(VLOOKUP(M108&amp;"|"&amp;N108,'17. Mapa DRE CP'!$E$5:$H$100,2,FALSE),"Revisar"))</f>
        <v/>
      </c>
      <c r="S108" s="65">
        <f>IF(C108="","",IFERROR(VLOOKUP(M108&amp;"|"&amp;N108,'17. Mapa DRE CP'!$E$5:$H$100,3,FALSE),"Revisar"))</f>
        <v/>
      </c>
      <c r="T108" s="65">
        <f>IF(C108="","",IF(R108="(-) Custos diretos dos serviços",IF(ISNUMBER(SEARCH("PCMSO",C108)),"PCMSO",IF(OR(ISNUMBER(SEARCH("SGS",C108)),ISNUMBER(SEARCH("CASTRO NAVES",C108))),"Projetos / Laudos / Avulsos","Projetos / Laudos / Avulsos")),"Rateio pela receita bruta"))</f>
        <v/>
      </c>
      <c r="U108" s="65">
        <f>IF(C108="","",IF(R108="(-) Custos diretos dos serviços","Direto por fornecedor/natureza do gasto","Rateio proporcional à receita bruta da linha de serviço"))</f>
        <v/>
      </c>
    </row>
    <row r="109">
      <c r="A109" s="28">
        <f>IF(C109="","", "CP-"&amp;TEXT(ROW()-5,"000"))</f>
        <v/>
      </c>
      <c r="B109" s="27">
        <f>IF(F109="","",DATE(YEAR(F109),MONTH(F109),1))</f>
        <v/>
      </c>
      <c r="C109" s="28" t="n"/>
      <c r="D109" s="28" t="n"/>
      <c r="E109" s="59">
        <f>IF(C109="","",IFERROR(INDEX('6. Base de Custos'!$M$8:$M$42,MATCH(C109,'6. Base de Custos'!$L$8:$L$42,0)),"Não classificado"))</f>
        <v/>
      </c>
      <c r="F109" s="111" t="n"/>
      <c r="G109" s="111" t="n"/>
      <c r="H109" s="111" t="n"/>
      <c r="I109" s="45" t="n"/>
      <c r="J109" s="28" t="n"/>
      <c r="K109" s="28" t="n"/>
      <c r="L109" s="28" t="n"/>
      <c r="M109" s="59">
        <f>IF(C109="","",IFERROR(INDEX('6. Base de Custos'!$N$8:$N$42,MATCH(C109,'6. Base de Custos'!$L$8:$L$42,0)),"Não classificado"))</f>
        <v/>
      </c>
      <c r="N109" s="59">
        <f>IF(C109="","",IFERROR(INDEX('6. Base de Custos'!$O$8:$O$42,MATCH(C109,'6. Base de Custos'!$L$8:$L$42,0)),"Revisar"))</f>
        <v/>
      </c>
      <c r="O109" s="60">
        <f>IF(M109="","",IFERROR(VLOOKUP(M109,'6. Base de Custos'!$H$12:$J$18,3,FALSE),0))</f>
        <v/>
      </c>
      <c r="P109" s="59">
        <f>IF(C109="","",IFERROR(INDEX('6. Base de Custos'!$P$8:$P$42,MATCH(C109,'6. Base de Custos'!$L$8:$L$42,0)),"Revisar"))</f>
        <v/>
      </c>
      <c r="Q109" s="59">
        <f>IF(C109="","",IFERROR(INDEX('6. Base de Custos'!$Q$8:$Q$42,MATCH(C109,'6. Base de Custos'!$L$8:$L$42,0)),""))</f>
        <v/>
      </c>
      <c r="R109" s="65">
        <f>IF(C109="","",IFERROR(VLOOKUP(M109&amp;"|"&amp;N109,'17. Mapa DRE CP'!$E$5:$H$100,2,FALSE),"Revisar"))</f>
        <v/>
      </c>
      <c r="S109" s="65">
        <f>IF(C109="","",IFERROR(VLOOKUP(M109&amp;"|"&amp;N109,'17. Mapa DRE CP'!$E$5:$H$100,3,FALSE),"Revisar"))</f>
        <v/>
      </c>
      <c r="T109" s="65">
        <f>IF(C109="","",IF(R109="(-) Custos diretos dos serviços",IF(ISNUMBER(SEARCH("PCMSO",C109)),"PCMSO",IF(OR(ISNUMBER(SEARCH("SGS",C109)),ISNUMBER(SEARCH("CASTRO NAVES",C109))),"Projetos / Laudos / Avulsos","Projetos / Laudos / Avulsos")),"Rateio pela receita bruta"))</f>
        <v/>
      </c>
      <c r="U109" s="65">
        <f>IF(C109="","",IF(R109="(-) Custos diretos dos serviços","Direto por fornecedor/natureza do gasto","Rateio proporcional à receita bruta da linha de serviço"))</f>
        <v/>
      </c>
    </row>
    <row r="110">
      <c r="A110" s="28">
        <f>IF(C110="","", "CP-"&amp;TEXT(ROW()-5,"000"))</f>
        <v/>
      </c>
      <c r="B110" s="27">
        <f>IF(F110="","",DATE(YEAR(F110),MONTH(F110),1))</f>
        <v/>
      </c>
      <c r="C110" s="28" t="n"/>
      <c r="D110" s="28" t="n"/>
      <c r="E110" s="59">
        <f>IF(C110="","",IFERROR(INDEX('6. Base de Custos'!$M$8:$M$42,MATCH(C110,'6. Base de Custos'!$L$8:$L$42,0)),"Não classificado"))</f>
        <v/>
      </c>
      <c r="F110" s="111" t="n"/>
      <c r="G110" s="111" t="n"/>
      <c r="H110" s="111" t="n"/>
      <c r="I110" s="45" t="n"/>
      <c r="J110" s="28" t="n"/>
      <c r="K110" s="28" t="n"/>
      <c r="L110" s="28" t="n"/>
      <c r="M110" s="59">
        <f>IF(C110="","",IFERROR(INDEX('6. Base de Custos'!$N$8:$N$42,MATCH(C110,'6. Base de Custos'!$L$8:$L$42,0)),"Não classificado"))</f>
        <v/>
      </c>
      <c r="N110" s="59">
        <f>IF(C110="","",IFERROR(INDEX('6. Base de Custos'!$O$8:$O$42,MATCH(C110,'6. Base de Custos'!$L$8:$L$42,0)),"Revisar"))</f>
        <v/>
      </c>
      <c r="O110" s="60">
        <f>IF(M110="","",IFERROR(VLOOKUP(M110,'6. Base de Custos'!$H$12:$J$18,3,FALSE),0))</f>
        <v/>
      </c>
      <c r="P110" s="59">
        <f>IF(C110="","",IFERROR(INDEX('6. Base de Custos'!$P$8:$P$42,MATCH(C110,'6. Base de Custos'!$L$8:$L$42,0)),"Revisar"))</f>
        <v/>
      </c>
      <c r="Q110" s="59">
        <f>IF(C110="","",IFERROR(INDEX('6. Base de Custos'!$Q$8:$Q$42,MATCH(C110,'6. Base de Custos'!$L$8:$L$42,0)),""))</f>
        <v/>
      </c>
      <c r="R110" s="65">
        <f>IF(C110="","",IFERROR(VLOOKUP(M110&amp;"|"&amp;N110,'17. Mapa DRE CP'!$E$5:$H$100,2,FALSE),"Revisar"))</f>
        <v/>
      </c>
      <c r="S110" s="65">
        <f>IF(C110="","",IFERROR(VLOOKUP(M110&amp;"|"&amp;N110,'17. Mapa DRE CP'!$E$5:$H$100,3,FALSE),"Revisar"))</f>
        <v/>
      </c>
      <c r="T110" s="65">
        <f>IF(C110="","",IF(R110="(-) Custos diretos dos serviços",IF(ISNUMBER(SEARCH("PCMSO",C110)),"PCMSO",IF(OR(ISNUMBER(SEARCH("SGS",C110)),ISNUMBER(SEARCH("CASTRO NAVES",C110))),"Projetos / Laudos / Avulsos","Projetos / Laudos / Avulsos")),"Rateio pela receita bruta"))</f>
        <v/>
      </c>
      <c r="U110" s="65">
        <f>IF(C110="","",IF(R110="(-) Custos diretos dos serviços","Direto por fornecedor/natureza do gasto","Rateio proporcional à receita bruta da linha de serviço"))</f>
        <v/>
      </c>
    </row>
    <row r="111">
      <c r="A111" s="28">
        <f>IF(C111="","", "CP-"&amp;TEXT(ROW()-5,"000"))</f>
        <v/>
      </c>
      <c r="B111" s="27">
        <f>IF(F111="","",DATE(YEAR(F111),MONTH(F111),1))</f>
        <v/>
      </c>
      <c r="C111" s="28" t="n"/>
      <c r="D111" s="28" t="n"/>
      <c r="E111" s="59">
        <f>IF(C111="","",IFERROR(INDEX('6. Base de Custos'!$M$8:$M$42,MATCH(C111,'6. Base de Custos'!$L$8:$L$42,0)),"Não classificado"))</f>
        <v/>
      </c>
      <c r="F111" s="111" t="n"/>
      <c r="G111" s="111" t="n"/>
      <c r="H111" s="111" t="n"/>
      <c r="I111" s="45" t="n"/>
      <c r="J111" s="28" t="n"/>
      <c r="K111" s="28" t="n"/>
      <c r="L111" s="28" t="n"/>
      <c r="M111" s="59">
        <f>IF(C111="","",IFERROR(INDEX('6. Base de Custos'!$N$8:$N$42,MATCH(C111,'6. Base de Custos'!$L$8:$L$42,0)),"Não classificado"))</f>
        <v/>
      </c>
      <c r="N111" s="59">
        <f>IF(C111="","",IFERROR(INDEX('6. Base de Custos'!$O$8:$O$42,MATCH(C111,'6. Base de Custos'!$L$8:$L$42,0)),"Revisar"))</f>
        <v/>
      </c>
      <c r="O111" s="60">
        <f>IF(M111="","",IFERROR(VLOOKUP(M111,'6. Base de Custos'!$H$12:$J$18,3,FALSE),0))</f>
        <v/>
      </c>
      <c r="P111" s="59">
        <f>IF(C111="","",IFERROR(INDEX('6. Base de Custos'!$P$8:$P$42,MATCH(C111,'6. Base de Custos'!$L$8:$L$42,0)),"Revisar"))</f>
        <v/>
      </c>
      <c r="Q111" s="59">
        <f>IF(C111="","",IFERROR(INDEX('6. Base de Custos'!$Q$8:$Q$42,MATCH(C111,'6. Base de Custos'!$L$8:$L$42,0)),""))</f>
        <v/>
      </c>
      <c r="R111" s="65">
        <f>IF(C111="","",IFERROR(VLOOKUP(M111&amp;"|"&amp;N111,'17. Mapa DRE CP'!$E$5:$H$100,2,FALSE),"Revisar"))</f>
        <v/>
      </c>
      <c r="S111" s="65">
        <f>IF(C111="","",IFERROR(VLOOKUP(M111&amp;"|"&amp;N111,'17. Mapa DRE CP'!$E$5:$H$100,3,FALSE),"Revisar"))</f>
        <v/>
      </c>
      <c r="T111" s="65">
        <f>IF(C111="","",IF(R111="(-) Custos diretos dos serviços",IF(ISNUMBER(SEARCH("PCMSO",C111)),"PCMSO",IF(OR(ISNUMBER(SEARCH("SGS",C111)),ISNUMBER(SEARCH("CASTRO NAVES",C111))),"Projetos / Laudos / Avulsos","Projetos / Laudos / Avulsos")),"Rateio pela receita bruta"))</f>
        <v/>
      </c>
      <c r="U111" s="65">
        <f>IF(C111="","",IF(R111="(-) Custos diretos dos serviços","Direto por fornecedor/natureza do gasto","Rateio proporcional à receita bruta da linha de serviço"))</f>
        <v/>
      </c>
    </row>
    <row r="112">
      <c r="A112" s="28">
        <f>IF(C112="","", "CP-"&amp;TEXT(ROW()-5,"000"))</f>
        <v/>
      </c>
      <c r="B112" s="27">
        <f>IF(F112="","",DATE(YEAR(F112),MONTH(F112),1))</f>
        <v/>
      </c>
      <c r="C112" s="28" t="n"/>
      <c r="D112" s="28" t="n"/>
      <c r="E112" s="59">
        <f>IF(C112="","",IFERROR(INDEX('6. Base de Custos'!$M$8:$M$42,MATCH(C112,'6. Base de Custos'!$L$8:$L$42,0)),"Não classificado"))</f>
        <v/>
      </c>
      <c r="F112" s="111" t="n"/>
      <c r="G112" s="111" t="n"/>
      <c r="H112" s="111" t="n"/>
      <c r="I112" s="45" t="n"/>
      <c r="J112" s="28" t="n"/>
      <c r="K112" s="28" t="n"/>
      <c r="L112" s="28" t="n"/>
      <c r="M112" s="59">
        <f>IF(C112="","",IFERROR(INDEX('6. Base de Custos'!$N$8:$N$42,MATCH(C112,'6. Base de Custos'!$L$8:$L$42,0)),"Não classificado"))</f>
        <v/>
      </c>
      <c r="N112" s="59">
        <f>IF(C112="","",IFERROR(INDEX('6. Base de Custos'!$O$8:$O$42,MATCH(C112,'6. Base de Custos'!$L$8:$L$42,0)),"Revisar"))</f>
        <v/>
      </c>
      <c r="O112" s="60">
        <f>IF(M112="","",IFERROR(VLOOKUP(M112,'6. Base de Custos'!$H$12:$J$18,3,FALSE),0))</f>
        <v/>
      </c>
      <c r="P112" s="59">
        <f>IF(C112="","",IFERROR(INDEX('6. Base de Custos'!$P$8:$P$42,MATCH(C112,'6. Base de Custos'!$L$8:$L$42,0)),"Revisar"))</f>
        <v/>
      </c>
      <c r="Q112" s="59">
        <f>IF(C112="","",IFERROR(INDEX('6. Base de Custos'!$Q$8:$Q$42,MATCH(C112,'6. Base de Custos'!$L$8:$L$42,0)),""))</f>
        <v/>
      </c>
      <c r="R112" s="65">
        <f>IF(C112="","",IFERROR(VLOOKUP(M112&amp;"|"&amp;N112,'17. Mapa DRE CP'!$E$5:$H$100,2,FALSE),"Revisar"))</f>
        <v/>
      </c>
      <c r="S112" s="65">
        <f>IF(C112="","",IFERROR(VLOOKUP(M112&amp;"|"&amp;N112,'17. Mapa DRE CP'!$E$5:$H$100,3,FALSE),"Revisar"))</f>
        <v/>
      </c>
      <c r="T112" s="65">
        <f>IF(C112="","",IF(R112="(-) Custos diretos dos serviços",IF(ISNUMBER(SEARCH("PCMSO",C112)),"PCMSO",IF(OR(ISNUMBER(SEARCH("SGS",C112)),ISNUMBER(SEARCH("CASTRO NAVES",C112))),"Projetos / Laudos / Avulsos","Projetos / Laudos / Avulsos")),"Rateio pela receita bruta"))</f>
        <v/>
      </c>
      <c r="U112" s="65">
        <f>IF(C112="","",IF(R112="(-) Custos diretos dos serviços","Direto por fornecedor/natureza do gasto","Rateio proporcional à receita bruta da linha de serviço"))</f>
        <v/>
      </c>
    </row>
    <row r="113">
      <c r="A113" s="28">
        <f>IF(C113="","", "CP-"&amp;TEXT(ROW()-5,"000"))</f>
        <v/>
      </c>
      <c r="B113" s="27">
        <f>IF(F113="","",DATE(YEAR(F113),MONTH(F113),1))</f>
        <v/>
      </c>
      <c r="C113" s="28" t="n"/>
      <c r="D113" s="28" t="n"/>
      <c r="E113" s="59">
        <f>IF(C113="","",IFERROR(INDEX('6. Base de Custos'!$M$8:$M$42,MATCH(C113,'6. Base de Custos'!$L$8:$L$42,0)),"Não classificado"))</f>
        <v/>
      </c>
      <c r="F113" s="111" t="n"/>
      <c r="G113" s="111" t="n"/>
      <c r="H113" s="111" t="n"/>
      <c r="I113" s="45" t="n"/>
      <c r="J113" s="28" t="n"/>
      <c r="K113" s="28" t="n"/>
      <c r="L113" s="28" t="n"/>
      <c r="M113" s="59">
        <f>IF(C113="","",IFERROR(INDEX('6. Base de Custos'!$N$8:$N$42,MATCH(C113,'6. Base de Custos'!$L$8:$L$42,0)),"Não classificado"))</f>
        <v/>
      </c>
      <c r="N113" s="59">
        <f>IF(C113="","",IFERROR(INDEX('6. Base de Custos'!$O$8:$O$42,MATCH(C113,'6. Base de Custos'!$L$8:$L$42,0)),"Revisar"))</f>
        <v/>
      </c>
      <c r="O113" s="60">
        <f>IF(M113="","",IFERROR(VLOOKUP(M113,'6. Base de Custos'!$H$12:$J$18,3,FALSE),0))</f>
        <v/>
      </c>
      <c r="P113" s="59">
        <f>IF(C113="","",IFERROR(INDEX('6. Base de Custos'!$P$8:$P$42,MATCH(C113,'6. Base de Custos'!$L$8:$L$42,0)),"Revisar"))</f>
        <v/>
      </c>
      <c r="Q113" s="59">
        <f>IF(C113="","",IFERROR(INDEX('6. Base de Custos'!$Q$8:$Q$42,MATCH(C113,'6. Base de Custos'!$L$8:$L$42,0)),""))</f>
        <v/>
      </c>
      <c r="R113" s="65">
        <f>IF(C113="","",IFERROR(VLOOKUP(M113&amp;"|"&amp;N113,'17. Mapa DRE CP'!$E$5:$H$100,2,FALSE),"Revisar"))</f>
        <v/>
      </c>
      <c r="S113" s="65">
        <f>IF(C113="","",IFERROR(VLOOKUP(M113&amp;"|"&amp;N113,'17. Mapa DRE CP'!$E$5:$H$100,3,FALSE),"Revisar"))</f>
        <v/>
      </c>
      <c r="T113" s="65">
        <f>IF(C113="","",IF(R113="(-) Custos diretos dos serviços",IF(ISNUMBER(SEARCH("PCMSO",C113)),"PCMSO",IF(OR(ISNUMBER(SEARCH("SGS",C113)),ISNUMBER(SEARCH("CASTRO NAVES",C113))),"Projetos / Laudos / Avulsos","Projetos / Laudos / Avulsos")),"Rateio pela receita bruta"))</f>
        <v/>
      </c>
      <c r="U113" s="65">
        <f>IF(C113="","",IF(R113="(-) Custos diretos dos serviços","Direto por fornecedor/natureza do gasto","Rateio proporcional à receita bruta da linha de serviço"))</f>
        <v/>
      </c>
    </row>
    <row r="114">
      <c r="A114" s="28">
        <f>IF(C114="","", "CP-"&amp;TEXT(ROW()-5,"000"))</f>
        <v/>
      </c>
      <c r="B114" s="27">
        <f>IF(F114="","",DATE(YEAR(F114),MONTH(F114),1))</f>
        <v/>
      </c>
      <c r="C114" s="28" t="n"/>
      <c r="D114" s="28" t="n"/>
      <c r="E114" s="59">
        <f>IF(C114="","",IFERROR(INDEX('6. Base de Custos'!$M$8:$M$42,MATCH(C114,'6. Base de Custos'!$L$8:$L$42,0)),"Não classificado"))</f>
        <v/>
      </c>
      <c r="F114" s="111" t="n"/>
      <c r="G114" s="111" t="n"/>
      <c r="H114" s="111" t="n"/>
      <c r="I114" s="45" t="n"/>
      <c r="J114" s="28" t="n"/>
      <c r="K114" s="28" t="n"/>
      <c r="L114" s="28" t="n"/>
      <c r="M114" s="59">
        <f>IF(C114="","",IFERROR(INDEX('6. Base de Custos'!$N$8:$N$42,MATCH(C114,'6. Base de Custos'!$L$8:$L$42,0)),"Não classificado"))</f>
        <v/>
      </c>
      <c r="N114" s="59">
        <f>IF(C114="","",IFERROR(INDEX('6. Base de Custos'!$O$8:$O$42,MATCH(C114,'6. Base de Custos'!$L$8:$L$42,0)),"Revisar"))</f>
        <v/>
      </c>
      <c r="O114" s="60">
        <f>IF(M114="","",IFERROR(VLOOKUP(M114,'6. Base de Custos'!$H$12:$J$18,3,FALSE),0))</f>
        <v/>
      </c>
      <c r="P114" s="59">
        <f>IF(C114="","",IFERROR(INDEX('6. Base de Custos'!$P$8:$P$42,MATCH(C114,'6. Base de Custos'!$L$8:$L$42,0)),"Revisar"))</f>
        <v/>
      </c>
      <c r="Q114" s="59">
        <f>IF(C114="","",IFERROR(INDEX('6. Base de Custos'!$Q$8:$Q$42,MATCH(C114,'6. Base de Custos'!$L$8:$L$42,0)),""))</f>
        <v/>
      </c>
      <c r="R114" s="65">
        <f>IF(C114="","",IFERROR(VLOOKUP(M114&amp;"|"&amp;N114,'17. Mapa DRE CP'!$E$5:$H$100,2,FALSE),"Revisar"))</f>
        <v/>
      </c>
      <c r="S114" s="65">
        <f>IF(C114="","",IFERROR(VLOOKUP(M114&amp;"|"&amp;N114,'17. Mapa DRE CP'!$E$5:$H$100,3,FALSE),"Revisar"))</f>
        <v/>
      </c>
      <c r="T114" s="65">
        <f>IF(C114="","",IF(R114="(-) Custos diretos dos serviços",IF(ISNUMBER(SEARCH("PCMSO",C114)),"PCMSO",IF(OR(ISNUMBER(SEARCH("SGS",C114)),ISNUMBER(SEARCH("CASTRO NAVES",C114))),"Projetos / Laudos / Avulsos","Projetos / Laudos / Avulsos")),"Rateio pela receita bruta"))</f>
        <v/>
      </c>
      <c r="U114" s="65">
        <f>IF(C114="","",IF(R114="(-) Custos diretos dos serviços","Direto por fornecedor/natureza do gasto","Rateio proporcional à receita bruta da linha de serviço"))</f>
        <v/>
      </c>
    </row>
    <row r="115">
      <c r="A115" s="28">
        <f>IF(C115="","", "CP-"&amp;TEXT(ROW()-5,"000"))</f>
        <v/>
      </c>
      <c r="B115" s="27">
        <f>IF(F115="","",DATE(YEAR(F115),MONTH(F115),1))</f>
        <v/>
      </c>
      <c r="C115" s="28" t="n"/>
      <c r="D115" s="28" t="n"/>
      <c r="E115" s="59">
        <f>IF(C115="","",IFERROR(INDEX('6. Base de Custos'!$M$8:$M$42,MATCH(C115,'6. Base de Custos'!$L$8:$L$42,0)),"Não classificado"))</f>
        <v/>
      </c>
      <c r="F115" s="111" t="n"/>
      <c r="G115" s="111" t="n"/>
      <c r="H115" s="111" t="n"/>
      <c r="I115" s="45" t="n"/>
      <c r="J115" s="28" t="n"/>
      <c r="K115" s="28" t="n"/>
      <c r="L115" s="28" t="n"/>
      <c r="M115" s="59">
        <f>IF(C115="","",IFERROR(INDEX('6. Base de Custos'!$N$8:$N$42,MATCH(C115,'6. Base de Custos'!$L$8:$L$42,0)),"Não classificado"))</f>
        <v/>
      </c>
      <c r="N115" s="59">
        <f>IF(C115="","",IFERROR(INDEX('6. Base de Custos'!$O$8:$O$42,MATCH(C115,'6. Base de Custos'!$L$8:$L$42,0)),"Revisar"))</f>
        <v/>
      </c>
      <c r="O115" s="60">
        <f>IF(M115="","",IFERROR(VLOOKUP(M115,'6. Base de Custos'!$H$12:$J$18,3,FALSE),0))</f>
        <v/>
      </c>
      <c r="P115" s="59">
        <f>IF(C115="","",IFERROR(INDEX('6. Base de Custos'!$P$8:$P$42,MATCH(C115,'6. Base de Custos'!$L$8:$L$42,0)),"Revisar"))</f>
        <v/>
      </c>
      <c r="Q115" s="59">
        <f>IF(C115="","",IFERROR(INDEX('6. Base de Custos'!$Q$8:$Q$42,MATCH(C115,'6. Base de Custos'!$L$8:$L$42,0)),""))</f>
        <v/>
      </c>
      <c r="R115" s="65">
        <f>IF(C115="","",IFERROR(VLOOKUP(M115&amp;"|"&amp;N115,'17. Mapa DRE CP'!$E$5:$H$100,2,FALSE),"Revisar"))</f>
        <v/>
      </c>
      <c r="S115" s="65">
        <f>IF(C115="","",IFERROR(VLOOKUP(M115&amp;"|"&amp;N115,'17. Mapa DRE CP'!$E$5:$H$100,3,FALSE),"Revisar"))</f>
        <v/>
      </c>
      <c r="T115" s="65">
        <f>IF(C115="","",IF(R115="(-) Custos diretos dos serviços",IF(ISNUMBER(SEARCH("PCMSO",C115)),"PCMSO",IF(OR(ISNUMBER(SEARCH("SGS",C115)),ISNUMBER(SEARCH("CASTRO NAVES",C115))),"Projetos / Laudos / Avulsos","Projetos / Laudos / Avulsos")),"Rateio pela receita bruta"))</f>
        <v/>
      </c>
      <c r="U115" s="65">
        <f>IF(C115="","",IF(R115="(-) Custos diretos dos serviços","Direto por fornecedor/natureza do gasto","Rateio proporcional à receita bruta da linha de serviço"))</f>
        <v/>
      </c>
    </row>
    <row r="116">
      <c r="A116" s="28">
        <f>IF(C116="","", "CP-"&amp;TEXT(ROW()-5,"000"))</f>
        <v/>
      </c>
      <c r="B116" s="27">
        <f>IF(F116="","",DATE(YEAR(F116),MONTH(F116),1))</f>
        <v/>
      </c>
      <c r="C116" s="28" t="n"/>
      <c r="D116" s="28" t="n"/>
      <c r="E116" s="59">
        <f>IF(C116="","",IFERROR(INDEX('6. Base de Custos'!$M$8:$M$42,MATCH(C116,'6. Base de Custos'!$L$8:$L$42,0)),"Não classificado"))</f>
        <v/>
      </c>
      <c r="F116" s="111" t="n"/>
      <c r="G116" s="111" t="n"/>
      <c r="H116" s="111" t="n"/>
      <c r="I116" s="45" t="n"/>
      <c r="J116" s="28" t="n"/>
      <c r="K116" s="28" t="n"/>
      <c r="L116" s="28" t="n"/>
      <c r="M116" s="59">
        <f>IF(C116="","",IFERROR(INDEX('6. Base de Custos'!$N$8:$N$42,MATCH(C116,'6. Base de Custos'!$L$8:$L$42,0)),"Não classificado"))</f>
        <v/>
      </c>
      <c r="N116" s="59">
        <f>IF(C116="","",IFERROR(INDEX('6. Base de Custos'!$O$8:$O$42,MATCH(C116,'6. Base de Custos'!$L$8:$L$42,0)),"Revisar"))</f>
        <v/>
      </c>
      <c r="O116" s="60">
        <f>IF(M116="","",IFERROR(VLOOKUP(M116,'6. Base de Custos'!$H$12:$J$18,3,FALSE),0))</f>
        <v/>
      </c>
      <c r="P116" s="59">
        <f>IF(C116="","",IFERROR(INDEX('6. Base de Custos'!$P$8:$P$42,MATCH(C116,'6. Base de Custos'!$L$8:$L$42,0)),"Revisar"))</f>
        <v/>
      </c>
      <c r="Q116" s="59">
        <f>IF(C116="","",IFERROR(INDEX('6. Base de Custos'!$Q$8:$Q$42,MATCH(C116,'6. Base de Custos'!$L$8:$L$42,0)),""))</f>
        <v/>
      </c>
      <c r="R116" s="65">
        <f>IF(C116="","",IFERROR(VLOOKUP(M116&amp;"|"&amp;N116,'17. Mapa DRE CP'!$E$5:$H$100,2,FALSE),"Revisar"))</f>
        <v/>
      </c>
      <c r="S116" s="65">
        <f>IF(C116="","",IFERROR(VLOOKUP(M116&amp;"|"&amp;N116,'17. Mapa DRE CP'!$E$5:$H$100,3,FALSE),"Revisar"))</f>
        <v/>
      </c>
      <c r="T116" s="65">
        <f>IF(C116="","",IF(R116="(-) Custos diretos dos serviços",IF(ISNUMBER(SEARCH("PCMSO",C116)),"PCMSO",IF(OR(ISNUMBER(SEARCH("SGS",C116)),ISNUMBER(SEARCH("CASTRO NAVES",C116))),"Projetos / Laudos / Avulsos","Projetos / Laudos / Avulsos")),"Rateio pela receita bruta"))</f>
        <v/>
      </c>
      <c r="U116" s="65">
        <f>IF(C116="","",IF(R116="(-) Custos diretos dos serviços","Direto por fornecedor/natureza do gasto","Rateio proporcional à receita bruta da linha de serviço"))</f>
        <v/>
      </c>
    </row>
    <row r="117">
      <c r="A117" s="28">
        <f>IF(C117="","", "CP-"&amp;TEXT(ROW()-5,"000"))</f>
        <v/>
      </c>
      <c r="B117" s="27">
        <f>IF(F117="","",DATE(YEAR(F117),MONTH(F117),1))</f>
        <v/>
      </c>
      <c r="C117" s="28" t="n"/>
      <c r="D117" s="28" t="n"/>
      <c r="E117" s="59">
        <f>IF(C117="","",IFERROR(INDEX('6. Base de Custos'!$M$8:$M$42,MATCH(C117,'6. Base de Custos'!$L$8:$L$42,0)),"Não classificado"))</f>
        <v/>
      </c>
      <c r="F117" s="111" t="n"/>
      <c r="G117" s="111" t="n"/>
      <c r="H117" s="111" t="n"/>
      <c r="I117" s="45" t="n"/>
      <c r="J117" s="28" t="n"/>
      <c r="K117" s="28" t="n"/>
      <c r="L117" s="28" t="n"/>
      <c r="M117" s="59">
        <f>IF(C117="","",IFERROR(INDEX('6. Base de Custos'!$N$8:$N$42,MATCH(C117,'6. Base de Custos'!$L$8:$L$42,0)),"Não classificado"))</f>
        <v/>
      </c>
      <c r="N117" s="59">
        <f>IF(C117="","",IFERROR(INDEX('6. Base de Custos'!$O$8:$O$42,MATCH(C117,'6. Base de Custos'!$L$8:$L$42,0)),"Revisar"))</f>
        <v/>
      </c>
      <c r="O117" s="60">
        <f>IF(M117="","",IFERROR(VLOOKUP(M117,'6. Base de Custos'!$H$12:$J$18,3,FALSE),0))</f>
        <v/>
      </c>
      <c r="P117" s="59">
        <f>IF(C117="","",IFERROR(INDEX('6. Base de Custos'!$P$8:$P$42,MATCH(C117,'6. Base de Custos'!$L$8:$L$42,0)),"Revisar"))</f>
        <v/>
      </c>
      <c r="Q117" s="59">
        <f>IF(C117="","",IFERROR(INDEX('6. Base de Custos'!$Q$8:$Q$42,MATCH(C117,'6. Base de Custos'!$L$8:$L$42,0)),""))</f>
        <v/>
      </c>
      <c r="R117" s="65">
        <f>IF(C117="","",IFERROR(VLOOKUP(M117&amp;"|"&amp;N117,'17. Mapa DRE CP'!$E$5:$H$100,2,FALSE),"Revisar"))</f>
        <v/>
      </c>
      <c r="S117" s="65">
        <f>IF(C117="","",IFERROR(VLOOKUP(M117&amp;"|"&amp;N117,'17. Mapa DRE CP'!$E$5:$H$100,3,FALSE),"Revisar"))</f>
        <v/>
      </c>
      <c r="T117" s="65">
        <f>IF(C117="","",IF(R117="(-) Custos diretos dos serviços",IF(ISNUMBER(SEARCH("PCMSO",C117)),"PCMSO",IF(OR(ISNUMBER(SEARCH("SGS",C117)),ISNUMBER(SEARCH("CASTRO NAVES",C117))),"Projetos / Laudos / Avulsos","Projetos / Laudos / Avulsos")),"Rateio pela receita bruta"))</f>
        <v/>
      </c>
      <c r="U117" s="65">
        <f>IF(C117="","",IF(R117="(-) Custos diretos dos serviços","Direto por fornecedor/natureza do gasto","Rateio proporcional à receita bruta da linha de serviço"))</f>
        <v/>
      </c>
    </row>
    <row r="118">
      <c r="A118" s="28">
        <f>IF(C118="","", "CP-"&amp;TEXT(ROW()-5,"000"))</f>
        <v/>
      </c>
      <c r="B118" s="27">
        <f>IF(F118="","",DATE(YEAR(F118),MONTH(F118),1))</f>
        <v/>
      </c>
      <c r="C118" s="28" t="n"/>
      <c r="D118" s="28" t="n"/>
      <c r="E118" s="59">
        <f>IF(C118="","",IFERROR(INDEX('6. Base de Custos'!$M$8:$M$42,MATCH(C118,'6. Base de Custos'!$L$8:$L$42,0)),"Não classificado"))</f>
        <v/>
      </c>
      <c r="F118" s="111" t="n"/>
      <c r="G118" s="111" t="n"/>
      <c r="H118" s="111" t="n"/>
      <c r="I118" s="45" t="n"/>
      <c r="J118" s="28" t="n"/>
      <c r="K118" s="28" t="n"/>
      <c r="L118" s="28" t="n"/>
      <c r="M118" s="59">
        <f>IF(C118="","",IFERROR(INDEX('6. Base de Custos'!$N$8:$N$42,MATCH(C118,'6. Base de Custos'!$L$8:$L$42,0)),"Não classificado"))</f>
        <v/>
      </c>
      <c r="N118" s="59">
        <f>IF(C118="","",IFERROR(INDEX('6. Base de Custos'!$O$8:$O$42,MATCH(C118,'6. Base de Custos'!$L$8:$L$42,0)),"Revisar"))</f>
        <v/>
      </c>
      <c r="O118" s="60">
        <f>IF(M118="","",IFERROR(VLOOKUP(M118,'6. Base de Custos'!$H$12:$J$18,3,FALSE),0))</f>
        <v/>
      </c>
      <c r="P118" s="59">
        <f>IF(C118="","",IFERROR(INDEX('6. Base de Custos'!$P$8:$P$42,MATCH(C118,'6. Base de Custos'!$L$8:$L$42,0)),"Revisar"))</f>
        <v/>
      </c>
      <c r="Q118" s="59">
        <f>IF(C118="","",IFERROR(INDEX('6. Base de Custos'!$Q$8:$Q$42,MATCH(C118,'6. Base de Custos'!$L$8:$L$42,0)),""))</f>
        <v/>
      </c>
      <c r="R118" s="65">
        <f>IF(C118="","",IFERROR(VLOOKUP(M118&amp;"|"&amp;N118,'17. Mapa DRE CP'!$E$5:$H$100,2,FALSE),"Revisar"))</f>
        <v/>
      </c>
      <c r="S118" s="65">
        <f>IF(C118="","",IFERROR(VLOOKUP(M118&amp;"|"&amp;N118,'17. Mapa DRE CP'!$E$5:$H$100,3,FALSE),"Revisar"))</f>
        <v/>
      </c>
      <c r="T118" s="65">
        <f>IF(C118="","",IF(R118="(-) Custos diretos dos serviços",IF(ISNUMBER(SEARCH("PCMSO",C118)),"PCMSO",IF(OR(ISNUMBER(SEARCH("SGS",C118)),ISNUMBER(SEARCH("CASTRO NAVES",C118))),"Projetos / Laudos / Avulsos","Projetos / Laudos / Avulsos")),"Rateio pela receita bruta"))</f>
        <v/>
      </c>
      <c r="U118" s="65">
        <f>IF(C118="","",IF(R118="(-) Custos diretos dos serviços","Direto por fornecedor/natureza do gasto","Rateio proporcional à receita bruta da linha de serviço"))</f>
        <v/>
      </c>
    </row>
    <row r="119">
      <c r="A119" s="28">
        <f>IF(C119="","", "CP-"&amp;TEXT(ROW()-5,"000"))</f>
        <v/>
      </c>
      <c r="B119" s="27">
        <f>IF(F119="","",DATE(YEAR(F119),MONTH(F119),1))</f>
        <v/>
      </c>
      <c r="C119" s="28" t="n"/>
      <c r="D119" s="28" t="n"/>
      <c r="E119" s="59">
        <f>IF(C119="","",IFERROR(INDEX('6. Base de Custos'!$M$8:$M$42,MATCH(C119,'6. Base de Custos'!$L$8:$L$42,0)),"Não classificado"))</f>
        <v/>
      </c>
      <c r="F119" s="111" t="n"/>
      <c r="G119" s="111" t="n"/>
      <c r="H119" s="111" t="n"/>
      <c r="I119" s="45" t="n"/>
      <c r="J119" s="28" t="n"/>
      <c r="K119" s="28" t="n"/>
      <c r="L119" s="28" t="n"/>
      <c r="M119" s="59">
        <f>IF(C119="","",IFERROR(INDEX('6. Base de Custos'!$N$8:$N$42,MATCH(C119,'6. Base de Custos'!$L$8:$L$42,0)),"Não classificado"))</f>
        <v/>
      </c>
      <c r="N119" s="59">
        <f>IF(C119="","",IFERROR(INDEX('6. Base de Custos'!$O$8:$O$42,MATCH(C119,'6. Base de Custos'!$L$8:$L$42,0)),"Revisar"))</f>
        <v/>
      </c>
      <c r="O119" s="60">
        <f>IF(M119="","",IFERROR(VLOOKUP(M119,'6. Base de Custos'!$H$12:$J$18,3,FALSE),0))</f>
        <v/>
      </c>
      <c r="P119" s="59">
        <f>IF(C119="","",IFERROR(INDEX('6. Base de Custos'!$P$8:$P$42,MATCH(C119,'6. Base de Custos'!$L$8:$L$42,0)),"Revisar"))</f>
        <v/>
      </c>
      <c r="Q119" s="59">
        <f>IF(C119="","",IFERROR(INDEX('6. Base de Custos'!$Q$8:$Q$42,MATCH(C119,'6. Base de Custos'!$L$8:$L$42,0)),""))</f>
        <v/>
      </c>
      <c r="R119" s="65">
        <f>IF(C119="","",IFERROR(VLOOKUP(M119&amp;"|"&amp;N119,'17. Mapa DRE CP'!$E$5:$H$100,2,FALSE),"Revisar"))</f>
        <v/>
      </c>
      <c r="S119" s="65">
        <f>IF(C119="","",IFERROR(VLOOKUP(M119&amp;"|"&amp;N119,'17. Mapa DRE CP'!$E$5:$H$100,3,FALSE),"Revisar"))</f>
        <v/>
      </c>
      <c r="T119" s="65">
        <f>IF(C119="","",IF(R119="(-) Custos diretos dos serviços",IF(ISNUMBER(SEARCH("PCMSO",C119)),"PCMSO",IF(OR(ISNUMBER(SEARCH("SGS",C119)),ISNUMBER(SEARCH("CASTRO NAVES",C119))),"Projetos / Laudos / Avulsos","Projetos / Laudos / Avulsos")),"Rateio pela receita bruta"))</f>
        <v/>
      </c>
      <c r="U119" s="65">
        <f>IF(C119="","",IF(R119="(-) Custos diretos dos serviços","Direto por fornecedor/natureza do gasto","Rateio proporcional à receita bruta da linha de serviço"))</f>
        <v/>
      </c>
    </row>
    <row r="120">
      <c r="A120" s="28">
        <f>IF(C120="","", "CP-"&amp;TEXT(ROW()-5,"000"))</f>
        <v/>
      </c>
      <c r="B120" s="27">
        <f>IF(F120="","",DATE(YEAR(F120),MONTH(F120),1))</f>
        <v/>
      </c>
      <c r="C120" s="28" t="n"/>
      <c r="D120" s="28" t="n"/>
      <c r="E120" s="59">
        <f>IF(C120="","",IFERROR(INDEX('6. Base de Custos'!$M$8:$M$42,MATCH(C120,'6. Base de Custos'!$L$8:$L$42,0)),"Não classificado"))</f>
        <v/>
      </c>
      <c r="F120" s="111" t="n"/>
      <c r="G120" s="111" t="n"/>
      <c r="H120" s="111" t="n"/>
      <c r="I120" s="45" t="n"/>
      <c r="J120" s="28" t="n"/>
      <c r="K120" s="28" t="n"/>
      <c r="L120" s="28" t="n"/>
      <c r="M120" s="59">
        <f>IF(C120="","",IFERROR(INDEX('6. Base de Custos'!$N$8:$N$42,MATCH(C120,'6. Base de Custos'!$L$8:$L$42,0)),"Não classificado"))</f>
        <v/>
      </c>
      <c r="N120" s="59">
        <f>IF(C120="","",IFERROR(INDEX('6. Base de Custos'!$O$8:$O$42,MATCH(C120,'6. Base de Custos'!$L$8:$L$42,0)),"Revisar"))</f>
        <v/>
      </c>
      <c r="O120" s="60">
        <f>IF(M120="","",IFERROR(VLOOKUP(M120,'6. Base de Custos'!$H$12:$J$18,3,FALSE),0))</f>
        <v/>
      </c>
      <c r="P120" s="59">
        <f>IF(C120="","",IFERROR(INDEX('6. Base de Custos'!$P$8:$P$42,MATCH(C120,'6. Base de Custos'!$L$8:$L$42,0)),"Revisar"))</f>
        <v/>
      </c>
      <c r="Q120" s="59">
        <f>IF(C120="","",IFERROR(INDEX('6. Base de Custos'!$Q$8:$Q$42,MATCH(C120,'6. Base de Custos'!$L$8:$L$42,0)),""))</f>
        <v/>
      </c>
      <c r="R120" s="65">
        <f>IF(C120="","",IFERROR(VLOOKUP(M120&amp;"|"&amp;N120,'17. Mapa DRE CP'!$E$5:$H$100,2,FALSE),"Revisar"))</f>
        <v/>
      </c>
      <c r="S120" s="65">
        <f>IF(C120="","",IFERROR(VLOOKUP(M120&amp;"|"&amp;N120,'17. Mapa DRE CP'!$E$5:$H$100,3,FALSE),"Revisar"))</f>
        <v/>
      </c>
      <c r="T120" s="65">
        <f>IF(C120="","",IF(R120="(-) Custos diretos dos serviços",IF(ISNUMBER(SEARCH("PCMSO",C120)),"PCMSO",IF(OR(ISNUMBER(SEARCH("SGS",C120)),ISNUMBER(SEARCH("CASTRO NAVES",C120))),"Projetos / Laudos / Avulsos","Projetos / Laudos / Avulsos")),"Rateio pela receita bruta"))</f>
        <v/>
      </c>
      <c r="U120" s="65">
        <f>IF(C120="","",IF(R120="(-) Custos diretos dos serviços","Direto por fornecedor/natureza do gasto","Rateio proporcional à receita bruta da linha de serviço"))</f>
        <v/>
      </c>
    </row>
    <row r="121">
      <c r="A121" s="28">
        <f>IF(C121="","", "CP-"&amp;TEXT(ROW()-5,"000"))</f>
        <v/>
      </c>
      <c r="B121" s="27">
        <f>IF(F121="","",DATE(YEAR(F121),MONTH(F121),1))</f>
        <v/>
      </c>
      <c r="C121" s="28" t="n"/>
      <c r="D121" s="28" t="n"/>
      <c r="E121" s="59">
        <f>IF(C121="","",IFERROR(INDEX('6. Base de Custos'!$M$8:$M$42,MATCH(C121,'6. Base de Custos'!$L$8:$L$42,0)),"Não classificado"))</f>
        <v/>
      </c>
      <c r="F121" s="111" t="n"/>
      <c r="G121" s="111" t="n"/>
      <c r="H121" s="111" t="n"/>
      <c r="I121" s="45" t="n"/>
      <c r="J121" s="28" t="n"/>
      <c r="K121" s="28" t="n"/>
      <c r="L121" s="28" t="n"/>
      <c r="M121" s="59">
        <f>IF(C121="","",IFERROR(INDEX('6. Base de Custos'!$N$8:$N$42,MATCH(C121,'6. Base de Custos'!$L$8:$L$42,0)),"Não classificado"))</f>
        <v/>
      </c>
      <c r="N121" s="59">
        <f>IF(C121="","",IFERROR(INDEX('6. Base de Custos'!$O$8:$O$42,MATCH(C121,'6. Base de Custos'!$L$8:$L$42,0)),"Revisar"))</f>
        <v/>
      </c>
      <c r="O121" s="60">
        <f>IF(M121="","",IFERROR(VLOOKUP(M121,'6. Base de Custos'!$H$12:$J$18,3,FALSE),0))</f>
        <v/>
      </c>
      <c r="P121" s="59">
        <f>IF(C121="","",IFERROR(INDEX('6. Base de Custos'!$P$8:$P$42,MATCH(C121,'6. Base de Custos'!$L$8:$L$42,0)),"Revisar"))</f>
        <v/>
      </c>
      <c r="Q121" s="59">
        <f>IF(C121="","",IFERROR(INDEX('6. Base de Custos'!$Q$8:$Q$42,MATCH(C121,'6. Base de Custos'!$L$8:$L$42,0)),""))</f>
        <v/>
      </c>
      <c r="R121" s="65">
        <f>IF(C121="","",IFERROR(VLOOKUP(M121&amp;"|"&amp;N121,'17. Mapa DRE CP'!$E$5:$H$100,2,FALSE),"Revisar"))</f>
        <v/>
      </c>
      <c r="S121" s="65">
        <f>IF(C121="","",IFERROR(VLOOKUP(M121&amp;"|"&amp;N121,'17. Mapa DRE CP'!$E$5:$H$100,3,FALSE),"Revisar"))</f>
        <v/>
      </c>
      <c r="T121" s="65">
        <f>IF(C121="","",IF(R121="(-) Custos diretos dos serviços",IF(ISNUMBER(SEARCH("PCMSO",C121)),"PCMSO",IF(OR(ISNUMBER(SEARCH("SGS",C121)),ISNUMBER(SEARCH("CASTRO NAVES",C121))),"Projetos / Laudos / Avulsos","Projetos / Laudos / Avulsos")),"Rateio pela receita bruta"))</f>
        <v/>
      </c>
      <c r="U121" s="65">
        <f>IF(C121="","",IF(R121="(-) Custos diretos dos serviços","Direto por fornecedor/natureza do gasto","Rateio proporcional à receita bruta da linha de serviço"))</f>
        <v/>
      </c>
    </row>
    <row r="122">
      <c r="A122" s="28">
        <f>IF(C122="","", "CP-"&amp;TEXT(ROW()-5,"000"))</f>
        <v/>
      </c>
      <c r="B122" s="27">
        <f>IF(F122="","",DATE(YEAR(F122),MONTH(F122),1))</f>
        <v/>
      </c>
      <c r="C122" s="28" t="n"/>
      <c r="D122" s="28" t="n"/>
      <c r="E122" s="59">
        <f>IF(C122="","",IFERROR(INDEX('6. Base de Custos'!$M$8:$M$42,MATCH(C122,'6. Base de Custos'!$L$8:$L$42,0)),"Não classificado"))</f>
        <v/>
      </c>
      <c r="F122" s="111" t="n"/>
      <c r="G122" s="111" t="n"/>
      <c r="H122" s="111" t="n"/>
      <c r="I122" s="45" t="n"/>
      <c r="J122" s="28" t="n"/>
      <c r="K122" s="28" t="n"/>
      <c r="L122" s="28" t="n"/>
      <c r="M122" s="59">
        <f>IF(C122="","",IFERROR(INDEX('6. Base de Custos'!$N$8:$N$42,MATCH(C122,'6. Base de Custos'!$L$8:$L$42,0)),"Não classificado"))</f>
        <v/>
      </c>
      <c r="N122" s="59">
        <f>IF(C122="","",IFERROR(INDEX('6. Base de Custos'!$O$8:$O$42,MATCH(C122,'6. Base de Custos'!$L$8:$L$42,0)),"Revisar"))</f>
        <v/>
      </c>
      <c r="O122" s="60">
        <f>IF(M122="","",IFERROR(VLOOKUP(M122,'6. Base de Custos'!$H$12:$J$18,3,FALSE),0))</f>
        <v/>
      </c>
      <c r="P122" s="59">
        <f>IF(C122="","",IFERROR(INDEX('6. Base de Custos'!$P$8:$P$42,MATCH(C122,'6. Base de Custos'!$L$8:$L$42,0)),"Revisar"))</f>
        <v/>
      </c>
      <c r="Q122" s="59">
        <f>IF(C122="","",IFERROR(INDEX('6. Base de Custos'!$Q$8:$Q$42,MATCH(C122,'6. Base de Custos'!$L$8:$L$42,0)),""))</f>
        <v/>
      </c>
      <c r="R122" s="65">
        <f>IF(C122="","",IFERROR(VLOOKUP(M122&amp;"|"&amp;N122,'17. Mapa DRE CP'!$E$5:$H$100,2,FALSE),"Revisar"))</f>
        <v/>
      </c>
      <c r="S122" s="65">
        <f>IF(C122="","",IFERROR(VLOOKUP(M122&amp;"|"&amp;N122,'17. Mapa DRE CP'!$E$5:$H$100,3,FALSE),"Revisar"))</f>
        <v/>
      </c>
      <c r="T122" s="65">
        <f>IF(C122="","",IF(R122="(-) Custos diretos dos serviços",IF(ISNUMBER(SEARCH("PCMSO",C122)),"PCMSO",IF(OR(ISNUMBER(SEARCH("SGS",C122)),ISNUMBER(SEARCH("CASTRO NAVES",C122))),"Projetos / Laudos / Avulsos","Projetos / Laudos / Avulsos")),"Rateio pela receita bruta"))</f>
        <v/>
      </c>
      <c r="U122" s="65">
        <f>IF(C122="","",IF(R122="(-) Custos diretos dos serviços","Direto por fornecedor/natureza do gasto","Rateio proporcional à receita bruta da linha de serviço"))</f>
        <v/>
      </c>
    </row>
    <row r="123">
      <c r="A123" s="28">
        <f>IF(C123="","", "CP-"&amp;TEXT(ROW()-5,"000"))</f>
        <v/>
      </c>
      <c r="B123" s="27">
        <f>IF(F123="","",DATE(YEAR(F123),MONTH(F123),1))</f>
        <v/>
      </c>
      <c r="C123" s="28" t="n"/>
      <c r="D123" s="28" t="n"/>
      <c r="E123" s="59">
        <f>IF(C123="","",IFERROR(INDEX('6. Base de Custos'!$M$8:$M$42,MATCH(C123,'6. Base de Custos'!$L$8:$L$42,0)),"Não classificado"))</f>
        <v/>
      </c>
      <c r="F123" s="111" t="n"/>
      <c r="G123" s="111" t="n"/>
      <c r="H123" s="111" t="n"/>
      <c r="I123" s="45" t="n"/>
      <c r="J123" s="28" t="n"/>
      <c r="K123" s="28" t="n"/>
      <c r="L123" s="28" t="n"/>
      <c r="M123" s="59">
        <f>IF(C123="","",IFERROR(INDEX('6. Base de Custos'!$N$8:$N$42,MATCH(C123,'6. Base de Custos'!$L$8:$L$42,0)),"Não classificado"))</f>
        <v/>
      </c>
      <c r="N123" s="59">
        <f>IF(C123="","",IFERROR(INDEX('6. Base de Custos'!$O$8:$O$42,MATCH(C123,'6. Base de Custos'!$L$8:$L$42,0)),"Revisar"))</f>
        <v/>
      </c>
      <c r="O123" s="60">
        <f>IF(M123="","",IFERROR(VLOOKUP(M123,'6. Base de Custos'!$H$12:$J$18,3,FALSE),0))</f>
        <v/>
      </c>
      <c r="P123" s="59">
        <f>IF(C123="","",IFERROR(INDEX('6. Base de Custos'!$P$8:$P$42,MATCH(C123,'6. Base de Custos'!$L$8:$L$42,0)),"Revisar"))</f>
        <v/>
      </c>
      <c r="Q123" s="59">
        <f>IF(C123="","",IFERROR(INDEX('6. Base de Custos'!$Q$8:$Q$42,MATCH(C123,'6. Base de Custos'!$L$8:$L$42,0)),""))</f>
        <v/>
      </c>
      <c r="R123" s="65">
        <f>IF(C123="","",IFERROR(VLOOKUP(M123&amp;"|"&amp;N123,'17. Mapa DRE CP'!$E$5:$H$100,2,FALSE),"Revisar"))</f>
        <v/>
      </c>
      <c r="S123" s="65">
        <f>IF(C123="","",IFERROR(VLOOKUP(M123&amp;"|"&amp;N123,'17. Mapa DRE CP'!$E$5:$H$100,3,FALSE),"Revisar"))</f>
        <v/>
      </c>
      <c r="T123" s="65">
        <f>IF(C123="","",IF(R123="(-) Custos diretos dos serviços",IF(ISNUMBER(SEARCH("PCMSO",C123)),"PCMSO",IF(OR(ISNUMBER(SEARCH("SGS",C123)),ISNUMBER(SEARCH("CASTRO NAVES",C123))),"Projetos / Laudos / Avulsos","Projetos / Laudos / Avulsos")),"Rateio pela receita bruta"))</f>
        <v/>
      </c>
      <c r="U123" s="65">
        <f>IF(C123="","",IF(R123="(-) Custos diretos dos serviços","Direto por fornecedor/natureza do gasto","Rateio proporcional à receita bruta da linha de serviço"))</f>
        <v/>
      </c>
    </row>
    <row r="124">
      <c r="A124" s="28">
        <f>IF(C124="","", "CP-"&amp;TEXT(ROW()-5,"000"))</f>
        <v/>
      </c>
      <c r="B124" s="27">
        <f>IF(F124="","",DATE(YEAR(F124),MONTH(F124),1))</f>
        <v/>
      </c>
      <c r="C124" s="28" t="n"/>
      <c r="D124" s="28" t="n"/>
      <c r="E124" s="59">
        <f>IF(C124="","",IFERROR(INDEX('6. Base de Custos'!$M$8:$M$42,MATCH(C124,'6. Base de Custos'!$L$8:$L$42,0)),"Não classificado"))</f>
        <v/>
      </c>
      <c r="F124" s="111" t="n"/>
      <c r="G124" s="111" t="n"/>
      <c r="H124" s="111" t="n"/>
      <c r="I124" s="45" t="n"/>
      <c r="J124" s="28" t="n"/>
      <c r="K124" s="28" t="n"/>
      <c r="L124" s="28" t="n"/>
      <c r="M124" s="59">
        <f>IF(C124="","",IFERROR(INDEX('6. Base de Custos'!$N$8:$N$42,MATCH(C124,'6. Base de Custos'!$L$8:$L$42,0)),"Não classificado"))</f>
        <v/>
      </c>
      <c r="N124" s="59">
        <f>IF(C124="","",IFERROR(INDEX('6. Base de Custos'!$O$8:$O$42,MATCH(C124,'6. Base de Custos'!$L$8:$L$42,0)),"Revisar"))</f>
        <v/>
      </c>
      <c r="O124" s="60">
        <f>IF(M124="","",IFERROR(VLOOKUP(M124,'6. Base de Custos'!$H$12:$J$18,3,FALSE),0))</f>
        <v/>
      </c>
      <c r="P124" s="59">
        <f>IF(C124="","",IFERROR(INDEX('6. Base de Custos'!$P$8:$P$42,MATCH(C124,'6. Base de Custos'!$L$8:$L$42,0)),"Revisar"))</f>
        <v/>
      </c>
      <c r="Q124" s="59">
        <f>IF(C124="","",IFERROR(INDEX('6. Base de Custos'!$Q$8:$Q$42,MATCH(C124,'6. Base de Custos'!$L$8:$L$42,0)),""))</f>
        <v/>
      </c>
      <c r="R124" s="65">
        <f>IF(C124="","",IFERROR(VLOOKUP(M124&amp;"|"&amp;N124,'17. Mapa DRE CP'!$E$5:$H$100,2,FALSE),"Revisar"))</f>
        <v/>
      </c>
      <c r="S124" s="65">
        <f>IF(C124="","",IFERROR(VLOOKUP(M124&amp;"|"&amp;N124,'17. Mapa DRE CP'!$E$5:$H$100,3,FALSE),"Revisar"))</f>
        <v/>
      </c>
      <c r="T124" s="65">
        <f>IF(C124="","",IF(R124="(-) Custos diretos dos serviços",IF(ISNUMBER(SEARCH("PCMSO",C124)),"PCMSO",IF(OR(ISNUMBER(SEARCH("SGS",C124)),ISNUMBER(SEARCH("CASTRO NAVES",C124))),"Projetos / Laudos / Avulsos","Projetos / Laudos / Avulsos")),"Rateio pela receita bruta"))</f>
        <v/>
      </c>
      <c r="U124" s="65">
        <f>IF(C124="","",IF(R124="(-) Custos diretos dos serviços","Direto por fornecedor/natureza do gasto","Rateio proporcional à receita bruta da linha de serviço"))</f>
        <v/>
      </c>
    </row>
    <row r="125">
      <c r="A125" s="28">
        <f>IF(C125="","", "CP-"&amp;TEXT(ROW()-5,"000"))</f>
        <v/>
      </c>
      <c r="B125" s="27">
        <f>IF(F125="","",DATE(YEAR(F125),MONTH(F125),1))</f>
        <v/>
      </c>
      <c r="C125" s="28" t="n"/>
      <c r="D125" s="28" t="n"/>
      <c r="E125" s="59">
        <f>IF(C125="","",IFERROR(INDEX('6. Base de Custos'!$M$8:$M$42,MATCH(C125,'6. Base de Custos'!$L$8:$L$42,0)),"Não classificado"))</f>
        <v/>
      </c>
      <c r="F125" s="111" t="n"/>
      <c r="G125" s="111" t="n"/>
      <c r="H125" s="111" t="n"/>
      <c r="I125" s="45" t="n"/>
      <c r="J125" s="28" t="n"/>
      <c r="K125" s="28" t="n"/>
      <c r="L125" s="28" t="n"/>
      <c r="M125" s="59">
        <f>IF(C125="","",IFERROR(INDEX('6. Base de Custos'!$N$8:$N$42,MATCH(C125,'6. Base de Custos'!$L$8:$L$42,0)),"Não classificado"))</f>
        <v/>
      </c>
      <c r="N125" s="59">
        <f>IF(C125="","",IFERROR(INDEX('6. Base de Custos'!$O$8:$O$42,MATCH(C125,'6. Base de Custos'!$L$8:$L$42,0)),"Revisar"))</f>
        <v/>
      </c>
      <c r="O125" s="60">
        <f>IF(M125="","",IFERROR(VLOOKUP(M125,'6. Base de Custos'!$H$12:$J$18,3,FALSE),0))</f>
        <v/>
      </c>
      <c r="P125" s="59">
        <f>IF(C125="","",IFERROR(INDEX('6. Base de Custos'!$P$8:$P$42,MATCH(C125,'6. Base de Custos'!$L$8:$L$42,0)),"Revisar"))</f>
        <v/>
      </c>
      <c r="Q125" s="59">
        <f>IF(C125="","",IFERROR(INDEX('6. Base de Custos'!$Q$8:$Q$42,MATCH(C125,'6. Base de Custos'!$L$8:$L$42,0)),""))</f>
        <v/>
      </c>
      <c r="R125" s="65">
        <f>IF(C125="","",IFERROR(VLOOKUP(M125&amp;"|"&amp;N125,'17. Mapa DRE CP'!$E$5:$H$100,2,FALSE),"Revisar"))</f>
        <v/>
      </c>
      <c r="S125" s="65">
        <f>IF(C125="","",IFERROR(VLOOKUP(M125&amp;"|"&amp;N125,'17. Mapa DRE CP'!$E$5:$H$100,3,FALSE),"Revisar"))</f>
        <v/>
      </c>
      <c r="T125" s="65">
        <f>IF(C125="","",IF(R125="(-) Custos diretos dos serviços",IF(ISNUMBER(SEARCH("PCMSO",C125)),"PCMSO",IF(OR(ISNUMBER(SEARCH("SGS",C125)),ISNUMBER(SEARCH("CASTRO NAVES",C125))),"Projetos / Laudos / Avulsos","Projetos / Laudos / Avulsos")),"Rateio pela receita bruta"))</f>
        <v/>
      </c>
      <c r="U125" s="65">
        <f>IF(C125="","",IF(R125="(-) Custos diretos dos serviços","Direto por fornecedor/natureza do gasto","Rateio proporcional à receita bruta da linha de serviço"))</f>
        <v/>
      </c>
    </row>
    <row r="126">
      <c r="A126" s="28">
        <f>IF(C126="","", "CP-"&amp;TEXT(ROW()-5,"000"))</f>
        <v/>
      </c>
      <c r="B126" s="27">
        <f>IF(F126="","",DATE(YEAR(F126),MONTH(F126),1))</f>
        <v/>
      </c>
      <c r="C126" s="28" t="n"/>
      <c r="D126" s="28" t="n"/>
      <c r="E126" s="59">
        <f>IF(C126="","",IFERROR(INDEX('6. Base de Custos'!$M$8:$M$42,MATCH(C126,'6. Base de Custos'!$L$8:$L$42,0)),"Não classificado"))</f>
        <v/>
      </c>
      <c r="F126" s="111" t="n"/>
      <c r="G126" s="111" t="n"/>
      <c r="H126" s="111" t="n"/>
      <c r="I126" s="45" t="n"/>
      <c r="J126" s="28" t="n"/>
      <c r="K126" s="28" t="n"/>
      <c r="L126" s="28" t="n"/>
      <c r="M126" s="59">
        <f>IF(C126="","",IFERROR(INDEX('6. Base de Custos'!$N$8:$N$42,MATCH(C126,'6. Base de Custos'!$L$8:$L$42,0)),"Não classificado"))</f>
        <v/>
      </c>
      <c r="N126" s="59">
        <f>IF(C126="","",IFERROR(INDEX('6. Base de Custos'!$O$8:$O$42,MATCH(C126,'6. Base de Custos'!$L$8:$L$42,0)),"Revisar"))</f>
        <v/>
      </c>
      <c r="O126" s="60">
        <f>IF(M126="","",IFERROR(VLOOKUP(M126,'6. Base de Custos'!$H$12:$J$18,3,FALSE),0))</f>
        <v/>
      </c>
      <c r="P126" s="59">
        <f>IF(C126="","",IFERROR(INDEX('6. Base de Custos'!$P$8:$P$42,MATCH(C126,'6. Base de Custos'!$L$8:$L$42,0)),"Revisar"))</f>
        <v/>
      </c>
      <c r="Q126" s="59">
        <f>IF(C126="","",IFERROR(INDEX('6. Base de Custos'!$Q$8:$Q$42,MATCH(C126,'6. Base de Custos'!$L$8:$L$42,0)),""))</f>
        <v/>
      </c>
      <c r="R126" s="65">
        <f>IF(C126="","",IFERROR(VLOOKUP(M126&amp;"|"&amp;N126,'17. Mapa DRE CP'!$E$5:$H$100,2,FALSE),"Revisar"))</f>
        <v/>
      </c>
      <c r="S126" s="65">
        <f>IF(C126="","",IFERROR(VLOOKUP(M126&amp;"|"&amp;N126,'17. Mapa DRE CP'!$E$5:$H$100,3,FALSE),"Revisar"))</f>
        <v/>
      </c>
      <c r="T126" s="65">
        <f>IF(C126="","",IF(R126="(-) Custos diretos dos serviços",IF(ISNUMBER(SEARCH("PCMSO",C126)),"PCMSO",IF(OR(ISNUMBER(SEARCH("SGS",C126)),ISNUMBER(SEARCH("CASTRO NAVES",C126))),"Projetos / Laudos / Avulsos","Projetos / Laudos / Avulsos")),"Rateio pela receita bruta"))</f>
        <v/>
      </c>
      <c r="U126" s="65">
        <f>IF(C126="","",IF(R126="(-) Custos diretos dos serviços","Direto por fornecedor/natureza do gasto","Rateio proporcional à receita bruta da linha de serviço"))</f>
        <v/>
      </c>
    </row>
    <row r="127">
      <c r="A127" s="28">
        <f>IF(C127="","", "CP-"&amp;TEXT(ROW()-5,"000"))</f>
        <v/>
      </c>
      <c r="B127" s="27">
        <f>IF(F127="","",DATE(YEAR(F127),MONTH(F127),1))</f>
        <v/>
      </c>
      <c r="C127" s="28" t="n"/>
      <c r="D127" s="28" t="n"/>
      <c r="E127" s="59">
        <f>IF(C127="","",IFERROR(INDEX('6. Base de Custos'!$M$8:$M$42,MATCH(C127,'6. Base de Custos'!$L$8:$L$42,0)),"Não classificado"))</f>
        <v/>
      </c>
      <c r="F127" s="111" t="n"/>
      <c r="G127" s="111" t="n"/>
      <c r="H127" s="111" t="n"/>
      <c r="I127" s="45" t="n"/>
      <c r="J127" s="28" t="n"/>
      <c r="K127" s="28" t="n"/>
      <c r="L127" s="28" t="n"/>
      <c r="M127" s="59">
        <f>IF(C127="","",IFERROR(INDEX('6. Base de Custos'!$N$8:$N$42,MATCH(C127,'6. Base de Custos'!$L$8:$L$42,0)),"Não classificado"))</f>
        <v/>
      </c>
      <c r="N127" s="59">
        <f>IF(C127="","",IFERROR(INDEX('6. Base de Custos'!$O$8:$O$42,MATCH(C127,'6. Base de Custos'!$L$8:$L$42,0)),"Revisar"))</f>
        <v/>
      </c>
      <c r="O127" s="60">
        <f>IF(M127="","",IFERROR(VLOOKUP(M127,'6. Base de Custos'!$H$12:$J$18,3,FALSE),0))</f>
        <v/>
      </c>
      <c r="P127" s="59">
        <f>IF(C127="","",IFERROR(INDEX('6. Base de Custos'!$P$8:$P$42,MATCH(C127,'6. Base de Custos'!$L$8:$L$42,0)),"Revisar"))</f>
        <v/>
      </c>
      <c r="Q127" s="59">
        <f>IF(C127="","",IFERROR(INDEX('6. Base de Custos'!$Q$8:$Q$42,MATCH(C127,'6. Base de Custos'!$L$8:$L$42,0)),""))</f>
        <v/>
      </c>
      <c r="R127" s="65">
        <f>IF(C127="","",IFERROR(VLOOKUP(M127&amp;"|"&amp;N127,'17. Mapa DRE CP'!$E$5:$H$100,2,FALSE),"Revisar"))</f>
        <v/>
      </c>
      <c r="S127" s="65">
        <f>IF(C127="","",IFERROR(VLOOKUP(M127&amp;"|"&amp;N127,'17. Mapa DRE CP'!$E$5:$H$100,3,FALSE),"Revisar"))</f>
        <v/>
      </c>
      <c r="T127" s="65">
        <f>IF(C127="","",IF(R127="(-) Custos diretos dos serviços",IF(ISNUMBER(SEARCH("PCMSO",C127)),"PCMSO",IF(OR(ISNUMBER(SEARCH("SGS",C127)),ISNUMBER(SEARCH("CASTRO NAVES",C127))),"Projetos / Laudos / Avulsos","Projetos / Laudos / Avulsos")),"Rateio pela receita bruta"))</f>
        <v/>
      </c>
      <c r="U127" s="65">
        <f>IF(C127="","",IF(R127="(-) Custos diretos dos serviços","Direto por fornecedor/natureza do gasto","Rateio proporcional à receita bruta da linha de serviço"))</f>
        <v/>
      </c>
    </row>
    <row r="128">
      <c r="A128" s="28">
        <f>IF(C128="","", "CP-"&amp;TEXT(ROW()-5,"000"))</f>
        <v/>
      </c>
      <c r="B128" s="27">
        <f>IF(F128="","",DATE(YEAR(F128),MONTH(F128),1))</f>
        <v/>
      </c>
      <c r="C128" s="28" t="n"/>
      <c r="D128" s="28" t="n"/>
      <c r="E128" s="59">
        <f>IF(C128="","",IFERROR(INDEX('6. Base de Custos'!$M$8:$M$42,MATCH(C128,'6. Base de Custos'!$L$8:$L$42,0)),"Não classificado"))</f>
        <v/>
      </c>
      <c r="F128" s="111" t="n"/>
      <c r="G128" s="111" t="n"/>
      <c r="H128" s="111" t="n"/>
      <c r="I128" s="45" t="n"/>
      <c r="J128" s="28" t="n"/>
      <c r="K128" s="28" t="n"/>
      <c r="L128" s="28" t="n"/>
      <c r="M128" s="59">
        <f>IF(C128="","",IFERROR(INDEX('6. Base de Custos'!$N$8:$N$42,MATCH(C128,'6. Base de Custos'!$L$8:$L$42,0)),"Não classificado"))</f>
        <v/>
      </c>
      <c r="N128" s="59">
        <f>IF(C128="","",IFERROR(INDEX('6. Base de Custos'!$O$8:$O$42,MATCH(C128,'6. Base de Custos'!$L$8:$L$42,0)),"Revisar"))</f>
        <v/>
      </c>
      <c r="O128" s="60">
        <f>IF(M128="","",IFERROR(VLOOKUP(M128,'6. Base de Custos'!$H$12:$J$18,3,FALSE),0))</f>
        <v/>
      </c>
      <c r="P128" s="59">
        <f>IF(C128="","",IFERROR(INDEX('6. Base de Custos'!$P$8:$P$42,MATCH(C128,'6. Base de Custos'!$L$8:$L$42,0)),"Revisar"))</f>
        <v/>
      </c>
      <c r="Q128" s="59">
        <f>IF(C128="","",IFERROR(INDEX('6. Base de Custos'!$Q$8:$Q$42,MATCH(C128,'6. Base de Custos'!$L$8:$L$42,0)),""))</f>
        <v/>
      </c>
      <c r="R128" s="65">
        <f>IF(C128="","",IFERROR(VLOOKUP(M128&amp;"|"&amp;N128,'17. Mapa DRE CP'!$E$5:$H$100,2,FALSE),"Revisar"))</f>
        <v/>
      </c>
      <c r="S128" s="65">
        <f>IF(C128="","",IFERROR(VLOOKUP(M128&amp;"|"&amp;N128,'17. Mapa DRE CP'!$E$5:$H$100,3,FALSE),"Revisar"))</f>
        <v/>
      </c>
      <c r="T128" s="65">
        <f>IF(C128="","",IF(R128="(-) Custos diretos dos serviços",IF(ISNUMBER(SEARCH("PCMSO",C128)),"PCMSO",IF(OR(ISNUMBER(SEARCH("SGS",C128)),ISNUMBER(SEARCH("CASTRO NAVES",C128))),"Projetos / Laudos / Avulsos","Projetos / Laudos / Avulsos")),"Rateio pela receita bruta"))</f>
        <v/>
      </c>
      <c r="U128" s="65">
        <f>IF(C128="","",IF(R128="(-) Custos diretos dos serviços","Direto por fornecedor/natureza do gasto","Rateio proporcional à receita bruta da linha de serviço"))</f>
        <v/>
      </c>
    </row>
    <row r="129">
      <c r="A129" s="28">
        <f>IF(C129="","", "CP-"&amp;TEXT(ROW()-5,"000"))</f>
        <v/>
      </c>
      <c r="B129" s="27">
        <f>IF(F129="","",DATE(YEAR(F129),MONTH(F129),1))</f>
        <v/>
      </c>
      <c r="C129" s="28" t="n"/>
      <c r="D129" s="28" t="n"/>
      <c r="E129" s="59">
        <f>IF(C129="","",IFERROR(INDEX('6. Base de Custos'!$M$8:$M$42,MATCH(C129,'6. Base de Custos'!$L$8:$L$42,0)),"Não classificado"))</f>
        <v/>
      </c>
      <c r="F129" s="111" t="n"/>
      <c r="G129" s="111" t="n"/>
      <c r="H129" s="111" t="n"/>
      <c r="I129" s="45" t="n"/>
      <c r="J129" s="28" t="n"/>
      <c r="K129" s="28" t="n"/>
      <c r="L129" s="28" t="n"/>
      <c r="M129" s="59">
        <f>IF(C129="","",IFERROR(INDEX('6. Base de Custos'!$N$8:$N$42,MATCH(C129,'6. Base de Custos'!$L$8:$L$42,0)),"Não classificado"))</f>
        <v/>
      </c>
      <c r="N129" s="59">
        <f>IF(C129="","",IFERROR(INDEX('6. Base de Custos'!$O$8:$O$42,MATCH(C129,'6. Base de Custos'!$L$8:$L$42,0)),"Revisar"))</f>
        <v/>
      </c>
      <c r="O129" s="60">
        <f>IF(M129="","",IFERROR(VLOOKUP(M129,'6. Base de Custos'!$H$12:$J$18,3,FALSE),0))</f>
        <v/>
      </c>
      <c r="P129" s="59">
        <f>IF(C129="","",IFERROR(INDEX('6. Base de Custos'!$P$8:$P$42,MATCH(C129,'6. Base de Custos'!$L$8:$L$42,0)),"Revisar"))</f>
        <v/>
      </c>
      <c r="Q129" s="59">
        <f>IF(C129="","",IFERROR(INDEX('6. Base de Custos'!$Q$8:$Q$42,MATCH(C129,'6. Base de Custos'!$L$8:$L$42,0)),""))</f>
        <v/>
      </c>
      <c r="R129" s="65">
        <f>IF(C129="","",IFERROR(VLOOKUP(M129&amp;"|"&amp;N129,'17. Mapa DRE CP'!$E$5:$H$100,2,FALSE),"Revisar"))</f>
        <v/>
      </c>
      <c r="S129" s="65">
        <f>IF(C129="","",IFERROR(VLOOKUP(M129&amp;"|"&amp;N129,'17. Mapa DRE CP'!$E$5:$H$100,3,FALSE),"Revisar"))</f>
        <v/>
      </c>
      <c r="T129" s="65">
        <f>IF(C129="","",IF(R129="(-) Custos diretos dos serviços",IF(ISNUMBER(SEARCH("PCMSO",C129)),"PCMSO",IF(OR(ISNUMBER(SEARCH("SGS",C129)),ISNUMBER(SEARCH("CASTRO NAVES",C129))),"Projetos / Laudos / Avulsos","Projetos / Laudos / Avulsos")),"Rateio pela receita bruta"))</f>
        <v/>
      </c>
      <c r="U129" s="65">
        <f>IF(C129="","",IF(R129="(-) Custos diretos dos serviços","Direto por fornecedor/natureza do gasto","Rateio proporcional à receita bruta da linha de serviço"))</f>
        <v/>
      </c>
    </row>
    <row r="130">
      <c r="A130" s="28">
        <f>IF(C130="","", "CP-"&amp;TEXT(ROW()-5,"000"))</f>
        <v/>
      </c>
      <c r="B130" s="27">
        <f>IF(F130="","",DATE(YEAR(F130),MONTH(F130),1))</f>
        <v/>
      </c>
      <c r="C130" s="28" t="n"/>
      <c r="D130" s="28" t="n"/>
      <c r="E130" s="59">
        <f>IF(C130="","",IFERROR(INDEX('6. Base de Custos'!$M$8:$M$42,MATCH(C130,'6. Base de Custos'!$L$8:$L$42,0)),"Não classificado"))</f>
        <v/>
      </c>
      <c r="F130" s="111" t="n"/>
      <c r="G130" s="111" t="n"/>
      <c r="H130" s="111" t="n"/>
      <c r="I130" s="45" t="n"/>
      <c r="J130" s="28" t="n"/>
      <c r="K130" s="28" t="n"/>
      <c r="L130" s="28" t="n"/>
      <c r="M130" s="59">
        <f>IF(C130="","",IFERROR(INDEX('6. Base de Custos'!$N$8:$N$42,MATCH(C130,'6. Base de Custos'!$L$8:$L$42,0)),"Não classificado"))</f>
        <v/>
      </c>
      <c r="N130" s="59">
        <f>IF(C130="","",IFERROR(INDEX('6. Base de Custos'!$O$8:$O$42,MATCH(C130,'6. Base de Custos'!$L$8:$L$42,0)),"Revisar"))</f>
        <v/>
      </c>
      <c r="O130" s="60">
        <f>IF(M130="","",IFERROR(VLOOKUP(M130,'6. Base de Custos'!$H$12:$J$18,3,FALSE),0))</f>
        <v/>
      </c>
      <c r="P130" s="59">
        <f>IF(C130="","",IFERROR(INDEX('6. Base de Custos'!$P$8:$P$42,MATCH(C130,'6. Base de Custos'!$L$8:$L$42,0)),"Revisar"))</f>
        <v/>
      </c>
      <c r="Q130" s="59">
        <f>IF(C130="","",IFERROR(INDEX('6. Base de Custos'!$Q$8:$Q$42,MATCH(C130,'6. Base de Custos'!$L$8:$L$42,0)),""))</f>
        <v/>
      </c>
      <c r="R130" s="65">
        <f>IF(C130="","",IFERROR(VLOOKUP(M130&amp;"|"&amp;N130,'17. Mapa DRE CP'!$E$5:$H$100,2,FALSE),"Revisar"))</f>
        <v/>
      </c>
      <c r="S130" s="65">
        <f>IF(C130="","",IFERROR(VLOOKUP(M130&amp;"|"&amp;N130,'17. Mapa DRE CP'!$E$5:$H$100,3,FALSE),"Revisar"))</f>
        <v/>
      </c>
      <c r="T130" s="65">
        <f>IF(C130="","",IF(R130="(-) Custos diretos dos serviços",IF(ISNUMBER(SEARCH("PCMSO",C130)),"PCMSO",IF(OR(ISNUMBER(SEARCH("SGS",C130)),ISNUMBER(SEARCH("CASTRO NAVES",C130))),"Projetos / Laudos / Avulsos","Projetos / Laudos / Avulsos")),"Rateio pela receita bruta"))</f>
        <v/>
      </c>
      <c r="U130" s="65">
        <f>IF(C130="","",IF(R130="(-) Custos diretos dos serviços","Direto por fornecedor/natureza do gasto","Rateio proporcional à receita bruta da linha de serviço"))</f>
        <v/>
      </c>
    </row>
    <row r="131">
      <c r="A131" s="28">
        <f>IF(C131="","", "CP-"&amp;TEXT(ROW()-5,"000"))</f>
        <v/>
      </c>
      <c r="B131" s="27">
        <f>IF(F131="","",DATE(YEAR(F131),MONTH(F131),1))</f>
        <v/>
      </c>
      <c r="C131" s="28" t="n"/>
      <c r="D131" s="28" t="n"/>
      <c r="E131" s="59">
        <f>IF(C131="","",IFERROR(INDEX('6. Base de Custos'!$M$8:$M$42,MATCH(C131,'6. Base de Custos'!$L$8:$L$42,0)),"Não classificado"))</f>
        <v/>
      </c>
      <c r="F131" s="111" t="n"/>
      <c r="G131" s="111" t="n"/>
      <c r="H131" s="111" t="n"/>
      <c r="I131" s="45" t="n"/>
      <c r="J131" s="28" t="n"/>
      <c r="K131" s="28" t="n"/>
      <c r="L131" s="28" t="n"/>
      <c r="M131" s="59">
        <f>IF(C131="","",IFERROR(INDEX('6. Base de Custos'!$N$8:$N$42,MATCH(C131,'6. Base de Custos'!$L$8:$L$42,0)),"Não classificado"))</f>
        <v/>
      </c>
      <c r="N131" s="59">
        <f>IF(C131="","",IFERROR(INDEX('6. Base de Custos'!$O$8:$O$42,MATCH(C131,'6. Base de Custos'!$L$8:$L$42,0)),"Revisar"))</f>
        <v/>
      </c>
      <c r="O131" s="60">
        <f>IF(M131="","",IFERROR(VLOOKUP(M131,'6. Base de Custos'!$H$12:$J$18,3,FALSE),0))</f>
        <v/>
      </c>
      <c r="P131" s="59">
        <f>IF(C131="","",IFERROR(INDEX('6. Base de Custos'!$P$8:$P$42,MATCH(C131,'6. Base de Custos'!$L$8:$L$42,0)),"Revisar"))</f>
        <v/>
      </c>
      <c r="Q131" s="59">
        <f>IF(C131="","",IFERROR(INDEX('6. Base de Custos'!$Q$8:$Q$42,MATCH(C131,'6. Base de Custos'!$L$8:$L$42,0)),""))</f>
        <v/>
      </c>
      <c r="R131" s="65">
        <f>IF(C131="","",IFERROR(VLOOKUP(M131&amp;"|"&amp;N131,'17. Mapa DRE CP'!$E$5:$H$100,2,FALSE),"Revisar"))</f>
        <v/>
      </c>
      <c r="S131" s="65">
        <f>IF(C131="","",IFERROR(VLOOKUP(M131&amp;"|"&amp;N131,'17. Mapa DRE CP'!$E$5:$H$100,3,FALSE),"Revisar"))</f>
        <v/>
      </c>
      <c r="T131" s="65">
        <f>IF(C131="","",IF(R131="(-) Custos diretos dos serviços",IF(ISNUMBER(SEARCH("PCMSO",C131)),"PCMSO",IF(OR(ISNUMBER(SEARCH("SGS",C131)),ISNUMBER(SEARCH("CASTRO NAVES",C131))),"Projetos / Laudos / Avulsos","Projetos / Laudos / Avulsos")),"Rateio pela receita bruta"))</f>
        <v/>
      </c>
      <c r="U131" s="65">
        <f>IF(C131="","",IF(R131="(-) Custos diretos dos serviços","Direto por fornecedor/natureza do gasto","Rateio proporcional à receita bruta da linha de serviço"))</f>
        <v/>
      </c>
    </row>
    <row r="132">
      <c r="A132" s="28">
        <f>IF(C132="","", "CP-"&amp;TEXT(ROW()-5,"000"))</f>
        <v/>
      </c>
      <c r="B132" s="27">
        <f>IF(F132="","",DATE(YEAR(F132),MONTH(F132),1))</f>
        <v/>
      </c>
      <c r="C132" s="28" t="n"/>
      <c r="D132" s="28" t="n"/>
      <c r="E132" s="59">
        <f>IF(C132="","",IFERROR(INDEX('6. Base de Custos'!$M$8:$M$42,MATCH(C132,'6. Base de Custos'!$L$8:$L$42,0)),"Não classificado"))</f>
        <v/>
      </c>
      <c r="F132" s="111" t="n"/>
      <c r="G132" s="111" t="n"/>
      <c r="H132" s="111" t="n"/>
      <c r="I132" s="45" t="n"/>
      <c r="J132" s="28" t="n"/>
      <c r="K132" s="28" t="n"/>
      <c r="L132" s="28" t="n"/>
      <c r="M132" s="59">
        <f>IF(C132="","",IFERROR(INDEX('6. Base de Custos'!$N$8:$N$42,MATCH(C132,'6. Base de Custos'!$L$8:$L$42,0)),"Não classificado"))</f>
        <v/>
      </c>
      <c r="N132" s="59">
        <f>IF(C132="","",IFERROR(INDEX('6. Base de Custos'!$O$8:$O$42,MATCH(C132,'6. Base de Custos'!$L$8:$L$42,0)),"Revisar"))</f>
        <v/>
      </c>
      <c r="O132" s="60">
        <f>IF(M132="","",IFERROR(VLOOKUP(M132,'6. Base de Custos'!$H$12:$J$18,3,FALSE),0))</f>
        <v/>
      </c>
      <c r="P132" s="59">
        <f>IF(C132="","",IFERROR(INDEX('6. Base de Custos'!$P$8:$P$42,MATCH(C132,'6. Base de Custos'!$L$8:$L$42,0)),"Revisar"))</f>
        <v/>
      </c>
      <c r="Q132" s="59">
        <f>IF(C132="","",IFERROR(INDEX('6. Base de Custos'!$Q$8:$Q$42,MATCH(C132,'6. Base de Custos'!$L$8:$L$42,0)),""))</f>
        <v/>
      </c>
      <c r="R132" s="65">
        <f>IF(C132="","",IFERROR(VLOOKUP(M132&amp;"|"&amp;N132,'17. Mapa DRE CP'!$E$5:$H$100,2,FALSE),"Revisar"))</f>
        <v/>
      </c>
      <c r="S132" s="65">
        <f>IF(C132="","",IFERROR(VLOOKUP(M132&amp;"|"&amp;N132,'17. Mapa DRE CP'!$E$5:$H$100,3,FALSE),"Revisar"))</f>
        <v/>
      </c>
      <c r="T132" s="65">
        <f>IF(C132="","",IF(R132="(-) Custos diretos dos serviços",IF(ISNUMBER(SEARCH("PCMSO",C132)),"PCMSO",IF(OR(ISNUMBER(SEARCH("SGS",C132)),ISNUMBER(SEARCH("CASTRO NAVES",C132))),"Projetos / Laudos / Avulsos","Projetos / Laudos / Avulsos")),"Rateio pela receita bruta"))</f>
        <v/>
      </c>
      <c r="U132" s="65">
        <f>IF(C132="","",IF(R132="(-) Custos diretos dos serviços","Direto por fornecedor/natureza do gasto","Rateio proporcional à receita bruta da linha de serviço"))</f>
        <v/>
      </c>
    </row>
    <row r="133">
      <c r="A133" s="28">
        <f>IF(C133="","", "CP-"&amp;TEXT(ROW()-5,"000"))</f>
        <v/>
      </c>
      <c r="B133" s="27">
        <f>IF(F133="","",DATE(YEAR(F133),MONTH(F133),1))</f>
        <v/>
      </c>
      <c r="C133" s="28" t="n"/>
      <c r="D133" s="28" t="n"/>
      <c r="E133" s="59">
        <f>IF(C133="","",IFERROR(INDEX('6. Base de Custos'!$M$8:$M$42,MATCH(C133,'6. Base de Custos'!$L$8:$L$42,0)),"Não classificado"))</f>
        <v/>
      </c>
      <c r="F133" s="111" t="n"/>
      <c r="G133" s="111" t="n"/>
      <c r="H133" s="111" t="n"/>
      <c r="I133" s="45" t="n"/>
      <c r="J133" s="28" t="n"/>
      <c r="K133" s="28" t="n"/>
      <c r="L133" s="28" t="n"/>
      <c r="M133" s="59">
        <f>IF(C133="","",IFERROR(INDEX('6. Base de Custos'!$N$8:$N$42,MATCH(C133,'6. Base de Custos'!$L$8:$L$42,0)),"Não classificado"))</f>
        <v/>
      </c>
      <c r="N133" s="59">
        <f>IF(C133="","",IFERROR(INDEX('6. Base de Custos'!$O$8:$O$42,MATCH(C133,'6. Base de Custos'!$L$8:$L$42,0)),"Revisar"))</f>
        <v/>
      </c>
      <c r="O133" s="60">
        <f>IF(M133="","",IFERROR(VLOOKUP(M133,'6. Base de Custos'!$H$12:$J$18,3,FALSE),0))</f>
        <v/>
      </c>
      <c r="P133" s="59">
        <f>IF(C133="","",IFERROR(INDEX('6. Base de Custos'!$P$8:$P$42,MATCH(C133,'6. Base de Custos'!$L$8:$L$42,0)),"Revisar"))</f>
        <v/>
      </c>
      <c r="Q133" s="59">
        <f>IF(C133="","",IFERROR(INDEX('6. Base de Custos'!$Q$8:$Q$42,MATCH(C133,'6. Base de Custos'!$L$8:$L$42,0)),""))</f>
        <v/>
      </c>
      <c r="R133" s="65">
        <f>IF(C133="","",IFERROR(VLOOKUP(M133&amp;"|"&amp;N133,'17. Mapa DRE CP'!$E$5:$H$100,2,FALSE),"Revisar"))</f>
        <v/>
      </c>
      <c r="S133" s="65">
        <f>IF(C133="","",IFERROR(VLOOKUP(M133&amp;"|"&amp;N133,'17. Mapa DRE CP'!$E$5:$H$100,3,FALSE),"Revisar"))</f>
        <v/>
      </c>
      <c r="T133" s="65">
        <f>IF(C133="","",IF(R133="(-) Custos diretos dos serviços",IF(ISNUMBER(SEARCH("PCMSO",C133)),"PCMSO",IF(OR(ISNUMBER(SEARCH("SGS",C133)),ISNUMBER(SEARCH("CASTRO NAVES",C133))),"Projetos / Laudos / Avulsos","Projetos / Laudos / Avulsos")),"Rateio pela receita bruta"))</f>
        <v/>
      </c>
      <c r="U133" s="65">
        <f>IF(C133="","",IF(R133="(-) Custos diretos dos serviços","Direto por fornecedor/natureza do gasto","Rateio proporcional à receita bruta da linha de serviço"))</f>
        <v/>
      </c>
    </row>
    <row r="134">
      <c r="A134" s="28">
        <f>IF(C134="","", "CP-"&amp;TEXT(ROW()-5,"000"))</f>
        <v/>
      </c>
      <c r="B134" s="27">
        <f>IF(F134="","",DATE(YEAR(F134),MONTH(F134),1))</f>
        <v/>
      </c>
      <c r="C134" s="28" t="n"/>
      <c r="D134" s="28" t="n"/>
      <c r="E134" s="59">
        <f>IF(C134="","",IFERROR(INDEX('6. Base de Custos'!$M$8:$M$42,MATCH(C134,'6. Base de Custos'!$L$8:$L$42,0)),"Não classificado"))</f>
        <v/>
      </c>
      <c r="F134" s="111" t="n"/>
      <c r="G134" s="111" t="n"/>
      <c r="H134" s="111" t="n"/>
      <c r="I134" s="45" t="n"/>
      <c r="J134" s="28" t="n"/>
      <c r="K134" s="28" t="n"/>
      <c r="L134" s="28" t="n"/>
      <c r="M134" s="59">
        <f>IF(C134="","",IFERROR(INDEX('6. Base de Custos'!$N$8:$N$42,MATCH(C134,'6. Base de Custos'!$L$8:$L$42,0)),"Não classificado"))</f>
        <v/>
      </c>
      <c r="N134" s="59">
        <f>IF(C134="","",IFERROR(INDEX('6. Base de Custos'!$O$8:$O$42,MATCH(C134,'6. Base de Custos'!$L$8:$L$42,0)),"Revisar"))</f>
        <v/>
      </c>
      <c r="O134" s="60">
        <f>IF(M134="","",IFERROR(VLOOKUP(M134,'6. Base de Custos'!$H$12:$J$18,3,FALSE),0))</f>
        <v/>
      </c>
      <c r="P134" s="59">
        <f>IF(C134="","",IFERROR(INDEX('6. Base de Custos'!$P$8:$P$42,MATCH(C134,'6. Base de Custos'!$L$8:$L$42,0)),"Revisar"))</f>
        <v/>
      </c>
      <c r="Q134" s="59">
        <f>IF(C134="","",IFERROR(INDEX('6. Base de Custos'!$Q$8:$Q$42,MATCH(C134,'6. Base de Custos'!$L$8:$L$42,0)),""))</f>
        <v/>
      </c>
      <c r="R134" s="65">
        <f>IF(C134="","",IFERROR(VLOOKUP(M134&amp;"|"&amp;N134,'17. Mapa DRE CP'!$E$5:$H$100,2,FALSE),"Revisar"))</f>
        <v/>
      </c>
      <c r="S134" s="65">
        <f>IF(C134="","",IFERROR(VLOOKUP(M134&amp;"|"&amp;N134,'17. Mapa DRE CP'!$E$5:$H$100,3,FALSE),"Revisar"))</f>
        <v/>
      </c>
      <c r="T134" s="65">
        <f>IF(C134="","",IF(R134="(-) Custos diretos dos serviços",IF(ISNUMBER(SEARCH("PCMSO",C134)),"PCMSO",IF(OR(ISNUMBER(SEARCH("SGS",C134)),ISNUMBER(SEARCH("CASTRO NAVES",C134))),"Projetos / Laudos / Avulsos","Projetos / Laudos / Avulsos")),"Rateio pela receita bruta"))</f>
        <v/>
      </c>
      <c r="U134" s="65">
        <f>IF(C134="","",IF(R134="(-) Custos diretos dos serviços","Direto por fornecedor/natureza do gasto","Rateio proporcional à receita bruta da linha de serviço"))</f>
        <v/>
      </c>
    </row>
    <row r="135">
      <c r="A135" s="28">
        <f>IF(C135="","", "CP-"&amp;TEXT(ROW()-5,"000"))</f>
        <v/>
      </c>
      <c r="B135" s="27">
        <f>IF(F135="","",DATE(YEAR(F135),MONTH(F135),1))</f>
        <v/>
      </c>
      <c r="C135" s="28" t="n"/>
      <c r="D135" s="28" t="n"/>
      <c r="E135" s="59">
        <f>IF(C135="","",IFERROR(INDEX('6. Base de Custos'!$M$8:$M$42,MATCH(C135,'6. Base de Custos'!$L$8:$L$42,0)),"Não classificado"))</f>
        <v/>
      </c>
      <c r="F135" s="111" t="n"/>
      <c r="G135" s="111" t="n"/>
      <c r="H135" s="111" t="n"/>
      <c r="I135" s="45" t="n"/>
      <c r="J135" s="28" t="n"/>
      <c r="K135" s="28" t="n"/>
      <c r="L135" s="28" t="n"/>
      <c r="M135" s="59">
        <f>IF(C135="","",IFERROR(INDEX('6. Base de Custos'!$N$8:$N$42,MATCH(C135,'6. Base de Custos'!$L$8:$L$42,0)),"Não classificado"))</f>
        <v/>
      </c>
      <c r="N135" s="59">
        <f>IF(C135="","",IFERROR(INDEX('6. Base de Custos'!$O$8:$O$42,MATCH(C135,'6. Base de Custos'!$L$8:$L$42,0)),"Revisar"))</f>
        <v/>
      </c>
      <c r="O135" s="60">
        <f>IF(M135="","",IFERROR(VLOOKUP(M135,'6. Base de Custos'!$H$12:$J$18,3,FALSE),0))</f>
        <v/>
      </c>
      <c r="P135" s="59">
        <f>IF(C135="","",IFERROR(INDEX('6. Base de Custos'!$P$8:$P$42,MATCH(C135,'6. Base de Custos'!$L$8:$L$42,0)),"Revisar"))</f>
        <v/>
      </c>
      <c r="Q135" s="59">
        <f>IF(C135="","",IFERROR(INDEX('6. Base de Custos'!$Q$8:$Q$42,MATCH(C135,'6. Base de Custos'!$L$8:$L$42,0)),""))</f>
        <v/>
      </c>
      <c r="R135" s="65">
        <f>IF(C135="","",IFERROR(VLOOKUP(M135&amp;"|"&amp;N135,'17. Mapa DRE CP'!$E$5:$H$100,2,FALSE),"Revisar"))</f>
        <v/>
      </c>
      <c r="S135" s="65">
        <f>IF(C135="","",IFERROR(VLOOKUP(M135&amp;"|"&amp;N135,'17. Mapa DRE CP'!$E$5:$H$100,3,FALSE),"Revisar"))</f>
        <v/>
      </c>
      <c r="T135" s="65">
        <f>IF(C135="","",IF(R135="(-) Custos diretos dos serviços",IF(ISNUMBER(SEARCH("PCMSO",C135)),"PCMSO",IF(OR(ISNUMBER(SEARCH("SGS",C135)),ISNUMBER(SEARCH("CASTRO NAVES",C135))),"Projetos / Laudos / Avulsos","Projetos / Laudos / Avulsos")),"Rateio pela receita bruta"))</f>
        <v/>
      </c>
      <c r="U135" s="65">
        <f>IF(C135="","",IF(R135="(-) Custos diretos dos serviços","Direto por fornecedor/natureza do gasto","Rateio proporcional à receita bruta da linha de serviço"))</f>
        <v/>
      </c>
    </row>
    <row r="136">
      <c r="A136" s="28">
        <f>IF(C136="","", "CP-"&amp;TEXT(ROW()-5,"000"))</f>
        <v/>
      </c>
      <c r="B136" s="27">
        <f>IF(F136="","",DATE(YEAR(F136),MONTH(F136),1))</f>
        <v/>
      </c>
      <c r="C136" s="28" t="n"/>
      <c r="D136" s="28" t="n"/>
      <c r="E136" s="59">
        <f>IF(C136="","",IFERROR(INDEX('6. Base de Custos'!$M$8:$M$42,MATCH(C136,'6. Base de Custos'!$L$8:$L$42,0)),"Não classificado"))</f>
        <v/>
      </c>
      <c r="F136" s="111" t="n"/>
      <c r="G136" s="111" t="n"/>
      <c r="H136" s="111" t="n"/>
      <c r="I136" s="45" t="n"/>
      <c r="J136" s="28" t="n"/>
      <c r="K136" s="28" t="n"/>
      <c r="L136" s="28" t="n"/>
      <c r="M136" s="59">
        <f>IF(C136="","",IFERROR(INDEX('6. Base de Custos'!$N$8:$N$42,MATCH(C136,'6. Base de Custos'!$L$8:$L$42,0)),"Não classificado"))</f>
        <v/>
      </c>
      <c r="N136" s="59">
        <f>IF(C136="","",IFERROR(INDEX('6. Base de Custos'!$O$8:$O$42,MATCH(C136,'6. Base de Custos'!$L$8:$L$42,0)),"Revisar"))</f>
        <v/>
      </c>
      <c r="O136" s="60">
        <f>IF(M136="","",IFERROR(VLOOKUP(M136,'6. Base de Custos'!$H$12:$J$18,3,FALSE),0))</f>
        <v/>
      </c>
      <c r="P136" s="59">
        <f>IF(C136="","",IFERROR(INDEX('6. Base de Custos'!$P$8:$P$42,MATCH(C136,'6. Base de Custos'!$L$8:$L$42,0)),"Revisar"))</f>
        <v/>
      </c>
      <c r="Q136" s="59">
        <f>IF(C136="","",IFERROR(INDEX('6. Base de Custos'!$Q$8:$Q$42,MATCH(C136,'6. Base de Custos'!$L$8:$L$42,0)),""))</f>
        <v/>
      </c>
      <c r="R136" s="65">
        <f>IF(C136="","",IFERROR(VLOOKUP(M136&amp;"|"&amp;N136,'17. Mapa DRE CP'!$E$5:$H$100,2,FALSE),"Revisar"))</f>
        <v/>
      </c>
      <c r="S136" s="65">
        <f>IF(C136="","",IFERROR(VLOOKUP(M136&amp;"|"&amp;N136,'17. Mapa DRE CP'!$E$5:$H$100,3,FALSE),"Revisar"))</f>
        <v/>
      </c>
      <c r="T136" s="65">
        <f>IF(C136="","",IF(R136="(-) Custos diretos dos serviços",IF(ISNUMBER(SEARCH("PCMSO",C136)),"PCMSO",IF(OR(ISNUMBER(SEARCH("SGS",C136)),ISNUMBER(SEARCH("CASTRO NAVES",C136))),"Projetos / Laudos / Avulsos","Projetos / Laudos / Avulsos")),"Rateio pela receita bruta"))</f>
        <v/>
      </c>
      <c r="U136" s="65">
        <f>IF(C136="","",IF(R136="(-) Custos diretos dos serviços","Direto por fornecedor/natureza do gasto","Rateio proporcional à receita bruta da linha de serviço"))</f>
        <v/>
      </c>
    </row>
    <row r="137">
      <c r="A137" s="28">
        <f>IF(C137="","", "CP-"&amp;TEXT(ROW()-5,"000"))</f>
        <v/>
      </c>
      <c r="B137" s="27">
        <f>IF(F137="","",DATE(YEAR(F137),MONTH(F137),1))</f>
        <v/>
      </c>
      <c r="C137" s="28" t="n"/>
      <c r="D137" s="28" t="n"/>
      <c r="E137" s="59">
        <f>IF(C137="","",IFERROR(INDEX('6. Base de Custos'!$M$8:$M$42,MATCH(C137,'6. Base de Custos'!$L$8:$L$42,0)),"Não classificado"))</f>
        <v/>
      </c>
      <c r="F137" s="111" t="n"/>
      <c r="G137" s="111" t="n"/>
      <c r="H137" s="111" t="n"/>
      <c r="I137" s="45" t="n"/>
      <c r="J137" s="28" t="n"/>
      <c r="K137" s="28" t="n"/>
      <c r="L137" s="28" t="n"/>
      <c r="M137" s="59">
        <f>IF(C137="","",IFERROR(INDEX('6. Base de Custos'!$N$8:$N$42,MATCH(C137,'6. Base de Custos'!$L$8:$L$42,0)),"Não classificado"))</f>
        <v/>
      </c>
      <c r="N137" s="59">
        <f>IF(C137="","",IFERROR(INDEX('6. Base de Custos'!$O$8:$O$42,MATCH(C137,'6. Base de Custos'!$L$8:$L$42,0)),"Revisar"))</f>
        <v/>
      </c>
      <c r="O137" s="60">
        <f>IF(M137="","",IFERROR(VLOOKUP(M137,'6. Base de Custos'!$H$12:$J$18,3,FALSE),0))</f>
        <v/>
      </c>
      <c r="P137" s="59">
        <f>IF(C137="","",IFERROR(INDEX('6. Base de Custos'!$P$8:$P$42,MATCH(C137,'6. Base de Custos'!$L$8:$L$42,0)),"Revisar"))</f>
        <v/>
      </c>
      <c r="Q137" s="59">
        <f>IF(C137="","",IFERROR(INDEX('6. Base de Custos'!$Q$8:$Q$42,MATCH(C137,'6. Base de Custos'!$L$8:$L$42,0)),""))</f>
        <v/>
      </c>
      <c r="R137" s="65">
        <f>IF(C137="","",IFERROR(VLOOKUP(M137&amp;"|"&amp;N137,'17. Mapa DRE CP'!$E$5:$H$100,2,FALSE),"Revisar"))</f>
        <v/>
      </c>
      <c r="S137" s="65">
        <f>IF(C137="","",IFERROR(VLOOKUP(M137&amp;"|"&amp;N137,'17. Mapa DRE CP'!$E$5:$H$100,3,FALSE),"Revisar"))</f>
        <v/>
      </c>
      <c r="T137" s="65">
        <f>IF(C137="","",IF(R137="(-) Custos diretos dos serviços",IF(ISNUMBER(SEARCH("PCMSO",C137)),"PCMSO",IF(OR(ISNUMBER(SEARCH("SGS",C137)),ISNUMBER(SEARCH("CASTRO NAVES",C137))),"Projetos / Laudos / Avulsos","Projetos / Laudos / Avulsos")),"Rateio pela receita bruta"))</f>
        <v/>
      </c>
      <c r="U137" s="65">
        <f>IF(C137="","",IF(R137="(-) Custos diretos dos serviços","Direto por fornecedor/natureza do gasto","Rateio proporcional à receita bruta da linha de serviço"))</f>
        <v/>
      </c>
    </row>
    <row r="138">
      <c r="A138" s="28">
        <f>IF(C138="","", "CP-"&amp;TEXT(ROW()-5,"000"))</f>
        <v/>
      </c>
      <c r="B138" s="27">
        <f>IF(F138="","",DATE(YEAR(F138),MONTH(F138),1))</f>
        <v/>
      </c>
      <c r="C138" s="28" t="n"/>
      <c r="D138" s="28" t="n"/>
      <c r="E138" s="59">
        <f>IF(C138="","",IFERROR(INDEX('6. Base de Custos'!$M$8:$M$42,MATCH(C138,'6. Base de Custos'!$L$8:$L$42,0)),"Não classificado"))</f>
        <v/>
      </c>
      <c r="F138" s="111" t="n"/>
      <c r="G138" s="111" t="n"/>
      <c r="H138" s="111" t="n"/>
      <c r="I138" s="45" t="n"/>
      <c r="J138" s="28" t="n"/>
      <c r="K138" s="28" t="n"/>
      <c r="L138" s="28" t="n"/>
      <c r="M138" s="59">
        <f>IF(C138="","",IFERROR(INDEX('6. Base de Custos'!$N$8:$N$42,MATCH(C138,'6. Base de Custos'!$L$8:$L$42,0)),"Não classificado"))</f>
        <v/>
      </c>
      <c r="N138" s="59">
        <f>IF(C138="","",IFERROR(INDEX('6. Base de Custos'!$O$8:$O$42,MATCH(C138,'6. Base de Custos'!$L$8:$L$42,0)),"Revisar"))</f>
        <v/>
      </c>
      <c r="O138" s="60">
        <f>IF(M138="","",IFERROR(VLOOKUP(M138,'6. Base de Custos'!$H$12:$J$18,3,FALSE),0))</f>
        <v/>
      </c>
      <c r="P138" s="59">
        <f>IF(C138="","",IFERROR(INDEX('6. Base de Custos'!$P$8:$P$42,MATCH(C138,'6. Base de Custos'!$L$8:$L$42,0)),"Revisar"))</f>
        <v/>
      </c>
      <c r="Q138" s="59">
        <f>IF(C138="","",IFERROR(INDEX('6. Base de Custos'!$Q$8:$Q$42,MATCH(C138,'6. Base de Custos'!$L$8:$L$42,0)),""))</f>
        <v/>
      </c>
      <c r="R138" s="65">
        <f>IF(C138="","",IFERROR(VLOOKUP(M138&amp;"|"&amp;N138,'17. Mapa DRE CP'!$E$5:$H$100,2,FALSE),"Revisar"))</f>
        <v/>
      </c>
      <c r="S138" s="65">
        <f>IF(C138="","",IFERROR(VLOOKUP(M138&amp;"|"&amp;N138,'17. Mapa DRE CP'!$E$5:$H$100,3,FALSE),"Revisar"))</f>
        <v/>
      </c>
      <c r="T138" s="65">
        <f>IF(C138="","",IF(R138="(-) Custos diretos dos serviços",IF(ISNUMBER(SEARCH("PCMSO",C138)),"PCMSO",IF(OR(ISNUMBER(SEARCH("SGS",C138)),ISNUMBER(SEARCH("CASTRO NAVES",C138))),"Projetos / Laudos / Avulsos","Projetos / Laudos / Avulsos")),"Rateio pela receita bruta"))</f>
        <v/>
      </c>
      <c r="U138" s="65">
        <f>IF(C138="","",IF(R138="(-) Custos diretos dos serviços","Direto por fornecedor/natureza do gasto","Rateio proporcional à receita bruta da linha de serviço"))</f>
        <v/>
      </c>
    </row>
    <row r="139">
      <c r="A139" s="28">
        <f>IF(C139="","", "CP-"&amp;TEXT(ROW()-5,"000"))</f>
        <v/>
      </c>
      <c r="B139" s="27">
        <f>IF(F139="","",DATE(YEAR(F139),MONTH(F139),1))</f>
        <v/>
      </c>
      <c r="C139" s="28" t="n"/>
      <c r="D139" s="28" t="n"/>
      <c r="E139" s="59">
        <f>IF(C139="","",IFERROR(INDEX('6. Base de Custos'!$M$8:$M$42,MATCH(C139,'6. Base de Custos'!$L$8:$L$42,0)),"Não classificado"))</f>
        <v/>
      </c>
      <c r="F139" s="111" t="n"/>
      <c r="G139" s="111" t="n"/>
      <c r="H139" s="111" t="n"/>
      <c r="I139" s="45" t="n"/>
      <c r="J139" s="28" t="n"/>
      <c r="K139" s="28" t="n"/>
      <c r="L139" s="28" t="n"/>
      <c r="M139" s="59">
        <f>IF(C139="","",IFERROR(INDEX('6. Base de Custos'!$N$8:$N$42,MATCH(C139,'6. Base de Custos'!$L$8:$L$42,0)),"Não classificado"))</f>
        <v/>
      </c>
      <c r="N139" s="59">
        <f>IF(C139="","",IFERROR(INDEX('6. Base de Custos'!$O$8:$O$42,MATCH(C139,'6. Base de Custos'!$L$8:$L$42,0)),"Revisar"))</f>
        <v/>
      </c>
      <c r="O139" s="60">
        <f>IF(M139="","",IFERROR(VLOOKUP(M139,'6. Base de Custos'!$H$12:$J$18,3,FALSE),0))</f>
        <v/>
      </c>
      <c r="P139" s="59">
        <f>IF(C139="","",IFERROR(INDEX('6. Base de Custos'!$P$8:$P$42,MATCH(C139,'6. Base de Custos'!$L$8:$L$42,0)),"Revisar"))</f>
        <v/>
      </c>
      <c r="Q139" s="59">
        <f>IF(C139="","",IFERROR(INDEX('6. Base de Custos'!$Q$8:$Q$42,MATCH(C139,'6. Base de Custos'!$L$8:$L$42,0)),""))</f>
        <v/>
      </c>
      <c r="R139" s="65">
        <f>IF(C139="","",IFERROR(VLOOKUP(M139&amp;"|"&amp;N139,'17. Mapa DRE CP'!$E$5:$H$100,2,FALSE),"Revisar"))</f>
        <v/>
      </c>
      <c r="S139" s="65">
        <f>IF(C139="","",IFERROR(VLOOKUP(M139&amp;"|"&amp;N139,'17. Mapa DRE CP'!$E$5:$H$100,3,FALSE),"Revisar"))</f>
        <v/>
      </c>
      <c r="T139" s="65">
        <f>IF(C139="","",IF(R139="(-) Custos diretos dos serviços",IF(ISNUMBER(SEARCH("PCMSO",C139)),"PCMSO",IF(OR(ISNUMBER(SEARCH("SGS",C139)),ISNUMBER(SEARCH("CASTRO NAVES",C139))),"Projetos / Laudos / Avulsos","Projetos / Laudos / Avulsos")),"Rateio pela receita bruta"))</f>
        <v/>
      </c>
      <c r="U139" s="65">
        <f>IF(C139="","",IF(R139="(-) Custos diretos dos serviços","Direto por fornecedor/natureza do gasto","Rateio proporcional à receita bruta da linha de serviço"))</f>
        <v/>
      </c>
    </row>
    <row r="140">
      <c r="A140" s="28">
        <f>IF(C140="","", "CP-"&amp;TEXT(ROW()-5,"000"))</f>
        <v/>
      </c>
      <c r="B140" s="27">
        <f>IF(F140="","",DATE(YEAR(F140),MONTH(F140),1))</f>
        <v/>
      </c>
      <c r="C140" s="28" t="n"/>
      <c r="D140" s="28" t="n"/>
      <c r="E140" s="59">
        <f>IF(C140="","",IFERROR(INDEX('6. Base de Custos'!$M$8:$M$42,MATCH(C140,'6. Base de Custos'!$L$8:$L$42,0)),"Não classificado"))</f>
        <v/>
      </c>
      <c r="F140" s="111" t="n"/>
      <c r="G140" s="111" t="n"/>
      <c r="H140" s="111" t="n"/>
      <c r="I140" s="45" t="n"/>
      <c r="J140" s="28" t="n"/>
      <c r="K140" s="28" t="n"/>
      <c r="L140" s="28" t="n"/>
      <c r="M140" s="59">
        <f>IF(C140="","",IFERROR(INDEX('6. Base de Custos'!$N$8:$N$42,MATCH(C140,'6. Base de Custos'!$L$8:$L$42,0)),"Não classificado"))</f>
        <v/>
      </c>
      <c r="N140" s="59">
        <f>IF(C140="","",IFERROR(INDEX('6. Base de Custos'!$O$8:$O$42,MATCH(C140,'6. Base de Custos'!$L$8:$L$42,0)),"Revisar"))</f>
        <v/>
      </c>
      <c r="O140" s="60">
        <f>IF(M140="","",IFERROR(VLOOKUP(M140,'6. Base de Custos'!$H$12:$J$18,3,FALSE),0))</f>
        <v/>
      </c>
      <c r="P140" s="59">
        <f>IF(C140="","",IFERROR(INDEX('6. Base de Custos'!$P$8:$P$42,MATCH(C140,'6. Base de Custos'!$L$8:$L$42,0)),"Revisar"))</f>
        <v/>
      </c>
      <c r="Q140" s="59">
        <f>IF(C140="","",IFERROR(INDEX('6. Base de Custos'!$Q$8:$Q$42,MATCH(C140,'6. Base de Custos'!$L$8:$L$42,0)),""))</f>
        <v/>
      </c>
      <c r="R140" s="65">
        <f>IF(C140="","",IFERROR(VLOOKUP(M140&amp;"|"&amp;N140,'17. Mapa DRE CP'!$E$5:$H$100,2,FALSE),"Revisar"))</f>
        <v/>
      </c>
      <c r="S140" s="65">
        <f>IF(C140="","",IFERROR(VLOOKUP(M140&amp;"|"&amp;N140,'17. Mapa DRE CP'!$E$5:$H$100,3,FALSE),"Revisar"))</f>
        <v/>
      </c>
      <c r="T140" s="65">
        <f>IF(C140="","",IF(R140="(-) Custos diretos dos serviços",IF(ISNUMBER(SEARCH("PCMSO",C140)),"PCMSO",IF(OR(ISNUMBER(SEARCH("SGS",C140)),ISNUMBER(SEARCH("CASTRO NAVES",C140))),"Projetos / Laudos / Avulsos","Projetos / Laudos / Avulsos")),"Rateio pela receita bruta"))</f>
        <v/>
      </c>
      <c r="U140" s="65">
        <f>IF(C140="","",IF(R140="(-) Custos diretos dos serviços","Direto por fornecedor/natureza do gasto","Rateio proporcional à receita bruta da linha de serviço"))</f>
        <v/>
      </c>
    </row>
    <row r="141">
      <c r="A141" s="28">
        <f>IF(C141="","", "CP-"&amp;TEXT(ROW()-5,"000"))</f>
        <v/>
      </c>
      <c r="B141" s="27">
        <f>IF(F141="","",DATE(YEAR(F141),MONTH(F141),1))</f>
        <v/>
      </c>
      <c r="C141" s="28" t="n"/>
      <c r="D141" s="28" t="n"/>
      <c r="E141" s="59">
        <f>IF(C141="","",IFERROR(INDEX('6. Base de Custos'!$M$8:$M$42,MATCH(C141,'6. Base de Custos'!$L$8:$L$42,0)),"Não classificado"))</f>
        <v/>
      </c>
      <c r="F141" s="111" t="n"/>
      <c r="G141" s="111" t="n"/>
      <c r="H141" s="111" t="n"/>
      <c r="I141" s="45" t="n"/>
      <c r="J141" s="28" t="n"/>
      <c r="K141" s="28" t="n"/>
      <c r="L141" s="28" t="n"/>
      <c r="M141" s="59">
        <f>IF(C141="","",IFERROR(INDEX('6. Base de Custos'!$N$8:$N$42,MATCH(C141,'6. Base de Custos'!$L$8:$L$42,0)),"Não classificado"))</f>
        <v/>
      </c>
      <c r="N141" s="59">
        <f>IF(C141="","",IFERROR(INDEX('6. Base de Custos'!$O$8:$O$42,MATCH(C141,'6. Base de Custos'!$L$8:$L$42,0)),"Revisar"))</f>
        <v/>
      </c>
      <c r="O141" s="60">
        <f>IF(M141="","",IFERROR(VLOOKUP(M141,'6. Base de Custos'!$H$12:$J$18,3,FALSE),0))</f>
        <v/>
      </c>
      <c r="P141" s="59">
        <f>IF(C141="","",IFERROR(INDEX('6. Base de Custos'!$P$8:$P$42,MATCH(C141,'6. Base de Custos'!$L$8:$L$42,0)),"Revisar"))</f>
        <v/>
      </c>
      <c r="Q141" s="59">
        <f>IF(C141="","",IFERROR(INDEX('6. Base de Custos'!$Q$8:$Q$42,MATCH(C141,'6. Base de Custos'!$L$8:$L$42,0)),""))</f>
        <v/>
      </c>
      <c r="R141" s="65">
        <f>IF(C141="","",IFERROR(VLOOKUP(M141&amp;"|"&amp;N141,'17. Mapa DRE CP'!$E$5:$H$100,2,FALSE),"Revisar"))</f>
        <v/>
      </c>
      <c r="S141" s="65">
        <f>IF(C141="","",IFERROR(VLOOKUP(M141&amp;"|"&amp;N141,'17. Mapa DRE CP'!$E$5:$H$100,3,FALSE),"Revisar"))</f>
        <v/>
      </c>
      <c r="T141" s="65">
        <f>IF(C141="","",IF(R141="(-) Custos diretos dos serviços",IF(ISNUMBER(SEARCH("PCMSO",C141)),"PCMSO",IF(OR(ISNUMBER(SEARCH("SGS",C141)),ISNUMBER(SEARCH("CASTRO NAVES",C141))),"Projetos / Laudos / Avulsos","Projetos / Laudos / Avulsos")),"Rateio pela receita bruta"))</f>
        <v/>
      </c>
      <c r="U141" s="65">
        <f>IF(C141="","",IF(R141="(-) Custos diretos dos serviços","Direto por fornecedor/natureza do gasto","Rateio proporcional à receita bruta da linha de serviço"))</f>
        <v/>
      </c>
    </row>
    <row r="142">
      <c r="A142" s="28">
        <f>IF(C142="","", "CP-"&amp;TEXT(ROW()-5,"000"))</f>
        <v/>
      </c>
      <c r="B142" s="27">
        <f>IF(F142="","",DATE(YEAR(F142),MONTH(F142),1))</f>
        <v/>
      </c>
      <c r="C142" s="28" t="n"/>
      <c r="D142" s="28" t="n"/>
      <c r="E142" s="59">
        <f>IF(C142="","",IFERROR(INDEX('6. Base de Custos'!$M$8:$M$42,MATCH(C142,'6. Base de Custos'!$L$8:$L$42,0)),"Não classificado"))</f>
        <v/>
      </c>
      <c r="F142" s="111" t="n"/>
      <c r="G142" s="111" t="n"/>
      <c r="H142" s="111" t="n"/>
      <c r="I142" s="45" t="n"/>
      <c r="J142" s="28" t="n"/>
      <c r="K142" s="28" t="n"/>
      <c r="L142" s="28" t="n"/>
      <c r="M142" s="59">
        <f>IF(C142="","",IFERROR(INDEX('6. Base de Custos'!$N$8:$N$42,MATCH(C142,'6. Base de Custos'!$L$8:$L$42,0)),"Não classificado"))</f>
        <v/>
      </c>
      <c r="N142" s="59">
        <f>IF(C142="","",IFERROR(INDEX('6. Base de Custos'!$O$8:$O$42,MATCH(C142,'6. Base de Custos'!$L$8:$L$42,0)),"Revisar"))</f>
        <v/>
      </c>
      <c r="O142" s="60">
        <f>IF(M142="","",IFERROR(VLOOKUP(M142,'6. Base de Custos'!$H$12:$J$18,3,FALSE),0))</f>
        <v/>
      </c>
      <c r="P142" s="59">
        <f>IF(C142="","",IFERROR(INDEX('6. Base de Custos'!$P$8:$P$42,MATCH(C142,'6. Base de Custos'!$L$8:$L$42,0)),"Revisar"))</f>
        <v/>
      </c>
      <c r="Q142" s="59">
        <f>IF(C142="","",IFERROR(INDEX('6. Base de Custos'!$Q$8:$Q$42,MATCH(C142,'6. Base de Custos'!$L$8:$L$42,0)),""))</f>
        <v/>
      </c>
      <c r="R142" s="65">
        <f>IF(C142="","",IFERROR(VLOOKUP(M142&amp;"|"&amp;N142,'17. Mapa DRE CP'!$E$5:$H$100,2,FALSE),"Revisar"))</f>
        <v/>
      </c>
      <c r="S142" s="65">
        <f>IF(C142="","",IFERROR(VLOOKUP(M142&amp;"|"&amp;N142,'17. Mapa DRE CP'!$E$5:$H$100,3,FALSE),"Revisar"))</f>
        <v/>
      </c>
      <c r="T142" s="65">
        <f>IF(C142="","",IF(R142="(-) Custos diretos dos serviços",IF(ISNUMBER(SEARCH("PCMSO",C142)),"PCMSO",IF(OR(ISNUMBER(SEARCH("SGS",C142)),ISNUMBER(SEARCH("CASTRO NAVES",C142))),"Projetos / Laudos / Avulsos","Projetos / Laudos / Avulsos")),"Rateio pela receita bruta"))</f>
        <v/>
      </c>
      <c r="U142" s="65">
        <f>IF(C142="","",IF(R142="(-) Custos diretos dos serviços","Direto por fornecedor/natureza do gasto","Rateio proporcional à receita bruta da linha de serviço"))</f>
        <v/>
      </c>
    </row>
    <row r="143">
      <c r="A143" s="28">
        <f>IF(C143="","", "CP-"&amp;TEXT(ROW()-5,"000"))</f>
        <v/>
      </c>
      <c r="B143" s="27">
        <f>IF(F143="","",DATE(YEAR(F143),MONTH(F143),1))</f>
        <v/>
      </c>
      <c r="C143" s="28" t="n"/>
      <c r="D143" s="28" t="n"/>
      <c r="E143" s="59">
        <f>IF(C143="","",IFERROR(INDEX('6. Base de Custos'!$M$8:$M$42,MATCH(C143,'6. Base de Custos'!$L$8:$L$42,0)),"Não classificado"))</f>
        <v/>
      </c>
      <c r="F143" s="111" t="n"/>
      <c r="G143" s="111" t="n"/>
      <c r="H143" s="111" t="n"/>
      <c r="I143" s="45" t="n"/>
      <c r="J143" s="28" t="n"/>
      <c r="K143" s="28" t="n"/>
      <c r="L143" s="28" t="n"/>
      <c r="M143" s="59">
        <f>IF(C143="","",IFERROR(INDEX('6. Base de Custos'!$N$8:$N$42,MATCH(C143,'6. Base de Custos'!$L$8:$L$42,0)),"Não classificado"))</f>
        <v/>
      </c>
      <c r="N143" s="59">
        <f>IF(C143="","",IFERROR(INDEX('6. Base de Custos'!$O$8:$O$42,MATCH(C143,'6. Base de Custos'!$L$8:$L$42,0)),"Revisar"))</f>
        <v/>
      </c>
      <c r="O143" s="60">
        <f>IF(M143="","",IFERROR(VLOOKUP(M143,'6. Base de Custos'!$H$12:$J$18,3,FALSE),0))</f>
        <v/>
      </c>
      <c r="P143" s="59">
        <f>IF(C143="","",IFERROR(INDEX('6. Base de Custos'!$P$8:$P$42,MATCH(C143,'6. Base de Custos'!$L$8:$L$42,0)),"Revisar"))</f>
        <v/>
      </c>
      <c r="Q143" s="59">
        <f>IF(C143="","",IFERROR(INDEX('6. Base de Custos'!$Q$8:$Q$42,MATCH(C143,'6. Base de Custos'!$L$8:$L$42,0)),""))</f>
        <v/>
      </c>
      <c r="R143" s="65">
        <f>IF(C143="","",IFERROR(VLOOKUP(M143&amp;"|"&amp;N143,'17. Mapa DRE CP'!$E$5:$H$100,2,FALSE),"Revisar"))</f>
        <v/>
      </c>
      <c r="S143" s="65">
        <f>IF(C143="","",IFERROR(VLOOKUP(M143&amp;"|"&amp;N143,'17. Mapa DRE CP'!$E$5:$H$100,3,FALSE),"Revisar"))</f>
        <v/>
      </c>
      <c r="T143" s="65">
        <f>IF(C143="","",IF(R143="(-) Custos diretos dos serviços",IF(ISNUMBER(SEARCH("PCMSO",C143)),"PCMSO",IF(OR(ISNUMBER(SEARCH("SGS",C143)),ISNUMBER(SEARCH("CASTRO NAVES",C143))),"Projetos / Laudos / Avulsos","Projetos / Laudos / Avulsos")),"Rateio pela receita bruta"))</f>
        <v/>
      </c>
      <c r="U143" s="65">
        <f>IF(C143="","",IF(R143="(-) Custos diretos dos serviços","Direto por fornecedor/natureza do gasto","Rateio proporcional à receita bruta da linha de serviço"))</f>
        <v/>
      </c>
    </row>
    <row r="144">
      <c r="A144" s="28">
        <f>IF(C144="","", "CP-"&amp;TEXT(ROW()-5,"000"))</f>
        <v/>
      </c>
      <c r="B144" s="27">
        <f>IF(F144="","",DATE(YEAR(F144),MONTH(F144),1))</f>
        <v/>
      </c>
      <c r="C144" s="28" t="n"/>
      <c r="D144" s="28" t="n"/>
      <c r="E144" s="59">
        <f>IF(C144="","",IFERROR(INDEX('6. Base de Custos'!$M$8:$M$42,MATCH(C144,'6. Base de Custos'!$L$8:$L$42,0)),"Não classificado"))</f>
        <v/>
      </c>
      <c r="F144" s="111" t="n"/>
      <c r="G144" s="111" t="n"/>
      <c r="H144" s="111" t="n"/>
      <c r="I144" s="45" t="n"/>
      <c r="J144" s="28" t="n"/>
      <c r="K144" s="28" t="n"/>
      <c r="L144" s="28" t="n"/>
      <c r="M144" s="59">
        <f>IF(C144="","",IFERROR(INDEX('6. Base de Custos'!$N$8:$N$42,MATCH(C144,'6. Base de Custos'!$L$8:$L$42,0)),"Não classificado"))</f>
        <v/>
      </c>
      <c r="N144" s="59">
        <f>IF(C144="","",IFERROR(INDEX('6. Base de Custos'!$O$8:$O$42,MATCH(C144,'6. Base de Custos'!$L$8:$L$42,0)),"Revisar"))</f>
        <v/>
      </c>
      <c r="O144" s="60">
        <f>IF(M144="","",IFERROR(VLOOKUP(M144,'6. Base de Custos'!$H$12:$J$18,3,FALSE),0))</f>
        <v/>
      </c>
      <c r="P144" s="59">
        <f>IF(C144="","",IFERROR(INDEX('6. Base de Custos'!$P$8:$P$42,MATCH(C144,'6. Base de Custos'!$L$8:$L$42,0)),"Revisar"))</f>
        <v/>
      </c>
      <c r="Q144" s="59">
        <f>IF(C144="","",IFERROR(INDEX('6. Base de Custos'!$Q$8:$Q$42,MATCH(C144,'6. Base de Custos'!$L$8:$L$42,0)),""))</f>
        <v/>
      </c>
      <c r="R144" s="65">
        <f>IF(C144="","",IFERROR(VLOOKUP(M144&amp;"|"&amp;N144,'17. Mapa DRE CP'!$E$5:$H$100,2,FALSE),"Revisar"))</f>
        <v/>
      </c>
      <c r="S144" s="65">
        <f>IF(C144="","",IFERROR(VLOOKUP(M144&amp;"|"&amp;N144,'17. Mapa DRE CP'!$E$5:$H$100,3,FALSE),"Revisar"))</f>
        <v/>
      </c>
      <c r="T144" s="65">
        <f>IF(C144="","",IF(R144="(-) Custos diretos dos serviços",IF(ISNUMBER(SEARCH("PCMSO",C144)),"PCMSO",IF(OR(ISNUMBER(SEARCH("SGS",C144)),ISNUMBER(SEARCH("CASTRO NAVES",C144))),"Projetos / Laudos / Avulsos","Projetos / Laudos / Avulsos")),"Rateio pela receita bruta"))</f>
        <v/>
      </c>
      <c r="U144" s="65">
        <f>IF(C144="","",IF(R144="(-) Custos diretos dos serviços","Direto por fornecedor/natureza do gasto","Rateio proporcional à receita bruta da linha de serviço"))</f>
        <v/>
      </c>
    </row>
    <row r="145">
      <c r="A145" s="28">
        <f>IF(C145="","", "CP-"&amp;TEXT(ROW()-5,"000"))</f>
        <v/>
      </c>
      <c r="B145" s="27">
        <f>IF(F145="","",DATE(YEAR(F145),MONTH(F145),1))</f>
        <v/>
      </c>
      <c r="C145" s="28" t="n"/>
      <c r="D145" s="28" t="n"/>
      <c r="E145" s="59">
        <f>IF(C145="","",IFERROR(INDEX('6. Base de Custos'!$M$8:$M$42,MATCH(C145,'6. Base de Custos'!$L$8:$L$42,0)),"Não classificado"))</f>
        <v/>
      </c>
      <c r="F145" s="111" t="n"/>
      <c r="G145" s="111" t="n"/>
      <c r="H145" s="111" t="n"/>
      <c r="I145" s="45" t="n"/>
      <c r="J145" s="28" t="n"/>
      <c r="K145" s="28" t="n"/>
      <c r="L145" s="28" t="n"/>
      <c r="M145" s="59">
        <f>IF(C145="","",IFERROR(INDEX('6. Base de Custos'!$N$8:$N$42,MATCH(C145,'6. Base de Custos'!$L$8:$L$42,0)),"Não classificado"))</f>
        <v/>
      </c>
      <c r="N145" s="59">
        <f>IF(C145="","",IFERROR(INDEX('6. Base de Custos'!$O$8:$O$42,MATCH(C145,'6. Base de Custos'!$L$8:$L$42,0)),"Revisar"))</f>
        <v/>
      </c>
      <c r="O145" s="60">
        <f>IF(M145="","",IFERROR(VLOOKUP(M145,'6. Base de Custos'!$H$12:$J$18,3,FALSE),0))</f>
        <v/>
      </c>
      <c r="P145" s="59">
        <f>IF(C145="","",IFERROR(INDEX('6. Base de Custos'!$P$8:$P$42,MATCH(C145,'6. Base de Custos'!$L$8:$L$42,0)),"Revisar"))</f>
        <v/>
      </c>
      <c r="Q145" s="59">
        <f>IF(C145="","",IFERROR(INDEX('6. Base de Custos'!$Q$8:$Q$42,MATCH(C145,'6. Base de Custos'!$L$8:$L$42,0)),""))</f>
        <v/>
      </c>
      <c r="R145" s="65">
        <f>IF(C145="","",IFERROR(VLOOKUP(M145&amp;"|"&amp;N145,'17. Mapa DRE CP'!$E$5:$H$100,2,FALSE),"Revisar"))</f>
        <v/>
      </c>
      <c r="S145" s="65">
        <f>IF(C145="","",IFERROR(VLOOKUP(M145&amp;"|"&amp;N145,'17. Mapa DRE CP'!$E$5:$H$100,3,FALSE),"Revisar"))</f>
        <v/>
      </c>
      <c r="T145" s="65">
        <f>IF(C145="","",IF(R145="(-) Custos diretos dos serviços",IF(ISNUMBER(SEARCH("PCMSO",C145)),"PCMSO",IF(OR(ISNUMBER(SEARCH("SGS",C145)),ISNUMBER(SEARCH("CASTRO NAVES",C145))),"Projetos / Laudos / Avulsos","Projetos / Laudos / Avulsos")),"Rateio pela receita bruta"))</f>
        <v/>
      </c>
      <c r="U145" s="65">
        <f>IF(C145="","",IF(R145="(-) Custos diretos dos serviços","Direto por fornecedor/natureza do gasto","Rateio proporcional à receita bruta da linha de serviço"))</f>
        <v/>
      </c>
    </row>
    <row r="146">
      <c r="A146" s="28">
        <f>IF(C146="","", "CP-"&amp;TEXT(ROW()-5,"000"))</f>
        <v/>
      </c>
      <c r="B146" s="27">
        <f>IF(F146="","",DATE(YEAR(F146),MONTH(F146),1))</f>
        <v/>
      </c>
      <c r="C146" s="28" t="n"/>
      <c r="D146" s="28" t="n"/>
      <c r="E146" s="59">
        <f>IF(C146="","",IFERROR(INDEX('6. Base de Custos'!$M$8:$M$42,MATCH(C146,'6. Base de Custos'!$L$8:$L$42,0)),"Não classificado"))</f>
        <v/>
      </c>
      <c r="F146" s="111" t="n"/>
      <c r="G146" s="111" t="n"/>
      <c r="H146" s="111" t="n"/>
      <c r="I146" s="45" t="n"/>
      <c r="J146" s="28" t="n"/>
      <c r="K146" s="28" t="n"/>
      <c r="L146" s="28" t="n"/>
      <c r="M146" s="59">
        <f>IF(C146="","",IFERROR(INDEX('6. Base de Custos'!$N$8:$N$42,MATCH(C146,'6. Base de Custos'!$L$8:$L$42,0)),"Não classificado"))</f>
        <v/>
      </c>
      <c r="N146" s="59">
        <f>IF(C146="","",IFERROR(INDEX('6. Base de Custos'!$O$8:$O$42,MATCH(C146,'6. Base de Custos'!$L$8:$L$42,0)),"Revisar"))</f>
        <v/>
      </c>
      <c r="O146" s="60">
        <f>IF(M146="","",IFERROR(VLOOKUP(M146,'6. Base de Custos'!$H$12:$J$18,3,FALSE),0))</f>
        <v/>
      </c>
      <c r="P146" s="59">
        <f>IF(C146="","",IFERROR(INDEX('6. Base de Custos'!$P$8:$P$42,MATCH(C146,'6. Base de Custos'!$L$8:$L$42,0)),"Revisar"))</f>
        <v/>
      </c>
      <c r="Q146" s="59">
        <f>IF(C146="","",IFERROR(INDEX('6. Base de Custos'!$Q$8:$Q$42,MATCH(C146,'6. Base de Custos'!$L$8:$L$42,0)),""))</f>
        <v/>
      </c>
      <c r="R146" s="65">
        <f>IF(C146="","",IFERROR(VLOOKUP(M146&amp;"|"&amp;N146,'17. Mapa DRE CP'!$E$5:$H$100,2,FALSE),"Revisar"))</f>
        <v/>
      </c>
      <c r="S146" s="65">
        <f>IF(C146="","",IFERROR(VLOOKUP(M146&amp;"|"&amp;N146,'17. Mapa DRE CP'!$E$5:$H$100,3,FALSE),"Revisar"))</f>
        <v/>
      </c>
      <c r="T146" s="65">
        <f>IF(C146="","",IF(R146="(-) Custos diretos dos serviços",IF(ISNUMBER(SEARCH("PCMSO",C146)),"PCMSO",IF(OR(ISNUMBER(SEARCH("SGS",C146)),ISNUMBER(SEARCH("CASTRO NAVES",C146))),"Projetos / Laudos / Avulsos","Projetos / Laudos / Avulsos")),"Rateio pela receita bruta"))</f>
        <v/>
      </c>
      <c r="U146" s="65">
        <f>IF(C146="","",IF(R146="(-) Custos diretos dos serviços","Direto por fornecedor/natureza do gasto","Rateio proporcional à receita bruta da linha de serviço"))</f>
        <v/>
      </c>
    </row>
    <row r="147">
      <c r="A147" s="28">
        <f>IF(C147="","", "CP-"&amp;TEXT(ROW()-5,"000"))</f>
        <v/>
      </c>
      <c r="B147" s="27">
        <f>IF(F147="","",DATE(YEAR(F147),MONTH(F147),1))</f>
        <v/>
      </c>
      <c r="C147" s="28" t="n"/>
      <c r="D147" s="28" t="n"/>
      <c r="E147" s="59">
        <f>IF(C147="","",IFERROR(INDEX('6. Base de Custos'!$M$8:$M$42,MATCH(C147,'6. Base de Custos'!$L$8:$L$42,0)),"Não classificado"))</f>
        <v/>
      </c>
      <c r="F147" s="111" t="n"/>
      <c r="G147" s="111" t="n"/>
      <c r="H147" s="111" t="n"/>
      <c r="I147" s="45" t="n"/>
      <c r="J147" s="28" t="n"/>
      <c r="K147" s="28" t="n"/>
      <c r="L147" s="28" t="n"/>
      <c r="M147" s="59">
        <f>IF(C147="","",IFERROR(INDEX('6. Base de Custos'!$N$8:$N$42,MATCH(C147,'6. Base de Custos'!$L$8:$L$42,0)),"Não classificado"))</f>
        <v/>
      </c>
      <c r="N147" s="59">
        <f>IF(C147="","",IFERROR(INDEX('6. Base de Custos'!$O$8:$O$42,MATCH(C147,'6. Base de Custos'!$L$8:$L$42,0)),"Revisar"))</f>
        <v/>
      </c>
      <c r="O147" s="60">
        <f>IF(M147="","",IFERROR(VLOOKUP(M147,'6. Base de Custos'!$H$12:$J$18,3,FALSE),0))</f>
        <v/>
      </c>
      <c r="P147" s="59">
        <f>IF(C147="","",IFERROR(INDEX('6. Base de Custos'!$P$8:$P$42,MATCH(C147,'6. Base de Custos'!$L$8:$L$42,0)),"Revisar"))</f>
        <v/>
      </c>
      <c r="Q147" s="59">
        <f>IF(C147="","",IFERROR(INDEX('6. Base de Custos'!$Q$8:$Q$42,MATCH(C147,'6. Base de Custos'!$L$8:$L$42,0)),""))</f>
        <v/>
      </c>
      <c r="R147" s="65">
        <f>IF(C147="","",IFERROR(VLOOKUP(M147&amp;"|"&amp;N147,'17. Mapa DRE CP'!$E$5:$H$100,2,FALSE),"Revisar"))</f>
        <v/>
      </c>
      <c r="S147" s="65">
        <f>IF(C147="","",IFERROR(VLOOKUP(M147&amp;"|"&amp;N147,'17. Mapa DRE CP'!$E$5:$H$100,3,FALSE),"Revisar"))</f>
        <v/>
      </c>
      <c r="T147" s="65">
        <f>IF(C147="","",IF(R147="(-) Custos diretos dos serviços",IF(ISNUMBER(SEARCH("PCMSO",C147)),"PCMSO",IF(OR(ISNUMBER(SEARCH("SGS",C147)),ISNUMBER(SEARCH("CASTRO NAVES",C147))),"Projetos / Laudos / Avulsos","Projetos / Laudos / Avulsos")),"Rateio pela receita bruta"))</f>
        <v/>
      </c>
      <c r="U147" s="65">
        <f>IF(C147="","",IF(R147="(-) Custos diretos dos serviços","Direto por fornecedor/natureza do gasto","Rateio proporcional à receita bruta da linha de serviço"))</f>
        <v/>
      </c>
    </row>
    <row r="148">
      <c r="A148" s="28">
        <f>IF(C148="","", "CP-"&amp;TEXT(ROW()-5,"000"))</f>
        <v/>
      </c>
      <c r="B148" s="27">
        <f>IF(F148="","",DATE(YEAR(F148),MONTH(F148),1))</f>
        <v/>
      </c>
      <c r="C148" s="28" t="n"/>
      <c r="D148" s="28" t="n"/>
      <c r="E148" s="59">
        <f>IF(C148="","",IFERROR(INDEX('6. Base de Custos'!$M$8:$M$42,MATCH(C148,'6. Base de Custos'!$L$8:$L$42,0)),"Não classificado"))</f>
        <v/>
      </c>
      <c r="F148" s="111" t="n"/>
      <c r="G148" s="111" t="n"/>
      <c r="H148" s="111" t="n"/>
      <c r="I148" s="45" t="n"/>
      <c r="J148" s="28" t="n"/>
      <c r="K148" s="28" t="n"/>
      <c r="L148" s="28" t="n"/>
      <c r="M148" s="59">
        <f>IF(C148="","",IFERROR(INDEX('6. Base de Custos'!$N$8:$N$42,MATCH(C148,'6. Base de Custos'!$L$8:$L$42,0)),"Não classificado"))</f>
        <v/>
      </c>
      <c r="N148" s="59">
        <f>IF(C148="","",IFERROR(INDEX('6. Base de Custos'!$O$8:$O$42,MATCH(C148,'6. Base de Custos'!$L$8:$L$42,0)),"Revisar"))</f>
        <v/>
      </c>
      <c r="O148" s="60">
        <f>IF(M148="","",IFERROR(VLOOKUP(M148,'6. Base de Custos'!$H$12:$J$18,3,FALSE),0))</f>
        <v/>
      </c>
      <c r="P148" s="59">
        <f>IF(C148="","",IFERROR(INDEX('6. Base de Custos'!$P$8:$P$42,MATCH(C148,'6. Base de Custos'!$L$8:$L$42,0)),"Revisar"))</f>
        <v/>
      </c>
      <c r="Q148" s="59">
        <f>IF(C148="","",IFERROR(INDEX('6. Base de Custos'!$Q$8:$Q$42,MATCH(C148,'6. Base de Custos'!$L$8:$L$42,0)),""))</f>
        <v/>
      </c>
      <c r="R148" s="65">
        <f>IF(C148="","",IFERROR(VLOOKUP(M148&amp;"|"&amp;N148,'17. Mapa DRE CP'!$E$5:$H$100,2,FALSE),"Revisar"))</f>
        <v/>
      </c>
      <c r="S148" s="65">
        <f>IF(C148="","",IFERROR(VLOOKUP(M148&amp;"|"&amp;N148,'17. Mapa DRE CP'!$E$5:$H$100,3,FALSE),"Revisar"))</f>
        <v/>
      </c>
      <c r="T148" s="65">
        <f>IF(C148="","",IF(R148="(-) Custos diretos dos serviços",IF(ISNUMBER(SEARCH("PCMSO",C148)),"PCMSO",IF(OR(ISNUMBER(SEARCH("SGS",C148)),ISNUMBER(SEARCH("CASTRO NAVES",C148))),"Projetos / Laudos / Avulsos","Projetos / Laudos / Avulsos")),"Rateio pela receita bruta"))</f>
        <v/>
      </c>
      <c r="U148" s="65">
        <f>IF(C148="","",IF(R148="(-) Custos diretos dos serviços","Direto por fornecedor/natureza do gasto","Rateio proporcional à receita bruta da linha de serviço"))</f>
        <v/>
      </c>
    </row>
    <row r="149">
      <c r="A149" s="28">
        <f>IF(C149="","", "CP-"&amp;TEXT(ROW()-5,"000"))</f>
        <v/>
      </c>
      <c r="B149" s="27">
        <f>IF(F149="","",DATE(YEAR(F149),MONTH(F149),1))</f>
        <v/>
      </c>
      <c r="C149" s="28" t="n"/>
      <c r="D149" s="28" t="n"/>
      <c r="E149" s="59">
        <f>IF(C149="","",IFERROR(INDEX('6. Base de Custos'!$M$8:$M$42,MATCH(C149,'6. Base de Custos'!$L$8:$L$42,0)),"Não classificado"))</f>
        <v/>
      </c>
      <c r="F149" s="111" t="n"/>
      <c r="G149" s="111" t="n"/>
      <c r="H149" s="111" t="n"/>
      <c r="I149" s="45" t="n"/>
      <c r="J149" s="28" t="n"/>
      <c r="K149" s="28" t="n"/>
      <c r="L149" s="28" t="n"/>
      <c r="M149" s="59">
        <f>IF(C149="","",IFERROR(INDEX('6. Base de Custos'!$N$8:$N$42,MATCH(C149,'6. Base de Custos'!$L$8:$L$42,0)),"Não classificado"))</f>
        <v/>
      </c>
      <c r="N149" s="59">
        <f>IF(C149="","",IFERROR(INDEX('6. Base de Custos'!$O$8:$O$42,MATCH(C149,'6. Base de Custos'!$L$8:$L$42,0)),"Revisar"))</f>
        <v/>
      </c>
      <c r="O149" s="60">
        <f>IF(M149="","",IFERROR(VLOOKUP(M149,'6. Base de Custos'!$H$12:$J$18,3,FALSE),0))</f>
        <v/>
      </c>
      <c r="P149" s="59">
        <f>IF(C149="","",IFERROR(INDEX('6. Base de Custos'!$P$8:$P$42,MATCH(C149,'6. Base de Custos'!$L$8:$L$42,0)),"Revisar"))</f>
        <v/>
      </c>
      <c r="Q149" s="59">
        <f>IF(C149="","",IFERROR(INDEX('6. Base de Custos'!$Q$8:$Q$42,MATCH(C149,'6. Base de Custos'!$L$8:$L$42,0)),""))</f>
        <v/>
      </c>
      <c r="R149" s="65">
        <f>IF(C149="","",IFERROR(VLOOKUP(M149&amp;"|"&amp;N149,'17. Mapa DRE CP'!$E$5:$H$100,2,FALSE),"Revisar"))</f>
        <v/>
      </c>
      <c r="S149" s="65">
        <f>IF(C149="","",IFERROR(VLOOKUP(M149&amp;"|"&amp;N149,'17. Mapa DRE CP'!$E$5:$H$100,3,FALSE),"Revisar"))</f>
        <v/>
      </c>
      <c r="T149" s="65">
        <f>IF(C149="","",IF(R149="(-) Custos diretos dos serviços",IF(ISNUMBER(SEARCH("PCMSO",C149)),"PCMSO",IF(OR(ISNUMBER(SEARCH("SGS",C149)),ISNUMBER(SEARCH("CASTRO NAVES",C149))),"Projetos / Laudos / Avulsos","Projetos / Laudos / Avulsos")),"Rateio pela receita bruta"))</f>
        <v/>
      </c>
      <c r="U149" s="65">
        <f>IF(C149="","",IF(R149="(-) Custos diretos dos serviços","Direto por fornecedor/natureza do gasto","Rateio proporcional à receita bruta da linha de serviço"))</f>
        <v/>
      </c>
    </row>
    <row r="150">
      <c r="A150" s="28">
        <f>IF(C150="","", "CP-"&amp;TEXT(ROW()-5,"000"))</f>
        <v/>
      </c>
      <c r="B150" s="27">
        <f>IF(F150="","",DATE(YEAR(F150),MONTH(F150),1))</f>
        <v/>
      </c>
      <c r="C150" s="28" t="n"/>
      <c r="D150" s="28" t="n"/>
      <c r="E150" s="59">
        <f>IF(C150="","",IFERROR(INDEX('6. Base de Custos'!$M$8:$M$42,MATCH(C150,'6. Base de Custos'!$L$8:$L$42,0)),"Não classificado"))</f>
        <v/>
      </c>
      <c r="F150" s="111" t="n"/>
      <c r="G150" s="111" t="n"/>
      <c r="H150" s="111" t="n"/>
      <c r="I150" s="45" t="n"/>
      <c r="J150" s="28" t="n"/>
      <c r="K150" s="28" t="n"/>
      <c r="L150" s="28" t="n"/>
      <c r="M150" s="59">
        <f>IF(C150="","",IFERROR(INDEX('6. Base de Custos'!$N$8:$N$42,MATCH(C150,'6. Base de Custos'!$L$8:$L$42,0)),"Não classificado"))</f>
        <v/>
      </c>
      <c r="N150" s="59">
        <f>IF(C150="","",IFERROR(INDEX('6. Base de Custos'!$O$8:$O$42,MATCH(C150,'6. Base de Custos'!$L$8:$L$42,0)),"Revisar"))</f>
        <v/>
      </c>
      <c r="O150" s="60">
        <f>IF(M150="","",IFERROR(VLOOKUP(M150,'6. Base de Custos'!$H$12:$J$18,3,FALSE),0))</f>
        <v/>
      </c>
      <c r="P150" s="59">
        <f>IF(C150="","",IFERROR(INDEX('6. Base de Custos'!$P$8:$P$42,MATCH(C150,'6. Base de Custos'!$L$8:$L$42,0)),"Revisar"))</f>
        <v/>
      </c>
      <c r="Q150" s="59">
        <f>IF(C150="","",IFERROR(INDEX('6. Base de Custos'!$Q$8:$Q$42,MATCH(C150,'6. Base de Custos'!$L$8:$L$42,0)),""))</f>
        <v/>
      </c>
      <c r="R150" s="65">
        <f>IF(C150="","",IFERROR(VLOOKUP(M150&amp;"|"&amp;N150,'17. Mapa DRE CP'!$E$5:$H$100,2,FALSE),"Revisar"))</f>
        <v/>
      </c>
      <c r="S150" s="65">
        <f>IF(C150="","",IFERROR(VLOOKUP(M150&amp;"|"&amp;N150,'17. Mapa DRE CP'!$E$5:$H$100,3,FALSE),"Revisar"))</f>
        <v/>
      </c>
      <c r="T150" s="65">
        <f>IF(C150="","",IF(R150="(-) Custos diretos dos serviços",IF(ISNUMBER(SEARCH("PCMSO",C150)),"PCMSO",IF(OR(ISNUMBER(SEARCH("SGS",C150)),ISNUMBER(SEARCH("CASTRO NAVES",C150))),"Projetos / Laudos / Avulsos","Projetos / Laudos / Avulsos")),"Rateio pela receita bruta"))</f>
        <v/>
      </c>
      <c r="U150" s="65">
        <f>IF(C150="","",IF(R150="(-) Custos diretos dos serviços","Direto por fornecedor/natureza do gasto","Rateio proporcional à receita bruta da linha de serviço"))</f>
        <v/>
      </c>
    </row>
    <row r="151">
      <c r="A151" s="28">
        <f>IF(C151="","", "CP-"&amp;TEXT(ROW()-5,"000"))</f>
        <v/>
      </c>
      <c r="B151" s="27">
        <f>IF(F151="","",DATE(YEAR(F151),MONTH(F151),1))</f>
        <v/>
      </c>
      <c r="C151" s="28" t="n"/>
      <c r="D151" s="28" t="n"/>
      <c r="E151" s="59">
        <f>IF(C151="","",IFERROR(INDEX('6. Base de Custos'!$M$8:$M$42,MATCH(C151,'6. Base de Custos'!$L$8:$L$42,0)),"Não classificado"))</f>
        <v/>
      </c>
      <c r="F151" s="111" t="n"/>
      <c r="G151" s="111" t="n"/>
      <c r="H151" s="111" t="n"/>
      <c r="I151" s="45" t="n"/>
      <c r="J151" s="28" t="n"/>
      <c r="K151" s="28" t="n"/>
      <c r="L151" s="28" t="n"/>
      <c r="M151" s="59">
        <f>IF(C151="","",IFERROR(INDEX('6. Base de Custos'!$N$8:$N$42,MATCH(C151,'6. Base de Custos'!$L$8:$L$42,0)),"Não classificado"))</f>
        <v/>
      </c>
      <c r="N151" s="59">
        <f>IF(C151="","",IFERROR(INDEX('6. Base de Custos'!$O$8:$O$42,MATCH(C151,'6. Base de Custos'!$L$8:$L$42,0)),"Revisar"))</f>
        <v/>
      </c>
      <c r="O151" s="60">
        <f>IF(M151="","",IFERROR(VLOOKUP(M151,'6. Base de Custos'!$H$12:$J$18,3,FALSE),0))</f>
        <v/>
      </c>
      <c r="P151" s="59">
        <f>IF(C151="","",IFERROR(INDEX('6. Base de Custos'!$P$8:$P$42,MATCH(C151,'6. Base de Custos'!$L$8:$L$42,0)),"Revisar"))</f>
        <v/>
      </c>
      <c r="Q151" s="59">
        <f>IF(C151="","",IFERROR(INDEX('6. Base de Custos'!$Q$8:$Q$42,MATCH(C151,'6. Base de Custos'!$L$8:$L$42,0)),""))</f>
        <v/>
      </c>
      <c r="R151" s="65">
        <f>IF(C151="","",IFERROR(VLOOKUP(M151&amp;"|"&amp;N151,'17. Mapa DRE CP'!$E$5:$H$100,2,FALSE),"Revisar"))</f>
        <v/>
      </c>
      <c r="S151" s="65">
        <f>IF(C151="","",IFERROR(VLOOKUP(M151&amp;"|"&amp;N151,'17. Mapa DRE CP'!$E$5:$H$100,3,FALSE),"Revisar"))</f>
        <v/>
      </c>
      <c r="T151" s="65">
        <f>IF(C151="","",IF(R151="(-) Custos diretos dos serviços",IF(ISNUMBER(SEARCH("PCMSO",C151)),"PCMSO",IF(OR(ISNUMBER(SEARCH("SGS",C151)),ISNUMBER(SEARCH("CASTRO NAVES",C151))),"Projetos / Laudos / Avulsos","Projetos / Laudos / Avulsos")),"Rateio pela receita bruta"))</f>
        <v/>
      </c>
      <c r="U151" s="65">
        <f>IF(C151="","",IF(R151="(-) Custos diretos dos serviços","Direto por fornecedor/natureza do gasto","Rateio proporcional à receita bruta da linha de serviço"))</f>
        <v/>
      </c>
    </row>
    <row r="152">
      <c r="A152" s="28">
        <f>IF(C152="","", "CP-"&amp;TEXT(ROW()-5,"000"))</f>
        <v/>
      </c>
      <c r="B152" s="27">
        <f>IF(F152="","",DATE(YEAR(F152),MONTH(F152),1))</f>
        <v/>
      </c>
      <c r="C152" s="28" t="n"/>
      <c r="D152" s="28" t="n"/>
      <c r="E152" s="59">
        <f>IF(C152="","",IFERROR(INDEX('6. Base de Custos'!$M$8:$M$42,MATCH(C152,'6. Base de Custos'!$L$8:$L$42,0)),"Não classificado"))</f>
        <v/>
      </c>
      <c r="F152" s="111" t="n"/>
      <c r="G152" s="111" t="n"/>
      <c r="H152" s="111" t="n"/>
      <c r="I152" s="45" t="n"/>
      <c r="J152" s="28" t="n"/>
      <c r="K152" s="28" t="n"/>
      <c r="L152" s="28" t="n"/>
      <c r="M152" s="59">
        <f>IF(C152="","",IFERROR(INDEX('6. Base de Custos'!$N$8:$N$42,MATCH(C152,'6. Base de Custos'!$L$8:$L$42,0)),"Não classificado"))</f>
        <v/>
      </c>
      <c r="N152" s="59">
        <f>IF(C152="","",IFERROR(INDEX('6. Base de Custos'!$O$8:$O$42,MATCH(C152,'6. Base de Custos'!$L$8:$L$42,0)),"Revisar"))</f>
        <v/>
      </c>
      <c r="O152" s="60">
        <f>IF(M152="","",IFERROR(VLOOKUP(M152,'6. Base de Custos'!$H$12:$J$18,3,FALSE),0))</f>
        <v/>
      </c>
      <c r="P152" s="59">
        <f>IF(C152="","",IFERROR(INDEX('6. Base de Custos'!$P$8:$P$42,MATCH(C152,'6. Base de Custos'!$L$8:$L$42,0)),"Revisar"))</f>
        <v/>
      </c>
      <c r="Q152" s="59">
        <f>IF(C152="","",IFERROR(INDEX('6. Base de Custos'!$Q$8:$Q$42,MATCH(C152,'6. Base de Custos'!$L$8:$L$42,0)),""))</f>
        <v/>
      </c>
      <c r="R152" s="65">
        <f>IF(C152="","",IFERROR(VLOOKUP(M152&amp;"|"&amp;N152,'17. Mapa DRE CP'!$E$5:$H$100,2,FALSE),"Revisar"))</f>
        <v/>
      </c>
      <c r="S152" s="65">
        <f>IF(C152="","",IFERROR(VLOOKUP(M152&amp;"|"&amp;N152,'17. Mapa DRE CP'!$E$5:$H$100,3,FALSE),"Revisar"))</f>
        <v/>
      </c>
      <c r="T152" s="65">
        <f>IF(C152="","",IF(R152="(-) Custos diretos dos serviços",IF(ISNUMBER(SEARCH("PCMSO",C152)),"PCMSO",IF(OR(ISNUMBER(SEARCH("SGS",C152)),ISNUMBER(SEARCH("CASTRO NAVES",C152))),"Projetos / Laudos / Avulsos","Projetos / Laudos / Avulsos")),"Rateio pela receita bruta"))</f>
        <v/>
      </c>
      <c r="U152" s="65">
        <f>IF(C152="","",IF(R152="(-) Custos diretos dos serviços","Direto por fornecedor/natureza do gasto","Rateio proporcional à receita bruta da linha de serviço"))</f>
        <v/>
      </c>
    </row>
    <row r="153">
      <c r="A153" s="28">
        <f>IF(C153="","", "CP-"&amp;TEXT(ROW()-5,"000"))</f>
        <v/>
      </c>
      <c r="B153" s="27">
        <f>IF(F153="","",DATE(YEAR(F153),MONTH(F153),1))</f>
        <v/>
      </c>
      <c r="C153" s="28" t="n"/>
      <c r="D153" s="28" t="n"/>
      <c r="E153" s="59">
        <f>IF(C153="","",IFERROR(INDEX('6. Base de Custos'!$M$8:$M$42,MATCH(C153,'6. Base de Custos'!$L$8:$L$42,0)),"Não classificado"))</f>
        <v/>
      </c>
      <c r="F153" s="111" t="n"/>
      <c r="G153" s="111" t="n"/>
      <c r="H153" s="111" t="n"/>
      <c r="I153" s="45" t="n"/>
      <c r="J153" s="28" t="n"/>
      <c r="K153" s="28" t="n"/>
      <c r="L153" s="28" t="n"/>
      <c r="M153" s="59">
        <f>IF(C153="","",IFERROR(INDEX('6. Base de Custos'!$N$8:$N$42,MATCH(C153,'6. Base de Custos'!$L$8:$L$42,0)),"Não classificado"))</f>
        <v/>
      </c>
      <c r="N153" s="59">
        <f>IF(C153="","",IFERROR(INDEX('6. Base de Custos'!$O$8:$O$42,MATCH(C153,'6. Base de Custos'!$L$8:$L$42,0)),"Revisar"))</f>
        <v/>
      </c>
      <c r="O153" s="60">
        <f>IF(M153="","",IFERROR(VLOOKUP(M153,'6. Base de Custos'!$H$12:$J$18,3,FALSE),0))</f>
        <v/>
      </c>
      <c r="P153" s="59">
        <f>IF(C153="","",IFERROR(INDEX('6. Base de Custos'!$P$8:$P$42,MATCH(C153,'6. Base de Custos'!$L$8:$L$42,0)),"Revisar"))</f>
        <v/>
      </c>
      <c r="Q153" s="59">
        <f>IF(C153="","",IFERROR(INDEX('6. Base de Custos'!$Q$8:$Q$42,MATCH(C153,'6. Base de Custos'!$L$8:$L$42,0)),""))</f>
        <v/>
      </c>
      <c r="R153" s="65">
        <f>IF(C153="","",IFERROR(VLOOKUP(M153&amp;"|"&amp;N153,'17. Mapa DRE CP'!$E$5:$H$100,2,FALSE),"Revisar"))</f>
        <v/>
      </c>
      <c r="S153" s="65">
        <f>IF(C153="","",IFERROR(VLOOKUP(M153&amp;"|"&amp;N153,'17. Mapa DRE CP'!$E$5:$H$100,3,FALSE),"Revisar"))</f>
        <v/>
      </c>
      <c r="T153" s="65">
        <f>IF(C153="","",IF(R153="(-) Custos diretos dos serviços",IF(ISNUMBER(SEARCH("PCMSO",C153)),"PCMSO",IF(OR(ISNUMBER(SEARCH("SGS",C153)),ISNUMBER(SEARCH("CASTRO NAVES",C153))),"Projetos / Laudos / Avulsos","Projetos / Laudos / Avulsos")),"Rateio pela receita bruta"))</f>
        <v/>
      </c>
      <c r="U153" s="65">
        <f>IF(C153="","",IF(R153="(-) Custos diretos dos serviços","Direto por fornecedor/natureza do gasto","Rateio proporcional à receita bruta da linha de serviço"))</f>
        <v/>
      </c>
    </row>
    <row r="154">
      <c r="A154" s="28">
        <f>IF(C154="","", "CP-"&amp;TEXT(ROW()-5,"000"))</f>
        <v/>
      </c>
      <c r="B154" s="27">
        <f>IF(F154="","",DATE(YEAR(F154),MONTH(F154),1))</f>
        <v/>
      </c>
      <c r="C154" s="28" t="n"/>
      <c r="D154" s="28" t="n"/>
      <c r="E154" s="59">
        <f>IF(C154="","",IFERROR(INDEX('6. Base de Custos'!$M$8:$M$42,MATCH(C154,'6. Base de Custos'!$L$8:$L$42,0)),"Não classificado"))</f>
        <v/>
      </c>
      <c r="F154" s="111" t="n"/>
      <c r="G154" s="111" t="n"/>
      <c r="H154" s="111" t="n"/>
      <c r="I154" s="45" t="n"/>
      <c r="J154" s="28" t="n"/>
      <c r="K154" s="28" t="n"/>
      <c r="L154" s="28" t="n"/>
      <c r="M154" s="59">
        <f>IF(C154="","",IFERROR(INDEX('6. Base de Custos'!$N$8:$N$42,MATCH(C154,'6. Base de Custos'!$L$8:$L$42,0)),"Não classificado"))</f>
        <v/>
      </c>
      <c r="N154" s="59">
        <f>IF(C154="","",IFERROR(INDEX('6. Base de Custos'!$O$8:$O$42,MATCH(C154,'6. Base de Custos'!$L$8:$L$42,0)),"Revisar"))</f>
        <v/>
      </c>
      <c r="O154" s="60">
        <f>IF(M154="","",IFERROR(VLOOKUP(M154,'6. Base de Custos'!$H$12:$J$18,3,FALSE),0))</f>
        <v/>
      </c>
      <c r="P154" s="59">
        <f>IF(C154="","",IFERROR(INDEX('6. Base de Custos'!$P$8:$P$42,MATCH(C154,'6. Base de Custos'!$L$8:$L$42,0)),"Revisar"))</f>
        <v/>
      </c>
      <c r="Q154" s="59">
        <f>IF(C154="","",IFERROR(INDEX('6. Base de Custos'!$Q$8:$Q$42,MATCH(C154,'6. Base de Custos'!$L$8:$L$42,0)),""))</f>
        <v/>
      </c>
      <c r="R154" s="65">
        <f>IF(C154="","",IFERROR(VLOOKUP(M154&amp;"|"&amp;N154,'17. Mapa DRE CP'!$E$5:$H$100,2,FALSE),"Revisar"))</f>
        <v/>
      </c>
      <c r="S154" s="65">
        <f>IF(C154="","",IFERROR(VLOOKUP(M154&amp;"|"&amp;N154,'17. Mapa DRE CP'!$E$5:$H$100,3,FALSE),"Revisar"))</f>
        <v/>
      </c>
      <c r="T154" s="65">
        <f>IF(C154="","",IF(R154="(-) Custos diretos dos serviços",IF(ISNUMBER(SEARCH("PCMSO",C154)),"PCMSO",IF(OR(ISNUMBER(SEARCH("SGS",C154)),ISNUMBER(SEARCH("CASTRO NAVES",C154))),"Projetos / Laudos / Avulsos","Projetos / Laudos / Avulsos")),"Rateio pela receita bruta"))</f>
        <v/>
      </c>
      <c r="U154" s="65">
        <f>IF(C154="","",IF(R154="(-) Custos diretos dos serviços","Direto por fornecedor/natureza do gasto","Rateio proporcional à receita bruta da linha de serviço"))</f>
        <v/>
      </c>
    </row>
    <row r="155">
      <c r="A155" s="28">
        <f>IF(C155="","", "CP-"&amp;TEXT(ROW()-5,"000"))</f>
        <v/>
      </c>
      <c r="B155" s="27">
        <f>IF(F155="","",DATE(YEAR(F155),MONTH(F155),1))</f>
        <v/>
      </c>
      <c r="C155" s="28" t="n"/>
      <c r="D155" s="28" t="n"/>
      <c r="E155" s="59">
        <f>IF(C155="","",IFERROR(INDEX('6. Base de Custos'!$M$8:$M$42,MATCH(C155,'6. Base de Custos'!$L$8:$L$42,0)),"Não classificado"))</f>
        <v/>
      </c>
      <c r="F155" s="111" t="n"/>
      <c r="G155" s="111" t="n"/>
      <c r="H155" s="111" t="n"/>
      <c r="I155" s="45" t="n"/>
      <c r="J155" s="28" t="n"/>
      <c r="K155" s="28" t="n"/>
      <c r="L155" s="28" t="n"/>
      <c r="M155" s="59">
        <f>IF(C155="","",IFERROR(INDEX('6. Base de Custos'!$N$8:$N$42,MATCH(C155,'6. Base de Custos'!$L$8:$L$42,0)),"Não classificado"))</f>
        <v/>
      </c>
      <c r="N155" s="59">
        <f>IF(C155="","",IFERROR(INDEX('6. Base de Custos'!$O$8:$O$42,MATCH(C155,'6. Base de Custos'!$L$8:$L$42,0)),"Revisar"))</f>
        <v/>
      </c>
      <c r="O155" s="60">
        <f>IF(M155="","",IFERROR(VLOOKUP(M155,'6. Base de Custos'!$H$12:$J$18,3,FALSE),0))</f>
        <v/>
      </c>
      <c r="P155" s="59">
        <f>IF(C155="","",IFERROR(INDEX('6. Base de Custos'!$P$8:$P$42,MATCH(C155,'6. Base de Custos'!$L$8:$L$42,0)),"Revisar"))</f>
        <v/>
      </c>
      <c r="Q155" s="59">
        <f>IF(C155="","",IFERROR(INDEX('6. Base de Custos'!$Q$8:$Q$42,MATCH(C155,'6. Base de Custos'!$L$8:$L$42,0)),""))</f>
        <v/>
      </c>
      <c r="R155" s="65">
        <f>IF(C155="","",IFERROR(VLOOKUP(M155&amp;"|"&amp;N155,'17. Mapa DRE CP'!$E$5:$H$100,2,FALSE),"Revisar"))</f>
        <v/>
      </c>
      <c r="S155" s="65">
        <f>IF(C155="","",IFERROR(VLOOKUP(M155&amp;"|"&amp;N155,'17. Mapa DRE CP'!$E$5:$H$100,3,FALSE),"Revisar"))</f>
        <v/>
      </c>
      <c r="T155" s="65">
        <f>IF(C155="","",IF(R155="(-) Custos diretos dos serviços",IF(ISNUMBER(SEARCH("PCMSO",C155)),"PCMSO",IF(OR(ISNUMBER(SEARCH("SGS",C155)),ISNUMBER(SEARCH("CASTRO NAVES",C155))),"Projetos / Laudos / Avulsos","Projetos / Laudos / Avulsos")),"Rateio pela receita bruta"))</f>
        <v/>
      </c>
      <c r="U155" s="65">
        <f>IF(C155="","",IF(R155="(-) Custos diretos dos serviços","Direto por fornecedor/natureza do gasto","Rateio proporcional à receita bruta da linha de serviço"))</f>
        <v/>
      </c>
    </row>
    <row r="156">
      <c r="A156" s="28">
        <f>IF(C156="","", "CP-"&amp;TEXT(ROW()-5,"000"))</f>
        <v/>
      </c>
      <c r="B156" s="27">
        <f>IF(F156="","",DATE(YEAR(F156),MONTH(F156),1))</f>
        <v/>
      </c>
      <c r="C156" s="28" t="n"/>
      <c r="D156" s="28" t="n"/>
      <c r="E156" s="59">
        <f>IF(C156="","",IFERROR(INDEX('6. Base de Custos'!$M$8:$M$42,MATCH(C156,'6. Base de Custos'!$L$8:$L$42,0)),"Não classificado"))</f>
        <v/>
      </c>
      <c r="F156" s="111" t="n"/>
      <c r="G156" s="111" t="n"/>
      <c r="H156" s="111" t="n"/>
      <c r="I156" s="45" t="n"/>
      <c r="J156" s="28" t="n"/>
      <c r="K156" s="28" t="n"/>
      <c r="L156" s="28" t="n"/>
      <c r="M156" s="59">
        <f>IF(C156="","",IFERROR(INDEX('6. Base de Custos'!$N$8:$N$42,MATCH(C156,'6. Base de Custos'!$L$8:$L$42,0)),"Não classificado"))</f>
        <v/>
      </c>
      <c r="N156" s="59">
        <f>IF(C156="","",IFERROR(INDEX('6. Base de Custos'!$O$8:$O$42,MATCH(C156,'6. Base de Custos'!$L$8:$L$42,0)),"Revisar"))</f>
        <v/>
      </c>
      <c r="O156" s="60">
        <f>IF(M156="","",IFERROR(VLOOKUP(M156,'6. Base de Custos'!$H$12:$J$18,3,FALSE),0))</f>
        <v/>
      </c>
      <c r="P156" s="59">
        <f>IF(C156="","",IFERROR(INDEX('6. Base de Custos'!$P$8:$P$42,MATCH(C156,'6. Base de Custos'!$L$8:$L$42,0)),"Revisar"))</f>
        <v/>
      </c>
      <c r="Q156" s="59">
        <f>IF(C156="","",IFERROR(INDEX('6. Base de Custos'!$Q$8:$Q$42,MATCH(C156,'6. Base de Custos'!$L$8:$L$42,0)),""))</f>
        <v/>
      </c>
      <c r="R156" s="65">
        <f>IF(C156="","",IFERROR(VLOOKUP(M156&amp;"|"&amp;N156,'17. Mapa DRE CP'!$E$5:$H$100,2,FALSE),"Revisar"))</f>
        <v/>
      </c>
      <c r="S156" s="65">
        <f>IF(C156="","",IFERROR(VLOOKUP(M156&amp;"|"&amp;N156,'17. Mapa DRE CP'!$E$5:$H$100,3,FALSE),"Revisar"))</f>
        <v/>
      </c>
      <c r="T156" s="65">
        <f>IF(C156="","",IF(R156="(-) Custos diretos dos serviços",IF(ISNUMBER(SEARCH("PCMSO",C156)),"PCMSO",IF(OR(ISNUMBER(SEARCH("SGS",C156)),ISNUMBER(SEARCH("CASTRO NAVES",C156))),"Projetos / Laudos / Avulsos","Projetos / Laudos / Avulsos")),"Rateio pela receita bruta"))</f>
        <v/>
      </c>
      <c r="U156" s="65">
        <f>IF(C156="","",IF(R156="(-) Custos diretos dos serviços","Direto por fornecedor/natureza do gasto","Rateio proporcional à receita bruta da linha de serviço"))</f>
        <v/>
      </c>
    </row>
    <row r="157">
      <c r="A157" s="28">
        <f>IF(C157="","", "CP-"&amp;TEXT(ROW()-5,"000"))</f>
        <v/>
      </c>
      <c r="B157" s="27">
        <f>IF(F157="","",DATE(YEAR(F157),MONTH(F157),1))</f>
        <v/>
      </c>
      <c r="C157" s="28" t="n"/>
      <c r="D157" s="28" t="n"/>
      <c r="E157" s="59">
        <f>IF(C157="","",IFERROR(INDEX('6. Base de Custos'!$M$8:$M$42,MATCH(C157,'6. Base de Custos'!$L$8:$L$42,0)),"Não classificado"))</f>
        <v/>
      </c>
      <c r="F157" s="111" t="n"/>
      <c r="G157" s="111" t="n"/>
      <c r="H157" s="111" t="n"/>
      <c r="I157" s="45" t="n"/>
      <c r="J157" s="28" t="n"/>
      <c r="K157" s="28" t="n"/>
      <c r="L157" s="28" t="n"/>
      <c r="M157" s="59">
        <f>IF(C157="","",IFERROR(INDEX('6. Base de Custos'!$N$8:$N$42,MATCH(C157,'6. Base de Custos'!$L$8:$L$42,0)),"Não classificado"))</f>
        <v/>
      </c>
      <c r="N157" s="59">
        <f>IF(C157="","",IFERROR(INDEX('6. Base de Custos'!$O$8:$O$42,MATCH(C157,'6. Base de Custos'!$L$8:$L$42,0)),"Revisar"))</f>
        <v/>
      </c>
      <c r="O157" s="60">
        <f>IF(M157="","",IFERROR(VLOOKUP(M157,'6. Base de Custos'!$H$12:$J$18,3,FALSE),0))</f>
        <v/>
      </c>
      <c r="P157" s="59">
        <f>IF(C157="","",IFERROR(INDEX('6. Base de Custos'!$P$8:$P$42,MATCH(C157,'6. Base de Custos'!$L$8:$L$42,0)),"Revisar"))</f>
        <v/>
      </c>
      <c r="Q157" s="59">
        <f>IF(C157="","",IFERROR(INDEX('6. Base de Custos'!$Q$8:$Q$42,MATCH(C157,'6. Base de Custos'!$L$8:$L$42,0)),""))</f>
        <v/>
      </c>
      <c r="R157" s="65">
        <f>IF(C157="","",IFERROR(VLOOKUP(M157&amp;"|"&amp;N157,'17. Mapa DRE CP'!$E$5:$H$100,2,FALSE),"Revisar"))</f>
        <v/>
      </c>
      <c r="S157" s="65">
        <f>IF(C157="","",IFERROR(VLOOKUP(M157&amp;"|"&amp;N157,'17. Mapa DRE CP'!$E$5:$H$100,3,FALSE),"Revisar"))</f>
        <v/>
      </c>
      <c r="T157" s="65">
        <f>IF(C157="","",IF(R157="(-) Custos diretos dos serviços",IF(ISNUMBER(SEARCH("PCMSO",C157)),"PCMSO",IF(OR(ISNUMBER(SEARCH("SGS",C157)),ISNUMBER(SEARCH("CASTRO NAVES",C157))),"Projetos / Laudos / Avulsos","Projetos / Laudos / Avulsos")),"Rateio pela receita bruta"))</f>
        <v/>
      </c>
      <c r="U157" s="65">
        <f>IF(C157="","",IF(R157="(-) Custos diretos dos serviços","Direto por fornecedor/natureza do gasto","Rateio proporcional à receita bruta da linha de serviço"))</f>
        <v/>
      </c>
    </row>
    <row r="158">
      <c r="A158" s="28">
        <f>IF(C158="","", "CP-"&amp;TEXT(ROW()-5,"000"))</f>
        <v/>
      </c>
      <c r="B158" s="27">
        <f>IF(F158="","",DATE(YEAR(F158),MONTH(F158),1))</f>
        <v/>
      </c>
      <c r="C158" s="28" t="n"/>
      <c r="D158" s="28" t="n"/>
      <c r="E158" s="59">
        <f>IF(C158="","",IFERROR(INDEX('6. Base de Custos'!$M$8:$M$42,MATCH(C158,'6. Base de Custos'!$L$8:$L$42,0)),"Não classificado"))</f>
        <v/>
      </c>
      <c r="F158" s="111" t="n"/>
      <c r="G158" s="111" t="n"/>
      <c r="H158" s="111" t="n"/>
      <c r="I158" s="45" t="n"/>
      <c r="J158" s="28" t="n"/>
      <c r="K158" s="28" t="n"/>
      <c r="L158" s="28" t="n"/>
      <c r="M158" s="59">
        <f>IF(C158="","",IFERROR(INDEX('6. Base de Custos'!$N$8:$N$42,MATCH(C158,'6. Base de Custos'!$L$8:$L$42,0)),"Não classificado"))</f>
        <v/>
      </c>
      <c r="N158" s="59">
        <f>IF(C158="","",IFERROR(INDEX('6. Base de Custos'!$O$8:$O$42,MATCH(C158,'6. Base de Custos'!$L$8:$L$42,0)),"Revisar"))</f>
        <v/>
      </c>
      <c r="O158" s="60">
        <f>IF(M158="","",IFERROR(VLOOKUP(M158,'6. Base de Custos'!$H$12:$J$18,3,FALSE),0))</f>
        <v/>
      </c>
      <c r="P158" s="59">
        <f>IF(C158="","",IFERROR(INDEX('6. Base de Custos'!$P$8:$P$42,MATCH(C158,'6. Base de Custos'!$L$8:$L$42,0)),"Revisar"))</f>
        <v/>
      </c>
      <c r="Q158" s="59">
        <f>IF(C158="","",IFERROR(INDEX('6. Base de Custos'!$Q$8:$Q$42,MATCH(C158,'6. Base de Custos'!$L$8:$L$42,0)),""))</f>
        <v/>
      </c>
      <c r="R158" s="65">
        <f>IF(C158="","",IFERROR(VLOOKUP(M158&amp;"|"&amp;N158,'17. Mapa DRE CP'!$E$5:$H$100,2,FALSE),"Revisar"))</f>
        <v/>
      </c>
      <c r="S158" s="65">
        <f>IF(C158="","",IFERROR(VLOOKUP(M158&amp;"|"&amp;N158,'17. Mapa DRE CP'!$E$5:$H$100,3,FALSE),"Revisar"))</f>
        <v/>
      </c>
      <c r="T158" s="65">
        <f>IF(C158="","",IF(R158="(-) Custos diretos dos serviços",IF(ISNUMBER(SEARCH("PCMSO",C158)),"PCMSO",IF(OR(ISNUMBER(SEARCH("SGS",C158)),ISNUMBER(SEARCH("CASTRO NAVES",C158))),"Projetos / Laudos / Avulsos","Projetos / Laudos / Avulsos")),"Rateio pela receita bruta"))</f>
        <v/>
      </c>
      <c r="U158" s="65">
        <f>IF(C158="","",IF(R158="(-) Custos diretos dos serviços","Direto por fornecedor/natureza do gasto","Rateio proporcional à receita bruta da linha de serviço"))</f>
        <v/>
      </c>
    </row>
    <row r="159">
      <c r="A159" s="28">
        <f>IF(C159="","", "CP-"&amp;TEXT(ROW()-5,"000"))</f>
        <v/>
      </c>
      <c r="B159" s="27">
        <f>IF(F159="","",DATE(YEAR(F159),MONTH(F159),1))</f>
        <v/>
      </c>
      <c r="C159" s="28" t="n"/>
      <c r="D159" s="28" t="n"/>
      <c r="E159" s="59">
        <f>IF(C159="","",IFERROR(INDEX('6. Base de Custos'!$M$8:$M$42,MATCH(C159,'6. Base de Custos'!$L$8:$L$42,0)),"Não classificado"))</f>
        <v/>
      </c>
      <c r="F159" s="111" t="n"/>
      <c r="G159" s="111" t="n"/>
      <c r="H159" s="111" t="n"/>
      <c r="I159" s="45" t="n"/>
      <c r="J159" s="28" t="n"/>
      <c r="K159" s="28" t="n"/>
      <c r="L159" s="28" t="n"/>
      <c r="M159" s="59">
        <f>IF(C159="","",IFERROR(INDEX('6. Base de Custos'!$N$8:$N$42,MATCH(C159,'6. Base de Custos'!$L$8:$L$42,0)),"Não classificado"))</f>
        <v/>
      </c>
      <c r="N159" s="59">
        <f>IF(C159="","",IFERROR(INDEX('6. Base de Custos'!$O$8:$O$42,MATCH(C159,'6. Base de Custos'!$L$8:$L$42,0)),"Revisar"))</f>
        <v/>
      </c>
      <c r="O159" s="60">
        <f>IF(M159="","",IFERROR(VLOOKUP(M159,'6. Base de Custos'!$H$12:$J$18,3,FALSE),0))</f>
        <v/>
      </c>
      <c r="P159" s="59">
        <f>IF(C159="","",IFERROR(INDEX('6. Base de Custos'!$P$8:$P$42,MATCH(C159,'6. Base de Custos'!$L$8:$L$42,0)),"Revisar"))</f>
        <v/>
      </c>
      <c r="Q159" s="59">
        <f>IF(C159="","",IFERROR(INDEX('6. Base de Custos'!$Q$8:$Q$42,MATCH(C159,'6. Base de Custos'!$L$8:$L$42,0)),""))</f>
        <v/>
      </c>
      <c r="R159" s="65">
        <f>IF(C159="","",IFERROR(VLOOKUP(M159&amp;"|"&amp;N159,'17. Mapa DRE CP'!$E$5:$H$100,2,FALSE),"Revisar"))</f>
        <v/>
      </c>
      <c r="S159" s="65">
        <f>IF(C159="","",IFERROR(VLOOKUP(M159&amp;"|"&amp;N159,'17. Mapa DRE CP'!$E$5:$H$100,3,FALSE),"Revisar"))</f>
        <v/>
      </c>
      <c r="T159" s="65">
        <f>IF(C159="","",IF(R159="(-) Custos diretos dos serviços",IF(ISNUMBER(SEARCH("PCMSO",C159)),"PCMSO",IF(OR(ISNUMBER(SEARCH("SGS",C159)),ISNUMBER(SEARCH("CASTRO NAVES",C159))),"Projetos / Laudos / Avulsos","Projetos / Laudos / Avulsos")),"Rateio pela receita bruta"))</f>
        <v/>
      </c>
      <c r="U159" s="65">
        <f>IF(C159="","",IF(R159="(-) Custos diretos dos serviços","Direto por fornecedor/natureza do gasto","Rateio proporcional à receita bruta da linha de serviço"))</f>
        <v/>
      </c>
    </row>
    <row r="160">
      <c r="A160" s="28">
        <f>IF(C160="","", "CP-"&amp;TEXT(ROW()-5,"000"))</f>
        <v/>
      </c>
      <c r="B160" s="27">
        <f>IF(F160="","",DATE(YEAR(F160),MONTH(F160),1))</f>
        <v/>
      </c>
      <c r="C160" s="28" t="n"/>
      <c r="D160" s="28" t="n"/>
      <c r="E160" s="59">
        <f>IF(C160="","",IFERROR(INDEX('6. Base de Custos'!$M$8:$M$42,MATCH(C160,'6. Base de Custos'!$L$8:$L$42,0)),"Não classificado"))</f>
        <v/>
      </c>
      <c r="F160" s="111" t="n"/>
      <c r="G160" s="111" t="n"/>
      <c r="H160" s="111" t="n"/>
      <c r="I160" s="45" t="n"/>
      <c r="J160" s="28" t="n"/>
      <c r="K160" s="28" t="n"/>
      <c r="L160" s="28" t="n"/>
      <c r="M160" s="59">
        <f>IF(C160="","",IFERROR(INDEX('6. Base de Custos'!$N$8:$N$42,MATCH(C160,'6. Base de Custos'!$L$8:$L$42,0)),"Não classificado"))</f>
        <v/>
      </c>
      <c r="N160" s="59">
        <f>IF(C160="","",IFERROR(INDEX('6. Base de Custos'!$O$8:$O$42,MATCH(C160,'6. Base de Custos'!$L$8:$L$42,0)),"Revisar"))</f>
        <v/>
      </c>
      <c r="O160" s="60">
        <f>IF(M160="","",IFERROR(VLOOKUP(M160,'6. Base de Custos'!$H$12:$J$18,3,FALSE),0))</f>
        <v/>
      </c>
      <c r="P160" s="59">
        <f>IF(C160="","",IFERROR(INDEX('6. Base de Custos'!$P$8:$P$42,MATCH(C160,'6. Base de Custos'!$L$8:$L$42,0)),"Revisar"))</f>
        <v/>
      </c>
      <c r="Q160" s="59">
        <f>IF(C160="","",IFERROR(INDEX('6. Base de Custos'!$Q$8:$Q$42,MATCH(C160,'6. Base de Custos'!$L$8:$L$42,0)),""))</f>
        <v/>
      </c>
      <c r="R160" s="65">
        <f>IF(C160="","",IFERROR(VLOOKUP(M160&amp;"|"&amp;N160,'17. Mapa DRE CP'!$E$5:$H$100,2,FALSE),"Revisar"))</f>
        <v/>
      </c>
      <c r="S160" s="65">
        <f>IF(C160="","",IFERROR(VLOOKUP(M160&amp;"|"&amp;N160,'17. Mapa DRE CP'!$E$5:$H$100,3,FALSE),"Revisar"))</f>
        <v/>
      </c>
      <c r="T160" s="65">
        <f>IF(C160="","",IF(R160="(-) Custos diretos dos serviços",IF(ISNUMBER(SEARCH("PCMSO",C160)),"PCMSO",IF(OR(ISNUMBER(SEARCH("SGS",C160)),ISNUMBER(SEARCH("CASTRO NAVES",C160))),"Projetos / Laudos / Avulsos","Projetos / Laudos / Avulsos")),"Rateio pela receita bruta"))</f>
        <v/>
      </c>
      <c r="U160" s="65">
        <f>IF(C160="","",IF(R160="(-) Custos diretos dos serviços","Direto por fornecedor/natureza do gasto","Rateio proporcional à receita bruta da linha de serviço"))</f>
        <v/>
      </c>
    </row>
    <row r="161">
      <c r="A161" s="28">
        <f>IF(C161="","", "CP-"&amp;TEXT(ROW()-5,"000"))</f>
        <v/>
      </c>
      <c r="B161" s="27">
        <f>IF(F161="","",DATE(YEAR(F161),MONTH(F161),1))</f>
        <v/>
      </c>
      <c r="C161" s="28" t="n"/>
      <c r="D161" s="28" t="n"/>
      <c r="E161" s="59">
        <f>IF(C161="","",IFERROR(INDEX('6. Base de Custos'!$M$8:$M$42,MATCH(C161,'6. Base de Custos'!$L$8:$L$42,0)),"Não classificado"))</f>
        <v/>
      </c>
      <c r="F161" s="111" t="n"/>
      <c r="G161" s="111" t="n"/>
      <c r="H161" s="111" t="n"/>
      <c r="I161" s="45" t="n"/>
      <c r="J161" s="28" t="n"/>
      <c r="K161" s="28" t="n"/>
      <c r="L161" s="28" t="n"/>
      <c r="M161" s="59">
        <f>IF(C161="","",IFERROR(INDEX('6. Base de Custos'!$N$8:$N$42,MATCH(C161,'6. Base de Custos'!$L$8:$L$42,0)),"Não classificado"))</f>
        <v/>
      </c>
      <c r="N161" s="59">
        <f>IF(C161="","",IFERROR(INDEX('6. Base de Custos'!$O$8:$O$42,MATCH(C161,'6. Base de Custos'!$L$8:$L$42,0)),"Revisar"))</f>
        <v/>
      </c>
      <c r="O161" s="60">
        <f>IF(M161="","",IFERROR(VLOOKUP(M161,'6. Base de Custos'!$H$12:$J$18,3,FALSE),0))</f>
        <v/>
      </c>
      <c r="P161" s="59">
        <f>IF(C161="","",IFERROR(INDEX('6. Base de Custos'!$P$8:$P$42,MATCH(C161,'6. Base de Custos'!$L$8:$L$42,0)),"Revisar"))</f>
        <v/>
      </c>
      <c r="Q161" s="59">
        <f>IF(C161="","",IFERROR(INDEX('6. Base de Custos'!$Q$8:$Q$42,MATCH(C161,'6. Base de Custos'!$L$8:$L$42,0)),""))</f>
        <v/>
      </c>
      <c r="R161" s="65">
        <f>IF(C161="","",IFERROR(VLOOKUP(M161&amp;"|"&amp;N161,'17. Mapa DRE CP'!$E$5:$H$100,2,FALSE),"Revisar"))</f>
        <v/>
      </c>
      <c r="S161" s="65">
        <f>IF(C161="","",IFERROR(VLOOKUP(M161&amp;"|"&amp;N161,'17. Mapa DRE CP'!$E$5:$H$100,3,FALSE),"Revisar"))</f>
        <v/>
      </c>
      <c r="T161" s="65">
        <f>IF(C161="","",IF(R161="(-) Custos diretos dos serviços",IF(ISNUMBER(SEARCH("PCMSO",C161)),"PCMSO",IF(OR(ISNUMBER(SEARCH("SGS",C161)),ISNUMBER(SEARCH("CASTRO NAVES",C161))),"Projetos / Laudos / Avulsos","Projetos / Laudos / Avulsos")),"Rateio pela receita bruta"))</f>
        <v/>
      </c>
      <c r="U161" s="65">
        <f>IF(C161="","",IF(R161="(-) Custos diretos dos serviços","Direto por fornecedor/natureza do gasto","Rateio proporcional à receita bruta da linha de serviço"))</f>
        <v/>
      </c>
    </row>
    <row r="162">
      <c r="A162" s="28">
        <f>IF(C162="","", "CP-"&amp;TEXT(ROW()-5,"000"))</f>
        <v/>
      </c>
      <c r="B162" s="27">
        <f>IF(F162="","",DATE(YEAR(F162),MONTH(F162),1))</f>
        <v/>
      </c>
      <c r="C162" s="28" t="n"/>
      <c r="D162" s="28" t="n"/>
      <c r="E162" s="59">
        <f>IF(C162="","",IFERROR(INDEX('6. Base de Custos'!$M$8:$M$42,MATCH(C162,'6. Base de Custos'!$L$8:$L$42,0)),"Não classificado"))</f>
        <v/>
      </c>
      <c r="F162" s="111" t="n"/>
      <c r="G162" s="111" t="n"/>
      <c r="H162" s="111" t="n"/>
      <c r="I162" s="45" t="n"/>
      <c r="J162" s="28" t="n"/>
      <c r="K162" s="28" t="n"/>
      <c r="L162" s="28" t="n"/>
      <c r="M162" s="59">
        <f>IF(C162="","",IFERROR(INDEX('6. Base de Custos'!$N$8:$N$42,MATCH(C162,'6. Base de Custos'!$L$8:$L$42,0)),"Não classificado"))</f>
        <v/>
      </c>
      <c r="N162" s="59">
        <f>IF(C162="","",IFERROR(INDEX('6. Base de Custos'!$O$8:$O$42,MATCH(C162,'6. Base de Custos'!$L$8:$L$42,0)),"Revisar"))</f>
        <v/>
      </c>
      <c r="O162" s="60">
        <f>IF(M162="","",IFERROR(VLOOKUP(M162,'6. Base de Custos'!$H$12:$J$18,3,FALSE),0))</f>
        <v/>
      </c>
      <c r="P162" s="59">
        <f>IF(C162="","",IFERROR(INDEX('6. Base de Custos'!$P$8:$P$42,MATCH(C162,'6. Base de Custos'!$L$8:$L$42,0)),"Revisar"))</f>
        <v/>
      </c>
      <c r="Q162" s="59">
        <f>IF(C162="","",IFERROR(INDEX('6. Base de Custos'!$Q$8:$Q$42,MATCH(C162,'6. Base de Custos'!$L$8:$L$42,0)),""))</f>
        <v/>
      </c>
      <c r="R162" s="65">
        <f>IF(C162="","",IFERROR(VLOOKUP(M162&amp;"|"&amp;N162,'17. Mapa DRE CP'!$E$5:$H$100,2,FALSE),"Revisar"))</f>
        <v/>
      </c>
      <c r="S162" s="65">
        <f>IF(C162="","",IFERROR(VLOOKUP(M162&amp;"|"&amp;N162,'17. Mapa DRE CP'!$E$5:$H$100,3,FALSE),"Revisar"))</f>
        <v/>
      </c>
      <c r="T162" s="65">
        <f>IF(C162="","",IF(R162="(-) Custos diretos dos serviços",IF(ISNUMBER(SEARCH("PCMSO",C162)),"PCMSO",IF(OR(ISNUMBER(SEARCH("SGS",C162)),ISNUMBER(SEARCH("CASTRO NAVES",C162))),"Projetos / Laudos / Avulsos","Projetos / Laudos / Avulsos")),"Rateio pela receita bruta"))</f>
        <v/>
      </c>
      <c r="U162" s="65">
        <f>IF(C162="","",IF(R162="(-) Custos diretos dos serviços","Direto por fornecedor/natureza do gasto","Rateio proporcional à receita bruta da linha de serviço"))</f>
        <v/>
      </c>
    </row>
    <row r="163">
      <c r="A163" s="28">
        <f>IF(C163="","", "CP-"&amp;TEXT(ROW()-5,"000"))</f>
        <v/>
      </c>
      <c r="B163" s="27">
        <f>IF(F163="","",DATE(YEAR(F163),MONTH(F163),1))</f>
        <v/>
      </c>
      <c r="C163" s="28" t="n"/>
      <c r="D163" s="28" t="n"/>
      <c r="E163" s="59">
        <f>IF(C163="","",IFERROR(INDEX('6. Base de Custos'!$M$8:$M$42,MATCH(C163,'6. Base de Custos'!$L$8:$L$42,0)),"Não classificado"))</f>
        <v/>
      </c>
      <c r="F163" s="111" t="n"/>
      <c r="G163" s="111" t="n"/>
      <c r="H163" s="111" t="n"/>
      <c r="I163" s="45" t="n"/>
      <c r="J163" s="28" t="n"/>
      <c r="K163" s="28" t="n"/>
      <c r="L163" s="28" t="n"/>
      <c r="M163" s="59">
        <f>IF(C163="","",IFERROR(INDEX('6. Base de Custos'!$N$8:$N$42,MATCH(C163,'6. Base de Custos'!$L$8:$L$42,0)),"Não classificado"))</f>
        <v/>
      </c>
      <c r="N163" s="59">
        <f>IF(C163="","",IFERROR(INDEX('6. Base de Custos'!$O$8:$O$42,MATCH(C163,'6. Base de Custos'!$L$8:$L$42,0)),"Revisar"))</f>
        <v/>
      </c>
      <c r="O163" s="60">
        <f>IF(M163="","",IFERROR(VLOOKUP(M163,'6. Base de Custos'!$H$12:$J$18,3,FALSE),0))</f>
        <v/>
      </c>
      <c r="P163" s="59">
        <f>IF(C163="","",IFERROR(INDEX('6. Base de Custos'!$P$8:$P$42,MATCH(C163,'6. Base de Custos'!$L$8:$L$42,0)),"Revisar"))</f>
        <v/>
      </c>
      <c r="Q163" s="59">
        <f>IF(C163="","",IFERROR(INDEX('6. Base de Custos'!$Q$8:$Q$42,MATCH(C163,'6. Base de Custos'!$L$8:$L$42,0)),""))</f>
        <v/>
      </c>
      <c r="R163" s="65">
        <f>IF(C163="","",IFERROR(VLOOKUP(M163&amp;"|"&amp;N163,'17. Mapa DRE CP'!$E$5:$H$100,2,FALSE),"Revisar"))</f>
        <v/>
      </c>
      <c r="S163" s="65">
        <f>IF(C163="","",IFERROR(VLOOKUP(M163&amp;"|"&amp;N163,'17. Mapa DRE CP'!$E$5:$H$100,3,FALSE),"Revisar"))</f>
        <v/>
      </c>
      <c r="T163" s="65">
        <f>IF(C163="","",IF(R163="(-) Custos diretos dos serviços",IF(ISNUMBER(SEARCH("PCMSO",C163)),"PCMSO",IF(OR(ISNUMBER(SEARCH("SGS",C163)),ISNUMBER(SEARCH("CASTRO NAVES",C163))),"Projetos / Laudos / Avulsos","Projetos / Laudos / Avulsos")),"Rateio pela receita bruta"))</f>
        <v/>
      </c>
      <c r="U163" s="65">
        <f>IF(C163="","",IF(R163="(-) Custos diretos dos serviços","Direto por fornecedor/natureza do gasto","Rateio proporcional à receita bruta da linha de serviço"))</f>
        <v/>
      </c>
    </row>
    <row r="164">
      <c r="A164" s="28">
        <f>IF(C164="","", "CP-"&amp;TEXT(ROW()-5,"000"))</f>
        <v/>
      </c>
      <c r="B164" s="27">
        <f>IF(F164="","",DATE(YEAR(F164),MONTH(F164),1))</f>
        <v/>
      </c>
      <c r="C164" s="28" t="n"/>
      <c r="D164" s="28" t="n"/>
      <c r="E164" s="59">
        <f>IF(C164="","",IFERROR(INDEX('6. Base de Custos'!$M$8:$M$42,MATCH(C164,'6. Base de Custos'!$L$8:$L$42,0)),"Não classificado"))</f>
        <v/>
      </c>
      <c r="F164" s="111" t="n"/>
      <c r="G164" s="111" t="n"/>
      <c r="H164" s="111" t="n"/>
      <c r="I164" s="45" t="n"/>
      <c r="J164" s="28" t="n"/>
      <c r="K164" s="28" t="n"/>
      <c r="L164" s="28" t="n"/>
      <c r="M164" s="59">
        <f>IF(C164="","",IFERROR(INDEX('6. Base de Custos'!$N$8:$N$42,MATCH(C164,'6. Base de Custos'!$L$8:$L$42,0)),"Não classificado"))</f>
        <v/>
      </c>
      <c r="N164" s="59">
        <f>IF(C164="","",IFERROR(INDEX('6. Base de Custos'!$O$8:$O$42,MATCH(C164,'6. Base de Custos'!$L$8:$L$42,0)),"Revisar"))</f>
        <v/>
      </c>
      <c r="O164" s="60">
        <f>IF(M164="","",IFERROR(VLOOKUP(M164,'6. Base de Custos'!$H$12:$J$18,3,FALSE),0))</f>
        <v/>
      </c>
      <c r="P164" s="59">
        <f>IF(C164="","",IFERROR(INDEX('6. Base de Custos'!$P$8:$P$42,MATCH(C164,'6. Base de Custos'!$L$8:$L$42,0)),"Revisar"))</f>
        <v/>
      </c>
      <c r="Q164" s="59">
        <f>IF(C164="","",IFERROR(INDEX('6. Base de Custos'!$Q$8:$Q$42,MATCH(C164,'6. Base de Custos'!$L$8:$L$42,0)),""))</f>
        <v/>
      </c>
      <c r="R164" s="65">
        <f>IF(C164="","",IFERROR(VLOOKUP(M164&amp;"|"&amp;N164,'17. Mapa DRE CP'!$E$5:$H$100,2,FALSE),"Revisar"))</f>
        <v/>
      </c>
      <c r="S164" s="65">
        <f>IF(C164="","",IFERROR(VLOOKUP(M164&amp;"|"&amp;N164,'17. Mapa DRE CP'!$E$5:$H$100,3,FALSE),"Revisar"))</f>
        <v/>
      </c>
      <c r="T164" s="65">
        <f>IF(C164="","",IF(R164="(-) Custos diretos dos serviços",IF(ISNUMBER(SEARCH("PCMSO",C164)),"PCMSO",IF(OR(ISNUMBER(SEARCH("SGS",C164)),ISNUMBER(SEARCH("CASTRO NAVES",C164))),"Projetos / Laudos / Avulsos","Projetos / Laudos / Avulsos")),"Rateio pela receita bruta"))</f>
        <v/>
      </c>
      <c r="U164" s="65">
        <f>IF(C164="","",IF(R164="(-) Custos diretos dos serviços","Direto por fornecedor/natureza do gasto","Rateio proporcional à receita bruta da linha de serviço"))</f>
        <v/>
      </c>
    </row>
    <row r="165">
      <c r="A165" s="28">
        <f>IF(C165="","", "CP-"&amp;TEXT(ROW()-5,"000"))</f>
        <v/>
      </c>
      <c r="B165" s="27">
        <f>IF(F165="","",DATE(YEAR(F165),MONTH(F165),1))</f>
        <v/>
      </c>
      <c r="C165" s="28" t="n"/>
      <c r="D165" s="28" t="n"/>
      <c r="E165" s="59">
        <f>IF(C165="","",IFERROR(INDEX('6. Base de Custos'!$M$8:$M$42,MATCH(C165,'6. Base de Custos'!$L$8:$L$42,0)),"Não classificado"))</f>
        <v/>
      </c>
      <c r="F165" s="111" t="n"/>
      <c r="G165" s="111" t="n"/>
      <c r="H165" s="111" t="n"/>
      <c r="I165" s="45" t="n"/>
      <c r="J165" s="28" t="n"/>
      <c r="K165" s="28" t="n"/>
      <c r="L165" s="28" t="n"/>
      <c r="M165" s="59">
        <f>IF(C165="","",IFERROR(INDEX('6. Base de Custos'!$N$8:$N$42,MATCH(C165,'6. Base de Custos'!$L$8:$L$42,0)),"Não classificado"))</f>
        <v/>
      </c>
      <c r="N165" s="59">
        <f>IF(C165="","",IFERROR(INDEX('6. Base de Custos'!$O$8:$O$42,MATCH(C165,'6. Base de Custos'!$L$8:$L$42,0)),"Revisar"))</f>
        <v/>
      </c>
      <c r="O165" s="60">
        <f>IF(M165="","",IFERROR(VLOOKUP(M165,'6. Base de Custos'!$H$12:$J$18,3,FALSE),0))</f>
        <v/>
      </c>
      <c r="P165" s="59">
        <f>IF(C165="","",IFERROR(INDEX('6. Base de Custos'!$P$8:$P$42,MATCH(C165,'6. Base de Custos'!$L$8:$L$42,0)),"Revisar"))</f>
        <v/>
      </c>
      <c r="Q165" s="59">
        <f>IF(C165="","",IFERROR(INDEX('6. Base de Custos'!$Q$8:$Q$42,MATCH(C165,'6. Base de Custos'!$L$8:$L$42,0)),""))</f>
        <v/>
      </c>
      <c r="R165" s="65">
        <f>IF(C165="","",IFERROR(VLOOKUP(M165&amp;"|"&amp;N165,'17. Mapa DRE CP'!$E$5:$H$100,2,FALSE),"Revisar"))</f>
        <v/>
      </c>
      <c r="S165" s="65">
        <f>IF(C165="","",IFERROR(VLOOKUP(M165&amp;"|"&amp;N165,'17. Mapa DRE CP'!$E$5:$H$100,3,FALSE),"Revisar"))</f>
        <v/>
      </c>
      <c r="T165" s="65">
        <f>IF(C165="","",IF(R165="(-) Custos diretos dos serviços",IF(ISNUMBER(SEARCH("PCMSO",C165)),"PCMSO",IF(OR(ISNUMBER(SEARCH("SGS",C165)),ISNUMBER(SEARCH("CASTRO NAVES",C165))),"Projetos / Laudos / Avulsos","Projetos / Laudos / Avulsos")),"Rateio pela receita bruta"))</f>
        <v/>
      </c>
      <c r="U165" s="65">
        <f>IF(C165="","",IF(R165="(-) Custos diretos dos serviços","Direto por fornecedor/natureza do gasto","Rateio proporcional à receita bruta da linha de serviço"))</f>
        <v/>
      </c>
    </row>
    <row r="166">
      <c r="A166" s="28">
        <f>IF(C166="","", "CP-"&amp;TEXT(ROW()-5,"000"))</f>
        <v/>
      </c>
      <c r="B166" s="27">
        <f>IF(F166="","",DATE(YEAR(F166),MONTH(F166),1))</f>
        <v/>
      </c>
      <c r="C166" s="28" t="n"/>
      <c r="D166" s="28" t="n"/>
      <c r="E166" s="59">
        <f>IF(C166="","",IFERROR(INDEX('6. Base de Custos'!$M$8:$M$42,MATCH(C166,'6. Base de Custos'!$L$8:$L$42,0)),"Não classificado"))</f>
        <v/>
      </c>
      <c r="F166" s="111" t="n"/>
      <c r="G166" s="111" t="n"/>
      <c r="H166" s="111" t="n"/>
      <c r="I166" s="45" t="n"/>
      <c r="J166" s="28" t="n"/>
      <c r="K166" s="28" t="n"/>
      <c r="L166" s="28" t="n"/>
      <c r="M166" s="59">
        <f>IF(C166="","",IFERROR(INDEX('6. Base de Custos'!$N$8:$N$42,MATCH(C166,'6. Base de Custos'!$L$8:$L$42,0)),"Não classificado"))</f>
        <v/>
      </c>
      <c r="N166" s="59">
        <f>IF(C166="","",IFERROR(INDEX('6. Base de Custos'!$O$8:$O$42,MATCH(C166,'6. Base de Custos'!$L$8:$L$42,0)),"Revisar"))</f>
        <v/>
      </c>
      <c r="O166" s="60">
        <f>IF(M166="","",IFERROR(VLOOKUP(M166,'6. Base de Custos'!$H$12:$J$18,3,FALSE),0))</f>
        <v/>
      </c>
      <c r="P166" s="59">
        <f>IF(C166="","",IFERROR(INDEX('6. Base de Custos'!$P$8:$P$42,MATCH(C166,'6. Base de Custos'!$L$8:$L$42,0)),"Revisar"))</f>
        <v/>
      </c>
      <c r="Q166" s="59">
        <f>IF(C166="","",IFERROR(INDEX('6. Base de Custos'!$Q$8:$Q$42,MATCH(C166,'6. Base de Custos'!$L$8:$L$42,0)),""))</f>
        <v/>
      </c>
      <c r="R166" s="65">
        <f>IF(C166="","",IFERROR(VLOOKUP(M166&amp;"|"&amp;N166,'17. Mapa DRE CP'!$E$5:$H$100,2,FALSE),"Revisar"))</f>
        <v/>
      </c>
      <c r="S166" s="65">
        <f>IF(C166="","",IFERROR(VLOOKUP(M166&amp;"|"&amp;N166,'17. Mapa DRE CP'!$E$5:$H$100,3,FALSE),"Revisar"))</f>
        <v/>
      </c>
      <c r="T166" s="65">
        <f>IF(C166="","",IF(R166="(-) Custos diretos dos serviços",IF(ISNUMBER(SEARCH("PCMSO",C166)),"PCMSO",IF(OR(ISNUMBER(SEARCH("SGS",C166)),ISNUMBER(SEARCH("CASTRO NAVES",C166))),"Projetos / Laudos / Avulsos","Projetos / Laudos / Avulsos")),"Rateio pela receita bruta"))</f>
        <v/>
      </c>
      <c r="U166" s="65">
        <f>IF(C166="","",IF(R166="(-) Custos diretos dos serviços","Direto por fornecedor/natureza do gasto","Rateio proporcional à receita bruta da linha de serviço"))</f>
        <v/>
      </c>
    </row>
    <row r="167">
      <c r="A167" s="28">
        <f>IF(C167="","", "CP-"&amp;TEXT(ROW()-5,"000"))</f>
        <v/>
      </c>
      <c r="B167" s="27">
        <f>IF(F167="","",DATE(YEAR(F167),MONTH(F167),1))</f>
        <v/>
      </c>
      <c r="C167" s="28" t="n"/>
      <c r="D167" s="28" t="n"/>
      <c r="E167" s="59">
        <f>IF(C167="","",IFERROR(INDEX('6. Base de Custos'!$M$8:$M$42,MATCH(C167,'6. Base de Custos'!$L$8:$L$42,0)),"Não classificado"))</f>
        <v/>
      </c>
      <c r="F167" s="111" t="n"/>
      <c r="G167" s="111" t="n"/>
      <c r="H167" s="111" t="n"/>
      <c r="I167" s="45" t="n"/>
      <c r="J167" s="28" t="n"/>
      <c r="K167" s="28" t="n"/>
      <c r="L167" s="28" t="n"/>
      <c r="M167" s="59">
        <f>IF(C167="","",IFERROR(INDEX('6. Base de Custos'!$N$8:$N$42,MATCH(C167,'6. Base de Custos'!$L$8:$L$42,0)),"Não classificado"))</f>
        <v/>
      </c>
      <c r="N167" s="59">
        <f>IF(C167="","",IFERROR(INDEX('6. Base de Custos'!$O$8:$O$42,MATCH(C167,'6. Base de Custos'!$L$8:$L$42,0)),"Revisar"))</f>
        <v/>
      </c>
      <c r="O167" s="60">
        <f>IF(M167="","",IFERROR(VLOOKUP(M167,'6. Base de Custos'!$H$12:$J$18,3,FALSE),0))</f>
        <v/>
      </c>
      <c r="P167" s="59">
        <f>IF(C167="","",IFERROR(INDEX('6. Base de Custos'!$P$8:$P$42,MATCH(C167,'6. Base de Custos'!$L$8:$L$42,0)),"Revisar"))</f>
        <v/>
      </c>
      <c r="Q167" s="59">
        <f>IF(C167="","",IFERROR(INDEX('6. Base de Custos'!$Q$8:$Q$42,MATCH(C167,'6. Base de Custos'!$L$8:$L$42,0)),""))</f>
        <v/>
      </c>
      <c r="R167" s="65">
        <f>IF(C167="","",IFERROR(VLOOKUP(M167&amp;"|"&amp;N167,'17. Mapa DRE CP'!$E$5:$H$100,2,FALSE),"Revisar"))</f>
        <v/>
      </c>
      <c r="S167" s="65">
        <f>IF(C167="","",IFERROR(VLOOKUP(M167&amp;"|"&amp;N167,'17. Mapa DRE CP'!$E$5:$H$100,3,FALSE),"Revisar"))</f>
        <v/>
      </c>
      <c r="T167" s="65">
        <f>IF(C167="","",IF(R167="(-) Custos diretos dos serviços",IF(ISNUMBER(SEARCH("PCMSO",C167)),"PCMSO",IF(OR(ISNUMBER(SEARCH("SGS",C167)),ISNUMBER(SEARCH("CASTRO NAVES",C167))),"Projetos / Laudos / Avulsos","Projetos / Laudos / Avulsos")),"Rateio pela receita bruta"))</f>
        <v/>
      </c>
      <c r="U167" s="65">
        <f>IF(C167="","",IF(R167="(-) Custos diretos dos serviços","Direto por fornecedor/natureza do gasto","Rateio proporcional à receita bruta da linha de serviço"))</f>
        <v/>
      </c>
    </row>
    <row r="168">
      <c r="A168" s="28">
        <f>IF(C168="","", "CP-"&amp;TEXT(ROW()-5,"000"))</f>
        <v/>
      </c>
      <c r="B168" s="27">
        <f>IF(F168="","",DATE(YEAR(F168),MONTH(F168),1))</f>
        <v/>
      </c>
      <c r="C168" s="28" t="n"/>
      <c r="D168" s="28" t="n"/>
      <c r="E168" s="59">
        <f>IF(C168="","",IFERROR(INDEX('6. Base de Custos'!$M$8:$M$42,MATCH(C168,'6. Base de Custos'!$L$8:$L$42,0)),"Não classificado"))</f>
        <v/>
      </c>
      <c r="F168" s="111" t="n"/>
      <c r="G168" s="111" t="n"/>
      <c r="H168" s="111" t="n"/>
      <c r="I168" s="45" t="n"/>
      <c r="J168" s="28" t="n"/>
      <c r="K168" s="28" t="n"/>
      <c r="L168" s="28" t="n"/>
      <c r="M168" s="59">
        <f>IF(C168="","",IFERROR(INDEX('6. Base de Custos'!$N$8:$N$42,MATCH(C168,'6. Base de Custos'!$L$8:$L$42,0)),"Não classificado"))</f>
        <v/>
      </c>
      <c r="N168" s="59">
        <f>IF(C168="","",IFERROR(INDEX('6. Base de Custos'!$O$8:$O$42,MATCH(C168,'6. Base de Custos'!$L$8:$L$42,0)),"Revisar"))</f>
        <v/>
      </c>
      <c r="O168" s="60">
        <f>IF(M168="","",IFERROR(VLOOKUP(M168,'6. Base de Custos'!$H$12:$J$18,3,FALSE),0))</f>
        <v/>
      </c>
      <c r="P168" s="59">
        <f>IF(C168="","",IFERROR(INDEX('6. Base de Custos'!$P$8:$P$42,MATCH(C168,'6. Base de Custos'!$L$8:$L$42,0)),"Revisar"))</f>
        <v/>
      </c>
      <c r="Q168" s="59">
        <f>IF(C168="","",IFERROR(INDEX('6. Base de Custos'!$Q$8:$Q$42,MATCH(C168,'6. Base de Custos'!$L$8:$L$42,0)),""))</f>
        <v/>
      </c>
      <c r="R168" s="65">
        <f>IF(C168="","",IFERROR(VLOOKUP(M168&amp;"|"&amp;N168,'17. Mapa DRE CP'!$E$5:$H$100,2,FALSE),"Revisar"))</f>
        <v/>
      </c>
      <c r="S168" s="65">
        <f>IF(C168="","",IFERROR(VLOOKUP(M168&amp;"|"&amp;N168,'17. Mapa DRE CP'!$E$5:$H$100,3,FALSE),"Revisar"))</f>
        <v/>
      </c>
      <c r="T168" s="65">
        <f>IF(C168="","",IF(R168="(-) Custos diretos dos serviços",IF(ISNUMBER(SEARCH("PCMSO",C168)),"PCMSO",IF(OR(ISNUMBER(SEARCH("SGS",C168)),ISNUMBER(SEARCH("CASTRO NAVES",C168))),"Projetos / Laudos / Avulsos","Projetos / Laudos / Avulsos")),"Rateio pela receita bruta"))</f>
        <v/>
      </c>
      <c r="U168" s="65">
        <f>IF(C168="","",IF(R168="(-) Custos diretos dos serviços","Direto por fornecedor/natureza do gasto","Rateio proporcional à receita bruta da linha de serviço"))</f>
        <v/>
      </c>
    </row>
    <row r="169">
      <c r="A169" s="28">
        <f>IF(C169="","", "CP-"&amp;TEXT(ROW()-5,"000"))</f>
        <v/>
      </c>
      <c r="B169" s="27">
        <f>IF(F169="","",DATE(YEAR(F169),MONTH(F169),1))</f>
        <v/>
      </c>
      <c r="C169" s="28" t="n"/>
      <c r="D169" s="28" t="n"/>
      <c r="E169" s="59">
        <f>IF(C169="","",IFERROR(INDEX('6. Base de Custos'!$M$8:$M$42,MATCH(C169,'6. Base de Custos'!$L$8:$L$42,0)),"Não classificado"))</f>
        <v/>
      </c>
      <c r="F169" s="111" t="n"/>
      <c r="G169" s="111" t="n"/>
      <c r="H169" s="111" t="n"/>
      <c r="I169" s="45" t="n"/>
      <c r="J169" s="28" t="n"/>
      <c r="K169" s="28" t="n"/>
      <c r="L169" s="28" t="n"/>
      <c r="M169" s="59">
        <f>IF(C169="","",IFERROR(INDEX('6. Base de Custos'!$N$8:$N$42,MATCH(C169,'6. Base de Custos'!$L$8:$L$42,0)),"Não classificado"))</f>
        <v/>
      </c>
      <c r="N169" s="59">
        <f>IF(C169="","",IFERROR(INDEX('6. Base de Custos'!$O$8:$O$42,MATCH(C169,'6. Base de Custos'!$L$8:$L$42,0)),"Revisar"))</f>
        <v/>
      </c>
      <c r="O169" s="60">
        <f>IF(M169="","",IFERROR(VLOOKUP(M169,'6. Base de Custos'!$H$12:$J$18,3,FALSE),0))</f>
        <v/>
      </c>
      <c r="P169" s="59">
        <f>IF(C169="","",IFERROR(INDEX('6. Base de Custos'!$P$8:$P$42,MATCH(C169,'6. Base de Custos'!$L$8:$L$42,0)),"Revisar"))</f>
        <v/>
      </c>
      <c r="Q169" s="59">
        <f>IF(C169="","",IFERROR(INDEX('6. Base de Custos'!$Q$8:$Q$42,MATCH(C169,'6. Base de Custos'!$L$8:$L$42,0)),""))</f>
        <v/>
      </c>
      <c r="R169" s="65">
        <f>IF(C169="","",IFERROR(VLOOKUP(M169&amp;"|"&amp;N169,'17. Mapa DRE CP'!$E$5:$H$100,2,FALSE),"Revisar"))</f>
        <v/>
      </c>
      <c r="S169" s="65">
        <f>IF(C169="","",IFERROR(VLOOKUP(M169&amp;"|"&amp;N169,'17. Mapa DRE CP'!$E$5:$H$100,3,FALSE),"Revisar"))</f>
        <v/>
      </c>
      <c r="T169" s="65">
        <f>IF(C169="","",IF(R169="(-) Custos diretos dos serviços",IF(ISNUMBER(SEARCH("PCMSO",C169)),"PCMSO",IF(OR(ISNUMBER(SEARCH("SGS",C169)),ISNUMBER(SEARCH("CASTRO NAVES",C169))),"Projetos / Laudos / Avulsos","Projetos / Laudos / Avulsos")),"Rateio pela receita bruta"))</f>
        <v/>
      </c>
      <c r="U169" s="65">
        <f>IF(C169="","",IF(R169="(-) Custos diretos dos serviços","Direto por fornecedor/natureza do gasto","Rateio proporcional à receita bruta da linha de serviço"))</f>
        <v/>
      </c>
    </row>
    <row r="170">
      <c r="A170" s="28">
        <f>IF(C170="","", "CP-"&amp;TEXT(ROW()-5,"000"))</f>
        <v/>
      </c>
      <c r="B170" s="27">
        <f>IF(F170="","",DATE(YEAR(F170),MONTH(F170),1))</f>
        <v/>
      </c>
      <c r="C170" s="28" t="n"/>
      <c r="D170" s="28" t="n"/>
      <c r="E170" s="59">
        <f>IF(C170="","",IFERROR(INDEX('6. Base de Custos'!$M$8:$M$42,MATCH(C170,'6. Base de Custos'!$L$8:$L$42,0)),"Não classificado"))</f>
        <v/>
      </c>
      <c r="F170" s="111" t="n"/>
      <c r="G170" s="111" t="n"/>
      <c r="H170" s="111" t="n"/>
      <c r="I170" s="45" t="n"/>
      <c r="J170" s="28" t="n"/>
      <c r="K170" s="28" t="n"/>
      <c r="L170" s="28" t="n"/>
      <c r="M170" s="59">
        <f>IF(C170="","",IFERROR(INDEX('6. Base de Custos'!$N$8:$N$42,MATCH(C170,'6. Base de Custos'!$L$8:$L$42,0)),"Não classificado"))</f>
        <v/>
      </c>
      <c r="N170" s="59">
        <f>IF(C170="","",IFERROR(INDEX('6. Base de Custos'!$O$8:$O$42,MATCH(C170,'6. Base de Custos'!$L$8:$L$42,0)),"Revisar"))</f>
        <v/>
      </c>
      <c r="O170" s="60">
        <f>IF(M170="","",IFERROR(VLOOKUP(M170,'6. Base de Custos'!$H$12:$J$18,3,FALSE),0))</f>
        <v/>
      </c>
      <c r="P170" s="59">
        <f>IF(C170="","",IFERROR(INDEX('6. Base de Custos'!$P$8:$P$42,MATCH(C170,'6. Base de Custos'!$L$8:$L$42,0)),"Revisar"))</f>
        <v/>
      </c>
      <c r="Q170" s="59">
        <f>IF(C170="","",IFERROR(INDEX('6. Base de Custos'!$Q$8:$Q$42,MATCH(C170,'6. Base de Custos'!$L$8:$L$42,0)),""))</f>
        <v/>
      </c>
      <c r="R170" s="65">
        <f>IF(C170="","",IFERROR(VLOOKUP(M170&amp;"|"&amp;N170,'17. Mapa DRE CP'!$E$5:$H$100,2,FALSE),"Revisar"))</f>
        <v/>
      </c>
      <c r="S170" s="65">
        <f>IF(C170="","",IFERROR(VLOOKUP(M170&amp;"|"&amp;N170,'17. Mapa DRE CP'!$E$5:$H$100,3,FALSE),"Revisar"))</f>
        <v/>
      </c>
      <c r="T170" s="65">
        <f>IF(C170="","",IF(R170="(-) Custos diretos dos serviços",IF(ISNUMBER(SEARCH("PCMSO",C170)),"PCMSO",IF(OR(ISNUMBER(SEARCH("SGS",C170)),ISNUMBER(SEARCH("CASTRO NAVES",C170))),"Projetos / Laudos / Avulsos","Projetos / Laudos / Avulsos")),"Rateio pela receita bruta"))</f>
        <v/>
      </c>
      <c r="U170" s="65">
        <f>IF(C170="","",IF(R170="(-) Custos diretos dos serviços","Direto por fornecedor/natureza do gasto","Rateio proporcional à receita bruta da linha de serviço"))</f>
        <v/>
      </c>
    </row>
    <row r="171">
      <c r="A171" s="28">
        <f>IF(C171="","", "CP-"&amp;TEXT(ROW()-5,"000"))</f>
        <v/>
      </c>
      <c r="B171" s="27">
        <f>IF(F171="","",DATE(YEAR(F171),MONTH(F171),1))</f>
        <v/>
      </c>
      <c r="C171" s="28" t="n"/>
      <c r="D171" s="28" t="n"/>
      <c r="E171" s="59">
        <f>IF(C171="","",IFERROR(INDEX('6. Base de Custos'!$M$8:$M$42,MATCH(C171,'6. Base de Custos'!$L$8:$L$42,0)),"Não classificado"))</f>
        <v/>
      </c>
      <c r="F171" s="111" t="n"/>
      <c r="G171" s="111" t="n"/>
      <c r="H171" s="111" t="n"/>
      <c r="I171" s="45" t="n"/>
      <c r="J171" s="28" t="n"/>
      <c r="K171" s="28" t="n"/>
      <c r="L171" s="28" t="n"/>
      <c r="M171" s="59">
        <f>IF(C171="","",IFERROR(INDEX('6. Base de Custos'!$N$8:$N$42,MATCH(C171,'6. Base de Custos'!$L$8:$L$42,0)),"Não classificado"))</f>
        <v/>
      </c>
      <c r="N171" s="59">
        <f>IF(C171="","",IFERROR(INDEX('6. Base de Custos'!$O$8:$O$42,MATCH(C171,'6. Base de Custos'!$L$8:$L$42,0)),"Revisar"))</f>
        <v/>
      </c>
      <c r="O171" s="60">
        <f>IF(M171="","",IFERROR(VLOOKUP(M171,'6. Base de Custos'!$H$12:$J$18,3,FALSE),0))</f>
        <v/>
      </c>
      <c r="P171" s="59">
        <f>IF(C171="","",IFERROR(INDEX('6. Base de Custos'!$P$8:$P$42,MATCH(C171,'6. Base de Custos'!$L$8:$L$42,0)),"Revisar"))</f>
        <v/>
      </c>
      <c r="Q171" s="59">
        <f>IF(C171="","",IFERROR(INDEX('6. Base de Custos'!$Q$8:$Q$42,MATCH(C171,'6. Base de Custos'!$L$8:$L$42,0)),""))</f>
        <v/>
      </c>
      <c r="R171" s="65">
        <f>IF(C171="","",IFERROR(VLOOKUP(M171&amp;"|"&amp;N171,'17. Mapa DRE CP'!$E$5:$H$100,2,FALSE),"Revisar"))</f>
        <v/>
      </c>
      <c r="S171" s="65">
        <f>IF(C171="","",IFERROR(VLOOKUP(M171&amp;"|"&amp;N171,'17. Mapa DRE CP'!$E$5:$H$100,3,FALSE),"Revisar"))</f>
        <v/>
      </c>
      <c r="T171" s="65">
        <f>IF(C171="","",IF(R171="(-) Custos diretos dos serviços",IF(ISNUMBER(SEARCH("PCMSO",C171)),"PCMSO",IF(OR(ISNUMBER(SEARCH("SGS",C171)),ISNUMBER(SEARCH("CASTRO NAVES",C171))),"Projetos / Laudos / Avulsos","Projetos / Laudos / Avulsos")),"Rateio pela receita bruta"))</f>
        <v/>
      </c>
      <c r="U171" s="65">
        <f>IF(C171="","",IF(R171="(-) Custos diretos dos serviços","Direto por fornecedor/natureza do gasto","Rateio proporcional à receita bruta da linha de serviço"))</f>
        <v/>
      </c>
    </row>
    <row r="172">
      <c r="A172" s="28">
        <f>IF(C172="","", "CP-"&amp;TEXT(ROW()-5,"000"))</f>
        <v/>
      </c>
      <c r="B172" s="27">
        <f>IF(F172="","",DATE(YEAR(F172),MONTH(F172),1))</f>
        <v/>
      </c>
      <c r="C172" s="28" t="n"/>
      <c r="D172" s="28" t="n"/>
      <c r="E172" s="59">
        <f>IF(C172="","",IFERROR(INDEX('6. Base de Custos'!$M$8:$M$42,MATCH(C172,'6. Base de Custos'!$L$8:$L$42,0)),"Não classificado"))</f>
        <v/>
      </c>
      <c r="F172" s="111" t="n"/>
      <c r="G172" s="111" t="n"/>
      <c r="H172" s="111" t="n"/>
      <c r="I172" s="45" t="n"/>
      <c r="J172" s="28" t="n"/>
      <c r="K172" s="28" t="n"/>
      <c r="L172" s="28" t="n"/>
      <c r="M172" s="59">
        <f>IF(C172="","",IFERROR(INDEX('6. Base de Custos'!$N$8:$N$42,MATCH(C172,'6. Base de Custos'!$L$8:$L$42,0)),"Não classificado"))</f>
        <v/>
      </c>
      <c r="N172" s="59">
        <f>IF(C172="","",IFERROR(INDEX('6. Base de Custos'!$O$8:$O$42,MATCH(C172,'6. Base de Custos'!$L$8:$L$42,0)),"Revisar"))</f>
        <v/>
      </c>
      <c r="O172" s="60">
        <f>IF(M172="","",IFERROR(VLOOKUP(M172,'6. Base de Custos'!$H$12:$J$18,3,FALSE),0))</f>
        <v/>
      </c>
      <c r="P172" s="59">
        <f>IF(C172="","",IFERROR(INDEX('6. Base de Custos'!$P$8:$P$42,MATCH(C172,'6. Base de Custos'!$L$8:$L$42,0)),"Revisar"))</f>
        <v/>
      </c>
      <c r="Q172" s="59">
        <f>IF(C172="","",IFERROR(INDEX('6. Base de Custos'!$Q$8:$Q$42,MATCH(C172,'6. Base de Custos'!$L$8:$L$42,0)),""))</f>
        <v/>
      </c>
      <c r="R172" s="65">
        <f>IF(C172="","",IFERROR(VLOOKUP(M172&amp;"|"&amp;N172,'17. Mapa DRE CP'!$E$5:$H$100,2,FALSE),"Revisar"))</f>
        <v/>
      </c>
      <c r="S172" s="65">
        <f>IF(C172="","",IFERROR(VLOOKUP(M172&amp;"|"&amp;N172,'17. Mapa DRE CP'!$E$5:$H$100,3,FALSE),"Revisar"))</f>
        <v/>
      </c>
      <c r="T172" s="65">
        <f>IF(C172="","",IF(R172="(-) Custos diretos dos serviços",IF(ISNUMBER(SEARCH("PCMSO",C172)),"PCMSO",IF(OR(ISNUMBER(SEARCH("SGS",C172)),ISNUMBER(SEARCH("CASTRO NAVES",C172))),"Projetos / Laudos / Avulsos","Projetos / Laudos / Avulsos")),"Rateio pela receita bruta"))</f>
        <v/>
      </c>
      <c r="U172" s="65">
        <f>IF(C172="","",IF(R172="(-) Custos diretos dos serviços","Direto por fornecedor/natureza do gasto","Rateio proporcional à receita bruta da linha de serviço"))</f>
        <v/>
      </c>
    </row>
    <row r="173">
      <c r="A173" s="28">
        <f>IF(C173="","", "CP-"&amp;TEXT(ROW()-5,"000"))</f>
        <v/>
      </c>
      <c r="B173" s="27">
        <f>IF(F173="","",DATE(YEAR(F173),MONTH(F173),1))</f>
        <v/>
      </c>
      <c r="C173" s="28" t="n"/>
      <c r="D173" s="28" t="n"/>
      <c r="E173" s="59">
        <f>IF(C173="","",IFERROR(INDEX('6. Base de Custos'!$M$8:$M$42,MATCH(C173,'6. Base de Custos'!$L$8:$L$42,0)),"Não classificado"))</f>
        <v/>
      </c>
      <c r="F173" s="111" t="n"/>
      <c r="G173" s="111" t="n"/>
      <c r="H173" s="111" t="n"/>
      <c r="I173" s="45" t="n"/>
      <c r="J173" s="28" t="n"/>
      <c r="K173" s="28" t="n"/>
      <c r="L173" s="28" t="n"/>
      <c r="M173" s="59">
        <f>IF(C173="","",IFERROR(INDEX('6. Base de Custos'!$N$8:$N$42,MATCH(C173,'6. Base de Custos'!$L$8:$L$42,0)),"Não classificado"))</f>
        <v/>
      </c>
      <c r="N173" s="59">
        <f>IF(C173="","",IFERROR(INDEX('6. Base de Custos'!$O$8:$O$42,MATCH(C173,'6. Base de Custos'!$L$8:$L$42,0)),"Revisar"))</f>
        <v/>
      </c>
      <c r="O173" s="60">
        <f>IF(M173="","",IFERROR(VLOOKUP(M173,'6. Base de Custos'!$H$12:$J$18,3,FALSE),0))</f>
        <v/>
      </c>
      <c r="P173" s="59">
        <f>IF(C173="","",IFERROR(INDEX('6. Base de Custos'!$P$8:$P$42,MATCH(C173,'6. Base de Custos'!$L$8:$L$42,0)),"Revisar"))</f>
        <v/>
      </c>
      <c r="Q173" s="59">
        <f>IF(C173="","",IFERROR(INDEX('6. Base de Custos'!$Q$8:$Q$42,MATCH(C173,'6. Base de Custos'!$L$8:$L$42,0)),""))</f>
        <v/>
      </c>
      <c r="R173" s="65">
        <f>IF(C173="","",IFERROR(VLOOKUP(M173&amp;"|"&amp;N173,'17. Mapa DRE CP'!$E$5:$H$100,2,FALSE),"Revisar"))</f>
        <v/>
      </c>
      <c r="S173" s="65">
        <f>IF(C173="","",IFERROR(VLOOKUP(M173&amp;"|"&amp;N173,'17. Mapa DRE CP'!$E$5:$H$100,3,FALSE),"Revisar"))</f>
        <v/>
      </c>
      <c r="T173" s="65">
        <f>IF(C173="","",IF(R173="(-) Custos diretos dos serviços",IF(ISNUMBER(SEARCH("PCMSO",C173)),"PCMSO",IF(OR(ISNUMBER(SEARCH("SGS",C173)),ISNUMBER(SEARCH("CASTRO NAVES",C173))),"Projetos / Laudos / Avulsos","Projetos / Laudos / Avulsos")),"Rateio pela receita bruta"))</f>
        <v/>
      </c>
      <c r="U173" s="65">
        <f>IF(C173="","",IF(R173="(-) Custos diretos dos serviços","Direto por fornecedor/natureza do gasto","Rateio proporcional à receita bruta da linha de serviço"))</f>
        <v/>
      </c>
    </row>
    <row r="174">
      <c r="A174" s="28">
        <f>IF(C174="","", "CP-"&amp;TEXT(ROW()-5,"000"))</f>
        <v/>
      </c>
      <c r="B174" s="27">
        <f>IF(F174="","",DATE(YEAR(F174),MONTH(F174),1))</f>
        <v/>
      </c>
      <c r="C174" s="28" t="n"/>
      <c r="D174" s="28" t="n"/>
      <c r="E174" s="59">
        <f>IF(C174="","",IFERROR(INDEX('6. Base de Custos'!$M$8:$M$42,MATCH(C174,'6. Base de Custos'!$L$8:$L$42,0)),"Não classificado"))</f>
        <v/>
      </c>
      <c r="F174" s="111" t="n"/>
      <c r="G174" s="111" t="n"/>
      <c r="H174" s="111" t="n"/>
      <c r="I174" s="45" t="n"/>
      <c r="J174" s="28" t="n"/>
      <c r="K174" s="28" t="n"/>
      <c r="L174" s="28" t="n"/>
      <c r="M174" s="59">
        <f>IF(C174="","",IFERROR(INDEX('6. Base de Custos'!$N$8:$N$42,MATCH(C174,'6. Base de Custos'!$L$8:$L$42,0)),"Não classificado"))</f>
        <v/>
      </c>
      <c r="N174" s="59">
        <f>IF(C174="","",IFERROR(INDEX('6. Base de Custos'!$O$8:$O$42,MATCH(C174,'6. Base de Custos'!$L$8:$L$42,0)),"Revisar"))</f>
        <v/>
      </c>
      <c r="O174" s="60">
        <f>IF(M174="","",IFERROR(VLOOKUP(M174,'6. Base de Custos'!$H$12:$J$18,3,FALSE),0))</f>
        <v/>
      </c>
      <c r="P174" s="59">
        <f>IF(C174="","",IFERROR(INDEX('6. Base de Custos'!$P$8:$P$42,MATCH(C174,'6. Base de Custos'!$L$8:$L$42,0)),"Revisar"))</f>
        <v/>
      </c>
      <c r="Q174" s="59">
        <f>IF(C174="","",IFERROR(INDEX('6. Base de Custos'!$Q$8:$Q$42,MATCH(C174,'6. Base de Custos'!$L$8:$L$42,0)),""))</f>
        <v/>
      </c>
      <c r="R174" s="65">
        <f>IF(C174="","",IFERROR(VLOOKUP(M174&amp;"|"&amp;N174,'17. Mapa DRE CP'!$E$5:$H$100,2,FALSE),"Revisar"))</f>
        <v/>
      </c>
      <c r="S174" s="65">
        <f>IF(C174="","",IFERROR(VLOOKUP(M174&amp;"|"&amp;N174,'17. Mapa DRE CP'!$E$5:$H$100,3,FALSE),"Revisar"))</f>
        <v/>
      </c>
      <c r="T174" s="65">
        <f>IF(C174="","",IF(R174="(-) Custos diretos dos serviços",IF(ISNUMBER(SEARCH("PCMSO",C174)),"PCMSO",IF(OR(ISNUMBER(SEARCH("SGS",C174)),ISNUMBER(SEARCH("CASTRO NAVES",C174))),"Projetos / Laudos / Avulsos","Projetos / Laudos / Avulsos")),"Rateio pela receita bruta"))</f>
        <v/>
      </c>
      <c r="U174" s="65">
        <f>IF(C174="","",IF(R174="(-) Custos diretos dos serviços","Direto por fornecedor/natureza do gasto","Rateio proporcional à receita bruta da linha de serviço"))</f>
        <v/>
      </c>
    </row>
    <row r="175">
      <c r="A175" s="28">
        <f>IF(C175="","", "CP-"&amp;TEXT(ROW()-5,"000"))</f>
        <v/>
      </c>
      <c r="B175" s="27">
        <f>IF(F175="","",DATE(YEAR(F175),MONTH(F175),1))</f>
        <v/>
      </c>
      <c r="C175" s="28" t="n"/>
      <c r="D175" s="28" t="n"/>
      <c r="E175" s="59">
        <f>IF(C175="","",IFERROR(INDEX('6. Base de Custos'!$M$8:$M$42,MATCH(C175,'6. Base de Custos'!$L$8:$L$42,0)),"Não classificado"))</f>
        <v/>
      </c>
      <c r="F175" s="111" t="n"/>
      <c r="G175" s="111" t="n"/>
      <c r="H175" s="111" t="n"/>
      <c r="I175" s="45" t="n"/>
      <c r="J175" s="28" t="n"/>
      <c r="K175" s="28" t="n"/>
      <c r="L175" s="28" t="n"/>
      <c r="M175" s="59">
        <f>IF(C175="","",IFERROR(INDEX('6. Base de Custos'!$N$8:$N$42,MATCH(C175,'6. Base de Custos'!$L$8:$L$42,0)),"Não classificado"))</f>
        <v/>
      </c>
      <c r="N175" s="59">
        <f>IF(C175="","",IFERROR(INDEX('6. Base de Custos'!$O$8:$O$42,MATCH(C175,'6. Base de Custos'!$L$8:$L$42,0)),"Revisar"))</f>
        <v/>
      </c>
      <c r="O175" s="60">
        <f>IF(M175="","",IFERROR(VLOOKUP(M175,'6. Base de Custos'!$H$12:$J$18,3,FALSE),0))</f>
        <v/>
      </c>
      <c r="P175" s="59">
        <f>IF(C175="","",IFERROR(INDEX('6. Base de Custos'!$P$8:$P$42,MATCH(C175,'6. Base de Custos'!$L$8:$L$42,0)),"Revisar"))</f>
        <v/>
      </c>
      <c r="Q175" s="59">
        <f>IF(C175="","",IFERROR(INDEX('6. Base de Custos'!$Q$8:$Q$42,MATCH(C175,'6. Base de Custos'!$L$8:$L$42,0)),""))</f>
        <v/>
      </c>
      <c r="R175" s="65">
        <f>IF(C175="","",IFERROR(VLOOKUP(M175&amp;"|"&amp;N175,'17. Mapa DRE CP'!$E$5:$H$100,2,FALSE),"Revisar"))</f>
        <v/>
      </c>
      <c r="S175" s="65">
        <f>IF(C175="","",IFERROR(VLOOKUP(M175&amp;"|"&amp;N175,'17. Mapa DRE CP'!$E$5:$H$100,3,FALSE),"Revisar"))</f>
        <v/>
      </c>
      <c r="T175" s="65">
        <f>IF(C175="","",IF(R175="(-) Custos diretos dos serviços",IF(ISNUMBER(SEARCH("PCMSO",C175)),"PCMSO",IF(OR(ISNUMBER(SEARCH("SGS",C175)),ISNUMBER(SEARCH("CASTRO NAVES",C175))),"Projetos / Laudos / Avulsos","Projetos / Laudos / Avulsos")),"Rateio pela receita bruta"))</f>
        <v/>
      </c>
      <c r="U175" s="65">
        <f>IF(C175="","",IF(R175="(-) Custos diretos dos serviços","Direto por fornecedor/natureza do gasto","Rateio proporcional à receita bruta da linha de serviço"))</f>
        <v/>
      </c>
    </row>
    <row r="176">
      <c r="A176" s="28">
        <f>IF(C176="","", "CP-"&amp;TEXT(ROW()-5,"000"))</f>
        <v/>
      </c>
      <c r="B176" s="27">
        <f>IF(F176="","",DATE(YEAR(F176),MONTH(F176),1))</f>
        <v/>
      </c>
      <c r="C176" s="28" t="n"/>
      <c r="D176" s="28" t="n"/>
      <c r="E176" s="59">
        <f>IF(C176="","",IFERROR(INDEX('6. Base de Custos'!$M$8:$M$42,MATCH(C176,'6. Base de Custos'!$L$8:$L$42,0)),"Não classificado"))</f>
        <v/>
      </c>
      <c r="F176" s="111" t="n"/>
      <c r="G176" s="111" t="n"/>
      <c r="H176" s="111" t="n"/>
      <c r="I176" s="45" t="n"/>
      <c r="J176" s="28" t="n"/>
      <c r="K176" s="28" t="n"/>
      <c r="L176" s="28" t="n"/>
      <c r="M176" s="59">
        <f>IF(C176="","",IFERROR(INDEX('6. Base de Custos'!$N$8:$N$42,MATCH(C176,'6. Base de Custos'!$L$8:$L$42,0)),"Não classificado"))</f>
        <v/>
      </c>
      <c r="N176" s="59">
        <f>IF(C176="","",IFERROR(INDEX('6. Base de Custos'!$O$8:$O$42,MATCH(C176,'6. Base de Custos'!$L$8:$L$42,0)),"Revisar"))</f>
        <v/>
      </c>
      <c r="O176" s="60">
        <f>IF(M176="","",IFERROR(VLOOKUP(M176,'6. Base de Custos'!$H$12:$J$18,3,FALSE),0))</f>
        <v/>
      </c>
      <c r="P176" s="59">
        <f>IF(C176="","",IFERROR(INDEX('6. Base de Custos'!$P$8:$P$42,MATCH(C176,'6. Base de Custos'!$L$8:$L$42,0)),"Revisar"))</f>
        <v/>
      </c>
      <c r="Q176" s="59">
        <f>IF(C176="","",IFERROR(INDEX('6. Base de Custos'!$Q$8:$Q$42,MATCH(C176,'6. Base de Custos'!$L$8:$L$42,0)),""))</f>
        <v/>
      </c>
      <c r="R176" s="65">
        <f>IF(C176="","",IFERROR(VLOOKUP(M176&amp;"|"&amp;N176,'17. Mapa DRE CP'!$E$5:$H$100,2,FALSE),"Revisar"))</f>
        <v/>
      </c>
      <c r="S176" s="65">
        <f>IF(C176="","",IFERROR(VLOOKUP(M176&amp;"|"&amp;N176,'17. Mapa DRE CP'!$E$5:$H$100,3,FALSE),"Revisar"))</f>
        <v/>
      </c>
      <c r="T176" s="65">
        <f>IF(C176="","",IF(R176="(-) Custos diretos dos serviços",IF(ISNUMBER(SEARCH("PCMSO",C176)),"PCMSO",IF(OR(ISNUMBER(SEARCH("SGS",C176)),ISNUMBER(SEARCH("CASTRO NAVES",C176))),"Projetos / Laudos / Avulsos","Projetos / Laudos / Avulsos")),"Rateio pela receita bruta"))</f>
        <v/>
      </c>
      <c r="U176" s="65">
        <f>IF(C176="","",IF(R176="(-) Custos diretos dos serviços","Direto por fornecedor/natureza do gasto","Rateio proporcional à receita bruta da linha de serviço"))</f>
        <v/>
      </c>
    </row>
    <row r="177">
      <c r="A177" s="28">
        <f>IF(C177="","", "CP-"&amp;TEXT(ROW()-5,"000"))</f>
        <v/>
      </c>
      <c r="B177" s="27">
        <f>IF(F177="","",DATE(YEAR(F177),MONTH(F177),1))</f>
        <v/>
      </c>
      <c r="C177" s="28" t="n"/>
      <c r="D177" s="28" t="n"/>
      <c r="E177" s="59">
        <f>IF(C177="","",IFERROR(INDEX('6. Base de Custos'!$M$8:$M$42,MATCH(C177,'6. Base de Custos'!$L$8:$L$42,0)),"Não classificado"))</f>
        <v/>
      </c>
      <c r="F177" s="111" t="n"/>
      <c r="G177" s="111" t="n"/>
      <c r="H177" s="111" t="n"/>
      <c r="I177" s="45" t="n"/>
      <c r="J177" s="28" t="n"/>
      <c r="K177" s="28" t="n"/>
      <c r="L177" s="28" t="n"/>
      <c r="M177" s="59">
        <f>IF(C177="","",IFERROR(INDEX('6. Base de Custos'!$N$8:$N$42,MATCH(C177,'6. Base de Custos'!$L$8:$L$42,0)),"Não classificado"))</f>
        <v/>
      </c>
      <c r="N177" s="59">
        <f>IF(C177="","",IFERROR(INDEX('6. Base de Custos'!$O$8:$O$42,MATCH(C177,'6. Base de Custos'!$L$8:$L$42,0)),"Revisar"))</f>
        <v/>
      </c>
      <c r="O177" s="60">
        <f>IF(M177="","",IFERROR(VLOOKUP(M177,'6. Base de Custos'!$H$12:$J$18,3,FALSE),0))</f>
        <v/>
      </c>
      <c r="P177" s="59">
        <f>IF(C177="","",IFERROR(INDEX('6. Base de Custos'!$P$8:$P$42,MATCH(C177,'6. Base de Custos'!$L$8:$L$42,0)),"Revisar"))</f>
        <v/>
      </c>
      <c r="Q177" s="59">
        <f>IF(C177="","",IFERROR(INDEX('6. Base de Custos'!$Q$8:$Q$42,MATCH(C177,'6. Base de Custos'!$L$8:$L$42,0)),""))</f>
        <v/>
      </c>
      <c r="R177" s="65">
        <f>IF(C177="","",IFERROR(VLOOKUP(M177&amp;"|"&amp;N177,'17. Mapa DRE CP'!$E$5:$H$100,2,FALSE),"Revisar"))</f>
        <v/>
      </c>
      <c r="S177" s="65">
        <f>IF(C177="","",IFERROR(VLOOKUP(M177&amp;"|"&amp;N177,'17. Mapa DRE CP'!$E$5:$H$100,3,FALSE),"Revisar"))</f>
        <v/>
      </c>
      <c r="T177" s="65">
        <f>IF(C177="","",IF(R177="(-) Custos diretos dos serviços",IF(ISNUMBER(SEARCH("PCMSO",C177)),"PCMSO",IF(OR(ISNUMBER(SEARCH("SGS",C177)),ISNUMBER(SEARCH("CASTRO NAVES",C177))),"Projetos / Laudos / Avulsos","Projetos / Laudos / Avulsos")),"Rateio pela receita bruta"))</f>
        <v/>
      </c>
      <c r="U177" s="65">
        <f>IF(C177="","",IF(R177="(-) Custos diretos dos serviços","Direto por fornecedor/natureza do gasto","Rateio proporcional à receita bruta da linha de serviço"))</f>
        <v/>
      </c>
    </row>
    <row r="178">
      <c r="A178" s="28">
        <f>IF(C178="","", "CP-"&amp;TEXT(ROW()-5,"000"))</f>
        <v/>
      </c>
      <c r="B178" s="27">
        <f>IF(F178="","",DATE(YEAR(F178),MONTH(F178),1))</f>
        <v/>
      </c>
      <c r="C178" s="28" t="n"/>
      <c r="D178" s="28" t="n"/>
      <c r="E178" s="59">
        <f>IF(C178="","",IFERROR(INDEX('6. Base de Custos'!$M$8:$M$42,MATCH(C178,'6. Base de Custos'!$L$8:$L$42,0)),"Não classificado"))</f>
        <v/>
      </c>
      <c r="F178" s="111" t="n"/>
      <c r="G178" s="111" t="n"/>
      <c r="H178" s="111" t="n"/>
      <c r="I178" s="45" t="n"/>
      <c r="J178" s="28" t="n"/>
      <c r="K178" s="28" t="n"/>
      <c r="L178" s="28" t="n"/>
      <c r="M178" s="59">
        <f>IF(C178="","",IFERROR(INDEX('6. Base de Custos'!$N$8:$N$42,MATCH(C178,'6. Base de Custos'!$L$8:$L$42,0)),"Não classificado"))</f>
        <v/>
      </c>
      <c r="N178" s="59">
        <f>IF(C178="","",IFERROR(INDEX('6. Base de Custos'!$O$8:$O$42,MATCH(C178,'6. Base de Custos'!$L$8:$L$42,0)),"Revisar"))</f>
        <v/>
      </c>
      <c r="O178" s="60">
        <f>IF(M178="","",IFERROR(VLOOKUP(M178,'6. Base de Custos'!$H$12:$J$18,3,FALSE),0))</f>
        <v/>
      </c>
      <c r="P178" s="59">
        <f>IF(C178="","",IFERROR(INDEX('6. Base de Custos'!$P$8:$P$42,MATCH(C178,'6. Base de Custos'!$L$8:$L$42,0)),"Revisar"))</f>
        <v/>
      </c>
      <c r="Q178" s="59">
        <f>IF(C178="","",IFERROR(INDEX('6. Base de Custos'!$Q$8:$Q$42,MATCH(C178,'6. Base de Custos'!$L$8:$L$42,0)),""))</f>
        <v/>
      </c>
      <c r="R178" s="65">
        <f>IF(C178="","",IFERROR(VLOOKUP(M178&amp;"|"&amp;N178,'17. Mapa DRE CP'!$E$5:$H$100,2,FALSE),"Revisar"))</f>
        <v/>
      </c>
      <c r="S178" s="65">
        <f>IF(C178="","",IFERROR(VLOOKUP(M178&amp;"|"&amp;N178,'17. Mapa DRE CP'!$E$5:$H$100,3,FALSE),"Revisar"))</f>
        <v/>
      </c>
      <c r="T178" s="65">
        <f>IF(C178="","",IF(R178="(-) Custos diretos dos serviços",IF(ISNUMBER(SEARCH("PCMSO",C178)),"PCMSO",IF(OR(ISNUMBER(SEARCH("SGS",C178)),ISNUMBER(SEARCH("CASTRO NAVES",C178))),"Projetos / Laudos / Avulsos","Projetos / Laudos / Avulsos")),"Rateio pela receita bruta"))</f>
        <v/>
      </c>
      <c r="U178" s="65">
        <f>IF(C178="","",IF(R178="(-) Custos diretos dos serviços","Direto por fornecedor/natureza do gasto","Rateio proporcional à receita bruta da linha de serviço"))</f>
        <v/>
      </c>
    </row>
    <row r="179">
      <c r="A179" s="28">
        <f>IF(C179="","", "CP-"&amp;TEXT(ROW()-5,"000"))</f>
        <v/>
      </c>
      <c r="B179" s="27">
        <f>IF(F179="","",DATE(YEAR(F179),MONTH(F179),1))</f>
        <v/>
      </c>
      <c r="C179" s="28" t="n"/>
      <c r="D179" s="28" t="n"/>
      <c r="E179" s="59">
        <f>IF(C179="","",IFERROR(INDEX('6. Base de Custos'!$M$8:$M$42,MATCH(C179,'6. Base de Custos'!$L$8:$L$42,0)),"Não classificado"))</f>
        <v/>
      </c>
      <c r="F179" s="111" t="n"/>
      <c r="G179" s="111" t="n"/>
      <c r="H179" s="111" t="n"/>
      <c r="I179" s="45" t="n"/>
      <c r="J179" s="28" t="n"/>
      <c r="K179" s="28" t="n"/>
      <c r="L179" s="28" t="n"/>
      <c r="M179" s="59">
        <f>IF(C179="","",IFERROR(INDEX('6. Base de Custos'!$N$8:$N$42,MATCH(C179,'6. Base de Custos'!$L$8:$L$42,0)),"Não classificado"))</f>
        <v/>
      </c>
      <c r="N179" s="59">
        <f>IF(C179="","",IFERROR(INDEX('6. Base de Custos'!$O$8:$O$42,MATCH(C179,'6. Base de Custos'!$L$8:$L$42,0)),"Revisar"))</f>
        <v/>
      </c>
      <c r="O179" s="60">
        <f>IF(M179="","",IFERROR(VLOOKUP(M179,'6. Base de Custos'!$H$12:$J$18,3,FALSE),0))</f>
        <v/>
      </c>
      <c r="P179" s="59">
        <f>IF(C179="","",IFERROR(INDEX('6. Base de Custos'!$P$8:$P$42,MATCH(C179,'6. Base de Custos'!$L$8:$L$42,0)),"Revisar"))</f>
        <v/>
      </c>
      <c r="Q179" s="59">
        <f>IF(C179="","",IFERROR(INDEX('6. Base de Custos'!$Q$8:$Q$42,MATCH(C179,'6. Base de Custos'!$L$8:$L$42,0)),""))</f>
        <v/>
      </c>
      <c r="R179" s="65">
        <f>IF(C179="","",IFERROR(VLOOKUP(M179&amp;"|"&amp;N179,'17. Mapa DRE CP'!$E$5:$H$100,2,FALSE),"Revisar"))</f>
        <v/>
      </c>
      <c r="S179" s="65">
        <f>IF(C179="","",IFERROR(VLOOKUP(M179&amp;"|"&amp;N179,'17. Mapa DRE CP'!$E$5:$H$100,3,FALSE),"Revisar"))</f>
        <v/>
      </c>
      <c r="T179" s="65">
        <f>IF(C179="","",IF(R179="(-) Custos diretos dos serviços",IF(ISNUMBER(SEARCH("PCMSO",C179)),"PCMSO",IF(OR(ISNUMBER(SEARCH("SGS",C179)),ISNUMBER(SEARCH("CASTRO NAVES",C179))),"Projetos / Laudos / Avulsos","Projetos / Laudos / Avulsos")),"Rateio pela receita bruta"))</f>
        <v/>
      </c>
      <c r="U179" s="65">
        <f>IF(C179="","",IF(R179="(-) Custos diretos dos serviços","Direto por fornecedor/natureza do gasto","Rateio proporcional à receita bruta da linha de serviço"))</f>
        <v/>
      </c>
    </row>
    <row r="180">
      <c r="A180" s="28">
        <f>IF(C180="","", "CP-"&amp;TEXT(ROW()-5,"000"))</f>
        <v/>
      </c>
      <c r="B180" s="27">
        <f>IF(F180="","",DATE(YEAR(F180),MONTH(F180),1))</f>
        <v/>
      </c>
      <c r="C180" s="28" t="n"/>
      <c r="D180" s="28" t="n"/>
      <c r="E180" s="59">
        <f>IF(C180="","",IFERROR(INDEX('6. Base de Custos'!$M$8:$M$42,MATCH(C180,'6. Base de Custos'!$L$8:$L$42,0)),"Não classificado"))</f>
        <v/>
      </c>
      <c r="F180" s="111" t="n"/>
      <c r="G180" s="111" t="n"/>
      <c r="H180" s="111" t="n"/>
      <c r="I180" s="45" t="n"/>
      <c r="J180" s="28" t="n"/>
      <c r="K180" s="28" t="n"/>
      <c r="L180" s="28" t="n"/>
      <c r="M180" s="59">
        <f>IF(C180="","",IFERROR(INDEX('6. Base de Custos'!$N$8:$N$42,MATCH(C180,'6. Base de Custos'!$L$8:$L$42,0)),"Não classificado"))</f>
        <v/>
      </c>
      <c r="N180" s="59">
        <f>IF(C180="","",IFERROR(INDEX('6. Base de Custos'!$O$8:$O$42,MATCH(C180,'6. Base de Custos'!$L$8:$L$42,0)),"Revisar"))</f>
        <v/>
      </c>
      <c r="O180" s="60">
        <f>IF(M180="","",IFERROR(VLOOKUP(M180,'6. Base de Custos'!$H$12:$J$18,3,FALSE),0))</f>
        <v/>
      </c>
      <c r="P180" s="59">
        <f>IF(C180="","",IFERROR(INDEX('6. Base de Custos'!$P$8:$P$42,MATCH(C180,'6. Base de Custos'!$L$8:$L$42,0)),"Revisar"))</f>
        <v/>
      </c>
      <c r="Q180" s="59">
        <f>IF(C180="","",IFERROR(INDEX('6. Base de Custos'!$Q$8:$Q$42,MATCH(C180,'6. Base de Custos'!$L$8:$L$42,0)),""))</f>
        <v/>
      </c>
      <c r="R180" s="65">
        <f>IF(C180="","",IFERROR(VLOOKUP(M180&amp;"|"&amp;N180,'17. Mapa DRE CP'!$E$5:$H$100,2,FALSE),"Revisar"))</f>
        <v/>
      </c>
      <c r="S180" s="65">
        <f>IF(C180="","",IFERROR(VLOOKUP(M180&amp;"|"&amp;N180,'17. Mapa DRE CP'!$E$5:$H$100,3,FALSE),"Revisar"))</f>
        <v/>
      </c>
      <c r="T180" s="65">
        <f>IF(C180="","",IF(R180="(-) Custos diretos dos serviços",IF(ISNUMBER(SEARCH("PCMSO",C180)),"PCMSO",IF(OR(ISNUMBER(SEARCH("SGS",C180)),ISNUMBER(SEARCH("CASTRO NAVES",C180))),"Projetos / Laudos / Avulsos","Projetos / Laudos / Avulsos")),"Rateio pela receita bruta"))</f>
        <v/>
      </c>
      <c r="U180" s="65">
        <f>IF(C180="","",IF(R180="(-) Custos diretos dos serviços","Direto por fornecedor/natureza do gasto","Rateio proporcional à receita bruta da linha de serviço"))</f>
        <v/>
      </c>
    </row>
    <row r="181">
      <c r="A181" s="28">
        <f>IF(C181="","", "CP-"&amp;TEXT(ROW()-5,"000"))</f>
        <v/>
      </c>
      <c r="B181" s="27">
        <f>IF(F181="","",DATE(YEAR(F181),MONTH(F181),1))</f>
        <v/>
      </c>
      <c r="C181" s="28" t="n"/>
      <c r="D181" s="28" t="n"/>
      <c r="E181" s="59">
        <f>IF(C181="","",IFERROR(INDEX('6. Base de Custos'!$M$8:$M$42,MATCH(C181,'6. Base de Custos'!$L$8:$L$42,0)),"Não classificado"))</f>
        <v/>
      </c>
      <c r="F181" s="111" t="n"/>
      <c r="G181" s="111" t="n"/>
      <c r="H181" s="111" t="n"/>
      <c r="I181" s="45" t="n"/>
      <c r="J181" s="28" t="n"/>
      <c r="K181" s="28" t="n"/>
      <c r="L181" s="28" t="n"/>
      <c r="M181" s="59">
        <f>IF(C181="","",IFERROR(INDEX('6. Base de Custos'!$N$8:$N$42,MATCH(C181,'6. Base de Custos'!$L$8:$L$42,0)),"Não classificado"))</f>
        <v/>
      </c>
      <c r="N181" s="59">
        <f>IF(C181="","",IFERROR(INDEX('6. Base de Custos'!$O$8:$O$42,MATCH(C181,'6. Base de Custos'!$L$8:$L$42,0)),"Revisar"))</f>
        <v/>
      </c>
      <c r="O181" s="60">
        <f>IF(M181="","",IFERROR(VLOOKUP(M181,'6. Base de Custos'!$H$12:$J$18,3,FALSE),0))</f>
        <v/>
      </c>
      <c r="P181" s="59">
        <f>IF(C181="","",IFERROR(INDEX('6. Base de Custos'!$P$8:$P$42,MATCH(C181,'6. Base de Custos'!$L$8:$L$42,0)),"Revisar"))</f>
        <v/>
      </c>
      <c r="Q181" s="59">
        <f>IF(C181="","",IFERROR(INDEX('6. Base de Custos'!$Q$8:$Q$42,MATCH(C181,'6. Base de Custos'!$L$8:$L$42,0)),""))</f>
        <v/>
      </c>
      <c r="R181" s="65">
        <f>IF(C181="","",IFERROR(VLOOKUP(M181&amp;"|"&amp;N181,'17. Mapa DRE CP'!$E$5:$H$100,2,FALSE),"Revisar"))</f>
        <v/>
      </c>
      <c r="S181" s="65">
        <f>IF(C181="","",IFERROR(VLOOKUP(M181&amp;"|"&amp;N181,'17. Mapa DRE CP'!$E$5:$H$100,3,FALSE),"Revisar"))</f>
        <v/>
      </c>
      <c r="T181" s="65">
        <f>IF(C181="","",IF(R181="(-) Custos diretos dos serviços",IF(ISNUMBER(SEARCH("PCMSO",C181)),"PCMSO",IF(OR(ISNUMBER(SEARCH("SGS",C181)),ISNUMBER(SEARCH("CASTRO NAVES",C181))),"Projetos / Laudos / Avulsos","Projetos / Laudos / Avulsos")),"Rateio pela receita bruta"))</f>
        <v/>
      </c>
      <c r="U181" s="65">
        <f>IF(C181="","",IF(R181="(-) Custos diretos dos serviços","Direto por fornecedor/natureza do gasto","Rateio proporcional à receita bruta da linha de serviço"))</f>
        <v/>
      </c>
    </row>
    <row r="182">
      <c r="A182" s="28">
        <f>IF(C182="","", "CP-"&amp;TEXT(ROW()-5,"000"))</f>
        <v/>
      </c>
      <c r="B182" s="27">
        <f>IF(F182="","",DATE(YEAR(F182),MONTH(F182),1))</f>
        <v/>
      </c>
      <c r="C182" s="28" t="n"/>
      <c r="D182" s="28" t="n"/>
      <c r="E182" s="59">
        <f>IF(C182="","",IFERROR(INDEX('6. Base de Custos'!$M$8:$M$42,MATCH(C182,'6. Base de Custos'!$L$8:$L$42,0)),"Não classificado"))</f>
        <v/>
      </c>
      <c r="F182" s="111" t="n"/>
      <c r="G182" s="111" t="n"/>
      <c r="H182" s="111" t="n"/>
      <c r="I182" s="45" t="n"/>
      <c r="J182" s="28" t="n"/>
      <c r="K182" s="28" t="n"/>
      <c r="L182" s="28" t="n"/>
      <c r="M182" s="59">
        <f>IF(C182="","",IFERROR(INDEX('6. Base de Custos'!$N$8:$N$42,MATCH(C182,'6. Base de Custos'!$L$8:$L$42,0)),"Não classificado"))</f>
        <v/>
      </c>
      <c r="N182" s="59">
        <f>IF(C182="","",IFERROR(INDEX('6. Base de Custos'!$O$8:$O$42,MATCH(C182,'6. Base de Custos'!$L$8:$L$42,0)),"Revisar"))</f>
        <v/>
      </c>
      <c r="O182" s="60">
        <f>IF(M182="","",IFERROR(VLOOKUP(M182,'6. Base de Custos'!$H$12:$J$18,3,FALSE),0))</f>
        <v/>
      </c>
      <c r="P182" s="59">
        <f>IF(C182="","",IFERROR(INDEX('6. Base de Custos'!$P$8:$P$42,MATCH(C182,'6. Base de Custos'!$L$8:$L$42,0)),"Revisar"))</f>
        <v/>
      </c>
      <c r="Q182" s="59">
        <f>IF(C182="","",IFERROR(INDEX('6. Base de Custos'!$Q$8:$Q$42,MATCH(C182,'6. Base de Custos'!$L$8:$L$42,0)),""))</f>
        <v/>
      </c>
      <c r="R182" s="65">
        <f>IF(C182="","",IFERROR(VLOOKUP(M182&amp;"|"&amp;N182,'17. Mapa DRE CP'!$E$5:$H$100,2,FALSE),"Revisar"))</f>
        <v/>
      </c>
      <c r="S182" s="65">
        <f>IF(C182="","",IFERROR(VLOOKUP(M182&amp;"|"&amp;N182,'17. Mapa DRE CP'!$E$5:$H$100,3,FALSE),"Revisar"))</f>
        <v/>
      </c>
      <c r="T182" s="65">
        <f>IF(C182="","",IF(R182="(-) Custos diretos dos serviços",IF(ISNUMBER(SEARCH("PCMSO",C182)),"PCMSO",IF(OR(ISNUMBER(SEARCH("SGS",C182)),ISNUMBER(SEARCH("CASTRO NAVES",C182))),"Projetos / Laudos / Avulsos","Projetos / Laudos / Avulsos")),"Rateio pela receita bruta"))</f>
        <v/>
      </c>
      <c r="U182" s="65">
        <f>IF(C182="","",IF(R182="(-) Custos diretos dos serviços","Direto por fornecedor/natureza do gasto","Rateio proporcional à receita bruta da linha de serviço"))</f>
        <v/>
      </c>
    </row>
    <row r="183">
      <c r="A183" s="28">
        <f>IF(C183="","", "CP-"&amp;TEXT(ROW()-5,"000"))</f>
        <v/>
      </c>
      <c r="B183" s="27">
        <f>IF(F183="","",DATE(YEAR(F183),MONTH(F183),1))</f>
        <v/>
      </c>
      <c r="C183" s="28" t="n"/>
      <c r="D183" s="28" t="n"/>
      <c r="E183" s="59">
        <f>IF(C183="","",IFERROR(INDEX('6. Base de Custos'!$M$8:$M$42,MATCH(C183,'6. Base de Custos'!$L$8:$L$42,0)),"Não classificado"))</f>
        <v/>
      </c>
      <c r="F183" s="111" t="n"/>
      <c r="G183" s="111" t="n"/>
      <c r="H183" s="111" t="n"/>
      <c r="I183" s="45" t="n"/>
      <c r="J183" s="28" t="n"/>
      <c r="K183" s="28" t="n"/>
      <c r="L183" s="28" t="n"/>
      <c r="M183" s="59">
        <f>IF(C183="","",IFERROR(INDEX('6. Base de Custos'!$N$8:$N$42,MATCH(C183,'6. Base de Custos'!$L$8:$L$42,0)),"Não classificado"))</f>
        <v/>
      </c>
      <c r="N183" s="59">
        <f>IF(C183="","",IFERROR(INDEX('6. Base de Custos'!$O$8:$O$42,MATCH(C183,'6. Base de Custos'!$L$8:$L$42,0)),"Revisar"))</f>
        <v/>
      </c>
      <c r="O183" s="60">
        <f>IF(M183="","",IFERROR(VLOOKUP(M183,'6. Base de Custos'!$H$12:$J$18,3,FALSE),0))</f>
        <v/>
      </c>
      <c r="P183" s="59">
        <f>IF(C183="","",IFERROR(INDEX('6. Base de Custos'!$P$8:$P$42,MATCH(C183,'6. Base de Custos'!$L$8:$L$42,0)),"Revisar"))</f>
        <v/>
      </c>
      <c r="Q183" s="59">
        <f>IF(C183="","",IFERROR(INDEX('6. Base de Custos'!$Q$8:$Q$42,MATCH(C183,'6. Base de Custos'!$L$8:$L$42,0)),""))</f>
        <v/>
      </c>
      <c r="R183" s="65">
        <f>IF(C183="","",IFERROR(VLOOKUP(M183&amp;"|"&amp;N183,'17. Mapa DRE CP'!$E$5:$H$100,2,FALSE),"Revisar"))</f>
        <v/>
      </c>
      <c r="S183" s="65">
        <f>IF(C183="","",IFERROR(VLOOKUP(M183&amp;"|"&amp;N183,'17. Mapa DRE CP'!$E$5:$H$100,3,FALSE),"Revisar"))</f>
        <v/>
      </c>
      <c r="T183" s="65">
        <f>IF(C183="","",IF(R183="(-) Custos diretos dos serviços",IF(ISNUMBER(SEARCH("PCMSO",C183)),"PCMSO",IF(OR(ISNUMBER(SEARCH("SGS",C183)),ISNUMBER(SEARCH("CASTRO NAVES",C183))),"Projetos / Laudos / Avulsos","Projetos / Laudos / Avulsos")),"Rateio pela receita bruta"))</f>
        <v/>
      </c>
      <c r="U183" s="65">
        <f>IF(C183="","",IF(R183="(-) Custos diretos dos serviços","Direto por fornecedor/natureza do gasto","Rateio proporcional à receita bruta da linha de serviço"))</f>
        <v/>
      </c>
    </row>
    <row r="184">
      <c r="A184" s="28">
        <f>IF(C184="","", "CP-"&amp;TEXT(ROW()-5,"000"))</f>
        <v/>
      </c>
      <c r="B184" s="27">
        <f>IF(F184="","",DATE(YEAR(F184),MONTH(F184),1))</f>
        <v/>
      </c>
      <c r="C184" s="28" t="n"/>
      <c r="D184" s="28" t="n"/>
      <c r="E184" s="59">
        <f>IF(C184="","",IFERROR(INDEX('6. Base de Custos'!$M$8:$M$42,MATCH(C184,'6. Base de Custos'!$L$8:$L$42,0)),"Não classificado"))</f>
        <v/>
      </c>
      <c r="F184" s="111" t="n"/>
      <c r="G184" s="111" t="n"/>
      <c r="H184" s="111" t="n"/>
      <c r="I184" s="45" t="n"/>
      <c r="J184" s="28" t="n"/>
      <c r="K184" s="28" t="n"/>
      <c r="L184" s="28" t="n"/>
      <c r="M184" s="59">
        <f>IF(C184="","",IFERROR(INDEX('6. Base de Custos'!$N$8:$N$42,MATCH(C184,'6. Base de Custos'!$L$8:$L$42,0)),"Não classificado"))</f>
        <v/>
      </c>
      <c r="N184" s="59">
        <f>IF(C184="","",IFERROR(INDEX('6. Base de Custos'!$O$8:$O$42,MATCH(C184,'6. Base de Custos'!$L$8:$L$42,0)),"Revisar"))</f>
        <v/>
      </c>
      <c r="O184" s="60">
        <f>IF(M184="","",IFERROR(VLOOKUP(M184,'6. Base de Custos'!$H$12:$J$18,3,FALSE),0))</f>
        <v/>
      </c>
      <c r="P184" s="59">
        <f>IF(C184="","",IFERROR(INDEX('6. Base de Custos'!$P$8:$P$42,MATCH(C184,'6. Base de Custos'!$L$8:$L$42,0)),"Revisar"))</f>
        <v/>
      </c>
      <c r="Q184" s="59">
        <f>IF(C184="","",IFERROR(INDEX('6. Base de Custos'!$Q$8:$Q$42,MATCH(C184,'6. Base de Custos'!$L$8:$L$42,0)),""))</f>
        <v/>
      </c>
      <c r="R184" s="65">
        <f>IF(C184="","",IFERROR(VLOOKUP(M184&amp;"|"&amp;N184,'17. Mapa DRE CP'!$E$5:$H$100,2,FALSE),"Revisar"))</f>
        <v/>
      </c>
      <c r="S184" s="65">
        <f>IF(C184="","",IFERROR(VLOOKUP(M184&amp;"|"&amp;N184,'17. Mapa DRE CP'!$E$5:$H$100,3,FALSE),"Revisar"))</f>
        <v/>
      </c>
      <c r="T184" s="65">
        <f>IF(C184="","",IF(R184="(-) Custos diretos dos serviços",IF(ISNUMBER(SEARCH("PCMSO",C184)),"PCMSO",IF(OR(ISNUMBER(SEARCH("SGS",C184)),ISNUMBER(SEARCH("CASTRO NAVES",C184))),"Projetos / Laudos / Avulsos","Projetos / Laudos / Avulsos")),"Rateio pela receita bruta"))</f>
        <v/>
      </c>
      <c r="U184" s="65">
        <f>IF(C184="","",IF(R184="(-) Custos diretos dos serviços","Direto por fornecedor/natureza do gasto","Rateio proporcional à receita bruta da linha de serviço"))</f>
        <v/>
      </c>
    </row>
    <row r="185">
      <c r="A185" s="28">
        <f>IF(C185="","", "CP-"&amp;TEXT(ROW()-5,"000"))</f>
        <v/>
      </c>
      <c r="B185" s="27">
        <f>IF(F185="","",DATE(YEAR(F185),MONTH(F185),1))</f>
        <v/>
      </c>
      <c r="C185" s="28" t="n"/>
      <c r="D185" s="28" t="n"/>
      <c r="E185" s="59">
        <f>IF(C185="","",IFERROR(INDEX('6. Base de Custos'!$M$8:$M$42,MATCH(C185,'6. Base de Custos'!$L$8:$L$42,0)),"Não classificado"))</f>
        <v/>
      </c>
      <c r="F185" s="111" t="n"/>
      <c r="G185" s="111" t="n"/>
      <c r="H185" s="111" t="n"/>
      <c r="I185" s="45" t="n"/>
      <c r="J185" s="28" t="n"/>
      <c r="K185" s="28" t="n"/>
      <c r="L185" s="28" t="n"/>
      <c r="M185" s="59">
        <f>IF(C185="","",IFERROR(INDEX('6. Base de Custos'!$N$8:$N$42,MATCH(C185,'6. Base de Custos'!$L$8:$L$42,0)),"Não classificado"))</f>
        <v/>
      </c>
      <c r="N185" s="59">
        <f>IF(C185="","",IFERROR(INDEX('6. Base de Custos'!$O$8:$O$42,MATCH(C185,'6. Base de Custos'!$L$8:$L$42,0)),"Revisar"))</f>
        <v/>
      </c>
      <c r="O185" s="60">
        <f>IF(M185="","",IFERROR(VLOOKUP(M185,'6. Base de Custos'!$H$12:$J$18,3,FALSE),0))</f>
        <v/>
      </c>
      <c r="P185" s="59">
        <f>IF(C185="","",IFERROR(INDEX('6. Base de Custos'!$P$8:$P$42,MATCH(C185,'6. Base de Custos'!$L$8:$L$42,0)),"Revisar"))</f>
        <v/>
      </c>
      <c r="Q185" s="59">
        <f>IF(C185="","",IFERROR(INDEX('6. Base de Custos'!$Q$8:$Q$42,MATCH(C185,'6. Base de Custos'!$L$8:$L$42,0)),""))</f>
        <v/>
      </c>
      <c r="R185" s="65">
        <f>IF(C185="","",IFERROR(VLOOKUP(M185&amp;"|"&amp;N185,'17. Mapa DRE CP'!$E$5:$H$100,2,FALSE),"Revisar"))</f>
        <v/>
      </c>
      <c r="S185" s="65">
        <f>IF(C185="","",IFERROR(VLOOKUP(M185&amp;"|"&amp;N185,'17. Mapa DRE CP'!$E$5:$H$100,3,FALSE),"Revisar"))</f>
        <v/>
      </c>
      <c r="T185" s="65">
        <f>IF(C185="","",IF(R185="(-) Custos diretos dos serviços",IF(ISNUMBER(SEARCH("PCMSO",C185)),"PCMSO",IF(OR(ISNUMBER(SEARCH("SGS",C185)),ISNUMBER(SEARCH("CASTRO NAVES",C185))),"Projetos / Laudos / Avulsos","Projetos / Laudos / Avulsos")),"Rateio pela receita bruta"))</f>
        <v/>
      </c>
      <c r="U185" s="65">
        <f>IF(C185="","",IF(R185="(-) Custos diretos dos serviços","Direto por fornecedor/natureza do gasto","Rateio proporcional à receita bruta da linha de serviço"))</f>
        <v/>
      </c>
    </row>
    <row r="186">
      <c r="A186" s="28">
        <f>IF(C186="","", "CP-"&amp;TEXT(ROW()-5,"000"))</f>
        <v/>
      </c>
      <c r="B186" s="27">
        <f>IF(F186="","",DATE(YEAR(F186),MONTH(F186),1))</f>
        <v/>
      </c>
      <c r="C186" s="28" t="n"/>
      <c r="D186" s="28" t="n"/>
      <c r="E186" s="59">
        <f>IF(C186="","",IFERROR(INDEX('6. Base de Custos'!$M$8:$M$42,MATCH(C186,'6. Base de Custos'!$L$8:$L$42,0)),"Não classificado"))</f>
        <v/>
      </c>
      <c r="F186" s="111" t="n"/>
      <c r="G186" s="111" t="n"/>
      <c r="H186" s="111" t="n"/>
      <c r="I186" s="45" t="n"/>
      <c r="J186" s="28" t="n"/>
      <c r="K186" s="28" t="n"/>
      <c r="L186" s="28" t="n"/>
      <c r="M186" s="59">
        <f>IF(C186="","",IFERROR(INDEX('6. Base de Custos'!$N$8:$N$42,MATCH(C186,'6. Base de Custos'!$L$8:$L$42,0)),"Não classificado"))</f>
        <v/>
      </c>
      <c r="N186" s="59">
        <f>IF(C186="","",IFERROR(INDEX('6. Base de Custos'!$O$8:$O$42,MATCH(C186,'6. Base de Custos'!$L$8:$L$42,0)),"Revisar"))</f>
        <v/>
      </c>
      <c r="O186" s="60">
        <f>IF(M186="","",IFERROR(VLOOKUP(M186,'6. Base de Custos'!$H$12:$J$18,3,FALSE),0))</f>
        <v/>
      </c>
      <c r="P186" s="59">
        <f>IF(C186="","",IFERROR(INDEX('6. Base de Custos'!$P$8:$P$42,MATCH(C186,'6. Base de Custos'!$L$8:$L$42,0)),"Revisar"))</f>
        <v/>
      </c>
      <c r="Q186" s="59">
        <f>IF(C186="","",IFERROR(INDEX('6. Base de Custos'!$Q$8:$Q$42,MATCH(C186,'6. Base de Custos'!$L$8:$L$42,0)),""))</f>
        <v/>
      </c>
      <c r="R186" s="65">
        <f>IF(C186="","",IFERROR(VLOOKUP(M186&amp;"|"&amp;N186,'17. Mapa DRE CP'!$E$5:$H$100,2,FALSE),"Revisar"))</f>
        <v/>
      </c>
      <c r="S186" s="65">
        <f>IF(C186="","",IFERROR(VLOOKUP(M186&amp;"|"&amp;N186,'17. Mapa DRE CP'!$E$5:$H$100,3,FALSE),"Revisar"))</f>
        <v/>
      </c>
      <c r="T186" s="65">
        <f>IF(C186="","",IF(R186="(-) Custos diretos dos serviços",IF(ISNUMBER(SEARCH("PCMSO",C186)),"PCMSO",IF(OR(ISNUMBER(SEARCH("SGS",C186)),ISNUMBER(SEARCH("CASTRO NAVES",C186))),"Projetos / Laudos / Avulsos","Projetos / Laudos / Avulsos")),"Rateio pela receita bruta"))</f>
        <v/>
      </c>
      <c r="U186" s="65">
        <f>IF(C186="","",IF(R186="(-) Custos diretos dos serviços","Direto por fornecedor/natureza do gasto","Rateio proporcional à receita bruta da linha de serviço"))</f>
        <v/>
      </c>
    </row>
    <row r="187">
      <c r="A187" s="28">
        <f>IF(C187="","", "CP-"&amp;TEXT(ROW()-5,"000"))</f>
        <v/>
      </c>
      <c r="B187" s="27">
        <f>IF(F187="","",DATE(YEAR(F187),MONTH(F187),1))</f>
        <v/>
      </c>
      <c r="C187" s="28" t="n"/>
      <c r="D187" s="28" t="n"/>
      <c r="E187" s="59">
        <f>IF(C187="","",IFERROR(INDEX('6. Base de Custos'!$M$8:$M$42,MATCH(C187,'6. Base de Custos'!$L$8:$L$42,0)),"Não classificado"))</f>
        <v/>
      </c>
      <c r="F187" s="111" t="n"/>
      <c r="G187" s="111" t="n"/>
      <c r="H187" s="111" t="n"/>
      <c r="I187" s="45" t="n"/>
      <c r="J187" s="28" t="n"/>
      <c r="K187" s="28" t="n"/>
      <c r="L187" s="28" t="n"/>
      <c r="M187" s="59">
        <f>IF(C187="","",IFERROR(INDEX('6. Base de Custos'!$N$8:$N$42,MATCH(C187,'6. Base de Custos'!$L$8:$L$42,0)),"Não classificado"))</f>
        <v/>
      </c>
      <c r="N187" s="59">
        <f>IF(C187="","",IFERROR(INDEX('6. Base de Custos'!$O$8:$O$42,MATCH(C187,'6. Base de Custos'!$L$8:$L$42,0)),"Revisar"))</f>
        <v/>
      </c>
      <c r="O187" s="60">
        <f>IF(M187="","",IFERROR(VLOOKUP(M187,'6. Base de Custos'!$H$12:$J$18,3,FALSE),0))</f>
        <v/>
      </c>
      <c r="P187" s="59">
        <f>IF(C187="","",IFERROR(INDEX('6. Base de Custos'!$P$8:$P$42,MATCH(C187,'6. Base de Custos'!$L$8:$L$42,0)),"Revisar"))</f>
        <v/>
      </c>
      <c r="Q187" s="59">
        <f>IF(C187="","",IFERROR(INDEX('6. Base de Custos'!$Q$8:$Q$42,MATCH(C187,'6. Base de Custos'!$L$8:$L$42,0)),""))</f>
        <v/>
      </c>
      <c r="R187" s="65">
        <f>IF(C187="","",IFERROR(VLOOKUP(M187&amp;"|"&amp;N187,'17. Mapa DRE CP'!$E$5:$H$100,2,FALSE),"Revisar"))</f>
        <v/>
      </c>
      <c r="S187" s="65">
        <f>IF(C187="","",IFERROR(VLOOKUP(M187&amp;"|"&amp;N187,'17. Mapa DRE CP'!$E$5:$H$100,3,FALSE),"Revisar"))</f>
        <v/>
      </c>
      <c r="T187" s="65">
        <f>IF(C187="","",IF(R187="(-) Custos diretos dos serviços",IF(ISNUMBER(SEARCH("PCMSO",C187)),"PCMSO",IF(OR(ISNUMBER(SEARCH("SGS",C187)),ISNUMBER(SEARCH("CASTRO NAVES",C187))),"Projetos / Laudos / Avulsos","Projetos / Laudos / Avulsos")),"Rateio pela receita bruta"))</f>
        <v/>
      </c>
      <c r="U187" s="65">
        <f>IF(C187="","",IF(R187="(-) Custos diretos dos serviços","Direto por fornecedor/natureza do gasto","Rateio proporcional à receita bruta da linha de serviço"))</f>
        <v/>
      </c>
    </row>
    <row r="188">
      <c r="A188" s="28">
        <f>IF(C188="","", "CP-"&amp;TEXT(ROW()-5,"000"))</f>
        <v/>
      </c>
      <c r="B188" s="27">
        <f>IF(F188="","",DATE(YEAR(F188),MONTH(F188),1))</f>
        <v/>
      </c>
      <c r="C188" s="28" t="n"/>
      <c r="D188" s="28" t="n"/>
      <c r="E188" s="59">
        <f>IF(C188="","",IFERROR(INDEX('6. Base de Custos'!$M$8:$M$42,MATCH(C188,'6. Base de Custos'!$L$8:$L$42,0)),"Não classificado"))</f>
        <v/>
      </c>
      <c r="F188" s="111" t="n"/>
      <c r="G188" s="111" t="n"/>
      <c r="H188" s="111" t="n"/>
      <c r="I188" s="45" t="n"/>
      <c r="J188" s="28" t="n"/>
      <c r="K188" s="28" t="n"/>
      <c r="L188" s="28" t="n"/>
      <c r="M188" s="59">
        <f>IF(C188="","",IFERROR(INDEX('6. Base de Custos'!$N$8:$N$42,MATCH(C188,'6. Base de Custos'!$L$8:$L$42,0)),"Não classificado"))</f>
        <v/>
      </c>
      <c r="N188" s="59">
        <f>IF(C188="","",IFERROR(INDEX('6. Base de Custos'!$O$8:$O$42,MATCH(C188,'6. Base de Custos'!$L$8:$L$42,0)),"Revisar"))</f>
        <v/>
      </c>
      <c r="O188" s="60">
        <f>IF(M188="","",IFERROR(VLOOKUP(M188,'6. Base de Custos'!$H$12:$J$18,3,FALSE),0))</f>
        <v/>
      </c>
      <c r="P188" s="59">
        <f>IF(C188="","",IFERROR(INDEX('6. Base de Custos'!$P$8:$P$42,MATCH(C188,'6. Base de Custos'!$L$8:$L$42,0)),"Revisar"))</f>
        <v/>
      </c>
      <c r="Q188" s="59">
        <f>IF(C188="","",IFERROR(INDEX('6. Base de Custos'!$Q$8:$Q$42,MATCH(C188,'6. Base de Custos'!$L$8:$L$42,0)),""))</f>
        <v/>
      </c>
      <c r="R188" s="65">
        <f>IF(C188="","",IFERROR(VLOOKUP(M188&amp;"|"&amp;N188,'17. Mapa DRE CP'!$E$5:$H$100,2,FALSE),"Revisar"))</f>
        <v/>
      </c>
      <c r="S188" s="65">
        <f>IF(C188="","",IFERROR(VLOOKUP(M188&amp;"|"&amp;N188,'17. Mapa DRE CP'!$E$5:$H$100,3,FALSE),"Revisar"))</f>
        <v/>
      </c>
      <c r="T188" s="65">
        <f>IF(C188="","",IF(R188="(-) Custos diretos dos serviços",IF(ISNUMBER(SEARCH("PCMSO",C188)),"PCMSO",IF(OR(ISNUMBER(SEARCH("SGS",C188)),ISNUMBER(SEARCH("CASTRO NAVES",C188))),"Projetos / Laudos / Avulsos","Projetos / Laudos / Avulsos")),"Rateio pela receita bruta"))</f>
        <v/>
      </c>
      <c r="U188" s="65">
        <f>IF(C188="","",IF(R188="(-) Custos diretos dos serviços","Direto por fornecedor/natureza do gasto","Rateio proporcional à receita bruta da linha de serviço"))</f>
        <v/>
      </c>
    </row>
    <row r="189">
      <c r="A189" s="28">
        <f>IF(C189="","", "CP-"&amp;TEXT(ROW()-5,"000"))</f>
        <v/>
      </c>
      <c r="B189" s="27">
        <f>IF(F189="","",DATE(YEAR(F189),MONTH(F189),1))</f>
        <v/>
      </c>
      <c r="C189" s="28" t="n"/>
      <c r="D189" s="28" t="n"/>
      <c r="E189" s="59">
        <f>IF(C189="","",IFERROR(INDEX('6. Base de Custos'!$M$8:$M$42,MATCH(C189,'6. Base de Custos'!$L$8:$L$42,0)),"Não classificado"))</f>
        <v/>
      </c>
      <c r="F189" s="111" t="n"/>
      <c r="G189" s="111" t="n"/>
      <c r="H189" s="111" t="n"/>
      <c r="I189" s="45" t="n"/>
      <c r="J189" s="28" t="n"/>
      <c r="K189" s="28" t="n"/>
      <c r="L189" s="28" t="n"/>
      <c r="M189" s="59">
        <f>IF(C189="","",IFERROR(INDEX('6. Base de Custos'!$N$8:$N$42,MATCH(C189,'6. Base de Custos'!$L$8:$L$42,0)),"Não classificado"))</f>
        <v/>
      </c>
      <c r="N189" s="59">
        <f>IF(C189="","",IFERROR(INDEX('6. Base de Custos'!$O$8:$O$42,MATCH(C189,'6. Base de Custos'!$L$8:$L$42,0)),"Revisar"))</f>
        <v/>
      </c>
      <c r="O189" s="60">
        <f>IF(M189="","",IFERROR(VLOOKUP(M189,'6. Base de Custos'!$H$12:$J$18,3,FALSE),0))</f>
        <v/>
      </c>
      <c r="P189" s="59">
        <f>IF(C189="","",IFERROR(INDEX('6. Base de Custos'!$P$8:$P$42,MATCH(C189,'6. Base de Custos'!$L$8:$L$42,0)),"Revisar"))</f>
        <v/>
      </c>
      <c r="Q189" s="59">
        <f>IF(C189="","",IFERROR(INDEX('6. Base de Custos'!$Q$8:$Q$42,MATCH(C189,'6. Base de Custos'!$L$8:$L$42,0)),""))</f>
        <v/>
      </c>
      <c r="R189" s="65">
        <f>IF(C189="","",IFERROR(VLOOKUP(M189&amp;"|"&amp;N189,'17. Mapa DRE CP'!$E$5:$H$100,2,FALSE),"Revisar"))</f>
        <v/>
      </c>
      <c r="S189" s="65">
        <f>IF(C189="","",IFERROR(VLOOKUP(M189&amp;"|"&amp;N189,'17. Mapa DRE CP'!$E$5:$H$100,3,FALSE),"Revisar"))</f>
        <v/>
      </c>
      <c r="T189" s="65">
        <f>IF(C189="","",IF(R189="(-) Custos diretos dos serviços",IF(ISNUMBER(SEARCH("PCMSO",C189)),"PCMSO",IF(OR(ISNUMBER(SEARCH("SGS",C189)),ISNUMBER(SEARCH("CASTRO NAVES",C189))),"Projetos / Laudos / Avulsos","Projetos / Laudos / Avulsos")),"Rateio pela receita bruta"))</f>
        <v/>
      </c>
      <c r="U189" s="65">
        <f>IF(C189="","",IF(R189="(-) Custos diretos dos serviços","Direto por fornecedor/natureza do gasto","Rateio proporcional à receita bruta da linha de serviço"))</f>
        <v/>
      </c>
    </row>
    <row r="190">
      <c r="A190" s="28">
        <f>IF(C190="","", "CP-"&amp;TEXT(ROW()-5,"000"))</f>
        <v/>
      </c>
      <c r="B190" s="27">
        <f>IF(F190="","",DATE(YEAR(F190),MONTH(F190),1))</f>
        <v/>
      </c>
      <c r="C190" s="28" t="n"/>
      <c r="D190" s="28" t="n"/>
      <c r="E190" s="59">
        <f>IF(C190="","",IFERROR(INDEX('6. Base de Custos'!$M$8:$M$42,MATCH(C190,'6. Base de Custos'!$L$8:$L$42,0)),"Não classificado"))</f>
        <v/>
      </c>
      <c r="F190" s="111" t="n"/>
      <c r="G190" s="111" t="n"/>
      <c r="H190" s="111" t="n"/>
      <c r="I190" s="45" t="n"/>
      <c r="J190" s="28" t="n"/>
      <c r="K190" s="28" t="n"/>
      <c r="L190" s="28" t="n"/>
      <c r="M190" s="59">
        <f>IF(C190="","",IFERROR(INDEX('6. Base de Custos'!$N$8:$N$42,MATCH(C190,'6. Base de Custos'!$L$8:$L$42,0)),"Não classificado"))</f>
        <v/>
      </c>
      <c r="N190" s="59">
        <f>IF(C190="","",IFERROR(INDEX('6. Base de Custos'!$O$8:$O$42,MATCH(C190,'6. Base de Custos'!$L$8:$L$42,0)),"Revisar"))</f>
        <v/>
      </c>
      <c r="O190" s="60">
        <f>IF(M190="","",IFERROR(VLOOKUP(M190,'6. Base de Custos'!$H$12:$J$18,3,FALSE),0))</f>
        <v/>
      </c>
      <c r="P190" s="59">
        <f>IF(C190="","",IFERROR(INDEX('6. Base de Custos'!$P$8:$P$42,MATCH(C190,'6. Base de Custos'!$L$8:$L$42,0)),"Revisar"))</f>
        <v/>
      </c>
      <c r="Q190" s="59">
        <f>IF(C190="","",IFERROR(INDEX('6. Base de Custos'!$Q$8:$Q$42,MATCH(C190,'6. Base de Custos'!$L$8:$L$42,0)),""))</f>
        <v/>
      </c>
      <c r="R190" s="65">
        <f>IF(C190="","",IFERROR(VLOOKUP(M190&amp;"|"&amp;N190,'17. Mapa DRE CP'!$E$5:$H$100,2,FALSE),"Revisar"))</f>
        <v/>
      </c>
      <c r="S190" s="65">
        <f>IF(C190="","",IFERROR(VLOOKUP(M190&amp;"|"&amp;N190,'17. Mapa DRE CP'!$E$5:$H$100,3,FALSE),"Revisar"))</f>
        <v/>
      </c>
      <c r="T190" s="65">
        <f>IF(C190="","",IF(R190="(-) Custos diretos dos serviços",IF(ISNUMBER(SEARCH("PCMSO",C190)),"PCMSO",IF(OR(ISNUMBER(SEARCH("SGS",C190)),ISNUMBER(SEARCH("CASTRO NAVES",C190))),"Projetos / Laudos / Avulsos","Projetos / Laudos / Avulsos")),"Rateio pela receita bruta"))</f>
        <v/>
      </c>
      <c r="U190" s="65">
        <f>IF(C190="","",IF(R190="(-) Custos diretos dos serviços","Direto por fornecedor/natureza do gasto","Rateio proporcional à receita bruta da linha de serviço"))</f>
        <v/>
      </c>
    </row>
    <row r="191">
      <c r="A191" s="28">
        <f>IF(C191="","", "CP-"&amp;TEXT(ROW()-5,"000"))</f>
        <v/>
      </c>
      <c r="B191" s="27">
        <f>IF(F191="","",DATE(YEAR(F191),MONTH(F191),1))</f>
        <v/>
      </c>
      <c r="C191" s="28" t="n"/>
      <c r="D191" s="28" t="n"/>
      <c r="E191" s="59">
        <f>IF(C191="","",IFERROR(INDEX('6. Base de Custos'!$M$8:$M$42,MATCH(C191,'6. Base de Custos'!$L$8:$L$42,0)),"Não classificado"))</f>
        <v/>
      </c>
      <c r="F191" s="111" t="n"/>
      <c r="G191" s="111" t="n"/>
      <c r="H191" s="111" t="n"/>
      <c r="I191" s="45" t="n"/>
      <c r="J191" s="28" t="n"/>
      <c r="K191" s="28" t="n"/>
      <c r="L191" s="28" t="n"/>
      <c r="M191" s="59">
        <f>IF(C191="","",IFERROR(INDEX('6. Base de Custos'!$N$8:$N$42,MATCH(C191,'6. Base de Custos'!$L$8:$L$42,0)),"Não classificado"))</f>
        <v/>
      </c>
      <c r="N191" s="59">
        <f>IF(C191="","",IFERROR(INDEX('6. Base de Custos'!$O$8:$O$42,MATCH(C191,'6. Base de Custos'!$L$8:$L$42,0)),"Revisar"))</f>
        <v/>
      </c>
      <c r="O191" s="60">
        <f>IF(M191="","",IFERROR(VLOOKUP(M191,'6. Base de Custos'!$H$12:$J$18,3,FALSE),0))</f>
        <v/>
      </c>
      <c r="P191" s="59">
        <f>IF(C191="","",IFERROR(INDEX('6. Base de Custos'!$P$8:$P$42,MATCH(C191,'6. Base de Custos'!$L$8:$L$42,0)),"Revisar"))</f>
        <v/>
      </c>
      <c r="Q191" s="59">
        <f>IF(C191="","",IFERROR(INDEX('6. Base de Custos'!$Q$8:$Q$42,MATCH(C191,'6. Base de Custos'!$L$8:$L$42,0)),""))</f>
        <v/>
      </c>
      <c r="R191" s="65">
        <f>IF(C191="","",IFERROR(VLOOKUP(M191&amp;"|"&amp;N191,'17. Mapa DRE CP'!$E$5:$H$100,2,FALSE),"Revisar"))</f>
        <v/>
      </c>
      <c r="S191" s="65">
        <f>IF(C191="","",IFERROR(VLOOKUP(M191&amp;"|"&amp;N191,'17. Mapa DRE CP'!$E$5:$H$100,3,FALSE),"Revisar"))</f>
        <v/>
      </c>
      <c r="T191" s="65">
        <f>IF(C191="","",IF(R191="(-) Custos diretos dos serviços",IF(ISNUMBER(SEARCH("PCMSO",C191)),"PCMSO",IF(OR(ISNUMBER(SEARCH("SGS",C191)),ISNUMBER(SEARCH("CASTRO NAVES",C191))),"Projetos / Laudos / Avulsos","Projetos / Laudos / Avulsos")),"Rateio pela receita bruta"))</f>
        <v/>
      </c>
      <c r="U191" s="65">
        <f>IF(C191="","",IF(R191="(-) Custos diretos dos serviços","Direto por fornecedor/natureza do gasto","Rateio proporcional à receita bruta da linha de serviço"))</f>
        <v/>
      </c>
    </row>
    <row r="192">
      <c r="A192" s="28">
        <f>IF(C192="","", "CP-"&amp;TEXT(ROW()-5,"000"))</f>
        <v/>
      </c>
      <c r="B192" s="27">
        <f>IF(F192="","",DATE(YEAR(F192),MONTH(F192),1))</f>
        <v/>
      </c>
      <c r="C192" s="28" t="n"/>
      <c r="D192" s="28" t="n"/>
      <c r="E192" s="59">
        <f>IF(C192="","",IFERROR(INDEX('6. Base de Custos'!$M$8:$M$42,MATCH(C192,'6. Base de Custos'!$L$8:$L$42,0)),"Não classificado"))</f>
        <v/>
      </c>
      <c r="F192" s="111" t="n"/>
      <c r="G192" s="111" t="n"/>
      <c r="H192" s="111" t="n"/>
      <c r="I192" s="45" t="n"/>
      <c r="J192" s="28" t="n"/>
      <c r="K192" s="28" t="n"/>
      <c r="L192" s="28" t="n"/>
      <c r="M192" s="59">
        <f>IF(C192="","",IFERROR(INDEX('6. Base de Custos'!$N$8:$N$42,MATCH(C192,'6. Base de Custos'!$L$8:$L$42,0)),"Não classificado"))</f>
        <v/>
      </c>
      <c r="N192" s="59">
        <f>IF(C192="","",IFERROR(INDEX('6. Base de Custos'!$O$8:$O$42,MATCH(C192,'6. Base de Custos'!$L$8:$L$42,0)),"Revisar"))</f>
        <v/>
      </c>
      <c r="O192" s="60">
        <f>IF(M192="","",IFERROR(VLOOKUP(M192,'6. Base de Custos'!$H$12:$J$18,3,FALSE),0))</f>
        <v/>
      </c>
      <c r="P192" s="59">
        <f>IF(C192="","",IFERROR(INDEX('6. Base de Custos'!$P$8:$P$42,MATCH(C192,'6. Base de Custos'!$L$8:$L$42,0)),"Revisar"))</f>
        <v/>
      </c>
      <c r="Q192" s="59">
        <f>IF(C192="","",IFERROR(INDEX('6. Base de Custos'!$Q$8:$Q$42,MATCH(C192,'6. Base de Custos'!$L$8:$L$42,0)),""))</f>
        <v/>
      </c>
      <c r="R192" s="65">
        <f>IF(C192="","",IFERROR(VLOOKUP(M192&amp;"|"&amp;N192,'17. Mapa DRE CP'!$E$5:$H$100,2,FALSE),"Revisar"))</f>
        <v/>
      </c>
      <c r="S192" s="65">
        <f>IF(C192="","",IFERROR(VLOOKUP(M192&amp;"|"&amp;N192,'17. Mapa DRE CP'!$E$5:$H$100,3,FALSE),"Revisar"))</f>
        <v/>
      </c>
      <c r="T192" s="65">
        <f>IF(C192="","",IF(R192="(-) Custos diretos dos serviços",IF(ISNUMBER(SEARCH("PCMSO",C192)),"PCMSO",IF(OR(ISNUMBER(SEARCH("SGS",C192)),ISNUMBER(SEARCH("CASTRO NAVES",C192))),"Projetos / Laudos / Avulsos","Projetos / Laudos / Avulsos")),"Rateio pela receita bruta"))</f>
        <v/>
      </c>
      <c r="U192" s="65">
        <f>IF(C192="","",IF(R192="(-) Custos diretos dos serviços","Direto por fornecedor/natureza do gasto","Rateio proporcional à receita bruta da linha de serviço"))</f>
        <v/>
      </c>
    </row>
    <row r="193">
      <c r="A193" s="28">
        <f>IF(C193="","", "CP-"&amp;TEXT(ROW()-5,"000"))</f>
        <v/>
      </c>
      <c r="B193" s="27">
        <f>IF(F193="","",DATE(YEAR(F193),MONTH(F193),1))</f>
        <v/>
      </c>
      <c r="C193" s="28" t="n"/>
      <c r="D193" s="28" t="n"/>
      <c r="E193" s="59">
        <f>IF(C193="","",IFERROR(INDEX('6. Base de Custos'!$M$8:$M$42,MATCH(C193,'6. Base de Custos'!$L$8:$L$42,0)),"Não classificado"))</f>
        <v/>
      </c>
      <c r="F193" s="111" t="n"/>
      <c r="G193" s="111" t="n"/>
      <c r="H193" s="111" t="n"/>
      <c r="I193" s="45" t="n"/>
      <c r="J193" s="28" t="n"/>
      <c r="K193" s="28" t="n"/>
      <c r="L193" s="28" t="n"/>
      <c r="M193" s="59">
        <f>IF(C193="","",IFERROR(INDEX('6. Base de Custos'!$N$8:$N$42,MATCH(C193,'6. Base de Custos'!$L$8:$L$42,0)),"Não classificado"))</f>
        <v/>
      </c>
      <c r="N193" s="59">
        <f>IF(C193="","",IFERROR(INDEX('6. Base de Custos'!$O$8:$O$42,MATCH(C193,'6. Base de Custos'!$L$8:$L$42,0)),"Revisar"))</f>
        <v/>
      </c>
      <c r="O193" s="60">
        <f>IF(M193="","",IFERROR(VLOOKUP(M193,'6. Base de Custos'!$H$12:$J$18,3,FALSE),0))</f>
        <v/>
      </c>
      <c r="P193" s="59">
        <f>IF(C193="","",IFERROR(INDEX('6. Base de Custos'!$P$8:$P$42,MATCH(C193,'6. Base de Custos'!$L$8:$L$42,0)),"Revisar"))</f>
        <v/>
      </c>
      <c r="Q193" s="59">
        <f>IF(C193="","",IFERROR(INDEX('6. Base de Custos'!$Q$8:$Q$42,MATCH(C193,'6. Base de Custos'!$L$8:$L$42,0)),""))</f>
        <v/>
      </c>
      <c r="R193" s="65">
        <f>IF(C193="","",IFERROR(VLOOKUP(M193&amp;"|"&amp;N193,'17. Mapa DRE CP'!$E$5:$H$100,2,FALSE),"Revisar"))</f>
        <v/>
      </c>
      <c r="S193" s="65">
        <f>IF(C193="","",IFERROR(VLOOKUP(M193&amp;"|"&amp;N193,'17. Mapa DRE CP'!$E$5:$H$100,3,FALSE),"Revisar"))</f>
        <v/>
      </c>
      <c r="T193" s="65">
        <f>IF(C193="","",IF(R193="(-) Custos diretos dos serviços",IF(ISNUMBER(SEARCH("PCMSO",C193)),"PCMSO",IF(OR(ISNUMBER(SEARCH("SGS",C193)),ISNUMBER(SEARCH("CASTRO NAVES",C193))),"Projetos / Laudos / Avulsos","Projetos / Laudos / Avulsos")),"Rateio pela receita bruta"))</f>
        <v/>
      </c>
      <c r="U193" s="65">
        <f>IF(C193="","",IF(R193="(-) Custos diretos dos serviços","Direto por fornecedor/natureza do gasto","Rateio proporcional à receita bruta da linha de serviço"))</f>
        <v/>
      </c>
    </row>
    <row r="194">
      <c r="A194" s="28">
        <f>IF(C194="","", "CP-"&amp;TEXT(ROW()-5,"000"))</f>
        <v/>
      </c>
      <c r="B194" s="27">
        <f>IF(F194="","",DATE(YEAR(F194),MONTH(F194),1))</f>
        <v/>
      </c>
      <c r="C194" s="28" t="n"/>
      <c r="D194" s="28" t="n"/>
      <c r="E194" s="59">
        <f>IF(C194="","",IFERROR(INDEX('6. Base de Custos'!$M$8:$M$42,MATCH(C194,'6. Base de Custos'!$L$8:$L$42,0)),"Não classificado"))</f>
        <v/>
      </c>
      <c r="F194" s="111" t="n"/>
      <c r="G194" s="111" t="n"/>
      <c r="H194" s="111" t="n"/>
      <c r="I194" s="45" t="n"/>
      <c r="J194" s="28" t="n"/>
      <c r="K194" s="28" t="n"/>
      <c r="L194" s="28" t="n"/>
      <c r="M194" s="59">
        <f>IF(C194="","",IFERROR(INDEX('6. Base de Custos'!$N$8:$N$42,MATCH(C194,'6. Base de Custos'!$L$8:$L$42,0)),"Não classificado"))</f>
        <v/>
      </c>
      <c r="N194" s="59">
        <f>IF(C194="","",IFERROR(INDEX('6. Base de Custos'!$O$8:$O$42,MATCH(C194,'6. Base de Custos'!$L$8:$L$42,0)),"Revisar"))</f>
        <v/>
      </c>
      <c r="O194" s="60">
        <f>IF(M194="","",IFERROR(VLOOKUP(M194,'6. Base de Custos'!$H$12:$J$18,3,FALSE),0))</f>
        <v/>
      </c>
      <c r="P194" s="59">
        <f>IF(C194="","",IFERROR(INDEX('6. Base de Custos'!$P$8:$P$42,MATCH(C194,'6. Base de Custos'!$L$8:$L$42,0)),"Revisar"))</f>
        <v/>
      </c>
      <c r="Q194" s="59">
        <f>IF(C194="","",IFERROR(INDEX('6. Base de Custos'!$Q$8:$Q$42,MATCH(C194,'6. Base de Custos'!$L$8:$L$42,0)),""))</f>
        <v/>
      </c>
      <c r="R194" s="65">
        <f>IF(C194="","",IFERROR(VLOOKUP(M194&amp;"|"&amp;N194,'17. Mapa DRE CP'!$E$5:$H$100,2,FALSE),"Revisar"))</f>
        <v/>
      </c>
      <c r="S194" s="65">
        <f>IF(C194="","",IFERROR(VLOOKUP(M194&amp;"|"&amp;N194,'17. Mapa DRE CP'!$E$5:$H$100,3,FALSE),"Revisar"))</f>
        <v/>
      </c>
      <c r="T194" s="65">
        <f>IF(C194="","",IF(R194="(-) Custos diretos dos serviços",IF(ISNUMBER(SEARCH("PCMSO",C194)),"PCMSO",IF(OR(ISNUMBER(SEARCH("SGS",C194)),ISNUMBER(SEARCH("CASTRO NAVES",C194))),"Projetos / Laudos / Avulsos","Projetos / Laudos / Avulsos")),"Rateio pela receita bruta"))</f>
        <v/>
      </c>
      <c r="U194" s="65">
        <f>IF(C194="","",IF(R194="(-) Custos diretos dos serviços","Direto por fornecedor/natureza do gasto","Rateio proporcional à receita bruta da linha de serviço"))</f>
        <v/>
      </c>
    </row>
    <row r="195">
      <c r="A195" s="28">
        <f>IF(C195="","", "CP-"&amp;TEXT(ROW()-5,"000"))</f>
        <v/>
      </c>
      <c r="B195" s="27">
        <f>IF(F195="","",DATE(YEAR(F195),MONTH(F195),1))</f>
        <v/>
      </c>
      <c r="C195" s="28" t="n"/>
      <c r="D195" s="28" t="n"/>
      <c r="E195" s="59">
        <f>IF(C195="","",IFERROR(INDEX('6. Base de Custos'!$M$8:$M$42,MATCH(C195,'6. Base de Custos'!$L$8:$L$42,0)),"Não classificado"))</f>
        <v/>
      </c>
      <c r="F195" s="111" t="n"/>
      <c r="G195" s="111" t="n"/>
      <c r="H195" s="111" t="n"/>
      <c r="I195" s="45" t="n"/>
      <c r="J195" s="28" t="n"/>
      <c r="K195" s="28" t="n"/>
      <c r="L195" s="28" t="n"/>
      <c r="M195" s="59">
        <f>IF(C195="","",IFERROR(INDEX('6. Base de Custos'!$N$8:$N$42,MATCH(C195,'6. Base de Custos'!$L$8:$L$42,0)),"Não classificado"))</f>
        <v/>
      </c>
      <c r="N195" s="59">
        <f>IF(C195="","",IFERROR(INDEX('6. Base de Custos'!$O$8:$O$42,MATCH(C195,'6. Base de Custos'!$L$8:$L$42,0)),"Revisar"))</f>
        <v/>
      </c>
      <c r="O195" s="60">
        <f>IF(M195="","",IFERROR(VLOOKUP(M195,'6. Base de Custos'!$H$12:$J$18,3,FALSE),0))</f>
        <v/>
      </c>
      <c r="P195" s="59">
        <f>IF(C195="","",IFERROR(INDEX('6. Base de Custos'!$P$8:$P$42,MATCH(C195,'6. Base de Custos'!$L$8:$L$42,0)),"Revisar"))</f>
        <v/>
      </c>
      <c r="Q195" s="59">
        <f>IF(C195="","",IFERROR(INDEX('6. Base de Custos'!$Q$8:$Q$42,MATCH(C195,'6. Base de Custos'!$L$8:$L$42,0)),""))</f>
        <v/>
      </c>
      <c r="R195" s="65">
        <f>IF(C195="","",IFERROR(VLOOKUP(M195&amp;"|"&amp;N195,'17. Mapa DRE CP'!$E$5:$H$100,2,FALSE),"Revisar"))</f>
        <v/>
      </c>
      <c r="S195" s="65">
        <f>IF(C195="","",IFERROR(VLOOKUP(M195&amp;"|"&amp;N195,'17. Mapa DRE CP'!$E$5:$H$100,3,FALSE),"Revisar"))</f>
        <v/>
      </c>
      <c r="T195" s="65">
        <f>IF(C195="","",IF(R195="(-) Custos diretos dos serviços",IF(ISNUMBER(SEARCH("PCMSO",C195)),"PCMSO",IF(OR(ISNUMBER(SEARCH("SGS",C195)),ISNUMBER(SEARCH("CASTRO NAVES",C195))),"Projetos / Laudos / Avulsos","Projetos / Laudos / Avulsos")),"Rateio pela receita bruta"))</f>
        <v/>
      </c>
      <c r="U195" s="65">
        <f>IF(C195="","",IF(R195="(-) Custos diretos dos serviços","Direto por fornecedor/natureza do gasto","Rateio proporcional à receita bruta da linha de serviço"))</f>
        <v/>
      </c>
    </row>
    <row r="196">
      <c r="A196" s="28">
        <f>IF(C196="","", "CP-"&amp;TEXT(ROW()-5,"000"))</f>
        <v/>
      </c>
      <c r="B196" s="27">
        <f>IF(F196="","",DATE(YEAR(F196),MONTH(F196),1))</f>
        <v/>
      </c>
      <c r="C196" s="28" t="n"/>
      <c r="D196" s="28" t="n"/>
      <c r="E196" s="59">
        <f>IF(C196="","",IFERROR(INDEX('6. Base de Custos'!$M$8:$M$42,MATCH(C196,'6. Base de Custos'!$L$8:$L$42,0)),"Não classificado"))</f>
        <v/>
      </c>
      <c r="F196" s="111" t="n"/>
      <c r="G196" s="111" t="n"/>
      <c r="H196" s="111" t="n"/>
      <c r="I196" s="45" t="n"/>
      <c r="J196" s="28" t="n"/>
      <c r="K196" s="28" t="n"/>
      <c r="L196" s="28" t="n"/>
      <c r="M196" s="59">
        <f>IF(C196="","",IFERROR(INDEX('6. Base de Custos'!$N$8:$N$42,MATCH(C196,'6. Base de Custos'!$L$8:$L$42,0)),"Não classificado"))</f>
        <v/>
      </c>
      <c r="N196" s="59">
        <f>IF(C196="","",IFERROR(INDEX('6. Base de Custos'!$O$8:$O$42,MATCH(C196,'6. Base de Custos'!$L$8:$L$42,0)),"Revisar"))</f>
        <v/>
      </c>
      <c r="O196" s="60">
        <f>IF(M196="","",IFERROR(VLOOKUP(M196,'6. Base de Custos'!$H$12:$J$18,3,FALSE),0))</f>
        <v/>
      </c>
      <c r="P196" s="59">
        <f>IF(C196="","",IFERROR(INDEX('6. Base de Custos'!$P$8:$P$42,MATCH(C196,'6. Base de Custos'!$L$8:$L$42,0)),"Revisar"))</f>
        <v/>
      </c>
      <c r="Q196" s="59">
        <f>IF(C196="","",IFERROR(INDEX('6. Base de Custos'!$Q$8:$Q$42,MATCH(C196,'6. Base de Custos'!$L$8:$L$42,0)),""))</f>
        <v/>
      </c>
      <c r="R196" s="65">
        <f>IF(C196="","",IFERROR(VLOOKUP(M196&amp;"|"&amp;N196,'17. Mapa DRE CP'!$E$5:$H$100,2,FALSE),"Revisar"))</f>
        <v/>
      </c>
      <c r="S196" s="65">
        <f>IF(C196="","",IFERROR(VLOOKUP(M196&amp;"|"&amp;N196,'17. Mapa DRE CP'!$E$5:$H$100,3,FALSE),"Revisar"))</f>
        <v/>
      </c>
      <c r="T196" s="65">
        <f>IF(C196="","",IF(R196="(-) Custos diretos dos serviços",IF(ISNUMBER(SEARCH("PCMSO",C196)),"PCMSO",IF(OR(ISNUMBER(SEARCH("SGS",C196)),ISNUMBER(SEARCH("CASTRO NAVES",C196))),"Projetos / Laudos / Avulsos","Projetos / Laudos / Avulsos")),"Rateio pela receita bruta"))</f>
        <v/>
      </c>
      <c r="U196" s="65">
        <f>IF(C196="","",IF(R196="(-) Custos diretos dos serviços","Direto por fornecedor/natureza do gasto","Rateio proporcional à receita bruta da linha de serviço"))</f>
        <v/>
      </c>
    </row>
    <row r="197">
      <c r="A197" s="28">
        <f>IF(C197="","", "CP-"&amp;TEXT(ROW()-5,"000"))</f>
        <v/>
      </c>
      <c r="B197" s="27">
        <f>IF(F197="","",DATE(YEAR(F197),MONTH(F197),1))</f>
        <v/>
      </c>
      <c r="C197" s="28" t="n"/>
      <c r="D197" s="28" t="n"/>
      <c r="E197" s="59">
        <f>IF(C197="","",IFERROR(INDEX('6. Base de Custos'!$M$8:$M$42,MATCH(C197,'6. Base de Custos'!$L$8:$L$42,0)),"Não classificado"))</f>
        <v/>
      </c>
      <c r="F197" s="111" t="n"/>
      <c r="G197" s="111" t="n"/>
      <c r="H197" s="111" t="n"/>
      <c r="I197" s="45" t="n"/>
      <c r="J197" s="28" t="n"/>
      <c r="K197" s="28" t="n"/>
      <c r="L197" s="28" t="n"/>
      <c r="M197" s="59">
        <f>IF(C197="","",IFERROR(INDEX('6. Base de Custos'!$N$8:$N$42,MATCH(C197,'6. Base de Custos'!$L$8:$L$42,0)),"Não classificado"))</f>
        <v/>
      </c>
      <c r="N197" s="59">
        <f>IF(C197="","",IFERROR(INDEX('6. Base de Custos'!$O$8:$O$42,MATCH(C197,'6. Base de Custos'!$L$8:$L$42,0)),"Revisar"))</f>
        <v/>
      </c>
      <c r="O197" s="60">
        <f>IF(M197="","",IFERROR(VLOOKUP(M197,'6. Base de Custos'!$H$12:$J$18,3,FALSE),0))</f>
        <v/>
      </c>
      <c r="P197" s="59">
        <f>IF(C197="","",IFERROR(INDEX('6. Base de Custos'!$P$8:$P$42,MATCH(C197,'6. Base de Custos'!$L$8:$L$42,0)),"Revisar"))</f>
        <v/>
      </c>
      <c r="Q197" s="59">
        <f>IF(C197="","",IFERROR(INDEX('6. Base de Custos'!$Q$8:$Q$42,MATCH(C197,'6. Base de Custos'!$L$8:$L$42,0)),""))</f>
        <v/>
      </c>
      <c r="R197" s="65">
        <f>IF(C197="","",IFERROR(VLOOKUP(M197&amp;"|"&amp;N197,'17. Mapa DRE CP'!$E$5:$H$100,2,FALSE),"Revisar"))</f>
        <v/>
      </c>
      <c r="S197" s="65">
        <f>IF(C197="","",IFERROR(VLOOKUP(M197&amp;"|"&amp;N197,'17. Mapa DRE CP'!$E$5:$H$100,3,FALSE),"Revisar"))</f>
        <v/>
      </c>
      <c r="T197" s="65">
        <f>IF(C197="","",IF(R197="(-) Custos diretos dos serviços",IF(ISNUMBER(SEARCH("PCMSO",C197)),"PCMSO",IF(OR(ISNUMBER(SEARCH("SGS",C197)),ISNUMBER(SEARCH("CASTRO NAVES",C197))),"Projetos / Laudos / Avulsos","Projetos / Laudos / Avulsos")),"Rateio pela receita bruta"))</f>
        <v/>
      </c>
      <c r="U197" s="65">
        <f>IF(C197="","",IF(R197="(-) Custos diretos dos serviços","Direto por fornecedor/natureza do gasto","Rateio proporcional à receita bruta da linha de serviço"))</f>
        <v/>
      </c>
    </row>
    <row r="198">
      <c r="A198" s="28">
        <f>IF(C198="","", "CP-"&amp;TEXT(ROW()-5,"000"))</f>
        <v/>
      </c>
      <c r="B198" s="27">
        <f>IF(F198="","",DATE(YEAR(F198),MONTH(F198),1))</f>
        <v/>
      </c>
      <c r="C198" s="28" t="n"/>
      <c r="D198" s="28" t="n"/>
      <c r="E198" s="59">
        <f>IF(C198="","",IFERROR(INDEX('6. Base de Custos'!$M$8:$M$42,MATCH(C198,'6. Base de Custos'!$L$8:$L$42,0)),"Não classificado"))</f>
        <v/>
      </c>
      <c r="F198" s="111" t="n"/>
      <c r="G198" s="111" t="n"/>
      <c r="H198" s="111" t="n"/>
      <c r="I198" s="45" t="n"/>
      <c r="J198" s="28" t="n"/>
      <c r="K198" s="28" t="n"/>
      <c r="L198" s="28" t="n"/>
      <c r="M198" s="59">
        <f>IF(C198="","",IFERROR(INDEX('6. Base de Custos'!$N$8:$N$42,MATCH(C198,'6. Base de Custos'!$L$8:$L$42,0)),"Não classificado"))</f>
        <v/>
      </c>
      <c r="N198" s="59">
        <f>IF(C198="","",IFERROR(INDEX('6. Base de Custos'!$O$8:$O$42,MATCH(C198,'6. Base de Custos'!$L$8:$L$42,0)),"Revisar"))</f>
        <v/>
      </c>
      <c r="O198" s="60">
        <f>IF(M198="","",IFERROR(VLOOKUP(M198,'6. Base de Custos'!$H$12:$J$18,3,FALSE),0))</f>
        <v/>
      </c>
      <c r="P198" s="59">
        <f>IF(C198="","",IFERROR(INDEX('6. Base de Custos'!$P$8:$P$42,MATCH(C198,'6. Base de Custos'!$L$8:$L$42,0)),"Revisar"))</f>
        <v/>
      </c>
      <c r="Q198" s="59">
        <f>IF(C198="","",IFERROR(INDEX('6. Base de Custos'!$Q$8:$Q$42,MATCH(C198,'6. Base de Custos'!$L$8:$L$42,0)),""))</f>
        <v/>
      </c>
      <c r="R198" s="65">
        <f>IF(C198="","",IFERROR(VLOOKUP(M198&amp;"|"&amp;N198,'17. Mapa DRE CP'!$E$5:$H$100,2,FALSE),"Revisar"))</f>
        <v/>
      </c>
      <c r="S198" s="65">
        <f>IF(C198="","",IFERROR(VLOOKUP(M198&amp;"|"&amp;N198,'17. Mapa DRE CP'!$E$5:$H$100,3,FALSE),"Revisar"))</f>
        <v/>
      </c>
      <c r="T198" s="65">
        <f>IF(C198="","",IF(R198="(-) Custos diretos dos serviços",IF(ISNUMBER(SEARCH("PCMSO",C198)),"PCMSO",IF(OR(ISNUMBER(SEARCH("SGS",C198)),ISNUMBER(SEARCH("CASTRO NAVES",C198))),"Projetos / Laudos / Avulsos","Projetos / Laudos / Avulsos")),"Rateio pela receita bruta"))</f>
        <v/>
      </c>
      <c r="U198" s="65">
        <f>IF(C198="","",IF(R198="(-) Custos diretos dos serviços","Direto por fornecedor/natureza do gasto","Rateio proporcional à receita bruta da linha de serviço"))</f>
        <v/>
      </c>
    </row>
    <row r="199">
      <c r="A199" s="28">
        <f>IF(C199="","", "CP-"&amp;TEXT(ROW()-5,"000"))</f>
        <v/>
      </c>
      <c r="B199" s="27">
        <f>IF(F199="","",DATE(YEAR(F199),MONTH(F199),1))</f>
        <v/>
      </c>
      <c r="C199" s="28" t="n"/>
      <c r="D199" s="28" t="n"/>
      <c r="E199" s="59">
        <f>IF(C199="","",IFERROR(INDEX('6. Base de Custos'!$M$8:$M$42,MATCH(C199,'6. Base de Custos'!$L$8:$L$42,0)),"Não classificado"))</f>
        <v/>
      </c>
      <c r="F199" s="111" t="n"/>
      <c r="G199" s="111" t="n"/>
      <c r="H199" s="111" t="n"/>
      <c r="I199" s="45" t="n"/>
      <c r="J199" s="28" t="n"/>
      <c r="K199" s="28" t="n"/>
      <c r="L199" s="28" t="n"/>
      <c r="M199" s="59">
        <f>IF(C199="","",IFERROR(INDEX('6. Base de Custos'!$N$8:$N$42,MATCH(C199,'6. Base de Custos'!$L$8:$L$42,0)),"Não classificado"))</f>
        <v/>
      </c>
      <c r="N199" s="59">
        <f>IF(C199="","",IFERROR(INDEX('6. Base de Custos'!$O$8:$O$42,MATCH(C199,'6. Base de Custos'!$L$8:$L$42,0)),"Revisar"))</f>
        <v/>
      </c>
      <c r="O199" s="60">
        <f>IF(M199="","",IFERROR(VLOOKUP(M199,'6. Base de Custos'!$H$12:$J$18,3,FALSE),0))</f>
        <v/>
      </c>
      <c r="P199" s="59">
        <f>IF(C199="","",IFERROR(INDEX('6. Base de Custos'!$P$8:$P$42,MATCH(C199,'6. Base de Custos'!$L$8:$L$42,0)),"Revisar"))</f>
        <v/>
      </c>
      <c r="Q199" s="59">
        <f>IF(C199="","",IFERROR(INDEX('6. Base de Custos'!$Q$8:$Q$42,MATCH(C199,'6. Base de Custos'!$L$8:$L$42,0)),""))</f>
        <v/>
      </c>
      <c r="R199" s="65">
        <f>IF(C199="","",IFERROR(VLOOKUP(M199&amp;"|"&amp;N199,'17. Mapa DRE CP'!$E$5:$H$100,2,FALSE),"Revisar"))</f>
        <v/>
      </c>
      <c r="S199" s="65">
        <f>IF(C199="","",IFERROR(VLOOKUP(M199&amp;"|"&amp;N199,'17. Mapa DRE CP'!$E$5:$H$100,3,FALSE),"Revisar"))</f>
        <v/>
      </c>
      <c r="T199" s="65">
        <f>IF(C199="","",IF(R199="(-) Custos diretos dos serviços",IF(ISNUMBER(SEARCH("PCMSO",C199)),"PCMSO",IF(OR(ISNUMBER(SEARCH("SGS",C199)),ISNUMBER(SEARCH("CASTRO NAVES",C199))),"Projetos / Laudos / Avulsos","Projetos / Laudos / Avulsos")),"Rateio pela receita bruta"))</f>
        <v/>
      </c>
      <c r="U199" s="65">
        <f>IF(C199="","",IF(R199="(-) Custos diretos dos serviços","Direto por fornecedor/natureza do gasto","Rateio proporcional à receita bruta da linha de serviço"))</f>
        <v/>
      </c>
    </row>
    <row r="200">
      <c r="A200" s="28">
        <f>IF(C200="","", "CP-"&amp;TEXT(ROW()-5,"000"))</f>
        <v/>
      </c>
      <c r="B200" s="27">
        <f>IF(F200="","",DATE(YEAR(F200),MONTH(F200),1))</f>
        <v/>
      </c>
      <c r="C200" s="28" t="n"/>
      <c r="D200" s="28" t="n"/>
      <c r="E200" s="59">
        <f>IF(C200="","",IFERROR(INDEX('6. Base de Custos'!$M$8:$M$42,MATCH(C200,'6. Base de Custos'!$L$8:$L$42,0)),"Não classificado"))</f>
        <v/>
      </c>
      <c r="F200" s="111" t="n"/>
      <c r="G200" s="111" t="n"/>
      <c r="H200" s="111" t="n"/>
      <c r="I200" s="45" t="n"/>
      <c r="J200" s="28" t="n"/>
      <c r="K200" s="28" t="n"/>
      <c r="L200" s="28" t="n"/>
      <c r="M200" s="59">
        <f>IF(C200="","",IFERROR(INDEX('6. Base de Custos'!$N$8:$N$42,MATCH(C200,'6. Base de Custos'!$L$8:$L$42,0)),"Não classificado"))</f>
        <v/>
      </c>
      <c r="N200" s="59">
        <f>IF(C200="","",IFERROR(INDEX('6. Base de Custos'!$O$8:$O$42,MATCH(C200,'6. Base de Custos'!$L$8:$L$42,0)),"Revisar"))</f>
        <v/>
      </c>
      <c r="O200" s="60">
        <f>IF(M200="","",IFERROR(VLOOKUP(M200,'6. Base de Custos'!$H$12:$J$18,3,FALSE),0))</f>
        <v/>
      </c>
      <c r="P200" s="59">
        <f>IF(C200="","",IFERROR(INDEX('6. Base de Custos'!$P$8:$P$42,MATCH(C200,'6. Base de Custos'!$L$8:$L$42,0)),"Revisar"))</f>
        <v/>
      </c>
      <c r="Q200" s="59">
        <f>IF(C200="","",IFERROR(INDEX('6. Base de Custos'!$Q$8:$Q$42,MATCH(C200,'6. Base de Custos'!$L$8:$L$42,0)),""))</f>
        <v/>
      </c>
      <c r="R200" s="65">
        <f>IF(C200="","",IFERROR(VLOOKUP(M200&amp;"|"&amp;N200,'17. Mapa DRE CP'!$E$5:$H$100,2,FALSE),"Revisar"))</f>
        <v/>
      </c>
      <c r="S200" s="65">
        <f>IF(C200="","",IFERROR(VLOOKUP(M200&amp;"|"&amp;N200,'17. Mapa DRE CP'!$E$5:$H$100,3,FALSE),"Revisar"))</f>
        <v/>
      </c>
      <c r="T200" s="65">
        <f>IF(C200="","",IF(R200="(-) Custos diretos dos serviços",IF(ISNUMBER(SEARCH("PCMSO",C200)),"PCMSO",IF(OR(ISNUMBER(SEARCH("SGS",C200)),ISNUMBER(SEARCH("CASTRO NAVES",C200))),"Projetos / Laudos / Avulsos","Projetos / Laudos / Avulsos")),"Rateio pela receita bruta"))</f>
        <v/>
      </c>
      <c r="U200" s="65">
        <f>IF(C200="","",IF(R200="(-) Custos diretos dos serviços","Direto por fornecedor/natureza do gasto","Rateio proporcional à receita bruta da linha de serviço"))</f>
        <v/>
      </c>
    </row>
    <row r="201">
      <c r="A201" s="28">
        <f>IF(C201="","", "CP-"&amp;TEXT(ROW()-5,"000"))</f>
        <v/>
      </c>
      <c r="B201" s="27">
        <f>IF(F201="","",DATE(YEAR(F201),MONTH(F201),1))</f>
        <v/>
      </c>
      <c r="C201" s="28" t="n"/>
      <c r="D201" s="28" t="n"/>
      <c r="E201" s="59">
        <f>IF(C201="","",IFERROR(INDEX('6. Base de Custos'!$M$8:$M$42,MATCH(C201,'6. Base de Custos'!$L$8:$L$42,0)),"Não classificado"))</f>
        <v/>
      </c>
      <c r="F201" s="111" t="n"/>
      <c r="G201" s="111" t="n"/>
      <c r="H201" s="111" t="n"/>
      <c r="I201" s="45" t="n"/>
      <c r="J201" s="28" t="n"/>
      <c r="K201" s="28" t="n"/>
      <c r="L201" s="28" t="n"/>
      <c r="M201" s="59">
        <f>IF(C201="","",IFERROR(INDEX('6. Base de Custos'!$N$8:$N$42,MATCH(C201,'6. Base de Custos'!$L$8:$L$42,0)),"Não classificado"))</f>
        <v/>
      </c>
      <c r="N201" s="59">
        <f>IF(C201="","",IFERROR(INDEX('6. Base de Custos'!$O$8:$O$42,MATCH(C201,'6. Base de Custos'!$L$8:$L$42,0)),"Revisar"))</f>
        <v/>
      </c>
      <c r="O201" s="60">
        <f>IF(M201="","",IFERROR(VLOOKUP(M201,'6. Base de Custos'!$H$12:$J$18,3,FALSE),0))</f>
        <v/>
      </c>
      <c r="P201" s="59">
        <f>IF(C201="","",IFERROR(INDEX('6. Base de Custos'!$P$8:$P$42,MATCH(C201,'6. Base de Custos'!$L$8:$L$42,0)),"Revisar"))</f>
        <v/>
      </c>
      <c r="Q201" s="59">
        <f>IF(C201="","",IFERROR(INDEX('6. Base de Custos'!$Q$8:$Q$42,MATCH(C201,'6. Base de Custos'!$L$8:$L$42,0)),""))</f>
        <v/>
      </c>
      <c r="R201" s="65">
        <f>IF(C201="","",IFERROR(VLOOKUP(M201&amp;"|"&amp;N201,'17. Mapa DRE CP'!$E$5:$H$100,2,FALSE),"Revisar"))</f>
        <v/>
      </c>
      <c r="S201" s="65">
        <f>IF(C201="","",IFERROR(VLOOKUP(M201&amp;"|"&amp;N201,'17. Mapa DRE CP'!$E$5:$H$100,3,FALSE),"Revisar"))</f>
        <v/>
      </c>
      <c r="T201" s="65">
        <f>IF(C201="","",IF(R201="(-) Custos diretos dos serviços",IF(ISNUMBER(SEARCH("PCMSO",C201)),"PCMSO",IF(OR(ISNUMBER(SEARCH("SGS",C201)),ISNUMBER(SEARCH("CASTRO NAVES",C201))),"Projetos / Laudos / Avulsos","Projetos / Laudos / Avulsos")),"Rateio pela receita bruta"))</f>
        <v/>
      </c>
      <c r="U201" s="65">
        <f>IF(C201="","",IF(R201="(-) Custos diretos dos serviços","Direto por fornecedor/natureza do gasto","Rateio proporcional à receita bruta da linha de serviço"))</f>
        <v/>
      </c>
    </row>
    <row r="202">
      <c r="A202" s="28">
        <f>IF(C202="","", "CP-"&amp;TEXT(ROW()-5,"000"))</f>
        <v/>
      </c>
      <c r="B202" s="27">
        <f>IF(F202="","",DATE(YEAR(F202),MONTH(F202),1))</f>
        <v/>
      </c>
      <c r="C202" s="28" t="n"/>
      <c r="D202" s="28" t="n"/>
      <c r="E202" s="59">
        <f>IF(C202="","",IFERROR(INDEX('6. Base de Custos'!$M$8:$M$42,MATCH(C202,'6. Base de Custos'!$L$8:$L$42,0)),"Não classificado"))</f>
        <v/>
      </c>
      <c r="F202" s="111" t="n"/>
      <c r="G202" s="111" t="n"/>
      <c r="H202" s="111" t="n"/>
      <c r="I202" s="45" t="n"/>
      <c r="J202" s="28" t="n"/>
      <c r="K202" s="28" t="n"/>
      <c r="L202" s="28" t="n"/>
      <c r="M202" s="59">
        <f>IF(C202="","",IFERROR(INDEX('6. Base de Custos'!$N$8:$N$42,MATCH(C202,'6. Base de Custos'!$L$8:$L$42,0)),"Não classificado"))</f>
        <v/>
      </c>
      <c r="N202" s="59">
        <f>IF(C202="","",IFERROR(INDEX('6. Base de Custos'!$O$8:$O$42,MATCH(C202,'6. Base de Custos'!$L$8:$L$42,0)),"Revisar"))</f>
        <v/>
      </c>
      <c r="O202" s="60">
        <f>IF(M202="","",IFERROR(VLOOKUP(M202,'6. Base de Custos'!$H$12:$J$18,3,FALSE),0))</f>
        <v/>
      </c>
      <c r="P202" s="59">
        <f>IF(C202="","",IFERROR(INDEX('6. Base de Custos'!$P$8:$P$42,MATCH(C202,'6. Base de Custos'!$L$8:$L$42,0)),"Revisar"))</f>
        <v/>
      </c>
      <c r="Q202" s="59">
        <f>IF(C202="","",IFERROR(INDEX('6. Base de Custos'!$Q$8:$Q$42,MATCH(C202,'6. Base de Custos'!$L$8:$L$42,0)),""))</f>
        <v/>
      </c>
      <c r="R202" s="65">
        <f>IF(C202="","",IFERROR(VLOOKUP(M202&amp;"|"&amp;N202,'17. Mapa DRE CP'!$E$5:$H$100,2,FALSE),"Revisar"))</f>
        <v/>
      </c>
      <c r="S202" s="65">
        <f>IF(C202="","",IFERROR(VLOOKUP(M202&amp;"|"&amp;N202,'17. Mapa DRE CP'!$E$5:$H$100,3,FALSE),"Revisar"))</f>
        <v/>
      </c>
      <c r="T202" s="65">
        <f>IF(C202="","",IF(R202="(-) Custos diretos dos serviços",IF(ISNUMBER(SEARCH("PCMSO",C202)),"PCMSO",IF(OR(ISNUMBER(SEARCH("SGS",C202)),ISNUMBER(SEARCH("CASTRO NAVES",C202))),"Projetos / Laudos / Avulsos","Projetos / Laudos / Avulsos")),"Rateio pela receita bruta"))</f>
        <v/>
      </c>
      <c r="U202" s="65">
        <f>IF(C202="","",IF(R202="(-) Custos diretos dos serviços","Direto por fornecedor/natureza do gasto","Rateio proporcional à receita bruta da linha de serviço"))</f>
        <v/>
      </c>
    </row>
    <row r="203">
      <c r="A203" s="28">
        <f>IF(C203="","", "CP-"&amp;TEXT(ROW()-5,"000"))</f>
        <v/>
      </c>
      <c r="B203" s="27">
        <f>IF(F203="","",DATE(YEAR(F203),MONTH(F203),1))</f>
        <v/>
      </c>
      <c r="C203" s="28" t="n"/>
      <c r="D203" s="28" t="n"/>
      <c r="E203" s="59">
        <f>IF(C203="","",IFERROR(INDEX('6. Base de Custos'!$M$8:$M$42,MATCH(C203,'6. Base de Custos'!$L$8:$L$42,0)),"Não classificado"))</f>
        <v/>
      </c>
      <c r="F203" s="111" t="n"/>
      <c r="G203" s="111" t="n"/>
      <c r="H203" s="111" t="n"/>
      <c r="I203" s="45" t="n"/>
      <c r="J203" s="28" t="n"/>
      <c r="K203" s="28" t="n"/>
      <c r="L203" s="28" t="n"/>
      <c r="M203" s="59">
        <f>IF(C203="","",IFERROR(INDEX('6. Base de Custos'!$N$8:$N$42,MATCH(C203,'6. Base de Custos'!$L$8:$L$42,0)),"Não classificado"))</f>
        <v/>
      </c>
      <c r="N203" s="59">
        <f>IF(C203="","",IFERROR(INDEX('6. Base de Custos'!$O$8:$O$42,MATCH(C203,'6. Base de Custos'!$L$8:$L$42,0)),"Revisar"))</f>
        <v/>
      </c>
      <c r="O203" s="60">
        <f>IF(M203="","",IFERROR(VLOOKUP(M203,'6. Base de Custos'!$H$12:$J$18,3,FALSE),0))</f>
        <v/>
      </c>
      <c r="P203" s="59">
        <f>IF(C203="","",IFERROR(INDEX('6. Base de Custos'!$P$8:$P$42,MATCH(C203,'6. Base de Custos'!$L$8:$L$42,0)),"Revisar"))</f>
        <v/>
      </c>
      <c r="Q203" s="59">
        <f>IF(C203="","",IFERROR(INDEX('6. Base de Custos'!$Q$8:$Q$42,MATCH(C203,'6. Base de Custos'!$L$8:$L$42,0)),""))</f>
        <v/>
      </c>
      <c r="R203" s="65">
        <f>IF(C203="","",IFERROR(VLOOKUP(M203&amp;"|"&amp;N203,'17. Mapa DRE CP'!$E$5:$H$100,2,FALSE),"Revisar"))</f>
        <v/>
      </c>
      <c r="S203" s="65">
        <f>IF(C203="","",IFERROR(VLOOKUP(M203&amp;"|"&amp;N203,'17. Mapa DRE CP'!$E$5:$H$100,3,FALSE),"Revisar"))</f>
        <v/>
      </c>
      <c r="T203" s="65">
        <f>IF(C203="","",IF(R203="(-) Custos diretos dos serviços",IF(ISNUMBER(SEARCH("PCMSO",C203)),"PCMSO",IF(OR(ISNUMBER(SEARCH("SGS",C203)),ISNUMBER(SEARCH("CASTRO NAVES",C203))),"Projetos / Laudos / Avulsos","Projetos / Laudos / Avulsos")),"Rateio pela receita bruta"))</f>
        <v/>
      </c>
      <c r="U203" s="65">
        <f>IF(C203="","",IF(R203="(-) Custos diretos dos serviços","Direto por fornecedor/natureza do gasto","Rateio proporcional à receita bruta da linha de serviço"))</f>
        <v/>
      </c>
    </row>
    <row r="204">
      <c r="A204" s="28">
        <f>IF(C204="","", "CP-"&amp;TEXT(ROW()-5,"000"))</f>
        <v/>
      </c>
      <c r="B204" s="27">
        <f>IF(F204="","",DATE(YEAR(F204),MONTH(F204),1))</f>
        <v/>
      </c>
      <c r="C204" s="28" t="n"/>
      <c r="D204" s="28" t="n"/>
      <c r="E204" s="59">
        <f>IF(C204="","",IFERROR(INDEX('6. Base de Custos'!$M$8:$M$42,MATCH(C204,'6. Base de Custos'!$L$8:$L$42,0)),"Não classificado"))</f>
        <v/>
      </c>
      <c r="F204" s="111" t="n"/>
      <c r="G204" s="111" t="n"/>
      <c r="H204" s="111" t="n"/>
      <c r="I204" s="45" t="n"/>
      <c r="J204" s="28" t="n"/>
      <c r="K204" s="28" t="n"/>
      <c r="L204" s="28" t="n"/>
      <c r="M204" s="59">
        <f>IF(C204="","",IFERROR(INDEX('6. Base de Custos'!$N$8:$N$42,MATCH(C204,'6. Base de Custos'!$L$8:$L$42,0)),"Não classificado"))</f>
        <v/>
      </c>
      <c r="N204" s="59">
        <f>IF(C204="","",IFERROR(INDEX('6. Base de Custos'!$O$8:$O$42,MATCH(C204,'6. Base de Custos'!$L$8:$L$42,0)),"Revisar"))</f>
        <v/>
      </c>
      <c r="O204" s="60">
        <f>IF(M204="","",IFERROR(VLOOKUP(M204,'6. Base de Custos'!$H$12:$J$18,3,FALSE),0))</f>
        <v/>
      </c>
      <c r="P204" s="59">
        <f>IF(C204="","",IFERROR(INDEX('6. Base de Custos'!$P$8:$P$42,MATCH(C204,'6. Base de Custos'!$L$8:$L$42,0)),"Revisar"))</f>
        <v/>
      </c>
      <c r="Q204" s="59">
        <f>IF(C204="","",IFERROR(INDEX('6. Base de Custos'!$Q$8:$Q$42,MATCH(C204,'6. Base de Custos'!$L$8:$L$42,0)),""))</f>
        <v/>
      </c>
      <c r="R204" s="65">
        <f>IF(C204="","",IFERROR(VLOOKUP(M204&amp;"|"&amp;N204,'17. Mapa DRE CP'!$E$5:$H$100,2,FALSE),"Revisar"))</f>
        <v/>
      </c>
      <c r="S204" s="65">
        <f>IF(C204="","",IFERROR(VLOOKUP(M204&amp;"|"&amp;N204,'17. Mapa DRE CP'!$E$5:$H$100,3,FALSE),"Revisar"))</f>
        <v/>
      </c>
      <c r="T204" s="65">
        <f>IF(C204="","",IF(R204="(-) Custos diretos dos serviços",IF(ISNUMBER(SEARCH("PCMSO",C204)),"PCMSO",IF(OR(ISNUMBER(SEARCH("SGS",C204)),ISNUMBER(SEARCH("CASTRO NAVES",C204))),"Projetos / Laudos / Avulsos","Projetos / Laudos / Avulsos")),"Rateio pela receita bruta"))</f>
        <v/>
      </c>
      <c r="U204" s="65">
        <f>IF(C204="","",IF(R204="(-) Custos diretos dos serviços","Direto por fornecedor/natureza do gasto","Rateio proporcional à receita bruta da linha de serviço"))</f>
        <v/>
      </c>
    </row>
    <row r="205">
      <c r="A205" s="28">
        <f>IF(C205="","", "CP-"&amp;TEXT(ROW()-5,"000"))</f>
        <v/>
      </c>
      <c r="B205" s="27">
        <f>IF(F205="","",DATE(YEAR(F205),MONTH(F205),1))</f>
        <v/>
      </c>
      <c r="C205" s="28" t="n"/>
      <c r="D205" s="28" t="n"/>
      <c r="E205" s="59">
        <f>IF(C205="","",IFERROR(INDEX('6. Base de Custos'!$M$8:$M$42,MATCH(C205,'6. Base de Custos'!$L$8:$L$42,0)),"Não classificado"))</f>
        <v/>
      </c>
      <c r="F205" s="111" t="n"/>
      <c r="G205" s="111" t="n"/>
      <c r="H205" s="111" t="n"/>
      <c r="I205" s="45" t="n"/>
      <c r="J205" s="28" t="n"/>
      <c r="K205" s="28" t="n"/>
      <c r="L205" s="28" t="n"/>
      <c r="M205" s="59">
        <f>IF(C205="","",IFERROR(INDEX('6. Base de Custos'!$N$8:$N$42,MATCH(C205,'6. Base de Custos'!$L$8:$L$42,0)),"Não classificado"))</f>
        <v/>
      </c>
      <c r="N205" s="59">
        <f>IF(C205="","",IFERROR(INDEX('6. Base de Custos'!$O$8:$O$42,MATCH(C205,'6. Base de Custos'!$L$8:$L$42,0)),"Revisar"))</f>
        <v/>
      </c>
      <c r="O205" s="60">
        <f>IF(M205="","",IFERROR(VLOOKUP(M205,'6. Base de Custos'!$H$12:$J$18,3,FALSE),0))</f>
        <v/>
      </c>
      <c r="P205" s="59">
        <f>IF(C205="","",IFERROR(INDEX('6. Base de Custos'!$P$8:$P$42,MATCH(C205,'6. Base de Custos'!$L$8:$L$42,0)),"Revisar"))</f>
        <v/>
      </c>
      <c r="Q205" s="59">
        <f>IF(C205="","",IFERROR(INDEX('6. Base de Custos'!$Q$8:$Q$42,MATCH(C205,'6. Base de Custos'!$L$8:$L$42,0)),""))</f>
        <v/>
      </c>
      <c r="R205" s="65">
        <f>IF(C205="","",IFERROR(VLOOKUP(M205&amp;"|"&amp;N205,'17. Mapa DRE CP'!$E$5:$H$100,2,FALSE),"Revisar"))</f>
        <v/>
      </c>
      <c r="S205" s="65">
        <f>IF(C205="","",IFERROR(VLOOKUP(M205&amp;"|"&amp;N205,'17. Mapa DRE CP'!$E$5:$H$100,3,FALSE),"Revisar"))</f>
        <v/>
      </c>
      <c r="T205" s="65">
        <f>IF(C205="","",IF(R205="(-) Custos diretos dos serviços",IF(ISNUMBER(SEARCH("PCMSO",C205)),"PCMSO",IF(OR(ISNUMBER(SEARCH("SGS",C205)),ISNUMBER(SEARCH("CASTRO NAVES",C205))),"Projetos / Laudos / Avulsos","Projetos / Laudos / Avulsos")),"Rateio pela receita bruta"))</f>
        <v/>
      </c>
      <c r="U205" s="65">
        <f>IF(C205="","",IF(R205="(-) Custos diretos dos serviços","Direto por fornecedor/natureza do gasto","Rateio proporcional à receita bruta da linha de serviço"))</f>
        <v/>
      </c>
    </row>
    <row r="206">
      <c r="A206" s="28">
        <f>IF(C206="","", "CP-"&amp;TEXT(ROW()-5,"000"))</f>
        <v/>
      </c>
      <c r="B206" s="27">
        <f>IF(F206="","",DATE(YEAR(F206),MONTH(F206),1))</f>
        <v/>
      </c>
      <c r="C206" s="28" t="n"/>
      <c r="D206" s="28" t="n"/>
      <c r="E206" s="59">
        <f>IF(C206="","",IFERROR(INDEX('6. Base de Custos'!$M$8:$M$42,MATCH(C206,'6. Base de Custos'!$L$8:$L$42,0)),"Não classificado"))</f>
        <v/>
      </c>
      <c r="F206" s="111" t="n"/>
      <c r="G206" s="111" t="n"/>
      <c r="H206" s="111" t="n"/>
      <c r="I206" s="45" t="n"/>
      <c r="J206" s="28" t="n"/>
      <c r="K206" s="28" t="n"/>
      <c r="L206" s="28" t="n"/>
      <c r="M206" s="59">
        <f>IF(C206="","",IFERROR(INDEX('6. Base de Custos'!$N$8:$N$42,MATCH(C206,'6. Base de Custos'!$L$8:$L$42,0)),"Não classificado"))</f>
        <v/>
      </c>
      <c r="N206" s="59">
        <f>IF(C206="","",IFERROR(INDEX('6. Base de Custos'!$O$8:$O$42,MATCH(C206,'6. Base de Custos'!$L$8:$L$42,0)),"Revisar"))</f>
        <v/>
      </c>
      <c r="O206" s="60">
        <f>IF(M206="","",IFERROR(VLOOKUP(M206,'6. Base de Custos'!$H$12:$J$18,3,FALSE),0))</f>
        <v/>
      </c>
      <c r="P206" s="59">
        <f>IF(C206="","",IFERROR(INDEX('6. Base de Custos'!$P$8:$P$42,MATCH(C206,'6. Base de Custos'!$L$8:$L$42,0)),"Revisar"))</f>
        <v/>
      </c>
      <c r="Q206" s="59">
        <f>IF(C206="","",IFERROR(INDEX('6. Base de Custos'!$Q$8:$Q$42,MATCH(C206,'6. Base de Custos'!$L$8:$L$42,0)),""))</f>
        <v/>
      </c>
      <c r="R206" s="65">
        <f>IF(C206="","",IFERROR(VLOOKUP(M206&amp;"|"&amp;N206,'17. Mapa DRE CP'!$E$5:$H$100,2,FALSE),"Revisar"))</f>
        <v/>
      </c>
      <c r="S206" s="65">
        <f>IF(C206="","",IFERROR(VLOOKUP(M206&amp;"|"&amp;N206,'17. Mapa DRE CP'!$E$5:$H$100,3,FALSE),"Revisar"))</f>
        <v/>
      </c>
      <c r="T206" s="65">
        <f>IF(C206="","",IF(R206="(-) Custos diretos dos serviços",IF(ISNUMBER(SEARCH("PCMSO",C206)),"PCMSO",IF(OR(ISNUMBER(SEARCH("SGS",C206)),ISNUMBER(SEARCH("CASTRO NAVES",C206))),"Projetos / Laudos / Avulsos","Projetos / Laudos / Avulsos")),"Rateio pela receita bruta"))</f>
        <v/>
      </c>
      <c r="U206" s="65">
        <f>IF(C206="","",IF(R206="(-) Custos diretos dos serviços","Direto por fornecedor/natureza do gasto","Rateio proporcional à receita bruta da linha de serviço"))</f>
        <v/>
      </c>
    </row>
    <row r="207">
      <c r="A207" s="28">
        <f>IF(C207="","", "CP-"&amp;TEXT(ROW()-5,"000"))</f>
        <v/>
      </c>
      <c r="B207" s="27">
        <f>IF(F207="","",DATE(YEAR(F207),MONTH(F207),1))</f>
        <v/>
      </c>
      <c r="C207" s="28" t="n"/>
      <c r="D207" s="28" t="n"/>
      <c r="E207" s="59">
        <f>IF(C207="","",IFERROR(INDEX('6. Base de Custos'!$M$8:$M$42,MATCH(C207,'6. Base de Custos'!$L$8:$L$42,0)),"Não classificado"))</f>
        <v/>
      </c>
      <c r="F207" s="111" t="n"/>
      <c r="G207" s="111" t="n"/>
      <c r="H207" s="111" t="n"/>
      <c r="I207" s="45" t="n"/>
      <c r="J207" s="28" t="n"/>
      <c r="K207" s="28" t="n"/>
      <c r="L207" s="28" t="n"/>
      <c r="M207" s="59">
        <f>IF(C207="","",IFERROR(INDEX('6. Base de Custos'!$N$8:$N$42,MATCH(C207,'6. Base de Custos'!$L$8:$L$42,0)),"Não classificado"))</f>
        <v/>
      </c>
      <c r="N207" s="59">
        <f>IF(C207="","",IFERROR(INDEX('6. Base de Custos'!$O$8:$O$42,MATCH(C207,'6. Base de Custos'!$L$8:$L$42,0)),"Revisar"))</f>
        <v/>
      </c>
      <c r="O207" s="60">
        <f>IF(M207="","",IFERROR(VLOOKUP(M207,'6. Base de Custos'!$H$12:$J$18,3,FALSE),0))</f>
        <v/>
      </c>
      <c r="P207" s="59">
        <f>IF(C207="","",IFERROR(INDEX('6. Base de Custos'!$P$8:$P$42,MATCH(C207,'6. Base de Custos'!$L$8:$L$42,0)),"Revisar"))</f>
        <v/>
      </c>
      <c r="Q207" s="59">
        <f>IF(C207="","",IFERROR(INDEX('6. Base de Custos'!$Q$8:$Q$42,MATCH(C207,'6. Base de Custos'!$L$8:$L$42,0)),""))</f>
        <v/>
      </c>
      <c r="R207" s="65">
        <f>IF(C207="","",IFERROR(VLOOKUP(M207&amp;"|"&amp;N207,'17. Mapa DRE CP'!$E$5:$H$100,2,FALSE),"Revisar"))</f>
        <v/>
      </c>
      <c r="S207" s="65">
        <f>IF(C207="","",IFERROR(VLOOKUP(M207&amp;"|"&amp;N207,'17. Mapa DRE CP'!$E$5:$H$100,3,FALSE),"Revisar"))</f>
        <v/>
      </c>
      <c r="T207" s="65">
        <f>IF(C207="","",IF(R207="(-) Custos diretos dos serviços",IF(ISNUMBER(SEARCH("PCMSO",C207)),"PCMSO",IF(OR(ISNUMBER(SEARCH("SGS",C207)),ISNUMBER(SEARCH("CASTRO NAVES",C207))),"Projetos / Laudos / Avulsos","Projetos / Laudos / Avulsos")),"Rateio pela receita bruta"))</f>
        <v/>
      </c>
      <c r="U207" s="65">
        <f>IF(C207="","",IF(R207="(-) Custos diretos dos serviços","Direto por fornecedor/natureza do gasto","Rateio proporcional à receita bruta da linha de serviço"))</f>
        <v/>
      </c>
    </row>
    <row r="208">
      <c r="A208" s="28">
        <f>IF(C208="","", "CP-"&amp;TEXT(ROW()-5,"000"))</f>
        <v/>
      </c>
      <c r="B208" s="27">
        <f>IF(F208="","",DATE(YEAR(F208),MONTH(F208),1))</f>
        <v/>
      </c>
      <c r="C208" s="28" t="n"/>
      <c r="D208" s="28" t="n"/>
      <c r="E208" s="59">
        <f>IF(C208="","",IFERROR(INDEX('6. Base de Custos'!$M$8:$M$42,MATCH(C208,'6. Base de Custos'!$L$8:$L$42,0)),"Não classificado"))</f>
        <v/>
      </c>
      <c r="F208" s="111" t="n"/>
      <c r="G208" s="111" t="n"/>
      <c r="H208" s="111" t="n"/>
      <c r="I208" s="45" t="n"/>
      <c r="J208" s="28" t="n"/>
      <c r="K208" s="28" t="n"/>
      <c r="L208" s="28" t="n"/>
      <c r="M208" s="59">
        <f>IF(C208="","",IFERROR(INDEX('6. Base de Custos'!$N$8:$N$42,MATCH(C208,'6. Base de Custos'!$L$8:$L$42,0)),"Não classificado"))</f>
        <v/>
      </c>
      <c r="N208" s="59">
        <f>IF(C208="","",IFERROR(INDEX('6. Base de Custos'!$O$8:$O$42,MATCH(C208,'6. Base de Custos'!$L$8:$L$42,0)),"Revisar"))</f>
        <v/>
      </c>
      <c r="O208" s="60">
        <f>IF(M208="","",IFERROR(VLOOKUP(M208,'6. Base de Custos'!$H$12:$J$18,3,FALSE),0))</f>
        <v/>
      </c>
      <c r="P208" s="59">
        <f>IF(C208="","",IFERROR(INDEX('6. Base de Custos'!$P$8:$P$42,MATCH(C208,'6. Base de Custos'!$L$8:$L$42,0)),"Revisar"))</f>
        <v/>
      </c>
      <c r="Q208" s="59">
        <f>IF(C208="","",IFERROR(INDEX('6. Base de Custos'!$Q$8:$Q$42,MATCH(C208,'6. Base de Custos'!$L$8:$L$42,0)),""))</f>
        <v/>
      </c>
      <c r="R208" s="65">
        <f>IF(C208="","",IFERROR(VLOOKUP(M208&amp;"|"&amp;N208,'17. Mapa DRE CP'!$E$5:$H$100,2,FALSE),"Revisar"))</f>
        <v/>
      </c>
      <c r="S208" s="65">
        <f>IF(C208="","",IFERROR(VLOOKUP(M208&amp;"|"&amp;N208,'17. Mapa DRE CP'!$E$5:$H$100,3,FALSE),"Revisar"))</f>
        <v/>
      </c>
      <c r="T208" s="65">
        <f>IF(C208="","",IF(R208="(-) Custos diretos dos serviços",IF(ISNUMBER(SEARCH("PCMSO",C208)),"PCMSO",IF(OR(ISNUMBER(SEARCH("SGS",C208)),ISNUMBER(SEARCH("CASTRO NAVES",C208))),"Projetos / Laudos / Avulsos","Projetos / Laudos / Avulsos")),"Rateio pela receita bruta"))</f>
        <v/>
      </c>
      <c r="U208" s="65">
        <f>IF(C208="","",IF(R208="(-) Custos diretos dos serviços","Direto por fornecedor/natureza do gasto","Rateio proporcional à receita bruta da linha de serviço"))</f>
        <v/>
      </c>
    </row>
    <row r="209">
      <c r="A209" s="28">
        <f>IF(C209="","", "CP-"&amp;TEXT(ROW()-5,"000"))</f>
        <v/>
      </c>
      <c r="B209" s="27">
        <f>IF(F209="","",DATE(YEAR(F209),MONTH(F209),1))</f>
        <v/>
      </c>
      <c r="C209" s="28" t="n"/>
      <c r="D209" s="28" t="n"/>
      <c r="E209" s="59">
        <f>IF(C209="","",IFERROR(INDEX('6. Base de Custos'!$M$8:$M$42,MATCH(C209,'6. Base de Custos'!$L$8:$L$42,0)),"Não classificado"))</f>
        <v/>
      </c>
      <c r="F209" s="111" t="n"/>
      <c r="G209" s="111" t="n"/>
      <c r="H209" s="111" t="n"/>
      <c r="I209" s="45" t="n"/>
      <c r="J209" s="28" t="n"/>
      <c r="K209" s="28" t="n"/>
      <c r="L209" s="28" t="n"/>
      <c r="M209" s="59">
        <f>IF(C209="","",IFERROR(INDEX('6. Base de Custos'!$N$8:$N$42,MATCH(C209,'6. Base de Custos'!$L$8:$L$42,0)),"Não classificado"))</f>
        <v/>
      </c>
      <c r="N209" s="59">
        <f>IF(C209="","",IFERROR(INDEX('6. Base de Custos'!$O$8:$O$42,MATCH(C209,'6. Base de Custos'!$L$8:$L$42,0)),"Revisar"))</f>
        <v/>
      </c>
      <c r="O209" s="60">
        <f>IF(M209="","",IFERROR(VLOOKUP(M209,'6. Base de Custos'!$H$12:$J$18,3,FALSE),0))</f>
        <v/>
      </c>
      <c r="P209" s="59">
        <f>IF(C209="","",IFERROR(INDEX('6. Base de Custos'!$P$8:$P$42,MATCH(C209,'6. Base de Custos'!$L$8:$L$42,0)),"Revisar"))</f>
        <v/>
      </c>
      <c r="Q209" s="59">
        <f>IF(C209="","",IFERROR(INDEX('6. Base de Custos'!$Q$8:$Q$42,MATCH(C209,'6. Base de Custos'!$L$8:$L$42,0)),""))</f>
        <v/>
      </c>
      <c r="R209" s="65">
        <f>IF(C209="","",IFERROR(VLOOKUP(M209&amp;"|"&amp;N209,'17. Mapa DRE CP'!$E$5:$H$100,2,FALSE),"Revisar"))</f>
        <v/>
      </c>
      <c r="S209" s="65">
        <f>IF(C209="","",IFERROR(VLOOKUP(M209&amp;"|"&amp;N209,'17. Mapa DRE CP'!$E$5:$H$100,3,FALSE),"Revisar"))</f>
        <v/>
      </c>
      <c r="T209" s="65">
        <f>IF(C209="","",IF(R209="(-) Custos diretos dos serviços",IF(ISNUMBER(SEARCH("PCMSO",C209)),"PCMSO",IF(OR(ISNUMBER(SEARCH("SGS",C209)),ISNUMBER(SEARCH("CASTRO NAVES",C209))),"Projetos / Laudos / Avulsos","Projetos / Laudos / Avulsos")),"Rateio pela receita bruta"))</f>
        <v/>
      </c>
      <c r="U209" s="65">
        <f>IF(C209="","",IF(R209="(-) Custos diretos dos serviços","Direto por fornecedor/natureza do gasto","Rateio proporcional à receita bruta da linha de serviço"))</f>
        <v/>
      </c>
    </row>
    <row r="210">
      <c r="A210" s="28">
        <f>IF(C210="","", "CP-"&amp;TEXT(ROW()-5,"000"))</f>
        <v/>
      </c>
      <c r="B210" s="27">
        <f>IF(F210="","",DATE(YEAR(F210),MONTH(F210),1))</f>
        <v/>
      </c>
      <c r="C210" s="28" t="n"/>
      <c r="D210" s="28" t="n"/>
      <c r="E210" s="59">
        <f>IF(C210="","",IFERROR(INDEX('6. Base de Custos'!$M$8:$M$42,MATCH(C210,'6. Base de Custos'!$L$8:$L$42,0)),"Não classificado"))</f>
        <v/>
      </c>
      <c r="F210" s="111" t="n"/>
      <c r="G210" s="111" t="n"/>
      <c r="H210" s="111" t="n"/>
      <c r="I210" s="45" t="n"/>
      <c r="J210" s="28" t="n"/>
      <c r="K210" s="28" t="n"/>
      <c r="L210" s="28" t="n"/>
      <c r="M210" s="59">
        <f>IF(C210="","",IFERROR(INDEX('6. Base de Custos'!$N$8:$N$42,MATCH(C210,'6. Base de Custos'!$L$8:$L$42,0)),"Não classificado"))</f>
        <v/>
      </c>
      <c r="N210" s="59">
        <f>IF(C210="","",IFERROR(INDEX('6. Base de Custos'!$O$8:$O$42,MATCH(C210,'6. Base de Custos'!$L$8:$L$42,0)),"Revisar"))</f>
        <v/>
      </c>
      <c r="O210" s="60">
        <f>IF(M210="","",IFERROR(VLOOKUP(M210,'6. Base de Custos'!$H$12:$J$18,3,FALSE),0))</f>
        <v/>
      </c>
      <c r="P210" s="59">
        <f>IF(C210="","",IFERROR(INDEX('6. Base de Custos'!$P$8:$P$42,MATCH(C210,'6. Base de Custos'!$L$8:$L$42,0)),"Revisar"))</f>
        <v/>
      </c>
      <c r="Q210" s="59">
        <f>IF(C210="","",IFERROR(INDEX('6. Base de Custos'!$Q$8:$Q$42,MATCH(C210,'6. Base de Custos'!$L$8:$L$42,0)),""))</f>
        <v/>
      </c>
      <c r="R210" s="65">
        <f>IF(C210="","",IFERROR(VLOOKUP(M210&amp;"|"&amp;N210,'17. Mapa DRE CP'!$E$5:$H$100,2,FALSE),"Revisar"))</f>
        <v/>
      </c>
      <c r="S210" s="65">
        <f>IF(C210="","",IFERROR(VLOOKUP(M210&amp;"|"&amp;N210,'17. Mapa DRE CP'!$E$5:$H$100,3,FALSE),"Revisar"))</f>
        <v/>
      </c>
      <c r="T210" s="65">
        <f>IF(C210="","",IF(R210="(-) Custos diretos dos serviços",IF(ISNUMBER(SEARCH("PCMSO",C210)),"PCMSO",IF(OR(ISNUMBER(SEARCH("SGS",C210)),ISNUMBER(SEARCH("CASTRO NAVES",C210))),"Projetos / Laudos / Avulsos","Projetos / Laudos / Avulsos")),"Rateio pela receita bruta"))</f>
        <v/>
      </c>
      <c r="U210" s="65">
        <f>IF(C210="","",IF(R210="(-) Custos diretos dos serviços","Direto por fornecedor/natureza do gasto","Rateio proporcional à receita bruta da linha de serviço"))</f>
        <v/>
      </c>
    </row>
    <row r="211">
      <c r="A211" s="28">
        <f>IF(C211="","", "CP-"&amp;TEXT(ROW()-5,"000"))</f>
        <v/>
      </c>
      <c r="B211" s="27">
        <f>IF(F211="","",DATE(YEAR(F211),MONTH(F211),1))</f>
        <v/>
      </c>
      <c r="C211" s="28" t="n"/>
      <c r="D211" s="28" t="n"/>
      <c r="E211" s="59">
        <f>IF(C211="","",IFERROR(INDEX('6. Base de Custos'!$M$8:$M$42,MATCH(C211,'6. Base de Custos'!$L$8:$L$42,0)),"Não classificado"))</f>
        <v/>
      </c>
      <c r="F211" s="111" t="n"/>
      <c r="G211" s="111" t="n"/>
      <c r="H211" s="111" t="n"/>
      <c r="I211" s="45" t="n"/>
      <c r="J211" s="28" t="n"/>
      <c r="K211" s="28" t="n"/>
      <c r="L211" s="28" t="n"/>
      <c r="M211" s="59">
        <f>IF(C211="","",IFERROR(INDEX('6. Base de Custos'!$N$8:$N$42,MATCH(C211,'6. Base de Custos'!$L$8:$L$42,0)),"Não classificado"))</f>
        <v/>
      </c>
      <c r="N211" s="59">
        <f>IF(C211="","",IFERROR(INDEX('6. Base de Custos'!$O$8:$O$42,MATCH(C211,'6. Base de Custos'!$L$8:$L$42,0)),"Revisar"))</f>
        <v/>
      </c>
      <c r="O211" s="60">
        <f>IF(M211="","",IFERROR(VLOOKUP(M211,'6. Base de Custos'!$H$12:$J$18,3,FALSE),0))</f>
        <v/>
      </c>
      <c r="P211" s="59">
        <f>IF(C211="","",IFERROR(INDEX('6. Base de Custos'!$P$8:$P$42,MATCH(C211,'6. Base de Custos'!$L$8:$L$42,0)),"Revisar"))</f>
        <v/>
      </c>
      <c r="Q211" s="59">
        <f>IF(C211="","",IFERROR(INDEX('6. Base de Custos'!$Q$8:$Q$42,MATCH(C211,'6. Base de Custos'!$L$8:$L$42,0)),""))</f>
        <v/>
      </c>
      <c r="R211" s="65">
        <f>IF(C211="","",IFERROR(VLOOKUP(M211&amp;"|"&amp;N211,'17. Mapa DRE CP'!$E$5:$H$100,2,FALSE),"Revisar"))</f>
        <v/>
      </c>
      <c r="S211" s="65">
        <f>IF(C211="","",IFERROR(VLOOKUP(M211&amp;"|"&amp;N211,'17. Mapa DRE CP'!$E$5:$H$100,3,FALSE),"Revisar"))</f>
        <v/>
      </c>
      <c r="T211" s="65">
        <f>IF(C211="","",IF(R211="(-) Custos diretos dos serviços",IF(ISNUMBER(SEARCH("PCMSO",C211)),"PCMSO",IF(OR(ISNUMBER(SEARCH("SGS",C211)),ISNUMBER(SEARCH("CASTRO NAVES",C211))),"Projetos / Laudos / Avulsos","Projetos / Laudos / Avulsos")),"Rateio pela receita bruta"))</f>
        <v/>
      </c>
      <c r="U211" s="65">
        <f>IF(C211="","",IF(R211="(-) Custos diretos dos serviços","Direto por fornecedor/natureza do gasto","Rateio proporcional à receita bruta da linha de serviço"))</f>
        <v/>
      </c>
    </row>
    <row r="212">
      <c r="A212" s="28">
        <f>IF(C212="","", "CP-"&amp;TEXT(ROW()-5,"000"))</f>
        <v/>
      </c>
      <c r="B212" s="27">
        <f>IF(F212="","",DATE(YEAR(F212),MONTH(F212),1))</f>
        <v/>
      </c>
      <c r="C212" s="28" t="n"/>
      <c r="D212" s="28" t="n"/>
      <c r="E212" s="59">
        <f>IF(C212="","",IFERROR(INDEX('6. Base de Custos'!$M$8:$M$42,MATCH(C212,'6. Base de Custos'!$L$8:$L$42,0)),"Não classificado"))</f>
        <v/>
      </c>
      <c r="F212" s="111" t="n"/>
      <c r="G212" s="111" t="n"/>
      <c r="H212" s="111" t="n"/>
      <c r="I212" s="45" t="n"/>
      <c r="J212" s="28" t="n"/>
      <c r="K212" s="28" t="n"/>
      <c r="L212" s="28" t="n"/>
      <c r="M212" s="59">
        <f>IF(C212="","",IFERROR(INDEX('6. Base de Custos'!$N$8:$N$42,MATCH(C212,'6. Base de Custos'!$L$8:$L$42,0)),"Não classificado"))</f>
        <v/>
      </c>
      <c r="N212" s="59">
        <f>IF(C212="","",IFERROR(INDEX('6. Base de Custos'!$O$8:$O$42,MATCH(C212,'6. Base de Custos'!$L$8:$L$42,0)),"Revisar"))</f>
        <v/>
      </c>
      <c r="O212" s="60">
        <f>IF(M212="","",IFERROR(VLOOKUP(M212,'6. Base de Custos'!$H$12:$J$18,3,FALSE),0))</f>
        <v/>
      </c>
      <c r="P212" s="59">
        <f>IF(C212="","",IFERROR(INDEX('6. Base de Custos'!$P$8:$P$42,MATCH(C212,'6. Base de Custos'!$L$8:$L$42,0)),"Revisar"))</f>
        <v/>
      </c>
      <c r="Q212" s="59">
        <f>IF(C212="","",IFERROR(INDEX('6. Base de Custos'!$Q$8:$Q$42,MATCH(C212,'6. Base de Custos'!$L$8:$L$42,0)),""))</f>
        <v/>
      </c>
      <c r="R212" s="65">
        <f>IF(C212="","",IFERROR(VLOOKUP(M212&amp;"|"&amp;N212,'17. Mapa DRE CP'!$E$5:$H$100,2,FALSE),"Revisar"))</f>
        <v/>
      </c>
      <c r="S212" s="65">
        <f>IF(C212="","",IFERROR(VLOOKUP(M212&amp;"|"&amp;N212,'17. Mapa DRE CP'!$E$5:$H$100,3,FALSE),"Revisar"))</f>
        <v/>
      </c>
      <c r="T212" s="65">
        <f>IF(C212="","",IF(R212="(-) Custos diretos dos serviços",IF(ISNUMBER(SEARCH("PCMSO",C212)),"PCMSO",IF(OR(ISNUMBER(SEARCH("SGS",C212)),ISNUMBER(SEARCH("CASTRO NAVES",C212))),"Projetos / Laudos / Avulsos","Projetos / Laudos / Avulsos")),"Rateio pela receita bruta"))</f>
        <v/>
      </c>
      <c r="U212" s="65">
        <f>IF(C212="","",IF(R212="(-) Custos diretos dos serviços","Direto por fornecedor/natureza do gasto","Rateio proporcional à receita bruta da linha de serviço"))</f>
        <v/>
      </c>
    </row>
    <row r="213">
      <c r="A213" s="28">
        <f>IF(C213="","", "CP-"&amp;TEXT(ROW()-5,"000"))</f>
        <v/>
      </c>
      <c r="B213" s="27">
        <f>IF(F213="","",DATE(YEAR(F213),MONTH(F213),1))</f>
        <v/>
      </c>
      <c r="C213" s="28" t="n"/>
      <c r="D213" s="28" t="n"/>
      <c r="E213" s="59">
        <f>IF(C213="","",IFERROR(INDEX('6. Base de Custos'!$M$8:$M$42,MATCH(C213,'6. Base de Custos'!$L$8:$L$42,0)),"Não classificado"))</f>
        <v/>
      </c>
      <c r="F213" s="111" t="n"/>
      <c r="G213" s="111" t="n"/>
      <c r="H213" s="111" t="n"/>
      <c r="I213" s="45" t="n"/>
      <c r="J213" s="28" t="n"/>
      <c r="K213" s="28" t="n"/>
      <c r="L213" s="28" t="n"/>
      <c r="M213" s="59">
        <f>IF(C213="","",IFERROR(INDEX('6. Base de Custos'!$N$8:$N$42,MATCH(C213,'6. Base de Custos'!$L$8:$L$42,0)),"Não classificado"))</f>
        <v/>
      </c>
      <c r="N213" s="59">
        <f>IF(C213="","",IFERROR(INDEX('6. Base de Custos'!$O$8:$O$42,MATCH(C213,'6. Base de Custos'!$L$8:$L$42,0)),"Revisar"))</f>
        <v/>
      </c>
      <c r="O213" s="60">
        <f>IF(M213="","",IFERROR(VLOOKUP(M213,'6. Base de Custos'!$H$12:$J$18,3,FALSE),0))</f>
        <v/>
      </c>
      <c r="P213" s="59">
        <f>IF(C213="","",IFERROR(INDEX('6. Base de Custos'!$P$8:$P$42,MATCH(C213,'6. Base de Custos'!$L$8:$L$42,0)),"Revisar"))</f>
        <v/>
      </c>
      <c r="Q213" s="59">
        <f>IF(C213="","",IFERROR(INDEX('6. Base de Custos'!$Q$8:$Q$42,MATCH(C213,'6. Base de Custos'!$L$8:$L$42,0)),""))</f>
        <v/>
      </c>
      <c r="R213" s="65">
        <f>IF(C213="","",IFERROR(VLOOKUP(M213&amp;"|"&amp;N213,'17. Mapa DRE CP'!$E$5:$H$100,2,FALSE),"Revisar"))</f>
        <v/>
      </c>
      <c r="S213" s="65">
        <f>IF(C213="","",IFERROR(VLOOKUP(M213&amp;"|"&amp;N213,'17. Mapa DRE CP'!$E$5:$H$100,3,FALSE),"Revisar"))</f>
        <v/>
      </c>
      <c r="T213" s="65">
        <f>IF(C213="","",IF(R213="(-) Custos diretos dos serviços",IF(ISNUMBER(SEARCH("PCMSO",C213)),"PCMSO",IF(OR(ISNUMBER(SEARCH("SGS",C213)),ISNUMBER(SEARCH("CASTRO NAVES",C213))),"Projetos / Laudos / Avulsos","Projetos / Laudos / Avulsos")),"Rateio pela receita bruta"))</f>
        <v/>
      </c>
      <c r="U213" s="65">
        <f>IF(C213="","",IF(R213="(-) Custos diretos dos serviços","Direto por fornecedor/natureza do gasto","Rateio proporcional à receita bruta da linha de serviço"))</f>
        <v/>
      </c>
    </row>
    <row r="214">
      <c r="A214" s="28">
        <f>IF(C214="","", "CP-"&amp;TEXT(ROW()-5,"000"))</f>
        <v/>
      </c>
      <c r="B214" s="27">
        <f>IF(F214="","",DATE(YEAR(F214),MONTH(F214),1))</f>
        <v/>
      </c>
      <c r="C214" s="28" t="n"/>
      <c r="D214" s="28" t="n"/>
      <c r="E214" s="59">
        <f>IF(C214="","",IFERROR(INDEX('6. Base de Custos'!$M$8:$M$42,MATCH(C214,'6. Base de Custos'!$L$8:$L$42,0)),"Não classificado"))</f>
        <v/>
      </c>
      <c r="F214" s="111" t="n"/>
      <c r="G214" s="111" t="n"/>
      <c r="H214" s="111" t="n"/>
      <c r="I214" s="45" t="n"/>
      <c r="J214" s="28" t="n"/>
      <c r="K214" s="28" t="n"/>
      <c r="L214" s="28" t="n"/>
      <c r="M214" s="59">
        <f>IF(C214="","",IFERROR(INDEX('6. Base de Custos'!$N$8:$N$42,MATCH(C214,'6. Base de Custos'!$L$8:$L$42,0)),"Não classificado"))</f>
        <v/>
      </c>
      <c r="N214" s="59">
        <f>IF(C214="","",IFERROR(INDEX('6. Base de Custos'!$O$8:$O$42,MATCH(C214,'6. Base de Custos'!$L$8:$L$42,0)),"Revisar"))</f>
        <v/>
      </c>
      <c r="O214" s="60">
        <f>IF(M214="","",IFERROR(VLOOKUP(M214,'6. Base de Custos'!$H$12:$J$18,3,FALSE),0))</f>
        <v/>
      </c>
      <c r="P214" s="59">
        <f>IF(C214="","",IFERROR(INDEX('6. Base de Custos'!$P$8:$P$42,MATCH(C214,'6. Base de Custos'!$L$8:$L$42,0)),"Revisar"))</f>
        <v/>
      </c>
      <c r="Q214" s="59">
        <f>IF(C214="","",IFERROR(INDEX('6. Base de Custos'!$Q$8:$Q$42,MATCH(C214,'6. Base de Custos'!$L$8:$L$42,0)),""))</f>
        <v/>
      </c>
      <c r="R214" s="65">
        <f>IF(C214="","",IFERROR(VLOOKUP(M214&amp;"|"&amp;N214,'17. Mapa DRE CP'!$E$5:$H$100,2,FALSE),"Revisar"))</f>
        <v/>
      </c>
      <c r="S214" s="65">
        <f>IF(C214="","",IFERROR(VLOOKUP(M214&amp;"|"&amp;N214,'17. Mapa DRE CP'!$E$5:$H$100,3,FALSE),"Revisar"))</f>
        <v/>
      </c>
      <c r="T214" s="65">
        <f>IF(C214="","",IF(R214="(-) Custos diretos dos serviços",IF(ISNUMBER(SEARCH("PCMSO",C214)),"PCMSO",IF(OR(ISNUMBER(SEARCH("SGS",C214)),ISNUMBER(SEARCH("CASTRO NAVES",C214))),"Projetos / Laudos / Avulsos","Projetos / Laudos / Avulsos")),"Rateio pela receita bruta"))</f>
        <v/>
      </c>
      <c r="U214" s="65">
        <f>IF(C214="","",IF(R214="(-) Custos diretos dos serviços","Direto por fornecedor/natureza do gasto","Rateio proporcional à receita bruta da linha de serviço"))</f>
        <v/>
      </c>
    </row>
    <row r="215">
      <c r="A215" s="28">
        <f>IF(C215="","", "CP-"&amp;TEXT(ROW()-5,"000"))</f>
        <v/>
      </c>
      <c r="B215" s="27">
        <f>IF(F215="","",DATE(YEAR(F215),MONTH(F215),1))</f>
        <v/>
      </c>
      <c r="C215" s="28" t="n"/>
      <c r="D215" s="28" t="n"/>
      <c r="E215" s="59">
        <f>IF(C215="","",IFERROR(INDEX('6. Base de Custos'!$M$8:$M$42,MATCH(C215,'6. Base de Custos'!$L$8:$L$42,0)),"Não classificado"))</f>
        <v/>
      </c>
      <c r="F215" s="111" t="n"/>
      <c r="G215" s="111" t="n"/>
      <c r="H215" s="111" t="n"/>
      <c r="I215" s="45" t="n"/>
      <c r="J215" s="28" t="n"/>
      <c r="K215" s="28" t="n"/>
      <c r="L215" s="28" t="n"/>
      <c r="M215" s="59">
        <f>IF(C215="","",IFERROR(INDEX('6. Base de Custos'!$N$8:$N$42,MATCH(C215,'6. Base de Custos'!$L$8:$L$42,0)),"Não classificado"))</f>
        <v/>
      </c>
      <c r="N215" s="59">
        <f>IF(C215="","",IFERROR(INDEX('6. Base de Custos'!$O$8:$O$42,MATCH(C215,'6. Base de Custos'!$L$8:$L$42,0)),"Revisar"))</f>
        <v/>
      </c>
      <c r="O215" s="60">
        <f>IF(M215="","",IFERROR(VLOOKUP(M215,'6. Base de Custos'!$H$12:$J$18,3,FALSE),0))</f>
        <v/>
      </c>
      <c r="P215" s="59">
        <f>IF(C215="","",IFERROR(INDEX('6. Base de Custos'!$P$8:$P$42,MATCH(C215,'6. Base de Custos'!$L$8:$L$42,0)),"Revisar"))</f>
        <v/>
      </c>
      <c r="Q215" s="59">
        <f>IF(C215="","",IFERROR(INDEX('6. Base de Custos'!$Q$8:$Q$42,MATCH(C215,'6. Base de Custos'!$L$8:$L$42,0)),""))</f>
        <v/>
      </c>
      <c r="R215" s="65">
        <f>IF(C215="","",IFERROR(VLOOKUP(M215&amp;"|"&amp;N215,'17. Mapa DRE CP'!$E$5:$H$100,2,FALSE),"Revisar"))</f>
        <v/>
      </c>
      <c r="S215" s="65">
        <f>IF(C215="","",IFERROR(VLOOKUP(M215&amp;"|"&amp;N215,'17. Mapa DRE CP'!$E$5:$H$100,3,FALSE),"Revisar"))</f>
        <v/>
      </c>
      <c r="T215" s="65">
        <f>IF(C215="","",IF(R215="(-) Custos diretos dos serviços",IF(ISNUMBER(SEARCH("PCMSO",C215)),"PCMSO",IF(OR(ISNUMBER(SEARCH("SGS",C215)),ISNUMBER(SEARCH("CASTRO NAVES",C215))),"Projetos / Laudos / Avulsos","Projetos / Laudos / Avulsos")),"Rateio pela receita bruta"))</f>
        <v/>
      </c>
      <c r="U215" s="65">
        <f>IF(C215="","",IF(R215="(-) Custos diretos dos serviços","Direto por fornecedor/natureza do gasto","Rateio proporcional à receita bruta da linha de serviço"))</f>
        <v/>
      </c>
    </row>
    <row r="216">
      <c r="A216" s="28">
        <f>IF(C216="","", "CP-"&amp;TEXT(ROW()-5,"000"))</f>
        <v/>
      </c>
      <c r="B216" s="27">
        <f>IF(F216="","",DATE(YEAR(F216),MONTH(F216),1))</f>
        <v/>
      </c>
      <c r="C216" s="28" t="n"/>
      <c r="D216" s="28" t="n"/>
      <c r="E216" s="59">
        <f>IF(C216="","",IFERROR(INDEX('6. Base de Custos'!$M$8:$M$42,MATCH(C216,'6. Base de Custos'!$L$8:$L$42,0)),"Não classificado"))</f>
        <v/>
      </c>
      <c r="F216" s="111" t="n"/>
      <c r="G216" s="111" t="n"/>
      <c r="H216" s="111" t="n"/>
      <c r="I216" s="45" t="n"/>
      <c r="J216" s="28" t="n"/>
      <c r="K216" s="28" t="n"/>
      <c r="L216" s="28" t="n"/>
      <c r="M216" s="59">
        <f>IF(C216="","",IFERROR(INDEX('6. Base de Custos'!$N$8:$N$42,MATCH(C216,'6. Base de Custos'!$L$8:$L$42,0)),"Não classificado"))</f>
        <v/>
      </c>
      <c r="N216" s="59">
        <f>IF(C216="","",IFERROR(INDEX('6. Base de Custos'!$O$8:$O$42,MATCH(C216,'6. Base de Custos'!$L$8:$L$42,0)),"Revisar"))</f>
        <v/>
      </c>
      <c r="O216" s="60">
        <f>IF(M216="","",IFERROR(VLOOKUP(M216,'6. Base de Custos'!$H$12:$J$18,3,FALSE),0))</f>
        <v/>
      </c>
      <c r="P216" s="59">
        <f>IF(C216="","",IFERROR(INDEX('6. Base de Custos'!$P$8:$P$42,MATCH(C216,'6. Base de Custos'!$L$8:$L$42,0)),"Revisar"))</f>
        <v/>
      </c>
      <c r="Q216" s="59">
        <f>IF(C216="","",IFERROR(INDEX('6. Base de Custos'!$Q$8:$Q$42,MATCH(C216,'6. Base de Custos'!$L$8:$L$42,0)),""))</f>
        <v/>
      </c>
      <c r="R216" s="65">
        <f>IF(C216="","",IFERROR(VLOOKUP(M216&amp;"|"&amp;N216,'17. Mapa DRE CP'!$E$5:$H$100,2,FALSE),"Revisar"))</f>
        <v/>
      </c>
      <c r="S216" s="65">
        <f>IF(C216="","",IFERROR(VLOOKUP(M216&amp;"|"&amp;N216,'17. Mapa DRE CP'!$E$5:$H$100,3,FALSE),"Revisar"))</f>
        <v/>
      </c>
      <c r="T216" s="65">
        <f>IF(C216="","",IF(R216="(-) Custos diretos dos serviços",IF(ISNUMBER(SEARCH("PCMSO",C216)),"PCMSO",IF(OR(ISNUMBER(SEARCH("SGS",C216)),ISNUMBER(SEARCH("CASTRO NAVES",C216))),"Projetos / Laudos / Avulsos","Projetos / Laudos / Avulsos")),"Rateio pela receita bruta"))</f>
        <v/>
      </c>
      <c r="U216" s="65">
        <f>IF(C216="","",IF(R216="(-) Custos diretos dos serviços","Direto por fornecedor/natureza do gasto","Rateio proporcional à receita bruta da linha de serviço"))</f>
        <v/>
      </c>
    </row>
    <row r="217">
      <c r="A217" s="28">
        <f>IF(C217="","", "CP-"&amp;TEXT(ROW()-5,"000"))</f>
        <v/>
      </c>
      <c r="B217" s="27">
        <f>IF(F217="","",DATE(YEAR(F217),MONTH(F217),1))</f>
        <v/>
      </c>
      <c r="C217" s="28" t="n"/>
      <c r="D217" s="28" t="n"/>
      <c r="E217" s="59">
        <f>IF(C217="","",IFERROR(INDEX('6. Base de Custos'!$M$8:$M$42,MATCH(C217,'6. Base de Custos'!$L$8:$L$42,0)),"Não classificado"))</f>
        <v/>
      </c>
      <c r="F217" s="111" t="n"/>
      <c r="G217" s="111" t="n"/>
      <c r="H217" s="111" t="n"/>
      <c r="I217" s="45" t="n"/>
      <c r="J217" s="28" t="n"/>
      <c r="K217" s="28" t="n"/>
      <c r="L217" s="28" t="n"/>
      <c r="M217" s="59">
        <f>IF(C217="","",IFERROR(INDEX('6. Base de Custos'!$N$8:$N$42,MATCH(C217,'6. Base de Custos'!$L$8:$L$42,0)),"Não classificado"))</f>
        <v/>
      </c>
      <c r="N217" s="59">
        <f>IF(C217="","",IFERROR(INDEX('6. Base de Custos'!$O$8:$O$42,MATCH(C217,'6. Base de Custos'!$L$8:$L$42,0)),"Revisar"))</f>
        <v/>
      </c>
      <c r="O217" s="60">
        <f>IF(M217="","",IFERROR(VLOOKUP(M217,'6. Base de Custos'!$H$12:$J$18,3,FALSE),0))</f>
        <v/>
      </c>
      <c r="P217" s="59">
        <f>IF(C217="","",IFERROR(INDEX('6. Base de Custos'!$P$8:$P$42,MATCH(C217,'6. Base de Custos'!$L$8:$L$42,0)),"Revisar"))</f>
        <v/>
      </c>
      <c r="Q217" s="59">
        <f>IF(C217="","",IFERROR(INDEX('6. Base de Custos'!$Q$8:$Q$42,MATCH(C217,'6. Base de Custos'!$L$8:$L$42,0)),""))</f>
        <v/>
      </c>
      <c r="R217" s="65">
        <f>IF(C217="","",IFERROR(VLOOKUP(M217&amp;"|"&amp;N217,'17. Mapa DRE CP'!$E$5:$H$100,2,FALSE),"Revisar"))</f>
        <v/>
      </c>
      <c r="S217" s="65">
        <f>IF(C217="","",IFERROR(VLOOKUP(M217&amp;"|"&amp;N217,'17. Mapa DRE CP'!$E$5:$H$100,3,FALSE),"Revisar"))</f>
        <v/>
      </c>
      <c r="T217" s="65">
        <f>IF(C217="","",IF(R217="(-) Custos diretos dos serviços",IF(ISNUMBER(SEARCH("PCMSO",C217)),"PCMSO",IF(OR(ISNUMBER(SEARCH("SGS",C217)),ISNUMBER(SEARCH("CASTRO NAVES",C217))),"Projetos / Laudos / Avulsos","Projetos / Laudos / Avulsos")),"Rateio pela receita bruta"))</f>
        <v/>
      </c>
      <c r="U217" s="65">
        <f>IF(C217="","",IF(R217="(-) Custos diretos dos serviços","Direto por fornecedor/natureza do gasto","Rateio proporcional à receita bruta da linha de serviço"))</f>
        <v/>
      </c>
    </row>
    <row r="218">
      <c r="A218" s="28">
        <f>IF(C218="","", "CP-"&amp;TEXT(ROW()-5,"000"))</f>
        <v/>
      </c>
      <c r="B218" s="27">
        <f>IF(F218="","",DATE(YEAR(F218),MONTH(F218),1))</f>
        <v/>
      </c>
      <c r="C218" s="28" t="n"/>
      <c r="D218" s="28" t="n"/>
      <c r="E218" s="59">
        <f>IF(C218="","",IFERROR(INDEX('6. Base de Custos'!$M$8:$M$42,MATCH(C218,'6. Base de Custos'!$L$8:$L$42,0)),"Não classificado"))</f>
        <v/>
      </c>
      <c r="F218" s="111" t="n"/>
      <c r="G218" s="111" t="n"/>
      <c r="H218" s="111" t="n"/>
      <c r="I218" s="45" t="n"/>
      <c r="J218" s="28" t="n"/>
      <c r="K218" s="28" t="n"/>
      <c r="L218" s="28" t="n"/>
      <c r="M218" s="59">
        <f>IF(C218="","",IFERROR(INDEX('6. Base de Custos'!$N$8:$N$42,MATCH(C218,'6. Base de Custos'!$L$8:$L$42,0)),"Não classificado"))</f>
        <v/>
      </c>
      <c r="N218" s="59">
        <f>IF(C218="","",IFERROR(INDEX('6. Base de Custos'!$O$8:$O$42,MATCH(C218,'6. Base de Custos'!$L$8:$L$42,0)),"Revisar"))</f>
        <v/>
      </c>
      <c r="O218" s="60">
        <f>IF(M218="","",IFERROR(VLOOKUP(M218,'6. Base de Custos'!$H$12:$J$18,3,FALSE),0))</f>
        <v/>
      </c>
      <c r="P218" s="59">
        <f>IF(C218="","",IFERROR(INDEX('6. Base de Custos'!$P$8:$P$42,MATCH(C218,'6. Base de Custos'!$L$8:$L$42,0)),"Revisar"))</f>
        <v/>
      </c>
      <c r="Q218" s="59">
        <f>IF(C218="","",IFERROR(INDEX('6. Base de Custos'!$Q$8:$Q$42,MATCH(C218,'6. Base de Custos'!$L$8:$L$42,0)),""))</f>
        <v/>
      </c>
      <c r="R218" s="65">
        <f>IF(C218="","",IFERROR(VLOOKUP(M218&amp;"|"&amp;N218,'17. Mapa DRE CP'!$E$5:$H$100,2,FALSE),"Revisar"))</f>
        <v/>
      </c>
      <c r="S218" s="65">
        <f>IF(C218="","",IFERROR(VLOOKUP(M218&amp;"|"&amp;N218,'17. Mapa DRE CP'!$E$5:$H$100,3,FALSE),"Revisar"))</f>
        <v/>
      </c>
      <c r="T218" s="65">
        <f>IF(C218="","",IF(R218="(-) Custos diretos dos serviços",IF(ISNUMBER(SEARCH("PCMSO",C218)),"PCMSO",IF(OR(ISNUMBER(SEARCH("SGS",C218)),ISNUMBER(SEARCH("CASTRO NAVES",C218))),"Projetos / Laudos / Avulsos","Projetos / Laudos / Avulsos")),"Rateio pela receita bruta"))</f>
        <v/>
      </c>
      <c r="U218" s="65">
        <f>IF(C218="","",IF(R218="(-) Custos diretos dos serviços","Direto por fornecedor/natureza do gasto","Rateio proporcional à receita bruta da linha de serviço"))</f>
        <v/>
      </c>
    </row>
    <row r="219">
      <c r="A219" s="28">
        <f>IF(C219="","", "CP-"&amp;TEXT(ROW()-5,"000"))</f>
        <v/>
      </c>
      <c r="B219" s="27">
        <f>IF(F219="","",DATE(YEAR(F219),MONTH(F219),1))</f>
        <v/>
      </c>
      <c r="C219" s="28" t="n"/>
      <c r="D219" s="28" t="n"/>
      <c r="E219" s="59">
        <f>IF(C219="","",IFERROR(INDEX('6. Base de Custos'!$M$8:$M$42,MATCH(C219,'6. Base de Custos'!$L$8:$L$42,0)),"Não classificado"))</f>
        <v/>
      </c>
      <c r="F219" s="111" t="n"/>
      <c r="G219" s="111" t="n"/>
      <c r="H219" s="111" t="n"/>
      <c r="I219" s="45" t="n"/>
      <c r="J219" s="28" t="n"/>
      <c r="K219" s="28" t="n"/>
      <c r="L219" s="28" t="n"/>
      <c r="M219" s="59">
        <f>IF(C219="","",IFERROR(INDEX('6. Base de Custos'!$N$8:$N$42,MATCH(C219,'6. Base de Custos'!$L$8:$L$42,0)),"Não classificado"))</f>
        <v/>
      </c>
      <c r="N219" s="59">
        <f>IF(C219="","",IFERROR(INDEX('6. Base de Custos'!$O$8:$O$42,MATCH(C219,'6. Base de Custos'!$L$8:$L$42,0)),"Revisar"))</f>
        <v/>
      </c>
      <c r="O219" s="60">
        <f>IF(M219="","",IFERROR(VLOOKUP(M219,'6. Base de Custos'!$H$12:$J$18,3,FALSE),0))</f>
        <v/>
      </c>
      <c r="P219" s="59">
        <f>IF(C219="","",IFERROR(INDEX('6. Base de Custos'!$P$8:$P$42,MATCH(C219,'6. Base de Custos'!$L$8:$L$42,0)),"Revisar"))</f>
        <v/>
      </c>
      <c r="Q219" s="59">
        <f>IF(C219="","",IFERROR(INDEX('6. Base de Custos'!$Q$8:$Q$42,MATCH(C219,'6. Base de Custos'!$L$8:$L$42,0)),""))</f>
        <v/>
      </c>
      <c r="R219" s="65">
        <f>IF(C219="","",IFERROR(VLOOKUP(M219&amp;"|"&amp;N219,'17. Mapa DRE CP'!$E$5:$H$100,2,FALSE),"Revisar"))</f>
        <v/>
      </c>
      <c r="S219" s="65">
        <f>IF(C219="","",IFERROR(VLOOKUP(M219&amp;"|"&amp;N219,'17. Mapa DRE CP'!$E$5:$H$100,3,FALSE),"Revisar"))</f>
        <v/>
      </c>
      <c r="T219" s="65">
        <f>IF(C219="","",IF(R219="(-) Custos diretos dos serviços",IF(ISNUMBER(SEARCH("PCMSO",C219)),"PCMSO",IF(OR(ISNUMBER(SEARCH("SGS",C219)),ISNUMBER(SEARCH("CASTRO NAVES",C219))),"Projetos / Laudos / Avulsos","Projetos / Laudos / Avulsos")),"Rateio pela receita bruta"))</f>
        <v/>
      </c>
      <c r="U219" s="65">
        <f>IF(C219="","",IF(R219="(-) Custos diretos dos serviços","Direto por fornecedor/natureza do gasto","Rateio proporcional à receita bruta da linha de serviço"))</f>
        <v/>
      </c>
    </row>
    <row r="220">
      <c r="A220" s="28">
        <f>IF(C220="","", "CP-"&amp;TEXT(ROW()-5,"000"))</f>
        <v/>
      </c>
      <c r="B220" s="27">
        <f>IF(F220="","",DATE(YEAR(F220),MONTH(F220),1))</f>
        <v/>
      </c>
      <c r="C220" s="28" t="n"/>
      <c r="D220" s="28" t="n"/>
      <c r="E220" s="59">
        <f>IF(C220="","",IFERROR(INDEX('6. Base de Custos'!$M$8:$M$42,MATCH(C220,'6. Base de Custos'!$L$8:$L$42,0)),"Não classificado"))</f>
        <v/>
      </c>
      <c r="F220" s="111" t="n"/>
      <c r="G220" s="111" t="n"/>
      <c r="H220" s="111" t="n"/>
      <c r="I220" s="45" t="n"/>
      <c r="J220" s="28" t="n"/>
      <c r="K220" s="28" t="n"/>
      <c r="L220" s="28" t="n"/>
      <c r="M220" s="59">
        <f>IF(C220="","",IFERROR(INDEX('6. Base de Custos'!$N$8:$N$42,MATCH(C220,'6. Base de Custos'!$L$8:$L$42,0)),"Não classificado"))</f>
        <v/>
      </c>
      <c r="N220" s="59">
        <f>IF(C220="","",IFERROR(INDEX('6. Base de Custos'!$O$8:$O$42,MATCH(C220,'6. Base de Custos'!$L$8:$L$42,0)),"Revisar"))</f>
        <v/>
      </c>
      <c r="O220" s="60">
        <f>IF(M220="","",IFERROR(VLOOKUP(M220,'6. Base de Custos'!$H$12:$J$18,3,FALSE),0))</f>
        <v/>
      </c>
      <c r="P220" s="59">
        <f>IF(C220="","",IFERROR(INDEX('6. Base de Custos'!$P$8:$P$42,MATCH(C220,'6. Base de Custos'!$L$8:$L$42,0)),"Revisar"))</f>
        <v/>
      </c>
      <c r="Q220" s="59">
        <f>IF(C220="","",IFERROR(INDEX('6. Base de Custos'!$Q$8:$Q$42,MATCH(C220,'6. Base de Custos'!$L$8:$L$42,0)),""))</f>
        <v/>
      </c>
      <c r="R220" s="65">
        <f>IF(C220="","",IFERROR(VLOOKUP(M220&amp;"|"&amp;N220,'17. Mapa DRE CP'!$E$5:$H$100,2,FALSE),"Revisar"))</f>
        <v/>
      </c>
      <c r="S220" s="65">
        <f>IF(C220="","",IFERROR(VLOOKUP(M220&amp;"|"&amp;N220,'17. Mapa DRE CP'!$E$5:$H$100,3,FALSE),"Revisar"))</f>
        <v/>
      </c>
      <c r="T220" s="65">
        <f>IF(C220="","",IF(R220="(-) Custos diretos dos serviços",IF(ISNUMBER(SEARCH("PCMSO",C220)),"PCMSO",IF(OR(ISNUMBER(SEARCH("SGS",C220)),ISNUMBER(SEARCH("CASTRO NAVES",C220))),"Projetos / Laudos / Avulsos","Projetos / Laudos / Avulsos")),"Rateio pela receita bruta"))</f>
        <v/>
      </c>
      <c r="U220" s="65">
        <f>IF(C220="","",IF(R220="(-) Custos diretos dos serviços","Direto por fornecedor/natureza do gasto","Rateio proporcional à receita bruta da linha de serviço"))</f>
        <v/>
      </c>
    </row>
    <row r="221">
      <c r="A221" s="28">
        <f>IF(C221="","", "CP-"&amp;TEXT(ROW()-5,"000"))</f>
        <v/>
      </c>
      <c r="B221" s="27">
        <f>IF(F221="","",DATE(YEAR(F221),MONTH(F221),1))</f>
        <v/>
      </c>
      <c r="C221" s="28" t="n"/>
      <c r="D221" s="28" t="n"/>
      <c r="E221" s="59">
        <f>IF(C221="","",IFERROR(INDEX('6. Base de Custos'!$M$8:$M$42,MATCH(C221,'6. Base de Custos'!$L$8:$L$42,0)),"Não classificado"))</f>
        <v/>
      </c>
      <c r="F221" s="111" t="n"/>
      <c r="G221" s="111" t="n"/>
      <c r="H221" s="111" t="n"/>
      <c r="I221" s="45" t="n"/>
      <c r="J221" s="28" t="n"/>
      <c r="K221" s="28" t="n"/>
      <c r="L221" s="28" t="n"/>
      <c r="M221" s="59">
        <f>IF(C221="","",IFERROR(INDEX('6. Base de Custos'!$N$8:$N$42,MATCH(C221,'6. Base de Custos'!$L$8:$L$42,0)),"Não classificado"))</f>
        <v/>
      </c>
      <c r="N221" s="59">
        <f>IF(C221="","",IFERROR(INDEX('6. Base de Custos'!$O$8:$O$42,MATCH(C221,'6. Base de Custos'!$L$8:$L$42,0)),"Revisar"))</f>
        <v/>
      </c>
      <c r="O221" s="60">
        <f>IF(M221="","",IFERROR(VLOOKUP(M221,'6. Base de Custos'!$H$12:$J$18,3,FALSE),0))</f>
        <v/>
      </c>
      <c r="P221" s="59">
        <f>IF(C221="","",IFERROR(INDEX('6. Base de Custos'!$P$8:$P$42,MATCH(C221,'6. Base de Custos'!$L$8:$L$42,0)),"Revisar"))</f>
        <v/>
      </c>
      <c r="Q221" s="59">
        <f>IF(C221="","",IFERROR(INDEX('6. Base de Custos'!$Q$8:$Q$42,MATCH(C221,'6. Base de Custos'!$L$8:$L$42,0)),""))</f>
        <v/>
      </c>
      <c r="R221" s="65">
        <f>IF(C221="","",IFERROR(VLOOKUP(M221&amp;"|"&amp;N221,'17. Mapa DRE CP'!$E$5:$H$100,2,FALSE),"Revisar"))</f>
        <v/>
      </c>
      <c r="S221" s="65">
        <f>IF(C221="","",IFERROR(VLOOKUP(M221&amp;"|"&amp;N221,'17. Mapa DRE CP'!$E$5:$H$100,3,FALSE),"Revisar"))</f>
        <v/>
      </c>
      <c r="T221" s="65">
        <f>IF(C221="","",IF(R221="(-) Custos diretos dos serviços",IF(ISNUMBER(SEARCH("PCMSO",C221)),"PCMSO",IF(OR(ISNUMBER(SEARCH("SGS",C221)),ISNUMBER(SEARCH("CASTRO NAVES",C221))),"Projetos / Laudos / Avulsos","Projetos / Laudos / Avulsos")),"Rateio pela receita bruta"))</f>
        <v/>
      </c>
      <c r="U221" s="65">
        <f>IF(C221="","",IF(R221="(-) Custos diretos dos serviços","Direto por fornecedor/natureza do gasto","Rateio proporcional à receita bruta da linha de serviço"))</f>
        <v/>
      </c>
    </row>
    <row r="222">
      <c r="A222" s="28">
        <f>IF(C222="","", "CP-"&amp;TEXT(ROW()-5,"000"))</f>
        <v/>
      </c>
      <c r="B222" s="27">
        <f>IF(F222="","",DATE(YEAR(F222),MONTH(F222),1))</f>
        <v/>
      </c>
      <c r="C222" s="28" t="n"/>
      <c r="D222" s="28" t="n"/>
      <c r="E222" s="59">
        <f>IF(C222="","",IFERROR(INDEX('6. Base de Custos'!$M$8:$M$42,MATCH(C222,'6. Base de Custos'!$L$8:$L$42,0)),"Não classificado"))</f>
        <v/>
      </c>
      <c r="F222" s="111" t="n"/>
      <c r="G222" s="111" t="n"/>
      <c r="H222" s="111" t="n"/>
      <c r="I222" s="45" t="n"/>
      <c r="J222" s="28" t="n"/>
      <c r="K222" s="28" t="n"/>
      <c r="L222" s="28" t="n"/>
      <c r="M222" s="59">
        <f>IF(C222="","",IFERROR(INDEX('6. Base de Custos'!$N$8:$N$42,MATCH(C222,'6. Base de Custos'!$L$8:$L$42,0)),"Não classificado"))</f>
        <v/>
      </c>
      <c r="N222" s="59">
        <f>IF(C222="","",IFERROR(INDEX('6. Base de Custos'!$O$8:$O$42,MATCH(C222,'6. Base de Custos'!$L$8:$L$42,0)),"Revisar"))</f>
        <v/>
      </c>
      <c r="O222" s="60">
        <f>IF(M222="","",IFERROR(VLOOKUP(M222,'6. Base de Custos'!$H$12:$J$18,3,FALSE),0))</f>
        <v/>
      </c>
      <c r="P222" s="59">
        <f>IF(C222="","",IFERROR(INDEX('6. Base de Custos'!$P$8:$P$42,MATCH(C222,'6. Base de Custos'!$L$8:$L$42,0)),"Revisar"))</f>
        <v/>
      </c>
      <c r="Q222" s="59">
        <f>IF(C222="","",IFERROR(INDEX('6. Base de Custos'!$Q$8:$Q$42,MATCH(C222,'6. Base de Custos'!$L$8:$L$42,0)),""))</f>
        <v/>
      </c>
      <c r="R222" s="65">
        <f>IF(C222="","",IFERROR(VLOOKUP(M222&amp;"|"&amp;N222,'17. Mapa DRE CP'!$E$5:$H$100,2,FALSE),"Revisar"))</f>
        <v/>
      </c>
      <c r="S222" s="65">
        <f>IF(C222="","",IFERROR(VLOOKUP(M222&amp;"|"&amp;N222,'17. Mapa DRE CP'!$E$5:$H$100,3,FALSE),"Revisar"))</f>
        <v/>
      </c>
      <c r="T222" s="65">
        <f>IF(C222="","",IF(R222="(-) Custos diretos dos serviços",IF(ISNUMBER(SEARCH("PCMSO",C222)),"PCMSO",IF(OR(ISNUMBER(SEARCH("SGS",C222)),ISNUMBER(SEARCH("CASTRO NAVES",C222))),"Projetos / Laudos / Avulsos","Projetos / Laudos / Avulsos")),"Rateio pela receita bruta"))</f>
        <v/>
      </c>
      <c r="U222" s="65">
        <f>IF(C222="","",IF(R222="(-) Custos diretos dos serviços","Direto por fornecedor/natureza do gasto","Rateio proporcional à receita bruta da linha de serviço"))</f>
        <v/>
      </c>
    </row>
    <row r="223">
      <c r="A223" s="28">
        <f>IF(C223="","", "CP-"&amp;TEXT(ROW()-5,"000"))</f>
        <v/>
      </c>
      <c r="B223" s="27">
        <f>IF(F223="","",DATE(YEAR(F223),MONTH(F223),1))</f>
        <v/>
      </c>
      <c r="C223" s="28" t="n"/>
      <c r="D223" s="28" t="n"/>
      <c r="E223" s="59">
        <f>IF(C223="","",IFERROR(INDEX('6. Base de Custos'!$M$8:$M$42,MATCH(C223,'6. Base de Custos'!$L$8:$L$42,0)),"Não classificado"))</f>
        <v/>
      </c>
      <c r="F223" s="111" t="n"/>
      <c r="G223" s="111" t="n"/>
      <c r="H223" s="111" t="n"/>
      <c r="I223" s="45" t="n"/>
      <c r="J223" s="28" t="n"/>
      <c r="K223" s="28" t="n"/>
      <c r="L223" s="28" t="n"/>
      <c r="M223" s="59">
        <f>IF(C223="","",IFERROR(INDEX('6. Base de Custos'!$N$8:$N$42,MATCH(C223,'6. Base de Custos'!$L$8:$L$42,0)),"Não classificado"))</f>
        <v/>
      </c>
      <c r="N223" s="59">
        <f>IF(C223="","",IFERROR(INDEX('6. Base de Custos'!$O$8:$O$42,MATCH(C223,'6. Base de Custos'!$L$8:$L$42,0)),"Revisar"))</f>
        <v/>
      </c>
      <c r="O223" s="60">
        <f>IF(M223="","",IFERROR(VLOOKUP(M223,'6. Base de Custos'!$H$12:$J$18,3,FALSE),0))</f>
        <v/>
      </c>
      <c r="P223" s="59">
        <f>IF(C223="","",IFERROR(INDEX('6. Base de Custos'!$P$8:$P$42,MATCH(C223,'6. Base de Custos'!$L$8:$L$42,0)),"Revisar"))</f>
        <v/>
      </c>
      <c r="Q223" s="59">
        <f>IF(C223="","",IFERROR(INDEX('6. Base de Custos'!$Q$8:$Q$42,MATCH(C223,'6. Base de Custos'!$L$8:$L$42,0)),""))</f>
        <v/>
      </c>
      <c r="R223" s="65">
        <f>IF(C223="","",IFERROR(VLOOKUP(M223&amp;"|"&amp;N223,'17. Mapa DRE CP'!$E$5:$H$100,2,FALSE),"Revisar"))</f>
        <v/>
      </c>
      <c r="S223" s="65">
        <f>IF(C223="","",IFERROR(VLOOKUP(M223&amp;"|"&amp;N223,'17. Mapa DRE CP'!$E$5:$H$100,3,FALSE),"Revisar"))</f>
        <v/>
      </c>
      <c r="T223" s="65">
        <f>IF(C223="","",IF(R223="(-) Custos diretos dos serviços",IF(ISNUMBER(SEARCH("PCMSO",C223)),"PCMSO",IF(OR(ISNUMBER(SEARCH("SGS",C223)),ISNUMBER(SEARCH("CASTRO NAVES",C223))),"Projetos / Laudos / Avulsos","Projetos / Laudos / Avulsos")),"Rateio pela receita bruta"))</f>
        <v/>
      </c>
      <c r="U223" s="65">
        <f>IF(C223="","",IF(R223="(-) Custos diretos dos serviços","Direto por fornecedor/natureza do gasto","Rateio proporcional à receita bruta da linha de serviço"))</f>
        <v/>
      </c>
    </row>
    <row r="224">
      <c r="A224" s="28">
        <f>IF(C224="","", "CP-"&amp;TEXT(ROW()-5,"000"))</f>
        <v/>
      </c>
      <c r="B224" s="27">
        <f>IF(F224="","",DATE(YEAR(F224),MONTH(F224),1))</f>
        <v/>
      </c>
      <c r="C224" s="28" t="n"/>
      <c r="D224" s="28" t="n"/>
      <c r="E224" s="59">
        <f>IF(C224="","",IFERROR(INDEX('6. Base de Custos'!$M$8:$M$42,MATCH(C224,'6. Base de Custos'!$L$8:$L$42,0)),"Não classificado"))</f>
        <v/>
      </c>
      <c r="F224" s="111" t="n"/>
      <c r="G224" s="111" t="n"/>
      <c r="H224" s="111" t="n"/>
      <c r="I224" s="45" t="n"/>
      <c r="J224" s="28" t="n"/>
      <c r="K224" s="28" t="n"/>
      <c r="L224" s="28" t="n"/>
      <c r="M224" s="59">
        <f>IF(C224="","",IFERROR(INDEX('6. Base de Custos'!$N$8:$N$42,MATCH(C224,'6. Base de Custos'!$L$8:$L$42,0)),"Não classificado"))</f>
        <v/>
      </c>
      <c r="N224" s="59">
        <f>IF(C224="","",IFERROR(INDEX('6. Base de Custos'!$O$8:$O$42,MATCH(C224,'6. Base de Custos'!$L$8:$L$42,0)),"Revisar"))</f>
        <v/>
      </c>
      <c r="O224" s="60">
        <f>IF(M224="","",IFERROR(VLOOKUP(M224,'6. Base de Custos'!$H$12:$J$18,3,FALSE),0))</f>
        <v/>
      </c>
      <c r="P224" s="59">
        <f>IF(C224="","",IFERROR(INDEX('6. Base de Custos'!$P$8:$P$42,MATCH(C224,'6. Base de Custos'!$L$8:$L$42,0)),"Revisar"))</f>
        <v/>
      </c>
      <c r="Q224" s="59">
        <f>IF(C224="","",IFERROR(INDEX('6. Base de Custos'!$Q$8:$Q$42,MATCH(C224,'6. Base de Custos'!$L$8:$L$42,0)),""))</f>
        <v/>
      </c>
      <c r="R224" s="65">
        <f>IF(C224="","",IFERROR(VLOOKUP(M224&amp;"|"&amp;N224,'17. Mapa DRE CP'!$E$5:$H$100,2,FALSE),"Revisar"))</f>
        <v/>
      </c>
      <c r="S224" s="65">
        <f>IF(C224="","",IFERROR(VLOOKUP(M224&amp;"|"&amp;N224,'17. Mapa DRE CP'!$E$5:$H$100,3,FALSE),"Revisar"))</f>
        <v/>
      </c>
      <c r="T224" s="65">
        <f>IF(C224="","",IF(R224="(-) Custos diretos dos serviços",IF(ISNUMBER(SEARCH("PCMSO",C224)),"PCMSO",IF(OR(ISNUMBER(SEARCH("SGS",C224)),ISNUMBER(SEARCH("CASTRO NAVES",C224))),"Projetos / Laudos / Avulsos","Projetos / Laudos / Avulsos")),"Rateio pela receita bruta"))</f>
        <v/>
      </c>
      <c r="U224" s="65">
        <f>IF(C224="","",IF(R224="(-) Custos diretos dos serviços","Direto por fornecedor/natureza do gasto","Rateio proporcional à receita bruta da linha de serviço"))</f>
        <v/>
      </c>
    </row>
    <row r="225">
      <c r="A225" s="28">
        <f>IF(C225="","", "CP-"&amp;TEXT(ROW()-5,"000"))</f>
        <v/>
      </c>
      <c r="B225" s="27">
        <f>IF(F225="","",DATE(YEAR(F225),MONTH(F225),1))</f>
        <v/>
      </c>
      <c r="C225" s="28" t="n"/>
      <c r="D225" s="28" t="n"/>
      <c r="E225" s="59">
        <f>IF(C225="","",IFERROR(INDEX('6. Base de Custos'!$M$8:$M$42,MATCH(C225,'6. Base de Custos'!$L$8:$L$42,0)),"Não classificado"))</f>
        <v/>
      </c>
      <c r="F225" s="111" t="n"/>
      <c r="G225" s="111" t="n"/>
      <c r="H225" s="111" t="n"/>
      <c r="I225" s="45" t="n"/>
      <c r="J225" s="28" t="n"/>
      <c r="K225" s="28" t="n"/>
      <c r="L225" s="28" t="n"/>
      <c r="M225" s="59">
        <f>IF(C225="","",IFERROR(INDEX('6. Base de Custos'!$N$8:$N$42,MATCH(C225,'6. Base de Custos'!$L$8:$L$42,0)),"Não classificado"))</f>
        <v/>
      </c>
      <c r="N225" s="59">
        <f>IF(C225="","",IFERROR(INDEX('6. Base de Custos'!$O$8:$O$42,MATCH(C225,'6. Base de Custos'!$L$8:$L$42,0)),"Revisar"))</f>
        <v/>
      </c>
      <c r="O225" s="60">
        <f>IF(M225="","",IFERROR(VLOOKUP(M225,'6. Base de Custos'!$H$12:$J$18,3,FALSE),0))</f>
        <v/>
      </c>
      <c r="P225" s="59">
        <f>IF(C225="","",IFERROR(INDEX('6. Base de Custos'!$P$8:$P$42,MATCH(C225,'6. Base de Custos'!$L$8:$L$42,0)),"Revisar"))</f>
        <v/>
      </c>
      <c r="Q225" s="59">
        <f>IF(C225="","",IFERROR(INDEX('6. Base de Custos'!$Q$8:$Q$42,MATCH(C225,'6. Base de Custos'!$L$8:$L$42,0)),""))</f>
        <v/>
      </c>
      <c r="R225" s="65">
        <f>IF(C225="","",IFERROR(VLOOKUP(M225&amp;"|"&amp;N225,'17. Mapa DRE CP'!$E$5:$H$100,2,FALSE),"Revisar"))</f>
        <v/>
      </c>
      <c r="S225" s="65">
        <f>IF(C225="","",IFERROR(VLOOKUP(M225&amp;"|"&amp;N225,'17. Mapa DRE CP'!$E$5:$H$100,3,FALSE),"Revisar"))</f>
        <v/>
      </c>
      <c r="T225" s="65">
        <f>IF(C225="","",IF(R225="(-) Custos diretos dos serviços",IF(ISNUMBER(SEARCH("PCMSO",C225)),"PCMSO",IF(OR(ISNUMBER(SEARCH("SGS",C225)),ISNUMBER(SEARCH("CASTRO NAVES",C225))),"Projetos / Laudos / Avulsos","Projetos / Laudos / Avulsos")),"Rateio pela receita bruta"))</f>
        <v/>
      </c>
      <c r="U225" s="65">
        <f>IF(C225="","",IF(R225="(-) Custos diretos dos serviços","Direto por fornecedor/natureza do gasto","Rateio proporcional à receita bruta da linha de serviço"))</f>
        <v/>
      </c>
    </row>
    <row r="226">
      <c r="A226" s="28">
        <f>IF(C226="","", "CP-"&amp;TEXT(ROW()-5,"000"))</f>
        <v/>
      </c>
      <c r="B226" s="27">
        <f>IF(F226="","",DATE(YEAR(F226),MONTH(F226),1))</f>
        <v/>
      </c>
      <c r="C226" s="28" t="n"/>
      <c r="D226" s="28" t="n"/>
      <c r="E226" s="59">
        <f>IF(C226="","",IFERROR(INDEX('6. Base de Custos'!$M$8:$M$42,MATCH(C226,'6. Base de Custos'!$L$8:$L$42,0)),"Não classificado"))</f>
        <v/>
      </c>
      <c r="F226" s="111" t="n"/>
      <c r="G226" s="111" t="n"/>
      <c r="H226" s="111" t="n"/>
      <c r="I226" s="45" t="n"/>
      <c r="J226" s="28" t="n"/>
      <c r="K226" s="28" t="n"/>
      <c r="L226" s="28" t="n"/>
      <c r="M226" s="59">
        <f>IF(C226="","",IFERROR(INDEX('6. Base de Custos'!$N$8:$N$42,MATCH(C226,'6. Base de Custos'!$L$8:$L$42,0)),"Não classificado"))</f>
        <v/>
      </c>
      <c r="N226" s="59">
        <f>IF(C226="","",IFERROR(INDEX('6. Base de Custos'!$O$8:$O$42,MATCH(C226,'6. Base de Custos'!$L$8:$L$42,0)),"Revisar"))</f>
        <v/>
      </c>
      <c r="O226" s="60">
        <f>IF(M226="","",IFERROR(VLOOKUP(M226,'6. Base de Custos'!$H$12:$J$18,3,FALSE),0))</f>
        <v/>
      </c>
      <c r="P226" s="59">
        <f>IF(C226="","",IFERROR(INDEX('6. Base de Custos'!$P$8:$P$42,MATCH(C226,'6. Base de Custos'!$L$8:$L$42,0)),"Revisar"))</f>
        <v/>
      </c>
      <c r="Q226" s="59">
        <f>IF(C226="","",IFERROR(INDEX('6. Base de Custos'!$Q$8:$Q$42,MATCH(C226,'6. Base de Custos'!$L$8:$L$42,0)),""))</f>
        <v/>
      </c>
      <c r="R226" s="65">
        <f>IF(C226="","",IFERROR(VLOOKUP(M226&amp;"|"&amp;N226,'17. Mapa DRE CP'!$E$5:$H$100,2,FALSE),"Revisar"))</f>
        <v/>
      </c>
      <c r="S226" s="65">
        <f>IF(C226="","",IFERROR(VLOOKUP(M226&amp;"|"&amp;N226,'17. Mapa DRE CP'!$E$5:$H$100,3,FALSE),"Revisar"))</f>
        <v/>
      </c>
      <c r="T226" s="65">
        <f>IF(C226="","",IF(R226="(-) Custos diretos dos serviços",IF(ISNUMBER(SEARCH("PCMSO",C226)),"PCMSO",IF(OR(ISNUMBER(SEARCH("SGS",C226)),ISNUMBER(SEARCH("CASTRO NAVES",C226))),"Projetos / Laudos / Avulsos","Projetos / Laudos / Avulsos")),"Rateio pela receita bruta"))</f>
        <v/>
      </c>
      <c r="U226" s="65">
        <f>IF(C226="","",IF(R226="(-) Custos diretos dos serviços","Direto por fornecedor/natureza do gasto","Rateio proporcional à receita bruta da linha de serviço"))</f>
        <v/>
      </c>
    </row>
    <row r="227">
      <c r="A227" s="28">
        <f>IF(C227="","", "CP-"&amp;TEXT(ROW()-5,"000"))</f>
        <v/>
      </c>
      <c r="B227" s="27">
        <f>IF(F227="","",DATE(YEAR(F227),MONTH(F227),1))</f>
        <v/>
      </c>
      <c r="C227" s="28" t="n"/>
      <c r="D227" s="28" t="n"/>
      <c r="E227" s="59">
        <f>IF(C227="","",IFERROR(INDEX('6. Base de Custos'!$M$8:$M$42,MATCH(C227,'6. Base de Custos'!$L$8:$L$42,0)),"Não classificado"))</f>
        <v/>
      </c>
      <c r="F227" s="111" t="n"/>
      <c r="G227" s="111" t="n"/>
      <c r="H227" s="111" t="n"/>
      <c r="I227" s="45" t="n"/>
      <c r="J227" s="28" t="n"/>
      <c r="K227" s="28" t="n"/>
      <c r="L227" s="28" t="n"/>
      <c r="M227" s="59">
        <f>IF(C227="","",IFERROR(INDEX('6. Base de Custos'!$N$8:$N$42,MATCH(C227,'6. Base de Custos'!$L$8:$L$42,0)),"Não classificado"))</f>
        <v/>
      </c>
      <c r="N227" s="59">
        <f>IF(C227="","",IFERROR(INDEX('6. Base de Custos'!$O$8:$O$42,MATCH(C227,'6. Base de Custos'!$L$8:$L$42,0)),"Revisar"))</f>
        <v/>
      </c>
      <c r="O227" s="60">
        <f>IF(M227="","",IFERROR(VLOOKUP(M227,'6. Base de Custos'!$H$12:$J$18,3,FALSE),0))</f>
        <v/>
      </c>
      <c r="P227" s="59">
        <f>IF(C227="","",IFERROR(INDEX('6. Base de Custos'!$P$8:$P$42,MATCH(C227,'6. Base de Custos'!$L$8:$L$42,0)),"Revisar"))</f>
        <v/>
      </c>
      <c r="Q227" s="59">
        <f>IF(C227="","",IFERROR(INDEX('6. Base de Custos'!$Q$8:$Q$42,MATCH(C227,'6. Base de Custos'!$L$8:$L$42,0)),""))</f>
        <v/>
      </c>
      <c r="R227" s="65">
        <f>IF(C227="","",IFERROR(VLOOKUP(M227&amp;"|"&amp;N227,'17. Mapa DRE CP'!$E$5:$H$100,2,FALSE),"Revisar"))</f>
        <v/>
      </c>
      <c r="S227" s="65">
        <f>IF(C227="","",IFERROR(VLOOKUP(M227&amp;"|"&amp;N227,'17. Mapa DRE CP'!$E$5:$H$100,3,FALSE),"Revisar"))</f>
        <v/>
      </c>
      <c r="T227" s="65">
        <f>IF(C227="","",IF(R227="(-) Custos diretos dos serviços",IF(ISNUMBER(SEARCH("PCMSO",C227)),"PCMSO",IF(OR(ISNUMBER(SEARCH("SGS",C227)),ISNUMBER(SEARCH("CASTRO NAVES",C227))),"Projetos / Laudos / Avulsos","Projetos / Laudos / Avulsos")),"Rateio pela receita bruta"))</f>
        <v/>
      </c>
      <c r="U227" s="65">
        <f>IF(C227="","",IF(R227="(-) Custos diretos dos serviços","Direto por fornecedor/natureza do gasto","Rateio proporcional à receita bruta da linha de serviço"))</f>
        <v/>
      </c>
    </row>
    <row r="228">
      <c r="A228" s="28">
        <f>IF(C228="","", "CP-"&amp;TEXT(ROW()-5,"000"))</f>
        <v/>
      </c>
      <c r="B228" s="27">
        <f>IF(F228="","",DATE(YEAR(F228),MONTH(F228),1))</f>
        <v/>
      </c>
      <c r="C228" s="28" t="n"/>
      <c r="D228" s="28" t="n"/>
      <c r="E228" s="59">
        <f>IF(C228="","",IFERROR(INDEX('6. Base de Custos'!$M$8:$M$42,MATCH(C228,'6. Base de Custos'!$L$8:$L$42,0)),"Não classificado"))</f>
        <v/>
      </c>
      <c r="F228" s="111" t="n"/>
      <c r="G228" s="111" t="n"/>
      <c r="H228" s="111" t="n"/>
      <c r="I228" s="45" t="n"/>
      <c r="J228" s="28" t="n"/>
      <c r="K228" s="28" t="n"/>
      <c r="L228" s="28" t="n"/>
      <c r="M228" s="59">
        <f>IF(C228="","",IFERROR(INDEX('6. Base de Custos'!$N$8:$N$42,MATCH(C228,'6. Base de Custos'!$L$8:$L$42,0)),"Não classificado"))</f>
        <v/>
      </c>
      <c r="N228" s="59">
        <f>IF(C228="","",IFERROR(INDEX('6. Base de Custos'!$O$8:$O$42,MATCH(C228,'6. Base de Custos'!$L$8:$L$42,0)),"Revisar"))</f>
        <v/>
      </c>
      <c r="O228" s="60">
        <f>IF(M228="","",IFERROR(VLOOKUP(M228,'6. Base de Custos'!$H$12:$J$18,3,FALSE),0))</f>
        <v/>
      </c>
      <c r="P228" s="59">
        <f>IF(C228="","",IFERROR(INDEX('6. Base de Custos'!$P$8:$P$42,MATCH(C228,'6. Base de Custos'!$L$8:$L$42,0)),"Revisar"))</f>
        <v/>
      </c>
      <c r="Q228" s="59">
        <f>IF(C228="","",IFERROR(INDEX('6. Base de Custos'!$Q$8:$Q$42,MATCH(C228,'6. Base de Custos'!$L$8:$L$42,0)),""))</f>
        <v/>
      </c>
      <c r="R228" s="65">
        <f>IF(C228="","",IFERROR(VLOOKUP(M228&amp;"|"&amp;N228,'17. Mapa DRE CP'!$E$5:$H$100,2,FALSE),"Revisar"))</f>
        <v/>
      </c>
      <c r="S228" s="65">
        <f>IF(C228="","",IFERROR(VLOOKUP(M228&amp;"|"&amp;N228,'17. Mapa DRE CP'!$E$5:$H$100,3,FALSE),"Revisar"))</f>
        <v/>
      </c>
      <c r="T228" s="65">
        <f>IF(C228="","",IF(R228="(-) Custos diretos dos serviços",IF(ISNUMBER(SEARCH("PCMSO",C228)),"PCMSO",IF(OR(ISNUMBER(SEARCH("SGS",C228)),ISNUMBER(SEARCH("CASTRO NAVES",C228))),"Projetos / Laudos / Avulsos","Projetos / Laudos / Avulsos")),"Rateio pela receita bruta"))</f>
        <v/>
      </c>
      <c r="U228" s="65">
        <f>IF(C228="","",IF(R228="(-) Custos diretos dos serviços","Direto por fornecedor/natureza do gasto","Rateio proporcional à receita bruta da linha de serviço"))</f>
        <v/>
      </c>
    </row>
    <row r="229">
      <c r="A229" s="28">
        <f>IF(C229="","", "CP-"&amp;TEXT(ROW()-5,"000"))</f>
        <v/>
      </c>
      <c r="B229" s="27">
        <f>IF(F229="","",DATE(YEAR(F229),MONTH(F229),1))</f>
        <v/>
      </c>
      <c r="C229" s="28" t="n"/>
      <c r="D229" s="28" t="n"/>
      <c r="E229" s="59">
        <f>IF(C229="","",IFERROR(INDEX('6. Base de Custos'!$M$8:$M$42,MATCH(C229,'6. Base de Custos'!$L$8:$L$42,0)),"Não classificado"))</f>
        <v/>
      </c>
      <c r="F229" s="111" t="n"/>
      <c r="G229" s="111" t="n"/>
      <c r="H229" s="111" t="n"/>
      <c r="I229" s="45" t="n"/>
      <c r="J229" s="28" t="n"/>
      <c r="K229" s="28" t="n"/>
      <c r="L229" s="28" t="n"/>
      <c r="M229" s="59">
        <f>IF(C229="","",IFERROR(INDEX('6. Base de Custos'!$N$8:$N$42,MATCH(C229,'6. Base de Custos'!$L$8:$L$42,0)),"Não classificado"))</f>
        <v/>
      </c>
      <c r="N229" s="59">
        <f>IF(C229="","",IFERROR(INDEX('6. Base de Custos'!$O$8:$O$42,MATCH(C229,'6. Base de Custos'!$L$8:$L$42,0)),"Revisar"))</f>
        <v/>
      </c>
      <c r="O229" s="60">
        <f>IF(M229="","",IFERROR(VLOOKUP(M229,'6. Base de Custos'!$H$12:$J$18,3,FALSE),0))</f>
        <v/>
      </c>
      <c r="P229" s="59">
        <f>IF(C229="","",IFERROR(INDEX('6. Base de Custos'!$P$8:$P$42,MATCH(C229,'6. Base de Custos'!$L$8:$L$42,0)),"Revisar"))</f>
        <v/>
      </c>
      <c r="Q229" s="59">
        <f>IF(C229="","",IFERROR(INDEX('6. Base de Custos'!$Q$8:$Q$42,MATCH(C229,'6. Base de Custos'!$L$8:$L$42,0)),""))</f>
        <v/>
      </c>
      <c r="R229" s="65">
        <f>IF(C229="","",IFERROR(VLOOKUP(M229&amp;"|"&amp;N229,'17. Mapa DRE CP'!$E$5:$H$100,2,FALSE),"Revisar"))</f>
        <v/>
      </c>
      <c r="S229" s="65">
        <f>IF(C229="","",IFERROR(VLOOKUP(M229&amp;"|"&amp;N229,'17. Mapa DRE CP'!$E$5:$H$100,3,FALSE),"Revisar"))</f>
        <v/>
      </c>
      <c r="T229" s="65">
        <f>IF(C229="","",IF(R229="(-) Custos diretos dos serviços",IF(ISNUMBER(SEARCH("PCMSO",C229)),"PCMSO",IF(OR(ISNUMBER(SEARCH("SGS",C229)),ISNUMBER(SEARCH("CASTRO NAVES",C229))),"Projetos / Laudos / Avulsos","Projetos / Laudos / Avulsos")),"Rateio pela receita bruta"))</f>
        <v/>
      </c>
      <c r="U229" s="65">
        <f>IF(C229="","",IF(R229="(-) Custos diretos dos serviços","Direto por fornecedor/natureza do gasto","Rateio proporcional à receita bruta da linha de serviço"))</f>
        <v/>
      </c>
    </row>
    <row r="230">
      <c r="A230" s="28">
        <f>IF(C230="","", "CP-"&amp;TEXT(ROW()-5,"000"))</f>
        <v/>
      </c>
      <c r="B230" s="27">
        <f>IF(F230="","",DATE(YEAR(F230),MONTH(F230),1))</f>
        <v/>
      </c>
      <c r="C230" s="28" t="n"/>
      <c r="D230" s="28" t="n"/>
      <c r="E230" s="59">
        <f>IF(C230="","",IFERROR(INDEX('6. Base de Custos'!$M$8:$M$42,MATCH(C230,'6. Base de Custos'!$L$8:$L$42,0)),"Não classificado"))</f>
        <v/>
      </c>
      <c r="F230" s="111" t="n"/>
      <c r="G230" s="111" t="n"/>
      <c r="H230" s="111" t="n"/>
      <c r="I230" s="45" t="n"/>
      <c r="J230" s="28" t="n"/>
      <c r="K230" s="28" t="n"/>
      <c r="L230" s="28" t="n"/>
      <c r="M230" s="59">
        <f>IF(C230="","",IFERROR(INDEX('6. Base de Custos'!$N$8:$N$42,MATCH(C230,'6. Base de Custos'!$L$8:$L$42,0)),"Não classificado"))</f>
        <v/>
      </c>
      <c r="N230" s="59">
        <f>IF(C230="","",IFERROR(INDEX('6. Base de Custos'!$O$8:$O$42,MATCH(C230,'6. Base de Custos'!$L$8:$L$42,0)),"Revisar"))</f>
        <v/>
      </c>
      <c r="O230" s="60">
        <f>IF(M230="","",IFERROR(VLOOKUP(M230,'6. Base de Custos'!$H$12:$J$18,3,FALSE),0))</f>
        <v/>
      </c>
      <c r="P230" s="59">
        <f>IF(C230="","",IFERROR(INDEX('6. Base de Custos'!$P$8:$P$42,MATCH(C230,'6. Base de Custos'!$L$8:$L$42,0)),"Revisar"))</f>
        <v/>
      </c>
      <c r="Q230" s="59">
        <f>IF(C230="","",IFERROR(INDEX('6. Base de Custos'!$Q$8:$Q$42,MATCH(C230,'6. Base de Custos'!$L$8:$L$42,0)),""))</f>
        <v/>
      </c>
      <c r="R230" s="65">
        <f>IF(C230="","",IFERROR(VLOOKUP(M230&amp;"|"&amp;N230,'17. Mapa DRE CP'!$E$5:$H$100,2,FALSE),"Revisar"))</f>
        <v/>
      </c>
      <c r="S230" s="65">
        <f>IF(C230="","",IFERROR(VLOOKUP(M230&amp;"|"&amp;N230,'17. Mapa DRE CP'!$E$5:$H$100,3,FALSE),"Revisar"))</f>
        <v/>
      </c>
      <c r="T230" s="65">
        <f>IF(C230="","",IF(R230="(-) Custos diretos dos serviços",IF(ISNUMBER(SEARCH("PCMSO",C230)),"PCMSO",IF(OR(ISNUMBER(SEARCH("SGS",C230)),ISNUMBER(SEARCH("CASTRO NAVES",C230))),"Projetos / Laudos / Avulsos","Projetos / Laudos / Avulsos")),"Rateio pela receita bruta"))</f>
        <v/>
      </c>
      <c r="U230" s="65">
        <f>IF(C230="","",IF(R230="(-) Custos diretos dos serviços","Direto por fornecedor/natureza do gasto","Rateio proporcional à receita bruta da linha de serviço"))</f>
        <v/>
      </c>
    </row>
    <row r="231">
      <c r="A231" s="28">
        <f>IF(C231="","", "CP-"&amp;TEXT(ROW()-5,"000"))</f>
        <v/>
      </c>
      <c r="B231" s="27">
        <f>IF(F231="","",DATE(YEAR(F231),MONTH(F231),1))</f>
        <v/>
      </c>
      <c r="C231" s="28" t="n"/>
      <c r="D231" s="28" t="n"/>
      <c r="E231" s="59">
        <f>IF(C231="","",IFERROR(INDEX('6. Base de Custos'!$M$8:$M$42,MATCH(C231,'6. Base de Custos'!$L$8:$L$42,0)),"Não classificado"))</f>
        <v/>
      </c>
      <c r="F231" s="111" t="n"/>
      <c r="G231" s="111" t="n"/>
      <c r="H231" s="111" t="n"/>
      <c r="I231" s="45" t="n"/>
      <c r="J231" s="28" t="n"/>
      <c r="K231" s="28" t="n"/>
      <c r="L231" s="28" t="n"/>
      <c r="M231" s="59">
        <f>IF(C231="","",IFERROR(INDEX('6. Base de Custos'!$N$8:$N$42,MATCH(C231,'6. Base de Custos'!$L$8:$L$42,0)),"Não classificado"))</f>
        <v/>
      </c>
      <c r="N231" s="59">
        <f>IF(C231="","",IFERROR(INDEX('6. Base de Custos'!$O$8:$O$42,MATCH(C231,'6. Base de Custos'!$L$8:$L$42,0)),"Revisar"))</f>
        <v/>
      </c>
      <c r="O231" s="60">
        <f>IF(M231="","",IFERROR(VLOOKUP(M231,'6. Base de Custos'!$H$12:$J$18,3,FALSE),0))</f>
        <v/>
      </c>
      <c r="P231" s="59">
        <f>IF(C231="","",IFERROR(INDEX('6. Base de Custos'!$P$8:$P$42,MATCH(C231,'6. Base de Custos'!$L$8:$L$42,0)),"Revisar"))</f>
        <v/>
      </c>
      <c r="Q231" s="59">
        <f>IF(C231="","",IFERROR(INDEX('6. Base de Custos'!$Q$8:$Q$42,MATCH(C231,'6. Base de Custos'!$L$8:$L$42,0)),""))</f>
        <v/>
      </c>
      <c r="R231" s="65">
        <f>IF(C231="","",IFERROR(VLOOKUP(M231&amp;"|"&amp;N231,'17. Mapa DRE CP'!$E$5:$H$100,2,FALSE),"Revisar"))</f>
        <v/>
      </c>
      <c r="S231" s="65">
        <f>IF(C231="","",IFERROR(VLOOKUP(M231&amp;"|"&amp;N231,'17. Mapa DRE CP'!$E$5:$H$100,3,FALSE),"Revisar"))</f>
        <v/>
      </c>
      <c r="T231" s="65">
        <f>IF(C231="","",IF(R231="(-) Custos diretos dos serviços",IF(ISNUMBER(SEARCH("PCMSO",C231)),"PCMSO",IF(OR(ISNUMBER(SEARCH("SGS",C231)),ISNUMBER(SEARCH("CASTRO NAVES",C231))),"Projetos / Laudos / Avulsos","Projetos / Laudos / Avulsos")),"Rateio pela receita bruta"))</f>
        <v/>
      </c>
      <c r="U231" s="65">
        <f>IF(C231="","",IF(R231="(-) Custos diretos dos serviços","Direto por fornecedor/natureza do gasto","Rateio proporcional à receita bruta da linha de serviço"))</f>
        <v/>
      </c>
    </row>
    <row r="232">
      <c r="A232" s="28">
        <f>IF(C232="","", "CP-"&amp;TEXT(ROW()-5,"000"))</f>
        <v/>
      </c>
      <c r="B232" s="27">
        <f>IF(F232="","",DATE(YEAR(F232),MONTH(F232),1))</f>
        <v/>
      </c>
      <c r="C232" s="28" t="n"/>
      <c r="D232" s="28" t="n"/>
      <c r="E232" s="59">
        <f>IF(C232="","",IFERROR(INDEX('6. Base de Custos'!$M$8:$M$42,MATCH(C232,'6. Base de Custos'!$L$8:$L$42,0)),"Não classificado"))</f>
        <v/>
      </c>
      <c r="F232" s="111" t="n"/>
      <c r="G232" s="111" t="n"/>
      <c r="H232" s="111" t="n"/>
      <c r="I232" s="45" t="n"/>
      <c r="J232" s="28" t="n"/>
      <c r="K232" s="28" t="n"/>
      <c r="L232" s="28" t="n"/>
      <c r="M232" s="59">
        <f>IF(C232="","",IFERROR(INDEX('6. Base de Custos'!$N$8:$N$42,MATCH(C232,'6. Base de Custos'!$L$8:$L$42,0)),"Não classificado"))</f>
        <v/>
      </c>
      <c r="N232" s="59">
        <f>IF(C232="","",IFERROR(INDEX('6. Base de Custos'!$O$8:$O$42,MATCH(C232,'6. Base de Custos'!$L$8:$L$42,0)),"Revisar"))</f>
        <v/>
      </c>
      <c r="O232" s="60">
        <f>IF(M232="","",IFERROR(VLOOKUP(M232,'6. Base de Custos'!$H$12:$J$18,3,FALSE),0))</f>
        <v/>
      </c>
      <c r="P232" s="59">
        <f>IF(C232="","",IFERROR(INDEX('6. Base de Custos'!$P$8:$P$42,MATCH(C232,'6. Base de Custos'!$L$8:$L$42,0)),"Revisar"))</f>
        <v/>
      </c>
      <c r="Q232" s="59">
        <f>IF(C232="","",IFERROR(INDEX('6. Base de Custos'!$Q$8:$Q$42,MATCH(C232,'6. Base de Custos'!$L$8:$L$42,0)),""))</f>
        <v/>
      </c>
      <c r="R232" s="65">
        <f>IF(C232="","",IFERROR(VLOOKUP(M232&amp;"|"&amp;N232,'17. Mapa DRE CP'!$E$5:$H$100,2,FALSE),"Revisar"))</f>
        <v/>
      </c>
      <c r="S232" s="65">
        <f>IF(C232="","",IFERROR(VLOOKUP(M232&amp;"|"&amp;N232,'17. Mapa DRE CP'!$E$5:$H$100,3,FALSE),"Revisar"))</f>
        <v/>
      </c>
      <c r="T232" s="65">
        <f>IF(C232="","",IF(R232="(-) Custos diretos dos serviços",IF(ISNUMBER(SEARCH("PCMSO",C232)),"PCMSO",IF(OR(ISNUMBER(SEARCH("SGS",C232)),ISNUMBER(SEARCH("CASTRO NAVES",C232))),"Projetos / Laudos / Avulsos","Projetos / Laudos / Avulsos")),"Rateio pela receita bruta"))</f>
        <v/>
      </c>
      <c r="U232" s="65">
        <f>IF(C232="","",IF(R232="(-) Custos diretos dos serviços","Direto por fornecedor/natureza do gasto","Rateio proporcional à receita bruta da linha de serviço"))</f>
        <v/>
      </c>
    </row>
    <row r="233">
      <c r="A233" s="28">
        <f>IF(C233="","", "CP-"&amp;TEXT(ROW()-5,"000"))</f>
        <v/>
      </c>
      <c r="B233" s="27">
        <f>IF(F233="","",DATE(YEAR(F233),MONTH(F233),1))</f>
        <v/>
      </c>
      <c r="C233" s="28" t="n"/>
      <c r="D233" s="28" t="n"/>
      <c r="E233" s="59">
        <f>IF(C233="","",IFERROR(INDEX('6. Base de Custos'!$M$8:$M$42,MATCH(C233,'6. Base de Custos'!$L$8:$L$42,0)),"Não classificado"))</f>
        <v/>
      </c>
      <c r="F233" s="111" t="n"/>
      <c r="G233" s="111" t="n"/>
      <c r="H233" s="111" t="n"/>
      <c r="I233" s="45" t="n"/>
      <c r="J233" s="28" t="n"/>
      <c r="K233" s="28" t="n"/>
      <c r="L233" s="28" t="n"/>
      <c r="M233" s="59">
        <f>IF(C233="","",IFERROR(INDEX('6. Base de Custos'!$N$8:$N$42,MATCH(C233,'6. Base de Custos'!$L$8:$L$42,0)),"Não classificado"))</f>
        <v/>
      </c>
      <c r="N233" s="59">
        <f>IF(C233="","",IFERROR(INDEX('6. Base de Custos'!$O$8:$O$42,MATCH(C233,'6. Base de Custos'!$L$8:$L$42,0)),"Revisar"))</f>
        <v/>
      </c>
      <c r="O233" s="60">
        <f>IF(M233="","",IFERROR(VLOOKUP(M233,'6. Base de Custos'!$H$12:$J$18,3,FALSE),0))</f>
        <v/>
      </c>
      <c r="P233" s="59">
        <f>IF(C233="","",IFERROR(INDEX('6. Base de Custos'!$P$8:$P$42,MATCH(C233,'6. Base de Custos'!$L$8:$L$42,0)),"Revisar"))</f>
        <v/>
      </c>
      <c r="Q233" s="59">
        <f>IF(C233="","",IFERROR(INDEX('6. Base de Custos'!$Q$8:$Q$42,MATCH(C233,'6. Base de Custos'!$L$8:$L$42,0)),""))</f>
        <v/>
      </c>
      <c r="R233" s="65">
        <f>IF(C233="","",IFERROR(VLOOKUP(M233&amp;"|"&amp;N233,'17. Mapa DRE CP'!$E$5:$H$100,2,FALSE),"Revisar"))</f>
        <v/>
      </c>
      <c r="S233" s="65">
        <f>IF(C233="","",IFERROR(VLOOKUP(M233&amp;"|"&amp;N233,'17. Mapa DRE CP'!$E$5:$H$100,3,FALSE),"Revisar"))</f>
        <v/>
      </c>
      <c r="T233" s="65">
        <f>IF(C233="","",IF(R233="(-) Custos diretos dos serviços",IF(ISNUMBER(SEARCH("PCMSO",C233)),"PCMSO",IF(OR(ISNUMBER(SEARCH("SGS",C233)),ISNUMBER(SEARCH("CASTRO NAVES",C233))),"Projetos / Laudos / Avulsos","Projetos / Laudos / Avulsos")),"Rateio pela receita bruta"))</f>
        <v/>
      </c>
      <c r="U233" s="65">
        <f>IF(C233="","",IF(R233="(-) Custos diretos dos serviços","Direto por fornecedor/natureza do gasto","Rateio proporcional à receita bruta da linha de serviço"))</f>
        <v/>
      </c>
    </row>
    <row r="234">
      <c r="A234" s="28">
        <f>IF(C234="","", "CP-"&amp;TEXT(ROW()-5,"000"))</f>
        <v/>
      </c>
      <c r="B234" s="27">
        <f>IF(F234="","",DATE(YEAR(F234),MONTH(F234),1))</f>
        <v/>
      </c>
      <c r="C234" s="28" t="n"/>
      <c r="D234" s="28" t="n"/>
      <c r="E234" s="59">
        <f>IF(C234="","",IFERROR(INDEX('6. Base de Custos'!$M$8:$M$42,MATCH(C234,'6. Base de Custos'!$L$8:$L$42,0)),"Não classificado"))</f>
        <v/>
      </c>
      <c r="F234" s="111" t="n"/>
      <c r="G234" s="111" t="n"/>
      <c r="H234" s="111" t="n"/>
      <c r="I234" s="45" t="n"/>
      <c r="J234" s="28" t="n"/>
      <c r="K234" s="28" t="n"/>
      <c r="L234" s="28" t="n"/>
      <c r="M234" s="59">
        <f>IF(C234="","",IFERROR(INDEX('6. Base de Custos'!$N$8:$N$42,MATCH(C234,'6. Base de Custos'!$L$8:$L$42,0)),"Não classificado"))</f>
        <v/>
      </c>
      <c r="N234" s="59">
        <f>IF(C234="","",IFERROR(INDEX('6. Base de Custos'!$O$8:$O$42,MATCH(C234,'6. Base de Custos'!$L$8:$L$42,0)),"Revisar"))</f>
        <v/>
      </c>
      <c r="O234" s="60">
        <f>IF(M234="","",IFERROR(VLOOKUP(M234,'6. Base de Custos'!$H$12:$J$18,3,FALSE),0))</f>
        <v/>
      </c>
      <c r="P234" s="59">
        <f>IF(C234="","",IFERROR(INDEX('6. Base de Custos'!$P$8:$P$42,MATCH(C234,'6. Base de Custos'!$L$8:$L$42,0)),"Revisar"))</f>
        <v/>
      </c>
      <c r="Q234" s="59">
        <f>IF(C234="","",IFERROR(INDEX('6. Base de Custos'!$Q$8:$Q$42,MATCH(C234,'6. Base de Custos'!$L$8:$L$42,0)),""))</f>
        <v/>
      </c>
      <c r="R234" s="65">
        <f>IF(C234="","",IFERROR(VLOOKUP(M234&amp;"|"&amp;N234,'17. Mapa DRE CP'!$E$5:$H$100,2,FALSE),"Revisar"))</f>
        <v/>
      </c>
      <c r="S234" s="65">
        <f>IF(C234="","",IFERROR(VLOOKUP(M234&amp;"|"&amp;N234,'17. Mapa DRE CP'!$E$5:$H$100,3,FALSE),"Revisar"))</f>
        <v/>
      </c>
      <c r="T234" s="65">
        <f>IF(C234="","",IF(R234="(-) Custos diretos dos serviços",IF(ISNUMBER(SEARCH("PCMSO",C234)),"PCMSO",IF(OR(ISNUMBER(SEARCH("SGS",C234)),ISNUMBER(SEARCH("CASTRO NAVES",C234))),"Projetos / Laudos / Avulsos","Projetos / Laudos / Avulsos")),"Rateio pela receita bruta"))</f>
        <v/>
      </c>
      <c r="U234" s="65">
        <f>IF(C234="","",IF(R234="(-) Custos diretos dos serviços","Direto por fornecedor/natureza do gasto","Rateio proporcional à receita bruta da linha de serviço"))</f>
        <v/>
      </c>
    </row>
    <row r="235">
      <c r="A235" s="28">
        <f>IF(C235="","", "CP-"&amp;TEXT(ROW()-5,"000"))</f>
        <v/>
      </c>
      <c r="B235" s="27">
        <f>IF(F235="","",DATE(YEAR(F235),MONTH(F235),1))</f>
        <v/>
      </c>
      <c r="C235" s="28" t="n"/>
      <c r="D235" s="28" t="n"/>
      <c r="E235" s="59">
        <f>IF(C235="","",IFERROR(INDEX('6. Base de Custos'!$M$8:$M$42,MATCH(C235,'6. Base de Custos'!$L$8:$L$42,0)),"Não classificado"))</f>
        <v/>
      </c>
      <c r="F235" s="111" t="n"/>
      <c r="G235" s="111" t="n"/>
      <c r="H235" s="111" t="n"/>
      <c r="I235" s="45" t="n"/>
      <c r="J235" s="28" t="n"/>
      <c r="K235" s="28" t="n"/>
      <c r="L235" s="28" t="n"/>
      <c r="M235" s="59">
        <f>IF(C235="","",IFERROR(INDEX('6. Base de Custos'!$N$8:$N$42,MATCH(C235,'6. Base de Custos'!$L$8:$L$42,0)),"Não classificado"))</f>
        <v/>
      </c>
      <c r="N235" s="59">
        <f>IF(C235="","",IFERROR(INDEX('6. Base de Custos'!$O$8:$O$42,MATCH(C235,'6. Base de Custos'!$L$8:$L$42,0)),"Revisar"))</f>
        <v/>
      </c>
      <c r="O235" s="60">
        <f>IF(M235="","",IFERROR(VLOOKUP(M235,'6. Base de Custos'!$H$12:$J$18,3,FALSE),0))</f>
        <v/>
      </c>
      <c r="P235" s="59">
        <f>IF(C235="","",IFERROR(INDEX('6. Base de Custos'!$P$8:$P$42,MATCH(C235,'6. Base de Custos'!$L$8:$L$42,0)),"Revisar"))</f>
        <v/>
      </c>
      <c r="Q235" s="59">
        <f>IF(C235="","",IFERROR(INDEX('6. Base de Custos'!$Q$8:$Q$42,MATCH(C235,'6. Base de Custos'!$L$8:$L$42,0)),""))</f>
        <v/>
      </c>
      <c r="R235" s="65">
        <f>IF(C235="","",IFERROR(VLOOKUP(M235&amp;"|"&amp;N235,'17. Mapa DRE CP'!$E$5:$H$100,2,FALSE),"Revisar"))</f>
        <v/>
      </c>
      <c r="S235" s="65">
        <f>IF(C235="","",IFERROR(VLOOKUP(M235&amp;"|"&amp;N235,'17. Mapa DRE CP'!$E$5:$H$100,3,FALSE),"Revisar"))</f>
        <v/>
      </c>
      <c r="T235" s="65">
        <f>IF(C235="","",IF(R235="(-) Custos diretos dos serviços",IF(ISNUMBER(SEARCH("PCMSO",C235)),"PCMSO",IF(OR(ISNUMBER(SEARCH("SGS",C235)),ISNUMBER(SEARCH("CASTRO NAVES",C235))),"Projetos / Laudos / Avulsos","Projetos / Laudos / Avulsos")),"Rateio pela receita bruta"))</f>
        <v/>
      </c>
      <c r="U235" s="65">
        <f>IF(C235="","",IF(R235="(-) Custos diretos dos serviços","Direto por fornecedor/natureza do gasto","Rateio proporcional à receita bruta da linha de serviço"))</f>
        <v/>
      </c>
    </row>
    <row r="236">
      <c r="A236" s="28">
        <f>IF(C236="","", "CP-"&amp;TEXT(ROW()-5,"000"))</f>
        <v/>
      </c>
      <c r="B236" s="27">
        <f>IF(F236="","",DATE(YEAR(F236),MONTH(F236),1))</f>
        <v/>
      </c>
      <c r="C236" s="28" t="n"/>
      <c r="D236" s="28" t="n"/>
      <c r="E236" s="59">
        <f>IF(C236="","",IFERROR(INDEX('6. Base de Custos'!$M$8:$M$42,MATCH(C236,'6. Base de Custos'!$L$8:$L$42,0)),"Não classificado"))</f>
        <v/>
      </c>
      <c r="F236" s="111" t="n"/>
      <c r="G236" s="111" t="n"/>
      <c r="H236" s="111" t="n"/>
      <c r="I236" s="45" t="n"/>
      <c r="J236" s="28" t="n"/>
      <c r="K236" s="28" t="n"/>
      <c r="L236" s="28" t="n"/>
      <c r="M236" s="59">
        <f>IF(C236="","",IFERROR(INDEX('6. Base de Custos'!$N$8:$N$42,MATCH(C236,'6. Base de Custos'!$L$8:$L$42,0)),"Não classificado"))</f>
        <v/>
      </c>
      <c r="N236" s="59">
        <f>IF(C236="","",IFERROR(INDEX('6. Base de Custos'!$O$8:$O$42,MATCH(C236,'6. Base de Custos'!$L$8:$L$42,0)),"Revisar"))</f>
        <v/>
      </c>
      <c r="O236" s="60">
        <f>IF(M236="","",IFERROR(VLOOKUP(M236,'6. Base de Custos'!$H$12:$J$18,3,FALSE),0))</f>
        <v/>
      </c>
      <c r="P236" s="59">
        <f>IF(C236="","",IFERROR(INDEX('6. Base de Custos'!$P$8:$P$42,MATCH(C236,'6. Base de Custos'!$L$8:$L$42,0)),"Revisar"))</f>
        <v/>
      </c>
      <c r="Q236" s="59">
        <f>IF(C236="","",IFERROR(INDEX('6. Base de Custos'!$Q$8:$Q$42,MATCH(C236,'6. Base de Custos'!$L$8:$L$42,0)),""))</f>
        <v/>
      </c>
      <c r="R236" s="65">
        <f>IF(C236="","",IFERROR(VLOOKUP(M236&amp;"|"&amp;N236,'17. Mapa DRE CP'!$E$5:$H$100,2,FALSE),"Revisar"))</f>
        <v/>
      </c>
      <c r="S236" s="65">
        <f>IF(C236="","",IFERROR(VLOOKUP(M236&amp;"|"&amp;N236,'17. Mapa DRE CP'!$E$5:$H$100,3,FALSE),"Revisar"))</f>
        <v/>
      </c>
      <c r="T236" s="65">
        <f>IF(C236="","",IF(R236="(-) Custos diretos dos serviços",IF(ISNUMBER(SEARCH("PCMSO",C236)),"PCMSO",IF(OR(ISNUMBER(SEARCH("SGS",C236)),ISNUMBER(SEARCH("CASTRO NAVES",C236))),"Projetos / Laudos / Avulsos","Projetos / Laudos / Avulsos")),"Rateio pela receita bruta"))</f>
        <v/>
      </c>
      <c r="U236" s="65">
        <f>IF(C236="","",IF(R236="(-) Custos diretos dos serviços","Direto por fornecedor/natureza do gasto","Rateio proporcional à receita bruta da linha de serviço"))</f>
        <v/>
      </c>
    </row>
    <row r="237">
      <c r="A237" s="28">
        <f>IF(C237="","", "CP-"&amp;TEXT(ROW()-5,"000"))</f>
        <v/>
      </c>
      <c r="B237" s="27">
        <f>IF(F237="","",DATE(YEAR(F237),MONTH(F237),1))</f>
        <v/>
      </c>
      <c r="C237" s="28" t="n"/>
      <c r="D237" s="28" t="n"/>
      <c r="E237" s="59">
        <f>IF(C237="","",IFERROR(INDEX('6. Base de Custos'!$M$8:$M$42,MATCH(C237,'6. Base de Custos'!$L$8:$L$42,0)),"Não classificado"))</f>
        <v/>
      </c>
      <c r="F237" s="111" t="n"/>
      <c r="G237" s="111" t="n"/>
      <c r="H237" s="111" t="n"/>
      <c r="I237" s="45" t="n"/>
      <c r="J237" s="28" t="n"/>
      <c r="K237" s="28" t="n"/>
      <c r="L237" s="28" t="n"/>
      <c r="M237" s="59">
        <f>IF(C237="","",IFERROR(INDEX('6. Base de Custos'!$N$8:$N$42,MATCH(C237,'6. Base de Custos'!$L$8:$L$42,0)),"Não classificado"))</f>
        <v/>
      </c>
      <c r="N237" s="59">
        <f>IF(C237="","",IFERROR(INDEX('6. Base de Custos'!$O$8:$O$42,MATCH(C237,'6. Base de Custos'!$L$8:$L$42,0)),"Revisar"))</f>
        <v/>
      </c>
      <c r="O237" s="60">
        <f>IF(M237="","",IFERROR(VLOOKUP(M237,'6. Base de Custos'!$H$12:$J$18,3,FALSE),0))</f>
        <v/>
      </c>
      <c r="P237" s="59">
        <f>IF(C237="","",IFERROR(INDEX('6. Base de Custos'!$P$8:$P$42,MATCH(C237,'6. Base de Custos'!$L$8:$L$42,0)),"Revisar"))</f>
        <v/>
      </c>
      <c r="Q237" s="59">
        <f>IF(C237="","",IFERROR(INDEX('6. Base de Custos'!$Q$8:$Q$42,MATCH(C237,'6. Base de Custos'!$L$8:$L$42,0)),""))</f>
        <v/>
      </c>
      <c r="R237" s="65">
        <f>IF(C237="","",IFERROR(VLOOKUP(M237&amp;"|"&amp;N237,'17. Mapa DRE CP'!$E$5:$H$100,2,FALSE),"Revisar"))</f>
        <v/>
      </c>
      <c r="S237" s="65">
        <f>IF(C237="","",IFERROR(VLOOKUP(M237&amp;"|"&amp;N237,'17. Mapa DRE CP'!$E$5:$H$100,3,FALSE),"Revisar"))</f>
        <v/>
      </c>
      <c r="T237" s="65">
        <f>IF(C237="","",IF(R237="(-) Custos diretos dos serviços",IF(ISNUMBER(SEARCH("PCMSO",C237)),"PCMSO",IF(OR(ISNUMBER(SEARCH("SGS",C237)),ISNUMBER(SEARCH("CASTRO NAVES",C237))),"Projetos / Laudos / Avulsos","Projetos / Laudos / Avulsos")),"Rateio pela receita bruta"))</f>
        <v/>
      </c>
      <c r="U237" s="65">
        <f>IF(C237="","",IF(R237="(-) Custos diretos dos serviços","Direto por fornecedor/natureza do gasto","Rateio proporcional à receita bruta da linha de serviço"))</f>
        <v/>
      </c>
    </row>
    <row r="238">
      <c r="A238" s="28">
        <f>IF(C238="","", "CP-"&amp;TEXT(ROW()-5,"000"))</f>
        <v/>
      </c>
      <c r="B238" s="27">
        <f>IF(F238="","",DATE(YEAR(F238),MONTH(F238),1))</f>
        <v/>
      </c>
      <c r="C238" s="28" t="n"/>
      <c r="D238" s="28" t="n"/>
      <c r="E238" s="59">
        <f>IF(C238="","",IFERROR(INDEX('6. Base de Custos'!$M$8:$M$42,MATCH(C238,'6. Base de Custos'!$L$8:$L$42,0)),"Não classificado"))</f>
        <v/>
      </c>
      <c r="F238" s="111" t="n"/>
      <c r="G238" s="111" t="n"/>
      <c r="H238" s="111" t="n"/>
      <c r="I238" s="45" t="n"/>
      <c r="J238" s="28" t="n"/>
      <c r="K238" s="28" t="n"/>
      <c r="L238" s="28" t="n"/>
      <c r="M238" s="59">
        <f>IF(C238="","",IFERROR(INDEX('6. Base de Custos'!$N$8:$N$42,MATCH(C238,'6. Base de Custos'!$L$8:$L$42,0)),"Não classificado"))</f>
        <v/>
      </c>
      <c r="N238" s="59">
        <f>IF(C238="","",IFERROR(INDEX('6. Base de Custos'!$O$8:$O$42,MATCH(C238,'6. Base de Custos'!$L$8:$L$42,0)),"Revisar"))</f>
        <v/>
      </c>
      <c r="O238" s="60">
        <f>IF(M238="","",IFERROR(VLOOKUP(M238,'6. Base de Custos'!$H$12:$J$18,3,FALSE),0))</f>
        <v/>
      </c>
      <c r="P238" s="59">
        <f>IF(C238="","",IFERROR(INDEX('6. Base de Custos'!$P$8:$P$42,MATCH(C238,'6. Base de Custos'!$L$8:$L$42,0)),"Revisar"))</f>
        <v/>
      </c>
      <c r="Q238" s="59">
        <f>IF(C238="","",IFERROR(INDEX('6. Base de Custos'!$Q$8:$Q$42,MATCH(C238,'6. Base de Custos'!$L$8:$L$42,0)),""))</f>
        <v/>
      </c>
      <c r="R238" s="65">
        <f>IF(C238="","",IFERROR(VLOOKUP(M238&amp;"|"&amp;N238,'17. Mapa DRE CP'!$E$5:$H$100,2,FALSE),"Revisar"))</f>
        <v/>
      </c>
      <c r="S238" s="65">
        <f>IF(C238="","",IFERROR(VLOOKUP(M238&amp;"|"&amp;N238,'17. Mapa DRE CP'!$E$5:$H$100,3,FALSE),"Revisar"))</f>
        <v/>
      </c>
      <c r="T238" s="65">
        <f>IF(C238="","",IF(R238="(-) Custos diretos dos serviços",IF(ISNUMBER(SEARCH("PCMSO",C238)),"PCMSO",IF(OR(ISNUMBER(SEARCH("SGS",C238)),ISNUMBER(SEARCH("CASTRO NAVES",C238))),"Projetos / Laudos / Avulsos","Projetos / Laudos / Avulsos")),"Rateio pela receita bruta"))</f>
        <v/>
      </c>
      <c r="U238" s="65">
        <f>IF(C238="","",IF(R238="(-) Custos diretos dos serviços","Direto por fornecedor/natureza do gasto","Rateio proporcional à receita bruta da linha de serviço"))</f>
        <v/>
      </c>
    </row>
    <row r="239">
      <c r="A239" s="28">
        <f>IF(C239="","", "CP-"&amp;TEXT(ROW()-5,"000"))</f>
        <v/>
      </c>
      <c r="B239" s="27">
        <f>IF(F239="","",DATE(YEAR(F239),MONTH(F239),1))</f>
        <v/>
      </c>
      <c r="C239" s="28" t="n"/>
      <c r="D239" s="28" t="n"/>
      <c r="E239" s="59">
        <f>IF(C239="","",IFERROR(INDEX('6. Base de Custos'!$M$8:$M$42,MATCH(C239,'6. Base de Custos'!$L$8:$L$42,0)),"Não classificado"))</f>
        <v/>
      </c>
      <c r="F239" s="111" t="n"/>
      <c r="G239" s="111" t="n"/>
      <c r="H239" s="111" t="n"/>
      <c r="I239" s="45" t="n"/>
      <c r="J239" s="28" t="n"/>
      <c r="K239" s="28" t="n"/>
      <c r="L239" s="28" t="n"/>
      <c r="M239" s="59">
        <f>IF(C239="","",IFERROR(INDEX('6. Base de Custos'!$N$8:$N$42,MATCH(C239,'6. Base de Custos'!$L$8:$L$42,0)),"Não classificado"))</f>
        <v/>
      </c>
      <c r="N239" s="59">
        <f>IF(C239="","",IFERROR(INDEX('6. Base de Custos'!$O$8:$O$42,MATCH(C239,'6. Base de Custos'!$L$8:$L$42,0)),"Revisar"))</f>
        <v/>
      </c>
      <c r="O239" s="60">
        <f>IF(M239="","",IFERROR(VLOOKUP(M239,'6. Base de Custos'!$H$12:$J$18,3,FALSE),0))</f>
        <v/>
      </c>
      <c r="P239" s="59">
        <f>IF(C239="","",IFERROR(INDEX('6. Base de Custos'!$P$8:$P$42,MATCH(C239,'6. Base de Custos'!$L$8:$L$42,0)),"Revisar"))</f>
        <v/>
      </c>
      <c r="Q239" s="59">
        <f>IF(C239="","",IFERROR(INDEX('6. Base de Custos'!$Q$8:$Q$42,MATCH(C239,'6. Base de Custos'!$L$8:$L$42,0)),""))</f>
        <v/>
      </c>
      <c r="R239" s="65">
        <f>IF(C239="","",IFERROR(VLOOKUP(M239&amp;"|"&amp;N239,'17. Mapa DRE CP'!$E$5:$H$100,2,FALSE),"Revisar"))</f>
        <v/>
      </c>
      <c r="S239" s="65">
        <f>IF(C239="","",IFERROR(VLOOKUP(M239&amp;"|"&amp;N239,'17. Mapa DRE CP'!$E$5:$H$100,3,FALSE),"Revisar"))</f>
        <v/>
      </c>
      <c r="T239" s="65">
        <f>IF(C239="","",IF(R239="(-) Custos diretos dos serviços",IF(ISNUMBER(SEARCH("PCMSO",C239)),"PCMSO",IF(OR(ISNUMBER(SEARCH("SGS",C239)),ISNUMBER(SEARCH("CASTRO NAVES",C239))),"Projetos / Laudos / Avulsos","Projetos / Laudos / Avulsos")),"Rateio pela receita bruta"))</f>
        <v/>
      </c>
      <c r="U239" s="65">
        <f>IF(C239="","",IF(R239="(-) Custos diretos dos serviços","Direto por fornecedor/natureza do gasto","Rateio proporcional à receita bruta da linha de serviço"))</f>
        <v/>
      </c>
    </row>
    <row r="240">
      <c r="A240" s="28">
        <f>IF(C240="","", "CP-"&amp;TEXT(ROW()-5,"000"))</f>
        <v/>
      </c>
      <c r="B240" s="27">
        <f>IF(F240="","",DATE(YEAR(F240),MONTH(F240),1))</f>
        <v/>
      </c>
      <c r="C240" s="28" t="n"/>
      <c r="D240" s="28" t="n"/>
      <c r="E240" s="59">
        <f>IF(C240="","",IFERROR(INDEX('6. Base de Custos'!$M$8:$M$42,MATCH(C240,'6. Base de Custos'!$L$8:$L$42,0)),"Não classificado"))</f>
        <v/>
      </c>
      <c r="F240" s="111" t="n"/>
      <c r="G240" s="111" t="n"/>
      <c r="H240" s="111" t="n"/>
      <c r="I240" s="45" t="n"/>
      <c r="J240" s="28" t="n"/>
      <c r="K240" s="28" t="n"/>
      <c r="L240" s="28" t="n"/>
      <c r="M240" s="59">
        <f>IF(C240="","",IFERROR(INDEX('6. Base de Custos'!$N$8:$N$42,MATCH(C240,'6. Base de Custos'!$L$8:$L$42,0)),"Não classificado"))</f>
        <v/>
      </c>
      <c r="N240" s="59">
        <f>IF(C240="","",IFERROR(INDEX('6. Base de Custos'!$O$8:$O$42,MATCH(C240,'6. Base de Custos'!$L$8:$L$42,0)),"Revisar"))</f>
        <v/>
      </c>
      <c r="O240" s="60">
        <f>IF(M240="","",IFERROR(VLOOKUP(M240,'6. Base de Custos'!$H$12:$J$18,3,FALSE),0))</f>
        <v/>
      </c>
      <c r="P240" s="59">
        <f>IF(C240="","",IFERROR(INDEX('6. Base de Custos'!$P$8:$P$42,MATCH(C240,'6. Base de Custos'!$L$8:$L$42,0)),"Revisar"))</f>
        <v/>
      </c>
      <c r="Q240" s="59">
        <f>IF(C240="","",IFERROR(INDEX('6. Base de Custos'!$Q$8:$Q$42,MATCH(C240,'6. Base de Custos'!$L$8:$L$42,0)),""))</f>
        <v/>
      </c>
      <c r="R240" s="65">
        <f>IF(C240="","",IFERROR(VLOOKUP(M240&amp;"|"&amp;N240,'17. Mapa DRE CP'!$E$5:$H$100,2,FALSE),"Revisar"))</f>
        <v/>
      </c>
      <c r="S240" s="65">
        <f>IF(C240="","",IFERROR(VLOOKUP(M240&amp;"|"&amp;N240,'17. Mapa DRE CP'!$E$5:$H$100,3,FALSE),"Revisar"))</f>
        <v/>
      </c>
      <c r="T240" s="65">
        <f>IF(C240="","",IF(R240="(-) Custos diretos dos serviços",IF(ISNUMBER(SEARCH("PCMSO",C240)),"PCMSO",IF(OR(ISNUMBER(SEARCH("SGS",C240)),ISNUMBER(SEARCH("CASTRO NAVES",C240))),"Projetos / Laudos / Avulsos","Projetos / Laudos / Avulsos")),"Rateio pela receita bruta"))</f>
        <v/>
      </c>
      <c r="U240" s="65">
        <f>IF(C240="","",IF(R240="(-) Custos diretos dos serviços","Direto por fornecedor/natureza do gasto","Rateio proporcional à receita bruta da linha de serviço"))</f>
        <v/>
      </c>
    </row>
    <row r="241">
      <c r="A241" s="28">
        <f>IF(C241="","", "CP-"&amp;TEXT(ROW()-5,"000"))</f>
        <v/>
      </c>
      <c r="B241" s="27">
        <f>IF(F241="","",DATE(YEAR(F241),MONTH(F241),1))</f>
        <v/>
      </c>
      <c r="C241" s="28" t="n"/>
      <c r="D241" s="28" t="n"/>
      <c r="E241" s="59">
        <f>IF(C241="","",IFERROR(INDEX('6. Base de Custos'!$M$8:$M$42,MATCH(C241,'6. Base de Custos'!$L$8:$L$42,0)),"Não classificado"))</f>
        <v/>
      </c>
      <c r="F241" s="111" t="n"/>
      <c r="G241" s="111" t="n"/>
      <c r="H241" s="111" t="n"/>
      <c r="I241" s="45" t="n"/>
      <c r="J241" s="28" t="n"/>
      <c r="K241" s="28" t="n"/>
      <c r="L241" s="28" t="n"/>
      <c r="M241" s="59">
        <f>IF(C241="","",IFERROR(INDEX('6. Base de Custos'!$N$8:$N$42,MATCH(C241,'6. Base de Custos'!$L$8:$L$42,0)),"Não classificado"))</f>
        <v/>
      </c>
      <c r="N241" s="59">
        <f>IF(C241="","",IFERROR(INDEX('6. Base de Custos'!$O$8:$O$42,MATCH(C241,'6. Base de Custos'!$L$8:$L$42,0)),"Revisar"))</f>
        <v/>
      </c>
      <c r="O241" s="60">
        <f>IF(M241="","",IFERROR(VLOOKUP(M241,'6. Base de Custos'!$H$12:$J$18,3,FALSE),0))</f>
        <v/>
      </c>
      <c r="P241" s="59">
        <f>IF(C241="","",IFERROR(INDEX('6. Base de Custos'!$P$8:$P$42,MATCH(C241,'6. Base de Custos'!$L$8:$L$42,0)),"Revisar"))</f>
        <v/>
      </c>
      <c r="Q241" s="59">
        <f>IF(C241="","",IFERROR(INDEX('6. Base de Custos'!$Q$8:$Q$42,MATCH(C241,'6. Base de Custos'!$L$8:$L$42,0)),""))</f>
        <v/>
      </c>
      <c r="R241" s="65">
        <f>IF(C241="","",IFERROR(VLOOKUP(M241&amp;"|"&amp;N241,'17. Mapa DRE CP'!$E$5:$H$100,2,FALSE),"Revisar"))</f>
        <v/>
      </c>
      <c r="S241" s="65">
        <f>IF(C241="","",IFERROR(VLOOKUP(M241&amp;"|"&amp;N241,'17. Mapa DRE CP'!$E$5:$H$100,3,FALSE),"Revisar"))</f>
        <v/>
      </c>
      <c r="T241" s="65">
        <f>IF(C241="","",IF(R241="(-) Custos diretos dos serviços",IF(ISNUMBER(SEARCH("PCMSO",C241)),"PCMSO",IF(OR(ISNUMBER(SEARCH("SGS",C241)),ISNUMBER(SEARCH("CASTRO NAVES",C241))),"Projetos / Laudos / Avulsos","Projetos / Laudos / Avulsos")),"Rateio pela receita bruta"))</f>
        <v/>
      </c>
      <c r="U241" s="65">
        <f>IF(C241="","",IF(R241="(-) Custos diretos dos serviços","Direto por fornecedor/natureza do gasto","Rateio proporcional à receita bruta da linha de serviço"))</f>
        <v/>
      </c>
    </row>
    <row r="242">
      <c r="A242" s="28">
        <f>IF(C242="","", "CP-"&amp;TEXT(ROW()-5,"000"))</f>
        <v/>
      </c>
      <c r="B242" s="27">
        <f>IF(F242="","",DATE(YEAR(F242),MONTH(F242),1))</f>
        <v/>
      </c>
      <c r="C242" s="28" t="n"/>
      <c r="D242" s="28" t="n"/>
      <c r="E242" s="59">
        <f>IF(C242="","",IFERROR(INDEX('6. Base de Custos'!$M$8:$M$42,MATCH(C242,'6. Base de Custos'!$L$8:$L$42,0)),"Não classificado"))</f>
        <v/>
      </c>
      <c r="F242" s="111" t="n"/>
      <c r="G242" s="111" t="n"/>
      <c r="H242" s="111" t="n"/>
      <c r="I242" s="45" t="n"/>
      <c r="J242" s="28" t="n"/>
      <c r="K242" s="28" t="n"/>
      <c r="L242" s="28" t="n"/>
      <c r="M242" s="59">
        <f>IF(C242="","",IFERROR(INDEX('6. Base de Custos'!$N$8:$N$42,MATCH(C242,'6. Base de Custos'!$L$8:$L$42,0)),"Não classificado"))</f>
        <v/>
      </c>
      <c r="N242" s="59">
        <f>IF(C242="","",IFERROR(INDEX('6. Base de Custos'!$O$8:$O$42,MATCH(C242,'6. Base de Custos'!$L$8:$L$42,0)),"Revisar"))</f>
        <v/>
      </c>
      <c r="O242" s="60">
        <f>IF(M242="","",IFERROR(VLOOKUP(M242,'6. Base de Custos'!$H$12:$J$18,3,FALSE),0))</f>
        <v/>
      </c>
      <c r="P242" s="59">
        <f>IF(C242="","",IFERROR(INDEX('6. Base de Custos'!$P$8:$P$42,MATCH(C242,'6. Base de Custos'!$L$8:$L$42,0)),"Revisar"))</f>
        <v/>
      </c>
      <c r="Q242" s="59">
        <f>IF(C242="","",IFERROR(INDEX('6. Base de Custos'!$Q$8:$Q$42,MATCH(C242,'6. Base de Custos'!$L$8:$L$42,0)),""))</f>
        <v/>
      </c>
      <c r="R242" s="65">
        <f>IF(C242="","",IFERROR(VLOOKUP(M242&amp;"|"&amp;N242,'17. Mapa DRE CP'!$E$5:$H$100,2,FALSE),"Revisar"))</f>
        <v/>
      </c>
      <c r="S242" s="65">
        <f>IF(C242="","",IFERROR(VLOOKUP(M242&amp;"|"&amp;N242,'17. Mapa DRE CP'!$E$5:$H$100,3,FALSE),"Revisar"))</f>
        <v/>
      </c>
      <c r="T242" s="65">
        <f>IF(C242="","",IF(R242="(-) Custos diretos dos serviços",IF(ISNUMBER(SEARCH("PCMSO",C242)),"PCMSO",IF(OR(ISNUMBER(SEARCH("SGS",C242)),ISNUMBER(SEARCH("CASTRO NAVES",C242))),"Projetos / Laudos / Avulsos","Projetos / Laudos / Avulsos")),"Rateio pela receita bruta"))</f>
        <v/>
      </c>
      <c r="U242" s="65">
        <f>IF(C242="","",IF(R242="(-) Custos diretos dos serviços","Direto por fornecedor/natureza do gasto","Rateio proporcional à receita bruta da linha de serviço"))</f>
        <v/>
      </c>
    </row>
    <row r="243">
      <c r="A243" s="28">
        <f>IF(C243="","", "CP-"&amp;TEXT(ROW()-5,"000"))</f>
        <v/>
      </c>
      <c r="B243" s="27">
        <f>IF(F243="","",DATE(YEAR(F243),MONTH(F243),1))</f>
        <v/>
      </c>
      <c r="C243" s="28" t="n"/>
      <c r="D243" s="28" t="n"/>
      <c r="E243" s="59">
        <f>IF(C243="","",IFERROR(INDEX('6. Base de Custos'!$M$8:$M$42,MATCH(C243,'6. Base de Custos'!$L$8:$L$42,0)),"Não classificado"))</f>
        <v/>
      </c>
      <c r="F243" s="111" t="n"/>
      <c r="G243" s="111" t="n"/>
      <c r="H243" s="111" t="n"/>
      <c r="I243" s="45" t="n"/>
      <c r="J243" s="28" t="n"/>
      <c r="K243" s="28" t="n"/>
      <c r="L243" s="28" t="n"/>
      <c r="M243" s="59">
        <f>IF(C243="","",IFERROR(INDEX('6. Base de Custos'!$N$8:$N$42,MATCH(C243,'6. Base de Custos'!$L$8:$L$42,0)),"Não classificado"))</f>
        <v/>
      </c>
      <c r="N243" s="59">
        <f>IF(C243="","",IFERROR(INDEX('6. Base de Custos'!$O$8:$O$42,MATCH(C243,'6. Base de Custos'!$L$8:$L$42,0)),"Revisar"))</f>
        <v/>
      </c>
      <c r="O243" s="60">
        <f>IF(M243="","",IFERROR(VLOOKUP(M243,'6. Base de Custos'!$H$12:$J$18,3,FALSE),0))</f>
        <v/>
      </c>
      <c r="P243" s="59">
        <f>IF(C243="","",IFERROR(INDEX('6. Base de Custos'!$P$8:$P$42,MATCH(C243,'6. Base de Custos'!$L$8:$L$42,0)),"Revisar"))</f>
        <v/>
      </c>
      <c r="Q243" s="59">
        <f>IF(C243="","",IFERROR(INDEX('6. Base de Custos'!$Q$8:$Q$42,MATCH(C243,'6. Base de Custos'!$L$8:$L$42,0)),""))</f>
        <v/>
      </c>
      <c r="R243" s="65">
        <f>IF(C243="","",IFERROR(VLOOKUP(M243&amp;"|"&amp;N243,'17. Mapa DRE CP'!$E$5:$H$100,2,FALSE),"Revisar"))</f>
        <v/>
      </c>
      <c r="S243" s="65">
        <f>IF(C243="","",IFERROR(VLOOKUP(M243&amp;"|"&amp;N243,'17. Mapa DRE CP'!$E$5:$H$100,3,FALSE),"Revisar"))</f>
        <v/>
      </c>
      <c r="T243" s="65">
        <f>IF(C243="","",IF(R243="(-) Custos diretos dos serviços",IF(ISNUMBER(SEARCH("PCMSO",C243)),"PCMSO",IF(OR(ISNUMBER(SEARCH("SGS",C243)),ISNUMBER(SEARCH("CASTRO NAVES",C243))),"Projetos / Laudos / Avulsos","Projetos / Laudos / Avulsos")),"Rateio pela receita bruta"))</f>
        <v/>
      </c>
      <c r="U243" s="65">
        <f>IF(C243="","",IF(R243="(-) Custos diretos dos serviços","Direto por fornecedor/natureza do gasto","Rateio proporcional à receita bruta da linha de serviço"))</f>
        <v/>
      </c>
    </row>
    <row r="244">
      <c r="A244" s="28">
        <f>IF(C244="","", "CP-"&amp;TEXT(ROW()-5,"000"))</f>
        <v/>
      </c>
      <c r="B244" s="27">
        <f>IF(F244="","",DATE(YEAR(F244),MONTH(F244),1))</f>
        <v/>
      </c>
      <c r="C244" s="28" t="n"/>
      <c r="D244" s="28" t="n"/>
      <c r="E244" s="59">
        <f>IF(C244="","",IFERROR(INDEX('6. Base de Custos'!$M$8:$M$42,MATCH(C244,'6. Base de Custos'!$L$8:$L$42,0)),"Não classificado"))</f>
        <v/>
      </c>
      <c r="F244" s="111" t="n"/>
      <c r="G244" s="111" t="n"/>
      <c r="H244" s="111" t="n"/>
      <c r="I244" s="45" t="n"/>
      <c r="J244" s="28" t="n"/>
      <c r="K244" s="28" t="n"/>
      <c r="L244" s="28" t="n"/>
      <c r="M244" s="59">
        <f>IF(C244="","",IFERROR(INDEX('6. Base de Custos'!$N$8:$N$42,MATCH(C244,'6. Base de Custos'!$L$8:$L$42,0)),"Não classificado"))</f>
        <v/>
      </c>
      <c r="N244" s="59">
        <f>IF(C244="","",IFERROR(INDEX('6. Base de Custos'!$O$8:$O$42,MATCH(C244,'6. Base de Custos'!$L$8:$L$42,0)),"Revisar"))</f>
        <v/>
      </c>
      <c r="O244" s="60">
        <f>IF(M244="","",IFERROR(VLOOKUP(M244,'6. Base de Custos'!$H$12:$J$18,3,FALSE),0))</f>
        <v/>
      </c>
      <c r="P244" s="59">
        <f>IF(C244="","",IFERROR(INDEX('6. Base de Custos'!$P$8:$P$42,MATCH(C244,'6. Base de Custos'!$L$8:$L$42,0)),"Revisar"))</f>
        <v/>
      </c>
      <c r="Q244" s="59">
        <f>IF(C244="","",IFERROR(INDEX('6. Base de Custos'!$Q$8:$Q$42,MATCH(C244,'6. Base de Custos'!$L$8:$L$42,0)),""))</f>
        <v/>
      </c>
      <c r="R244" s="65">
        <f>IF(C244="","",IFERROR(VLOOKUP(M244&amp;"|"&amp;N244,'17. Mapa DRE CP'!$E$5:$H$100,2,FALSE),"Revisar"))</f>
        <v/>
      </c>
      <c r="S244" s="65">
        <f>IF(C244="","",IFERROR(VLOOKUP(M244&amp;"|"&amp;N244,'17. Mapa DRE CP'!$E$5:$H$100,3,FALSE),"Revisar"))</f>
        <v/>
      </c>
      <c r="T244" s="65">
        <f>IF(C244="","",IF(R244="(-) Custos diretos dos serviços",IF(ISNUMBER(SEARCH("PCMSO",C244)),"PCMSO",IF(OR(ISNUMBER(SEARCH("SGS",C244)),ISNUMBER(SEARCH("CASTRO NAVES",C244))),"Projetos / Laudos / Avulsos","Projetos / Laudos / Avulsos")),"Rateio pela receita bruta"))</f>
        <v/>
      </c>
      <c r="U244" s="65">
        <f>IF(C244="","",IF(R244="(-) Custos diretos dos serviços","Direto por fornecedor/natureza do gasto","Rateio proporcional à receita bruta da linha de serviço"))</f>
        <v/>
      </c>
    </row>
    <row r="245">
      <c r="A245" s="28">
        <f>IF(C245="","", "CP-"&amp;TEXT(ROW()-5,"000"))</f>
        <v/>
      </c>
      <c r="B245" s="27">
        <f>IF(F245="","",DATE(YEAR(F245),MONTH(F245),1))</f>
        <v/>
      </c>
      <c r="C245" s="28" t="n"/>
      <c r="D245" s="28" t="n"/>
      <c r="E245" s="59">
        <f>IF(C245="","",IFERROR(INDEX('6. Base de Custos'!$M$8:$M$42,MATCH(C245,'6. Base de Custos'!$L$8:$L$42,0)),"Não classificado"))</f>
        <v/>
      </c>
      <c r="F245" s="111" t="n"/>
      <c r="G245" s="111" t="n"/>
      <c r="H245" s="111" t="n"/>
      <c r="I245" s="45" t="n"/>
      <c r="J245" s="28" t="n"/>
      <c r="K245" s="28" t="n"/>
      <c r="L245" s="28" t="n"/>
      <c r="M245" s="59">
        <f>IF(C245="","",IFERROR(INDEX('6. Base de Custos'!$N$8:$N$42,MATCH(C245,'6. Base de Custos'!$L$8:$L$42,0)),"Não classificado"))</f>
        <v/>
      </c>
      <c r="N245" s="59">
        <f>IF(C245="","",IFERROR(INDEX('6. Base de Custos'!$O$8:$O$42,MATCH(C245,'6. Base de Custos'!$L$8:$L$42,0)),"Revisar"))</f>
        <v/>
      </c>
      <c r="O245" s="60">
        <f>IF(M245="","",IFERROR(VLOOKUP(M245,'6. Base de Custos'!$H$12:$J$18,3,FALSE),0))</f>
        <v/>
      </c>
      <c r="P245" s="59">
        <f>IF(C245="","",IFERROR(INDEX('6. Base de Custos'!$P$8:$P$42,MATCH(C245,'6. Base de Custos'!$L$8:$L$42,0)),"Revisar"))</f>
        <v/>
      </c>
      <c r="Q245" s="59">
        <f>IF(C245="","",IFERROR(INDEX('6. Base de Custos'!$Q$8:$Q$42,MATCH(C245,'6. Base de Custos'!$L$8:$L$42,0)),""))</f>
        <v/>
      </c>
      <c r="R245" s="65">
        <f>IF(C245="","",IFERROR(VLOOKUP(M245&amp;"|"&amp;N245,'17. Mapa DRE CP'!$E$5:$H$100,2,FALSE),"Revisar"))</f>
        <v/>
      </c>
      <c r="S245" s="65">
        <f>IF(C245="","",IFERROR(VLOOKUP(M245&amp;"|"&amp;N245,'17. Mapa DRE CP'!$E$5:$H$100,3,FALSE),"Revisar"))</f>
        <v/>
      </c>
      <c r="T245" s="65">
        <f>IF(C245="","",IF(R245="(-) Custos diretos dos serviços",IF(ISNUMBER(SEARCH("PCMSO",C245)),"PCMSO",IF(OR(ISNUMBER(SEARCH("SGS",C245)),ISNUMBER(SEARCH("CASTRO NAVES",C245))),"Projetos / Laudos / Avulsos","Projetos / Laudos / Avulsos")),"Rateio pela receita bruta"))</f>
        <v/>
      </c>
      <c r="U245" s="65">
        <f>IF(C245="","",IF(R245="(-) Custos diretos dos serviços","Direto por fornecedor/natureza do gasto","Rateio proporcional à receita bruta da linha de serviço"))</f>
        <v/>
      </c>
    </row>
    <row r="246">
      <c r="A246" s="28">
        <f>IF(C246="","", "CP-"&amp;TEXT(ROW()-5,"000"))</f>
        <v/>
      </c>
      <c r="B246" s="27">
        <f>IF(F246="","",DATE(YEAR(F246),MONTH(F246),1))</f>
        <v/>
      </c>
      <c r="C246" s="28" t="n"/>
      <c r="D246" s="28" t="n"/>
      <c r="E246" s="59">
        <f>IF(C246="","",IFERROR(INDEX('6. Base de Custos'!$M$8:$M$42,MATCH(C246,'6. Base de Custos'!$L$8:$L$42,0)),"Não classificado"))</f>
        <v/>
      </c>
      <c r="F246" s="111" t="n"/>
      <c r="G246" s="111" t="n"/>
      <c r="H246" s="111" t="n"/>
      <c r="I246" s="45" t="n"/>
      <c r="J246" s="28" t="n"/>
      <c r="K246" s="28" t="n"/>
      <c r="L246" s="28" t="n"/>
      <c r="M246" s="59">
        <f>IF(C246="","",IFERROR(INDEX('6. Base de Custos'!$N$8:$N$42,MATCH(C246,'6. Base de Custos'!$L$8:$L$42,0)),"Não classificado"))</f>
        <v/>
      </c>
      <c r="N246" s="59">
        <f>IF(C246="","",IFERROR(INDEX('6. Base de Custos'!$O$8:$O$42,MATCH(C246,'6. Base de Custos'!$L$8:$L$42,0)),"Revisar"))</f>
        <v/>
      </c>
      <c r="O246" s="60">
        <f>IF(M246="","",IFERROR(VLOOKUP(M246,'6. Base de Custos'!$H$12:$J$18,3,FALSE),0))</f>
        <v/>
      </c>
      <c r="P246" s="59">
        <f>IF(C246="","",IFERROR(INDEX('6. Base de Custos'!$P$8:$P$42,MATCH(C246,'6. Base de Custos'!$L$8:$L$42,0)),"Revisar"))</f>
        <v/>
      </c>
      <c r="Q246" s="59">
        <f>IF(C246="","",IFERROR(INDEX('6. Base de Custos'!$Q$8:$Q$42,MATCH(C246,'6. Base de Custos'!$L$8:$L$42,0)),""))</f>
        <v/>
      </c>
      <c r="R246" s="65">
        <f>IF(C246="","",IFERROR(VLOOKUP(M246&amp;"|"&amp;N246,'17. Mapa DRE CP'!$E$5:$H$100,2,FALSE),"Revisar"))</f>
        <v/>
      </c>
      <c r="S246" s="65">
        <f>IF(C246="","",IFERROR(VLOOKUP(M246&amp;"|"&amp;N246,'17. Mapa DRE CP'!$E$5:$H$100,3,FALSE),"Revisar"))</f>
        <v/>
      </c>
      <c r="T246" s="65">
        <f>IF(C246="","",IF(R246="(-) Custos diretos dos serviços",IF(ISNUMBER(SEARCH("PCMSO",C246)),"PCMSO",IF(OR(ISNUMBER(SEARCH("SGS",C246)),ISNUMBER(SEARCH("CASTRO NAVES",C246))),"Projetos / Laudos / Avulsos","Projetos / Laudos / Avulsos")),"Rateio pela receita bruta"))</f>
        <v/>
      </c>
      <c r="U246" s="65">
        <f>IF(C246="","",IF(R246="(-) Custos diretos dos serviços","Direto por fornecedor/natureza do gasto","Rateio proporcional à receita bruta da linha de serviço"))</f>
        <v/>
      </c>
    </row>
    <row r="247">
      <c r="A247" s="28">
        <f>IF(C247="","", "CP-"&amp;TEXT(ROW()-5,"000"))</f>
        <v/>
      </c>
      <c r="B247" s="27">
        <f>IF(F247="","",DATE(YEAR(F247),MONTH(F247),1))</f>
        <v/>
      </c>
      <c r="C247" s="28" t="n"/>
      <c r="D247" s="28" t="n"/>
      <c r="E247" s="59">
        <f>IF(C247="","",IFERROR(INDEX('6. Base de Custos'!$M$8:$M$42,MATCH(C247,'6. Base de Custos'!$L$8:$L$42,0)),"Não classificado"))</f>
        <v/>
      </c>
      <c r="F247" s="111" t="n"/>
      <c r="G247" s="111" t="n"/>
      <c r="H247" s="111" t="n"/>
      <c r="I247" s="45" t="n"/>
      <c r="J247" s="28" t="n"/>
      <c r="K247" s="28" t="n"/>
      <c r="L247" s="28" t="n"/>
      <c r="M247" s="59">
        <f>IF(C247="","",IFERROR(INDEX('6. Base de Custos'!$N$8:$N$42,MATCH(C247,'6. Base de Custos'!$L$8:$L$42,0)),"Não classificado"))</f>
        <v/>
      </c>
      <c r="N247" s="59">
        <f>IF(C247="","",IFERROR(INDEX('6. Base de Custos'!$O$8:$O$42,MATCH(C247,'6. Base de Custos'!$L$8:$L$42,0)),"Revisar"))</f>
        <v/>
      </c>
      <c r="O247" s="60">
        <f>IF(M247="","",IFERROR(VLOOKUP(M247,'6. Base de Custos'!$H$12:$J$18,3,FALSE),0))</f>
        <v/>
      </c>
      <c r="P247" s="59">
        <f>IF(C247="","",IFERROR(INDEX('6. Base de Custos'!$P$8:$P$42,MATCH(C247,'6. Base de Custos'!$L$8:$L$42,0)),"Revisar"))</f>
        <v/>
      </c>
      <c r="Q247" s="59">
        <f>IF(C247="","",IFERROR(INDEX('6. Base de Custos'!$Q$8:$Q$42,MATCH(C247,'6. Base de Custos'!$L$8:$L$42,0)),""))</f>
        <v/>
      </c>
      <c r="R247" s="65">
        <f>IF(C247="","",IFERROR(VLOOKUP(M247&amp;"|"&amp;N247,'17. Mapa DRE CP'!$E$5:$H$100,2,FALSE),"Revisar"))</f>
        <v/>
      </c>
      <c r="S247" s="65">
        <f>IF(C247="","",IFERROR(VLOOKUP(M247&amp;"|"&amp;N247,'17. Mapa DRE CP'!$E$5:$H$100,3,FALSE),"Revisar"))</f>
        <v/>
      </c>
      <c r="T247" s="65">
        <f>IF(C247="","",IF(R247="(-) Custos diretos dos serviços",IF(ISNUMBER(SEARCH("PCMSO",C247)),"PCMSO",IF(OR(ISNUMBER(SEARCH("SGS",C247)),ISNUMBER(SEARCH("CASTRO NAVES",C247))),"Projetos / Laudos / Avulsos","Projetos / Laudos / Avulsos")),"Rateio pela receita bruta"))</f>
        <v/>
      </c>
      <c r="U247" s="65">
        <f>IF(C247="","",IF(R247="(-) Custos diretos dos serviços","Direto por fornecedor/natureza do gasto","Rateio proporcional à receita bruta da linha de serviço"))</f>
        <v/>
      </c>
    </row>
    <row r="248">
      <c r="A248" s="28">
        <f>IF(C248="","", "CP-"&amp;TEXT(ROW()-5,"000"))</f>
        <v/>
      </c>
      <c r="B248" s="27">
        <f>IF(F248="","",DATE(YEAR(F248),MONTH(F248),1))</f>
        <v/>
      </c>
      <c r="C248" s="28" t="n"/>
      <c r="D248" s="28" t="n"/>
      <c r="E248" s="59">
        <f>IF(C248="","",IFERROR(INDEX('6. Base de Custos'!$M$8:$M$42,MATCH(C248,'6. Base de Custos'!$L$8:$L$42,0)),"Não classificado"))</f>
        <v/>
      </c>
      <c r="F248" s="111" t="n"/>
      <c r="G248" s="111" t="n"/>
      <c r="H248" s="111" t="n"/>
      <c r="I248" s="45" t="n"/>
      <c r="J248" s="28" t="n"/>
      <c r="K248" s="28" t="n"/>
      <c r="L248" s="28" t="n"/>
      <c r="M248" s="59">
        <f>IF(C248="","",IFERROR(INDEX('6. Base de Custos'!$N$8:$N$42,MATCH(C248,'6. Base de Custos'!$L$8:$L$42,0)),"Não classificado"))</f>
        <v/>
      </c>
      <c r="N248" s="59">
        <f>IF(C248="","",IFERROR(INDEX('6. Base de Custos'!$O$8:$O$42,MATCH(C248,'6. Base de Custos'!$L$8:$L$42,0)),"Revisar"))</f>
        <v/>
      </c>
      <c r="O248" s="60">
        <f>IF(M248="","",IFERROR(VLOOKUP(M248,'6. Base de Custos'!$H$12:$J$18,3,FALSE),0))</f>
        <v/>
      </c>
      <c r="P248" s="59">
        <f>IF(C248="","",IFERROR(INDEX('6. Base de Custos'!$P$8:$P$42,MATCH(C248,'6. Base de Custos'!$L$8:$L$42,0)),"Revisar"))</f>
        <v/>
      </c>
      <c r="Q248" s="59">
        <f>IF(C248="","",IFERROR(INDEX('6. Base de Custos'!$Q$8:$Q$42,MATCH(C248,'6. Base de Custos'!$L$8:$L$42,0)),""))</f>
        <v/>
      </c>
      <c r="R248" s="65">
        <f>IF(C248="","",IFERROR(VLOOKUP(M248&amp;"|"&amp;N248,'17. Mapa DRE CP'!$E$5:$H$100,2,FALSE),"Revisar"))</f>
        <v/>
      </c>
      <c r="S248" s="65">
        <f>IF(C248="","",IFERROR(VLOOKUP(M248&amp;"|"&amp;N248,'17. Mapa DRE CP'!$E$5:$H$100,3,FALSE),"Revisar"))</f>
        <v/>
      </c>
      <c r="T248" s="65">
        <f>IF(C248="","",IF(R248="(-) Custos diretos dos serviços",IF(ISNUMBER(SEARCH("PCMSO",C248)),"PCMSO",IF(OR(ISNUMBER(SEARCH("SGS",C248)),ISNUMBER(SEARCH("CASTRO NAVES",C248))),"Projetos / Laudos / Avulsos","Projetos / Laudos / Avulsos")),"Rateio pela receita bruta"))</f>
        <v/>
      </c>
      <c r="U248" s="65">
        <f>IF(C248="","",IF(R248="(-) Custos diretos dos serviços","Direto por fornecedor/natureza do gasto","Rateio proporcional à receita bruta da linha de serviço"))</f>
        <v/>
      </c>
    </row>
    <row r="249">
      <c r="A249" s="28">
        <f>IF(C249="","", "CP-"&amp;TEXT(ROW()-5,"000"))</f>
        <v/>
      </c>
      <c r="B249" s="27">
        <f>IF(F249="","",DATE(YEAR(F249),MONTH(F249),1))</f>
        <v/>
      </c>
      <c r="C249" s="28" t="n"/>
      <c r="D249" s="28" t="n"/>
      <c r="E249" s="59">
        <f>IF(C249="","",IFERROR(INDEX('6. Base de Custos'!$M$8:$M$42,MATCH(C249,'6. Base de Custos'!$L$8:$L$42,0)),"Não classificado"))</f>
        <v/>
      </c>
      <c r="F249" s="111" t="n"/>
      <c r="G249" s="111" t="n"/>
      <c r="H249" s="111" t="n"/>
      <c r="I249" s="45" t="n"/>
      <c r="J249" s="28" t="n"/>
      <c r="K249" s="28" t="n"/>
      <c r="L249" s="28" t="n"/>
      <c r="M249" s="59">
        <f>IF(C249="","",IFERROR(INDEX('6. Base de Custos'!$N$8:$N$42,MATCH(C249,'6. Base de Custos'!$L$8:$L$42,0)),"Não classificado"))</f>
        <v/>
      </c>
      <c r="N249" s="59">
        <f>IF(C249="","",IFERROR(INDEX('6. Base de Custos'!$O$8:$O$42,MATCH(C249,'6. Base de Custos'!$L$8:$L$42,0)),"Revisar"))</f>
        <v/>
      </c>
      <c r="O249" s="60">
        <f>IF(M249="","",IFERROR(VLOOKUP(M249,'6. Base de Custos'!$H$12:$J$18,3,FALSE),0))</f>
        <v/>
      </c>
      <c r="P249" s="59">
        <f>IF(C249="","",IFERROR(INDEX('6. Base de Custos'!$P$8:$P$42,MATCH(C249,'6. Base de Custos'!$L$8:$L$42,0)),"Revisar"))</f>
        <v/>
      </c>
      <c r="Q249" s="59">
        <f>IF(C249="","",IFERROR(INDEX('6. Base de Custos'!$Q$8:$Q$42,MATCH(C249,'6. Base de Custos'!$L$8:$L$42,0)),""))</f>
        <v/>
      </c>
      <c r="R249" s="65">
        <f>IF(C249="","",IFERROR(VLOOKUP(M249&amp;"|"&amp;N249,'17. Mapa DRE CP'!$E$5:$H$100,2,FALSE),"Revisar"))</f>
        <v/>
      </c>
      <c r="S249" s="65">
        <f>IF(C249="","",IFERROR(VLOOKUP(M249&amp;"|"&amp;N249,'17. Mapa DRE CP'!$E$5:$H$100,3,FALSE),"Revisar"))</f>
        <v/>
      </c>
      <c r="T249" s="65">
        <f>IF(C249="","",IF(R249="(-) Custos diretos dos serviços",IF(ISNUMBER(SEARCH("PCMSO",C249)),"PCMSO",IF(OR(ISNUMBER(SEARCH("SGS",C249)),ISNUMBER(SEARCH("CASTRO NAVES",C249))),"Projetos / Laudos / Avulsos","Projetos / Laudos / Avulsos")),"Rateio pela receita bruta"))</f>
        <v/>
      </c>
      <c r="U249" s="65">
        <f>IF(C249="","",IF(R249="(-) Custos diretos dos serviços","Direto por fornecedor/natureza do gasto","Rateio proporcional à receita bruta da linha de serviço"))</f>
        <v/>
      </c>
    </row>
    <row r="250">
      <c r="A250" s="28">
        <f>IF(C250="","", "CP-"&amp;TEXT(ROW()-5,"000"))</f>
        <v/>
      </c>
      <c r="B250" s="27">
        <f>IF(F250="","",DATE(YEAR(F250),MONTH(F250),1))</f>
        <v/>
      </c>
      <c r="C250" s="28" t="n"/>
      <c r="D250" s="28" t="n"/>
      <c r="E250" s="59">
        <f>IF(C250="","",IFERROR(INDEX('6. Base de Custos'!$M$8:$M$42,MATCH(C250,'6. Base de Custos'!$L$8:$L$42,0)),"Não classificado"))</f>
        <v/>
      </c>
      <c r="F250" s="111" t="n"/>
      <c r="G250" s="111" t="n"/>
      <c r="H250" s="111" t="n"/>
      <c r="I250" s="45" t="n"/>
      <c r="J250" s="28" t="n"/>
      <c r="K250" s="28" t="n"/>
      <c r="L250" s="28" t="n"/>
      <c r="M250" s="59">
        <f>IF(C250="","",IFERROR(INDEX('6. Base de Custos'!$N$8:$N$42,MATCH(C250,'6. Base de Custos'!$L$8:$L$42,0)),"Não classificado"))</f>
        <v/>
      </c>
      <c r="N250" s="59">
        <f>IF(C250="","",IFERROR(INDEX('6. Base de Custos'!$O$8:$O$42,MATCH(C250,'6. Base de Custos'!$L$8:$L$42,0)),"Revisar"))</f>
        <v/>
      </c>
      <c r="O250" s="60">
        <f>IF(M250="","",IFERROR(VLOOKUP(M250,'6. Base de Custos'!$H$12:$J$18,3,FALSE),0))</f>
        <v/>
      </c>
      <c r="P250" s="59">
        <f>IF(C250="","",IFERROR(INDEX('6. Base de Custos'!$P$8:$P$42,MATCH(C250,'6. Base de Custos'!$L$8:$L$42,0)),"Revisar"))</f>
        <v/>
      </c>
      <c r="Q250" s="59">
        <f>IF(C250="","",IFERROR(INDEX('6. Base de Custos'!$Q$8:$Q$42,MATCH(C250,'6. Base de Custos'!$L$8:$L$42,0)),""))</f>
        <v/>
      </c>
      <c r="R250" s="65">
        <f>IF(C250="","",IFERROR(VLOOKUP(M250&amp;"|"&amp;N250,'17. Mapa DRE CP'!$E$5:$H$100,2,FALSE),"Revisar"))</f>
        <v/>
      </c>
      <c r="S250" s="65">
        <f>IF(C250="","",IFERROR(VLOOKUP(M250&amp;"|"&amp;N250,'17. Mapa DRE CP'!$E$5:$H$100,3,FALSE),"Revisar"))</f>
        <v/>
      </c>
      <c r="T250" s="65">
        <f>IF(C250="","",IF(R250="(-) Custos diretos dos serviços",IF(ISNUMBER(SEARCH("PCMSO",C250)),"PCMSO",IF(OR(ISNUMBER(SEARCH("SGS",C250)),ISNUMBER(SEARCH("CASTRO NAVES",C250))),"Projetos / Laudos / Avulsos","Projetos / Laudos / Avulsos")),"Rateio pela receita bruta"))</f>
        <v/>
      </c>
      <c r="U250" s="65">
        <f>IF(C250="","",IF(R250="(-) Custos diretos dos serviços","Direto por fornecedor/natureza do gasto","Rateio proporcional à receita bruta da linha de serviço"))</f>
        <v/>
      </c>
    </row>
    <row r="251">
      <c r="A251" s="28">
        <f>IF(C251="","", "CP-"&amp;TEXT(ROW()-5,"000"))</f>
        <v/>
      </c>
      <c r="B251" s="27">
        <f>IF(F251="","",DATE(YEAR(F251),MONTH(F251),1))</f>
        <v/>
      </c>
      <c r="C251" s="28" t="n"/>
      <c r="D251" s="28" t="n"/>
      <c r="E251" s="59">
        <f>IF(C251="","",IFERROR(INDEX('6. Base de Custos'!$M$8:$M$42,MATCH(C251,'6. Base de Custos'!$L$8:$L$42,0)),"Não classificado"))</f>
        <v/>
      </c>
      <c r="F251" s="111" t="n"/>
      <c r="G251" s="111" t="n"/>
      <c r="H251" s="111" t="n"/>
      <c r="I251" s="45" t="n"/>
      <c r="J251" s="28" t="n"/>
      <c r="K251" s="28" t="n"/>
      <c r="L251" s="28" t="n"/>
      <c r="M251" s="59">
        <f>IF(C251="","",IFERROR(INDEX('6. Base de Custos'!$N$8:$N$42,MATCH(C251,'6. Base de Custos'!$L$8:$L$42,0)),"Não classificado"))</f>
        <v/>
      </c>
      <c r="N251" s="59">
        <f>IF(C251="","",IFERROR(INDEX('6. Base de Custos'!$O$8:$O$42,MATCH(C251,'6. Base de Custos'!$L$8:$L$42,0)),"Revisar"))</f>
        <v/>
      </c>
      <c r="O251" s="60">
        <f>IF(M251="","",IFERROR(VLOOKUP(M251,'6. Base de Custos'!$H$12:$J$18,3,FALSE),0))</f>
        <v/>
      </c>
      <c r="P251" s="59">
        <f>IF(C251="","",IFERROR(INDEX('6. Base de Custos'!$P$8:$P$42,MATCH(C251,'6. Base de Custos'!$L$8:$L$42,0)),"Revisar"))</f>
        <v/>
      </c>
      <c r="Q251" s="59">
        <f>IF(C251="","",IFERROR(INDEX('6. Base de Custos'!$Q$8:$Q$42,MATCH(C251,'6. Base de Custos'!$L$8:$L$42,0)),""))</f>
        <v/>
      </c>
      <c r="R251" s="65">
        <f>IF(C251="","",IFERROR(VLOOKUP(M251&amp;"|"&amp;N251,'17. Mapa DRE CP'!$E$5:$H$100,2,FALSE),"Revisar"))</f>
        <v/>
      </c>
      <c r="S251" s="65">
        <f>IF(C251="","",IFERROR(VLOOKUP(M251&amp;"|"&amp;N251,'17. Mapa DRE CP'!$E$5:$H$100,3,FALSE),"Revisar"))</f>
        <v/>
      </c>
      <c r="T251" s="65">
        <f>IF(C251="","",IF(R251="(-) Custos diretos dos serviços",IF(ISNUMBER(SEARCH("PCMSO",C251)),"PCMSO",IF(OR(ISNUMBER(SEARCH("SGS",C251)),ISNUMBER(SEARCH("CASTRO NAVES",C251))),"Projetos / Laudos / Avulsos","Projetos / Laudos / Avulsos")),"Rateio pela receita bruta"))</f>
        <v/>
      </c>
      <c r="U251" s="65">
        <f>IF(C251="","",IF(R251="(-) Custos diretos dos serviços","Direto por fornecedor/natureza do gasto","Rateio proporcional à receita bruta da linha de serviço"))</f>
        <v/>
      </c>
    </row>
    <row r="252">
      <c r="A252" s="28">
        <f>IF(C252="","", "CP-"&amp;TEXT(ROW()-5,"000"))</f>
        <v/>
      </c>
      <c r="B252" s="27">
        <f>IF(F252="","",DATE(YEAR(F252),MONTH(F252),1))</f>
        <v/>
      </c>
      <c r="C252" s="28" t="n"/>
      <c r="D252" s="28" t="n"/>
      <c r="E252" s="59">
        <f>IF(C252="","",IFERROR(INDEX('6. Base de Custos'!$M$8:$M$42,MATCH(C252,'6. Base de Custos'!$L$8:$L$42,0)),"Não classificado"))</f>
        <v/>
      </c>
      <c r="F252" s="111" t="n"/>
      <c r="G252" s="111" t="n"/>
      <c r="H252" s="111" t="n"/>
      <c r="I252" s="45" t="n"/>
      <c r="J252" s="28" t="n"/>
      <c r="K252" s="28" t="n"/>
      <c r="L252" s="28" t="n"/>
      <c r="M252" s="59">
        <f>IF(C252="","",IFERROR(INDEX('6. Base de Custos'!$N$8:$N$42,MATCH(C252,'6. Base de Custos'!$L$8:$L$42,0)),"Não classificado"))</f>
        <v/>
      </c>
      <c r="N252" s="59">
        <f>IF(C252="","",IFERROR(INDEX('6. Base de Custos'!$O$8:$O$42,MATCH(C252,'6. Base de Custos'!$L$8:$L$42,0)),"Revisar"))</f>
        <v/>
      </c>
      <c r="O252" s="60">
        <f>IF(M252="","",IFERROR(VLOOKUP(M252,'6. Base de Custos'!$H$12:$J$18,3,FALSE),0))</f>
        <v/>
      </c>
      <c r="P252" s="59">
        <f>IF(C252="","",IFERROR(INDEX('6. Base de Custos'!$P$8:$P$42,MATCH(C252,'6. Base de Custos'!$L$8:$L$42,0)),"Revisar"))</f>
        <v/>
      </c>
      <c r="Q252" s="59">
        <f>IF(C252="","",IFERROR(INDEX('6. Base de Custos'!$Q$8:$Q$42,MATCH(C252,'6. Base de Custos'!$L$8:$L$42,0)),""))</f>
        <v/>
      </c>
      <c r="R252" s="65">
        <f>IF(C252="","",IFERROR(VLOOKUP(M252&amp;"|"&amp;N252,'17. Mapa DRE CP'!$E$5:$H$100,2,FALSE),"Revisar"))</f>
        <v/>
      </c>
      <c r="S252" s="65">
        <f>IF(C252="","",IFERROR(VLOOKUP(M252&amp;"|"&amp;N252,'17. Mapa DRE CP'!$E$5:$H$100,3,FALSE),"Revisar"))</f>
        <v/>
      </c>
      <c r="T252" s="65">
        <f>IF(C252="","",IF(R252="(-) Custos diretos dos serviços",IF(ISNUMBER(SEARCH("PCMSO",C252)),"PCMSO",IF(OR(ISNUMBER(SEARCH("SGS",C252)),ISNUMBER(SEARCH("CASTRO NAVES",C252))),"Projetos / Laudos / Avulsos","Projetos / Laudos / Avulsos")),"Rateio pela receita bruta"))</f>
        <v/>
      </c>
      <c r="U252" s="65">
        <f>IF(C252="","",IF(R252="(-) Custos diretos dos serviços","Direto por fornecedor/natureza do gasto","Rateio proporcional à receita bruta da linha de serviço"))</f>
        <v/>
      </c>
    </row>
    <row r="253">
      <c r="A253" s="28">
        <f>IF(C253="","", "CP-"&amp;TEXT(ROW()-5,"000"))</f>
        <v/>
      </c>
      <c r="B253" s="27">
        <f>IF(F253="","",DATE(YEAR(F253),MONTH(F253),1))</f>
        <v/>
      </c>
      <c r="C253" s="28" t="n"/>
      <c r="D253" s="28" t="n"/>
      <c r="E253" s="59">
        <f>IF(C253="","",IFERROR(INDEX('6. Base de Custos'!$M$8:$M$42,MATCH(C253,'6. Base de Custos'!$L$8:$L$42,0)),"Não classificado"))</f>
        <v/>
      </c>
      <c r="F253" s="111" t="n"/>
      <c r="G253" s="111" t="n"/>
      <c r="H253" s="111" t="n"/>
      <c r="I253" s="45" t="n"/>
      <c r="J253" s="28" t="n"/>
      <c r="K253" s="28" t="n"/>
      <c r="L253" s="28" t="n"/>
      <c r="M253" s="59">
        <f>IF(C253="","",IFERROR(INDEX('6. Base de Custos'!$N$8:$N$42,MATCH(C253,'6. Base de Custos'!$L$8:$L$42,0)),"Não classificado"))</f>
        <v/>
      </c>
      <c r="N253" s="59">
        <f>IF(C253="","",IFERROR(INDEX('6. Base de Custos'!$O$8:$O$42,MATCH(C253,'6. Base de Custos'!$L$8:$L$42,0)),"Revisar"))</f>
        <v/>
      </c>
      <c r="O253" s="60">
        <f>IF(M253="","",IFERROR(VLOOKUP(M253,'6. Base de Custos'!$H$12:$J$18,3,FALSE),0))</f>
        <v/>
      </c>
      <c r="P253" s="59">
        <f>IF(C253="","",IFERROR(INDEX('6. Base de Custos'!$P$8:$P$42,MATCH(C253,'6. Base de Custos'!$L$8:$L$42,0)),"Revisar"))</f>
        <v/>
      </c>
      <c r="Q253" s="59">
        <f>IF(C253="","",IFERROR(INDEX('6. Base de Custos'!$Q$8:$Q$42,MATCH(C253,'6. Base de Custos'!$L$8:$L$42,0)),""))</f>
        <v/>
      </c>
      <c r="R253" s="65">
        <f>IF(C253="","",IFERROR(VLOOKUP(M253&amp;"|"&amp;N253,'17. Mapa DRE CP'!$E$5:$H$100,2,FALSE),"Revisar"))</f>
        <v/>
      </c>
      <c r="S253" s="65">
        <f>IF(C253="","",IFERROR(VLOOKUP(M253&amp;"|"&amp;N253,'17. Mapa DRE CP'!$E$5:$H$100,3,FALSE),"Revisar"))</f>
        <v/>
      </c>
      <c r="T253" s="65">
        <f>IF(C253="","",IF(R253="(-) Custos diretos dos serviços",IF(ISNUMBER(SEARCH("PCMSO",C253)),"PCMSO",IF(OR(ISNUMBER(SEARCH("SGS",C253)),ISNUMBER(SEARCH("CASTRO NAVES",C253))),"Projetos / Laudos / Avulsos","Projetos / Laudos / Avulsos")),"Rateio pela receita bruta"))</f>
        <v/>
      </c>
      <c r="U253" s="65">
        <f>IF(C253="","",IF(R253="(-) Custos diretos dos serviços","Direto por fornecedor/natureza do gasto","Rateio proporcional à receita bruta da linha de serviço"))</f>
        <v/>
      </c>
    </row>
    <row r="254">
      <c r="A254" s="28">
        <f>IF(C254="","", "CP-"&amp;TEXT(ROW()-5,"000"))</f>
        <v/>
      </c>
      <c r="B254" s="27">
        <f>IF(F254="","",DATE(YEAR(F254),MONTH(F254),1))</f>
        <v/>
      </c>
      <c r="C254" s="28" t="n"/>
      <c r="D254" s="28" t="n"/>
      <c r="E254" s="59">
        <f>IF(C254="","",IFERROR(INDEX('6. Base de Custos'!$M$8:$M$42,MATCH(C254,'6. Base de Custos'!$L$8:$L$42,0)),"Não classificado"))</f>
        <v/>
      </c>
      <c r="F254" s="111" t="n"/>
      <c r="G254" s="111" t="n"/>
      <c r="H254" s="111" t="n"/>
      <c r="I254" s="45" t="n"/>
      <c r="J254" s="28" t="n"/>
      <c r="K254" s="28" t="n"/>
      <c r="L254" s="28" t="n"/>
      <c r="M254" s="59">
        <f>IF(C254="","",IFERROR(INDEX('6. Base de Custos'!$N$8:$N$42,MATCH(C254,'6. Base de Custos'!$L$8:$L$42,0)),"Não classificado"))</f>
        <v/>
      </c>
      <c r="N254" s="59">
        <f>IF(C254="","",IFERROR(INDEX('6. Base de Custos'!$O$8:$O$42,MATCH(C254,'6. Base de Custos'!$L$8:$L$42,0)),"Revisar"))</f>
        <v/>
      </c>
      <c r="O254" s="60">
        <f>IF(M254="","",IFERROR(VLOOKUP(M254,'6. Base de Custos'!$H$12:$J$18,3,FALSE),0))</f>
        <v/>
      </c>
      <c r="P254" s="59">
        <f>IF(C254="","",IFERROR(INDEX('6. Base de Custos'!$P$8:$P$42,MATCH(C254,'6. Base de Custos'!$L$8:$L$42,0)),"Revisar"))</f>
        <v/>
      </c>
      <c r="Q254" s="59">
        <f>IF(C254="","",IFERROR(INDEX('6. Base de Custos'!$Q$8:$Q$42,MATCH(C254,'6. Base de Custos'!$L$8:$L$42,0)),""))</f>
        <v/>
      </c>
      <c r="R254" s="65">
        <f>IF(C254="","",IFERROR(VLOOKUP(M254&amp;"|"&amp;N254,'17. Mapa DRE CP'!$E$5:$H$100,2,FALSE),"Revisar"))</f>
        <v/>
      </c>
      <c r="S254" s="65">
        <f>IF(C254="","",IFERROR(VLOOKUP(M254&amp;"|"&amp;N254,'17. Mapa DRE CP'!$E$5:$H$100,3,FALSE),"Revisar"))</f>
        <v/>
      </c>
      <c r="T254" s="65">
        <f>IF(C254="","",IF(R254="(-) Custos diretos dos serviços",IF(ISNUMBER(SEARCH("PCMSO",C254)),"PCMSO",IF(OR(ISNUMBER(SEARCH("SGS",C254)),ISNUMBER(SEARCH("CASTRO NAVES",C254))),"Projetos / Laudos / Avulsos","Projetos / Laudos / Avulsos")),"Rateio pela receita bruta"))</f>
        <v/>
      </c>
      <c r="U254" s="65">
        <f>IF(C254="","",IF(R254="(-) Custos diretos dos serviços","Direto por fornecedor/natureza do gasto","Rateio proporcional à receita bruta da linha de serviço"))</f>
        <v/>
      </c>
    </row>
    <row r="255">
      <c r="A255" s="28">
        <f>IF(C255="","", "CP-"&amp;TEXT(ROW()-5,"000"))</f>
        <v/>
      </c>
      <c r="B255" s="27">
        <f>IF(F255="","",DATE(YEAR(F255),MONTH(F255),1))</f>
        <v/>
      </c>
      <c r="C255" s="28" t="n"/>
      <c r="D255" s="28" t="n"/>
      <c r="E255" s="59">
        <f>IF(C255="","",IFERROR(INDEX('6. Base de Custos'!$M$8:$M$42,MATCH(C255,'6. Base de Custos'!$L$8:$L$42,0)),"Não classificado"))</f>
        <v/>
      </c>
      <c r="F255" s="111" t="n"/>
      <c r="G255" s="111" t="n"/>
      <c r="H255" s="111" t="n"/>
      <c r="I255" s="45" t="n"/>
      <c r="J255" s="28" t="n"/>
      <c r="K255" s="28" t="n"/>
      <c r="L255" s="28" t="n"/>
      <c r="M255" s="59">
        <f>IF(C255="","",IFERROR(INDEX('6. Base de Custos'!$N$8:$N$42,MATCH(C255,'6. Base de Custos'!$L$8:$L$42,0)),"Não classificado"))</f>
        <v/>
      </c>
      <c r="N255" s="59">
        <f>IF(C255="","",IFERROR(INDEX('6. Base de Custos'!$O$8:$O$42,MATCH(C255,'6. Base de Custos'!$L$8:$L$42,0)),"Revisar"))</f>
        <v/>
      </c>
      <c r="O255" s="60">
        <f>IF(M255="","",IFERROR(VLOOKUP(M255,'6. Base de Custos'!$H$12:$J$18,3,FALSE),0))</f>
        <v/>
      </c>
      <c r="P255" s="59">
        <f>IF(C255="","",IFERROR(INDEX('6. Base de Custos'!$P$8:$P$42,MATCH(C255,'6. Base de Custos'!$L$8:$L$42,0)),"Revisar"))</f>
        <v/>
      </c>
      <c r="Q255" s="59">
        <f>IF(C255="","",IFERROR(INDEX('6. Base de Custos'!$Q$8:$Q$42,MATCH(C255,'6. Base de Custos'!$L$8:$L$42,0)),""))</f>
        <v/>
      </c>
      <c r="R255" s="65">
        <f>IF(C255="","",IFERROR(VLOOKUP(M255&amp;"|"&amp;N255,'17. Mapa DRE CP'!$E$5:$H$100,2,FALSE),"Revisar"))</f>
        <v/>
      </c>
      <c r="S255" s="65">
        <f>IF(C255="","",IFERROR(VLOOKUP(M255&amp;"|"&amp;N255,'17. Mapa DRE CP'!$E$5:$H$100,3,FALSE),"Revisar"))</f>
        <v/>
      </c>
      <c r="T255" s="65">
        <f>IF(C255="","",IF(R255="(-) Custos diretos dos serviços",IF(ISNUMBER(SEARCH("PCMSO",C255)),"PCMSO",IF(OR(ISNUMBER(SEARCH("SGS",C255)),ISNUMBER(SEARCH("CASTRO NAVES",C255))),"Projetos / Laudos / Avulsos","Projetos / Laudos / Avulsos")),"Rateio pela receita bruta"))</f>
        <v/>
      </c>
      <c r="U255" s="65">
        <f>IF(C255="","",IF(R255="(-) Custos diretos dos serviços","Direto por fornecedor/natureza do gasto","Rateio proporcional à receita bruta da linha de serviço"))</f>
        <v/>
      </c>
    </row>
    <row r="256">
      <c r="A256" s="28">
        <f>IF(C256="","", "CP-"&amp;TEXT(ROW()-5,"000"))</f>
        <v/>
      </c>
      <c r="B256" s="27">
        <f>IF(F256="","",DATE(YEAR(F256),MONTH(F256),1))</f>
        <v/>
      </c>
      <c r="C256" s="28" t="n"/>
      <c r="D256" s="28" t="n"/>
      <c r="E256" s="59">
        <f>IF(C256="","",IFERROR(INDEX('6. Base de Custos'!$M$8:$M$42,MATCH(C256,'6. Base de Custos'!$L$8:$L$42,0)),"Não classificado"))</f>
        <v/>
      </c>
      <c r="F256" s="111" t="n"/>
      <c r="G256" s="111" t="n"/>
      <c r="H256" s="111" t="n"/>
      <c r="I256" s="45" t="n"/>
      <c r="J256" s="28" t="n"/>
      <c r="K256" s="28" t="n"/>
      <c r="L256" s="28" t="n"/>
      <c r="M256" s="59">
        <f>IF(C256="","",IFERROR(INDEX('6. Base de Custos'!$N$8:$N$42,MATCH(C256,'6. Base de Custos'!$L$8:$L$42,0)),"Não classificado"))</f>
        <v/>
      </c>
      <c r="N256" s="59">
        <f>IF(C256="","",IFERROR(INDEX('6. Base de Custos'!$O$8:$O$42,MATCH(C256,'6. Base de Custos'!$L$8:$L$42,0)),"Revisar"))</f>
        <v/>
      </c>
      <c r="O256" s="60">
        <f>IF(M256="","",IFERROR(VLOOKUP(M256,'6. Base de Custos'!$H$12:$J$18,3,FALSE),0))</f>
        <v/>
      </c>
      <c r="P256" s="59">
        <f>IF(C256="","",IFERROR(INDEX('6. Base de Custos'!$P$8:$P$42,MATCH(C256,'6. Base de Custos'!$L$8:$L$42,0)),"Revisar"))</f>
        <v/>
      </c>
      <c r="Q256" s="59">
        <f>IF(C256="","",IFERROR(INDEX('6. Base de Custos'!$Q$8:$Q$42,MATCH(C256,'6. Base de Custos'!$L$8:$L$42,0)),""))</f>
        <v/>
      </c>
      <c r="R256" s="65">
        <f>IF(C256="","",IFERROR(VLOOKUP(M256&amp;"|"&amp;N256,'17. Mapa DRE CP'!$E$5:$H$100,2,FALSE),"Revisar"))</f>
        <v/>
      </c>
      <c r="S256" s="65">
        <f>IF(C256="","",IFERROR(VLOOKUP(M256&amp;"|"&amp;N256,'17. Mapa DRE CP'!$E$5:$H$100,3,FALSE),"Revisar"))</f>
        <v/>
      </c>
      <c r="T256" s="65">
        <f>IF(C256="","",IF(R256="(-) Custos diretos dos serviços",IF(ISNUMBER(SEARCH("PCMSO",C256)),"PCMSO",IF(OR(ISNUMBER(SEARCH("SGS",C256)),ISNUMBER(SEARCH("CASTRO NAVES",C256))),"Projetos / Laudos / Avulsos","Projetos / Laudos / Avulsos")),"Rateio pela receita bruta"))</f>
        <v/>
      </c>
      <c r="U256" s="65">
        <f>IF(C256="","",IF(R256="(-) Custos diretos dos serviços","Direto por fornecedor/natureza do gasto","Rateio proporcional à receita bruta da linha de serviço"))</f>
        <v/>
      </c>
    </row>
    <row r="257">
      <c r="A257" s="28">
        <f>IF(C257="","", "CP-"&amp;TEXT(ROW()-5,"000"))</f>
        <v/>
      </c>
      <c r="B257" s="27">
        <f>IF(F257="","",DATE(YEAR(F257),MONTH(F257),1))</f>
        <v/>
      </c>
      <c r="C257" s="28" t="n"/>
      <c r="D257" s="28" t="n"/>
      <c r="E257" s="59">
        <f>IF(C257="","",IFERROR(INDEX('6. Base de Custos'!$M$8:$M$42,MATCH(C257,'6. Base de Custos'!$L$8:$L$42,0)),"Não classificado"))</f>
        <v/>
      </c>
      <c r="F257" s="111" t="n"/>
      <c r="G257" s="111" t="n"/>
      <c r="H257" s="111" t="n"/>
      <c r="I257" s="45" t="n"/>
      <c r="J257" s="28" t="n"/>
      <c r="K257" s="28" t="n"/>
      <c r="L257" s="28" t="n"/>
      <c r="M257" s="59">
        <f>IF(C257="","",IFERROR(INDEX('6. Base de Custos'!$N$8:$N$42,MATCH(C257,'6. Base de Custos'!$L$8:$L$42,0)),"Não classificado"))</f>
        <v/>
      </c>
      <c r="N257" s="59">
        <f>IF(C257="","",IFERROR(INDEX('6. Base de Custos'!$O$8:$O$42,MATCH(C257,'6. Base de Custos'!$L$8:$L$42,0)),"Revisar"))</f>
        <v/>
      </c>
      <c r="O257" s="60">
        <f>IF(M257="","",IFERROR(VLOOKUP(M257,'6. Base de Custos'!$H$12:$J$18,3,FALSE),0))</f>
        <v/>
      </c>
      <c r="P257" s="59">
        <f>IF(C257="","",IFERROR(INDEX('6. Base de Custos'!$P$8:$P$42,MATCH(C257,'6. Base de Custos'!$L$8:$L$42,0)),"Revisar"))</f>
        <v/>
      </c>
      <c r="Q257" s="59">
        <f>IF(C257="","",IFERROR(INDEX('6. Base de Custos'!$Q$8:$Q$42,MATCH(C257,'6. Base de Custos'!$L$8:$L$42,0)),""))</f>
        <v/>
      </c>
      <c r="R257" s="65">
        <f>IF(C257="","",IFERROR(VLOOKUP(M257&amp;"|"&amp;N257,'17. Mapa DRE CP'!$E$5:$H$100,2,FALSE),"Revisar"))</f>
        <v/>
      </c>
      <c r="S257" s="65">
        <f>IF(C257="","",IFERROR(VLOOKUP(M257&amp;"|"&amp;N257,'17. Mapa DRE CP'!$E$5:$H$100,3,FALSE),"Revisar"))</f>
        <v/>
      </c>
      <c r="T257" s="65">
        <f>IF(C257="","",IF(R257="(-) Custos diretos dos serviços",IF(ISNUMBER(SEARCH("PCMSO",C257)),"PCMSO",IF(OR(ISNUMBER(SEARCH("SGS",C257)),ISNUMBER(SEARCH("CASTRO NAVES",C257))),"Projetos / Laudos / Avulsos","Projetos / Laudos / Avulsos")),"Rateio pela receita bruta"))</f>
        <v/>
      </c>
      <c r="U257" s="65">
        <f>IF(C257="","",IF(R257="(-) Custos diretos dos serviços","Direto por fornecedor/natureza do gasto","Rateio proporcional à receita bruta da linha de serviço"))</f>
        <v/>
      </c>
    </row>
    <row r="258">
      <c r="A258" s="28">
        <f>IF(C258="","", "CP-"&amp;TEXT(ROW()-5,"000"))</f>
        <v/>
      </c>
      <c r="B258" s="27">
        <f>IF(F258="","",DATE(YEAR(F258),MONTH(F258),1))</f>
        <v/>
      </c>
      <c r="C258" s="28" t="n"/>
      <c r="D258" s="28" t="n"/>
      <c r="E258" s="59">
        <f>IF(C258="","",IFERROR(INDEX('6. Base de Custos'!$M$8:$M$42,MATCH(C258,'6. Base de Custos'!$L$8:$L$42,0)),"Não classificado"))</f>
        <v/>
      </c>
      <c r="F258" s="111" t="n"/>
      <c r="G258" s="111" t="n"/>
      <c r="H258" s="111" t="n"/>
      <c r="I258" s="45" t="n"/>
      <c r="J258" s="28" t="n"/>
      <c r="K258" s="28" t="n"/>
      <c r="L258" s="28" t="n"/>
      <c r="M258" s="59">
        <f>IF(C258="","",IFERROR(INDEX('6. Base de Custos'!$N$8:$N$42,MATCH(C258,'6. Base de Custos'!$L$8:$L$42,0)),"Não classificado"))</f>
        <v/>
      </c>
      <c r="N258" s="59">
        <f>IF(C258="","",IFERROR(INDEX('6. Base de Custos'!$O$8:$O$42,MATCH(C258,'6. Base de Custos'!$L$8:$L$42,0)),"Revisar"))</f>
        <v/>
      </c>
      <c r="O258" s="60">
        <f>IF(M258="","",IFERROR(VLOOKUP(M258,'6. Base de Custos'!$H$12:$J$18,3,FALSE),0))</f>
        <v/>
      </c>
      <c r="P258" s="59">
        <f>IF(C258="","",IFERROR(INDEX('6. Base de Custos'!$P$8:$P$42,MATCH(C258,'6. Base de Custos'!$L$8:$L$42,0)),"Revisar"))</f>
        <v/>
      </c>
      <c r="Q258" s="59">
        <f>IF(C258="","",IFERROR(INDEX('6. Base de Custos'!$Q$8:$Q$42,MATCH(C258,'6. Base de Custos'!$L$8:$L$42,0)),""))</f>
        <v/>
      </c>
      <c r="R258" s="65">
        <f>IF(C258="","",IFERROR(VLOOKUP(M258&amp;"|"&amp;N258,'17. Mapa DRE CP'!$E$5:$H$100,2,FALSE),"Revisar"))</f>
        <v/>
      </c>
      <c r="S258" s="65">
        <f>IF(C258="","",IFERROR(VLOOKUP(M258&amp;"|"&amp;N258,'17. Mapa DRE CP'!$E$5:$H$100,3,FALSE),"Revisar"))</f>
        <v/>
      </c>
      <c r="T258" s="65">
        <f>IF(C258="","",IF(R258="(-) Custos diretos dos serviços",IF(ISNUMBER(SEARCH("PCMSO",C258)),"PCMSO",IF(OR(ISNUMBER(SEARCH("SGS",C258)),ISNUMBER(SEARCH("CASTRO NAVES",C258))),"Projetos / Laudos / Avulsos","Projetos / Laudos / Avulsos")),"Rateio pela receita bruta"))</f>
        <v/>
      </c>
      <c r="U258" s="65">
        <f>IF(C258="","",IF(R258="(-) Custos diretos dos serviços","Direto por fornecedor/natureza do gasto","Rateio proporcional à receita bruta da linha de serviço"))</f>
        <v/>
      </c>
    </row>
    <row r="259">
      <c r="A259" s="28">
        <f>IF(C259="","", "CP-"&amp;TEXT(ROW()-5,"000"))</f>
        <v/>
      </c>
      <c r="B259" s="27">
        <f>IF(F259="","",DATE(YEAR(F259),MONTH(F259),1))</f>
        <v/>
      </c>
      <c r="C259" s="28" t="n"/>
      <c r="D259" s="28" t="n"/>
      <c r="E259" s="59">
        <f>IF(C259="","",IFERROR(INDEX('6. Base de Custos'!$M$8:$M$42,MATCH(C259,'6. Base de Custos'!$L$8:$L$42,0)),"Não classificado"))</f>
        <v/>
      </c>
      <c r="F259" s="111" t="n"/>
      <c r="G259" s="111" t="n"/>
      <c r="H259" s="111" t="n"/>
      <c r="I259" s="45" t="n"/>
      <c r="J259" s="28" t="n"/>
      <c r="K259" s="28" t="n"/>
      <c r="L259" s="28" t="n"/>
      <c r="M259" s="59">
        <f>IF(C259="","",IFERROR(INDEX('6. Base de Custos'!$N$8:$N$42,MATCH(C259,'6. Base de Custos'!$L$8:$L$42,0)),"Não classificado"))</f>
        <v/>
      </c>
      <c r="N259" s="59">
        <f>IF(C259="","",IFERROR(INDEX('6. Base de Custos'!$O$8:$O$42,MATCH(C259,'6. Base de Custos'!$L$8:$L$42,0)),"Revisar"))</f>
        <v/>
      </c>
      <c r="O259" s="60">
        <f>IF(M259="","",IFERROR(VLOOKUP(M259,'6. Base de Custos'!$H$12:$J$18,3,FALSE),0))</f>
        <v/>
      </c>
      <c r="P259" s="59">
        <f>IF(C259="","",IFERROR(INDEX('6. Base de Custos'!$P$8:$P$42,MATCH(C259,'6. Base de Custos'!$L$8:$L$42,0)),"Revisar"))</f>
        <v/>
      </c>
      <c r="Q259" s="59">
        <f>IF(C259="","",IFERROR(INDEX('6. Base de Custos'!$Q$8:$Q$42,MATCH(C259,'6. Base de Custos'!$L$8:$L$42,0)),""))</f>
        <v/>
      </c>
      <c r="R259" s="65">
        <f>IF(C259="","",IFERROR(VLOOKUP(M259&amp;"|"&amp;N259,'17. Mapa DRE CP'!$E$5:$H$100,2,FALSE),"Revisar"))</f>
        <v/>
      </c>
      <c r="S259" s="65">
        <f>IF(C259="","",IFERROR(VLOOKUP(M259&amp;"|"&amp;N259,'17. Mapa DRE CP'!$E$5:$H$100,3,FALSE),"Revisar"))</f>
        <v/>
      </c>
      <c r="T259" s="65">
        <f>IF(C259="","",IF(R259="(-) Custos diretos dos serviços",IF(ISNUMBER(SEARCH("PCMSO",C259)),"PCMSO",IF(OR(ISNUMBER(SEARCH("SGS",C259)),ISNUMBER(SEARCH("CASTRO NAVES",C259))),"Projetos / Laudos / Avulsos","Projetos / Laudos / Avulsos")),"Rateio pela receita bruta"))</f>
        <v/>
      </c>
      <c r="U259" s="65">
        <f>IF(C259="","",IF(R259="(-) Custos diretos dos serviços","Direto por fornecedor/natureza do gasto","Rateio proporcional à receita bruta da linha de serviço"))</f>
        <v/>
      </c>
    </row>
    <row r="260">
      <c r="A260" s="28">
        <f>IF(C260="","", "CP-"&amp;TEXT(ROW()-5,"000"))</f>
        <v/>
      </c>
      <c r="B260" s="27">
        <f>IF(F260="","",DATE(YEAR(F260),MONTH(F260),1))</f>
        <v/>
      </c>
      <c r="C260" s="28" t="n"/>
      <c r="D260" s="28" t="n"/>
      <c r="E260" s="59">
        <f>IF(C260="","",IFERROR(INDEX('6. Base de Custos'!$M$8:$M$42,MATCH(C260,'6. Base de Custos'!$L$8:$L$42,0)),"Não classificado"))</f>
        <v/>
      </c>
      <c r="F260" s="111" t="n"/>
      <c r="G260" s="111" t="n"/>
      <c r="H260" s="111" t="n"/>
      <c r="I260" s="45" t="n"/>
      <c r="J260" s="28" t="n"/>
      <c r="K260" s="28" t="n"/>
      <c r="L260" s="28" t="n"/>
      <c r="M260" s="59">
        <f>IF(C260="","",IFERROR(INDEX('6. Base de Custos'!$N$8:$N$42,MATCH(C260,'6. Base de Custos'!$L$8:$L$42,0)),"Não classificado"))</f>
        <v/>
      </c>
      <c r="N260" s="59">
        <f>IF(C260="","",IFERROR(INDEX('6. Base de Custos'!$O$8:$O$42,MATCH(C260,'6. Base de Custos'!$L$8:$L$42,0)),"Revisar"))</f>
        <v/>
      </c>
      <c r="O260" s="60">
        <f>IF(M260="","",IFERROR(VLOOKUP(M260,'6. Base de Custos'!$H$12:$J$18,3,FALSE),0))</f>
        <v/>
      </c>
      <c r="P260" s="59">
        <f>IF(C260="","",IFERROR(INDEX('6. Base de Custos'!$P$8:$P$42,MATCH(C260,'6. Base de Custos'!$L$8:$L$42,0)),"Revisar"))</f>
        <v/>
      </c>
      <c r="Q260" s="59">
        <f>IF(C260="","",IFERROR(INDEX('6. Base de Custos'!$Q$8:$Q$42,MATCH(C260,'6. Base de Custos'!$L$8:$L$42,0)),""))</f>
        <v/>
      </c>
      <c r="R260" s="65">
        <f>IF(C260="","",IFERROR(VLOOKUP(M260&amp;"|"&amp;N260,'17. Mapa DRE CP'!$E$5:$H$100,2,FALSE),"Revisar"))</f>
        <v/>
      </c>
      <c r="S260" s="65">
        <f>IF(C260="","",IFERROR(VLOOKUP(M260&amp;"|"&amp;N260,'17. Mapa DRE CP'!$E$5:$H$100,3,FALSE),"Revisar"))</f>
        <v/>
      </c>
      <c r="T260" s="65">
        <f>IF(C260="","",IF(R260="(-) Custos diretos dos serviços",IF(ISNUMBER(SEARCH("PCMSO",C260)),"PCMSO",IF(OR(ISNUMBER(SEARCH("SGS",C260)),ISNUMBER(SEARCH("CASTRO NAVES",C260))),"Projetos / Laudos / Avulsos","Projetos / Laudos / Avulsos")),"Rateio pela receita bruta"))</f>
        <v/>
      </c>
      <c r="U260" s="65">
        <f>IF(C260="","",IF(R260="(-) Custos diretos dos serviços","Direto por fornecedor/natureza do gasto","Rateio proporcional à receita bruta da linha de serviço"))</f>
        <v/>
      </c>
    </row>
    <row r="261">
      <c r="A261" s="28">
        <f>IF(C261="","", "CP-"&amp;TEXT(ROW()-5,"000"))</f>
        <v/>
      </c>
      <c r="B261" s="27">
        <f>IF(F261="","",DATE(YEAR(F261),MONTH(F261),1))</f>
        <v/>
      </c>
      <c r="C261" s="28" t="n"/>
      <c r="D261" s="28" t="n"/>
      <c r="E261" s="59">
        <f>IF(C261="","",IFERROR(INDEX('6. Base de Custos'!$M$8:$M$42,MATCH(C261,'6. Base de Custos'!$L$8:$L$42,0)),"Não classificado"))</f>
        <v/>
      </c>
      <c r="F261" s="111" t="n"/>
      <c r="G261" s="111" t="n"/>
      <c r="H261" s="111" t="n"/>
      <c r="I261" s="45" t="n"/>
      <c r="J261" s="28" t="n"/>
      <c r="K261" s="28" t="n"/>
      <c r="L261" s="28" t="n"/>
      <c r="M261" s="59">
        <f>IF(C261="","",IFERROR(INDEX('6. Base de Custos'!$N$8:$N$42,MATCH(C261,'6. Base de Custos'!$L$8:$L$42,0)),"Não classificado"))</f>
        <v/>
      </c>
      <c r="N261" s="59">
        <f>IF(C261="","",IFERROR(INDEX('6. Base de Custos'!$O$8:$O$42,MATCH(C261,'6. Base de Custos'!$L$8:$L$42,0)),"Revisar"))</f>
        <v/>
      </c>
      <c r="O261" s="60">
        <f>IF(M261="","",IFERROR(VLOOKUP(M261,'6. Base de Custos'!$H$12:$J$18,3,FALSE),0))</f>
        <v/>
      </c>
      <c r="P261" s="59">
        <f>IF(C261="","",IFERROR(INDEX('6. Base de Custos'!$P$8:$P$42,MATCH(C261,'6. Base de Custos'!$L$8:$L$42,0)),"Revisar"))</f>
        <v/>
      </c>
      <c r="Q261" s="59">
        <f>IF(C261="","",IFERROR(INDEX('6. Base de Custos'!$Q$8:$Q$42,MATCH(C261,'6. Base de Custos'!$L$8:$L$42,0)),""))</f>
        <v/>
      </c>
      <c r="R261" s="65">
        <f>IF(C261="","",IFERROR(VLOOKUP(M261&amp;"|"&amp;N261,'17. Mapa DRE CP'!$E$5:$H$100,2,FALSE),"Revisar"))</f>
        <v/>
      </c>
      <c r="S261" s="65">
        <f>IF(C261="","",IFERROR(VLOOKUP(M261&amp;"|"&amp;N261,'17. Mapa DRE CP'!$E$5:$H$100,3,FALSE),"Revisar"))</f>
        <v/>
      </c>
      <c r="T261" s="65">
        <f>IF(C261="","",IF(R261="(-) Custos diretos dos serviços",IF(ISNUMBER(SEARCH("PCMSO",C261)),"PCMSO",IF(OR(ISNUMBER(SEARCH("SGS",C261)),ISNUMBER(SEARCH("CASTRO NAVES",C261))),"Projetos / Laudos / Avulsos","Projetos / Laudos / Avulsos")),"Rateio pela receita bruta"))</f>
        <v/>
      </c>
      <c r="U261" s="65">
        <f>IF(C261="","",IF(R261="(-) Custos diretos dos serviços","Direto por fornecedor/natureza do gasto","Rateio proporcional à receita bruta da linha de serviço"))</f>
        <v/>
      </c>
    </row>
    <row r="262">
      <c r="A262" s="28">
        <f>IF(C262="","", "CP-"&amp;TEXT(ROW()-5,"000"))</f>
        <v/>
      </c>
      <c r="B262" s="27">
        <f>IF(F262="","",DATE(YEAR(F262),MONTH(F262),1))</f>
        <v/>
      </c>
      <c r="C262" s="28" t="n"/>
      <c r="D262" s="28" t="n"/>
      <c r="E262" s="59">
        <f>IF(C262="","",IFERROR(INDEX('6. Base de Custos'!$M$8:$M$42,MATCH(C262,'6. Base de Custos'!$L$8:$L$42,0)),"Não classificado"))</f>
        <v/>
      </c>
      <c r="F262" s="111" t="n"/>
      <c r="G262" s="111" t="n"/>
      <c r="H262" s="111" t="n"/>
      <c r="I262" s="45" t="n"/>
      <c r="J262" s="28" t="n"/>
      <c r="K262" s="28" t="n"/>
      <c r="L262" s="28" t="n"/>
      <c r="M262" s="59">
        <f>IF(C262="","",IFERROR(INDEX('6. Base de Custos'!$N$8:$N$42,MATCH(C262,'6. Base de Custos'!$L$8:$L$42,0)),"Não classificado"))</f>
        <v/>
      </c>
      <c r="N262" s="59">
        <f>IF(C262="","",IFERROR(INDEX('6. Base de Custos'!$O$8:$O$42,MATCH(C262,'6. Base de Custos'!$L$8:$L$42,0)),"Revisar"))</f>
        <v/>
      </c>
      <c r="O262" s="60">
        <f>IF(M262="","",IFERROR(VLOOKUP(M262,'6. Base de Custos'!$H$12:$J$18,3,FALSE),0))</f>
        <v/>
      </c>
      <c r="P262" s="59">
        <f>IF(C262="","",IFERROR(INDEX('6. Base de Custos'!$P$8:$P$42,MATCH(C262,'6. Base de Custos'!$L$8:$L$42,0)),"Revisar"))</f>
        <v/>
      </c>
      <c r="Q262" s="59">
        <f>IF(C262="","",IFERROR(INDEX('6. Base de Custos'!$Q$8:$Q$42,MATCH(C262,'6. Base de Custos'!$L$8:$L$42,0)),""))</f>
        <v/>
      </c>
      <c r="R262" s="65">
        <f>IF(C262="","",IFERROR(VLOOKUP(M262&amp;"|"&amp;N262,'17. Mapa DRE CP'!$E$5:$H$100,2,FALSE),"Revisar"))</f>
        <v/>
      </c>
      <c r="S262" s="65">
        <f>IF(C262="","",IFERROR(VLOOKUP(M262&amp;"|"&amp;N262,'17. Mapa DRE CP'!$E$5:$H$100,3,FALSE),"Revisar"))</f>
        <v/>
      </c>
      <c r="T262" s="65">
        <f>IF(C262="","",IF(R262="(-) Custos diretos dos serviços",IF(ISNUMBER(SEARCH("PCMSO",C262)),"PCMSO",IF(OR(ISNUMBER(SEARCH("SGS",C262)),ISNUMBER(SEARCH("CASTRO NAVES",C262))),"Projetos / Laudos / Avulsos","Projetos / Laudos / Avulsos")),"Rateio pela receita bruta"))</f>
        <v/>
      </c>
      <c r="U262" s="65">
        <f>IF(C262="","",IF(R262="(-) Custos diretos dos serviços","Direto por fornecedor/natureza do gasto","Rateio proporcional à receita bruta da linha de serviço"))</f>
        <v/>
      </c>
    </row>
    <row r="263">
      <c r="A263" s="28">
        <f>IF(C263="","", "CP-"&amp;TEXT(ROW()-5,"000"))</f>
        <v/>
      </c>
      <c r="B263" s="27">
        <f>IF(F263="","",DATE(YEAR(F263),MONTH(F263),1))</f>
        <v/>
      </c>
      <c r="C263" s="28" t="n"/>
      <c r="D263" s="28" t="n"/>
      <c r="E263" s="59">
        <f>IF(C263="","",IFERROR(INDEX('6. Base de Custos'!$M$8:$M$42,MATCH(C263,'6. Base de Custos'!$L$8:$L$42,0)),"Não classificado"))</f>
        <v/>
      </c>
      <c r="F263" s="111" t="n"/>
      <c r="G263" s="111" t="n"/>
      <c r="H263" s="111" t="n"/>
      <c r="I263" s="45" t="n"/>
      <c r="J263" s="28" t="n"/>
      <c r="K263" s="28" t="n"/>
      <c r="L263" s="28" t="n"/>
      <c r="M263" s="59">
        <f>IF(C263="","",IFERROR(INDEX('6. Base de Custos'!$N$8:$N$42,MATCH(C263,'6. Base de Custos'!$L$8:$L$42,0)),"Não classificado"))</f>
        <v/>
      </c>
      <c r="N263" s="59">
        <f>IF(C263="","",IFERROR(INDEX('6. Base de Custos'!$O$8:$O$42,MATCH(C263,'6. Base de Custos'!$L$8:$L$42,0)),"Revisar"))</f>
        <v/>
      </c>
      <c r="O263" s="60">
        <f>IF(M263="","",IFERROR(VLOOKUP(M263,'6. Base de Custos'!$H$12:$J$18,3,FALSE),0))</f>
        <v/>
      </c>
      <c r="P263" s="59">
        <f>IF(C263="","",IFERROR(INDEX('6. Base de Custos'!$P$8:$P$42,MATCH(C263,'6. Base de Custos'!$L$8:$L$42,0)),"Revisar"))</f>
        <v/>
      </c>
      <c r="Q263" s="59">
        <f>IF(C263="","",IFERROR(INDEX('6. Base de Custos'!$Q$8:$Q$42,MATCH(C263,'6. Base de Custos'!$L$8:$L$42,0)),""))</f>
        <v/>
      </c>
      <c r="R263" s="65">
        <f>IF(C263="","",IFERROR(VLOOKUP(M263&amp;"|"&amp;N263,'17. Mapa DRE CP'!$E$5:$H$100,2,FALSE),"Revisar"))</f>
        <v/>
      </c>
      <c r="S263" s="65">
        <f>IF(C263="","",IFERROR(VLOOKUP(M263&amp;"|"&amp;N263,'17. Mapa DRE CP'!$E$5:$H$100,3,FALSE),"Revisar"))</f>
        <v/>
      </c>
      <c r="T263" s="65">
        <f>IF(C263="","",IF(R263="(-) Custos diretos dos serviços",IF(ISNUMBER(SEARCH("PCMSO",C263)),"PCMSO",IF(OR(ISNUMBER(SEARCH("SGS",C263)),ISNUMBER(SEARCH("CASTRO NAVES",C263))),"Projetos / Laudos / Avulsos","Projetos / Laudos / Avulsos")),"Rateio pela receita bruta"))</f>
        <v/>
      </c>
      <c r="U263" s="65">
        <f>IF(C263="","",IF(R263="(-) Custos diretos dos serviços","Direto por fornecedor/natureza do gasto","Rateio proporcional à receita bruta da linha de serviço"))</f>
        <v/>
      </c>
    </row>
    <row r="264">
      <c r="A264" s="28">
        <f>IF(C264="","", "CP-"&amp;TEXT(ROW()-5,"000"))</f>
        <v/>
      </c>
      <c r="B264" s="27">
        <f>IF(F264="","",DATE(YEAR(F264),MONTH(F264),1))</f>
        <v/>
      </c>
      <c r="C264" s="28" t="n"/>
      <c r="D264" s="28" t="n"/>
      <c r="E264" s="59">
        <f>IF(C264="","",IFERROR(INDEX('6. Base de Custos'!$M$8:$M$42,MATCH(C264,'6. Base de Custos'!$L$8:$L$42,0)),"Não classificado"))</f>
        <v/>
      </c>
      <c r="F264" s="111" t="n"/>
      <c r="G264" s="111" t="n"/>
      <c r="H264" s="111" t="n"/>
      <c r="I264" s="45" t="n"/>
      <c r="J264" s="28" t="n"/>
      <c r="K264" s="28" t="n"/>
      <c r="L264" s="28" t="n"/>
      <c r="M264" s="59">
        <f>IF(C264="","",IFERROR(INDEX('6. Base de Custos'!$N$8:$N$42,MATCH(C264,'6. Base de Custos'!$L$8:$L$42,0)),"Não classificado"))</f>
        <v/>
      </c>
      <c r="N264" s="59">
        <f>IF(C264="","",IFERROR(INDEX('6. Base de Custos'!$O$8:$O$42,MATCH(C264,'6. Base de Custos'!$L$8:$L$42,0)),"Revisar"))</f>
        <v/>
      </c>
      <c r="O264" s="60">
        <f>IF(M264="","",IFERROR(VLOOKUP(M264,'6. Base de Custos'!$H$12:$J$18,3,FALSE),0))</f>
        <v/>
      </c>
      <c r="P264" s="59">
        <f>IF(C264="","",IFERROR(INDEX('6. Base de Custos'!$P$8:$P$42,MATCH(C264,'6. Base de Custos'!$L$8:$L$42,0)),"Revisar"))</f>
        <v/>
      </c>
      <c r="Q264" s="59">
        <f>IF(C264="","",IFERROR(INDEX('6. Base de Custos'!$Q$8:$Q$42,MATCH(C264,'6. Base de Custos'!$L$8:$L$42,0)),""))</f>
        <v/>
      </c>
      <c r="R264" s="65">
        <f>IF(C264="","",IFERROR(VLOOKUP(M264&amp;"|"&amp;N264,'17. Mapa DRE CP'!$E$5:$H$100,2,FALSE),"Revisar"))</f>
        <v/>
      </c>
      <c r="S264" s="65">
        <f>IF(C264="","",IFERROR(VLOOKUP(M264&amp;"|"&amp;N264,'17. Mapa DRE CP'!$E$5:$H$100,3,FALSE),"Revisar"))</f>
        <v/>
      </c>
      <c r="T264" s="65">
        <f>IF(C264="","",IF(R264="(-) Custos diretos dos serviços",IF(ISNUMBER(SEARCH("PCMSO",C264)),"PCMSO",IF(OR(ISNUMBER(SEARCH("SGS",C264)),ISNUMBER(SEARCH("CASTRO NAVES",C264))),"Projetos / Laudos / Avulsos","Projetos / Laudos / Avulsos")),"Rateio pela receita bruta"))</f>
        <v/>
      </c>
      <c r="U264" s="65">
        <f>IF(C264="","",IF(R264="(-) Custos diretos dos serviços","Direto por fornecedor/natureza do gasto","Rateio proporcional à receita bruta da linha de serviço"))</f>
        <v/>
      </c>
    </row>
    <row r="265">
      <c r="A265" s="28">
        <f>IF(C265="","", "CP-"&amp;TEXT(ROW()-5,"000"))</f>
        <v/>
      </c>
      <c r="B265" s="27">
        <f>IF(F265="","",DATE(YEAR(F265),MONTH(F265),1))</f>
        <v/>
      </c>
      <c r="C265" s="28" t="n"/>
      <c r="D265" s="28" t="n"/>
      <c r="E265" s="59">
        <f>IF(C265="","",IFERROR(INDEX('6. Base de Custos'!$M$8:$M$42,MATCH(C265,'6. Base de Custos'!$L$8:$L$42,0)),"Não classificado"))</f>
        <v/>
      </c>
      <c r="F265" s="111" t="n"/>
      <c r="G265" s="111" t="n"/>
      <c r="H265" s="111" t="n"/>
      <c r="I265" s="45" t="n"/>
      <c r="J265" s="28" t="n"/>
      <c r="K265" s="28" t="n"/>
      <c r="L265" s="28" t="n"/>
      <c r="M265" s="59">
        <f>IF(C265="","",IFERROR(INDEX('6. Base de Custos'!$N$8:$N$42,MATCH(C265,'6. Base de Custos'!$L$8:$L$42,0)),"Não classificado"))</f>
        <v/>
      </c>
      <c r="N265" s="59">
        <f>IF(C265="","",IFERROR(INDEX('6. Base de Custos'!$O$8:$O$42,MATCH(C265,'6. Base de Custos'!$L$8:$L$42,0)),"Revisar"))</f>
        <v/>
      </c>
      <c r="O265" s="60">
        <f>IF(M265="","",IFERROR(VLOOKUP(M265,'6. Base de Custos'!$H$12:$J$18,3,FALSE),0))</f>
        <v/>
      </c>
      <c r="P265" s="59">
        <f>IF(C265="","",IFERROR(INDEX('6. Base de Custos'!$P$8:$P$42,MATCH(C265,'6. Base de Custos'!$L$8:$L$42,0)),"Revisar"))</f>
        <v/>
      </c>
      <c r="Q265" s="59">
        <f>IF(C265="","",IFERROR(INDEX('6. Base de Custos'!$Q$8:$Q$42,MATCH(C265,'6. Base de Custos'!$L$8:$L$42,0)),""))</f>
        <v/>
      </c>
      <c r="R265" s="65">
        <f>IF(C265="","",IFERROR(VLOOKUP(M265&amp;"|"&amp;N265,'17. Mapa DRE CP'!$E$5:$H$100,2,FALSE),"Revisar"))</f>
        <v/>
      </c>
      <c r="S265" s="65">
        <f>IF(C265="","",IFERROR(VLOOKUP(M265&amp;"|"&amp;N265,'17. Mapa DRE CP'!$E$5:$H$100,3,FALSE),"Revisar"))</f>
        <v/>
      </c>
      <c r="T265" s="65">
        <f>IF(C265="","",IF(R265="(-) Custos diretos dos serviços",IF(ISNUMBER(SEARCH("PCMSO",C265)),"PCMSO",IF(OR(ISNUMBER(SEARCH("SGS",C265)),ISNUMBER(SEARCH("CASTRO NAVES",C265))),"Projetos / Laudos / Avulsos","Projetos / Laudos / Avulsos")),"Rateio pela receita bruta"))</f>
        <v/>
      </c>
      <c r="U265" s="65">
        <f>IF(C265="","",IF(R265="(-) Custos diretos dos serviços","Direto por fornecedor/natureza do gasto","Rateio proporcional à receita bruta da linha de serviço"))</f>
        <v/>
      </c>
    </row>
    <row r="266">
      <c r="A266" s="28">
        <f>IF(C266="","", "CP-"&amp;TEXT(ROW()-5,"000"))</f>
        <v/>
      </c>
      <c r="B266" s="27">
        <f>IF(F266="","",DATE(YEAR(F266),MONTH(F266),1))</f>
        <v/>
      </c>
      <c r="C266" s="28" t="n"/>
      <c r="D266" s="28" t="n"/>
      <c r="E266" s="59">
        <f>IF(C266="","",IFERROR(INDEX('6. Base de Custos'!$M$8:$M$42,MATCH(C266,'6. Base de Custos'!$L$8:$L$42,0)),"Não classificado"))</f>
        <v/>
      </c>
      <c r="F266" s="111" t="n"/>
      <c r="G266" s="111" t="n"/>
      <c r="H266" s="111" t="n"/>
      <c r="I266" s="45" t="n"/>
      <c r="J266" s="28" t="n"/>
      <c r="K266" s="28" t="n"/>
      <c r="L266" s="28" t="n"/>
      <c r="M266" s="59">
        <f>IF(C266="","",IFERROR(INDEX('6. Base de Custos'!$N$8:$N$42,MATCH(C266,'6. Base de Custos'!$L$8:$L$42,0)),"Não classificado"))</f>
        <v/>
      </c>
      <c r="N266" s="59">
        <f>IF(C266="","",IFERROR(INDEX('6. Base de Custos'!$O$8:$O$42,MATCH(C266,'6. Base de Custos'!$L$8:$L$42,0)),"Revisar"))</f>
        <v/>
      </c>
      <c r="O266" s="60">
        <f>IF(M266="","",IFERROR(VLOOKUP(M266,'6. Base de Custos'!$H$12:$J$18,3,FALSE),0))</f>
        <v/>
      </c>
      <c r="P266" s="59">
        <f>IF(C266="","",IFERROR(INDEX('6. Base de Custos'!$P$8:$P$42,MATCH(C266,'6. Base de Custos'!$L$8:$L$42,0)),"Revisar"))</f>
        <v/>
      </c>
      <c r="Q266" s="59">
        <f>IF(C266="","",IFERROR(INDEX('6. Base de Custos'!$Q$8:$Q$42,MATCH(C266,'6. Base de Custos'!$L$8:$L$42,0)),""))</f>
        <v/>
      </c>
      <c r="R266" s="65">
        <f>IF(C266="","",IFERROR(VLOOKUP(M266&amp;"|"&amp;N266,'17. Mapa DRE CP'!$E$5:$H$100,2,FALSE),"Revisar"))</f>
        <v/>
      </c>
      <c r="S266" s="65">
        <f>IF(C266="","",IFERROR(VLOOKUP(M266&amp;"|"&amp;N266,'17. Mapa DRE CP'!$E$5:$H$100,3,FALSE),"Revisar"))</f>
        <v/>
      </c>
      <c r="T266" s="65">
        <f>IF(C266="","",IF(R266="(-) Custos diretos dos serviços",IF(ISNUMBER(SEARCH("PCMSO",C266)),"PCMSO",IF(OR(ISNUMBER(SEARCH("SGS",C266)),ISNUMBER(SEARCH("CASTRO NAVES",C266))),"Projetos / Laudos / Avulsos","Projetos / Laudos / Avulsos")),"Rateio pela receita bruta"))</f>
        <v/>
      </c>
      <c r="U266" s="65">
        <f>IF(C266="","",IF(R266="(-) Custos diretos dos serviços","Direto por fornecedor/natureza do gasto","Rateio proporcional à receita bruta da linha de serviço"))</f>
        <v/>
      </c>
    </row>
    <row r="267">
      <c r="A267" s="28">
        <f>IF(C267="","", "CP-"&amp;TEXT(ROW()-5,"000"))</f>
        <v/>
      </c>
      <c r="B267" s="27">
        <f>IF(F267="","",DATE(YEAR(F267),MONTH(F267),1))</f>
        <v/>
      </c>
      <c r="C267" s="28" t="n"/>
      <c r="D267" s="28" t="n"/>
      <c r="E267" s="59">
        <f>IF(C267="","",IFERROR(INDEX('6. Base de Custos'!$M$8:$M$42,MATCH(C267,'6. Base de Custos'!$L$8:$L$42,0)),"Não classificado"))</f>
        <v/>
      </c>
      <c r="F267" s="111" t="n"/>
      <c r="G267" s="111" t="n"/>
      <c r="H267" s="111" t="n"/>
      <c r="I267" s="45" t="n"/>
      <c r="J267" s="28" t="n"/>
      <c r="K267" s="28" t="n"/>
      <c r="L267" s="28" t="n"/>
      <c r="M267" s="59">
        <f>IF(C267="","",IFERROR(INDEX('6. Base de Custos'!$N$8:$N$42,MATCH(C267,'6. Base de Custos'!$L$8:$L$42,0)),"Não classificado"))</f>
        <v/>
      </c>
      <c r="N267" s="59">
        <f>IF(C267="","",IFERROR(INDEX('6. Base de Custos'!$O$8:$O$42,MATCH(C267,'6. Base de Custos'!$L$8:$L$42,0)),"Revisar"))</f>
        <v/>
      </c>
      <c r="O267" s="60">
        <f>IF(M267="","",IFERROR(VLOOKUP(M267,'6. Base de Custos'!$H$12:$J$18,3,FALSE),0))</f>
        <v/>
      </c>
      <c r="P267" s="59">
        <f>IF(C267="","",IFERROR(INDEX('6. Base de Custos'!$P$8:$P$42,MATCH(C267,'6. Base de Custos'!$L$8:$L$42,0)),"Revisar"))</f>
        <v/>
      </c>
      <c r="Q267" s="59">
        <f>IF(C267="","",IFERROR(INDEX('6. Base de Custos'!$Q$8:$Q$42,MATCH(C267,'6. Base de Custos'!$L$8:$L$42,0)),""))</f>
        <v/>
      </c>
      <c r="R267" s="65">
        <f>IF(C267="","",IFERROR(VLOOKUP(M267&amp;"|"&amp;N267,'17. Mapa DRE CP'!$E$5:$H$100,2,FALSE),"Revisar"))</f>
        <v/>
      </c>
      <c r="S267" s="65">
        <f>IF(C267="","",IFERROR(VLOOKUP(M267&amp;"|"&amp;N267,'17. Mapa DRE CP'!$E$5:$H$100,3,FALSE),"Revisar"))</f>
        <v/>
      </c>
      <c r="T267" s="65">
        <f>IF(C267="","",IF(R267="(-) Custos diretos dos serviços",IF(ISNUMBER(SEARCH("PCMSO",C267)),"PCMSO",IF(OR(ISNUMBER(SEARCH("SGS",C267)),ISNUMBER(SEARCH("CASTRO NAVES",C267))),"Projetos / Laudos / Avulsos","Projetos / Laudos / Avulsos")),"Rateio pela receita bruta"))</f>
        <v/>
      </c>
      <c r="U267" s="65">
        <f>IF(C267="","",IF(R267="(-) Custos diretos dos serviços","Direto por fornecedor/natureza do gasto","Rateio proporcional à receita bruta da linha de serviço"))</f>
        <v/>
      </c>
    </row>
    <row r="268">
      <c r="A268" s="28">
        <f>IF(C268="","", "CP-"&amp;TEXT(ROW()-5,"000"))</f>
        <v/>
      </c>
      <c r="B268" s="27">
        <f>IF(F268="","",DATE(YEAR(F268),MONTH(F268),1))</f>
        <v/>
      </c>
      <c r="C268" s="28" t="n"/>
      <c r="D268" s="28" t="n"/>
      <c r="E268" s="59">
        <f>IF(C268="","",IFERROR(INDEX('6. Base de Custos'!$M$8:$M$42,MATCH(C268,'6. Base de Custos'!$L$8:$L$42,0)),"Não classificado"))</f>
        <v/>
      </c>
      <c r="F268" s="111" t="n"/>
      <c r="G268" s="111" t="n"/>
      <c r="H268" s="111" t="n"/>
      <c r="I268" s="45" t="n"/>
      <c r="J268" s="28" t="n"/>
      <c r="K268" s="28" t="n"/>
      <c r="L268" s="28" t="n"/>
      <c r="M268" s="59">
        <f>IF(C268="","",IFERROR(INDEX('6. Base de Custos'!$N$8:$N$42,MATCH(C268,'6. Base de Custos'!$L$8:$L$42,0)),"Não classificado"))</f>
        <v/>
      </c>
      <c r="N268" s="59">
        <f>IF(C268="","",IFERROR(INDEX('6. Base de Custos'!$O$8:$O$42,MATCH(C268,'6. Base de Custos'!$L$8:$L$42,0)),"Revisar"))</f>
        <v/>
      </c>
      <c r="O268" s="60">
        <f>IF(M268="","",IFERROR(VLOOKUP(M268,'6. Base de Custos'!$H$12:$J$18,3,FALSE),0))</f>
        <v/>
      </c>
      <c r="P268" s="59">
        <f>IF(C268="","",IFERROR(INDEX('6. Base de Custos'!$P$8:$P$42,MATCH(C268,'6. Base de Custos'!$L$8:$L$42,0)),"Revisar"))</f>
        <v/>
      </c>
      <c r="Q268" s="59">
        <f>IF(C268="","",IFERROR(INDEX('6. Base de Custos'!$Q$8:$Q$42,MATCH(C268,'6. Base de Custos'!$L$8:$L$42,0)),""))</f>
        <v/>
      </c>
      <c r="R268" s="65">
        <f>IF(C268="","",IFERROR(VLOOKUP(M268&amp;"|"&amp;N268,'17. Mapa DRE CP'!$E$5:$H$100,2,FALSE),"Revisar"))</f>
        <v/>
      </c>
      <c r="S268" s="65">
        <f>IF(C268="","",IFERROR(VLOOKUP(M268&amp;"|"&amp;N268,'17. Mapa DRE CP'!$E$5:$H$100,3,FALSE),"Revisar"))</f>
        <v/>
      </c>
      <c r="T268" s="65">
        <f>IF(C268="","",IF(R268="(-) Custos diretos dos serviços",IF(ISNUMBER(SEARCH("PCMSO",C268)),"PCMSO",IF(OR(ISNUMBER(SEARCH("SGS",C268)),ISNUMBER(SEARCH("CASTRO NAVES",C268))),"Projetos / Laudos / Avulsos","Projetos / Laudos / Avulsos")),"Rateio pela receita bruta"))</f>
        <v/>
      </c>
      <c r="U268" s="65">
        <f>IF(C268="","",IF(R268="(-) Custos diretos dos serviços","Direto por fornecedor/natureza do gasto","Rateio proporcional à receita bruta da linha de serviço"))</f>
        <v/>
      </c>
    </row>
    <row r="269">
      <c r="A269" s="28">
        <f>IF(C269="","", "CP-"&amp;TEXT(ROW()-5,"000"))</f>
        <v/>
      </c>
      <c r="B269" s="27">
        <f>IF(F269="","",DATE(YEAR(F269),MONTH(F269),1))</f>
        <v/>
      </c>
      <c r="C269" s="28" t="n"/>
      <c r="D269" s="28" t="n"/>
      <c r="E269" s="59">
        <f>IF(C269="","",IFERROR(INDEX('6. Base de Custos'!$M$8:$M$42,MATCH(C269,'6. Base de Custos'!$L$8:$L$42,0)),"Não classificado"))</f>
        <v/>
      </c>
      <c r="F269" s="111" t="n"/>
      <c r="G269" s="111" t="n"/>
      <c r="H269" s="111" t="n"/>
      <c r="I269" s="45" t="n"/>
      <c r="J269" s="28" t="n"/>
      <c r="K269" s="28" t="n"/>
      <c r="L269" s="28" t="n"/>
      <c r="M269" s="59">
        <f>IF(C269="","",IFERROR(INDEX('6. Base de Custos'!$N$8:$N$42,MATCH(C269,'6. Base de Custos'!$L$8:$L$42,0)),"Não classificado"))</f>
        <v/>
      </c>
      <c r="N269" s="59">
        <f>IF(C269="","",IFERROR(INDEX('6. Base de Custos'!$O$8:$O$42,MATCH(C269,'6. Base de Custos'!$L$8:$L$42,0)),"Revisar"))</f>
        <v/>
      </c>
      <c r="O269" s="60">
        <f>IF(M269="","",IFERROR(VLOOKUP(M269,'6. Base de Custos'!$H$12:$J$18,3,FALSE),0))</f>
        <v/>
      </c>
      <c r="P269" s="59">
        <f>IF(C269="","",IFERROR(INDEX('6. Base de Custos'!$P$8:$P$42,MATCH(C269,'6. Base de Custos'!$L$8:$L$42,0)),"Revisar"))</f>
        <v/>
      </c>
      <c r="Q269" s="59">
        <f>IF(C269="","",IFERROR(INDEX('6. Base de Custos'!$Q$8:$Q$42,MATCH(C269,'6. Base de Custos'!$L$8:$L$42,0)),""))</f>
        <v/>
      </c>
      <c r="R269" s="65">
        <f>IF(C269="","",IFERROR(VLOOKUP(M269&amp;"|"&amp;N269,'17. Mapa DRE CP'!$E$5:$H$100,2,FALSE),"Revisar"))</f>
        <v/>
      </c>
      <c r="S269" s="65">
        <f>IF(C269="","",IFERROR(VLOOKUP(M269&amp;"|"&amp;N269,'17. Mapa DRE CP'!$E$5:$H$100,3,FALSE),"Revisar"))</f>
        <v/>
      </c>
      <c r="T269" s="65">
        <f>IF(C269="","",IF(R269="(-) Custos diretos dos serviços",IF(ISNUMBER(SEARCH("PCMSO",C269)),"PCMSO",IF(OR(ISNUMBER(SEARCH("SGS",C269)),ISNUMBER(SEARCH("CASTRO NAVES",C269))),"Projetos / Laudos / Avulsos","Projetos / Laudos / Avulsos")),"Rateio pela receita bruta"))</f>
        <v/>
      </c>
      <c r="U269" s="65">
        <f>IF(C269="","",IF(R269="(-) Custos diretos dos serviços","Direto por fornecedor/natureza do gasto","Rateio proporcional à receita bruta da linha de serviço"))</f>
        <v/>
      </c>
    </row>
    <row r="270">
      <c r="A270" s="28">
        <f>IF(C270="","", "CP-"&amp;TEXT(ROW()-5,"000"))</f>
        <v/>
      </c>
      <c r="B270" s="27">
        <f>IF(F270="","",DATE(YEAR(F270),MONTH(F270),1))</f>
        <v/>
      </c>
      <c r="C270" s="28" t="n"/>
      <c r="D270" s="28" t="n"/>
      <c r="E270" s="59">
        <f>IF(C270="","",IFERROR(INDEX('6. Base de Custos'!$M$8:$M$42,MATCH(C270,'6. Base de Custos'!$L$8:$L$42,0)),"Não classificado"))</f>
        <v/>
      </c>
      <c r="F270" s="111" t="n"/>
      <c r="G270" s="111" t="n"/>
      <c r="H270" s="111" t="n"/>
      <c r="I270" s="45" t="n"/>
      <c r="J270" s="28" t="n"/>
      <c r="K270" s="28" t="n"/>
      <c r="L270" s="28" t="n"/>
      <c r="M270" s="59">
        <f>IF(C270="","",IFERROR(INDEX('6. Base de Custos'!$N$8:$N$42,MATCH(C270,'6. Base de Custos'!$L$8:$L$42,0)),"Não classificado"))</f>
        <v/>
      </c>
      <c r="N270" s="59">
        <f>IF(C270="","",IFERROR(INDEX('6. Base de Custos'!$O$8:$O$42,MATCH(C270,'6. Base de Custos'!$L$8:$L$42,0)),"Revisar"))</f>
        <v/>
      </c>
      <c r="O270" s="60">
        <f>IF(M270="","",IFERROR(VLOOKUP(M270,'6. Base de Custos'!$H$12:$J$18,3,FALSE),0))</f>
        <v/>
      </c>
      <c r="P270" s="59">
        <f>IF(C270="","",IFERROR(INDEX('6. Base de Custos'!$P$8:$P$42,MATCH(C270,'6. Base de Custos'!$L$8:$L$42,0)),"Revisar"))</f>
        <v/>
      </c>
      <c r="Q270" s="59">
        <f>IF(C270="","",IFERROR(INDEX('6. Base de Custos'!$Q$8:$Q$42,MATCH(C270,'6. Base de Custos'!$L$8:$L$42,0)),""))</f>
        <v/>
      </c>
      <c r="R270" s="65">
        <f>IF(C270="","",IFERROR(VLOOKUP(M270&amp;"|"&amp;N270,'17. Mapa DRE CP'!$E$5:$H$100,2,FALSE),"Revisar"))</f>
        <v/>
      </c>
      <c r="S270" s="65">
        <f>IF(C270="","",IFERROR(VLOOKUP(M270&amp;"|"&amp;N270,'17. Mapa DRE CP'!$E$5:$H$100,3,FALSE),"Revisar"))</f>
        <v/>
      </c>
      <c r="T270" s="65">
        <f>IF(C270="","",IF(R270="(-) Custos diretos dos serviços",IF(ISNUMBER(SEARCH("PCMSO",C270)),"PCMSO",IF(OR(ISNUMBER(SEARCH("SGS",C270)),ISNUMBER(SEARCH("CASTRO NAVES",C270))),"Projetos / Laudos / Avulsos","Projetos / Laudos / Avulsos")),"Rateio pela receita bruta"))</f>
        <v/>
      </c>
      <c r="U270" s="65">
        <f>IF(C270="","",IF(R270="(-) Custos diretos dos serviços","Direto por fornecedor/natureza do gasto","Rateio proporcional à receita bruta da linha de serviço"))</f>
        <v/>
      </c>
    </row>
    <row r="271">
      <c r="A271" s="28">
        <f>IF(C271="","", "CP-"&amp;TEXT(ROW()-5,"000"))</f>
        <v/>
      </c>
      <c r="B271" s="27">
        <f>IF(F271="","",DATE(YEAR(F271),MONTH(F271),1))</f>
        <v/>
      </c>
      <c r="C271" s="28" t="n"/>
      <c r="D271" s="28" t="n"/>
      <c r="E271" s="59">
        <f>IF(C271="","",IFERROR(INDEX('6. Base de Custos'!$M$8:$M$42,MATCH(C271,'6. Base de Custos'!$L$8:$L$42,0)),"Não classificado"))</f>
        <v/>
      </c>
      <c r="F271" s="111" t="n"/>
      <c r="G271" s="111" t="n"/>
      <c r="H271" s="111" t="n"/>
      <c r="I271" s="45" t="n"/>
      <c r="J271" s="28" t="n"/>
      <c r="K271" s="28" t="n"/>
      <c r="L271" s="28" t="n"/>
      <c r="M271" s="59">
        <f>IF(C271="","",IFERROR(INDEX('6. Base de Custos'!$N$8:$N$42,MATCH(C271,'6. Base de Custos'!$L$8:$L$42,0)),"Não classificado"))</f>
        <v/>
      </c>
      <c r="N271" s="59">
        <f>IF(C271="","",IFERROR(INDEX('6. Base de Custos'!$O$8:$O$42,MATCH(C271,'6. Base de Custos'!$L$8:$L$42,0)),"Revisar"))</f>
        <v/>
      </c>
      <c r="O271" s="60">
        <f>IF(M271="","",IFERROR(VLOOKUP(M271,'6. Base de Custos'!$H$12:$J$18,3,FALSE),0))</f>
        <v/>
      </c>
      <c r="P271" s="59">
        <f>IF(C271="","",IFERROR(INDEX('6. Base de Custos'!$P$8:$P$42,MATCH(C271,'6. Base de Custos'!$L$8:$L$42,0)),"Revisar"))</f>
        <v/>
      </c>
      <c r="Q271" s="59">
        <f>IF(C271="","",IFERROR(INDEX('6. Base de Custos'!$Q$8:$Q$42,MATCH(C271,'6. Base de Custos'!$L$8:$L$42,0)),""))</f>
        <v/>
      </c>
      <c r="R271" s="65">
        <f>IF(C271="","",IFERROR(VLOOKUP(M271&amp;"|"&amp;N271,'17. Mapa DRE CP'!$E$5:$H$100,2,FALSE),"Revisar"))</f>
        <v/>
      </c>
      <c r="S271" s="65">
        <f>IF(C271="","",IFERROR(VLOOKUP(M271&amp;"|"&amp;N271,'17. Mapa DRE CP'!$E$5:$H$100,3,FALSE),"Revisar"))</f>
        <v/>
      </c>
      <c r="T271" s="65">
        <f>IF(C271="","",IF(R271="(-) Custos diretos dos serviços",IF(ISNUMBER(SEARCH("PCMSO",C271)),"PCMSO",IF(OR(ISNUMBER(SEARCH("SGS",C271)),ISNUMBER(SEARCH("CASTRO NAVES",C271))),"Projetos / Laudos / Avulsos","Projetos / Laudos / Avulsos")),"Rateio pela receita bruta"))</f>
        <v/>
      </c>
      <c r="U271" s="65">
        <f>IF(C271="","",IF(R271="(-) Custos diretos dos serviços","Direto por fornecedor/natureza do gasto","Rateio proporcional à receita bruta da linha de serviço"))</f>
        <v/>
      </c>
    </row>
    <row r="272">
      <c r="A272" s="28">
        <f>IF(C272="","", "CP-"&amp;TEXT(ROW()-5,"000"))</f>
        <v/>
      </c>
      <c r="B272" s="27">
        <f>IF(F272="","",DATE(YEAR(F272),MONTH(F272),1))</f>
        <v/>
      </c>
      <c r="C272" s="28" t="n"/>
      <c r="D272" s="28" t="n"/>
      <c r="E272" s="59">
        <f>IF(C272="","",IFERROR(INDEX('6. Base de Custos'!$M$8:$M$42,MATCH(C272,'6. Base de Custos'!$L$8:$L$42,0)),"Não classificado"))</f>
        <v/>
      </c>
      <c r="F272" s="111" t="n"/>
      <c r="G272" s="111" t="n"/>
      <c r="H272" s="111" t="n"/>
      <c r="I272" s="45" t="n"/>
      <c r="J272" s="28" t="n"/>
      <c r="K272" s="28" t="n"/>
      <c r="L272" s="28" t="n"/>
      <c r="M272" s="59">
        <f>IF(C272="","",IFERROR(INDEX('6. Base de Custos'!$N$8:$N$42,MATCH(C272,'6. Base de Custos'!$L$8:$L$42,0)),"Não classificado"))</f>
        <v/>
      </c>
      <c r="N272" s="59">
        <f>IF(C272="","",IFERROR(INDEX('6. Base de Custos'!$O$8:$O$42,MATCH(C272,'6. Base de Custos'!$L$8:$L$42,0)),"Revisar"))</f>
        <v/>
      </c>
      <c r="O272" s="60">
        <f>IF(M272="","",IFERROR(VLOOKUP(M272,'6. Base de Custos'!$H$12:$J$18,3,FALSE),0))</f>
        <v/>
      </c>
      <c r="P272" s="59">
        <f>IF(C272="","",IFERROR(INDEX('6. Base de Custos'!$P$8:$P$42,MATCH(C272,'6. Base de Custos'!$L$8:$L$42,0)),"Revisar"))</f>
        <v/>
      </c>
      <c r="Q272" s="59">
        <f>IF(C272="","",IFERROR(INDEX('6. Base de Custos'!$Q$8:$Q$42,MATCH(C272,'6. Base de Custos'!$L$8:$L$42,0)),""))</f>
        <v/>
      </c>
      <c r="R272" s="65">
        <f>IF(C272="","",IFERROR(VLOOKUP(M272&amp;"|"&amp;N272,'17. Mapa DRE CP'!$E$5:$H$100,2,FALSE),"Revisar"))</f>
        <v/>
      </c>
      <c r="S272" s="65">
        <f>IF(C272="","",IFERROR(VLOOKUP(M272&amp;"|"&amp;N272,'17. Mapa DRE CP'!$E$5:$H$100,3,FALSE),"Revisar"))</f>
        <v/>
      </c>
      <c r="T272" s="65">
        <f>IF(C272="","",IF(R272="(-) Custos diretos dos serviços",IF(ISNUMBER(SEARCH("PCMSO",C272)),"PCMSO",IF(OR(ISNUMBER(SEARCH("SGS",C272)),ISNUMBER(SEARCH("CASTRO NAVES",C272))),"Projetos / Laudos / Avulsos","Projetos / Laudos / Avulsos")),"Rateio pela receita bruta"))</f>
        <v/>
      </c>
      <c r="U272" s="65">
        <f>IF(C272="","",IF(R272="(-) Custos diretos dos serviços","Direto por fornecedor/natureza do gasto","Rateio proporcional à receita bruta da linha de serviço"))</f>
        <v/>
      </c>
    </row>
    <row r="273">
      <c r="A273" s="28">
        <f>IF(C273="","", "CP-"&amp;TEXT(ROW()-5,"000"))</f>
        <v/>
      </c>
      <c r="B273" s="27">
        <f>IF(F273="","",DATE(YEAR(F273),MONTH(F273),1))</f>
        <v/>
      </c>
      <c r="C273" s="28" t="n"/>
      <c r="D273" s="28" t="n"/>
      <c r="E273" s="59">
        <f>IF(C273="","",IFERROR(INDEX('6. Base de Custos'!$M$8:$M$42,MATCH(C273,'6. Base de Custos'!$L$8:$L$42,0)),"Não classificado"))</f>
        <v/>
      </c>
      <c r="F273" s="111" t="n"/>
      <c r="G273" s="111" t="n"/>
      <c r="H273" s="111" t="n"/>
      <c r="I273" s="45" t="n"/>
      <c r="J273" s="28" t="n"/>
      <c r="K273" s="28" t="n"/>
      <c r="L273" s="28" t="n"/>
      <c r="M273" s="59">
        <f>IF(C273="","",IFERROR(INDEX('6. Base de Custos'!$N$8:$N$42,MATCH(C273,'6. Base de Custos'!$L$8:$L$42,0)),"Não classificado"))</f>
        <v/>
      </c>
      <c r="N273" s="59">
        <f>IF(C273="","",IFERROR(INDEX('6. Base de Custos'!$O$8:$O$42,MATCH(C273,'6. Base de Custos'!$L$8:$L$42,0)),"Revisar"))</f>
        <v/>
      </c>
      <c r="O273" s="60">
        <f>IF(M273="","",IFERROR(VLOOKUP(M273,'6. Base de Custos'!$H$12:$J$18,3,FALSE),0))</f>
        <v/>
      </c>
      <c r="P273" s="59">
        <f>IF(C273="","",IFERROR(INDEX('6. Base de Custos'!$P$8:$P$42,MATCH(C273,'6. Base de Custos'!$L$8:$L$42,0)),"Revisar"))</f>
        <v/>
      </c>
      <c r="Q273" s="59">
        <f>IF(C273="","",IFERROR(INDEX('6. Base de Custos'!$Q$8:$Q$42,MATCH(C273,'6. Base de Custos'!$L$8:$L$42,0)),""))</f>
        <v/>
      </c>
      <c r="R273" s="65">
        <f>IF(C273="","",IFERROR(VLOOKUP(M273&amp;"|"&amp;N273,'17. Mapa DRE CP'!$E$5:$H$100,2,FALSE),"Revisar"))</f>
        <v/>
      </c>
      <c r="S273" s="65">
        <f>IF(C273="","",IFERROR(VLOOKUP(M273&amp;"|"&amp;N273,'17. Mapa DRE CP'!$E$5:$H$100,3,FALSE),"Revisar"))</f>
        <v/>
      </c>
      <c r="T273" s="65">
        <f>IF(C273="","",IF(R273="(-) Custos diretos dos serviços",IF(ISNUMBER(SEARCH("PCMSO",C273)),"PCMSO",IF(OR(ISNUMBER(SEARCH("SGS",C273)),ISNUMBER(SEARCH("CASTRO NAVES",C273))),"Projetos / Laudos / Avulsos","Projetos / Laudos / Avulsos")),"Rateio pela receita bruta"))</f>
        <v/>
      </c>
      <c r="U273" s="65">
        <f>IF(C273="","",IF(R273="(-) Custos diretos dos serviços","Direto por fornecedor/natureza do gasto","Rateio proporcional à receita bruta da linha de serviço"))</f>
        <v/>
      </c>
    </row>
    <row r="274">
      <c r="A274" s="28">
        <f>IF(C274="","", "CP-"&amp;TEXT(ROW()-5,"000"))</f>
        <v/>
      </c>
      <c r="B274" s="27">
        <f>IF(F274="","",DATE(YEAR(F274),MONTH(F274),1))</f>
        <v/>
      </c>
      <c r="C274" s="28" t="n"/>
      <c r="D274" s="28" t="n"/>
      <c r="E274" s="59">
        <f>IF(C274="","",IFERROR(INDEX('6. Base de Custos'!$M$8:$M$42,MATCH(C274,'6. Base de Custos'!$L$8:$L$42,0)),"Não classificado"))</f>
        <v/>
      </c>
      <c r="F274" s="111" t="n"/>
      <c r="G274" s="111" t="n"/>
      <c r="H274" s="111" t="n"/>
      <c r="I274" s="45" t="n"/>
      <c r="J274" s="28" t="n"/>
      <c r="K274" s="28" t="n"/>
      <c r="L274" s="28" t="n"/>
      <c r="M274" s="59">
        <f>IF(C274="","",IFERROR(INDEX('6. Base de Custos'!$N$8:$N$42,MATCH(C274,'6. Base de Custos'!$L$8:$L$42,0)),"Não classificado"))</f>
        <v/>
      </c>
      <c r="N274" s="59">
        <f>IF(C274="","",IFERROR(INDEX('6. Base de Custos'!$O$8:$O$42,MATCH(C274,'6. Base de Custos'!$L$8:$L$42,0)),"Revisar"))</f>
        <v/>
      </c>
      <c r="O274" s="60">
        <f>IF(M274="","",IFERROR(VLOOKUP(M274,'6. Base de Custos'!$H$12:$J$18,3,FALSE),0))</f>
        <v/>
      </c>
      <c r="P274" s="59">
        <f>IF(C274="","",IFERROR(INDEX('6. Base de Custos'!$P$8:$P$42,MATCH(C274,'6. Base de Custos'!$L$8:$L$42,0)),"Revisar"))</f>
        <v/>
      </c>
      <c r="Q274" s="59">
        <f>IF(C274="","",IFERROR(INDEX('6. Base de Custos'!$Q$8:$Q$42,MATCH(C274,'6. Base de Custos'!$L$8:$L$42,0)),""))</f>
        <v/>
      </c>
      <c r="R274" s="65">
        <f>IF(C274="","",IFERROR(VLOOKUP(M274&amp;"|"&amp;N274,'17. Mapa DRE CP'!$E$5:$H$100,2,FALSE),"Revisar"))</f>
        <v/>
      </c>
      <c r="S274" s="65">
        <f>IF(C274="","",IFERROR(VLOOKUP(M274&amp;"|"&amp;N274,'17. Mapa DRE CP'!$E$5:$H$100,3,FALSE),"Revisar"))</f>
        <v/>
      </c>
      <c r="T274" s="65">
        <f>IF(C274="","",IF(R274="(-) Custos diretos dos serviços",IF(ISNUMBER(SEARCH("PCMSO",C274)),"PCMSO",IF(OR(ISNUMBER(SEARCH("SGS",C274)),ISNUMBER(SEARCH("CASTRO NAVES",C274))),"Projetos / Laudos / Avulsos","Projetos / Laudos / Avulsos")),"Rateio pela receita bruta"))</f>
        <v/>
      </c>
      <c r="U274" s="65">
        <f>IF(C274="","",IF(R274="(-) Custos diretos dos serviços","Direto por fornecedor/natureza do gasto","Rateio proporcional à receita bruta da linha de serviço"))</f>
        <v/>
      </c>
    </row>
    <row r="275">
      <c r="A275" s="28">
        <f>IF(C275="","", "CP-"&amp;TEXT(ROW()-5,"000"))</f>
        <v/>
      </c>
      <c r="B275" s="27">
        <f>IF(F275="","",DATE(YEAR(F275),MONTH(F275),1))</f>
        <v/>
      </c>
      <c r="C275" s="28" t="n"/>
      <c r="D275" s="28" t="n"/>
      <c r="E275" s="59">
        <f>IF(C275="","",IFERROR(INDEX('6. Base de Custos'!$M$8:$M$42,MATCH(C275,'6. Base de Custos'!$L$8:$L$42,0)),"Não classificado"))</f>
        <v/>
      </c>
      <c r="F275" s="111" t="n"/>
      <c r="G275" s="111" t="n"/>
      <c r="H275" s="111" t="n"/>
      <c r="I275" s="45" t="n"/>
      <c r="J275" s="28" t="n"/>
      <c r="K275" s="28" t="n"/>
      <c r="L275" s="28" t="n"/>
      <c r="M275" s="59">
        <f>IF(C275="","",IFERROR(INDEX('6. Base de Custos'!$N$8:$N$42,MATCH(C275,'6. Base de Custos'!$L$8:$L$42,0)),"Não classificado"))</f>
        <v/>
      </c>
      <c r="N275" s="59">
        <f>IF(C275="","",IFERROR(INDEX('6. Base de Custos'!$O$8:$O$42,MATCH(C275,'6. Base de Custos'!$L$8:$L$42,0)),"Revisar"))</f>
        <v/>
      </c>
      <c r="O275" s="60">
        <f>IF(M275="","",IFERROR(VLOOKUP(M275,'6. Base de Custos'!$H$12:$J$18,3,FALSE),0))</f>
        <v/>
      </c>
      <c r="P275" s="59">
        <f>IF(C275="","",IFERROR(INDEX('6. Base de Custos'!$P$8:$P$42,MATCH(C275,'6. Base de Custos'!$L$8:$L$42,0)),"Revisar"))</f>
        <v/>
      </c>
      <c r="Q275" s="59">
        <f>IF(C275="","",IFERROR(INDEX('6. Base de Custos'!$Q$8:$Q$42,MATCH(C275,'6. Base de Custos'!$L$8:$L$42,0)),""))</f>
        <v/>
      </c>
      <c r="R275" s="65">
        <f>IF(C275="","",IFERROR(VLOOKUP(M275&amp;"|"&amp;N275,'17. Mapa DRE CP'!$E$5:$H$100,2,FALSE),"Revisar"))</f>
        <v/>
      </c>
      <c r="S275" s="65">
        <f>IF(C275="","",IFERROR(VLOOKUP(M275&amp;"|"&amp;N275,'17. Mapa DRE CP'!$E$5:$H$100,3,FALSE),"Revisar"))</f>
        <v/>
      </c>
      <c r="T275" s="65">
        <f>IF(C275="","",IF(R275="(-) Custos diretos dos serviços",IF(ISNUMBER(SEARCH("PCMSO",C275)),"PCMSO",IF(OR(ISNUMBER(SEARCH("SGS",C275)),ISNUMBER(SEARCH("CASTRO NAVES",C275))),"Projetos / Laudos / Avulsos","Projetos / Laudos / Avulsos")),"Rateio pela receita bruta"))</f>
        <v/>
      </c>
      <c r="U275" s="65">
        <f>IF(C275="","",IF(R275="(-) Custos diretos dos serviços","Direto por fornecedor/natureza do gasto","Rateio proporcional à receita bruta da linha de serviço"))</f>
        <v/>
      </c>
    </row>
    <row r="276">
      <c r="A276" s="28">
        <f>IF(C276="","", "CP-"&amp;TEXT(ROW()-5,"000"))</f>
        <v/>
      </c>
      <c r="B276" s="27">
        <f>IF(F276="","",DATE(YEAR(F276),MONTH(F276),1))</f>
        <v/>
      </c>
      <c r="C276" s="28" t="n"/>
      <c r="D276" s="28" t="n"/>
      <c r="E276" s="59">
        <f>IF(C276="","",IFERROR(INDEX('6. Base de Custos'!$M$8:$M$42,MATCH(C276,'6. Base de Custos'!$L$8:$L$42,0)),"Não classificado"))</f>
        <v/>
      </c>
      <c r="F276" s="111" t="n"/>
      <c r="G276" s="111" t="n"/>
      <c r="H276" s="111" t="n"/>
      <c r="I276" s="45" t="n"/>
      <c r="J276" s="28" t="n"/>
      <c r="K276" s="28" t="n"/>
      <c r="L276" s="28" t="n"/>
      <c r="M276" s="59">
        <f>IF(C276="","",IFERROR(INDEX('6. Base de Custos'!$N$8:$N$42,MATCH(C276,'6. Base de Custos'!$L$8:$L$42,0)),"Não classificado"))</f>
        <v/>
      </c>
      <c r="N276" s="59">
        <f>IF(C276="","",IFERROR(INDEX('6. Base de Custos'!$O$8:$O$42,MATCH(C276,'6. Base de Custos'!$L$8:$L$42,0)),"Revisar"))</f>
        <v/>
      </c>
      <c r="O276" s="60">
        <f>IF(M276="","",IFERROR(VLOOKUP(M276,'6. Base de Custos'!$H$12:$J$18,3,FALSE),0))</f>
        <v/>
      </c>
      <c r="P276" s="59">
        <f>IF(C276="","",IFERROR(INDEX('6. Base de Custos'!$P$8:$P$42,MATCH(C276,'6. Base de Custos'!$L$8:$L$42,0)),"Revisar"))</f>
        <v/>
      </c>
      <c r="Q276" s="59">
        <f>IF(C276="","",IFERROR(INDEX('6. Base de Custos'!$Q$8:$Q$42,MATCH(C276,'6. Base de Custos'!$L$8:$L$42,0)),""))</f>
        <v/>
      </c>
      <c r="R276" s="65">
        <f>IF(C276="","",IFERROR(VLOOKUP(M276&amp;"|"&amp;N276,'17. Mapa DRE CP'!$E$5:$H$100,2,FALSE),"Revisar"))</f>
        <v/>
      </c>
      <c r="S276" s="65">
        <f>IF(C276="","",IFERROR(VLOOKUP(M276&amp;"|"&amp;N276,'17. Mapa DRE CP'!$E$5:$H$100,3,FALSE),"Revisar"))</f>
        <v/>
      </c>
      <c r="T276" s="65">
        <f>IF(C276="","",IF(R276="(-) Custos diretos dos serviços",IF(ISNUMBER(SEARCH("PCMSO",C276)),"PCMSO",IF(OR(ISNUMBER(SEARCH("SGS",C276)),ISNUMBER(SEARCH("CASTRO NAVES",C276))),"Projetos / Laudos / Avulsos","Projetos / Laudos / Avulsos")),"Rateio pela receita bruta"))</f>
        <v/>
      </c>
      <c r="U276" s="65">
        <f>IF(C276="","",IF(R276="(-) Custos diretos dos serviços","Direto por fornecedor/natureza do gasto","Rateio proporcional à receita bruta da linha de serviço"))</f>
        <v/>
      </c>
    </row>
    <row r="277">
      <c r="A277" s="28">
        <f>IF(C277="","", "CP-"&amp;TEXT(ROW()-5,"000"))</f>
        <v/>
      </c>
      <c r="B277" s="27">
        <f>IF(F277="","",DATE(YEAR(F277),MONTH(F277),1))</f>
        <v/>
      </c>
      <c r="C277" s="28" t="n"/>
      <c r="D277" s="28" t="n"/>
      <c r="E277" s="59">
        <f>IF(C277="","",IFERROR(INDEX('6. Base de Custos'!$M$8:$M$42,MATCH(C277,'6. Base de Custos'!$L$8:$L$42,0)),"Não classificado"))</f>
        <v/>
      </c>
      <c r="F277" s="111" t="n"/>
      <c r="G277" s="111" t="n"/>
      <c r="H277" s="111" t="n"/>
      <c r="I277" s="45" t="n"/>
      <c r="J277" s="28" t="n"/>
      <c r="K277" s="28" t="n"/>
      <c r="L277" s="28" t="n"/>
      <c r="M277" s="59">
        <f>IF(C277="","",IFERROR(INDEX('6. Base de Custos'!$N$8:$N$42,MATCH(C277,'6. Base de Custos'!$L$8:$L$42,0)),"Não classificado"))</f>
        <v/>
      </c>
      <c r="N277" s="59">
        <f>IF(C277="","",IFERROR(INDEX('6. Base de Custos'!$O$8:$O$42,MATCH(C277,'6. Base de Custos'!$L$8:$L$42,0)),"Revisar"))</f>
        <v/>
      </c>
      <c r="O277" s="60">
        <f>IF(M277="","",IFERROR(VLOOKUP(M277,'6. Base de Custos'!$H$12:$J$18,3,FALSE),0))</f>
        <v/>
      </c>
      <c r="P277" s="59">
        <f>IF(C277="","",IFERROR(INDEX('6. Base de Custos'!$P$8:$P$42,MATCH(C277,'6. Base de Custos'!$L$8:$L$42,0)),"Revisar"))</f>
        <v/>
      </c>
      <c r="Q277" s="59">
        <f>IF(C277="","",IFERROR(INDEX('6. Base de Custos'!$Q$8:$Q$42,MATCH(C277,'6. Base de Custos'!$L$8:$L$42,0)),""))</f>
        <v/>
      </c>
      <c r="R277" s="65">
        <f>IF(C277="","",IFERROR(VLOOKUP(M277&amp;"|"&amp;N277,'17. Mapa DRE CP'!$E$5:$H$100,2,FALSE),"Revisar"))</f>
        <v/>
      </c>
      <c r="S277" s="65">
        <f>IF(C277="","",IFERROR(VLOOKUP(M277&amp;"|"&amp;N277,'17. Mapa DRE CP'!$E$5:$H$100,3,FALSE),"Revisar"))</f>
        <v/>
      </c>
      <c r="T277" s="65">
        <f>IF(C277="","",IF(R277="(-) Custos diretos dos serviços",IF(ISNUMBER(SEARCH("PCMSO",C277)),"PCMSO",IF(OR(ISNUMBER(SEARCH("SGS",C277)),ISNUMBER(SEARCH("CASTRO NAVES",C277))),"Projetos / Laudos / Avulsos","Projetos / Laudos / Avulsos")),"Rateio pela receita bruta"))</f>
        <v/>
      </c>
      <c r="U277" s="65">
        <f>IF(C277="","",IF(R277="(-) Custos diretos dos serviços","Direto por fornecedor/natureza do gasto","Rateio proporcional à receita bruta da linha de serviço"))</f>
        <v/>
      </c>
    </row>
    <row r="278">
      <c r="A278" s="28">
        <f>IF(C278="","", "CP-"&amp;TEXT(ROW()-5,"000"))</f>
        <v/>
      </c>
      <c r="B278" s="27">
        <f>IF(F278="","",DATE(YEAR(F278),MONTH(F278),1))</f>
        <v/>
      </c>
      <c r="C278" s="28" t="n"/>
      <c r="D278" s="28" t="n"/>
      <c r="E278" s="59">
        <f>IF(C278="","",IFERROR(INDEX('6. Base de Custos'!$M$8:$M$42,MATCH(C278,'6. Base de Custos'!$L$8:$L$42,0)),"Não classificado"))</f>
        <v/>
      </c>
      <c r="F278" s="111" t="n"/>
      <c r="G278" s="111" t="n"/>
      <c r="H278" s="111" t="n"/>
      <c r="I278" s="45" t="n"/>
      <c r="J278" s="28" t="n"/>
      <c r="K278" s="28" t="n"/>
      <c r="L278" s="28" t="n"/>
      <c r="M278" s="59">
        <f>IF(C278="","",IFERROR(INDEX('6. Base de Custos'!$N$8:$N$42,MATCH(C278,'6. Base de Custos'!$L$8:$L$42,0)),"Não classificado"))</f>
        <v/>
      </c>
      <c r="N278" s="59">
        <f>IF(C278="","",IFERROR(INDEX('6. Base de Custos'!$O$8:$O$42,MATCH(C278,'6. Base de Custos'!$L$8:$L$42,0)),"Revisar"))</f>
        <v/>
      </c>
      <c r="O278" s="60">
        <f>IF(M278="","",IFERROR(VLOOKUP(M278,'6. Base de Custos'!$H$12:$J$18,3,FALSE),0))</f>
        <v/>
      </c>
      <c r="P278" s="59">
        <f>IF(C278="","",IFERROR(INDEX('6. Base de Custos'!$P$8:$P$42,MATCH(C278,'6. Base de Custos'!$L$8:$L$42,0)),"Revisar"))</f>
        <v/>
      </c>
      <c r="Q278" s="59">
        <f>IF(C278="","",IFERROR(INDEX('6. Base de Custos'!$Q$8:$Q$42,MATCH(C278,'6. Base de Custos'!$L$8:$L$42,0)),""))</f>
        <v/>
      </c>
      <c r="R278" s="65">
        <f>IF(C278="","",IFERROR(VLOOKUP(M278&amp;"|"&amp;N278,'17. Mapa DRE CP'!$E$5:$H$100,2,FALSE),"Revisar"))</f>
        <v/>
      </c>
      <c r="S278" s="65">
        <f>IF(C278="","",IFERROR(VLOOKUP(M278&amp;"|"&amp;N278,'17. Mapa DRE CP'!$E$5:$H$100,3,FALSE),"Revisar"))</f>
        <v/>
      </c>
      <c r="T278" s="65">
        <f>IF(C278="","",IF(R278="(-) Custos diretos dos serviços",IF(ISNUMBER(SEARCH("PCMSO",C278)),"PCMSO",IF(OR(ISNUMBER(SEARCH("SGS",C278)),ISNUMBER(SEARCH("CASTRO NAVES",C278))),"Projetos / Laudos / Avulsos","Projetos / Laudos / Avulsos")),"Rateio pela receita bruta"))</f>
        <v/>
      </c>
      <c r="U278" s="65">
        <f>IF(C278="","",IF(R278="(-) Custos diretos dos serviços","Direto por fornecedor/natureza do gasto","Rateio proporcional à receita bruta da linha de serviço"))</f>
        <v/>
      </c>
    </row>
    <row r="279">
      <c r="A279" s="28">
        <f>IF(C279="","", "CP-"&amp;TEXT(ROW()-5,"000"))</f>
        <v/>
      </c>
      <c r="B279" s="27">
        <f>IF(F279="","",DATE(YEAR(F279),MONTH(F279),1))</f>
        <v/>
      </c>
      <c r="C279" s="28" t="n"/>
      <c r="D279" s="28" t="n"/>
      <c r="E279" s="59">
        <f>IF(C279="","",IFERROR(INDEX('6. Base de Custos'!$M$8:$M$42,MATCH(C279,'6. Base de Custos'!$L$8:$L$42,0)),"Não classificado"))</f>
        <v/>
      </c>
      <c r="F279" s="111" t="n"/>
      <c r="G279" s="111" t="n"/>
      <c r="H279" s="111" t="n"/>
      <c r="I279" s="45" t="n"/>
      <c r="J279" s="28" t="n"/>
      <c r="K279" s="28" t="n"/>
      <c r="L279" s="28" t="n"/>
      <c r="M279" s="59">
        <f>IF(C279="","",IFERROR(INDEX('6. Base de Custos'!$N$8:$N$42,MATCH(C279,'6. Base de Custos'!$L$8:$L$42,0)),"Não classificado"))</f>
        <v/>
      </c>
      <c r="N279" s="59">
        <f>IF(C279="","",IFERROR(INDEX('6. Base de Custos'!$O$8:$O$42,MATCH(C279,'6. Base de Custos'!$L$8:$L$42,0)),"Revisar"))</f>
        <v/>
      </c>
      <c r="O279" s="60">
        <f>IF(M279="","",IFERROR(VLOOKUP(M279,'6. Base de Custos'!$H$12:$J$18,3,FALSE),0))</f>
        <v/>
      </c>
      <c r="P279" s="59">
        <f>IF(C279="","",IFERROR(INDEX('6. Base de Custos'!$P$8:$P$42,MATCH(C279,'6. Base de Custos'!$L$8:$L$42,0)),"Revisar"))</f>
        <v/>
      </c>
      <c r="Q279" s="59">
        <f>IF(C279="","",IFERROR(INDEX('6. Base de Custos'!$Q$8:$Q$42,MATCH(C279,'6. Base de Custos'!$L$8:$L$42,0)),""))</f>
        <v/>
      </c>
      <c r="R279" s="65">
        <f>IF(C279="","",IFERROR(VLOOKUP(M279&amp;"|"&amp;N279,'17. Mapa DRE CP'!$E$5:$H$100,2,FALSE),"Revisar"))</f>
        <v/>
      </c>
      <c r="S279" s="65">
        <f>IF(C279="","",IFERROR(VLOOKUP(M279&amp;"|"&amp;N279,'17. Mapa DRE CP'!$E$5:$H$100,3,FALSE),"Revisar"))</f>
        <v/>
      </c>
      <c r="T279" s="65">
        <f>IF(C279="","",IF(R279="(-) Custos diretos dos serviços",IF(ISNUMBER(SEARCH("PCMSO",C279)),"PCMSO",IF(OR(ISNUMBER(SEARCH("SGS",C279)),ISNUMBER(SEARCH("CASTRO NAVES",C279))),"Projetos / Laudos / Avulsos","Projetos / Laudos / Avulsos")),"Rateio pela receita bruta"))</f>
        <v/>
      </c>
      <c r="U279" s="65">
        <f>IF(C279="","",IF(R279="(-) Custos diretos dos serviços","Direto por fornecedor/natureza do gasto","Rateio proporcional à receita bruta da linha de serviço"))</f>
        <v/>
      </c>
    </row>
    <row r="280">
      <c r="A280" s="28">
        <f>IF(C280="","", "CP-"&amp;TEXT(ROW()-5,"000"))</f>
        <v/>
      </c>
      <c r="B280" s="27">
        <f>IF(F280="","",DATE(YEAR(F280),MONTH(F280),1))</f>
        <v/>
      </c>
      <c r="C280" s="28" t="n"/>
      <c r="D280" s="28" t="n"/>
      <c r="E280" s="59">
        <f>IF(C280="","",IFERROR(INDEX('6. Base de Custos'!$M$8:$M$42,MATCH(C280,'6. Base de Custos'!$L$8:$L$42,0)),"Não classificado"))</f>
        <v/>
      </c>
      <c r="F280" s="111" t="n"/>
      <c r="G280" s="111" t="n"/>
      <c r="H280" s="111" t="n"/>
      <c r="I280" s="45" t="n"/>
      <c r="J280" s="28" t="n"/>
      <c r="K280" s="28" t="n"/>
      <c r="L280" s="28" t="n"/>
      <c r="M280" s="59">
        <f>IF(C280="","",IFERROR(INDEX('6. Base de Custos'!$N$8:$N$42,MATCH(C280,'6. Base de Custos'!$L$8:$L$42,0)),"Não classificado"))</f>
        <v/>
      </c>
      <c r="N280" s="59">
        <f>IF(C280="","",IFERROR(INDEX('6. Base de Custos'!$O$8:$O$42,MATCH(C280,'6. Base de Custos'!$L$8:$L$42,0)),"Revisar"))</f>
        <v/>
      </c>
      <c r="O280" s="60">
        <f>IF(M280="","",IFERROR(VLOOKUP(M280,'6. Base de Custos'!$H$12:$J$18,3,FALSE),0))</f>
        <v/>
      </c>
      <c r="P280" s="59">
        <f>IF(C280="","",IFERROR(INDEX('6. Base de Custos'!$P$8:$P$42,MATCH(C280,'6. Base de Custos'!$L$8:$L$42,0)),"Revisar"))</f>
        <v/>
      </c>
      <c r="Q280" s="59">
        <f>IF(C280="","",IFERROR(INDEX('6. Base de Custos'!$Q$8:$Q$42,MATCH(C280,'6. Base de Custos'!$L$8:$L$42,0)),""))</f>
        <v/>
      </c>
      <c r="R280" s="65">
        <f>IF(C280="","",IFERROR(VLOOKUP(M280&amp;"|"&amp;N280,'17. Mapa DRE CP'!$E$5:$H$100,2,FALSE),"Revisar"))</f>
        <v/>
      </c>
      <c r="S280" s="65">
        <f>IF(C280="","",IFERROR(VLOOKUP(M280&amp;"|"&amp;N280,'17. Mapa DRE CP'!$E$5:$H$100,3,FALSE),"Revisar"))</f>
        <v/>
      </c>
      <c r="T280" s="65">
        <f>IF(C280="","",IF(R280="(-) Custos diretos dos serviços",IF(ISNUMBER(SEARCH("PCMSO",C280)),"PCMSO",IF(OR(ISNUMBER(SEARCH("SGS",C280)),ISNUMBER(SEARCH("CASTRO NAVES",C280))),"Projetos / Laudos / Avulsos","Projetos / Laudos / Avulsos")),"Rateio pela receita bruta"))</f>
        <v/>
      </c>
      <c r="U280" s="65">
        <f>IF(C280="","",IF(R280="(-) Custos diretos dos serviços","Direto por fornecedor/natureza do gasto","Rateio proporcional à receita bruta da linha de serviço"))</f>
        <v/>
      </c>
    </row>
    <row r="281">
      <c r="A281" s="28">
        <f>IF(C281="","", "CP-"&amp;TEXT(ROW()-5,"000"))</f>
        <v/>
      </c>
      <c r="B281" s="27">
        <f>IF(F281="","",DATE(YEAR(F281),MONTH(F281),1))</f>
        <v/>
      </c>
      <c r="C281" s="28" t="n"/>
      <c r="D281" s="28" t="n"/>
      <c r="E281" s="59">
        <f>IF(C281="","",IFERROR(INDEX('6. Base de Custos'!$M$8:$M$42,MATCH(C281,'6. Base de Custos'!$L$8:$L$42,0)),"Não classificado"))</f>
        <v/>
      </c>
      <c r="F281" s="111" t="n"/>
      <c r="G281" s="111" t="n"/>
      <c r="H281" s="111" t="n"/>
      <c r="I281" s="45" t="n"/>
      <c r="J281" s="28" t="n"/>
      <c r="K281" s="28" t="n"/>
      <c r="L281" s="28" t="n"/>
      <c r="M281" s="59">
        <f>IF(C281="","",IFERROR(INDEX('6. Base de Custos'!$N$8:$N$42,MATCH(C281,'6. Base de Custos'!$L$8:$L$42,0)),"Não classificado"))</f>
        <v/>
      </c>
      <c r="N281" s="59">
        <f>IF(C281="","",IFERROR(INDEX('6. Base de Custos'!$O$8:$O$42,MATCH(C281,'6. Base de Custos'!$L$8:$L$42,0)),"Revisar"))</f>
        <v/>
      </c>
      <c r="O281" s="60">
        <f>IF(M281="","",IFERROR(VLOOKUP(M281,'6. Base de Custos'!$H$12:$J$18,3,FALSE),0))</f>
        <v/>
      </c>
      <c r="P281" s="59">
        <f>IF(C281="","",IFERROR(INDEX('6. Base de Custos'!$P$8:$P$42,MATCH(C281,'6. Base de Custos'!$L$8:$L$42,0)),"Revisar"))</f>
        <v/>
      </c>
      <c r="Q281" s="59">
        <f>IF(C281="","",IFERROR(INDEX('6. Base de Custos'!$Q$8:$Q$42,MATCH(C281,'6. Base de Custos'!$L$8:$L$42,0)),""))</f>
        <v/>
      </c>
      <c r="R281" s="65">
        <f>IF(C281="","",IFERROR(VLOOKUP(M281&amp;"|"&amp;N281,'17. Mapa DRE CP'!$E$5:$H$100,2,FALSE),"Revisar"))</f>
        <v/>
      </c>
      <c r="S281" s="65">
        <f>IF(C281="","",IFERROR(VLOOKUP(M281&amp;"|"&amp;N281,'17. Mapa DRE CP'!$E$5:$H$100,3,FALSE),"Revisar"))</f>
        <v/>
      </c>
      <c r="T281" s="65">
        <f>IF(C281="","",IF(R281="(-) Custos diretos dos serviços",IF(ISNUMBER(SEARCH("PCMSO",C281)),"PCMSO",IF(OR(ISNUMBER(SEARCH("SGS",C281)),ISNUMBER(SEARCH("CASTRO NAVES",C281))),"Projetos / Laudos / Avulsos","Projetos / Laudos / Avulsos")),"Rateio pela receita bruta"))</f>
        <v/>
      </c>
      <c r="U281" s="65">
        <f>IF(C281="","",IF(R281="(-) Custos diretos dos serviços","Direto por fornecedor/natureza do gasto","Rateio proporcional à receita bruta da linha de serviço"))</f>
        <v/>
      </c>
    </row>
    <row r="282">
      <c r="A282" s="28">
        <f>IF(C282="","", "CP-"&amp;TEXT(ROW()-5,"000"))</f>
        <v/>
      </c>
      <c r="B282" s="27">
        <f>IF(F282="","",DATE(YEAR(F282),MONTH(F282),1))</f>
        <v/>
      </c>
      <c r="C282" s="28" t="n"/>
      <c r="D282" s="28" t="n"/>
      <c r="E282" s="59">
        <f>IF(C282="","",IFERROR(INDEX('6. Base de Custos'!$M$8:$M$42,MATCH(C282,'6. Base de Custos'!$L$8:$L$42,0)),"Não classificado"))</f>
        <v/>
      </c>
      <c r="F282" s="111" t="n"/>
      <c r="G282" s="111" t="n"/>
      <c r="H282" s="111" t="n"/>
      <c r="I282" s="45" t="n"/>
      <c r="J282" s="28" t="n"/>
      <c r="K282" s="28" t="n"/>
      <c r="L282" s="28" t="n"/>
      <c r="M282" s="59">
        <f>IF(C282="","",IFERROR(INDEX('6. Base de Custos'!$N$8:$N$42,MATCH(C282,'6. Base de Custos'!$L$8:$L$42,0)),"Não classificado"))</f>
        <v/>
      </c>
      <c r="N282" s="59">
        <f>IF(C282="","",IFERROR(INDEX('6. Base de Custos'!$O$8:$O$42,MATCH(C282,'6. Base de Custos'!$L$8:$L$42,0)),"Revisar"))</f>
        <v/>
      </c>
      <c r="O282" s="60">
        <f>IF(M282="","",IFERROR(VLOOKUP(M282,'6. Base de Custos'!$H$12:$J$18,3,FALSE),0))</f>
        <v/>
      </c>
      <c r="P282" s="59">
        <f>IF(C282="","",IFERROR(INDEX('6. Base de Custos'!$P$8:$P$42,MATCH(C282,'6. Base de Custos'!$L$8:$L$42,0)),"Revisar"))</f>
        <v/>
      </c>
      <c r="Q282" s="59">
        <f>IF(C282="","",IFERROR(INDEX('6. Base de Custos'!$Q$8:$Q$42,MATCH(C282,'6. Base de Custos'!$L$8:$L$42,0)),""))</f>
        <v/>
      </c>
      <c r="R282" s="65">
        <f>IF(C282="","",IFERROR(VLOOKUP(M282&amp;"|"&amp;N282,'17. Mapa DRE CP'!$E$5:$H$100,2,FALSE),"Revisar"))</f>
        <v/>
      </c>
      <c r="S282" s="65">
        <f>IF(C282="","",IFERROR(VLOOKUP(M282&amp;"|"&amp;N282,'17. Mapa DRE CP'!$E$5:$H$100,3,FALSE),"Revisar"))</f>
        <v/>
      </c>
      <c r="T282" s="65">
        <f>IF(C282="","",IF(R282="(-) Custos diretos dos serviços",IF(ISNUMBER(SEARCH("PCMSO",C282)),"PCMSO",IF(OR(ISNUMBER(SEARCH("SGS",C282)),ISNUMBER(SEARCH("CASTRO NAVES",C282))),"Projetos / Laudos / Avulsos","Projetos / Laudos / Avulsos")),"Rateio pela receita bruta"))</f>
        <v/>
      </c>
      <c r="U282" s="65">
        <f>IF(C282="","",IF(R282="(-) Custos diretos dos serviços","Direto por fornecedor/natureza do gasto","Rateio proporcional à receita bruta da linha de serviço"))</f>
        <v/>
      </c>
    </row>
    <row r="283">
      <c r="A283" s="28">
        <f>IF(C283="","", "CP-"&amp;TEXT(ROW()-5,"000"))</f>
        <v/>
      </c>
      <c r="B283" s="27">
        <f>IF(F283="","",DATE(YEAR(F283),MONTH(F283),1))</f>
        <v/>
      </c>
      <c r="C283" s="28" t="n"/>
      <c r="D283" s="28" t="n"/>
      <c r="E283" s="59">
        <f>IF(C283="","",IFERROR(INDEX('6. Base de Custos'!$M$8:$M$42,MATCH(C283,'6. Base de Custos'!$L$8:$L$42,0)),"Não classificado"))</f>
        <v/>
      </c>
      <c r="F283" s="111" t="n"/>
      <c r="G283" s="111" t="n"/>
      <c r="H283" s="111" t="n"/>
      <c r="I283" s="45" t="n"/>
      <c r="J283" s="28" t="n"/>
      <c r="K283" s="28" t="n"/>
      <c r="L283" s="28" t="n"/>
      <c r="M283" s="59">
        <f>IF(C283="","",IFERROR(INDEX('6. Base de Custos'!$N$8:$N$42,MATCH(C283,'6. Base de Custos'!$L$8:$L$42,0)),"Não classificado"))</f>
        <v/>
      </c>
      <c r="N283" s="59">
        <f>IF(C283="","",IFERROR(INDEX('6. Base de Custos'!$O$8:$O$42,MATCH(C283,'6. Base de Custos'!$L$8:$L$42,0)),"Revisar"))</f>
        <v/>
      </c>
      <c r="O283" s="60">
        <f>IF(M283="","",IFERROR(VLOOKUP(M283,'6. Base de Custos'!$H$12:$J$18,3,FALSE),0))</f>
        <v/>
      </c>
      <c r="P283" s="59">
        <f>IF(C283="","",IFERROR(INDEX('6. Base de Custos'!$P$8:$P$42,MATCH(C283,'6. Base de Custos'!$L$8:$L$42,0)),"Revisar"))</f>
        <v/>
      </c>
      <c r="Q283" s="59">
        <f>IF(C283="","",IFERROR(INDEX('6. Base de Custos'!$Q$8:$Q$42,MATCH(C283,'6. Base de Custos'!$L$8:$L$42,0)),""))</f>
        <v/>
      </c>
      <c r="R283" s="65">
        <f>IF(C283="","",IFERROR(VLOOKUP(M283&amp;"|"&amp;N283,'17. Mapa DRE CP'!$E$5:$H$100,2,FALSE),"Revisar"))</f>
        <v/>
      </c>
      <c r="S283" s="65">
        <f>IF(C283="","",IFERROR(VLOOKUP(M283&amp;"|"&amp;N283,'17. Mapa DRE CP'!$E$5:$H$100,3,FALSE),"Revisar"))</f>
        <v/>
      </c>
      <c r="T283" s="65">
        <f>IF(C283="","",IF(R283="(-) Custos diretos dos serviços",IF(ISNUMBER(SEARCH("PCMSO",C283)),"PCMSO",IF(OR(ISNUMBER(SEARCH("SGS",C283)),ISNUMBER(SEARCH("CASTRO NAVES",C283))),"Projetos / Laudos / Avulsos","Projetos / Laudos / Avulsos")),"Rateio pela receita bruta"))</f>
        <v/>
      </c>
      <c r="U283" s="65">
        <f>IF(C283="","",IF(R283="(-) Custos diretos dos serviços","Direto por fornecedor/natureza do gasto","Rateio proporcional à receita bruta da linha de serviço"))</f>
        <v/>
      </c>
    </row>
    <row r="284">
      <c r="A284" s="28">
        <f>IF(C284="","", "CP-"&amp;TEXT(ROW()-5,"000"))</f>
        <v/>
      </c>
      <c r="B284" s="27">
        <f>IF(F284="","",DATE(YEAR(F284),MONTH(F284),1))</f>
        <v/>
      </c>
      <c r="C284" s="28" t="n"/>
      <c r="D284" s="28" t="n"/>
      <c r="E284" s="59">
        <f>IF(C284="","",IFERROR(INDEX('6. Base de Custos'!$M$8:$M$42,MATCH(C284,'6. Base de Custos'!$L$8:$L$42,0)),"Não classificado"))</f>
        <v/>
      </c>
      <c r="F284" s="111" t="n"/>
      <c r="G284" s="111" t="n"/>
      <c r="H284" s="111" t="n"/>
      <c r="I284" s="45" t="n"/>
      <c r="J284" s="28" t="n"/>
      <c r="K284" s="28" t="n"/>
      <c r="L284" s="28" t="n"/>
      <c r="M284" s="59">
        <f>IF(C284="","",IFERROR(INDEX('6. Base de Custos'!$N$8:$N$42,MATCH(C284,'6. Base de Custos'!$L$8:$L$42,0)),"Não classificado"))</f>
        <v/>
      </c>
      <c r="N284" s="59">
        <f>IF(C284="","",IFERROR(INDEX('6. Base de Custos'!$O$8:$O$42,MATCH(C284,'6. Base de Custos'!$L$8:$L$42,0)),"Revisar"))</f>
        <v/>
      </c>
      <c r="O284" s="60">
        <f>IF(M284="","",IFERROR(VLOOKUP(M284,'6. Base de Custos'!$H$12:$J$18,3,FALSE),0))</f>
        <v/>
      </c>
      <c r="P284" s="59">
        <f>IF(C284="","",IFERROR(INDEX('6. Base de Custos'!$P$8:$P$42,MATCH(C284,'6. Base de Custos'!$L$8:$L$42,0)),"Revisar"))</f>
        <v/>
      </c>
      <c r="Q284" s="59">
        <f>IF(C284="","",IFERROR(INDEX('6. Base de Custos'!$Q$8:$Q$42,MATCH(C284,'6. Base de Custos'!$L$8:$L$42,0)),""))</f>
        <v/>
      </c>
      <c r="R284" s="65">
        <f>IF(C284="","",IFERROR(VLOOKUP(M284&amp;"|"&amp;N284,'17. Mapa DRE CP'!$E$5:$H$100,2,FALSE),"Revisar"))</f>
        <v/>
      </c>
      <c r="S284" s="65">
        <f>IF(C284="","",IFERROR(VLOOKUP(M284&amp;"|"&amp;N284,'17. Mapa DRE CP'!$E$5:$H$100,3,FALSE),"Revisar"))</f>
        <v/>
      </c>
      <c r="T284" s="65">
        <f>IF(C284="","",IF(R284="(-) Custos diretos dos serviços",IF(ISNUMBER(SEARCH("PCMSO",C284)),"PCMSO",IF(OR(ISNUMBER(SEARCH("SGS",C284)),ISNUMBER(SEARCH("CASTRO NAVES",C284))),"Projetos / Laudos / Avulsos","Projetos / Laudos / Avulsos")),"Rateio pela receita bruta"))</f>
        <v/>
      </c>
      <c r="U284" s="65">
        <f>IF(C284="","",IF(R284="(-) Custos diretos dos serviços","Direto por fornecedor/natureza do gasto","Rateio proporcional à receita bruta da linha de serviço"))</f>
        <v/>
      </c>
    </row>
    <row r="285">
      <c r="A285" s="28">
        <f>IF(C285="","", "CP-"&amp;TEXT(ROW()-5,"000"))</f>
        <v/>
      </c>
      <c r="B285" s="27">
        <f>IF(F285="","",DATE(YEAR(F285),MONTH(F285),1))</f>
        <v/>
      </c>
      <c r="C285" s="28" t="n"/>
      <c r="D285" s="28" t="n"/>
      <c r="E285" s="59">
        <f>IF(C285="","",IFERROR(INDEX('6. Base de Custos'!$M$8:$M$42,MATCH(C285,'6. Base de Custos'!$L$8:$L$42,0)),"Não classificado"))</f>
        <v/>
      </c>
      <c r="F285" s="111" t="n"/>
      <c r="G285" s="111" t="n"/>
      <c r="H285" s="111" t="n"/>
      <c r="I285" s="45" t="n"/>
      <c r="J285" s="28" t="n"/>
      <c r="K285" s="28" t="n"/>
      <c r="L285" s="28" t="n"/>
      <c r="M285" s="59">
        <f>IF(C285="","",IFERROR(INDEX('6. Base de Custos'!$N$8:$N$42,MATCH(C285,'6. Base de Custos'!$L$8:$L$42,0)),"Não classificado"))</f>
        <v/>
      </c>
      <c r="N285" s="59">
        <f>IF(C285="","",IFERROR(INDEX('6. Base de Custos'!$O$8:$O$42,MATCH(C285,'6. Base de Custos'!$L$8:$L$42,0)),"Revisar"))</f>
        <v/>
      </c>
      <c r="O285" s="60">
        <f>IF(M285="","",IFERROR(VLOOKUP(M285,'6. Base de Custos'!$H$12:$J$18,3,FALSE),0))</f>
        <v/>
      </c>
      <c r="P285" s="59">
        <f>IF(C285="","",IFERROR(INDEX('6. Base de Custos'!$P$8:$P$42,MATCH(C285,'6. Base de Custos'!$L$8:$L$42,0)),"Revisar"))</f>
        <v/>
      </c>
      <c r="Q285" s="59">
        <f>IF(C285="","",IFERROR(INDEX('6. Base de Custos'!$Q$8:$Q$42,MATCH(C285,'6. Base de Custos'!$L$8:$L$42,0)),""))</f>
        <v/>
      </c>
      <c r="R285" s="65">
        <f>IF(C285="","",IFERROR(VLOOKUP(M285&amp;"|"&amp;N285,'17. Mapa DRE CP'!$E$5:$H$100,2,FALSE),"Revisar"))</f>
        <v/>
      </c>
      <c r="S285" s="65">
        <f>IF(C285="","",IFERROR(VLOOKUP(M285&amp;"|"&amp;N285,'17. Mapa DRE CP'!$E$5:$H$100,3,FALSE),"Revisar"))</f>
        <v/>
      </c>
      <c r="T285" s="65">
        <f>IF(C285="","",IF(R285="(-) Custos diretos dos serviços",IF(ISNUMBER(SEARCH("PCMSO",C285)),"PCMSO",IF(OR(ISNUMBER(SEARCH("SGS",C285)),ISNUMBER(SEARCH("CASTRO NAVES",C285))),"Projetos / Laudos / Avulsos","Projetos / Laudos / Avulsos")),"Rateio pela receita bruta"))</f>
        <v/>
      </c>
      <c r="U285" s="65">
        <f>IF(C285="","",IF(R285="(-) Custos diretos dos serviços","Direto por fornecedor/natureza do gasto","Rateio proporcional à receita bruta da linha de serviço"))</f>
        <v/>
      </c>
    </row>
    <row r="286">
      <c r="A286" s="28">
        <f>IF(C286="","", "CP-"&amp;TEXT(ROW()-5,"000"))</f>
        <v/>
      </c>
      <c r="B286" s="27">
        <f>IF(F286="","",DATE(YEAR(F286),MONTH(F286),1))</f>
        <v/>
      </c>
      <c r="C286" s="28" t="n"/>
      <c r="D286" s="28" t="n"/>
      <c r="E286" s="59">
        <f>IF(C286="","",IFERROR(INDEX('6. Base de Custos'!$M$8:$M$42,MATCH(C286,'6. Base de Custos'!$L$8:$L$42,0)),"Não classificado"))</f>
        <v/>
      </c>
      <c r="F286" s="111" t="n"/>
      <c r="G286" s="111" t="n"/>
      <c r="H286" s="111" t="n"/>
      <c r="I286" s="45" t="n"/>
      <c r="J286" s="28" t="n"/>
      <c r="K286" s="28" t="n"/>
      <c r="L286" s="28" t="n"/>
      <c r="M286" s="59">
        <f>IF(C286="","",IFERROR(INDEX('6. Base de Custos'!$N$8:$N$42,MATCH(C286,'6. Base de Custos'!$L$8:$L$42,0)),"Não classificado"))</f>
        <v/>
      </c>
      <c r="N286" s="59">
        <f>IF(C286="","",IFERROR(INDEX('6. Base de Custos'!$O$8:$O$42,MATCH(C286,'6. Base de Custos'!$L$8:$L$42,0)),"Revisar"))</f>
        <v/>
      </c>
      <c r="O286" s="60">
        <f>IF(M286="","",IFERROR(VLOOKUP(M286,'6. Base de Custos'!$H$12:$J$18,3,FALSE),0))</f>
        <v/>
      </c>
      <c r="P286" s="59">
        <f>IF(C286="","",IFERROR(INDEX('6. Base de Custos'!$P$8:$P$42,MATCH(C286,'6. Base de Custos'!$L$8:$L$42,0)),"Revisar"))</f>
        <v/>
      </c>
      <c r="Q286" s="59">
        <f>IF(C286="","",IFERROR(INDEX('6. Base de Custos'!$Q$8:$Q$42,MATCH(C286,'6. Base de Custos'!$L$8:$L$42,0)),""))</f>
        <v/>
      </c>
      <c r="R286" s="65">
        <f>IF(C286="","",IFERROR(VLOOKUP(M286&amp;"|"&amp;N286,'17. Mapa DRE CP'!$E$5:$H$100,2,FALSE),"Revisar"))</f>
        <v/>
      </c>
      <c r="S286" s="65">
        <f>IF(C286="","",IFERROR(VLOOKUP(M286&amp;"|"&amp;N286,'17. Mapa DRE CP'!$E$5:$H$100,3,FALSE),"Revisar"))</f>
        <v/>
      </c>
      <c r="T286" s="65">
        <f>IF(C286="","",IF(R286="(-) Custos diretos dos serviços",IF(ISNUMBER(SEARCH("PCMSO",C286)),"PCMSO",IF(OR(ISNUMBER(SEARCH("SGS",C286)),ISNUMBER(SEARCH("CASTRO NAVES",C286))),"Projetos / Laudos / Avulsos","Projetos / Laudos / Avulsos")),"Rateio pela receita bruta"))</f>
        <v/>
      </c>
      <c r="U286" s="65">
        <f>IF(C286="","",IF(R286="(-) Custos diretos dos serviços","Direto por fornecedor/natureza do gasto","Rateio proporcional à receita bruta da linha de serviço"))</f>
        <v/>
      </c>
    </row>
    <row r="287">
      <c r="A287" s="28">
        <f>IF(C287="","", "CP-"&amp;TEXT(ROW()-5,"000"))</f>
        <v/>
      </c>
      <c r="B287" s="27">
        <f>IF(F287="","",DATE(YEAR(F287),MONTH(F287),1))</f>
        <v/>
      </c>
      <c r="C287" s="28" t="n"/>
      <c r="D287" s="28" t="n"/>
      <c r="E287" s="59">
        <f>IF(C287="","",IFERROR(INDEX('6. Base de Custos'!$M$8:$M$42,MATCH(C287,'6. Base de Custos'!$L$8:$L$42,0)),"Não classificado"))</f>
        <v/>
      </c>
      <c r="F287" s="111" t="n"/>
      <c r="G287" s="111" t="n"/>
      <c r="H287" s="111" t="n"/>
      <c r="I287" s="45" t="n"/>
      <c r="J287" s="28" t="n"/>
      <c r="K287" s="28" t="n"/>
      <c r="L287" s="28" t="n"/>
      <c r="M287" s="59">
        <f>IF(C287="","",IFERROR(INDEX('6. Base de Custos'!$N$8:$N$42,MATCH(C287,'6. Base de Custos'!$L$8:$L$42,0)),"Não classificado"))</f>
        <v/>
      </c>
      <c r="N287" s="59">
        <f>IF(C287="","",IFERROR(INDEX('6. Base de Custos'!$O$8:$O$42,MATCH(C287,'6. Base de Custos'!$L$8:$L$42,0)),"Revisar"))</f>
        <v/>
      </c>
      <c r="O287" s="60">
        <f>IF(M287="","",IFERROR(VLOOKUP(M287,'6. Base de Custos'!$H$12:$J$18,3,FALSE),0))</f>
        <v/>
      </c>
      <c r="P287" s="59">
        <f>IF(C287="","",IFERROR(INDEX('6. Base de Custos'!$P$8:$P$42,MATCH(C287,'6. Base de Custos'!$L$8:$L$42,0)),"Revisar"))</f>
        <v/>
      </c>
      <c r="Q287" s="59">
        <f>IF(C287="","",IFERROR(INDEX('6. Base de Custos'!$Q$8:$Q$42,MATCH(C287,'6. Base de Custos'!$L$8:$L$42,0)),""))</f>
        <v/>
      </c>
      <c r="R287" s="65">
        <f>IF(C287="","",IFERROR(VLOOKUP(M287&amp;"|"&amp;N287,'17. Mapa DRE CP'!$E$5:$H$100,2,FALSE),"Revisar"))</f>
        <v/>
      </c>
      <c r="S287" s="65">
        <f>IF(C287="","",IFERROR(VLOOKUP(M287&amp;"|"&amp;N287,'17. Mapa DRE CP'!$E$5:$H$100,3,FALSE),"Revisar"))</f>
        <v/>
      </c>
      <c r="T287" s="65">
        <f>IF(C287="","",IF(R287="(-) Custos diretos dos serviços",IF(ISNUMBER(SEARCH("PCMSO",C287)),"PCMSO",IF(OR(ISNUMBER(SEARCH("SGS",C287)),ISNUMBER(SEARCH("CASTRO NAVES",C287))),"Projetos / Laudos / Avulsos","Projetos / Laudos / Avulsos")),"Rateio pela receita bruta"))</f>
        <v/>
      </c>
      <c r="U287" s="65">
        <f>IF(C287="","",IF(R287="(-) Custos diretos dos serviços","Direto por fornecedor/natureza do gasto","Rateio proporcional à receita bruta da linha de serviço"))</f>
        <v/>
      </c>
    </row>
    <row r="288">
      <c r="A288" s="28">
        <f>IF(C288="","", "CP-"&amp;TEXT(ROW()-5,"000"))</f>
        <v/>
      </c>
      <c r="B288" s="27">
        <f>IF(F288="","",DATE(YEAR(F288),MONTH(F288),1))</f>
        <v/>
      </c>
      <c r="C288" s="28" t="n"/>
      <c r="D288" s="28" t="n"/>
      <c r="E288" s="59">
        <f>IF(C288="","",IFERROR(INDEX('6. Base de Custos'!$M$8:$M$42,MATCH(C288,'6. Base de Custos'!$L$8:$L$42,0)),"Não classificado"))</f>
        <v/>
      </c>
      <c r="F288" s="111" t="n"/>
      <c r="G288" s="111" t="n"/>
      <c r="H288" s="111" t="n"/>
      <c r="I288" s="45" t="n"/>
      <c r="J288" s="28" t="n"/>
      <c r="K288" s="28" t="n"/>
      <c r="L288" s="28" t="n"/>
      <c r="M288" s="59">
        <f>IF(C288="","",IFERROR(INDEX('6. Base de Custos'!$N$8:$N$42,MATCH(C288,'6. Base de Custos'!$L$8:$L$42,0)),"Não classificado"))</f>
        <v/>
      </c>
      <c r="N288" s="59">
        <f>IF(C288="","",IFERROR(INDEX('6. Base de Custos'!$O$8:$O$42,MATCH(C288,'6. Base de Custos'!$L$8:$L$42,0)),"Revisar"))</f>
        <v/>
      </c>
      <c r="O288" s="60">
        <f>IF(M288="","",IFERROR(VLOOKUP(M288,'6. Base de Custos'!$H$12:$J$18,3,FALSE),0))</f>
        <v/>
      </c>
      <c r="P288" s="59">
        <f>IF(C288="","",IFERROR(INDEX('6. Base de Custos'!$P$8:$P$42,MATCH(C288,'6. Base de Custos'!$L$8:$L$42,0)),"Revisar"))</f>
        <v/>
      </c>
      <c r="Q288" s="59">
        <f>IF(C288="","",IFERROR(INDEX('6. Base de Custos'!$Q$8:$Q$42,MATCH(C288,'6. Base de Custos'!$L$8:$L$42,0)),""))</f>
        <v/>
      </c>
      <c r="R288" s="65">
        <f>IF(C288="","",IFERROR(VLOOKUP(M288&amp;"|"&amp;N288,'17. Mapa DRE CP'!$E$5:$H$100,2,FALSE),"Revisar"))</f>
        <v/>
      </c>
      <c r="S288" s="65">
        <f>IF(C288="","",IFERROR(VLOOKUP(M288&amp;"|"&amp;N288,'17. Mapa DRE CP'!$E$5:$H$100,3,FALSE),"Revisar"))</f>
        <v/>
      </c>
      <c r="T288" s="65">
        <f>IF(C288="","",IF(R288="(-) Custos diretos dos serviços",IF(ISNUMBER(SEARCH("PCMSO",C288)),"PCMSO",IF(OR(ISNUMBER(SEARCH("SGS",C288)),ISNUMBER(SEARCH("CASTRO NAVES",C288))),"Projetos / Laudos / Avulsos","Projetos / Laudos / Avulsos")),"Rateio pela receita bruta"))</f>
        <v/>
      </c>
      <c r="U288" s="65">
        <f>IF(C288="","",IF(R288="(-) Custos diretos dos serviços","Direto por fornecedor/natureza do gasto","Rateio proporcional à receita bruta da linha de serviço"))</f>
        <v/>
      </c>
    </row>
    <row r="289">
      <c r="A289" s="28">
        <f>IF(C289="","", "CP-"&amp;TEXT(ROW()-5,"000"))</f>
        <v/>
      </c>
      <c r="B289" s="27">
        <f>IF(F289="","",DATE(YEAR(F289),MONTH(F289),1))</f>
        <v/>
      </c>
      <c r="C289" s="28" t="n"/>
      <c r="D289" s="28" t="n"/>
      <c r="E289" s="59">
        <f>IF(C289="","",IFERROR(INDEX('6. Base de Custos'!$M$8:$M$42,MATCH(C289,'6. Base de Custos'!$L$8:$L$42,0)),"Não classificado"))</f>
        <v/>
      </c>
      <c r="F289" s="111" t="n"/>
      <c r="G289" s="111" t="n"/>
      <c r="H289" s="111" t="n"/>
      <c r="I289" s="45" t="n"/>
      <c r="J289" s="28" t="n"/>
      <c r="K289" s="28" t="n"/>
      <c r="L289" s="28" t="n"/>
      <c r="M289" s="59">
        <f>IF(C289="","",IFERROR(INDEX('6. Base de Custos'!$N$8:$N$42,MATCH(C289,'6. Base de Custos'!$L$8:$L$42,0)),"Não classificado"))</f>
        <v/>
      </c>
      <c r="N289" s="59">
        <f>IF(C289="","",IFERROR(INDEX('6. Base de Custos'!$O$8:$O$42,MATCH(C289,'6. Base de Custos'!$L$8:$L$42,0)),"Revisar"))</f>
        <v/>
      </c>
      <c r="O289" s="60">
        <f>IF(M289="","",IFERROR(VLOOKUP(M289,'6. Base de Custos'!$H$12:$J$18,3,FALSE),0))</f>
        <v/>
      </c>
      <c r="P289" s="59">
        <f>IF(C289="","",IFERROR(INDEX('6. Base de Custos'!$P$8:$P$42,MATCH(C289,'6. Base de Custos'!$L$8:$L$42,0)),"Revisar"))</f>
        <v/>
      </c>
      <c r="Q289" s="59">
        <f>IF(C289="","",IFERROR(INDEX('6. Base de Custos'!$Q$8:$Q$42,MATCH(C289,'6. Base de Custos'!$L$8:$L$42,0)),""))</f>
        <v/>
      </c>
      <c r="R289" s="65">
        <f>IF(C289="","",IFERROR(VLOOKUP(M289&amp;"|"&amp;N289,'17. Mapa DRE CP'!$E$5:$H$100,2,FALSE),"Revisar"))</f>
        <v/>
      </c>
      <c r="S289" s="65">
        <f>IF(C289="","",IFERROR(VLOOKUP(M289&amp;"|"&amp;N289,'17. Mapa DRE CP'!$E$5:$H$100,3,FALSE),"Revisar"))</f>
        <v/>
      </c>
      <c r="T289" s="65">
        <f>IF(C289="","",IF(R289="(-) Custos diretos dos serviços",IF(ISNUMBER(SEARCH("PCMSO",C289)),"PCMSO",IF(OR(ISNUMBER(SEARCH("SGS",C289)),ISNUMBER(SEARCH("CASTRO NAVES",C289))),"Projetos / Laudos / Avulsos","Projetos / Laudos / Avulsos")),"Rateio pela receita bruta"))</f>
        <v/>
      </c>
      <c r="U289" s="65">
        <f>IF(C289="","",IF(R289="(-) Custos diretos dos serviços","Direto por fornecedor/natureza do gasto","Rateio proporcional à receita bruta da linha de serviço"))</f>
        <v/>
      </c>
    </row>
    <row r="290">
      <c r="A290" s="28">
        <f>IF(C290="","", "CP-"&amp;TEXT(ROW()-5,"000"))</f>
        <v/>
      </c>
      <c r="B290" s="27">
        <f>IF(F290="","",DATE(YEAR(F290),MONTH(F290),1))</f>
        <v/>
      </c>
      <c r="C290" s="28" t="n"/>
      <c r="D290" s="28" t="n"/>
      <c r="E290" s="59">
        <f>IF(C290="","",IFERROR(INDEX('6. Base de Custos'!$M$8:$M$42,MATCH(C290,'6. Base de Custos'!$L$8:$L$42,0)),"Não classificado"))</f>
        <v/>
      </c>
      <c r="F290" s="111" t="n"/>
      <c r="G290" s="111" t="n"/>
      <c r="H290" s="111" t="n"/>
      <c r="I290" s="45" t="n"/>
      <c r="J290" s="28" t="n"/>
      <c r="K290" s="28" t="n"/>
      <c r="L290" s="28" t="n"/>
      <c r="M290" s="59">
        <f>IF(C290="","",IFERROR(INDEX('6. Base de Custos'!$N$8:$N$42,MATCH(C290,'6. Base de Custos'!$L$8:$L$42,0)),"Não classificado"))</f>
        <v/>
      </c>
      <c r="N290" s="59">
        <f>IF(C290="","",IFERROR(INDEX('6. Base de Custos'!$O$8:$O$42,MATCH(C290,'6. Base de Custos'!$L$8:$L$42,0)),"Revisar"))</f>
        <v/>
      </c>
      <c r="O290" s="60">
        <f>IF(M290="","",IFERROR(VLOOKUP(M290,'6. Base de Custos'!$H$12:$J$18,3,FALSE),0))</f>
        <v/>
      </c>
      <c r="P290" s="59">
        <f>IF(C290="","",IFERROR(INDEX('6. Base de Custos'!$P$8:$P$42,MATCH(C290,'6. Base de Custos'!$L$8:$L$42,0)),"Revisar"))</f>
        <v/>
      </c>
      <c r="Q290" s="59">
        <f>IF(C290="","",IFERROR(INDEX('6. Base de Custos'!$Q$8:$Q$42,MATCH(C290,'6. Base de Custos'!$L$8:$L$42,0)),""))</f>
        <v/>
      </c>
      <c r="R290" s="65">
        <f>IF(C290="","",IFERROR(VLOOKUP(M290&amp;"|"&amp;N290,'17. Mapa DRE CP'!$E$5:$H$100,2,FALSE),"Revisar"))</f>
        <v/>
      </c>
      <c r="S290" s="65">
        <f>IF(C290="","",IFERROR(VLOOKUP(M290&amp;"|"&amp;N290,'17. Mapa DRE CP'!$E$5:$H$100,3,FALSE),"Revisar"))</f>
        <v/>
      </c>
      <c r="T290" s="65">
        <f>IF(C290="","",IF(R290="(-) Custos diretos dos serviços",IF(ISNUMBER(SEARCH("PCMSO",C290)),"PCMSO",IF(OR(ISNUMBER(SEARCH("SGS",C290)),ISNUMBER(SEARCH("CASTRO NAVES",C290))),"Projetos / Laudos / Avulsos","Projetos / Laudos / Avulsos")),"Rateio pela receita bruta"))</f>
        <v/>
      </c>
      <c r="U290" s="65">
        <f>IF(C290="","",IF(R290="(-) Custos diretos dos serviços","Direto por fornecedor/natureza do gasto","Rateio proporcional à receita bruta da linha de serviço"))</f>
        <v/>
      </c>
    </row>
    <row r="291">
      <c r="A291" s="28">
        <f>IF(C291="","", "CP-"&amp;TEXT(ROW()-5,"000"))</f>
        <v/>
      </c>
      <c r="B291" s="27">
        <f>IF(F291="","",DATE(YEAR(F291),MONTH(F291),1))</f>
        <v/>
      </c>
      <c r="C291" s="28" t="n"/>
      <c r="D291" s="28" t="n"/>
      <c r="E291" s="59">
        <f>IF(C291="","",IFERROR(INDEX('6. Base de Custos'!$M$8:$M$42,MATCH(C291,'6. Base de Custos'!$L$8:$L$42,0)),"Não classificado"))</f>
        <v/>
      </c>
      <c r="F291" s="111" t="n"/>
      <c r="G291" s="111" t="n"/>
      <c r="H291" s="111" t="n"/>
      <c r="I291" s="45" t="n"/>
      <c r="J291" s="28" t="n"/>
      <c r="K291" s="28" t="n"/>
      <c r="L291" s="28" t="n"/>
      <c r="M291" s="59">
        <f>IF(C291="","",IFERROR(INDEX('6. Base de Custos'!$N$8:$N$42,MATCH(C291,'6. Base de Custos'!$L$8:$L$42,0)),"Não classificado"))</f>
        <v/>
      </c>
      <c r="N291" s="59">
        <f>IF(C291="","",IFERROR(INDEX('6. Base de Custos'!$O$8:$O$42,MATCH(C291,'6. Base de Custos'!$L$8:$L$42,0)),"Revisar"))</f>
        <v/>
      </c>
      <c r="O291" s="60">
        <f>IF(M291="","",IFERROR(VLOOKUP(M291,'6. Base de Custos'!$H$12:$J$18,3,FALSE),0))</f>
        <v/>
      </c>
      <c r="P291" s="59">
        <f>IF(C291="","",IFERROR(INDEX('6. Base de Custos'!$P$8:$P$42,MATCH(C291,'6. Base de Custos'!$L$8:$L$42,0)),"Revisar"))</f>
        <v/>
      </c>
      <c r="Q291" s="59">
        <f>IF(C291="","",IFERROR(INDEX('6. Base de Custos'!$Q$8:$Q$42,MATCH(C291,'6. Base de Custos'!$L$8:$L$42,0)),""))</f>
        <v/>
      </c>
      <c r="R291" s="65">
        <f>IF(C291="","",IFERROR(VLOOKUP(M291&amp;"|"&amp;N291,'17. Mapa DRE CP'!$E$5:$H$100,2,FALSE),"Revisar"))</f>
        <v/>
      </c>
      <c r="S291" s="65">
        <f>IF(C291="","",IFERROR(VLOOKUP(M291&amp;"|"&amp;N291,'17. Mapa DRE CP'!$E$5:$H$100,3,FALSE),"Revisar"))</f>
        <v/>
      </c>
      <c r="T291" s="65">
        <f>IF(C291="","",IF(R291="(-) Custos diretos dos serviços",IF(ISNUMBER(SEARCH("PCMSO",C291)),"PCMSO",IF(OR(ISNUMBER(SEARCH("SGS",C291)),ISNUMBER(SEARCH("CASTRO NAVES",C291))),"Projetos / Laudos / Avulsos","Projetos / Laudos / Avulsos")),"Rateio pela receita bruta"))</f>
        <v/>
      </c>
      <c r="U291" s="65">
        <f>IF(C291="","",IF(R291="(-) Custos diretos dos serviços","Direto por fornecedor/natureza do gasto","Rateio proporcional à receita bruta da linha de serviço"))</f>
        <v/>
      </c>
    </row>
    <row r="292">
      <c r="A292" s="28">
        <f>IF(C292="","", "CP-"&amp;TEXT(ROW()-5,"000"))</f>
        <v/>
      </c>
      <c r="B292" s="27">
        <f>IF(F292="","",DATE(YEAR(F292),MONTH(F292),1))</f>
        <v/>
      </c>
      <c r="C292" s="28" t="n"/>
      <c r="D292" s="28" t="n"/>
      <c r="E292" s="59">
        <f>IF(C292="","",IFERROR(INDEX('6. Base de Custos'!$M$8:$M$42,MATCH(C292,'6. Base de Custos'!$L$8:$L$42,0)),"Não classificado"))</f>
        <v/>
      </c>
      <c r="F292" s="111" t="n"/>
      <c r="G292" s="111" t="n"/>
      <c r="H292" s="111" t="n"/>
      <c r="I292" s="45" t="n"/>
      <c r="J292" s="28" t="n"/>
      <c r="K292" s="28" t="n"/>
      <c r="L292" s="28" t="n"/>
      <c r="M292" s="59">
        <f>IF(C292="","",IFERROR(INDEX('6. Base de Custos'!$N$8:$N$42,MATCH(C292,'6. Base de Custos'!$L$8:$L$42,0)),"Não classificado"))</f>
        <v/>
      </c>
      <c r="N292" s="59">
        <f>IF(C292="","",IFERROR(INDEX('6. Base de Custos'!$O$8:$O$42,MATCH(C292,'6. Base de Custos'!$L$8:$L$42,0)),"Revisar"))</f>
        <v/>
      </c>
      <c r="O292" s="60">
        <f>IF(M292="","",IFERROR(VLOOKUP(M292,'6. Base de Custos'!$H$12:$J$18,3,FALSE),0))</f>
        <v/>
      </c>
      <c r="P292" s="59">
        <f>IF(C292="","",IFERROR(INDEX('6. Base de Custos'!$P$8:$P$42,MATCH(C292,'6. Base de Custos'!$L$8:$L$42,0)),"Revisar"))</f>
        <v/>
      </c>
      <c r="Q292" s="59">
        <f>IF(C292="","",IFERROR(INDEX('6. Base de Custos'!$Q$8:$Q$42,MATCH(C292,'6. Base de Custos'!$L$8:$L$42,0)),""))</f>
        <v/>
      </c>
      <c r="R292" s="65">
        <f>IF(C292="","",IFERROR(VLOOKUP(M292&amp;"|"&amp;N292,'17. Mapa DRE CP'!$E$5:$H$100,2,FALSE),"Revisar"))</f>
        <v/>
      </c>
      <c r="S292" s="65">
        <f>IF(C292="","",IFERROR(VLOOKUP(M292&amp;"|"&amp;N292,'17. Mapa DRE CP'!$E$5:$H$100,3,FALSE),"Revisar"))</f>
        <v/>
      </c>
      <c r="T292" s="65">
        <f>IF(C292="","",IF(R292="(-) Custos diretos dos serviços",IF(ISNUMBER(SEARCH("PCMSO",C292)),"PCMSO",IF(OR(ISNUMBER(SEARCH("SGS",C292)),ISNUMBER(SEARCH("CASTRO NAVES",C292))),"Projetos / Laudos / Avulsos","Projetos / Laudos / Avulsos")),"Rateio pela receita bruta"))</f>
        <v/>
      </c>
      <c r="U292" s="65">
        <f>IF(C292="","",IF(R292="(-) Custos diretos dos serviços","Direto por fornecedor/natureza do gasto","Rateio proporcional à receita bruta da linha de serviço"))</f>
        <v/>
      </c>
    </row>
    <row r="293">
      <c r="A293" s="28">
        <f>IF(C293="","", "CP-"&amp;TEXT(ROW()-5,"000"))</f>
        <v/>
      </c>
      <c r="B293" s="27">
        <f>IF(F293="","",DATE(YEAR(F293),MONTH(F293),1))</f>
        <v/>
      </c>
      <c r="C293" s="28" t="n"/>
      <c r="D293" s="28" t="n"/>
      <c r="E293" s="59">
        <f>IF(C293="","",IFERROR(INDEX('6. Base de Custos'!$M$8:$M$42,MATCH(C293,'6. Base de Custos'!$L$8:$L$42,0)),"Não classificado"))</f>
        <v/>
      </c>
      <c r="F293" s="111" t="n"/>
      <c r="G293" s="111" t="n"/>
      <c r="H293" s="111" t="n"/>
      <c r="I293" s="45" t="n"/>
      <c r="J293" s="28" t="n"/>
      <c r="K293" s="28" t="n"/>
      <c r="L293" s="28" t="n"/>
      <c r="M293" s="59">
        <f>IF(C293="","",IFERROR(INDEX('6. Base de Custos'!$N$8:$N$42,MATCH(C293,'6. Base de Custos'!$L$8:$L$42,0)),"Não classificado"))</f>
        <v/>
      </c>
      <c r="N293" s="59">
        <f>IF(C293="","",IFERROR(INDEX('6. Base de Custos'!$O$8:$O$42,MATCH(C293,'6. Base de Custos'!$L$8:$L$42,0)),"Revisar"))</f>
        <v/>
      </c>
      <c r="O293" s="60">
        <f>IF(M293="","",IFERROR(VLOOKUP(M293,'6. Base de Custos'!$H$12:$J$18,3,FALSE),0))</f>
        <v/>
      </c>
      <c r="P293" s="59">
        <f>IF(C293="","",IFERROR(INDEX('6. Base de Custos'!$P$8:$P$42,MATCH(C293,'6. Base de Custos'!$L$8:$L$42,0)),"Revisar"))</f>
        <v/>
      </c>
      <c r="Q293" s="59">
        <f>IF(C293="","",IFERROR(INDEX('6. Base de Custos'!$Q$8:$Q$42,MATCH(C293,'6. Base de Custos'!$L$8:$L$42,0)),""))</f>
        <v/>
      </c>
      <c r="R293" s="65">
        <f>IF(C293="","",IFERROR(VLOOKUP(M293&amp;"|"&amp;N293,'17. Mapa DRE CP'!$E$5:$H$100,2,FALSE),"Revisar"))</f>
        <v/>
      </c>
      <c r="S293" s="65">
        <f>IF(C293="","",IFERROR(VLOOKUP(M293&amp;"|"&amp;N293,'17. Mapa DRE CP'!$E$5:$H$100,3,FALSE),"Revisar"))</f>
        <v/>
      </c>
      <c r="T293" s="65">
        <f>IF(C293="","",IF(R293="(-) Custos diretos dos serviços",IF(ISNUMBER(SEARCH("PCMSO",C293)),"PCMSO",IF(OR(ISNUMBER(SEARCH("SGS",C293)),ISNUMBER(SEARCH("CASTRO NAVES",C293))),"Projetos / Laudos / Avulsos","Projetos / Laudos / Avulsos")),"Rateio pela receita bruta"))</f>
        <v/>
      </c>
      <c r="U293" s="65">
        <f>IF(C293="","",IF(R293="(-) Custos diretos dos serviços","Direto por fornecedor/natureza do gasto","Rateio proporcional à receita bruta da linha de serviço"))</f>
        <v/>
      </c>
    </row>
    <row r="294">
      <c r="A294" s="28">
        <f>IF(C294="","", "CP-"&amp;TEXT(ROW()-5,"000"))</f>
        <v/>
      </c>
      <c r="B294" s="27">
        <f>IF(F294="","",DATE(YEAR(F294),MONTH(F294),1))</f>
        <v/>
      </c>
      <c r="C294" s="28" t="n"/>
      <c r="D294" s="28" t="n"/>
      <c r="E294" s="59">
        <f>IF(C294="","",IFERROR(INDEX('6. Base de Custos'!$M$8:$M$42,MATCH(C294,'6. Base de Custos'!$L$8:$L$42,0)),"Não classificado"))</f>
        <v/>
      </c>
      <c r="F294" s="111" t="n"/>
      <c r="G294" s="111" t="n"/>
      <c r="H294" s="111" t="n"/>
      <c r="I294" s="45" t="n"/>
      <c r="J294" s="28" t="n"/>
      <c r="K294" s="28" t="n"/>
      <c r="L294" s="28" t="n"/>
      <c r="M294" s="59">
        <f>IF(C294="","",IFERROR(INDEX('6. Base de Custos'!$N$8:$N$42,MATCH(C294,'6. Base de Custos'!$L$8:$L$42,0)),"Não classificado"))</f>
        <v/>
      </c>
      <c r="N294" s="59">
        <f>IF(C294="","",IFERROR(INDEX('6. Base de Custos'!$O$8:$O$42,MATCH(C294,'6. Base de Custos'!$L$8:$L$42,0)),"Revisar"))</f>
        <v/>
      </c>
      <c r="O294" s="60">
        <f>IF(M294="","",IFERROR(VLOOKUP(M294,'6. Base de Custos'!$H$12:$J$18,3,FALSE),0))</f>
        <v/>
      </c>
      <c r="P294" s="59">
        <f>IF(C294="","",IFERROR(INDEX('6. Base de Custos'!$P$8:$P$42,MATCH(C294,'6. Base de Custos'!$L$8:$L$42,0)),"Revisar"))</f>
        <v/>
      </c>
      <c r="Q294" s="59">
        <f>IF(C294="","",IFERROR(INDEX('6. Base de Custos'!$Q$8:$Q$42,MATCH(C294,'6. Base de Custos'!$L$8:$L$42,0)),""))</f>
        <v/>
      </c>
      <c r="R294" s="65">
        <f>IF(C294="","",IFERROR(VLOOKUP(M294&amp;"|"&amp;N294,'17. Mapa DRE CP'!$E$5:$H$100,2,FALSE),"Revisar"))</f>
        <v/>
      </c>
      <c r="S294" s="65">
        <f>IF(C294="","",IFERROR(VLOOKUP(M294&amp;"|"&amp;N294,'17. Mapa DRE CP'!$E$5:$H$100,3,FALSE),"Revisar"))</f>
        <v/>
      </c>
      <c r="T294" s="65">
        <f>IF(C294="","",IF(R294="(-) Custos diretos dos serviços",IF(ISNUMBER(SEARCH("PCMSO",C294)),"PCMSO",IF(OR(ISNUMBER(SEARCH("SGS",C294)),ISNUMBER(SEARCH("CASTRO NAVES",C294))),"Projetos / Laudos / Avulsos","Projetos / Laudos / Avulsos")),"Rateio pela receita bruta"))</f>
        <v/>
      </c>
      <c r="U294" s="65">
        <f>IF(C294="","",IF(R294="(-) Custos diretos dos serviços","Direto por fornecedor/natureza do gasto","Rateio proporcional à receita bruta da linha de serviço"))</f>
        <v/>
      </c>
    </row>
    <row r="295">
      <c r="A295" s="28">
        <f>IF(C295="","", "CP-"&amp;TEXT(ROW()-5,"000"))</f>
        <v/>
      </c>
      <c r="B295" s="27">
        <f>IF(F295="","",DATE(YEAR(F295),MONTH(F295),1))</f>
        <v/>
      </c>
      <c r="C295" s="28" t="n"/>
      <c r="D295" s="28" t="n"/>
      <c r="E295" s="59">
        <f>IF(C295="","",IFERROR(INDEX('6. Base de Custos'!$M$8:$M$42,MATCH(C295,'6. Base de Custos'!$L$8:$L$42,0)),"Não classificado"))</f>
        <v/>
      </c>
      <c r="F295" s="111" t="n"/>
      <c r="G295" s="111" t="n"/>
      <c r="H295" s="111" t="n"/>
      <c r="I295" s="45" t="n"/>
      <c r="J295" s="28" t="n"/>
      <c r="K295" s="28" t="n"/>
      <c r="L295" s="28" t="n"/>
      <c r="M295" s="59">
        <f>IF(C295="","",IFERROR(INDEX('6. Base de Custos'!$N$8:$N$42,MATCH(C295,'6. Base de Custos'!$L$8:$L$42,0)),"Não classificado"))</f>
        <v/>
      </c>
      <c r="N295" s="59">
        <f>IF(C295="","",IFERROR(INDEX('6. Base de Custos'!$O$8:$O$42,MATCH(C295,'6. Base de Custos'!$L$8:$L$42,0)),"Revisar"))</f>
        <v/>
      </c>
      <c r="O295" s="60">
        <f>IF(M295="","",IFERROR(VLOOKUP(M295,'6. Base de Custos'!$H$12:$J$18,3,FALSE),0))</f>
        <v/>
      </c>
      <c r="P295" s="59">
        <f>IF(C295="","",IFERROR(INDEX('6. Base de Custos'!$P$8:$P$42,MATCH(C295,'6. Base de Custos'!$L$8:$L$42,0)),"Revisar"))</f>
        <v/>
      </c>
      <c r="Q295" s="59">
        <f>IF(C295="","",IFERROR(INDEX('6. Base de Custos'!$Q$8:$Q$42,MATCH(C295,'6. Base de Custos'!$L$8:$L$42,0)),""))</f>
        <v/>
      </c>
      <c r="R295" s="65">
        <f>IF(C295="","",IFERROR(VLOOKUP(M295&amp;"|"&amp;N295,'17. Mapa DRE CP'!$E$5:$H$100,2,FALSE),"Revisar"))</f>
        <v/>
      </c>
      <c r="S295" s="65">
        <f>IF(C295="","",IFERROR(VLOOKUP(M295&amp;"|"&amp;N295,'17. Mapa DRE CP'!$E$5:$H$100,3,FALSE),"Revisar"))</f>
        <v/>
      </c>
      <c r="T295" s="65">
        <f>IF(C295="","",IF(R295="(-) Custos diretos dos serviços",IF(ISNUMBER(SEARCH("PCMSO",C295)),"PCMSO",IF(OR(ISNUMBER(SEARCH("SGS",C295)),ISNUMBER(SEARCH("CASTRO NAVES",C295))),"Projetos / Laudos / Avulsos","Projetos / Laudos / Avulsos")),"Rateio pela receita bruta"))</f>
        <v/>
      </c>
      <c r="U295" s="65">
        <f>IF(C295="","",IF(R295="(-) Custos diretos dos serviços","Direto por fornecedor/natureza do gasto","Rateio proporcional à receita bruta da linha de serviço"))</f>
        <v/>
      </c>
    </row>
    <row r="296">
      <c r="A296" s="28">
        <f>IF(C296="","", "CP-"&amp;TEXT(ROW()-5,"000"))</f>
        <v/>
      </c>
      <c r="B296" s="27">
        <f>IF(F296="","",DATE(YEAR(F296),MONTH(F296),1))</f>
        <v/>
      </c>
      <c r="C296" s="28" t="n"/>
      <c r="D296" s="28" t="n"/>
      <c r="E296" s="59">
        <f>IF(C296="","",IFERROR(INDEX('6. Base de Custos'!$M$8:$M$42,MATCH(C296,'6. Base de Custos'!$L$8:$L$42,0)),"Não classificado"))</f>
        <v/>
      </c>
      <c r="F296" s="111" t="n"/>
      <c r="G296" s="111" t="n"/>
      <c r="H296" s="111" t="n"/>
      <c r="I296" s="45" t="n"/>
      <c r="J296" s="28" t="n"/>
      <c r="K296" s="28" t="n"/>
      <c r="L296" s="28" t="n"/>
      <c r="M296" s="59">
        <f>IF(C296="","",IFERROR(INDEX('6. Base de Custos'!$N$8:$N$42,MATCH(C296,'6. Base de Custos'!$L$8:$L$42,0)),"Não classificado"))</f>
        <v/>
      </c>
      <c r="N296" s="59">
        <f>IF(C296="","",IFERROR(INDEX('6. Base de Custos'!$O$8:$O$42,MATCH(C296,'6. Base de Custos'!$L$8:$L$42,0)),"Revisar"))</f>
        <v/>
      </c>
      <c r="O296" s="60">
        <f>IF(M296="","",IFERROR(VLOOKUP(M296,'6. Base de Custos'!$H$12:$J$18,3,FALSE),0))</f>
        <v/>
      </c>
      <c r="P296" s="59">
        <f>IF(C296="","",IFERROR(INDEX('6. Base de Custos'!$P$8:$P$42,MATCH(C296,'6. Base de Custos'!$L$8:$L$42,0)),"Revisar"))</f>
        <v/>
      </c>
      <c r="Q296" s="59">
        <f>IF(C296="","",IFERROR(INDEX('6. Base de Custos'!$Q$8:$Q$42,MATCH(C296,'6. Base de Custos'!$L$8:$L$42,0)),""))</f>
        <v/>
      </c>
      <c r="R296" s="65">
        <f>IF(C296="","",IFERROR(VLOOKUP(M296&amp;"|"&amp;N296,'17. Mapa DRE CP'!$E$5:$H$100,2,FALSE),"Revisar"))</f>
        <v/>
      </c>
      <c r="S296" s="65">
        <f>IF(C296="","",IFERROR(VLOOKUP(M296&amp;"|"&amp;N296,'17. Mapa DRE CP'!$E$5:$H$100,3,FALSE),"Revisar"))</f>
        <v/>
      </c>
      <c r="T296" s="65">
        <f>IF(C296="","",IF(R296="(-) Custos diretos dos serviços",IF(ISNUMBER(SEARCH("PCMSO",C296)),"PCMSO",IF(OR(ISNUMBER(SEARCH("SGS",C296)),ISNUMBER(SEARCH("CASTRO NAVES",C296))),"Projetos / Laudos / Avulsos","Projetos / Laudos / Avulsos")),"Rateio pela receita bruta"))</f>
        <v/>
      </c>
      <c r="U296" s="65">
        <f>IF(C296="","",IF(R296="(-) Custos diretos dos serviços","Direto por fornecedor/natureza do gasto","Rateio proporcional à receita bruta da linha de serviço"))</f>
        <v/>
      </c>
    </row>
    <row r="297">
      <c r="A297" s="28">
        <f>IF(C297="","", "CP-"&amp;TEXT(ROW()-5,"000"))</f>
        <v/>
      </c>
      <c r="B297" s="27">
        <f>IF(F297="","",DATE(YEAR(F297),MONTH(F297),1))</f>
        <v/>
      </c>
      <c r="C297" s="28" t="n"/>
      <c r="D297" s="28" t="n"/>
      <c r="E297" s="59">
        <f>IF(C297="","",IFERROR(INDEX('6. Base de Custos'!$M$8:$M$42,MATCH(C297,'6. Base de Custos'!$L$8:$L$42,0)),"Não classificado"))</f>
        <v/>
      </c>
      <c r="F297" s="111" t="n"/>
      <c r="G297" s="111" t="n"/>
      <c r="H297" s="111" t="n"/>
      <c r="I297" s="45" t="n"/>
      <c r="J297" s="28" t="n"/>
      <c r="K297" s="28" t="n"/>
      <c r="L297" s="28" t="n"/>
      <c r="M297" s="59">
        <f>IF(C297="","",IFERROR(INDEX('6. Base de Custos'!$N$8:$N$42,MATCH(C297,'6. Base de Custos'!$L$8:$L$42,0)),"Não classificado"))</f>
        <v/>
      </c>
      <c r="N297" s="59">
        <f>IF(C297="","",IFERROR(INDEX('6. Base de Custos'!$O$8:$O$42,MATCH(C297,'6. Base de Custos'!$L$8:$L$42,0)),"Revisar"))</f>
        <v/>
      </c>
      <c r="O297" s="60">
        <f>IF(M297="","",IFERROR(VLOOKUP(M297,'6. Base de Custos'!$H$12:$J$18,3,FALSE),0))</f>
        <v/>
      </c>
      <c r="P297" s="59">
        <f>IF(C297="","",IFERROR(INDEX('6. Base de Custos'!$P$8:$P$42,MATCH(C297,'6. Base de Custos'!$L$8:$L$42,0)),"Revisar"))</f>
        <v/>
      </c>
      <c r="Q297" s="59">
        <f>IF(C297="","",IFERROR(INDEX('6. Base de Custos'!$Q$8:$Q$42,MATCH(C297,'6. Base de Custos'!$L$8:$L$42,0)),""))</f>
        <v/>
      </c>
      <c r="R297" s="65">
        <f>IF(C297="","",IFERROR(VLOOKUP(M297&amp;"|"&amp;N297,'17. Mapa DRE CP'!$E$5:$H$100,2,FALSE),"Revisar"))</f>
        <v/>
      </c>
      <c r="S297" s="65">
        <f>IF(C297="","",IFERROR(VLOOKUP(M297&amp;"|"&amp;N297,'17. Mapa DRE CP'!$E$5:$H$100,3,FALSE),"Revisar"))</f>
        <v/>
      </c>
      <c r="T297" s="65">
        <f>IF(C297="","",IF(R297="(-) Custos diretos dos serviços",IF(ISNUMBER(SEARCH("PCMSO",C297)),"PCMSO",IF(OR(ISNUMBER(SEARCH("SGS",C297)),ISNUMBER(SEARCH("CASTRO NAVES",C297))),"Projetos / Laudos / Avulsos","Projetos / Laudos / Avulsos")),"Rateio pela receita bruta"))</f>
        <v/>
      </c>
      <c r="U297" s="65">
        <f>IF(C297="","",IF(R297="(-) Custos diretos dos serviços","Direto por fornecedor/natureza do gasto","Rateio proporcional à receita bruta da linha de serviço"))</f>
        <v/>
      </c>
    </row>
    <row r="298">
      <c r="A298" s="28">
        <f>IF(C298="","", "CP-"&amp;TEXT(ROW()-5,"000"))</f>
        <v/>
      </c>
      <c r="B298" s="27">
        <f>IF(F298="","",DATE(YEAR(F298),MONTH(F298),1))</f>
        <v/>
      </c>
      <c r="C298" s="28" t="n"/>
      <c r="D298" s="28" t="n"/>
      <c r="E298" s="59">
        <f>IF(C298="","",IFERROR(INDEX('6. Base de Custos'!$M$8:$M$42,MATCH(C298,'6. Base de Custos'!$L$8:$L$42,0)),"Não classificado"))</f>
        <v/>
      </c>
      <c r="F298" s="111" t="n"/>
      <c r="G298" s="111" t="n"/>
      <c r="H298" s="111" t="n"/>
      <c r="I298" s="45" t="n"/>
      <c r="J298" s="28" t="n"/>
      <c r="K298" s="28" t="n"/>
      <c r="L298" s="28" t="n"/>
      <c r="M298" s="59">
        <f>IF(C298="","",IFERROR(INDEX('6. Base de Custos'!$N$8:$N$42,MATCH(C298,'6. Base de Custos'!$L$8:$L$42,0)),"Não classificado"))</f>
        <v/>
      </c>
      <c r="N298" s="59">
        <f>IF(C298="","",IFERROR(INDEX('6. Base de Custos'!$O$8:$O$42,MATCH(C298,'6. Base de Custos'!$L$8:$L$42,0)),"Revisar"))</f>
        <v/>
      </c>
      <c r="O298" s="60">
        <f>IF(M298="","",IFERROR(VLOOKUP(M298,'6. Base de Custos'!$H$12:$J$18,3,FALSE),0))</f>
        <v/>
      </c>
      <c r="P298" s="59">
        <f>IF(C298="","",IFERROR(INDEX('6. Base de Custos'!$P$8:$P$42,MATCH(C298,'6. Base de Custos'!$L$8:$L$42,0)),"Revisar"))</f>
        <v/>
      </c>
      <c r="Q298" s="59">
        <f>IF(C298="","",IFERROR(INDEX('6. Base de Custos'!$Q$8:$Q$42,MATCH(C298,'6. Base de Custos'!$L$8:$L$42,0)),""))</f>
        <v/>
      </c>
      <c r="R298" s="65">
        <f>IF(C298="","",IFERROR(VLOOKUP(M298&amp;"|"&amp;N298,'17. Mapa DRE CP'!$E$5:$H$100,2,FALSE),"Revisar"))</f>
        <v/>
      </c>
      <c r="S298" s="65">
        <f>IF(C298="","",IFERROR(VLOOKUP(M298&amp;"|"&amp;N298,'17. Mapa DRE CP'!$E$5:$H$100,3,FALSE),"Revisar"))</f>
        <v/>
      </c>
      <c r="T298" s="65">
        <f>IF(C298="","",IF(R298="(-) Custos diretos dos serviços",IF(ISNUMBER(SEARCH("PCMSO",C298)),"PCMSO",IF(OR(ISNUMBER(SEARCH("SGS",C298)),ISNUMBER(SEARCH("CASTRO NAVES",C298))),"Projetos / Laudos / Avulsos","Projetos / Laudos / Avulsos")),"Rateio pela receita bruta"))</f>
        <v/>
      </c>
      <c r="U298" s="65">
        <f>IF(C298="","",IF(R298="(-) Custos diretos dos serviços","Direto por fornecedor/natureza do gasto","Rateio proporcional à receita bruta da linha de serviço"))</f>
        <v/>
      </c>
    </row>
    <row r="299">
      <c r="A299" s="28">
        <f>IF(C299="","", "CP-"&amp;TEXT(ROW()-5,"000"))</f>
        <v/>
      </c>
      <c r="B299" s="27">
        <f>IF(F299="","",DATE(YEAR(F299),MONTH(F299),1))</f>
        <v/>
      </c>
      <c r="C299" s="28" t="n"/>
      <c r="D299" s="28" t="n"/>
      <c r="E299" s="59">
        <f>IF(C299="","",IFERROR(INDEX('6. Base de Custos'!$M$8:$M$42,MATCH(C299,'6. Base de Custos'!$L$8:$L$42,0)),"Não classificado"))</f>
        <v/>
      </c>
      <c r="F299" s="111" t="n"/>
      <c r="G299" s="111" t="n"/>
      <c r="H299" s="111" t="n"/>
      <c r="I299" s="45" t="n"/>
      <c r="J299" s="28" t="n"/>
      <c r="K299" s="28" t="n"/>
      <c r="L299" s="28" t="n"/>
      <c r="M299" s="59">
        <f>IF(C299="","",IFERROR(INDEX('6. Base de Custos'!$N$8:$N$42,MATCH(C299,'6. Base de Custos'!$L$8:$L$42,0)),"Não classificado"))</f>
        <v/>
      </c>
      <c r="N299" s="59">
        <f>IF(C299="","",IFERROR(INDEX('6. Base de Custos'!$O$8:$O$42,MATCH(C299,'6. Base de Custos'!$L$8:$L$42,0)),"Revisar"))</f>
        <v/>
      </c>
      <c r="O299" s="60">
        <f>IF(M299="","",IFERROR(VLOOKUP(M299,'6. Base de Custos'!$H$12:$J$18,3,FALSE),0))</f>
        <v/>
      </c>
      <c r="P299" s="59">
        <f>IF(C299="","",IFERROR(INDEX('6. Base de Custos'!$P$8:$P$42,MATCH(C299,'6. Base de Custos'!$L$8:$L$42,0)),"Revisar"))</f>
        <v/>
      </c>
      <c r="Q299" s="59">
        <f>IF(C299="","",IFERROR(INDEX('6. Base de Custos'!$Q$8:$Q$42,MATCH(C299,'6. Base de Custos'!$L$8:$L$42,0)),""))</f>
        <v/>
      </c>
      <c r="R299" s="65">
        <f>IF(C299="","",IFERROR(VLOOKUP(M299&amp;"|"&amp;N299,'17. Mapa DRE CP'!$E$5:$H$100,2,FALSE),"Revisar"))</f>
        <v/>
      </c>
      <c r="S299" s="65">
        <f>IF(C299="","",IFERROR(VLOOKUP(M299&amp;"|"&amp;N299,'17. Mapa DRE CP'!$E$5:$H$100,3,FALSE),"Revisar"))</f>
        <v/>
      </c>
      <c r="T299" s="65">
        <f>IF(C299="","",IF(R299="(-) Custos diretos dos serviços",IF(ISNUMBER(SEARCH("PCMSO",C299)),"PCMSO",IF(OR(ISNUMBER(SEARCH("SGS",C299)),ISNUMBER(SEARCH("CASTRO NAVES",C299))),"Projetos / Laudos / Avulsos","Projetos / Laudos / Avulsos")),"Rateio pela receita bruta"))</f>
        <v/>
      </c>
      <c r="U299" s="65">
        <f>IF(C299="","",IF(R299="(-) Custos diretos dos serviços","Direto por fornecedor/natureza do gasto","Rateio proporcional à receita bruta da linha de serviço"))</f>
        <v/>
      </c>
    </row>
    <row r="300">
      <c r="A300" s="28">
        <f>IF(C300="","", "CP-"&amp;TEXT(ROW()-5,"000"))</f>
        <v/>
      </c>
      <c r="B300" s="27">
        <f>IF(F300="","",DATE(YEAR(F300),MONTH(F300),1))</f>
        <v/>
      </c>
      <c r="C300" s="28" t="n"/>
      <c r="D300" s="28" t="n"/>
      <c r="E300" s="59">
        <f>IF(C300="","",IFERROR(INDEX('6. Base de Custos'!$M$8:$M$42,MATCH(C300,'6. Base de Custos'!$L$8:$L$42,0)),"Não classificado"))</f>
        <v/>
      </c>
      <c r="F300" s="111" t="n"/>
      <c r="G300" s="111" t="n"/>
      <c r="H300" s="111" t="n"/>
      <c r="I300" s="45" t="n"/>
      <c r="J300" s="28" t="n"/>
      <c r="K300" s="28" t="n"/>
      <c r="L300" s="28" t="n"/>
      <c r="M300" s="59">
        <f>IF(C300="","",IFERROR(INDEX('6. Base de Custos'!$N$8:$N$42,MATCH(C300,'6. Base de Custos'!$L$8:$L$42,0)),"Não classificado"))</f>
        <v/>
      </c>
      <c r="N300" s="59">
        <f>IF(C300="","",IFERROR(INDEX('6. Base de Custos'!$O$8:$O$42,MATCH(C300,'6. Base de Custos'!$L$8:$L$42,0)),"Revisar"))</f>
        <v/>
      </c>
      <c r="O300" s="60">
        <f>IF(M300="","",IFERROR(VLOOKUP(M300,'6. Base de Custos'!$H$12:$J$18,3,FALSE),0))</f>
        <v/>
      </c>
      <c r="P300" s="59">
        <f>IF(C300="","",IFERROR(INDEX('6. Base de Custos'!$P$8:$P$42,MATCH(C300,'6. Base de Custos'!$L$8:$L$42,0)),"Revisar"))</f>
        <v/>
      </c>
      <c r="Q300" s="59">
        <f>IF(C300="","",IFERROR(INDEX('6. Base de Custos'!$Q$8:$Q$42,MATCH(C300,'6. Base de Custos'!$L$8:$L$42,0)),""))</f>
        <v/>
      </c>
      <c r="R300" s="65">
        <f>IF(C300="","",IFERROR(VLOOKUP(M300&amp;"|"&amp;N300,'17. Mapa DRE CP'!$E$5:$H$100,2,FALSE),"Revisar"))</f>
        <v/>
      </c>
      <c r="S300" s="65">
        <f>IF(C300="","",IFERROR(VLOOKUP(M300&amp;"|"&amp;N300,'17. Mapa DRE CP'!$E$5:$H$100,3,FALSE),"Revisar"))</f>
        <v/>
      </c>
      <c r="T300" s="65">
        <f>IF(C300="","",IF(R300="(-) Custos diretos dos serviços",IF(ISNUMBER(SEARCH("PCMSO",C300)),"PCMSO",IF(OR(ISNUMBER(SEARCH("SGS",C300)),ISNUMBER(SEARCH("CASTRO NAVES",C300))),"Projetos / Laudos / Avulsos","Projetos / Laudos / Avulsos")),"Rateio pela receita bruta"))</f>
        <v/>
      </c>
      <c r="U300" s="65">
        <f>IF(C300="","",IF(R300="(-) Custos diretos dos serviços","Direto por fornecedor/natureza do gasto","Rateio proporcional à receita bruta da linha de serviço"))</f>
        <v/>
      </c>
    </row>
    <row r="301">
      <c r="A301" s="28">
        <f>IF(C301="","", "CP-"&amp;TEXT(ROW()-5,"000"))</f>
        <v/>
      </c>
      <c r="B301" s="27">
        <f>IF(F301="","",DATE(YEAR(F301),MONTH(F301),1))</f>
        <v/>
      </c>
      <c r="C301" s="28" t="n"/>
      <c r="D301" s="28" t="n"/>
      <c r="E301" s="59">
        <f>IF(C301="","",IFERROR(INDEX('6. Base de Custos'!$M$8:$M$42,MATCH(C301,'6. Base de Custos'!$L$8:$L$42,0)),"Não classificado"))</f>
        <v/>
      </c>
      <c r="F301" s="111" t="n"/>
      <c r="G301" s="111" t="n"/>
      <c r="H301" s="111" t="n"/>
      <c r="I301" s="45" t="n"/>
      <c r="J301" s="28" t="n"/>
      <c r="K301" s="28" t="n"/>
      <c r="L301" s="28" t="n"/>
      <c r="M301" s="59">
        <f>IF(C301="","",IFERROR(INDEX('6. Base de Custos'!$N$8:$N$42,MATCH(C301,'6. Base de Custos'!$L$8:$L$42,0)),"Não classificado"))</f>
        <v/>
      </c>
      <c r="N301" s="59">
        <f>IF(C301="","",IFERROR(INDEX('6. Base de Custos'!$O$8:$O$42,MATCH(C301,'6. Base de Custos'!$L$8:$L$42,0)),"Revisar"))</f>
        <v/>
      </c>
      <c r="O301" s="60">
        <f>IF(M301="","",IFERROR(VLOOKUP(M301,'6. Base de Custos'!$H$12:$J$18,3,FALSE),0))</f>
        <v/>
      </c>
      <c r="P301" s="59">
        <f>IF(C301="","",IFERROR(INDEX('6. Base de Custos'!$P$8:$P$42,MATCH(C301,'6. Base de Custos'!$L$8:$L$42,0)),"Revisar"))</f>
        <v/>
      </c>
      <c r="Q301" s="59">
        <f>IF(C301="","",IFERROR(INDEX('6. Base de Custos'!$Q$8:$Q$42,MATCH(C301,'6. Base de Custos'!$L$8:$L$42,0)),""))</f>
        <v/>
      </c>
      <c r="R301" s="65">
        <f>IF(C301="","",IFERROR(VLOOKUP(M301&amp;"|"&amp;N301,'17. Mapa DRE CP'!$E$5:$H$100,2,FALSE),"Revisar"))</f>
        <v/>
      </c>
      <c r="S301" s="65">
        <f>IF(C301="","",IFERROR(VLOOKUP(M301&amp;"|"&amp;N301,'17. Mapa DRE CP'!$E$5:$H$100,3,FALSE),"Revisar"))</f>
        <v/>
      </c>
      <c r="T301" s="65">
        <f>IF(C301="","",IF(R301="(-) Custos diretos dos serviços",IF(ISNUMBER(SEARCH("PCMSO",C301)),"PCMSO",IF(OR(ISNUMBER(SEARCH("SGS",C301)),ISNUMBER(SEARCH("CASTRO NAVES",C301))),"Projetos / Laudos / Avulsos","Projetos / Laudos / Avulsos")),"Rateio pela receita bruta"))</f>
        <v/>
      </c>
      <c r="U301" s="65">
        <f>IF(C301="","",IF(R301="(-) Custos diretos dos serviços","Direto por fornecedor/natureza do gasto","Rateio proporcional à receita bruta da linha de serviço"))</f>
        <v/>
      </c>
    </row>
    <row r="302">
      <c r="A302" s="28">
        <f>IF(C302="","", "CP-"&amp;TEXT(ROW()-5,"000"))</f>
        <v/>
      </c>
      <c r="B302" s="27">
        <f>IF(F302="","",DATE(YEAR(F302),MONTH(F302),1))</f>
        <v/>
      </c>
      <c r="C302" s="28" t="n"/>
      <c r="D302" s="28" t="n"/>
      <c r="E302" s="59">
        <f>IF(C302="","",IFERROR(INDEX('6. Base de Custos'!$M$8:$M$42,MATCH(C302,'6. Base de Custos'!$L$8:$L$42,0)),"Não classificado"))</f>
        <v/>
      </c>
      <c r="F302" s="111" t="n"/>
      <c r="G302" s="111" t="n"/>
      <c r="H302" s="111" t="n"/>
      <c r="I302" s="45" t="n"/>
      <c r="J302" s="28" t="n"/>
      <c r="K302" s="28" t="n"/>
      <c r="L302" s="28" t="n"/>
      <c r="M302" s="59">
        <f>IF(C302="","",IFERROR(INDEX('6. Base de Custos'!$N$8:$N$42,MATCH(C302,'6. Base de Custos'!$L$8:$L$42,0)),"Não classificado"))</f>
        <v/>
      </c>
      <c r="N302" s="59">
        <f>IF(C302="","",IFERROR(INDEX('6. Base de Custos'!$O$8:$O$42,MATCH(C302,'6. Base de Custos'!$L$8:$L$42,0)),"Revisar"))</f>
        <v/>
      </c>
      <c r="O302" s="60">
        <f>IF(M302="","",IFERROR(VLOOKUP(M302,'6. Base de Custos'!$H$12:$J$18,3,FALSE),0))</f>
        <v/>
      </c>
      <c r="P302" s="59">
        <f>IF(C302="","",IFERROR(INDEX('6. Base de Custos'!$P$8:$P$42,MATCH(C302,'6. Base de Custos'!$L$8:$L$42,0)),"Revisar"))</f>
        <v/>
      </c>
      <c r="Q302" s="59">
        <f>IF(C302="","",IFERROR(INDEX('6. Base de Custos'!$Q$8:$Q$42,MATCH(C302,'6. Base de Custos'!$L$8:$L$42,0)),""))</f>
        <v/>
      </c>
      <c r="R302" s="65">
        <f>IF(C302="","",IFERROR(VLOOKUP(M302&amp;"|"&amp;N302,'17. Mapa DRE CP'!$E$5:$H$100,2,FALSE),"Revisar"))</f>
        <v/>
      </c>
      <c r="S302" s="65">
        <f>IF(C302="","",IFERROR(VLOOKUP(M302&amp;"|"&amp;N302,'17. Mapa DRE CP'!$E$5:$H$100,3,FALSE),"Revisar"))</f>
        <v/>
      </c>
      <c r="T302" s="65">
        <f>IF(C302="","",IF(R302="(-) Custos diretos dos serviços",IF(ISNUMBER(SEARCH("PCMSO",C302)),"PCMSO",IF(OR(ISNUMBER(SEARCH("SGS",C302)),ISNUMBER(SEARCH("CASTRO NAVES",C302))),"Projetos / Laudos / Avulsos","Projetos / Laudos / Avulsos")),"Rateio pela receita bruta"))</f>
        <v/>
      </c>
      <c r="U302" s="65">
        <f>IF(C302="","",IF(R302="(-) Custos diretos dos serviços","Direto por fornecedor/natureza do gasto","Rateio proporcional à receita bruta da linha de serviço"))</f>
        <v/>
      </c>
    </row>
    <row r="303">
      <c r="A303" s="28">
        <f>IF(C303="","", "CP-"&amp;TEXT(ROW()-5,"000"))</f>
        <v/>
      </c>
      <c r="B303" s="27">
        <f>IF(F303="","",DATE(YEAR(F303),MONTH(F303),1))</f>
        <v/>
      </c>
      <c r="C303" s="28" t="n"/>
      <c r="D303" s="28" t="n"/>
      <c r="E303" s="59">
        <f>IF(C303="","",IFERROR(INDEX('6. Base de Custos'!$M$8:$M$42,MATCH(C303,'6. Base de Custos'!$L$8:$L$42,0)),"Não classificado"))</f>
        <v/>
      </c>
      <c r="F303" s="111" t="n"/>
      <c r="G303" s="111" t="n"/>
      <c r="H303" s="111" t="n"/>
      <c r="I303" s="45" t="n"/>
      <c r="J303" s="28" t="n"/>
      <c r="K303" s="28" t="n"/>
      <c r="L303" s="28" t="n"/>
      <c r="M303" s="59">
        <f>IF(C303="","",IFERROR(INDEX('6. Base de Custos'!$N$8:$N$42,MATCH(C303,'6. Base de Custos'!$L$8:$L$42,0)),"Não classificado"))</f>
        <v/>
      </c>
      <c r="N303" s="59">
        <f>IF(C303="","",IFERROR(INDEX('6. Base de Custos'!$O$8:$O$42,MATCH(C303,'6. Base de Custos'!$L$8:$L$42,0)),"Revisar"))</f>
        <v/>
      </c>
      <c r="O303" s="60">
        <f>IF(M303="","",IFERROR(VLOOKUP(M303,'6. Base de Custos'!$H$12:$J$18,3,FALSE),0))</f>
        <v/>
      </c>
      <c r="P303" s="59">
        <f>IF(C303="","",IFERROR(INDEX('6. Base de Custos'!$P$8:$P$42,MATCH(C303,'6. Base de Custos'!$L$8:$L$42,0)),"Revisar"))</f>
        <v/>
      </c>
      <c r="Q303" s="59">
        <f>IF(C303="","",IFERROR(INDEX('6. Base de Custos'!$Q$8:$Q$42,MATCH(C303,'6. Base de Custos'!$L$8:$L$42,0)),""))</f>
        <v/>
      </c>
      <c r="R303" s="65">
        <f>IF(C303="","",IFERROR(VLOOKUP(M303&amp;"|"&amp;N303,'17. Mapa DRE CP'!$E$5:$H$100,2,FALSE),"Revisar"))</f>
        <v/>
      </c>
      <c r="S303" s="65">
        <f>IF(C303="","",IFERROR(VLOOKUP(M303&amp;"|"&amp;N303,'17. Mapa DRE CP'!$E$5:$H$100,3,FALSE),"Revisar"))</f>
        <v/>
      </c>
      <c r="T303" s="65">
        <f>IF(C303="","",IF(R303="(-) Custos diretos dos serviços",IF(ISNUMBER(SEARCH("PCMSO",C303)),"PCMSO",IF(OR(ISNUMBER(SEARCH("SGS",C303)),ISNUMBER(SEARCH("CASTRO NAVES",C303))),"Projetos / Laudos / Avulsos","Projetos / Laudos / Avulsos")),"Rateio pela receita bruta"))</f>
        <v/>
      </c>
      <c r="U303" s="65">
        <f>IF(C303="","",IF(R303="(-) Custos diretos dos serviços","Direto por fornecedor/natureza do gasto","Rateio proporcional à receita bruta da linha de serviço"))</f>
        <v/>
      </c>
    </row>
    <row r="304">
      <c r="A304" s="28">
        <f>IF(C304="","", "CP-"&amp;TEXT(ROW()-5,"000"))</f>
        <v/>
      </c>
      <c r="B304" s="27">
        <f>IF(F304="","",DATE(YEAR(F304),MONTH(F304),1))</f>
        <v/>
      </c>
      <c r="C304" s="28" t="n"/>
      <c r="D304" s="28" t="n"/>
      <c r="E304" s="59">
        <f>IF(C304="","",IFERROR(INDEX('6. Base de Custos'!$M$8:$M$42,MATCH(C304,'6. Base de Custos'!$L$8:$L$42,0)),"Não classificado"))</f>
        <v/>
      </c>
      <c r="F304" s="111" t="n"/>
      <c r="G304" s="111" t="n"/>
      <c r="H304" s="111" t="n"/>
      <c r="I304" s="45" t="n"/>
      <c r="J304" s="28" t="n"/>
      <c r="K304" s="28" t="n"/>
      <c r="L304" s="28" t="n"/>
      <c r="M304" s="59">
        <f>IF(C304="","",IFERROR(INDEX('6. Base de Custos'!$N$8:$N$42,MATCH(C304,'6. Base de Custos'!$L$8:$L$42,0)),"Não classificado"))</f>
        <v/>
      </c>
      <c r="N304" s="59">
        <f>IF(C304="","",IFERROR(INDEX('6. Base de Custos'!$O$8:$O$42,MATCH(C304,'6. Base de Custos'!$L$8:$L$42,0)),"Revisar"))</f>
        <v/>
      </c>
      <c r="O304" s="60">
        <f>IF(M304="","",IFERROR(VLOOKUP(M304,'6. Base de Custos'!$H$12:$J$18,3,FALSE),0))</f>
        <v/>
      </c>
      <c r="P304" s="59">
        <f>IF(C304="","",IFERROR(INDEX('6. Base de Custos'!$P$8:$P$42,MATCH(C304,'6. Base de Custos'!$L$8:$L$42,0)),"Revisar"))</f>
        <v/>
      </c>
      <c r="Q304" s="59">
        <f>IF(C304="","",IFERROR(INDEX('6. Base de Custos'!$Q$8:$Q$42,MATCH(C304,'6. Base de Custos'!$L$8:$L$42,0)),""))</f>
        <v/>
      </c>
      <c r="R304" s="65">
        <f>IF(C304="","",IFERROR(VLOOKUP(M304&amp;"|"&amp;N304,'17. Mapa DRE CP'!$E$5:$H$100,2,FALSE),"Revisar"))</f>
        <v/>
      </c>
      <c r="S304" s="65">
        <f>IF(C304="","",IFERROR(VLOOKUP(M304&amp;"|"&amp;N304,'17. Mapa DRE CP'!$E$5:$H$100,3,FALSE),"Revisar"))</f>
        <v/>
      </c>
      <c r="T304" s="65">
        <f>IF(C304="","",IF(R304="(-) Custos diretos dos serviços",IF(ISNUMBER(SEARCH("PCMSO",C304)),"PCMSO",IF(OR(ISNUMBER(SEARCH("SGS",C304)),ISNUMBER(SEARCH("CASTRO NAVES",C304))),"Projetos / Laudos / Avulsos","Projetos / Laudos / Avulsos")),"Rateio pela receita bruta"))</f>
        <v/>
      </c>
      <c r="U304" s="65">
        <f>IF(C304="","",IF(R304="(-) Custos diretos dos serviços","Direto por fornecedor/natureza do gasto","Rateio proporcional à receita bruta da linha de serviço"))</f>
        <v/>
      </c>
    </row>
    <row r="305">
      <c r="A305" s="28">
        <f>IF(C305="","", "CP-"&amp;TEXT(ROW()-5,"000"))</f>
        <v/>
      </c>
      <c r="B305" s="27">
        <f>IF(F305="","",DATE(YEAR(F305),MONTH(F305),1))</f>
        <v/>
      </c>
      <c r="C305" s="28" t="n"/>
      <c r="D305" s="28" t="n"/>
      <c r="E305" s="59">
        <f>IF(C305="","",IFERROR(INDEX('6. Base de Custos'!$M$8:$M$42,MATCH(C305,'6. Base de Custos'!$L$8:$L$42,0)),"Não classificado"))</f>
        <v/>
      </c>
      <c r="F305" s="111" t="n"/>
      <c r="G305" s="111" t="n"/>
      <c r="H305" s="111" t="n"/>
      <c r="I305" s="45" t="n"/>
      <c r="J305" s="28" t="n"/>
      <c r="K305" s="28" t="n"/>
      <c r="L305" s="28" t="n"/>
      <c r="M305" s="59">
        <f>IF(C305="","",IFERROR(INDEX('6. Base de Custos'!$N$8:$N$42,MATCH(C305,'6. Base de Custos'!$L$8:$L$42,0)),"Não classificado"))</f>
        <v/>
      </c>
      <c r="N305" s="59">
        <f>IF(C305="","",IFERROR(INDEX('6. Base de Custos'!$O$8:$O$42,MATCH(C305,'6. Base de Custos'!$L$8:$L$42,0)),"Revisar"))</f>
        <v/>
      </c>
      <c r="O305" s="60">
        <f>IF(M305="","",IFERROR(VLOOKUP(M305,'6. Base de Custos'!$H$12:$J$18,3,FALSE),0))</f>
        <v/>
      </c>
      <c r="P305" s="59">
        <f>IF(C305="","",IFERROR(INDEX('6. Base de Custos'!$P$8:$P$42,MATCH(C305,'6. Base de Custos'!$L$8:$L$42,0)),"Revisar"))</f>
        <v/>
      </c>
      <c r="Q305" s="59">
        <f>IF(C305="","",IFERROR(INDEX('6. Base de Custos'!$Q$8:$Q$42,MATCH(C305,'6. Base de Custos'!$L$8:$L$42,0)),""))</f>
        <v/>
      </c>
      <c r="R305" s="65">
        <f>IF(C305="","",IFERROR(VLOOKUP(M305&amp;"|"&amp;N305,'17. Mapa DRE CP'!$E$5:$H$100,2,FALSE),"Revisar"))</f>
        <v/>
      </c>
      <c r="S305" s="65">
        <f>IF(C305="","",IFERROR(VLOOKUP(M305&amp;"|"&amp;N305,'17. Mapa DRE CP'!$E$5:$H$100,3,FALSE),"Revisar"))</f>
        <v/>
      </c>
      <c r="T305" s="65">
        <f>IF(C305="","",IF(R305="(-) Custos diretos dos serviços",IF(ISNUMBER(SEARCH("PCMSO",C305)),"PCMSO",IF(OR(ISNUMBER(SEARCH("SGS",C305)),ISNUMBER(SEARCH("CASTRO NAVES",C305))),"Projetos / Laudos / Avulsos","Projetos / Laudos / Avulsos")),"Rateio pela receita bruta"))</f>
        <v/>
      </c>
      <c r="U305" s="65">
        <f>IF(C305="","",IF(R305="(-) Custos diretos dos serviços","Direto por fornecedor/natureza do gasto","Rateio proporcional à receita bruta da linha de serviço"))</f>
        <v/>
      </c>
    </row>
    <row r="306">
      <c r="A306" s="28">
        <f>IF(C306="","", "CP-"&amp;TEXT(ROW()-5,"000"))</f>
        <v/>
      </c>
      <c r="B306" s="27">
        <f>IF(F306="","",DATE(YEAR(F306),MONTH(F306),1))</f>
        <v/>
      </c>
      <c r="C306" s="28" t="n"/>
      <c r="D306" s="28" t="n"/>
      <c r="E306" s="59">
        <f>IF(C306="","",IFERROR(INDEX('6. Base de Custos'!$M$8:$M$42,MATCH(C306,'6. Base de Custos'!$L$8:$L$42,0)),"Não classificado"))</f>
        <v/>
      </c>
      <c r="F306" s="111" t="n"/>
      <c r="G306" s="111" t="n"/>
      <c r="H306" s="111" t="n"/>
      <c r="I306" s="45" t="n"/>
      <c r="J306" s="28" t="n"/>
      <c r="K306" s="28" t="n"/>
      <c r="L306" s="28" t="n"/>
      <c r="M306" s="59">
        <f>IF(C306="","",IFERROR(INDEX('6. Base de Custos'!$N$8:$N$42,MATCH(C306,'6. Base de Custos'!$L$8:$L$42,0)),"Não classificado"))</f>
        <v/>
      </c>
      <c r="N306" s="59">
        <f>IF(C306="","",IFERROR(INDEX('6. Base de Custos'!$O$8:$O$42,MATCH(C306,'6. Base de Custos'!$L$8:$L$42,0)),"Revisar"))</f>
        <v/>
      </c>
      <c r="O306" s="60">
        <f>IF(M306="","",IFERROR(VLOOKUP(M306,'6. Base de Custos'!$H$12:$J$18,3,FALSE),0))</f>
        <v/>
      </c>
      <c r="P306" s="59">
        <f>IF(C306="","",IFERROR(INDEX('6. Base de Custos'!$P$8:$P$42,MATCH(C306,'6. Base de Custos'!$L$8:$L$42,0)),"Revisar"))</f>
        <v/>
      </c>
      <c r="Q306" s="59">
        <f>IF(C306="","",IFERROR(INDEX('6. Base de Custos'!$Q$8:$Q$42,MATCH(C306,'6. Base de Custos'!$L$8:$L$42,0)),""))</f>
        <v/>
      </c>
      <c r="R306" s="65">
        <f>IF(C306="","",IFERROR(VLOOKUP(M306&amp;"|"&amp;N306,'17. Mapa DRE CP'!$E$5:$H$100,2,FALSE),"Revisar"))</f>
        <v/>
      </c>
      <c r="S306" s="65">
        <f>IF(C306="","",IFERROR(VLOOKUP(M306&amp;"|"&amp;N306,'17. Mapa DRE CP'!$E$5:$H$100,3,FALSE),"Revisar"))</f>
        <v/>
      </c>
      <c r="T306" s="65">
        <f>IF(C306="","",IF(R306="(-) Custos diretos dos serviços",IF(ISNUMBER(SEARCH("PCMSO",C306)),"PCMSO",IF(OR(ISNUMBER(SEARCH("SGS",C306)),ISNUMBER(SEARCH("CASTRO NAVES",C306))),"Projetos / Laudos / Avulsos","Projetos / Laudos / Avulsos")),"Rateio pela receita bruta"))</f>
        <v/>
      </c>
      <c r="U306" s="65">
        <f>IF(C306="","",IF(R306="(-) Custos diretos dos serviços","Direto por fornecedor/natureza do gasto","Rateio proporcional à receita bruta da linha de serviço"))</f>
        <v/>
      </c>
    </row>
    <row r="307">
      <c r="A307" s="28">
        <f>IF(C307="","", "CP-"&amp;TEXT(ROW()-5,"000"))</f>
        <v/>
      </c>
      <c r="B307" s="27">
        <f>IF(F307="","",DATE(YEAR(F307),MONTH(F307),1))</f>
        <v/>
      </c>
      <c r="C307" s="28" t="n"/>
      <c r="D307" s="28" t="n"/>
      <c r="E307" s="59">
        <f>IF(C307="","",IFERROR(INDEX('6. Base de Custos'!$M$8:$M$42,MATCH(C307,'6. Base de Custos'!$L$8:$L$42,0)),"Não classificado"))</f>
        <v/>
      </c>
      <c r="F307" s="111" t="n"/>
      <c r="G307" s="111" t="n"/>
      <c r="H307" s="111" t="n"/>
      <c r="I307" s="45" t="n"/>
      <c r="J307" s="28" t="n"/>
      <c r="K307" s="28" t="n"/>
      <c r="L307" s="28" t="n"/>
      <c r="M307" s="59">
        <f>IF(C307="","",IFERROR(INDEX('6. Base de Custos'!$N$8:$N$42,MATCH(C307,'6. Base de Custos'!$L$8:$L$42,0)),"Não classificado"))</f>
        <v/>
      </c>
      <c r="N307" s="59">
        <f>IF(C307="","",IFERROR(INDEX('6. Base de Custos'!$O$8:$O$42,MATCH(C307,'6. Base de Custos'!$L$8:$L$42,0)),"Revisar"))</f>
        <v/>
      </c>
      <c r="O307" s="60">
        <f>IF(M307="","",IFERROR(VLOOKUP(M307,'6. Base de Custos'!$H$12:$J$18,3,FALSE),0))</f>
        <v/>
      </c>
      <c r="P307" s="59">
        <f>IF(C307="","",IFERROR(INDEX('6. Base de Custos'!$P$8:$P$42,MATCH(C307,'6. Base de Custos'!$L$8:$L$42,0)),"Revisar"))</f>
        <v/>
      </c>
      <c r="Q307" s="59">
        <f>IF(C307="","",IFERROR(INDEX('6. Base de Custos'!$Q$8:$Q$42,MATCH(C307,'6. Base de Custos'!$L$8:$L$42,0)),""))</f>
        <v/>
      </c>
      <c r="R307" s="65">
        <f>IF(C307="","",IFERROR(VLOOKUP(M307&amp;"|"&amp;N307,'17. Mapa DRE CP'!$E$5:$H$100,2,FALSE),"Revisar"))</f>
        <v/>
      </c>
      <c r="S307" s="65">
        <f>IF(C307="","",IFERROR(VLOOKUP(M307&amp;"|"&amp;N307,'17. Mapa DRE CP'!$E$5:$H$100,3,FALSE),"Revisar"))</f>
        <v/>
      </c>
      <c r="T307" s="65">
        <f>IF(C307="","",IF(R307="(-) Custos diretos dos serviços",IF(ISNUMBER(SEARCH("PCMSO",C307)),"PCMSO",IF(OR(ISNUMBER(SEARCH("SGS",C307)),ISNUMBER(SEARCH("CASTRO NAVES",C307))),"Projetos / Laudos / Avulsos","Projetos / Laudos / Avulsos")),"Rateio pela receita bruta"))</f>
        <v/>
      </c>
      <c r="U307" s="65">
        <f>IF(C307="","",IF(R307="(-) Custos diretos dos serviços","Direto por fornecedor/natureza do gasto","Rateio proporcional à receita bruta da linha de serviço"))</f>
        <v/>
      </c>
    </row>
    <row r="308">
      <c r="A308" s="28">
        <f>IF(C308="","", "CP-"&amp;TEXT(ROW()-5,"000"))</f>
        <v/>
      </c>
      <c r="B308" s="27">
        <f>IF(F308="","",DATE(YEAR(F308),MONTH(F308),1))</f>
        <v/>
      </c>
      <c r="C308" s="28" t="n"/>
      <c r="D308" s="28" t="n"/>
      <c r="E308" s="59">
        <f>IF(C308="","",IFERROR(INDEX('6. Base de Custos'!$M$8:$M$42,MATCH(C308,'6. Base de Custos'!$L$8:$L$42,0)),"Não classificado"))</f>
        <v/>
      </c>
      <c r="F308" s="111" t="n"/>
      <c r="G308" s="111" t="n"/>
      <c r="H308" s="111" t="n"/>
      <c r="I308" s="45" t="n"/>
      <c r="J308" s="28" t="n"/>
      <c r="K308" s="28" t="n"/>
      <c r="L308" s="28" t="n"/>
      <c r="M308" s="59">
        <f>IF(C308="","",IFERROR(INDEX('6. Base de Custos'!$N$8:$N$42,MATCH(C308,'6. Base de Custos'!$L$8:$L$42,0)),"Não classificado"))</f>
        <v/>
      </c>
      <c r="N308" s="59">
        <f>IF(C308="","",IFERROR(INDEX('6. Base de Custos'!$O$8:$O$42,MATCH(C308,'6. Base de Custos'!$L$8:$L$42,0)),"Revisar"))</f>
        <v/>
      </c>
      <c r="O308" s="60">
        <f>IF(M308="","",IFERROR(VLOOKUP(M308,'6. Base de Custos'!$H$12:$J$18,3,FALSE),0))</f>
        <v/>
      </c>
      <c r="P308" s="59">
        <f>IF(C308="","",IFERROR(INDEX('6. Base de Custos'!$P$8:$P$42,MATCH(C308,'6. Base de Custos'!$L$8:$L$42,0)),"Revisar"))</f>
        <v/>
      </c>
      <c r="Q308" s="59">
        <f>IF(C308="","",IFERROR(INDEX('6. Base de Custos'!$Q$8:$Q$42,MATCH(C308,'6. Base de Custos'!$L$8:$L$42,0)),""))</f>
        <v/>
      </c>
      <c r="R308" s="65">
        <f>IF(C308="","",IFERROR(VLOOKUP(M308&amp;"|"&amp;N308,'17. Mapa DRE CP'!$E$5:$H$100,2,FALSE),"Revisar"))</f>
        <v/>
      </c>
      <c r="S308" s="65">
        <f>IF(C308="","",IFERROR(VLOOKUP(M308&amp;"|"&amp;N308,'17. Mapa DRE CP'!$E$5:$H$100,3,FALSE),"Revisar"))</f>
        <v/>
      </c>
      <c r="T308" s="65">
        <f>IF(C308="","",IF(R308="(-) Custos diretos dos serviços",IF(ISNUMBER(SEARCH("PCMSO",C308)),"PCMSO",IF(OR(ISNUMBER(SEARCH("SGS",C308)),ISNUMBER(SEARCH("CASTRO NAVES",C308))),"Projetos / Laudos / Avulsos","Projetos / Laudos / Avulsos")),"Rateio pela receita bruta"))</f>
        <v/>
      </c>
      <c r="U308" s="65">
        <f>IF(C308="","",IF(R308="(-) Custos diretos dos serviços","Direto por fornecedor/natureza do gasto","Rateio proporcional à receita bruta da linha de serviço"))</f>
        <v/>
      </c>
    </row>
    <row r="309">
      <c r="A309" s="28">
        <f>IF(C309="","", "CP-"&amp;TEXT(ROW()-5,"000"))</f>
        <v/>
      </c>
      <c r="B309" s="27">
        <f>IF(F309="","",DATE(YEAR(F309),MONTH(F309),1))</f>
        <v/>
      </c>
      <c r="C309" s="28" t="n"/>
      <c r="D309" s="28" t="n"/>
      <c r="E309" s="59">
        <f>IF(C309="","",IFERROR(INDEX('6. Base de Custos'!$M$8:$M$42,MATCH(C309,'6. Base de Custos'!$L$8:$L$42,0)),"Não classificado"))</f>
        <v/>
      </c>
      <c r="F309" s="111" t="n"/>
      <c r="G309" s="111" t="n"/>
      <c r="H309" s="111" t="n"/>
      <c r="I309" s="45" t="n"/>
      <c r="J309" s="28" t="n"/>
      <c r="K309" s="28" t="n"/>
      <c r="L309" s="28" t="n"/>
      <c r="M309" s="59">
        <f>IF(C309="","",IFERROR(INDEX('6. Base de Custos'!$N$8:$N$42,MATCH(C309,'6. Base de Custos'!$L$8:$L$42,0)),"Não classificado"))</f>
        <v/>
      </c>
      <c r="N309" s="59">
        <f>IF(C309="","",IFERROR(INDEX('6. Base de Custos'!$O$8:$O$42,MATCH(C309,'6. Base de Custos'!$L$8:$L$42,0)),"Revisar"))</f>
        <v/>
      </c>
      <c r="O309" s="60">
        <f>IF(M309="","",IFERROR(VLOOKUP(M309,'6. Base de Custos'!$H$12:$J$18,3,FALSE),0))</f>
        <v/>
      </c>
      <c r="P309" s="59">
        <f>IF(C309="","",IFERROR(INDEX('6. Base de Custos'!$P$8:$P$42,MATCH(C309,'6. Base de Custos'!$L$8:$L$42,0)),"Revisar"))</f>
        <v/>
      </c>
      <c r="Q309" s="59">
        <f>IF(C309="","",IFERROR(INDEX('6. Base de Custos'!$Q$8:$Q$42,MATCH(C309,'6. Base de Custos'!$L$8:$L$42,0)),""))</f>
        <v/>
      </c>
      <c r="R309" s="65">
        <f>IF(C309="","",IFERROR(VLOOKUP(M309&amp;"|"&amp;N309,'17. Mapa DRE CP'!$E$5:$H$100,2,FALSE),"Revisar"))</f>
        <v/>
      </c>
      <c r="S309" s="65">
        <f>IF(C309="","",IFERROR(VLOOKUP(M309&amp;"|"&amp;N309,'17. Mapa DRE CP'!$E$5:$H$100,3,FALSE),"Revisar"))</f>
        <v/>
      </c>
      <c r="T309" s="65">
        <f>IF(C309="","",IF(R309="(-) Custos diretos dos serviços",IF(ISNUMBER(SEARCH("PCMSO",C309)),"PCMSO",IF(OR(ISNUMBER(SEARCH("SGS",C309)),ISNUMBER(SEARCH("CASTRO NAVES",C309))),"Projetos / Laudos / Avulsos","Projetos / Laudos / Avulsos")),"Rateio pela receita bruta"))</f>
        <v/>
      </c>
      <c r="U309" s="65">
        <f>IF(C309="","",IF(R309="(-) Custos diretos dos serviços","Direto por fornecedor/natureza do gasto","Rateio proporcional à receita bruta da linha de serviço"))</f>
        <v/>
      </c>
    </row>
    <row r="310">
      <c r="A310" s="28">
        <f>IF(C310="","", "CP-"&amp;TEXT(ROW()-5,"000"))</f>
        <v/>
      </c>
      <c r="B310" s="27">
        <f>IF(F310="","",DATE(YEAR(F310),MONTH(F310),1))</f>
        <v/>
      </c>
      <c r="C310" s="28" t="n"/>
      <c r="D310" s="28" t="n"/>
      <c r="E310" s="59">
        <f>IF(C310="","",IFERROR(INDEX('6. Base de Custos'!$M$8:$M$42,MATCH(C310,'6. Base de Custos'!$L$8:$L$42,0)),"Não classificado"))</f>
        <v/>
      </c>
      <c r="F310" s="111" t="n"/>
      <c r="G310" s="111" t="n"/>
      <c r="H310" s="111" t="n"/>
      <c r="I310" s="45" t="n"/>
      <c r="J310" s="28" t="n"/>
      <c r="K310" s="28" t="n"/>
      <c r="L310" s="28" t="n"/>
      <c r="M310" s="59">
        <f>IF(C310="","",IFERROR(INDEX('6. Base de Custos'!$N$8:$N$42,MATCH(C310,'6. Base de Custos'!$L$8:$L$42,0)),"Não classificado"))</f>
        <v/>
      </c>
      <c r="N310" s="59">
        <f>IF(C310="","",IFERROR(INDEX('6. Base de Custos'!$O$8:$O$42,MATCH(C310,'6. Base de Custos'!$L$8:$L$42,0)),"Revisar"))</f>
        <v/>
      </c>
      <c r="O310" s="60">
        <f>IF(M310="","",IFERROR(VLOOKUP(M310,'6. Base de Custos'!$H$12:$J$18,3,FALSE),0))</f>
        <v/>
      </c>
      <c r="P310" s="59">
        <f>IF(C310="","",IFERROR(INDEX('6. Base de Custos'!$P$8:$P$42,MATCH(C310,'6. Base de Custos'!$L$8:$L$42,0)),"Revisar"))</f>
        <v/>
      </c>
      <c r="Q310" s="59">
        <f>IF(C310="","",IFERROR(INDEX('6. Base de Custos'!$Q$8:$Q$42,MATCH(C310,'6. Base de Custos'!$L$8:$L$42,0)),""))</f>
        <v/>
      </c>
      <c r="R310" s="65">
        <f>IF(C310="","",IFERROR(VLOOKUP(M310&amp;"|"&amp;N310,'17. Mapa DRE CP'!$E$5:$H$100,2,FALSE),"Revisar"))</f>
        <v/>
      </c>
      <c r="S310" s="65">
        <f>IF(C310="","",IFERROR(VLOOKUP(M310&amp;"|"&amp;N310,'17. Mapa DRE CP'!$E$5:$H$100,3,FALSE),"Revisar"))</f>
        <v/>
      </c>
      <c r="T310" s="65">
        <f>IF(C310="","",IF(R310="(-) Custos diretos dos serviços",IF(ISNUMBER(SEARCH("PCMSO",C310)),"PCMSO",IF(OR(ISNUMBER(SEARCH("SGS",C310)),ISNUMBER(SEARCH("CASTRO NAVES",C310))),"Projetos / Laudos / Avulsos","Projetos / Laudos / Avulsos")),"Rateio pela receita bruta"))</f>
        <v/>
      </c>
      <c r="U310" s="65">
        <f>IF(C310="","",IF(R310="(-) Custos diretos dos serviços","Direto por fornecedor/natureza do gasto","Rateio proporcional à receita bruta da linha de serviço"))</f>
        <v/>
      </c>
    </row>
    <row r="311">
      <c r="A311" s="28">
        <f>IF(C311="","", "CP-"&amp;TEXT(ROW()-5,"000"))</f>
        <v/>
      </c>
      <c r="B311" s="27">
        <f>IF(F311="","",DATE(YEAR(F311),MONTH(F311),1))</f>
        <v/>
      </c>
      <c r="C311" s="28" t="n"/>
      <c r="D311" s="28" t="n"/>
      <c r="E311" s="59">
        <f>IF(C311="","",IFERROR(INDEX('6. Base de Custos'!$M$8:$M$42,MATCH(C311,'6. Base de Custos'!$L$8:$L$42,0)),"Não classificado"))</f>
        <v/>
      </c>
      <c r="F311" s="111" t="n"/>
      <c r="G311" s="111" t="n"/>
      <c r="H311" s="111" t="n"/>
      <c r="I311" s="45" t="n"/>
      <c r="J311" s="28" t="n"/>
      <c r="K311" s="28" t="n"/>
      <c r="L311" s="28" t="n"/>
      <c r="M311" s="59">
        <f>IF(C311="","",IFERROR(INDEX('6. Base de Custos'!$N$8:$N$42,MATCH(C311,'6. Base de Custos'!$L$8:$L$42,0)),"Não classificado"))</f>
        <v/>
      </c>
      <c r="N311" s="59">
        <f>IF(C311="","",IFERROR(INDEX('6. Base de Custos'!$O$8:$O$42,MATCH(C311,'6. Base de Custos'!$L$8:$L$42,0)),"Revisar"))</f>
        <v/>
      </c>
      <c r="O311" s="60">
        <f>IF(M311="","",IFERROR(VLOOKUP(M311,'6. Base de Custos'!$H$12:$J$18,3,FALSE),0))</f>
        <v/>
      </c>
      <c r="P311" s="59">
        <f>IF(C311="","",IFERROR(INDEX('6. Base de Custos'!$P$8:$P$42,MATCH(C311,'6. Base de Custos'!$L$8:$L$42,0)),"Revisar"))</f>
        <v/>
      </c>
      <c r="Q311" s="59">
        <f>IF(C311="","",IFERROR(INDEX('6. Base de Custos'!$Q$8:$Q$42,MATCH(C311,'6. Base de Custos'!$L$8:$L$42,0)),""))</f>
        <v/>
      </c>
      <c r="R311" s="65">
        <f>IF(C311="","",IFERROR(VLOOKUP(M311&amp;"|"&amp;N311,'17. Mapa DRE CP'!$E$5:$H$100,2,FALSE),"Revisar"))</f>
        <v/>
      </c>
      <c r="S311" s="65">
        <f>IF(C311="","",IFERROR(VLOOKUP(M311&amp;"|"&amp;N311,'17. Mapa DRE CP'!$E$5:$H$100,3,FALSE),"Revisar"))</f>
        <v/>
      </c>
      <c r="T311" s="65">
        <f>IF(C311="","",IF(R311="(-) Custos diretos dos serviços",IF(ISNUMBER(SEARCH("PCMSO",C311)),"PCMSO",IF(OR(ISNUMBER(SEARCH("SGS",C311)),ISNUMBER(SEARCH("CASTRO NAVES",C311))),"Projetos / Laudos / Avulsos","Projetos / Laudos / Avulsos")),"Rateio pela receita bruta"))</f>
        <v/>
      </c>
      <c r="U311" s="65">
        <f>IF(C311="","",IF(R311="(-) Custos diretos dos serviços","Direto por fornecedor/natureza do gasto","Rateio proporcional à receita bruta da linha de serviço"))</f>
        <v/>
      </c>
    </row>
    <row r="312">
      <c r="A312" s="28">
        <f>IF(C312="","", "CP-"&amp;TEXT(ROW()-5,"000"))</f>
        <v/>
      </c>
      <c r="B312" s="27">
        <f>IF(F312="","",DATE(YEAR(F312),MONTH(F312),1))</f>
        <v/>
      </c>
      <c r="C312" s="28" t="n"/>
      <c r="D312" s="28" t="n"/>
      <c r="E312" s="59">
        <f>IF(C312="","",IFERROR(INDEX('6. Base de Custos'!$M$8:$M$42,MATCH(C312,'6. Base de Custos'!$L$8:$L$42,0)),"Não classificado"))</f>
        <v/>
      </c>
      <c r="F312" s="111" t="n"/>
      <c r="G312" s="111" t="n"/>
      <c r="H312" s="111" t="n"/>
      <c r="I312" s="45" t="n"/>
      <c r="J312" s="28" t="n"/>
      <c r="K312" s="28" t="n"/>
      <c r="L312" s="28" t="n"/>
      <c r="M312" s="59">
        <f>IF(C312="","",IFERROR(INDEX('6. Base de Custos'!$N$8:$N$42,MATCH(C312,'6. Base de Custos'!$L$8:$L$42,0)),"Não classificado"))</f>
        <v/>
      </c>
      <c r="N312" s="59">
        <f>IF(C312="","",IFERROR(INDEX('6. Base de Custos'!$O$8:$O$42,MATCH(C312,'6. Base de Custos'!$L$8:$L$42,0)),"Revisar"))</f>
        <v/>
      </c>
      <c r="O312" s="60">
        <f>IF(M312="","",IFERROR(VLOOKUP(M312,'6. Base de Custos'!$H$12:$J$18,3,FALSE),0))</f>
        <v/>
      </c>
      <c r="P312" s="59">
        <f>IF(C312="","",IFERROR(INDEX('6. Base de Custos'!$P$8:$P$42,MATCH(C312,'6. Base de Custos'!$L$8:$L$42,0)),"Revisar"))</f>
        <v/>
      </c>
      <c r="Q312" s="59">
        <f>IF(C312="","",IFERROR(INDEX('6. Base de Custos'!$Q$8:$Q$42,MATCH(C312,'6. Base de Custos'!$L$8:$L$42,0)),""))</f>
        <v/>
      </c>
      <c r="R312" s="65">
        <f>IF(C312="","",IFERROR(VLOOKUP(M312&amp;"|"&amp;N312,'17. Mapa DRE CP'!$E$5:$H$100,2,FALSE),"Revisar"))</f>
        <v/>
      </c>
      <c r="S312" s="65">
        <f>IF(C312="","",IFERROR(VLOOKUP(M312&amp;"|"&amp;N312,'17. Mapa DRE CP'!$E$5:$H$100,3,FALSE),"Revisar"))</f>
        <v/>
      </c>
      <c r="T312" s="65">
        <f>IF(C312="","",IF(R312="(-) Custos diretos dos serviços",IF(ISNUMBER(SEARCH("PCMSO",C312)),"PCMSO",IF(OR(ISNUMBER(SEARCH("SGS",C312)),ISNUMBER(SEARCH("CASTRO NAVES",C312))),"Projetos / Laudos / Avulsos","Projetos / Laudos / Avulsos")),"Rateio pela receita bruta"))</f>
        <v/>
      </c>
      <c r="U312" s="65">
        <f>IF(C312="","",IF(R312="(-) Custos diretos dos serviços","Direto por fornecedor/natureza do gasto","Rateio proporcional à receita bruta da linha de serviço"))</f>
        <v/>
      </c>
    </row>
    <row r="313">
      <c r="A313" s="28">
        <f>IF(C313="","", "CP-"&amp;TEXT(ROW()-5,"000"))</f>
        <v/>
      </c>
      <c r="B313" s="27">
        <f>IF(F313="","",DATE(YEAR(F313),MONTH(F313),1))</f>
        <v/>
      </c>
      <c r="C313" s="28" t="n"/>
      <c r="D313" s="28" t="n"/>
      <c r="E313" s="59">
        <f>IF(C313="","",IFERROR(INDEX('6. Base de Custos'!$M$8:$M$42,MATCH(C313,'6. Base de Custos'!$L$8:$L$42,0)),"Não classificado"))</f>
        <v/>
      </c>
      <c r="F313" s="111" t="n"/>
      <c r="G313" s="111" t="n"/>
      <c r="H313" s="111" t="n"/>
      <c r="I313" s="45" t="n"/>
      <c r="J313" s="28" t="n"/>
      <c r="K313" s="28" t="n"/>
      <c r="L313" s="28" t="n"/>
      <c r="M313" s="59">
        <f>IF(C313="","",IFERROR(INDEX('6. Base de Custos'!$N$8:$N$42,MATCH(C313,'6. Base de Custos'!$L$8:$L$42,0)),"Não classificado"))</f>
        <v/>
      </c>
      <c r="N313" s="59">
        <f>IF(C313="","",IFERROR(INDEX('6. Base de Custos'!$O$8:$O$42,MATCH(C313,'6. Base de Custos'!$L$8:$L$42,0)),"Revisar"))</f>
        <v/>
      </c>
      <c r="O313" s="60">
        <f>IF(M313="","",IFERROR(VLOOKUP(M313,'6. Base de Custos'!$H$12:$J$18,3,FALSE),0))</f>
        <v/>
      </c>
      <c r="P313" s="59">
        <f>IF(C313="","",IFERROR(INDEX('6. Base de Custos'!$P$8:$P$42,MATCH(C313,'6. Base de Custos'!$L$8:$L$42,0)),"Revisar"))</f>
        <v/>
      </c>
      <c r="Q313" s="59">
        <f>IF(C313="","",IFERROR(INDEX('6. Base de Custos'!$Q$8:$Q$42,MATCH(C313,'6. Base de Custos'!$L$8:$L$42,0)),""))</f>
        <v/>
      </c>
      <c r="R313" s="65">
        <f>IF(C313="","",IFERROR(VLOOKUP(M313&amp;"|"&amp;N313,'17. Mapa DRE CP'!$E$5:$H$100,2,FALSE),"Revisar"))</f>
        <v/>
      </c>
      <c r="S313" s="65">
        <f>IF(C313="","",IFERROR(VLOOKUP(M313&amp;"|"&amp;N313,'17. Mapa DRE CP'!$E$5:$H$100,3,FALSE),"Revisar"))</f>
        <v/>
      </c>
      <c r="T313" s="65">
        <f>IF(C313="","",IF(R313="(-) Custos diretos dos serviços",IF(ISNUMBER(SEARCH("PCMSO",C313)),"PCMSO",IF(OR(ISNUMBER(SEARCH("SGS",C313)),ISNUMBER(SEARCH("CASTRO NAVES",C313))),"Projetos / Laudos / Avulsos","Projetos / Laudos / Avulsos")),"Rateio pela receita bruta"))</f>
        <v/>
      </c>
      <c r="U313" s="65">
        <f>IF(C313="","",IF(R313="(-) Custos diretos dos serviços","Direto por fornecedor/natureza do gasto","Rateio proporcional à receita bruta da linha de serviço"))</f>
        <v/>
      </c>
    </row>
    <row r="314">
      <c r="A314" s="28">
        <f>IF(C314="","", "CP-"&amp;TEXT(ROW()-5,"000"))</f>
        <v/>
      </c>
      <c r="B314" s="27">
        <f>IF(F314="","",DATE(YEAR(F314),MONTH(F314),1))</f>
        <v/>
      </c>
      <c r="C314" s="28" t="n"/>
      <c r="D314" s="28" t="n"/>
      <c r="E314" s="59">
        <f>IF(C314="","",IFERROR(INDEX('6. Base de Custos'!$M$8:$M$42,MATCH(C314,'6. Base de Custos'!$L$8:$L$42,0)),"Não classificado"))</f>
        <v/>
      </c>
      <c r="F314" s="111" t="n"/>
      <c r="G314" s="111" t="n"/>
      <c r="H314" s="111" t="n"/>
      <c r="I314" s="45" t="n"/>
      <c r="J314" s="28" t="n"/>
      <c r="K314" s="28" t="n"/>
      <c r="L314" s="28" t="n"/>
      <c r="M314" s="59">
        <f>IF(C314="","",IFERROR(INDEX('6. Base de Custos'!$N$8:$N$42,MATCH(C314,'6. Base de Custos'!$L$8:$L$42,0)),"Não classificado"))</f>
        <v/>
      </c>
      <c r="N314" s="59">
        <f>IF(C314="","",IFERROR(INDEX('6. Base de Custos'!$O$8:$O$42,MATCH(C314,'6. Base de Custos'!$L$8:$L$42,0)),"Revisar"))</f>
        <v/>
      </c>
      <c r="O314" s="60">
        <f>IF(M314="","",IFERROR(VLOOKUP(M314,'6. Base de Custos'!$H$12:$J$18,3,FALSE),0))</f>
        <v/>
      </c>
      <c r="P314" s="59">
        <f>IF(C314="","",IFERROR(INDEX('6. Base de Custos'!$P$8:$P$42,MATCH(C314,'6. Base de Custos'!$L$8:$L$42,0)),"Revisar"))</f>
        <v/>
      </c>
      <c r="Q314" s="59">
        <f>IF(C314="","",IFERROR(INDEX('6. Base de Custos'!$Q$8:$Q$42,MATCH(C314,'6. Base de Custos'!$L$8:$L$42,0)),""))</f>
        <v/>
      </c>
      <c r="R314" s="65">
        <f>IF(C314="","",IFERROR(VLOOKUP(M314&amp;"|"&amp;N314,'17. Mapa DRE CP'!$E$5:$H$100,2,FALSE),"Revisar"))</f>
        <v/>
      </c>
      <c r="S314" s="65">
        <f>IF(C314="","",IFERROR(VLOOKUP(M314&amp;"|"&amp;N314,'17. Mapa DRE CP'!$E$5:$H$100,3,FALSE),"Revisar"))</f>
        <v/>
      </c>
      <c r="T314" s="65">
        <f>IF(C314="","",IF(R314="(-) Custos diretos dos serviços",IF(ISNUMBER(SEARCH("PCMSO",C314)),"PCMSO",IF(OR(ISNUMBER(SEARCH("SGS",C314)),ISNUMBER(SEARCH("CASTRO NAVES",C314))),"Projetos / Laudos / Avulsos","Projetos / Laudos / Avulsos")),"Rateio pela receita bruta"))</f>
        <v/>
      </c>
      <c r="U314" s="65">
        <f>IF(C314="","",IF(R314="(-) Custos diretos dos serviços","Direto por fornecedor/natureza do gasto","Rateio proporcional à receita bruta da linha de serviço"))</f>
        <v/>
      </c>
    </row>
    <row r="315">
      <c r="A315" s="28">
        <f>IF(C315="","", "CP-"&amp;TEXT(ROW()-5,"000"))</f>
        <v/>
      </c>
      <c r="B315" s="27">
        <f>IF(F315="","",DATE(YEAR(F315),MONTH(F315),1))</f>
        <v/>
      </c>
      <c r="C315" s="28" t="n"/>
      <c r="D315" s="28" t="n"/>
      <c r="E315" s="59">
        <f>IF(C315="","",IFERROR(INDEX('6. Base de Custos'!$M$8:$M$42,MATCH(C315,'6. Base de Custos'!$L$8:$L$42,0)),"Não classificado"))</f>
        <v/>
      </c>
      <c r="F315" s="111" t="n"/>
      <c r="G315" s="111" t="n"/>
      <c r="H315" s="111" t="n"/>
      <c r="I315" s="45" t="n"/>
      <c r="J315" s="28" t="n"/>
      <c r="K315" s="28" t="n"/>
      <c r="L315" s="28" t="n"/>
      <c r="M315" s="59">
        <f>IF(C315="","",IFERROR(INDEX('6. Base de Custos'!$N$8:$N$42,MATCH(C315,'6. Base de Custos'!$L$8:$L$42,0)),"Não classificado"))</f>
        <v/>
      </c>
      <c r="N315" s="59">
        <f>IF(C315="","",IFERROR(INDEX('6. Base de Custos'!$O$8:$O$42,MATCH(C315,'6. Base de Custos'!$L$8:$L$42,0)),"Revisar"))</f>
        <v/>
      </c>
      <c r="O315" s="60">
        <f>IF(M315="","",IFERROR(VLOOKUP(M315,'6. Base de Custos'!$H$12:$J$18,3,FALSE),0))</f>
        <v/>
      </c>
      <c r="P315" s="59">
        <f>IF(C315="","",IFERROR(INDEX('6. Base de Custos'!$P$8:$P$42,MATCH(C315,'6. Base de Custos'!$L$8:$L$42,0)),"Revisar"))</f>
        <v/>
      </c>
      <c r="Q315" s="59">
        <f>IF(C315="","",IFERROR(INDEX('6. Base de Custos'!$Q$8:$Q$42,MATCH(C315,'6. Base de Custos'!$L$8:$L$42,0)),""))</f>
        <v/>
      </c>
      <c r="R315" s="65">
        <f>IF(C315="","",IFERROR(VLOOKUP(M315&amp;"|"&amp;N315,'17. Mapa DRE CP'!$E$5:$H$100,2,FALSE),"Revisar"))</f>
        <v/>
      </c>
      <c r="S315" s="65">
        <f>IF(C315="","",IFERROR(VLOOKUP(M315&amp;"|"&amp;N315,'17. Mapa DRE CP'!$E$5:$H$100,3,FALSE),"Revisar"))</f>
        <v/>
      </c>
      <c r="T315" s="65">
        <f>IF(C315="","",IF(R315="(-) Custos diretos dos serviços",IF(ISNUMBER(SEARCH("PCMSO",C315)),"PCMSO",IF(OR(ISNUMBER(SEARCH("SGS",C315)),ISNUMBER(SEARCH("CASTRO NAVES",C315))),"Projetos / Laudos / Avulsos","Projetos / Laudos / Avulsos")),"Rateio pela receita bruta"))</f>
        <v/>
      </c>
      <c r="U315" s="65">
        <f>IF(C315="","",IF(R315="(-) Custos diretos dos serviços","Direto por fornecedor/natureza do gasto","Rateio proporcional à receita bruta da linha de serviço"))</f>
        <v/>
      </c>
    </row>
    <row r="316">
      <c r="A316" s="28">
        <f>IF(C316="","", "CP-"&amp;TEXT(ROW()-5,"000"))</f>
        <v/>
      </c>
      <c r="B316" s="27">
        <f>IF(F316="","",DATE(YEAR(F316),MONTH(F316),1))</f>
        <v/>
      </c>
      <c r="C316" s="28" t="n"/>
      <c r="D316" s="28" t="n"/>
      <c r="E316" s="59">
        <f>IF(C316="","",IFERROR(INDEX('6. Base de Custos'!$M$8:$M$42,MATCH(C316,'6. Base de Custos'!$L$8:$L$42,0)),"Não classificado"))</f>
        <v/>
      </c>
      <c r="F316" s="111" t="n"/>
      <c r="G316" s="111" t="n"/>
      <c r="H316" s="111" t="n"/>
      <c r="I316" s="45" t="n"/>
      <c r="J316" s="28" t="n"/>
      <c r="K316" s="28" t="n"/>
      <c r="L316" s="28" t="n"/>
      <c r="M316" s="59">
        <f>IF(C316="","",IFERROR(INDEX('6. Base de Custos'!$N$8:$N$42,MATCH(C316,'6. Base de Custos'!$L$8:$L$42,0)),"Não classificado"))</f>
        <v/>
      </c>
      <c r="N316" s="59">
        <f>IF(C316="","",IFERROR(INDEX('6. Base de Custos'!$O$8:$O$42,MATCH(C316,'6. Base de Custos'!$L$8:$L$42,0)),"Revisar"))</f>
        <v/>
      </c>
      <c r="O316" s="60">
        <f>IF(M316="","",IFERROR(VLOOKUP(M316,'6. Base de Custos'!$H$12:$J$18,3,FALSE),0))</f>
        <v/>
      </c>
      <c r="P316" s="59">
        <f>IF(C316="","",IFERROR(INDEX('6. Base de Custos'!$P$8:$P$42,MATCH(C316,'6. Base de Custos'!$L$8:$L$42,0)),"Revisar"))</f>
        <v/>
      </c>
      <c r="Q316" s="59">
        <f>IF(C316="","",IFERROR(INDEX('6. Base de Custos'!$Q$8:$Q$42,MATCH(C316,'6. Base de Custos'!$L$8:$L$42,0)),""))</f>
        <v/>
      </c>
      <c r="R316" s="65">
        <f>IF(C316="","",IFERROR(VLOOKUP(M316&amp;"|"&amp;N316,'17. Mapa DRE CP'!$E$5:$H$100,2,FALSE),"Revisar"))</f>
        <v/>
      </c>
      <c r="S316" s="65">
        <f>IF(C316="","",IFERROR(VLOOKUP(M316&amp;"|"&amp;N316,'17. Mapa DRE CP'!$E$5:$H$100,3,FALSE),"Revisar"))</f>
        <v/>
      </c>
      <c r="T316" s="65">
        <f>IF(C316="","",IF(R316="(-) Custos diretos dos serviços",IF(ISNUMBER(SEARCH("PCMSO",C316)),"PCMSO",IF(OR(ISNUMBER(SEARCH("SGS",C316)),ISNUMBER(SEARCH("CASTRO NAVES",C316))),"Projetos / Laudos / Avulsos","Projetos / Laudos / Avulsos")),"Rateio pela receita bruta"))</f>
        <v/>
      </c>
      <c r="U316" s="65">
        <f>IF(C316="","",IF(R316="(-) Custos diretos dos serviços","Direto por fornecedor/natureza do gasto","Rateio proporcional à receita bruta da linha de serviço"))</f>
        <v/>
      </c>
    </row>
    <row r="317">
      <c r="A317" s="28">
        <f>IF(C317="","", "CP-"&amp;TEXT(ROW()-5,"000"))</f>
        <v/>
      </c>
      <c r="B317" s="27">
        <f>IF(F317="","",DATE(YEAR(F317),MONTH(F317),1))</f>
        <v/>
      </c>
      <c r="C317" s="28" t="n"/>
      <c r="D317" s="28" t="n"/>
      <c r="E317" s="59">
        <f>IF(C317="","",IFERROR(INDEX('6. Base de Custos'!$M$8:$M$42,MATCH(C317,'6. Base de Custos'!$L$8:$L$42,0)),"Não classificado"))</f>
        <v/>
      </c>
      <c r="F317" s="111" t="n"/>
      <c r="G317" s="111" t="n"/>
      <c r="H317" s="111" t="n"/>
      <c r="I317" s="45" t="n"/>
      <c r="J317" s="28" t="n"/>
      <c r="K317" s="28" t="n"/>
      <c r="L317" s="28" t="n"/>
      <c r="M317" s="59">
        <f>IF(C317="","",IFERROR(INDEX('6. Base de Custos'!$N$8:$N$42,MATCH(C317,'6. Base de Custos'!$L$8:$L$42,0)),"Não classificado"))</f>
        <v/>
      </c>
      <c r="N317" s="59">
        <f>IF(C317="","",IFERROR(INDEX('6. Base de Custos'!$O$8:$O$42,MATCH(C317,'6. Base de Custos'!$L$8:$L$42,0)),"Revisar"))</f>
        <v/>
      </c>
      <c r="O317" s="60">
        <f>IF(M317="","",IFERROR(VLOOKUP(M317,'6. Base de Custos'!$H$12:$J$18,3,FALSE),0))</f>
        <v/>
      </c>
      <c r="P317" s="59">
        <f>IF(C317="","",IFERROR(INDEX('6. Base de Custos'!$P$8:$P$42,MATCH(C317,'6. Base de Custos'!$L$8:$L$42,0)),"Revisar"))</f>
        <v/>
      </c>
      <c r="Q317" s="59">
        <f>IF(C317="","",IFERROR(INDEX('6. Base de Custos'!$Q$8:$Q$42,MATCH(C317,'6. Base de Custos'!$L$8:$L$42,0)),""))</f>
        <v/>
      </c>
      <c r="R317" s="65">
        <f>IF(C317="","",IFERROR(VLOOKUP(M317&amp;"|"&amp;N317,'17. Mapa DRE CP'!$E$5:$H$100,2,FALSE),"Revisar"))</f>
        <v/>
      </c>
      <c r="S317" s="65">
        <f>IF(C317="","",IFERROR(VLOOKUP(M317&amp;"|"&amp;N317,'17. Mapa DRE CP'!$E$5:$H$100,3,FALSE),"Revisar"))</f>
        <v/>
      </c>
      <c r="T317" s="65">
        <f>IF(C317="","",IF(R317="(-) Custos diretos dos serviços",IF(ISNUMBER(SEARCH("PCMSO",C317)),"PCMSO",IF(OR(ISNUMBER(SEARCH("SGS",C317)),ISNUMBER(SEARCH("CASTRO NAVES",C317))),"Projetos / Laudos / Avulsos","Projetos / Laudos / Avulsos")),"Rateio pela receita bruta"))</f>
        <v/>
      </c>
      <c r="U317" s="65">
        <f>IF(C317="","",IF(R317="(-) Custos diretos dos serviços","Direto por fornecedor/natureza do gasto","Rateio proporcional à receita bruta da linha de serviço"))</f>
        <v/>
      </c>
    </row>
    <row r="318">
      <c r="A318" s="28">
        <f>IF(C318="","", "CP-"&amp;TEXT(ROW()-5,"000"))</f>
        <v/>
      </c>
      <c r="B318" s="27">
        <f>IF(F318="","",DATE(YEAR(F318),MONTH(F318),1))</f>
        <v/>
      </c>
      <c r="C318" s="28" t="n"/>
      <c r="D318" s="28" t="n"/>
      <c r="E318" s="59">
        <f>IF(C318="","",IFERROR(INDEX('6. Base de Custos'!$M$8:$M$42,MATCH(C318,'6. Base de Custos'!$L$8:$L$42,0)),"Não classificado"))</f>
        <v/>
      </c>
      <c r="F318" s="111" t="n"/>
      <c r="G318" s="111" t="n"/>
      <c r="H318" s="111" t="n"/>
      <c r="I318" s="45" t="n"/>
      <c r="J318" s="28" t="n"/>
      <c r="K318" s="28" t="n"/>
      <c r="L318" s="28" t="n"/>
      <c r="M318" s="59">
        <f>IF(C318="","",IFERROR(INDEX('6. Base de Custos'!$N$8:$N$42,MATCH(C318,'6. Base de Custos'!$L$8:$L$42,0)),"Não classificado"))</f>
        <v/>
      </c>
      <c r="N318" s="59">
        <f>IF(C318="","",IFERROR(INDEX('6. Base de Custos'!$O$8:$O$42,MATCH(C318,'6. Base de Custos'!$L$8:$L$42,0)),"Revisar"))</f>
        <v/>
      </c>
      <c r="O318" s="60">
        <f>IF(M318="","",IFERROR(VLOOKUP(M318,'6. Base de Custos'!$H$12:$J$18,3,FALSE),0))</f>
        <v/>
      </c>
      <c r="P318" s="59">
        <f>IF(C318="","",IFERROR(INDEX('6. Base de Custos'!$P$8:$P$42,MATCH(C318,'6. Base de Custos'!$L$8:$L$42,0)),"Revisar"))</f>
        <v/>
      </c>
      <c r="Q318" s="59">
        <f>IF(C318="","",IFERROR(INDEX('6. Base de Custos'!$Q$8:$Q$42,MATCH(C318,'6. Base de Custos'!$L$8:$L$42,0)),""))</f>
        <v/>
      </c>
      <c r="R318" s="65">
        <f>IF(C318="","",IFERROR(VLOOKUP(M318&amp;"|"&amp;N318,'17. Mapa DRE CP'!$E$5:$H$100,2,FALSE),"Revisar"))</f>
        <v/>
      </c>
      <c r="S318" s="65">
        <f>IF(C318="","",IFERROR(VLOOKUP(M318&amp;"|"&amp;N318,'17. Mapa DRE CP'!$E$5:$H$100,3,FALSE),"Revisar"))</f>
        <v/>
      </c>
      <c r="T318" s="65">
        <f>IF(C318="","",IF(R318="(-) Custos diretos dos serviços",IF(ISNUMBER(SEARCH("PCMSO",C318)),"PCMSO",IF(OR(ISNUMBER(SEARCH("SGS",C318)),ISNUMBER(SEARCH("CASTRO NAVES",C318))),"Projetos / Laudos / Avulsos","Projetos / Laudos / Avulsos")),"Rateio pela receita bruta"))</f>
        <v/>
      </c>
      <c r="U318" s="65">
        <f>IF(C318="","",IF(R318="(-) Custos diretos dos serviços","Direto por fornecedor/natureza do gasto","Rateio proporcional à receita bruta da linha de serviço"))</f>
        <v/>
      </c>
    </row>
    <row r="319">
      <c r="A319" s="28">
        <f>IF(C319="","", "CP-"&amp;TEXT(ROW()-5,"000"))</f>
        <v/>
      </c>
      <c r="B319" s="27">
        <f>IF(F319="","",DATE(YEAR(F319),MONTH(F319),1))</f>
        <v/>
      </c>
      <c r="C319" s="28" t="n"/>
      <c r="D319" s="28" t="n"/>
      <c r="E319" s="59">
        <f>IF(C319="","",IFERROR(INDEX('6. Base de Custos'!$M$8:$M$42,MATCH(C319,'6. Base de Custos'!$L$8:$L$42,0)),"Não classificado"))</f>
        <v/>
      </c>
      <c r="F319" s="111" t="n"/>
      <c r="G319" s="111" t="n"/>
      <c r="H319" s="111" t="n"/>
      <c r="I319" s="45" t="n"/>
      <c r="J319" s="28" t="n"/>
      <c r="K319" s="28" t="n"/>
      <c r="L319" s="28" t="n"/>
      <c r="M319" s="59">
        <f>IF(C319="","",IFERROR(INDEX('6. Base de Custos'!$N$8:$N$42,MATCH(C319,'6. Base de Custos'!$L$8:$L$42,0)),"Não classificado"))</f>
        <v/>
      </c>
      <c r="N319" s="59">
        <f>IF(C319="","",IFERROR(INDEX('6. Base de Custos'!$O$8:$O$42,MATCH(C319,'6. Base de Custos'!$L$8:$L$42,0)),"Revisar"))</f>
        <v/>
      </c>
      <c r="O319" s="60">
        <f>IF(M319="","",IFERROR(VLOOKUP(M319,'6. Base de Custos'!$H$12:$J$18,3,FALSE),0))</f>
        <v/>
      </c>
      <c r="P319" s="59">
        <f>IF(C319="","",IFERROR(INDEX('6. Base de Custos'!$P$8:$P$42,MATCH(C319,'6. Base de Custos'!$L$8:$L$42,0)),"Revisar"))</f>
        <v/>
      </c>
      <c r="Q319" s="59">
        <f>IF(C319="","",IFERROR(INDEX('6. Base de Custos'!$Q$8:$Q$42,MATCH(C319,'6. Base de Custos'!$L$8:$L$42,0)),""))</f>
        <v/>
      </c>
      <c r="R319" s="65">
        <f>IF(C319="","",IFERROR(VLOOKUP(M319&amp;"|"&amp;N319,'17. Mapa DRE CP'!$E$5:$H$100,2,FALSE),"Revisar"))</f>
        <v/>
      </c>
      <c r="S319" s="65">
        <f>IF(C319="","",IFERROR(VLOOKUP(M319&amp;"|"&amp;N319,'17. Mapa DRE CP'!$E$5:$H$100,3,FALSE),"Revisar"))</f>
        <v/>
      </c>
      <c r="T319" s="65">
        <f>IF(C319="","",IF(R319="(-) Custos diretos dos serviços",IF(ISNUMBER(SEARCH("PCMSO",C319)),"PCMSO",IF(OR(ISNUMBER(SEARCH("SGS",C319)),ISNUMBER(SEARCH("CASTRO NAVES",C319))),"Projetos / Laudos / Avulsos","Projetos / Laudos / Avulsos")),"Rateio pela receita bruta"))</f>
        <v/>
      </c>
      <c r="U319" s="65">
        <f>IF(C319="","",IF(R319="(-) Custos diretos dos serviços","Direto por fornecedor/natureza do gasto","Rateio proporcional à receita bruta da linha de serviço"))</f>
        <v/>
      </c>
    </row>
    <row r="320">
      <c r="A320" s="28">
        <f>IF(C320="","", "CP-"&amp;TEXT(ROW()-5,"000"))</f>
        <v/>
      </c>
      <c r="B320" s="27">
        <f>IF(F320="","",DATE(YEAR(F320),MONTH(F320),1))</f>
        <v/>
      </c>
      <c r="C320" s="28" t="n"/>
      <c r="D320" s="28" t="n"/>
      <c r="E320" s="59">
        <f>IF(C320="","",IFERROR(INDEX('6. Base de Custos'!$M$8:$M$42,MATCH(C320,'6. Base de Custos'!$L$8:$L$42,0)),"Não classificado"))</f>
        <v/>
      </c>
      <c r="F320" s="111" t="n"/>
      <c r="G320" s="111" t="n"/>
      <c r="H320" s="111" t="n"/>
      <c r="I320" s="45" t="n"/>
      <c r="J320" s="28" t="n"/>
      <c r="K320" s="28" t="n"/>
      <c r="L320" s="28" t="n"/>
      <c r="M320" s="59">
        <f>IF(C320="","",IFERROR(INDEX('6. Base de Custos'!$N$8:$N$42,MATCH(C320,'6. Base de Custos'!$L$8:$L$42,0)),"Não classificado"))</f>
        <v/>
      </c>
      <c r="N320" s="59">
        <f>IF(C320="","",IFERROR(INDEX('6. Base de Custos'!$O$8:$O$42,MATCH(C320,'6. Base de Custos'!$L$8:$L$42,0)),"Revisar"))</f>
        <v/>
      </c>
      <c r="O320" s="60">
        <f>IF(M320="","",IFERROR(VLOOKUP(M320,'6. Base de Custos'!$H$12:$J$18,3,FALSE),0))</f>
        <v/>
      </c>
      <c r="P320" s="59">
        <f>IF(C320="","",IFERROR(INDEX('6. Base de Custos'!$P$8:$P$42,MATCH(C320,'6. Base de Custos'!$L$8:$L$42,0)),"Revisar"))</f>
        <v/>
      </c>
      <c r="Q320" s="59">
        <f>IF(C320="","",IFERROR(INDEX('6. Base de Custos'!$Q$8:$Q$42,MATCH(C320,'6. Base de Custos'!$L$8:$L$42,0)),""))</f>
        <v/>
      </c>
      <c r="R320" s="65">
        <f>IF(C320="","",IFERROR(VLOOKUP(M320&amp;"|"&amp;N320,'17. Mapa DRE CP'!$E$5:$H$100,2,FALSE),"Revisar"))</f>
        <v/>
      </c>
      <c r="S320" s="65">
        <f>IF(C320="","",IFERROR(VLOOKUP(M320&amp;"|"&amp;N320,'17. Mapa DRE CP'!$E$5:$H$100,3,FALSE),"Revisar"))</f>
        <v/>
      </c>
      <c r="T320" s="65">
        <f>IF(C320="","",IF(R320="(-) Custos diretos dos serviços",IF(ISNUMBER(SEARCH("PCMSO",C320)),"PCMSO",IF(OR(ISNUMBER(SEARCH("SGS",C320)),ISNUMBER(SEARCH("CASTRO NAVES",C320))),"Projetos / Laudos / Avulsos","Projetos / Laudos / Avulsos")),"Rateio pela receita bruta"))</f>
        <v/>
      </c>
      <c r="U320" s="65">
        <f>IF(C320="","",IF(R320="(-) Custos diretos dos serviços","Direto por fornecedor/natureza do gasto","Rateio proporcional à receita bruta da linha de serviço"))</f>
        <v/>
      </c>
    </row>
    <row r="321">
      <c r="A321" s="28">
        <f>IF(C321="","", "CP-"&amp;TEXT(ROW()-5,"000"))</f>
        <v/>
      </c>
      <c r="B321" s="27">
        <f>IF(F321="","",DATE(YEAR(F321),MONTH(F321),1))</f>
        <v/>
      </c>
      <c r="C321" s="28" t="n"/>
      <c r="D321" s="28" t="n"/>
      <c r="E321" s="59">
        <f>IF(C321="","",IFERROR(INDEX('6. Base de Custos'!$M$8:$M$42,MATCH(C321,'6. Base de Custos'!$L$8:$L$42,0)),"Não classificado"))</f>
        <v/>
      </c>
      <c r="F321" s="111" t="n"/>
      <c r="G321" s="111" t="n"/>
      <c r="H321" s="111" t="n"/>
      <c r="I321" s="45" t="n"/>
      <c r="J321" s="28" t="n"/>
      <c r="K321" s="28" t="n"/>
      <c r="L321" s="28" t="n"/>
      <c r="M321" s="59">
        <f>IF(C321="","",IFERROR(INDEX('6. Base de Custos'!$N$8:$N$42,MATCH(C321,'6. Base de Custos'!$L$8:$L$42,0)),"Não classificado"))</f>
        <v/>
      </c>
      <c r="N321" s="59">
        <f>IF(C321="","",IFERROR(INDEX('6. Base de Custos'!$O$8:$O$42,MATCH(C321,'6. Base de Custos'!$L$8:$L$42,0)),"Revisar"))</f>
        <v/>
      </c>
      <c r="O321" s="60">
        <f>IF(M321="","",IFERROR(VLOOKUP(M321,'6. Base de Custos'!$H$12:$J$18,3,FALSE),0))</f>
        <v/>
      </c>
      <c r="P321" s="59">
        <f>IF(C321="","",IFERROR(INDEX('6. Base de Custos'!$P$8:$P$42,MATCH(C321,'6. Base de Custos'!$L$8:$L$42,0)),"Revisar"))</f>
        <v/>
      </c>
      <c r="Q321" s="59">
        <f>IF(C321="","",IFERROR(INDEX('6. Base de Custos'!$Q$8:$Q$42,MATCH(C321,'6. Base de Custos'!$L$8:$L$42,0)),""))</f>
        <v/>
      </c>
      <c r="R321" s="65">
        <f>IF(C321="","",IFERROR(VLOOKUP(M321&amp;"|"&amp;N321,'17. Mapa DRE CP'!$E$5:$H$100,2,FALSE),"Revisar"))</f>
        <v/>
      </c>
      <c r="S321" s="65">
        <f>IF(C321="","",IFERROR(VLOOKUP(M321&amp;"|"&amp;N321,'17. Mapa DRE CP'!$E$5:$H$100,3,FALSE),"Revisar"))</f>
        <v/>
      </c>
      <c r="T321" s="65">
        <f>IF(C321="","",IF(R321="(-) Custos diretos dos serviços",IF(ISNUMBER(SEARCH("PCMSO",C321)),"PCMSO",IF(OR(ISNUMBER(SEARCH("SGS",C321)),ISNUMBER(SEARCH("CASTRO NAVES",C321))),"Projetos / Laudos / Avulsos","Projetos / Laudos / Avulsos")),"Rateio pela receita bruta"))</f>
        <v/>
      </c>
      <c r="U321" s="65">
        <f>IF(C321="","",IF(R321="(-) Custos diretos dos serviços","Direto por fornecedor/natureza do gasto","Rateio proporcional à receita bruta da linha de serviço"))</f>
        <v/>
      </c>
    </row>
    <row r="322">
      <c r="A322" s="28">
        <f>IF(C322="","", "CP-"&amp;TEXT(ROW()-5,"000"))</f>
        <v/>
      </c>
      <c r="B322" s="27">
        <f>IF(F322="","",DATE(YEAR(F322),MONTH(F322),1))</f>
        <v/>
      </c>
      <c r="C322" s="28" t="n"/>
      <c r="D322" s="28" t="n"/>
      <c r="E322" s="59">
        <f>IF(C322="","",IFERROR(INDEX('6. Base de Custos'!$M$8:$M$42,MATCH(C322,'6. Base de Custos'!$L$8:$L$42,0)),"Não classificado"))</f>
        <v/>
      </c>
      <c r="F322" s="111" t="n"/>
      <c r="G322" s="111" t="n"/>
      <c r="H322" s="111" t="n"/>
      <c r="I322" s="45" t="n"/>
      <c r="J322" s="28" t="n"/>
      <c r="K322" s="28" t="n"/>
      <c r="L322" s="28" t="n"/>
      <c r="M322" s="59">
        <f>IF(C322="","",IFERROR(INDEX('6. Base de Custos'!$N$8:$N$42,MATCH(C322,'6. Base de Custos'!$L$8:$L$42,0)),"Não classificado"))</f>
        <v/>
      </c>
      <c r="N322" s="59">
        <f>IF(C322="","",IFERROR(INDEX('6. Base de Custos'!$O$8:$O$42,MATCH(C322,'6. Base de Custos'!$L$8:$L$42,0)),"Revisar"))</f>
        <v/>
      </c>
      <c r="O322" s="60">
        <f>IF(M322="","",IFERROR(VLOOKUP(M322,'6. Base de Custos'!$H$12:$J$18,3,FALSE),0))</f>
        <v/>
      </c>
      <c r="P322" s="59">
        <f>IF(C322="","",IFERROR(INDEX('6. Base de Custos'!$P$8:$P$42,MATCH(C322,'6. Base de Custos'!$L$8:$L$42,0)),"Revisar"))</f>
        <v/>
      </c>
      <c r="Q322" s="59">
        <f>IF(C322="","",IFERROR(INDEX('6. Base de Custos'!$Q$8:$Q$42,MATCH(C322,'6. Base de Custos'!$L$8:$L$42,0)),""))</f>
        <v/>
      </c>
      <c r="R322" s="65">
        <f>IF(C322="","",IFERROR(VLOOKUP(M322&amp;"|"&amp;N322,'17. Mapa DRE CP'!$E$5:$H$100,2,FALSE),"Revisar"))</f>
        <v/>
      </c>
      <c r="S322" s="65">
        <f>IF(C322="","",IFERROR(VLOOKUP(M322&amp;"|"&amp;N322,'17. Mapa DRE CP'!$E$5:$H$100,3,FALSE),"Revisar"))</f>
        <v/>
      </c>
      <c r="T322" s="65">
        <f>IF(C322="","",IF(R322="(-) Custos diretos dos serviços",IF(ISNUMBER(SEARCH("PCMSO",C322)),"PCMSO",IF(OR(ISNUMBER(SEARCH("SGS",C322)),ISNUMBER(SEARCH("CASTRO NAVES",C322))),"Projetos / Laudos / Avulsos","Projetos / Laudos / Avulsos")),"Rateio pela receita bruta"))</f>
        <v/>
      </c>
      <c r="U322" s="65">
        <f>IF(C322="","",IF(R322="(-) Custos diretos dos serviços","Direto por fornecedor/natureza do gasto","Rateio proporcional à receita bruta da linha de serviço"))</f>
        <v/>
      </c>
    </row>
    <row r="323">
      <c r="A323" s="28">
        <f>IF(C323="","", "CP-"&amp;TEXT(ROW()-5,"000"))</f>
        <v/>
      </c>
      <c r="B323" s="27">
        <f>IF(F323="","",DATE(YEAR(F323),MONTH(F323),1))</f>
        <v/>
      </c>
      <c r="C323" s="28" t="n"/>
      <c r="D323" s="28" t="n"/>
      <c r="E323" s="59">
        <f>IF(C323="","",IFERROR(INDEX('6. Base de Custos'!$M$8:$M$42,MATCH(C323,'6. Base de Custos'!$L$8:$L$42,0)),"Não classificado"))</f>
        <v/>
      </c>
      <c r="F323" s="111" t="n"/>
      <c r="G323" s="111" t="n"/>
      <c r="H323" s="111" t="n"/>
      <c r="I323" s="45" t="n"/>
      <c r="J323" s="28" t="n"/>
      <c r="K323" s="28" t="n"/>
      <c r="L323" s="28" t="n"/>
      <c r="M323" s="59">
        <f>IF(C323="","",IFERROR(INDEX('6. Base de Custos'!$N$8:$N$42,MATCH(C323,'6. Base de Custos'!$L$8:$L$42,0)),"Não classificado"))</f>
        <v/>
      </c>
      <c r="N323" s="59">
        <f>IF(C323="","",IFERROR(INDEX('6. Base de Custos'!$O$8:$O$42,MATCH(C323,'6. Base de Custos'!$L$8:$L$42,0)),"Revisar"))</f>
        <v/>
      </c>
      <c r="O323" s="60">
        <f>IF(M323="","",IFERROR(VLOOKUP(M323,'6. Base de Custos'!$H$12:$J$18,3,FALSE),0))</f>
        <v/>
      </c>
      <c r="P323" s="59">
        <f>IF(C323="","",IFERROR(INDEX('6. Base de Custos'!$P$8:$P$42,MATCH(C323,'6. Base de Custos'!$L$8:$L$42,0)),"Revisar"))</f>
        <v/>
      </c>
      <c r="Q323" s="59">
        <f>IF(C323="","",IFERROR(INDEX('6. Base de Custos'!$Q$8:$Q$42,MATCH(C323,'6. Base de Custos'!$L$8:$L$42,0)),""))</f>
        <v/>
      </c>
      <c r="R323" s="65">
        <f>IF(C323="","",IFERROR(VLOOKUP(M323&amp;"|"&amp;N323,'17. Mapa DRE CP'!$E$5:$H$100,2,FALSE),"Revisar"))</f>
        <v/>
      </c>
      <c r="S323" s="65">
        <f>IF(C323="","",IFERROR(VLOOKUP(M323&amp;"|"&amp;N323,'17. Mapa DRE CP'!$E$5:$H$100,3,FALSE),"Revisar"))</f>
        <v/>
      </c>
      <c r="T323" s="65">
        <f>IF(C323="","",IF(R323="(-) Custos diretos dos serviços",IF(ISNUMBER(SEARCH("PCMSO",C323)),"PCMSO",IF(OR(ISNUMBER(SEARCH("SGS",C323)),ISNUMBER(SEARCH("CASTRO NAVES",C323))),"Projetos / Laudos / Avulsos","Projetos / Laudos / Avulsos")),"Rateio pela receita bruta"))</f>
        <v/>
      </c>
      <c r="U323" s="65">
        <f>IF(C323="","",IF(R323="(-) Custos diretos dos serviços","Direto por fornecedor/natureza do gasto","Rateio proporcional à receita bruta da linha de serviço"))</f>
        <v/>
      </c>
    </row>
    <row r="324">
      <c r="A324" s="28">
        <f>IF(C324="","", "CP-"&amp;TEXT(ROW()-5,"000"))</f>
        <v/>
      </c>
      <c r="B324" s="27">
        <f>IF(F324="","",DATE(YEAR(F324),MONTH(F324),1))</f>
        <v/>
      </c>
      <c r="C324" s="28" t="n"/>
      <c r="D324" s="28" t="n"/>
      <c r="E324" s="59">
        <f>IF(C324="","",IFERROR(INDEX('6. Base de Custos'!$M$8:$M$42,MATCH(C324,'6. Base de Custos'!$L$8:$L$42,0)),"Não classificado"))</f>
        <v/>
      </c>
      <c r="F324" s="111" t="n"/>
      <c r="G324" s="111" t="n"/>
      <c r="H324" s="111" t="n"/>
      <c r="I324" s="45" t="n"/>
      <c r="J324" s="28" t="n"/>
      <c r="K324" s="28" t="n"/>
      <c r="L324" s="28" t="n"/>
      <c r="M324" s="59">
        <f>IF(C324="","",IFERROR(INDEX('6. Base de Custos'!$N$8:$N$42,MATCH(C324,'6. Base de Custos'!$L$8:$L$42,0)),"Não classificado"))</f>
        <v/>
      </c>
      <c r="N324" s="59">
        <f>IF(C324="","",IFERROR(INDEX('6. Base de Custos'!$O$8:$O$42,MATCH(C324,'6. Base de Custos'!$L$8:$L$42,0)),"Revisar"))</f>
        <v/>
      </c>
      <c r="O324" s="60">
        <f>IF(M324="","",IFERROR(VLOOKUP(M324,'6. Base de Custos'!$H$12:$J$18,3,FALSE),0))</f>
        <v/>
      </c>
      <c r="P324" s="59">
        <f>IF(C324="","",IFERROR(INDEX('6. Base de Custos'!$P$8:$P$42,MATCH(C324,'6. Base de Custos'!$L$8:$L$42,0)),"Revisar"))</f>
        <v/>
      </c>
      <c r="Q324" s="59">
        <f>IF(C324="","",IFERROR(INDEX('6. Base de Custos'!$Q$8:$Q$42,MATCH(C324,'6. Base de Custos'!$L$8:$L$42,0)),""))</f>
        <v/>
      </c>
      <c r="R324" s="65">
        <f>IF(C324="","",IFERROR(VLOOKUP(M324&amp;"|"&amp;N324,'17. Mapa DRE CP'!$E$5:$H$100,2,FALSE),"Revisar"))</f>
        <v/>
      </c>
      <c r="S324" s="65">
        <f>IF(C324="","",IFERROR(VLOOKUP(M324&amp;"|"&amp;N324,'17. Mapa DRE CP'!$E$5:$H$100,3,FALSE),"Revisar"))</f>
        <v/>
      </c>
      <c r="T324" s="65">
        <f>IF(C324="","",IF(R324="(-) Custos diretos dos serviços",IF(ISNUMBER(SEARCH("PCMSO",C324)),"PCMSO",IF(OR(ISNUMBER(SEARCH("SGS",C324)),ISNUMBER(SEARCH("CASTRO NAVES",C324))),"Projetos / Laudos / Avulsos","Projetos / Laudos / Avulsos")),"Rateio pela receita bruta"))</f>
        <v/>
      </c>
      <c r="U324" s="65">
        <f>IF(C324="","",IF(R324="(-) Custos diretos dos serviços","Direto por fornecedor/natureza do gasto","Rateio proporcional à receita bruta da linha de serviço"))</f>
        <v/>
      </c>
    </row>
    <row r="325">
      <c r="A325" s="28">
        <f>IF(C325="","", "CP-"&amp;TEXT(ROW()-5,"000"))</f>
        <v/>
      </c>
      <c r="B325" s="27">
        <f>IF(F325="","",DATE(YEAR(F325),MONTH(F325),1))</f>
        <v/>
      </c>
      <c r="C325" s="28" t="n"/>
      <c r="D325" s="28" t="n"/>
      <c r="E325" s="59">
        <f>IF(C325="","",IFERROR(INDEX('6. Base de Custos'!$M$8:$M$42,MATCH(C325,'6. Base de Custos'!$L$8:$L$42,0)),"Não classificado"))</f>
        <v/>
      </c>
      <c r="F325" s="111" t="n"/>
      <c r="G325" s="111" t="n"/>
      <c r="H325" s="111" t="n"/>
      <c r="I325" s="45" t="n"/>
      <c r="J325" s="28" t="n"/>
      <c r="K325" s="28" t="n"/>
      <c r="L325" s="28" t="n"/>
      <c r="M325" s="59">
        <f>IF(C325="","",IFERROR(INDEX('6. Base de Custos'!$N$8:$N$42,MATCH(C325,'6. Base de Custos'!$L$8:$L$42,0)),"Não classificado"))</f>
        <v/>
      </c>
      <c r="N325" s="59">
        <f>IF(C325="","",IFERROR(INDEX('6. Base de Custos'!$O$8:$O$42,MATCH(C325,'6. Base de Custos'!$L$8:$L$42,0)),"Revisar"))</f>
        <v/>
      </c>
      <c r="O325" s="60">
        <f>IF(M325="","",IFERROR(VLOOKUP(M325,'6. Base de Custos'!$H$12:$J$18,3,FALSE),0))</f>
        <v/>
      </c>
      <c r="P325" s="59">
        <f>IF(C325="","",IFERROR(INDEX('6. Base de Custos'!$P$8:$P$42,MATCH(C325,'6. Base de Custos'!$L$8:$L$42,0)),"Revisar"))</f>
        <v/>
      </c>
      <c r="Q325" s="59">
        <f>IF(C325="","",IFERROR(INDEX('6. Base de Custos'!$Q$8:$Q$42,MATCH(C325,'6. Base de Custos'!$L$8:$L$42,0)),""))</f>
        <v/>
      </c>
      <c r="R325" s="65">
        <f>IF(C325="","",IFERROR(VLOOKUP(M325&amp;"|"&amp;N325,'17. Mapa DRE CP'!$E$5:$H$100,2,FALSE),"Revisar"))</f>
        <v/>
      </c>
      <c r="S325" s="65">
        <f>IF(C325="","",IFERROR(VLOOKUP(M325&amp;"|"&amp;N325,'17. Mapa DRE CP'!$E$5:$H$100,3,FALSE),"Revisar"))</f>
        <v/>
      </c>
      <c r="T325" s="65">
        <f>IF(C325="","",IF(R325="(-) Custos diretos dos serviços",IF(ISNUMBER(SEARCH("PCMSO",C325)),"PCMSO",IF(OR(ISNUMBER(SEARCH("SGS",C325)),ISNUMBER(SEARCH("CASTRO NAVES",C325))),"Projetos / Laudos / Avulsos","Projetos / Laudos / Avulsos")),"Rateio pela receita bruta"))</f>
        <v/>
      </c>
      <c r="U325" s="65">
        <f>IF(C325="","",IF(R325="(-) Custos diretos dos serviços","Direto por fornecedor/natureza do gasto","Rateio proporcional à receita bruta da linha de serviço"))</f>
        <v/>
      </c>
    </row>
    <row r="326">
      <c r="A326" s="28">
        <f>IF(C326="","", "CP-"&amp;TEXT(ROW()-5,"000"))</f>
        <v/>
      </c>
      <c r="B326" s="27">
        <f>IF(F326="","",DATE(YEAR(F326),MONTH(F326),1))</f>
        <v/>
      </c>
      <c r="C326" s="28" t="n"/>
      <c r="D326" s="28" t="n"/>
      <c r="E326" s="59">
        <f>IF(C326="","",IFERROR(INDEX('6. Base de Custos'!$M$8:$M$42,MATCH(C326,'6. Base de Custos'!$L$8:$L$42,0)),"Não classificado"))</f>
        <v/>
      </c>
      <c r="F326" s="111" t="n"/>
      <c r="G326" s="111" t="n"/>
      <c r="H326" s="111" t="n"/>
      <c r="I326" s="45" t="n"/>
      <c r="J326" s="28" t="n"/>
      <c r="K326" s="28" t="n"/>
      <c r="L326" s="28" t="n"/>
      <c r="M326" s="59">
        <f>IF(C326="","",IFERROR(INDEX('6. Base de Custos'!$N$8:$N$42,MATCH(C326,'6. Base de Custos'!$L$8:$L$42,0)),"Não classificado"))</f>
        <v/>
      </c>
      <c r="N326" s="59">
        <f>IF(C326="","",IFERROR(INDEX('6. Base de Custos'!$O$8:$O$42,MATCH(C326,'6. Base de Custos'!$L$8:$L$42,0)),"Revisar"))</f>
        <v/>
      </c>
      <c r="O326" s="60">
        <f>IF(M326="","",IFERROR(VLOOKUP(M326,'6. Base de Custos'!$H$12:$J$18,3,FALSE),0))</f>
        <v/>
      </c>
      <c r="P326" s="59">
        <f>IF(C326="","",IFERROR(INDEX('6. Base de Custos'!$P$8:$P$42,MATCH(C326,'6. Base de Custos'!$L$8:$L$42,0)),"Revisar"))</f>
        <v/>
      </c>
      <c r="Q326" s="59">
        <f>IF(C326="","",IFERROR(INDEX('6. Base de Custos'!$Q$8:$Q$42,MATCH(C326,'6. Base de Custos'!$L$8:$L$42,0)),""))</f>
        <v/>
      </c>
      <c r="R326" s="65">
        <f>IF(C326="","",IFERROR(VLOOKUP(M326&amp;"|"&amp;N326,'17. Mapa DRE CP'!$E$5:$H$100,2,FALSE),"Revisar"))</f>
        <v/>
      </c>
      <c r="S326" s="65">
        <f>IF(C326="","",IFERROR(VLOOKUP(M326&amp;"|"&amp;N326,'17. Mapa DRE CP'!$E$5:$H$100,3,FALSE),"Revisar"))</f>
        <v/>
      </c>
      <c r="T326" s="65">
        <f>IF(C326="","",IF(R326="(-) Custos diretos dos serviços",IF(ISNUMBER(SEARCH("PCMSO",C326)),"PCMSO",IF(OR(ISNUMBER(SEARCH("SGS",C326)),ISNUMBER(SEARCH("CASTRO NAVES",C326))),"Projetos / Laudos / Avulsos","Projetos / Laudos / Avulsos")),"Rateio pela receita bruta"))</f>
        <v/>
      </c>
      <c r="U326" s="65">
        <f>IF(C326="","",IF(R326="(-) Custos diretos dos serviços","Direto por fornecedor/natureza do gasto","Rateio proporcional à receita bruta da linha de serviço"))</f>
        <v/>
      </c>
    </row>
    <row r="327">
      <c r="A327" s="28">
        <f>IF(C327="","", "CP-"&amp;TEXT(ROW()-5,"000"))</f>
        <v/>
      </c>
      <c r="B327" s="27">
        <f>IF(F327="","",DATE(YEAR(F327),MONTH(F327),1))</f>
        <v/>
      </c>
      <c r="C327" s="28" t="n"/>
      <c r="D327" s="28" t="n"/>
      <c r="E327" s="59">
        <f>IF(C327="","",IFERROR(INDEX('6. Base de Custos'!$M$8:$M$42,MATCH(C327,'6. Base de Custos'!$L$8:$L$42,0)),"Não classificado"))</f>
        <v/>
      </c>
      <c r="F327" s="111" t="n"/>
      <c r="G327" s="111" t="n"/>
      <c r="H327" s="111" t="n"/>
      <c r="I327" s="45" t="n"/>
      <c r="J327" s="28" t="n"/>
      <c r="K327" s="28" t="n"/>
      <c r="L327" s="28" t="n"/>
      <c r="M327" s="59">
        <f>IF(C327="","",IFERROR(INDEX('6. Base de Custos'!$N$8:$N$42,MATCH(C327,'6. Base de Custos'!$L$8:$L$42,0)),"Não classificado"))</f>
        <v/>
      </c>
      <c r="N327" s="59">
        <f>IF(C327="","",IFERROR(INDEX('6. Base de Custos'!$O$8:$O$42,MATCH(C327,'6. Base de Custos'!$L$8:$L$42,0)),"Revisar"))</f>
        <v/>
      </c>
      <c r="O327" s="60">
        <f>IF(M327="","",IFERROR(VLOOKUP(M327,'6. Base de Custos'!$H$12:$J$18,3,FALSE),0))</f>
        <v/>
      </c>
      <c r="P327" s="59">
        <f>IF(C327="","",IFERROR(INDEX('6. Base de Custos'!$P$8:$P$42,MATCH(C327,'6. Base de Custos'!$L$8:$L$42,0)),"Revisar"))</f>
        <v/>
      </c>
      <c r="Q327" s="59">
        <f>IF(C327="","",IFERROR(INDEX('6. Base de Custos'!$Q$8:$Q$42,MATCH(C327,'6. Base de Custos'!$L$8:$L$42,0)),""))</f>
        <v/>
      </c>
      <c r="R327" s="65">
        <f>IF(C327="","",IFERROR(VLOOKUP(M327&amp;"|"&amp;N327,'17. Mapa DRE CP'!$E$5:$H$100,2,FALSE),"Revisar"))</f>
        <v/>
      </c>
      <c r="S327" s="65">
        <f>IF(C327="","",IFERROR(VLOOKUP(M327&amp;"|"&amp;N327,'17. Mapa DRE CP'!$E$5:$H$100,3,FALSE),"Revisar"))</f>
        <v/>
      </c>
      <c r="T327" s="65">
        <f>IF(C327="","",IF(R327="(-) Custos diretos dos serviços",IF(ISNUMBER(SEARCH("PCMSO",C327)),"PCMSO",IF(OR(ISNUMBER(SEARCH("SGS",C327)),ISNUMBER(SEARCH("CASTRO NAVES",C327))),"Projetos / Laudos / Avulsos","Projetos / Laudos / Avulsos")),"Rateio pela receita bruta"))</f>
        <v/>
      </c>
      <c r="U327" s="65">
        <f>IF(C327="","",IF(R327="(-) Custos diretos dos serviços","Direto por fornecedor/natureza do gasto","Rateio proporcional à receita bruta da linha de serviço"))</f>
        <v/>
      </c>
    </row>
    <row r="328">
      <c r="A328" s="28">
        <f>IF(C328="","", "CP-"&amp;TEXT(ROW()-5,"000"))</f>
        <v/>
      </c>
      <c r="B328" s="27">
        <f>IF(F328="","",DATE(YEAR(F328),MONTH(F328),1))</f>
        <v/>
      </c>
      <c r="C328" s="28" t="n"/>
      <c r="D328" s="28" t="n"/>
      <c r="E328" s="59">
        <f>IF(C328="","",IFERROR(INDEX('6. Base de Custos'!$M$8:$M$42,MATCH(C328,'6. Base de Custos'!$L$8:$L$42,0)),"Não classificado"))</f>
        <v/>
      </c>
      <c r="F328" s="111" t="n"/>
      <c r="G328" s="111" t="n"/>
      <c r="H328" s="111" t="n"/>
      <c r="I328" s="45" t="n"/>
      <c r="J328" s="28" t="n"/>
      <c r="K328" s="28" t="n"/>
      <c r="L328" s="28" t="n"/>
      <c r="M328" s="59">
        <f>IF(C328="","",IFERROR(INDEX('6. Base de Custos'!$N$8:$N$42,MATCH(C328,'6. Base de Custos'!$L$8:$L$42,0)),"Não classificado"))</f>
        <v/>
      </c>
      <c r="N328" s="59">
        <f>IF(C328="","",IFERROR(INDEX('6. Base de Custos'!$O$8:$O$42,MATCH(C328,'6. Base de Custos'!$L$8:$L$42,0)),"Revisar"))</f>
        <v/>
      </c>
      <c r="O328" s="60">
        <f>IF(M328="","",IFERROR(VLOOKUP(M328,'6. Base de Custos'!$H$12:$J$18,3,FALSE),0))</f>
        <v/>
      </c>
      <c r="P328" s="59">
        <f>IF(C328="","",IFERROR(INDEX('6. Base de Custos'!$P$8:$P$42,MATCH(C328,'6. Base de Custos'!$L$8:$L$42,0)),"Revisar"))</f>
        <v/>
      </c>
      <c r="Q328" s="59">
        <f>IF(C328="","",IFERROR(INDEX('6. Base de Custos'!$Q$8:$Q$42,MATCH(C328,'6. Base de Custos'!$L$8:$L$42,0)),""))</f>
        <v/>
      </c>
      <c r="R328" s="65">
        <f>IF(C328="","",IFERROR(VLOOKUP(M328&amp;"|"&amp;N328,'17. Mapa DRE CP'!$E$5:$H$100,2,FALSE),"Revisar"))</f>
        <v/>
      </c>
      <c r="S328" s="65">
        <f>IF(C328="","",IFERROR(VLOOKUP(M328&amp;"|"&amp;N328,'17. Mapa DRE CP'!$E$5:$H$100,3,FALSE),"Revisar"))</f>
        <v/>
      </c>
      <c r="T328" s="65">
        <f>IF(C328="","",IF(R328="(-) Custos diretos dos serviços",IF(ISNUMBER(SEARCH("PCMSO",C328)),"PCMSO",IF(OR(ISNUMBER(SEARCH("SGS",C328)),ISNUMBER(SEARCH("CASTRO NAVES",C328))),"Projetos / Laudos / Avulsos","Projetos / Laudos / Avulsos")),"Rateio pela receita bruta"))</f>
        <v/>
      </c>
      <c r="U328" s="65">
        <f>IF(C328="","",IF(R328="(-) Custos diretos dos serviços","Direto por fornecedor/natureza do gasto","Rateio proporcional à receita bruta da linha de serviço"))</f>
        <v/>
      </c>
    </row>
    <row r="329">
      <c r="A329" s="28">
        <f>IF(C329="","", "CP-"&amp;TEXT(ROW()-5,"000"))</f>
        <v/>
      </c>
      <c r="B329" s="27">
        <f>IF(F329="","",DATE(YEAR(F329),MONTH(F329),1))</f>
        <v/>
      </c>
      <c r="C329" s="28" t="n"/>
      <c r="D329" s="28" t="n"/>
      <c r="E329" s="59">
        <f>IF(C329="","",IFERROR(INDEX('6. Base de Custos'!$M$8:$M$42,MATCH(C329,'6. Base de Custos'!$L$8:$L$42,0)),"Não classificado"))</f>
        <v/>
      </c>
      <c r="F329" s="111" t="n"/>
      <c r="G329" s="111" t="n"/>
      <c r="H329" s="111" t="n"/>
      <c r="I329" s="45" t="n"/>
      <c r="J329" s="28" t="n"/>
      <c r="K329" s="28" t="n"/>
      <c r="L329" s="28" t="n"/>
      <c r="M329" s="59">
        <f>IF(C329="","",IFERROR(INDEX('6. Base de Custos'!$N$8:$N$42,MATCH(C329,'6. Base de Custos'!$L$8:$L$42,0)),"Não classificado"))</f>
        <v/>
      </c>
      <c r="N329" s="59">
        <f>IF(C329="","",IFERROR(INDEX('6. Base de Custos'!$O$8:$O$42,MATCH(C329,'6. Base de Custos'!$L$8:$L$42,0)),"Revisar"))</f>
        <v/>
      </c>
      <c r="O329" s="60">
        <f>IF(M329="","",IFERROR(VLOOKUP(M329,'6. Base de Custos'!$H$12:$J$18,3,FALSE),0))</f>
        <v/>
      </c>
      <c r="P329" s="59">
        <f>IF(C329="","",IFERROR(INDEX('6. Base de Custos'!$P$8:$P$42,MATCH(C329,'6. Base de Custos'!$L$8:$L$42,0)),"Revisar"))</f>
        <v/>
      </c>
      <c r="Q329" s="59">
        <f>IF(C329="","",IFERROR(INDEX('6. Base de Custos'!$Q$8:$Q$42,MATCH(C329,'6. Base de Custos'!$L$8:$L$42,0)),""))</f>
        <v/>
      </c>
      <c r="R329" s="65">
        <f>IF(C329="","",IFERROR(VLOOKUP(M329&amp;"|"&amp;N329,'17. Mapa DRE CP'!$E$5:$H$100,2,FALSE),"Revisar"))</f>
        <v/>
      </c>
      <c r="S329" s="65">
        <f>IF(C329="","",IFERROR(VLOOKUP(M329&amp;"|"&amp;N329,'17. Mapa DRE CP'!$E$5:$H$100,3,FALSE),"Revisar"))</f>
        <v/>
      </c>
      <c r="T329" s="65">
        <f>IF(C329="","",IF(R329="(-) Custos diretos dos serviços",IF(ISNUMBER(SEARCH("PCMSO",C329)),"PCMSO",IF(OR(ISNUMBER(SEARCH("SGS",C329)),ISNUMBER(SEARCH("CASTRO NAVES",C329))),"Projetos / Laudos / Avulsos","Projetos / Laudos / Avulsos")),"Rateio pela receita bruta"))</f>
        <v/>
      </c>
      <c r="U329" s="65">
        <f>IF(C329="","",IF(R329="(-) Custos diretos dos serviços","Direto por fornecedor/natureza do gasto","Rateio proporcional à receita bruta da linha de serviço"))</f>
        <v/>
      </c>
    </row>
    <row r="330">
      <c r="A330" s="28">
        <f>IF(C330="","", "CP-"&amp;TEXT(ROW()-5,"000"))</f>
        <v/>
      </c>
      <c r="B330" s="27">
        <f>IF(F330="","",DATE(YEAR(F330),MONTH(F330),1))</f>
        <v/>
      </c>
      <c r="C330" s="28" t="n"/>
      <c r="D330" s="28" t="n"/>
      <c r="E330" s="59">
        <f>IF(C330="","",IFERROR(INDEX('6. Base de Custos'!$M$8:$M$42,MATCH(C330,'6. Base de Custos'!$L$8:$L$42,0)),"Não classificado"))</f>
        <v/>
      </c>
      <c r="F330" s="111" t="n"/>
      <c r="G330" s="111" t="n"/>
      <c r="H330" s="111" t="n"/>
      <c r="I330" s="45" t="n"/>
      <c r="J330" s="28" t="n"/>
      <c r="K330" s="28" t="n"/>
      <c r="L330" s="28" t="n"/>
      <c r="M330" s="59">
        <f>IF(C330="","",IFERROR(INDEX('6. Base de Custos'!$N$8:$N$42,MATCH(C330,'6. Base de Custos'!$L$8:$L$42,0)),"Não classificado"))</f>
        <v/>
      </c>
      <c r="N330" s="59">
        <f>IF(C330="","",IFERROR(INDEX('6. Base de Custos'!$O$8:$O$42,MATCH(C330,'6. Base de Custos'!$L$8:$L$42,0)),"Revisar"))</f>
        <v/>
      </c>
      <c r="O330" s="60">
        <f>IF(M330="","",IFERROR(VLOOKUP(M330,'6. Base de Custos'!$H$12:$J$18,3,FALSE),0))</f>
        <v/>
      </c>
      <c r="P330" s="59">
        <f>IF(C330="","",IFERROR(INDEX('6. Base de Custos'!$P$8:$P$42,MATCH(C330,'6. Base de Custos'!$L$8:$L$42,0)),"Revisar"))</f>
        <v/>
      </c>
      <c r="Q330" s="59">
        <f>IF(C330="","",IFERROR(INDEX('6. Base de Custos'!$Q$8:$Q$42,MATCH(C330,'6. Base de Custos'!$L$8:$L$42,0)),""))</f>
        <v/>
      </c>
      <c r="R330" s="65">
        <f>IF(C330="","",IFERROR(VLOOKUP(M330&amp;"|"&amp;N330,'17. Mapa DRE CP'!$E$5:$H$100,2,FALSE),"Revisar"))</f>
        <v/>
      </c>
      <c r="S330" s="65">
        <f>IF(C330="","",IFERROR(VLOOKUP(M330&amp;"|"&amp;N330,'17. Mapa DRE CP'!$E$5:$H$100,3,FALSE),"Revisar"))</f>
        <v/>
      </c>
      <c r="T330" s="65">
        <f>IF(C330="","",IF(R330="(-) Custos diretos dos serviços",IF(ISNUMBER(SEARCH("PCMSO",C330)),"PCMSO",IF(OR(ISNUMBER(SEARCH("SGS",C330)),ISNUMBER(SEARCH("CASTRO NAVES",C330))),"Projetos / Laudos / Avulsos","Projetos / Laudos / Avulsos")),"Rateio pela receita bruta"))</f>
        <v/>
      </c>
      <c r="U330" s="65">
        <f>IF(C330="","",IF(R330="(-) Custos diretos dos serviços","Direto por fornecedor/natureza do gasto","Rateio proporcional à receita bruta da linha de serviço"))</f>
        <v/>
      </c>
    </row>
    <row r="331">
      <c r="A331" s="28">
        <f>IF(C331="","", "CP-"&amp;TEXT(ROW()-5,"000"))</f>
        <v/>
      </c>
      <c r="B331" s="27">
        <f>IF(F331="","",DATE(YEAR(F331),MONTH(F331),1))</f>
        <v/>
      </c>
      <c r="C331" s="28" t="n"/>
      <c r="D331" s="28" t="n"/>
      <c r="E331" s="59">
        <f>IF(C331="","",IFERROR(INDEX('6. Base de Custos'!$M$8:$M$42,MATCH(C331,'6. Base de Custos'!$L$8:$L$42,0)),"Não classificado"))</f>
        <v/>
      </c>
      <c r="F331" s="111" t="n"/>
      <c r="G331" s="111" t="n"/>
      <c r="H331" s="111" t="n"/>
      <c r="I331" s="45" t="n"/>
      <c r="J331" s="28" t="n"/>
      <c r="K331" s="28" t="n"/>
      <c r="L331" s="28" t="n"/>
      <c r="M331" s="59">
        <f>IF(C331="","",IFERROR(INDEX('6. Base de Custos'!$N$8:$N$42,MATCH(C331,'6. Base de Custos'!$L$8:$L$42,0)),"Não classificado"))</f>
        <v/>
      </c>
      <c r="N331" s="59">
        <f>IF(C331="","",IFERROR(INDEX('6. Base de Custos'!$O$8:$O$42,MATCH(C331,'6. Base de Custos'!$L$8:$L$42,0)),"Revisar"))</f>
        <v/>
      </c>
      <c r="O331" s="60">
        <f>IF(M331="","",IFERROR(VLOOKUP(M331,'6. Base de Custos'!$H$12:$J$18,3,FALSE),0))</f>
        <v/>
      </c>
      <c r="P331" s="59">
        <f>IF(C331="","",IFERROR(INDEX('6. Base de Custos'!$P$8:$P$42,MATCH(C331,'6. Base de Custos'!$L$8:$L$42,0)),"Revisar"))</f>
        <v/>
      </c>
      <c r="Q331" s="59">
        <f>IF(C331="","",IFERROR(INDEX('6. Base de Custos'!$Q$8:$Q$42,MATCH(C331,'6. Base de Custos'!$L$8:$L$42,0)),""))</f>
        <v/>
      </c>
      <c r="R331" s="65">
        <f>IF(C331="","",IFERROR(VLOOKUP(M331&amp;"|"&amp;N331,'17. Mapa DRE CP'!$E$5:$H$100,2,FALSE),"Revisar"))</f>
        <v/>
      </c>
      <c r="S331" s="65">
        <f>IF(C331="","",IFERROR(VLOOKUP(M331&amp;"|"&amp;N331,'17. Mapa DRE CP'!$E$5:$H$100,3,FALSE),"Revisar"))</f>
        <v/>
      </c>
      <c r="T331" s="65">
        <f>IF(C331="","",IF(R331="(-) Custos diretos dos serviços",IF(ISNUMBER(SEARCH("PCMSO",C331)),"PCMSO",IF(OR(ISNUMBER(SEARCH("SGS",C331)),ISNUMBER(SEARCH("CASTRO NAVES",C331))),"Projetos / Laudos / Avulsos","Projetos / Laudos / Avulsos")),"Rateio pela receita bruta"))</f>
        <v/>
      </c>
      <c r="U331" s="65">
        <f>IF(C331="","",IF(R331="(-) Custos diretos dos serviços","Direto por fornecedor/natureza do gasto","Rateio proporcional à receita bruta da linha de serviço"))</f>
        <v/>
      </c>
    </row>
    <row r="332">
      <c r="A332" s="28">
        <f>IF(C332="","", "CP-"&amp;TEXT(ROW()-5,"000"))</f>
        <v/>
      </c>
      <c r="B332" s="27">
        <f>IF(F332="","",DATE(YEAR(F332),MONTH(F332),1))</f>
        <v/>
      </c>
      <c r="C332" s="28" t="n"/>
      <c r="D332" s="28" t="n"/>
      <c r="E332" s="59">
        <f>IF(C332="","",IFERROR(INDEX('6. Base de Custos'!$M$8:$M$42,MATCH(C332,'6. Base de Custos'!$L$8:$L$42,0)),"Não classificado"))</f>
        <v/>
      </c>
      <c r="F332" s="111" t="n"/>
      <c r="G332" s="111" t="n"/>
      <c r="H332" s="111" t="n"/>
      <c r="I332" s="45" t="n"/>
      <c r="J332" s="28" t="n"/>
      <c r="K332" s="28" t="n"/>
      <c r="L332" s="28" t="n"/>
      <c r="M332" s="59">
        <f>IF(C332="","",IFERROR(INDEX('6. Base de Custos'!$N$8:$N$42,MATCH(C332,'6. Base de Custos'!$L$8:$L$42,0)),"Não classificado"))</f>
        <v/>
      </c>
      <c r="N332" s="59">
        <f>IF(C332="","",IFERROR(INDEX('6. Base de Custos'!$O$8:$O$42,MATCH(C332,'6. Base de Custos'!$L$8:$L$42,0)),"Revisar"))</f>
        <v/>
      </c>
      <c r="O332" s="60">
        <f>IF(M332="","",IFERROR(VLOOKUP(M332,'6. Base de Custos'!$H$12:$J$18,3,FALSE),0))</f>
        <v/>
      </c>
      <c r="P332" s="59">
        <f>IF(C332="","",IFERROR(INDEX('6. Base de Custos'!$P$8:$P$42,MATCH(C332,'6. Base de Custos'!$L$8:$L$42,0)),"Revisar"))</f>
        <v/>
      </c>
      <c r="Q332" s="59">
        <f>IF(C332="","",IFERROR(INDEX('6. Base de Custos'!$Q$8:$Q$42,MATCH(C332,'6. Base de Custos'!$L$8:$L$42,0)),""))</f>
        <v/>
      </c>
      <c r="R332" s="65">
        <f>IF(C332="","",IFERROR(VLOOKUP(M332&amp;"|"&amp;N332,'17. Mapa DRE CP'!$E$5:$H$100,2,FALSE),"Revisar"))</f>
        <v/>
      </c>
      <c r="S332" s="65">
        <f>IF(C332="","",IFERROR(VLOOKUP(M332&amp;"|"&amp;N332,'17. Mapa DRE CP'!$E$5:$H$100,3,FALSE),"Revisar"))</f>
        <v/>
      </c>
      <c r="T332" s="65">
        <f>IF(C332="","",IF(R332="(-) Custos diretos dos serviços",IF(ISNUMBER(SEARCH("PCMSO",C332)),"PCMSO",IF(OR(ISNUMBER(SEARCH("SGS",C332)),ISNUMBER(SEARCH("CASTRO NAVES",C332))),"Projetos / Laudos / Avulsos","Projetos / Laudos / Avulsos")),"Rateio pela receita bruta"))</f>
        <v/>
      </c>
      <c r="U332" s="65">
        <f>IF(C332="","",IF(R332="(-) Custos diretos dos serviços","Direto por fornecedor/natureza do gasto","Rateio proporcional à receita bruta da linha de serviço"))</f>
        <v/>
      </c>
    </row>
    <row r="333">
      <c r="A333" s="28">
        <f>IF(C333="","", "CP-"&amp;TEXT(ROW()-5,"000"))</f>
        <v/>
      </c>
      <c r="B333" s="27">
        <f>IF(F333="","",DATE(YEAR(F333),MONTH(F333),1))</f>
        <v/>
      </c>
      <c r="C333" s="28" t="n"/>
      <c r="D333" s="28" t="n"/>
      <c r="E333" s="59">
        <f>IF(C333="","",IFERROR(INDEX('6. Base de Custos'!$M$8:$M$42,MATCH(C333,'6. Base de Custos'!$L$8:$L$42,0)),"Não classificado"))</f>
        <v/>
      </c>
      <c r="F333" s="111" t="n"/>
      <c r="G333" s="111" t="n"/>
      <c r="H333" s="111" t="n"/>
      <c r="I333" s="45" t="n"/>
      <c r="J333" s="28" t="n"/>
      <c r="K333" s="28" t="n"/>
      <c r="L333" s="28" t="n"/>
      <c r="M333" s="59">
        <f>IF(C333="","",IFERROR(INDEX('6. Base de Custos'!$N$8:$N$42,MATCH(C333,'6. Base de Custos'!$L$8:$L$42,0)),"Não classificado"))</f>
        <v/>
      </c>
      <c r="N333" s="59">
        <f>IF(C333="","",IFERROR(INDEX('6. Base de Custos'!$O$8:$O$42,MATCH(C333,'6. Base de Custos'!$L$8:$L$42,0)),"Revisar"))</f>
        <v/>
      </c>
      <c r="O333" s="60">
        <f>IF(M333="","",IFERROR(VLOOKUP(M333,'6. Base de Custos'!$H$12:$J$18,3,FALSE),0))</f>
        <v/>
      </c>
      <c r="P333" s="59">
        <f>IF(C333="","",IFERROR(INDEX('6. Base de Custos'!$P$8:$P$42,MATCH(C333,'6. Base de Custos'!$L$8:$L$42,0)),"Revisar"))</f>
        <v/>
      </c>
      <c r="Q333" s="59">
        <f>IF(C333="","",IFERROR(INDEX('6. Base de Custos'!$Q$8:$Q$42,MATCH(C333,'6. Base de Custos'!$L$8:$L$42,0)),""))</f>
        <v/>
      </c>
      <c r="R333" s="65">
        <f>IF(C333="","",IFERROR(VLOOKUP(M333&amp;"|"&amp;N333,'17. Mapa DRE CP'!$E$5:$H$100,2,FALSE),"Revisar"))</f>
        <v/>
      </c>
      <c r="S333" s="65">
        <f>IF(C333="","",IFERROR(VLOOKUP(M333&amp;"|"&amp;N333,'17. Mapa DRE CP'!$E$5:$H$100,3,FALSE),"Revisar"))</f>
        <v/>
      </c>
      <c r="T333" s="65">
        <f>IF(C333="","",IF(R333="(-) Custos diretos dos serviços",IF(ISNUMBER(SEARCH("PCMSO",C333)),"PCMSO",IF(OR(ISNUMBER(SEARCH("SGS",C333)),ISNUMBER(SEARCH("CASTRO NAVES",C333))),"Projetos / Laudos / Avulsos","Projetos / Laudos / Avulsos")),"Rateio pela receita bruta"))</f>
        <v/>
      </c>
      <c r="U333" s="65">
        <f>IF(C333="","",IF(R333="(-) Custos diretos dos serviços","Direto por fornecedor/natureza do gasto","Rateio proporcional à receita bruta da linha de serviço"))</f>
        <v/>
      </c>
    </row>
    <row r="334">
      <c r="A334" s="28">
        <f>IF(C334="","", "CP-"&amp;TEXT(ROW()-5,"000"))</f>
        <v/>
      </c>
      <c r="B334" s="27">
        <f>IF(F334="","",DATE(YEAR(F334),MONTH(F334),1))</f>
        <v/>
      </c>
      <c r="C334" s="28" t="n"/>
      <c r="D334" s="28" t="n"/>
      <c r="E334" s="59">
        <f>IF(C334="","",IFERROR(INDEX('6. Base de Custos'!$M$8:$M$42,MATCH(C334,'6. Base de Custos'!$L$8:$L$42,0)),"Não classificado"))</f>
        <v/>
      </c>
      <c r="F334" s="111" t="n"/>
      <c r="G334" s="111" t="n"/>
      <c r="H334" s="111" t="n"/>
      <c r="I334" s="45" t="n"/>
      <c r="J334" s="28" t="n"/>
      <c r="K334" s="28" t="n"/>
      <c r="L334" s="28" t="n"/>
      <c r="M334" s="59">
        <f>IF(C334="","",IFERROR(INDEX('6. Base de Custos'!$N$8:$N$42,MATCH(C334,'6. Base de Custos'!$L$8:$L$42,0)),"Não classificado"))</f>
        <v/>
      </c>
      <c r="N334" s="59">
        <f>IF(C334="","",IFERROR(INDEX('6. Base de Custos'!$O$8:$O$42,MATCH(C334,'6. Base de Custos'!$L$8:$L$42,0)),"Revisar"))</f>
        <v/>
      </c>
      <c r="O334" s="60">
        <f>IF(M334="","",IFERROR(VLOOKUP(M334,'6. Base de Custos'!$H$12:$J$18,3,FALSE),0))</f>
        <v/>
      </c>
      <c r="P334" s="59">
        <f>IF(C334="","",IFERROR(INDEX('6. Base de Custos'!$P$8:$P$42,MATCH(C334,'6. Base de Custos'!$L$8:$L$42,0)),"Revisar"))</f>
        <v/>
      </c>
      <c r="Q334" s="59">
        <f>IF(C334="","",IFERROR(INDEX('6. Base de Custos'!$Q$8:$Q$42,MATCH(C334,'6. Base de Custos'!$L$8:$L$42,0)),""))</f>
        <v/>
      </c>
      <c r="R334" s="65">
        <f>IF(C334="","",IFERROR(VLOOKUP(M334&amp;"|"&amp;N334,'17. Mapa DRE CP'!$E$5:$H$100,2,FALSE),"Revisar"))</f>
        <v/>
      </c>
      <c r="S334" s="65">
        <f>IF(C334="","",IFERROR(VLOOKUP(M334&amp;"|"&amp;N334,'17. Mapa DRE CP'!$E$5:$H$100,3,FALSE),"Revisar"))</f>
        <v/>
      </c>
      <c r="T334" s="65">
        <f>IF(C334="","",IF(R334="(-) Custos diretos dos serviços",IF(ISNUMBER(SEARCH("PCMSO",C334)),"PCMSO",IF(OR(ISNUMBER(SEARCH("SGS",C334)),ISNUMBER(SEARCH("CASTRO NAVES",C334))),"Projetos / Laudos / Avulsos","Projetos / Laudos / Avulsos")),"Rateio pela receita bruta"))</f>
        <v/>
      </c>
      <c r="U334" s="65">
        <f>IF(C334="","",IF(R334="(-) Custos diretos dos serviços","Direto por fornecedor/natureza do gasto","Rateio proporcional à receita bruta da linha de serviço"))</f>
        <v/>
      </c>
    </row>
    <row r="335">
      <c r="A335" s="28">
        <f>IF(C335="","", "CP-"&amp;TEXT(ROW()-5,"000"))</f>
        <v/>
      </c>
      <c r="B335" s="27">
        <f>IF(F335="","",DATE(YEAR(F335),MONTH(F335),1))</f>
        <v/>
      </c>
      <c r="C335" s="28" t="n"/>
      <c r="D335" s="28" t="n"/>
      <c r="E335" s="59">
        <f>IF(C335="","",IFERROR(INDEX('6. Base de Custos'!$M$8:$M$42,MATCH(C335,'6. Base de Custos'!$L$8:$L$42,0)),"Não classificado"))</f>
        <v/>
      </c>
      <c r="F335" s="111" t="n"/>
      <c r="G335" s="111" t="n"/>
      <c r="H335" s="111" t="n"/>
      <c r="I335" s="45" t="n"/>
      <c r="J335" s="28" t="n"/>
      <c r="K335" s="28" t="n"/>
      <c r="L335" s="28" t="n"/>
      <c r="M335" s="59">
        <f>IF(C335="","",IFERROR(INDEX('6. Base de Custos'!$N$8:$N$42,MATCH(C335,'6. Base de Custos'!$L$8:$L$42,0)),"Não classificado"))</f>
        <v/>
      </c>
      <c r="N335" s="59">
        <f>IF(C335="","",IFERROR(INDEX('6. Base de Custos'!$O$8:$O$42,MATCH(C335,'6. Base de Custos'!$L$8:$L$42,0)),"Revisar"))</f>
        <v/>
      </c>
      <c r="O335" s="60">
        <f>IF(M335="","",IFERROR(VLOOKUP(M335,'6. Base de Custos'!$H$12:$J$18,3,FALSE),0))</f>
        <v/>
      </c>
      <c r="P335" s="59">
        <f>IF(C335="","",IFERROR(INDEX('6. Base de Custos'!$P$8:$P$42,MATCH(C335,'6. Base de Custos'!$L$8:$L$42,0)),"Revisar"))</f>
        <v/>
      </c>
      <c r="Q335" s="59">
        <f>IF(C335="","",IFERROR(INDEX('6. Base de Custos'!$Q$8:$Q$42,MATCH(C335,'6. Base de Custos'!$L$8:$L$42,0)),""))</f>
        <v/>
      </c>
      <c r="R335" s="65">
        <f>IF(C335="","",IFERROR(VLOOKUP(M335&amp;"|"&amp;N335,'17. Mapa DRE CP'!$E$5:$H$100,2,FALSE),"Revisar"))</f>
        <v/>
      </c>
      <c r="S335" s="65">
        <f>IF(C335="","",IFERROR(VLOOKUP(M335&amp;"|"&amp;N335,'17. Mapa DRE CP'!$E$5:$H$100,3,FALSE),"Revisar"))</f>
        <v/>
      </c>
      <c r="T335" s="65">
        <f>IF(C335="","",IF(R335="(-) Custos diretos dos serviços",IF(ISNUMBER(SEARCH("PCMSO",C335)),"PCMSO",IF(OR(ISNUMBER(SEARCH("SGS",C335)),ISNUMBER(SEARCH("CASTRO NAVES",C335))),"Projetos / Laudos / Avulsos","Projetos / Laudos / Avulsos")),"Rateio pela receita bruta"))</f>
        <v/>
      </c>
      <c r="U335" s="65">
        <f>IF(C335="","",IF(R335="(-) Custos diretos dos serviços","Direto por fornecedor/natureza do gasto","Rateio proporcional à receita bruta da linha de serviço"))</f>
        <v/>
      </c>
    </row>
    <row r="336">
      <c r="A336" s="28">
        <f>IF(C336="","", "CP-"&amp;TEXT(ROW()-5,"000"))</f>
        <v/>
      </c>
      <c r="B336" s="27">
        <f>IF(F336="","",DATE(YEAR(F336),MONTH(F336),1))</f>
        <v/>
      </c>
      <c r="C336" s="28" t="n"/>
      <c r="D336" s="28" t="n"/>
      <c r="E336" s="59">
        <f>IF(C336="","",IFERROR(INDEX('6. Base de Custos'!$M$8:$M$42,MATCH(C336,'6. Base de Custos'!$L$8:$L$42,0)),"Não classificado"))</f>
        <v/>
      </c>
      <c r="F336" s="111" t="n"/>
      <c r="G336" s="111" t="n"/>
      <c r="H336" s="111" t="n"/>
      <c r="I336" s="45" t="n"/>
      <c r="J336" s="28" t="n"/>
      <c r="K336" s="28" t="n"/>
      <c r="L336" s="28" t="n"/>
      <c r="M336" s="59">
        <f>IF(C336="","",IFERROR(INDEX('6. Base de Custos'!$N$8:$N$42,MATCH(C336,'6. Base de Custos'!$L$8:$L$42,0)),"Não classificado"))</f>
        <v/>
      </c>
      <c r="N336" s="59">
        <f>IF(C336="","",IFERROR(INDEX('6. Base de Custos'!$O$8:$O$42,MATCH(C336,'6. Base de Custos'!$L$8:$L$42,0)),"Revisar"))</f>
        <v/>
      </c>
      <c r="O336" s="60">
        <f>IF(M336="","",IFERROR(VLOOKUP(M336,'6. Base de Custos'!$H$12:$J$18,3,FALSE),0))</f>
        <v/>
      </c>
      <c r="P336" s="59">
        <f>IF(C336="","",IFERROR(INDEX('6. Base de Custos'!$P$8:$P$42,MATCH(C336,'6. Base de Custos'!$L$8:$L$42,0)),"Revisar"))</f>
        <v/>
      </c>
      <c r="Q336" s="59">
        <f>IF(C336="","",IFERROR(INDEX('6. Base de Custos'!$Q$8:$Q$42,MATCH(C336,'6. Base de Custos'!$L$8:$L$42,0)),""))</f>
        <v/>
      </c>
      <c r="R336" s="65">
        <f>IF(C336="","",IFERROR(VLOOKUP(M336&amp;"|"&amp;N336,'17. Mapa DRE CP'!$E$5:$H$100,2,FALSE),"Revisar"))</f>
        <v/>
      </c>
      <c r="S336" s="65">
        <f>IF(C336="","",IFERROR(VLOOKUP(M336&amp;"|"&amp;N336,'17. Mapa DRE CP'!$E$5:$H$100,3,FALSE),"Revisar"))</f>
        <v/>
      </c>
      <c r="T336" s="65">
        <f>IF(C336="","",IF(R336="(-) Custos diretos dos serviços",IF(ISNUMBER(SEARCH("PCMSO",C336)),"PCMSO",IF(OR(ISNUMBER(SEARCH("SGS",C336)),ISNUMBER(SEARCH("CASTRO NAVES",C336))),"Projetos / Laudos / Avulsos","Projetos / Laudos / Avulsos")),"Rateio pela receita bruta"))</f>
        <v/>
      </c>
      <c r="U336" s="65">
        <f>IF(C336="","",IF(R336="(-) Custos diretos dos serviços","Direto por fornecedor/natureza do gasto","Rateio proporcional à receita bruta da linha de serviço"))</f>
        <v/>
      </c>
    </row>
    <row r="337">
      <c r="A337" s="28">
        <f>IF(C337="","", "CP-"&amp;TEXT(ROW()-5,"000"))</f>
        <v/>
      </c>
      <c r="B337" s="27">
        <f>IF(F337="","",DATE(YEAR(F337),MONTH(F337),1))</f>
        <v/>
      </c>
      <c r="C337" s="28" t="n"/>
      <c r="D337" s="28" t="n"/>
      <c r="E337" s="59">
        <f>IF(C337="","",IFERROR(INDEX('6. Base de Custos'!$M$8:$M$42,MATCH(C337,'6. Base de Custos'!$L$8:$L$42,0)),"Não classificado"))</f>
        <v/>
      </c>
      <c r="F337" s="111" t="n"/>
      <c r="G337" s="111" t="n"/>
      <c r="H337" s="111" t="n"/>
      <c r="I337" s="45" t="n"/>
      <c r="J337" s="28" t="n"/>
      <c r="K337" s="28" t="n"/>
      <c r="L337" s="28" t="n"/>
      <c r="M337" s="59">
        <f>IF(C337="","",IFERROR(INDEX('6. Base de Custos'!$N$8:$N$42,MATCH(C337,'6. Base de Custos'!$L$8:$L$42,0)),"Não classificado"))</f>
        <v/>
      </c>
      <c r="N337" s="59">
        <f>IF(C337="","",IFERROR(INDEX('6. Base de Custos'!$O$8:$O$42,MATCH(C337,'6. Base de Custos'!$L$8:$L$42,0)),"Revisar"))</f>
        <v/>
      </c>
      <c r="O337" s="60">
        <f>IF(M337="","",IFERROR(VLOOKUP(M337,'6. Base de Custos'!$H$12:$J$18,3,FALSE),0))</f>
        <v/>
      </c>
      <c r="P337" s="59">
        <f>IF(C337="","",IFERROR(INDEX('6. Base de Custos'!$P$8:$P$42,MATCH(C337,'6. Base de Custos'!$L$8:$L$42,0)),"Revisar"))</f>
        <v/>
      </c>
      <c r="Q337" s="59">
        <f>IF(C337="","",IFERROR(INDEX('6. Base de Custos'!$Q$8:$Q$42,MATCH(C337,'6. Base de Custos'!$L$8:$L$42,0)),""))</f>
        <v/>
      </c>
      <c r="R337" s="65">
        <f>IF(C337="","",IFERROR(VLOOKUP(M337&amp;"|"&amp;N337,'17. Mapa DRE CP'!$E$5:$H$100,2,FALSE),"Revisar"))</f>
        <v/>
      </c>
      <c r="S337" s="65">
        <f>IF(C337="","",IFERROR(VLOOKUP(M337&amp;"|"&amp;N337,'17. Mapa DRE CP'!$E$5:$H$100,3,FALSE),"Revisar"))</f>
        <v/>
      </c>
      <c r="T337" s="65">
        <f>IF(C337="","",IF(R337="(-) Custos diretos dos serviços",IF(ISNUMBER(SEARCH("PCMSO",C337)),"PCMSO",IF(OR(ISNUMBER(SEARCH("SGS",C337)),ISNUMBER(SEARCH("CASTRO NAVES",C337))),"Projetos / Laudos / Avulsos","Projetos / Laudos / Avulsos")),"Rateio pela receita bruta"))</f>
        <v/>
      </c>
      <c r="U337" s="65">
        <f>IF(C337="","",IF(R337="(-) Custos diretos dos serviços","Direto por fornecedor/natureza do gasto","Rateio proporcional à receita bruta da linha de serviço"))</f>
        <v/>
      </c>
    </row>
    <row r="338">
      <c r="A338" s="28">
        <f>IF(C338="","", "CP-"&amp;TEXT(ROW()-5,"000"))</f>
        <v/>
      </c>
      <c r="B338" s="27">
        <f>IF(F338="","",DATE(YEAR(F338),MONTH(F338),1))</f>
        <v/>
      </c>
      <c r="C338" s="28" t="n"/>
      <c r="D338" s="28" t="n"/>
      <c r="E338" s="59">
        <f>IF(C338="","",IFERROR(INDEX('6. Base de Custos'!$M$8:$M$42,MATCH(C338,'6. Base de Custos'!$L$8:$L$42,0)),"Não classificado"))</f>
        <v/>
      </c>
      <c r="F338" s="111" t="n"/>
      <c r="G338" s="111" t="n"/>
      <c r="H338" s="111" t="n"/>
      <c r="I338" s="45" t="n"/>
      <c r="J338" s="28" t="n"/>
      <c r="K338" s="28" t="n"/>
      <c r="L338" s="28" t="n"/>
      <c r="M338" s="59">
        <f>IF(C338="","",IFERROR(INDEX('6. Base de Custos'!$N$8:$N$42,MATCH(C338,'6. Base de Custos'!$L$8:$L$42,0)),"Não classificado"))</f>
        <v/>
      </c>
      <c r="N338" s="59">
        <f>IF(C338="","",IFERROR(INDEX('6. Base de Custos'!$O$8:$O$42,MATCH(C338,'6. Base de Custos'!$L$8:$L$42,0)),"Revisar"))</f>
        <v/>
      </c>
      <c r="O338" s="60">
        <f>IF(M338="","",IFERROR(VLOOKUP(M338,'6. Base de Custos'!$H$12:$J$18,3,FALSE),0))</f>
        <v/>
      </c>
      <c r="P338" s="59">
        <f>IF(C338="","",IFERROR(INDEX('6. Base de Custos'!$P$8:$P$42,MATCH(C338,'6. Base de Custos'!$L$8:$L$42,0)),"Revisar"))</f>
        <v/>
      </c>
      <c r="Q338" s="59">
        <f>IF(C338="","",IFERROR(INDEX('6. Base de Custos'!$Q$8:$Q$42,MATCH(C338,'6. Base de Custos'!$L$8:$L$42,0)),""))</f>
        <v/>
      </c>
      <c r="R338" s="65">
        <f>IF(C338="","",IFERROR(VLOOKUP(M338&amp;"|"&amp;N338,'17. Mapa DRE CP'!$E$5:$H$100,2,FALSE),"Revisar"))</f>
        <v/>
      </c>
      <c r="S338" s="65">
        <f>IF(C338="","",IFERROR(VLOOKUP(M338&amp;"|"&amp;N338,'17. Mapa DRE CP'!$E$5:$H$100,3,FALSE),"Revisar"))</f>
        <v/>
      </c>
      <c r="T338" s="65">
        <f>IF(C338="","",IF(R338="(-) Custos diretos dos serviços",IF(ISNUMBER(SEARCH("PCMSO",C338)),"PCMSO",IF(OR(ISNUMBER(SEARCH("SGS",C338)),ISNUMBER(SEARCH("CASTRO NAVES",C338))),"Projetos / Laudos / Avulsos","Projetos / Laudos / Avulsos")),"Rateio pela receita bruta"))</f>
        <v/>
      </c>
      <c r="U338" s="65">
        <f>IF(C338="","",IF(R338="(-) Custos diretos dos serviços","Direto por fornecedor/natureza do gasto","Rateio proporcional à receita bruta da linha de serviço"))</f>
        <v/>
      </c>
    </row>
    <row r="339">
      <c r="A339" s="28">
        <f>IF(C339="","", "CP-"&amp;TEXT(ROW()-5,"000"))</f>
        <v/>
      </c>
      <c r="B339" s="27">
        <f>IF(F339="","",DATE(YEAR(F339),MONTH(F339),1))</f>
        <v/>
      </c>
      <c r="C339" s="28" t="n"/>
      <c r="D339" s="28" t="n"/>
      <c r="E339" s="59">
        <f>IF(C339="","",IFERROR(INDEX('6. Base de Custos'!$M$8:$M$42,MATCH(C339,'6. Base de Custos'!$L$8:$L$42,0)),"Não classificado"))</f>
        <v/>
      </c>
      <c r="F339" s="111" t="n"/>
      <c r="G339" s="111" t="n"/>
      <c r="H339" s="111" t="n"/>
      <c r="I339" s="45" t="n"/>
      <c r="J339" s="28" t="n"/>
      <c r="K339" s="28" t="n"/>
      <c r="L339" s="28" t="n"/>
      <c r="M339" s="59">
        <f>IF(C339="","",IFERROR(INDEX('6. Base de Custos'!$N$8:$N$42,MATCH(C339,'6. Base de Custos'!$L$8:$L$42,0)),"Não classificado"))</f>
        <v/>
      </c>
      <c r="N339" s="59">
        <f>IF(C339="","",IFERROR(INDEX('6. Base de Custos'!$O$8:$O$42,MATCH(C339,'6. Base de Custos'!$L$8:$L$42,0)),"Revisar"))</f>
        <v/>
      </c>
      <c r="O339" s="60">
        <f>IF(M339="","",IFERROR(VLOOKUP(M339,'6. Base de Custos'!$H$12:$J$18,3,FALSE),0))</f>
        <v/>
      </c>
      <c r="P339" s="59">
        <f>IF(C339="","",IFERROR(INDEX('6. Base de Custos'!$P$8:$P$42,MATCH(C339,'6. Base de Custos'!$L$8:$L$42,0)),"Revisar"))</f>
        <v/>
      </c>
      <c r="Q339" s="59">
        <f>IF(C339="","",IFERROR(INDEX('6. Base de Custos'!$Q$8:$Q$42,MATCH(C339,'6. Base de Custos'!$L$8:$L$42,0)),""))</f>
        <v/>
      </c>
      <c r="R339" s="65">
        <f>IF(C339="","",IFERROR(VLOOKUP(M339&amp;"|"&amp;N339,'17. Mapa DRE CP'!$E$5:$H$100,2,FALSE),"Revisar"))</f>
        <v/>
      </c>
      <c r="S339" s="65">
        <f>IF(C339="","",IFERROR(VLOOKUP(M339&amp;"|"&amp;N339,'17. Mapa DRE CP'!$E$5:$H$100,3,FALSE),"Revisar"))</f>
        <v/>
      </c>
      <c r="T339" s="65">
        <f>IF(C339="","",IF(R339="(-) Custos diretos dos serviços",IF(ISNUMBER(SEARCH("PCMSO",C339)),"PCMSO",IF(OR(ISNUMBER(SEARCH("SGS",C339)),ISNUMBER(SEARCH("CASTRO NAVES",C339))),"Projetos / Laudos / Avulsos","Projetos / Laudos / Avulsos")),"Rateio pela receita bruta"))</f>
        <v/>
      </c>
      <c r="U339" s="65">
        <f>IF(C339="","",IF(R339="(-) Custos diretos dos serviços","Direto por fornecedor/natureza do gasto","Rateio proporcional à receita bruta da linha de serviço"))</f>
        <v/>
      </c>
    </row>
    <row r="340">
      <c r="A340" s="28">
        <f>IF(C340="","", "CP-"&amp;TEXT(ROW()-5,"000"))</f>
        <v/>
      </c>
      <c r="B340" s="27">
        <f>IF(F340="","",DATE(YEAR(F340),MONTH(F340),1))</f>
        <v/>
      </c>
      <c r="C340" s="28" t="n"/>
      <c r="D340" s="28" t="n"/>
      <c r="E340" s="59">
        <f>IF(C340="","",IFERROR(INDEX('6. Base de Custos'!$M$8:$M$42,MATCH(C340,'6. Base de Custos'!$L$8:$L$42,0)),"Não classificado"))</f>
        <v/>
      </c>
      <c r="F340" s="111" t="n"/>
      <c r="G340" s="111" t="n"/>
      <c r="H340" s="111" t="n"/>
      <c r="I340" s="45" t="n"/>
      <c r="J340" s="28" t="n"/>
      <c r="K340" s="28" t="n"/>
      <c r="L340" s="28" t="n"/>
      <c r="M340" s="59">
        <f>IF(C340="","",IFERROR(INDEX('6. Base de Custos'!$N$8:$N$42,MATCH(C340,'6. Base de Custos'!$L$8:$L$42,0)),"Não classificado"))</f>
        <v/>
      </c>
      <c r="N340" s="59">
        <f>IF(C340="","",IFERROR(INDEX('6. Base de Custos'!$O$8:$O$42,MATCH(C340,'6. Base de Custos'!$L$8:$L$42,0)),"Revisar"))</f>
        <v/>
      </c>
      <c r="O340" s="60">
        <f>IF(M340="","",IFERROR(VLOOKUP(M340,'6. Base de Custos'!$H$12:$J$18,3,FALSE),0))</f>
        <v/>
      </c>
      <c r="P340" s="59">
        <f>IF(C340="","",IFERROR(INDEX('6. Base de Custos'!$P$8:$P$42,MATCH(C340,'6. Base de Custos'!$L$8:$L$42,0)),"Revisar"))</f>
        <v/>
      </c>
      <c r="Q340" s="59">
        <f>IF(C340="","",IFERROR(INDEX('6. Base de Custos'!$Q$8:$Q$42,MATCH(C340,'6. Base de Custos'!$L$8:$L$42,0)),""))</f>
        <v/>
      </c>
      <c r="R340" s="65">
        <f>IF(C340="","",IFERROR(VLOOKUP(M340&amp;"|"&amp;N340,'17. Mapa DRE CP'!$E$5:$H$100,2,FALSE),"Revisar"))</f>
        <v/>
      </c>
      <c r="S340" s="65">
        <f>IF(C340="","",IFERROR(VLOOKUP(M340&amp;"|"&amp;N340,'17. Mapa DRE CP'!$E$5:$H$100,3,FALSE),"Revisar"))</f>
        <v/>
      </c>
      <c r="T340" s="65">
        <f>IF(C340="","",IF(R340="(-) Custos diretos dos serviços",IF(ISNUMBER(SEARCH("PCMSO",C340)),"PCMSO",IF(OR(ISNUMBER(SEARCH("SGS",C340)),ISNUMBER(SEARCH("CASTRO NAVES",C340))),"Projetos / Laudos / Avulsos","Projetos / Laudos / Avulsos")),"Rateio pela receita bruta"))</f>
        <v/>
      </c>
      <c r="U340" s="65">
        <f>IF(C340="","",IF(R340="(-) Custos diretos dos serviços","Direto por fornecedor/natureza do gasto","Rateio proporcional à receita bruta da linha de serviço"))</f>
        <v/>
      </c>
    </row>
    <row r="341">
      <c r="A341" s="28">
        <f>IF(C341="","", "CP-"&amp;TEXT(ROW()-5,"000"))</f>
        <v/>
      </c>
      <c r="B341" s="27">
        <f>IF(F341="","",DATE(YEAR(F341),MONTH(F341),1))</f>
        <v/>
      </c>
      <c r="C341" s="28" t="n"/>
      <c r="D341" s="28" t="n"/>
      <c r="E341" s="59">
        <f>IF(C341="","",IFERROR(INDEX('6. Base de Custos'!$M$8:$M$42,MATCH(C341,'6. Base de Custos'!$L$8:$L$42,0)),"Não classificado"))</f>
        <v/>
      </c>
      <c r="F341" s="111" t="n"/>
      <c r="G341" s="111" t="n"/>
      <c r="H341" s="111" t="n"/>
      <c r="I341" s="45" t="n"/>
      <c r="J341" s="28" t="n"/>
      <c r="K341" s="28" t="n"/>
      <c r="L341" s="28" t="n"/>
      <c r="M341" s="59">
        <f>IF(C341="","",IFERROR(INDEX('6. Base de Custos'!$N$8:$N$42,MATCH(C341,'6. Base de Custos'!$L$8:$L$42,0)),"Não classificado"))</f>
        <v/>
      </c>
      <c r="N341" s="59">
        <f>IF(C341="","",IFERROR(INDEX('6. Base de Custos'!$O$8:$O$42,MATCH(C341,'6. Base de Custos'!$L$8:$L$42,0)),"Revisar"))</f>
        <v/>
      </c>
      <c r="O341" s="60">
        <f>IF(M341="","",IFERROR(VLOOKUP(M341,'6. Base de Custos'!$H$12:$J$18,3,FALSE),0))</f>
        <v/>
      </c>
      <c r="P341" s="59">
        <f>IF(C341="","",IFERROR(INDEX('6. Base de Custos'!$P$8:$P$42,MATCH(C341,'6. Base de Custos'!$L$8:$L$42,0)),"Revisar"))</f>
        <v/>
      </c>
      <c r="Q341" s="59">
        <f>IF(C341="","",IFERROR(INDEX('6. Base de Custos'!$Q$8:$Q$42,MATCH(C341,'6. Base de Custos'!$L$8:$L$42,0)),""))</f>
        <v/>
      </c>
      <c r="R341" s="65">
        <f>IF(C341="","",IFERROR(VLOOKUP(M341&amp;"|"&amp;N341,'17. Mapa DRE CP'!$E$5:$H$100,2,FALSE),"Revisar"))</f>
        <v/>
      </c>
      <c r="S341" s="65">
        <f>IF(C341="","",IFERROR(VLOOKUP(M341&amp;"|"&amp;N341,'17. Mapa DRE CP'!$E$5:$H$100,3,FALSE),"Revisar"))</f>
        <v/>
      </c>
      <c r="T341" s="65">
        <f>IF(C341="","",IF(R341="(-) Custos diretos dos serviços",IF(ISNUMBER(SEARCH("PCMSO",C341)),"PCMSO",IF(OR(ISNUMBER(SEARCH("SGS",C341)),ISNUMBER(SEARCH("CASTRO NAVES",C341))),"Projetos / Laudos / Avulsos","Projetos / Laudos / Avulsos")),"Rateio pela receita bruta"))</f>
        <v/>
      </c>
      <c r="U341" s="65">
        <f>IF(C341="","",IF(R341="(-) Custos diretos dos serviços","Direto por fornecedor/natureza do gasto","Rateio proporcional à receita bruta da linha de serviço"))</f>
        <v/>
      </c>
    </row>
    <row r="342">
      <c r="A342" s="28">
        <f>IF(C342="","", "CP-"&amp;TEXT(ROW()-5,"000"))</f>
        <v/>
      </c>
      <c r="B342" s="27">
        <f>IF(F342="","",DATE(YEAR(F342),MONTH(F342),1))</f>
        <v/>
      </c>
      <c r="C342" s="28" t="n"/>
      <c r="D342" s="28" t="n"/>
      <c r="E342" s="59">
        <f>IF(C342="","",IFERROR(INDEX('6. Base de Custos'!$M$8:$M$42,MATCH(C342,'6. Base de Custos'!$L$8:$L$42,0)),"Não classificado"))</f>
        <v/>
      </c>
      <c r="F342" s="111" t="n"/>
      <c r="G342" s="111" t="n"/>
      <c r="H342" s="111" t="n"/>
      <c r="I342" s="45" t="n"/>
      <c r="J342" s="28" t="n"/>
      <c r="K342" s="28" t="n"/>
      <c r="L342" s="28" t="n"/>
      <c r="M342" s="59">
        <f>IF(C342="","",IFERROR(INDEX('6. Base de Custos'!$N$8:$N$42,MATCH(C342,'6. Base de Custos'!$L$8:$L$42,0)),"Não classificado"))</f>
        <v/>
      </c>
      <c r="N342" s="59">
        <f>IF(C342="","",IFERROR(INDEX('6. Base de Custos'!$O$8:$O$42,MATCH(C342,'6. Base de Custos'!$L$8:$L$42,0)),"Revisar"))</f>
        <v/>
      </c>
      <c r="O342" s="60">
        <f>IF(M342="","",IFERROR(VLOOKUP(M342,'6. Base de Custos'!$H$12:$J$18,3,FALSE),0))</f>
        <v/>
      </c>
      <c r="P342" s="59">
        <f>IF(C342="","",IFERROR(INDEX('6. Base de Custos'!$P$8:$P$42,MATCH(C342,'6. Base de Custos'!$L$8:$L$42,0)),"Revisar"))</f>
        <v/>
      </c>
      <c r="Q342" s="59">
        <f>IF(C342="","",IFERROR(INDEX('6. Base de Custos'!$Q$8:$Q$42,MATCH(C342,'6. Base de Custos'!$L$8:$L$42,0)),""))</f>
        <v/>
      </c>
      <c r="R342" s="65">
        <f>IF(C342="","",IFERROR(VLOOKUP(M342&amp;"|"&amp;N342,'17. Mapa DRE CP'!$E$5:$H$100,2,FALSE),"Revisar"))</f>
        <v/>
      </c>
      <c r="S342" s="65">
        <f>IF(C342="","",IFERROR(VLOOKUP(M342&amp;"|"&amp;N342,'17. Mapa DRE CP'!$E$5:$H$100,3,FALSE),"Revisar"))</f>
        <v/>
      </c>
      <c r="T342" s="65">
        <f>IF(C342="","",IF(R342="(-) Custos diretos dos serviços",IF(ISNUMBER(SEARCH("PCMSO",C342)),"PCMSO",IF(OR(ISNUMBER(SEARCH("SGS",C342)),ISNUMBER(SEARCH("CASTRO NAVES",C342))),"Projetos / Laudos / Avulsos","Projetos / Laudos / Avulsos")),"Rateio pela receita bruta"))</f>
        <v/>
      </c>
      <c r="U342" s="65">
        <f>IF(C342="","",IF(R342="(-) Custos diretos dos serviços","Direto por fornecedor/natureza do gasto","Rateio proporcional à receita bruta da linha de serviço"))</f>
        <v/>
      </c>
    </row>
    <row r="343">
      <c r="A343" s="28">
        <f>IF(C343="","", "CP-"&amp;TEXT(ROW()-5,"000"))</f>
        <v/>
      </c>
      <c r="B343" s="27">
        <f>IF(F343="","",DATE(YEAR(F343),MONTH(F343),1))</f>
        <v/>
      </c>
      <c r="C343" s="28" t="n"/>
      <c r="D343" s="28" t="n"/>
      <c r="E343" s="59">
        <f>IF(C343="","",IFERROR(INDEX('6. Base de Custos'!$M$8:$M$42,MATCH(C343,'6. Base de Custos'!$L$8:$L$42,0)),"Não classificado"))</f>
        <v/>
      </c>
      <c r="F343" s="111" t="n"/>
      <c r="G343" s="111" t="n"/>
      <c r="H343" s="111" t="n"/>
      <c r="I343" s="45" t="n"/>
      <c r="J343" s="28" t="n"/>
      <c r="K343" s="28" t="n"/>
      <c r="L343" s="28" t="n"/>
      <c r="M343" s="59">
        <f>IF(C343="","",IFERROR(INDEX('6. Base de Custos'!$N$8:$N$42,MATCH(C343,'6. Base de Custos'!$L$8:$L$42,0)),"Não classificado"))</f>
        <v/>
      </c>
      <c r="N343" s="59">
        <f>IF(C343="","",IFERROR(INDEX('6. Base de Custos'!$O$8:$O$42,MATCH(C343,'6. Base de Custos'!$L$8:$L$42,0)),"Revisar"))</f>
        <v/>
      </c>
      <c r="O343" s="60">
        <f>IF(M343="","",IFERROR(VLOOKUP(M343,'6. Base de Custos'!$H$12:$J$18,3,FALSE),0))</f>
        <v/>
      </c>
      <c r="P343" s="59">
        <f>IF(C343="","",IFERROR(INDEX('6. Base de Custos'!$P$8:$P$42,MATCH(C343,'6. Base de Custos'!$L$8:$L$42,0)),"Revisar"))</f>
        <v/>
      </c>
      <c r="Q343" s="59">
        <f>IF(C343="","",IFERROR(INDEX('6. Base de Custos'!$Q$8:$Q$42,MATCH(C343,'6. Base de Custos'!$L$8:$L$42,0)),""))</f>
        <v/>
      </c>
      <c r="R343" s="65">
        <f>IF(C343="","",IFERROR(VLOOKUP(M343&amp;"|"&amp;N343,'17. Mapa DRE CP'!$E$5:$H$100,2,FALSE),"Revisar"))</f>
        <v/>
      </c>
      <c r="S343" s="65">
        <f>IF(C343="","",IFERROR(VLOOKUP(M343&amp;"|"&amp;N343,'17. Mapa DRE CP'!$E$5:$H$100,3,FALSE),"Revisar"))</f>
        <v/>
      </c>
      <c r="T343" s="65">
        <f>IF(C343="","",IF(R343="(-) Custos diretos dos serviços",IF(ISNUMBER(SEARCH("PCMSO",C343)),"PCMSO",IF(OR(ISNUMBER(SEARCH("SGS",C343)),ISNUMBER(SEARCH("CASTRO NAVES",C343))),"Projetos / Laudos / Avulsos","Projetos / Laudos / Avulsos")),"Rateio pela receita bruta"))</f>
        <v/>
      </c>
      <c r="U343" s="65">
        <f>IF(C343="","",IF(R343="(-) Custos diretos dos serviços","Direto por fornecedor/natureza do gasto","Rateio proporcional à receita bruta da linha de serviço"))</f>
        <v/>
      </c>
    </row>
    <row r="344">
      <c r="A344" s="28">
        <f>IF(C344="","", "CP-"&amp;TEXT(ROW()-5,"000"))</f>
        <v/>
      </c>
      <c r="B344" s="27">
        <f>IF(F344="","",DATE(YEAR(F344),MONTH(F344),1))</f>
        <v/>
      </c>
      <c r="C344" s="28" t="n"/>
      <c r="D344" s="28" t="n"/>
      <c r="E344" s="59">
        <f>IF(C344="","",IFERROR(INDEX('6. Base de Custos'!$M$8:$M$42,MATCH(C344,'6. Base de Custos'!$L$8:$L$42,0)),"Não classificado"))</f>
        <v/>
      </c>
      <c r="F344" s="111" t="n"/>
      <c r="G344" s="111" t="n"/>
      <c r="H344" s="111" t="n"/>
      <c r="I344" s="45" t="n"/>
      <c r="J344" s="28" t="n"/>
      <c r="K344" s="28" t="n"/>
      <c r="L344" s="28" t="n"/>
      <c r="M344" s="59">
        <f>IF(C344="","",IFERROR(INDEX('6. Base de Custos'!$N$8:$N$42,MATCH(C344,'6. Base de Custos'!$L$8:$L$42,0)),"Não classificado"))</f>
        <v/>
      </c>
      <c r="N344" s="59">
        <f>IF(C344="","",IFERROR(INDEX('6. Base de Custos'!$O$8:$O$42,MATCH(C344,'6. Base de Custos'!$L$8:$L$42,0)),"Revisar"))</f>
        <v/>
      </c>
      <c r="O344" s="60">
        <f>IF(M344="","",IFERROR(VLOOKUP(M344,'6. Base de Custos'!$H$12:$J$18,3,FALSE),0))</f>
        <v/>
      </c>
      <c r="P344" s="59">
        <f>IF(C344="","",IFERROR(INDEX('6. Base de Custos'!$P$8:$P$42,MATCH(C344,'6. Base de Custos'!$L$8:$L$42,0)),"Revisar"))</f>
        <v/>
      </c>
      <c r="Q344" s="59">
        <f>IF(C344="","",IFERROR(INDEX('6. Base de Custos'!$Q$8:$Q$42,MATCH(C344,'6. Base de Custos'!$L$8:$L$42,0)),""))</f>
        <v/>
      </c>
      <c r="R344" s="65">
        <f>IF(C344="","",IFERROR(VLOOKUP(M344&amp;"|"&amp;N344,'17. Mapa DRE CP'!$E$5:$H$100,2,FALSE),"Revisar"))</f>
        <v/>
      </c>
      <c r="S344" s="65">
        <f>IF(C344="","",IFERROR(VLOOKUP(M344&amp;"|"&amp;N344,'17. Mapa DRE CP'!$E$5:$H$100,3,FALSE),"Revisar"))</f>
        <v/>
      </c>
      <c r="T344" s="65">
        <f>IF(C344="","",IF(R344="(-) Custos diretos dos serviços",IF(ISNUMBER(SEARCH("PCMSO",C344)),"PCMSO",IF(OR(ISNUMBER(SEARCH("SGS",C344)),ISNUMBER(SEARCH("CASTRO NAVES",C344))),"Projetos / Laudos / Avulsos","Projetos / Laudos / Avulsos")),"Rateio pela receita bruta"))</f>
        <v/>
      </c>
      <c r="U344" s="65">
        <f>IF(C344="","",IF(R344="(-) Custos diretos dos serviços","Direto por fornecedor/natureza do gasto","Rateio proporcional à receita bruta da linha de serviço"))</f>
        <v/>
      </c>
    </row>
    <row r="345">
      <c r="A345" s="28">
        <f>IF(C345="","", "CP-"&amp;TEXT(ROW()-5,"000"))</f>
        <v/>
      </c>
      <c r="B345" s="27">
        <f>IF(F345="","",DATE(YEAR(F345),MONTH(F345),1))</f>
        <v/>
      </c>
      <c r="C345" s="28" t="n"/>
      <c r="D345" s="28" t="n"/>
      <c r="E345" s="59">
        <f>IF(C345="","",IFERROR(INDEX('6. Base de Custos'!$M$8:$M$42,MATCH(C345,'6. Base de Custos'!$L$8:$L$42,0)),"Não classificado"))</f>
        <v/>
      </c>
      <c r="F345" s="111" t="n"/>
      <c r="G345" s="111" t="n"/>
      <c r="H345" s="111" t="n"/>
      <c r="I345" s="45" t="n"/>
      <c r="J345" s="28" t="n"/>
      <c r="K345" s="28" t="n"/>
      <c r="L345" s="28" t="n"/>
      <c r="M345" s="59">
        <f>IF(C345="","",IFERROR(INDEX('6. Base de Custos'!$N$8:$N$42,MATCH(C345,'6. Base de Custos'!$L$8:$L$42,0)),"Não classificado"))</f>
        <v/>
      </c>
      <c r="N345" s="59">
        <f>IF(C345="","",IFERROR(INDEX('6. Base de Custos'!$O$8:$O$42,MATCH(C345,'6. Base de Custos'!$L$8:$L$42,0)),"Revisar"))</f>
        <v/>
      </c>
      <c r="O345" s="60">
        <f>IF(M345="","",IFERROR(VLOOKUP(M345,'6. Base de Custos'!$H$12:$J$18,3,FALSE),0))</f>
        <v/>
      </c>
      <c r="P345" s="59">
        <f>IF(C345="","",IFERROR(INDEX('6. Base de Custos'!$P$8:$P$42,MATCH(C345,'6. Base de Custos'!$L$8:$L$42,0)),"Revisar"))</f>
        <v/>
      </c>
      <c r="Q345" s="59">
        <f>IF(C345="","",IFERROR(INDEX('6. Base de Custos'!$Q$8:$Q$42,MATCH(C345,'6. Base de Custos'!$L$8:$L$42,0)),""))</f>
        <v/>
      </c>
      <c r="R345" s="65">
        <f>IF(C345="","",IFERROR(VLOOKUP(M345&amp;"|"&amp;N345,'17. Mapa DRE CP'!$E$5:$H$100,2,FALSE),"Revisar"))</f>
        <v/>
      </c>
      <c r="S345" s="65">
        <f>IF(C345="","",IFERROR(VLOOKUP(M345&amp;"|"&amp;N345,'17. Mapa DRE CP'!$E$5:$H$100,3,FALSE),"Revisar"))</f>
        <v/>
      </c>
      <c r="T345" s="65">
        <f>IF(C345="","",IF(R345="(-) Custos diretos dos serviços",IF(ISNUMBER(SEARCH("PCMSO",C345)),"PCMSO",IF(OR(ISNUMBER(SEARCH("SGS",C345)),ISNUMBER(SEARCH("CASTRO NAVES",C345))),"Projetos / Laudos / Avulsos","Projetos / Laudos / Avulsos")),"Rateio pela receita bruta"))</f>
        <v/>
      </c>
      <c r="U345" s="65">
        <f>IF(C345="","",IF(R345="(-) Custos diretos dos serviços","Direto por fornecedor/natureza do gasto","Rateio proporcional à receita bruta da linha de serviço"))</f>
        <v/>
      </c>
    </row>
    <row r="346">
      <c r="A346" s="28">
        <f>IF(C346="","", "CP-"&amp;TEXT(ROW()-5,"000"))</f>
        <v/>
      </c>
      <c r="B346" s="27">
        <f>IF(F346="","",DATE(YEAR(F346),MONTH(F346),1))</f>
        <v/>
      </c>
      <c r="C346" s="28" t="n"/>
      <c r="D346" s="28" t="n"/>
      <c r="E346" s="59">
        <f>IF(C346="","",IFERROR(INDEX('6. Base de Custos'!$M$8:$M$42,MATCH(C346,'6. Base de Custos'!$L$8:$L$42,0)),"Não classificado"))</f>
        <v/>
      </c>
      <c r="F346" s="111" t="n"/>
      <c r="G346" s="111" t="n"/>
      <c r="H346" s="111" t="n"/>
      <c r="I346" s="45" t="n"/>
      <c r="J346" s="28" t="n"/>
      <c r="K346" s="28" t="n"/>
      <c r="L346" s="28" t="n"/>
      <c r="M346" s="59">
        <f>IF(C346="","",IFERROR(INDEX('6. Base de Custos'!$N$8:$N$42,MATCH(C346,'6. Base de Custos'!$L$8:$L$42,0)),"Não classificado"))</f>
        <v/>
      </c>
      <c r="N346" s="59">
        <f>IF(C346="","",IFERROR(INDEX('6. Base de Custos'!$O$8:$O$42,MATCH(C346,'6. Base de Custos'!$L$8:$L$42,0)),"Revisar"))</f>
        <v/>
      </c>
      <c r="O346" s="60">
        <f>IF(M346="","",IFERROR(VLOOKUP(M346,'6. Base de Custos'!$H$12:$J$18,3,FALSE),0))</f>
        <v/>
      </c>
      <c r="P346" s="59">
        <f>IF(C346="","",IFERROR(INDEX('6. Base de Custos'!$P$8:$P$42,MATCH(C346,'6. Base de Custos'!$L$8:$L$42,0)),"Revisar"))</f>
        <v/>
      </c>
      <c r="Q346" s="59">
        <f>IF(C346="","",IFERROR(INDEX('6. Base de Custos'!$Q$8:$Q$42,MATCH(C346,'6. Base de Custos'!$L$8:$L$42,0)),""))</f>
        <v/>
      </c>
      <c r="R346" s="65">
        <f>IF(C346="","",IFERROR(VLOOKUP(M346&amp;"|"&amp;N346,'17. Mapa DRE CP'!$E$5:$H$100,2,FALSE),"Revisar"))</f>
        <v/>
      </c>
      <c r="S346" s="65">
        <f>IF(C346="","",IFERROR(VLOOKUP(M346&amp;"|"&amp;N346,'17. Mapa DRE CP'!$E$5:$H$100,3,FALSE),"Revisar"))</f>
        <v/>
      </c>
      <c r="T346" s="65">
        <f>IF(C346="","",IF(R346="(-) Custos diretos dos serviços",IF(ISNUMBER(SEARCH("PCMSO",C346)),"PCMSO",IF(OR(ISNUMBER(SEARCH("SGS",C346)),ISNUMBER(SEARCH("CASTRO NAVES",C346))),"Projetos / Laudos / Avulsos","Projetos / Laudos / Avulsos")),"Rateio pela receita bruta"))</f>
        <v/>
      </c>
      <c r="U346" s="65">
        <f>IF(C346="","",IF(R346="(-) Custos diretos dos serviços","Direto por fornecedor/natureza do gasto","Rateio proporcional à receita bruta da linha de serviço"))</f>
        <v/>
      </c>
    </row>
    <row r="347">
      <c r="A347" s="28">
        <f>IF(C347="","", "CP-"&amp;TEXT(ROW()-5,"000"))</f>
        <v/>
      </c>
      <c r="B347" s="27">
        <f>IF(F347="","",DATE(YEAR(F347),MONTH(F347),1))</f>
        <v/>
      </c>
      <c r="C347" s="28" t="n"/>
      <c r="D347" s="28" t="n"/>
      <c r="E347" s="59">
        <f>IF(C347="","",IFERROR(INDEX('6. Base de Custos'!$M$8:$M$42,MATCH(C347,'6. Base de Custos'!$L$8:$L$42,0)),"Não classificado"))</f>
        <v/>
      </c>
      <c r="F347" s="111" t="n"/>
      <c r="G347" s="111" t="n"/>
      <c r="H347" s="111" t="n"/>
      <c r="I347" s="45" t="n"/>
      <c r="J347" s="28" t="n"/>
      <c r="K347" s="28" t="n"/>
      <c r="L347" s="28" t="n"/>
      <c r="M347" s="59">
        <f>IF(C347="","",IFERROR(INDEX('6. Base de Custos'!$N$8:$N$42,MATCH(C347,'6. Base de Custos'!$L$8:$L$42,0)),"Não classificado"))</f>
        <v/>
      </c>
      <c r="N347" s="59">
        <f>IF(C347="","",IFERROR(INDEX('6. Base de Custos'!$O$8:$O$42,MATCH(C347,'6. Base de Custos'!$L$8:$L$42,0)),"Revisar"))</f>
        <v/>
      </c>
      <c r="O347" s="60">
        <f>IF(M347="","",IFERROR(VLOOKUP(M347,'6. Base de Custos'!$H$12:$J$18,3,FALSE),0))</f>
        <v/>
      </c>
      <c r="P347" s="59">
        <f>IF(C347="","",IFERROR(INDEX('6. Base de Custos'!$P$8:$P$42,MATCH(C347,'6. Base de Custos'!$L$8:$L$42,0)),"Revisar"))</f>
        <v/>
      </c>
      <c r="Q347" s="59">
        <f>IF(C347="","",IFERROR(INDEX('6. Base de Custos'!$Q$8:$Q$42,MATCH(C347,'6. Base de Custos'!$L$8:$L$42,0)),""))</f>
        <v/>
      </c>
      <c r="R347" s="65">
        <f>IF(C347="","",IFERROR(VLOOKUP(M347&amp;"|"&amp;N347,'17. Mapa DRE CP'!$E$5:$H$100,2,FALSE),"Revisar"))</f>
        <v/>
      </c>
      <c r="S347" s="65">
        <f>IF(C347="","",IFERROR(VLOOKUP(M347&amp;"|"&amp;N347,'17. Mapa DRE CP'!$E$5:$H$100,3,FALSE),"Revisar"))</f>
        <v/>
      </c>
      <c r="T347" s="65">
        <f>IF(C347="","",IF(R347="(-) Custos diretos dos serviços",IF(ISNUMBER(SEARCH("PCMSO",C347)),"PCMSO",IF(OR(ISNUMBER(SEARCH("SGS",C347)),ISNUMBER(SEARCH("CASTRO NAVES",C347))),"Projetos / Laudos / Avulsos","Projetos / Laudos / Avulsos")),"Rateio pela receita bruta"))</f>
        <v/>
      </c>
      <c r="U347" s="65">
        <f>IF(C347="","",IF(R347="(-) Custos diretos dos serviços","Direto por fornecedor/natureza do gasto","Rateio proporcional à receita bruta da linha de serviço"))</f>
        <v/>
      </c>
    </row>
    <row r="348">
      <c r="A348" s="28">
        <f>IF(C348="","", "CP-"&amp;TEXT(ROW()-5,"000"))</f>
        <v/>
      </c>
      <c r="B348" s="27">
        <f>IF(F348="","",DATE(YEAR(F348),MONTH(F348),1))</f>
        <v/>
      </c>
      <c r="C348" s="28" t="n"/>
      <c r="D348" s="28" t="n"/>
      <c r="E348" s="59">
        <f>IF(C348="","",IFERROR(INDEX('6. Base de Custos'!$M$8:$M$42,MATCH(C348,'6. Base de Custos'!$L$8:$L$42,0)),"Não classificado"))</f>
        <v/>
      </c>
      <c r="F348" s="111" t="n"/>
      <c r="G348" s="111" t="n"/>
      <c r="H348" s="111" t="n"/>
      <c r="I348" s="45" t="n"/>
      <c r="J348" s="28" t="n"/>
      <c r="K348" s="28" t="n"/>
      <c r="L348" s="28" t="n"/>
      <c r="M348" s="59">
        <f>IF(C348="","",IFERROR(INDEX('6. Base de Custos'!$N$8:$N$42,MATCH(C348,'6. Base de Custos'!$L$8:$L$42,0)),"Não classificado"))</f>
        <v/>
      </c>
      <c r="N348" s="59">
        <f>IF(C348="","",IFERROR(INDEX('6. Base de Custos'!$O$8:$O$42,MATCH(C348,'6. Base de Custos'!$L$8:$L$42,0)),"Revisar"))</f>
        <v/>
      </c>
      <c r="O348" s="60">
        <f>IF(M348="","",IFERROR(VLOOKUP(M348,'6. Base de Custos'!$H$12:$J$18,3,FALSE),0))</f>
        <v/>
      </c>
      <c r="P348" s="59">
        <f>IF(C348="","",IFERROR(INDEX('6. Base de Custos'!$P$8:$P$42,MATCH(C348,'6. Base de Custos'!$L$8:$L$42,0)),"Revisar"))</f>
        <v/>
      </c>
      <c r="Q348" s="59">
        <f>IF(C348="","",IFERROR(INDEX('6. Base de Custos'!$Q$8:$Q$42,MATCH(C348,'6. Base de Custos'!$L$8:$L$42,0)),""))</f>
        <v/>
      </c>
      <c r="R348" s="65">
        <f>IF(C348="","",IFERROR(VLOOKUP(M348&amp;"|"&amp;N348,'17. Mapa DRE CP'!$E$5:$H$100,2,FALSE),"Revisar"))</f>
        <v/>
      </c>
      <c r="S348" s="65">
        <f>IF(C348="","",IFERROR(VLOOKUP(M348&amp;"|"&amp;N348,'17. Mapa DRE CP'!$E$5:$H$100,3,FALSE),"Revisar"))</f>
        <v/>
      </c>
      <c r="T348" s="65">
        <f>IF(C348="","",IF(R348="(-) Custos diretos dos serviços",IF(ISNUMBER(SEARCH("PCMSO",C348)),"PCMSO",IF(OR(ISNUMBER(SEARCH("SGS",C348)),ISNUMBER(SEARCH("CASTRO NAVES",C348))),"Projetos / Laudos / Avulsos","Projetos / Laudos / Avulsos")),"Rateio pela receita bruta"))</f>
        <v/>
      </c>
      <c r="U348" s="65">
        <f>IF(C348="","",IF(R348="(-) Custos diretos dos serviços","Direto por fornecedor/natureza do gasto","Rateio proporcional à receita bruta da linha de serviço"))</f>
        <v/>
      </c>
    </row>
    <row r="349">
      <c r="A349" s="28">
        <f>IF(C349="","", "CP-"&amp;TEXT(ROW()-5,"000"))</f>
        <v/>
      </c>
      <c r="B349" s="27">
        <f>IF(F349="","",DATE(YEAR(F349),MONTH(F349),1))</f>
        <v/>
      </c>
      <c r="C349" s="28" t="n"/>
      <c r="D349" s="28" t="n"/>
      <c r="E349" s="59">
        <f>IF(C349="","",IFERROR(INDEX('6. Base de Custos'!$M$8:$M$42,MATCH(C349,'6. Base de Custos'!$L$8:$L$42,0)),"Não classificado"))</f>
        <v/>
      </c>
      <c r="F349" s="111" t="n"/>
      <c r="G349" s="111" t="n"/>
      <c r="H349" s="111" t="n"/>
      <c r="I349" s="45" t="n"/>
      <c r="J349" s="28" t="n"/>
      <c r="K349" s="28" t="n"/>
      <c r="L349" s="28" t="n"/>
      <c r="M349" s="59">
        <f>IF(C349="","",IFERROR(INDEX('6. Base de Custos'!$N$8:$N$42,MATCH(C349,'6. Base de Custos'!$L$8:$L$42,0)),"Não classificado"))</f>
        <v/>
      </c>
      <c r="N349" s="59">
        <f>IF(C349="","",IFERROR(INDEX('6. Base de Custos'!$O$8:$O$42,MATCH(C349,'6. Base de Custos'!$L$8:$L$42,0)),"Revisar"))</f>
        <v/>
      </c>
      <c r="O349" s="60">
        <f>IF(M349="","",IFERROR(VLOOKUP(M349,'6. Base de Custos'!$H$12:$J$18,3,FALSE),0))</f>
        <v/>
      </c>
      <c r="P349" s="59">
        <f>IF(C349="","",IFERROR(INDEX('6. Base de Custos'!$P$8:$P$42,MATCH(C349,'6. Base de Custos'!$L$8:$L$42,0)),"Revisar"))</f>
        <v/>
      </c>
      <c r="Q349" s="59">
        <f>IF(C349="","",IFERROR(INDEX('6. Base de Custos'!$Q$8:$Q$42,MATCH(C349,'6. Base de Custos'!$L$8:$L$42,0)),""))</f>
        <v/>
      </c>
      <c r="R349" s="65">
        <f>IF(C349="","",IFERROR(VLOOKUP(M349&amp;"|"&amp;N349,'17. Mapa DRE CP'!$E$5:$H$100,2,FALSE),"Revisar"))</f>
        <v/>
      </c>
      <c r="S349" s="65">
        <f>IF(C349="","",IFERROR(VLOOKUP(M349&amp;"|"&amp;N349,'17. Mapa DRE CP'!$E$5:$H$100,3,FALSE),"Revisar"))</f>
        <v/>
      </c>
      <c r="T349" s="65">
        <f>IF(C349="","",IF(R349="(-) Custos diretos dos serviços",IF(ISNUMBER(SEARCH("PCMSO",C349)),"PCMSO",IF(OR(ISNUMBER(SEARCH("SGS",C349)),ISNUMBER(SEARCH("CASTRO NAVES",C349))),"Projetos / Laudos / Avulsos","Projetos / Laudos / Avulsos")),"Rateio pela receita bruta"))</f>
        <v/>
      </c>
      <c r="U349" s="65">
        <f>IF(C349="","",IF(R349="(-) Custos diretos dos serviços","Direto por fornecedor/natureza do gasto","Rateio proporcional à receita bruta da linha de serviço"))</f>
        <v/>
      </c>
    </row>
    <row r="350">
      <c r="A350" s="28">
        <f>IF(C350="","", "CP-"&amp;TEXT(ROW()-5,"000"))</f>
        <v/>
      </c>
      <c r="B350" s="27">
        <f>IF(F350="","",DATE(YEAR(F350),MONTH(F350),1))</f>
        <v/>
      </c>
      <c r="C350" s="28" t="n"/>
      <c r="D350" s="28" t="n"/>
      <c r="E350" s="59">
        <f>IF(C350="","",IFERROR(INDEX('6. Base de Custos'!$M$8:$M$42,MATCH(C350,'6. Base de Custos'!$L$8:$L$42,0)),"Não classificado"))</f>
        <v/>
      </c>
      <c r="F350" s="111" t="n"/>
      <c r="G350" s="111" t="n"/>
      <c r="H350" s="111" t="n"/>
      <c r="I350" s="45" t="n"/>
      <c r="J350" s="28" t="n"/>
      <c r="K350" s="28" t="n"/>
      <c r="L350" s="28" t="n"/>
      <c r="M350" s="59">
        <f>IF(C350="","",IFERROR(INDEX('6. Base de Custos'!$N$8:$N$42,MATCH(C350,'6. Base de Custos'!$L$8:$L$42,0)),"Não classificado"))</f>
        <v/>
      </c>
      <c r="N350" s="59">
        <f>IF(C350="","",IFERROR(INDEX('6. Base de Custos'!$O$8:$O$42,MATCH(C350,'6. Base de Custos'!$L$8:$L$42,0)),"Revisar"))</f>
        <v/>
      </c>
      <c r="O350" s="60">
        <f>IF(M350="","",IFERROR(VLOOKUP(M350,'6. Base de Custos'!$H$12:$J$18,3,FALSE),0))</f>
        <v/>
      </c>
      <c r="P350" s="59">
        <f>IF(C350="","",IFERROR(INDEX('6. Base de Custos'!$P$8:$P$42,MATCH(C350,'6. Base de Custos'!$L$8:$L$42,0)),"Revisar"))</f>
        <v/>
      </c>
      <c r="Q350" s="59">
        <f>IF(C350="","",IFERROR(INDEX('6. Base de Custos'!$Q$8:$Q$42,MATCH(C350,'6. Base de Custos'!$L$8:$L$42,0)),""))</f>
        <v/>
      </c>
      <c r="R350" s="65">
        <f>IF(C350="","",IFERROR(VLOOKUP(M350&amp;"|"&amp;N350,'17. Mapa DRE CP'!$E$5:$H$100,2,FALSE),"Revisar"))</f>
        <v/>
      </c>
      <c r="S350" s="65">
        <f>IF(C350="","",IFERROR(VLOOKUP(M350&amp;"|"&amp;N350,'17. Mapa DRE CP'!$E$5:$H$100,3,FALSE),"Revisar"))</f>
        <v/>
      </c>
      <c r="T350" s="65">
        <f>IF(C350="","",IF(R350="(-) Custos diretos dos serviços",IF(ISNUMBER(SEARCH("PCMSO",C350)),"PCMSO",IF(OR(ISNUMBER(SEARCH("SGS",C350)),ISNUMBER(SEARCH("CASTRO NAVES",C350))),"Projetos / Laudos / Avulsos","Projetos / Laudos / Avulsos")),"Rateio pela receita bruta"))</f>
        <v/>
      </c>
      <c r="U350" s="65">
        <f>IF(C350="","",IF(R350="(-) Custos diretos dos serviços","Direto por fornecedor/natureza do gasto","Rateio proporcional à receita bruta da linha de serviço"))</f>
        <v/>
      </c>
    </row>
    <row r="351">
      <c r="A351" s="28">
        <f>IF(C351="","", "CP-"&amp;TEXT(ROW()-5,"000"))</f>
        <v/>
      </c>
      <c r="B351" s="27">
        <f>IF(F351="","",DATE(YEAR(F351),MONTH(F351),1))</f>
        <v/>
      </c>
      <c r="C351" s="28" t="n"/>
      <c r="D351" s="28" t="n"/>
      <c r="E351" s="59">
        <f>IF(C351="","",IFERROR(INDEX('6. Base de Custos'!$M$8:$M$42,MATCH(C351,'6. Base de Custos'!$L$8:$L$42,0)),"Não classificado"))</f>
        <v/>
      </c>
      <c r="F351" s="111" t="n"/>
      <c r="G351" s="111" t="n"/>
      <c r="H351" s="111" t="n"/>
      <c r="I351" s="45" t="n"/>
      <c r="J351" s="28" t="n"/>
      <c r="K351" s="28" t="n"/>
      <c r="L351" s="28" t="n"/>
      <c r="M351" s="59">
        <f>IF(C351="","",IFERROR(INDEX('6. Base de Custos'!$N$8:$N$42,MATCH(C351,'6. Base de Custos'!$L$8:$L$42,0)),"Não classificado"))</f>
        <v/>
      </c>
      <c r="N351" s="59">
        <f>IF(C351="","",IFERROR(INDEX('6. Base de Custos'!$O$8:$O$42,MATCH(C351,'6. Base de Custos'!$L$8:$L$42,0)),"Revisar"))</f>
        <v/>
      </c>
      <c r="O351" s="60">
        <f>IF(M351="","",IFERROR(VLOOKUP(M351,'6. Base de Custos'!$H$12:$J$18,3,FALSE),0))</f>
        <v/>
      </c>
      <c r="P351" s="59">
        <f>IF(C351="","",IFERROR(INDEX('6. Base de Custos'!$P$8:$P$42,MATCH(C351,'6. Base de Custos'!$L$8:$L$42,0)),"Revisar"))</f>
        <v/>
      </c>
      <c r="Q351" s="59">
        <f>IF(C351="","",IFERROR(INDEX('6. Base de Custos'!$Q$8:$Q$42,MATCH(C351,'6. Base de Custos'!$L$8:$L$42,0)),""))</f>
        <v/>
      </c>
      <c r="R351" s="65">
        <f>IF(C351="","",IFERROR(VLOOKUP(M351&amp;"|"&amp;N351,'17. Mapa DRE CP'!$E$5:$H$100,2,FALSE),"Revisar"))</f>
        <v/>
      </c>
      <c r="S351" s="65">
        <f>IF(C351="","",IFERROR(VLOOKUP(M351&amp;"|"&amp;N351,'17. Mapa DRE CP'!$E$5:$H$100,3,FALSE),"Revisar"))</f>
        <v/>
      </c>
      <c r="T351" s="65">
        <f>IF(C351="","",IF(R351="(-) Custos diretos dos serviços",IF(ISNUMBER(SEARCH("PCMSO",C351)),"PCMSO",IF(OR(ISNUMBER(SEARCH("SGS",C351)),ISNUMBER(SEARCH("CASTRO NAVES",C351))),"Projetos / Laudos / Avulsos","Projetos / Laudos / Avulsos")),"Rateio pela receita bruta"))</f>
        <v/>
      </c>
      <c r="U351" s="65">
        <f>IF(C351="","",IF(R351="(-) Custos diretos dos serviços","Direto por fornecedor/natureza do gasto","Rateio proporcional à receita bruta da linha de serviço"))</f>
        <v/>
      </c>
    </row>
    <row r="352">
      <c r="A352" s="28">
        <f>IF(C352="","", "CP-"&amp;TEXT(ROW()-5,"000"))</f>
        <v/>
      </c>
      <c r="B352" s="27">
        <f>IF(F352="","",DATE(YEAR(F352),MONTH(F352),1))</f>
        <v/>
      </c>
      <c r="C352" s="28" t="n"/>
      <c r="D352" s="28" t="n"/>
      <c r="E352" s="59">
        <f>IF(C352="","",IFERROR(INDEX('6. Base de Custos'!$M$8:$M$42,MATCH(C352,'6. Base de Custos'!$L$8:$L$42,0)),"Não classificado"))</f>
        <v/>
      </c>
      <c r="F352" s="111" t="n"/>
      <c r="G352" s="111" t="n"/>
      <c r="H352" s="111" t="n"/>
      <c r="I352" s="45" t="n"/>
      <c r="J352" s="28" t="n"/>
      <c r="K352" s="28" t="n"/>
      <c r="L352" s="28" t="n"/>
      <c r="M352" s="59">
        <f>IF(C352="","",IFERROR(INDEX('6. Base de Custos'!$N$8:$N$42,MATCH(C352,'6. Base de Custos'!$L$8:$L$42,0)),"Não classificado"))</f>
        <v/>
      </c>
      <c r="N352" s="59">
        <f>IF(C352="","",IFERROR(INDEX('6. Base de Custos'!$O$8:$O$42,MATCH(C352,'6. Base de Custos'!$L$8:$L$42,0)),"Revisar"))</f>
        <v/>
      </c>
      <c r="O352" s="60">
        <f>IF(M352="","",IFERROR(VLOOKUP(M352,'6. Base de Custos'!$H$12:$J$18,3,FALSE),0))</f>
        <v/>
      </c>
      <c r="P352" s="59">
        <f>IF(C352="","",IFERROR(INDEX('6. Base de Custos'!$P$8:$P$42,MATCH(C352,'6. Base de Custos'!$L$8:$L$42,0)),"Revisar"))</f>
        <v/>
      </c>
      <c r="Q352" s="59">
        <f>IF(C352="","",IFERROR(INDEX('6. Base de Custos'!$Q$8:$Q$42,MATCH(C352,'6. Base de Custos'!$L$8:$L$42,0)),""))</f>
        <v/>
      </c>
      <c r="R352" s="65">
        <f>IF(C352="","",IFERROR(VLOOKUP(M352&amp;"|"&amp;N352,'17. Mapa DRE CP'!$E$5:$H$100,2,FALSE),"Revisar"))</f>
        <v/>
      </c>
      <c r="S352" s="65">
        <f>IF(C352="","",IFERROR(VLOOKUP(M352&amp;"|"&amp;N352,'17. Mapa DRE CP'!$E$5:$H$100,3,FALSE),"Revisar"))</f>
        <v/>
      </c>
      <c r="T352" s="65">
        <f>IF(C352="","",IF(R352="(-) Custos diretos dos serviços",IF(ISNUMBER(SEARCH("PCMSO",C352)),"PCMSO",IF(OR(ISNUMBER(SEARCH("SGS",C352)),ISNUMBER(SEARCH("CASTRO NAVES",C352))),"Projetos / Laudos / Avulsos","Projetos / Laudos / Avulsos")),"Rateio pela receita bruta"))</f>
        <v/>
      </c>
      <c r="U352" s="65">
        <f>IF(C352="","",IF(R352="(-) Custos diretos dos serviços","Direto por fornecedor/natureza do gasto","Rateio proporcional à receita bruta da linha de serviço"))</f>
        <v/>
      </c>
    </row>
    <row r="353">
      <c r="A353" s="28">
        <f>IF(C353="","", "CP-"&amp;TEXT(ROW()-5,"000"))</f>
        <v/>
      </c>
      <c r="B353" s="27">
        <f>IF(F353="","",DATE(YEAR(F353),MONTH(F353),1))</f>
        <v/>
      </c>
      <c r="C353" s="28" t="n"/>
      <c r="D353" s="28" t="n"/>
      <c r="E353" s="59">
        <f>IF(C353="","",IFERROR(INDEX('6. Base de Custos'!$M$8:$M$42,MATCH(C353,'6. Base de Custos'!$L$8:$L$42,0)),"Não classificado"))</f>
        <v/>
      </c>
      <c r="F353" s="111" t="n"/>
      <c r="G353" s="111" t="n"/>
      <c r="H353" s="111" t="n"/>
      <c r="I353" s="45" t="n"/>
      <c r="J353" s="28" t="n"/>
      <c r="K353" s="28" t="n"/>
      <c r="L353" s="28" t="n"/>
      <c r="M353" s="59">
        <f>IF(C353="","",IFERROR(INDEX('6. Base de Custos'!$N$8:$N$42,MATCH(C353,'6. Base de Custos'!$L$8:$L$42,0)),"Não classificado"))</f>
        <v/>
      </c>
      <c r="N353" s="59">
        <f>IF(C353="","",IFERROR(INDEX('6. Base de Custos'!$O$8:$O$42,MATCH(C353,'6. Base de Custos'!$L$8:$L$42,0)),"Revisar"))</f>
        <v/>
      </c>
      <c r="O353" s="60">
        <f>IF(M353="","",IFERROR(VLOOKUP(M353,'6. Base de Custos'!$H$12:$J$18,3,FALSE),0))</f>
        <v/>
      </c>
      <c r="P353" s="59">
        <f>IF(C353="","",IFERROR(INDEX('6. Base de Custos'!$P$8:$P$42,MATCH(C353,'6. Base de Custos'!$L$8:$L$42,0)),"Revisar"))</f>
        <v/>
      </c>
      <c r="Q353" s="59">
        <f>IF(C353="","",IFERROR(INDEX('6. Base de Custos'!$Q$8:$Q$42,MATCH(C353,'6. Base de Custos'!$L$8:$L$42,0)),""))</f>
        <v/>
      </c>
      <c r="R353" s="65">
        <f>IF(C353="","",IFERROR(VLOOKUP(M353&amp;"|"&amp;N353,'17. Mapa DRE CP'!$E$5:$H$100,2,FALSE),"Revisar"))</f>
        <v/>
      </c>
      <c r="S353" s="65">
        <f>IF(C353="","",IFERROR(VLOOKUP(M353&amp;"|"&amp;N353,'17. Mapa DRE CP'!$E$5:$H$100,3,FALSE),"Revisar"))</f>
        <v/>
      </c>
      <c r="T353" s="65">
        <f>IF(C353="","",IF(R353="(-) Custos diretos dos serviços",IF(ISNUMBER(SEARCH("PCMSO",C353)),"PCMSO",IF(OR(ISNUMBER(SEARCH("SGS",C353)),ISNUMBER(SEARCH("CASTRO NAVES",C353))),"Projetos / Laudos / Avulsos","Projetos / Laudos / Avulsos")),"Rateio pela receita bruta"))</f>
        <v/>
      </c>
      <c r="U353" s="65">
        <f>IF(C353="","",IF(R353="(-) Custos diretos dos serviços","Direto por fornecedor/natureza do gasto","Rateio proporcional à receita bruta da linha de serviço"))</f>
        <v/>
      </c>
    </row>
    <row r="354">
      <c r="A354" s="28">
        <f>IF(C354="","", "CP-"&amp;TEXT(ROW()-5,"000"))</f>
        <v/>
      </c>
      <c r="B354" s="27">
        <f>IF(F354="","",DATE(YEAR(F354),MONTH(F354),1))</f>
        <v/>
      </c>
      <c r="C354" s="28" t="n"/>
      <c r="D354" s="28" t="n"/>
      <c r="E354" s="59">
        <f>IF(C354="","",IFERROR(INDEX('6. Base de Custos'!$M$8:$M$42,MATCH(C354,'6. Base de Custos'!$L$8:$L$42,0)),"Não classificado"))</f>
        <v/>
      </c>
      <c r="F354" s="111" t="n"/>
      <c r="G354" s="111" t="n"/>
      <c r="H354" s="111" t="n"/>
      <c r="I354" s="45" t="n"/>
      <c r="J354" s="28" t="n"/>
      <c r="K354" s="28" t="n"/>
      <c r="L354" s="28" t="n"/>
      <c r="M354" s="59">
        <f>IF(C354="","",IFERROR(INDEX('6. Base de Custos'!$N$8:$N$42,MATCH(C354,'6. Base de Custos'!$L$8:$L$42,0)),"Não classificado"))</f>
        <v/>
      </c>
      <c r="N354" s="59">
        <f>IF(C354="","",IFERROR(INDEX('6. Base de Custos'!$O$8:$O$42,MATCH(C354,'6. Base de Custos'!$L$8:$L$42,0)),"Revisar"))</f>
        <v/>
      </c>
      <c r="O354" s="60">
        <f>IF(M354="","",IFERROR(VLOOKUP(M354,'6. Base de Custos'!$H$12:$J$18,3,FALSE),0))</f>
        <v/>
      </c>
      <c r="P354" s="59">
        <f>IF(C354="","",IFERROR(INDEX('6. Base de Custos'!$P$8:$P$42,MATCH(C354,'6. Base de Custos'!$L$8:$L$42,0)),"Revisar"))</f>
        <v/>
      </c>
      <c r="Q354" s="59">
        <f>IF(C354="","",IFERROR(INDEX('6. Base de Custos'!$Q$8:$Q$42,MATCH(C354,'6. Base de Custos'!$L$8:$L$42,0)),""))</f>
        <v/>
      </c>
      <c r="R354" s="65">
        <f>IF(C354="","",IFERROR(VLOOKUP(M354&amp;"|"&amp;N354,'17. Mapa DRE CP'!$E$5:$H$100,2,FALSE),"Revisar"))</f>
        <v/>
      </c>
      <c r="S354" s="65">
        <f>IF(C354="","",IFERROR(VLOOKUP(M354&amp;"|"&amp;N354,'17. Mapa DRE CP'!$E$5:$H$100,3,FALSE),"Revisar"))</f>
        <v/>
      </c>
      <c r="T354" s="65">
        <f>IF(C354="","",IF(R354="(-) Custos diretos dos serviços",IF(ISNUMBER(SEARCH("PCMSO",C354)),"PCMSO",IF(OR(ISNUMBER(SEARCH("SGS",C354)),ISNUMBER(SEARCH("CASTRO NAVES",C354))),"Projetos / Laudos / Avulsos","Projetos / Laudos / Avulsos")),"Rateio pela receita bruta"))</f>
        <v/>
      </c>
      <c r="U354" s="65">
        <f>IF(C354="","",IF(R354="(-) Custos diretos dos serviços","Direto por fornecedor/natureza do gasto","Rateio proporcional à receita bruta da linha de serviço"))</f>
        <v/>
      </c>
    </row>
    <row r="355">
      <c r="A355" s="28">
        <f>IF(C355="","", "CP-"&amp;TEXT(ROW()-5,"000"))</f>
        <v/>
      </c>
      <c r="B355" s="27">
        <f>IF(F355="","",DATE(YEAR(F355),MONTH(F355),1))</f>
        <v/>
      </c>
      <c r="C355" s="28" t="n"/>
      <c r="D355" s="28" t="n"/>
      <c r="E355" s="59">
        <f>IF(C355="","",IFERROR(INDEX('6. Base de Custos'!$M$8:$M$42,MATCH(C355,'6. Base de Custos'!$L$8:$L$42,0)),"Não classificado"))</f>
        <v/>
      </c>
      <c r="F355" s="111" t="n"/>
      <c r="G355" s="111" t="n"/>
      <c r="H355" s="111" t="n"/>
      <c r="I355" s="45" t="n"/>
      <c r="J355" s="28" t="n"/>
      <c r="K355" s="28" t="n"/>
      <c r="L355" s="28" t="n"/>
      <c r="M355" s="59">
        <f>IF(C355="","",IFERROR(INDEX('6. Base de Custos'!$N$8:$N$42,MATCH(C355,'6. Base de Custos'!$L$8:$L$42,0)),"Não classificado"))</f>
        <v/>
      </c>
      <c r="N355" s="59">
        <f>IF(C355="","",IFERROR(INDEX('6. Base de Custos'!$O$8:$O$42,MATCH(C355,'6. Base de Custos'!$L$8:$L$42,0)),"Revisar"))</f>
        <v/>
      </c>
      <c r="O355" s="60">
        <f>IF(M355="","",IFERROR(VLOOKUP(M355,'6. Base de Custos'!$H$12:$J$18,3,FALSE),0))</f>
        <v/>
      </c>
      <c r="P355" s="59">
        <f>IF(C355="","",IFERROR(INDEX('6. Base de Custos'!$P$8:$P$42,MATCH(C355,'6. Base de Custos'!$L$8:$L$42,0)),"Revisar"))</f>
        <v/>
      </c>
      <c r="Q355" s="59">
        <f>IF(C355="","",IFERROR(INDEX('6. Base de Custos'!$Q$8:$Q$42,MATCH(C355,'6. Base de Custos'!$L$8:$L$42,0)),""))</f>
        <v/>
      </c>
      <c r="R355" s="65">
        <f>IF(C355="","",IFERROR(VLOOKUP(M355&amp;"|"&amp;N355,'17. Mapa DRE CP'!$E$5:$H$100,2,FALSE),"Revisar"))</f>
        <v/>
      </c>
      <c r="S355" s="65">
        <f>IF(C355="","",IFERROR(VLOOKUP(M355&amp;"|"&amp;N355,'17. Mapa DRE CP'!$E$5:$H$100,3,FALSE),"Revisar"))</f>
        <v/>
      </c>
      <c r="T355" s="65">
        <f>IF(C355="","",IF(R355="(-) Custos diretos dos serviços",IF(ISNUMBER(SEARCH("PCMSO",C355)),"PCMSO",IF(OR(ISNUMBER(SEARCH("SGS",C355)),ISNUMBER(SEARCH("CASTRO NAVES",C355))),"Projetos / Laudos / Avulsos","Projetos / Laudos / Avulsos")),"Rateio pela receita bruta"))</f>
        <v/>
      </c>
      <c r="U355" s="65">
        <f>IF(C355="","",IF(R355="(-) Custos diretos dos serviços","Direto por fornecedor/natureza do gasto","Rateio proporcional à receita bruta da linha de serviço"))</f>
        <v/>
      </c>
    </row>
    <row r="356">
      <c r="A356" s="28">
        <f>IF(C356="","", "CP-"&amp;TEXT(ROW()-5,"000"))</f>
        <v/>
      </c>
      <c r="B356" s="27">
        <f>IF(F356="","",DATE(YEAR(F356),MONTH(F356),1))</f>
        <v/>
      </c>
      <c r="C356" s="28" t="n"/>
      <c r="D356" s="28" t="n"/>
      <c r="E356" s="59">
        <f>IF(C356="","",IFERROR(INDEX('6. Base de Custos'!$M$8:$M$42,MATCH(C356,'6. Base de Custos'!$L$8:$L$42,0)),"Não classificado"))</f>
        <v/>
      </c>
      <c r="F356" s="111" t="n"/>
      <c r="G356" s="111" t="n"/>
      <c r="H356" s="111" t="n"/>
      <c r="I356" s="45" t="n"/>
      <c r="J356" s="28" t="n"/>
      <c r="K356" s="28" t="n"/>
      <c r="L356" s="28" t="n"/>
      <c r="M356" s="59">
        <f>IF(C356="","",IFERROR(INDEX('6. Base de Custos'!$N$8:$N$42,MATCH(C356,'6. Base de Custos'!$L$8:$L$42,0)),"Não classificado"))</f>
        <v/>
      </c>
      <c r="N356" s="59">
        <f>IF(C356="","",IFERROR(INDEX('6. Base de Custos'!$O$8:$O$42,MATCH(C356,'6. Base de Custos'!$L$8:$L$42,0)),"Revisar"))</f>
        <v/>
      </c>
      <c r="O356" s="60">
        <f>IF(M356="","",IFERROR(VLOOKUP(M356,'6. Base de Custos'!$H$12:$J$18,3,FALSE),0))</f>
        <v/>
      </c>
      <c r="P356" s="59">
        <f>IF(C356="","",IFERROR(INDEX('6. Base de Custos'!$P$8:$P$42,MATCH(C356,'6. Base de Custos'!$L$8:$L$42,0)),"Revisar"))</f>
        <v/>
      </c>
      <c r="Q356" s="59">
        <f>IF(C356="","",IFERROR(INDEX('6. Base de Custos'!$Q$8:$Q$42,MATCH(C356,'6. Base de Custos'!$L$8:$L$42,0)),""))</f>
        <v/>
      </c>
      <c r="R356" s="65">
        <f>IF(C356="","",IFERROR(VLOOKUP(M356&amp;"|"&amp;N356,'17. Mapa DRE CP'!$E$5:$H$100,2,FALSE),"Revisar"))</f>
        <v/>
      </c>
      <c r="S356" s="65">
        <f>IF(C356="","",IFERROR(VLOOKUP(M356&amp;"|"&amp;N356,'17. Mapa DRE CP'!$E$5:$H$100,3,FALSE),"Revisar"))</f>
        <v/>
      </c>
      <c r="T356" s="65">
        <f>IF(C356="","",IF(R356="(-) Custos diretos dos serviços",IF(ISNUMBER(SEARCH("PCMSO",C356)),"PCMSO",IF(OR(ISNUMBER(SEARCH("SGS",C356)),ISNUMBER(SEARCH("CASTRO NAVES",C356))),"Projetos / Laudos / Avulsos","Projetos / Laudos / Avulsos")),"Rateio pela receita bruta"))</f>
        <v/>
      </c>
      <c r="U356" s="65">
        <f>IF(C356="","",IF(R356="(-) Custos diretos dos serviços","Direto por fornecedor/natureza do gasto","Rateio proporcional à receita bruta da linha de serviço"))</f>
        <v/>
      </c>
    </row>
    <row r="357">
      <c r="A357" s="28">
        <f>IF(C357="","", "CP-"&amp;TEXT(ROW()-5,"000"))</f>
        <v/>
      </c>
      <c r="B357" s="27">
        <f>IF(F357="","",DATE(YEAR(F357),MONTH(F357),1))</f>
        <v/>
      </c>
      <c r="C357" s="28" t="n"/>
      <c r="D357" s="28" t="n"/>
      <c r="E357" s="59">
        <f>IF(C357="","",IFERROR(INDEX('6. Base de Custos'!$M$8:$M$42,MATCH(C357,'6. Base de Custos'!$L$8:$L$42,0)),"Não classificado"))</f>
        <v/>
      </c>
      <c r="F357" s="111" t="n"/>
      <c r="G357" s="111" t="n"/>
      <c r="H357" s="111" t="n"/>
      <c r="I357" s="45" t="n"/>
      <c r="J357" s="28" t="n"/>
      <c r="K357" s="28" t="n"/>
      <c r="L357" s="28" t="n"/>
      <c r="M357" s="59">
        <f>IF(C357="","",IFERROR(INDEX('6. Base de Custos'!$N$8:$N$42,MATCH(C357,'6. Base de Custos'!$L$8:$L$42,0)),"Não classificado"))</f>
        <v/>
      </c>
      <c r="N357" s="59">
        <f>IF(C357="","",IFERROR(INDEX('6. Base de Custos'!$O$8:$O$42,MATCH(C357,'6. Base de Custos'!$L$8:$L$42,0)),"Revisar"))</f>
        <v/>
      </c>
      <c r="O357" s="60">
        <f>IF(M357="","",IFERROR(VLOOKUP(M357,'6. Base de Custos'!$H$12:$J$18,3,FALSE),0))</f>
        <v/>
      </c>
      <c r="P357" s="59">
        <f>IF(C357="","",IFERROR(INDEX('6. Base de Custos'!$P$8:$P$42,MATCH(C357,'6. Base de Custos'!$L$8:$L$42,0)),"Revisar"))</f>
        <v/>
      </c>
      <c r="Q357" s="59">
        <f>IF(C357="","",IFERROR(INDEX('6. Base de Custos'!$Q$8:$Q$42,MATCH(C357,'6. Base de Custos'!$L$8:$L$42,0)),""))</f>
        <v/>
      </c>
      <c r="R357" s="65">
        <f>IF(C357="","",IFERROR(VLOOKUP(M357&amp;"|"&amp;N357,'17. Mapa DRE CP'!$E$5:$H$100,2,FALSE),"Revisar"))</f>
        <v/>
      </c>
      <c r="S357" s="65">
        <f>IF(C357="","",IFERROR(VLOOKUP(M357&amp;"|"&amp;N357,'17. Mapa DRE CP'!$E$5:$H$100,3,FALSE),"Revisar"))</f>
        <v/>
      </c>
      <c r="T357" s="65">
        <f>IF(C357="","",IF(R357="(-) Custos diretos dos serviços",IF(ISNUMBER(SEARCH("PCMSO",C357)),"PCMSO",IF(OR(ISNUMBER(SEARCH("SGS",C357)),ISNUMBER(SEARCH("CASTRO NAVES",C357))),"Projetos / Laudos / Avulsos","Projetos / Laudos / Avulsos")),"Rateio pela receita bruta"))</f>
        <v/>
      </c>
      <c r="U357" s="65">
        <f>IF(C357="","",IF(R357="(-) Custos diretos dos serviços","Direto por fornecedor/natureza do gasto","Rateio proporcional à receita bruta da linha de serviço"))</f>
        <v/>
      </c>
    </row>
    <row r="358">
      <c r="A358" s="28">
        <f>IF(C358="","", "CP-"&amp;TEXT(ROW()-5,"000"))</f>
        <v/>
      </c>
      <c r="B358" s="27">
        <f>IF(F358="","",DATE(YEAR(F358),MONTH(F358),1))</f>
        <v/>
      </c>
      <c r="C358" s="28" t="n"/>
      <c r="D358" s="28" t="n"/>
      <c r="E358" s="59">
        <f>IF(C358="","",IFERROR(INDEX('6. Base de Custos'!$M$8:$M$42,MATCH(C358,'6. Base de Custos'!$L$8:$L$42,0)),"Não classificado"))</f>
        <v/>
      </c>
      <c r="F358" s="111" t="n"/>
      <c r="G358" s="111" t="n"/>
      <c r="H358" s="111" t="n"/>
      <c r="I358" s="45" t="n"/>
      <c r="J358" s="28" t="n"/>
      <c r="K358" s="28" t="n"/>
      <c r="L358" s="28" t="n"/>
      <c r="M358" s="59">
        <f>IF(C358="","",IFERROR(INDEX('6. Base de Custos'!$N$8:$N$42,MATCH(C358,'6. Base de Custos'!$L$8:$L$42,0)),"Não classificado"))</f>
        <v/>
      </c>
      <c r="N358" s="59">
        <f>IF(C358="","",IFERROR(INDEX('6. Base de Custos'!$O$8:$O$42,MATCH(C358,'6. Base de Custos'!$L$8:$L$42,0)),"Revisar"))</f>
        <v/>
      </c>
      <c r="O358" s="60">
        <f>IF(M358="","",IFERROR(VLOOKUP(M358,'6. Base de Custos'!$H$12:$J$18,3,FALSE),0))</f>
        <v/>
      </c>
      <c r="P358" s="59">
        <f>IF(C358="","",IFERROR(INDEX('6. Base de Custos'!$P$8:$P$42,MATCH(C358,'6. Base de Custos'!$L$8:$L$42,0)),"Revisar"))</f>
        <v/>
      </c>
      <c r="Q358" s="59">
        <f>IF(C358="","",IFERROR(INDEX('6. Base de Custos'!$Q$8:$Q$42,MATCH(C358,'6. Base de Custos'!$L$8:$L$42,0)),""))</f>
        <v/>
      </c>
      <c r="R358" s="65">
        <f>IF(C358="","",IFERROR(VLOOKUP(M358&amp;"|"&amp;N358,'17. Mapa DRE CP'!$E$5:$H$100,2,FALSE),"Revisar"))</f>
        <v/>
      </c>
      <c r="S358" s="65">
        <f>IF(C358="","",IFERROR(VLOOKUP(M358&amp;"|"&amp;N358,'17. Mapa DRE CP'!$E$5:$H$100,3,FALSE),"Revisar"))</f>
        <v/>
      </c>
      <c r="T358" s="65">
        <f>IF(C358="","",IF(R358="(-) Custos diretos dos serviços",IF(ISNUMBER(SEARCH("PCMSO",C358)),"PCMSO",IF(OR(ISNUMBER(SEARCH("SGS",C358)),ISNUMBER(SEARCH("CASTRO NAVES",C358))),"Projetos / Laudos / Avulsos","Projetos / Laudos / Avulsos")),"Rateio pela receita bruta"))</f>
        <v/>
      </c>
      <c r="U358" s="65">
        <f>IF(C358="","",IF(R358="(-) Custos diretos dos serviços","Direto por fornecedor/natureza do gasto","Rateio proporcional à receita bruta da linha de serviço"))</f>
        <v/>
      </c>
    </row>
    <row r="359">
      <c r="A359" s="28">
        <f>IF(C359="","", "CP-"&amp;TEXT(ROW()-5,"000"))</f>
        <v/>
      </c>
      <c r="B359" s="27">
        <f>IF(F359="","",DATE(YEAR(F359),MONTH(F359),1))</f>
        <v/>
      </c>
      <c r="C359" s="28" t="n"/>
      <c r="D359" s="28" t="n"/>
      <c r="E359" s="59">
        <f>IF(C359="","",IFERROR(INDEX('6. Base de Custos'!$M$8:$M$42,MATCH(C359,'6. Base de Custos'!$L$8:$L$42,0)),"Não classificado"))</f>
        <v/>
      </c>
      <c r="F359" s="111" t="n"/>
      <c r="G359" s="111" t="n"/>
      <c r="H359" s="111" t="n"/>
      <c r="I359" s="45" t="n"/>
      <c r="J359" s="28" t="n"/>
      <c r="K359" s="28" t="n"/>
      <c r="L359" s="28" t="n"/>
      <c r="M359" s="59">
        <f>IF(C359="","",IFERROR(INDEX('6. Base de Custos'!$N$8:$N$42,MATCH(C359,'6. Base de Custos'!$L$8:$L$42,0)),"Não classificado"))</f>
        <v/>
      </c>
      <c r="N359" s="59">
        <f>IF(C359="","",IFERROR(INDEX('6. Base de Custos'!$O$8:$O$42,MATCH(C359,'6. Base de Custos'!$L$8:$L$42,0)),"Revisar"))</f>
        <v/>
      </c>
      <c r="O359" s="60">
        <f>IF(M359="","",IFERROR(VLOOKUP(M359,'6. Base de Custos'!$H$12:$J$18,3,FALSE),0))</f>
        <v/>
      </c>
      <c r="P359" s="59">
        <f>IF(C359="","",IFERROR(INDEX('6. Base de Custos'!$P$8:$P$42,MATCH(C359,'6. Base de Custos'!$L$8:$L$42,0)),"Revisar"))</f>
        <v/>
      </c>
      <c r="Q359" s="59">
        <f>IF(C359="","",IFERROR(INDEX('6. Base de Custos'!$Q$8:$Q$42,MATCH(C359,'6. Base de Custos'!$L$8:$L$42,0)),""))</f>
        <v/>
      </c>
      <c r="R359" s="65">
        <f>IF(C359="","",IFERROR(VLOOKUP(M359&amp;"|"&amp;N359,'17. Mapa DRE CP'!$E$5:$H$100,2,FALSE),"Revisar"))</f>
        <v/>
      </c>
      <c r="S359" s="65">
        <f>IF(C359="","",IFERROR(VLOOKUP(M359&amp;"|"&amp;N359,'17. Mapa DRE CP'!$E$5:$H$100,3,FALSE),"Revisar"))</f>
        <v/>
      </c>
      <c r="T359" s="65">
        <f>IF(C359="","",IF(R359="(-) Custos diretos dos serviços",IF(ISNUMBER(SEARCH("PCMSO",C359)),"PCMSO",IF(OR(ISNUMBER(SEARCH("SGS",C359)),ISNUMBER(SEARCH("CASTRO NAVES",C359))),"Projetos / Laudos / Avulsos","Projetos / Laudos / Avulsos")),"Rateio pela receita bruta"))</f>
        <v/>
      </c>
      <c r="U359" s="65">
        <f>IF(C359="","",IF(R359="(-) Custos diretos dos serviços","Direto por fornecedor/natureza do gasto","Rateio proporcional à receita bruta da linha de serviço"))</f>
        <v/>
      </c>
    </row>
    <row r="360">
      <c r="A360" s="28">
        <f>IF(C360="","", "CP-"&amp;TEXT(ROW()-5,"000"))</f>
        <v/>
      </c>
      <c r="B360" s="27">
        <f>IF(F360="","",DATE(YEAR(F360),MONTH(F360),1))</f>
        <v/>
      </c>
      <c r="C360" s="28" t="n"/>
      <c r="D360" s="28" t="n"/>
      <c r="E360" s="59">
        <f>IF(C360="","",IFERROR(INDEX('6. Base de Custos'!$M$8:$M$42,MATCH(C360,'6. Base de Custos'!$L$8:$L$42,0)),"Não classificado"))</f>
        <v/>
      </c>
      <c r="F360" s="111" t="n"/>
      <c r="G360" s="111" t="n"/>
      <c r="H360" s="111" t="n"/>
      <c r="I360" s="45" t="n"/>
      <c r="J360" s="28" t="n"/>
      <c r="K360" s="28" t="n"/>
      <c r="L360" s="28" t="n"/>
      <c r="M360" s="59">
        <f>IF(C360="","",IFERROR(INDEX('6. Base de Custos'!$N$8:$N$42,MATCH(C360,'6. Base de Custos'!$L$8:$L$42,0)),"Não classificado"))</f>
        <v/>
      </c>
      <c r="N360" s="59">
        <f>IF(C360="","",IFERROR(INDEX('6. Base de Custos'!$O$8:$O$42,MATCH(C360,'6. Base de Custos'!$L$8:$L$42,0)),"Revisar"))</f>
        <v/>
      </c>
      <c r="O360" s="60">
        <f>IF(M360="","",IFERROR(VLOOKUP(M360,'6. Base de Custos'!$H$12:$J$18,3,FALSE),0))</f>
        <v/>
      </c>
      <c r="P360" s="59">
        <f>IF(C360="","",IFERROR(INDEX('6. Base de Custos'!$P$8:$P$42,MATCH(C360,'6. Base de Custos'!$L$8:$L$42,0)),"Revisar"))</f>
        <v/>
      </c>
      <c r="Q360" s="59">
        <f>IF(C360="","",IFERROR(INDEX('6. Base de Custos'!$Q$8:$Q$42,MATCH(C360,'6. Base de Custos'!$L$8:$L$42,0)),""))</f>
        <v/>
      </c>
      <c r="R360" s="65">
        <f>IF(C360="","",IFERROR(VLOOKUP(M360&amp;"|"&amp;N360,'17. Mapa DRE CP'!$E$5:$H$100,2,FALSE),"Revisar"))</f>
        <v/>
      </c>
      <c r="S360" s="65">
        <f>IF(C360="","",IFERROR(VLOOKUP(M360&amp;"|"&amp;N360,'17. Mapa DRE CP'!$E$5:$H$100,3,FALSE),"Revisar"))</f>
        <v/>
      </c>
      <c r="T360" s="65">
        <f>IF(C360="","",IF(R360="(-) Custos diretos dos serviços",IF(ISNUMBER(SEARCH("PCMSO",C360)),"PCMSO",IF(OR(ISNUMBER(SEARCH("SGS",C360)),ISNUMBER(SEARCH("CASTRO NAVES",C360))),"Projetos / Laudos / Avulsos","Projetos / Laudos / Avulsos")),"Rateio pela receita bruta"))</f>
        <v/>
      </c>
      <c r="U360" s="65">
        <f>IF(C360="","",IF(R360="(-) Custos diretos dos serviços","Direto por fornecedor/natureza do gasto","Rateio proporcional à receita bruta da linha de serviço"))</f>
        <v/>
      </c>
    </row>
    <row r="361">
      <c r="A361" s="28">
        <f>IF(C361="","", "CP-"&amp;TEXT(ROW()-5,"000"))</f>
        <v/>
      </c>
      <c r="B361" s="27">
        <f>IF(F361="","",DATE(YEAR(F361),MONTH(F361),1))</f>
        <v/>
      </c>
      <c r="C361" s="28" t="n"/>
      <c r="D361" s="28" t="n"/>
      <c r="E361" s="59">
        <f>IF(C361="","",IFERROR(INDEX('6. Base de Custos'!$M$8:$M$42,MATCH(C361,'6. Base de Custos'!$L$8:$L$42,0)),"Não classificado"))</f>
        <v/>
      </c>
      <c r="F361" s="111" t="n"/>
      <c r="G361" s="111" t="n"/>
      <c r="H361" s="111" t="n"/>
      <c r="I361" s="45" t="n"/>
      <c r="J361" s="28" t="n"/>
      <c r="K361" s="28" t="n"/>
      <c r="L361" s="28" t="n"/>
      <c r="M361" s="59">
        <f>IF(C361="","",IFERROR(INDEX('6. Base de Custos'!$N$8:$N$42,MATCH(C361,'6. Base de Custos'!$L$8:$L$42,0)),"Não classificado"))</f>
        <v/>
      </c>
      <c r="N361" s="59">
        <f>IF(C361="","",IFERROR(INDEX('6. Base de Custos'!$O$8:$O$42,MATCH(C361,'6. Base de Custos'!$L$8:$L$42,0)),"Revisar"))</f>
        <v/>
      </c>
      <c r="O361" s="60">
        <f>IF(M361="","",IFERROR(VLOOKUP(M361,'6. Base de Custos'!$H$12:$J$18,3,FALSE),0))</f>
        <v/>
      </c>
      <c r="P361" s="59">
        <f>IF(C361="","",IFERROR(INDEX('6. Base de Custos'!$P$8:$P$42,MATCH(C361,'6. Base de Custos'!$L$8:$L$42,0)),"Revisar"))</f>
        <v/>
      </c>
      <c r="Q361" s="59">
        <f>IF(C361="","",IFERROR(INDEX('6. Base de Custos'!$Q$8:$Q$42,MATCH(C361,'6. Base de Custos'!$L$8:$L$42,0)),""))</f>
        <v/>
      </c>
      <c r="R361" s="65">
        <f>IF(C361="","",IFERROR(VLOOKUP(M361&amp;"|"&amp;N361,'17. Mapa DRE CP'!$E$5:$H$100,2,FALSE),"Revisar"))</f>
        <v/>
      </c>
      <c r="S361" s="65">
        <f>IF(C361="","",IFERROR(VLOOKUP(M361&amp;"|"&amp;N361,'17. Mapa DRE CP'!$E$5:$H$100,3,FALSE),"Revisar"))</f>
        <v/>
      </c>
      <c r="T361" s="65">
        <f>IF(C361="","",IF(R361="(-) Custos diretos dos serviços",IF(ISNUMBER(SEARCH("PCMSO",C361)),"PCMSO",IF(OR(ISNUMBER(SEARCH("SGS",C361)),ISNUMBER(SEARCH("CASTRO NAVES",C361))),"Projetos / Laudos / Avulsos","Projetos / Laudos / Avulsos")),"Rateio pela receita bruta"))</f>
        <v/>
      </c>
      <c r="U361" s="65">
        <f>IF(C361="","",IF(R361="(-) Custos diretos dos serviços","Direto por fornecedor/natureza do gasto","Rateio proporcional à receita bruta da linha de serviço"))</f>
        <v/>
      </c>
    </row>
    <row r="362">
      <c r="A362" s="28">
        <f>IF(C362="","", "CP-"&amp;TEXT(ROW()-5,"000"))</f>
        <v/>
      </c>
      <c r="B362" s="27">
        <f>IF(F362="","",DATE(YEAR(F362),MONTH(F362),1))</f>
        <v/>
      </c>
      <c r="C362" s="28" t="n"/>
      <c r="D362" s="28" t="n"/>
      <c r="E362" s="59">
        <f>IF(C362="","",IFERROR(INDEX('6. Base de Custos'!$M$8:$M$42,MATCH(C362,'6. Base de Custos'!$L$8:$L$42,0)),"Não classificado"))</f>
        <v/>
      </c>
      <c r="F362" s="111" t="n"/>
      <c r="G362" s="111" t="n"/>
      <c r="H362" s="111" t="n"/>
      <c r="I362" s="45" t="n"/>
      <c r="J362" s="28" t="n"/>
      <c r="K362" s="28" t="n"/>
      <c r="L362" s="28" t="n"/>
      <c r="M362" s="59">
        <f>IF(C362="","",IFERROR(INDEX('6. Base de Custos'!$N$8:$N$42,MATCH(C362,'6. Base de Custos'!$L$8:$L$42,0)),"Não classificado"))</f>
        <v/>
      </c>
      <c r="N362" s="59">
        <f>IF(C362="","",IFERROR(INDEX('6. Base de Custos'!$O$8:$O$42,MATCH(C362,'6. Base de Custos'!$L$8:$L$42,0)),"Revisar"))</f>
        <v/>
      </c>
      <c r="O362" s="60">
        <f>IF(M362="","",IFERROR(VLOOKUP(M362,'6. Base de Custos'!$H$12:$J$18,3,FALSE),0))</f>
        <v/>
      </c>
      <c r="P362" s="59">
        <f>IF(C362="","",IFERROR(INDEX('6. Base de Custos'!$P$8:$P$42,MATCH(C362,'6. Base de Custos'!$L$8:$L$42,0)),"Revisar"))</f>
        <v/>
      </c>
      <c r="Q362" s="59">
        <f>IF(C362="","",IFERROR(INDEX('6. Base de Custos'!$Q$8:$Q$42,MATCH(C362,'6. Base de Custos'!$L$8:$L$42,0)),""))</f>
        <v/>
      </c>
      <c r="R362" s="65">
        <f>IF(C362="","",IFERROR(VLOOKUP(M362&amp;"|"&amp;N362,'17. Mapa DRE CP'!$E$5:$H$100,2,FALSE),"Revisar"))</f>
        <v/>
      </c>
      <c r="S362" s="65">
        <f>IF(C362="","",IFERROR(VLOOKUP(M362&amp;"|"&amp;N362,'17. Mapa DRE CP'!$E$5:$H$100,3,FALSE),"Revisar"))</f>
        <v/>
      </c>
      <c r="T362" s="65">
        <f>IF(C362="","",IF(R362="(-) Custos diretos dos serviços",IF(ISNUMBER(SEARCH("PCMSO",C362)),"PCMSO",IF(OR(ISNUMBER(SEARCH("SGS",C362)),ISNUMBER(SEARCH("CASTRO NAVES",C362))),"Projetos / Laudos / Avulsos","Projetos / Laudos / Avulsos")),"Rateio pela receita bruta"))</f>
        <v/>
      </c>
      <c r="U362" s="65">
        <f>IF(C362="","",IF(R362="(-) Custos diretos dos serviços","Direto por fornecedor/natureza do gasto","Rateio proporcional à receita bruta da linha de serviço"))</f>
        <v/>
      </c>
    </row>
    <row r="363">
      <c r="A363" s="28">
        <f>IF(C363="","", "CP-"&amp;TEXT(ROW()-5,"000"))</f>
        <v/>
      </c>
      <c r="B363" s="27">
        <f>IF(F363="","",DATE(YEAR(F363),MONTH(F363),1))</f>
        <v/>
      </c>
      <c r="C363" s="28" t="n"/>
      <c r="D363" s="28" t="n"/>
      <c r="E363" s="59">
        <f>IF(C363="","",IFERROR(INDEX('6. Base de Custos'!$M$8:$M$42,MATCH(C363,'6. Base de Custos'!$L$8:$L$42,0)),"Não classificado"))</f>
        <v/>
      </c>
      <c r="F363" s="111" t="n"/>
      <c r="G363" s="111" t="n"/>
      <c r="H363" s="111" t="n"/>
      <c r="I363" s="45" t="n"/>
      <c r="J363" s="28" t="n"/>
      <c r="K363" s="28" t="n"/>
      <c r="L363" s="28" t="n"/>
      <c r="M363" s="59">
        <f>IF(C363="","",IFERROR(INDEX('6. Base de Custos'!$N$8:$N$42,MATCH(C363,'6. Base de Custos'!$L$8:$L$42,0)),"Não classificado"))</f>
        <v/>
      </c>
      <c r="N363" s="59">
        <f>IF(C363="","",IFERROR(INDEX('6. Base de Custos'!$O$8:$O$42,MATCH(C363,'6. Base de Custos'!$L$8:$L$42,0)),"Revisar"))</f>
        <v/>
      </c>
      <c r="O363" s="60">
        <f>IF(M363="","",IFERROR(VLOOKUP(M363,'6. Base de Custos'!$H$12:$J$18,3,FALSE),0))</f>
        <v/>
      </c>
      <c r="P363" s="59">
        <f>IF(C363="","",IFERROR(INDEX('6. Base de Custos'!$P$8:$P$42,MATCH(C363,'6. Base de Custos'!$L$8:$L$42,0)),"Revisar"))</f>
        <v/>
      </c>
      <c r="Q363" s="59">
        <f>IF(C363="","",IFERROR(INDEX('6. Base de Custos'!$Q$8:$Q$42,MATCH(C363,'6. Base de Custos'!$L$8:$L$42,0)),""))</f>
        <v/>
      </c>
      <c r="R363" s="65">
        <f>IF(C363="","",IFERROR(VLOOKUP(M363&amp;"|"&amp;N363,'17. Mapa DRE CP'!$E$5:$H$100,2,FALSE),"Revisar"))</f>
        <v/>
      </c>
      <c r="S363" s="65">
        <f>IF(C363="","",IFERROR(VLOOKUP(M363&amp;"|"&amp;N363,'17. Mapa DRE CP'!$E$5:$H$100,3,FALSE),"Revisar"))</f>
        <v/>
      </c>
      <c r="T363" s="65">
        <f>IF(C363="","",IF(R363="(-) Custos diretos dos serviços",IF(ISNUMBER(SEARCH("PCMSO",C363)),"PCMSO",IF(OR(ISNUMBER(SEARCH("SGS",C363)),ISNUMBER(SEARCH("CASTRO NAVES",C363))),"Projetos / Laudos / Avulsos","Projetos / Laudos / Avulsos")),"Rateio pela receita bruta"))</f>
        <v/>
      </c>
      <c r="U363" s="65">
        <f>IF(C363="","",IF(R363="(-) Custos diretos dos serviços","Direto por fornecedor/natureza do gasto","Rateio proporcional à receita bruta da linha de serviço"))</f>
        <v/>
      </c>
    </row>
    <row r="364">
      <c r="A364" s="28">
        <f>IF(C364="","", "CP-"&amp;TEXT(ROW()-5,"000"))</f>
        <v/>
      </c>
      <c r="B364" s="27">
        <f>IF(F364="","",DATE(YEAR(F364),MONTH(F364),1))</f>
        <v/>
      </c>
      <c r="C364" s="28" t="n"/>
      <c r="D364" s="28" t="n"/>
      <c r="E364" s="59">
        <f>IF(C364="","",IFERROR(INDEX('6. Base de Custos'!$M$8:$M$42,MATCH(C364,'6. Base de Custos'!$L$8:$L$42,0)),"Não classificado"))</f>
        <v/>
      </c>
      <c r="F364" s="111" t="n"/>
      <c r="G364" s="111" t="n"/>
      <c r="H364" s="111" t="n"/>
      <c r="I364" s="45" t="n"/>
      <c r="J364" s="28" t="n"/>
      <c r="K364" s="28" t="n"/>
      <c r="L364" s="28" t="n"/>
      <c r="M364" s="59">
        <f>IF(C364="","",IFERROR(INDEX('6. Base de Custos'!$N$8:$N$42,MATCH(C364,'6. Base de Custos'!$L$8:$L$42,0)),"Não classificado"))</f>
        <v/>
      </c>
      <c r="N364" s="59">
        <f>IF(C364="","",IFERROR(INDEX('6. Base de Custos'!$O$8:$O$42,MATCH(C364,'6. Base de Custos'!$L$8:$L$42,0)),"Revisar"))</f>
        <v/>
      </c>
      <c r="O364" s="60">
        <f>IF(M364="","",IFERROR(VLOOKUP(M364,'6. Base de Custos'!$H$12:$J$18,3,FALSE),0))</f>
        <v/>
      </c>
      <c r="P364" s="59">
        <f>IF(C364="","",IFERROR(INDEX('6. Base de Custos'!$P$8:$P$42,MATCH(C364,'6. Base de Custos'!$L$8:$L$42,0)),"Revisar"))</f>
        <v/>
      </c>
      <c r="Q364" s="59">
        <f>IF(C364="","",IFERROR(INDEX('6. Base de Custos'!$Q$8:$Q$42,MATCH(C364,'6. Base de Custos'!$L$8:$L$42,0)),""))</f>
        <v/>
      </c>
      <c r="R364" s="65">
        <f>IF(C364="","",IFERROR(VLOOKUP(M364&amp;"|"&amp;N364,'17. Mapa DRE CP'!$E$5:$H$100,2,FALSE),"Revisar"))</f>
        <v/>
      </c>
      <c r="S364" s="65">
        <f>IF(C364="","",IFERROR(VLOOKUP(M364&amp;"|"&amp;N364,'17. Mapa DRE CP'!$E$5:$H$100,3,FALSE),"Revisar"))</f>
        <v/>
      </c>
      <c r="T364" s="65">
        <f>IF(C364="","",IF(R364="(-) Custos diretos dos serviços",IF(ISNUMBER(SEARCH("PCMSO",C364)),"PCMSO",IF(OR(ISNUMBER(SEARCH("SGS",C364)),ISNUMBER(SEARCH("CASTRO NAVES",C364))),"Projetos / Laudos / Avulsos","Projetos / Laudos / Avulsos")),"Rateio pela receita bruta"))</f>
        <v/>
      </c>
      <c r="U364" s="65">
        <f>IF(C364="","",IF(R364="(-) Custos diretos dos serviços","Direto por fornecedor/natureza do gasto","Rateio proporcional à receita bruta da linha de serviço"))</f>
        <v/>
      </c>
    </row>
    <row r="365">
      <c r="A365" s="28">
        <f>IF(C365="","", "CP-"&amp;TEXT(ROW()-5,"000"))</f>
        <v/>
      </c>
      <c r="B365" s="27">
        <f>IF(F365="","",DATE(YEAR(F365),MONTH(F365),1))</f>
        <v/>
      </c>
      <c r="C365" s="28" t="n"/>
      <c r="D365" s="28" t="n"/>
      <c r="E365" s="59">
        <f>IF(C365="","",IFERROR(INDEX('6. Base de Custos'!$M$8:$M$42,MATCH(C365,'6. Base de Custos'!$L$8:$L$42,0)),"Não classificado"))</f>
        <v/>
      </c>
      <c r="F365" s="111" t="n"/>
      <c r="G365" s="111" t="n"/>
      <c r="H365" s="111" t="n"/>
      <c r="I365" s="45" t="n"/>
      <c r="J365" s="28" t="n"/>
      <c r="K365" s="28" t="n"/>
      <c r="L365" s="28" t="n"/>
      <c r="M365" s="59">
        <f>IF(C365="","",IFERROR(INDEX('6. Base de Custos'!$N$8:$N$42,MATCH(C365,'6. Base de Custos'!$L$8:$L$42,0)),"Não classificado"))</f>
        <v/>
      </c>
      <c r="N365" s="59">
        <f>IF(C365="","",IFERROR(INDEX('6. Base de Custos'!$O$8:$O$42,MATCH(C365,'6. Base de Custos'!$L$8:$L$42,0)),"Revisar"))</f>
        <v/>
      </c>
      <c r="O365" s="60">
        <f>IF(M365="","",IFERROR(VLOOKUP(M365,'6. Base de Custos'!$H$12:$J$18,3,FALSE),0))</f>
        <v/>
      </c>
      <c r="P365" s="59">
        <f>IF(C365="","",IFERROR(INDEX('6. Base de Custos'!$P$8:$P$42,MATCH(C365,'6. Base de Custos'!$L$8:$L$42,0)),"Revisar"))</f>
        <v/>
      </c>
      <c r="Q365" s="59">
        <f>IF(C365="","",IFERROR(INDEX('6. Base de Custos'!$Q$8:$Q$42,MATCH(C365,'6. Base de Custos'!$L$8:$L$42,0)),""))</f>
        <v/>
      </c>
      <c r="R365" s="65">
        <f>IF(C365="","",IFERROR(VLOOKUP(M365&amp;"|"&amp;N365,'17. Mapa DRE CP'!$E$5:$H$100,2,FALSE),"Revisar"))</f>
        <v/>
      </c>
      <c r="S365" s="65">
        <f>IF(C365="","",IFERROR(VLOOKUP(M365&amp;"|"&amp;N365,'17. Mapa DRE CP'!$E$5:$H$100,3,FALSE),"Revisar"))</f>
        <v/>
      </c>
      <c r="T365" s="65">
        <f>IF(C365="","",IF(R365="(-) Custos diretos dos serviços",IF(ISNUMBER(SEARCH("PCMSO",C365)),"PCMSO",IF(OR(ISNUMBER(SEARCH("SGS",C365)),ISNUMBER(SEARCH("CASTRO NAVES",C365))),"Projetos / Laudos / Avulsos","Projetos / Laudos / Avulsos")),"Rateio pela receita bruta"))</f>
        <v/>
      </c>
      <c r="U365" s="65">
        <f>IF(C365="","",IF(R365="(-) Custos diretos dos serviços","Direto por fornecedor/natureza do gasto","Rateio proporcional à receita bruta da linha de serviço"))</f>
        <v/>
      </c>
    </row>
    <row r="366">
      <c r="A366" s="28">
        <f>IF(C366="","", "CP-"&amp;TEXT(ROW()-5,"000"))</f>
        <v/>
      </c>
      <c r="B366" s="27">
        <f>IF(F366="","",DATE(YEAR(F366),MONTH(F366),1))</f>
        <v/>
      </c>
      <c r="C366" s="28" t="n"/>
      <c r="D366" s="28" t="n"/>
      <c r="E366" s="59">
        <f>IF(C366="","",IFERROR(INDEX('6. Base de Custos'!$M$8:$M$42,MATCH(C366,'6. Base de Custos'!$L$8:$L$42,0)),"Não classificado"))</f>
        <v/>
      </c>
      <c r="F366" s="111" t="n"/>
      <c r="G366" s="111" t="n"/>
      <c r="H366" s="111" t="n"/>
      <c r="I366" s="45" t="n"/>
      <c r="J366" s="28" t="n"/>
      <c r="K366" s="28" t="n"/>
      <c r="L366" s="28" t="n"/>
      <c r="M366" s="59">
        <f>IF(C366="","",IFERROR(INDEX('6. Base de Custos'!$N$8:$N$42,MATCH(C366,'6. Base de Custos'!$L$8:$L$42,0)),"Não classificado"))</f>
        <v/>
      </c>
      <c r="N366" s="59">
        <f>IF(C366="","",IFERROR(INDEX('6. Base de Custos'!$O$8:$O$42,MATCH(C366,'6. Base de Custos'!$L$8:$L$42,0)),"Revisar"))</f>
        <v/>
      </c>
      <c r="O366" s="60">
        <f>IF(M366="","",IFERROR(VLOOKUP(M366,'6. Base de Custos'!$H$12:$J$18,3,FALSE),0))</f>
        <v/>
      </c>
      <c r="P366" s="59">
        <f>IF(C366="","",IFERROR(INDEX('6. Base de Custos'!$P$8:$P$42,MATCH(C366,'6. Base de Custos'!$L$8:$L$42,0)),"Revisar"))</f>
        <v/>
      </c>
      <c r="Q366" s="59">
        <f>IF(C366="","",IFERROR(INDEX('6. Base de Custos'!$Q$8:$Q$42,MATCH(C366,'6. Base de Custos'!$L$8:$L$42,0)),""))</f>
        <v/>
      </c>
      <c r="R366" s="65">
        <f>IF(C366="","",IFERROR(VLOOKUP(M366&amp;"|"&amp;N366,'17. Mapa DRE CP'!$E$5:$H$100,2,FALSE),"Revisar"))</f>
        <v/>
      </c>
      <c r="S366" s="65">
        <f>IF(C366="","",IFERROR(VLOOKUP(M366&amp;"|"&amp;N366,'17. Mapa DRE CP'!$E$5:$H$100,3,FALSE),"Revisar"))</f>
        <v/>
      </c>
      <c r="T366" s="65">
        <f>IF(C366="","",IF(R366="(-) Custos diretos dos serviços",IF(ISNUMBER(SEARCH("PCMSO",C366)),"PCMSO",IF(OR(ISNUMBER(SEARCH("SGS",C366)),ISNUMBER(SEARCH("CASTRO NAVES",C366))),"Projetos / Laudos / Avulsos","Projetos / Laudos / Avulsos")),"Rateio pela receita bruta"))</f>
        <v/>
      </c>
      <c r="U366" s="65">
        <f>IF(C366="","",IF(R366="(-) Custos diretos dos serviços","Direto por fornecedor/natureza do gasto","Rateio proporcional à receita bruta da linha de serviço"))</f>
        <v/>
      </c>
    </row>
    <row r="367">
      <c r="A367" s="28">
        <f>IF(C367="","", "CP-"&amp;TEXT(ROW()-5,"000"))</f>
        <v/>
      </c>
      <c r="B367" s="27">
        <f>IF(F367="","",DATE(YEAR(F367),MONTH(F367),1))</f>
        <v/>
      </c>
      <c r="C367" s="28" t="n"/>
      <c r="D367" s="28" t="n"/>
      <c r="E367" s="59">
        <f>IF(C367="","",IFERROR(INDEX('6. Base de Custos'!$M$8:$M$42,MATCH(C367,'6. Base de Custos'!$L$8:$L$42,0)),"Não classificado"))</f>
        <v/>
      </c>
      <c r="F367" s="111" t="n"/>
      <c r="G367" s="111" t="n"/>
      <c r="H367" s="111" t="n"/>
      <c r="I367" s="45" t="n"/>
      <c r="J367" s="28" t="n"/>
      <c r="K367" s="28" t="n"/>
      <c r="L367" s="28" t="n"/>
      <c r="M367" s="59">
        <f>IF(C367="","",IFERROR(INDEX('6. Base de Custos'!$N$8:$N$42,MATCH(C367,'6. Base de Custos'!$L$8:$L$42,0)),"Não classificado"))</f>
        <v/>
      </c>
      <c r="N367" s="59">
        <f>IF(C367="","",IFERROR(INDEX('6. Base de Custos'!$O$8:$O$42,MATCH(C367,'6. Base de Custos'!$L$8:$L$42,0)),"Revisar"))</f>
        <v/>
      </c>
      <c r="O367" s="60">
        <f>IF(M367="","",IFERROR(VLOOKUP(M367,'6. Base de Custos'!$H$12:$J$18,3,FALSE),0))</f>
        <v/>
      </c>
      <c r="P367" s="59">
        <f>IF(C367="","",IFERROR(INDEX('6. Base de Custos'!$P$8:$P$42,MATCH(C367,'6. Base de Custos'!$L$8:$L$42,0)),"Revisar"))</f>
        <v/>
      </c>
      <c r="Q367" s="59">
        <f>IF(C367="","",IFERROR(INDEX('6. Base de Custos'!$Q$8:$Q$42,MATCH(C367,'6. Base de Custos'!$L$8:$L$42,0)),""))</f>
        <v/>
      </c>
      <c r="R367" s="65">
        <f>IF(C367="","",IFERROR(VLOOKUP(M367&amp;"|"&amp;N367,'17. Mapa DRE CP'!$E$5:$H$100,2,FALSE),"Revisar"))</f>
        <v/>
      </c>
      <c r="S367" s="65">
        <f>IF(C367="","",IFERROR(VLOOKUP(M367&amp;"|"&amp;N367,'17. Mapa DRE CP'!$E$5:$H$100,3,FALSE),"Revisar"))</f>
        <v/>
      </c>
      <c r="T367" s="65">
        <f>IF(C367="","",IF(R367="(-) Custos diretos dos serviços",IF(ISNUMBER(SEARCH("PCMSO",C367)),"PCMSO",IF(OR(ISNUMBER(SEARCH("SGS",C367)),ISNUMBER(SEARCH("CASTRO NAVES",C367))),"Projetos / Laudos / Avulsos","Projetos / Laudos / Avulsos")),"Rateio pela receita bruta"))</f>
        <v/>
      </c>
      <c r="U367" s="65">
        <f>IF(C367="","",IF(R367="(-) Custos diretos dos serviços","Direto por fornecedor/natureza do gasto","Rateio proporcional à receita bruta da linha de serviço"))</f>
        <v/>
      </c>
    </row>
    <row r="368">
      <c r="A368" s="28">
        <f>IF(C368="","", "CP-"&amp;TEXT(ROW()-5,"000"))</f>
        <v/>
      </c>
      <c r="B368" s="27">
        <f>IF(F368="","",DATE(YEAR(F368),MONTH(F368),1))</f>
        <v/>
      </c>
      <c r="C368" s="28" t="n"/>
      <c r="D368" s="28" t="n"/>
      <c r="E368" s="59">
        <f>IF(C368="","",IFERROR(INDEX('6. Base de Custos'!$M$8:$M$42,MATCH(C368,'6. Base de Custos'!$L$8:$L$42,0)),"Não classificado"))</f>
        <v/>
      </c>
      <c r="F368" s="111" t="n"/>
      <c r="G368" s="111" t="n"/>
      <c r="H368" s="111" t="n"/>
      <c r="I368" s="45" t="n"/>
      <c r="J368" s="28" t="n"/>
      <c r="K368" s="28" t="n"/>
      <c r="L368" s="28" t="n"/>
      <c r="M368" s="59">
        <f>IF(C368="","",IFERROR(INDEX('6. Base de Custos'!$N$8:$N$42,MATCH(C368,'6. Base de Custos'!$L$8:$L$42,0)),"Não classificado"))</f>
        <v/>
      </c>
      <c r="N368" s="59">
        <f>IF(C368="","",IFERROR(INDEX('6. Base de Custos'!$O$8:$O$42,MATCH(C368,'6. Base de Custos'!$L$8:$L$42,0)),"Revisar"))</f>
        <v/>
      </c>
      <c r="O368" s="60">
        <f>IF(M368="","",IFERROR(VLOOKUP(M368,'6. Base de Custos'!$H$12:$J$18,3,FALSE),0))</f>
        <v/>
      </c>
      <c r="P368" s="59">
        <f>IF(C368="","",IFERROR(INDEX('6. Base de Custos'!$P$8:$P$42,MATCH(C368,'6. Base de Custos'!$L$8:$L$42,0)),"Revisar"))</f>
        <v/>
      </c>
      <c r="Q368" s="59">
        <f>IF(C368="","",IFERROR(INDEX('6. Base de Custos'!$Q$8:$Q$42,MATCH(C368,'6. Base de Custos'!$L$8:$L$42,0)),""))</f>
        <v/>
      </c>
      <c r="R368" s="65">
        <f>IF(C368="","",IFERROR(VLOOKUP(M368&amp;"|"&amp;N368,'17. Mapa DRE CP'!$E$5:$H$100,2,FALSE),"Revisar"))</f>
        <v/>
      </c>
      <c r="S368" s="65">
        <f>IF(C368="","",IFERROR(VLOOKUP(M368&amp;"|"&amp;N368,'17. Mapa DRE CP'!$E$5:$H$100,3,FALSE),"Revisar"))</f>
        <v/>
      </c>
      <c r="T368" s="65">
        <f>IF(C368="","",IF(R368="(-) Custos diretos dos serviços",IF(ISNUMBER(SEARCH("PCMSO",C368)),"PCMSO",IF(OR(ISNUMBER(SEARCH("SGS",C368)),ISNUMBER(SEARCH("CASTRO NAVES",C368))),"Projetos / Laudos / Avulsos","Projetos / Laudos / Avulsos")),"Rateio pela receita bruta"))</f>
        <v/>
      </c>
      <c r="U368" s="65">
        <f>IF(C368="","",IF(R368="(-) Custos diretos dos serviços","Direto por fornecedor/natureza do gasto","Rateio proporcional à receita bruta da linha de serviço"))</f>
        <v/>
      </c>
    </row>
    <row r="369">
      <c r="A369" s="28">
        <f>IF(C369="","", "CP-"&amp;TEXT(ROW()-5,"000"))</f>
        <v/>
      </c>
      <c r="B369" s="27">
        <f>IF(F369="","",DATE(YEAR(F369),MONTH(F369),1))</f>
        <v/>
      </c>
      <c r="C369" s="28" t="n"/>
      <c r="D369" s="28" t="n"/>
      <c r="E369" s="59">
        <f>IF(C369="","",IFERROR(INDEX('6. Base de Custos'!$M$8:$M$42,MATCH(C369,'6. Base de Custos'!$L$8:$L$42,0)),"Não classificado"))</f>
        <v/>
      </c>
      <c r="F369" s="111" t="n"/>
      <c r="G369" s="111" t="n"/>
      <c r="H369" s="111" t="n"/>
      <c r="I369" s="45" t="n"/>
      <c r="J369" s="28" t="n"/>
      <c r="K369" s="28" t="n"/>
      <c r="L369" s="28" t="n"/>
      <c r="M369" s="59">
        <f>IF(C369="","",IFERROR(INDEX('6. Base de Custos'!$N$8:$N$42,MATCH(C369,'6. Base de Custos'!$L$8:$L$42,0)),"Não classificado"))</f>
        <v/>
      </c>
      <c r="N369" s="59">
        <f>IF(C369="","",IFERROR(INDEX('6. Base de Custos'!$O$8:$O$42,MATCH(C369,'6. Base de Custos'!$L$8:$L$42,0)),"Revisar"))</f>
        <v/>
      </c>
      <c r="O369" s="60">
        <f>IF(M369="","",IFERROR(VLOOKUP(M369,'6. Base de Custos'!$H$12:$J$18,3,FALSE),0))</f>
        <v/>
      </c>
      <c r="P369" s="59">
        <f>IF(C369="","",IFERROR(INDEX('6. Base de Custos'!$P$8:$P$42,MATCH(C369,'6. Base de Custos'!$L$8:$L$42,0)),"Revisar"))</f>
        <v/>
      </c>
      <c r="Q369" s="59">
        <f>IF(C369="","",IFERROR(INDEX('6. Base de Custos'!$Q$8:$Q$42,MATCH(C369,'6. Base de Custos'!$L$8:$L$42,0)),""))</f>
        <v/>
      </c>
      <c r="R369" s="65">
        <f>IF(C369="","",IFERROR(VLOOKUP(M369&amp;"|"&amp;N369,'17. Mapa DRE CP'!$E$5:$H$100,2,FALSE),"Revisar"))</f>
        <v/>
      </c>
      <c r="S369" s="65">
        <f>IF(C369="","",IFERROR(VLOOKUP(M369&amp;"|"&amp;N369,'17. Mapa DRE CP'!$E$5:$H$100,3,FALSE),"Revisar"))</f>
        <v/>
      </c>
      <c r="T369" s="65">
        <f>IF(C369="","",IF(R369="(-) Custos diretos dos serviços",IF(ISNUMBER(SEARCH("PCMSO",C369)),"PCMSO",IF(OR(ISNUMBER(SEARCH("SGS",C369)),ISNUMBER(SEARCH("CASTRO NAVES",C369))),"Projetos / Laudos / Avulsos","Projetos / Laudos / Avulsos")),"Rateio pela receita bruta"))</f>
        <v/>
      </c>
      <c r="U369" s="65">
        <f>IF(C369="","",IF(R369="(-) Custos diretos dos serviços","Direto por fornecedor/natureza do gasto","Rateio proporcional à receita bruta da linha de serviço"))</f>
        <v/>
      </c>
    </row>
    <row r="370">
      <c r="A370" s="28">
        <f>IF(C370="","", "CP-"&amp;TEXT(ROW()-5,"000"))</f>
        <v/>
      </c>
      <c r="B370" s="27">
        <f>IF(F370="","",DATE(YEAR(F370),MONTH(F370),1))</f>
        <v/>
      </c>
      <c r="C370" s="28" t="n"/>
      <c r="D370" s="28" t="n"/>
      <c r="E370" s="59">
        <f>IF(C370="","",IFERROR(INDEX('6. Base de Custos'!$M$8:$M$42,MATCH(C370,'6. Base de Custos'!$L$8:$L$42,0)),"Não classificado"))</f>
        <v/>
      </c>
      <c r="F370" s="111" t="n"/>
      <c r="G370" s="111" t="n"/>
      <c r="H370" s="111" t="n"/>
      <c r="I370" s="45" t="n"/>
      <c r="J370" s="28" t="n"/>
      <c r="K370" s="28" t="n"/>
      <c r="L370" s="28" t="n"/>
      <c r="M370" s="59">
        <f>IF(C370="","",IFERROR(INDEX('6. Base de Custos'!$N$8:$N$42,MATCH(C370,'6. Base de Custos'!$L$8:$L$42,0)),"Não classificado"))</f>
        <v/>
      </c>
      <c r="N370" s="59">
        <f>IF(C370="","",IFERROR(INDEX('6. Base de Custos'!$O$8:$O$42,MATCH(C370,'6. Base de Custos'!$L$8:$L$42,0)),"Revisar"))</f>
        <v/>
      </c>
      <c r="O370" s="60">
        <f>IF(M370="","",IFERROR(VLOOKUP(M370,'6. Base de Custos'!$H$12:$J$18,3,FALSE),0))</f>
        <v/>
      </c>
      <c r="P370" s="59">
        <f>IF(C370="","",IFERROR(INDEX('6. Base de Custos'!$P$8:$P$42,MATCH(C370,'6. Base de Custos'!$L$8:$L$42,0)),"Revisar"))</f>
        <v/>
      </c>
      <c r="Q370" s="59">
        <f>IF(C370="","",IFERROR(INDEX('6. Base de Custos'!$Q$8:$Q$42,MATCH(C370,'6. Base de Custos'!$L$8:$L$42,0)),""))</f>
        <v/>
      </c>
      <c r="R370" s="65">
        <f>IF(C370="","",IFERROR(VLOOKUP(M370&amp;"|"&amp;N370,'17. Mapa DRE CP'!$E$5:$H$100,2,FALSE),"Revisar"))</f>
        <v/>
      </c>
      <c r="S370" s="65">
        <f>IF(C370="","",IFERROR(VLOOKUP(M370&amp;"|"&amp;N370,'17. Mapa DRE CP'!$E$5:$H$100,3,FALSE),"Revisar"))</f>
        <v/>
      </c>
      <c r="T370" s="65">
        <f>IF(C370="","",IF(R370="(-) Custos diretos dos serviços",IF(ISNUMBER(SEARCH("PCMSO",C370)),"PCMSO",IF(OR(ISNUMBER(SEARCH("SGS",C370)),ISNUMBER(SEARCH("CASTRO NAVES",C370))),"Projetos / Laudos / Avulsos","Projetos / Laudos / Avulsos")),"Rateio pela receita bruta"))</f>
        <v/>
      </c>
      <c r="U370" s="65">
        <f>IF(C370="","",IF(R370="(-) Custos diretos dos serviços","Direto por fornecedor/natureza do gasto","Rateio proporcional à receita bruta da linha de serviço"))</f>
        <v/>
      </c>
    </row>
    <row r="371">
      <c r="A371" s="28">
        <f>IF(C371="","", "CP-"&amp;TEXT(ROW()-5,"000"))</f>
        <v/>
      </c>
      <c r="B371" s="27">
        <f>IF(F371="","",DATE(YEAR(F371),MONTH(F371),1))</f>
        <v/>
      </c>
      <c r="C371" s="28" t="n"/>
      <c r="D371" s="28" t="n"/>
      <c r="E371" s="59">
        <f>IF(C371="","",IFERROR(INDEX('6. Base de Custos'!$M$8:$M$42,MATCH(C371,'6. Base de Custos'!$L$8:$L$42,0)),"Não classificado"))</f>
        <v/>
      </c>
      <c r="F371" s="111" t="n"/>
      <c r="G371" s="111" t="n"/>
      <c r="H371" s="111" t="n"/>
      <c r="I371" s="45" t="n"/>
      <c r="J371" s="28" t="n"/>
      <c r="K371" s="28" t="n"/>
      <c r="L371" s="28" t="n"/>
      <c r="M371" s="59">
        <f>IF(C371="","",IFERROR(INDEX('6. Base de Custos'!$N$8:$N$42,MATCH(C371,'6. Base de Custos'!$L$8:$L$42,0)),"Não classificado"))</f>
        <v/>
      </c>
      <c r="N371" s="59">
        <f>IF(C371="","",IFERROR(INDEX('6. Base de Custos'!$O$8:$O$42,MATCH(C371,'6. Base de Custos'!$L$8:$L$42,0)),"Revisar"))</f>
        <v/>
      </c>
      <c r="O371" s="60">
        <f>IF(M371="","",IFERROR(VLOOKUP(M371,'6. Base de Custos'!$H$12:$J$18,3,FALSE),0))</f>
        <v/>
      </c>
      <c r="P371" s="59">
        <f>IF(C371="","",IFERROR(INDEX('6. Base de Custos'!$P$8:$P$42,MATCH(C371,'6. Base de Custos'!$L$8:$L$42,0)),"Revisar"))</f>
        <v/>
      </c>
      <c r="Q371" s="59">
        <f>IF(C371="","",IFERROR(INDEX('6. Base de Custos'!$Q$8:$Q$42,MATCH(C371,'6. Base de Custos'!$L$8:$L$42,0)),""))</f>
        <v/>
      </c>
      <c r="R371" s="65">
        <f>IF(C371="","",IFERROR(VLOOKUP(M371&amp;"|"&amp;N371,'17. Mapa DRE CP'!$E$5:$H$100,2,FALSE),"Revisar"))</f>
        <v/>
      </c>
      <c r="S371" s="65">
        <f>IF(C371="","",IFERROR(VLOOKUP(M371&amp;"|"&amp;N371,'17. Mapa DRE CP'!$E$5:$H$100,3,FALSE),"Revisar"))</f>
        <v/>
      </c>
      <c r="T371" s="65">
        <f>IF(C371="","",IF(R371="(-) Custos diretos dos serviços",IF(ISNUMBER(SEARCH("PCMSO",C371)),"PCMSO",IF(OR(ISNUMBER(SEARCH("SGS",C371)),ISNUMBER(SEARCH("CASTRO NAVES",C371))),"Projetos / Laudos / Avulsos","Projetos / Laudos / Avulsos")),"Rateio pela receita bruta"))</f>
        <v/>
      </c>
      <c r="U371" s="65">
        <f>IF(C371="","",IF(R371="(-) Custos diretos dos serviços","Direto por fornecedor/natureza do gasto","Rateio proporcional à receita bruta da linha de serviço"))</f>
        <v/>
      </c>
    </row>
    <row r="372">
      <c r="A372" s="28">
        <f>IF(C372="","", "CP-"&amp;TEXT(ROW()-5,"000"))</f>
        <v/>
      </c>
      <c r="B372" s="27">
        <f>IF(F372="","",DATE(YEAR(F372),MONTH(F372),1))</f>
        <v/>
      </c>
      <c r="C372" s="28" t="n"/>
      <c r="D372" s="28" t="n"/>
      <c r="E372" s="59">
        <f>IF(C372="","",IFERROR(INDEX('6. Base de Custos'!$M$8:$M$42,MATCH(C372,'6. Base de Custos'!$L$8:$L$42,0)),"Não classificado"))</f>
        <v/>
      </c>
      <c r="F372" s="111" t="n"/>
      <c r="G372" s="111" t="n"/>
      <c r="H372" s="111" t="n"/>
      <c r="I372" s="45" t="n"/>
      <c r="J372" s="28" t="n"/>
      <c r="K372" s="28" t="n"/>
      <c r="L372" s="28" t="n"/>
      <c r="M372" s="59">
        <f>IF(C372="","",IFERROR(INDEX('6. Base de Custos'!$N$8:$N$42,MATCH(C372,'6. Base de Custos'!$L$8:$L$42,0)),"Não classificado"))</f>
        <v/>
      </c>
      <c r="N372" s="59">
        <f>IF(C372="","",IFERROR(INDEX('6. Base de Custos'!$O$8:$O$42,MATCH(C372,'6. Base de Custos'!$L$8:$L$42,0)),"Revisar"))</f>
        <v/>
      </c>
      <c r="O372" s="60">
        <f>IF(M372="","",IFERROR(VLOOKUP(M372,'6. Base de Custos'!$H$12:$J$18,3,FALSE),0))</f>
        <v/>
      </c>
      <c r="P372" s="59">
        <f>IF(C372="","",IFERROR(INDEX('6. Base de Custos'!$P$8:$P$42,MATCH(C372,'6. Base de Custos'!$L$8:$L$42,0)),"Revisar"))</f>
        <v/>
      </c>
      <c r="Q372" s="59">
        <f>IF(C372="","",IFERROR(INDEX('6. Base de Custos'!$Q$8:$Q$42,MATCH(C372,'6. Base de Custos'!$L$8:$L$42,0)),""))</f>
        <v/>
      </c>
      <c r="R372" s="65">
        <f>IF(C372="","",IFERROR(VLOOKUP(M372&amp;"|"&amp;N372,'17. Mapa DRE CP'!$E$5:$H$100,2,FALSE),"Revisar"))</f>
        <v/>
      </c>
      <c r="S372" s="65">
        <f>IF(C372="","",IFERROR(VLOOKUP(M372&amp;"|"&amp;N372,'17. Mapa DRE CP'!$E$5:$H$100,3,FALSE),"Revisar"))</f>
        <v/>
      </c>
      <c r="T372" s="65">
        <f>IF(C372="","",IF(R372="(-) Custos diretos dos serviços",IF(ISNUMBER(SEARCH("PCMSO",C372)),"PCMSO",IF(OR(ISNUMBER(SEARCH("SGS",C372)),ISNUMBER(SEARCH("CASTRO NAVES",C372))),"Projetos / Laudos / Avulsos","Projetos / Laudos / Avulsos")),"Rateio pela receita bruta"))</f>
        <v/>
      </c>
      <c r="U372" s="65">
        <f>IF(C372="","",IF(R372="(-) Custos diretos dos serviços","Direto por fornecedor/natureza do gasto","Rateio proporcional à receita bruta da linha de serviço"))</f>
        <v/>
      </c>
    </row>
    <row r="373">
      <c r="A373" s="28">
        <f>IF(C373="","", "CP-"&amp;TEXT(ROW()-5,"000"))</f>
        <v/>
      </c>
      <c r="B373" s="27">
        <f>IF(F373="","",DATE(YEAR(F373),MONTH(F373),1))</f>
        <v/>
      </c>
      <c r="C373" s="28" t="n"/>
      <c r="D373" s="28" t="n"/>
      <c r="E373" s="59">
        <f>IF(C373="","",IFERROR(INDEX('6. Base de Custos'!$M$8:$M$42,MATCH(C373,'6. Base de Custos'!$L$8:$L$42,0)),"Não classificado"))</f>
        <v/>
      </c>
      <c r="F373" s="111" t="n"/>
      <c r="G373" s="111" t="n"/>
      <c r="H373" s="111" t="n"/>
      <c r="I373" s="45" t="n"/>
      <c r="J373" s="28" t="n"/>
      <c r="K373" s="28" t="n"/>
      <c r="L373" s="28" t="n"/>
      <c r="M373" s="59">
        <f>IF(C373="","",IFERROR(INDEX('6. Base de Custos'!$N$8:$N$42,MATCH(C373,'6. Base de Custos'!$L$8:$L$42,0)),"Não classificado"))</f>
        <v/>
      </c>
      <c r="N373" s="59">
        <f>IF(C373="","",IFERROR(INDEX('6. Base de Custos'!$O$8:$O$42,MATCH(C373,'6. Base de Custos'!$L$8:$L$42,0)),"Revisar"))</f>
        <v/>
      </c>
      <c r="O373" s="60">
        <f>IF(M373="","",IFERROR(VLOOKUP(M373,'6. Base de Custos'!$H$12:$J$18,3,FALSE),0))</f>
        <v/>
      </c>
      <c r="P373" s="59">
        <f>IF(C373="","",IFERROR(INDEX('6. Base de Custos'!$P$8:$P$42,MATCH(C373,'6. Base de Custos'!$L$8:$L$42,0)),"Revisar"))</f>
        <v/>
      </c>
      <c r="Q373" s="59">
        <f>IF(C373="","",IFERROR(INDEX('6. Base de Custos'!$Q$8:$Q$42,MATCH(C373,'6. Base de Custos'!$L$8:$L$42,0)),""))</f>
        <v/>
      </c>
      <c r="R373" s="65">
        <f>IF(C373="","",IFERROR(VLOOKUP(M373&amp;"|"&amp;N373,'17. Mapa DRE CP'!$E$5:$H$100,2,FALSE),"Revisar"))</f>
        <v/>
      </c>
      <c r="S373" s="65">
        <f>IF(C373="","",IFERROR(VLOOKUP(M373&amp;"|"&amp;N373,'17. Mapa DRE CP'!$E$5:$H$100,3,FALSE),"Revisar"))</f>
        <v/>
      </c>
      <c r="T373" s="65">
        <f>IF(C373="","",IF(R373="(-) Custos diretos dos serviços",IF(ISNUMBER(SEARCH("PCMSO",C373)),"PCMSO",IF(OR(ISNUMBER(SEARCH("SGS",C373)),ISNUMBER(SEARCH("CASTRO NAVES",C373))),"Projetos / Laudos / Avulsos","Projetos / Laudos / Avulsos")),"Rateio pela receita bruta"))</f>
        <v/>
      </c>
      <c r="U373" s="65">
        <f>IF(C373="","",IF(R373="(-) Custos diretos dos serviços","Direto por fornecedor/natureza do gasto","Rateio proporcional à receita bruta da linha de serviço"))</f>
        <v/>
      </c>
    </row>
    <row r="374">
      <c r="A374" s="28">
        <f>IF(C374="","", "CP-"&amp;TEXT(ROW()-5,"000"))</f>
        <v/>
      </c>
      <c r="B374" s="27">
        <f>IF(F374="","",DATE(YEAR(F374),MONTH(F374),1))</f>
        <v/>
      </c>
      <c r="C374" s="28" t="n"/>
      <c r="D374" s="28" t="n"/>
      <c r="E374" s="59">
        <f>IF(C374="","",IFERROR(INDEX('6. Base de Custos'!$M$8:$M$42,MATCH(C374,'6. Base de Custos'!$L$8:$L$42,0)),"Não classificado"))</f>
        <v/>
      </c>
      <c r="F374" s="111" t="n"/>
      <c r="G374" s="111" t="n"/>
      <c r="H374" s="111" t="n"/>
      <c r="I374" s="45" t="n"/>
      <c r="J374" s="28" t="n"/>
      <c r="K374" s="28" t="n"/>
      <c r="L374" s="28" t="n"/>
      <c r="M374" s="59">
        <f>IF(C374="","",IFERROR(INDEX('6. Base de Custos'!$N$8:$N$42,MATCH(C374,'6. Base de Custos'!$L$8:$L$42,0)),"Não classificado"))</f>
        <v/>
      </c>
      <c r="N374" s="59">
        <f>IF(C374="","",IFERROR(INDEX('6. Base de Custos'!$O$8:$O$42,MATCH(C374,'6. Base de Custos'!$L$8:$L$42,0)),"Revisar"))</f>
        <v/>
      </c>
      <c r="O374" s="60">
        <f>IF(M374="","",IFERROR(VLOOKUP(M374,'6. Base de Custos'!$H$12:$J$18,3,FALSE),0))</f>
        <v/>
      </c>
      <c r="P374" s="59">
        <f>IF(C374="","",IFERROR(INDEX('6. Base de Custos'!$P$8:$P$42,MATCH(C374,'6. Base de Custos'!$L$8:$L$42,0)),"Revisar"))</f>
        <v/>
      </c>
      <c r="Q374" s="59">
        <f>IF(C374="","",IFERROR(INDEX('6. Base de Custos'!$Q$8:$Q$42,MATCH(C374,'6. Base de Custos'!$L$8:$L$42,0)),""))</f>
        <v/>
      </c>
      <c r="R374" s="65">
        <f>IF(C374="","",IFERROR(VLOOKUP(M374&amp;"|"&amp;N374,'17. Mapa DRE CP'!$E$5:$H$100,2,FALSE),"Revisar"))</f>
        <v/>
      </c>
      <c r="S374" s="65">
        <f>IF(C374="","",IFERROR(VLOOKUP(M374&amp;"|"&amp;N374,'17. Mapa DRE CP'!$E$5:$H$100,3,FALSE),"Revisar"))</f>
        <v/>
      </c>
      <c r="T374" s="65">
        <f>IF(C374="","",IF(R374="(-) Custos diretos dos serviços",IF(ISNUMBER(SEARCH("PCMSO",C374)),"PCMSO",IF(OR(ISNUMBER(SEARCH("SGS",C374)),ISNUMBER(SEARCH("CASTRO NAVES",C374))),"Projetos / Laudos / Avulsos","Projetos / Laudos / Avulsos")),"Rateio pela receita bruta"))</f>
        <v/>
      </c>
      <c r="U374" s="65">
        <f>IF(C374="","",IF(R374="(-) Custos diretos dos serviços","Direto por fornecedor/natureza do gasto","Rateio proporcional à receita bruta da linha de serviço"))</f>
        <v/>
      </c>
    </row>
    <row r="375">
      <c r="A375" s="28">
        <f>IF(C375="","", "CP-"&amp;TEXT(ROW()-5,"000"))</f>
        <v/>
      </c>
      <c r="B375" s="27">
        <f>IF(F375="","",DATE(YEAR(F375),MONTH(F375),1))</f>
        <v/>
      </c>
      <c r="C375" s="28" t="n"/>
      <c r="D375" s="28" t="n"/>
      <c r="E375" s="59">
        <f>IF(C375="","",IFERROR(INDEX('6. Base de Custos'!$M$8:$M$42,MATCH(C375,'6. Base de Custos'!$L$8:$L$42,0)),"Não classificado"))</f>
        <v/>
      </c>
      <c r="F375" s="111" t="n"/>
      <c r="G375" s="111" t="n"/>
      <c r="H375" s="111" t="n"/>
      <c r="I375" s="45" t="n"/>
      <c r="J375" s="28" t="n"/>
      <c r="K375" s="28" t="n"/>
      <c r="L375" s="28" t="n"/>
      <c r="M375" s="59">
        <f>IF(C375="","",IFERROR(INDEX('6. Base de Custos'!$N$8:$N$42,MATCH(C375,'6. Base de Custos'!$L$8:$L$42,0)),"Não classificado"))</f>
        <v/>
      </c>
      <c r="N375" s="59">
        <f>IF(C375="","",IFERROR(INDEX('6. Base de Custos'!$O$8:$O$42,MATCH(C375,'6. Base de Custos'!$L$8:$L$42,0)),"Revisar"))</f>
        <v/>
      </c>
      <c r="O375" s="60">
        <f>IF(M375="","",IFERROR(VLOOKUP(M375,'6. Base de Custos'!$H$12:$J$18,3,FALSE),0))</f>
        <v/>
      </c>
      <c r="P375" s="59">
        <f>IF(C375="","",IFERROR(INDEX('6. Base de Custos'!$P$8:$P$42,MATCH(C375,'6. Base de Custos'!$L$8:$L$42,0)),"Revisar"))</f>
        <v/>
      </c>
      <c r="Q375" s="59">
        <f>IF(C375="","",IFERROR(INDEX('6. Base de Custos'!$Q$8:$Q$42,MATCH(C375,'6. Base de Custos'!$L$8:$L$42,0)),""))</f>
        <v/>
      </c>
      <c r="R375" s="65">
        <f>IF(C375="","",IFERROR(VLOOKUP(M375&amp;"|"&amp;N375,'17. Mapa DRE CP'!$E$5:$H$100,2,FALSE),"Revisar"))</f>
        <v/>
      </c>
      <c r="S375" s="65">
        <f>IF(C375="","",IFERROR(VLOOKUP(M375&amp;"|"&amp;N375,'17. Mapa DRE CP'!$E$5:$H$100,3,FALSE),"Revisar"))</f>
        <v/>
      </c>
      <c r="T375" s="65">
        <f>IF(C375="","",IF(R375="(-) Custos diretos dos serviços",IF(ISNUMBER(SEARCH("PCMSO",C375)),"PCMSO",IF(OR(ISNUMBER(SEARCH("SGS",C375)),ISNUMBER(SEARCH("CASTRO NAVES",C375))),"Projetos / Laudos / Avulsos","Projetos / Laudos / Avulsos")),"Rateio pela receita bruta"))</f>
        <v/>
      </c>
      <c r="U375" s="65">
        <f>IF(C375="","",IF(R375="(-) Custos diretos dos serviços","Direto por fornecedor/natureza do gasto","Rateio proporcional à receita bruta da linha de serviço"))</f>
        <v/>
      </c>
    </row>
    <row r="376">
      <c r="A376" s="28">
        <f>IF(C376="","", "CP-"&amp;TEXT(ROW()-5,"000"))</f>
        <v/>
      </c>
      <c r="B376" s="27">
        <f>IF(F376="","",DATE(YEAR(F376),MONTH(F376),1))</f>
        <v/>
      </c>
      <c r="C376" s="28" t="n"/>
      <c r="D376" s="28" t="n"/>
      <c r="E376" s="59">
        <f>IF(C376="","",IFERROR(INDEX('6. Base de Custos'!$M$8:$M$42,MATCH(C376,'6. Base de Custos'!$L$8:$L$42,0)),"Não classificado"))</f>
        <v/>
      </c>
      <c r="F376" s="111" t="n"/>
      <c r="G376" s="111" t="n"/>
      <c r="H376" s="111" t="n"/>
      <c r="I376" s="45" t="n"/>
      <c r="J376" s="28" t="n"/>
      <c r="K376" s="28" t="n"/>
      <c r="L376" s="28" t="n"/>
      <c r="M376" s="59">
        <f>IF(C376="","",IFERROR(INDEX('6. Base de Custos'!$N$8:$N$42,MATCH(C376,'6. Base de Custos'!$L$8:$L$42,0)),"Não classificado"))</f>
        <v/>
      </c>
      <c r="N376" s="59">
        <f>IF(C376="","",IFERROR(INDEX('6. Base de Custos'!$O$8:$O$42,MATCH(C376,'6. Base de Custos'!$L$8:$L$42,0)),"Revisar"))</f>
        <v/>
      </c>
      <c r="O376" s="60">
        <f>IF(M376="","",IFERROR(VLOOKUP(M376,'6. Base de Custos'!$H$12:$J$18,3,FALSE),0))</f>
        <v/>
      </c>
      <c r="P376" s="59">
        <f>IF(C376="","",IFERROR(INDEX('6. Base de Custos'!$P$8:$P$42,MATCH(C376,'6. Base de Custos'!$L$8:$L$42,0)),"Revisar"))</f>
        <v/>
      </c>
      <c r="Q376" s="59">
        <f>IF(C376="","",IFERROR(INDEX('6. Base de Custos'!$Q$8:$Q$42,MATCH(C376,'6. Base de Custos'!$L$8:$L$42,0)),""))</f>
        <v/>
      </c>
      <c r="R376" s="65">
        <f>IF(C376="","",IFERROR(VLOOKUP(M376&amp;"|"&amp;N376,'17. Mapa DRE CP'!$E$5:$H$100,2,FALSE),"Revisar"))</f>
        <v/>
      </c>
      <c r="S376" s="65">
        <f>IF(C376="","",IFERROR(VLOOKUP(M376&amp;"|"&amp;N376,'17. Mapa DRE CP'!$E$5:$H$100,3,FALSE),"Revisar"))</f>
        <v/>
      </c>
      <c r="T376" s="65">
        <f>IF(C376="","",IF(R376="(-) Custos diretos dos serviços",IF(ISNUMBER(SEARCH("PCMSO",C376)),"PCMSO",IF(OR(ISNUMBER(SEARCH("SGS",C376)),ISNUMBER(SEARCH("CASTRO NAVES",C376))),"Projetos / Laudos / Avulsos","Projetos / Laudos / Avulsos")),"Rateio pela receita bruta"))</f>
        <v/>
      </c>
      <c r="U376" s="65">
        <f>IF(C376="","",IF(R376="(-) Custos diretos dos serviços","Direto por fornecedor/natureza do gasto","Rateio proporcional à receita bruta da linha de serviço"))</f>
        <v/>
      </c>
    </row>
    <row r="377">
      <c r="A377" s="28">
        <f>IF(C377="","", "CP-"&amp;TEXT(ROW()-5,"000"))</f>
        <v/>
      </c>
      <c r="B377" s="27">
        <f>IF(F377="","",DATE(YEAR(F377),MONTH(F377),1))</f>
        <v/>
      </c>
      <c r="C377" s="28" t="n"/>
      <c r="D377" s="28" t="n"/>
      <c r="E377" s="59">
        <f>IF(C377="","",IFERROR(INDEX('6. Base de Custos'!$M$8:$M$42,MATCH(C377,'6. Base de Custos'!$L$8:$L$42,0)),"Não classificado"))</f>
        <v/>
      </c>
      <c r="F377" s="111" t="n"/>
      <c r="G377" s="111" t="n"/>
      <c r="H377" s="111" t="n"/>
      <c r="I377" s="45" t="n"/>
      <c r="J377" s="28" t="n"/>
      <c r="K377" s="28" t="n"/>
      <c r="L377" s="28" t="n"/>
      <c r="M377" s="59">
        <f>IF(C377="","",IFERROR(INDEX('6. Base de Custos'!$N$8:$N$42,MATCH(C377,'6. Base de Custos'!$L$8:$L$42,0)),"Não classificado"))</f>
        <v/>
      </c>
      <c r="N377" s="59">
        <f>IF(C377="","",IFERROR(INDEX('6. Base de Custos'!$O$8:$O$42,MATCH(C377,'6. Base de Custos'!$L$8:$L$42,0)),"Revisar"))</f>
        <v/>
      </c>
      <c r="O377" s="60">
        <f>IF(M377="","",IFERROR(VLOOKUP(M377,'6. Base de Custos'!$H$12:$J$18,3,FALSE),0))</f>
        <v/>
      </c>
      <c r="P377" s="59">
        <f>IF(C377="","",IFERROR(INDEX('6. Base de Custos'!$P$8:$P$42,MATCH(C377,'6. Base de Custos'!$L$8:$L$42,0)),"Revisar"))</f>
        <v/>
      </c>
      <c r="Q377" s="59">
        <f>IF(C377="","",IFERROR(INDEX('6. Base de Custos'!$Q$8:$Q$42,MATCH(C377,'6. Base de Custos'!$L$8:$L$42,0)),""))</f>
        <v/>
      </c>
      <c r="R377" s="65">
        <f>IF(C377="","",IFERROR(VLOOKUP(M377&amp;"|"&amp;N377,'17. Mapa DRE CP'!$E$5:$H$100,2,FALSE),"Revisar"))</f>
        <v/>
      </c>
      <c r="S377" s="65">
        <f>IF(C377="","",IFERROR(VLOOKUP(M377&amp;"|"&amp;N377,'17. Mapa DRE CP'!$E$5:$H$100,3,FALSE),"Revisar"))</f>
        <v/>
      </c>
      <c r="T377" s="65">
        <f>IF(C377="","",IF(R377="(-) Custos diretos dos serviços",IF(ISNUMBER(SEARCH("PCMSO",C377)),"PCMSO",IF(OR(ISNUMBER(SEARCH("SGS",C377)),ISNUMBER(SEARCH("CASTRO NAVES",C377))),"Projetos / Laudos / Avulsos","Projetos / Laudos / Avulsos")),"Rateio pela receita bruta"))</f>
        <v/>
      </c>
      <c r="U377" s="65">
        <f>IF(C377="","",IF(R377="(-) Custos diretos dos serviços","Direto por fornecedor/natureza do gasto","Rateio proporcional à receita bruta da linha de serviço"))</f>
        <v/>
      </c>
    </row>
    <row r="378">
      <c r="A378" s="28">
        <f>IF(C378="","", "CP-"&amp;TEXT(ROW()-5,"000"))</f>
        <v/>
      </c>
      <c r="B378" s="27">
        <f>IF(F378="","",DATE(YEAR(F378),MONTH(F378),1))</f>
        <v/>
      </c>
      <c r="C378" s="28" t="n"/>
      <c r="D378" s="28" t="n"/>
      <c r="E378" s="59">
        <f>IF(C378="","",IFERROR(INDEX('6. Base de Custos'!$M$8:$M$42,MATCH(C378,'6. Base de Custos'!$L$8:$L$42,0)),"Não classificado"))</f>
        <v/>
      </c>
      <c r="F378" s="111" t="n"/>
      <c r="G378" s="111" t="n"/>
      <c r="H378" s="111" t="n"/>
      <c r="I378" s="45" t="n"/>
      <c r="J378" s="28" t="n"/>
      <c r="K378" s="28" t="n"/>
      <c r="L378" s="28" t="n"/>
      <c r="M378" s="59">
        <f>IF(C378="","",IFERROR(INDEX('6. Base de Custos'!$N$8:$N$42,MATCH(C378,'6. Base de Custos'!$L$8:$L$42,0)),"Não classificado"))</f>
        <v/>
      </c>
      <c r="N378" s="59">
        <f>IF(C378="","",IFERROR(INDEX('6. Base de Custos'!$O$8:$O$42,MATCH(C378,'6. Base de Custos'!$L$8:$L$42,0)),"Revisar"))</f>
        <v/>
      </c>
      <c r="O378" s="60">
        <f>IF(M378="","",IFERROR(VLOOKUP(M378,'6. Base de Custos'!$H$12:$J$18,3,FALSE),0))</f>
        <v/>
      </c>
      <c r="P378" s="59">
        <f>IF(C378="","",IFERROR(INDEX('6. Base de Custos'!$P$8:$P$42,MATCH(C378,'6. Base de Custos'!$L$8:$L$42,0)),"Revisar"))</f>
        <v/>
      </c>
      <c r="Q378" s="59">
        <f>IF(C378="","",IFERROR(INDEX('6. Base de Custos'!$Q$8:$Q$42,MATCH(C378,'6. Base de Custos'!$L$8:$L$42,0)),""))</f>
        <v/>
      </c>
      <c r="R378" s="65">
        <f>IF(C378="","",IFERROR(VLOOKUP(M378&amp;"|"&amp;N378,'17. Mapa DRE CP'!$E$5:$H$100,2,FALSE),"Revisar"))</f>
        <v/>
      </c>
      <c r="S378" s="65">
        <f>IF(C378="","",IFERROR(VLOOKUP(M378&amp;"|"&amp;N378,'17. Mapa DRE CP'!$E$5:$H$100,3,FALSE),"Revisar"))</f>
        <v/>
      </c>
      <c r="T378" s="65">
        <f>IF(C378="","",IF(R378="(-) Custos diretos dos serviços",IF(ISNUMBER(SEARCH("PCMSO",C378)),"PCMSO",IF(OR(ISNUMBER(SEARCH("SGS",C378)),ISNUMBER(SEARCH("CASTRO NAVES",C378))),"Projetos / Laudos / Avulsos","Projetos / Laudos / Avulsos")),"Rateio pela receita bruta"))</f>
        <v/>
      </c>
      <c r="U378" s="65">
        <f>IF(C378="","",IF(R378="(-) Custos diretos dos serviços","Direto por fornecedor/natureza do gasto","Rateio proporcional à receita bruta da linha de serviço"))</f>
        <v/>
      </c>
    </row>
    <row r="379">
      <c r="A379" s="28">
        <f>IF(C379="","", "CP-"&amp;TEXT(ROW()-5,"000"))</f>
        <v/>
      </c>
      <c r="B379" s="27">
        <f>IF(F379="","",DATE(YEAR(F379),MONTH(F379),1))</f>
        <v/>
      </c>
      <c r="C379" s="28" t="n"/>
      <c r="D379" s="28" t="n"/>
      <c r="E379" s="59">
        <f>IF(C379="","",IFERROR(INDEX('6. Base de Custos'!$M$8:$M$42,MATCH(C379,'6. Base de Custos'!$L$8:$L$42,0)),"Não classificado"))</f>
        <v/>
      </c>
      <c r="F379" s="111" t="n"/>
      <c r="G379" s="111" t="n"/>
      <c r="H379" s="111" t="n"/>
      <c r="I379" s="45" t="n"/>
      <c r="J379" s="28" t="n"/>
      <c r="K379" s="28" t="n"/>
      <c r="L379" s="28" t="n"/>
      <c r="M379" s="59">
        <f>IF(C379="","",IFERROR(INDEX('6. Base de Custos'!$N$8:$N$42,MATCH(C379,'6. Base de Custos'!$L$8:$L$42,0)),"Não classificado"))</f>
        <v/>
      </c>
      <c r="N379" s="59">
        <f>IF(C379="","",IFERROR(INDEX('6. Base de Custos'!$O$8:$O$42,MATCH(C379,'6. Base de Custos'!$L$8:$L$42,0)),"Revisar"))</f>
        <v/>
      </c>
      <c r="O379" s="60">
        <f>IF(M379="","",IFERROR(VLOOKUP(M379,'6. Base de Custos'!$H$12:$J$18,3,FALSE),0))</f>
        <v/>
      </c>
      <c r="P379" s="59">
        <f>IF(C379="","",IFERROR(INDEX('6. Base de Custos'!$P$8:$P$42,MATCH(C379,'6. Base de Custos'!$L$8:$L$42,0)),"Revisar"))</f>
        <v/>
      </c>
      <c r="Q379" s="59">
        <f>IF(C379="","",IFERROR(INDEX('6. Base de Custos'!$Q$8:$Q$42,MATCH(C379,'6. Base de Custos'!$L$8:$L$42,0)),""))</f>
        <v/>
      </c>
      <c r="R379" s="65">
        <f>IF(C379="","",IFERROR(VLOOKUP(M379&amp;"|"&amp;N379,'17. Mapa DRE CP'!$E$5:$H$100,2,FALSE),"Revisar"))</f>
        <v/>
      </c>
      <c r="S379" s="65">
        <f>IF(C379="","",IFERROR(VLOOKUP(M379&amp;"|"&amp;N379,'17. Mapa DRE CP'!$E$5:$H$100,3,FALSE),"Revisar"))</f>
        <v/>
      </c>
      <c r="T379" s="65">
        <f>IF(C379="","",IF(R379="(-) Custos diretos dos serviços",IF(ISNUMBER(SEARCH("PCMSO",C379)),"PCMSO",IF(OR(ISNUMBER(SEARCH("SGS",C379)),ISNUMBER(SEARCH("CASTRO NAVES",C379))),"Projetos / Laudos / Avulsos","Projetos / Laudos / Avulsos")),"Rateio pela receita bruta"))</f>
        <v/>
      </c>
      <c r="U379" s="65">
        <f>IF(C379="","",IF(R379="(-) Custos diretos dos serviços","Direto por fornecedor/natureza do gasto","Rateio proporcional à receita bruta da linha de serviço"))</f>
        <v/>
      </c>
    </row>
    <row r="380">
      <c r="A380" s="28">
        <f>IF(C380="","", "CP-"&amp;TEXT(ROW()-5,"000"))</f>
        <v/>
      </c>
      <c r="B380" s="27">
        <f>IF(F380="","",DATE(YEAR(F380),MONTH(F380),1))</f>
        <v/>
      </c>
      <c r="C380" s="28" t="n"/>
      <c r="D380" s="28" t="n"/>
      <c r="E380" s="59">
        <f>IF(C380="","",IFERROR(INDEX('6. Base de Custos'!$M$8:$M$42,MATCH(C380,'6. Base de Custos'!$L$8:$L$42,0)),"Não classificado"))</f>
        <v/>
      </c>
      <c r="F380" s="111" t="n"/>
      <c r="G380" s="111" t="n"/>
      <c r="H380" s="111" t="n"/>
      <c r="I380" s="45" t="n"/>
      <c r="J380" s="28" t="n"/>
      <c r="K380" s="28" t="n"/>
      <c r="L380" s="28" t="n"/>
      <c r="M380" s="59">
        <f>IF(C380="","",IFERROR(INDEX('6. Base de Custos'!$N$8:$N$42,MATCH(C380,'6. Base de Custos'!$L$8:$L$42,0)),"Não classificado"))</f>
        <v/>
      </c>
      <c r="N380" s="59">
        <f>IF(C380="","",IFERROR(INDEX('6. Base de Custos'!$O$8:$O$42,MATCH(C380,'6. Base de Custos'!$L$8:$L$42,0)),"Revisar"))</f>
        <v/>
      </c>
      <c r="O380" s="60">
        <f>IF(M380="","",IFERROR(VLOOKUP(M380,'6. Base de Custos'!$H$12:$J$18,3,FALSE),0))</f>
        <v/>
      </c>
      <c r="P380" s="59">
        <f>IF(C380="","",IFERROR(INDEX('6. Base de Custos'!$P$8:$P$42,MATCH(C380,'6. Base de Custos'!$L$8:$L$42,0)),"Revisar"))</f>
        <v/>
      </c>
      <c r="Q380" s="59">
        <f>IF(C380="","",IFERROR(INDEX('6. Base de Custos'!$Q$8:$Q$42,MATCH(C380,'6. Base de Custos'!$L$8:$L$42,0)),""))</f>
        <v/>
      </c>
      <c r="R380" s="65">
        <f>IF(C380="","",IFERROR(VLOOKUP(M380&amp;"|"&amp;N380,'17. Mapa DRE CP'!$E$5:$H$100,2,FALSE),"Revisar"))</f>
        <v/>
      </c>
      <c r="S380" s="65">
        <f>IF(C380="","",IFERROR(VLOOKUP(M380&amp;"|"&amp;N380,'17. Mapa DRE CP'!$E$5:$H$100,3,FALSE),"Revisar"))</f>
        <v/>
      </c>
      <c r="T380" s="65">
        <f>IF(C380="","",IF(R380="(-) Custos diretos dos serviços",IF(ISNUMBER(SEARCH("PCMSO",C380)),"PCMSO",IF(OR(ISNUMBER(SEARCH("SGS",C380)),ISNUMBER(SEARCH("CASTRO NAVES",C380))),"Projetos / Laudos / Avulsos","Projetos / Laudos / Avulsos")),"Rateio pela receita bruta"))</f>
        <v/>
      </c>
      <c r="U380" s="65">
        <f>IF(C380="","",IF(R380="(-) Custos diretos dos serviços","Direto por fornecedor/natureza do gasto","Rateio proporcional à receita bruta da linha de serviço"))</f>
        <v/>
      </c>
    </row>
    <row r="381">
      <c r="A381" s="28">
        <f>IF(C381="","", "CP-"&amp;TEXT(ROW()-5,"000"))</f>
        <v/>
      </c>
      <c r="B381" s="27">
        <f>IF(F381="","",DATE(YEAR(F381),MONTH(F381),1))</f>
        <v/>
      </c>
      <c r="C381" s="28" t="n"/>
      <c r="D381" s="28" t="n"/>
      <c r="E381" s="59">
        <f>IF(C381="","",IFERROR(INDEX('6. Base de Custos'!$M$8:$M$42,MATCH(C381,'6. Base de Custos'!$L$8:$L$42,0)),"Não classificado"))</f>
        <v/>
      </c>
      <c r="F381" s="111" t="n"/>
      <c r="G381" s="111" t="n"/>
      <c r="H381" s="111" t="n"/>
      <c r="I381" s="45" t="n"/>
      <c r="J381" s="28" t="n"/>
      <c r="K381" s="28" t="n"/>
      <c r="L381" s="28" t="n"/>
      <c r="M381" s="59">
        <f>IF(C381="","",IFERROR(INDEX('6. Base de Custos'!$N$8:$N$42,MATCH(C381,'6. Base de Custos'!$L$8:$L$42,0)),"Não classificado"))</f>
        <v/>
      </c>
      <c r="N381" s="59">
        <f>IF(C381="","",IFERROR(INDEX('6. Base de Custos'!$O$8:$O$42,MATCH(C381,'6. Base de Custos'!$L$8:$L$42,0)),"Revisar"))</f>
        <v/>
      </c>
      <c r="O381" s="60">
        <f>IF(M381="","",IFERROR(VLOOKUP(M381,'6. Base de Custos'!$H$12:$J$18,3,FALSE),0))</f>
        <v/>
      </c>
      <c r="P381" s="59">
        <f>IF(C381="","",IFERROR(INDEX('6. Base de Custos'!$P$8:$P$42,MATCH(C381,'6. Base de Custos'!$L$8:$L$42,0)),"Revisar"))</f>
        <v/>
      </c>
      <c r="Q381" s="59">
        <f>IF(C381="","",IFERROR(INDEX('6. Base de Custos'!$Q$8:$Q$42,MATCH(C381,'6. Base de Custos'!$L$8:$L$42,0)),""))</f>
        <v/>
      </c>
      <c r="R381" s="65">
        <f>IF(C381="","",IFERROR(VLOOKUP(M381&amp;"|"&amp;N381,'17. Mapa DRE CP'!$E$5:$H$100,2,FALSE),"Revisar"))</f>
        <v/>
      </c>
      <c r="S381" s="65">
        <f>IF(C381="","",IFERROR(VLOOKUP(M381&amp;"|"&amp;N381,'17. Mapa DRE CP'!$E$5:$H$100,3,FALSE),"Revisar"))</f>
        <v/>
      </c>
      <c r="T381" s="65">
        <f>IF(C381="","",IF(R381="(-) Custos diretos dos serviços",IF(ISNUMBER(SEARCH("PCMSO",C381)),"PCMSO",IF(OR(ISNUMBER(SEARCH("SGS",C381)),ISNUMBER(SEARCH("CASTRO NAVES",C381))),"Projetos / Laudos / Avulsos","Projetos / Laudos / Avulsos")),"Rateio pela receita bruta"))</f>
        <v/>
      </c>
      <c r="U381" s="65">
        <f>IF(C381="","",IF(R381="(-) Custos diretos dos serviços","Direto por fornecedor/natureza do gasto","Rateio proporcional à receita bruta da linha de serviço"))</f>
        <v/>
      </c>
    </row>
    <row r="382">
      <c r="A382" s="28">
        <f>IF(C382="","", "CP-"&amp;TEXT(ROW()-5,"000"))</f>
        <v/>
      </c>
      <c r="B382" s="27">
        <f>IF(F382="","",DATE(YEAR(F382),MONTH(F382),1))</f>
        <v/>
      </c>
      <c r="C382" s="28" t="n"/>
      <c r="D382" s="28" t="n"/>
      <c r="E382" s="59">
        <f>IF(C382="","",IFERROR(INDEX('6. Base de Custos'!$M$8:$M$42,MATCH(C382,'6. Base de Custos'!$L$8:$L$42,0)),"Não classificado"))</f>
        <v/>
      </c>
      <c r="F382" s="111" t="n"/>
      <c r="G382" s="111" t="n"/>
      <c r="H382" s="111" t="n"/>
      <c r="I382" s="45" t="n"/>
      <c r="J382" s="28" t="n"/>
      <c r="K382" s="28" t="n"/>
      <c r="L382" s="28" t="n"/>
      <c r="M382" s="59">
        <f>IF(C382="","",IFERROR(INDEX('6. Base de Custos'!$N$8:$N$42,MATCH(C382,'6. Base de Custos'!$L$8:$L$42,0)),"Não classificado"))</f>
        <v/>
      </c>
      <c r="N382" s="59">
        <f>IF(C382="","",IFERROR(INDEX('6. Base de Custos'!$O$8:$O$42,MATCH(C382,'6. Base de Custos'!$L$8:$L$42,0)),"Revisar"))</f>
        <v/>
      </c>
      <c r="O382" s="60">
        <f>IF(M382="","",IFERROR(VLOOKUP(M382,'6. Base de Custos'!$H$12:$J$18,3,FALSE),0))</f>
        <v/>
      </c>
      <c r="P382" s="59">
        <f>IF(C382="","",IFERROR(INDEX('6. Base de Custos'!$P$8:$P$42,MATCH(C382,'6. Base de Custos'!$L$8:$L$42,0)),"Revisar"))</f>
        <v/>
      </c>
      <c r="Q382" s="59">
        <f>IF(C382="","",IFERROR(INDEX('6. Base de Custos'!$Q$8:$Q$42,MATCH(C382,'6. Base de Custos'!$L$8:$L$42,0)),""))</f>
        <v/>
      </c>
      <c r="R382" s="65">
        <f>IF(C382="","",IFERROR(VLOOKUP(M382&amp;"|"&amp;N382,'17. Mapa DRE CP'!$E$5:$H$100,2,FALSE),"Revisar"))</f>
        <v/>
      </c>
      <c r="S382" s="65">
        <f>IF(C382="","",IFERROR(VLOOKUP(M382&amp;"|"&amp;N382,'17. Mapa DRE CP'!$E$5:$H$100,3,FALSE),"Revisar"))</f>
        <v/>
      </c>
      <c r="T382" s="65">
        <f>IF(C382="","",IF(R382="(-) Custos diretos dos serviços",IF(ISNUMBER(SEARCH("PCMSO",C382)),"PCMSO",IF(OR(ISNUMBER(SEARCH("SGS",C382)),ISNUMBER(SEARCH("CASTRO NAVES",C382))),"Projetos / Laudos / Avulsos","Projetos / Laudos / Avulsos")),"Rateio pela receita bruta"))</f>
        <v/>
      </c>
      <c r="U382" s="65">
        <f>IF(C382="","",IF(R382="(-) Custos diretos dos serviços","Direto por fornecedor/natureza do gasto","Rateio proporcional à receita bruta da linha de serviço"))</f>
        <v/>
      </c>
    </row>
    <row r="383">
      <c r="A383" s="28">
        <f>IF(C383="","", "CP-"&amp;TEXT(ROW()-5,"000"))</f>
        <v/>
      </c>
      <c r="B383" s="27">
        <f>IF(F383="","",DATE(YEAR(F383),MONTH(F383),1))</f>
        <v/>
      </c>
      <c r="C383" s="28" t="n"/>
      <c r="D383" s="28" t="n"/>
      <c r="E383" s="59">
        <f>IF(C383="","",IFERROR(INDEX('6. Base de Custos'!$M$8:$M$42,MATCH(C383,'6. Base de Custos'!$L$8:$L$42,0)),"Não classificado"))</f>
        <v/>
      </c>
      <c r="F383" s="111" t="n"/>
      <c r="G383" s="111" t="n"/>
      <c r="H383" s="111" t="n"/>
      <c r="I383" s="45" t="n"/>
      <c r="J383" s="28" t="n"/>
      <c r="K383" s="28" t="n"/>
      <c r="L383" s="28" t="n"/>
      <c r="M383" s="59">
        <f>IF(C383="","",IFERROR(INDEX('6. Base de Custos'!$N$8:$N$42,MATCH(C383,'6. Base de Custos'!$L$8:$L$42,0)),"Não classificado"))</f>
        <v/>
      </c>
      <c r="N383" s="59">
        <f>IF(C383="","",IFERROR(INDEX('6. Base de Custos'!$O$8:$O$42,MATCH(C383,'6. Base de Custos'!$L$8:$L$42,0)),"Revisar"))</f>
        <v/>
      </c>
      <c r="O383" s="60">
        <f>IF(M383="","",IFERROR(VLOOKUP(M383,'6. Base de Custos'!$H$12:$J$18,3,FALSE),0))</f>
        <v/>
      </c>
      <c r="P383" s="59">
        <f>IF(C383="","",IFERROR(INDEX('6. Base de Custos'!$P$8:$P$42,MATCH(C383,'6. Base de Custos'!$L$8:$L$42,0)),"Revisar"))</f>
        <v/>
      </c>
      <c r="Q383" s="59">
        <f>IF(C383="","",IFERROR(INDEX('6. Base de Custos'!$Q$8:$Q$42,MATCH(C383,'6. Base de Custos'!$L$8:$L$42,0)),""))</f>
        <v/>
      </c>
      <c r="R383" s="65">
        <f>IF(C383="","",IFERROR(VLOOKUP(M383&amp;"|"&amp;N383,'17. Mapa DRE CP'!$E$5:$H$100,2,FALSE),"Revisar"))</f>
        <v/>
      </c>
      <c r="S383" s="65">
        <f>IF(C383="","",IFERROR(VLOOKUP(M383&amp;"|"&amp;N383,'17. Mapa DRE CP'!$E$5:$H$100,3,FALSE),"Revisar"))</f>
        <v/>
      </c>
      <c r="T383" s="65">
        <f>IF(C383="","",IF(R383="(-) Custos diretos dos serviços",IF(ISNUMBER(SEARCH("PCMSO",C383)),"PCMSO",IF(OR(ISNUMBER(SEARCH("SGS",C383)),ISNUMBER(SEARCH("CASTRO NAVES",C383))),"Projetos / Laudos / Avulsos","Projetos / Laudos / Avulsos")),"Rateio pela receita bruta"))</f>
        <v/>
      </c>
      <c r="U383" s="65">
        <f>IF(C383="","",IF(R383="(-) Custos diretos dos serviços","Direto por fornecedor/natureza do gasto","Rateio proporcional à receita bruta da linha de serviço"))</f>
        <v/>
      </c>
    </row>
    <row r="384">
      <c r="A384" s="28">
        <f>IF(C384="","", "CP-"&amp;TEXT(ROW()-5,"000"))</f>
        <v/>
      </c>
      <c r="B384" s="27">
        <f>IF(F384="","",DATE(YEAR(F384),MONTH(F384),1))</f>
        <v/>
      </c>
      <c r="C384" s="28" t="n"/>
      <c r="D384" s="28" t="n"/>
      <c r="E384" s="59">
        <f>IF(C384="","",IFERROR(INDEX('6. Base de Custos'!$M$8:$M$42,MATCH(C384,'6. Base de Custos'!$L$8:$L$42,0)),"Não classificado"))</f>
        <v/>
      </c>
      <c r="F384" s="111" t="n"/>
      <c r="G384" s="111" t="n"/>
      <c r="H384" s="111" t="n"/>
      <c r="I384" s="45" t="n"/>
      <c r="J384" s="28" t="n"/>
      <c r="K384" s="28" t="n"/>
      <c r="L384" s="28" t="n"/>
      <c r="M384" s="59">
        <f>IF(C384="","",IFERROR(INDEX('6. Base de Custos'!$N$8:$N$42,MATCH(C384,'6. Base de Custos'!$L$8:$L$42,0)),"Não classificado"))</f>
        <v/>
      </c>
      <c r="N384" s="59">
        <f>IF(C384="","",IFERROR(INDEX('6. Base de Custos'!$O$8:$O$42,MATCH(C384,'6. Base de Custos'!$L$8:$L$42,0)),"Revisar"))</f>
        <v/>
      </c>
      <c r="O384" s="60">
        <f>IF(M384="","",IFERROR(VLOOKUP(M384,'6. Base de Custos'!$H$12:$J$18,3,FALSE),0))</f>
        <v/>
      </c>
      <c r="P384" s="59">
        <f>IF(C384="","",IFERROR(INDEX('6. Base de Custos'!$P$8:$P$42,MATCH(C384,'6. Base de Custos'!$L$8:$L$42,0)),"Revisar"))</f>
        <v/>
      </c>
      <c r="Q384" s="59">
        <f>IF(C384="","",IFERROR(INDEX('6. Base de Custos'!$Q$8:$Q$42,MATCH(C384,'6. Base de Custos'!$L$8:$L$42,0)),""))</f>
        <v/>
      </c>
      <c r="R384" s="65">
        <f>IF(C384="","",IFERROR(VLOOKUP(M384&amp;"|"&amp;N384,'17. Mapa DRE CP'!$E$5:$H$100,2,FALSE),"Revisar"))</f>
        <v/>
      </c>
      <c r="S384" s="65">
        <f>IF(C384="","",IFERROR(VLOOKUP(M384&amp;"|"&amp;N384,'17. Mapa DRE CP'!$E$5:$H$100,3,FALSE),"Revisar"))</f>
        <v/>
      </c>
      <c r="T384" s="65">
        <f>IF(C384="","",IF(R384="(-) Custos diretos dos serviços",IF(ISNUMBER(SEARCH("PCMSO",C384)),"PCMSO",IF(OR(ISNUMBER(SEARCH("SGS",C384)),ISNUMBER(SEARCH("CASTRO NAVES",C384))),"Projetos / Laudos / Avulsos","Projetos / Laudos / Avulsos")),"Rateio pela receita bruta"))</f>
        <v/>
      </c>
      <c r="U384" s="65">
        <f>IF(C384="","",IF(R384="(-) Custos diretos dos serviços","Direto por fornecedor/natureza do gasto","Rateio proporcional à receita bruta da linha de serviço"))</f>
        <v/>
      </c>
    </row>
    <row r="385">
      <c r="A385" s="28">
        <f>IF(C385="","", "CP-"&amp;TEXT(ROW()-5,"000"))</f>
        <v/>
      </c>
      <c r="B385" s="27">
        <f>IF(F385="","",DATE(YEAR(F385),MONTH(F385),1))</f>
        <v/>
      </c>
      <c r="C385" s="28" t="n"/>
      <c r="D385" s="28" t="n"/>
      <c r="E385" s="59">
        <f>IF(C385="","",IFERROR(INDEX('6. Base de Custos'!$M$8:$M$42,MATCH(C385,'6. Base de Custos'!$L$8:$L$42,0)),"Não classificado"))</f>
        <v/>
      </c>
      <c r="F385" s="111" t="n"/>
      <c r="G385" s="111" t="n"/>
      <c r="H385" s="111" t="n"/>
      <c r="I385" s="45" t="n"/>
      <c r="J385" s="28" t="n"/>
      <c r="K385" s="28" t="n"/>
      <c r="L385" s="28" t="n"/>
      <c r="M385" s="59">
        <f>IF(C385="","",IFERROR(INDEX('6. Base de Custos'!$N$8:$N$42,MATCH(C385,'6. Base de Custos'!$L$8:$L$42,0)),"Não classificado"))</f>
        <v/>
      </c>
      <c r="N385" s="59">
        <f>IF(C385="","",IFERROR(INDEX('6. Base de Custos'!$O$8:$O$42,MATCH(C385,'6. Base de Custos'!$L$8:$L$42,0)),"Revisar"))</f>
        <v/>
      </c>
      <c r="O385" s="60">
        <f>IF(M385="","",IFERROR(VLOOKUP(M385,'6. Base de Custos'!$H$12:$J$18,3,FALSE),0))</f>
        <v/>
      </c>
      <c r="P385" s="59">
        <f>IF(C385="","",IFERROR(INDEX('6. Base de Custos'!$P$8:$P$42,MATCH(C385,'6. Base de Custos'!$L$8:$L$42,0)),"Revisar"))</f>
        <v/>
      </c>
      <c r="Q385" s="59">
        <f>IF(C385="","",IFERROR(INDEX('6. Base de Custos'!$Q$8:$Q$42,MATCH(C385,'6. Base de Custos'!$L$8:$L$42,0)),""))</f>
        <v/>
      </c>
      <c r="R385" s="65">
        <f>IF(C385="","",IFERROR(VLOOKUP(M385&amp;"|"&amp;N385,'17. Mapa DRE CP'!$E$5:$H$100,2,FALSE),"Revisar"))</f>
        <v/>
      </c>
      <c r="S385" s="65">
        <f>IF(C385="","",IFERROR(VLOOKUP(M385&amp;"|"&amp;N385,'17. Mapa DRE CP'!$E$5:$H$100,3,FALSE),"Revisar"))</f>
        <v/>
      </c>
      <c r="T385" s="65">
        <f>IF(C385="","",IF(R385="(-) Custos diretos dos serviços",IF(ISNUMBER(SEARCH("PCMSO",C385)),"PCMSO",IF(OR(ISNUMBER(SEARCH("SGS",C385)),ISNUMBER(SEARCH("CASTRO NAVES",C385))),"Projetos / Laudos / Avulsos","Projetos / Laudos / Avulsos")),"Rateio pela receita bruta"))</f>
        <v/>
      </c>
      <c r="U385" s="65">
        <f>IF(C385="","",IF(R385="(-) Custos diretos dos serviços","Direto por fornecedor/natureza do gasto","Rateio proporcional à receita bruta da linha de serviço"))</f>
        <v/>
      </c>
    </row>
    <row r="386">
      <c r="A386" s="28">
        <f>IF(C386="","", "CP-"&amp;TEXT(ROW()-5,"000"))</f>
        <v/>
      </c>
      <c r="B386" s="27">
        <f>IF(F386="","",DATE(YEAR(F386),MONTH(F386),1))</f>
        <v/>
      </c>
      <c r="C386" s="28" t="n"/>
      <c r="D386" s="28" t="n"/>
      <c r="E386" s="59">
        <f>IF(C386="","",IFERROR(INDEX('6. Base de Custos'!$M$8:$M$42,MATCH(C386,'6. Base de Custos'!$L$8:$L$42,0)),"Não classificado"))</f>
        <v/>
      </c>
      <c r="F386" s="111" t="n"/>
      <c r="G386" s="111" t="n"/>
      <c r="H386" s="111" t="n"/>
      <c r="I386" s="45" t="n"/>
      <c r="J386" s="28" t="n"/>
      <c r="K386" s="28" t="n"/>
      <c r="L386" s="28" t="n"/>
      <c r="M386" s="59">
        <f>IF(C386="","",IFERROR(INDEX('6. Base de Custos'!$N$8:$N$42,MATCH(C386,'6. Base de Custos'!$L$8:$L$42,0)),"Não classificado"))</f>
        <v/>
      </c>
      <c r="N386" s="59">
        <f>IF(C386="","",IFERROR(INDEX('6. Base de Custos'!$O$8:$O$42,MATCH(C386,'6. Base de Custos'!$L$8:$L$42,0)),"Revisar"))</f>
        <v/>
      </c>
      <c r="O386" s="60">
        <f>IF(M386="","",IFERROR(VLOOKUP(M386,'6. Base de Custos'!$H$12:$J$18,3,FALSE),0))</f>
        <v/>
      </c>
      <c r="P386" s="59">
        <f>IF(C386="","",IFERROR(INDEX('6. Base de Custos'!$P$8:$P$42,MATCH(C386,'6. Base de Custos'!$L$8:$L$42,0)),"Revisar"))</f>
        <v/>
      </c>
      <c r="Q386" s="59">
        <f>IF(C386="","",IFERROR(INDEX('6. Base de Custos'!$Q$8:$Q$42,MATCH(C386,'6. Base de Custos'!$L$8:$L$42,0)),""))</f>
        <v/>
      </c>
      <c r="R386" s="65">
        <f>IF(C386="","",IFERROR(VLOOKUP(M386&amp;"|"&amp;N386,'17. Mapa DRE CP'!$E$5:$H$100,2,FALSE),"Revisar"))</f>
        <v/>
      </c>
      <c r="S386" s="65">
        <f>IF(C386="","",IFERROR(VLOOKUP(M386&amp;"|"&amp;N386,'17. Mapa DRE CP'!$E$5:$H$100,3,FALSE),"Revisar"))</f>
        <v/>
      </c>
      <c r="T386" s="65">
        <f>IF(C386="","",IF(R386="(-) Custos diretos dos serviços",IF(ISNUMBER(SEARCH("PCMSO",C386)),"PCMSO",IF(OR(ISNUMBER(SEARCH("SGS",C386)),ISNUMBER(SEARCH("CASTRO NAVES",C386))),"Projetos / Laudos / Avulsos","Projetos / Laudos / Avulsos")),"Rateio pela receita bruta"))</f>
        <v/>
      </c>
      <c r="U386" s="65">
        <f>IF(C386="","",IF(R386="(-) Custos diretos dos serviços","Direto por fornecedor/natureza do gasto","Rateio proporcional à receita bruta da linha de serviço"))</f>
        <v/>
      </c>
    </row>
    <row r="387">
      <c r="A387" s="28">
        <f>IF(C387="","", "CP-"&amp;TEXT(ROW()-5,"000"))</f>
        <v/>
      </c>
      <c r="B387" s="27">
        <f>IF(F387="","",DATE(YEAR(F387),MONTH(F387),1))</f>
        <v/>
      </c>
      <c r="C387" s="28" t="n"/>
      <c r="D387" s="28" t="n"/>
      <c r="E387" s="59">
        <f>IF(C387="","",IFERROR(INDEX('6. Base de Custos'!$M$8:$M$42,MATCH(C387,'6. Base de Custos'!$L$8:$L$42,0)),"Não classificado"))</f>
        <v/>
      </c>
      <c r="F387" s="111" t="n"/>
      <c r="G387" s="111" t="n"/>
      <c r="H387" s="111" t="n"/>
      <c r="I387" s="45" t="n"/>
      <c r="J387" s="28" t="n"/>
      <c r="K387" s="28" t="n"/>
      <c r="L387" s="28" t="n"/>
      <c r="M387" s="59">
        <f>IF(C387="","",IFERROR(INDEX('6. Base de Custos'!$N$8:$N$42,MATCH(C387,'6. Base de Custos'!$L$8:$L$42,0)),"Não classificado"))</f>
        <v/>
      </c>
      <c r="N387" s="59">
        <f>IF(C387="","",IFERROR(INDEX('6. Base de Custos'!$O$8:$O$42,MATCH(C387,'6. Base de Custos'!$L$8:$L$42,0)),"Revisar"))</f>
        <v/>
      </c>
      <c r="O387" s="60">
        <f>IF(M387="","",IFERROR(VLOOKUP(M387,'6. Base de Custos'!$H$12:$J$18,3,FALSE),0))</f>
        <v/>
      </c>
      <c r="P387" s="59">
        <f>IF(C387="","",IFERROR(INDEX('6. Base de Custos'!$P$8:$P$42,MATCH(C387,'6. Base de Custos'!$L$8:$L$42,0)),"Revisar"))</f>
        <v/>
      </c>
      <c r="Q387" s="59">
        <f>IF(C387="","",IFERROR(INDEX('6. Base de Custos'!$Q$8:$Q$42,MATCH(C387,'6. Base de Custos'!$L$8:$L$42,0)),""))</f>
        <v/>
      </c>
      <c r="R387" s="65">
        <f>IF(C387="","",IFERROR(VLOOKUP(M387&amp;"|"&amp;N387,'17. Mapa DRE CP'!$E$5:$H$100,2,FALSE),"Revisar"))</f>
        <v/>
      </c>
      <c r="S387" s="65">
        <f>IF(C387="","",IFERROR(VLOOKUP(M387&amp;"|"&amp;N387,'17. Mapa DRE CP'!$E$5:$H$100,3,FALSE),"Revisar"))</f>
        <v/>
      </c>
      <c r="T387" s="65">
        <f>IF(C387="","",IF(R387="(-) Custos diretos dos serviços",IF(ISNUMBER(SEARCH("PCMSO",C387)),"PCMSO",IF(OR(ISNUMBER(SEARCH("SGS",C387)),ISNUMBER(SEARCH("CASTRO NAVES",C387))),"Projetos / Laudos / Avulsos","Projetos / Laudos / Avulsos")),"Rateio pela receita bruta"))</f>
        <v/>
      </c>
      <c r="U387" s="65">
        <f>IF(C387="","",IF(R387="(-) Custos diretos dos serviços","Direto por fornecedor/natureza do gasto","Rateio proporcional à receita bruta da linha de serviço"))</f>
        <v/>
      </c>
    </row>
    <row r="388">
      <c r="A388" s="28">
        <f>IF(C388="","", "CP-"&amp;TEXT(ROW()-5,"000"))</f>
        <v/>
      </c>
      <c r="B388" s="27">
        <f>IF(F388="","",DATE(YEAR(F388),MONTH(F388),1))</f>
        <v/>
      </c>
      <c r="C388" s="28" t="n"/>
      <c r="D388" s="28" t="n"/>
      <c r="E388" s="59">
        <f>IF(C388="","",IFERROR(INDEX('6. Base de Custos'!$M$8:$M$42,MATCH(C388,'6. Base de Custos'!$L$8:$L$42,0)),"Não classificado"))</f>
        <v/>
      </c>
      <c r="F388" s="111" t="n"/>
      <c r="G388" s="111" t="n"/>
      <c r="H388" s="111" t="n"/>
      <c r="I388" s="45" t="n"/>
      <c r="J388" s="28" t="n"/>
      <c r="K388" s="28" t="n"/>
      <c r="L388" s="28" t="n"/>
      <c r="M388" s="59">
        <f>IF(C388="","",IFERROR(INDEX('6. Base de Custos'!$N$8:$N$42,MATCH(C388,'6. Base de Custos'!$L$8:$L$42,0)),"Não classificado"))</f>
        <v/>
      </c>
      <c r="N388" s="59">
        <f>IF(C388="","",IFERROR(INDEX('6. Base de Custos'!$O$8:$O$42,MATCH(C388,'6. Base de Custos'!$L$8:$L$42,0)),"Revisar"))</f>
        <v/>
      </c>
      <c r="O388" s="60">
        <f>IF(M388="","",IFERROR(VLOOKUP(M388,'6. Base de Custos'!$H$12:$J$18,3,FALSE),0))</f>
        <v/>
      </c>
      <c r="P388" s="59">
        <f>IF(C388="","",IFERROR(INDEX('6. Base de Custos'!$P$8:$P$42,MATCH(C388,'6. Base de Custos'!$L$8:$L$42,0)),"Revisar"))</f>
        <v/>
      </c>
      <c r="Q388" s="59">
        <f>IF(C388="","",IFERROR(INDEX('6. Base de Custos'!$Q$8:$Q$42,MATCH(C388,'6. Base de Custos'!$L$8:$L$42,0)),""))</f>
        <v/>
      </c>
      <c r="R388" s="65">
        <f>IF(C388="","",IFERROR(VLOOKUP(M388&amp;"|"&amp;N388,'17. Mapa DRE CP'!$E$5:$H$100,2,FALSE),"Revisar"))</f>
        <v/>
      </c>
      <c r="S388" s="65">
        <f>IF(C388="","",IFERROR(VLOOKUP(M388&amp;"|"&amp;N388,'17. Mapa DRE CP'!$E$5:$H$100,3,FALSE),"Revisar"))</f>
        <v/>
      </c>
      <c r="T388" s="65">
        <f>IF(C388="","",IF(R388="(-) Custos diretos dos serviços",IF(ISNUMBER(SEARCH("PCMSO",C388)),"PCMSO",IF(OR(ISNUMBER(SEARCH("SGS",C388)),ISNUMBER(SEARCH("CASTRO NAVES",C388))),"Projetos / Laudos / Avulsos","Projetos / Laudos / Avulsos")),"Rateio pela receita bruta"))</f>
        <v/>
      </c>
      <c r="U388" s="65">
        <f>IF(C388="","",IF(R388="(-) Custos diretos dos serviços","Direto por fornecedor/natureza do gasto","Rateio proporcional à receita bruta da linha de serviço"))</f>
        <v/>
      </c>
    </row>
    <row r="389">
      <c r="A389" s="28">
        <f>IF(C389="","", "CP-"&amp;TEXT(ROW()-5,"000"))</f>
        <v/>
      </c>
      <c r="B389" s="27">
        <f>IF(F389="","",DATE(YEAR(F389),MONTH(F389),1))</f>
        <v/>
      </c>
      <c r="C389" s="28" t="n"/>
      <c r="D389" s="28" t="n"/>
      <c r="E389" s="59">
        <f>IF(C389="","",IFERROR(INDEX('6. Base de Custos'!$M$8:$M$42,MATCH(C389,'6. Base de Custos'!$L$8:$L$42,0)),"Não classificado"))</f>
        <v/>
      </c>
      <c r="F389" s="111" t="n"/>
      <c r="G389" s="111" t="n"/>
      <c r="H389" s="111" t="n"/>
      <c r="I389" s="45" t="n"/>
      <c r="J389" s="28" t="n"/>
      <c r="K389" s="28" t="n"/>
      <c r="L389" s="28" t="n"/>
      <c r="M389" s="59">
        <f>IF(C389="","",IFERROR(INDEX('6. Base de Custos'!$N$8:$N$42,MATCH(C389,'6. Base de Custos'!$L$8:$L$42,0)),"Não classificado"))</f>
        <v/>
      </c>
      <c r="N389" s="59">
        <f>IF(C389="","",IFERROR(INDEX('6. Base de Custos'!$O$8:$O$42,MATCH(C389,'6. Base de Custos'!$L$8:$L$42,0)),"Revisar"))</f>
        <v/>
      </c>
      <c r="O389" s="60">
        <f>IF(M389="","",IFERROR(VLOOKUP(M389,'6. Base de Custos'!$H$12:$J$18,3,FALSE),0))</f>
        <v/>
      </c>
      <c r="P389" s="59">
        <f>IF(C389="","",IFERROR(INDEX('6. Base de Custos'!$P$8:$P$42,MATCH(C389,'6. Base de Custos'!$L$8:$L$42,0)),"Revisar"))</f>
        <v/>
      </c>
      <c r="Q389" s="59">
        <f>IF(C389="","",IFERROR(INDEX('6. Base de Custos'!$Q$8:$Q$42,MATCH(C389,'6. Base de Custos'!$L$8:$L$42,0)),""))</f>
        <v/>
      </c>
      <c r="R389" s="65">
        <f>IF(C389="","",IFERROR(VLOOKUP(M389&amp;"|"&amp;N389,'17. Mapa DRE CP'!$E$5:$H$100,2,FALSE),"Revisar"))</f>
        <v/>
      </c>
      <c r="S389" s="65">
        <f>IF(C389="","",IFERROR(VLOOKUP(M389&amp;"|"&amp;N389,'17. Mapa DRE CP'!$E$5:$H$100,3,FALSE),"Revisar"))</f>
        <v/>
      </c>
      <c r="T389" s="65">
        <f>IF(C389="","",IF(R389="(-) Custos diretos dos serviços",IF(ISNUMBER(SEARCH("PCMSO",C389)),"PCMSO",IF(OR(ISNUMBER(SEARCH("SGS",C389)),ISNUMBER(SEARCH("CASTRO NAVES",C389))),"Projetos / Laudos / Avulsos","Projetos / Laudos / Avulsos")),"Rateio pela receita bruta"))</f>
        <v/>
      </c>
      <c r="U389" s="65">
        <f>IF(C389="","",IF(R389="(-) Custos diretos dos serviços","Direto por fornecedor/natureza do gasto","Rateio proporcional à receita bruta da linha de serviço"))</f>
        <v/>
      </c>
    </row>
    <row r="390">
      <c r="A390" s="28">
        <f>IF(C390="","", "CP-"&amp;TEXT(ROW()-5,"000"))</f>
        <v/>
      </c>
      <c r="B390" s="27">
        <f>IF(F390="","",DATE(YEAR(F390),MONTH(F390),1))</f>
        <v/>
      </c>
      <c r="C390" s="28" t="n"/>
      <c r="D390" s="28" t="n"/>
      <c r="E390" s="59">
        <f>IF(C390="","",IFERROR(INDEX('6. Base de Custos'!$M$8:$M$42,MATCH(C390,'6. Base de Custos'!$L$8:$L$42,0)),"Não classificado"))</f>
        <v/>
      </c>
      <c r="F390" s="111" t="n"/>
      <c r="G390" s="111" t="n"/>
      <c r="H390" s="111" t="n"/>
      <c r="I390" s="45" t="n"/>
      <c r="J390" s="28" t="n"/>
      <c r="K390" s="28" t="n"/>
      <c r="L390" s="28" t="n"/>
      <c r="M390" s="59">
        <f>IF(C390="","",IFERROR(INDEX('6. Base de Custos'!$N$8:$N$42,MATCH(C390,'6. Base de Custos'!$L$8:$L$42,0)),"Não classificado"))</f>
        <v/>
      </c>
      <c r="N390" s="59">
        <f>IF(C390="","",IFERROR(INDEX('6. Base de Custos'!$O$8:$O$42,MATCH(C390,'6. Base de Custos'!$L$8:$L$42,0)),"Revisar"))</f>
        <v/>
      </c>
      <c r="O390" s="60">
        <f>IF(M390="","",IFERROR(VLOOKUP(M390,'6. Base de Custos'!$H$12:$J$18,3,FALSE),0))</f>
        <v/>
      </c>
      <c r="P390" s="59">
        <f>IF(C390="","",IFERROR(INDEX('6. Base de Custos'!$P$8:$P$42,MATCH(C390,'6. Base de Custos'!$L$8:$L$42,0)),"Revisar"))</f>
        <v/>
      </c>
      <c r="Q390" s="59">
        <f>IF(C390="","",IFERROR(INDEX('6. Base de Custos'!$Q$8:$Q$42,MATCH(C390,'6. Base de Custos'!$L$8:$L$42,0)),""))</f>
        <v/>
      </c>
      <c r="R390" s="65">
        <f>IF(C390="","",IFERROR(VLOOKUP(M390&amp;"|"&amp;N390,'17. Mapa DRE CP'!$E$5:$H$100,2,FALSE),"Revisar"))</f>
        <v/>
      </c>
      <c r="S390" s="65">
        <f>IF(C390="","",IFERROR(VLOOKUP(M390&amp;"|"&amp;N390,'17. Mapa DRE CP'!$E$5:$H$100,3,FALSE),"Revisar"))</f>
        <v/>
      </c>
      <c r="T390" s="65">
        <f>IF(C390="","",IF(R390="(-) Custos diretos dos serviços",IF(ISNUMBER(SEARCH("PCMSO",C390)),"PCMSO",IF(OR(ISNUMBER(SEARCH("SGS",C390)),ISNUMBER(SEARCH("CASTRO NAVES",C390))),"Projetos / Laudos / Avulsos","Projetos / Laudos / Avulsos")),"Rateio pela receita bruta"))</f>
        <v/>
      </c>
      <c r="U390" s="65">
        <f>IF(C390="","",IF(R390="(-) Custos diretos dos serviços","Direto por fornecedor/natureza do gasto","Rateio proporcional à receita bruta da linha de serviço"))</f>
        <v/>
      </c>
    </row>
    <row r="391">
      <c r="A391" s="28">
        <f>IF(C391="","", "CP-"&amp;TEXT(ROW()-5,"000"))</f>
        <v/>
      </c>
      <c r="B391" s="27">
        <f>IF(F391="","",DATE(YEAR(F391),MONTH(F391),1))</f>
        <v/>
      </c>
      <c r="C391" s="28" t="n"/>
      <c r="D391" s="28" t="n"/>
      <c r="E391" s="59">
        <f>IF(C391="","",IFERROR(INDEX('6. Base de Custos'!$M$8:$M$42,MATCH(C391,'6. Base de Custos'!$L$8:$L$42,0)),"Não classificado"))</f>
        <v/>
      </c>
      <c r="F391" s="111" t="n"/>
      <c r="G391" s="111" t="n"/>
      <c r="H391" s="111" t="n"/>
      <c r="I391" s="45" t="n"/>
      <c r="J391" s="28" t="n"/>
      <c r="K391" s="28" t="n"/>
      <c r="L391" s="28" t="n"/>
      <c r="M391" s="59">
        <f>IF(C391="","",IFERROR(INDEX('6. Base de Custos'!$N$8:$N$42,MATCH(C391,'6. Base de Custos'!$L$8:$L$42,0)),"Não classificado"))</f>
        <v/>
      </c>
      <c r="N391" s="59">
        <f>IF(C391="","",IFERROR(INDEX('6. Base de Custos'!$O$8:$O$42,MATCH(C391,'6. Base de Custos'!$L$8:$L$42,0)),"Revisar"))</f>
        <v/>
      </c>
      <c r="O391" s="60">
        <f>IF(M391="","",IFERROR(VLOOKUP(M391,'6. Base de Custos'!$H$12:$J$18,3,FALSE),0))</f>
        <v/>
      </c>
      <c r="P391" s="59">
        <f>IF(C391="","",IFERROR(INDEX('6. Base de Custos'!$P$8:$P$42,MATCH(C391,'6. Base de Custos'!$L$8:$L$42,0)),"Revisar"))</f>
        <v/>
      </c>
      <c r="Q391" s="59">
        <f>IF(C391="","",IFERROR(INDEX('6. Base de Custos'!$Q$8:$Q$42,MATCH(C391,'6. Base de Custos'!$L$8:$L$42,0)),""))</f>
        <v/>
      </c>
      <c r="R391" s="65">
        <f>IF(C391="","",IFERROR(VLOOKUP(M391&amp;"|"&amp;N391,'17. Mapa DRE CP'!$E$5:$H$100,2,FALSE),"Revisar"))</f>
        <v/>
      </c>
      <c r="S391" s="65">
        <f>IF(C391="","",IFERROR(VLOOKUP(M391&amp;"|"&amp;N391,'17. Mapa DRE CP'!$E$5:$H$100,3,FALSE),"Revisar"))</f>
        <v/>
      </c>
      <c r="T391" s="65">
        <f>IF(C391="","",IF(R391="(-) Custos diretos dos serviços",IF(ISNUMBER(SEARCH("PCMSO",C391)),"PCMSO",IF(OR(ISNUMBER(SEARCH("SGS",C391)),ISNUMBER(SEARCH("CASTRO NAVES",C391))),"Projetos / Laudos / Avulsos","Projetos / Laudos / Avulsos")),"Rateio pela receita bruta"))</f>
        <v/>
      </c>
      <c r="U391" s="65">
        <f>IF(C391="","",IF(R391="(-) Custos diretos dos serviços","Direto por fornecedor/natureza do gasto","Rateio proporcional à receita bruta da linha de serviço"))</f>
        <v/>
      </c>
    </row>
    <row r="392">
      <c r="A392" s="28">
        <f>IF(C392="","", "CP-"&amp;TEXT(ROW()-5,"000"))</f>
        <v/>
      </c>
      <c r="B392" s="27">
        <f>IF(F392="","",DATE(YEAR(F392),MONTH(F392),1))</f>
        <v/>
      </c>
      <c r="C392" s="28" t="n"/>
      <c r="D392" s="28" t="n"/>
      <c r="E392" s="59">
        <f>IF(C392="","",IFERROR(INDEX('6. Base de Custos'!$M$8:$M$42,MATCH(C392,'6. Base de Custos'!$L$8:$L$42,0)),"Não classificado"))</f>
        <v/>
      </c>
      <c r="F392" s="111" t="n"/>
      <c r="G392" s="111" t="n"/>
      <c r="H392" s="111" t="n"/>
      <c r="I392" s="45" t="n"/>
      <c r="J392" s="28" t="n"/>
      <c r="K392" s="28" t="n"/>
      <c r="L392" s="28" t="n"/>
      <c r="M392" s="59">
        <f>IF(C392="","",IFERROR(INDEX('6. Base de Custos'!$N$8:$N$42,MATCH(C392,'6. Base de Custos'!$L$8:$L$42,0)),"Não classificado"))</f>
        <v/>
      </c>
      <c r="N392" s="59">
        <f>IF(C392="","",IFERROR(INDEX('6. Base de Custos'!$O$8:$O$42,MATCH(C392,'6. Base de Custos'!$L$8:$L$42,0)),"Revisar"))</f>
        <v/>
      </c>
      <c r="O392" s="60">
        <f>IF(M392="","",IFERROR(VLOOKUP(M392,'6. Base de Custos'!$H$12:$J$18,3,FALSE),0))</f>
        <v/>
      </c>
      <c r="P392" s="59">
        <f>IF(C392="","",IFERROR(INDEX('6. Base de Custos'!$P$8:$P$42,MATCH(C392,'6. Base de Custos'!$L$8:$L$42,0)),"Revisar"))</f>
        <v/>
      </c>
      <c r="Q392" s="59">
        <f>IF(C392="","",IFERROR(INDEX('6. Base de Custos'!$Q$8:$Q$42,MATCH(C392,'6. Base de Custos'!$L$8:$L$42,0)),""))</f>
        <v/>
      </c>
      <c r="R392" s="65">
        <f>IF(C392="","",IFERROR(VLOOKUP(M392&amp;"|"&amp;N392,'17. Mapa DRE CP'!$E$5:$H$100,2,FALSE),"Revisar"))</f>
        <v/>
      </c>
      <c r="S392" s="65">
        <f>IF(C392="","",IFERROR(VLOOKUP(M392&amp;"|"&amp;N392,'17. Mapa DRE CP'!$E$5:$H$100,3,FALSE),"Revisar"))</f>
        <v/>
      </c>
      <c r="T392" s="65">
        <f>IF(C392="","",IF(R392="(-) Custos diretos dos serviços",IF(ISNUMBER(SEARCH("PCMSO",C392)),"PCMSO",IF(OR(ISNUMBER(SEARCH("SGS",C392)),ISNUMBER(SEARCH("CASTRO NAVES",C392))),"Projetos / Laudos / Avulsos","Projetos / Laudos / Avulsos")),"Rateio pela receita bruta"))</f>
        <v/>
      </c>
      <c r="U392" s="65">
        <f>IF(C392="","",IF(R392="(-) Custos diretos dos serviços","Direto por fornecedor/natureza do gasto","Rateio proporcional à receita bruta da linha de serviço"))</f>
        <v/>
      </c>
    </row>
    <row r="393">
      <c r="A393" s="28">
        <f>IF(C393="","", "CP-"&amp;TEXT(ROW()-5,"000"))</f>
        <v/>
      </c>
      <c r="B393" s="27">
        <f>IF(F393="","",DATE(YEAR(F393),MONTH(F393),1))</f>
        <v/>
      </c>
      <c r="C393" s="28" t="n"/>
      <c r="D393" s="28" t="n"/>
      <c r="E393" s="59">
        <f>IF(C393="","",IFERROR(INDEX('6. Base de Custos'!$M$8:$M$42,MATCH(C393,'6. Base de Custos'!$L$8:$L$42,0)),"Não classificado"))</f>
        <v/>
      </c>
      <c r="F393" s="111" t="n"/>
      <c r="G393" s="111" t="n"/>
      <c r="H393" s="111" t="n"/>
      <c r="I393" s="45" t="n"/>
      <c r="J393" s="28" t="n"/>
      <c r="K393" s="28" t="n"/>
      <c r="L393" s="28" t="n"/>
      <c r="M393" s="59">
        <f>IF(C393="","",IFERROR(INDEX('6. Base de Custos'!$N$8:$N$42,MATCH(C393,'6. Base de Custos'!$L$8:$L$42,0)),"Não classificado"))</f>
        <v/>
      </c>
      <c r="N393" s="59">
        <f>IF(C393="","",IFERROR(INDEX('6. Base de Custos'!$O$8:$O$42,MATCH(C393,'6. Base de Custos'!$L$8:$L$42,0)),"Revisar"))</f>
        <v/>
      </c>
      <c r="O393" s="60">
        <f>IF(M393="","",IFERROR(VLOOKUP(M393,'6. Base de Custos'!$H$12:$J$18,3,FALSE),0))</f>
        <v/>
      </c>
      <c r="P393" s="59">
        <f>IF(C393="","",IFERROR(INDEX('6. Base de Custos'!$P$8:$P$42,MATCH(C393,'6. Base de Custos'!$L$8:$L$42,0)),"Revisar"))</f>
        <v/>
      </c>
      <c r="Q393" s="59">
        <f>IF(C393="","",IFERROR(INDEX('6. Base de Custos'!$Q$8:$Q$42,MATCH(C393,'6. Base de Custos'!$L$8:$L$42,0)),""))</f>
        <v/>
      </c>
      <c r="R393" s="65">
        <f>IF(C393="","",IFERROR(VLOOKUP(M393&amp;"|"&amp;N393,'17. Mapa DRE CP'!$E$5:$H$100,2,FALSE),"Revisar"))</f>
        <v/>
      </c>
      <c r="S393" s="65">
        <f>IF(C393="","",IFERROR(VLOOKUP(M393&amp;"|"&amp;N393,'17. Mapa DRE CP'!$E$5:$H$100,3,FALSE),"Revisar"))</f>
        <v/>
      </c>
      <c r="T393" s="65">
        <f>IF(C393="","",IF(R393="(-) Custos diretos dos serviços",IF(ISNUMBER(SEARCH("PCMSO",C393)),"PCMSO",IF(OR(ISNUMBER(SEARCH("SGS",C393)),ISNUMBER(SEARCH("CASTRO NAVES",C393))),"Projetos / Laudos / Avulsos","Projetos / Laudos / Avulsos")),"Rateio pela receita bruta"))</f>
        <v/>
      </c>
      <c r="U393" s="65">
        <f>IF(C393="","",IF(R393="(-) Custos diretos dos serviços","Direto por fornecedor/natureza do gasto","Rateio proporcional à receita bruta da linha de serviço"))</f>
        <v/>
      </c>
    </row>
    <row r="394">
      <c r="A394" s="28">
        <f>IF(C394="","", "CP-"&amp;TEXT(ROW()-5,"000"))</f>
        <v/>
      </c>
      <c r="B394" s="27">
        <f>IF(F394="","",DATE(YEAR(F394),MONTH(F394),1))</f>
        <v/>
      </c>
      <c r="C394" s="28" t="n"/>
      <c r="D394" s="28" t="n"/>
      <c r="E394" s="59">
        <f>IF(C394="","",IFERROR(INDEX('6. Base de Custos'!$M$8:$M$42,MATCH(C394,'6. Base de Custos'!$L$8:$L$42,0)),"Não classificado"))</f>
        <v/>
      </c>
      <c r="F394" s="111" t="n"/>
      <c r="G394" s="111" t="n"/>
      <c r="H394" s="111" t="n"/>
      <c r="I394" s="45" t="n"/>
      <c r="J394" s="28" t="n"/>
      <c r="K394" s="28" t="n"/>
      <c r="L394" s="28" t="n"/>
      <c r="M394" s="59">
        <f>IF(C394="","",IFERROR(INDEX('6. Base de Custos'!$N$8:$N$42,MATCH(C394,'6. Base de Custos'!$L$8:$L$42,0)),"Não classificado"))</f>
        <v/>
      </c>
      <c r="N394" s="59">
        <f>IF(C394="","",IFERROR(INDEX('6. Base de Custos'!$O$8:$O$42,MATCH(C394,'6. Base de Custos'!$L$8:$L$42,0)),"Revisar"))</f>
        <v/>
      </c>
      <c r="O394" s="60">
        <f>IF(M394="","",IFERROR(VLOOKUP(M394,'6. Base de Custos'!$H$12:$J$18,3,FALSE),0))</f>
        <v/>
      </c>
      <c r="P394" s="59">
        <f>IF(C394="","",IFERROR(INDEX('6. Base de Custos'!$P$8:$P$42,MATCH(C394,'6. Base de Custos'!$L$8:$L$42,0)),"Revisar"))</f>
        <v/>
      </c>
      <c r="Q394" s="59">
        <f>IF(C394="","",IFERROR(INDEX('6. Base de Custos'!$Q$8:$Q$42,MATCH(C394,'6. Base de Custos'!$L$8:$L$42,0)),""))</f>
        <v/>
      </c>
      <c r="R394" s="65">
        <f>IF(C394="","",IFERROR(VLOOKUP(M394&amp;"|"&amp;N394,'17. Mapa DRE CP'!$E$5:$H$100,2,FALSE),"Revisar"))</f>
        <v/>
      </c>
      <c r="S394" s="65">
        <f>IF(C394="","",IFERROR(VLOOKUP(M394&amp;"|"&amp;N394,'17. Mapa DRE CP'!$E$5:$H$100,3,FALSE),"Revisar"))</f>
        <v/>
      </c>
      <c r="T394" s="65">
        <f>IF(C394="","",IF(R394="(-) Custos diretos dos serviços",IF(ISNUMBER(SEARCH("PCMSO",C394)),"PCMSO",IF(OR(ISNUMBER(SEARCH("SGS",C394)),ISNUMBER(SEARCH("CASTRO NAVES",C394))),"Projetos / Laudos / Avulsos","Projetos / Laudos / Avulsos")),"Rateio pela receita bruta"))</f>
        <v/>
      </c>
      <c r="U394" s="65">
        <f>IF(C394="","",IF(R394="(-) Custos diretos dos serviços","Direto por fornecedor/natureza do gasto","Rateio proporcional à receita bruta da linha de serviço"))</f>
        <v/>
      </c>
    </row>
    <row r="395">
      <c r="A395" s="28">
        <f>IF(C395="","", "CP-"&amp;TEXT(ROW()-5,"000"))</f>
        <v/>
      </c>
      <c r="B395" s="27">
        <f>IF(F395="","",DATE(YEAR(F395),MONTH(F395),1))</f>
        <v/>
      </c>
      <c r="C395" s="28" t="n"/>
      <c r="D395" s="28" t="n"/>
      <c r="E395" s="59">
        <f>IF(C395="","",IFERROR(INDEX('6. Base de Custos'!$M$8:$M$42,MATCH(C395,'6. Base de Custos'!$L$8:$L$42,0)),"Não classificado"))</f>
        <v/>
      </c>
      <c r="F395" s="111" t="n"/>
      <c r="G395" s="111" t="n"/>
      <c r="H395" s="111" t="n"/>
      <c r="I395" s="45" t="n"/>
      <c r="J395" s="28" t="n"/>
      <c r="K395" s="28" t="n"/>
      <c r="L395" s="28" t="n"/>
      <c r="M395" s="59">
        <f>IF(C395="","",IFERROR(INDEX('6. Base de Custos'!$N$8:$N$42,MATCH(C395,'6. Base de Custos'!$L$8:$L$42,0)),"Não classificado"))</f>
        <v/>
      </c>
      <c r="N395" s="59">
        <f>IF(C395="","",IFERROR(INDEX('6. Base de Custos'!$O$8:$O$42,MATCH(C395,'6. Base de Custos'!$L$8:$L$42,0)),"Revisar"))</f>
        <v/>
      </c>
      <c r="O395" s="60">
        <f>IF(M395="","",IFERROR(VLOOKUP(M395,'6. Base de Custos'!$H$12:$J$18,3,FALSE),0))</f>
        <v/>
      </c>
      <c r="P395" s="59">
        <f>IF(C395="","",IFERROR(INDEX('6. Base de Custos'!$P$8:$P$42,MATCH(C395,'6. Base de Custos'!$L$8:$L$42,0)),"Revisar"))</f>
        <v/>
      </c>
      <c r="Q395" s="59">
        <f>IF(C395="","",IFERROR(INDEX('6. Base de Custos'!$Q$8:$Q$42,MATCH(C395,'6. Base de Custos'!$L$8:$L$42,0)),""))</f>
        <v/>
      </c>
      <c r="R395" s="65">
        <f>IF(C395="","",IFERROR(VLOOKUP(M395&amp;"|"&amp;N395,'17. Mapa DRE CP'!$E$5:$H$100,2,FALSE),"Revisar"))</f>
        <v/>
      </c>
      <c r="S395" s="65">
        <f>IF(C395="","",IFERROR(VLOOKUP(M395&amp;"|"&amp;N395,'17. Mapa DRE CP'!$E$5:$H$100,3,FALSE),"Revisar"))</f>
        <v/>
      </c>
      <c r="T395" s="65">
        <f>IF(C395="","",IF(R395="(-) Custos diretos dos serviços",IF(ISNUMBER(SEARCH("PCMSO",C395)),"PCMSO",IF(OR(ISNUMBER(SEARCH("SGS",C395)),ISNUMBER(SEARCH("CASTRO NAVES",C395))),"Projetos / Laudos / Avulsos","Projetos / Laudos / Avulsos")),"Rateio pela receita bruta"))</f>
        <v/>
      </c>
      <c r="U395" s="65">
        <f>IF(C395="","",IF(R395="(-) Custos diretos dos serviços","Direto por fornecedor/natureza do gasto","Rateio proporcional à receita bruta da linha de serviço"))</f>
        <v/>
      </c>
    </row>
    <row r="396">
      <c r="A396" s="28">
        <f>IF(C396="","", "CP-"&amp;TEXT(ROW()-5,"000"))</f>
        <v/>
      </c>
      <c r="B396" s="27">
        <f>IF(F396="","",DATE(YEAR(F396),MONTH(F396),1))</f>
        <v/>
      </c>
      <c r="C396" s="28" t="n"/>
      <c r="D396" s="28" t="n"/>
      <c r="E396" s="59">
        <f>IF(C396="","",IFERROR(INDEX('6. Base de Custos'!$M$8:$M$42,MATCH(C396,'6. Base de Custos'!$L$8:$L$42,0)),"Não classificado"))</f>
        <v/>
      </c>
      <c r="F396" s="111" t="n"/>
      <c r="G396" s="111" t="n"/>
      <c r="H396" s="111" t="n"/>
      <c r="I396" s="45" t="n"/>
      <c r="J396" s="28" t="n"/>
      <c r="K396" s="28" t="n"/>
      <c r="L396" s="28" t="n"/>
      <c r="M396" s="59">
        <f>IF(C396="","",IFERROR(INDEX('6. Base de Custos'!$N$8:$N$42,MATCH(C396,'6. Base de Custos'!$L$8:$L$42,0)),"Não classificado"))</f>
        <v/>
      </c>
      <c r="N396" s="59">
        <f>IF(C396="","",IFERROR(INDEX('6. Base de Custos'!$O$8:$O$42,MATCH(C396,'6. Base de Custos'!$L$8:$L$42,0)),"Revisar"))</f>
        <v/>
      </c>
      <c r="O396" s="60">
        <f>IF(M396="","",IFERROR(VLOOKUP(M396,'6. Base de Custos'!$H$12:$J$18,3,FALSE),0))</f>
        <v/>
      </c>
      <c r="P396" s="59">
        <f>IF(C396="","",IFERROR(INDEX('6. Base de Custos'!$P$8:$P$42,MATCH(C396,'6. Base de Custos'!$L$8:$L$42,0)),"Revisar"))</f>
        <v/>
      </c>
      <c r="Q396" s="59">
        <f>IF(C396="","",IFERROR(INDEX('6. Base de Custos'!$Q$8:$Q$42,MATCH(C396,'6. Base de Custos'!$L$8:$L$42,0)),""))</f>
        <v/>
      </c>
      <c r="R396" s="65">
        <f>IF(C396="","",IFERROR(VLOOKUP(M396&amp;"|"&amp;N396,'17. Mapa DRE CP'!$E$5:$H$100,2,FALSE),"Revisar"))</f>
        <v/>
      </c>
      <c r="S396" s="65">
        <f>IF(C396="","",IFERROR(VLOOKUP(M396&amp;"|"&amp;N396,'17. Mapa DRE CP'!$E$5:$H$100,3,FALSE),"Revisar"))</f>
        <v/>
      </c>
      <c r="T396" s="65">
        <f>IF(C396="","",IF(R396="(-) Custos diretos dos serviços",IF(ISNUMBER(SEARCH("PCMSO",C396)),"PCMSO",IF(OR(ISNUMBER(SEARCH("SGS",C396)),ISNUMBER(SEARCH("CASTRO NAVES",C396))),"Projetos / Laudos / Avulsos","Projetos / Laudos / Avulsos")),"Rateio pela receita bruta"))</f>
        <v/>
      </c>
      <c r="U396" s="65">
        <f>IF(C396="","",IF(R396="(-) Custos diretos dos serviços","Direto por fornecedor/natureza do gasto","Rateio proporcional à receita bruta da linha de serviço"))</f>
        <v/>
      </c>
    </row>
    <row r="397">
      <c r="A397" s="28">
        <f>IF(C397="","", "CP-"&amp;TEXT(ROW()-5,"000"))</f>
        <v/>
      </c>
      <c r="B397" s="27">
        <f>IF(F397="","",DATE(YEAR(F397),MONTH(F397),1))</f>
        <v/>
      </c>
      <c r="C397" s="28" t="n"/>
      <c r="D397" s="28" t="n"/>
      <c r="E397" s="59">
        <f>IF(C397="","",IFERROR(INDEX('6. Base de Custos'!$M$8:$M$42,MATCH(C397,'6. Base de Custos'!$L$8:$L$42,0)),"Não classificado"))</f>
        <v/>
      </c>
      <c r="F397" s="111" t="n"/>
      <c r="G397" s="111" t="n"/>
      <c r="H397" s="111" t="n"/>
      <c r="I397" s="45" t="n"/>
      <c r="J397" s="28" t="n"/>
      <c r="K397" s="28" t="n"/>
      <c r="L397" s="28" t="n"/>
      <c r="M397" s="59">
        <f>IF(C397="","",IFERROR(INDEX('6. Base de Custos'!$N$8:$N$42,MATCH(C397,'6. Base de Custos'!$L$8:$L$42,0)),"Não classificado"))</f>
        <v/>
      </c>
      <c r="N397" s="59">
        <f>IF(C397="","",IFERROR(INDEX('6. Base de Custos'!$O$8:$O$42,MATCH(C397,'6. Base de Custos'!$L$8:$L$42,0)),"Revisar"))</f>
        <v/>
      </c>
      <c r="O397" s="60">
        <f>IF(M397="","",IFERROR(VLOOKUP(M397,'6. Base de Custos'!$H$12:$J$18,3,FALSE),0))</f>
        <v/>
      </c>
      <c r="P397" s="59">
        <f>IF(C397="","",IFERROR(INDEX('6. Base de Custos'!$P$8:$P$42,MATCH(C397,'6. Base de Custos'!$L$8:$L$42,0)),"Revisar"))</f>
        <v/>
      </c>
      <c r="Q397" s="59">
        <f>IF(C397="","",IFERROR(INDEX('6. Base de Custos'!$Q$8:$Q$42,MATCH(C397,'6. Base de Custos'!$L$8:$L$42,0)),""))</f>
        <v/>
      </c>
      <c r="R397" s="65">
        <f>IF(C397="","",IFERROR(VLOOKUP(M397&amp;"|"&amp;N397,'17. Mapa DRE CP'!$E$5:$H$100,2,FALSE),"Revisar"))</f>
        <v/>
      </c>
      <c r="S397" s="65">
        <f>IF(C397="","",IFERROR(VLOOKUP(M397&amp;"|"&amp;N397,'17. Mapa DRE CP'!$E$5:$H$100,3,FALSE),"Revisar"))</f>
        <v/>
      </c>
      <c r="T397" s="65">
        <f>IF(C397="","",IF(R397="(-) Custos diretos dos serviços",IF(ISNUMBER(SEARCH("PCMSO",C397)),"PCMSO",IF(OR(ISNUMBER(SEARCH("SGS",C397)),ISNUMBER(SEARCH("CASTRO NAVES",C397))),"Projetos / Laudos / Avulsos","Projetos / Laudos / Avulsos")),"Rateio pela receita bruta"))</f>
        <v/>
      </c>
      <c r="U397" s="65">
        <f>IF(C397="","",IF(R397="(-) Custos diretos dos serviços","Direto por fornecedor/natureza do gasto","Rateio proporcional à receita bruta da linha de serviço"))</f>
        <v/>
      </c>
    </row>
    <row r="398">
      <c r="A398" s="28">
        <f>IF(C398="","", "CP-"&amp;TEXT(ROW()-5,"000"))</f>
        <v/>
      </c>
      <c r="B398" s="27">
        <f>IF(F398="","",DATE(YEAR(F398),MONTH(F398),1))</f>
        <v/>
      </c>
      <c r="C398" s="28" t="n"/>
      <c r="D398" s="28" t="n"/>
      <c r="E398" s="59">
        <f>IF(C398="","",IFERROR(INDEX('6. Base de Custos'!$M$8:$M$42,MATCH(C398,'6. Base de Custos'!$L$8:$L$42,0)),"Não classificado"))</f>
        <v/>
      </c>
      <c r="F398" s="111" t="n"/>
      <c r="G398" s="111" t="n"/>
      <c r="H398" s="111" t="n"/>
      <c r="I398" s="45" t="n"/>
      <c r="J398" s="28" t="n"/>
      <c r="K398" s="28" t="n"/>
      <c r="L398" s="28" t="n"/>
      <c r="M398" s="59">
        <f>IF(C398="","",IFERROR(INDEX('6. Base de Custos'!$N$8:$N$42,MATCH(C398,'6. Base de Custos'!$L$8:$L$42,0)),"Não classificado"))</f>
        <v/>
      </c>
      <c r="N398" s="59">
        <f>IF(C398="","",IFERROR(INDEX('6. Base de Custos'!$O$8:$O$42,MATCH(C398,'6. Base de Custos'!$L$8:$L$42,0)),"Revisar"))</f>
        <v/>
      </c>
      <c r="O398" s="60">
        <f>IF(M398="","",IFERROR(VLOOKUP(M398,'6. Base de Custos'!$H$12:$J$18,3,FALSE),0))</f>
        <v/>
      </c>
      <c r="P398" s="59">
        <f>IF(C398="","",IFERROR(INDEX('6. Base de Custos'!$P$8:$P$42,MATCH(C398,'6. Base de Custos'!$L$8:$L$42,0)),"Revisar"))</f>
        <v/>
      </c>
      <c r="Q398" s="59">
        <f>IF(C398="","",IFERROR(INDEX('6. Base de Custos'!$Q$8:$Q$42,MATCH(C398,'6. Base de Custos'!$L$8:$L$42,0)),""))</f>
        <v/>
      </c>
      <c r="R398" s="65">
        <f>IF(C398="","",IFERROR(VLOOKUP(M398&amp;"|"&amp;N398,'17. Mapa DRE CP'!$E$5:$H$100,2,FALSE),"Revisar"))</f>
        <v/>
      </c>
      <c r="S398" s="65">
        <f>IF(C398="","",IFERROR(VLOOKUP(M398&amp;"|"&amp;N398,'17. Mapa DRE CP'!$E$5:$H$100,3,FALSE),"Revisar"))</f>
        <v/>
      </c>
      <c r="T398" s="65">
        <f>IF(C398="","",IF(R398="(-) Custos diretos dos serviços",IF(ISNUMBER(SEARCH("PCMSO",C398)),"PCMSO",IF(OR(ISNUMBER(SEARCH("SGS",C398)),ISNUMBER(SEARCH("CASTRO NAVES",C398))),"Projetos / Laudos / Avulsos","Projetos / Laudos / Avulsos")),"Rateio pela receita bruta"))</f>
        <v/>
      </c>
      <c r="U398" s="65">
        <f>IF(C398="","",IF(R398="(-) Custos diretos dos serviços","Direto por fornecedor/natureza do gasto","Rateio proporcional à receita bruta da linha de serviço"))</f>
        <v/>
      </c>
    </row>
    <row r="399">
      <c r="A399" s="28">
        <f>IF(C399="","", "CP-"&amp;TEXT(ROW()-5,"000"))</f>
        <v/>
      </c>
      <c r="B399" s="27">
        <f>IF(F399="","",DATE(YEAR(F399),MONTH(F399),1))</f>
        <v/>
      </c>
      <c r="C399" s="28" t="n"/>
      <c r="D399" s="28" t="n"/>
      <c r="E399" s="59">
        <f>IF(C399="","",IFERROR(INDEX('6. Base de Custos'!$M$8:$M$42,MATCH(C399,'6. Base de Custos'!$L$8:$L$42,0)),"Não classificado"))</f>
        <v/>
      </c>
      <c r="F399" s="111" t="n"/>
      <c r="G399" s="111" t="n"/>
      <c r="H399" s="111" t="n"/>
      <c r="I399" s="45" t="n"/>
      <c r="J399" s="28" t="n"/>
      <c r="K399" s="28" t="n"/>
      <c r="L399" s="28" t="n"/>
      <c r="M399" s="59">
        <f>IF(C399="","",IFERROR(INDEX('6. Base de Custos'!$N$8:$N$42,MATCH(C399,'6. Base de Custos'!$L$8:$L$42,0)),"Não classificado"))</f>
        <v/>
      </c>
      <c r="N399" s="59">
        <f>IF(C399="","",IFERROR(INDEX('6. Base de Custos'!$O$8:$O$42,MATCH(C399,'6. Base de Custos'!$L$8:$L$42,0)),"Revisar"))</f>
        <v/>
      </c>
      <c r="O399" s="60">
        <f>IF(M399="","",IFERROR(VLOOKUP(M399,'6. Base de Custos'!$H$12:$J$18,3,FALSE),0))</f>
        <v/>
      </c>
      <c r="P399" s="59">
        <f>IF(C399="","",IFERROR(INDEX('6. Base de Custos'!$P$8:$P$42,MATCH(C399,'6. Base de Custos'!$L$8:$L$42,0)),"Revisar"))</f>
        <v/>
      </c>
      <c r="Q399" s="59">
        <f>IF(C399="","",IFERROR(INDEX('6. Base de Custos'!$Q$8:$Q$42,MATCH(C399,'6. Base de Custos'!$L$8:$L$42,0)),""))</f>
        <v/>
      </c>
      <c r="R399" s="65">
        <f>IF(C399="","",IFERROR(VLOOKUP(M399&amp;"|"&amp;N399,'17. Mapa DRE CP'!$E$5:$H$100,2,FALSE),"Revisar"))</f>
        <v/>
      </c>
      <c r="S399" s="65">
        <f>IF(C399="","",IFERROR(VLOOKUP(M399&amp;"|"&amp;N399,'17. Mapa DRE CP'!$E$5:$H$100,3,FALSE),"Revisar"))</f>
        <v/>
      </c>
      <c r="T399" s="65">
        <f>IF(C399="","",IF(R399="(-) Custos diretos dos serviços",IF(ISNUMBER(SEARCH("PCMSO",C399)),"PCMSO",IF(OR(ISNUMBER(SEARCH("SGS",C399)),ISNUMBER(SEARCH("CASTRO NAVES",C399))),"Projetos / Laudos / Avulsos","Projetos / Laudos / Avulsos")),"Rateio pela receita bruta"))</f>
        <v/>
      </c>
      <c r="U399" s="65">
        <f>IF(C399="","",IF(R399="(-) Custos diretos dos serviços","Direto por fornecedor/natureza do gasto","Rateio proporcional à receita bruta da linha de serviço"))</f>
        <v/>
      </c>
    </row>
    <row r="400">
      <c r="A400" s="28">
        <f>IF(C400="","", "CP-"&amp;TEXT(ROW()-5,"000"))</f>
        <v/>
      </c>
      <c r="B400" s="27">
        <f>IF(F400="","",DATE(YEAR(F400),MONTH(F400),1))</f>
        <v/>
      </c>
      <c r="C400" s="28" t="n"/>
      <c r="D400" s="28" t="n"/>
      <c r="E400" s="59">
        <f>IF(C400="","",IFERROR(INDEX('6. Base de Custos'!$M$8:$M$42,MATCH(C400,'6. Base de Custos'!$L$8:$L$42,0)),"Não classificado"))</f>
        <v/>
      </c>
      <c r="F400" s="111" t="n"/>
      <c r="G400" s="111" t="n"/>
      <c r="H400" s="111" t="n"/>
      <c r="I400" s="45" t="n"/>
      <c r="J400" s="28" t="n"/>
      <c r="K400" s="28" t="n"/>
      <c r="L400" s="28" t="n"/>
      <c r="M400" s="59">
        <f>IF(C400="","",IFERROR(INDEX('6. Base de Custos'!$N$8:$N$42,MATCH(C400,'6. Base de Custos'!$L$8:$L$42,0)),"Não classificado"))</f>
        <v/>
      </c>
      <c r="N400" s="59">
        <f>IF(C400="","",IFERROR(INDEX('6. Base de Custos'!$O$8:$O$42,MATCH(C400,'6. Base de Custos'!$L$8:$L$42,0)),"Revisar"))</f>
        <v/>
      </c>
      <c r="O400" s="60">
        <f>IF(M400="","",IFERROR(VLOOKUP(M400,'6. Base de Custos'!$H$12:$J$18,3,FALSE),0))</f>
        <v/>
      </c>
      <c r="P400" s="59">
        <f>IF(C400="","",IFERROR(INDEX('6. Base de Custos'!$P$8:$P$42,MATCH(C400,'6. Base de Custos'!$L$8:$L$42,0)),"Revisar"))</f>
        <v/>
      </c>
      <c r="Q400" s="59">
        <f>IF(C400="","",IFERROR(INDEX('6. Base de Custos'!$Q$8:$Q$42,MATCH(C400,'6. Base de Custos'!$L$8:$L$42,0)),""))</f>
        <v/>
      </c>
      <c r="R400" s="65">
        <f>IF(C400="","",IFERROR(VLOOKUP(M400&amp;"|"&amp;N400,'17. Mapa DRE CP'!$E$5:$H$100,2,FALSE),"Revisar"))</f>
        <v/>
      </c>
      <c r="S400" s="65">
        <f>IF(C400="","",IFERROR(VLOOKUP(M400&amp;"|"&amp;N400,'17. Mapa DRE CP'!$E$5:$H$100,3,FALSE),"Revisar"))</f>
        <v/>
      </c>
      <c r="T400" s="65">
        <f>IF(C400="","",IF(R400="(-) Custos diretos dos serviços",IF(ISNUMBER(SEARCH("PCMSO",C400)),"PCMSO",IF(OR(ISNUMBER(SEARCH("SGS",C400)),ISNUMBER(SEARCH("CASTRO NAVES",C400))),"Projetos / Laudos / Avulsos","Projetos / Laudos / Avulsos")),"Rateio pela receita bruta"))</f>
        <v/>
      </c>
      <c r="U400" s="65">
        <f>IF(C400="","",IF(R400="(-) Custos diretos dos serviços","Direto por fornecedor/natureza do gasto","Rateio proporcional à receita bruta da linha de serviço"))</f>
        <v/>
      </c>
    </row>
    <row r="401">
      <c r="A401" s="28">
        <f>IF(C401="","", "CP-"&amp;TEXT(ROW()-5,"000"))</f>
        <v/>
      </c>
      <c r="B401" s="27">
        <f>IF(F401="","",DATE(YEAR(F401),MONTH(F401),1))</f>
        <v/>
      </c>
      <c r="C401" s="28" t="n"/>
      <c r="D401" s="28" t="n"/>
      <c r="E401" s="59">
        <f>IF(C401="","",IFERROR(INDEX('6. Base de Custos'!$M$8:$M$42,MATCH(C401,'6. Base de Custos'!$L$8:$L$42,0)),"Não classificado"))</f>
        <v/>
      </c>
      <c r="F401" s="111" t="n"/>
      <c r="G401" s="111" t="n"/>
      <c r="H401" s="111" t="n"/>
      <c r="I401" s="45" t="n"/>
      <c r="J401" s="28" t="n"/>
      <c r="K401" s="28" t="n"/>
      <c r="L401" s="28" t="n"/>
      <c r="M401" s="59">
        <f>IF(C401="","",IFERROR(INDEX('6. Base de Custos'!$N$8:$N$42,MATCH(C401,'6. Base de Custos'!$L$8:$L$42,0)),"Não classificado"))</f>
        <v/>
      </c>
      <c r="N401" s="59">
        <f>IF(C401="","",IFERROR(INDEX('6. Base de Custos'!$O$8:$O$42,MATCH(C401,'6. Base de Custos'!$L$8:$L$42,0)),"Revisar"))</f>
        <v/>
      </c>
      <c r="O401" s="60">
        <f>IF(M401="","",IFERROR(VLOOKUP(M401,'6. Base de Custos'!$H$12:$J$18,3,FALSE),0))</f>
        <v/>
      </c>
      <c r="P401" s="59">
        <f>IF(C401="","",IFERROR(INDEX('6. Base de Custos'!$P$8:$P$42,MATCH(C401,'6. Base de Custos'!$L$8:$L$42,0)),"Revisar"))</f>
        <v/>
      </c>
      <c r="Q401" s="59">
        <f>IF(C401="","",IFERROR(INDEX('6. Base de Custos'!$Q$8:$Q$42,MATCH(C401,'6. Base de Custos'!$L$8:$L$42,0)),""))</f>
        <v/>
      </c>
      <c r="R401" s="65">
        <f>IF(C401="","",IFERROR(VLOOKUP(M401&amp;"|"&amp;N401,'17. Mapa DRE CP'!$E$5:$H$100,2,FALSE),"Revisar"))</f>
        <v/>
      </c>
      <c r="S401" s="65">
        <f>IF(C401="","",IFERROR(VLOOKUP(M401&amp;"|"&amp;N401,'17. Mapa DRE CP'!$E$5:$H$100,3,FALSE),"Revisar"))</f>
        <v/>
      </c>
      <c r="T401" s="65">
        <f>IF(C401="","",IF(R401="(-) Custos diretos dos serviços",IF(ISNUMBER(SEARCH("PCMSO",C401)),"PCMSO",IF(OR(ISNUMBER(SEARCH("SGS",C401)),ISNUMBER(SEARCH("CASTRO NAVES",C401))),"Projetos / Laudos / Avulsos","Projetos / Laudos / Avulsos")),"Rateio pela receita bruta"))</f>
        <v/>
      </c>
      <c r="U401" s="65">
        <f>IF(C401="","",IF(R401="(-) Custos diretos dos serviços","Direto por fornecedor/natureza do gasto","Rateio proporcional à receita bruta da linha de serviço"))</f>
        <v/>
      </c>
    </row>
    <row r="402">
      <c r="A402" s="28">
        <f>IF(C402="","", "CP-"&amp;TEXT(ROW()-5,"000"))</f>
        <v/>
      </c>
      <c r="B402" s="27">
        <f>IF(F402="","",DATE(YEAR(F402),MONTH(F402),1))</f>
        <v/>
      </c>
      <c r="C402" s="28" t="n"/>
      <c r="D402" s="28" t="n"/>
      <c r="E402" s="59">
        <f>IF(C402="","",IFERROR(INDEX('6. Base de Custos'!$M$8:$M$42,MATCH(C402,'6. Base de Custos'!$L$8:$L$42,0)),"Não classificado"))</f>
        <v/>
      </c>
      <c r="F402" s="111" t="n"/>
      <c r="G402" s="111" t="n"/>
      <c r="H402" s="111" t="n"/>
      <c r="I402" s="45" t="n"/>
      <c r="J402" s="28" t="n"/>
      <c r="K402" s="28" t="n"/>
      <c r="L402" s="28" t="n"/>
      <c r="M402" s="59">
        <f>IF(C402="","",IFERROR(INDEX('6. Base de Custos'!$N$8:$N$42,MATCH(C402,'6. Base de Custos'!$L$8:$L$42,0)),"Não classificado"))</f>
        <v/>
      </c>
      <c r="N402" s="59">
        <f>IF(C402="","",IFERROR(INDEX('6. Base de Custos'!$O$8:$O$42,MATCH(C402,'6. Base de Custos'!$L$8:$L$42,0)),"Revisar"))</f>
        <v/>
      </c>
      <c r="O402" s="60">
        <f>IF(M402="","",IFERROR(VLOOKUP(M402,'6. Base de Custos'!$H$12:$J$18,3,FALSE),0))</f>
        <v/>
      </c>
      <c r="P402" s="59">
        <f>IF(C402="","",IFERROR(INDEX('6. Base de Custos'!$P$8:$P$42,MATCH(C402,'6. Base de Custos'!$L$8:$L$42,0)),"Revisar"))</f>
        <v/>
      </c>
      <c r="Q402" s="59">
        <f>IF(C402="","",IFERROR(INDEX('6. Base de Custos'!$Q$8:$Q$42,MATCH(C402,'6. Base de Custos'!$L$8:$L$42,0)),""))</f>
        <v/>
      </c>
      <c r="R402" s="65">
        <f>IF(C402="","",IFERROR(VLOOKUP(M402&amp;"|"&amp;N402,'17. Mapa DRE CP'!$E$5:$H$100,2,FALSE),"Revisar"))</f>
        <v/>
      </c>
      <c r="S402" s="65">
        <f>IF(C402="","",IFERROR(VLOOKUP(M402&amp;"|"&amp;N402,'17. Mapa DRE CP'!$E$5:$H$100,3,FALSE),"Revisar"))</f>
        <v/>
      </c>
      <c r="T402" s="65">
        <f>IF(C402="","",IF(R402="(-) Custos diretos dos serviços",IF(ISNUMBER(SEARCH("PCMSO",C402)),"PCMSO",IF(OR(ISNUMBER(SEARCH("SGS",C402)),ISNUMBER(SEARCH("CASTRO NAVES",C402))),"Projetos / Laudos / Avulsos","Projetos / Laudos / Avulsos")),"Rateio pela receita bruta"))</f>
        <v/>
      </c>
      <c r="U402" s="65">
        <f>IF(C402="","",IF(R402="(-) Custos diretos dos serviços","Direto por fornecedor/natureza do gasto","Rateio proporcional à receita bruta da linha de serviço"))</f>
        <v/>
      </c>
    </row>
    <row r="403">
      <c r="A403" s="28">
        <f>IF(C403="","", "CP-"&amp;TEXT(ROW()-5,"000"))</f>
        <v/>
      </c>
      <c r="B403" s="27">
        <f>IF(F403="","",DATE(YEAR(F403),MONTH(F403),1))</f>
        <v/>
      </c>
      <c r="C403" s="28" t="n"/>
      <c r="D403" s="28" t="n"/>
      <c r="E403" s="59">
        <f>IF(C403="","",IFERROR(INDEX('6. Base de Custos'!$M$8:$M$42,MATCH(C403,'6. Base de Custos'!$L$8:$L$42,0)),"Não classificado"))</f>
        <v/>
      </c>
      <c r="F403" s="111" t="n"/>
      <c r="G403" s="111" t="n"/>
      <c r="H403" s="111" t="n"/>
      <c r="I403" s="45" t="n"/>
      <c r="J403" s="28" t="n"/>
      <c r="K403" s="28" t="n"/>
      <c r="L403" s="28" t="n"/>
      <c r="M403" s="59">
        <f>IF(C403="","",IFERROR(INDEX('6. Base de Custos'!$N$8:$N$42,MATCH(C403,'6. Base de Custos'!$L$8:$L$42,0)),"Não classificado"))</f>
        <v/>
      </c>
      <c r="N403" s="59">
        <f>IF(C403="","",IFERROR(INDEX('6. Base de Custos'!$O$8:$O$42,MATCH(C403,'6. Base de Custos'!$L$8:$L$42,0)),"Revisar"))</f>
        <v/>
      </c>
      <c r="O403" s="60">
        <f>IF(M403="","",IFERROR(VLOOKUP(M403,'6. Base de Custos'!$H$12:$J$18,3,FALSE),0))</f>
        <v/>
      </c>
      <c r="P403" s="59">
        <f>IF(C403="","",IFERROR(INDEX('6. Base de Custos'!$P$8:$P$42,MATCH(C403,'6. Base de Custos'!$L$8:$L$42,0)),"Revisar"))</f>
        <v/>
      </c>
      <c r="Q403" s="59">
        <f>IF(C403="","",IFERROR(INDEX('6. Base de Custos'!$Q$8:$Q$42,MATCH(C403,'6. Base de Custos'!$L$8:$L$42,0)),""))</f>
        <v/>
      </c>
      <c r="R403" s="65">
        <f>IF(C403="","",IFERROR(VLOOKUP(M403&amp;"|"&amp;N403,'17. Mapa DRE CP'!$E$5:$H$100,2,FALSE),"Revisar"))</f>
        <v/>
      </c>
      <c r="S403" s="65">
        <f>IF(C403="","",IFERROR(VLOOKUP(M403&amp;"|"&amp;N403,'17. Mapa DRE CP'!$E$5:$H$100,3,FALSE),"Revisar"))</f>
        <v/>
      </c>
      <c r="T403" s="65">
        <f>IF(C403="","",IF(R403="(-) Custos diretos dos serviços",IF(ISNUMBER(SEARCH("PCMSO",C403)),"PCMSO",IF(OR(ISNUMBER(SEARCH("SGS",C403)),ISNUMBER(SEARCH("CASTRO NAVES",C403))),"Projetos / Laudos / Avulsos","Projetos / Laudos / Avulsos")),"Rateio pela receita bruta"))</f>
        <v/>
      </c>
      <c r="U403" s="65">
        <f>IF(C403="","",IF(R403="(-) Custos diretos dos serviços","Direto por fornecedor/natureza do gasto","Rateio proporcional à receita bruta da linha de serviço"))</f>
        <v/>
      </c>
    </row>
    <row r="404">
      <c r="A404" s="28">
        <f>IF(C404="","", "CP-"&amp;TEXT(ROW()-5,"000"))</f>
        <v/>
      </c>
      <c r="B404" s="27">
        <f>IF(F404="","",DATE(YEAR(F404),MONTH(F404),1))</f>
        <v/>
      </c>
      <c r="C404" s="28" t="n"/>
      <c r="D404" s="28" t="n"/>
      <c r="E404" s="59">
        <f>IF(C404="","",IFERROR(INDEX('6. Base de Custos'!$M$8:$M$42,MATCH(C404,'6. Base de Custos'!$L$8:$L$42,0)),"Não classificado"))</f>
        <v/>
      </c>
      <c r="F404" s="111" t="n"/>
      <c r="G404" s="111" t="n"/>
      <c r="H404" s="111" t="n"/>
      <c r="I404" s="45" t="n"/>
      <c r="J404" s="28" t="n"/>
      <c r="K404" s="28" t="n"/>
      <c r="L404" s="28" t="n"/>
      <c r="M404" s="59">
        <f>IF(C404="","",IFERROR(INDEX('6. Base de Custos'!$N$8:$N$42,MATCH(C404,'6. Base de Custos'!$L$8:$L$42,0)),"Não classificado"))</f>
        <v/>
      </c>
      <c r="N404" s="59">
        <f>IF(C404="","",IFERROR(INDEX('6. Base de Custos'!$O$8:$O$42,MATCH(C404,'6. Base de Custos'!$L$8:$L$42,0)),"Revisar"))</f>
        <v/>
      </c>
      <c r="O404" s="60">
        <f>IF(M404="","",IFERROR(VLOOKUP(M404,'6. Base de Custos'!$H$12:$J$18,3,FALSE),0))</f>
        <v/>
      </c>
      <c r="P404" s="59">
        <f>IF(C404="","",IFERROR(INDEX('6. Base de Custos'!$P$8:$P$42,MATCH(C404,'6. Base de Custos'!$L$8:$L$42,0)),"Revisar"))</f>
        <v/>
      </c>
      <c r="Q404" s="59">
        <f>IF(C404="","",IFERROR(INDEX('6. Base de Custos'!$Q$8:$Q$42,MATCH(C404,'6. Base de Custos'!$L$8:$L$42,0)),""))</f>
        <v/>
      </c>
      <c r="R404" s="65">
        <f>IF(C404="","",IFERROR(VLOOKUP(M404&amp;"|"&amp;N404,'17. Mapa DRE CP'!$E$5:$H$100,2,FALSE),"Revisar"))</f>
        <v/>
      </c>
      <c r="S404" s="65">
        <f>IF(C404="","",IFERROR(VLOOKUP(M404&amp;"|"&amp;N404,'17. Mapa DRE CP'!$E$5:$H$100,3,FALSE),"Revisar"))</f>
        <v/>
      </c>
      <c r="T404" s="65">
        <f>IF(C404="","",IF(R404="(-) Custos diretos dos serviços",IF(ISNUMBER(SEARCH("PCMSO",C404)),"PCMSO",IF(OR(ISNUMBER(SEARCH("SGS",C404)),ISNUMBER(SEARCH("CASTRO NAVES",C404))),"Projetos / Laudos / Avulsos","Projetos / Laudos / Avulsos")),"Rateio pela receita bruta"))</f>
        <v/>
      </c>
      <c r="U404" s="65">
        <f>IF(C404="","",IF(R404="(-) Custos diretos dos serviços","Direto por fornecedor/natureza do gasto","Rateio proporcional à receita bruta da linha de serviço"))</f>
        <v/>
      </c>
    </row>
    <row r="405">
      <c r="A405" s="28">
        <f>IF(C405="","", "CP-"&amp;TEXT(ROW()-5,"000"))</f>
        <v/>
      </c>
      <c r="B405" s="27">
        <f>IF(F405="","",DATE(YEAR(F405),MONTH(F405),1))</f>
        <v/>
      </c>
      <c r="C405" s="28" t="n"/>
      <c r="D405" s="28" t="n"/>
      <c r="E405" s="59">
        <f>IF(C405="","",IFERROR(INDEX('6. Base de Custos'!$M$8:$M$42,MATCH(C405,'6. Base de Custos'!$L$8:$L$42,0)),"Não classificado"))</f>
        <v/>
      </c>
      <c r="F405" s="111" t="n"/>
      <c r="G405" s="111" t="n"/>
      <c r="H405" s="111" t="n"/>
      <c r="I405" s="45" t="n"/>
      <c r="J405" s="28" t="n"/>
      <c r="K405" s="28" t="n"/>
      <c r="L405" s="28" t="n"/>
      <c r="M405" s="59">
        <f>IF(C405="","",IFERROR(INDEX('6. Base de Custos'!$N$8:$N$42,MATCH(C405,'6. Base de Custos'!$L$8:$L$42,0)),"Não classificado"))</f>
        <v/>
      </c>
      <c r="N405" s="59">
        <f>IF(C405="","",IFERROR(INDEX('6. Base de Custos'!$O$8:$O$42,MATCH(C405,'6. Base de Custos'!$L$8:$L$42,0)),"Revisar"))</f>
        <v/>
      </c>
      <c r="O405" s="60">
        <f>IF(M405="","",IFERROR(VLOOKUP(M405,'6. Base de Custos'!$H$12:$J$18,3,FALSE),0))</f>
        <v/>
      </c>
      <c r="P405" s="59">
        <f>IF(C405="","",IFERROR(INDEX('6. Base de Custos'!$P$8:$P$42,MATCH(C405,'6. Base de Custos'!$L$8:$L$42,0)),"Revisar"))</f>
        <v/>
      </c>
      <c r="Q405" s="59">
        <f>IF(C405="","",IFERROR(INDEX('6. Base de Custos'!$Q$8:$Q$42,MATCH(C405,'6. Base de Custos'!$L$8:$L$42,0)),""))</f>
        <v/>
      </c>
      <c r="R405" s="65">
        <f>IF(C405="","",IFERROR(VLOOKUP(M405&amp;"|"&amp;N405,'17. Mapa DRE CP'!$E$5:$H$100,2,FALSE),"Revisar"))</f>
        <v/>
      </c>
      <c r="S405" s="65">
        <f>IF(C405="","",IFERROR(VLOOKUP(M405&amp;"|"&amp;N405,'17. Mapa DRE CP'!$E$5:$H$100,3,FALSE),"Revisar"))</f>
        <v/>
      </c>
      <c r="T405" s="65">
        <f>IF(C405="","",IF(R405="(-) Custos diretos dos serviços",IF(ISNUMBER(SEARCH("PCMSO",C405)),"PCMSO",IF(OR(ISNUMBER(SEARCH("SGS",C405)),ISNUMBER(SEARCH("CASTRO NAVES",C405))),"Projetos / Laudos / Avulsos","Projetos / Laudos / Avulsos")),"Rateio pela receita bruta"))</f>
        <v/>
      </c>
      <c r="U405" s="65">
        <f>IF(C405="","",IF(R405="(-) Custos diretos dos serviços","Direto por fornecedor/natureza do gasto","Rateio proporcional à receita bruta da linha de serviço"))</f>
        <v/>
      </c>
    </row>
    <row r="406">
      <c r="A406" s="28">
        <f>IF(C406="","", "CP-"&amp;TEXT(ROW()-5,"000"))</f>
        <v/>
      </c>
      <c r="B406" s="27">
        <f>IF(F406="","",DATE(YEAR(F406),MONTH(F406),1))</f>
        <v/>
      </c>
      <c r="C406" s="28" t="n"/>
      <c r="D406" s="28" t="n"/>
      <c r="E406" s="59">
        <f>IF(C406="","",IFERROR(INDEX('6. Base de Custos'!$M$8:$M$42,MATCH(C406,'6. Base de Custos'!$L$8:$L$42,0)),"Não classificado"))</f>
        <v/>
      </c>
      <c r="F406" s="111" t="n"/>
      <c r="G406" s="111" t="n"/>
      <c r="H406" s="111" t="n"/>
      <c r="I406" s="45" t="n"/>
      <c r="J406" s="28" t="n"/>
      <c r="K406" s="28" t="n"/>
      <c r="L406" s="28" t="n"/>
      <c r="M406" s="59">
        <f>IF(C406="","",IFERROR(INDEX('6. Base de Custos'!$N$8:$N$42,MATCH(C406,'6. Base de Custos'!$L$8:$L$42,0)),"Não classificado"))</f>
        <v/>
      </c>
      <c r="N406" s="59">
        <f>IF(C406="","",IFERROR(INDEX('6. Base de Custos'!$O$8:$O$42,MATCH(C406,'6. Base de Custos'!$L$8:$L$42,0)),"Revisar"))</f>
        <v/>
      </c>
      <c r="O406" s="60">
        <f>IF(M406="","",IFERROR(VLOOKUP(M406,'6. Base de Custos'!$H$12:$J$18,3,FALSE),0))</f>
        <v/>
      </c>
      <c r="P406" s="59">
        <f>IF(C406="","",IFERROR(INDEX('6. Base de Custos'!$P$8:$P$42,MATCH(C406,'6. Base de Custos'!$L$8:$L$42,0)),"Revisar"))</f>
        <v/>
      </c>
      <c r="Q406" s="59">
        <f>IF(C406="","",IFERROR(INDEX('6. Base de Custos'!$Q$8:$Q$42,MATCH(C406,'6. Base de Custos'!$L$8:$L$42,0)),""))</f>
        <v/>
      </c>
      <c r="R406" s="65">
        <f>IF(C406="","",IFERROR(VLOOKUP(M406&amp;"|"&amp;N406,'17. Mapa DRE CP'!$E$5:$H$100,2,FALSE),"Revisar"))</f>
        <v/>
      </c>
      <c r="S406" s="65">
        <f>IF(C406="","",IFERROR(VLOOKUP(M406&amp;"|"&amp;N406,'17. Mapa DRE CP'!$E$5:$H$100,3,FALSE),"Revisar"))</f>
        <v/>
      </c>
      <c r="T406" s="65">
        <f>IF(C406="","",IF(R406="(-) Custos diretos dos serviços",IF(ISNUMBER(SEARCH("PCMSO",C406)),"PCMSO",IF(OR(ISNUMBER(SEARCH("SGS",C406)),ISNUMBER(SEARCH("CASTRO NAVES",C406))),"Projetos / Laudos / Avulsos","Projetos / Laudos / Avulsos")),"Rateio pela receita bruta"))</f>
        <v/>
      </c>
      <c r="U406" s="65">
        <f>IF(C406="","",IF(R406="(-) Custos diretos dos serviços","Direto por fornecedor/natureza do gasto","Rateio proporcional à receita bruta da linha de serviço"))</f>
        <v/>
      </c>
    </row>
    <row r="407">
      <c r="A407" s="28">
        <f>IF(C407="","", "CP-"&amp;TEXT(ROW()-5,"000"))</f>
        <v/>
      </c>
      <c r="B407" s="27">
        <f>IF(F407="","",DATE(YEAR(F407),MONTH(F407),1))</f>
        <v/>
      </c>
      <c r="C407" s="28" t="n"/>
      <c r="D407" s="28" t="n"/>
      <c r="E407" s="59">
        <f>IF(C407="","",IFERROR(INDEX('6. Base de Custos'!$M$8:$M$42,MATCH(C407,'6. Base de Custos'!$L$8:$L$42,0)),"Não classificado"))</f>
        <v/>
      </c>
      <c r="F407" s="111" t="n"/>
      <c r="G407" s="111" t="n"/>
      <c r="H407" s="111" t="n"/>
      <c r="I407" s="45" t="n"/>
      <c r="J407" s="28" t="n"/>
      <c r="K407" s="28" t="n"/>
      <c r="L407" s="28" t="n"/>
      <c r="M407" s="59">
        <f>IF(C407="","",IFERROR(INDEX('6. Base de Custos'!$N$8:$N$42,MATCH(C407,'6. Base de Custos'!$L$8:$L$42,0)),"Não classificado"))</f>
        <v/>
      </c>
      <c r="N407" s="59">
        <f>IF(C407="","",IFERROR(INDEX('6. Base de Custos'!$O$8:$O$42,MATCH(C407,'6. Base de Custos'!$L$8:$L$42,0)),"Revisar"))</f>
        <v/>
      </c>
      <c r="O407" s="60">
        <f>IF(M407="","",IFERROR(VLOOKUP(M407,'6. Base de Custos'!$H$12:$J$18,3,FALSE),0))</f>
        <v/>
      </c>
      <c r="P407" s="59">
        <f>IF(C407="","",IFERROR(INDEX('6. Base de Custos'!$P$8:$P$42,MATCH(C407,'6. Base de Custos'!$L$8:$L$42,0)),"Revisar"))</f>
        <v/>
      </c>
      <c r="Q407" s="59">
        <f>IF(C407="","",IFERROR(INDEX('6. Base de Custos'!$Q$8:$Q$42,MATCH(C407,'6. Base de Custos'!$L$8:$L$42,0)),""))</f>
        <v/>
      </c>
      <c r="R407" s="65">
        <f>IF(C407="","",IFERROR(VLOOKUP(M407&amp;"|"&amp;N407,'17. Mapa DRE CP'!$E$5:$H$100,2,FALSE),"Revisar"))</f>
        <v/>
      </c>
      <c r="S407" s="65">
        <f>IF(C407="","",IFERROR(VLOOKUP(M407&amp;"|"&amp;N407,'17. Mapa DRE CP'!$E$5:$H$100,3,FALSE),"Revisar"))</f>
        <v/>
      </c>
      <c r="T407" s="65">
        <f>IF(C407="","",IF(R407="(-) Custos diretos dos serviços",IF(ISNUMBER(SEARCH("PCMSO",C407)),"PCMSO",IF(OR(ISNUMBER(SEARCH("SGS",C407)),ISNUMBER(SEARCH("CASTRO NAVES",C407))),"Projetos / Laudos / Avulsos","Projetos / Laudos / Avulsos")),"Rateio pela receita bruta"))</f>
        <v/>
      </c>
      <c r="U407" s="65">
        <f>IF(C407="","",IF(R407="(-) Custos diretos dos serviços","Direto por fornecedor/natureza do gasto","Rateio proporcional à receita bruta da linha de serviço"))</f>
        <v/>
      </c>
    </row>
    <row r="408">
      <c r="A408" s="28">
        <f>IF(C408="","", "CP-"&amp;TEXT(ROW()-5,"000"))</f>
        <v/>
      </c>
      <c r="B408" s="27">
        <f>IF(F408="","",DATE(YEAR(F408),MONTH(F408),1))</f>
        <v/>
      </c>
      <c r="C408" s="28" t="n"/>
      <c r="D408" s="28" t="n"/>
      <c r="E408" s="59">
        <f>IF(C408="","",IFERROR(INDEX('6. Base de Custos'!$M$8:$M$42,MATCH(C408,'6. Base de Custos'!$L$8:$L$42,0)),"Não classificado"))</f>
        <v/>
      </c>
      <c r="F408" s="111" t="n"/>
      <c r="G408" s="111" t="n"/>
      <c r="H408" s="111" t="n"/>
      <c r="I408" s="45" t="n"/>
      <c r="J408" s="28" t="n"/>
      <c r="K408" s="28" t="n"/>
      <c r="L408" s="28" t="n"/>
      <c r="M408" s="59">
        <f>IF(C408="","",IFERROR(INDEX('6. Base de Custos'!$N$8:$N$42,MATCH(C408,'6. Base de Custos'!$L$8:$L$42,0)),"Não classificado"))</f>
        <v/>
      </c>
      <c r="N408" s="59">
        <f>IF(C408="","",IFERROR(INDEX('6. Base de Custos'!$O$8:$O$42,MATCH(C408,'6. Base de Custos'!$L$8:$L$42,0)),"Revisar"))</f>
        <v/>
      </c>
      <c r="O408" s="60">
        <f>IF(M408="","",IFERROR(VLOOKUP(M408,'6. Base de Custos'!$H$12:$J$18,3,FALSE),0))</f>
        <v/>
      </c>
      <c r="P408" s="59">
        <f>IF(C408="","",IFERROR(INDEX('6. Base de Custos'!$P$8:$P$42,MATCH(C408,'6. Base de Custos'!$L$8:$L$42,0)),"Revisar"))</f>
        <v/>
      </c>
      <c r="Q408" s="59">
        <f>IF(C408="","",IFERROR(INDEX('6. Base de Custos'!$Q$8:$Q$42,MATCH(C408,'6. Base de Custos'!$L$8:$L$42,0)),""))</f>
        <v/>
      </c>
      <c r="R408" s="65">
        <f>IF(C408="","",IFERROR(VLOOKUP(M408&amp;"|"&amp;N408,'17. Mapa DRE CP'!$E$5:$H$100,2,FALSE),"Revisar"))</f>
        <v/>
      </c>
      <c r="S408" s="65">
        <f>IF(C408="","",IFERROR(VLOOKUP(M408&amp;"|"&amp;N408,'17. Mapa DRE CP'!$E$5:$H$100,3,FALSE),"Revisar"))</f>
        <v/>
      </c>
      <c r="T408" s="65">
        <f>IF(C408="","",IF(R408="(-) Custos diretos dos serviços",IF(ISNUMBER(SEARCH("PCMSO",C408)),"PCMSO",IF(OR(ISNUMBER(SEARCH("SGS",C408)),ISNUMBER(SEARCH("CASTRO NAVES",C408))),"Projetos / Laudos / Avulsos","Projetos / Laudos / Avulsos")),"Rateio pela receita bruta"))</f>
        <v/>
      </c>
      <c r="U408" s="65">
        <f>IF(C408="","",IF(R408="(-) Custos diretos dos serviços","Direto por fornecedor/natureza do gasto","Rateio proporcional à receita bruta da linha de serviço"))</f>
        <v/>
      </c>
    </row>
    <row r="409">
      <c r="A409" s="28">
        <f>IF(C409="","", "CP-"&amp;TEXT(ROW()-5,"000"))</f>
        <v/>
      </c>
      <c r="B409" s="27">
        <f>IF(F409="","",DATE(YEAR(F409),MONTH(F409),1))</f>
        <v/>
      </c>
      <c r="C409" s="28" t="n"/>
      <c r="D409" s="28" t="n"/>
      <c r="E409" s="59">
        <f>IF(C409="","",IFERROR(INDEX('6. Base de Custos'!$M$8:$M$42,MATCH(C409,'6. Base de Custos'!$L$8:$L$42,0)),"Não classificado"))</f>
        <v/>
      </c>
      <c r="F409" s="111" t="n"/>
      <c r="G409" s="111" t="n"/>
      <c r="H409" s="111" t="n"/>
      <c r="I409" s="45" t="n"/>
      <c r="J409" s="28" t="n"/>
      <c r="K409" s="28" t="n"/>
      <c r="L409" s="28" t="n"/>
      <c r="M409" s="59">
        <f>IF(C409="","",IFERROR(INDEX('6. Base de Custos'!$N$8:$N$42,MATCH(C409,'6. Base de Custos'!$L$8:$L$42,0)),"Não classificado"))</f>
        <v/>
      </c>
      <c r="N409" s="59">
        <f>IF(C409="","",IFERROR(INDEX('6. Base de Custos'!$O$8:$O$42,MATCH(C409,'6. Base de Custos'!$L$8:$L$42,0)),"Revisar"))</f>
        <v/>
      </c>
      <c r="O409" s="60">
        <f>IF(M409="","",IFERROR(VLOOKUP(M409,'6. Base de Custos'!$H$12:$J$18,3,FALSE),0))</f>
        <v/>
      </c>
      <c r="P409" s="59">
        <f>IF(C409="","",IFERROR(INDEX('6. Base de Custos'!$P$8:$P$42,MATCH(C409,'6. Base de Custos'!$L$8:$L$42,0)),"Revisar"))</f>
        <v/>
      </c>
      <c r="Q409" s="59">
        <f>IF(C409="","",IFERROR(INDEX('6. Base de Custos'!$Q$8:$Q$42,MATCH(C409,'6. Base de Custos'!$L$8:$L$42,0)),""))</f>
        <v/>
      </c>
      <c r="R409" s="65">
        <f>IF(C409="","",IFERROR(VLOOKUP(M409&amp;"|"&amp;N409,'17. Mapa DRE CP'!$E$5:$H$100,2,FALSE),"Revisar"))</f>
        <v/>
      </c>
      <c r="S409" s="65">
        <f>IF(C409="","",IFERROR(VLOOKUP(M409&amp;"|"&amp;N409,'17. Mapa DRE CP'!$E$5:$H$100,3,FALSE),"Revisar"))</f>
        <v/>
      </c>
      <c r="T409" s="65">
        <f>IF(C409="","",IF(R409="(-) Custos diretos dos serviços",IF(ISNUMBER(SEARCH("PCMSO",C409)),"PCMSO",IF(OR(ISNUMBER(SEARCH("SGS",C409)),ISNUMBER(SEARCH("CASTRO NAVES",C409))),"Projetos / Laudos / Avulsos","Projetos / Laudos / Avulsos")),"Rateio pela receita bruta"))</f>
        <v/>
      </c>
      <c r="U409" s="65">
        <f>IF(C409="","",IF(R409="(-) Custos diretos dos serviços","Direto por fornecedor/natureza do gasto","Rateio proporcional à receita bruta da linha de serviço"))</f>
        <v/>
      </c>
    </row>
    <row r="410">
      <c r="A410" s="28">
        <f>IF(C410="","", "CP-"&amp;TEXT(ROW()-5,"000"))</f>
        <v/>
      </c>
      <c r="B410" s="27">
        <f>IF(F410="","",DATE(YEAR(F410),MONTH(F410),1))</f>
        <v/>
      </c>
      <c r="C410" s="28" t="n"/>
      <c r="D410" s="28" t="n"/>
      <c r="E410" s="59">
        <f>IF(C410="","",IFERROR(INDEX('6. Base de Custos'!$M$8:$M$42,MATCH(C410,'6. Base de Custos'!$L$8:$L$42,0)),"Não classificado"))</f>
        <v/>
      </c>
      <c r="F410" s="111" t="n"/>
      <c r="G410" s="111" t="n"/>
      <c r="H410" s="111" t="n"/>
      <c r="I410" s="45" t="n"/>
      <c r="J410" s="28" t="n"/>
      <c r="K410" s="28" t="n"/>
      <c r="L410" s="28" t="n"/>
      <c r="M410" s="59">
        <f>IF(C410="","",IFERROR(INDEX('6. Base de Custos'!$N$8:$N$42,MATCH(C410,'6. Base de Custos'!$L$8:$L$42,0)),"Não classificado"))</f>
        <v/>
      </c>
      <c r="N410" s="59">
        <f>IF(C410="","",IFERROR(INDEX('6. Base de Custos'!$O$8:$O$42,MATCH(C410,'6. Base de Custos'!$L$8:$L$42,0)),"Revisar"))</f>
        <v/>
      </c>
      <c r="O410" s="60">
        <f>IF(M410="","",IFERROR(VLOOKUP(M410,'6. Base de Custos'!$H$12:$J$18,3,FALSE),0))</f>
        <v/>
      </c>
      <c r="P410" s="59">
        <f>IF(C410="","",IFERROR(INDEX('6. Base de Custos'!$P$8:$P$42,MATCH(C410,'6. Base de Custos'!$L$8:$L$42,0)),"Revisar"))</f>
        <v/>
      </c>
      <c r="Q410" s="59">
        <f>IF(C410="","",IFERROR(INDEX('6. Base de Custos'!$Q$8:$Q$42,MATCH(C410,'6. Base de Custos'!$L$8:$L$42,0)),""))</f>
        <v/>
      </c>
      <c r="R410" s="65">
        <f>IF(C410="","",IFERROR(VLOOKUP(M410&amp;"|"&amp;N410,'17. Mapa DRE CP'!$E$5:$H$100,2,FALSE),"Revisar"))</f>
        <v/>
      </c>
      <c r="S410" s="65">
        <f>IF(C410="","",IFERROR(VLOOKUP(M410&amp;"|"&amp;N410,'17. Mapa DRE CP'!$E$5:$H$100,3,FALSE),"Revisar"))</f>
        <v/>
      </c>
      <c r="T410" s="65">
        <f>IF(C410="","",IF(R410="(-) Custos diretos dos serviços",IF(ISNUMBER(SEARCH("PCMSO",C410)),"PCMSO",IF(OR(ISNUMBER(SEARCH("SGS",C410)),ISNUMBER(SEARCH("CASTRO NAVES",C410))),"Projetos / Laudos / Avulsos","Projetos / Laudos / Avulsos")),"Rateio pela receita bruta"))</f>
        <v/>
      </c>
      <c r="U410" s="65">
        <f>IF(C410="","",IF(R410="(-) Custos diretos dos serviços","Direto por fornecedor/natureza do gasto","Rateio proporcional à receita bruta da linha de serviço"))</f>
        <v/>
      </c>
    </row>
    <row r="411">
      <c r="A411" s="28">
        <f>IF(C411="","", "CP-"&amp;TEXT(ROW()-5,"000"))</f>
        <v/>
      </c>
      <c r="B411" s="27">
        <f>IF(F411="","",DATE(YEAR(F411),MONTH(F411),1))</f>
        <v/>
      </c>
      <c r="C411" s="28" t="n"/>
      <c r="D411" s="28" t="n"/>
      <c r="E411" s="59">
        <f>IF(C411="","",IFERROR(INDEX('6. Base de Custos'!$M$8:$M$42,MATCH(C411,'6. Base de Custos'!$L$8:$L$42,0)),"Não classificado"))</f>
        <v/>
      </c>
      <c r="F411" s="111" t="n"/>
      <c r="G411" s="111" t="n"/>
      <c r="H411" s="111" t="n"/>
      <c r="I411" s="45" t="n"/>
      <c r="J411" s="28" t="n"/>
      <c r="K411" s="28" t="n"/>
      <c r="L411" s="28" t="n"/>
      <c r="M411" s="59">
        <f>IF(C411="","",IFERROR(INDEX('6. Base de Custos'!$N$8:$N$42,MATCH(C411,'6. Base de Custos'!$L$8:$L$42,0)),"Não classificado"))</f>
        <v/>
      </c>
      <c r="N411" s="59">
        <f>IF(C411="","",IFERROR(INDEX('6. Base de Custos'!$O$8:$O$42,MATCH(C411,'6. Base de Custos'!$L$8:$L$42,0)),"Revisar"))</f>
        <v/>
      </c>
      <c r="O411" s="60">
        <f>IF(M411="","",IFERROR(VLOOKUP(M411,'6. Base de Custos'!$H$12:$J$18,3,FALSE),0))</f>
        <v/>
      </c>
      <c r="P411" s="59">
        <f>IF(C411="","",IFERROR(INDEX('6. Base de Custos'!$P$8:$P$42,MATCH(C411,'6. Base de Custos'!$L$8:$L$42,0)),"Revisar"))</f>
        <v/>
      </c>
      <c r="Q411" s="59">
        <f>IF(C411="","",IFERROR(INDEX('6. Base de Custos'!$Q$8:$Q$42,MATCH(C411,'6. Base de Custos'!$L$8:$L$42,0)),""))</f>
        <v/>
      </c>
      <c r="R411" s="65">
        <f>IF(C411="","",IFERROR(VLOOKUP(M411&amp;"|"&amp;N411,'17. Mapa DRE CP'!$E$5:$H$100,2,FALSE),"Revisar"))</f>
        <v/>
      </c>
      <c r="S411" s="65">
        <f>IF(C411="","",IFERROR(VLOOKUP(M411&amp;"|"&amp;N411,'17. Mapa DRE CP'!$E$5:$H$100,3,FALSE),"Revisar"))</f>
        <v/>
      </c>
      <c r="T411" s="65">
        <f>IF(C411="","",IF(R411="(-) Custos diretos dos serviços",IF(ISNUMBER(SEARCH("PCMSO",C411)),"PCMSO",IF(OR(ISNUMBER(SEARCH("SGS",C411)),ISNUMBER(SEARCH("CASTRO NAVES",C411))),"Projetos / Laudos / Avulsos","Projetos / Laudos / Avulsos")),"Rateio pela receita bruta"))</f>
        <v/>
      </c>
      <c r="U411" s="65">
        <f>IF(C411="","",IF(R411="(-) Custos diretos dos serviços","Direto por fornecedor/natureza do gasto","Rateio proporcional à receita bruta da linha de serviço"))</f>
        <v/>
      </c>
    </row>
    <row r="412">
      <c r="A412" s="28">
        <f>IF(C412="","", "CP-"&amp;TEXT(ROW()-5,"000"))</f>
        <v/>
      </c>
      <c r="B412" s="27">
        <f>IF(F412="","",DATE(YEAR(F412),MONTH(F412),1))</f>
        <v/>
      </c>
      <c r="C412" s="28" t="n"/>
      <c r="D412" s="28" t="n"/>
      <c r="E412" s="59">
        <f>IF(C412="","",IFERROR(INDEX('6. Base de Custos'!$M$8:$M$42,MATCH(C412,'6. Base de Custos'!$L$8:$L$42,0)),"Não classificado"))</f>
        <v/>
      </c>
      <c r="F412" s="111" t="n"/>
      <c r="G412" s="111" t="n"/>
      <c r="H412" s="111" t="n"/>
      <c r="I412" s="45" t="n"/>
      <c r="J412" s="28" t="n"/>
      <c r="K412" s="28" t="n"/>
      <c r="L412" s="28" t="n"/>
      <c r="M412" s="59">
        <f>IF(C412="","",IFERROR(INDEX('6. Base de Custos'!$N$8:$N$42,MATCH(C412,'6. Base de Custos'!$L$8:$L$42,0)),"Não classificado"))</f>
        <v/>
      </c>
      <c r="N412" s="59">
        <f>IF(C412="","",IFERROR(INDEX('6. Base de Custos'!$O$8:$O$42,MATCH(C412,'6. Base de Custos'!$L$8:$L$42,0)),"Revisar"))</f>
        <v/>
      </c>
      <c r="O412" s="60">
        <f>IF(M412="","",IFERROR(VLOOKUP(M412,'6. Base de Custos'!$H$12:$J$18,3,FALSE),0))</f>
        <v/>
      </c>
      <c r="P412" s="59">
        <f>IF(C412="","",IFERROR(INDEX('6. Base de Custos'!$P$8:$P$42,MATCH(C412,'6. Base de Custos'!$L$8:$L$42,0)),"Revisar"))</f>
        <v/>
      </c>
      <c r="Q412" s="59">
        <f>IF(C412="","",IFERROR(INDEX('6. Base de Custos'!$Q$8:$Q$42,MATCH(C412,'6. Base de Custos'!$L$8:$L$42,0)),""))</f>
        <v/>
      </c>
      <c r="R412" s="65">
        <f>IF(C412="","",IFERROR(VLOOKUP(M412&amp;"|"&amp;N412,'17. Mapa DRE CP'!$E$5:$H$100,2,FALSE),"Revisar"))</f>
        <v/>
      </c>
      <c r="S412" s="65">
        <f>IF(C412="","",IFERROR(VLOOKUP(M412&amp;"|"&amp;N412,'17. Mapa DRE CP'!$E$5:$H$100,3,FALSE),"Revisar"))</f>
        <v/>
      </c>
      <c r="T412" s="65">
        <f>IF(C412="","",IF(R412="(-) Custos diretos dos serviços",IF(ISNUMBER(SEARCH("PCMSO",C412)),"PCMSO",IF(OR(ISNUMBER(SEARCH("SGS",C412)),ISNUMBER(SEARCH("CASTRO NAVES",C412))),"Projetos / Laudos / Avulsos","Projetos / Laudos / Avulsos")),"Rateio pela receita bruta"))</f>
        <v/>
      </c>
      <c r="U412" s="65">
        <f>IF(C412="","",IF(R412="(-) Custos diretos dos serviços","Direto por fornecedor/natureza do gasto","Rateio proporcional à receita bruta da linha de serviço"))</f>
        <v/>
      </c>
    </row>
    <row r="413">
      <c r="A413" s="28">
        <f>IF(C413="","", "CP-"&amp;TEXT(ROW()-5,"000"))</f>
        <v/>
      </c>
      <c r="B413" s="27">
        <f>IF(F413="","",DATE(YEAR(F413),MONTH(F413),1))</f>
        <v/>
      </c>
      <c r="C413" s="28" t="n"/>
      <c r="D413" s="28" t="n"/>
      <c r="E413" s="59">
        <f>IF(C413="","",IFERROR(INDEX('6. Base de Custos'!$M$8:$M$42,MATCH(C413,'6. Base de Custos'!$L$8:$L$42,0)),"Não classificado"))</f>
        <v/>
      </c>
      <c r="F413" s="111" t="n"/>
      <c r="G413" s="111" t="n"/>
      <c r="H413" s="111" t="n"/>
      <c r="I413" s="45" t="n"/>
      <c r="J413" s="28" t="n"/>
      <c r="K413" s="28" t="n"/>
      <c r="L413" s="28" t="n"/>
      <c r="M413" s="59">
        <f>IF(C413="","",IFERROR(INDEX('6. Base de Custos'!$N$8:$N$42,MATCH(C413,'6. Base de Custos'!$L$8:$L$42,0)),"Não classificado"))</f>
        <v/>
      </c>
      <c r="N413" s="59">
        <f>IF(C413="","",IFERROR(INDEX('6. Base de Custos'!$O$8:$O$42,MATCH(C413,'6. Base de Custos'!$L$8:$L$42,0)),"Revisar"))</f>
        <v/>
      </c>
      <c r="O413" s="60">
        <f>IF(M413="","",IFERROR(VLOOKUP(M413,'6. Base de Custos'!$H$12:$J$18,3,FALSE),0))</f>
        <v/>
      </c>
      <c r="P413" s="59">
        <f>IF(C413="","",IFERROR(INDEX('6. Base de Custos'!$P$8:$P$42,MATCH(C413,'6. Base de Custos'!$L$8:$L$42,0)),"Revisar"))</f>
        <v/>
      </c>
      <c r="Q413" s="59">
        <f>IF(C413="","",IFERROR(INDEX('6. Base de Custos'!$Q$8:$Q$42,MATCH(C413,'6. Base de Custos'!$L$8:$L$42,0)),""))</f>
        <v/>
      </c>
      <c r="R413" s="65">
        <f>IF(C413="","",IFERROR(VLOOKUP(M413&amp;"|"&amp;N413,'17. Mapa DRE CP'!$E$5:$H$100,2,FALSE),"Revisar"))</f>
        <v/>
      </c>
      <c r="S413" s="65">
        <f>IF(C413="","",IFERROR(VLOOKUP(M413&amp;"|"&amp;N413,'17. Mapa DRE CP'!$E$5:$H$100,3,FALSE),"Revisar"))</f>
        <v/>
      </c>
      <c r="T413" s="65">
        <f>IF(C413="","",IF(R413="(-) Custos diretos dos serviços",IF(ISNUMBER(SEARCH("PCMSO",C413)),"PCMSO",IF(OR(ISNUMBER(SEARCH("SGS",C413)),ISNUMBER(SEARCH("CASTRO NAVES",C413))),"Projetos / Laudos / Avulsos","Projetos / Laudos / Avulsos")),"Rateio pela receita bruta"))</f>
        <v/>
      </c>
      <c r="U413" s="65">
        <f>IF(C413="","",IF(R413="(-) Custos diretos dos serviços","Direto por fornecedor/natureza do gasto","Rateio proporcional à receita bruta da linha de serviço"))</f>
        <v/>
      </c>
    </row>
    <row r="414">
      <c r="A414" s="28">
        <f>IF(C414="","", "CP-"&amp;TEXT(ROW()-5,"000"))</f>
        <v/>
      </c>
      <c r="B414" s="27">
        <f>IF(F414="","",DATE(YEAR(F414),MONTH(F414),1))</f>
        <v/>
      </c>
      <c r="C414" s="28" t="n"/>
      <c r="D414" s="28" t="n"/>
      <c r="E414" s="59">
        <f>IF(C414="","",IFERROR(INDEX('6. Base de Custos'!$M$8:$M$42,MATCH(C414,'6. Base de Custos'!$L$8:$L$42,0)),"Não classificado"))</f>
        <v/>
      </c>
      <c r="F414" s="111" t="n"/>
      <c r="G414" s="111" t="n"/>
      <c r="H414" s="111" t="n"/>
      <c r="I414" s="45" t="n"/>
      <c r="J414" s="28" t="n"/>
      <c r="K414" s="28" t="n"/>
      <c r="L414" s="28" t="n"/>
      <c r="M414" s="59">
        <f>IF(C414="","",IFERROR(INDEX('6. Base de Custos'!$N$8:$N$42,MATCH(C414,'6. Base de Custos'!$L$8:$L$42,0)),"Não classificado"))</f>
        <v/>
      </c>
      <c r="N414" s="59">
        <f>IF(C414="","",IFERROR(INDEX('6. Base de Custos'!$O$8:$O$42,MATCH(C414,'6. Base de Custos'!$L$8:$L$42,0)),"Revisar"))</f>
        <v/>
      </c>
      <c r="O414" s="60">
        <f>IF(M414="","",IFERROR(VLOOKUP(M414,'6. Base de Custos'!$H$12:$J$18,3,FALSE),0))</f>
        <v/>
      </c>
      <c r="P414" s="59">
        <f>IF(C414="","",IFERROR(INDEX('6. Base de Custos'!$P$8:$P$42,MATCH(C414,'6. Base de Custos'!$L$8:$L$42,0)),"Revisar"))</f>
        <v/>
      </c>
      <c r="Q414" s="59">
        <f>IF(C414="","",IFERROR(INDEX('6. Base de Custos'!$Q$8:$Q$42,MATCH(C414,'6. Base de Custos'!$L$8:$L$42,0)),""))</f>
        <v/>
      </c>
      <c r="R414" s="65">
        <f>IF(C414="","",IFERROR(VLOOKUP(M414&amp;"|"&amp;N414,'17. Mapa DRE CP'!$E$5:$H$100,2,FALSE),"Revisar"))</f>
        <v/>
      </c>
      <c r="S414" s="65">
        <f>IF(C414="","",IFERROR(VLOOKUP(M414&amp;"|"&amp;N414,'17. Mapa DRE CP'!$E$5:$H$100,3,FALSE),"Revisar"))</f>
        <v/>
      </c>
      <c r="T414" s="65">
        <f>IF(C414="","",IF(R414="(-) Custos diretos dos serviços",IF(ISNUMBER(SEARCH("PCMSO",C414)),"PCMSO",IF(OR(ISNUMBER(SEARCH("SGS",C414)),ISNUMBER(SEARCH("CASTRO NAVES",C414))),"Projetos / Laudos / Avulsos","Projetos / Laudos / Avulsos")),"Rateio pela receita bruta"))</f>
        <v/>
      </c>
      <c r="U414" s="65">
        <f>IF(C414="","",IF(R414="(-) Custos diretos dos serviços","Direto por fornecedor/natureza do gasto","Rateio proporcional à receita bruta da linha de serviço"))</f>
        <v/>
      </c>
    </row>
    <row r="415">
      <c r="A415" s="28">
        <f>IF(C415="","", "CP-"&amp;TEXT(ROW()-5,"000"))</f>
        <v/>
      </c>
      <c r="B415" s="27">
        <f>IF(F415="","",DATE(YEAR(F415),MONTH(F415),1))</f>
        <v/>
      </c>
      <c r="C415" s="28" t="n"/>
      <c r="D415" s="28" t="n"/>
      <c r="E415" s="59">
        <f>IF(C415="","",IFERROR(INDEX('6. Base de Custos'!$M$8:$M$42,MATCH(C415,'6. Base de Custos'!$L$8:$L$42,0)),"Não classificado"))</f>
        <v/>
      </c>
      <c r="F415" s="111" t="n"/>
      <c r="G415" s="111" t="n"/>
      <c r="H415" s="111" t="n"/>
      <c r="I415" s="45" t="n"/>
      <c r="J415" s="28" t="n"/>
      <c r="K415" s="28" t="n"/>
      <c r="L415" s="28" t="n"/>
      <c r="M415" s="59">
        <f>IF(C415="","",IFERROR(INDEX('6. Base de Custos'!$N$8:$N$42,MATCH(C415,'6. Base de Custos'!$L$8:$L$42,0)),"Não classificado"))</f>
        <v/>
      </c>
      <c r="N415" s="59">
        <f>IF(C415="","",IFERROR(INDEX('6. Base de Custos'!$O$8:$O$42,MATCH(C415,'6. Base de Custos'!$L$8:$L$42,0)),"Revisar"))</f>
        <v/>
      </c>
      <c r="O415" s="60">
        <f>IF(M415="","",IFERROR(VLOOKUP(M415,'6. Base de Custos'!$H$12:$J$18,3,FALSE),0))</f>
        <v/>
      </c>
      <c r="P415" s="59">
        <f>IF(C415="","",IFERROR(INDEX('6. Base de Custos'!$P$8:$P$42,MATCH(C415,'6. Base de Custos'!$L$8:$L$42,0)),"Revisar"))</f>
        <v/>
      </c>
      <c r="Q415" s="59">
        <f>IF(C415="","",IFERROR(INDEX('6. Base de Custos'!$Q$8:$Q$42,MATCH(C415,'6. Base de Custos'!$L$8:$L$42,0)),""))</f>
        <v/>
      </c>
      <c r="R415" s="65">
        <f>IF(C415="","",IFERROR(VLOOKUP(M415&amp;"|"&amp;N415,'17. Mapa DRE CP'!$E$5:$H$100,2,FALSE),"Revisar"))</f>
        <v/>
      </c>
      <c r="S415" s="65">
        <f>IF(C415="","",IFERROR(VLOOKUP(M415&amp;"|"&amp;N415,'17. Mapa DRE CP'!$E$5:$H$100,3,FALSE),"Revisar"))</f>
        <v/>
      </c>
      <c r="T415" s="65">
        <f>IF(C415="","",IF(R415="(-) Custos diretos dos serviços",IF(ISNUMBER(SEARCH("PCMSO",C415)),"PCMSO",IF(OR(ISNUMBER(SEARCH("SGS",C415)),ISNUMBER(SEARCH("CASTRO NAVES",C415))),"Projetos / Laudos / Avulsos","Projetos / Laudos / Avulsos")),"Rateio pela receita bruta"))</f>
        <v/>
      </c>
      <c r="U415" s="65">
        <f>IF(C415="","",IF(R415="(-) Custos diretos dos serviços","Direto por fornecedor/natureza do gasto","Rateio proporcional à receita bruta da linha de serviço"))</f>
        <v/>
      </c>
    </row>
    <row r="416">
      <c r="A416" s="28">
        <f>IF(C416="","", "CP-"&amp;TEXT(ROW()-5,"000"))</f>
        <v/>
      </c>
      <c r="B416" s="27">
        <f>IF(F416="","",DATE(YEAR(F416),MONTH(F416),1))</f>
        <v/>
      </c>
      <c r="C416" s="28" t="n"/>
      <c r="D416" s="28" t="n"/>
      <c r="E416" s="59">
        <f>IF(C416="","",IFERROR(INDEX('6. Base de Custos'!$M$8:$M$42,MATCH(C416,'6. Base de Custos'!$L$8:$L$42,0)),"Não classificado"))</f>
        <v/>
      </c>
      <c r="F416" s="111" t="n"/>
      <c r="G416" s="111" t="n"/>
      <c r="H416" s="111" t="n"/>
      <c r="I416" s="45" t="n"/>
      <c r="J416" s="28" t="n"/>
      <c r="K416" s="28" t="n"/>
      <c r="L416" s="28" t="n"/>
      <c r="M416" s="59">
        <f>IF(C416="","",IFERROR(INDEX('6. Base de Custos'!$N$8:$N$42,MATCH(C416,'6. Base de Custos'!$L$8:$L$42,0)),"Não classificado"))</f>
        <v/>
      </c>
      <c r="N416" s="59">
        <f>IF(C416="","",IFERROR(INDEX('6. Base de Custos'!$O$8:$O$42,MATCH(C416,'6. Base de Custos'!$L$8:$L$42,0)),"Revisar"))</f>
        <v/>
      </c>
      <c r="O416" s="60">
        <f>IF(M416="","",IFERROR(VLOOKUP(M416,'6. Base de Custos'!$H$12:$J$18,3,FALSE),0))</f>
        <v/>
      </c>
      <c r="P416" s="59">
        <f>IF(C416="","",IFERROR(INDEX('6. Base de Custos'!$P$8:$P$42,MATCH(C416,'6. Base de Custos'!$L$8:$L$42,0)),"Revisar"))</f>
        <v/>
      </c>
      <c r="Q416" s="59">
        <f>IF(C416="","",IFERROR(INDEX('6. Base de Custos'!$Q$8:$Q$42,MATCH(C416,'6. Base de Custos'!$L$8:$L$42,0)),""))</f>
        <v/>
      </c>
      <c r="R416" s="65">
        <f>IF(C416="","",IFERROR(VLOOKUP(M416&amp;"|"&amp;N416,'17. Mapa DRE CP'!$E$5:$H$100,2,FALSE),"Revisar"))</f>
        <v/>
      </c>
      <c r="S416" s="65">
        <f>IF(C416="","",IFERROR(VLOOKUP(M416&amp;"|"&amp;N416,'17. Mapa DRE CP'!$E$5:$H$100,3,FALSE),"Revisar"))</f>
        <v/>
      </c>
      <c r="T416" s="65">
        <f>IF(C416="","",IF(R416="(-) Custos diretos dos serviços",IF(ISNUMBER(SEARCH("PCMSO",C416)),"PCMSO",IF(OR(ISNUMBER(SEARCH("SGS",C416)),ISNUMBER(SEARCH("CASTRO NAVES",C416))),"Projetos / Laudos / Avulsos","Projetos / Laudos / Avulsos")),"Rateio pela receita bruta"))</f>
        <v/>
      </c>
      <c r="U416" s="65">
        <f>IF(C416="","",IF(R416="(-) Custos diretos dos serviços","Direto por fornecedor/natureza do gasto","Rateio proporcional à receita bruta da linha de serviço"))</f>
        <v/>
      </c>
    </row>
    <row r="417">
      <c r="A417" s="28">
        <f>IF(C417="","", "CP-"&amp;TEXT(ROW()-5,"000"))</f>
        <v/>
      </c>
      <c r="B417" s="27">
        <f>IF(F417="","",DATE(YEAR(F417),MONTH(F417),1))</f>
        <v/>
      </c>
      <c r="C417" s="28" t="n"/>
      <c r="D417" s="28" t="n"/>
      <c r="E417" s="59">
        <f>IF(C417="","",IFERROR(INDEX('6. Base de Custos'!$M$8:$M$42,MATCH(C417,'6. Base de Custos'!$L$8:$L$42,0)),"Não classificado"))</f>
        <v/>
      </c>
      <c r="F417" s="111" t="n"/>
      <c r="G417" s="111" t="n"/>
      <c r="H417" s="111" t="n"/>
      <c r="I417" s="45" t="n"/>
      <c r="J417" s="28" t="n"/>
      <c r="K417" s="28" t="n"/>
      <c r="L417" s="28" t="n"/>
      <c r="M417" s="59">
        <f>IF(C417="","",IFERROR(INDEX('6. Base de Custos'!$N$8:$N$42,MATCH(C417,'6. Base de Custos'!$L$8:$L$42,0)),"Não classificado"))</f>
        <v/>
      </c>
      <c r="N417" s="59">
        <f>IF(C417="","",IFERROR(INDEX('6. Base de Custos'!$O$8:$O$42,MATCH(C417,'6. Base de Custos'!$L$8:$L$42,0)),"Revisar"))</f>
        <v/>
      </c>
      <c r="O417" s="60">
        <f>IF(M417="","",IFERROR(VLOOKUP(M417,'6. Base de Custos'!$H$12:$J$18,3,FALSE),0))</f>
        <v/>
      </c>
      <c r="P417" s="59">
        <f>IF(C417="","",IFERROR(INDEX('6. Base de Custos'!$P$8:$P$42,MATCH(C417,'6. Base de Custos'!$L$8:$L$42,0)),"Revisar"))</f>
        <v/>
      </c>
      <c r="Q417" s="59">
        <f>IF(C417="","",IFERROR(INDEX('6. Base de Custos'!$Q$8:$Q$42,MATCH(C417,'6. Base de Custos'!$L$8:$L$42,0)),""))</f>
        <v/>
      </c>
      <c r="R417" s="65">
        <f>IF(C417="","",IFERROR(VLOOKUP(M417&amp;"|"&amp;N417,'17. Mapa DRE CP'!$E$5:$H$100,2,FALSE),"Revisar"))</f>
        <v/>
      </c>
      <c r="S417" s="65">
        <f>IF(C417="","",IFERROR(VLOOKUP(M417&amp;"|"&amp;N417,'17. Mapa DRE CP'!$E$5:$H$100,3,FALSE),"Revisar"))</f>
        <v/>
      </c>
      <c r="T417" s="65">
        <f>IF(C417="","",IF(R417="(-) Custos diretos dos serviços",IF(ISNUMBER(SEARCH("PCMSO",C417)),"PCMSO",IF(OR(ISNUMBER(SEARCH("SGS",C417)),ISNUMBER(SEARCH("CASTRO NAVES",C417))),"Projetos / Laudos / Avulsos","Projetos / Laudos / Avulsos")),"Rateio pela receita bruta"))</f>
        <v/>
      </c>
      <c r="U417" s="65">
        <f>IF(C417="","",IF(R417="(-) Custos diretos dos serviços","Direto por fornecedor/natureza do gasto","Rateio proporcional à receita bruta da linha de serviço"))</f>
        <v/>
      </c>
    </row>
    <row r="418">
      <c r="A418" s="28">
        <f>IF(C418="","", "CP-"&amp;TEXT(ROW()-5,"000"))</f>
        <v/>
      </c>
      <c r="B418" s="27">
        <f>IF(F418="","",DATE(YEAR(F418),MONTH(F418),1))</f>
        <v/>
      </c>
      <c r="C418" s="28" t="n"/>
      <c r="D418" s="28" t="n"/>
      <c r="E418" s="59">
        <f>IF(C418="","",IFERROR(INDEX('6. Base de Custos'!$M$8:$M$42,MATCH(C418,'6. Base de Custos'!$L$8:$L$42,0)),"Não classificado"))</f>
        <v/>
      </c>
      <c r="F418" s="111" t="n"/>
      <c r="G418" s="111" t="n"/>
      <c r="H418" s="111" t="n"/>
      <c r="I418" s="45" t="n"/>
      <c r="J418" s="28" t="n"/>
      <c r="K418" s="28" t="n"/>
      <c r="L418" s="28" t="n"/>
      <c r="M418" s="59">
        <f>IF(C418="","",IFERROR(INDEX('6. Base de Custos'!$N$8:$N$42,MATCH(C418,'6. Base de Custos'!$L$8:$L$42,0)),"Não classificado"))</f>
        <v/>
      </c>
      <c r="N418" s="59">
        <f>IF(C418="","",IFERROR(INDEX('6. Base de Custos'!$O$8:$O$42,MATCH(C418,'6. Base de Custos'!$L$8:$L$42,0)),"Revisar"))</f>
        <v/>
      </c>
      <c r="O418" s="60">
        <f>IF(M418="","",IFERROR(VLOOKUP(M418,'6. Base de Custos'!$H$12:$J$18,3,FALSE),0))</f>
        <v/>
      </c>
      <c r="P418" s="59">
        <f>IF(C418="","",IFERROR(INDEX('6. Base de Custos'!$P$8:$P$42,MATCH(C418,'6. Base de Custos'!$L$8:$L$42,0)),"Revisar"))</f>
        <v/>
      </c>
      <c r="Q418" s="59">
        <f>IF(C418="","",IFERROR(INDEX('6. Base de Custos'!$Q$8:$Q$42,MATCH(C418,'6. Base de Custos'!$L$8:$L$42,0)),""))</f>
        <v/>
      </c>
      <c r="R418" s="65">
        <f>IF(C418="","",IFERROR(VLOOKUP(M418&amp;"|"&amp;N418,'17. Mapa DRE CP'!$E$5:$H$100,2,FALSE),"Revisar"))</f>
        <v/>
      </c>
      <c r="S418" s="65">
        <f>IF(C418="","",IFERROR(VLOOKUP(M418&amp;"|"&amp;N418,'17. Mapa DRE CP'!$E$5:$H$100,3,FALSE),"Revisar"))</f>
        <v/>
      </c>
      <c r="T418" s="65">
        <f>IF(C418="","",IF(R418="(-) Custos diretos dos serviços",IF(ISNUMBER(SEARCH("PCMSO",C418)),"PCMSO",IF(OR(ISNUMBER(SEARCH("SGS",C418)),ISNUMBER(SEARCH("CASTRO NAVES",C418))),"Projetos / Laudos / Avulsos","Projetos / Laudos / Avulsos")),"Rateio pela receita bruta"))</f>
        <v/>
      </c>
      <c r="U418" s="65">
        <f>IF(C418="","",IF(R418="(-) Custos diretos dos serviços","Direto por fornecedor/natureza do gasto","Rateio proporcional à receita bruta da linha de serviço"))</f>
        <v/>
      </c>
    </row>
    <row r="419">
      <c r="A419" s="28">
        <f>IF(C419="","", "CP-"&amp;TEXT(ROW()-5,"000"))</f>
        <v/>
      </c>
      <c r="B419" s="27">
        <f>IF(F419="","",DATE(YEAR(F419),MONTH(F419),1))</f>
        <v/>
      </c>
      <c r="C419" s="28" t="n"/>
      <c r="D419" s="28" t="n"/>
      <c r="E419" s="59">
        <f>IF(C419="","",IFERROR(INDEX('6. Base de Custos'!$M$8:$M$42,MATCH(C419,'6. Base de Custos'!$L$8:$L$42,0)),"Não classificado"))</f>
        <v/>
      </c>
      <c r="F419" s="111" t="n"/>
      <c r="G419" s="111" t="n"/>
      <c r="H419" s="111" t="n"/>
      <c r="I419" s="45" t="n"/>
      <c r="J419" s="28" t="n"/>
      <c r="K419" s="28" t="n"/>
      <c r="L419" s="28" t="n"/>
      <c r="M419" s="59">
        <f>IF(C419="","",IFERROR(INDEX('6. Base de Custos'!$N$8:$N$42,MATCH(C419,'6. Base de Custos'!$L$8:$L$42,0)),"Não classificado"))</f>
        <v/>
      </c>
      <c r="N419" s="59">
        <f>IF(C419="","",IFERROR(INDEX('6. Base de Custos'!$O$8:$O$42,MATCH(C419,'6. Base de Custos'!$L$8:$L$42,0)),"Revisar"))</f>
        <v/>
      </c>
      <c r="O419" s="60">
        <f>IF(M419="","",IFERROR(VLOOKUP(M419,'6. Base de Custos'!$H$12:$J$18,3,FALSE),0))</f>
        <v/>
      </c>
      <c r="P419" s="59">
        <f>IF(C419="","",IFERROR(INDEX('6. Base de Custos'!$P$8:$P$42,MATCH(C419,'6. Base de Custos'!$L$8:$L$42,0)),"Revisar"))</f>
        <v/>
      </c>
      <c r="Q419" s="59">
        <f>IF(C419="","",IFERROR(INDEX('6. Base de Custos'!$Q$8:$Q$42,MATCH(C419,'6. Base de Custos'!$L$8:$L$42,0)),""))</f>
        <v/>
      </c>
      <c r="R419" s="65">
        <f>IF(C419="","",IFERROR(VLOOKUP(M419&amp;"|"&amp;N419,'17. Mapa DRE CP'!$E$5:$H$100,2,FALSE),"Revisar"))</f>
        <v/>
      </c>
      <c r="S419" s="65">
        <f>IF(C419="","",IFERROR(VLOOKUP(M419&amp;"|"&amp;N419,'17. Mapa DRE CP'!$E$5:$H$100,3,FALSE),"Revisar"))</f>
        <v/>
      </c>
      <c r="T419" s="65">
        <f>IF(C419="","",IF(R419="(-) Custos diretos dos serviços",IF(ISNUMBER(SEARCH("PCMSO",C419)),"PCMSO",IF(OR(ISNUMBER(SEARCH("SGS",C419)),ISNUMBER(SEARCH("CASTRO NAVES",C419))),"Projetos / Laudos / Avulsos","Projetos / Laudos / Avulsos")),"Rateio pela receita bruta"))</f>
        <v/>
      </c>
      <c r="U419" s="65">
        <f>IF(C419="","",IF(R419="(-) Custos diretos dos serviços","Direto por fornecedor/natureza do gasto","Rateio proporcional à receita bruta da linha de serviço"))</f>
        <v/>
      </c>
    </row>
    <row r="420">
      <c r="A420" s="28">
        <f>IF(C420="","", "CP-"&amp;TEXT(ROW()-5,"000"))</f>
        <v/>
      </c>
      <c r="B420" s="27">
        <f>IF(F420="","",DATE(YEAR(F420),MONTH(F420),1))</f>
        <v/>
      </c>
      <c r="C420" s="28" t="n"/>
      <c r="D420" s="28" t="n"/>
      <c r="E420" s="59">
        <f>IF(C420="","",IFERROR(INDEX('6. Base de Custos'!$M$8:$M$42,MATCH(C420,'6. Base de Custos'!$L$8:$L$42,0)),"Não classificado"))</f>
        <v/>
      </c>
      <c r="F420" s="111" t="n"/>
      <c r="G420" s="111" t="n"/>
      <c r="H420" s="111" t="n"/>
      <c r="I420" s="45" t="n"/>
      <c r="J420" s="28" t="n"/>
      <c r="K420" s="28" t="n"/>
      <c r="L420" s="28" t="n"/>
      <c r="M420" s="59">
        <f>IF(C420="","",IFERROR(INDEX('6. Base de Custos'!$N$8:$N$42,MATCH(C420,'6. Base de Custos'!$L$8:$L$42,0)),"Não classificado"))</f>
        <v/>
      </c>
      <c r="N420" s="59">
        <f>IF(C420="","",IFERROR(INDEX('6. Base de Custos'!$O$8:$O$42,MATCH(C420,'6. Base de Custos'!$L$8:$L$42,0)),"Revisar"))</f>
        <v/>
      </c>
      <c r="O420" s="60">
        <f>IF(M420="","",IFERROR(VLOOKUP(M420,'6. Base de Custos'!$H$12:$J$18,3,FALSE),0))</f>
        <v/>
      </c>
      <c r="P420" s="59">
        <f>IF(C420="","",IFERROR(INDEX('6. Base de Custos'!$P$8:$P$42,MATCH(C420,'6. Base de Custos'!$L$8:$L$42,0)),"Revisar"))</f>
        <v/>
      </c>
      <c r="Q420" s="59">
        <f>IF(C420="","",IFERROR(INDEX('6. Base de Custos'!$Q$8:$Q$42,MATCH(C420,'6. Base de Custos'!$L$8:$L$42,0)),""))</f>
        <v/>
      </c>
      <c r="R420" s="65">
        <f>IF(C420="","",IFERROR(VLOOKUP(M420&amp;"|"&amp;N420,'17. Mapa DRE CP'!$E$5:$H$100,2,FALSE),"Revisar"))</f>
        <v/>
      </c>
      <c r="S420" s="65">
        <f>IF(C420="","",IFERROR(VLOOKUP(M420&amp;"|"&amp;N420,'17. Mapa DRE CP'!$E$5:$H$100,3,FALSE),"Revisar"))</f>
        <v/>
      </c>
      <c r="T420" s="65">
        <f>IF(C420="","",IF(R420="(-) Custos diretos dos serviços",IF(ISNUMBER(SEARCH("PCMSO",C420)),"PCMSO",IF(OR(ISNUMBER(SEARCH("SGS",C420)),ISNUMBER(SEARCH("CASTRO NAVES",C420))),"Projetos / Laudos / Avulsos","Projetos / Laudos / Avulsos")),"Rateio pela receita bruta"))</f>
        <v/>
      </c>
      <c r="U420" s="65">
        <f>IF(C420="","",IF(R420="(-) Custos diretos dos serviços","Direto por fornecedor/natureza do gasto","Rateio proporcional à receita bruta da linha de serviço"))</f>
        <v/>
      </c>
    </row>
    <row r="421">
      <c r="A421" s="28">
        <f>IF(C421="","", "CP-"&amp;TEXT(ROW()-5,"000"))</f>
        <v/>
      </c>
      <c r="B421" s="27">
        <f>IF(F421="","",DATE(YEAR(F421),MONTH(F421),1))</f>
        <v/>
      </c>
      <c r="C421" s="28" t="n"/>
      <c r="D421" s="28" t="n"/>
      <c r="E421" s="59">
        <f>IF(C421="","",IFERROR(INDEX('6. Base de Custos'!$M$8:$M$42,MATCH(C421,'6. Base de Custos'!$L$8:$L$42,0)),"Não classificado"))</f>
        <v/>
      </c>
      <c r="F421" s="111" t="n"/>
      <c r="G421" s="111" t="n"/>
      <c r="H421" s="111" t="n"/>
      <c r="I421" s="45" t="n"/>
      <c r="J421" s="28" t="n"/>
      <c r="K421" s="28" t="n"/>
      <c r="L421" s="28" t="n"/>
      <c r="M421" s="59">
        <f>IF(C421="","",IFERROR(INDEX('6. Base de Custos'!$N$8:$N$42,MATCH(C421,'6. Base de Custos'!$L$8:$L$42,0)),"Não classificado"))</f>
        <v/>
      </c>
      <c r="N421" s="59">
        <f>IF(C421="","",IFERROR(INDEX('6. Base de Custos'!$O$8:$O$42,MATCH(C421,'6. Base de Custos'!$L$8:$L$42,0)),"Revisar"))</f>
        <v/>
      </c>
      <c r="O421" s="60">
        <f>IF(M421="","",IFERROR(VLOOKUP(M421,'6. Base de Custos'!$H$12:$J$18,3,FALSE),0))</f>
        <v/>
      </c>
      <c r="P421" s="59">
        <f>IF(C421="","",IFERROR(INDEX('6. Base de Custos'!$P$8:$P$42,MATCH(C421,'6. Base de Custos'!$L$8:$L$42,0)),"Revisar"))</f>
        <v/>
      </c>
      <c r="Q421" s="59">
        <f>IF(C421="","",IFERROR(INDEX('6. Base de Custos'!$Q$8:$Q$42,MATCH(C421,'6. Base de Custos'!$L$8:$L$42,0)),""))</f>
        <v/>
      </c>
      <c r="R421" s="65">
        <f>IF(C421="","",IFERROR(VLOOKUP(M421&amp;"|"&amp;N421,'17. Mapa DRE CP'!$E$5:$H$100,2,FALSE),"Revisar"))</f>
        <v/>
      </c>
      <c r="S421" s="65">
        <f>IF(C421="","",IFERROR(VLOOKUP(M421&amp;"|"&amp;N421,'17. Mapa DRE CP'!$E$5:$H$100,3,FALSE),"Revisar"))</f>
        <v/>
      </c>
      <c r="T421" s="65">
        <f>IF(C421="","",IF(R421="(-) Custos diretos dos serviços",IF(ISNUMBER(SEARCH("PCMSO",C421)),"PCMSO",IF(OR(ISNUMBER(SEARCH("SGS",C421)),ISNUMBER(SEARCH("CASTRO NAVES",C421))),"Projetos / Laudos / Avulsos","Projetos / Laudos / Avulsos")),"Rateio pela receita bruta"))</f>
        <v/>
      </c>
      <c r="U421" s="65">
        <f>IF(C421="","",IF(R421="(-) Custos diretos dos serviços","Direto por fornecedor/natureza do gasto","Rateio proporcional à receita bruta da linha de serviço"))</f>
        <v/>
      </c>
    </row>
    <row r="422">
      <c r="A422" s="28">
        <f>IF(C422="","", "CP-"&amp;TEXT(ROW()-5,"000"))</f>
        <v/>
      </c>
      <c r="B422" s="27">
        <f>IF(F422="","",DATE(YEAR(F422),MONTH(F422),1))</f>
        <v/>
      </c>
      <c r="C422" s="28" t="n"/>
      <c r="D422" s="28" t="n"/>
      <c r="E422" s="59">
        <f>IF(C422="","",IFERROR(INDEX('6. Base de Custos'!$M$8:$M$42,MATCH(C422,'6. Base de Custos'!$L$8:$L$42,0)),"Não classificado"))</f>
        <v/>
      </c>
      <c r="F422" s="111" t="n"/>
      <c r="G422" s="111" t="n"/>
      <c r="H422" s="111" t="n"/>
      <c r="I422" s="45" t="n"/>
      <c r="J422" s="28" t="n"/>
      <c r="K422" s="28" t="n"/>
      <c r="L422" s="28" t="n"/>
      <c r="M422" s="59">
        <f>IF(C422="","",IFERROR(INDEX('6. Base de Custos'!$N$8:$N$42,MATCH(C422,'6. Base de Custos'!$L$8:$L$42,0)),"Não classificado"))</f>
        <v/>
      </c>
      <c r="N422" s="59">
        <f>IF(C422="","",IFERROR(INDEX('6. Base de Custos'!$O$8:$O$42,MATCH(C422,'6. Base de Custos'!$L$8:$L$42,0)),"Revisar"))</f>
        <v/>
      </c>
      <c r="O422" s="60">
        <f>IF(M422="","",IFERROR(VLOOKUP(M422,'6. Base de Custos'!$H$12:$J$18,3,FALSE),0))</f>
        <v/>
      </c>
      <c r="P422" s="59">
        <f>IF(C422="","",IFERROR(INDEX('6. Base de Custos'!$P$8:$P$42,MATCH(C422,'6. Base de Custos'!$L$8:$L$42,0)),"Revisar"))</f>
        <v/>
      </c>
      <c r="Q422" s="59">
        <f>IF(C422="","",IFERROR(INDEX('6. Base de Custos'!$Q$8:$Q$42,MATCH(C422,'6. Base de Custos'!$L$8:$L$42,0)),""))</f>
        <v/>
      </c>
      <c r="R422" s="65">
        <f>IF(C422="","",IFERROR(VLOOKUP(M422&amp;"|"&amp;N422,'17. Mapa DRE CP'!$E$5:$H$100,2,FALSE),"Revisar"))</f>
        <v/>
      </c>
      <c r="S422" s="65">
        <f>IF(C422="","",IFERROR(VLOOKUP(M422&amp;"|"&amp;N422,'17. Mapa DRE CP'!$E$5:$H$100,3,FALSE),"Revisar"))</f>
        <v/>
      </c>
      <c r="T422" s="65">
        <f>IF(C422="","",IF(R422="(-) Custos diretos dos serviços",IF(ISNUMBER(SEARCH("PCMSO",C422)),"PCMSO",IF(OR(ISNUMBER(SEARCH("SGS",C422)),ISNUMBER(SEARCH("CASTRO NAVES",C422))),"Projetos / Laudos / Avulsos","Projetos / Laudos / Avulsos")),"Rateio pela receita bruta"))</f>
        <v/>
      </c>
      <c r="U422" s="65">
        <f>IF(C422="","",IF(R422="(-) Custos diretos dos serviços","Direto por fornecedor/natureza do gasto","Rateio proporcional à receita bruta da linha de serviço"))</f>
        <v/>
      </c>
    </row>
    <row r="423">
      <c r="A423" s="28">
        <f>IF(C423="","", "CP-"&amp;TEXT(ROW()-5,"000"))</f>
        <v/>
      </c>
      <c r="B423" s="27">
        <f>IF(F423="","",DATE(YEAR(F423),MONTH(F423),1))</f>
        <v/>
      </c>
      <c r="C423" s="28" t="n"/>
      <c r="D423" s="28" t="n"/>
      <c r="E423" s="59">
        <f>IF(C423="","",IFERROR(INDEX('6. Base de Custos'!$M$8:$M$42,MATCH(C423,'6. Base de Custos'!$L$8:$L$42,0)),"Não classificado"))</f>
        <v/>
      </c>
      <c r="F423" s="111" t="n"/>
      <c r="G423" s="111" t="n"/>
      <c r="H423" s="111" t="n"/>
      <c r="I423" s="45" t="n"/>
      <c r="J423" s="28" t="n"/>
      <c r="K423" s="28" t="n"/>
      <c r="L423" s="28" t="n"/>
      <c r="M423" s="59">
        <f>IF(C423="","",IFERROR(INDEX('6. Base de Custos'!$N$8:$N$42,MATCH(C423,'6. Base de Custos'!$L$8:$L$42,0)),"Não classificado"))</f>
        <v/>
      </c>
      <c r="N423" s="59">
        <f>IF(C423="","",IFERROR(INDEX('6. Base de Custos'!$O$8:$O$42,MATCH(C423,'6. Base de Custos'!$L$8:$L$42,0)),"Revisar"))</f>
        <v/>
      </c>
      <c r="O423" s="60">
        <f>IF(M423="","",IFERROR(VLOOKUP(M423,'6. Base de Custos'!$H$12:$J$18,3,FALSE),0))</f>
        <v/>
      </c>
      <c r="P423" s="59">
        <f>IF(C423="","",IFERROR(INDEX('6. Base de Custos'!$P$8:$P$42,MATCH(C423,'6. Base de Custos'!$L$8:$L$42,0)),"Revisar"))</f>
        <v/>
      </c>
      <c r="Q423" s="59">
        <f>IF(C423="","",IFERROR(INDEX('6. Base de Custos'!$Q$8:$Q$42,MATCH(C423,'6. Base de Custos'!$L$8:$L$42,0)),""))</f>
        <v/>
      </c>
      <c r="R423" s="65">
        <f>IF(C423="","",IFERROR(VLOOKUP(M423&amp;"|"&amp;N423,'17. Mapa DRE CP'!$E$5:$H$100,2,FALSE),"Revisar"))</f>
        <v/>
      </c>
      <c r="S423" s="65">
        <f>IF(C423="","",IFERROR(VLOOKUP(M423&amp;"|"&amp;N423,'17. Mapa DRE CP'!$E$5:$H$100,3,FALSE),"Revisar"))</f>
        <v/>
      </c>
      <c r="T423" s="65">
        <f>IF(C423="","",IF(R423="(-) Custos diretos dos serviços",IF(ISNUMBER(SEARCH("PCMSO",C423)),"PCMSO",IF(OR(ISNUMBER(SEARCH("SGS",C423)),ISNUMBER(SEARCH("CASTRO NAVES",C423))),"Projetos / Laudos / Avulsos","Projetos / Laudos / Avulsos")),"Rateio pela receita bruta"))</f>
        <v/>
      </c>
      <c r="U423" s="65">
        <f>IF(C423="","",IF(R423="(-) Custos diretos dos serviços","Direto por fornecedor/natureza do gasto","Rateio proporcional à receita bruta da linha de serviço"))</f>
        <v/>
      </c>
    </row>
    <row r="424">
      <c r="A424" s="28">
        <f>IF(C424="","", "CP-"&amp;TEXT(ROW()-5,"000"))</f>
        <v/>
      </c>
      <c r="B424" s="27">
        <f>IF(F424="","",DATE(YEAR(F424),MONTH(F424),1))</f>
        <v/>
      </c>
      <c r="C424" s="28" t="n"/>
      <c r="D424" s="28" t="n"/>
      <c r="E424" s="59">
        <f>IF(C424="","",IFERROR(INDEX('6. Base de Custos'!$M$8:$M$42,MATCH(C424,'6. Base de Custos'!$L$8:$L$42,0)),"Não classificado"))</f>
        <v/>
      </c>
      <c r="F424" s="111" t="n"/>
      <c r="G424" s="111" t="n"/>
      <c r="H424" s="111" t="n"/>
      <c r="I424" s="45" t="n"/>
      <c r="J424" s="28" t="n"/>
      <c r="K424" s="28" t="n"/>
      <c r="L424" s="28" t="n"/>
      <c r="M424" s="59">
        <f>IF(C424="","",IFERROR(INDEX('6. Base de Custos'!$N$8:$N$42,MATCH(C424,'6. Base de Custos'!$L$8:$L$42,0)),"Não classificado"))</f>
        <v/>
      </c>
      <c r="N424" s="59">
        <f>IF(C424="","",IFERROR(INDEX('6. Base de Custos'!$O$8:$O$42,MATCH(C424,'6. Base de Custos'!$L$8:$L$42,0)),"Revisar"))</f>
        <v/>
      </c>
      <c r="O424" s="60">
        <f>IF(M424="","",IFERROR(VLOOKUP(M424,'6. Base de Custos'!$H$12:$J$18,3,FALSE),0))</f>
        <v/>
      </c>
      <c r="P424" s="59">
        <f>IF(C424="","",IFERROR(INDEX('6. Base de Custos'!$P$8:$P$42,MATCH(C424,'6. Base de Custos'!$L$8:$L$42,0)),"Revisar"))</f>
        <v/>
      </c>
      <c r="Q424" s="59">
        <f>IF(C424="","",IFERROR(INDEX('6. Base de Custos'!$Q$8:$Q$42,MATCH(C424,'6. Base de Custos'!$L$8:$L$42,0)),""))</f>
        <v/>
      </c>
      <c r="R424" s="65">
        <f>IF(C424="","",IFERROR(VLOOKUP(M424&amp;"|"&amp;N424,'17. Mapa DRE CP'!$E$5:$H$100,2,FALSE),"Revisar"))</f>
        <v/>
      </c>
      <c r="S424" s="65">
        <f>IF(C424="","",IFERROR(VLOOKUP(M424&amp;"|"&amp;N424,'17. Mapa DRE CP'!$E$5:$H$100,3,FALSE),"Revisar"))</f>
        <v/>
      </c>
      <c r="T424" s="65">
        <f>IF(C424="","",IF(R424="(-) Custos diretos dos serviços",IF(ISNUMBER(SEARCH("PCMSO",C424)),"PCMSO",IF(OR(ISNUMBER(SEARCH("SGS",C424)),ISNUMBER(SEARCH("CASTRO NAVES",C424))),"Projetos / Laudos / Avulsos","Projetos / Laudos / Avulsos")),"Rateio pela receita bruta"))</f>
        <v/>
      </c>
      <c r="U424" s="65">
        <f>IF(C424="","",IF(R424="(-) Custos diretos dos serviços","Direto por fornecedor/natureza do gasto","Rateio proporcional à receita bruta da linha de serviço"))</f>
        <v/>
      </c>
    </row>
    <row r="425">
      <c r="A425" s="28">
        <f>IF(C425="","", "CP-"&amp;TEXT(ROW()-5,"000"))</f>
        <v/>
      </c>
      <c r="B425" s="27">
        <f>IF(F425="","",DATE(YEAR(F425),MONTH(F425),1))</f>
        <v/>
      </c>
      <c r="C425" s="28" t="n"/>
      <c r="D425" s="28" t="n"/>
      <c r="E425" s="59">
        <f>IF(C425="","",IFERROR(INDEX('6. Base de Custos'!$M$8:$M$42,MATCH(C425,'6. Base de Custos'!$L$8:$L$42,0)),"Não classificado"))</f>
        <v/>
      </c>
      <c r="F425" s="111" t="n"/>
      <c r="G425" s="111" t="n"/>
      <c r="H425" s="111" t="n"/>
      <c r="I425" s="45" t="n"/>
      <c r="J425" s="28" t="n"/>
      <c r="K425" s="28" t="n"/>
      <c r="L425" s="28" t="n"/>
      <c r="M425" s="59">
        <f>IF(C425="","",IFERROR(INDEX('6. Base de Custos'!$N$8:$N$42,MATCH(C425,'6. Base de Custos'!$L$8:$L$42,0)),"Não classificado"))</f>
        <v/>
      </c>
      <c r="N425" s="59">
        <f>IF(C425="","",IFERROR(INDEX('6. Base de Custos'!$O$8:$O$42,MATCH(C425,'6. Base de Custos'!$L$8:$L$42,0)),"Revisar"))</f>
        <v/>
      </c>
      <c r="O425" s="60">
        <f>IF(M425="","",IFERROR(VLOOKUP(M425,'6. Base de Custos'!$H$12:$J$18,3,FALSE),0))</f>
        <v/>
      </c>
      <c r="P425" s="59">
        <f>IF(C425="","",IFERROR(INDEX('6. Base de Custos'!$P$8:$P$42,MATCH(C425,'6. Base de Custos'!$L$8:$L$42,0)),"Revisar"))</f>
        <v/>
      </c>
      <c r="Q425" s="59">
        <f>IF(C425="","",IFERROR(INDEX('6. Base de Custos'!$Q$8:$Q$42,MATCH(C425,'6. Base de Custos'!$L$8:$L$42,0)),""))</f>
        <v/>
      </c>
      <c r="R425" s="65">
        <f>IF(C425="","",IFERROR(VLOOKUP(M425&amp;"|"&amp;N425,'17. Mapa DRE CP'!$E$5:$H$100,2,FALSE),"Revisar"))</f>
        <v/>
      </c>
      <c r="S425" s="65">
        <f>IF(C425="","",IFERROR(VLOOKUP(M425&amp;"|"&amp;N425,'17. Mapa DRE CP'!$E$5:$H$100,3,FALSE),"Revisar"))</f>
        <v/>
      </c>
      <c r="T425" s="65">
        <f>IF(C425="","",IF(R425="(-) Custos diretos dos serviços",IF(ISNUMBER(SEARCH("PCMSO",C425)),"PCMSO",IF(OR(ISNUMBER(SEARCH("SGS",C425)),ISNUMBER(SEARCH("CASTRO NAVES",C425))),"Projetos / Laudos / Avulsos","Projetos / Laudos / Avulsos")),"Rateio pela receita bruta"))</f>
        <v/>
      </c>
      <c r="U425" s="65">
        <f>IF(C425="","",IF(R425="(-) Custos diretos dos serviços","Direto por fornecedor/natureza do gasto","Rateio proporcional à receita bruta da linha de serviço"))</f>
        <v/>
      </c>
    </row>
    <row r="426">
      <c r="A426" s="28">
        <f>IF(C426="","", "CP-"&amp;TEXT(ROW()-5,"000"))</f>
        <v/>
      </c>
      <c r="B426" s="27">
        <f>IF(F426="","",DATE(YEAR(F426),MONTH(F426),1))</f>
        <v/>
      </c>
      <c r="C426" s="28" t="n"/>
      <c r="D426" s="28" t="n"/>
      <c r="E426" s="59">
        <f>IF(C426="","",IFERROR(INDEX('6. Base de Custos'!$M$8:$M$42,MATCH(C426,'6. Base de Custos'!$L$8:$L$42,0)),"Não classificado"))</f>
        <v/>
      </c>
      <c r="F426" s="111" t="n"/>
      <c r="G426" s="111" t="n"/>
      <c r="H426" s="111" t="n"/>
      <c r="I426" s="45" t="n"/>
      <c r="J426" s="28" t="n"/>
      <c r="K426" s="28" t="n"/>
      <c r="L426" s="28" t="n"/>
      <c r="M426" s="59">
        <f>IF(C426="","",IFERROR(INDEX('6. Base de Custos'!$N$8:$N$42,MATCH(C426,'6. Base de Custos'!$L$8:$L$42,0)),"Não classificado"))</f>
        <v/>
      </c>
      <c r="N426" s="59">
        <f>IF(C426="","",IFERROR(INDEX('6. Base de Custos'!$O$8:$O$42,MATCH(C426,'6. Base de Custos'!$L$8:$L$42,0)),"Revisar"))</f>
        <v/>
      </c>
      <c r="O426" s="60">
        <f>IF(M426="","",IFERROR(VLOOKUP(M426,'6. Base de Custos'!$H$12:$J$18,3,FALSE),0))</f>
        <v/>
      </c>
      <c r="P426" s="59">
        <f>IF(C426="","",IFERROR(INDEX('6. Base de Custos'!$P$8:$P$42,MATCH(C426,'6. Base de Custos'!$L$8:$L$42,0)),"Revisar"))</f>
        <v/>
      </c>
      <c r="Q426" s="59">
        <f>IF(C426="","",IFERROR(INDEX('6. Base de Custos'!$Q$8:$Q$42,MATCH(C426,'6. Base de Custos'!$L$8:$L$42,0)),""))</f>
        <v/>
      </c>
      <c r="R426" s="65">
        <f>IF(C426="","",IFERROR(VLOOKUP(M426&amp;"|"&amp;N426,'17. Mapa DRE CP'!$E$5:$H$100,2,FALSE),"Revisar"))</f>
        <v/>
      </c>
      <c r="S426" s="65">
        <f>IF(C426="","",IFERROR(VLOOKUP(M426&amp;"|"&amp;N426,'17. Mapa DRE CP'!$E$5:$H$100,3,FALSE),"Revisar"))</f>
        <v/>
      </c>
      <c r="T426" s="65">
        <f>IF(C426="","",IF(R426="(-) Custos diretos dos serviços",IF(ISNUMBER(SEARCH("PCMSO",C426)),"PCMSO",IF(OR(ISNUMBER(SEARCH("SGS",C426)),ISNUMBER(SEARCH("CASTRO NAVES",C426))),"Projetos / Laudos / Avulsos","Projetos / Laudos / Avulsos")),"Rateio pela receita bruta"))</f>
        <v/>
      </c>
      <c r="U426" s="65">
        <f>IF(C426="","",IF(R426="(-) Custos diretos dos serviços","Direto por fornecedor/natureza do gasto","Rateio proporcional à receita bruta da linha de serviço"))</f>
        <v/>
      </c>
    </row>
    <row r="427">
      <c r="A427" s="28">
        <f>IF(C427="","", "CP-"&amp;TEXT(ROW()-5,"000"))</f>
        <v/>
      </c>
      <c r="B427" s="27">
        <f>IF(F427="","",DATE(YEAR(F427),MONTH(F427),1))</f>
        <v/>
      </c>
      <c r="C427" s="28" t="n"/>
      <c r="D427" s="28" t="n"/>
      <c r="E427" s="59">
        <f>IF(C427="","",IFERROR(INDEX('6. Base de Custos'!$M$8:$M$42,MATCH(C427,'6. Base de Custos'!$L$8:$L$42,0)),"Não classificado"))</f>
        <v/>
      </c>
      <c r="F427" s="111" t="n"/>
      <c r="G427" s="111" t="n"/>
      <c r="H427" s="111" t="n"/>
      <c r="I427" s="45" t="n"/>
      <c r="J427" s="28" t="n"/>
      <c r="K427" s="28" t="n"/>
      <c r="L427" s="28" t="n"/>
      <c r="M427" s="59">
        <f>IF(C427="","",IFERROR(INDEX('6. Base de Custos'!$N$8:$N$42,MATCH(C427,'6. Base de Custos'!$L$8:$L$42,0)),"Não classificado"))</f>
        <v/>
      </c>
      <c r="N427" s="59">
        <f>IF(C427="","",IFERROR(INDEX('6. Base de Custos'!$O$8:$O$42,MATCH(C427,'6. Base de Custos'!$L$8:$L$42,0)),"Revisar"))</f>
        <v/>
      </c>
      <c r="O427" s="60">
        <f>IF(M427="","",IFERROR(VLOOKUP(M427,'6. Base de Custos'!$H$12:$J$18,3,FALSE),0))</f>
        <v/>
      </c>
      <c r="P427" s="59">
        <f>IF(C427="","",IFERROR(INDEX('6. Base de Custos'!$P$8:$P$42,MATCH(C427,'6. Base de Custos'!$L$8:$L$42,0)),"Revisar"))</f>
        <v/>
      </c>
      <c r="Q427" s="59">
        <f>IF(C427="","",IFERROR(INDEX('6. Base de Custos'!$Q$8:$Q$42,MATCH(C427,'6. Base de Custos'!$L$8:$L$42,0)),""))</f>
        <v/>
      </c>
      <c r="R427" s="65">
        <f>IF(C427="","",IFERROR(VLOOKUP(M427&amp;"|"&amp;N427,'17. Mapa DRE CP'!$E$5:$H$100,2,FALSE),"Revisar"))</f>
        <v/>
      </c>
      <c r="S427" s="65">
        <f>IF(C427="","",IFERROR(VLOOKUP(M427&amp;"|"&amp;N427,'17. Mapa DRE CP'!$E$5:$H$100,3,FALSE),"Revisar"))</f>
        <v/>
      </c>
      <c r="T427" s="65">
        <f>IF(C427="","",IF(R427="(-) Custos diretos dos serviços",IF(ISNUMBER(SEARCH("PCMSO",C427)),"PCMSO",IF(OR(ISNUMBER(SEARCH("SGS",C427)),ISNUMBER(SEARCH("CASTRO NAVES",C427))),"Projetos / Laudos / Avulsos","Projetos / Laudos / Avulsos")),"Rateio pela receita bruta"))</f>
        <v/>
      </c>
      <c r="U427" s="65">
        <f>IF(C427="","",IF(R427="(-) Custos diretos dos serviços","Direto por fornecedor/natureza do gasto","Rateio proporcional à receita bruta da linha de serviço"))</f>
        <v/>
      </c>
    </row>
    <row r="428">
      <c r="A428" s="28">
        <f>IF(C428="","", "CP-"&amp;TEXT(ROW()-5,"000"))</f>
        <v/>
      </c>
      <c r="B428" s="27">
        <f>IF(F428="","",DATE(YEAR(F428),MONTH(F428),1))</f>
        <v/>
      </c>
      <c r="C428" s="28" t="n"/>
      <c r="D428" s="28" t="n"/>
      <c r="E428" s="59">
        <f>IF(C428="","",IFERROR(INDEX('6. Base de Custos'!$M$8:$M$42,MATCH(C428,'6. Base de Custos'!$L$8:$L$42,0)),"Não classificado"))</f>
        <v/>
      </c>
      <c r="F428" s="111" t="n"/>
      <c r="G428" s="111" t="n"/>
      <c r="H428" s="111" t="n"/>
      <c r="I428" s="45" t="n"/>
      <c r="J428" s="28" t="n"/>
      <c r="K428" s="28" t="n"/>
      <c r="L428" s="28" t="n"/>
      <c r="M428" s="59">
        <f>IF(C428="","",IFERROR(INDEX('6. Base de Custos'!$N$8:$N$42,MATCH(C428,'6. Base de Custos'!$L$8:$L$42,0)),"Não classificado"))</f>
        <v/>
      </c>
      <c r="N428" s="59">
        <f>IF(C428="","",IFERROR(INDEX('6. Base de Custos'!$O$8:$O$42,MATCH(C428,'6. Base de Custos'!$L$8:$L$42,0)),"Revisar"))</f>
        <v/>
      </c>
      <c r="O428" s="60">
        <f>IF(M428="","",IFERROR(VLOOKUP(M428,'6. Base de Custos'!$H$12:$J$18,3,FALSE),0))</f>
        <v/>
      </c>
      <c r="P428" s="59">
        <f>IF(C428="","",IFERROR(INDEX('6. Base de Custos'!$P$8:$P$42,MATCH(C428,'6. Base de Custos'!$L$8:$L$42,0)),"Revisar"))</f>
        <v/>
      </c>
      <c r="Q428" s="59">
        <f>IF(C428="","",IFERROR(INDEX('6. Base de Custos'!$Q$8:$Q$42,MATCH(C428,'6. Base de Custos'!$L$8:$L$42,0)),""))</f>
        <v/>
      </c>
      <c r="R428" s="65">
        <f>IF(C428="","",IFERROR(VLOOKUP(M428&amp;"|"&amp;N428,'17. Mapa DRE CP'!$E$5:$H$100,2,FALSE),"Revisar"))</f>
        <v/>
      </c>
      <c r="S428" s="65">
        <f>IF(C428="","",IFERROR(VLOOKUP(M428&amp;"|"&amp;N428,'17. Mapa DRE CP'!$E$5:$H$100,3,FALSE),"Revisar"))</f>
        <v/>
      </c>
      <c r="T428" s="65">
        <f>IF(C428="","",IF(R428="(-) Custos diretos dos serviços",IF(ISNUMBER(SEARCH("PCMSO",C428)),"PCMSO",IF(OR(ISNUMBER(SEARCH("SGS",C428)),ISNUMBER(SEARCH("CASTRO NAVES",C428))),"Projetos / Laudos / Avulsos","Projetos / Laudos / Avulsos")),"Rateio pela receita bruta"))</f>
        <v/>
      </c>
      <c r="U428" s="65">
        <f>IF(C428="","",IF(R428="(-) Custos diretos dos serviços","Direto por fornecedor/natureza do gasto","Rateio proporcional à receita bruta da linha de serviço"))</f>
        <v/>
      </c>
    </row>
    <row r="429">
      <c r="A429" s="28">
        <f>IF(C429="","", "CP-"&amp;TEXT(ROW()-5,"000"))</f>
        <v/>
      </c>
      <c r="B429" s="27">
        <f>IF(F429="","",DATE(YEAR(F429),MONTH(F429),1))</f>
        <v/>
      </c>
      <c r="C429" s="28" t="n"/>
      <c r="D429" s="28" t="n"/>
      <c r="E429" s="59">
        <f>IF(C429="","",IFERROR(INDEX('6. Base de Custos'!$M$8:$M$42,MATCH(C429,'6. Base de Custos'!$L$8:$L$42,0)),"Não classificado"))</f>
        <v/>
      </c>
      <c r="F429" s="111" t="n"/>
      <c r="G429" s="111" t="n"/>
      <c r="H429" s="111" t="n"/>
      <c r="I429" s="45" t="n"/>
      <c r="J429" s="28" t="n"/>
      <c r="K429" s="28" t="n"/>
      <c r="L429" s="28" t="n"/>
      <c r="M429" s="59">
        <f>IF(C429="","",IFERROR(INDEX('6. Base de Custos'!$N$8:$N$42,MATCH(C429,'6. Base de Custos'!$L$8:$L$42,0)),"Não classificado"))</f>
        <v/>
      </c>
      <c r="N429" s="59">
        <f>IF(C429="","",IFERROR(INDEX('6. Base de Custos'!$O$8:$O$42,MATCH(C429,'6. Base de Custos'!$L$8:$L$42,0)),"Revisar"))</f>
        <v/>
      </c>
      <c r="O429" s="60">
        <f>IF(M429="","",IFERROR(VLOOKUP(M429,'6. Base de Custos'!$H$12:$J$18,3,FALSE),0))</f>
        <v/>
      </c>
      <c r="P429" s="59">
        <f>IF(C429="","",IFERROR(INDEX('6. Base de Custos'!$P$8:$P$42,MATCH(C429,'6. Base de Custos'!$L$8:$L$42,0)),"Revisar"))</f>
        <v/>
      </c>
      <c r="Q429" s="59">
        <f>IF(C429="","",IFERROR(INDEX('6. Base de Custos'!$Q$8:$Q$42,MATCH(C429,'6. Base de Custos'!$L$8:$L$42,0)),""))</f>
        <v/>
      </c>
      <c r="R429" s="65">
        <f>IF(C429="","",IFERROR(VLOOKUP(M429&amp;"|"&amp;N429,'17. Mapa DRE CP'!$E$5:$H$100,2,FALSE),"Revisar"))</f>
        <v/>
      </c>
      <c r="S429" s="65">
        <f>IF(C429="","",IFERROR(VLOOKUP(M429&amp;"|"&amp;N429,'17. Mapa DRE CP'!$E$5:$H$100,3,FALSE),"Revisar"))</f>
        <v/>
      </c>
      <c r="T429" s="65">
        <f>IF(C429="","",IF(R429="(-) Custos diretos dos serviços",IF(ISNUMBER(SEARCH("PCMSO",C429)),"PCMSO",IF(OR(ISNUMBER(SEARCH("SGS",C429)),ISNUMBER(SEARCH("CASTRO NAVES",C429))),"Projetos / Laudos / Avulsos","Projetos / Laudos / Avulsos")),"Rateio pela receita bruta"))</f>
        <v/>
      </c>
      <c r="U429" s="65">
        <f>IF(C429="","",IF(R429="(-) Custos diretos dos serviços","Direto por fornecedor/natureza do gasto","Rateio proporcional à receita bruta da linha de serviço"))</f>
        <v/>
      </c>
    </row>
    <row r="430">
      <c r="A430" s="28">
        <f>IF(C430="","", "CP-"&amp;TEXT(ROW()-5,"000"))</f>
        <v/>
      </c>
      <c r="B430" s="27">
        <f>IF(F430="","",DATE(YEAR(F430),MONTH(F430),1))</f>
        <v/>
      </c>
      <c r="C430" s="28" t="n"/>
      <c r="D430" s="28" t="n"/>
      <c r="E430" s="59">
        <f>IF(C430="","",IFERROR(INDEX('6. Base de Custos'!$M$8:$M$42,MATCH(C430,'6. Base de Custos'!$L$8:$L$42,0)),"Não classificado"))</f>
        <v/>
      </c>
      <c r="F430" s="111" t="n"/>
      <c r="G430" s="111" t="n"/>
      <c r="H430" s="111" t="n"/>
      <c r="I430" s="45" t="n"/>
      <c r="J430" s="28" t="n"/>
      <c r="K430" s="28" t="n"/>
      <c r="L430" s="28" t="n"/>
      <c r="M430" s="59">
        <f>IF(C430="","",IFERROR(INDEX('6. Base de Custos'!$N$8:$N$42,MATCH(C430,'6. Base de Custos'!$L$8:$L$42,0)),"Não classificado"))</f>
        <v/>
      </c>
      <c r="N430" s="59">
        <f>IF(C430="","",IFERROR(INDEX('6. Base de Custos'!$O$8:$O$42,MATCH(C430,'6. Base de Custos'!$L$8:$L$42,0)),"Revisar"))</f>
        <v/>
      </c>
      <c r="O430" s="60">
        <f>IF(M430="","",IFERROR(VLOOKUP(M430,'6. Base de Custos'!$H$12:$J$18,3,FALSE),0))</f>
        <v/>
      </c>
      <c r="P430" s="59">
        <f>IF(C430="","",IFERROR(INDEX('6. Base de Custos'!$P$8:$P$42,MATCH(C430,'6. Base de Custos'!$L$8:$L$42,0)),"Revisar"))</f>
        <v/>
      </c>
      <c r="Q430" s="59">
        <f>IF(C430="","",IFERROR(INDEX('6. Base de Custos'!$Q$8:$Q$42,MATCH(C430,'6. Base de Custos'!$L$8:$L$42,0)),""))</f>
        <v/>
      </c>
      <c r="R430" s="65">
        <f>IF(C430="","",IFERROR(VLOOKUP(M430&amp;"|"&amp;N430,'17. Mapa DRE CP'!$E$5:$H$100,2,FALSE),"Revisar"))</f>
        <v/>
      </c>
      <c r="S430" s="65">
        <f>IF(C430="","",IFERROR(VLOOKUP(M430&amp;"|"&amp;N430,'17. Mapa DRE CP'!$E$5:$H$100,3,FALSE),"Revisar"))</f>
        <v/>
      </c>
      <c r="T430" s="65">
        <f>IF(C430="","",IF(R430="(-) Custos diretos dos serviços",IF(ISNUMBER(SEARCH("PCMSO",C430)),"PCMSO",IF(OR(ISNUMBER(SEARCH("SGS",C430)),ISNUMBER(SEARCH("CASTRO NAVES",C430))),"Projetos / Laudos / Avulsos","Projetos / Laudos / Avulsos")),"Rateio pela receita bruta"))</f>
        <v/>
      </c>
      <c r="U430" s="65">
        <f>IF(C430="","",IF(R430="(-) Custos diretos dos serviços","Direto por fornecedor/natureza do gasto","Rateio proporcional à receita bruta da linha de serviço"))</f>
        <v/>
      </c>
    </row>
    <row r="431">
      <c r="A431" s="28">
        <f>IF(C431="","", "CP-"&amp;TEXT(ROW()-5,"000"))</f>
        <v/>
      </c>
      <c r="B431" s="27">
        <f>IF(F431="","",DATE(YEAR(F431),MONTH(F431),1))</f>
        <v/>
      </c>
      <c r="C431" s="28" t="n"/>
      <c r="D431" s="28" t="n"/>
      <c r="E431" s="59">
        <f>IF(C431="","",IFERROR(INDEX('6. Base de Custos'!$M$8:$M$42,MATCH(C431,'6. Base de Custos'!$L$8:$L$42,0)),"Não classificado"))</f>
        <v/>
      </c>
      <c r="F431" s="111" t="n"/>
      <c r="G431" s="111" t="n"/>
      <c r="H431" s="111" t="n"/>
      <c r="I431" s="45" t="n"/>
      <c r="J431" s="28" t="n"/>
      <c r="K431" s="28" t="n"/>
      <c r="L431" s="28" t="n"/>
      <c r="M431" s="59">
        <f>IF(C431="","",IFERROR(INDEX('6. Base de Custos'!$N$8:$N$42,MATCH(C431,'6. Base de Custos'!$L$8:$L$42,0)),"Não classificado"))</f>
        <v/>
      </c>
      <c r="N431" s="59">
        <f>IF(C431="","",IFERROR(INDEX('6. Base de Custos'!$O$8:$O$42,MATCH(C431,'6. Base de Custos'!$L$8:$L$42,0)),"Revisar"))</f>
        <v/>
      </c>
      <c r="O431" s="60">
        <f>IF(M431="","",IFERROR(VLOOKUP(M431,'6. Base de Custos'!$H$12:$J$18,3,FALSE),0))</f>
        <v/>
      </c>
      <c r="P431" s="59">
        <f>IF(C431="","",IFERROR(INDEX('6. Base de Custos'!$P$8:$P$42,MATCH(C431,'6. Base de Custos'!$L$8:$L$42,0)),"Revisar"))</f>
        <v/>
      </c>
      <c r="Q431" s="59">
        <f>IF(C431="","",IFERROR(INDEX('6. Base de Custos'!$Q$8:$Q$42,MATCH(C431,'6. Base de Custos'!$L$8:$L$42,0)),""))</f>
        <v/>
      </c>
      <c r="R431" s="65">
        <f>IF(C431="","",IFERROR(VLOOKUP(M431&amp;"|"&amp;N431,'17. Mapa DRE CP'!$E$5:$H$100,2,FALSE),"Revisar"))</f>
        <v/>
      </c>
      <c r="S431" s="65">
        <f>IF(C431="","",IFERROR(VLOOKUP(M431&amp;"|"&amp;N431,'17. Mapa DRE CP'!$E$5:$H$100,3,FALSE),"Revisar"))</f>
        <v/>
      </c>
      <c r="T431" s="65">
        <f>IF(C431="","",IF(R431="(-) Custos diretos dos serviços",IF(ISNUMBER(SEARCH("PCMSO",C431)),"PCMSO",IF(OR(ISNUMBER(SEARCH("SGS",C431)),ISNUMBER(SEARCH("CASTRO NAVES",C431))),"Projetos / Laudos / Avulsos","Projetos / Laudos / Avulsos")),"Rateio pela receita bruta"))</f>
        <v/>
      </c>
      <c r="U431" s="65">
        <f>IF(C431="","",IF(R431="(-) Custos diretos dos serviços","Direto por fornecedor/natureza do gasto","Rateio proporcional à receita bruta da linha de serviço"))</f>
        <v/>
      </c>
    </row>
    <row r="432">
      <c r="A432" s="28">
        <f>IF(C432="","", "CP-"&amp;TEXT(ROW()-5,"000"))</f>
        <v/>
      </c>
      <c r="B432" s="27">
        <f>IF(F432="","",DATE(YEAR(F432),MONTH(F432),1))</f>
        <v/>
      </c>
      <c r="C432" s="28" t="n"/>
      <c r="D432" s="28" t="n"/>
      <c r="E432" s="59">
        <f>IF(C432="","",IFERROR(INDEX('6. Base de Custos'!$M$8:$M$42,MATCH(C432,'6. Base de Custos'!$L$8:$L$42,0)),"Não classificado"))</f>
        <v/>
      </c>
      <c r="F432" s="111" t="n"/>
      <c r="G432" s="111" t="n"/>
      <c r="H432" s="111" t="n"/>
      <c r="I432" s="45" t="n"/>
      <c r="J432" s="28" t="n"/>
      <c r="K432" s="28" t="n"/>
      <c r="L432" s="28" t="n"/>
      <c r="M432" s="59">
        <f>IF(C432="","",IFERROR(INDEX('6. Base de Custos'!$N$8:$N$42,MATCH(C432,'6. Base de Custos'!$L$8:$L$42,0)),"Não classificado"))</f>
        <v/>
      </c>
      <c r="N432" s="59">
        <f>IF(C432="","",IFERROR(INDEX('6. Base de Custos'!$O$8:$O$42,MATCH(C432,'6. Base de Custos'!$L$8:$L$42,0)),"Revisar"))</f>
        <v/>
      </c>
      <c r="O432" s="60">
        <f>IF(M432="","",IFERROR(VLOOKUP(M432,'6. Base de Custos'!$H$12:$J$18,3,FALSE),0))</f>
        <v/>
      </c>
      <c r="P432" s="59">
        <f>IF(C432="","",IFERROR(INDEX('6. Base de Custos'!$P$8:$P$42,MATCH(C432,'6. Base de Custos'!$L$8:$L$42,0)),"Revisar"))</f>
        <v/>
      </c>
      <c r="Q432" s="59">
        <f>IF(C432="","",IFERROR(INDEX('6. Base de Custos'!$Q$8:$Q$42,MATCH(C432,'6. Base de Custos'!$L$8:$L$42,0)),""))</f>
        <v/>
      </c>
      <c r="R432" s="65">
        <f>IF(C432="","",IFERROR(VLOOKUP(M432&amp;"|"&amp;N432,'17. Mapa DRE CP'!$E$5:$H$100,2,FALSE),"Revisar"))</f>
        <v/>
      </c>
      <c r="S432" s="65">
        <f>IF(C432="","",IFERROR(VLOOKUP(M432&amp;"|"&amp;N432,'17. Mapa DRE CP'!$E$5:$H$100,3,FALSE),"Revisar"))</f>
        <v/>
      </c>
      <c r="T432" s="65">
        <f>IF(C432="","",IF(R432="(-) Custos diretos dos serviços",IF(ISNUMBER(SEARCH("PCMSO",C432)),"PCMSO",IF(OR(ISNUMBER(SEARCH("SGS",C432)),ISNUMBER(SEARCH("CASTRO NAVES",C432))),"Projetos / Laudos / Avulsos","Projetos / Laudos / Avulsos")),"Rateio pela receita bruta"))</f>
        <v/>
      </c>
      <c r="U432" s="65">
        <f>IF(C432="","",IF(R432="(-) Custos diretos dos serviços","Direto por fornecedor/natureza do gasto","Rateio proporcional à receita bruta da linha de serviço"))</f>
        <v/>
      </c>
    </row>
    <row r="433">
      <c r="A433" s="28">
        <f>IF(C433="","", "CP-"&amp;TEXT(ROW()-5,"000"))</f>
        <v/>
      </c>
      <c r="B433" s="27">
        <f>IF(F433="","",DATE(YEAR(F433),MONTH(F433),1))</f>
        <v/>
      </c>
      <c r="C433" s="28" t="n"/>
      <c r="D433" s="28" t="n"/>
      <c r="E433" s="59">
        <f>IF(C433="","",IFERROR(INDEX('6. Base de Custos'!$M$8:$M$42,MATCH(C433,'6. Base de Custos'!$L$8:$L$42,0)),"Não classificado"))</f>
        <v/>
      </c>
      <c r="F433" s="111" t="n"/>
      <c r="G433" s="111" t="n"/>
      <c r="H433" s="111" t="n"/>
      <c r="I433" s="45" t="n"/>
      <c r="J433" s="28" t="n"/>
      <c r="K433" s="28" t="n"/>
      <c r="L433" s="28" t="n"/>
      <c r="M433" s="59">
        <f>IF(C433="","",IFERROR(INDEX('6. Base de Custos'!$N$8:$N$42,MATCH(C433,'6. Base de Custos'!$L$8:$L$42,0)),"Não classificado"))</f>
        <v/>
      </c>
      <c r="N433" s="59">
        <f>IF(C433="","",IFERROR(INDEX('6. Base de Custos'!$O$8:$O$42,MATCH(C433,'6. Base de Custos'!$L$8:$L$42,0)),"Revisar"))</f>
        <v/>
      </c>
      <c r="O433" s="60">
        <f>IF(M433="","",IFERROR(VLOOKUP(M433,'6. Base de Custos'!$H$12:$J$18,3,FALSE),0))</f>
        <v/>
      </c>
      <c r="P433" s="59">
        <f>IF(C433="","",IFERROR(INDEX('6. Base de Custos'!$P$8:$P$42,MATCH(C433,'6. Base de Custos'!$L$8:$L$42,0)),"Revisar"))</f>
        <v/>
      </c>
      <c r="Q433" s="59">
        <f>IF(C433="","",IFERROR(INDEX('6. Base de Custos'!$Q$8:$Q$42,MATCH(C433,'6. Base de Custos'!$L$8:$L$42,0)),""))</f>
        <v/>
      </c>
      <c r="R433" s="65">
        <f>IF(C433="","",IFERROR(VLOOKUP(M433&amp;"|"&amp;N433,'17. Mapa DRE CP'!$E$5:$H$100,2,FALSE),"Revisar"))</f>
        <v/>
      </c>
      <c r="S433" s="65">
        <f>IF(C433="","",IFERROR(VLOOKUP(M433&amp;"|"&amp;N433,'17. Mapa DRE CP'!$E$5:$H$100,3,FALSE),"Revisar"))</f>
        <v/>
      </c>
      <c r="T433" s="65">
        <f>IF(C433="","",IF(R433="(-) Custos diretos dos serviços",IF(ISNUMBER(SEARCH("PCMSO",C433)),"PCMSO",IF(OR(ISNUMBER(SEARCH("SGS",C433)),ISNUMBER(SEARCH("CASTRO NAVES",C433))),"Projetos / Laudos / Avulsos","Projetos / Laudos / Avulsos")),"Rateio pela receita bruta"))</f>
        <v/>
      </c>
      <c r="U433" s="65">
        <f>IF(C433="","",IF(R433="(-) Custos diretos dos serviços","Direto por fornecedor/natureza do gasto","Rateio proporcional à receita bruta da linha de serviço"))</f>
        <v/>
      </c>
    </row>
    <row r="434">
      <c r="A434" s="28">
        <f>IF(C434="","", "CP-"&amp;TEXT(ROW()-5,"000"))</f>
        <v/>
      </c>
      <c r="B434" s="27">
        <f>IF(F434="","",DATE(YEAR(F434),MONTH(F434),1))</f>
        <v/>
      </c>
      <c r="C434" s="28" t="n"/>
      <c r="D434" s="28" t="n"/>
      <c r="E434" s="59">
        <f>IF(C434="","",IFERROR(INDEX('6. Base de Custos'!$M$8:$M$42,MATCH(C434,'6. Base de Custos'!$L$8:$L$42,0)),"Não classificado"))</f>
        <v/>
      </c>
      <c r="F434" s="111" t="n"/>
      <c r="G434" s="111" t="n"/>
      <c r="H434" s="111" t="n"/>
      <c r="I434" s="45" t="n"/>
      <c r="J434" s="28" t="n"/>
      <c r="K434" s="28" t="n"/>
      <c r="L434" s="28" t="n"/>
      <c r="M434" s="59">
        <f>IF(C434="","",IFERROR(INDEX('6. Base de Custos'!$N$8:$N$42,MATCH(C434,'6. Base de Custos'!$L$8:$L$42,0)),"Não classificado"))</f>
        <v/>
      </c>
      <c r="N434" s="59">
        <f>IF(C434="","",IFERROR(INDEX('6. Base de Custos'!$O$8:$O$42,MATCH(C434,'6. Base de Custos'!$L$8:$L$42,0)),"Revisar"))</f>
        <v/>
      </c>
      <c r="O434" s="60">
        <f>IF(M434="","",IFERROR(VLOOKUP(M434,'6. Base de Custos'!$H$12:$J$18,3,FALSE),0))</f>
        <v/>
      </c>
      <c r="P434" s="59">
        <f>IF(C434="","",IFERROR(INDEX('6. Base de Custos'!$P$8:$P$42,MATCH(C434,'6. Base de Custos'!$L$8:$L$42,0)),"Revisar"))</f>
        <v/>
      </c>
      <c r="Q434" s="59">
        <f>IF(C434="","",IFERROR(INDEX('6. Base de Custos'!$Q$8:$Q$42,MATCH(C434,'6. Base de Custos'!$L$8:$L$42,0)),""))</f>
        <v/>
      </c>
      <c r="R434" s="65">
        <f>IF(C434="","",IFERROR(VLOOKUP(M434&amp;"|"&amp;N434,'17. Mapa DRE CP'!$E$5:$H$100,2,FALSE),"Revisar"))</f>
        <v/>
      </c>
      <c r="S434" s="65">
        <f>IF(C434="","",IFERROR(VLOOKUP(M434&amp;"|"&amp;N434,'17. Mapa DRE CP'!$E$5:$H$100,3,FALSE),"Revisar"))</f>
        <v/>
      </c>
      <c r="T434" s="65">
        <f>IF(C434="","",IF(R434="(-) Custos diretos dos serviços",IF(ISNUMBER(SEARCH("PCMSO",C434)),"PCMSO",IF(OR(ISNUMBER(SEARCH("SGS",C434)),ISNUMBER(SEARCH("CASTRO NAVES",C434))),"Projetos / Laudos / Avulsos","Projetos / Laudos / Avulsos")),"Rateio pela receita bruta"))</f>
        <v/>
      </c>
      <c r="U434" s="65">
        <f>IF(C434="","",IF(R434="(-) Custos diretos dos serviços","Direto por fornecedor/natureza do gasto","Rateio proporcional à receita bruta da linha de serviço"))</f>
        <v/>
      </c>
    </row>
    <row r="435">
      <c r="A435" s="28">
        <f>IF(C435="","", "CP-"&amp;TEXT(ROW()-5,"000"))</f>
        <v/>
      </c>
      <c r="B435" s="27">
        <f>IF(F435="","",DATE(YEAR(F435),MONTH(F435),1))</f>
        <v/>
      </c>
      <c r="C435" s="28" t="n"/>
      <c r="D435" s="28" t="n"/>
      <c r="E435" s="59">
        <f>IF(C435="","",IFERROR(INDEX('6. Base de Custos'!$M$8:$M$42,MATCH(C435,'6. Base de Custos'!$L$8:$L$42,0)),"Não classificado"))</f>
        <v/>
      </c>
      <c r="F435" s="111" t="n"/>
      <c r="G435" s="111" t="n"/>
      <c r="H435" s="111" t="n"/>
      <c r="I435" s="45" t="n"/>
      <c r="J435" s="28" t="n"/>
      <c r="K435" s="28" t="n"/>
      <c r="L435" s="28" t="n"/>
      <c r="M435" s="59">
        <f>IF(C435="","",IFERROR(INDEX('6. Base de Custos'!$N$8:$N$42,MATCH(C435,'6. Base de Custos'!$L$8:$L$42,0)),"Não classificado"))</f>
        <v/>
      </c>
      <c r="N435" s="59">
        <f>IF(C435="","",IFERROR(INDEX('6. Base de Custos'!$O$8:$O$42,MATCH(C435,'6. Base de Custos'!$L$8:$L$42,0)),"Revisar"))</f>
        <v/>
      </c>
      <c r="O435" s="60">
        <f>IF(M435="","",IFERROR(VLOOKUP(M435,'6. Base de Custos'!$H$12:$J$18,3,FALSE),0))</f>
        <v/>
      </c>
      <c r="P435" s="59">
        <f>IF(C435="","",IFERROR(INDEX('6. Base de Custos'!$P$8:$P$42,MATCH(C435,'6. Base de Custos'!$L$8:$L$42,0)),"Revisar"))</f>
        <v/>
      </c>
      <c r="Q435" s="59">
        <f>IF(C435="","",IFERROR(INDEX('6. Base de Custos'!$Q$8:$Q$42,MATCH(C435,'6. Base de Custos'!$L$8:$L$42,0)),""))</f>
        <v/>
      </c>
      <c r="R435" s="65">
        <f>IF(C435="","",IFERROR(VLOOKUP(M435&amp;"|"&amp;N435,'17. Mapa DRE CP'!$E$5:$H$100,2,FALSE),"Revisar"))</f>
        <v/>
      </c>
      <c r="S435" s="65">
        <f>IF(C435="","",IFERROR(VLOOKUP(M435&amp;"|"&amp;N435,'17. Mapa DRE CP'!$E$5:$H$100,3,FALSE),"Revisar"))</f>
        <v/>
      </c>
      <c r="T435" s="65">
        <f>IF(C435="","",IF(R435="(-) Custos diretos dos serviços",IF(ISNUMBER(SEARCH("PCMSO",C435)),"PCMSO",IF(OR(ISNUMBER(SEARCH("SGS",C435)),ISNUMBER(SEARCH("CASTRO NAVES",C435))),"Projetos / Laudos / Avulsos","Projetos / Laudos / Avulsos")),"Rateio pela receita bruta"))</f>
        <v/>
      </c>
      <c r="U435" s="65">
        <f>IF(C435="","",IF(R435="(-) Custos diretos dos serviços","Direto por fornecedor/natureza do gasto","Rateio proporcional à receita bruta da linha de serviço"))</f>
        <v/>
      </c>
    </row>
    <row r="436">
      <c r="A436" s="28">
        <f>IF(C436="","", "CP-"&amp;TEXT(ROW()-5,"000"))</f>
        <v/>
      </c>
      <c r="B436" s="27">
        <f>IF(F436="","",DATE(YEAR(F436),MONTH(F436),1))</f>
        <v/>
      </c>
      <c r="C436" s="28" t="n"/>
      <c r="D436" s="28" t="n"/>
      <c r="E436" s="59">
        <f>IF(C436="","",IFERROR(INDEX('6. Base de Custos'!$M$8:$M$42,MATCH(C436,'6. Base de Custos'!$L$8:$L$42,0)),"Não classificado"))</f>
        <v/>
      </c>
      <c r="F436" s="111" t="n"/>
      <c r="G436" s="111" t="n"/>
      <c r="H436" s="111" t="n"/>
      <c r="I436" s="45" t="n"/>
      <c r="J436" s="28" t="n"/>
      <c r="K436" s="28" t="n"/>
      <c r="L436" s="28" t="n"/>
      <c r="M436" s="59">
        <f>IF(C436="","",IFERROR(INDEX('6. Base de Custos'!$N$8:$N$42,MATCH(C436,'6. Base de Custos'!$L$8:$L$42,0)),"Não classificado"))</f>
        <v/>
      </c>
      <c r="N436" s="59">
        <f>IF(C436="","",IFERROR(INDEX('6. Base de Custos'!$O$8:$O$42,MATCH(C436,'6. Base de Custos'!$L$8:$L$42,0)),"Revisar"))</f>
        <v/>
      </c>
      <c r="O436" s="60">
        <f>IF(M436="","",IFERROR(VLOOKUP(M436,'6. Base de Custos'!$H$12:$J$18,3,FALSE),0))</f>
        <v/>
      </c>
      <c r="P436" s="59">
        <f>IF(C436="","",IFERROR(INDEX('6. Base de Custos'!$P$8:$P$42,MATCH(C436,'6. Base de Custos'!$L$8:$L$42,0)),"Revisar"))</f>
        <v/>
      </c>
      <c r="Q436" s="59">
        <f>IF(C436="","",IFERROR(INDEX('6. Base de Custos'!$Q$8:$Q$42,MATCH(C436,'6. Base de Custos'!$L$8:$L$42,0)),""))</f>
        <v/>
      </c>
      <c r="R436" s="65">
        <f>IF(C436="","",IFERROR(VLOOKUP(M436&amp;"|"&amp;N436,'17. Mapa DRE CP'!$E$5:$H$100,2,FALSE),"Revisar"))</f>
        <v/>
      </c>
      <c r="S436" s="65">
        <f>IF(C436="","",IFERROR(VLOOKUP(M436&amp;"|"&amp;N436,'17. Mapa DRE CP'!$E$5:$H$100,3,FALSE),"Revisar"))</f>
        <v/>
      </c>
      <c r="T436" s="65">
        <f>IF(C436="","",IF(R436="(-) Custos diretos dos serviços",IF(ISNUMBER(SEARCH("PCMSO",C436)),"PCMSO",IF(OR(ISNUMBER(SEARCH("SGS",C436)),ISNUMBER(SEARCH("CASTRO NAVES",C436))),"Projetos / Laudos / Avulsos","Projetos / Laudos / Avulsos")),"Rateio pela receita bruta"))</f>
        <v/>
      </c>
      <c r="U436" s="65">
        <f>IF(C436="","",IF(R436="(-) Custos diretos dos serviços","Direto por fornecedor/natureza do gasto","Rateio proporcional à receita bruta da linha de serviço"))</f>
        <v/>
      </c>
    </row>
    <row r="437">
      <c r="A437" s="28">
        <f>IF(C437="","", "CP-"&amp;TEXT(ROW()-5,"000"))</f>
        <v/>
      </c>
      <c r="B437" s="27">
        <f>IF(F437="","",DATE(YEAR(F437),MONTH(F437),1))</f>
        <v/>
      </c>
      <c r="C437" s="28" t="n"/>
      <c r="D437" s="28" t="n"/>
      <c r="E437" s="59">
        <f>IF(C437="","",IFERROR(INDEX('6. Base de Custos'!$M$8:$M$42,MATCH(C437,'6. Base de Custos'!$L$8:$L$42,0)),"Não classificado"))</f>
        <v/>
      </c>
      <c r="F437" s="111" t="n"/>
      <c r="G437" s="111" t="n"/>
      <c r="H437" s="111" t="n"/>
      <c r="I437" s="45" t="n"/>
      <c r="J437" s="28" t="n"/>
      <c r="K437" s="28" t="n"/>
      <c r="L437" s="28" t="n"/>
      <c r="M437" s="59">
        <f>IF(C437="","",IFERROR(INDEX('6. Base de Custos'!$N$8:$N$42,MATCH(C437,'6. Base de Custos'!$L$8:$L$42,0)),"Não classificado"))</f>
        <v/>
      </c>
      <c r="N437" s="59">
        <f>IF(C437="","",IFERROR(INDEX('6. Base de Custos'!$O$8:$O$42,MATCH(C437,'6. Base de Custos'!$L$8:$L$42,0)),"Revisar"))</f>
        <v/>
      </c>
      <c r="O437" s="60">
        <f>IF(M437="","",IFERROR(VLOOKUP(M437,'6. Base de Custos'!$H$12:$J$18,3,FALSE),0))</f>
        <v/>
      </c>
      <c r="P437" s="59">
        <f>IF(C437="","",IFERROR(INDEX('6. Base de Custos'!$P$8:$P$42,MATCH(C437,'6. Base de Custos'!$L$8:$L$42,0)),"Revisar"))</f>
        <v/>
      </c>
      <c r="Q437" s="59">
        <f>IF(C437="","",IFERROR(INDEX('6. Base de Custos'!$Q$8:$Q$42,MATCH(C437,'6. Base de Custos'!$L$8:$L$42,0)),""))</f>
        <v/>
      </c>
      <c r="R437" s="65">
        <f>IF(C437="","",IFERROR(VLOOKUP(M437&amp;"|"&amp;N437,'17. Mapa DRE CP'!$E$5:$H$100,2,FALSE),"Revisar"))</f>
        <v/>
      </c>
      <c r="S437" s="65">
        <f>IF(C437="","",IFERROR(VLOOKUP(M437&amp;"|"&amp;N437,'17. Mapa DRE CP'!$E$5:$H$100,3,FALSE),"Revisar"))</f>
        <v/>
      </c>
      <c r="T437" s="65">
        <f>IF(C437="","",IF(R437="(-) Custos diretos dos serviços",IF(ISNUMBER(SEARCH("PCMSO",C437)),"PCMSO",IF(OR(ISNUMBER(SEARCH("SGS",C437)),ISNUMBER(SEARCH("CASTRO NAVES",C437))),"Projetos / Laudos / Avulsos","Projetos / Laudos / Avulsos")),"Rateio pela receita bruta"))</f>
        <v/>
      </c>
      <c r="U437" s="65">
        <f>IF(C437="","",IF(R437="(-) Custos diretos dos serviços","Direto por fornecedor/natureza do gasto","Rateio proporcional à receita bruta da linha de serviço"))</f>
        <v/>
      </c>
    </row>
    <row r="438">
      <c r="A438" s="28">
        <f>IF(C438="","", "CP-"&amp;TEXT(ROW()-5,"000"))</f>
        <v/>
      </c>
      <c r="B438" s="27">
        <f>IF(F438="","",DATE(YEAR(F438),MONTH(F438),1))</f>
        <v/>
      </c>
      <c r="C438" s="28" t="n"/>
      <c r="D438" s="28" t="n"/>
      <c r="E438" s="59">
        <f>IF(C438="","",IFERROR(INDEX('6. Base de Custos'!$M$8:$M$42,MATCH(C438,'6. Base de Custos'!$L$8:$L$42,0)),"Não classificado"))</f>
        <v/>
      </c>
      <c r="F438" s="111" t="n"/>
      <c r="G438" s="111" t="n"/>
      <c r="H438" s="111" t="n"/>
      <c r="I438" s="45" t="n"/>
      <c r="J438" s="28" t="n"/>
      <c r="K438" s="28" t="n"/>
      <c r="L438" s="28" t="n"/>
      <c r="M438" s="59">
        <f>IF(C438="","",IFERROR(INDEX('6. Base de Custos'!$N$8:$N$42,MATCH(C438,'6. Base de Custos'!$L$8:$L$42,0)),"Não classificado"))</f>
        <v/>
      </c>
      <c r="N438" s="59">
        <f>IF(C438="","",IFERROR(INDEX('6. Base de Custos'!$O$8:$O$42,MATCH(C438,'6. Base de Custos'!$L$8:$L$42,0)),"Revisar"))</f>
        <v/>
      </c>
      <c r="O438" s="60">
        <f>IF(M438="","",IFERROR(VLOOKUP(M438,'6. Base de Custos'!$H$12:$J$18,3,FALSE),0))</f>
        <v/>
      </c>
      <c r="P438" s="59">
        <f>IF(C438="","",IFERROR(INDEX('6. Base de Custos'!$P$8:$P$42,MATCH(C438,'6. Base de Custos'!$L$8:$L$42,0)),"Revisar"))</f>
        <v/>
      </c>
      <c r="Q438" s="59">
        <f>IF(C438="","",IFERROR(INDEX('6. Base de Custos'!$Q$8:$Q$42,MATCH(C438,'6. Base de Custos'!$L$8:$L$42,0)),""))</f>
        <v/>
      </c>
      <c r="R438" s="65">
        <f>IF(C438="","",IFERROR(VLOOKUP(M438&amp;"|"&amp;N438,'17. Mapa DRE CP'!$E$5:$H$100,2,FALSE),"Revisar"))</f>
        <v/>
      </c>
      <c r="S438" s="65">
        <f>IF(C438="","",IFERROR(VLOOKUP(M438&amp;"|"&amp;N438,'17. Mapa DRE CP'!$E$5:$H$100,3,FALSE),"Revisar"))</f>
        <v/>
      </c>
      <c r="T438" s="65">
        <f>IF(C438="","",IF(R438="(-) Custos diretos dos serviços",IF(ISNUMBER(SEARCH("PCMSO",C438)),"PCMSO",IF(OR(ISNUMBER(SEARCH("SGS",C438)),ISNUMBER(SEARCH("CASTRO NAVES",C438))),"Projetos / Laudos / Avulsos","Projetos / Laudos / Avulsos")),"Rateio pela receita bruta"))</f>
        <v/>
      </c>
      <c r="U438" s="65">
        <f>IF(C438="","",IF(R438="(-) Custos diretos dos serviços","Direto por fornecedor/natureza do gasto","Rateio proporcional à receita bruta da linha de serviço"))</f>
        <v/>
      </c>
    </row>
    <row r="439">
      <c r="A439" s="28">
        <f>IF(C439="","", "CP-"&amp;TEXT(ROW()-5,"000"))</f>
        <v/>
      </c>
      <c r="B439" s="27">
        <f>IF(F439="","",DATE(YEAR(F439),MONTH(F439),1))</f>
        <v/>
      </c>
      <c r="C439" s="28" t="n"/>
      <c r="D439" s="28" t="n"/>
      <c r="E439" s="59">
        <f>IF(C439="","",IFERROR(INDEX('6. Base de Custos'!$M$8:$M$42,MATCH(C439,'6. Base de Custos'!$L$8:$L$42,0)),"Não classificado"))</f>
        <v/>
      </c>
      <c r="F439" s="111" t="n"/>
      <c r="G439" s="111" t="n"/>
      <c r="H439" s="111" t="n"/>
      <c r="I439" s="45" t="n"/>
      <c r="J439" s="28" t="n"/>
      <c r="K439" s="28" t="n"/>
      <c r="L439" s="28" t="n"/>
      <c r="M439" s="59">
        <f>IF(C439="","",IFERROR(INDEX('6. Base de Custos'!$N$8:$N$42,MATCH(C439,'6. Base de Custos'!$L$8:$L$42,0)),"Não classificado"))</f>
        <v/>
      </c>
      <c r="N439" s="59">
        <f>IF(C439="","",IFERROR(INDEX('6. Base de Custos'!$O$8:$O$42,MATCH(C439,'6. Base de Custos'!$L$8:$L$42,0)),"Revisar"))</f>
        <v/>
      </c>
      <c r="O439" s="60">
        <f>IF(M439="","",IFERROR(VLOOKUP(M439,'6. Base de Custos'!$H$12:$J$18,3,FALSE),0))</f>
        <v/>
      </c>
      <c r="P439" s="59">
        <f>IF(C439="","",IFERROR(INDEX('6. Base de Custos'!$P$8:$P$42,MATCH(C439,'6. Base de Custos'!$L$8:$L$42,0)),"Revisar"))</f>
        <v/>
      </c>
      <c r="Q439" s="59">
        <f>IF(C439="","",IFERROR(INDEX('6. Base de Custos'!$Q$8:$Q$42,MATCH(C439,'6. Base de Custos'!$L$8:$L$42,0)),""))</f>
        <v/>
      </c>
      <c r="R439" s="65">
        <f>IF(C439="","",IFERROR(VLOOKUP(M439&amp;"|"&amp;N439,'17. Mapa DRE CP'!$E$5:$H$100,2,FALSE),"Revisar"))</f>
        <v/>
      </c>
      <c r="S439" s="65">
        <f>IF(C439="","",IFERROR(VLOOKUP(M439&amp;"|"&amp;N439,'17. Mapa DRE CP'!$E$5:$H$100,3,FALSE),"Revisar"))</f>
        <v/>
      </c>
      <c r="T439" s="65">
        <f>IF(C439="","",IF(R439="(-) Custos diretos dos serviços",IF(ISNUMBER(SEARCH("PCMSO",C439)),"PCMSO",IF(OR(ISNUMBER(SEARCH("SGS",C439)),ISNUMBER(SEARCH("CASTRO NAVES",C439))),"Projetos / Laudos / Avulsos","Projetos / Laudos / Avulsos")),"Rateio pela receita bruta"))</f>
        <v/>
      </c>
      <c r="U439" s="65">
        <f>IF(C439="","",IF(R439="(-) Custos diretos dos serviços","Direto por fornecedor/natureza do gasto","Rateio proporcional à receita bruta da linha de serviço"))</f>
        <v/>
      </c>
    </row>
    <row r="440">
      <c r="A440" s="28">
        <f>IF(C440="","", "CP-"&amp;TEXT(ROW()-5,"000"))</f>
        <v/>
      </c>
      <c r="B440" s="27">
        <f>IF(F440="","",DATE(YEAR(F440),MONTH(F440),1))</f>
        <v/>
      </c>
      <c r="C440" s="28" t="n"/>
      <c r="D440" s="28" t="n"/>
      <c r="E440" s="59">
        <f>IF(C440="","",IFERROR(INDEX('6. Base de Custos'!$M$8:$M$42,MATCH(C440,'6. Base de Custos'!$L$8:$L$42,0)),"Não classificado"))</f>
        <v/>
      </c>
      <c r="F440" s="111" t="n"/>
      <c r="G440" s="111" t="n"/>
      <c r="H440" s="111" t="n"/>
      <c r="I440" s="45" t="n"/>
      <c r="J440" s="28" t="n"/>
      <c r="K440" s="28" t="n"/>
      <c r="L440" s="28" t="n"/>
      <c r="M440" s="59">
        <f>IF(C440="","",IFERROR(INDEX('6. Base de Custos'!$N$8:$N$42,MATCH(C440,'6. Base de Custos'!$L$8:$L$42,0)),"Não classificado"))</f>
        <v/>
      </c>
      <c r="N440" s="59">
        <f>IF(C440="","",IFERROR(INDEX('6. Base de Custos'!$O$8:$O$42,MATCH(C440,'6. Base de Custos'!$L$8:$L$42,0)),"Revisar"))</f>
        <v/>
      </c>
      <c r="O440" s="60">
        <f>IF(M440="","",IFERROR(VLOOKUP(M440,'6. Base de Custos'!$H$12:$J$18,3,FALSE),0))</f>
        <v/>
      </c>
      <c r="P440" s="59">
        <f>IF(C440="","",IFERROR(INDEX('6. Base de Custos'!$P$8:$P$42,MATCH(C440,'6. Base de Custos'!$L$8:$L$42,0)),"Revisar"))</f>
        <v/>
      </c>
      <c r="Q440" s="59">
        <f>IF(C440="","",IFERROR(INDEX('6. Base de Custos'!$Q$8:$Q$42,MATCH(C440,'6. Base de Custos'!$L$8:$L$42,0)),""))</f>
        <v/>
      </c>
      <c r="R440" s="65">
        <f>IF(C440="","",IFERROR(VLOOKUP(M440&amp;"|"&amp;N440,'17. Mapa DRE CP'!$E$5:$H$100,2,FALSE),"Revisar"))</f>
        <v/>
      </c>
      <c r="S440" s="65">
        <f>IF(C440="","",IFERROR(VLOOKUP(M440&amp;"|"&amp;N440,'17. Mapa DRE CP'!$E$5:$H$100,3,FALSE),"Revisar"))</f>
        <v/>
      </c>
      <c r="T440" s="65">
        <f>IF(C440="","",IF(R440="(-) Custos diretos dos serviços",IF(ISNUMBER(SEARCH("PCMSO",C440)),"PCMSO",IF(OR(ISNUMBER(SEARCH("SGS",C440)),ISNUMBER(SEARCH("CASTRO NAVES",C440))),"Projetos / Laudos / Avulsos","Projetos / Laudos / Avulsos")),"Rateio pela receita bruta"))</f>
        <v/>
      </c>
      <c r="U440" s="65">
        <f>IF(C440="","",IF(R440="(-) Custos diretos dos serviços","Direto por fornecedor/natureza do gasto","Rateio proporcional à receita bruta da linha de serviço"))</f>
        <v/>
      </c>
    </row>
    <row r="441">
      <c r="A441" s="28">
        <f>IF(C441="","", "CP-"&amp;TEXT(ROW()-5,"000"))</f>
        <v/>
      </c>
      <c r="B441" s="27">
        <f>IF(F441="","",DATE(YEAR(F441),MONTH(F441),1))</f>
        <v/>
      </c>
      <c r="C441" s="28" t="n"/>
      <c r="D441" s="28" t="n"/>
      <c r="E441" s="59">
        <f>IF(C441="","",IFERROR(INDEX('6. Base de Custos'!$M$8:$M$42,MATCH(C441,'6. Base de Custos'!$L$8:$L$42,0)),"Não classificado"))</f>
        <v/>
      </c>
      <c r="F441" s="111" t="n"/>
      <c r="G441" s="111" t="n"/>
      <c r="H441" s="111" t="n"/>
      <c r="I441" s="45" t="n"/>
      <c r="J441" s="28" t="n"/>
      <c r="K441" s="28" t="n"/>
      <c r="L441" s="28" t="n"/>
      <c r="M441" s="59">
        <f>IF(C441="","",IFERROR(INDEX('6. Base de Custos'!$N$8:$N$42,MATCH(C441,'6. Base de Custos'!$L$8:$L$42,0)),"Não classificado"))</f>
        <v/>
      </c>
      <c r="N441" s="59">
        <f>IF(C441="","",IFERROR(INDEX('6. Base de Custos'!$O$8:$O$42,MATCH(C441,'6. Base de Custos'!$L$8:$L$42,0)),"Revisar"))</f>
        <v/>
      </c>
      <c r="O441" s="60">
        <f>IF(M441="","",IFERROR(VLOOKUP(M441,'6. Base de Custos'!$H$12:$J$18,3,FALSE),0))</f>
        <v/>
      </c>
      <c r="P441" s="59">
        <f>IF(C441="","",IFERROR(INDEX('6. Base de Custos'!$P$8:$P$42,MATCH(C441,'6. Base de Custos'!$L$8:$L$42,0)),"Revisar"))</f>
        <v/>
      </c>
      <c r="Q441" s="59">
        <f>IF(C441="","",IFERROR(INDEX('6. Base de Custos'!$Q$8:$Q$42,MATCH(C441,'6. Base de Custos'!$L$8:$L$42,0)),""))</f>
        <v/>
      </c>
      <c r="R441" s="65">
        <f>IF(C441="","",IFERROR(VLOOKUP(M441&amp;"|"&amp;N441,'17. Mapa DRE CP'!$E$5:$H$100,2,FALSE),"Revisar"))</f>
        <v/>
      </c>
      <c r="S441" s="65">
        <f>IF(C441="","",IFERROR(VLOOKUP(M441&amp;"|"&amp;N441,'17. Mapa DRE CP'!$E$5:$H$100,3,FALSE),"Revisar"))</f>
        <v/>
      </c>
      <c r="T441" s="65">
        <f>IF(C441="","",IF(R441="(-) Custos diretos dos serviços",IF(ISNUMBER(SEARCH("PCMSO",C441)),"PCMSO",IF(OR(ISNUMBER(SEARCH("SGS",C441)),ISNUMBER(SEARCH("CASTRO NAVES",C441))),"Projetos / Laudos / Avulsos","Projetos / Laudos / Avulsos")),"Rateio pela receita bruta"))</f>
        <v/>
      </c>
      <c r="U441" s="65">
        <f>IF(C441="","",IF(R441="(-) Custos diretos dos serviços","Direto por fornecedor/natureza do gasto","Rateio proporcional à receita bruta da linha de serviço"))</f>
        <v/>
      </c>
    </row>
    <row r="442">
      <c r="A442" s="28">
        <f>IF(C442="","", "CP-"&amp;TEXT(ROW()-5,"000"))</f>
        <v/>
      </c>
      <c r="B442" s="27">
        <f>IF(F442="","",DATE(YEAR(F442),MONTH(F442),1))</f>
        <v/>
      </c>
      <c r="C442" s="28" t="n"/>
      <c r="D442" s="28" t="n"/>
      <c r="E442" s="59">
        <f>IF(C442="","",IFERROR(INDEX('6. Base de Custos'!$M$8:$M$42,MATCH(C442,'6. Base de Custos'!$L$8:$L$42,0)),"Não classificado"))</f>
        <v/>
      </c>
      <c r="F442" s="111" t="n"/>
      <c r="G442" s="111" t="n"/>
      <c r="H442" s="111" t="n"/>
      <c r="I442" s="45" t="n"/>
      <c r="J442" s="28" t="n"/>
      <c r="K442" s="28" t="n"/>
      <c r="L442" s="28" t="n"/>
      <c r="M442" s="59">
        <f>IF(C442="","",IFERROR(INDEX('6. Base de Custos'!$N$8:$N$42,MATCH(C442,'6. Base de Custos'!$L$8:$L$42,0)),"Não classificado"))</f>
        <v/>
      </c>
      <c r="N442" s="59">
        <f>IF(C442="","",IFERROR(INDEX('6. Base de Custos'!$O$8:$O$42,MATCH(C442,'6. Base de Custos'!$L$8:$L$42,0)),"Revisar"))</f>
        <v/>
      </c>
      <c r="O442" s="60">
        <f>IF(M442="","",IFERROR(VLOOKUP(M442,'6. Base de Custos'!$H$12:$J$18,3,FALSE),0))</f>
        <v/>
      </c>
      <c r="P442" s="59">
        <f>IF(C442="","",IFERROR(INDEX('6. Base de Custos'!$P$8:$P$42,MATCH(C442,'6. Base de Custos'!$L$8:$L$42,0)),"Revisar"))</f>
        <v/>
      </c>
      <c r="Q442" s="59">
        <f>IF(C442="","",IFERROR(INDEX('6. Base de Custos'!$Q$8:$Q$42,MATCH(C442,'6. Base de Custos'!$L$8:$L$42,0)),""))</f>
        <v/>
      </c>
      <c r="R442" s="65">
        <f>IF(C442="","",IFERROR(VLOOKUP(M442&amp;"|"&amp;N442,'17. Mapa DRE CP'!$E$5:$H$100,2,FALSE),"Revisar"))</f>
        <v/>
      </c>
      <c r="S442" s="65">
        <f>IF(C442="","",IFERROR(VLOOKUP(M442&amp;"|"&amp;N442,'17. Mapa DRE CP'!$E$5:$H$100,3,FALSE),"Revisar"))</f>
        <v/>
      </c>
      <c r="T442" s="65">
        <f>IF(C442="","",IF(R442="(-) Custos diretos dos serviços",IF(ISNUMBER(SEARCH("PCMSO",C442)),"PCMSO",IF(OR(ISNUMBER(SEARCH("SGS",C442)),ISNUMBER(SEARCH("CASTRO NAVES",C442))),"Projetos / Laudos / Avulsos","Projetos / Laudos / Avulsos")),"Rateio pela receita bruta"))</f>
        <v/>
      </c>
      <c r="U442" s="65">
        <f>IF(C442="","",IF(R442="(-) Custos diretos dos serviços","Direto por fornecedor/natureza do gasto","Rateio proporcional à receita bruta da linha de serviço"))</f>
        <v/>
      </c>
    </row>
    <row r="443">
      <c r="A443" s="28">
        <f>IF(C443="","", "CP-"&amp;TEXT(ROW()-5,"000"))</f>
        <v/>
      </c>
      <c r="B443" s="27">
        <f>IF(F443="","",DATE(YEAR(F443),MONTH(F443),1))</f>
        <v/>
      </c>
      <c r="C443" s="28" t="n"/>
      <c r="D443" s="28" t="n"/>
      <c r="E443" s="59">
        <f>IF(C443="","",IFERROR(INDEX('6. Base de Custos'!$M$8:$M$42,MATCH(C443,'6. Base de Custos'!$L$8:$L$42,0)),"Não classificado"))</f>
        <v/>
      </c>
      <c r="F443" s="111" t="n"/>
      <c r="G443" s="111" t="n"/>
      <c r="H443" s="111" t="n"/>
      <c r="I443" s="45" t="n"/>
      <c r="J443" s="28" t="n"/>
      <c r="K443" s="28" t="n"/>
      <c r="L443" s="28" t="n"/>
      <c r="M443" s="59">
        <f>IF(C443="","",IFERROR(INDEX('6. Base de Custos'!$N$8:$N$42,MATCH(C443,'6. Base de Custos'!$L$8:$L$42,0)),"Não classificado"))</f>
        <v/>
      </c>
      <c r="N443" s="59">
        <f>IF(C443="","",IFERROR(INDEX('6. Base de Custos'!$O$8:$O$42,MATCH(C443,'6. Base de Custos'!$L$8:$L$42,0)),"Revisar"))</f>
        <v/>
      </c>
      <c r="O443" s="60">
        <f>IF(M443="","",IFERROR(VLOOKUP(M443,'6. Base de Custos'!$H$12:$J$18,3,FALSE),0))</f>
        <v/>
      </c>
      <c r="P443" s="59">
        <f>IF(C443="","",IFERROR(INDEX('6. Base de Custos'!$P$8:$P$42,MATCH(C443,'6. Base de Custos'!$L$8:$L$42,0)),"Revisar"))</f>
        <v/>
      </c>
      <c r="Q443" s="59">
        <f>IF(C443="","",IFERROR(INDEX('6. Base de Custos'!$Q$8:$Q$42,MATCH(C443,'6. Base de Custos'!$L$8:$L$42,0)),""))</f>
        <v/>
      </c>
      <c r="R443" s="65">
        <f>IF(C443="","",IFERROR(VLOOKUP(M443&amp;"|"&amp;N443,'17. Mapa DRE CP'!$E$5:$H$100,2,FALSE),"Revisar"))</f>
        <v/>
      </c>
      <c r="S443" s="65">
        <f>IF(C443="","",IFERROR(VLOOKUP(M443&amp;"|"&amp;N443,'17. Mapa DRE CP'!$E$5:$H$100,3,FALSE),"Revisar"))</f>
        <v/>
      </c>
      <c r="T443" s="65">
        <f>IF(C443="","",IF(R443="(-) Custos diretos dos serviços",IF(ISNUMBER(SEARCH("PCMSO",C443)),"PCMSO",IF(OR(ISNUMBER(SEARCH("SGS",C443)),ISNUMBER(SEARCH("CASTRO NAVES",C443))),"Projetos / Laudos / Avulsos","Projetos / Laudos / Avulsos")),"Rateio pela receita bruta"))</f>
        <v/>
      </c>
      <c r="U443" s="65">
        <f>IF(C443="","",IF(R443="(-) Custos diretos dos serviços","Direto por fornecedor/natureza do gasto","Rateio proporcional à receita bruta da linha de serviço"))</f>
        <v/>
      </c>
    </row>
    <row r="444">
      <c r="A444" s="28">
        <f>IF(C444="","", "CP-"&amp;TEXT(ROW()-5,"000"))</f>
        <v/>
      </c>
      <c r="B444" s="27">
        <f>IF(F444="","",DATE(YEAR(F444),MONTH(F444),1))</f>
        <v/>
      </c>
      <c r="C444" s="28" t="n"/>
      <c r="D444" s="28" t="n"/>
      <c r="E444" s="59">
        <f>IF(C444="","",IFERROR(INDEX('6. Base de Custos'!$M$8:$M$42,MATCH(C444,'6. Base de Custos'!$L$8:$L$42,0)),"Não classificado"))</f>
        <v/>
      </c>
      <c r="F444" s="111" t="n"/>
      <c r="G444" s="111" t="n"/>
      <c r="H444" s="111" t="n"/>
      <c r="I444" s="45" t="n"/>
      <c r="J444" s="28" t="n"/>
      <c r="K444" s="28" t="n"/>
      <c r="L444" s="28" t="n"/>
      <c r="M444" s="59">
        <f>IF(C444="","",IFERROR(INDEX('6. Base de Custos'!$N$8:$N$42,MATCH(C444,'6. Base de Custos'!$L$8:$L$42,0)),"Não classificado"))</f>
        <v/>
      </c>
      <c r="N444" s="59">
        <f>IF(C444="","",IFERROR(INDEX('6. Base de Custos'!$O$8:$O$42,MATCH(C444,'6. Base de Custos'!$L$8:$L$42,0)),"Revisar"))</f>
        <v/>
      </c>
      <c r="O444" s="60">
        <f>IF(M444="","",IFERROR(VLOOKUP(M444,'6. Base de Custos'!$H$12:$J$18,3,FALSE),0))</f>
        <v/>
      </c>
      <c r="P444" s="59">
        <f>IF(C444="","",IFERROR(INDEX('6. Base de Custos'!$P$8:$P$42,MATCH(C444,'6. Base de Custos'!$L$8:$L$42,0)),"Revisar"))</f>
        <v/>
      </c>
      <c r="Q444" s="59">
        <f>IF(C444="","",IFERROR(INDEX('6. Base de Custos'!$Q$8:$Q$42,MATCH(C444,'6. Base de Custos'!$L$8:$L$42,0)),""))</f>
        <v/>
      </c>
      <c r="R444" s="65">
        <f>IF(C444="","",IFERROR(VLOOKUP(M444&amp;"|"&amp;N444,'17. Mapa DRE CP'!$E$5:$H$100,2,FALSE),"Revisar"))</f>
        <v/>
      </c>
      <c r="S444" s="65">
        <f>IF(C444="","",IFERROR(VLOOKUP(M444&amp;"|"&amp;N444,'17. Mapa DRE CP'!$E$5:$H$100,3,FALSE),"Revisar"))</f>
        <v/>
      </c>
      <c r="T444" s="65">
        <f>IF(C444="","",IF(R444="(-) Custos diretos dos serviços",IF(ISNUMBER(SEARCH("PCMSO",C444)),"PCMSO",IF(OR(ISNUMBER(SEARCH("SGS",C444)),ISNUMBER(SEARCH("CASTRO NAVES",C444))),"Projetos / Laudos / Avulsos","Projetos / Laudos / Avulsos")),"Rateio pela receita bruta"))</f>
        <v/>
      </c>
      <c r="U444" s="65">
        <f>IF(C444="","",IF(R444="(-) Custos diretos dos serviços","Direto por fornecedor/natureza do gasto","Rateio proporcional à receita bruta da linha de serviço"))</f>
        <v/>
      </c>
    </row>
    <row r="445">
      <c r="A445" s="28">
        <f>IF(C445="","", "CP-"&amp;TEXT(ROW()-5,"000"))</f>
        <v/>
      </c>
      <c r="B445" s="27">
        <f>IF(F445="","",DATE(YEAR(F445),MONTH(F445),1))</f>
        <v/>
      </c>
      <c r="C445" s="28" t="n"/>
      <c r="D445" s="28" t="n"/>
      <c r="E445" s="59">
        <f>IF(C445="","",IFERROR(INDEX('6. Base de Custos'!$M$8:$M$42,MATCH(C445,'6. Base de Custos'!$L$8:$L$42,0)),"Não classificado"))</f>
        <v/>
      </c>
      <c r="F445" s="111" t="n"/>
      <c r="G445" s="111" t="n"/>
      <c r="H445" s="111" t="n"/>
      <c r="I445" s="45" t="n"/>
      <c r="J445" s="28" t="n"/>
      <c r="K445" s="28" t="n"/>
      <c r="L445" s="28" t="n"/>
      <c r="M445" s="59">
        <f>IF(C445="","",IFERROR(INDEX('6. Base de Custos'!$N$8:$N$42,MATCH(C445,'6. Base de Custos'!$L$8:$L$42,0)),"Não classificado"))</f>
        <v/>
      </c>
      <c r="N445" s="59">
        <f>IF(C445="","",IFERROR(INDEX('6. Base de Custos'!$O$8:$O$42,MATCH(C445,'6. Base de Custos'!$L$8:$L$42,0)),"Revisar"))</f>
        <v/>
      </c>
      <c r="O445" s="60">
        <f>IF(M445="","",IFERROR(VLOOKUP(M445,'6. Base de Custos'!$H$12:$J$18,3,FALSE),0))</f>
        <v/>
      </c>
      <c r="P445" s="59">
        <f>IF(C445="","",IFERROR(INDEX('6. Base de Custos'!$P$8:$P$42,MATCH(C445,'6. Base de Custos'!$L$8:$L$42,0)),"Revisar"))</f>
        <v/>
      </c>
      <c r="Q445" s="59">
        <f>IF(C445="","",IFERROR(INDEX('6. Base de Custos'!$Q$8:$Q$42,MATCH(C445,'6. Base de Custos'!$L$8:$L$42,0)),""))</f>
        <v/>
      </c>
      <c r="R445" s="65">
        <f>IF(C445="","",IFERROR(VLOOKUP(M445&amp;"|"&amp;N445,'17. Mapa DRE CP'!$E$5:$H$100,2,FALSE),"Revisar"))</f>
        <v/>
      </c>
      <c r="S445" s="65">
        <f>IF(C445="","",IFERROR(VLOOKUP(M445&amp;"|"&amp;N445,'17. Mapa DRE CP'!$E$5:$H$100,3,FALSE),"Revisar"))</f>
        <v/>
      </c>
      <c r="T445" s="65">
        <f>IF(C445="","",IF(R445="(-) Custos diretos dos serviços",IF(ISNUMBER(SEARCH("PCMSO",C445)),"PCMSO",IF(OR(ISNUMBER(SEARCH("SGS",C445)),ISNUMBER(SEARCH("CASTRO NAVES",C445))),"Projetos / Laudos / Avulsos","Projetos / Laudos / Avulsos")),"Rateio pela receita bruta"))</f>
        <v/>
      </c>
      <c r="U445" s="65">
        <f>IF(C445="","",IF(R445="(-) Custos diretos dos serviços","Direto por fornecedor/natureza do gasto","Rateio proporcional à receita bruta da linha de serviço"))</f>
        <v/>
      </c>
    </row>
    <row r="446">
      <c r="A446" s="28">
        <f>IF(C446="","", "CP-"&amp;TEXT(ROW()-5,"000"))</f>
        <v/>
      </c>
      <c r="B446" s="27">
        <f>IF(F446="","",DATE(YEAR(F446),MONTH(F446),1))</f>
        <v/>
      </c>
      <c r="C446" s="28" t="n"/>
      <c r="D446" s="28" t="n"/>
      <c r="E446" s="59">
        <f>IF(C446="","",IFERROR(INDEX('6. Base de Custos'!$M$8:$M$42,MATCH(C446,'6. Base de Custos'!$L$8:$L$42,0)),"Não classificado"))</f>
        <v/>
      </c>
      <c r="F446" s="111" t="n"/>
      <c r="G446" s="111" t="n"/>
      <c r="H446" s="111" t="n"/>
      <c r="I446" s="45" t="n"/>
      <c r="J446" s="28" t="n"/>
      <c r="K446" s="28" t="n"/>
      <c r="L446" s="28" t="n"/>
      <c r="M446" s="59">
        <f>IF(C446="","",IFERROR(INDEX('6. Base de Custos'!$N$8:$N$42,MATCH(C446,'6. Base de Custos'!$L$8:$L$42,0)),"Não classificado"))</f>
        <v/>
      </c>
      <c r="N446" s="59">
        <f>IF(C446="","",IFERROR(INDEX('6. Base de Custos'!$O$8:$O$42,MATCH(C446,'6. Base de Custos'!$L$8:$L$42,0)),"Revisar"))</f>
        <v/>
      </c>
      <c r="O446" s="60">
        <f>IF(M446="","",IFERROR(VLOOKUP(M446,'6. Base de Custos'!$H$12:$J$18,3,FALSE),0))</f>
        <v/>
      </c>
      <c r="P446" s="59">
        <f>IF(C446="","",IFERROR(INDEX('6. Base de Custos'!$P$8:$P$42,MATCH(C446,'6. Base de Custos'!$L$8:$L$42,0)),"Revisar"))</f>
        <v/>
      </c>
      <c r="Q446" s="59">
        <f>IF(C446="","",IFERROR(INDEX('6. Base de Custos'!$Q$8:$Q$42,MATCH(C446,'6. Base de Custos'!$L$8:$L$42,0)),""))</f>
        <v/>
      </c>
      <c r="R446" s="65">
        <f>IF(C446="","",IFERROR(VLOOKUP(M446&amp;"|"&amp;N446,'17. Mapa DRE CP'!$E$5:$H$100,2,FALSE),"Revisar"))</f>
        <v/>
      </c>
      <c r="S446" s="65">
        <f>IF(C446="","",IFERROR(VLOOKUP(M446&amp;"|"&amp;N446,'17. Mapa DRE CP'!$E$5:$H$100,3,FALSE),"Revisar"))</f>
        <v/>
      </c>
      <c r="T446" s="65">
        <f>IF(C446="","",IF(R446="(-) Custos diretos dos serviços",IF(ISNUMBER(SEARCH("PCMSO",C446)),"PCMSO",IF(OR(ISNUMBER(SEARCH("SGS",C446)),ISNUMBER(SEARCH("CASTRO NAVES",C446))),"Projetos / Laudos / Avulsos","Projetos / Laudos / Avulsos")),"Rateio pela receita bruta"))</f>
        <v/>
      </c>
      <c r="U446" s="65">
        <f>IF(C446="","",IF(R446="(-) Custos diretos dos serviços","Direto por fornecedor/natureza do gasto","Rateio proporcional à receita bruta da linha de serviço"))</f>
        <v/>
      </c>
    </row>
    <row r="447">
      <c r="A447" s="28">
        <f>IF(C447="","", "CP-"&amp;TEXT(ROW()-5,"000"))</f>
        <v/>
      </c>
      <c r="B447" s="27">
        <f>IF(F447="","",DATE(YEAR(F447),MONTH(F447),1))</f>
        <v/>
      </c>
      <c r="C447" s="28" t="n"/>
      <c r="D447" s="28" t="n"/>
      <c r="E447" s="59">
        <f>IF(C447="","",IFERROR(INDEX('6. Base de Custos'!$M$8:$M$42,MATCH(C447,'6. Base de Custos'!$L$8:$L$42,0)),"Não classificado"))</f>
        <v/>
      </c>
      <c r="F447" s="111" t="n"/>
      <c r="G447" s="111" t="n"/>
      <c r="H447" s="111" t="n"/>
      <c r="I447" s="45" t="n"/>
      <c r="J447" s="28" t="n"/>
      <c r="K447" s="28" t="n"/>
      <c r="L447" s="28" t="n"/>
      <c r="M447" s="59">
        <f>IF(C447="","",IFERROR(INDEX('6. Base de Custos'!$N$8:$N$42,MATCH(C447,'6. Base de Custos'!$L$8:$L$42,0)),"Não classificado"))</f>
        <v/>
      </c>
      <c r="N447" s="59">
        <f>IF(C447="","",IFERROR(INDEX('6. Base de Custos'!$O$8:$O$42,MATCH(C447,'6. Base de Custos'!$L$8:$L$42,0)),"Revisar"))</f>
        <v/>
      </c>
      <c r="O447" s="60">
        <f>IF(M447="","",IFERROR(VLOOKUP(M447,'6. Base de Custos'!$H$12:$J$18,3,FALSE),0))</f>
        <v/>
      </c>
      <c r="P447" s="59">
        <f>IF(C447="","",IFERROR(INDEX('6. Base de Custos'!$P$8:$P$42,MATCH(C447,'6. Base de Custos'!$L$8:$L$42,0)),"Revisar"))</f>
        <v/>
      </c>
      <c r="Q447" s="59">
        <f>IF(C447="","",IFERROR(INDEX('6. Base de Custos'!$Q$8:$Q$42,MATCH(C447,'6. Base de Custos'!$L$8:$L$42,0)),""))</f>
        <v/>
      </c>
      <c r="R447" s="65">
        <f>IF(C447="","",IFERROR(VLOOKUP(M447&amp;"|"&amp;N447,'17. Mapa DRE CP'!$E$5:$H$100,2,FALSE),"Revisar"))</f>
        <v/>
      </c>
      <c r="S447" s="65">
        <f>IF(C447="","",IFERROR(VLOOKUP(M447&amp;"|"&amp;N447,'17. Mapa DRE CP'!$E$5:$H$100,3,FALSE),"Revisar"))</f>
        <v/>
      </c>
      <c r="T447" s="65">
        <f>IF(C447="","",IF(R447="(-) Custos diretos dos serviços",IF(ISNUMBER(SEARCH("PCMSO",C447)),"PCMSO",IF(OR(ISNUMBER(SEARCH("SGS",C447)),ISNUMBER(SEARCH("CASTRO NAVES",C447))),"Projetos / Laudos / Avulsos","Projetos / Laudos / Avulsos")),"Rateio pela receita bruta"))</f>
        <v/>
      </c>
      <c r="U447" s="65">
        <f>IF(C447="","",IF(R447="(-) Custos diretos dos serviços","Direto por fornecedor/natureza do gasto","Rateio proporcional à receita bruta da linha de serviço"))</f>
        <v/>
      </c>
    </row>
    <row r="448">
      <c r="A448" s="28">
        <f>IF(C448="","", "CP-"&amp;TEXT(ROW()-5,"000"))</f>
        <v/>
      </c>
      <c r="B448" s="27">
        <f>IF(F448="","",DATE(YEAR(F448),MONTH(F448),1))</f>
        <v/>
      </c>
      <c r="C448" s="28" t="n"/>
      <c r="D448" s="28" t="n"/>
      <c r="E448" s="59">
        <f>IF(C448="","",IFERROR(INDEX('6. Base de Custos'!$M$8:$M$42,MATCH(C448,'6. Base de Custos'!$L$8:$L$42,0)),"Não classificado"))</f>
        <v/>
      </c>
      <c r="F448" s="111" t="n"/>
      <c r="G448" s="111" t="n"/>
      <c r="H448" s="111" t="n"/>
      <c r="I448" s="45" t="n"/>
      <c r="J448" s="28" t="n"/>
      <c r="K448" s="28" t="n"/>
      <c r="L448" s="28" t="n"/>
      <c r="M448" s="59">
        <f>IF(C448="","",IFERROR(INDEX('6. Base de Custos'!$N$8:$N$42,MATCH(C448,'6. Base de Custos'!$L$8:$L$42,0)),"Não classificado"))</f>
        <v/>
      </c>
      <c r="N448" s="59">
        <f>IF(C448="","",IFERROR(INDEX('6. Base de Custos'!$O$8:$O$42,MATCH(C448,'6. Base de Custos'!$L$8:$L$42,0)),"Revisar"))</f>
        <v/>
      </c>
      <c r="O448" s="60">
        <f>IF(M448="","",IFERROR(VLOOKUP(M448,'6. Base de Custos'!$H$12:$J$18,3,FALSE),0))</f>
        <v/>
      </c>
      <c r="P448" s="59">
        <f>IF(C448="","",IFERROR(INDEX('6. Base de Custos'!$P$8:$P$42,MATCH(C448,'6. Base de Custos'!$L$8:$L$42,0)),"Revisar"))</f>
        <v/>
      </c>
      <c r="Q448" s="59">
        <f>IF(C448="","",IFERROR(INDEX('6. Base de Custos'!$Q$8:$Q$42,MATCH(C448,'6. Base de Custos'!$L$8:$L$42,0)),""))</f>
        <v/>
      </c>
      <c r="R448" s="65">
        <f>IF(C448="","",IFERROR(VLOOKUP(M448&amp;"|"&amp;N448,'17. Mapa DRE CP'!$E$5:$H$100,2,FALSE),"Revisar"))</f>
        <v/>
      </c>
      <c r="S448" s="65">
        <f>IF(C448="","",IFERROR(VLOOKUP(M448&amp;"|"&amp;N448,'17. Mapa DRE CP'!$E$5:$H$100,3,FALSE),"Revisar"))</f>
        <v/>
      </c>
      <c r="T448" s="65">
        <f>IF(C448="","",IF(R448="(-) Custos diretos dos serviços",IF(ISNUMBER(SEARCH("PCMSO",C448)),"PCMSO",IF(OR(ISNUMBER(SEARCH("SGS",C448)),ISNUMBER(SEARCH("CASTRO NAVES",C448))),"Projetos / Laudos / Avulsos","Projetos / Laudos / Avulsos")),"Rateio pela receita bruta"))</f>
        <v/>
      </c>
      <c r="U448" s="65">
        <f>IF(C448="","",IF(R448="(-) Custos diretos dos serviços","Direto por fornecedor/natureza do gasto","Rateio proporcional à receita bruta da linha de serviço"))</f>
        <v/>
      </c>
    </row>
    <row r="449">
      <c r="A449" s="28">
        <f>IF(C449="","", "CP-"&amp;TEXT(ROW()-5,"000"))</f>
        <v/>
      </c>
      <c r="B449" s="27">
        <f>IF(F449="","",DATE(YEAR(F449),MONTH(F449),1))</f>
        <v/>
      </c>
      <c r="C449" s="28" t="n"/>
      <c r="D449" s="28" t="n"/>
      <c r="E449" s="59">
        <f>IF(C449="","",IFERROR(INDEX('6. Base de Custos'!$M$8:$M$42,MATCH(C449,'6. Base de Custos'!$L$8:$L$42,0)),"Não classificado"))</f>
        <v/>
      </c>
      <c r="F449" s="111" t="n"/>
      <c r="G449" s="111" t="n"/>
      <c r="H449" s="111" t="n"/>
      <c r="I449" s="45" t="n"/>
      <c r="J449" s="28" t="n"/>
      <c r="K449" s="28" t="n"/>
      <c r="L449" s="28" t="n"/>
      <c r="M449" s="59">
        <f>IF(C449="","",IFERROR(INDEX('6. Base de Custos'!$N$8:$N$42,MATCH(C449,'6. Base de Custos'!$L$8:$L$42,0)),"Não classificado"))</f>
        <v/>
      </c>
      <c r="N449" s="59">
        <f>IF(C449="","",IFERROR(INDEX('6. Base de Custos'!$O$8:$O$42,MATCH(C449,'6. Base de Custos'!$L$8:$L$42,0)),"Revisar"))</f>
        <v/>
      </c>
      <c r="O449" s="60">
        <f>IF(M449="","",IFERROR(VLOOKUP(M449,'6. Base de Custos'!$H$12:$J$18,3,FALSE),0))</f>
        <v/>
      </c>
      <c r="P449" s="59">
        <f>IF(C449="","",IFERROR(INDEX('6. Base de Custos'!$P$8:$P$42,MATCH(C449,'6. Base de Custos'!$L$8:$L$42,0)),"Revisar"))</f>
        <v/>
      </c>
      <c r="Q449" s="59">
        <f>IF(C449="","",IFERROR(INDEX('6. Base de Custos'!$Q$8:$Q$42,MATCH(C449,'6. Base de Custos'!$L$8:$L$42,0)),""))</f>
        <v/>
      </c>
      <c r="R449" s="65">
        <f>IF(C449="","",IFERROR(VLOOKUP(M449&amp;"|"&amp;N449,'17. Mapa DRE CP'!$E$5:$H$100,2,FALSE),"Revisar"))</f>
        <v/>
      </c>
      <c r="S449" s="65">
        <f>IF(C449="","",IFERROR(VLOOKUP(M449&amp;"|"&amp;N449,'17. Mapa DRE CP'!$E$5:$H$100,3,FALSE),"Revisar"))</f>
        <v/>
      </c>
      <c r="T449" s="65">
        <f>IF(C449="","",IF(R449="(-) Custos diretos dos serviços",IF(ISNUMBER(SEARCH("PCMSO",C449)),"PCMSO",IF(OR(ISNUMBER(SEARCH("SGS",C449)),ISNUMBER(SEARCH("CASTRO NAVES",C449))),"Projetos / Laudos / Avulsos","Projetos / Laudos / Avulsos")),"Rateio pela receita bruta"))</f>
        <v/>
      </c>
      <c r="U449" s="65">
        <f>IF(C449="","",IF(R449="(-) Custos diretos dos serviços","Direto por fornecedor/natureza do gasto","Rateio proporcional à receita bruta da linha de serviço"))</f>
        <v/>
      </c>
    </row>
    <row r="450">
      <c r="A450" s="28">
        <f>IF(C450="","", "CP-"&amp;TEXT(ROW()-5,"000"))</f>
        <v/>
      </c>
      <c r="B450" s="27">
        <f>IF(F450="","",DATE(YEAR(F450),MONTH(F450),1))</f>
        <v/>
      </c>
      <c r="C450" s="28" t="n"/>
      <c r="D450" s="28" t="n"/>
      <c r="E450" s="59">
        <f>IF(C450="","",IFERROR(INDEX('6. Base de Custos'!$M$8:$M$42,MATCH(C450,'6. Base de Custos'!$L$8:$L$42,0)),"Não classificado"))</f>
        <v/>
      </c>
      <c r="F450" s="111" t="n"/>
      <c r="G450" s="111" t="n"/>
      <c r="H450" s="111" t="n"/>
      <c r="I450" s="45" t="n"/>
      <c r="J450" s="28" t="n"/>
      <c r="K450" s="28" t="n"/>
      <c r="L450" s="28" t="n"/>
      <c r="M450" s="59">
        <f>IF(C450="","",IFERROR(INDEX('6. Base de Custos'!$N$8:$N$42,MATCH(C450,'6. Base de Custos'!$L$8:$L$42,0)),"Não classificado"))</f>
        <v/>
      </c>
      <c r="N450" s="59">
        <f>IF(C450="","",IFERROR(INDEX('6. Base de Custos'!$O$8:$O$42,MATCH(C450,'6. Base de Custos'!$L$8:$L$42,0)),"Revisar"))</f>
        <v/>
      </c>
      <c r="O450" s="60">
        <f>IF(M450="","",IFERROR(VLOOKUP(M450,'6. Base de Custos'!$H$12:$J$18,3,FALSE),0))</f>
        <v/>
      </c>
      <c r="P450" s="59">
        <f>IF(C450="","",IFERROR(INDEX('6. Base de Custos'!$P$8:$P$42,MATCH(C450,'6. Base de Custos'!$L$8:$L$42,0)),"Revisar"))</f>
        <v/>
      </c>
      <c r="Q450" s="59">
        <f>IF(C450="","",IFERROR(INDEX('6. Base de Custos'!$Q$8:$Q$42,MATCH(C450,'6. Base de Custos'!$L$8:$L$42,0)),""))</f>
        <v/>
      </c>
      <c r="R450" s="65">
        <f>IF(C450="","",IFERROR(VLOOKUP(M450&amp;"|"&amp;N450,'17. Mapa DRE CP'!$E$5:$H$100,2,FALSE),"Revisar"))</f>
        <v/>
      </c>
      <c r="S450" s="65">
        <f>IF(C450="","",IFERROR(VLOOKUP(M450&amp;"|"&amp;N450,'17. Mapa DRE CP'!$E$5:$H$100,3,FALSE),"Revisar"))</f>
        <v/>
      </c>
      <c r="T450" s="65">
        <f>IF(C450="","",IF(R450="(-) Custos diretos dos serviços",IF(ISNUMBER(SEARCH("PCMSO",C450)),"PCMSO",IF(OR(ISNUMBER(SEARCH("SGS",C450)),ISNUMBER(SEARCH("CASTRO NAVES",C450))),"Projetos / Laudos / Avulsos","Projetos / Laudos / Avulsos")),"Rateio pela receita bruta"))</f>
        <v/>
      </c>
      <c r="U450" s="65">
        <f>IF(C450="","",IF(R450="(-) Custos diretos dos serviços","Direto por fornecedor/natureza do gasto","Rateio proporcional à receita bruta da linha de serviço"))</f>
        <v/>
      </c>
    </row>
    <row r="451">
      <c r="A451" s="28">
        <f>IF(C451="","", "CP-"&amp;TEXT(ROW()-5,"000"))</f>
        <v/>
      </c>
      <c r="B451" s="27">
        <f>IF(F451="","",DATE(YEAR(F451),MONTH(F451),1))</f>
        <v/>
      </c>
      <c r="C451" s="28" t="n"/>
      <c r="D451" s="28" t="n"/>
      <c r="E451" s="59">
        <f>IF(C451="","",IFERROR(INDEX('6. Base de Custos'!$M$8:$M$42,MATCH(C451,'6. Base de Custos'!$L$8:$L$42,0)),"Não classificado"))</f>
        <v/>
      </c>
      <c r="F451" s="111" t="n"/>
      <c r="G451" s="111" t="n"/>
      <c r="H451" s="111" t="n"/>
      <c r="I451" s="45" t="n"/>
      <c r="J451" s="28" t="n"/>
      <c r="K451" s="28" t="n"/>
      <c r="L451" s="28" t="n"/>
      <c r="M451" s="59">
        <f>IF(C451="","",IFERROR(INDEX('6. Base de Custos'!$N$8:$N$42,MATCH(C451,'6. Base de Custos'!$L$8:$L$42,0)),"Não classificado"))</f>
        <v/>
      </c>
      <c r="N451" s="59">
        <f>IF(C451="","",IFERROR(INDEX('6. Base de Custos'!$O$8:$O$42,MATCH(C451,'6. Base de Custos'!$L$8:$L$42,0)),"Revisar"))</f>
        <v/>
      </c>
      <c r="O451" s="60">
        <f>IF(M451="","",IFERROR(VLOOKUP(M451,'6. Base de Custos'!$H$12:$J$18,3,FALSE),0))</f>
        <v/>
      </c>
      <c r="P451" s="59">
        <f>IF(C451="","",IFERROR(INDEX('6. Base de Custos'!$P$8:$P$42,MATCH(C451,'6. Base de Custos'!$L$8:$L$42,0)),"Revisar"))</f>
        <v/>
      </c>
      <c r="Q451" s="59">
        <f>IF(C451="","",IFERROR(INDEX('6. Base de Custos'!$Q$8:$Q$42,MATCH(C451,'6. Base de Custos'!$L$8:$L$42,0)),""))</f>
        <v/>
      </c>
      <c r="R451" s="65">
        <f>IF(C451="","",IFERROR(VLOOKUP(M451&amp;"|"&amp;N451,'17. Mapa DRE CP'!$E$5:$H$100,2,FALSE),"Revisar"))</f>
        <v/>
      </c>
      <c r="S451" s="65">
        <f>IF(C451="","",IFERROR(VLOOKUP(M451&amp;"|"&amp;N451,'17. Mapa DRE CP'!$E$5:$H$100,3,FALSE),"Revisar"))</f>
        <v/>
      </c>
      <c r="T451" s="65">
        <f>IF(C451="","",IF(R451="(-) Custos diretos dos serviços",IF(ISNUMBER(SEARCH("PCMSO",C451)),"PCMSO",IF(OR(ISNUMBER(SEARCH("SGS",C451)),ISNUMBER(SEARCH("CASTRO NAVES",C451))),"Projetos / Laudos / Avulsos","Projetos / Laudos / Avulsos")),"Rateio pela receita bruta"))</f>
        <v/>
      </c>
      <c r="U451" s="65">
        <f>IF(C451="","",IF(R451="(-) Custos diretos dos serviços","Direto por fornecedor/natureza do gasto","Rateio proporcional à receita bruta da linha de serviço"))</f>
        <v/>
      </c>
    </row>
    <row r="452">
      <c r="A452" s="28">
        <f>IF(C452="","", "CP-"&amp;TEXT(ROW()-5,"000"))</f>
        <v/>
      </c>
      <c r="B452" s="27">
        <f>IF(F452="","",DATE(YEAR(F452),MONTH(F452),1))</f>
        <v/>
      </c>
      <c r="C452" s="28" t="n"/>
      <c r="D452" s="28" t="n"/>
      <c r="E452" s="59">
        <f>IF(C452="","",IFERROR(INDEX('6. Base de Custos'!$M$8:$M$42,MATCH(C452,'6. Base de Custos'!$L$8:$L$42,0)),"Não classificado"))</f>
        <v/>
      </c>
      <c r="F452" s="111" t="n"/>
      <c r="G452" s="111" t="n"/>
      <c r="H452" s="111" t="n"/>
      <c r="I452" s="45" t="n"/>
      <c r="J452" s="28" t="n"/>
      <c r="K452" s="28" t="n"/>
      <c r="L452" s="28" t="n"/>
      <c r="M452" s="59">
        <f>IF(C452="","",IFERROR(INDEX('6. Base de Custos'!$N$8:$N$42,MATCH(C452,'6. Base de Custos'!$L$8:$L$42,0)),"Não classificado"))</f>
        <v/>
      </c>
      <c r="N452" s="59">
        <f>IF(C452="","",IFERROR(INDEX('6. Base de Custos'!$O$8:$O$42,MATCH(C452,'6. Base de Custos'!$L$8:$L$42,0)),"Revisar"))</f>
        <v/>
      </c>
      <c r="O452" s="60">
        <f>IF(M452="","",IFERROR(VLOOKUP(M452,'6. Base de Custos'!$H$12:$J$18,3,FALSE),0))</f>
        <v/>
      </c>
      <c r="P452" s="59">
        <f>IF(C452="","",IFERROR(INDEX('6. Base de Custos'!$P$8:$P$42,MATCH(C452,'6. Base de Custos'!$L$8:$L$42,0)),"Revisar"))</f>
        <v/>
      </c>
      <c r="Q452" s="59">
        <f>IF(C452="","",IFERROR(INDEX('6. Base de Custos'!$Q$8:$Q$42,MATCH(C452,'6. Base de Custos'!$L$8:$L$42,0)),""))</f>
        <v/>
      </c>
      <c r="R452" s="65">
        <f>IF(C452="","",IFERROR(VLOOKUP(M452&amp;"|"&amp;N452,'17. Mapa DRE CP'!$E$5:$H$100,2,FALSE),"Revisar"))</f>
        <v/>
      </c>
      <c r="S452" s="65">
        <f>IF(C452="","",IFERROR(VLOOKUP(M452&amp;"|"&amp;N452,'17. Mapa DRE CP'!$E$5:$H$100,3,FALSE),"Revisar"))</f>
        <v/>
      </c>
      <c r="T452" s="65">
        <f>IF(C452="","",IF(R452="(-) Custos diretos dos serviços",IF(ISNUMBER(SEARCH("PCMSO",C452)),"PCMSO",IF(OR(ISNUMBER(SEARCH("SGS",C452)),ISNUMBER(SEARCH("CASTRO NAVES",C452))),"Projetos / Laudos / Avulsos","Projetos / Laudos / Avulsos")),"Rateio pela receita bruta"))</f>
        <v/>
      </c>
      <c r="U452" s="65">
        <f>IF(C452="","",IF(R452="(-) Custos diretos dos serviços","Direto por fornecedor/natureza do gasto","Rateio proporcional à receita bruta da linha de serviço"))</f>
        <v/>
      </c>
    </row>
    <row r="453">
      <c r="A453" s="28">
        <f>IF(C453="","", "CP-"&amp;TEXT(ROW()-5,"000"))</f>
        <v/>
      </c>
      <c r="B453" s="27">
        <f>IF(F453="","",DATE(YEAR(F453),MONTH(F453),1))</f>
        <v/>
      </c>
      <c r="C453" s="28" t="n"/>
      <c r="D453" s="28" t="n"/>
      <c r="E453" s="59">
        <f>IF(C453="","",IFERROR(INDEX('6. Base de Custos'!$M$8:$M$42,MATCH(C453,'6. Base de Custos'!$L$8:$L$42,0)),"Não classificado"))</f>
        <v/>
      </c>
      <c r="F453" s="111" t="n"/>
      <c r="G453" s="111" t="n"/>
      <c r="H453" s="111" t="n"/>
      <c r="I453" s="45" t="n"/>
      <c r="J453" s="28" t="n"/>
      <c r="K453" s="28" t="n"/>
      <c r="L453" s="28" t="n"/>
      <c r="M453" s="59">
        <f>IF(C453="","",IFERROR(INDEX('6. Base de Custos'!$N$8:$N$42,MATCH(C453,'6. Base de Custos'!$L$8:$L$42,0)),"Não classificado"))</f>
        <v/>
      </c>
      <c r="N453" s="59">
        <f>IF(C453="","",IFERROR(INDEX('6. Base de Custos'!$O$8:$O$42,MATCH(C453,'6. Base de Custos'!$L$8:$L$42,0)),"Revisar"))</f>
        <v/>
      </c>
      <c r="O453" s="60">
        <f>IF(M453="","",IFERROR(VLOOKUP(M453,'6. Base de Custos'!$H$12:$J$18,3,FALSE),0))</f>
        <v/>
      </c>
      <c r="P453" s="59">
        <f>IF(C453="","",IFERROR(INDEX('6. Base de Custos'!$P$8:$P$42,MATCH(C453,'6. Base de Custos'!$L$8:$L$42,0)),"Revisar"))</f>
        <v/>
      </c>
      <c r="Q453" s="59">
        <f>IF(C453="","",IFERROR(INDEX('6. Base de Custos'!$Q$8:$Q$42,MATCH(C453,'6. Base de Custos'!$L$8:$L$42,0)),""))</f>
        <v/>
      </c>
      <c r="R453" s="65">
        <f>IF(C453="","",IFERROR(VLOOKUP(M453&amp;"|"&amp;N453,'17. Mapa DRE CP'!$E$5:$H$100,2,FALSE),"Revisar"))</f>
        <v/>
      </c>
      <c r="S453" s="65">
        <f>IF(C453="","",IFERROR(VLOOKUP(M453&amp;"|"&amp;N453,'17. Mapa DRE CP'!$E$5:$H$100,3,FALSE),"Revisar"))</f>
        <v/>
      </c>
      <c r="T453" s="65">
        <f>IF(C453="","",IF(R453="(-) Custos diretos dos serviços",IF(ISNUMBER(SEARCH("PCMSO",C453)),"PCMSO",IF(OR(ISNUMBER(SEARCH("SGS",C453)),ISNUMBER(SEARCH("CASTRO NAVES",C453))),"Projetos / Laudos / Avulsos","Projetos / Laudos / Avulsos")),"Rateio pela receita bruta"))</f>
        <v/>
      </c>
      <c r="U453" s="65">
        <f>IF(C453="","",IF(R453="(-) Custos diretos dos serviços","Direto por fornecedor/natureza do gasto","Rateio proporcional à receita bruta da linha de serviço"))</f>
        <v/>
      </c>
    </row>
    <row r="454">
      <c r="A454" s="28">
        <f>IF(C454="","", "CP-"&amp;TEXT(ROW()-5,"000"))</f>
        <v/>
      </c>
      <c r="B454" s="27">
        <f>IF(F454="","",DATE(YEAR(F454),MONTH(F454),1))</f>
        <v/>
      </c>
      <c r="C454" s="28" t="n"/>
      <c r="D454" s="28" t="n"/>
      <c r="E454" s="59">
        <f>IF(C454="","",IFERROR(INDEX('6. Base de Custos'!$M$8:$M$42,MATCH(C454,'6. Base de Custos'!$L$8:$L$42,0)),"Não classificado"))</f>
        <v/>
      </c>
      <c r="F454" s="111" t="n"/>
      <c r="G454" s="111" t="n"/>
      <c r="H454" s="111" t="n"/>
      <c r="I454" s="45" t="n"/>
      <c r="J454" s="28" t="n"/>
      <c r="K454" s="28" t="n"/>
      <c r="L454" s="28" t="n"/>
      <c r="M454" s="59">
        <f>IF(C454="","",IFERROR(INDEX('6. Base de Custos'!$N$8:$N$42,MATCH(C454,'6. Base de Custos'!$L$8:$L$42,0)),"Não classificado"))</f>
        <v/>
      </c>
      <c r="N454" s="59">
        <f>IF(C454="","",IFERROR(INDEX('6. Base de Custos'!$O$8:$O$42,MATCH(C454,'6. Base de Custos'!$L$8:$L$42,0)),"Revisar"))</f>
        <v/>
      </c>
      <c r="O454" s="60">
        <f>IF(M454="","",IFERROR(VLOOKUP(M454,'6. Base de Custos'!$H$12:$J$18,3,FALSE),0))</f>
        <v/>
      </c>
      <c r="P454" s="59">
        <f>IF(C454="","",IFERROR(INDEX('6. Base de Custos'!$P$8:$P$42,MATCH(C454,'6. Base de Custos'!$L$8:$L$42,0)),"Revisar"))</f>
        <v/>
      </c>
      <c r="Q454" s="59">
        <f>IF(C454="","",IFERROR(INDEX('6. Base de Custos'!$Q$8:$Q$42,MATCH(C454,'6. Base de Custos'!$L$8:$L$42,0)),""))</f>
        <v/>
      </c>
      <c r="R454" s="65">
        <f>IF(C454="","",IFERROR(VLOOKUP(M454&amp;"|"&amp;N454,'17. Mapa DRE CP'!$E$5:$H$100,2,FALSE),"Revisar"))</f>
        <v/>
      </c>
      <c r="S454" s="65">
        <f>IF(C454="","",IFERROR(VLOOKUP(M454&amp;"|"&amp;N454,'17. Mapa DRE CP'!$E$5:$H$100,3,FALSE),"Revisar"))</f>
        <v/>
      </c>
      <c r="T454" s="65">
        <f>IF(C454="","",IF(R454="(-) Custos diretos dos serviços",IF(ISNUMBER(SEARCH("PCMSO",C454)),"PCMSO",IF(OR(ISNUMBER(SEARCH("SGS",C454)),ISNUMBER(SEARCH("CASTRO NAVES",C454))),"Projetos / Laudos / Avulsos","Projetos / Laudos / Avulsos")),"Rateio pela receita bruta"))</f>
        <v/>
      </c>
      <c r="U454" s="65">
        <f>IF(C454="","",IF(R454="(-) Custos diretos dos serviços","Direto por fornecedor/natureza do gasto","Rateio proporcional à receita bruta da linha de serviço"))</f>
        <v/>
      </c>
    </row>
    <row r="455">
      <c r="A455" s="28">
        <f>IF(C455="","", "CP-"&amp;TEXT(ROW()-5,"000"))</f>
        <v/>
      </c>
      <c r="B455" s="27">
        <f>IF(F455="","",DATE(YEAR(F455),MONTH(F455),1))</f>
        <v/>
      </c>
      <c r="C455" s="28" t="n"/>
      <c r="D455" s="28" t="n"/>
      <c r="E455" s="59">
        <f>IF(C455="","",IFERROR(INDEX('6. Base de Custos'!$M$8:$M$42,MATCH(C455,'6. Base de Custos'!$L$8:$L$42,0)),"Não classificado"))</f>
        <v/>
      </c>
      <c r="F455" s="111" t="n"/>
      <c r="G455" s="111" t="n"/>
      <c r="H455" s="111" t="n"/>
      <c r="I455" s="45" t="n"/>
      <c r="J455" s="28" t="n"/>
      <c r="K455" s="28" t="n"/>
      <c r="L455" s="28" t="n"/>
      <c r="M455" s="59">
        <f>IF(C455="","",IFERROR(INDEX('6. Base de Custos'!$N$8:$N$42,MATCH(C455,'6. Base de Custos'!$L$8:$L$42,0)),"Não classificado"))</f>
        <v/>
      </c>
      <c r="N455" s="59">
        <f>IF(C455="","",IFERROR(INDEX('6. Base de Custos'!$O$8:$O$42,MATCH(C455,'6. Base de Custos'!$L$8:$L$42,0)),"Revisar"))</f>
        <v/>
      </c>
      <c r="O455" s="60">
        <f>IF(M455="","",IFERROR(VLOOKUP(M455,'6. Base de Custos'!$H$12:$J$18,3,FALSE),0))</f>
        <v/>
      </c>
      <c r="P455" s="59">
        <f>IF(C455="","",IFERROR(INDEX('6. Base de Custos'!$P$8:$P$42,MATCH(C455,'6. Base de Custos'!$L$8:$L$42,0)),"Revisar"))</f>
        <v/>
      </c>
      <c r="Q455" s="59">
        <f>IF(C455="","",IFERROR(INDEX('6. Base de Custos'!$Q$8:$Q$42,MATCH(C455,'6. Base de Custos'!$L$8:$L$42,0)),""))</f>
        <v/>
      </c>
      <c r="R455" s="65">
        <f>IF(C455="","",IFERROR(VLOOKUP(M455&amp;"|"&amp;N455,'17. Mapa DRE CP'!$E$5:$H$100,2,FALSE),"Revisar"))</f>
        <v/>
      </c>
      <c r="S455" s="65">
        <f>IF(C455="","",IFERROR(VLOOKUP(M455&amp;"|"&amp;N455,'17. Mapa DRE CP'!$E$5:$H$100,3,FALSE),"Revisar"))</f>
        <v/>
      </c>
      <c r="T455" s="65">
        <f>IF(C455="","",IF(R455="(-) Custos diretos dos serviços",IF(ISNUMBER(SEARCH("PCMSO",C455)),"PCMSO",IF(OR(ISNUMBER(SEARCH("SGS",C455)),ISNUMBER(SEARCH("CASTRO NAVES",C455))),"Projetos / Laudos / Avulsos","Projetos / Laudos / Avulsos")),"Rateio pela receita bruta"))</f>
        <v/>
      </c>
      <c r="U455" s="65">
        <f>IF(C455="","",IF(R455="(-) Custos diretos dos serviços","Direto por fornecedor/natureza do gasto","Rateio proporcional à receita bruta da linha de serviço"))</f>
        <v/>
      </c>
    </row>
    <row r="456">
      <c r="A456" s="28">
        <f>IF(C456="","", "CP-"&amp;TEXT(ROW()-5,"000"))</f>
        <v/>
      </c>
      <c r="B456" s="27">
        <f>IF(F456="","",DATE(YEAR(F456),MONTH(F456),1))</f>
        <v/>
      </c>
      <c r="C456" s="28" t="n"/>
      <c r="D456" s="28" t="n"/>
      <c r="E456" s="59">
        <f>IF(C456="","",IFERROR(INDEX('6. Base de Custos'!$M$8:$M$42,MATCH(C456,'6. Base de Custos'!$L$8:$L$42,0)),"Não classificado"))</f>
        <v/>
      </c>
      <c r="F456" s="111" t="n"/>
      <c r="G456" s="111" t="n"/>
      <c r="H456" s="111" t="n"/>
      <c r="I456" s="45" t="n"/>
      <c r="J456" s="28" t="n"/>
      <c r="K456" s="28" t="n"/>
      <c r="L456" s="28" t="n"/>
      <c r="M456" s="59">
        <f>IF(C456="","",IFERROR(INDEX('6. Base de Custos'!$N$8:$N$42,MATCH(C456,'6. Base de Custos'!$L$8:$L$42,0)),"Não classificado"))</f>
        <v/>
      </c>
      <c r="N456" s="59">
        <f>IF(C456="","",IFERROR(INDEX('6. Base de Custos'!$O$8:$O$42,MATCH(C456,'6. Base de Custos'!$L$8:$L$42,0)),"Revisar"))</f>
        <v/>
      </c>
      <c r="O456" s="60">
        <f>IF(M456="","",IFERROR(VLOOKUP(M456,'6. Base de Custos'!$H$12:$J$18,3,FALSE),0))</f>
        <v/>
      </c>
      <c r="P456" s="59">
        <f>IF(C456="","",IFERROR(INDEX('6. Base de Custos'!$P$8:$P$42,MATCH(C456,'6. Base de Custos'!$L$8:$L$42,0)),"Revisar"))</f>
        <v/>
      </c>
      <c r="Q456" s="59">
        <f>IF(C456="","",IFERROR(INDEX('6. Base de Custos'!$Q$8:$Q$42,MATCH(C456,'6. Base de Custos'!$L$8:$L$42,0)),""))</f>
        <v/>
      </c>
      <c r="R456" s="65">
        <f>IF(C456="","",IFERROR(VLOOKUP(M456&amp;"|"&amp;N456,'17. Mapa DRE CP'!$E$5:$H$100,2,FALSE),"Revisar"))</f>
        <v/>
      </c>
      <c r="S456" s="65">
        <f>IF(C456="","",IFERROR(VLOOKUP(M456&amp;"|"&amp;N456,'17. Mapa DRE CP'!$E$5:$H$100,3,FALSE),"Revisar"))</f>
        <v/>
      </c>
      <c r="T456" s="65">
        <f>IF(C456="","",IF(R456="(-) Custos diretos dos serviços",IF(ISNUMBER(SEARCH("PCMSO",C456)),"PCMSO",IF(OR(ISNUMBER(SEARCH("SGS",C456)),ISNUMBER(SEARCH("CASTRO NAVES",C456))),"Projetos / Laudos / Avulsos","Projetos / Laudos / Avulsos")),"Rateio pela receita bruta"))</f>
        <v/>
      </c>
      <c r="U456" s="65">
        <f>IF(C456="","",IF(R456="(-) Custos diretos dos serviços","Direto por fornecedor/natureza do gasto","Rateio proporcional à receita bruta da linha de serviço"))</f>
        <v/>
      </c>
    </row>
    <row r="457">
      <c r="A457" s="28">
        <f>IF(C457="","", "CP-"&amp;TEXT(ROW()-5,"000"))</f>
        <v/>
      </c>
      <c r="B457" s="27">
        <f>IF(F457="","",DATE(YEAR(F457),MONTH(F457),1))</f>
        <v/>
      </c>
      <c r="C457" s="28" t="n"/>
      <c r="D457" s="28" t="n"/>
      <c r="E457" s="59">
        <f>IF(C457="","",IFERROR(INDEX('6. Base de Custos'!$M$8:$M$42,MATCH(C457,'6. Base de Custos'!$L$8:$L$42,0)),"Não classificado"))</f>
        <v/>
      </c>
      <c r="F457" s="111" t="n"/>
      <c r="G457" s="111" t="n"/>
      <c r="H457" s="111" t="n"/>
      <c r="I457" s="45" t="n"/>
      <c r="J457" s="28" t="n"/>
      <c r="K457" s="28" t="n"/>
      <c r="L457" s="28" t="n"/>
      <c r="M457" s="59">
        <f>IF(C457="","",IFERROR(INDEX('6. Base de Custos'!$N$8:$N$42,MATCH(C457,'6. Base de Custos'!$L$8:$L$42,0)),"Não classificado"))</f>
        <v/>
      </c>
      <c r="N457" s="59">
        <f>IF(C457="","",IFERROR(INDEX('6. Base de Custos'!$O$8:$O$42,MATCH(C457,'6. Base de Custos'!$L$8:$L$42,0)),"Revisar"))</f>
        <v/>
      </c>
      <c r="O457" s="60">
        <f>IF(M457="","",IFERROR(VLOOKUP(M457,'6. Base de Custos'!$H$12:$J$18,3,FALSE),0))</f>
        <v/>
      </c>
      <c r="P457" s="59">
        <f>IF(C457="","",IFERROR(INDEX('6. Base de Custos'!$P$8:$P$42,MATCH(C457,'6. Base de Custos'!$L$8:$L$42,0)),"Revisar"))</f>
        <v/>
      </c>
      <c r="Q457" s="59">
        <f>IF(C457="","",IFERROR(INDEX('6. Base de Custos'!$Q$8:$Q$42,MATCH(C457,'6. Base de Custos'!$L$8:$L$42,0)),""))</f>
        <v/>
      </c>
      <c r="R457" s="65">
        <f>IF(C457="","",IFERROR(VLOOKUP(M457&amp;"|"&amp;N457,'17. Mapa DRE CP'!$E$5:$H$100,2,FALSE),"Revisar"))</f>
        <v/>
      </c>
      <c r="S457" s="65">
        <f>IF(C457="","",IFERROR(VLOOKUP(M457&amp;"|"&amp;N457,'17. Mapa DRE CP'!$E$5:$H$100,3,FALSE),"Revisar"))</f>
        <v/>
      </c>
      <c r="T457" s="65">
        <f>IF(C457="","",IF(R457="(-) Custos diretos dos serviços",IF(ISNUMBER(SEARCH("PCMSO",C457)),"PCMSO",IF(OR(ISNUMBER(SEARCH("SGS",C457)),ISNUMBER(SEARCH("CASTRO NAVES",C457))),"Projetos / Laudos / Avulsos","Projetos / Laudos / Avulsos")),"Rateio pela receita bruta"))</f>
        <v/>
      </c>
      <c r="U457" s="65">
        <f>IF(C457="","",IF(R457="(-) Custos diretos dos serviços","Direto por fornecedor/natureza do gasto","Rateio proporcional à receita bruta da linha de serviço"))</f>
        <v/>
      </c>
    </row>
    <row r="458">
      <c r="A458" s="28">
        <f>IF(C458="","", "CP-"&amp;TEXT(ROW()-5,"000"))</f>
        <v/>
      </c>
      <c r="B458" s="27">
        <f>IF(F458="","",DATE(YEAR(F458),MONTH(F458),1))</f>
        <v/>
      </c>
      <c r="C458" s="28" t="n"/>
      <c r="D458" s="28" t="n"/>
      <c r="E458" s="59">
        <f>IF(C458="","",IFERROR(INDEX('6. Base de Custos'!$M$8:$M$42,MATCH(C458,'6. Base de Custos'!$L$8:$L$42,0)),"Não classificado"))</f>
        <v/>
      </c>
      <c r="F458" s="111" t="n"/>
      <c r="G458" s="111" t="n"/>
      <c r="H458" s="111" t="n"/>
      <c r="I458" s="45" t="n"/>
      <c r="J458" s="28" t="n"/>
      <c r="K458" s="28" t="n"/>
      <c r="L458" s="28" t="n"/>
      <c r="M458" s="59">
        <f>IF(C458="","",IFERROR(INDEX('6. Base de Custos'!$N$8:$N$42,MATCH(C458,'6. Base de Custos'!$L$8:$L$42,0)),"Não classificado"))</f>
        <v/>
      </c>
      <c r="N458" s="59">
        <f>IF(C458="","",IFERROR(INDEX('6. Base de Custos'!$O$8:$O$42,MATCH(C458,'6. Base de Custos'!$L$8:$L$42,0)),"Revisar"))</f>
        <v/>
      </c>
      <c r="O458" s="60">
        <f>IF(M458="","",IFERROR(VLOOKUP(M458,'6. Base de Custos'!$H$12:$J$18,3,FALSE),0))</f>
        <v/>
      </c>
      <c r="P458" s="59">
        <f>IF(C458="","",IFERROR(INDEX('6. Base de Custos'!$P$8:$P$42,MATCH(C458,'6. Base de Custos'!$L$8:$L$42,0)),"Revisar"))</f>
        <v/>
      </c>
      <c r="Q458" s="59">
        <f>IF(C458="","",IFERROR(INDEX('6. Base de Custos'!$Q$8:$Q$42,MATCH(C458,'6. Base de Custos'!$L$8:$L$42,0)),""))</f>
        <v/>
      </c>
      <c r="R458" s="65">
        <f>IF(C458="","",IFERROR(VLOOKUP(M458&amp;"|"&amp;N458,'17. Mapa DRE CP'!$E$5:$H$100,2,FALSE),"Revisar"))</f>
        <v/>
      </c>
      <c r="S458" s="65">
        <f>IF(C458="","",IFERROR(VLOOKUP(M458&amp;"|"&amp;N458,'17. Mapa DRE CP'!$E$5:$H$100,3,FALSE),"Revisar"))</f>
        <v/>
      </c>
      <c r="T458" s="65">
        <f>IF(C458="","",IF(R458="(-) Custos diretos dos serviços",IF(ISNUMBER(SEARCH("PCMSO",C458)),"PCMSO",IF(OR(ISNUMBER(SEARCH("SGS",C458)),ISNUMBER(SEARCH("CASTRO NAVES",C458))),"Projetos / Laudos / Avulsos","Projetos / Laudos / Avulsos")),"Rateio pela receita bruta"))</f>
        <v/>
      </c>
      <c r="U458" s="65">
        <f>IF(C458="","",IF(R458="(-) Custos diretos dos serviços","Direto por fornecedor/natureza do gasto","Rateio proporcional à receita bruta da linha de serviço"))</f>
        <v/>
      </c>
    </row>
    <row r="459">
      <c r="A459" s="28">
        <f>IF(C459="","", "CP-"&amp;TEXT(ROW()-5,"000"))</f>
        <v/>
      </c>
      <c r="B459" s="27">
        <f>IF(F459="","",DATE(YEAR(F459),MONTH(F459),1))</f>
        <v/>
      </c>
      <c r="C459" s="28" t="n"/>
      <c r="D459" s="28" t="n"/>
      <c r="E459" s="59">
        <f>IF(C459="","",IFERROR(INDEX('6. Base de Custos'!$M$8:$M$42,MATCH(C459,'6. Base de Custos'!$L$8:$L$42,0)),"Não classificado"))</f>
        <v/>
      </c>
      <c r="F459" s="111" t="n"/>
      <c r="G459" s="111" t="n"/>
      <c r="H459" s="111" t="n"/>
      <c r="I459" s="45" t="n"/>
      <c r="J459" s="28" t="n"/>
      <c r="K459" s="28" t="n"/>
      <c r="L459" s="28" t="n"/>
      <c r="M459" s="59">
        <f>IF(C459="","",IFERROR(INDEX('6. Base de Custos'!$N$8:$N$42,MATCH(C459,'6. Base de Custos'!$L$8:$L$42,0)),"Não classificado"))</f>
        <v/>
      </c>
      <c r="N459" s="59">
        <f>IF(C459="","",IFERROR(INDEX('6. Base de Custos'!$O$8:$O$42,MATCH(C459,'6. Base de Custos'!$L$8:$L$42,0)),"Revisar"))</f>
        <v/>
      </c>
      <c r="O459" s="60">
        <f>IF(M459="","",IFERROR(VLOOKUP(M459,'6. Base de Custos'!$H$12:$J$18,3,FALSE),0))</f>
        <v/>
      </c>
      <c r="P459" s="59">
        <f>IF(C459="","",IFERROR(INDEX('6. Base de Custos'!$P$8:$P$42,MATCH(C459,'6. Base de Custos'!$L$8:$L$42,0)),"Revisar"))</f>
        <v/>
      </c>
      <c r="Q459" s="59">
        <f>IF(C459="","",IFERROR(INDEX('6. Base de Custos'!$Q$8:$Q$42,MATCH(C459,'6. Base de Custos'!$L$8:$L$42,0)),""))</f>
        <v/>
      </c>
      <c r="R459" s="65">
        <f>IF(C459="","",IFERROR(VLOOKUP(M459&amp;"|"&amp;N459,'17. Mapa DRE CP'!$E$5:$H$100,2,FALSE),"Revisar"))</f>
        <v/>
      </c>
      <c r="S459" s="65">
        <f>IF(C459="","",IFERROR(VLOOKUP(M459&amp;"|"&amp;N459,'17. Mapa DRE CP'!$E$5:$H$100,3,FALSE),"Revisar"))</f>
        <v/>
      </c>
      <c r="T459" s="65">
        <f>IF(C459="","",IF(R459="(-) Custos diretos dos serviços",IF(ISNUMBER(SEARCH("PCMSO",C459)),"PCMSO",IF(OR(ISNUMBER(SEARCH("SGS",C459)),ISNUMBER(SEARCH("CASTRO NAVES",C459))),"Projetos / Laudos / Avulsos","Projetos / Laudos / Avulsos")),"Rateio pela receita bruta"))</f>
        <v/>
      </c>
      <c r="U459" s="65">
        <f>IF(C459="","",IF(R459="(-) Custos diretos dos serviços","Direto por fornecedor/natureza do gasto","Rateio proporcional à receita bruta da linha de serviço"))</f>
        <v/>
      </c>
    </row>
    <row r="460">
      <c r="A460" s="28">
        <f>IF(C460="","", "CP-"&amp;TEXT(ROW()-5,"000"))</f>
        <v/>
      </c>
      <c r="B460" s="27">
        <f>IF(F460="","",DATE(YEAR(F460),MONTH(F460),1))</f>
        <v/>
      </c>
      <c r="C460" s="28" t="n"/>
      <c r="D460" s="28" t="n"/>
      <c r="E460" s="59">
        <f>IF(C460="","",IFERROR(INDEX('6. Base de Custos'!$M$8:$M$42,MATCH(C460,'6. Base de Custos'!$L$8:$L$42,0)),"Não classificado"))</f>
        <v/>
      </c>
      <c r="F460" s="111" t="n"/>
      <c r="G460" s="111" t="n"/>
      <c r="H460" s="111" t="n"/>
      <c r="I460" s="45" t="n"/>
      <c r="J460" s="28" t="n"/>
      <c r="K460" s="28" t="n"/>
      <c r="L460" s="28" t="n"/>
      <c r="M460" s="59">
        <f>IF(C460="","",IFERROR(INDEX('6. Base de Custos'!$N$8:$N$42,MATCH(C460,'6. Base de Custos'!$L$8:$L$42,0)),"Não classificado"))</f>
        <v/>
      </c>
      <c r="N460" s="59">
        <f>IF(C460="","",IFERROR(INDEX('6. Base de Custos'!$O$8:$O$42,MATCH(C460,'6. Base de Custos'!$L$8:$L$42,0)),"Revisar"))</f>
        <v/>
      </c>
      <c r="O460" s="60">
        <f>IF(M460="","",IFERROR(VLOOKUP(M460,'6. Base de Custos'!$H$12:$J$18,3,FALSE),0))</f>
        <v/>
      </c>
      <c r="P460" s="59">
        <f>IF(C460="","",IFERROR(INDEX('6. Base de Custos'!$P$8:$P$42,MATCH(C460,'6. Base de Custos'!$L$8:$L$42,0)),"Revisar"))</f>
        <v/>
      </c>
      <c r="Q460" s="59">
        <f>IF(C460="","",IFERROR(INDEX('6. Base de Custos'!$Q$8:$Q$42,MATCH(C460,'6. Base de Custos'!$L$8:$L$42,0)),""))</f>
        <v/>
      </c>
      <c r="R460" s="65">
        <f>IF(C460="","",IFERROR(VLOOKUP(M460&amp;"|"&amp;N460,'17. Mapa DRE CP'!$E$5:$H$100,2,FALSE),"Revisar"))</f>
        <v/>
      </c>
      <c r="S460" s="65">
        <f>IF(C460="","",IFERROR(VLOOKUP(M460&amp;"|"&amp;N460,'17. Mapa DRE CP'!$E$5:$H$100,3,FALSE),"Revisar"))</f>
        <v/>
      </c>
      <c r="T460" s="65">
        <f>IF(C460="","",IF(R460="(-) Custos diretos dos serviços",IF(ISNUMBER(SEARCH("PCMSO",C460)),"PCMSO",IF(OR(ISNUMBER(SEARCH("SGS",C460)),ISNUMBER(SEARCH("CASTRO NAVES",C460))),"Projetos / Laudos / Avulsos","Projetos / Laudos / Avulsos")),"Rateio pela receita bruta"))</f>
        <v/>
      </c>
      <c r="U460" s="65">
        <f>IF(C460="","",IF(R460="(-) Custos diretos dos serviços","Direto por fornecedor/natureza do gasto","Rateio proporcional à receita bruta da linha de serviço"))</f>
        <v/>
      </c>
    </row>
    <row r="461">
      <c r="A461" s="28">
        <f>IF(C461="","", "CP-"&amp;TEXT(ROW()-5,"000"))</f>
        <v/>
      </c>
      <c r="B461" s="27">
        <f>IF(F461="","",DATE(YEAR(F461),MONTH(F461),1))</f>
        <v/>
      </c>
      <c r="C461" s="28" t="n"/>
      <c r="D461" s="28" t="n"/>
      <c r="E461" s="59">
        <f>IF(C461="","",IFERROR(INDEX('6. Base de Custos'!$M$8:$M$42,MATCH(C461,'6. Base de Custos'!$L$8:$L$42,0)),"Não classificado"))</f>
        <v/>
      </c>
      <c r="F461" s="111" t="n"/>
      <c r="G461" s="111" t="n"/>
      <c r="H461" s="111" t="n"/>
      <c r="I461" s="45" t="n"/>
      <c r="J461" s="28" t="n"/>
      <c r="K461" s="28" t="n"/>
      <c r="L461" s="28" t="n"/>
      <c r="M461" s="59">
        <f>IF(C461="","",IFERROR(INDEX('6. Base de Custos'!$N$8:$N$42,MATCH(C461,'6. Base de Custos'!$L$8:$L$42,0)),"Não classificado"))</f>
        <v/>
      </c>
      <c r="N461" s="59">
        <f>IF(C461="","",IFERROR(INDEX('6. Base de Custos'!$O$8:$O$42,MATCH(C461,'6. Base de Custos'!$L$8:$L$42,0)),"Revisar"))</f>
        <v/>
      </c>
      <c r="O461" s="60">
        <f>IF(M461="","",IFERROR(VLOOKUP(M461,'6. Base de Custos'!$H$12:$J$18,3,FALSE),0))</f>
        <v/>
      </c>
      <c r="P461" s="59">
        <f>IF(C461="","",IFERROR(INDEX('6. Base de Custos'!$P$8:$P$42,MATCH(C461,'6. Base de Custos'!$L$8:$L$42,0)),"Revisar"))</f>
        <v/>
      </c>
      <c r="Q461" s="59">
        <f>IF(C461="","",IFERROR(INDEX('6. Base de Custos'!$Q$8:$Q$42,MATCH(C461,'6. Base de Custos'!$L$8:$L$42,0)),""))</f>
        <v/>
      </c>
      <c r="R461" s="65">
        <f>IF(C461="","",IFERROR(VLOOKUP(M461&amp;"|"&amp;N461,'17. Mapa DRE CP'!$E$5:$H$100,2,FALSE),"Revisar"))</f>
        <v/>
      </c>
      <c r="S461" s="65">
        <f>IF(C461="","",IFERROR(VLOOKUP(M461&amp;"|"&amp;N461,'17. Mapa DRE CP'!$E$5:$H$100,3,FALSE),"Revisar"))</f>
        <v/>
      </c>
      <c r="T461" s="65">
        <f>IF(C461="","",IF(R461="(-) Custos diretos dos serviços",IF(ISNUMBER(SEARCH("PCMSO",C461)),"PCMSO",IF(OR(ISNUMBER(SEARCH("SGS",C461)),ISNUMBER(SEARCH("CASTRO NAVES",C461))),"Projetos / Laudos / Avulsos","Projetos / Laudos / Avulsos")),"Rateio pela receita bruta"))</f>
        <v/>
      </c>
      <c r="U461" s="65">
        <f>IF(C461="","",IF(R461="(-) Custos diretos dos serviços","Direto por fornecedor/natureza do gasto","Rateio proporcional à receita bruta da linha de serviço"))</f>
        <v/>
      </c>
    </row>
    <row r="462">
      <c r="A462" s="28">
        <f>IF(C462="","", "CP-"&amp;TEXT(ROW()-5,"000"))</f>
        <v/>
      </c>
      <c r="B462" s="27">
        <f>IF(F462="","",DATE(YEAR(F462),MONTH(F462),1))</f>
        <v/>
      </c>
      <c r="C462" s="28" t="n"/>
      <c r="D462" s="28" t="n"/>
      <c r="E462" s="59">
        <f>IF(C462="","",IFERROR(INDEX('6. Base de Custos'!$M$8:$M$42,MATCH(C462,'6. Base de Custos'!$L$8:$L$42,0)),"Não classificado"))</f>
        <v/>
      </c>
      <c r="F462" s="111" t="n"/>
      <c r="G462" s="111" t="n"/>
      <c r="H462" s="111" t="n"/>
      <c r="I462" s="45" t="n"/>
      <c r="J462" s="28" t="n"/>
      <c r="K462" s="28" t="n"/>
      <c r="L462" s="28" t="n"/>
      <c r="M462" s="59">
        <f>IF(C462="","",IFERROR(INDEX('6. Base de Custos'!$N$8:$N$42,MATCH(C462,'6. Base de Custos'!$L$8:$L$42,0)),"Não classificado"))</f>
        <v/>
      </c>
      <c r="N462" s="59">
        <f>IF(C462="","",IFERROR(INDEX('6. Base de Custos'!$O$8:$O$42,MATCH(C462,'6. Base de Custos'!$L$8:$L$42,0)),"Revisar"))</f>
        <v/>
      </c>
      <c r="O462" s="60">
        <f>IF(M462="","",IFERROR(VLOOKUP(M462,'6. Base de Custos'!$H$12:$J$18,3,FALSE),0))</f>
        <v/>
      </c>
      <c r="P462" s="59">
        <f>IF(C462="","",IFERROR(INDEX('6. Base de Custos'!$P$8:$P$42,MATCH(C462,'6. Base de Custos'!$L$8:$L$42,0)),"Revisar"))</f>
        <v/>
      </c>
      <c r="Q462" s="59">
        <f>IF(C462="","",IFERROR(INDEX('6. Base de Custos'!$Q$8:$Q$42,MATCH(C462,'6. Base de Custos'!$L$8:$L$42,0)),""))</f>
        <v/>
      </c>
      <c r="R462" s="65">
        <f>IF(C462="","",IFERROR(VLOOKUP(M462&amp;"|"&amp;N462,'17. Mapa DRE CP'!$E$5:$H$100,2,FALSE),"Revisar"))</f>
        <v/>
      </c>
      <c r="S462" s="65">
        <f>IF(C462="","",IFERROR(VLOOKUP(M462&amp;"|"&amp;N462,'17. Mapa DRE CP'!$E$5:$H$100,3,FALSE),"Revisar"))</f>
        <v/>
      </c>
      <c r="T462" s="65">
        <f>IF(C462="","",IF(R462="(-) Custos diretos dos serviços",IF(ISNUMBER(SEARCH("PCMSO",C462)),"PCMSO",IF(OR(ISNUMBER(SEARCH("SGS",C462)),ISNUMBER(SEARCH("CASTRO NAVES",C462))),"Projetos / Laudos / Avulsos","Projetos / Laudos / Avulsos")),"Rateio pela receita bruta"))</f>
        <v/>
      </c>
      <c r="U462" s="65">
        <f>IF(C462="","",IF(R462="(-) Custos diretos dos serviços","Direto por fornecedor/natureza do gasto","Rateio proporcional à receita bruta da linha de serviço"))</f>
        <v/>
      </c>
    </row>
    <row r="463">
      <c r="A463" s="28">
        <f>IF(C463="","", "CP-"&amp;TEXT(ROW()-5,"000"))</f>
        <v/>
      </c>
      <c r="B463" s="27">
        <f>IF(F463="","",DATE(YEAR(F463),MONTH(F463),1))</f>
        <v/>
      </c>
      <c r="C463" s="28" t="n"/>
      <c r="D463" s="28" t="n"/>
      <c r="E463" s="59">
        <f>IF(C463="","",IFERROR(INDEX('6. Base de Custos'!$M$8:$M$42,MATCH(C463,'6. Base de Custos'!$L$8:$L$42,0)),"Não classificado"))</f>
        <v/>
      </c>
      <c r="F463" s="111" t="n"/>
      <c r="G463" s="111" t="n"/>
      <c r="H463" s="111" t="n"/>
      <c r="I463" s="45" t="n"/>
      <c r="J463" s="28" t="n"/>
      <c r="K463" s="28" t="n"/>
      <c r="L463" s="28" t="n"/>
      <c r="M463" s="59">
        <f>IF(C463="","",IFERROR(INDEX('6. Base de Custos'!$N$8:$N$42,MATCH(C463,'6. Base de Custos'!$L$8:$L$42,0)),"Não classificado"))</f>
        <v/>
      </c>
      <c r="N463" s="59">
        <f>IF(C463="","",IFERROR(INDEX('6. Base de Custos'!$O$8:$O$42,MATCH(C463,'6. Base de Custos'!$L$8:$L$42,0)),"Revisar"))</f>
        <v/>
      </c>
      <c r="O463" s="60">
        <f>IF(M463="","",IFERROR(VLOOKUP(M463,'6. Base de Custos'!$H$12:$J$18,3,FALSE),0))</f>
        <v/>
      </c>
      <c r="P463" s="59">
        <f>IF(C463="","",IFERROR(INDEX('6. Base de Custos'!$P$8:$P$42,MATCH(C463,'6. Base de Custos'!$L$8:$L$42,0)),"Revisar"))</f>
        <v/>
      </c>
      <c r="Q463" s="59">
        <f>IF(C463="","",IFERROR(INDEX('6. Base de Custos'!$Q$8:$Q$42,MATCH(C463,'6. Base de Custos'!$L$8:$L$42,0)),""))</f>
        <v/>
      </c>
      <c r="R463" s="65">
        <f>IF(C463="","",IFERROR(VLOOKUP(M463&amp;"|"&amp;N463,'17. Mapa DRE CP'!$E$5:$H$100,2,FALSE),"Revisar"))</f>
        <v/>
      </c>
      <c r="S463" s="65">
        <f>IF(C463="","",IFERROR(VLOOKUP(M463&amp;"|"&amp;N463,'17. Mapa DRE CP'!$E$5:$H$100,3,FALSE),"Revisar"))</f>
        <v/>
      </c>
      <c r="T463" s="65">
        <f>IF(C463="","",IF(R463="(-) Custos diretos dos serviços",IF(ISNUMBER(SEARCH("PCMSO",C463)),"PCMSO",IF(OR(ISNUMBER(SEARCH("SGS",C463)),ISNUMBER(SEARCH("CASTRO NAVES",C463))),"Projetos / Laudos / Avulsos","Projetos / Laudos / Avulsos")),"Rateio pela receita bruta"))</f>
        <v/>
      </c>
      <c r="U463" s="65">
        <f>IF(C463="","",IF(R463="(-) Custos diretos dos serviços","Direto por fornecedor/natureza do gasto","Rateio proporcional à receita bruta da linha de serviço"))</f>
        <v/>
      </c>
    </row>
    <row r="464">
      <c r="A464" s="28">
        <f>IF(C464="","", "CP-"&amp;TEXT(ROW()-5,"000"))</f>
        <v/>
      </c>
      <c r="B464" s="27">
        <f>IF(F464="","",DATE(YEAR(F464),MONTH(F464),1))</f>
        <v/>
      </c>
      <c r="C464" s="28" t="n"/>
      <c r="D464" s="28" t="n"/>
      <c r="E464" s="59">
        <f>IF(C464="","",IFERROR(INDEX('6. Base de Custos'!$M$8:$M$42,MATCH(C464,'6. Base de Custos'!$L$8:$L$42,0)),"Não classificado"))</f>
        <v/>
      </c>
      <c r="F464" s="111" t="n"/>
      <c r="G464" s="111" t="n"/>
      <c r="H464" s="111" t="n"/>
      <c r="I464" s="45" t="n"/>
      <c r="J464" s="28" t="n"/>
      <c r="K464" s="28" t="n"/>
      <c r="L464" s="28" t="n"/>
      <c r="M464" s="59">
        <f>IF(C464="","",IFERROR(INDEX('6. Base de Custos'!$N$8:$N$42,MATCH(C464,'6. Base de Custos'!$L$8:$L$42,0)),"Não classificado"))</f>
        <v/>
      </c>
      <c r="N464" s="59">
        <f>IF(C464="","",IFERROR(INDEX('6. Base de Custos'!$O$8:$O$42,MATCH(C464,'6. Base de Custos'!$L$8:$L$42,0)),"Revisar"))</f>
        <v/>
      </c>
      <c r="O464" s="60">
        <f>IF(M464="","",IFERROR(VLOOKUP(M464,'6. Base de Custos'!$H$12:$J$18,3,FALSE),0))</f>
        <v/>
      </c>
      <c r="P464" s="59">
        <f>IF(C464="","",IFERROR(INDEX('6. Base de Custos'!$P$8:$P$42,MATCH(C464,'6. Base de Custos'!$L$8:$L$42,0)),"Revisar"))</f>
        <v/>
      </c>
      <c r="Q464" s="59">
        <f>IF(C464="","",IFERROR(INDEX('6. Base de Custos'!$Q$8:$Q$42,MATCH(C464,'6. Base de Custos'!$L$8:$L$42,0)),""))</f>
        <v/>
      </c>
      <c r="R464" s="65">
        <f>IF(C464="","",IFERROR(VLOOKUP(M464&amp;"|"&amp;N464,'17. Mapa DRE CP'!$E$5:$H$100,2,FALSE),"Revisar"))</f>
        <v/>
      </c>
      <c r="S464" s="65">
        <f>IF(C464="","",IFERROR(VLOOKUP(M464&amp;"|"&amp;N464,'17. Mapa DRE CP'!$E$5:$H$100,3,FALSE),"Revisar"))</f>
        <v/>
      </c>
      <c r="T464" s="65">
        <f>IF(C464="","",IF(R464="(-) Custos diretos dos serviços",IF(ISNUMBER(SEARCH("PCMSO",C464)),"PCMSO",IF(OR(ISNUMBER(SEARCH("SGS",C464)),ISNUMBER(SEARCH("CASTRO NAVES",C464))),"Projetos / Laudos / Avulsos","Projetos / Laudos / Avulsos")),"Rateio pela receita bruta"))</f>
        <v/>
      </c>
      <c r="U464" s="65">
        <f>IF(C464="","",IF(R464="(-) Custos diretos dos serviços","Direto por fornecedor/natureza do gasto","Rateio proporcional à receita bruta da linha de serviço"))</f>
        <v/>
      </c>
    </row>
    <row r="465">
      <c r="A465" s="28">
        <f>IF(C465="","", "CP-"&amp;TEXT(ROW()-5,"000"))</f>
        <v/>
      </c>
      <c r="B465" s="27">
        <f>IF(F465="","",DATE(YEAR(F465),MONTH(F465),1))</f>
        <v/>
      </c>
      <c r="C465" s="28" t="n"/>
      <c r="D465" s="28" t="n"/>
      <c r="E465" s="59">
        <f>IF(C465="","",IFERROR(INDEX('6. Base de Custos'!$M$8:$M$42,MATCH(C465,'6. Base de Custos'!$L$8:$L$42,0)),"Não classificado"))</f>
        <v/>
      </c>
      <c r="F465" s="111" t="n"/>
      <c r="G465" s="111" t="n"/>
      <c r="H465" s="111" t="n"/>
      <c r="I465" s="45" t="n"/>
      <c r="J465" s="28" t="n"/>
      <c r="K465" s="28" t="n"/>
      <c r="L465" s="28" t="n"/>
      <c r="M465" s="59">
        <f>IF(C465="","",IFERROR(INDEX('6. Base de Custos'!$N$8:$N$42,MATCH(C465,'6. Base de Custos'!$L$8:$L$42,0)),"Não classificado"))</f>
        <v/>
      </c>
      <c r="N465" s="59">
        <f>IF(C465="","",IFERROR(INDEX('6. Base de Custos'!$O$8:$O$42,MATCH(C465,'6. Base de Custos'!$L$8:$L$42,0)),"Revisar"))</f>
        <v/>
      </c>
      <c r="O465" s="60">
        <f>IF(M465="","",IFERROR(VLOOKUP(M465,'6. Base de Custos'!$H$12:$J$18,3,FALSE),0))</f>
        <v/>
      </c>
      <c r="P465" s="59">
        <f>IF(C465="","",IFERROR(INDEX('6. Base de Custos'!$P$8:$P$42,MATCH(C465,'6. Base de Custos'!$L$8:$L$42,0)),"Revisar"))</f>
        <v/>
      </c>
      <c r="Q465" s="59">
        <f>IF(C465="","",IFERROR(INDEX('6. Base de Custos'!$Q$8:$Q$42,MATCH(C465,'6. Base de Custos'!$L$8:$L$42,0)),""))</f>
        <v/>
      </c>
      <c r="R465" s="65">
        <f>IF(C465="","",IFERROR(VLOOKUP(M465&amp;"|"&amp;N465,'17. Mapa DRE CP'!$E$5:$H$100,2,FALSE),"Revisar"))</f>
        <v/>
      </c>
      <c r="S465" s="65">
        <f>IF(C465="","",IFERROR(VLOOKUP(M465&amp;"|"&amp;N465,'17. Mapa DRE CP'!$E$5:$H$100,3,FALSE),"Revisar"))</f>
        <v/>
      </c>
      <c r="T465" s="65">
        <f>IF(C465="","",IF(R465="(-) Custos diretos dos serviços",IF(ISNUMBER(SEARCH("PCMSO",C465)),"PCMSO",IF(OR(ISNUMBER(SEARCH("SGS",C465)),ISNUMBER(SEARCH("CASTRO NAVES",C465))),"Projetos / Laudos / Avulsos","Projetos / Laudos / Avulsos")),"Rateio pela receita bruta"))</f>
        <v/>
      </c>
      <c r="U465" s="65">
        <f>IF(C465="","",IF(R465="(-) Custos diretos dos serviços","Direto por fornecedor/natureza do gasto","Rateio proporcional à receita bruta da linha de serviço"))</f>
        <v/>
      </c>
    </row>
    <row r="466">
      <c r="A466" s="28">
        <f>IF(C466="","", "CP-"&amp;TEXT(ROW()-5,"000"))</f>
        <v/>
      </c>
      <c r="B466" s="27">
        <f>IF(F466="","",DATE(YEAR(F466),MONTH(F466),1))</f>
        <v/>
      </c>
      <c r="C466" s="28" t="n"/>
      <c r="D466" s="28" t="n"/>
      <c r="E466" s="59">
        <f>IF(C466="","",IFERROR(INDEX('6. Base de Custos'!$M$8:$M$42,MATCH(C466,'6. Base de Custos'!$L$8:$L$42,0)),"Não classificado"))</f>
        <v/>
      </c>
      <c r="F466" s="111" t="n"/>
      <c r="G466" s="111" t="n"/>
      <c r="H466" s="111" t="n"/>
      <c r="I466" s="45" t="n"/>
      <c r="J466" s="28" t="n"/>
      <c r="K466" s="28" t="n"/>
      <c r="L466" s="28" t="n"/>
      <c r="M466" s="59">
        <f>IF(C466="","",IFERROR(INDEX('6. Base de Custos'!$N$8:$N$42,MATCH(C466,'6. Base de Custos'!$L$8:$L$42,0)),"Não classificado"))</f>
        <v/>
      </c>
      <c r="N466" s="59">
        <f>IF(C466="","",IFERROR(INDEX('6. Base de Custos'!$O$8:$O$42,MATCH(C466,'6. Base de Custos'!$L$8:$L$42,0)),"Revisar"))</f>
        <v/>
      </c>
      <c r="O466" s="60">
        <f>IF(M466="","",IFERROR(VLOOKUP(M466,'6. Base de Custos'!$H$12:$J$18,3,FALSE),0))</f>
        <v/>
      </c>
      <c r="P466" s="59">
        <f>IF(C466="","",IFERROR(INDEX('6. Base de Custos'!$P$8:$P$42,MATCH(C466,'6. Base de Custos'!$L$8:$L$42,0)),"Revisar"))</f>
        <v/>
      </c>
      <c r="Q466" s="59">
        <f>IF(C466="","",IFERROR(INDEX('6. Base de Custos'!$Q$8:$Q$42,MATCH(C466,'6. Base de Custos'!$L$8:$L$42,0)),""))</f>
        <v/>
      </c>
      <c r="R466" s="65">
        <f>IF(C466="","",IFERROR(VLOOKUP(M466&amp;"|"&amp;N466,'17. Mapa DRE CP'!$E$5:$H$100,2,FALSE),"Revisar"))</f>
        <v/>
      </c>
      <c r="S466" s="65">
        <f>IF(C466="","",IFERROR(VLOOKUP(M466&amp;"|"&amp;N466,'17. Mapa DRE CP'!$E$5:$H$100,3,FALSE),"Revisar"))</f>
        <v/>
      </c>
      <c r="T466" s="65">
        <f>IF(C466="","",IF(R466="(-) Custos diretos dos serviços",IF(ISNUMBER(SEARCH("PCMSO",C466)),"PCMSO",IF(OR(ISNUMBER(SEARCH("SGS",C466)),ISNUMBER(SEARCH("CASTRO NAVES",C466))),"Projetos / Laudos / Avulsos","Projetos / Laudos / Avulsos")),"Rateio pela receita bruta"))</f>
        <v/>
      </c>
      <c r="U466" s="65">
        <f>IF(C466="","",IF(R466="(-) Custos diretos dos serviços","Direto por fornecedor/natureza do gasto","Rateio proporcional à receita bruta da linha de serviço"))</f>
        <v/>
      </c>
    </row>
    <row r="467">
      <c r="A467" s="28">
        <f>IF(C467="","", "CP-"&amp;TEXT(ROW()-5,"000"))</f>
        <v/>
      </c>
      <c r="B467" s="27">
        <f>IF(F467="","",DATE(YEAR(F467),MONTH(F467),1))</f>
        <v/>
      </c>
      <c r="C467" s="28" t="n"/>
      <c r="D467" s="28" t="n"/>
      <c r="E467" s="59">
        <f>IF(C467="","",IFERROR(INDEX('6. Base de Custos'!$M$8:$M$42,MATCH(C467,'6. Base de Custos'!$L$8:$L$42,0)),"Não classificado"))</f>
        <v/>
      </c>
      <c r="F467" s="111" t="n"/>
      <c r="G467" s="111" t="n"/>
      <c r="H467" s="111" t="n"/>
      <c r="I467" s="45" t="n"/>
      <c r="J467" s="28" t="n"/>
      <c r="K467" s="28" t="n"/>
      <c r="L467" s="28" t="n"/>
      <c r="M467" s="59">
        <f>IF(C467="","",IFERROR(INDEX('6. Base de Custos'!$N$8:$N$42,MATCH(C467,'6. Base de Custos'!$L$8:$L$42,0)),"Não classificado"))</f>
        <v/>
      </c>
      <c r="N467" s="59">
        <f>IF(C467="","",IFERROR(INDEX('6. Base de Custos'!$O$8:$O$42,MATCH(C467,'6. Base de Custos'!$L$8:$L$42,0)),"Revisar"))</f>
        <v/>
      </c>
      <c r="O467" s="60">
        <f>IF(M467="","",IFERROR(VLOOKUP(M467,'6. Base de Custos'!$H$12:$J$18,3,FALSE),0))</f>
        <v/>
      </c>
      <c r="P467" s="59">
        <f>IF(C467="","",IFERROR(INDEX('6. Base de Custos'!$P$8:$P$42,MATCH(C467,'6. Base de Custos'!$L$8:$L$42,0)),"Revisar"))</f>
        <v/>
      </c>
      <c r="Q467" s="59">
        <f>IF(C467="","",IFERROR(INDEX('6. Base de Custos'!$Q$8:$Q$42,MATCH(C467,'6. Base de Custos'!$L$8:$L$42,0)),""))</f>
        <v/>
      </c>
      <c r="R467" s="65">
        <f>IF(C467="","",IFERROR(VLOOKUP(M467&amp;"|"&amp;N467,'17. Mapa DRE CP'!$E$5:$H$100,2,FALSE),"Revisar"))</f>
        <v/>
      </c>
      <c r="S467" s="65">
        <f>IF(C467="","",IFERROR(VLOOKUP(M467&amp;"|"&amp;N467,'17. Mapa DRE CP'!$E$5:$H$100,3,FALSE),"Revisar"))</f>
        <v/>
      </c>
      <c r="T467" s="65">
        <f>IF(C467="","",IF(R467="(-) Custos diretos dos serviços",IF(ISNUMBER(SEARCH("PCMSO",C467)),"PCMSO",IF(OR(ISNUMBER(SEARCH("SGS",C467)),ISNUMBER(SEARCH("CASTRO NAVES",C467))),"Projetos / Laudos / Avulsos","Projetos / Laudos / Avulsos")),"Rateio pela receita bruta"))</f>
        <v/>
      </c>
      <c r="U467" s="65">
        <f>IF(C467="","",IF(R467="(-) Custos diretos dos serviços","Direto por fornecedor/natureza do gasto","Rateio proporcional à receita bruta da linha de serviço"))</f>
        <v/>
      </c>
    </row>
    <row r="468">
      <c r="A468" s="28">
        <f>IF(C468="","", "CP-"&amp;TEXT(ROW()-5,"000"))</f>
        <v/>
      </c>
      <c r="B468" s="27">
        <f>IF(F468="","",DATE(YEAR(F468),MONTH(F468),1))</f>
        <v/>
      </c>
      <c r="C468" s="28" t="n"/>
      <c r="D468" s="28" t="n"/>
      <c r="E468" s="59">
        <f>IF(C468="","",IFERROR(INDEX('6. Base de Custos'!$M$8:$M$42,MATCH(C468,'6. Base de Custos'!$L$8:$L$42,0)),"Não classificado"))</f>
        <v/>
      </c>
      <c r="F468" s="111" t="n"/>
      <c r="G468" s="111" t="n"/>
      <c r="H468" s="111" t="n"/>
      <c r="I468" s="45" t="n"/>
      <c r="J468" s="28" t="n"/>
      <c r="K468" s="28" t="n"/>
      <c r="L468" s="28" t="n"/>
      <c r="M468" s="59">
        <f>IF(C468="","",IFERROR(INDEX('6. Base de Custos'!$N$8:$N$42,MATCH(C468,'6. Base de Custos'!$L$8:$L$42,0)),"Não classificado"))</f>
        <v/>
      </c>
      <c r="N468" s="59">
        <f>IF(C468="","",IFERROR(INDEX('6. Base de Custos'!$O$8:$O$42,MATCH(C468,'6. Base de Custos'!$L$8:$L$42,0)),"Revisar"))</f>
        <v/>
      </c>
      <c r="O468" s="60">
        <f>IF(M468="","",IFERROR(VLOOKUP(M468,'6. Base de Custos'!$H$12:$J$18,3,FALSE),0))</f>
        <v/>
      </c>
      <c r="P468" s="59">
        <f>IF(C468="","",IFERROR(INDEX('6. Base de Custos'!$P$8:$P$42,MATCH(C468,'6. Base de Custos'!$L$8:$L$42,0)),"Revisar"))</f>
        <v/>
      </c>
      <c r="Q468" s="59">
        <f>IF(C468="","",IFERROR(INDEX('6. Base de Custos'!$Q$8:$Q$42,MATCH(C468,'6. Base de Custos'!$L$8:$L$42,0)),""))</f>
        <v/>
      </c>
      <c r="R468" s="65">
        <f>IF(C468="","",IFERROR(VLOOKUP(M468&amp;"|"&amp;N468,'17. Mapa DRE CP'!$E$5:$H$100,2,FALSE),"Revisar"))</f>
        <v/>
      </c>
      <c r="S468" s="65">
        <f>IF(C468="","",IFERROR(VLOOKUP(M468&amp;"|"&amp;N468,'17. Mapa DRE CP'!$E$5:$H$100,3,FALSE),"Revisar"))</f>
        <v/>
      </c>
      <c r="T468" s="65">
        <f>IF(C468="","",IF(R468="(-) Custos diretos dos serviços",IF(ISNUMBER(SEARCH("PCMSO",C468)),"PCMSO",IF(OR(ISNUMBER(SEARCH("SGS",C468)),ISNUMBER(SEARCH("CASTRO NAVES",C468))),"Projetos / Laudos / Avulsos","Projetos / Laudos / Avulsos")),"Rateio pela receita bruta"))</f>
        <v/>
      </c>
      <c r="U468" s="65">
        <f>IF(C468="","",IF(R468="(-) Custos diretos dos serviços","Direto por fornecedor/natureza do gasto","Rateio proporcional à receita bruta da linha de serviço"))</f>
        <v/>
      </c>
    </row>
    <row r="469">
      <c r="A469" s="28">
        <f>IF(C469="","", "CP-"&amp;TEXT(ROW()-5,"000"))</f>
        <v/>
      </c>
      <c r="B469" s="27">
        <f>IF(F469="","",DATE(YEAR(F469),MONTH(F469),1))</f>
        <v/>
      </c>
      <c r="C469" s="28" t="n"/>
      <c r="D469" s="28" t="n"/>
      <c r="E469" s="59">
        <f>IF(C469="","",IFERROR(INDEX('6. Base de Custos'!$M$8:$M$42,MATCH(C469,'6. Base de Custos'!$L$8:$L$42,0)),"Não classificado"))</f>
        <v/>
      </c>
      <c r="F469" s="111" t="n"/>
      <c r="G469" s="111" t="n"/>
      <c r="H469" s="111" t="n"/>
      <c r="I469" s="45" t="n"/>
      <c r="J469" s="28" t="n"/>
      <c r="K469" s="28" t="n"/>
      <c r="L469" s="28" t="n"/>
      <c r="M469" s="59">
        <f>IF(C469="","",IFERROR(INDEX('6. Base de Custos'!$N$8:$N$42,MATCH(C469,'6. Base de Custos'!$L$8:$L$42,0)),"Não classificado"))</f>
        <v/>
      </c>
      <c r="N469" s="59">
        <f>IF(C469="","",IFERROR(INDEX('6. Base de Custos'!$O$8:$O$42,MATCH(C469,'6. Base de Custos'!$L$8:$L$42,0)),"Revisar"))</f>
        <v/>
      </c>
      <c r="O469" s="60">
        <f>IF(M469="","",IFERROR(VLOOKUP(M469,'6. Base de Custos'!$H$12:$J$18,3,FALSE),0))</f>
        <v/>
      </c>
      <c r="P469" s="59">
        <f>IF(C469="","",IFERROR(INDEX('6. Base de Custos'!$P$8:$P$42,MATCH(C469,'6. Base de Custos'!$L$8:$L$42,0)),"Revisar"))</f>
        <v/>
      </c>
      <c r="Q469" s="59">
        <f>IF(C469="","",IFERROR(INDEX('6. Base de Custos'!$Q$8:$Q$42,MATCH(C469,'6. Base de Custos'!$L$8:$L$42,0)),""))</f>
        <v/>
      </c>
      <c r="R469" s="65">
        <f>IF(C469="","",IFERROR(VLOOKUP(M469&amp;"|"&amp;N469,'17. Mapa DRE CP'!$E$5:$H$100,2,FALSE),"Revisar"))</f>
        <v/>
      </c>
      <c r="S469" s="65">
        <f>IF(C469="","",IFERROR(VLOOKUP(M469&amp;"|"&amp;N469,'17. Mapa DRE CP'!$E$5:$H$100,3,FALSE),"Revisar"))</f>
        <v/>
      </c>
      <c r="T469" s="65">
        <f>IF(C469="","",IF(R469="(-) Custos diretos dos serviços",IF(ISNUMBER(SEARCH("PCMSO",C469)),"PCMSO",IF(OR(ISNUMBER(SEARCH("SGS",C469)),ISNUMBER(SEARCH("CASTRO NAVES",C469))),"Projetos / Laudos / Avulsos","Projetos / Laudos / Avulsos")),"Rateio pela receita bruta"))</f>
        <v/>
      </c>
      <c r="U469" s="65">
        <f>IF(C469="","",IF(R469="(-) Custos diretos dos serviços","Direto por fornecedor/natureza do gasto","Rateio proporcional à receita bruta da linha de serviço"))</f>
        <v/>
      </c>
    </row>
    <row r="470">
      <c r="A470" s="28">
        <f>IF(C470="","", "CP-"&amp;TEXT(ROW()-5,"000"))</f>
        <v/>
      </c>
      <c r="B470" s="27">
        <f>IF(F470="","",DATE(YEAR(F470),MONTH(F470),1))</f>
        <v/>
      </c>
      <c r="C470" s="28" t="n"/>
      <c r="D470" s="28" t="n"/>
      <c r="E470" s="59">
        <f>IF(C470="","",IFERROR(INDEX('6. Base de Custos'!$M$8:$M$42,MATCH(C470,'6. Base de Custos'!$L$8:$L$42,0)),"Não classificado"))</f>
        <v/>
      </c>
      <c r="F470" s="111" t="n"/>
      <c r="G470" s="111" t="n"/>
      <c r="H470" s="111" t="n"/>
      <c r="I470" s="45" t="n"/>
      <c r="J470" s="28" t="n"/>
      <c r="K470" s="28" t="n"/>
      <c r="L470" s="28" t="n"/>
      <c r="M470" s="59">
        <f>IF(C470="","",IFERROR(INDEX('6. Base de Custos'!$N$8:$N$42,MATCH(C470,'6. Base de Custos'!$L$8:$L$42,0)),"Não classificado"))</f>
        <v/>
      </c>
      <c r="N470" s="59">
        <f>IF(C470="","",IFERROR(INDEX('6. Base de Custos'!$O$8:$O$42,MATCH(C470,'6. Base de Custos'!$L$8:$L$42,0)),"Revisar"))</f>
        <v/>
      </c>
      <c r="O470" s="60">
        <f>IF(M470="","",IFERROR(VLOOKUP(M470,'6. Base de Custos'!$H$12:$J$18,3,FALSE),0))</f>
        <v/>
      </c>
      <c r="P470" s="59">
        <f>IF(C470="","",IFERROR(INDEX('6. Base de Custos'!$P$8:$P$42,MATCH(C470,'6. Base de Custos'!$L$8:$L$42,0)),"Revisar"))</f>
        <v/>
      </c>
      <c r="Q470" s="59">
        <f>IF(C470="","",IFERROR(INDEX('6. Base de Custos'!$Q$8:$Q$42,MATCH(C470,'6. Base de Custos'!$L$8:$L$42,0)),""))</f>
        <v/>
      </c>
      <c r="R470" s="65">
        <f>IF(C470="","",IFERROR(VLOOKUP(M470&amp;"|"&amp;N470,'17. Mapa DRE CP'!$E$5:$H$100,2,FALSE),"Revisar"))</f>
        <v/>
      </c>
      <c r="S470" s="65">
        <f>IF(C470="","",IFERROR(VLOOKUP(M470&amp;"|"&amp;N470,'17. Mapa DRE CP'!$E$5:$H$100,3,FALSE),"Revisar"))</f>
        <v/>
      </c>
      <c r="T470" s="65">
        <f>IF(C470="","",IF(R470="(-) Custos diretos dos serviços",IF(ISNUMBER(SEARCH("PCMSO",C470)),"PCMSO",IF(OR(ISNUMBER(SEARCH("SGS",C470)),ISNUMBER(SEARCH("CASTRO NAVES",C470))),"Projetos / Laudos / Avulsos","Projetos / Laudos / Avulsos")),"Rateio pela receita bruta"))</f>
        <v/>
      </c>
      <c r="U470" s="65">
        <f>IF(C470="","",IF(R470="(-) Custos diretos dos serviços","Direto por fornecedor/natureza do gasto","Rateio proporcional à receita bruta da linha de serviço"))</f>
        <v/>
      </c>
    </row>
    <row r="471">
      <c r="A471" s="28">
        <f>IF(C471="","", "CP-"&amp;TEXT(ROW()-5,"000"))</f>
        <v/>
      </c>
      <c r="B471" s="27">
        <f>IF(F471="","",DATE(YEAR(F471),MONTH(F471),1))</f>
        <v/>
      </c>
      <c r="C471" s="28" t="n"/>
      <c r="D471" s="28" t="n"/>
      <c r="E471" s="59">
        <f>IF(C471="","",IFERROR(INDEX('6. Base de Custos'!$M$8:$M$42,MATCH(C471,'6. Base de Custos'!$L$8:$L$42,0)),"Não classificado"))</f>
        <v/>
      </c>
      <c r="F471" s="111" t="n"/>
      <c r="G471" s="111" t="n"/>
      <c r="H471" s="111" t="n"/>
      <c r="I471" s="45" t="n"/>
      <c r="J471" s="28" t="n"/>
      <c r="K471" s="28" t="n"/>
      <c r="L471" s="28" t="n"/>
      <c r="M471" s="59">
        <f>IF(C471="","",IFERROR(INDEX('6. Base de Custos'!$N$8:$N$42,MATCH(C471,'6. Base de Custos'!$L$8:$L$42,0)),"Não classificado"))</f>
        <v/>
      </c>
      <c r="N471" s="59">
        <f>IF(C471="","",IFERROR(INDEX('6. Base de Custos'!$O$8:$O$42,MATCH(C471,'6. Base de Custos'!$L$8:$L$42,0)),"Revisar"))</f>
        <v/>
      </c>
      <c r="O471" s="60">
        <f>IF(M471="","",IFERROR(VLOOKUP(M471,'6. Base de Custos'!$H$12:$J$18,3,FALSE),0))</f>
        <v/>
      </c>
      <c r="P471" s="59">
        <f>IF(C471="","",IFERROR(INDEX('6. Base de Custos'!$P$8:$P$42,MATCH(C471,'6. Base de Custos'!$L$8:$L$42,0)),"Revisar"))</f>
        <v/>
      </c>
      <c r="Q471" s="59">
        <f>IF(C471="","",IFERROR(INDEX('6. Base de Custos'!$Q$8:$Q$42,MATCH(C471,'6. Base de Custos'!$L$8:$L$42,0)),""))</f>
        <v/>
      </c>
      <c r="R471" s="65">
        <f>IF(C471="","",IFERROR(VLOOKUP(M471&amp;"|"&amp;N471,'17. Mapa DRE CP'!$E$5:$H$100,2,FALSE),"Revisar"))</f>
        <v/>
      </c>
      <c r="S471" s="65">
        <f>IF(C471="","",IFERROR(VLOOKUP(M471&amp;"|"&amp;N471,'17. Mapa DRE CP'!$E$5:$H$100,3,FALSE),"Revisar"))</f>
        <v/>
      </c>
      <c r="T471" s="65">
        <f>IF(C471="","",IF(R471="(-) Custos diretos dos serviços",IF(ISNUMBER(SEARCH("PCMSO",C471)),"PCMSO",IF(OR(ISNUMBER(SEARCH("SGS",C471)),ISNUMBER(SEARCH("CASTRO NAVES",C471))),"Projetos / Laudos / Avulsos","Projetos / Laudos / Avulsos")),"Rateio pela receita bruta"))</f>
        <v/>
      </c>
      <c r="U471" s="65">
        <f>IF(C471="","",IF(R471="(-) Custos diretos dos serviços","Direto por fornecedor/natureza do gasto","Rateio proporcional à receita bruta da linha de serviço"))</f>
        <v/>
      </c>
    </row>
    <row r="472">
      <c r="A472" s="28">
        <f>IF(C472="","", "CP-"&amp;TEXT(ROW()-5,"000"))</f>
        <v/>
      </c>
      <c r="B472" s="27">
        <f>IF(F472="","",DATE(YEAR(F472),MONTH(F472),1))</f>
        <v/>
      </c>
      <c r="C472" s="28" t="n"/>
      <c r="D472" s="28" t="n"/>
      <c r="E472" s="59">
        <f>IF(C472="","",IFERROR(INDEX('6. Base de Custos'!$M$8:$M$42,MATCH(C472,'6. Base de Custos'!$L$8:$L$42,0)),"Não classificado"))</f>
        <v/>
      </c>
      <c r="F472" s="111" t="n"/>
      <c r="G472" s="111" t="n"/>
      <c r="H472" s="111" t="n"/>
      <c r="I472" s="45" t="n"/>
      <c r="J472" s="28" t="n"/>
      <c r="K472" s="28" t="n"/>
      <c r="L472" s="28" t="n"/>
      <c r="M472" s="59">
        <f>IF(C472="","",IFERROR(INDEX('6. Base de Custos'!$N$8:$N$42,MATCH(C472,'6. Base de Custos'!$L$8:$L$42,0)),"Não classificado"))</f>
        <v/>
      </c>
      <c r="N472" s="59">
        <f>IF(C472="","",IFERROR(INDEX('6. Base de Custos'!$O$8:$O$42,MATCH(C472,'6. Base de Custos'!$L$8:$L$42,0)),"Revisar"))</f>
        <v/>
      </c>
      <c r="O472" s="60">
        <f>IF(M472="","",IFERROR(VLOOKUP(M472,'6. Base de Custos'!$H$12:$J$18,3,FALSE),0))</f>
        <v/>
      </c>
      <c r="P472" s="59">
        <f>IF(C472="","",IFERROR(INDEX('6. Base de Custos'!$P$8:$P$42,MATCH(C472,'6. Base de Custos'!$L$8:$L$42,0)),"Revisar"))</f>
        <v/>
      </c>
      <c r="Q472" s="59">
        <f>IF(C472="","",IFERROR(INDEX('6. Base de Custos'!$Q$8:$Q$42,MATCH(C472,'6. Base de Custos'!$L$8:$L$42,0)),""))</f>
        <v/>
      </c>
      <c r="R472" s="65">
        <f>IF(C472="","",IFERROR(VLOOKUP(M472&amp;"|"&amp;N472,'17. Mapa DRE CP'!$E$5:$H$100,2,FALSE),"Revisar"))</f>
        <v/>
      </c>
      <c r="S472" s="65">
        <f>IF(C472="","",IFERROR(VLOOKUP(M472&amp;"|"&amp;N472,'17. Mapa DRE CP'!$E$5:$H$100,3,FALSE),"Revisar"))</f>
        <v/>
      </c>
      <c r="T472" s="65">
        <f>IF(C472="","",IF(R472="(-) Custos diretos dos serviços",IF(ISNUMBER(SEARCH("PCMSO",C472)),"PCMSO",IF(OR(ISNUMBER(SEARCH("SGS",C472)),ISNUMBER(SEARCH("CASTRO NAVES",C472))),"Projetos / Laudos / Avulsos","Projetos / Laudos / Avulsos")),"Rateio pela receita bruta"))</f>
        <v/>
      </c>
      <c r="U472" s="65">
        <f>IF(C472="","",IF(R472="(-) Custos diretos dos serviços","Direto por fornecedor/natureza do gasto","Rateio proporcional à receita bruta da linha de serviço"))</f>
        <v/>
      </c>
    </row>
    <row r="473">
      <c r="A473" s="28">
        <f>IF(C473="","", "CP-"&amp;TEXT(ROW()-5,"000"))</f>
        <v/>
      </c>
      <c r="B473" s="27">
        <f>IF(F473="","",DATE(YEAR(F473),MONTH(F473),1))</f>
        <v/>
      </c>
      <c r="C473" s="28" t="n"/>
      <c r="D473" s="28" t="n"/>
      <c r="E473" s="59">
        <f>IF(C473="","",IFERROR(INDEX('6. Base de Custos'!$M$8:$M$42,MATCH(C473,'6. Base de Custos'!$L$8:$L$42,0)),"Não classificado"))</f>
        <v/>
      </c>
      <c r="F473" s="111" t="n"/>
      <c r="G473" s="111" t="n"/>
      <c r="H473" s="111" t="n"/>
      <c r="I473" s="45" t="n"/>
      <c r="J473" s="28" t="n"/>
      <c r="K473" s="28" t="n"/>
      <c r="L473" s="28" t="n"/>
      <c r="M473" s="59">
        <f>IF(C473="","",IFERROR(INDEX('6. Base de Custos'!$N$8:$N$42,MATCH(C473,'6. Base de Custos'!$L$8:$L$42,0)),"Não classificado"))</f>
        <v/>
      </c>
      <c r="N473" s="59">
        <f>IF(C473="","",IFERROR(INDEX('6. Base de Custos'!$O$8:$O$42,MATCH(C473,'6. Base de Custos'!$L$8:$L$42,0)),"Revisar"))</f>
        <v/>
      </c>
      <c r="O473" s="60">
        <f>IF(M473="","",IFERROR(VLOOKUP(M473,'6. Base de Custos'!$H$12:$J$18,3,FALSE),0))</f>
        <v/>
      </c>
      <c r="P473" s="59">
        <f>IF(C473="","",IFERROR(INDEX('6. Base de Custos'!$P$8:$P$42,MATCH(C473,'6. Base de Custos'!$L$8:$L$42,0)),"Revisar"))</f>
        <v/>
      </c>
      <c r="Q473" s="59">
        <f>IF(C473="","",IFERROR(INDEX('6. Base de Custos'!$Q$8:$Q$42,MATCH(C473,'6. Base de Custos'!$L$8:$L$42,0)),""))</f>
        <v/>
      </c>
      <c r="R473" s="65">
        <f>IF(C473="","",IFERROR(VLOOKUP(M473&amp;"|"&amp;N473,'17. Mapa DRE CP'!$E$5:$H$100,2,FALSE),"Revisar"))</f>
        <v/>
      </c>
      <c r="S473" s="65">
        <f>IF(C473="","",IFERROR(VLOOKUP(M473&amp;"|"&amp;N473,'17. Mapa DRE CP'!$E$5:$H$100,3,FALSE),"Revisar"))</f>
        <v/>
      </c>
      <c r="T473" s="65">
        <f>IF(C473="","",IF(R473="(-) Custos diretos dos serviços",IF(ISNUMBER(SEARCH("PCMSO",C473)),"PCMSO",IF(OR(ISNUMBER(SEARCH("SGS",C473)),ISNUMBER(SEARCH("CASTRO NAVES",C473))),"Projetos / Laudos / Avulsos","Projetos / Laudos / Avulsos")),"Rateio pela receita bruta"))</f>
        <v/>
      </c>
      <c r="U473" s="65">
        <f>IF(C473="","",IF(R473="(-) Custos diretos dos serviços","Direto por fornecedor/natureza do gasto","Rateio proporcional à receita bruta da linha de serviço"))</f>
        <v/>
      </c>
    </row>
    <row r="474">
      <c r="A474" s="28">
        <f>IF(C474="","", "CP-"&amp;TEXT(ROW()-5,"000"))</f>
        <v/>
      </c>
      <c r="B474" s="27">
        <f>IF(F474="","",DATE(YEAR(F474),MONTH(F474),1))</f>
        <v/>
      </c>
      <c r="C474" s="28" t="n"/>
      <c r="D474" s="28" t="n"/>
      <c r="E474" s="59">
        <f>IF(C474="","",IFERROR(INDEX('6. Base de Custos'!$M$8:$M$42,MATCH(C474,'6. Base de Custos'!$L$8:$L$42,0)),"Não classificado"))</f>
        <v/>
      </c>
      <c r="F474" s="111" t="n"/>
      <c r="G474" s="111" t="n"/>
      <c r="H474" s="111" t="n"/>
      <c r="I474" s="45" t="n"/>
      <c r="J474" s="28" t="n"/>
      <c r="K474" s="28" t="n"/>
      <c r="L474" s="28" t="n"/>
      <c r="M474" s="59">
        <f>IF(C474="","",IFERROR(INDEX('6. Base de Custos'!$N$8:$N$42,MATCH(C474,'6. Base de Custos'!$L$8:$L$42,0)),"Não classificado"))</f>
        <v/>
      </c>
      <c r="N474" s="59">
        <f>IF(C474="","",IFERROR(INDEX('6. Base de Custos'!$O$8:$O$42,MATCH(C474,'6. Base de Custos'!$L$8:$L$42,0)),"Revisar"))</f>
        <v/>
      </c>
      <c r="O474" s="60">
        <f>IF(M474="","",IFERROR(VLOOKUP(M474,'6. Base de Custos'!$H$12:$J$18,3,FALSE),0))</f>
        <v/>
      </c>
      <c r="P474" s="59">
        <f>IF(C474="","",IFERROR(INDEX('6. Base de Custos'!$P$8:$P$42,MATCH(C474,'6. Base de Custos'!$L$8:$L$42,0)),"Revisar"))</f>
        <v/>
      </c>
      <c r="Q474" s="59">
        <f>IF(C474="","",IFERROR(INDEX('6. Base de Custos'!$Q$8:$Q$42,MATCH(C474,'6. Base de Custos'!$L$8:$L$42,0)),""))</f>
        <v/>
      </c>
      <c r="R474" s="65">
        <f>IF(C474="","",IFERROR(VLOOKUP(M474&amp;"|"&amp;N474,'17. Mapa DRE CP'!$E$5:$H$100,2,FALSE),"Revisar"))</f>
        <v/>
      </c>
      <c r="S474" s="65">
        <f>IF(C474="","",IFERROR(VLOOKUP(M474&amp;"|"&amp;N474,'17. Mapa DRE CP'!$E$5:$H$100,3,FALSE),"Revisar"))</f>
        <v/>
      </c>
      <c r="T474" s="65">
        <f>IF(C474="","",IF(R474="(-) Custos diretos dos serviços",IF(ISNUMBER(SEARCH("PCMSO",C474)),"PCMSO",IF(OR(ISNUMBER(SEARCH("SGS",C474)),ISNUMBER(SEARCH("CASTRO NAVES",C474))),"Projetos / Laudos / Avulsos","Projetos / Laudos / Avulsos")),"Rateio pela receita bruta"))</f>
        <v/>
      </c>
      <c r="U474" s="65">
        <f>IF(C474="","",IF(R474="(-) Custos diretos dos serviços","Direto por fornecedor/natureza do gasto","Rateio proporcional à receita bruta da linha de serviço"))</f>
        <v/>
      </c>
    </row>
    <row r="475">
      <c r="A475" s="28">
        <f>IF(C475="","", "CP-"&amp;TEXT(ROW()-5,"000"))</f>
        <v/>
      </c>
      <c r="B475" s="27">
        <f>IF(F475="","",DATE(YEAR(F475),MONTH(F475),1))</f>
        <v/>
      </c>
      <c r="C475" s="28" t="n"/>
      <c r="D475" s="28" t="n"/>
      <c r="E475" s="59">
        <f>IF(C475="","",IFERROR(INDEX('6. Base de Custos'!$M$8:$M$42,MATCH(C475,'6. Base de Custos'!$L$8:$L$42,0)),"Não classificado"))</f>
        <v/>
      </c>
      <c r="F475" s="111" t="n"/>
      <c r="G475" s="111" t="n"/>
      <c r="H475" s="111" t="n"/>
      <c r="I475" s="45" t="n"/>
      <c r="J475" s="28" t="n"/>
      <c r="K475" s="28" t="n"/>
      <c r="L475" s="28" t="n"/>
      <c r="M475" s="59">
        <f>IF(C475="","",IFERROR(INDEX('6. Base de Custos'!$N$8:$N$42,MATCH(C475,'6. Base de Custos'!$L$8:$L$42,0)),"Não classificado"))</f>
        <v/>
      </c>
      <c r="N475" s="59">
        <f>IF(C475="","",IFERROR(INDEX('6. Base de Custos'!$O$8:$O$42,MATCH(C475,'6. Base de Custos'!$L$8:$L$42,0)),"Revisar"))</f>
        <v/>
      </c>
      <c r="O475" s="60">
        <f>IF(M475="","",IFERROR(VLOOKUP(M475,'6. Base de Custos'!$H$12:$J$18,3,FALSE),0))</f>
        <v/>
      </c>
      <c r="P475" s="59">
        <f>IF(C475="","",IFERROR(INDEX('6. Base de Custos'!$P$8:$P$42,MATCH(C475,'6. Base de Custos'!$L$8:$L$42,0)),"Revisar"))</f>
        <v/>
      </c>
      <c r="Q475" s="59">
        <f>IF(C475="","",IFERROR(INDEX('6. Base de Custos'!$Q$8:$Q$42,MATCH(C475,'6. Base de Custos'!$L$8:$L$42,0)),""))</f>
        <v/>
      </c>
      <c r="R475" s="65">
        <f>IF(C475="","",IFERROR(VLOOKUP(M475&amp;"|"&amp;N475,'17. Mapa DRE CP'!$E$5:$H$100,2,FALSE),"Revisar"))</f>
        <v/>
      </c>
      <c r="S475" s="65">
        <f>IF(C475="","",IFERROR(VLOOKUP(M475&amp;"|"&amp;N475,'17. Mapa DRE CP'!$E$5:$H$100,3,FALSE),"Revisar"))</f>
        <v/>
      </c>
      <c r="T475" s="65">
        <f>IF(C475="","",IF(R475="(-) Custos diretos dos serviços",IF(ISNUMBER(SEARCH("PCMSO",C475)),"PCMSO",IF(OR(ISNUMBER(SEARCH("SGS",C475)),ISNUMBER(SEARCH("CASTRO NAVES",C475))),"Projetos / Laudos / Avulsos","Projetos / Laudos / Avulsos")),"Rateio pela receita bruta"))</f>
        <v/>
      </c>
      <c r="U475" s="65">
        <f>IF(C475="","",IF(R475="(-) Custos diretos dos serviços","Direto por fornecedor/natureza do gasto","Rateio proporcional à receita bruta da linha de serviço"))</f>
        <v/>
      </c>
    </row>
    <row r="476">
      <c r="A476" s="28">
        <f>IF(C476="","", "CP-"&amp;TEXT(ROW()-5,"000"))</f>
        <v/>
      </c>
      <c r="B476" s="27">
        <f>IF(F476="","",DATE(YEAR(F476),MONTH(F476),1))</f>
        <v/>
      </c>
      <c r="C476" s="28" t="n"/>
      <c r="D476" s="28" t="n"/>
      <c r="E476" s="59">
        <f>IF(C476="","",IFERROR(INDEX('6. Base de Custos'!$M$8:$M$42,MATCH(C476,'6. Base de Custos'!$L$8:$L$42,0)),"Não classificado"))</f>
        <v/>
      </c>
      <c r="F476" s="111" t="n"/>
      <c r="G476" s="111" t="n"/>
      <c r="H476" s="111" t="n"/>
      <c r="I476" s="45" t="n"/>
      <c r="J476" s="28" t="n"/>
      <c r="K476" s="28" t="n"/>
      <c r="L476" s="28" t="n"/>
      <c r="M476" s="59">
        <f>IF(C476="","",IFERROR(INDEX('6. Base de Custos'!$N$8:$N$42,MATCH(C476,'6. Base de Custos'!$L$8:$L$42,0)),"Não classificado"))</f>
        <v/>
      </c>
      <c r="N476" s="59">
        <f>IF(C476="","",IFERROR(INDEX('6. Base de Custos'!$O$8:$O$42,MATCH(C476,'6. Base de Custos'!$L$8:$L$42,0)),"Revisar"))</f>
        <v/>
      </c>
      <c r="O476" s="60">
        <f>IF(M476="","",IFERROR(VLOOKUP(M476,'6. Base de Custos'!$H$12:$J$18,3,FALSE),0))</f>
        <v/>
      </c>
      <c r="P476" s="59">
        <f>IF(C476="","",IFERROR(INDEX('6. Base de Custos'!$P$8:$P$42,MATCH(C476,'6. Base de Custos'!$L$8:$L$42,0)),"Revisar"))</f>
        <v/>
      </c>
      <c r="Q476" s="59">
        <f>IF(C476="","",IFERROR(INDEX('6. Base de Custos'!$Q$8:$Q$42,MATCH(C476,'6. Base de Custos'!$L$8:$L$42,0)),""))</f>
        <v/>
      </c>
      <c r="R476" s="65">
        <f>IF(C476="","",IFERROR(VLOOKUP(M476&amp;"|"&amp;N476,'17. Mapa DRE CP'!$E$5:$H$100,2,FALSE),"Revisar"))</f>
        <v/>
      </c>
      <c r="S476" s="65">
        <f>IF(C476="","",IFERROR(VLOOKUP(M476&amp;"|"&amp;N476,'17. Mapa DRE CP'!$E$5:$H$100,3,FALSE),"Revisar"))</f>
        <v/>
      </c>
      <c r="T476" s="65">
        <f>IF(C476="","",IF(R476="(-) Custos diretos dos serviços",IF(ISNUMBER(SEARCH("PCMSO",C476)),"PCMSO",IF(OR(ISNUMBER(SEARCH("SGS",C476)),ISNUMBER(SEARCH("CASTRO NAVES",C476))),"Projetos / Laudos / Avulsos","Projetos / Laudos / Avulsos")),"Rateio pela receita bruta"))</f>
        <v/>
      </c>
      <c r="U476" s="65">
        <f>IF(C476="","",IF(R476="(-) Custos diretos dos serviços","Direto por fornecedor/natureza do gasto","Rateio proporcional à receita bruta da linha de serviço"))</f>
        <v/>
      </c>
    </row>
    <row r="477">
      <c r="A477" s="28">
        <f>IF(C477="","", "CP-"&amp;TEXT(ROW()-5,"000"))</f>
        <v/>
      </c>
      <c r="B477" s="27">
        <f>IF(F477="","",DATE(YEAR(F477),MONTH(F477),1))</f>
        <v/>
      </c>
      <c r="C477" s="28" t="n"/>
      <c r="D477" s="28" t="n"/>
      <c r="E477" s="59">
        <f>IF(C477="","",IFERROR(INDEX('6. Base de Custos'!$M$8:$M$42,MATCH(C477,'6. Base de Custos'!$L$8:$L$42,0)),"Não classificado"))</f>
        <v/>
      </c>
      <c r="F477" s="111" t="n"/>
      <c r="G477" s="111" t="n"/>
      <c r="H477" s="111" t="n"/>
      <c r="I477" s="45" t="n"/>
      <c r="J477" s="28" t="n"/>
      <c r="K477" s="28" t="n"/>
      <c r="L477" s="28" t="n"/>
      <c r="M477" s="59">
        <f>IF(C477="","",IFERROR(INDEX('6. Base de Custos'!$N$8:$N$42,MATCH(C477,'6. Base de Custos'!$L$8:$L$42,0)),"Não classificado"))</f>
        <v/>
      </c>
      <c r="N477" s="59">
        <f>IF(C477="","",IFERROR(INDEX('6. Base de Custos'!$O$8:$O$42,MATCH(C477,'6. Base de Custos'!$L$8:$L$42,0)),"Revisar"))</f>
        <v/>
      </c>
      <c r="O477" s="60">
        <f>IF(M477="","",IFERROR(VLOOKUP(M477,'6. Base de Custos'!$H$12:$J$18,3,FALSE),0))</f>
        <v/>
      </c>
      <c r="P477" s="59">
        <f>IF(C477="","",IFERROR(INDEX('6. Base de Custos'!$P$8:$P$42,MATCH(C477,'6. Base de Custos'!$L$8:$L$42,0)),"Revisar"))</f>
        <v/>
      </c>
      <c r="Q477" s="59">
        <f>IF(C477="","",IFERROR(INDEX('6. Base de Custos'!$Q$8:$Q$42,MATCH(C477,'6. Base de Custos'!$L$8:$L$42,0)),""))</f>
        <v/>
      </c>
      <c r="R477" s="65">
        <f>IF(C477="","",IFERROR(VLOOKUP(M477&amp;"|"&amp;N477,'17. Mapa DRE CP'!$E$5:$H$100,2,FALSE),"Revisar"))</f>
        <v/>
      </c>
      <c r="S477" s="65">
        <f>IF(C477="","",IFERROR(VLOOKUP(M477&amp;"|"&amp;N477,'17. Mapa DRE CP'!$E$5:$H$100,3,FALSE),"Revisar"))</f>
        <v/>
      </c>
      <c r="T477" s="65">
        <f>IF(C477="","",IF(R477="(-) Custos diretos dos serviços",IF(ISNUMBER(SEARCH("PCMSO",C477)),"PCMSO",IF(OR(ISNUMBER(SEARCH("SGS",C477)),ISNUMBER(SEARCH("CASTRO NAVES",C477))),"Projetos / Laudos / Avulsos","Projetos / Laudos / Avulsos")),"Rateio pela receita bruta"))</f>
        <v/>
      </c>
      <c r="U477" s="65">
        <f>IF(C477="","",IF(R477="(-) Custos diretos dos serviços","Direto por fornecedor/natureza do gasto","Rateio proporcional à receita bruta da linha de serviço"))</f>
        <v/>
      </c>
    </row>
    <row r="478">
      <c r="A478" s="28">
        <f>IF(C478="","", "CP-"&amp;TEXT(ROW()-5,"000"))</f>
        <v/>
      </c>
      <c r="B478" s="27">
        <f>IF(F478="","",DATE(YEAR(F478),MONTH(F478),1))</f>
        <v/>
      </c>
      <c r="C478" s="28" t="n"/>
      <c r="D478" s="28" t="n"/>
      <c r="E478" s="59">
        <f>IF(C478="","",IFERROR(INDEX('6. Base de Custos'!$M$8:$M$42,MATCH(C478,'6. Base de Custos'!$L$8:$L$42,0)),"Não classificado"))</f>
        <v/>
      </c>
      <c r="F478" s="111" t="n"/>
      <c r="G478" s="111" t="n"/>
      <c r="H478" s="111" t="n"/>
      <c r="I478" s="45" t="n"/>
      <c r="J478" s="28" t="n"/>
      <c r="K478" s="28" t="n"/>
      <c r="L478" s="28" t="n"/>
      <c r="M478" s="59">
        <f>IF(C478="","",IFERROR(INDEX('6. Base de Custos'!$N$8:$N$42,MATCH(C478,'6. Base de Custos'!$L$8:$L$42,0)),"Não classificado"))</f>
        <v/>
      </c>
      <c r="N478" s="59">
        <f>IF(C478="","",IFERROR(INDEX('6. Base de Custos'!$O$8:$O$42,MATCH(C478,'6. Base de Custos'!$L$8:$L$42,0)),"Revisar"))</f>
        <v/>
      </c>
      <c r="O478" s="60">
        <f>IF(M478="","",IFERROR(VLOOKUP(M478,'6. Base de Custos'!$H$12:$J$18,3,FALSE),0))</f>
        <v/>
      </c>
      <c r="P478" s="59">
        <f>IF(C478="","",IFERROR(INDEX('6. Base de Custos'!$P$8:$P$42,MATCH(C478,'6. Base de Custos'!$L$8:$L$42,0)),"Revisar"))</f>
        <v/>
      </c>
      <c r="Q478" s="59">
        <f>IF(C478="","",IFERROR(INDEX('6. Base de Custos'!$Q$8:$Q$42,MATCH(C478,'6. Base de Custos'!$L$8:$L$42,0)),""))</f>
        <v/>
      </c>
      <c r="R478" s="65">
        <f>IF(C478="","",IFERROR(VLOOKUP(M478&amp;"|"&amp;N478,'17. Mapa DRE CP'!$E$5:$H$100,2,FALSE),"Revisar"))</f>
        <v/>
      </c>
      <c r="S478" s="65">
        <f>IF(C478="","",IFERROR(VLOOKUP(M478&amp;"|"&amp;N478,'17. Mapa DRE CP'!$E$5:$H$100,3,FALSE),"Revisar"))</f>
        <v/>
      </c>
      <c r="T478" s="65">
        <f>IF(C478="","",IF(R478="(-) Custos diretos dos serviços",IF(ISNUMBER(SEARCH("PCMSO",C478)),"PCMSO",IF(OR(ISNUMBER(SEARCH("SGS",C478)),ISNUMBER(SEARCH("CASTRO NAVES",C478))),"Projetos / Laudos / Avulsos","Projetos / Laudos / Avulsos")),"Rateio pela receita bruta"))</f>
        <v/>
      </c>
      <c r="U478" s="65">
        <f>IF(C478="","",IF(R478="(-) Custos diretos dos serviços","Direto por fornecedor/natureza do gasto","Rateio proporcional à receita bruta da linha de serviço"))</f>
        <v/>
      </c>
    </row>
    <row r="479">
      <c r="A479" s="28">
        <f>IF(C479="","", "CP-"&amp;TEXT(ROW()-5,"000"))</f>
        <v/>
      </c>
      <c r="B479" s="27">
        <f>IF(F479="","",DATE(YEAR(F479),MONTH(F479),1))</f>
        <v/>
      </c>
      <c r="C479" s="28" t="n"/>
      <c r="D479" s="28" t="n"/>
      <c r="E479" s="59">
        <f>IF(C479="","",IFERROR(INDEX('6. Base de Custos'!$M$8:$M$42,MATCH(C479,'6. Base de Custos'!$L$8:$L$42,0)),"Não classificado"))</f>
        <v/>
      </c>
      <c r="F479" s="111" t="n"/>
      <c r="G479" s="111" t="n"/>
      <c r="H479" s="111" t="n"/>
      <c r="I479" s="45" t="n"/>
      <c r="J479" s="28" t="n"/>
      <c r="K479" s="28" t="n"/>
      <c r="L479" s="28" t="n"/>
      <c r="M479" s="59">
        <f>IF(C479="","",IFERROR(INDEX('6. Base de Custos'!$N$8:$N$42,MATCH(C479,'6. Base de Custos'!$L$8:$L$42,0)),"Não classificado"))</f>
        <v/>
      </c>
      <c r="N479" s="59">
        <f>IF(C479="","",IFERROR(INDEX('6. Base de Custos'!$O$8:$O$42,MATCH(C479,'6. Base de Custos'!$L$8:$L$42,0)),"Revisar"))</f>
        <v/>
      </c>
      <c r="O479" s="60">
        <f>IF(M479="","",IFERROR(VLOOKUP(M479,'6. Base de Custos'!$H$12:$J$18,3,FALSE),0))</f>
        <v/>
      </c>
      <c r="P479" s="59">
        <f>IF(C479="","",IFERROR(INDEX('6. Base de Custos'!$P$8:$P$42,MATCH(C479,'6. Base de Custos'!$L$8:$L$42,0)),"Revisar"))</f>
        <v/>
      </c>
      <c r="Q479" s="59">
        <f>IF(C479="","",IFERROR(INDEX('6. Base de Custos'!$Q$8:$Q$42,MATCH(C479,'6. Base de Custos'!$L$8:$L$42,0)),""))</f>
        <v/>
      </c>
      <c r="R479" s="65">
        <f>IF(C479="","",IFERROR(VLOOKUP(M479&amp;"|"&amp;N479,'17. Mapa DRE CP'!$E$5:$H$100,2,FALSE),"Revisar"))</f>
        <v/>
      </c>
      <c r="S479" s="65">
        <f>IF(C479="","",IFERROR(VLOOKUP(M479&amp;"|"&amp;N479,'17. Mapa DRE CP'!$E$5:$H$100,3,FALSE),"Revisar"))</f>
        <v/>
      </c>
      <c r="T479" s="65">
        <f>IF(C479="","",IF(R479="(-) Custos diretos dos serviços",IF(ISNUMBER(SEARCH("PCMSO",C479)),"PCMSO",IF(OR(ISNUMBER(SEARCH("SGS",C479)),ISNUMBER(SEARCH("CASTRO NAVES",C479))),"Projetos / Laudos / Avulsos","Projetos / Laudos / Avulsos")),"Rateio pela receita bruta"))</f>
        <v/>
      </c>
      <c r="U479" s="65">
        <f>IF(C479="","",IF(R479="(-) Custos diretos dos serviços","Direto por fornecedor/natureza do gasto","Rateio proporcional à receita bruta da linha de serviço"))</f>
        <v/>
      </c>
    </row>
    <row r="480">
      <c r="A480" s="28">
        <f>IF(C480="","", "CP-"&amp;TEXT(ROW()-5,"000"))</f>
        <v/>
      </c>
      <c r="B480" s="27">
        <f>IF(F480="","",DATE(YEAR(F480),MONTH(F480),1))</f>
        <v/>
      </c>
      <c r="C480" s="28" t="n"/>
      <c r="D480" s="28" t="n"/>
      <c r="E480" s="59">
        <f>IF(C480="","",IFERROR(INDEX('6. Base de Custos'!$M$8:$M$42,MATCH(C480,'6. Base de Custos'!$L$8:$L$42,0)),"Não classificado"))</f>
        <v/>
      </c>
      <c r="F480" s="111" t="n"/>
      <c r="G480" s="111" t="n"/>
      <c r="H480" s="111" t="n"/>
      <c r="I480" s="45" t="n"/>
      <c r="J480" s="28" t="n"/>
      <c r="K480" s="28" t="n"/>
      <c r="L480" s="28" t="n"/>
      <c r="M480" s="59">
        <f>IF(C480="","",IFERROR(INDEX('6. Base de Custos'!$N$8:$N$42,MATCH(C480,'6. Base de Custos'!$L$8:$L$42,0)),"Não classificado"))</f>
        <v/>
      </c>
      <c r="N480" s="59">
        <f>IF(C480="","",IFERROR(INDEX('6. Base de Custos'!$O$8:$O$42,MATCH(C480,'6. Base de Custos'!$L$8:$L$42,0)),"Revisar"))</f>
        <v/>
      </c>
      <c r="O480" s="60">
        <f>IF(M480="","",IFERROR(VLOOKUP(M480,'6. Base de Custos'!$H$12:$J$18,3,FALSE),0))</f>
        <v/>
      </c>
      <c r="P480" s="59">
        <f>IF(C480="","",IFERROR(INDEX('6. Base de Custos'!$P$8:$P$42,MATCH(C480,'6. Base de Custos'!$L$8:$L$42,0)),"Revisar"))</f>
        <v/>
      </c>
      <c r="Q480" s="59">
        <f>IF(C480="","",IFERROR(INDEX('6. Base de Custos'!$Q$8:$Q$42,MATCH(C480,'6. Base de Custos'!$L$8:$L$42,0)),""))</f>
        <v/>
      </c>
      <c r="R480" s="65">
        <f>IF(C480="","",IFERROR(VLOOKUP(M480&amp;"|"&amp;N480,'17. Mapa DRE CP'!$E$5:$H$100,2,FALSE),"Revisar"))</f>
        <v/>
      </c>
      <c r="S480" s="65">
        <f>IF(C480="","",IFERROR(VLOOKUP(M480&amp;"|"&amp;N480,'17. Mapa DRE CP'!$E$5:$H$100,3,FALSE),"Revisar"))</f>
        <v/>
      </c>
      <c r="T480" s="65">
        <f>IF(C480="","",IF(R480="(-) Custos diretos dos serviços",IF(ISNUMBER(SEARCH("PCMSO",C480)),"PCMSO",IF(OR(ISNUMBER(SEARCH("SGS",C480)),ISNUMBER(SEARCH("CASTRO NAVES",C480))),"Projetos / Laudos / Avulsos","Projetos / Laudos / Avulsos")),"Rateio pela receita bruta"))</f>
        <v/>
      </c>
      <c r="U480" s="65">
        <f>IF(C480="","",IF(R480="(-) Custos diretos dos serviços","Direto por fornecedor/natureza do gasto","Rateio proporcional à receita bruta da linha de serviço"))</f>
        <v/>
      </c>
    </row>
    <row r="481">
      <c r="A481" s="28">
        <f>IF(C481="","", "CP-"&amp;TEXT(ROW()-5,"000"))</f>
        <v/>
      </c>
      <c r="B481" s="27">
        <f>IF(F481="","",DATE(YEAR(F481),MONTH(F481),1))</f>
        <v/>
      </c>
      <c r="C481" s="28" t="n"/>
      <c r="D481" s="28" t="n"/>
      <c r="E481" s="59">
        <f>IF(C481="","",IFERROR(INDEX('6. Base de Custos'!$M$8:$M$42,MATCH(C481,'6. Base de Custos'!$L$8:$L$42,0)),"Não classificado"))</f>
        <v/>
      </c>
      <c r="F481" s="111" t="n"/>
      <c r="G481" s="111" t="n"/>
      <c r="H481" s="111" t="n"/>
      <c r="I481" s="45" t="n"/>
      <c r="J481" s="28" t="n"/>
      <c r="K481" s="28" t="n"/>
      <c r="L481" s="28" t="n"/>
      <c r="M481" s="59">
        <f>IF(C481="","",IFERROR(INDEX('6. Base de Custos'!$N$8:$N$42,MATCH(C481,'6. Base de Custos'!$L$8:$L$42,0)),"Não classificado"))</f>
        <v/>
      </c>
      <c r="N481" s="59">
        <f>IF(C481="","",IFERROR(INDEX('6. Base de Custos'!$O$8:$O$42,MATCH(C481,'6. Base de Custos'!$L$8:$L$42,0)),"Revisar"))</f>
        <v/>
      </c>
      <c r="O481" s="60">
        <f>IF(M481="","",IFERROR(VLOOKUP(M481,'6. Base de Custos'!$H$12:$J$18,3,FALSE),0))</f>
        <v/>
      </c>
      <c r="P481" s="59">
        <f>IF(C481="","",IFERROR(INDEX('6. Base de Custos'!$P$8:$P$42,MATCH(C481,'6. Base de Custos'!$L$8:$L$42,0)),"Revisar"))</f>
        <v/>
      </c>
      <c r="Q481" s="59">
        <f>IF(C481="","",IFERROR(INDEX('6. Base de Custos'!$Q$8:$Q$42,MATCH(C481,'6. Base de Custos'!$L$8:$L$42,0)),""))</f>
        <v/>
      </c>
      <c r="R481" s="65">
        <f>IF(C481="","",IFERROR(VLOOKUP(M481&amp;"|"&amp;N481,'17. Mapa DRE CP'!$E$5:$H$100,2,FALSE),"Revisar"))</f>
        <v/>
      </c>
      <c r="S481" s="65">
        <f>IF(C481="","",IFERROR(VLOOKUP(M481&amp;"|"&amp;N481,'17. Mapa DRE CP'!$E$5:$H$100,3,FALSE),"Revisar"))</f>
        <v/>
      </c>
      <c r="T481" s="65">
        <f>IF(C481="","",IF(R481="(-) Custos diretos dos serviços",IF(ISNUMBER(SEARCH("PCMSO",C481)),"PCMSO",IF(OR(ISNUMBER(SEARCH("SGS",C481)),ISNUMBER(SEARCH("CASTRO NAVES",C481))),"Projetos / Laudos / Avulsos","Projetos / Laudos / Avulsos")),"Rateio pela receita bruta"))</f>
        <v/>
      </c>
      <c r="U481" s="65">
        <f>IF(C481="","",IF(R481="(-) Custos diretos dos serviços","Direto por fornecedor/natureza do gasto","Rateio proporcional à receita bruta da linha de serviço"))</f>
        <v/>
      </c>
    </row>
    <row r="482">
      <c r="A482" s="28">
        <f>IF(C482="","", "CP-"&amp;TEXT(ROW()-5,"000"))</f>
        <v/>
      </c>
      <c r="B482" s="27">
        <f>IF(F482="","",DATE(YEAR(F482),MONTH(F482),1))</f>
        <v/>
      </c>
      <c r="C482" s="28" t="n"/>
      <c r="D482" s="28" t="n"/>
      <c r="E482" s="59">
        <f>IF(C482="","",IFERROR(INDEX('6. Base de Custos'!$M$8:$M$42,MATCH(C482,'6. Base de Custos'!$L$8:$L$42,0)),"Não classificado"))</f>
        <v/>
      </c>
      <c r="F482" s="111" t="n"/>
      <c r="G482" s="111" t="n"/>
      <c r="H482" s="111" t="n"/>
      <c r="I482" s="45" t="n"/>
      <c r="J482" s="28" t="n"/>
      <c r="K482" s="28" t="n"/>
      <c r="L482" s="28" t="n"/>
      <c r="M482" s="59">
        <f>IF(C482="","",IFERROR(INDEX('6. Base de Custos'!$N$8:$N$42,MATCH(C482,'6. Base de Custos'!$L$8:$L$42,0)),"Não classificado"))</f>
        <v/>
      </c>
      <c r="N482" s="59">
        <f>IF(C482="","",IFERROR(INDEX('6. Base de Custos'!$O$8:$O$42,MATCH(C482,'6. Base de Custos'!$L$8:$L$42,0)),"Revisar"))</f>
        <v/>
      </c>
      <c r="O482" s="60">
        <f>IF(M482="","",IFERROR(VLOOKUP(M482,'6. Base de Custos'!$H$12:$J$18,3,FALSE),0))</f>
        <v/>
      </c>
      <c r="P482" s="59">
        <f>IF(C482="","",IFERROR(INDEX('6. Base de Custos'!$P$8:$P$42,MATCH(C482,'6. Base de Custos'!$L$8:$L$42,0)),"Revisar"))</f>
        <v/>
      </c>
      <c r="Q482" s="59">
        <f>IF(C482="","",IFERROR(INDEX('6. Base de Custos'!$Q$8:$Q$42,MATCH(C482,'6. Base de Custos'!$L$8:$L$42,0)),""))</f>
        <v/>
      </c>
      <c r="R482" s="65">
        <f>IF(C482="","",IFERROR(VLOOKUP(M482&amp;"|"&amp;N482,'17. Mapa DRE CP'!$E$5:$H$100,2,FALSE),"Revisar"))</f>
        <v/>
      </c>
      <c r="S482" s="65">
        <f>IF(C482="","",IFERROR(VLOOKUP(M482&amp;"|"&amp;N482,'17. Mapa DRE CP'!$E$5:$H$100,3,FALSE),"Revisar"))</f>
        <v/>
      </c>
      <c r="T482" s="65">
        <f>IF(C482="","",IF(R482="(-) Custos diretos dos serviços",IF(ISNUMBER(SEARCH("PCMSO",C482)),"PCMSO",IF(OR(ISNUMBER(SEARCH("SGS",C482)),ISNUMBER(SEARCH("CASTRO NAVES",C482))),"Projetos / Laudos / Avulsos","Projetos / Laudos / Avulsos")),"Rateio pela receita bruta"))</f>
        <v/>
      </c>
      <c r="U482" s="65">
        <f>IF(C482="","",IF(R482="(-) Custos diretos dos serviços","Direto por fornecedor/natureza do gasto","Rateio proporcional à receita bruta da linha de serviço"))</f>
        <v/>
      </c>
    </row>
    <row r="483">
      <c r="A483" s="28">
        <f>IF(C483="","", "CP-"&amp;TEXT(ROW()-5,"000"))</f>
        <v/>
      </c>
      <c r="B483" s="27">
        <f>IF(F483="","",DATE(YEAR(F483),MONTH(F483),1))</f>
        <v/>
      </c>
      <c r="C483" s="28" t="n"/>
      <c r="D483" s="28" t="n"/>
      <c r="E483" s="59">
        <f>IF(C483="","",IFERROR(INDEX('6. Base de Custos'!$M$8:$M$42,MATCH(C483,'6. Base de Custos'!$L$8:$L$42,0)),"Não classificado"))</f>
        <v/>
      </c>
      <c r="F483" s="111" t="n"/>
      <c r="G483" s="111" t="n"/>
      <c r="H483" s="111" t="n"/>
      <c r="I483" s="45" t="n"/>
      <c r="J483" s="28" t="n"/>
      <c r="K483" s="28" t="n"/>
      <c r="L483" s="28" t="n"/>
      <c r="M483" s="59">
        <f>IF(C483="","",IFERROR(INDEX('6. Base de Custos'!$N$8:$N$42,MATCH(C483,'6. Base de Custos'!$L$8:$L$42,0)),"Não classificado"))</f>
        <v/>
      </c>
      <c r="N483" s="59">
        <f>IF(C483="","",IFERROR(INDEX('6. Base de Custos'!$O$8:$O$42,MATCH(C483,'6. Base de Custos'!$L$8:$L$42,0)),"Revisar"))</f>
        <v/>
      </c>
      <c r="O483" s="60">
        <f>IF(M483="","",IFERROR(VLOOKUP(M483,'6. Base de Custos'!$H$12:$J$18,3,FALSE),0))</f>
        <v/>
      </c>
      <c r="P483" s="59">
        <f>IF(C483="","",IFERROR(INDEX('6. Base de Custos'!$P$8:$P$42,MATCH(C483,'6. Base de Custos'!$L$8:$L$42,0)),"Revisar"))</f>
        <v/>
      </c>
      <c r="Q483" s="59">
        <f>IF(C483="","",IFERROR(INDEX('6. Base de Custos'!$Q$8:$Q$42,MATCH(C483,'6. Base de Custos'!$L$8:$L$42,0)),""))</f>
        <v/>
      </c>
      <c r="R483" s="65">
        <f>IF(C483="","",IFERROR(VLOOKUP(M483&amp;"|"&amp;N483,'17. Mapa DRE CP'!$E$5:$H$100,2,FALSE),"Revisar"))</f>
        <v/>
      </c>
      <c r="S483" s="65">
        <f>IF(C483="","",IFERROR(VLOOKUP(M483&amp;"|"&amp;N483,'17. Mapa DRE CP'!$E$5:$H$100,3,FALSE),"Revisar"))</f>
        <v/>
      </c>
      <c r="T483" s="65">
        <f>IF(C483="","",IF(R483="(-) Custos diretos dos serviços",IF(ISNUMBER(SEARCH("PCMSO",C483)),"PCMSO",IF(OR(ISNUMBER(SEARCH("SGS",C483)),ISNUMBER(SEARCH("CASTRO NAVES",C483))),"Projetos / Laudos / Avulsos","Projetos / Laudos / Avulsos")),"Rateio pela receita bruta"))</f>
        <v/>
      </c>
      <c r="U483" s="65">
        <f>IF(C483="","",IF(R483="(-) Custos diretos dos serviços","Direto por fornecedor/natureza do gasto","Rateio proporcional à receita bruta da linha de serviço"))</f>
        <v/>
      </c>
    </row>
    <row r="484">
      <c r="A484" s="28">
        <f>IF(C484="","", "CP-"&amp;TEXT(ROW()-5,"000"))</f>
        <v/>
      </c>
      <c r="B484" s="27">
        <f>IF(F484="","",DATE(YEAR(F484),MONTH(F484),1))</f>
        <v/>
      </c>
      <c r="C484" s="28" t="n"/>
      <c r="D484" s="28" t="n"/>
      <c r="E484" s="59">
        <f>IF(C484="","",IFERROR(INDEX('6. Base de Custos'!$M$8:$M$42,MATCH(C484,'6. Base de Custos'!$L$8:$L$42,0)),"Não classificado"))</f>
        <v/>
      </c>
      <c r="F484" s="111" t="n"/>
      <c r="G484" s="111" t="n"/>
      <c r="H484" s="111" t="n"/>
      <c r="I484" s="45" t="n"/>
      <c r="J484" s="28" t="n"/>
      <c r="K484" s="28" t="n"/>
      <c r="L484" s="28" t="n"/>
      <c r="M484" s="59">
        <f>IF(C484="","",IFERROR(INDEX('6. Base de Custos'!$N$8:$N$42,MATCH(C484,'6. Base de Custos'!$L$8:$L$42,0)),"Não classificado"))</f>
        <v/>
      </c>
      <c r="N484" s="59">
        <f>IF(C484="","",IFERROR(INDEX('6. Base de Custos'!$O$8:$O$42,MATCH(C484,'6. Base de Custos'!$L$8:$L$42,0)),"Revisar"))</f>
        <v/>
      </c>
      <c r="O484" s="60">
        <f>IF(M484="","",IFERROR(VLOOKUP(M484,'6. Base de Custos'!$H$12:$J$18,3,FALSE),0))</f>
        <v/>
      </c>
      <c r="P484" s="59">
        <f>IF(C484="","",IFERROR(INDEX('6. Base de Custos'!$P$8:$P$42,MATCH(C484,'6. Base de Custos'!$L$8:$L$42,0)),"Revisar"))</f>
        <v/>
      </c>
      <c r="Q484" s="59">
        <f>IF(C484="","",IFERROR(INDEX('6. Base de Custos'!$Q$8:$Q$42,MATCH(C484,'6. Base de Custos'!$L$8:$L$42,0)),""))</f>
        <v/>
      </c>
      <c r="R484" s="65">
        <f>IF(C484="","",IFERROR(VLOOKUP(M484&amp;"|"&amp;N484,'17. Mapa DRE CP'!$E$5:$H$100,2,FALSE),"Revisar"))</f>
        <v/>
      </c>
      <c r="S484" s="65">
        <f>IF(C484="","",IFERROR(VLOOKUP(M484&amp;"|"&amp;N484,'17. Mapa DRE CP'!$E$5:$H$100,3,FALSE),"Revisar"))</f>
        <v/>
      </c>
      <c r="T484" s="65">
        <f>IF(C484="","",IF(R484="(-) Custos diretos dos serviços",IF(ISNUMBER(SEARCH("PCMSO",C484)),"PCMSO",IF(OR(ISNUMBER(SEARCH("SGS",C484)),ISNUMBER(SEARCH("CASTRO NAVES",C484))),"Projetos / Laudos / Avulsos","Projetos / Laudos / Avulsos")),"Rateio pela receita bruta"))</f>
        <v/>
      </c>
      <c r="U484" s="65">
        <f>IF(C484="","",IF(R484="(-) Custos diretos dos serviços","Direto por fornecedor/natureza do gasto","Rateio proporcional à receita bruta da linha de serviço"))</f>
        <v/>
      </c>
    </row>
    <row r="485">
      <c r="A485" s="28">
        <f>IF(C485="","", "CP-"&amp;TEXT(ROW()-5,"000"))</f>
        <v/>
      </c>
      <c r="B485" s="27">
        <f>IF(F485="","",DATE(YEAR(F485),MONTH(F485),1))</f>
        <v/>
      </c>
      <c r="C485" s="28" t="n"/>
      <c r="D485" s="28" t="n"/>
      <c r="E485" s="59">
        <f>IF(C485="","",IFERROR(INDEX('6. Base de Custos'!$M$8:$M$42,MATCH(C485,'6. Base de Custos'!$L$8:$L$42,0)),"Não classificado"))</f>
        <v/>
      </c>
      <c r="F485" s="111" t="n"/>
      <c r="G485" s="111" t="n"/>
      <c r="H485" s="111" t="n"/>
      <c r="I485" s="45" t="n"/>
      <c r="J485" s="28" t="n"/>
      <c r="K485" s="28" t="n"/>
      <c r="L485" s="28" t="n"/>
      <c r="M485" s="59">
        <f>IF(C485="","",IFERROR(INDEX('6. Base de Custos'!$N$8:$N$42,MATCH(C485,'6. Base de Custos'!$L$8:$L$42,0)),"Não classificado"))</f>
        <v/>
      </c>
      <c r="N485" s="59">
        <f>IF(C485="","",IFERROR(INDEX('6. Base de Custos'!$O$8:$O$42,MATCH(C485,'6. Base de Custos'!$L$8:$L$42,0)),"Revisar"))</f>
        <v/>
      </c>
      <c r="O485" s="60">
        <f>IF(M485="","",IFERROR(VLOOKUP(M485,'6. Base de Custos'!$H$12:$J$18,3,FALSE),0))</f>
        <v/>
      </c>
      <c r="P485" s="59">
        <f>IF(C485="","",IFERROR(INDEX('6. Base de Custos'!$P$8:$P$42,MATCH(C485,'6. Base de Custos'!$L$8:$L$42,0)),"Revisar"))</f>
        <v/>
      </c>
      <c r="Q485" s="59">
        <f>IF(C485="","",IFERROR(INDEX('6. Base de Custos'!$Q$8:$Q$42,MATCH(C485,'6. Base de Custos'!$L$8:$L$42,0)),""))</f>
        <v/>
      </c>
      <c r="R485" s="65">
        <f>IF(C485="","",IFERROR(VLOOKUP(M485&amp;"|"&amp;N485,'17. Mapa DRE CP'!$E$5:$H$100,2,FALSE),"Revisar"))</f>
        <v/>
      </c>
      <c r="S485" s="65">
        <f>IF(C485="","",IFERROR(VLOOKUP(M485&amp;"|"&amp;N485,'17. Mapa DRE CP'!$E$5:$H$100,3,FALSE),"Revisar"))</f>
        <v/>
      </c>
      <c r="T485" s="65">
        <f>IF(C485="","",IF(R485="(-) Custos diretos dos serviços",IF(ISNUMBER(SEARCH("PCMSO",C485)),"PCMSO",IF(OR(ISNUMBER(SEARCH("SGS",C485)),ISNUMBER(SEARCH("CASTRO NAVES",C485))),"Projetos / Laudos / Avulsos","Projetos / Laudos / Avulsos")),"Rateio pela receita bruta"))</f>
        <v/>
      </c>
      <c r="U485" s="65">
        <f>IF(C485="","",IF(R485="(-) Custos diretos dos serviços","Direto por fornecedor/natureza do gasto","Rateio proporcional à receita bruta da linha de serviço"))</f>
        <v/>
      </c>
    </row>
    <row r="486">
      <c r="A486" s="28">
        <f>IF(C486="","", "CP-"&amp;TEXT(ROW()-5,"000"))</f>
        <v/>
      </c>
      <c r="B486" s="27">
        <f>IF(F486="","",DATE(YEAR(F486),MONTH(F486),1))</f>
        <v/>
      </c>
      <c r="C486" s="28" t="n"/>
      <c r="D486" s="28" t="n"/>
      <c r="E486" s="59">
        <f>IF(C486="","",IFERROR(INDEX('6. Base de Custos'!$M$8:$M$42,MATCH(C486,'6. Base de Custos'!$L$8:$L$42,0)),"Não classificado"))</f>
        <v/>
      </c>
      <c r="F486" s="111" t="n"/>
      <c r="G486" s="111" t="n"/>
      <c r="H486" s="111" t="n"/>
      <c r="I486" s="45" t="n"/>
      <c r="J486" s="28" t="n"/>
      <c r="K486" s="28" t="n"/>
      <c r="L486" s="28" t="n"/>
      <c r="M486" s="59">
        <f>IF(C486="","",IFERROR(INDEX('6. Base de Custos'!$N$8:$N$42,MATCH(C486,'6. Base de Custos'!$L$8:$L$42,0)),"Não classificado"))</f>
        <v/>
      </c>
      <c r="N486" s="59">
        <f>IF(C486="","",IFERROR(INDEX('6. Base de Custos'!$O$8:$O$42,MATCH(C486,'6. Base de Custos'!$L$8:$L$42,0)),"Revisar"))</f>
        <v/>
      </c>
      <c r="O486" s="60">
        <f>IF(M486="","",IFERROR(VLOOKUP(M486,'6. Base de Custos'!$H$12:$J$18,3,FALSE),0))</f>
        <v/>
      </c>
      <c r="P486" s="59">
        <f>IF(C486="","",IFERROR(INDEX('6. Base de Custos'!$P$8:$P$42,MATCH(C486,'6. Base de Custos'!$L$8:$L$42,0)),"Revisar"))</f>
        <v/>
      </c>
      <c r="Q486" s="59">
        <f>IF(C486="","",IFERROR(INDEX('6. Base de Custos'!$Q$8:$Q$42,MATCH(C486,'6. Base de Custos'!$L$8:$L$42,0)),""))</f>
        <v/>
      </c>
      <c r="R486" s="65">
        <f>IF(C486="","",IFERROR(VLOOKUP(M486&amp;"|"&amp;N486,'17. Mapa DRE CP'!$E$5:$H$100,2,FALSE),"Revisar"))</f>
        <v/>
      </c>
      <c r="S486" s="65">
        <f>IF(C486="","",IFERROR(VLOOKUP(M486&amp;"|"&amp;N486,'17. Mapa DRE CP'!$E$5:$H$100,3,FALSE),"Revisar"))</f>
        <v/>
      </c>
      <c r="T486" s="65">
        <f>IF(C486="","",IF(R486="(-) Custos diretos dos serviços",IF(ISNUMBER(SEARCH("PCMSO",C486)),"PCMSO",IF(OR(ISNUMBER(SEARCH("SGS",C486)),ISNUMBER(SEARCH("CASTRO NAVES",C486))),"Projetos / Laudos / Avulsos","Projetos / Laudos / Avulsos")),"Rateio pela receita bruta"))</f>
        <v/>
      </c>
      <c r="U486" s="65">
        <f>IF(C486="","",IF(R486="(-) Custos diretos dos serviços","Direto por fornecedor/natureza do gasto","Rateio proporcional à receita bruta da linha de serviço"))</f>
        <v/>
      </c>
    </row>
    <row r="487">
      <c r="A487" s="28">
        <f>IF(C487="","", "CP-"&amp;TEXT(ROW()-5,"000"))</f>
        <v/>
      </c>
      <c r="B487" s="27">
        <f>IF(F487="","",DATE(YEAR(F487),MONTH(F487),1))</f>
        <v/>
      </c>
      <c r="C487" s="28" t="n"/>
      <c r="D487" s="28" t="n"/>
      <c r="E487" s="59">
        <f>IF(C487="","",IFERROR(INDEX('6. Base de Custos'!$M$8:$M$42,MATCH(C487,'6. Base de Custos'!$L$8:$L$42,0)),"Não classificado"))</f>
        <v/>
      </c>
      <c r="F487" s="111" t="n"/>
      <c r="G487" s="111" t="n"/>
      <c r="H487" s="111" t="n"/>
      <c r="I487" s="45" t="n"/>
      <c r="J487" s="28" t="n"/>
      <c r="K487" s="28" t="n"/>
      <c r="L487" s="28" t="n"/>
      <c r="M487" s="59">
        <f>IF(C487="","",IFERROR(INDEX('6. Base de Custos'!$N$8:$N$42,MATCH(C487,'6. Base de Custos'!$L$8:$L$42,0)),"Não classificado"))</f>
        <v/>
      </c>
      <c r="N487" s="59">
        <f>IF(C487="","",IFERROR(INDEX('6. Base de Custos'!$O$8:$O$42,MATCH(C487,'6. Base de Custos'!$L$8:$L$42,0)),"Revisar"))</f>
        <v/>
      </c>
      <c r="O487" s="60">
        <f>IF(M487="","",IFERROR(VLOOKUP(M487,'6. Base de Custos'!$H$12:$J$18,3,FALSE),0))</f>
        <v/>
      </c>
      <c r="P487" s="59">
        <f>IF(C487="","",IFERROR(INDEX('6. Base de Custos'!$P$8:$P$42,MATCH(C487,'6. Base de Custos'!$L$8:$L$42,0)),"Revisar"))</f>
        <v/>
      </c>
      <c r="Q487" s="59">
        <f>IF(C487="","",IFERROR(INDEX('6. Base de Custos'!$Q$8:$Q$42,MATCH(C487,'6. Base de Custos'!$L$8:$L$42,0)),""))</f>
        <v/>
      </c>
      <c r="R487" s="65">
        <f>IF(C487="","",IFERROR(VLOOKUP(M487&amp;"|"&amp;N487,'17. Mapa DRE CP'!$E$5:$H$100,2,FALSE),"Revisar"))</f>
        <v/>
      </c>
      <c r="S487" s="65">
        <f>IF(C487="","",IFERROR(VLOOKUP(M487&amp;"|"&amp;N487,'17. Mapa DRE CP'!$E$5:$H$100,3,FALSE),"Revisar"))</f>
        <v/>
      </c>
      <c r="T487" s="65">
        <f>IF(C487="","",IF(R487="(-) Custos diretos dos serviços",IF(ISNUMBER(SEARCH("PCMSO",C487)),"PCMSO",IF(OR(ISNUMBER(SEARCH("SGS",C487)),ISNUMBER(SEARCH("CASTRO NAVES",C487))),"Projetos / Laudos / Avulsos","Projetos / Laudos / Avulsos")),"Rateio pela receita bruta"))</f>
        <v/>
      </c>
      <c r="U487" s="65">
        <f>IF(C487="","",IF(R487="(-) Custos diretos dos serviços","Direto por fornecedor/natureza do gasto","Rateio proporcional à receita bruta da linha de serviço"))</f>
        <v/>
      </c>
    </row>
    <row r="488">
      <c r="A488" s="28">
        <f>IF(C488="","", "CP-"&amp;TEXT(ROW()-5,"000"))</f>
        <v/>
      </c>
      <c r="B488" s="27">
        <f>IF(F488="","",DATE(YEAR(F488),MONTH(F488),1))</f>
        <v/>
      </c>
      <c r="C488" s="28" t="n"/>
      <c r="D488" s="28" t="n"/>
      <c r="E488" s="59">
        <f>IF(C488="","",IFERROR(INDEX('6. Base de Custos'!$M$8:$M$42,MATCH(C488,'6. Base de Custos'!$L$8:$L$42,0)),"Não classificado"))</f>
        <v/>
      </c>
      <c r="F488" s="111" t="n"/>
      <c r="G488" s="111" t="n"/>
      <c r="H488" s="111" t="n"/>
      <c r="I488" s="45" t="n"/>
      <c r="J488" s="28" t="n"/>
      <c r="K488" s="28" t="n"/>
      <c r="L488" s="28" t="n"/>
      <c r="M488" s="59">
        <f>IF(C488="","",IFERROR(INDEX('6. Base de Custos'!$N$8:$N$42,MATCH(C488,'6. Base de Custos'!$L$8:$L$42,0)),"Não classificado"))</f>
        <v/>
      </c>
      <c r="N488" s="59">
        <f>IF(C488="","",IFERROR(INDEX('6. Base de Custos'!$O$8:$O$42,MATCH(C488,'6. Base de Custos'!$L$8:$L$42,0)),"Revisar"))</f>
        <v/>
      </c>
      <c r="O488" s="60">
        <f>IF(M488="","",IFERROR(VLOOKUP(M488,'6. Base de Custos'!$H$12:$J$18,3,FALSE),0))</f>
        <v/>
      </c>
      <c r="P488" s="59">
        <f>IF(C488="","",IFERROR(INDEX('6. Base de Custos'!$P$8:$P$42,MATCH(C488,'6. Base de Custos'!$L$8:$L$42,0)),"Revisar"))</f>
        <v/>
      </c>
      <c r="Q488" s="59">
        <f>IF(C488="","",IFERROR(INDEX('6. Base de Custos'!$Q$8:$Q$42,MATCH(C488,'6. Base de Custos'!$L$8:$L$42,0)),""))</f>
        <v/>
      </c>
      <c r="R488" s="65">
        <f>IF(C488="","",IFERROR(VLOOKUP(M488&amp;"|"&amp;N488,'17. Mapa DRE CP'!$E$5:$H$100,2,FALSE),"Revisar"))</f>
        <v/>
      </c>
      <c r="S488" s="65">
        <f>IF(C488="","",IFERROR(VLOOKUP(M488&amp;"|"&amp;N488,'17. Mapa DRE CP'!$E$5:$H$100,3,FALSE),"Revisar"))</f>
        <v/>
      </c>
      <c r="T488" s="65">
        <f>IF(C488="","",IF(R488="(-) Custos diretos dos serviços",IF(ISNUMBER(SEARCH("PCMSO",C488)),"PCMSO",IF(OR(ISNUMBER(SEARCH("SGS",C488)),ISNUMBER(SEARCH("CASTRO NAVES",C488))),"Projetos / Laudos / Avulsos","Projetos / Laudos / Avulsos")),"Rateio pela receita bruta"))</f>
        <v/>
      </c>
      <c r="U488" s="65">
        <f>IF(C488="","",IF(R488="(-) Custos diretos dos serviços","Direto por fornecedor/natureza do gasto","Rateio proporcional à receita bruta da linha de serviço"))</f>
        <v/>
      </c>
    </row>
    <row r="489">
      <c r="A489" s="28">
        <f>IF(C489="","", "CP-"&amp;TEXT(ROW()-5,"000"))</f>
        <v/>
      </c>
      <c r="B489" s="27">
        <f>IF(F489="","",DATE(YEAR(F489),MONTH(F489),1))</f>
        <v/>
      </c>
      <c r="C489" s="28" t="n"/>
      <c r="D489" s="28" t="n"/>
      <c r="E489" s="59">
        <f>IF(C489="","",IFERROR(INDEX('6. Base de Custos'!$M$8:$M$42,MATCH(C489,'6. Base de Custos'!$L$8:$L$42,0)),"Não classificado"))</f>
        <v/>
      </c>
      <c r="F489" s="111" t="n"/>
      <c r="G489" s="111" t="n"/>
      <c r="H489" s="111" t="n"/>
      <c r="I489" s="45" t="n"/>
      <c r="J489" s="28" t="n"/>
      <c r="K489" s="28" t="n"/>
      <c r="L489" s="28" t="n"/>
      <c r="M489" s="59">
        <f>IF(C489="","",IFERROR(INDEX('6. Base de Custos'!$N$8:$N$42,MATCH(C489,'6. Base de Custos'!$L$8:$L$42,0)),"Não classificado"))</f>
        <v/>
      </c>
      <c r="N489" s="59">
        <f>IF(C489="","",IFERROR(INDEX('6. Base de Custos'!$O$8:$O$42,MATCH(C489,'6. Base de Custos'!$L$8:$L$42,0)),"Revisar"))</f>
        <v/>
      </c>
      <c r="O489" s="60">
        <f>IF(M489="","",IFERROR(VLOOKUP(M489,'6. Base de Custos'!$H$12:$J$18,3,FALSE),0))</f>
        <v/>
      </c>
      <c r="P489" s="59">
        <f>IF(C489="","",IFERROR(INDEX('6. Base de Custos'!$P$8:$P$42,MATCH(C489,'6. Base de Custos'!$L$8:$L$42,0)),"Revisar"))</f>
        <v/>
      </c>
      <c r="Q489" s="59">
        <f>IF(C489="","",IFERROR(INDEX('6. Base de Custos'!$Q$8:$Q$42,MATCH(C489,'6. Base de Custos'!$L$8:$L$42,0)),""))</f>
        <v/>
      </c>
      <c r="R489" s="65">
        <f>IF(C489="","",IFERROR(VLOOKUP(M489&amp;"|"&amp;N489,'17. Mapa DRE CP'!$E$5:$H$100,2,FALSE),"Revisar"))</f>
        <v/>
      </c>
      <c r="S489" s="65">
        <f>IF(C489="","",IFERROR(VLOOKUP(M489&amp;"|"&amp;N489,'17. Mapa DRE CP'!$E$5:$H$100,3,FALSE),"Revisar"))</f>
        <v/>
      </c>
      <c r="T489" s="65">
        <f>IF(C489="","",IF(R489="(-) Custos diretos dos serviços",IF(ISNUMBER(SEARCH("PCMSO",C489)),"PCMSO",IF(OR(ISNUMBER(SEARCH("SGS",C489)),ISNUMBER(SEARCH("CASTRO NAVES",C489))),"Projetos / Laudos / Avulsos","Projetos / Laudos / Avulsos")),"Rateio pela receita bruta"))</f>
        <v/>
      </c>
      <c r="U489" s="65">
        <f>IF(C489="","",IF(R489="(-) Custos diretos dos serviços","Direto por fornecedor/natureza do gasto","Rateio proporcional à receita bruta da linha de serviço"))</f>
        <v/>
      </c>
    </row>
    <row r="490">
      <c r="A490" s="28">
        <f>IF(C490="","", "CP-"&amp;TEXT(ROW()-5,"000"))</f>
        <v/>
      </c>
      <c r="B490" s="27">
        <f>IF(F490="","",DATE(YEAR(F490),MONTH(F490),1))</f>
        <v/>
      </c>
      <c r="C490" s="28" t="n"/>
      <c r="D490" s="28" t="n"/>
      <c r="E490" s="59">
        <f>IF(C490="","",IFERROR(INDEX('6. Base de Custos'!$M$8:$M$42,MATCH(C490,'6. Base de Custos'!$L$8:$L$42,0)),"Não classificado"))</f>
        <v/>
      </c>
      <c r="F490" s="111" t="n"/>
      <c r="G490" s="111" t="n"/>
      <c r="H490" s="111" t="n"/>
      <c r="I490" s="45" t="n"/>
      <c r="J490" s="28" t="n"/>
      <c r="K490" s="28" t="n"/>
      <c r="L490" s="28" t="n"/>
      <c r="M490" s="59">
        <f>IF(C490="","",IFERROR(INDEX('6. Base de Custos'!$N$8:$N$42,MATCH(C490,'6. Base de Custos'!$L$8:$L$42,0)),"Não classificado"))</f>
        <v/>
      </c>
      <c r="N490" s="59">
        <f>IF(C490="","",IFERROR(INDEX('6. Base de Custos'!$O$8:$O$42,MATCH(C490,'6. Base de Custos'!$L$8:$L$42,0)),"Revisar"))</f>
        <v/>
      </c>
      <c r="O490" s="60">
        <f>IF(M490="","",IFERROR(VLOOKUP(M490,'6. Base de Custos'!$H$12:$J$18,3,FALSE),0))</f>
        <v/>
      </c>
      <c r="P490" s="59">
        <f>IF(C490="","",IFERROR(INDEX('6. Base de Custos'!$P$8:$P$42,MATCH(C490,'6. Base de Custos'!$L$8:$L$42,0)),"Revisar"))</f>
        <v/>
      </c>
      <c r="Q490" s="59">
        <f>IF(C490="","",IFERROR(INDEX('6. Base de Custos'!$Q$8:$Q$42,MATCH(C490,'6. Base de Custos'!$L$8:$L$42,0)),""))</f>
        <v/>
      </c>
      <c r="R490" s="65">
        <f>IF(C490="","",IFERROR(VLOOKUP(M490&amp;"|"&amp;N490,'17. Mapa DRE CP'!$E$5:$H$100,2,FALSE),"Revisar"))</f>
        <v/>
      </c>
      <c r="S490" s="65">
        <f>IF(C490="","",IFERROR(VLOOKUP(M490&amp;"|"&amp;N490,'17. Mapa DRE CP'!$E$5:$H$100,3,FALSE),"Revisar"))</f>
        <v/>
      </c>
      <c r="T490" s="65">
        <f>IF(C490="","",IF(R490="(-) Custos diretos dos serviços",IF(ISNUMBER(SEARCH("PCMSO",C490)),"PCMSO",IF(OR(ISNUMBER(SEARCH("SGS",C490)),ISNUMBER(SEARCH("CASTRO NAVES",C490))),"Projetos / Laudos / Avulsos","Projetos / Laudos / Avulsos")),"Rateio pela receita bruta"))</f>
        <v/>
      </c>
      <c r="U490" s="65">
        <f>IF(C490="","",IF(R490="(-) Custos diretos dos serviços","Direto por fornecedor/natureza do gasto","Rateio proporcional à receita bruta da linha de serviço"))</f>
        <v/>
      </c>
    </row>
    <row r="491">
      <c r="A491" s="28">
        <f>IF(C491="","", "CP-"&amp;TEXT(ROW()-5,"000"))</f>
        <v/>
      </c>
      <c r="B491" s="27">
        <f>IF(F491="","",DATE(YEAR(F491),MONTH(F491),1))</f>
        <v/>
      </c>
      <c r="C491" s="28" t="n"/>
      <c r="D491" s="28" t="n"/>
      <c r="E491" s="59">
        <f>IF(C491="","",IFERROR(INDEX('6. Base de Custos'!$M$8:$M$42,MATCH(C491,'6. Base de Custos'!$L$8:$L$42,0)),"Não classificado"))</f>
        <v/>
      </c>
      <c r="F491" s="111" t="n"/>
      <c r="G491" s="111" t="n"/>
      <c r="H491" s="111" t="n"/>
      <c r="I491" s="45" t="n"/>
      <c r="J491" s="28" t="n"/>
      <c r="K491" s="28" t="n"/>
      <c r="L491" s="28" t="n"/>
      <c r="M491" s="59">
        <f>IF(C491="","",IFERROR(INDEX('6. Base de Custos'!$N$8:$N$42,MATCH(C491,'6. Base de Custos'!$L$8:$L$42,0)),"Não classificado"))</f>
        <v/>
      </c>
      <c r="N491" s="59">
        <f>IF(C491="","",IFERROR(INDEX('6. Base de Custos'!$O$8:$O$42,MATCH(C491,'6. Base de Custos'!$L$8:$L$42,0)),"Revisar"))</f>
        <v/>
      </c>
      <c r="O491" s="60">
        <f>IF(M491="","",IFERROR(VLOOKUP(M491,'6. Base de Custos'!$H$12:$J$18,3,FALSE),0))</f>
        <v/>
      </c>
      <c r="P491" s="59">
        <f>IF(C491="","",IFERROR(INDEX('6. Base de Custos'!$P$8:$P$42,MATCH(C491,'6. Base de Custos'!$L$8:$L$42,0)),"Revisar"))</f>
        <v/>
      </c>
      <c r="Q491" s="59">
        <f>IF(C491="","",IFERROR(INDEX('6. Base de Custos'!$Q$8:$Q$42,MATCH(C491,'6. Base de Custos'!$L$8:$L$42,0)),""))</f>
        <v/>
      </c>
      <c r="R491" s="65">
        <f>IF(C491="","",IFERROR(VLOOKUP(M491&amp;"|"&amp;N491,'17. Mapa DRE CP'!$E$5:$H$100,2,FALSE),"Revisar"))</f>
        <v/>
      </c>
      <c r="S491" s="65">
        <f>IF(C491="","",IFERROR(VLOOKUP(M491&amp;"|"&amp;N491,'17. Mapa DRE CP'!$E$5:$H$100,3,FALSE),"Revisar"))</f>
        <v/>
      </c>
      <c r="T491" s="65">
        <f>IF(C491="","",IF(R491="(-) Custos diretos dos serviços",IF(ISNUMBER(SEARCH("PCMSO",C491)),"PCMSO",IF(OR(ISNUMBER(SEARCH("SGS",C491)),ISNUMBER(SEARCH("CASTRO NAVES",C491))),"Projetos / Laudos / Avulsos","Projetos / Laudos / Avulsos")),"Rateio pela receita bruta"))</f>
        <v/>
      </c>
      <c r="U491" s="65">
        <f>IF(C491="","",IF(R491="(-) Custos diretos dos serviços","Direto por fornecedor/natureza do gasto","Rateio proporcional à receita bruta da linha de serviço"))</f>
        <v/>
      </c>
    </row>
    <row r="492">
      <c r="A492" s="28">
        <f>IF(C492="","", "CP-"&amp;TEXT(ROW()-5,"000"))</f>
        <v/>
      </c>
      <c r="B492" s="27">
        <f>IF(F492="","",DATE(YEAR(F492),MONTH(F492),1))</f>
        <v/>
      </c>
      <c r="C492" s="28" t="n"/>
      <c r="D492" s="28" t="n"/>
      <c r="E492" s="59">
        <f>IF(C492="","",IFERROR(INDEX('6. Base de Custos'!$M$8:$M$42,MATCH(C492,'6. Base de Custos'!$L$8:$L$42,0)),"Não classificado"))</f>
        <v/>
      </c>
      <c r="F492" s="111" t="n"/>
      <c r="G492" s="111" t="n"/>
      <c r="H492" s="111" t="n"/>
      <c r="I492" s="45" t="n"/>
      <c r="J492" s="28" t="n"/>
      <c r="K492" s="28" t="n"/>
      <c r="L492" s="28" t="n"/>
      <c r="M492" s="59">
        <f>IF(C492="","",IFERROR(INDEX('6. Base de Custos'!$N$8:$N$42,MATCH(C492,'6. Base de Custos'!$L$8:$L$42,0)),"Não classificado"))</f>
        <v/>
      </c>
      <c r="N492" s="59">
        <f>IF(C492="","",IFERROR(INDEX('6. Base de Custos'!$O$8:$O$42,MATCH(C492,'6. Base de Custos'!$L$8:$L$42,0)),"Revisar"))</f>
        <v/>
      </c>
      <c r="O492" s="60">
        <f>IF(M492="","",IFERROR(VLOOKUP(M492,'6. Base de Custos'!$H$12:$J$18,3,FALSE),0))</f>
        <v/>
      </c>
      <c r="P492" s="59">
        <f>IF(C492="","",IFERROR(INDEX('6. Base de Custos'!$P$8:$P$42,MATCH(C492,'6. Base de Custos'!$L$8:$L$42,0)),"Revisar"))</f>
        <v/>
      </c>
      <c r="Q492" s="59">
        <f>IF(C492="","",IFERROR(INDEX('6. Base de Custos'!$Q$8:$Q$42,MATCH(C492,'6. Base de Custos'!$L$8:$L$42,0)),""))</f>
        <v/>
      </c>
      <c r="R492" s="65">
        <f>IF(C492="","",IFERROR(VLOOKUP(M492&amp;"|"&amp;N492,'17. Mapa DRE CP'!$E$5:$H$100,2,FALSE),"Revisar"))</f>
        <v/>
      </c>
      <c r="S492" s="65">
        <f>IF(C492="","",IFERROR(VLOOKUP(M492&amp;"|"&amp;N492,'17. Mapa DRE CP'!$E$5:$H$100,3,FALSE),"Revisar"))</f>
        <v/>
      </c>
      <c r="T492" s="65">
        <f>IF(C492="","",IF(R492="(-) Custos diretos dos serviços",IF(ISNUMBER(SEARCH("PCMSO",C492)),"PCMSO",IF(OR(ISNUMBER(SEARCH("SGS",C492)),ISNUMBER(SEARCH("CASTRO NAVES",C492))),"Projetos / Laudos / Avulsos","Projetos / Laudos / Avulsos")),"Rateio pela receita bruta"))</f>
        <v/>
      </c>
      <c r="U492" s="65">
        <f>IF(C492="","",IF(R492="(-) Custos diretos dos serviços","Direto por fornecedor/natureza do gasto","Rateio proporcional à receita bruta da linha de serviço"))</f>
        <v/>
      </c>
    </row>
    <row r="493">
      <c r="A493" s="28">
        <f>IF(C493="","", "CP-"&amp;TEXT(ROW()-5,"000"))</f>
        <v/>
      </c>
      <c r="B493" s="27">
        <f>IF(F493="","",DATE(YEAR(F493),MONTH(F493),1))</f>
        <v/>
      </c>
      <c r="C493" s="28" t="n"/>
      <c r="D493" s="28" t="n"/>
      <c r="E493" s="59">
        <f>IF(C493="","",IFERROR(INDEX('6. Base de Custos'!$M$8:$M$42,MATCH(C493,'6. Base de Custos'!$L$8:$L$42,0)),"Não classificado"))</f>
        <v/>
      </c>
      <c r="F493" s="111" t="n"/>
      <c r="G493" s="111" t="n"/>
      <c r="H493" s="111" t="n"/>
      <c r="I493" s="45" t="n"/>
      <c r="J493" s="28" t="n"/>
      <c r="K493" s="28" t="n"/>
      <c r="L493" s="28" t="n"/>
      <c r="M493" s="59">
        <f>IF(C493="","",IFERROR(INDEX('6. Base de Custos'!$N$8:$N$42,MATCH(C493,'6. Base de Custos'!$L$8:$L$42,0)),"Não classificado"))</f>
        <v/>
      </c>
      <c r="N493" s="59">
        <f>IF(C493="","",IFERROR(INDEX('6. Base de Custos'!$O$8:$O$42,MATCH(C493,'6. Base de Custos'!$L$8:$L$42,0)),"Revisar"))</f>
        <v/>
      </c>
      <c r="O493" s="60">
        <f>IF(M493="","",IFERROR(VLOOKUP(M493,'6. Base de Custos'!$H$12:$J$18,3,FALSE),0))</f>
        <v/>
      </c>
      <c r="P493" s="59">
        <f>IF(C493="","",IFERROR(INDEX('6. Base de Custos'!$P$8:$P$42,MATCH(C493,'6. Base de Custos'!$L$8:$L$42,0)),"Revisar"))</f>
        <v/>
      </c>
      <c r="Q493" s="59">
        <f>IF(C493="","",IFERROR(INDEX('6. Base de Custos'!$Q$8:$Q$42,MATCH(C493,'6. Base de Custos'!$L$8:$L$42,0)),""))</f>
        <v/>
      </c>
      <c r="R493" s="65">
        <f>IF(C493="","",IFERROR(VLOOKUP(M493&amp;"|"&amp;N493,'17. Mapa DRE CP'!$E$5:$H$100,2,FALSE),"Revisar"))</f>
        <v/>
      </c>
      <c r="S493" s="65">
        <f>IF(C493="","",IFERROR(VLOOKUP(M493&amp;"|"&amp;N493,'17. Mapa DRE CP'!$E$5:$H$100,3,FALSE),"Revisar"))</f>
        <v/>
      </c>
      <c r="T493" s="65">
        <f>IF(C493="","",IF(R493="(-) Custos diretos dos serviços",IF(ISNUMBER(SEARCH("PCMSO",C493)),"PCMSO",IF(OR(ISNUMBER(SEARCH("SGS",C493)),ISNUMBER(SEARCH("CASTRO NAVES",C493))),"Projetos / Laudos / Avulsos","Projetos / Laudos / Avulsos")),"Rateio pela receita bruta"))</f>
        <v/>
      </c>
      <c r="U493" s="65">
        <f>IF(C493="","",IF(R493="(-) Custos diretos dos serviços","Direto por fornecedor/natureza do gasto","Rateio proporcional à receita bruta da linha de serviço"))</f>
        <v/>
      </c>
    </row>
    <row r="494">
      <c r="A494" s="28">
        <f>IF(C494="","", "CP-"&amp;TEXT(ROW()-5,"000"))</f>
        <v/>
      </c>
      <c r="B494" s="27">
        <f>IF(F494="","",DATE(YEAR(F494),MONTH(F494),1))</f>
        <v/>
      </c>
      <c r="C494" s="28" t="n"/>
      <c r="D494" s="28" t="n"/>
      <c r="E494" s="59">
        <f>IF(C494="","",IFERROR(INDEX('6. Base de Custos'!$M$8:$M$42,MATCH(C494,'6. Base de Custos'!$L$8:$L$42,0)),"Não classificado"))</f>
        <v/>
      </c>
      <c r="F494" s="111" t="n"/>
      <c r="G494" s="111" t="n"/>
      <c r="H494" s="111" t="n"/>
      <c r="I494" s="45" t="n"/>
      <c r="J494" s="28" t="n"/>
      <c r="K494" s="28" t="n"/>
      <c r="L494" s="28" t="n"/>
      <c r="M494" s="59">
        <f>IF(C494="","",IFERROR(INDEX('6. Base de Custos'!$N$8:$N$42,MATCH(C494,'6. Base de Custos'!$L$8:$L$42,0)),"Não classificado"))</f>
        <v/>
      </c>
      <c r="N494" s="59">
        <f>IF(C494="","",IFERROR(INDEX('6. Base de Custos'!$O$8:$O$42,MATCH(C494,'6. Base de Custos'!$L$8:$L$42,0)),"Revisar"))</f>
        <v/>
      </c>
      <c r="O494" s="60">
        <f>IF(M494="","",IFERROR(VLOOKUP(M494,'6. Base de Custos'!$H$12:$J$18,3,FALSE),0))</f>
        <v/>
      </c>
      <c r="P494" s="59">
        <f>IF(C494="","",IFERROR(INDEX('6. Base de Custos'!$P$8:$P$42,MATCH(C494,'6. Base de Custos'!$L$8:$L$42,0)),"Revisar"))</f>
        <v/>
      </c>
      <c r="Q494" s="59">
        <f>IF(C494="","",IFERROR(INDEX('6. Base de Custos'!$Q$8:$Q$42,MATCH(C494,'6. Base de Custos'!$L$8:$L$42,0)),""))</f>
        <v/>
      </c>
      <c r="R494" s="65">
        <f>IF(C494="","",IFERROR(VLOOKUP(M494&amp;"|"&amp;N494,'17. Mapa DRE CP'!$E$5:$H$100,2,FALSE),"Revisar"))</f>
        <v/>
      </c>
      <c r="S494" s="65">
        <f>IF(C494="","",IFERROR(VLOOKUP(M494&amp;"|"&amp;N494,'17. Mapa DRE CP'!$E$5:$H$100,3,FALSE),"Revisar"))</f>
        <v/>
      </c>
      <c r="T494" s="65">
        <f>IF(C494="","",IF(R494="(-) Custos diretos dos serviços",IF(ISNUMBER(SEARCH("PCMSO",C494)),"PCMSO",IF(OR(ISNUMBER(SEARCH("SGS",C494)),ISNUMBER(SEARCH("CASTRO NAVES",C494))),"Projetos / Laudos / Avulsos","Projetos / Laudos / Avulsos")),"Rateio pela receita bruta"))</f>
        <v/>
      </c>
      <c r="U494" s="65">
        <f>IF(C494="","",IF(R494="(-) Custos diretos dos serviços","Direto por fornecedor/natureza do gasto","Rateio proporcional à receita bruta da linha de serviço"))</f>
        <v/>
      </c>
    </row>
    <row r="495">
      <c r="A495" s="28">
        <f>IF(C495="","", "CP-"&amp;TEXT(ROW()-5,"000"))</f>
        <v/>
      </c>
      <c r="B495" s="27">
        <f>IF(F495="","",DATE(YEAR(F495),MONTH(F495),1))</f>
        <v/>
      </c>
      <c r="C495" s="28" t="n"/>
      <c r="D495" s="28" t="n"/>
      <c r="E495" s="59">
        <f>IF(C495="","",IFERROR(INDEX('6. Base de Custos'!$M$8:$M$42,MATCH(C495,'6. Base de Custos'!$L$8:$L$42,0)),"Não classificado"))</f>
        <v/>
      </c>
      <c r="F495" s="111" t="n"/>
      <c r="G495" s="111" t="n"/>
      <c r="H495" s="111" t="n"/>
      <c r="I495" s="45" t="n"/>
      <c r="J495" s="28" t="n"/>
      <c r="K495" s="28" t="n"/>
      <c r="L495" s="28" t="n"/>
      <c r="M495" s="59">
        <f>IF(C495="","",IFERROR(INDEX('6. Base de Custos'!$N$8:$N$42,MATCH(C495,'6. Base de Custos'!$L$8:$L$42,0)),"Não classificado"))</f>
        <v/>
      </c>
      <c r="N495" s="59">
        <f>IF(C495="","",IFERROR(INDEX('6. Base de Custos'!$O$8:$O$42,MATCH(C495,'6. Base de Custos'!$L$8:$L$42,0)),"Revisar"))</f>
        <v/>
      </c>
      <c r="O495" s="60">
        <f>IF(M495="","",IFERROR(VLOOKUP(M495,'6. Base de Custos'!$H$12:$J$18,3,FALSE),0))</f>
        <v/>
      </c>
      <c r="P495" s="59">
        <f>IF(C495="","",IFERROR(INDEX('6. Base de Custos'!$P$8:$P$42,MATCH(C495,'6. Base de Custos'!$L$8:$L$42,0)),"Revisar"))</f>
        <v/>
      </c>
      <c r="Q495" s="59">
        <f>IF(C495="","",IFERROR(INDEX('6. Base de Custos'!$Q$8:$Q$42,MATCH(C495,'6. Base de Custos'!$L$8:$L$42,0)),""))</f>
        <v/>
      </c>
      <c r="R495" s="65">
        <f>IF(C495="","",IFERROR(VLOOKUP(M495&amp;"|"&amp;N495,'17. Mapa DRE CP'!$E$5:$H$100,2,FALSE),"Revisar"))</f>
        <v/>
      </c>
      <c r="S495" s="65">
        <f>IF(C495="","",IFERROR(VLOOKUP(M495&amp;"|"&amp;N495,'17. Mapa DRE CP'!$E$5:$H$100,3,FALSE),"Revisar"))</f>
        <v/>
      </c>
      <c r="T495" s="65">
        <f>IF(C495="","",IF(R495="(-) Custos diretos dos serviços",IF(ISNUMBER(SEARCH("PCMSO",C495)),"PCMSO",IF(OR(ISNUMBER(SEARCH("SGS",C495)),ISNUMBER(SEARCH("CASTRO NAVES",C495))),"Projetos / Laudos / Avulsos","Projetos / Laudos / Avulsos")),"Rateio pela receita bruta"))</f>
        <v/>
      </c>
      <c r="U495" s="65">
        <f>IF(C495="","",IF(R495="(-) Custos diretos dos serviços","Direto por fornecedor/natureza do gasto","Rateio proporcional à receita bruta da linha de serviço"))</f>
        <v/>
      </c>
    </row>
    <row r="496">
      <c r="A496" s="28">
        <f>IF(C496="","", "CP-"&amp;TEXT(ROW()-5,"000"))</f>
        <v/>
      </c>
      <c r="B496" s="27">
        <f>IF(F496="","",DATE(YEAR(F496),MONTH(F496),1))</f>
        <v/>
      </c>
      <c r="C496" s="28" t="n"/>
      <c r="D496" s="28" t="n"/>
      <c r="E496" s="59">
        <f>IF(C496="","",IFERROR(INDEX('6. Base de Custos'!$M$8:$M$42,MATCH(C496,'6. Base de Custos'!$L$8:$L$42,0)),"Não classificado"))</f>
        <v/>
      </c>
      <c r="F496" s="111" t="n"/>
      <c r="G496" s="111" t="n"/>
      <c r="H496" s="111" t="n"/>
      <c r="I496" s="45" t="n"/>
      <c r="J496" s="28" t="n"/>
      <c r="K496" s="28" t="n"/>
      <c r="L496" s="28" t="n"/>
      <c r="M496" s="59">
        <f>IF(C496="","",IFERROR(INDEX('6. Base de Custos'!$N$8:$N$42,MATCH(C496,'6. Base de Custos'!$L$8:$L$42,0)),"Não classificado"))</f>
        <v/>
      </c>
      <c r="N496" s="59">
        <f>IF(C496="","",IFERROR(INDEX('6. Base de Custos'!$O$8:$O$42,MATCH(C496,'6. Base de Custos'!$L$8:$L$42,0)),"Revisar"))</f>
        <v/>
      </c>
      <c r="O496" s="60">
        <f>IF(M496="","",IFERROR(VLOOKUP(M496,'6. Base de Custos'!$H$12:$J$18,3,FALSE),0))</f>
        <v/>
      </c>
      <c r="P496" s="59">
        <f>IF(C496="","",IFERROR(INDEX('6. Base de Custos'!$P$8:$P$42,MATCH(C496,'6. Base de Custos'!$L$8:$L$42,0)),"Revisar"))</f>
        <v/>
      </c>
      <c r="Q496" s="59">
        <f>IF(C496="","",IFERROR(INDEX('6. Base de Custos'!$Q$8:$Q$42,MATCH(C496,'6. Base de Custos'!$L$8:$L$42,0)),""))</f>
        <v/>
      </c>
      <c r="R496" s="65">
        <f>IF(C496="","",IFERROR(VLOOKUP(M496&amp;"|"&amp;N496,'17. Mapa DRE CP'!$E$5:$H$100,2,FALSE),"Revisar"))</f>
        <v/>
      </c>
      <c r="S496" s="65">
        <f>IF(C496="","",IFERROR(VLOOKUP(M496&amp;"|"&amp;N496,'17. Mapa DRE CP'!$E$5:$H$100,3,FALSE),"Revisar"))</f>
        <v/>
      </c>
      <c r="T496" s="65">
        <f>IF(C496="","",IF(R496="(-) Custos diretos dos serviços",IF(ISNUMBER(SEARCH("PCMSO",C496)),"PCMSO",IF(OR(ISNUMBER(SEARCH("SGS",C496)),ISNUMBER(SEARCH("CASTRO NAVES",C496))),"Projetos / Laudos / Avulsos","Projetos / Laudos / Avulsos")),"Rateio pela receita bruta"))</f>
        <v/>
      </c>
      <c r="U496" s="65">
        <f>IF(C496="","",IF(R496="(-) Custos diretos dos serviços","Direto por fornecedor/natureza do gasto","Rateio proporcional à receita bruta da linha de serviço"))</f>
        <v/>
      </c>
    </row>
    <row r="497">
      <c r="A497" s="28">
        <f>IF(C497="","", "CP-"&amp;TEXT(ROW()-5,"000"))</f>
        <v/>
      </c>
      <c r="B497" s="27">
        <f>IF(F497="","",DATE(YEAR(F497),MONTH(F497),1))</f>
        <v/>
      </c>
      <c r="C497" s="28" t="n"/>
      <c r="D497" s="28" t="n"/>
      <c r="E497" s="59">
        <f>IF(C497="","",IFERROR(INDEX('6. Base de Custos'!$M$8:$M$42,MATCH(C497,'6. Base de Custos'!$L$8:$L$42,0)),"Não classificado"))</f>
        <v/>
      </c>
      <c r="F497" s="111" t="n"/>
      <c r="G497" s="111" t="n"/>
      <c r="H497" s="111" t="n"/>
      <c r="I497" s="45" t="n"/>
      <c r="J497" s="28" t="n"/>
      <c r="K497" s="28" t="n"/>
      <c r="L497" s="28" t="n"/>
      <c r="M497" s="59">
        <f>IF(C497="","",IFERROR(INDEX('6. Base de Custos'!$N$8:$N$42,MATCH(C497,'6. Base de Custos'!$L$8:$L$42,0)),"Não classificado"))</f>
        <v/>
      </c>
      <c r="N497" s="59">
        <f>IF(C497="","",IFERROR(INDEX('6. Base de Custos'!$O$8:$O$42,MATCH(C497,'6. Base de Custos'!$L$8:$L$42,0)),"Revisar"))</f>
        <v/>
      </c>
      <c r="O497" s="60">
        <f>IF(M497="","",IFERROR(VLOOKUP(M497,'6. Base de Custos'!$H$12:$J$18,3,FALSE),0))</f>
        <v/>
      </c>
      <c r="P497" s="59">
        <f>IF(C497="","",IFERROR(INDEX('6. Base de Custos'!$P$8:$P$42,MATCH(C497,'6. Base de Custos'!$L$8:$L$42,0)),"Revisar"))</f>
        <v/>
      </c>
      <c r="Q497" s="59">
        <f>IF(C497="","",IFERROR(INDEX('6. Base de Custos'!$Q$8:$Q$42,MATCH(C497,'6. Base de Custos'!$L$8:$L$42,0)),""))</f>
        <v/>
      </c>
      <c r="R497" s="65">
        <f>IF(C497="","",IFERROR(VLOOKUP(M497&amp;"|"&amp;N497,'17. Mapa DRE CP'!$E$5:$H$100,2,FALSE),"Revisar"))</f>
        <v/>
      </c>
      <c r="S497" s="65">
        <f>IF(C497="","",IFERROR(VLOOKUP(M497&amp;"|"&amp;N497,'17. Mapa DRE CP'!$E$5:$H$100,3,FALSE),"Revisar"))</f>
        <v/>
      </c>
      <c r="T497" s="65">
        <f>IF(C497="","",IF(R497="(-) Custos diretos dos serviços",IF(ISNUMBER(SEARCH("PCMSO",C497)),"PCMSO",IF(OR(ISNUMBER(SEARCH("SGS",C497)),ISNUMBER(SEARCH("CASTRO NAVES",C497))),"Projetos / Laudos / Avulsos","Projetos / Laudos / Avulsos")),"Rateio pela receita bruta"))</f>
        <v/>
      </c>
      <c r="U497" s="65">
        <f>IF(C497="","",IF(R497="(-) Custos diretos dos serviços","Direto por fornecedor/natureza do gasto","Rateio proporcional à receita bruta da linha de serviço"))</f>
        <v/>
      </c>
    </row>
    <row r="498">
      <c r="A498" s="28">
        <f>IF(C498="","", "CP-"&amp;TEXT(ROW()-5,"000"))</f>
        <v/>
      </c>
      <c r="B498" s="27">
        <f>IF(F498="","",DATE(YEAR(F498),MONTH(F498),1))</f>
        <v/>
      </c>
      <c r="C498" s="28" t="n"/>
      <c r="D498" s="28" t="n"/>
      <c r="E498" s="59">
        <f>IF(C498="","",IFERROR(INDEX('6. Base de Custos'!$M$8:$M$42,MATCH(C498,'6. Base de Custos'!$L$8:$L$42,0)),"Não classificado"))</f>
        <v/>
      </c>
      <c r="F498" s="111" t="n"/>
      <c r="G498" s="111" t="n"/>
      <c r="H498" s="111" t="n"/>
      <c r="I498" s="45" t="n"/>
      <c r="J498" s="28" t="n"/>
      <c r="K498" s="28" t="n"/>
      <c r="L498" s="28" t="n"/>
      <c r="M498" s="59">
        <f>IF(C498="","",IFERROR(INDEX('6. Base de Custos'!$N$8:$N$42,MATCH(C498,'6. Base de Custos'!$L$8:$L$42,0)),"Não classificado"))</f>
        <v/>
      </c>
      <c r="N498" s="59">
        <f>IF(C498="","",IFERROR(INDEX('6. Base de Custos'!$O$8:$O$42,MATCH(C498,'6. Base de Custos'!$L$8:$L$42,0)),"Revisar"))</f>
        <v/>
      </c>
      <c r="O498" s="60">
        <f>IF(M498="","",IFERROR(VLOOKUP(M498,'6. Base de Custos'!$H$12:$J$18,3,FALSE),0))</f>
        <v/>
      </c>
      <c r="P498" s="59">
        <f>IF(C498="","",IFERROR(INDEX('6. Base de Custos'!$P$8:$P$42,MATCH(C498,'6. Base de Custos'!$L$8:$L$42,0)),"Revisar"))</f>
        <v/>
      </c>
      <c r="Q498" s="59">
        <f>IF(C498="","",IFERROR(INDEX('6. Base de Custos'!$Q$8:$Q$42,MATCH(C498,'6. Base de Custos'!$L$8:$L$42,0)),""))</f>
        <v/>
      </c>
      <c r="R498" s="65">
        <f>IF(C498="","",IFERROR(VLOOKUP(M498&amp;"|"&amp;N498,'17. Mapa DRE CP'!$E$5:$H$100,2,FALSE),"Revisar"))</f>
        <v/>
      </c>
      <c r="S498" s="65">
        <f>IF(C498="","",IFERROR(VLOOKUP(M498&amp;"|"&amp;N498,'17. Mapa DRE CP'!$E$5:$H$100,3,FALSE),"Revisar"))</f>
        <v/>
      </c>
      <c r="T498" s="65">
        <f>IF(C498="","",IF(R498="(-) Custos diretos dos serviços",IF(ISNUMBER(SEARCH("PCMSO",C498)),"PCMSO",IF(OR(ISNUMBER(SEARCH("SGS",C498)),ISNUMBER(SEARCH("CASTRO NAVES",C498))),"Projetos / Laudos / Avulsos","Projetos / Laudos / Avulsos")),"Rateio pela receita bruta"))</f>
        <v/>
      </c>
      <c r="U498" s="65">
        <f>IF(C498="","",IF(R498="(-) Custos diretos dos serviços","Direto por fornecedor/natureza do gasto","Rateio proporcional à receita bruta da linha de serviço"))</f>
        <v/>
      </c>
    </row>
    <row r="499">
      <c r="A499" s="28">
        <f>IF(C499="","", "CP-"&amp;TEXT(ROW()-5,"000"))</f>
        <v/>
      </c>
      <c r="B499" s="27">
        <f>IF(F499="","",DATE(YEAR(F499),MONTH(F499),1))</f>
        <v/>
      </c>
      <c r="C499" s="28" t="n"/>
      <c r="D499" s="28" t="n"/>
      <c r="E499" s="59">
        <f>IF(C499="","",IFERROR(INDEX('6. Base de Custos'!$M$8:$M$42,MATCH(C499,'6. Base de Custos'!$L$8:$L$42,0)),"Não classificado"))</f>
        <v/>
      </c>
      <c r="F499" s="111" t="n"/>
      <c r="G499" s="111" t="n"/>
      <c r="H499" s="111" t="n"/>
      <c r="I499" s="45" t="n"/>
      <c r="J499" s="28" t="n"/>
      <c r="K499" s="28" t="n"/>
      <c r="L499" s="28" t="n"/>
      <c r="M499" s="59">
        <f>IF(C499="","",IFERROR(INDEX('6. Base de Custos'!$N$8:$N$42,MATCH(C499,'6. Base de Custos'!$L$8:$L$42,0)),"Não classificado"))</f>
        <v/>
      </c>
      <c r="N499" s="59">
        <f>IF(C499="","",IFERROR(INDEX('6. Base de Custos'!$O$8:$O$42,MATCH(C499,'6. Base de Custos'!$L$8:$L$42,0)),"Revisar"))</f>
        <v/>
      </c>
      <c r="O499" s="60">
        <f>IF(M499="","",IFERROR(VLOOKUP(M499,'6. Base de Custos'!$H$12:$J$18,3,FALSE),0))</f>
        <v/>
      </c>
      <c r="P499" s="59">
        <f>IF(C499="","",IFERROR(INDEX('6. Base de Custos'!$P$8:$P$42,MATCH(C499,'6. Base de Custos'!$L$8:$L$42,0)),"Revisar"))</f>
        <v/>
      </c>
      <c r="Q499" s="59">
        <f>IF(C499="","",IFERROR(INDEX('6. Base de Custos'!$Q$8:$Q$42,MATCH(C499,'6. Base de Custos'!$L$8:$L$42,0)),""))</f>
        <v/>
      </c>
      <c r="R499" s="65">
        <f>IF(C499="","",IFERROR(VLOOKUP(M499&amp;"|"&amp;N499,'17. Mapa DRE CP'!$E$5:$H$100,2,FALSE),"Revisar"))</f>
        <v/>
      </c>
      <c r="S499" s="65">
        <f>IF(C499="","",IFERROR(VLOOKUP(M499&amp;"|"&amp;N499,'17. Mapa DRE CP'!$E$5:$H$100,3,FALSE),"Revisar"))</f>
        <v/>
      </c>
      <c r="T499" s="65">
        <f>IF(C499="","",IF(R499="(-) Custos diretos dos serviços",IF(ISNUMBER(SEARCH("PCMSO",C499)),"PCMSO",IF(OR(ISNUMBER(SEARCH("SGS",C499)),ISNUMBER(SEARCH("CASTRO NAVES",C499))),"Projetos / Laudos / Avulsos","Projetos / Laudos / Avulsos")),"Rateio pela receita bruta"))</f>
        <v/>
      </c>
      <c r="U499" s="65">
        <f>IF(C499="","",IF(R499="(-) Custos diretos dos serviços","Direto por fornecedor/natureza do gasto","Rateio proporcional à receita bruta da linha de serviço"))</f>
        <v/>
      </c>
    </row>
    <row r="500">
      <c r="A500" s="28">
        <f>IF(C500="","", "CP-"&amp;TEXT(ROW()-5,"000"))</f>
        <v/>
      </c>
      <c r="B500" s="27">
        <f>IF(F500="","",DATE(YEAR(F500),MONTH(F500),1))</f>
        <v/>
      </c>
      <c r="C500" s="28" t="n"/>
      <c r="D500" s="28" t="n"/>
      <c r="E500" s="59">
        <f>IF(C500="","",IFERROR(INDEX('6. Base de Custos'!$M$8:$M$42,MATCH(C500,'6. Base de Custos'!$L$8:$L$42,0)),"Não classificado"))</f>
        <v/>
      </c>
      <c r="F500" s="111" t="n"/>
      <c r="G500" s="111" t="n"/>
      <c r="H500" s="111" t="n"/>
      <c r="I500" s="45" t="n"/>
      <c r="J500" s="28" t="n"/>
      <c r="K500" s="28" t="n"/>
      <c r="L500" s="28" t="n"/>
      <c r="M500" s="59">
        <f>IF(C500="","",IFERROR(INDEX('6. Base de Custos'!$N$8:$N$42,MATCH(C500,'6. Base de Custos'!$L$8:$L$42,0)),"Não classificado"))</f>
        <v/>
      </c>
      <c r="N500" s="59">
        <f>IF(C500="","",IFERROR(INDEX('6. Base de Custos'!$O$8:$O$42,MATCH(C500,'6. Base de Custos'!$L$8:$L$42,0)),"Revisar"))</f>
        <v/>
      </c>
      <c r="O500" s="60">
        <f>IF(M500="","",IFERROR(VLOOKUP(M500,'6. Base de Custos'!$H$12:$J$18,3,FALSE),0))</f>
        <v/>
      </c>
      <c r="P500" s="59">
        <f>IF(C500="","",IFERROR(INDEX('6. Base de Custos'!$P$8:$P$42,MATCH(C500,'6. Base de Custos'!$L$8:$L$42,0)),"Revisar"))</f>
        <v/>
      </c>
      <c r="Q500" s="59">
        <f>IF(C500="","",IFERROR(INDEX('6. Base de Custos'!$Q$8:$Q$42,MATCH(C500,'6. Base de Custos'!$L$8:$L$42,0)),""))</f>
        <v/>
      </c>
      <c r="R500" s="65">
        <f>IF(C500="","",IFERROR(VLOOKUP(M500&amp;"|"&amp;N500,'17. Mapa DRE CP'!$E$5:$H$100,2,FALSE),"Revisar"))</f>
        <v/>
      </c>
      <c r="S500" s="65">
        <f>IF(C500="","",IFERROR(VLOOKUP(M500&amp;"|"&amp;N500,'17. Mapa DRE CP'!$E$5:$H$100,3,FALSE),"Revisar"))</f>
        <v/>
      </c>
      <c r="T500" s="65">
        <f>IF(C500="","",IF(R500="(-) Custos diretos dos serviços",IF(ISNUMBER(SEARCH("PCMSO",C500)),"PCMSO",IF(OR(ISNUMBER(SEARCH("SGS",C500)),ISNUMBER(SEARCH("CASTRO NAVES",C500))),"Projetos / Laudos / Avulsos","Projetos / Laudos / Avulsos")),"Rateio pela receita bruta"))</f>
        <v/>
      </c>
      <c r="U500" s="65">
        <f>IF(C500="","",IF(R500="(-) Custos diretos dos serviços","Direto por fornecedor/natureza do gasto","Rateio proporcional à receita bruta da linha de serviço"))</f>
        <v/>
      </c>
    </row>
    <row r="501">
      <c r="A501" s="28">
        <f>IF(C501="","", "CP-"&amp;TEXT(ROW()-5,"000"))</f>
        <v/>
      </c>
      <c r="B501" s="27">
        <f>IF(F501="","",DATE(YEAR(F501),MONTH(F501),1))</f>
        <v/>
      </c>
      <c r="C501" s="28" t="n"/>
      <c r="D501" s="28" t="n"/>
      <c r="E501" s="59">
        <f>IF(C501="","",IFERROR(INDEX('6. Base de Custos'!$M$8:$M$42,MATCH(C501,'6. Base de Custos'!$L$8:$L$42,0)),"Não classificado"))</f>
        <v/>
      </c>
      <c r="F501" s="111" t="n"/>
      <c r="G501" s="111" t="n"/>
      <c r="H501" s="111" t="n"/>
      <c r="I501" s="45" t="n"/>
      <c r="J501" s="28" t="n"/>
      <c r="K501" s="28" t="n"/>
      <c r="L501" s="28" t="n"/>
      <c r="M501" s="59">
        <f>IF(C501="","",IFERROR(INDEX('6. Base de Custos'!$N$8:$N$42,MATCH(C501,'6. Base de Custos'!$L$8:$L$42,0)),"Não classificado"))</f>
        <v/>
      </c>
      <c r="N501" s="59">
        <f>IF(C501="","",IFERROR(INDEX('6. Base de Custos'!$O$8:$O$42,MATCH(C501,'6. Base de Custos'!$L$8:$L$42,0)),"Revisar"))</f>
        <v/>
      </c>
      <c r="O501" s="60">
        <f>IF(M501="","",IFERROR(VLOOKUP(M501,'6. Base de Custos'!$H$12:$J$18,3,FALSE),0))</f>
        <v/>
      </c>
      <c r="P501" s="59">
        <f>IF(C501="","",IFERROR(INDEX('6. Base de Custos'!$P$8:$P$42,MATCH(C501,'6. Base de Custos'!$L$8:$L$42,0)),"Revisar"))</f>
        <v/>
      </c>
      <c r="Q501" s="59">
        <f>IF(C501="","",IFERROR(INDEX('6. Base de Custos'!$Q$8:$Q$42,MATCH(C501,'6. Base de Custos'!$L$8:$L$42,0)),""))</f>
        <v/>
      </c>
      <c r="R501" s="65">
        <f>IF(C501="","",IFERROR(VLOOKUP(M501&amp;"|"&amp;N501,'17. Mapa DRE CP'!$E$5:$H$100,2,FALSE),"Revisar"))</f>
        <v/>
      </c>
      <c r="S501" s="65">
        <f>IF(C501="","",IFERROR(VLOOKUP(M501&amp;"|"&amp;N501,'17. Mapa DRE CP'!$E$5:$H$100,3,FALSE),"Revisar"))</f>
        <v/>
      </c>
      <c r="T501" s="65">
        <f>IF(C501="","",IF(R501="(-) Custos diretos dos serviços",IF(ISNUMBER(SEARCH("PCMSO",C501)),"PCMSO",IF(OR(ISNUMBER(SEARCH("SGS",C501)),ISNUMBER(SEARCH("CASTRO NAVES",C501))),"Projetos / Laudos / Avulsos","Projetos / Laudos / Avulsos")),"Rateio pela receita bruta"))</f>
        <v/>
      </c>
      <c r="U501" s="65">
        <f>IF(C501="","",IF(R501="(-) Custos diretos dos serviços","Direto por fornecedor/natureza do gasto","Rateio proporcional à receita bruta da linha de serviço"))</f>
        <v/>
      </c>
    </row>
    <row r="502">
      <c r="A502" s="28">
        <f>IF(C502="","", "CP-"&amp;TEXT(ROW()-5,"000"))</f>
        <v/>
      </c>
      <c r="B502" s="27">
        <f>IF(F502="","",DATE(YEAR(F502),MONTH(F502),1))</f>
        <v/>
      </c>
      <c r="C502" s="28" t="n"/>
      <c r="D502" s="28" t="n"/>
      <c r="E502" s="59">
        <f>IF(C502="","",IFERROR(INDEX('6. Base de Custos'!$M$8:$M$42,MATCH(C502,'6. Base de Custos'!$L$8:$L$42,0)),"Não classificado"))</f>
        <v/>
      </c>
      <c r="F502" s="111" t="n"/>
      <c r="G502" s="111" t="n"/>
      <c r="H502" s="111" t="n"/>
      <c r="I502" s="45" t="n"/>
      <c r="J502" s="28" t="n"/>
      <c r="K502" s="28" t="n"/>
      <c r="L502" s="28" t="n"/>
      <c r="M502" s="59">
        <f>IF(C502="","",IFERROR(INDEX('6. Base de Custos'!$N$8:$N$42,MATCH(C502,'6. Base de Custos'!$L$8:$L$42,0)),"Não classificado"))</f>
        <v/>
      </c>
      <c r="N502" s="59">
        <f>IF(C502="","",IFERROR(INDEX('6. Base de Custos'!$O$8:$O$42,MATCH(C502,'6. Base de Custos'!$L$8:$L$42,0)),"Revisar"))</f>
        <v/>
      </c>
      <c r="O502" s="60">
        <f>IF(M502="","",IFERROR(VLOOKUP(M502,'6. Base de Custos'!$H$12:$J$18,3,FALSE),0))</f>
        <v/>
      </c>
      <c r="P502" s="59">
        <f>IF(C502="","",IFERROR(INDEX('6. Base de Custos'!$P$8:$P$42,MATCH(C502,'6. Base de Custos'!$L$8:$L$42,0)),"Revisar"))</f>
        <v/>
      </c>
      <c r="Q502" s="59">
        <f>IF(C502="","",IFERROR(INDEX('6. Base de Custos'!$Q$8:$Q$42,MATCH(C502,'6. Base de Custos'!$L$8:$L$42,0)),""))</f>
        <v/>
      </c>
      <c r="R502" s="65">
        <f>IF(C502="","",IFERROR(VLOOKUP(M502&amp;"|"&amp;N502,'17. Mapa DRE CP'!$E$5:$H$100,2,FALSE),"Revisar"))</f>
        <v/>
      </c>
      <c r="S502" s="65">
        <f>IF(C502="","",IFERROR(VLOOKUP(M502&amp;"|"&amp;N502,'17. Mapa DRE CP'!$E$5:$H$100,3,FALSE),"Revisar"))</f>
        <v/>
      </c>
      <c r="T502" s="65">
        <f>IF(C502="","",IF(R502="(-) Custos diretos dos serviços",IF(ISNUMBER(SEARCH("PCMSO",C502)),"PCMSO",IF(OR(ISNUMBER(SEARCH("SGS",C502)),ISNUMBER(SEARCH("CASTRO NAVES",C502))),"Projetos / Laudos / Avulsos","Projetos / Laudos / Avulsos")),"Rateio pela receita bruta"))</f>
        <v/>
      </c>
      <c r="U502" s="65">
        <f>IF(C502="","",IF(R502="(-) Custos diretos dos serviços","Direto por fornecedor/natureza do gasto","Rateio proporcional à receita bruta da linha de serviço"))</f>
        <v/>
      </c>
    </row>
    <row r="503">
      <c r="A503" s="28">
        <f>IF(C503="","", "CP-"&amp;TEXT(ROW()-5,"000"))</f>
        <v/>
      </c>
      <c r="B503" s="27">
        <f>IF(F503="","",DATE(YEAR(F503),MONTH(F503),1))</f>
        <v/>
      </c>
      <c r="C503" s="28" t="n"/>
      <c r="D503" s="28" t="n"/>
      <c r="E503" s="59">
        <f>IF(C503="","",IFERROR(INDEX('6. Base de Custos'!$M$8:$M$42,MATCH(C503,'6. Base de Custos'!$L$8:$L$42,0)),"Não classificado"))</f>
        <v/>
      </c>
      <c r="F503" s="111" t="n"/>
      <c r="G503" s="111" t="n"/>
      <c r="H503" s="111" t="n"/>
      <c r="I503" s="45" t="n"/>
      <c r="J503" s="28" t="n"/>
      <c r="K503" s="28" t="n"/>
      <c r="L503" s="28" t="n"/>
      <c r="M503" s="59">
        <f>IF(C503="","",IFERROR(INDEX('6. Base de Custos'!$N$8:$N$42,MATCH(C503,'6. Base de Custos'!$L$8:$L$42,0)),"Não classificado"))</f>
        <v/>
      </c>
      <c r="N503" s="59">
        <f>IF(C503="","",IFERROR(INDEX('6. Base de Custos'!$O$8:$O$42,MATCH(C503,'6. Base de Custos'!$L$8:$L$42,0)),"Revisar"))</f>
        <v/>
      </c>
      <c r="O503" s="60">
        <f>IF(M503="","",IFERROR(VLOOKUP(M503,'6. Base de Custos'!$H$12:$J$18,3,FALSE),0))</f>
        <v/>
      </c>
      <c r="P503" s="59">
        <f>IF(C503="","",IFERROR(INDEX('6. Base de Custos'!$P$8:$P$42,MATCH(C503,'6. Base de Custos'!$L$8:$L$42,0)),"Revisar"))</f>
        <v/>
      </c>
      <c r="Q503" s="59">
        <f>IF(C503="","",IFERROR(INDEX('6. Base de Custos'!$Q$8:$Q$42,MATCH(C503,'6. Base de Custos'!$L$8:$L$42,0)),""))</f>
        <v/>
      </c>
      <c r="R503" s="65">
        <f>IF(C503="","",IFERROR(VLOOKUP(M503&amp;"|"&amp;N503,'17. Mapa DRE CP'!$E$5:$H$100,2,FALSE),"Revisar"))</f>
        <v/>
      </c>
      <c r="S503" s="65">
        <f>IF(C503="","",IFERROR(VLOOKUP(M503&amp;"|"&amp;N503,'17. Mapa DRE CP'!$E$5:$H$100,3,FALSE),"Revisar"))</f>
        <v/>
      </c>
      <c r="T503" s="65">
        <f>IF(C503="","",IF(R503="(-) Custos diretos dos serviços",IF(ISNUMBER(SEARCH("PCMSO",C503)),"PCMSO",IF(OR(ISNUMBER(SEARCH("SGS",C503)),ISNUMBER(SEARCH("CASTRO NAVES",C503))),"Projetos / Laudos / Avulsos","Projetos / Laudos / Avulsos")),"Rateio pela receita bruta"))</f>
        <v/>
      </c>
      <c r="U503" s="65">
        <f>IF(C503="","",IF(R503="(-) Custos diretos dos serviços","Direto por fornecedor/natureza do gasto","Rateio proporcional à receita bruta da linha de serviço"))</f>
        <v/>
      </c>
    </row>
    <row r="504">
      <c r="A504" s="28">
        <f>IF(C504="","", "CP-"&amp;TEXT(ROW()-5,"000"))</f>
        <v/>
      </c>
      <c r="B504" s="27">
        <f>IF(F504="","",DATE(YEAR(F504),MONTH(F504),1))</f>
        <v/>
      </c>
      <c r="C504" s="28" t="n"/>
      <c r="D504" s="28" t="n"/>
      <c r="E504" s="59">
        <f>IF(C504="","",IFERROR(INDEX('6. Base de Custos'!$M$8:$M$42,MATCH(C504,'6. Base de Custos'!$L$8:$L$42,0)),"Não classificado"))</f>
        <v/>
      </c>
      <c r="F504" s="111" t="n"/>
      <c r="G504" s="111" t="n"/>
      <c r="H504" s="111" t="n"/>
      <c r="I504" s="45" t="n"/>
      <c r="J504" s="28" t="n"/>
      <c r="K504" s="28" t="n"/>
      <c r="L504" s="28" t="n"/>
      <c r="M504" s="59">
        <f>IF(C504="","",IFERROR(INDEX('6. Base de Custos'!$N$8:$N$42,MATCH(C504,'6. Base de Custos'!$L$8:$L$42,0)),"Não classificado"))</f>
        <v/>
      </c>
      <c r="N504" s="59">
        <f>IF(C504="","",IFERROR(INDEX('6. Base de Custos'!$O$8:$O$42,MATCH(C504,'6. Base de Custos'!$L$8:$L$42,0)),"Revisar"))</f>
        <v/>
      </c>
      <c r="O504" s="60">
        <f>IF(M504="","",IFERROR(VLOOKUP(M504,'6. Base de Custos'!$H$12:$J$18,3,FALSE),0))</f>
        <v/>
      </c>
      <c r="P504" s="59">
        <f>IF(C504="","",IFERROR(INDEX('6. Base de Custos'!$P$8:$P$42,MATCH(C504,'6. Base de Custos'!$L$8:$L$42,0)),"Revisar"))</f>
        <v/>
      </c>
      <c r="Q504" s="59">
        <f>IF(C504="","",IFERROR(INDEX('6. Base de Custos'!$Q$8:$Q$42,MATCH(C504,'6. Base de Custos'!$L$8:$L$42,0)),""))</f>
        <v/>
      </c>
      <c r="R504" s="65">
        <f>IF(C504="","",IFERROR(VLOOKUP(M504&amp;"|"&amp;N504,'17. Mapa DRE CP'!$E$5:$H$100,2,FALSE),"Revisar"))</f>
        <v/>
      </c>
      <c r="S504" s="65">
        <f>IF(C504="","",IFERROR(VLOOKUP(M504&amp;"|"&amp;N504,'17. Mapa DRE CP'!$E$5:$H$100,3,FALSE),"Revisar"))</f>
        <v/>
      </c>
      <c r="T504" s="65">
        <f>IF(C504="","",IF(R504="(-) Custos diretos dos serviços",IF(ISNUMBER(SEARCH("PCMSO",C504)),"PCMSO",IF(OR(ISNUMBER(SEARCH("SGS",C504)),ISNUMBER(SEARCH("CASTRO NAVES",C504))),"Projetos / Laudos / Avulsos","Projetos / Laudos / Avulsos")),"Rateio pela receita bruta"))</f>
        <v/>
      </c>
      <c r="U504" s="65">
        <f>IF(C504="","",IF(R504="(-) Custos diretos dos serviços","Direto por fornecedor/natureza do gasto","Rateio proporcional à receita bruta da linha de serviço"))</f>
        <v/>
      </c>
    </row>
    <row r="505">
      <c r="A505" s="28">
        <f>IF(C505="","", "CP-"&amp;TEXT(ROW()-5,"000"))</f>
        <v/>
      </c>
      <c r="B505" s="27">
        <f>IF(F505="","",DATE(YEAR(F505),MONTH(F505),1))</f>
        <v/>
      </c>
      <c r="C505" s="28" t="n"/>
      <c r="D505" s="28" t="n"/>
      <c r="E505" s="59">
        <f>IF(C505="","",IFERROR(INDEX('6. Base de Custos'!$M$8:$M$42,MATCH(C505,'6. Base de Custos'!$L$8:$L$42,0)),"Não classificado"))</f>
        <v/>
      </c>
      <c r="F505" s="111" t="n"/>
      <c r="G505" s="111" t="n"/>
      <c r="H505" s="111" t="n"/>
      <c r="I505" s="45" t="n"/>
      <c r="J505" s="28" t="n"/>
      <c r="K505" s="28" t="n"/>
      <c r="L505" s="28" t="n"/>
      <c r="M505" s="59">
        <f>IF(C505="","",IFERROR(INDEX('6. Base de Custos'!$N$8:$N$42,MATCH(C505,'6. Base de Custos'!$L$8:$L$42,0)),"Não classificado"))</f>
        <v/>
      </c>
      <c r="N505" s="59">
        <f>IF(C505="","",IFERROR(INDEX('6. Base de Custos'!$O$8:$O$42,MATCH(C505,'6. Base de Custos'!$L$8:$L$42,0)),"Revisar"))</f>
        <v/>
      </c>
      <c r="O505" s="60">
        <f>IF(M505="","",IFERROR(VLOOKUP(M505,'6. Base de Custos'!$H$12:$J$18,3,FALSE),0))</f>
        <v/>
      </c>
      <c r="P505" s="59">
        <f>IF(C505="","",IFERROR(INDEX('6. Base de Custos'!$P$8:$P$42,MATCH(C505,'6. Base de Custos'!$L$8:$L$42,0)),"Revisar"))</f>
        <v/>
      </c>
      <c r="Q505" s="59">
        <f>IF(C505="","",IFERROR(INDEX('6. Base de Custos'!$Q$8:$Q$42,MATCH(C505,'6. Base de Custos'!$L$8:$L$42,0)),""))</f>
        <v/>
      </c>
      <c r="R505" s="65">
        <f>IF(C505="","",IFERROR(VLOOKUP(M505&amp;"|"&amp;N505,'17. Mapa DRE CP'!$E$5:$H$100,2,FALSE),"Revisar"))</f>
        <v/>
      </c>
      <c r="S505" s="65">
        <f>IF(C505="","",IFERROR(VLOOKUP(M505&amp;"|"&amp;N505,'17. Mapa DRE CP'!$E$5:$H$100,3,FALSE),"Revisar"))</f>
        <v/>
      </c>
      <c r="T505" s="65">
        <f>IF(C505="","",IF(R505="(-) Custos diretos dos serviços",IF(ISNUMBER(SEARCH("PCMSO",C505)),"PCMSO",IF(OR(ISNUMBER(SEARCH("SGS",C505)),ISNUMBER(SEARCH("CASTRO NAVES",C505))),"Projetos / Laudos / Avulsos","Projetos / Laudos / Avulsos")),"Rateio pela receita bruta"))</f>
        <v/>
      </c>
      <c r="U505" s="65">
        <f>IF(C505="","",IF(R505="(-) Custos diretos dos serviços","Direto por fornecedor/natureza do gasto","Rateio proporcional à receita bruta da linha de serviço"))</f>
        <v/>
      </c>
    </row>
    <row r="506">
      <c r="A506" s="28">
        <f>IF(C506="","", "CP-"&amp;TEXT(ROW()-5,"000"))</f>
        <v/>
      </c>
      <c r="B506" s="27">
        <f>IF(F506="","",DATE(YEAR(F506),MONTH(F506),1))</f>
        <v/>
      </c>
      <c r="C506" s="28" t="n"/>
      <c r="D506" s="28" t="n"/>
      <c r="E506" s="59">
        <f>IF(C506="","",IFERROR(INDEX('6. Base de Custos'!$M$8:$M$42,MATCH(C506,'6. Base de Custos'!$L$8:$L$42,0)),"Não classificado"))</f>
        <v/>
      </c>
      <c r="F506" s="111" t="n"/>
      <c r="G506" s="111" t="n"/>
      <c r="H506" s="111" t="n"/>
      <c r="I506" s="45" t="n"/>
      <c r="J506" s="28" t="n"/>
      <c r="K506" s="28" t="n"/>
      <c r="L506" s="28" t="n"/>
      <c r="M506" s="59">
        <f>IF(C506="","",IFERROR(INDEX('6. Base de Custos'!$N$8:$N$42,MATCH(C506,'6. Base de Custos'!$L$8:$L$42,0)),"Não classificado"))</f>
        <v/>
      </c>
      <c r="N506" s="59">
        <f>IF(C506="","",IFERROR(INDEX('6. Base de Custos'!$O$8:$O$42,MATCH(C506,'6. Base de Custos'!$L$8:$L$42,0)),"Revisar"))</f>
        <v/>
      </c>
      <c r="O506" s="60">
        <f>IF(M506="","",IFERROR(VLOOKUP(M506,'6. Base de Custos'!$H$12:$J$18,3,FALSE),0))</f>
        <v/>
      </c>
      <c r="P506" s="59">
        <f>IF(C506="","",IFERROR(INDEX('6. Base de Custos'!$P$8:$P$42,MATCH(C506,'6. Base de Custos'!$L$8:$L$42,0)),"Revisar"))</f>
        <v/>
      </c>
      <c r="Q506" s="59">
        <f>IF(C506="","",IFERROR(INDEX('6. Base de Custos'!$Q$8:$Q$42,MATCH(C506,'6. Base de Custos'!$L$8:$L$42,0)),""))</f>
        <v/>
      </c>
      <c r="R506" s="65">
        <f>IF(C506="","",IFERROR(VLOOKUP(M506&amp;"|"&amp;N506,'17. Mapa DRE CP'!$E$5:$H$100,2,FALSE),"Revisar"))</f>
        <v/>
      </c>
      <c r="S506" s="65">
        <f>IF(C506="","",IFERROR(VLOOKUP(M506&amp;"|"&amp;N506,'17. Mapa DRE CP'!$E$5:$H$100,3,FALSE),"Revisar"))</f>
        <v/>
      </c>
      <c r="T506" s="65">
        <f>IF(C506="","",IF(R506="(-) Custos diretos dos serviços",IF(ISNUMBER(SEARCH("PCMSO",C506)),"PCMSO",IF(OR(ISNUMBER(SEARCH("SGS",C506)),ISNUMBER(SEARCH("CASTRO NAVES",C506))),"Projetos / Laudos / Avulsos","Projetos / Laudos / Avulsos")),"Rateio pela receita bruta"))</f>
        <v/>
      </c>
      <c r="U506" s="65">
        <f>IF(C506="","",IF(R506="(-) Custos diretos dos serviços","Direto por fornecedor/natureza do gasto","Rateio proporcional à receita bruta da linha de serviço"))</f>
        <v/>
      </c>
    </row>
    <row r="507">
      <c r="A507" s="28">
        <f>IF(C507="","", "CP-"&amp;TEXT(ROW()-5,"000"))</f>
        <v/>
      </c>
      <c r="B507" s="27">
        <f>IF(F507="","",DATE(YEAR(F507),MONTH(F507),1))</f>
        <v/>
      </c>
      <c r="C507" s="28" t="n"/>
      <c r="D507" s="28" t="n"/>
      <c r="E507" s="59">
        <f>IF(C507="","",IFERROR(INDEX('6. Base de Custos'!$M$8:$M$42,MATCH(C507,'6. Base de Custos'!$L$8:$L$42,0)),"Não classificado"))</f>
        <v/>
      </c>
      <c r="F507" s="111" t="n"/>
      <c r="G507" s="111" t="n"/>
      <c r="H507" s="111" t="n"/>
      <c r="I507" s="45" t="n"/>
      <c r="J507" s="28" t="n"/>
      <c r="K507" s="28" t="n"/>
      <c r="L507" s="28" t="n"/>
      <c r="M507" s="59">
        <f>IF(C507="","",IFERROR(INDEX('6. Base de Custos'!$N$8:$N$42,MATCH(C507,'6. Base de Custos'!$L$8:$L$42,0)),"Não classificado"))</f>
        <v/>
      </c>
      <c r="N507" s="59">
        <f>IF(C507="","",IFERROR(INDEX('6. Base de Custos'!$O$8:$O$42,MATCH(C507,'6. Base de Custos'!$L$8:$L$42,0)),"Revisar"))</f>
        <v/>
      </c>
      <c r="O507" s="60">
        <f>IF(M507="","",IFERROR(VLOOKUP(M507,'6. Base de Custos'!$H$12:$J$18,3,FALSE),0))</f>
        <v/>
      </c>
      <c r="P507" s="59">
        <f>IF(C507="","",IFERROR(INDEX('6. Base de Custos'!$P$8:$P$42,MATCH(C507,'6. Base de Custos'!$L$8:$L$42,0)),"Revisar"))</f>
        <v/>
      </c>
      <c r="Q507" s="59">
        <f>IF(C507="","",IFERROR(INDEX('6. Base de Custos'!$Q$8:$Q$42,MATCH(C507,'6. Base de Custos'!$L$8:$L$42,0)),""))</f>
        <v/>
      </c>
      <c r="R507" s="65">
        <f>IF(C507="","",IFERROR(VLOOKUP(M507&amp;"|"&amp;N507,'17. Mapa DRE CP'!$E$5:$H$100,2,FALSE),"Revisar"))</f>
        <v/>
      </c>
      <c r="S507" s="65">
        <f>IF(C507="","",IFERROR(VLOOKUP(M507&amp;"|"&amp;N507,'17. Mapa DRE CP'!$E$5:$H$100,3,FALSE),"Revisar"))</f>
        <v/>
      </c>
      <c r="T507" s="65">
        <f>IF(C507="","",IF(R507="(-) Custos diretos dos serviços",IF(ISNUMBER(SEARCH("PCMSO",C507)),"PCMSO",IF(OR(ISNUMBER(SEARCH("SGS",C507)),ISNUMBER(SEARCH("CASTRO NAVES",C507))),"Projetos / Laudos / Avulsos","Projetos / Laudos / Avulsos")),"Rateio pela receita bruta"))</f>
        <v/>
      </c>
      <c r="U507" s="65">
        <f>IF(C507="","",IF(R507="(-) Custos diretos dos serviços","Direto por fornecedor/natureza do gasto","Rateio proporcional à receita bruta da linha de serviço"))</f>
        <v/>
      </c>
    </row>
    <row r="508">
      <c r="A508" s="28">
        <f>IF(C508="","", "CP-"&amp;TEXT(ROW()-5,"000"))</f>
        <v/>
      </c>
      <c r="B508" s="27">
        <f>IF(F508="","",DATE(YEAR(F508),MONTH(F508),1))</f>
        <v/>
      </c>
      <c r="C508" s="28" t="n"/>
      <c r="D508" s="28" t="n"/>
      <c r="E508" s="59">
        <f>IF(C508="","",IFERROR(INDEX('6. Base de Custos'!$M$8:$M$42,MATCH(C508,'6. Base de Custos'!$L$8:$L$42,0)),"Não classificado"))</f>
        <v/>
      </c>
      <c r="F508" s="111" t="n"/>
      <c r="G508" s="111" t="n"/>
      <c r="H508" s="111" t="n"/>
      <c r="I508" s="45" t="n"/>
      <c r="J508" s="28" t="n"/>
      <c r="K508" s="28" t="n"/>
      <c r="L508" s="28" t="n"/>
      <c r="M508" s="59">
        <f>IF(C508="","",IFERROR(INDEX('6. Base de Custos'!$N$8:$N$42,MATCH(C508,'6. Base de Custos'!$L$8:$L$42,0)),"Não classificado"))</f>
        <v/>
      </c>
      <c r="N508" s="59">
        <f>IF(C508="","",IFERROR(INDEX('6. Base de Custos'!$O$8:$O$42,MATCH(C508,'6. Base de Custos'!$L$8:$L$42,0)),"Revisar"))</f>
        <v/>
      </c>
      <c r="O508" s="60">
        <f>IF(M508="","",IFERROR(VLOOKUP(M508,'6. Base de Custos'!$H$12:$J$18,3,FALSE),0))</f>
        <v/>
      </c>
      <c r="P508" s="59">
        <f>IF(C508="","",IFERROR(INDEX('6. Base de Custos'!$P$8:$P$42,MATCH(C508,'6. Base de Custos'!$L$8:$L$42,0)),"Revisar"))</f>
        <v/>
      </c>
      <c r="Q508" s="59">
        <f>IF(C508="","",IFERROR(INDEX('6. Base de Custos'!$Q$8:$Q$42,MATCH(C508,'6. Base de Custos'!$L$8:$L$42,0)),""))</f>
        <v/>
      </c>
      <c r="R508" s="65">
        <f>IF(C508="","",IFERROR(VLOOKUP(M508&amp;"|"&amp;N508,'17. Mapa DRE CP'!$E$5:$H$100,2,FALSE),"Revisar"))</f>
        <v/>
      </c>
      <c r="S508" s="65">
        <f>IF(C508="","",IFERROR(VLOOKUP(M508&amp;"|"&amp;N508,'17. Mapa DRE CP'!$E$5:$H$100,3,FALSE),"Revisar"))</f>
        <v/>
      </c>
      <c r="T508" s="65">
        <f>IF(C508="","",IF(R508="(-) Custos diretos dos serviços",IF(ISNUMBER(SEARCH("PCMSO",C508)),"PCMSO",IF(OR(ISNUMBER(SEARCH("SGS",C508)),ISNUMBER(SEARCH("CASTRO NAVES",C508))),"Projetos / Laudos / Avulsos","Projetos / Laudos / Avulsos")),"Rateio pela receita bruta"))</f>
        <v/>
      </c>
      <c r="U508" s="65">
        <f>IF(C508="","",IF(R508="(-) Custos diretos dos serviços","Direto por fornecedor/natureza do gasto","Rateio proporcional à receita bruta da linha de serviço"))</f>
        <v/>
      </c>
    </row>
    <row r="509">
      <c r="A509" s="28">
        <f>IF(C509="","", "CP-"&amp;TEXT(ROW()-5,"000"))</f>
        <v/>
      </c>
      <c r="B509" s="27">
        <f>IF(F509="","",DATE(YEAR(F509),MONTH(F509),1))</f>
        <v/>
      </c>
      <c r="C509" s="28" t="n"/>
      <c r="D509" s="28" t="n"/>
      <c r="E509" s="59">
        <f>IF(C509="","",IFERROR(INDEX('6. Base de Custos'!$M$8:$M$42,MATCH(C509,'6. Base de Custos'!$L$8:$L$42,0)),"Não classificado"))</f>
        <v/>
      </c>
      <c r="F509" s="111" t="n"/>
      <c r="G509" s="111" t="n"/>
      <c r="H509" s="111" t="n"/>
      <c r="I509" s="45" t="n"/>
      <c r="J509" s="28" t="n"/>
      <c r="K509" s="28" t="n"/>
      <c r="L509" s="28" t="n"/>
      <c r="M509" s="59">
        <f>IF(C509="","",IFERROR(INDEX('6. Base de Custos'!$N$8:$N$42,MATCH(C509,'6. Base de Custos'!$L$8:$L$42,0)),"Não classificado"))</f>
        <v/>
      </c>
      <c r="N509" s="59">
        <f>IF(C509="","",IFERROR(INDEX('6. Base de Custos'!$O$8:$O$42,MATCH(C509,'6. Base de Custos'!$L$8:$L$42,0)),"Revisar"))</f>
        <v/>
      </c>
      <c r="O509" s="60">
        <f>IF(M509="","",IFERROR(VLOOKUP(M509,'6. Base de Custos'!$H$12:$J$18,3,FALSE),0))</f>
        <v/>
      </c>
      <c r="P509" s="59">
        <f>IF(C509="","",IFERROR(INDEX('6. Base de Custos'!$P$8:$P$42,MATCH(C509,'6. Base de Custos'!$L$8:$L$42,0)),"Revisar"))</f>
        <v/>
      </c>
      <c r="Q509" s="59">
        <f>IF(C509="","",IFERROR(INDEX('6. Base de Custos'!$Q$8:$Q$42,MATCH(C509,'6. Base de Custos'!$L$8:$L$42,0)),""))</f>
        <v/>
      </c>
      <c r="R509" s="65">
        <f>IF(C509="","",IFERROR(VLOOKUP(M509&amp;"|"&amp;N509,'17. Mapa DRE CP'!$E$5:$H$100,2,FALSE),"Revisar"))</f>
        <v/>
      </c>
      <c r="S509" s="65">
        <f>IF(C509="","",IFERROR(VLOOKUP(M509&amp;"|"&amp;N509,'17. Mapa DRE CP'!$E$5:$H$100,3,FALSE),"Revisar"))</f>
        <v/>
      </c>
      <c r="T509" s="65">
        <f>IF(C509="","",IF(R509="(-) Custos diretos dos serviços",IF(ISNUMBER(SEARCH("PCMSO",C509)),"PCMSO",IF(OR(ISNUMBER(SEARCH("SGS",C509)),ISNUMBER(SEARCH("CASTRO NAVES",C509))),"Projetos / Laudos / Avulsos","Projetos / Laudos / Avulsos")),"Rateio pela receita bruta"))</f>
        <v/>
      </c>
      <c r="U509" s="65">
        <f>IF(C509="","",IF(R509="(-) Custos diretos dos serviços","Direto por fornecedor/natureza do gasto","Rateio proporcional à receita bruta da linha de serviço"))</f>
        <v/>
      </c>
    </row>
    <row r="510">
      <c r="A510" s="28">
        <f>IF(C510="","", "CP-"&amp;TEXT(ROW()-5,"000"))</f>
        <v/>
      </c>
      <c r="B510" s="27">
        <f>IF(F510="","",DATE(YEAR(F510),MONTH(F510),1))</f>
        <v/>
      </c>
      <c r="C510" s="28" t="n"/>
      <c r="D510" s="28" t="n"/>
      <c r="E510" s="59">
        <f>IF(C510="","",IFERROR(INDEX('6. Base de Custos'!$M$8:$M$42,MATCH(C510,'6. Base de Custos'!$L$8:$L$42,0)),"Não classificado"))</f>
        <v/>
      </c>
      <c r="F510" s="111" t="n"/>
      <c r="G510" s="111" t="n"/>
      <c r="H510" s="111" t="n"/>
      <c r="I510" s="45" t="n"/>
      <c r="J510" s="28" t="n"/>
      <c r="K510" s="28" t="n"/>
      <c r="L510" s="28" t="n"/>
      <c r="M510" s="59">
        <f>IF(C510="","",IFERROR(INDEX('6. Base de Custos'!$N$8:$N$42,MATCH(C510,'6. Base de Custos'!$L$8:$L$42,0)),"Não classificado"))</f>
        <v/>
      </c>
      <c r="N510" s="59">
        <f>IF(C510="","",IFERROR(INDEX('6. Base de Custos'!$O$8:$O$42,MATCH(C510,'6. Base de Custos'!$L$8:$L$42,0)),"Revisar"))</f>
        <v/>
      </c>
      <c r="O510" s="60">
        <f>IF(M510="","",IFERROR(VLOOKUP(M510,'6. Base de Custos'!$H$12:$J$18,3,FALSE),0))</f>
        <v/>
      </c>
      <c r="P510" s="59">
        <f>IF(C510="","",IFERROR(INDEX('6. Base de Custos'!$P$8:$P$42,MATCH(C510,'6. Base de Custos'!$L$8:$L$42,0)),"Revisar"))</f>
        <v/>
      </c>
      <c r="Q510" s="59">
        <f>IF(C510="","",IFERROR(INDEX('6. Base de Custos'!$Q$8:$Q$42,MATCH(C510,'6. Base de Custos'!$L$8:$L$42,0)),""))</f>
        <v/>
      </c>
      <c r="R510" s="65">
        <f>IF(C510="","",IFERROR(VLOOKUP(M510&amp;"|"&amp;N510,'17. Mapa DRE CP'!$E$5:$H$100,2,FALSE),"Revisar"))</f>
        <v/>
      </c>
      <c r="S510" s="65">
        <f>IF(C510="","",IFERROR(VLOOKUP(M510&amp;"|"&amp;N510,'17. Mapa DRE CP'!$E$5:$H$100,3,FALSE),"Revisar"))</f>
        <v/>
      </c>
      <c r="T510" s="65">
        <f>IF(C510="","",IF(R510="(-) Custos diretos dos serviços",IF(ISNUMBER(SEARCH("PCMSO",C510)),"PCMSO",IF(OR(ISNUMBER(SEARCH("SGS",C510)),ISNUMBER(SEARCH("CASTRO NAVES",C510))),"Projetos / Laudos / Avulsos","Projetos / Laudos / Avulsos")),"Rateio pela receita bruta"))</f>
        <v/>
      </c>
      <c r="U510" s="65">
        <f>IF(C510="","",IF(R510="(-) Custos diretos dos serviços","Direto por fornecedor/natureza do gasto","Rateio proporcional à receita bruta da linha de serviço"))</f>
        <v/>
      </c>
    </row>
    <row r="511">
      <c r="A511" s="28">
        <f>IF(C511="","", "CP-"&amp;TEXT(ROW()-5,"000"))</f>
        <v/>
      </c>
      <c r="B511" s="27">
        <f>IF(F511="","",DATE(YEAR(F511),MONTH(F511),1))</f>
        <v/>
      </c>
      <c r="C511" s="28" t="n"/>
      <c r="D511" s="28" t="n"/>
      <c r="E511" s="59">
        <f>IF(C511="","",IFERROR(INDEX('6. Base de Custos'!$M$8:$M$42,MATCH(C511,'6. Base de Custos'!$L$8:$L$42,0)),"Não classificado"))</f>
        <v/>
      </c>
      <c r="F511" s="111" t="n"/>
      <c r="G511" s="111" t="n"/>
      <c r="H511" s="111" t="n"/>
      <c r="I511" s="45" t="n"/>
      <c r="J511" s="28" t="n"/>
      <c r="K511" s="28" t="n"/>
      <c r="L511" s="28" t="n"/>
      <c r="M511" s="59">
        <f>IF(C511="","",IFERROR(INDEX('6. Base de Custos'!$N$8:$N$42,MATCH(C511,'6. Base de Custos'!$L$8:$L$42,0)),"Não classificado"))</f>
        <v/>
      </c>
      <c r="N511" s="59">
        <f>IF(C511="","",IFERROR(INDEX('6. Base de Custos'!$O$8:$O$42,MATCH(C511,'6. Base de Custos'!$L$8:$L$42,0)),"Revisar"))</f>
        <v/>
      </c>
      <c r="O511" s="60">
        <f>IF(M511="","",IFERROR(VLOOKUP(M511,'6. Base de Custos'!$H$12:$J$18,3,FALSE),0))</f>
        <v/>
      </c>
      <c r="P511" s="59">
        <f>IF(C511="","",IFERROR(INDEX('6. Base de Custos'!$P$8:$P$42,MATCH(C511,'6. Base de Custos'!$L$8:$L$42,0)),"Revisar"))</f>
        <v/>
      </c>
      <c r="Q511" s="59">
        <f>IF(C511="","",IFERROR(INDEX('6. Base de Custos'!$Q$8:$Q$42,MATCH(C511,'6. Base de Custos'!$L$8:$L$42,0)),""))</f>
        <v/>
      </c>
      <c r="R511" s="65">
        <f>IF(C511="","",IFERROR(VLOOKUP(M511&amp;"|"&amp;N511,'17. Mapa DRE CP'!$E$5:$H$100,2,FALSE),"Revisar"))</f>
        <v/>
      </c>
      <c r="S511" s="65">
        <f>IF(C511="","",IFERROR(VLOOKUP(M511&amp;"|"&amp;N511,'17. Mapa DRE CP'!$E$5:$H$100,3,FALSE),"Revisar"))</f>
        <v/>
      </c>
      <c r="T511" s="65">
        <f>IF(C511="","",IF(R511="(-) Custos diretos dos serviços",IF(ISNUMBER(SEARCH("PCMSO",C511)),"PCMSO",IF(OR(ISNUMBER(SEARCH("SGS",C511)),ISNUMBER(SEARCH("CASTRO NAVES",C511))),"Projetos / Laudos / Avulsos","Projetos / Laudos / Avulsos")),"Rateio pela receita bruta"))</f>
        <v/>
      </c>
      <c r="U511" s="65">
        <f>IF(C511="","",IF(R511="(-) Custos diretos dos serviços","Direto por fornecedor/natureza do gasto","Rateio proporcional à receita bruta da linha de serviço"))</f>
        <v/>
      </c>
    </row>
    <row r="512">
      <c r="A512" s="28">
        <f>IF(C512="","", "CP-"&amp;TEXT(ROW()-5,"000"))</f>
        <v/>
      </c>
      <c r="B512" s="27">
        <f>IF(F512="","",DATE(YEAR(F512),MONTH(F512),1))</f>
        <v/>
      </c>
      <c r="C512" s="28" t="n"/>
      <c r="D512" s="28" t="n"/>
      <c r="E512" s="59">
        <f>IF(C512="","",IFERROR(INDEX('6. Base de Custos'!$M$8:$M$42,MATCH(C512,'6. Base de Custos'!$L$8:$L$42,0)),"Não classificado"))</f>
        <v/>
      </c>
      <c r="F512" s="111" t="n"/>
      <c r="G512" s="111" t="n"/>
      <c r="H512" s="111" t="n"/>
      <c r="I512" s="45" t="n"/>
      <c r="J512" s="28" t="n"/>
      <c r="K512" s="28" t="n"/>
      <c r="L512" s="28" t="n"/>
      <c r="M512" s="59">
        <f>IF(C512="","",IFERROR(INDEX('6. Base de Custos'!$N$8:$N$42,MATCH(C512,'6. Base de Custos'!$L$8:$L$42,0)),"Não classificado"))</f>
        <v/>
      </c>
      <c r="N512" s="59">
        <f>IF(C512="","",IFERROR(INDEX('6. Base de Custos'!$O$8:$O$42,MATCH(C512,'6. Base de Custos'!$L$8:$L$42,0)),"Revisar"))</f>
        <v/>
      </c>
      <c r="O512" s="60">
        <f>IF(M512="","",IFERROR(VLOOKUP(M512,'6. Base de Custos'!$H$12:$J$18,3,FALSE),0))</f>
        <v/>
      </c>
      <c r="P512" s="59">
        <f>IF(C512="","",IFERROR(INDEX('6. Base de Custos'!$P$8:$P$42,MATCH(C512,'6. Base de Custos'!$L$8:$L$42,0)),"Revisar"))</f>
        <v/>
      </c>
      <c r="Q512" s="59">
        <f>IF(C512="","",IFERROR(INDEX('6. Base de Custos'!$Q$8:$Q$42,MATCH(C512,'6. Base de Custos'!$L$8:$L$42,0)),""))</f>
        <v/>
      </c>
      <c r="R512" s="65">
        <f>IF(C512="","",IFERROR(VLOOKUP(M512&amp;"|"&amp;N512,'17. Mapa DRE CP'!$E$5:$H$100,2,FALSE),"Revisar"))</f>
        <v/>
      </c>
      <c r="S512" s="65">
        <f>IF(C512="","",IFERROR(VLOOKUP(M512&amp;"|"&amp;N512,'17. Mapa DRE CP'!$E$5:$H$100,3,FALSE),"Revisar"))</f>
        <v/>
      </c>
      <c r="T512" s="65">
        <f>IF(C512="","",IF(R512="(-) Custos diretos dos serviços",IF(ISNUMBER(SEARCH("PCMSO",C512)),"PCMSO",IF(OR(ISNUMBER(SEARCH("SGS",C512)),ISNUMBER(SEARCH("CASTRO NAVES",C512))),"Projetos / Laudos / Avulsos","Projetos / Laudos / Avulsos")),"Rateio pela receita bruta"))</f>
        <v/>
      </c>
      <c r="U512" s="65">
        <f>IF(C512="","",IF(R512="(-) Custos diretos dos serviços","Direto por fornecedor/natureza do gasto","Rateio proporcional à receita bruta da linha de serviço"))</f>
        <v/>
      </c>
    </row>
    <row r="513">
      <c r="A513" s="28">
        <f>IF(C513="","", "CP-"&amp;TEXT(ROW()-5,"000"))</f>
        <v/>
      </c>
      <c r="B513" s="27">
        <f>IF(F513="","",DATE(YEAR(F513),MONTH(F513),1))</f>
        <v/>
      </c>
      <c r="C513" s="28" t="n"/>
      <c r="D513" s="28" t="n"/>
      <c r="E513" s="59">
        <f>IF(C513="","",IFERROR(INDEX('6. Base de Custos'!$M$8:$M$42,MATCH(C513,'6. Base de Custos'!$L$8:$L$42,0)),"Não classificado"))</f>
        <v/>
      </c>
      <c r="F513" s="111" t="n"/>
      <c r="G513" s="111" t="n"/>
      <c r="H513" s="111" t="n"/>
      <c r="I513" s="45" t="n"/>
      <c r="J513" s="28" t="n"/>
      <c r="K513" s="28" t="n"/>
      <c r="L513" s="28" t="n"/>
      <c r="M513" s="59">
        <f>IF(C513="","",IFERROR(INDEX('6. Base de Custos'!$N$8:$N$42,MATCH(C513,'6. Base de Custos'!$L$8:$L$42,0)),"Não classificado"))</f>
        <v/>
      </c>
      <c r="N513" s="59">
        <f>IF(C513="","",IFERROR(INDEX('6. Base de Custos'!$O$8:$O$42,MATCH(C513,'6. Base de Custos'!$L$8:$L$42,0)),"Revisar"))</f>
        <v/>
      </c>
      <c r="O513" s="60">
        <f>IF(M513="","",IFERROR(VLOOKUP(M513,'6. Base de Custos'!$H$12:$J$18,3,FALSE),0))</f>
        <v/>
      </c>
      <c r="P513" s="59">
        <f>IF(C513="","",IFERROR(INDEX('6. Base de Custos'!$P$8:$P$42,MATCH(C513,'6. Base de Custos'!$L$8:$L$42,0)),"Revisar"))</f>
        <v/>
      </c>
      <c r="Q513" s="59">
        <f>IF(C513="","",IFERROR(INDEX('6. Base de Custos'!$Q$8:$Q$42,MATCH(C513,'6. Base de Custos'!$L$8:$L$42,0)),""))</f>
        <v/>
      </c>
      <c r="R513" s="65">
        <f>IF(C513="","",IFERROR(VLOOKUP(M513&amp;"|"&amp;N513,'17. Mapa DRE CP'!$E$5:$H$100,2,FALSE),"Revisar"))</f>
        <v/>
      </c>
      <c r="S513" s="65">
        <f>IF(C513="","",IFERROR(VLOOKUP(M513&amp;"|"&amp;N513,'17. Mapa DRE CP'!$E$5:$H$100,3,FALSE),"Revisar"))</f>
        <v/>
      </c>
      <c r="T513" s="65">
        <f>IF(C513="","",IF(R513="(-) Custos diretos dos serviços",IF(ISNUMBER(SEARCH("PCMSO",C513)),"PCMSO",IF(OR(ISNUMBER(SEARCH("SGS",C513)),ISNUMBER(SEARCH("CASTRO NAVES",C513))),"Projetos / Laudos / Avulsos","Projetos / Laudos / Avulsos")),"Rateio pela receita bruta"))</f>
        <v/>
      </c>
      <c r="U513" s="65">
        <f>IF(C513="","",IF(R513="(-) Custos diretos dos serviços","Direto por fornecedor/natureza do gasto","Rateio proporcional à receita bruta da linha de serviço"))</f>
        <v/>
      </c>
    </row>
    <row r="514">
      <c r="A514" s="28">
        <f>IF(C514="","", "CP-"&amp;TEXT(ROW()-5,"000"))</f>
        <v/>
      </c>
      <c r="B514" s="27">
        <f>IF(F514="","",DATE(YEAR(F514),MONTH(F514),1))</f>
        <v/>
      </c>
      <c r="C514" s="28" t="n"/>
      <c r="D514" s="28" t="n"/>
      <c r="E514" s="59">
        <f>IF(C514="","",IFERROR(INDEX('6. Base de Custos'!$M$8:$M$42,MATCH(C514,'6. Base de Custos'!$L$8:$L$42,0)),"Não classificado"))</f>
        <v/>
      </c>
      <c r="F514" s="111" t="n"/>
      <c r="G514" s="111" t="n"/>
      <c r="H514" s="111" t="n"/>
      <c r="I514" s="45" t="n"/>
      <c r="J514" s="28" t="n"/>
      <c r="K514" s="28" t="n"/>
      <c r="L514" s="28" t="n"/>
      <c r="M514" s="59">
        <f>IF(C514="","",IFERROR(INDEX('6. Base de Custos'!$N$8:$N$42,MATCH(C514,'6. Base de Custos'!$L$8:$L$42,0)),"Não classificado"))</f>
        <v/>
      </c>
      <c r="N514" s="59">
        <f>IF(C514="","",IFERROR(INDEX('6. Base de Custos'!$O$8:$O$42,MATCH(C514,'6. Base de Custos'!$L$8:$L$42,0)),"Revisar"))</f>
        <v/>
      </c>
      <c r="O514" s="60">
        <f>IF(M514="","",IFERROR(VLOOKUP(M514,'6. Base de Custos'!$H$12:$J$18,3,FALSE),0))</f>
        <v/>
      </c>
      <c r="P514" s="59">
        <f>IF(C514="","",IFERROR(INDEX('6. Base de Custos'!$P$8:$P$42,MATCH(C514,'6. Base de Custos'!$L$8:$L$42,0)),"Revisar"))</f>
        <v/>
      </c>
      <c r="Q514" s="59">
        <f>IF(C514="","",IFERROR(INDEX('6. Base de Custos'!$Q$8:$Q$42,MATCH(C514,'6. Base de Custos'!$L$8:$L$42,0)),""))</f>
        <v/>
      </c>
      <c r="R514" s="65">
        <f>IF(C514="","",IFERROR(VLOOKUP(M514&amp;"|"&amp;N514,'17. Mapa DRE CP'!$E$5:$H$100,2,FALSE),"Revisar"))</f>
        <v/>
      </c>
      <c r="S514" s="65">
        <f>IF(C514="","",IFERROR(VLOOKUP(M514&amp;"|"&amp;N514,'17. Mapa DRE CP'!$E$5:$H$100,3,FALSE),"Revisar"))</f>
        <v/>
      </c>
      <c r="T514" s="65">
        <f>IF(C514="","",IF(R514="(-) Custos diretos dos serviços",IF(ISNUMBER(SEARCH("PCMSO",C514)),"PCMSO",IF(OR(ISNUMBER(SEARCH("SGS",C514)),ISNUMBER(SEARCH("CASTRO NAVES",C514))),"Projetos / Laudos / Avulsos","Projetos / Laudos / Avulsos")),"Rateio pela receita bruta"))</f>
        <v/>
      </c>
      <c r="U514" s="65">
        <f>IF(C514="","",IF(R514="(-) Custos diretos dos serviços","Direto por fornecedor/natureza do gasto","Rateio proporcional à receita bruta da linha de serviço"))</f>
        <v/>
      </c>
    </row>
    <row r="515">
      <c r="A515" s="28">
        <f>IF(C515="","", "CP-"&amp;TEXT(ROW()-5,"000"))</f>
        <v/>
      </c>
      <c r="B515" s="27">
        <f>IF(F515="","",DATE(YEAR(F515),MONTH(F515),1))</f>
        <v/>
      </c>
      <c r="C515" s="28" t="n"/>
      <c r="D515" s="28" t="n"/>
      <c r="E515" s="59">
        <f>IF(C515="","",IFERROR(INDEX('6. Base de Custos'!$M$8:$M$42,MATCH(C515,'6. Base de Custos'!$L$8:$L$42,0)),"Não classificado"))</f>
        <v/>
      </c>
      <c r="F515" s="111" t="n"/>
      <c r="G515" s="111" t="n"/>
      <c r="H515" s="111" t="n"/>
      <c r="I515" s="45" t="n"/>
      <c r="J515" s="28" t="n"/>
      <c r="K515" s="28" t="n"/>
      <c r="L515" s="28" t="n"/>
      <c r="M515" s="59">
        <f>IF(C515="","",IFERROR(INDEX('6. Base de Custos'!$N$8:$N$42,MATCH(C515,'6. Base de Custos'!$L$8:$L$42,0)),"Não classificado"))</f>
        <v/>
      </c>
      <c r="N515" s="59">
        <f>IF(C515="","",IFERROR(INDEX('6. Base de Custos'!$O$8:$O$42,MATCH(C515,'6. Base de Custos'!$L$8:$L$42,0)),"Revisar"))</f>
        <v/>
      </c>
      <c r="O515" s="60">
        <f>IF(M515="","",IFERROR(VLOOKUP(M515,'6. Base de Custos'!$H$12:$J$18,3,FALSE),0))</f>
        <v/>
      </c>
      <c r="P515" s="59">
        <f>IF(C515="","",IFERROR(INDEX('6. Base de Custos'!$P$8:$P$42,MATCH(C515,'6. Base de Custos'!$L$8:$L$42,0)),"Revisar"))</f>
        <v/>
      </c>
      <c r="Q515" s="59">
        <f>IF(C515="","",IFERROR(INDEX('6. Base de Custos'!$Q$8:$Q$42,MATCH(C515,'6. Base de Custos'!$L$8:$L$42,0)),""))</f>
        <v/>
      </c>
      <c r="R515" s="65">
        <f>IF(C515="","",IFERROR(VLOOKUP(M515&amp;"|"&amp;N515,'17. Mapa DRE CP'!$E$5:$H$100,2,FALSE),"Revisar"))</f>
        <v/>
      </c>
      <c r="S515" s="65">
        <f>IF(C515="","",IFERROR(VLOOKUP(M515&amp;"|"&amp;N515,'17. Mapa DRE CP'!$E$5:$H$100,3,FALSE),"Revisar"))</f>
        <v/>
      </c>
      <c r="T515" s="65">
        <f>IF(C515="","",IF(R515="(-) Custos diretos dos serviços",IF(ISNUMBER(SEARCH("PCMSO",C515)),"PCMSO",IF(OR(ISNUMBER(SEARCH("SGS",C515)),ISNUMBER(SEARCH("CASTRO NAVES",C515))),"Projetos / Laudos / Avulsos","Projetos / Laudos / Avulsos")),"Rateio pela receita bruta"))</f>
        <v/>
      </c>
      <c r="U515" s="65">
        <f>IF(C515="","",IF(R515="(-) Custos diretos dos serviços","Direto por fornecedor/natureza do gasto","Rateio proporcional à receita bruta da linha de serviço"))</f>
        <v/>
      </c>
    </row>
    <row r="516">
      <c r="A516" s="28">
        <f>IF(C516="","", "CP-"&amp;TEXT(ROW()-5,"000"))</f>
        <v/>
      </c>
      <c r="B516" s="27">
        <f>IF(F516="","",DATE(YEAR(F516),MONTH(F516),1))</f>
        <v/>
      </c>
      <c r="C516" s="28" t="n"/>
      <c r="D516" s="28" t="n"/>
      <c r="E516" s="59">
        <f>IF(C516="","",IFERROR(INDEX('6. Base de Custos'!$M$8:$M$42,MATCH(C516,'6. Base de Custos'!$L$8:$L$42,0)),"Não classificado"))</f>
        <v/>
      </c>
      <c r="F516" s="111" t="n"/>
      <c r="G516" s="111" t="n"/>
      <c r="H516" s="111" t="n"/>
      <c r="I516" s="45" t="n"/>
      <c r="J516" s="28" t="n"/>
      <c r="K516" s="28" t="n"/>
      <c r="L516" s="28" t="n"/>
      <c r="M516" s="59">
        <f>IF(C516="","",IFERROR(INDEX('6. Base de Custos'!$N$8:$N$42,MATCH(C516,'6. Base de Custos'!$L$8:$L$42,0)),"Não classificado"))</f>
        <v/>
      </c>
      <c r="N516" s="59">
        <f>IF(C516="","",IFERROR(INDEX('6. Base de Custos'!$O$8:$O$42,MATCH(C516,'6. Base de Custos'!$L$8:$L$42,0)),"Revisar"))</f>
        <v/>
      </c>
      <c r="O516" s="60">
        <f>IF(M516="","",IFERROR(VLOOKUP(M516,'6. Base de Custos'!$H$12:$J$18,3,FALSE),0))</f>
        <v/>
      </c>
      <c r="P516" s="59">
        <f>IF(C516="","",IFERROR(INDEX('6. Base de Custos'!$P$8:$P$42,MATCH(C516,'6. Base de Custos'!$L$8:$L$42,0)),"Revisar"))</f>
        <v/>
      </c>
      <c r="Q516" s="59">
        <f>IF(C516="","",IFERROR(INDEX('6. Base de Custos'!$Q$8:$Q$42,MATCH(C516,'6. Base de Custos'!$L$8:$L$42,0)),""))</f>
        <v/>
      </c>
      <c r="R516" s="65">
        <f>IF(C516="","",IFERROR(VLOOKUP(M516&amp;"|"&amp;N516,'17. Mapa DRE CP'!$E$5:$H$100,2,FALSE),"Revisar"))</f>
        <v/>
      </c>
      <c r="S516" s="65">
        <f>IF(C516="","",IFERROR(VLOOKUP(M516&amp;"|"&amp;N516,'17. Mapa DRE CP'!$E$5:$H$100,3,FALSE),"Revisar"))</f>
        <v/>
      </c>
      <c r="T516" s="65">
        <f>IF(C516="","",IF(R516="(-) Custos diretos dos serviços",IF(ISNUMBER(SEARCH("PCMSO",C516)),"PCMSO",IF(OR(ISNUMBER(SEARCH("SGS",C516)),ISNUMBER(SEARCH("CASTRO NAVES",C516))),"Projetos / Laudos / Avulsos","Projetos / Laudos / Avulsos")),"Rateio pela receita bruta"))</f>
        <v/>
      </c>
      <c r="U516" s="65">
        <f>IF(C516="","",IF(R516="(-) Custos diretos dos serviços","Direto por fornecedor/natureza do gasto","Rateio proporcional à receita bruta da linha de serviço"))</f>
        <v/>
      </c>
    </row>
    <row r="517">
      <c r="A517" s="28">
        <f>IF(C517="","", "CP-"&amp;TEXT(ROW()-5,"000"))</f>
        <v/>
      </c>
      <c r="B517" s="27">
        <f>IF(F517="","",DATE(YEAR(F517),MONTH(F517),1))</f>
        <v/>
      </c>
      <c r="C517" s="28" t="n"/>
      <c r="D517" s="28" t="n"/>
      <c r="E517" s="59">
        <f>IF(C517="","",IFERROR(INDEX('6. Base de Custos'!$M$8:$M$42,MATCH(C517,'6. Base de Custos'!$L$8:$L$42,0)),"Não classificado"))</f>
        <v/>
      </c>
      <c r="F517" s="111" t="n"/>
      <c r="G517" s="111" t="n"/>
      <c r="H517" s="111" t="n"/>
      <c r="I517" s="45" t="n"/>
      <c r="J517" s="28" t="n"/>
      <c r="K517" s="28" t="n"/>
      <c r="L517" s="28" t="n"/>
      <c r="M517" s="59">
        <f>IF(C517="","",IFERROR(INDEX('6. Base de Custos'!$N$8:$N$42,MATCH(C517,'6. Base de Custos'!$L$8:$L$42,0)),"Não classificado"))</f>
        <v/>
      </c>
      <c r="N517" s="59">
        <f>IF(C517="","",IFERROR(INDEX('6. Base de Custos'!$O$8:$O$42,MATCH(C517,'6. Base de Custos'!$L$8:$L$42,0)),"Revisar"))</f>
        <v/>
      </c>
      <c r="O517" s="60">
        <f>IF(M517="","",IFERROR(VLOOKUP(M517,'6. Base de Custos'!$H$12:$J$18,3,FALSE),0))</f>
        <v/>
      </c>
      <c r="P517" s="59">
        <f>IF(C517="","",IFERROR(INDEX('6. Base de Custos'!$P$8:$P$42,MATCH(C517,'6. Base de Custos'!$L$8:$L$42,0)),"Revisar"))</f>
        <v/>
      </c>
      <c r="Q517" s="59">
        <f>IF(C517="","",IFERROR(INDEX('6. Base de Custos'!$Q$8:$Q$42,MATCH(C517,'6. Base de Custos'!$L$8:$L$42,0)),""))</f>
        <v/>
      </c>
      <c r="R517" s="65">
        <f>IF(C517="","",IFERROR(VLOOKUP(M517&amp;"|"&amp;N517,'17. Mapa DRE CP'!$E$5:$H$100,2,FALSE),"Revisar"))</f>
        <v/>
      </c>
      <c r="S517" s="65">
        <f>IF(C517="","",IFERROR(VLOOKUP(M517&amp;"|"&amp;N517,'17. Mapa DRE CP'!$E$5:$H$100,3,FALSE),"Revisar"))</f>
        <v/>
      </c>
      <c r="T517" s="65">
        <f>IF(C517="","",IF(R517="(-) Custos diretos dos serviços",IF(ISNUMBER(SEARCH("PCMSO",C517)),"PCMSO",IF(OR(ISNUMBER(SEARCH("SGS",C517)),ISNUMBER(SEARCH("CASTRO NAVES",C517))),"Projetos / Laudos / Avulsos","Projetos / Laudos / Avulsos")),"Rateio pela receita bruta"))</f>
        <v/>
      </c>
      <c r="U517" s="65">
        <f>IF(C517="","",IF(R517="(-) Custos diretos dos serviços","Direto por fornecedor/natureza do gasto","Rateio proporcional à receita bruta da linha de serviço"))</f>
        <v/>
      </c>
    </row>
    <row r="518">
      <c r="A518" s="28">
        <f>IF(C518="","", "CP-"&amp;TEXT(ROW()-5,"000"))</f>
        <v/>
      </c>
      <c r="B518" s="27">
        <f>IF(F518="","",DATE(YEAR(F518),MONTH(F518),1))</f>
        <v/>
      </c>
      <c r="C518" s="28" t="n"/>
      <c r="D518" s="28" t="n"/>
      <c r="E518" s="59">
        <f>IF(C518="","",IFERROR(INDEX('6. Base de Custos'!$M$8:$M$42,MATCH(C518,'6. Base de Custos'!$L$8:$L$42,0)),"Não classificado"))</f>
        <v/>
      </c>
      <c r="F518" s="111" t="n"/>
      <c r="G518" s="111" t="n"/>
      <c r="H518" s="111" t="n"/>
      <c r="I518" s="45" t="n"/>
      <c r="J518" s="28" t="n"/>
      <c r="K518" s="28" t="n"/>
      <c r="L518" s="28" t="n"/>
      <c r="M518" s="59">
        <f>IF(C518="","",IFERROR(INDEX('6. Base de Custos'!$N$8:$N$42,MATCH(C518,'6. Base de Custos'!$L$8:$L$42,0)),"Não classificado"))</f>
        <v/>
      </c>
      <c r="N518" s="59">
        <f>IF(C518="","",IFERROR(INDEX('6. Base de Custos'!$O$8:$O$42,MATCH(C518,'6. Base de Custos'!$L$8:$L$42,0)),"Revisar"))</f>
        <v/>
      </c>
      <c r="O518" s="60">
        <f>IF(M518="","",IFERROR(VLOOKUP(M518,'6. Base de Custos'!$H$12:$J$18,3,FALSE),0))</f>
        <v/>
      </c>
      <c r="P518" s="59">
        <f>IF(C518="","",IFERROR(INDEX('6. Base de Custos'!$P$8:$P$42,MATCH(C518,'6. Base de Custos'!$L$8:$L$42,0)),"Revisar"))</f>
        <v/>
      </c>
      <c r="Q518" s="59">
        <f>IF(C518="","",IFERROR(INDEX('6. Base de Custos'!$Q$8:$Q$42,MATCH(C518,'6. Base de Custos'!$L$8:$L$42,0)),""))</f>
        <v/>
      </c>
      <c r="R518" s="65">
        <f>IF(C518="","",IFERROR(VLOOKUP(M518&amp;"|"&amp;N518,'17. Mapa DRE CP'!$E$5:$H$100,2,FALSE),"Revisar"))</f>
        <v/>
      </c>
      <c r="S518" s="65">
        <f>IF(C518="","",IFERROR(VLOOKUP(M518&amp;"|"&amp;N518,'17. Mapa DRE CP'!$E$5:$H$100,3,FALSE),"Revisar"))</f>
        <v/>
      </c>
      <c r="T518" s="65">
        <f>IF(C518="","",IF(R518="(-) Custos diretos dos serviços",IF(ISNUMBER(SEARCH("PCMSO",C518)),"PCMSO",IF(OR(ISNUMBER(SEARCH("SGS",C518)),ISNUMBER(SEARCH("CASTRO NAVES",C518))),"Projetos / Laudos / Avulsos","Projetos / Laudos / Avulsos")),"Rateio pela receita bruta"))</f>
        <v/>
      </c>
      <c r="U518" s="65">
        <f>IF(C518="","",IF(R518="(-) Custos diretos dos serviços","Direto por fornecedor/natureza do gasto","Rateio proporcional à receita bruta da linha de serviço"))</f>
        <v/>
      </c>
    </row>
    <row r="519">
      <c r="A519" s="28">
        <f>IF(C519="","", "CP-"&amp;TEXT(ROW()-5,"000"))</f>
        <v/>
      </c>
      <c r="B519" s="27">
        <f>IF(F519="","",DATE(YEAR(F519),MONTH(F519),1))</f>
        <v/>
      </c>
      <c r="C519" s="28" t="n"/>
      <c r="D519" s="28" t="n"/>
      <c r="E519" s="59">
        <f>IF(C519="","",IFERROR(INDEX('6. Base de Custos'!$M$8:$M$42,MATCH(C519,'6. Base de Custos'!$L$8:$L$42,0)),"Não classificado"))</f>
        <v/>
      </c>
      <c r="F519" s="111" t="n"/>
      <c r="G519" s="111" t="n"/>
      <c r="H519" s="111" t="n"/>
      <c r="I519" s="45" t="n"/>
      <c r="J519" s="28" t="n"/>
      <c r="K519" s="28" t="n"/>
      <c r="L519" s="28" t="n"/>
      <c r="M519" s="59">
        <f>IF(C519="","",IFERROR(INDEX('6. Base de Custos'!$N$8:$N$42,MATCH(C519,'6. Base de Custos'!$L$8:$L$42,0)),"Não classificado"))</f>
        <v/>
      </c>
      <c r="N519" s="59">
        <f>IF(C519="","",IFERROR(INDEX('6. Base de Custos'!$O$8:$O$42,MATCH(C519,'6. Base de Custos'!$L$8:$L$42,0)),"Revisar"))</f>
        <v/>
      </c>
      <c r="O519" s="60">
        <f>IF(M519="","",IFERROR(VLOOKUP(M519,'6. Base de Custos'!$H$12:$J$18,3,FALSE),0))</f>
        <v/>
      </c>
      <c r="P519" s="59">
        <f>IF(C519="","",IFERROR(INDEX('6. Base de Custos'!$P$8:$P$42,MATCH(C519,'6. Base de Custos'!$L$8:$L$42,0)),"Revisar"))</f>
        <v/>
      </c>
      <c r="Q519" s="59">
        <f>IF(C519="","",IFERROR(INDEX('6. Base de Custos'!$Q$8:$Q$42,MATCH(C519,'6. Base de Custos'!$L$8:$L$42,0)),""))</f>
        <v/>
      </c>
      <c r="R519" s="65">
        <f>IF(C519="","",IFERROR(VLOOKUP(M519&amp;"|"&amp;N519,'17. Mapa DRE CP'!$E$5:$H$100,2,FALSE),"Revisar"))</f>
        <v/>
      </c>
      <c r="S519" s="65">
        <f>IF(C519="","",IFERROR(VLOOKUP(M519&amp;"|"&amp;N519,'17. Mapa DRE CP'!$E$5:$H$100,3,FALSE),"Revisar"))</f>
        <v/>
      </c>
      <c r="T519" s="65">
        <f>IF(C519="","",IF(R519="(-) Custos diretos dos serviços",IF(ISNUMBER(SEARCH("PCMSO",C519)),"PCMSO",IF(OR(ISNUMBER(SEARCH("SGS",C519)),ISNUMBER(SEARCH("CASTRO NAVES",C519))),"Projetos / Laudos / Avulsos","Projetos / Laudos / Avulsos")),"Rateio pela receita bruta"))</f>
        <v/>
      </c>
      <c r="U519" s="65">
        <f>IF(C519="","",IF(R519="(-) Custos diretos dos serviços","Direto por fornecedor/natureza do gasto","Rateio proporcional à receita bruta da linha de serviço"))</f>
        <v/>
      </c>
    </row>
    <row r="520">
      <c r="A520" s="28">
        <f>IF(C520="","", "CP-"&amp;TEXT(ROW()-5,"000"))</f>
        <v/>
      </c>
      <c r="B520" s="27">
        <f>IF(F520="","",DATE(YEAR(F520),MONTH(F520),1))</f>
        <v/>
      </c>
      <c r="C520" s="28" t="n"/>
      <c r="D520" s="28" t="n"/>
      <c r="E520" s="59">
        <f>IF(C520="","",IFERROR(INDEX('6. Base de Custos'!$M$8:$M$42,MATCH(C520,'6. Base de Custos'!$L$8:$L$42,0)),"Não classificado"))</f>
        <v/>
      </c>
      <c r="F520" s="111" t="n"/>
      <c r="G520" s="111" t="n"/>
      <c r="H520" s="111" t="n"/>
      <c r="I520" s="45" t="n"/>
      <c r="J520" s="28" t="n"/>
      <c r="K520" s="28" t="n"/>
      <c r="L520" s="28" t="n"/>
      <c r="M520" s="59">
        <f>IF(C520="","",IFERROR(INDEX('6. Base de Custos'!$N$8:$N$42,MATCH(C520,'6. Base de Custos'!$L$8:$L$42,0)),"Não classificado"))</f>
        <v/>
      </c>
      <c r="N520" s="59">
        <f>IF(C520="","",IFERROR(INDEX('6. Base de Custos'!$O$8:$O$42,MATCH(C520,'6. Base de Custos'!$L$8:$L$42,0)),"Revisar"))</f>
        <v/>
      </c>
      <c r="O520" s="60">
        <f>IF(M520="","",IFERROR(VLOOKUP(M520,'6. Base de Custos'!$H$12:$J$18,3,FALSE),0))</f>
        <v/>
      </c>
      <c r="P520" s="59">
        <f>IF(C520="","",IFERROR(INDEX('6. Base de Custos'!$P$8:$P$42,MATCH(C520,'6. Base de Custos'!$L$8:$L$42,0)),"Revisar"))</f>
        <v/>
      </c>
      <c r="Q520" s="59">
        <f>IF(C520="","",IFERROR(INDEX('6. Base de Custos'!$Q$8:$Q$42,MATCH(C520,'6. Base de Custos'!$L$8:$L$42,0)),""))</f>
        <v/>
      </c>
      <c r="R520" s="65">
        <f>IF(C520="","",IFERROR(VLOOKUP(M520&amp;"|"&amp;N520,'17. Mapa DRE CP'!$E$5:$H$100,2,FALSE),"Revisar"))</f>
        <v/>
      </c>
      <c r="S520" s="65">
        <f>IF(C520="","",IFERROR(VLOOKUP(M520&amp;"|"&amp;N520,'17. Mapa DRE CP'!$E$5:$H$100,3,FALSE),"Revisar"))</f>
        <v/>
      </c>
      <c r="T520" s="65">
        <f>IF(C520="","",IF(R520="(-) Custos diretos dos serviços",IF(ISNUMBER(SEARCH("PCMSO",C520)),"PCMSO",IF(OR(ISNUMBER(SEARCH("SGS",C520)),ISNUMBER(SEARCH("CASTRO NAVES",C520))),"Projetos / Laudos / Avulsos","Projetos / Laudos / Avulsos")),"Rateio pela receita bruta"))</f>
        <v/>
      </c>
      <c r="U520" s="65">
        <f>IF(C520="","",IF(R520="(-) Custos diretos dos serviços","Direto por fornecedor/natureza do gasto","Rateio proporcional à receita bruta da linha de serviço"))</f>
        <v/>
      </c>
    </row>
    <row r="521">
      <c r="A521" s="28">
        <f>IF(C521="","", "CP-"&amp;TEXT(ROW()-5,"000"))</f>
        <v/>
      </c>
      <c r="B521" s="27">
        <f>IF(F521="","",DATE(YEAR(F521),MONTH(F521),1))</f>
        <v/>
      </c>
      <c r="C521" s="28" t="n"/>
      <c r="D521" s="28" t="n"/>
      <c r="E521" s="59">
        <f>IF(C521="","",IFERROR(INDEX('6. Base de Custos'!$M$8:$M$42,MATCH(C521,'6. Base de Custos'!$L$8:$L$42,0)),"Não classificado"))</f>
        <v/>
      </c>
      <c r="F521" s="111" t="n"/>
      <c r="G521" s="111" t="n"/>
      <c r="H521" s="111" t="n"/>
      <c r="I521" s="45" t="n"/>
      <c r="J521" s="28" t="n"/>
      <c r="K521" s="28" t="n"/>
      <c r="L521" s="28" t="n"/>
      <c r="M521" s="59">
        <f>IF(C521="","",IFERROR(INDEX('6. Base de Custos'!$N$8:$N$42,MATCH(C521,'6. Base de Custos'!$L$8:$L$42,0)),"Não classificado"))</f>
        <v/>
      </c>
      <c r="N521" s="59">
        <f>IF(C521="","",IFERROR(INDEX('6. Base de Custos'!$O$8:$O$42,MATCH(C521,'6. Base de Custos'!$L$8:$L$42,0)),"Revisar"))</f>
        <v/>
      </c>
      <c r="O521" s="60">
        <f>IF(M521="","",IFERROR(VLOOKUP(M521,'6. Base de Custos'!$H$12:$J$18,3,FALSE),0))</f>
        <v/>
      </c>
      <c r="P521" s="59">
        <f>IF(C521="","",IFERROR(INDEX('6. Base de Custos'!$P$8:$P$42,MATCH(C521,'6. Base de Custos'!$L$8:$L$42,0)),"Revisar"))</f>
        <v/>
      </c>
      <c r="Q521" s="59">
        <f>IF(C521="","",IFERROR(INDEX('6. Base de Custos'!$Q$8:$Q$42,MATCH(C521,'6. Base de Custos'!$L$8:$L$42,0)),""))</f>
        <v/>
      </c>
      <c r="R521" s="65">
        <f>IF(C521="","",IFERROR(VLOOKUP(M521&amp;"|"&amp;N521,'17. Mapa DRE CP'!$E$5:$H$100,2,FALSE),"Revisar"))</f>
        <v/>
      </c>
      <c r="S521" s="65">
        <f>IF(C521="","",IFERROR(VLOOKUP(M521&amp;"|"&amp;N521,'17. Mapa DRE CP'!$E$5:$H$100,3,FALSE),"Revisar"))</f>
        <v/>
      </c>
      <c r="T521" s="65">
        <f>IF(C521="","",IF(R521="(-) Custos diretos dos serviços",IF(ISNUMBER(SEARCH("PCMSO",C521)),"PCMSO",IF(OR(ISNUMBER(SEARCH("SGS",C521)),ISNUMBER(SEARCH("CASTRO NAVES",C521))),"Projetos / Laudos / Avulsos","Projetos / Laudos / Avulsos")),"Rateio pela receita bruta"))</f>
        <v/>
      </c>
      <c r="U521" s="65">
        <f>IF(C521="","",IF(R521="(-) Custos diretos dos serviços","Direto por fornecedor/natureza do gasto","Rateio proporcional à receita bruta da linha de serviço"))</f>
        <v/>
      </c>
    </row>
    <row r="522">
      <c r="A522" s="28">
        <f>IF(C522="","", "CP-"&amp;TEXT(ROW()-5,"000"))</f>
        <v/>
      </c>
      <c r="B522" s="27">
        <f>IF(F522="","",DATE(YEAR(F522),MONTH(F522),1))</f>
        <v/>
      </c>
      <c r="C522" s="28" t="n"/>
      <c r="D522" s="28" t="n"/>
      <c r="E522" s="59">
        <f>IF(C522="","",IFERROR(INDEX('6. Base de Custos'!$M$8:$M$42,MATCH(C522,'6. Base de Custos'!$L$8:$L$42,0)),"Não classificado"))</f>
        <v/>
      </c>
      <c r="F522" s="111" t="n"/>
      <c r="G522" s="111" t="n"/>
      <c r="H522" s="111" t="n"/>
      <c r="I522" s="45" t="n"/>
      <c r="J522" s="28" t="n"/>
      <c r="K522" s="28" t="n"/>
      <c r="L522" s="28" t="n"/>
      <c r="M522" s="59">
        <f>IF(C522="","",IFERROR(INDEX('6. Base de Custos'!$N$8:$N$42,MATCH(C522,'6. Base de Custos'!$L$8:$L$42,0)),"Não classificado"))</f>
        <v/>
      </c>
      <c r="N522" s="59">
        <f>IF(C522="","",IFERROR(INDEX('6. Base de Custos'!$O$8:$O$42,MATCH(C522,'6. Base de Custos'!$L$8:$L$42,0)),"Revisar"))</f>
        <v/>
      </c>
      <c r="O522" s="60">
        <f>IF(M522="","",IFERROR(VLOOKUP(M522,'6. Base de Custos'!$H$12:$J$18,3,FALSE),0))</f>
        <v/>
      </c>
      <c r="P522" s="59">
        <f>IF(C522="","",IFERROR(INDEX('6. Base de Custos'!$P$8:$P$42,MATCH(C522,'6. Base de Custos'!$L$8:$L$42,0)),"Revisar"))</f>
        <v/>
      </c>
      <c r="Q522" s="59">
        <f>IF(C522="","",IFERROR(INDEX('6. Base de Custos'!$Q$8:$Q$42,MATCH(C522,'6. Base de Custos'!$L$8:$L$42,0)),""))</f>
        <v/>
      </c>
      <c r="R522" s="65">
        <f>IF(C522="","",IFERROR(VLOOKUP(M522&amp;"|"&amp;N522,'17. Mapa DRE CP'!$E$5:$H$100,2,FALSE),"Revisar"))</f>
        <v/>
      </c>
      <c r="S522" s="65">
        <f>IF(C522="","",IFERROR(VLOOKUP(M522&amp;"|"&amp;N522,'17. Mapa DRE CP'!$E$5:$H$100,3,FALSE),"Revisar"))</f>
        <v/>
      </c>
      <c r="T522" s="65">
        <f>IF(C522="","",IF(R522="(-) Custos diretos dos serviços",IF(ISNUMBER(SEARCH("PCMSO",C522)),"PCMSO",IF(OR(ISNUMBER(SEARCH("SGS",C522)),ISNUMBER(SEARCH("CASTRO NAVES",C522))),"Projetos / Laudos / Avulsos","Projetos / Laudos / Avulsos")),"Rateio pela receita bruta"))</f>
        <v/>
      </c>
      <c r="U522" s="65">
        <f>IF(C522="","",IF(R522="(-) Custos diretos dos serviços","Direto por fornecedor/natureza do gasto","Rateio proporcional à receita bruta da linha de serviço"))</f>
        <v/>
      </c>
    </row>
    <row r="523">
      <c r="A523" s="28">
        <f>IF(C523="","", "CP-"&amp;TEXT(ROW()-5,"000"))</f>
        <v/>
      </c>
      <c r="B523" s="27">
        <f>IF(F523="","",DATE(YEAR(F523),MONTH(F523),1))</f>
        <v/>
      </c>
      <c r="C523" s="28" t="n"/>
      <c r="D523" s="28" t="n"/>
      <c r="E523" s="59">
        <f>IF(C523="","",IFERROR(INDEX('6. Base de Custos'!$M$8:$M$42,MATCH(C523,'6. Base de Custos'!$L$8:$L$42,0)),"Não classificado"))</f>
        <v/>
      </c>
      <c r="F523" s="111" t="n"/>
      <c r="G523" s="111" t="n"/>
      <c r="H523" s="111" t="n"/>
      <c r="I523" s="45" t="n"/>
      <c r="J523" s="28" t="n"/>
      <c r="K523" s="28" t="n"/>
      <c r="L523" s="28" t="n"/>
      <c r="M523" s="59">
        <f>IF(C523="","",IFERROR(INDEX('6. Base de Custos'!$N$8:$N$42,MATCH(C523,'6. Base de Custos'!$L$8:$L$42,0)),"Não classificado"))</f>
        <v/>
      </c>
      <c r="N523" s="59">
        <f>IF(C523="","",IFERROR(INDEX('6. Base de Custos'!$O$8:$O$42,MATCH(C523,'6. Base de Custos'!$L$8:$L$42,0)),"Revisar"))</f>
        <v/>
      </c>
      <c r="O523" s="60">
        <f>IF(M523="","",IFERROR(VLOOKUP(M523,'6. Base de Custos'!$H$12:$J$18,3,FALSE),0))</f>
        <v/>
      </c>
      <c r="P523" s="59">
        <f>IF(C523="","",IFERROR(INDEX('6. Base de Custos'!$P$8:$P$42,MATCH(C523,'6. Base de Custos'!$L$8:$L$42,0)),"Revisar"))</f>
        <v/>
      </c>
      <c r="Q523" s="59">
        <f>IF(C523="","",IFERROR(INDEX('6. Base de Custos'!$Q$8:$Q$42,MATCH(C523,'6. Base de Custos'!$L$8:$L$42,0)),""))</f>
        <v/>
      </c>
      <c r="R523" s="65">
        <f>IF(C523="","",IFERROR(VLOOKUP(M523&amp;"|"&amp;N523,'17. Mapa DRE CP'!$E$5:$H$100,2,FALSE),"Revisar"))</f>
        <v/>
      </c>
      <c r="S523" s="65">
        <f>IF(C523="","",IFERROR(VLOOKUP(M523&amp;"|"&amp;N523,'17. Mapa DRE CP'!$E$5:$H$100,3,FALSE),"Revisar"))</f>
        <v/>
      </c>
      <c r="T523" s="65">
        <f>IF(C523="","",IF(R523="(-) Custos diretos dos serviços",IF(ISNUMBER(SEARCH("PCMSO",C523)),"PCMSO",IF(OR(ISNUMBER(SEARCH("SGS",C523)),ISNUMBER(SEARCH("CASTRO NAVES",C523))),"Projetos / Laudos / Avulsos","Projetos / Laudos / Avulsos")),"Rateio pela receita bruta"))</f>
        <v/>
      </c>
      <c r="U523" s="65">
        <f>IF(C523="","",IF(R523="(-) Custos diretos dos serviços","Direto por fornecedor/natureza do gasto","Rateio proporcional à receita bruta da linha de serviço"))</f>
        <v/>
      </c>
    </row>
    <row r="524">
      <c r="A524" s="28">
        <f>IF(C524="","", "CP-"&amp;TEXT(ROW()-5,"000"))</f>
        <v/>
      </c>
      <c r="B524" s="27">
        <f>IF(F524="","",DATE(YEAR(F524),MONTH(F524),1))</f>
        <v/>
      </c>
      <c r="C524" s="28" t="n"/>
      <c r="D524" s="28" t="n"/>
      <c r="E524" s="59">
        <f>IF(C524="","",IFERROR(INDEX('6. Base de Custos'!$M$8:$M$42,MATCH(C524,'6. Base de Custos'!$L$8:$L$42,0)),"Não classificado"))</f>
        <v/>
      </c>
      <c r="F524" s="111" t="n"/>
      <c r="G524" s="111" t="n"/>
      <c r="H524" s="111" t="n"/>
      <c r="I524" s="45" t="n"/>
      <c r="J524" s="28" t="n"/>
      <c r="K524" s="28" t="n"/>
      <c r="L524" s="28" t="n"/>
      <c r="M524" s="59">
        <f>IF(C524="","",IFERROR(INDEX('6. Base de Custos'!$N$8:$N$42,MATCH(C524,'6. Base de Custos'!$L$8:$L$42,0)),"Não classificado"))</f>
        <v/>
      </c>
      <c r="N524" s="59">
        <f>IF(C524="","",IFERROR(INDEX('6. Base de Custos'!$O$8:$O$42,MATCH(C524,'6. Base de Custos'!$L$8:$L$42,0)),"Revisar"))</f>
        <v/>
      </c>
      <c r="O524" s="60">
        <f>IF(M524="","",IFERROR(VLOOKUP(M524,'6. Base de Custos'!$H$12:$J$18,3,FALSE),0))</f>
        <v/>
      </c>
      <c r="P524" s="59">
        <f>IF(C524="","",IFERROR(INDEX('6. Base de Custos'!$P$8:$P$42,MATCH(C524,'6. Base de Custos'!$L$8:$L$42,0)),"Revisar"))</f>
        <v/>
      </c>
      <c r="Q524" s="59">
        <f>IF(C524="","",IFERROR(INDEX('6. Base de Custos'!$Q$8:$Q$42,MATCH(C524,'6. Base de Custos'!$L$8:$L$42,0)),""))</f>
        <v/>
      </c>
      <c r="R524" s="65">
        <f>IF(C524="","",IFERROR(VLOOKUP(M524&amp;"|"&amp;N524,'17. Mapa DRE CP'!$E$5:$H$100,2,FALSE),"Revisar"))</f>
        <v/>
      </c>
      <c r="S524" s="65">
        <f>IF(C524="","",IFERROR(VLOOKUP(M524&amp;"|"&amp;N524,'17. Mapa DRE CP'!$E$5:$H$100,3,FALSE),"Revisar"))</f>
        <v/>
      </c>
      <c r="T524" s="65">
        <f>IF(C524="","",IF(R524="(-) Custos diretos dos serviços",IF(ISNUMBER(SEARCH("PCMSO",C524)),"PCMSO",IF(OR(ISNUMBER(SEARCH("SGS",C524)),ISNUMBER(SEARCH("CASTRO NAVES",C524))),"Projetos / Laudos / Avulsos","Projetos / Laudos / Avulsos")),"Rateio pela receita bruta"))</f>
        <v/>
      </c>
      <c r="U524" s="65">
        <f>IF(C524="","",IF(R524="(-) Custos diretos dos serviços","Direto por fornecedor/natureza do gasto","Rateio proporcional à receita bruta da linha de serviço"))</f>
        <v/>
      </c>
    </row>
    <row r="525">
      <c r="A525" s="28">
        <f>IF(C525="","", "CP-"&amp;TEXT(ROW()-5,"000"))</f>
        <v/>
      </c>
      <c r="B525" s="27">
        <f>IF(F525="","",DATE(YEAR(F525),MONTH(F525),1))</f>
        <v/>
      </c>
      <c r="C525" s="28" t="n"/>
      <c r="D525" s="28" t="n"/>
      <c r="E525" s="59">
        <f>IF(C525="","",IFERROR(INDEX('6. Base de Custos'!$M$8:$M$42,MATCH(C525,'6. Base de Custos'!$L$8:$L$42,0)),"Não classificado"))</f>
        <v/>
      </c>
      <c r="F525" s="111" t="n"/>
      <c r="G525" s="111" t="n"/>
      <c r="H525" s="111" t="n"/>
      <c r="I525" s="45" t="n"/>
      <c r="J525" s="28" t="n"/>
      <c r="K525" s="28" t="n"/>
      <c r="L525" s="28" t="n"/>
      <c r="M525" s="59">
        <f>IF(C525="","",IFERROR(INDEX('6. Base de Custos'!$N$8:$N$42,MATCH(C525,'6. Base de Custos'!$L$8:$L$42,0)),"Não classificado"))</f>
        <v/>
      </c>
      <c r="N525" s="59">
        <f>IF(C525="","",IFERROR(INDEX('6. Base de Custos'!$O$8:$O$42,MATCH(C525,'6. Base de Custos'!$L$8:$L$42,0)),"Revisar"))</f>
        <v/>
      </c>
      <c r="O525" s="60">
        <f>IF(M525="","",IFERROR(VLOOKUP(M525,'6. Base de Custos'!$H$12:$J$18,3,FALSE),0))</f>
        <v/>
      </c>
      <c r="P525" s="59">
        <f>IF(C525="","",IFERROR(INDEX('6. Base de Custos'!$P$8:$P$42,MATCH(C525,'6. Base de Custos'!$L$8:$L$42,0)),"Revisar"))</f>
        <v/>
      </c>
      <c r="Q525" s="59">
        <f>IF(C525="","",IFERROR(INDEX('6. Base de Custos'!$Q$8:$Q$42,MATCH(C525,'6. Base de Custos'!$L$8:$L$42,0)),""))</f>
        <v/>
      </c>
      <c r="R525" s="65">
        <f>IF(C525="","",IFERROR(VLOOKUP(M525&amp;"|"&amp;N525,'17. Mapa DRE CP'!$E$5:$H$100,2,FALSE),"Revisar"))</f>
        <v/>
      </c>
      <c r="S525" s="65">
        <f>IF(C525="","",IFERROR(VLOOKUP(M525&amp;"|"&amp;N525,'17. Mapa DRE CP'!$E$5:$H$100,3,FALSE),"Revisar"))</f>
        <v/>
      </c>
      <c r="T525" s="65">
        <f>IF(C525="","",IF(R525="(-) Custos diretos dos serviços",IF(ISNUMBER(SEARCH("PCMSO",C525)),"PCMSO",IF(OR(ISNUMBER(SEARCH("SGS",C525)),ISNUMBER(SEARCH("CASTRO NAVES",C525))),"Projetos / Laudos / Avulsos","Projetos / Laudos / Avulsos")),"Rateio pela receita bruta"))</f>
        <v/>
      </c>
      <c r="U525" s="65">
        <f>IF(C525="","",IF(R525="(-) Custos diretos dos serviços","Direto por fornecedor/natureza do gasto","Rateio proporcional à receita bruta da linha de serviço"))</f>
        <v/>
      </c>
    </row>
    <row r="526">
      <c r="A526" s="28">
        <f>IF(C526="","", "CP-"&amp;TEXT(ROW()-5,"000"))</f>
        <v/>
      </c>
      <c r="B526" s="27">
        <f>IF(F526="","",DATE(YEAR(F526),MONTH(F526),1))</f>
        <v/>
      </c>
      <c r="C526" s="28" t="n"/>
      <c r="D526" s="28" t="n"/>
      <c r="E526" s="59">
        <f>IF(C526="","",IFERROR(INDEX('6. Base de Custos'!$M$8:$M$42,MATCH(C526,'6. Base de Custos'!$L$8:$L$42,0)),"Não classificado"))</f>
        <v/>
      </c>
      <c r="F526" s="111" t="n"/>
      <c r="G526" s="111" t="n"/>
      <c r="H526" s="111" t="n"/>
      <c r="I526" s="45" t="n"/>
      <c r="J526" s="28" t="n"/>
      <c r="K526" s="28" t="n"/>
      <c r="L526" s="28" t="n"/>
      <c r="M526" s="59">
        <f>IF(C526="","",IFERROR(INDEX('6. Base de Custos'!$N$8:$N$42,MATCH(C526,'6. Base de Custos'!$L$8:$L$42,0)),"Não classificado"))</f>
        <v/>
      </c>
      <c r="N526" s="59">
        <f>IF(C526="","",IFERROR(INDEX('6. Base de Custos'!$O$8:$O$42,MATCH(C526,'6. Base de Custos'!$L$8:$L$42,0)),"Revisar"))</f>
        <v/>
      </c>
      <c r="O526" s="60">
        <f>IF(M526="","",IFERROR(VLOOKUP(M526,'6. Base de Custos'!$H$12:$J$18,3,FALSE),0))</f>
        <v/>
      </c>
      <c r="P526" s="59">
        <f>IF(C526="","",IFERROR(INDEX('6. Base de Custos'!$P$8:$P$42,MATCH(C526,'6. Base de Custos'!$L$8:$L$42,0)),"Revisar"))</f>
        <v/>
      </c>
      <c r="Q526" s="59">
        <f>IF(C526="","",IFERROR(INDEX('6. Base de Custos'!$Q$8:$Q$42,MATCH(C526,'6. Base de Custos'!$L$8:$L$42,0)),""))</f>
        <v/>
      </c>
      <c r="R526" s="65">
        <f>IF(C526="","",IFERROR(VLOOKUP(M526&amp;"|"&amp;N526,'17. Mapa DRE CP'!$E$5:$H$100,2,FALSE),"Revisar"))</f>
        <v/>
      </c>
      <c r="S526" s="65">
        <f>IF(C526="","",IFERROR(VLOOKUP(M526&amp;"|"&amp;N526,'17. Mapa DRE CP'!$E$5:$H$100,3,FALSE),"Revisar"))</f>
        <v/>
      </c>
      <c r="T526" s="65">
        <f>IF(C526="","",IF(R526="(-) Custos diretos dos serviços",IF(ISNUMBER(SEARCH("PCMSO",C526)),"PCMSO",IF(OR(ISNUMBER(SEARCH("SGS",C526)),ISNUMBER(SEARCH("CASTRO NAVES",C526))),"Projetos / Laudos / Avulsos","Projetos / Laudos / Avulsos")),"Rateio pela receita bruta"))</f>
        <v/>
      </c>
      <c r="U526" s="65">
        <f>IF(C526="","",IF(R526="(-) Custos diretos dos serviços","Direto por fornecedor/natureza do gasto","Rateio proporcional à receita bruta da linha de serviço"))</f>
        <v/>
      </c>
    </row>
    <row r="527">
      <c r="A527" s="28">
        <f>IF(C527="","", "CP-"&amp;TEXT(ROW()-5,"000"))</f>
        <v/>
      </c>
      <c r="B527" s="27">
        <f>IF(F527="","",DATE(YEAR(F527),MONTH(F527),1))</f>
        <v/>
      </c>
      <c r="C527" s="28" t="n"/>
      <c r="D527" s="28" t="n"/>
      <c r="E527" s="59">
        <f>IF(C527="","",IFERROR(INDEX('6. Base de Custos'!$M$8:$M$42,MATCH(C527,'6. Base de Custos'!$L$8:$L$42,0)),"Não classificado"))</f>
        <v/>
      </c>
      <c r="F527" s="111" t="n"/>
      <c r="G527" s="111" t="n"/>
      <c r="H527" s="111" t="n"/>
      <c r="I527" s="45" t="n"/>
      <c r="J527" s="28" t="n"/>
      <c r="K527" s="28" t="n"/>
      <c r="L527" s="28" t="n"/>
      <c r="M527" s="59">
        <f>IF(C527="","",IFERROR(INDEX('6. Base de Custos'!$N$8:$N$42,MATCH(C527,'6. Base de Custos'!$L$8:$L$42,0)),"Não classificado"))</f>
        <v/>
      </c>
      <c r="N527" s="59">
        <f>IF(C527="","",IFERROR(INDEX('6. Base de Custos'!$O$8:$O$42,MATCH(C527,'6. Base de Custos'!$L$8:$L$42,0)),"Revisar"))</f>
        <v/>
      </c>
      <c r="O527" s="60">
        <f>IF(M527="","",IFERROR(VLOOKUP(M527,'6. Base de Custos'!$H$12:$J$18,3,FALSE),0))</f>
        <v/>
      </c>
      <c r="P527" s="59">
        <f>IF(C527="","",IFERROR(INDEX('6. Base de Custos'!$P$8:$P$42,MATCH(C527,'6. Base de Custos'!$L$8:$L$42,0)),"Revisar"))</f>
        <v/>
      </c>
      <c r="Q527" s="59">
        <f>IF(C527="","",IFERROR(INDEX('6. Base de Custos'!$Q$8:$Q$42,MATCH(C527,'6. Base de Custos'!$L$8:$L$42,0)),""))</f>
        <v/>
      </c>
      <c r="R527" s="65">
        <f>IF(C527="","",IFERROR(VLOOKUP(M527&amp;"|"&amp;N527,'17. Mapa DRE CP'!$E$5:$H$100,2,FALSE),"Revisar"))</f>
        <v/>
      </c>
      <c r="S527" s="65">
        <f>IF(C527="","",IFERROR(VLOOKUP(M527&amp;"|"&amp;N527,'17. Mapa DRE CP'!$E$5:$H$100,3,FALSE),"Revisar"))</f>
        <v/>
      </c>
      <c r="T527" s="65">
        <f>IF(C527="","",IF(R527="(-) Custos diretos dos serviços",IF(ISNUMBER(SEARCH("PCMSO",C527)),"PCMSO",IF(OR(ISNUMBER(SEARCH("SGS",C527)),ISNUMBER(SEARCH("CASTRO NAVES",C527))),"Projetos / Laudos / Avulsos","Projetos / Laudos / Avulsos")),"Rateio pela receita bruta"))</f>
        <v/>
      </c>
      <c r="U527" s="65">
        <f>IF(C527="","",IF(R527="(-) Custos diretos dos serviços","Direto por fornecedor/natureza do gasto","Rateio proporcional à receita bruta da linha de serviço"))</f>
        <v/>
      </c>
    </row>
    <row r="528">
      <c r="A528" s="28">
        <f>IF(C528="","", "CP-"&amp;TEXT(ROW()-5,"000"))</f>
        <v/>
      </c>
      <c r="B528" s="27">
        <f>IF(F528="","",DATE(YEAR(F528),MONTH(F528),1))</f>
        <v/>
      </c>
      <c r="C528" s="28" t="n"/>
      <c r="D528" s="28" t="n"/>
      <c r="E528" s="59">
        <f>IF(C528="","",IFERROR(INDEX('6. Base de Custos'!$M$8:$M$42,MATCH(C528,'6. Base de Custos'!$L$8:$L$42,0)),"Não classificado"))</f>
        <v/>
      </c>
      <c r="F528" s="111" t="n"/>
      <c r="G528" s="111" t="n"/>
      <c r="H528" s="111" t="n"/>
      <c r="I528" s="45" t="n"/>
      <c r="J528" s="28" t="n"/>
      <c r="K528" s="28" t="n"/>
      <c r="L528" s="28" t="n"/>
      <c r="M528" s="59">
        <f>IF(C528="","",IFERROR(INDEX('6. Base de Custos'!$N$8:$N$42,MATCH(C528,'6. Base de Custos'!$L$8:$L$42,0)),"Não classificado"))</f>
        <v/>
      </c>
      <c r="N528" s="59">
        <f>IF(C528="","",IFERROR(INDEX('6. Base de Custos'!$O$8:$O$42,MATCH(C528,'6. Base de Custos'!$L$8:$L$42,0)),"Revisar"))</f>
        <v/>
      </c>
      <c r="O528" s="60">
        <f>IF(M528="","",IFERROR(VLOOKUP(M528,'6. Base de Custos'!$H$12:$J$18,3,FALSE),0))</f>
        <v/>
      </c>
      <c r="P528" s="59">
        <f>IF(C528="","",IFERROR(INDEX('6. Base de Custos'!$P$8:$P$42,MATCH(C528,'6. Base de Custos'!$L$8:$L$42,0)),"Revisar"))</f>
        <v/>
      </c>
      <c r="Q528" s="59">
        <f>IF(C528="","",IFERROR(INDEX('6. Base de Custos'!$Q$8:$Q$42,MATCH(C528,'6. Base de Custos'!$L$8:$L$42,0)),""))</f>
        <v/>
      </c>
      <c r="R528" s="65">
        <f>IF(C528="","",IFERROR(VLOOKUP(M528&amp;"|"&amp;N528,'17. Mapa DRE CP'!$E$5:$H$100,2,FALSE),"Revisar"))</f>
        <v/>
      </c>
      <c r="S528" s="65">
        <f>IF(C528="","",IFERROR(VLOOKUP(M528&amp;"|"&amp;N528,'17. Mapa DRE CP'!$E$5:$H$100,3,FALSE),"Revisar"))</f>
        <v/>
      </c>
      <c r="T528" s="65">
        <f>IF(C528="","",IF(R528="(-) Custos diretos dos serviços",IF(ISNUMBER(SEARCH("PCMSO",C528)),"PCMSO",IF(OR(ISNUMBER(SEARCH("SGS",C528)),ISNUMBER(SEARCH("CASTRO NAVES",C528))),"Projetos / Laudos / Avulsos","Projetos / Laudos / Avulsos")),"Rateio pela receita bruta"))</f>
        <v/>
      </c>
      <c r="U528" s="65">
        <f>IF(C528="","",IF(R528="(-) Custos diretos dos serviços","Direto por fornecedor/natureza do gasto","Rateio proporcional à receita bruta da linha de serviço"))</f>
        <v/>
      </c>
    </row>
    <row r="529">
      <c r="A529" s="28">
        <f>IF(C529="","", "CP-"&amp;TEXT(ROW()-5,"000"))</f>
        <v/>
      </c>
      <c r="B529" s="27">
        <f>IF(F529="","",DATE(YEAR(F529),MONTH(F529),1))</f>
        <v/>
      </c>
      <c r="C529" s="28" t="n"/>
      <c r="D529" s="28" t="n"/>
      <c r="E529" s="59">
        <f>IF(C529="","",IFERROR(INDEX('6. Base de Custos'!$M$8:$M$42,MATCH(C529,'6. Base de Custos'!$L$8:$L$42,0)),"Não classificado"))</f>
        <v/>
      </c>
      <c r="F529" s="111" t="n"/>
      <c r="G529" s="111" t="n"/>
      <c r="H529" s="111" t="n"/>
      <c r="I529" s="45" t="n"/>
      <c r="J529" s="28" t="n"/>
      <c r="K529" s="28" t="n"/>
      <c r="L529" s="28" t="n"/>
      <c r="M529" s="59">
        <f>IF(C529="","",IFERROR(INDEX('6. Base de Custos'!$N$8:$N$42,MATCH(C529,'6. Base de Custos'!$L$8:$L$42,0)),"Não classificado"))</f>
        <v/>
      </c>
      <c r="N529" s="59">
        <f>IF(C529="","",IFERROR(INDEX('6. Base de Custos'!$O$8:$O$42,MATCH(C529,'6. Base de Custos'!$L$8:$L$42,0)),"Revisar"))</f>
        <v/>
      </c>
      <c r="O529" s="60">
        <f>IF(M529="","",IFERROR(VLOOKUP(M529,'6. Base de Custos'!$H$12:$J$18,3,FALSE),0))</f>
        <v/>
      </c>
      <c r="P529" s="59">
        <f>IF(C529="","",IFERROR(INDEX('6. Base de Custos'!$P$8:$P$42,MATCH(C529,'6. Base de Custos'!$L$8:$L$42,0)),"Revisar"))</f>
        <v/>
      </c>
      <c r="Q529" s="59">
        <f>IF(C529="","",IFERROR(INDEX('6. Base de Custos'!$Q$8:$Q$42,MATCH(C529,'6. Base de Custos'!$L$8:$L$42,0)),""))</f>
        <v/>
      </c>
      <c r="R529" s="65">
        <f>IF(C529="","",IFERROR(VLOOKUP(M529&amp;"|"&amp;N529,'17. Mapa DRE CP'!$E$5:$H$100,2,FALSE),"Revisar"))</f>
        <v/>
      </c>
      <c r="S529" s="65">
        <f>IF(C529="","",IFERROR(VLOOKUP(M529&amp;"|"&amp;N529,'17. Mapa DRE CP'!$E$5:$H$100,3,FALSE),"Revisar"))</f>
        <v/>
      </c>
      <c r="T529" s="65">
        <f>IF(C529="","",IF(R529="(-) Custos diretos dos serviços",IF(ISNUMBER(SEARCH("PCMSO",C529)),"PCMSO",IF(OR(ISNUMBER(SEARCH("SGS",C529)),ISNUMBER(SEARCH("CASTRO NAVES",C529))),"Projetos / Laudos / Avulsos","Projetos / Laudos / Avulsos")),"Rateio pela receita bruta"))</f>
        <v/>
      </c>
      <c r="U529" s="65">
        <f>IF(C529="","",IF(R529="(-) Custos diretos dos serviços","Direto por fornecedor/natureza do gasto","Rateio proporcional à receita bruta da linha de serviço"))</f>
        <v/>
      </c>
    </row>
    <row r="530">
      <c r="A530" s="28">
        <f>IF(C530="","", "CP-"&amp;TEXT(ROW()-5,"000"))</f>
        <v/>
      </c>
      <c r="B530" s="27">
        <f>IF(F530="","",DATE(YEAR(F530),MONTH(F530),1))</f>
        <v/>
      </c>
      <c r="C530" s="28" t="n"/>
      <c r="D530" s="28" t="n"/>
      <c r="E530" s="59">
        <f>IF(C530="","",IFERROR(INDEX('6. Base de Custos'!$M$8:$M$42,MATCH(C530,'6. Base de Custos'!$L$8:$L$42,0)),"Não classificado"))</f>
        <v/>
      </c>
      <c r="F530" s="111" t="n"/>
      <c r="G530" s="111" t="n"/>
      <c r="H530" s="111" t="n"/>
      <c r="I530" s="45" t="n"/>
      <c r="J530" s="28" t="n"/>
      <c r="K530" s="28" t="n"/>
      <c r="L530" s="28" t="n"/>
      <c r="M530" s="59">
        <f>IF(C530="","",IFERROR(INDEX('6. Base de Custos'!$N$8:$N$42,MATCH(C530,'6. Base de Custos'!$L$8:$L$42,0)),"Não classificado"))</f>
        <v/>
      </c>
      <c r="N530" s="59">
        <f>IF(C530="","",IFERROR(INDEX('6. Base de Custos'!$O$8:$O$42,MATCH(C530,'6. Base de Custos'!$L$8:$L$42,0)),"Revisar"))</f>
        <v/>
      </c>
      <c r="O530" s="60">
        <f>IF(M530="","",IFERROR(VLOOKUP(M530,'6. Base de Custos'!$H$12:$J$18,3,FALSE),0))</f>
        <v/>
      </c>
      <c r="P530" s="59">
        <f>IF(C530="","",IFERROR(INDEX('6. Base de Custos'!$P$8:$P$42,MATCH(C530,'6. Base de Custos'!$L$8:$L$42,0)),"Revisar"))</f>
        <v/>
      </c>
      <c r="Q530" s="59">
        <f>IF(C530="","",IFERROR(INDEX('6. Base de Custos'!$Q$8:$Q$42,MATCH(C530,'6. Base de Custos'!$L$8:$L$42,0)),""))</f>
        <v/>
      </c>
      <c r="R530" s="65">
        <f>IF(C530="","",IFERROR(VLOOKUP(M530&amp;"|"&amp;N530,'17. Mapa DRE CP'!$E$5:$H$100,2,FALSE),"Revisar"))</f>
        <v/>
      </c>
      <c r="S530" s="65">
        <f>IF(C530="","",IFERROR(VLOOKUP(M530&amp;"|"&amp;N530,'17. Mapa DRE CP'!$E$5:$H$100,3,FALSE),"Revisar"))</f>
        <v/>
      </c>
      <c r="T530" s="65">
        <f>IF(C530="","",IF(R530="(-) Custos diretos dos serviços",IF(ISNUMBER(SEARCH("PCMSO",C530)),"PCMSO",IF(OR(ISNUMBER(SEARCH("SGS",C530)),ISNUMBER(SEARCH("CASTRO NAVES",C530))),"Projetos / Laudos / Avulsos","Projetos / Laudos / Avulsos")),"Rateio pela receita bruta"))</f>
        <v/>
      </c>
      <c r="U530" s="65">
        <f>IF(C530="","",IF(R530="(-) Custos diretos dos serviços","Direto por fornecedor/natureza do gasto","Rateio proporcional à receita bruta da linha de serviço"))</f>
        <v/>
      </c>
    </row>
    <row r="531">
      <c r="A531" s="28">
        <f>IF(C531="","", "CP-"&amp;TEXT(ROW()-5,"000"))</f>
        <v/>
      </c>
      <c r="B531" s="27">
        <f>IF(F531="","",DATE(YEAR(F531),MONTH(F531),1))</f>
        <v/>
      </c>
      <c r="C531" s="28" t="n"/>
      <c r="D531" s="28" t="n"/>
      <c r="E531" s="59">
        <f>IF(C531="","",IFERROR(INDEX('6. Base de Custos'!$M$8:$M$42,MATCH(C531,'6. Base de Custos'!$L$8:$L$42,0)),"Não classificado"))</f>
        <v/>
      </c>
      <c r="F531" s="111" t="n"/>
      <c r="G531" s="111" t="n"/>
      <c r="H531" s="111" t="n"/>
      <c r="I531" s="45" t="n"/>
      <c r="J531" s="28" t="n"/>
      <c r="K531" s="28" t="n"/>
      <c r="L531" s="28" t="n"/>
      <c r="M531" s="59">
        <f>IF(C531="","",IFERROR(INDEX('6. Base de Custos'!$N$8:$N$42,MATCH(C531,'6. Base de Custos'!$L$8:$L$42,0)),"Não classificado"))</f>
        <v/>
      </c>
      <c r="N531" s="59">
        <f>IF(C531="","",IFERROR(INDEX('6. Base de Custos'!$O$8:$O$42,MATCH(C531,'6. Base de Custos'!$L$8:$L$42,0)),"Revisar"))</f>
        <v/>
      </c>
      <c r="O531" s="60">
        <f>IF(M531="","",IFERROR(VLOOKUP(M531,'6. Base de Custos'!$H$12:$J$18,3,FALSE),0))</f>
        <v/>
      </c>
      <c r="P531" s="59">
        <f>IF(C531="","",IFERROR(INDEX('6. Base de Custos'!$P$8:$P$42,MATCH(C531,'6. Base de Custos'!$L$8:$L$42,0)),"Revisar"))</f>
        <v/>
      </c>
      <c r="Q531" s="59">
        <f>IF(C531="","",IFERROR(INDEX('6. Base de Custos'!$Q$8:$Q$42,MATCH(C531,'6. Base de Custos'!$L$8:$L$42,0)),""))</f>
        <v/>
      </c>
      <c r="R531" s="65">
        <f>IF(C531="","",IFERROR(VLOOKUP(M531&amp;"|"&amp;N531,'17. Mapa DRE CP'!$E$5:$H$100,2,FALSE),"Revisar"))</f>
        <v/>
      </c>
      <c r="S531" s="65">
        <f>IF(C531="","",IFERROR(VLOOKUP(M531&amp;"|"&amp;N531,'17. Mapa DRE CP'!$E$5:$H$100,3,FALSE),"Revisar"))</f>
        <v/>
      </c>
      <c r="T531" s="65">
        <f>IF(C531="","",IF(R531="(-) Custos diretos dos serviços",IF(ISNUMBER(SEARCH("PCMSO",C531)),"PCMSO",IF(OR(ISNUMBER(SEARCH("SGS",C531)),ISNUMBER(SEARCH("CASTRO NAVES",C531))),"Projetos / Laudos / Avulsos","Projetos / Laudos / Avulsos")),"Rateio pela receita bruta"))</f>
        <v/>
      </c>
      <c r="U531" s="65">
        <f>IF(C531="","",IF(R531="(-) Custos diretos dos serviços","Direto por fornecedor/natureza do gasto","Rateio proporcional à receita bruta da linha de serviço"))</f>
        <v/>
      </c>
    </row>
    <row r="532">
      <c r="A532" s="28">
        <f>IF(C532="","", "CP-"&amp;TEXT(ROW()-5,"000"))</f>
        <v/>
      </c>
      <c r="B532" s="27">
        <f>IF(F532="","",DATE(YEAR(F532),MONTH(F532),1))</f>
        <v/>
      </c>
      <c r="C532" s="28" t="n"/>
      <c r="D532" s="28" t="n"/>
      <c r="E532" s="59">
        <f>IF(C532="","",IFERROR(INDEX('6. Base de Custos'!$M$8:$M$42,MATCH(C532,'6. Base de Custos'!$L$8:$L$42,0)),"Não classificado"))</f>
        <v/>
      </c>
      <c r="F532" s="111" t="n"/>
      <c r="G532" s="111" t="n"/>
      <c r="H532" s="111" t="n"/>
      <c r="I532" s="45" t="n"/>
      <c r="J532" s="28" t="n"/>
      <c r="K532" s="28" t="n"/>
      <c r="L532" s="28" t="n"/>
      <c r="M532" s="59">
        <f>IF(C532="","",IFERROR(INDEX('6. Base de Custos'!$N$8:$N$42,MATCH(C532,'6. Base de Custos'!$L$8:$L$42,0)),"Não classificado"))</f>
        <v/>
      </c>
      <c r="N532" s="59">
        <f>IF(C532="","",IFERROR(INDEX('6. Base de Custos'!$O$8:$O$42,MATCH(C532,'6. Base de Custos'!$L$8:$L$42,0)),"Revisar"))</f>
        <v/>
      </c>
      <c r="O532" s="60">
        <f>IF(M532="","",IFERROR(VLOOKUP(M532,'6. Base de Custos'!$H$12:$J$18,3,FALSE),0))</f>
        <v/>
      </c>
      <c r="P532" s="59">
        <f>IF(C532="","",IFERROR(INDEX('6. Base de Custos'!$P$8:$P$42,MATCH(C532,'6. Base de Custos'!$L$8:$L$42,0)),"Revisar"))</f>
        <v/>
      </c>
      <c r="Q532" s="59">
        <f>IF(C532="","",IFERROR(INDEX('6. Base de Custos'!$Q$8:$Q$42,MATCH(C532,'6. Base de Custos'!$L$8:$L$42,0)),""))</f>
        <v/>
      </c>
      <c r="R532" s="65">
        <f>IF(C532="","",IFERROR(VLOOKUP(M532&amp;"|"&amp;N532,'17. Mapa DRE CP'!$E$5:$H$100,2,FALSE),"Revisar"))</f>
        <v/>
      </c>
      <c r="S532" s="65">
        <f>IF(C532="","",IFERROR(VLOOKUP(M532&amp;"|"&amp;N532,'17. Mapa DRE CP'!$E$5:$H$100,3,FALSE),"Revisar"))</f>
        <v/>
      </c>
      <c r="T532" s="65">
        <f>IF(C532="","",IF(R532="(-) Custos diretos dos serviços",IF(ISNUMBER(SEARCH("PCMSO",C532)),"PCMSO",IF(OR(ISNUMBER(SEARCH("SGS",C532)),ISNUMBER(SEARCH("CASTRO NAVES",C532))),"Projetos / Laudos / Avulsos","Projetos / Laudos / Avulsos")),"Rateio pela receita bruta"))</f>
        <v/>
      </c>
      <c r="U532" s="65">
        <f>IF(C532="","",IF(R532="(-) Custos diretos dos serviços","Direto por fornecedor/natureza do gasto","Rateio proporcional à receita bruta da linha de serviço"))</f>
        <v/>
      </c>
    </row>
    <row r="533">
      <c r="A533" s="28">
        <f>IF(C533="","", "CP-"&amp;TEXT(ROW()-5,"000"))</f>
        <v/>
      </c>
      <c r="B533" s="27">
        <f>IF(F533="","",DATE(YEAR(F533),MONTH(F533),1))</f>
        <v/>
      </c>
      <c r="C533" s="28" t="n"/>
      <c r="D533" s="28" t="n"/>
      <c r="E533" s="59">
        <f>IF(C533="","",IFERROR(INDEX('6. Base de Custos'!$M$8:$M$42,MATCH(C533,'6. Base de Custos'!$L$8:$L$42,0)),"Não classificado"))</f>
        <v/>
      </c>
      <c r="F533" s="111" t="n"/>
      <c r="G533" s="111" t="n"/>
      <c r="H533" s="111" t="n"/>
      <c r="I533" s="45" t="n"/>
      <c r="J533" s="28" t="n"/>
      <c r="K533" s="28" t="n"/>
      <c r="L533" s="28" t="n"/>
      <c r="M533" s="59">
        <f>IF(C533="","",IFERROR(INDEX('6. Base de Custos'!$N$8:$N$42,MATCH(C533,'6. Base de Custos'!$L$8:$L$42,0)),"Não classificado"))</f>
        <v/>
      </c>
      <c r="N533" s="59">
        <f>IF(C533="","",IFERROR(INDEX('6. Base de Custos'!$O$8:$O$42,MATCH(C533,'6. Base de Custos'!$L$8:$L$42,0)),"Revisar"))</f>
        <v/>
      </c>
      <c r="O533" s="60">
        <f>IF(M533="","",IFERROR(VLOOKUP(M533,'6. Base de Custos'!$H$12:$J$18,3,FALSE),0))</f>
        <v/>
      </c>
      <c r="P533" s="59">
        <f>IF(C533="","",IFERROR(INDEX('6. Base de Custos'!$P$8:$P$42,MATCH(C533,'6. Base de Custos'!$L$8:$L$42,0)),"Revisar"))</f>
        <v/>
      </c>
      <c r="Q533" s="59">
        <f>IF(C533="","",IFERROR(INDEX('6. Base de Custos'!$Q$8:$Q$42,MATCH(C533,'6. Base de Custos'!$L$8:$L$42,0)),""))</f>
        <v/>
      </c>
      <c r="R533" s="65">
        <f>IF(C533="","",IFERROR(VLOOKUP(M533&amp;"|"&amp;N533,'17. Mapa DRE CP'!$E$5:$H$100,2,FALSE),"Revisar"))</f>
        <v/>
      </c>
      <c r="S533" s="65">
        <f>IF(C533="","",IFERROR(VLOOKUP(M533&amp;"|"&amp;N533,'17. Mapa DRE CP'!$E$5:$H$100,3,FALSE),"Revisar"))</f>
        <v/>
      </c>
      <c r="T533" s="65">
        <f>IF(C533="","",IF(R533="(-) Custos diretos dos serviços",IF(ISNUMBER(SEARCH("PCMSO",C533)),"PCMSO",IF(OR(ISNUMBER(SEARCH("SGS",C533)),ISNUMBER(SEARCH("CASTRO NAVES",C533))),"Projetos / Laudos / Avulsos","Projetos / Laudos / Avulsos")),"Rateio pela receita bruta"))</f>
        <v/>
      </c>
      <c r="U533" s="65">
        <f>IF(C533="","",IF(R533="(-) Custos diretos dos serviços","Direto por fornecedor/natureza do gasto","Rateio proporcional à receita bruta da linha de serviço"))</f>
        <v/>
      </c>
    </row>
    <row r="534">
      <c r="A534" s="28">
        <f>IF(C534="","", "CP-"&amp;TEXT(ROW()-5,"000"))</f>
        <v/>
      </c>
      <c r="B534" s="27">
        <f>IF(F534="","",DATE(YEAR(F534),MONTH(F534),1))</f>
        <v/>
      </c>
      <c r="C534" s="28" t="n"/>
      <c r="D534" s="28" t="n"/>
      <c r="E534" s="59">
        <f>IF(C534="","",IFERROR(INDEX('6. Base de Custos'!$M$8:$M$42,MATCH(C534,'6. Base de Custos'!$L$8:$L$42,0)),"Não classificado"))</f>
        <v/>
      </c>
      <c r="F534" s="111" t="n"/>
      <c r="G534" s="111" t="n"/>
      <c r="H534" s="111" t="n"/>
      <c r="I534" s="45" t="n"/>
      <c r="J534" s="28" t="n"/>
      <c r="K534" s="28" t="n"/>
      <c r="L534" s="28" t="n"/>
      <c r="M534" s="59">
        <f>IF(C534="","",IFERROR(INDEX('6. Base de Custos'!$N$8:$N$42,MATCH(C534,'6. Base de Custos'!$L$8:$L$42,0)),"Não classificado"))</f>
        <v/>
      </c>
      <c r="N534" s="59">
        <f>IF(C534="","",IFERROR(INDEX('6. Base de Custos'!$O$8:$O$42,MATCH(C534,'6. Base de Custos'!$L$8:$L$42,0)),"Revisar"))</f>
        <v/>
      </c>
      <c r="O534" s="60">
        <f>IF(M534="","",IFERROR(VLOOKUP(M534,'6. Base de Custos'!$H$12:$J$18,3,FALSE),0))</f>
        <v/>
      </c>
      <c r="P534" s="59">
        <f>IF(C534="","",IFERROR(INDEX('6. Base de Custos'!$P$8:$P$42,MATCH(C534,'6. Base de Custos'!$L$8:$L$42,0)),"Revisar"))</f>
        <v/>
      </c>
      <c r="Q534" s="59">
        <f>IF(C534="","",IFERROR(INDEX('6. Base de Custos'!$Q$8:$Q$42,MATCH(C534,'6. Base de Custos'!$L$8:$L$42,0)),""))</f>
        <v/>
      </c>
      <c r="R534" s="65">
        <f>IF(C534="","",IFERROR(VLOOKUP(M534&amp;"|"&amp;N534,'17. Mapa DRE CP'!$E$5:$H$100,2,FALSE),"Revisar"))</f>
        <v/>
      </c>
      <c r="S534" s="65">
        <f>IF(C534="","",IFERROR(VLOOKUP(M534&amp;"|"&amp;N534,'17. Mapa DRE CP'!$E$5:$H$100,3,FALSE),"Revisar"))</f>
        <v/>
      </c>
      <c r="T534" s="65">
        <f>IF(C534="","",IF(R534="(-) Custos diretos dos serviços",IF(ISNUMBER(SEARCH("PCMSO",C534)),"PCMSO",IF(OR(ISNUMBER(SEARCH("SGS",C534)),ISNUMBER(SEARCH("CASTRO NAVES",C534))),"Projetos / Laudos / Avulsos","Projetos / Laudos / Avulsos")),"Rateio pela receita bruta"))</f>
        <v/>
      </c>
      <c r="U534" s="65">
        <f>IF(C534="","",IF(R534="(-) Custos diretos dos serviços","Direto por fornecedor/natureza do gasto","Rateio proporcional à receita bruta da linha de serviço"))</f>
        <v/>
      </c>
    </row>
    <row r="535">
      <c r="A535" s="28">
        <f>IF(C535="","", "CP-"&amp;TEXT(ROW()-5,"000"))</f>
        <v/>
      </c>
      <c r="B535" s="27">
        <f>IF(F535="","",DATE(YEAR(F535),MONTH(F535),1))</f>
        <v/>
      </c>
      <c r="C535" s="28" t="n"/>
      <c r="D535" s="28" t="n"/>
      <c r="E535" s="59">
        <f>IF(C535="","",IFERROR(INDEX('6. Base de Custos'!$M$8:$M$42,MATCH(C535,'6. Base de Custos'!$L$8:$L$42,0)),"Não classificado"))</f>
        <v/>
      </c>
      <c r="F535" s="111" t="n"/>
      <c r="G535" s="111" t="n"/>
      <c r="H535" s="111" t="n"/>
      <c r="I535" s="45" t="n"/>
      <c r="J535" s="28" t="n"/>
      <c r="K535" s="28" t="n"/>
      <c r="L535" s="28" t="n"/>
      <c r="M535" s="59">
        <f>IF(C535="","",IFERROR(INDEX('6. Base de Custos'!$N$8:$N$42,MATCH(C535,'6. Base de Custos'!$L$8:$L$42,0)),"Não classificado"))</f>
        <v/>
      </c>
      <c r="N535" s="59">
        <f>IF(C535="","",IFERROR(INDEX('6. Base de Custos'!$O$8:$O$42,MATCH(C535,'6. Base de Custos'!$L$8:$L$42,0)),"Revisar"))</f>
        <v/>
      </c>
      <c r="O535" s="60">
        <f>IF(M535="","",IFERROR(VLOOKUP(M535,'6. Base de Custos'!$H$12:$J$18,3,FALSE),0))</f>
        <v/>
      </c>
      <c r="P535" s="59">
        <f>IF(C535="","",IFERROR(INDEX('6. Base de Custos'!$P$8:$P$42,MATCH(C535,'6. Base de Custos'!$L$8:$L$42,0)),"Revisar"))</f>
        <v/>
      </c>
      <c r="Q535" s="59">
        <f>IF(C535="","",IFERROR(INDEX('6. Base de Custos'!$Q$8:$Q$42,MATCH(C535,'6. Base de Custos'!$L$8:$L$42,0)),""))</f>
        <v/>
      </c>
      <c r="R535" s="65">
        <f>IF(C535="","",IFERROR(VLOOKUP(M535&amp;"|"&amp;N535,'17. Mapa DRE CP'!$E$5:$H$100,2,FALSE),"Revisar"))</f>
        <v/>
      </c>
      <c r="S535" s="65">
        <f>IF(C535="","",IFERROR(VLOOKUP(M535&amp;"|"&amp;N535,'17. Mapa DRE CP'!$E$5:$H$100,3,FALSE),"Revisar"))</f>
        <v/>
      </c>
      <c r="T535" s="65">
        <f>IF(C535="","",IF(R535="(-) Custos diretos dos serviços",IF(ISNUMBER(SEARCH("PCMSO",C535)),"PCMSO",IF(OR(ISNUMBER(SEARCH("SGS",C535)),ISNUMBER(SEARCH("CASTRO NAVES",C535))),"Projetos / Laudos / Avulsos","Projetos / Laudos / Avulsos")),"Rateio pela receita bruta"))</f>
        <v/>
      </c>
      <c r="U535" s="65">
        <f>IF(C535="","",IF(R535="(-) Custos diretos dos serviços","Direto por fornecedor/natureza do gasto","Rateio proporcional à receita bruta da linha de serviço"))</f>
        <v/>
      </c>
    </row>
    <row r="536">
      <c r="A536" s="28">
        <f>IF(C536="","", "CP-"&amp;TEXT(ROW()-5,"000"))</f>
        <v/>
      </c>
      <c r="B536" s="27">
        <f>IF(F536="","",DATE(YEAR(F536),MONTH(F536),1))</f>
        <v/>
      </c>
      <c r="C536" s="28" t="n"/>
      <c r="D536" s="28" t="n"/>
      <c r="E536" s="59">
        <f>IF(C536="","",IFERROR(INDEX('6. Base de Custos'!$M$8:$M$42,MATCH(C536,'6. Base de Custos'!$L$8:$L$42,0)),"Não classificado"))</f>
        <v/>
      </c>
      <c r="F536" s="111" t="n"/>
      <c r="G536" s="111" t="n"/>
      <c r="H536" s="111" t="n"/>
      <c r="I536" s="45" t="n"/>
      <c r="J536" s="28" t="n"/>
      <c r="K536" s="28" t="n"/>
      <c r="L536" s="28" t="n"/>
      <c r="M536" s="59">
        <f>IF(C536="","",IFERROR(INDEX('6. Base de Custos'!$N$8:$N$42,MATCH(C536,'6. Base de Custos'!$L$8:$L$42,0)),"Não classificado"))</f>
        <v/>
      </c>
      <c r="N536" s="59">
        <f>IF(C536="","",IFERROR(INDEX('6. Base de Custos'!$O$8:$O$42,MATCH(C536,'6. Base de Custos'!$L$8:$L$42,0)),"Revisar"))</f>
        <v/>
      </c>
      <c r="O536" s="60">
        <f>IF(M536="","",IFERROR(VLOOKUP(M536,'6. Base de Custos'!$H$12:$J$18,3,FALSE),0))</f>
        <v/>
      </c>
      <c r="P536" s="59">
        <f>IF(C536="","",IFERROR(INDEX('6. Base de Custos'!$P$8:$P$42,MATCH(C536,'6. Base de Custos'!$L$8:$L$42,0)),"Revisar"))</f>
        <v/>
      </c>
      <c r="Q536" s="59">
        <f>IF(C536="","",IFERROR(INDEX('6. Base de Custos'!$Q$8:$Q$42,MATCH(C536,'6. Base de Custos'!$L$8:$L$42,0)),""))</f>
        <v/>
      </c>
      <c r="R536" s="65">
        <f>IF(C536="","",IFERROR(VLOOKUP(M536&amp;"|"&amp;N536,'17. Mapa DRE CP'!$E$5:$H$100,2,FALSE),"Revisar"))</f>
        <v/>
      </c>
      <c r="S536" s="65">
        <f>IF(C536="","",IFERROR(VLOOKUP(M536&amp;"|"&amp;N536,'17. Mapa DRE CP'!$E$5:$H$100,3,FALSE),"Revisar"))</f>
        <v/>
      </c>
      <c r="T536" s="65">
        <f>IF(C536="","",IF(R536="(-) Custos diretos dos serviços",IF(ISNUMBER(SEARCH("PCMSO",C536)),"PCMSO",IF(OR(ISNUMBER(SEARCH("SGS",C536)),ISNUMBER(SEARCH("CASTRO NAVES",C536))),"Projetos / Laudos / Avulsos","Projetos / Laudos / Avulsos")),"Rateio pela receita bruta"))</f>
        <v/>
      </c>
      <c r="U536" s="65">
        <f>IF(C536="","",IF(R536="(-) Custos diretos dos serviços","Direto por fornecedor/natureza do gasto","Rateio proporcional à receita bruta da linha de serviço"))</f>
        <v/>
      </c>
    </row>
    <row r="537">
      <c r="A537" s="28">
        <f>IF(C537="","", "CP-"&amp;TEXT(ROW()-5,"000"))</f>
        <v/>
      </c>
      <c r="B537" s="27">
        <f>IF(F537="","",DATE(YEAR(F537),MONTH(F537),1))</f>
        <v/>
      </c>
      <c r="C537" s="28" t="n"/>
      <c r="D537" s="28" t="n"/>
      <c r="E537" s="59">
        <f>IF(C537="","",IFERROR(INDEX('6. Base de Custos'!$M$8:$M$42,MATCH(C537,'6. Base de Custos'!$L$8:$L$42,0)),"Não classificado"))</f>
        <v/>
      </c>
      <c r="F537" s="111" t="n"/>
      <c r="G537" s="111" t="n"/>
      <c r="H537" s="111" t="n"/>
      <c r="I537" s="45" t="n"/>
      <c r="J537" s="28" t="n"/>
      <c r="K537" s="28" t="n"/>
      <c r="L537" s="28" t="n"/>
      <c r="M537" s="59">
        <f>IF(C537="","",IFERROR(INDEX('6. Base de Custos'!$N$8:$N$42,MATCH(C537,'6. Base de Custos'!$L$8:$L$42,0)),"Não classificado"))</f>
        <v/>
      </c>
      <c r="N537" s="59">
        <f>IF(C537="","",IFERROR(INDEX('6. Base de Custos'!$O$8:$O$42,MATCH(C537,'6. Base de Custos'!$L$8:$L$42,0)),"Revisar"))</f>
        <v/>
      </c>
      <c r="O537" s="60">
        <f>IF(M537="","",IFERROR(VLOOKUP(M537,'6. Base de Custos'!$H$12:$J$18,3,FALSE),0))</f>
        <v/>
      </c>
      <c r="P537" s="59">
        <f>IF(C537="","",IFERROR(INDEX('6. Base de Custos'!$P$8:$P$42,MATCH(C537,'6. Base de Custos'!$L$8:$L$42,0)),"Revisar"))</f>
        <v/>
      </c>
      <c r="Q537" s="59">
        <f>IF(C537="","",IFERROR(INDEX('6. Base de Custos'!$Q$8:$Q$42,MATCH(C537,'6. Base de Custos'!$L$8:$L$42,0)),""))</f>
        <v/>
      </c>
      <c r="R537" s="65">
        <f>IF(C537="","",IFERROR(VLOOKUP(M537&amp;"|"&amp;N537,'17. Mapa DRE CP'!$E$5:$H$100,2,FALSE),"Revisar"))</f>
        <v/>
      </c>
      <c r="S537" s="65">
        <f>IF(C537="","",IFERROR(VLOOKUP(M537&amp;"|"&amp;N537,'17. Mapa DRE CP'!$E$5:$H$100,3,FALSE),"Revisar"))</f>
        <v/>
      </c>
      <c r="T537" s="65">
        <f>IF(C537="","",IF(R537="(-) Custos diretos dos serviços",IF(ISNUMBER(SEARCH("PCMSO",C537)),"PCMSO",IF(OR(ISNUMBER(SEARCH("SGS",C537)),ISNUMBER(SEARCH("CASTRO NAVES",C537))),"Projetos / Laudos / Avulsos","Projetos / Laudos / Avulsos")),"Rateio pela receita bruta"))</f>
        <v/>
      </c>
      <c r="U537" s="65">
        <f>IF(C537="","",IF(R537="(-) Custos diretos dos serviços","Direto por fornecedor/natureza do gasto","Rateio proporcional à receita bruta da linha de serviço"))</f>
        <v/>
      </c>
    </row>
    <row r="538">
      <c r="A538" s="28">
        <f>IF(C538="","", "CP-"&amp;TEXT(ROW()-5,"000"))</f>
        <v/>
      </c>
      <c r="B538" s="27">
        <f>IF(F538="","",DATE(YEAR(F538),MONTH(F538),1))</f>
        <v/>
      </c>
      <c r="C538" s="28" t="n"/>
      <c r="D538" s="28" t="n"/>
      <c r="E538" s="59">
        <f>IF(C538="","",IFERROR(INDEX('6. Base de Custos'!$M$8:$M$42,MATCH(C538,'6. Base de Custos'!$L$8:$L$42,0)),"Não classificado"))</f>
        <v/>
      </c>
      <c r="F538" s="111" t="n"/>
      <c r="G538" s="111" t="n"/>
      <c r="H538" s="111" t="n"/>
      <c r="I538" s="45" t="n"/>
      <c r="J538" s="28" t="n"/>
      <c r="K538" s="28" t="n"/>
      <c r="L538" s="28" t="n"/>
      <c r="M538" s="59">
        <f>IF(C538="","",IFERROR(INDEX('6. Base de Custos'!$N$8:$N$42,MATCH(C538,'6. Base de Custos'!$L$8:$L$42,0)),"Não classificado"))</f>
        <v/>
      </c>
      <c r="N538" s="59">
        <f>IF(C538="","",IFERROR(INDEX('6. Base de Custos'!$O$8:$O$42,MATCH(C538,'6. Base de Custos'!$L$8:$L$42,0)),"Revisar"))</f>
        <v/>
      </c>
      <c r="O538" s="60">
        <f>IF(M538="","",IFERROR(VLOOKUP(M538,'6. Base de Custos'!$H$12:$J$18,3,FALSE),0))</f>
        <v/>
      </c>
      <c r="P538" s="59">
        <f>IF(C538="","",IFERROR(INDEX('6. Base de Custos'!$P$8:$P$42,MATCH(C538,'6. Base de Custos'!$L$8:$L$42,0)),"Revisar"))</f>
        <v/>
      </c>
      <c r="Q538" s="59">
        <f>IF(C538="","",IFERROR(INDEX('6. Base de Custos'!$Q$8:$Q$42,MATCH(C538,'6. Base de Custos'!$L$8:$L$42,0)),""))</f>
        <v/>
      </c>
      <c r="R538" s="65">
        <f>IF(C538="","",IFERROR(VLOOKUP(M538&amp;"|"&amp;N538,'17. Mapa DRE CP'!$E$5:$H$100,2,FALSE),"Revisar"))</f>
        <v/>
      </c>
      <c r="S538" s="65">
        <f>IF(C538="","",IFERROR(VLOOKUP(M538&amp;"|"&amp;N538,'17. Mapa DRE CP'!$E$5:$H$100,3,FALSE),"Revisar"))</f>
        <v/>
      </c>
      <c r="T538" s="65">
        <f>IF(C538="","",IF(R538="(-) Custos diretos dos serviços",IF(ISNUMBER(SEARCH("PCMSO",C538)),"PCMSO",IF(OR(ISNUMBER(SEARCH("SGS",C538)),ISNUMBER(SEARCH("CASTRO NAVES",C538))),"Projetos / Laudos / Avulsos","Projetos / Laudos / Avulsos")),"Rateio pela receita bruta"))</f>
        <v/>
      </c>
      <c r="U538" s="65">
        <f>IF(C538="","",IF(R538="(-) Custos diretos dos serviços","Direto por fornecedor/natureza do gasto","Rateio proporcional à receita bruta da linha de serviço"))</f>
        <v/>
      </c>
    </row>
    <row r="539">
      <c r="A539" s="28">
        <f>IF(C539="","", "CP-"&amp;TEXT(ROW()-5,"000"))</f>
        <v/>
      </c>
      <c r="B539" s="27">
        <f>IF(F539="","",DATE(YEAR(F539),MONTH(F539),1))</f>
        <v/>
      </c>
      <c r="C539" s="28" t="n"/>
      <c r="D539" s="28" t="n"/>
      <c r="E539" s="59">
        <f>IF(C539="","",IFERROR(INDEX('6. Base de Custos'!$M$8:$M$42,MATCH(C539,'6. Base de Custos'!$L$8:$L$42,0)),"Não classificado"))</f>
        <v/>
      </c>
      <c r="F539" s="111" t="n"/>
      <c r="G539" s="111" t="n"/>
      <c r="H539" s="111" t="n"/>
      <c r="I539" s="45" t="n"/>
      <c r="J539" s="28" t="n"/>
      <c r="K539" s="28" t="n"/>
      <c r="L539" s="28" t="n"/>
      <c r="M539" s="59">
        <f>IF(C539="","",IFERROR(INDEX('6. Base de Custos'!$N$8:$N$42,MATCH(C539,'6. Base de Custos'!$L$8:$L$42,0)),"Não classificado"))</f>
        <v/>
      </c>
      <c r="N539" s="59">
        <f>IF(C539="","",IFERROR(INDEX('6. Base de Custos'!$O$8:$O$42,MATCH(C539,'6. Base de Custos'!$L$8:$L$42,0)),"Revisar"))</f>
        <v/>
      </c>
      <c r="O539" s="60">
        <f>IF(M539="","",IFERROR(VLOOKUP(M539,'6. Base de Custos'!$H$12:$J$18,3,FALSE),0))</f>
        <v/>
      </c>
      <c r="P539" s="59">
        <f>IF(C539="","",IFERROR(INDEX('6. Base de Custos'!$P$8:$P$42,MATCH(C539,'6. Base de Custos'!$L$8:$L$42,0)),"Revisar"))</f>
        <v/>
      </c>
      <c r="Q539" s="59">
        <f>IF(C539="","",IFERROR(INDEX('6. Base de Custos'!$Q$8:$Q$42,MATCH(C539,'6. Base de Custos'!$L$8:$L$42,0)),""))</f>
        <v/>
      </c>
      <c r="R539" s="65">
        <f>IF(C539="","",IFERROR(VLOOKUP(M539&amp;"|"&amp;N539,'17. Mapa DRE CP'!$E$5:$H$100,2,FALSE),"Revisar"))</f>
        <v/>
      </c>
      <c r="S539" s="65">
        <f>IF(C539="","",IFERROR(VLOOKUP(M539&amp;"|"&amp;N539,'17. Mapa DRE CP'!$E$5:$H$100,3,FALSE),"Revisar"))</f>
        <v/>
      </c>
      <c r="T539" s="65">
        <f>IF(C539="","",IF(R539="(-) Custos diretos dos serviços",IF(ISNUMBER(SEARCH("PCMSO",C539)),"PCMSO",IF(OR(ISNUMBER(SEARCH("SGS",C539)),ISNUMBER(SEARCH("CASTRO NAVES",C539))),"Projetos / Laudos / Avulsos","Projetos / Laudos / Avulsos")),"Rateio pela receita bruta"))</f>
        <v/>
      </c>
      <c r="U539" s="65">
        <f>IF(C539="","",IF(R539="(-) Custos diretos dos serviços","Direto por fornecedor/natureza do gasto","Rateio proporcional à receita bruta da linha de serviço"))</f>
        <v/>
      </c>
    </row>
    <row r="540">
      <c r="A540" s="28">
        <f>IF(C540="","", "CP-"&amp;TEXT(ROW()-5,"000"))</f>
        <v/>
      </c>
      <c r="B540" s="27">
        <f>IF(F540="","",DATE(YEAR(F540),MONTH(F540),1))</f>
        <v/>
      </c>
      <c r="C540" s="28" t="n"/>
      <c r="D540" s="28" t="n"/>
      <c r="E540" s="59">
        <f>IF(C540="","",IFERROR(INDEX('6. Base de Custos'!$M$8:$M$42,MATCH(C540,'6. Base de Custos'!$L$8:$L$42,0)),"Não classificado"))</f>
        <v/>
      </c>
      <c r="F540" s="111" t="n"/>
      <c r="G540" s="111" t="n"/>
      <c r="H540" s="111" t="n"/>
      <c r="I540" s="45" t="n"/>
      <c r="J540" s="28" t="n"/>
      <c r="K540" s="28" t="n"/>
      <c r="L540" s="28" t="n"/>
      <c r="M540" s="59">
        <f>IF(C540="","",IFERROR(INDEX('6. Base de Custos'!$N$8:$N$42,MATCH(C540,'6. Base de Custos'!$L$8:$L$42,0)),"Não classificado"))</f>
        <v/>
      </c>
      <c r="N540" s="59">
        <f>IF(C540="","",IFERROR(INDEX('6. Base de Custos'!$O$8:$O$42,MATCH(C540,'6. Base de Custos'!$L$8:$L$42,0)),"Revisar"))</f>
        <v/>
      </c>
      <c r="O540" s="60">
        <f>IF(M540="","",IFERROR(VLOOKUP(M540,'6. Base de Custos'!$H$12:$J$18,3,FALSE),0))</f>
        <v/>
      </c>
      <c r="P540" s="59">
        <f>IF(C540="","",IFERROR(INDEX('6. Base de Custos'!$P$8:$P$42,MATCH(C540,'6. Base de Custos'!$L$8:$L$42,0)),"Revisar"))</f>
        <v/>
      </c>
      <c r="Q540" s="59">
        <f>IF(C540="","",IFERROR(INDEX('6. Base de Custos'!$Q$8:$Q$42,MATCH(C540,'6. Base de Custos'!$L$8:$L$42,0)),""))</f>
        <v/>
      </c>
      <c r="R540" s="65">
        <f>IF(C540="","",IFERROR(VLOOKUP(M540&amp;"|"&amp;N540,'17. Mapa DRE CP'!$E$5:$H$100,2,FALSE),"Revisar"))</f>
        <v/>
      </c>
      <c r="S540" s="65">
        <f>IF(C540="","",IFERROR(VLOOKUP(M540&amp;"|"&amp;N540,'17. Mapa DRE CP'!$E$5:$H$100,3,FALSE),"Revisar"))</f>
        <v/>
      </c>
      <c r="T540" s="65">
        <f>IF(C540="","",IF(R540="(-) Custos diretos dos serviços",IF(ISNUMBER(SEARCH("PCMSO",C540)),"PCMSO",IF(OR(ISNUMBER(SEARCH("SGS",C540)),ISNUMBER(SEARCH("CASTRO NAVES",C540))),"Projetos / Laudos / Avulsos","Projetos / Laudos / Avulsos")),"Rateio pela receita bruta"))</f>
        <v/>
      </c>
      <c r="U540" s="65">
        <f>IF(C540="","",IF(R540="(-) Custos diretos dos serviços","Direto por fornecedor/natureza do gasto","Rateio proporcional à receita bruta da linha de serviço"))</f>
        <v/>
      </c>
    </row>
    <row r="541">
      <c r="A541" s="28">
        <f>IF(C541="","", "CP-"&amp;TEXT(ROW()-5,"000"))</f>
        <v/>
      </c>
      <c r="B541" s="27">
        <f>IF(F541="","",DATE(YEAR(F541),MONTH(F541),1))</f>
        <v/>
      </c>
      <c r="C541" s="28" t="n"/>
      <c r="D541" s="28" t="n"/>
      <c r="E541" s="59">
        <f>IF(C541="","",IFERROR(INDEX('6. Base de Custos'!$M$8:$M$42,MATCH(C541,'6. Base de Custos'!$L$8:$L$42,0)),"Não classificado"))</f>
        <v/>
      </c>
      <c r="F541" s="111" t="n"/>
      <c r="G541" s="111" t="n"/>
      <c r="H541" s="111" t="n"/>
      <c r="I541" s="45" t="n"/>
      <c r="J541" s="28" t="n"/>
      <c r="K541" s="28" t="n"/>
      <c r="L541" s="28" t="n"/>
      <c r="M541" s="59">
        <f>IF(C541="","",IFERROR(INDEX('6. Base de Custos'!$N$8:$N$42,MATCH(C541,'6. Base de Custos'!$L$8:$L$42,0)),"Não classificado"))</f>
        <v/>
      </c>
      <c r="N541" s="59">
        <f>IF(C541="","",IFERROR(INDEX('6. Base de Custos'!$O$8:$O$42,MATCH(C541,'6. Base de Custos'!$L$8:$L$42,0)),"Revisar"))</f>
        <v/>
      </c>
      <c r="O541" s="60">
        <f>IF(M541="","",IFERROR(VLOOKUP(M541,'6. Base de Custos'!$H$12:$J$18,3,FALSE),0))</f>
        <v/>
      </c>
      <c r="P541" s="59">
        <f>IF(C541="","",IFERROR(INDEX('6. Base de Custos'!$P$8:$P$42,MATCH(C541,'6. Base de Custos'!$L$8:$L$42,0)),"Revisar"))</f>
        <v/>
      </c>
      <c r="Q541" s="59">
        <f>IF(C541="","",IFERROR(INDEX('6. Base de Custos'!$Q$8:$Q$42,MATCH(C541,'6. Base de Custos'!$L$8:$L$42,0)),""))</f>
        <v/>
      </c>
      <c r="R541" s="65">
        <f>IF(C541="","",IFERROR(VLOOKUP(M541&amp;"|"&amp;N541,'17. Mapa DRE CP'!$E$5:$H$100,2,FALSE),"Revisar"))</f>
        <v/>
      </c>
      <c r="S541" s="65">
        <f>IF(C541="","",IFERROR(VLOOKUP(M541&amp;"|"&amp;N541,'17. Mapa DRE CP'!$E$5:$H$100,3,FALSE),"Revisar"))</f>
        <v/>
      </c>
      <c r="T541" s="65">
        <f>IF(C541="","",IF(R541="(-) Custos diretos dos serviços",IF(ISNUMBER(SEARCH("PCMSO",C541)),"PCMSO",IF(OR(ISNUMBER(SEARCH("SGS",C541)),ISNUMBER(SEARCH("CASTRO NAVES",C541))),"Projetos / Laudos / Avulsos","Projetos / Laudos / Avulsos")),"Rateio pela receita bruta"))</f>
        <v/>
      </c>
      <c r="U541" s="65">
        <f>IF(C541="","",IF(R541="(-) Custos diretos dos serviços","Direto por fornecedor/natureza do gasto","Rateio proporcional à receita bruta da linha de serviço"))</f>
        <v/>
      </c>
    </row>
    <row r="542">
      <c r="A542" s="28">
        <f>IF(C542="","", "CP-"&amp;TEXT(ROW()-5,"000"))</f>
        <v/>
      </c>
      <c r="B542" s="27">
        <f>IF(F542="","",DATE(YEAR(F542),MONTH(F542),1))</f>
        <v/>
      </c>
      <c r="C542" s="28" t="n"/>
      <c r="D542" s="28" t="n"/>
      <c r="E542" s="59">
        <f>IF(C542="","",IFERROR(INDEX('6. Base de Custos'!$M$8:$M$42,MATCH(C542,'6. Base de Custos'!$L$8:$L$42,0)),"Não classificado"))</f>
        <v/>
      </c>
      <c r="F542" s="111" t="n"/>
      <c r="G542" s="111" t="n"/>
      <c r="H542" s="111" t="n"/>
      <c r="I542" s="45" t="n"/>
      <c r="J542" s="28" t="n"/>
      <c r="K542" s="28" t="n"/>
      <c r="L542" s="28" t="n"/>
      <c r="M542" s="59">
        <f>IF(C542="","",IFERROR(INDEX('6. Base de Custos'!$N$8:$N$42,MATCH(C542,'6. Base de Custos'!$L$8:$L$42,0)),"Não classificado"))</f>
        <v/>
      </c>
      <c r="N542" s="59">
        <f>IF(C542="","",IFERROR(INDEX('6. Base de Custos'!$O$8:$O$42,MATCH(C542,'6. Base de Custos'!$L$8:$L$42,0)),"Revisar"))</f>
        <v/>
      </c>
      <c r="O542" s="60">
        <f>IF(M542="","",IFERROR(VLOOKUP(M542,'6. Base de Custos'!$H$12:$J$18,3,FALSE),0))</f>
        <v/>
      </c>
      <c r="P542" s="59">
        <f>IF(C542="","",IFERROR(INDEX('6. Base de Custos'!$P$8:$P$42,MATCH(C542,'6. Base de Custos'!$L$8:$L$42,0)),"Revisar"))</f>
        <v/>
      </c>
      <c r="Q542" s="59">
        <f>IF(C542="","",IFERROR(INDEX('6. Base de Custos'!$Q$8:$Q$42,MATCH(C542,'6. Base de Custos'!$L$8:$L$42,0)),""))</f>
        <v/>
      </c>
      <c r="R542" s="65">
        <f>IF(C542="","",IFERROR(VLOOKUP(M542&amp;"|"&amp;N542,'17. Mapa DRE CP'!$E$5:$H$100,2,FALSE),"Revisar"))</f>
        <v/>
      </c>
      <c r="S542" s="65">
        <f>IF(C542="","",IFERROR(VLOOKUP(M542&amp;"|"&amp;N542,'17. Mapa DRE CP'!$E$5:$H$100,3,FALSE),"Revisar"))</f>
        <v/>
      </c>
      <c r="T542" s="65">
        <f>IF(C542="","",IF(R542="(-) Custos diretos dos serviços",IF(ISNUMBER(SEARCH("PCMSO",C542)),"PCMSO",IF(OR(ISNUMBER(SEARCH("SGS",C542)),ISNUMBER(SEARCH("CASTRO NAVES",C542))),"Projetos / Laudos / Avulsos","Projetos / Laudos / Avulsos")),"Rateio pela receita bruta"))</f>
        <v/>
      </c>
      <c r="U542" s="65">
        <f>IF(C542="","",IF(R542="(-) Custos diretos dos serviços","Direto por fornecedor/natureza do gasto","Rateio proporcional à receita bruta da linha de serviço"))</f>
        <v/>
      </c>
    </row>
    <row r="543">
      <c r="A543" s="28">
        <f>IF(C543="","", "CP-"&amp;TEXT(ROW()-5,"000"))</f>
        <v/>
      </c>
      <c r="B543" s="27">
        <f>IF(F543="","",DATE(YEAR(F543),MONTH(F543),1))</f>
        <v/>
      </c>
      <c r="C543" s="28" t="n"/>
      <c r="D543" s="28" t="n"/>
      <c r="E543" s="59">
        <f>IF(C543="","",IFERROR(INDEX('6. Base de Custos'!$M$8:$M$42,MATCH(C543,'6. Base de Custos'!$L$8:$L$42,0)),"Não classificado"))</f>
        <v/>
      </c>
      <c r="F543" s="111" t="n"/>
      <c r="G543" s="111" t="n"/>
      <c r="H543" s="111" t="n"/>
      <c r="I543" s="45" t="n"/>
      <c r="J543" s="28" t="n"/>
      <c r="K543" s="28" t="n"/>
      <c r="L543" s="28" t="n"/>
      <c r="M543" s="59">
        <f>IF(C543="","",IFERROR(INDEX('6. Base de Custos'!$N$8:$N$42,MATCH(C543,'6. Base de Custos'!$L$8:$L$42,0)),"Não classificado"))</f>
        <v/>
      </c>
      <c r="N543" s="59">
        <f>IF(C543="","",IFERROR(INDEX('6. Base de Custos'!$O$8:$O$42,MATCH(C543,'6. Base de Custos'!$L$8:$L$42,0)),"Revisar"))</f>
        <v/>
      </c>
      <c r="O543" s="60">
        <f>IF(M543="","",IFERROR(VLOOKUP(M543,'6. Base de Custos'!$H$12:$J$18,3,FALSE),0))</f>
        <v/>
      </c>
      <c r="P543" s="59">
        <f>IF(C543="","",IFERROR(INDEX('6. Base de Custos'!$P$8:$P$42,MATCH(C543,'6. Base de Custos'!$L$8:$L$42,0)),"Revisar"))</f>
        <v/>
      </c>
      <c r="Q543" s="59">
        <f>IF(C543="","",IFERROR(INDEX('6. Base de Custos'!$Q$8:$Q$42,MATCH(C543,'6. Base de Custos'!$L$8:$L$42,0)),""))</f>
        <v/>
      </c>
      <c r="R543" s="65">
        <f>IF(C543="","",IFERROR(VLOOKUP(M543&amp;"|"&amp;N543,'17. Mapa DRE CP'!$E$5:$H$100,2,FALSE),"Revisar"))</f>
        <v/>
      </c>
      <c r="S543" s="65">
        <f>IF(C543="","",IFERROR(VLOOKUP(M543&amp;"|"&amp;N543,'17. Mapa DRE CP'!$E$5:$H$100,3,FALSE),"Revisar"))</f>
        <v/>
      </c>
      <c r="T543" s="65">
        <f>IF(C543="","",IF(R543="(-) Custos diretos dos serviços",IF(ISNUMBER(SEARCH("PCMSO",C543)),"PCMSO",IF(OR(ISNUMBER(SEARCH("SGS",C543)),ISNUMBER(SEARCH("CASTRO NAVES",C543))),"Projetos / Laudos / Avulsos","Projetos / Laudos / Avulsos")),"Rateio pela receita bruta"))</f>
        <v/>
      </c>
      <c r="U543" s="65">
        <f>IF(C543="","",IF(R543="(-) Custos diretos dos serviços","Direto por fornecedor/natureza do gasto","Rateio proporcional à receita bruta da linha de serviço"))</f>
        <v/>
      </c>
    </row>
    <row r="544">
      <c r="A544" s="28">
        <f>IF(C544="","", "CP-"&amp;TEXT(ROW()-5,"000"))</f>
        <v/>
      </c>
      <c r="B544" s="27">
        <f>IF(F544="","",DATE(YEAR(F544),MONTH(F544),1))</f>
        <v/>
      </c>
      <c r="C544" s="28" t="n"/>
      <c r="D544" s="28" t="n"/>
      <c r="E544" s="59">
        <f>IF(C544="","",IFERROR(INDEX('6. Base de Custos'!$M$8:$M$42,MATCH(C544,'6. Base de Custos'!$L$8:$L$42,0)),"Não classificado"))</f>
        <v/>
      </c>
      <c r="F544" s="111" t="n"/>
      <c r="G544" s="111" t="n"/>
      <c r="H544" s="111" t="n"/>
      <c r="I544" s="45" t="n"/>
      <c r="J544" s="28" t="n"/>
      <c r="K544" s="28" t="n"/>
      <c r="L544" s="28" t="n"/>
      <c r="M544" s="59">
        <f>IF(C544="","",IFERROR(INDEX('6. Base de Custos'!$N$8:$N$42,MATCH(C544,'6. Base de Custos'!$L$8:$L$42,0)),"Não classificado"))</f>
        <v/>
      </c>
      <c r="N544" s="59">
        <f>IF(C544="","",IFERROR(INDEX('6. Base de Custos'!$O$8:$O$42,MATCH(C544,'6. Base de Custos'!$L$8:$L$42,0)),"Revisar"))</f>
        <v/>
      </c>
      <c r="O544" s="60">
        <f>IF(M544="","",IFERROR(VLOOKUP(M544,'6. Base de Custos'!$H$12:$J$18,3,FALSE),0))</f>
        <v/>
      </c>
      <c r="P544" s="59">
        <f>IF(C544="","",IFERROR(INDEX('6. Base de Custos'!$P$8:$P$42,MATCH(C544,'6. Base de Custos'!$L$8:$L$42,0)),"Revisar"))</f>
        <v/>
      </c>
      <c r="Q544" s="59">
        <f>IF(C544="","",IFERROR(INDEX('6. Base de Custos'!$Q$8:$Q$42,MATCH(C544,'6. Base de Custos'!$L$8:$L$42,0)),""))</f>
        <v/>
      </c>
      <c r="R544" s="65">
        <f>IF(C544="","",IFERROR(VLOOKUP(M544&amp;"|"&amp;N544,'17. Mapa DRE CP'!$E$5:$H$100,2,FALSE),"Revisar"))</f>
        <v/>
      </c>
      <c r="S544" s="65">
        <f>IF(C544="","",IFERROR(VLOOKUP(M544&amp;"|"&amp;N544,'17. Mapa DRE CP'!$E$5:$H$100,3,FALSE),"Revisar"))</f>
        <v/>
      </c>
      <c r="T544" s="65">
        <f>IF(C544="","",IF(R544="(-) Custos diretos dos serviços",IF(ISNUMBER(SEARCH("PCMSO",C544)),"PCMSO",IF(OR(ISNUMBER(SEARCH("SGS",C544)),ISNUMBER(SEARCH("CASTRO NAVES",C544))),"Projetos / Laudos / Avulsos","Projetos / Laudos / Avulsos")),"Rateio pela receita bruta"))</f>
        <v/>
      </c>
      <c r="U544" s="65">
        <f>IF(C544="","",IF(R544="(-) Custos diretos dos serviços","Direto por fornecedor/natureza do gasto","Rateio proporcional à receita bruta da linha de serviço"))</f>
        <v/>
      </c>
    </row>
    <row r="545">
      <c r="A545" s="28">
        <f>IF(C545="","", "CP-"&amp;TEXT(ROW()-5,"000"))</f>
        <v/>
      </c>
      <c r="B545" s="27">
        <f>IF(F545="","",DATE(YEAR(F545),MONTH(F545),1))</f>
        <v/>
      </c>
      <c r="C545" s="28" t="n"/>
      <c r="D545" s="28" t="n"/>
      <c r="E545" s="59">
        <f>IF(C545="","",IFERROR(INDEX('6. Base de Custos'!$M$8:$M$42,MATCH(C545,'6. Base de Custos'!$L$8:$L$42,0)),"Não classificado"))</f>
        <v/>
      </c>
      <c r="F545" s="111" t="n"/>
      <c r="G545" s="111" t="n"/>
      <c r="H545" s="111" t="n"/>
      <c r="I545" s="45" t="n"/>
      <c r="J545" s="28" t="n"/>
      <c r="K545" s="28" t="n"/>
      <c r="L545" s="28" t="n"/>
      <c r="M545" s="59">
        <f>IF(C545="","",IFERROR(INDEX('6. Base de Custos'!$N$8:$N$42,MATCH(C545,'6. Base de Custos'!$L$8:$L$42,0)),"Não classificado"))</f>
        <v/>
      </c>
      <c r="N545" s="59">
        <f>IF(C545="","",IFERROR(INDEX('6. Base de Custos'!$O$8:$O$42,MATCH(C545,'6. Base de Custos'!$L$8:$L$42,0)),"Revisar"))</f>
        <v/>
      </c>
      <c r="O545" s="60">
        <f>IF(M545="","",IFERROR(VLOOKUP(M545,'6. Base de Custos'!$H$12:$J$18,3,FALSE),0))</f>
        <v/>
      </c>
      <c r="P545" s="59">
        <f>IF(C545="","",IFERROR(INDEX('6. Base de Custos'!$P$8:$P$42,MATCH(C545,'6. Base de Custos'!$L$8:$L$42,0)),"Revisar"))</f>
        <v/>
      </c>
      <c r="Q545" s="59">
        <f>IF(C545="","",IFERROR(INDEX('6. Base de Custos'!$Q$8:$Q$42,MATCH(C545,'6. Base de Custos'!$L$8:$L$42,0)),""))</f>
        <v/>
      </c>
      <c r="R545" s="65">
        <f>IF(C545="","",IFERROR(VLOOKUP(M545&amp;"|"&amp;N545,'17. Mapa DRE CP'!$E$5:$H$100,2,FALSE),"Revisar"))</f>
        <v/>
      </c>
      <c r="S545" s="65">
        <f>IF(C545="","",IFERROR(VLOOKUP(M545&amp;"|"&amp;N545,'17. Mapa DRE CP'!$E$5:$H$100,3,FALSE),"Revisar"))</f>
        <v/>
      </c>
      <c r="T545" s="65">
        <f>IF(C545="","",IF(R545="(-) Custos diretos dos serviços",IF(ISNUMBER(SEARCH("PCMSO",C545)),"PCMSO",IF(OR(ISNUMBER(SEARCH("SGS",C545)),ISNUMBER(SEARCH("CASTRO NAVES",C545))),"Projetos / Laudos / Avulsos","Projetos / Laudos / Avulsos")),"Rateio pela receita bruta"))</f>
        <v/>
      </c>
      <c r="U545" s="65">
        <f>IF(C545="","",IF(R545="(-) Custos diretos dos serviços","Direto por fornecedor/natureza do gasto","Rateio proporcional à receita bruta da linha de serviço"))</f>
        <v/>
      </c>
    </row>
    <row r="546">
      <c r="A546" s="28">
        <f>IF(C546="","", "CP-"&amp;TEXT(ROW()-5,"000"))</f>
        <v/>
      </c>
      <c r="B546" s="27">
        <f>IF(F546="","",DATE(YEAR(F546),MONTH(F546),1))</f>
        <v/>
      </c>
      <c r="C546" s="28" t="n"/>
      <c r="D546" s="28" t="n"/>
      <c r="E546" s="59">
        <f>IF(C546="","",IFERROR(INDEX('6. Base de Custos'!$M$8:$M$42,MATCH(C546,'6. Base de Custos'!$L$8:$L$42,0)),"Não classificado"))</f>
        <v/>
      </c>
      <c r="F546" s="111" t="n"/>
      <c r="G546" s="111" t="n"/>
      <c r="H546" s="111" t="n"/>
      <c r="I546" s="45" t="n"/>
      <c r="J546" s="28" t="n"/>
      <c r="K546" s="28" t="n"/>
      <c r="L546" s="28" t="n"/>
      <c r="M546" s="59">
        <f>IF(C546="","",IFERROR(INDEX('6. Base de Custos'!$N$8:$N$42,MATCH(C546,'6. Base de Custos'!$L$8:$L$42,0)),"Não classificado"))</f>
        <v/>
      </c>
      <c r="N546" s="59">
        <f>IF(C546="","",IFERROR(INDEX('6. Base de Custos'!$O$8:$O$42,MATCH(C546,'6. Base de Custos'!$L$8:$L$42,0)),"Revisar"))</f>
        <v/>
      </c>
      <c r="O546" s="60">
        <f>IF(M546="","",IFERROR(VLOOKUP(M546,'6. Base de Custos'!$H$12:$J$18,3,FALSE),0))</f>
        <v/>
      </c>
      <c r="P546" s="59">
        <f>IF(C546="","",IFERROR(INDEX('6. Base de Custos'!$P$8:$P$42,MATCH(C546,'6. Base de Custos'!$L$8:$L$42,0)),"Revisar"))</f>
        <v/>
      </c>
      <c r="Q546" s="59">
        <f>IF(C546="","",IFERROR(INDEX('6. Base de Custos'!$Q$8:$Q$42,MATCH(C546,'6. Base de Custos'!$L$8:$L$42,0)),""))</f>
        <v/>
      </c>
      <c r="R546" s="65">
        <f>IF(C546="","",IFERROR(VLOOKUP(M546&amp;"|"&amp;N546,'17. Mapa DRE CP'!$E$5:$H$100,2,FALSE),"Revisar"))</f>
        <v/>
      </c>
      <c r="S546" s="65">
        <f>IF(C546="","",IFERROR(VLOOKUP(M546&amp;"|"&amp;N546,'17. Mapa DRE CP'!$E$5:$H$100,3,FALSE),"Revisar"))</f>
        <v/>
      </c>
      <c r="T546" s="65">
        <f>IF(C546="","",IF(R546="(-) Custos diretos dos serviços",IF(ISNUMBER(SEARCH("PCMSO",C546)),"PCMSO",IF(OR(ISNUMBER(SEARCH("SGS",C546)),ISNUMBER(SEARCH("CASTRO NAVES",C546))),"Projetos / Laudos / Avulsos","Projetos / Laudos / Avulsos")),"Rateio pela receita bruta"))</f>
        <v/>
      </c>
      <c r="U546" s="65">
        <f>IF(C546="","",IF(R546="(-) Custos diretos dos serviços","Direto por fornecedor/natureza do gasto","Rateio proporcional à receita bruta da linha de serviço"))</f>
        <v/>
      </c>
    </row>
    <row r="547">
      <c r="A547" s="28">
        <f>IF(C547="","", "CP-"&amp;TEXT(ROW()-5,"000"))</f>
        <v/>
      </c>
      <c r="B547" s="27">
        <f>IF(F547="","",DATE(YEAR(F547),MONTH(F547),1))</f>
        <v/>
      </c>
      <c r="C547" s="28" t="n"/>
      <c r="D547" s="28" t="n"/>
      <c r="E547" s="59">
        <f>IF(C547="","",IFERROR(INDEX('6. Base de Custos'!$M$8:$M$42,MATCH(C547,'6. Base de Custos'!$L$8:$L$42,0)),"Não classificado"))</f>
        <v/>
      </c>
      <c r="F547" s="111" t="n"/>
      <c r="G547" s="111" t="n"/>
      <c r="H547" s="111" t="n"/>
      <c r="I547" s="45" t="n"/>
      <c r="J547" s="28" t="n"/>
      <c r="K547" s="28" t="n"/>
      <c r="L547" s="28" t="n"/>
      <c r="M547" s="59">
        <f>IF(C547="","",IFERROR(INDEX('6. Base de Custos'!$N$8:$N$42,MATCH(C547,'6. Base de Custos'!$L$8:$L$42,0)),"Não classificado"))</f>
        <v/>
      </c>
      <c r="N547" s="59">
        <f>IF(C547="","",IFERROR(INDEX('6. Base de Custos'!$O$8:$O$42,MATCH(C547,'6. Base de Custos'!$L$8:$L$42,0)),"Revisar"))</f>
        <v/>
      </c>
      <c r="O547" s="60">
        <f>IF(M547="","",IFERROR(VLOOKUP(M547,'6. Base de Custos'!$H$12:$J$18,3,FALSE),0))</f>
        <v/>
      </c>
      <c r="P547" s="59">
        <f>IF(C547="","",IFERROR(INDEX('6. Base de Custos'!$P$8:$P$42,MATCH(C547,'6. Base de Custos'!$L$8:$L$42,0)),"Revisar"))</f>
        <v/>
      </c>
      <c r="Q547" s="59">
        <f>IF(C547="","",IFERROR(INDEX('6. Base de Custos'!$Q$8:$Q$42,MATCH(C547,'6. Base de Custos'!$L$8:$L$42,0)),""))</f>
        <v/>
      </c>
      <c r="R547" s="65">
        <f>IF(C547="","",IFERROR(VLOOKUP(M547&amp;"|"&amp;N547,'17. Mapa DRE CP'!$E$5:$H$100,2,FALSE),"Revisar"))</f>
        <v/>
      </c>
      <c r="S547" s="65">
        <f>IF(C547="","",IFERROR(VLOOKUP(M547&amp;"|"&amp;N547,'17. Mapa DRE CP'!$E$5:$H$100,3,FALSE),"Revisar"))</f>
        <v/>
      </c>
      <c r="T547" s="65">
        <f>IF(C547="","",IF(R547="(-) Custos diretos dos serviços",IF(ISNUMBER(SEARCH("PCMSO",C547)),"PCMSO",IF(OR(ISNUMBER(SEARCH("SGS",C547)),ISNUMBER(SEARCH("CASTRO NAVES",C547))),"Projetos / Laudos / Avulsos","Projetos / Laudos / Avulsos")),"Rateio pela receita bruta"))</f>
        <v/>
      </c>
      <c r="U547" s="65">
        <f>IF(C547="","",IF(R547="(-) Custos diretos dos serviços","Direto por fornecedor/natureza do gasto","Rateio proporcional à receita bruta da linha de serviço"))</f>
        <v/>
      </c>
    </row>
    <row r="548">
      <c r="A548" s="28">
        <f>IF(C548="","", "CP-"&amp;TEXT(ROW()-5,"000"))</f>
        <v/>
      </c>
      <c r="B548" s="27">
        <f>IF(F548="","",DATE(YEAR(F548),MONTH(F548),1))</f>
        <v/>
      </c>
      <c r="C548" s="28" t="n"/>
      <c r="D548" s="28" t="n"/>
      <c r="E548" s="59">
        <f>IF(C548="","",IFERROR(INDEX('6. Base de Custos'!$M$8:$M$42,MATCH(C548,'6. Base de Custos'!$L$8:$L$42,0)),"Não classificado"))</f>
        <v/>
      </c>
      <c r="F548" s="111" t="n"/>
      <c r="G548" s="111" t="n"/>
      <c r="H548" s="111" t="n"/>
      <c r="I548" s="45" t="n"/>
      <c r="J548" s="28" t="n"/>
      <c r="K548" s="28" t="n"/>
      <c r="L548" s="28" t="n"/>
      <c r="M548" s="59">
        <f>IF(C548="","",IFERROR(INDEX('6. Base de Custos'!$N$8:$N$42,MATCH(C548,'6. Base de Custos'!$L$8:$L$42,0)),"Não classificado"))</f>
        <v/>
      </c>
      <c r="N548" s="59">
        <f>IF(C548="","",IFERROR(INDEX('6. Base de Custos'!$O$8:$O$42,MATCH(C548,'6. Base de Custos'!$L$8:$L$42,0)),"Revisar"))</f>
        <v/>
      </c>
      <c r="O548" s="60">
        <f>IF(M548="","",IFERROR(VLOOKUP(M548,'6. Base de Custos'!$H$12:$J$18,3,FALSE),0))</f>
        <v/>
      </c>
      <c r="P548" s="59">
        <f>IF(C548="","",IFERROR(INDEX('6. Base de Custos'!$P$8:$P$42,MATCH(C548,'6. Base de Custos'!$L$8:$L$42,0)),"Revisar"))</f>
        <v/>
      </c>
      <c r="Q548" s="59">
        <f>IF(C548="","",IFERROR(INDEX('6. Base de Custos'!$Q$8:$Q$42,MATCH(C548,'6. Base de Custos'!$L$8:$L$42,0)),""))</f>
        <v/>
      </c>
      <c r="R548" s="65">
        <f>IF(C548="","",IFERROR(VLOOKUP(M548&amp;"|"&amp;N548,'17. Mapa DRE CP'!$E$5:$H$100,2,FALSE),"Revisar"))</f>
        <v/>
      </c>
      <c r="S548" s="65">
        <f>IF(C548="","",IFERROR(VLOOKUP(M548&amp;"|"&amp;N548,'17. Mapa DRE CP'!$E$5:$H$100,3,FALSE),"Revisar"))</f>
        <v/>
      </c>
      <c r="T548" s="65">
        <f>IF(C548="","",IF(R548="(-) Custos diretos dos serviços",IF(ISNUMBER(SEARCH("PCMSO",C548)),"PCMSO",IF(OR(ISNUMBER(SEARCH("SGS",C548)),ISNUMBER(SEARCH("CASTRO NAVES",C548))),"Projetos / Laudos / Avulsos","Projetos / Laudos / Avulsos")),"Rateio pela receita bruta"))</f>
        <v/>
      </c>
      <c r="U548" s="65">
        <f>IF(C548="","",IF(R548="(-) Custos diretos dos serviços","Direto por fornecedor/natureza do gasto","Rateio proporcional à receita bruta da linha de serviço"))</f>
        <v/>
      </c>
    </row>
    <row r="549">
      <c r="A549" s="28">
        <f>IF(C549="","", "CP-"&amp;TEXT(ROW()-5,"000"))</f>
        <v/>
      </c>
      <c r="B549" s="27">
        <f>IF(F549="","",DATE(YEAR(F549),MONTH(F549),1))</f>
        <v/>
      </c>
      <c r="C549" s="28" t="n"/>
      <c r="D549" s="28" t="n"/>
      <c r="E549" s="59">
        <f>IF(C549="","",IFERROR(INDEX('6. Base de Custos'!$M$8:$M$42,MATCH(C549,'6. Base de Custos'!$L$8:$L$42,0)),"Não classificado"))</f>
        <v/>
      </c>
      <c r="F549" s="111" t="n"/>
      <c r="G549" s="111" t="n"/>
      <c r="H549" s="111" t="n"/>
      <c r="I549" s="45" t="n"/>
      <c r="J549" s="28" t="n"/>
      <c r="K549" s="28" t="n"/>
      <c r="L549" s="28" t="n"/>
      <c r="M549" s="59">
        <f>IF(C549="","",IFERROR(INDEX('6. Base de Custos'!$N$8:$N$42,MATCH(C549,'6. Base de Custos'!$L$8:$L$42,0)),"Não classificado"))</f>
        <v/>
      </c>
      <c r="N549" s="59">
        <f>IF(C549="","",IFERROR(INDEX('6. Base de Custos'!$O$8:$O$42,MATCH(C549,'6. Base de Custos'!$L$8:$L$42,0)),"Revisar"))</f>
        <v/>
      </c>
      <c r="O549" s="60">
        <f>IF(M549="","",IFERROR(VLOOKUP(M549,'6. Base de Custos'!$H$12:$J$18,3,FALSE),0))</f>
        <v/>
      </c>
      <c r="P549" s="59">
        <f>IF(C549="","",IFERROR(INDEX('6. Base de Custos'!$P$8:$P$42,MATCH(C549,'6. Base de Custos'!$L$8:$L$42,0)),"Revisar"))</f>
        <v/>
      </c>
      <c r="Q549" s="59">
        <f>IF(C549="","",IFERROR(INDEX('6. Base de Custos'!$Q$8:$Q$42,MATCH(C549,'6. Base de Custos'!$L$8:$L$42,0)),""))</f>
        <v/>
      </c>
      <c r="R549" s="65">
        <f>IF(C549="","",IFERROR(VLOOKUP(M549&amp;"|"&amp;N549,'17. Mapa DRE CP'!$E$5:$H$100,2,FALSE),"Revisar"))</f>
        <v/>
      </c>
      <c r="S549" s="65">
        <f>IF(C549="","",IFERROR(VLOOKUP(M549&amp;"|"&amp;N549,'17. Mapa DRE CP'!$E$5:$H$100,3,FALSE),"Revisar"))</f>
        <v/>
      </c>
      <c r="T549" s="65">
        <f>IF(C549="","",IF(R549="(-) Custos diretos dos serviços",IF(ISNUMBER(SEARCH("PCMSO",C549)),"PCMSO",IF(OR(ISNUMBER(SEARCH("SGS",C549)),ISNUMBER(SEARCH("CASTRO NAVES",C549))),"Projetos / Laudos / Avulsos","Projetos / Laudos / Avulsos")),"Rateio pela receita bruta"))</f>
        <v/>
      </c>
      <c r="U549" s="65">
        <f>IF(C549="","",IF(R549="(-) Custos diretos dos serviços","Direto por fornecedor/natureza do gasto","Rateio proporcional à receita bruta da linha de serviço"))</f>
        <v/>
      </c>
    </row>
    <row r="550">
      <c r="A550" s="28">
        <f>IF(C550="","", "CP-"&amp;TEXT(ROW()-5,"000"))</f>
        <v/>
      </c>
      <c r="B550" s="27">
        <f>IF(F550="","",DATE(YEAR(F550),MONTH(F550),1))</f>
        <v/>
      </c>
      <c r="C550" s="28" t="n"/>
      <c r="D550" s="28" t="n"/>
      <c r="E550" s="59">
        <f>IF(C550="","",IFERROR(INDEX('6. Base de Custos'!$M$8:$M$42,MATCH(C550,'6. Base de Custos'!$L$8:$L$42,0)),"Não classificado"))</f>
        <v/>
      </c>
      <c r="F550" s="111" t="n"/>
      <c r="G550" s="111" t="n"/>
      <c r="H550" s="111" t="n"/>
      <c r="I550" s="45" t="n"/>
      <c r="J550" s="28" t="n"/>
      <c r="K550" s="28" t="n"/>
      <c r="L550" s="28" t="n"/>
      <c r="M550" s="59">
        <f>IF(C550="","",IFERROR(INDEX('6. Base de Custos'!$N$8:$N$42,MATCH(C550,'6. Base de Custos'!$L$8:$L$42,0)),"Não classificado"))</f>
        <v/>
      </c>
      <c r="N550" s="59">
        <f>IF(C550="","",IFERROR(INDEX('6. Base de Custos'!$O$8:$O$42,MATCH(C550,'6. Base de Custos'!$L$8:$L$42,0)),"Revisar"))</f>
        <v/>
      </c>
      <c r="O550" s="60">
        <f>IF(M550="","",IFERROR(VLOOKUP(M550,'6. Base de Custos'!$H$12:$J$18,3,FALSE),0))</f>
        <v/>
      </c>
      <c r="P550" s="59">
        <f>IF(C550="","",IFERROR(INDEX('6. Base de Custos'!$P$8:$P$42,MATCH(C550,'6. Base de Custos'!$L$8:$L$42,0)),"Revisar"))</f>
        <v/>
      </c>
      <c r="Q550" s="59">
        <f>IF(C550="","",IFERROR(INDEX('6. Base de Custos'!$Q$8:$Q$42,MATCH(C550,'6. Base de Custos'!$L$8:$L$42,0)),""))</f>
        <v/>
      </c>
      <c r="R550" s="65">
        <f>IF(C550="","",IFERROR(VLOOKUP(M550&amp;"|"&amp;N550,'17. Mapa DRE CP'!$E$5:$H$100,2,FALSE),"Revisar"))</f>
        <v/>
      </c>
      <c r="S550" s="65">
        <f>IF(C550="","",IFERROR(VLOOKUP(M550&amp;"|"&amp;N550,'17. Mapa DRE CP'!$E$5:$H$100,3,FALSE),"Revisar"))</f>
        <v/>
      </c>
      <c r="T550" s="65">
        <f>IF(C550="","",IF(R550="(-) Custos diretos dos serviços",IF(ISNUMBER(SEARCH("PCMSO",C550)),"PCMSO",IF(OR(ISNUMBER(SEARCH("SGS",C550)),ISNUMBER(SEARCH("CASTRO NAVES",C550))),"Projetos / Laudos / Avulsos","Projetos / Laudos / Avulsos")),"Rateio pela receita bruta"))</f>
        <v/>
      </c>
      <c r="U550" s="65">
        <f>IF(C550="","",IF(R550="(-) Custos diretos dos serviços","Direto por fornecedor/natureza do gasto","Rateio proporcional à receita bruta da linha de serviço"))</f>
        <v/>
      </c>
    </row>
    <row r="551">
      <c r="A551" s="28">
        <f>IF(C551="","", "CP-"&amp;TEXT(ROW()-5,"000"))</f>
        <v/>
      </c>
      <c r="B551" s="27">
        <f>IF(F551="","",DATE(YEAR(F551),MONTH(F551),1))</f>
        <v/>
      </c>
      <c r="C551" s="28" t="n"/>
      <c r="D551" s="28" t="n"/>
      <c r="E551" s="59">
        <f>IF(C551="","",IFERROR(INDEX('6. Base de Custos'!$M$8:$M$42,MATCH(C551,'6. Base de Custos'!$L$8:$L$42,0)),"Não classificado"))</f>
        <v/>
      </c>
      <c r="F551" s="111" t="n"/>
      <c r="G551" s="111" t="n"/>
      <c r="H551" s="111" t="n"/>
      <c r="I551" s="45" t="n"/>
      <c r="J551" s="28" t="n"/>
      <c r="K551" s="28" t="n"/>
      <c r="L551" s="28" t="n"/>
      <c r="M551" s="59">
        <f>IF(C551="","",IFERROR(INDEX('6. Base de Custos'!$N$8:$N$42,MATCH(C551,'6. Base de Custos'!$L$8:$L$42,0)),"Não classificado"))</f>
        <v/>
      </c>
      <c r="N551" s="59">
        <f>IF(C551="","",IFERROR(INDEX('6. Base de Custos'!$O$8:$O$42,MATCH(C551,'6. Base de Custos'!$L$8:$L$42,0)),"Revisar"))</f>
        <v/>
      </c>
      <c r="O551" s="60">
        <f>IF(M551="","",IFERROR(VLOOKUP(M551,'6. Base de Custos'!$H$12:$J$18,3,FALSE),0))</f>
        <v/>
      </c>
      <c r="P551" s="59">
        <f>IF(C551="","",IFERROR(INDEX('6. Base de Custos'!$P$8:$P$42,MATCH(C551,'6. Base de Custos'!$L$8:$L$42,0)),"Revisar"))</f>
        <v/>
      </c>
      <c r="Q551" s="59">
        <f>IF(C551="","",IFERROR(INDEX('6. Base de Custos'!$Q$8:$Q$42,MATCH(C551,'6. Base de Custos'!$L$8:$L$42,0)),""))</f>
        <v/>
      </c>
      <c r="R551" s="65">
        <f>IF(C551="","",IFERROR(VLOOKUP(M551&amp;"|"&amp;N551,'17. Mapa DRE CP'!$E$5:$H$100,2,FALSE),"Revisar"))</f>
        <v/>
      </c>
      <c r="S551" s="65">
        <f>IF(C551="","",IFERROR(VLOOKUP(M551&amp;"|"&amp;N551,'17. Mapa DRE CP'!$E$5:$H$100,3,FALSE),"Revisar"))</f>
        <v/>
      </c>
      <c r="T551" s="65">
        <f>IF(C551="","",IF(R551="(-) Custos diretos dos serviços",IF(ISNUMBER(SEARCH("PCMSO",C551)),"PCMSO",IF(OR(ISNUMBER(SEARCH("SGS",C551)),ISNUMBER(SEARCH("CASTRO NAVES",C551))),"Projetos / Laudos / Avulsos","Projetos / Laudos / Avulsos")),"Rateio pela receita bruta"))</f>
        <v/>
      </c>
      <c r="U551" s="65">
        <f>IF(C551="","",IF(R551="(-) Custos diretos dos serviços","Direto por fornecedor/natureza do gasto","Rateio proporcional à receita bruta da linha de serviço"))</f>
        <v/>
      </c>
    </row>
    <row r="552">
      <c r="A552" s="28">
        <f>IF(C552="","", "CP-"&amp;TEXT(ROW()-5,"000"))</f>
        <v/>
      </c>
      <c r="B552" s="27">
        <f>IF(F552="","",DATE(YEAR(F552),MONTH(F552),1))</f>
        <v/>
      </c>
      <c r="C552" s="28" t="n"/>
      <c r="D552" s="28" t="n"/>
      <c r="E552" s="59">
        <f>IF(C552="","",IFERROR(INDEX('6. Base de Custos'!$M$8:$M$42,MATCH(C552,'6. Base de Custos'!$L$8:$L$42,0)),"Não classificado"))</f>
        <v/>
      </c>
      <c r="F552" s="111" t="n"/>
      <c r="G552" s="111" t="n"/>
      <c r="H552" s="111" t="n"/>
      <c r="I552" s="45" t="n"/>
      <c r="J552" s="28" t="n"/>
      <c r="K552" s="28" t="n"/>
      <c r="L552" s="28" t="n"/>
      <c r="M552" s="59">
        <f>IF(C552="","",IFERROR(INDEX('6. Base de Custos'!$N$8:$N$42,MATCH(C552,'6. Base de Custos'!$L$8:$L$42,0)),"Não classificado"))</f>
        <v/>
      </c>
      <c r="N552" s="59">
        <f>IF(C552="","",IFERROR(INDEX('6. Base de Custos'!$O$8:$O$42,MATCH(C552,'6. Base de Custos'!$L$8:$L$42,0)),"Revisar"))</f>
        <v/>
      </c>
      <c r="O552" s="60">
        <f>IF(M552="","",IFERROR(VLOOKUP(M552,'6. Base de Custos'!$H$12:$J$18,3,FALSE),0))</f>
        <v/>
      </c>
      <c r="P552" s="59">
        <f>IF(C552="","",IFERROR(INDEX('6. Base de Custos'!$P$8:$P$42,MATCH(C552,'6. Base de Custos'!$L$8:$L$42,0)),"Revisar"))</f>
        <v/>
      </c>
      <c r="Q552" s="59">
        <f>IF(C552="","",IFERROR(INDEX('6. Base de Custos'!$Q$8:$Q$42,MATCH(C552,'6. Base de Custos'!$L$8:$L$42,0)),""))</f>
        <v/>
      </c>
      <c r="R552" s="65">
        <f>IF(C552="","",IFERROR(VLOOKUP(M552&amp;"|"&amp;N552,'17. Mapa DRE CP'!$E$5:$H$100,2,FALSE),"Revisar"))</f>
        <v/>
      </c>
      <c r="S552" s="65">
        <f>IF(C552="","",IFERROR(VLOOKUP(M552&amp;"|"&amp;N552,'17. Mapa DRE CP'!$E$5:$H$100,3,FALSE),"Revisar"))</f>
        <v/>
      </c>
      <c r="T552" s="65">
        <f>IF(C552="","",IF(R552="(-) Custos diretos dos serviços",IF(ISNUMBER(SEARCH("PCMSO",C552)),"PCMSO",IF(OR(ISNUMBER(SEARCH("SGS",C552)),ISNUMBER(SEARCH("CASTRO NAVES",C552))),"Projetos / Laudos / Avulsos","Projetos / Laudos / Avulsos")),"Rateio pela receita bruta"))</f>
        <v/>
      </c>
      <c r="U552" s="65">
        <f>IF(C552="","",IF(R552="(-) Custos diretos dos serviços","Direto por fornecedor/natureza do gasto","Rateio proporcional à receita bruta da linha de serviço"))</f>
        <v/>
      </c>
    </row>
    <row r="553">
      <c r="A553" s="28">
        <f>IF(C553="","", "CP-"&amp;TEXT(ROW()-5,"000"))</f>
        <v/>
      </c>
      <c r="B553" s="27">
        <f>IF(F553="","",DATE(YEAR(F553),MONTH(F553),1))</f>
        <v/>
      </c>
      <c r="C553" s="28" t="n"/>
      <c r="D553" s="28" t="n"/>
      <c r="E553" s="59">
        <f>IF(C553="","",IFERROR(INDEX('6. Base de Custos'!$M$8:$M$42,MATCH(C553,'6. Base de Custos'!$L$8:$L$42,0)),"Não classificado"))</f>
        <v/>
      </c>
      <c r="F553" s="111" t="n"/>
      <c r="G553" s="111" t="n"/>
      <c r="H553" s="111" t="n"/>
      <c r="I553" s="45" t="n"/>
      <c r="J553" s="28" t="n"/>
      <c r="K553" s="28" t="n"/>
      <c r="L553" s="28" t="n"/>
      <c r="M553" s="59">
        <f>IF(C553="","",IFERROR(INDEX('6. Base de Custos'!$N$8:$N$42,MATCH(C553,'6. Base de Custos'!$L$8:$L$42,0)),"Não classificado"))</f>
        <v/>
      </c>
      <c r="N553" s="59">
        <f>IF(C553="","",IFERROR(INDEX('6. Base de Custos'!$O$8:$O$42,MATCH(C553,'6. Base de Custos'!$L$8:$L$42,0)),"Revisar"))</f>
        <v/>
      </c>
      <c r="O553" s="60">
        <f>IF(M553="","",IFERROR(VLOOKUP(M553,'6. Base de Custos'!$H$12:$J$18,3,FALSE),0))</f>
        <v/>
      </c>
      <c r="P553" s="59">
        <f>IF(C553="","",IFERROR(INDEX('6. Base de Custos'!$P$8:$P$42,MATCH(C553,'6. Base de Custos'!$L$8:$L$42,0)),"Revisar"))</f>
        <v/>
      </c>
      <c r="Q553" s="59">
        <f>IF(C553="","",IFERROR(INDEX('6. Base de Custos'!$Q$8:$Q$42,MATCH(C553,'6. Base de Custos'!$L$8:$L$42,0)),""))</f>
        <v/>
      </c>
      <c r="R553" s="65">
        <f>IF(C553="","",IFERROR(VLOOKUP(M553&amp;"|"&amp;N553,'17. Mapa DRE CP'!$E$5:$H$100,2,FALSE),"Revisar"))</f>
        <v/>
      </c>
      <c r="S553" s="65">
        <f>IF(C553="","",IFERROR(VLOOKUP(M553&amp;"|"&amp;N553,'17. Mapa DRE CP'!$E$5:$H$100,3,FALSE),"Revisar"))</f>
        <v/>
      </c>
      <c r="T553" s="65">
        <f>IF(C553="","",IF(R553="(-) Custos diretos dos serviços",IF(ISNUMBER(SEARCH("PCMSO",C553)),"PCMSO",IF(OR(ISNUMBER(SEARCH("SGS",C553)),ISNUMBER(SEARCH("CASTRO NAVES",C553))),"Projetos / Laudos / Avulsos","Projetos / Laudos / Avulsos")),"Rateio pela receita bruta"))</f>
        <v/>
      </c>
      <c r="U553" s="65">
        <f>IF(C553="","",IF(R553="(-) Custos diretos dos serviços","Direto por fornecedor/natureza do gasto","Rateio proporcional à receita bruta da linha de serviço"))</f>
        <v/>
      </c>
    </row>
    <row r="554">
      <c r="A554" s="28">
        <f>IF(C554="","", "CP-"&amp;TEXT(ROW()-5,"000"))</f>
        <v/>
      </c>
      <c r="B554" s="27">
        <f>IF(F554="","",DATE(YEAR(F554),MONTH(F554),1))</f>
        <v/>
      </c>
      <c r="C554" s="28" t="n"/>
      <c r="D554" s="28" t="n"/>
      <c r="E554" s="59">
        <f>IF(C554="","",IFERROR(INDEX('6. Base de Custos'!$M$8:$M$42,MATCH(C554,'6. Base de Custos'!$L$8:$L$42,0)),"Não classificado"))</f>
        <v/>
      </c>
      <c r="F554" s="111" t="n"/>
      <c r="G554" s="111" t="n"/>
      <c r="H554" s="111" t="n"/>
      <c r="I554" s="45" t="n"/>
      <c r="J554" s="28" t="n"/>
      <c r="K554" s="28" t="n"/>
      <c r="L554" s="28" t="n"/>
      <c r="M554" s="59">
        <f>IF(C554="","",IFERROR(INDEX('6. Base de Custos'!$N$8:$N$42,MATCH(C554,'6. Base de Custos'!$L$8:$L$42,0)),"Não classificado"))</f>
        <v/>
      </c>
      <c r="N554" s="59">
        <f>IF(C554="","",IFERROR(INDEX('6. Base de Custos'!$O$8:$O$42,MATCH(C554,'6. Base de Custos'!$L$8:$L$42,0)),"Revisar"))</f>
        <v/>
      </c>
      <c r="O554" s="60">
        <f>IF(M554="","",IFERROR(VLOOKUP(M554,'6. Base de Custos'!$H$12:$J$18,3,FALSE),0))</f>
        <v/>
      </c>
      <c r="P554" s="59">
        <f>IF(C554="","",IFERROR(INDEX('6. Base de Custos'!$P$8:$P$42,MATCH(C554,'6. Base de Custos'!$L$8:$L$42,0)),"Revisar"))</f>
        <v/>
      </c>
      <c r="Q554" s="59">
        <f>IF(C554="","",IFERROR(INDEX('6. Base de Custos'!$Q$8:$Q$42,MATCH(C554,'6. Base de Custos'!$L$8:$L$42,0)),""))</f>
        <v/>
      </c>
      <c r="R554" s="65">
        <f>IF(C554="","",IFERROR(VLOOKUP(M554&amp;"|"&amp;N554,'17. Mapa DRE CP'!$E$5:$H$100,2,FALSE),"Revisar"))</f>
        <v/>
      </c>
      <c r="S554" s="65">
        <f>IF(C554="","",IFERROR(VLOOKUP(M554&amp;"|"&amp;N554,'17. Mapa DRE CP'!$E$5:$H$100,3,FALSE),"Revisar"))</f>
        <v/>
      </c>
      <c r="T554" s="65">
        <f>IF(C554="","",IF(R554="(-) Custos diretos dos serviços",IF(ISNUMBER(SEARCH("PCMSO",C554)),"PCMSO",IF(OR(ISNUMBER(SEARCH("SGS",C554)),ISNUMBER(SEARCH("CASTRO NAVES",C554))),"Projetos / Laudos / Avulsos","Projetos / Laudos / Avulsos")),"Rateio pela receita bruta"))</f>
        <v/>
      </c>
      <c r="U554" s="65">
        <f>IF(C554="","",IF(R554="(-) Custos diretos dos serviços","Direto por fornecedor/natureza do gasto","Rateio proporcional à receita bruta da linha de serviço"))</f>
        <v/>
      </c>
    </row>
    <row r="555">
      <c r="A555" s="28">
        <f>IF(C555="","", "CP-"&amp;TEXT(ROW()-5,"000"))</f>
        <v/>
      </c>
      <c r="B555" s="27">
        <f>IF(F555="","",DATE(YEAR(F555),MONTH(F555),1))</f>
        <v/>
      </c>
      <c r="C555" s="28" t="n"/>
      <c r="D555" s="28" t="n"/>
      <c r="E555" s="59">
        <f>IF(C555="","",IFERROR(INDEX('6. Base de Custos'!$M$8:$M$42,MATCH(C555,'6. Base de Custos'!$L$8:$L$42,0)),"Não classificado"))</f>
        <v/>
      </c>
      <c r="F555" s="111" t="n"/>
      <c r="G555" s="111" t="n"/>
      <c r="H555" s="111" t="n"/>
      <c r="I555" s="45" t="n"/>
      <c r="J555" s="28" t="n"/>
      <c r="K555" s="28" t="n"/>
      <c r="L555" s="28" t="n"/>
      <c r="M555" s="59">
        <f>IF(C555="","",IFERROR(INDEX('6. Base de Custos'!$N$8:$N$42,MATCH(C555,'6. Base de Custos'!$L$8:$L$42,0)),"Não classificado"))</f>
        <v/>
      </c>
      <c r="N555" s="59">
        <f>IF(C555="","",IFERROR(INDEX('6. Base de Custos'!$O$8:$O$42,MATCH(C555,'6. Base de Custos'!$L$8:$L$42,0)),"Revisar"))</f>
        <v/>
      </c>
      <c r="O555" s="60">
        <f>IF(M555="","",IFERROR(VLOOKUP(M555,'6. Base de Custos'!$H$12:$J$18,3,FALSE),0))</f>
        <v/>
      </c>
      <c r="P555" s="59">
        <f>IF(C555="","",IFERROR(INDEX('6. Base de Custos'!$P$8:$P$42,MATCH(C555,'6. Base de Custos'!$L$8:$L$42,0)),"Revisar"))</f>
        <v/>
      </c>
      <c r="Q555" s="59">
        <f>IF(C555="","",IFERROR(INDEX('6. Base de Custos'!$Q$8:$Q$42,MATCH(C555,'6. Base de Custos'!$L$8:$L$42,0)),""))</f>
        <v/>
      </c>
      <c r="R555" s="65">
        <f>IF(C555="","",IFERROR(VLOOKUP(M555&amp;"|"&amp;N555,'17. Mapa DRE CP'!$E$5:$H$100,2,FALSE),"Revisar"))</f>
        <v/>
      </c>
      <c r="S555" s="65">
        <f>IF(C555="","",IFERROR(VLOOKUP(M555&amp;"|"&amp;N555,'17. Mapa DRE CP'!$E$5:$H$100,3,FALSE),"Revisar"))</f>
        <v/>
      </c>
      <c r="T555" s="65">
        <f>IF(C555="","",IF(R555="(-) Custos diretos dos serviços",IF(ISNUMBER(SEARCH("PCMSO",C555)),"PCMSO",IF(OR(ISNUMBER(SEARCH("SGS",C555)),ISNUMBER(SEARCH("CASTRO NAVES",C555))),"Projetos / Laudos / Avulsos","Projetos / Laudos / Avulsos")),"Rateio pela receita bruta"))</f>
        <v/>
      </c>
      <c r="U555" s="65">
        <f>IF(C555="","",IF(R555="(-) Custos diretos dos serviços","Direto por fornecedor/natureza do gasto","Rateio proporcional à receita bruta da linha de serviço"))</f>
        <v/>
      </c>
    </row>
    <row r="556">
      <c r="A556" s="28">
        <f>IF(C556="","", "CP-"&amp;TEXT(ROW()-5,"000"))</f>
        <v/>
      </c>
      <c r="B556" s="27">
        <f>IF(F556="","",DATE(YEAR(F556),MONTH(F556),1))</f>
        <v/>
      </c>
      <c r="C556" s="28" t="n"/>
      <c r="D556" s="28" t="n"/>
      <c r="E556" s="59">
        <f>IF(C556="","",IFERROR(INDEX('6. Base de Custos'!$M$8:$M$42,MATCH(C556,'6. Base de Custos'!$L$8:$L$42,0)),"Não classificado"))</f>
        <v/>
      </c>
      <c r="F556" s="111" t="n"/>
      <c r="G556" s="111" t="n"/>
      <c r="H556" s="111" t="n"/>
      <c r="I556" s="45" t="n"/>
      <c r="J556" s="28" t="n"/>
      <c r="K556" s="28" t="n"/>
      <c r="L556" s="28" t="n"/>
      <c r="M556" s="59">
        <f>IF(C556="","",IFERROR(INDEX('6. Base de Custos'!$N$8:$N$42,MATCH(C556,'6. Base de Custos'!$L$8:$L$42,0)),"Não classificado"))</f>
        <v/>
      </c>
      <c r="N556" s="59">
        <f>IF(C556="","",IFERROR(INDEX('6. Base de Custos'!$O$8:$O$42,MATCH(C556,'6. Base de Custos'!$L$8:$L$42,0)),"Revisar"))</f>
        <v/>
      </c>
      <c r="O556" s="60">
        <f>IF(M556="","",IFERROR(VLOOKUP(M556,'6. Base de Custos'!$H$12:$J$18,3,FALSE),0))</f>
        <v/>
      </c>
      <c r="P556" s="59">
        <f>IF(C556="","",IFERROR(INDEX('6. Base de Custos'!$P$8:$P$42,MATCH(C556,'6. Base de Custos'!$L$8:$L$42,0)),"Revisar"))</f>
        <v/>
      </c>
      <c r="Q556" s="59">
        <f>IF(C556="","",IFERROR(INDEX('6. Base de Custos'!$Q$8:$Q$42,MATCH(C556,'6. Base de Custos'!$L$8:$L$42,0)),""))</f>
        <v/>
      </c>
      <c r="R556" s="65">
        <f>IF(C556="","",IFERROR(VLOOKUP(M556&amp;"|"&amp;N556,'17. Mapa DRE CP'!$E$5:$H$100,2,FALSE),"Revisar"))</f>
        <v/>
      </c>
      <c r="S556" s="65">
        <f>IF(C556="","",IFERROR(VLOOKUP(M556&amp;"|"&amp;N556,'17. Mapa DRE CP'!$E$5:$H$100,3,FALSE),"Revisar"))</f>
        <v/>
      </c>
      <c r="T556" s="65">
        <f>IF(C556="","",IF(R556="(-) Custos diretos dos serviços",IF(ISNUMBER(SEARCH("PCMSO",C556)),"PCMSO",IF(OR(ISNUMBER(SEARCH("SGS",C556)),ISNUMBER(SEARCH("CASTRO NAVES",C556))),"Projetos / Laudos / Avulsos","Projetos / Laudos / Avulsos")),"Rateio pela receita bruta"))</f>
        <v/>
      </c>
      <c r="U556" s="65">
        <f>IF(C556="","",IF(R556="(-) Custos diretos dos serviços","Direto por fornecedor/natureza do gasto","Rateio proporcional à receita bruta da linha de serviço"))</f>
        <v/>
      </c>
    </row>
    <row r="557">
      <c r="A557" s="28">
        <f>IF(C557="","", "CP-"&amp;TEXT(ROW()-5,"000"))</f>
        <v/>
      </c>
      <c r="B557" s="27">
        <f>IF(F557="","",DATE(YEAR(F557),MONTH(F557),1))</f>
        <v/>
      </c>
      <c r="C557" s="28" t="n"/>
      <c r="D557" s="28" t="n"/>
      <c r="E557" s="59">
        <f>IF(C557="","",IFERROR(INDEX('6. Base de Custos'!$M$8:$M$42,MATCH(C557,'6. Base de Custos'!$L$8:$L$42,0)),"Não classificado"))</f>
        <v/>
      </c>
      <c r="F557" s="111" t="n"/>
      <c r="G557" s="111" t="n"/>
      <c r="H557" s="111" t="n"/>
      <c r="I557" s="45" t="n"/>
      <c r="J557" s="28" t="n"/>
      <c r="K557" s="28" t="n"/>
      <c r="L557" s="28" t="n"/>
      <c r="M557" s="59">
        <f>IF(C557="","",IFERROR(INDEX('6. Base de Custos'!$N$8:$N$42,MATCH(C557,'6. Base de Custos'!$L$8:$L$42,0)),"Não classificado"))</f>
        <v/>
      </c>
      <c r="N557" s="59">
        <f>IF(C557="","",IFERROR(INDEX('6. Base de Custos'!$O$8:$O$42,MATCH(C557,'6. Base de Custos'!$L$8:$L$42,0)),"Revisar"))</f>
        <v/>
      </c>
      <c r="O557" s="60">
        <f>IF(M557="","",IFERROR(VLOOKUP(M557,'6. Base de Custos'!$H$12:$J$18,3,FALSE),0))</f>
        <v/>
      </c>
      <c r="P557" s="59">
        <f>IF(C557="","",IFERROR(INDEX('6. Base de Custos'!$P$8:$P$42,MATCH(C557,'6. Base de Custos'!$L$8:$L$42,0)),"Revisar"))</f>
        <v/>
      </c>
      <c r="Q557" s="59">
        <f>IF(C557="","",IFERROR(INDEX('6. Base de Custos'!$Q$8:$Q$42,MATCH(C557,'6. Base de Custos'!$L$8:$L$42,0)),""))</f>
        <v/>
      </c>
      <c r="R557" s="65">
        <f>IF(C557="","",IFERROR(VLOOKUP(M557&amp;"|"&amp;N557,'17. Mapa DRE CP'!$E$5:$H$100,2,FALSE),"Revisar"))</f>
        <v/>
      </c>
      <c r="S557" s="65">
        <f>IF(C557="","",IFERROR(VLOOKUP(M557&amp;"|"&amp;N557,'17. Mapa DRE CP'!$E$5:$H$100,3,FALSE),"Revisar"))</f>
        <v/>
      </c>
      <c r="T557" s="65">
        <f>IF(C557="","",IF(R557="(-) Custos diretos dos serviços",IF(ISNUMBER(SEARCH("PCMSO",C557)),"PCMSO",IF(OR(ISNUMBER(SEARCH("SGS",C557)),ISNUMBER(SEARCH("CASTRO NAVES",C557))),"Projetos / Laudos / Avulsos","Projetos / Laudos / Avulsos")),"Rateio pela receita bruta"))</f>
        <v/>
      </c>
      <c r="U557" s="65">
        <f>IF(C557="","",IF(R557="(-) Custos diretos dos serviços","Direto por fornecedor/natureza do gasto","Rateio proporcional à receita bruta da linha de serviço"))</f>
        <v/>
      </c>
    </row>
    <row r="558">
      <c r="A558" s="28">
        <f>IF(C558="","", "CP-"&amp;TEXT(ROW()-5,"000"))</f>
        <v/>
      </c>
      <c r="B558" s="27">
        <f>IF(F558="","",DATE(YEAR(F558),MONTH(F558),1))</f>
        <v/>
      </c>
      <c r="C558" s="28" t="n"/>
      <c r="D558" s="28" t="n"/>
      <c r="E558" s="59">
        <f>IF(C558="","",IFERROR(INDEX('6. Base de Custos'!$M$8:$M$42,MATCH(C558,'6. Base de Custos'!$L$8:$L$42,0)),"Não classificado"))</f>
        <v/>
      </c>
      <c r="F558" s="111" t="n"/>
      <c r="G558" s="111" t="n"/>
      <c r="H558" s="111" t="n"/>
      <c r="I558" s="45" t="n"/>
      <c r="J558" s="28" t="n"/>
      <c r="K558" s="28" t="n"/>
      <c r="L558" s="28" t="n"/>
      <c r="M558" s="59">
        <f>IF(C558="","",IFERROR(INDEX('6. Base de Custos'!$N$8:$N$42,MATCH(C558,'6. Base de Custos'!$L$8:$L$42,0)),"Não classificado"))</f>
        <v/>
      </c>
      <c r="N558" s="59">
        <f>IF(C558="","",IFERROR(INDEX('6. Base de Custos'!$O$8:$O$42,MATCH(C558,'6. Base de Custos'!$L$8:$L$42,0)),"Revisar"))</f>
        <v/>
      </c>
      <c r="O558" s="60">
        <f>IF(M558="","",IFERROR(VLOOKUP(M558,'6. Base de Custos'!$H$12:$J$18,3,FALSE),0))</f>
        <v/>
      </c>
      <c r="P558" s="59">
        <f>IF(C558="","",IFERROR(INDEX('6. Base de Custos'!$P$8:$P$42,MATCH(C558,'6. Base de Custos'!$L$8:$L$42,0)),"Revisar"))</f>
        <v/>
      </c>
      <c r="Q558" s="59">
        <f>IF(C558="","",IFERROR(INDEX('6. Base de Custos'!$Q$8:$Q$42,MATCH(C558,'6. Base de Custos'!$L$8:$L$42,0)),""))</f>
        <v/>
      </c>
      <c r="R558" s="65">
        <f>IF(C558="","",IFERROR(VLOOKUP(M558&amp;"|"&amp;N558,'17. Mapa DRE CP'!$E$5:$H$100,2,FALSE),"Revisar"))</f>
        <v/>
      </c>
      <c r="S558" s="65">
        <f>IF(C558="","",IFERROR(VLOOKUP(M558&amp;"|"&amp;N558,'17. Mapa DRE CP'!$E$5:$H$100,3,FALSE),"Revisar"))</f>
        <v/>
      </c>
      <c r="T558" s="65">
        <f>IF(C558="","",IF(R558="(-) Custos diretos dos serviços",IF(ISNUMBER(SEARCH("PCMSO",C558)),"PCMSO",IF(OR(ISNUMBER(SEARCH("SGS",C558)),ISNUMBER(SEARCH("CASTRO NAVES",C558))),"Projetos / Laudos / Avulsos","Projetos / Laudos / Avulsos")),"Rateio pela receita bruta"))</f>
        <v/>
      </c>
      <c r="U558" s="65">
        <f>IF(C558="","",IF(R558="(-) Custos diretos dos serviços","Direto por fornecedor/natureza do gasto","Rateio proporcional à receita bruta da linha de serviço"))</f>
        <v/>
      </c>
    </row>
    <row r="559">
      <c r="A559" s="28">
        <f>IF(C559="","", "CP-"&amp;TEXT(ROW()-5,"000"))</f>
        <v/>
      </c>
      <c r="B559" s="27">
        <f>IF(F559="","",DATE(YEAR(F559),MONTH(F559),1))</f>
        <v/>
      </c>
      <c r="C559" s="28" t="n"/>
      <c r="D559" s="28" t="n"/>
      <c r="E559" s="59">
        <f>IF(C559="","",IFERROR(INDEX('6. Base de Custos'!$M$8:$M$42,MATCH(C559,'6. Base de Custos'!$L$8:$L$42,0)),"Não classificado"))</f>
        <v/>
      </c>
      <c r="F559" s="111" t="n"/>
      <c r="G559" s="111" t="n"/>
      <c r="H559" s="111" t="n"/>
      <c r="I559" s="45" t="n"/>
      <c r="J559" s="28" t="n"/>
      <c r="K559" s="28" t="n"/>
      <c r="L559" s="28" t="n"/>
      <c r="M559" s="59">
        <f>IF(C559="","",IFERROR(INDEX('6. Base de Custos'!$N$8:$N$42,MATCH(C559,'6. Base de Custos'!$L$8:$L$42,0)),"Não classificado"))</f>
        <v/>
      </c>
      <c r="N559" s="59">
        <f>IF(C559="","",IFERROR(INDEX('6. Base de Custos'!$O$8:$O$42,MATCH(C559,'6. Base de Custos'!$L$8:$L$42,0)),"Revisar"))</f>
        <v/>
      </c>
      <c r="O559" s="60">
        <f>IF(M559="","",IFERROR(VLOOKUP(M559,'6. Base de Custos'!$H$12:$J$18,3,FALSE),0))</f>
        <v/>
      </c>
      <c r="P559" s="59">
        <f>IF(C559="","",IFERROR(INDEX('6. Base de Custos'!$P$8:$P$42,MATCH(C559,'6. Base de Custos'!$L$8:$L$42,0)),"Revisar"))</f>
        <v/>
      </c>
      <c r="Q559" s="59">
        <f>IF(C559="","",IFERROR(INDEX('6. Base de Custos'!$Q$8:$Q$42,MATCH(C559,'6. Base de Custos'!$L$8:$L$42,0)),""))</f>
        <v/>
      </c>
      <c r="R559" s="65">
        <f>IF(C559="","",IFERROR(VLOOKUP(M559&amp;"|"&amp;N559,'17. Mapa DRE CP'!$E$5:$H$100,2,FALSE),"Revisar"))</f>
        <v/>
      </c>
      <c r="S559" s="65">
        <f>IF(C559="","",IFERROR(VLOOKUP(M559&amp;"|"&amp;N559,'17. Mapa DRE CP'!$E$5:$H$100,3,FALSE),"Revisar"))</f>
        <v/>
      </c>
      <c r="T559" s="65">
        <f>IF(C559="","",IF(R559="(-) Custos diretos dos serviços",IF(ISNUMBER(SEARCH("PCMSO",C559)),"PCMSO",IF(OR(ISNUMBER(SEARCH("SGS",C559)),ISNUMBER(SEARCH("CASTRO NAVES",C559))),"Projetos / Laudos / Avulsos","Projetos / Laudos / Avulsos")),"Rateio pela receita bruta"))</f>
        <v/>
      </c>
      <c r="U559" s="65">
        <f>IF(C559="","",IF(R559="(-) Custos diretos dos serviços","Direto por fornecedor/natureza do gasto","Rateio proporcional à receita bruta da linha de serviço"))</f>
        <v/>
      </c>
    </row>
    <row r="560">
      <c r="A560" s="28">
        <f>IF(C560="","", "CP-"&amp;TEXT(ROW()-5,"000"))</f>
        <v/>
      </c>
      <c r="B560" s="27">
        <f>IF(F560="","",DATE(YEAR(F560),MONTH(F560),1))</f>
        <v/>
      </c>
      <c r="C560" s="28" t="n"/>
      <c r="D560" s="28" t="n"/>
      <c r="E560" s="59">
        <f>IF(C560="","",IFERROR(INDEX('6. Base de Custos'!$M$8:$M$42,MATCH(C560,'6. Base de Custos'!$L$8:$L$42,0)),"Não classificado"))</f>
        <v/>
      </c>
      <c r="F560" s="111" t="n"/>
      <c r="G560" s="111" t="n"/>
      <c r="H560" s="111" t="n"/>
      <c r="I560" s="45" t="n"/>
      <c r="J560" s="28" t="n"/>
      <c r="K560" s="28" t="n"/>
      <c r="L560" s="28" t="n"/>
      <c r="M560" s="59">
        <f>IF(C560="","",IFERROR(INDEX('6. Base de Custos'!$N$8:$N$42,MATCH(C560,'6. Base de Custos'!$L$8:$L$42,0)),"Não classificado"))</f>
        <v/>
      </c>
      <c r="N560" s="59">
        <f>IF(C560="","",IFERROR(INDEX('6. Base de Custos'!$O$8:$O$42,MATCH(C560,'6. Base de Custos'!$L$8:$L$42,0)),"Revisar"))</f>
        <v/>
      </c>
      <c r="O560" s="60">
        <f>IF(M560="","",IFERROR(VLOOKUP(M560,'6. Base de Custos'!$H$12:$J$18,3,FALSE),0))</f>
        <v/>
      </c>
      <c r="P560" s="59">
        <f>IF(C560="","",IFERROR(INDEX('6. Base de Custos'!$P$8:$P$42,MATCH(C560,'6. Base de Custos'!$L$8:$L$42,0)),"Revisar"))</f>
        <v/>
      </c>
      <c r="Q560" s="59">
        <f>IF(C560="","",IFERROR(INDEX('6. Base de Custos'!$Q$8:$Q$42,MATCH(C560,'6. Base de Custos'!$L$8:$L$42,0)),""))</f>
        <v/>
      </c>
      <c r="R560" s="65">
        <f>IF(C560="","",IFERROR(VLOOKUP(M560&amp;"|"&amp;N560,'17. Mapa DRE CP'!$E$5:$H$100,2,FALSE),"Revisar"))</f>
        <v/>
      </c>
      <c r="S560" s="65">
        <f>IF(C560="","",IFERROR(VLOOKUP(M560&amp;"|"&amp;N560,'17. Mapa DRE CP'!$E$5:$H$100,3,FALSE),"Revisar"))</f>
        <v/>
      </c>
      <c r="T560" s="65">
        <f>IF(C560="","",IF(R560="(-) Custos diretos dos serviços",IF(ISNUMBER(SEARCH("PCMSO",C560)),"PCMSO",IF(OR(ISNUMBER(SEARCH("SGS",C560)),ISNUMBER(SEARCH("CASTRO NAVES",C560))),"Projetos / Laudos / Avulsos","Projetos / Laudos / Avulsos")),"Rateio pela receita bruta"))</f>
        <v/>
      </c>
      <c r="U560" s="65">
        <f>IF(C560="","",IF(R560="(-) Custos diretos dos serviços","Direto por fornecedor/natureza do gasto","Rateio proporcional à receita bruta da linha de serviço"))</f>
        <v/>
      </c>
    </row>
    <row r="561">
      <c r="A561" s="28">
        <f>IF(C561="","", "CP-"&amp;TEXT(ROW()-5,"000"))</f>
        <v/>
      </c>
      <c r="B561" s="27">
        <f>IF(F561="","",DATE(YEAR(F561),MONTH(F561),1))</f>
        <v/>
      </c>
      <c r="C561" s="28" t="n"/>
      <c r="D561" s="28" t="n"/>
      <c r="E561" s="59">
        <f>IF(C561="","",IFERROR(INDEX('6. Base de Custos'!$M$8:$M$42,MATCH(C561,'6. Base de Custos'!$L$8:$L$42,0)),"Não classificado"))</f>
        <v/>
      </c>
      <c r="F561" s="111" t="n"/>
      <c r="G561" s="111" t="n"/>
      <c r="H561" s="111" t="n"/>
      <c r="I561" s="45" t="n"/>
      <c r="J561" s="28" t="n"/>
      <c r="K561" s="28" t="n"/>
      <c r="L561" s="28" t="n"/>
      <c r="M561" s="59">
        <f>IF(C561="","",IFERROR(INDEX('6. Base de Custos'!$N$8:$N$42,MATCH(C561,'6. Base de Custos'!$L$8:$L$42,0)),"Não classificado"))</f>
        <v/>
      </c>
      <c r="N561" s="59">
        <f>IF(C561="","",IFERROR(INDEX('6. Base de Custos'!$O$8:$O$42,MATCH(C561,'6. Base de Custos'!$L$8:$L$42,0)),"Revisar"))</f>
        <v/>
      </c>
      <c r="O561" s="60">
        <f>IF(M561="","",IFERROR(VLOOKUP(M561,'6. Base de Custos'!$H$12:$J$18,3,FALSE),0))</f>
        <v/>
      </c>
      <c r="P561" s="59">
        <f>IF(C561="","",IFERROR(INDEX('6. Base de Custos'!$P$8:$P$42,MATCH(C561,'6. Base de Custos'!$L$8:$L$42,0)),"Revisar"))</f>
        <v/>
      </c>
      <c r="Q561" s="59">
        <f>IF(C561="","",IFERROR(INDEX('6. Base de Custos'!$Q$8:$Q$42,MATCH(C561,'6. Base de Custos'!$L$8:$L$42,0)),""))</f>
        <v/>
      </c>
      <c r="R561" s="65">
        <f>IF(C561="","",IFERROR(VLOOKUP(M561&amp;"|"&amp;N561,'17. Mapa DRE CP'!$E$5:$H$100,2,FALSE),"Revisar"))</f>
        <v/>
      </c>
      <c r="S561" s="65">
        <f>IF(C561="","",IFERROR(VLOOKUP(M561&amp;"|"&amp;N561,'17. Mapa DRE CP'!$E$5:$H$100,3,FALSE),"Revisar"))</f>
        <v/>
      </c>
      <c r="T561" s="65">
        <f>IF(C561="","",IF(R561="(-) Custos diretos dos serviços",IF(ISNUMBER(SEARCH("PCMSO",C561)),"PCMSO",IF(OR(ISNUMBER(SEARCH("SGS",C561)),ISNUMBER(SEARCH("CASTRO NAVES",C561))),"Projetos / Laudos / Avulsos","Projetos / Laudos / Avulsos")),"Rateio pela receita bruta"))</f>
        <v/>
      </c>
      <c r="U561" s="65">
        <f>IF(C561="","",IF(R561="(-) Custos diretos dos serviços","Direto por fornecedor/natureza do gasto","Rateio proporcional à receita bruta da linha de serviço"))</f>
        <v/>
      </c>
    </row>
    <row r="562">
      <c r="A562" s="28">
        <f>IF(C562="","", "CP-"&amp;TEXT(ROW()-5,"000"))</f>
        <v/>
      </c>
      <c r="B562" s="27">
        <f>IF(F562="","",DATE(YEAR(F562),MONTH(F562),1))</f>
        <v/>
      </c>
      <c r="C562" s="28" t="n"/>
      <c r="D562" s="28" t="n"/>
      <c r="E562" s="59">
        <f>IF(C562="","",IFERROR(INDEX('6. Base de Custos'!$M$8:$M$42,MATCH(C562,'6. Base de Custos'!$L$8:$L$42,0)),"Não classificado"))</f>
        <v/>
      </c>
      <c r="F562" s="111" t="n"/>
      <c r="G562" s="111" t="n"/>
      <c r="H562" s="111" t="n"/>
      <c r="I562" s="45" t="n"/>
      <c r="J562" s="28" t="n"/>
      <c r="K562" s="28" t="n"/>
      <c r="L562" s="28" t="n"/>
      <c r="M562" s="59">
        <f>IF(C562="","",IFERROR(INDEX('6. Base de Custos'!$N$8:$N$42,MATCH(C562,'6. Base de Custos'!$L$8:$L$42,0)),"Não classificado"))</f>
        <v/>
      </c>
      <c r="N562" s="59">
        <f>IF(C562="","",IFERROR(INDEX('6. Base de Custos'!$O$8:$O$42,MATCH(C562,'6. Base de Custos'!$L$8:$L$42,0)),"Revisar"))</f>
        <v/>
      </c>
      <c r="O562" s="60">
        <f>IF(M562="","",IFERROR(VLOOKUP(M562,'6. Base de Custos'!$H$12:$J$18,3,FALSE),0))</f>
        <v/>
      </c>
      <c r="P562" s="59">
        <f>IF(C562="","",IFERROR(INDEX('6. Base de Custos'!$P$8:$P$42,MATCH(C562,'6. Base de Custos'!$L$8:$L$42,0)),"Revisar"))</f>
        <v/>
      </c>
      <c r="Q562" s="59">
        <f>IF(C562="","",IFERROR(INDEX('6. Base de Custos'!$Q$8:$Q$42,MATCH(C562,'6. Base de Custos'!$L$8:$L$42,0)),""))</f>
        <v/>
      </c>
      <c r="R562" s="65">
        <f>IF(C562="","",IFERROR(VLOOKUP(M562&amp;"|"&amp;N562,'17. Mapa DRE CP'!$E$5:$H$100,2,FALSE),"Revisar"))</f>
        <v/>
      </c>
      <c r="S562" s="65">
        <f>IF(C562="","",IFERROR(VLOOKUP(M562&amp;"|"&amp;N562,'17. Mapa DRE CP'!$E$5:$H$100,3,FALSE),"Revisar"))</f>
        <v/>
      </c>
      <c r="T562" s="65">
        <f>IF(C562="","",IF(R562="(-) Custos diretos dos serviços",IF(ISNUMBER(SEARCH("PCMSO",C562)),"PCMSO",IF(OR(ISNUMBER(SEARCH("SGS",C562)),ISNUMBER(SEARCH("CASTRO NAVES",C562))),"Projetos / Laudos / Avulsos","Projetos / Laudos / Avulsos")),"Rateio pela receita bruta"))</f>
        <v/>
      </c>
      <c r="U562" s="65">
        <f>IF(C562="","",IF(R562="(-) Custos diretos dos serviços","Direto por fornecedor/natureza do gasto","Rateio proporcional à receita bruta da linha de serviço"))</f>
        <v/>
      </c>
    </row>
    <row r="563">
      <c r="A563" s="28">
        <f>IF(C563="","", "CP-"&amp;TEXT(ROW()-5,"000"))</f>
        <v/>
      </c>
      <c r="B563" s="27">
        <f>IF(F563="","",DATE(YEAR(F563),MONTH(F563),1))</f>
        <v/>
      </c>
      <c r="C563" s="28" t="n"/>
      <c r="D563" s="28" t="n"/>
      <c r="E563" s="59">
        <f>IF(C563="","",IFERROR(INDEX('6. Base de Custos'!$M$8:$M$42,MATCH(C563,'6. Base de Custos'!$L$8:$L$42,0)),"Não classificado"))</f>
        <v/>
      </c>
      <c r="F563" s="111" t="n"/>
      <c r="G563" s="111" t="n"/>
      <c r="H563" s="111" t="n"/>
      <c r="I563" s="45" t="n"/>
      <c r="J563" s="28" t="n"/>
      <c r="K563" s="28" t="n"/>
      <c r="L563" s="28" t="n"/>
      <c r="M563" s="59">
        <f>IF(C563="","",IFERROR(INDEX('6. Base de Custos'!$N$8:$N$42,MATCH(C563,'6. Base de Custos'!$L$8:$L$42,0)),"Não classificado"))</f>
        <v/>
      </c>
      <c r="N563" s="59">
        <f>IF(C563="","",IFERROR(INDEX('6. Base de Custos'!$O$8:$O$42,MATCH(C563,'6. Base de Custos'!$L$8:$L$42,0)),"Revisar"))</f>
        <v/>
      </c>
      <c r="O563" s="60">
        <f>IF(M563="","",IFERROR(VLOOKUP(M563,'6. Base de Custos'!$H$12:$J$18,3,FALSE),0))</f>
        <v/>
      </c>
      <c r="P563" s="59">
        <f>IF(C563="","",IFERROR(INDEX('6. Base de Custos'!$P$8:$P$42,MATCH(C563,'6. Base de Custos'!$L$8:$L$42,0)),"Revisar"))</f>
        <v/>
      </c>
      <c r="Q563" s="59">
        <f>IF(C563="","",IFERROR(INDEX('6. Base de Custos'!$Q$8:$Q$42,MATCH(C563,'6. Base de Custos'!$L$8:$L$42,0)),""))</f>
        <v/>
      </c>
      <c r="R563" s="65">
        <f>IF(C563="","",IFERROR(VLOOKUP(M563&amp;"|"&amp;N563,'17. Mapa DRE CP'!$E$5:$H$100,2,FALSE),"Revisar"))</f>
        <v/>
      </c>
      <c r="S563" s="65">
        <f>IF(C563="","",IFERROR(VLOOKUP(M563&amp;"|"&amp;N563,'17. Mapa DRE CP'!$E$5:$H$100,3,FALSE),"Revisar"))</f>
        <v/>
      </c>
      <c r="T563" s="65">
        <f>IF(C563="","",IF(R563="(-) Custos diretos dos serviços",IF(ISNUMBER(SEARCH("PCMSO",C563)),"PCMSO",IF(OR(ISNUMBER(SEARCH("SGS",C563)),ISNUMBER(SEARCH("CASTRO NAVES",C563))),"Projetos / Laudos / Avulsos","Projetos / Laudos / Avulsos")),"Rateio pela receita bruta"))</f>
        <v/>
      </c>
      <c r="U563" s="65">
        <f>IF(C563="","",IF(R563="(-) Custos diretos dos serviços","Direto por fornecedor/natureza do gasto","Rateio proporcional à receita bruta da linha de serviço"))</f>
        <v/>
      </c>
    </row>
    <row r="564">
      <c r="A564" s="28">
        <f>IF(C564="","", "CP-"&amp;TEXT(ROW()-5,"000"))</f>
        <v/>
      </c>
      <c r="B564" s="27">
        <f>IF(F564="","",DATE(YEAR(F564),MONTH(F564),1))</f>
        <v/>
      </c>
      <c r="C564" s="28" t="n"/>
      <c r="D564" s="28" t="n"/>
      <c r="E564" s="59">
        <f>IF(C564="","",IFERROR(INDEX('6. Base de Custos'!$M$8:$M$42,MATCH(C564,'6. Base de Custos'!$L$8:$L$42,0)),"Não classificado"))</f>
        <v/>
      </c>
      <c r="F564" s="111" t="n"/>
      <c r="G564" s="111" t="n"/>
      <c r="H564" s="111" t="n"/>
      <c r="I564" s="45" t="n"/>
      <c r="J564" s="28" t="n"/>
      <c r="K564" s="28" t="n"/>
      <c r="L564" s="28" t="n"/>
      <c r="M564" s="59">
        <f>IF(C564="","",IFERROR(INDEX('6. Base de Custos'!$N$8:$N$42,MATCH(C564,'6. Base de Custos'!$L$8:$L$42,0)),"Não classificado"))</f>
        <v/>
      </c>
      <c r="N564" s="59">
        <f>IF(C564="","",IFERROR(INDEX('6. Base de Custos'!$O$8:$O$42,MATCH(C564,'6. Base de Custos'!$L$8:$L$42,0)),"Revisar"))</f>
        <v/>
      </c>
      <c r="O564" s="60">
        <f>IF(M564="","",IFERROR(VLOOKUP(M564,'6. Base de Custos'!$H$12:$J$18,3,FALSE),0))</f>
        <v/>
      </c>
      <c r="P564" s="59">
        <f>IF(C564="","",IFERROR(INDEX('6. Base de Custos'!$P$8:$P$42,MATCH(C564,'6. Base de Custos'!$L$8:$L$42,0)),"Revisar"))</f>
        <v/>
      </c>
      <c r="Q564" s="59">
        <f>IF(C564="","",IFERROR(INDEX('6. Base de Custos'!$Q$8:$Q$42,MATCH(C564,'6. Base de Custos'!$L$8:$L$42,0)),""))</f>
        <v/>
      </c>
      <c r="R564" s="65">
        <f>IF(C564="","",IFERROR(VLOOKUP(M564&amp;"|"&amp;N564,'17. Mapa DRE CP'!$E$5:$H$100,2,FALSE),"Revisar"))</f>
        <v/>
      </c>
      <c r="S564" s="65">
        <f>IF(C564="","",IFERROR(VLOOKUP(M564&amp;"|"&amp;N564,'17. Mapa DRE CP'!$E$5:$H$100,3,FALSE),"Revisar"))</f>
        <v/>
      </c>
      <c r="T564" s="65">
        <f>IF(C564="","",IF(R564="(-) Custos diretos dos serviços",IF(ISNUMBER(SEARCH("PCMSO",C564)),"PCMSO",IF(OR(ISNUMBER(SEARCH("SGS",C564)),ISNUMBER(SEARCH("CASTRO NAVES",C564))),"Projetos / Laudos / Avulsos","Projetos / Laudos / Avulsos")),"Rateio pela receita bruta"))</f>
        <v/>
      </c>
      <c r="U564" s="65">
        <f>IF(C564="","",IF(R564="(-) Custos diretos dos serviços","Direto por fornecedor/natureza do gasto","Rateio proporcional à receita bruta da linha de serviço"))</f>
        <v/>
      </c>
    </row>
    <row r="565">
      <c r="A565" s="28">
        <f>IF(C565="","", "CP-"&amp;TEXT(ROW()-5,"000"))</f>
        <v/>
      </c>
      <c r="B565" s="27">
        <f>IF(F565="","",DATE(YEAR(F565),MONTH(F565),1))</f>
        <v/>
      </c>
      <c r="C565" s="28" t="n"/>
      <c r="D565" s="28" t="n"/>
      <c r="E565" s="59">
        <f>IF(C565="","",IFERROR(INDEX('6. Base de Custos'!$M$8:$M$42,MATCH(C565,'6. Base de Custos'!$L$8:$L$42,0)),"Não classificado"))</f>
        <v/>
      </c>
      <c r="F565" s="111" t="n"/>
      <c r="G565" s="111" t="n"/>
      <c r="H565" s="111" t="n"/>
      <c r="I565" s="45" t="n"/>
      <c r="J565" s="28" t="n"/>
      <c r="K565" s="28" t="n"/>
      <c r="L565" s="28" t="n"/>
      <c r="M565" s="59">
        <f>IF(C565="","",IFERROR(INDEX('6. Base de Custos'!$N$8:$N$42,MATCH(C565,'6. Base de Custos'!$L$8:$L$42,0)),"Não classificado"))</f>
        <v/>
      </c>
      <c r="N565" s="59">
        <f>IF(C565="","",IFERROR(INDEX('6. Base de Custos'!$O$8:$O$42,MATCH(C565,'6. Base de Custos'!$L$8:$L$42,0)),"Revisar"))</f>
        <v/>
      </c>
      <c r="O565" s="60">
        <f>IF(M565="","",IFERROR(VLOOKUP(M565,'6. Base de Custos'!$H$12:$J$18,3,FALSE),0))</f>
        <v/>
      </c>
      <c r="P565" s="59">
        <f>IF(C565="","",IFERROR(INDEX('6. Base de Custos'!$P$8:$P$42,MATCH(C565,'6. Base de Custos'!$L$8:$L$42,0)),"Revisar"))</f>
        <v/>
      </c>
      <c r="Q565" s="59">
        <f>IF(C565="","",IFERROR(INDEX('6. Base de Custos'!$Q$8:$Q$42,MATCH(C565,'6. Base de Custos'!$L$8:$L$42,0)),""))</f>
        <v/>
      </c>
      <c r="R565" s="65">
        <f>IF(C565="","",IFERROR(VLOOKUP(M565&amp;"|"&amp;N565,'17. Mapa DRE CP'!$E$5:$H$100,2,FALSE),"Revisar"))</f>
        <v/>
      </c>
      <c r="S565" s="65">
        <f>IF(C565="","",IFERROR(VLOOKUP(M565&amp;"|"&amp;N565,'17. Mapa DRE CP'!$E$5:$H$100,3,FALSE),"Revisar"))</f>
        <v/>
      </c>
      <c r="T565" s="65">
        <f>IF(C565="","",IF(R565="(-) Custos diretos dos serviços",IF(ISNUMBER(SEARCH("PCMSO",C565)),"PCMSO",IF(OR(ISNUMBER(SEARCH("SGS",C565)),ISNUMBER(SEARCH("CASTRO NAVES",C565))),"Projetos / Laudos / Avulsos","Projetos / Laudos / Avulsos")),"Rateio pela receita bruta"))</f>
        <v/>
      </c>
      <c r="U565" s="65">
        <f>IF(C565="","",IF(R565="(-) Custos diretos dos serviços","Direto por fornecedor/natureza do gasto","Rateio proporcional à receita bruta da linha de serviço"))</f>
        <v/>
      </c>
    </row>
    <row r="566">
      <c r="A566" s="28">
        <f>IF(C566="","", "CP-"&amp;TEXT(ROW()-5,"000"))</f>
        <v/>
      </c>
      <c r="B566" s="27">
        <f>IF(F566="","",DATE(YEAR(F566),MONTH(F566),1))</f>
        <v/>
      </c>
      <c r="C566" s="28" t="n"/>
      <c r="D566" s="28" t="n"/>
      <c r="E566" s="59">
        <f>IF(C566="","",IFERROR(INDEX('6. Base de Custos'!$M$8:$M$42,MATCH(C566,'6. Base de Custos'!$L$8:$L$42,0)),"Não classificado"))</f>
        <v/>
      </c>
      <c r="F566" s="111" t="n"/>
      <c r="G566" s="111" t="n"/>
      <c r="H566" s="111" t="n"/>
      <c r="I566" s="45" t="n"/>
      <c r="J566" s="28" t="n"/>
      <c r="K566" s="28" t="n"/>
      <c r="L566" s="28" t="n"/>
      <c r="M566" s="59">
        <f>IF(C566="","",IFERROR(INDEX('6. Base de Custos'!$N$8:$N$42,MATCH(C566,'6. Base de Custos'!$L$8:$L$42,0)),"Não classificado"))</f>
        <v/>
      </c>
      <c r="N566" s="59">
        <f>IF(C566="","",IFERROR(INDEX('6. Base de Custos'!$O$8:$O$42,MATCH(C566,'6. Base de Custos'!$L$8:$L$42,0)),"Revisar"))</f>
        <v/>
      </c>
      <c r="O566" s="60">
        <f>IF(M566="","",IFERROR(VLOOKUP(M566,'6. Base de Custos'!$H$12:$J$18,3,FALSE),0))</f>
        <v/>
      </c>
      <c r="P566" s="59">
        <f>IF(C566="","",IFERROR(INDEX('6. Base de Custos'!$P$8:$P$42,MATCH(C566,'6. Base de Custos'!$L$8:$L$42,0)),"Revisar"))</f>
        <v/>
      </c>
      <c r="Q566" s="59">
        <f>IF(C566="","",IFERROR(INDEX('6. Base de Custos'!$Q$8:$Q$42,MATCH(C566,'6. Base de Custos'!$L$8:$L$42,0)),""))</f>
        <v/>
      </c>
      <c r="R566" s="65">
        <f>IF(C566="","",IFERROR(VLOOKUP(M566&amp;"|"&amp;N566,'17. Mapa DRE CP'!$E$5:$H$100,2,FALSE),"Revisar"))</f>
        <v/>
      </c>
      <c r="S566" s="65">
        <f>IF(C566="","",IFERROR(VLOOKUP(M566&amp;"|"&amp;N566,'17. Mapa DRE CP'!$E$5:$H$100,3,FALSE),"Revisar"))</f>
        <v/>
      </c>
      <c r="T566" s="65">
        <f>IF(C566="","",IF(R566="(-) Custos diretos dos serviços",IF(ISNUMBER(SEARCH("PCMSO",C566)),"PCMSO",IF(OR(ISNUMBER(SEARCH("SGS",C566)),ISNUMBER(SEARCH("CASTRO NAVES",C566))),"Projetos / Laudos / Avulsos","Projetos / Laudos / Avulsos")),"Rateio pela receita bruta"))</f>
        <v/>
      </c>
      <c r="U566" s="65">
        <f>IF(C566="","",IF(R566="(-) Custos diretos dos serviços","Direto por fornecedor/natureza do gasto","Rateio proporcional à receita bruta da linha de serviço"))</f>
        <v/>
      </c>
    </row>
    <row r="567">
      <c r="A567" s="28">
        <f>IF(C567="","", "CP-"&amp;TEXT(ROW()-5,"000"))</f>
        <v/>
      </c>
      <c r="B567" s="27">
        <f>IF(F567="","",DATE(YEAR(F567),MONTH(F567),1))</f>
        <v/>
      </c>
      <c r="C567" s="28" t="n"/>
      <c r="D567" s="28" t="n"/>
      <c r="E567" s="59">
        <f>IF(C567="","",IFERROR(INDEX('6. Base de Custos'!$M$8:$M$42,MATCH(C567,'6. Base de Custos'!$L$8:$L$42,0)),"Não classificado"))</f>
        <v/>
      </c>
      <c r="F567" s="111" t="n"/>
      <c r="G567" s="111" t="n"/>
      <c r="H567" s="111" t="n"/>
      <c r="I567" s="45" t="n"/>
      <c r="J567" s="28" t="n"/>
      <c r="K567" s="28" t="n"/>
      <c r="L567" s="28" t="n"/>
      <c r="M567" s="59">
        <f>IF(C567="","",IFERROR(INDEX('6. Base de Custos'!$N$8:$N$42,MATCH(C567,'6. Base de Custos'!$L$8:$L$42,0)),"Não classificado"))</f>
        <v/>
      </c>
      <c r="N567" s="59">
        <f>IF(C567="","",IFERROR(INDEX('6. Base de Custos'!$O$8:$O$42,MATCH(C567,'6. Base de Custos'!$L$8:$L$42,0)),"Revisar"))</f>
        <v/>
      </c>
      <c r="O567" s="60">
        <f>IF(M567="","",IFERROR(VLOOKUP(M567,'6. Base de Custos'!$H$12:$J$18,3,FALSE),0))</f>
        <v/>
      </c>
      <c r="P567" s="59">
        <f>IF(C567="","",IFERROR(INDEX('6. Base de Custos'!$P$8:$P$42,MATCH(C567,'6. Base de Custos'!$L$8:$L$42,0)),"Revisar"))</f>
        <v/>
      </c>
      <c r="Q567" s="59">
        <f>IF(C567="","",IFERROR(INDEX('6. Base de Custos'!$Q$8:$Q$42,MATCH(C567,'6. Base de Custos'!$L$8:$L$42,0)),""))</f>
        <v/>
      </c>
      <c r="R567" s="65">
        <f>IF(C567="","",IFERROR(VLOOKUP(M567&amp;"|"&amp;N567,'17. Mapa DRE CP'!$E$5:$H$100,2,FALSE),"Revisar"))</f>
        <v/>
      </c>
      <c r="S567" s="65">
        <f>IF(C567="","",IFERROR(VLOOKUP(M567&amp;"|"&amp;N567,'17. Mapa DRE CP'!$E$5:$H$100,3,FALSE),"Revisar"))</f>
        <v/>
      </c>
      <c r="T567" s="65">
        <f>IF(C567="","",IF(R567="(-) Custos diretos dos serviços",IF(ISNUMBER(SEARCH("PCMSO",C567)),"PCMSO",IF(OR(ISNUMBER(SEARCH("SGS",C567)),ISNUMBER(SEARCH("CASTRO NAVES",C567))),"Projetos / Laudos / Avulsos","Projetos / Laudos / Avulsos")),"Rateio pela receita bruta"))</f>
        <v/>
      </c>
      <c r="U567" s="65">
        <f>IF(C567="","",IF(R567="(-) Custos diretos dos serviços","Direto por fornecedor/natureza do gasto","Rateio proporcional à receita bruta da linha de serviço"))</f>
        <v/>
      </c>
    </row>
    <row r="568">
      <c r="A568" s="28">
        <f>IF(C568="","", "CP-"&amp;TEXT(ROW()-5,"000"))</f>
        <v/>
      </c>
      <c r="B568" s="27">
        <f>IF(F568="","",DATE(YEAR(F568),MONTH(F568),1))</f>
        <v/>
      </c>
      <c r="C568" s="28" t="n"/>
      <c r="D568" s="28" t="n"/>
      <c r="E568" s="59">
        <f>IF(C568="","",IFERROR(INDEX('6. Base de Custos'!$M$8:$M$42,MATCH(C568,'6. Base de Custos'!$L$8:$L$42,0)),"Não classificado"))</f>
        <v/>
      </c>
      <c r="F568" s="111" t="n"/>
      <c r="G568" s="111" t="n"/>
      <c r="H568" s="111" t="n"/>
      <c r="I568" s="45" t="n"/>
      <c r="J568" s="28" t="n"/>
      <c r="K568" s="28" t="n"/>
      <c r="L568" s="28" t="n"/>
      <c r="M568" s="59">
        <f>IF(C568="","",IFERROR(INDEX('6. Base de Custos'!$N$8:$N$42,MATCH(C568,'6. Base de Custos'!$L$8:$L$42,0)),"Não classificado"))</f>
        <v/>
      </c>
      <c r="N568" s="59">
        <f>IF(C568="","",IFERROR(INDEX('6. Base de Custos'!$O$8:$O$42,MATCH(C568,'6. Base de Custos'!$L$8:$L$42,0)),"Revisar"))</f>
        <v/>
      </c>
      <c r="O568" s="60">
        <f>IF(M568="","",IFERROR(VLOOKUP(M568,'6. Base de Custos'!$H$12:$J$18,3,FALSE),0))</f>
        <v/>
      </c>
      <c r="P568" s="59">
        <f>IF(C568="","",IFERROR(INDEX('6. Base de Custos'!$P$8:$P$42,MATCH(C568,'6. Base de Custos'!$L$8:$L$42,0)),"Revisar"))</f>
        <v/>
      </c>
      <c r="Q568" s="59">
        <f>IF(C568="","",IFERROR(INDEX('6. Base de Custos'!$Q$8:$Q$42,MATCH(C568,'6. Base de Custos'!$L$8:$L$42,0)),""))</f>
        <v/>
      </c>
      <c r="R568" s="65">
        <f>IF(C568="","",IFERROR(VLOOKUP(M568&amp;"|"&amp;N568,'17. Mapa DRE CP'!$E$5:$H$100,2,FALSE),"Revisar"))</f>
        <v/>
      </c>
      <c r="S568" s="65">
        <f>IF(C568="","",IFERROR(VLOOKUP(M568&amp;"|"&amp;N568,'17. Mapa DRE CP'!$E$5:$H$100,3,FALSE),"Revisar"))</f>
        <v/>
      </c>
      <c r="T568" s="65">
        <f>IF(C568="","",IF(R568="(-) Custos diretos dos serviços",IF(ISNUMBER(SEARCH("PCMSO",C568)),"PCMSO",IF(OR(ISNUMBER(SEARCH("SGS",C568)),ISNUMBER(SEARCH("CASTRO NAVES",C568))),"Projetos / Laudos / Avulsos","Projetos / Laudos / Avulsos")),"Rateio pela receita bruta"))</f>
        <v/>
      </c>
      <c r="U568" s="65">
        <f>IF(C568="","",IF(R568="(-) Custos diretos dos serviços","Direto por fornecedor/natureza do gasto","Rateio proporcional à receita bruta da linha de serviço"))</f>
        <v/>
      </c>
    </row>
    <row r="569">
      <c r="A569" s="28">
        <f>IF(C569="","", "CP-"&amp;TEXT(ROW()-5,"000"))</f>
        <v/>
      </c>
      <c r="B569" s="27">
        <f>IF(F569="","",DATE(YEAR(F569),MONTH(F569),1))</f>
        <v/>
      </c>
      <c r="C569" s="28" t="n"/>
      <c r="D569" s="28" t="n"/>
      <c r="E569" s="59">
        <f>IF(C569="","",IFERROR(INDEX('6. Base de Custos'!$M$8:$M$42,MATCH(C569,'6. Base de Custos'!$L$8:$L$42,0)),"Não classificado"))</f>
        <v/>
      </c>
      <c r="F569" s="111" t="n"/>
      <c r="G569" s="111" t="n"/>
      <c r="H569" s="111" t="n"/>
      <c r="I569" s="45" t="n"/>
      <c r="J569" s="28" t="n"/>
      <c r="K569" s="28" t="n"/>
      <c r="L569" s="28" t="n"/>
      <c r="M569" s="59">
        <f>IF(C569="","",IFERROR(INDEX('6. Base de Custos'!$N$8:$N$42,MATCH(C569,'6. Base de Custos'!$L$8:$L$42,0)),"Não classificado"))</f>
        <v/>
      </c>
      <c r="N569" s="59">
        <f>IF(C569="","",IFERROR(INDEX('6. Base de Custos'!$O$8:$O$42,MATCH(C569,'6. Base de Custos'!$L$8:$L$42,0)),"Revisar"))</f>
        <v/>
      </c>
      <c r="O569" s="60">
        <f>IF(M569="","",IFERROR(VLOOKUP(M569,'6. Base de Custos'!$H$12:$J$18,3,FALSE),0))</f>
        <v/>
      </c>
      <c r="P569" s="59">
        <f>IF(C569="","",IFERROR(INDEX('6. Base de Custos'!$P$8:$P$42,MATCH(C569,'6. Base de Custos'!$L$8:$L$42,0)),"Revisar"))</f>
        <v/>
      </c>
      <c r="Q569" s="59">
        <f>IF(C569="","",IFERROR(INDEX('6. Base de Custos'!$Q$8:$Q$42,MATCH(C569,'6. Base de Custos'!$L$8:$L$42,0)),""))</f>
        <v/>
      </c>
      <c r="R569" s="65">
        <f>IF(C569="","",IFERROR(VLOOKUP(M569&amp;"|"&amp;N569,'17. Mapa DRE CP'!$E$5:$H$100,2,FALSE),"Revisar"))</f>
        <v/>
      </c>
      <c r="S569" s="65">
        <f>IF(C569="","",IFERROR(VLOOKUP(M569&amp;"|"&amp;N569,'17. Mapa DRE CP'!$E$5:$H$100,3,FALSE),"Revisar"))</f>
        <v/>
      </c>
      <c r="T569" s="65">
        <f>IF(C569="","",IF(R569="(-) Custos diretos dos serviços",IF(ISNUMBER(SEARCH("PCMSO",C569)),"PCMSO",IF(OR(ISNUMBER(SEARCH("SGS",C569)),ISNUMBER(SEARCH("CASTRO NAVES",C569))),"Projetos / Laudos / Avulsos","Projetos / Laudos / Avulsos")),"Rateio pela receita bruta"))</f>
        <v/>
      </c>
      <c r="U569" s="65">
        <f>IF(C569="","",IF(R569="(-) Custos diretos dos serviços","Direto por fornecedor/natureza do gasto","Rateio proporcional à receita bruta da linha de serviço"))</f>
        <v/>
      </c>
    </row>
    <row r="570">
      <c r="A570" s="28">
        <f>IF(C570="","", "CP-"&amp;TEXT(ROW()-5,"000"))</f>
        <v/>
      </c>
      <c r="B570" s="27">
        <f>IF(F570="","",DATE(YEAR(F570),MONTH(F570),1))</f>
        <v/>
      </c>
      <c r="C570" s="28" t="n"/>
      <c r="D570" s="28" t="n"/>
      <c r="E570" s="59">
        <f>IF(C570="","",IFERROR(INDEX('6. Base de Custos'!$M$8:$M$42,MATCH(C570,'6. Base de Custos'!$L$8:$L$42,0)),"Não classificado"))</f>
        <v/>
      </c>
      <c r="F570" s="111" t="n"/>
      <c r="G570" s="111" t="n"/>
      <c r="H570" s="111" t="n"/>
      <c r="I570" s="45" t="n"/>
      <c r="J570" s="28" t="n"/>
      <c r="K570" s="28" t="n"/>
      <c r="L570" s="28" t="n"/>
      <c r="M570" s="59">
        <f>IF(C570="","",IFERROR(INDEX('6. Base de Custos'!$N$8:$N$42,MATCH(C570,'6. Base de Custos'!$L$8:$L$42,0)),"Não classificado"))</f>
        <v/>
      </c>
      <c r="N570" s="59">
        <f>IF(C570="","",IFERROR(INDEX('6. Base de Custos'!$O$8:$O$42,MATCH(C570,'6. Base de Custos'!$L$8:$L$42,0)),"Revisar"))</f>
        <v/>
      </c>
      <c r="O570" s="60">
        <f>IF(M570="","",IFERROR(VLOOKUP(M570,'6. Base de Custos'!$H$12:$J$18,3,FALSE),0))</f>
        <v/>
      </c>
      <c r="P570" s="59">
        <f>IF(C570="","",IFERROR(INDEX('6. Base de Custos'!$P$8:$P$42,MATCH(C570,'6. Base de Custos'!$L$8:$L$42,0)),"Revisar"))</f>
        <v/>
      </c>
      <c r="Q570" s="59">
        <f>IF(C570="","",IFERROR(INDEX('6. Base de Custos'!$Q$8:$Q$42,MATCH(C570,'6. Base de Custos'!$L$8:$L$42,0)),""))</f>
        <v/>
      </c>
      <c r="R570" s="65">
        <f>IF(C570="","",IFERROR(VLOOKUP(M570&amp;"|"&amp;N570,'17. Mapa DRE CP'!$E$5:$H$100,2,FALSE),"Revisar"))</f>
        <v/>
      </c>
      <c r="S570" s="65">
        <f>IF(C570="","",IFERROR(VLOOKUP(M570&amp;"|"&amp;N570,'17. Mapa DRE CP'!$E$5:$H$100,3,FALSE),"Revisar"))</f>
        <v/>
      </c>
      <c r="T570" s="65">
        <f>IF(C570="","",IF(R570="(-) Custos diretos dos serviços",IF(ISNUMBER(SEARCH("PCMSO",C570)),"PCMSO",IF(OR(ISNUMBER(SEARCH("SGS",C570)),ISNUMBER(SEARCH("CASTRO NAVES",C570))),"Projetos / Laudos / Avulsos","Projetos / Laudos / Avulsos")),"Rateio pela receita bruta"))</f>
        <v/>
      </c>
      <c r="U570" s="65">
        <f>IF(C570="","",IF(R570="(-) Custos diretos dos serviços","Direto por fornecedor/natureza do gasto","Rateio proporcional à receita bruta da linha de serviço"))</f>
        <v/>
      </c>
    </row>
    <row r="571">
      <c r="A571" s="28">
        <f>IF(C571="","", "CP-"&amp;TEXT(ROW()-5,"000"))</f>
        <v/>
      </c>
      <c r="B571" s="27">
        <f>IF(F571="","",DATE(YEAR(F571),MONTH(F571),1))</f>
        <v/>
      </c>
      <c r="C571" s="28" t="n"/>
      <c r="D571" s="28" t="n"/>
      <c r="E571" s="59">
        <f>IF(C571="","",IFERROR(INDEX('6. Base de Custos'!$M$8:$M$42,MATCH(C571,'6. Base de Custos'!$L$8:$L$42,0)),"Não classificado"))</f>
        <v/>
      </c>
      <c r="F571" s="111" t="n"/>
      <c r="G571" s="111" t="n"/>
      <c r="H571" s="111" t="n"/>
      <c r="I571" s="45" t="n"/>
      <c r="J571" s="28" t="n"/>
      <c r="K571" s="28" t="n"/>
      <c r="L571" s="28" t="n"/>
      <c r="M571" s="59">
        <f>IF(C571="","",IFERROR(INDEX('6. Base de Custos'!$N$8:$N$42,MATCH(C571,'6. Base de Custos'!$L$8:$L$42,0)),"Não classificado"))</f>
        <v/>
      </c>
      <c r="N571" s="59">
        <f>IF(C571="","",IFERROR(INDEX('6. Base de Custos'!$O$8:$O$42,MATCH(C571,'6. Base de Custos'!$L$8:$L$42,0)),"Revisar"))</f>
        <v/>
      </c>
      <c r="O571" s="60">
        <f>IF(M571="","",IFERROR(VLOOKUP(M571,'6. Base de Custos'!$H$12:$J$18,3,FALSE),0))</f>
        <v/>
      </c>
      <c r="P571" s="59">
        <f>IF(C571="","",IFERROR(INDEX('6. Base de Custos'!$P$8:$P$42,MATCH(C571,'6. Base de Custos'!$L$8:$L$42,0)),"Revisar"))</f>
        <v/>
      </c>
      <c r="Q571" s="59">
        <f>IF(C571="","",IFERROR(INDEX('6. Base de Custos'!$Q$8:$Q$42,MATCH(C571,'6. Base de Custos'!$L$8:$L$42,0)),""))</f>
        <v/>
      </c>
      <c r="R571" s="65">
        <f>IF(C571="","",IFERROR(VLOOKUP(M571&amp;"|"&amp;N571,'17. Mapa DRE CP'!$E$5:$H$100,2,FALSE),"Revisar"))</f>
        <v/>
      </c>
      <c r="S571" s="65">
        <f>IF(C571="","",IFERROR(VLOOKUP(M571&amp;"|"&amp;N571,'17. Mapa DRE CP'!$E$5:$H$100,3,FALSE),"Revisar"))</f>
        <v/>
      </c>
      <c r="T571" s="65">
        <f>IF(C571="","",IF(R571="(-) Custos diretos dos serviços",IF(ISNUMBER(SEARCH("PCMSO",C571)),"PCMSO",IF(OR(ISNUMBER(SEARCH("SGS",C571)),ISNUMBER(SEARCH("CASTRO NAVES",C571))),"Projetos / Laudos / Avulsos","Projetos / Laudos / Avulsos")),"Rateio pela receita bruta"))</f>
        <v/>
      </c>
      <c r="U571" s="65">
        <f>IF(C571="","",IF(R571="(-) Custos diretos dos serviços","Direto por fornecedor/natureza do gasto","Rateio proporcional à receita bruta da linha de serviço"))</f>
        <v/>
      </c>
    </row>
    <row r="572">
      <c r="A572" s="28">
        <f>IF(C572="","", "CP-"&amp;TEXT(ROW()-5,"000"))</f>
        <v/>
      </c>
      <c r="B572" s="27">
        <f>IF(F572="","",DATE(YEAR(F572),MONTH(F572),1))</f>
        <v/>
      </c>
      <c r="C572" s="28" t="n"/>
      <c r="D572" s="28" t="n"/>
      <c r="E572" s="59">
        <f>IF(C572="","",IFERROR(INDEX('6. Base de Custos'!$M$8:$M$42,MATCH(C572,'6. Base de Custos'!$L$8:$L$42,0)),"Não classificado"))</f>
        <v/>
      </c>
      <c r="F572" s="111" t="n"/>
      <c r="G572" s="111" t="n"/>
      <c r="H572" s="111" t="n"/>
      <c r="I572" s="45" t="n"/>
      <c r="J572" s="28" t="n"/>
      <c r="K572" s="28" t="n"/>
      <c r="L572" s="28" t="n"/>
      <c r="M572" s="59">
        <f>IF(C572="","",IFERROR(INDEX('6. Base de Custos'!$N$8:$N$42,MATCH(C572,'6. Base de Custos'!$L$8:$L$42,0)),"Não classificado"))</f>
        <v/>
      </c>
      <c r="N572" s="59">
        <f>IF(C572="","",IFERROR(INDEX('6. Base de Custos'!$O$8:$O$42,MATCH(C572,'6. Base de Custos'!$L$8:$L$42,0)),"Revisar"))</f>
        <v/>
      </c>
      <c r="O572" s="60">
        <f>IF(M572="","",IFERROR(VLOOKUP(M572,'6. Base de Custos'!$H$12:$J$18,3,FALSE),0))</f>
        <v/>
      </c>
      <c r="P572" s="59">
        <f>IF(C572="","",IFERROR(INDEX('6. Base de Custos'!$P$8:$P$42,MATCH(C572,'6. Base de Custos'!$L$8:$L$42,0)),"Revisar"))</f>
        <v/>
      </c>
      <c r="Q572" s="59">
        <f>IF(C572="","",IFERROR(INDEX('6. Base de Custos'!$Q$8:$Q$42,MATCH(C572,'6. Base de Custos'!$L$8:$L$42,0)),""))</f>
        <v/>
      </c>
      <c r="R572" s="65">
        <f>IF(C572="","",IFERROR(VLOOKUP(M572&amp;"|"&amp;N572,'17. Mapa DRE CP'!$E$5:$H$100,2,FALSE),"Revisar"))</f>
        <v/>
      </c>
      <c r="S572" s="65">
        <f>IF(C572="","",IFERROR(VLOOKUP(M572&amp;"|"&amp;N572,'17. Mapa DRE CP'!$E$5:$H$100,3,FALSE),"Revisar"))</f>
        <v/>
      </c>
      <c r="T572" s="65">
        <f>IF(C572="","",IF(R572="(-) Custos diretos dos serviços",IF(ISNUMBER(SEARCH("PCMSO",C572)),"PCMSO",IF(OR(ISNUMBER(SEARCH("SGS",C572)),ISNUMBER(SEARCH("CASTRO NAVES",C572))),"Projetos / Laudos / Avulsos","Projetos / Laudos / Avulsos")),"Rateio pela receita bruta"))</f>
        <v/>
      </c>
      <c r="U572" s="65">
        <f>IF(C572="","",IF(R572="(-) Custos diretos dos serviços","Direto por fornecedor/natureza do gasto","Rateio proporcional à receita bruta da linha de serviço"))</f>
        <v/>
      </c>
    </row>
    <row r="573">
      <c r="A573" s="28">
        <f>IF(C573="","", "CP-"&amp;TEXT(ROW()-5,"000"))</f>
        <v/>
      </c>
      <c r="B573" s="27">
        <f>IF(F573="","",DATE(YEAR(F573),MONTH(F573),1))</f>
        <v/>
      </c>
      <c r="C573" s="28" t="n"/>
      <c r="D573" s="28" t="n"/>
      <c r="E573" s="59">
        <f>IF(C573="","",IFERROR(INDEX('6. Base de Custos'!$M$8:$M$42,MATCH(C573,'6. Base de Custos'!$L$8:$L$42,0)),"Não classificado"))</f>
        <v/>
      </c>
      <c r="F573" s="111" t="n"/>
      <c r="G573" s="111" t="n"/>
      <c r="H573" s="111" t="n"/>
      <c r="I573" s="45" t="n"/>
      <c r="J573" s="28" t="n"/>
      <c r="K573" s="28" t="n"/>
      <c r="L573" s="28" t="n"/>
      <c r="M573" s="59">
        <f>IF(C573="","",IFERROR(INDEX('6. Base de Custos'!$N$8:$N$42,MATCH(C573,'6. Base de Custos'!$L$8:$L$42,0)),"Não classificado"))</f>
        <v/>
      </c>
      <c r="N573" s="59">
        <f>IF(C573="","",IFERROR(INDEX('6. Base de Custos'!$O$8:$O$42,MATCH(C573,'6. Base de Custos'!$L$8:$L$42,0)),"Revisar"))</f>
        <v/>
      </c>
      <c r="O573" s="60">
        <f>IF(M573="","",IFERROR(VLOOKUP(M573,'6. Base de Custos'!$H$12:$J$18,3,FALSE),0))</f>
        <v/>
      </c>
      <c r="P573" s="59">
        <f>IF(C573="","",IFERROR(INDEX('6. Base de Custos'!$P$8:$P$42,MATCH(C573,'6. Base de Custos'!$L$8:$L$42,0)),"Revisar"))</f>
        <v/>
      </c>
      <c r="Q573" s="59">
        <f>IF(C573="","",IFERROR(INDEX('6. Base de Custos'!$Q$8:$Q$42,MATCH(C573,'6. Base de Custos'!$L$8:$L$42,0)),""))</f>
        <v/>
      </c>
      <c r="R573" s="65">
        <f>IF(C573="","",IFERROR(VLOOKUP(M573&amp;"|"&amp;N573,'17. Mapa DRE CP'!$E$5:$H$100,2,FALSE),"Revisar"))</f>
        <v/>
      </c>
      <c r="S573" s="65">
        <f>IF(C573="","",IFERROR(VLOOKUP(M573&amp;"|"&amp;N573,'17. Mapa DRE CP'!$E$5:$H$100,3,FALSE),"Revisar"))</f>
        <v/>
      </c>
      <c r="T573" s="65">
        <f>IF(C573="","",IF(R573="(-) Custos diretos dos serviços",IF(ISNUMBER(SEARCH("PCMSO",C573)),"PCMSO",IF(OR(ISNUMBER(SEARCH("SGS",C573)),ISNUMBER(SEARCH("CASTRO NAVES",C573))),"Projetos / Laudos / Avulsos","Projetos / Laudos / Avulsos")),"Rateio pela receita bruta"))</f>
        <v/>
      </c>
      <c r="U573" s="65">
        <f>IF(C573="","",IF(R573="(-) Custos diretos dos serviços","Direto por fornecedor/natureza do gasto","Rateio proporcional à receita bruta da linha de serviço"))</f>
        <v/>
      </c>
    </row>
    <row r="574">
      <c r="A574" s="28">
        <f>IF(C574="","", "CP-"&amp;TEXT(ROW()-5,"000"))</f>
        <v/>
      </c>
      <c r="B574" s="27">
        <f>IF(F574="","",DATE(YEAR(F574),MONTH(F574),1))</f>
        <v/>
      </c>
      <c r="C574" s="28" t="n"/>
      <c r="D574" s="28" t="n"/>
      <c r="E574" s="59">
        <f>IF(C574="","",IFERROR(INDEX('6. Base de Custos'!$M$8:$M$42,MATCH(C574,'6. Base de Custos'!$L$8:$L$42,0)),"Não classificado"))</f>
        <v/>
      </c>
      <c r="F574" s="111" t="n"/>
      <c r="G574" s="111" t="n"/>
      <c r="H574" s="111" t="n"/>
      <c r="I574" s="45" t="n"/>
      <c r="J574" s="28" t="n"/>
      <c r="K574" s="28" t="n"/>
      <c r="L574" s="28" t="n"/>
      <c r="M574" s="59">
        <f>IF(C574="","",IFERROR(INDEX('6. Base de Custos'!$N$8:$N$42,MATCH(C574,'6. Base de Custos'!$L$8:$L$42,0)),"Não classificado"))</f>
        <v/>
      </c>
      <c r="N574" s="59">
        <f>IF(C574="","",IFERROR(INDEX('6. Base de Custos'!$O$8:$O$42,MATCH(C574,'6. Base de Custos'!$L$8:$L$42,0)),"Revisar"))</f>
        <v/>
      </c>
      <c r="O574" s="60">
        <f>IF(M574="","",IFERROR(VLOOKUP(M574,'6. Base de Custos'!$H$12:$J$18,3,FALSE),0))</f>
        <v/>
      </c>
      <c r="P574" s="59">
        <f>IF(C574="","",IFERROR(INDEX('6. Base de Custos'!$P$8:$P$42,MATCH(C574,'6. Base de Custos'!$L$8:$L$42,0)),"Revisar"))</f>
        <v/>
      </c>
      <c r="Q574" s="59">
        <f>IF(C574="","",IFERROR(INDEX('6. Base de Custos'!$Q$8:$Q$42,MATCH(C574,'6. Base de Custos'!$L$8:$L$42,0)),""))</f>
        <v/>
      </c>
      <c r="R574" s="65">
        <f>IF(C574="","",IFERROR(VLOOKUP(M574&amp;"|"&amp;N574,'17. Mapa DRE CP'!$E$5:$H$100,2,FALSE),"Revisar"))</f>
        <v/>
      </c>
      <c r="S574" s="65">
        <f>IF(C574="","",IFERROR(VLOOKUP(M574&amp;"|"&amp;N574,'17. Mapa DRE CP'!$E$5:$H$100,3,FALSE),"Revisar"))</f>
        <v/>
      </c>
      <c r="T574" s="65">
        <f>IF(C574="","",IF(R574="(-) Custos diretos dos serviços",IF(ISNUMBER(SEARCH("PCMSO",C574)),"PCMSO",IF(OR(ISNUMBER(SEARCH("SGS",C574)),ISNUMBER(SEARCH("CASTRO NAVES",C574))),"Projetos / Laudos / Avulsos","Projetos / Laudos / Avulsos")),"Rateio pela receita bruta"))</f>
        <v/>
      </c>
      <c r="U574" s="65">
        <f>IF(C574="","",IF(R574="(-) Custos diretos dos serviços","Direto por fornecedor/natureza do gasto","Rateio proporcional à receita bruta da linha de serviço"))</f>
        <v/>
      </c>
    </row>
    <row r="575">
      <c r="A575" s="28">
        <f>IF(C575="","", "CP-"&amp;TEXT(ROW()-5,"000"))</f>
        <v/>
      </c>
      <c r="B575" s="27">
        <f>IF(F575="","",DATE(YEAR(F575),MONTH(F575),1))</f>
        <v/>
      </c>
      <c r="C575" s="28" t="n"/>
      <c r="D575" s="28" t="n"/>
      <c r="E575" s="59">
        <f>IF(C575="","",IFERROR(INDEX('6. Base de Custos'!$M$8:$M$42,MATCH(C575,'6. Base de Custos'!$L$8:$L$42,0)),"Não classificado"))</f>
        <v/>
      </c>
      <c r="F575" s="111" t="n"/>
      <c r="G575" s="111" t="n"/>
      <c r="H575" s="111" t="n"/>
      <c r="I575" s="45" t="n"/>
      <c r="J575" s="28" t="n"/>
      <c r="K575" s="28" t="n"/>
      <c r="L575" s="28" t="n"/>
      <c r="M575" s="59">
        <f>IF(C575="","",IFERROR(INDEX('6. Base de Custos'!$N$8:$N$42,MATCH(C575,'6. Base de Custos'!$L$8:$L$42,0)),"Não classificado"))</f>
        <v/>
      </c>
      <c r="N575" s="59">
        <f>IF(C575="","",IFERROR(INDEX('6. Base de Custos'!$O$8:$O$42,MATCH(C575,'6. Base de Custos'!$L$8:$L$42,0)),"Revisar"))</f>
        <v/>
      </c>
      <c r="O575" s="60">
        <f>IF(M575="","",IFERROR(VLOOKUP(M575,'6. Base de Custos'!$H$12:$J$18,3,FALSE),0))</f>
        <v/>
      </c>
      <c r="P575" s="59">
        <f>IF(C575="","",IFERROR(INDEX('6. Base de Custos'!$P$8:$P$42,MATCH(C575,'6. Base de Custos'!$L$8:$L$42,0)),"Revisar"))</f>
        <v/>
      </c>
      <c r="Q575" s="59">
        <f>IF(C575="","",IFERROR(INDEX('6. Base de Custos'!$Q$8:$Q$42,MATCH(C575,'6. Base de Custos'!$L$8:$L$42,0)),""))</f>
        <v/>
      </c>
      <c r="R575" s="65">
        <f>IF(C575="","",IFERROR(VLOOKUP(M575&amp;"|"&amp;N575,'17. Mapa DRE CP'!$E$5:$H$100,2,FALSE),"Revisar"))</f>
        <v/>
      </c>
      <c r="S575" s="65">
        <f>IF(C575="","",IFERROR(VLOOKUP(M575&amp;"|"&amp;N575,'17. Mapa DRE CP'!$E$5:$H$100,3,FALSE),"Revisar"))</f>
        <v/>
      </c>
      <c r="T575" s="65">
        <f>IF(C575="","",IF(R575="(-) Custos diretos dos serviços",IF(ISNUMBER(SEARCH("PCMSO",C575)),"PCMSO",IF(OR(ISNUMBER(SEARCH("SGS",C575)),ISNUMBER(SEARCH("CASTRO NAVES",C575))),"Projetos / Laudos / Avulsos","Projetos / Laudos / Avulsos")),"Rateio pela receita bruta"))</f>
        <v/>
      </c>
      <c r="U575" s="65">
        <f>IF(C575="","",IF(R575="(-) Custos diretos dos serviços","Direto por fornecedor/natureza do gasto","Rateio proporcional à receita bruta da linha de serviço"))</f>
        <v/>
      </c>
    </row>
    <row r="576">
      <c r="A576" s="28">
        <f>IF(C576="","", "CP-"&amp;TEXT(ROW()-5,"000"))</f>
        <v/>
      </c>
      <c r="B576" s="27">
        <f>IF(F576="","",DATE(YEAR(F576),MONTH(F576),1))</f>
        <v/>
      </c>
      <c r="C576" s="28" t="n"/>
      <c r="D576" s="28" t="n"/>
      <c r="E576" s="59">
        <f>IF(C576="","",IFERROR(INDEX('6. Base de Custos'!$M$8:$M$42,MATCH(C576,'6. Base de Custos'!$L$8:$L$42,0)),"Não classificado"))</f>
        <v/>
      </c>
      <c r="F576" s="111" t="n"/>
      <c r="G576" s="111" t="n"/>
      <c r="H576" s="111" t="n"/>
      <c r="I576" s="45" t="n"/>
      <c r="J576" s="28" t="n"/>
      <c r="K576" s="28" t="n"/>
      <c r="L576" s="28" t="n"/>
      <c r="M576" s="59">
        <f>IF(C576="","",IFERROR(INDEX('6. Base de Custos'!$N$8:$N$42,MATCH(C576,'6. Base de Custos'!$L$8:$L$42,0)),"Não classificado"))</f>
        <v/>
      </c>
      <c r="N576" s="59">
        <f>IF(C576="","",IFERROR(INDEX('6. Base de Custos'!$O$8:$O$42,MATCH(C576,'6. Base de Custos'!$L$8:$L$42,0)),"Revisar"))</f>
        <v/>
      </c>
      <c r="O576" s="60">
        <f>IF(M576="","",IFERROR(VLOOKUP(M576,'6. Base de Custos'!$H$12:$J$18,3,FALSE),0))</f>
        <v/>
      </c>
      <c r="P576" s="59">
        <f>IF(C576="","",IFERROR(INDEX('6. Base de Custos'!$P$8:$P$42,MATCH(C576,'6. Base de Custos'!$L$8:$L$42,0)),"Revisar"))</f>
        <v/>
      </c>
      <c r="Q576" s="59">
        <f>IF(C576="","",IFERROR(INDEX('6. Base de Custos'!$Q$8:$Q$42,MATCH(C576,'6. Base de Custos'!$L$8:$L$42,0)),""))</f>
        <v/>
      </c>
      <c r="R576" s="65">
        <f>IF(C576="","",IFERROR(VLOOKUP(M576&amp;"|"&amp;N576,'17. Mapa DRE CP'!$E$5:$H$100,2,FALSE),"Revisar"))</f>
        <v/>
      </c>
      <c r="S576" s="65">
        <f>IF(C576="","",IFERROR(VLOOKUP(M576&amp;"|"&amp;N576,'17. Mapa DRE CP'!$E$5:$H$100,3,FALSE),"Revisar"))</f>
        <v/>
      </c>
      <c r="T576" s="65">
        <f>IF(C576="","",IF(R576="(-) Custos diretos dos serviços",IF(ISNUMBER(SEARCH("PCMSO",C576)),"PCMSO",IF(OR(ISNUMBER(SEARCH("SGS",C576)),ISNUMBER(SEARCH("CASTRO NAVES",C576))),"Projetos / Laudos / Avulsos","Projetos / Laudos / Avulsos")),"Rateio pela receita bruta"))</f>
        <v/>
      </c>
      <c r="U576" s="65">
        <f>IF(C576="","",IF(R576="(-) Custos diretos dos serviços","Direto por fornecedor/natureza do gasto","Rateio proporcional à receita bruta da linha de serviço"))</f>
        <v/>
      </c>
    </row>
    <row r="577">
      <c r="A577" s="28">
        <f>IF(C577="","", "CP-"&amp;TEXT(ROW()-5,"000"))</f>
        <v/>
      </c>
      <c r="B577" s="27">
        <f>IF(F577="","",DATE(YEAR(F577),MONTH(F577),1))</f>
        <v/>
      </c>
      <c r="C577" s="28" t="n"/>
      <c r="D577" s="28" t="n"/>
      <c r="E577" s="59">
        <f>IF(C577="","",IFERROR(INDEX('6. Base de Custos'!$M$8:$M$42,MATCH(C577,'6. Base de Custos'!$L$8:$L$42,0)),"Não classificado"))</f>
        <v/>
      </c>
      <c r="F577" s="111" t="n"/>
      <c r="G577" s="111" t="n"/>
      <c r="H577" s="111" t="n"/>
      <c r="I577" s="45" t="n"/>
      <c r="J577" s="28" t="n"/>
      <c r="K577" s="28" t="n"/>
      <c r="L577" s="28" t="n"/>
      <c r="M577" s="59">
        <f>IF(C577="","",IFERROR(INDEX('6. Base de Custos'!$N$8:$N$42,MATCH(C577,'6. Base de Custos'!$L$8:$L$42,0)),"Não classificado"))</f>
        <v/>
      </c>
      <c r="N577" s="59">
        <f>IF(C577="","",IFERROR(INDEX('6. Base de Custos'!$O$8:$O$42,MATCH(C577,'6. Base de Custos'!$L$8:$L$42,0)),"Revisar"))</f>
        <v/>
      </c>
      <c r="O577" s="60">
        <f>IF(M577="","",IFERROR(VLOOKUP(M577,'6. Base de Custos'!$H$12:$J$18,3,FALSE),0))</f>
        <v/>
      </c>
      <c r="P577" s="59">
        <f>IF(C577="","",IFERROR(INDEX('6. Base de Custos'!$P$8:$P$42,MATCH(C577,'6. Base de Custos'!$L$8:$L$42,0)),"Revisar"))</f>
        <v/>
      </c>
      <c r="Q577" s="59">
        <f>IF(C577="","",IFERROR(INDEX('6. Base de Custos'!$Q$8:$Q$42,MATCH(C577,'6. Base de Custos'!$L$8:$L$42,0)),""))</f>
        <v/>
      </c>
      <c r="R577" s="65">
        <f>IF(C577="","",IFERROR(VLOOKUP(M577&amp;"|"&amp;N577,'17. Mapa DRE CP'!$E$5:$H$100,2,FALSE),"Revisar"))</f>
        <v/>
      </c>
      <c r="S577" s="65">
        <f>IF(C577="","",IFERROR(VLOOKUP(M577&amp;"|"&amp;N577,'17. Mapa DRE CP'!$E$5:$H$100,3,FALSE),"Revisar"))</f>
        <v/>
      </c>
      <c r="T577" s="65">
        <f>IF(C577="","",IF(R577="(-) Custos diretos dos serviços",IF(ISNUMBER(SEARCH("PCMSO",C577)),"PCMSO",IF(OR(ISNUMBER(SEARCH("SGS",C577)),ISNUMBER(SEARCH("CASTRO NAVES",C577))),"Projetos / Laudos / Avulsos","Projetos / Laudos / Avulsos")),"Rateio pela receita bruta"))</f>
        <v/>
      </c>
      <c r="U577" s="65">
        <f>IF(C577="","",IF(R577="(-) Custos diretos dos serviços","Direto por fornecedor/natureza do gasto","Rateio proporcional à receita bruta da linha de serviço"))</f>
        <v/>
      </c>
    </row>
    <row r="578">
      <c r="A578" s="28">
        <f>IF(C578="","", "CP-"&amp;TEXT(ROW()-5,"000"))</f>
        <v/>
      </c>
      <c r="B578" s="27">
        <f>IF(F578="","",DATE(YEAR(F578),MONTH(F578),1))</f>
        <v/>
      </c>
      <c r="C578" s="28" t="n"/>
      <c r="D578" s="28" t="n"/>
      <c r="E578" s="59">
        <f>IF(C578="","",IFERROR(INDEX('6. Base de Custos'!$M$8:$M$42,MATCH(C578,'6. Base de Custos'!$L$8:$L$42,0)),"Não classificado"))</f>
        <v/>
      </c>
      <c r="F578" s="111" t="n"/>
      <c r="G578" s="111" t="n"/>
      <c r="H578" s="111" t="n"/>
      <c r="I578" s="45" t="n"/>
      <c r="J578" s="28" t="n"/>
      <c r="K578" s="28" t="n"/>
      <c r="L578" s="28" t="n"/>
      <c r="M578" s="59">
        <f>IF(C578="","",IFERROR(INDEX('6. Base de Custos'!$N$8:$N$42,MATCH(C578,'6. Base de Custos'!$L$8:$L$42,0)),"Não classificado"))</f>
        <v/>
      </c>
      <c r="N578" s="59">
        <f>IF(C578="","",IFERROR(INDEX('6. Base de Custos'!$O$8:$O$42,MATCH(C578,'6. Base de Custos'!$L$8:$L$42,0)),"Revisar"))</f>
        <v/>
      </c>
      <c r="O578" s="60">
        <f>IF(M578="","",IFERROR(VLOOKUP(M578,'6. Base de Custos'!$H$12:$J$18,3,FALSE),0))</f>
        <v/>
      </c>
      <c r="P578" s="59">
        <f>IF(C578="","",IFERROR(INDEX('6. Base de Custos'!$P$8:$P$42,MATCH(C578,'6. Base de Custos'!$L$8:$L$42,0)),"Revisar"))</f>
        <v/>
      </c>
      <c r="Q578" s="59">
        <f>IF(C578="","",IFERROR(INDEX('6. Base de Custos'!$Q$8:$Q$42,MATCH(C578,'6. Base de Custos'!$L$8:$L$42,0)),""))</f>
        <v/>
      </c>
      <c r="R578" s="65">
        <f>IF(C578="","",IFERROR(VLOOKUP(M578&amp;"|"&amp;N578,'17. Mapa DRE CP'!$E$5:$H$100,2,FALSE),"Revisar"))</f>
        <v/>
      </c>
      <c r="S578" s="65">
        <f>IF(C578="","",IFERROR(VLOOKUP(M578&amp;"|"&amp;N578,'17. Mapa DRE CP'!$E$5:$H$100,3,FALSE),"Revisar"))</f>
        <v/>
      </c>
      <c r="T578" s="65">
        <f>IF(C578="","",IF(R578="(-) Custos diretos dos serviços",IF(ISNUMBER(SEARCH("PCMSO",C578)),"PCMSO",IF(OR(ISNUMBER(SEARCH("SGS",C578)),ISNUMBER(SEARCH("CASTRO NAVES",C578))),"Projetos / Laudos / Avulsos","Projetos / Laudos / Avulsos")),"Rateio pela receita bruta"))</f>
        <v/>
      </c>
      <c r="U578" s="65">
        <f>IF(C578="","",IF(R578="(-) Custos diretos dos serviços","Direto por fornecedor/natureza do gasto","Rateio proporcional à receita bruta da linha de serviço"))</f>
        <v/>
      </c>
    </row>
    <row r="579">
      <c r="A579" s="28">
        <f>IF(C579="","", "CP-"&amp;TEXT(ROW()-5,"000"))</f>
        <v/>
      </c>
      <c r="B579" s="27">
        <f>IF(F579="","",DATE(YEAR(F579),MONTH(F579),1))</f>
        <v/>
      </c>
      <c r="C579" s="28" t="n"/>
      <c r="D579" s="28" t="n"/>
      <c r="E579" s="59">
        <f>IF(C579="","",IFERROR(INDEX('6. Base de Custos'!$M$8:$M$42,MATCH(C579,'6. Base de Custos'!$L$8:$L$42,0)),"Não classificado"))</f>
        <v/>
      </c>
      <c r="F579" s="111" t="n"/>
      <c r="G579" s="111" t="n"/>
      <c r="H579" s="111" t="n"/>
      <c r="I579" s="45" t="n"/>
      <c r="J579" s="28" t="n"/>
      <c r="K579" s="28" t="n"/>
      <c r="L579" s="28" t="n"/>
      <c r="M579" s="59">
        <f>IF(C579="","",IFERROR(INDEX('6. Base de Custos'!$N$8:$N$42,MATCH(C579,'6. Base de Custos'!$L$8:$L$42,0)),"Não classificado"))</f>
        <v/>
      </c>
      <c r="N579" s="59">
        <f>IF(C579="","",IFERROR(INDEX('6. Base de Custos'!$O$8:$O$42,MATCH(C579,'6. Base de Custos'!$L$8:$L$42,0)),"Revisar"))</f>
        <v/>
      </c>
      <c r="O579" s="60">
        <f>IF(M579="","",IFERROR(VLOOKUP(M579,'6. Base de Custos'!$H$12:$J$18,3,FALSE),0))</f>
        <v/>
      </c>
      <c r="P579" s="59">
        <f>IF(C579="","",IFERROR(INDEX('6. Base de Custos'!$P$8:$P$42,MATCH(C579,'6. Base de Custos'!$L$8:$L$42,0)),"Revisar"))</f>
        <v/>
      </c>
      <c r="Q579" s="59">
        <f>IF(C579="","",IFERROR(INDEX('6. Base de Custos'!$Q$8:$Q$42,MATCH(C579,'6. Base de Custos'!$L$8:$L$42,0)),""))</f>
        <v/>
      </c>
      <c r="R579" s="65">
        <f>IF(C579="","",IFERROR(VLOOKUP(M579&amp;"|"&amp;N579,'17. Mapa DRE CP'!$E$5:$H$100,2,FALSE),"Revisar"))</f>
        <v/>
      </c>
      <c r="S579" s="65">
        <f>IF(C579="","",IFERROR(VLOOKUP(M579&amp;"|"&amp;N579,'17. Mapa DRE CP'!$E$5:$H$100,3,FALSE),"Revisar"))</f>
        <v/>
      </c>
      <c r="T579" s="65">
        <f>IF(C579="","",IF(R579="(-) Custos diretos dos serviços",IF(ISNUMBER(SEARCH("PCMSO",C579)),"PCMSO",IF(OR(ISNUMBER(SEARCH("SGS",C579)),ISNUMBER(SEARCH("CASTRO NAVES",C579))),"Projetos / Laudos / Avulsos","Projetos / Laudos / Avulsos")),"Rateio pela receita bruta"))</f>
        <v/>
      </c>
      <c r="U579" s="65">
        <f>IF(C579="","",IF(R579="(-) Custos diretos dos serviços","Direto por fornecedor/natureza do gasto","Rateio proporcional à receita bruta da linha de serviço"))</f>
        <v/>
      </c>
    </row>
    <row r="580">
      <c r="A580" s="28">
        <f>IF(C580="","", "CP-"&amp;TEXT(ROW()-5,"000"))</f>
        <v/>
      </c>
      <c r="B580" s="27">
        <f>IF(F580="","",DATE(YEAR(F580),MONTH(F580),1))</f>
        <v/>
      </c>
      <c r="C580" s="28" t="n"/>
      <c r="D580" s="28" t="n"/>
      <c r="E580" s="59">
        <f>IF(C580="","",IFERROR(INDEX('6. Base de Custos'!$M$8:$M$42,MATCH(C580,'6. Base de Custos'!$L$8:$L$42,0)),"Não classificado"))</f>
        <v/>
      </c>
      <c r="F580" s="111" t="n"/>
      <c r="G580" s="111" t="n"/>
      <c r="H580" s="111" t="n"/>
      <c r="I580" s="45" t="n"/>
      <c r="J580" s="28" t="n"/>
      <c r="K580" s="28" t="n"/>
      <c r="L580" s="28" t="n"/>
      <c r="M580" s="59">
        <f>IF(C580="","",IFERROR(INDEX('6. Base de Custos'!$N$8:$N$42,MATCH(C580,'6. Base de Custos'!$L$8:$L$42,0)),"Não classificado"))</f>
        <v/>
      </c>
      <c r="N580" s="59">
        <f>IF(C580="","",IFERROR(INDEX('6. Base de Custos'!$O$8:$O$42,MATCH(C580,'6. Base de Custos'!$L$8:$L$42,0)),"Revisar"))</f>
        <v/>
      </c>
      <c r="O580" s="60">
        <f>IF(M580="","",IFERROR(VLOOKUP(M580,'6. Base de Custos'!$H$12:$J$18,3,FALSE),0))</f>
        <v/>
      </c>
      <c r="P580" s="59">
        <f>IF(C580="","",IFERROR(INDEX('6. Base de Custos'!$P$8:$P$42,MATCH(C580,'6. Base de Custos'!$L$8:$L$42,0)),"Revisar"))</f>
        <v/>
      </c>
      <c r="Q580" s="59">
        <f>IF(C580="","",IFERROR(INDEX('6. Base de Custos'!$Q$8:$Q$42,MATCH(C580,'6. Base de Custos'!$L$8:$L$42,0)),""))</f>
        <v/>
      </c>
      <c r="R580" s="65">
        <f>IF(C580="","",IFERROR(VLOOKUP(M580&amp;"|"&amp;N580,'17. Mapa DRE CP'!$E$5:$H$100,2,FALSE),"Revisar"))</f>
        <v/>
      </c>
      <c r="S580" s="65">
        <f>IF(C580="","",IFERROR(VLOOKUP(M580&amp;"|"&amp;N580,'17. Mapa DRE CP'!$E$5:$H$100,3,FALSE),"Revisar"))</f>
        <v/>
      </c>
      <c r="T580" s="65">
        <f>IF(C580="","",IF(R580="(-) Custos diretos dos serviços",IF(ISNUMBER(SEARCH("PCMSO",C580)),"PCMSO",IF(OR(ISNUMBER(SEARCH("SGS",C580)),ISNUMBER(SEARCH("CASTRO NAVES",C580))),"Projetos / Laudos / Avulsos","Projetos / Laudos / Avulsos")),"Rateio pela receita bruta"))</f>
        <v/>
      </c>
      <c r="U580" s="65">
        <f>IF(C580="","",IF(R580="(-) Custos diretos dos serviços","Direto por fornecedor/natureza do gasto","Rateio proporcional à receita bruta da linha de serviço"))</f>
        <v/>
      </c>
    </row>
    <row r="581">
      <c r="A581" s="28">
        <f>IF(C581="","", "CP-"&amp;TEXT(ROW()-5,"000"))</f>
        <v/>
      </c>
      <c r="B581" s="27">
        <f>IF(F581="","",DATE(YEAR(F581),MONTH(F581),1))</f>
        <v/>
      </c>
      <c r="C581" s="28" t="n"/>
      <c r="D581" s="28" t="n"/>
      <c r="E581" s="59">
        <f>IF(C581="","",IFERROR(INDEX('6. Base de Custos'!$M$8:$M$42,MATCH(C581,'6. Base de Custos'!$L$8:$L$42,0)),"Não classificado"))</f>
        <v/>
      </c>
      <c r="F581" s="111" t="n"/>
      <c r="G581" s="111" t="n"/>
      <c r="H581" s="111" t="n"/>
      <c r="I581" s="45" t="n"/>
      <c r="J581" s="28" t="n"/>
      <c r="K581" s="28" t="n"/>
      <c r="L581" s="28" t="n"/>
      <c r="M581" s="59">
        <f>IF(C581="","",IFERROR(INDEX('6. Base de Custos'!$N$8:$N$42,MATCH(C581,'6. Base de Custos'!$L$8:$L$42,0)),"Não classificado"))</f>
        <v/>
      </c>
      <c r="N581" s="59">
        <f>IF(C581="","",IFERROR(INDEX('6. Base de Custos'!$O$8:$O$42,MATCH(C581,'6. Base de Custos'!$L$8:$L$42,0)),"Revisar"))</f>
        <v/>
      </c>
      <c r="O581" s="60">
        <f>IF(M581="","",IFERROR(VLOOKUP(M581,'6. Base de Custos'!$H$12:$J$18,3,FALSE),0))</f>
        <v/>
      </c>
      <c r="P581" s="59">
        <f>IF(C581="","",IFERROR(INDEX('6. Base de Custos'!$P$8:$P$42,MATCH(C581,'6. Base de Custos'!$L$8:$L$42,0)),"Revisar"))</f>
        <v/>
      </c>
      <c r="Q581" s="59">
        <f>IF(C581="","",IFERROR(INDEX('6. Base de Custos'!$Q$8:$Q$42,MATCH(C581,'6. Base de Custos'!$L$8:$L$42,0)),""))</f>
        <v/>
      </c>
      <c r="R581" s="65">
        <f>IF(C581="","",IFERROR(VLOOKUP(M581&amp;"|"&amp;N581,'17. Mapa DRE CP'!$E$5:$H$100,2,FALSE),"Revisar"))</f>
        <v/>
      </c>
      <c r="S581" s="65">
        <f>IF(C581="","",IFERROR(VLOOKUP(M581&amp;"|"&amp;N581,'17. Mapa DRE CP'!$E$5:$H$100,3,FALSE),"Revisar"))</f>
        <v/>
      </c>
      <c r="T581" s="65">
        <f>IF(C581="","",IF(R581="(-) Custos diretos dos serviços",IF(ISNUMBER(SEARCH("PCMSO",C581)),"PCMSO",IF(OR(ISNUMBER(SEARCH("SGS",C581)),ISNUMBER(SEARCH("CASTRO NAVES",C581))),"Projetos / Laudos / Avulsos","Projetos / Laudos / Avulsos")),"Rateio pela receita bruta"))</f>
        <v/>
      </c>
      <c r="U581" s="65">
        <f>IF(C581="","",IF(R581="(-) Custos diretos dos serviços","Direto por fornecedor/natureza do gasto","Rateio proporcional à receita bruta da linha de serviço"))</f>
        <v/>
      </c>
    </row>
    <row r="582">
      <c r="A582" s="28">
        <f>IF(C582="","", "CP-"&amp;TEXT(ROW()-5,"000"))</f>
        <v/>
      </c>
      <c r="B582" s="27">
        <f>IF(F582="","",DATE(YEAR(F582),MONTH(F582),1))</f>
        <v/>
      </c>
      <c r="C582" s="28" t="n"/>
      <c r="D582" s="28" t="n"/>
      <c r="E582" s="59">
        <f>IF(C582="","",IFERROR(INDEX('6. Base de Custos'!$M$8:$M$42,MATCH(C582,'6. Base de Custos'!$L$8:$L$42,0)),"Não classificado"))</f>
        <v/>
      </c>
      <c r="F582" s="111" t="n"/>
      <c r="G582" s="111" t="n"/>
      <c r="H582" s="111" t="n"/>
      <c r="I582" s="45" t="n"/>
      <c r="J582" s="28" t="n"/>
      <c r="K582" s="28" t="n"/>
      <c r="L582" s="28" t="n"/>
      <c r="M582" s="59">
        <f>IF(C582="","",IFERROR(INDEX('6. Base de Custos'!$N$8:$N$42,MATCH(C582,'6. Base de Custos'!$L$8:$L$42,0)),"Não classificado"))</f>
        <v/>
      </c>
      <c r="N582" s="59">
        <f>IF(C582="","",IFERROR(INDEX('6. Base de Custos'!$O$8:$O$42,MATCH(C582,'6. Base de Custos'!$L$8:$L$42,0)),"Revisar"))</f>
        <v/>
      </c>
      <c r="O582" s="60">
        <f>IF(M582="","",IFERROR(VLOOKUP(M582,'6. Base de Custos'!$H$12:$J$18,3,FALSE),0))</f>
        <v/>
      </c>
      <c r="P582" s="59">
        <f>IF(C582="","",IFERROR(INDEX('6. Base de Custos'!$P$8:$P$42,MATCH(C582,'6. Base de Custos'!$L$8:$L$42,0)),"Revisar"))</f>
        <v/>
      </c>
      <c r="Q582" s="59">
        <f>IF(C582="","",IFERROR(INDEX('6. Base de Custos'!$Q$8:$Q$42,MATCH(C582,'6. Base de Custos'!$L$8:$L$42,0)),""))</f>
        <v/>
      </c>
      <c r="R582" s="65">
        <f>IF(C582="","",IFERROR(VLOOKUP(M582&amp;"|"&amp;N582,'17. Mapa DRE CP'!$E$5:$H$100,2,FALSE),"Revisar"))</f>
        <v/>
      </c>
      <c r="S582" s="65">
        <f>IF(C582="","",IFERROR(VLOOKUP(M582&amp;"|"&amp;N582,'17. Mapa DRE CP'!$E$5:$H$100,3,FALSE),"Revisar"))</f>
        <v/>
      </c>
      <c r="T582" s="65">
        <f>IF(C582="","",IF(R582="(-) Custos diretos dos serviços",IF(ISNUMBER(SEARCH("PCMSO",C582)),"PCMSO",IF(OR(ISNUMBER(SEARCH("SGS",C582)),ISNUMBER(SEARCH("CASTRO NAVES",C582))),"Projetos / Laudos / Avulsos","Projetos / Laudos / Avulsos")),"Rateio pela receita bruta"))</f>
        <v/>
      </c>
      <c r="U582" s="65">
        <f>IF(C582="","",IF(R582="(-) Custos diretos dos serviços","Direto por fornecedor/natureza do gasto","Rateio proporcional à receita bruta da linha de serviço"))</f>
        <v/>
      </c>
    </row>
    <row r="583">
      <c r="A583" s="28">
        <f>IF(C583="","", "CP-"&amp;TEXT(ROW()-5,"000"))</f>
        <v/>
      </c>
      <c r="B583" s="27">
        <f>IF(F583="","",DATE(YEAR(F583),MONTH(F583),1))</f>
        <v/>
      </c>
      <c r="C583" s="28" t="n"/>
      <c r="D583" s="28" t="n"/>
      <c r="E583" s="59">
        <f>IF(C583="","",IFERROR(INDEX('6. Base de Custos'!$M$8:$M$42,MATCH(C583,'6. Base de Custos'!$L$8:$L$42,0)),"Não classificado"))</f>
        <v/>
      </c>
      <c r="F583" s="111" t="n"/>
      <c r="G583" s="111" t="n"/>
      <c r="H583" s="111" t="n"/>
      <c r="I583" s="45" t="n"/>
      <c r="J583" s="28" t="n"/>
      <c r="K583" s="28" t="n"/>
      <c r="L583" s="28" t="n"/>
      <c r="M583" s="59">
        <f>IF(C583="","",IFERROR(INDEX('6. Base de Custos'!$N$8:$N$42,MATCH(C583,'6. Base de Custos'!$L$8:$L$42,0)),"Não classificado"))</f>
        <v/>
      </c>
      <c r="N583" s="59">
        <f>IF(C583="","",IFERROR(INDEX('6. Base de Custos'!$O$8:$O$42,MATCH(C583,'6. Base de Custos'!$L$8:$L$42,0)),"Revisar"))</f>
        <v/>
      </c>
      <c r="O583" s="60">
        <f>IF(M583="","",IFERROR(VLOOKUP(M583,'6. Base de Custos'!$H$12:$J$18,3,FALSE),0))</f>
        <v/>
      </c>
      <c r="P583" s="59">
        <f>IF(C583="","",IFERROR(INDEX('6. Base de Custos'!$P$8:$P$42,MATCH(C583,'6. Base de Custos'!$L$8:$L$42,0)),"Revisar"))</f>
        <v/>
      </c>
      <c r="Q583" s="59">
        <f>IF(C583="","",IFERROR(INDEX('6. Base de Custos'!$Q$8:$Q$42,MATCH(C583,'6. Base de Custos'!$L$8:$L$42,0)),""))</f>
        <v/>
      </c>
      <c r="R583" s="65">
        <f>IF(C583="","",IFERROR(VLOOKUP(M583&amp;"|"&amp;N583,'17. Mapa DRE CP'!$E$5:$H$100,2,FALSE),"Revisar"))</f>
        <v/>
      </c>
      <c r="S583" s="65">
        <f>IF(C583="","",IFERROR(VLOOKUP(M583&amp;"|"&amp;N583,'17. Mapa DRE CP'!$E$5:$H$100,3,FALSE),"Revisar"))</f>
        <v/>
      </c>
      <c r="T583" s="65">
        <f>IF(C583="","",IF(R583="(-) Custos diretos dos serviços",IF(ISNUMBER(SEARCH("PCMSO",C583)),"PCMSO",IF(OR(ISNUMBER(SEARCH("SGS",C583)),ISNUMBER(SEARCH("CASTRO NAVES",C583))),"Projetos / Laudos / Avulsos","Projetos / Laudos / Avulsos")),"Rateio pela receita bruta"))</f>
        <v/>
      </c>
      <c r="U583" s="65">
        <f>IF(C583="","",IF(R583="(-) Custos diretos dos serviços","Direto por fornecedor/natureza do gasto","Rateio proporcional à receita bruta da linha de serviço"))</f>
        <v/>
      </c>
    </row>
    <row r="584">
      <c r="A584" s="28">
        <f>IF(C584="","", "CP-"&amp;TEXT(ROW()-5,"000"))</f>
        <v/>
      </c>
      <c r="B584" s="27">
        <f>IF(F584="","",DATE(YEAR(F584),MONTH(F584),1))</f>
        <v/>
      </c>
      <c r="C584" s="28" t="n"/>
      <c r="D584" s="28" t="n"/>
      <c r="E584" s="59">
        <f>IF(C584="","",IFERROR(INDEX('6. Base de Custos'!$M$8:$M$42,MATCH(C584,'6. Base de Custos'!$L$8:$L$42,0)),"Não classificado"))</f>
        <v/>
      </c>
      <c r="F584" s="111" t="n"/>
      <c r="G584" s="111" t="n"/>
      <c r="H584" s="111" t="n"/>
      <c r="I584" s="45" t="n"/>
      <c r="J584" s="28" t="n"/>
      <c r="K584" s="28" t="n"/>
      <c r="L584" s="28" t="n"/>
      <c r="M584" s="59">
        <f>IF(C584="","",IFERROR(INDEX('6. Base de Custos'!$N$8:$N$42,MATCH(C584,'6. Base de Custos'!$L$8:$L$42,0)),"Não classificado"))</f>
        <v/>
      </c>
      <c r="N584" s="59">
        <f>IF(C584="","",IFERROR(INDEX('6. Base de Custos'!$O$8:$O$42,MATCH(C584,'6. Base de Custos'!$L$8:$L$42,0)),"Revisar"))</f>
        <v/>
      </c>
      <c r="O584" s="60">
        <f>IF(M584="","",IFERROR(VLOOKUP(M584,'6. Base de Custos'!$H$12:$J$18,3,FALSE),0))</f>
        <v/>
      </c>
      <c r="P584" s="59">
        <f>IF(C584="","",IFERROR(INDEX('6. Base de Custos'!$P$8:$P$42,MATCH(C584,'6. Base de Custos'!$L$8:$L$42,0)),"Revisar"))</f>
        <v/>
      </c>
      <c r="Q584" s="59">
        <f>IF(C584="","",IFERROR(INDEX('6. Base de Custos'!$Q$8:$Q$42,MATCH(C584,'6. Base de Custos'!$L$8:$L$42,0)),""))</f>
        <v/>
      </c>
      <c r="R584" s="65">
        <f>IF(C584="","",IFERROR(VLOOKUP(M584&amp;"|"&amp;N584,'17. Mapa DRE CP'!$E$5:$H$100,2,FALSE),"Revisar"))</f>
        <v/>
      </c>
      <c r="S584" s="65">
        <f>IF(C584="","",IFERROR(VLOOKUP(M584&amp;"|"&amp;N584,'17. Mapa DRE CP'!$E$5:$H$100,3,FALSE),"Revisar"))</f>
        <v/>
      </c>
      <c r="T584" s="65">
        <f>IF(C584="","",IF(R584="(-) Custos diretos dos serviços",IF(ISNUMBER(SEARCH("PCMSO",C584)),"PCMSO",IF(OR(ISNUMBER(SEARCH("SGS",C584)),ISNUMBER(SEARCH("CASTRO NAVES",C584))),"Projetos / Laudos / Avulsos","Projetos / Laudos / Avulsos")),"Rateio pela receita bruta"))</f>
        <v/>
      </c>
      <c r="U584" s="65">
        <f>IF(C584="","",IF(R584="(-) Custos diretos dos serviços","Direto por fornecedor/natureza do gasto","Rateio proporcional à receita bruta da linha de serviço"))</f>
        <v/>
      </c>
    </row>
    <row r="585">
      <c r="A585" s="28">
        <f>IF(C585="","", "CP-"&amp;TEXT(ROW()-5,"000"))</f>
        <v/>
      </c>
      <c r="B585" s="27">
        <f>IF(F585="","",DATE(YEAR(F585),MONTH(F585),1))</f>
        <v/>
      </c>
      <c r="C585" s="28" t="n"/>
      <c r="D585" s="28" t="n"/>
      <c r="E585" s="59">
        <f>IF(C585="","",IFERROR(INDEX('6. Base de Custos'!$M$8:$M$42,MATCH(C585,'6. Base de Custos'!$L$8:$L$42,0)),"Não classificado"))</f>
        <v/>
      </c>
      <c r="F585" s="111" t="n"/>
      <c r="G585" s="111" t="n"/>
      <c r="H585" s="111" t="n"/>
      <c r="I585" s="45" t="n"/>
      <c r="J585" s="28" t="n"/>
      <c r="K585" s="28" t="n"/>
      <c r="L585" s="28" t="n"/>
      <c r="M585" s="59">
        <f>IF(C585="","",IFERROR(INDEX('6. Base de Custos'!$N$8:$N$42,MATCH(C585,'6. Base de Custos'!$L$8:$L$42,0)),"Não classificado"))</f>
        <v/>
      </c>
      <c r="N585" s="59">
        <f>IF(C585="","",IFERROR(INDEX('6. Base de Custos'!$O$8:$O$42,MATCH(C585,'6. Base de Custos'!$L$8:$L$42,0)),"Revisar"))</f>
        <v/>
      </c>
      <c r="O585" s="60">
        <f>IF(M585="","",IFERROR(VLOOKUP(M585,'6. Base de Custos'!$H$12:$J$18,3,FALSE),0))</f>
        <v/>
      </c>
      <c r="P585" s="59">
        <f>IF(C585="","",IFERROR(INDEX('6. Base de Custos'!$P$8:$P$42,MATCH(C585,'6. Base de Custos'!$L$8:$L$42,0)),"Revisar"))</f>
        <v/>
      </c>
      <c r="Q585" s="59">
        <f>IF(C585="","",IFERROR(INDEX('6. Base de Custos'!$Q$8:$Q$42,MATCH(C585,'6. Base de Custos'!$L$8:$L$42,0)),""))</f>
        <v/>
      </c>
      <c r="R585" s="65">
        <f>IF(C585="","",IFERROR(VLOOKUP(M585&amp;"|"&amp;N585,'17. Mapa DRE CP'!$E$5:$H$100,2,FALSE),"Revisar"))</f>
        <v/>
      </c>
      <c r="S585" s="65">
        <f>IF(C585="","",IFERROR(VLOOKUP(M585&amp;"|"&amp;N585,'17. Mapa DRE CP'!$E$5:$H$100,3,FALSE),"Revisar"))</f>
        <v/>
      </c>
      <c r="T585" s="65">
        <f>IF(C585="","",IF(R585="(-) Custos diretos dos serviços",IF(ISNUMBER(SEARCH("PCMSO",C585)),"PCMSO",IF(OR(ISNUMBER(SEARCH("SGS",C585)),ISNUMBER(SEARCH("CASTRO NAVES",C585))),"Projetos / Laudos / Avulsos","Projetos / Laudos / Avulsos")),"Rateio pela receita bruta"))</f>
        <v/>
      </c>
      <c r="U585" s="65">
        <f>IF(C585="","",IF(R585="(-) Custos diretos dos serviços","Direto por fornecedor/natureza do gasto","Rateio proporcional à receita bruta da linha de serviço"))</f>
        <v/>
      </c>
    </row>
    <row r="586">
      <c r="A586" s="28">
        <f>IF(C586="","", "CP-"&amp;TEXT(ROW()-5,"000"))</f>
        <v/>
      </c>
      <c r="B586" s="27">
        <f>IF(F586="","",DATE(YEAR(F586),MONTH(F586),1))</f>
        <v/>
      </c>
      <c r="C586" s="28" t="n"/>
      <c r="D586" s="28" t="n"/>
      <c r="E586" s="59">
        <f>IF(C586="","",IFERROR(INDEX('6. Base de Custos'!$M$8:$M$42,MATCH(C586,'6. Base de Custos'!$L$8:$L$42,0)),"Não classificado"))</f>
        <v/>
      </c>
      <c r="F586" s="111" t="n"/>
      <c r="G586" s="111" t="n"/>
      <c r="H586" s="111" t="n"/>
      <c r="I586" s="45" t="n"/>
      <c r="J586" s="28" t="n"/>
      <c r="K586" s="28" t="n"/>
      <c r="L586" s="28" t="n"/>
      <c r="M586" s="59">
        <f>IF(C586="","",IFERROR(INDEX('6. Base de Custos'!$N$8:$N$42,MATCH(C586,'6. Base de Custos'!$L$8:$L$42,0)),"Não classificado"))</f>
        <v/>
      </c>
      <c r="N586" s="59">
        <f>IF(C586="","",IFERROR(INDEX('6. Base de Custos'!$O$8:$O$42,MATCH(C586,'6. Base de Custos'!$L$8:$L$42,0)),"Revisar"))</f>
        <v/>
      </c>
      <c r="O586" s="60">
        <f>IF(M586="","",IFERROR(VLOOKUP(M586,'6. Base de Custos'!$H$12:$J$18,3,FALSE),0))</f>
        <v/>
      </c>
      <c r="P586" s="59">
        <f>IF(C586="","",IFERROR(INDEX('6. Base de Custos'!$P$8:$P$42,MATCH(C586,'6. Base de Custos'!$L$8:$L$42,0)),"Revisar"))</f>
        <v/>
      </c>
      <c r="Q586" s="59">
        <f>IF(C586="","",IFERROR(INDEX('6. Base de Custos'!$Q$8:$Q$42,MATCH(C586,'6. Base de Custos'!$L$8:$L$42,0)),""))</f>
        <v/>
      </c>
      <c r="R586" s="65">
        <f>IF(C586="","",IFERROR(VLOOKUP(M586&amp;"|"&amp;N586,'17. Mapa DRE CP'!$E$5:$H$100,2,FALSE),"Revisar"))</f>
        <v/>
      </c>
      <c r="S586" s="65">
        <f>IF(C586="","",IFERROR(VLOOKUP(M586&amp;"|"&amp;N586,'17. Mapa DRE CP'!$E$5:$H$100,3,FALSE),"Revisar"))</f>
        <v/>
      </c>
      <c r="T586" s="65">
        <f>IF(C586="","",IF(R586="(-) Custos diretos dos serviços",IF(ISNUMBER(SEARCH("PCMSO",C586)),"PCMSO",IF(OR(ISNUMBER(SEARCH("SGS",C586)),ISNUMBER(SEARCH("CASTRO NAVES",C586))),"Projetos / Laudos / Avulsos","Projetos / Laudos / Avulsos")),"Rateio pela receita bruta"))</f>
        <v/>
      </c>
      <c r="U586" s="65">
        <f>IF(C586="","",IF(R586="(-) Custos diretos dos serviços","Direto por fornecedor/natureza do gasto","Rateio proporcional à receita bruta da linha de serviço"))</f>
        <v/>
      </c>
    </row>
    <row r="587">
      <c r="A587" s="28">
        <f>IF(C587="","", "CP-"&amp;TEXT(ROW()-5,"000"))</f>
        <v/>
      </c>
      <c r="B587" s="27">
        <f>IF(F587="","",DATE(YEAR(F587),MONTH(F587),1))</f>
        <v/>
      </c>
      <c r="C587" s="28" t="n"/>
      <c r="D587" s="28" t="n"/>
      <c r="E587" s="59">
        <f>IF(C587="","",IFERROR(INDEX('6. Base de Custos'!$M$8:$M$42,MATCH(C587,'6. Base de Custos'!$L$8:$L$42,0)),"Não classificado"))</f>
        <v/>
      </c>
      <c r="F587" s="111" t="n"/>
      <c r="G587" s="111" t="n"/>
      <c r="H587" s="111" t="n"/>
      <c r="I587" s="45" t="n"/>
      <c r="J587" s="28" t="n"/>
      <c r="K587" s="28" t="n"/>
      <c r="L587" s="28" t="n"/>
      <c r="M587" s="59">
        <f>IF(C587="","",IFERROR(INDEX('6. Base de Custos'!$N$8:$N$42,MATCH(C587,'6. Base de Custos'!$L$8:$L$42,0)),"Não classificado"))</f>
        <v/>
      </c>
      <c r="N587" s="59">
        <f>IF(C587="","",IFERROR(INDEX('6. Base de Custos'!$O$8:$O$42,MATCH(C587,'6. Base de Custos'!$L$8:$L$42,0)),"Revisar"))</f>
        <v/>
      </c>
      <c r="O587" s="60">
        <f>IF(M587="","",IFERROR(VLOOKUP(M587,'6. Base de Custos'!$H$12:$J$18,3,FALSE),0))</f>
        <v/>
      </c>
      <c r="P587" s="59">
        <f>IF(C587="","",IFERROR(INDEX('6. Base de Custos'!$P$8:$P$42,MATCH(C587,'6. Base de Custos'!$L$8:$L$42,0)),"Revisar"))</f>
        <v/>
      </c>
      <c r="Q587" s="59">
        <f>IF(C587="","",IFERROR(INDEX('6. Base de Custos'!$Q$8:$Q$42,MATCH(C587,'6. Base de Custos'!$L$8:$L$42,0)),""))</f>
        <v/>
      </c>
      <c r="R587" s="65">
        <f>IF(C587="","",IFERROR(VLOOKUP(M587&amp;"|"&amp;N587,'17. Mapa DRE CP'!$E$5:$H$100,2,FALSE),"Revisar"))</f>
        <v/>
      </c>
      <c r="S587" s="65">
        <f>IF(C587="","",IFERROR(VLOOKUP(M587&amp;"|"&amp;N587,'17. Mapa DRE CP'!$E$5:$H$100,3,FALSE),"Revisar"))</f>
        <v/>
      </c>
      <c r="T587" s="65">
        <f>IF(C587="","",IF(R587="(-) Custos diretos dos serviços",IF(ISNUMBER(SEARCH("PCMSO",C587)),"PCMSO",IF(OR(ISNUMBER(SEARCH("SGS",C587)),ISNUMBER(SEARCH("CASTRO NAVES",C587))),"Projetos / Laudos / Avulsos","Projetos / Laudos / Avulsos")),"Rateio pela receita bruta"))</f>
        <v/>
      </c>
      <c r="U587" s="65">
        <f>IF(C587="","",IF(R587="(-) Custos diretos dos serviços","Direto por fornecedor/natureza do gasto","Rateio proporcional à receita bruta da linha de serviço"))</f>
        <v/>
      </c>
    </row>
    <row r="588">
      <c r="A588" s="28">
        <f>IF(C588="","", "CP-"&amp;TEXT(ROW()-5,"000"))</f>
        <v/>
      </c>
      <c r="B588" s="27">
        <f>IF(F588="","",DATE(YEAR(F588),MONTH(F588),1))</f>
        <v/>
      </c>
      <c r="C588" s="28" t="n"/>
      <c r="D588" s="28" t="n"/>
      <c r="E588" s="59">
        <f>IF(C588="","",IFERROR(INDEX('6. Base de Custos'!$M$8:$M$42,MATCH(C588,'6. Base de Custos'!$L$8:$L$42,0)),"Não classificado"))</f>
        <v/>
      </c>
      <c r="F588" s="111" t="n"/>
      <c r="G588" s="111" t="n"/>
      <c r="H588" s="111" t="n"/>
      <c r="I588" s="45" t="n"/>
      <c r="J588" s="28" t="n"/>
      <c r="K588" s="28" t="n"/>
      <c r="L588" s="28" t="n"/>
      <c r="M588" s="59">
        <f>IF(C588="","",IFERROR(INDEX('6. Base de Custos'!$N$8:$N$42,MATCH(C588,'6. Base de Custos'!$L$8:$L$42,0)),"Não classificado"))</f>
        <v/>
      </c>
      <c r="N588" s="59">
        <f>IF(C588="","",IFERROR(INDEX('6. Base de Custos'!$O$8:$O$42,MATCH(C588,'6. Base de Custos'!$L$8:$L$42,0)),"Revisar"))</f>
        <v/>
      </c>
      <c r="O588" s="60">
        <f>IF(M588="","",IFERROR(VLOOKUP(M588,'6. Base de Custos'!$H$12:$J$18,3,FALSE),0))</f>
        <v/>
      </c>
      <c r="P588" s="59">
        <f>IF(C588="","",IFERROR(INDEX('6. Base de Custos'!$P$8:$P$42,MATCH(C588,'6. Base de Custos'!$L$8:$L$42,0)),"Revisar"))</f>
        <v/>
      </c>
      <c r="Q588" s="59">
        <f>IF(C588="","",IFERROR(INDEX('6. Base de Custos'!$Q$8:$Q$42,MATCH(C588,'6. Base de Custos'!$L$8:$L$42,0)),""))</f>
        <v/>
      </c>
      <c r="R588" s="65">
        <f>IF(C588="","",IFERROR(VLOOKUP(M588&amp;"|"&amp;N588,'17. Mapa DRE CP'!$E$5:$H$100,2,FALSE),"Revisar"))</f>
        <v/>
      </c>
      <c r="S588" s="65">
        <f>IF(C588="","",IFERROR(VLOOKUP(M588&amp;"|"&amp;N588,'17. Mapa DRE CP'!$E$5:$H$100,3,FALSE),"Revisar"))</f>
        <v/>
      </c>
      <c r="T588" s="65">
        <f>IF(C588="","",IF(R588="(-) Custos diretos dos serviços",IF(ISNUMBER(SEARCH("PCMSO",C588)),"PCMSO",IF(OR(ISNUMBER(SEARCH("SGS",C588)),ISNUMBER(SEARCH("CASTRO NAVES",C588))),"Projetos / Laudos / Avulsos","Projetos / Laudos / Avulsos")),"Rateio pela receita bruta"))</f>
        <v/>
      </c>
      <c r="U588" s="65">
        <f>IF(C588="","",IF(R588="(-) Custos diretos dos serviços","Direto por fornecedor/natureza do gasto","Rateio proporcional à receita bruta da linha de serviço"))</f>
        <v/>
      </c>
    </row>
    <row r="589">
      <c r="A589" s="28">
        <f>IF(C589="","", "CP-"&amp;TEXT(ROW()-5,"000"))</f>
        <v/>
      </c>
      <c r="B589" s="27">
        <f>IF(F589="","",DATE(YEAR(F589),MONTH(F589),1))</f>
        <v/>
      </c>
      <c r="C589" s="28" t="n"/>
      <c r="D589" s="28" t="n"/>
      <c r="E589" s="59">
        <f>IF(C589="","",IFERROR(INDEX('6. Base de Custos'!$M$8:$M$42,MATCH(C589,'6. Base de Custos'!$L$8:$L$42,0)),"Não classificado"))</f>
        <v/>
      </c>
      <c r="F589" s="111" t="n"/>
      <c r="G589" s="111" t="n"/>
      <c r="H589" s="111" t="n"/>
      <c r="I589" s="45" t="n"/>
      <c r="J589" s="28" t="n"/>
      <c r="K589" s="28" t="n"/>
      <c r="L589" s="28" t="n"/>
      <c r="M589" s="59">
        <f>IF(C589="","",IFERROR(INDEX('6. Base de Custos'!$N$8:$N$42,MATCH(C589,'6. Base de Custos'!$L$8:$L$42,0)),"Não classificado"))</f>
        <v/>
      </c>
      <c r="N589" s="59">
        <f>IF(C589="","",IFERROR(INDEX('6. Base de Custos'!$O$8:$O$42,MATCH(C589,'6. Base de Custos'!$L$8:$L$42,0)),"Revisar"))</f>
        <v/>
      </c>
      <c r="O589" s="60">
        <f>IF(M589="","",IFERROR(VLOOKUP(M589,'6. Base de Custos'!$H$12:$J$18,3,FALSE),0))</f>
        <v/>
      </c>
      <c r="P589" s="59">
        <f>IF(C589="","",IFERROR(INDEX('6. Base de Custos'!$P$8:$P$42,MATCH(C589,'6. Base de Custos'!$L$8:$L$42,0)),"Revisar"))</f>
        <v/>
      </c>
      <c r="Q589" s="59">
        <f>IF(C589="","",IFERROR(INDEX('6. Base de Custos'!$Q$8:$Q$42,MATCH(C589,'6. Base de Custos'!$L$8:$L$42,0)),""))</f>
        <v/>
      </c>
      <c r="R589" s="65">
        <f>IF(C589="","",IFERROR(VLOOKUP(M589&amp;"|"&amp;N589,'17. Mapa DRE CP'!$E$5:$H$100,2,FALSE),"Revisar"))</f>
        <v/>
      </c>
      <c r="S589" s="65">
        <f>IF(C589="","",IFERROR(VLOOKUP(M589&amp;"|"&amp;N589,'17. Mapa DRE CP'!$E$5:$H$100,3,FALSE),"Revisar"))</f>
        <v/>
      </c>
      <c r="T589" s="65">
        <f>IF(C589="","",IF(R589="(-) Custos diretos dos serviços",IF(ISNUMBER(SEARCH("PCMSO",C589)),"PCMSO",IF(OR(ISNUMBER(SEARCH("SGS",C589)),ISNUMBER(SEARCH("CASTRO NAVES",C589))),"Projetos / Laudos / Avulsos","Projetos / Laudos / Avulsos")),"Rateio pela receita bruta"))</f>
        <v/>
      </c>
      <c r="U589" s="65">
        <f>IF(C589="","",IF(R589="(-) Custos diretos dos serviços","Direto por fornecedor/natureza do gasto","Rateio proporcional à receita bruta da linha de serviço"))</f>
        <v/>
      </c>
    </row>
    <row r="590">
      <c r="A590" s="28">
        <f>IF(C590="","", "CP-"&amp;TEXT(ROW()-5,"000"))</f>
        <v/>
      </c>
      <c r="B590" s="27">
        <f>IF(F590="","",DATE(YEAR(F590),MONTH(F590),1))</f>
        <v/>
      </c>
      <c r="C590" s="28" t="n"/>
      <c r="D590" s="28" t="n"/>
      <c r="E590" s="59">
        <f>IF(C590="","",IFERROR(INDEX('6. Base de Custos'!$M$8:$M$42,MATCH(C590,'6. Base de Custos'!$L$8:$L$42,0)),"Não classificado"))</f>
        <v/>
      </c>
      <c r="F590" s="111" t="n"/>
      <c r="G590" s="111" t="n"/>
      <c r="H590" s="111" t="n"/>
      <c r="I590" s="45" t="n"/>
      <c r="J590" s="28" t="n"/>
      <c r="K590" s="28" t="n"/>
      <c r="L590" s="28" t="n"/>
      <c r="M590" s="59">
        <f>IF(C590="","",IFERROR(INDEX('6. Base de Custos'!$N$8:$N$42,MATCH(C590,'6. Base de Custos'!$L$8:$L$42,0)),"Não classificado"))</f>
        <v/>
      </c>
      <c r="N590" s="59">
        <f>IF(C590="","",IFERROR(INDEX('6. Base de Custos'!$O$8:$O$42,MATCH(C590,'6. Base de Custos'!$L$8:$L$42,0)),"Revisar"))</f>
        <v/>
      </c>
      <c r="O590" s="60">
        <f>IF(M590="","",IFERROR(VLOOKUP(M590,'6. Base de Custos'!$H$12:$J$18,3,FALSE),0))</f>
        <v/>
      </c>
      <c r="P590" s="59">
        <f>IF(C590="","",IFERROR(INDEX('6. Base de Custos'!$P$8:$P$42,MATCH(C590,'6. Base de Custos'!$L$8:$L$42,0)),"Revisar"))</f>
        <v/>
      </c>
      <c r="Q590" s="59">
        <f>IF(C590="","",IFERROR(INDEX('6. Base de Custos'!$Q$8:$Q$42,MATCH(C590,'6. Base de Custos'!$L$8:$L$42,0)),""))</f>
        <v/>
      </c>
      <c r="R590" s="65">
        <f>IF(C590="","",IFERROR(VLOOKUP(M590&amp;"|"&amp;N590,'17. Mapa DRE CP'!$E$5:$H$100,2,FALSE),"Revisar"))</f>
        <v/>
      </c>
      <c r="S590" s="65">
        <f>IF(C590="","",IFERROR(VLOOKUP(M590&amp;"|"&amp;N590,'17. Mapa DRE CP'!$E$5:$H$100,3,FALSE),"Revisar"))</f>
        <v/>
      </c>
      <c r="T590" s="65">
        <f>IF(C590="","",IF(R590="(-) Custos diretos dos serviços",IF(ISNUMBER(SEARCH("PCMSO",C590)),"PCMSO",IF(OR(ISNUMBER(SEARCH("SGS",C590)),ISNUMBER(SEARCH("CASTRO NAVES",C590))),"Projetos / Laudos / Avulsos","Projetos / Laudos / Avulsos")),"Rateio pela receita bruta"))</f>
        <v/>
      </c>
      <c r="U590" s="65">
        <f>IF(C590="","",IF(R590="(-) Custos diretos dos serviços","Direto por fornecedor/natureza do gasto","Rateio proporcional à receita bruta da linha de serviço"))</f>
        <v/>
      </c>
    </row>
    <row r="591">
      <c r="A591" s="28">
        <f>IF(C591="","", "CP-"&amp;TEXT(ROW()-5,"000"))</f>
        <v/>
      </c>
      <c r="B591" s="27">
        <f>IF(F591="","",DATE(YEAR(F591),MONTH(F591),1))</f>
        <v/>
      </c>
      <c r="C591" s="28" t="n"/>
      <c r="D591" s="28" t="n"/>
      <c r="E591" s="59">
        <f>IF(C591="","",IFERROR(INDEX('6. Base de Custos'!$M$8:$M$42,MATCH(C591,'6. Base de Custos'!$L$8:$L$42,0)),"Não classificado"))</f>
        <v/>
      </c>
      <c r="F591" s="111" t="n"/>
      <c r="G591" s="111" t="n"/>
      <c r="H591" s="111" t="n"/>
      <c r="I591" s="45" t="n"/>
      <c r="J591" s="28" t="n"/>
      <c r="K591" s="28" t="n"/>
      <c r="L591" s="28" t="n"/>
      <c r="M591" s="59">
        <f>IF(C591="","",IFERROR(INDEX('6. Base de Custos'!$N$8:$N$42,MATCH(C591,'6. Base de Custos'!$L$8:$L$42,0)),"Não classificado"))</f>
        <v/>
      </c>
      <c r="N591" s="59">
        <f>IF(C591="","",IFERROR(INDEX('6. Base de Custos'!$O$8:$O$42,MATCH(C591,'6. Base de Custos'!$L$8:$L$42,0)),"Revisar"))</f>
        <v/>
      </c>
      <c r="O591" s="60">
        <f>IF(M591="","",IFERROR(VLOOKUP(M591,'6. Base de Custos'!$H$12:$J$18,3,FALSE),0))</f>
        <v/>
      </c>
      <c r="P591" s="59">
        <f>IF(C591="","",IFERROR(INDEX('6. Base de Custos'!$P$8:$P$42,MATCH(C591,'6. Base de Custos'!$L$8:$L$42,0)),"Revisar"))</f>
        <v/>
      </c>
      <c r="Q591" s="59">
        <f>IF(C591="","",IFERROR(INDEX('6. Base de Custos'!$Q$8:$Q$42,MATCH(C591,'6. Base de Custos'!$L$8:$L$42,0)),""))</f>
        <v/>
      </c>
      <c r="R591" s="65">
        <f>IF(C591="","",IFERROR(VLOOKUP(M591&amp;"|"&amp;N591,'17. Mapa DRE CP'!$E$5:$H$100,2,FALSE),"Revisar"))</f>
        <v/>
      </c>
      <c r="S591" s="65">
        <f>IF(C591="","",IFERROR(VLOOKUP(M591&amp;"|"&amp;N591,'17. Mapa DRE CP'!$E$5:$H$100,3,FALSE),"Revisar"))</f>
        <v/>
      </c>
      <c r="T591" s="65">
        <f>IF(C591="","",IF(R591="(-) Custos diretos dos serviços",IF(ISNUMBER(SEARCH("PCMSO",C591)),"PCMSO",IF(OR(ISNUMBER(SEARCH("SGS",C591)),ISNUMBER(SEARCH("CASTRO NAVES",C591))),"Projetos / Laudos / Avulsos","Projetos / Laudos / Avulsos")),"Rateio pela receita bruta"))</f>
        <v/>
      </c>
      <c r="U591" s="65">
        <f>IF(C591="","",IF(R591="(-) Custos diretos dos serviços","Direto por fornecedor/natureza do gasto","Rateio proporcional à receita bruta da linha de serviço"))</f>
        <v/>
      </c>
    </row>
    <row r="592">
      <c r="A592" s="28">
        <f>IF(C592="","", "CP-"&amp;TEXT(ROW()-5,"000"))</f>
        <v/>
      </c>
      <c r="B592" s="27">
        <f>IF(F592="","",DATE(YEAR(F592),MONTH(F592),1))</f>
        <v/>
      </c>
      <c r="C592" s="28" t="n"/>
      <c r="D592" s="28" t="n"/>
      <c r="E592" s="59">
        <f>IF(C592="","",IFERROR(INDEX('6. Base de Custos'!$M$8:$M$42,MATCH(C592,'6. Base de Custos'!$L$8:$L$42,0)),"Não classificado"))</f>
        <v/>
      </c>
      <c r="F592" s="111" t="n"/>
      <c r="G592" s="111" t="n"/>
      <c r="H592" s="111" t="n"/>
      <c r="I592" s="45" t="n"/>
      <c r="J592" s="28" t="n"/>
      <c r="K592" s="28" t="n"/>
      <c r="L592" s="28" t="n"/>
      <c r="M592" s="59">
        <f>IF(C592="","",IFERROR(INDEX('6. Base de Custos'!$N$8:$N$42,MATCH(C592,'6. Base de Custos'!$L$8:$L$42,0)),"Não classificado"))</f>
        <v/>
      </c>
      <c r="N592" s="59">
        <f>IF(C592="","",IFERROR(INDEX('6. Base de Custos'!$O$8:$O$42,MATCH(C592,'6. Base de Custos'!$L$8:$L$42,0)),"Revisar"))</f>
        <v/>
      </c>
      <c r="O592" s="60">
        <f>IF(M592="","",IFERROR(VLOOKUP(M592,'6. Base de Custos'!$H$12:$J$18,3,FALSE),0))</f>
        <v/>
      </c>
      <c r="P592" s="59">
        <f>IF(C592="","",IFERROR(INDEX('6. Base de Custos'!$P$8:$P$42,MATCH(C592,'6. Base de Custos'!$L$8:$L$42,0)),"Revisar"))</f>
        <v/>
      </c>
      <c r="Q592" s="59">
        <f>IF(C592="","",IFERROR(INDEX('6. Base de Custos'!$Q$8:$Q$42,MATCH(C592,'6. Base de Custos'!$L$8:$L$42,0)),""))</f>
        <v/>
      </c>
      <c r="R592" s="65">
        <f>IF(C592="","",IFERROR(VLOOKUP(M592&amp;"|"&amp;N592,'17. Mapa DRE CP'!$E$5:$H$100,2,FALSE),"Revisar"))</f>
        <v/>
      </c>
      <c r="S592" s="65">
        <f>IF(C592="","",IFERROR(VLOOKUP(M592&amp;"|"&amp;N592,'17. Mapa DRE CP'!$E$5:$H$100,3,FALSE),"Revisar"))</f>
        <v/>
      </c>
      <c r="T592" s="65">
        <f>IF(C592="","",IF(R592="(-) Custos diretos dos serviços",IF(ISNUMBER(SEARCH("PCMSO",C592)),"PCMSO",IF(OR(ISNUMBER(SEARCH("SGS",C592)),ISNUMBER(SEARCH("CASTRO NAVES",C592))),"Projetos / Laudos / Avulsos","Projetos / Laudos / Avulsos")),"Rateio pela receita bruta"))</f>
        <v/>
      </c>
      <c r="U592" s="65">
        <f>IF(C592="","",IF(R592="(-) Custos diretos dos serviços","Direto por fornecedor/natureza do gasto","Rateio proporcional à receita bruta da linha de serviço"))</f>
        <v/>
      </c>
    </row>
    <row r="593">
      <c r="A593" s="28">
        <f>IF(C593="","", "CP-"&amp;TEXT(ROW()-5,"000"))</f>
        <v/>
      </c>
      <c r="B593" s="27">
        <f>IF(F593="","",DATE(YEAR(F593),MONTH(F593),1))</f>
        <v/>
      </c>
      <c r="C593" s="28" t="n"/>
      <c r="D593" s="28" t="n"/>
      <c r="E593" s="59">
        <f>IF(C593="","",IFERROR(INDEX('6. Base de Custos'!$M$8:$M$42,MATCH(C593,'6. Base de Custos'!$L$8:$L$42,0)),"Não classificado"))</f>
        <v/>
      </c>
      <c r="F593" s="111" t="n"/>
      <c r="G593" s="111" t="n"/>
      <c r="H593" s="111" t="n"/>
      <c r="I593" s="45" t="n"/>
      <c r="J593" s="28" t="n"/>
      <c r="K593" s="28" t="n"/>
      <c r="L593" s="28" t="n"/>
      <c r="M593" s="59">
        <f>IF(C593="","",IFERROR(INDEX('6. Base de Custos'!$N$8:$N$42,MATCH(C593,'6. Base de Custos'!$L$8:$L$42,0)),"Não classificado"))</f>
        <v/>
      </c>
      <c r="N593" s="59">
        <f>IF(C593="","",IFERROR(INDEX('6. Base de Custos'!$O$8:$O$42,MATCH(C593,'6. Base de Custos'!$L$8:$L$42,0)),"Revisar"))</f>
        <v/>
      </c>
      <c r="O593" s="60">
        <f>IF(M593="","",IFERROR(VLOOKUP(M593,'6. Base de Custos'!$H$12:$J$18,3,FALSE),0))</f>
        <v/>
      </c>
      <c r="P593" s="59">
        <f>IF(C593="","",IFERROR(INDEX('6. Base de Custos'!$P$8:$P$42,MATCH(C593,'6. Base de Custos'!$L$8:$L$42,0)),"Revisar"))</f>
        <v/>
      </c>
      <c r="Q593" s="59">
        <f>IF(C593="","",IFERROR(INDEX('6. Base de Custos'!$Q$8:$Q$42,MATCH(C593,'6. Base de Custos'!$L$8:$L$42,0)),""))</f>
        <v/>
      </c>
      <c r="R593" s="65">
        <f>IF(C593="","",IFERROR(VLOOKUP(M593&amp;"|"&amp;N593,'17. Mapa DRE CP'!$E$5:$H$100,2,FALSE),"Revisar"))</f>
        <v/>
      </c>
      <c r="S593" s="65">
        <f>IF(C593="","",IFERROR(VLOOKUP(M593&amp;"|"&amp;N593,'17. Mapa DRE CP'!$E$5:$H$100,3,FALSE),"Revisar"))</f>
        <v/>
      </c>
      <c r="T593" s="65">
        <f>IF(C593="","",IF(R593="(-) Custos diretos dos serviços",IF(ISNUMBER(SEARCH("PCMSO",C593)),"PCMSO",IF(OR(ISNUMBER(SEARCH("SGS",C593)),ISNUMBER(SEARCH("CASTRO NAVES",C593))),"Projetos / Laudos / Avulsos","Projetos / Laudos / Avulsos")),"Rateio pela receita bruta"))</f>
        <v/>
      </c>
      <c r="U593" s="65">
        <f>IF(C593="","",IF(R593="(-) Custos diretos dos serviços","Direto por fornecedor/natureza do gasto","Rateio proporcional à receita bruta da linha de serviço"))</f>
        <v/>
      </c>
    </row>
    <row r="594">
      <c r="A594" s="28">
        <f>IF(C594="","", "CP-"&amp;TEXT(ROW()-5,"000"))</f>
        <v/>
      </c>
      <c r="B594" s="27">
        <f>IF(F594="","",DATE(YEAR(F594),MONTH(F594),1))</f>
        <v/>
      </c>
      <c r="C594" s="28" t="n"/>
      <c r="D594" s="28" t="n"/>
      <c r="E594" s="59">
        <f>IF(C594="","",IFERROR(INDEX('6. Base de Custos'!$M$8:$M$42,MATCH(C594,'6. Base de Custos'!$L$8:$L$42,0)),"Não classificado"))</f>
        <v/>
      </c>
      <c r="F594" s="111" t="n"/>
      <c r="G594" s="111" t="n"/>
      <c r="H594" s="111" t="n"/>
      <c r="I594" s="45" t="n"/>
      <c r="J594" s="28" t="n"/>
      <c r="K594" s="28" t="n"/>
      <c r="L594" s="28" t="n"/>
      <c r="M594" s="59">
        <f>IF(C594="","",IFERROR(INDEX('6. Base de Custos'!$N$8:$N$42,MATCH(C594,'6. Base de Custos'!$L$8:$L$42,0)),"Não classificado"))</f>
        <v/>
      </c>
      <c r="N594" s="59">
        <f>IF(C594="","",IFERROR(INDEX('6. Base de Custos'!$O$8:$O$42,MATCH(C594,'6. Base de Custos'!$L$8:$L$42,0)),"Revisar"))</f>
        <v/>
      </c>
      <c r="O594" s="60">
        <f>IF(M594="","",IFERROR(VLOOKUP(M594,'6. Base de Custos'!$H$12:$J$18,3,FALSE),0))</f>
        <v/>
      </c>
      <c r="P594" s="59">
        <f>IF(C594="","",IFERROR(INDEX('6. Base de Custos'!$P$8:$P$42,MATCH(C594,'6. Base de Custos'!$L$8:$L$42,0)),"Revisar"))</f>
        <v/>
      </c>
      <c r="Q594" s="59">
        <f>IF(C594="","",IFERROR(INDEX('6. Base de Custos'!$Q$8:$Q$42,MATCH(C594,'6. Base de Custos'!$L$8:$L$42,0)),""))</f>
        <v/>
      </c>
      <c r="R594" s="65">
        <f>IF(C594="","",IFERROR(VLOOKUP(M594&amp;"|"&amp;N594,'17. Mapa DRE CP'!$E$5:$H$100,2,FALSE),"Revisar"))</f>
        <v/>
      </c>
      <c r="S594" s="65">
        <f>IF(C594="","",IFERROR(VLOOKUP(M594&amp;"|"&amp;N594,'17. Mapa DRE CP'!$E$5:$H$100,3,FALSE),"Revisar"))</f>
        <v/>
      </c>
      <c r="T594" s="65">
        <f>IF(C594="","",IF(R594="(-) Custos diretos dos serviços",IF(ISNUMBER(SEARCH("PCMSO",C594)),"PCMSO",IF(OR(ISNUMBER(SEARCH("SGS",C594)),ISNUMBER(SEARCH("CASTRO NAVES",C594))),"Projetos / Laudos / Avulsos","Projetos / Laudos / Avulsos")),"Rateio pela receita bruta"))</f>
        <v/>
      </c>
      <c r="U594" s="65">
        <f>IF(C594="","",IF(R594="(-) Custos diretos dos serviços","Direto por fornecedor/natureza do gasto","Rateio proporcional à receita bruta da linha de serviço"))</f>
        <v/>
      </c>
    </row>
    <row r="595">
      <c r="A595" s="28">
        <f>IF(C595="","", "CP-"&amp;TEXT(ROW()-5,"000"))</f>
        <v/>
      </c>
      <c r="B595" s="27">
        <f>IF(F595="","",DATE(YEAR(F595),MONTH(F595),1))</f>
        <v/>
      </c>
      <c r="C595" s="28" t="n"/>
      <c r="D595" s="28" t="n"/>
      <c r="E595" s="59">
        <f>IF(C595="","",IFERROR(INDEX('6. Base de Custos'!$M$8:$M$42,MATCH(C595,'6. Base de Custos'!$L$8:$L$42,0)),"Não classificado"))</f>
        <v/>
      </c>
      <c r="F595" s="111" t="n"/>
      <c r="G595" s="111" t="n"/>
      <c r="H595" s="111" t="n"/>
      <c r="I595" s="45" t="n"/>
      <c r="J595" s="28" t="n"/>
      <c r="K595" s="28" t="n"/>
      <c r="L595" s="28" t="n"/>
      <c r="M595" s="59">
        <f>IF(C595="","",IFERROR(INDEX('6. Base de Custos'!$N$8:$N$42,MATCH(C595,'6. Base de Custos'!$L$8:$L$42,0)),"Não classificado"))</f>
        <v/>
      </c>
      <c r="N595" s="59">
        <f>IF(C595="","",IFERROR(INDEX('6. Base de Custos'!$O$8:$O$42,MATCH(C595,'6. Base de Custos'!$L$8:$L$42,0)),"Revisar"))</f>
        <v/>
      </c>
      <c r="O595" s="60">
        <f>IF(M595="","",IFERROR(VLOOKUP(M595,'6. Base de Custos'!$H$12:$J$18,3,FALSE),0))</f>
        <v/>
      </c>
      <c r="P595" s="59">
        <f>IF(C595="","",IFERROR(INDEX('6. Base de Custos'!$P$8:$P$42,MATCH(C595,'6. Base de Custos'!$L$8:$L$42,0)),"Revisar"))</f>
        <v/>
      </c>
      <c r="Q595" s="59">
        <f>IF(C595="","",IFERROR(INDEX('6. Base de Custos'!$Q$8:$Q$42,MATCH(C595,'6. Base de Custos'!$L$8:$L$42,0)),""))</f>
        <v/>
      </c>
      <c r="R595" s="65">
        <f>IF(C595="","",IFERROR(VLOOKUP(M595&amp;"|"&amp;N595,'17. Mapa DRE CP'!$E$5:$H$100,2,FALSE),"Revisar"))</f>
        <v/>
      </c>
      <c r="S595" s="65">
        <f>IF(C595="","",IFERROR(VLOOKUP(M595&amp;"|"&amp;N595,'17. Mapa DRE CP'!$E$5:$H$100,3,FALSE),"Revisar"))</f>
        <v/>
      </c>
      <c r="T595" s="65">
        <f>IF(C595="","",IF(R595="(-) Custos diretos dos serviços",IF(ISNUMBER(SEARCH("PCMSO",C595)),"PCMSO",IF(OR(ISNUMBER(SEARCH("SGS",C595)),ISNUMBER(SEARCH("CASTRO NAVES",C595))),"Projetos / Laudos / Avulsos","Projetos / Laudos / Avulsos")),"Rateio pela receita bruta"))</f>
        <v/>
      </c>
      <c r="U595" s="65">
        <f>IF(C595="","",IF(R595="(-) Custos diretos dos serviços","Direto por fornecedor/natureza do gasto","Rateio proporcional à receita bruta da linha de serviço"))</f>
        <v/>
      </c>
    </row>
    <row r="596">
      <c r="A596" s="28">
        <f>IF(C596="","", "CP-"&amp;TEXT(ROW()-5,"000"))</f>
        <v/>
      </c>
      <c r="B596" s="27">
        <f>IF(F596="","",DATE(YEAR(F596),MONTH(F596),1))</f>
        <v/>
      </c>
      <c r="C596" s="28" t="n"/>
      <c r="D596" s="28" t="n"/>
      <c r="E596" s="59">
        <f>IF(C596="","",IFERROR(INDEX('6. Base de Custos'!$M$8:$M$42,MATCH(C596,'6. Base de Custos'!$L$8:$L$42,0)),"Não classificado"))</f>
        <v/>
      </c>
      <c r="F596" s="111" t="n"/>
      <c r="G596" s="111" t="n"/>
      <c r="H596" s="111" t="n"/>
      <c r="I596" s="45" t="n"/>
      <c r="J596" s="28" t="n"/>
      <c r="K596" s="28" t="n"/>
      <c r="L596" s="28" t="n"/>
      <c r="M596" s="59">
        <f>IF(C596="","",IFERROR(INDEX('6. Base de Custos'!$N$8:$N$42,MATCH(C596,'6. Base de Custos'!$L$8:$L$42,0)),"Não classificado"))</f>
        <v/>
      </c>
      <c r="N596" s="59">
        <f>IF(C596="","",IFERROR(INDEX('6. Base de Custos'!$O$8:$O$42,MATCH(C596,'6. Base de Custos'!$L$8:$L$42,0)),"Revisar"))</f>
        <v/>
      </c>
      <c r="O596" s="60">
        <f>IF(M596="","",IFERROR(VLOOKUP(M596,'6. Base de Custos'!$H$12:$J$18,3,FALSE),0))</f>
        <v/>
      </c>
      <c r="P596" s="59">
        <f>IF(C596="","",IFERROR(INDEX('6. Base de Custos'!$P$8:$P$42,MATCH(C596,'6. Base de Custos'!$L$8:$L$42,0)),"Revisar"))</f>
        <v/>
      </c>
      <c r="Q596" s="59">
        <f>IF(C596="","",IFERROR(INDEX('6. Base de Custos'!$Q$8:$Q$42,MATCH(C596,'6. Base de Custos'!$L$8:$L$42,0)),""))</f>
        <v/>
      </c>
      <c r="R596" s="65">
        <f>IF(C596="","",IFERROR(VLOOKUP(M596&amp;"|"&amp;N596,'17. Mapa DRE CP'!$E$5:$H$100,2,FALSE),"Revisar"))</f>
        <v/>
      </c>
      <c r="S596" s="65">
        <f>IF(C596="","",IFERROR(VLOOKUP(M596&amp;"|"&amp;N596,'17. Mapa DRE CP'!$E$5:$H$100,3,FALSE),"Revisar"))</f>
        <v/>
      </c>
      <c r="T596" s="65">
        <f>IF(C596="","",IF(R596="(-) Custos diretos dos serviços",IF(ISNUMBER(SEARCH("PCMSO",C596)),"PCMSO",IF(OR(ISNUMBER(SEARCH("SGS",C596)),ISNUMBER(SEARCH("CASTRO NAVES",C596))),"Projetos / Laudos / Avulsos","Projetos / Laudos / Avulsos")),"Rateio pela receita bruta"))</f>
        <v/>
      </c>
      <c r="U596" s="65">
        <f>IF(C596="","",IF(R596="(-) Custos diretos dos serviços","Direto por fornecedor/natureza do gasto","Rateio proporcional à receita bruta da linha de serviço"))</f>
        <v/>
      </c>
    </row>
    <row r="597">
      <c r="A597" s="28">
        <f>IF(C597="","", "CP-"&amp;TEXT(ROW()-5,"000"))</f>
        <v/>
      </c>
      <c r="B597" s="27">
        <f>IF(F597="","",DATE(YEAR(F597),MONTH(F597),1))</f>
        <v/>
      </c>
      <c r="C597" s="28" t="n"/>
      <c r="D597" s="28" t="n"/>
      <c r="E597" s="59">
        <f>IF(C597="","",IFERROR(INDEX('6. Base de Custos'!$M$8:$M$42,MATCH(C597,'6. Base de Custos'!$L$8:$L$42,0)),"Não classificado"))</f>
        <v/>
      </c>
      <c r="F597" s="111" t="n"/>
      <c r="G597" s="111" t="n"/>
      <c r="H597" s="111" t="n"/>
      <c r="I597" s="45" t="n"/>
      <c r="J597" s="28" t="n"/>
      <c r="K597" s="28" t="n"/>
      <c r="L597" s="28" t="n"/>
      <c r="M597" s="59">
        <f>IF(C597="","",IFERROR(INDEX('6. Base de Custos'!$N$8:$N$42,MATCH(C597,'6. Base de Custos'!$L$8:$L$42,0)),"Não classificado"))</f>
        <v/>
      </c>
      <c r="N597" s="59">
        <f>IF(C597="","",IFERROR(INDEX('6. Base de Custos'!$O$8:$O$42,MATCH(C597,'6. Base de Custos'!$L$8:$L$42,0)),"Revisar"))</f>
        <v/>
      </c>
      <c r="O597" s="60">
        <f>IF(M597="","",IFERROR(VLOOKUP(M597,'6. Base de Custos'!$H$12:$J$18,3,FALSE),0))</f>
        <v/>
      </c>
      <c r="P597" s="59">
        <f>IF(C597="","",IFERROR(INDEX('6. Base de Custos'!$P$8:$P$42,MATCH(C597,'6. Base de Custos'!$L$8:$L$42,0)),"Revisar"))</f>
        <v/>
      </c>
      <c r="Q597" s="59">
        <f>IF(C597="","",IFERROR(INDEX('6. Base de Custos'!$Q$8:$Q$42,MATCH(C597,'6. Base de Custos'!$L$8:$L$42,0)),""))</f>
        <v/>
      </c>
      <c r="R597" s="65">
        <f>IF(C597="","",IFERROR(VLOOKUP(M597&amp;"|"&amp;N597,'17. Mapa DRE CP'!$E$5:$H$100,2,FALSE),"Revisar"))</f>
        <v/>
      </c>
      <c r="S597" s="65">
        <f>IF(C597="","",IFERROR(VLOOKUP(M597&amp;"|"&amp;N597,'17. Mapa DRE CP'!$E$5:$H$100,3,FALSE),"Revisar"))</f>
        <v/>
      </c>
      <c r="T597" s="65">
        <f>IF(C597="","",IF(R597="(-) Custos diretos dos serviços",IF(ISNUMBER(SEARCH("PCMSO",C597)),"PCMSO",IF(OR(ISNUMBER(SEARCH("SGS",C597)),ISNUMBER(SEARCH("CASTRO NAVES",C597))),"Projetos / Laudos / Avulsos","Projetos / Laudos / Avulsos")),"Rateio pela receita bruta"))</f>
        <v/>
      </c>
      <c r="U597" s="65">
        <f>IF(C597="","",IF(R597="(-) Custos diretos dos serviços","Direto por fornecedor/natureza do gasto","Rateio proporcional à receita bruta da linha de serviço"))</f>
        <v/>
      </c>
    </row>
    <row r="598">
      <c r="A598" s="28">
        <f>IF(C598="","", "CP-"&amp;TEXT(ROW()-5,"000"))</f>
        <v/>
      </c>
      <c r="B598" s="27">
        <f>IF(F598="","",DATE(YEAR(F598),MONTH(F598),1))</f>
        <v/>
      </c>
      <c r="C598" s="28" t="n"/>
      <c r="D598" s="28" t="n"/>
      <c r="E598" s="59">
        <f>IF(C598="","",IFERROR(INDEX('6. Base de Custos'!$M$8:$M$42,MATCH(C598,'6. Base de Custos'!$L$8:$L$42,0)),"Não classificado"))</f>
        <v/>
      </c>
      <c r="F598" s="111" t="n"/>
      <c r="G598" s="111" t="n"/>
      <c r="H598" s="111" t="n"/>
      <c r="I598" s="45" t="n"/>
      <c r="J598" s="28" t="n"/>
      <c r="K598" s="28" t="n"/>
      <c r="L598" s="28" t="n"/>
      <c r="M598" s="59">
        <f>IF(C598="","",IFERROR(INDEX('6. Base de Custos'!$N$8:$N$42,MATCH(C598,'6. Base de Custos'!$L$8:$L$42,0)),"Não classificado"))</f>
        <v/>
      </c>
      <c r="N598" s="59">
        <f>IF(C598="","",IFERROR(INDEX('6. Base de Custos'!$O$8:$O$42,MATCH(C598,'6. Base de Custos'!$L$8:$L$42,0)),"Revisar"))</f>
        <v/>
      </c>
      <c r="O598" s="60">
        <f>IF(M598="","",IFERROR(VLOOKUP(M598,'6. Base de Custos'!$H$12:$J$18,3,FALSE),0))</f>
        <v/>
      </c>
      <c r="P598" s="59">
        <f>IF(C598="","",IFERROR(INDEX('6. Base de Custos'!$P$8:$P$42,MATCH(C598,'6. Base de Custos'!$L$8:$L$42,0)),"Revisar"))</f>
        <v/>
      </c>
      <c r="Q598" s="59">
        <f>IF(C598="","",IFERROR(INDEX('6. Base de Custos'!$Q$8:$Q$42,MATCH(C598,'6. Base de Custos'!$L$8:$L$42,0)),""))</f>
        <v/>
      </c>
      <c r="R598" s="65">
        <f>IF(C598="","",IFERROR(VLOOKUP(M598&amp;"|"&amp;N598,'17. Mapa DRE CP'!$E$5:$H$100,2,FALSE),"Revisar"))</f>
        <v/>
      </c>
      <c r="S598" s="65">
        <f>IF(C598="","",IFERROR(VLOOKUP(M598&amp;"|"&amp;N598,'17. Mapa DRE CP'!$E$5:$H$100,3,FALSE),"Revisar"))</f>
        <v/>
      </c>
      <c r="T598" s="65">
        <f>IF(C598="","",IF(R598="(-) Custos diretos dos serviços",IF(ISNUMBER(SEARCH("PCMSO",C598)),"PCMSO",IF(OR(ISNUMBER(SEARCH("SGS",C598)),ISNUMBER(SEARCH("CASTRO NAVES",C598))),"Projetos / Laudos / Avulsos","Projetos / Laudos / Avulsos")),"Rateio pela receita bruta"))</f>
        <v/>
      </c>
      <c r="U598" s="65">
        <f>IF(C598="","",IF(R598="(-) Custos diretos dos serviços","Direto por fornecedor/natureza do gasto","Rateio proporcional à receita bruta da linha de serviço"))</f>
        <v/>
      </c>
    </row>
    <row r="599">
      <c r="A599" s="28">
        <f>IF(C599="","", "CP-"&amp;TEXT(ROW()-5,"000"))</f>
        <v/>
      </c>
      <c r="B599" s="27">
        <f>IF(F599="","",DATE(YEAR(F599),MONTH(F599),1))</f>
        <v/>
      </c>
      <c r="C599" s="28" t="n"/>
      <c r="D599" s="28" t="n"/>
      <c r="E599" s="59">
        <f>IF(C599="","",IFERROR(INDEX('6. Base de Custos'!$M$8:$M$42,MATCH(C599,'6. Base de Custos'!$L$8:$L$42,0)),"Não classificado"))</f>
        <v/>
      </c>
      <c r="F599" s="111" t="n"/>
      <c r="G599" s="111" t="n"/>
      <c r="H599" s="111" t="n"/>
      <c r="I599" s="45" t="n"/>
      <c r="J599" s="28" t="n"/>
      <c r="K599" s="28" t="n"/>
      <c r="L599" s="28" t="n"/>
      <c r="M599" s="59">
        <f>IF(C599="","",IFERROR(INDEX('6. Base de Custos'!$N$8:$N$42,MATCH(C599,'6. Base de Custos'!$L$8:$L$42,0)),"Não classificado"))</f>
        <v/>
      </c>
      <c r="N599" s="59">
        <f>IF(C599="","",IFERROR(INDEX('6. Base de Custos'!$O$8:$O$42,MATCH(C599,'6. Base de Custos'!$L$8:$L$42,0)),"Revisar"))</f>
        <v/>
      </c>
      <c r="O599" s="60">
        <f>IF(M599="","",IFERROR(VLOOKUP(M599,'6. Base de Custos'!$H$12:$J$18,3,FALSE),0))</f>
        <v/>
      </c>
      <c r="P599" s="59">
        <f>IF(C599="","",IFERROR(INDEX('6. Base de Custos'!$P$8:$P$42,MATCH(C599,'6. Base de Custos'!$L$8:$L$42,0)),"Revisar"))</f>
        <v/>
      </c>
      <c r="Q599" s="59">
        <f>IF(C599="","",IFERROR(INDEX('6. Base de Custos'!$Q$8:$Q$42,MATCH(C599,'6. Base de Custos'!$L$8:$L$42,0)),""))</f>
        <v/>
      </c>
      <c r="R599" s="65">
        <f>IF(C599="","",IFERROR(VLOOKUP(M599&amp;"|"&amp;N599,'17. Mapa DRE CP'!$E$5:$H$100,2,FALSE),"Revisar"))</f>
        <v/>
      </c>
      <c r="S599" s="65">
        <f>IF(C599="","",IFERROR(VLOOKUP(M599&amp;"|"&amp;N599,'17. Mapa DRE CP'!$E$5:$H$100,3,FALSE),"Revisar"))</f>
        <v/>
      </c>
      <c r="T599" s="65">
        <f>IF(C599="","",IF(R599="(-) Custos diretos dos serviços",IF(ISNUMBER(SEARCH("PCMSO",C599)),"PCMSO",IF(OR(ISNUMBER(SEARCH("SGS",C599)),ISNUMBER(SEARCH("CASTRO NAVES",C599))),"Projetos / Laudos / Avulsos","Projetos / Laudos / Avulsos")),"Rateio pela receita bruta"))</f>
        <v/>
      </c>
      <c r="U599" s="65">
        <f>IF(C599="","",IF(R599="(-) Custos diretos dos serviços","Direto por fornecedor/natureza do gasto","Rateio proporcional à receita bruta da linha de serviço"))</f>
        <v/>
      </c>
    </row>
    <row r="600">
      <c r="A600" s="28">
        <f>IF(C600="","", "CP-"&amp;TEXT(ROW()-5,"000"))</f>
        <v/>
      </c>
      <c r="B600" s="27">
        <f>IF(F600="","",DATE(YEAR(F600),MONTH(F600),1))</f>
        <v/>
      </c>
      <c r="C600" s="28" t="n"/>
      <c r="D600" s="28" t="n"/>
      <c r="E600" s="59">
        <f>IF(C600="","",IFERROR(INDEX('6. Base de Custos'!$M$8:$M$42,MATCH(C600,'6. Base de Custos'!$L$8:$L$42,0)),"Não classificado"))</f>
        <v/>
      </c>
      <c r="F600" s="111" t="n"/>
      <c r="G600" s="111" t="n"/>
      <c r="H600" s="111" t="n"/>
      <c r="I600" s="45" t="n"/>
      <c r="J600" s="28" t="n"/>
      <c r="K600" s="28" t="n"/>
      <c r="L600" s="28" t="n"/>
      <c r="M600" s="59">
        <f>IF(C600="","",IFERROR(INDEX('6. Base de Custos'!$N$8:$N$42,MATCH(C600,'6. Base de Custos'!$L$8:$L$42,0)),"Não classificado"))</f>
        <v/>
      </c>
      <c r="N600" s="59">
        <f>IF(C600="","",IFERROR(INDEX('6. Base de Custos'!$O$8:$O$42,MATCH(C600,'6. Base de Custos'!$L$8:$L$42,0)),"Revisar"))</f>
        <v/>
      </c>
      <c r="O600" s="60">
        <f>IF(M600="","",IFERROR(VLOOKUP(M600,'6. Base de Custos'!$H$12:$J$18,3,FALSE),0))</f>
        <v/>
      </c>
      <c r="P600" s="59">
        <f>IF(C600="","",IFERROR(INDEX('6. Base de Custos'!$P$8:$P$42,MATCH(C600,'6. Base de Custos'!$L$8:$L$42,0)),"Revisar"))</f>
        <v/>
      </c>
      <c r="Q600" s="59">
        <f>IF(C600="","",IFERROR(INDEX('6. Base de Custos'!$Q$8:$Q$42,MATCH(C600,'6. Base de Custos'!$L$8:$L$42,0)),""))</f>
        <v/>
      </c>
      <c r="R600" s="65">
        <f>IF(C600="","",IFERROR(VLOOKUP(M600&amp;"|"&amp;N600,'17. Mapa DRE CP'!$E$5:$H$100,2,FALSE),"Revisar"))</f>
        <v/>
      </c>
      <c r="S600" s="65">
        <f>IF(C600="","",IFERROR(VLOOKUP(M600&amp;"|"&amp;N600,'17. Mapa DRE CP'!$E$5:$H$100,3,FALSE),"Revisar"))</f>
        <v/>
      </c>
      <c r="T600" s="65">
        <f>IF(C600="","",IF(R600="(-) Custos diretos dos serviços",IF(ISNUMBER(SEARCH("PCMSO",C600)),"PCMSO",IF(OR(ISNUMBER(SEARCH("SGS",C600)),ISNUMBER(SEARCH("CASTRO NAVES",C600))),"Projetos / Laudos / Avulsos","Projetos / Laudos / Avulsos")),"Rateio pela receita bruta"))</f>
        <v/>
      </c>
      <c r="U600" s="65">
        <f>IF(C600="","",IF(R600="(-) Custos diretos dos serviços","Direto por fornecedor/natureza do gasto","Rateio proporcional à receita bruta da linha de serviço"))</f>
        <v/>
      </c>
    </row>
    <row r="601">
      <c r="A601" s="28">
        <f>IF(C601="","", "CP-"&amp;TEXT(ROW()-5,"000"))</f>
        <v/>
      </c>
      <c r="B601" s="27">
        <f>IF(F601="","",DATE(YEAR(F601),MONTH(F601),1))</f>
        <v/>
      </c>
      <c r="C601" s="28" t="n"/>
      <c r="D601" s="28" t="n"/>
      <c r="E601" s="59">
        <f>IF(C601="","",IFERROR(INDEX('6. Base de Custos'!$M$8:$M$42,MATCH(C601,'6. Base de Custos'!$L$8:$L$42,0)),"Não classificado"))</f>
        <v/>
      </c>
      <c r="F601" s="111" t="n"/>
      <c r="G601" s="111" t="n"/>
      <c r="H601" s="111" t="n"/>
      <c r="I601" s="45" t="n"/>
      <c r="J601" s="28" t="n"/>
      <c r="K601" s="28" t="n"/>
      <c r="L601" s="28" t="n"/>
      <c r="M601" s="59">
        <f>IF(C601="","",IFERROR(INDEX('6. Base de Custos'!$N$8:$N$42,MATCH(C601,'6. Base de Custos'!$L$8:$L$42,0)),"Não classificado"))</f>
        <v/>
      </c>
      <c r="N601" s="59">
        <f>IF(C601="","",IFERROR(INDEX('6. Base de Custos'!$O$8:$O$42,MATCH(C601,'6. Base de Custos'!$L$8:$L$42,0)),"Revisar"))</f>
        <v/>
      </c>
      <c r="O601" s="60">
        <f>IF(M601="","",IFERROR(VLOOKUP(M601,'6. Base de Custos'!$H$12:$J$18,3,FALSE),0))</f>
        <v/>
      </c>
      <c r="P601" s="59">
        <f>IF(C601="","",IFERROR(INDEX('6. Base de Custos'!$P$8:$P$42,MATCH(C601,'6. Base de Custos'!$L$8:$L$42,0)),"Revisar"))</f>
        <v/>
      </c>
      <c r="Q601" s="59">
        <f>IF(C601="","",IFERROR(INDEX('6. Base de Custos'!$Q$8:$Q$42,MATCH(C601,'6. Base de Custos'!$L$8:$L$42,0)),""))</f>
        <v/>
      </c>
      <c r="R601" s="65">
        <f>IF(C601="","",IFERROR(VLOOKUP(M601&amp;"|"&amp;N601,'17. Mapa DRE CP'!$E$5:$H$100,2,FALSE),"Revisar"))</f>
        <v/>
      </c>
      <c r="S601" s="65">
        <f>IF(C601="","",IFERROR(VLOOKUP(M601&amp;"|"&amp;N601,'17. Mapa DRE CP'!$E$5:$H$100,3,FALSE),"Revisar"))</f>
        <v/>
      </c>
      <c r="T601" s="65">
        <f>IF(C601="","",IF(R601="(-) Custos diretos dos serviços",IF(ISNUMBER(SEARCH("PCMSO",C601)),"PCMSO",IF(OR(ISNUMBER(SEARCH("SGS",C601)),ISNUMBER(SEARCH("CASTRO NAVES",C601))),"Projetos / Laudos / Avulsos","Projetos / Laudos / Avulsos")),"Rateio pela receita bruta"))</f>
        <v/>
      </c>
      <c r="U601" s="65">
        <f>IF(C601="","",IF(R601="(-) Custos diretos dos serviços","Direto por fornecedor/natureza do gasto","Rateio proporcional à receita bruta da linha de serviço"))</f>
        <v/>
      </c>
    </row>
    <row r="602">
      <c r="A602" s="28">
        <f>IF(C602="","", "CP-"&amp;TEXT(ROW()-5,"000"))</f>
        <v/>
      </c>
      <c r="B602" s="27">
        <f>IF(F602="","",DATE(YEAR(F602),MONTH(F602),1))</f>
        <v/>
      </c>
      <c r="C602" s="28" t="n"/>
      <c r="D602" s="28" t="n"/>
      <c r="E602" s="59">
        <f>IF(C602="","",IFERROR(INDEX('6. Base de Custos'!$M$8:$M$42,MATCH(C602,'6. Base de Custos'!$L$8:$L$42,0)),"Não classificado"))</f>
        <v/>
      </c>
      <c r="F602" s="111" t="n"/>
      <c r="G602" s="111" t="n"/>
      <c r="H602" s="111" t="n"/>
      <c r="I602" s="45" t="n"/>
      <c r="J602" s="28" t="n"/>
      <c r="K602" s="28" t="n"/>
      <c r="L602" s="28" t="n"/>
      <c r="M602" s="59">
        <f>IF(C602="","",IFERROR(INDEX('6. Base de Custos'!$N$8:$N$42,MATCH(C602,'6. Base de Custos'!$L$8:$L$42,0)),"Não classificado"))</f>
        <v/>
      </c>
      <c r="N602" s="59">
        <f>IF(C602="","",IFERROR(INDEX('6. Base de Custos'!$O$8:$O$42,MATCH(C602,'6. Base de Custos'!$L$8:$L$42,0)),"Revisar"))</f>
        <v/>
      </c>
      <c r="O602" s="60">
        <f>IF(M602="","",IFERROR(VLOOKUP(M602,'6. Base de Custos'!$H$12:$J$18,3,FALSE),0))</f>
        <v/>
      </c>
      <c r="P602" s="59">
        <f>IF(C602="","",IFERROR(INDEX('6. Base de Custos'!$P$8:$P$42,MATCH(C602,'6. Base de Custos'!$L$8:$L$42,0)),"Revisar"))</f>
        <v/>
      </c>
      <c r="Q602" s="59">
        <f>IF(C602="","",IFERROR(INDEX('6. Base de Custos'!$Q$8:$Q$42,MATCH(C602,'6. Base de Custos'!$L$8:$L$42,0)),""))</f>
        <v/>
      </c>
      <c r="R602" s="65">
        <f>IF(C602="","",IFERROR(VLOOKUP(M602&amp;"|"&amp;N602,'17. Mapa DRE CP'!$E$5:$H$100,2,FALSE),"Revisar"))</f>
        <v/>
      </c>
      <c r="S602" s="65">
        <f>IF(C602="","",IFERROR(VLOOKUP(M602&amp;"|"&amp;N602,'17. Mapa DRE CP'!$E$5:$H$100,3,FALSE),"Revisar"))</f>
        <v/>
      </c>
      <c r="T602" s="65">
        <f>IF(C602="","",IF(R602="(-) Custos diretos dos serviços",IF(ISNUMBER(SEARCH("PCMSO",C602)),"PCMSO",IF(OR(ISNUMBER(SEARCH("SGS",C602)),ISNUMBER(SEARCH("CASTRO NAVES",C602))),"Projetos / Laudos / Avulsos","Projetos / Laudos / Avulsos")),"Rateio pela receita bruta"))</f>
        <v/>
      </c>
      <c r="U602" s="65">
        <f>IF(C602="","",IF(R602="(-) Custos diretos dos serviços","Direto por fornecedor/natureza do gasto","Rateio proporcional à receita bruta da linha de serviço"))</f>
        <v/>
      </c>
    </row>
    <row r="603">
      <c r="A603" s="28">
        <f>IF(C603="","", "CP-"&amp;TEXT(ROW()-5,"000"))</f>
        <v/>
      </c>
      <c r="B603" s="27">
        <f>IF(F603="","",DATE(YEAR(F603),MONTH(F603),1))</f>
        <v/>
      </c>
      <c r="C603" s="28" t="n"/>
      <c r="D603" s="28" t="n"/>
      <c r="E603" s="59">
        <f>IF(C603="","",IFERROR(INDEX('6. Base de Custos'!$M$8:$M$42,MATCH(C603,'6. Base de Custos'!$L$8:$L$42,0)),"Não classificado"))</f>
        <v/>
      </c>
      <c r="F603" s="111" t="n"/>
      <c r="G603" s="111" t="n"/>
      <c r="H603" s="111" t="n"/>
      <c r="I603" s="45" t="n"/>
      <c r="J603" s="28" t="n"/>
      <c r="K603" s="28" t="n"/>
      <c r="L603" s="28" t="n"/>
      <c r="M603" s="59">
        <f>IF(C603="","",IFERROR(INDEX('6. Base de Custos'!$N$8:$N$42,MATCH(C603,'6. Base de Custos'!$L$8:$L$42,0)),"Não classificado"))</f>
        <v/>
      </c>
      <c r="N603" s="59">
        <f>IF(C603="","",IFERROR(INDEX('6. Base de Custos'!$O$8:$O$42,MATCH(C603,'6. Base de Custos'!$L$8:$L$42,0)),"Revisar"))</f>
        <v/>
      </c>
      <c r="O603" s="60">
        <f>IF(M603="","",IFERROR(VLOOKUP(M603,'6. Base de Custos'!$H$12:$J$18,3,FALSE),0))</f>
        <v/>
      </c>
      <c r="P603" s="59">
        <f>IF(C603="","",IFERROR(INDEX('6. Base de Custos'!$P$8:$P$42,MATCH(C603,'6. Base de Custos'!$L$8:$L$42,0)),"Revisar"))</f>
        <v/>
      </c>
      <c r="Q603" s="59">
        <f>IF(C603="","",IFERROR(INDEX('6. Base de Custos'!$Q$8:$Q$42,MATCH(C603,'6. Base de Custos'!$L$8:$L$42,0)),""))</f>
        <v/>
      </c>
      <c r="R603" s="65">
        <f>IF(C603="","",IFERROR(VLOOKUP(M603&amp;"|"&amp;N603,'17. Mapa DRE CP'!$E$5:$H$100,2,FALSE),"Revisar"))</f>
        <v/>
      </c>
      <c r="S603" s="65">
        <f>IF(C603="","",IFERROR(VLOOKUP(M603&amp;"|"&amp;N603,'17. Mapa DRE CP'!$E$5:$H$100,3,FALSE),"Revisar"))</f>
        <v/>
      </c>
      <c r="T603" s="65">
        <f>IF(C603="","",IF(R603="(-) Custos diretos dos serviços",IF(ISNUMBER(SEARCH("PCMSO",C603)),"PCMSO",IF(OR(ISNUMBER(SEARCH("SGS",C603)),ISNUMBER(SEARCH("CASTRO NAVES",C603))),"Projetos / Laudos / Avulsos","Projetos / Laudos / Avulsos")),"Rateio pela receita bruta"))</f>
        <v/>
      </c>
      <c r="U603" s="65">
        <f>IF(C603="","",IF(R603="(-) Custos diretos dos serviços","Direto por fornecedor/natureza do gasto","Rateio proporcional à receita bruta da linha de serviço"))</f>
        <v/>
      </c>
    </row>
    <row r="604">
      <c r="A604" s="28">
        <f>IF(C604="","", "CP-"&amp;TEXT(ROW()-5,"000"))</f>
        <v/>
      </c>
      <c r="B604" s="27">
        <f>IF(F604="","",DATE(YEAR(F604),MONTH(F604),1))</f>
        <v/>
      </c>
      <c r="C604" s="28" t="n"/>
      <c r="D604" s="28" t="n"/>
      <c r="E604" s="59">
        <f>IF(C604="","",IFERROR(INDEX('6. Base de Custos'!$M$8:$M$42,MATCH(C604,'6. Base de Custos'!$L$8:$L$42,0)),"Não classificado"))</f>
        <v/>
      </c>
      <c r="F604" s="111" t="n"/>
      <c r="G604" s="111" t="n"/>
      <c r="H604" s="111" t="n"/>
      <c r="I604" s="45" t="n"/>
      <c r="J604" s="28" t="n"/>
      <c r="K604" s="28" t="n"/>
      <c r="L604" s="28" t="n"/>
      <c r="M604" s="59">
        <f>IF(C604="","",IFERROR(INDEX('6. Base de Custos'!$N$8:$N$42,MATCH(C604,'6. Base de Custos'!$L$8:$L$42,0)),"Não classificado"))</f>
        <v/>
      </c>
      <c r="N604" s="59">
        <f>IF(C604="","",IFERROR(INDEX('6. Base de Custos'!$O$8:$O$42,MATCH(C604,'6. Base de Custos'!$L$8:$L$42,0)),"Revisar"))</f>
        <v/>
      </c>
      <c r="O604" s="60">
        <f>IF(M604="","",IFERROR(VLOOKUP(M604,'6. Base de Custos'!$H$12:$J$18,3,FALSE),0))</f>
        <v/>
      </c>
      <c r="P604" s="59">
        <f>IF(C604="","",IFERROR(INDEX('6. Base de Custos'!$P$8:$P$42,MATCH(C604,'6. Base de Custos'!$L$8:$L$42,0)),"Revisar"))</f>
        <v/>
      </c>
      <c r="Q604" s="59">
        <f>IF(C604="","",IFERROR(INDEX('6. Base de Custos'!$Q$8:$Q$42,MATCH(C604,'6. Base de Custos'!$L$8:$L$42,0)),""))</f>
        <v/>
      </c>
      <c r="R604" s="65">
        <f>IF(C604="","",IFERROR(VLOOKUP(M604&amp;"|"&amp;N604,'17. Mapa DRE CP'!$E$5:$H$100,2,FALSE),"Revisar"))</f>
        <v/>
      </c>
      <c r="S604" s="65">
        <f>IF(C604="","",IFERROR(VLOOKUP(M604&amp;"|"&amp;N604,'17. Mapa DRE CP'!$E$5:$H$100,3,FALSE),"Revisar"))</f>
        <v/>
      </c>
      <c r="T604" s="65">
        <f>IF(C604="","",IF(R604="(-) Custos diretos dos serviços",IF(ISNUMBER(SEARCH("PCMSO",C604)),"PCMSO",IF(OR(ISNUMBER(SEARCH("SGS",C604)),ISNUMBER(SEARCH("CASTRO NAVES",C604))),"Projetos / Laudos / Avulsos","Projetos / Laudos / Avulsos")),"Rateio pela receita bruta"))</f>
        <v/>
      </c>
      <c r="U604" s="65">
        <f>IF(C604="","",IF(R604="(-) Custos diretos dos serviços","Direto por fornecedor/natureza do gasto","Rateio proporcional à receita bruta da linha de serviço"))</f>
        <v/>
      </c>
    </row>
    <row r="605">
      <c r="A605" s="28">
        <f>IF(C605="","", "CP-"&amp;TEXT(ROW()-5,"000"))</f>
        <v/>
      </c>
      <c r="B605" s="27">
        <f>IF(F605="","",DATE(YEAR(F605),MONTH(F605),1))</f>
        <v/>
      </c>
      <c r="C605" s="28" t="n"/>
      <c r="D605" s="28" t="n"/>
      <c r="E605" s="59">
        <f>IF(C605="","",IFERROR(INDEX('6. Base de Custos'!$M$8:$M$42,MATCH(C605,'6. Base de Custos'!$L$8:$L$42,0)),"Não classificado"))</f>
        <v/>
      </c>
      <c r="F605" s="111" t="n"/>
      <c r="G605" s="111" t="n"/>
      <c r="H605" s="111" t="n"/>
      <c r="I605" s="45" t="n"/>
      <c r="J605" s="28" t="n"/>
      <c r="K605" s="28" t="n"/>
      <c r="L605" s="28" t="n"/>
      <c r="M605" s="59">
        <f>IF(C605="","",IFERROR(INDEX('6. Base de Custos'!$N$8:$N$42,MATCH(C605,'6. Base de Custos'!$L$8:$L$42,0)),"Não classificado"))</f>
        <v/>
      </c>
      <c r="N605" s="59">
        <f>IF(C605="","",IFERROR(INDEX('6. Base de Custos'!$O$8:$O$42,MATCH(C605,'6. Base de Custos'!$L$8:$L$42,0)),"Revisar"))</f>
        <v/>
      </c>
      <c r="O605" s="60">
        <f>IF(M605="","",IFERROR(VLOOKUP(M605,'6. Base de Custos'!$H$12:$J$18,3,FALSE),0))</f>
        <v/>
      </c>
      <c r="P605" s="59">
        <f>IF(C605="","",IFERROR(INDEX('6. Base de Custos'!$P$8:$P$42,MATCH(C605,'6. Base de Custos'!$L$8:$L$42,0)),"Revisar"))</f>
        <v/>
      </c>
      <c r="Q605" s="59">
        <f>IF(C605="","",IFERROR(INDEX('6. Base de Custos'!$Q$8:$Q$42,MATCH(C605,'6. Base de Custos'!$L$8:$L$42,0)),""))</f>
        <v/>
      </c>
      <c r="R605" s="65">
        <f>IF(C605="","",IFERROR(VLOOKUP(M605&amp;"|"&amp;N605,'17. Mapa DRE CP'!$E$5:$H$100,2,FALSE),"Revisar"))</f>
        <v/>
      </c>
      <c r="S605" s="65">
        <f>IF(C605="","",IFERROR(VLOOKUP(M605&amp;"|"&amp;N605,'17. Mapa DRE CP'!$E$5:$H$100,3,FALSE),"Revisar"))</f>
        <v/>
      </c>
      <c r="T605" s="65">
        <f>IF(C605="","",IF(R605="(-) Custos diretos dos serviços",IF(ISNUMBER(SEARCH("PCMSO",C605)),"PCMSO",IF(OR(ISNUMBER(SEARCH("SGS",C605)),ISNUMBER(SEARCH("CASTRO NAVES",C605))),"Projetos / Laudos / Avulsos","Projetos / Laudos / Avulsos")),"Rateio pela receita bruta"))</f>
        <v/>
      </c>
      <c r="U605" s="65">
        <f>IF(C605="","",IF(R605="(-) Custos diretos dos serviços","Direto por fornecedor/natureza do gasto","Rateio proporcional à receita bruta da linha de serviço"))</f>
        <v/>
      </c>
    </row>
    <row r="606">
      <c r="A606" s="28">
        <f>IF(C606="","", "CP-"&amp;TEXT(ROW()-5,"000"))</f>
        <v/>
      </c>
      <c r="B606" s="27">
        <f>IF(F606="","",DATE(YEAR(F606),MONTH(F606),1))</f>
        <v/>
      </c>
      <c r="C606" s="28" t="n"/>
      <c r="D606" s="28" t="n"/>
      <c r="E606" s="59">
        <f>IF(C606="","",IFERROR(INDEX('6. Base de Custos'!$M$8:$M$42,MATCH(C606,'6. Base de Custos'!$L$8:$L$42,0)),"Não classificado"))</f>
        <v/>
      </c>
      <c r="F606" s="111" t="n"/>
      <c r="G606" s="111" t="n"/>
      <c r="H606" s="111" t="n"/>
      <c r="I606" s="45" t="n"/>
      <c r="J606" s="28" t="n"/>
      <c r="K606" s="28" t="n"/>
      <c r="L606" s="28" t="n"/>
      <c r="M606" s="59">
        <f>IF(C606="","",IFERROR(INDEX('6. Base de Custos'!$N$8:$N$42,MATCH(C606,'6. Base de Custos'!$L$8:$L$42,0)),"Não classificado"))</f>
        <v/>
      </c>
      <c r="N606" s="59">
        <f>IF(C606="","",IFERROR(INDEX('6. Base de Custos'!$O$8:$O$42,MATCH(C606,'6. Base de Custos'!$L$8:$L$42,0)),"Revisar"))</f>
        <v/>
      </c>
      <c r="O606" s="60">
        <f>IF(M606="","",IFERROR(VLOOKUP(M606,'6. Base de Custos'!$H$12:$J$18,3,FALSE),0))</f>
        <v/>
      </c>
      <c r="P606" s="59">
        <f>IF(C606="","",IFERROR(INDEX('6. Base de Custos'!$P$8:$P$42,MATCH(C606,'6. Base de Custos'!$L$8:$L$42,0)),"Revisar"))</f>
        <v/>
      </c>
      <c r="Q606" s="59">
        <f>IF(C606="","",IFERROR(INDEX('6. Base de Custos'!$Q$8:$Q$42,MATCH(C606,'6. Base de Custos'!$L$8:$L$42,0)),""))</f>
        <v/>
      </c>
      <c r="R606" s="65">
        <f>IF(C606="","",IFERROR(VLOOKUP(M606&amp;"|"&amp;N606,'17. Mapa DRE CP'!$E$5:$H$100,2,FALSE),"Revisar"))</f>
        <v/>
      </c>
      <c r="S606" s="65">
        <f>IF(C606="","",IFERROR(VLOOKUP(M606&amp;"|"&amp;N606,'17. Mapa DRE CP'!$E$5:$H$100,3,FALSE),"Revisar"))</f>
        <v/>
      </c>
      <c r="T606" s="65">
        <f>IF(C606="","",IF(R606="(-) Custos diretos dos serviços",IF(ISNUMBER(SEARCH("PCMSO",C606)),"PCMSO",IF(OR(ISNUMBER(SEARCH("SGS",C606)),ISNUMBER(SEARCH("CASTRO NAVES",C606))),"Projetos / Laudos / Avulsos","Projetos / Laudos / Avulsos")),"Rateio pela receita bruta"))</f>
        <v/>
      </c>
      <c r="U606" s="65">
        <f>IF(C606="","",IF(R606="(-) Custos diretos dos serviços","Direto por fornecedor/natureza do gasto","Rateio proporcional à receita bruta da linha de serviço"))</f>
        <v/>
      </c>
    </row>
    <row r="607">
      <c r="A607" s="28">
        <f>IF(C607="","", "CP-"&amp;TEXT(ROW()-5,"000"))</f>
        <v/>
      </c>
      <c r="B607" s="27">
        <f>IF(F607="","",DATE(YEAR(F607),MONTH(F607),1))</f>
        <v/>
      </c>
      <c r="C607" s="28" t="n"/>
      <c r="D607" s="28" t="n"/>
      <c r="E607" s="59">
        <f>IF(C607="","",IFERROR(INDEX('6. Base de Custos'!$M$8:$M$42,MATCH(C607,'6. Base de Custos'!$L$8:$L$42,0)),"Não classificado"))</f>
        <v/>
      </c>
      <c r="F607" s="111" t="n"/>
      <c r="G607" s="111" t="n"/>
      <c r="H607" s="111" t="n"/>
      <c r="I607" s="45" t="n"/>
      <c r="J607" s="28" t="n"/>
      <c r="K607" s="28" t="n"/>
      <c r="L607" s="28" t="n"/>
      <c r="M607" s="59">
        <f>IF(C607="","",IFERROR(INDEX('6. Base de Custos'!$N$8:$N$42,MATCH(C607,'6. Base de Custos'!$L$8:$L$42,0)),"Não classificado"))</f>
        <v/>
      </c>
      <c r="N607" s="59">
        <f>IF(C607="","",IFERROR(INDEX('6. Base de Custos'!$O$8:$O$42,MATCH(C607,'6. Base de Custos'!$L$8:$L$42,0)),"Revisar"))</f>
        <v/>
      </c>
      <c r="O607" s="60">
        <f>IF(M607="","",IFERROR(VLOOKUP(M607,'6. Base de Custos'!$H$12:$J$18,3,FALSE),0))</f>
        <v/>
      </c>
      <c r="P607" s="59">
        <f>IF(C607="","",IFERROR(INDEX('6. Base de Custos'!$P$8:$P$42,MATCH(C607,'6. Base de Custos'!$L$8:$L$42,0)),"Revisar"))</f>
        <v/>
      </c>
      <c r="Q607" s="59">
        <f>IF(C607="","",IFERROR(INDEX('6. Base de Custos'!$Q$8:$Q$42,MATCH(C607,'6. Base de Custos'!$L$8:$L$42,0)),""))</f>
        <v/>
      </c>
      <c r="R607" s="65">
        <f>IF(C607="","",IFERROR(VLOOKUP(M607&amp;"|"&amp;N607,'17. Mapa DRE CP'!$E$5:$H$100,2,FALSE),"Revisar"))</f>
        <v/>
      </c>
      <c r="S607" s="65">
        <f>IF(C607="","",IFERROR(VLOOKUP(M607&amp;"|"&amp;N607,'17. Mapa DRE CP'!$E$5:$H$100,3,FALSE),"Revisar"))</f>
        <v/>
      </c>
      <c r="T607" s="65">
        <f>IF(C607="","",IF(R607="(-) Custos diretos dos serviços",IF(ISNUMBER(SEARCH("PCMSO",C607)),"PCMSO",IF(OR(ISNUMBER(SEARCH("SGS",C607)),ISNUMBER(SEARCH("CASTRO NAVES",C607))),"Projetos / Laudos / Avulsos","Projetos / Laudos / Avulsos")),"Rateio pela receita bruta"))</f>
        <v/>
      </c>
      <c r="U607" s="65">
        <f>IF(C607="","",IF(R607="(-) Custos diretos dos serviços","Direto por fornecedor/natureza do gasto","Rateio proporcional à receita bruta da linha de serviço"))</f>
        <v/>
      </c>
    </row>
    <row r="608">
      <c r="A608" s="28">
        <f>IF(C608="","", "CP-"&amp;TEXT(ROW()-5,"000"))</f>
        <v/>
      </c>
      <c r="B608" s="27">
        <f>IF(F608="","",DATE(YEAR(F608),MONTH(F608),1))</f>
        <v/>
      </c>
      <c r="C608" s="28" t="n"/>
      <c r="D608" s="28" t="n"/>
      <c r="E608" s="59">
        <f>IF(C608="","",IFERROR(INDEX('6. Base de Custos'!$M$8:$M$42,MATCH(C608,'6. Base de Custos'!$L$8:$L$42,0)),"Não classificado"))</f>
        <v/>
      </c>
      <c r="F608" s="111" t="n"/>
      <c r="G608" s="111" t="n"/>
      <c r="H608" s="111" t="n"/>
      <c r="I608" s="45" t="n"/>
      <c r="J608" s="28" t="n"/>
      <c r="K608" s="28" t="n"/>
      <c r="L608" s="28" t="n"/>
      <c r="M608" s="59">
        <f>IF(C608="","",IFERROR(INDEX('6. Base de Custos'!$N$8:$N$42,MATCH(C608,'6. Base de Custos'!$L$8:$L$42,0)),"Não classificado"))</f>
        <v/>
      </c>
      <c r="N608" s="59">
        <f>IF(C608="","",IFERROR(INDEX('6. Base de Custos'!$O$8:$O$42,MATCH(C608,'6. Base de Custos'!$L$8:$L$42,0)),"Revisar"))</f>
        <v/>
      </c>
      <c r="O608" s="60">
        <f>IF(M608="","",IFERROR(VLOOKUP(M608,'6. Base de Custos'!$H$12:$J$18,3,FALSE),0))</f>
        <v/>
      </c>
      <c r="P608" s="59">
        <f>IF(C608="","",IFERROR(INDEX('6. Base de Custos'!$P$8:$P$42,MATCH(C608,'6. Base de Custos'!$L$8:$L$42,0)),"Revisar"))</f>
        <v/>
      </c>
      <c r="Q608" s="59">
        <f>IF(C608="","",IFERROR(INDEX('6. Base de Custos'!$Q$8:$Q$42,MATCH(C608,'6. Base de Custos'!$L$8:$L$42,0)),""))</f>
        <v/>
      </c>
      <c r="R608" s="65">
        <f>IF(C608="","",IFERROR(VLOOKUP(M608&amp;"|"&amp;N608,'17. Mapa DRE CP'!$E$5:$H$100,2,FALSE),"Revisar"))</f>
        <v/>
      </c>
      <c r="S608" s="65">
        <f>IF(C608="","",IFERROR(VLOOKUP(M608&amp;"|"&amp;N608,'17. Mapa DRE CP'!$E$5:$H$100,3,FALSE),"Revisar"))</f>
        <v/>
      </c>
      <c r="T608" s="65">
        <f>IF(C608="","",IF(R608="(-) Custos diretos dos serviços",IF(ISNUMBER(SEARCH("PCMSO",C608)),"PCMSO",IF(OR(ISNUMBER(SEARCH("SGS",C608)),ISNUMBER(SEARCH("CASTRO NAVES",C608))),"Projetos / Laudos / Avulsos","Projetos / Laudos / Avulsos")),"Rateio pela receita bruta"))</f>
        <v/>
      </c>
      <c r="U608" s="65">
        <f>IF(C608="","",IF(R608="(-) Custos diretos dos serviços","Direto por fornecedor/natureza do gasto","Rateio proporcional à receita bruta da linha de serviço"))</f>
        <v/>
      </c>
    </row>
    <row r="609">
      <c r="A609" s="28">
        <f>IF(C609="","", "CP-"&amp;TEXT(ROW()-5,"000"))</f>
        <v/>
      </c>
      <c r="B609" s="27">
        <f>IF(F609="","",DATE(YEAR(F609),MONTH(F609),1))</f>
        <v/>
      </c>
      <c r="C609" s="28" t="n"/>
      <c r="D609" s="28" t="n"/>
      <c r="E609" s="59">
        <f>IF(C609="","",IFERROR(INDEX('6. Base de Custos'!$M$8:$M$42,MATCH(C609,'6. Base de Custos'!$L$8:$L$42,0)),"Não classificado"))</f>
        <v/>
      </c>
      <c r="F609" s="111" t="n"/>
      <c r="G609" s="111" t="n"/>
      <c r="H609" s="111" t="n"/>
      <c r="I609" s="45" t="n"/>
      <c r="J609" s="28" t="n"/>
      <c r="K609" s="28" t="n"/>
      <c r="L609" s="28" t="n"/>
      <c r="M609" s="59">
        <f>IF(C609="","",IFERROR(INDEX('6. Base de Custos'!$N$8:$N$42,MATCH(C609,'6. Base de Custos'!$L$8:$L$42,0)),"Não classificado"))</f>
        <v/>
      </c>
      <c r="N609" s="59">
        <f>IF(C609="","",IFERROR(INDEX('6. Base de Custos'!$O$8:$O$42,MATCH(C609,'6. Base de Custos'!$L$8:$L$42,0)),"Revisar"))</f>
        <v/>
      </c>
      <c r="O609" s="60">
        <f>IF(M609="","",IFERROR(VLOOKUP(M609,'6. Base de Custos'!$H$12:$J$18,3,FALSE),0))</f>
        <v/>
      </c>
      <c r="P609" s="59">
        <f>IF(C609="","",IFERROR(INDEX('6. Base de Custos'!$P$8:$P$42,MATCH(C609,'6. Base de Custos'!$L$8:$L$42,0)),"Revisar"))</f>
        <v/>
      </c>
      <c r="Q609" s="59">
        <f>IF(C609="","",IFERROR(INDEX('6. Base de Custos'!$Q$8:$Q$42,MATCH(C609,'6. Base de Custos'!$L$8:$L$42,0)),""))</f>
        <v/>
      </c>
      <c r="R609" s="65">
        <f>IF(C609="","",IFERROR(VLOOKUP(M609&amp;"|"&amp;N609,'17. Mapa DRE CP'!$E$5:$H$100,2,FALSE),"Revisar"))</f>
        <v/>
      </c>
      <c r="S609" s="65">
        <f>IF(C609="","",IFERROR(VLOOKUP(M609&amp;"|"&amp;N609,'17. Mapa DRE CP'!$E$5:$H$100,3,FALSE),"Revisar"))</f>
        <v/>
      </c>
      <c r="T609" s="65">
        <f>IF(C609="","",IF(R609="(-) Custos diretos dos serviços",IF(ISNUMBER(SEARCH("PCMSO",C609)),"PCMSO",IF(OR(ISNUMBER(SEARCH("SGS",C609)),ISNUMBER(SEARCH("CASTRO NAVES",C609))),"Projetos / Laudos / Avulsos","Projetos / Laudos / Avulsos")),"Rateio pela receita bruta"))</f>
        <v/>
      </c>
      <c r="U609" s="65">
        <f>IF(C609="","",IF(R609="(-) Custos diretos dos serviços","Direto por fornecedor/natureza do gasto","Rateio proporcional à receita bruta da linha de serviço"))</f>
        <v/>
      </c>
    </row>
    <row r="610">
      <c r="A610" s="28">
        <f>IF(C610="","", "CP-"&amp;TEXT(ROW()-5,"000"))</f>
        <v/>
      </c>
      <c r="B610" s="27">
        <f>IF(F610="","",DATE(YEAR(F610),MONTH(F610),1))</f>
        <v/>
      </c>
      <c r="C610" s="28" t="n"/>
      <c r="D610" s="28" t="n"/>
      <c r="E610" s="59">
        <f>IF(C610="","",IFERROR(INDEX('6. Base de Custos'!$M$8:$M$42,MATCH(C610,'6. Base de Custos'!$L$8:$L$42,0)),"Não classificado"))</f>
        <v/>
      </c>
      <c r="F610" s="111" t="n"/>
      <c r="G610" s="111" t="n"/>
      <c r="H610" s="111" t="n"/>
      <c r="I610" s="45" t="n"/>
      <c r="J610" s="28" t="n"/>
      <c r="K610" s="28" t="n"/>
      <c r="L610" s="28" t="n"/>
      <c r="M610" s="59">
        <f>IF(C610="","",IFERROR(INDEX('6. Base de Custos'!$N$8:$N$42,MATCH(C610,'6. Base de Custos'!$L$8:$L$42,0)),"Não classificado"))</f>
        <v/>
      </c>
      <c r="N610" s="59">
        <f>IF(C610="","",IFERROR(INDEX('6. Base de Custos'!$O$8:$O$42,MATCH(C610,'6. Base de Custos'!$L$8:$L$42,0)),"Revisar"))</f>
        <v/>
      </c>
      <c r="O610" s="60">
        <f>IF(M610="","",IFERROR(VLOOKUP(M610,'6. Base de Custos'!$H$12:$J$18,3,FALSE),0))</f>
        <v/>
      </c>
      <c r="P610" s="59">
        <f>IF(C610="","",IFERROR(INDEX('6. Base de Custos'!$P$8:$P$42,MATCH(C610,'6. Base de Custos'!$L$8:$L$42,0)),"Revisar"))</f>
        <v/>
      </c>
      <c r="Q610" s="59">
        <f>IF(C610="","",IFERROR(INDEX('6. Base de Custos'!$Q$8:$Q$42,MATCH(C610,'6. Base de Custos'!$L$8:$L$42,0)),""))</f>
        <v/>
      </c>
      <c r="R610" s="65">
        <f>IF(C610="","",IFERROR(VLOOKUP(M610&amp;"|"&amp;N610,'17. Mapa DRE CP'!$E$5:$H$100,2,FALSE),"Revisar"))</f>
        <v/>
      </c>
      <c r="S610" s="65">
        <f>IF(C610="","",IFERROR(VLOOKUP(M610&amp;"|"&amp;N610,'17. Mapa DRE CP'!$E$5:$H$100,3,FALSE),"Revisar"))</f>
        <v/>
      </c>
      <c r="T610" s="65">
        <f>IF(C610="","",IF(R610="(-) Custos diretos dos serviços",IF(ISNUMBER(SEARCH("PCMSO",C610)),"PCMSO",IF(OR(ISNUMBER(SEARCH("SGS",C610)),ISNUMBER(SEARCH("CASTRO NAVES",C610))),"Projetos / Laudos / Avulsos","Projetos / Laudos / Avulsos")),"Rateio pela receita bruta"))</f>
        <v/>
      </c>
      <c r="U610" s="65">
        <f>IF(C610="","",IF(R610="(-) Custos diretos dos serviços","Direto por fornecedor/natureza do gasto","Rateio proporcional à receita bruta da linha de serviço"))</f>
        <v/>
      </c>
    </row>
    <row r="611">
      <c r="A611" s="28">
        <f>IF(C611="","", "CP-"&amp;TEXT(ROW()-5,"000"))</f>
        <v/>
      </c>
      <c r="B611" s="27">
        <f>IF(F611="","",DATE(YEAR(F611),MONTH(F611),1))</f>
        <v/>
      </c>
      <c r="C611" s="28" t="n"/>
      <c r="D611" s="28" t="n"/>
      <c r="E611" s="59">
        <f>IF(C611="","",IFERROR(INDEX('6. Base de Custos'!$M$8:$M$42,MATCH(C611,'6. Base de Custos'!$L$8:$L$42,0)),"Não classificado"))</f>
        <v/>
      </c>
      <c r="F611" s="111" t="n"/>
      <c r="G611" s="111" t="n"/>
      <c r="H611" s="111" t="n"/>
      <c r="I611" s="45" t="n"/>
      <c r="J611" s="28" t="n"/>
      <c r="K611" s="28" t="n"/>
      <c r="L611" s="28" t="n"/>
      <c r="M611" s="59">
        <f>IF(C611="","",IFERROR(INDEX('6. Base de Custos'!$N$8:$N$42,MATCH(C611,'6. Base de Custos'!$L$8:$L$42,0)),"Não classificado"))</f>
        <v/>
      </c>
      <c r="N611" s="59">
        <f>IF(C611="","",IFERROR(INDEX('6. Base de Custos'!$O$8:$O$42,MATCH(C611,'6. Base de Custos'!$L$8:$L$42,0)),"Revisar"))</f>
        <v/>
      </c>
      <c r="O611" s="60">
        <f>IF(M611="","",IFERROR(VLOOKUP(M611,'6. Base de Custos'!$H$12:$J$18,3,FALSE),0))</f>
        <v/>
      </c>
      <c r="P611" s="59">
        <f>IF(C611="","",IFERROR(INDEX('6. Base de Custos'!$P$8:$P$42,MATCH(C611,'6. Base de Custos'!$L$8:$L$42,0)),"Revisar"))</f>
        <v/>
      </c>
      <c r="Q611" s="59">
        <f>IF(C611="","",IFERROR(INDEX('6. Base de Custos'!$Q$8:$Q$42,MATCH(C611,'6. Base de Custos'!$L$8:$L$42,0)),""))</f>
        <v/>
      </c>
      <c r="R611" s="65">
        <f>IF(C611="","",IFERROR(VLOOKUP(M611&amp;"|"&amp;N611,'17. Mapa DRE CP'!$E$5:$H$100,2,FALSE),"Revisar"))</f>
        <v/>
      </c>
      <c r="S611" s="65">
        <f>IF(C611="","",IFERROR(VLOOKUP(M611&amp;"|"&amp;N611,'17. Mapa DRE CP'!$E$5:$H$100,3,FALSE),"Revisar"))</f>
        <v/>
      </c>
      <c r="T611" s="65">
        <f>IF(C611="","",IF(R611="(-) Custos diretos dos serviços",IF(ISNUMBER(SEARCH("PCMSO",C611)),"PCMSO",IF(OR(ISNUMBER(SEARCH("SGS",C611)),ISNUMBER(SEARCH("CASTRO NAVES",C611))),"Projetos / Laudos / Avulsos","Projetos / Laudos / Avulsos")),"Rateio pela receita bruta"))</f>
        <v/>
      </c>
      <c r="U611" s="65">
        <f>IF(C611="","",IF(R611="(-) Custos diretos dos serviços","Direto por fornecedor/natureza do gasto","Rateio proporcional à receita bruta da linha de serviço"))</f>
        <v/>
      </c>
    </row>
    <row r="612">
      <c r="A612" s="28">
        <f>IF(C612="","", "CP-"&amp;TEXT(ROW()-5,"000"))</f>
        <v/>
      </c>
      <c r="B612" s="27">
        <f>IF(F612="","",DATE(YEAR(F612),MONTH(F612),1))</f>
        <v/>
      </c>
      <c r="C612" s="28" t="n"/>
      <c r="D612" s="28" t="n"/>
      <c r="E612" s="59">
        <f>IF(C612="","",IFERROR(INDEX('6. Base de Custos'!$M$8:$M$42,MATCH(C612,'6. Base de Custos'!$L$8:$L$42,0)),"Não classificado"))</f>
        <v/>
      </c>
      <c r="F612" s="111" t="n"/>
      <c r="G612" s="111" t="n"/>
      <c r="H612" s="111" t="n"/>
      <c r="I612" s="45" t="n"/>
      <c r="J612" s="28" t="n"/>
      <c r="K612" s="28" t="n"/>
      <c r="L612" s="28" t="n"/>
      <c r="M612" s="59">
        <f>IF(C612="","",IFERROR(INDEX('6. Base de Custos'!$N$8:$N$42,MATCH(C612,'6. Base de Custos'!$L$8:$L$42,0)),"Não classificado"))</f>
        <v/>
      </c>
      <c r="N612" s="59">
        <f>IF(C612="","",IFERROR(INDEX('6. Base de Custos'!$O$8:$O$42,MATCH(C612,'6. Base de Custos'!$L$8:$L$42,0)),"Revisar"))</f>
        <v/>
      </c>
      <c r="O612" s="60">
        <f>IF(M612="","",IFERROR(VLOOKUP(M612,'6. Base de Custos'!$H$12:$J$18,3,FALSE),0))</f>
        <v/>
      </c>
      <c r="P612" s="59">
        <f>IF(C612="","",IFERROR(INDEX('6. Base de Custos'!$P$8:$P$42,MATCH(C612,'6. Base de Custos'!$L$8:$L$42,0)),"Revisar"))</f>
        <v/>
      </c>
      <c r="Q612" s="59">
        <f>IF(C612="","",IFERROR(INDEX('6. Base de Custos'!$Q$8:$Q$42,MATCH(C612,'6. Base de Custos'!$L$8:$L$42,0)),""))</f>
        <v/>
      </c>
      <c r="R612" s="65">
        <f>IF(C612="","",IFERROR(VLOOKUP(M612&amp;"|"&amp;N612,'17. Mapa DRE CP'!$E$5:$H$100,2,FALSE),"Revisar"))</f>
        <v/>
      </c>
      <c r="S612" s="65">
        <f>IF(C612="","",IFERROR(VLOOKUP(M612&amp;"|"&amp;N612,'17. Mapa DRE CP'!$E$5:$H$100,3,FALSE),"Revisar"))</f>
        <v/>
      </c>
      <c r="T612" s="65">
        <f>IF(C612="","",IF(R612="(-) Custos diretos dos serviços",IF(ISNUMBER(SEARCH("PCMSO",C612)),"PCMSO",IF(OR(ISNUMBER(SEARCH("SGS",C612)),ISNUMBER(SEARCH("CASTRO NAVES",C612))),"Projetos / Laudos / Avulsos","Projetos / Laudos / Avulsos")),"Rateio pela receita bruta"))</f>
        <v/>
      </c>
      <c r="U612" s="65">
        <f>IF(C612="","",IF(R612="(-) Custos diretos dos serviços","Direto por fornecedor/natureza do gasto","Rateio proporcional à receita bruta da linha de serviço"))</f>
        <v/>
      </c>
    </row>
    <row r="613">
      <c r="A613" s="28">
        <f>IF(C613="","", "CP-"&amp;TEXT(ROW()-5,"000"))</f>
        <v/>
      </c>
      <c r="B613" s="27">
        <f>IF(F613="","",DATE(YEAR(F613),MONTH(F613),1))</f>
        <v/>
      </c>
      <c r="C613" s="28" t="n"/>
      <c r="D613" s="28" t="n"/>
      <c r="E613" s="59">
        <f>IF(C613="","",IFERROR(INDEX('6. Base de Custos'!$M$8:$M$42,MATCH(C613,'6. Base de Custos'!$L$8:$L$42,0)),"Não classificado"))</f>
        <v/>
      </c>
      <c r="F613" s="111" t="n"/>
      <c r="G613" s="111" t="n"/>
      <c r="H613" s="111" t="n"/>
      <c r="I613" s="45" t="n"/>
      <c r="J613" s="28" t="n"/>
      <c r="K613" s="28" t="n"/>
      <c r="L613" s="28" t="n"/>
      <c r="M613" s="59">
        <f>IF(C613="","",IFERROR(INDEX('6. Base de Custos'!$N$8:$N$42,MATCH(C613,'6. Base de Custos'!$L$8:$L$42,0)),"Não classificado"))</f>
        <v/>
      </c>
      <c r="N613" s="59">
        <f>IF(C613="","",IFERROR(INDEX('6. Base de Custos'!$O$8:$O$42,MATCH(C613,'6. Base de Custos'!$L$8:$L$42,0)),"Revisar"))</f>
        <v/>
      </c>
      <c r="O613" s="60">
        <f>IF(M613="","",IFERROR(VLOOKUP(M613,'6. Base de Custos'!$H$12:$J$18,3,FALSE),0))</f>
        <v/>
      </c>
      <c r="P613" s="59">
        <f>IF(C613="","",IFERROR(INDEX('6. Base de Custos'!$P$8:$P$42,MATCH(C613,'6. Base de Custos'!$L$8:$L$42,0)),"Revisar"))</f>
        <v/>
      </c>
      <c r="Q613" s="59">
        <f>IF(C613="","",IFERROR(INDEX('6. Base de Custos'!$Q$8:$Q$42,MATCH(C613,'6. Base de Custos'!$L$8:$L$42,0)),""))</f>
        <v/>
      </c>
      <c r="R613" s="65">
        <f>IF(C613="","",IFERROR(VLOOKUP(M613&amp;"|"&amp;N613,'17. Mapa DRE CP'!$E$5:$H$100,2,FALSE),"Revisar"))</f>
        <v/>
      </c>
      <c r="S613" s="65">
        <f>IF(C613="","",IFERROR(VLOOKUP(M613&amp;"|"&amp;N613,'17. Mapa DRE CP'!$E$5:$H$100,3,FALSE),"Revisar"))</f>
        <v/>
      </c>
      <c r="T613" s="65">
        <f>IF(C613="","",IF(R613="(-) Custos diretos dos serviços",IF(ISNUMBER(SEARCH("PCMSO",C613)),"PCMSO",IF(OR(ISNUMBER(SEARCH("SGS",C613)),ISNUMBER(SEARCH("CASTRO NAVES",C613))),"Projetos / Laudos / Avulsos","Projetos / Laudos / Avulsos")),"Rateio pela receita bruta"))</f>
        <v/>
      </c>
      <c r="U613" s="65">
        <f>IF(C613="","",IF(R613="(-) Custos diretos dos serviços","Direto por fornecedor/natureza do gasto","Rateio proporcional à receita bruta da linha de serviço"))</f>
        <v/>
      </c>
    </row>
    <row r="614">
      <c r="A614" s="28">
        <f>IF(C614="","", "CP-"&amp;TEXT(ROW()-5,"000"))</f>
        <v/>
      </c>
      <c r="B614" s="27">
        <f>IF(F614="","",DATE(YEAR(F614),MONTH(F614),1))</f>
        <v/>
      </c>
      <c r="C614" s="28" t="n"/>
      <c r="D614" s="28" t="n"/>
      <c r="E614" s="59">
        <f>IF(C614="","",IFERROR(INDEX('6. Base de Custos'!$M$8:$M$42,MATCH(C614,'6. Base de Custos'!$L$8:$L$42,0)),"Não classificado"))</f>
        <v/>
      </c>
      <c r="F614" s="111" t="n"/>
      <c r="G614" s="111" t="n"/>
      <c r="H614" s="111" t="n"/>
      <c r="I614" s="45" t="n"/>
      <c r="J614" s="28" t="n"/>
      <c r="K614" s="28" t="n"/>
      <c r="L614" s="28" t="n"/>
      <c r="M614" s="59">
        <f>IF(C614="","",IFERROR(INDEX('6. Base de Custos'!$N$8:$N$42,MATCH(C614,'6. Base de Custos'!$L$8:$L$42,0)),"Não classificado"))</f>
        <v/>
      </c>
      <c r="N614" s="59">
        <f>IF(C614="","",IFERROR(INDEX('6. Base de Custos'!$O$8:$O$42,MATCH(C614,'6. Base de Custos'!$L$8:$L$42,0)),"Revisar"))</f>
        <v/>
      </c>
      <c r="O614" s="60">
        <f>IF(M614="","",IFERROR(VLOOKUP(M614,'6. Base de Custos'!$H$12:$J$18,3,FALSE),0))</f>
        <v/>
      </c>
      <c r="P614" s="59">
        <f>IF(C614="","",IFERROR(INDEX('6. Base de Custos'!$P$8:$P$42,MATCH(C614,'6. Base de Custos'!$L$8:$L$42,0)),"Revisar"))</f>
        <v/>
      </c>
      <c r="Q614" s="59">
        <f>IF(C614="","",IFERROR(INDEX('6. Base de Custos'!$Q$8:$Q$42,MATCH(C614,'6. Base de Custos'!$L$8:$L$42,0)),""))</f>
        <v/>
      </c>
      <c r="R614" s="65">
        <f>IF(C614="","",IFERROR(VLOOKUP(M614&amp;"|"&amp;N614,'17. Mapa DRE CP'!$E$5:$H$100,2,FALSE),"Revisar"))</f>
        <v/>
      </c>
      <c r="S614" s="65">
        <f>IF(C614="","",IFERROR(VLOOKUP(M614&amp;"|"&amp;N614,'17. Mapa DRE CP'!$E$5:$H$100,3,FALSE),"Revisar"))</f>
        <v/>
      </c>
      <c r="T614" s="65">
        <f>IF(C614="","",IF(R614="(-) Custos diretos dos serviços",IF(ISNUMBER(SEARCH("PCMSO",C614)),"PCMSO",IF(OR(ISNUMBER(SEARCH("SGS",C614)),ISNUMBER(SEARCH("CASTRO NAVES",C614))),"Projetos / Laudos / Avulsos","Projetos / Laudos / Avulsos")),"Rateio pela receita bruta"))</f>
        <v/>
      </c>
      <c r="U614" s="65">
        <f>IF(C614="","",IF(R614="(-) Custos diretos dos serviços","Direto por fornecedor/natureza do gasto","Rateio proporcional à receita bruta da linha de serviço"))</f>
        <v/>
      </c>
    </row>
    <row r="615">
      <c r="A615" s="28">
        <f>IF(C615="","", "CP-"&amp;TEXT(ROW()-5,"000"))</f>
        <v/>
      </c>
      <c r="B615" s="27">
        <f>IF(F615="","",DATE(YEAR(F615),MONTH(F615),1))</f>
        <v/>
      </c>
      <c r="C615" s="28" t="n"/>
      <c r="D615" s="28" t="n"/>
      <c r="E615" s="59">
        <f>IF(C615="","",IFERROR(INDEX('6. Base de Custos'!$M$8:$M$42,MATCH(C615,'6. Base de Custos'!$L$8:$L$42,0)),"Não classificado"))</f>
        <v/>
      </c>
      <c r="F615" s="111" t="n"/>
      <c r="G615" s="111" t="n"/>
      <c r="H615" s="111" t="n"/>
      <c r="I615" s="45" t="n"/>
      <c r="J615" s="28" t="n"/>
      <c r="K615" s="28" t="n"/>
      <c r="L615" s="28" t="n"/>
      <c r="M615" s="59">
        <f>IF(C615="","",IFERROR(INDEX('6. Base de Custos'!$N$8:$N$42,MATCH(C615,'6. Base de Custos'!$L$8:$L$42,0)),"Não classificado"))</f>
        <v/>
      </c>
      <c r="N615" s="59">
        <f>IF(C615="","",IFERROR(INDEX('6. Base de Custos'!$O$8:$O$42,MATCH(C615,'6. Base de Custos'!$L$8:$L$42,0)),"Revisar"))</f>
        <v/>
      </c>
      <c r="O615" s="60">
        <f>IF(M615="","",IFERROR(VLOOKUP(M615,'6. Base de Custos'!$H$12:$J$18,3,FALSE),0))</f>
        <v/>
      </c>
      <c r="P615" s="59">
        <f>IF(C615="","",IFERROR(INDEX('6. Base de Custos'!$P$8:$P$42,MATCH(C615,'6. Base de Custos'!$L$8:$L$42,0)),"Revisar"))</f>
        <v/>
      </c>
      <c r="Q615" s="59">
        <f>IF(C615="","",IFERROR(INDEX('6. Base de Custos'!$Q$8:$Q$42,MATCH(C615,'6. Base de Custos'!$L$8:$L$42,0)),""))</f>
        <v/>
      </c>
      <c r="R615" s="65">
        <f>IF(C615="","",IFERROR(VLOOKUP(M615&amp;"|"&amp;N615,'17. Mapa DRE CP'!$E$5:$H$100,2,FALSE),"Revisar"))</f>
        <v/>
      </c>
      <c r="S615" s="65">
        <f>IF(C615="","",IFERROR(VLOOKUP(M615&amp;"|"&amp;N615,'17. Mapa DRE CP'!$E$5:$H$100,3,FALSE),"Revisar"))</f>
        <v/>
      </c>
      <c r="T615" s="65">
        <f>IF(C615="","",IF(R615="(-) Custos diretos dos serviços",IF(ISNUMBER(SEARCH("PCMSO",C615)),"PCMSO",IF(OR(ISNUMBER(SEARCH("SGS",C615)),ISNUMBER(SEARCH("CASTRO NAVES",C615))),"Projetos / Laudos / Avulsos","Projetos / Laudos / Avulsos")),"Rateio pela receita bruta"))</f>
        <v/>
      </c>
      <c r="U615" s="65">
        <f>IF(C615="","",IF(R615="(-) Custos diretos dos serviços","Direto por fornecedor/natureza do gasto","Rateio proporcional à receita bruta da linha de serviço"))</f>
        <v/>
      </c>
    </row>
    <row r="616">
      <c r="A616" s="28">
        <f>IF(C616="","", "CP-"&amp;TEXT(ROW()-5,"000"))</f>
        <v/>
      </c>
      <c r="B616" s="27">
        <f>IF(F616="","",DATE(YEAR(F616),MONTH(F616),1))</f>
        <v/>
      </c>
      <c r="C616" s="28" t="n"/>
      <c r="D616" s="28" t="n"/>
      <c r="E616" s="59">
        <f>IF(C616="","",IFERROR(INDEX('6. Base de Custos'!$M$8:$M$42,MATCH(C616,'6. Base de Custos'!$L$8:$L$42,0)),"Não classificado"))</f>
        <v/>
      </c>
      <c r="F616" s="111" t="n"/>
      <c r="G616" s="111" t="n"/>
      <c r="H616" s="111" t="n"/>
      <c r="I616" s="45" t="n"/>
      <c r="J616" s="28" t="n"/>
      <c r="K616" s="28" t="n"/>
      <c r="L616" s="28" t="n"/>
      <c r="M616" s="59">
        <f>IF(C616="","",IFERROR(INDEX('6. Base de Custos'!$N$8:$N$42,MATCH(C616,'6. Base de Custos'!$L$8:$L$42,0)),"Não classificado"))</f>
        <v/>
      </c>
      <c r="N616" s="59">
        <f>IF(C616="","",IFERROR(INDEX('6. Base de Custos'!$O$8:$O$42,MATCH(C616,'6. Base de Custos'!$L$8:$L$42,0)),"Revisar"))</f>
        <v/>
      </c>
      <c r="O616" s="60">
        <f>IF(M616="","",IFERROR(VLOOKUP(M616,'6. Base de Custos'!$H$12:$J$18,3,FALSE),0))</f>
        <v/>
      </c>
      <c r="P616" s="59">
        <f>IF(C616="","",IFERROR(INDEX('6. Base de Custos'!$P$8:$P$42,MATCH(C616,'6. Base de Custos'!$L$8:$L$42,0)),"Revisar"))</f>
        <v/>
      </c>
      <c r="Q616" s="59">
        <f>IF(C616="","",IFERROR(INDEX('6. Base de Custos'!$Q$8:$Q$42,MATCH(C616,'6. Base de Custos'!$L$8:$L$42,0)),""))</f>
        <v/>
      </c>
      <c r="R616" s="65">
        <f>IF(C616="","",IFERROR(VLOOKUP(M616&amp;"|"&amp;N616,'17. Mapa DRE CP'!$E$5:$H$100,2,FALSE),"Revisar"))</f>
        <v/>
      </c>
      <c r="S616" s="65">
        <f>IF(C616="","",IFERROR(VLOOKUP(M616&amp;"|"&amp;N616,'17. Mapa DRE CP'!$E$5:$H$100,3,FALSE),"Revisar"))</f>
        <v/>
      </c>
      <c r="T616" s="65">
        <f>IF(C616="","",IF(R616="(-) Custos diretos dos serviços",IF(ISNUMBER(SEARCH("PCMSO",C616)),"PCMSO",IF(OR(ISNUMBER(SEARCH("SGS",C616)),ISNUMBER(SEARCH("CASTRO NAVES",C616))),"Projetos / Laudos / Avulsos","Projetos / Laudos / Avulsos")),"Rateio pela receita bruta"))</f>
        <v/>
      </c>
      <c r="U616" s="65">
        <f>IF(C616="","",IF(R616="(-) Custos diretos dos serviços","Direto por fornecedor/natureza do gasto","Rateio proporcional à receita bruta da linha de serviço"))</f>
        <v/>
      </c>
    </row>
    <row r="617">
      <c r="A617" s="28">
        <f>IF(C617="","", "CP-"&amp;TEXT(ROW()-5,"000"))</f>
        <v/>
      </c>
      <c r="B617" s="27">
        <f>IF(F617="","",DATE(YEAR(F617),MONTH(F617),1))</f>
        <v/>
      </c>
      <c r="C617" s="28" t="n"/>
      <c r="D617" s="28" t="n"/>
      <c r="E617" s="59">
        <f>IF(C617="","",IFERROR(INDEX('6. Base de Custos'!$M$8:$M$42,MATCH(C617,'6. Base de Custos'!$L$8:$L$42,0)),"Não classificado"))</f>
        <v/>
      </c>
      <c r="F617" s="111" t="n"/>
      <c r="G617" s="111" t="n"/>
      <c r="H617" s="111" t="n"/>
      <c r="I617" s="45" t="n"/>
      <c r="J617" s="28" t="n"/>
      <c r="K617" s="28" t="n"/>
      <c r="L617" s="28" t="n"/>
      <c r="M617" s="59">
        <f>IF(C617="","",IFERROR(INDEX('6. Base de Custos'!$N$8:$N$42,MATCH(C617,'6. Base de Custos'!$L$8:$L$42,0)),"Não classificado"))</f>
        <v/>
      </c>
      <c r="N617" s="59">
        <f>IF(C617="","",IFERROR(INDEX('6. Base de Custos'!$O$8:$O$42,MATCH(C617,'6. Base de Custos'!$L$8:$L$42,0)),"Revisar"))</f>
        <v/>
      </c>
      <c r="O617" s="60">
        <f>IF(M617="","",IFERROR(VLOOKUP(M617,'6. Base de Custos'!$H$12:$J$18,3,FALSE),0))</f>
        <v/>
      </c>
      <c r="P617" s="59">
        <f>IF(C617="","",IFERROR(INDEX('6. Base de Custos'!$P$8:$P$42,MATCH(C617,'6. Base de Custos'!$L$8:$L$42,0)),"Revisar"))</f>
        <v/>
      </c>
      <c r="Q617" s="59">
        <f>IF(C617="","",IFERROR(INDEX('6. Base de Custos'!$Q$8:$Q$42,MATCH(C617,'6. Base de Custos'!$L$8:$L$42,0)),""))</f>
        <v/>
      </c>
      <c r="R617" s="65">
        <f>IF(C617="","",IFERROR(VLOOKUP(M617&amp;"|"&amp;N617,'17. Mapa DRE CP'!$E$5:$H$100,2,FALSE),"Revisar"))</f>
        <v/>
      </c>
      <c r="S617" s="65">
        <f>IF(C617="","",IFERROR(VLOOKUP(M617&amp;"|"&amp;N617,'17. Mapa DRE CP'!$E$5:$H$100,3,FALSE),"Revisar"))</f>
        <v/>
      </c>
      <c r="T617" s="65">
        <f>IF(C617="","",IF(R617="(-) Custos diretos dos serviços",IF(ISNUMBER(SEARCH("PCMSO",C617)),"PCMSO",IF(OR(ISNUMBER(SEARCH("SGS",C617)),ISNUMBER(SEARCH("CASTRO NAVES",C617))),"Projetos / Laudos / Avulsos","Projetos / Laudos / Avulsos")),"Rateio pela receita bruta"))</f>
        <v/>
      </c>
      <c r="U617" s="65">
        <f>IF(C617="","",IF(R617="(-) Custos diretos dos serviços","Direto por fornecedor/natureza do gasto","Rateio proporcional à receita bruta da linha de serviço"))</f>
        <v/>
      </c>
    </row>
    <row r="618">
      <c r="A618" s="28">
        <f>IF(C618="","", "CP-"&amp;TEXT(ROW()-5,"000"))</f>
        <v/>
      </c>
      <c r="B618" s="27">
        <f>IF(F618="","",DATE(YEAR(F618),MONTH(F618),1))</f>
        <v/>
      </c>
      <c r="C618" s="28" t="n"/>
      <c r="D618" s="28" t="n"/>
      <c r="E618" s="59">
        <f>IF(C618="","",IFERROR(INDEX('6. Base de Custos'!$M$8:$M$42,MATCH(C618,'6. Base de Custos'!$L$8:$L$42,0)),"Não classificado"))</f>
        <v/>
      </c>
      <c r="F618" s="111" t="n"/>
      <c r="G618" s="111" t="n"/>
      <c r="H618" s="111" t="n"/>
      <c r="I618" s="45" t="n"/>
      <c r="J618" s="28" t="n"/>
      <c r="K618" s="28" t="n"/>
      <c r="L618" s="28" t="n"/>
      <c r="M618" s="59">
        <f>IF(C618="","",IFERROR(INDEX('6. Base de Custos'!$N$8:$N$42,MATCH(C618,'6. Base de Custos'!$L$8:$L$42,0)),"Não classificado"))</f>
        <v/>
      </c>
      <c r="N618" s="59">
        <f>IF(C618="","",IFERROR(INDEX('6. Base de Custos'!$O$8:$O$42,MATCH(C618,'6. Base de Custos'!$L$8:$L$42,0)),"Revisar"))</f>
        <v/>
      </c>
      <c r="O618" s="60">
        <f>IF(M618="","",IFERROR(VLOOKUP(M618,'6. Base de Custos'!$H$12:$J$18,3,FALSE),0))</f>
        <v/>
      </c>
      <c r="P618" s="59">
        <f>IF(C618="","",IFERROR(INDEX('6. Base de Custos'!$P$8:$P$42,MATCH(C618,'6. Base de Custos'!$L$8:$L$42,0)),"Revisar"))</f>
        <v/>
      </c>
      <c r="Q618" s="59">
        <f>IF(C618="","",IFERROR(INDEX('6. Base de Custos'!$Q$8:$Q$42,MATCH(C618,'6. Base de Custos'!$L$8:$L$42,0)),""))</f>
        <v/>
      </c>
      <c r="R618" s="65">
        <f>IF(C618="","",IFERROR(VLOOKUP(M618&amp;"|"&amp;N618,'17. Mapa DRE CP'!$E$5:$H$100,2,FALSE),"Revisar"))</f>
        <v/>
      </c>
      <c r="S618" s="65">
        <f>IF(C618="","",IFERROR(VLOOKUP(M618&amp;"|"&amp;N618,'17. Mapa DRE CP'!$E$5:$H$100,3,FALSE),"Revisar"))</f>
        <v/>
      </c>
      <c r="T618" s="65">
        <f>IF(C618="","",IF(R618="(-) Custos diretos dos serviços",IF(ISNUMBER(SEARCH("PCMSO",C618)),"PCMSO",IF(OR(ISNUMBER(SEARCH("SGS",C618)),ISNUMBER(SEARCH("CASTRO NAVES",C618))),"Projetos / Laudos / Avulsos","Projetos / Laudos / Avulsos")),"Rateio pela receita bruta"))</f>
        <v/>
      </c>
      <c r="U618" s="65">
        <f>IF(C618="","",IF(R618="(-) Custos diretos dos serviços","Direto por fornecedor/natureza do gasto","Rateio proporcional à receita bruta da linha de serviço"))</f>
        <v/>
      </c>
    </row>
    <row r="619">
      <c r="A619" s="28">
        <f>IF(C619="","", "CP-"&amp;TEXT(ROW()-5,"000"))</f>
        <v/>
      </c>
      <c r="B619" s="27">
        <f>IF(F619="","",DATE(YEAR(F619),MONTH(F619),1))</f>
        <v/>
      </c>
      <c r="C619" s="28" t="n"/>
      <c r="D619" s="28" t="n"/>
      <c r="E619" s="59">
        <f>IF(C619="","",IFERROR(INDEX('6. Base de Custos'!$M$8:$M$42,MATCH(C619,'6. Base de Custos'!$L$8:$L$42,0)),"Não classificado"))</f>
        <v/>
      </c>
      <c r="F619" s="111" t="n"/>
      <c r="G619" s="111" t="n"/>
      <c r="H619" s="111" t="n"/>
      <c r="I619" s="45" t="n"/>
      <c r="J619" s="28" t="n"/>
      <c r="K619" s="28" t="n"/>
      <c r="L619" s="28" t="n"/>
      <c r="M619" s="59">
        <f>IF(C619="","",IFERROR(INDEX('6. Base de Custos'!$N$8:$N$42,MATCH(C619,'6. Base de Custos'!$L$8:$L$42,0)),"Não classificado"))</f>
        <v/>
      </c>
      <c r="N619" s="59">
        <f>IF(C619="","",IFERROR(INDEX('6. Base de Custos'!$O$8:$O$42,MATCH(C619,'6. Base de Custos'!$L$8:$L$42,0)),"Revisar"))</f>
        <v/>
      </c>
      <c r="O619" s="60">
        <f>IF(M619="","",IFERROR(VLOOKUP(M619,'6. Base de Custos'!$H$12:$J$18,3,FALSE),0))</f>
        <v/>
      </c>
      <c r="P619" s="59">
        <f>IF(C619="","",IFERROR(INDEX('6. Base de Custos'!$P$8:$P$42,MATCH(C619,'6. Base de Custos'!$L$8:$L$42,0)),"Revisar"))</f>
        <v/>
      </c>
      <c r="Q619" s="59">
        <f>IF(C619="","",IFERROR(INDEX('6. Base de Custos'!$Q$8:$Q$42,MATCH(C619,'6. Base de Custos'!$L$8:$L$42,0)),""))</f>
        <v/>
      </c>
      <c r="R619" s="65">
        <f>IF(C619="","",IFERROR(VLOOKUP(M619&amp;"|"&amp;N619,'17. Mapa DRE CP'!$E$5:$H$100,2,FALSE),"Revisar"))</f>
        <v/>
      </c>
      <c r="S619" s="65">
        <f>IF(C619="","",IFERROR(VLOOKUP(M619&amp;"|"&amp;N619,'17. Mapa DRE CP'!$E$5:$H$100,3,FALSE),"Revisar"))</f>
        <v/>
      </c>
      <c r="T619" s="65">
        <f>IF(C619="","",IF(R619="(-) Custos diretos dos serviços",IF(ISNUMBER(SEARCH("PCMSO",C619)),"PCMSO",IF(OR(ISNUMBER(SEARCH("SGS",C619)),ISNUMBER(SEARCH("CASTRO NAVES",C619))),"Projetos / Laudos / Avulsos","Projetos / Laudos / Avulsos")),"Rateio pela receita bruta"))</f>
        <v/>
      </c>
      <c r="U619" s="65">
        <f>IF(C619="","",IF(R619="(-) Custos diretos dos serviços","Direto por fornecedor/natureza do gasto","Rateio proporcional à receita bruta da linha de serviço"))</f>
        <v/>
      </c>
    </row>
    <row r="620">
      <c r="A620" s="28">
        <f>IF(C620="","", "CP-"&amp;TEXT(ROW()-5,"000"))</f>
        <v/>
      </c>
      <c r="B620" s="27">
        <f>IF(F620="","",DATE(YEAR(F620),MONTH(F620),1))</f>
        <v/>
      </c>
      <c r="C620" s="28" t="n"/>
      <c r="D620" s="28" t="n"/>
      <c r="E620" s="59">
        <f>IF(C620="","",IFERROR(INDEX('6. Base de Custos'!$M$8:$M$42,MATCH(C620,'6. Base de Custos'!$L$8:$L$42,0)),"Não classificado"))</f>
        <v/>
      </c>
      <c r="F620" s="111" t="n"/>
      <c r="G620" s="111" t="n"/>
      <c r="H620" s="111" t="n"/>
      <c r="I620" s="45" t="n"/>
      <c r="J620" s="28" t="n"/>
      <c r="K620" s="28" t="n"/>
      <c r="L620" s="28" t="n"/>
      <c r="M620" s="59">
        <f>IF(C620="","",IFERROR(INDEX('6. Base de Custos'!$N$8:$N$42,MATCH(C620,'6. Base de Custos'!$L$8:$L$42,0)),"Não classificado"))</f>
        <v/>
      </c>
      <c r="N620" s="59">
        <f>IF(C620="","",IFERROR(INDEX('6. Base de Custos'!$O$8:$O$42,MATCH(C620,'6. Base de Custos'!$L$8:$L$42,0)),"Revisar"))</f>
        <v/>
      </c>
      <c r="O620" s="60">
        <f>IF(M620="","",IFERROR(VLOOKUP(M620,'6. Base de Custos'!$H$12:$J$18,3,FALSE),0))</f>
        <v/>
      </c>
      <c r="P620" s="59">
        <f>IF(C620="","",IFERROR(INDEX('6. Base de Custos'!$P$8:$P$42,MATCH(C620,'6. Base de Custos'!$L$8:$L$42,0)),"Revisar"))</f>
        <v/>
      </c>
      <c r="Q620" s="59">
        <f>IF(C620="","",IFERROR(INDEX('6. Base de Custos'!$Q$8:$Q$42,MATCH(C620,'6. Base de Custos'!$L$8:$L$42,0)),""))</f>
        <v/>
      </c>
      <c r="R620" s="65">
        <f>IF(C620="","",IFERROR(VLOOKUP(M620&amp;"|"&amp;N620,'17. Mapa DRE CP'!$E$5:$H$100,2,FALSE),"Revisar"))</f>
        <v/>
      </c>
      <c r="S620" s="65">
        <f>IF(C620="","",IFERROR(VLOOKUP(M620&amp;"|"&amp;N620,'17. Mapa DRE CP'!$E$5:$H$100,3,FALSE),"Revisar"))</f>
        <v/>
      </c>
      <c r="T620" s="65">
        <f>IF(C620="","",IF(R620="(-) Custos diretos dos serviços",IF(ISNUMBER(SEARCH("PCMSO",C620)),"PCMSO",IF(OR(ISNUMBER(SEARCH("SGS",C620)),ISNUMBER(SEARCH("CASTRO NAVES",C620))),"Projetos / Laudos / Avulsos","Projetos / Laudos / Avulsos")),"Rateio pela receita bruta"))</f>
        <v/>
      </c>
      <c r="U620" s="65">
        <f>IF(C620="","",IF(R620="(-) Custos diretos dos serviços","Direto por fornecedor/natureza do gasto","Rateio proporcional à receita bruta da linha de serviço"))</f>
        <v/>
      </c>
    </row>
    <row r="621">
      <c r="A621" s="28">
        <f>IF(C621="","", "CP-"&amp;TEXT(ROW()-5,"000"))</f>
        <v/>
      </c>
      <c r="B621" s="27">
        <f>IF(F621="","",DATE(YEAR(F621),MONTH(F621),1))</f>
        <v/>
      </c>
      <c r="C621" s="28" t="n"/>
      <c r="D621" s="28" t="n"/>
      <c r="E621" s="59">
        <f>IF(C621="","",IFERROR(INDEX('6. Base de Custos'!$M$8:$M$42,MATCH(C621,'6. Base de Custos'!$L$8:$L$42,0)),"Não classificado"))</f>
        <v/>
      </c>
      <c r="F621" s="111" t="n"/>
      <c r="G621" s="111" t="n"/>
      <c r="H621" s="111" t="n"/>
      <c r="I621" s="45" t="n"/>
      <c r="J621" s="28" t="n"/>
      <c r="K621" s="28" t="n"/>
      <c r="L621" s="28" t="n"/>
      <c r="M621" s="59">
        <f>IF(C621="","",IFERROR(INDEX('6. Base de Custos'!$N$8:$N$42,MATCH(C621,'6. Base de Custos'!$L$8:$L$42,0)),"Não classificado"))</f>
        <v/>
      </c>
      <c r="N621" s="59">
        <f>IF(C621="","",IFERROR(INDEX('6. Base de Custos'!$O$8:$O$42,MATCH(C621,'6. Base de Custos'!$L$8:$L$42,0)),"Revisar"))</f>
        <v/>
      </c>
      <c r="O621" s="60">
        <f>IF(M621="","",IFERROR(VLOOKUP(M621,'6. Base de Custos'!$H$12:$J$18,3,FALSE),0))</f>
        <v/>
      </c>
      <c r="P621" s="59">
        <f>IF(C621="","",IFERROR(INDEX('6. Base de Custos'!$P$8:$P$42,MATCH(C621,'6. Base de Custos'!$L$8:$L$42,0)),"Revisar"))</f>
        <v/>
      </c>
      <c r="Q621" s="59">
        <f>IF(C621="","",IFERROR(INDEX('6. Base de Custos'!$Q$8:$Q$42,MATCH(C621,'6. Base de Custos'!$L$8:$L$42,0)),""))</f>
        <v/>
      </c>
      <c r="R621" s="65">
        <f>IF(C621="","",IFERROR(VLOOKUP(M621&amp;"|"&amp;N621,'17. Mapa DRE CP'!$E$5:$H$100,2,FALSE),"Revisar"))</f>
        <v/>
      </c>
      <c r="S621" s="65">
        <f>IF(C621="","",IFERROR(VLOOKUP(M621&amp;"|"&amp;N621,'17. Mapa DRE CP'!$E$5:$H$100,3,FALSE),"Revisar"))</f>
        <v/>
      </c>
      <c r="T621" s="65">
        <f>IF(C621="","",IF(R621="(-) Custos diretos dos serviços",IF(ISNUMBER(SEARCH("PCMSO",C621)),"PCMSO",IF(OR(ISNUMBER(SEARCH("SGS",C621)),ISNUMBER(SEARCH("CASTRO NAVES",C621))),"Projetos / Laudos / Avulsos","Projetos / Laudos / Avulsos")),"Rateio pela receita bruta"))</f>
        <v/>
      </c>
      <c r="U621" s="65">
        <f>IF(C621="","",IF(R621="(-) Custos diretos dos serviços","Direto por fornecedor/natureza do gasto","Rateio proporcional à receita bruta da linha de serviço"))</f>
        <v/>
      </c>
    </row>
    <row r="622">
      <c r="A622" s="28">
        <f>IF(C622="","", "CP-"&amp;TEXT(ROW()-5,"000"))</f>
        <v/>
      </c>
      <c r="B622" s="27">
        <f>IF(F622="","",DATE(YEAR(F622),MONTH(F622),1))</f>
        <v/>
      </c>
      <c r="C622" s="28" t="n"/>
      <c r="D622" s="28" t="n"/>
      <c r="E622" s="59">
        <f>IF(C622="","",IFERROR(INDEX('6. Base de Custos'!$M$8:$M$42,MATCH(C622,'6. Base de Custos'!$L$8:$L$42,0)),"Não classificado"))</f>
        <v/>
      </c>
      <c r="F622" s="111" t="n"/>
      <c r="G622" s="111" t="n"/>
      <c r="H622" s="111" t="n"/>
      <c r="I622" s="45" t="n"/>
      <c r="J622" s="28" t="n"/>
      <c r="K622" s="28" t="n"/>
      <c r="L622" s="28" t="n"/>
      <c r="M622" s="59">
        <f>IF(C622="","",IFERROR(INDEX('6. Base de Custos'!$N$8:$N$42,MATCH(C622,'6. Base de Custos'!$L$8:$L$42,0)),"Não classificado"))</f>
        <v/>
      </c>
      <c r="N622" s="59">
        <f>IF(C622="","",IFERROR(INDEX('6. Base de Custos'!$O$8:$O$42,MATCH(C622,'6. Base de Custos'!$L$8:$L$42,0)),"Revisar"))</f>
        <v/>
      </c>
      <c r="O622" s="60">
        <f>IF(M622="","",IFERROR(VLOOKUP(M622,'6. Base de Custos'!$H$12:$J$18,3,FALSE),0))</f>
        <v/>
      </c>
      <c r="P622" s="59">
        <f>IF(C622="","",IFERROR(INDEX('6. Base de Custos'!$P$8:$P$42,MATCH(C622,'6. Base de Custos'!$L$8:$L$42,0)),"Revisar"))</f>
        <v/>
      </c>
      <c r="Q622" s="59">
        <f>IF(C622="","",IFERROR(INDEX('6. Base de Custos'!$Q$8:$Q$42,MATCH(C622,'6. Base de Custos'!$L$8:$L$42,0)),""))</f>
        <v/>
      </c>
      <c r="R622" s="65">
        <f>IF(C622="","",IFERROR(VLOOKUP(M622&amp;"|"&amp;N622,'17. Mapa DRE CP'!$E$5:$H$100,2,FALSE),"Revisar"))</f>
        <v/>
      </c>
      <c r="S622" s="65">
        <f>IF(C622="","",IFERROR(VLOOKUP(M622&amp;"|"&amp;N622,'17. Mapa DRE CP'!$E$5:$H$100,3,FALSE),"Revisar"))</f>
        <v/>
      </c>
      <c r="T622" s="65">
        <f>IF(C622="","",IF(R622="(-) Custos diretos dos serviços",IF(ISNUMBER(SEARCH("PCMSO",C622)),"PCMSO",IF(OR(ISNUMBER(SEARCH("SGS",C622)),ISNUMBER(SEARCH("CASTRO NAVES",C622))),"Projetos / Laudos / Avulsos","Projetos / Laudos / Avulsos")),"Rateio pela receita bruta"))</f>
        <v/>
      </c>
      <c r="U622" s="65">
        <f>IF(C622="","",IF(R622="(-) Custos diretos dos serviços","Direto por fornecedor/natureza do gasto","Rateio proporcional à receita bruta da linha de serviço"))</f>
        <v/>
      </c>
    </row>
    <row r="623">
      <c r="A623" s="28">
        <f>IF(C623="","", "CP-"&amp;TEXT(ROW()-5,"000"))</f>
        <v/>
      </c>
      <c r="B623" s="27">
        <f>IF(F623="","",DATE(YEAR(F623),MONTH(F623),1))</f>
        <v/>
      </c>
      <c r="C623" s="28" t="n"/>
      <c r="D623" s="28" t="n"/>
      <c r="E623" s="59">
        <f>IF(C623="","",IFERROR(INDEX('6. Base de Custos'!$M$8:$M$42,MATCH(C623,'6. Base de Custos'!$L$8:$L$42,0)),"Não classificado"))</f>
        <v/>
      </c>
      <c r="F623" s="111" t="n"/>
      <c r="G623" s="111" t="n"/>
      <c r="H623" s="111" t="n"/>
      <c r="I623" s="45" t="n"/>
      <c r="J623" s="28" t="n"/>
      <c r="K623" s="28" t="n"/>
      <c r="L623" s="28" t="n"/>
      <c r="M623" s="59">
        <f>IF(C623="","",IFERROR(INDEX('6. Base de Custos'!$N$8:$N$42,MATCH(C623,'6. Base de Custos'!$L$8:$L$42,0)),"Não classificado"))</f>
        <v/>
      </c>
      <c r="N623" s="59">
        <f>IF(C623="","",IFERROR(INDEX('6. Base de Custos'!$O$8:$O$42,MATCH(C623,'6. Base de Custos'!$L$8:$L$42,0)),"Revisar"))</f>
        <v/>
      </c>
      <c r="O623" s="60">
        <f>IF(M623="","",IFERROR(VLOOKUP(M623,'6. Base de Custos'!$H$12:$J$18,3,FALSE),0))</f>
        <v/>
      </c>
      <c r="P623" s="59">
        <f>IF(C623="","",IFERROR(INDEX('6. Base de Custos'!$P$8:$P$42,MATCH(C623,'6. Base de Custos'!$L$8:$L$42,0)),"Revisar"))</f>
        <v/>
      </c>
      <c r="Q623" s="59">
        <f>IF(C623="","",IFERROR(INDEX('6. Base de Custos'!$Q$8:$Q$42,MATCH(C623,'6. Base de Custos'!$L$8:$L$42,0)),""))</f>
        <v/>
      </c>
      <c r="R623" s="65">
        <f>IF(C623="","",IFERROR(VLOOKUP(M623&amp;"|"&amp;N623,'17. Mapa DRE CP'!$E$5:$H$100,2,FALSE),"Revisar"))</f>
        <v/>
      </c>
      <c r="S623" s="65">
        <f>IF(C623="","",IFERROR(VLOOKUP(M623&amp;"|"&amp;N623,'17. Mapa DRE CP'!$E$5:$H$100,3,FALSE),"Revisar"))</f>
        <v/>
      </c>
      <c r="T623" s="65">
        <f>IF(C623="","",IF(R623="(-) Custos diretos dos serviços",IF(ISNUMBER(SEARCH("PCMSO",C623)),"PCMSO",IF(OR(ISNUMBER(SEARCH("SGS",C623)),ISNUMBER(SEARCH("CASTRO NAVES",C623))),"Projetos / Laudos / Avulsos","Projetos / Laudos / Avulsos")),"Rateio pela receita bruta"))</f>
        <v/>
      </c>
      <c r="U623" s="65">
        <f>IF(C623="","",IF(R623="(-) Custos diretos dos serviços","Direto por fornecedor/natureza do gasto","Rateio proporcional à receita bruta da linha de serviço"))</f>
        <v/>
      </c>
    </row>
    <row r="624">
      <c r="A624" s="28">
        <f>IF(C624="","", "CP-"&amp;TEXT(ROW()-5,"000"))</f>
        <v/>
      </c>
      <c r="B624" s="27">
        <f>IF(F624="","",DATE(YEAR(F624),MONTH(F624),1))</f>
        <v/>
      </c>
      <c r="C624" s="28" t="n"/>
      <c r="D624" s="28" t="n"/>
      <c r="E624" s="59">
        <f>IF(C624="","",IFERROR(INDEX('6. Base de Custos'!$M$8:$M$42,MATCH(C624,'6. Base de Custos'!$L$8:$L$42,0)),"Não classificado"))</f>
        <v/>
      </c>
      <c r="F624" s="111" t="n"/>
      <c r="G624" s="111" t="n"/>
      <c r="H624" s="111" t="n"/>
      <c r="I624" s="45" t="n"/>
      <c r="J624" s="28" t="n"/>
      <c r="K624" s="28" t="n"/>
      <c r="L624" s="28" t="n"/>
      <c r="M624" s="59">
        <f>IF(C624="","",IFERROR(INDEX('6. Base de Custos'!$N$8:$N$42,MATCH(C624,'6. Base de Custos'!$L$8:$L$42,0)),"Não classificado"))</f>
        <v/>
      </c>
      <c r="N624" s="59">
        <f>IF(C624="","",IFERROR(INDEX('6. Base de Custos'!$O$8:$O$42,MATCH(C624,'6. Base de Custos'!$L$8:$L$42,0)),"Revisar"))</f>
        <v/>
      </c>
      <c r="O624" s="60">
        <f>IF(M624="","",IFERROR(VLOOKUP(M624,'6. Base de Custos'!$H$12:$J$18,3,FALSE),0))</f>
        <v/>
      </c>
      <c r="P624" s="59">
        <f>IF(C624="","",IFERROR(INDEX('6. Base de Custos'!$P$8:$P$42,MATCH(C624,'6. Base de Custos'!$L$8:$L$42,0)),"Revisar"))</f>
        <v/>
      </c>
      <c r="Q624" s="59">
        <f>IF(C624="","",IFERROR(INDEX('6. Base de Custos'!$Q$8:$Q$42,MATCH(C624,'6. Base de Custos'!$L$8:$L$42,0)),""))</f>
        <v/>
      </c>
      <c r="R624" s="65">
        <f>IF(C624="","",IFERROR(VLOOKUP(M624&amp;"|"&amp;N624,'17. Mapa DRE CP'!$E$5:$H$100,2,FALSE),"Revisar"))</f>
        <v/>
      </c>
      <c r="S624" s="65">
        <f>IF(C624="","",IFERROR(VLOOKUP(M624&amp;"|"&amp;N624,'17. Mapa DRE CP'!$E$5:$H$100,3,FALSE),"Revisar"))</f>
        <v/>
      </c>
      <c r="T624" s="65">
        <f>IF(C624="","",IF(R624="(-) Custos diretos dos serviços",IF(ISNUMBER(SEARCH("PCMSO",C624)),"PCMSO",IF(OR(ISNUMBER(SEARCH("SGS",C624)),ISNUMBER(SEARCH("CASTRO NAVES",C624))),"Projetos / Laudos / Avulsos","Projetos / Laudos / Avulsos")),"Rateio pela receita bruta"))</f>
        <v/>
      </c>
      <c r="U624" s="65">
        <f>IF(C624="","",IF(R624="(-) Custos diretos dos serviços","Direto por fornecedor/natureza do gasto","Rateio proporcional à receita bruta da linha de serviço"))</f>
        <v/>
      </c>
    </row>
    <row r="625">
      <c r="A625" s="28">
        <f>IF(C625="","", "CP-"&amp;TEXT(ROW()-5,"000"))</f>
        <v/>
      </c>
      <c r="B625" s="27">
        <f>IF(F625="","",DATE(YEAR(F625),MONTH(F625),1))</f>
        <v/>
      </c>
      <c r="C625" s="28" t="n"/>
      <c r="D625" s="28" t="n"/>
      <c r="E625" s="59">
        <f>IF(C625="","",IFERROR(INDEX('6. Base de Custos'!$M$8:$M$42,MATCH(C625,'6. Base de Custos'!$L$8:$L$42,0)),"Não classificado"))</f>
        <v/>
      </c>
      <c r="F625" s="111" t="n"/>
      <c r="G625" s="111" t="n"/>
      <c r="H625" s="111" t="n"/>
      <c r="I625" s="45" t="n"/>
      <c r="J625" s="28" t="n"/>
      <c r="K625" s="28" t="n"/>
      <c r="L625" s="28" t="n"/>
      <c r="M625" s="59">
        <f>IF(C625="","",IFERROR(INDEX('6. Base de Custos'!$N$8:$N$42,MATCH(C625,'6. Base de Custos'!$L$8:$L$42,0)),"Não classificado"))</f>
        <v/>
      </c>
      <c r="N625" s="59">
        <f>IF(C625="","",IFERROR(INDEX('6. Base de Custos'!$O$8:$O$42,MATCH(C625,'6. Base de Custos'!$L$8:$L$42,0)),"Revisar"))</f>
        <v/>
      </c>
      <c r="O625" s="60">
        <f>IF(M625="","",IFERROR(VLOOKUP(M625,'6. Base de Custos'!$H$12:$J$18,3,FALSE),0))</f>
        <v/>
      </c>
      <c r="P625" s="59">
        <f>IF(C625="","",IFERROR(INDEX('6. Base de Custos'!$P$8:$P$42,MATCH(C625,'6. Base de Custos'!$L$8:$L$42,0)),"Revisar"))</f>
        <v/>
      </c>
      <c r="Q625" s="59">
        <f>IF(C625="","",IFERROR(INDEX('6. Base de Custos'!$Q$8:$Q$42,MATCH(C625,'6. Base de Custos'!$L$8:$L$42,0)),""))</f>
        <v/>
      </c>
      <c r="R625" s="65">
        <f>IF(C625="","",IFERROR(VLOOKUP(M625&amp;"|"&amp;N625,'17. Mapa DRE CP'!$E$5:$H$100,2,FALSE),"Revisar"))</f>
        <v/>
      </c>
      <c r="S625" s="65">
        <f>IF(C625="","",IFERROR(VLOOKUP(M625&amp;"|"&amp;N625,'17. Mapa DRE CP'!$E$5:$H$100,3,FALSE),"Revisar"))</f>
        <v/>
      </c>
      <c r="T625" s="65">
        <f>IF(C625="","",IF(R625="(-) Custos diretos dos serviços",IF(ISNUMBER(SEARCH("PCMSO",C625)),"PCMSO",IF(OR(ISNUMBER(SEARCH("SGS",C625)),ISNUMBER(SEARCH("CASTRO NAVES",C625))),"Projetos / Laudos / Avulsos","Projetos / Laudos / Avulsos")),"Rateio pela receita bruta"))</f>
        <v/>
      </c>
      <c r="U625" s="65">
        <f>IF(C625="","",IF(R625="(-) Custos diretos dos serviços","Direto por fornecedor/natureza do gasto","Rateio proporcional à receita bruta da linha de serviço"))</f>
        <v/>
      </c>
    </row>
    <row r="626">
      <c r="A626" s="28">
        <f>IF(C626="","", "CP-"&amp;TEXT(ROW()-5,"000"))</f>
        <v/>
      </c>
      <c r="B626" s="27">
        <f>IF(F626="","",DATE(YEAR(F626),MONTH(F626),1))</f>
        <v/>
      </c>
      <c r="C626" s="28" t="n"/>
      <c r="D626" s="28" t="n"/>
      <c r="E626" s="59">
        <f>IF(C626="","",IFERROR(INDEX('6. Base de Custos'!$M$8:$M$42,MATCH(C626,'6. Base de Custos'!$L$8:$L$42,0)),"Não classificado"))</f>
        <v/>
      </c>
      <c r="F626" s="111" t="n"/>
      <c r="G626" s="111" t="n"/>
      <c r="H626" s="111" t="n"/>
      <c r="I626" s="45" t="n"/>
      <c r="J626" s="28" t="n"/>
      <c r="K626" s="28" t="n"/>
      <c r="L626" s="28" t="n"/>
      <c r="M626" s="59">
        <f>IF(C626="","",IFERROR(INDEX('6. Base de Custos'!$N$8:$N$42,MATCH(C626,'6. Base de Custos'!$L$8:$L$42,0)),"Não classificado"))</f>
        <v/>
      </c>
      <c r="N626" s="59">
        <f>IF(C626="","",IFERROR(INDEX('6. Base de Custos'!$O$8:$O$42,MATCH(C626,'6. Base de Custos'!$L$8:$L$42,0)),"Revisar"))</f>
        <v/>
      </c>
      <c r="O626" s="60">
        <f>IF(M626="","",IFERROR(VLOOKUP(M626,'6. Base de Custos'!$H$12:$J$18,3,FALSE),0))</f>
        <v/>
      </c>
      <c r="P626" s="59">
        <f>IF(C626="","",IFERROR(INDEX('6. Base de Custos'!$P$8:$P$42,MATCH(C626,'6. Base de Custos'!$L$8:$L$42,0)),"Revisar"))</f>
        <v/>
      </c>
      <c r="Q626" s="59">
        <f>IF(C626="","",IFERROR(INDEX('6. Base de Custos'!$Q$8:$Q$42,MATCH(C626,'6. Base de Custos'!$L$8:$L$42,0)),""))</f>
        <v/>
      </c>
      <c r="R626" s="65">
        <f>IF(C626="","",IFERROR(VLOOKUP(M626&amp;"|"&amp;N626,'17. Mapa DRE CP'!$E$5:$H$100,2,FALSE),"Revisar"))</f>
        <v/>
      </c>
      <c r="S626" s="65">
        <f>IF(C626="","",IFERROR(VLOOKUP(M626&amp;"|"&amp;N626,'17. Mapa DRE CP'!$E$5:$H$100,3,FALSE),"Revisar"))</f>
        <v/>
      </c>
      <c r="T626" s="65">
        <f>IF(C626="","",IF(R626="(-) Custos diretos dos serviços",IF(ISNUMBER(SEARCH("PCMSO",C626)),"PCMSO",IF(OR(ISNUMBER(SEARCH("SGS",C626)),ISNUMBER(SEARCH("CASTRO NAVES",C626))),"Projetos / Laudos / Avulsos","Projetos / Laudos / Avulsos")),"Rateio pela receita bruta"))</f>
        <v/>
      </c>
      <c r="U626" s="65">
        <f>IF(C626="","",IF(R626="(-) Custos diretos dos serviços","Direto por fornecedor/natureza do gasto","Rateio proporcional à receita bruta da linha de serviço"))</f>
        <v/>
      </c>
    </row>
    <row r="627">
      <c r="A627" s="28">
        <f>IF(C627="","", "CP-"&amp;TEXT(ROW()-5,"000"))</f>
        <v/>
      </c>
      <c r="B627" s="27">
        <f>IF(F627="","",DATE(YEAR(F627),MONTH(F627),1))</f>
        <v/>
      </c>
      <c r="C627" s="28" t="n"/>
      <c r="D627" s="28" t="n"/>
      <c r="E627" s="59">
        <f>IF(C627="","",IFERROR(INDEX('6. Base de Custos'!$M$8:$M$42,MATCH(C627,'6. Base de Custos'!$L$8:$L$42,0)),"Não classificado"))</f>
        <v/>
      </c>
      <c r="F627" s="111" t="n"/>
      <c r="G627" s="111" t="n"/>
      <c r="H627" s="111" t="n"/>
      <c r="I627" s="45" t="n"/>
      <c r="J627" s="28" t="n"/>
      <c r="K627" s="28" t="n"/>
      <c r="L627" s="28" t="n"/>
      <c r="M627" s="59">
        <f>IF(C627="","",IFERROR(INDEX('6. Base de Custos'!$N$8:$N$42,MATCH(C627,'6. Base de Custos'!$L$8:$L$42,0)),"Não classificado"))</f>
        <v/>
      </c>
      <c r="N627" s="59">
        <f>IF(C627="","",IFERROR(INDEX('6. Base de Custos'!$O$8:$O$42,MATCH(C627,'6. Base de Custos'!$L$8:$L$42,0)),"Revisar"))</f>
        <v/>
      </c>
      <c r="O627" s="60">
        <f>IF(M627="","",IFERROR(VLOOKUP(M627,'6. Base de Custos'!$H$12:$J$18,3,FALSE),0))</f>
        <v/>
      </c>
      <c r="P627" s="59">
        <f>IF(C627="","",IFERROR(INDEX('6. Base de Custos'!$P$8:$P$42,MATCH(C627,'6. Base de Custos'!$L$8:$L$42,0)),"Revisar"))</f>
        <v/>
      </c>
      <c r="Q627" s="59">
        <f>IF(C627="","",IFERROR(INDEX('6. Base de Custos'!$Q$8:$Q$42,MATCH(C627,'6. Base de Custos'!$L$8:$L$42,0)),""))</f>
        <v/>
      </c>
      <c r="R627" s="65">
        <f>IF(C627="","",IFERROR(VLOOKUP(M627&amp;"|"&amp;N627,'17. Mapa DRE CP'!$E$5:$H$100,2,FALSE),"Revisar"))</f>
        <v/>
      </c>
      <c r="S627" s="65">
        <f>IF(C627="","",IFERROR(VLOOKUP(M627&amp;"|"&amp;N627,'17. Mapa DRE CP'!$E$5:$H$100,3,FALSE),"Revisar"))</f>
        <v/>
      </c>
      <c r="T627" s="65">
        <f>IF(C627="","",IF(R627="(-) Custos diretos dos serviços",IF(ISNUMBER(SEARCH("PCMSO",C627)),"PCMSO",IF(OR(ISNUMBER(SEARCH("SGS",C627)),ISNUMBER(SEARCH("CASTRO NAVES",C627))),"Projetos / Laudos / Avulsos","Projetos / Laudos / Avulsos")),"Rateio pela receita bruta"))</f>
        <v/>
      </c>
      <c r="U627" s="65">
        <f>IF(C627="","",IF(R627="(-) Custos diretos dos serviços","Direto por fornecedor/natureza do gasto","Rateio proporcional à receita bruta da linha de serviço"))</f>
        <v/>
      </c>
    </row>
    <row r="628">
      <c r="A628" s="28">
        <f>IF(C628="","", "CP-"&amp;TEXT(ROW()-5,"000"))</f>
        <v/>
      </c>
      <c r="B628" s="27">
        <f>IF(F628="","",DATE(YEAR(F628),MONTH(F628),1))</f>
        <v/>
      </c>
      <c r="C628" s="28" t="n"/>
      <c r="D628" s="28" t="n"/>
      <c r="E628" s="59">
        <f>IF(C628="","",IFERROR(INDEX('6. Base de Custos'!$M$8:$M$42,MATCH(C628,'6. Base de Custos'!$L$8:$L$42,0)),"Não classificado"))</f>
        <v/>
      </c>
      <c r="F628" s="111" t="n"/>
      <c r="G628" s="111" t="n"/>
      <c r="H628" s="111" t="n"/>
      <c r="I628" s="45" t="n"/>
      <c r="J628" s="28" t="n"/>
      <c r="K628" s="28" t="n"/>
      <c r="L628" s="28" t="n"/>
      <c r="M628" s="59">
        <f>IF(C628="","",IFERROR(INDEX('6. Base de Custos'!$N$8:$N$42,MATCH(C628,'6. Base de Custos'!$L$8:$L$42,0)),"Não classificado"))</f>
        <v/>
      </c>
      <c r="N628" s="59">
        <f>IF(C628="","",IFERROR(INDEX('6. Base de Custos'!$O$8:$O$42,MATCH(C628,'6. Base de Custos'!$L$8:$L$42,0)),"Revisar"))</f>
        <v/>
      </c>
      <c r="O628" s="60">
        <f>IF(M628="","",IFERROR(VLOOKUP(M628,'6. Base de Custos'!$H$12:$J$18,3,FALSE),0))</f>
        <v/>
      </c>
      <c r="P628" s="59">
        <f>IF(C628="","",IFERROR(INDEX('6. Base de Custos'!$P$8:$P$42,MATCH(C628,'6. Base de Custos'!$L$8:$L$42,0)),"Revisar"))</f>
        <v/>
      </c>
      <c r="Q628" s="59">
        <f>IF(C628="","",IFERROR(INDEX('6. Base de Custos'!$Q$8:$Q$42,MATCH(C628,'6. Base de Custos'!$L$8:$L$42,0)),""))</f>
        <v/>
      </c>
      <c r="R628" s="65">
        <f>IF(C628="","",IFERROR(VLOOKUP(M628&amp;"|"&amp;N628,'17. Mapa DRE CP'!$E$5:$H$100,2,FALSE),"Revisar"))</f>
        <v/>
      </c>
      <c r="S628" s="65">
        <f>IF(C628="","",IFERROR(VLOOKUP(M628&amp;"|"&amp;N628,'17. Mapa DRE CP'!$E$5:$H$100,3,FALSE),"Revisar"))</f>
        <v/>
      </c>
      <c r="T628" s="65">
        <f>IF(C628="","",IF(R628="(-) Custos diretos dos serviços",IF(ISNUMBER(SEARCH("PCMSO",C628)),"PCMSO",IF(OR(ISNUMBER(SEARCH("SGS",C628)),ISNUMBER(SEARCH("CASTRO NAVES",C628))),"Projetos / Laudos / Avulsos","Projetos / Laudos / Avulsos")),"Rateio pela receita bruta"))</f>
        <v/>
      </c>
      <c r="U628" s="65">
        <f>IF(C628="","",IF(R628="(-) Custos diretos dos serviços","Direto por fornecedor/natureza do gasto","Rateio proporcional à receita bruta da linha de serviço"))</f>
        <v/>
      </c>
    </row>
    <row r="629">
      <c r="A629" s="28">
        <f>IF(C629="","", "CP-"&amp;TEXT(ROW()-5,"000"))</f>
        <v/>
      </c>
      <c r="B629" s="27">
        <f>IF(F629="","",DATE(YEAR(F629),MONTH(F629),1))</f>
        <v/>
      </c>
      <c r="C629" s="28" t="n"/>
      <c r="D629" s="28" t="n"/>
      <c r="E629" s="59">
        <f>IF(C629="","",IFERROR(INDEX('6. Base de Custos'!$M$8:$M$42,MATCH(C629,'6. Base de Custos'!$L$8:$L$42,0)),"Não classificado"))</f>
        <v/>
      </c>
      <c r="F629" s="111" t="n"/>
      <c r="G629" s="111" t="n"/>
      <c r="H629" s="111" t="n"/>
      <c r="I629" s="45" t="n"/>
      <c r="J629" s="28" t="n"/>
      <c r="K629" s="28" t="n"/>
      <c r="L629" s="28" t="n"/>
      <c r="M629" s="59">
        <f>IF(C629="","",IFERROR(INDEX('6. Base de Custos'!$N$8:$N$42,MATCH(C629,'6. Base de Custos'!$L$8:$L$42,0)),"Não classificado"))</f>
        <v/>
      </c>
      <c r="N629" s="59">
        <f>IF(C629="","",IFERROR(INDEX('6. Base de Custos'!$O$8:$O$42,MATCH(C629,'6. Base de Custos'!$L$8:$L$42,0)),"Revisar"))</f>
        <v/>
      </c>
      <c r="O629" s="60">
        <f>IF(M629="","",IFERROR(VLOOKUP(M629,'6. Base de Custos'!$H$12:$J$18,3,FALSE),0))</f>
        <v/>
      </c>
      <c r="P629" s="59">
        <f>IF(C629="","",IFERROR(INDEX('6. Base de Custos'!$P$8:$P$42,MATCH(C629,'6. Base de Custos'!$L$8:$L$42,0)),"Revisar"))</f>
        <v/>
      </c>
      <c r="Q629" s="59">
        <f>IF(C629="","",IFERROR(INDEX('6. Base de Custos'!$Q$8:$Q$42,MATCH(C629,'6. Base de Custos'!$L$8:$L$42,0)),""))</f>
        <v/>
      </c>
      <c r="R629" s="65">
        <f>IF(C629="","",IFERROR(VLOOKUP(M629&amp;"|"&amp;N629,'17. Mapa DRE CP'!$E$5:$H$100,2,FALSE),"Revisar"))</f>
        <v/>
      </c>
      <c r="S629" s="65">
        <f>IF(C629="","",IFERROR(VLOOKUP(M629&amp;"|"&amp;N629,'17. Mapa DRE CP'!$E$5:$H$100,3,FALSE),"Revisar"))</f>
        <v/>
      </c>
      <c r="T629" s="65">
        <f>IF(C629="","",IF(R629="(-) Custos diretos dos serviços",IF(ISNUMBER(SEARCH("PCMSO",C629)),"PCMSO",IF(OR(ISNUMBER(SEARCH("SGS",C629)),ISNUMBER(SEARCH("CASTRO NAVES",C629))),"Projetos / Laudos / Avulsos","Projetos / Laudos / Avulsos")),"Rateio pela receita bruta"))</f>
        <v/>
      </c>
      <c r="U629" s="65">
        <f>IF(C629="","",IF(R629="(-) Custos diretos dos serviços","Direto por fornecedor/natureza do gasto","Rateio proporcional à receita bruta da linha de serviço"))</f>
        <v/>
      </c>
    </row>
    <row r="630">
      <c r="A630" s="28">
        <f>IF(C630="","", "CP-"&amp;TEXT(ROW()-5,"000"))</f>
        <v/>
      </c>
      <c r="B630" s="27">
        <f>IF(F630="","",DATE(YEAR(F630),MONTH(F630),1))</f>
        <v/>
      </c>
      <c r="C630" s="28" t="n"/>
      <c r="D630" s="28" t="n"/>
      <c r="E630" s="59">
        <f>IF(C630="","",IFERROR(INDEX('6. Base de Custos'!$M$8:$M$42,MATCH(C630,'6. Base de Custos'!$L$8:$L$42,0)),"Não classificado"))</f>
        <v/>
      </c>
      <c r="F630" s="111" t="n"/>
      <c r="G630" s="111" t="n"/>
      <c r="H630" s="111" t="n"/>
      <c r="I630" s="45" t="n"/>
      <c r="J630" s="28" t="n"/>
      <c r="K630" s="28" t="n"/>
      <c r="L630" s="28" t="n"/>
      <c r="M630" s="59">
        <f>IF(C630="","",IFERROR(INDEX('6. Base de Custos'!$N$8:$N$42,MATCH(C630,'6. Base de Custos'!$L$8:$L$42,0)),"Não classificado"))</f>
        <v/>
      </c>
      <c r="N630" s="59">
        <f>IF(C630="","",IFERROR(INDEX('6. Base de Custos'!$O$8:$O$42,MATCH(C630,'6. Base de Custos'!$L$8:$L$42,0)),"Revisar"))</f>
        <v/>
      </c>
      <c r="O630" s="60">
        <f>IF(M630="","",IFERROR(VLOOKUP(M630,'6. Base de Custos'!$H$12:$J$18,3,FALSE),0))</f>
        <v/>
      </c>
      <c r="P630" s="59">
        <f>IF(C630="","",IFERROR(INDEX('6. Base de Custos'!$P$8:$P$42,MATCH(C630,'6. Base de Custos'!$L$8:$L$42,0)),"Revisar"))</f>
        <v/>
      </c>
      <c r="Q630" s="59">
        <f>IF(C630="","",IFERROR(INDEX('6. Base de Custos'!$Q$8:$Q$42,MATCH(C630,'6. Base de Custos'!$L$8:$L$42,0)),""))</f>
        <v/>
      </c>
      <c r="R630" s="65">
        <f>IF(C630="","",IFERROR(VLOOKUP(M630&amp;"|"&amp;N630,'17. Mapa DRE CP'!$E$5:$H$100,2,FALSE),"Revisar"))</f>
        <v/>
      </c>
      <c r="S630" s="65">
        <f>IF(C630="","",IFERROR(VLOOKUP(M630&amp;"|"&amp;N630,'17. Mapa DRE CP'!$E$5:$H$100,3,FALSE),"Revisar"))</f>
        <v/>
      </c>
      <c r="T630" s="65">
        <f>IF(C630="","",IF(R630="(-) Custos diretos dos serviços",IF(ISNUMBER(SEARCH("PCMSO",C630)),"PCMSO",IF(OR(ISNUMBER(SEARCH("SGS",C630)),ISNUMBER(SEARCH("CASTRO NAVES",C630))),"Projetos / Laudos / Avulsos","Projetos / Laudos / Avulsos")),"Rateio pela receita bruta"))</f>
        <v/>
      </c>
      <c r="U630" s="65">
        <f>IF(C630="","",IF(R630="(-) Custos diretos dos serviços","Direto por fornecedor/natureza do gasto","Rateio proporcional à receita bruta da linha de serviço"))</f>
        <v/>
      </c>
    </row>
    <row r="631">
      <c r="A631" s="28">
        <f>IF(C631="","", "CP-"&amp;TEXT(ROW()-5,"000"))</f>
        <v/>
      </c>
      <c r="B631" s="27">
        <f>IF(F631="","",DATE(YEAR(F631),MONTH(F631),1))</f>
        <v/>
      </c>
      <c r="C631" s="28" t="n"/>
      <c r="D631" s="28" t="n"/>
      <c r="E631" s="59">
        <f>IF(C631="","",IFERROR(INDEX('6. Base de Custos'!$M$8:$M$42,MATCH(C631,'6. Base de Custos'!$L$8:$L$42,0)),"Não classificado"))</f>
        <v/>
      </c>
      <c r="F631" s="111" t="n"/>
      <c r="G631" s="111" t="n"/>
      <c r="H631" s="111" t="n"/>
      <c r="I631" s="45" t="n"/>
      <c r="J631" s="28" t="n"/>
      <c r="K631" s="28" t="n"/>
      <c r="L631" s="28" t="n"/>
      <c r="M631" s="59">
        <f>IF(C631="","",IFERROR(INDEX('6. Base de Custos'!$N$8:$N$42,MATCH(C631,'6. Base de Custos'!$L$8:$L$42,0)),"Não classificado"))</f>
        <v/>
      </c>
      <c r="N631" s="59">
        <f>IF(C631="","",IFERROR(INDEX('6. Base de Custos'!$O$8:$O$42,MATCH(C631,'6. Base de Custos'!$L$8:$L$42,0)),"Revisar"))</f>
        <v/>
      </c>
      <c r="O631" s="60">
        <f>IF(M631="","",IFERROR(VLOOKUP(M631,'6. Base de Custos'!$H$12:$J$18,3,FALSE),0))</f>
        <v/>
      </c>
      <c r="P631" s="59">
        <f>IF(C631="","",IFERROR(INDEX('6. Base de Custos'!$P$8:$P$42,MATCH(C631,'6. Base de Custos'!$L$8:$L$42,0)),"Revisar"))</f>
        <v/>
      </c>
      <c r="Q631" s="59">
        <f>IF(C631="","",IFERROR(INDEX('6. Base de Custos'!$Q$8:$Q$42,MATCH(C631,'6. Base de Custos'!$L$8:$L$42,0)),""))</f>
        <v/>
      </c>
      <c r="R631" s="65">
        <f>IF(C631="","",IFERROR(VLOOKUP(M631&amp;"|"&amp;N631,'17. Mapa DRE CP'!$E$5:$H$100,2,FALSE),"Revisar"))</f>
        <v/>
      </c>
      <c r="S631" s="65">
        <f>IF(C631="","",IFERROR(VLOOKUP(M631&amp;"|"&amp;N631,'17. Mapa DRE CP'!$E$5:$H$100,3,FALSE),"Revisar"))</f>
        <v/>
      </c>
      <c r="T631" s="65">
        <f>IF(C631="","",IF(R631="(-) Custos diretos dos serviços",IF(ISNUMBER(SEARCH("PCMSO",C631)),"PCMSO",IF(OR(ISNUMBER(SEARCH("SGS",C631)),ISNUMBER(SEARCH("CASTRO NAVES",C631))),"Projetos / Laudos / Avulsos","Projetos / Laudos / Avulsos")),"Rateio pela receita bruta"))</f>
        <v/>
      </c>
      <c r="U631" s="65">
        <f>IF(C631="","",IF(R631="(-) Custos diretos dos serviços","Direto por fornecedor/natureza do gasto","Rateio proporcional à receita bruta da linha de serviço"))</f>
        <v/>
      </c>
    </row>
    <row r="632">
      <c r="A632" s="28">
        <f>IF(C632="","", "CP-"&amp;TEXT(ROW()-5,"000"))</f>
        <v/>
      </c>
      <c r="B632" s="27">
        <f>IF(F632="","",DATE(YEAR(F632),MONTH(F632),1))</f>
        <v/>
      </c>
      <c r="C632" s="28" t="n"/>
      <c r="D632" s="28" t="n"/>
      <c r="E632" s="59">
        <f>IF(C632="","",IFERROR(INDEX('6. Base de Custos'!$M$8:$M$42,MATCH(C632,'6. Base de Custos'!$L$8:$L$42,0)),"Não classificado"))</f>
        <v/>
      </c>
      <c r="F632" s="111" t="n"/>
      <c r="G632" s="111" t="n"/>
      <c r="H632" s="111" t="n"/>
      <c r="I632" s="45" t="n"/>
      <c r="J632" s="28" t="n"/>
      <c r="K632" s="28" t="n"/>
      <c r="L632" s="28" t="n"/>
      <c r="M632" s="59">
        <f>IF(C632="","",IFERROR(INDEX('6. Base de Custos'!$N$8:$N$42,MATCH(C632,'6. Base de Custos'!$L$8:$L$42,0)),"Não classificado"))</f>
        <v/>
      </c>
      <c r="N632" s="59">
        <f>IF(C632="","",IFERROR(INDEX('6. Base de Custos'!$O$8:$O$42,MATCH(C632,'6. Base de Custos'!$L$8:$L$42,0)),"Revisar"))</f>
        <v/>
      </c>
      <c r="O632" s="60">
        <f>IF(M632="","",IFERROR(VLOOKUP(M632,'6. Base de Custos'!$H$12:$J$18,3,FALSE),0))</f>
        <v/>
      </c>
      <c r="P632" s="59">
        <f>IF(C632="","",IFERROR(INDEX('6. Base de Custos'!$P$8:$P$42,MATCH(C632,'6. Base de Custos'!$L$8:$L$42,0)),"Revisar"))</f>
        <v/>
      </c>
      <c r="Q632" s="59">
        <f>IF(C632="","",IFERROR(INDEX('6. Base de Custos'!$Q$8:$Q$42,MATCH(C632,'6. Base de Custos'!$L$8:$L$42,0)),""))</f>
        <v/>
      </c>
      <c r="R632" s="65">
        <f>IF(C632="","",IFERROR(VLOOKUP(M632&amp;"|"&amp;N632,'17. Mapa DRE CP'!$E$5:$H$100,2,FALSE),"Revisar"))</f>
        <v/>
      </c>
      <c r="S632" s="65">
        <f>IF(C632="","",IFERROR(VLOOKUP(M632&amp;"|"&amp;N632,'17. Mapa DRE CP'!$E$5:$H$100,3,FALSE),"Revisar"))</f>
        <v/>
      </c>
      <c r="T632" s="65">
        <f>IF(C632="","",IF(R632="(-) Custos diretos dos serviços",IF(ISNUMBER(SEARCH("PCMSO",C632)),"PCMSO",IF(OR(ISNUMBER(SEARCH("SGS",C632)),ISNUMBER(SEARCH("CASTRO NAVES",C632))),"Projetos / Laudos / Avulsos","Projetos / Laudos / Avulsos")),"Rateio pela receita bruta"))</f>
        <v/>
      </c>
      <c r="U632" s="65">
        <f>IF(C632="","",IF(R632="(-) Custos diretos dos serviços","Direto por fornecedor/natureza do gasto","Rateio proporcional à receita bruta da linha de serviço"))</f>
        <v/>
      </c>
    </row>
    <row r="633">
      <c r="A633" s="28">
        <f>IF(C633="","", "CP-"&amp;TEXT(ROW()-5,"000"))</f>
        <v/>
      </c>
      <c r="B633" s="27">
        <f>IF(F633="","",DATE(YEAR(F633),MONTH(F633),1))</f>
        <v/>
      </c>
      <c r="C633" s="28" t="n"/>
      <c r="D633" s="28" t="n"/>
      <c r="E633" s="59">
        <f>IF(C633="","",IFERROR(INDEX('6. Base de Custos'!$M$8:$M$42,MATCH(C633,'6. Base de Custos'!$L$8:$L$42,0)),"Não classificado"))</f>
        <v/>
      </c>
      <c r="F633" s="111" t="n"/>
      <c r="G633" s="111" t="n"/>
      <c r="H633" s="111" t="n"/>
      <c r="I633" s="45" t="n"/>
      <c r="J633" s="28" t="n"/>
      <c r="K633" s="28" t="n"/>
      <c r="L633" s="28" t="n"/>
      <c r="M633" s="59">
        <f>IF(C633="","",IFERROR(INDEX('6. Base de Custos'!$N$8:$N$42,MATCH(C633,'6. Base de Custos'!$L$8:$L$42,0)),"Não classificado"))</f>
        <v/>
      </c>
      <c r="N633" s="59">
        <f>IF(C633="","",IFERROR(INDEX('6. Base de Custos'!$O$8:$O$42,MATCH(C633,'6. Base de Custos'!$L$8:$L$42,0)),"Revisar"))</f>
        <v/>
      </c>
      <c r="O633" s="60">
        <f>IF(M633="","",IFERROR(VLOOKUP(M633,'6. Base de Custos'!$H$12:$J$18,3,FALSE),0))</f>
        <v/>
      </c>
      <c r="P633" s="59">
        <f>IF(C633="","",IFERROR(INDEX('6. Base de Custos'!$P$8:$P$42,MATCH(C633,'6. Base de Custos'!$L$8:$L$42,0)),"Revisar"))</f>
        <v/>
      </c>
      <c r="Q633" s="59">
        <f>IF(C633="","",IFERROR(INDEX('6. Base de Custos'!$Q$8:$Q$42,MATCH(C633,'6. Base de Custos'!$L$8:$L$42,0)),""))</f>
        <v/>
      </c>
      <c r="R633" s="65">
        <f>IF(C633="","",IFERROR(VLOOKUP(M633&amp;"|"&amp;N633,'17. Mapa DRE CP'!$E$5:$H$100,2,FALSE),"Revisar"))</f>
        <v/>
      </c>
      <c r="S633" s="65">
        <f>IF(C633="","",IFERROR(VLOOKUP(M633&amp;"|"&amp;N633,'17. Mapa DRE CP'!$E$5:$H$100,3,FALSE),"Revisar"))</f>
        <v/>
      </c>
      <c r="T633" s="65">
        <f>IF(C633="","",IF(R633="(-) Custos diretos dos serviços",IF(ISNUMBER(SEARCH("PCMSO",C633)),"PCMSO",IF(OR(ISNUMBER(SEARCH("SGS",C633)),ISNUMBER(SEARCH("CASTRO NAVES",C633))),"Projetos / Laudos / Avulsos","Projetos / Laudos / Avulsos")),"Rateio pela receita bruta"))</f>
        <v/>
      </c>
      <c r="U633" s="65">
        <f>IF(C633="","",IF(R633="(-) Custos diretos dos serviços","Direto por fornecedor/natureza do gasto","Rateio proporcional à receita bruta da linha de serviço"))</f>
        <v/>
      </c>
    </row>
    <row r="634">
      <c r="A634" s="28">
        <f>IF(C634="","", "CP-"&amp;TEXT(ROW()-5,"000"))</f>
        <v/>
      </c>
      <c r="B634" s="27">
        <f>IF(F634="","",DATE(YEAR(F634),MONTH(F634),1))</f>
        <v/>
      </c>
      <c r="C634" s="28" t="n"/>
      <c r="D634" s="28" t="n"/>
      <c r="E634" s="59">
        <f>IF(C634="","",IFERROR(INDEX('6. Base de Custos'!$M$8:$M$42,MATCH(C634,'6. Base de Custos'!$L$8:$L$42,0)),"Não classificado"))</f>
        <v/>
      </c>
      <c r="F634" s="111" t="n"/>
      <c r="G634" s="111" t="n"/>
      <c r="H634" s="111" t="n"/>
      <c r="I634" s="45" t="n"/>
      <c r="J634" s="28" t="n"/>
      <c r="K634" s="28" t="n"/>
      <c r="L634" s="28" t="n"/>
      <c r="M634" s="59">
        <f>IF(C634="","",IFERROR(INDEX('6. Base de Custos'!$N$8:$N$42,MATCH(C634,'6. Base de Custos'!$L$8:$L$42,0)),"Não classificado"))</f>
        <v/>
      </c>
      <c r="N634" s="59">
        <f>IF(C634="","",IFERROR(INDEX('6. Base de Custos'!$O$8:$O$42,MATCH(C634,'6. Base de Custos'!$L$8:$L$42,0)),"Revisar"))</f>
        <v/>
      </c>
      <c r="O634" s="60">
        <f>IF(M634="","",IFERROR(VLOOKUP(M634,'6. Base de Custos'!$H$12:$J$18,3,FALSE),0))</f>
        <v/>
      </c>
      <c r="P634" s="59">
        <f>IF(C634="","",IFERROR(INDEX('6. Base de Custos'!$P$8:$P$42,MATCH(C634,'6. Base de Custos'!$L$8:$L$42,0)),"Revisar"))</f>
        <v/>
      </c>
      <c r="Q634" s="59">
        <f>IF(C634="","",IFERROR(INDEX('6. Base de Custos'!$Q$8:$Q$42,MATCH(C634,'6. Base de Custos'!$L$8:$L$42,0)),""))</f>
        <v/>
      </c>
      <c r="R634" s="65">
        <f>IF(C634="","",IFERROR(VLOOKUP(M634&amp;"|"&amp;N634,'17. Mapa DRE CP'!$E$5:$H$100,2,FALSE),"Revisar"))</f>
        <v/>
      </c>
      <c r="S634" s="65">
        <f>IF(C634="","",IFERROR(VLOOKUP(M634&amp;"|"&amp;N634,'17. Mapa DRE CP'!$E$5:$H$100,3,FALSE),"Revisar"))</f>
        <v/>
      </c>
      <c r="T634" s="65">
        <f>IF(C634="","",IF(R634="(-) Custos diretos dos serviços",IF(ISNUMBER(SEARCH("PCMSO",C634)),"PCMSO",IF(OR(ISNUMBER(SEARCH("SGS",C634)),ISNUMBER(SEARCH("CASTRO NAVES",C634))),"Projetos / Laudos / Avulsos","Projetos / Laudos / Avulsos")),"Rateio pela receita bruta"))</f>
        <v/>
      </c>
      <c r="U634" s="65">
        <f>IF(C634="","",IF(R634="(-) Custos diretos dos serviços","Direto por fornecedor/natureza do gasto","Rateio proporcional à receita bruta da linha de serviço"))</f>
        <v/>
      </c>
    </row>
    <row r="635">
      <c r="A635" s="28">
        <f>IF(C635="","", "CP-"&amp;TEXT(ROW()-5,"000"))</f>
        <v/>
      </c>
      <c r="B635" s="27">
        <f>IF(F635="","",DATE(YEAR(F635),MONTH(F635),1))</f>
        <v/>
      </c>
      <c r="C635" s="28" t="n"/>
      <c r="D635" s="28" t="n"/>
      <c r="E635" s="59">
        <f>IF(C635="","",IFERROR(INDEX('6. Base de Custos'!$M$8:$M$42,MATCH(C635,'6. Base de Custos'!$L$8:$L$42,0)),"Não classificado"))</f>
        <v/>
      </c>
      <c r="F635" s="111" t="n"/>
      <c r="G635" s="111" t="n"/>
      <c r="H635" s="111" t="n"/>
      <c r="I635" s="45" t="n"/>
      <c r="J635" s="28" t="n"/>
      <c r="K635" s="28" t="n"/>
      <c r="L635" s="28" t="n"/>
      <c r="M635" s="59">
        <f>IF(C635="","",IFERROR(INDEX('6. Base de Custos'!$N$8:$N$42,MATCH(C635,'6. Base de Custos'!$L$8:$L$42,0)),"Não classificado"))</f>
        <v/>
      </c>
      <c r="N635" s="59">
        <f>IF(C635="","",IFERROR(INDEX('6. Base de Custos'!$O$8:$O$42,MATCH(C635,'6. Base de Custos'!$L$8:$L$42,0)),"Revisar"))</f>
        <v/>
      </c>
      <c r="O635" s="60">
        <f>IF(M635="","",IFERROR(VLOOKUP(M635,'6. Base de Custos'!$H$12:$J$18,3,FALSE),0))</f>
        <v/>
      </c>
      <c r="P635" s="59">
        <f>IF(C635="","",IFERROR(INDEX('6. Base de Custos'!$P$8:$P$42,MATCH(C635,'6. Base de Custos'!$L$8:$L$42,0)),"Revisar"))</f>
        <v/>
      </c>
      <c r="Q635" s="59">
        <f>IF(C635="","",IFERROR(INDEX('6. Base de Custos'!$Q$8:$Q$42,MATCH(C635,'6. Base de Custos'!$L$8:$L$42,0)),""))</f>
        <v/>
      </c>
      <c r="R635" s="65">
        <f>IF(C635="","",IFERROR(VLOOKUP(M635&amp;"|"&amp;N635,'17. Mapa DRE CP'!$E$5:$H$100,2,FALSE),"Revisar"))</f>
        <v/>
      </c>
      <c r="S635" s="65">
        <f>IF(C635="","",IFERROR(VLOOKUP(M635&amp;"|"&amp;N635,'17. Mapa DRE CP'!$E$5:$H$100,3,FALSE),"Revisar"))</f>
        <v/>
      </c>
      <c r="T635" s="65">
        <f>IF(C635="","",IF(R635="(-) Custos diretos dos serviços",IF(ISNUMBER(SEARCH("PCMSO",C635)),"PCMSO",IF(OR(ISNUMBER(SEARCH("SGS",C635)),ISNUMBER(SEARCH("CASTRO NAVES",C635))),"Projetos / Laudos / Avulsos","Projetos / Laudos / Avulsos")),"Rateio pela receita bruta"))</f>
        <v/>
      </c>
      <c r="U635" s="65">
        <f>IF(C635="","",IF(R635="(-) Custos diretos dos serviços","Direto por fornecedor/natureza do gasto","Rateio proporcional à receita bruta da linha de serviço"))</f>
        <v/>
      </c>
    </row>
    <row r="636">
      <c r="A636" s="28">
        <f>IF(C636="","", "CP-"&amp;TEXT(ROW()-5,"000"))</f>
        <v/>
      </c>
      <c r="B636" s="27">
        <f>IF(F636="","",DATE(YEAR(F636),MONTH(F636),1))</f>
        <v/>
      </c>
      <c r="C636" s="28" t="n"/>
      <c r="D636" s="28" t="n"/>
      <c r="E636" s="59">
        <f>IF(C636="","",IFERROR(INDEX('6. Base de Custos'!$M$8:$M$42,MATCH(C636,'6. Base de Custos'!$L$8:$L$42,0)),"Não classificado"))</f>
        <v/>
      </c>
      <c r="F636" s="111" t="n"/>
      <c r="G636" s="111" t="n"/>
      <c r="H636" s="111" t="n"/>
      <c r="I636" s="45" t="n"/>
      <c r="J636" s="28" t="n"/>
      <c r="K636" s="28" t="n"/>
      <c r="L636" s="28" t="n"/>
      <c r="M636" s="59">
        <f>IF(C636="","",IFERROR(INDEX('6. Base de Custos'!$N$8:$N$42,MATCH(C636,'6. Base de Custos'!$L$8:$L$42,0)),"Não classificado"))</f>
        <v/>
      </c>
      <c r="N636" s="59">
        <f>IF(C636="","",IFERROR(INDEX('6. Base de Custos'!$O$8:$O$42,MATCH(C636,'6. Base de Custos'!$L$8:$L$42,0)),"Revisar"))</f>
        <v/>
      </c>
      <c r="O636" s="60">
        <f>IF(M636="","",IFERROR(VLOOKUP(M636,'6. Base de Custos'!$H$12:$J$18,3,FALSE),0))</f>
        <v/>
      </c>
      <c r="P636" s="59">
        <f>IF(C636="","",IFERROR(INDEX('6. Base de Custos'!$P$8:$P$42,MATCH(C636,'6. Base de Custos'!$L$8:$L$42,0)),"Revisar"))</f>
        <v/>
      </c>
      <c r="Q636" s="59">
        <f>IF(C636="","",IFERROR(INDEX('6. Base de Custos'!$Q$8:$Q$42,MATCH(C636,'6. Base de Custos'!$L$8:$L$42,0)),""))</f>
        <v/>
      </c>
      <c r="R636" s="65">
        <f>IF(C636="","",IFERROR(VLOOKUP(M636&amp;"|"&amp;N636,'17. Mapa DRE CP'!$E$5:$H$100,2,FALSE),"Revisar"))</f>
        <v/>
      </c>
      <c r="S636" s="65">
        <f>IF(C636="","",IFERROR(VLOOKUP(M636&amp;"|"&amp;N636,'17. Mapa DRE CP'!$E$5:$H$100,3,FALSE),"Revisar"))</f>
        <v/>
      </c>
      <c r="T636" s="65">
        <f>IF(C636="","",IF(R636="(-) Custos diretos dos serviços",IF(ISNUMBER(SEARCH("PCMSO",C636)),"PCMSO",IF(OR(ISNUMBER(SEARCH("SGS",C636)),ISNUMBER(SEARCH("CASTRO NAVES",C636))),"Projetos / Laudos / Avulsos","Projetos / Laudos / Avulsos")),"Rateio pela receita bruta"))</f>
        <v/>
      </c>
      <c r="U636" s="65">
        <f>IF(C636="","",IF(R636="(-) Custos diretos dos serviços","Direto por fornecedor/natureza do gasto","Rateio proporcional à receita bruta da linha de serviço"))</f>
        <v/>
      </c>
    </row>
    <row r="637">
      <c r="A637" s="28">
        <f>IF(C637="","", "CP-"&amp;TEXT(ROW()-5,"000"))</f>
        <v/>
      </c>
      <c r="B637" s="27">
        <f>IF(F637="","",DATE(YEAR(F637),MONTH(F637),1))</f>
        <v/>
      </c>
      <c r="C637" s="28" t="n"/>
      <c r="D637" s="28" t="n"/>
      <c r="E637" s="59">
        <f>IF(C637="","",IFERROR(INDEX('6. Base de Custos'!$M$8:$M$42,MATCH(C637,'6. Base de Custos'!$L$8:$L$42,0)),"Não classificado"))</f>
        <v/>
      </c>
      <c r="F637" s="111" t="n"/>
      <c r="G637" s="111" t="n"/>
      <c r="H637" s="111" t="n"/>
      <c r="I637" s="45" t="n"/>
      <c r="J637" s="28" t="n"/>
      <c r="K637" s="28" t="n"/>
      <c r="L637" s="28" t="n"/>
      <c r="M637" s="59">
        <f>IF(C637="","",IFERROR(INDEX('6. Base de Custos'!$N$8:$N$42,MATCH(C637,'6. Base de Custos'!$L$8:$L$42,0)),"Não classificado"))</f>
        <v/>
      </c>
      <c r="N637" s="59">
        <f>IF(C637="","",IFERROR(INDEX('6. Base de Custos'!$O$8:$O$42,MATCH(C637,'6. Base de Custos'!$L$8:$L$42,0)),"Revisar"))</f>
        <v/>
      </c>
      <c r="O637" s="60">
        <f>IF(M637="","",IFERROR(VLOOKUP(M637,'6. Base de Custos'!$H$12:$J$18,3,FALSE),0))</f>
        <v/>
      </c>
      <c r="P637" s="59">
        <f>IF(C637="","",IFERROR(INDEX('6. Base de Custos'!$P$8:$P$42,MATCH(C637,'6. Base de Custos'!$L$8:$L$42,0)),"Revisar"))</f>
        <v/>
      </c>
      <c r="Q637" s="59">
        <f>IF(C637="","",IFERROR(INDEX('6. Base de Custos'!$Q$8:$Q$42,MATCH(C637,'6. Base de Custos'!$L$8:$L$42,0)),""))</f>
        <v/>
      </c>
      <c r="R637" s="65">
        <f>IF(C637="","",IFERROR(VLOOKUP(M637&amp;"|"&amp;N637,'17. Mapa DRE CP'!$E$5:$H$100,2,FALSE),"Revisar"))</f>
        <v/>
      </c>
      <c r="S637" s="65">
        <f>IF(C637="","",IFERROR(VLOOKUP(M637&amp;"|"&amp;N637,'17. Mapa DRE CP'!$E$5:$H$100,3,FALSE),"Revisar"))</f>
        <v/>
      </c>
      <c r="T637" s="65">
        <f>IF(C637="","",IF(R637="(-) Custos diretos dos serviços",IF(ISNUMBER(SEARCH("PCMSO",C637)),"PCMSO",IF(OR(ISNUMBER(SEARCH("SGS",C637)),ISNUMBER(SEARCH("CASTRO NAVES",C637))),"Projetos / Laudos / Avulsos","Projetos / Laudos / Avulsos")),"Rateio pela receita bruta"))</f>
        <v/>
      </c>
      <c r="U637" s="65">
        <f>IF(C637="","",IF(R637="(-) Custos diretos dos serviços","Direto por fornecedor/natureza do gasto","Rateio proporcional à receita bruta da linha de serviço"))</f>
        <v/>
      </c>
    </row>
    <row r="638">
      <c r="A638" s="28">
        <f>IF(C638="","", "CP-"&amp;TEXT(ROW()-5,"000"))</f>
        <v/>
      </c>
      <c r="B638" s="27">
        <f>IF(F638="","",DATE(YEAR(F638),MONTH(F638),1))</f>
        <v/>
      </c>
      <c r="C638" s="28" t="n"/>
      <c r="D638" s="28" t="n"/>
      <c r="E638" s="59">
        <f>IF(C638="","",IFERROR(INDEX('6. Base de Custos'!$M$8:$M$42,MATCH(C638,'6. Base de Custos'!$L$8:$L$42,0)),"Não classificado"))</f>
        <v/>
      </c>
      <c r="F638" s="111" t="n"/>
      <c r="G638" s="111" t="n"/>
      <c r="H638" s="111" t="n"/>
      <c r="I638" s="45" t="n"/>
      <c r="J638" s="28" t="n"/>
      <c r="K638" s="28" t="n"/>
      <c r="L638" s="28" t="n"/>
      <c r="M638" s="59">
        <f>IF(C638="","",IFERROR(INDEX('6. Base de Custos'!$N$8:$N$42,MATCH(C638,'6. Base de Custos'!$L$8:$L$42,0)),"Não classificado"))</f>
        <v/>
      </c>
      <c r="N638" s="59">
        <f>IF(C638="","",IFERROR(INDEX('6. Base de Custos'!$O$8:$O$42,MATCH(C638,'6. Base de Custos'!$L$8:$L$42,0)),"Revisar"))</f>
        <v/>
      </c>
      <c r="O638" s="60">
        <f>IF(M638="","",IFERROR(VLOOKUP(M638,'6. Base de Custos'!$H$12:$J$18,3,FALSE),0))</f>
        <v/>
      </c>
      <c r="P638" s="59">
        <f>IF(C638="","",IFERROR(INDEX('6. Base de Custos'!$P$8:$P$42,MATCH(C638,'6. Base de Custos'!$L$8:$L$42,0)),"Revisar"))</f>
        <v/>
      </c>
      <c r="Q638" s="59">
        <f>IF(C638="","",IFERROR(INDEX('6. Base de Custos'!$Q$8:$Q$42,MATCH(C638,'6. Base de Custos'!$L$8:$L$42,0)),""))</f>
        <v/>
      </c>
      <c r="R638" s="65">
        <f>IF(C638="","",IFERROR(VLOOKUP(M638&amp;"|"&amp;N638,'17. Mapa DRE CP'!$E$5:$H$100,2,FALSE),"Revisar"))</f>
        <v/>
      </c>
      <c r="S638" s="65">
        <f>IF(C638="","",IFERROR(VLOOKUP(M638&amp;"|"&amp;N638,'17. Mapa DRE CP'!$E$5:$H$100,3,FALSE),"Revisar"))</f>
        <v/>
      </c>
      <c r="T638" s="65">
        <f>IF(C638="","",IF(R638="(-) Custos diretos dos serviços",IF(ISNUMBER(SEARCH("PCMSO",C638)),"PCMSO",IF(OR(ISNUMBER(SEARCH("SGS",C638)),ISNUMBER(SEARCH("CASTRO NAVES",C638))),"Projetos / Laudos / Avulsos","Projetos / Laudos / Avulsos")),"Rateio pela receita bruta"))</f>
        <v/>
      </c>
      <c r="U638" s="65">
        <f>IF(C638="","",IF(R638="(-) Custos diretos dos serviços","Direto por fornecedor/natureza do gasto","Rateio proporcional à receita bruta da linha de serviço"))</f>
        <v/>
      </c>
    </row>
    <row r="639">
      <c r="A639" s="28">
        <f>IF(C639="","", "CP-"&amp;TEXT(ROW()-5,"000"))</f>
        <v/>
      </c>
      <c r="B639" s="27">
        <f>IF(F639="","",DATE(YEAR(F639),MONTH(F639),1))</f>
        <v/>
      </c>
      <c r="C639" s="28" t="n"/>
      <c r="D639" s="28" t="n"/>
      <c r="E639" s="59">
        <f>IF(C639="","",IFERROR(INDEX('6. Base de Custos'!$M$8:$M$42,MATCH(C639,'6. Base de Custos'!$L$8:$L$42,0)),"Não classificado"))</f>
        <v/>
      </c>
      <c r="F639" s="111" t="n"/>
      <c r="G639" s="111" t="n"/>
      <c r="H639" s="111" t="n"/>
      <c r="I639" s="45" t="n"/>
      <c r="J639" s="28" t="n"/>
      <c r="K639" s="28" t="n"/>
      <c r="L639" s="28" t="n"/>
      <c r="M639" s="59">
        <f>IF(C639="","",IFERROR(INDEX('6. Base de Custos'!$N$8:$N$42,MATCH(C639,'6. Base de Custos'!$L$8:$L$42,0)),"Não classificado"))</f>
        <v/>
      </c>
      <c r="N639" s="59">
        <f>IF(C639="","",IFERROR(INDEX('6. Base de Custos'!$O$8:$O$42,MATCH(C639,'6. Base de Custos'!$L$8:$L$42,0)),"Revisar"))</f>
        <v/>
      </c>
      <c r="O639" s="60">
        <f>IF(M639="","",IFERROR(VLOOKUP(M639,'6. Base de Custos'!$H$12:$J$18,3,FALSE),0))</f>
        <v/>
      </c>
      <c r="P639" s="59">
        <f>IF(C639="","",IFERROR(INDEX('6. Base de Custos'!$P$8:$P$42,MATCH(C639,'6. Base de Custos'!$L$8:$L$42,0)),"Revisar"))</f>
        <v/>
      </c>
      <c r="Q639" s="59">
        <f>IF(C639="","",IFERROR(INDEX('6. Base de Custos'!$Q$8:$Q$42,MATCH(C639,'6. Base de Custos'!$L$8:$L$42,0)),""))</f>
        <v/>
      </c>
      <c r="R639" s="65">
        <f>IF(C639="","",IFERROR(VLOOKUP(M639&amp;"|"&amp;N639,'17. Mapa DRE CP'!$E$5:$H$100,2,FALSE),"Revisar"))</f>
        <v/>
      </c>
      <c r="S639" s="65">
        <f>IF(C639="","",IFERROR(VLOOKUP(M639&amp;"|"&amp;N639,'17. Mapa DRE CP'!$E$5:$H$100,3,FALSE),"Revisar"))</f>
        <v/>
      </c>
      <c r="T639" s="65">
        <f>IF(C639="","",IF(R639="(-) Custos diretos dos serviços",IF(ISNUMBER(SEARCH("PCMSO",C639)),"PCMSO",IF(OR(ISNUMBER(SEARCH("SGS",C639)),ISNUMBER(SEARCH("CASTRO NAVES",C639))),"Projetos / Laudos / Avulsos","Projetos / Laudos / Avulsos")),"Rateio pela receita bruta"))</f>
        <v/>
      </c>
      <c r="U639" s="65">
        <f>IF(C639="","",IF(R639="(-) Custos diretos dos serviços","Direto por fornecedor/natureza do gasto","Rateio proporcional à receita bruta da linha de serviço"))</f>
        <v/>
      </c>
    </row>
    <row r="640">
      <c r="A640" s="28">
        <f>IF(C640="","", "CP-"&amp;TEXT(ROW()-5,"000"))</f>
        <v/>
      </c>
      <c r="B640" s="27">
        <f>IF(F640="","",DATE(YEAR(F640),MONTH(F640),1))</f>
        <v/>
      </c>
      <c r="C640" s="28" t="n"/>
      <c r="D640" s="28" t="n"/>
      <c r="E640" s="59">
        <f>IF(C640="","",IFERROR(INDEX('6. Base de Custos'!$M$8:$M$42,MATCH(C640,'6. Base de Custos'!$L$8:$L$42,0)),"Não classificado"))</f>
        <v/>
      </c>
      <c r="F640" s="111" t="n"/>
      <c r="G640" s="111" t="n"/>
      <c r="H640" s="111" t="n"/>
      <c r="I640" s="45" t="n"/>
      <c r="J640" s="28" t="n"/>
      <c r="K640" s="28" t="n"/>
      <c r="L640" s="28" t="n"/>
      <c r="M640" s="59">
        <f>IF(C640="","",IFERROR(INDEX('6. Base de Custos'!$N$8:$N$42,MATCH(C640,'6. Base de Custos'!$L$8:$L$42,0)),"Não classificado"))</f>
        <v/>
      </c>
      <c r="N640" s="59">
        <f>IF(C640="","",IFERROR(INDEX('6. Base de Custos'!$O$8:$O$42,MATCH(C640,'6. Base de Custos'!$L$8:$L$42,0)),"Revisar"))</f>
        <v/>
      </c>
      <c r="O640" s="60">
        <f>IF(M640="","",IFERROR(VLOOKUP(M640,'6. Base de Custos'!$H$12:$J$18,3,FALSE),0))</f>
        <v/>
      </c>
      <c r="P640" s="59">
        <f>IF(C640="","",IFERROR(INDEX('6. Base de Custos'!$P$8:$P$42,MATCH(C640,'6. Base de Custos'!$L$8:$L$42,0)),"Revisar"))</f>
        <v/>
      </c>
      <c r="Q640" s="59">
        <f>IF(C640="","",IFERROR(INDEX('6. Base de Custos'!$Q$8:$Q$42,MATCH(C640,'6. Base de Custos'!$L$8:$L$42,0)),""))</f>
        <v/>
      </c>
      <c r="R640" s="65">
        <f>IF(C640="","",IFERROR(VLOOKUP(M640&amp;"|"&amp;N640,'17. Mapa DRE CP'!$E$5:$H$100,2,FALSE),"Revisar"))</f>
        <v/>
      </c>
      <c r="S640" s="65">
        <f>IF(C640="","",IFERROR(VLOOKUP(M640&amp;"|"&amp;N640,'17. Mapa DRE CP'!$E$5:$H$100,3,FALSE),"Revisar"))</f>
        <v/>
      </c>
      <c r="T640" s="65">
        <f>IF(C640="","",IF(R640="(-) Custos diretos dos serviços",IF(ISNUMBER(SEARCH("PCMSO",C640)),"PCMSO",IF(OR(ISNUMBER(SEARCH("SGS",C640)),ISNUMBER(SEARCH("CASTRO NAVES",C640))),"Projetos / Laudos / Avulsos","Projetos / Laudos / Avulsos")),"Rateio pela receita bruta"))</f>
        <v/>
      </c>
      <c r="U640" s="65">
        <f>IF(C640="","",IF(R640="(-) Custos diretos dos serviços","Direto por fornecedor/natureza do gasto","Rateio proporcional à receita bruta da linha de serviço"))</f>
        <v/>
      </c>
    </row>
    <row r="641">
      <c r="A641" s="28">
        <f>IF(C641="","", "CP-"&amp;TEXT(ROW()-5,"000"))</f>
        <v/>
      </c>
      <c r="B641" s="27">
        <f>IF(F641="","",DATE(YEAR(F641),MONTH(F641),1))</f>
        <v/>
      </c>
      <c r="C641" s="28" t="n"/>
      <c r="D641" s="28" t="n"/>
      <c r="E641" s="59">
        <f>IF(C641="","",IFERROR(INDEX('6. Base de Custos'!$M$8:$M$42,MATCH(C641,'6. Base de Custos'!$L$8:$L$42,0)),"Não classificado"))</f>
        <v/>
      </c>
      <c r="F641" s="111" t="n"/>
      <c r="G641" s="111" t="n"/>
      <c r="H641" s="111" t="n"/>
      <c r="I641" s="45" t="n"/>
      <c r="J641" s="28" t="n"/>
      <c r="K641" s="28" t="n"/>
      <c r="L641" s="28" t="n"/>
      <c r="M641" s="59">
        <f>IF(C641="","",IFERROR(INDEX('6. Base de Custos'!$N$8:$N$42,MATCH(C641,'6. Base de Custos'!$L$8:$L$42,0)),"Não classificado"))</f>
        <v/>
      </c>
      <c r="N641" s="59">
        <f>IF(C641="","",IFERROR(INDEX('6. Base de Custos'!$O$8:$O$42,MATCH(C641,'6. Base de Custos'!$L$8:$L$42,0)),"Revisar"))</f>
        <v/>
      </c>
      <c r="O641" s="60">
        <f>IF(M641="","",IFERROR(VLOOKUP(M641,'6. Base de Custos'!$H$12:$J$18,3,FALSE),0))</f>
        <v/>
      </c>
      <c r="P641" s="59">
        <f>IF(C641="","",IFERROR(INDEX('6. Base de Custos'!$P$8:$P$42,MATCH(C641,'6. Base de Custos'!$L$8:$L$42,0)),"Revisar"))</f>
        <v/>
      </c>
      <c r="Q641" s="59">
        <f>IF(C641="","",IFERROR(INDEX('6. Base de Custos'!$Q$8:$Q$42,MATCH(C641,'6. Base de Custos'!$L$8:$L$42,0)),""))</f>
        <v/>
      </c>
      <c r="R641" s="65">
        <f>IF(C641="","",IFERROR(VLOOKUP(M641&amp;"|"&amp;N641,'17. Mapa DRE CP'!$E$5:$H$100,2,FALSE),"Revisar"))</f>
        <v/>
      </c>
      <c r="S641" s="65">
        <f>IF(C641="","",IFERROR(VLOOKUP(M641&amp;"|"&amp;N641,'17. Mapa DRE CP'!$E$5:$H$100,3,FALSE),"Revisar"))</f>
        <v/>
      </c>
      <c r="T641" s="65">
        <f>IF(C641="","",IF(R641="(-) Custos diretos dos serviços",IF(ISNUMBER(SEARCH("PCMSO",C641)),"PCMSO",IF(OR(ISNUMBER(SEARCH("SGS",C641)),ISNUMBER(SEARCH("CASTRO NAVES",C641))),"Projetos / Laudos / Avulsos","Projetos / Laudos / Avulsos")),"Rateio pela receita bruta"))</f>
        <v/>
      </c>
      <c r="U641" s="65">
        <f>IF(C641="","",IF(R641="(-) Custos diretos dos serviços","Direto por fornecedor/natureza do gasto","Rateio proporcional à receita bruta da linha de serviço"))</f>
        <v/>
      </c>
    </row>
    <row r="642">
      <c r="A642" s="28">
        <f>IF(C642="","", "CP-"&amp;TEXT(ROW()-5,"000"))</f>
        <v/>
      </c>
      <c r="B642" s="27">
        <f>IF(F642="","",DATE(YEAR(F642),MONTH(F642),1))</f>
        <v/>
      </c>
      <c r="C642" s="28" t="n"/>
      <c r="D642" s="28" t="n"/>
      <c r="E642" s="59">
        <f>IF(C642="","",IFERROR(INDEX('6. Base de Custos'!$M$8:$M$42,MATCH(C642,'6. Base de Custos'!$L$8:$L$42,0)),"Não classificado"))</f>
        <v/>
      </c>
      <c r="F642" s="111" t="n"/>
      <c r="G642" s="111" t="n"/>
      <c r="H642" s="111" t="n"/>
      <c r="I642" s="45" t="n"/>
      <c r="J642" s="28" t="n"/>
      <c r="K642" s="28" t="n"/>
      <c r="L642" s="28" t="n"/>
      <c r="M642" s="59">
        <f>IF(C642="","",IFERROR(INDEX('6. Base de Custos'!$N$8:$N$42,MATCH(C642,'6. Base de Custos'!$L$8:$L$42,0)),"Não classificado"))</f>
        <v/>
      </c>
      <c r="N642" s="59">
        <f>IF(C642="","",IFERROR(INDEX('6. Base de Custos'!$O$8:$O$42,MATCH(C642,'6. Base de Custos'!$L$8:$L$42,0)),"Revisar"))</f>
        <v/>
      </c>
      <c r="O642" s="60">
        <f>IF(M642="","",IFERROR(VLOOKUP(M642,'6. Base de Custos'!$H$12:$J$18,3,FALSE),0))</f>
        <v/>
      </c>
      <c r="P642" s="59">
        <f>IF(C642="","",IFERROR(INDEX('6. Base de Custos'!$P$8:$P$42,MATCH(C642,'6. Base de Custos'!$L$8:$L$42,0)),"Revisar"))</f>
        <v/>
      </c>
      <c r="Q642" s="59">
        <f>IF(C642="","",IFERROR(INDEX('6. Base de Custos'!$Q$8:$Q$42,MATCH(C642,'6. Base de Custos'!$L$8:$L$42,0)),""))</f>
        <v/>
      </c>
      <c r="R642" s="65">
        <f>IF(C642="","",IFERROR(VLOOKUP(M642&amp;"|"&amp;N642,'17. Mapa DRE CP'!$E$5:$H$100,2,FALSE),"Revisar"))</f>
        <v/>
      </c>
      <c r="S642" s="65">
        <f>IF(C642="","",IFERROR(VLOOKUP(M642&amp;"|"&amp;N642,'17. Mapa DRE CP'!$E$5:$H$100,3,FALSE),"Revisar"))</f>
        <v/>
      </c>
      <c r="T642" s="65">
        <f>IF(C642="","",IF(R642="(-) Custos diretos dos serviços",IF(ISNUMBER(SEARCH("PCMSO",C642)),"PCMSO",IF(OR(ISNUMBER(SEARCH("SGS",C642)),ISNUMBER(SEARCH("CASTRO NAVES",C642))),"Projetos / Laudos / Avulsos","Projetos / Laudos / Avulsos")),"Rateio pela receita bruta"))</f>
        <v/>
      </c>
      <c r="U642" s="65">
        <f>IF(C642="","",IF(R642="(-) Custos diretos dos serviços","Direto por fornecedor/natureza do gasto","Rateio proporcional à receita bruta da linha de serviço"))</f>
        <v/>
      </c>
    </row>
    <row r="643">
      <c r="A643" s="28">
        <f>IF(C643="","", "CP-"&amp;TEXT(ROW()-5,"000"))</f>
        <v/>
      </c>
      <c r="B643" s="27">
        <f>IF(F643="","",DATE(YEAR(F643),MONTH(F643),1))</f>
        <v/>
      </c>
      <c r="C643" s="28" t="n"/>
      <c r="D643" s="28" t="n"/>
      <c r="E643" s="59">
        <f>IF(C643="","",IFERROR(INDEX('6. Base de Custos'!$M$8:$M$42,MATCH(C643,'6. Base de Custos'!$L$8:$L$42,0)),"Não classificado"))</f>
        <v/>
      </c>
      <c r="F643" s="111" t="n"/>
      <c r="G643" s="111" t="n"/>
      <c r="H643" s="111" t="n"/>
      <c r="I643" s="45" t="n"/>
      <c r="J643" s="28" t="n"/>
      <c r="K643" s="28" t="n"/>
      <c r="L643" s="28" t="n"/>
      <c r="M643" s="59">
        <f>IF(C643="","",IFERROR(INDEX('6. Base de Custos'!$N$8:$N$42,MATCH(C643,'6. Base de Custos'!$L$8:$L$42,0)),"Não classificado"))</f>
        <v/>
      </c>
      <c r="N643" s="59">
        <f>IF(C643="","",IFERROR(INDEX('6. Base de Custos'!$O$8:$O$42,MATCH(C643,'6. Base de Custos'!$L$8:$L$42,0)),"Revisar"))</f>
        <v/>
      </c>
      <c r="O643" s="60">
        <f>IF(M643="","",IFERROR(VLOOKUP(M643,'6. Base de Custos'!$H$12:$J$18,3,FALSE),0))</f>
        <v/>
      </c>
      <c r="P643" s="59">
        <f>IF(C643="","",IFERROR(INDEX('6. Base de Custos'!$P$8:$P$42,MATCH(C643,'6. Base de Custos'!$L$8:$L$42,0)),"Revisar"))</f>
        <v/>
      </c>
      <c r="Q643" s="59">
        <f>IF(C643="","",IFERROR(INDEX('6. Base de Custos'!$Q$8:$Q$42,MATCH(C643,'6. Base de Custos'!$L$8:$L$42,0)),""))</f>
        <v/>
      </c>
      <c r="R643" s="65">
        <f>IF(C643="","",IFERROR(VLOOKUP(M643&amp;"|"&amp;N643,'17. Mapa DRE CP'!$E$5:$H$100,2,FALSE),"Revisar"))</f>
        <v/>
      </c>
      <c r="S643" s="65">
        <f>IF(C643="","",IFERROR(VLOOKUP(M643&amp;"|"&amp;N643,'17. Mapa DRE CP'!$E$5:$H$100,3,FALSE),"Revisar"))</f>
        <v/>
      </c>
      <c r="T643" s="65">
        <f>IF(C643="","",IF(R643="(-) Custos diretos dos serviços",IF(ISNUMBER(SEARCH("PCMSO",C643)),"PCMSO",IF(OR(ISNUMBER(SEARCH("SGS",C643)),ISNUMBER(SEARCH("CASTRO NAVES",C643))),"Projetos / Laudos / Avulsos","Projetos / Laudos / Avulsos")),"Rateio pela receita bruta"))</f>
        <v/>
      </c>
      <c r="U643" s="65">
        <f>IF(C643="","",IF(R643="(-) Custos diretos dos serviços","Direto por fornecedor/natureza do gasto","Rateio proporcional à receita bruta da linha de serviço"))</f>
        <v/>
      </c>
    </row>
    <row r="644">
      <c r="A644" s="28">
        <f>IF(C644="","", "CP-"&amp;TEXT(ROW()-5,"000"))</f>
        <v/>
      </c>
      <c r="B644" s="27">
        <f>IF(F644="","",DATE(YEAR(F644),MONTH(F644),1))</f>
        <v/>
      </c>
      <c r="C644" s="28" t="n"/>
      <c r="D644" s="28" t="n"/>
      <c r="E644" s="59">
        <f>IF(C644="","",IFERROR(INDEX('6. Base de Custos'!$M$8:$M$42,MATCH(C644,'6. Base de Custos'!$L$8:$L$42,0)),"Não classificado"))</f>
        <v/>
      </c>
      <c r="F644" s="111" t="n"/>
      <c r="G644" s="111" t="n"/>
      <c r="H644" s="111" t="n"/>
      <c r="I644" s="45" t="n"/>
      <c r="J644" s="28" t="n"/>
      <c r="K644" s="28" t="n"/>
      <c r="L644" s="28" t="n"/>
      <c r="M644" s="59">
        <f>IF(C644="","",IFERROR(INDEX('6. Base de Custos'!$N$8:$N$42,MATCH(C644,'6. Base de Custos'!$L$8:$L$42,0)),"Não classificado"))</f>
        <v/>
      </c>
      <c r="N644" s="59">
        <f>IF(C644="","",IFERROR(INDEX('6. Base de Custos'!$O$8:$O$42,MATCH(C644,'6. Base de Custos'!$L$8:$L$42,0)),"Revisar"))</f>
        <v/>
      </c>
      <c r="O644" s="60">
        <f>IF(M644="","",IFERROR(VLOOKUP(M644,'6. Base de Custos'!$H$12:$J$18,3,FALSE),0))</f>
        <v/>
      </c>
      <c r="P644" s="59">
        <f>IF(C644="","",IFERROR(INDEX('6. Base de Custos'!$P$8:$P$42,MATCH(C644,'6. Base de Custos'!$L$8:$L$42,0)),"Revisar"))</f>
        <v/>
      </c>
      <c r="Q644" s="59">
        <f>IF(C644="","",IFERROR(INDEX('6. Base de Custos'!$Q$8:$Q$42,MATCH(C644,'6. Base de Custos'!$L$8:$L$42,0)),""))</f>
        <v/>
      </c>
      <c r="R644" s="65">
        <f>IF(C644="","",IFERROR(VLOOKUP(M644&amp;"|"&amp;N644,'17. Mapa DRE CP'!$E$5:$H$100,2,FALSE),"Revisar"))</f>
        <v/>
      </c>
      <c r="S644" s="65">
        <f>IF(C644="","",IFERROR(VLOOKUP(M644&amp;"|"&amp;N644,'17. Mapa DRE CP'!$E$5:$H$100,3,FALSE),"Revisar"))</f>
        <v/>
      </c>
      <c r="T644" s="65">
        <f>IF(C644="","",IF(R644="(-) Custos diretos dos serviços",IF(ISNUMBER(SEARCH("PCMSO",C644)),"PCMSO",IF(OR(ISNUMBER(SEARCH("SGS",C644)),ISNUMBER(SEARCH("CASTRO NAVES",C644))),"Projetos / Laudos / Avulsos","Projetos / Laudos / Avulsos")),"Rateio pela receita bruta"))</f>
        <v/>
      </c>
      <c r="U644" s="65">
        <f>IF(C644="","",IF(R644="(-) Custos diretos dos serviços","Direto por fornecedor/natureza do gasto","Rateio proporcional à receita bruta da linha de serviço"))</f>
        <v/>
      </c>
    </row>
    <row r="645">
      <c r="A645" s="28">
        <f>IF(C645="","", "CP-"&amp;TEXT(ROW()-5,"000"))</f>
        <v/>
      </c>
      <c r="B645" s="27">
        <f>IF(F645="","",DATE(YEAR(F645),MONTH(F645),1))</f>
        <v/>
      </c>
      <c r="C645" s="28" t="n"/>
      <c r="D645" s="28" t="n"/>
      <c r="E645" s="59">
        <f>IF(C645="","",IFERROR(INDEX('6. Base de Custos'!$M$8:$M$42,MATCH(C645,'6. Base de Custos'!$L$8:$L$42,0)),"Não classificado"))</f>
        <v/>
      </c>
      <c r="F645" s="111" t="n"/>
      <c r="G645" s="111" t="n"/>
      <c r="H645" s="111" t="n"/>
      <c r="I645" s="45" t="n"/>
      <c r="J645" s="28" t="n"/>
      <c r="K645" s="28" t="n"/>
      <c r="L645" s="28" t="n"/>
      <c r="M645" s="59">
        <f>IF(C645="","",IFERROR(INDEX('6. Base de Custos'!$N$8:$N$42,MATCH(C645,'6. Base de Custos'!$L$8:$L$42,0)),"Não classificado"))</f>
        <v/>
      </c>
      <c r="N645" s="59">
        <f>IF(C645="","",IFERROR(INDEX('6. Base de Custos'!$O$8:$O$42,MATCH(C645,'6. Base de Custos'!$L$8:$L$42,0)),"Revisar"))</f>
        <v/>
      </c>
      <c r="O645" s="60">
        <f>IF(M645="","",IFERROR(VLOOKUP(M645,'6. Base de Custos'!$H$12:$J$18,3,FALSE),0))</f>
        <v/>
      </c>
      <c r="P645" s="59">
        <f>IF(C645="","",IFERROR(INDEX('6. Base de Custos'!$P$8:$P$42,MATCH(C645,'6. Base de Custos'!$L$8:$L$42,0)),"Revisar"))</f>
        <v/>
      </c>
      <c r="Q645" s="59">
        <f>IF(C645="","",IFERROR(INDEX('6. Base de Custos'!$Q$8:$Q$42,MATCH(C645,'6. Base de Custos'!$L$8:$L$42,0)),""))</f>
        <v/>
      </c>
      <c r="R645" s="65">
        <f>IF(C645="","",IFERROR(VLOOKUP(M645&amp;"|"&amp;N645,'17. Mapa DRE CP'!$E$5:$H$100,2,FALSE),"Revisar"))</f>
        <v/>
      </c>
      <c r="S645" s="65">
        <f>IF(C645="","",IFERROR(VLOOKUP(M645&amp;"|"&amp;N645,'17. Mapa DRE CP'!$E$5:$H$100,3,FALSE),"Revisar"))</f>
        <v/>
      </c>
      <c r="T645" s="65">
        <f>IF(C645="","",IF(R645="(-) Custos diretos dos serviços",IF(ISNUMBER(SEARCH("PCMSO",C645)),"PCMSO",IF(OR(ISNUMBER(SEARCH("SGS",C645)),ISNUMBER(SEARCH("CASTRO NAVES",C645))),"Projetos / Laudos / Avulsos","Projetos / Laudos / Avulsos")),"Rateio pela receita bruta"))</f>
        <v/>
      </c>
      <c r="U645" s="65">
        <f>IF(C645="","",IF(R645="(-) Custos diretos dos serviços","Direto por fornecedor/natureza do gasto","Rateio proporcional à receita bruta da linha de serviço"))</f>
        <v/>
      </c>
    </row>
    <row r="646">
      <c r="A646" s="28">
        <f>IF(C646="","", "CP-"&amp;TEXT(ROW()-5,"000"))</f>
        <v/>
      </c>
      <c r="B646" s="27">
        <f>IF(F646="","",DATE(YEAR(F646),MONTH(F646),1))</f>
        <v/>
      </c>
      <c r="C646" s="28" t="n"/>
      <c r="D646" s="28" t="n"/>
      <c r="E646" s="59">
        <f>IF(C646="","",IFERROR(INDEX('6. Base de Custos'!$M$8:$M$42,MATCH(C646,'6. Base de Custos'!$L$8:$L$42,0)),"Não classificado"))</f>
        <v/>
      </c>
      <c r="F646" s="111" t="n"/>
      <c r="G646" s="111" t="n"/>
      <c r="H646" s="111" t="n"/>
      <c r="I646" s="45" t="n"/>
      <c r="J646" s="28" t="n"/>
      <c r="K646" s="28" t="n"/>
      <c r="L646" s="28" t="n"/>
      <c r="M646" s="59">
        <f>IF(C646="","",IFERROR(INDEX('6. Base de Custos'!$N$8:$N$42,MATCH(C646,'6. Base de Custos'!$L$8:$L$42,0)),"Não classificado"))</f>
        <v/>
      </c>
      <c r="N646" s="59">
        <f>IF(C646="","",IFERROR(INDEX('6. Base de Custos'!$O$8:$O$42,MATCH(C646,'6. Base de Custos'!$L$8:$L$42,0)),"Revisar"))</f>
        <v/>
      </c>
      <c r="O646" s="60">
        <f>IF(M646="","",IFERROR(VLOOKUP(M646,'6. Base de Custos'!$H$12:$J$18,3,FALSE),0))</f>
        <v/>
      </c>
      <c r="P646" s="59">
        <f>IF(C646="","",IFERROR(INDEX('6. Base de Custos'!$P$8:$P$42,MATCH(C646,'6. Base de Custos'!$L$8:$L$42,0)),"Revisar"))</f>
        <v/>
      </c>
      <c r="Q646" s="59">
        <f>IF(C646="","",IFERROR(INDEX('6. Base de Custos'!$Q$8:$Q$42,MATCH(C646,'6. Base de Custos'!$L$8:$L$42,0)),""))</f>
        <v/>
      </c>
      <c r="R646" s="65">
        <f>IF(C646="","",IFERROR(VLOOKUP(M646&amp;"|"&amp;N646,'17. Mapa DRE CP'!$E$5:$H$100,2,FALSE),"Revisar"))</f>
        <v/>
      </c>
      <c r="S646" s="65">
        <f>IF(C646="","",IFERROR(VLOOKUP(M646&amp;"|"&amp;N646,'17. Mapa DRE CP'!$E$5:$H$100,3,FALSE),"Revisar"))</f>
        <v/>
      </c>
      <c r="T646" s="65">
        <f>IF(C646="","",IF(R646="(-) Custos diretos dos serviços",IF(ISNUMBER(SEARCH("PCMSO",C646)),"PCMSO",IF(OR(ISNUMBER(SEARCH("SGS",C646)),ISNUMBER(SEARCH("CASTRO NAVES",C646))),"Projetos / Laudos / Avulsos","Projetos / Laudos / Avulsos")),"Rateio pela receita bruta"))</f>
        <v/>
      </c>
      <c r="U646" s="65">
        <f>IF(C646="","",IF(R646="(-) Custos diretos dos serviços","Direto por fornecedor/natureza do gasto","Rateio proporcional à receita bruta da linha de serviço"))</f>
        <v/>
      </c>
    </row>
    <row r="647">
      <c r="A647" s="28">
        <f>IF(C647="","", "CP-"&amp;TEXT(ROW()-5,"000"))</f>
        <v/>
      </c>
      <c r="B647" s="27">
        <f>IF(F647="","",DATE(YEAR(F647),MONTH(F647),1))</f>
        <v/>
      </c>
      <c r="C647" s="28" t="n"/>
      <c r="D647" s="28" t="n"/>
      <c r="E647" s="59">
        <f>IF(C647="","",IFERROR(INDEX('6. Base de Custos'!$M$8:$M$42,MATCH(C647,'6. Base de Custos'!$L$8:$L$42,0)),"Não classificado"))</f>
        <v/>
      </c>
      <c r="F647" s="111" t="n"/>
      <c r="G647" s="111" t="n"/>
      <c r="H647" s="111" t="n"/>
      <c r="I647" s="45" t="n"/>
      <c r="J647" s="28" t="n"/>
      <c r="K647" s="28" t="n"/>
      <c r="L647" s="28" t="n"/>
      <c r="M647" s="59">
        <f>IF(C647="","",IFERROR(INDEX('6. Base de Custos'!$N$8:$N$42,MATCH(C647,'6. Base de Custos'!$L$8:$L$42,0)),"Não classificado"))</f>
        <v/>
      </c>
      <c r="N647" s="59">
        <f>IF(C647="","",IFERROR(INDEX('6. Base de Custos'!$O$8:$O$42,MATCH(C647,'6. Base de Custos'!$L$8:$L$42,0)),"Revisar"))</f>
        <v/>
      </c>
      <c r="O647" s="60">
        <f>IF(M647="","",IFERROR(VLOOKUP(M647,'6. Base de Custos'!$H$12:$J$18,3,FALSE),0))</f>
        <v/>
      </c>
      <c r="P647" s="59">
        <f>IF(C647="","",IFERROR(INDEX('6. Base de Custos'!$P$8:$P$42,MATCH(C647,'6. Base de Custos'!$L$8:$L$42,0)),"Revisar"))</f>
        <v/>
      </c>
      <c r="Q647" s="59">
        <f>IF(C647="","",IFERROR(INDEX('6. Base de Custos'!$Q$8:$Q$42,MATCH(C647,'6. Base de Custos'!$L$8:$L$42,0)),""))</f>
        <v/>
      </c>
      <c r="R647" s="65">
        <f>IF(C647="","",IFERROR(VLOOKUP(M647&amp;"|"&amp;N647,'17. Mapa DRE CP'!$E$5:$H$100,2,FALSE),"Revisar"))</f>
        <v/>
      </c>
      <c r="S647" s="65">
        <f>IF(C647="","",IFERROR(VLOOKUP(M647&amp;"|"&amp;N647,'17. Mapa DRE CP'!$E$5:$H$100,3,FALSE),"Revisar"))</f>
        <v/>
      </c>
      <c r="T647" s="65">
        <f>IF(C647="","",IF(R647="(-) Custos diretos dos serviços",IF(ISNUMBER(SEARCH("PCMSO",C647)),"PCMSO",IF(OR(ISNUMBER(SEARCH("SGS",C647)),ISNUMBER(SEARCH("CASTRO NAVES",C647))),"Projetos / Laudos / Avulsos","Projetos / Laudos / Avulsos")),"Rateio pela receita bruta"))</f>
        <v/>
      </c>
      <c r="U647" s="65">
        <f>IF(C647="","",IF(R647="(-) Custos diretos dos serviços","Direto por fornecedor/natureza do gasto","Rateio proporcional à receita bruta da linha de serviço"))</f>
        <v/>
      </c>
    </row>
    <row r="648">
      <c r="A648" s="28">
        <f>IF(C648="","", "CP-"&amp;TEXT(ROW()-5,"000"))</f>
        <v/>
      </c>
      <c r="B648" s="27">
        <f>IF(F648="","",DATE(YEAR(F648),MONTH(F648),1))</f>
        <v/>
      </c>
      <c r="C648" s="28" t="n"/>
      <c r="D648" s="28" t="n"/>
      <c r="E648" s="59">
        <f>IF(C648="","",IFERROR(INDEX('6. Base de Custos'!$M$8:$M$42,MATCH(C648,'6. Base de Custos'!$L$8:$L$42,0)),"Não classificado"))</f>
        <v/>
      </c>
      <c r="F648" s="111" t="n"/>
      <c r="G648" s="111" t="n"/>
      <c r="H648" s="111" t="n"/>
      <c r="I648" s="45" t="n"/>
      <c r="J648" s="28" t="n"/>
      <c r="K648" s="28" t="n"/>
      <c r="L648" s="28" t="n"/>
      <c r="M648" s="59">
        <f>IF(C648="","",IFERROR(INDEX('6. Base de Custos'!$N$8:$N$42,MATCH(C648,'6. Base de Custos'!$L$8:$L$42,0)),"Não classificado"))</f>
        <v/>
      </c>
      <c r="N648" s="59">
        <f>IF(C648="","",IFERROR(INDEX('6. Base de Custos'!$O$8:$O$42,MATCH(C648,'6. Base de Custos'!$L$8:$L$42,0)),"Revisar"))</f>
        <v/>
      </c>
      <c r="O648" s="60">
        <f>IF(M648="","",IFERROR(VLOOKUP(M648,'6. Base de Custos'!$H$12:$J$18,3,FALSE),0))</f>
        <v/>
      </c>
      <c r="P648" s="59">
        <f>IF(C648="","",IFERROR(INDEX('6. Base de Custos'!$P$8:$P$42,MATCH(C648,'6. Base de Custos'!$L$8:$L$42,0)),"Revisar"))</f>
        <v/>
      </c>
      <c r="Q648" s="59">
        <f>IF(C648="","",IFERROR(INDEX('6. Base de Custos'!$Q$8:$Q$42,MATCH(C648,'6. Base de Custos'!$L$8:$L$42,0)),""))</f>
        <v/>
      </c>
      <c r="R648" s="65">
        <f>IF(C648="","",IFERROR(VLOOKUP(M648&amp;"|"&amp;N648,'17. Mapa DRE CP'!$E$5:$H$100,2,FALSE),"Revisar"))</f>
        <v/>
      </c>
      <c r="S648" s="65">
        <f>IF(C648="","",IFERROR(VLOOKUP(M648&amp;"|"&amp;N648,'17. Mapa DRE CP'!$E$5:$H$100,3,FALSE),"Revisar"))</f>
        <v/>
      </c>
      <c r="T648" s="65">
        <f>IF(C648="","",IF(R648="(-) Custos diretos dos serviços",IF(ISNUMBER(SEARCH("PCMSO",C648)),"PCMSO",IF(OR(ISNUMBER(SEARCH("SGS",C648)),ISNUMBER(SEARCH("CASTRO NAVES",C648))),"Projetos / Laudos / Avulsos","Projetos / Laudos / Avulsos")),"Rateio pela receita bruta"))</f>
        <v/>
      </c>
      <c r="U648" s="65">
        <f>IF(C648="","",IF(R648="(-) Custos diretos dos serviços","Direto por fornecedor/natureza do gasto","Rateio proporcional à receita bruta da linha de serviço"))</f>
        <v/>
      </c>
    </row>
    <row r="649">
      <c r="A649" s="28">
        <f>IF(C649="","", "CP-"&amp;TEXT(ROW()-5,"000"))</f>
        <v/>
      </c>
      <c r="B649" s="27">
        <f>IF(F649="","",DATE(YEAR(F649),MONTH(F649),1))</f>
        <v/>
      </c>
      <c r="C649" s="28" t="n"/>
      <c r="D649" s="28" t="n"/>
      <c r="E649" s="59">
        <f>IF(C649="","",IFERROR(INDEX('6. Base de Custos'!$M$8:$M$42,MATCH(C649,'6. Base de Custos'!$L$8:$L$42,0)),"Não classificado"))</f>
        <v/>
      </c>
      <c r="F649" s="111" t="n"/>
      <c r="G649" s="111" t="n"/>
      <c r="H649" s="111" t="n"/>
      <c r="I649" s="45" t="n"/>
      <c r="J649" s="28" t="n"/>
      <c r="K649" s="28" t="n"/>
      <c r="L649" s="28" t="n"/>
      <c r="M649" s="59">
        <f>IF(C649="","",IFERROR(INDEX('6. Base de Custos'!$N$8:$N$42,MATCH(C649,'6. Base de Custos'!$L$8:$L$42,0)),"Não classificado"))</f>
        <v/>
      </c>
      <c r="N649" s="59">
        <f>IF(C649="","",IFERROR(INDEX('6. Base de Custos'!$O$8:$O$42,MATCH(C649,'6. Base de Custos'!$L$8:$L$42,0)),"Revisar"))</f>
        <v/>
      </c>
      <c r="O649" s="60">
        <f>IF(M649="","",IFERROR(VLOOKUP(M649,'6. Base de Custos'!$H$12:$J$18,3,FALSE),0))</f>
        <v/>
      </c>
      <c r="P649" s="59">
        <f>IF(C649="","",IFERROR(INDEX('6. Base de Custos'!$P$8:$P$42,MATCH(C649,'6. Base de Custos'!$L$8:$L$42,0)),"Revisar"))</f>
        <v/>
      </c>
      <c r="Q649" s="59">
        <f>IF(C649="","",IFERROR(INDEX('6. Base de Custos'!$Q$8:$Q$42,MATCH(C649,'6. Base de Custos'!$L$8:$L$42,0)),""))</f>
        <v/>
      </c>
      <c r="R649" s="65">
        <f>IF(C649="","",IFERROR(VLOOKUP(M649&amp;"|"&amp;N649,'17. Mapa DRE CP'!$E$5:$H$100,2,FALSE),"Revisar"))</f>
        <v/>
      </c>
      <c r="S649" s="65">
        <f>IF(C649="","",IFERROR(VLOOKUP(M649&amp;"|"&amp;N649,'17. Mapa DRE CP'!$E$5:$H$100,3,FALSE),"Revisar"))</f>
        <v/>
      </c>
      <c r="T649" s="65">
        <f>IF(C649="","",IF(R649="(-) Custos diretos dos serviços",IF(ISNUMBER(SEARCH("PCMSO",C649)),"PCMSO",IF(OR(ISNUMBER(SEARCH("SGS",C649)),ISNUMBER(SEARCH("CASTRO NAVES",C649))),"Projetos / Laudos / Avulsos","Projetos / Laudos / Avulsos")),"Rateio pela receita bruta"))</f>
        <v/>
      </c>
      <c r="U649" s="65">
        <f>IF(C649="","",IF(R649="(-) Custos diretos dos serviços","Direto por fornecedor/natureza do gasto","Rateio proporcional à receita bruta da linha de serviço"))</f>
        <v/>
      </c>
    </row>
    <row r="650">
      <c r="A650" s="28">
        <f>IF(C650="","", "CP-"&amp;TEXT(ROW()-5,"000"))</f>
        <v/>
      </c>
      <c r="B650" s="27">
        <f>IF(F650="","",DATE(YEAR(F650),MONTH(F650),1))</f>
        <v/>
      </c>
      <c r="C650" s="28" t="n"/>
      <c r="D650" s="28" t="n"/>
      <c r="E650" s="59">
        <f>IF(C650="","",IFERROR(INDEX('6. Base de Custos'!$M$8:$M$42,MATCH(C650,'6. Base de Custos'!$L$8:$L$42,0)),"Não classificado"))</f>
        <v/>
      </c>
      <c r="F650" s="111" t="n"/>
      <c r="G650" s="111" t="n"/>
      <c r="H650" s="111" t="n"/>
      <c r="I650" s="45" t="n"/>
      <c r="J650" s="28" t="n"/>
      <c r="K650" s="28" t="n"/>
      <c r="L650" s="28" t="n"/>
      <c r="M650" s="59">
        <f>IF(C650="","",IFERROR(INDEX('6. Base de Custos'!$N$8:$N$42,MATCH(C650,'6. Base de Custos'!$L$8:$L$42,0)),"Não classificado"))</f>
        <v/>
      </c>
      <c r="N650" s="59">
        <f>IF(C650="","",IFERROR(INDEX('6. Base de Custos'!$O$8:$O$42,MATCH(C650,'6. Base de Custos'!$L$8:$L$42,0)),"Revisar"))</f>
        <v/>
      </c>
      <c r="O650" s="60">
        <f>IF(M650="","",IFERROR(VLOOKUP(M650,'6. Base de Custos'!$H$12:$J$18,3,FALSE),0))</f>
        <v/>
      </c>
      <c r="P650" s="59">
        <f>IF(C650="","",IFERROR(INDEX('6. Base de Custos'!$P$8:$P$42,MATCH(C650,'6. Base de Custos'!$L$8:$L$42,0)),"Revisar"))</f>
        <v/>
      </c>
      <c r="Q650" s="59">
        <f>IF(C650="","",IFERROR(INDEX('6. Base de Custos'!$Q$8:$Q$42,MATCH(C650,'6. Base de Custos'!$L$8:$L$42,0)),""))</f>
        <v/>
      </c>
      <c r="R650" s="65">
        <f>IF(C650="","",IFERROR(VLOOKUP(M650&amp;"|"&amp;N650,'17. Mapa DRE CP'!$E$5:$H$100,2,FALSE),"Revisar"))</f>
        <v/>
      </c>
      <c r="S650" s="65">
        <f>IF(C650="","",IFERROR(VLOOKUP(M650&amp;"|"&amp;N650,'17. Mapa DRE CP'!$E$5:$H$100,3,FALSE),"Revisar"))</f>
        <v/>
      </c>
      <c r="T650" s="65">
        <f>IF(C650="","",IF(R650="(-) Custos diretos dos serviços",IF(ISNUMBER(SEARCH("PCMSO",C650)),"PCMSO",IF(OR(ISNUMBER(SEARCH("SGS",C650)),ISNUMBER(SEARCH("CASTRO NAVES",C650))),"Projetos / Laudos / Avulsos","Projetos / Laudos / Avulsos")),"Rateio pela receita bruta"))</f>
        <v/>
      </c>
      <c r="U650" s="65">
        <f>IF(C650="","",IF(R650="(-) Custos diretos dos serviços","Direto por fornecedor/natureza do gasto","Rateio proporcional à receita bruta da linha de serviço"))</f>
        <v/>
      </c>
    </row>
    <row r="651">
      <c r="A651" s="28">
        <f>IF(C651="","", "CP-"&amp;TEXT(ROW()-5,"000"))</f>
        <v/>
      </c>
      <c r="B651" s="27">
        <f>IF(F651="","",DATE(YEAR(F651),MONTH(F651),1))</f>
        <v/>
      </c>
      <c r="C651" s="28" t="n"/>
      <c r="D651" s="28" t="n"/>
      <c r="E651" s="59">
        <f>IF(C651="","",IFERROR(INDEX('6. Base de Custos'!$M$8:$M$42,MATCH(C651,'6. Base de Custos'!$L$8:$L$42,0)),"Não classificado"))</f>
        <v/>
      </c>
      <c r="F651" s="111" t="n"/>
      <c r="G651" s="111" t="n"/>
      <c r="H651" s="111" t="n"/>
      <c r="I651" s="45" t="n"/>
      <c r="J651" s="28" t="n"/>
      <c r="K651" s="28" t="n"/>
      <c r="L651" s="28" t="n"/>
      <c r="M651" s="59">
        <f>IF(C651="","",IFERROR(INDEX('6. Base de Custos'!$N$8:$N$42,MATCH(C651,'6. Base de Custos'!$L$8:$L$42,0)),"Não classificado"))</f>
        <v/>
      </c>
      <c r="N651" s="59">
        <f>IF(C651="","",IFERROR(INDEX('6. Base de Custos'!$O$8:$O$42,MATCH(C651,'6. Base de Custos'!$L$8:$L$42,0)),"Revisar"))</f>
        <v/>
      </c>
      <c r="O651" s="60">
        <f>IF(M651="","",IFERROR(VLOOKUP(M651,'6. Base de Custos'!$H$12:$J$18,3,FALSE),0))</f>
        <v/>
      </c>
      <c r="P651" s="59">
        <f>IF(C651="","",IFERROR(INDEX('6. Base de Custos'!$P$8:$P$42,MATCH(C651,'6. Base de Custos'!$L$8:$L$42,0)),"Revisar"))</f>
        <v/>
      </c>
      <c r="Q651" s="59">
        <f>IF(C651="","",IFERROR(INDEX('6. Base de Custos'!$Q$8:$Q$42,MATCH(C651,'6. Base de Custos'!$L$8:$L$42,0)),""))</f>
        <v/>
      </c>
      <c r="R651" s="65">
        <f>IF(C651="","",IFERROR(VLOOKUP(M651&amp;"|"&amp;N651,'17. Mapa DRE CP'!$E$5:$H$100,2,FALSE),"Revisar"))</f>
        <v/>
      </c>
      <c r="S651" s="65">
        <f>IF(C651="","",IFERROR(VLOOKUP(M651&amp;"|"&amp;N651,'17. Mapa DRE CP'!$E$5:$H$100,3,FALSE),"Revisar"))</f>
        <v/>
      </c>
      <c r="T651" s="65">
        <f>IF(C651="","",IF(R651="(-) Custos diretos dos serviços",IF(ISNUMBER(SEARCH("PCMSO",C651)),"PCMSO",IF(OR(ISNUMBER(SEARCH("SGS",C651)),ISNUMBER(SEARCH("CASTRO NAVES",C651))),"Projetos / Laudos / Avulsos","Projetos / Laudos / Avulsos")),"Rateio pela receita bruta"))</f>
        <v/>
      </c>
      <c r="U651" s="65">
        <f>IF(C651="","",IF(R651="(-) Custos diretos dos serviços","Direto por fornecedor/natureza do gasto","Rateio proporcional à receita bruta da linha de serviço"))</f>
        <v/>
      </c>
    </row>
    <row r="652">
      <c r="A652" s="28">
        <f>IF(C652="","", "CP-"&amp;TEXT(ROW()-5,"000"))</f>
        <v/>
      </c>
      <c r="B652" s="27">
        <f>IF(F652="","",DATE(YEAR(F652),MONTH(F652),1))</f>
        <v/>
      </c>
      <c r="C652" s="28" t="n"/>
      <c r="D652" s="28" t="n"/>
      <c r="E652" s="59">
        <f>IF(C652="","",IFERROR(INDEX('6. Base de Custos'!$M$8:$M$42,MATCH(C652,'6. Base de Custos'!$L$8:$L$42,0)),"Não classificado"))</f>
        <v/>
      </c>
      <c r="F652" s="111" t="n"/>
      <c r="G652" s="111" t="n"/>
      <c r="H652" s="111" t="n"/>
      <c r="I652" s="45" t="n"/>
      <c r="J652" s="28" t="n"/>
      <c r="K652" s="28" t="n"/>
      <c r="L652" s="28" t="n"/>
      <c r="M652" s="59">
        <f>IF(C652="","",IFERROR(INDEX('6. Base de Custos'!$N$8:$N$42,MATCH(C652,'6. Base de Custos'!$L$8:$L$42,0)),"Não classificado"))</f>
        <v/>
      </c>
      <c r="N652" s="59">
        <f>IF(C652="","",IFERROR(INDEX('6. Base de Custos'!$O$8:$O$42,MATCH(C652,'6. Base de Custos'!$L$8:$L$42,0)),"Revisar"))</f>
        <v/>
      </c>
      <c r="O652" s="60">
        <f>IF(M652="","",IFERROR(VLOOKUP(M652,'6. Base de Custos'!$H$12:$J$18,3,FALSE),0))</f>
        <v/>
      </c>
      <c r="P652" s="59">
        <f>IF(C652="","",IFERROR(INDEX('6. Base de Custos'!$P$8:$P$42,MATCH(C652,'6. Base de Custos'!$L$8:$L$42,0)),"Revisar"))</f>
        <v/>
      </c>
      <c r="Q652" s="59">
        <f>IF(C652="","",IFERROR(INDEX('6. Base de Custos'!$Q$8:$Q$42,MATCH(C652,'6. Base de Custos'!$L$8:$L$42,0)),""))</f>
        <v/>
      </c>
      <c r="R652" s="65">
        <f>IF(C652="","",IFERROR(VLOOKUP(M652&amp;"|"&amp;N652,'17. Mapa DRE CP'!$E$5:$H$100,2,FALSE),"Revisar"))</f>
        <v/>
      </c>
      <c r="S652" s="65">
        <f>IF(C652="","",IFERROR(VLOOKUP(M652&amp;"|"&amp;N652,'17. Mapa DRE CP'!$E$5:$H$100,3,FALSE),"Revisar"))</f>
        <v/>
      </c>
      <c r="T652" s="65">
        <f>IF(C652="","",IF(R652="(-) Custos diretos dos serviços",IF(ISNUMBER(SEARCH("PCMSO",C652)),"PCMSO",IF(OR(ISNUMBER(SEARCH("SGS",C652)),ISNUMBER(SEARCH("CASTRO NAVES",C652))),"Projetos / Laudos / Avulsos","Projetos / Laudos / Avulsos")),"Rateio pela receita bruta"))</f>
        <v/>
      </c>
      <c r="U652" s="65">
        <f>IF(C652="","",IF(R652="(-) Custos diretos dos serviços","Direto por fornecedor/natureza do gasto","Rateio proporcional à receita bruta da linha de serviço"))</f>
        <v/>
      </c>
    </row>
    <row r="653">
      <c r="A653" s="28">
        <f>IF(C653="","", "CP-"&amp;TEXT(ROW()-5,"000"))</f>
        <v/>
      </c>
      <c r="B653" s="27">
        <f>IF(F653="","",DATE(YEAR(F653),MONTH(F653),1))</f>
        <v/>
      </c>
      <c r="C653" s="28" t="n"/>
      <c r="D653" s="28" t="n"/>
      <c r="E653" s="59">
        <f>IF(C653="","",IFERROR(INDEX('6. Base de Custos'!$M$8:$M$42,MATCH(C653,'6. Base de Custos'!$L$8:$L$42,0)),"Não classificado"))</f>
        <v/>
      </c>
      <c r="F653" s="111" t="n"/>
      <c r="G653" s="111" t="n"/>
      <c r="H653" s="111" t="n"/>
      <c r="I653" s="45" t="n"/>
      <c r="J653" s="28" t="n"/>
      <c r="K653" s="28" t="n"/>
      <c r="L653" s="28" t="n"/>
      <c r="M653" s="59">
        <f>IF(C653="","",IFERROR(INDEX('6. Base de Custos'!$N$8:$N$42,MATCH(C653,'6. Base de Custos'!$L$8:$L$42,0)),"Não classificado"))</f>
        <v/>
      </c>
      <c r="N653" s="59">
        <f>IF(C653="","",IFERROR(INDEX('6. Base de Custos'!$O$8:$O$42,MATCH(C653,'6. Base de Custos'!$L$8:$L$42,0)),"Revisar"))</f>
        <v/>
      </c>
      <c r="O653" s="60">
        <f>IF(M653="","",IFERROR(VLOOKUP(M653,'6. Base de Custos'!$H$12:$J$18,3,FALSE),0))</f>
        <v/>
      </c>
      <c r="P653" s="59">
        <f>IF(C653="","",IFERROR(INDEX('6. Base de Custos'!$P$8:$P$42,MATCH(C653,'6. Base de Custos'!$L$8:$L$42,0)),"Revisar"))</f>
        <v/>
      </c>
      <c r="Q653" s="59">
        <f>IF(C653="","",IFERROR(INDEX('6. Base de Custos'!$Q$8:$Q$42,MATCH(C653,'6. Base de Custos'!$L$8:$L$42,0)),""))</f>
        <v/>
      </c>
      <c r="R653" s="65">
        <f>IF(C653="","",IFERROR(VLOOKUP(M653&amp;"|"&amp;N653,'17. Mapa DRE CP'!$E$5:$H$100,2,FALSE),"Revisar"))</f>
        <v/>
      </c>
      <c r="S653" s="65">
        <f>IF(C653="","",IFERROR(VLOOKUP(M653&amp;"|"&amp;N653,'17. Mapa DRE CP'!$E$5:$H$100,3,FALSE),"Revisar"))</f>
        <v/>
      </c>
      <c r="T653" s="65">
        <f>IF(C653="","",IF(R653="(-) Custos diretos dos serviços",IF(ISNUMBER(SEARCH("PCMSO",C653)),"PCMSO",IF(OR(ISNUMBER(SEARCH("SGS",C653)),ISNUMBER(SEARCH("CASTRO NAVES",C653))),"Projetos / Laudos / Avulsos","Projetos / Laudos / Avulsos")),"Rateio pela receita bruta"))</f>
        <v/>
      </c>
      <c r="U653" s="65">
        <f>IF(C653="","",IF(R653="(-) Custos diretos dos serviços","Direto por fornecedor/natureza do gasto","Rateio proporcional à receita bruta da linha de serviço"))</f>
        <v/>
      </c>
    </row>
    <row r="654">
      <c r="A654" s="28">
        <f>IF(C654="","", "CP-"&amp;TEXT(ROW()-5,"000"))</f>
        <v/>
      </c>
      <c r="B654" s="27">
        <f>IF(F654="","",DATE(YEAR(F654),MONTH(F654),1))</f>
        <v/>
      </c>
      <c r="C654" s="28" t="n"/>
      <c r="D654" s="28" t="n"/>
      <c r="E654" s="59">
        <f>IF(C654="","",IFERROR(INDEX('6. Base de Custos'!$M$8:$M$42,MATCH(C654,'6. Base de Custos'!$L$8:$L$42,0)),"Não classificado"))</f>
        <v/>
      </c>
      <c r="F654" s="111" t="n"/>
      <c r="G654" s="111" t="n"/>
      <c r="H654" s="111" t="n"/>
      <c r="I654" s="45" t="n"/>
      <c r="J654" s="28" t="n"/>
      <c r="K654" s="28" t="n"/>
      <c r="L654" s="28" t="n"/>
      <c r="M654" s="59">
        <f>IF(C654="","",IFERROR(INDEX('6. Base de Custos'!$N$8:$N$42,MATCH(C654,'6. Base de Custos'!$L$8:$L$42,0)),"Não classificado"))</f>
        <v/>
      </c>
      <c r="N654" s="59">
        <f>IF(C654="","",IFERROR(INDEX('6. Base de Custos'!$O$8:$O$42,MATCH(C654,'6. Base de Custos'!$L$8:$L$42,0)),"Revisar"))</f>
        <v/>
      </c>
      <c r="O654" s="60">
        <f>IF(M654="","",IFERROR(VLOOKUP(M654,'6. Base de Custos'!$H$12:$J$18,3,FALSE),0))</f>
        <v/>
      </c>
      <c r="P654" s="59">
        <f>IF(C654="","",IFERROR(INDEX('6. Base de Custos'!$P$8:$P$42,MATCH(C654,'6. Base de Custos'!$L$8:$L$42,0)),"Revisar"))</f>
        <v/>
      </c>
      <c r="Q654" s="59">
        <f>IF(C654="","",IFERROR(INDEX('6. Base de Custos'!$Q$8:$Q$42,MATCH(C654,'6. Base de Custos'!$L$8:$L$42,0)),""))</f>
        <v/>
      </c>
      <c r="R654" s="65">
        <f>IF(C654="","",IFERROR(VLOOKUP(M654&amp;"|"&amp;N654,'17. Mapa DRE CP'!$E$5:$H$100,2,FALSE),"Revisar"))</f>
        <v/>
      </c>
      <c r="S654" s="65">
        <f>IF(C654="","",IFERROR(VLOOKUP(M654&amp;"|"&amp;N654,'17. Mapa DRE CP'!$E$5:$H$100,3,FALSE),"Revisar"))</f>
        <v/>
      </c>
      <c r="T654" s="65">
        <f>IF(C654="","",IF(R654="(-) Custos diretos dos serviços",IF(ISNUMBER(SEARCH("PCMSO",C654)),"PCMSO",IF(OR(ISNUMBER(SEARCH("SGS",C654)),ISNUMBER(SEARCH("CASTRO NAVES",C654))),"Projetos / Laudos / Avulsos","Projetos / Laudos / Avulsos")),"Rateio pela receita bruta"))</f>
        <v/>
      </c>
      <c r="U654" s="65">
        <f>IF(C654="","",IF(R654="(-) Custos diretos dos serviços","Direto por fornecedor/natureza do gasto","Rateio proporcional à receita bruta da linha de serviço"))</f>
        <v/>
      </c>
    </row>
    <row r="655">
      <c r="A655" s="28">
        <f>IF(C655="","", "CP-"&amp;TEXT(ROW()-5,"000"))</f>
        <v/>
      </c>
      <c r="B655" s="27">
        <f>IF(F655="","",DATE(YEAR(F655),MONTH(F655),1))</f>
        <v/>
      </c>
      <c r="C655" s="28" t="n"/>
      <c r="D655" s="28" t="n"/>
      <c r="E655" s="59">
        <f>IF(C655="","",IFERROR(INDEX('6. Base de Custos'!$M$8:$M$42,MATCH(C655,'6. Base de Custos'!$L$8:$L$42,0)),"Não classificado"))</f>
        <v/>
      </c>
      <c r="F655" s="111" t="n"/>
      <c r="G655" s="111" t="n"/>
      <c r="H655" s="111" t="n"/>
      <c r="I655" s="45" t="n"/>
      <c r="J655" s="28" t="n"/>
      <c r="K655" s="28" t="n"/>
      <c r="L655" s="28" t="n"/>
      <c r="M655" s="59">
        <f>IF(C655="","",IFERROR(INDEX('6. Base de Custos'!$N$8:$N$42,MATCH(C655,'6. Base de Custos'!$L$8:$L$42,0)),"Não classificado"))</f>
        <v/>
      </c>
      <c r="N655" s="59">
        <f>IF(C655="","",IFERROR(INDEX('6. Base de Custos'!$O$8:$O$42,MATCH(C655,'6. Base de Custos'!$L$8:$L$42,0)),"Revisar"))</f>
        <v/>
      </c>
      <c r="O655" s="60">
        <f>IF(M655="","",IFERROR(VLOOKUP(M655,'6. Base de Custos'!$H$12:$J$18,3,FALSE),0))</f>
        <v/>
      </c>
      <c r="P655" s="59">
        <f>IF(C655="","",IFERROR(INDEX('6. Base de Custos'!$P$8:$P$42,MATCH(C655,'6. Base de Custos'!$L$8:$L$42,0)),"Revisar"))</f>
        <v/>
      </c>
      <c r="Q655" s="59">
        <f>IF(C655="","",IFERROR(INDEX('6. Base de Custos'!$Q$8:$Q$42,MATCH(C655,'6. Base de Custos'!$L$8:$L$42,0)),""))</f>
        <v/>
      </c>
      <c r="R655" s="65">
        <f>IF(C655="","",IFERROR(VLOOKUP(M655&amp;"|"&amp;N655,'17. Mapa DRE CP'!$E$5:$H$100,2,FALSE),"Revisar"))</f>
        <v/>
      </c>
      <c r="S655" s="65">
        <f>IF(C655="","",IFERROR(VLOOKUP(M655&amp;"|"&amp;N655,'17. Mapa DRE CP'!$E$5:$H$100,3,FALSE),"Revisar"))</f>
        <v/>
      </c>
      <c r="T655" s="65">
        <f>IF(C655="","",IF(R655="(-) Custos diretos dos serviços",IF(ISNUMBER(SEARCH("PCMSO",C655)),"PCMSO",IF(OR(ISNUMBER(SEARCH("SGS",C655)),ISNUMBER(SEARCH("CASTRO NAVES",C655))),"Projetos / Laudos / Avulsos","Projetos / Laudos / Avulsos")),"Rateio pela receita bruta"))</f>
        <v/>
      </c>
      <c r="U655" s="65">
        <f>IF(C655="","",IF(R655="(-) Custos diretos dos serviços","Direto por fornecedor/natureza do gasto","Rateio proporcional à receita bruta da linha de serviço"))</f>
        <v/>
      </c>
    </row>
    <row r="656">
      <c r="A656" s="28">
        <f>IF(C656="","", "CP-"&amp;TEXT(ROW()-5,"000"))</f>
        <v/>
      </c>
      <c r="B656" s="27">
        <f>IF(F656="","",DATE(YEAR(F656),MONTH(F656),1))</f>
        <v/>
      </c>
      <c r="C656" s="28" t="n"/>
      <c r="D656" s="28" t="n"/>
      <c r="E656" s="59">
        <f>IF(C656="","",IFERROR(INDEX('6. Base de Custos'!$M$8:$M$42,MATCH(C656,'6. Base de Custos'!$L$8:$L$42,0)),"Não classificado"))</f>
        <v/>
      </c>
      <c r="F656" s="111" t="n"/>
      <c r="G656" s="111" t="n"/>
      <c r="H656" s="111" t="n"/>
      <c r="I656" s="45" t="n"/>
      <c r="J656" s="28" t="n"/>
      <c r="K656" s="28" t="n"/>
      <c r="L656" s="28" t="n"/>
      <c r="M656" s="59">
        <f>IF(C656="","",IFERROR(INDEX('6. Base de Custos'!$N$8:$N$42,MATCH(C656,'6. Base de Custos'!$L$8:$L$42,0)),"Não classificado"))</f>
        <v/>
      </c>
      <c r="N656" s="59">
        <f>IF(C656="","",IFERROR(INDEX('6. Base de Custos'!$O$8:$O$42,MATCH(C656,'6. Base de Custos'!$L$8:$L$42,0)),"Revisar"))</f>
        <v/>
      </c>
      <c r="O656" s="60">
        <f>IF(M656="","",IFERROR(VLOOKUP(M656,'6. Base de Custos'!$H$12:$J$18,3,FALSE),0))</f>
        <v/>
      </c>
      <c r="P656" s="59">
        <f>IF(C656="","",IFERROR(INDEX('6. Base de Custos'!$P$8:$P$42,MATCH(C656,'6. Base de Custos'!$L$8:$L$42,0)),"Revisar"))</f>
        <v/>
      </c>
      <c r="Q656" s="59">
        <f>IF(C656="","",IFERROR(INDEX('6. Base de Custos'!$Q$8:$Q$42,MATCH(C656,'6. Base de Custos'!$L$8:$L$42,0)),""))</f>
        <v/>
      </c>
      <c r="R656" s="65">
        <f>IF(C656="","",IFERROR(VLOOKUP(M656&amp;"|"&amp;N656,'17. Mapa DRE CP'!$E$5:$H$100,2,FALSE),"Revisar"))</f>
        <v/>
      </c>
      <c r="S656" s="65">
        <f>IF(C656="","",IFERROR(VLOOKUP(M656&amp;"|"&amp;N656,'17. Mapa DRE CP'!$E$5:$H$100,3,FALSE),"Revisar"))</f>
        <v/>
      </c>
      <c r="T656" s="65">
        <f>IF(C656="","",IF(R656="(-) Custos diretos dos serviços",IF(ISNUMBER(SEARCH("PCMSO",C656)),"PCMSO",IF(OR(ISNUMBER(SEARCH("SGS",C656)),ISNUMBER(SEARCH("CASTRO NAVES",C656))),"Projetos / Laudos / Avulsos","Projetos / Laudos / Avulsos")),"Rateio pela receita bruta"))</f>
        <v/>
      </c>
      <c r="U656" s="65">
        <f>IF(C656="","",IF(R656="(-) Custos diretos dos serviços","Direto por fornecedor/natureza do gasto","Rateio proporcional à receita bruta da linha de serviço"))</f>
        <v/>
      </c>
    </row>
    <row r="657">
      <c r="A657" s="28">
        <f>IF(C657="","", "CP-"&amp;TEXT(ROW()-5,"000"))</f>
        <v/>
      </c>
      <c r="B657" s="27">
        <f>IF(F657="","",DATE(YEAR(F657),MONTH(F657),1))</f>
        <v/>
      </c>
      <c r="C657" s="28" t="n"/>
      <c r="D657" s="28" t="n"/>
      <c r="E657" s="59">
        <f>IF(C657="","",IFERROR(INDEX('6. Base de Custos'!$M$8:$M$42,MATCH(C657,'6. Base de Custos'!$L$8:$L$42,0)),"Não classificado"))</f>
        <v/>
      </c>
      <c r="F657" s="111" t="n"/>
      <c r="G657" s="111" t="n"/>
      <c r="H657" s="111" t="n"/>
      <c r="I657" s="45" t="n"/>
      <c r="J657" s="28" t="n"/>
      <c r="K657" s="28" t="n"/>
      <c r="L657" s="28" t="n"/>
      <c r="M657" s="59">
        <f>IF(C657="","",IFERROR(INDEX('6. Base de Custos'!$N$8:$N$42,MATCH(C657,'6. Base de Custos'!$L$8:$L$42,0)),"Não classificado"))</f>
        <v/>
      </c>
      <c r="N657" s="59">
        <f>IF(C657="","",IFERROR(INDEX('6. Base de Custos'!$O$8:$O$42,MATCH(C657,'6. Base de Custos'!$L$8:$L$42,0)),"Revisar"))</f>
        <v/>
      </c>
      <c r="O657" s="60">
        <f>IF(M657="","",IFERROR(VLOOKUP(M657,'6. Base de Custos'!$H$12:$J$18,3,FALSE),0))</f>
        <v/>
      </c>
      <c r="P657" s="59">
        <f>IF(C657="","",IFERROR(INDEX('6. Base de Custos'!$P$8:$P$42,MATCH(C657,'6. Base de Custos'!$L$8:$L$42,0)),"Revisar"))</f>
        <v/>
      </c>
      <c r="Q657" s="59">
        <f>IF(C657="","",IFERROR(INDEX('6. Base de Custos'!$Q$8:$Q$42,MATCH(C657,'6. Base de Custos'!$L$8:$L$42,0)),""))</f>
        <v/>
      </c>
      <c r="R657" s="65">
        <f>IF(C657="","",IFERROR(VLOOKUP(M657&amp;"|"&amp;N657,'17. Mapa DRE CP'!$E$5:$H$100,2,FALSE),"Revisar"))</f>
        <v/>
      </c>
      <c r="S657" s="65">
        <f>IF(C657="","",IFERROR(VLOOKUP(M657&amp;"|"&amp;N657,'17. Mapa DRE CP'!$E$5:$H$100,3,FALSE),"Revisar"))</f>
        <v/>
      </c>
      <c r="T657" s="65">
        <f>IF(C657="","",IF(R657="(-) Custos diretos dos serviços",IF(ISNUMBER(SEARCH("PCMSO",C657)),"PCMSO",IF(OR(ISNUMBER(SEARCH("SGS",C657)),ISNUMBER(SEARCH("CASTRO NAVES",C657))),"Projetos / Laudos / Avulsos","Projetos / Laudos / Avulsos")),"Rateio pela receita bruta"))</f>
        <v/>
      </c>
      <c r="U657" s="65">
        <f>IF(C657="","",IF(R657="(-) Custos diretos dos serviços","Direto por fornecedor/natureza do gasto","Rateio proporcional à receita bruta da linha de serviço"))</f>
        <v/>
      </c>
    </row>
    <row r="658">
      <c r="A658" s="28">
        <f>IF(C658="","", "CP-"&amp;TEXT(ROW()-5,"000"))</f>
        <v/>
      </c>
      <c r="B658" s="27">
        <f>IF(F658="","",DATE(YEAR(F658),MONTH(F658),1))</f>
        <v/>
      </c>
      <c r="C658" s="28" t="n"/>
      <c r="D658" s="28" t="n"/>
      <c r="E658" s="59">
        <f>IF(C658="","",IFERROR(INDEX('6. Base de Custos'!$M$8:$M$42,MATCH(C658,'6. Base de Custos'!$L$8:$L$42,0)),"Não classificado"))</f>
        <v/>
      </c>
      <c r="F658" s="111" t="n"/>
      <c r="G658" s="111" t="n"/>
      <c r="H658" s="111" t="n"/>
      <c r="I658" s="45" t="n"/>
      <c r="J658" s="28" t="n"/>
      <c r="K658" s="28" t="n"/>
      <c r="L658" s="28" t="n"/>
      <c r="M658" s="59">
        <f>IF(C658="","",IFERROR(INDEX('6. Base de Custos'!$N$8:$N$42,MATCH(C658,'6. Base de Custos'!$L$8:$L$42,0)),"Não classificado"))</f>
        <v/>
      </c>
      <c r="N658" s="59">
        <f>IF(C658="","",IFERROR(INDEX('6. Base de Custos'!$O$8:$O$42,MATCH(C658,'6. Base de Custos'!$L$8:$L$42,0)),"Revisar"))</f>
        <v/>
      </c>
      <c r="O658" s="60">
        <f>IF(M658="","",IFERROR(VLOOKUP(M658,'6. Base de Custos'!$H$12:$J$18,3,FALSE),0))</f>
        <v/>
      </c>
      <c r="P658" s="59">
        <f>IF(C658="","",IFERROR(INDEX('6. Base de Custos'!$P$8:$P$42,MATCH(C658,'6. Base de Custos'!$L$8:$L$42,0)),"Revisar"))</f>
        <v/>
      </c>
      <c r="Q658" s="59">
        <f>IF(C658="","",IFERROR(INDEX('6. Base de Custos'!$Q$8:$Q$42,MATCH(C658,'6. Base de Custos'!$L$8:$L$42,0)),""))</f>
        <v/>
      </c>
      <c r="R658" s="65">
        <f>IF(C658="","",IFERROR(VLOOKUP(M658&amp;"|"&amp;N658,'17. Mapa DRE CP'!$E$5:$H$100,2,FALSE),"Revisar"))</f>
        <v/>
      </c>
      <c r="S658" s="65">
        <f>IF(C658="","",IFERROR(VLOOKUP(M658&amp;"|"&amp;N658,'17. Mapa DRE CP'!$E$5:$H$100,3,FALSE),"Revisar"))</f>
        <v/>
      </c>
      <c r="T658" s="65">
        <f>IF(C658="","",IF(R658="(-) Custos diretos dos serviços",IF(ISNUMBER(SEARCH("PCMSO",C658)),"PCMSO",IF(OR(ISNUMBER(SEARCH("SGS",C658)),ISNUMBER(SEARCH("CASTRO NAVES",C658))),"Projetos / Laudos / Avulsos","Projetos / Laudos / Avulsos")),"Rateio pela receita bruta"))</f>
        <v/>
      </c>
      <c r="U658" s="65">
        <f>IF(C658="","",IF(R658="(-) Custos diretos dos serviços","Direto por fornecedor/natureza do gasto","Rateio proporcional à receita bruta da linha de serviço"))</f>
        <v/>
      </c>
    </row>
    <row r="659">
      <c r="A659" s="28">
        <f>IF(C659="","", "CP-"&amp;TEXT(ROW()-5,"000"))</f>
        <v/>
      </c>
      <c r="B659" s="27">
        <f>IF(F659="","",DATE(YEAR(F659),MONTH(F659),1))</f>
        <v/>
      </c>
      <c r="C659" s="28" t="n"/>
      <c r="D659" s="28" t="n"/>
      <c r="E659" s="59">
        <f>IF(C659="","",IFERROR(INDEX('6. Base de Custos'!$M$8:$M$42,MATCH(C659,'6. Base de Custos'!$L$8:$L$42,0)),"Não classificado"))</f>
        <v/>
      </c>
      <c r="F659" s="111" t="n"/>
      <c r="G659" s="111" t="n"/>
      <c r="H659" s="111" t="n"/>
      <c r="I659" s="45" t="n"/>
      <c r="J659" s="28" t="n"/>
      <c r="K659" s="28" t="n"/>
      <c r="L659" s="28" t="n"/>
      <c r="M659" s="59">
        <f>IF(C659="","",IFERROR(INDEX('6. Base de Custos'!$N$8:$N$42,MATCH(C659,'6. Base de Custos'!$L$8:$L$42,0)),"Não classificado"))</f>
        <v/>
      </c>
      <c r="N659" s="59">
        <f>IF(C659="","",IFERROR(INDEX('6. Base de Custos'!$O$8:$O$42,MATCH(C659,'6. Base de Custos'!$L$8:$L$42,0)),"Revisar"))</f>
        <v/>
      </c>
      <c r="O659" s="60">
        <f>IF(M659="","",IFERROR(VLOOKUP(M659,'6. Base de Custos'!$H$12:$J$18,3,FALSE),0))</f>
        <v/>
      </c>
      <c r="P659" s="59">
        <f>IF(C659="","",IFERROR(INDEX('6. Base de Custos'!$P$8:$P$42,MATCH(C659,'6. Base de Custos'!$L$8:$L$42,0)),"Revisar"))</f>
        <v/>
      </c>
      <c r="Q659" s="59">
        <f>IF(C659="","",IFERROR(INDEX('6. Base de Custos'!$Q$8:$Q$42,MATCH(C659,'6. Base de Custos'!$L$8:$L$42,0)),""))</f>
        <v/>
      </c>
      <c r="R659" s="65">
        <f>IF(C659="","",IFERROR(VLOOKUP(M659&amp;"|"&amp;N659,'17. Mapa DRE CP'!$E$5:$H$100,2,FALSE),"Revisar"))</f>
        <v/>
      </c>
      <c r="S659" s="65">
        <f>IF(C659="","",IFERROR(VLOOKUP(M659&amp;"|"&amp;N659,'17. Mapa DRE CP'!$E$5:$H$100,3,FALSE),"Revisar"))</f>
        <v/>
      </c>
      <c r="T659" s="65">
        <f>IF(C659="","",IF(R659="(-) Custos diretos dos serviços",IF(ISNUMBER(SEARCH("PCMSO",C659)),"PCMSO",IF(OR(ISNUMBER(SEARCH("SGS",C659)),ISNUMBER(SEARCH("CASTRO NAVES",C659))),"Projetos / Laudos / Avulsos","Projetos / Laudos / Avulsos")),"Rateio pela receita bruta"))</f>
        <v/>
      </c>
      <c r="U659" s="65">
        <f>IF(C659="","",IF(R659="(-) Custos diretos dos serviços","Direto por fornecedor/natureza do gasto","Rateio proporcional à receita bruta da linha de serviço"))</f>
        <v/>
      </c>
    </row>
    <row r="660">
      <c r="A660" s="28">
        <f>IF(C660="","", "CP-"&amp;TEXT(ROW()-5,"000"))</f>
        <v/>
      </c>
      <c r="B660" s="27">
        <f>IF(F660="","",DATE(YEAR(F660),MONTH(F660),1))</f>
        <v/>
      </c>
      <c r="C660" s="28" t="n"/>
      <c r="D660" s="28" t="n"/>
      <c r="E660" s="59">
        <f>IF(C660="","",IFERROR(INDEX('6. Base de Custos'!$M$8:$M$42,MATCH(C660,'6. Base de Custos'!$L$8:$L$42,0)),"Não classificado"))</f>
        <v/>
      </c>
      <c r="F660" s="111" t="n"/>
      <c r="G660" s="111" t="n"/>
      <c r="H660" s="111" t="n"/>
      <c r="I660" s="45" t="n"/>
      <c r="J660" s="28" t="n"/>
      <c r="K660" s="28" t="n"/>
      <c r="L660" s="28" t="n"/>
      <c r="M660" s="59">
        <f>IF(C660="","",IFERROR(INDEX('6. Base de Custos'!$N$8:$N$42,MATCH(C660,'6. Base de Custos'!$L$8:$L$42,0)),"Não classificado"))</f>
        <v/>
      </c>
      <c r="N660" s="59">
        <f>IF(C660="","",IFERROR(INDEX('6. Base de Custos'!$O$8:$O$42,MATCH(C660,'6. Base de Custos'!$L$8:$L$42,0)),"Revisar"))</f>
        <v/>
      </c>
      <c r="O660" s="60">
        <f>IF(M660="","",IFERROR(VLOOKUP(M660,'6. Base de Custos'!$H$12:$J$18,3,FALSE),0))</f>
        <v/>
      </c>
      <c r="P660" s="59">
        <f>IF(C660="","",IFERROR(INDEX('6. Base de Custos'!$P$8:$P$42,MATCH(C660,'6. Base de Custos'!$L$8:$L$42,0)),"Revisar"))</f>
        <v/>
      </c>
      <c r="Q660" s="59">
        <f>IF(C660="","",IFERROR(INDEX('6. Base de Custos'!$Q$8:$Q$42,MATCH(C660,'6. Base de Custos'!$L$8:$L$42,0)),""))</f>
        <v/>
      </c>
      <c r="R660" s="65">
        <f>IF(C660="","",IFERROR(VLOOKUP(M660&amp;"|"&amp;N660,'17. Mapa DRE CP'!$E$5:$H$100,2,FALSE),"Revisar"))</f>
        <v/>
      </c>
      <c r="S660" s="65">
        <f>IF(C660="","",IFERROR(VLOOKUP(M660&amp;"|"&amp;N660,'17. Mapa DRE CP'!$E$5:$H$100,3,FALSE),"Revisar"))</f>
        <v/>
      </c>
      <c r="T660" s="65">
        <f>IF(C660="","",IF(R660="(-) Custos diretos dos serviços",IF(ISNUMBER(SEARCH("PCMSO",C660)),"PCMSO",IF(OR(ISNUMBER(SEARCH("SGS",C660)),ISNUMBER(SEARCH("CASTRO NAVES",C660))),"Projetos / Laudos / Avulsos","Projetos / Laudos / Avulsos")),"Rateio pela receita bruta"))</f>
        <v/>
      </c>
      <c r="U660" s="65">
        <f>IF(C660="","",IF(R660="(-) Custos diretos dos serviços","Direto por fornecedor/natureza do gasto","Rateio proporcional à receita bruta da linha de serviço"))</f>
        <v/>
      </c>
    </row>
    <row r="661">
      <c r="A661" s="28">
        <f>IF(C661="","", "CP-"&amp;TEXT(ROW()-5,"000"))</f>
        <v/>
      </c>
      <c r="B661" s="27">
        <f>IF(F661="","",DATE(YEAR(F661),MONTH(F661),1))</f>
        <v/>
      </c>
      <c r="C661" s="28" t="n"/>
      <c r="D661" s="28" t="n"/>
      <c r="E661" s="59">
        <f>IF(C661="","",IFERROR(INDEX('6. Base de Custos'!$M$8:$M$42,MATCH(C661,'6. Base de Custos'!$L$8:$L$42,0)),"Não classificado"))</f>
        <v/>
      </c>
      <c r="F661" s="111" t="n"/>
      <c r="G661" s="111" t="n"/>
      <c r="H661" s="111" t="n"/>
      <c r="I661" s="45" t="n"/>
      <c r="J661" s="28" t="n"/>
      <c r="K661" s="28" t="n"/>
      <c r="L661" s="28" t="n"/>
      <c r="M661" s="59">
        <f>IF(C661="","",IFERROR(INDEX('6. Base de Custos'!$N$8:$N$42,MATCH(C661,'6. Base de Custos'!$L$8:$L$42,0)),"Não classificado"))</f>
        <v/>
      </c>
      <c r="N661" s="59">
        <f>IF(C661="","",IFERROR(INDEX('6. Base de Custos'!$O$8:$O$42,MATCH(C661,'6. Base de Custos'!$L$8:$L$42,0)),"Revisar"))</f>
        <v/>
      </c>
      <c r="O661" s="60">
        <f>IF(M661="","",IFERROR(VLOOKUP(M661,'6. Base de Custos'!$H$12:$J$18,3,FALSE),0))</f>
        <v/>
      </c>
      <c r="P661" s="59">
        <f>IF(C661="","",IFERROR(INDEX('6. Base de Custos'!$P$8:$P$42,MATCH(C661,'6. Base de Custos'!$L$8:$L$42,0)),"Revisar"))</f>
        <v/>
      </c>
      <c r="Q661" s="59">
        <f>IF(C661="","",IFERROR(INDEX('6. Base de Custos'!$Q$8:$Q$42,MATCH(C661,'6. Base de Custos'!$L$8:$L$42,0)),""))</f>
        <v/>
      </c>
      <c r="R661" s="65">
        <f>IF(C661="","",IFERROR(VLOOKUP(M661&amp;"|"&amp;N661,'17. Mapa DRE CP'!$E$5:$H$100,2,FALSE),"Revisar"))</f>
        <v/>
      </c>
      <c r="S661" s="65">
        <f>IF(C661="","",IFERROR(VLOOKUP(M661&amp;"|"&amp;N661,'17. Mapa DRE CP'!$E$5:$H$100,3,FALSE),"Revisar"))</f>
        <v/>
      </c>
      <c r="T661" s="65">
        <f>IF(C661="","",IF(R661="(-) Custos diretos dos serviços",IF(ISNUMBER(SEARCH("PCMSO",C661)),"PCMSO",IF(OR(ISNUMBER(SEARCH("SGS",C661)),ISNUMBER(SEARCH("CASTRO NAVES",C661))),"Projetos / Laudos / Avulsos","Projetos / Laudos / Avulsos")),"Rateio pela receita bruta"))</f>
        <v/>
      </c>
      <c r="U661" s="65">
        <f>IF(C661="","",IF(R661="(-) Custos diretos dos serviços","Direto por fornecedor/natureza do gasto","Rateio proporcional à receita bruta da linha de serviço"))</f>
        <v/>
      </c>
    </row>
    <row r="662">
      <c r="A662" s="28">
        <f>IF(C662="","", "CP-"&amp;TEXT(ROW()-5,"000"))</f>
        <v/>
      </c>
      <c r="B662" s="27">
        <f>IF(F662="","",DATE(YEAR(F662),MONTH(F662),1))</f>
        <v/>
      </c>
      <c r="C662" s="28" t="n"/>
      <c r="D662" s="28" t="n"/>
      <c r="E662" s="59">
        <f>IF(C662="","",IFERROR(INDEX('6. Base de Custos'!$M$8:$M$42,MATCH(C662,'6. Base de Custos'!$L$8:$L$42,0)),"Não classificado"))</f>
        <v/>
      </c>
      <c r="F662" s="111" t="n"/>
      <c r="G662" s="111" t="n"/>
      <c r="H662" s="111" t="n"/>
      <c r="I662" s="45" t="n"/>
      <c r="J662" s="28" t="n"/>
      <c r="K662" s="28" t="n"/>
      <c r="L662" s="28" t="n"/>
      <c r="M662" s="59">
        <f>IF(C662="","",IFERROR(INDEX('6. Base de Custos'!$N$8:$N$42,MATCH(C662,'6. Base de Custos'!$L$8:$L$42,0)),"Não classificado"))</f>
        <v/>
      </c>
      <c r="N662" s="59">
        <f>IF(C662="","",IFERROR(INDEX('6. Base de Custos'!$O$8:$O$42,MATCH(C662,'6. Base de Custos'!$L$8:$L$42,0)),"Revisar"))</f>
        <v/>
      </c>
      <c r="O662" s="60">
        <f>IF(M662="","",IFERROR(VLOOKUP(M662,'6. Base de Custos'!$H$12:$J$18,3,FALSE),0))</f>
        <v/>
      </c>
      <c r="P662" s="59">
        <f>IF(C662="","",IFERROR(INDEX('6. Base de Custos'!$P$8:$P$42,MATCH(C662,'6. Base de Custos'!$L$8:$L$42,0)),"Revisar"))</f>
        <v/>
      </c>
      <c r="Q662" s="59">
        <f>IF(C662="","",IFERROR(INDEX('6. Base de Custos'!$Q$8:$Q$42,MATCH(C662,'6. Base de Custos'!$L$8:$L$42,0)),""))</f>
        <v/>
      </c>
      <c r="R662" s="65">
        <f>IF(C662="","",IFERROR(VLOOKUP(M662&amp;"|"&amp;N662,'17. Mapa DRE CP'!$E$5:$H$100,2,FALSE),"Revisar"))</f>
        <v/>
      </c>
      <c r="S662" s="65">
        <f>IF(C662="","",IFERROR(VLOOKUP(M662&amp;"|"&amp;N662,'17. Mapa DRE CP'!$E$5:$H$100,3,FALSE),"Revisar"))</f>
        <v/>
      </c>
      <c r="T662" s="65">
        <f>IF(C662="","",IF(R662="(-) Custos diretos dos serviços",IF(ISNUMBER(SEARCH("PCMSO",C662)),"PCMSO",IF(OR(ISNUMBER(SEARCH("SGS",C662)),ISNUMBER(SEARCH("CASTRO NAVES",C662))),"Projetos / Laudos / Avulsos","Projetos / Laudos / Avulsos")),"Rateio pela receita bruta"))</f>
        <v/>
      </c>
      <c r="U662" s="65">
        <f>IF(C662="","",IF(R662="(-) Custos diretos dos serviços","Direto por fornecedor/natureza do gasto","Rateio proporcional à receita bruta da linha de serviço"))</f>
        <v/>
      </c>
    </row>
    <row r="663">
      <c r="A663" s="28">
        <f>IF(C663="","", "CP-"&amp;TEXT(ROW()-5,"000"))</f>
        <v/>
      </c>
      <c r="B663" s="27">
        <f>IF(F663="","",DATE(YEAR(F663),MONTH(F663),1))</f>
        <v/>
      </c>
      <c r="C663" s="28" t="n"/>
      <c r="D663" s="28" t="n"/>
      <c r="E663" s="59">
        <f>IF(C663="","",IFERROR(INDEX('6. Base de Custos'!$M$8:$M$42,MATCH(C663,'6. Base de Custos'!$L$8:$L$42,0)),"Não classificado"))</f>
        <v/>
      </c>
      <c r="F663" s="111" t="n"/>
      <c r="G663" s="111" t="n"/>
      <c r="H663" s="111" t="n"/>
      <c r="I663" s="45" t="n"/>
      <c r="J663" s="28" t="n"/>
      <c r="K663" s="28" t="n"/>
      <c r="L663" s="28" t="n"/>
      <c r="M663" s="59">
        <f>IF(C663="","",IFERROR(INDEX('6. Base de Custos'!$N$8:$N$42,MATCH(C663,'6. Base de Custos'!$L$8:$L$42,0)),"Não classificado"))</f>
        <v/>
      </c>
      <c r="N663" s="59">
        <f>IF(C663="","",IFERROR(INDEX('6. Base de Custos'!$O$8:$O$42,MATCH(C663,'6. Base de Custos'!$L$8:$L$42,0)),"Revisar"))</f>
        <v/>
      </c>
      <c r="O663" s="60">
        <f>IF(M663="","",IFERROR(VLOOKUP(M663,'6. Base de Custos'!$H$12:$J$18,3,FALSE),0))</f>
        <v/>
      </c>
      <c r="P663" s="59">
        <f>IF(C663="","",IFERROR(INDEX('6. Base de Custos'!$P$8:$P$42,MATCH(C663,'6. Base de Custos'!$L$8:$L$42,0)),"Revisar"))</f>
        <v/>
      </c>
      <c r="Q663" s="59">
        <f>IF(C663="","",IFERROR(INDEX('6. Base de Custos'!$Q$8:$Q$42,MATCH(C663,'6. Base de Custos'!$L$8:$L$42,0)),""))</f>
        <v/>
      </c>
      <c r="R663" s="65">
        <f>IF(C663="","",IFERROR(VLOOKUP(M663&amp;"|"&amp;N663,'17. Mapa DRE CP'!$E$5:$H$100,2,FALSE),"Revisar"))</f>
        <v/>
      </c>
      <c r="S663" s="65">
        <f>IF(C663="","",IFERROR(VLOOKUP(M663&amp;"|"&amp;N663,'17. Mapa DRE CP'!$E$5:$H$100,3,FALSE),"Revisar"))</f>
        <v/>
      </c>
      <c r="T663" s="65">
        <f>IF(C663="","",IF(R663="(-) Custos diretos dos serviços",IF(ISNUMBER(SEARCH("PCMSO",C663)),"PCMSO",IF(OR(ISNUMBER(SEARCH("SGS",C663)),ISNUMBER(SEARCH("CASTRO NAVES",C663))),"Projetos / Laudos / Avulsos","Projetos / Laudos / Avulsos")),"Rateio pela receita bruta"))</f>
        <v/>
      </c>
      <c r="U663" s="65">
        <f>IF(C663="","",IF(R663="(-) Custos diretos dos serviços","Direto por fornecedor/natureza do gasto","Rateio proporcional à receita bruta da linha de serviço"))</f>
        <v/>
      </c>
    </row>
    <row r="664">
      <c r="A664" s="28">
        <f>IF(C664="","", "CP-"&amp;TEXT(ROW()-5,"000"))</f>
        <v/>
      </c>
      <c r="B664" s="27">
        <f>IF(F664="","",DATE(YEAR(F664),MONTH(F664),1))</f>
        <v/>
      </c>
      <c r="C664" s="28" t="n"/>
      <c r="D664" s="28" t="n"/>
      <c r="E664" s="59">
        <f>IF(C664="","",IFERROR(INDEX('6. Base de Custos'!$M$8:$M$42,MATCH(C664,'6. Base de Custos'!$L$8:$L$42,0)),"Não classificado"))</f>
        <v/>
      </c>
      <c r="F664" s="111" t="n"/>
      <c r="G664" s="111" t="n"/>
      <c r="H664" s="111" t="n"/>
      <c r="I664" s="45" t="n"/>
      <c r="J664" s="28" t="n"/>
      <c r="K664" s="28" t="n"/>
      <c r="L664" s="28" t="n"/>
      <c r="M664" s="59">
        <f>IF(C664="","",IFERROR(INDEX('6. Base de Custos'!$N$8:$N$42,MATCH(C664,'6. Base de Custos'!$L$8:$L$42,0)),"Não classificado"))</f>
        <v/>
      </c>
      <c r="N664" s="59">
        <f>IF(C664="","",IFERROR(INDEX('6. Base de Custos'!$O$8:$O$42,MATCH(C664,'6. Base de Custos'!$L$8:$L$42,0)),"Revisar"))</f>
        <v/>
      </c>
      <c r="O664" s="60">
        <f>IF(M664="","",IFERROR(VLOOKUP(M664,'6. Base de Custos'!$H$12:$J$18,3,FALSE),0))</f>
        <v/>
      </c>
      <c r="P664" s="59">
        <f>IF(C664="","",IFERROR(INDEX('6. Base de Custos'!$P$8:$P$42,MATCH(C664,'6. Base de Custos'!$L$8:$L$42,0)),"Revisar"))</f>
        <v/>
      </c>
      <c r="Q664" s="59">
        <f>IF(C664="","",IFERROR(INDEX('6. Base de Custos'!$Q$8:$Q$42,MATCH(C664,'6. Base de Custos'!$L$8:$L$42,0)),""))</f>
        <v/>
      </c>
      <c r="R664" s="65">
        <f>IF(C664="","",IFERROR(VLOOKUP(M664&amp;"|"&amp;N664,'17. Mapa DRE CP'!$E$5:$H$100,2,FALSE),"Revisar"))</f>
        <v/>
      </c>
      <c r="S664" s="65">
        <f>IF(C664="","",IFERROR(VLOOKUP(M664&amp;"|"&amp;N664,'17. Mapa DRE CP'!$E$5:$H$100,3,FALSE),"Revisar"))</f>
        <v/>
      </c>
      <c r="T664" s="65">
        <f>IF(C664="","",IF(R664="(-) Custos diretos dos serviços",IF(ISNUMBER(SEARCH("PCMSO",C664)),"PCMSO",IF(OR(ISNUMBER(SEARCH("SGS",C664)),ISNUMBER(SEARCH("CASTRO NAVES",C664))),"Projetos / Laudos / Avulsos","Projetos / Laudos / Avulsos")),"Rateio pela receita bruta"))</f>
        <v/>
      </c>
      <c r="U664" s="65">
        <f>IF(C664="","",IF(R664="(-) Custos diretos dos serviços","Direto por fornecedor/natureza do gasto","Rateio proporcional à receita bruta da linha de serviço"))</f>
        <v/>
      </c>
    </row>
    <row r="665">
      <c r="A665" s="28">
        <f>IF(C665="","", "CP-"&amp;TEXT(ROW()-5,"000"))</f>
        <v/>
      </c>
      <c r="B665" s="27">
        <f>IF(F665="","",DATE(YEAR(F665),MONTH(F665),1))</f>
        <v/>
      </c>
      <c r="C665" s="28" t="n"/>
      <c r="D665" s="28" t="n"/>
      <c r="E665" s="59">
        <f>IF(C665="","",IFERROR(INDEX('6. Base de Custos'!$M$8:$M$42,MATCH(C665,'6. Base de Custos'!$L$8:$L$42,0)),"Não classificado"))</f>
        <v/>
      </c>
      <c r="F665" s="111" t="n"/>
      <c r="G665" s="111" t="n"/>
      <c r="H665" s="111" t="n"/>
      <c r="I665" s="45" t="n"/>
      <c r="J665" s="28" t="n"/>
      <c r="K665" s="28" t="n"/>
      <c r="L665" s="28" t="n"/>
      <c r="M665" s="59">
        <f>IF(C665="","",IFERROR(INDEX('6. Base de Custos'!$N$8:$N$42,MATCH(C665,'6. Base de Custos'!$L$8:$L$42,0)),"Não classificado"))</f>
        <v/>
      </c>
      <c r="N665" s="59">
        <f>IF(C665="","",IFERROR(INDEX('6. Base de Custos'!$O$8:$O$42,MATCH(C665,'6. Base de Custos'!$L$8:$L$42,0)),"Revisar"))</f>
        <v/>
      </c>
      <c r="O665" s="60">
        <f>IF(M665="","",IFERROR(VLOOKUP(M665,'6. Base de Custos'!$H$12:$J$18,3,FALSE),0))</f>
        <v/>
      </c>
      <c r="P665" s="59">
        <f>IF(C665="","",IFERROR(INDEX('6. Base de Custos'!$P$8:$P$42,MATCH(C665,'6. Base de Custos'!$L$8:$L$42,0)),"Revisar"))</f>
        <v/>
      </c>
      <c r="Q665" s="59">
        <f>IF(C665="","",IFERROR(INDEX('6. Base de Custos'!$Q$8:$Q$42,MATCH(C665,'6. Base de Custos'!$L$8:$L$42,0)),""))</f>
        <v/>
      </c>
      <c r="R665" s="65">
        <f>IF(C665="","",IFERROR(VLOOKUP(M665&amp;"|"&amp;N665,'17. Mapa DRE CP'!$E$5:$H$100,2,FALSE),"Revisar"))</f>
        <v/>
      </c>
      <c r="S665" s="65">
        <f>IF(C665="","",IFERROR(VLOOKUP(M665&amp;"|"&amp;N665,'17. Mapa DRE CP'!$E$5:$H$100,3,FALSE),"Revisar"))</f>
        <v/>
      </c>
      <c r="T665" s="65">
        <f>IF(C665="","",IF(R665="(-) Custos diretos dos serviços",IF(ISNUMBER(SEARCH("PCMSO",C665)),"PCMSO",IF(OR(ISNUMBER(SEARCH("SGS",C665)),ISNUMBER(SEARCH("CASTRO NAVES",C665))),"Projetos / Laudos / Avulsos","Projetos / Laudos / Avulsos")),"Rateio pela receita bruta"))</f>
        <v/>
      </c>
      <c r="U665" s="65">
        <f>IF(C665="","",IF(R665="(-) Custos diretos dos serviços","Direto por fornecedor/natureza do gasto","Rateio proporcional à receita bruta da linha de serviço"))</f>
        <v/>
      </c>
    </row>
    <row r="666">
      <c r="A666" s="28">
        <f>IF(C666="","", "CP-"&amp;TEXT(ROW()-5,"000"))</f>
        <v/>
      </c>
      <c r="B666" s="27">
        <f>IF(F666="","",DATE(YEAR(F666),MONTH(F666),1))</f>
        <v/>
      </c>
      <c r="C666" s="28" t="n"/>
      <c r="D666" s="28" t="n"/>
      <c r="E666" s="59">
        <f>IF(C666="","",IFERROR(INDEX('6. Base de Custos'!$M$8:$M$42,MATCH(C666,'6. Base de Custos'!$L$8:$L$42,0)),"Não classificado"))</f>
        <v/>
      </c>
      <c r="F666" s="111" t="n"/>
      <c r="G666" s="111" t="n"/>
      <c r="H666" s="111" t="n"/>
      <c r="I666" s="45" t="n"/>
      <c r="J666" s="28" t="n"/>
      <c r="K666" s="28" t="n"/>
      <c r="L666" s="28" t="n"/>
      <c r="M666" s="59">
        <f>IF(C666="","",IFERROR(INDEX('6. Base de Custos'!$N$8:$N$42,MATCH(C666,'6. Base de Custos'!$L$8:$L$42,0)),"Não classificado"))</f>
        <v/>
      </c>
      <c r="N666" s="59">
        <f>IF(C666="","",IFERROR(INDEX('6. Base de Custos'!$O$8:$O$42,MATCH(C666,'6. Base de Custos'!$L$8:$L$42,0)),"Revisar"))</f>
        <v/>
      </c>
      <c r="O666" s="60">
        <f>IF(M666="","",IFERROR(VLOOKUP(M666,'6. Base de Custos'!$H$12:$J$18,3,FALSE),0))</f>
        <v/>
      </c>
      <c r="P666" s="59">
        <f>IF(C666="","",IFERROR(INDEX('6. Base de Custos'!$P$8:$P$42,MATCH(C666,'6. Base de Custos'!$L$8:$L$42,0)),"Revisar"))</f>
        <v/>
      </c>
      <c r="Q666" s="59">
        <f>IF(C666="","",IFERROR(INDEX('6. Base de Custos'!$Q$8:$Q$42,MATCH(C666,'6. Base de Custos'!$L$8:$L$42,0)),""))</f>
        <v/>
      </c>
      <c r="R666" s="65">
        <f>IF(C666="","",IFERROR(VLOOKUP(M666&amp;"|"&amp;N666,'17. Mapa DRE CP'!$E$5:$H$100,2,FALSE),"Revisar"))</f>
        <v/>
      </c>
      <c r="S666" s="65">
        <f>IF(C666="","",IFERROR(VLOOKUP(M666&amp;"|"&amp;N666,'17. Mapa DRE CP'!$E$5:$H$100,3,FALSE),"Revisar"))</f>
        <v/>
      </c>
      <c r="T666" s="65">
        <f>IF(C666="","",IF(R666="(-) Custos diretos dos serviços",IF(ISNUMBER(SEARCH("PCMSO",C666)),"PCMSO",IF(OR(ISNUMBER(SEARCH("SGS",C666)),ISNUMBER(SEARCH("CASTRO NAVES",C666))),"Projetos / Laudos / Avulsos","Projetos / Laudos / Avulsos")),"Rateio pela receita bruta"))</f>
        <v/>
      </c>
      <c r="U666" s="65">
        <f>IF(C666="","",IF(R666="(-) Custos diretos dos serviços","Direto por fornecedor/natureza do gasto","Rateio proporcional à receita bruta da linha de serviço"))</f>
        <v/>
      </c>
    </row>
    <row r="667">
      <c r="A667" s="28">
        <f>IF(C667="","", "CP-"&amp;TEXT(ROW()-5,"000"))</f>
        <v/>
      </c>
      <c r="B667" s="27">
        <f>IF(F667="","",DATE(YEAR(F667),MONTH(F667),1))</f>
        <v/>
      </c>
      <c r="C667" s="28" t="n"/>
      <c r="D667" s="28" t="n"/>
      <c r="E667" s="59">
        <f>IF(C667="","",IFERROR(INDEX('6. Base de Custos'!$M$8:$M$42,MATCH(C667,'6. Base de Custos'!$L$8:$L$42,0)),"Não classificado"))</f>
        <v/>
      </c>
      <c r="F667" s="111" t="n"/>
      <c r="G667" s="111" t="n"/>
      <c r="H667" s="111" t="n"/>
      <c r="I667" s="45" t="n"/>
      <c r="J667" s="28" t="n"/>
      <c r="K667" s="28" t="n"/>
      <c r="L667" s="28" t="n"/>
      <c r="M667" s="59">
        <f>IF(C667="","",IFERROR(INDEX('6. Base de Custos'!$N$8:$N$42,MATCH(C667,'6. Base de Custos'!$L$8:$L$42,0)),"Não classificado"))</f>
        <v/>
      </c>
      <c r="N667" s="59">
        <f>IF(C667="","",IFERROR(INDEX('6. Base de Custos'!$O$8:$O$42,MATCH(C667,'6. Base de Custos'!$L$8:$L$42,0)),"Revisar"))</f>
        <v/>
      </c>
      <c r="O667" s="60">
        <f>IF(M667="","",IFERROR(VLOOKUP(M667,'6. Base de Custos'!$H$12:$J$18,3,FALSE),0))</f>
        <v/>
      </c>
      <c r="P667" s="59">
        <f>IF(C667="","",IFERROR(INDEX('6. Base de Custos'!$P$8:$P$42,MATCH(C667,'6. Base de Custos'!$L$8:$L$42,0)),"Revisar"))</f>
        <v/>
      </c>
      <c r="Q667" s="59">
        <f>IF(C667="","",IFERROR(INDEX('6. Base de Custos'!$Q$8:$Q$42,MATCH(C667,'6. Base de Custos'!$L$8:$L$42,0)),""))</f>
        <v/>
      </c>
      <c r="R667" s="65">
        <f>IF(C667="","",IFERROR(VLOOKUP(M667&amp;"|"&amp;N667,'17. Mapa DRE CP'!$E$5:$H$100,2,FALSE),"Revisar"))</f>
        <v/>
      </c>
      <c r="S667" s="65">
        <f>IF(C667="","",IFERROR(VLOOKUP(M667&amp;"|"&amp;N667,'17. Mapa DRE CP'!$E$5:$H$100,3,FALSE),"Revisar"))</f>
        <v/>
      </c>
      <c r="T667" s="65">
        <f>IF(C667="","",IF(R667="(-) Custos diretos dos serviços",IF(ISNUMBER(SEARCH("PCMSO",C667)),"PCMSO",IF(OR(ISNUMBER(SEARCH("SGS",C667)),ISNUMBER(SEARCH("CASTRO NAVES",C667))),"Projetos / Laudos / Avulsos","Projetos / Laudos / Avulsos")),"Rateio pela receita bruta"))</f>
        <v/>
      </c>
      <c r="U667" s="65">
        <f>IF(C667="","",IF(R667="(-) Custos diretos dos serviços","Direto por fornecedor/natureza do gasto","Rateio proporcional à receita bruta da linha de serviço"))</f>
        <v/>
      </c>
    </row>
    <row r="668">
      <c r="A668" s="28">
        <f>IF(C668="","", "CP-"&amp;TEXT(ROW()-5,"000"))</f>
        <v/>
      </c>
      <c r="B668" s="27">
        <f>IF(F668="","",DATE(YEAR(F668),MONTH(F668),1))</f>
        <v/>
      </c>
      <c r="C668" s="28" t="n"/>
      <c r="D668" s="28" t="n"/>
      <c r="E668" s="59">
        <f>IF(C668="","",IFERROR(INDEX('6. Base de Custos'!$M$8:$M$42,MATCH(C668,'6. Base de Custos'!$L$8:$L$42,0)),"Não classificado"))</f>
        <v/>
      </c>
      <c r="F668" s="111" t="n"/>
      <c r="G668" s="111" t="n"/>
      <c r="H668" s="111" t="n"/>
      <c r="I668" s="45" t="n"/>
      <c r="J668" s="28" t="n"/>
      <c r="K668" s="28" t="n"/>
      <c r="L668" s="28" t="n"/>
      <c r="M668" s="59">
        <f>IF(C668="","",IFERROR(INDEX('6. Base de Custos'!$N$8:$N$42,MATCH(C668,'6. Base de Custos'!$L$8:$L$42,0)),"Não classificado"))</f>
        <v/>
      </c>
      <c r="N668" s="59">
        <f>IF(C668="","",IFERROR(INDEX('6. Base de Custos'!$O$8:$O$42,MATCH(C668,'6. Base de Custos'!$L$8:$L$42,0)),"Revisar"))</f>
        <v/>
      </c>
      <c r="O668" s="60">
        <f>IF(M668="","",IFERROR(VLOOKUP(M668,'6. Base de Custos'!$H$12:$J$18,3,FALSE),0))</f>
        <v/>
      </c>
      <c r="P668" s="59">
        <f>IF(C668="","",IFERROR(INDEX('6. Base de Custos'!$P$8:$P$42,MATCH(C668,'6. Base de Custos'!$L$8:$L$42,0)),"Revisar"))</f>
        <v/>
      </c>
      <c r="Q668" s="59">
        <f>IF(C668="","",IFERROR(INDEX('6. Base de Custos'!$Q$8:$Q$42,MATCH(C668,'6. Base de Custos'!$L$8:$L$42,0)),""))</f>
        <v/>
      </c>
      <c r="R668" s="65">
        <f>IF(C668="","",IFERROR(VLOOKUP(M668&amp;"|"&amp;N668,'17. Mapa DRE CP'!$E$5:$H$100,2,FALSE),"Revisar"))</f>
        <v/>
      </c>
      <c r="S668" s="65">
        <f>IF(C668="","",IFERROR(VLOOKUP(M668&amp;"|"&amp;N668,'17. Mapa DRE CP'!$E$5:$H$100,3,FALSE),"Revisar"))</f>
        <v/>
      </c>
      <c r="T668" s="65">
        <f>IF(C668="","",IF(R668="(-) Custos diretos dos serviços",IF(ISNUMBER(SEARCH("PCMSO",C668)),"PCMSO",IF(OR(ISNUMBER(SEARCH("SGS",C668)),ISNUMBER(SEARCH("CASTRO NAVES",C668))),"Projetos / Laudos / Avulsos","Projetos / Laudos / Avulsos")),"Rateio pela receita bruta"))</f>
        <v/>
      </c>
      <c r="U668" s="65">
        <f>IF(C668="","",IF(R668="(-) Custos diretos dos serviços","Direto por fornecedor/natureza do gasto","Rateio proporcional à receita bruta da linha de serviço"))</f>
        <v/>
      </c>
    </row>
    <row r="669">
      <c r="A669" s="28">
        <f>IF(C669="","", "CP-"&amp;TEXT(ROW()-5,"000"))</f>
        <v/>
      </c>
      <c r="B669" s="27">
        <f>IF(F669="","",DATE(YEAR(F669),MONTH(F669),1))</f>
        <v/>
      </c>
      <c r="C669" s="28" t="n"/>
      <c r="D669" s="28" t="n"/>
      <c r="E669" s="59">
        <f>IF(C669="","",IFERROR(INDEX('6. Base de Custos'!$M$8:$M$42,MATCH(C669,'6. Base de Custos'!$L$8:$L$42,0)),"Não classificado"))</f>
        <v/>
      </c>
      <c r="F669" s="111" t="n"/>
      <c r="G669" s="111" t="n"/>
      <c r="H669" s="111" t="n"/>
      <c r="I669" s="45" t="n"/>
      <c r="J669" s="28" t="n"/>
      <c r="K669" s="28" t="n"/>
      <c r="L669" s="28" t="n"/>
      <c r="M669" s="59">
        <f>IF(C669="","",IFERROR(INDEX('6. Base de Custos'!$N$8:$N$42,MATCH(C669,'6. Base de Custos'!$L$8:$L$42,0)),"Não classificado"))</f>
        <v/>
      </c>
      <c r="N669" s="59">
        <f>IF(C669="","",IFERROR(INDEX('6. Base de Custos'!$O$8:$O$42,MATCH(C669,'6. Base de Custos'!$L$8:$L$42,0)),"Revisar"))</f>
        <v/>
      </c>
      <c r="O669" s="60">
        <f>IF(M669="","",IFERROR(VLOOKUP(M669,'6. Base de Custos'!$H$12:$J$18,3,FALSE),0))</f>
        <v/>
      </c>
      <c r="P669" s="59">
        <f>IF(C669="","",IFERROR(INDEX('6. Base de Custos'!$P$8:$P$42,MATCH(C669,'6. Base de Custos'!$L$8:$L$42,0)),"Revisar"))</f>
        <v/>
      </c>
      <c r="Q669" s="59">
        <f>IF(C669="","",IFERROR(INDEX('6. Base de Custos'!$Q$8:$Q$42,MATCH(C669,'6. Base de Custos'!$L$8:$L$42,0)),""))</f>
        <v/>
      </c>
      <c r="R669" s="65">
        <f>IF(C669="","",IFERROR(VLOOKUP(M669&amp;"|"&amp;N669,'17. Mapa DRE CP'!$E$5:$H$100,2,FALSE),"Revisar"))</f>
        <v/>
      </c>
      <c r="S669" s="65">
        <f>IF(C669="","",IFERROR(VLOOKUP(M669&amp;"|"&amp;N669,'17. Mapa DRE CP'!$E$5:$H$100,3,FALSE),"Revisar"))</f>
        <v/>
      </c>
      <c r="T669" s="65">
        <f>IF(C669="","",IF(R669="(-) Custos diretos dos serviços",IF(ISNUMBER(SEARCH("PCMSO",C669)),"PCMSO",IF(OR(ISNUMBER(SEARCH("SGS",C669)),ISNUMBER(SEARCH("CASTRO NAVES",C669))),"Projetos / Laudos / Avulsos","Projetos / Laudos / Avulsos")),"Rateio pela receita bruta"))</f>
        <v/>
      </c>
      <c r="U669" s="65">
        <f>IF(C669="","",IF(R669="(-) Custos diretos dos serviços","Direto por fornecedor/natureza do gasto","Rateio proporcional à receita bruta da linha de serviço"))</f>
        <v/>
      </c>
    </row>
    <row r="670">
      <c r="A670" s="28">
        <f>IF(C670="","", "CP-"&amp;TEXT(ROW()-5,"000"))</f>
        <v/>
      </c>
      <c r="B670" s="27">
        <f>IF(F670="","",DATE(YEAR(F670),MONTH(F670),1))</f>
        <v/>
      </c>
      <c r="C670" s="28" t="n"/>
      <c r="D670" s="28" t="n"/>
      <c r="E670" s="59">
        <f>IF(C670="","",IFERROR(INDEX('6. Base de Custos'!$M$8:$M$42,MATCH(C670,'6. Base de Custos'!$L$8:$L$42,0)),"Não classificado"))</f>
        <v/>
      </c>
      <c r="F670" s="111" t="n"/>
      <c r="G670" s="111" t="n"/>
      <c r="H670" s="111" t="n"/>
      <c r="I670" s="45" t="n"/>
      <c r="J670" s="28" t="n"/>
      <c r="K670" s="28" t="n"/>
      <c r="L670" s="28" t="n"/>
      <c r="M670" s="59">
        <f>IF(C670="","",IFERROR(INDEX('6. Base de Custos'!$N$8:$N$42,MATCH(C670,'6. Base de Custos'!$L$8:$L$42,0)),"Não classificado"))</f>
        <v/>
      </c>
      <c r="N670" s="59">
        <f>IF(C670="","",IFERROR(INDEX('6. Base de Custos'!$O$8:$O$42,MATCH(C670,'6. Base de Custos'!$L$8:$L$42,0)),"Revisar"))</f>
        <v/>
      </c>
      <c r="O670" s="60">
        <f>IF(M670="","",IFERROR(VLOOKUP(M670,'6. Base de Custos'!$H$12:$J$18,3,FALSE),0))</f>
        <v/>
      </c>
      <c r="P670" s="59">
        <f>IF(C670="","",IFERROR(INDEX('6. Base de Custos'!$P$8:$P$42,MATCH(C670,'6. Base de Custos'!$L$8:$L$42,0)),"Revisar"))</f>
        <v/>
      </c>
      <c r="Q670" s="59">
        <f>IF(C670="","",IFERROR(INDEX('6. Base de Custos'!$Q$8:$Q$42,MATCH(C670,'6. Base de Custos'!$L$8:$L$42,0)),""))</f>
        <v/>
      </c>
      <c r="R670" s="65">
        <f>IF(C670="","",IFERROR(VLOOKUP(M670&amp;"|"&amp;N670,'17. Mapa DRE CP'!$E$5:$H$100,2,FALSE),"Revisar"))</f>
        <v/>
      </c>
      <c r="S670" s="65">
        <f>IF(C670="","",IFERROR(VLOOKUP(M670&amp;"|"&amp;N670,'17. Mapa DRE CP'!$E$5:$H$100,3,FALSE),"Revisar"))</f>
        <v/>
      </c>
      <c r="T670" s="65">
        <f>IF(C670="","",IF(R670="(-) Custos diretos dos serviços",IF(ISNUMBER(SEARCH("PCMSO",C670)),"PCMSO",IF(OR(ISNUMBER(SEARCH("SGS",C670)),ISNUMBER(SEARCH("CASTRO NAVES",C670))),"Projetos / Laudos / Avulsos","Projetos / Laudos / Avulsos")),"Rateio pela receita bruta"))</f>
        <v/>
      </c>
      <c r="U670" s="65">
        <f>IF(C670="","",IF(R670="(-) Custos diretos dos serviços","Direto por fornecedor/natureza do gasto","Rateio proporcional à receita bruta da linha de serviço"))</f>
        <v/>
      </c>
    </row>
    <row r="671">
      <c r="A671" s="28">
        <f>IF(C671="","", "CP-"&amp;TEXT(ROW()-5,"000"))</f>
        <v/>
      </c>
      <c r="B671" s="27">
        <f>IF(F671="","",DATE(YEAR(F671),MONTH(F671),1))</f>
        <v/>
      </c>
      <c r="C671" s="28" t="n"/>
      <c r="D671" s="28" t="n"/>
      <c r="E671" s="59">
        <f>IF(C671="","",IFERROR(INDEX('6. Base de Custos'!$M$8:$M$42,MATCH(C671,'6. Base de Custos'!$L$8:$L$42,0)),"Não classificado"))</f>
        <v/>
      </c>
      <c r="F671" s="111" t="n"/>
      <c r="G671" s="111" t="n"/>
      <c r="H671" s="111" t="n"/>
      <c r="I671" s="45" t="n"/>
      <c r="J671" s="28" t="n"/>
      <c r="K671" s="28" t="n"/>
      <c r="L671" s="28" t="n"/>
      <c r="M671" s="59">
        <f>IF(C671="","",IFERROR(INDEX('6. Base de Custos'!$N$8:$N$42,MATCH(C671,'6. Base de Custos'!$L$8:$L$42,0)),"Não classificado"))</f>
        <v/>
      </c>
      <c r="N671" s="59">
        <f>IF(C671="","",IFERROR(INDEX('6. Base de Custos'!$O$8:$O$42,MATCH(C671,'6. Base de Custos'!$L$8:$L$42,0)),"Revisar"))</f>
        <v/>
      </c>
      <c r="O671" s="60">
        <f>IF(M671="","",IFERROR(VLOOKUP(M671,'6. Base de Custos'!$H$12:$J$18,3,FALSE),0))</f>
        <v/>
      </c>
      <c r="P671" s="59">
        <f>IF(C671="","",IFERROR(INDEX('6. Base de Custos'!$P$8:$P$42,MATCH(C671,'6. Base de Custos'!$L$8:$L$42,0)),"Revisar"))</f>
        <v/>
      </c>
      <c r="Q671" s="59">
        <f>IF(C671="","",IFERROR(INDEX('6. Base de Custos'!$Q$8:$Q$42,MATCH(C671,'6. Base de Custos'!$L$8:$L$42,0)),""))</f>
        <v/>
      </c>
      <c r="R671" s="65">
        <f>IF(C671="","",IFERROR(VLOOKUP(M671&amp;"|"&amp;N671,'17. Mapa DRE CP'!$E$5:$H$100,2,FALSE),"Revisar"))</f>
        <v/>
      </c>
      <c r="S671" s="65">
        <f>IF(C671="","",IFERROR(VLOOKUP(M671&amp;"|"&amp;N671,'17. Mapa DRE CP'!$E$5:$H$100,3,FALSE),"Revisar"))</f>
        <v/>
      </c>
      <c r="T671" s="65">
        <f>IF(C671="","",IF(R671="(-) Custos diretos dos serviços",IF(ISNUMBER(SEARCH("PCMSO",C671)),"PCMSO",IF(OR(ISNUMBER(SEARCH("SGS",C671)),ISNUMBER(SEARCH("CASTRO NAVES",C671))),"Projetos / Laudos / Avulsos","Projetos / Laudos / Avulsos")),"Rateio pela receita bruta"))</f>
        <v/>
      </c>
      <c r="U671" s="65">
        <f>IF(C671="","",IF(R671="(-) Custos diretos dos serviços","Direto por fornecedor/natureza do gasto","Rateio proporcional à receita bruta da linha de serviço"))</f>
        <v/>
      </c>
    </row>
    <row r="672">
      <c r="A672" s="28">
        <f>IF(C672="","", "CP-"&amp;TEXT(ROW()-5,"000"))</f>
        <v/>
      </c>
      <c r="B672" s="27">
        <f>IF(F672="","",DATE(YEAR(F672),MONTH(F672),1))</f>
        <v/>
      </c>
      <c r="C672" s="28" t="n"/>
      <c r="D672" s="28" t="n"/>
      <c r="E672" s="59">
        <f>IF(C672="","",IFERROR(INDEX('6. Base de Custos'!$M$8:$M$42,MATCH(C672,'6. Base de Custos'!$L$8:$L$42,0)),"Não classificado"))</f>
        <v/>
      </c>
      <c r="F672" s="111" t="n"/>
      <c r="G672" s="111" t="n"/>
      <c r="H672" s="111" t="n"/>
      <c r="I672" s="45" t="n"/>
      <c r="J672" s="28" t="n"/>
      <c r="K672" s="28" t="n"/>
      <c r="L672" s="28" t="n"/>
      <c r="M672" s="59">
        <f>IF(C672="","",IFERROR(INDEX('6. Base de Custos'!$N$8:$N$42,MATCH(C672,'6. Base de Custos'!$L$8:$L$42,0)),"Não classificado"))</f>
        <v/>
      </c>
      <c r="N672" s="59">
        <f>IF(C672="","",IFERROR(INDEX('6. Base de Custos'!$O$8:$O$42,MATCH(C672,'6. Base de Custos'!$L$8:$L$42,0)),"Revisar"))</f>
        <v/>
      </c>
      <c r="O672" s="60">
        <f>IF(M672="","",IFERROR(VLOOKUP(M672,'6. Base de Custos'!$H$12:$J$18,3,FALSE),0))</f>
        <v/>
      </c>
      <c r="P672" s="59">
        <f>IF(C672="","",IFERROR(INDEX('6. Base de Custos'!$P$8:$P$42,MATCH(C672,'6. Base de Custos'!$L$8:$L$42,0)),"Revisar"))</f>
        <v/>
      </c>
      <c r="Q672" s="59">
        <f>IF(C672="","",IFERROR(INDEX('6. Base de Custos'!$Q$8:$Q$42,MATCH(C672,'6. Base de Custos'!$L$8:$L$42,0)),""))</f>
        <v/>
      </c>
      <c r="R672" s="65">
        <f>IF(C672="","",IFERROR(VLOOKUP(M672&amp;"|"&amp;N672,'17. Mapa DRE CP'!$E$5:$H$100,2,FALSE),"Revisar"))</f>
        <v/>
      </c>
      <c r="S672" s="65">
        <f>IF(C672="","",IFERROR(VLOOKUP(M672&amp;"|"&amp;N672,'17. Mapa DRE CP'!$E$5:$H$100,3,FALSE),"Revisar"))</f>
        <v/>
      </c>
      <c r="T672" s="65">
        <f>IF(C672="","",IF(R672="(-) Custos diretos dos serviços",IF(ISNUMBER(SEARCH("PCMSO",C672)),"PCMSO",IF(OR(ISNUMBER(SEARCH("SGS",C672)),ISNUMBER(SEARCH("CASTRO NAVES",C672))),"Projetos / Laudos / Avulsos","Projetos / Laudos / Avulsos")),"Rateio pela receita bruta"))</f>
        <v/>
      </c>
      <c r="U672" s="65">
        <f>IF(C672="","",IF(R672="(-) Custos diretos dos serviços","Direto por fornecedor/natureza do gasto","Rateio proporcional à receita bruta da linha de serviço"))</f>
        <v/>
      </c>
    </row>
    <row r="673">
      <c r="A673" s="28">
        <f>IF(C673="","", "CP-"&amp;TEXT(ROW()-5,"000"))</f>
        <v/>
      </c>
      <c r="B673" s="27">
        <f>IF(F673="","",DATE(YEAR(F673),MONTH(F673),1))</f>
        <v/>
      </c>
      <c r="C673" s="28" t="n"/>
      <c r="D673" s="28" t="n"/>
      <c r="E673" s="59">
        <f>IF(C673="","",IFERROR(INDEX('6. Base de Custos'!$M$8:$M$42,MATCH(C673,'6. Base de Custos'!$L$8:$L$42,0)),"Não classificado"))</f>
        <v/>
      </c>
      <c r="F673" s="111" t="n"/>
      <c r="G673" s="111" t="n"/>
      <c r="H673" s="111" t="n"/>
      <c r="I673" s="45" t="n"/>
      <c r="J673" s="28" t="n"/>
      <c r="K673" s="28" t="n"/>
      <c r="L673" s="28" t="n"/>
      <c r="M673" s="59">
        <f>IF(C673="","",IFERROR(INDEX('6. Base de Custos'!$N$8:$N$42,MATCH(C673,'6. Base de Custos'!$L$8:$L$42,0)),"Não classificado"))</f>
        <v/>
      </c>
      <c r="N673" s="59">
        <f>IF(C673="","",IFERROR(INDEX('6. Base de Custos'!$O$8:$O$42,MATCH(C673,'6. Base de Custos'!$L$8:$L$42,0)),"Revisar"))</f>
        <v/>
      </c>
      <c r="O673" s="60">
        <f>IF(M673="","",IFERROR(VLOOKUP(M673,'6. Base de Custos'!$H$12:$J$18,3,FALSE),0))</f>
        <v/>
      </c>
      <c r="P673" s="59">
        <f>IF(C673="","",IFERROR(INDEX('6. Base de Custos'!$P$8:$P$42,MATCH(C673,'6. Base de Custos'!$L$8:$L$42,0)),"Revisar"))</f>
        <v/>
      </c>
      <c r="Q673" s="59">
        <f>IF(C673="","",IFERROR(INDEX('6. Base de Custos'!$Q$8:$Q$42,MATCH(C673,'6. Base de Custos'!$L$8:$L$42,0)),""))</f>
        <v/>
      </c>
      <c r="R673" s="65">
        <f>IF(C673="","",IFERROR(VLOOKUP(M673&amp;"|"&amp;N673,'17. Mapa DRE CP'!$E$5:$H$100,2,FALSE),"Revisar"))</f>
        <v/>
      </c>
      <c r="S673" s="65">
        <f>IF(C673="","",IFERROR(VLOOKUP(M673&amp;"|"&amp;N673,'17. Mapa DRE CP'!$E$5:$H$100,3,FALSE),"Revisar"))</f>
        <v/>
      </c>
      <c r="T673" s="65">
        <f>IF(C673="","",IF(R673="(-) Custos diretos dos serviços",IF(ISNUMBER(SEARCH("PCMSO",C673)),"PCMSO",IF(OR(ISNUMBER(SEARCH("SGS",C673)),ISNUMBER(SEARCH("CASTRO NAVES",C673))),"Projetos / Laudos / Avulsos","Projetos / Laudos / Avulsos")),"Rateio pela receita bruta"))</f>
        <v/>
      </c>
      <c r="U673" s="65">
        <f>IF(C673="","",IF(R673="(-) Custos diretos dos serviços","Direto por fornecedor/natureza do gasto","Rateio proporcional à receita bruta da linha de serviço"))</f>
        <v/>
      </c>
    </row>
    <row r="674">
      <c r="A674" s="28">
        <f>IF(C674="","", "CP-"&amp;TEXT(ROW()-5,"000"))</f>
        <v/>
      </c>
      <c r="B674" s="27">
        <f>IF(F674="","",DATE(YEAR(F674),MONTH(F674),1))</f>
        <v/>
      </c>
      <c r="C674" s="28" t="n"/>
      <c r="D674" s="28" t="n"/>
      <c r="E674" s="59">
        <f>IF(C674="","",IFERROR(INDEX('6. Base de Custos'!$M$8:$M$42,MATCH(C674,'6. Base de Custos'!$L$8:$L$42,0)),"Não classificado"))</f>
        <v/>
      </c>
      <c r="F674" s="111" t="n"/>
      <c r="G674" s="111" t="n"/>
      <c r="H674" s="111" t="n"/>
      <c r="I674" s="45" t="n"/>
      <c r="J674" s="28" t="n"/>
      <c r="K674" s="28" t="n"/>
      <c r="L674" s="28" t="n"/>
      <c r="M674" s="59">
        <f>IF(C674="","",IFERROR(INDEX('6. Base de Custos'!$N$8:$N$42,MATCH(C674,'6. Base de Custos'!$L$8:$L$42,0)),"Não classificado"))</f>
        <v/>
      </c>
      <c r="N674" s="59">
        <f>IF(C674="","",IFERROR(INDEX('6. Base de Custos'!$O$8:$O$42,MATCH(C674,'6. Base de Custos'!$L$8:$L$42,0)),"Revisar"))</f>
        <v/>
      </c>
      <c r="O674" s="60">
        <f>IF(M674="","",IFERROR(VLOOKUP(M674,'6. Base de Custos'!$H$12:$J$18,3,FALSE),0))</f>
        <v/>
      </c>
      <c r="P674" s="59">
        <f>IF(C674="","",IFERROR(INDEX('6. Base de Custos'!$P$8:$P$42,MATCH(C674,'6. Base de Custos'!$L$8:$L$42,0)),"Revisar"))</f>
        <v/>
      </c>
      <c r="Q674" s="59">
        <f>IF(C674="","",IFERROR(INDEX('6. Base de Custos'!$Q$8:$Q$42,MATCH(C674,'6. Base de Custos'!$L$8:$L$42,0)),""))</f>
        <v/>
      </c>
      <c r="R674" s="65">
        <f>IF(C674="","",IFERROR(VLOOKUP(M674&amp;"|"&amp;N674,'17. Mapa DRE CP'!$E$5:$H$100,2,FALSE),"Revisar"))</f>
        <v/>
      </c>
      <c r="S674" s="65">
        <f>IF(C674="","",IFERROR(VLOOKUP(M674&amp;"|"&amp;N674,'17. Mapa DRE CP'!$E$5:$H$100,3,FALSE),"Revisar"))</f>
        <v/>
      </c>
      <c r="T674" s="65">
        <f>IF(C674="","",IF(R674="(-) Custos diretos dos serviços",IF(ISNUMBER(SEARCH("PCMSO",C674)),"PCMSO",IF(OR(ISNUMBER(SEARCH("SGS",C674)),ISNUMBER(SEARCH("CASTRO NAVES",C674))),"Projetos / Laudos / Avulsos","Projetos / Laudos / Avulsos")),"Rateio pela receita bruta"))</f>
        <v/>
      </c>
      <c r="U674" s="65">
        <f>IF(C674="","",IF(R674="(-) Custos diretos dos serviços","Direto por fornecedor/natureza do gasto","Rateio proporcional à receita bruta da linha de serviço"))</f>
        <v/>
      </c>
    </row>
    <row r="675">
      <c r="A675" s="28">
        <f>IF(C675="","", "CP-"&amp;TEXT(ROW()-5,"000"))</f>
        <v/>
      </c>
      <c r="B675" s="27">
        <f>IF(F675="","",DATE(YEAR(F675),MONTH(F675),1))</f>
        <v/>
      </c>
      <c r="C675" s="28" t="n"/>
      <c r="D675" s="28" t="n"/>
      <c r="E675" s="59">
        <f>IF(C675="","",IFERROR(INDEX('6. Base de Custos'!$M$8:$M$42,MATCH(C675,'6. Base de Custos'!$L$8:$L$42,0)),"Não classificado"))</f>
        <v/>
      </c>
      <c r="F675" s="111" t="n"/>
      <c r="G675" s="111" t="n"/>
      <c r="H675" s="111" t="n"/>
      <c r="I675" s="45" t="n"/>
      <c r="J675" s="28" t="n"/>
      <c r="K675" s="28" t="n"/>
      <c r="L675" s="28" t="n"/>
      <c r="M675" s="59">
        <f>IF(C675="","",IFERROR(INDEX('6. Base de Custos'!$N$8:$N$42,MATCH(C675,'6. Base de Custos'!$L$8:$L$42,0)),"Não classificado"))</f>
        <v/>
      </c>
      <c r="N675" s="59">
        <f>IF(C675="","",IFERROR(INDEX('6. Base de Custos'!$O$8:$O$42,MATCH(C675,'6. Base de Custos'!$L$8:$L$42,0)),"Revisar"))</f>
        <v/>
      </c>
      <c r="O675" s="60">
        <f>IF(M675="","",IFERROR(VLOOKUP(M675,'6. Base de Custos'!$H$12:$J$18,3,FALSE),0))</f>
        <v/>
      </c>
      <c r="P675" s="59">
        <f>IF(C675="","",IFERROR(INDEX('6. Base de Custos'!$P$8:$P$42,MATCH(C675,'6. Base de Custos'!$L$8:$L$42,0)),"Revisar"))</f>
        <v/>
      </c>
      <c r="Q675" s="59">
        <f>IF(C675="","",IFERROR(INDEX('6. Base de Custos'!$Q$8:$Q$42,MATCH(C675,'6. Base de Custos'!$L$8:$L$42,0)),""))</f>
        <v/>
      </c>
      <c r="R675" s="65">
        <f>IF(C675="","",IFERROR(VLOOKUP(M675&amp;"|"&amp;N675,'17. Mapa DRE CP'!$E$5:$H$100,2,FALSE),"Revisar"))</f>
        <v/>
      </c>
      <c r="S675" s="65">
        <f>IF(C675="","",IFERROR(VLOOKUP(M675&amp;"|"&amp;N675,'17. Mapa DRE CP'!$E$5:$H$100,3,FALSE),"Revisar"))</f>
        <v/>
      </c>
      <c r="T675" s="65">
        <f>IF(C675="","",IF(R675="(-) Custos diretos dos serviços",IF(ISNUMBER(SEARCH("PCMSO",C675)),"PCMSO",IF(OR(ISNUMBER(SEARCH("SGS",C675)),ISNUMBER(SEARCH("CASTRO NAVES",C675))),"Projetos / Laudos / Avulsos","Projetos / Laudos / Avulsos")),"Rateio pela receita bruta"))</f>
        <v/>
      </c>
      <c r="U675" s="65">
        <f>IF(C675="","",IF(R675="(-) Custos diretos dos serviços","Direto por fornecedor/natureza do gasto","Rateio proporcional à receita bruta da linha de serviço"))</f>
        <v/>
      </c>
    </row>
    <row r="676">
      <c r="A676" s="28">
        <f>IF(C676="","", "CP-"&amp;TEXT(ROW()-5,"000"))</f>
        <v/>
      </c>
      <c r="B676" s="27">
        <f>IF(F676="","",DATE(YEAR(F676),MONTH(F676),1))</f>
        <v/>
      </c>
      <c r="C676" s="28" t="n"/>
      <c r="D676" s="28" t="n"/>
      <c r="E676" s="59">
        <f>IF(C676="","",IFERROR(INDEX('6. Base de Custos'!$M$8:$M$42,MATCH(C676,'6. Base de Custos'!$L$8:$L$42,0)),"Não classificado"))</f>
        <v/>
      </c>
      <c r="F676" s="111" t="n"/>
      <c r="G676" s="111" t="n"/>
      <c r="H676" s="111" t="n"/>
      <c r="I676" s="45" t="n"/>
      <c r="J676" s="28" t="n"/>
      <c r="K676" s="28" t="n"/>
      <c r="L676" s="28" t="n"/>
      <c r="M676" s="59">
        <f>IF(C676="","",IFERROR(INDEX('6. Base de Custos'!$N$8:$N$42,MATCH(C676,'6. Base de Custos'!$L$8:$L$42,0)),"Não classificado"))</f>
        <v/>
      </c>
      <c r="N676" s="59">
        <f>IF(C676="","",IFERROR(INDEX('6. Base de Custos'!$O$8:$O$42,MATCH(C676,'6. Base de Custos'!$L$8:$L$42,0)),"Revisar"))</f>
        <v/>
      </c>
      <c r="O676" s="60">
        <f>IF(M676="","",IFERROR(VLOOKUP(M676,'6. Base de Custos'!$H$12:$J$18,3,FALSE),0))</f>
        <v/>
      </c>
      <c r="P676" s="59">
        <f>IF(C676="","",IFERROR(INDEX('6. Base de Custos'!$P$8:$P$42,MATCH(C676,'6. Base de Custos'!$L$8:$L$42,0)),"Revisar"))</f>
        <v/>
      </c>
      <c r="Q676" s="59">
        <f>IF(C676="","",IFERROR(INDEX('6. Base de Custos'!$Q$8:$Q$42,MATCH(C676,'6. Base de Custos'!$L$8:$L$42,0)),""))</f>
        <v/>
      </c>
      <c r="R676" s="65">
        <f>IF(C676="","",IFERROR(VLOOKUP(M676&amp;"|"&amp;N676,'17. Mapa DRE CP'!$E$5:$H$100,2,FALSE),"Revisar"))</f>
        <v/>
      </c>
      <c r="S676" s="65">
        <f>IF(C676="","",IFERROR(VLOOKUP(M676&amp;"|"&amp;N676,'17. Mapa DRE CP'!$E$5:$H$100,3,FALSE),"Revisar"))</f>
        <v/>
      </c>
      <c r="T676" s="65">
        <f>IF(C676="","",IF(R676="(-) Custos diretos dos serviços",IF(ISNUMBER(SEARCH("PCMSO",C676)),"PCMSO",IF(OR(ISNUMBER(SEARCH("SGS",C676)),ISNUMBER(SEARCH("CASTRO NAVES",C676))),"Projetos / Laudos / Avulsos","Projetos / Laudos / Avulsos")),"Rateio pela receita bruta"))</f>
        <v/>
      </c>
      <c r="U676" s="65">
        <f>IF(C676="","",IF(R676="(-) Custos diretos dos serviços","Direto por fornecedor/natureza do gasto","Rateio proporcional à receita bruta da linha de serviço"))</f>
        <v/>
      </c>
    </row>
    <row r="677">
      <c r="A677" s="28">
        <f>IF(C677="","", "CP-"&amp;TEXT(ROW()-5,"000"))</f>
        <v/>
      </c>
      <c r="B677" s="27">
        <f>IF(F677="","",DATE(YEAR(F677),MONTH(F677),1))</f>
        <v/>
      </c>
      <c r="C677" s="28" t="n"/>
      <c r="D677" s="28" t="n"/>
      <c r="E677" s="59">
        <f>IF(C677="","",IFERROR(INDEX('6. Base de Custos'!$M$8:$M$42,MATCH(C677,'6. Base de Custos'!$L$8:$L$42,0)),"Não classificado"))</f>
        <v/>
      </c>
      <c r="F677" s="111" t="n"/>
      <c r="G677" s="111" t="n"/>
      <c r="H677" s="111" t="n"/>
      <c r="I677" s="45" t="n"/>
      <c r="J677" s="28" t="n"/>
      <c r="K677" s="28" t="n"/>
      <c r="L677" s="28" t="n"/>
      <c r="M677" s="59">
        <f>IF(C677="","",IFERROR(INDEX('6. Base de Custos'!$N$8:$N$42,MATCH(C677,'6. Base de Custos'!$L$8:$L$42,0)),"Não classificado"))</f>
        <v/>
      </c>
      <c r="N677" s="59">
        <f>IF(C677="","",IFERROR(INDEX('6. Base de Custos'!$O$8:$O$42,MATCH(C677,'6. Base de Custos'!$L$8:$L$42,0)),"Revisar"))</f>
        <v/>
      </c>
      <c r="O677" s="60">
        <f>IF(M677="","",IFERROR(VLOOKUP(M677,'6. Base de Custos'!$H$12:$J$18,3,FALSE),0))</f>
        <v/>
      </c>
      <c r="P677" s="59">
        <f>IF(C677="","",IFERROR(INDEX('6. Base de Custos'!$P$8:$P$42,MATCH(C677,'6. Base de Custos'!$L$8:$L$42,0)),"Revisar"))</f>
        <v/>
      </c>
      <c r="Q677" s="59">
        <f>IF(C677="","",IFERROR(INDEX('6. Base de Custos'!$Q$8:$Q$42,MATCH(C677,'6. Base de Custos'!$L$8:$L$42,0)),""))</f>
        <v/>
      </c>
      <c r="R677" s="65">
        <f>IF(C677="","",IFERROR(VLOOKUP(M677&amp;"|"&amp;N677,'17. Mapa DRE CP'!$E$5:$H$100,2,FALSE),"Revisar"))</f>
        <v/>
      </c>
      <c r="S677" s="65">
        <f>IF(C677="","",IFERROR(VLOOKUP(M677&amp;"|"&amp;N677,'17. Mapa DRE CP'!$E$5:$H$100,3,FALSE),"Revisar"))</f>
        <v/>
      </c>
      <c r="T677" s="65">
        <f>IF(C677="","",IF(R677="(-) Custos diretos dos serviços",IF(ISNUMBER(SEARCH("PCMSO",C677)),"PCMSO",IF(OR(ISNUMBER(SEARCH("SGS",C677)),ISNUMBER(SEARCH("CASTRO NAVES",C677))),"Projetos / Laudos / Avulsos","Projetos / Laudos / Avulsos")),"Rateio pela receita bruta"))</f>
        <v/>
      </c>
      <c r="U677" s="65">
        <f>IF(C677="","",IF(R677="(-) Custos diretos dos serviços","Direto por fornecedor/natureza do gasto","Rateio proporcional à receita bruta da linha de serviço"))</f>
        <v/>
      </c>
    </row>
    <row r="678">
      <c r="A678" s="28">
        <f>IF(C678="","", "CP-"&amp;TEXT(ROW()-5,"000"))</f>
        <v/>
      </c>
      <c r="B678" s="27">
        <f>IF(F678="","",DATE(YEAR(F678),MONTH(F678),1))</f>
        <v/>
      </c>
      <c r="C678" s="28" t="n"/>
      <c r="D678" s="28" t="n"/>
      <c r="E678" s="59">
        <f>IF(C678="","",IFERROR(INDEX('6. Base de Custos'!$M$8:$M$42,MATCH(C678,'6. Base de Custos'!$L$8:$L$42,0)),"Não classificado"))</f>
        <v/>
      </c>
      <c r="F678" s="111" t="n"/>
      <c r="G678" s="111" t="n"/>
      <c r="H678" s="111" t="n"/>
      <c r="I678" s="45" t="n"/>
      <c r="J678" s="28" t="n"/>
      <c r="K678" s="28" t="n"/>
      <c r="L678" s="28" t="n"/>
      <c r="M678" s="59">
        <f>IF(C678="","",IFERROR(INDEX('6. Base de Custos'!$N$8:$N$42,MATCH(C678,'6. Base de Custos'!$L$8:$L$42,0)),"Não classificado"))</f>
        <v/>
      </c>
      <c r="N678" s="59">
        <f>IF(C678="","",IFERROR(INDEX('6. Base de Custos'!$O$8:$O$42,MATCH(C678,'6. Base de Custos'!$L$8:$L$42,0)),"Revisar"))</f>
        <v/>
      </c>
      <c r="O678" s="60">
        <f>IF(M678="","",IFERROR(VLOOKUP(M678,'6. Base de Custos'!$H$12:$J$18,3,FALSE),0))</f>
        <v/>
      </c>
      <c r="P678" s="59">
        <f>IF(C678="","",IFERROR(INDEX('6. Base de Custos'!$P$8:$P$42,MATCH(C678,'6. Base de Custos'!$L$8:$L$42,0)),"Revisar"))</f>
        <v/>
      </c>
      <c r="Q678" s="59">
        <f>IF(C678="","",IFERROR(INDEX('6. Base de Custos'!$Q$8:$Q$42,MATCH(C678,'6. Base de Custos'!$L$8:$L$42,0)),""))</f>
        <v/>
      </c>
      <c r="R678" s="65">
        <f>IF(C678="","",IFERROR(VLOOKUP(M678&amp;"|"&amp;N678,'17. Mapa DRE CP'!$E$5:$H$100,2,FALSE),"Revisar"))</f>
        <v/>
      </c>
      <c r="S678" s="65">
        <f>IF(C678="","",IFERROR(VLOOKUP(M678&amp;"|"&amp;N678,'17. Mapa DRE CP'!$E$5:$H$100,3,FALSE),"Revisar"))</f>
        <v/>
      </c>
      <c r="T678" s="65">
        <f>IF(C678="","",IF(R678="(-) Custos diretos dos serviços",IF(ISNUMBER(SEARCH("PCMSO",C678)),"PCMSO",IF(OR(ISNUMBER(SEARCH("SGS",C678)),ISNUMBER(SEARCH("CASTRO NAVES",C678))),"Projetos / Laudos / Avulsos","Projetos / Laudos / Avulsos")),"Rateio pela receita bruta"))</f>
        <v/>
      </c>
      <c r="U678" s="65">
        <f>IF(C678="","",IF(R678="(-) Custos diretos dos serviços","Direto por fornecedor/natureza do gasto","Rateio proporcional à receita bruta da linha de serviço"))</f>
        <v/>
      </c>
    </row>
    <row r="679">
      <c r="A679" s="28">
        <f>IF(C679="","", "CP-"&amp;TEXT(ROW()-5,"000"))</f>
        <v/>
      </c>
      <c r="B679" s="27">
        <f>IF(F679="","",DATE(YEAR(F679),MONTH(F679),1))</f>
        <v/>
      </c>
      <c r="C679" s="28" t="n"/>
      <c r="D679" s="28" t="n"/>
      <c r="E679" s="59">
        <f>IF(C679="","",IFERROR(INDEX('6. Base de Custos'!$M$8:$M$42,MATCH(C679,'6. Base de Custos'!$L$8:$L$42,0)),"Não classificado"))</f>
        <v/>
      </c>
      <c r="F679" s="111" t="n"/>
      <c r="G679" s="111" t="n"/>
      <c r="H679" s="111" t="n"/>
      <c r="I679" s="45" t="n"/>
      <c r="J679" s="28" t="n"/>
      <c r="K679" s="28" t="n"/>
      <c r="L679" s="28" t="n"/>
      <c r="M679" s="59">
        <f>IF(C679="","",IFERROR(INDEX('6. Base de Custos'!$N$8:$N$42,MATCH(C679,'6. Base de Custos'!$L$8:$L$42,0)),"Não classificado"))</f>
        <v/>
      </c>
      <c r="N679" s="59">
        <f>IF(C679="","",IFERROR(INDEX('6. Base de Custos'!$O$8:$O$42,MATCH(C679,'6. Base de Custos'!$L$8:$L$42,0)),"Revisar"))</f>
        <v/>
      </c>
      <c r="O679" s="60">
        <f>IF(M679="","",IFERROR(VLOOKUP(M679,'6. Base de Custos'!$H$12:$J$18,3,FALSE),0))</f>
        <v/>
      </c>
      <c r="P679" s="59">
        <f>IF(C679="","",IFERROR(INDEX('6. Base de Custos'!$P$8:$P$42,MATCH(C679,'6. Base de Custos'!$L$8:$L$42,0)),"Revisar"))</f>
        <v/>
      </c>
      <c r="Q679" s="59">
        <f>IF(C679="","",IFERROR(INDEX('6. Base de Custos'!$Q$8:$Q$42,MATCH(C679,'6. Base de Custos'!$L$8:$L$42,0)),""))</f>
        <v/>
      </c>
      <c r="R679" s="65">
        <f>IF(C679="","",IFERROR(VLOOKUP(M679&amp;"|"&amp;N679,'17. Mapa DRE CP'!$E$5:$H$100,2,FALSE),"Revisar"))</f>
        <v/>
      </c>
      <c r="S679" s="65">
        <f>IF(C679="","",IFERROR(VLOOKUP(M679&amp;"|"&amp;N679,'17. Mapa DRE CP'!$E$5:$H$100,3,FALSE),"Revisar"))</f>
        <v/>
      </c>
      <c r="T679" s="65">
        <f>IF(C679="","",IF(R679="(-) Custos diretos dos serviços",IF(ISNUMBER(SEARCH("PCMSO",C679)),"PCMSO",IF(OR(ISNUMBER(SEARCH("SGS",C679)),ISNUMBER(SEARCH("CASTRO NAVES",C679))),"Projetos / Laudos / Avulsos","Projetos / Laudos / Avulsos")),"Rateio pela receita bruta"))</f>
        <v/>
      </c>
      <c r="U679" s="65">
        <f>IF(C679="","",IF(R679="(-) Custos diretos dos serviços","Direto por fornecedor/natureza do gasto","Rateio proporcional à receita bruta da linha de serviço"))</f>
        <v/>
      </c>
    </row>
    <row r="680">
      <c r="A680" s="28">
        <f>IF(C680="","", "CP-"&amp;TEXT(ROW()-5,"000"))</f>
        <v/>
      </c>
      <c r="B680" s="27">
        <f>IF(F680="","",DATE(YEAR(F680),MONTH(F680),1))</f>
        <v/>
      </c>
      <c r="C680" s="28" t="n"/>
      <c r="D680" s="28" t="n"/>
      <c r="E680" s="59">
        <f>IF(C680="","",IFERROR(INDEX('6. Base de Custos'!$M$8:$M$42,MATCH(C680,'6. Base de Custos'!$L$8:$L$42,0)),"Não classificado"))</f>
        <v/>
      </c>
      <c r="F680" s="111" t="n"/>
      <c r="G680" s="111" t="n"/>
      <c r="H680" s="111" t="n"/>
      <c r="I680" s="45" t="n"/>
      <c r="J680" s="28" t="n"/>
      <c r="K680" s="28" t="n"/>
      <c r="L680" s="28" t="n"/>
      <c r="M680" s="59">
        <f>IF(C680="","",IFERROR(INDEX('6. Base de Custos'!$N$8:$N$42,MATCH(C680,'6. Base de Custos'!$L$8:$L$42,0)),"Não classificado"))</f>
        <v/>
      </c>
      <c r="N680" s="59">
        <f>IF(C680="","",IFERROR(INDEX('6. Base de Custos'!$O$8:$O$42,MATCH(C680,'6. Base de Custos'!$L$8:$L$42,0)),"Revisar"))</f>
        <v/>
      </c>
      <c r="O680" s="60">
        <f>IF(M680="","",IFERROR(VLOOKUP(M680,'6. Base de Custos'!$H$12:$J$18,3,FALSE),0))</f>
        <v/>
      </c>
      <c r="P680" s="59">
        <f>IF(C680="","",IFERROR(INDEX('6. Base de Custos'!$P$8:$P$42,MATCH(C680,'6. Base de Custos'!$L$8:$L$42,0)),"Revisar"))</f>
        <v/>
      </c>
      <c r="Q680" s="59">
        <f>IF(C680="","",IFERROR(INDEX('6. Base de Custos'!$Q$8:$Q$42,MATCH(C680,'6. Base de Custos'!$L$8:$L$42,0)),""))</f>
        <v/>
      </c>
      <c r="R680" s="65">
        <f>IF(C680="","",IFERROR(VLOOKUP(M680&amp;"|"&amp;N680,'17. Mapa DRE CP'!$E$5:$H$100,2,FALSE),"Revisar"))</f>
        <v/>
      </c>
      <c r="S680" s="65">
        <f>IF(C680="","",IFERROR(VLOOKUP(M680&amp;"|"&amp;N680,'17. Mapa DRE CP'!$E$5:$H$100,3,FALSE),"Revisar"))</f>
        <v/>
      </c>
      <c r="T680" s="65">
        <f>IF(C680="","",IF(R680="(-) Custos diretos dos serviços",IF(ISNUMBER(SEARCH("PCMSO",C680)),"PCMSO",IF(OR(ISNUMBER(SEARCH("SGS",C680)),ISNUMBER(SEARCH("CASTRO NAVES",C680))),"Projetos / Laudos / Avulsos","Projetos / Laudos / Avulsos")),"Rateio pela receita bruta"))</f>
        <v/>
      </c>
      <c r="U680" s="65">
        <f>IF(C680="","",IF(R680="(-) Custos diretos dos serviços","Direto por fornecedor/natureza do gasto","Rateio proporcional à receita bruta da linha de serviço"))</f>
        <v/>
      </c>
    </row>
    <row r="681">
      <c r="A681" s="28">
        <f>IF(C681="","", "CP-"&amp;TEXT(ROW()-5,"000"))</f>
        <v/>
      </c>
      <c r="B681" s="27">
        <f>IF(F681="","",DATE(YEAR(F681),MONTH(F681),1))</f>
        <v/>
      </c>
      <c r="C681" s="28" t="n"/>
      <c r="D681" s="28" t="n"/>
      <c r="E681" s="59">
        <f>IF(C681="","",IFERROR(INDEX('6. Base de Custos'!$M$8:$M$42,MATCH(C681,'6. Base de Custos'!$L$8:$L$42,0)),"Não classificado"))</f>
        <v/>
      </c>
      <c r="F681" s="111" t="n"/>
      <c r="G681" s="111" t="n"/>
      <c r="H681" s="111" t="n"/>
      <c r="I681" s="45" t="n"/>
      <c r="J681" s="28" t="n"/>
      <c r="K681" s="28" t="n"/>
      <c r="L681" s="28" t="n"/>
      <c r="M681" s="59">
        <f>IF(C681="","",IFERROR(INDEX('6. Base de Custos'!$N$8:$N$42,MATCH(C681,'6. Base de Custos'!$L$8:$L$42,0)),"Não classificado"))</f>
        <v/>
      </c>
      <c r="N681" s="59">
        <f>IF(C681="","",IFERROR(INDEX('6. Base de Custos'!$O$8:$O$42,MATCH(C681,'6. Base de Custos'!$L$8:$L$42,0)),"Revisar"))</f>
        <v/>
      </c>
      <c r="O681" s="60">
        <f>IF(M681="","",IFERROR(VLOOKUP(M681,'6. Base de Custos'!$H$12:$J$18,3,FALSE),0))</f>
        <v/>
      </c>
      <c r="P681" s="59">
        <f>IF(C681="","",IFERROR(INDEX('6. Base de Custos'!$P$8:$P$42,MATCH(C681,'6. Base de Custos'!$L$8:$L$42,0)),"Revisar"))</f>
        <v/>
      </c>
      <c r="Q681" s="59">
        <f>IF(C681="","",IFERROR(INDEX('6. Base de Custos'!$Q$8:$Q$42,MATCH(C681,'6. Base de Custos'!$L$8:$L$42,0)),""))</f>
        <v/>
      </c>
      <c r="R681" s="65">
        <f>IF(C681="","",IFERROR(VLOOKUP(M681&amp;"|"&amp;N681,'17. Mapa DRE CP'!$E$5:$H$100,2,FALSE),"Revisar"))</f>
        <v/>
      </c>
      <c r="S681" s="65">
        <f>IF(C681="","",IFERROR(VLOOKUP(M681&amp;"|"&amp;N681,'17. Mapa DRE CP'!$E$5:$H$100,3,FALSE),"Revisar"))</f>
        <v/>
      </c>
      <c r="T681" s="65">
        <f>IF(C681="","",IF(R681="(-) Custos diretos dos serviços",IF(ISNUMBER(SEARCH("PCMSO",C681)),"PCMSO",IF(OR(ISNUMBER(SEARCH("SGS",C681)),ISNUMBER(SEARCH("CASTRO NAVES",C681))),"Projetos / Laudos / Avulsos","Projetos / Laudos / Avulsos")),"Rateio pela receita bruta"))</f>
        <v/>
      </c>
      <c r="U681" s="65">
        <f>IF(C681="","",IF(R681="(-) Custos diretos dos serviços","Direto por fornecedor/natureza do gasto","Rateio proporcional à receita bruta da linha de serviço"))</f>
        <v/>
      </c>
    </row>
    <row r="682">
      <c r="A682" s="28">
        <f>IF(C682="","", "CP-"&amp;TEXT(ROW()-5,"000"))</f>
        <v/>
      </c>
      <c r="B682" s="27">
        <f>IF(F682="","",DATE(YEAR(F682),MONTH(F682),1))</f>
        <v/>
      </c>
      <c r="C682" s="28" t="n"/>
      <c r="D682" s="28" t="n"/>
      <c r="E682" s="59">
        <f>IF(C682="","",IFERROR(INDEX('6. Base de Custos'!$M$8:$M$42,MATCH(C682,'6. Base de Custos'!$L$8:$L$42,0)),"Não classificado"))</f>
        <v/>
      </c>
      <c r="F682" s="111" t="n"/>
      <c r="G682" s="111" t="n"/>
      <c r="H682" s="111" t="n"/>
      <c r="I682" s="45" t="n"/>
      <c r="J682" s="28" t="n"/>
      <c r="K682" s="28" t="n"/>
      <c r="L682" s="28" t="n"/>
      <c r="M682" s="59">
        <f>IF(C682="","",IFERROR(INDEX('6. Base de Custos'!$N$8:$N$42,MATCH(C682,'6. Base de Custos'!$L$8:$L$42,0)),"Não classificado"))</f>
        <v/>
      </c>
      <c r="N682" s="59">
        <f>IF(C682="","",IFERROR(INDEX('6. Base de Custos'!$O$8:$O$42,MATCH(C682,'6. Base de Custos'!$L$8:$L$42,0)),"Revisar"))</f>
        <v/>
      </c>
      <c r="O682" s="60">
        <f>IF(M682="","",IFERROR(VLOOKUP(M682,'6. Base de Custos'!$H$12:$J$18,3,FALSE),0))</f>
        <v/>
      </c>
      <c r="P682" s="59">
        <f>IF(C682="","",IFERROR(INDEX('6. Base de Custos'!$P$8:$P$42,MATCH(C682,'6. Base de Custos'!$L$8:$L$42,0)),"Revisar"))</f>
        <v/>
      </c>
      <c r="Q682" s="59">
        <f>IF(C682="","",IFERROR(INDEX('6. Base de Custos'!$Q$8:$Q$42,MATCH(C682,'6. Base de Custos'!$L$8:$L$42,0)),""))</f>
        <v/>
      </c>
      <c r="R682" s="65">
        <f>IF(C682="","",IFERROR(VLOOKUP(M682&amp;"|"&amp;N682,'17. Mapa DRE CP'!$E$5:$H$100,2,FALSE),"Revisar"))</f>
        <v/>
      </c>
      <c r="S682" s="65">
        <f>IF(C682="","",IFERROR(VLOOKUP(M682&amp;"|"&amp;N682,'17. Mapa DRE CP'!$E$5:$H$100,3,FALSE),"Revisar"))</f>
        <v/>
      </c>
      <c r="T682" s="65">
        <f>IF(C682="","",IF(R682="(-) Custos diretos dos serviços",IF(ISNUMBER(SEARCH("PCMSO",C682)),"PCMSO",IF(OR(ISNUMBER(SEARCH("SGS",C682)),ISNUMBER(SEARCH("CASTRO NAVES",C682))),"Projetos / Laudos / Avulsos","Projetos / Laudos / Avulsos")),"Rateio pela receita bruta"))</f>
        <v/>
      </c>
      <c r="U682" s="65">
        <f>IF(C682="","",IF(R682="(-) Custos diretos dos serviços","Direto por fornecedor/natureza do gasto","Rateio proporcional à receita bruta da linha de serviço"))</f>
        <v/>
      </c>
    </row>
    <row r="683">
      <c r="A683" s="28">
        <f>IF(C683="","", "CP-"&amp;TEXT(ROW()-5,"000"))</f>
        <v/>
      </c>
      <c r="B683" s="27">
        <f>IF(F683="","",DATE(YEAR(F683),MONTH(F683),1))</f>
        <v/>
      </c>
      <c r="C683" s="28" t="n"/>
      <c r="D683" s="28" t="n"/>
      <c r="E683" s="59">
        <f>IF(C683="","",IFERROR(INDEX('6. Base de Custos'!$M$8:$M$42,MATCH(C683,'6. Base de Custos'!$L$8:$L$42,0)),"Não classificado"))</f>
        <v/>
      </c>
      <c r="F683" s="111" t="n"/>
      <c r="G683" s="111" t="n"/>
      <c r="H683" s="111" t="n"/>
      <c r="I683" s="45" t="n"/>
      <c r="J683" s="28" t="n"/>
      <c r="K683" s="28" t="n"/>
      <c r="L683" s="28" t="n"/>
      <c r="M683" s="59">
        <f>IF(C683="","",IFERROR(INDEX('6. Base de Custos'!$N$8:$N$42,MATCH(C683,'6. Base de Custos'!$L$8:$L$42,0)),"Não classificado"))</f>
        <v/>
      </c>
      <c r="N683" s="59">
        <f>IF(C683="","",IFERROR(INDEX('6. Base de Custos'!$O$8:$O$42,MATCH(C683,'6. Base de Custos'!$L$8:$L$42,0)),"Revisar"))</f>
        <v/>
      </c>
      <c r="O683" s="60">
        <f>IF(M683="","",IFERROR(VLOOKUP(M683,'6. Base de Custos'!$H$12:$J$18,3,FALSE),0))</f>
        <v/>
      </c>
      <c r="P683" s="59">
        <f>IF(C683="","",IFERROR(INDEX('6. Base de Custos'!$P$8:$P$42,MATCH(C683,'6. Base de Custos'!$L$8:$L$42,0)),"Revisar"))</f>
        <v/>
      </c>
      <c r="Q683" s="59">
        <f>IF(C683="","",IFERROR(INDEX('6. Base de Custos'!$Q$8:$Q$42,MATCH(C683,'6. Base de Custos'!$L$8:$L$42,0)),""))</f>
        <v/>
      </c>
      <c r="R683" s="65">
        <f>IF(C683="","",IFERROR(VLOOKUP(M683&amp;"|"&amp;N683,'17. Mapa DRE CP'!$E$5:$H$100,2,FALSE),"Revisar"))</f>
        <v/>
      </c>
      <c r="S683" s="65">
        <f>IF(C683="","",IFERROR(VLOOKUP(M683&amp;"|"&amp;N683,'17. Mapa DRE CP'!$E$5:$H$100,3,FALSE),"Revisar"))</f>
        <v/>
      </c>
      <c r="T683" s="65">
        <f>IF(C683="","",IF(R683="(-) Custos diretos dos serviços",IF(ISNUMBER(SEARCH("PCMSO",C683)),"PCMSO",IF(OR(ISNUMBER(SEARCH("SGS",C683)),ISNUMBER(SEARCH("CASTRO NAVES",C683))),"Projetos / Laudos / Avulsos","Projetos / Laudos / Avulsos")),"Rateio pela receita bruta"))</f>
        <v/>
      </c>
      <c r="U683" s="65">
        <f>IF(C683="","",IF(R683="(-) Custos diretos dos serviços","Direto por fornecedor/natureza do gasto","Rateio proporcional à receita bruta da linha de serviço"))</f>
        <v/>
      </c>
    </row>
    <row r="684">
      <c r="A684" s="28">
        <f>IF(C684="","", "CP-"&amp;TEXT(ROW()-5,"000"))</f>
        <v/>
      </c>
      <c r="B684" s="27">
        <f>IF(F684="","",DATE(YEAR(F684),MONTH(F684),1))</f>
        <v/>
      </c>
      <c r="C684" s="28" t="n"/>
      <c r="D684" s="28" t="n"/>
      <c r="E684" s="59">
        <f>IF(C684="","",IFERROR(INDEX('6. Base de Custos'!$M$8:$M$42,MATCH(C684,'6. Base de Custos'!$L$8:$L$42,0)),"Não classificado"))</f>
        <v/>
      </c>
      <c r="F684" s="111" t="n"/>
      <c r="G684" s="111" t="n"/>
      <c r="H684" s="111" t="n"/>
      <c r="I684" s="45" t="n"/>
      <c r="J684" s="28" t="n"/>
      <c r="K684" s="28" t="n"/>
      <c r="L684" s="28" t="n"/>
      <c r="M684" s="59">
        <f>IF(C684="","",IFERROR(INDEX('6. Base de Custos'!$N$8:$N$42,MATCH(C684,'6. Base de Custos'!$L$8:$L$42,0)),"Não classificado"))</f>
        <v/>
      </c>
      <c r="N684" s="59">
        <f>IF(C684="","",IFERROR(INDEX('6. Base de Custos'!$O$8:$O$42,MATCH(C684,'6. Base de Custos'!$L$8:$L$42,0)),"Revisar"))</f>
        <v/>
      </c>
      <c r="O684" s="60">
        <f>IF(M684="","",IFERROR(VLOOKUP(M684,'6. Base de Custos'!$H$12:$J$18,3,FALSE),0))</f>
        <v/>
      </c>
      <c r="P684" s="59">
        <f>IF(C684="","",IFERROR(INDEX('6. Base de Custos'!$P$8:$P$42,MATCH(C684,'6. Base de Custos'!$L$8:$L$42,0)),"Revisar"))</f>
        <v/>
      </c>
      <c r="Q684" s="59">
        <f>IF(C684="","",IFERROR(INDEX('6. Base de Custos'!$Q$8:$Q$42,MATCH(C684,'6. Base de Custos'!$L$8:$L$42,0)),""))</f>
        <v/>
      </c>
      <c r="R684" s="65">
        <f>IF(C684="","",IFERROR(VLOOKUP(M684&amp;"|"&amp;N684,'17. Mapa DRE CP'!$E$5:$H$100,2,FALSE),"Revisar"))</f>
        <v/>
      </c>
      <c r="S684" s="65">
        <f>IF(C684="","",IFERROR(VLOOKUP(M684&amp;"|"&amp;N684,'17. Mapa DRE CP'!$E$5:$H$100,3,FALSE),"Revisar"))</f>
        <v/>
      </c>
      <c r="T684" s="65">
        <f>IF(C684="","",IF(R684="(-) Custos diretos dos serviços",IF(ISNUMBER(SEARCH("PCMSO",C684)),"PCMSO",IF(OR(ISNUMBER(SEARCH("SGS",C684)),ISNUMBER(SEARCH("CASTRO NAVES",C684))),"Projetos / Laudos / Avulsos","Projetos / Laudos / Avulsos")),"Rateio pela receita bruta"))</f>
        <v/>
      </c>
      <c r="U684" s="65">
        <f>IF(C684="","",IF(R684="(-) Custos diretos dos serviços","Direto por fornecedor/natureza do gasto","Rateio proporcional à receita bruta da linha de serviço"))</f>
        <v/>
      </c>
    </row>
    <row r="685">
      <c r="A685" s="28">
        <f>IF(C685="","", "CP-"&amp;TEXT(ROW()-5,"000"))</f>
        <v/>
      </c>
      <c r="B685" s="27">
        <f>IF(F685="","",DATE(YEAR(F685),MONTH(F685),1))</f>
        <v/>
      </c>
      <c r="C685" s="28" t="n"/>
      <c r="D685" s="28" t="n"/>
      <c r="E685" s="59">
        <f>IF(C685="","",IFERROR(INDEX('6. Base de Custos'!$M$8:$M$42,MATCH(C685,'6. Base de Custos'!$L$8:$L$42,0)),"Não classificado"))</f>
        <v/>
      </c>
      <c r="F685" s="111" t="n"/>
      <c r="G685" s="111" t="n"/>
      <c r="H685" s="111" t="n"/>
      <c r="I685" s="45" t="n"/>
      <c r="J685" s="28" t="n"/>
      <c r="K685" s="28" t="n"/>
      <c r="L685" s="28" t="n"/>
      <c r="M685" s="59">
        <f>IF(C685="","",IFERROR(INDEX('6. Base de Custos'!$N$8:$N$42,MATCH(C685,'6. Base de Custos'!$L$8:$L$42,0)),"Não classificado"))</f>
        <v/>
      </c>
      <c r="N685" s="59">
        <f>IF(C685="","",IFERROR(INDEX('6. Base de Custos'!$O$8:$O$42,MATCH(C685,'6. Base de Custos'!$L$8:$L$42,0)),"Revisar"))</f>
        <v/>
      </c>
      <c r="O685" s="60">
        <f>IF(M685="","",IFERROR(VLOOKUP(M685,'6. Base de Custos'!$H$12:$J$18,3,FALSE),0))</f>
        <v/>
      </c>
      <c r="P685" s="59">
        <f>IF(C685="","",IFERROR(INDEX('6. Base de Custos'!$P$8:$P$42,MATCH(C685,'6. Base de Custos'!$L$8:$L$42,0)),"Revisar"))</f>
        <v/>
      </c>
      <c r="Q685" s="59">
        <f>IF(C685="","",IFERROR(INDEX('6. Base de Custos'!$Q$8:$Q$42,MATCH(C685,'6. Base de Custos'!$L$8:$L$42,0)),""))</f>
        <v/>
      </c>
      <c r="R685" s="65">
        <f>IF(C685="","",IFERROR(VLOOKUP(M685&amp;"|"&amp;N685,'17. Mapa DRE CP'!$E$5:$H$100,2,FALSE),"Revisar"))</f>
        <v/>
      </c>
      <c r="S685" s="65">
        <f>IF(C685="","",IFERROR(VLOOKUP(M685&amp;"|"&amp;N685,'17. Mapa DRE CP'!$E$5:$H$100,3,FALSE),"Revisar"))</f>
        <v/>
      </c>
      <c r="T685" s="65">
        <f>IF(C685="","",IF(R685="(-) Custos diretos dos serviços",IF(ISNUMBER(SEARCH("PCMSO",C685)),"PCMSO",IF(OR(ISNUMBER(SEARCH("SGS",C685)),ISNUMBER(SEARCH("CASTRO NAVES",C685))),"Projetos / Laudos / Avulsos","Projetos / Laudos / Avulsos")),"Rateio pela receita bruta"))</f>
        <v/>
      </c>
      <c r="U685" s="65">
        <f>IF(C685="","",IF(R685="(-) Custos diretos dos serviços","Direto por fornecedor/natureza do gasto","Rateio proporcional à receita bruta da linha de serviço"))</f>
        <v/>
      </c>
    </row>
    <row r="686">
      <c r="A686" s="28">
        <f>IF(C686="","", "CP-"&amp;TEXT(ROW()-5,"000"))</f>
        <v/>
      </c>
      <c r="B686" s="27">
        <f>IF(F686="","",DATE(YEAR(F686),MONTH(F686),1))</f>
        <v/>
      </c>
      <c r="C686" s="28" t="n"/>
      <c r="D686" s="28" t="n"/>
      <c r="E686" s="59">
        <f>IF(C686="","",IFERROR(INDEX('6. Base de Custos'!$M$8:$M$42,MATCH(C686,'6. Base de Custos'!$L$8:$L$42,0)),"Não classificado"))</f>
        <v/>
      </c>
      <c r="F686" s="111" t="n"/>
      <c r="G686" s="111" t="n"/>
      <c r="H686" s="111" t="n"/>
      <c r="I686" s="45" t="n"/>
      <c r="J686" s="28" t="n"/>
      <c r="K686" s="28" t="n"/>
      <c r="L686" s="28" t="n"/>
      <c r="M686" s="59">
        <f>IF(C686="","",IFERROR(INDEX('6. Base de Custos'!$N$8:$N$42,MATCH(C686,'6. Base de Custos'!$L$8:$L$42,0)),"Não classificado"))</f>
        <v/>
      </c>
      <c r="N686" s="59">
        <f>IF(C686="","",IFERROR(INDEX('6. Base de Custos'!$O$8:$O$42,MATCH(C686,'6. Base de Custos'!$L$8:$L$42,0)),"Revisar"))</f>
        <v/>
      </c>
      <c r="O686" s="60">
        <f>IF(M686="","",IFERROR(VLOOKUP(M686,'6. Base de Custos'!$H$12:$J$18,3,FALSE),0))</f>
        <v/>
      </c>
      <c r="P686" s="59">
        <f>IF(C686="","",IFERROR(INDEX('6. Base de Custos'!$P$8:$P$42,MATCH(C686,'6. Base de Custos'!$L$8:$L$42,0)),"Revisar"))</f>
        <v/>
      </c>
      <c r="Q686" s="59">
        <f>IF(C686="","",IFERROR(INDEX('6. Base de Custos'!$Q$8:$Q$42,MATCH(C686,'6. Base de Custos'!$L$8:$L$42,0)),""))</f>
        <v/>
      </c>
      <c r="R686" s="65">
        <f>IF(C686="","",IFERROR(VLOOKUP(M686&amp;"|"&amp;N686,'17. Mapa DRE CP'!$E$5:$H$100,2,FALSE),"Revisar"))</f>
        <v/>
      </c>
      <c r="S686" s="65">
        <f>IF(C686="","",IFERROR(VLOOKUP(M686&amp;"|"&amp;N686,'17. Mapa DRE CP'!$E$5:$H$100,3,FALSE),"Revisar"))</f>
        <v/>
      </c>
      <c r="T686" s="65">
        <f>IF(C686="","",IF(R686="(-) Custos diretos dos serviços",IF(ISNUMBER(SEARCH("PCMSO",C686)),"PCMSO",IF(OR(ISNUMBER(SEARCH("SGS",C686)),ISNUMBER(SEARCH("CASTRO NAVES",C686))),"Projetos / Laudos / Avulsos","Projetos / Laudos / Avulsos")),"Rateio pela receita bruta"))</f>
        <v/>
      </c>
      <c r="U686" s="65">
        <f>IF(C686="","",IF(R686="(-) Custos diretos dos serviços","Direto por fornecedor/natureza do gasto","Rateio proporcional à receita bruta da linha de serviço"))</f>
        <v/>
      </c>
    </row>
    <row r="687">
      <c r="A687" s="28">
        <f>IF(C687="","", "CP-"&amp;TEXT(ROW()-5,"000"))</f>
        <v/>
      </c>
      <c r="B687" s="27">
        <f>IF(F687="","",DATE(YEAR(F687),MONTH(F687),1))</f>
        <v/>
      </c>
      <c r="C687" s="28" t="n"/>
      <c r="D687" s="28" t="n"/>
      <c r="E687" s="59">
        <f>IF(C687="","",IFERROR(INDEX('6. Base de Custos'!$M$8:$M$42,MATCH(C687,'6. Base de Custos'!$L$8:$L$42,0)),"Não classificado"))</f>
        <v/>
      </c>
      <c r="F687" s="111" t="n"/>
      <c r="G687" s="111" t="n"/>
      <c r="H687" s="111" t="n"/>
      <c r="I687" s="45" t="n"/>
      <c r="J687" s="28" t="n"/>
      <c r="K687" s="28" t="n"/>
      <c r="L687" s="28" t="n"/>
      <c r="M687" s="59">
        <f>IF(C687="","",IFERROR(INDEX('6. Base de Custos'!$N$8:$N$42,MATCH(C687,'6. Base de Custos'!$L$8:$L$42,0)),"Não classificado"))</f>
        <v/>
      </c>
      <c r="N687" s="59">
        <f>IF(C687="","",IFERROR(INDEX('6. Base de Custos'!$O$8:$O$42,MATCH(C687,'6. Base de Custos'!$L$8:$L$42,0)),"Revisar"))</f>
        <v/>
      </c>
      <c r="O687" s="60">
        <f>IF(M687="","",IFERROR(VLOOKUP(M687,'6. Base de Custos'!$H$12:$J$18,3,FALSE),0))</f>
        <v/>
      </c>
      <c r="P687" s="59">
        <f>IF(C687="","",IFERROR(INDEX('6. Base de Custos'!$P$8:$P$42,MATCH(C687,'6. Base de Custos'!$L$8:$L$42,0)),"Revisar"))</f>
        <v/>
      </c>
      <c r="Q687" s="59">
        <f>IF(C687="","",IFERROR(INDEX('6. Base de Custos'!$Q$8:$Q$42,MATCH(C687,'6. Base de Custos'!$L$8:$L$42,0)),""))</f>
        <v/>
      </c>
      <c r="R687" s="65">
        <f>IF(C687="","",IFERROR(VLOOKUP(M687&amp;"|"&amp;N687,'17. Mapa DRE CP'!$E$5:$H$100,2,FALSE),"Revisar"))</f>
        <v/>
      </c>
      <c r="S687" s="65">
        <f>IF(C687="","",IFERROR(VLOOKUP(M687&amp;"|"&amp;N687,'17. Mapa DRE CP'!$E$5:$H$100,3,FALSE),"Revisar"))</f>
        <v/>
      </c>
      <c r="T687" s="65">
        <f>IF(C687="","",IF(R687="(-) Custos diretos dos serviços",IF(ISNUMBER(SEARCH("PCMSO",C687)),"PCMSO",IF(OR(ISNUMBER(SEARCH("SGS",C687)),ISNUMBER(SEARCH("CASTRO NAVES",C687))),"Projetos / Laudos / Avulsos","Projetos / Laudos / Avulsos")),"Rateio pela receita bruta"))</f>
        <v/>
      </c>
      <c r="U687" s="65">
        <f>IF(C687="","",IF(R687="(-) Custos diretos dos serviços","Direto por fornecedor/natureza do gasto","Rateio proporcional à receita bruta da linha de serviço"))</f>
        <v/>
      </c>
    </row>
    <row r="688">
      <c r="A688" s="28">
        <f>IF(C688="","", "CP-"&amp;TEXT(ROW()-5,"000"))</f>
        <v/>
      </c>
      <c r="B688" s="27">
        <f>IF(F688="","",DATE(YEAR(F688),MONTH(F688),1))</f>
        <v/>
      </c>
      <c r="C688" s="28" t="n"/>
      <c r="D688" s="28" t="n"/>
      <c r="E688" s="59">
        <f>IF(C688="","",IFERROR(INDEX('6. Base de Custos'!$M$8:$M$42,MATCH(C688,'6. Base de Custos'!$L$8:$L$42,0)),"Não classificado"))</f>
        <v/>
      </c>
      <c r="F688" s="111" t="n"/>
      <c r="G688" s="111" t="n"/>
      <c r="H688" s="111" t="n"/>
      <c r="I688" s="45" t="n"/>
      <c r="J688" s="28" t="n"/>
      <c r="K688" s="28" t="n"/>
      <c r="L688" s="28" t="n"/>
      <c r="M688" s="59">
        <f>IF(C688="","",IFERROR(INDEX('6. Base de Custos'!$N$8:$N$42,MATCH(C688,'6. Base de Custos'!$L$8:$L$42,0)),"Não classificado"))</f>
        <v/>
      </c>
      <c r="N688" s="59">
        <f>IF(C688="","",IFERROR(INDEX('6. Base de Custos'!$O$8:$O$42,MATCH(C688,'6. Base de Custos'!$L$8:$L$42,0)),"Revisar"))</f>
        <v/>
      </c>
      <c r="O688" s="60">
        <f>IF(M688="","",IFERROR(VLOOKUP(M688,'6. Base de Custos'!$H$12:$J$18,3,FALSE),0))</f>
        <v/>
      </c>
      <c r="P688" s="59">
        <f>IF(C688="","",IFERROR(INDEX('6. Base de Custos'!$P$8:$P$42,MATCH(C688,'6. Base de Custos'!$L$8:$L$42,0)),"Revisar"))</f>
        <v/>
      </c>
      <c r="Q688" s="59">
        <f>IF(C688="","",IFERROR(INDEX('6. Base de Custos'!$Q$8:$Q$42,MATCH(C688,'6. Base de Custos'!$L$8:$L$42,0)),""))</f>
        <v/>
      </c>
      <c r="R688" s="65">
        <f>IF(C688="","",IFERROR(VLOOKUP(M688&amp;"|"&amp;N688,'17. Mapa DRE CP'!$E$5:$H$100,2,FALSE),"Revisar"))</f>
        <v/>
      </c>
      <c r="S688" s="65">
        <f>IF(C688="","",IFERROR(VLOOKUP(M688&amp;"|"&amp;N688,'17. Mapa DRE CP'!$E$5:$H$100,3,FALSE),"Revisar"))</f>
        <v/>
      </c>
      <c r="T688" s="65">
        <f>IF(C688="","",IF(R688="(-) Custos diretos dos serviços",IF(ISNUMBER(SEARCH("PCMSO",C688)),"PCMSO",IF(OR(ISNUMBER(SEARCH("SGS",C688)),ISNUMBER(SEARCH("CASTRO NAVES",C688))),"Projetos / Laudos / Avulsos","Projetos / Laudos / Avulsos")),"Rateio pela receita bruta"))</f>
        <v/>
      </c>
      <c r="U688" s="65">
        <f>IF(C688="","",IF(R688="(-) Custos diretos dos serviços","Direto por fornecedor/natureza do gasto","Rateio proporcional à receita bruta da linha de serviço"))</f>
        <v/>
      </c>
    </row>
    <row r="689">
      <c r="A689" s="28">
        <f>IF(C689="","", "CP-"&amp;TEXT(ROW()-5,"000"))</f>
        <v/>
      </c>
      <c r="B689" s="27">
        <f>IF(F689="","",DATE(YEAR(F689),MONTH(F689),1))</f>
        <v/>
      </c>
      <c r="C689" s="28" t="n"/>
      <c r="D689" s="28" t="n"/>
      <c r="E689" s="59">
        <f>IF(C689="","",IFERROR(INDEX('6. Base de Custos'!$M$8:$M$42,MATCH(C689,'6. Base de Custos'!$L$8:$L$42,0)),"Não classificado"))</f>
        <v/>
      </c>
      <c r="F689" s="111" t="n"/>
      <c r="G689" s="111" t="n"/>
      <c r="H689" s="111" t="n"/>
      <c r="I689" s="45" t="n"/>
      <c r="J689" s="28" t="n"/>
      <c r="K689" s="28" t="n"/>
      <c r="L689" s="28" t="n"/>
      <c r="M689" s="59">
        <f>IF(C689="","",IFERROR(INDEX('6. Base de Custos'!$N$8:$N$42,MATCH(C689,'6. Base de Custos'!$L$8:$L$42,0)),"Não classificado"))</f>
        <v/>
      </c>
      <c r="N689" s="59">
        <f>IF(C689="","",IFERROR(INDEX('6. Base de Custos'!$O$8:$O$42,MATCH(C689,'6. Base de Custos'!$L$8:$L$42,0)),"Revisar"))</f>
        <v/>
      </c>
      <c r="O689" s="60">
        <f>IF(M689="","",IFERROR(VLOOKUP(M689,'6. Base de Custos'!$H$12:$J$18,3,FALSE),0))</f>
        <v/>
      </c>
      <c r="P689" s="59">
        <f>IF(C689="","",IFERROR(INDEX('6. Base de Custos'!$P$8:$P$42,MATCH(C689,'6. Base de Custos'!$L$8:$L$42,0)),"Revisar"))</f>
        <v/>
      </c>
      <c r="Q689" s="59">
        <f>IF(C689="","",IFERROR(INDEX('6. Base de Custos'!$Q$8:$Q$42,MATCH(C689,'6. Base de Custos'!$L$8:$L$42,0)),""))</f>
        <v/>
      </c>
      <c r="R689" s="65">
        <f>IF(C689="","",IFERROR(VLOOKUP(M689&amp;"|"&amp;N689,'17. Mapa DRE CP'!$E$5:$H$100,2,FALSE),"Revisar"))</f>
        <v/>
      </c>
      <c r="S689" s="65">
        <f>IF(C689="","",IFERROR(VLOOKUP(M689&amp;"|"&amp;N689,'17. Mapa DRE CP'!$E$5:$H$100,3,FALSE),"Revisar"))</f>
        <v/>
      </c>
      <c r="T689" s="65">
        <f>IF(C689="","",IF(R689="(-) Custos diretos dos serviços",IF(ISNUMBER(SEARCH("PCMSO",C689)),"PCMSO",IF(OR(ISNUMBER(SEARCH("SGS",C689)),ISNUMBER(SEARCH("CASTRO NAVES",C689))),"Projetos / Laudos / Avulsos","Projetos / Laudos / Avulsos")),"Rateio pela receita bruta"))</f>
        <v/>
      </c>
      <c r="U689" s="65">
        <f>IF(C689="","",IF(R689="(-) Custos diretos dos serviços","Direto por fornecedor/natureza do gasto","Rateio proporcional à receita bruta da linha de serviço"))</f>
        <v/>
      </c>
    </row>
    <row r="690">
      <c r="A690" s="28">
        <f>IF(C690="","", "CP-"&amp;TEXT(ROW()-5,"000"))</f>
        <v/>
      </c>
      <c r="B690" s="27">
        <f>IF(F690="","",DATE(YEAR(F690),MONTH(F690),1))</f>
        <v/>
      </c>
      <c r="C690" s="28" t="n"/>
      <c r="D690" s="28" t="n"/>
      <c r="E690" s="59">
        <f>IF(C690="","",IFERROR(INDEX('6. Base de Custos'!$M$8:$M$42,MATCH(C690,'6. Base de Custos'!$L$8:$L$42,0)),"Não classificado"))</f>
        <v/>
      </c>
      <c r="F690" s="111" t="n"/>
      <c r="G690" s="111" t="n"/>
      <c r="H690" s="111" t="n"/>
      <c r="I690" s="45" t="n"/>
      <c r="J690" s="28" t="n"/>
      <c r="K690" s="28" t="n"/>
      <c r="L690" s="28" t="n"/>
      <c r="M690" s="59">
        <f>IF(C690="","",IFERROR(INDEX('6. Base de Custos'!$N$8:$N$42,MATCH(C690,'6. Base de Custos'!$L$8:$L$42,0)),"Não classificado"))</f>
        <v/>
      </c>
      <c r="N690" s="59">
        <f>IF(C690="","",IFERROR(INDEX('6. Base de Custos'!$O$8:$O$42,MATCH(C690,'6. Base de Custos'!$L$8:$L$42,0)),"Revisar"))</f>
        <v/>
      </c>
      <c r="O690" s="60">
        <f>IF(M690="","",IFERROR(VLOOKUP(M690,'6. Base de Custos'!$H$12:$J$18,3,FALSE),0))</f>
        <v/>
      </c>
      <c r="P690" s="59">
        <f>IF(C690="","",IFERROR(INDEX('6. Base de Custos'!$P$8:$P$42,MATCH(C690,'6. Base de Custos'!$L$8:$L$42,0)),"Revisar"))</f>
        <v/>
      </c>
      <c r="Q690" s="59">
        <f>IF(C690="","",IFERROR(INDEX('6. Base de Custos'!$Q$8:$Q$42,MATCH(C690,'6. Base de Custos'!$L$8:$L$42,0)),""))</f>
        <v/>
      </c>
      <c r="R690" s="65">
        <f>IF(C690="","",IFERROR(VLOOKUP(M690&amp;"|"&amp;N690,'17. Mapa DRE CP'!$E$5:$H$100,2,FALSE),"Revisar"))</f>
        <v/>
      </c>
      <c r="S690" s="65">
        <f>IF(C690="","",IFERROR(VLOOKUP(M690&amp;"|"&amp;N690,'17. Mapa DRE CP'!$E$5:$H$100,3,FALSE),"Revisar"))</f>
        <v/>
      </c>
      <c r="T690" s="65">
        <f>IF(C690="","",IF(R690="(-) Custos diretos dos serviços",IF(ISNUMBER(SEARCH("PCMSO",C690)),"PCMSO",IF(OR(ISNUMBER(SEARCH("SGS",C690)),ISNUMBER(SEARCH("CASTRO NAVES",C690))),"Projetos / Laudos / Avulsos","Projetos / Laudos / Avulsos")),"Rateio pela receita bruta"))</f>
        <v/>
      </c>
      <c r="U690" s="65">
        <f>IF(C690="","",IF(R690="(-) Custos diretos dos serviços","Direto por fornecedor/natureza do gasto","Rateio proporcional à receita bruta da linha de serviço"))</f>
        <v/>
      </c>
    </row>
    <row r="691">
      <c r="A691" s="28">
        <f>IF(C691="","", "CP-"&amp;TEXT(ROW()-5,"000"))</f>
        <v/>
      </c>
      <c r="B691" s="27">
        <f>IF(F691="","",DATE(YEAR(F691),MONTH(F691),1))</f>
        <v/>
      </c>
      <c r="C691" s="28" t="n"/>
      <c r="D691" s="28" t="n"/>
      <c r="E691" s="59">
        <f>IF(C691="","",IFERROR(INDEX('6. Base de Custos'!$M$8:$M$42,MATCH(C691,'6. Base de Custos'!$L$8:$L$42,0)),"Não classificado"))</f>
        <v/>
      </c>
      <c r="F691" s="111" t="n"/>
      <c r="G691" s="111" t="n"/>
      <c r="H691" s="111" t="n"/>
      <c r="I691" s="45" t="n"/>
      <c r="J691" s="28" t="n"/>
      <c r="K691" s="28" t="n"/>
      <c r="L691" s="28" t="n"/>
      <c r="M691" s="59">
        <f>IF(C691="","",IFERROR(INDEX('6. Base de Custos'!$N$8:$N$42,MATCH(C691,'6. Base de Custos'!$L$8:$L$42,0)),"Não classificado"))</f>
        <v/>
      </c>
      <c r="N691" s="59">
        <f>IF(C691="","",IFERROR(INDEX('6. Base de Custos'!$O$8:$O$42,MATCH(C691,'6. Base de Custos'!$L$8:$L$42,0)),"Revisar"))</f>
        <v/>
      </c>
      <c r="O691" s="60">
        <f>IF(M691="","",IFERROR(VLOOKUP(M691,'6. Base de Custos'!$H$12:$J$18,3,FALSE),0))</f>
        <v/>
      </c>
      <c r="P691" s="59">
        <f>IF(C691="","",IFERROR(INDEX('6. Base de Custos'!$P$8:$P$42,MATCH(C691,'6. Base de Custos'!$L$8:$L$42,0)),"Revisar"))</f>
        <v/>
      </c>
      <c r="Q691" s="59">
        <f>IF(C691="","",IFERROR(INDEX('6. Base de Custos'!$Q$8:$Q$42,MATCH(C691,'6. Base de Custos'!$L$8:$L$42,0)),""))</f>
        <v/>
      </c>
      <c r="R691" s="65">
        <f>IF(C691="","",IFERROR(VLOOKUP(M691&amp;"|"&amp;N691,'17. Mapa DRE CP'!$E$5:$H$100,2,FALSE),"Revisar"))</f>
        <v/>
      </c>
      <c r="S691" s="65">
        <f>IF(C691="","",IFERROR(VLOOKUP(M691&amp;"|"&amp;N691,'17. Mapa DRE CP'!$E$5:$H$100,3,FALSE),"Revisar"))</f>
        <v/>
      </c>
      <c r="T691" s="65">
        <f>IF(C691="","",IF(R691="(-) Custos diretos dos serviços",IF(ISNUMBER(SEARCH("PCMSO",C691)),"PCMSO",IF(OR(ISNUMBER(SEARCH("SGS",C691)),ISNUMBER(SEARCH("CASTRO NAVES",C691))),"Projetos / Laudos / Avulsos","Projetos / Laudos / Avulsos")),"Rateio pela receita bruta"))</f>
        <v/>
      </c>
      <c r="U691" s="65">
        <f>IF(C691="","",IF(R691="(-) Custos diretos dos serviços","Direto por fornecedor/natureza do gasto","Rateio proporcional à receita bruta da linha de serviço"))</f>
        <v/>
      </c>
    </row>
    <row r="692">
      <c r="A692" s="28">
        <f>IF(C692="","", "CP-"&amp;TEXT(ROW()-5,"000"))</f>
        <v/>
      </c>
      <c r="B692" s="27">
        <f>IF(F692="","",DATE(YEAR(F692),MONTH(F692),1))</f>
        <v/>
      </c>
      <c r="C692" s="28" t="n"/>
      <c r="D692" s="28" t="n"/>
      <c r="E692" s="59">
        <f>IF(C692="","",IFERROR(INDEX('6. Base de Custos'!$M$8:$M$42,MATCH(C692,'6. Base de Custos'!$L$8:$L$42,0)),"Não classificado"))</f>
        <v/>
      </c>
      <c r="F692" s="111" t="n"/>
      <c r="G692" s="111" t="n"/>
      <c r="H692" s="111" t="n"/>
      <c r="I692" s="45" t="n"/>
      <c r="J692" s="28" t="n"/>
      <c r="K692" s="28" t="n"/>
      <c r="L692" s="28" t="n"/>
      <c r="M692" s="59">
        <f>IF(C692="","",IFERROR(INDEX('6. Base de Custos'!$N$8:$N$42,MATCH(C692,'6. Base de Custos'!$L$8:$L$42,0)),"Não classificado"))</f>
        <v/>
      </c>
      <c r="N692" s="59">
        <f>IF(C692="","",IFERROR(INDEX('6. Base de Custos'!$O$8:$O$42,MATCH(C692,'6. Base de Custos'!$L$8:$L$42,0)),"Revisar"))</f>
        <v/>
      </c>
      <c r="O692" s="60">
        <f>IF(M692="","",IFERROR(VLOOKUP(M692,'6. Base de Custos'!$H$12:$J$18,3,FALSE),0))</f>
        <v/>
      </c>
      <c r="P692" s="59">
        <f>IF(C692="","",IFERROR(INDEX('6. Base de Custos'!$P$8:$P$42,MATCH(C692,'6. Base de Custos'!$L$8:$L$42,0)),"Revisar"))</f>
        <v/>
      </c>
      <c r="Q692" s="59">
        <f>IF(C692="","",IFERROR(INDEX('6. Base de Custos'!$Q$8:$Q$42,MATCH(C692,'6. Base de Custos'!$L$8:$L$42,0)),""))</f>
        <v/>
      </c>
      <c r="R692" s="65">
        <f>IF(C692="","",IFERROR(VLOOKUP(M692&amp;"|"&amp;N692,'17. Mapa DRE CP'!$E$5:$H$100,2,FALSE),"Revisar"))</f>
        <v/>
      </c>
      <c r="S692" s="65">
        <f>IF(C692="","",IFERROR(VLOOKUP(M692&amp;"|"&amp;N692,'17. Mapa DRE CP'!$E$5:$H$100,3,FALSE),"Revisar"))</f>
        <v/>
      </c>
      <c r="T692" s="65">
        <f>IF(C692="","",IF(R692="(-) Custos diretos dos serviços",IF(ISNUMBER(SEARCH("PCMSO",C692)),"PCMSO",IF(OR(ISNUMBER(SEARCH("SGS",C692)),ISNUMBER(SEARCH("CASTRO NAVES",C692))),"Projetos / Laudos / Avulsos","Projetos / Laudos / Avulsos")),"Rateio pela receita bruta"))</f>
        <v/>
      </c>
      <c r="U692" s="65">
        <f>IF(C692="","",IF(R692="(-) Custos diretos dos serviços","Direto por fornecedor/natureza do gasto","Rateio proporcional à receita bruta da linha de serviço"))</f>
        <v/>
      </c>
    </row>
    <row r="693">
      <c r="A693" s="28">
        <f>IF(C693="","", "CP-"&amp;TEXT(ROW()-5,"000"))</f>
        <v/>
      </c>
      <c r="B693" s="27">
        <f>IF(F693="","",DATE(YEAR(F693),MONTH(F693),1))</f>
        <v/>
      </c>
      <c r="C693" s="28" t="n"/>
      <c r="D693" s="28" t="n"/>
      <c r="E693" s="59">
        <f>IF(C693="","",IFERROR(INDEX('6. Base de Custos'!$M$8:$M$42,MATCH(C693,'6. Base de Custos'!$L$8:$L$42,0)),"Não classificado"))</f>
        <v/>
      </c>
      <c r="F693" s="111" t="n"/>
      <c r="G693" s="111" t="n"/>
      <c r="H693" s="111" t="n"/>
      <c r="I693" s="45" t="n"/>
      <c r="J693" s="28" t="n"/>
      <c r="K693" s="28" t="n"/>
      <c r="L693" s="28" t="n"/>
      <c r="M693" s="59">
        <f>IF(C693="","",IFERROR(INDEX('6. Base de Custos'!$N$8:$N$42,MATCH(C693,'6. Base de Custos'!$L$8:$L$42,0)),"Não classificado"))</f>
        <v/>
      </c>
      <c r="N693" s="59">
        <f>IF(C693="","",IFERROR(INDEX('6. Base de Custos'!$O$8:$O$42,MATCH(C693,'6. Base de Custos'!$L$8:$L$42,0)),"Revisar"))</f>
        <v/>
      </c>
      <c r="O693" s="60">
        <f>IF(M693="","",IFERROR(VLOOKUP(M693,'6. Base de Custos'!$H$12:$J$18,3,FALSE),0))</f>
        <v/>
      </c>
      <c r="P693" s="59">
        <f>IF(C693="","",IFERROR(INDEX('6. Base de Custos'!$P$8:$P$42,MATCH(C693,'6. Base de Custos'!$L$8:$L$42,0)),"Revisar"))</f>
        <v/>
      </c>
      <c r="Q693" s="59">
        <f>IF(C693="","",IFERROR(INDEX('6. Base de Custos'!$Q$8:$Q$42,MATCH(C693,'6. Base de Custos'!$L$8:$L$42,0)),""))</f>
        <v/>
      </c>
      <c r="R693" s="65">
        <f>IF(C693="","",IFERROR(VLOOKUP(M693&amp;"|"&amp;N693,'17. Mapa DRE CP'!$E$5:$H$100,2,FALSE),"Revisar"))</f>
        <v/>
      </c>
      <c r="S693" s="65">
        <f>IF(C693="","",IFERROR(VLOOKUP(M693&amp;"|"&amp;N693,'17. Mapa DRE CP'!$E$5:$H$100,3,FALSE),"Revisar"))</f>
        <v/>
      </c>
      <c r="T693" s="65">
        <f>IF(C693="","",IF(R693="(-) Custos diretos dos serviços",IF(ISNUMBER(SEARCH("PCMSO",C693)),"PCMSO",IF(OR(ISNUMBER(SEARCH("SGS",C693)),ISNUMBER(SEARCH("CASTRO NAVES",C693))),"Projetos / Laudos / Avulsos","Projetos / Laudos / Avulsos")),"Rateio pela receita bruta"))</f>
        <v/>
      </c>
      <c r="U693" s="65">
        <f>IF(C693="","",IF(R693="(-) Custos diretos dos serviços","Direto por fornecedor/natureza do gasto","Rateio proporcional à receita bruta da linha de serviço"))</f>
        <v/>
      </c>
    </row>
    <row r="694">
      <c r="A694" s="28">
        <f>IF(C694="","", "CP-"&amp;TEXT(ROW()-5,"000"))</f>
        <v/>
      </c>
      <c r="B694" s="27">
        <f>IF(F694="","",DATE(YEAR(F694),MONTH(F694),1))</f>
        <v/>
      </c>
      <c r="C694" s="28" t="n"/>
      <c r="D694" s="28" t="n"/>
      <c r="E694" s="59">
        <f>IF(C694="","",IFERROR(INDEX('6. Base de Custos'!$M$8:$M$42,MATCH(C694,'6. Base de Custos'!$L$8:$L$42,0)),"Não classificado"))</f>
        <v/>
      </c>
      <c r="F694" s="111" t="n"/>
      <c r="G694" s="111" t="n"/>
      <c r="H694" s="111" t="n"/>
      <c r="I694" s="45" t="n"/>
      <c r="J694" s="28" t="n"/>
      <c r="K694" s="28" t="n"/>
      <c r="L694" s="28" t="n"/>
      <c r="M694" s="59">
        <f>IF(C694="","",IFERROR(INDEX('6. Base de Custos'!$N$8:$N$42,MATCH(C694,'6. Base de Custos'!$L$8:$L$42,0)),"Não classificado"))</f>
        <v/>
      </c>
      <c r="N694" s="59">
        <f>IF(C694="","",IFERROR(INDEX('6. Base de Custos'!$O$8:$O$42,MATCH(C694,'6. Base de Custos'!$L$8:$L$42,0)),"Revisar"))</f>
        <v/>
      </c>
      <c r="O694" s="60">
        <f>IF(M694="","",IFERROR(VLOOKUP(M694,'6. Base de Custos'!$H$12:$J$18,3,FALSE),0))</f>
        <v/>
      </c>
      <c r="P694" s="59">
        <f>IF(C694="","",IFERROR(INDEX('6. Base de Custos'!$P$8:$P$42,MATCH(C694,'6. Base de Custos'!$L$8:$L$42,0)),"Revisar"))</f>
        <v/>
      </c>
      <c r="Q694" s="59">
        <f>IF(C694="","",IFERROR(INDEX('6. Base de Custos'!$Q$8:$Q$42,MATCH(C694,'6. Base de Custos'!$L$8:$L$42,0)),""))</f>
        <v/>
      </c>
      <c r="R694" s="65">
        <f>IF(C694="","",IFERROR(VLOOKUP(M694&amp;"|"&amp;N694,'17. Mapa DRE CP'!$E$5:$H$100,2,FALSE),"Revisar"))</f>
        <v/>
      </c>
      <c r="S694" s="65">
        <f>IF(C694="","",IFERROR(VLOOKUP(M694&amp;"|"&amp;N694,'17. Mapa DRE CP'!$E$5:$H$100,3,FALSE),"Revisar"))</f>
        <v/>
      </c>
      <c r="T694" s="65">
        <f>IF(C694="","",IF(R694="(-) Custos diretos dos serviços",IF(ISNUMBER(SEARCH("PCMSO",C694)),"PCMSO",IF(OR(ISNUMBER(SEARCH("SGS",C694)),ISNUMBER(SEARCH("CASTRO NAVES",C694))),"Projetos / Laudos / Avulsos","Projetos / Laudos / Avulsos")),"Rateio pela receita bruta"))</f>
        <v/>
      </c>
      <c r="U694" s="65">
        <f>IF(C694="","",IF(R694="(-) Custos diretos dos serviços","Direto por fornecedor/natureza do gasto","Rateio proporcional à receita bruta da linha de serviço"))</f>
        <v/>
      </c>
    </row>
    <row r="695">
      <c r="A695" s="28">
        <f>IF(C695="","", "CP-"&amp;TEXT(ROW()-5,"000"))</f>
        <v/>
      </c>
      <c r="B695" s="27">
        <f>IF(F695="","",DATE(YEAR(F695),MONTH(F695),1))</f>
        <v/>
      </c>
      <c r="C695" s="28" t="n"/>
      <c r="D695" s="28" t="n"/>
      <c r="E695" s="59">
        <f>IF(C695="","",IFERROR(INDEX('6. Base de Custos'!$M$8:$M$42,MATCH(C695,'6. Base de Custos'!$L$8:$L$42,0)),"Não classificado"))</f>
        <v/>
      </c>
      <c r="F695" s="111" t="n"/>
      <c r="G695" s="111" t="n"/>
      <c r="H695" s="111" t="n"/>
      <c r="I695" s="45" t="n"/>
      <c r="J695" s="28" t="n"/>
      <c r="K695" s="28" t="n"/>
      <c r="L695" s="28" t="n"/>
      <c r="M695" s="59">
        <f>IF(C695="","",IFERROR(INDEX('6. Base de Custos'!$N$8:$N$42,MATCH(C695,'6. Base de Custos'!$L$8:$L$42,0)),"Não classificado"))</f>
        <v/>
      </c>
      <c r="N695" s="59">
        <f>IF(C695="","",IFERROR(INDEX('6. Base de Custos'!$O$8:$O$42,MATCH(C695,'6. Base de Custos'!$L$8:$L$42,0)),"Revisar"))</f>
        <v/>
      </c>
      <c r="O695" s="60">
        <f>IF(M695="","",IFERROR(VLOOKUP(M695,'6. Base de Custos'!$H$12:$J$18,3,FALSE),0))</f>
        <v/>
      </c>
      <c r="P695" s="59">
        <f>IF(C695="","",IFERROR(INDEX('6. Base de Custos'!$P$8:$P$42,MATCH(C695,'6. Base de Custos'!$L$8:$L$42,0)),"Revisar"))</f>
        <v/>
      </c>
      <c r="Q695" s="59">
        <f>IF(C695="","",IFERROR(INDEX('6. Base de Custos'!$Q$8:$Q$42,MATCH(C695,'6. Base de Custos'!$L$8:$L$42,0)),""))</f>
        <v/>
      </c>
      <c r="R695" s="65">
        <f>IF(C695="","",IFERROR(VLOOKUP(M695&amp;"|"&amp;N695,'17. Mapa DRE CP'!$E$5:$H$100,2,FALSE),"Revisar"))</f>
        <v/>
      </c>
      <c r="S695" s="65">
        <f>IF(C695="","",IFERROR(VLOOKUP(M695&amp;"|"&amp;N695,'17. Mapa DRE CP'!$E$5:$H$100,3,FALSE),"Revisar"))</f>
        <v/>
      </c>
      <c r="T695" s="65">
        <f>IF(C695="","",IF(R695="(-) Custos diretos dos serviços",IF(ISNUMBER(SEARCH("PCMSO",C695)),"PCMSO",IF(OR(ISNUMBER(SEARCH("SGS",C695)),ISNUMBER(SEARCH("CASTRO NAVES",C695))),"Projetos / Laudos / Avulsos","Projetos / Laudos / Avulsos")),"Rateio pela receita bruta"))</f>
        <v/>
      </c>
      <c r="U695" s="65">
        <f>IF(C695="","",IF(R695="(-) Custos diretos dos serviços","Direto por fornecedor/natureza do gasto","Rateio proporcional à receita bruta da linha de serviço"))</f>
        <v/>
      </c>
    </row>
    <row r="696">
      <c r="A696" s="28">
        <f>IF(C696="","", "CP-"&amp;TEXT(ROW()-5,"000"))</f>
        <v/>
      </c>
      <c r="B696" s="27">
        <f>IF(F696="","",DATE(YEAR(F696),MONTH(F696),1))</f>
        <v/>
      </c>
      <c r="C696" s="28" t="n"/>
      <c r="D696" s="28" t="n"/>
      <c r="E696" s="59">
        <f>IF(C696="","",IFERROR(INDEX('6. Base de Custos'!$M$8:$M$42,MATCH(C696,'6. Base de Custos'!$L$8:$L$42,0)),"Não classificado"))</f>
        <v/>
      </c>
      <c r="F696" s="111" t="n"/>
      <c r="G696" s="111" t="n"/>
      <c r="H696" s="111" t="n"/>
      <c r="I696" s="45" t="n"/>
      <c r="J696" s="28" t="n"/>
      <c r="K696" s="28" t="n"/>
      <c r="L696" s="28" t="n"/>
      <c r="M696" s="59">
        <f>IF(C696="","",IFERROR(INDEX('6. Base de Custos'!$N$8:$N$42,MATCH(C696,'6. Base de Custos'!$L$8:$L$42,0)),"Não classificado"))</f>
        <v/>
      </c>
      <c r="N696" s="59">
        <f>IF(C696="","",IFERROR(INDEX('6. Base de Custos'!$O$8:$O$42,MATCH(C696,'6. Base de Custos'!$L$8:$L$42,0)),"Revisar"))</f>
        <v/>
      </c>
      <c r="O696" s="60">
        <f>IF(M696="","",IFERROR(VLOOKUP(M696,'6. Base de Custos'!$H$12:$J$18,3,FALSE),0))</f>
        <v/>
      </c>
      <c r="P696" s="59">
        <f>IF(C696="","",IFERROR(INDEX('6. Base de Custos'!$P$8:$P$42,MATCH(C696,'6. Base de Custos'!$L$8:$L$42,0)),"Revisar"))</f>
        <v/>
      </c>
      <c r="Q696" s="59">
        <f>IF(C696="","",IFERROR(INDEX('6. Base de Custos'!$Q$8:$Q$42,MATCH(C696,'6. Base de Custos'!$L$8:$L$42,0)),""))</f>
        <v/>
      </c>
      <c r="R696" s="65">
        <f>IF(C696="","",IFERROR(VLOOKUP(M696&amp;"|"&amp;N696,'17. Mapa DRE CP'!$E$5:$H$100,2,FALSE),"Revisar"))</f>
        <v/>
      </c>
      <c r="S696" s="65">
        <f>IF(C696="","",IFERROR(VLOOKUP(M696&amp;"|"&amp;N696,'17. Mapa DRE CP'!$E$5:$H$100,3,FALSE),"Revisar"))</f>
        <v/>
      </c>
      <c r="T696" s="65">
        <f>IF(C696="","",IF(R696="(-) Custos diretos dos serviços",IF(ISNUMBER(SEARCH("PCMSO",C696)),"PCMSO",IF(OR(ISNUMBER(SEARCH("SGS",C696)),ISNUMBER(SEARCH("CASTRO NAVES",C696))),"Projetos / Laudos / Avulsos","Projetos / Laudos / Avulsos")),"Rateio pela receita bruta"))</f>
        <v/>
      </c>
      <c r="U696" s="65">
        <f>IF(C696="","",IF(R696="(-) Custos diretos dos serviços","Direto por fornecedor/natureza do gasto","Rateio proporcional à receita bruta da linha de serviço"))</f>
        <v/>
      </c>
    </row>
    <row r="697">
      <c r="A697" s="28">
        <f>IF(C697="","", "CP-"&amp;TEXT(ROW()-5,"000"))</f>
        <v/>
      </c>
      <c r="B697" s="27">
        <f>IF(F697="","",DATE(YEAR(F697),MONTH(F697),1))</f>
        <v/>
      </c>
      <c r="C697" s="28" t="n"/>
      <c r="D697" s="28" t="n"/>
      <c r="E697" s="59">
        <f>IF(C697="","",IFERROR(INDEX('6. Base de Custos'!$M$8:$M$42,MATCH(C697,'6. Base de Custos'!$L$8:$L$42,0)),"Não classificado"))</f>
        <v/>
      </c>
      <c r="F697" s="111" t="n"/>
      <c r="G697" s="111" t="n"/>
      <c r="H697" s="111" t="n"/>
      <c r="I697" s="45" t="n"/>
      <c r="J697" s="28" t="n"/>
      <c r="K697" s="28" t="n"/>
      <c r="L697" s="28" t="n"/>
      <c r="M697" s="59">
        <f>IF(C697="","",IFERROR(INDEX('6. Base de Custos'!$N$8:$N$42,MATCH(C697,'6. Base de Custos'!$L$8:$L$42,0)),"Não classificado"))</f>
        <v/>
      </c>
      <c r="N697" s="59">
        <f>IF(C697="","",IFERROR(INDEX('6. Base de Custos'!$O$8:$O$42,MATCH(C697,'6. Base de Custos'!$L$8:$L$42,0)),"Revisar"))</f>
        <v/>
      </c>
      <c r="O697" s="60">
        <f>IF(M697="","",IFERROR(VLOOKUP(M697,'6. Base de Custos'!$H$12:$J$18,3,FALSE),0))</f>
        <v/>
      </c>
      <c r="P697" s="59">
        <f>IF(C697="","",IFERROR(INDEX('6. Base de Custos'!$P$8:$P$42,MATCH(C697,'6. Base de Custos'!$L$8:$L$42,0)),"Revisar"))</f>
        <v/>
      </c>
      <c r="Q697" s="59">
        <f>IF(C697="","",IFERROR(INDEX('6. Base de Custos'!$Q$8:$Q$42,MATCH(C697,'6. Base de Custos'!$L$8:$L$42,0)),""))</f>
        <v/>
      </c>
      <c r="R697" s="65">
        <f>IF(C697="","",IFERROR(VLOOKUP(M697&amp;"|"&amp;N697,'17. Mapa DRE CP'!$E$5:$H$100,2,FALSE),"Revisar"))</f>
        <v/>
      </c>
      <c r="S697" s="65">
        <f>IF(C697="","",IFERROR(VLOOKUP(M697&amp;"|"&amp;N697,'17. Mapa DRE CP'!$E$5:$H$100,3,FALSE),"Revisar"))</f>
        <v/>
      </c>
      <c r="T697" s="65">
        <f>IF(C697="","",IF(R697="(-) Custos diretos dos serviços",IF(ISNUMBER(SEARCH("PCMSO",C697)),"PCMSO",IF(OR(ISNUMBER(SEARCH("SGS",C697)),ISNUMBER(SEARCH("CASTRO NAVES",C697))),"Projetos / Laudos / Avulsos","Projetos / Laudos / Avulsos")),"Rateio pela receita bruta"))</f>
        <v/>
      </c>
      <c r="U697" s="65">
        <f>IF(C697="","",IF(R697="(-) Custos diretos dos serviços","Direto por fornecedor/natureza do gasto","Rateio proporcional à receita bruta da linha de serviço"))</f>
        <v/>
      </c>
    </row>
    <row r="698">
      <c r="A698" s="28">
        <f>IF(C698="","", "CP-"&amp;TEXT(ROW()-5,"000"))</f>
        <v/>
      </c>
      <c r="B698" s="27">
        <f>IF(F698="","",DATE(YEAR(F698),MONTH(F698),1))</f>
        <v/>
      </c>
      <c r="C698" s="28" t="n"/>
      <c r="D698" s="28" t="n"/>
      <c r="E698" s="59">
        <f>IF(C698="","",IFERROR(INDEX('6. Base de Custos'!$M$8:$M$42,MATCH(C698,'6. Base de Custos'!$L$8:$L$42,0)),"Não classificado"))</f>
        <v/>
      </c>
      <c r="F698" s="111" t="n"/>
      <c r="G698" s="111" t="n"/>
      <c r="H698" s="111" t="n"/>
      <c r="I698" s="45" t="n"/>
      <c r="J698" s="28" t="n"/>
      <c r="K698" s="28" t="n"/>
      <c r="L698" s="28" t="n"/>
      <c r="M698" s="59">
        <f>IF(C698="","",IFERROR(INDEX('6. Base de Custos'!$N$8:$N$42,MATCH(C698,'6. Base de Custos'!$L$8:$L$42,0)),"Não classificado"))</f>
        <v/>
      </c>
      <c r="N698" s="59">
        <f>IF(C698="","",IFERROR(INDEX('6. Base de Custos'!$O$8:$O$42,MATCH(C698,'6. Base de Custos'!$L$8:$L$42,0)),"Revisar"))</f>
        <v/>
      </c>
      <c r="O698" s="60">
        <f>IF(M698="","",IFERROR(VLOOKUP(M698,'6. Base de Custos'!$H$12:$J$18,3,FALSE),0))</f>
        <v/>
      </c>
      <c r="P698" s="59">
        <f>IF(C698="","",IFERROR(INDEX('6. Base de Custos'!$P$8:$P$42,MATCH(C698,'6. Base de Custos'!$L$8:$L$42,0)),"Revisar"))</f>
        <v/>
      </c>
      <c r="Q698" s="59">
        <f>IF(C698="","",IFERROR(INDEX('6. Base de Custos'!$Q$8:$Q$42,MATCH(C698,'6. Base de Custos'!$L$8:$L$42,0)),""))</f>
        <v/>
      </c>
      <c r="R698" s="65">
        <f>IF(C698="","",IFERROR(VLOOKUP(M698&amp;"|"&amp;N698,'17. Mapa DRE CP'!$E$5:$H$100,2,FALSE),"Revisar"))</f>
        <v/>
      </c>
      <c r="S698" s="65">
        <f>IF(C698="","",IFERROR(VLOOKUP(M698&amp;"|"&amp;N698,'17. Mapa DRE CP'!$E$5:$H$100,3,FALSE),"Revisar"))</f>
        <v/>
      </c>
      <c r="T698" s="65">
        <f>IF(C698="","",IF(R698="(-) Custos diretos dos serviços",IF(ISNUMBER(SEARCH("PCMSO",C698)),"PCMSO",IF(OR(ISNUMBER(SEARCH("SGS",C698)),ISNUMBER(SEARCH("CASTRO NAVES",C698))),"Projetos / Laudos / Avulsos","Projetos / Laudos / Avulsos")),"Rateio pela receita bruta"))</f>
        <v/>
      </c>
      <c r="U698" s="65">
        <f>IF(C698="","",IF(R698="(-) Custos diretos dos serviços","Direto por fornecedor/natureza do gasto","Rateio proporcional à receita bruta da linha de serviço"))</f>
        <v/>
      </c>
    </row>
    <row r="699">
      <c r="A699" s="28">
        <f>IF(C699="","", "CP-"&amp;TEXT(ROW()-5,"000"))</f>
        <v/>
      </c>
      <c r="B699" s="27">
        <f>IF(F699="","",DATE(YEAR(F699),MONTH(F699),1))</f>
        <v/>
      </c>
      <c r="C699" s="28" t="n"/>
      <c r="D699" s="28" t="n"/>
      <c r="E699" s="59">
        <f>IF(C699="","",IFERROR(INDEX('6. Base de Custos'!$M$8:$M$42,MATCH(C699,'6. Base de Custos'!$L$8:$L$42,0)),"Não classificado"))</f>
        <v/>
      </c>
      <c r="F699" s="111" t="n"/>
      <c r="G699" s="111" t="n"/>
      <c r="H699" s="111" t="n"/>
      <c r="I699" s="45" t="n"/>
      <c r="J699" s="28" t="n"/>
      <c r="K699" s="28" t="n"/>
      <c r="L699" s="28" t="n"/>
      <c r="M699" s="59">
        <f>IF(C699="","",IFERROR(INDEX('6. Base de Custos'!$N$8:$N$42,MATCH(C699,'6. Base de Custos'!$L$8:$L$42,0)),"Não classificado"))</f>
        <v/>
      </c>
      <c r="N699" s="59">
        <f>IF(C699="","",IFERROR(INDEX('6. Base de Custos'!$O$8:$O$42,MATCH(C699,'6. Base de Custos'!$L$8:$L$42,0)),"Revisar"))</f>
        <v/>
      </c>
      <c r="O699" s="60">
        <f>IF(M699="","",IFERROR(VLOOKUP(M699,'6. Base de Custos'!$H$12:$J$18,3,FALSE),0))</f>
        <v/>
      </c>
      <c r="P699" s="59">
        <f>IF(C699="","",IFERROR(INDEX('6. Base de Custos'!$P$8:$P$42,MATCH(C699,'6. Base de Custos'!$L$8:$L$42,0)),"Revisar"))</f>
        <v/>
      </c>
      <c r="Q699" s="59">
        <f>IF(C699="","",IFERROR(INDEX('6. Base de Custos'!$Q$8:$Q$42,MATCH(C699,'6. Base de Custos'!$L$8:$L$42,0)),""))</f>
        <v/>
      </c>
      <c r="R699" s="65">
        <f>IF(C699="","",IFERROR(VLOOKUP(M699&amp;"|"&amp;N699,'17. Mapa DRE CP'!$E$5:$H$100,2,FALSE),"Revisar"))</f>
        <v/>
      </c>
      <c r="S699" s="65">
        <f>IF(C699="","",IFERROR(VLOOKUP(M699&amp;"|"&amp;N699,'17. Mapa DRE CP'!$E$5:$H$100,3,FALSE),"Revisar"))</f>
        <v/>
      </c>
      <c r="T699" s="65">
        <f>IF(C699="","",IF(R699="(-) Custos diretos dos serviços",IF(ISNUMBER(SEARCH("PCMSO",C699)),"PCMSO",IF(OR(ISNUMBER(SEARCH("SGS",C699)),ISNUMBER(SEARCH("CASTRO NAVES",C699))),"Projetos / Laudos / Avulsos","Projetos / Laudos / Avulsos")),"Rateio pela receita bruta"))</f>
        <v/>
      </c>
      <c r="U699" s="65">
        <f>IF(C699="","",IF(R699="(-) Custos diretos dos serviços","Direto por fornecedor/natureza do gasto","Rateio proporcional à receita bruta da linha de serviço"))</f>
        <v/>
      </c>
    </row>
    <row r="700">
      <c r="A700" s="28">
        <f>IF(C700="","", "CP-"&amp;TEXT(ROW()-5,"000"))</f>
        <v/>
      </c>
      <c r="B700" s="27">
        <f>IF(F700="","",DATE(YEAR(F700),MONTH(F700),1))</f>
        <v/>
      </c>
      <c r="C700" s="28" t="n"/>
      <c r="D700" s="28" t="n"/>
      <c r="E700" s="59">
        <f>IF(C700="","",IFERROR(INDEX('6. Base de Custos'!$M$8:$M$42,MATCH(C700,'6. Base de Custos'!$L$8:$L$42,0)),"Não classificado"))</f>
        <v/>
      </c>
      <c r="F700" s="111" t="n"/>
      <c r="G700" s="111" t="n"/>
      <c r="H700" s="111" t="n"/>
      <c r="I700" s="45" t="n"/>
      <c r="J700" s="28" t="n"/>
      <c r="K700" s="28" t="n"/>
      <c r="L700" s="28" t="n"/>
      <c r="M700" s="59">
        <f>IF(C700="","",IFERROR(INDEX('6. Base de Custos'!$N$8:$N$42,MATCH(C700,'6. Base de Custos'!$L$8:$L$42,0)),"Não classificado"))</f>
        <v/>
      </c>
      <c r="N700" s="59">
        <f>IF(C700="","",IFERROR(INDEX('6. Base de Custos'!$O$8:$O$42,MATCH(C700,'6. Base de Custos'!$L$8:$L$42,0)),"Revisar"))</f>
        <v/>
      </c>
      <c r="O700" s="60">
        <f>IF(M700="","",IFERROR(VLOOKUP(M700,'6. Base de Custos'!$H$12:$J$18,3,FALSE),0))</f>
        <v/>
      </c>
      <c r="P700" s="59">
        <f>IF(C700="","",IFERROR(INDEX('6. Base de Custos'!$P$8:$P$42,MATCH(C700,'6. Base de Custos'!$L$8:$L$42,0)),"Revisar"))</f>
        <v/>
      </c>
      <c r="Q700" s="59">
        <f>IF(C700="","",IFERROR(INDEX('6. Base de Custos'!$Q$8:$Q$42,MATCH(C700,'6. Base de Custos'!$L$8:$L$42,0)),""))</f>
        <v/>
      </c>
      <c r="R700" s="65">
        <f>IF(C700="","",IFERROR(VLOOKUP(M700&amp;"|"&amp;N700,'17. Mapa DRE CP'!$E$5:$H$100,2,FALSE),"Revisar"))</f>
        <v/>
      </c>
      <c r="S700" s="65">
        <f>IF(C700="","",IFERROR(VLOOKUP(M700&amp;"|"&amp;N700,'17. Mapa DRE CP'!$E$5:$H$100,3,FALSE),"Revisar"))</f>
        <v/>
      </c>
      <c r="T700" s="65">
        <f>IF(C700="","",IF(R700="(-) Custos diretos dos serviços",IF(ISNUMBER(SEARCH("PCMSO",C700)),"PCMSO",IF(OR(ISNUMBER(SEARCH("SGS",C700)),ISNUMBER(SEARCH("CASTRO NAVES",C700))),"Projetos / Laudos / Avulsos","Projetos / Laudos / Avulsos")),"Rateio pela receita bruta"))</f>
        <v/>
      </c>
      <c r="U700" s="65">
        <f>IF(C700="","",IF(R700="(-) Custos diretos dos serviços","Direto por fornecedor/natureza do gasto","Rateio proporcional à receita bruta da linha de serviço"))</f>
        <v/>
      </c>
    </row>
    <row r="701">
      <c r="A701" s="28">
        <f>IF(C701="","", "CP-"&amp;TEXT(ROW()-5,"000"))</f>
        <v/>
      </c>
      <c r="B701" s="27">
        <f>IF(F701="","",DATE(YEAR(F701),MONTH(F701),1))</f>
        <v/>
      </c>
      <c r="C701" s="28" t="n"/>
      <c r="D701" s="28" t="n"/>
      <c r="E701" s="59">
        <f>IF(C701="","",IFERROR(INDEX('6. Base de Custos'!$M$8:$M$42,MATCH(C701,'6. Base de Custos'!$L$8:$L$42,0)),"Não classificado"))</f>
        <v/>
      </c>
      <c r="F701" s="111" t="n"/>
      <c r="G701" s="111" t="n"/>
      <c r="H701" s="111" t="n"/>
      <c r="I701" s="45" t="n"/>
      <c r="J701" s="28" t="n"/>
      <c r="K701" s="28" t="n"/>
      <c r="L701" s="28" t="n"/>
      <c r="M701" s="59">
        <f>IF(C701="","",IFERROR(INDEX('6. Base de Custos'!$N$8:$N$42,MATCH(C701,'6. Base de Custos'!$L$8:$L$42,0)),"Não classificado"))</f>
        <v/>
      </c>
      <c r="N701" s="59">
        <f>IF(C701="","",IFERROR(INDEX('6. Base de Custos'!$O$8:$O$42,MATCH(C701,'6. Base de Custos'!$L$8:$L$42,0)),"Revisar"))</f>
        <v/>
      </c>
      <c r="O701" s="60">
        <f>IF(M701="","",IFERROR(VLOOKUP(M701,'6. Base de Custos'!$H$12:$J$18,3,FALSE),0))</f>
        <v/>
      </c>
      <c r="P701" s="59">
        <f>IF(C701="","",IFERROR(INDEX('6. Base de Custos'!$P$8:$P$42,MATCH(C701,'6. Base de Custos'!$L$8:$L$42,0)),"Revisar"))</f>
        <v/>
      </c>
      <c r="Q701" s="59">
        <f>IF(C701="","",IFERROR(INDEX('6. Base de Custos'!$Q$8:$Q$42,MATCH(C701,'6. Base de Custos'!$L$8:$L$42,0)),""))</f>
        <v/>
      </c>
      <c r="R701" s="65">
        <f>IF(C701="","",IFERROR(VLOOKUP(M701&amp;"|"&amp;N701,'17. Mapa DRE CP'!$E$5:$H$100,2,FALSE),"Revisar"))</f>
        <v/>
      </c>
      <c r="S701" s="65">
        <f>IF(C701="","",IFERROR(VLOOKUP(M701&amp;"|"&amp;N701,'17. Mapa DRE CP'!$E$5:$H$100,3,FALSE),"Revisar"))</f>
        <v/>
      </c>
      <c r="T701" s="65">
        <f>IF(C701="","",IF(R701="(-) Custos diretos dos serviços",IF(ISNUMBER(SEARCH("PCMSO",C701)),"PCMSO",IF(OR(ISNUMBER(SEARCH("SGS",C701)),ISNUMBER(SEARCH("CASTRO NAVES",C701))),"Projetos / Laudos / Avulsos","Projetos / Laudos / Avulsos")),"Rateio pela receita bruta"))</f>
        <v/>
      </c>
      <c r="U701" s="65">
        <f>IF(C701="","",IF(R701="(-) Custos diretos dos serviços","Direto por fornecedor/natureza do gasto","Rateio proporcional à receita bruta da linha de serviço"))</f>
        <v/>
      </c>
    </row>
    <row r="702">
      <c r="A702" s="28">
        <f>IF(C702="","", "CP-"&amp;TEXT(ROW()-5,"000"))</f>
        <v/>
      </c>
      <c r="B702" s="27">
        <f>IF(F702="","",DATE(YEAR(F702),MONTH(F702),1))</f>
        <v/>
      </c>
      <c r="C702" s="28" t="n"/>
      <c r="D702" s="28" t="n"/>
      <c r="E702" s="59">
        <f>IF(C702="","",IFERROR(INDEX('6. Base de Custos'!$M$8:$M$42,MATCH(C702,'6. Base de Custos'!$L$8:$L$42,0)),"Não classificado"))</f>
        <v/>
      </c>
      <c r="F702" s="111" t="n"/>
      <c r="G702" s="111" t="n"/>
      <c r="H702" s="111" t="n"/>
      <c r="I702" s="45" t="n"/>
      <c r="J702" s="28" t="n"/>
      <c r="K702" s="28" t="n"/>
      <c r="L702" s="28" t="n"/>
      <c r="M702" s="59">
        <f>IF(C702="","",IFERROR(INDEX('6. Base de Custos'!$N$8:$N$42,MATCH(C702,'6. Base de Custos'!$L$8:$L$42,0)),"Não classificado"))</f>
        <v/>
      </c>
      <c r="N702" s="59">
        <f>IF(C702="","",IFERROR(INDEX('6. Base de Custos'!$O$8:$O$42,MATCH(C702,'6. Base de Custos'!$L$8:$L$42,0)),"Revisar"))</f>
        <v/>
      </c>
      <c r="O702" s="60">
        <f>IF(M702="","",IFERROR(VLOOKUP(M702,'6. Base de Custos'!$H$12:$J$18,3,FALSE),0))</f>
        <v/>
      </c>
      <c r="P702" s="59">
        <f>IF(C702="","",IFERROR(INDEX('6. Base de Custos'!$P$8:$P$42,MATCH(C702,'6. Base de Custos'!$L$8:$L$42,0)),"Revisar"))</f>
        <v/>
      </c>
      <c r="Q702" s="59">
        <f>IF(C702="","",IFERROR(INDEX('6. Base de Custos'!$Q$8:$Q$42,MATCH(C702,'6. Base de Custos'!$L$8:$L$42,0)),""))</f>
        <v/>
      </c>
      <c r="R702" s="65">
        <f>IF(C702="","",IFERROR(VLOOKUP(M702&amp;"|"&amp;N702,'17. Mapa DRE CP'!$E$5:$H$100,2,FALSE),"Revisar"))</f>
        <v/>
      </c>
      <c r="S702" s="65">
        <f>IF(C702="","",IFERROR(VLOOKUP(M702&amp;"|"&amp;N702,'17. Mapa DRE CP'!$E$5:$H$100,3,FALSE),"Revisar"))</f>
        <v/>
      </c>
      <c r="T702" s="65">
        <f>IF(C702="","",IF(R702="(-) Custos diretos dos serviços",IF(ISNUMBER(SEARCH("PCMSO",C702)),"PCMSO",IF(OR(ISNUMBER(SEARCH("SGS",C702)),ISNUMBER(SEARCH("CASTRO NAVES",C702))),"Projetos / Laudos / Avulsos","Projetos / Laudos / Avulsos")),"Rateio pela receita bruta"))</f>
        <v/>
      </c>
      <c r="U702" s="65">
        <f>IF(C702="","",IF(R702="(-) Custos diretos dos serviços","Direto por fornecedor/natureza do gasto","Rateio proporcional à receita bruta da linha de serviço"))</f>
        <v/>
      </c>
    </row>
    <row r="703">
      <c r="A703" s="28">
        <f>IF(C703="","", "CP-"&amp;TEXT(ROW()-5,"000"))</f>
        <v/>
      </c>
      <c r="B703" s="27">
        <f>IF(F703="","",DATE(YEAR(F703),MONTH(F703),1))</f>
        <v/>
      </c>
      <c r="C703" s="28" t="n"/>
      <c r="D703" s="28" t="n"/>
      <c r="E703" s="59">
        <f>IF(C703="","",IFERROR(INDEX('6. Base de Custos'!$M$8:$M$42,MATCH(C703,'6. Base de Custos'!$L$8:$L$42,0)),"Não classificado"))</f>
        <v/>
      </c>
      <c r="F703" s="111" t="n"/>
      <c r="G703" s="111" t="n"/>
      <c r="H703" s="111" t="n"/>
      <c r="I703" s="45" t="n"/>
      <c r="J703" s="28" t="n"/>
      <c r="K703" s="28" t="n"/>
      <c r="L703" s="28" t="n"/>
      <c r="M703" s="59">
        <f>IF(C703="","",IFERROR(INDEX('6. Base de Custos'!$N$8:$N$42,MATCH(C703,'6. Base de Custos'!$L$8:$L$42,0)),"Não classificado"))</f>
        <v/>
      </c>
      <c r="N703" s="59">
        <f>IF(C703="","",IFERROR(INDEX('6. Base de Custos'!$O$8:$O$42,MATCH(C703,'6. Base de Custos'!$L$8:$L$42,0)),"Revisar"))</f>
        <v/>
      </c>
      <c r="O703" s="60">
        <f>IF(M703="","",IFERROR(VLOOKUP(M703,'6. Base de Custos'!$H$12:$J$18,3,FALSE),0))</f>
        <v/>
      </c>
      <c r="P703" s="59">
        <f>IF(C703="","",IFERROR(INDEX('6. Base de Custos'!$P$8:$P$42,MATCH(C703,'6. Base de Custos'!$L$8:$L$42,0)),"Revisar"))</f>
        <v/>
      </c>
      <c r="Q703" s="59">
        <f>IF(C703="","",IFERROR(INDEX('6. Base de Custos'!$Q$8:$Q$42,MATCH(C703,'6. Base de Custos'!$L$8:$L$42,0)),""))</f>
        <v/>
      </c>
      <c r="R703" s="65">
        <f>IF(C703="","",IFERROR(VLOOKUP(M703&amp;"|"&amp;N703,'17. Mapa DRE CP'!$E$5:$H$100,2,FALSE),"Revisar"))</f>
        <v/>
      </c>
      <c r="S703" s="65">
        <f>IF(C703="","",IFERROR(VLOOKUP(M703&amp;"|"&amp;N703,'17. Mapa DRE CP'!$E$5:$H$100,3,FALSE),"Revisar"))</f>
        <v/>
      </c>
      <c r="T703" s="65">
        <f>IF(C703="","",IF(R703="(-) Custos diretos dos serviços",IF(ISNUMBER(SEARCH("PCMSO",C703)),"PCMSO",IF(OR(ISNUMBER(SEARCH("SGS",C703)),ISNUMBER(SEARCH("CASTRO NAVES",C703))),"Projetos / Laudos / Avulsos","Projetos / Laudos / Avulsos")),"Rateio pela receita bruta"))</f>
        <v/>
      </c>
      <c r="U703" s="65">
        <f>IF(C703="","",IF(R703="(-) Custos diretos dos serviços","Direto por fornecedor/natureza do gasto","Rateio proporcional à receita bruta da linha de serviço"))</f>
        <v/>
      </c>
    </row>
    <row r="704">
      <c r="A704" s="28">
        <f>IF(C704="","", "CP-"&amp;TEXT(ROW()-5,"000"))</f>
        <v/>
      </c>
      <c r="B704" s="27">
        <f>IF(F704="","",DATE(YEAR(F704),MONTH(F704),1))</f>
        <v/>
      </c>
      <c r="C704" s="28" t="n"/>
      <c r="D704" s="28" t="n"/>
      <c r="E704" s="59">
        <f>IF(C704="","",IFERROR(INDEX('6. Base de Custos'!$M$8:$M$42,MATCH(C704,'6. Base de Custos'!$L$8:$L$42,0)),"Não classificado"))</f>
        <v/>
      </c>
      <c r="F704" s="111" t="n"/>
      <c r="G704" s="111" t="n"/>
      <c r="H704" s="111" t="n"/>
      <c r="I704" s="45" t="n"/>
      <c r="J704" s="28" t="n"/>
      <c r="K704" s="28" t="n"/>
      <c r="L704" s="28" t="n"/>
      <c r="M704" s="59">
        <f>IF(C704="","",IFERROR(INDEX('6. Base de Custos'!$N$8:$N$42,MATCH(C704,'6. Base de Custos'!$L$8:$L$42,0)),"Não classificado"))</f>
        <v/>
      </c>
      <c r="N704" s="59">
        <f>IF(C704="","",IFERROR(INDEX('6. Base de Custos'!$O$8:$O$42,MATCH(C704,'6. Base de Custos'!$L$8:$L$42,0)),"Revisar"))</f>
        <v/>
      </c>
      <c r="O704" s="60">
        <f>IF(M704="","",IFERROR(VLOOKUP(M704,'6. Base de Custos'!$H$12:$J$18,3,FALSE),0))</f>
        <v/>
      </c>
      <c r="P704" s="59">
        <f>IF(C704="","",IFERROR(INDEX('6. Base de Custos'!$P$8:$P$42,MATCH(C704,'6. Base de Custos'!$L$8:$L$42,0)),"Revisar"))</f>
        <v/>
      </c>
      <c r="Q704" s="59">
        <f>IF(C704="","",IFERROR(INDEX('6. Base de Custos'!$Q$8:$Q$42,MATCH(C704,'6. Base de Custos'!$L$8:$L$42,0)),""))</f>
        <v/>
      </c>
      <c r="R704" s="65">
        <f>IF(C704="","",IFERROR(VLOOKUP(M704&amp;"|"&amp;N704,'17. Mapa DRE CP'!$E$5:$H$100,2,FALSE),"Revisar"))</f>
        <v/>
      </c>
      <c r="S704" s="65">
        <f>IF(C704="","",IFERROR(VLOOKUP(M704&amp;"|"&amp;N704,'17. Mapa DRE CP'!$E$5:$H$100,3,FALSE),"Revisar"))</f>
        <v/>
      </c>
      <c r="T704" s="65">
        <f>IF(C704="","",IF(R704="(-) Custos diretos dos serviços",IF(ISNUMBER(SEARCH("PCMSO",C704)),"PCMSO",IF(OR(ISNUMBER(SEARCH("SGS",C704)),ISNUMBER(SEARCH("CASTRO NAVES",C704))),"Projetos / Laudos / Avulsos","Projetos / Laudos / Avulsos")),"Rateio pela receita bruta"))</f>
        <v/>
      </c>
      <c r="U704" s="65">
        <f>IF(C704="","",IF(R704="(-) Custos diretos dos serviços","Direto por fornecedor/natureza do gasto","Rateio proporcional à receita bruta da linha de serviço"))</f>
        <v/>
      </c>
    </row>
    <row r="705">
      <c r="A705" s="28">
        <f>IF(C705="","", "CP-"&amp;TEXT(ROW()-5,"000"))</f>
        <v/>
      </c>
      <c r="B705" s="27">
        <f>IF(F705="","",DATE(YEAR(F705),MONTH(F705),1))</f>
        <v/>
      </c>
      <c r="C705" s="28" t="n"/>
      <c r="D705" s="28" t="n"/>
      <c r="E705" s="59">
        <f>IF(C705="","",IFERROR(INDEX('6. Base de Custos'!$M$8:$M$42,MATCH(C705,'6. Base de Custos'!$L$8:$L$42,0)),"Não classificado"))</f>
        <v/>
      </c>
      <c r="F705" s="111" t="n"/>
      <c r="G705" s="111" t="n"/>
      <c r="H705" s="111" t="n"/>
      <c r="I705" s="45" t="n"/>
      <c r="J705" s="28" t="n"/>
      <c r="K705" s="28" t="n"/>
      <c r="L705" s="28" t="n"/>
      <c r="M705" s="59">
        <f>IF(C705="","",IFERROR(INDEX('6. Base de Custos'!$N$8:$N$42,MATCH(C705,'6. Base de Custos'!$L$8:$L$42,0)),"Não classificado"))</f>
        <v/>
      </c>
      <c r="N705" s="59">
        <f>IF(C705="","",IFERROR(INDEX('6. Base de Custos'!$O$8:$O$42,MATCH(C705,'6. Base de Custos'!$L$8:$L$42,0)),"Revisar"))</f>
        <v/>
      </c>
      <c r="O705" s="60">
        <f>IF(M705="","",IFERROR(VLOOKUP(M705,'6. Base de Custos'!$H$12:$J$18,3,FALSE),0))</f>
        <v/>
      </c>
      <c r="P705" s="59">
        <f>IF(C705="","",IFERROR(INDEX('6. Base de Custos'!$P$8:$P$42,MATCH(C705,'6. Base de Custos'!$L$8:$L$42,0)),"Revisar"))</f>
        <v/>
      </c>
      <c r="Q705" s="59">
        <f>IF(C705="","",IFERROR(INDEX('6. Base de Custos'!$Q$8:$Q$42,MATCH(C705,'6. Base de Custos'!$L$8:$L$42,0)),""))</f>
        <v/>
      </c>
      <c r="R705" s="65">
        <f>IF(C705="","",IFERROR(VLOOKUP(M705&amp;"|"&amp;N705,'17. Mapa DRE CP'!$E$5:$H$100,2,FALSE),"Revisar"))</f>
        <v/>
      </c>
      <c r="S705" s="65">
        <f>IF(C705="","",IFERROR(VLOOKUP(M705&amp;"|"&amp;N705,'17. Mapa DRE CP'!$E$5:$H$100,3,FALSE),"Revisar"))</f>
        <v/>
      </c>
      <c r="T705" s="65">
        <f>IF(C705="","",IF(R705="(-) Custos diretos dos serviços",IF(ISNUMBER(SEARCH("PCMSO",C705)),"PCMSO",IF(OR(ISNUMBER(SEARCH("SGS",C705)),ISNUMBER(SEARCH("CASTRO NAVES",C705))),"Projetos / Laudos / Avulsos","Projetos / Laudos / Avulsos")),"Rateio pela receita bruta"))</f>
        <v/>
      </c>
      <c r="U705" s="65">
        <f>IF(C705="","",IF(R705="(-) Custos diretos dos serviços","Direto por fornecedor/natureza do gasto","Rateio proporcional à receita bruta da linha de serviço"))</f>
        <v/>
      </c>
    </row>
    <row r="706">
      <c r="A706" s="28">
        <f>IF(C706="","", "CP-"&amp;TEXT(ROW()-5,"000"))</f>
        <v/>
      </c>
      <c r="B706" s="27">
        <f>IF(F706="","",DATE(YEAR(F706),MONTH(F706),1))</f>
        <v/>
      </c>
      <c r="C706" s="28" t="n"/>
      <c r="D706" s="28" t="n"/>
      <c r="E706" s="59">
        <f>IF(C706="","",IFERROR(INDEX('6. Base de Custos'!$M$8:$M$42,MATCH(C706,'6. Base de Custos'!$L$8:$L$42,0)),"Não classificado"))</f>
        <v/>
      </c>
      <c r="F706" s="111" t="n"/>
      <c r="G706" s="111" t="n"/>
      <c r="H706" s="111" t="n"/>
      <c r="I706" s="45" t="n"/>
      <c r="J706" s="28" t="n"/>
      <c r="K706" s="28" t="n"/>
      <c r="L706" s="28" t="n"/>
      <c r="M706" s="59">
        <f>IF(C706="","",IFERROR(INDEX('6. Base de Custos'!$N$8:$N$42,MATCH(C706,'6. Base de Custos'!$L$8:$L$42,0)),"Não classificado"))</f>
        <v/>
      </c>
      <c r="N706" s="59">
        <f>IF(C706="","",IFERROR(INDEX('6. Base de Custos'!$O$8:$O$42,MATCH(C706,'6. Base de Custos'!$L$8:$L$42,0)),"Revisar"))</f>
        <v/>
      </c>
      <c r="O706" s="60">
        <f>IF(M706="","",IFERROR(VLOOKUP(M706,'6. Base de Custos'!$H$12:$J$18,3,FALSE),0))</f>
        <v/>
      </c>
      <c r="P706" s="59">
        <f>IF(C706="","",IFERROR(INDEX('6. Base de Custos'!$P$8:$P$42,MATCH(C706,'6. Base de Custos'!$L$8:$L$42,0)),"Revisar"))</f>
        <v/>
      </c>
      <c r="Q706" s="59">
        <f>IF(C706="","",IFERROR(INDEX('6. Base de Custos'!$Q$8:$Q$42,MATCH(C706,'6. Base de Custos'!$L$8:$L$42,0)),""))</f>
        <v/>
      </c>
      <c r="R706" s="65">
        <f>IF(C706="","",IFERROR(VLOOKUP(M706&amp;"|"&amp;N706,'17. Mapa DRE CP'!$E$5:$H$100,2,FALSE),"Revisar"))</f>
        <v/>
      </c>
      <c r="S706" s="65">
        <f>IF(C706="","",IFERROR(VLOOKUP(M706&amp;"|"&amp;N706,'17. Mapa DRE CP'!$E$5:$H$100,3,FALSE),"Revisar"))</f>
        <v/>
      </c>
      <c r="T706" s="65">
        <f>IF(C706="","",IF(R706="(-) Custos diretos dos serviços",IF(ISNUMBER(SEARCH("PCMSO",C706)),"PCMSO",IF(OR(ISNUMBER(SEARCH("SGS",C706)),ISNUMBER(SEARCH("CASTRO NAVES",C706))),"Projetos / Laudos / Avulsos","Projetos / Laudos / Avulsos")),"Rateio pela receita bruta"))</f>
        <v/>
      </c>
      <c r="U706" s="65">
        <f>IF(C706="","",IF(R706="(-) Custos diretos dos serviços","Direto por fornecedor/natureza do gasto","Rateio proporcional à receita bruta da linha de serviço"))</f>
        <v/>
      </c>
    </row>
    <row r="707">
      <c r="A707" s="28">
        <f>IF(C707="","", "CP-"&amp;TEXT(ROW()-5,"000"))</f>
        <v/>
      </c>
      <c r="B707" s="27">
        <f>IF(F707="","",DATE(YEAR(F707),MONTH(F707),1))</f>
        <v/>
      </c>
      <c r="C707" s="28" t="n"/>
      <c r="D707" s="28" t="n"/>
      <c r="E707" s="59">
        <f>IF(C707="","",IFERROR(INDEX('6. Base de Custos'!$M$8:$M$42,MATCH(C707,'6. Base de Custos'!$L$8:$L$42,0)),"Não classificado"))</f>
        <v/>
      </c>
      <c r="F707" s="111" t="n"/>
      <c r="G707" s="111" t="n"/>
      <c r="H707" s="111" t="n"/>
      <c r="I707" s="45" t="n"/>
      <c r="J707" s="28" t="n"/>
      <c r="K707" s="28" t="n"/>
      <c r="L707" s="28" t="n"/>
      <c r="M707" s="59">
        <f>IF(C707="","",IFERROR(INDEX('6. Base de Custos'!$N$8:$N$42,MATCH(C707,'6. Base de Custos'!$L$8:$L$42,0)),"Não classificado"))</f>
        <v/>
      </c>
      <c r="N707" s="59">
        <f>IF(C707="","",IFERROR(INDEX('6. Base de Custos'!$O$8:$O$42,MATCH(C707,'6. Base de Custos'!$L$8:$L$42,0)),"Revisar"))</f>
        <v/>
      </c>
      <c r="O707" s="60">
        <f>IF(M707="","",IFERROR(VLOOKUP(M707,'6. Base de Custos'!$H$12:$J$18,3,FALSE),0))</f>
        <v/>
      </c>
      <c r="P707" s="59">
        <f>IF(C707="","",IFERROR(INDEX('6. Base de Custos'!$P$8:$P$42,MATCH(C707,'6. Base de Custos'!$L$8:$L$42,0)),"Revisar"))</f>
        <v/>
      </c>
      <c r="Q707" s="59">
        <f>IF(C707="","",IFERROR(INDEX('6. Base de Custos'!$Q$8:$Q$42,MATCH(C707,'6. Base de Custos'!$L$8:$L$42,0)),""))</f>
        <v/>
      </c>
      <c r="R707" s="65">
        <f>IF(C707="","",IFERROR(VLOOKUP(M707&amp;"|"&amp;N707,'17. Mapa DRE CP'!$E$5:$H$100,2,FALSE),"Revisar"))</f>
        <v/>
      </c>
      <c r="S707" s="65">
        <f>IF(C707="","",IFERROR(VLOOKUP(M707&amp;"|"&amp;N707,'17. Mapa DRE CP'!$E$5:$H$100,3,FALSE),"Revisar"))</f>
        <v/>
      </c>
      <c r="T707" s="65">
        <f>IF(C707="","",IF(R707="(-) Custos diretos dos serviços",IF(ISNUMBER(SEARCH("PCMSO",C707)),"PCMSO",IF(OR(ISNUMBER(SEARCH("SGS",C707)),ISNUMBER(SEARCH("CASTRO NAVES",C707))),"Projetos / Laudos / Avulsos","Projetos / Laudos / Avulsos")),"Rateio pela receita bruta"))</f>
        <v/>
      </c>
      <c r="U707" s="65">
        <f>IF(C707="","",IF(R707="(-) Custos diretos dos serviços","Direto por fornecedor/natureza do gasto","Rateio proporcional à receita bruta da linha de serviço"))</f>
        <v/>
      </c>
    </row>
    <row r="708">
      <c r="A708" s="28">
        <f>IF(C708="","", "CP-"&amp;TEXT(ROW()-5,"000"))</f>
        <v/>
      </c>
      <c r="B708" s="27">
        <f>IF(F708="","",DATE(YEAR(F708),MONTH(F708),1))</f>
        <v/>
      </c>
      <c r="C708" s="28" t="n"/>
      <c r="D708" s="28" t="n"/>
      <c r="E708" s="59">
        <f>IF(C708="","",IFERROR(INDEX('6. Base de Custos'!$M$8:$M$42,MATCH(C708,'6. Base de Custos'!$L$8:$L$42,0)),"Não classificado"))</f>
        <v/>
      </c>
      <c r="F708" s="111" t="n"/>
      <c r="G708" s="111" t="n"/>
      <c r="H708" s="111" t="n"/>
      <c r="I708" s="45" t="n"/>
      <c r="J708" s="28" t="n"/>
      <c r="K708" s="28" t="n"/>
      <c r="L708" s="28" t="n"/>
      <c r="M708" s="59">
        <f>IF(C708="","",IFERROR(INDEX('6. Base de Custos'!$N$8:$N$42,MATCH(C708,'6. Base de Custos'!$L$8:$L$42,0)),"Não classificado"))</f>
        <v/>
      </c>
      <c r="N708" s="59">
        <f>IF(C708="","",IFERROR(INDEX('6. Base de Custos'!$O$8:$O$42,MATCH(C708,'6. Base de Custos'!$L$8:$L$42,0)),"Revisar"))</f>
        <v/>
      </c>
      <c r="O708" s="60">
        <f>IF(M708="","",IFERROR(VLOOKUP(M708,'6. Base de Custos'!$H$12:$J$18,3,FALSE),0))</f>
        <v/>
      </c>
      <c r="P708" s="59">
        <f>IF(C708="","",IFERROR(INDEX('6. Base de Custos'!$P$8:$P$42,MATCH(C708,'6. Base de Custos'!$L$8:$L$42,0)),"Revisar"))</f>
        <v/>
      </c>
      <c r="Q708" s="59">
        <f>IF(C708="","",IFERROR(INDEX('6. Base de Custos'!$Q$8:$Q$42,MATCH(C708,'6. Base de Custos'!$L$8:$L$42,0)),""))</f>
        <v/>
      </c>
      <c r="R708" s="65">
        <f>IF(C708="","",IFERROR(VLOOKUP(M708&amp;"|"&amp;N708,'17. Mapa DRE CP'!$E$5:$H$100,2,FALSE),"Revisar"))</f>
        <v/>
      </c>
      <c r="S708" s="65">
        <f>IF(C708="","",IFERROR(VLOOKUP(M708&amp;"|"&amp;N708,'17. Mapa DRE CP'!$E$5:$H$100,3,FALSE),"Revisar"))</f>
        <v/>
      </c>
      <c r="T708" s="65">
        <f>IF(C708="","",IF(R708="(-) Custos diretos dos serviços",IF(ISNUMBER(SEARCH("PCMSO",C708)),"PCMSO",IF(OR(ISNUMBER(SEARCH("SGS",C708)),ISNUMBER(SEARCH("CASTRO NAVES",C708))),"Projetos / Laudos / Avulsos","Projetos / Laudos / Avulsos")),"Rateio pela receita bruta"))</f>
        <v/>
      </c>
      <c r="U708" s="65">
        <f>IF(C708="","",IF(R708="(-) Custos diretos dos serviços","Direto por fornecedor/natureza do gasto","Rateio proporcional à receita bruta da linha de serviço"))</f>
        <v/>
      </c>
    </row>
    <row r="709">
      <c r="A709" s="28">
        <f>IF(C709="","", "CP-"&amp;TEXT(ROW()-5,"000"))</f>
        <v/>
      </c>
      <c r="B709" s="27">
        <f>IF(F709="","",DATE(YEAR(F709),MONTH(F709),1))</f>
        <v/>
      </c>
      <c r="C709" s="28" t="n"/>
      <c r="D709" s="28" t="n"/>
      <c r="E709" s="59">
        <f>IF(C709="","",IFERROR(INDEX('6. Base de Custos'!$M$8:$M$42,MATCH(C709,'6. Base de Custos'!$L$8:$L$42,0)),"Não classificado"))</f>
        <v/>
      </c>
      <c r="F709" s="111" t="n"/>
      <c r="G709" s="111" t="n"/>
      <c r="H709" s="111" t="n"/>
      <c r="I709" s="45" t="n"/>
      <c r="J709" s="28" t="n"/>
      <c r="K709" s="28" t="n"/>
      <c r="L709" s="28" t="n"/>
      <c r="M709" s="59">
        <f>IF(C709="","",IFERROR(INDEX('6. Base de Custos'!$N$8:$N$42,MATCH(C709,'6. Base de Custos'!$L$8:$L$42,0)),"Não classificado"))</f>
        <v/>
      </c>
      <c r="N709" s="59">
        <f>IF(C709="","",IFERROR(INDEX('6. Base de Custos'!$O$8:$O$42,MATCH(C709,'6. Base de Custos'!$L$8:$L$42,0)),"Revisar"))</f>
        <v/>
      </c>
      <c r="O709" s="60">
        <f>IF(M709="","",IFERROR(VLOOKUP(M709,'6. Base de Custos'!$H$12:$J$18,3,FALSE),0))</f>
        <v/>
      </c>
      <c r="P709" s="59">
        <f>IF(C709="","",IFERROR(INDEX('6. Base de Custos'!$P$8:$P$42,MATCH(C709,'6. Base de Custos'!$L$8:$L$42,0)),"Revisar"))</f>
        <v/>
      </c>
      <c r="Q709" s="59">
        <f>IF(C709="","",IFERROR(INDEX('6. Base de Custos'!$Q$8:$Q$42,MATCH(C709,'6. Base de Custos'!$L$8:$L$42,0)),""))</f>
        <v/>
      </c>
      <c r="R709" s="65">
        <f>IF(C709="","",IFERROR(VLOOKUP(M709&amp;"|"&amp;N709,'17. Mapa DRE CP'!$E$5:$H$100,2,FALSE),"Revisar"))</f>
        <v/>
      </c>
      <c r="S709" s="65">
        <f>IF(C709="","",IFERROR(VLOOKUP(M709&amp;"|"&amp;N709,'17. Mapa DRE CP'!$E$5:$H$100,3,FALSE),"Revisar"))</f>
        <v/>
      </c>
      <c r="T709" s="65">
        <f>IF(C709="","",IF(R709="(-) Custos diretos dos serviços",IF(ISNUMBER(SEARCH("PCMSO",C709)),"PCMSO",IF(OR(ISNUMBER(SEARCH("SGS",C709)),ISNUMBER(SEARCH("CASTRO NAVES",C709))),"Projetos / Laudos / Avulsos","Projetos / Laudos / Avulsos")),"Rateio pela receita bruta"))</f>
        <v/>
      </c>
      <c r="U709" s="65">
        <f>IF(C709="","",IF(R709="(-) Custos diretos dos serviços","Direto por fornecedor/natureza do gasto","Rateio proporcional à receita bruta da linha de serviço"))</f>
        <v/>
      </c>
    </row>
    <row r="710">
      <c r="A710" s="28">
        <f>IF(C710="","", "CP-"&amp;TEXT(ROW()-5,"000"))</f>
        <v/>
      </c>
      <c r="B710" s="27">
        <f>IF(F710="","",DATE(YEAR(F710),MONTH(F710),1))</f>
        <v/>
      </c>
      <c r="C710" s="28" t="n"/>
      <c r="D710" s="28" t="n"/>
      <c r="E710" s="59">
        <f>IF(C710="","",IFERROR(INDEX('6. Base de Custos'!$M$8:$M$42,MATCH(C710,'6. Base de Custos'!$L$8:$L$42,0)),"Não classificado"))</f>
        <v/>
      </c>
      <c r="F710" s="111" t="n"/>
      <c r="G710" s="111" t="n"/>
      <c r="H710" s="111" t="n"/>
      <c r="I710" s="45" t="n"/>
      <c r="J710" s="28" t="n"/>
      <c r="K710" s="28" t="n"/>
      <c r="L710" s="28" t="n"/>
      <c r="M710" s="59">
        <f>IF(C710="","",IFERROR(INDEX('6. Base de Custos'!$N$8:$N$42,MATCH(C710,'6. Base de Custos'!$L$8:$L$42,0)),"Não classificado"))</f>
        <v/>
      </c>
      <c r="N710" s="59">
        <f>IF(C710="","",IFERROR(INDEX('6. Base de Custos'!$O$8:$O$42,MATCH(C710,'6. Base de Custos'!$L$8:$L$42,0)),"Revisar"))</f>
        <v/>
      </c>
      <c r="O710" s="60">
        <f>IF(M710="","",IFERROR(VLOOKUP(M710,'6. Base de Custos'!$H$12:$J$18,3,FALSE),0))</f>
        <v/>
      </c>
      <c r="P710" s="59">
        <f>IF(C710="","",IFERROR(INDEX('6. Base de Custos'!$P$8:$P$42,MATCH(C710,'6. Base de Custos'!$L$8:$L$42,0)),"Revisar"))</f>
        <v/>
      </c>
      <c r="Q710" s="59">
        <f>IF(C710="","",IFERROR(INDEX('6. Base de Custos'!$Q$8:$Q$42,MATCH(C710,'6. Base de Custos'!$L$8:$L$42,0)),""))</f>
        <v/>
      </c>
      <c r="R710" s="65">
        <f>IF(C710="","",IFERROR(VLOOKUP(M710&amp;"|"&amp;N710,'17. Mapa DRE CP'!$E$5:$H$100,2,FALSE),"Revisar"))</f>
        <v/>
      </c>
      <c r="S710" s="65">
        <f>IF(C710="","",IFERROR(VLOOKUP(M710&amp;"|"&amp;N710,'17. Mapa DRE CP'!$E$5:$H$100,3,FALSE),"Revisar"))</f>
        <v/>
      </c>
      <c r="T710" s="65">
        <f>IF(C710="","",IF(R710="(-) Custos diretos dos serviços",IF(ISNUMBER(SEARCH("PCMSO",C710)),"PCMSO",IF(OR(ISNUMBER(SEARCH("SGS",C710)),ISNUMBER(SEARCH("CASTRO NAVES",C710))),"Projetos / Laudos / Avulsos","Projetos / Laudos / Avulsos")),"Rateio pela receita bruta"))</f>
        <v/>
      </c>
      <c r="U710" s="65">
        <f>IF(C710="","",IF(R710="(-) Custos diretos dos serviços","Direto por fornecedor/natureza do gasto","Rateio proporcional à receita bruta da linha de serviço"))</f>
        <v/>
      </c>
    </row>
    <row r="711">
      <c r="A711" s="28">
        <f>IF(C711="","", "CP-"&amp;TEXT(ROW()-5,"000"))</f>
        <v/>
      </c>
      <c r="B711" s="27">
        <f>IF(F711="","",DATE(YEAR(F711),MONTH(F711),1))</f>
        <v/>
      </c>
      <c r="C711" s="28" t="n"/>
      <c r="D711" s="28" t="n"/>
      <c r="E711" s="59">
        <f>IF(C711="","",IFERROR(INDEX('6. Base de Custos'!$M$8:$M$42,MATCH(C711,'6. Base de Custos'!$L$8:$L$42,0)),"Não classificado"))</f>
        <v/>
      </c>
      <c r="F711" s="111" t="n"/>
      <c r="G711" s="111" t="n"/>
      <c r="H711" s="111" t="n"/>
      <c r="I711" s="45" t="n"/>
      <c r="J711" s="28" t="n"/>
      <c r="K711" s="28" t="n"/>
      <c r="L711" s="28" t="n"/>
      <c r="M711" s="59">
        <f>IF(C711="","",IFERROR(INDEX('6. Base de Custos'!$N$8:$N$42,MATCH(C711,'6. Base de Custos'!$L$8:$L$42,0)),"Não classificado"))</f>
        <v/>
      </c>
      <c r="N711" s="59">
        <f>IF(C711="","",IFERROR(INDEX('6. Base de Custos'!$O$8:$O$42,MATCH(C711,'6. Base de Custos'!$L$8:$L$42,0)),"Revisar"))</f>
        <v/>
      </c>
      <c r="O711" s="60">
        <f>IF(M711="","",IFERROR(VLOOKUP(M711,'6. Base de Custos'!$H$12:$J$18,3,FALSE),0))</f>
        <v/>
      </c>
      <c r="P711" s="59">
        <f>IF(C711="","",IFERROR(INDEX('6. Base de Custos'!$P$8:$P$42,MATCH(C711,'6. Base de Custos'!$L$8:$L$42,0)),"Revisar"))</f>
        <v/>
      </c>
      <c r="Q711" s="59">
        <f>IF(C711="","",IFERROR(INDEX('6. Base de Custos'!$Q$8:$Q$42,MATCH(C711,'6. Base de Custos'!$L$8:$L$42,0)),""))</f>
        <v/>
      </c>
      <c r="R711" s="65">
        <f>IF(C711="","",IFERROR(VLOOKUP(M711&amp;"|"&amp;N711,'17. Mapa DRE CP'!$E$5:$H$100,2,FALSE),"Revisar"))</f>
        <v/>
      </c>
      <c r="S711" s="65">
        <f>IF(C711="","",IFERROR(VLOOKUP(M711&amp;"|"&amp;N711,'17. Mapa DRE CP'!$E$5:$H$100,3,FALSE),"Revisar"))</f>
        <v/>
      </c>
      <c r="T711" s="65">
        <f>IF(C711="","",IF(R711="(-) Custos diretos dos serviços",IF(ISNUMBER(SEARCH("PCMSO",C711)),"PCMSO",IF(OR(ISNUMBER(SEARCH("SGS",C711)),ISNUMBER(SEARCH("CASTRO NAVES",C711))),"Projetos / Laudos / Avulsos","Projetos / Laudos / Avulsos")),"Rateio pela receita bruta"))</f>
        <v/>
      </c>
      <c r="U711" s="65">
        <f>IF(C711="","",IF(R711="(-) Custos diretos dos serviços","Direto por fornecedor/natureza do gasto","Rateio proporcional à receita bruta da linha de serviço"))</f>
        <v/>
      </c>
    </row>
    <row r="712">
      <c r="A712" s="28">
        <f>IF(C712="","", "CP-"&amp;TEXT(ROW()-5,"000"))</f>
        <v/>
      </c>
      <c r="B712" s="27">
        <f>IF(F712="","",DATE(YEAR(F712),MONTH(F712),1))</f>
        <v/>
      </c>
      <c r="C712" s="28" t="n"/>
      <c r="D712" s="28" t="n"/>
      <c r="E712" s="59">
        <f>IF(C712="","",IFERROR(INDEX('6. Base de Custos'!$M$8:$M$42,MATCH(C712,'6. Base de Custos'!$L$8:$L$42,0)),"Não classificado"))</f>
        <v/>
      </c>
      <c r="F712" s="111" t="n"/>
      <c r="G712" s="111" t="n"/>
      <c r="H712" s="111" t="n"/>
      <c r="I712" s="45" t="n"/>
      <c r="J712" s="28" t="n"/>
      <c r="K712" s="28" t="n"/>
      <c r="L712" s="28" t="n"/>
      <c r="M712" s="59">
        <f>IF(C712="","",IFERROR(INDEX('6. Base de Custos'!$N$8:$N$42,MATCH(C712,'6. Base de Custos'!$L$8:$L$42,0)),"Não classificado"))</f>
        <v/>
      </c>
      <c r="N712" s="59">
        <f>IF(C712="","",IFERROR(INDEX('6. Base de Custos'!$O$8:$O$42,MATCH(C712,'6. Base de Custos'!$L$8:$L$42,0)),"Revisar"))</f>
        <v/>
      </c>
      <c r="O712" s="60">
        <f>IF(M712="","",IFERROR(VLOOKUP(M712,'6. Base de Custos'!$H$12:$J$18,3,FALSE),0))</f>
        <v/>
      </c>
      <c r="P712" s="59">
        <f>IF(C712="","",IFERROR(INDEX('6. Base de Custos'!$P$8:$P$42,MATCH(C712,'6. Base de Custos'!$L$8:$L$42,0)),"Revisar"))</f>
        <v/>
      </c>
      <c r="Q712" s="59">
        <f>IF(C712="","",IFERROR(INDEX('6. Base de Custos'!$Q$8:$Q$42,MATCH(C712,'6. Base de Custos'!$L$8:$L$42,0)),""))</f>
        <v/>
      </c>
      <c r="R712" s="65">
        <f>IF(C712="","",IFERROR(VLOOKUP(M712&amp;"|"&amp;N712,'17. Mapa DRE CP'!$E$5:$H$100,2,FALSE),"Revisar"))</f>
        <v/>
      </c>
      <c r="S712" s="65">
        <f>IF(C712="","",IFERROR(VLOOKUP(M712&amp;"|"&amp;N712,'17. Mapa DRE CP'!$E$5:$H$100,3,FALSE),"Revisar"))</f>
        <v/>
      </c>
      <c r="T712" s="65">
        <f>IF(C712="","",IF(R712="(-) Custos diretos dos serviços",IF(ISNUMBER(SEARCH("PCMSO",C712)),"PCMSO",IF(OR(ISNUMBER(SEARCH("SGS",C712)),ISNUMBER(SEARCH("CASTRO NAVES",C712))),"Projetos / Laudos / Avulsos","Projetos / Laudos / Avulsos")),"Rateio pela receita bruta"))</f>
        <v/>
      </c>
      <c r="U712" s="65">
        <f>IF(C712="","",IF(R712="(-) Custos diretos dos serviços","Direto por fornecedor/natureza do gasto","Rateio proporcional à receita bruta da linha de serviço"))</f>
        <v/>
      </c>
    </row>
    <row r="713">
      <c r="A713" s="28">
        <f>IF(C713="","", "CP-"&amp;TEXT(ROW()-5,"000"))</f>
        <v/>
      </c>
      <c r="B713" s="27">
        <f>IF(F713="","",DATE(YEAR(F713),MONTH(F713),1))</f>
        <v/>
      </c>
      <c r="C713" s="28" t="n"/>
      <c r="D713" s="28" t="n"/>
      <c r="E713" s="59">
        <f>IF(C713="","",IFERROR(INDEX('6. Base de Custos'!$M$8:$M$42,MATCH(C713,'6. Base de Custos'!$L$8:$L$42,0)),"Não classificado"))</f>
        <v/>
      </c>
      <c r="F713" s="111" t="n"/>
      <c r="G713" s="111" t="n"/>
      <c r="H713" s="111" t="n"/>
      <c r="I713" s="45" t="n"/>
      <c r="J713" s="28" t="n"/>
      <c r="K713" s="28" t="n"/>
      <c r="L713" s="28" t="n"/>
      <c r="M713" s="59">
        <f>IF(C713="","",IFERROR(INDEX('6. Base de Custos'!$N$8:$N$42,MATCH(C713,'6. Base de Custos'!$L$8:$L$42,0)),"Não classificado"))</f>
        <v/>
      </c>
      <c r="N713" s="59">
        <f>IF(C713="","",IFERROR(INDEX('6. Base de Custos'!$O$8:$O$42,MATCH(C713,'6. Base de Custos'!$L$8:$L$42,0)),"Revisar"))</f>
        <v/>
      </c>
      <c r="O713" s="60">
        <f>IF(M713="","",IFERROR(VLOOKUP(M713,'6. Base de Custos'!$H$12:$J$18,3,FALSE),0))</f>
        <v/>
      </c>
      <c r="P713" s="59">
        <f>IF(C713="","",IFERROR(INDEX('6. Base de Custos'!$P$8:$P$42,MATCH(C713,'6. Base de Custos'!$L$8:$L$42,0)),"Revisar"))</f>
        <v/>
      </c>
      <c r="Q713" s="59">
        <f>IF(C713="","",IFERROR(INDEX('6. Base de Custos'!$Q$8:$Q$42,MATCH(C713,'6. Base de Custos'!$L$8:$L$42,0)),""))</f>
        <v/>
      </c>
      <c r="R713" s="65">
        <f>IF(C713="","",IFERROR(VLOOKUP(M713&amp;"|"&amp;N713,'17. Mapa DRE CP'!$E$5:$H$100,2,FALSE),"Revisar"))</f>
        <v/>
      </c>
      <c r="S713" s="65">
        <f>IF(C713="","",IFERROR(VLOOKUP(M713&amp;"|"&amp;N713,'17. Mapa DRE CP'!$E$5:$H$100,3,FALSE),"Revisar"))</f>
        <v/>
      </c>
      <c r="T713" s="65">
        <f>IF(C713="","",IF(R713="(-) Custos diretos dos serviços",IF(ISNUMBER(SEARCH("PCMSO",C713)),"PCMSO",IF(OR(ISNUMBER(SEARCH("SGS",C713)),ISNUMBER(SEARCH("CASTRO NAVES",C713))),"Projetos / Laudos / Avulsos","Projetos / Laudos / Avulsos")),"Rateio pela receita bruta"))</f>
        <v/>
      </c>
      <c r="U713" s="65">
        <f>IF(C713="","",IF(R713="(-) Custos diretos dos serviços","Direto por fornecedor/natureza do gasto","Rateio proporcional à receita bruta da linha de serviço"))</f>
        <v/>
      </c>
    </row>
    <row r="714">
      <c r="A714" s="28">
        <f>IF(C714="","", "CP-"&amp;TEXT(ROW()-5,"000"))</f>
        <v/>
      </c>
      <c r="B714" s="27">
        <f>IF(F714="","",DATE(YEAR(F714),MONTH(F714),1))</f>
        <v/>
      </c>
      <c r="C714" s="28" t="n"/>
      <c r="D714" s="28" t="n"/>
      <c r="E714" s="59">
        <f>IF(C714="","",IFERROR(INDEX('6. Base de Custos'!$M$8:$M$42,MATCH(C714,'6. Base de Custos'!$L$8:$L$42,0)),"Não classificado"))</f>
        <v/>
      </c>
      <c r="F714" s="111" t="n"/>
      <c r="G714" s="111" t="n"/>
      <c r="H714" s="111" t="n"/>
      <c r="I714" s="45" t="n"/>
      <c r="J714" s="28" t="n"/>
      <c r="K714" s="28" t="n"/>
      <c r="L714" s="28" t="n"/>
      <c r="M714" s="59">
        <f>IF(C714="","",IFERROR(INDEX('6. Base de Custos'!$N$8:$N$42,MATCH(C714,'6. Base de Custos'!$L$8:$L$42,0)),"Não classificado"))</f>
        <v/>
      </c>
      <c r="N714" s="59">
        <f>IF(C714="","",IFERROR(INDEX('6. Base de Custos'!$O$8:$O$42,MATCH(C714,'6. Base de Custos'!$L$8:$L$42,0)),"Revisar"))</f>
        <v/>
      </c>
      <c r="O714" s="60">
        <f>IF(M714="","",IFERROR(VLOOKUP(M714,'6. Base de Custos'!$H$12:$J$18,3,FALSE),0))</f>
        <v/>
      </c>
      <c r="P714" s="59">
        <f>IF(C714="","",IFERROR(INDEX('6. Base de Custos'!$P$8:$P$42,MATCH(C714,'6. Base de Custos'!$L$8:$L$42,0)),"Revisar"))</f>
        <v/>
      </c>
      <c r="Q714" s="59">
        <f>IF(C714="","",IFERROR(INDEX('6. Base de Custos'!$Q$8:$Q$42,MATCH(C714,'6. Base de Custos'!$L$8:$L$42,0)),""))</f>
        <v/>
      </c>
      <c r="R714" s="65">
        <f>IF(C714="","",IFERROR(VLOOKUP(M714&amp;"|"&amp;N714,'17. Mapa DRE CP'!$E$5:$H$100,2,FALSE),"Revisar"))</f>
        <v/>
      </c>
      <c r="S714" s="65">
        <f>IF(C714="","",IFERROR(VLOOKUP(M714&amp;"|"&amp;N714,'17. Mapa DRE CP'!$E$5:$H$100,3,FALSE),"Revisar"))</f>
        <v/>
      </c>
      <c r="T714" s="65">
        <f>IF(C714="","",IF(R714="(-) Custos diretos dos serviços",IF(ISNUMBER(SEARCH("PCMSO",C714)),"PCMSO",IF(OR(ISNUMBER(SEARCH("SGS",C714)),ISNUMBER(SEARCH("CASTRO NAVES",C714))),"Projetos / Laudos / Avulsos","Projetos / Laudos / Avulsos")),"Rateio pela receita bruta"))</f>
        <v/>
      </c>
      <c r="U714" s="65">
        <f>IF(C714="","",IF(R714="(-) Custos diretos dos serviços","Direto por fornecedor/natureza do gasto","Rateio proporcional à receita bruta da linha de serviço"))</f>
        <v/>
      </c>
    </row>
    <row r="715">
      <c r="A715" s="28">
        <f>IF(C715="","", "CP-"&amp;TEXT(ROW()-5,"000"))</f>
        <v/>
      </c>
      <c r="B715" s="27">
        <f>IF(F715="","",DATE(YEAR(F715),MONTH(F715),1))</f>
        <v/>
      </c>
      <c r="C715" s="28" t="n"/>
      <c r="D715" s="28" t="n"/>
      <c r="E715" s="59">
        <f>IF(C715="","",IFERROR(INDEX('6. Base de Custos'!$M$8:$M$42,MATCH(C715,'6. Base de Custos'!$L$8:$L$42,0)),"Não classificado"))</f>
        <v/>
      </c>
      <c r="F715" s="111" t="n"/>
      <c r="G715" s="111" t="n"/>
      <c r="H715" s="111" t="n"/>
      <c r="I715" s="45" t="n"/>
      <c r="J715" s="28" t="n"/>
      <c r="K715" s="28" t="n"/>
      <c r="L715" s="28" t="n"/>
      <c r="M715" s="59">
        <f>IF(C715="","",IFERROR(INDEX('6. Base de Custos'!$N$8:$N$42,MATCH(C715,'6. Base de Custos'!$L$8:$L$42,0)),"Não classificado"))</f>
        <v/>
      </c>
      <c r="N715" s="59">
        <f>IF(C715="","",IFERROR(INDEX('6. Base de Custos'!$O$8:$O$42,MATCH(C715,'6. Base de Custos'!$L$8:$L$42,0)),"Revisar"))</f>
        <v/>
      </c>
      <c r="O715" s="60">
        <f>IF(M715="","",IFERROR(VLOOKUP(M715,'6. Base de Custos'!$H$12:$J$18,3,FALSE),0))</f>
        <v/>
      </c>
      <c r="P715" s="59">
        <f>IF(C715="","",IFERROR(INDEX('6. Base de Custos'!$P$8:$P$42,MATCH(C715,'6. Base de Custos'!$L$8:$L$42,0)),"Revisar"))</f>
        <v/>
      </c>
      <c r="Q715" s="59">
        <f>IF(C715="","",IFERROR(INDEX('6. Base de Custos'!$Q$8:$Q$42,MATCH(C715,'6. Base de Custos'!$L$8:$L$42,0)),""))</f>
        <v/>
      </c>
      <c r="R715" s="65">
        <f>IF(C715="","",IFERROR(VLOOKUP(M715&amp;"|"&amp;N715,'17. Mapa DRE CP'!$E$5:$H$100,2,FALSE),"Revisar"))</f>
        <v/>
      </c>
      <c r="S715" s="65">
        <f>IF(C715="","",IFERROR(VLOOKUP(M715&amp;"|"&amp;N715,'17. Mapa DRE CP'!$E$5:$H$100,3,FALSE),"Revisar"))</f>
        <v/>
      </c>
      <c r="T715" s="65">
        <f>IF(C715="","",IF(R715="(-) Custos diretos dos serviços",IF(ISNUMBER(SEARCH("PCMSO",C715)),"PCMSO",IF(OR(ISNUMBER(SEARCH("SGS",C715)),ISNUMBER(SEARCH("CASTRO NAVES",C715))),"Projetos / Laudos / Avulsos","Projetos / Laudos / Avulsos")),"Rateio pela receita bruta"))</f>
        <v/>
      </c>
      <c r="U715" s="65">
        <f>IF(C715="","",IF(R715="(-) Custos diretos dos serviços","Direto por fornecedor/natureza do gasto","Rateio proporcional à receita bruta da linha de serviço"))</f>
        <v/>
      </c>
    </row>
    <row r="716">
      <c r="A716" s="28">
        <f>IF(C716="","", "CP-"&amp;TEXT(ROW()-5,"000"))</f>
        <v/>
      </c>
      <c r="B716" s="27">
        <f>IF(F716="","",DATE(YEAR(F716),MONTH(F716),1))</f>
        <v/>
      </c>
      <c r="C716" s="28" t="n"/>
      <c r="D716" s="28" t="n"/>
      <c r="E716" s="59">
        <f>IF(C716="","",IFERROR(INDEX('6. Base de Custos'!$M$8:$M$42,MATCH(C716,'6. Base de Custos'!$L$8:$L$42,0)),"Não classificado"))</f>
        <v/>
      </c>
      <c r="F716" s="111" t="n"/>
      <c r="G716" s="111" t="n"/>
      <c r="H716" s="111" t="n"/>
      <c r="I716" s="45" t="n"/>
      <c r="J716" s="28" t="n"/>
      <c r="K716" s="28" t="n"/>
      <c r="L716" s="28" t="n"/>
      <c r="M716" s="59">
        <f>IF(C716="","",IFERROR(INDEX('6. Base de Custos'!$N$8:$N$42,MATCH(C716,'6. Base de Custos'!$L$8:$L$42,0)),"Não classificado"))</f>
        <v/>
      </c>
      <c r="N716" s="59">
        <f>IF(C716="","",IFERROR(INDEX('6. Base de Custos'!$O$8:$O$42,MATCH(C716,'6. Base de Custos'!$L$8:$L$42,0)),"Revisar"))</f>
        <v/>
      </c>
      <c r="O716" s="60">
        <f>IF(M716="","",IFERROR(VLOOKUP(M716,'6. Base de Custos'!$H$12:$J$18,3,FALSE),0))</f>
        <v/>
      </c>
      <c r="P716" s="59">
        <f>IF(C716="","",IFERROR(INDEX('6. Base de Custos'!$P$8:$P$42,MATCH(C716,'6. Base de Custos'!$L$8:$L$42,0)),"Revisar"))</f>
        <v/>
      </c>
      <c r="Q716" s="59">
        <f>IF(C716="","",IFERROR(INDEX('6. Base de Custos'!$Q$8:$Q$42,MATCH(C716,'6. Base de Custos'!$L$8:$L$42,0)),""))</f>
        <v/>
      </c>
      <c r="R716" s="65">
        <f>IF(C716="","",IFERROR(VLOOKUP(M716&amp;"|"&amp;N716,'17. Mapa DRE CP'!$E$5:$H$100,2,FALSE),"Revisar"))</f>
        <v/>
      </c>
      <c r="S716" s="65">
        <f>IF(C716="","",IFERROR(VLOOKUP(M716&amp;"|"&amp;N716,'17. Mapa DRE CP'!$E$5:$H$100,3,FALSE),"Revisar"))</f>
        <v/>
      </c>
      <c r="T716" s="65">
        <f>IF(C716="","",IF(R716="(-) Custos diretos dos serviços",IF(ISNUMBER(SEARCH("PCMSO",C716)),"PCMSO",IF(OR(ISNUMBER(SEARCH("SGS",C716)),ISNUMBER(SEARCH("CASTRO NAVES",C716))),"Projetos / Laudos / Avulsos","Projetos / Laudos / Avulsos")),"Rateio pela receita bruta"))</f>
        <v/>
      </c>
      <c r="U716" s="65">
        <f>IF(C716="","",IF(R716="(-) Custos diretos dos serviços","Direto por fornecedor/natureza do gasto","Rateio proporcional à receita bruta da linha de serviço"))</f>
        <v/>
      </c>
    </row>
    <row r="717">
      <c r="A717" s="28">
        <f>IF(C717="","", "CP-"&amp;TEXT(ROW()-5,"000"))</f>
        <v/>
      </c>
      <c r="B717" s="27">
        <f>IF(F717="","",DATE(YEAR(F717),MONTH(F717),1))</f>
        <v/>
      </c>
      <c r="C717" s="28" t="n"/>
      <c r="D717" s="28" t="n"/>
      <c r="E717" s="59">
        <f>IF(C717="","",IFERROR(INDEX('6. Base de Custos'!$M$8:$M$42,MATCH(C717,'6. Base de Custos'!$L$8:$L$42,0)),"Não classificado"))</f>
        <v/>
      </c>
      <c r="F717" s="111" t="n"/>
      <c r="G717" s="111" t="n"/>
      <c r="H717" s="111" t="n"/>
      <c r="I717" s="45" t="n"/>
      <c r="J717" s="28" t="n"/>
      <c r="K717" s="28" t="n"/>
      <c r="L717" s="28" t="n"/>
      <c r="M717" s="59">
        <f>IF(C717="","",IFERROR(INDEX('6. Base de Custos'!$N$8:$N$42,MATCH(C717,'6. Base de Custos'!$L$8:$L$42,0)),"Não classificado"))</f>
        <v/>
      </c>
      <c r="N717" s="59">
        <f>IF(C717="","",IFERROR(INDEX('6. Base de Custos'!$O$8:$O$42,MATCH(C717,'6. Base de Custos'!$L$8:$L$42,0)),"Revisar"))</f>
        <v/>
      </c>
      <c r="O717" s="60">
        <f>IF(M717="","",IFERROR(VLOOKUP(M717,'6. Base de Custos'!$H$12:$J$18,3,FALSE),0))</f>
        <v/>
      </c>
      <c r="P717" s="59">
        <f>IF(C717="","",IFERROR(INDEX('6. Base de Custos'!$P$8:$P$42,MATCH(C717,'6. Base de Custos'!$L$8:$L$42,0)),"Revisar"))</f>
        <v/>
      </c>
      <c r="Q717" s="59">
        <f>IF(C717="","",IFERROR(INDEX('6. Base de Custos'!$Q$8:$Q$42,MATCH(C717,'6. Base de Custos'!$L$8:$L$42,0)),""))</f>
        <v/>
      </c>
      <c r="R717" s="65">
        <f>IF(C717="","",IFERROR(VLOOKUP(M717&amp;"|"&amp;N717,'17. Mapa DRE CP'!$E$5:$H$100,2,FALSE),"Revisar"))</f>
        <v/>
      </c>
      <c r="S717" s="65">
        <f>IF(C717="","",IFERROR(VLOOKUP(M717&amp;"|"&amp;N717,'17. Mapa DRE CP'!$E$5:$H$100,3,FALSE),"Revisar"))</f>
        <v/>
      </c>
      <c r="T717" s="65">
        <f>IF(C717="","",IF(R717="(-) Custos diretos dos serviços",IF(ISNUMBER(SEARCH("PCMSO",C717)),"PCMSO",IF(OR(ISNUMBER(SEARCH("SGS",C717)),ISNUMBER(SEARCH("CASTRO NAVES",C717))),"Projetos / Laudos / Avulsos","Projetos / Laudos / Avulsos")),"Rateio pela receita bruta"))</f>
        <v/>
      </c>
      <c r="U717" s="65">
        <f>IF(C717="","",IF(R717="(-) Custos diretos dos serviços","Direto por fornecedor/natureza do gasto","Rateio proporcional à receita bruta da linha de serviço"))</f>
        <v/>
      </c>
    </row>
    <row r="718">
      <c r="A718" s="28">
        <f>IF(C718="","", "CP-"&amp;TEXT(ROW()-5,"000"))</f>
        <v/>
      </c>
      <c r="B718" s="27">
        <f>IF(F718="","",DATE(YEAR(F718),MONTH(F718),1))</f>
        <v/>
      </c>
      <c r="C718" s="28" t="n"/>
      <c r="D718" s="28" t="n"/>
      <c r="E718" s="59">
        <f>IF(C718="","",IFERROR(INDEX('6. Base de Custos'!$M$8:$M$42,MATCH(C718,'6. Base de Custos'!$L$8:$L$42,0)),"Não classificado"))</f>
        <v/>
      </c>
      <c r="F718" s="111" t="n"/>
      <c r="G718" s="111" t="n"/>
      <c r="H718" s="111" t="n"/>
      <c r="I718" s="45" t="n"/>
      <c r="J718" s="28" t="n"/>
      <c r="K718" s="28" t="n"/>
      <c r="L718" s="28" t="n"/>
      <c r="M718" s="59">
        <f>IF(C718="","",IFERROR(INDEX('6. Base de Custos'!$N$8:$N$42,MATCH(C718,'6. Base de Custos'!$L$8:$L$42,0)),"Não classificado"))</f>
        <v/>
      </c>
      <c r="N718" s="59">
        <f>IF(C718="","",IFERROR(INDEX('6. Base de Custos'!$O$8:$O$42,MATCH(C718,'6. Base de Custos'!$L$8:$L$42,0)),"Revisar"))</f>
        <v/>
      </c>
      <c r="O718" s="60">
        <f>IF(M718="","",IFERROR(VLOOKUP(M718,'6. Base de Custos'!$H$12:$J$18,3,FALSE),0))</f>
        <v/>
      </c>
      <c r="P718" s="59">
        <f>IF(C718="","",IFERROR(INDEX('6. Base de Custos'!$P$8:$P$42,MATCH(C718,'6. Base de Custos'!$L$8:$L$42,0)),"Revisar"))</f>
        <v/>
      </c>
      <c r="Q718" s="59">
        <f>IF(C718="","",IFERROR(INDEX('6. Base de Custos'!$Q$8:$Q$42,MATCH(C718,'6. Base de Custos'!$L$8:$L$42,0)),""))</f>
        <v/>
      </c>
      <c r="R718" s="65">
        <f>IF(C718="","",IFERROR(VLOOKUP(M718&amp;"|"&amp;N718,'17. Mapa DRE CP'!$E$5:$H$100,2,FALSE),"Revisar"))</f>
        <v/>
      </c>
      <c r="S718" s="65">
        <f>IF(C718="","",IFERROR(VLOOKUP(M718&amp;"|"&amp;N718,'17. Mapa DRE CP'!$E$5:$H$100,3,FALSE),"Revisar"))</f>
        <v/>
      </c>
      <c r="T718" s="65">
        <f>IF(C718="","",IF(R718="(-) Custos diretos dos serviços",IF(ISNUMBER(SEARCH("PCMSO",C718)),"PCMSO",IF(OR(ISNUMBER(SEARCH("SGS",C718)),ISNUMBER(SEARCH("CASTRO NAVES",C718))),"Projetos / Laudos / Avulsos","Projetos / Laudos / Avulsos")),"Rateio pela receita bruta"))</f>
        <v/>
      </c>
      <c r="U718" s="65">
        <f>IF(C718="","",IF(R718="(-) Custos diretos dos serviços","Direto por fornecedor/natureza do gasto","Rateio proporcional à receita bruta da linha de serviço"))</f>
        <v/>
      </c>
    </row>
    <row r="719">
      <c r="A719" s="28">
        <f>IF(C719="","", "CP-"&amp;TEXT(ROW()-5,"000"))</f>
        <v/>
      </c>
      <c r="B719" s="27">
        <f>IF(F719="","",DATE(YEAR(F719),MONTH(F719),1))</f>
        <v/>
      </c>
      <c r="C719" s="28" t="n"/>
      <c r="D719" s="28" t="n"/>
      <c r="E719" s="59">
        <f>IF(C719="","",IFERROR(INDEX('6. Base de Custos'!$M$8:$M$42,MATCH(C719,'6. Base de Custos'!$L$8:$L$42,0)),"Não classificado"))</f>
        <v/>
      </c>
      <c r="F719" s="111" t="n"/>
      <c r="G719" s="111" t="n"/>
      <c r="H719" s="111" t="n"/>
      <c r="I719" s="45" t="n"/>
      <c r="J719" s="28" t="n"/>
      <c r="K719" s="28" t="n"/>
      <c r="L719" s="28" t="n"/>
      <c r="M719" s="59">
        <f>IF(C719="","",IFERROR(INDEX('6. Base de Custos'!$N$8:$N$42,MATCH(C719,'6. Base de Custos'!$L$8:$L$42,0)),"Não classificado"))</f>
        <v/>
      </c>
      <c r="N719" s="59">
        <f>IF(C719="","",IFERROR(INDEX('6. Base de Custos'!$O$8:$O$42,MATCH(C719,'6. Base de Custos'!$L$8:$L$42,0)),"Revisar"))</f>
        <v/>
      </c>
      <c r="O719" s="60">
        <f>IF(M719="","",IFERROR(VLOOKUP(M719,'6. Base de Custos'!$H$12:$J$18,3,FALSE),0))</f>
        <v/>
      </c>
      <c r="P719" s="59">
        <f>IF(C719="","",IFERROR(INDEX('6. Base de Custos'!$P$8:$P$42,MATCH(C719,'6. Base de Custos'!$L$8:$L$42,0)),"Revisar"))</f>
        <v/>
      </c>
      <c r="Q719" s="59">
        <f>IF(C719="","",IFERROR(INDEX('6. Base de Custos'!$Q$8:$Q$42,MATCH(C719,'6. Base de Custos'!$L$8:$L$42,0)),""))</f>
        <v/>
      </c>
      <c r="R719" s="65">
        <f>IF(C719="","",IFERROR(VLOOKUP(M719&amp;"|"&amp;N719,'17. Mapa DRE CP'!$E$5:$H$100,2,FALSE),"Revisar"))</f>
        <v/>
      </c>
      <c r="S719" s="65">
        <f>IF(C719="","",IFERROR(VLOOKUP(M719&amp;"|"&amp;N719,'17. Mapa DRE CP'!$E$5:$H$100,3,FALSE),"Revisar"))</f>
        <v/>
      </c>
      <c r="T719" s="65">
        <f>IF(C719="","",IF(R719="(-) Custos diretos dos serviços",IF(ISNUMBER(SEARCH("PCMSO",C719)),"PCMSO",IF(OR(ISNUMBER(SEARCH("SGS",C719)),ISNUMBER(SEARCH("CASTRO NAVES",C719))),"Projetos / Laudos / Avulsos","Projetos / Laudos / Avulsos")),"Rateio pela receita bruta"))</f>
        <v/>
      </c>
      <c r="U719" s="65">
        <f>IF(C719="","",IF(R719="(-) Custos diretos dos serviços","Direto por fornecedor/natureza do gasto","Rateio proporcional à receita bruta da linha de serviço"))</f>
        <v/>
      </c>
    </row>
    <row r="720">
      <c r="A720" s="28">
        <f>IF(C720="","", "CP-"&amp;TEXT(ROW()-5,"000"))</f>
        <v/>
      </c>
      <c r="B720" s="27">
        <f>IF(F720="","",DATE(YEAR(F720),MONTH(F720),1))</f>
        <v/>
      </c>
      <c r="C720" s="28" t="n"/>
      <c r="D720" s="28" t="n"/>
      <c r="E720" s="59">
        <f>IF(C720="","",IFERROR(INDEX('6. Base de Custos'!$M$8:$M$42,MATCH(C720,'6. Base de Custos'!$L$8:$L$42,0)),"Não classificado"))</f>
        <v/>
      </c>
      <c r="F720" s="111" t="n"/>
      <c r="G720" s="111" t="n"/>
      <c r="H720" s="111" t="n"/>
      <c r="I720" s="45" t="n"/>
      <c r="J720" s="28" t="n"/>
      <c r="K720" s="28" t="n"/>
      <c r="L720" s="28" t="n"/>
      <c r="M720" s="59">
        <f>IF(C720="","",IFERROR(INDEX('6. Base de Custos'!$N$8:$N$42,MATCH(C720,'6. Base de Custos'!$L$8:$L$42,0)),"Não classificado"))</f>
        <v/>
      </c>
      <c r="N720" s="59">
        <f>IF(C720="","",IFERROR(INDEX('6. Base de Custos'!$O$8:$O$42,MATCH(C720,'6. Base de Custos'!$L$8:$L$42,0)),"Revisar"))</f>
        <v/>
      </c>
      <c r="O720" s="60">
        <f>IF(M720="","",IFERROR(VLOOKUP(M720,'6. Base de Custos'!$H$12:$J$18,3,FALSE),0))</f>
        <v/>
      </c>
      <c r="P720" s="59">
        <f>IF(C720="","",IFERROR(INDEX('6. Base de Custos'!$P$8:$P$42,MATCH(C720,'6. Base de Custos'!$L$8:$L$42,0)),"Revisar"))</f>
        <v/>
      </c>
      <c r="Q720" s="59">
        <f>IF(C720="","",IFERROR(INDEX('6. Base de Custos'!$Q$8:$Q$42,MATCH(C720,'6. Base de Custos'!$L$8:$L$42,0)),""))</f>
        <v/>
      </c>
      <c r="R720" s="65">
        <f>IF(C720="","",IFERROR(VLOOKUP(M720&amp;"|"&amp;N720,'17. Mapa DRE CP'!$E$5:$H$100,2,FALSE),"Revisar"))</f>
        <v/>
      </c>
      <c r="S720" s="65">
        <f>IF(C720="","",IFERROR(VLOOKUP(M720&amp;"|"&amp;N720,'17. Mapa DRE CP'!$E$5:$H$100,3,FALSE),"Revisar"))</f>
        <v/>
      </c>
      <c r="T720" s="65">
        <f>IF(C720="","",IF(R720="(-) Custos diretos dos serviços",IF(ISNUMBER(SEARCH("PCMSO",C720)),"PCMSO",IF(OR(ISNUMBER(SEARCH("SGS",C720)),ISNUMBER(SEARCH("CASTRO NAVES",C720))),"Projetos / Laudos / Avulsos","Projetos / Laudos / Avulsos")),"Rateio pela receita bruta"))</f>
        <v/>
      </c>
      <c r="U720" s="65">
        <f>IF(C720="","",IF(R720="(-) Custos diretos dos serviços","Direto por fornecedor/natureza do gasto","Rateio proporcional à receita bruta da linha de serviço"))</f>
        <v/>
      </c>
    </row>
    <row r="721">
      <c r="A721" s="28">
        <f>IF(C721="","", "CP-"&amp;TEXT(ROW()-5,"000"))</f>
        <v/>
      </c>
      <c r="B721" s="27">
        <f>IF(F721="","",DATE(YEAR(F721),MONTH(F721),1))</f>
        <v/>
      </c>
      <c r="C721" s="28" t="n"/>
      <c r="D721" s="28" t="n"/>
      <c r="E721" s="59">
        <f>IF(C721="","",IFERROR(INDEX('6. Base de Custos'!$M$8:$M$42,MATCH(C721,'6. Base de Custos'!$L$8:$L$42,0)),"Não classificado"))</f>
        <v/>
      </c>
      <c r="F721" s="111" t="n"/>
      <c r="G721" s="111" t="n"/>
      <c r="H721" s="111" t="n"/>
      <c r="I721" s="45" t="n"/>
      <c r="J721" s="28" t="n"/>
      <c r="K721" s="28" t="n"/>
      <c r="L721" s="28" t="n"/>
      <c r="M721" s="59">
        <f>IF(C721="","",IFERROR(INDEX('6. Base de Custos'!$N$8:$N$42,MATCH(C721,'6. Base de Custos'!$L$8:$L$42,0)),"Não classificado"))</f>
        <v/>
      </c>
      <c r="N721" s="59">
        <f>IF(C721="","",IFERROR(INDEX('6. Base de Custos'!$O$8:$O$42,MATCH(C721,'6. Base de Custos'!$L$8:$L$42,0)),"Revisar"))</f>
        <v/>
      </c>
      <c r="O721" s="60">
        <f>IF(M721="","",IFERROR(VLOOKUP(M721,'6. Base de Custos'!$H$12:$J$18,3,FALSE),0))</f>
        <v/>
      </c>
      <c r="P721" s="59">
        <f>IF(C721="","",IFERROR(INDEX('6. Base de Custos'!$P$8:$P$42,MATCH(C721,'6. Base de Custos'!$L$8:$L$42,0)),"Revisar"))</f>
        <v/>
      </c>
      <c r="Q721" s="59">
        <f>IF(C721="","",IFERROR(INDEX('6. Base de Custos'!$Q$8:$Q$42,MATCH(C721,'6. Base de Custos'!$L$8:$L$42,0)),""))</f>
        <v/>
      </c>
      <c r="R721" s="65">
        <f>IF(C721="","",IFERROR(VLOOKUP(M721&amp;"|"&amp;N721,'17. Mapa DRE CP'!$E$5:$H$100,2,FALSE),"Revisar"))</f>
        <v/>
      </c>
      <c r="S721" s="65">
        <f>IF(C721="","",IFERROR(VLOOKUP(M721&amp;"|"&amp;N721,'17. Mapa DRE CP'!$E$5:$H$100,3,FALSE),"Revisar"))</f>
        <v/>
      </c>
      <c r="T721" s="65">
        <f>IF(C721="","",IF(R721="(-) Custos diretos dos serviços",IF(ISNUMBER(SEARCH("PCMSO",C721)),"PCMSO",IF(OR(ISNUMBER(SEARCH("SGS",C721)),ISNUMBER(SEARCH("CASTRO NAVES",C721))),"Projetos / Laudos / Avulsos","Projetos / Laudos / Avulsos")),"Rateio pela receita bruta"))</f>
        <v/>
      </c>
      <c r="U721" s="65">
        <f>IF(C721="","",IF(R721="(-) Custos diretos dos serviços","Direto por fornecedor/natureza do gasto","Rateio proporcional à receita bruta da linha de serviço"))</f>
        <v/>
      </c>
    </row>
    <row r="722">
      <c r="A722" s="28">
        <f>IF(C722="","", "CP-"&amp;TEXT(ROW()-5,"000"))</f>
        <v/>
      </c>
      <c r="B722" s="27">
        <f>IF(F722="","",DATE(YEAR(F722),MONTH(F722),1))</f>
        <v/>
      </c>
      <c r="C722" s="28" t="n"/>
      <c r="D722" s="28" t="n"/>
      <c r="E722" s="59">
        <f>IF(C722="","",IFERROR(INDEX('6. Base de Custos'!$M$8:$M$42,MATCH(C722,'6. Base de Custos'!$L$8:$L$42,0)),"Não classificado"))</f>
        <v/>
      </c>
      <c r="F722" s="111" t="n"/>
      <c r="G722" s="111" t="n"/>
      <c r="H722" s="111" t="n"/>
      <c r="I722" s="45" t="n"/>
      <c r="J722" s="28" t="n"/>
      <c r="K722" s="28" t="n"/>
      <c r="L722" s="28" t="n"/>
      <c r="M722" s="59">
        <f>IF(C722="","",IFERROR(INDEX('6. Base de Custos'!$N$8:$N$42,MATCH(C722,'6. Base de Custos'!$L$8:$L$42,0)),"Não classificado"))</f>
        <v/>
      </c>
      <c r="N722" s="59">
        <f>IF(C722="","",IFERROR(INDEX('6. Base de Custos'!$O$8:$O$42,MATCH(C722,'6. Base de Custos'!$L$8:$L$42,0)),"Revisar"))</f>
        <v/>
      </c>
      <c r="O722" s="60">
        <f>IF(M722="","",IFERROR(VLOOKUP(M722,'6. Base de Custos'!$H$12:$J$18,3,FALSE),0))</f>
        <v/>
      </c>
      <c r="P722" s="59">
        <f>IF(C722="","",IFERROR(INDEX('6. Base de Custos'!$P$8:$P$42,MATCH(C722,'6. Base de Custos'!$L$8:$L$42,0)),"Revisar"))</f>
        <v/>
      </c>
      <c r="Q722" s="59">
        <f>IF(C722="","",IFERROR(INDEX('6. Base de Custos'!$Q$8:$Q$42,MATCH(C722,'6. Base de Custos'!$L$8:$L$42,0)),""))</f>
        <v/>
      </c>
      <c r="R722" s="65">
        <f>IF(C722="","",IFERROR(VLOOKUP(M722&amp;"|"&amp;N722,'17. Mapa DRE CP'!$E$5:$H$100,2,FALSE),"Revisar"))</f>
        <v/>
      </c>
      <c r="S722" s="65">
        <f>IF(C722="","",IFERROR(VLOOKUP(M722&amp;"|"&amp;N722,'17. Mapa DRE CP'!$E$5:$H$100,3,FALSE),"Revisar"))</f>
        <v/>
      </c>
      <c r="T722" s="65">
        <f>IF(C722="","",IF(R722="(-) Custos diretos dos serviços",IF(ISNUMBER(SEARCH("PCMSO",C722)),"PCMSO",IF(OR(ISNUMBER(SEARCH("SGS",C722)),ISNUMBER(SEARCH("CASTRO NAVES",C722))),"Projetos / Laudos / Avulsos","Projetos / Laudos / Avulsos")),"Rateio pela receita bruta"))</f>
        <v/>
      </c>
      <c r="U722" s="65">
        <f>IF(C722="","",IF(R722="(-) Custos diretos dos serviços","Direto por fornecedor/natureza do gasto","Rateio proporcional à receita bruta da linha de serviço"))</f>
        <v/>
      </c>
    </row>
    <row r="723">
      <c r="A723" s="28">
        <f>IF(C723="","", "CP-"&amp;TEXT(ROW()-5,"000"))</f>
        <v/>
      </c>
      <c r="B723" s="27">
        <f>IF(F723="","",DATE(YEAR(F723),MONTH(F723),1))</f>
        <v/>
      </c>
      <c r="C723" s="28" t="n"/>
      <c r="D723" s="28" t="n"/>
      <c r="E723" s="59">
        <f>IF(C723="","",IFERROR(INDEX('6. Base de Custos'!$M$8:$M$42,MATCH(C723,'6. Base de Custos'!$L$8:$L$42,0)),"Não classificado"))</f>
        <v/>
      </c>
      <c r="F723" s="111" t="n"/>
      <c r="G723" s="111" t="n"/>
      <c r="H723" s="111" t="n"/>
      <c r="I723" s="45" t="n"/>
      <c r="J723" s="28" t="n"/>
      <c r="K723" s="28" t="n"/>
      <c r="L723" s="28" t="n"/>
      <c r="M723" s="59">
        <f>IF(C723="","",IFERROR(INDEX('6. Base de Custos'!$N$8:$N$42,MATCH(C723,'6. Base de Custos'!$L$8:$L$42,0)),"Não classificado"))</f>
        <v/>
      </c>
      <c r="N723" s="59">
        <f>IF(C723="","",IFERROR(INDEX('6. Base de Custos'!$O$8:$O$42,MATCH(C723,'6. Base de Custos'!$L$8:$L$42,0)),"Revisar"))</f>
        <v/>
      </c>
      <c r="O723" s="60">
        <f>IF(M723="","",IFERROR(VLOOKUP(M723,'6. Base de Custos'!$H$12:$J$18,3,FALSE),0))</f>
        <v/>
      </c>
      <c r="P723" s="59">
        <f>IF(C723="","",IFERROR(INDEX('6. Base de Custos'!$P$8:$P$42,MATCH(C723,'6. Base de Custos'!$L$8:$L$42,0)),"Revisar"))</f>
        <v/>
      </c>
      <c r="Q723" s="59">
        <f>IF(C723="","",IFERROR(INDEX('6. Base de Custos'!$Q$8:$Q$42,MATCH(C723,'6. Base de Custos'!$L$8:$L$42,0)),""))</f>
        <v/>
      </c>
      <c r="R723" s="65">
        <f>IF(C723="","",IFERROR(VLOOKUP(M723&amp;"|"&amp;N723,'17. Mapa DRE CP'!$E$5:$H$100,2,FALSE),"Revisar"))</f>
        <v/>
      </c>
      <c r="S723" s="65">
        <f>IF(C723="","",IFERROR(VLOOKUP(M723&amp;"|"&amp;N723,'17. Mapa DRE CP'!$E$5:$H$100,3,FALSE),"Revisar"))</f>
        <v/>
      </c>
      <c r="T723" s="65">
        <f>IF(C723="","",IF(R723="(-) Custos diretos dos serviços",IF(ISNUMBER(SEARCH("PCMSO",C723)),"PCMSO",IF(OR(ISNUMBER(SEARCH("SGS",C723)),ISNUMBER(SEARCH("CASTRO NAVES",C723))),"Projetos / Laudos / Avulsos","Projetos / Laudos / Avulsos")),"Rateio pela receita bruta"))</f>
        <v/>
      </c>
      <c r="U723" s="65">
        <f>IF(C723="","",IF(R723="(-) Custos diretos dos serviços","Direto por fornecedor/natureza do gasto","Rateio proporcional à receita bruta da linha de serviço"))</f>
        <v/>
      </c>
    </row>
    <row r="724">
      <c r="A724" s="28">
        <f>IF(C724="","", "CP-"&amp;TEXT(ROW()-5,"000"))</f>
        <v/>
      </c>
      <c r="B724" s="27">
        <f>IF(F724="","",DATE(YEAR(F724),MONTH(F724),1))</f>
        <v/>
      </c>
      <c r="C724" s="28" t="n"/>
      <c r="D724" s="28" t="n"/>
      <c r="E724" s="59">
        <f>IF(C724="","",IFERROR(INDEX('6. Base de Custos'!$M$8:$M$42,MATCH(C724,'6. Base de Custos'!$L$8:$L$42,0)),"Não classificado"))</f>
        <v/>
      </c>
      <c r="F724" s="111" t="n"/>
      <c r="G724" s="111" t="n"/>
      <c r="H724" s="111" t="n"/>
      <c r="I724" s="45" t="n"/>
      <c r="J724" s="28" t="n"/>
      <c r="K724" s="28" t="n"/>
      <c r="L724" s="28" t="n"/>
      <c r="M724" s="59">
        <f>IF(C724="","",IFERROR(INDEX('6. Base de Custos'!$N$8:$N$42,MATCH(C724,'6. Base de Custos'!$L$8:$L$42,0)),"Não classificado"))</f>
        <v/>
      </c>
      <c r="N724" s="59">
        <f>IF(C724="","",IFERROR(INDEX('6. Base de Custos'!$O$8:$O$42,MATCH(C724,'6. Base de Custos'!$L$8:$L$42,0)),"Revisar"))</f>
        <v/>
      </c>
      <c r="O724" s="60">
        <f>IF(M724="","",IFERROR(VLOOKUP(M724,'6. Base de Custos'!$H$12:$J$18,3,FALSE),0))</f>
        <v/>
      </c>
      <c r="P724" s="59">
        <f>IF(C724="","",IFERROR(INDEX('6. Base de Custos'!$P$8:$P$42,MATCH(C724,'6. Base de Custos'!$L$8:$L$42,0)),"Revisar"))</f>
        <v/>
      </c>
      <c r="Q724" s="59">
        <f>IF(C724="","",IFERROR(INDEX('6. Base de Custos'!$Q$8:$Q$42,MATCH(C724,'6. Base de Custos'!$L$8:$L$42,0)),""))</f>
        <v/>
      </c>
      <c r="R724" s="65">
        <f>IF(C724="","",IFERROR(VLOOKUP(M724&amp;"|"&amp;N724,'17. Mapa DRE CP'!$E$5:$H$100,2,FALSE),"Revisar"))</f>
        <v/>
      </c>
      <c r="S724" s="65">
        <f>IF(C724="","",IFERROR(VLOOKUP(M724&amp;"|"&amp;N724,'17. Mapa DRE CP'!$E$5:$H$100,3,FALSE),"Revisar"))</f>
        <v/>
      </c>
      <c r="T724" s="65">
        <f>IF(C724="","",IF(R724="(-) Custos diretos dos serviços",IF(ISNUMBER(SEARCH("PCMSO",C724)),"PCMSO",IF(OR(ISNUMBER(SEARCH("SGS",C724)),ISNUMBER(SEARCH("CASTRO NAVES",C724))),"Projetos / Laudos / Avulsos","Projetos / Laudos / Avulsos")),"Rateio pela receita bruta"))</f>
        <v/>
      </c>
      <c r="U724" s="65">
        <f>IF(C724="","",IF(R724="(-) Custos diretos dos serviços","Direto por fornecedor/natureza do gasto","Rateio proporcional à receita bruta da linha de serviço"))</f>
        <v/>
      </c>
    </row>
    <row r="725">
      <c r="A725" s="28">
        <f>IF(C725="","", "CP-"&amp;TEXT(ROW()-5,"000"))</f>
        <v/>
      </c>
      <c r="B725" s="27">
        <f>IF(F725="","",DATE(YEAR(F725),MONTH(F725),1))</f>
        <v/>
      </c>
      <c r="C725" s="28" t="n"/>
      <c r="D725" s="28" t="n"/>
      <c r="E725" s="59">
        <f>IF(C725="","",IFERROR(INDEX('6. Base de Custos'!$M$8:$M$42,MATCH(C725,'6. Base de Custos'!$L$8:$L$42,0)),"Não classificado"))</f>
        <v/>
      </c>
      <c r="F725" s="111" t="n"/>
      <c r="G725" s="111" t="n"/>
      <c r="H725" s="111" t="n"/>
      <c r="I725" s="45" t="n"/>
      <c r="J725" s="28" t="n"/>
      <c r="K725" s="28" t="n"/>
      <c r="L725" s="28" t="n"/>
      <c r="M725" s="59">
        <f>IF(C725="","",IFERROR(INDEX('6. Base de Custos'!$N$8:$N$42,MATCH(C725,'6. Base de Custos'!$L$8:$L$42,0)),"Não classificado"))</f>
        <v/>
      </c>
      <c r="N725" s="59">
        <f>IF(C725="","",IFERROR(INDEX('6. Base de Custos'!$O$8:$O$42,MATCH(C725,'6. Base de Custos'!$L$8:$L$42,0)),"Revisar"))</f>
        <v/>
      </c>
      <c r="O725" s="60">
        <f>IF(M725="","",IFERROR(VLOOKUP(M725,'6. Base de Custos'!$H$12:$J$18,3,FALSE),0))</f>
        <v/>
      </c>
      <c r="P725" s="59">
        <f>IF(C725="","",IFERROR(INDEX('6. Base de Custos'!$P$8:$P$42,MATCH(C725,'6. Base de Custos'!$L$8:$L$42,0)),"Revisar"))</f>
        <v/>
      </c>
      <c r="Q725" s="59">
        <f>IF(C725="","",IFERROR(INDEX('6. Base de Custos'!$Q$8:$Q$42,MATCH(C725,'6. Base de Custos'!$L$8:$L$42,0)),""))</f>
        <v/>
      </c>
      <c r="R725" s="65">
        <f>IF(C725="","",IFERROR(VLOOKUP(M725&amp;"|"&amp;N725,'17. Mapa DRE CP'!$E$5:$H$100,2,FALSE),"Revisar"))</f>
        <v/>
      </c>
      <c r="S725" s="65">
        <f>IF(C725="","",IFERROR(VLOOKUP(M725&amp;"|"&amp;N725,'17. Mapa DRE CP'!$E$5:$H$100,3,FALSE),"Revisar"))</f>
        <v/>
      </c>
      <c r="T725" s="65">
        <f>IF(C725="","",IF(R725="(-) Custos diretos dos serviços",IF(ISNUMBER(SEARCH("PCMSO",C725)),"PCMSO",IF(OR(ISNUMBER(SEARCH("SGS",C725)),ISNUMBER(SEARCH("CASTRO NAVES",C725))),"Projetos / Laudos / Avulsos","Projetos / Laudos / Avulsos")),"Rateio pela receita bruta"))</f>
        <v/>
      </c>
      <c r="U725" s="65">
        <f>IF(C725="","",IF(R725="(-) Custos diretos dos serviços","Direto por fornecedor/natureza do gasto","Rateio proporcional à receita bruta da linha de serviço"))</f>
        <v/>
      </c>
    </row>
    <row r="726">
      <c r="A726" s="28">
        <f>IF(C726="","", "CP-"&amp;TEXT(ROW()-5,"000"))</f>
        <v/>
      </c>
      <c r="B726" s="27">
        <f>IF(F726="","",DATE(YEAR(F726),MONTH(F726),1))</f>
        <v/>
      </c>
      <c r="C726" s="28" t="n"/>
      <c r="D726" s="28" t="n"/>
      <c r="E726" s="59">
        <f>IF(C726="","",IFERROR(INDEX('6. Base de Custos'!$M$8:$M$42,MATCH(C726,'6. Base de Custos'!$L$8:$L$42,0)),"Não classificado"))</f>
        <v/>
      </c>
      <c r="F726" s="111" t="n"/>
      <c r="G726" s="111" t="n"/>
      <c r="H726" s="111" t="n"/>
      <c r="I726" s="45" t="n"/>
      <c r="J726" s="28" t="n"/>
      <c r="K726" s="28" t="n"/>
      <c r="L726" s="28" t="n"/>
      <c r="M726" s="59">
        <f>IF(C726="","",IFERROR(INDEX('6. Base de Custos'!$N$8:$N$42,MATCH(C726,'6. Base de Custos'!$L$8:$L$42,0)),"Não classificado"))</f>
        <v/>
      </c>
      <c r="N726" s="59">
        <f>IF(C726="","",IFERROR(INDEX('6. Base de Custos'!$O$8:$O$42,MATCH(C726,'6. Base de Custos'!$L$8:$L$42,0)),"Revisar"))</f>
        <v/>
      </c>
      <c r="O726" s="60">
        <f>IF(M726="","",IFERROR(VLOOKUP(M726,'6. Base de Custos'!$H$12:$J$18,3,FALSE),0))</f>
        <v/>
      </c>
      <c r="P726" s="59">
        <f>IF(C726="","",IFERROR(INDEX('6. Base de Custos'!$P$8:$P$42,MATCH(C726,'6. Base de Custos'!$L$8:$L$42,0)),"Revisar"))</f>
        <v/>
      </c>
      <c r="Q726" s="59">
        <f>IF(C726="","",IFERROR(INDEX('6. Base de Custos'!$Q$8:$Q$42,MATCH(C726,'6. Base de Custos'!$L$8:$L$42,0)),""))</f>
        <v/>
      </c>
      <c r="R726" s="65">
        <f>IF(C726="","",IFERROR(VLOOKUP(M726&amp;"|"&amp;N726,'17. Mapa DRE CP'!$E$5:$H$100,2,FALSE),"Revisar"))</f>
        <v/>
      </c>
      <c r="S726" s="65">
        <f>IF(C726="","",IFERROR(VLOOKUP(M726&amp;"|"&amp;N726,'17. Mapa DRE CP'!$E$5:$H$100,3,FALSE),"Revisar"))</f>
        <v/>
      </c>
      <c r="T726" s="65">
        <f>IF(C726="","",IF(R726="(-) Custos diretos dos serviços",IF(ISNUMBER(SEARCH("PCMSO",C726)),"PCMSO",IF(OR(ISNUMBER(SEARCH("SGS",C726)),ISNUMBER(SEARCH("CASTRO NAVES",C726))),"Projetos / Laudos / Avulsos","Projetos / Laudos / Avulsos")),"Rateio pela receita bruta"))</f>
        <v/>
      </c>
      <c r="U726" s="65">
        <f>IF(C726="","",IF(R726="(-) Custos diretos dos serviços","Direto por fornecedor/natureza do gasto","Rateio proporcional à receita bruta da linha de serviço"))</f>
        <v/>
      </c>
    </row>
    <row r="727">
      <c r="A727" s="28">
        <f>IF(C727="","", "CP-"&amp;TEXT(ROW()-5,"000"))</f>
        <v/>
      </c>
      <c r="B727" s="27">
        <f>IF(F727="","",DATE(YEAR(F727),MONTH(F727),1))</f>
        <v/>
      </c>
      <c r="C727" s="28" t="n"/>
      <c r="D727" s="28" t="n"/>
      <c r="E727" s="59">
        <f>IF(C727="","",IFERROR(INDEX('6. Base de Custos'!$M$8:$M$42,MATCH(C727,'6. Base de Custos'!$L$8:$L$42,0)),"Não classificado"))</f>
        <v/>
      </c>
      <c r="F727" s="111" t="n"/>
      <c r="G727" s="111" t="n"/>
      <c r="H727" s="111" t="n"/>
      <c r="I727" s="45" t="n"/>
      <c r="J727" s="28" t="n"/>
      <c r="K727" s="28" t="n"/>
      <c r="L727" s="28" t="n"/>
      <c r="M727" s="59">
        <f>IF(C727="","",IFERROR(INDEX('6. Base de Custos'!$N$8:$N$42,MATCH(C727,'6. Base de Custos'!$L$8:$L$42,0)),"Não classificado"))</f>
        <v/>
      </c>
      <c r="N727" s="59">
        <f>IF(C727="","",IFERROR(INDEX('6. Base de Custos'!$O$8:$O$42,MATCH(C727,'6. Base de Custos'!$L$8:$L$42,0)),"Revisar"))</f>
        <v/>
      </c>
      <c r="O727" s="60">
        <f>IF(M727="","",IFERROR(VLOOKUP(M727,'6. Base de Custos'!$H$12:$J$18,3,FALSE),0))</f>
        <v/>
      </c>
      <c r="P727" s="59">
        <f>IF(C727="","",IFERROR(INDEX('6. Base de Custos'!$P$8:$P$42,MATCH(C727,'6. Base de Custos'!$L$8:$L$42,0)),"Revisar"))</f>
        <v/>
      </c>
      <c r="Q727" s="59">
        <f>IF(C727="","",IFERROR(INDEX('6. Base de Custos'!$Q$8:$Q$42,MATCH(C727,'6. Base de Custos'!$L$8:$L$42,0)),""))</f>
        <v/>
      </c>
      <c r="R727" s="65">
        <f>IF(C727="","",IFERROR(VLOOKUP(M727&amp;"|"&amp;N727,'17. Mapa DRE CP'!$E$5:$H$100,2,FALSE),"Revisar"))</f>
        <v/>
      </c>
      <c r="S727" s="65">
        <f>IF(C727="","",IFERROR(VLOOKUP(M727&amp;"|"&amp;N727,'17. Mapa DRE CP'!$E$5:$H$100,3,FALSE),"Revisar"))</f>
        <v/>
      </c>
      <c r="T727" s="65">
        <f>IF(C727="","",IF(R727="(-) Custos diretos dos serviços",IF(ISNUMBER(SEARCH("PCMSO",C727)),"PCMSO",IF(OR(ISNUMBER(SEARCH("SGS",C727)),ISNUMBER(SEARCH("CASTRO NAVES",C727))),"Projetos / Laudos / Avulsos","Projetos / Laudos / Avulsos")),"Rateio pela receita bruta"))</f>
        <v/>
      </c>
      <c r="U727" s="65">
        <f>IF(C727="","",IF(R727="(-) Custos diretos dos serviços","Direto por fornecedor/natureza do gasto","Rateio proporcional à receita bruta da linha de serviço"))</f>
        <v/>
      </c>
    </row>
    <row r="728">
      <c r="A728" s="28">
        <f>IF(C728="","", "CP-"&amp;TEXT(ROW()-5,"000"))</f>
        <v/>
      </c>
      <c r="B728" s="27">
        <f>IF(F728="","",DATE(YEAR(F728),MONTH(F728),1))</f>
        <v/>
      </c>
      <c r="C728" s="28" t="n"/>
      <c r="D728" s="28" t="n"/>
      <c r="E728" s="59">
        <f>IF(C728="","",IFERROR(INDEX('6. Base de Custos'!$M$8:$M$42,MATCH(C728,'6. Base de Custos'!$L$8:$L$42,0)),"Não classificado"))</f>
        <v/>
      </c>
      <c r="F728" s="111" t="n"/>
      <c r="G728" s="111" t="n"/>
      <c r="H728" s="111" t="n"/>
      <c r="I728" s="45" t="n"/>
      <c r="J728" s="28" t="n"/>
      <c r="K728" s="28" t="n"/>
      <c r="L728" s="28" t="n"/>
      <c r="M728" s="59">
        <f>IF(C728="","",IFERROR(INDEX('6. Base de Custos'!$N$8:$N$42,MATCH(C728,'6. Base de Custos'!$L$8:$L$42,0)),"Não classificado"))</f>
        <v/>
      </c>
      <c r="N728" s="59">
        <f>IF(C728="","",IFERROR(INDEX('6. Base de Custos'!$O$8:$O$42,MATCH(C728,'6. Base de Custos'!$L$8:$L$42,0)),"Revisar"))</f>
        <v/>
      </c>
      <c r="O728" s="60">
        <f>IF(M728="","",IFERROR(VLOOKUP(M728,'6. Base de Custos'!$H$12:$J$18,3,FALSE),0))</f>
        <v/>
      </c>
      <c r="P728" s="59">
        <f>IF(C728="","",IFERROR(INDEX('6. Base de Custos'!$P$8:$P$42,MATCH(C728,'6. Base de Custos'!$L$8:$L$42,0)),"Revisar"))</f>
        <v/>
      </c>
      <c r="Q728" s="59">
        <f>IF(C728="","",IFERROR(INDEX('6. Base de Custos'!$Q$8:$Q$42,MATCH(C728,'6. Base de Custos'!$L$8:$L$42,0)),""))</f>
        <v/>
      </c>
      <c r="R728" s="65">
        <f>IF(C728="","",IFERROR(VLOOKUP(M728&amp;"|"&amp;N728,'17. Mapa DRE CP'!$E$5:$H$100,2,FALSE),"Revisar"))</f>
        <v/>
      </c>
      <c r="S728" s="65">
        <f>IF(C728="","",IFERROR(VLOOKUP(M728&amp;"|"&amp;N728,'17. Mapa DRE CP'!$E$5:$H$100,3,FALSE),"Revisar"))</f>
        <v/>
      </c>
      <c r="T728" s="65">
        <f>IF(C728="","",IF(R728="(-) Custos diretos dos serviços",IF(ISNUMBER(SEARCH("PCMSO",C728)),"PCMSO",IF(OR(ISNUMBER(SEARCH("SGS",C728)),ISNUMBER(SEARCH("CASTRO NAVES",C728))),"Projetos / Laudos / Avulsos","Projetos / Laudos / Avulsos")),"Rateio pela receita bruta"))</f>
        <v/>
      </c>
      <c r="U728" s="65">
        <f>IF(C728="","",IF(R728="(-) Custos diretos dos serviços","Direto por fornecedor/natureza do gasto","Rateio proporcional à receita bruta da linha de serviço"))</f>
        <v/>
      </c>
    </row>
    <row r="729">
      <c r="A729" s="28">
        <f>IF(C729="","", "CP-"&amp;TEXT(ROW()-5,"000"))</f>
        <v/>
      </c>
      <c r="B729" s="27">
        <f>IF(F729="","",DATE(YEAR(F729),MONTH(F729),1))</f>
        <v/>
      </c>
      <c r="C729" s="28" t="n"/>
      <c r="D729" s="28" t="n"/>
      <c r="E729" s="59">
        <f>IF(C729="","",IFERROR(INDEX('6. Base de Custos'!$M$8:$M$42,MATCH(C729,'6. Base de Custos'!$L$8:$L$42,0)),"Não classificado"))</f>
        <v/>
      </c>
      <c r="F729" s="111" t="n"/>
      <c r="G729" s="111" t="n"/>
      <c r="H729" s="111" t="n"/>
      <c r="I729" s="45" t="n"/>
      <c r="J729" s="28" t="n"/>
      <c r="K729" s="28" t="n"/>
      <c r="L729" s="28" t="n"/>
      <c r="M729" s="59">
        <f>IF(C729="","",IFERROR(INDEX('6. Base de Custos'!$N$8:$N$42,MATCH(C729,'6. Base de Custos'!$L$8:$L$42,0)),"Não classificado"))</f>
        <v/>
      </c>
      <c r="N729" s="59">
        <f>IF(C729="","",IFERROR(INDEX('6. Base de Custos'!$O$8:$O$42,MATCH(C729,'6. Base de Custos'!$L$8:$L$42,0)),"Revisar"))</f>
        <v/>
      </c>
      <c r="O729" s="60">
        <f>IF(M729="","",IFERROR(VLOOKUP(M729,'6. Base de Custos'!$H$12:$J$18,3,FALSE),0))</f>
        <v/>
      </c>
      <c r="P729" s="59">
        <f>IF(C729="","",IFERROR(INDEX('6. Base de Custos'!$P$8:$P$42,MATCH(C729,'6. Base de Custos'!$L$8:$L$42,0)),"Revisar"))</f>
        <v/>
      </c>
      <c r="Q729" s="59">
        <f>IF(C729="","",IFERROR(INDEX('6. Base de Custos'!$Q$8:$Q$42,MATCH(C729,'6. Base de Custos'!$L$8:$L$42,0)),""))</f>
        <v/>
      </c>
      <c r="R729" s="65">
        <f>IF(C729="","",IFERROR(VLOOKUP(M729&amp;"|"&amp;N729,'17. Mapa DRE CP'!$E$5:$H$100,2,FALSE),"Revisar"))</f>
        <v/>
      </c>
      <c r="S729" s="65">
        <f>IF(C729="","",IFERROR(VLOOKUP(M729&amp;"|"&amp;N729,'17. Mapa DRE CP'!$E$5:$H$100,3,FALSE),"Revisar"))</f>
        <v/>
      </c>
      <c r="T729" s="65">
        <f>IF(C729="","",IF(R729="(-) Custos diretos dos serviços",IF(ISNUMBER(SEARCH("PCMSO",C729)),"PCMSO",IF(OR(ISNUMBER(SEARCH("SGS",C729)),ISNUMBER(SEARCH("CASTRO NAVES",C729))),"Projetos / Laudos / Avulsos","Projetos / Laudos / Avulsos")),"Rateio pela receita bruta"))</f>
        <v/>
      </c>
      <c r="U729" s="65">
        <f>IF(C729="","",IF(R729="(-) Custos diretos dos serviços","Direto por fornecedor/natureza do gasto","Rateio proporcional à receita bruta da linha de serviço"))</f>
        <v/>
      </c>
    </row>
    <row r="730">
      <c r="A730" s="28">
        <f>IF(C730="","", "CP-"&amp;TEXT(ROW()-5,"000"))</f>
        <v/>
      </c>
      <c r="B730" s="27">
        <f>IF(F730="","",DATE(YEAR(F730),MONTH(F730),1))</f>
        <v/>
      </c>
      <c r="C730" s="28" t="n"/>
      <c r="D730" s="28" t="n"/>
      <c r="E730" s="59">
        <f>IF(C730="","",IFERROR(INDEX('6. Base de Custos'!$M$8:$M$42,MATCH(C730,'6. Base de Custos'!$L$8:$L$42,0)),"Não classificado"))</f>
        <v/>
      </c>
      <c r="F730" s="111" t="n"/>
      <c r="G730" s="111" t="n"/>
      <c r="H730" s="111" t="n"/>
      <c r="I730" s="45" t="n"/>
      <c r="J730" s="28" t="n"/>
      <c r="K730" s="28" t="n"/>
      <c r="L730" s="28" t="n"/>
      <c r="M730" s="59">
        <f>IF(C730="","",IFERROR(INDEX('6. Base de Custos'!$N$8:$N$42,MATCH(C730,'6. Base de Custos'!$L$8:$L$42,0)),"Não classificado"))</f>
        <v/>
      </c>
      <c r="N730" s="59">
        <f>IF(C730="","",IFERROR(INDEX('6. Base de Custos'!$O$8:$O$42,MATCH(C730,'6. Base de Custos'!$L$8:$L$42,0)),"Revisar"))</f>
        <v/>
      </c>
      <c r="O730" s="60">
        <f>IF(M730="","",IFERROR(VLOOKUP(M730,'6. Base de Custos'!$H$12:$J$18,3,FALSE),0))</f>
        <v/>
      </c>
      <c r="P730" s="59">
        <f>IF(C730="","",IFERROR(INDEX('6. Base de Custos'!$P$8:$P$42,MATCH(C730,'6. Base de Custos'!$L$8:$L$42,0)),"Revisar"))</f>
        <v/>
      </c>
      <c r="Q730" s="59">
        <f>IF(C730="","",IFERROR(INDEX('6. Base de Custos'!$Q$8:$Q$42,MATCH(C730,'6. Base de Custos'!$L$8:$L$42,0)),""))</f>
        <v/>
      </c>
      <c r="R730" s="65">
        <f>IF(C730="","",IFERROR(VLOOKUP(M730&amp;"|"&amp;N730,'17. Mapa DRE CP'!$E$5:$H$100,2,FALSE),"Revisar"))</f>
        <v/>
      </c>
      <c r="S730" s="65">
        <f>IF(C730="","",IFERROR(VLOOKUP(M730&amp;"|"&amp;N730,'17. Mapa DRE CP'!$E$5:$H$100,3,FALSE),"Revisar"))</f>
        <v/>
      </c>
      <c r="T730" s="65">
        <f>IF(C730="","",IF(R730="(-) Custos diretos dos serviços",IF(ISNUMBER(SEARCH("PCMSO",C730)),"PCMSO",IF(OR(ISNUMBER(SEARCH("SGS",C730)),ISNUMBER(SEARCH("CASTRO NAVES",C730))),"Projetos / Laudos / Avulsos","Projetos / Laudos / Avulsos")),"Rateio pela receita bruta"))</f>
        <v/>
      </c>
      <c r="U730" s="65">
        <f>IF(C730="","",IF(R730="(-) Custos diretos dos serviços","Direto por fornecedor/natureza do gasto","Rateio proporcional à receita bruta da linha de serviço"))</f>
        <v/>
      </c>
    </row>
    <row r="731">
      <c r="A731" s="28">
        <f>IF(C731="","", "CP-"&amp;TEXT(ROW()-5,"000"))</f>
        <v/>
      </c>
      <c r="B731" s="27">
        <f>IF(F731="","",DATE(YEAR(F731),MONTH(F731),1))</f>
        <v/>
      </c>
      <c r="C731" s="28" t="n"/>
      <c r="D731" s="28" t="n"/>
      <c r="E731" s="59">
        <f>IF(C731="","",IFERROR(INDEX('6. Base de Custos'!$M$8:$M$42,MATCH(C731,'6. Base de Custos'!$L$8:$L$42,0)),"Não classificado"))</f>
        <v/>
      </c>
      <c r="F731" s="111" t="n"/>
      <c r="G731" s="111" t="n"/>
      <c r="H731" s="111" t="n"/>
      <c r="I731" s="45" t="n"/>
      <c r="J731" s="28" t="n"/>
      <c r="K731" s="28" t="n"/>
      <c r="L731" s="28" t="n"/>
      <c r="M731" s="59">
        <f>IF(C731="","",IFERROR(INDEX('6. Base de Custos'!$N$8:$N$42,MATCH(C731,'6. Base de Custos'!$L$8:$L$42,0)),"Não classificado"))</f>
        <v/>
      </c>
      <c r="N731" s="59">
        <f>IF(C731="","",IFERROR(INDEX('6. Base de Custos'!$O$8:$O$42,MATCH(C731,'6. Base de Custos'!$L$8:$L$42,0)),"Revisar"))</f>
        <v/>
      </c>
      <c r="O731" s="60">
        <f>IF(M731="","",IFERROR(VLOOKUP(M731,'6. Base de Custos'!$H$12:$J$18,3,FALSE),0))</f>
        <v/>
      </c>
      <c r="P731" s="59">
        <f>IF(C731="","",IFERROR(INDEX('6. Base de Custos'!$P$8:$P$42,MATCH(C731,'6. Base de Custos'!$L$8:$L$42,0)),"Revisar"))</f>
        <v/>
      </c>
      <c r="Q731" s="59">
        <f>IF(C731="","",IFERROR(INDEX('6. Base de Custos'!$Q$8:$Q$42,MATCH(C731,'6. Base de Custos'!$L$8:$L$42,0)),""))</f>
        <v/>
      </c>
      <c r="R731" s="65">
        <f>IF(C731="","",IFERROR(VLOOKUP(M731&amp;"|"&amp;N731,'17. Mapa DRE CP'!$E$5:$H$100,2,FALSE),"Revisar"))</f>
        <v/>
      </c>
      <c r="S731" s="65">
        <f>IF(C731="","",IFERROR(VLOOKUP(M731&amp;"|"&amp;N731,'17. Mapa DRE CP'!$E$5:$H$100,3,FALSE),"Revisar"))</f>
        <v/>
      </c>
      <c r="T731" s="65">
        <f>IF(C731="","",IF(R731="(-) Custos diretos dos serviços",IF(ISNUMBER(SEARCH("PCMSO",C731)),"PCMSO",IF(OR(ISNUMBER(SEARCH("SGS",C731)),ISNUMBER(SEARCH("CASTRO NAVES",C731))),"Projetos / Laudos / Avulsos","Projetos / Laudos / Avulsos")),"Rateio pela receita bruta"))</f>
        <v/>
      </c>
      <c r="U731" s="65">
        <f>IF(C731="","",IF(R731="(-) Custos diretos dos serviços","Direto por fornecedor/natureza do gasto","Rateio proporcional à receita bruta da linha de serviço"))</f>
        <v/>
      </c>
    </row>
    <row r="732">
      <c r="A732" s="28">
        <f>IF(C732="","", "CP-"&amp;TEXT(ROW()-5,"000"))</f>
        <v/>
      </c>
      <c r="B732" s="27">
        <f>IF(F732="","",DATE(YEAR(F732),MONTH(F732),1))</f>
        <v/>
      </c>
      <c r="C732" s="28" t="n"/>
      <c r="D732" s="28" t="n"/>
      <c r="E732" s="59">
        <f>IF(C732="","",IFERROR(INDEX('6. Base de Custos'!$M$8:$M$42,MATCH(C732,'6. Base de Custos'!$L$8:$L$42,0)),"Não classificado"))</f>
        <v/>
      </c>
      <c r="F732" s="111" t="n"/>
      <c r="G732" s="111" t="n"/>
      <c r="H732" s="111" t="n"/>
      <c r="I732" s="45" t="n"/>
      <c r="J732" s="28" t="n"/>
      <c r="K732" s="28" t="n"/>
      <c r="L732" s="28" t="n"/>
      <c r="M732" s="59">
        <f>IF(C732="","",IFERROR(INDEX('6. Base de Custos'!$N$8:$N$42,MATCH(C732,'6. Base de Custos'!$L$8:$L$42,0)),"Não classificado"))</f>
        <v/>
      </c>
      <c r="N732" s="59">
        <f>IF(C732="","",IFERROR(INDEX('6. Base de Custos'!$O$8:$O$42,MATCH(C732,'6. Base de Custos'!$L$8:$L$42,0)),"Revisar"))</f>
        <v/>
      </c>
      <c r="O732" s="60">
        <f>IF(M732="","",IFERROR(VLOOKUP(M732,'6. Base de Custos'!$H$12:$J$18,3,FALSE),0))</f>
        <v/>
      </c>
      <c r="P732" s="59">
        <f>IF(C732="","",IFERROR(INDEX('6. Base de Custos'!$P$8:$P$42,MATCH(C732,'6. Base de Custos'!$L$8:$L$42,0)),"Revisar"))</f>
        <v/>
      </c>
      <c r="Q732" s="59">
        <f>IF(C732="","",IFERROR(INDEX('6. Base de Custos'!$Q$8:$Q$42,MATCH(C732,'6. Base de Custos'!$L$8:$L$42,0)),""))</f>
        <v/>
      </c>
      <c r="R732" s="65">
        <f>IF(C732="","",IFERROR(VLOOKUP(M732&amp;"|"&amp;N732,'17. Mapa DRE CP'!$E$5:$H$100,2,FALSE),"Revisar"))</f>
        <v/>
      </c>
      <c r="S732" s="65">
        <f>IF(C732="","",IFERROR(VLOOKUP(M732&amp;"|"&amp;N732,'17. Mapa DRE CP'!$E$5:$H$100,3,FALSE),"Revisar"))</f>
        <v/>
      </c>
      <c r="T732" s="65">
        <f>IF(C732="","",IF(R732="(-) Custos diretos dos serviços",IF(ISNUMBER(SEARCH("PCMSO",C732)),"PCMSO",IF(OR(ISNUMBER(SEARCH("SGS",C732)),ISNUMBER(SEARCH("CASTRO NAVES",C732))),"Projetos / Laudos / Avulsos","Projetos / Laudos / Avulsos")),"Rateio pela receita bruta"))</f>
        <v/>
      </c>
      <c r="U732" s="65">
        <f>IF(C732="","",IF(R732="(-) Custos diretos dos serviços","Direto por fornecedor/natureza do gasto","Rateio proporcional à receita bruta da linha de serviço"))</f>
        <v/>
      </c>
    </row>
    <row r="733">
      <c r="A733" s="28">
        <f>IF(C733="","", "CP-"&amp;TEXT(ROW()-5,"000"))</f>
        <v/>
      </c>
      <c r="B733" s="27">
        <f>IF(F733="","",DATE(YEAR(F733),MONTH(F733),1))</f>
        <v/>
      </c>
      <c r="C733" s="28" t="n"/>
      <c r="D733" s="28" t="n"/>
      <c r="E733" s="59">
        <f>IF(C733="","",IFERROR(INDEX('6. Base de Custos'!$M$8:$M$42,MATCH(C733,'6. Base de Custos'!$L$8:$L$42,0)),"Não classificado"))</f>
        <v/>
      </c>
      <c r="F733" s="111" t="n"/>
      <c r="G733" s="111" t="n"/>
      <c r="H733" s="111" t="n"/>
      <c r="I733" s="45" t="n"/>
      <c r="J733" s="28" t="n"/>
      <c r="K733" s="28" t="n"/>
      <c r="L733" s="28" t="n"/>
      <c r="M733" s="59">
        <f>IF(C733="","",IFERROR(INDEX('6. Base de Custos'!$N$8:$N$42,MATCH(C733,'6. Base de Custos'!$L$8:$L$42,0)),"Não classificado"))</f>
        <v/>
      </c>
      <c r="N733" s="59">
        <f>IF(C733="","",IFERROR(INDEX('6. Base de Custos'!$O$8:$O$42,MATCH(C733,'6. Base de Custos'!$L$8:$L$42,0)),"Revisar"))</f>
        <v/>
      </c>
      <c r="O733" s="60">
        <f>IF(M733="","",IFERROR(VLOOKUP(M733,'6. Base de Custos'!$H$12:$J$18,3,FALSE),0))</f>
        <v/>
      </c>
      <c r="P733" s="59">
        <f>IF(C733="","",IFERROR(INDEX('6. Base de Custos'!$P$8:$P$42,MATCH(C733,'6. Base de Custos'!$L$8:$L$42,0)),"Revisar"))</f>
        <v/>
      </c>
      <c r="Q733" s="59">
        <f>IF(C733="","",IFERROR(INDEX('6. Base de Custos'!$Q$8:$Q$42,MATCH(C733,'6. Base de Custos'!$L$8:$L$42,0)),""))</f>
        <v/>
      </c>
      <c r="R733" s="65">
        <f>IF(C733="","",IFERROR(VLOOKUP(M733&amp;"|"&amp;N733,'17. Mapa DRE CP'!$E$5:$H$100,2,FALSE),"Revisar"))</f>
        <v/>
      </c>
      <c r="S733" s="65">
        <f>IF(C733="","",IFERROR(VLOOKUP(M733&amp;"|"&amp;N733,'17. Mapa DRE CP'!$E$5:$H$100,3,FALSE),"Revisar"))</f>
        <v/>
      </c>
      <c r="T733" s="65">
        <f>IF(C733="","",IF(R733="(-) Custos diretos dos serviços",IF(ISNUMBER(SEARCH("PCMSO",C733)),"PCMSO",IF(OR(ISNUMBER(SEARCH("SGS",C733)),ISNUMBER(SEARCH("CASTRO NAVES",C733))),"Projetos / Laudos / Avulsos","Projetos / Laudos / Avulsos")),"Rateio pela receita bruta"))</f>
        <v/>
      </c>
      <c r="U733" s="65">
        <f>IF(C733="","",IF(R733="(-) Custos diretos dos serviços","Direto por fornecedor/natureza do gasto","Rateio proporcional à receita bruta da linha de serviço"))</f>
        <v/>
      </c>
    </row>
    <row r="734">
      <c r="A734" s="28">
        <f>IF(C734="","", "CP-"&amp;TEXT(ROW()-5,"000"))</f>
        <v/>
      </c>
      <c r="B734" s="27">
        <f>IF(F734="","",DATE(YEAR(F734),MONTH(F734),1))</f>
        <v/>
      </c>
      <c r="C734" s="28" t="n"/>
      <c r="D734" s="28" t="n"/>
      <c r="E734" s="59">
        <f>IF(C734="","",IFERROR(INDEX('6. Base de Custos'!$M$8:$M$42,MATCH(C734,'6. Base de Custos'!$L$8:$L$42,0)),"Não classificado"))</f>
        <v/>
      </c>
      <c r="F734" s="111" t="n"/>
      <c r="G734" s="111" t="n"/>
      <c r="H734" s="111" t="n"/>
      <c r="I734" s="45" t="n"/>
      <c r="J734" s="28" t="n"/>
      <c r="K734" s="28" t="n"/>
      <c r="L734" s="28" t="n"/>
      <c r="M734" s="59">
        <f>IF(C734="","",IFERROR(INDEX('6. Base de Custos'!$N$8:$N$42,MATCH(C734,'6. Base de Custos'!$L$8:$L$42,0)),"Não classificado"))</f>
        <v/>
      </c>
      <c r="N734" s="59">
        <f>IF(C734="","",IFERROR(INDEX('6. Base de Custos'!$O$8:$O$42,MATCH(C734,'6. Base de Custos'!$L$8:$L$42,0)),"Revisar"))</f>
        <v/>
      </c>
      <c r="O734" s="60">
        <f>IF(M734="","",IFERROR(VLOOKUP(M734,'6. Base de Custos'!$H$12:$J$18,3,FALSE),0))</f>
        <v/>
      </c>
      <c r="P734" s="59">
        <f>IF(C734="","",IFERROR(INDEX('6. Base de Custos'!$P$8:$P$42,MATCH(C734,'6. Base de Custos'!$L$8:$L$42,0)),"Revisar"))</f>
        <v/>
      </c>
      <c r="Q734" s="59">
        <f>IF(C734="","",IFERROR(INDEX('6. Base de Custos'!$Q$8:$Q$42,MATCH(C734,'6. Base de Custos'!$L$8:$L$42,0)),""))</f>
        <v/>
      </c>
      <c r="R734" s="65">
        <f>IF(C734="","",IFERROR(VLOOKUP(M734&amp;"|"&amp;N734,'17. Mapa DRE CP'!$E$5:$H$100,2,FALSE),"Revisar"))</f>
        <v/>
      </c>
      <c r="S734" s="65">
        <f>IF(C734="","",IFERROR(VLOOKUP(M734&amp;"|"&amp;N734,'17. Mapa DRE CP'!$E$5:$H$100,3,FALSE),"Revisar"))</f>
        <v/>
      </c>
      <c r="T734" s="65">
        <f>IF(C734="","",IF(R734="(-) Custos diretos dos serviços",IF(ISNUMBER(SEARCH("PCMSO",C734)),"PCMSO",IF(OR(ISNUMBER(SEARCH("SGS",C734)),ISNUMBER(SEARCH("CASTRO NAVES",C734))),"Projetos / Laudos / Avulsos","Projetos / Laudos / Avulsos")),"Rateio pela receita bruta"))</f>
        <v/>
      </c>
      <c r="U734" s="65">
        <f>IF(C734="","",IF(R734="(-) Custos diretos dos serviços","Direto por fornecedor/natureza do gasto","Rateio proporcional à receita bruta da linha de serviço"))</f>
        <v/>
      </c>
    </row>
    <row r="735">
      <c r="A735" s="28">
        <f>IF(C735="","", "CP-"&amp;TEXT(ROW()-5,"000"))</f>
        <v/>
      </c>
      <c r="B735" s="27">
        <f>IF(F735="","",DATE(YEAR(F735),MONTH(F735),1))</f>
        <v/>
      </c>
      <c r="C735" s="28" t="n"/>
      <c r="D735" s="28" t="n"/>
      <c r="E735" s="59">
        <f>IF(C735="","",IFERROR(INDEX('6. Base de Custos'!$M$8:$M$42,MATCH(C735,'6. Base de Custos'!$L$8:$L$42,0)),"Não classificado"))</f>
        <v/>
      </c>
      <c r="F735" s="111" t="n"/>
      <c r="G735" s="111" t="n"/>
      <c r="H735" s="111" t="n"/>
      <c r="I735" s="45" t="n"/>
      <c r="J735" s="28" t="n"/>
      <c r="K735" s="28" t="n"/>
      <c r="L735" s="28" t="n"/>
      <c r="M735" s="59">
        <f>IF(C735="","",IFERROR(INDEX('6. Base de Custos'!$N$8:$N$42,MATCH(C735,'6. Base de Custos'!$L$8:$L$42,0)),"Não classificado"))</f>
        <v/>
      </c>
      <c r="N735" s="59">
        <f>IF(C735="","",IFERROR(INDEX('6. Base de Custos'!$O$8:$O$42,MATCH(C735,'6. Base de Custos'!$L$8:$L$42,0)),"Revisar"))</f>
        <v/>
      </c>
      <c r="O735" s="60">
        <f>IF(M735="","",IFERROR(VLOOKUP(M735,'6. Base de Custos'!$H$12:$J$18,3,FALSE),0))</f>
        <v/>
      </c>
      <c r="P735" s="59">
        <f>IF(C735="","",IFERROR(INDEX('6. Base de Custos'!$P$8:$P$42,MATCH(C735,'6. Base de Custos'!$L$8:$L$42,0)),"Revisar"))</f>
        <v/>
      </c>
      <c r="Q735" s="59">
        <f>IF(C735="","",IFERROR(INDEX('6. Base de Custos'!$Q$8:$Q$42,MATCH(C735,'6. Base de Custos'!$L$8:$L$42,0)),""))</f>
        <v/>
      </c>
      <c r="R735" s="65">
        <f>IF(C735="","",IFERROR(VLOOKUP(M735&amp;"|"&amp;N735,'17. Mapa DRE CP'!$E$5:$H$100,2,FALSE),"Revisar"))</f>
        <v/>
      </c>
      <c r="S735" s="65">
        <f>IF(C735="","",IFERROR(VLOOKUP(M735&amp;"|"&amp;N735,'17. Mapa DRE CP'!$E$5:$H$100,3,FALSE),"Revisar"))</f>
        <v/>
      </c>
      <c r="T735" s="65">
        <f>IF(C735="","",IF(R735="(-) Custos diretos dos serviços",IF(ISNUMBER(SEARCH("PCMSO",C735)),"PCMSO",IF(OR(ISNUMBER(SEARCH("SGS",C735)),ISNUMBER(SEARCH("CASTRO NAVES",C735))),"Projetos / Laudos / Avulsos","Projetos / Laudos / Avulsos")),"Rateio pela receita bruta"))</f>
        <v/>
      </c>
      <c r="U735" s="65">
        <f>IF(C735="","",IF(R735="(-) Custos diretos dos serviços","Direto por fornecedor/natureza do gasto","Rateio proporcional à receita bruta da linha de serviço"))</f>
        <v/>
      </c>
    </row>
    <row r="736">
      <c r="A736" s="28">
        <f>IF(C736="","", "CP-"&amp;TEXT(ROW()-5,"000"))</f>
        <v/>
      </c>
      <c r="B736" s="27">
        <f>IF(F736="","",DATE(YEAR(F736),MONTH(F736),1))</f>
        <v/>
      </c>
      <c r="C736" s="28" t="n"/>
      <c r="D736" s="28" t="n"/>
      <c r="E736" s="59">
        <f>IF(C736="","",IFERROR(INDEX('6. Base de Custos'!$M$8:$M$42,MATCH(C736,'6. Base de Custos'!$L$8:$L$42,0)),"Não classificado"))</f>
        <v/>
      </c>
      <c r="F736" s="111" t="n"/>
      <c r="G736" s="111" t="n"/>
      <c r="H736" s="111" t="n"/>
      <c r="I736" s="45" t="n"/>
      <c r="J736" s="28" t="n"/>
      <c r="K736" s="28" t="n"/>
      <c r="L736" s="28" t="n"/>
      <c r="M736" s="59">
        <f>IF(C736="","",IFERROR(INDEX('6. Base de Custos'!$N$8:$N$42,MATCH(C736,'6. Base de Custos'!$L$8:$L$42,0)),"Não classificado"))</f>
        <v/>
      </c>
      <c r="N736" s="59">
        <f>IF(C736="","",IFERROR(INDEX('6. Base de Custos'!$O$8:$O$42,MATCH(C736,'6. Base de Custos'!$L$8:$L$42,0)),"Revisar"))</f>
        <v/>
      </c>
      <c r="O736" s="60">
        <f>IF(M736="","",IFERROR(VLOOKUP(M736,'6. Base de Custos'!$H$12:$J$18,3,FALSE),0))</f>
        <v/>
      </c>
      <c r="P736" s="59">
        <f>IF(C736="","",IFERROR(INDEX('6. Base de Custos'!$P$8:$P$42,MATCH(C736,'6. Base de Custos'!$L$8:$L$42,0)),"Revisar"))</f>
        <v/>
      </c>
      <c r="Q736" s="59">
        <f>IF(C736="","",IFERROR(INDEX('6. Base de Custos'!$Q$8:$Q$42,MATCH(C736,'6. Base de Custos'!$L$8:$L$42,0)),""))</f>
        <v/>
      </c>
      <c r="R736" s="65">
        <f>IF(C736="","",IFERROR(VLOOKUP(M736&amp;"|"&amp;N736,'17. Mapa DRE CP'!$E$5:$H$100,2,FALSE),"Revisar"))</f>
        <v/>
      </c>
      <c r="S736" s="65">
        <f>IF(C736="","",IFERROR(VLOOKUP(M736&amp;"|"&amp;N736,'17. Mapa DRE CP'!$E$5:$H$100,3,FALSE),"Revisar"))</f>
        <v/>
      </c>
      <c r="T736" s="65">
        <f>IF(C736="","",IF(R736="(-) Custos diretos dos serviços",IF(ISNUMBER(SEARCH("PCMSO",C736)),"PCMSO",IF(OR(ISNUMBER(SEARCH("SGS",C736)),ISNUMBER(SEARCH("CASTRO NAVES",C736))),"Projetos / Laudos / Avulsos","Projetos / Laudos / Avulsos")),"Rateio pela receita bruta"))</f>
        <v/>
      </c>
      <c r="U736" s="65">
        <f>IF(C736="","",IF(R736="(-) Custos diretos dos serviços","Direto por fornecedor/natureza do gasto","Rateio proporcional à receita bruta da linha de serviço"))</f>
        <v/>
      </c>
    </row>
    <row r="737">
      <c r="A737" s="28">
        <f>IF(C737="","", "CP-"&amp;TEXT(ROW()-5,"000"))</f>
        <v/>
      </c>
      <c r="B737" s="27">
        <f>IF(F737="","",DATE(YEAR(F737),MONTH(F737),1))</f>
        <v/>
      </c>
      <c r="C737" s="28" t="n"/>
      <c r="D737" s="28" t="n"/>
      <c r="E737" s="59">
        <f>IF(C737="","",IFERROR(INDEX('6. Base de Custos'!$M$8:$M$42,MATCH(C737,'6. Base de Custos'!$L$8:$L$42,0)),"Não classificado"))</f>
        <v/>
      </c>
      <c r="F737" s="111" t="n"/>
      <c r="G737" s="111" t="n"/>
      <c r="H737" s="111" t="n"/>
      <c r="I737" s="45" t="n"/>
      <c r="J737" s="28" t="n"/>
      <c r="K737" s="28" t="n"/>
      <c r="L737" s="28" t="n"/>
      <c r="M737" s="59">
        <f>IF(C737="","",IFERROR(INDEX('6. Base de Custos'!$N$8:$N$42,MATCH(C737,'6. Base de Custos'!$L$8:$L$42,0)),"Não classificado"))</f>
        <v/>
      </c>
      <c r="N737" s="59">
        <f>IF(C737="","",IFERROR(INDEX('6. Base de Custos'!$O$8:$O$42,MATCH(C737,'6. Base de Custos'!$L$8:$L$42,0)),"Revisar"))</f>
        <v/>
      </c>
      <c r="O737" s="60">
        <f>IF(M737="","",IFERROR(VLOOKUP(M737,'6. Base de Custos'!$H$12:$J$18,3,FALSE),0))</f>
        <v/>
      </c>
      <c r="P737" s="59">
        <f>IF(C737="","",IFERROR(INDEX('6. Base de Custos'!$P$8:$P$42,MATCH(C737,'6. Base de Custos'!$L$8:$L$42,0)),"Revisar"))</f>
        <v/>
      </c>
      <c r="Q737" s="59">
        <f>IF(C737="","",IFERROR(INDEX('6. Base de Custos'!$Q$8:$Q$42,MATCH(C737,'6. Base de Custos'!$L$8:$L$42,0)),""))</f>
        <v/>
      </c>
      <c r="R737" s="65">
        <f>IF(C737="","",IFERROR(VLOOKUP(M737&amp;"|"&amp;N737,'17. Mapa DRE CP'!$E$5:$H$100,2,FALSE),"Revisar"))</f>
        <v/>
      </c>
      <c r="S737" s="65">
        <f>IF(C737="","",IFERROR(VLOOKUP(M737&amp;"|"&amp;N737,'17. Mapa DRE CP'!$E$5:$H$100,3,FALSE),"Revisar"))</f>
        <v/>
      </c>
      <c r="T737" s="65">
        <f>IF(C737="","",IF(R737="(-) Custos diretos dos serviços",IF(ISNUMBER(SEARCH("PCMSO",C737)),"PCMSO",IF(OR(ISNUMBER(SEARCH("SGS",C737)),ISNUMBER(SEARCH("CASTRO NAVES",C737))),"Projetos / Laudos / Avulsos","Projetos / Laudos / Avulsos")),"Rateio pela receita bruta"))</f>
        <v/>
      </c>
      <c r="U737" s="65">
        <f>IF(C737="","",IF(R737="(-) Custos diretos dos serviços","Direto por fornecedor/natureza do gasto","Rateio proporcional à receita bruta da linha de serviço"))</f>
        <v/>
      </c>
    </row>
    <row r="738">
      <c r="A738" s="28">
        <f>IF(C738="","", "CP-"&amp;TEXT(ROW()-5,"000"))</f>
        <v/>
      </c>
      <c r="B738" s="27">
        <f>IF(F738="","",DATE(YEAR(F738),MONTH(F738),1))</f>
        <v/>
      </c>
      <c r="C738" s="28" t="n"/>
      <c r="D738" s="28" t="n"/>
      <c r="E738" s="59">
        <f>IF(C738="","",IFERROR(INDEX('6. Base de Custos'!$M$8:$M$42,MATCH(C738,'6. Base de Custos'!$L$8:$L$42,0)),"Não classificado"))</f>
        <v/>
      </c>
      <c r="F738" s="111" t="n"/>
      <c r="G738" s="111" t="n"/>
      <c r="H738" s="111" t="n"/>
      <c r="I738" s="45" t="n"/>
      <c r="J738" s="28" t="n"/>
      <c r="K738" s="28" t="n"/>
      <c r="L738" s="28" t="n"/>
      <c r="M738" s="59">
        <f>IF(C738="","",IFERROR(INDEX('6. Base de Custos'!$N$8:$N$42,MATCH(C738,'6. Base de Custos'!$L$8:$L$42,0)),"Não classificado"))</f>
        <v/>
      </c>
      <c r="N738" s="59">
        <f>IF(C738="","",IFERROR(INDEX('6. Base de Custos'!$O$8:$O$42,MATCH(C738,'6. Base de Custos'!$L$8:$L$42,0)),"Revisar"))</f>
        <v/>
      </c>
      <c r="O738" s="60">
        <f>IF(M738="","",IFERROR(VLOOKUP(M738,'6. Base de Custos'!$H$12:$J$18,3,FALSE),0))</f>
        <v/>
      </c>
      <c r="P738" s="59">
        <f>IF(C738="","",IFERROR(INDEX('6. Base de Custos'!$P$8:$P$42,MATCH(C738,'6. Base de Custos'!$L$8:$L$42,0)),"Revisar"))</f>
        <v/>
      </c>
      <c r="Q738" s="59">
        <f>IF(C738="","",IFERROR(INDEX('6. Base de Custos'!$Q$8:$Q$42,MATCH(C738,'6. Base de Custos'!$L$8:$L$42,0)),""))</f>
        <v/>
      </c>
      <c r="R738" s="65">
        <f>IF(C738="","",IFERROR(VLOOKUP(M738&amp;"|"&amp;N738,'17. Mapa DRE CP'!$E$5:$H$100,2,FALSE),"Revisar"))</f>
        <v/>
      </c>
      <c r="S738" s="65">
        <f>IF(C738="","",IFERROR(VLOOKUP(M738&amp;"|"&amp;N738,'17. Mapa DRE CP'!$E$5:$H$100,3,FALSE),"Revisar"))</f>
        <v/>
      </c>
      <c r="T738" s="65">
        <f>IF(C738="","",IF(R738="(-) Custos diretos dos serviços",IF(ISNUMBER(SEARCH("PCMSO",C738)),"PCMSO",IF(OR(ISNUMBER(SEARCH("SGS",C738)),ISNUMBER(SEARCH("CASTRO NAVES",C738))),"Projetos / Laudos / Avulsos","Projetos / Laudos / Avulsos")),"Rateio pela receita bruta"))</f>
        <v/>
      </c>
      <c r="U738" s="65">
        <f>IF(C738="","",IF(R738="(-) Custos diretos dos serviços","Direto por fornecedor/natureza do gasto","Rateio proporcional à receita bruta da linha de serviço"))</f>
        <v/>
      </c>
    </row>
    <row r="739">
      <c r="A739" s="28">
        <f>IF(C739="","", "CP-"&amp;TEXT(ROW()-5,"000"))</f>
        <v/>
      </c>
      <c r="B739" s="27">
        <f>IF(F739="","",DATE(YEAR(F739),MONTH(F739),1))</f>
        <v/>
      </c>
      <c r="C739" s="28" t="n"/>
      <c r="D739" s="28" t="n"/>
      <c r="E739" s="59">
        <f>IF(C739="","",IFERROR(INDEX('6. Base de Custos'!$M$8:$M$42,MATCH(C739,'6. Base de Custos'!$L$8:$L$42,0)),"Não classificado"))</f>
        <v/>
      </c>
      <c r="F739" s="111" t="n"/>
      <c r="G739" s="111" t="n"/>
      <c r="H739" s="111" t="n"/>
      <c r="I739" s="45" t="n"/>
      <c r="J739" s="28" t="n"/>
      <c r="K739" s="28" t="n"/>
      <c r="L739" s="28" t="n"/>
      <c r="M739" s="59">
        <f>IF(C739="","",IFERROR(INDEX('6. Base de Custos'!$N$8:$N$42,MATCH(C739,'6. Base de Custos'!$L$8:$L$42,0)),"Não classificado"))</f>
        <v/>
      </c>
      <c r="N739" s="59">
        <f>IF(C739="","",IFERROR(INDEX('6. Base de Custos'!$O$8:$O$42,MATCH(C739,'6. Base de Custos'!$L$8:$L$42,0)),"Revisar"))</f>
        <v/>
      </c>
      <c r="O739" s="60">
        <f>IF(M739="","",IFERROR(VLOOKUP(M739,'6. Base de Custos'!$H$12:$J$18,3,FALSE),0))</f>
        <v/>
      </c>
      <c r="P739" s="59">
        <f>IF(C739="","",IFERROR(INDEX('6. Base de Custos'!$P$8:$P$42,MATCH(C739,'6. Base de Custos'!$L$8:$L$42,0)),"Revisar"))</f>
        <v/>
      </c>
      <c r="Q739" s="59">
        <f>IF(C739="","",IFERROR(INDEX('6. Base de Custos'!$Q$8:$Q$42,MATCH(C739,'6. Base de Custos'!$L$8:$L$42,0)),""))</f>
        <v/>
      </c>
      <c r="R739" s="65">
        <f>IF(C739="","",IFERROR(VLOOKUP(M739&amp;"|"&amp;N739,'17. Mapa DRE CP'!$E$5:$H$100,2,FALSE),"Revisar"))</f>
        <v/>
      </c>
      <c r="S739" s="65">
        <f>IF(C739="","",IFERROR(VLOOKUP(M739&amp;"|"&amp;N739,'17. Mapa DRE CP'!$E$5:$H$100,3,FALSE),"Revisar"))</f>
        <v/>
      </c>
      <c r="T739" s="65">
        <f>IF(C739="","",IF(R739="(-) Custos diretos dos serviços",IF(ISNUMBER(SEARCH("PCMSO",C739)),"PCMSO",IF(OR(ISNUMBER(SEARCH("SGS",C739)),ISNUMBER(SEARCH("CASTRO NAVES",C739))),"Projetos / Laudos / Avulsos","Projetos / Laudos / Avulsos")),"Rateio pela receita bruta"))</f>
        <v/>
      </c>
      <c r="U739" s="65">
        <f>IF(C739="","",IF(R739="(-) Custos diretos dos serviços","Direto por fornecedor/natureza do gasto","Rateio proporcional à receita bruta da linha de serviço"))</f>
        <v/>
      </c>
    </row>
    <row r="740">
      <c r="A740" s="28">
        <f>IF(C740="","", "CP-"&amp;TEXT(ROW()-5,"000"))</f>
        <v/>
      </c>
      <c r="B740" s="27">
        <f>IF(F740="","",DATE(YEAR(F740),MONTH(F740),1))</f>
        <v/>
      </c>
      <c r="C740" s="28" t="n"/>
      <c r="D740" s="28" t="n"/>
      <c r="E740" s="59">
        <f>IF(C740="","",IFERROR(INDEX('6. Base de Custos'!$M$8:$M$42,MATCH(C740,'6. Base de Custos'!$L$8:$L$42,0)),"Não classificado"))</f>
        <v/>
      </c>
      <c r="F740" s="111" t="n"/>
      <c r="G740" s="111" t="n"/>
      <c r="H740" s="111" t="n"/>
      <c r="I740" s="45" t="n"/>
      <c r="J740" s="28" t="n"/>
      <c r="K740" s="28" t="n"/>
      <c r="L740" s="28" t="n"/>
      <c r="M740" s="59">
        <f>IF(C740="","",IFERROR(INDEX('6. Base de Custos'!$N$8:$N$42,MATCH(C740,'6. Base de Custos'!$L$8:$L$42,0)),"Não classificado"))</f>
        <v/>
      </c>
      <c r="N740" s="59">
        <f>IF(C740="","",IFERROR(INDEX('6. Base de Custos'!$O$8:$O$42,MATCH(C740,'6. Base de Custos'!$L$8:$L$42,0)),"Revisar"))</f>
        <v/>
      </c>
      <c r="O740" s="60">
        <f>IF(M740="","",IFERROR(VLOOKUP(M740,'6. Base de Custos'!$H$12:$J$18,3,FALSE),0))</f>
        <v/>
      </c>
      <c r="P740" s="59">
        <f>IF(C740="","",IFERROR(INDEX('6. Base de Custos'!$P$8:$P$42,MATCH(C740,'6. Base de Custos'!$L$8:$L$42,0)),"Revisar"))</f>
        <v/>
      </c>
      <c r="Q740" s="59">
        <f>IF(C740="","",IFERROR(INDEX('6. Base de Custos'!$Q$8:$Q$42,MATCH(C740,'6. Base de Custos'!$L$8:$L$42,0)),""))</f>
        <v/>
      </c>
      <c r="R740" s="65">
        <f>IF(C740="","",IFERROR(VLOOKUP(M740&amp;"|"&amp;N740,'17. Mapa DRE CP'!$E$5:$H$100,2,FALSE),"Revisar"))</f>
        <v/>
      </c>
      <c r="S740" s="65">
        <f>IF(C740="","",IFERROR(VLOOKUP(M740&amp;"|"&amp;N740,'17. Mapa DRE CP'!$E$5:$H$100,3,FALSE),"Revisar"))</f>
        <v/>
      </c>
      <c r="T740" s="65">
        <f>IF(C740="","",IF(R740="(-) Custos diretos dos serviços",IF(ISNUMBER(SEARCH("PCMSO",C740)),"PCMSO",IF(OR(ISNUMBER(SEARCH("SGS",C740)),ISNUMBER(SEARCH("CASTRO NAVES",C740))),"Projetos / Laudos / Avulsos","Projetos / Laudos / Avulsos")),"Rateio pela receita bruta"))</f>
        <v/>
      </c>
      <c r="U740" s="65">
        <f>IF(C740="","",IF(R740="(-) Custos diretos dos serviços","Direto por fornecedor/natureza do gasto","Rateio proporcional à receita bruta da linha de serviço"))</f>
        <v/>
      </c>
    </row>
    <row r="741">
      <c r="A741" s="28">
        <f>IF(C741="","", "CP-"&amp;TEXT(ROW()-5,"000"))</f>
        <v/>
      </c>
      <c r="B741" s="27">
        <f>IF(F741="","",DATE(YEAR(F741),MONTH(F741),1))</f>
        <v/>
      </c>
      <c r="C741" s="28" t="n"/>
      <c r="D741" s="28" t="n"/>
      <c r="E741" s="59">
        <f>IF(C741="","",IFERROR(INDEX('6. Base de Custos'!$M$8:$M$42,MATCH(C741,'6. Base de Custos'!$L$8:$L$42,0)),"Não classificado"))</f>
        <v/>
      </c>
      <c r="F741" s="111" t="n"/>
      <c r="G741" s="111" t="n"/>
      <c r="H741" s="111" t="n"/>
      <c r="I741" s="45" t="n"/>
      <c r="J741" s="28" t="n"/>
      <c r="K741" s="28" t="n"/>
      <c r="L741" s="28" t="n"/>
      <c r="M741" s="59">
        <f>IF(C741="","",IFERROR(INDEX('6. Base de Custos'!$N$8:$N$42,MATCH(C741,'6. Base de Custos'!$L$8:$L$42,0)),"Não classificado"))</f>
        <v/>
      </c>
      <c r="N741" s="59">
        <f>IF(C741="","",IFERROR(INDEX('6. Base de Custos'!$O$8:$O$42,MATCH(C741,'6. Base de Custos'!$L$8:$L$42,0)),"Revisar"))</f>
        <v/>
      </c>
      <c r="O741" s="60">
        <f>IF(M741="","",IFERROR(VLOOKUP(M741,'6. Base de Custos'!$H$12:$J$18,3,FALSE),0))</f>
        <v/>
      </c>
      <c r="P741" s="59">
        <f>IF(C741="","",IFERROR(INDEX('6. Base de Custos'!$P$8:$P$42,MATCH(C741,'6. Base de Custos'!$L$8:$L$42,0)),"Revisar"))</f>
        <v/>
      </c>
      <c r="Q741" s="59">
        <f>IF(C741="","",IFERROR(INDEX('6. Base de Custos'!$Q$8:$Q$42,MATCH(C741,'6. Base de Custos'!$L$8:$L$42,0)),""))</f>
        <v/>
      </c>
      <c r="R741" s="65">
        <f>IF(C741="","",IFERROR(VLOOKUP(M741&amp;"|"&amp;N741,'17. Mapa DRE CP'!$E$5:$H$100,2,FALSE),"Revisar"))</f>
        <v/>
      </c>
      <c r="S741" s="65">
        <f>IF(C741="","",IFERROR(VLOOKUP(M741&amp;"|"&amp;N741,'17. Mapa DRE CP'!$E$5:$H$100,3,FALSE),"Revisar"))</f>
        <v/>
      </c>
      <c r="T741" s="65">
        <f>IF(C741="","",IF(R741="(-) Custos diretos dos serviços",IF(ISNUMBER(SEARCH("PCMSO",C741)),"PCMSO",IF(OR(ISNUMBER(SEARCH("SGS",C741)),ISNUMBER(SEARCH("CASTRO NAVES",C741))),"Projetos / Laudos / Avulsos","Projetos / Laudos / Avulsos")),"Rateio pela receita bruta"))</f>
        <v/>
      </c>
      <c r="U741" s="65">
        <f>IF(C741="","",IF(R741="(-) Custos diretos dos serviços","Direto por fornecedor/natureza do gasto","Rateio proporcional à receita bruta da linha de serviço"))</f>
        <v/>
      </c>
    </row>
    <row r="742">
      <c r="A742" s="28">
        <f>IF(C742="","", "CP-"&amp;TEXT(ROW()-5,"000"))</f>
        <v/>
      </c>
      <c r="B742" s="27">
        <f>IF(F742="","",DATE(YEAR(F742),MONTH(F742),1))</f>
        <v/>
      </c>
      <c r="C742" s="28" t="n"/>
      <c r="D742" s="28" t="n"/>
      <c r="E742" s="59">
        <f>IF(C742="","",IFERROR(INDEX('6. Base de Custos'!$M$8:$M$42,MATCH(C742,'6. Base de Custos'!$L$8:$L$42,0)),"Não classificado"))</f>
        <v/>
      </c>
      <c r="F742" s="111" t="n"/>
      <c r="G742" s="111" t="n"/>
      <c r="H742" s="111" t="n"/>
      <c r="I742" s="45" t="n"/>
      <c r="J742" s="28" t="n"/>
      <c r="K742" s="28" t="n"/>
      <c r="L742" s="28" t="n"/>
      <c r="M742" s="59">
        <f>IF(C742="","",IFERROR(INDEX('6. Base de Custos'!$N$8:$N$42,MATCH(C742,'6. Base de Custos'!$L$8:$L$42,0)),"Não classificado"))</f>
        <v/>
      </c>
      <c r="N742" s="59">
        <f>IF(C742="","",IFERROR(INDEX('6. Base de Custos'!$O$8:$O$42,MATCH(C742,'6. Base de Custos'!$L$8:$L$42,0)),"Revisar"))</f>
        <v/>
      </c>
      <c r="O742" s="60">
        <f>IF(M742="","",IFERROR(VLOOKUP(M742,'6. Base de Custos'!$H$12:$J$18,3,FALSE),0))</f>
        <v/>
      </c>
      <c r="P742" s="59">
        <f>IF(C742="","",IFERROR(INDEX('6. Base de Custos'!$P$8:$P$42,MATCH(C742,'6. Base de Custos'!$L$8:$L$42,0)),"Revisar"))</f>
        <v/>
      </c>
      <c r="Q742" s="59">
        <f>IF(C742="","",IFERROR(INDEX('6. Base de Custos'!$Q$8:$Q$42,MATCH(C742,'6. Base de Custos'!$L$8:$L$42,0)),""))</f>
        <v/>
      </c>
      <c r="R742" s="65">
        <f>IF(C742="","",IFERROR(VLOOKUP(M742&amp;"|"&amp;N742,'17. Mapa DRE CP'!$E$5:$H$100,2,FALSE),"Revisar"))</f>
        <v/>
      </c>
      <c r="S742" s="65">
        <f>IF(C742="","",IFERROR(VLOOKUP(M742&amp;"|"&amp;N742,'17. Mapa DRE CP'!$E$5:$H$100,3,FALSE),"Revisar"))</f>
        <v/>
      </c>
      <c r="T742" s="65">
        <f>IF(C742="","",IF(R742="(-) Custos diretos dos serviços",IF(ISNUMBER(SEARCH("PCMSO",C742)),"PCMSO",IF(OR(ISNUMBER(SEARCH("SGS",C742)),ISNUMBER(SEARCH("CASTRO NAVES",C742))),"Projetos / Laudos / Avulsos","Projetos / Laudos / Avulsos")),"Rateio pela receita bruta"))</f>
        <v/>
      </c>
      <c r="U742" s="65">
        <f>IF(C742="","",IF(R742="(-) Custos diretos dos serviços","Direto por fornecedor/natureza do gasto","Rateio proporcional à receita bruta da linha de serviço"))</f>
        <v/>
      </c>
    </row>
    <row r="743">
      <c r="A743" s="28">
        <f>IF(C743="","", "CP-"&amp;TEXT(ROW()-5,"000"))</f>
        <v/>
      </c>
      <c r="B743" s="27">
        <f>IF(F743="","",DATE(YEAR(F743),MONTH(F743),1))</f>
        <v/>
      </c>
      <c r="C743" s="28" t="n"/>
      <c r="D743" s="28" t="n"/>
      <c r="E743" s="59">
        <f>IF(C743="","",IFERROR(INDEX('6. Base de Custos'!$M$8:$M$42,MATCH(C743,'6. Base de Custos'!$L$8:$L$42,0)),"Não classificado"))</f>
        <v/>
      </c>
      <c r="F743" s="111" t="n"/>
      <c r="G743" s="111" t="n"/>
      <c r="H743" s="111" t="n"/>
      <c r="I743" s="45" t="n"/>
      <c r="J743" s="28" t="n"/>
      <c r="K743" s="28" t="n"/>
      <c r="L743" s="28" t="n"/>
      <c r="M743" s="59">
        <f>IF(C743="","",IFERROR(INDEX('6. Base de Custos'!$N$8:$N$42,MATCH(C743,'6. Base de Custos'!$L$8:$L$42,0)),"Não classificado"))</f>
        <v/>
      </c>
      <c r="N743" s="59">
        <f>IF(C743="","",IFERROR(INDEX('6. Base de Custos'!$O$8:$O$42,MATCH(C743,'6. Base de Custos'!$L$8:$L$42,0)),"Revisar"))</f>
        <v/>
      </c>
      <c r="O743" s="60">
        <f>IF(M743="","",IFERROR(VLOOKUP(M743,'6. Base de Custos'!$H$12:$J$18,3,FALSE),0))</f>
        <v/>
      </c>
      <c r="P743" s="59">
        <f>IF(C743="","",IFERROR(INDEX('6. Base de Custos'!$P$8:$P$42,MATCH(C743,'6. Base de Custos'!$L$8:$L$42,0)),"Revisar"))</f>
        <v/>
      </c>
      <c r="Q743" s="59">
        <f>IF(C743="","",IFERROR(INDEX('6. Base de Custos'!$Q$8:$Q$42,MATCH(C743,'6. Base de Custos'!$L$8:$L$42,0)),""))</f>
        <v/>
      </c>
      <c r="R743" s="65">
        <f>IF(C743="","",IFERROR(VLOOKUP(M743&amp;"|"&amp;N743,'17. Mapa DRE CP'!$E$5:$H$100,2,FALSE),"Revisar"))</f>
        <v/>
      </c>
      <c r="S743" s="65">
        <f>IF(C743="","",IFERROR(VLOOKUP(M743&amp;"|"&amp;N743,'17. Mapa DRE CP'!$E$5:$H$100,3,FALSE),"Revisar"))</f>
        <v/>
      </c>
      <c r="T743" s="65">
        <f>IF(C743="","",IF(R743="(-) Custos diretos dos serviços",IF(ISNUMBER(SEARCH("PCMSO",C743)),"PCMSO",IF(OR(ISNUMBER(SEARCH("SGS",C743)),ISNUMBER(SEARCH("CASTRO NAVES",C743))),"Projetos / Laudos / Avulsos","Projetos / Laudos / Avulsos")),"Rateio pela receita bruta"))</f>
        <v/>
      </c>
      <c r="U743" s="65">
        <f>IF(C743="","",IF(R743="(-) Custos diretos dos serviços","Direto por fornecedor/natureza do gasto","Rateio proporcional à receita bruta da linha de serviço"))</f>
        <v/>
      </c>
    </row>
    <row r="744">
      <c r="A744" s="28">
        <f>IF(C744="","", "CP-"&amp;TEXT(ROW()-5,"000"))</f>
        <v/>
      </c>
      <c r="B744" s="27">
        <f>IF(F744="","",DATE(YEAR(F744),MONTH(F744),1))</f>
        <v/>
      </c>
      <c r="C744" s="28" t="n"/>
      <c r="D744" s="28" t="n"/>
      <c r="E744" s="59">
        <f>IF(C744="","",IFERROR(INDEX('6. Base de Custos'!$M$8:$M$42,MATCH(C744,'6. Base de Custos'!$L$8:$L$42,0)),"Não classificado"))</f>
        <v/>
      </c>
      <c r="F744" s="111" t="n"/>
      <c r="G744" s="111" t="n"/>
      <c r="H744" s="111" t="n"/>
      <c r="I744" s="45" t="n"/>
      <c r="J744" s="28" t="n"/>
      <c r="K744" s="28" t="n"/>
      <c r="L744" s="28" t="n"/>
      <c r="M744" s="59">
        <f>IF(C744="","",IFERROR(INDEX('6. Base de Custos'!$N$8:$N$42,MATCH(C744,'6. Base de Custos'!$L$8:$L$42,0)),"Não classificado"))</f>
        <v/>
      </c>
      <c r="N744" s="59">
        <f>IF(C744="","",IFERROR(INDEX('6. Base de Custos'!$O$8:$O$42,MATCH(C744,'6. Base de Custos'!$L$8:$L$42,0)),"Revisar"))</f>
        <v/>
      </c>
      <c r="O744" s="60">
        <f>IF(M744="","",IFERROR(VLOOKUP(M744,'6. Base de Custos'!$H$12:$J$18,3,FALSE),0))</f>
        <v/>
      </c>
      <c r="P744" s="59">
        <f>IF(C744="","",IFERROR(INDEX('6. Base de Custos'!$P$8:$P$42,MATCH(C744,'6. Base de Custos'!$L$8:$L$42,0)),"Revisar"))</f>
        <v/>
      </c>
      <c r="Q744" s="59">
        <f>IF(C744="","",IFERROR(INDEX('6. Base de Custos'!$Q$8:$Q$42,MATCH(C744,'6. Base de Custos'!$L$8:$L$42,0)),""))</f>
        <v/>
      </c>
      <c r="R744" s="65">
        <f>IF(C744="","",IFERROR(VLOOKUP(M744&amp;"|"&amp;N744,'17. Mapa DRE CP'!$E$5:$H$100,2,FALSE),"Revisar"))</f>
        <v/>
      </c>
      <c r="S744" s="65">
        <f>IF(C744="","",IFERROR(VLOOKUP(M744&amp;"|"&amp;N744,'17. Mapa DRE CP'!$E$5:$H$100,3,FALSE),"Revisar"))</f>
        <v/>
      </c>
      <c r="T744" s="65">
        <f>IF(C744="","",IF(R744="(-) Custos diretos dos serviços",IF(ISNUMBER(SEARCH("PCMSO",C744)),"PCMSO",IF(OR(ISNUMBER(SEARCH("SGS",C744)),ISNUMBER(SEARCH("CASTRO NAVES",C744))),"Projetos / Laudos / Avulsos","Projetos / Laudos / Avulsos")),"Rateio pela receita bruta"))</f>
        <v/>
      </c>
      <c r="U744" s="65">
        <f>IF(C744="","",IF(R744="(-) Custos diretos dos serviços","Direto por fornecedor/natureza do gasto","Rateio proporcional à receita bruta da linha de serviço"))</f>
        <v/>
      </c>
    </row>
    <row r="745">
      <c r="A745" s="28">
        <f>IF(C745="","", "CP-"&amp;TEXT(ROW()-5,"000"))</f>
        <v/>
      </c>
      <c r="B745" s="27">
        <f>IF(F745="","",DATE(YEAR(F745),MONTH(F745),1))</f>
        <v/>
      </c>
      <c r="C745" s="28" t="n"/>
      <c r="D745" s="28" t="n"/>
      <c r="E745" s="59">
        <f>IF(C745="","",IFERROR(INDEX('6. Base de Custos'!$M$8:$M$42,MATCH(C745,'6. Base de Custos'!$L$8:$L$42,0)),"Não classificado"))</f>
        <v/>
      </c>
      <c r="F745" s="111" t="n"/>
      <c r="G745" s="111" t="n"/>
      <c r="H745" s="111" t="n"/>
      <c r="I745" s="45" t="n"/>
      <c r="J745" s="28" t="n"/>
      <c r="K745" s="28" t="n"/>
      <c r="L745" s="28" t="n"/>
      <c r="M745" s="59">
        <f>IF(C745="","",IFERROR(INDEX('6. Base de Custos'!$N$8:$N$42,MATCH(C745,'6. Base de Custos'!$L$8:$L$42,0)),"Não classificado"))</f>
        <v/>
      </c>
      <c r="N745" s="59">
        <f>IF(C745="","",IFERROR(INDEX('6. Base de Custos'!$O$8:$O$42,MATCH(C745,'6. Base de Custos'!$L$8:$L$42,0)),"Revisar"))</f>
        <v/>
      </c>
      <c r="O745" s="60">
        <f>IF(M745="","",IFERROR(VLOOKUP(M745,'6. Base de Custos'!$H$12:$J$18,3,FALSE),0))</f>
        <v/>
      </c>
      <c r="P745" s="59">
        <f>IF(C745="","",IFERROR(INDEX('6. Base de Custos'!$P$8:$P$42,MATCH(C745,'6. Base de Custos'!$L$8:$L$42,0)),"Revisar"))</f>
        <v/>
      </c>
      <c r="Q745" s="59">
        <f>IF(C745="","",IFERROR(INDEX('6. Base de Custos'!$Q$8:$Q$42,MATCH(C745,'6. Base de Custos'!$L$8:$L$42,0)),""))</f>
        <v/>
      </c>
      <c r="R745" s="65">
        <f>IF(C745="","",IFERROR(VLOOKUP(M745&amp;"|"&amp;N745,'17. Mapa DRE CP'!$E$5:$H$100,2,FALSE),"Revisar"))</f>
        <v/>
      </c>
      <c r="S745" s="65">
        <f>IF(C745="","",IFERROR(VLOOKUP(M745&amp;"|"&amp;N745,'17. Mapa DRE CP'!$E$5:$H$100,3,FALSE),"Revisar"))</f>
        <v/>
      </c>
      <c r="T745" s="65">
        <f>IF(C745="","",IF(R745="(-) Custos diretos dos serviços",IF(ISNUMBER(SEARCH("PCMSO",C745)),"PCMSO",IF(OR(ISNUMBER(SEARCH("SGS",C745)),ISNUMBER(SEARCH("CASTRO NAVES",C745))),"Projetos / Laudos / Avulsos","Projetos / Laudos / Avulsos")),"Rateio pela receita bruta"))</f>
        <v/>
      </c>
      <c r="U745" s="65">
        <f>IF(C745="","",IF(R745="(-) Custos diretos dos serviços","Direto por fornecedor/natureza do gasto","Rateio proporcional à receita bruta da linha de serviço"))</f>
        <v/>
      </c>
    </row>
    <row r="746">
      <c r="A746" s="28">
        <f>IF(C746="","", "CP-"&amp;TEXT(ROW()-5,"000"))</f>
        <v/>
      </c>
      <c r="B746" s="27">
        <f>IF(F746="","",DATE(YEAR(F746),MONTH(F746),1))</f>
        <v/>
      </c>
      <c r="C746" s="28" t="n"/>
      <c r="D746" s="28" t="n"/>
      <c r="E746" s="59">
        <f>IF(C746="","",IFERROR(INDEX('6. Base de Custos'!$M$8:$M$42,MATCH(C746,'6. Base de Custos'!$L$8:$L$42,0)),"Não classificado"))</f>
        <v/>
      </c>
      <c r="F746" s="111" t="n"/>
      <c r="G746" s="111" t="n"/>
      <c r="H746" s="111" t="n"/>
      <c r="I746" s="45" t="n"/>
      <c r="J746" s="28" t="n"/>
      <c r="K746" s="28" t="n"/>
      <c r="L746" s="28" t="n"/>
      <c r="M746" s="59">
        <f>IF(C746="","",IFERROR(INDEX('6. Base de Custos'!$N$8:$N$42,MATCH(C746,'6. Base de Custos'!$L$8:$L$42,0)),"Não classificado"))</f>
        <v/>
      </c>
      <c r="N746" s="59">
        <f>IF(C746="","",IFERROR(INDEX('6. Base de Custos'!$O$8:$O$42,MATCH(C746,'6. Base de Custos'!$L$8:$L$42,0)),"Revisar"))</f>
        <v/>
      </c>
      <c r="O746" s="60">
        <f>IF(M746="","",IFERROR(VLOOKUP(M746,'6. Base de Custos'!$H$12:$J$18,3,FALSE),0))</f>
        <v/>
      </c>
      <c r="P746" s="59">
        <f>IF(C746="","",IFERROR(INDEX('6. Base de Custos'!$P$8:$P$42,MATCH(C746,'6. Base de Custos'!$L$8:$L$42,0)),"Revisar"))</f>
        <v/>
      </c>
      <c r="Q746" s="59">
        <f>IF(C746="","",IFERROR(INDEX('6. Base de Custos'!$Q$8:$Q$42,MATCH(C746,'6. Base de Custos'!$L$8:$L$42,0)),""))</f>
        <v/>
      </c>
      <c r="R746" s="65">
        <f>IF(C746="","",IFERROR(VLOOKUP(M746&amp;"|"&amp;N746,'17. Mapa DRE CP'!$E$5:$H$100,2,FALSE),"Revisar"))</f>
        <v/>
      </c>
      <c r="S746" s="65">
        <f>IF(C746="","",IFERROR(VLOOKUP(M746&amp;"|"&amp;N746,'17. Mapa DRE CP'!$E$5:$H$100,3,FALSE),"Revisar"))</f>
        <v/>
      </c>
      <c r="T746" s="65">
        <f>IF(C746="","",IF(R746="(-) Custos diretos dos serviços",IF(ISNUMBER(SEARCH("PCMSO",C746)),"PCMSO",IF(OR(ISNUMBER(SEARCH("SGS",C746)),ISNUMBER(SEARCH("CASTRO NAVES",C746))),"Projetos / Laudos / Avulsos","Projetos / Laudos / Avulsos")),"Rateio pela receita bruta"))</f>
        <v/>
      </c>
      <c r="U746" s="65">
        <f>IF(C746="","",IF(R746="(-) Custos diretos dos serviços","Direto por fornecedor/natureza do gasto","Rateio proporcional à receita bruta da linha de serviço"))</f>
        <v/>
      </c>
    </row>
    <row r="747">
      <c r="A747" s="28">
        <f>IF(C747="","", "CP-"&amp;TEXT(ROW()-5,"000"))</f>
        <v/>
      </c>
      <c r="B747" s="27">
        <f>IF(F747="","",DATE(YEAR(F747),MONTH(F747),1))</f>
        <v/>
      </c>
      <c r="C747" s="28" t="n"/>
      <c r="D747" s="28" t="n"/>
      <c r="E747" s="59">
        <f>IF(C747="","",IFERROR(INDEX('6. Base de Custos'!$M$8:$M$42,MATCH(C747,'6. Base de Custos'!$L$8:$L$42,0)),"Não classificado"))</f>
        <v/>
      </c>
      <c r="F747" s="111" t="n"/>
      <c r="G747" s="111" t="n"/>
      <c r="H747" s="111" t="n"/>
      <c r="I747" s="45" t="n"/>
      <c r="J747" s="28" t="n"/>
      <c r="K747" s="28" t="n"/>
      <c r="L747" s="28" t="n"/>
      <c r="M747" s="59">
        <f>IF(C747="","",IFERROR(INDEX('6. Base de Custos'!$N$8:$N$42,MATCH(C747,'6. Base de Custos'!$L$8:$L$42,0)),"Não classificado"))</f>
        <v/>
      </c>
      <c r="N747" s="59">
        <f>IF(C747="","",IFERROR(INDEX('6. Base de Custos'!$O$8:$O$42,MATCH(C747,'6. Base de Custos'!$L$8:$L$42,0)),"Revisar"))</f>
        <v/>
      </c>
      <c r="O747" s="60">
        <f>IF(M747="","",IFERROR(VLOOKUP(M747,'6. Base de Custos'!$H$12:$J$18,3,FALSE),0))</f>
        <v/>
      </c>
      <c r="P747" s="59">
        <f>IF(C747="","",IFERROR(INDEX('6. Base de Custos'!$P$8:$P$42,MATCH(C747,'6. Base de Custos'!$L$8:$L$42,0)),"Revisar"))</f>
        <v/>
      </c>
      <c r="Q747" s="59">
        <f>IF(C747="","",IFERROR(INDEX('6. Base de Custos'!$Q$8:$Q$42,MATCH(C747,'6. Base de Custos'!$L$8:$L$42,0)),""))</f>
        <v/>
      </c>
      <c r="R747" s="65">
        <f>IF(C747="","",IFERROR(VLOOKUP(M747&amp;"|"&amp;N747,'17. Mapa DRE CP'!$E$5:$H$100,2,FALSE),"Revisar"))</f>
        <v/>
      </c>
      <c r="S747" s="65">
        <f>IF(C747="","",IFERROR(VLOOKUP(M747&amp;"|"&amp;N747,'17. Mapa DRE CP'!$E$5:$H$100,3,FALSE),"Revisar"))</f>
        <v/>
      </c>
      <c r="T747" s="65">
        <f>IF(C747="","",IF(R747="(-) Custos diretos dos serviços",IF(ISNUMBER(SEARCH("PCMSO",C747)),"PCMSO",IF(OR(ISNUMBER(SEARCH("SGS",C747)),ISNUMBER(SEARCH("CASTRO NAVES",C747))),"Projetos / Laudos / Avulsos","Projetos / Laudos / Avulsos")),"Rateio pela receita bruta"))</f>
        <v/>
      </c>
      <c r="U747" s="65">
        <f>IF(C747="","",IF(R747="(-) Custos diretos dos serviços","Direto por fornecedor/natureza do gasto","Rateio proporcional à receita bruta da linha de serviço"))</f>
        <v/>
      </c>
    </row>
    <row r="748">
      <c r="A748" s="28">
        <f>IF(C748="","", "CP-"&amp;TEXT(ROW()-5,"000"))</f>
        <v/>
      </c>
      <c r="B748" s="27">
        <f>IF(F748="","",DATE(YEAR(F748),MONTH(F748),1))</f>
        <v/>
      </c>
      <c r="C748" s="28" t="n"/>
      <c r="D748" s="28" t="n"/>
      <c r="E748" s="59">
        <f>IF(C748="","",IFERROR(INDEX('6. Base de Custos'!$M$8:$M$42,MATCH(C748,'6. Base de Custos'!$L$8:$L$42,0)),"Não classificado"))</f>
        <v/>
      </c>
      <c r="F748" s="111" t="n"/>
      <c r="G748" s="111" t="n"/>
      <c r="H748" s="111" t="n"/>
      <c r="I748" s="45" t="n"/>
      <c r="J748" s="28" t="n"/>
      <c r="K748" s="28" t="n"/>
      <c r="L748" s="28" t="n"/>
      <c r="M748" s="59">
        <f>IF(C748="","",IFERROR(INDEX('6. Base de Custos'!$N$8:$N$42,MATCH(C748,'6. Base de Custos'!$L$8:$L$42,0)),"Não classificado"))</f>
        <v/>
      </c>
      <c r="N748" s="59">
        <f>IF(C748="","",IFERROR(INDEX('6. Base de Custos'!$O$8:$O$42,MATCH(C748,'6. Base de Custos'!$L$8:$L$42,0)),"Revisar"))</f>
        <v/>
      </c>
      <c r="O748" s="60">
        <f>IF(M748="","",IFERROR(VLOOKUP(M748,'6. Base de Custos'!$H$12:$J$18,3,FALSE),0))</f>
        <v/>
      </c>
      <c r="P748" s="59">
        <f>IF(C748="","",IFERROR(INDEX('6. Base de Custos'!$P$8:$P$42,MATCH(C748,'6. Base de Custos'!$L$8:$L$42,0)),"Revisar"))</f>
        <v/>
      </c>
      <c r="Q748" s="59">
        <f>IF(C748="","",IFERROR(INDEX('6. Base de Custos'!$Q$8:$Q$42,MATCH(C748,'6. Base de Custos'!$L$8:$L$42,0)),""))</f>
        <v/>
      </c>
      <c r="R748" s="65">
        <f>IF(C748="","",IFERROR(VLOOKUP(M748&amp;"|"&amp;N748,'17. Mapa DRE CP'!$E$5:$H$100,2,FALSE),"Revisar"))</f>
        <v/>
      </c>
      <c r="S748" s="65">
        <f>IF(C748="","",IFERROR(VLOOKUP(M748&amp;"|"&amp;N748,'17. Mapa DRE CP'!$E$5:$H$100,3,FALSE),"Revisar"))</f>
        <v/>
      </c>
      <c r="T748" s="65">
        <f>IF(C748="","",IF(R748="(-) Custos diretos dos serviços",IF(ISNUMBER(SEARCH("PCMSO",C748)),"PCMSO",IF(OR(ISNUMBER(SEARCH("SGS",C748)),ISNUMBER(SEARCH("CASTRO NAVES",C748))),"Projetos / Laudos / Avulsos","Projetos / Laudos / Avulsos")),"Rateio pela receita bruta"))</f>
        <v/>
      </c>
      <c r="U748" s="65">
        <f>IF(C748="","",IF(R748="(-) Custos diretos dos serviços","Direto por fornecedor/natureza do gasto","Rateio proporcional à receita bruta da linha de serviço"))</f>
        <v/>
      </c>
    </row>
    <row r="749">
      <c r="A749" s="28">
        <f>IF(C749="","", "CP-"&amp;TEXT(ROW()-5,"000"))</f>
        <v/>
      </c>
      <c r="B749" s="27">
        <f>IF(F749="","",DATE(YEAR(F749),MONTH(F749),1))</f>
        <v/>
      </c>
      <c r="C749" s="28" t="n"/>
      <c r="D749" s="28" t="n"/>
      <c r="E749" s="59">
        <f>IF(C749="","",IFERROR(INDEX('6. Base de Custos'!$M$8:$M$42,MATCH(C749,'6. Base de Custos'!$L$8:$L$42,0)),"Não classificado"))</f>
        <v/>
      </c>
      <c r="F749" s="111" t="n"/>
      <c r="G749" s="111" t="n"/>
      <c r="H749" s="111" t="n"/>
      <c r="I749" s="45" t="n"/>
      <c r="J749" s="28" t="n"/>
      <c r="K749" s="28" t="n"/>
      <c r="L749" s="28" t="n"/>
      <c r="M749" s="59">
        <f>IF(C749="","",IFERROR(INDEX('6. Base de Custos'!$N$8:$N$42,MATCH(C749,'6. Base de Custos'!$L$8:$L$42,0)),"Não classificado"))</f>
        <v/>
      </c>
      <c r="N749" s="59">
        <f>IF(C749="","",IFERROR(INDEX('6. Base de Custos'!$O$8:$O$42,MATCH(C749,'6. Base de Custos'!$L$8:$L$42,0)),"Revisar"))</f>
        <v/>
      </c>
      <c r="O749" s="60">
        <f>IF(M749="","",IFERROR(VLOOKUP(M749,'6. Base de Custos'!$H$12:$J$18,3,FALSE),0))</f>
        <v/>
      </c>
      <c r="P749" s="59">
        <f>IF(C749="","",IFERROR(INDEX('6. Base de Custos'!$P$8:$P$42,MATCH(C749,'6. Base de Custos'!$L$8:$L$42,0)),"Revisar"))</f>
        <v/>
      </c>
      <c r="Q749" s="59">
        <f>IF(C749="","",IFERROR(INDEX('6. Base de Custos'!$Q$8:$Q$42,MATCH(C749,'6. Base de Custos'!$L$8:$L$42,0)),""))</f>
        <v/>
      </c>
      <c r="R749" s="65">
        <f>IF(C749="","",IFERROR(VLOOKUP(M749&amp;"|"&amp;N749,'17. Mapa DRE CP'!$E$5:$H$100,2,FALSE),"Revisar"))</f>
        <v/>
      </c>
      <c r="S749" s="65">
        <f>IF(C749="","",IFERROR(VLOOKUP(M749&amp;"|"&amp;N749,'17. Mapa DRE CP'!$E$5:$H$100,3,FALSE),"Revisar"))</f>
        <v/>
      </c>
      <c r="T749" s="65">
        <f>IF(C749="","",IF(R749="(-) Custos diretos dos serviços",IF(ISNUMBER(SEARCH("PCMSO",C749)),"PCMSO",IF(OR(ISNUMBER(SEARCH("SGS",C749)),ISNUMBER(SEARCH("CASTRO NAVES",C749))),"Projetos / Laudos / Avulsos","Projetos / Laudos / Avulsos")),"Rateio pela receita bruta"))</f>
        <v/>
      </c>
      <c r="U749" s="65">
        <f>IF(C749="","",IF(R749="(-) Custos diretos dos serviços","Direto por fornecedor/natureza do gasto","Rateio proporcional à receita bruta da linha de serviço"))</f>
        <v/>
      </c>
    </row>
    <row r="750">
      <c r="A750" s="28">
        <f>IF(C750="","", "CP-"&amp;TEXT(ROW()-5,"000"))</f>
        <v/>
      </c>
      <c r="B750" s="27">
        <f>IF(F750="","",DATE(YEAR(F750),MONTH(F750),1))</f>
        <v/>
      </c>
      <c r="C750" s="28" t="n"/>
      <c r="D750" s="28" t="n"/>
      <c r="E750" s="59">
        <f>IF(C750="","",IFERROR(INDEX('6. Base de Custos'!$M$8:$M$42,MATCH(C750,'6. Base de Custos'!$L$8:$L$42,0)),"Não classificado"))</f>
        <v/>
      </c>
      <c r="F750" s="111" t="n"/>
      <c r="G750" s="111" t="n"/>
      <c r="H750" s="111" t="n"/>
      <c r="I750" s="45" t="n"/>
      <c r="J750" s="28" t="n"/>
      <c r="K750" s="28" t="n"/>
      <c r="L750" s="28" t="n"/>
      <c r="M750" s="59">
        <f>IF(C750="","",IFERROR(INDEX('6. Base de Custos'!$N$8:$N$42,MATCH(C750,'6. Base de Custos'!$L$8:$L$42,0)),"Não classificado"))</f>
        <v/>
      </c>
      <c r="N750" s="59">
        <f>IF(C750="","",IFERROR(INDEX('6. Base de Custos'!$O$8:$O$42,MATCH(C750,'6. Base de Custos'!$L$8:$L$42,0)),"Revisar"))</f>
        <v/>
      </c>
      <c r="O750" s="60">
        <f>IF(M750="","",IFERROR(VLOOKUP(M750,'6. Base de Custos'!$H$12:$J$18,3,FALSE),0))</f>
        <v/>
      </c>
      <c r="P750" s="59">
        <f>IF(C750="","",IFERROR(INDEX('6. Base de Custos'!$P$8:$P$42,MATCH(C750,'6. Base de Custos'!$L$8:$L$42,0)),"Revisar"))</f>
        <v/>
      </c>
      <c r="Q750" s="59">
        <f>IF(C750="","",IFERROR(INDEX('6. Base de Custos'!$Q$8:$Q$42,MATCH(C750,'6. Base de Custos'!$L$8:$L$42,0)),""))</f>
        <v/>
      </c>
      <c r="R750" s="65">
        <f>IF(C750="","",IFERROR(VLOOKUP(M750&amp;"|"&amp;N750,'17. Mapa DRE CP'!$E$5:$H$100,2,FALSE),"Revisar"))</f>
        <v/>
      </c>
      <c r="S750" s="65">
        <f>IF(C750="","",IFERROR(VLOOKUP(M750&amp;"|"&amp;N750,'17. Mapa DRE CP'!$E$5:$H$100,3,FALSE),"Revisar"))</f>
        <v/>
      </c>
      <c r="T750" s="65">
        <f>IF(C750="","",IF(R750="(-) Custos diretos dos serviços",IF(ISNUMBER(SEARCH("PCMSO",C750)),"PCMSO",IF(OR(ISNUMBER(SEARCH("SGS",C750)),ISNUMBER(SEARCH("CASTRO NAVES",C750))),"Projetos / Laudos / Avulsos","Projetos / Laudos / Avulsos")),"Rateio pela receita bruta"))</f>
        <v/>
      </c>
      <c r="U750" s="65">
        <f>IF(C750="","",IF(R750="(-) Custos diretos dos serviços","Direto por fornecedor/natureza do gasto","Rateio proporcional à receita bruta da linha de serviço"))</f>
        <v/>
      </c>
    </row>
    <row r="751">
      <c r="A751" s="28">
        <f>IF(C751="","", "CP-"&amp;TEXT(ROW()-5,"000"))</f>
        <v/>
      </c>
      <c r="B751" s="27">
        <f>IF(F751="","",DATE(YEAR(F751),MONTH(F751),1))</f>
        <v/>
      </c>
      <c r="C751" s="28" t="n"/>
      <c r="D751" s="28" t="n"/>
      <c r="E751" s="59">
        <f>IF(C751="","",IFERROR(INDEX('6. Base de Custos'!$M$8:$M$42,MATCH(C751,'6. Base de Custos'!$L$8:$L$42,0)),"Não classificado"))</f>
        <v/>
      </c>
      <c r="F751" s="111" t="n"/>
      <c r="G751" s="111" t="n"/>
      <c r="H751" s="111" t="n"/>
      <c r="I751" s="45" t="n"/>
      <c r="J751" s="28" t="n"/>
      <c r="K751" s="28" t="n"/>
      <c r="L751" s="28" t="n"/>
      <c r="M751" s="59">
        <f>IF(C751="","",IFERROR(INDEX('6. Base de Custos'!$N$8:$N$42,MATCH(C751,'6. Base de Custos'!$L$8:$L$42,0)),"Não classificado"))</f>
        <v/>
      </c>
      <c r="N751" s="59">
        <f>IF(C751="","",IFERROR(INDEX('6. Base de Custos'!$O$8:$O$42,MATCH(C751,'6. Base de Custos'!$L$8:$L$42,0)),"Revisar"))</f>
        <v/>
      </c>
      <c r="O751" s="60">
        <f>IF(M751="","",IFERROR(VLOOKUP(M751,'6. Base de Custos'!$H$12:$J$18,3,FALSE),0))</f>
        <v/>
      </c>
      <c r="P751" s="59">
        <f>IF(C751="","",IFERROR(INDEX('6. Base de Custos'!$P$8:$P$42,MATCH(C751,'6. Base de Custos'!$L$8:$L$42,0)),"Revisar"))</f>
        <v/>
      </c>
      <c r="Q751" s="59">
        <f>IF(C751="","",IFERROR(INDEX('6. Base de Custos'!$Q$8:$Q$42,MATCH(C751,'6. Base de Custos'!$L$8:$L$42,0)),""))</f>
        <v/>
      </c>
      <c r="R751" s="65">
        <f>IF(C751="","",IFERROR(VLOOKUP(M751&amp;"|"&amp;N751,'17. Mapa DRE CP'!$E$5:$H$100,2,FALSE),"Revisar"))</f>
        <v/>
      </c>
      <c r="S751" s="65">
        <f>IF(C751="","",IFERROR(VLOOKUP(M751&amp;"|"&amp;N751,'17. Mapa DRE CP'!$E$5:$H$100,3,FALSE),"Revisar"))</f>
        <v/>
      </c>
      <c r="T751" s="65">
        <f>IF(C751="","",IF(R751="(-) Custos diretos dos serviços",IF(ISNUMBER(SEARCH("PCMSO",C751)),"PCMSO",IF(OR(ISNUMBER(SEARCH("SGS",C751)),ISNUMBER(SEARCH("CASTRO NAVES",C751))),"Projetos / Laudos / Avulsos","Projetos / Laudos / Avulsos")),"Rateio pela receita bruta"))</f>
        <v/>
      </c>
      <c r="U751" s="65">
        <f>IF(C751="","",IF(R751="(-) Custos diretos dos serviços","Direto por fornecedor/natureza do gasto","Rateio proporcional à receita bruta da linha de serviço"))</f>
        <v/>
      </c>
    </row>
    <row r="752">
      <c r="A752" s="28">
        <f>IF(C752="","", "CP-"&amp;TEXT(ROW()-5,"000"))</f>
        <v/>
      </c>
      <c r="B752" s="27">
        <f>IF(F752="","",DATE(YEAR(F752),MONTH(F752),1))</f>
        <v/>
      </c>
      <c r="C752" s="28" t="n"/>
      <c r="D752" s="28" t="n"/>
      <c r="E752" s="59">
        <f>IF(C752="","",IFERROR(INDEX('6. Base de Custos'!$M$8:$M$42,MATCH(C752,'6. Base de Custos'!$L$8:$L$42,0)),"Não classificado"))</f>
        <v/>
      </c>
      <c r="F752" s="111" t="n"/>
      <c r="G752" s="111" t="n"/>
      <c r="H752" s="111" t="n"/>
      <c r="I752" s="45" t="n"/>
      <c r="J752" s="28" t="n"/>
      <c r="K752" s="28" t="n"/>
      <c r="L752" s="28" t="n"/>
      <c r="M752" s="59">
        <f>IF(C752="","",IFERROR(INDEX('6. Base de Custos'!$N$8:$N$42,MATCH(C752,'6. Base de Custos'!$L$8:$L$42,0)),"Não classificado"))</f>
        <v/>
      </c>
      <c r="N752" s="59">
        <f>IF(C752="","",IFERROR(INDEX('6. Base de Custos'!$O$8:$O$42,MATCH(C752,'6. Base de Custos'!$L$8:$L$42,0)),"Revisar"))</f>
        <v/>
      </c>
      <c r="O752" s="60">
        <f>IF(M752="","",IFERROR(VLOOKUP(M752,'6. Base de Custos'!$H$12:$J$18,3,FALSE),0))</f>
        <v/>
      </c>
      <c r="P752" s="59">
        <f>IF(C752="","",IFERROR(INDEX('6. Base de Custos'!$P$8:$P$42,MATCH(C752,'6. Base de Custos'!$L$8:$L$42,0)),"Revisar"))</f>
        <v/>
      </c>
      <c r="Q752" s="59">
        <f>IF(C752="","",IFERROR(INDEX('6. Base de Custos'!$Q$8:$Q$42,MATCH(C752,'6. Base de Custos'!$L$8:$L$42,0)),""))</f>
        <v/>
      </c>
      <c r="R752" s="65">
        <f>IF(C752="","",IFERROR(VLOOKUP(M752&amp;"|"&amp;N752,'17. Mapa DRE CP'!$E$5:$H$100,2,FALSE),"Revisar"))</f>
        <v/>
      </c>
      <c r="S752" s="65">
        <f>IF(C752="","",IFERROR(VLOOKUP(M752&amp;"|"&amp;N752,'17. Mapa DRE CP'!$E$5:$H$100,3,FALSE),"Revisar"))</f>
        <v/>
      </c>
      <c r="T752" s="65">
        <f>IF(C752="","",IF(R752="(-) Custos diretos dos serviços",IF(ISNUMBER(SEARCH("PCMSO",C752)),"PCMSO",IF(OR(ISNUMBER(SEARCH("SGS",C752)),ISNUMBER(SEARCH("CASTRO NAVES",C752))),"Projetos / Laudos / Avulsos","Projetos / Laudos / Avulsos")),"Rateio pela receita bruta"))</f>
        <v/>
      </c>
      <c r="U752" s="65">
        <f>IF(C752="","",IF(R752="(-) Custos diretos dos serviços","Direto por fornecedor/natureza do gasto","Rateio proporcional à receita bruta da linha de serviço"))</f>
        <v/>
      </c>
    </row>
    <row r="753">
      <c r="A753" s="28">
        <f>IF(C753="","", "CP-"&amp;TEXT(ROW()-5,"000"))</f>
        <v/>
      </c>
      <c r="B753" s="27">
        <f>IF(F753="","",DATE(YEAR(F753),MONTH(F753),1))</f>
        <v/>
      </c>
      <c r="C753" s="28" t="n"/>
      <c r="D753" s="28" t="n"/>
      <c r="E753" s="59">
        <f>IF(C753="","",IFERROR(INDEX('6. Base de Custos'!$M$8:$M$42,MATCH(C753,'6. Base de Custos'!$L$8:$L$42,0)),"Não classificado"))</f>
        <v/>
      </c>
      <c r="F753" s="111" t="n"/>
      <c r="G753" s="111" t="n"/>
      <c r="H753" s="111" t="n"/>
      <c r="I753" s="45" t="n"/>
      <c r="J753" s="28" t="n"/>
      <c r="K753" s="28" t="n"/>
      <c r="L753" s="28" t="n"/>
      <c r="M753" s="59">
        <f>IF(C753="","",IFERROR(INDEX('6. Base de Custos'!$N$8:$N$42,MATCH(C753,'6. Base de Custos'!$L$8:$L$42,0)),"Não classificado"))</f>
        <v/>
      </c>
      <c r="N753" s="59">
        <f>IF(C753="","",IFERROR(INDEX('6. Base de Custos'!$O$8:$O$42,MATCH(C753,'6. Base de Custos'!$L$8:$L$42,0)),"Revisar"))</f>
        <v/>
      </c>
      <c r="O753" s="60">
        <f>IF(M753="","",IFERROR(VLOOKUP(M753,'6. Base de Custos'!$H$12:$J$18,3,FALSE),0))</f>
        <v/>
      </c>
      <c r="P753" s="59">
        <f>IF(C753="","",IFERROR(INDEX('6. Base de Custos'!$P$8:$P$42,MATCH(C753,'6. Base de Custos'!$L$8:$L$42,0)),"Revisar"))</f>
        <v/>
      </c>
      <c r="Q753" s="59">
        <f>IF(C753="","",IFERROR(INDEX('6. Base de Custos'!$Q$8:$Q$42,MATCH(C753,'6. Base de Custos'!$L$8:$L$42,0)),""))</f>
        <v/>
      </c>
      <c r="R753" s="65">
        <f>IF(C753="","",IFERROR(VLOOKUP(M753&amp;"|"&amp;N753,'17. Mapa DRE CP'!$E$5:$H$100,2,FALSE),"Revisar"))</f>
        <v/>
      </c>
      <c r="S753" s="65">
        <f>IF(C753="","",IFERROR(VLOOKUP(M753&amp;"|"&amp;N753,'17. Mapa DRE CP'!$E$5:$H$100,3,FALSE),"Revisar"))</f>
        <v/>
      </c>
      <c r="T753" s="65">
        <f>IF(C753="","",IF(R753="(-) Custos diretos dos serviços",IF(ISNUMBER(SEARCH("PCMSO",C753)),"PCMSO",IF(OR(ISNUMBER(SEARCH("SGS",C753)),ISNUMBER(SEARCH("CASTRO NAVES",C753))),"Projetos / Laudos / Avulsos","Projetos / Laudos / Avulsos")),"Rateio pela receita bruta"))</f>
        <v/>
      </c>
      <c r="U753" s="65">
        <f>IF(C753="","",IF(R753="(-) Custos diretos dos serviços","Direto por fornecedor/natureza do gasto","Rateio proporcional à receita bruta da linha de serviço"))</f>
        <v/>
      </c>
    </row>
    <row r="754">
      <c r="A754" s="28">
        <f>IF(C754="","", "CP-"&amp;TEXT(ROW()-5,"000"))</f>
        <v/>
      </c>
      <c r="B754" s="27">
        <f>IF(F754="","",DATE(YEAR(F754),MONTH(F754),1))</f>
        <v/>
      </c>
      <c r="C754" s="28" t="n"/>
      <c r="D754" s="28" t="n"/>
      <c r="E754" s="59">
        <f>IF(C754="","",IFERROR(INDEX('6. Base de Custos'!$M$8:$M$42,MATCH(C754,'6. Base de Custos'!$L$8:$L$42,0)),"Não classificado"))</f>
        <v/>
      </c>
      <c r="F754" s="111" t="n"/>
      <c r="G754" s="111" t="n"/>
      <c r="H754" s="111" t="n"/>
      <c r="I754" s="45" t="n"/>
      <c r="J754" s="28" t="n"/>
      <c r="K754" s="28" t="n"/>
      <c r="L754" s="28" t="n"/>
      <c r="M754" s="59">
        <f>IF(C754="","",IFERROR(INDEX('6. Base de Custos'!$N$8:$N$42,MATCH(C754,'6. Base de Custos'!$L$8:$L$42,0)),"Não classificado"))</f>
        <v/>
      </c>
      <c r="N754" s="59">
        <f>IF(C754="","",IFERROR(INDEX('6. Base de Custos'!$O$8:$O$42,MATCH(C754,'6. Base de Custos'!$L$8:$L$42,0)),"Revisar"))</f>
        <v/>
      </c>
      <c r="O754" s="60">
        <f>IF(M754="","",IFERROR(VLOOKUP(M754,'6. Base de Custos'!$H$12:$J$18,3,FALSE),0))</f>
        <v/>
      </c>
      <c r="P754" s="59">
        <f>IF(C754="","",IFERROR(INDEX('6. Base de Custos'!$P$8:$P$42,MATCH(C754,'6. Base de Custos'!$L$8:$L$42,0)),"Revisar"))</f>
        <v/>
      </c>
      <c r="Q754" s="59">
        <f>IF(C754="","",IFERROR(INDEX('6. Base de Custos'!$Q$8:$Q$42,MATCH(C754,'6. Base de Custos'!$L$8:$L$42,0)),""))</f>
        <v/>
      </c>
      <c r="R754" s="65">
        <f>IF(C754="","",IFERROR(VLOOKUP(M754&amp;"|"&amp;N754,'17. Mapa DRE CP'!$E$5:$H$100,2,FALSE),"Revisar"))</f>
        <v/>
      </c>
      <c r="S754" s="65">
        <f>IF(C754="","",IFERROR(VLOOKUP(M754&amp;"|"&amp;N754,'17. Mapa DRE CP'!$E$5:$H$100,3,FALSE),"Revisar"))</f>
        <v/>
      </c>
      <c r="T754" s="65">
        <f>IF(C754="","",IF(R754="(-) Custos diretos dos serviços",IF(ISNUMBER(SEARCH("PCMSO",C754)),"PCMSO",IF(OR(ISNUMBER(SEARCH("SGS",C754)),ISNUMBER(SEARCH("CASTRO NAVES",C754))),"Projetos / Laudos / Avulsos","Projetos / Laudos / Avulsos")),"Rateio pela receita bruta"))</f>
        <v/>
      </c>
      <c r="U754" s="65">
        <f>IF(C754="","",IF(R754="(-) Custos diretos dos serviços","Direto por fornecedor/natureza do gasto","Rateio proporcional à receita bruta da linha de serviço"))</f>
        <v/>
      </c>
    </row>
    <row r="755">
      <c r="A755" s="28">
        <f>IF(C755="","", "CP-"&amp;TEXT(ROW()-5,"000"))</f>
        <v/>
      </c>
      <c r="B755" s="27">
        <f>IF(F755="","",DATE(YEAR(F755),MONTH(F755),1))</f>
        <v/>
      </c>
      <c r="C755" s="28" t="n"/>
      <c r="D755" s="28" t="n"/>
      <c r="E755" s="59">
        <f>IF(C755="","",IFERROR(INDEX('6. Base de Custos'!$M$8:$M$42,MATCH(C755,'6. Base de Custos'!$L$8:$L$42,0)),"Não classificado"))</f>
        <v/>
      </c>
      <c r="F755" s="111" t="n"/>
      <c r="G755" s="111" t="n"/>
      <c r="H755" s="111" t="n"/>
      <c r="I755" s="45" t="n"/>
      <c r="J755" s="28" t="n"/>
      <c r="K755" s="28" t="n"/>
      <c r="L755" s="28" t="n"/>
      <c r="M755" s="59">
        <f>IF(C755="","",IFERROR(INDEX('6. Base de Custos'!$N$8:$N$42,MATCH(C755,'6. Base de Custos'!$L$8:$L$42,0)),"Não classificado"))</f>
        <v/>
      </c>
      <c r="N755" s="59">
        <f>IF(C755="","",IFERROR(INDEX('6. Base de Custos'!$O$8:$O$42,MATCH(C755,'6. Base de Custos'!$L$8:$L$42,0)),"Revisar"))</f>
        <v/>
      </c>
      <c r="O755" s="60">
        <f>IF(M755="","",IFERROR(VLOOKUP(M755,'6. Base de Custos'!$H$12:$J$18,3,FALSE),0))</f>
        <v/>
      </c>
      <c r="P755" s="59">
        <f>IF(C755="","",IFERROR(INDEX('6. Base de Custos'!$P$8:$P$42,MATCH(C755,'6. Base de Custos'!$L$8:$L$42,0)),"Revisar"))</f>
        <v/>
      </c>
      <c r="Q755" s="59">
        <f>IF(C755="","",IFERROR(INDEX('6. Base de Custos'!$Q$8:$Q$42,MATCH(C755,'6. Base de Custos'!$L$8:$L$42,0)),""))</f>
        <v/>
      </c>
      <c r="R755" s="65">
        <f>IF(C755="","",IFERROR(VLOOKUP(M755&amp;"|"&amp;N755,'17. Mapa DRE CP'!$E$5:$H$100,2,FALSE),"Revisar"))</f>
        <v/>
      </c>
      <c r="S755" s="65">
        <f>IF(C755="","",IFERROR(VLOOKUP(M755&amp;"|"&amp;N755,'17. Mapa DRE CP'!$E$5:$H$100,3,FALSE),"Revisar"))</f>
        <v/>
      </c>
      <c r="T755" s="65">
        <f>IF(C755="","",IF(R755="(-) Custos diretos dos serviços",IF(ISNUMBER(SEARCH("PCMSO",C755)),"PCMSO",IF(OR(ISNUMBER(SEARCH("SGS",C755)),ISNUMBER(SEARCH("CASTRO NAVES",C755))),"Projetos / Laudos / Avulsos","Projetos / Laudos / Avulsos")),"Rateio pela receita bruta"))</f>
        <v/>
      </c>
      <c r="U755" s="65">
        <f>IF(C755="","",IF(R755="(-) Custos diretos dos serviços","Direto por fornecedor/natureza do gasto","Rateio proporcional à receita bruta da linha de serviço"))</f>
        <v/>
      </c>
    </row>
    <row r="756">
      <c r="A756" s="28">
        <f>IF(C756="","", "CP-"&amp;TEXT(ROW()-5,"000"))</f>
        <v/>
      </c>
      <c r="B756" s="27">
        <f>IF(F756="","",DATE(YEAR(F756),MONTH(F756),1))</f>
        <v/>
      </c>
      <c r="C756" s="28" t="n"/>
      <c r="D756" s="28" t="n"/>
      <c r="E756" s="59">
        <f>IF(C756="","",IFERROR(INDEX('6. Base de Custos'!$M$8:$M$42,MATCH(C756,'6. Base de Custos'!$L$8:$L$42,0)),"Não classificado"))</f>
        <v/>
      </c>
      <c r="F756" s="111" t="n"/>
      <c r="G756" s="111" t="n"/>
      <c r="H756" s="111" t="n"/>
      <c r="I756" s="45" t="n"/>
      <c r="J756" s="28" t="n"/>
      <c r="K756" s="28" t="n"/>
      <c r="L756" s="28" t="n"/>
      <c r="M756" s="59">
        <f>IF(C756="","",IFERROR(INDEX('6. Base de Custos'!$N$8:$N$42,MATCH(C756,'6. Base de Custos'!$L$8:$L$42,0)),"Não classificado"))</f>
        <v/>
      </c>
      <c r="N756" s="59">
        <f>IF(C756="","",IFERROR(INDEX('6. Base de Custos'!$O$8:$O$42,MATCH(C756,'6. Base de Custos'!$L$8:$L$42,0)),"Revisar"))</f>
        <v/>
      </c>
      <c r="O756" s="60">
        <f>IF(M756="","",IFERROR(VLOOKUP(M756,'6. Base de Custos'!$H$12:$J$18,3,FALSE),0))</f>
        <v/>
      </c>
      <c r="P756" s="59">
        <f>IF(C756="","",IFERROR(INDEX('6. Base de Custos'!$P$8:$P$42,MATCH(C756,'6. Base de Custos'!$L$8:$L$42,0)),"Revisar"))</f>
        <v/>
      </c>
      <c r="Q756" s="59">
        <f>IF(C756="","",IFERROR(INDEX('6. Base de Custos'!$Q$8:$Q$42,MATCH(C756,'6. Base de Custos'!$L$8:$L$42,0)),""))</f>
        <v/>
      </c>
      <c r="R756" s="65">
        <f>IF(C756="","",IFERROR(VLOOKUP(M756&amp;"|"&amp;N756,'17. Mapa DRE CP'!$E$5:$H$100,2,FALSE),"Revisar"))</f>
        <v/>
      </c>
      <c r="S756" s="65">
        <f>IF(C756="","",IFERROR(VLOOKUP(M756&amp;"|"&amp;N756,'17. Mapa DRE CP'!$E$5:$H$100,3,FALSE),"Revisar"))</f>
        <v/>
      </c>
      <c r="T756" s="65">
        <f>IF(C756="","",IF(R756="(-) Custos diretos dos serviços",IF(ISNUMBER(SEARCH("PCMSO",C756)),"PCMSO",IF(OR(ISNUMBER(SEARCH("SGS",C756)),ISNUMBER(SEARCH("CASTRO NAVES",C756))),"Projetos / Laudos / Avulsos","Projetos / Laudos / Avulsos")),"Rateio pela receita bruta"))</f>
        <v/>
      </c>
      <c r="U756" s="65">
        <f>IF(C756="","",IF(R756="(-) Custos diretos dos serviços","Direto por fornecedor/natureza do gasto","Rateio proporcional à receita bruta da linha de serviço"))</f>
        <v/>
      </c>
    </row>
    <row r="757">
      <c r="A757" s="28">
        <f>IF(C757="","", "CP-"&amp;TEXT(ROW()-5,"000"))</f>
        <v/>
      </c>
      <c r="B757" s="27">
        <f>IF(F757="","",DATE(YEAR(F757),MONTH(F757),1))</f>
        <v/>
      </c>
      <c r="C757" s="28" t="n"/>
      <c r="D757" s="28" t="n"/>
      <c r="E757" s="59">
        <f>IF(C757="","",IFERROR(INDEX('6. Base de Custos'!$M$8:$M$42,MATCH(C757,'6. Base de Custos'!$L$8:$L$42,0)),"Não classificado"))</f>
        <v/>
      </c>
      <c r="F757" s="111" t="n"/>
      <c r="G757" s="111" t="n"/>
      <c r="H757" s="111" t="n"/>
      <c r="I757" s="45" t="n"/>
      <c r="J757" s="28" t="n"/>
      <c r="K757" s="28" t="n"/>
      <c r="L757" s="28" t="n"/>
      <c r="M757" s="59">
        <f>IF(C757="","",IFERROR(INDEX('6. Base de Custos'!$N$8:$N$42,MATCH(C757,'6. Base de Custos'!$L$8:$L$42,0)),"Não classificado"))</f>
        <v/>
      </c>
      <c r="N757" s="59">
        <f>IF(C757="","",IFERROR(INDEX('6. Base de Custos'!$O$8:$O$42,MATCH(C757,'6. Base de Custos'!$L$8:$L$42,0)),"Revisar"))</f>
        <v/>
      </c>
      <c r="O757" s="60">
        <f>IF(M757="","",IFERROR(VLOOKUP(M757,'6. Base de Custos'!$H$12:$J$18,3,FALSE),0))</f>
        <v/>
      </c>
      <c r="P757" s="59">
        <f>IF(C757="","",IFERROR(INDEX('6. Base de Custos'!$P$8:$P$42,MATCH(C757,'6. Base de Custos'!$L$8:$L$42,0)),"Revisar"))</f>
        <v/>
      </c>
      <c r="Q757" s="59">
        <f>IF(C757="","",IFERROR(INDEX('6. Base de Custos'!$Q$8:$Q$42,MATCH(C757,'6. Base de Custos'!$L$8:$L$42,0)),""))</f>
        <v/>
      </c>
      <c r="R757" s="65">
        <f>IF(C757="","",IFERROR(VLOOKUP(M757&amp;"|"&amp;N757,'17. Mapa DRE CP'!$E$5:$H$100,2,FALSE),"Revisar"))</f>
        <v/>
      </c>
      <c r="S757" s="65">
        <f>IF(C757="","",IFERROR(VLOOKUP(M757&amp;"|"&amp;N757,'17. Mapa DRE CP'!$E$5:$H$100,3,FALSE),"Revisar"))</f>
        <v/>
      </c>
      <c r="T757" s="65">
        <f>IF(C757="","",IF(R757="(-) Custos diretos dos serviços",IF(ISNUMBER(SEARCH("PCMSO",C757)),"PCMSO",IF(OR(ISNUMBER(SEARCH("SGS",C757)),ISNUMBER(SEARCH("CASTRO NAVES",C757))),"Projetos / Laudos / Avulsos","Projetos / Laudos / Avulsos")),"Rateio pela receita bruta"))</f>
        <v/>
      </c>
      <c r="U757" s="65">
        <f>IF(C757="","",IF(R757="(-) Custos diretos dos serviços","Direto por fornecedor/natureza do gasto","Rateio proporcional à receita bruta da linha de serviço"))</f>
        <v/>
      </c>
    </row>
    <row r="758">
      <c r="A758" s="28">
        <f>IF(C758="","", "CP-"&amp;TEXT(ROW()-5,"000"))</f>
        <v/>
      </c>
      <c r="B758" s="27">
        <f>IF(F758="","",DATE(YEAR(F758),MONTH(F758),1))</f>
        <v/>
      </c>
      <c r="C758" s="28" t="n"/>
      <c r="D758" s="28" t="n"/>
      <c r="E758" s="59">
        <f>IF(C758="","",IFERROR(INDEX('6. Base de Custos'!$M$8:$M$42,MATCH(C758,'6. Base de Custos'!$L$8:$L$42,0)),"Não classificado"))</f>
        <v/>
      </c>
      <c r="F758" s="111" t="n"/>
      <c r="G758" s="111" t="n"/>
      <c r="H758" s="111" t="n"/>
      <c r="I758" s="45" t="n"/>
      <c r="J758" s="28" t="n"/>
      <c r="K758" s="28" t="n"/>
      <c r="L758" s="28" t="n"/>
      <c r="M758" s="59">
        <f>IF(C758="","",IFERROR(INDEX('6. Base de Custos'!$N$8:$N$42,MATCH(C758,'6. Base de Custos'!$L$8:$L$42,0)),"Não classificado"))</f>
        <v/>
      </c>
      <c r="N758" s="59">
        <f>IF(C758="","",IFERROR(INDEX('6. Base de Custos'!$O$8:$O$42,MATCH(C758,'6. Base de Custos'!$L$8:$L$42,0)),"Revisar"))</f>
        <v/>
      </c>
      <c r="O758" s="60">
        <f>IF(M758="","",IFERROR(VLOOKUP(M758,'6. Base de Custos'!$H$12:$J$18,3,FALSE),0))</f>
        <v/>
      </c>
      <c r="P758" s="59">
        <f>IF(C758="","",IFERROR(INDEX('6. Base de Custos'!$P$8:$P$42,MATCH(C758,'6. Base de Custos'!$L$8:$L$42,0)),"Revisar"))</f>
        <v/>
      </c>
      <c r="Q758" s="59">
        <f>IF(C758="","",IFERROR(INDEX('6. Base de Custos'!$Q$8:$Q$42,MATCH(C758,'6. Base de Custos'!$L$8:$L$42,0)),""))</f>
        <v/>
      </c>
      <c r="R758" s="65">
        <f>IF(C758="","",IFERROR(VLOOKUP(M758&amp;"|"&amp;N758,'17. Mapa DRE CP'!$E$5:$H$100,2,FALSE),"Revisar"))</f>
        <v/>
      </c>
      <c r="S758" s="65">
        <f>IF(C758="","",IFERROR(VLOOKUP(M758&amp;"|"&amp;N758,'17. Mapa DRE CP'!$E$5:$H$100,3,FALSE),"Revisar"))</f>
        <v/>
      </c>
      <c r="T758" s="65">
        <f>IF(C758="","",IF(R758="(-) Custos diretos dos serviços",IF(ISNUMBER(SEARCH("PCMSO",C758)),"PCMSO",IF(OR(ISNUMBER(SEARCH("SGS",C758)),ISNUMBER(SEARCH("CASTRO NAVES",C758))),"Projetos / Laudos / Avulsos","Projetos / Laudos / Avulsos")),"Rateio pela receita bruta"))</f>
        <v/>
      </c>
      <c r="U758" s="65">
        <f>IF(C758="","",IF(R758="(-) Custos diretos dos serviços","Direto por fornecedor/natureza do gasto","Rateio proporcional à receita bruta da linha de serviço"))</f>
        <v/>
      </c>
    </row>
    <row r="759">
      <c r="A759" s="28">
        <f>IF(C759="","", "CP-"&amp;TEXT(ROW()-5,"000"))</f>
        <v/>
      </c>
      <c r="B759" s="27">
        <f>IF(F759="","",DATE(YEAR(F759),MONTH(F759),1))</f>
        <v/>
      </c>
      <c r="C759" s="28" t="n"/>
      <c r="D759" s="28" t="n"/>
      <c r="E759" s="59">
        <f>IF(C759="","",IFERROR(INDEX('6. Base de Custos'!$M$8:$M$42,MATCH(C759,'6. Base de Custos'!$L$8:$L$42,0)),"Não classificado"))</f>
        <v/>
      </c>
      <c r="F759" s="111" t="n"/>
      <c r="G759" s="111" t="n"/>
      <c r="H759" s="111" t="n"/>
      <c r="I759" s="45" t="n"/>
      <c r="J759" s="28" t="n"/>
      <c r="K759" s="28" t="n"/>
      <c r="L759" s="28" t="n"/>
      <c r="M759" s="59">
        <f>IF(C759="","",IFERROR(INDEX('6. Base de Custos'!$N$8:$N$42,MATCH(C759,'6. Base de Custos'!$L$8:$L$42,0)),"Não classificado"))</f>
        <v/>
      </c>
      <c r="N759" s="59">
        <f>IF(C759="","",IFERROR(INDEX('6. Base de Custos'!$O$8:$O$42,MATCH(C759,'6. Base de Custos'!$L$8:$L$42,0)),"Revisar"))</f>
        <v/>
      </c>
      <c r="O759" s="60">
        <f>IF(M759="","",IFERROR(VLOOKUP(M759,'6. Base de Custos'!$H$12:$J$18,3,FALSE),0))</f>
        <v/>
      </c>
      <c r="P759" s="59">
        <f>IF(C759="","",IFERROR(INDEX('6. Base de Custos'!$P$8:$P$42,MATCH(C759,'6. Base de Custos'!$L$8:$L$42,0)),"Revisar"))</f>
        <v/>
      </c>
      <c r="Q759" s="59">
        <f>IF(C759="","",IFERROR(INDEX('6. Base de Custos'!$Q$8:$Q$42,MATCH(C759,'6. Base de Custos'!$L$8:$L$42,0)),""))</f>
        <v/>
      </c>
      <c r="R759" s="65">
        <f>IF(C759="","",IFERROR(VLOOKUP(M759&amp;"|"&amp;N759,'17. Mapa DRE CP'!$E$5:$H$100,2,FALSE),"Revisar"))</f>
        <v/>
      </c>
      <c r="S759" s="65">
        <f>IF(C759="","",IFERROR(VLOOKUP(M759&amp;"|"&amp;N759,'17. Mapa DRE CP'!$E$5:$H$100,3,FALSE),"Revisar"))</f>
        <v/>
      </c>
      <c r="T759" s="65">
        <f>IF(C759="","",IF(R759="(-) Custos diretos dos serviços",IF(ISNUMBER(SEARCH("PCMSO",C759)),"PCMSO",IF(OR(ISNUMBER(SEARCH("SGS",C759)),ISNUMBER(SEARCH("CASTRO NAVES",C759))),"Projetos / Laudos / Avulsos","Projetos / Laudos / Avulsos")),"Rateio pela receita bruta"))</f>
        <v/>
      </c>
      <c r="U759" s="65">
        <f>IF(C759="","",IF(R759="(-) Custos diretos dos serviços","Direto por fornecedor/natureza do gasto","Rateio proporcional à receita bruta da linha de serviço"))</f>
        <v/>
      </c>
    </row>
    <row r="760">
      <c r="A760" s="28">
        <f>IF(C760="","", "CP-"&amp;TEXT(ROW()-5,"000"))</f>
        <v/>
      </c>
      <c r="B760" s="27">
        <f>IF(F760="","",DATE(YEAR(F760),MONTH(F760),1))</f>
        <v/>
      </c>
      <c r="C760" s="28" t="n"/>
      <c r="D760" s="28" t="n"/>
      <c r="E760" s="59">
        <f>IF(C760="","",IFERROR(INDEX('6. Base de Custos'!$M$8:$M$42,MATCH(C760,'6. Base de Custos'!$L$8:$L$42,0)),"Não classificado"))</f>
        <v/>
      </c>
      <c r="F760" s="111" t="n"/>
      <c r="G760" s="111" t="n"/>
      <c r="H760" s="111" t="n"/>
      <c r="I760" s="45" t="n"/>
      <c r="J760" s="28" t="n"/>
      <c r="K760" s="28" t="n"/>
      <c r="L760" s="28" t="n"/>
      <c r="M760" s="59">
        <f>IF(C760="","",IFERROR(INDEX('6. Base de Custos'!$N$8:$N$42,MATCH(C760,'6. Base de Custos'!$L$8:$L$42,0)),"Não classificado"))</f>
        <v/>
      </c>
      <c r="N760" s="59">
        <f>IF(C760="","",IFERROR(INDEX('6. Base de Custos'!$O$8:$O$42,MATCH(C760,'6. Base de Custos'!$L$8:$L$42,0)),"Revisar"))</f>
        <v/>
      </c>
      <c r="O760" s="60">
        <f>IF(M760="","",IFERROR(VLOOKUP(M760,'6. Base de Custos'!$H$12:$J$18,3,FALSE),0))</f>
        <v/>
      </c>
      <c r="P760" s="59">
        <f>IF(C760="","",IFERROR(INDEX('6. Base de Custos'!$P$8:$P$42,MATCH(C760,'6. Base de Custos'!$L$8:$L$42,0)),"Revisar"))</f>
        <v/>
      </c>
      <c r="Q760" s="59">
        <f>IF(C760="","",IFERROR(INDEX('6. Base de Custos'!$Q$8:$Q$42,MATCH(C760,'6. Base de Custos'!$L$8:$L$42,0)),""))</f>
        <v/>
      </c>
      <c r="R760" s="65">
        <f>IF(C760="","",IFERROR(VLOOKUP(M760&amp;"|"&amp;N760,'17. Mapa DRE CP'!$E$5:$H$100,2,FALSE),"Revisar"))</f>
        <v/>
      </c>
      <c r="S760" s="65">
        <f>IF(C760="","",IFERROR(VLOOKUP(M760&amp;"|"&amp;N760,'17. Mapa DRE CP'!$E$5:$H$100,3,FALSE),"Revisar"))</f>
        <v/>
      </c>
      <c r="T760" s="65">
        <f>IF(C760="","",IF(R760="(-) Custos diretos dos serviços",IF(ISNUMBER(SEARCH("PCMSO",C760)),"PCMSO",IF(OR(ISNUMBER(SEARCH("SGS",C760)),ISNUMBER(SEARCH("CASTRO NAVES",C760))),"Projetos / Laudos / Avulsos","Projetos / Laudos / Avulsos")),"Rateio pela receita bruta"))</f>
        <v/>
      </c>
      <c r="U760" s="65">
        <f>IF(C760="","",IF(R760="(-) Custos diretos dos serviços","Direto por fornecedor/natureza do gasto","Rateio proporcional à receita bruta da linha de serviço"))</f>
        <v/>
      </c>
    </row>
    <row r="761">
      <c r="A761" s="28">
        <f>IF(C761="","", "CP-"&amp;TEXT(ROW()-5,"000"))</f>
        <v/>
      </c>
      <c r="B761" s="27">
        <f>IF(F761="","",DATE(YEAR(F761),MONTH(F761),1))</f>
        <v/>
      </c>
      <c r="C761" s="28" t="n"/>
      <c r="D761" s="28" t="n"/>
      <c r="E761" s="59">
        <f>IF(C761="","",IFERROR(INDEX('6. Base de Custos'!$M$8:$M$42,MATCH(C761,'6. Base de Custos'!$L$8:$L$42,0)),"Não classificado"))</f>
        <v/>
      </c>
      <c r="F761" s="111" t="n"/>
      <c r="G761" s="111" t="n"/>
      <c r="H761" s="111" t="n"/>
      <c r="I761" s="45" t="n"/>
      <c r="J761" s="28" t="n"/>
      <c r="K761" s="28" t="n"/>
      <c r="L761" s="28" t="n"/>
      <c r="M761" s="59">
        <f>IF(C761="","",IFERROR(INDEX('6. Base de Custos'!$N$8:$N$42,MATCH(C761,'6. Base de Custos'!$L$8:$L$42,0)),"Não classificado"))</f>
        <v/>
      </c>
      <c r="N761" s="59">
        <f>IF(C761="","",IFERROR(INDEX('6. Base de Custos'!$O$8:$O$42,MATCH(C761,'6. Base de Custos'!$L$8:$L$42,0)),"Revisar"))</f>
        <v/>
      </c>
      <c r="O761" s="60">
        <f>IF(M761="","",IFERROR(VLOOKUP(M761,'6. Base de Custos'!$H$12:$J$18,3,FALSE),0))</f>
        <v/>
      </c>
      <c r="P761" s="59">
        <f>IF(C761="","",IFERROR(INDEX('6. Base de Custos'!$P$8:$P$42,MATCH(C761,'6. Base de Custos'!$L$8:$L$42,0)),"Revisar"))</f>
        <v/>
      </c>
      <c r="Q761" s="59">
        <f>IF(C761="","",IFERROR(INDEX('6. Base de Custos'!$Q$8:$Q$42,MATCH(C761,'6. Base de Custos'!$L$8:$L$42,0)),""))</f>
        <v/>
      </c>
      <c r="R761" s="65">
        <f>IF(C761="","",IFERROR(VLOOKUP(M761&amp;"|"&amp;N761,'17. Mapa DRE CP'!$E$5:$H$100,2,FALSE),"Revisar"))</f>
        <v/>
      </c>
      <c r="S761" s="65">
        <f>IF(C761="","",IFERROR(VLOOKUP(M761&amp;"|"&amp;N761,'17. Mapa DRE CP'!$E$5:$H$100,3,FALSE),"Revisar"))</f>
        <v/>
      </c>
      <c r="T761" s="65">
        <f>IF(C761="","",IF(R761="(-) Custos diretos dos serviços",IF(ISNUMBER(SEARCH("PCMSO",C761)),"PCMSO",IF(OR(ISNUMBER(SEARCH("SGS",C761)),ISNUMBER(SEARCH("CASTRO NAVES",C761))),"Projetos / Laudos / Avulsos","Projetos / Laudos / Avulsos")),"Rateio pela receita bruta"))</f>
        <v/>
      </c>
      <c r="U761" s="65">
        <f>IF(C761="","",IF(R761="(-) Custos diretos dos serviços","Direto por fornecedor/natureza do gasto","Rateio proporcional à receita bruta da linha de serviço"))</f>
        <v/>
      </c>
    </row>
    <row r="762">
      <c r="A762" s="28">
        <f>IF(C762="","", "CP-"&amp;TEXT(ROW()-5,"000"))</f>
        <v/>
      </c>
      <c r="B762" s="27">
        <f>IF(F762="","",DATE(YEAR(F762),MONTH(F762),1))</f>
        <v/>
      </c>
      <c r="C762" s="28" t="n"/>
      <c r="D762" s="28" t="n"/>
      <c r="E762" s="59">
        <f>IF(C762="","",IFERROR(INDEX('6. Base de Custos'!$M$8:$M$42,MATCH(C762,'6. Base de Custos'!$L$8:$L$42,0)),"Não classificado"))</f>
        <v/>
      </c>
      <c r="F762" s="111" t="n"/>
      <c r="G762" s="111" t="n"/>
      <c r="H762" s="111" t="n"/>
      <c r="I762" s="45" t="n"/>
      <c r="J762" s="28" t="n"/>
      <c r="K762" s="28" t="n"/>
      <c r="L762" s="28" t="n"/>
      <c r="M762" s="59">
        <f>IF(C762="","",IFERROR(INDEX('6. Base de Custos'!$N$8:$N$42,MATCH(C762,'6. Base de Custos'!$L$8:$L$42,0)),"Não classificado"))</f>
        <v/>
      </c>
      <c r="N762" s="59">
        <f>IF(C762="","",IFERROR(INDEX('6. Base de Custos'!$O$8:$O$42,MATCH(C762,'6. Base de Custos'!$L$8:$L$42,0)),"Revisar"))</f>
        <v/>
      </c>
      <c r="O762" s="60">
        <f>IF(M762="","",IFERROR(VLOOKUP(M762,'6. Base de Custos'!$H$12:$J$18,3,FALSE),0))</f>
        <v/>
      </c>
      <c r="P762" s="59">
        <f>IF(C762="","",IFERROR(INDEX('6. Base de Custos'!$P$8:$P$42,MATCH(C762,'6. Base de Custos'!$L$8:$L$42,0)),"Revisar"))</f>
        <v/>
      </c>
      <c r="Q762" s="59">
        <f>IF(C762="","",IFERROR(INDEX('6. Base de Custos'!$Q$8:$Q$42,MATCH(C762,'6. Base de Custos'!$L$8:$L$42,0)),""))</f>
        <v/>
      </c>
      <c r="R762" s="65">
        <f>IF(C762="","",IFERROR(VLOOKUP(M762&amp;"|"&amp;N762,'17. Mapa DRE CP'!$E$5:$H$100,2,FALSE),"Revisar"))</f>
        <v/>
      </c>
      <c r="S762" s="65">
        <f>IF(C762="","",IFERROR(VLOOKUP(M762&amp;"|"&amp;N762,'17. Mapa DRE CP'!$E$5:$H$100,3,FALSE),"Revisar"))</f>
        <v/>
      </c>
      <c r="T762" s="65">
        <f>IF(C762="","",IF(R762="(-) Custos diretos dos serviços",IF(ISNUMBER(SEARCH("PCMSO",C762)),"PCMSO",IF(OR(ISNUMBER(SEARCH("SGS",C762)),ISNUMBER(SEARCH("CASTRO NAVES",C762))),"Projetos / Laudos / Avulsos","Projetos / Laudos / Avulsos")),"Rateio pela receita bruta"))</f>
        <v/>
      </c>
      <c r="U762" s="65">
        <f>IF(C762="","",IF(R762="(-) Custos diretos dos serviços","Direto por fornecedor/natureza do gasto","Rateio proporcional à receita bruta da linha de serviço"))</f>
        <v/>
      </c>
    </row>
    <row r="763">
      <c r="A763" s="28">
        <f>IF(C763="","", "CP-"&amp;TEXT(ROW()-5,"000"))</f>
        <v/>
      </c>
      <c r="B763" s="27">
        <f>IF(F763="","",DATE(YEAR(F763),MONTH(F763),1))</f>
        <v/>
      </c>
      <c r="C763" s="28" t="n"/>
      <c r="D763" s="28" t="n"/>
      <c r="E763" s="59">
        <f>IF(C763="","",IFERROR(INDEX('6. Base de Custos'!$M$8:$M$42,MATCH(C763,'6. Base de Custos'!$L$8:$L$42,0)),"Não classificado"))</f>
        <v/>
      </c>
      <c r="F763" s="111" t="n"/>
      <c r="G763" s="111" t="n"/>
      <c r="H763" s="111" t="n"/>
      <c r="I763" s="45" t="n"/>
      <c r="J763" s="28" t="n"/>
      <c r="K763" s="28" t="n"/>
      <c r="L763" s="28" t="n"/>
      <c r="M763" s="59">
        <f>IF(C763="","",IFERROR(INDEX('6. Base de Custos'!$N$8:$N$42,MATCH(C763,'6. Base de Custos'!$L$8:$L$42,0)),"Não classificado"))</f>
        <v/>
      </c>
      <c r="N763" s="59">
        <f>IF(C763="","",IFERROR(INDEX('6. Base de Custos'!$O$8:$O$42,MATCH(C763,'6. Base de Custos'!$L$8:$L$42,0)),"Revisar"))</f>
        <v/>
      </c>
      <c r="O763" s="60">
        <f>IF(M763="","",IFERROR(VLOOKUP(M763,'6. Base de Custos'!$H$12:$J$18,3,FALSE),0))</f>
        <v/>
      </c>
      <c r="P763" s="59">
        <f>IF(C763="","",IFERROR(INDEX('6. Base de Custos'!$P$8:$P$42,MATCH(C763,'6. Base de Custos'!$L$8:$L$42,0)),"Revisar"))</f>
        <v/>
      </c>
      <c r="Q763" s="59">
        <f>IF(C763="","",IFERROR(INDEX('6. Base de Custos'!$Q$8:$Q$42,MATCH(C763,'6. Base de Custos'!$L$8:$L$42,0)),""))</f>
        <v/>
      </c>
      <c r="R763" s="65">
        <f>IF(C763="","",IFERROR(VLOOKUP(M763&amp;"|"&amp;N763,'17. Mapa DRE CP'!$E$5:$H$100,2,FALSE),"Revisar"))</f>
        <v/>
      </c>
      <c r="S763" s="65">
        <f>IF(C763="","",IFERROR(VLOOKUP(M763&amp;"|"&amp;N763,'17. Mapa DRE CP'!$E$5:$H$100,3,FALSE),"Revisar"))</f>
        <v/>
      </c>
      <c r="T763" s="65">
        <f>IF(C763="","",IF(R763="(-) Custos diretos dos serviços",IF(ISNUMBER(SEARCH("PCMSO",C763)),"PCMSO",IF(OR(ISNUMBER(SEARCH("SGS",C763)),ISNUMBER(SEARCH("CASTRO NAVES",C763))),"Projetos / Laudos / Avulsos","Projetos / Laudos / Avulsos")),"Rateio pela receita bruta"))</f>
        <v/>
      </c>
      <c r="U763" s="65">
        <f>IF(C763="","",IF(R763="(-) Custos diretos dos serviços","Direto por fornecedor/natureza do gasto","Rateio proporcional à receita bruta da linha de serviço"))</f>
        <v/>
      </c>
    </row>
    <row r="764">
      <c r="A764" s="28">
        <f>IF(C764="","", "CP-"&amp;TEXT(ROW()-5,"000"))</f>
        <v/>
      </c>
      <c r="B764" s="27">
        <f>IF(F764="","",DATE(YEAR(F764),MONTH(F764),1))</f>
        <v/>
      </c>
      <c r="C764" s="28" t="n"/>
      <c r="D764" s="28" t="n"/>
      <c r="E764" s="59">
        <f>IF(C764="","",IFERROR(INDEX('6. Base de Custos'!$M$8:$M$42,MATCH(C764,'6. Base de Custos'!$L$8:$L$42,0)),"Não classificado"))</f>
        <v/>
      </c>
      <c r="F764" s="111" t="n"/>
      <c r="G764" s="111" t="n"/>
      <c r="H764" s="111" t="n"/>
      <c r="I764" s="45" t="n"/>
      <c r="J764" s="28" t="n"/>
      <c r="K764" s="28" t="n"/>
      <c r="L764" s="28" t="n"/>
      <c r="M764" s="59">
        <f>IF(C764="","",IFERROR(INDEX('6. Base de Custos'!$N$8:$N$42,MATCH(C764,'6. Base de Custos'!$L$8:$L$42,0)),"Não classificado"))</f>
        <v/>
      </c>
      <c r="N764" s="59">
        <f>IF(C764="","",IFERROR(INDEX('6. Base de Custos'!$O$8:$O$42,MATCH(C764,'6. Base de Custos'!$L$8:$L$42,0)),"Revisar"))</f>
        <v/>
      </c>
      <c r="O764" s="60">
        <f>IF(M764="","",IFERROR(VLOOKUP(M764,'6. Base de Custos'!$H$12:$J$18,3,FALSE),0))</f>
        <v/>
      </c>
      <c r="P764" s="59">
        <f>IF(C764="","",IFERROR(INDEX('6. Base de Custos'!$P$8:$P$42,MATCH(C764,'6. Base de Custos'!$L$8:$L$42,0)),"Revisar"))</f>
        <v/>
      </c>
      <c r="Q764" s="59">
        <f>IF(C764="","",IFERROR(INDEX('6. Base de Custos'!$Q$8:$Q$42,MATCH(C764,'6. Base de Custos'!$L$8:$L$42,0)),""))</f>
        <v/>
      </c>
      <c r="R764" s="65">
        <f>IF(C764="","",IFERROR(VLOOKUP(M764&amp;"|"&amp;N764,'17. Mapa DRE CP'!$E$5:$H$100,2,FALSE),"Revisar"))</f>
        <v/>
      </c>
      <c r="S764" s="65">
        <f>IF(C764="","",IFERROR(VLOOKUP(M764&amp;"|"&amp;N764,'17. Mapa DRE CP'!$E$5:$H$100,3,FALSE),"Revisar"))</f>
        <v/>
      </c>
      <c r="T764" s="65">
        <f>IF(C764="","",IF(R764="(-) Custos diretos dos serviços",IF(ISNUMBER(SEARCH("PCMSO",C764)),"PCMSO",IF(OR(ISNUMBER(SEARCH("SGS",C764)),ISNUMBER(SEARCH("CASTRO NAVES",C764))),"Projetos / Laudos / Avulsos","Projetos / Laudos / Avulsos")),"Rateio pela receita bruta"))</f>
        <v/>
      </c>
      <c r="U764" s="65">
        <f>IF(C764="","",IF(R764="(-) Custos diretos dos serviços","Direto por fornecedor/natureza do gasto","Rateio proporcional à receita bruta da linha de serviço"))</f>
        <v/>
      </c>
    </row>
    <row r="765">
      <c r="A765" s="28">
        <f>IF(C765="","", "CP-"&amp;TEXT(ROW()-5,"000"))</f>
        <v/>
      </c>
      <c r="B765" s="27">
        <f>IF(F765="","",DATE(YEAR(F765),MONTH(F765),1))</f>
        <v/>
      </c>
      <c r="C765" s="28" t="n"/>
      <c r="D765" s="28" t="n"/>
      <c r="E765" s="59">
        <f>IF(C765="","",IFERROR(INDEX('6. Base de Custos'!$M$8:$M$42,MATCH(C765,'6. Base de Custos'!$L$8:$L$42,0)),"Não classificado"))</f>
        <v/>
      </c>
      <c r="F765" s="111" t="n"/>
      <c r="G765" s="111" t="n"/>
      <c r="H765" s="111" t="n"/>
      <c r="I765" s="45" t="n"/>
      <c r="J765" s="28" t="n"/>
      <c r="K765" s="28" t="n"/>
      <c r="L765" s="28" t="n"/>
      <c r="M765" s="59">
        <f>IF(C765="","",IFERROR(INDEX('6. Base de Custos'!$N$8:$N$42,MATCH(C765,'6. Base de Custos'!$L$8:$L$42,0)),"Não classificado"))</f>
        <v/>
      </c>
      <c r="N765" s="59">
        <f>IF(C765="","",IFERROR(INDEX('6. Base de Custos'!$O$8:$O$42,MATCH(C765,'6. Base de Custos'!$L$8:$L$42,0)),"Revisar"))</f>
        <v/>
      </c>
      <c r="O765" s="60">
        <f>IF(M765="","",IFERROR(VLOOKUP(M765,'6. Base de Custos'!$H$12:$J$18,3,FALSE),0))</f>
        <v/>
      </c>
      <c r="P765" s="59">
        <f>IF(C765="","",IFERROR(INDEX('6. Base de Custos'!$P$8:$P$42,MATCH(C765,'6. Base de Custos'!$L$8:$L$42,0)),"Revisar"))</f>
        <v/>
      </c>
      <c r="Q765" s="59">
        <f>IF(C765="","",IFERROR(INDEX('6. Base de Custos'!$Q$8:$Q$42,MATCH(C765,'6. Base de Custos'!$L$8:$L$42,0)),""))</f>
        <v/>
      </c>
      <c r="R765" s="65">
        <f>IF(C765="","",IFERROR(VLOOKUP(M765&amp;"|"&amp;N765,'17. Mapa DRE CP'!$E$5:$H$100,2,FALSE),"Revisar"))</f>
        <v/>
      </c>
      <c r="S765" s="65">
        <f>IF(C765="","",IFERROR(VLOOKUP(M765&amp;"|"&amp;N765,'17. Mapa DRE CP'!$E$5:$H$100,3,FALSE),"Revisar"))</f>
        <v/>
      </c>
      <c r="T765" s="65">
        <f>IF(C765="","",IF(R765="(-) Custos diretos dos serviços",IF(ISNUMBER(SEARCH("PCMSO",C765)),"PCMSO",IF(OR(ISNUMBER(SEARCH("SGS",C765)),ISNUMBER(SEARCH("CASTRO NAVES",C765))),"Projetos / Laudos / Avulsos","Projetos / Laudos / Avulsos")),"Rateio pela receita bruta"))</f>
        <v/>
      </c>
      <c r="U765" s="65">
        <f>IF(C765="","",IF(R765="(-) Custos diretos dos serviços","Direto por fornecedor/natureza do gasto","Rateio proporcional à receita bruta da linha de serviço"))</f>
        <v/>
      </c>
    </row>
    <row r="766">
      <c r="A766" s="28">
        <f>IF(C766="","", "CP-"&amp;TEXT(ROW()-5,"000"))</f>
        <v/>
      </c>
      <c r="B766" s="27">
        <f>IF(F766="","",DATE(YEAR(F766),MONTH(F766),1))</f>
        <v/>
      </c>
      <c r="C766" s="28" t="n"/>
      <c r="D766" s="28" t="n"/>
      <c r="E766" s="59">
        <f>IF(C766="","",IFERROR(INDEX('6. Base de Custos'!$M$8:$M$42,MATCH(C766,'6. Base de Custos'!$L$8:$L$42,0)),"Não classificado"))</f>
        <v/>
      </c>
      <c r="F766" s="111" t="n"/>
      <c r="G766" s="111" t="n"/>
      <c r="H766" s="111" t="n"/>
      <c r="I766" s="45" t="n"/>
      <c r="J766" s="28" t="n"/>
      <c r="K766" s="28" t="n"/>
      <c r="L766" s="28" t="n"/>
      <c r="M766" s="59">
        <f>IF(C766="","",IFERROR(INDEX('6. Base de Custos'!$N$8:$N$42,MATCH(C766,'6. Base de Custos'!$L$8:$L$42,0)),"Não classificado"))</f>
        <v/>
      </c>
      <c r="N766" s="59">
        <f>IF(C766="","",IFERROR(INDEX('6. Base de Custos'!$O$8:$O$42,MATCH(C766,'6. Base de Custos'!$L$8:$L$42,0)),"Revisar"))</f>
        <v/>
      </c>
      <c r="O766" s="60">
        <f>IF(M766="","",IFERROR(VLOOKUP(M766,'6. Base de Custos'!$H$12:$J$18,3,FALSE),0))</f>
        <v/>
      </c>
      <c r="P766" s="59">
        <f>IF(C766="","",IFERROR(INDEX('6. Base de Custos'!$P$8:$P$42,MATCH(C766,'6. Base de Custos'!$L$8:$L$42,0)),"Revisar"))</f>
        <v/>
      </c>
      <c r="Q766" s="59">
        <f>IF(C766="","",IFERROR(INDEX('6. Base de Custos'!$Q$8:$Q$42,MATCH(C766,'6. Base de Custos'!$L$8:$L$42,0)),""))</f>
        <v/>
      </c>
      <c r="R766" s="65">
        <f>IF(C766="","",IFERROR(VLOOKUP(M766&amp;"|"&amp;N766,'17. Mapa DRE CP'!$E$5:$H$100,2,FALSE),"Revisar"))</f>
        <v/>
      </c>
      <c r="S766" s="65">
        <f>IF(C766="","",IFERROR(VLOOKUP(M766&amp;"|"&amp;N766,'17. Mapa DRE CP'!$E$5:$H$100,3,FALSE),"Revisar"))</f>
        <v/>
      </c>
      <c r="T766" s="65">
        <f>IF(C766="","",IF(R766="(-) Custos diretos dos serviços",IF(ISNUMBER(SEARCH("PCMSO",C766)),"PCMSO",IF(OR(ISNUMBER(SEARCH("SGS",C766)),ISNUMBER(SEARCH("CASTRO NAVES",C766))),"Projetos / Laudos / Avulsos","Projetos / Laudos / Avulsos")),"Rateio pela receita bruta"))</f>
        <v/>
      </c>
      <c r="U766" s="65">
        <f>IF(C766="","",IF(R766="(-) Custos diretos dos serviços","Direto por fornecedor/natureza do gasto","Rateio proporcional à receita bruta da linha de serviço"))</f>
        <v/>
      </c>
    </row>
    <row r="767">
      <c r="A767" s="28">
        <f>IF(C767="","", "CP-"&amp;TEXT(ROW()-5,"000"))</f>
        <v/>
      </c>
      <c r="B767" s="27">
        <f>IF(F767="","",DATE(YEAR(F767),MONTH(F767),1))</f>
        <v/>
      </c>
      <c r="C767" s="28" t="n"/>
      <c r="D767" s="28" t="n"/>
      <c r="E767" s="59">
        <f>IF(C767="","",IFERROR(INDEX('6. Base de Custos'!$M$8:$M$42,MATCH(C767,'6. Base de Custos'!$L$8:$L$42,0)),"Não classificado"))</f>
        <v/>
      </c>
      <c r="F767" s="111" t="n"/>
      <c r="G767" s="111" t="n"/>
      <c r="H767" s="111" t="n"/>
      <c r="I767" s="45" t="n"/>
      <c r="J767" s="28" t="n"/>
      <c r="K767" s="28" t="n"/>
      <c r="L767" s="28" t="n"/>
      <c r="M767" s="59">
        <f>IF(C767="","",IFERROR(INDEX('6. Base de Custos'!$N$8:$N$42,MATCH(C767,'6. Base de Custos'!$L$8:$L$42,0)),"Não classificado"))</f>
        <v/>
      </c>
      <c r="N767" s="59">
        <f>IF(C767="","",IFERROR(INDEX('6. Base de Custos'!$O$8:$O$42,MATCH(C767,'6. Base de Custos'!$L$8:$L$42,0)),"Revisar"))</f>
        <v/>
      </c>
      <c r="O767" s="60">
        <f>IF(M767="","",IFERROR(VLOOKUP(M767,'6. Base de Custos'!$H$12:$J$18,3,FALSE),0))</f>
        <v/>
      </c>
      <c r="P767" s="59">
        <f>IF(C767="","",IFERROR(INDEX('6. Base de Custos'!$P$8:$P$42,MATCH(C767,'6. Base de Custos'!$L$8:$L$42,0)),"Revisar"))</f>
        <v/>
      </c>
      <c r="Q767" s="59">
        <f>IF(C767="","",IFERROR(INDEX('6. Base de Custos'!$Q$8:$Q$42,MATCH(C767,'6. Base de Custos'!$L$8:$L$42,0)),""))</f>
        <v/>
      </c>
      <c r="R767" s="65">
        <f>IF(C767="","",IFERROR(VLOOKUP(M767&amp;"|"&amp;N767,'17. Mapa DRE CP'!$E$5:$H$100,2,FALSE),"Revisar"))</f>
        <v/>
      </c>
      <c r="S767" s="65">
        <f>IF(C767="","",IFERROR(VLOOKUP(M767&amp;"|"&amp;N767,'17. Mapa DRE CP'!$E$5:$H$100,3,FALSE),"Revisar"))</f>
        <v/>
      </c>
      <c r="T767" s="65">
        <f>IF(C767="","",IF(R767="(-) Custos diretos dos serviços",IF(ISNUMBER(SEARCH("PCMSO",C767)),"PCMSO",IF(OR(ISNUMBER(SEARCH("SGS",C767)),ISNUMBER(SEARCH("CASTRO NAVES",C767))),"Projetos / Laudos / Avulsos","Projetos / Laudos / Avulsos")),"Rateio pela receita bruta"))</f>
        <v/>
      </c>
      <c r="U767" s="65">
        <f>IF(C767="","",IF(R767="(-) Custos diretos dos serviços","Direto por fornecedor/natureza do gasto","Rateio proporcional à receita bruta da linha de serviço"))</f>
        <v/>
      </c>
    </row>
    <row r="768">
      <c r="A768" s="28">
        <f>IF(C768="","", "CP-"&amp;TEXT(ROW()-5,"000"))</f>
        <v/>
      </c>
      <c r="B768" s="27">
        <f>IF(F768="","",DATE(YEAR(F768),MONTH(F768),1))</f>
        <v/>
      </c>
      <c r="C768" s="28" t="n"/>
      <c r="D768" s="28" t="n"/>
      <c r="E768" s="59">
        <f>IF(C768="","",IFERROR(INDEX('6. Base de Custos'!$M$8:$M$42,MATCH(C768,'6. Base de Custos'!$L$8:$L$42,0)),"Não classificado"))</f>
        <v/>
      </c>
      <c r="F768" s="111" t="n"/>
      <c r="G768" s="111" t="n"/>
      <c r="H768" s="111" t="n"/>
      <c r="I768" s="45" t="n"/>
      <c r="J768" s="28" t="n"/>
      <c r="K768" s="28" t="n"/>
      <c r="L768" s="28" t="n"/>
      <c r="M768" s="59">
        <f>IF(C768="","",IFERROR(INDEX('6. Base de Custos'!$N$8:$N$42,MATCH(C768,'6. Base de Custos'!$L$8:$L$42,0)),"Não classificado"))</f>
        <v/>
      </c>
      <c r="N768" s="59">
        <f>IF(C768="","",IFERROR(INDEX('6. Base de Custos'!$O$8:$O$42,MATCH(C768,'6. Base de Custos'!$L$8:$L$42,0)),"Revisar"))</f>
        <v/>
      </c>
      <c r="O768" s="60">
        <f>IF(M768="","",IFERROR(VLOOKUP(M768,'6. Base de Custos'!$H$12:$J$18,3,FALSE),0))</f>
        <v/>
      </c>
      <c r="P768" s="59">
        <f>IF(C768="","",IFERROR(INDEX('6. Base de Custos'!$P$8:$P$42,MATCH(C768,'6. Base de Custos'!$L$8:$L$42,0)),"Revisar"))</f>
        <v/>
      </c>
      <c r="Q768" s="59">
        <f>IF(C768="","",IFERROR(INDEX('6. Base de Custos'!$Q$8:$Q$42,MATCH(C768,'6. Base de Custos'!$L$8:$L$42,0)),""))</f>
        <v/>
      </c>
      <c r="R768" s="65">
        <f>IF(C768="","",IFERROR(VLOOKUP(M768&amp;"|"&amp;N768,'17. Mapa DRE CP'!$E$5:$H$100,2,FALSE),"Revisar"))</f>
        <v/>
      </c>
      <c r="S768" s="65">
        <f>IF(C768="","",IFERROR(VLOOKUP(M768&amp;"|"&amp;N768,'17. Mapa DRE CP'!$E$5:$H$100,3,FALSE),"Revisar"))</f>
        <v/>
      </c>
      <c r="T768" s="65">
        <f>IF(C768="","",IF(R768="(-) Custos diretos dos serviços",IF(ISNUMBER(SEARCH("PCMSO",C768)),"PCMSO",IF(OR(ISNUMBER(SEARCH("SGS",C768)),ISNUMBER(SEARCH("CASTRO NAVES",C768))),"Projetos / Laudos / Avulsos","Projetos / Laudos / Avulsos")),"Rateio pela receita bruta"))</f>
        <v/>
      </c>
      <c r="U768" s="65">
        <f>IF(C768="","",IF(R768="(-) Custos diretos dos serviços","Direto por fornecedor/natureza do gasto","Rateio proporcional à receita bruta da linha de serviço"))</f>
        <v/>
      </c>
    </row>
    <row r="769">
      <c r="A769" s="28">
        <f>IF(C769="","", "CP-"&amp;TEXT(ROW()-5,"000"))</f>
        <v/>
      </c>
      <c r="B769" s="27">
        <f>IF(F769="","",DATE(YEAR(F769),MONTH(F769),1))</f>
        <v/>
      </c>
      <c r="C769" s="28" t="n"/>
      <c r="D769" s="28" t="n"/>
      <c r="E769" s="59">
        <f>IF(C769="","",IFERROR(INDEX('6. Base de Custos'!$M$8:$M$42,MATCH(C769,'6. Base de Custos'!$L$8:$L$42,0)),"Não classificado"))</f>
        <v/>
      </c>
      <c r="F769" s="111" t="n"/>
      <c r="G769" s="111" t="n"/>
      <c r="H769" s="111" t="n"/>
      <c r="I769" s="45" t="n"/>
      <c r="J769" s="28" t="n"/>
      <c r="K769" s="28" t="n"/>
      <c r="L769" s="28" t="n"/>
      <c r="M769" s="59">
        <f>IF(C769="","",IFERROR(INDEX('6. Base de Custos'!$N$8:$N$42,MATCH(C769,'6. Base de Custos'!$L$8:$L$42,0)),"Não classificado"))</f>
        <v/>
      </c>
      <c r="N769" s="59">
        <f>IF(C769="","",IFERROR(INDEX('6. Base de Custos'!$O$8:$O$42,MATCH(C769,'6. Base de Custos'!$L$8:$L$42,0)),"Revisar"))</f>
        <v/>
      </c>
      <c r="O769" s="60">
        <f>IF(M769="","",IFERROR(VLOOKUP(M769,'6. Base de Custos'!$H$12:$J$18,3,FALSE),0))</f>
        <v/>
      </c>
      <c r="P769" s="59">
        <f>IF(C769="","",IFERROR(INDEX('6. Base de Custos'!$P$8:$P$42,MATCH(C769,'6. Base de Custos'!$L$8:$L$42,0)),"Revisar"))</f>
        <v/>
      </c>
      <c r="Q769" s="59">
        <f>IF(C769="","",IFERROR(INDEX('6. Base de Custos'!$Q$8:$Q$42,MATCH(C769,'6. Base de Custos'!$L$8:$L$42,0)),""))</f>
        <v/>
      </c>
      <c r="R769" s="65">
        <f>IF(C769="","",IFERROR(VLOOKUP(M769&amp;"|"&amp;N769,'17. Mapa DRE CP'!$E$5:$H$100,2,FALSE),"Revisar"))</f>
        <v/>
      </c>
      <c r="S769" s="65">
        <f>IF(C769="","",IFERROR(VLOOKUP(M769&amp;"|"&amp;N769,'17. Mapa DRE CP'!$E$5:$H$100,3,FALSE),"Revisar"))</f>
        <v/>
      </c>
      <c r="T769" s="65">
        <f>IF(C769="","",IF(R769="(-) Custos diretos dos serviços",IF(ISNUMBER(SEARCH("PCMSO",C769)),"PCMSO",IF(OR(ISNUMBER(SEARCH("SGS",C769)),ISNUMBER(SEARCH("CASTRO NAVES",C769))),"Projetos / Laudos / Avulsos","Projetos / Laudos / Avulsos")),"Rateio pela receita bruta"))</f>
        <v/>
      </c>
      <c r="U769" s="65">
        <f>IF(C769="","",IF(R769="(-) Custos diretos dos serviços","Direto por fornecedor/natureza do gasto","Rateio proporcional à receita bruta da linha de serviço"))</f>
        <v/>
      </c>
    </row>
    <row r="770">
      <c r="A770" s="28">
        <f>IF(C770="","", "CP-"&amp;TEXT(ROW()-5,"000"))</f>
        <v/>
      </c>
      <c r="B770" s="27">
        <f>IF(F770="","",DATE(YEAR(F770),MONTH(F770),1))</f>
        <v/>
      </c>
      <c r="C770" s="28" t="n"/>
      <c r="D770" s="28" t="n"/>
      <c r="E770" s="59">
        <f>IF(C770="","",IFERROR(INDEX('6. Base de Custos'!$M$8:$M$42,MATCH(C770,'6. Base de Custos'!$L$8:$L$42,0)),"Não classificado"))</f>
        <v/>
      </c>
      <c r="F770" s="111" t="n"/>
      <c r="G770" s="111" t="n"/>
      <c r="H770" s="111" t="n"/>
      <c r="I770" s="45" t="n"/>
      <c r="J770" s="28" t="n"/>
      <c r="K770" s="28" t="n"/>
      <c r="L770" s="28" t="n"/>
      <c r="M770" s="59">
        <f>IF(C770="","",IFERROR(INDEX('6. Base de Custos'!$N$8:$N$42,MATCH(C770,'6. Base de Custos'!$L$8:$L$42,0)),"Não classificado"))</f>
        <v/>
      </c>
      <c r="N770" s="59">
        <f>IF(C770="","",IFERROR(INDEX('6. Base de Custos'!$O$8:$O$42,MATCH(C770,'6. Base de Custos'!$L$8:$L$42,0)),"Revisar"))</f>
        <v/>
      </c>
      <c r="O770" s="60">
        <f>IF(M770="","",IFERROR(VLOOKUP(M770,'6. Base de Custos'!$H$12:$J$18,3,FALSE),0))</f>
        <v/>
      </c>
      <c r="P770" s="59">
        <f>IF(C770="","",IFERROR(INDEX('6. Base de Custos'!$P$8:$P$42,MATCH(C770,'6. Base de Custos'!$L$8:$L$42,0)),"Revisar"))</f>
        <v/>
      </c>
      <c r="Q770" s="59">
        <f>IF(C770="","",IFERROR(INDEX('6. Base de Custos'!$Q$8:$Q$42,MATCH(C770,'6. Base de Custos'!$L$8:$L$42,0)),""))</f>
        <v/>
      </c>
      <c r="R770" s="65">
        <f>IF(C770="","",IFERROR(VLOOKUP(M770&amp;"|"&amp;N770,'17. Mapa DRE CP'!$E$5:$H$100,2,FALSE),"Revisar"))</f>
        <v/>
      </c>
      <c r="S770" s="65">
        <f>IF(C770="","",IFERROR(VLOOKUP(M770&amp;"|"&amp;N770,'17. Mapa DRE CP'!$E$5:$H$100,3,FALSE),"Revisar"))</f>
        <v/>
      </c>
      <c r="T770" s="65">
        <f>IF(C770="","",IF(R770="(-) Custos diretos dos serviços",IF(ISNUMBER(SEARCH("PCMSO",C770)),"PCMSO",IF(OR(ISNUMBER(SEARCH("SGS",C770)),ISNUMBER(SEARCH("CASTRO NAVES",C770))),"Projetos / Laudos / Avulsos","Projetos / Laudos / Avulsos")),"Rateio pela receita bruta"))</f>
        <v/>
      </c>
      <c r="U770" s="65">
        <f>IF(C770="","",IF(R770="(-) Custos diretos dos serviços","Direto por fornecedor/natureza do gasto","Rateio proporcional à receita bruta da linha de serviço"))</f>
        <v/>
      </c>
    </row>
    <row r="771">
      <c r="A771" s="28">
        <f>IF(C771="","", "CP-"&amp;TEXT(ROW()-5,"000"))</f>
        <v/>
      </c>
      <c r="B771" s="27">
        <f>IF(F771="","",DATE(YEAR(F771),MONTH(F771),1))</f>
        <v/>
      </c>
      <c r="C771" s="28" t="n"/>
      <c r="D771" s="28" t="n"/>
      <c r="E771" s="59">
        <f>IF(C771="","",IFERROR(INDEX('6. Base de Custos'!$M$8:$M$42,MATCH(C771,'6. Base de Custos'!$L$8:$L$42,0)),"Não classificado"))</f>
        <v/>
      </c>
      <c r="F771" s="111" t="n"/>
      <c r="G771" s="111" t="n"/>
      <c r="H771" s="111" t="n"/>
      <c r="I771" s="45" t="n"/>
      <c r="J771" s="28" t="n"/>
      <c r="K771" s="28" t="n"/>
      <c r="L771" s="28" t="n"/>
      <c r="M771" s="59">
        <f>IF(C771="","",IFERROR(INDEX('6. Base de Custos'!$N$8:$N$42,MATCH(C771,'6. Base de Custos'!$L$8:$L$42,0)),"Não classificado"))</f>
        <v/>
      </c>
      <c r="N771" s="59">
        <f>IF(C771="","",IFERROR(INDEX('6. Base de Custos'!$O$8:$O$42,MATCH(C771,'6. Base de Custos'!$L$8:$L$42,0)),"Revisar"))</f>
        <v/>
      </c>
      <c r="O771" s="60">
        <f>IF(M771="","",IFERROR(VLOOKUP(M771,'6. Base de Custos'!$H$12:$J$18,3,FALSE),0))</f>
        <v/>
      </c>
      <c r="P771" s="59">
        <f>IF(C771="","",IFERROR(INDEX('6. Base de Custos'!$P$8:$P$42,MATCH(C771,'6. Base de Custos'!$L$8:$L$42,0)),"Revisar"))</f>
        <v/>
      </c>
      <c r="Q771" s="59">
        <f>IF(C771="","",IFERROR(INDEX('6. Base de Custos'!$Q$8:$Q$42,MATCH(C771,'6. Base de Custos'!$L$8:$L$42,0)),""))</f>
        <v/>
      </c>
      <c r="R771" s="65">
        <f>IF(C771="","",IFERROR(VLOOKUP(M771&amp;"|"&amp;N771,'17. Mapa DRE CP'!$E$5:$H$100,2,FALSE),"Revisar"))</f>
        <v/>
      </c>
      <c r="S771" s="65">
        <f>IF(C771="","",IFERROR(VLOOKUP(M771&amp;"|"&amp;N771,'17. Mapa DRE CP'!$E$5:$H$100,3,FALSE),"Revisar"))</f>
        <v/>
      </c>
      <c r="T771" s="65">
        <f>IF(C771="","",IF(R771="(-) Custos diretos dos serviços",IF(ISNUMBER(SEARCH("PCMSO",C771)),"PCMSO",IF(OR(ISNUMBER(SEARCH("SGS",C771)),ISNUMBER(SEARCH("CASTRO NAVES",C771))),"Projetos / Laudos / Avulsos","Projetos / Laudos / Avulsos")),"Rateio pela receita bruta"))</f>
        <v/>
      </c>
      <c r="U771" s="65">
        <f>IF(C771="","",IF(R771="(-) Custos diretos dos serviços","Direto por fornecedor/natureza do gasto","Rateio proporcional à receita bruta da linha de serviço"))</f>
        <v/>
      </c>
    </row>
    <row r="772">
      <c r="A772" s="28">
        <f>IF(C772="","", "CP-"&amp;TEXT(ROW()-5,"000"))</f>
        <v/>
      </c>
      <c r="B772" s="27">
        <f>IF(F772="","",DATE(YEAR(F772),MONTH(F772),1))</f>
        <v/>
      </c>
      <c r="C772" s="28" t="n"/>
      <c r="D772" s="28" t="n"/>
      <c r="E772" s="59">
        <f>IF(C772="","",IFERROR(INDEX('6. Base de Custos'!$M$8:$M$42,MATCH(C772,'6. Base de Custos'!$L$8:$L$42,0)),"Não classificado"))</f>
        <v/>
      </c>
      <c r="F772" s="111" t="n"/>
      <c r="G772" s="111" t="n"/>
      <c r="H772" s="111" t="n"/>
      <c r="I772" s="45" t="n"/>
      <c r="J772" s="28" t="n"/>
      <c r="K772" s="28" t="n"/>
      <c r="L772" s="28" t="n"/>
      <c r="M772" s="59">
        <f>IF(C772="","",IFERROR(INDEX('6. Base de Custos'!$N$8:$N$42,MATCH(C772,'6. Base de Custos'!$L$8:$L$42,0)),"Não classificado"))</f>
        <v/>
      </c>
      <c r="N772" s="59">
        <f>IF(C772="","",IFERROR(INDEX('6. Base de Custos'!$O$8:$O$42,MATCH(C772,'6. Base de Custos'!$L$8:$L$42,0)),"Revisar"))</f>
        <v/>
      </c>
      <c r="O772" s="60">
        <f>IF(M772="","",IFERROR(VLOOKUP(M772,'6. Base de Custos'!$H$12:$J$18,3,FALSE),0))</f>
        <v/>
      </c>
      <c r="P772" s="59">
        <f>IF(C772="","",IFERROR(INDEX('6. Base de Custos'!$P$8:$P$42,MATCH(C772,'6. Base de Custos'!$L$8:$L$42,0)),"Revisar"))</f>
        <v/>
      </c>
      <c r="Q772" s="59">
        <f>IF(C772="","",IFERROR(INDEX('6. Base de Custos'!$Q$8:$Q$42,MATCH(C772,'6. Base de Custos'!$L$8:$L$42,0)),""))</f>
        <v/>
      </c>
      <c r="R772" s="65">
        <f>IF(C772="","",IFERROR(VLOOKUP(M772&amp;"|"&amp;N772,'17. Mapa DRE CP'!$E$5:$H$100,2,FALSE),"Revisar"))</f>
        <v/>
      </c>
      <c r="S772" s="65">
        <f>IF(C772="","",IFERROR(VLOOKUP(M772&amp;"|"&amp;N772,'17. Mapa DRE CP'!$E$5:$H$100,3,FALSE),"Revisar"))</f>
        <v/>
      </c>
      <c r="T772" s="65">
        <f>IF(C772="","",IF(R772="(-) Custos diretos dos serviços",IF(ISNUMBER(SEARCH("PCMSO",C772)),"PCMSO",IF(OR(ISNUMBER(SEARCH("SGS",C772)),ISNUMBER(SEARCH("CASTRO NAVES",C772))),"Projetos / Laudos / Avulsos","Projetos / Laudos / Avulsos")),"Rateio pela receita bruta"))</f>
        <v/>
      </c>
      <c r="U772" s="65">
        <f>IF(C772="","",IF(R772="(-) Custos diretos dos serviços","Direto por fornecedor/natureza do gasto","Rateio proporcional à receita bruta da linha de serviço"))</f>
        <v/>
      </c>
    </row>
    <row r="773">
      <c r="A773" s="28">
        <f>IF(C773="","", "CP-"&amp;TEXT(ROW()-5,"000"))</f>
        <v/>
      </c>
      <c r="B773" s="27">
        <f>IF(F773="","",DATE(YEAR(F773),MONTH(F773),1))</f>
        <v/>
      </c>
      <c r="C773" s="28" t="n"/>
      <c r="D773" s="28" t="n"/>
      <c r="E773" s="59">
        <f>IF(C773="","",IFERROR(INDEX('6. Base de Custos'!$M$8:$M$42,MATCH(C773,'6. Base de Custos'!$L$8:$L$42,0)),"Não classificado"))</f>
        <v/>
      </c>
      <c r="F773" s="111" t="n"/>
      <c r="G773" s="111" t="n"/>
      <c r="H773" s="111" t="n"/>
      <c r="I773" s="45" t="n"/>
      <c r="J773" s="28" t="n"/>
      <c r="K773" s="28" t="n"/>
      <c r="L773" s="28" t="n"/>
      <c r="M773" s="59">
        <f>IF(C773="","",IFERROR(INDEX('6. Base de Custos'!$N$8:$N$42,MATCH(C773,'6. Base de Custos'!$L$8:$L$42,0)),"Não classificado"))</f>
        <v/>
      </c>
      <c r="N773" s="59">
        <f>IF(C773="","",IFERROR(INDEX('6. Base de Custos'!$O$8:$O$42,MATCH(C773,'6. Base de Custos'!$L$8:$L$42,0)),"Revisar"))</f>
        <v/>
      </c>
      <c r="O773" s="60">
        <f>IF(M773="","",IFERROR(VLOOKUP(M773,'6. Base de Custos'!$H$12:$J$18,3,FALSE),0))</f>
        <v/>
      </c>
      <c r="P773" s="59">
        <f>IF(C773="","",IFERROR(INDEX('6. Base de Custos'!$P$8:$P$42,MATCH(C773,'6. Base de Custos'!$L$8:$L$42,0)),"Revisar"))</f>
        <v/>
      </c>
      <c r="Q773" s="59">
        <f>IF(C773="","",IFERROR(INDEX('6. Base de Custos'!$Q$8:$Q$42,MATCH(C773,'6. Base de Custos'!$L$8:$L$42,0)),""))</f>
        <v/>
      </c>
      <c r="R773" s="65">
        <f>IF(C773="","",IFERROR(VLOOKUP(M773&amp;"|"&amp;N773,'17. Mapa DRE CP'!$E$5:$H$100,2,FALSE),"Revisar"))</f>
        <v/>
      </c>
      <c r="S773" s="65">
        <f>IF(C773="","",IFERROR(VLOOKUP(M773&amp;"|"&amp;N773,'17. Mapa DRE CP'!$E$5:$H$100,3,FALSE),"Revisar"))</f>
        <v/>
      </c>
      <c r="T773" s="65">
        <f>IF(C773="","",IF(R773="(-) Custos diretos dos serviços",IF(ISNUMBER(SEARCH("PCMSO",C773)),"PCMSO",IF(OR(ISNUMBER(SEARCH("SGS",C773)),ISNUMBER(SEARCH("CASTRO NAVES",C773))),"Projetos / Laudos / Avulsos","Projetos / Laudos / Avulsos")),"Rateio pela receita bruta"))</f>
        <v/>
      </c>
      <c r="U773" s="65">
        <f>IF(C773="","",IF(R773="(-) Custos diretos dos serviços","Direto por fornecedor/natureza do gasto","Rateio proporcional à receita bruta da linha de serviço"))</f>
        <v/>
      </c>
    </row>
    <row r="774">
      <c r="A774" s="28">
        <f>IF(C774="","", "CP-"&amp;TEXT(ROW()-5,"000"))</f>
        <v/>
      </c>
      <c r="B774" s="27">
        <f>IF(F774="","",DATE(YEAR(F774),MONTH(F774),1))</f>
        <v/>
      </c>
      <c r="C774" s="28" t="n"/>
      <c r="D774" s="28" t="n"/>
      <c r="E774" s="59">
        <f>IF(C774="","",IFERROR(INDEX('6. Base de Custos'!$M$8:$M$42,MATCH(C774,'6. Base de Custos'!$L$8:$L$42,0)),"Não classificado"))</f>
        <v/>
      </c>
      <c r="F774" s="111" t="n"/>
      <c r="G774" s="111" t="n"/>
      <c r="H774" s="111" t="n"/>
      <c r="I774" s="45" t="n"/>
      <c r="J774" s="28" t="n"/>
      <c r="K774" s="28" t="n"/>
      <c r="L774" s="28" t="n"/>
      <c r="M774" s="59">
        <f>IF(C774="","",IFERROR(INDEX('6. Base de Custos'!$N$8:$N$42,MATCH(C774,'6. Base de Custos'!$L$8:$L$42,0)),"Não classificado"))</f>
        <v/>
      </c>
      <c r="N774" s="59">
        <f>IF(C774="","",IFERROR(INDEX('6. Base de Custos'!$O$8:$O$42,MATCH(C774,'6. Base de Custos'!$L$8:$L$42,0)),"Revisar"))</f>
        <v/>
      </c>
      <c r="O774" s="60">
        <f>IF(M774="","",IFERROR(VLOOKUP(M774,'6. Base de Custos'!$H$12:$J$18,3,FALSE),0))</f>
        <v/>
      </c>
      <c r="P774" s="59">
        <f>IF(C774="","",IFERROR(INDEX('6. Base de Custos'!$P$8:$P$42,MATCH(C774,'6. Base de Custos'!$L$8:$L$42,0)),"Revisar"))</f>
        <v/>
      </c>
      <c r="Q774" s="59">
        <f>IF(C774="","",IFERROR(INDEX('6. Base de Custos'!$Q$8:$Q$42,MATCH(C774,'6. Base de Custos'!$L$8:$L$42,0)),""))</f>
        <v/>
      </c>
      <c r="R774" s="65">
        <f>IF(C774="","",IFERROR(VLOOKUP(M774&amp;"|"&amp;N774,'17. Mapa DRE CP'!$E$5:$H$100,2,FALSE),"Revisar"))</f>
        <v/>
      </c>
      <c r="S774" s="65">
        <f>IF(C774="","",IFERROR(VLOOKUP(M774&amp;"|"&amp;N774,'17. Mapa DRE CP'!$E$5:$H$100,3,FALSE),"Revisar"))</f>
        <v/>
      </c>
      <c r="T774" s="65">
        <f>IF(C774="","",IF(R774="(-) Custos diretos dos serviços",IF(ISNUMBER(SEARCH("PCMSO",C774)),"PCMSO",IF(OR(ISNUMBER(SEARCH("SGS",C774)),ISNUMBER(SEARCH("CASTRO NAVES",C774))),"Projetos / Laudos / Avulsos","Projetos / Laudos / Avulsos")),"Rateio pela receita bruta"))</f>
        <v/>
      </c>
      <c r="U774" s="65">
        <f>IF(C774="","",IF(R774="(-) Custos diretos dos serviços","Direto por fornecedor/natureza do gasto","Rateio proporcional à receita bruta da linha de serviço"))</f>
        <v/>
      </c>
    </row>
    <row r="775">
      <c r="A775" s="28">
        <f>IF(C775="","", "CP-"&amp;TEXT(ROW()-5,"000"))</f>
        <v/>
      </c>
      <c r="B775" s="27">
        <f>IF(F775="","",DATE(YEAR(F775),MONTH(F775),1))</f>
        <v/>
      </c>
      <c r="C775" s="28" t="n"/>
      <c r="D775" s="28" t="n"/>
      <c r="E775" s="59">
        <f>IF(C775="","",IFERROR(INDEX('6. Base de Custos'!$M$8:$M$42,MATCH(C775,'6. Base de Custos'!$L$8:$L$42,0)),"Não classificado"))</f>
        <v/>
      </c>
      <c r="F775" s="111" t="n"/>
      <c r="G775" s="111" t="n"/>
      <c r="H775" s="111" t="n"/>
      <c r="I775" s="45" t="n"/>
      <c r="J775" s="28" t="n"/>
      <c r="K775" s="28" t="n"/>
      <c r="L775" s="28" t="n"/>
      <c r="M775" s="59">
        <f>IF(C775="","",IFERROR(INDEX('6. Base de Custos'!$N$8:$N$42,MATCH(C775,'6. Base de Custos'!$L$8:$L$42,0)),"Não classificado"))</f>
        <v/>
      </c>
      <c r="N775" s="59">
        <f>IF(C775="","",IFERROR(INDEX('6. Base de Custos'!$O$8:$O$42,MATCH(C775,'6. Base de Custos'!$L$8:$L$42,0)),"Revisar"))</f>
        <v/>
      </c>
      <c r="O775" s="60">
        <f>IF(M775="","",IFERROR(VLOOKUP(M775,'6. Base de Custos'!$H$12:$J$18,3,FALSE),0))</f>
        <v/>
      </c>
      <c r="P775" s="59">
        <f>IF(C775="","",IFERROR(INDEX('6. Base de Custos'!$P$8:$P$42,MATCH(C775,'6. Base de Custos'!$L$8:$L$42,0)),"Revisar"))</f>
        <v/>
      </c>
      <c r="Q775" s="59">
        <f>IF(C775="","",IFERROR(INDEX('6. Base de Custos'!$Q$8:$Q$42,MATCH(C775,'6. Base de Custos'!$L$8:$L$42,0)),""))</f>
        <v/>
      </c>
      <c r="R775" s="65">
        <f>IF(C775="","",IFERROR(VLOOKUP(M775&amp;"|"&amp;N775,'17. Mapa DRE CP'!$E$5:$H$100,2,FALSE),"Revisar"))</f>
        <v/>
      </c>
      <c r="S775" s="65">
        <f>IF(C775="","",IFERROR(VLOOKUP(M775&amp;"|"&amp;N775,'17. Mapa DRE CP'!$E$5:$H$100,3,FALSE),"Revisar"))</f>
        <v/>
      </c>
      <c r="T775" s="65">
        <f>IF(C775="","",IF(R775="(-) Custos diretos dos serviços",IF(ISNUMBER(SEARCH("PCMSO",C775)),"PCMSO",IF(OR(ISNUMBER(SEARCH("SGS",C775)),ISNUMBER(SEARCH("CASTRO NAVES",C775))),"Projetos / Laudos / Avulsos","Projetos / Laudos / Avulsos")),"Rateio pela receita bruta"))</f>
        <v/>
      </c>
      <c r="U775" s="65">
        <f>IF(C775="","",IF(R775="(-) Custos diretos dos serviços","Direto por fornecedor/natureza do gasto","Rateio proporcional à receita bruta da linha de serviço"))</f>
        <v/>
      </c>
    </row>
    <row r="776">
      <c r="A776" s="28">
        <f>IF(C776="","", "CP-"&amp;TEXT(ROW()-5,"000"))</f>
        <v/>
      </c>
      <c r="B776" s="27">
        <f>IF(F776="","",DATE(YEAR(F776),MONTH(F776),1))</f>
        <v/>
      </c>
      <c r="C776" s="28" t="n"/>
      <c r="D776" s="28" t="n"/>
      <c r="E776" s="59">
        <f>IF(C776="","",IFERROR(INDEX('6. Base de Custos'!$M$8:$M$42,MATCH(C776,'6. Base de Custos'!$L$8:$L$42,0)),"Não classificado"))</f>
        <v/>
      </c>
      <c r="F776" s="111" t="n"/>
      <c r="G776" s="111" t="n"/>
      <c r="H776" s="111" t="n"/>
      <c r="I776" s="45" t="n"/>
      <c r="J776" s="28" t="n"/>
      <c r="K776" s="28" t="n"/>
      <c r="L776" s="28" t="n"/>
      <c r="M776" s="59">
        <f>IF(C776="","",IFERROR(INDEX('6. Base de Custos'!$N$8:$N$42,MATCH(C776,'6. Base de Custos'!$L$8:$L$42,0)),"Não classificado"))</f>
        <v/>
      </c>
      <c r="N776" s="59">
        <f>IF(C776="","",IFERROR(INDEX('6. Base de Custos'!$O$8:$O$42,MATCH(C776,'6. Base de Custos'!$L$8:$L$42,0)),"Revisar"))</f>
        <v/>
      </c>
      <c r="O776" s="60">
        <f>IF(M776="","",IFERROR(VLOOKUP(M776,'6. Base de Custos'!$H$12:$J$18,3,FALSE),0))</f>
        <v/>
      </c>
      <c r="P776" s="59">
        <f>IF(C776="","",IFERROR(INDEX('6. Base de Custos'!$P$8:$P$42,MATCH(C776,'6. Base de Custos'!$L$8:$L$42,0)),"Revisar"))</f>
        <v/>
      </c>
      <c r="Q776" s="59">
        <f>IF(C776="","",IFERROR(INDEX('6. Base de Custos'!$Q$8:$Q$42,MATCH(C776,'6. Base de Custos'!$L$8:$L$42,0)),""))</f>
        <v/>
      </c>
      <c r="R776" s="65">
        <f>IF(C776="","",IFERROR(VLOOKUP(M776&amp;"|"&amp;N776,'17. Mapa DRE CP'!$E$5:$H$100,2,FALSE),"Revisar"))</f>
        <v/>
      </c>
      <c r="S776" s="65">
        <f>IF(C776="","",IFERROR(VLOOKUP(M776&amp;"|"&amp;N776,'17. Mapa DRE CP'!$E$5:$H$100,3,FALSE),"Revisar"))</f>
        <v/>
      </c>
      <c r="T776" s="65">
        <f>IF(C776="","",IF(R776="(-) Custos diretos dos serviços",IF(ISNUMBER(SEARCH("PCMSO",C776)),"PCMSO",IF(OR(ISNUMBER(SEARCH("SGS",C776)),ISNUMBER(SEARCH("CASTRO NAVES",C776))),"Projetos / Laudos / Avulsos","Projetos / Laudos / Avulsos")),"Rateio pela receita bruta"))</f>
        <v/>
      </c>
      <c r="U776" s="65">
        <f>IF(C776="","",IF(R776="(-) Custos diretos dos serviços","Direto por fornecedor/natureza do gasto","Rateio proporcional à receita bruta da linha de serviço"))</f>
        <v/>
      </c>
    </row>
    <row r="777">
      <c r="A777" s="28">
        <f>IF(C777="","", "CP-"&amp;TEXT(ROW()-5,"000"))</f>
        <v/>
      </c>
      <c r="B777" s="27">
        <f>IF(F777="","",DATE(YEAR(F777),MONTH(F777),1))</f>
        <v/>
      </c>
      <c r="C777" s="28" t="n"/>
      <c r="D777" s="28" t="n"/>
      <c r="E777" s="59">
        <f>IF(C777="","",IFERROR(INDEX('6. Base de Custos'!$M$8:$M$42,MATCH(C777,'6. Base de Custos'!$L$8:$L$42,0)),"Não classificado"))</f>
        <v/>
      </c>
      <c r="F777" s="111" t="n"/>
      <c r="G777" s="111" t="n"/>
      <c r="H777" s="111" t="n"/>
      <c r="I777" s="45" t="n"/>
      <c r="J777" s="28" t="n"/>
      <c r="K777" s="28" t="n"/>
      <c r="L777" s="28" t="n"/>
      <c r="M777" s="59">
        <f>IF(C777="","",IFERROR(INDEX('6. Base de Custos'!$N$8:$N$42,MATCH(C777,'6. Base de Custos'!$L$8:$L$42,0)),"Não classificado"))</f>
        <v/>
      </c>
      <c r="N777" s="59">
        <f>IF(C777="","",IFERROR(INDEX('6. Base de Custos'!$O$8:$O$42,MATCH(C777,'6. Base de Custos'!$L$8:$L$42,0)),"Revisar"))</f>
        <v/>
      </c>
      <c r="O777" s="60">
        <f>IF(M777="","",IFERROR(VLOOKUP(M777,'6. Base de Custos'!$H$12:$J$18,3,FALSE),0))</f>
        <v/>
      </c>
      <c r="P777" s="59">
        <f>IF(C777="","",IFERROR(INDEX('6. Base de Custos'!$P$8:$P$42,MATCH(C777,'6. Base de Custos'!$L$8:$L$42,0)),"Revisar"))</f>
        <v/>
      </c>
      <c r="Q777" s="59">
        <f>IF(C777="","",IFERROR(INDEX('6. Base de Custos'!$Q$8:$Q$42,MATCH(C777,'6. Base de Custos'!$L$8:$L$42,0)),""))</f>
        <v/>
      </c>
      <c r="R777" s="65">
        <f>IF(C777="","",IFERROR(VLOOKUP(M777&amp;"|"&amp;N777,'17. Mapa DRE CP'!$E$5:$H$100,2,FALSE),"Revisar"))</f>
        <v/>
      </c>
      <c r="S777" s="65">
        <f>IF(C777="","",IFERROR(VLOOKUP(M777&amp;"|"&amp;N777,'17. Mapa DRE CP'!$E$5:$H$100,3,FALSE),"Revisar"))</f>
        <v/>
      </c>
      <c r="T777" s="65">
        <f>IF(C777="","",IF(R777="(-) Custos diretos dos serviços",IF(ISNUMBER(SEARCH("PCMSO",C777)),"PCMSO",IF(OR(ISNUMBER(SEARCH("SGS",C777)),ISNUMBER(SEARCH("CASTRO NAVES",C777))),"Projetos / Laudos / Avulsos","Projetos / Laudos / Avulsos")),"Rateio pela receita bruta"))</f>
        <v/>
      </c>
      <c r="U777" s="65">
        <f>IF(C777="","",IF(R777="(-) Custos diretos dos serviços","Direto por fornecedor/natureza do gasto","Rateio proporcional à receita bruta da linha de serviço"))</f>
        <v/>
      </c>
    </row>
    <row r="778">
      <c r="A778" s="28">
        <f>IF(C778="","", "CP-"&amp;TEXT(ROW()-5,"000"))</f>
        <v/>
      </c>
      <c r="B778" s="27">
        <f>IF(F778="","",DATE(YEAR(F778),MONTH(F778),1))</f>
        <v/>
      </c>
      <c r="C778" s="28" t="n"/>
      <c r="D778" s="28" t="n"/>
      <c r="E778" s="59">
        <f>IF(C778="","",IFERROR(INDEX('6. Base de Custos'!$M$8:$M$42,MATCH(C778,'6. Base de Custos'!$L$8:$L$42,0)),"Não classificado"))</f>
        <v/>
      </c>
      <c r="F778" s="111" t="n"/>
      <c r="G778" s="111" t="n"/>
      <c r="H778" s="111" t="n"/>
      <c r="I778" s="45" t="n"/>
      <c r="J778" s="28" t="n"/>
      <c r="K778" s="28" t="n"/>
      <c r="L778" s="28" t="n"/>
      <c r="M778" s="59">
        <f>IF(C778="","",IFERROR(INDEX('6. Base de Custos'!$N$8:$N$42,MATCH(C778,'6. Base de Custos'!$L$8:$L$42,0)),"Não classificado"))</f>
        <v/>
      </c>
      <c r="N778" s="59">
        <f>IF(C778="","",IFERROR(INDEX('6. Base de Custos'!$O$8:$O$42,MATCH(C778,'6. Base de Custos'!$L$8:$L$42,0)),"Revisar"))</f>
        <v/>
      </c>
      <c r="O778" s="60">
        <f>IF(M778="","",IFERROR(VLOOKUP(M778,'6. Base de Custos'!$H$12:$J$18,3,FALSE),0))</f>
        <v/>
      </c>
      <c r="P778" s="59">
        <f>IF(C778="","",IFERROR(INDEX('6. Base de Custos'!$P$8:$P$42,MATCH(C778,'6. Base de Custos'!$L$8:$L$42,0)),"Revisar"))</f>
        <v/>
      </c>
      <c r="Q778" s="59">
        <f>IF(C778="","",IFERROR(INDEX('6. Base de Custos'!$Q$8:$Q$42,MATCH(C778,'6. Base de Custos'!$L$8:$L$42,0)),""))</f>
        <v/>
      </c>
      <c r="R778" s="65">
        <f>IF(C778="","",IFERROR(VLOOKUP(M778&amp;"|"&amp;N778,'17. Mapa DRE CP'!$E$5:$H$100,2,FALSE),"Revisar"))</f>
        <v/>
      </c>
      <c r="S778" s="65">
        <f>IF(C778="","",IFERROR(VLOOKUP(M778&amp;"|"&amp;N778,'17. Mapa DRE CP'!$E$5:$H$100,3,FALSE),"Revisar"))</f>
        <v/>
      </c>
      <c r="T778" s="65">
        <f>IF(C778="","",IF(R778="(-) Custos diretos dos serviços",IF(ISNUMBER(SEARCH("PCMSO",C778)),"PCMSO",IF(OR(ISNUMBER(SEARCH("SGS",C778)),ISNUMBER(SEARCH("CASTRO NAVES",C778))),"Projetos / Laudos / Avulsos","Projetos / Laudos / Avulsos")),"Rateio pela receita bruta"))</f>
        <v/>
      </c>
      <c r="U778" s="65">
        <f>IF(C778="","",IF(R778="(-) Custos diretos dos serviços","Direto por fornecedor/natureza do gasto","Rateio proporcional à receita bruta da linha de serviço"))</f>
        <v/>
      </c>
    </row>
    <row r="779">
      <c r="A779" s="28">
        <f>IF(C779="","", "CP-"&amp;TEXT(ROW()-5,"000"))</f>
        <v/>
      </c>
      <c r="B779" s="27">
        <f>IF(F779="","",DATE(YEAR(F779),MONTH(F779),1))</f>
        <v/>
      </c>
      <c r="C779" s="28" t="n"/>
      <c r="D779" s="28" t="n"/>
      <c r="E779" s="59">
        <f>IF(C779="","",IFERROR(INDEX('6. Base de Custos'!$M$8:$M$42,MATCH(C779,'6. Base de Custos'!$L$8:$L$42,0)),"Não classificado"))</f>
        <v/>
      </c>
      <c r="F779" s="111" t="n"/>
      <c r="G779" s="111" t="n"/>
      <c r="H779" s="111" t="n"/>
      <c r="I779" s="45" t="n"/>
      <c r="J779" s="28" t="n"/>
      <c r="K779" s="28" t="n"/>
      <c r="L779" s="28" t="n"/>
      <c r="M779" s="59">
        <f>IF(C779="","",IFERROR(INDEX('6. Base de Custos'!$N$8:$N$42,MATCH(C779,'6. Base de Custos'!$L$8:$L$42,0)),"Não classificado"))</f>
        <v/>
      </c>
      <c r="N779" s="59">
        <f>IF(C779="","",IFERROR(INDEX('6. Base de Custos'!$O$8:$O$42,MATCH(C779,'6. Base de Custos'!$L$8:$L$42,0)),"Revisar"))</f>
        <v/>
      </c>
      <c r="O779" s="60">
        <f>IF(M779="","",IFERROR(VLOOKUP(M779,'6. Base de Custos'!$H$12:$J$18,3,FALSE),0))</f>
        <v/>
      </c>
      <c r="P779" s="59">
        <f>IF(C779="","",IFERROR(INDEX('6. Base de Custos'!$P$8:$P$42,MATCH(C779,'6. Base de Custos'!$L$8:$L$42,0)),"Revisar"))</f>
        <v/>
      </c>
      <c r="Q779" s="59">
        <f>IF(C779="","",IFERROR(INDEX('6. Base de Custos'!$Q$8:$Q$42,MATCH(C779,'6. Base de Custos'!$L$8:$L$42,0)),""))</f>
        <v/>
      </c>
      <c r="R779" s="65">
        <f>IF(C779="","",IFERROR(VLOOKUP(M779&amp;"|"&amp;N779,'17. Mapa DRE CP'!$E$5:$H$100,2,FALSE),"Revisar"))</f>
        <v/>
      </c>
      <c r="S779" s="65">
        <f>IF(C779="","",IFERROR(VLOOKUP(M779&amp;"|"&amp;N779,'17. Mapa DRE CP'!$E$5:$H$100,3,FALSE),"Revisar"))</f>
        <v/>
      </c>
      <c r="T779" s="65">
        <f>IF(C779="","",IF(R779="(-) Custos diretos dos serviços",IF(ISNUMBER(SEARCH("PCMSO",C779)),"PCMSO",IF(OR(ISNUMBER(SEARCH("SGS",C779)),ISNUMBER(SEARCH("CASTRO NAVES",C779))),"Projetos / Laudos / Avulsos","Projetos / Laudos / Avulsos")),"Rateio pela receita bruta"))</f>
        <v/>
      </c>
      <c r="U779" s="65">
        <f>IF(C779="","",IF(R779="(-) Custos diretos dos serviços","Direto por fornecedor/natureza do gasto","Rateio proporcional à receita bruta da linha de serviço"))</f>
        <v/>
      </c>
    </row>
    <row r="780">
      <c r="A780" s="28">
        <f>IF(C780="","", "CP-"&amp;TEXT(ROW()-5,"000"))</f>
        <v/>
      </c>
      <c r="B780" s="27">
        <f>IF(F780="","",DATE(YEAR(F780),MONTH(F780),1))</f>
        <v/>
      </c>
      <c r="C780" s="28" t="n"/>
      <c r="D780" s="28" t="n"/>
      <c r="E780" s="59">
        <f>IF(C780="","",IFERROR(INDEX('6. Base de Custos'!$M$8:$M$42,MATCH(C780,'6. Base de Custos'!$L$8:$L$42,0)),"Não classificado"))</f>
        <v/>
      </c>
      <c r="F780" s="111" t="n"/>
      <c r="G780" s="111" t="n"/>
      <c r="H780" s="111" t="n"/>
      <c r="I780" s="45" t="n"/>
      <c r="J780" s="28" t="n"/>
      <c r="K780" s="28" t="n"/>
      <c r="L780" s="28" t="n"/>
      <c r="M780" s="59">
        <f>IF(C780="","",IFERROR(INDEX('6. Base de Custos'!$N$8:$N$42,MATCH(C780,'6. Base de Custos'!$L$8:$L$42,0)),"Não classificado"))</f>
        <v/>
      </c>
      <c r="N780" s="59">
        <f>IF(C780="","",IFERROR(INDEX('6. Base de Custos'!$O$8:$O$42,MATCH(C780,'6. Base de Custos'!$L$8:$L$42,0)),"Revisar"))</f>
        <v/>
      </c>
      <c r="O780" s="60">
        <f>IF(M780="","",IFERROR(VLOOKUP(M780,'6. Base de Custos'!$H$12:$J$18,3,FALSE),0))</f>
        <v/>
      </c>
      <c r="P780" s="59">
        <f>IF(C780="","",IFERROR(INDEX('6. Base de Custos'!$P$8:$P$42,MATCH(C780,'6. Base de Custos'!$L$8:$L$42,0)),"Revisar"))</f>
        <v/>
      </c>
      <c r="Q780" s="59">
        <f>IF(C780="","",IFERROR(INDEX('6. Base de Custos'!$Q$8:$Q$42,MATCH(C780,'6. Base de Custos'!$L$8:$L$42,0)),""))</f>
        <v/>
      </c>
      <c r="R780" s="65">
        <f>IF(C780="","",IFERROR(VLOOKUP(M780&amp;"|"&amp;N780,'17. Mapa DRE CP'!$E$5:$H$100,2,FALSE),"Revisar"))</f>
        <v/>
      </c>
      <c r="S780" s="65">
        <f>IF(C780="","",IFERROR(VLOOKUP(M780&amp;"|"&amp;N780,'17. Mapa DRE CP'!$E$5:$H$100,3,FALSE),"Revisar"))</f>
        <v/>
      </c>
      <c r="T780" s="65">
        <f>IF(C780="","",IF(R780="(-) Custos diretos dos serviços",IF(ISNUMBER(SEARCH("PCMSO",C780)),"PCMSO",IF(OR(ISNUMBER(SEARCH("SGS",C780)),ISNUMBER(SEARCH("CASTRO NAVES",C780))),"Projetos / Laudos / Avulsos","Projetos / Laudos / Avulsos")),"Rateio pela receita bruta"))</f>
        <v/>
      </c>
      <c r="U780" s="65">
        <f>IF(C780="","",IF(R780="(-) Custos diretos dos serviços","Direto por fornecedor/natureza do gasto","Rateio proporcional à receita bruta da linha de serviço"))</f>
        <v/>
      </c>
    </row>
    <row r="781">
      <c r="A781" s="28">
        <f>IF(C781="","", "CP-"&amp;TEXT(ROW()-5,"000"))</f>
        <v/>
      </c>
      <c r="B781" s="27">
        <f>IF(F781="","",DATE(YEAR(F781),MONTH(F781),1))</f>
        <v/>
      </c>
      <c r="C781" s="28" t="n"/>
      <c r="D781" s="28" t="n"/>
      <c r="E781" s="59">
        <f>IF(C781="","",IFERROR(INDEX('6. Base de Custos'!$M$8:$M$42,MATCH(C781,'6. Base de Custos'!$L$8:$L$42,0)),"Não classificado"))</f>
        <v/>
      </c>
      <c r="F781" s="111" t="n"/>
      <c r="G781" s="111" t="n"/>
      <c r="H781" s="111" t="n"/>
      <c r="I781" s="45" t="n"/>
      <c r="J781" s="28" t="n"/>
      <c r="K781" s="28" t="n"/>
      <c r="L781" s="28" t="n"/>
      <c r="M781" s="59">
        <f>IF(C781="","",IFERROR(INDEX('6. Base de Custos'!$N$8:$N$42,MATCH(C781,'6. Base de Custos'!$L$8:$L$42,0)),"Não classificado"))</f>
        <v/>
      </c>
      <c r="N781" s="59">
        <f>IF(C781="","",IFERROR(INDEX('6. Base de Custos'!$O$8:$O$42,MATCH(C781,'6. Base de Custos'!$L$8:$L$42,0)),"Revisar"))</f>
        <v/>
      </c>
      <c r="O781" s="60">
        <f>IF(M781="","",IFERROR(VLOOKUP(M781,'6. Base de Custos'!$H$12:$J$18,3,FALSE),0))</f>
        <v/>
      </c>
      <c r="P781" s="59">
        <f>IF(C781="","",IFERROR(INDEX('6. Base de Custos'!$P$8:$P$42,MATCH(C781,'6. Base de Custos'!$L$8:$L$42,0)),"Revisar"))</f>
        <v/>
      </c>
      <c r="Q781" s="59">
        <f>IF(C781="","",IFERROR(INDEX('6. Base de Custos'!$Q$8:$Q$42,MATCH(C781,'6. Base de Custos'!$L$8:$L$42,0)),""))</f>
        <v/>
      </c>
      <c r="R781" s="65">
        <f>IF(C781="","",IFERROR(VLOOKUP(M781&amp;"|"&amp;N781,'17. Mapa DRE CP'!$E$5:$H$100,2,FALSE),"Revisar"))</f>
        <v/>
      </c>
      <c r="S781" s="65">
        <f>IF(C781="","",IFERROR(VLOOKUP(M781&amp;"|"&amp;N781,'17. Mapa DRE CP'!$E$5:$H$100,3,FALSE),"Revisar"))</f>
        <v/>
      </c>
      <c r="T781" s="65">
        <f>IF(C781="","",IF(R781="(-) Custos diretos dos serviços",IF(ISNUMBER(SEARCH("PCMSO",C781)),"PCMSO",IF(OR(ISNUMBER(SEARCH("SGS",C781)),ISNUMBER(SEARCH("CASTRO NAVES",C781))),"Projetos / Laudos / Avulsos","Projetos / Laudos / Avulsos")),"Rateio pela receita bruta"))</f>
        <v/>
      </c>
      <c r="U781" s="65">
        <f>IF(C781="","",IF(R781="(-) Custos diretos dos serviços","Direto por fornecedor/natureza do gasto","Rateio proporcional à receita bruta da linha de serviço"))</f>
        <v/>
      </c>
    </row>
    <row r="782">
      <c r="A782" s="28">
        <f>IF(C782="","", "CP-"&amp;TEXT(ROW()-5,"000"))</f>
        <v/>
      </c>
      <c r="B782" s="27">
        <f>IF(F782="","",DATE(YEAR(F782),MONTH(F782),1))</f>
        <v/>
      </c>
      <c r="C782" s="28" t="n"/>
      <c r="D782" s="28" t="n"/>
      <c r="E782" s="59">
        <f>IF(C782="","",IFERROR(INDEX('6. Base de Custos'!$M$8:$M$42,MATCH(C782,'6. Base de Custos'!$L$8:$L$42,0)),"Não classificado"))</f>
        <v/>
      </c>
      <c r="F782" s="111" t="n"/>
      <c r="G782" s="111" t="n"/>
      <c r="H782" s="111" t="n"/>
      <c r="I782" s="45" t="n"/>
      <c r="J782" s="28" t="n"/>
      <c r="K782" s="28" t="n"/>
      <c r="L782" s="28" t="n"/>
      <c r="M782" s="59">
        <f>IF(C782="","",IFERROR(INDEX('6. Base de Custos'!$N$8:$N$42,MATCH(C782,'6. Base de Custos'!$L$8:$L$42,0)),"Não classificado"))</f>
        <v/>
      </c>
      <c r="N782" s="59">
        <f>IF(C782="","",IFERROR(INDEX('6. Base de Custos'!$O$8:$O$42,MATCH(C782,'6. Base de Custos'!$L$8:$L$42,0)),"Revisar"))</f>
        <v/>
      </c>
      <c r="O782" s="60">
        <f>IF(M782="","",IFERROR(VLOOKUP(M782,'6. Base de Custos'!$H$12:$J$18,3,FALSE),0))</f>
        <v/>
      </c>
      <c r="P782" s="59">
        <f>IF(C782="","",IFERROR(INDEX('6. Base de Custos'!$P$8:$P$42,MATCH(C782,'6. Base de Custos'!$L$8:$L$42,0)),"Revisar"))</f>
        <v/>
      </c>
      <c r="Q782" s="59">
        <f>IF(C782="","",IFERROR(INDEX('6. Base de Custos'!$Q$8:$Q$42,MATCH(C782,'6. Base de Custos'!$L$8:$L$42,0)),""))</f>
        <v/>
      </c>
      <c r="R782" s="65">
        <f>IF(C782="","",IFERROR(VLOOKUP(M782&amp;"|"&amp;N782,'17. Mapa DRE CP'!$E$5:$H$100,2,FALSE),"Revisar"))</f>
        <v/>
      </c>
      <c r="S782" s="65">
        <f>IF(C782="","",IFERROR(VLOOKUP(M782&amp;"|"&amp;N782,'17. Mapa DRE CP'!$E$5:$H$100,3,FALSE),"Revisar"))</f>
        <v/>
      </c>
      <c r="T782" s="65">
        <f>IF(C782="","",IF(R782="(-) Custos diretos dos serviços",IF(ISNUMBER(SEARCH("PCMSO",C782)),"PCMSO",IF(OR(ISNUMBER(SEARCH("SGS",C782)),ISNUMBER(SEARCH("CASTRO NAVES",C782))),"Projetos / Laudos / Avulsos","Projetos / Laudos / Avulsos")),"Rateio pela receita bruta"))</f>
        <v/>
      </c>
      <c r="U782" s="65">
        <f>IF(C782="","",IF(R782="(-) Custos diretos dos serviços","Direto por fornecedor/natureza do gasto","Rateio proporcional à receita bruta da linha de serviço"))</f>
        <v/>
      </c>
    </row>
    <row r="783">
      <c r="A783" s="28">
        <f>IF(C783="","", "CP-"&amp;TEXT(ROW()-5,"000"))</f>
        <v/>
      </c>
      <c r="B783" s="27">
        <f>IF(F783="","",DATE(YEAR(F783),MONTH(F783),1))</f>
        <v/>
      </c>
      <c r="C783" s="28" t="n"/>
      <c r="D783" s="28" t="n"/>
      <c r="E783" s="59">
        <f>IF(C783="","",IFERROR(INDEX('6. Base de Custos'!$M$8:$M$42,MATCH(C783,'6. Base de Custos'!$L$8:$L$42,0)),"Não classificado"))</f>
        <v/>
      </c>
      <c r="F783" s="111" t="n"/>
      <c r="G783" s="111" t="n"/>
      <c r="H783" s="111" t="n"/>
      <c r="I783" s="45" t="n"/>
      <c r="J783" s="28" t="n"/>
      <c r="K783" s="28" t="n"/>
      <c r="L783" s="28" t="n"/>
      <c r="M783" s="59">
        <f>IF(C783="","",IFERROR(INDEX('6. Base de Custos'!$N$8:$N$42,MATCH(C783,'6. Base de Custos'!$L$8:$L$42,0)),"Não classificado"))</f>
        <v/>
      </c>
      <c r="N783" s="59">
        <f>IF(C783="","",IFERROR(INDEX('6. Base de Custos'!$O$8:$O$42,MATCH(C783,'6. Base de Custos'!$L$8:$L$42,0)),"Revisar"))</f>
        <v/>
      </c>
      <c r="O783" s="60">
        <f>IF(M783="","",IFERROR(VLOOKUP(M783,'6. Base de Custos'!$H$12:$J$18,3,FALSE),0))</f>
        <v/>
      </c>
      <c r="P783" s="59">
        <f>IF(C783="","",IFERROR(INDEX('6. Base de Custos'!$P$8:$P$42,MATCH(C783,'6. Base de Custos'!$L$8:$L$42,0)),"Revisar"))</f>
        <v/>
      </c>
      <c r="Q783" s="59">
        <f>IF(C783="","",IFERROR(INDEX('6. Base de Custos'!$Q$8:$Q$42,MATCH(C783,'6. Base de Custos'!$L$8:$L$42,0)),""))</f>
        <v/>
      </c>
      <c r="R783" s="65">
        <f>IF(C783="","",IFERROR(VLOOKUP(M783&amp;"|"&amp;N783,'17. Mapa DRE CP'!$E$5:$H$100,2,FALSE),"Revisar"))</f>
        <v/>
      </c>
      <c r="S783" s="65">
        <f>IF(C783="","",IFERROR(VLOOKUP(M783&amp;"|"&amp;N783,'17. Mapa DRE CP'!$E$5:$H$100,3,FALSE),"Revisar"))</f>
        <v/>
      </c>
      <c r="T783" s="65">
        <f>IF(C783="","",IF(R783="(-) Custos diretos dos serviços",IF(ISNUMBER(SEARCH("PCMSO",C783)),"PCMSO",IF(OR(ISNUMBER(SEARCH("SGS",C783)),ISNUMBER(SEARCH("CASTRO NAVES",C783))),"Projetos / Laudos / Avulsos","Projetos / Laudos / Avulsos")),"Rateio pela receita bruta"))</f>
        <v/>
      </c>
      <c r="U783" s="65">
        <f>IF(C783="","",IF(R783="(-) Custos diretos dos serviços","Direto por fornecedor/natureza do gasto","Rateio proporcional à receita bruta da linha de serviço"))</f>
        <v/>
      </c>
    </row>
    <row r="784">
      <c r="A784" s="28">
        <f>IF(C784="","", "CP-"&amp;TEXT(ROW()-5,"000"))</f>
        <v/>
      </c>
      <c r="B784" s="27">
        <f>IF(F784="","",DATE(YEAR(F784),MONTH(F784),1))</f>
        <v/>
      </c>
      <c r="C784" s="28" t="n"/>
      <c r="D784" s="28" t="n"/>
      <c r="E784" s="59">
        <f>IF(C784="","",IFERROR(INDEX('6. Base de Custos'!$M$8:$M$42,MATCH(C784,'6. Base de Custos'!$L$8:$L$42,0)),"Não classificado"))</f>
        <v/>
      </c>
      <c r="F784" s="111" t="n"/>
      <c r="G784" s="111" t="n"/>
      <c r="H784" s="111" t="n"/>
      <c r="I784" s="45" t="n"/>
      <c r="J784" s="28" t="n"/>
      <c r="K784" s="28" t="n"/>
      <c r="L784" s="28" t="n"/>
      <c r="M784" s="59">
        <f>IF(C784="","",IFERROR(INDEX('6. Base de Custos'!$N$8:$N$42,MATCH(C784,'6. Base de Custos'!$L$8:$L$42,0)),"Não classificado"))</f>
        <v/>
      </c>
      <c r="N784" s="59">
        <f>IF(C784="","",IFERROR(INDEX('6. Base de Custos'!$O$8:$O$42,MATCH(C784,'6. Base de Custos'!$L$8:$L$42,0)),"Revisar"))</f>
        <v/>
      </c>
      <c r="O784" s="60">
        <f>IF(M784="","",IFERROR(VLOOKUP(M784,'6. Base de Custos'!$H$12:$J$18,3,FALSE),0))</f>
        <v/>
      </c>
      <c r="P784" s="59">
        <f>IF(C784="","",IFERROR(INDEX('6. Base de Custos'!$P$8:$P$42,MATCH(C784,'6. Base de Custos'!$L$8:$L$42,0)),"Revisar"))</f>
        <v/>
      </c>
      <c r="Q784" s="59">
        <f>IF(C784="","",IFERROR(INDEX('6. Base de Custos'!$Q$8:$Q$42,MATCH(C784,'6. Base de Custos'!$L$8:$L$42,0)),""))</f>
        <v/>
      </c>
      <c r="R784" s="65">
        <f>IF(C784="","",IFERROR(VLOOKUP(M784&amp;"|"&amp;N784,'17. Mapa DRE CP'!$E$5:$H$100,2,FALSE),"Revisar"))</f>
        <v/>
      </c>
      <c r="S784" s="65">
        <f>IF(C784="","",IFERROR(VLOOKUP(M784&amp;"|"&amp;N784,'17. Mapa DRE CP'!$E$5:$H$100,3,FALSE),"Revisar"))</f>
        <v/>
      </c>
      <c r="T784" s="65">
        <f>IF(C784="","",IF(R784="(-) Custos diretos dos serviços",IF(ISNUMBER(SEARCH("PCMSO",C784)),"PCMSO",IF(OR(ISNUMBER(SEARCH("SGS",C784)),ISNUMBER(SEARCH("CASTRO NAVES",C784))),"Projetos / Laudos / Avulsos","Projetos / Laudos / Avulsos")),"Rateio pela receita bruta"))</f>
        <v/>
      </c>
      <c r="U784" s="65">
        <f>IF(C784="","",IF(R784="(-) Custos diretos dos serviços","Direto por fornecedor/natureza do gasto","Rateio proporcional à receita bruta da linha de serviço"))</f>
        <v/>
      </c>
    </row>
    <row r="785">
      <c r="A785" s="28">
        <f>IF(C785="","", "CP-"&amp;TEXT(ROW()-5,"000"))</f>
        <v/>
      </c>
      <c r="B785" s="27">
        <f>IF(F785="","",DATE(YEAR(F785),MONTH(F785),1))</f>
        <v/>
      </c>
      <c r="C785" s="28" t="n"/>
      <c r="D785" s="28" t="n"/>
      <c r="E785" s="59">
        <f>IF(C785="","",IFERROR(INDEX('6. Base de Custos'!$M$8:$M$42,MATCH(C785,'6. Base de Custos'!$L$8:$L$42,0)),"Não classificado"))</f>
        <v/>
      </c>
      <c r="F785" s="111" t="n"/>
      <c r="G785" s="111" t="n"/>
      <c r="H785" s="111" t="n"/>
      <c r="I785" s="45" t="n"/>
      <c r="J785" s="28" t="n"/>
      <c r="K785" s="28" t="n"/>
      <c r="L785" s="28" t="n"/>
      <c r="M785" s="59">
        <f>IF(C785="","",IFERROR(INDEX('6. Base de Custos'!$N$8:$N$42,MATCH(C785,'6. Base de Custos'!$L$8:$L$42,0)),"Não classificado"))</f>
        <v/>
      </c>
      <c r="N785" s="59">
        <f>IF(C785="","",IFERROR(INDEX('6. Base de Custos'!$O$8:$O$42,MATCH(C785,'6. Base de Custos'!$L$8:$L$42,0)),"Revisar"))</f>
        <v/>
      </c>
      <c r="O785" s="60">
        <f>IF(M785="","",IFERROR(VLOOKUP(M785,'6. Base de Custos'!$H$12:$J$18,3,FALSE),0))</f>
        <v/>
      </c>
      <c r="P785" s="59">
        <f>IF(C785="","",IFERROR(INDEX('6. Base de Custos'!$P$8:$P$42,MATCH(C785,'6. Base de Custos'!$L$8:$L$42,0)),"Revisar"))</f>
        <v/>
      </c>
      <c r="Q785" s="59">
        <f>IF(C785="","",IFERROR(INDEX('6. Base de Custos'!$Q$8:$Q$42,MATCH(C785,'6. Base de Custos'!$L$8:$L$42,0)),""))</f>
        <v/>
      </c>
      <c r="R785" s="65">
        <f>IF(C785="","",IFERROR(VLOOKUP(M785&amp;"|"&amp;N785,'17. Mapa DRE CP'!$E$5:$H$100,2,FALSE),"Revisar"))</f>
        <v/>
      </c>
      <c r="S785" s="65">
        <f>IF(C785="","",IFERROR(VLOOKUP(M785&amp;"|"&amp;N785,'17. Mapa DRE CP'!$E$5:$H$100,3,FALSE),"Revisar"))</f>
        <v/>
      </c>
      <c r="T785" s="65">
        <f>IF(C785="","",IF(R785="(-) Custos diretos dos serviços",IF(ISNUMBER(SEARCH("PCMSO",C785)),"PCMSO",IF(OR(ISNUMBER(SEARCH("SGS",C785)),ISNUMBER(SEARCH("CASTRO NAVES",C785))),"Projetos / Laudos / Avulsos","Projetos / Laudos / Avulsos")),"Rateio pela receita bruta"))</f>
        <v/>
      </c>
      <c r="U785" s="65">
        <f>IF(C785="","",IF(R785="(-) Custos diretos dos serviços","Direto por fornecedor/natureza do gasto","Rateio proporcional à receita bruta da linha de serviço"))</f>
        <v/>
      </c>
    </row>
    <row r="786">
      <c r="A786" s="28">
        <f>IF(C786="","", "CP-"&amp;TEXT(ROW()-5,"000"))</f>
        <v/>
      </c>
      <c r="B786" s="27">
        <f>IF(F786="","",DATE(YEAR(F786),MONTH(F786),1))</f>
        <v/>
      </c>
      <c r="C786" s="28" t="n"/>
      <c r="D786" s="28" t="n"/>
      <c r="E786" s="59">
        <f>IF(C786="","",IFERROR(INDEX('6. Base de Custos'!$M$8:$M$42,MATCH(C786,'6. Base de Custos'!$L$8:$L$42,0)),"Não classificado"))</f>
        <v/>
      </c>
      <c r="F786" s="111" t="n"/>
      <c r="G786" s="111" t="n"/>
      <c r="H786" s="111" t="n"/>
      <c r="I786" s="45" t="n"/>
      <c r="J786" s="28" t="n"/>
      <c r="K786" s="28" t="n"/>
      <c r="L786" s="28" t="n"/>
      <c r="M786" s="59">
        <f>IF(C786="","",IFERROR(INDEX('6. Base de Custos'!$N$8:$N$42,MATCH(C786,'6. Base de Custos'!$L$8:$L$42,0)),"Não classificado"))</f>
        <v/>
      </c>
      <c r="N786" s="59">
        <f>IF(C786="","",IFERROR(INDEX('6. Base de Custos'!$O$8:$O$42,MATCH(C786,'6. Base de Custos'!$L$8:$L$42,0)),"Revisar"))</f>
        <v/>
      </c>
      <c r="O786" s="60">
        <f>IF(M786="","",IFERROR(VLOOKUP(M786,'6. Base de Custos'!$H$12:$J$18,3,FALSE),0))</f>
        <v/>
      </c>
      <c r="P786" s="59">
        <f>IF(C786="","",IFERROR(INDEX('6. Base de Custos'!$P$8:$P$42,MATCH(C786,'6. Base de Custos'!$L$8:$L$42,0)),"Revisar"))</f>
        <v/>
      </c>
      <c r="Q786" s="59">
        <f>IF(C786="","",IFERROR(INDEX('6. Base de Custos'!$Q$8:$Q$42,MATCH(C786,'6. Base de Custos'!$L$8:$L$42,0)),""))</f>
        <v/>
      </c>
      <c r="R786" s="65">
        <f>IF(C786="","",IFERROR(VLOOKUP(M786&amp;"|"&amp;N786,'17. Mapa DRE CP'!$E$5:$H$100,2,FALSE),"Revisar"))</f>
        <v/>
      </c>
      <c r="S786" s="65">
        <f>IF(C786="","",IFERROR(VLOOKUP(M786&amp;"|"&amp;N786,'17. Mapa DRE CP'!$E$5:$H$100,3,FALSE),"Revisar"))</f>
        <v/>
      </c>
      <c r="T786" s="65">
        <f>IF(C786="","",IF(R786="(-) Custos diretos dos serviços",IF(ISNUMBER(SEARCH("PCMSO",C786)),"PCMSO",IF(OR(ISNUMBER(SEARCH("SGS",C786)),ISNUMBER(SEARCH("CASTRO NAVES",C786))),"Projetos / Laudos / Avulsos","Projetos / Laudos / Avulsos")),"Rateio pela receita bruta"))</f>
        <v/>
      </c>
      <c r="U786" s="65">
        <f>IF(C786="","",IF(R786="(-) Custos diretos dos serviços","Direto por fornecedor/natureza do gasto","Rateio proporcional à receita bruta da linha de serviço"))</f>
        <v/>
      </c>
    </row>
    <row r="787">
      <c r="A787" s="28">
        <f>IF(C787="","", "CP-"&amp;TEXT(ROW()-5,"000"))</f>
        <v/>
      </c>
      <c r="B787" s="27">
        <f>IF(F787="","",DATE(YEAR(F787),MONTH(F787),1))</f>
        <v/>
      </c>
      <c r="C787" s="28" t="n"/>
      <c r="D787" s="28" t="n"/>
      <c r="E787" s="59">
        <f>IF(C787="","",IFERROR(INDEX('6. Base de Custos'!$M$8:$M$42,MATCH(C787,'6. Base de Custos'!$L$8:$L$42,0)),"Não classificado"))</f>
        <v/>
      </c>
      <c r="F787" s="111" t="n"/>
      <c r="G787" s="111" t="n"/>
      <c r="H787" s="111" t="n"/>
      <c r="I787" s="45" t="n"/>
      <c r="J787" s="28" t="n"/>
      <c r="K787" s="28" t="n"/>
      <c r="L787" s="28" t="n"/>
      <c r="M787" s="59">
        <f>IF(C787="","",IFERROR(INDEX('6. Base de Custos'!$N$8:$N$42,MATCH(C787,'6. Base de Custos'!$L$8:$L$42,0)),"Não classificado"))</f>
        <v/>
      </c>
      <c r="N787" s="59">
        <f>IF(C787="","",IFERROR(INDEX('6. Base de Custos'!$O$8:$O$42,MATCH(C787,'6. Base de Custos'!$L$8:$L$42,0)),"Revisar"))</f>
        <v/>
      </c>
      <c r="O787" s="60">
        <f>IF(M787="","",IFERROR(VLOOKUP(M787,'6. Base de Custos'!$H$12:$J$18,3,FALSE),0))</f>
        <v/>
      </c>
      <c r="P787" s="59">
        <f>IF(C787="","",IFERROR(INDEX('6. Base de Custos'!$P$8:$P$42,MATCH(C787,'6. Base de Custos'!$L$8:$L$42,0)),"Revisar"))</f>
        <v/>
      </c>
      <c r="Q787" s="59">
        <f>IF(C787="","",IFERROR(INDEX('6. Base de Custos'!$Q$8:$Q$42,MATCH(C787,'6. Base de Custos'!$L$8:$L$42,0)),""))</f>
        <v/>
      </c>
      <c r="R787" s="65">
        <f>IF(C787="","",IFERROR(VLOOKUP(M787&amp;"|"&amp;N787,'17. Mapa DRE CP'!$E$5:$H$100,2,FALSE),"Revisar"))</f>
        <v/>
      </c>
      <c r="S787" s="65">
        <f>IF(C787="","",IFERROR(VLOOKUP(M787&amp;"|"&amp;N787,'17. Mapa DRE CP'!$E$5:$H$100,3,FALSE),"Revisar"))</f>
        <v/>
      </c>
      <c r="T787" s="65">
        <f>IF(C787="","",IF(R787="(-) Custos diretos dos serviços",IF(ISNUMBER(SEARCH("PCMSO",C787)),"PCMSO",IF(OR(ISNUMBER(SEARCH("SGS",C787)),ISNUMBER(SEARCH("CASTRO NAVES",C787))),"Projetos / Laudos / Avulsos","Projetos / Laudos / Avulsos")),"Rateio pela receita bruta"))</f>
        <v/>
      </c>
      <c r="U787" s="65">
        <f>IF(C787="","",IF(R787="(-) Custos diretos dos serviços","Direto por fornecedor/natureza do gasto","Rateio proporcional à receita bruta da linha de serviço"))</f>
        <v/>
      </c>
    </row>
    <row r="788">
      <c r="A788" s="28">
        <f>IF(C788="","", "CP-"&amp;TEXT(ROW()-5,"000"))</f>
        <v/>
      </c>
      <c r="B788" s="27">
        <f>IF(F788="","",DATE(YEAR(F788),MONTH(F788),1))</f>
        <v/>
      </c>
      <c r="C788" s="28" t="n"/>
      <c r="D788" s="28" t="n"/>
      <c r="E788" s="59">
        <f>IF(C788="","",IFERROR(INDEX('6. Base de Custos'!$M$8:$M$42,MATCH(C788,'6. Base de Custos'!$L$8:$L$42,0)),"Não classificado"))</f>
        <v/>
      </c>
      <c r="F788" s="111" t="n"/>
      <c r="G788" s="111" t="n"/>
      <c r="H788" s="111" t="n"/>
      <c r="I788" s="45" t="n"/>
      <c r="J788" s="28" t="n"/>
      <c r="K788" s="28" t="n"/>
      <c r="L788" s="28" t="n"/>
      <c r="M788" s="59">
        <f>IF(C788="","",IFERROR(INDEX('6. Base de Custos'!$N$8:$N$42,MATCH(C788,'6. Base de Custos'!$L$8:$L$42,0)),"Não classificado"))</f>
        <v/>
      </c>
      <c r="N788" s="59">
        <f>IF(C788="","",IFERROR(INDEX('6. Base de Custos'!$O$8:$O$42,MATCH(C788,'6. Base de Custos'!$L$8:$L$42,0)),"Revisar"))</f>
        <v/>
      </c>
      <c r="O788" s="60">
        <f>IF(M788="","",IFERROR(VLOOKUP(M788,'6. Base de Custos'!$H$12:$J$18,3,FALSE),0))</f>
        <v/>
      </c>
      <c r="P788" s="59">
        <f>IF(C788="","",IFERROR(INDEX('6. Base de Custos'!$P$8:$P$42,MATCH(C788,'6. Base de Custos'!$L$8:$L$42,0)),"Revisar"))</f>
        <v/>
      </c>
      <c r="Q788" s="59">
        <f>IF(C788="","",IFERROR(INDEX('6. Base de Custos'!$Q$8:$Q$42,MATCH(C788,'6. Base de Custos'!$L$8:$L$42,0)),""))</f>
        <v/>
      </c>
      <c r="R788" s="65">
        <f>IF(C788="","",IFERROR(VLOOKUP(M788&amp;"|"&amp;N788,'17. Mapa DRE CP'!$E$5:$H$100,2,FALSE),"Revisar"))</f>
        <v/>
      </c>
      <c r="S788" s="65">
        <f>IF(C788="","",IFERROR(VLOOKUP(M788&amp;"|"&amp;N788,'17. Mapa DRE CP'!$E$5:$H$100,3,FALSE),"Revisar"))</f>
        <v/>
      </c>
      <c r="T788" s="65">
        <f>IF(C788="","",IF(R788="(-) Custos diretos dos serviços",IF(ISNUMBER(SEARCH("PCMSO",C788)),"PCMSO",IF(OR(ISNUMBER(SEARCH("SGS",C788)),ISNUMBER(SEARCH("CASTRO NAVES",C788))),"Projetos / Laudos / Avulsos","Projetos / Laudos / Avulsos")),"Rateio pela receita bruta"))</f>
        <v/>
      </c>
      <c r="U788" s="65">
        <f>IF(C788="","",IF(R788="(-) Custos diretos dos serviços","Direto por fornecedor/natureza do gasto","Rateio proporcional à receita bruta da linha de serviço"))</f>
        <v/>
      </c>
    </row>
    <row r="789">
      <c r="A789" s="28">
        <f>IF(C789="","", "CP-"&amp;TEXT(ROW()-5,"000"))</f>
        <v/>
      </c>
      <c r="B789" s="27">
        <f>IF(F789="","",DATE(YEAR(F789),MONTH(F789),1))</f>
        <v/>
      </c>
      <c r="C789" s="28" t="n"/>
      <c r="D789" s="28" t="n"/>
      <c r="E789" s="59">
        <f>IF(C789="","",IFERROR(INDEX('6. Base de Custos'!$M$8:$M$42,MATCH(C789,'6. Base de Custos'!$L$8:$L$42,0)),"Não classificado"))</f>
        <v/>
      </c>
      <c r="F789" s="111" t="n"/>
      <c r="G789" s="111" t="n"/>
      <c r="H789" s="111" t="n"/>
      <c r="I789" s="45" t="n"/>
      <c r="J789" s="28" t="n"/>
      <c r="K789" s="28" t="n"/>
      <c r="L789" s="28" t="n"/>
      <c r="M789" s="59">
        <f>IF(C789="","",IFERROR(INDEX('6. Base de Custos'!$N$8:$N$42,MATCH(C789,'6. Base de Custos'!$L$8:$L$42,0)),"Não classificado"))</f>
        <v/>
      </c>
      <c r="N789" s="59">
        <f>IF(C789="","",IFERROR(INDEX('6. Base de Custos'!$O$8:$O$42,MATCH(C789,'6. Base de Custos'!$L$8:$L$42,0)),"Revisar"))</f>
        <v/>
      </c>
      <c r="O789" s="60">
        <f>IF(M789="","",IFERROR(VLOOKUP(M789,'6. Base de Custos'!$H$12:$J$18,3,FALSE),0))</f>
        <v/>
      </c>
      <c r="P789" s="59">
        <f>IF(C789="","",IFERROR(INDEX('6. Base de Custos'!$P$8:$P$42,MATCH(C789,'6. Base de Custos'!$L$8:$L$42,0)),"Revisar"))</f>
        <v/>
      </c>
      <c r="Q789" s="59">
        <f>IF(C789="","",IFERROR(INDEX('6. Base de Custos'!$Q$8:$Q$42,MATCH(C789,'6. Base de Custos'!$L$8:$L$42,0)),""))</f>
        <v/>
      </c>
      <c r="R789" s="65">
        <f>IF(C789="","",IFERROR(VLOOKUP(M789&amp;"|"&amp;N789,'17. Mapa DRE CP'!$E$5:$H$100,2,FALSE),"Revisar"))</f>
        <v/>
      </c>
      <c r="S789" s="65">
        <f>IF(C789="","",IFERROR(VLOOKUP(M789&amp;"|"&amp;N789,'17. Mapa DRE CP'!$E$5:$H$100,3,FALSE),"Revisar"))</f>
        <v/>
      </c>
      <c r="T789" s="65">
        <f>IF(C789="","",IF(R789="(-) Custos diretos dos serviços",IF(ISNUMBER(SEARCH("PCMSO",C789)),"PCMSO",IF(OR(ISNUMBER(SEARCH("SGS",C789)),ISNUMBER(SEARCH("CASTRO NAVES",C789))),"Projetos / Laudos / Avulsos","Projetos / Laudos / Avulsos")),"Rateio pela receita bruta"))</f>
        <v/>
      </c>
      <c r="U789" s="65">
        <f>IF(C789="","",IF(R789="(-) Custos diretos dos serviços","Direto por fornecedor/natureza do gasto","Rateio proporcional à receita bruta da linha de serviço"))</f>
        <v/>
      </c>
    </row>
    <row r="790">
      <c r="A790" s="28">
        <f>IF(C790="","", "CP-"&amp;TEXT(ROW()-5,"000"))</f>
        <v/>
      </c>
      <c r="B790" s="27">
        <f>IF(F790="","",DATE(YEAR(F790),MONTH(F790),1))</f>
        <v/>
      </c>
      <c r="C790" s="28" t="n"/>
      <c r="D790" s="28" t="n"/>
      <c r="E790" s="59">
        <f>IF(C790="","",IFERROR(INDEX('6. Base de Custos'!$M$8:$M$42,MATCH(C790,'6. Base de Custos'!$L$8:$L$42,0)),"Não classificado"))</f>
        <v/>
      </c>
      <c r="F790" s="111" t="n"/>
      <c r="G790" s="111" t="n"/>
      <c r="H790" s="111" t="n"/>
      <c r="I790" s="45" t="n"/>
      <c r="J790" s="28" t="n"/>
      <c r="K790" s="28" t="n"/>
      <c r="L790" s="28" t="n"/>
      <c r="M790" s="59">
        <f>IF(C790="","",IFERROR(INDEX('6. Base de Custos'!$N$8:$N$42,MATCH(C790,'6. Base de Custos'!$L$8:$L$42,0)),"Não classificado"))</f>
        <v/>
      </c>
      <c r="N790" s="59">
        <f>IF(C790="","",IFERROR(INDEX('6. Base de Custos'!$O$8:$O$42,MATCH(C790,'6. Base de Custos'!$L$8:$L$42,0)),"Revisar"))</f>
        <v/>
      </c>
      <c r="O790" s="60">
        <f>IF(M790="","",IFERROR(VLOOKUP(M790,'6. Base de Custos'!$H$12:$J$18,3,FALSE),0))</f>
        <v/>
      </c>
      <c r="P790" s="59">
        <f>IF(C790="","",IFERROR(INDEX('6. Base de Custos'!$P$8:$P$42,MATCH(C790,'6. Base de Custos'!$L$8:$L$42,0)),"Revisar"))</f>
        <v/>
      </c>
      <c r="Q790" s="59">
        <f>IF(C790="","",IFERROR(INDEX('6. Base de Custos'!$Q$8:$Q$42,MATCH(C790,'6. Base de Custos'!$L$8:$L$42,0)),""))</f>
        <v/>
      </c>
      <c r="R790" s="65">
        <f>IF(C790="","",IFERROR(VLOOKUP(M790&amp;"|"&amp;N790,'17. Mapa DRE CP'!$E$5:$H$100,2,FALSE),"Revisar"))</f>
        <v/>
      </c>
      <c r="S790" s="65">
        <f>IF(C790="","",IFERROR(VLOOKUP(M790&amp;"|"&amp;N790,'17. Mapa DRE CP'!$E$5:$H$100,3,FALSE),"Revisar"))</f>
        <v/>
      </c>
      <c r="T790" s="65">
        <f>IF(C790="","",IF(R790="(-) Custos diretos dos serviços",IF(ISNUMBER(SEARCH("PCMSO",C790)),"PCMSO",IF(OR(ISNUMBER(SEARCH("SGS",C790)),ISNUMBER(SEARCH("CASTRO NAVES",C790))),"Projetos / Laudos / Avulsos","Projetos / Laudos / Avulsos")),"Rateio pela receita bruta"))</f>
        <v/>
      </c>
      <c r="U790" s="65">
        <f>IF(C790="","",IF(R790="(-) Custos diretos dos serviços","Direto por fornecedor/natureza do gasto","Rateio proporcional à receita bruta da linha de serviço"))</f>
        <v/>
      </c>
    </row>
    <row r="791">
      <c r="A791" s="28">
        <f>IF(C791="","", "CP-"&amp;TEXT(ROW()-5,"000"))</f>
        <v/>
      </c>
      <c r="B791" s="27">
        <f>IF(F791="","",DATE(YEAR(F791),MONTH(F791),1))</f>
        <v/>
      </c>
      <c r="C791" s="28" t="n"/>
      <c r="D791" s="28" t="n"/>
      <c r="E791" s="59">
        <f>IF(C791="","",IFERROR(INDEX('6. Base de Custos'!$M$8:$M$42,MATCH(C791,'6. Base de Custos'!$L$8:$L$42,0)),"Não classificado"))</f>
        <v/>
      </c>
      <c r="F791" s="111" t="n"/>
      <c r="G791" s="111" t="n"/>
      <c r="H791" s="111" t="n"/>
      <c r="I791" s="45" t="n"/>
      <c r="J791" s="28" t="n"/>
      <c r="K791" s="28" t="n"/>
      <c r="L791" s="28" t="n"/>
      <c r="M791" s="59">
        <f>IF(C791="","",IFERROR(INDEX('6. Base de Custos'!$N$8:$N$42,MATCH(C791,'6. Base de Custos'!$L$8:$L$42,0)),"Não classificado"))</f>
        <v/>
      </c>
      <c r="N791" s="59">
        <f>IF(C791="","",IFERROR(INDEX('6. Base de Custos'!$O$8:$O$42,MATCH(C791,'6. Base de Custos'!$L$8:$L$42,0)),"Revisar"))</f>
        <v/>
      </c>
      <c r="O791" s="60">
        <f>IF(M791="","",IFERROR(VLOOKUP(M791,'6. Base de Custos'!$H$12:$J$18,3,FALSE),0))</f>
        <v/>
      </c>
      <c r="P791" s="59">
        <f>IF(C791="","",IFERROR(INDEX('6. Base de Custos'!$P$8:$P$42,MATCH(C791,'6. Base de Custos'!$L$8:$L$42,0)),"Revisar"))</f>
        <v/>
      </c>
      <c r="Q791" s="59">
        <f>IF(C791="","",IFERROR(INDEX('6. Base de Custos'!$Q$8:$Q$42,MATCH(C791,'6. Base de Custos'!$L$8:$L$42,0)),""))</f>
        <v/>
      </c>
      <c r="R791" s="65">
        <f>IF(C791="","",IFERROR(VLOOKUP(M791&amp;"|"&amp;N791,'17. Mapa DRE CP'!$E$5:$H$100,2,FALSE),"Revisar"))</f>
        <v/>
      </c>
      <c r="S791" s="65">
        <f>IF(C791="","",IFERROR(VLOOKUP(M791&amp;"|"&amp;N791,'17. Mapa DRE CP'!$E$5:$H$100,3,FALSE),"Revisar"))</f>
        <v/>
      </c>
      <c r="T791" s="65">
        <f>IF(C791="","",IF(R791="(-) Custos diretos dos serviços",IF(ISNUMBER(SEARCH("PCMSO",C791)),"PCMSO",IF(OR(ISNUMBER(SEARCH("SGS",C791)),ISNUMBER(SEARCH("CASTRO NAVES",C791))),"Projetos / Laudos / Avulsos","Projetos / Laudos / Avulsos")),"Rateio pela receita bruta"))</f>
        <v/>
      </c>
      <c r="U791" s="65">
        <f>IF(C791="","",IF(R791="(-) Custos diretos dos serviços","Direto por fornecedor/natureza do gasto","Rateio proporcional à receita bruta da linha de serviço"))</f>
        <v/>
      </c>
    </row>
    <row r="792">
      <c r="A792" s="28">
        <f>IF(C792="","", "CP-"&amp;TEXT(ROW()-5,"000"))</f>
        <v/>
      </c>
      <c r="B792" s="27">
        <f>IF(F792="","",DATE(YEAR(F792),MONTH(F792),1))</f>
        <v/>
      </c>
      <c r="C792" s="28" t="n"/>
      <c r="D792" s="28" t="n"/>
      <c r="E792" s="59">
        <f>IF(C792="","",IFERROR(INDEX('6. Base de Custos'!$M$8:$M$42,MATCH(C792,'6. Base de Custos'!$L$8:$L$42,0)),"Não classificado"))</f>
        <v/>
      </c>
      <c r="F792" s="111" t="n"/>
      <c r="G792" s="111" t="n"/>
      <c r="H792" s="111" t="n"/>
      <c r="I792" s="45" t="n"/>
      <c r="J792" s="28" t="n"/>
      <c r="K792" s="28" t="n"/>
      <c r="L792" s="28" t="n"/>
      <c r="M792" s="59">
        <f>IF(C792="","",IFERROR(INDEX('6. Base de Custos'!$N$8:$N$42,MATCH(C792,'6. Base de Custos'!$L$8:$L$42,0)),"Não classificado"))</f>
        <v/>
      </c>
      <c r="N792" s="59">
        <f>IF(C792="","",IFERROR(INDEX('6. Base de Custos'!$O$8:$O$42,MATCH(C792,'6. Base de Custos'!$L$8:$L$42,0)),"Revisar"))</f>
        <v/>
      </c>
      <c r="O792" s="60">
        <f>IF(M792="","",IFERROR(VLOOKUP(M792,'6. Base de Custos'!$H$12:$J$18,3,FALSE),0))</f>
        <v/>
      </c>
      <c r="P792" s="59">
        <f>IF(C792="","",IFERROR(INDEX('6. Base de Custos'!$P$8:$P$42,MATCH(C792,'6. Base de Custos'!$L$8:$L$42,0)),"Revisar"))</f>
        <v/>
      </c>
      <c r="Q792" s="59">
        <f>IF(C792="","",IFERROR(INDEX('6. Base de Custos'!$Q$8:$Q$42,MATCH(C792,'6. Base de Custos'!$L$8:$L$42,0)),""))</f>
        <v/>
      </c>
      <c r="R792" s="65">
        <f>IF(C792="","",IFERROR(VLOOKUP(M792&amp;"|"&amp;N792,'17. Mapa DRE CP'!$E$5:$H$100,2,FALSE),"Revisar"))</f>
        <v/>
      </c>
      <c r="S792" s="65">
        <f>IF(C792="","",IFERROR(VLOOKUP(M792&amp;"|"&amp;N792,'17. Mapa DRE CP'!$E$5:$H$100,3,FALSE),"Revisar"))</f>
        <v/>
      </c>
      <c r="T792" s="65">
        <f>IF(C792="","",IF(R792="(-) Custos diretos dos serviços",IF(ISNUMBER(SEARCH("PCMSO",C792)),"PCMSO",IF(OR(ISNUMBER(SEARCH("SGS",C792)),ISNUMBER(SEARCH("CASTRO NAVES",C792))),"Projetos / Laudos / Avulsos","Projetos / Laudos / Avulsos")),"Rateio pela receita bruta"))</f>
        <v/>
      </c>
      <c r="U792" s="65">
        <f>IF(C792="","",IF(R792="(-) Custos diretos dos serviços","Direto por fornecedor/natureza do gasto","Rateio proporcional à receita bruta da linha de serviço"))</f>
        <v/>
      </c>
    </row>
    <row r="793">
      <c r="A793" s="28">
        <f>IF(C793="","", "CP-"&amp;TEXT(ROW()-5,"000"))</f>
        <v/>
      </c>
      <c r="B793" s="27">
        <f>IF(F793="","",DATE(YEAR(F793),MONTH(F793),1))</f>
        <v/>
      </c>
      <c r="C793" s="28" t="n"/>
      <c r="D793" s="28" t="n"/>
      <c r="E793" s="59">
        <f>IF(C793="","",IFERROR(INDEX('6. Base de Custos'!$M$8:$M$42,MATCH(C793,'6. Base de Custos'!$L$8:$L$42,0)),"Não classificado"))</f>
        <v/>
      </c>
      <c r="F793" s="111" t="n"/>
      <c r="G793" s="111" t="n"/>
      <c r="H793" s="111" t="n"/>
      <c r="I793" s="45" t="n"/>
      <c r="J793" s="28" t="n"/>
      <c r="K793" s="28" t="n"/>
      <c r="L793" s="28" t="n"/>
      <c r="M793" s="59">
        <f>IF(C793="","",IFERROR(INDEX('6. Base de Custos'!$N$8:$N$42,MATCH(C793,'6. Base de Custos'!$L$8:$L$42,0)),"Não classificado"))</f>
        <v/>
      </c>
      <c r="N793" s="59">
        <f>IF(C793="","",IFERROR(INDEX('6. Base de Custos'!$O$8:$O$42,MATCH(C793,'6. Base de Custos'!$L$8:$L$42,0)),"Revisar"))</f>
        <v/>
      </c>
      <c r="O793" s="60">
        <f>IF(M793="","",IFERROR(VLOOKUP(M793,'6. Base de Custos'!$H$12:$J$18,3,FALSE),0))</f>
        <v/>
      </c>
      <c r="P793" s="59">
        <f>IF(C793="","",IFERROR(INDEX('6. Base de Custos'!$P$8:$P$42,MATCH(C793,'6. Base de Custos'!$L$8:$L$42,0)),"Revisar"))</f>
        <v/>
      </c>
      <c r="Q793" s="59">
        <f>IF(C793="","",IFERROR(INDEX('6. Base de Custos'!$Q$8:$Q$42,MATCH(C793,'6. Base de Custos'!$L$8:$L$42,0)),""))</f>
        <v/>
      </c>
      <c r="R793" s="65">
        <f>IF(C793="","",IFERROR(VLOOKUP(M793&amp;"|"&amp;N793,'17. Mapa DRE CP'!$E$5:$H$100,2,FALSE),"Revisar"))</f>
        <v/>
      </c>
      <c r="S793" s="65">
        <f>IF(C793="","",IFERROR(VLOOKUP(M793&amp;"|"&amp;N793,'17. Mapa DRE CP'!$E$5:$H$100,3,FALSE),"Revisar"))</f>
        <v/>
      </c>
      <c r="T793" s="65">
        <f>IF(C793="","",IF(R793="(-) Custos diretos dos serviços",IF(ISNUMBER(SEARCH("PCMSO",C793)),"PCMSO",IF(OR(ISNUMBER(SEARCH("SGS",C793)),ISNUMBER(SEARCH("CASTRO NAVES",C793))),"Projetos / Laudos / Avulsos","Projetos / Laudos / Avulsos")),"Rateio pela receita bruta"))</f>
        <v/>
      </c>
      <c r="U793" s="65">
        <f>IF(C793="","",IF(R793="(-) Custos diretos dos serviços","Direto por fornecedor/natureza do gasto","Rateio proporcional à receita bruta da linha de serviço"))</f>
        <v/>
      </c>
    </row>
    <row r="794">
      <c r="A794" s="28">
        <f>IF(C794="","", "CP-"&amp;TEXT(ROW()-5,"000"))</f>
        <v/>
      </c>
      <c r="B794" s="27">
        <f>IF(F794="","",DATE(YEAR(F794),MONTH(F794),1))</f>
        <v/>
      </c>
      <c r="C794" s="28" t="n"/>
      <c r="D794" s="28" t="n"/>
      <c r="E794" s="59">
        <f>IF(C794="","",IFERROR(INDEX('6. Base de Custos'!$M$8:$M$42,MATCH(C794,'6. Base de Custos'!$L$8:$L$42,0)),"Não classificado"))</f>
        <v/>
      </c>
      <c r="F794" s="111" t="n"/>
      <c r="G794" s="111" t="n"/>
      <c r="H794" s="111" t="n"/>
      <c r="I794" s="45" t="n"/>
      <c r="J794" s="28" t="n"/>
      <c r="K794" s="28" t="n"/>
      <c r="L794" s="28" t="n"/>
      <c r="M794" s="59">
        <f>IF(C794="","",IFERROR(INDEX('6. Base de Custos'!$N$8:$N$42,MATCH(C794,'6. Base de Custos'!$L$8:$L$42,0)),"Não classificado"))</f>
        <v/>
      </c>
      <c r="N794" s="59">
        <f>IF(C794="","",IFERROR(INDEX('6. Base de Custos'!$O$8:$O$42,MATCH(C794,'6. Base de Custos'!$L$8:$L$42,0)),"Revisar"))</f>
        <v/>
      </c>
      <c r="O794" s="60">
        <f>IF(M794="","",IFERROR(VLOOKUP(M794,'6. Base de Custos'!$H$12:$J$18,3,FALSE),0))</f>
        <v/>
      </c>
      <c r="P794" s="59">
        <f>IF(C794="","",IFERROR(INDEX('6. Base de Custos'!$P$8:$P$42,MATCH(C794,'6. Base de Custos'!$L$8:$L$42,0)),"Revisar"))</f>
        <v/>
      </c>
      <c r="Q794" s="59">
        <f>IF(C794="","",IFERROR(INDEX('6. Base de Custos'!$Q$8:$Q$42,MATCH(C794,'6. Base de Custos'!$L$8:$L$42,0)),""))</f>
        <v/>
      </c>
      <c r="R794" s="65">
        <f>IF(C794="","",IFERROR(VLOOKUP(M794&amp;"|"&amp;N794,'17. Mapa DRE CP'!$E$5:$H$100,2,FALSE),"Revisar"))</f>
        <v/>
      </c>
      <c r="S794" s="65">
        <f>IF(C794="","",IFERROR(VLOOKUP(M794&amp;"|"&amp;N794,'17. Mapa DRE CP'!$E$5:$H$100,3,FALSE),"Revisar"))</f>
        <v/>
      </c>
      <c r="T794" s="65">
        <f>IF(C794="","",IF(R794="(-) Custos diretos dos serviços",IF(ISNUMBER(SEARCH("PCMSO",C794)),"PCMSO",IF(OR(ISNUMBER(SEARCH("SGS",C794)),ISNUMBER(SEARCH("CASTRO NAVES",C794))),"Projetos / Laudos / Avulsos","Projetos / Laudos / Avulsos")),"Rateio pela receita bruta"))</f>
        <v/>
      </c>
      <c r="U794" s="65">
        <f>IF(C794="","",IF(R794="(-) Custos diretos dos serviços","Direto por fornecedor/natureza do gasto","Rateio proporcional à receita bruta da linha de serviço"))</f>
        <v/>
      </c>
    </row>
    <row r="795">
      <c r="A795" s="28">
        <f>IF(C795="","", "CP-"&amp;TEXT(ROW()-5,"000"))</f>
        <v/>
      </c>
      <c r="B795" s="27">
        <f>IF(F795="","",DATE(YEAR(F795),MONTH(F795),1))</f>
        <v/>
      </c>
      <c r="C795" s="28" t="n"/>
      <c r="D795" s="28" t="n"/>
      <c r="E795" s="59">
        <f>IF(C795="","",IFERROR(INDEX('6. Base de Custos'!$M$8:$M$42,MATCH(C795,'6. Base de Custos'!$L$8:$L$42,0)),"Não classificado"))</f>
        <v/>
      </c>
      <c r="F795" s="111" t="n"/>
      <c r="G795" s="111" t="n"/>
      <c r="H795" s="111" t="n"/>
      <c r="I795" s="45" t="n"/>
      <c r="J795" s="28" t="n"/>
      <c r="K795" s="28" t="n"/>
      <c r="L795" s="28" t="n"/>
      <c r="M795" s="59">
        <f>IF(C795="","",IFERROR(INDEX('6. Base de Custos'!$N$8:$N$42,MATCH(C795,'6. Base de Custos'!$L$8:$L$42,0)),"Não classificado"))</f>
        <v/>
      </c>
      <c r="N795" s="59">
        <f>IF(C795="","",IFERROR(INDEX('6. Base de Custos'!$O$8:$O$42,MATCH(C795,'6. Base de Custos'!$L$8:$L$42,0)),"Revisar"))</f>
        <v/>
      </c>
      <c r="O795" s="60">
        <f>IF(M795="","",IFERROR(VLOOKUP(M795,'6. Base de Custos'!$H$12:$J$18,3,FALSE),0))</f>
        <v/>
      </c>
      <c r="P795" s="59">
        <f>IF(C795="","",IFERROR(INDEX('6. Base de Custos'!$P$8:$P$42,MATCH(C795,'6. Base de Custos'!$L$8:$L$42,0)),"Revisar"))</f>
        <v/>
      </c>
      <c r="Q795" s="59">
        <f>IF(C795="","",IFERROR(INDEX('6. Base de Custos'!$Q$8:$Q$42,MATCH(C795,'6. Base de Custos'!$L$8:$L$42,0)),""))</f>
        <v/>
      </c>
      <c r="R795" s="65">
        <f>IF(C795="","",IFERROR(VLOOKUP(M795&amp;"|"&amp;N795,'17. Mapa DRE CP'!$E$5:$H$100,2,FALSE),"Revisar"))</f>
        <v/>
      </c>
      <c r="S795" s="65">
        <f>IF(C795="","",IFERROR(VLOOKUP(M795&amp;"|"&amp;N795,'17. Mapa DRE CP'!$E$5:$H$100,3,FALSE),"Revisar"))</f>
        <v/>
      </c>
      <c r="T795" s="65">
        <f>IF(C795="","",IF(R795="(-) Custos diretos dos serviços",IF(ISNUMBER(SEARCH("PCMSO",C795)),"PCMSO",IF(OR(ISNUMBER(SEARCH("SGS",C795)),ISNUMBER(SEARCH("CASTRO NAVES",C795))),"Projetos / Laudos / Avulsos","Projetos / Laudos / Avulsos")),"Rateio pela receita bruta"))</f>
        <v/>
      </c>
      <c r="U795" s="65">
        <f>IF(C795="","",IF(R795="(-) Custos diretos dos serviços","Direto por fornecedor/natureza do gasto","Rateio proporcional à receita bruta da linha de serviço"))</f>
        <v/>
      </c>
    </row>
    <row r="796">
      <c r="A796" s="28">
        <f>IF(C796="","", "CP-"&amp;TEXT(ROW()-5,"000"))</f>
        <v/>
      </c>
      <c r="B796" s="27">
        <f>IF(F796="","",DATE(YEAR(F796),MONTH(F796),1))</f>
        <v/>
      </c>
      <c r="C796" s="28" t="n"/>
      <c r="D796" s="28" t="n"/>
      <c r="E796" s="59">
        <f>IF(C796="","",IFERROR(INDEX('6. Base de Custos'!$M$8:$M$42,MATCH(C796,'6. Base de Custos'!$L$8:$L$42,0)),"Não classificado"))</f>
        <v/>
      </c>
      <c r="F796" s="111" t="n"/>
      <c r="G796" s="111" t="n"/>
      <c r="H796" s="111" t="n"/>
      <c r="I796" s="45" t="n"/>
      <c r="J796" s="28" t="n"/>
      <c r="K796" s="28" t="n"/>
      <c r="L796" s="28" t="n"/>
      <c r="M796" s="59">
        <f>IF(C796="","",IFERROR(INDEX('6. Base de Custos'!$N$8:$N$42,MATCH(C796,'6. Base de Custos'!$L$8:$L$42,0)),"Não classificado"))</f>
        <v/>
      </c>
      <c r="N796" s="59">
        <f>IF(C796="","",IFERROR(INDEX('6. Base de Custos'!$O$8:$O$42,MATCH(C796,'6. Base de Custos'!$L$8:$L$42,0)),"Revisar"))</f>
        <v/>
      </c>
      <c r="O796" s="60">
        <f>IF(M796="","",IFERROR(VLOOKUP(M796,'6. Base de Custos'!$H$12:$J$18,3,FALSE),0))</f>
        <v/>
      </c>
      <c r="P796" s="59">
        <f>IF(C796="","",IFERROR(INDEX('6. Base de Custos'!$P$8:$P$42,MATCH(C796,'6. Base de Custos'!$L$8:$L$42,0)),"Revisar"))</f>
        <v/>
      </c>
      <c r="Q796" s="59">
        <f>IF(C796="","",IFERROR(INDEX('6. Base de Custos'!$Q$8:$Q$42,MATCH(C796,'6. Base de Custos'!$L$8:$L$42,0)),""))</f>
        <v/>
      </c>
      <c r="R796" s="65">
        <f>IF(C796="","",IFERROR(VLOOKUP(M796&amp;"|"&amp;N796,'17. Mapa DRE CP'!$E$5:$H$100,2,FALSE),"Revisar"))</f>
        <v/>
      </c>
      <c r="S796" s="65">
        <f>IF(C796="","",IFERROR(VLOOKUP(M796&amp;"|"&amp;N796,'17. Mapa DRE CP'!$E$5:$H$100,3,FALSE),"Revisar"))</f>
        <v/>
      </c>
      <c r="T796" s="65">
        <f>IF(C796="","",IF(R796="(-) Custos diretos dos serviços",IF(ISNUMBER(SEARCH("PCMSO",C796)),"PCMSO",IF(OR(ISNUMBER(SEARCH("SGS",C796)),ISNUMBER(SEARCH("CASTRO NAVES",C796))),"Projetos / Laudos / Avulsos","Projetos / Laudos / Avulsos")),"Rateio pela receita bruta"))</f>
        <v/>
      </c>
      <c r="U796" s="65">
        <f>IF(C796="","",IF(R796="(-) Custos diretos dos serviços","Direto por fornecedor/natureza do gasto","Rateio proporcional à receita bruta da linha de serviço"))</f>
        <v/>
      </c>
    </row>
    <row r="797">
      <c r="A797" s="28">
        <f>IF(C797="","", "CP-"&amp;TEXT(ROW()-5,"000"))</f>
        <v/>
      </c>
      <c r="B797" s="27">
        <f>IF(F797="","",DATE(YEAR(F797),MONTH(F797),1))</f>
        <v/>
      </c>
      <c r="C797" s="28" t="n"/>
      <c r="D797" s="28" t="n"/>
      <c r="E797" s="59">
        <f>IF(C797="","",IFERROR(INDEX('6. Base de Custos'!$M$8:$M$42,MATCH(C797,'6. Base de Custos'!$L$8:$L$42,0)),"Não classificado"))</f>
        <v/>
      </c>
      <c r="F797" s="111" t="n"/>
      <c r="G797" s="111" t="n"/>
      <c r="H797" s="111" t="n"/>
      <c r="I797" s="45" t="n"/>
      <c r="J797" s="28" t="n"/>
      <c r="K797" s="28" t="n"/>
      <c r="L797" s="28" t="n"/>
      <c r="M797" s="59">
        <f>IF(C797="","",IFERROR(INDEX('6. Base de Custos'!$N$8:$N$42,MATCH(C797,'6. Base de Custos'!$L$8:$L$42,0)),"Não classificado"))</f>
        <v/>
      </c>
      <c r="N797" s="59">
        <f>IF(C797="","",IFERROR(INDEX('6. Base de Custos'!$O$8:$O$42,MATCH(C797,'6. Base de Custos'!$L$8:$L$42,0)),"Revisar"))</f>
        <v/>
      </c>
      <c r="O797" s="60">
        <f>IF(M797="","",IFERROR(VLOOKUP(M797,'6. Base de Custos'!$H$12:$J$18,3,FALSE),0))</f>
        <v/>
      </c>
      <c r="P797" s="59">
        <f>IF(C797="","",IFERROR(INDEX('6. Base de Custos'!$P$8:$P$42,MATCH(C797,'6. Base de Custos'!$L$8:$L$42,0)),"Revisar"))</f>
        <v/>
      </c>
      <c r="Q797" s="59">
        <f>IF(C797="","",IFERROR(INDEX('6. Base de Custos'!$Q$8:$Q$42,MATCH(C797,'6. Base de Custos'!$L$8:$L$42,0)),""))</f>
        <v/>
      </c>
      <c r="R797" s="65">
        <f>IF(C797="","",IFERROR(VLOOKUP(M797&amp;"|"&amp;N797,'17. Mapa DRE CP'!$E$5:$H$100,2,FALSE),"Revisar"))</f>
        <v/>
      </c>
      <c r="S797" s="65">
        <f>IF(C797="","",IFERROR(VLOOKUP(M797&amp;"|"&amp;N797,'17. Mapa DRE CP'!$E$5:$H$100,3,FALSE),"Revisar"))</f>
        <v/>
      </c>
      <c r="T797" s="65">
        <f>IF(C797="","",IF(R797="(-) Custos diretos dos serviços",IF(ISNUMBER(SEARCH("PCMSO",C797)),"PCMSO",IF(OR(ISNUMBER(SEARCH("SGS",C797)),ISNUMBER(SEARCH("CASTRO NAVES",C797))),"Projetos / Laudos / Avulsos","Projetos / Laudos / Avulsos")),"Rateio pela receita bruta"))</f>
        <v/>
      </c>
      <c r="U797" s="65">
        <f>IF(C797="","",IF(R797="(-) Custos diretos dos serviços","Direto por fornecedor/natureza do gasto","Rateio proporcional à receita bruta da linha de serviço"))</f>
        <v/>
      </c>
    </row>
    <row r="798">
      <c r="A798" s="28">
        <f>IF(C798="","", "CP-"&amp;TEXT(ROW()-5,"000"))</f>
        <v/>
      </c>
      <c r="B798" s="27">
        <f>IF(F798="","",DATE(YEAR(F798),MONTH(F798),1))</f>
        <v/>
      </c>
      <c r="C798" s="28" t="n"/>
      <c r="D798" s="28" t="n"/>
      <c r="E798" s="59">
        <f>IF(C798="","",IFERROR(INDEX('6. Base de Custos'!$M$8:$M$42,MATCH(C798,'6. Base de Custos'!$L$8:$L$42,0)),"Não classificado"))</f>
        <v/>
      </c>
      <c r="F798" s="111" t="n"/>
      <c r="G798" s="111" t="n"/>
      <c r="H798" s="111" t="n"/>
      <c r="I798" s="45" t="n"/>
      <c r="J798" s="28" t="n"/>
      <c r="K798" s="28" t="n"/>
      <c r="L798" s="28" t="n"/>
      <c r="M798" s="59">
        <f>IF(C798="","",IFERROR(INDEX('6. Base de Custos'!$N$8:$N$42,MATCH(C798,'6. Base de Custos'!$L$8:$L$42,0)),"Não classificado"))</f>
        <v/>
      </c>
      <c r="N798" s="59">
        <f>IF(C798="","",IFERROR(INDEX('6. Base de Custos'!$O$8:$O$42,MATCH(C798,'6. Base de Custos'!$L$8:$L$42,0)),"Revisar"))</f>
        <v/>
      </c>
      <c r="O798" s="60">
        <f>IF(M798="","",IFERROR(VLOOKUP(M798,'6. Base de Custos'!$H$12:$J$18,3,FALSE),0))</f>
        <v/>
      </c>
      <c r="P798" s="59">
        <f>IF(C798="","",IFERROR(INDEX('6. Base de Custos'!$P$8:$P$42,MATCH(C798,'6. Base de Custos'!$L$8:$L$42,0)),"Revisar"))</f>
        <v/>
      </c>
      <c r="Q798" s="59">
        <f>IF(C798="","",IFERROR(INDEX('6. Base de Custos'!$Q$8:$Q$42,MATCH(C798,'6. Base de Custos'!$L$8:$L$42,0)),""))</f>
        <v/>
      </c>
      <c r="R798" s="65">
        <f>IF(C798="","",IFERROR(VLOOKUP(M798&amp;"|"&amp;N798,'17. Mapa DRE CP'!$E$5:$H$100,2,FALSE),"Revisar"))</f>
        <v/>
      </c>
      <c r="S798" s="65">
        <f>IF(C798="","",IFERROR(VLOOKUP(M798&amp;"|"&amp;N798,'17. Mapa DRE CP'!$E$5:$H$100,3,FALSE),"Revisar"))</f>
        <v/>
      </c>
      <c r="T798" s="65">
        <f>IF(C798="","",IF(R798="(-) Custos diretos dos serviços",IF(ISNUMBER(SEARCH("PCMSO",C798)),"PCMSO",IF(OR(ISNUMBER(SEARCH("SGS",C798)),ISNUMBER(SEARCH("CASTRO NAVES",C798))),"Projetos / Laudos / Avulsos","Projetos / Laudos / Avulsos")),"Rateio pela receita bruta"))</f>
        <v/>
      </c>
      <c r="U798" s="65">
        <f>IF(C798="","",IF(R798="(-) Custos diretos dos serviços","Direto por fornecedor/natureza do gasto","Rateio proporcional à receita bruta da linha de serviço"))</f>
        <v/>
      </c>
    </row>
    <row r="799">
      <c r="A799" s="28">
        <f>IF(C799="","", "CP-"&amp;TEXT(ROW()-5,"000"))</f>
        <v/>
      </c>
      <c r="B799" s="27">
        <f>IF(F799="","",DATE(YEAR(F799),MONTH(F799),1))</f>
        <v/>
      </c>
      <c r="C799" s="28" t="n"/>
      <c r="D799" s="28" t="n"/>
      <c r="E799" s="59">
        <f>IF(C799="","",IFERROR(INDEX('6. Base de Custos'!$M$8:$M$42,MATCH(C799,'6. Base de Custos'!$L$8:$L$42,0)),"Não classificado"))</f>
        <v/>
      </c>
      <c r="F799" s="111" t="n"/>
      <c r="G799" s="111" t="n"/>
      <c r="H799" s="111" t="n"/>
      <c r="I799" s="45" t="n"/>
      <c r="J799" s="28" t="n"/>
      <c r="K799" s="28" t="n"/>
      <c r="L799" s="28" t="n"/>
      <c r="M799" s="59">
        <f>IF(C799="","",IFERROR(INDEX('6. Base de Custos'!$N$8:$N$42,MATCH(C799,'6. Base de Custos'!$L$8:$L$42,0)),"Não classificado"))</f>
        <v/>
      </c>
      <c r="N799" s="59">
        <f>IF(C799="","",IFERROR(INDEX('6. Base de Custos'!$O$8:$O$42,MATCH(C799,'6. Base de Custos'!$L$8:$L$42,0)),"Revisar"))</f>
        <v/>
      </c>
      <c r="O799" s="60">
        <f>IF(M799="","",IFERROR(VLOOKUP(M799,'6. Base de Custos'!$H$12:$J$18,3,FALSE),0))</f>
        <v/>
      </c>
      <c r="P799" s="59">
        <f>IF(C799="","",IFERROR(INDEX('6. Base de Custos'!$P$8:$P$42,MATCH(C799,'6. Base de Custos'!$L$8:$L$42,0)),"Revisar"))</f>
        <v/>
      </c>
      <c r="Q799" s="59">
        <f>IF(C799="","",IFERROR(INDEX('6. Base de Custos'!$Q$8:$Q$42,MATCH(C799,'6. Base de Custos'!$L$8:$L$42,0)),""))</f>
        <v/>
      </c>
      <c r="R799" s="65">
        <f>IF(C799="","",IFERROR(VLOOKUP(M799&amp;"|"&amp;N799,'17. Mapa DRE CP'!$E$5:$H$100,2,FALSE),"Revisar"))</f>
        <v/>
      </c>
      <c r="S799" s="65">
        <f>IF(C799="","",IFERROR(VLOOKUP(M799&amp;"|"&amp;N799,'17. Mapa DRE CP'!$E$5:$H$100,3,FALSE),"Revisar"))</f>
        <v/>
      </c>
      <c r="T799" s="65">
        <f>IF(C799="","",IF(R799="(-) Custos diretos dos serviços",IF(ISNUMBER(SEARCH("PCMSO",C799)),"PCMSO",IF(OR(ISNUMBER(SEARCH("SGS",C799)),ISNUMBER(SEARCH("CASTRO NAVES",C799))),"Projetos / Laudos / Avulsos","Projetos / Laudos / Avulsos")),"Rateio pela receita bruta"))</f>
        <v/>
      </c>
      <c r="U799" s="65">
        <f>IF(C799="","",IF(R799="(-) Custos diretos dos serviços","Direto por fornecedor/natureza do gasto","Rateio proporcional à receita bruta da linha de serviço"))</f>
        <v/>
      </c>
    </row>
    <row r="800">
      <c r="A800" s="28">
        <f>IF(C800="","", "CP-"&amp;TEXT(ROW()-5,"000"))</f>
        <v/>
      </c>
      <c r="B800" s="27">
        <f>IF(F800="","",DATE(YEAR(F800),MONTH(F800),1))</f>
        <v/>
      </c>
      <c r="C800" s="28" t="n"/>
      <c r="D800" s="28" t="n"/>
      <c r="E800" s="59">
        <f>IF(C800="","",IFERROR(INDEX('6. Base de Custos'!$M$8:$M$42,MATCH(C800,'6. Base de Custos'!$L$8:$L$42,0)),"Não classificado"))</f>
        <v/>
      </c>
      <c r="F800" s="111" t="n"/>
      <c r="G800" s="111" t="n"/>
      <c r="H800" s="111" t="n"/>
      <c r="I800" s="45" t="n"/>
      <c r="J800" s="28" t="n"/>
      <c r="K800" s="28" t="n"/>
      <c r="L800" s="28" t="n"/>
      <c r="M800" s="59">
        <f>IF(C800="","",IFERROR(INDEX('6. Base de Custos'!$N$8:$N$42,MATCH(C800,'6. Base de Custos'!$L$8:$L$42,0)),"Não classificado"))</f>
        <v/>
      </c>
      <c r="N800" s="59">
        <f>IF(C800="","",IFERROR(INDEX('6. Base de Custos'!$O$8:$O$42,MATCH(C800,'6. Base de Custos'!$L$8:$L$42,0)),"Revisar"))</f>
        <v/>
      </c>
      <c r="O800" s="60">
        <f>IF(M800="","",IFERROR(VLOOKUP(M800,'6. Base de Custos'!$H$12:$J$18,3,FALSE),0))</f>
        <v/>
      </c>
      <c r="P800" s="59">
        <f>IF(C800="","",IFERROR(INDEX('6. Base de Custos'!$P$8:$P$42,MATCH(C800,'6. Base de Custos'!$L$8:$L$42,0)),"Revisar"))</f>
        <v/>
      </c>
      <c r="Q800" s="59">
        <f>IF(C800="","",IFERROR(INDEX('6. Base de Custos'!$Q$8:$Q$42,MATCH(C800,'6. Base de Custos'!$L$8:$L$42,0)),""))</f>
        <v/>
      </c>
      <c r="R800" s="65">
        <f>IF(C800="","",IFERROR(VLOOKUP(M800&amp;"|"&amp;N800,'17. Mapa DRE CP'!$E$5:$H$100,2,FALSE),"Revisar"))</f>
        <v/>
      </c>
      <c r="S800" s="65">
        <f>IF(C800="","",IFERROR(VLOOKUP(M800&amp;"|"&amp;N800,'17. Mapa DRE CP'!$E$5:$H$100,3,FALSE),"Revisar"))</f>
        <v/>
      </c>
      <c r="T800" s="65">
        <f>IF(C800="","",IF(R800="(-) Custos diretos dos serviços",IF(ISNUMBER(SEARCH("PCMSO",C800)),"PCMSO",IF(OR(ISNUMBER(SEARCH("SGS",C800)),ISNUMBER(SEARCH("CASTRO NAVES",C800))),"Projetos / Laudos / Avulsos","Projetos / Laudos / Avulsos")),"Rateio pela receita bruta"))</f>
        <v/>
      </c>
      <c r="U800" s="65">
        <f>IF(C800="","",IF(R800="(-) Custos diretos dos serviços","Direto por fornecedor/natureza do gasto","Rateio proporcional à receita bruta da linha de serviço"))</f>
        <v/>
      </c>
    </row>
    <row r="801">
      <c r="A801" s="28">
        <f>IF(C801="","", "CP-"&amp;TEXT(ROW()-5,"000"))</f>
        <v/>
      </c>
      <c r="B801" s="27">
        <f>IF(F801="","",DATE(YEAR(F801),MONTH(F801),1))</f>
        <v/>
      </c>
      <c r="C801" s="28" t="n"/>
      <c r="D801" s="28" t="n"/>
      <c r="E801" s="59">
        <f>IF(C801="","",IFERROR(INDEX('6. Base de Custos'!$M$8:$M$42,MATCH(C801,'6. Base de Custos'!$L$8:$L$42,0)),"Não classificado"))</f>
        <v/>
      </c>
      <c r="F801" s="111" t="n"/>
      <c r="G801" s="111" t="n"/>
      <c r="H801" s="111" t="n"/>
      <c r="I801" s="45" t="n"/>
      <c r="J801" s="28" t="n"/>
      <c r="K801" s="28" t="n"/>
      <c r="L801" s="28" t="n"/>
      <c r="M801" s="59">
        <f>IF(C801="","",IFERROR(INDEX('6. Base de Custos'!$N$8:$N$42,MATCH(C801,'6. Base de Custos'!$L$8:$L$42,0)),"Não classificado"))</f>
        <v/>
      </c>
      <c r="N801" s="59">
        <f>IF(C801="","",IFERROR(INDEX('6. Base de Custos'!$O$8:$O$42,MATCH(C801,'6. Base de Custos'!$L$8:$L$42,0)),"Revisar"))</f>
        <v/>
      </c>
      <c r="O801" s="60">
        <f>IF(M801="","",IFERROR(VLOOKUP(M801,'6. Base de Custos'!$H$12:$J$18,3,FALSE),0))</f>
        <v/>
      </c>
      <c r="P801" s="59">
        <f>IF(C801="","",IFERROR(INDEX('6. Base de Custos'!$P$8:$P$42,MATCH(C801,'6. Base de Custos'!$L$8:$L$42,0)),"Revisar"))</f>
        <v/>
      </c>
      <c r="Q801" s="59">
        <f>IF(C801="","",IFERROR(INDEX('6. Base de Custos'!$Q$8:$Q$42,MATCH(C801,'6. Base de Custos'!$L$8:$L$42,0)),""))</f>
        <v/>
      </c>
      <c r="R801" s="65">
        <f>IF(C801="","",IFERROR(VLOOKUP(M801&amp;"|"&amp;N801,'17. Mapa DRE CP'!$E$5:$H$100,2,FALSE),"Revisar"))</f>
        <v/>
      </c>
      <c r="S801" s="65">
        <f>IF(C801="","",IFERROR(VLOOKUP(M801&amp;"|"&amp;N801,'17. Mapa DRE CP'!$E$5:$H$100,3,FALSE),"Revisar"))</f>
        <v/>
      </c>
      <c r="T801" s="65">
        <f>IF(C801="","",IF(R801="(-) Custos diretos dos serviços",IF(ISNUMBER(SEARCH("PCMSO",C801)),"PCMSO",IF(OR(ISNUMBER(SEARCH("SGS",C801)),ISNUMBER(SEARCH("CASTRO NAVES",C801))),"Projetos / Laudos / Avulsos","Projetos / Laudos / Avulsos")),"Rateio pela receita bruta"))</f>
        <v/>
      </c>
      <c r="U801" s="65">
        <f>IF(C801="","",IF(R801="(-) Custos diretos dos serviços","Direto por fornecedor/natureza do gasto","Rateio proporcional à receita bruta da linha de serviço"))</f>
        <v/>
      </c>
    </row>
    <row r="802">
      <c r="A802" s="28">
        <f>IF(C802="","", "CP-"&amp;TEXT(ROW()-5,"000"))</f>
        <v/>
      </c>
      <c r="B802" s="27">
        <f>IF(F802="","",DATE(YEAR(F802),MONTH(F802),1))</f>
        <v/>
      </c>
      <c r="C802" s="28" t="n"/>
      <c r="D802" s="28" t="n"/>
      <c r="E802" s="59">
        <f>IF(C802="","",IFERROR(INDEX('6. Base de Custos'!$M$8:$M$42,MATCH(C802,'6. Base de Custos'!$L$8:$L$42,0)),"Não classificado"))</f>
        <v/>
      </c>
      <c r="F802" s="111" t="n"/>
      <c r="G802" s="111" t="n"/>
      <c r="H802" s="111" t="n"/>
      <c r="I802" s="45" t="n"/>
      <c r="J802" s="28" t="n"/>
      <c r="K802" s="28" t="n"/>
      <c r="L802" s="28" t="n"/>
      <c r="M802" s="59">
        <f>IF(C802="","",IFERROR(INDEX('6. Base de Custos'!$N$8:$N$42,MATCH(C802,'6. Base de Custos'!$L$8:$L$42,0)),"Não classificado"))</f>
        <v/>
      </c>
      <c r="N802" s="59">
        <f>IF(C802="","",IFERROR(INDEX('6. Base de Custos'!$O$8:$O$42,MATCH(C802,'6. Base de Custos'!$L$8:$L$42,0)),"Revisar"))</f>
        <v/>
      </c>
      <c r="O802" s="60">
        <f>IF(M802="","",IFERROR(VLOOKUP(M802,'6. Base de Custos'!$H$12:$J$18,3,FALSE),0))</f>
        <v/>
      </c>
      <c r="P802" s="59">
        <f>IF(C802="","",IFERROR(INDEX('6. Base de Custos'!$P$8:$P$42,MATCH(C802,'6. Base de Custos'!$L$8:$L$42,0)),"Revisar"))</f>
        <v/>
      </c>
      <c r="Q802" s="59">
        <f>IF(C802="","",IFERROR(INDEX('6. Base de Custos'!$Q$8:$Q$42,MATCH(C802,'6. Base de Custos'!$L$8:$L$42,0)),""))</f>
        <v/>
      </c>
      <c r="R802" s="65">
        <f>IF(C802="","",IFERROR(VLOOKUP(M802&amp;"|"&amp;N802,'17. Mapa DRE CP'!$E$5:$H$100,2,FALSE),"Revisar"))</f>
        <v/>
      </c>
      <c r="S802" s="65">
        <f>IF(C802="","",IFERROR(VLOOKUP(M802&amp;"|"&amp;N802,'17. Mapa DRE CP'!$E$5:$H$100,3,FALSE),"Revisar"))</f>
        <v/>
      </c>
      <c r="T802" s="65">
        <f>IF(C802="","",IF(R802="(-) Custos diretos dos serviços",IF(ISNUMBER(SEARCH("PCMSO",C802)),"PCMSO",IF(OR(ISNUMBER(SEARCH("SGS",C802)),ISNUMBER(SEARCH("CASTRO NAVES",C802))),"Projetos / Laudos / Avulsos","Projetos / Laudos / Avulsos")),"Rateio pela receita bruta"))</f>
        <v/>
      </c>
      <c r="U802" s="65">
        <f>IF(C802="","",IF(R802="(-) Custos diretos dos serviços","Direto por fornecedor/natureza do gasto","Rateio proporcional à receita bruta da linha de serviço"))</f>
        <v/>
      </c>
    </row>
    <row r="803">
      <c r="A803" s="28">
        <f>IF(C803="","", "CP-"&amp;TEXT(ROW()-5,"000"))</f>
        <v/>
      </c>
      <c r="B803" s="27">
        <f>IF(F803="","",DATE(YEAR(F803),MONTH(F803),1))</f>
        <v/>
      </c>
      <c r="C803" s="28" t="n"/>
      <c r="D803" s="28" t="n"/>
      <c r="E803" s="59">
        <f>IF(C803="","",IFERROR(INDEX('6. Base de Custos'!$M$8:$M$42,MATCH(C803,'6. Base de Custos'!$L$8:$L$42,0)),"Não classificado"))</f>
        <v/>
      </c>
      <c r="F803" s="111" t="n"/>
      <c r="G803" s="111" t="n"/>
      <c r="H803" s="111" t="n"/>
      <c r="I803" s="45" t="n"/>
      <c r="J803" s="28" t="n"/>
      <c r="K803" s="28" t="n"/>
      <c r="L803" s="28" t="n"/>
      <c r="M803" s="59">
        <f>IF(C803="","",IFERROR(INDEX('6. Base de Custos'!$N$8:$N$42,MATCH(C803,'6. Base de Custos'!$L$8:$L$42,0)),"Não classificado"))</f>
        <v/>
      </c>
      <c r="N803" s="59">
        <f>IF(C803="","",IFERROR(INDEX('6. Base de Custos'!$O$8:$O$42,MATCH(C803,'6. Base de Custos'!$L$8:$L$42,0)),"Revisar"))</f>
        <v/>
      </c>
      <c r="O803" s="60">
        <f>IF(M803="","",IFERROR(VLOOKUP(M803,'6. Base de Custos'!$H$12:$J$18,3,FALSE),0))</f>
        <v/>
      </c>
      <c r="P803" s="59">
        <f>IF(C803="","",IFERROR(INDEX('6. Base de Custos'!$P$8:$P$42,MATCH(C803,'6. Base de Custos'!$L$8:$L$42,0)),"Revisar"))</f>
        <v/>
      </c>
      <c r="Q803" s="59">
        <f>IF(C803="","",IFERROR(INDEX('6. Base de Custos'!$Q$8:$Q$42,MATCH(C803,'6. Base de Custos'!$L$8:$L$42,0)),""))</f>
        <v/>
      </c>
      <c r="R803" s="65">
        <f>IF(C803="","",IFERROR(VLOOKUP(M803&amp;"|"&amp;N803,'17. Mapa DRE CP'!$E$5:$H$100,2,FALSE),"Revisar"))</f>
        <v/>
      </c>
      <c r="S803" s="65">
        <f>IF(C803="","",IFERROR(VLOOKUP(M803&amp;"|"&amp;N803,'17. Mapa DRE CP'!$E$5:$H$100,3,FALSE),"Revisar"))</f>
        <v/>
      </c>
      <c r="T803" s="65">
        <f>IF(C803="","",IF(R803="(-) Custos diretos dos serviços",IF(ISNUMBER(SEARCH("PCMSO",C803)),"PCMSO",IF(OR(ISNUMBER(SEARCH("SGS",C803)),ISNUMBER(SEARCH("CASTRO NAVES",C803))),"Projetos / Laudos / Avulsos","Projetos / Laudos / Avulsos")),"Rateio pela receita bruta"))</f>
        <v/>
      </c>
      <c r="U803" s="65">
        <f>IF(C803="","",IF(R803="(-) Custos diretos dos serviços","Direto por fornecedor/natureza do gasto","Rateio proporcional à receita bruta da linha de serviço"))</f>
        <v/>
      </c>
    </row>
    <row r="804">
      <c r="A804" s="28">
        <f>IF(C804="","", "CP-"&amp;TEXT(ROW()-5,"000"))</f>
        <v/>
      </c>
      <c r="B804" s="27">
        <f>IF(F804="","",DATE(YEAR(F804),MONTH(F804),1))</f>
        <v/>
      </c>
      <c r="C804" s="28" t="n"/>
      <c r="D804" s="28" t="n"/>
      <c r="E804" s="59">
        <f>IF(C804="","",IFERROR(INDEX('6. Base de Custos'!$M$8:$M$42,MATCH(C804,'6. Base de Custos'!$L$8:$L$42,0)),"Não classificado"))</f>
        <v/>
      </c>
      <c r="F804" s="111" t="n"/>
      <c r="G804" s="111" t="n"/>
      <c r="H804" s="111" t="n"/>
      <c r="I804" s="45" t="n"/>
      <c r="J804" s="28" t="n"/>
      <c r="K804" s="28" t="n"/>
      <c r="L804" s="28" t="n"/>
      <c r="M804" s="59">
        <f>IF(C804="","",IFERROR(INDEX('6. Base de Custos'!$N$8:$N$42,MATCH(C804,'6. Base de Custos'!$L$8:$L$42,0)),"Não classificado"))</f>
        <v/>
      </c>
      <c r="N804" s="59">
        <f>IF(C804="","",IFERROR(INDEX('6. Base de Custos'!$O$8:$O$42,MATCH(C804,'6. Base de Custos'!$L$8:$L$42,0)),"Revisar"))</f>
        <v/>
      </c>
      <c r="O804" s="60">
        <f>IF(M804="","",IFERROR(VLOOKUP(M804,'6. Base de Custos'!$H$12:$J$18,3,FALSE),0))</f>
        <v/>
      </c>
      <c r="P804" s="59">
        <f>IF(C804="","",IFERROR(INDEX('6. Base de Custos'!$P$8:$P$42,MATCH(C804,'6. Base de Custos'!$L$8:$L$42,0)),"Revisar"))</f>
        <v/>
      </c>
      <c r="Q804" s="59">
        <f>IF(C804="","",IFERROR(INDEX('6. Base de Custos'!$Q$8:$Q$42,MATCH(C804,'6. Base de Custos'!$L$8:$L$42,0)),""))</f>
        <v/>
      </c>
      <c r="R804" s="65">
        <f>IF(C804="","",IFERROR(VLOOKUP(M804&amp;"|"&amp;N804,'17. Mapa DRE CP'!$E$5:$H$100,2,FALSE),"Revisar"))</f>
        <v/>
      </c>
      <c r="S804" s="65">
        <f>IF(C804="","",IFERROR(VLOOKUP(M804&amp;"|"&amp;N804,'17. Mapa DRE CP'!$E$5:$H$100,3,FALSE),"Revisar"))</f>
        <v/>
      </c>
      <c r="T804" s="65">
        <f>IF(C804="","",IF(R804="(-) Custos diretos dos serviços",IF(ISNUMBER(SEARCH("PCMSO",C804)),"PCMSO",IF(OR(ISNUMBER(SEARCH("SGS",C804)),ISNUMBER(SEARCH("CASTRO NAVES",C804))),"Projetos / Laudos / Avulsos","Projetos / Laudos / Avulsos")),"Rateio pela receita bruta"))</f>
        <v/>
      </c>
      <c r="U804" s="65">
        <f>IF(C804="","",IF(R804="(-) Custos diretos dos serviços","Direto por fornecedor/natureza do gasto","Rateio proporcional à receita bruta da linha de serviço"))</f>
        <v/>
      </c>
    </row>
    <row r="805">
      <c r="A805" s="28">
        <f>IF(C805="","", "CP-"&amp;TEXT(ROW()-5,"000"))</f>
        <v/>
      </c>
      <c r="B805" s="27">
        <f>IF(F805="","",DATE(YEAR(F805),MONTH(F805),1))</f>
        <v/>
      </c>
      <c r="C805" s="28" t="n"/>
      <c r="D805" s="28" t="n"/>
      <c r="E805" s="59">
        <f>IF(C805="","",IFERROR(INDEX('6. Base de Custos'!$M$8:$M$42,MATCH(C805,'6. Base de Custos'!$L$8:$L$42,0)),"Não classificado"))</f>
        <v/>
      </c>
      <c r="F805" s="111" t="n"/>
      <c r="G805" s="111" t="n"/>
      <c r="H805" s="111" t="n"/>
      <c r="I805" s="45" t="n"/>
      <c r="J805" s="28" t="n"/>
      <c r="K805" s="28" t="n"/>
      <c r="L805" s="28" t="n"/>
      <c r="M805" s="59">
        <f>IF(C805="","",IFERROR(INDEX('6. Base de Custos'!$N$8:$N$42,MATCH(C805,'6. Base de Custos'!$L$8:$L$42,0)),"Não classificado"))</f>
        <v/>
      </c>
      <c r="N805" s="59">
        <f>IF(C805="","",IFERROR(INDEX('6. Base de Custos'!$O$8:$O$42,MATCH(C805,'6. Base de Custos'!$L$8:$L$42,0)),"Revisar"))</f>
        <v/>
      </c>
      <c r="O805" s="60">
        <f>IF(M805="","",IFERROR(VLOOKUP(M805,'6. Base de Custos'!$H$12:$J$18,3,FALSE),0))</f>
        <v/>
      </c>
      <c r="P805" s="59">
        <f>IF(C805="","",IFERROR(INDEX('6. Base de Custos'!$P$8:$P$42,MATCH(C805,'6. Base de Custos'!$L$8:$L$42,0)),"Revisar"))</f>
        <v/>
      </c>
      <c r="Q805" s="59">
        <f>IF(C805="","",IFERROR(INDEX('6. Base de Custos'!$Q$8:$Q$42,MATCH(C805,'6. Base de Custos'!$L$8:$L$42,0)),""))</f>
        <v/>
      </c>
      <c r="R805" s="65">
        <f>IF(C805="","",IFERROR(VLOOKUP(M805&amp;"|"&amp;N805,'17. Mapa DRE CP'!$E$5:$H$100,2,FALSE),"Revisar"))</f>
        <v/>
      </c>
      <c r="S805" s="65">
        <f>IF(C805="","",IFERROR(VLOOKUP(M805&amp;"|"&amp;N805,'17. Mapa DRE CP'!$E$5:$H$100,3,FALSE),"Revisar"))</f>
        <v/>
      </c>
      <c r="T805" s="65">
        <f>IF(C805="","",IF(R805="(-) Custos diretos dos serviços",IF(ISNUMBER(SEARCH("PCMSO",C805)),"PCMSO",IF(OR(ISNUMBER(SEARCH("SGS",C805)),ISNUMBER(SEARCH("CASTRO NAVES",C805))),"Projetos / Laudos / Avulsos","Projetos / Laudos / Avulsos")),"Rateio pela receita bruta"))</f>
        <v/>
      </c>
      <c r="U805" s="65">
        <f>IF(C805="","",IF(R805="(-) Custos diretos dos serviços","Direto por fornecedor/natureza do gasto","Rateio proporcional à receita bruta da linha de serviço"))</f>
        <v/>
      </c>
    </row>
    <row r="806">
      <c r="A806" s="28">
        <f>IF(C806="","", "CP-"&amp;TEXT(ROW()-5,"000"))</f>
        <v/>
      </c>
      <c r="B806" s="27">
        <f>IF(F806="","",DATE(YEAR(F806),MONTH(F806),1))</f>
        <v/>
      </c>
      <c r="C806" s="28" t="n"/>
      <c r="D806" s="28" t="n"/>
      <c r="E806" s="59">
        <f>IF(C806="","",IFERROR(INDEX('6. Base de Custos'!$M$8:$M$42,MATCH(C806,'6. Base de Custos'!$L$8:$L$42,0)),"Não classificado"))</f>
        <v/>
      </c>
      <c r="F806" s="111" t="n"/>
      <c r="G806" s="111" t="n"/>
      <c r="H806" s="111" t="n"/>
      <c r="I806" s="45" t="n"/>
      <c r="J806" s="28" t="n"/>
      <c r="K806" s="28" t="n"/>
      <c r="L806" s="28" t="n"/>
      <c r="M806" s="59">
        <f>IF(C806="","",IFERROR(INDEX('6. Base de Custos'!$N$8:$N$42,MATCH(C806,'6. Base de Custos'!$L$8:$L$42,0)),"Não classificado"))</f>
        <v/>
      </c>
      <c r="N806" s="59">
        <f>IF(C806="","",IFERROR(INDEX('6. Base de Custos'!$O$8:$O$42,MATCH(C806,'6. Base de Custos'!$L$8:$L$42,0)),"Revisar"))</f>
        <v/>
      </c>
      <c r="O806" s="60">
        <f>IF(M806="","",IFERROR(VLOOKUP(M806,'6. Base de Custos'!$H$12:$J$18,3,FALSE),0))</f>
        <v/>
      </c>
      <c r="P806" s="59">
        <f>IF(C806="","",IFERROR(INDEX('6. Base de Custos'!$P$8:$P$42,MATCH(C806,'6. Base de Custos'!$L$8:$L$42,0)),"Revisar"))</f>
        <v/>
      </c>
      <c r="Q806" s="59">
        <f>IF(C806="","",IFERROR(INDEX('6. Base de Custos'!$Q$8:$Q$42,MATCH(C806,'6. Base de Custos'!$L$8:$L$42,0)),""))</f>
        <v/>
      </c>
      <c r="R806" s="65">
        <f>IF(C806="","",IFERROR(VLOOKUP(M806&amp;"|"&amp;N806,'17. Mapa DRE CP'!$E$5:$H$100,2,FALSE),"Revisar"))</f>
        <v/>
      </c>
      <c r="S806" s="65">
        <f>IF(C806="","",IFERROR(VLOOKUP(M806&amp;"|"&amp;N806,'17. Mapa DRE CP'!$E$5:$H$100,3,FALSE),"Revisar"))</f>
        <v/>
      </c>
      <c r="T806" s="65">
        <f>IF(C806="","",IF(R806="(-) Custos diretos dos serviços",IF(ISNUMBER(SEARCH("PCMSO",C806)),"PCMSO",IF(OR(ISNUMBER(SEARCH("SGS",C806)),ISNUMBER(SEARCH("CASTRO NAVES",C806))),"Projetos / Laudos / Avulsos","Projetos / Laudos / Avulsos")),"Rateio pela receita bruta"))</f>
        <v/>
      </c>
      <c r="U806" s="65">
        <f>IF(C806="","",IF(R806="(-) Custos diretos dos serviços","Direto por fornecedor/natureza do gasto","Rateio proporcional à receita bruta da linha de serviço"))</f>
        <v/>
      </c>
    </row>
    <row r="807">
      <c r="A807" s="28">
        <f>IF(C807="","", "CP-"&amp;TEXT(ROW()-5,"000"))</f>
        <v/>
      </c>
      <c r="B807" s="27">
        <f>IF(F807="","",DATE(YEAR(F807),MONTH(F807),1))</f>
        <v/>
      </c>
      <c r="C807" s="28" t="n"/>
      <c r="D807" s="28" t="n"/>
      <c r="E807" s="59">
        <f>IF(C807="","",IFERROR(INDEX('6. Base de Custos'!$M$8:$M$42,MATCH(C807,'6. Base de Custos'!$L$8:$L$42,0)),"Não classificado"))</f>
        <v/>
      </c>
      <c r="F807" s="111" t="n"/>
      <c r="G807" s="111" t="n"/>
      <c r="H807" s="111" t="n"/>
      <c r="I807" s="45" t="n"/>
      <c r="J807" s="28" t="n"/>
      <c r="K807" s="28" t="n"/>
      <c r="L807" s="28" t="n"/>
      <c r="M807" s="59">
        <f>IF(C807="","",IFERROR(INDEX('6. Base de Custos'!$N$8:$N$42,MATCH(C807,'6. Base de Custos'!$L$8:$L$42,0)),"Não classificado"))</f>
        <v/>
      </c>
      <c r="N807" s="59">
        <f>IF(C807="","",IFERROR(INDEX('6. Base de Custos'!$O$8:$O$42,MATCH(C807,'6. Base de Custos'!$L$8:$L$42,0)),"Revisar"))</f>
        <v/>
      </c>
      <c r="O807" s="60">
        <f>IF(M807="","",IFERROR(VLOOKUP(M807,'6. Base de Custos'!$H$12:$J$18,3,FALSE),0))</f>
        <v/>
      </c>
      <c r="P807" s="59">
        <f>IF(C807="","",IFERROR(INDEX('6. Base de Custos'!$P$8:$P$42,MATCH(C807,'6. Base de Custos'!$L$8:$L$42,0)),"Revisar"))</f>
        <v/>
      </c>
      <c r="Q807" s="59">
        <f>IF(C807="","",IFERROR(INDEX('6. Base de Custos'!$Q$8:$Q$42,MATCH(C807,'6. Base de Custos'!$L$8:$L$42,0)),""))</f>
        <v/>
      </c>
      <c r="R807" s="65">
        <f>IF(C807="","",IFERROR(VLOOKUP(M807&amp;"|"&amp;N807,'17. Mapa DRE CP'!$E$5:$H$100,2,FALSE),"Revisar"))</f>
        <v/>
      </c>
      <c r="S807" s="65">
        <f>IF(C807="","",IFERROR(VLOOKUP(M807&amp;"|"&amp;N807,'17. Mapa DRE CP'!$E$5:$H$100,3,FALSE),"Revisar"))</f>
        <v/>
      </c>
      <c r="T807" s="65">
        <f>IF(C807="","",IF(R807="(-) Custos diretos dos serviços",IF(ISNUMBER(SEARCH("PCMSO",C807)),"PCMSO",IF(OR(ISNUMBER(SEARCH("SGS",C807)),ISNUMBER(SEARCH("CASTRO NAVES",C807))),"Projetos / Laudos / Avulsos","Projetos / Laudos / Avulsos")),"Rateio pela receita bruta"))</f>
        <v/>
      </c>
      <c r="U807" s="65">
        <f>IF(C807="","",IF(R807="(-) Custos diretos dos serviços","Direto por fornecedor/natureza do gasto","Rateio proporcional à receita bruta da linha de serviço"))</f>
        <v/>
      </c>
    </row>
    <row r="808">
      <c r="A808" s="28">
        <f>IF(C808="","", "CP-"&amp;TEXT(ROW()-5,"000"))</f>
        <v/>
      </c>
      <c r="B808" s="27">
        <f>IF(F808="","",DATE(YEAR(F808),MONTH(F808),1))</f>
        <v/>
      </c>
      <c r="C808" s="28" t="n"/>
      <c r="D808" s="28" t="n"/>
      <c r="E808" s="59">
        <f>IF(C808="","",IFERROR(INDEX('6. Base de Custos'!$M$8:$M$42,MATCH(C808,'6. Base de Custos'!$L$8:$L$42,0)),"Não classificado"))</f>
        <v/>
      </c>
      <c r="F808" s="111" t="n"/>
      <c r="G808" s="111" t="n"/>
      <c r="H808" s="111" t="n"/>
      <c r="I808" s="45" t="n"/>
      <c r="J808" s="28" t="n"/>
      <c r="K808" s="28" t="n"/>
      <c r="L808" s="28" t="n"/>
      <c r="M808" s="59">
        <f>IF(C808="","",IFERROR(INDEX('6. Base de Custos'!$N$8:$N$42,MATCH(C808,'6. Base de Custos'!$L$8:$L$42,0)),"Não classificado"))</f>
        <v/>
      </c>
      <c r="N808" s="59">
        <f>IF(C808="","",IFERROR(INDEX('6. Base de Custos'!$O$8:$O$42,MATCH(C808,'6. Base de Custos'!$L$8:$L$42,0)),"Revisar"))</f>
        <v/>
      </c>
      <c r="O808" s="60">
        <f>IF(M808="","",IFERROR(VLOOKUP(M808,'6. Base de Custos'!$H$12:$J$18,3,FALSE),0))</f>
        <v/>
      </c>
      <c r="P808" s="59">
        <f>IF(C808="","",IFERROR(INDEX('6. Base de Custos'!$P$8:$P$42,MATCH(C808,'6. Base de Custos'!$L$8:$L$42,0)),"Revisar"))</f>
        <v/>
      </c>
      <c r="Q808" s="59">
        <f>IF(C808="","",IFERROR(INDEX('6. Base de Custos'!$Q$8:$Q$42,MATCH(C808,'6. Base de Custos'!$L$8:$L$42,0)),""))</f>
        <v/>
      </c>
      <c r="R808" s="65">
        <f>IF(C808="","",IFERROR(VLOOKUP(M808&amp;"|"&amp;N808,'17. Mapa DRE CP'!$E$5:$H$100,2,FALSE),"Revisar"))</f>
        <v/>
      </c>
      <c r="S808" s="65">
        <f>IF(C808="","",IFERROR(VLOOKUP(M808&amp;"|"&amp;N808,'17. Mapa DRE CP'!$E$5:$H$100,3,FALSE),"Revisar"))</f>
        <v/>
      </c>
      <c r="T808" s="65">
        <f>IF(C808="","",IF(R808="(-) Custos diretos dos serviços",IF(ISNUMBER(SEARCH("PCMSO",C808)),"PCMSO",IF(OR(ISNUMBER(SEARCH("SGS",C808)),ISNUMBER(SEARCH("CASTRO NAVES",C808))),"Projetos / Laudos / Avulsos","Projetos / Laudos / Avulsos")),"Rateio pela receita bruta"))</f>
        <v/>
      </c>
      <c r="U808" s="65">
        <f>IF(C808="","",IF(R808="(-) Custos diretos dos serviços","Direto por fornecedor/natureza do gasto","Rateio proporcional à receita bruta da linha de serviço"))</f>
        <v/>
      </c>
    </row>
    <row r="809">
      <c r="A809" s="28">
        <f>IF(C809="","", "CP-"&amp;TEXT(ROW()-5,"000"))</f>
        <v/>
      </c>
      <c r="B809" s="27">
        <f>IF(F809="","",DATE(YEAR(F809),MONTH(F809),1))</f>
        <v/>
      </c>
      <c r="C809" s="28" t="n"/>
      <c r="D809" s="28" t="n"/>
      <c r="E809" s="59">
        <f>IF(C809="","",IFERROR(INDEX('6. Base de Custos'!$M$8:$M$42,MATCH(C809,'6. Base de Custos'!$L$8:$L$42,0)),"Não classificado"))</f>
        <v/>
      </c>
      <c r="F809" s="111" t="n"/>
      <c r="G809" s="111" t="n"/>
      <c r="H809" s="111" t="n"/>
      <c r="I809" s="45" t="n"/>
      <c r="J809" s="28" t="n"/>
      <c r="K809" s="28" t="n"/>
      <c r="L809" s="28" t="n"/>
      <c r="M809" s="59">
        <f>IF(C809="","",IFERROR(INDEX('6. Base de Custos'!$N$8:$N$42,MATCH(C809,'6. Base de Custos'!$L$8:$L$42,0)),"Não classificado"))</f>
        <v/>
      </c>
      <c r="N809" s="59">
        <f>IF(C809="","",IFERROR(INDEX('6. Base de Custos'!$O$8:$O$42,MATCH(C809,'6. Base de Custos'!$L$8:$L$42,0)),"Revisar"))</f>
        <v/>
      </c>
      <c r="O809" s="60">
        <f>IF(M809="","",IFERROR(VLOOKUP(M809,'6. Base de Custos'!$H$12:$J$18,3,FALSE),0))</f>
        <v/>
      </c>
      <c r="P809" s="59">
        <f>IF(C809="","",IFERROR(INDEX('6. Base de Custos'!$P$8:$P$42,MATCH(C809,'6. Base de Custos'!$L$8:$L$42,0)),"Revisar"))</f>
        <v/>
      </c>
      <c r="Q809" s="59">
        <f>IF(C809="","",IFERROR(INDEX('6. Base de Custos'!$Q$8:$Q$42,MATCH(C809,'6. Base de Custos'!$L$8:$L$42,0)),""))</f>
        <v/>
      </c>
      <c r="R809" s="65">
        <f>IF(C809="","",IFERROR(VLOOKUP(M809&amp;"|"&amp;N809,'17. Mapa DRE CP'!$E$5:$H$100,2,FALSE),"Revisar"))</f>
        <v/>
      </c>
      <c r="S809" s="65">
        <f>IF(C809="","",IFERROR(VLOOKUP(M809&amp;"|"&amp;N809,'17. Mapa DRE CP'!$E$5:$H$100,3,FALSE),"Revisar"))</f>
        <v/>
      </c>
      <c r="T809" s="65">
        <f>IF(C809="","",IF(R809="(-) Custos diretos dos serviços",IF(ISNUMBER(SEARCH("PCMSO",C809)),"PCMSO",IF(OR(ISNUMBER(SEARCH("SGS",C809)),ISNUMBER(SEARCH("CASTRO NAVES",C809))),"Projetos / Laudos / Avulsos","Projetos / Laudos / Avulsos")),"Rateio pela receita bruta"))</f>
        <v/>
      </c>
      <c r="U809" s="65">
        <f>IF(C809="","",IF(R809="(-) Custos diretos dos serviços","Direto por fornecedor/natureza do gasto","Rateio proporcional à receita bruta da linha de serviço"))</f>
        <v/>
      </c>
    </row>
    <row r="810">
      <c r="A810" s="28">
        <f>IF(C810="","", "CP-"&amp;TEXT(ROW()-5,"000"))</f>
        <v/>
      </c>
      <c r="B810" s="27">
        <f>IF(F810="","",DATE(YEAR(F810),MONTH(F810),1))</f>
        <v/>
      </c>
      <c r="C810" s="28" t="n"/>
      <c r="D810" s="28" t="n"/>
      <c r="E810" s="59">
        <f>IF(C810="","",IFERROR(INDEX('6. Base de Custos'!$M$8:$M$42,MATCH(C810,'6. Base de Custos'!$L$8:$L$42,0)),"Não classificado"))</f>
        <v/>
      </c>
      <c r="F810" s="111" t="n"/>
      <c r="G810" s="111" t="n"/>
      <c r="H810" s="111" t="n"/>
      <c r="I810" s="45" t="n"/>
      <c r="J810" s="28" t="n"/>
      <c r="K810" s="28" t="n"/>
      <c r="L810" s="28" t="n"/>
      <c r="M810" s="59">
        <f>IF(C810="","",IFERROR(INDEX('6. Base de Custos'!$N$8:$N$42,MATCH(C810,'6. Base de Custos'!$L$8:$L$42,0)),"Não classificado"))</f>
        <v/>
      </c>
      <c r="N810" s="59">
        <f>IF(C810="","",IFERROR(INDEX('6. Base de Custos'!$O$8:$O$42,MATCH(C810,'6. Base de Custos'!$L$8:$L$42,0)),"Revisar"))</f>
        <v/>
      </c>
      <c r="O810" s="60">
        <f>IF(M810="","",IFERROR(VLOOKUP(M810,'6. Base de Custos'!$H$12:$J$18,3,FALSE),0))</f>
        <v/>
      </c>
      <c r="P810" s="59">
        <f>IF(C810="","",IFERROR(INDEX('6. Base de Custos'!$P$8:$P$42,MATCH(C810,'6. Base de Custos'!$L$8:$L$42,0)),"Revisar"))</f>
        <v/>
      </c>
      <c r="Q810" s="59">
        <f>IF(C810="","",IFERROR(INDEX('6. Base de Custos'!$Q$8:$Q$42,MATCH(C810,'6. Base de Custos'!$L$8:$L$42,0)),""))</f>
        <v/>
      </c>
      <c r="R810" s="65">
        <f>IF(C810="","",IFERROR(VLOOKUP(M810&amp;"|"&amp;N810,'17. Mapa DRE CP'!$E$5:$H$100,2,FALSE),"Revisar"))</f>
        <v/>
      </c>
      <c r="S810" s="65">
        <f>IF(C810="","",IFERROR(VLOOKUP(M810&amp;"|"&amp;N810,'17. Mapa DRE CP'!$E$5:$H$100,3,FALSE),"Revisar"))</f>
        <v/>
      </c>
      <c r="T810" s="65">
        <f>IF(C810="","",IF(R810="(-) Custos diretos dos serviços",IF(ISNUMBER(SEARCH("PCMSO",C810)),"PCMSO",IF(OR(ISNUMBER(SEARCH("SGS",C810)),ISNUMBER(SEARCH("CASTRO NAVES",C810))),"Projetos / Laudos / Avulsos","Projetos / Laudos / Avulsos")),"Rateio pela receita bruta"))</f>
        <v/>
      </c>
      <c r="U810" s="65">
        <f>IF(C810="","",IF(R810="(-) Custos diretos dos serviços","Direto por fornecedor/natureza do gasto","Rateio proporcional à receita bruta da linha de serviço"))</f>
        <v/>
      </c>
    </row>
    <row r="811">
      <c r="A811" s="28">
        <f>IF(C811="","", "CP-"&amp;TEXT(ROW()-5,"000"))</f>
        <v/>
      </c>
      <c r="B811" s="27">
        <f>IF(F811="","",DATE(YEAR(F811),MONTH(F811),1))</f>
        <v/>
      </c>
      <c r="C811" s="28" t="n"/>
      <c r="D811" s="28" t="n"/>
      <c r="E811" s="59">
        <f>IF(C811="","",IFERROR(INDEX('6. Base de Custos'!$M$8:$M$42,MATCH(C811,'6. Base de Custos'!$L$8:$L$42,0)),"Não classificado"))</f>
        <v/>
      </c>
      <c r="F811" s="111" t="n"/>
      <c r="G811" s="111" t="n"/>
      <c r="H811" s="111" t="n"/>
      <c r="I811" s="45" t="n"/>
      <c r="J811" s="28" t="n"/>
      <c r="K811" s="28" t="n"/>
      <c r="L811" s="28" t="n"/>
      <c r="M811" s="59">
        <f>IF(C811="","",IFERROR(INDEX('6. Base de Custos'!$N$8:$N$42,MATCH(C811,'6. Base de Custos'!$L$8:$L$42,0)),"Não classificado"))</f>
        <v/>
      </c>
      <c r="N811" s="59">
        <f>IF(C811="","",IFERROR(INDEX('6. Base de Custos'!$O$8:$O$42,MATCH(C811,'6. Base de Custos'!$L$8:$L$42,0)),"Revisar"))</f>
        <v/>
      </c>
      <c r="O811" s="60">
        <f>IF(M811="","",IFERROR(VLOOKUP(M811,'6. Base de Custos'!$H$12:$J$18,3,FALSE),0))</f>
        <v/>
      </c>
      <c r="P811" s="59">
        <f>IF(C811="","",IFERROR(INDEX('6. Base de Custos'!$P$8:$P$42,MATCH(C811,'6. Base de Custos'!$L$8:$L$42,0)),"Revisar"))</f>
        <v/>
      </c>
      <c r="Q811" s="59">
        <f>IF(C811="","",IFERROR(INDEX('6. Base de Custos'!$Q$8:$Q$42,MATCH(C811,'6. Base de Custos'!$L$8:$L$42,0)),""))</f>
        <v/>
      </c>
      <c r="R811" s="65">
        <f>IF(C811="","",IFERROR(VLOOKUP(M811&amp;"|"&amp;N811,'17. Mapa DRE CP'!$E$5:$H$100,2,FALSE),"Revisar"))</f>
        <v/>
      </c>
      <c r="S811" s="65">
        <f>IF(C811="","",IFERROR(VLOOKUP(M811&amp;"|"&amp;N811,'17. Mapa DRE CP'!$E$5:$H$100,3,FALSE),"Revisar"))</f>
        <v/>
      </c>
      <c r="T811" s="65">
        <f>IF(C811="","",IF(R811="(-) Custos diretos dos serviços",IF(ISNUMBER(SEARCH("PCMSO",C811)),"PCMSO",IF(OR(ISNUMBER(SEARCH("SGS",C811)),ISNUMBER(SEARCH("CASTRO NAVES",C811))),"Projetos / Laudos / Avulsos","Projetos / Laudos / Avulsos")),"Rateio pela receita bruta"))</f>
        <v/>
      </c>
      <c r="U811" s="65">
        <f>IF(C811="","",IF(R811="(-) Custos diretos dos serviços","Direto por fornecedor/natureza do gasto","Rateio proporcional à receita bruta da linha de serviço"))</f>
        <v/>
      </c>
    </row>
    <row r="812">
      <c r="A812" s="28">
        <f>IF(C812="","", "CP-"&amp;TEXT(ROW()-5,"000"))</f>
        <v/>
      </c>
      <c r="B812" s="27">
        <f>IF(F812="","",DATE(YEAR(F812),MONTH(F812),1))</f>
        <v/>
      </c>
      <c r="C812" s="28" t="n"/>
      <c r="D812" s="28" t="n"/>
      <c r="E812" s="59">
        <f>IF(C812="","",IFERROR(INDEX('6. Base de Custos'!$M$8:$M$42,MATCH(C812,'6. Base de Custos'!$L$8:$L$42,0)),"Não classificado"))</f>
        <v/>
      </c>
      <c r="F812" s="111" t="n"/>
      <c r="G812" s="111" t="n"/>
      <c r="H812" s="111" t="n"/>
      <c r="I812" s="45" t="n"/>
      <c r="J812" s="28" t="n"/>
      <c r="K812" s="28" t="n"/>
      <c r="L812" s="28" t="n"/>
      <c r="M812" s="59">
        <f>IF(C812="","",IFERROR(INDEX('6. Base de Custos'!$N$8:$N$42,MATCH(C812,'6. Base de Custos'!$L$8:$L$42,0)),"Não classificado"))</f>
        <v/>
      </c>
      <c r="N812" s="59">
        <f>IF(C812="","",IFERROR(INDEX('6. Base de Custos'!$O$8:$O$42,MATCH(C812,'6. Base de Custos'!$L$8:$L$42,0)),"Revisar"))</f>
        <v/>
      </c>
      <c r="O812" s="60">
        <f>IF(M812="","",IFERROR(VLOOKUP(M812,'6. Base de Custos'!$H$12:$J$18,3,FALSE),0))</f>
        <v/>
      </c>
      <c r="P812" s="59">
        <f>IF(C812="","",IFERROR(INDEX('6. Base de Custos'!$P$8:$P$42,MATCH(C812,'6. Base de Custos'!$L$8:$L$42,0)),"Revisar"))</f>
        <v/>
      </c>
      <c r="Q812" s="59">
        <f>IF(C812="","",IFERROR(INDEX('6. Base de Custos'!$Q$8:$Q$42,MATCH(C812,'6. Base de Custos'!$L$8:$L$42,0)),""))</f>
        <v/>
      </c>
      <c r="R812" s="65">
        <f>IF(C812="","",IFERROR(VLOOKUP(M812&amp;"|"&amp;N812,'17. Mapa DRE CP'!$E$5:$H$100,2,FALSE),"Revisar"))</f>
        <v/>
      </c>
      <c r="S812" s="65">
        <f>IF(C812="","",IFERROR(VLOOKUP(M812&amp;"|"&amp;N812,'17. Mapa DRE CP'!$E$5:$H$100,3,FALSE),"Revisar"))</f>
        <v/>
      </c>
      <c r="T812" s="65">
        <f>IF(C812="","",IF(R812="(-) Custos diretos dos serviços",IF(ISNUMBER(SEARCH("PCMSO",C812)),"PCMSO",IF(OR(ISNUMBER(SEARCH("SGS",C812)),ISNUMBER(SEARCH("CASTRO NAVES",C812))),"Projetos / Laudos / Avulsos","Projetos / Laudos / Avulsos")),"Rateio pela receita bruta"))</f>
        <v/>
      </c>
      <c r="U812" s="65">
        <f>IF(C812="","",IF(R812="(-) Custos diretos dos serviços","Direto por fornecedor/natureza do gasto","Rateio proporcional à receita bruta da linha de serviço"))</f>
        <v/>
      </c>
    </row>
    <row r="813">
      <c r="A813" s="28">
        <f>IF(C813="","", "CP-"&amp;TEXT(ROW()-5,"000"))</f>
        <v/>
      </c>
      <c r="B813" s="27">
        <f>IF(F813="","",DATE(YEAR(F813),MONTH(F813),1))</f>
        <v/>
      </c>
      <c r="C813" s="28" t="n"/>
      <c r="D813" s="28" t="n"/>
      <c r="E813" s="59">
        <f>IF(C813="","",IFERROR(INDEX('6. Base de Custos'!$M$8:$M$42,MATCH(C813,'6. Base de Custos'!$L$8:$L$42,0)),"Não classificado"))</f>
        <v/>
      </c>
      <c r="F813" s="111" t="n"/>
      <c r="G813" s="111" t="n"/>
      <c r="H813" s="111" t="n"/>
      <c r="I813" s="45" t="n"/>
      <c r="J813" s="28" t="n"/>
      <c r="K813" s="28" t="n"/>
      <c r="L813" s="28" t="n"/>
      <c r="M813" s="59">
        <f>IF(C813="","",IFERROR(INDEX('6. Base de Custos'!$N$8:$N$42,MATCH(C813,'6. Base de Custos'!$L$8:$L$42,0)),"Não classificado"))</f>
        <v/>
      </c>
      <c r="N813" s="59">
        <f>IF(C813="","",IFERROR(INDEX('6. Base de Custos'!$O$8:$O$42,MATCH(C813,'6. Base de Custos'!$L$8:$L$42,0)),"Revisar"))</f>
        <v/>
      </c>
      <c r="O813" s="60">
        <f>IF(M813="","",IFERROR(VLOOKUP(M813,'6. Base de Custos'!$H$12:$J$18,3,FALSE),0))</f>
        <v/>
      </c>
      <c r="P813" s="59">
        <f>IF(C813="","",IFERROR(INDEX('6. Base de Custos'!$P$8:$P$42,MATCH(C813,'6. Base de Custos'!$L$8:$L$42,0)),"Revisar"))</f>
        <v/>
      </c>
      <c r="Q813" s="59">
        <f>IF(C813="","",IFERROR(INDEX('6. Base de Custos'!$Q$8:$Q$42,MATCH(C813,'6. Base de Custos'!$L$8:$L$42,0)),""))</f>
        <v/>
      </c>
      <c r="R813" s="65">
        <f>IF(C813="","",IFERROR(VLOOKUP(M813&amp;"|"&amp;N813,'17. Mapa DRE CP'!$E$5:$H$100,2,FALSE),"Revisar"))</f>
        <v/>
      </c>
      <c r="S813" s="65">
        <f>IF(C813="","",IFERROR(VLOOKUP(M813&amp;"|"&amp;N813,'17. Mapa DRE CP'!$E$5:$H$100,3,FALSE),"Revisar"))</f>
        <v/>
      </c>
      <c r="T813" s="65">
        <f>IF(C813="","",IF(R813="(-) Custos diretos dos serviços",IF(ISNUMBER(SEARCH("PCMSO",C813)),"PCMSO",IF(OR(ISNUMBER(SEARCH("SGS",C813)),ISNUMBER(SEARCH("CASTRO NAVES",C813))),"Projetos / Laudos / Avulsos","Projetos / Laudos / Avulsos")),"Rateio pela receita bruta"))</f>
        <v/>
      </c>
      <c r="U813" s="65">
        <f>IF(C813="","",IF(R813="(-) Custos diretos dos serviços","Direto por fornecedor/natureza do gasto","Rateio proporcional à receita bruta da linha de serviço"))</f>
        <v/>
      </c>
    </row>
    <row r="814">
      <c r="A814" s="28">
        <f>IF(C814="","", "CP-"&amp;TEXT(ROW()-5,"000"))</f>
        <v/>
      </c>
      <c r="B814" s="27">
        <f>IF(F814="","",DATE(YEAR(F814),MONTH(F814),1))</f>
        <v/>
      </c>
      <c r="C814" s="28" t="n"/>
      <c r="D814" s="28" t="n"/>
      <c r="E814" s="59">
        <f>IF(C814="","",IFERROR(INDEX('6. Base de Custos'!$M$8:$M$42,MATCH(C814,'6. Base de Custos'!$L$8:$L$42,0)),"Não classificado"))</f>
        <v/>
      </c>
      <c r="F814" s="111" t="n"/>
      <c r="G814" s="111" t="n"/>
      <c r="H814" s="111" t="n"/>
      <c r="I814" s="45" t="n"/>
      <c r="J814" s="28" t="n"/>
      <c r="K814" s="28" t="n"/>
      <c r="L814" s="28" t="n"/>
      <c r="M814" s="59">
        <f>IF(C814="","",IFERROR(INDEX('6. Base de Custos'!$N$8:$N$42,MATCH(C814,'6. Base de Custos'!$L$8:$L$42,0)),"Não classificado"))</f>
        <v/>
      </c>
      <c r="N814" s="59">
        <f>IF(C814="","",IFERROR(INDEX('6. Base de Custos'!$O$8:$O$42,MATCH(C814,'6. Base de Custos'!$L$8:$L$42,0)),"Revisar"))</f>
        <v/>
      </c>
      <c r="O814" s="60">
        <f>IF(M814="","",IFERROR(VLOOKUP(M814,'6. Base de Custos'!$H$12:$J$18,3,FALSE),0))</f>
        <v/>
      </c>
      <c r="P814" s="59">
        <f>IF(C814="","",IFERROR(INDEX('6. Base de Custos'!$P$8:$P$42,MATCH(C814,'6. Base de Custos'!$L$8:$L$42,0)),"Revisar"))</f>
        <v/>
      </c>
      <c r="Q814" s="59">
        <f>IF(C814="","",IFERROR(INDEX('6. Base de Custos'!$Q$8:$Q$42,MATCH(C814,'6. Base de Custos'!$L$8:$L$42,0)),""))</f>
        <v/>
      </c>
      <c r="R814" s="65">
        <f>IF(C814="","",IFERROR(VLOOKUP(M814&amp;"|"&amp;N814,'17. Mapa DRE CP'!$E$5:$H$100,2,FALSE),"Revisar"))</f>
        <v/>
      </c>
      <c r="S814" s="65">
        <f>IF(C814="","",IFERROR(VLOOKUP(M814&amp;"|"&amp;N814,'17. Mapa DRE CP'!$E$5:$H$100,3,FALSE),"Revisar"))</f>
        <v/>
      </c>
      <c r="T814" s="65">
        <f>IF(C814="","",IF(R814="(-) Custos diretos dos serviços",IF(ISNUMBER(SEARCH("PCMSO",C814)),"PCMSO",IF(OR(ISNUMBER(SEARCH("SGS",C814)),ISNUMBER(SEARCH("CASTRO NAVES",C814))),"Projetos / Laudos / Avulsos","Projetos / Laudos / Avulsos")),"Rateio pela receita bruta"))</f>
        <v/>
      </c>
      <c r="U814" s="65">
        <f>IF(C814="","",IF(R814="(-) Custos diretos dos serviços","Direto por fornecedor/natureza do gasto","Rateio proporcional à receita bruta da linha de serviço"))</f>
        <v/>
      </c>
    </row>
    <row r="815">
      <c r="A815" s="28">
        <f>IF(C815="","", "CP-"&amp;TEXT(ROW()-5,"000"))</f>
        <v/>
      </c>
      <c r="B815" s="27">
        <f>IF(F815="","",DATE(YEAR(F815),MONTH(F815),1))</f>
        <v/>
      </c>
      <c r="C815" s="28" t="n"/>
      <c r="D815" s="28" t="n"/>
      <c r="E815" s="59">
        <f>IF(C815="","",IFERROR(INDEX('6. Base de Custos'!$M$8:$M$42,MATCH(C815,'6. Base de Custos'!$L$8:$L$42,0)),"Não classificado"))</f>
        <v/>
      </c>
      <c r="F815" s="111" t="n"/>
      <c r="G815" s="111" t="n"/>
      <c r="H815" s="111" t="n"/>
      <c r="I815" s="45" t="n"/>
      <c r="J815" s="28" t="n"/>
      <c r="K815" s="28" t="n"/>
      <c r="L815" s="28" t="n"/>
      <c r="M815" s="59">
        <f>IF(C815="","",IFERROR(INDEX('6. Base de Custos'!$N$8:$N$42,MATCH(C815,'6. Base de Custos'!$L$8:$L$42,0)),"Não classificado"))</f>
        <v/>
      </c>
      <c r="N815" s="59">
        <f>IF(C815="","",IFERROR(INDEX('6. Base de Custos'!$O$8:$O$42,MATCH(C815,'6. Base de Custos'!$L$8:$L$42,0)),"Revisar"))</f>
        <v/>
      </c>
      <c r="O815" s="60">
        <f>IF(M815="","",IFERROR(VLOOKUP(M815,'6. Base de Custos'!$H$12:$J$18,3,FALSE),0))</f>
        <v/>
      </c>
      <c r="P815" s="59">
        <f>IF(C815="","",IFERROR(INDEX('6. Base de Custos'!$P$8:$P$42,MATCH(C815,'6. Base de Custos'!$L$8:$L$42,0)),"Revisar"))</f>
        <v/>
      </c>
      <c r="Q815" s="59">
        <f>IF(C815="","",IFERROR(INDEX('6. Base de Custos'!$Q$8:$Q$42,MATCH(C815,'6. Base de Custos'!$L$8:$L$42,0)),""))</f>
        <v/>
      </c>
      <c r="R815" s="65">
        <f>IF(C815="","",IFERROR(VLOOKUP(M815&amp;"|"&amp;N815,'17. Mapa DRE CP'!$E$5:$H$100,2,FALSE),"Revisar"))</f>
        <v/>
      </c>
      <c r="S815" s="65">
        <f>IF(C815="","",IFERROR(VLOOKUP(M815&amp;"|"&amp;N815,'17. Mapa DRE CP'!$E$5:$H$100,3,FALSE),"Revisar"))</f>
        <v/>
      </c>
      <c r="T815" s="65">
        <f>IF(C815="","",IF(R815="(-) Custos diretos dos serviços",IF(ISNUMBER(SEARCH("PCMSO",C815)),"PCMSO",IF(OR(ISNUMBER(SEARCH("SGS",C815)),ISNUMBER(SEARCH("CASTRO NAVES",C815))),"Projetos / Laudos / Avulsos","Projetos / Laudos / Avulsos")),"Rateio pela receita bruta"))</f>
        <v/>
      </c>
      <c r="U815" s="65">
        <f>IF(C815="","",IF(R815="(-) Custos diretos dos serviços","Direto por fornecedor/natureza do gasto","Rateio proporcional à receita bruta da linha de serviço"))</f>
        <v/>
      </c>
    </row>
    <row r="816">
      <c r="A816" s="28">
        <f>IF(C816="","", "CP-"&amp;TEXT(ROW()-5,"000"))</f>
        <v/>
      </c>
      <c r="B816" s="27">
        <f>IF(F816="","",DATE(YEAR(F816),MONTH(F816),1))</f>
        <v/>
      </c>
      <c r="C816" s="28" t="n"/>
      <c r="D816" s="28" t="n"/>
      <c r="E816" s="59">
        <f>IF(C816="","",IFERROR(INDEX('6. Base de Custos'!$M$8:$M$42,MATCH(C816,'6. Base de Custos'!$L$8:$L$42,0)),"Não classificado"))</f>
        <v/>
      </c>
      <c r="F816" s="111" t="n"/>
      <c r="G816" s="111" t="n"/>
      <c r="H816" s="111" t="n"/>
      <c r="I816" s="45" t="n"/>
      <c r="J816" s="28" t="n"/>
      <c r="K816" s="28" t="n"/>
      <c r="L816" s="28" t="n"/>
      <c r="M816" s="59">
        <f>IF(C816="","",IFERROR(INDEX('6. Base de Custos'!$N$8:$N$42,MATCH(C816,'6. Base de Custos'!$L$8:$L$42,0)),"Não classificado"))</f>
        <v/>
      </c>
      <c r="N816" s="59">
        <f>IF(C816="","",IFERROR(INDEX('6. Base de Custos'!$O$8:$O$42,MATCH(C816,'6. Base de Custos'!$L$8:$L$42,0)),"Revisar"))</f>
        <v/>
      </c>
      <c r="O816" s="60">
        <f>IF(M816="","",IFERROR(VLOOKUP(M816,'6. Base de Custos'!$H$12:$J$18,3,FALSE),0))</f>
        <v/>
      </c>
      <c r="P816" s="59">
        <f>IF(C816="","",IFERROR(INDEX('6. Base de Custos'!$P$8:$P$42,MATCH(C816,'6. Base de Custos'!$L$8:$L$42,0)),"Revisar"))</f>
        <v/>
      </c>
      <c r="Q816" s="59">
        <f>IF(C816="","",IFERROR(INDEX('6. Base de Custos'!$Q$8:$Q$42,MATCH(C816,'6. Base de Custos'!$L$8:$L$42,0)),""))</f>
        <v/>
      </c>
      <c r="R816" s="65">
        <f>IF(C816="","",IFERROR(VLOOKUP(M816&amp;"|"&amp;N816,'17. Mapa DRE CP'!$E$5:$H$100,2,FALSE),"Revisar"))</f>
        <v/>
      </c>
      <c r="S816" s="65">
        <f>IF(C816="","",IFERROR(VLOOKUP(M816&amp;"|"&amp;N816,'17. Mapa DRE CP'!$E$5:$H$100,3,FALSE),"Revisar"))</f>
        <v/>
      </c>
      <c r="T816" s="65">
        <f>IF(C816="","",IF(R816="(-) Custos diretos dos serviços",IF(ISNUMBER(SEARCH("PCMSO",C816)),"PCMSO",IF(OR(ISNUMBER(SEARCH("SGS",C816)),ISNUMBER(SEARCH("CASTRO NAVES",C816))),"Projetos / Laudos / Avulsos","Projetos / Laudos / Avulsos")),"Rateio pela receita bruta"))</f>
        <v/>
      </c>
      <c r="U816" s="65">
        <f>IF(C816="","",IF(R816="(-) Custos diretos dos serviços","Direto por fornecedor/natureza do gasto","Rateio proporcional à receita bruta da linha de serviço"))</f>
        <v/>
      </c>
    </row>
    <row r="817">
      <c r="A817" s="28">
        <f>IF(C817="","", "CP-"&amp;TEXT(ROW()-5,"000"))</f>
        <v/>
      </c>
      <c r="B817" s="27">
        <f>IF(F817="","",DATE(YEAR(F817),MONTH(F817),1))</f>
        <v/>
      </c>
      <c r="C817" s="28" t="n"/>
      <c r="D817" s="28" t="n"/>
      <c r="E817" s="59">
        <f>IF(C817="","",IFERROR(INDEX('6. Base de Custos'!$M$8:$M$42,MATCH(C817,'6. Base de Custos'!$L$8:$L$42,0)),"Não classificado"))</f>
        <v/>
      </c>
      <c r="F817" s="111" t="n"/>
      <c r="G817" s="111" t="n"/>
      <c r="H817" s="111" t="n"/>
      <c r="I817" s="45" t="n"/>
      <c r="J817" s="28" t="n"/>
      <c r="K817" s="28" t="n"/>
      <c r="L817" s="28" t="n"/>
      <c r="M817" s="59">
        <f>IF(C817="","",IFERROR(INDEX('6. Base de Custos'!$N$8:$N$42,MATCH(C817,'6. Base de Custos'!$L$8:$L$42,0)),"Não classificado"))</f>
        <v/>
      </c>
      <c r="N817" s="59">
        <f>IF(C817="","",IFERROR(INDEX('6. Base de Custos'!$O$8:$O$42,MATCH(C817,'6. Base de Custos'!$L$8:$L$42,0)),"Revisar"))</f>
        <v/>
      </c>
      <c r="O817" s="60">
        <f>IF(M817="","",IFERROR(VLOOKUP(M817,'6. Base de Custos'!$H$12:$J$18,3,FALSE),0))</f>
        <v/>
      </c>
      <c r="P817" s="59">
        <f>IF(C817="","",IFERROR(INDEX('6. Base de Custos'!$P$8:$P$42,MATCH(C817,'6. Base de Custos'!$L$8:$L$42,0)),"Revisar"))</f>
        <v/>
      </c>
      <c r="Q817" s="59">
        <f>IF(C817="","",IFERROR(INDEX('6. Base de Custos'!$Q$8:$Q$42,MATCH(C817,'6. Base de Custos'!$L$8:$L$42,0)),""))</f>
        <v/>
      </c>
      <c r="R817" s="65">
        <f>IF(C817="","",IFERROR(VLOOKUP(M817&amp;"|"&amp;N817,'17. Mapa DRE CP'!$E$5:$H$100,2,FALSE),"Revisar"))</f>
        <v/>
      </c>
      <c r="S817" s="65">
        <f>IF(C817="","",IFERROR(VLOOKUP(M817&amp;"|"&amp;N817,'17. Mapa DRE CP'!$E$5:$H$100,3,FALSE),"Revisar"))</f>
        <v/>
      </c>
      <c r="T817" s="65">
        <f>IF(C817="","",IF(R817="(-) Custos diretos dos serviços",IF(ISNUMBER(SEARCH("PCMSO",C817)),"PCMSO",IF(OR(ISNUMBER(SEARCH("SGS",C817)),ISNUMBER(SEARCH("CASTRO NAVES",C817))),"Projetos / Laudos / Avulsos","Projetos / Laudos / Avulsos")),"Rateio pela receita bruta"))</f>
        <v/>
      </c>
      <c r="U817" s="65">
        <f>IF(C817="","",IF(R817="(-) Custos diretos dos serviços","Direto por fornecedor/natureza do gasto","Rateio proporcional à receita bruta da linha de serviço"))</f>
        <v/>
      </c>
    </row>
    <row r="818">
      <c r="A818" s="28">
        <f>IF(C818="","", "CP-"&amp;TEXT(ROW()-5,"000"))</f>
        <v/>
      </c>
      <c r="B818" s="27">
        <f>IF(F818="","",DATE(YEAR(F818),MONTH(F818),1))</f>
        <v/>
      </c>
      <c r="C818" s="28" t="n"/>
      <c r="D818" s="28" t="n"/>
      <c r="E818" s="59">
        <f>IF(C818="","",IFERROR(INDEX('6. Base de Custos'!$M$8:$M$42,MATCH(C818,'6. Base de Custos'!$L$8:$L$42,0)),"Não classificado"))</f>
        <v/>
      </c>
      <c r="F818" s="111" t="n"/>
      <c r="G818" s="111" t="n"/>
      <c r="H818" s="111" t="n"/>
      <c r="I818" s="45" t="n"/>
      <c r="J818" s="28" t="n"/>
      <c r="K818" s="28" t="n"/>
      <c r="L818" s="28" t="n"/>
      <c r="M818" s="59">
        <f>IF(C818="","",IFERROR(INDEX('6. Base de Custos'!$N$8:$N$42,MATCH(C818,'6. Base de Custos'!$L$8:$L$42,0)),"Não classificado"))</f>
        <v/>
      </c>
      <c r="N818" s="59">
        <f>IF(C818="","",IFERROR(INDEX('6. Base de Custos'!$O$8:$O$42,MATCH(C818,'6. Base de Custos'!$L$8:$L$42,0)),"Revisar"))</f>
        <v/>
      </c>
      <c r="O818" s="60">
        <f>IF(M818="","",IFERROR(VLOOKUP(M818,'6. Base de Custos'!$H$12:$J$18,3,FALSE),0))</f>
        <v/>
      </c>
      <c r="P818" s="59">
        <f>IF(C818="","",IFERROR(INDEX('6. Base de Custos'!$P$8:$P$42,MATCH(C818,'6. Base de Custos'!$L$8:$L$42,0)),"Revisar"))</f>
        <v/>
      </c>
      <c r="Q818" s="59">
        <f>IF(C818="","",IFERROR(INDEX('6. Base de Custos'!$Q$8:$Q$42,MATCH(C818,'6. Base de Custos'!$L$8:$L$42,0)),""))</f>
        <v/>
      </c>
      <c r="R818" s="65">
        <f>IF(C818="","",IFERROR(VLOOKUP(M818&amp;"|"&amp;N818,'17. Mapa DRE CP'!$E$5:$H$100,2,FALSE),"Revisar"))</f>
        <v/>
      </c>
      <c r="S818" s="65">
        <f>IF(C818="","",IFERROR(VLOOKUP(M818&amp;"|"&amp;N818,'17. Mapa DRE CP'!$E$5:$H$100,3,FALSE),"Revisar"))</f>
        <v/>
      </c>
      <c r="T818" s="65">
        <f>IF(C818="","",IF(R818="(-) Custos diretos dos serviços",IF(ISNUMBER(SEARCH("PCMSO",C818)),"PCMSO",IF(OR(ISNUMBER(SEARCH("SGS",C818)),ISNUMBER(SEARCH("CASTRO NAVES",C818))),"Projetos / Laudos / Avulsos","Projetos / Laudos / Avulsos")),"Rateio pela receita bruta"))</f>
        <v/>
      </c>
      <c r="U818" s="65">
        <f>IF(C818="","",IF(R818="(-) Custos diretos dos serviços","Direto por fornecedor/natureza do gasto","Rateio proporcional à receita bruta da linha de serviço"))</f>
        <v/>
      </c>
    </row>
    <row r="819">
      <c r="A819" s="28">
        <f>IF(C819="","", "CP-"&amp;TEXT(ROW()-5,"000"))</f>
        <v/>
      </c>
      <c r="B819" s="27">
        <f>IF(F819="","",DATE(YEAR(F819),MONTH(F819),1))</f>
        <v/>
      </c>
      <c r="C819" s="28" t="n"/>
      <c r="D819" s="28" t="n"/>
      <c r="E819" s="59">
        <f>IF(C819="","",IFERROR(INDEX('6. Base de Custos'!$M$8:$M$42,MATCH(C819,'6. Base de Custos'!$L$8:$L$42,0)),"Não classificado"))</f>
        <v/>
      </c>
      <c r="F819" s="111" t="n"/>
      <c r="G819" s="111" t="n"/>
      <c r="H819" s="111" t="n"/>
      <c r="I819" s="45" t="n"/>
      <c r="J819" s="28" t="n"/>
      <c r="K819" s="28" t="n"/>
      <c r="L819" s="28" t="n"/>
      <c r="M819" s="59">
        <f>IF(C819="","",IFERROR(INDEX('6. Base de Custos'!$N$8:$N$42,MATCH(C819,'6. Base de Custos'!$L$8:$L$42,0)),"Não classificado"))</f>
        <v/>
      </c>
      <c r="N819" s="59">
        <f>IF(C819="","",IFERROR(INDEX('6. Base de Custos'!$O$8:$O$42,MATCH(C819,'6. Base de Custos'!$L$8:$L$42,0)),"Revisar"))</f>
        <v/>
      </c>
      <c r="O819" s="60">
        <f>IF(M819="","",IFERROR(VLOOKUP(M819,'6. Base de Custos'!$H$12:$J$18,3,FALSE),0))</f>
        <v/>
      </c>
      <c r="P819" s="59">
        <f>IF(C819="","",IFERROR(INDEX('6. Base de Custos'!$P$8:$P$42,MATCH(C819,'6. Base de Custos'!$L$8:$L$42,0)),"Revisar"))</f>
        <v/>
      </c>
      <c r="Q819" s="59">
        <f>IF(C819="","",IFERROR(INDEX('6. Base de Custos'!$Q$8:$Q$42,MATCH(C819,'6. Base de Custos'!$L$8:$L$42,0)),""))</f>
        <v/>
      </c>
      <c r="R819" s="65">
        <f>IF(C819="","",IFERROR(VLOOKUP(M819&amp;"|"&amp;N819,'17. Mapa DRE CP'!$E$5:$H$100,2,FALSE),"Revisar"))</f>
        <v/>
      </c>
      <c r="S819" s="65">
        <f>IF(C819="","",IFERROR(VLOOKUP(M819&amp;"|"&amp;N819,'17. Mapa DRE CP'!$E$5:$H$100,3,FALSE),"Revisar"))</f>
        <v/>
      </c>
      <c r="T819" s="65">
        <f>IF(C819="","",IF(R819="(-) Custos diretos dos serviços",IF(ISNUMBER(SEARCH("PCMSO",C819)),"PCMSO",IF(OR(ISNUMBER(SEARCH("SGS",C819)),ISNUMBER(SEARCH("CASTRO NAVES",C819))),"Projetos / Laudos / Avulsos","Projetos / Laudos / Avulsos")),"Rateio pela receita bruta"))</f>
        <v/>
      </c>
      <c r="U819" s="65">
        <f>IF(C819="","",IF(R819="(-) Custos diretos dos serviços","Direto por fornecedor/natureza do gasto","Rateio proporcional à receita bruta da linha de serviço"))</f>
        <v/>
      </c>
    </row>
    <row r="820">
      <c r="A820" s="28">
        <f>IF(C820="","", "CP-"&amp;TEXT(ROW()-5,"000"))</f>
        <v/>
      </c>
      <c r="B820" s="27">
        <f>IF(F820="","",DATE(YEAR(F820),MONTH(F820),1))</f>
        <v/>
      </c>
      <c r="C820" s="28" t="n"/>
      <c r="D820" s="28" t="n"/>
      <c r="E820" s="59">
        <f>IF(C820="","",IFERROR(INDEX('6. Base de Custos'!$M$8:$M$42,MATCH(C820,'6. Base de Custos'!$L$8:$L$42,0)),"Não classificado"))</f>
        <v/>
      </c>
      <c r="F820" s="111" t="n"/>
      <c r="G820" s="111" t="n"/>
      <c r="H820" s="111" t="n"/>
      <c r="I820" s="45" t="n"/>
      <c r="J820" s="28" t="n"/>
      <c r="K820" s="28" t="n"/>
      <c r="L820" s="28" t="n"/>
      <c r="M820" s="59">
        <f>IF(C820="","",IFERROR(INDEX('6. Base de Custos'!$N$8:$N$42,MATCH(C820,'6. Base de Custos'!$L$8:$L$42,0)),"Não classificado"))</f>
        <v/>
      </c>
      <c r="N820" s="59">
        <f>IF(C820="","",IFERROR(INDEX('6. Base de Custos'!$O$8:$O$42,MATCH(C820,'6. Base de Custos'!$L$8:$L$42,0)),"Revisar"))</f>
        <v/>
      </c>
      <c r="O820" s="60">
        <f>IF(M820="","",IFERROR(VLOOKUP(M820,'6. Base de Custos'!$H$12:$J$18,3,FALSE),0))</f>
        <v/>
      </c>
      <c r="P820" s="59">
        <f>IF(C820="","",IFERROR(INDEX('6. Base de Custos'!$P$8:$P$42,MATCH(C820,'6. Base de Custos'!$L$8:$L$42,0)),"Revisar"))</f>
        <v/>
      </c>
      <c r="Q820" s="59">
        <f>IF(C820="","",IFERROR(INDEX('6. Base de Custos'!$Q$8:$Q$42,MATCH(C820,'6. Base de Custos'!$L$8:$L$42,0)),""))</f>
        <v/>
      </c>
      <c r="R820" s="65">
        <f>IF(C820="","",IFERROR(VLOOKUP(M820&amp;"|"&amp;N820,'17. Mapa DRE CP'!$E$5:$H$100,2,FALSE),"Revisar"))</f>
        <v/>
      </c>
      <c r="S820" s="65">
        <f>IF(C820="","",IFERROR(VLOOKUP(M820&amp;"|"&amp;N820,'17. Mapa DRE CP'!$E$5:$H$100,3,FALSE),"Revisar"))</f>
        <v/>
      </c>
      <c r="T820" s="65">
        <f>IF(C820="","",IF(R820="(-) Custos diretos dos serviços",IF(ISNUMBER(SEARCH("PCMSO",C820)),"PCMSO",IF(OR(ISNUMBER(SEARCH("SGS",C820)),ISNUMBER(SEARCH("CASTRO NAVES",C820))),"Projetos / Laudos / Avulsos","Projetos / Laudos / Avulsos")),"Rateio pela receita bruta"))</f>
        <v/>
      </c>
      <c r="U820" s="65">
        <f>IF(C820="","",IF(R820="(-) Custos diretos dos serviços","Direto por fornecedor/natureza do gasto","Rateio proporcional à receita bruta da linha de serviço"))</f>
        <v/>
      </c>
    </row>
    <row r="821">
      <c r="A821" s="28">
        <f>IF(C821="","", "CP-"&amp;TEXT(ROW()-5,"000"))</f>
        <v/>
      </c>
      <c r="B821" s="27">
        <f>IF(F821="","",DATE(YEAR(F821),MONTH(F821),1))</f>
        <v/>
      </c>
      <c r="C821" s="28" t="n"/>
      <c r="D821" s="28" t="n"/>
      <c r="E821" s="59">
        <f>IF(C821="","",IFERROR(INDEX('6. Base de Custos'!$M$8:$M$42,MATCH(C821,'6. Base de Custos'!$L$8:$L$42,0)),"Não classificado"))</f>
        <v/>
      </c>
      <c r="F821" s="111" t="n"/>
      <c r="G821" s="111" t="n"/>
      <c r="H821" s="111" t="n"/>
      <c r="I821" s="45" t="n"/>
      <c r="J821" s="28" t="n"/>
      <c r="K821" s="28" t="n"/>
      <c r="L821" s="28" t="n"/>
      <c r="M821" s="59">
        <f>IF(C821="","",IFERROR(INDEX('6. Base de Custos'!$N$8:$N$42,MATCH(C821,'6. Base de Custos'!$L$8:$L$42,0)),"Não classificado"))</f>
        <v/>
      </c>
      <c r="N821" s="59">
        <f>IF(C821="","",IFERROR(INDEX('6. Base de Custos'!$O$8:$O$42,MATCH(C821,'6. Base de Custos'!$L$8:$L$42,0)),"Revisar"))</f>
        <v/>
      </c>
      <c r="O821" s="60">
        <f>IF(M821="","",IFERROR(VLOOKUP(M821,'6. Base de Custos'!$H$12:$J$18,3,FALSE),0))</f>
        <v/>
      </c>
      <c r="P821" s="59">
        <f>IF(C821="","",IFERROR(INDEX('6. Base de Custos'!$P$8:$P$42,MATCH(C821,'6. Base de Custos'!$L$8:$L$42,0)),"Revisar"))</f>
        <v/>
      </c>
      <c r="Q821" s="59">
        <f>IF(C821="","",IFERROR(INDEX('6. Base de Custos'!$Q$8:$Q$42,MATCH(C821,'6. Base de Custos'!$L$8:$L$42,0)),""))</f>
        <v/>
      </c>
      <c r="R821" s="65">
        <f>IF(C821="","",IFERROR(VLOOKUP(M821&amp;"|"&amp;N821,'17. Mapa DRE CP'!$E$5:$H$100,2,FALSE),"Revisar"))</f>
        <v/>
      </c>
      <c r="S821" s="65">
        <f>IF(C821="","",IFERROR(VLOOKUP(M821&amp;"|"&amp;N821,'17. Mapa DRE CP'!$E$5:$H$100,3,FALSE),"Revisar"))</f>
        <v/>
      </c>
      <c r="T821" s="65">
        <f>IF(C821="","",IF(R821="(-) Custos diretos dos serviços",IF(ISNUMBER(SEARCH("PCMSO",C821)),"PCMSO",IF(OR(ISNUMBER(SEARCH("SGS",C821)),ISNUMBER(SEARCH("CASTRO NAVES",C821))),"Projetos / Laudos / Avulsos","Projetos / Laudos / Avulsos")),"Rateio pela receita bruta"))</f>
        <v/>
      </c>
      <c r="U821" s="65">
        <f>IF(C821="","",IF(R821="(-) Custos diretos dos serviços","Direto por fornecedor/natureza do gasto","Rateio proporcional à receita bruta da linha de serviço"))</f>
        <v/>
      </c>
    </row>
    <row r="822">
      <c r="A822" s="28">
        <f>IF(C822="","", "CP-"&amp;TEXT(ROW()-5,"000"))</f>
        <v/>
      </c>
      <c r="B822" s="27">
        <f>IF(F822="","",DATE(YEAR(F822),MONTH(F822),1))</f>
        <v/>
      </c>
      <c r="C822" s="28" t="n"/>
      <c r="D822" s="28" t="n"/>
      <c r="E822" s="59">
        <f>IF(C822="","",IFERROR(INDEX('6. Base de Custos'!$M$8:$M$42,MATCH(C822,'6. Base de Custos'!$L$8:$L$42,0)),"Não classificado"))</f>
        <v/>
      </c>
      <c r="F822" s="111" t="n"/>
      <c r="G822" s="111" t="n"/>
      <c r="H822" s="111" t="n"/>
      <c r="I822" s="45" t="n"/>
      <c r="J822" s="28" t="n"/>
      <c r="K822" s="28" t="n"/>
      <c r="L822" s="28" t="n"/>
      <c r="M822" s="59">
        <f>IF(C822="","",IFERROR(INDEX('6. Base de Custos'!$N$8:$N$42,MATCH(C822,'6. Base de Custos'!$L$8:$L$42,0)),"Não classificado"))</f>
        <v/>
      </c>
      <c r="N822" s="59">
        <f>IF(C822="","",IFERROR(INDEX('6. Base de Custos'!$O$8:$O$42,MATCH(C822,'6. Base de Custos'!$L$8:$L$42,0)),"Revisar"))</f>
        <v/>
      </c>
      <c r="O822" s="60">
        <f>IF(M822="","",IFERROR(VLOOKUP(M822,'6. Base de Custos'!$H$12:$J$18,3,FALSE),0))</f>
        <v/>
      </c>
      <c r="P822" s="59">
        <f>IF(C822="","",IFERROR(INDEX('6. Base de Custos'!$P$8:$P$42,MATCH(C822,'6. Base de Custos'!$L$8:$L$42,0)),"Revisar"))</f>
        <v/>
      </c>
      <c r="Q822" s="59">
        <f>IF(C822="","",IFERROR(INDEX('6. Base de Custos'!$Q$8:$Q$42,MATCH(C822,'6. Base de Custos'!$L$8:$L$42,0)),""))</f>
        <v/>
      </c>
      <c r="R822" s="65">
        <f>IF(C822="","",IFERROR(VLOOKUP(M822&amp;"|"&amp;N822,'17. Mapa DRE CP'!$E$5:$H$100,2,FALSE),"Revisar"))</f>
        <v/>
      </c>
      <c r="S822" s="65">
        <f>IF(C822="","",IFERROR(VLOOKUP(M822&amp;"|"&amp;N822,'17. Mapa DRE CP'!$E$5:$H$100,3,FALSE),"Revisar"))</f>
        <v/>
      </c>
      <c r="T822" s="65">
        <f>IF(C822="","",IF(R822="(-) Custos diretos dos serviços",IF(ISNUMBER(SEARCH("PCMSO",C822)),"PCMSO",IF(OR(ISNUMBER(SEARCH("SGS",C822)),ISNUMBER(SEARCH("CASTRO NAVES",C822))),"Projetos / Laudos / Avulsos","Projetos / Laudos / Avulsos")),"Rateio pela receita bruta"))</f>
        <v/>
      </c>
      <c r="U822" s="65">
        <f>IF(C822="","",IF(R822="(-) Custos diretos dos serviços","Direto por fornecedor/natureza do gasto","Rateio proporcional à receita bruta da linha de serviço"))</f>
        <v/>
      </c>
    </row>
    <row r="823">
      <c r="A823" s="28">
        <f>IF(C823="","", "CP-"&amp;TEXT(ROW()-5,"000"))</f>
        <v/>
      </c>
      <c r="B823" s="27">
        <f>IF(F823="","",DATE(YEAR(F823),MONTH(F823),1))</f>
        <v/>
      </c>
      <c r="C823" s="28" t="n"/>
      <c r="D823" s="28" t="n"/>
      <c r="E823" s="59">
        <f>IF(C823="","",IFERROR(INDEX('6. Base de Custos'!$M$8:$M$42,MATCH(C823,'6. Base de Custos'!$L$8:$L$42,0)),"Não classificado"))</f>
        <v/>
      </c>
      <c r="F823" s="111" t="n"/>
      <c r="G823" s="111" t="n"/>
      <c r="H823" s="111" t="n"/>
      <c r="I823" s="45" t="n"/>
      <c r="J823" s="28" t="n"/>
      <c r="K823" s="28" t="n"/>
      <c r="L823" s="28" t="n"/>
      <c r="M823" s="59">
        <f>IF(C823="","",IFERROR(INDEX('6. Base de Custos'!$N$8:$N$42,MATCH(C823,'6. Base de Custos'!$L$8:$L$42,0)),"Não classificado"))</f>
        <v/>
      </c>
      <c r="N823" s="59">
        <f>IF(C823="","",IFERROR(INDEX('6. Base de Custos'!$O$8:$O$42,MATCH(C823,'6. Base de Custos'!$L$8:$L$42,0)),"Revisar"))</f>
        <v/>
      </c>
      <c r="O823" s="60">
        <f>IF(M823="","",IFERROR(VLOOKUP(M823,'6. Base de Custos'!$H$12:$J$18,3,FALSE),0))</f>
        <v/>
      </c>
      <c r="P823" s="59">
        <f>IF(C823="","",IFERROR(INDEX('6. Base de Custos'!$P$8:$P$42,MATCH(C823,'6. Base de Custos'!$L$8:$L$42,0)),"Revisar"))</f>
        <v/>
      </c>
      <c r="Q823" s="59">
        <f>IF(C823="","",IFERROR(INDEX('6. Base de Custos'!$Q$8:$Q$42,MATCH(C823,'6. Base de Custos'!$L$8:$L$42,0)),""))</f>
        <v/>
      </c>
      <c r="R823" s="65">
        <f>IF(C823="","",IFERROR(VLOOKUP(M823&amp;"|"&amp;N823,'17. Mapa DRE CP'!$E$5:$H$100,2,FALSE),"Revisar"))</f>
        <v/>
      </c>
      <c r="S823" s="65">
        <f>IF(C823="","",IFERROR(VLOOKUP(M823&amp;"|"&amp;N823,'17. Mapa DRE CP'!$E$5:$H$100,3,FALSE),"Revisar"))</f>
        <v/>
      </c>
      <c r="T823" s="65">
        <f>IF(C823="","",IF(R823="(-) Custos diretos dos serviços",IF(ISNUMBER(SEARCH("PCMSO",C823)),"PCMSO",IF(OR(ISNUMBER(SEARCH("SGS",C823)),ISNUMBER(SEARCH("CASTRO NAVES",C823))),"Projetos / Laudos / Avulsos","Projetos / Laudos / Avulsos")),"Rateio pela receita bruta"))</f>
        <v/>
      </c>
      <c r="U823" s="65">
        <f>IF(C823="","",IF(R823="(-) Custos diretos dos serviços","Direto por fornecedor/natureza do gasto","Rateio proporcional à receita bruta da linha de serviço"))</f>
        <v/>
      </c>
    </row>
    <row r="824">
      <c r="A824" s="28">
        <f>IF(C824="","", "CP-"&amp;TEXT(ROW()-5,"000"))</f>
        <v/>
      </c>
      <c r="B824" s="27">
        <f>IF(F824="","",DATE(YEAR(F824),MONTH(F824),1))</f>
        <v/>
      </c>
      <c r="C824" s="28" t="n"/>
      <c r="D824" s="28" t="n"/>
      <c r="E824" s="59">
        <f>IF(C824="","",IFERROR(INDEX('6. Base de Custos'!$M$8:$M$42,MATCH(C824,'6. Base de Custos'!$L$8:$L$42,0)),"Não classificado"))</f>
        <v/>
      </c>
      <c r="F824" s="111" t="n"/>
      <c r="G824" s="111" t="n"/>
      <c r="H824" s="111" t="n"/>
      <c r="I824" s="45" t="n"/>
      <c r="J824" s="28" t="n"/>
      <c r="K824" s="28" t="n"/>
      <c r="L824" s="28" t="n"/>
      <c r="M824" s="59">
        <f>IF(C824="","",IFERROR(INDEX('6. Base de Custos'!$N$8:$N$42,MATCH(C824,'6. Base de Custos'!$L$8:$L$42,0)),"Não classificado"))</f>
        <v/>
      </c>
      <c r="N824" s="59">
        <f>IF(C824="","",IFERROR(INDEX('6. Base de Custos'!$O$8:$O$42,MATCH(C824,'6. Base de Custos'!$L$8:$L$42,0)),"Revisar"))</f>
        <v/>
      </c>
      <c r="O824" s="60">
        <f>IF(M824="","",IFERROR(VLOOKUP(M824,'6. Base de Custos'!$H$12:$J$18,3,FALSE),0))</f>
        <v/>
      </c>
      <c r="P824" s="59">
        <f>IF(C824="","",IFERROR(INDEX('6. Base de Custos'!$P$8:$P$42,MATCH(C824,'6. Base de Custos'!$L$8:$L$42,0)),"Revisar"))</f>
        <v/>
      </c>
      <c r="Q824" s="59">
        <f>IF(C824="","",IFERROR(INDEX('6. Base de Custos'!$Q$8:$Q$42,MATCH(C824,'6. Base de Custos'!$L$8:$L$42,0)),""))</f>
        <v/>
      </c>
      <c r="R824" s="65">
        <f>IF(C824="","",IFERROR(VLOOKUP(M824&amp;"|"&amp;N824,'17. Mapa DRE CP'!$E$5:$H$100,2,FALSE),"Revisar"))</f>
        <v/>
      </c>
      <c r="S824" s="65">
        <f>IF(C824="","",IFERROR(VLOOKUP(M824&amp;"|"&amp;N824,'17. Mapa DRE CP'!$E$5:$H$100,3,FALSE),"Revisar"))</f>
        <v/>
      </c>
      <c r="T824" s="65">
        <f>IF(C824="","",IF(R824="(-) Custos diretos dos serviços",IF(ISNUMBER(SEARCH("PCMSO",C824)),"PCMSO",IF(OR(ISNUMBER(SEARCH("SGS",C824)),ISNUMBER(SEARCH("CASTRO NAVES",C824))),"Projetos / Laudos / Avulsos","Projetos / Laudos / Avulsos")),"Rateio pela receita bruta"))</f>
        <v/>
      </c>
      <c r="U824" s="65">
        <f>IF(C824="","",IF(R824="(-) Custos diretos dos serviços","Direto por fornecedor/natureza do gasto","Rateio proporcional à receita bruta da linha de serviço"))</f>
        <v/>
      </c>
    </row>
    <row r="825">
      <c r="A825" s="28">
        <f>IF(C825="","", "CP-"&amp;TEXT(ROW()-5,"000"))</f>
        <v/>
      </c>
      <c r="B825" s="27">
        <f>IF(F825="","",DATE(YEAR(F825),MONTH(F825),1))</f>
        <v/>
      </c>
      <c r="C825" s="28" t="n"/>
      <c r="D825" s="28" t="n"/>
      <c r="E825" s="59">
        <f>IF(C825="","",IFERROR(INDEX('6. Base de Custos'!$M$8:$M$42,MATCH(C825,'6. Base de Custos'!$L$8:$L$42,0)),"Não classificado"))</f>
        <v/>
      </c>
      <c r="F825" s="111" t="n"/>
      <c r="G825" s="111" t="n"/>
      <c r="H825" s="111" t="n"/>
      <c r="I825" s="45" t="n"/>
      <c r="J825" s="28" t="n"/>
      <c r="K825" s="28" t="n"/>
      <c r="L825" s="28" t="n"/>
      <c r="M825" s="59">
        <f>IF(C825="","",IFERROR(INDEX('6. Base de Custos'!$N$8:$N$42,MATCH(C825,'6. Base de Custos'!$L$8:$L$42,0)),"Não classificado"))</f>
        <v/>
      </c>
      <c r="N825" s="59">
        <f>IF(C825="","",IFERROR(INDEX('6. Base de Custos'!$O$8:$O$42,MATCH(C825,'6. Base de Custos'!$L$8:$L$42,0)),"Revisar"))</f>
        <v/>
      </c>
      <c r="O825" s="60">
        <f>IF(M825="","",IFERROR(VLOOKUP(M825,'6. Base de Custos'!$H$12:$J$18,3,FALSE),0))</f>
        <v/>
      </c>
      <c r="P825" s="59">
        <f>IF(C825="","",IFERROR(INDEX('6. Base de Custos'!$P$8:$P$42,MATCH(C825,'6. Base de Custos'!$L$8:$L$42,0)),"Revisar"))</f>
        <v/>
      </c>
      <c r="Q825" s="59">
        <f>IF(C825="","",IFERROR(INDEX('6. Base de Custos'!$Q$8:$Q$42,MATCH(C825,'6. Base de Custos'!$L$8:$L$42,0)),""))</f>
        <v/>
      </c>
      <c r="R825" s="65">
        <f>IF(C825="","",IFERROR(VLOOKUP(M825&amp;"|"&amp;N825,'17. Mapa DRE CP'!$E$5:$H$100,2,FALSE),"Revisar"))</f>
        <v/>
      </c>
      <c r="S825" s="65">
        <f>IF(C825="","",IFERROR(VLOOKUP(M825&amp;"|"&amp;N825,'17. Mapa DRE CP'!$E$5:$H$100,3,FALSE),"Revisar"))</f>
        <v/>
      </c>
      <c r="T825" s="65">
        <f>IF(C825="","",IF(R825="(-) Custos diretos dos serviços",IF(ISNUMBER(SEARCH("PCMSO",C825)),"PCMSO",IF(OR(ISNUMBER(SEARCH("SGS",C825)),ISNUMBER(SEARCH("CASTRO NAVES",C825))),"Projetos / Laudos / Avulsos","Projetos / Laudos / Avulsos")),"Rateio pela receita bruta"))</f>
        <v/>
      </c>
      <c r="U825" s="65">
        <f>IF(C825="","",IF(R825="(-) Custos diretos dos serviços","Direto por fornecedor/natureza do gasto","Rateio proporcional à receita bruta da linha de serviço"))</f>
        <v/>
      </c>
    </row>
    <row r="826">
      <c r="A826" s="28">
        <f>IF(C826="","", "CP-"&amp;TEXT(ROW()-5,"000"))</f>
        <v/>
      </c>
      <c r="B826" s="27">
        <f>IF(F826="","",DATE(YEAR(F826),MONTH(F826),1))</f>
        <v/>
      </c>
      <c r="C826" s="28" t="n"/>
      <c r="D826" s="28" t="n"/>
      <c r="E826" s="59">
        <f>IF(C826="","",IFERROR(INDEX('6. Base de Custos'!$M$8:$M$42,MATCH(C826,'6. Base de Custos'!$L$8:$L$42,0)),"Não classificado"))</f>
        <v/>
      </c>
      <c r="F826" s="111" t="n"/>
      <c r="G826" s="111" t="n"/>
      <c r="H826" s="111" t="n"/>
      <c r="I826" s="45" t="n"/>
      <c r="J826" s="28" t="n"/>
      <c r="K826" s="28" t="n"/>
      <c r="L826" s="28" t="n"/>
      <c r="M826" s="59">
        <f>IF(C826="","",IFERROR(INDEX('6. Base de Custos'!$N$8:$N$42,MATCH(C826,'6. Base de Custos'!$L$8:$L$42,0)),"Não classificado"))</f>
        <v/>
      </c>
      <c r="N826" s="59">
        <f>IF(C826="","",IFERROR(INDEX('6. Base de Custos'!$O$8:$O$42,MATCH(C826,'6. Base de Custos'!$L$8:$L$42,0)),"Revisar"))</f>
        <v/>
      </c>
      <c r="O826" s="60">
        <f>IF(M826="","",IFERROR(VLOOKUP(M826,'6. Base de Custos'!$H$12:$J$18,3,FALSE),0))</f>
        <v/>
      </c>
      <c r="P826" s="59">
        <f>IF(C826="","",IFERROR(INDEX('6. Base de Custos'!$P$8:$P$42,MATCH(C826,'6. Base de Custos'!$L$8:$L$42,0)),"Revisar"))</f>
        <v/>
      </c>
      <c r="Q826" s="59">
        <f>IF(C826="","",IFERROR(INDEX('6. Base de Custos'!$Q$8:$Q$42,MATCH(C826,'6. Base de Custos'!$L$8:$L$42,0)),""))</f>
        <v/>
      </c>
      <c r="R826" s="65">
        <f>IF(C826="","",IFERROR(VLOOKUP(M826&amp;"|"&amp;N826,'17. Mapa DRE CP'!$E$5:$H$100,2,FALSE),"Revisar"))</f>
        <v/>
      </c>
      <c r="S826" s="65">
        <f>IF(C826="","",IFERROR(VLOOKUP(M826&amp;"|"&amp;N826,'17. Mapa DRE CP'!$E$5:$H$100,3,FALSE),"Revisar"))</f>
        <v/>
      </c>
      <c r="T826" s="65">
        <f>IF(C826="","",IF(R826="(-) Custos diretos dos serviços",IF(ISNUMBER(SEARCH("PCMSO",C826)),"PCMSO",IF(OR(ISNUMBER(SEARCH("SGS",C826)),ISNUMBER(SEARCH("CASTRO NAVES",C826))),"Projetos / Laudos / Avulsos","Projetos / Laudos / Avulsos")),"Rateio pela receita bruta"))</f>
        <v/>
      </c>
      <c r="U826" s="65">
        <f>IF(C826="","",IF(R826="(-) Custos diretos dos serviços","Direto por fornecedor/natureza do gasto","Rateio proporcional à receita bruta da linha de serviço"))</f>
        <v/>
      </c>
    </row>
    <row r="827">
      <c r="A827" s="28">
        <f>IF(C827="","", "CP-"&amp;TEXT(ROW()-5,"000"))</f>
        <v/>
      </c>
      <c r="B827" s="27">
        <f>IF(F827="","",DATE(YEAR(F827),MONTH(F827),1))</f>
        <v/>
      </c>
      <c r="C827" s="28" t="n"/>
      <c r="D827" s="28" t="n"/>
      <c r="E827" s="59">
        <f>IF(C827="","",IFERROR(INDEX('6. Base de Custos'!$M$8:$M$42,MATCH(C827,'6. Base de Custos'!$L$8:$L$42,0)),"Não classificado"))</f>
        <v/>
      </c>
      <c r="F827" s="111" t="n"/>
      <c r="G827" s="111" t="n"/>
      <c r="H827" s="111" t="n"/>
      <c r="I827" s="45" t="n"/>
      <c r="J827" s="28" t="n"/>
      <c r="K827" s="28" t="n"/>
      <c r="L827" s="28" t="n"/>
      <c r="M827" s="59">
        <f>IF(C827="","",IFERROR(INDEX('6. Base de Custos'!$N$8:$N$42,MATCH(C827,'6. Base de Custos'!$L$8:$L$42,0)),"Não classificado"))</f>
        <v/>
      </c>
      <c r="N827" s="59">
        <f>IF(C827="","",IFERROR(INDEX('6. Base de Custos'!$O$8:$O$42,MATCH(C827,'6. Base de Custos'!$L$8:$L$42,0)),"Revisar"))</f>
        <v/>
      </c>
      <c r="O827" s="60">
        <f>IF(M827="","",IFERROR(VLOOKUP(M827,'6. Base de Custos'!$H$12:$J$18,3,FALSE),0))</f>
        <v/>
      </c>
      <c r="P827" s="59">
        <f>IF(C827="","",IFERROR(INDEX('6. Base de Custos'!$P$8:$P$42,MATCH(C827,'6. Base de Custos'!$L$8:$L$42,0)),"Revisar"))</f>
        <v/>
      </c>
      <c r="Q827" s="59">
        <f>IF(C827="","",IFERROR(INDEX('6. Base de Custos'!$Q$8:$Q$42,MATCH(C827,'6. Base de Custos'!$L$8:$L$42,0)),""))</f>
        <v/>
      </c>
      <c r="R827" s="65">
        <f>IF(C827="","",IFERROR(VLOOKUP(M827&amp;"|"&amp;N827,'17. Mapa DRE CP'!$E$5:$H$100,2,FALSE),"Revisar"))</f>
        <v/>
      </c>
      <c r="S827" s="65">
        <f>IF(C827="","",IFERROR(VLOOKUP(M827&amp;"|"&amp;N827,'17. Mapa DRE CP'!$E$5:$H$100,3,FALSE),"Revisar"))</f>
        <v/>
      </c>
      <c r="T827" s="65">
        <f>IF(C827="","",IF(R827="(-) Custos diretos dos serviços",IF(ISNUMBER(SEARCH("PCMSO",C827)),"PCMSO",IF(OR(ISNUMBER(SEARCH("SGS",C827)),ISNUMBER(SEARCH("CASTRO NAVES",C827))),"Projetos / Laudos / Avulsos","Projetos / Laudos / Avulsos")),"Rateio pela receita bruta"))</f>
        <v/>
      </c>
      <c r="U827" s="65">
        <f>IF(C827="","",IF(R827="(-) Custos diretos dos serviços","Direto por fornecedor/natureza do gasto","Rateio proporcional à receita bruta da linha de serviço"))</f>
        <v/>
      </c>
    </row>
    <row r="828">
      <c r="A828" s="28">
        <f>IF(C828="","", "CP-"&amp;TEXT(ROW()-5,"000"))</f>
        <v/>
      </c>
      <c r="B828" s="27">
        <f>IF(F828="","",DATE(YEAR(F828),MONTH(F828),1))</f>
        <v/>
      </c>
      <c r="C828" s="28" t="n"/>
      <c r="D828" s="28" t="n"/>
      <c r="E828" s="59">
        <f>IF(C828="","",IFERROR(INDEX('6. Base de Custos'!$M$8:$M$42,MATCH(C828,'6. Base de Custos'!$L$8:$L$42,0)),"Não classificado"))</f>
        <v/>
      </c>
      <c r="F828" s="111" t="n"/>
      <c r="G828" s="111" t="n"/>
      <c r="H828" s="111" t="n"/>
      <c r="I828" s="45" t="n"/>
      <c r="J828" s="28" t="n"/>
      <c r="K828" s="28" t="n"/>
      <c r="L828" s="28" t="n"/>
      <c r="M828" s="59">
        <f>IF(C828="","",IFERROR(INDEX('6. Base de Custos'!$N$8:$N$42,MATCH(C828,'6. Base de Custos'!$L$8:$L$42,0)),"Não classificado"))</f>
        <v/>
      </c>
      <c r="N828" s="59">
        <f>IF(C828="","",IFERROR(INDEX('6. Base de Custos'!$O$8:$O$42,MATCH(C828,'6. Base de Custos'!$L$8:$L$42,0)),"Revisar"))</f>
        <v/>
      </c>
      <c r="O828" s="60">
        <f>IF(M828="","",IFERROR(VLOOKUP(M828,'6. Base de Custos'!$H$12:$J$18,3,FALSE),0))</f>
        <v/>
      </c>
      <c r="P828" s="59">
        <f>IF(C828="","",IFERROR(INDEX('6. Base de Custos'!$P$8:$P$42,MATCH(C828,'6. Base de Custos'!$L$8:$L$42,0)),"Revisar"))</f>
        <v/>
      </c>
      <c r="Q828" s="59">
        <f>IF(C828="","",IFERROR(INDEX('6. Base de Custos'!$Q$8:$Q$42,MATCH(C828,'6. Base de Custos'!$L$8:$L$42,0)),""))</f>
        <v/>
      </c>
      <c r="R828" s="65">
        <f>IF(C828="","",IFERROR(VLOOKUP(M828&amp;"|"&amp;N828,'17. Mapa DRE CP'!$E$5:$H$100,2,FALSE),"Revisar"))</f>
        <v/>
      </c>
      <c r="S828" s="65">
        <f>IF(C828="","",IFERROR(VLOOKUP(M828&amp;"|"&amp;N828,'17. Mapa DRE CP'!$E$5:$H$100,3,FALSE),"Revisar"))</f>
        <v/>
      </c>
      <c r="T828" s="65">
        <f>IF(C828="","",IF(R828="(-) Custos diretos dos serviços",IF(ISNUMBER(SEARCH("PCMSO",C828)),"PCMSO",IF(OR(ISNUMBER(SEARCH("SGS",C828)),ISNUMBER(SEARCH("CASTRO NAVES",C828))),"Projetos / Laudos / Avulsos","Projetos / Laudos / Avulsos")),"Rateio pela receita bruta"))</f>
        <v/>
      </c>
      <c r="U828" s="65">
        <f>IF(C828="","",IF(R828="(-) Custos diretos dos serviços","Direto por fornecedor/natureza do gasto","Rateio proporcional à receita bruta da linha de serviço"))</f>
        <v/>
      </c>
    </row>
    <row r="829">
      <c r="A829" s="28">
        <f>IF(C829="","", "CP-"&amp;TEXT(ROW()-5,"000"))</f>
        <v/>
      </c>
      <c r="B829" s="27">
        <f>IF(F829="","",DATE(YEAR(F829),MONTH(F829),1))</f>
        <v/>
      </c>
      <c r="C829" s="28" t="n"/>
      <c r="D829" s="28" t="n"/>
      <c r="E829" s="59">
        <f>IF(C829="","",IFERROR(INDEX('6. Base de Custos'!$M$8:$M$42,MATCH(C829,'6. Base de Custos'!$L$8:$L$42,0)),"Não classificado"))</f>
        <v/>
      </c>
      <c r="F829" s="111" t="n"/>
      <c r="G829" s="111" t="n"/>
      <c r="H829" s="111" t="n"/>
      <c r="I829" s="45" t="n"/>
      <c r="J829" s="28" t="n"/>
      <c r="K829" s="28" t="n"/>
      <c r="L829" s="28" t="n"/>
      <c r="M829" s="59">
        <f>IF(C829="","",IFERROR(INDEX('6. Base de Custos'!$N$8:$N$42,MATCH(C829,'6. Base de Custos'!$L$8:$L$42,0)),"Não classificado"))</f>
        <v/>
      </c>
      <c r="N829" s="59">
        <f>IF(C829="","",IFERROR(INDEX('6. Base de Custos'!$O$8:$O$42,MATCH(C829,'6. Base de Custos'!$L$8:$L$42,0)),"Revisar"))</f>
        <v/>
      </c>
      <c r="O829" s="60">
        <f>IF(M829="","",IFERROR(VLOOKUP(M829,'6. Base de Custos'!$H$12:$J$18,3,FALSE),0))</f>
        <v/>
      </c>
      <c r="P829" s="59">
        <f>IF(C829="","",IFERROR(INDEX('6. Base de Custos'!$P$8:$P$42,MATCH(C829,'6. Base de Custos'!$L$8:$L$42,0)),"Revisar"))</f>
        <v/>
      </c>
      <c r="Q829" s="59">
        <f>IF(C829="","",IFERROR(INDEX('6. Base de Custos'!$Q$8:$Q$42,MATCH(C829,'6. Base de Custos'!$L$8:$L$42,0)),""))</f>
        <v/>
      </c>
      <c r="R829" s="65">
        <f>IF(C829="","",IFERROR(VLOOKUP(M829&amp;"|"&amp;N829,'17. Mapa DRE CP'!$E$5:$H$100,2,FALSE),"Revisar"))</f>
        <v/>
      </c>
      <c r="S829" s="65">
        <f>IF(C829="","",IFERROR(VLOOKUP(M829&amp;"|"&amp;N829,'17. Mapa DRE CP'!$E$5:$H$100,3,FALSE),"Revisar"))</f>
        <v/>
      </c>
      <c r="T829" s="65">
        <f>IF(C829="","",IF(R829="(-) Custos diretos dos serviços",IF(ISNUMBER(SEARCH("PCMSO",C829)),"PCMSO",IF(OR(ISNUMBER(SEARCH("SGS",C829)),ISNUMBER(SEARCH("CASTRO NAVES",C829))),"Projetos / Laudos / Avulsos","Projetos / Laudos / Avulsos")),"Rateio pela receita bruta"))</f>
        <v/>
      </c>
      <c r="U829" s="65">
        <f>IF(C829="","",IF(R829="(-) Custos diretos dos serviços","Direto por fornecedor/natureza do gasto","Rateio proporcional à receita bruta da linha de serviço"))</f>
        <v/>
      </c>
    </row>
    <row r="830">
      <c r="A830" s="28">
        <f>IF(C830="","", "CP-"&amp;TEXT(ROW()-5,"000"))</f>
        <v/>
      </c>
      <c r="B830" s="27">
        <f>IF(F830="","",DATE(YEAR(F830),MONTH(F830),1))</f>
        <v/>
      </c>
      <c r="C830" s="28" t="n"/>
      <c r="D830" s="28" t="n"/>
      <c r="E830" s="59">
        <f>IF(C830="","",IFERROR(INDEX('6. Base de Custos'!$M$8:$M$42,MATCH(C830,'6. Base de Custos'!$L$8:$L$42,0)),"Não classificado"))</f>
        <v/>
      </c>
      <c r="F830" s="111" t="n"/>
      <c r="G830" s="111" t="n"/>
      <c r="H830" s="111" t="n"/>
      <c r="I830" s="45" t="n"/>
      <c r="J830" s="28" t="n"/>
      <c r="K830" s="28" t="n"/>
      <c r="L830" s="28" t="n"/>
      <c r="M830" s="59">
        <f>IF(C830="","",IFERROR(INDEX('6. Base de Custos'!$N$8:$N$42,MATCH(C830,'6. Base de Custos'!$L$8:$L$42,0)),"Não classificado"))</f>
        <v/>
      </c>
      <c r="N830" s="59">
        <f>IF(C830="","",IFERROR(INDEX('6. Base de Custos'!$O$8:$O$42,MATCH(C830,'6. Base de Custos'!$L$8:$L$42,0)),"Revisar"))</f>
        <v/>
      </c>
      <c r="O830" s="60">
        <f>IF(M830="","",IFERROR(VLOOKUP(M830,'6. Base de Custos'!$H$12:$J$18,3,FALSE),0))</f>
        <v/>
      </c>
      <c r="P830" s="59">
        <f>IF(C830="","",IFERROR(INDEX('6. Base de Custos'!$P$8:$P$42,MATCH(C830,'6. Base de Custos'!$L$8:$L$42,0)),"Revisar"))</f>
        <v/>
      </c>
      <c r="Q830" s="59">
        <f>IF(C830="","",IFERROR(INDEX('6. Base de Custos'!$Q$8:$Q$42,MATCH(C830,'6. Base de Custos'!$L$8:$L$42,0)),""))</f>
        <v/>
      </c>
      <c r="R830" s="65">
        <f>IF(C830="","",IFERROR(VLOOKUP(M830&amp;"|"&amp;N830,'17. Mapa DRE CP'!$E$5:$H$100,2,FALSE),"Revisar"))</f>
        <v/>
      </c>
      <c r="S830" s="65">
        <f>IF(C830="","",IFERROR(VLOOKUP(M830&amp;"|"&amp;N830,'17. Mapa DRE CP'!$E$5:$H$100,3,FALSE),"Revisar"))</f>
        <v/>
      </c>
      <c r="T830" s="65">
        <f>IF(C830="","",IF(R830="(-) Custos diretos dos serviços",IF(ISNUMBER(SEARCH("PCMSO",C830)),"PCMSO",IF(OR(ISNUMBER(SEARCH("SGS",C830)),ISNUMBER(SEARCH("CASTRO NAVES",C830))),"Projetos / Laudos / Avulsos","Projetos / Laudos / Avulsos")),"Rateio pela receita bruta"))</f>
        <v/>
      </c>
      <c r="U830" s="65">
        <f>IF(C830="","",IF(R830="(-) Custos diretos dos serviços","Direto por fornecedor/natureza do gasto","Rateio proporcional à receita bruta da linha de serviço"))</f>
        <v/>
      </c>
    </row>
    <row r="831">
      <c r="A831" s="28">
        <f>IF(C831="","", "CP-"&amp;TEXT(ROW()-5,"000"))</f>
        <v/>
      </c>
      <c r="B831" s="27">
        <f>IF(F831="","",DATE(YEAR(F831),MONTH(F831),1))</f>
        <v/>
      </c>
      <c r="C831" s="28" t="n"/>
      <c r="D831" s="28" t="n"/>
      <c r="E831" s="59">
        <f>IF(C831="","",IFERROR(INDEX('6. Base de Custos'!$M$8:$M$42,MATCH(C831,'6. Base de Custos'!$L$8:$L$42,0)),"Não classificado"))</f>
        <v/>
      </c>
      <c r="F831" s="111" t="n"/>
      <c r="G831" s="111" t="n"/>
      <c r="H831" s="111" t="n"/>
      <c r="I831" s="45" t="n"/>
      <c r="J831" s="28" t="n"/>
      <c r="K831" s="28" t="n"/>
      <c r="L831" s="28" t="n"/>
      <c r="M831" s="59">
        <f>IF(C831="","",IFERROR(INDEX('6. Base de Custos'!$N$8:$N$42,MATCH(C831,'6. Base de Custos'!$L$8:$L$42,0)),"Não classificado"))</f>
        <v/>
      </c>
      <c r="N831" s="59">
        <f>IF(C831="","",IFERROR(INDEX('6. Base de Custos'!$O$8:$O$42,MATCH(C831,'6. Base de Custos'!$L$8:$L$42,0)),"Revisar"))</f>
        <v/>
      </c>
      <c r="O831" s="60">
        <f>IF(M831="","",IFERROR(VLOOKUP(M831,'6. Base de Custos'!$H$12:$J$18,3,FALSE),0))</f>
        <v/>
      </c>
      <c r="P831" s="59">
        <f>IF(C831="","",IFERROR(INDEX('6. Base de Custos'!$P$8:$P$42,MATCH(C831,'6. Base de Custos'!$L$8:$L$42,0)),"Revisar"))</f>
        <v/>
      </c>
      <c r="Q831" s="59">
        <f>IF(C831="","",IFERROR(INDEX('6. Base de Custos'!$Q$8:$Q$42,MATCH(C831,'6. Base de Custos'!$L$8:$L$42,0)),""))</f>
        <v/>
      </c>
      <c r="R831" s="65">
        <f>IF(C831="","",IFERROR(VLOOKUP(M831&amp;"|"&amp;N831,'17. Mapa DRE CP'!$E$5:$H$100,2,FALSE),"Revisar"))</f>
        <v/>
      </c>
      <c r="S831" s="65">
        <f>IF(C831="","",IFERROR(VLOOKUP(M831&amp;"|"&amp;N831,'17. Mapa DRE CP'!$E$5:$H$100,3,FALSE),"Revisar"))</f>
        <v/>
      </c>
      <c r="T831" s="65">
        <f>IF(C831="","",IF(R831="(-) Custos diretos dos serviços",IF(ISNUMBER(SEARCH("PCMSO",C831)),"PCMSO",IF(OR(ISNUMBER(SEARCH("SGS",C831)),ISNUMBER(SEARCH("CASTRO NAVES",C831))),"Projetos / Laudos / Avulsos","Projetos / Laudos / Avulsos")),"Rateio pela receita bruta"))</f>
        <v/>
      </c>
      <c r="U831" s="65">
        <f>IF(C831="","",IF(R831="(-) Custos diretos dos serviços","Direto por fornecedor/natureza do gasto","Rateio proporcional à receita bruta da linha de serviço"))</f>
        <v/>
      </c>
    </row>
    <row r="832">
      <c r="A832" s="28">
        <f>IF(C832="","", "CP-"&amp;TEXT(ROW()-5,"000"))</f>
        <v/>
      </c>
      <c r="B832" s="27">
        <f>IF(F832="","",DATE(YEAR(F832),MONTH(F832),1))</f>
        <v/>
      </c>
      <c r="C832" s="28" t="n"/>
      <c r="D832" s="28" t="n"/>
      <c r="E832" s="59">
        <f>IF(C832="","",IFERROR(INDEX('6. Base de Custos'!$M$8:$M$42,MATCH(C832,'6. Base de Custos'!$L$8:$L$42,0)),"Não classificado"))</f>
        <v/>
      </c>
      <c r="F832" s="111" t="n"/>
      <c r="G832" s="111" t="n"/>
      <c r="H832" s="111" t="n"/>
      <c r="I832" s="45" t="n"/>
      <c r="J832" s="28" t="n"/>
      <c r="K832" s="28" t="n"/>
      <c r="L832" s="28" t="n"/>
      <c r="M832" s="59">
        <f>IF(C832="","",IFERROR(INDEX('6. Base de Custos'!$N$8:$N$42,MATCH(C832,'6. Base de Custos'!$L$8:$L$42,0)),"Não classificado"))</f>
        <v/>
      </c>
      <c r="N832" s="59">
        <f>IF(C832="","",IFERROR(INDEX('6. Base de Custos'!$O$8:$O$42,MATCH(C832,'6. Base de Custos'!$L$8:$L$42,0)),"Revisar"))</f>
        <v/>
      </c>
      <c r="O832" s="60">
        <f>IF(M832="","",IFERROR(VLOOKUP(M832,'6. Base de Custos'!$H$12:$J$18,3,FALSE),0))</f>
        <v/>
      </c>
      <c r="P832" s="59">
        <f>IF(C832="","",IFERROR(INDEX('6. Base de Custos'!$P$8:$P$42,MATCH(C832,'6. Base de Custos'!$L$8:$L$42,0)),"Revisar"))</f>
        <v/>
      </c>
      <c r="Q832" s="59">
        <f>IF(C832="","",IFERROR(INDEX('6. Base de Custos'!$Q$8:$Q$42,MATCH(C832,'6. Base de Custos'!$L$8:$L$42,0)),""))</f>
        <v/>
      </c>
      <c r="R832" s="65">
        <f>IF(C832="","",IFERROR(VLOOKUP(M832&amp;"|"&amp;N832,'17. Mapa DRE CP'!$E$5:$H$100,2,FALSE),"Revisar"))</f>
        <v/>
      </c>
      <c r="S832" s="65">
        <f>IF(C832="","",IFERROR(VLOOKUP(M832&amp;"|"&amp;N832,'17. Mapa DRE CP'!$E$5:$H$100,3,FALSE),"Revisar"))</f>
        <v/>
      </c>
      <c r="T832" s="65">
        <f>IF(C832="","",IF(R832="(-) Custos diretos dos serviços",IF(ISNUMBER(SEARCH("PCMSO",C832)),"PCMSO",IF(OR(ISNUMBER(SEARCH("SGS",C832)),ISNUMBER(SEARCH("CASTRO NAVES",C832))),"Projetos / Laudos / Avulsos","Projetos / Laudos / Avulsos")),"Rateio pela receita bruta"))</f>
        <v/>
      </c>
      <c r="U832" s="65">
        <f>IF(C832="","",IF(R832="(-) Custos diretos dos serviços","Direto por fornecedor/natureza do gasto","Rateio proporcional à receita bruta da linha de serviço"))</f>
        <v/>
      </c>
    </row>
    <row r="833">
      <c r="A833" s="28">
        <f>IF(C833="","", "CP-"&amp;TEXT(ROW()-5,"000"))</f>
        <v/>
      </c>
      <c r="B833" s="27">
        <f>IF(F833="","",DATE(YEAR(F833),MONTH(F833),1))</f>
        <v/>
      </c>
      <c r="C833" s="28" t="n"/>
      <c r="D833" s="28" t="n"/>
      <c r="E833" s="59">
        <f>IF(C833="","",IFERROR(INDEX('6. Base de Custos'!$M$8:$M$42,MATCH(C833,'6. Base de Custos'!$L$8:$L$42,0)),"Não classificado"))</f>
        <v/>
      </c>
      <c r="F833" s="111" t="n"/>
      <c r="G833" s="111" t="n"/>
      <c r="H833" s="111" t="n"/>
      <c r="I833" s="45" t="n"/>
      <c r="J833" s="28" t="n"/>
      <c r="K833" s="28" t="n"/>
      <c r="L833" s="28" t="n"/>
      <c r="M833" s="59">
        <f>IF(C833="","",IFERROR(INDEX('6. Base de Custos'!$N$8:$N$42,MATCH(C833,'6. Base de Custos'!$L$8:$L$42,0)),"Não classificado"))</f>
        <v/>
      </c>
      <c r="N833" s="59">
        <f>IF(C833="","",IFERROR(INDEX('6. Base de Custos'!$O$8:$O$42,MATCH(C833,'6. Base de Custos'!$L$8:$L$42,0)),"Revisar"))</f>
        <v/>
      </c>
      <c r="O833" s="60">
        <f>IF(M833="","",IFERROR(VLOOKUP(M833,'6. Base de Custos'!$H$12:$J$18,3,FALSE),0))</f>
        <v/>
      </c>
      <c r="P833" s="59">
        <f>IF(C833="","",IFERROR(INDEX('6. Base de Custos'!$P$8:$P$42,MATCH(C833,'6. Base de Custos'!$L$8:$L$42,0)),"Revisar"))</f>
        <v/>
      </c>
      <c r="Q833" s="59">
        <f>IF(C833="","",IFERROR(INDEX('6. Base de Custos'!$Q$8:$Q$42,MATCH(C833,'6. Base de Custos'!$L$8:$L$42,0)),""))</f>
        <v/>
      </c>
      <c r="R833" s="65">
        <f>IF(C833="","",IFERROR(VLOOKUP(M833&amp;"|"&amp;N833,'17. Mapa DRE CP'!$E$5:$H$100,2,FALSE),"Revisar"))</f>
        <v/>
      </c>
      <c r="S833" s="65">
        <f>IF(C833="","",IFERROR(VLOOKUP(M833&amp;"|"&amp;N833,'17. Mapa DRE CP'!$E$5:$H$100,3,FALSE),"Revisar"))</f>
        <v/>
      </c>
      <c r="T833" s="65">
        <f>IF(C833="","",IF(R833="(-) Custos diretos dos serviços",IF(ISNUMBER(SEARCH("PCMSO",C833)),"PCMSO",IF(OR(ISNUMBER(SEARCH("SGS",C833)),ISNUMBER(SEARCH("CASTRO NAVES",C833))),"Projetos / Laudos / Avulsos","Projetos / Laudos / Avulsos")),"Rateio pela receita bruta"))</f>
        <v/>
      </c>
      <c r="U833" s="65">
        <f>IF(C833="","",IF(R833="(-) Custos diretos dos serviços","Direto por fornecedor/natureza do gasto","Rateio proporcional à receita bruta da linha de serviço"))</f>
        <v/>
      </c>
    </row>
    <row r="834">
      <c r="A834" s="28">
        <f>IF(C834="","", "CP-"&amp;TEXT(ROW()-5,"000"))</f>
        <v/>
      </c>
      <c r="B834" s="27">
        <f>IF(F834="","",DATE(YEAR(F834),MONTH(F834),1))</f>
        <v/>
      </c>
      <c r="C834" s="28" t="n"/>
      <c r="D834" s="28" t="n"/>
      <c r="E834" s="59">
        <f>IF(C834="","",IFERROR(INDEX('6. Base de Custos'!$M$8:$M$42,MATCH(C834,'6. Base de Custos'!$L$8:$L$42,0)),"Não classificado"))</f>
        <v/>
      </c>
      <c r="F834" s="111" t="n"/>
      <c r="G834" s="111" t="n"/>
      <c r="H834" s="111" t="n"/>
      <c r="I834" s="45" t="n"/>
      <c r="J834" s="28" t="n"/>
      <c r="K834" s="28" t="n"/>
      <c r="L834" s="28" t="n"/>
      <c r="M834" s="59">
        <f>IF(C834="","",IFERROR(INDEX('6. Base de Custos'!$N$8:$N$42,MATCH(C834,'6. Base de Custos'!$L$8:$L$42,0)),"Não classificado"))</f>
        <v/>
      </c>
      <c r="N834" s="59">
        <f>IF(C834="","",IFERROR(INDEX('6. Base de Custos'!$O$8:$O$42,MATCH(C834,'6. Base de Custos'!$L$8:$L$42,0)),"Revisar"))</f>
        <v/>
      </c>
      <c r="O834" s="60">
        <f>IF(M834="","",IFERROR(VLOOKUP(M834,'6. Base de Custos'!$H$12:$J$18,3,FALSE),0))</f>
        <v/>
      </c>
      <c r="P834" s="59">
        <f>IF(C834="","",IFERROR(INDEX('6. Base de Custos'!$P$8:$P$42,MATCH(C834,'6. Base de Custos'!$L$8:$L$42,0)),"Revisar"))</f>
        <v/>
      </c>
      <c r="Q834" s="59">
        <f>IF(C834="","",IFERROR(INDEX('6. Base de Custos'!$Q$8:$Q$42,MATCH(C834,'6. Base de Custos'!$L$8:$L$42,0)),""))</f>
        <v/>
      </c>
      <c r="R834" s="65">
        <f>IF(C834="","",IFERROR(VLOOKUP(M834&amp;"|"&amp;N834,'17. Mapa DRE CP'!$E$5:$H$100,2,FALSE),"Revisar"))</f>
        <v/>
      </c>
      <c r="S834" s="65">
        <f>IF(C834="","",IFERROR(VLOOKUP(M834&amp;"|"&amp;N834,'17. Mapa DRE CP'!$E$5:$H$100,3,FALSE),"Revisar"))</f>
        <v/>
      </c>
      <c r="T834" s="65">
        <f>IF(C834="","",IF(R834="(-) Custos diretos dos serviços",IF(ISNUMBER(SEARCH("PCMSO",C834)),"PCMSO",IF(OR(ISNUMBER(SEARCH("SGS",C834)),ISNUMBER(SEARCH("CASTRO NAVES",C834))),"Projetos / Laudos / Avulsos","Projetos / Laudos / Avulsos")),"Rateio pela receita bruta"))</f>
        <v/>
      </c>
      <c r="U834" s="65">
        <f>IF(C834="","",IF(R834="(-) Custos diretos dos serviços","Direto por fornecedor/natureza do gasto","Rateio proporcional à receita bruta da linha de serviço"))</f>
        <v/>
      </c>
    </row>
    <row r="835">
      <c r="A835" s="28">
        <f>IF(C835="","", "CP-"&amp;TEXT(ROW()-5,"000"))</f>
        <v/>
      </c>
      <c r="B835" s="27">
        <f>IF(F835="","",DATE(YEAR(F835),MONTH(F835),1))</f>
        <v/>
      </c>
      <c r="C835" s="28" t="n"/>
      <c r="D835" s="28" t="n"/>
      <c r="E835" s="59">
        <f>IF(C835="","",IFERROR(INDEX('6. Base de Custos'!$M$8:$M$42,MATCH(C835,'6. Base de Custos'!$L$8:$L$42,0)),"Não classificado"))</f>
        <v/>
      </c>
      <c r="F835" s="111" t="n"/>
      <c r="G835" s="111" t="n"/>
      <c r="H835" s="111" t="n"/>
      <c r="I835" s="45" t="n"/>
      <c r="J835" s="28" t="n"/>
      <c r="K835" s="28" t="n"/>
      <c r="L835" s="28" t="n"/>
      <c r="M835" s="59">
        <f>IF(C835="","",IFERROR(INDEX('6. Base de Custos'!$N$8:$N$42,MATCH(C835,'6. Base de Custos'!$L$8:$L$42,0)),"Não classificado"))</f>
        <v/>
      </c>
      <c r="N835" s="59">
        <f>IF(C835="","",IFERROR(INDEX('6. Base de Custos'!$O$8:$O$42,MATCH(C835,'6. Base de Custos'!$L$8:$L$42,0)),"Revisar"))</f>
        <v/>
      </c>
      <c r="O835" s="60">
        <f>IF(M835="","",IFERROR(VLOOKUP(M835,'6. Base de Custos'!$H$12:$J$18,3,FALSE),0))</f>
        <v/>
      </c>
      <c r="P835" s="59">
        <f>IF(C835="","",IFERROR(INDEX('6. Base de Custos'!$P$8:$P$42,MATCH(C835,'6. Base de Custos'!$L$8:$L$42,0)),"Revisar"))</f>
        <v/>
      </c>
      <c r="Q835" s="59">
        <f>IF(C835="","",IFERROR(INDEX('6. Base de Custos'!$Q$8:$Q$42,MATCH(C835,'6. Base de Custos'!$L$8:$L$42,0)),""))</f>
        <v/>
      </c>
      <c r="R835" s="65">
        <f>IF(C835="","",IFERROR(VLOOKUP(M835&amp;"|"&amp;N835,'17. Mapa DRE CP'!$E$5:$H$100,2,FALSE),"Revisar"))</f>
        <v/>
      </c>
      <c r="S835" s="65">
        <f>IF(C835="","",IFERROR(VLOOKUP(M835&amp;"|"&amp;N835,'17. Mapa DRE CP'!$E$5:$H$100,3,FALSE),"Revisar"))</f>
        <v/>
      </c>
      <c r="T835" s="65">
        <f>IF(C835="","",IF(R835="(-) Custos diretos dos serviços",IF(ISNUMBER(SEARCH("PCMSO",C835)),"PCMSO",IF(OR(ISNUMBER(SEARCH("SGS",C835)),ISNUMBER(SEARCH("CASTRO NAVES",C835))),"Projetos / Laudos / Avulsos","Projetos / Laudos / Avulsos")),"Rateio pela receita bruta"))</f>
        <v/>
      </c>
      <c r="U835" s="65">
        <f>IF(C835="","",IF(R835="(-) Custos diretos dos serviços","Direto por fornecedor/natureza do gasto","Rateio proporcional à receita bruta da linha de serviço"))</f>
        <v/>
      </c>
    </row>
    <row r="836">
      <c r="A836" s="28">
        <f>IF(C836="","", "CP-"&amp;TEXT(ROW()-5,"000"))</f>
        <v/>
      </c>
      <c r="B836" s="27">
        <f>IF(F836="","",DATE(YEAR(F836),MONTH(F836),1))</f>
        <v/>
      </c>
      <c r="C836" s="28" t="n"/>
      <c r="D836" s="28" t="n"/>
      <c r="E836" s="59">
        <f>IF(C836="","",IFERROR(INDEX('6. Base de Custos'!$M$8:$M$42,MATCH(C836,'6. Base de Custos'!$L$8:$L$42,0)),"Não classificado"))</f>
        <v/>
      </c>
      <c r="F836" s="111" t="n"/>
      <c r="G836" s="111" t="n"/>
      <c r="H836" s="111" t="n"/>
      <c r="I836" s="45" t="n"/>
      <c r="J836" s="28" t="n"/>
      <c r="K836" s="28" t="n"/>
      <c r="L836" s="28" t="n"/>
      <c r="M836" s="59">
        <f>IF(C836="","",IFERROR(INDEX('6. Base de Custos'!$N$8:$N$42,MATCH(C836,'6. Base de Custos'!$L$8:$L$42,0)),"Não classificado"))</f>
        <v/>
      </c>
      <c r="N836" s="59">
        <f>IF(C836="","",IFERROR(INDEX('6. Base de Custos'!$O$8:$O$42,MATCH(C836,'6. Base de Custos'!$L$8:$L$42,0)),"Revisar"))</f>
        <v/>
      </c>
      <c r="O836" s="60">
        <f>IF(M836="","",IFERROR(VLOOKUP(M836,'6. Base de Custos'!$H$12:$J$18,3,FALSE),0))</f>
        <v/>
      </c>
      <c r="P836" s="59">
        <f>IF(C836="","",IFERROR(INDEX('6. Base de Custos'!$P$8:$P$42,MATCH(C836,'6. Base de Custos'!$L$8:$L$42,0)),"Revisar"))</f>
        <v/>
      </c>
      <c r="Q836" s="59">
        <f>IF(C836="","",IFERROR(INDEX('6. Base de Custos'!$Q$8:$Q$42,MATCH(C836,'6. Base de Custos'!$L$8:$L$42,0)),""))</f>
        <v/>
      </c>
      <c r="R836" s="65">
        <f>IF(C836="","",IFERROR(VLOOKUP(M836&amp;"|"&amp;N836,'17. Mapa DRE CP'!$E$5:$H$100,2,FALSE),"Revisar"))</f>
        <v/>
      </c>
      <c r="S836" s="65">
        <f>IF(C836="","",IFERROR(VLOOKUP(M836&amp;"|"&amp;N836,'17. Mapa DRE CP'!$E$5:$H$100,3,FALSE),"Revisar"))</f>
        <v/>
      </c>
      <c r="T836" s="65">
        <f>IF(C836="","",IF(R836="(-) Custos diretos dos serviços",IF(ISNUMBER(SEARCH("PCMSO",C836)),"PCMSO",IF(OR(ISNUMBER(SEARCH("SGS",C836)),ISNUMBER(SEARCH("CASTRO NAVES",C836))),"Projetos / Laudos / Avulsos","Projetos / Laudos / Avulsos")),"Rateio pela receita bruta"))</f>
        <v/>
      </c>
      <c r="U836" s="65">
        <f>IF(C836="","",IF(R836="(-) Custos diretos dos serviços","Direto por fornecedor/natureza do gasto","Rateio proporcional à receita bruta da linha de serviço"))</f>
        <v/>
      </c>
    </row>
    <row r="837">
      <c r="A837" s="28">
        <f>IF(C837="","", "CP-"&amp;TEXT(ROW()-5,"000"))</f>
        <v/>
      </c>
      <c r="B837" s="27">
        <f>IF(F837="","",DATE(YEAR(F837),MONTH(F837),1))</f>
        <v/>
      </c>
      <c r="C837" s="28" t="n"/>
      <c r="D837" s="28" t="n"/>
      <c r="E837" s="59">
        <f>IF(C837="","",IFERROR(INDEX('6. Base de Custos'!$M$8:$M$42,MATCH(C837,'6. Base de Custos'!$L$8:$L$42,0)),"Não classificado"))</f>
        <v/>
      </c>
      <c r="F837" s="111" t="n"/>
      <c r="G837" s="111" t="n"/>
      <c r="H837" s="111" t="n"/>
      <c r="I837" s="45" t="n"/>
      <c r="J837" s="28" t="n"/>
      <c r="K837" s="28" t="n"/>
      <c r="L837" s="28" t="n"/>
      <c r="M837" s="59">
        <f>IF(C837="","",IFERROR(INDEX('6. Base de Custos'!$N$8:$N$42,MATCH(C837,'6. Base de Custos'!$L$8:$L$42,0)),"Não classificado"))</f>
        <v/>
      </c>
      <c r="N837" s="59">
        <f>IF(C837="","",IFERROR(INDEX('6. Base de Custos'!$O$8:$O$42,MATCH(C837,'6. Base de Custos'!$L$8:$L$42,0)),"Revisar"))</f>
        <v/>
      </c>
      <c r="O837" s="60">
        <f>IF(M837="","",IFERROR(VLOOKUP(M837,'6. Base de Custos'!$H$12:$J$18,3,FALSE),0))</f>
        <v/>
      </c>
      <c r="P837" s="59">
        <f>IF(C837="","",IFERROR(INDEX('6. Base de Custos'!$P$8:$P$42,MATCH(C837,'6. Base de Custos'!$L$8:$L$42,0)),"Revisar"))</f>
        <v/>
      </c>
      <c r="Q837" s="59">
        <f>IF(C837="","",IFERROR(INDEX('6. Base de Custos'!$Q$8:$Q$42,MATCH(C837,'6. Base de Custos'!$L$8:$L$42,0)),""))</f>
        <v/>
      </c>
      <c r="R837" s="65">
        <f>IF(C837="","",IFERROR(VLOOKUP(M837&amp;"|"&amp;N837,'17. Mapa DRE CP'!$E$5:$H$100,2,FALSE),"Revisar"))</f>
        <v/>
      </c>
      <c r="S837" s="65">
        <f>IF(C837="","",IFERROR(VLOOKUP(M837&amp;"|"&amp;N837,'17. Mapa DRE CP'!$E$5:$H$100,3,FALSE),"Revisar"))</f>
        <v/>
      </c>
      <c r="T837" s="65">
        <f>IF(C837="","",IF(R837="(-) Custos diretos dos serviços",IF(ISNUMBER(SEARCH("PCMSO",C837)),"PCMSO",IF(OR(ISNUMBER(SEARCH("SGS",C837)),ISNUMBER(SEARCH("CASTRO NAVES",C837))),"Projetos / Laudos / Avulsos","Projetos / Laudos / Avulsos")),"Rateio pela receita bruta"))</f>
        <v/>
      </c>
      <c r="U837" s="65">
        <f>IF(C837="","",IF(R837="(-) Custos diretos dos serviços","Direto por fornecedor/natureza do gasto","Rateio proporcional à receita bruta da linha de serviço"))</f>
        <v/>
      </c>
    </row>
    <row r="838">
      <c r="A838" s="28">
        <f>IF(C838="","", "CP-"&amp;TEXT(ROW()-5,"000"))</f>
        <v/>
      </c>
      <c r="B838" s="27">
        <f>IF(F838="","",DATE(YEAR(F838),MONTH(F838),1))</f>
        <v/>
      </c>
      <c r="C838" s="28" t="n"/>
      <c r="D838" s="28" t="n"/>
      <c r="E838" s="59">
        <f>IF(C838="","",IFERROR(INDEX('6. Base de Custos'!$M$8:$M$42,MATCH(C838,'6. Base de Custos'!$L$8:$L$42,0)),"Não classificado"))</f>
        <v/>
      </c>
      <c r="F838" s="111" t="n"/>
      <c r="G838" s="111" t="n"/>
      <c r="H838" s="111" t="n"/>
      <c r="I838" s="45" t="n"/>
      <c r="J838" s="28" t="n"/>
      <c r="K838" s="28" t="n"/>
      <c r="L838" s="28" t="n"/>
      <c r="M838" s="59">
        <f>IF(C838="","",IFERROR(INDEX('6. Base de Custos'!$N$8:$N$42,MATCH(C838,'6. Base de Custos'!$L$8:$L$42,0)),"Não classificado"))</f>
        <v/>
      </c>
      <c r="N838" s="59">
        <f>IF(C838="","",IFERROR(INDEX('6. Base de Custos'!$O$8:$O$42,MATCH(C838,'6. Base de Custos'!$L$8:$L$42,0)),"Revisar"))</f>
        <v/>
      </c>
      <c r="O838" s="60">
        <f>IF(M838="","",IFERROR(VLOOKUP(M838,'6. Base de Custos'!$H$12:$J$18,3,FALSE),0))</f>
        <v/>
      </c>
      <c r="P838" s="59">
        <f>IF(C838="","",IFERROR(INDEX('6. Base de Custos'!$P$8:$P$42,MATCH(C838,'6. Base de Custos'!$L$8:$L$42,0)),"Revisar"))</f>
        <v/>
      </c>
      <c r="Q838" s="59">
        <f>IF(C838="","",IFERROR(INDEX('6. Base de Custos'!$Q$8:$Q$42,MATCH(C838,'6. Base de Custos'!$L$8:$L$42,0)),""))</f>
        <v/>
      </c>
      <c r="R838" s="65">
        <f>IF(C838="","",IFERROR(VLOOKUP(M838&amp;"|"&amp;N838,'17. Mapa DRE CP'!$E$5:$H$100,2,FALSE),"Revisar"))</f>
        <v/>
      </c>
      <c r="S838" s="65">
        <f>IF(C838="","",IFERROR(VLOOKUP(M838&amp;"|"&amp;N838,'17. Mapa DRE CP'!$E$5:$H$100,3,FALSE),"Revisar"))</f>
        <v/>
      </c>
      <c r="T838" s="65">
        <f>IF(C838="","",IF(R838="(-) Custos diretos dos serviços",IF(ISNUMBER(SEARCH("PCMSO",C838)),"PCMSO",IF(OR(ISNUMBER(SEARCH("SGS",C838)),ISNUMBER(SEARCH("CASTRO NAVES",C838))),"Projetos / Laudos / Avulsos","Projetos / Laudos / Avulsos")),"Rateio pela receita bruta"))</f>
        <v/>
      </c>
      <c r="U838" s="65">
        <f>IF(C838="","",IF(R838="(-) Custos diretos dos serviços","Direto por fornecedor/natureza do gasto","Rateio proporcional à receita bruta da linha de serviço"))</f>
        <v/>
      </c>
    </row>
    <row r="839">
      <c r="A839" s="28">
        <f>IF(C839="","", "CP-"&amp;TEXT(ROW()-5,"000"))</f>
        <v/>
      </c>
      <c r="B839" s="27">
        <f>IF(F839="","",DATE(YEAR(F839),MONTH(F839),1))</f>
        <v/>
      </c>
      <c r="C839" s="28" t="n"/>
      <c r="D839" s="28" t="n"/>
      <c r="E839" s="59">
        <f>IF(C839="","",IFERROR(INDEX('6. Base de Custos'!$M$8:$M$42,MATCH(C839,'6. Base de Custos'!$L$8:$L$42,0)),"Não classificado"))</f>
        <v/>
      </c>
      <c r="F839" s="111" t="n"/>
      <c r="G839" s="111" t="n"/>
      <c r="H839" s="111" t="n"/>
      <c r="I839" s="45" t="n"/>
      <c r="J839" s="28" t="n"/>
      <c r="K839" s="28" t="n"/>
      <c r="L839" s="28" t="n"/>
      <c r="M839" s="59">
        <f>IF(C839="","",IFERROR(INDEX('6. Base de Custos'!$N$8:$N$42,MATCH(C839,'6. Base de Custos'!$L$8:$L$42,0)),"Não classificado"))</f>
        <v/>
      </c>
      <c r="N839" s="59">
        <f>IF(C839="","",IFERROR(INDEX('6. Base de Custos'!$O$8:$O$42,MATCH(C839,'6. Base de Custos'!$L$8:$L$42,0)),"Revisar"))</f>
        <v/>
      </c>
      <c r="O839" s="60">
        <f>IF(M839="","",IFERROR(VLOOKUP(M839,'6. Base de Custos'!$H$12:$J$18,3,FALSE),0))</f>
        <v/>
      </c>
      <c r="P839" s="59">
        <f>IF(C839="","",IFERROR(INDEX('6. Base de Custos'!$P$8:$P$42,MATCH(C839,'6. Base de Custos'!$L$8:$L$42,0)),"Revisar"))</f>
        <v/>
      </c>
      <c r="Q839" s="59">
        <f>IF(C839="","",IFERROR(INDEX('6. Base de Custos'!$Q$8:$Q$42,MATCH(C839,'6. Base de Custos'!$L$8:$L$42,0)),""))</f>
        <v/>
      </c>
      <c r="R839" s="65">
        <f>IF(C839="","",IFERROR(VLOOKUP(M839&amp;"|"&amp;N839,'17. Mapa DRE CP'!$E$5:$H$100,2,FALSE),"Revisar"))</f>
        <v/>
      </c>
      <c r="S839" s="65">
        <f>IF(C839="","",IFERROR(VLOOKUP(M839&amp;"|"&amp;N839,'17. Mapa DRE CP'!$E$5:$H$100,3,FALSE),"Revisar"))</f>
        <v/>
      </c>
      <c r="T839" s="65">
        <f>IF(C839="","",IF(R839="(-) Custos diretos dos serviços",IF(ISNUMBER(SEARCH("PCMSO",C839)),"PCMSO",IF(OR(ISNUMBER(SEARCH("SGS",C839)),ISNUMBER(SEARCH("CASTRO NAVES",C839))),"Projetos / Laudos / Avulsos","Projetos / Laudos / Avulsos")),"Rateio pela receita bruta"))</f>
        <v/>
      </c>
      <c r="U839" s="65">
        <f>IF(C839="","",IF(R839="(-) Custos diretos dos serviços","Direto por fornecedor/natureza do gasto","Rateio proporcional à receita bruta da linha de serviço"))</f>
        <v/>
      </c>
    </row>
    <row r="840">
      <c r="A840" s="28">
        <f>IF(C840="","", "CP-"&amp;TEXT(ROW()-5,"000"))</f>
        <v/>
      </c>
      <c r="B840" s="27">
        <f>IF(F840="","",DATE(YEAR(F840),MONTH(F840),1))</f>
        <v/>
      </c>
      <c r="C840" s="28" t="n"/>
      <c r="D840" s="28" t="n"/>
      <c r="E840" s="59">
        <f>IF(C840="","",IFERROR(INDEX('6. Base de Custos'!$M$8:$M$42,MATCH(C840,'6. Base de Custos'!$L$8:$L$42,0)),"Não classificado"))</f>
        <v/>
      </c>
      <c r="F840" s="111" t="n"/>
      <c r="G840" s="111" t="n"/>
      <c r="H840" s="111" t="n"/>
      <c r="I840" s="45" t="n"/>
      <c r="J840" s="28" t="n"/>
      <c r="K840" s="28" t="n"/>
      <c r="L840" s="28" t="n"/>
      <c r="M840" s="59">
        <f>IF(C840="","",IFERROR(INDEX('6. Base de Custos'!$N$8:$N$42,MATCH(C840,'6. Base de Custos'!$L$8:$L$42,0)),"Não classificado"))</f>
        <v/>
      </c>
      <c r="N840" s="59">
        <f>IF(C840="","",IFERROR(INDEX('6. Base de Custos'!$O$8:$O$42,MATCH(C840,'6. Base de Custos'!$L$8:$L$42,0)),"Revisar"))</f>
        <v/>
      </c>
      <c r="O840" s="60">
        <f>IF(M840="","",IFERROR(VLOOKUP(M840,'6. Base de Custos'!$H$12:$J$18,3,FALSE),0))</f>
        <v/>
      </c>
      <c r="P840" s="59">
        <f>IF(C840="","",IFERROR(INDEX('6. Base de Custos'!$P$8:$P$42,MATCH(C840,'6. Base de Custos'!$L$8:$L$42,0)),"Revisar"))</f>
        <v/>
      </c>
      <c r="Q840" s="59">
        <f>IF(C840="","",IFERROR(INDEX('6. Base de Custos'!$Q$8:$Q$42,MATCH(C840,'6. Base de Custos'!$L$8:$L$42,0)),""))</f>
        <v/>
      </c>
      <c r="R840" s="65">
        <f>IF(C840="","",IFERROR(VLOOKUP(M840&amp;"|"&amp;N840,'17. Mapa DRE CP'!$E$5:$H$100,2,FALSE),"Revisar"))</f>
        <v/>
      </c>
      <c r="S840" s="65">
        <f>IF(C840="","",IFERROR(VLOOKUP(M840&amp;"|"&amp;N840,'17. Mapa DRE CP'!$E$5:$H$100,3,FALSE),"Revisar"))</f>
        <v/>
      </c>
      <c r="T840" s="65">
        <f>IF(C840="","",IF(R840="(-) Custos diretos dos serviços",IF(ISNUMBER(SEARCH("PCMSO",C840)),"PCMSO",IF(OR(ISNUMBER(SEARCH("SGS",C840)),ISNUMBER(SEARCH("CASTRO NAVES",C840))),"Projetos / Laudos / Avulsos","Projetos / Laudos / Avulsos")),"Rateio pela receita bruta"))</f>
        <v/>
      </c>
      <c r="U840" s="65">
        <f>IF(C840="","",IF(R840="(-) Custos diretos dos serviços","Direto por fornecedor/natureza do gasto","Rateio proporcional à receita bruta da linha de serviço"))</f>
        <v/>
      </c>
    </row>
    <row r="841">
      <c r="A841" s="28">
        <f>IF(C841="","", "CP-"&amp;TEXT(ROW()-5,"000"))</f>
        <v/>
      </c>
      <c r="B841" s="27">
        <f>IF(F841="","",DATE(YEAR(F841),MONTH(F841),1))</f>
        <v/>
      </c>
      <c r="C841" s="28" t="n"/>
      <c r="D841" s="28" t="n"/>
      <c r="E841" s="59">
        <f>IF(C841="","",IFERROR(INDEX('6. Base de Custos'!$M$8:$M$42,MATCH(C841,'6. Base de Custos'!$L$8:$L$42,0)),"Não classificado"))</f>
        <v/>
      </c>
      <c r="F841" s="111" t="n"/>
      <c r="G841" s="111" t="n"/>
      <c r="H841" s="111" t="n"/>
      <c r="I841" s="45" t="n"/>
      <c r="J841" s="28" t="n"/>
      <c r="K841" s="28" t="n"/>
      <c r="L841" s="28" t="n"/>
      <c r="M841" s="59">
        <f>IF(C841="","",IFERROR(INDEX('6. Base de Custos'!$N$8:$N$42,MATCH(C841,'6. Base de Custos'!$L$8:$L$42,0)),"Não classificado"))</f>
        <v/>
      </c>
      <c r="N841" s="59">
        <f>IF(C841="","",IFERROR(INDEX('6. Base de Custos'!$O$8:$O$42,MATCH(C841,'6. Base de Custos'!$L$8:$L$42,0)),"Revisar"))</f>
        <v/>
      </c>
      <c r="O841" s="60">
        <f>IF(M841="","",IFERROR(VLOOKUP(M841,'6. Base de Custos'!$H$12:$J$18,3,FALSE),0))</f>
        <v/>
      </c>
      <c r="P841" s="59">
        <f>IF(C841="","",IFERROR(INDEX('6. Base de Custos'!$P$8:$P$42,MATCH(C841,'6. Base de Custos'!$L$8:$L$42,0)),"Revisar"))</f>
        <v/>
      </c>
      <c r="Q841" s="59">
        <f>IF(C841="","",IFERROR(INDEX('6. Base de Custos'!$Q$8:$Q$42,MATCH(C841,'6. Base de Custos'!$L$8:$L$42,0)),""))</f>
        <v/>
      </c>
      <c r="R841" s="65">
        <f>IF(C841="","",IFERROR(VLOOKUP(M841&amp;"|"&amp;N841,'17. Mapa DRE CP'!$E$5:$H$100,2,FALSE),"Revisar"))</f>
        <v/>
      </c>
      <c r="S841" s="65">
        <f>IF(C841="","",IFERROR(VLOOKUP(M841&amp;"|"&amp;N841,'17. Mapa DRE CP'!$E$5:$H$100,3,FALSE),"Revisar"))</f>
        <v/>
      </c>
      <c r="T841" s="65">
        <f>IF(C841="","",IF(R841="(-) Custos diretos dos serviços",IF(ISNUMBER(SEARCH("PCMSO",C841)),"PCMSO",IF(OR(ISNUMBER(SEARCH("SGS",C841)),ISNUMBER(SEARCH("CASTRO NAVES",C841))),"Projetos / Laudos / Avulsos","Projetos / Laudos / Avulsos")),"Rateio pela receita bruta"))</f>
        <v/>
      </c>
      <c r="U841" s="65">
        <f>IF(C841="","",IF(R841="(-) Custos diretos dos serviços","Direto por fornecedor/natureza do gasto","Rateio proporcional à receita bruta da linha de serviço"))</f>
        <v/>
      </c>
    </row>
    <row r="842">
      <c r="A842" s="28">
        <f>IF(C842="","", "CP-"&amp;TEXT(ROW()-5,"000"))</f>
        <v/>
      </c>
      <c r="B842" s="27">
        <f>IF(F842="","",DATE(YEAR(F842),MONTH(F842),1))</f>
        <v/>
      </c>
      <c r="C842" s="28" t="n"/>
      <c r="D842" s="28" t="n"/>
      <c r="E842" s="59">
        <f>IF(C842="","",IFERROR(INDEX('6. Base de Custos'!$M$8:$M$42,MATCH(C842,'6. Base de Custos'!$L$8:$L$42,0)),"Não classificado"))</f>
        <v/>
      </c>
      <c r="F842" s="111" t="n"/>
      <c r="G842" s="111" t="n"/>
      <c r="H842" s="111" t="n"/>
      <c r="I842" s="45" t="n"/>
      <c r="J842" s="28" t="n"/>
      <c r="K842" s="28" t="n"/>
      <c r="L842" s="28" t="n"/>
      <c r="M842" s="59">
        <f>IF(C842="","",IFERROR(INDEX('6. Base de Custos'!$N$8:$N$42,MATCH(C842,'6. Base de Custos'!$L$8:$L$42,0)),"Não classificado"))</f>
        <v/>
      </c>
      <c r="N842" s="59">
        <f>IF(C842="","",IFERROR(INDEX('6. Base de Custos'!$O$8:$O$42,MATCH(C842,'6. Base de Custos'!$L$8:$L$42,0)),"Revisar"))</f>
        <v/>
      </c>
      <c r="O842" s="60">
        <f>IF(M842="","",IFERROR(VLOOKUP(M842,'6. Base de Custos'!$H$12:$J$18,3,FALSE),0))</f>
        <v/>
      </c>
      <c r="P842" s="59">
        <f>IF(C842="","",IFERROR(INDEX('6. Base de Custos'!$P$8:$P$42,MATCH(C842,'6. Base de Custos'!$L$8:$L$42,0)),"Revisar"))</f>
        <v/>
      </c>
      <c r="Q842" s="59">
        <f>IF(C842="","",IFERROR(INDEX('6. Base de Custos'!$Q$8:$Q$42,MATCH(C842,'6. Base de Custos'!$L$8:$L$42,0)),""))</f>
        <v/>
      </c>
      <c r="R842" s="65">
        <f>IF(C842="","",IFERROR(VLOOKUP(M842&amp;"|"&amp;N842,'17. Mapa DRE CP'!$E$5:$H$100,2,FALSE),"Revisar"))</f>
        <v/>
      </c>
      <c r="S842" s="65">
        <f>IF(C842="","",IFERROR(VLOOKUP(M842&amp;"|"&amp;N842,'17. Mapa DRE CP'!$E$5:$H$100,3,FALSE),"Revisar"))</f>
        <v/>
      </c>
      <c r="T842" s="65">
        <f>IF(C842="","",IF(R842="(-) Custos diretos dos serviços",IF(ISNUMBER(SEARCH("PCMSO",C842)),"PCMSO",IF(OR(ISNUMBER(SEARCH("SGS",C842)),ISNUMBER(SEARCH("CASTRO NAVES",C842))),"Projetos / Laudos / Avulsos","Projetos / Laudos / Avulsos")),"Rateio pela receita bruta"))</f>
        <v/>
      </c>
      <c r="U842" s="65">
        <f>IF(C842="","",IF(R842="(-) Custos diretos dos serviços","Direto por fornecedor/natureza do gasto","Rateio proporcional à receita bruta da linha de serviço"))</f>
        <v/>
      </c>
    </row>
    <row r="843">
      <c r="A843" s="28">
        <f>IF(C843="","", "CP-"&amp;TEXT(ROW()-5,"000"))</f>
        <v/>
      </c>
      <c r="B843" s="27">
        <f>IF(F843="","",DATE(YEAR(F843),MONTH(F843),1))</f>
        <v/>
      </c>
      <c r="C843" s="28" t="n"/>
      <c r="D843" s="28" t="n"/>
      <c r="E843" s="59">
        <f>IF(C843="","",IFERROR(INDEX('6. Base de Custos'!$M$8:$M$42,MATCH(C843,'6. Base de Custos'!$L$8:$L$42,0)),"Não classificado"))</f>
        <v/>
      </c>
      <c r="F843" s="111" t="n"/>
      <c r="G843" s="111" t="n"/>
      <c r="H843" s="111" t="n"/>
      <c r="I843" s="45" t="n"/>
      <c r="J843" s="28" t="n"/>
      <c r="K843" s="28" t="n"/>
      <c r="L843" s="28" t="n"/>
      <c r="M843" s="59">
        <f>IF(C843="","",IFERROR(INDEX('6. Base de Custos'!$N$8:$N$42,MATCH(C843,'6. Base de Custos'!$L$8:$L$42,0)),"Não classificado"))</f>
        <v/>
      </c>
      <c r="N843" s="59">
        <f>IF(C843="","",IFERROR(INDEX('6. Base de Custos'!$O$8:$O$42,MATCH(C843,'6. Base de Custos'!$L$8:$L$42,0)),"Revisar"))</f>
        <v/>
      </c>
      <c r="O843" s="60">
        <f>IF(M843="","",IFERROR(VLOOKUP(M843,'6. Base de Custos'!$H$12:$J$18,3,FALSE),0))</f>
        <v/>
      </c>
      <c r="P843" s="59">
        <f>IF(C843="","",IFERROR(INDEX('6. Base de Custos'!$P$8:$P$42,MATCH(C843,'6. Base de Custos'!$L$8:$L$42,0)),"Revisar"))</f>
        <v/>
      </c>
      <c r="Q843" s="59">
        <f>IF(C843="","",IFERROR(INDEX('6. Base de Custos'!$Q$8:$Q$42,MATCH(C843,'6. Base de Custos'!$L$8:$L$42,0)),""))</f>
        <v/>
      </c>
      <c r="R843" s="65">
        <f>IF(C843="","",IFERROR(VLOOKUP(M843&amp;"|"&amp;N843,'17. Mapa DRE CP'!$E$5:$H$100,2,FALSE),"Revisar"))</f>
        <v/>
      </c>
      <c r="S843" s="65">
        <f>IF(C843="","",IFERROR(VLOOKUP(M843&amp;"|"&amp;N843,'17. Mapa DRE CP'!$E$5:$H$100,3,FALSE),"Revisar"))</f>
        <v/>
      </c>
      <c r="T843" s="65">
        <f>IF(C843="","",IF(R843="(-) Custos diretos dos serviços",IF(ISNUMBER(SEARCH("PCMSO",C843)),"PCMSO",IF(OR(ISNUMBER(SEARCH("SGS",C843)),ISNUMBER(SEARCH("CASTRO NAVES",C843))),"Projetos / Laudos / Avulsos","Projetos / Laudos / Avulsos")),"Rateio pela receita bruta"))</f>
        <v/>
      </c>
      <c r="U843" s="65">
        <f>IF(C843="","",IF(R843="(-) Custos diretos dos serviços","Direto por fornecedor/natureza do gasto","Rateio proporcional à receita bruta da linha de serviço"))</f>
        <v/>
      </c>
    </row>
    <row r="844">
      <c r="A844" s="28">
        <f>IF(C844="","", "CP-"&amp;TEXT(ROW()-5,"000"))</f>
        <v/>
      </c>
      <c r="B844" s="27">
        <f>IF(F844="","",DATE(YEAR(F844),MONTH(F844),1))</f>
        <v/>
      </c>
      <c r="C844" s="28" t="n"/>
      <c r="D844" s="28" t="n"/>
      <c r="E844" s="59">
        <f>IF(C844="","",IFERROR(INDEX('6. Base de Custos'!$M$8:$M$42,MATCH(C844,'6. Base de Custos'!$L$8:$L$42,0)),"Não classificado"))</f>
        <v/>
      </c>
      <c r="F844" s="111" t="n"/>
      <c r="G844" s="111" t="n"/>
      <c r="H844" s="111" t="n"/>
      <c r="I844" s="45" t="n"/>
      <c r="J844" s="28" t="n"/>
      <c r="K844" s="28" t="n"/>
      <c r="L844" s="28" t="n"/>
      <c r="M844" s="59">
        <f>IF(C844="","",IFERROR(INDEX('6. Base de Custos'!$N$8:$N$42,MATCH(C844,'6. Base de Custos'!$L$8:$L$42,0)),"Não classificado"))</f>
        <v/>
      </c>
      <c r="N844" s="59">
        <f>IF(C844="","",IFERROR(INDEX('6. Base de Custos'!$O$8:$O$42,MATCH(C844,'6. Base de Custos'!$L$8:$L$42,0)),"Revisar"))</f>
        <v/>
      </c>
      <c r="O844" s="60">
        <f>IF(M844="","",IFERROR(VLOOKUP(M844,'6. Base de Custos'!$H$12:$J$18,3,FALSE),0))</f>
        <v/>
      </c>
      <c r="P844" s="59">
        <f>IF(C844="","",IFERROR(INDEX('6. Base de Custos'!$P$8:$P$42,MATCH(C844,'6. Base de Custos'!$L$8:$L$42,0)),"Revisar"))</f>
        <v/>
      </c>
      <c r="Q844" s="59">
        <f>IF(C844="","",IFERROR(INDEX('6. Base de Custos'!$Q$8:$Q$42,MATCH(C844,'6. Base de Custos'!$L$8:$L$42,0)),""))</f>
        <v/>
      </c>
      <c r="R844" s="65">
        <f>IF(C844="","",IFERROR(VLOOKUP(M844&amp;"|"&amp;N844,'17. Mapa DRE CP'!$E$5:$H$100,2,FALSE),"Revisar"))</f>
        <v/>
      </c>
      <c r="S844" s="65">
        <f>IF(C844="","",IFERROR(VLOOKUP(M844&amp;"|"&amp;N844,'17. Mapa DRE CP'!$E$5:$H$100,3,FALSE),"Revisar"))</f>
        <v/>
      </c>
      <c r="T844" s="65">
        <f>IF(C844="","",IF(R844="(-) Custos diretos dos serviços",IF(ISNUMBER(SEARCH("PCMSO",C844)),"PCMSO",IF(OR(ISNUMBER(SEARCH("SGS",C844)),ISNUMBER(SEARCH("CASTRO NAVES",C844))),"Projetos / Laudos / Avulsos","Projetos / Laudos / Avulsos")),"Rateio pela receita bruta"))</f>
        <v/>
      </c>
      <c r="U844" s="65">
        <f>IF(C844="","",IF(R844="(-) Custos diretos dos serviços","Direto por fornecedor/natureza do gasto","Rateio proporcional à receita bruta da linha de serviço"))</f>
        <v/>
      </c>
    </row>
    <row r="845">
      <c r="A845" s="28">
        <f>IF(C845="","", "CP-"&amp;TEXT(ROW()-5,"000"))</f>
        <v/>
      </c>
      <c r="B845" s="27">
        <f>IF(F845="","",DATE(YEAR(F845),MONTH(F845),1))</f>
        <v/>
      </c>
      <c r="C845" s="28" t="n"/>
      <c r="D845" s="28" t="n"/>
      <c r="E845" s="59">
        <f>IF(C845="","",IFERROR(INDEX('6. Base de Custos'!$M$8:$M$42,MATCH(C845,'6. Base de Custos'!$L$8:$L$42,0)),"Não classificado"))</f>
        <v/>
      </c>
      <c r="F845" s="111" t="n"/>
      <c r="G845" s="111" t="n"/>
      <c r="H845" s="111" t="n"/>
      <c r="I845" s="45" t="n"/>
      <c r="J845" s="28" t="n"/>
      <c r="K845" s="28" t="n"/>
      <c r="L845" s="28" t="n"/>
      <c r="M845" s="59">
        <f>IF(C845="","",IFERROR(INDEX('6. Base de Custos'!$N$8:$N$42,MATCH(C845,'6. Base de Custos'!$L$8:$L$42,0)),"Não classificado"))</f>
        <v/>
      </c>
      <c r="N845" s="59">
        <f>IF(C845="","",IFERROR(INDEX('6. Base de Custos'!$O$8:$O$42,MATCH(C845,'6. Base de Custos'!$L$8:$L$42,0)),"Revisar"))</f>
        <v/>
      </c>
      <c r="O845" s="60">
        <f>IF(M845="","",IFERROR(VLOOKUP(M845,'6. Base de Custos'!$H$12:$J$18,3,FALSE),0))</f>
        <v/>
      </c>
      <c r="P845" s="59">
        <f>IF(C845="","",IFERROR(INDEX('6. Base de Custos'!$P$8:$P$42,MATCH(C845,'6. Base de Custos'!$L$8:$L$42,0)),"Revisar"))</f>
        <v/>
      </c>
      <c r="Q845" s="59">
        <f>IF(C845="","",IFERROR(INDEX('6. Base de Custos'!$Q$8:$Q$42,MATCH(C845,'6. Base de Custos'!$L$8:$L$42,0)),""))</f>
        <v/>
      </c>
      <c r="R845" s="65">
        <f>IF(C845="","",IFERROR(VLOOKUP(M845&amp;"|"&amp;N845,'17. Mapa DRE CP'!$E$5:$H$100,2,FALSE),"Revisar"))</f>
        <v/>
      </c>
      <c r="S845" s="65">
        <f>IF(C845="","",IFERROR(VLOOKUP(M845&amp;"|"&amp;N845,'17. Mapa DRE CP'!$E$5:$H$100,3,FALSE),"Revisar"))</f>
        <v/>
      </c>
      <c r="T845" s="65">
        <f>IF(C845="","",IF(R845="(-) Custos diretos dos serviços",IF(ISNUMBER(SEARCH("PCMSO",C845)),"PCMSO",IF(OR(ISNUMBER(SEARCH("SGS",C845)),ISNUMBER(SEARCH("CASTRO NAVES",C845))),"Projetos / Laudos / Avulsos","Projetos / Laudos / Avulsos")),"Rateio pela receita bruta"))</f>
        <v/>
      </c>
      <c r="U845" s="65">
        <f>IF(C845="","",IF(R845="(-) Custos diretos dos serviços","Direto por fornecedor/natureza do gasto","Rateio proporcional à receita bruta da linha de serviço"))</f>
        <v/>
      </c>
    </row>
    <row r="846">
      <c r="A846" s="28">
        <f>IF(C846="","", "CP-"&amp;TEXT(ROW()-5,"000"))</f>
        <v/>
      </c>
      <c r="B846" s="27">
        <f>IF(F846="","",DATE(YEAR(F846),MONTH(F846),1))</f>
        <v/>
      </c>
      <c r="C846" s="28" t="n"/>
      <c r="D846" s="28" t="n"/>
      <c r="E846" s="59">
        <f>IF(C846="","",IFERROR(INDEX('6. Base de Custos'!$M$8:$M$42,MATCH(C846,'6. Base de Custos'!$L$8:$L$42,0)),"Não classificado"))</f>
        <v/>
      </c>
      <c r="F846" s="111" t="n"/>
      <c r="G846" s="111" t="n"/>
      <c r="H846" s="111" t="n"/>
      <c r="I846" s="45" t="n"/>
      <c r="J846" s="28" t="n"/>
      <c r="K846" s="28" t="n"/>
      <c r="L846" s="28" t="n"/>
      <c r="M846" s="59">
        <f>IF(C846="","",IFERROR(INDEX('6. Base de Custos'!$N$8:$N$42,MATCH(C846,'6. Base de Custos'!$L$8:$L$42,0)),"Não classificado"))</f>
        <v/>
      </c>
      <c r="N846" s="59">
        <f>IF(C846="","",IFERROR(INDEX('6. Base de Custos'!$O$8:$O$42,MATCH(C846,'6. Base de Custos'!$L$8:$L$42,0)),"Revisar"))</f>
        <v/>
      </c>
      <c r="O846" s="60">
        <f>IF(M846="","",IFERROR(VLOOKUP(M846,'6. Base de Custos'!$H$12:$J$18,3,FALSE),0))</f>
        <v/>
      </c>
      <c r="P846" s="59">
        <f>IF(C846="","",IFERROR(INDEX('6. Base de Custos'!$P$8:$P$42,MATCH(C846,'6. Base de Custos'!$L$8:$L$42,0)),"Revisar"))</f>
        <v/>
      </c>
      <c r="Q846" s="59">
        <f>IF(C846="","",IFERROR(INDEX('6. Base de Custos'!$Q$8:$Q$42,MATCH(C846,'6. Base de Custos'!$L$8:$L$42,0)),""))</f>
        <v/>
      </c>
      <c r="R846" s="65">
        <f>IF(C846="","",IFERROR(VLOOKUP(M846&amp;"|"&amp;N846,'17. Mapa DRE CP'!$E$5:$H$100,2,FALSE),"Revisar"))</f>
        <v/>
      </c>
      <c r="S846" s="65">
        <f>IF(C846="","",IFERROR(VLOOKUP(M846&amp;"|"&amp;N846,'17. Mapa DRE CP'!$E$5:$H$100,3,FALSE),"Revisar"))</f>
        <v/>
      </c>
      <c r="T846" s="65">
        <f>IF(C846="","",IF(R846="(-) Custos diretos dos serviços",IF(ISNUMBER(SEARCH("PCMSO",C846)),"PCMSO",IF(OR(ISNUMBER(SEARCH("SGS",C846)),ISNUMBER(SEARCH("CASTRO NAVES",C846))),"Projetos / Laudos / Avulsos","Projetos / Laudos / Avulsos")),"Rateio pela receita bruta"))</f>
        <v/>
      </c>
      <c r="U846" s="65">
        <f>IF(C846="","",IF(R846="(-) Custos diretos dos serviços","Direto por fornecedor/natureza do gasto","Rateio proporcional à receita bruta da linha de serviço"))</f>
        <v/>
      </c>
    </row>
    <row r="847">
      <c r="A847" s="28">
        <f>IF(C847="","", "CP-"&amp;TEXT(ROW()-5,"000"))</f>
        <v/>
      </c>
      <c r="B847" s="27">
        <f>IF(F847="","",DATE(YEAR(F847),MONTH(F847),1))</f>
        <v/>
      </c>
      <c r="C847" s="28" t="n"/>
      <c r="D847" s="28" t="n"/>
      <c r="E847" s="59">
        <f>IF(C847="","",IFERROR(INDEX('6. Base de Custos'!$M$8:$M$42,MATCH(C847,'6. Base de Custos'!$L$8:$L$42,0)),"Não classificado"))</f>
        <v/>
      </c>
      <c r="F847" s="111" t="n"/>
      <c r="G847" s="111" t="n"/>
      <c r="H847" s="111" t="n"/>
      <c r="I847" s="45" t="n"/>
      <c r="J847" s="28" t="n"/>
      <c r="K847" s="28" t="n"/>
      <c r="L847" s="28" t="n"/>
      <c r="M847" s="59">
        <f>IF(C847="","",IFERROR(INDEX('6. Base de Custos'!$N$8:$N$42,MATCH(C847,'6. Base de Custos'!$L$8:$L$42,0)),"Não classificado"))</f>
        <v/>
      </c>
      <c r="N847" s="59">
        <f>IF(C847="","",IFERROR(INDEX('6. Base de Custos'!$O$8:$O$42,MATCH(C847,'6. Base de Custos'!$L$8:$L$42,0)),"Revisar"))</f>
        <v/>
      </c>
      <c r="O847" s="60">
        <f>IF(M847="","",IFERROR(VLOOKUP(M847,'6. Base de Custos'!$H$12:$J$18,3,FALSE),0))</f>
        <v/>
      </c>
      <c r="P847" s="59">
        <f>IF(C847="","",IFERROR(INDEX('6. Base de Custos'!$P$8:$P$42,MATCH(C847,'6. Base de Custos'!$L$8:$L$42,0)),"Revisar"))</f>
        <v/>
      </c>
      <c r="Q847" s="59">
        <f>IF(C847="","",IFERROR(INDEX('6. Base de Custos'!$Q$8:$Q$42,MATCH(C847,'6. Base de Custos'!$L$8:$L$42,0)),""))</f>
        <v/>
      </c>
      <c r="R847" s="65">
        <f>IF(C847="","",IFERROR(VLOOKUP(M847&amp;"|"&amp;N847,'17. Mapa DRE CP'!$E$5:$H$100,2,FALSE),"Revisar"))</f>
        <v/>
      </c>
      <c r="S847" s="65">
        <f>IF(C847="","",IFERROR(VLOOKUP(M847&amp;"|"&amp;N847,'17. Mapa DRE CP'!$E$5:$H$100,3,FALSE),"Revisar"))</f>
        <v/>
      </c>
      <c r="T847" s="65">
        <f>IF(C847="","",IF(R847="(-) Custos diretos dos serviços",IF(ISNUMBER(SEARCH("PCMSO",C847)),"PCMSO",IF(OR(ISNUMBER(SEARCH("SGS",C847)),ISNUMBER(SEARCH("CASTRO NAVES",C847))),"Projetos / Laudos / Avulsos","Projetos / Laudos / Avulsos")),"Rateio pela receita bruta"))</f>
        <v/>
      </c>
      <c r="U847" s="65">
        <f>IF(C847="","",IF(R847="(-) Custos diretos dos serviços","Direto por fornecedor/natureza do gasto","Rateio proporcional à receita bruta da linha de serviço"))</f>
        <v/>
      </c>
    </row>
    <row r="848">
      <c r="A848" s="28">
        <f>IF(C848="","", "CP-"&amp;TEXT(ROW()-5,"000"))</f>
        <v/>
      </c>
      <c r="B848" s="27">
        <f>IF(F848="","",DATE(YEAR(F848),MONTH(F848),1))</f>
        <v/>
      </c>
      <c r="C848" s="28" t="n"/>
      <c r="D848" s="28" t="n"/>
      <c r="E848" s="59">
        <f>IF(C848="","",IFERROR(INDEX('6. Base de Custos'!$M$8:$M$42,MATCH(C848,'6. Base de Custos'!$L$8:$L$42,0)),"Não classificado"))</f>
        <v/>
      </c>
      <c r="F848" s="111" t="n"/>
      <c r="G848" s="111" t="n"/>
      <c r="H848" s="111" t="n"/>
      <c r="I848" s="45" t="n"/>
      <c r="J848" s="28" t="n"/>
      <c r="K848" s="28" t="n"/>
      <c r="L848" s="28" t="n"/>
      <c r="M848" s="59">
        <f>IF(C848="","",IFERROR(INDEX('6. Base de Custos'!$N$8:$N$42,MATCH(C848,'6. Base de Custos'!$L$8:$L$42,0)),"Não classificado"))</f>
        <v/>
      </c>
      <c r="N848" s="59">
        <f>IF(C848="","",IFERROR(INDEX('6. Base de Custos'!$O$8:$O$42,MATCH(C848,'6. Base de Custos'!$L$8:$L$42,0)),"Revisar"))</f>
        <v/>
      </c>
      <c r="O848" s="60">
        <f>IF(M848="","",IFERROR(VLOOKUP(M848,'6. Base de Custos'!$H$12:$J$18,3,FALSE),0))</f>
        <v/>
      </c>
      <c r="P848" s="59">
        <f>IF(C848="","",IFERROR(INDEX('6. Base de Custos'!$P$8:$P$42,MATCH(C848,'6. Base de Custos'!$L$8:$L$42,0)),"Revisar"))</f>
        <v/>
      </c>
      <c r="Q848" s="59">
        <f>IF(C848="","",IFERROR(INDEX('6. Base de Custos'!$Q$8:$Q$42,MATCH(C848,'6. Base de Custos'!$L$8:$L$42,0)),""))</f>
        <v/>
      </c>
      <c r="R848" s="65">
        <f>IF(C848="","",IFERROR(VLOOKUP(M848&amp;"|"&amp;N848,'17. Mapa DRE CP'!$E$5:$H$100,2,FALSE),"Revisar"))</f>
        <v/>
      </c>
      <c r="S848" s="65">
        <f>IF(C848="","",IFERROR(VLOOKUP(M848&amp;"|"&amp;N848,'17. Mapa DRE CP'!$E$5:$H$100,3,FALSE),"Revisar"))</f>
        <v/>
      </c>
      <c r="T848" s="65">
        <f>IF(C848="","",IF(R848="(-) Custos diretos dos serviços",IF(ISNUMBER(SEARCH("PCMSO",C848)),"PCMSO",IF(OR(ISNUMBER(SEARCH("SGS",C848)),ISNUMBER(SEARCH("CASTRO NAVES",C848))),"Projetos / Laudos / Avulsos","Projetos / Laudos / Avulsos")),"Rateio pela receita bruta"))</f>
        <v/>
      </c>
      <c r="U848" s="65">
        <f>IF(C848="","",IF(R848="(-) Custos diretos dos serviços","Direto por fornecedor/natureza do gasto","Rateio proporcional à receita bruta da linha de serviço"))</f>
        <v/>
      </c>
    </row>
    <row r="849">
      <c r="A849" s="28">
        <f>IF(C849="","", "CP-"&amp;TEXT(ROW()-5,"000"))</f>
        <v/>
      </c>
      <c r="B849" s="27">
        <f>IF(F849="","",DATE(YEAR(F849),MONTH(F849),1))</f>
        <v/>
      </c>
      <c r="C849" s="28" t="n"/>
      <c r="D849" s="28" t="n"/>
      <c r="E849" s="59">
        <f>IF(C849="","",IFERROR(INDEX('6. Base de Custos'!$M$8:$M$42,MATCH(C849,'6. Base de Custos'!$L$8:$L$42,0)),"Não classificado"))</f>
        <v/>
      </c>
      <c r="F849" s="111" t="n"/>
      <c r="G849" s="111" t="n"/>
      <c r="H849" s="111" t="n"/>
      <c r="I849" s="45" t="n"/>
      <c r="J849" s="28" t="n"/>
      <c r="K849" s="28" t="n"/>
      <c r="L849" s="28" t="n"/>
      <c r="M849" s="59">
        <f>IF(C849="","",IFERROR(INDEX('6. Base de Custos'!$N$8:$N$42,MATCH(C849,'6. Base de Custos'!$L$8:$L$42,0)),"Não classificado"))</f>
        <v/>
      </c>
      <c r="N849" s="59">
        <f>IF(C849="","",IFERROR(INDEX('6. Base de Custos'!$O$8:$O$42,MATCH(C849,'6. Base de Custos'!$L$8:$L$42,0)),"Revisar"))</f>
        <v/>
      </c>
      <c r="O849" s="60">
        <f>IF(M849="","",IFERROR(VLOOKUP(M849,'6. Base de Custos'!$H$12:$J$18,3,FALSE),0))</f>
        <v/>
      </c>
      <c r="P849" s="59">
        <f>IF(C849="","",IFERROR(INDEX('6. Base de Custos'!$P$8:$P$42,MATCH(C849,'6. Base de Custos'!$L$8:$L$42,0)),"Revisar"))</f>
        <v/>
      </c>
      <c r="Q849" s="59">
        <f>IF(C849="","",IFERROR(INDEX('6. Base de Custos'!$Q$8:$Q$42,MATCH(C849,'6. Base de Custos'!$L$8:$L$42,0)),""))</f>
        <v/>
      </c>
      <c r="R849" s="65">
        <f>IF(C849="","",IFERROR(VLOOKUP(M849&amp;"|"&amp;N849,'17. Mapa DRE CP'!$E$5:$H$100,2,FALSE),"Revisar"))</f>
        <v/>
      </c>
      <c r="S849" s="65">
        <f>IF(C849="","",IFERROR(VLOOKUP(M849&amp;"|"&amp;N849,'17. Mapa DRE CP'!$E$5:$H$100,3,FALSE),"Revisar"))</f>
        <v/>
      </c>
      <c r="T849" s="65">
        <f>IF(C849="","",IF(R849="(-) Custos diretos dos serviços",IF(ISNUMBER(SEARCH("PCMSO",C849)),"PCMSO",IF(OR(ISNUMBER(SEARCH("SGS",C849)),ISNUMBER(SEARCH("CASTRO NAVES",C849))),"Projetos / Laudos / Avulsos","Projetos / Laudos / Avulsos")),"Rateio pela receita bruta"))</f>
        <v/>
      </c>
      <c r="U849" s="65">
        <f>IF(C849="","",IF(R849="(-) Custos diretos dos serviços","Direto por fornecedor/natureza do gasto","Rateio proporcional à receita bruta da linha de serviço"))</f>
        <v/>
      </c>
    </row>
    <row r="850">
      <c r="A850" s="28">
        <f>IF(C850="","", "CP-"&amp;TEXT(ROW()-5,"000"))</f>
        <v/>
      </c>
      <c r="B850" s="27">
        <f>IF(F850="","",DATE(YEAR(F850),MONTH(F850),1))</f>
        <v/>
      </c>
      <c r="C850" s="28" t="n"/>
      <c r="D850" s="28" t="n"/>
      <c r="E850" s="59">
        <f>IF(C850="","",IFERROR(INDEX('6. Base de Custos'!$M$8:$M$42,MATCH(C850,'6. Base de Custos'!$L$8:$L$42,0)),"Não classificado"))</f>
        <v/>
      </c>
      <c r="F850" s="111" t="n"/>
      <c r="G850" s="111" t="n"/>
      <c r="H850" s="111" t="n"/>
      <c r="I850" s="45" t="n"/>
      <c r="J850" s="28" t="n"/>
      <c r="K850" s="28" t="n"/>
      <c r="L850" s="28" t="n"/>
      <c r="M850" s="59">
        <f>IF(C850="","",IFERROR(INDEX('6. Base de Custos'!$N$8:$N$42,MATCH(C850,'6. Base de Custos'!$L$8:$L$42,0)),"Não classificado"))</f>
        <v/>
      </c>
      <c r="N850" s="59">
        <f>IF(C850="","",IFERROR(INDEX('6. Base de Custos'!$O$8:$O$42,MATCH(C850,'6. Base de Custos'!$L$8:$L$42,0)),"Revisar"))</f>
        <v/>
      </c>
      <c r="O850" s="60">
        <f>IF(M850="","",IFERROR(VLOOKUP(M850,'6. Base de Custos'!$H$12:$J$18,3,FALSE),0))</f>
        <v/>
      </c>
      <c r="P850" s="59">
        <f>IF(C850="","",IFERROR(INDEX('6. Base de Custos'!$P$8:$P$42,MATCH(C850,'6. Base de Custos'!$L$8:$L$42,0)),"Revisar"))</f>
        <v/>
      </c>
      <c r="Q850" s="59">
        <f>IF(C850="","",IFERROR(INDEX('6. Base de Custos'!$Q$8:$Q$42,MATCH(C850,'6. Base de Custos'!$L$8:$L$42,0)),""))</f>
        <v/>
      </c>
      <c r="R850" s="65">
        <f>IF(C850="","",IFERROR(VLOOKUP(M850&amp;"|"&amp;N850,'17. Mapa DRE CP'!$E$5:$H$100,2,FALSE),"Revisar"))</f>
        <v/>
      </c>
      <c r="S850" s="65">
        <f>IF(C850="","",IFERROR(VLOOKUP(M850&amp;"|"&amp;N850,'17. Mapa DRE CP'!$E$5:$H$100,3,FALSE),"Revisar"))</f>
        <v/>
      </c>
      <c r="T850" s="65">
        <f>IF(C850="","",IF(R850="(-) Custos diretos dos serviços",IF(ISNUMBER(SEARCH("PCMSO",C850)),"PCMSO",IF(OR(ISNUMBER(SEARCH("SGS",C850)),ISNUMBER(SEARCH("CASTRO NAVES",C850))),"Projetos / Laudos / Avulsos","Projetos / Laudos / Avulsos")),"Rateio pela receita bruta"))</f>
        <v/>
      </c>
      <c r="U850" s="65">
        <f>IF(C850="","",IF(R850="(-) Custos diretos dos serviços","Direto por fornecedor/natureza do gasto","Rateio proporcional à receita bruta da linha de serviço"))</f>
        <v/>
      </c>
    </row>
    <row r="851">
      <c r="A851" s="28">
        <f>IF(C851="","", "CP-"&amp;TEXT(ROW()-5,"000"))</f>
        <v/>
      </c>
      <c r="B851" s="27">
        <f>IF(F851="","",DATE(YEAR(F851),MONTH(F851),1))</f>
        <v/>
      </c>
      <c r="C851" s="28" t="n"/>
      <c r="D851" s="28" t="n"/>
      <c r="E851" s="59">
        <f>IF(C851="","",IFERROR(INDEX('6. Base de Custos'!$M$8:$M$42,MATCH(C851,'6. Base de Custos'!$L$8:$L$42,0)),"Não classificado"))</f>
        <v/>
      </c>
      <c r="F851" s="111" t="n"/>
      <c r="G851" s="111" t="n"/>
      <c r="H851" s="111" t="n"/>
      <c r="I851" s="45" t="n"/>
      <c r="J851" s="28" t="n"/>
      <c r="K851" s="28" t="n"/>
      <c r="L851" s="28" t="n"/>
      <c r="M851" s="59">
        <f>IF(C851="","",IFERROR(INDEX('6. Base de Custos'!$N$8:$N$42,MATCH(C851,'6. Base de Custos'!$L$8:$L$42,0)),"Não classificado"))</f>
        <v/>
      </c>
      <c r="N851" s="59">
        <f>IF(C851="","",IFERROR(INDEX('6. Base de Custos'!$O$8:$O$42,MATCH(C851,'6. Base de Custos'!$L$8:$L$42,0)),"Revisar"))</f>
        <v/>
      </c>
      <c r="O851" s="60">
        <f>IF(M851="","",IFERROR(VLOOKUP(M851,'6. Base de Custos'!$H$12:$J$18,3,FALSE),0))</f>
        <v/>
      </c>
      <c r="P851" s="59">
        <f>IF(C851="","",IFERROR(INDEX('6. Base de Custos'!$P$8:$P$42,MATCH(C851,'6. Base de Custos'!$L$8:$L$42,0)),"Revisar"))</f>
        <v/>
      </c>
      <c r="Q851" s="59">
        <f>IF(C851="","",IFERROR(INDEX('6. Base de Custos'!$Q$8:$Q$42,MATCH(C851,'6. Base de Custos'!$L$8:$L$42,0)),""))</f>
        <v/>
      </c>
      <c r="R851" s="65">
        <f>IF(C851="","",IFERROR(VLOOKUP(M851&amp;"|"&amp;N851,'17. Mapa DRE CP'!$E$5:$H$100,2,FALSE),"Revisar"))</f>
        <v/>
      </c>
      <c r="S851" s="65">
        <f>IF(C851="","",IFERROR(VLOOKUP(M851&amp;"|"&amp;N851,'17. Mapa DRE CP'!$E$5:$H$100,3,FALSE),"Revisar"))</f>
        <v/>
      </c>
      <c r="T851" s="65">
        <f>IF(C851="","",IF(R851="(-) Custos diretos dos serviços",IF(ISNUMBER(SEARCH("PCMSO",C851)),"PCMSO",IF(OR(ISNUMBER(SEARCH("SGS",C851)),ISNUMBER(SEARCH("CASTRO NAVES",C851))),"Projetos / Laudos / Avulsos","Projetos / Laudos / Avulsos")),"Rateio pela receita bruta"))</f>
        <v/>
      </c>
      <c r="U851" s="65">
        <f>IF(C851="","",IF(R851="(-) Custos diretos dos serviços","Direto por fornecedor/natureza do gasto","Rateio proporcional à receita bruta da linha de serviço"))</f>
        <v/>
      </c>
    </row>
    <row r="852">
      <c r="A852" s="28">
        <f>IF(C852="","", "CP-"&amp;TEXT(ROW()-5,"000"))</f>
        <v/>
      </c>
      <c r="B852" s="27">
        <f>IF(F852="","",DATE(YEAR(F852),MONTH(F852),1))</f>
        <v/>
      </c>
      <c r="C852" s="28" t="n"/>
      <c r="D852" s="28" t="n"/>
      <c r="E852" s="59">
        <f>IF(C852="","",IFERROR(INDEX('6. Base de Custos'!$M$8:$M$42,MATCH(C852,'6. Base de Custos'!$L$8:$L$42,0)),"Não classificado"))</f>
        <v/>
      </c>
      <c r="F852" s="111" t="n"/>
      <c r="G852" s="111" t="n"/>
      <c r="H852" s="111" t="n"/>
      <c r="I852" s="45" t="n"/>
      <c r="J852" s="28" t="n"/>
      <c r="K852" s="28" t="n"/>
      <c r="L852" s="28" t="n"/>
      <c r="M852" s="59">
        <f>IF(C852="","",IFERROR(INDEX('6. Base de Custos'!$N$8:$N$42,MATCH(C852,'6. Base de Custos'!$L$8:$L$42,0)),"Não classificado"))</f>
        <v/>
      </c>
      <c r="N852" s="59">
        <f>IF(C852="","",IFERROR(INDEX('6. Base de Custos'!$O$8:$O$42,MATCH(C852,'6. Base de Custos'!$L$8:$L$42,0)),"Revisar"))</f>
        <v/>
      </c>
      <c r="O852" s="60">
        <f>IF(M852="","",IFERROR(VLOOKUP(M852,'6. Base de Custos'!$H$12:$J$18,3,FALSE),0))</f>
        <v/>
      </c>
      <c r="P852" s="59">
        <f>IF(C852="","",IFERROR(INDEX('6. Base de Custos'!$P$8:$P$42,MATCH(C852,'6. Base de Custos'!$L$8:$L$42,0)),"Revisar"))</f>
        <v/>
      </c>
      <c r="Q852" s="59">
        <f>IF(C852="","",IFERROR(INDEX('6. Base de Custos'!$Q$8:$Q$42,MATCH(C852,'6. Base de Custos'!$L$8:$L$42,0)),""))</f>
        <v/>
      </c>
      <c r="R852" s="65">
        <f>IF(C852="","",IFERROR(VLOOKUP(M852&amp;"|"&amp;N852,'17. Mapa DRE CP'!$E$5:$H$100,2,FALSE),"Revisar"))</f>
        <v/>
      </c>
      <c r="S852" s="65">
        <f>IF(C852="","",IFERROR(VLOOKUP(M852&amp;"|"&amp;N852,'17. Mapa DRE CP'!$E$5:$H$100,3,FALSE),"Revisar"))</f>
        <v/>
      </c>
      <c r="T852" s="65">
        <f>IF(C852="","",IF(R852="(-) Custos diretos dos serviços",IF(ISNUMBER(SEARCH("PCMSO",C852)),"PCMSO",IF(OR(ISNUMBER(SEARCH("SGS",C852)),ISNUMBER(SEARCH("CASTRO NAVES",C852))),"Projetos / Laudos / Avulsos","Projetos / Laudos / Avulsos")),"Rateio pela receita bruta"))</f>
        <v/>
      </c>
      <c r="U852" s="65">
        <f>IF(C852="","",IF(R852="(-) Custos diretos dos serviços","Direto por fornecedor/natureza do gasto","Rateio proporcional à receita bruta da linha de serviço"))</f>
        <v/>
      </c>
    </row>
    <row r="853">
      <c r="A853" s="28">
        <f>IF(C853="","", "CP-"&amp;TEXT(ROW()-5,"000"))</f>
        <v/>
      </c>
      <c r="B853" s="27">
        <f>IF(F853="","",DATE(YEAR(F853),MONTH(F853),1))</f>
        <v/>
      </c>
      <c r="C853" s="28" t="n"/>
      <c r="D853" s="28" t="n"/>
      <c r="E853" s="59">
        <f>IF(C853="","",IFERROR(INDEX('6. Base de Custos'!$M$8:$M$42,MATCH(C853,'6. Base de Custos'!$L$8:$L$42,0)),"Não classificado"))</f>
        <v/>
      </c>
      <c r="F853" s="111" t="n"/>
      <c r="G853" s="111" t="n"/>
      <c r="H853" s="111" t="n"/>
      <c r="I853" s="45" t="n"/>
      <c r="J853" s="28" t="n"/>
      <c r="K853" s="28" t="n"/>
      <c r="L853" s="28" t="n"/>
      <c r="M853" s="59">
        <f>IF(C853="","",IFERROR(INDEX('6. Base de Custos'!$N$8:$N$42,MATCH(C853,'6. Base de Custos'!$L$8:$L$42,0)),"Não classificado"))</f>
        <v/>
      </c>
      <c r="N853" s="59">
        <f>IF(C853="","",IFERROR(INDEX('6. Base de Custos'!$O$8:$O$42,MATCH(C853,'6. Base de Custos'!$L$8:$L$42,0)),"Revisar"))</f>
        <v/>
      </c>
      <c r="O853" s="60">
        <f>IF(M853="","",IFERROR(VLOOKUP(M853,'6. Base de Custos'!$H$12:$J$18,3,FALSE),0))</f>
        <v/>
      </c>
      <c r="P853" s="59">
        <f>IF(C853="","",IFERROR(INDEX('6. Base de Custos'!$P$8:$P$42,MATCH(C853,'6. Base de Custos'!$L$8:$L$42,0)),"Revisar"))</f>
        <v/>
      </c>
      <c r="Q853" s="59">
        <f>IF(C853="","",IFERROR(INDEX('6. Base de Custos'!$Q$8:$Q$42,MATCH(C853,'6. Base de Custos'!$L$8:$L$42,0)),""))</f>
        <v/>
      </c>
      <c r="R853" s="65">
        <f>IF(C853="","",IFERROR(VLOOKUP(M853&amp;"|"&amp;N853,'17. Mapa DRE CP'!$E$5:$H$100,2,FALSE),"Revisar"))</f>
        <v/>
      </c>
      <c r="S853" s="65">
        <f>IF(C853="","",IFERROR(VLOOKUP(M853&amp;"|"&amp;N853,'17. Mapa DRE CP'!$E$5:$H$100,3,FALSE),"Revisar"))</f>
        <v/>
      </c>
      <c r="T853" s="65">
        <f>IF(C853="","",IF(R853="(-) Custos diretos dos serviços",IF(ISNUMBER(SEARCH("PCMSO",C853)),"PCMSO",IF(OR(ISNUMBER(SEARCH("SGS",C853)),ISNUMBER(SEARCH("CASTRO NAVES",C853))),"Projetos / Laudos / Avulsos","Projetos / Laudos / Avulsos")),"Rateio pela receita bruta"))</f>
        <v/>
      </c>
      <c r="U853" s="65">
        <f>IF(C853="","",IF(R853="(-) Custos diretos dos serviços","Direto por fornecedor/natureza do gasto","Rateio proporcional à receita bruta da linha de serviço"))</f>
        <v/>
      </c>
    </row>
    <row r="854">
      <c r="A854" s="28">
        <f>IF(C854="","", "CP-"&amp;TEXT(ROW()-5,"000"))</f>
        <v/>
      </c>
      <c r="B854" s="27">
        <f>IF(F854="","",DATE(YEAR(F854),MONTH(F854),1))</f>
        <v/>
      </c>
      <c r="C854" s="28" t="n"/>
      <c r="D854" s="28" t="n"/>
      <c r="E854" s="59">
        <f>IF(C854="","",IFERROR(INDEX('6. Base de Custos'!$M$8:$M$42,MATCH(C854,'6. Base de Custos'!$L$8:$L$42,0)),"Não classificado"))</f>
        <v/>
      </c>
      <c r="F854" s="111" t="n"/>
      <c r="G854" s="111" t="n"/>
      <c r="H854" s="111" t="n"/>
      <c r="I854" s="45" t="n"/>
      <c r="J854" s="28" t="n"/>
      <c r="K854" s="28" t="n"/>
      <c r="L854" s="28" t="n"/>
      <c r="M854" s="59">
        <f>IF(C854="","",IFERROR(INDEX('6. Base de Custos'!$N$8:$N$42,MATCH(C854,'6. Base de Custos'!$L$8:$L$42,0)),"Não classificado"))</f>
        <v/>
      </c>
      <c r="N854" s="59">
        <f>IF(C854="","",IFERROR(INDEX('6. Base de Custos'!$O$8:$O$42,MATCH(C854,'6. Base de Custos'!$L$8:$L$42,0)),"Revisar"))</f>
        <v/>
      </c>
      <c r="O854" s="60">
        <f>IF(M854="","",IFERROR(VLOOKUP(M854,'6. Base de Custos'!$H$12:$J$18,3,FALSE),0))</f>
        <v/>
      </c>
      <c r="P854" s="59">
        <f>IF(C854="","",IFERROR(INDEX('6. Base de Custos'!$P$8:$P$42,MATCH(C854,'6. Base de Custos'!$L$8:$L$42,0)),"Revisar"))</f>
        <v/>
      </c>
      <c r="Q854" s="59">
        <f>IF(C854="","",IFERROR(INDEX('6. Base de Custos'!$Q$8:$Q$42,MATCH(C854,'6. Base de Custos'!$L$8:$L$42,0)),""))</f>
        <v/>
      </c>
      <c r="R854" s="65">
        <f>IF(C854="","",IFERROR(VLOOKUP(M854&amp;"|"&amp;N854,'17. Mapa DRE CP'!$E$5:$H$100,2,FALSE),"Revisar"))</f>
        <v/>
      </c>
      <c r="S854" s="65">
        <f>IF(C854="","",IFERROR(VLOOKUP(M854&amp;"|"&amp;N854,'17. Mapa DRE CP'!$E$5:$H$100,3,FALSE),"Revisar"))</f>
        <v/>
      </c>
      <c r="T854" s="65">
        <f>IF(C854="","",IF(R854="(-) Custos diretos dos serviços",IF(ISNUMBER(SEARCH("PCMSO",C854)),"PCMSO",IF(OR(ISNUMBER(SEARCH("SGS",C854)),ISNUMBER(SEARCH("CASTRO NAVES",C854))),"Projetos / Laudos / Avulsos","Projetos / Laudos / Avulsos")),"Rateio pela receita bruta"))</f>
        <v/>
      </c>
      <c r="U854" s="65">
        <f>IF(C854="","",IF(R854="(-) Custos diretos dos serviços","Direto por fornecedor/natureza do gasto","Rateio proporcional à receita bruta da linha de serviço"))</f>
        <v/>
      </c>
    </row>
    <row r="855">
      <c r="A855" s="28">
        <f>IF(C855="","", "CP-"&amp;TEXT(ROW()-5,"000"))</f>
        <v/>
      </c>
      <c r="B855" s="27">
        <f>IF(F855="","",DATE(YEAR(F855),MONTH(F855),1))</f>
        <v/>
      </c>
      <c r="C855" s="28" t="n"/>
      <c r="D855" s="28" t="n"/>
      <c r="E855" s="59">
        <f>IF(C855="","",IFERROR(INDEX('6. Base de Custos'!$M$8:$M$42,MATCH(C855,'6. Base de Custos'!$L$8:$L$42,0)),"Não classificado"))</f>
        <v/>
      </c>
      <c r="F855" s="111" t="n"/>
      <c r="G855" s="111" t="n"/>
      <c r="H855" s="111" t="n"/>
      <c r="I855" s="45" t="n"/>
      <c r="J855" s="28" t="n"/>
      <c r="K855" s="28" t="n"/>
      <c r="L855" s="28" t="n"/>
      <c r="M855" s="59">
        <f>IF(C855="","",IFERROR(INDEX('6. Base de Custos'!$N$8:$N$42,MATCH(C855,'6. Base de Custos'!$L$8:$L$42,0)),"Não classificado"))</f>
        <v/>
      </c>
      <c r="N855" s="59">
        <f>IF(C855="","",IFERROR(INDEX('6. Base de Custos'!$O$8:$O$42,MATCH(C855,'6. Base de Custos'!$L$8:$L$42,0)),"Revisar"))</f>
        <v/>
      </c>
      <c r="O855" s="60">
        <f>IF(M855="","",IFERROR(VLOOKUP(M855,'6. Base de Custos'!$H$12:$J$18,3,FALSE),0))</f>
        <v/>
      </c>
      <c r="P855" s="59">
        <f>IF(C855="","",IFERROR(INDEX('6. Base de Custos'!$P$8:$P$42,MATCH(C855,'6. Base de Custos'!$L$8:$L$42,0)),"Revisar"))</f>
        <v/>
      </c>
      <c r="Q855" s="59">
        <f>IF(C855="","",IFERROR(INDEX('6. Base de Custos'!$Q$8:$Q$42,MATCH(C855,'6. Base de Custos'!$L$8:$L$42,0)),""))</f>
        <v/>
      </c>
      <c r="R855" s="65">
        <f>IF(C855="","",IFERROR(VLOOKUP(M855&amp;"|"&amp;N855,'17. Mapa DRE CP'!$E$5:$H$100,2,FALSE),"Revisar"))</f>
        <v/>
      </c>
      <c r="S855" s="65">
        <f>IF(C855="","",IFERROR(VLOOKUP(M855&amp;"|"&amp;N855,'17. Mapa DRE CP'!$E$5:$H$100,3,FALSE),"Revisar"))</f>
        <v/>
      </c>
      <c r="T855" s="65">
        <f>IF(C855="","",IF(R855="(-) Custos diretos dos serviços",IF(ISNUMBER(SEARCH("PCMSO",C855)),"PCMSO",IF(OR(ISNUMBER(SEARCH("SGS",C855)),ISNUMBER(SEARCH("CASTRO NAVES",C855))),"Projetos / Laudos / Avulsos","Projetos / Laudos / Avulsos")),"Rateio pela receita bruta"))</f>
        <v/>
      </c>
      <c r="U855" s="65">
        <f>IF(C855="","",IF(R855="(-) Custos diretos dos serviços","Direto por fornecedor/natureza do gasto","Rateio proporcional à receita bruta da linha de serviço"))</f>
        <v/>
      </c>
    </row>
    <row r="856">
      <c r="A856" s="28">
        <f>IF(C856="","", "CP-"&amp;TEXT(ROW()-5,"000"))</f>
        <v/>
      </c>
      <c r="B856" s="27">
        <f>IF(F856="","",DATE(YEAR(F856),MONTH(F856),1))</f>
        <v/>
      </c>
      <c r="C856" s="28" t="n"/>
      <c r="D856" s="28" t="n"/>
      <c r="E856" s="59">
        <f>IF(C856="","",IFERROR(INDEX('6. Base de Custos'!$M$8:$M$42,MATCH(C856,'6. Base de Custos'!$L$8:$L$42,0)),"Não classificado"))</f>
        <v/>
      </c>
      <c r="F856" s="111" t="n"/>
      <c r="G856" s="111" t="n"/>
      <c r="H856" s="111" t="n"/>
      <c r="I856" s="45" t="n"/>
      <c r="J856" s="28" t="n"/>
      <c r="K856" s="28" t="n"/>
      <c r="L856" s="28" t="n"/>
      <c r="M856" s="59">
        <f>IF(C856="","",IFERROR(INDEX('6. Base de Custos'!$N$8:$N$42,MATCH(C856,'6. Base de Custos'!$L$8:$L$42,0)),"Não classificado"))</f>
        <v/>
      </c>
      <c r="N856" s="59">
        <f>IF(C856="","",IFERROR(INDEX('6. Base de Custos'!$O$8:$O$42,MATCH(C856,'6. Base de Custos'!$L$8:$L$42,0)),"Revisar"))</f>
        <v/>
      </c>
      <c r="O856" s="60">
        <f>IF(M856="","",IFERROR(VLOOKUP(M856,'6. Base de Custos'!$H$12:$J$18,3,FALSE),0))</f>
        <v/>
      </c>
      <c r="P856" s="59">
        <f>IF(C856="","",IFERROR(INDEX('6. Base de Custos'!$P$8:$P$42,MATCH(C856,'6. Base de Custos'!$L$8:$L$42,0)),"Revisar"))</f>
        <v/>
      </c>
      <c r="Q856" s="59">
        <f>IF(C856="","",IFERROR(INDEX('6. Base de Custos'!$Q$8:$Q$42,MATCH(C856,'6. Base de Custos'!$L$8:$L$42,0)),""))</f>
        <v/>
      </c>
      <c r="R856" s="65">
        <f>IF(C856="","",IFERROR(VLOOKUP(M856&amp;"|"&amp;N856,'17. Mapa DRE CP'!$E$5:$H$100,2,FALSE),"Revisar"))</f>
        <v/>
      </c>
      <c r="S856" s="65">
        <f>IF(C856="","",IFERROR(VLOOKUP(M856&amp;"|"&amp;N856,'17. Mapa DRE CP'!$E$5:$H$100,3,FALSE),"Revisar"))</f>
        <v/>
      </c>
      <c r="T856" s="65">
        <f>IF(C856="","",IF(R856="(-) Custos diretos dos serviços",IF(ISNUMBER(SEARCH("PCMSO",C856)),"PCMSO",IF(OR(ISNUMBER(SEARCH("SGS",C856)),ISNUMBER(SEARCH("CASTRO NAVES",C856))),"Projetos / Laudos / Avulsos","Projetos / Laudos / Avulsos")),"Rateio pela receita bruta"))</f>
        <v/>
      </c>
      <c r="U856" s="65">
        <f>IF(C856="","",IF(R856="(-) Custos diretos dos serviços","Direto por fornecedor/natureza do gasto","Rateio proporcional à receita bruta da linha de serviço"))</f>
        <v/>
      </c>
    </row>
    <row r="857">
      <c r="A857" s="28">
        <f>IF(C857="","", "CP-"&amp;TEXT(ROW()-5,"000"))</f>
        <v/>
      </c>
      <c r="B857" s="27">
        <f>IF(F857="","",DATE(YEAR(F857),MONTH(F857),1))</f>
        <v/>
      </c>
      <c r="C857" s="28" t="n"/>
      <c r="D857" s="28" t="n"/>
      <c r="E857" s="59">
        <f>IF(C857="","",IFERROR(INDEX('6. Base de Custos'!$M$8:$M$42,MATCH(C857,'6. Base de Custos'!$L$8:$L$42,0)),"Não classificado"))</f>
        <v/>
      </c>
      <c r="F857" s="111" t="n"/>
      <c r="G857" s="111" t="n"/>
      <c r="H857" s="111" t="n"/>
      <c r="I857" s="45" t="n"/>
      <c r="J857" s="28" t="n"/>
      <c r="K857" s="28" t="n"/>
      <c r="L857" s="28" t="n"/>
      <c r="M857" s="59">
        <f>IF(C857="","",IFERROR(INDEX('6. Base de Custos'!$N$8:$N$42,MATCH(C857,'6. Base de Custos'!$L$8:$L$42,0)),"Não classificado"))</f>
        <v/>
      </c>
      <c r="N857" s="59">
        <f>IF(C857="","",IFERROR(INDEX('6. Base de Custos'!$O$8:$O$42,MATCH(C857,'6. Base de Custos'!$L$8:$L$42,0)),"Revisar"))</f>
        <v/>
      </c>
      <c r="O857" s="60">
        <f>IF(M857="","",IFERROR(VLOOKUP(M857,'6. Base de Custos'!$H$12:$J$18,3,FALSE),0))</f>
        <v/>
      </c>
      <c r="P857" s="59">
        <f>IF(C857="","",IFERROR(INDEX('6. Base de Custos'!$P$8:$P$42,MATCH(C857,'6. Base de Custos'!$L$8:$L$42,0)),"Revisar"))</f>
        <v/>
      </c>
      <c r="Q857" s="59">
        <f>IF(C857="","",IFERROR(INDEX('6. Base de Custos'!$Q$8:$Q$42,MATCH(C857,'6. Base de Custos'!$L$8:$L$42,0)),""))</f>
        <v/>
      </c>
      <c r="R857" s="65">
        <f>IF(C857="","",IFERROR(VLOOKUP(M857&amp;"|"&amp;N857,'17. Mapa DRE CP'!$E$5:$H$100,2,FALSE),"Revisar"))</f>
        <v/>
      </c>
      <c r="S857" s="65">
        <f>IF(C857="","",IFERROR(VLOOKUP(M857&amp;"|"&amp;N857,'17. Mapa DRE CP'!$E$5:$H$100,3,FALSE),"Revisar"))</f>
        <v/>
      </c>
      <c r="T857" s="65">
        <f>IF(C857="","",IF(R857="(-) Custos diretos dos serviços",IF(ISNUMBER(SEARCH("PCMSO",C857)),"PCMSO",IF(OR(ISNUMBER(SEARCH("SGS",C857)),ISNUMBER(SEARCH("CASTRO NAVES",C857))),"Projetos / Laudos / Avulsos","Projetos / Laudos / Avulsos")),"Rateio pela receita bruta"))</f>
        <v/>
      </c>
      <c r="U857" s="65">
        <f>IF(C857="","",IF(R857="(-) Custos diretos dos serviços","Direto por fornecedor/natureza do gasto","Rateio proporcional à receita bruta da linha de serviço"))</f>
        <v/>
      </c>
    </row>
    <row r="858">
      <c r="A858" s="28">
        <f>IF(C858="","", "CP-"&amp;TEXT(ROW()-5,"000"))</f>
        <v/>
      </c>
      <c r="B858" s="27">
        <f>IF(F858="","",DATE(YEAR(F858),MONTH(F858),1))</f>
        <v/>
      </c>
      <c r="C858" s="28" t="n"/>
      <c r="D858" s="28" t="n"/>
      <c r="E858" s="59">
        <f>IF(C858="","",IFERROR(INDEX('6. Base de Custos'!$M$8:$M$42,MATCH(C858,'6. Base de Custos'!$L$8:$L$42,0)),"Não classificado"))</f>
        <v/>
      </c>
      <c r="F858" s="111" t="n"/>
      <c r="G858" s="111" t="n"/>
      <c r="H858" s="111" t="n"/>
      <c r="I858" s="45" t="n"/>
      <c r="J858" s="28" t="n"/>
      <c r="K858" s="28" t="n"/>
      <c r="L858" s="28" t="n"/>
      <c r="M858" s="59">
        <f>IF(C858="","",IFERROR(INDEX('6. Base de Custos'!$N$8:$N$42,MATCH(C858,'6. Base de Custos'!$L$8:$L$42,0)),"Não classificado"))</f>
        <v/>
      </c>
      <c r="N858" s="59">
        <f>IF(C858="","",IFERROR(INDEX('6. Base de Custos'!$O$8:$O$42,MATCH(C858,'6. Base de Custos'!$L$8:$L$42,0)),"Revisar"))</f>
        <v/>
      </c>
      <c r="O858" s="60">
        <f>IF(M858="","",IFERROR(VLOOKUP(M858,'6. Base de Custos'!$H$12:$J$18,3,FALSE),0))</f>
        <v/>
      </c>
      <c r="P858" s="59">
        <f>IF(C858="","",IFERROR(INDEX('6. Base de Custos'!$P$8:$P$42,MATCH(C858,'6. Base de Custos'!$L$8:$L$42,0)),"Revisar"))</f>
        <v/>
      </c>
      <c r="Q858" s="59">
        <f>IF(C858="","",IFERROR(INDEX('6. Base de Custos'!$Q$8:$Q$42,MATCH(C858,'6. Base de Custos'!$L$8:$L$42,0)),""))</f>
        <v/>
      </c>
      <c r="R858" s="65">
        <f>IF(C858="","",IFERROR(VLOOKUP(M858&amp;"|"&amp;N858,'17. Mapa DRE CP'!$E$5:$H$100,2,FALSE),"Revisar"))</f>
        <v/>
      </c>
      <c r="S858" s="65">
        <f>IF(C858="","",IFERROR(VLOOKUP(M858&amp;"|"&amp;N858,'17. Mapa DRE CP'!$E$5:$H$100,3,FALSE),"Revisar"))</f>
        <v/>
      </c>
      <c r="T858" s="65">
        <f>IF(C858="","",IF(R858="(-) Custos diretos dos serviços",IF(ISNUMBER(SEARCH("PCMSO",C858)),"PCMSO",IF(OR(ISNUMBER(SEARCH("SGS",C858)),ISNUMBER(SEARCH("CASTRO NAVES",C858))),"Projetos / Laudos / Avulsos","Projetos / Laudos / Avulsos")),"Rateio pela receita bruta"))</f>
        <v/>
      </c>
      <c r="U858" s="65">
        <f>IF(C858="","",IF(R858="(-) Custos diretos dos serviços","Direto por fornecedor/natureza do gasto","Rateio proporcional à receita bruta da linha de serviço"))</f>
        <v/>
      </c>
    </row>
    <row r="859">
      <c r="A859" s="28">
        <f>IF(C859="","", "CP-"&amp;TEXT(ROW()-5,"000"))</f>
        <v/>
      </c>
      <c r="B859" s="27">
        <f>IF(F859="","",DATE(YEAR(F859),MONTH(F859),1))</f>
        <v/>
      </c>
      <c r="C859" s="28" t="n"/>
      <c r="D859" s="28" t="n"/>
      <c r="E859" s="59">
        <f>IF(C859="","",IFERROR(INDEX('6. Base de Custos'!$M$8:$M$42,MATCH(C859,'6. Base de Custos'!$L$8:$L$42,0)),"Não classificado"))</f>
        <v/>
      </c>
      <c r="F859" s="111" t="n"/>
      <c r="G859" s="111" t="n"/>
      <c r="H859" s="111" t="n"/>
      <c r="I859" s="45" t="n"/>
      <c r="J859" s="28" t="n"/>
      <c r="K859" s="28" t="n"/>
      <c r="L859" s="28" t="n"/>
      <c r="M859" s="59">
        <f>IF(C859="","",IFERROR(INDEX('6. Base de Custos'!$N$8:$N$42,MATCH(C859,'6. Base de Custos'!$L$8:$L$42,0)),"Não classificado"))</f>
        <v/>
      </c>
      <c r="N859" s="59">
        <f>IF(C859="","",IFERROR(INDEX('6. Base de Custos'!$O$8:$O$42,MATCH(C859,'6. Base de Custos'!$L$8:$L$42,0)),"Revisar"))</f>
        <v/>
      </c>
      <c r="O859" s="60">
        <f>IF(M859="","",IFERROR(VLOOKUP(M859,'6. Base de Custos'!$H$12:$J$18,3,FALSE),0))</f>
        <v/>
      </c>
      <c r="P859" s="59">
        <f>IF(C859="","",IFERROR(INDEX('6. Base de Custos'!$P$8:$P$42,MATCH(C859,'6. Base de Custos'!$L$8:$L$42,0)),"Revisar"))</f>
        <v/>
      </c>
      <c r="Q859" s="59">
        <f>IF(C859="","",IFERROR(INDEX('6. Base de Custos'!$Q$8:$Q$42,MATCH(C859,'6. Base de Custos'!$L$8:$L$42,0)),""))</f>
        <v/>
      </c>
      <c r="R859" s="65">
        <f>IF(C859="","",IFERROR(VLOOKUP(M859&amp;"|"&amp;N859,'17. Mapa DRE CP'!$E$5:$H$100,2,FALSE),"Revisar"))</f>
        <v/>
      </c>
      <c r="S859" s="65">
        <f>IF(C859="","",IFERROR(VLOOKUP(M859&amp;"|"&amp;N859,'17. Mapa DRE CP'!$E$5:$H$100,3,FALSE),"Revisar"))</f>
        <v/>
      </c>
      <c r="T859" s="65">
        <f>IF(C859="","",IF(R859="(-) Custos diretos dos serviços",IF(ISNUMBER(SEARCH("PCMSO",C859)),"PCMSO",IF(OR(ISNUMBER(SEARCH("SGS",C859)),ISNUMBER(SEARCH("CASTRO NAVES",C859))),"Projetos / Laudos / Avulsos","Projetos / Laudos / Avulsos")),"Rateio pela receita bruta"))</f>
        <v/>
      </c>
      <c r="U859" s="65">
        <f>IF(C859="","",IF(R859="(-) Custos diretos dos serviços","Direto por fornecedor/natureza do gasto","Rateio proporcional à receita bruta da linha de serviço"))</f>
        <v/>
      </c>
    </row>
    <row r="860">
      <c r="A860" s="28">
        <f>IF(C860="","", "CP-"&amp;TEXT(ROW()-5,"000"))</f>
        <v/>
      </c>
      <c r="B860" s="27">
        <f>IF(F860="","",DATE(YEAR(F860),MONTH(F860),1))</f>
        <v/>
      </c>
      <c r="C860" s="28" t="n"/>
      <c r="D860" s="28" t="n"/>
      <c r="E860" s="59">
        <f>IF(C860="","",IFERROR(INDEX('6. Base de Custos'!$M$8:$M$42,MATCH(C860,'6. Base de Custos'!$L$8:$L$42,0)),"Não classificado"))</f>
        <v/>
      </c>
      <c r="F860" s="111" t="n"/>
      <c r="G860" s="111" t="n"/>
      <c r="H860" s="111" t="n"/>
      <c r="I860" s="45" t="n"/>
      <c r="J860" s="28" t="n"/>
      <c r="K860" s="28" t="n"/>
      <c r="L860" s="28" t="n"/>
      <c r="M860" s="59">
        <f>IF(C860="","",IFERROR(INDEX('6. Base de Custos'!$N$8:$N$42,MATCH(C860,'6. Base de Custos'!$L$8:$L$42,0)),"Não classificado"))</f>
        <v/>
      </c>
      <c r="N860" s="59">
        <f>IF(C860="","",IFERROR(INDEX('6. Base de Custos'!$O$8:$O$42,MATCH(C860,'6. Base de Custos'!$L$8:$L$42,0)),"Revisar"))</f>
        <v/>
      </c>
      <c r="O860" s="60">
        <f>IF(M860="","",IFERROR(VLOOKUP(M860,'6. Base de Custos'!$H$12:$J$18,3,FALSE),0))</f>
        <v/>
      </c>
      <c r="P860" s="59">
        <f>IF(C860="","",IFERROR(INDEX('6. Base de Custos'!$P$8:$P$42,MATCH(C860,'6. Base de Custos'!$L$8:$L$42,0)),"Revisar"))</f>
        <v/>
      </c>
      <c r="Q860" s="59">
        <f>IF(C860="","",IFERROR(INDEX('6. Base de Custos'!$Q$8:$Q$42,MATCH(C860,'6. Base de Custos'!$L$8:$L$42,0)),""))</f>
        <v/>
      </c>
      <c r="R860" s="65">
        <f>IF(C860="","",IFERROR(VLOOKUP(M860&amp;"|"&amp;N860,'17. Mapa DRE CP'!$E$5:$H$100,2,FALSE),"Revisar"))</f>
        <v/>
      </c>
      <c r="S860" s="65">
        <f>IF(C860="","",IFERROR(VLOOKUP(M860&amp;"|"&amp;N860,'17. Mapa DRE CP'!$E$5:$H$100,3,FALSE),"Revisar"))</f>
        <v/>
      </c>
      <c r="T860" s="65">
        <f>IF(C860="","",IF(R860="(-) Custos diretos dos serviços",IF(ISNUMBER(SEARCH("PCMSO",C860)),"PCMSO",IF(OR(ISNUMBER(SEARCH("SGS",C860)),ISNUMBER(SEARCH("CASTRO NAVES",C860))),"Projetos / Laudos / Avulsos","Projetos / Laudos / Avulsos")),"Rateio pela receita bruta"))</f>
        <v/>
      </c>
      <c r="U860" s="65">
        <f>IF(C860="","",IF(R860="(-) Custos diretos dos serviços","Direto por fornecedor/natureza do gasto","Rateio proporcional à receita bruta da linha de serviço"))</f>
        <v/>
      </c>
    </row>
    <row r="861">
      <c r="A861" s="28">
        <f>IF(C861="","", "CP-"&amp;TEXT(ROW()-5,"000"))</f>
        <v/>
      </c>
      <c r="B861" s="27">
        <f>IF(F861="","",DATE(YEAR(F861),MONTH(F861),1))</f>
        <v/>
      </c>
      <c r="C861" s="28" t="n"/>
      <c r="D861" s="28" t="n"/>
      <c r="E861" s="59">
        <f>IF(C861="","",IFERROR(INDEX('6. Base de Custos'!$M$8:$M$42,MATCH(C861,'6. Base de Custos'!$L$8:$L$42,0)),"Não classificado"))</f>
        <v/>
      </c>
      <c r="F861" s="111" t="n"/>
      <c r="G861" s="111" t="n"/>
      <c r="H861" s="111" t="n"/>
      <c r="I861" s="45" t="n"/>
      <c r="J861" s="28" t="n"/>
      <c r="K861" s="28" t="n"/>
      <c r="L861" s="28" t="n"/>
      <c r="M861" s="59">
        <f>IF(C861="","",IFERROR(INDEX('6. Base de Custos'!$N$8:$N$42,MATCH(C861,'6. Base de Custos'!$L$8:$L$42,0)),"Não classificado"))</f>
        <v/>
      </c>
      <c r="N861" s="59">
        <f>IF(C861="","",IFERROR(INDEX('6. Base de Custos'!$O$8:$O$42,MATCH(C861,'6. Base de Custos'!$L$8:$L$42,0)),"Revisar"))</f>
        <v/>
      </c>
      <c r="O861" s="60">
        <f>IF(M861="","",IFERROR(VLOOKUP(M861,'6. Base de Custos'!$H$12:$J$18,3,FALSE),0))</f>
        <v/>
      </c>
      <c r="P861" s="59">
        <f>IF(C861="","",IFERROR(INDEX('6. Base de Custos'!$P$8:$P$42,MATCH(C861,'6. Base de Custos'!$L$8:$L$42,0)),"Revisar"))</f>
        <v/>
      </c>
      <c r="Q861" s="59">
        <f>IF(C861="","",IFERROR(INDEX('6. Base de Custos'!$Q$8:$Q$42,MATCH(C861,'6. Base de Custos'!$L$8:$L$42,0)),""))</f>
        <v/>
      </c>
      <c r="R861" s="65">
        <f>IF(C861="","",IFERROR(VLOOKUP(M861&amp;"|"&amp;N861,'17. Mapa DRE CP'!$E$5:$H$100,2,FALSE),"Revisar"))</f>
        <v/>
      </c>
      <c r="S861" s="65">
        <f>IF(C861="","",IFERROR(VLOOKUP(M861&amp;"|"&amp;N861,'17. Mapa DRE CP'!$E$5:$H$100,3,FALSE),"Revisar"))</f>
        <v/>
      </c>
      <c r="T861" s="65">
        <f>IF(C861="","",IF(R861="(-) Custos diretos dos serviços",IF(ISNUMBER(SEARCH("PCMSO",C861)),"PCMSO",IF(OR(ISNUMBER(SEARCH("SGS",C861)),ISNUMBER(SEARCH("CASTRO NAVES",C861))),"Projetos / Laudos / Avulsos","Projetos / Laudos / Avulsos")),"Rateio pela receita bruta"))</f>
        <v/>
      </c>
      <c r="U861" s="65">
        <f>IF(C861="","",IF(R861="(-) Custos diretos dos serviços","Direto por fornecedor/natureza do gasto","Rateio proporcional à receita bruta da linha de serviço"))</f>
        <v/>
      </c>
    </row>
    <row r="862">
      <c r="A862" s="28">
        <f>IF(C862="","", "CP-"&amp;TEXT(ROW()-5,"000"))</f>
        <v/>
      </c>
      <c r="B862" s="27">
        <f>IF(F862="","",DATE(YEAR(F862),MONTH(F862),1))</f>
        <v/>
      </c>
      <c r="C862" s="28" t="n"/>
      <c r="D862" s="28" t="n"/>
      <c r="E862" s="59">
        <f>IF(C862="","",IFERROR(INDEX('6. Base de Custos'!$M$8:$M$42,MATCH(C862,'6. Base de Custos'!$L$8:$L$42,0)),"Não classificado"))</f>
        <v/>
      </c>
      <c r="F862" s="111" t="n"/>
      <c r="G862" s="111" t="n"/>
      <c r="H862" s="111" t="n"/>
      <c r="I862" s="45" t="n"/>
      <c r="J862" s="28" t="n"/>
      <c r="K862" s="28" t="n"/>
      <c r="L862" s="28" t="n"/>
      <c r="M862" s="59">
        <f>IF(C862="","",IFERROR(INDEX('6. Base de Custos'!$N$8:$N$42,MATCH(C862,'6. Base de Custos'!$L$8:$L$42,0)),"Não classificado"))</f>
        <v/>
      </c>
      <c r="N862" s="59">
        <f>IF(C862="","",IFERROR(INDEX('6. Base de Custos'!$O$8:$O$42,MATCH(C862,'6. Base de Custos'!$L$8:$L$42,0)),"Revisar"))</f>
        <v/>
      </c>
      <c r="O862" s="60">
        <f>IF(M862="","",IFERROR(VLOOKUP(M862,'6. Base de Custos'!$H$12:$J$18,3,FALSE),0))</f>
        <v/>
      </c>
      <c r="P862" s="59">
        <f>IF(C862="","",IFERROR(INDEX('6. Base de Custos'!$P$8:$P$42,MATCH(C862,'6. Base de Custos'!$L$8:$L$42,0)),"Revisar"))</f>
        <v/>
      </c>
      <c r="Q862" s="59">
        <f>IF(C862="","",IFERROR(INDEX('6. Base de Custos'!$Q$8:$Q$42,MATCH(C862,'6. Base de Custos'!$L$8:$L$42,0)),""))</f>
        <v/>
      </c>
      <c r="R862" s="65">
        <f>IF(C862="","",IFERROR(VLOOKUP(M862&amp;"|"&amp;N862,'17. Mapa DRE CP'!$E$5:$H$100,2,FALSE),"Revisar"))</f>
        <v/>
      </c>
      <c r="S862" s="65">
        <f>IF(C862="","",IFERROR(VLOOKUP(M862&amp;"|"&amp;N862,'17. Mapa DRE CP'!$E$5:$H$100,3,FALSE),"Revisar"))</f>
        <v/>
      </c>
      <c r="T862" s="65">
        <f>IF(C862="","",IF(R862="(-) Custos diretos dos serviços",IF(ISNUMBER(SEARCH("PCMSO",C862)),"PCMSO",IF(OR(ISNUMBER(SEARCH("SGS",C862)),ISNUMBER(SEARCH("CASTRO NAVES",C862))),"Projetos / Laudos / Avulsos","Projetos / Laudos / Avulsos")),"Rateio pela receita bruta"))</f>
        <v/>
      </c>
      <c r="U862" s="65">
        <f>IF(C862="","",IF(R862="(-) Custos diretos dos serviços","Direto por fornecedor/natureza do gasto","Rateio proporcional à receita bruta da linha de serviço"))</f>
        <v/>
      </c>
    </row>
    <row r="863">
      <c r="A863" s="28">
        <f>IF(C863="","", "CP-"&amp;TEXT(ROW()-5,"000"))</f>
        <v/>
      </c>
      <c r="B863" s="27">
        <f>IF(F863="","",DATE(YEAR(F863),MONTH(F863),1))</f>
        <v/>
      </c>
      <c r="C863" s="28" t="n"/>
      <c r="D863" s="28" t="n"/>
      <c r="E863" s="59">
        <f>IF(C863="","",IFERROR(INDEX('6. Base de Custos'!$M$8:$M$42,MATCH(C863,'6. Base de Custos'!$L$8:$L$42,0)),"Não classificado"))</f>
        <v/>
      </c>
      <c r="F863" s="111" t="n"/>
      <c r="G863" s="111" t="n"/>
      <c r="H863" s="111" t="n"/>
      <c r="I863" s="45" t="n"/>
      <c r="J863" s="28" t="n"/>
      <c r="K863" s="28" t="n"/>
      <c r="L863" s="28" t="n"/>
      <c r="M863" s="59">
        <f>IF(C863="","",IFERROR(INDEX('6. Base de Custos'!$N$8:$N$42,MATCH(C863,'6. Base de Custos'!$L$8:$L$42,0)),"Não classificado"))</f>
        <v/>
      </c>
      <c r="N863" s="59">
        <f>IF(C863="","",IFERROR(INDEX('6. Base de Custos'!$O$8:$O$42,MATCH(C863,'6. Base de Custos'!$L$8:$L$42,0)),"Revisar"))</f>
        <v/>
      </c>
      <c r="O863" s="60">
        <f>IF(M863="","",IFERROR(VLOOKUP(M863,'6. Base de Custos'!$H$12:$J$18,3,FALSE),0))</f>
        <v/>
      </c>
      <c r="P863" s="59">
        <f>IF(C863="","",IFERROR(INDEX('6. Base de Custos'!$P$8:$P$42,MATCH(C863,'6. Base de Custos'!$L$8:$L$42,0)),"Revisar"))</f>
        <v/>
      </c>
      <c r="Q863" s="59">
        <f>IF(C863="","",IFERROR(INDEX('6. Base de Custos'!$Q$8:$Q$42,MATCH(C863,'6. Base de Custos'!$L$8:$L$42,0)),""))</f>
        <v/>
      </c>
      <c r="R863" s="65">
        <f>IF(C863="","",IFERROR(VLOOKUP(M863&amp;"|"&amp;N863,'17. Mapa DRE CP'!$E$5:$H$100,2,FALSE),"Revisar"))</f>
        <v/>
      </c>
      <c r="S863" s="65">
        <f>IF(C863="","",IFERROR(VLOOKUP(M863&amp;"|"&amp;N863,'17. Mapa DRE CP'!$E$5:$H$100,3,FALSE),"Revisar"))</f>
        <v/>
      </c>
      <c r="T863" s="65">
        <f>IF(C863="","",IF(R863="(-) Custos diretos dos serviços",IF(ISNUMBER(SEARCH("PCMSO",C863)),"PCMSO",IF(OR(ISNUMBER(SEARCH("SGS",C863)),ISNUMBER(SEARCH("CASTRO NAVES",C863))),"Projetos / Laudos / Avulsos","Projetos / Laudos / Avulsos")),"Rateio pela receita bruta"))</f>
        <v/>
      </c>
      <c r="U863" s="65">
        <f>IF(C863="","",IF(R863="(-) Custos diretos dos serviços","Direto por fornecedor/natureza do gasto","Rateio proporcional à receita bruta da linha de serviço"))</f>
        <v/>
      </c>
    </row>
    <row r="864">
      <c r="A864" s="28">
        <f>IF(C864="","", "CP-"&amp;TEXT(ROW()-5,"000"))</f>
        <v/>
      </c>
      <c r="B864" s="27">
        <f>IF(F864="","",DATE(YEAR(F864),MONTH(F864),1))</f>
        <v/>
      </c>
      <c r="C864" s="28" t="n"/>
      <c r="D864" s="28" t="n"/>
      <c r="E864" s="59">
        <f>IF(C864="","",IFERROR(INDEX('6. Base de Custos'!$M$8:$M$42,MATCH(C864,'6. Base de Custos'!$L$8:$L$42,0)),"Não classificado"))</f>
        <v/>
      </c>
      <c r="F864" s="111" t="n"/>
      <c r="G864" s="111" t="n"/>
      <c r="H864" s="111" t="n"/>
      <c r="I864" s="45" t="n"/>
      <c r="J864" s="28" t="n"/>
      <c r="K864" s="28" t="n"/>
      <c r="L864" s="28" t="n"/>
      <c r="M864" s="59">
        <f>IF(C864="","",IFERROR(INDEX('6. Base de Custos'!$N$8:$N$42,MATCH(C864,'6. Base de Custos'!$L$8:$L$42,0)),"Não classificado"))</f>
        <v/>
      </c>
      <c r="N864" s="59">
        <f>IF(C864="","",IFERROR(INDEX('6. Base de Custos'!$O$8:$O$42,MATCH(C864,'6. Base de Custos'!$L$8:$L$42,0)),"Revisar"))</f>
        <v/>
      </c>
      <c r="O864" s="60">
        <f>IF(M864="","",IFERROR(VLOOKUP(M864,'6. Base de Custos'!$H$12:$J$18,3,FALSE),0))</f>
        <v/>
      </c>
      <c r="P864" s="59">
        <f>IF(C864="","",IFERROR(INDEX('6. Base de Custos'!$P$8:$P$42,MATCH(C864,'6. Base de Custos'!$L$8:$L$42,0)),"Revisar"))</f>
        <v/>
      </c>
      <c r="Q864" s="59">
        <f>IF(C864="","",IFERROR(INDEX('6. Base de Custos'!$Q$8:$Q$42,MATCH(C864,'6. Base de Custos'!$L$8:$L$42,0)),""))</f>
        <v/>
      </c>
      <c r="R864" s="65">
        <f>IF(C864="","",IFERROR(VLOOKUP(M864&amp;"|"&amp;N864,'17. Mapa DRE CP'!$E$5:$H$100,2,FALSE),"Revisar"))</f>
        <v/>
      </c>
      <c r="S864" s="65">
        <f>IF(C864="","",IFERROR(VLOOKUP(M864&amp;"|"&amp;N864,'17. Mapa DRE CP'!$E$5:$H$100,3,FALSE),"Revisar"))</f>
        <v/>
      </c>
      <c r="T864" s="65">
        <f>IF(C864="","",IF(R864="(-) Custos diretos dos serviços",IF(ISNUMBER(SEARCH("PCMSO",C864)),"PCMSO",IF(OR(ISNUMBER(SEARCH("SGS",C864)),ISNUMBER(SEARCH("CASTRO NAVES",C864))),"Projetos / Laudos / Avulsos","Projetos / Laudos / Avulsos")),"Rateio pela receita bruta"))</f>
        <v/>
      </c>
      <c r="U864" s="65">
        <f>IF(C864="","",IF(R864="(-) Custos diretos dos serviços","Direto por fornecedor/natureza do gasto","Rateio proporcional à receita bruta da linha de serviço"))</f>
        <v/>
      </c>
    </row>
    <row r="865">
      <c r="A865" s="28">
        <f>IF(C865="","", "CP-"&amp;TEXT(ROW()-5,"000"))</f>
        <v/>
      </c>
      <c r="B865" s="27">
        <f>IF(F865="","",DATE(YEAR(F865),MONTH(F865),1))</f>
        <v/>
      </c>
      <c r="C865" s="28" t="n"/>
      <c r="D865" s="28" t="n"/>
      <c r="E865" s="59">
        <f>IF(C865="","",IFERROR(INDEX('6. Base de Custos'!$M$8:$M$42,MATCH(C865,'6. Base de Custos'!$L$8:$L$42,0)),"Não classificado"))</f>
        <v/>
      </c>
      <c r="F865" s="111" t="n"/>
      <c r="G865" s="111" t="n"/>
      <c r="H865" s="111" t="n"/>
      <c r="I865" s="45" t="n"/>
      <c r="J865" s="28" t="n"/>
      <c r="K865" s="28" t="n"/>
      <c r="L865" s="28" t="n"/>
      <c r="M865" s="59">
        <f>IF(C865="","",IFERROR(INDEX('6. Base de Custos'!$N$8:$N$42,MATCH(C865,'6. Base de Custos'!$L$8:$L$42,0)),"Não classificado"))</f>
        <v/>
      </c>
      <c r="N865" s="59">
        <f>IF(C865="","",IFERROR(INDEX('6. Base de Custos'!$O$8:$O$42,MATCH(C865,'6. Base de Custos'!$L$8:$L$42,0)),"Revisar"))</f>
        <v/>
      </c>
      <c r="O865" s="60">
        <f>IF(M865="","",IFERROR(VLOOKUP(M865,'6. Base de Custos'!$H$12:$J$18,3,FALSE),0))</f>
        <v/>
      </c>
      <c r="P865" s="59">
        <f>IF(C865="","",IFERROR(INDEX('6. Base de Custos'!$P$8:$P$42,MATCH(C865,'6. Base de Custos'!$L$8:$L$42,0)),"Revisar"))</f>
        <v/>
      </c>
      <c r="Q865" s="59">
        <f>IF(C865="","",IFERROR(INDEX('6. Base de Custos'!$Q$8:$Q$42,MATCH(C865,'6. Base de Custos'!$L$8:$L$42,0)),""))</f>
        <v/>
      </c>
      <c r="R865" s="65">
        <f>IF(C865="","",IFERROR(VLOOKUP(M865&amp;"|"&amp;N865,'17. Mapa DRE CP'!$E$5:$H$100,2,FALSE),"Revisar"))</f>
        <v/>
      </c>
      <c r="S865" s="65">
        <f>IF(C865="","",IFERROR(VLOOKUP(M865&amp;"|"&amp;N865,'17. Mapa DRE CP'!$E$5:$H$100,3,FALSE),"Revisar"))</f>
        <v/>
      </c>
      <c r="T865" s="65">
        <f>IF(C865="","",IF(R865="(-) Custos diretos dos serviços",IF(ISNUMBER(SEARCH("PCMSO",C865)),"PCMSO",IF(OR(ISNUMBER(SEARCH("SGS",C865)),ISNUMBER(SEARCH("CASTRO NAVES",C865))),"Projetos / Laudos / Avulsos","Projetos / Laudos / Avulsos")),"Rateio pela receita bruta"))</f>
        <v/>
      </c>
      <c r="U865" s="65">
        <f>IF(C865="","",IF(R865="(-) Custos diretos dos serviços","Direto por fornecedor/natureza do gasto","Rateio proporcional à receita bruta da linha de serviço"))</f>
        <v/>
      </c>
    </row>
    <row r="866">
      <c r="A866" s="28">
        <f>IF(C866="","", "CP-"&amp;TEXT(ROW()-5,"000"))</f>
        <v/>
      </c>
      <c r="B866" s="27">
        <f>IF(F866="","",DATE(YEAR(F866),MONTH(F866),1))</f>
        <v/>
      </c>
      <c r="C866" s="28" t="n"/>
      <c r="D866" s="28" t="n"/>
      <c r="E866" s="59">
        <f>IF(C866="","",IFERROR(INDEX('6. Base de Custos'!$M$8:$M$42,MATCH(C866,'6. Base de Custos'!$L$8:$L$42,0)),"Não classificado"))</f>
        <v/>
      </c>
      <c r="F866" s="111" t="n"/>
      <c r="G866" s="111" t="n"/>
      <c r="H866" s="111" t="n"/>
      <c r="I866" s="45" t="n"/>
      <c r="J866" s="28" t="n"/>
      <c r="K866" s="28" t="n"/>
      <c r="L866" s="28" t="n"/>
      <c r="M866" s="59">
        <f>IF(C866="","",IFERROR(INDEX('6. Base de Custos'!$N$8:$N$42,MATCH(C866,'6. Base de Custos'!$L$8:$L$42,0)),"Não classificado"))</f>
        <v/>
      </c>
      <c r="N866" s="59">
        <f>IF(C866="","",IFERROR(INDEX('6. Base de Custos'!$O$8:$O$42,MATCH(C866,'6. Base de Custos'!$L$8:$L$42,0)),"Revisar"))</f>
        <v/>
      </c>
      <c r="O866" s="60">
        <f>IF(M866="","",IFERROR(VLOOKUP(M866,'6. Base de Custos'!$H$12:$J$18,3,FALSE),0))</f>
        <v/>
      </c>
      <c r="P866" s="59">
        <f>IF(C866="","",IFERROR(INDEX('6. Base de Custos'!$P$8:$P$42,MATCH(C866,'6. Base de Custos'!$L$8:$L$42,0)),"Revisar"))</f>
        <v/>
      </c>
      <c r="Q866" s="59">
        <f>IF(C866="","",IFERROR(INDEX('6. Base de Custos'!$Q$8:$Q$42,MATCH(C866,'6. Base de Custos'!$L$8:$L$42,0)),""))</f>
        <v/>
      </c>
      <c r="R866" s="65">
        <f>IF(C866="","",IFERROR(VLOOKUP(M866&amp;"|"&amp;N866,'17. Mapa DRE CP'!$E$5:$H$100,2,FALSE),"Revisar"))</f>
        <v/>
      </c>
      <c r="S866" s="65">
        <f>IF(C866="","",IFERROR(VLOOKUP(M866&amp;"|"&amp;N866,'17. Mapa DRE CP'!$E$5:$H$100,3,FALSE),"Revisar"))</f>
        <v/>
      </c>
      <c r="T866" s="65">
        <f>IF(C866="","",IF(R866="(-) Custos diretos dos serviços",IF(ISNUMBER(SEARCH("PCMSO",C866)),"PCMSO",IF(OR(ISNUMBER(SEARCH("SGS",C866)),ISNUMBER(SEARCH("CASTRO NAVES",C866))),"Projetos / Laudos / Avulsos","Projetos / Laudos / Avulsos")),"Rateio pela receita bruta"))</f>
        <v/>
      </c>
      <c r="U866" s="65">
        <f>IF(C866="","",IF(R866="(-) Custos diretos dos serviços","Direto por fornecedor/natureza do gasto","Rateio proporcional à receita bruta da linha de serviço"))</f>
        <v/>
      </c>
    </row>
    <row r="867">
      <c r="A867" s="28">
        <f>IF(C867="","", "CP-"&amp;TEXT(ROW()-5,"000"))</f>
        <v/>
      </c>
      <c r="B867" s="27">
        <f>IF(F867="","",DATE(YEAR(F867),MONTH(F867),1))</f>
        <v/>
      </c>
      <c r="C867" s="28" t="n"/>
      <c r="D867" s="28" t="n"/>
      <c r="E867" s="59">
        <f>IF(C867="","",IFERROR(INDEX('6. Base de Custos'!$M$8:$M$42,MATCH(C867,'6. Base de Custos'!$L$8:$L$42,0)),"Não classificado"))</f>
        <v/>
      </c>
      <c r="F867" s="111" t="n"/>
      <c r="G867" s="111" t="n"/>
      <c r="H867" s="111" t="n"/>
      <c r="I867" s="45" t="n"/>
      <c r="J867" s="28" t="n"/>
      <c r="K867" s="28" t="n"/>
      <c r="L867" s="28" t="n"/>
      <c r="M867" s="59">
        <f>IF(C867="","",IFERROR(INDEX('6. Base de Custos'!$N$8:$N$42,MATCH(C867,'6. Base de Custos'!$L$8:$L$42,0)),"Não classificado"))</f>
        <v/>
      </c>
      <c r="N867" s="59">
        <f>IF(C867="","",IFERROR(INDEX('6. Base de Custos'!$O$8:$O$42,MATCH(C867,'6. Base de Custos'!$L$8:$L$42,0)),"Revisar"))</f>
        <v/>
      </c>
      <c r="O867" s="60">
        <f>IF(M867="","",IFERROR(VLOOKUP(M867,'6. Base de Custos'!$H$12:$J$18,3,FALSE),0))</f>
        <v/>
      </c>
      <c r="P867" s="59">
        <f>IF(C867="","",IFERROR(INDEX('6. Base de Custos'!$P$8:$P$42,MATCH(C867,'6. Base de Custos'!$L$8:$L$42,0)),"Revisar"))</f>
        <v/>
      </c>
      <c r="Q867" s="59">
        <f>IF(C867="","",IFERROR(INDEX('6. Base de Custos'!$Q$8:$Q$42,MATCH(C867,'6. Base de Custos'!$L$8:$L$42,0)),""))</f>
        <v/>
      </c>
      <c r="R867" s="65">
        <f>IF(C867="","",IFERROR(VLOOKUP(M867&amp;"|"&amp;N867,'17. Mapa DRE CP'!$E$5:$H$100,2,FALSE),"Revisar"))</f>
        <v/>
      </c>
      <c r="S867" s="65">
        <f>IF(C867="","",IFERROR(VLOOKUP(M867&amp;"|"&amp;N867,'17. Mapa DRE CP'!$E$5:$H$100,3,FALSE),"Revisar"))</f>
        <v/>
      </c>
      <c r="T867" s="65">
        <f>IF(C867="","",IF(R867="(-) Custos diretos dos serviços",IF(ISNUMBER(SEARCH("PCMSO",C867)),"PCMSO",IF(OR(ISNUMBER(SEARCH("SGS",C867)),ISNUMBER(SEARCH("CASTRO NAVES",C867))),"Projetos / Laudos / Avulsos","Projetos / Laudos / Avulsos")),"Rateio pela receita bruta"))</f>
        <v/>
      </c>
      <c r="U867" s="65">
        <f>IF(C867="","",IF(R867="(-) Custos diretos dos serviços","Direto por fornecedor/natureza do gasto","Rateio proporcional à receita bruta da linha de serviço"))</f>
        <v/>
      </c>
    </row>
    <row r="868">
      <c r="A868" s="28">
        <f>IF(C868="","", "CP-"&amp;TEXT(ROW()-5,"000"))</f>
        <v/>
      </c>
      <c r="B868" s="27">
        <f>IF(F868="","",DATE(YEAR(F868),MONTH(F868),1))</f>
        <v/>
      </c>
      <c r="C868" s="28" t="n"/>
      <c r="D868" s="28" t="n"/>
      <c r="E868" s="59">
        <f>IF(C868="","",IFERROR(INDEX('6. Base de Custos'!$M$8:$M$42,MATCH(C868,'6. Base de Custos'!$L$8:$L$42,0)),"Não classificado"))</f>
        <v/>
      </c>
      <c r="F868" s="111" t="n"/>
      <c r="G868" s="111" t="n"/>
      <c r="H868" s="111" t="n"/>
      <c r="I868" s="45" t="n"/>
      <c r="J868" s="28" t="n"/>
      <c r="K868" s="28" t="n"/>
      <c r="L868" s="28" t="n"/>
      <c r="M868" s="59">
        <f>IF(C868="","",IFERROR(INDEX('6. Base de Custos'!$N$8:$N$42,MATCH(C868,'6. Base de Custos'!$L$8:$L$42,0)),"Não classificado"))</f>
        <v/>
      </c>
      <c r="N868" s="59">
        <f>IF(C868="","",IFERROR(INDEX('6. Base de Custos'!$O$8:$O$42,MATCH(C868,'6. Base de Custos'!$L$8:$L$42,0)),"Revisar"))</f>
        <v/>
      </c>
      <c r="O868" s="60">
        <f>IF(M868="","",IFERROR(VLOOKUP(M868,'6. Base de Custos'!$H$12:$J$18,3,FALSE),0))</f>
        <v/>
      </c>
      <c r="P868" s="59">
        <f>IF(C868="","",IFERROR(INDEX('6. Base de Custos'!$P$8:$P$42,MATCH(C868,'6. Base de Custos'!$L$8:$L$42,0)),"Revisar"))</f>
        <v/>
      </c>
      <c r="Q868" s="59">
        <f>IF(C868="","",IFERROR(INDEX('6. Base de Custos'!$Q$8:$Q$42,MATCH(C868,'6. Base de Custos'!$L$8:$L$42,0)),""))</f>
        <v/>
      </c>
      <c r="R868" s="65">
        <f>IF(C868="","",IFERROR(VLOOKUP(M868&amp;"|"&amp;N868,'17. Mapa DRE CP'!$E$5:$H$100,2,FALSE),"Revisar"))</f>
        <v/>
      </c>
      <c r="S868" s="65">
        <f>IF(C868="","",IFERROR(VLOOKUP(M868&amp;"|"&amp;N868,'17. Mapa DRE CP'!$E$5:$H$100,3,FALSE),"Revisar"))</f>
        <v/>
      </c>
      <c r="T868" s="65">
        <f>IF(C868="","",IF(R868="(-) Custos diretos dos serviços",IF(ISNUMBER(SEARCH("PCMSO",C868)),"PCMSO",IF(OR(ISNUMBER(SEARCH("SGS",C868)),ISNUMBER(SEARCH("CASTRO NAVES",C868))),"Projetos / Laudos / Avulsos","Projetos / Laudos / Avulsos")),"Rateio pela receita bruta"))</f>
        <v/>
      </c>
      <c r="U868" s="65">
        <f>IF(C868="","",IF(R868="(-) Custos diretos dos serviços","Direto por fornecedor/natureza do gasto","Rateio proporcional à receita bruta da linha de serviço"))</f>
        <v/>
      </c>
    </row>
    <row r="869">
      <c r="A869" s="28">
        <f>IF(C869="","", "CP-"&amp;TEXT(ROW()-5,"000"))</f>
        <v/>
      </c>
      <c r="B869" s="27">
        <f>IF(F869="","",DATE(YEAR(F869),MONTH(F869),1))</f>
        <v/>
      </c>
      <c r="C869" s="28" t="n"/>
      <c r="D869" s="28" t="n"/>
      <c r="E869" s="59">
        <f>IF(C869="","",IFERROR(INDEX('6. Base de Custos'!$M$8:$M$42,MATCH(C869,'6. Base de Custos'!$L$8:$L$42,0)),"Não classificado"))</f>
        <v/>
      </c>
      <c r="F869" s="111" t="n"/>
      <c r="G869" s="111" t="n"/>
      <c r="H869" s="111" t="n"/>
      <c r="I869" s="45" t="n"/>
      <c r="J869" s="28" t="n"/>
      <c r="K869" s="28" t="n"/>
      <c r="L869" s="28" t="n"/>
      <c r="M869" s="59">
        <f>IF(C869="","",IFERROR(INDEX('6. Base de Custos'!$N$8:$N$42,MATCH(C869,'6. Base de Custos'!$L$8:$L$42,0)),"Não classificado"))</f>
        <v/>
      </c>
      <c r="N869" s="59">
        <f>IF(C869="","",IFERROR(INDEX('6. Base de Custos'!$O$8:$O$42,MATCH(C869,'6. Base de Custos'!$L$8:$L$42,0)),"Revisar"))</f>
        <v/>
      </c>
      <c r="O869" s="60">
        <f>IF(M869="","",IFERROR(VLOOKUP(M869,'6. Base de Custos'!$H$12:$J$18,3,FALSE),0))</f>
        <v/>
      </c>
      <c r="P869" s="59">
        <f>IF(C869="","",IFERROR(INDEX('6. Base de Custos'!$P$8:$P$42,MATCH(C869,'6. Base de Custos'!$L$8:$L$42,0)),"Revisar"))</f>
        <v/>
      </c>
      <c r="Q869" s="59">
        <f>IF(C869="","",IFERROR(INDEX('6. Base de Custos'!$Q$8:$Q$42,MATCH(C869,'6. Base de Custos'!$L$8:$L$42,0)),""))</f>
        <v/>
      </c>
      <c r="R869" s="65">
        <f>IF(C869="","",IFERROR(VLOOKUP(M869&amp;"|"&amp;N869,'17. Mapa DRE CP'!$E$5:$H$100,2,FALSE),"Revisar"))</f>
        <v/>
      </c>
      <c r="S869" s="65">
        <f>IF(C869="","",IFERROR(VLOOKUP(M869&amp;"|"&amp;N869,'17. Mapa DRE CP'!$E$5:$H$100,3,FALSE),"Revisar"))</f>
        <v/>
      </c>
      <c r="T869" s="65">
        <f>IF(C869="","",IF(R869="(-) Custos diretos dos serviços",IF(ISNUMBER(SEARCH("PCMSO",C869)),"PCMSO",IF(OR(ISNUMBER(SEARCH("SGS",C869)),ISNUMBER(SEARCH("CASTRO NAVES",C869))),"Projetos / Laudos / Avulsos","Projetos / Laudos / Avulsos")),"Rateio pela receita bruta"))</f>
        <v/>
      </c>
      <c r="U869" s="65">
        <f>IF(C869="","",IF(R869="(-) Custos diretos dos serviços","Direto por fornecedor/natureza do gasto","Rateio proporcional à receita bruta da linha de serviço"))</f>
        <v/>
      </c>
    </row>
    <row r="870">
      <c r="A870" s="28">
        <f>IF(C870="","", "CP-"&amp;TEXT(ROW()-5,"000"))</f>
        <v/>
      </c>
      <c r="B870" s="27">
        <f>IF(F870="","",DATE(YEAR(F870),MONTH(F870),1))</f>
        <v/>
      </c>
      <c r="C870" s="28" t="n"/>
      <c r="D870" s="28" t="n"/>
      <c r="E870" s="59">
        <f>IF(C870="","",IFERROR(INDEX('6. Base de Custos'!$M$8:$M$42,MATCH(C870,'6. Base de Custos'!$L$8:$L$42,0)),"Não classificado"))</f>
        <v/>
      </c>
      <c r="F870" s="111" t="n"/>
      <c r="G870" s="111" t="n"/>
      <c r="H870" s="111" t="n"/>
      <c r="I870" s="45" t="n"/>
      <c r="J870" s="28" t="n"/>
      <c r="K870" s="28" t="n"/>
      <c r="L870" s="28" t="n"/>
      <c r="M870" s="59">
        <f>IF(C870="","",IFERROR(INDEX('6. Base de Custos'!$N$8:$N$42,MATCH(C870,'6. Base de Custos'!$L$8:$L$42,0)),"Não classificado"))</f>
        <v/>
      </c>
      <c r="N870" s="59">
        <f>IF(C870="","",IFERROR(INDEX('6. Base de Custos'!$O$8:$O$42,MATCH(C870,'6. Base de Custos'!$L$8:$L$42,0)),"Revisar"))</f>
        <v/>
      </c>
      <c r="O870" s="60">
        <f>IF(M870="","",IFERROR(VLOOKUP(M870,'6. Base de Custos'!$H$12:$J$18,3,FALSE),0))</f>
        <v/>
      </c>
      <c r="P870" s="59">
        <f>IF(C870="","",IFERROR(INDEX('6. Base de Custos'!$P$8:$P$42,MATCH(C870,'6. Base de Custos'!$L$8:$L$42,0)),"Revisar"))</f>
        <v/>
      </c>
      <c r="Q870" s="59">
        <f>IF(C870="","",IFERROR(INDEX('6. Base de Custos'!$Q$8:$Q$42,MATCH(C870,'6. Base de Custos'!$L$8:$L$42,0)),""))</f>
        <v/>
      </c>
      <c r="R870" s="65">
        <f>IF(C870="","",IFERROR(VLOOKUP(M870&amp;"|"&amp;N870,'17. Mapa DRE CP'!$E$5:$H$100,2,FALSE),"Revisar"))</f>
        <v/>
      </c>
      <c r="S870" s="65">
        <f>IF(C870="","",IFERROR(VLOOKUP(M870&amp;"|"&amp;N870,'17. Mapa DRE CP'!$E$5:$H$100,3,FALSE),"Revisar"))</f>
        <v/>
      </c>
      <c r="T870" s="65">
        <f>IF(C870="","",IF(R870="(-) Custos diretos dos serviços",IF(ISNUMBER(SEARCH("PCMSO",C870)),"PCMSO",IF(OR(ISNUMBER(SEARCH("SGS",C870)),ISNUMBER(SEARCH("CASTRO NAVES",C870))),"Projetos / Laudos / Avulsos","Projetos / Laudos / Avulsos")),"Rateio pela receita bruta"))</f>
        <v/>
      </c>
      <c r="U870" s="65">
        <f>IF(C870="","",IF(R870="(-) Custos diretos dos serviços","Direto por fornecedor/natureza do gasto","Rateio proporcional à receita bruta da linha de serviço"))</f>
        <v/>
      </c>
    </row>
    <row r="871">
      <c r="A871" s="28">
        <f>IF(C871="","", "CP-"&amp;TEXT(ROW()-5,"000"))</f>
        <v/>
      </c>
      <c r="B871" s="27">
        <f>IF(F871="","",DATE(YEAR(F871),MONTH(F871),1))</f>
        <v/>
      </c>
      <c r="C871" s="28" t="n"/>
      <c r="D871" s="28" t="n"/>
      <c r="E871" s="59">
        <f>IF(C871="","",IFERROR(INDEX('6. Base de Custos'!$M$8:$M$42,MATCH(C871,'6. Base de Custos'!$L$8:$L$42,0)),"Não classificado"))</f>
        <v/>
      </c>
      <c r="F871" s="111" t="n"/>
      <c r="G871" s="111" t="n"/>
      <c r="H871" s="111" t="n"/>
      <c r="I871" s="45" t="n"/>
      <c r="J871" s="28" t="n"/>
      <c r="K871" s="28" t="n"/>
      <c r="L871" s="28" t="n"/>
      <c r="M871" s="59">
        <f>IF(C871="","",IFERROR(INDEX('6. Base de Custos'!$N$8:$N$42,MATCH(C871,'6. Base de Custos'!$L$8:$L$42,0)),"Não classificado"))</f>
        <v/>
      </c>
      <c r="N871" s="59">
        <f>IF(C871="","",IFERROR(INDEX('6. Base de Custos'!$O$8:$O$42,MATCH(C871,'6. Base de Custos'!$L$8:$L$42,0)),"Revisar"))</f>
        <v/>
      </c>
      <c r="O871" s="60">
        <f>IF(M871="","",IFERROR(VLOOKUP(M871,'6. Base de Custos'!$H$12:$J$18,3,FALSE),0))</f>
        <v/>
      </c>
      <c r="P871" s="59">
        <f>IF(C871="","",IFERROR(INDEX('6. Base de Custos'!$P$8:$P$42,MATCH(C871,'6. Base de Custos'!$L$8:$L$42,0)),"Revisar"))</f>
        <v/>
      </c>
      <c r="Q871" s="59">
        <f>IF(C871="","",IFERROR(INDEX('6. Base de Custos'!$Q$8:$Q$42,MATCH(C871,'6. Base de Custos'!$L$8:$L$42,0)),""))</f>
        <v/>
      </c>
      <c r="R871" s="65">
        <f>IF(C871="","",IFERROR(VLOOKUP(M871&amp;"|"&amp;N871,'17. Mapa DRE CP'!$E$5:$H$100,2,FALSE),"Revisar"))</f>
        <v/>
      </c>
      <c r="S871" s="65">
        <f>IF(C871="","",IFERROR(VLOOKUP(M871&amp;"|"&amp;N871,'17. Mapa DRE CP'!$E$5:$H$100,3,FALSE),"Revisar"))</f>
        <v/>
      </c>
      <c r="T871" s="65">
        <f>IF(C871="","",IF(R871="(-) Custos diretos dos serviços",IF(ISNUMBER(SEARCH("PCMSO",C871)),"PCMSO",IF(OR(ISNUMBER(SEARCH("SGS",C871)),ISNUMBER(SEARCH("CASTRO NAVES",C871))),"Projetos / Laudos / Avulsos","Projetos / Laudos / Avulsos")),"Rateio pela receita bruta"))</f>
        <v/>
      </c>
      <c r="U871" s="65">
        <f>IF(C871="","",IF(R871="(-) Custos diretos dos serviços","Direto por fornecedor/natureza do gasto","Rateio proporcional à receita bruta da linha de serviço"))</f>
        <v/>
      </c>
    </row>
    <row r="872">
      <c r="A872" s="28">
        <f>IF(C872="","", "CP-"&amp;TEXT(ROW()-5,"000"))</f>
        <v/>
      </c>
      <c r="B872" s="27">
        <f>IF(F872="","",DATE(YEAR(F872),MONTH(F872),1))</f>
        <v/>
      </c>
      <c r="C872" s="28" t="n"/>
      <c r="D872" s="28" t="n"/>
      <c r="E872" s="59">
        <f>IF(C872="","",IFERROR(INDEX('6. Base de Custos'!$M$8:$M$42,MATCH(C872,'6. Base de Custos'!$L$8:$L$42,0)),"Não classificado"))</f>
        <v/>
      </c>
      <c r="F872" s="111" t="n"/>
      <c r="G872" s="111" t="n"/>
      <c r="H872" s="111" t="n"/>
      <c r="I872" s="45" t="n"/>
      <c r="J872" s="28" t="n"/>
      <c r="K872" s="28" t="n"/>
      <c r="L872" s="28" t="n"/>
      <c r="M872" s="59">
        <f>IF(C872="","",IFERROR(INDEX('6. Base de Custos'!$N$8:$N$42,MATCH(C872,'6. Base de Custos'!$L$8:$L$42,0)),"Não classificado"))</f>
        <v/>
      </c>
      <c r="N872" s="59">
        <f>IF(C872="","",IFERROR(INDEX('6. Base de Custos'!$O$8:$O$42,MATCH(C872,'6. Base de Custos'!$L$8:$L$42,0)),"Revisar"))</f>
        <v/>
      </c>
      <c r="O872" s="60">
        <f>IF(M872="","",IFERROR(VLOOKUP(M872,'6. Base de Custos'!$H$12:$J$18,3,FALSE),0))</f>
        <v/>
      </c>
      <c r="P872" s="59">
        <f>IF(C872="","",IFERROR(INDEX('6. Base de Custos'!$P$8:$P$42,MATCH(C872,'6. Base de Custos'!$L$8:$L$42,0)),"Revisar"))</f>
        <v/>
      </c>
      <c r="Q872" s="59">
        <f>IF(C872="","",IFERROR(INDEX('6. Base de Custos'!$Q$8:$Q$42,MATCH(C872,'6. Base de Custos'!$L$8:$L$42,0)),""))</f>
        <v/>
      </c>
      <c r="R872" s="65">
        <f>IF(C872="","",IFERROR(VLOOKUP(M872&amp;"|"&amp;N872,'17. Mapa DRE CP'!$E$5:$H$100,2,FALSE),"Revisar"))</f>
        <v/>
      </c>
      <c r="S872" s="65">
        <f>IF(C872="","",IFERROR(VLOOKUP(M872&amp;"|"&amp;N872,'17. Mapa DRE CP'!$E$5:$H$100,3,FALSE),"Revisar"))</f>
        <v/>
      </c>
      <c r="T872" s="65">
        <f>IF(C872="","",IF(R872="(-) Custos diretos dos serviços",IF(ISNUMBER(SEARCH("PCMSO",C872)),"PCMSO",IF(OR(ISNUMBER(SEARCH("SGS",C872)),ISNUMBER(SEARCH("CASTRO NAVES",C872))),"Projetos / Laudos / Avulsos","Projetos / Laudos / Avulsos")),"Rateio pela receita bruta"))</f>
        <v/>
      </c>
      <c r="U872" s="65">
        <f>IF(C872="","",IF(R872="(-) Custos diretos dos serviços","Direto por fornecedor/natureza do gasto","Rateio proporcional à receita bruta da linha de serviço"))</f>
        <v/>
      </c>
    </row>
    <row r="873">
      <c r="A873" s="28">
        <f>IF(C873="","", "CP-"&amp;TEXT(ROW()-5,"000"))</f>
        <v/>
      </c>
      <c r="B873" s="27">
        <f>IF(F873="","",DATE(YEAR(F873),MONTH(F873),1))</f>
        <v/>
      </c>
      <c r="C873" s="28" t="n"/>
      <c r="D873" s="28" t="n"/>
      <c r="E873" s="59">
        <f>IF(C873="","",IFERROR(INDEX('6. Base de Custos'!$M$8:$M$42,MATCH(C873,'6. Base de Custos'!$L$8:$L$42,0)),"Não classificado"))</f>
        <v/>
      </c>
      <c r="F873" s="111" t="n"/>
      <c r="G873" s="111" t="n"/>
      <c r="H873" s="111" t="n"/>
      <c r="I873" s="45" t="n"/>
      <c r="J873" s="28" t="n"/>
      <c r="K873" s="28" t="n"/>
      <c r="L873" s="28" t="n"/>
      <c r="M873" s="59">
        <f>IF(C873="","",IFERROR(INDEX('6. Base de Custos'!$N$8:$N$42,MATCH(C873,'6. Base de Custos'!$L$8:$L$42,0)),"Não classificado"))</f>
        <v/>
      </c>
      <c r="N873" s="59">
        <f>IF(C873="","",IFERROR(INDEX('6. Base de Custos'!$O$8:$O$42,MATCH(C873,'6. Base de Custos'!$L$8:$L$42,0)),"Revisar"))</f>
        <v/>
      </c>
      <c r="O873" s="60">
        <f>IF(M873="","",IFERROR(VLOOKUP(M873,'6. Base de Custos'!$H$12:$J$18,3,FALSE),0))</f>
        <v/>
      </c>
      <c r="P873" s="59">
        <f>IF(C873="","",IFERROR(INDEX('6. Base de Custos'!$P$8:$P$42,MATCH(C873,'6. Base de Custos'!$L$8:$L$42,0)),"Revisar"))</f>
        <v/>
      </c>
      <c r="Q873" s="59">
        <f>IF(C873="","",IFERROR(INDEX('6. Base de Custos'!$Q$8:$Q$42,MATCH(C873,'6. Base de Custos'!$L$8:$L$42,0)),""))</f>
        <v/>
      </c>
      <c r="R873" s="65">
        <f>IF(C873="","",IFERROR(VLOOKUP(M873&amp;"|"&amp;N873,'17. Mapa DRE CP'!$E$5:$H$100,2,FALSE),"Revisar"))</f>
        <v/>
      </c>
      <c r="S873" s="65">
        <f>IF(C873="","",IFERROR(VLOOKUP(M873&amp;"|"&amp;N873,'17. Mapa DRE CP'!$E$5:$H$100,3,FALSE),"Revisar"))</f>
        <v/>
      </c>
      <c r="T873" s="65">
        <f>IF(C873="","",IF(R873="(-) Custos diretos dos serviços",IF(ISNUMBER(SEARCH("PCMSO",C873)),"PCMSO",IF(OR(ISNUMBER(SEARCH("SGS",C873)),ISNUMBER(SEARCH("CASTRO NAVES",C873))),"Projetos / Laudos / Avulsos","Projetos / Laudos / Avulsos")),"Rateio pela receita bruta"))</f>
        <v/>
      </c>
      <c r="U873" s="65">
        <f>IF(C873="","",IF(R873="(-) Custos diretos dos serviços","Direto por fornecedor/natureza do gasto","Rateio proporcional à receita bruta da linha de serviço"))</f>
        <v/>
      </c>
    </row>
    <row r="874">
      <c r="A874" s="28">
        <f>IF(C874="","", "CP-"&amp;TEXT(ROW()-5,"000"))</f>
        <v/>
      </c>
      <c r="B874" s="27">
        <f>IF(F874="","",DATE(YEAR(F874),MONTH(F874),1))</f>
        <v/>
      </c>
      <c r="C874" s="28" t="n"/>
      <c r="D874" s="28" t="n"/>
      <c r="E874" s="59">
        <f>IF(C874="","",IFERROR(INDEX('6. Base de Custos'!$M$8:$M$42,MATCH(C874,'6. Base de Custos'!$L$8:$L$42,0)),"Não classificado"))</f>
        <v/>
      </c>
      <c r="F874" s="111" t="n"/>
      <c r="G874" s="111" t="n"/>
      <c r="H874" s="111" t="n"/>
      <c r="I874" s="45" t="n"/>
      <c r="J874" s="28" t="n"/>
      <c r="K874" s="28" t="n"/>
      <c r="L874" s="28" t="n"/>
      <c r="M874" s="59">
        <f>IF(C874="","",IFERROR(INDEX('6. Base de Custos'!$N$8:$N$42,MATCH(C874,'6. Base de Custos'!$L$8:$L$42,0)),"Não classificado"))</f>
        <v/>
      </c>
      <c r="N874" s="59">
        <f>IF(C874="","",IFERROR(INDEX('6. Base de Custos'!$O$8:$O$42,MATCH(C874,'6. Base de Custos'!$L$8:$L$42,0)),"Revisar"))</f>
        <v/>
      </c>
      <c r="O874" s="60">
        <f>IF(M874="","",IFERROR(VLOOKUP(M874,'6. Base de Custos'!$H$12:$J$18,3,FALSE),0))</f>
        <v/>
      </c>
      <c r="P874" s="59">
        <f>IF(C874="","",IFERROR(INDEX('6. Base de Custos'!$P$8:$P$42,MATCH(C874,'6. Base de Custos'!$L$8:$L$42,0)),"Revisar"))</f>
        <v/>
      </c>
      <c r="Q874" s="59">
        <f>IF(C874="","",IFERROR(INDEX('6. Base de Custos'!$Q$8:$Q$42,MATCH(C874,'6. Base de Custos'!$L$8:$L$42,0)),""))</f>
        <v/>
      </c>
      <c r="R874" s="65">
        <f>IF(C874="","",IFERROR(VLOOKUP(M874&amp;"|"&amp;N874,'17. Mapa DRE CP'!$E$5:$H$100,2,FALSE),"Revisar"))</f>
        <v/>
      </c>
      <c r="S874" s="65">
        <f>IF(C874="","",IFERROR(VLOOKUP(M874&amp;"|"&amp;N874,'17. Mapa DRE CP'!$E$5:$H$100,3,FALSE),"Revisar"))</f>
        <v/>
      </c>
      <c r="T874" s="65">
        <f>IF(C874="","",IF(R874="(-) Custos diretos dos serviços",IF(ISNUMBER(SEARCH("PCMSO",C874)),"PCMSO",IF(OR(ISNUMBER(SEARCH("SGS",C874)),ISNUMBER(SEARCH("CASTRO NAVES",C874))),"Projetos / Laudos / Avulsos","Projetos / Laudos / Avulsos")),"Rateio pela receita bruta"))</f>
        <v/>
      </c>
      <c r="U874" s="65">
        <f>IF(C874="","",IF(R874="(-) Custos diretos dos serviços","Direto por fornecedor/natureza do gasto","Rateio proporcional à receita bruta da linha de serviço"))</f>
        <v/>
      </c>
    </row>
    <row r="875">
      <c r="A875" s="28">
        <f>IF(C875="","", "CP-"&amp;TEXT(ROW()-5,"000"))</f>
        <v/>
      </c>
      <c r="B875" s="27">
        <f>IF(F875="","",DATE(YEAR(F875),MONTH(F875),1))</f>
        <v/>
      </c>
      <c r="C875" s="28" t="n"/>
      <c r="D875" s="28" t="n"/>
      <c r="E875" s="59">
        <f>IF(C875="","",IFERROR(INDEX('6. Base de Custos'!$M$8:$M$42,MATCH(C875,'6. Base de Custos'!$L$8:$L$42,0)),"Não classificado"))</f>
        <v/>
      </c>
      <c r="F875" s="111" t="n"/>
      <c r="G875" s="111" t="n"/>
      <c r="H875" s="111" t="n"/>
      <c r="I875" s="45" t="n"/>
      <c r="J875" s="28" t="n"/>
      <c r="K875" s="28" t="n"/>
      <c r="L875" s="28" t="n"/>
      <c r="M875" s="59">
        <f>IF(C875="","",IFERROR(INDEX('6. Base de Custos'!$N$8:$N$42,MATCH(C875,'6. Base de Custos'!$L$8:$L$42,0)),"Não classificado"))</f>
        <v/>
      </c>
      <c r="N875" s="59">
        <f>IF(C875="","",IFERROR(INDEX('6. Base de Custos'!$O$8:$O$42,MATCH(C875,'6. Base de Custos'!$L$8:$L$42,0)),"Revisar"))</f>
        <v/>
      </c>
      <c r="O875" s="60">
        <f>IF(M875="","",IFERROR(VLOOKUP(M875,'6. Base de Custos'!$H$12:$J$18,3,FALSE),0))</f>
        <v/>
      </c>
      <c r="P875" s="59">
        <f>IF(C875="","",IFERROR(INDEX('6. Base de Custos'!$P$8:$P$42,MATCH(C875,'6. Base de Custos'!$L$8:$L$42,0)),"Revisar"))</f>
        <v/>
      </c>
      <c r="Q875" s="59">
        <f>IF(C875="","",IFERROR(INDEX('6. Base de Custos'!$Q$8:$Q$42,MATCH(C875,'6. Base de Custos'!$L$8:$L$42,0)),""))</f>
        <v/>
      </c>
      <c r="R875" s="65">
        <f>IF(C875="","",IFERROR(VLOOKUP(M875&amp;"|"&amp;N875,'17. Mapa DRE CP'!$E$5:$H$100,2,FALSE),"Revisar"))</f>
        <v/>
      </c>
      <c r="S875" s="65">
        <f>IF(C875="","",IFERROR(VLOOKUP(M875&amp;"|"&amp;N875,'17. Mapa DRE CP'!$E$5:$H$100,3,FALSE),"Revisar"))</f>
        <v/>
      </c>
      <c r="T875" s="65">
        <f>IF(C875="","",IF(R875="(-) Custos diretos dos serviços",IF(ISNUMBER(SEARCH("PCMSO",C875)),"PCMSO",IF(OR(ISNUMBER(SEARCH("SGS",C875)),ISNUMBER(SEARCH("CASTRO NAVES",C875))),"Projetos / Laudos / Avulsos","Projetos / Laudos / Avulsos")),"Rateio pela receita bruta"))</f>
        <v/>
      </c>
      <c r="U875" s="65">
        <f>IF(C875="","",IF(R875="(-) Custos diretos dos serviços","Direto por fornecedor/natureza do gasto","Rateio proporcional à receita bruta da linha de serviço"))</f>
        <v/>
      </c>
    </row>
    <row r="876">
      <c r="A876" s="28">
        <f>IF(C876="","", "CP-"&amp;TEXT(ROW()-5,"000"))</f>
        <v/>
      </c>
      <c r="B876" s="27">
        <f>IF(F876="","",DATE(YEAR(F876),MONTH(F876),1))</f>
        <v/>
      </c>
      <c r="C876" s="28" t="n"/>
      <c r="D876" s="28" t="n"/>
      <c r="E876" s="59">
        <f>IF(C876="","",IFERROR(INDEX('6. Base de Custos'!$M$8:$M$42,MATCH(C876,'6. Base de Custos'!$L$8:$L$42,0)),"Não classificado"))</f>
        <v/>
      </c>
      <c r="F876" s="111" t="n"/>
      <c r="G876" s="111" t="n"/>
      <c r="H876" s="111" t="n"/>
      <c r="I876" s="45" t="n"/>
      <c r="J876" s="28" t="n"/>
      <c r="K876" s="28" t="n"/>
      <c r="L876" s="28" t="n"/>
      <c r="M876" s="59">
        <f>IF(C876="","",IFERROR(INDEX('6. Base de Custos'!$N$8:$N$42,MATCH(C876,'6. Base de Custos'!$L$8:$L$42,0)),"Não classificado"))</f>
        <v/>
      </c>
      <c r="N876" s="59">
        <f>IF(C876="","",IFERROR(INDEX('6. Base de Custos'!$O$8:$O$42,MATCH(C876,'6. Base de Custos'!$L$8:$L$42,0)),"Revisar"))</f>
        <v/>
      </c>
      <c r="O876" s="60">
        <f>IF(M876="","",IFERROR(VLOOKUP(M876,'6. Base de Custos'!$H$12:$J$18,3,FALSE),0))</f>
        <v/>
      </c>
      <c r="P876" s="59">
        <f>IF(C876="","",IFERROR(INDEX('6. Base de Custos'!$P$8:$P$42,MATCH(C876,'6. Base de Custos'!$L$8:$L$42,0)),"Revisar"))</f>
        <v/>
      </c>
      <c r="Q876" s="59">
        <f>IF(C876="","",IFERROR(INDEX('6. Base de Custos'!$Q$8:$Q$42,MATCH(C876,'6. Base de Custos'!$L$8:$L$42,0)),""))</f>
        <v/>
      </c>
      <c r="R876" s="65">
        <f>IF(C876="","",IFERROR(VLOOKUP(M876&amp;"|"&amp;N876,'17. Mapa DRE CP'!$E$5:$H$100,2,FALSE),"Revisar"))</f>
        <v/>
      </c>
      <c r="S876" s="65">
        <f>IF(C876="","",IFERROR(VLOOKUP(M876&amp;"|"&amp;N876,'17. Mapa DRE CP'!$E$5:$H$100,3,FALSE),"Revisar"))</f>
        <v/>
      </c>
      <c r="T876" s="65">
        <f>IF(C876="","",IF(R876="(-) Custos diretos dos serviços",IF(ISNUMBER(SEARCH("PCMSO",C876)),"PCMSO",IF(OR(ISNUMBER(SEARCH("SGS",C876)),ISNUMBER(SEARCH("CASTRO NAVES",C876))),"Projetos / Laudos / Avulsos","Projetos / Laudos / Avulsos")),"Rateio pela receita bruta"))</f>
        <v/>
      </c>
      <c r="U876" s="65">
        <f>IF(C876="","",IF(R876="(-) Custos diretos dos serviços","Direto por fornecedor/natureza do gasto","Rateio proporcional à receita bruta da linha de serviço"))</f>
        <v/>
      </c>
    </row>
    <row r="877">
      <c r="A877" s="28">
        <f>IF(C877="","", "CP-"&amp;TEXT(ROW()-5,"000"))</f>
        <v/>
      </c>
      <c r="B877" s="27">
        <f>IF(F877="","",DATE(YEAR(F877),MONTH(F877),1))</f>
        <v/>
      </c>
      <c r="C877" s="28" t="n"/>
      <c r="D877" s="28" t="n"/>
      <c r="E877" s="59">
        <f>IF(C877="","",IFERROR(INDEX('6. Base de Custos'!$M$8:$M$42,MATCH(C877,'6. Base de Custos'!$L$8:$L$42,0)),"Não classificado"))</f>
        <v/>
      </c>
      <c r="F877" s="111" t="n"/>
      <c r="G877" s="111" t="n"/>
      <c r="H877" s="111" t="n"/>
      <c r="I877" s="45" t="n"/>
      <c r="J877" s="28" t="n"/>
      <c r="K877" s="28" t="n"/>
      <c r="L877" s="28" t="n"/>
      <c r="M877" s="59">
        <f>IF(C877="","",IFERROR(INDEX('6. Base de Custos'!$N$8:$N$42,MATCH(C877,'6. Base de Custos'!$L$8:$L$42,0)),"Não classificado"))</f>
        <v/>
      </c>
      <c r="N877" s="59">
        <f>IF(C877="","",IFERROR(INDEX('6. Base de Custos'!$O$8:$O$42,MATCH(C877,'6. Base de Custos'!$L$8:$L$42,0)),"Revisar"))</f>
        <v/>
      </c>
      <c r="O877" s="60">
        <f>IF(M877="","",IFERROR(VLOOKUP(M877,'6. Base de Custos'!$H$12:$J$18,3,FALSE),0))</f>
        <v/>
      </c>
      <c r="P877" s="59">
        <f>IF(C877="","",IFERROR(INDEX('6. Base de Custos'!$P$8:$P$42,MATCH(C877,'6. Base de Custos'!$L$8:$L$42,0)),"Revisar"))</f>
        <v/>
      </c>
      <c r="Q877" s="59">
        <f>IF(C877="","",IFERROR(INDEX('6. Base de Custos'!$Q$8:$Q$42,MATCH(C877,'6. Base de Custos'!$L$8:$L$42,0)),""))</f>
        <v/>
      </c>
      <c r="R877" s="65">
        <f>IF(C877="","",IFERROR(VLOOKUP(M877&amp;"|"&amp;N877,'17. Mapa DRE CP'!$E$5:$H$100,2,FALSE),"Revisar"))</f>
        <v/>
      </c>
      <c r="S877" s="65">
        <f>IF(C877="","",IFERROR(VLOOKUP(M877&amp;"|"&amp;N877,'17. Mapa DRE CP'!$E$5:$H$100,3,FALSE),"Revisar"))</f>
        <v/>
      </c>
      <c r="T877" s="65">
        <f>IF(C877="","",IF(R877="(-) Custos diretos dos serviços",IF(ISNUMBER(SEARCH("PCMSO",C877)),"PCMSO",IF(OR(ISNUMBER(SEARCH("SGS",C877)),ISNUMBER(SEARCH("CASTRO NAVES",C877))),"Projetos / Laudos / Avulsos","Projetos / Laudos / Avulsos")),"Rateio pela receita bruta"))</f>
        <v/>
      </c>
      <c r="U877" s="65">
        <f>IF(C877="","",IF(R877="(-) Custos diretos dos serviços","Direto por fornecedor/natureza do gasto","Rateio proporcional à receita bruta da linha de serviço"))</f>
        <v/>
      </c>
    </row>
    <row r="878">
      <c r="A878" s="28">
        <f>IF(C878="","", "CP-"&amp;TEXT(ROW()-5,"000"))</f>
        <v/>
      </c>
      <c r="B878" s="27">
        <f>IF(F878="","",DATE(YEAR(F878),MONTH(F878),1))</f>
        <v/>
      </c>
      <c r="C878" s="28" t="n"/>
      <c r="D878" s="28" t="n"/>
      <c r="E878" s="59">
        <f>IF(C878="","",IFERROR(INDEX('6. Base de Custos'!$M$8:$M$42,MATCH(C878,'6. Base de Custos'!$L$8:$L$42,0)),"Não classificado"))</f>
        <v/>
      </c>
      <c r="F878" s="111" t="n"/>
      <c r="G878" s="111" t="n"/>
      <c r="H878" s="111" t="n"/>
      <c r="I878" s="45" t="n"/>
      <c r="J878" s="28" t="n"/>
      <c r="K878" s="28" t="n"/>
      <c r="L878" s="28" t="n"/>
      <c r="M878" s="59">
        <f>IF(C878="","",IFERROR(INDEX('6. Base de Custos'!$N$8:$N$42,MATCH(C878,'6. Base de Custos'!$L$8:$L$42,0)),"Não classificado"))</f>
        <v/>
      </c>
      <c r="N878" s="59">
        <f>IF(C878="","",IFERROR(INDEX('6. Base de Custos'!$O$8:$O$42,MATCH(C878,'6. Base de Custos'!$L$8:$L$42,0)),"Revisar"))</f>
        <v/>
      </c>
      <c r="O878" s="60">
        <f>IF(M878="","",IFERROR(VLOOKUP(M878,'6. Base de Custos'!$H$12:$J$18,3,FALSE),0))</f>
        <v/>
      </c>
      <c r="P878" s="59">
        <f>IF(C878="","",IFERROR(INDEX('6. Base de Custos'!$P$8:$P$42,MATCH(C878,'6. Base de Custos'!$L$8:$L$42,0)),"Revisar"))</f>
        <v/>
      </c>
      <c r="Q878" s="59">
        <f>IF(C878="","",IFERROR(INDEX('6. Base de Custos'!$Q$8:$Q$42,MATCH(C878,'6. Base de Custos'!$L$8:$L$42,0)),""))</f>
        <v/>
      </c>
      <c r="R878" s="65">
        <f>IF(C878="","",IFERROR(VLOOKUP(M878&amp;"|"&amp;N878,'17. Mapa DRE CP'!$E$5:$H$100,2,FALSE),"Revisar"))</f>
        <v/>
      </c>
      <c r="S878" s="65">
        <f>IF(C878="","",IFERROR(VLOOKUP(M878&amp;"|"&amp;N878,'17. Mapa DRE CP'!$E$5:$H$100,3,FALSE),"Revisar"))</f>
        <v/>
      </c>
      <c r="T878" s="65">
        <f>IF(C878="","",IF(R878="(-) Custos diretos dos serviços",IF(ISNUMBER(SEARCH("PCMSO",C878)),"PCMSO",IF(OR(ISNUMBER(SEARCH("SGS",C878)),ISNUMBER(SEARCH("CASTRO NAVES",C878))),"Projetos / Laudos / Avulsos","Projetos / Laudos / Avulsos")),"Rateio pela receita bruta"))</f>
        <v/>
      </c>
      <c r="U878" s="65">
        <f>IF(C878="","",IF(R878="(-) Custos diretos dos serviços","Direto por fornecedor/natureza do gasto","Rateio proporcional à receita bruta da linha de serviço"))</f>
        <v/>
      </c>
    </row>
    <row r="879">
      <c r="A879" s="28">
        <f>IF(C879="","", "CP-"&amp;TEXT(ROW()-5,"000"))</f>
        <v/>
      </c>
      <c r="B879" s="27">
        <f>IF(F879="","",DATE(YEAR(F879),MONTH(F879),1))</f>
        <v/>
      </c>
      <c r="C879" s="28" t="n"/>
      <c r="D879" s="28" t="n"/>
      <c r="E879" s="59">
        <f>IF(C879="","",IFERROR(INDEX('6. Base de Custos'!$M$8:$M$42,MATCH(C879,'6. Base de Custos'!$L$8:$L$42,0)),"Não classificado"))</f>
        <v/>
      </c>
      <c r="F879" s="111" t="n"/>
      <c r="G879" s="111" t="n"/>
      <c r="H879" s="111" t="n"/>
      <c r="I879" s="45" t="n"/>
      <c r="J879" s="28" t="n"/>
      <c r="K879" s="28" t="n"/>
      <c r="L879" s="28" t="n"/>
      <c r="M879" s="59">
        <f>IF(C879="","",IFERROR(INDEX('6. Base de Custos'!$N$8:$N$42,MATCH(C879,'6. Base de Custos'!$L$8:$L$42,0)),"Não classificado"))</f>
        <v/>
      </c>
      <c r="N879" s="59">
        <f>IF(C879="","",IFERROR(INDEX('6. Base de Custos'!$O$8:$O$42,MATCH(C879,'6. Base de Custos'!$L$8:$L$42,0)),"Revisar"))</f>
        <v/>
      </c>
      <c r="O879" s="60">
        <f>IF(M879="","",IFERROR(VLOOKUP(M879,'6. Base de Custos'!$H$12:$J$18,3,FALSE),0))</f>
        <v/>
      </c>
      <c r="P879" s="59">
        <f>IF(C879="","",IFERROR(INDEX('6. Base de Custos'!$P$8:$P$42,MATCH(C879,'6. Base de Custos'!$L$8:$L$42,0)),"Revisar"))</f>
        <v/>
      </c>
      <c r="Q879" s="59">
        <f>IF(C879="","",IFERROR(INDEX('6. Base de Custos'!$Q$8:$Q$42,MATCH(C879,'6. Base de Custos'!$L$8:$L$42,0)),""))</f>
        <v/>
      </c>
      <c r="R879" s="65">
        <f>IF(C879="","",IFERROR(VLOOKUP(M879&amp;"|"&amp;N879,'17. Mapa DRE CP'!$E$5:$H$100,2,FALSE),"Revisar"))</f>
        <v/>
      </c>
      <c r="S879" s="65">
        <f>IF(C879="","",IFERROR(VLOOKUP(M879&amp;"|"&amp;N879,'17. Mapa DRE CP'!$E$5:$H$100,3,FALSE),"Revisar"))</f>
        <v/>
      </c>
      <c r="T879" s="65">
        <f>IF(C879="","",IF(R879="(-) Custos diretos dos serviços",IF(ISNUMBER(SEARCH("PCMSO",C879)),"PCMSO",IF(OR(ISNUMBER(SEARCH("SGS",C879)),ISNUMBER(SEARCH("CASTRO NAVES",C879))),"Projetos / Laudos / Avulsos","Projetos / Laudos / Avulsos")),"Rateio pela receita bruta"))</f>
        <v/>
      </c>
      <c r="U879" s="65">
        <f>IF(C879="","",IF(R879="(-) Custos diretos dos serviços","Direto por fornecedor/natureza do gasto","Rateio proporcional à receita bruta da linha de serviço"))</f>
        <v/>
      </c>
    </row>
    <row r="880">
      <c r="A880" s="28">
        <f>IF(C880="","", "CP-"&amp;TEXT(ROW()-5,"000"))</f>
        <v/>
      </c>
      <c r="B880" s="27">
        <f>IF(F880="","",DATE(YEAR(F880),MONTH(F880),1))</f>
        <v/>
      </c>
      <c r="C880" s="28" t="n"/>
      <c r="D880" s="28" t="n"/>
      <c r="E880" s="59">
        <f>IF(C880="","",IFERROR(INDEX('6. Base de Custos'!$M$8:$M$42,MATCH(C880,'6. Base de Custos'!$L$8:$L$42,0)),"Não classificado"))</f>
        <v/>
      </c>
      <c r="F880" s="111" t="n"/>
      <c r="G880" s="111" t="n"/>
      <c r="H880" s="111" t="n"/>
      <c r="I880" s="45" t="n"/>
      <c r="J880" s="28" t="n"/>
      <c r="K880" s="28" t="n"/>
      <c r="L880" s="28" t="n"/>
      <c r="M880" s="59">
        <f>IF(C880="","",IFERROR(INDEX('6. Base de Custos'!$N$8:$N$42,MATCH(C880,'6. Base de Custos'!$L$8:$L$42,0)),"Não classificado"))</f>
        <v/>
      </c>
      <c r="N880" s="59">
        <f>IF(C880="","",IFERROR(INDEX('6. Base de Custos'!$O$8:$O$42,MATCH(C880,'6. Base de Custos'!$L$8:$L$42,0)),"Revisar"))</f>
        <v/>
      </c>
      <c r="O880" s="60">
        <f>IF(M880="","",IFERROR(VLOOKUP(M880,'6. Base de Custos'!$H$12:$J$18,3,FALSE),0))</f>
        <v/>
      </c>
      <c r="P880" s="59">
        <f>IF(C880="","",IFERROR(INDEX('6. Base de Custos'!$P$8:$P$42,MATCH(C880,'6. Base de Custos'!$L$8:$L$42,0)),"Revisar"))</f>
        <v/>
      </c>
      <c r="Q880" s="59">
        <f>IF(C880="","",IFERROR(INDEX('6. Base de Custos'!$Q$8:$Q$42,MATCH(C880,'6. Base de Custos'!$L$8:$L$42,0)),""))</f>
        <v/>
      </c>
      <c r="R880" s="65">
        <f>IF(C880="","",IFERROR(VLOOKUP(M880&amp;"|"&amp;N880,'17. Mapa DRE CP'!$E$5:$H$100,2,FALSE),"Revisar"))</f>
        <v/>
      </c>
      <c r="S880" s="65">
        <f>IF(C880="","",IFERROR(VLOOKUP(M880&amp;"|"&amp;N880,'17. Mapa DRE CP'!$E$5:$H$100,3,FALSE),"Revisar"))</f>
        <v/>
      </c>
      <c r="T880" s="65">
        <f>IF(C880="","",IF(R880="(-) Custos diretos dos serviços",IF(ISNUMBER(SEARCH("PCMSO",C880)),"PCMSO",IF(OR(ISNUMBER(SEARCH("SGS",C880)),ISNUMBER(SEARCH("CASTRO NAVES",C880))),"Projetos / Laudos / Avulsos","Projetos / Laudos / Avulsos")),"Rateio pela receita bruta"))</f>
        <v/>
      </c>
      <c r="U880" s="65">
        <f>IF(C880="","",IF(R880="(-) Custos diretos dos serviços","Direto por fornecedor/natureza do gasto","Rateio proporcional à receita bruta da linha de serviço"))</f>
        <v/>
      </c>
    </row>
    <row r="881">
      <c r="A881" s="28">
        <f>IF(C881="","", "CP-"&amp;TEXT(ROW()-5,"000"))</f>
        <v/>
      </c>
      <c r="B881" s="27">
        <f>IF(F881="","",DATE(YEAR(F881),MONTH(F881),1))</f>
        <v/>
      </c>
      <c r="C881" s="28" t="n"/>
      <c r="D881" s="28" t="n"/>
      <c r="E881" s="59">
        <f>IF(C881="","",IFERROR(INDEX('6. Base de Custos'!$M$8:$M$42,MATCH(C881,'6. Base de Custos'!$L$8:$L$42,0)),"Não classificado"))</f>
        <v/>
      </c>
      <c r="F881" s="111" t="n"/>
      <c r="G881" s="111" t="n"/>
      <c r="H881" s="111" t="n"/>
      <c r="I881" s="45" t="n"/>
      <c r="J881" s="28" t="n"/>
      <c r="K881" s="28" t="n"/>
      <c r="L881" s="28" t="n"/>
      <c r="M881" s="59">
        <f>IF(C881="","",IFERROR(INDEX('6. Base de Custos'!$N$8:$N$42,MATCH(C881,'6. Base de Custos'!$L$8:$L$42,0)),"Não classificado"))</f>
        <v/>
      </c>
      <c r="N881" s="59">
        <f>IF(C881="","",IFERROR(INDEX('6. Base de Custos'!$O$8:$O$42,MATCH(C881,'6. Base de Custos'!$L$8:$L$42,0)),"Revisar"))</f>
        <v/>
      </c>
      <c r="O881" s="60">
        <f>IF(M881="","",IFERROR(VLOOKUP(M881,'6. Base de Custos'!$H$12:$J$18,3,FALSE),0))</f>
        <v/>
      </c>
      <c r="P881" s="59">
        <f>IF(C881="","",IFERROR(INDEX('6. Base de Custos'!$P$8:$P$42,MATCH(C881,'6. Base de Custos'!$L$8:$L$42,0)),"Revisar"))</f>
        <v/>
      </c>
      <c r="Q881" s="59">
        <f>IF(C881="","",IFERROR(INDEX('6. Base de Custos'!$Q$8:$Q$42,MATCH(C881,'6. Base de Custos'!$L$8:$L$42,0)),""))</f>
        <v/>
      </c>
      <c r="R881" s="65">
        <f>IF(C881="","",IFERROR(VLOOKUP(M881&amp;"|"&amp;N881,'17. Mapa DRE CP'!$E$5:$H$100,2,FALSE),"Revisar"))</f>
        <v/>
      </c>
      <c r="S881" s="65">
        <f>IF(C881="","",IFERROR(VLOOKUP(M881&amp;"|"&amp;N881,'17. Mapa DRE CP'!$E$5:$H$100,3,FALSE),"Revisar"))</f>
        <v/>
      </c>
      <c r="T881" s="65">
        <f>IF(C881="","",IF(R881="(-) Custos diretos dos serviços",IF(ISNUMBER(SEARCH("PCMSO",C881)),"PCMSO",IF(OR(ISNUMBER(SEARCH("SGS",C881)),ISNUMBER(SEARCH("CASTRO NAVES",C881))),"Projetos / Laudos / Avulsos","Projetos / Laudos / Avulsos")),"Rateio pela receita bruta"))</f>
        <v/>
      </c>
      <c r="U881" s="65">
        <f>IF(C881="","",IF(R881="(-) Custos diretos dos serviços","Direto por fornecedor/natureza do gasto","Rateio proporcional à receita bruta da linha de serviço"))</f>
        <v/>
      </c>
    </row>
    <row r="882">
      <c r="A882" s="28">
        <f>IF(C882="","", "CP-"&amp;TEXT(ROW()-5,"000"))</f>
        <v/>
      </c>
      <c r="B882" s="27">
        <f>IF(F882="","",DATE(YEAR(F882),MONTH(F882),1))</f>
        <v/>
      </c>
      <c r="C882" s="28" t="n"/>
      <c r="D882" s="28" t="n"/>
      <c r="E882" s="59">
        <f>IF(C882="","",IFERROR(INDEX('6. Base de Custos'!$M$8:$M$42,MATCH(C882,'6. Base de Custos'!$L$8:$L$42,0)),"Não classificado"))</f>
        <v/>
      </c>
      <c r="F882" s="111" t="n"/>
      <c r="G882" s="111" t="n"/>
      <c r="H882" s="111" t="n"/>
      <c r="I882" s="45" t="n"/>
      <c r="J882" s="28" t="n"/>
      <c r="K882" s="28" t="n"/>
      <c r="L882" s="28" t="n"/>
      <c r="M882" s="59">
        <f>IF(C882="","",IFERROR(INDEX('6. Base de Custos'!$N$8:$N$42,MATCH(C882,'6. Base de Custos'!$L$8:$L$42,0)),"Não classificado"))</f>
        <v/>
      </c>
      <c r="N882" s="59">
        <f>IF(C882="","",IFERROR(INDEX('6. Base de Custos'!$O$8:$O$42,MATCH(C882,'6. Base de Custos'!$L$8:$L$42,0)),"Revisar"))</f>
        <v/>
      </c>
      <c r="O882" s="60">
        <f>IF(M882="","",IFERROR(VLOOKUP(M882,'6. Base de Custos'!$H$12:$J$18,3,FALSE),0))</f>
        <v/>
      </c>
      <c r="P882" s="59">
        <f>IF(C882="","",IFERROR(INDEX('6. Base de Custos'!$P$8:$P$42,MATCH(C882,'6. Base de Custos'!$L$8:$L$42,0)),"Revisar"))</f>
        <v/>
      </c>
      <c r="Q882" s="59">
        <f>IF(C882="","",IFERROR(INDEX('6. Base de Custos'!$Q$8:$Q$42,MATCH(C882,'6. Base de Custos'!$L$8:$L$42,0)),""))</f>
        <v/>
      </c>
      <c r="R882" s="65">
        <f>IF(C882="","",IFERROR(VLOOKUP(M882&amp;"|"&amp;N882,'17. Mapa DRE CP'!$E$5:$H$100,2,FALSE),"Revisar"))</f>
        <v/>
      </c>
      <c r="S882" s="65">
        <f>IF(C882="","",IFERROR(VLOOKUP(M882&amp;"|"&amp;N882,'17. Mapa DRE CP'!$E$5:$H$100,3,FALSE),"Revisar"))</f>
        <v/>
      </c>
      <c r="T882" s="65">
        <f>IF(C882="","",IF(R882="(-) Custos diretos dos serviços",IF(ISNUMBER(SEARCH("PCMSO",C882)),"PCMSO",IF(OR(ISNUMBER(SEARCH("SGS",C882)),ISNUMBER(SEARCH("CASTRO NAVES",C882))),"Projetos / Laudos / Avulsos","Projetos / Laudos / Avulsos")),"Rateio pela receita bruta"))</f>
        <v/>
      </c>
      <c r="U882" s="65">
        <f>IF(C882="","",IF(R882="(-) Custos diretos dos serviços","Direto por fornecedor/natureza do gasto","Rateio proporcional à receita bruta da linha de serviço"))</f>
        <v/>
      </c>
    </row>
    <row r="883">
      <c r="A883" s="28">
        <f>IF(C883="","", "CP-"&amp;TEXT(ROW()-5,"000"))</f>
        <v/>
      </c>
      <c r="B883" s="27">
        <f>IF(F883="","",DATE(YEAR(F883),MONTH(F883),1))</f>
        <v/>
      </c>
      <c r="C883" s="28" t="n"/>
      <c r="D883" s="28" t="n"/>
      <c r="E883" s="59">
        <f>IF(C883="","",IFERROR(INDEX('6. Base de Custos'!$M$8:$M$42,MATCH(C883,'6. Base de Custos'!$L$8:$L$42,0)),"Não classificado"))</f>
        <v/>
      </c>
      <c r="F883" s="111" t="n"/>
      <c r="G883" s="111" t="n"/>
      <c r="H883" s="111" t="n"/>
      <c r="I883" s="45" t="n"/>
      <c r="J883" s="28" t="n"/>
      <c r="K883" s="28" t="n"/>
      <c r="L883" s="28" t="n"/>
      <c r="M883" s="59">
        <f>IF(C883="","",IFERROR(INDEX('6. Base de Custos'!$N$8:$N$42,MATCH(C883,'6. Base de Custos'!$L$8:$L$42,0)),"Não classificado"))</f>
        <v/>
      </c>
      <c r="N883" s="59">
        <f>IF(C883="","",IFERROR(INDEX('6. Base de Custos'!$O$8:$O$42,MATCH(C883,'6. Base de Custos'!$L$8:$L$42,0)),"Revisar"))</f>
        <v/>
      </c>
      <c r="O883" s="60">
        <f>IF(M883="","",IFERROR(VLOOKUP(M883,'6. Base de Custos'!$H$12:$J$18,3,FALSE),0))</f>
        <v/>
      </c>
      <c r="P883" s="59">
        <f>IF(C883="","",IFERROR(INDEX('6. Base de Custos'!$P$8:$P$42,MATCH(C883,'6. Base de Custos'!$L$8:$L$42,0)),"Revisar"))</f>
        <v/>
      </c>
      <c r="Q883" s="59">
        <f>IF(C883="","",IFERROR(INDEX('6. Base de Custos'!$Q$8:$Q$42,MATCH(C883,'6. Base de Custos'!$L$8:$L$42,0)),""))</f>
        <v/>
      </c>
      <c r="R883" s="65">
        <f>IF(C883="","",IFERROR(VLOOKUP(M883&amp;"|"&amp;N883,'17. Mapa DRE CP'!$E$5:$H$100,2,FALSE),"Revisar"))</f>
        <v/>
      </c>
      <c r="S883" s="65">
        <f>IF(C883="","",IFERROR(VLOOKUP(M883&amp;"|"&amp;N883,'17. Mapa DRE CP'!$E$5:$H$100,3,FALSE),"Revisar"))</f>
        <v/>
      </c>
      <c r="T883" s="65">
        <f>IF(C883="","",IF(R883="(-) Custos diretos dos serviços",IF(ISNUMBER(SEARCH("PCMSO",C883)),"PCMSO",IF(OR(ISNUMBER(SEARCH("SGS",C883)),ISNUMBER(SEARCH("CASTRO NAVES",C883))),"Projetos / Laudos / Avulsos","Projetos / Laudos / Avulsos")),"Rateio pela receita bruta"))</f>
        <v/>
      </c>
      <c r="U883" s="65">
        <f>IF(C883="","",IF(R883="(-) Custos diretos dos serviços","Direto por fornecedor/natureza do gasto","Rateio proporcional à receita bruta da linha de serviço"))</f>
        <v/>
      </c>
    </row>
    <row r="884">
      <c r="A884" s="28">
        <f>IF(C884="","", "CP-"&amp;TEXT(ROW()-5,"000"))</f>
        <v/>
      </c>
      <c r="B884" s="27">
        <f>IF(F884="","",DATE(YEAR(F884),MONTH(F884),1))</f>
        <v/>
      </c>
      <c r="C884" s="28" t="n"/>
      <c r="D884" s="28" t="n"/>
      <c r="E884" s="59">
        <f>IF(C884="","",IFERROR(INDEX('6. Base de Custos'!$M$8:$M$42,MATCH(C884,'6. Base de Custos'!$L$8:$L$42,0)),"Não classificado"))</f>
        <v/>
      </c>
      <c r="F884" s="111" t="n"/>
      <c r="G884" s="111" t="n"/>
      <c r="H884" s="111" t="n"/>
      <c r="I884" s="45" t="n"/>
      <c r="J884" s="28" t="n"/>
      <c r="K884" s="28" t="n"/>
      <c r="L884" s="28" t="n"/>
      <c r="M884" s="59">
        <f>IF(C884="","",IFERROR(INDEX('6. Base de Custos'!$N$8:$N$42,MATCH(C884,'6. Base de Custos'!$L$8:$L$42,0)),"Não classificado"))</f>
        <v/>
      </c>
      <c r="N884" s="59">
        <f>IF(C884="","",IFERROR(INDEX('6. Base de Custos'!$O$8:$O$42,MATCH(C884,'6. Base de Custos'!$L$8:$L$42,0)),"Revisar"))</f>
        <v/>
      </c>
      <c r="O884" s="60">
        <f>IF(M884="","",IFERROR(VLOOKUP(M884,'6. Base de Custos'!$H$12:$J$18,3,FALSE),0))</f>
        <v/>
      </c>
      <c r="P884" s="59">
        <f>IF(C884="","",IFERROR(INDEX('6. Base de Custos'!$P$8:$P$42,MATCH(C884,'6. Base de Custos'!$L$8:$L$42,0)),"Revisar"))</f>
        <v/>
      </c>
      <c r="Q884" s="59">
        <f>IF(C884="","",IFERROR(INDEX('6. Base de Custos'!$Q$8:$Q$42,MATCH(C884,'6. Base de Custos'!$L$8:$L$42,0)),""))</f>
        <v/>
      </c>
      <c r="R884" s="65">
        <f>IF(C884="","",IFERROR(VLOOKUP(M884&amp;"|"&amp;N884,'17. Mapa DRE CP'!$E$5:$H$100,2,FALSE),"Revisar"))</f>
        <v/>
      </c>
      <c r="S884" s="65">
        <f>IF(C884="","",IFERROR(VLOOKUP(M884&amp;"|"&amp;N884,'17. Mapa DRE CP'!$E$5:$H$100,3,FALSE),"Revisar"))</f>
        <v/>
      </c>
      <c r="T884" s="65">
        <f>IF(C884="","",IF(R884="(-) Custos diretos dos serviços",IF(ISNUMBER(SEARCH("PCMSO",C884)),"PCMSO",IF(OR(ISNUMBER(SEARCH("SGS",C884)),ISNUMBER(SEARCH("CASTRO NAVES",C884))),"Projetos / Laudos / Avulsos","Projetos / Laudos / Avulsos")),"Rateio pela receita bruta"))</f>
        <v/>
      </c>
      <c r="U884" s="65">
        <f>IF(C884="","",IF(R884="(-) Custos diretos dos serviços","Direto por fornecedor/natureza do gasto","Rateio proporcional à receita bruta da linha de serviço"))</f>
        <v/>
      </c>
    </row>
    <row r="885">
      <c r="A885" s="28">
        <f>IF(C885="","", "CP-"&amp;TEXT(ROW()-5,"000"))</f>
        <v/>
      </c>
      <c r="B885" s="27">
        <f>IF(F885="","",DATE(YEAR(F885),MONTH(F885),1))</f>
        <v/>
      </c>
      <c r="C885" s="28" t="n"/>
      <c r="D885" s="28" t="n"/>
      <c r="E885" s="59">
        <f>IF(C885="","",IFERROR(INDEX('6. Base de Custos'!$M$8:$M$42,MATCH(C885,'6. Base de Custos'!$L$8:$L$42,0)),"Não classificado"))</f>
        <v/>
      </c>
      <c r="F885" s="111" t="n"/>
      <c r="G885" s="111" t="n"/>
      <c r="H885" s="111" t="n"/>
      <c r="I885" s="45" t="n"/>
      <c r="J885" s="28" t="n"/>
      <c r="K885" s="28" t="n"/>
      <c r="L885" s="28" t="n"/>
      <c r="M885" s="59">
        <f>IF(C885="","",IFERROR(INDEX('6. Base de Custos'!$N$8:$N$42,MATCH(C885,'6. Base de Custos'!$L$8:$L$42,0)),"Não classificado"))</f>
        <v/>
      </c>
      <c r="N885" s="59">
        <f>IF(C885="","",IFERROR(INDEX('6. Base de Custos'!$O$8:$O$42,MATCH(C885,'6. Base de Custos'!$L$8:$L$42,0)),"Revisar"))</f>
        <v/>
      </c>
      <c r="O885" s="60">
        <f>IF(M885="","",IFERROR(VLOOKUP(M885,'6. Base de Custos'!$H$12:$J$18,3,FALSE),0))</f>
        <v/>
      </c>
      <c r="P885" s="59">
        <f>IF(C885="","",IFERROR(INDEX('6. Base de Custos'!$P$8:$P$42,MATCH(C885,'6. Base de Custos'!$L$8:$L$42,0)),"Revisar"))</f>
        <v/>
      </c>
      <c r="Q885" s="59">
        <f>IF(C885="","",IFERROR(INDEX('6. Base de Custos'!$Q$8:$Q$42,MATCH(C885,'6. Base de Custos'!$L$8:$L$42,0)),""))</f>
        <v/>
      </c>
      <c r="R885" s="65">
        <f>IF(C885="","",IFERROR(VLOOKUP(M885&amp;"|"&amp;N885,'17. Mapa DRE CP'!$E$5:$H$100,2,FALSE),"Revisar"))</f>
        <v/>
      </c>
      <c r="S885" s="65">
        <f>IF(C885="","",IFERROR(VLOOKUP(M885&amp;"|"&amp;N885,'17. Mapa DRE CP'!$E$5:$H$100,3,FALSE),"Revisar"))</f>
        <v/>
      </c>
      <c r="T885" s="65">
        <f>IF(C885="","",IF(R885="(-) Custos diretos dos serviços",IF(ISNUMBER(SEARCH("PCMSO",C885)),"PCMSO",IF(OR(ISNUMBER(SEARCH("SGS",C885)),ISNUMBER(SEARCH("CASTRO NAVES",C885))),"Projetos / Laudos / Avulsos","Projetos / Laudos / Avulsos")),"Rateio pela receita bruta"))</f>
        <v/>
      </c>
      <c r="U885" s="65">
        <f>IF(C885="","",IF(R885="(-) Custos diretos dos serviços","Direto por fornecedor/natureza do gasto","Rateio proporcional à receita bruta da linha de serviço"))</f>
        <v/>
      </c>
    </row>
    <row r="886">
      <c r="A886" s="28">
        <f>IF(C886="","", "CP-"&amp;TEXT(ROW()-5,"000"))</f>
        <v/>
      </c>
      <c r="B886" s="27">
        <f>IF(F886="","",DATE(YEAR(F886),MONTH(F886),1))</f>
        <v/>
      </c>
      <c r="C886" s="28" t="n"/>
      <c r="D886" s="28" t="n"/>
      <c r="E886" s="59">
        <f>IF(C886="","",IFERROR(INDEX('6. Base de Custos'!$M$8:$M$42,MATCH(C886,'6. Base de Custos'!$L$8:$L$42,0)),"Não classificado"))</f>
        <v/>
      </c>
      <c r="F886" s="111" t="n"/>
      <c r="G886" s="111" t="n"/>
      <c r="H886" s="111" t="n"/>
      <c r="I886" s="45" t="n"/>
      <c r="J886" s="28" t="n"/>
      <c r="K886" s="28" t="n"/>
      <c r="L886" s="28" t="n"/>
      <c r="M886" s="59">
        <f>IF(C886="","",IFERROR(INDEX('6. Base de Custos'!$N$8:$N$42,MATCH(C886,'6. Base de Custos'!$L$8:$L$42,0)),"Não classificado"))</f>
        <v/>
      </c>
      <c r="N886" s="59">
        <f>IF(C886="","",IFERROR(INDEX('6. Base de Custos'!$O$8:$O$42,MATCH(C886,'6. Base de Custos'!$L$8:$L$42,0)),"Revisar"))</f>
        <v/>
      </c>
      <c r="O886" s="60">
        <f>IF(M886="","",IFERROR(VLOOKUP(M886,'6. Base de Custos'!$H$12:$J$18,3,FALSE),0))</f>
        <v/>
      </c>
      <c r="P886" s="59">
        <f>IF(C886="","",IFERROR(INDEX('6. Base de Custos'!$P$8:$P$42,MATCH(C886,'6. Base de Custos'!$L$8:$L$42,0)),"Revisar"))</f>
        <v/>
      </c>
      <c r="Q886" s="59">
        <f>IF(C886="","",IFERROR(INDEX('6. Base de Custos'!$Q$8:$Q$42,MATCH(C886,'6. Base de Custos'!$L$8:$L$42,0)),""))</f>
        <v/>
      </c>
      <c r="R886" s="65">
        <f>IF(C886="","",IFERROR(VLOOKUP(M886&amp;"|"&amp;N886,'17. Mapa DRE CP'!$E$5:$H$100,2,FALSE),"Revisar"))</f>
        <v/>
      </c>
      <c r="S886" s="65">
        <f>IF(C886="","",IFERROR(VLOOKUP(M886&amp;"|"&amp;N886,'17. Mapa DRE CP'!$E$5:$H$100,3,FALSE),"Revisar"))</f>
        <v/>
      </c>
      <c r="T886" s="65">
        <f>IF(C886="","",IF(R886="(-) Custos diretos dos serviços",IF(ISNUMBER(SEARCH("PCMSO",C886)),"PCMSO",IF(OR(ISNUMBER(SEARCH("SGS",C886)),ISNUMBER(SEARCH("CASTRO NAVES",C886))),"Projetos / Laudos / Avulsos","Projetos / Laudos / Avulsos")),"Rateio pela receita bruta"))</f>
        <v/>
      </c>
      <c r="U886" s="65">
        <f>IF(C886="","",IF(R886="(-) Custos diretos dos serviços","Direto por fornecedor/natureza do gasto","Rateio proporcional à receita bruta da linha de serviço"))</f>
        <v/>
      </c>
    </row>
    <row r="887">
      <c r="A887" s="28">
        <f>IF(C887="","", "CP-"&amp;TEXT(ROW()-5,"000"))</f>
        <v/>
      </c>
      <c r="B887" s="27">
        <f>IF(F887="","",DATE(YEAR(F887),MONTH(F887),1))</f>
        <v/>
      </c>
      <c r="C887" s="28" t="n"/>
      <c r="D887" s="28" t="n"/>
      <c r="E887" s="59">
        <f>IF(C887="","",IFERROR(INDEX('6. Base de Custos'!$M$8:$M$42,MATCH(C887,'6. Base de Custos'!$L$8:$L$42,0)),"Não classificado"))</f>
        <v/>
      </c>
      <c r="F887" s="111" t="n"/>
      <c r="G887" s="111" t="n"/>
      <c r="H887" s="111" t="n"/>
      <c r="I887" s="45" t="n"/>
      <c r="J887" s="28" t="n"/>
      <c r="K887" s="28" t="n"/>
      <c r="L887" s="28" t="n"/>
      <c r="M887" s="59">
        <f>IF(C887="","",IFERROR(INDEX('6. Base de Custos'!$N$8:$N$42,MATCH(C887,'6. Base de Custos'!$L$8:$L$42,0)),"Não classificado"))</f>
        <v/>
      </c>
      <c r="N887" s="59">
        <f>IF(C887="","",IFERROR(INDEX('6. Base de Custos'!$O$8:$O$42,MATCH(C887,'6. Base de Custos'!$L$8:$L$42,0)),"Revisar"))</f>
        <v/>
      </c>
      <c r="O887" s="60">
        <f>IF(M887="","",IFERROR(VLOOKUP(M887,'6. Base de Custos'!$H$12:$J$18,3,FALSE),0))</f>
        <v/>
      </c>
      <c r="P887" s="59">
        <f>IF(C887="","",IFERROR(INDEX('6. Base de Custos'!$P$8:$P$42,MATCH(C887,'6. Base de Custos'!$L$8:$L$42,0)),"Revisar"))</f>
        <v/>
      </c>
      <c r="Q887" s="59">
        <f>IF(C887="","",IFERROR(INDEX('6. Base de Custos'!$Q$8:$Q$42,MATCH(C887,'6. Base de Custos'!$L$8:$L$42,0)),""))</f>
        <v/>
      </c>
      <c r="R887" s="65">
        <f>IF(C887="","",IFERROR(VLOOKUP(M887&amp;"|"&amp;N887,'17. Mapa DRE CP'!$E$5:$H$100,2,FALSE),"Revisar"))</f>
        <v/>
      </c>
      <c r="S887" s="65">
        <f>IF(C887="","",IFERROR(VLOOKUP(M887&amp;"|"&amp;N887,'17. Mapa DRE CP'!$E$5:$H$100,3,FALSE),"Revisar"))</f>
        <v/>
      </c>
      <c r="T887" s="65">
        <f>IF(C887="","",IF(R887="(-) Custos diretos dos serviços",IF(ISNUMBER(SEARCH("PCMSO",C887)),"PCMSO",IF(OR(ISNUMBER(SEARCH("SGS",C887)),ISNUMBER(SEARCH("CASTRO NAVES",C887))),"Projetos / Laudos / Avulsos","Projetos / Laudos / Avulsos")),"Rateio pela receita bruta"))</f>
        <v/>
      </c>
      <c r="U887" s="65">
        <f>IF(C887="","",IF(R887="(-) Custos diretos dos serviços","Direto por fornecedor/natureza do gasto","Rateio proporcional à receita bruta da linha de serviço"))</f>
        <v/>
      </c>
    </row>
    <row r="888">
      <c r="A888" s="28">
        <f>IF(C888="","", "CP-"&amp;TEXT(ROW()-5,"000"))</f>
        <v/>
      </c>
      <c r="B888" s="27">
        <f>IF(F888="","",DATE(YEAR(F888),MONTH(F888),1))</f>
        <v/>
      </c>
      <c r="C888" s="28" t="n"/>
      <c r="D888" s="28" t="n"/>
      <c r="E888" s="59">
        <f>IF(C888="","",IFERROR(INDEX('6. Base de Custos'!$M$8:$M$42,MATCH(C888,'6. Base de Custos'!$L$8:$L$42,0)),"Não classificado"))</f>
        <v/>
      </c>
      <c r="F888" s="111" t="n"/>
      <c r="G888" s="111" t="n"/>
      <c r="H888" s="111" t="n"/>
      <c r="I888" s="45" t="n"/>
      <c r="J888" s="28" t="n"/>
      <c r="K888" s="28" t="n"/>
      <c r="L888" s="28" t="n"/>
      <c r="M888" s="59">
        <f>IF(C888="","",IFERROR(INDEX('6. Base de Custos'!$N$8:$N$42,MATCH(C888,'6. Base de Custos'!$L$8:$L$42,0)),"Não classificado"))</f>
        <v/>
      </c>
      <c r="N888" s="59">
        <f>IF(C888="","",IFERROR(INDEX('6. Base de Custos'!$O$8:$O$42,MATCH(C888,'6. Base de Custos'!$L$8:$L$42,0)),"Revisar"))</f>
        <v/>
      </c>
      <c r="O888" s="60">
        <f>IF(M888="","",IFERROR(VLOOKUP(M888,'6. Base de Custos'!$H$12:$J$18,3,FALSE),0))</f>
        <v/>
      </c>
      <c r="P888" s="59">
        <f>IF(C888="","",IFERROR(INDEX('6. Base de Custos'!$P$8:$P$42,MATCH(C888,'6. Base de Custos'!$L$8:$L$42,0)),"Revisar"))</f>
        <v/>
      </c>
      <c r="Q888" s="59">
        <f>IF(C888="","",IFERROR(INDEX('6. Base de Custos'!$Q$8:$Q$42,MATCH(C888,'6. Base de Custos'!$L$8:$L$42,0)),""))</f>
        <v/>
      </c>
      <c r="R888" s="65">
        <f>IF(C888="","",IFERROR(VLOOKUP(M888&amp;"|"&amp;N888,'17. Mapa DRE CP'!$E$5:$H$100,2,FALSE),"Revisar"))</f>
        <v/>
      </c>
      <c r="S888" s="65">
        <f>IF(C888="","",IFERROR(VLOOKUP(M888&amp;"|"&amp;N888,'17. Mapa DRE CP'!$E$5:$H$100,3,FALSE),"Revisar"))</f>
        <v/>
      </c>
      <c r="T888" s="65">
        <f>IF(C888="","",IF(R888="(-) Custos diretos dos serviços",IF(ISNUMBER(SEARCH("PCMSO",C888)),"PCMSO",IF(OR(ISNUMBER(SEARCH("SGS",C888)),ISNUMBER(SEARCH("CASTRO NAVES",C888))),"Projetos / Laudos / Avulsos","Projetos / Laudos / Avulsos")),"Rateio pela receita bruta"))</f>
        <v/>
      </c>
      <c r="U888" s="65">
        <f>IF(C888="","",IF(R888="(-) Custos diretos dos serviços","Direto por fornecedor/natureza do gasto","Rateio proporcional à receita bruta da linha de serviço"))</f>
        <v/>
      </c>
    </row>
    <row r="889">
      <c r="A889" s="28">
        <f>IF(C889="","", "CP-"&amp;TEXT(ROW()-5,"000"))</f>
        <v/>
      </c>
      <c r="B889" s="27">
        <f>IF(F889="","",DATE(YEAR(F889),MONTH(F889),1))</f>
        <v/>
      </c>
      <c r="C889" s="28" t="n"/>
      <c r="D889" s="28" t="n"/>
      <c r="E889" s="59">
        <f>IF(C889="","",IFERROR(INDEX('6. Base de Custos'!$M$8:$M$42,MATCH(C889,'6. Base de Custos'!$L$8:$L$42,0)),"Não classificado"))</f>
        <v/>
      </c>
      <c r="F889" s="111" t="n"/>
      <c r="G889" s="111" t="n"/>
      <c r="H889" s="111" t="n"/>
      <c r="I889" s="45" t="n"/>
      <c r="J889" s="28" t="n"/>
      <c r="K889" s="28" t="n"/>
      <c r="L889" s="28" t="n"/>
      <c r="M889" s="59">
        <f>IF(C889="","",IFERROR(INDEX('6. Base de Custos'!$N$8:$N$42,MATCH(C889,'6. Base de Custos'!$L$8:$L$42,0)),"Não classificado"))</f>
        <v/>
      </c>
      <c r="N889" s="59">
        <f>IF(C889="","",IFERROR(INDEX('6. Base de Custos'!$O$8:$O$42,MATCH(C889,'6. Base de Custos'!$L$8:$L$42,0)),"Revisar"))</f>
        <v/>
      </c>
      <c r="O889" s="60">
        <f>IF(M889="","",IFERROR(VLOOKUP(M889,'6. Base de Custos'!$H$12:$J$18,3,FALSE),0))</f>
        <v/>
      </c>
      <c r="P889" s="59">
        <f>IF(C889="","",IFERROR(INDEX('6. Base de Custos'!$P$8:$P$42,MATCH(C889,'6. Base de Custos'!$L$8:$L$42,0)),"Revisar"))</f>
        <v/>
      </c>
      <c r="Q889" s="59">
        <f>IF(C889="","",IFERROR(INDEX('6. Base de Custos'!$Q$8:$Q$42,MATCH(C889,'6. Base de Custos'!$L$8:$L$42,0)),""))</f>
        <v/>
      </c>
      <c r="R889" s="65">
        <f>IF(C889="","",IFERROR(VLOOKUP(M889&amp;"|"&amp;N889,'17. Mapa DRE CP'!$E$5:$H$100,2,FALSE),"Revisar"))</f>
        <v/>
      </c>
      <c r="S889" s="65">
        <f>IF(C889="","",IFERROR(VLOOKUP(M889&amp;"|"&amp;N889,'17. Mapa DRE CP'!$E$5:$H$100,3,FALSE),"Revisar"))</f>
        <v/>
      </c>
      <c r="T889" s="65">
        <f>IF(C889="","",IF(R889="(-) Custos diretos dos serviços",IF(ISNUMBER(SEARCH("PCMSO",C889)),"PCMSO",IF(OR(ISNUMBER(SEARCH("SGS",C889)),ISNUMBER(SEARCH("CASTRO NAVES",C889))),"Projetos / Laudos / Avulsos","Projetos / Laudos / Avulsos")),"Rateio pela receita bruta"))</f>
        <v/>
      </c>
      <c r="U889" s="65">
        <f>IF(C889="","",IF(R889="(-) Custos diretos dos serviços","Direto por fornecedor/natureza do gasto","Rateio proporcional à receita bruta da linha de serviço"))</f>
        <v/>
      </c>
    </row>
    <row r="890">
      <c r="A890" s="28">
        <f>IF(C890="","", "CP-"&amp;TEXT(ROW()-5,"000"))</f>
        <v/>
      </c>
      <c r="B890" s="27">
        <f>IF(F890="","",DATE(YEAR(F890),MONTH(F890),1))</f>
        <v/>
      </c>
      <c r="C890" s="28" t="n"/>
      <c r="D890" s="28" t="n"/>
      <c r="E890" s="59">
        <f>IF(C890="","",IFERROR(INDEX('6. Base de Custos'!$M$8:$M$42,MATCH(C890,'6. Base de Custos'!$L$8:$L$42,0)),"Não classificado"))</f>
        <v/>
      </c>
      <c r="F890" s="111" t="n"/>
      <c r="G890" s="111" t="n"/>
      <c r="H890" s="111" t="n"/>
      <c r="I890" s="45" t="n"/>
      <c r="J890" s="28" t="n"/>
      <c r="K890" s="28" t="n"/>
      <c r="L890" s="28" t="n"/>
      <c r="M890" s="59">
        <f>IF(C890="","",IFERROR(INDEX('6. Base de Custos'!$N$8:$N$42,MATCH(C890,'6. Base de Custos'!$L$8:$L$42,0)),"Não classificado"))</f>
        <v/>
      </c>
      <c r="N890" s="59">
        <f>IF(C890="","",IFERROR(INDEX('6. Base de Custos'!$O$8:$O$42,MATCH(C890,'6. Base de Custos'!$L$8:$L$42,0)),"Revisar"))</f>
        <v/>
      </c>
      <c r="O890" s="60">
        <f>IF(M890="","",IFERROR(VLOOKUP(M890,'6. Base de Custos'!$H$12:$J$18,3,FALSE),0))</f>
        <v/>
      </c>
      <c r="P890" s="59">
        <f>IF(C890="","",IFERROR(INDEX('6. Base de Custos'!$P$8:$P$42,MATCH(C890,'6. Base de Custos'!$L$8:$L$42,0)),"Revisar"))</f>
        <v/>
      </c>
      <c r="Q890" s="59">
        <f>IF(C890="","",IFERROR(INDEX('6. Base de Custos'!$Q$8:$Q$42,MATCH(C890,'6. Base de Custos'!$L$8:$L$42,0)),""))</f>
        <v/>
      </c>
      <c r="R890" s="65">
        <f>IF(C890="","",IFERROR(VLOOKUP(M890&amp;"|"&amp;N890,'17. Mapa DRE CP'!$E$5:$H$100,2,FALSE),"Revisar"))</f>
        <v/>
      </c>
      <c r="S890" s="65">
        <f>IF(C890="","",IFERROR(VLOOKUP(M890&amp;"|"&amp;N890,'17. Mapa DRE CP'!$E$5:$H$100,3,FALSE),"Revisar"))</f>
        <v/>
      </c>
      <c r="T890" s="65">
        <f>IF(C890="","",IF(R890="(-) Custos diretos dos serviços",IF(ISNUMBER(SEARCH("PCMSO",C890)),"PCMSO",IF(OR(ISNUMBER(SEARCH("SGS",C890)),ISNUMBER(SEARCH("CASTRO NAVES",C890))),"Projetos / Laudos / Avulsos","Projetos / Laudos / Avulsos")),"Rateio pela receita bruta"))</f>
        <v/>
      </c>
      <c r="U890" s="65">
        <f>IF(C890="","",IF(R890="(-) Custos diretos dos serviços","Direto por fornecedor/natureza do gasto","Rateio proporcional à receita bruta da linha de serviço"))</f>
        <v/>
      </c>
    </row>
    <row r="891">
      <c r="A891" s="28">
        <f>IF(C891="","", "CP-"&amp;TEXT(ROW()-5,"000"))</f>
        <v/>
      </c>
      <c r="B891" s="27">
        <f>IF(F891="","",DATE(YEAR(F891),MONTH(F891),1))</f>
        <v/>
      </c>
      <c r="C891" s="28" t="n"/>
      <c r="D891" s="28" t="n"/>
      <c r="E891" s="59">
        <f>IF(C891="","",IFERROR(INDEX('6. Base de Custos'!$M$8:$M$42,MATCH(C891,'6. Base de Custos'!$L$8:$L$42,0)),"Não classificado"))</f>
        <v/>
      </c>
      <c r="F891" s="111" t="n"/>
      <c r="G891" s="111" t="n"/>
      <c r="H891" s="111" t="n"/>
      <c r="I891" s="45" t="n"/>
      <c r="J891" s="28" t="n"/>
      <c r="K891" s="28" t="n"/>
      <c r="L891" s="28" t="n"/>
      <c r="M891" s="59">
        <f>IF(C891="","",IFERROR(INDEX('6. Base de Custos'!$N$8:$N$42,MATCH(C891,'6. Base de Custos'!$L$8:$L$42,0)),"Não classificado"))</f>
        <v/>
      </c>
      <c r="N891" s="59">
        <f>IF(C891="","",IFERROR(INDEX('6. Base de Custos'!$O$8:$O$42,MATCH(C891,'6. Base de Custos'!$L$8:$L$42,0)),"Revisar"))</f>
        <v/>
      </c>
      <c r="O891" s="60">
        <f>IF(M891="","",IFERROR(VLOOKUP(M891,'6. Base de Custos'!$H$12:$J$18,3,FALSE),0))</f>
        <v/>
      </c>
      <c r="P891" s="59">
        <f>IF(C891="","",IFERROR(INDEX('6. Base de Custos'!$P$8:$P$42,MATCH(C891,'6. Base de Custos'!$L$8:$L$42,0)),"Revisar"))</f>
        <v/>
      </c>
      <c r="Q891" s="59">
        <f>IF(C891="","",IFERROR(INDEX('6. Base de Custos'!$Q$8:$Q$42,MATCH(C891,'6. Base de Custos'!$L$8:$L$42,0)),""))</f>
        <v/>
      </c>
      <c r="R891" s="65">
        <f>IF(C891="","",IFERROR(VLOOKUP(M891&amp;"|"&amp;N891,'17. Mapa DRE CP'!$E$5:$H$100,2,FALSE),"Revisar"))</f>
        <v/>
      </c>
      <c r="S891" s="65">
        <f>IF(C891="","",IFERROR(VLOOKUP(M891&amp;"|"&amp;N891,'17. Mapa DRE CP'!$E$5:$H$100,3,FALSE),"Revisar"))</f>
        <v/>
      </c>
      <c r="T891" s="65">
        <f>IF(C891="","",IF(R891="(-) Custos diretos dos serviços",IF(ISNUMBER(SEARCH("PCMSO",C891)),"PCMSO",IF(OR(ISNUMBER(SEARCH("SGS",C891)),ISNUMBER(SEARCH("CASTRO NAVES",C891))),"Projetos / Laudos / Avulsos","Projetos / Laudos / Avulsos")),"Rateio pela receita bruta"))</f>
        <v/>
      </c>
      <c r="U891" s="65">
        <f>IF(C891="","",IF(R891="(-) Custos diretos dos serviços","Direto por fornecedor/natureza do gasto","Rateio proporcional à receita bruta da linha de serviço"))</f>
        <v/>
      </c>
    </row>
    <row r="892">
      <c r="A892" s="28">
        <f>IF(C892="","", "CP-"&amp;TEXT(ROW()-5,"000"))</f>
        <v/>
      </c>
      <c r="B892" s="27">
        <f>IF(F892="","",DATE(YEAR(F892),MONTH(F892),1))</f>
        <v/>
      </c>
      <c r="C892" s="28" t="n"/>
      <c r="D892" s="28" t="n"/>
      <c r="E892" s="59">
        <f>IF(C892="","",IFERROR(INDEX('6. Base de Custos'!$M$8:$M$42,MATCH(C892,'6. Base de Custos'!$L$8:$L$42,0)),"Não classificado"))</f>
        <v/>
      </c>
      <c r="F892" s="111" t="n"/>
      <c r="G892" s="111" t="n"/>
      <c r="H892" s="111" t="n"/>
      <c r="I892" s="45" t="n"/>
      <c r="J892" s="28" t="n"/>
      <c r="K892" s="28" t="n"/>
      <c r="L892" s="28" t="n"/>
      <c r="M892" s="59">
        <f>IF(C892="","",IFERROR(INDEX('6. Base de Custos'!$N$8:$N$42,MATCH(C892,'6. Base de Custos'!$L$8:$L$42,0)),"Não classificado"))</f>
        <v/>
      </c>
      <c r="N892" s="59">
        <f>IF(C892="","",IFERROR(INDEX('6. Base de Custos'!$O$8:$O$42,MATCH(C892,'6. Base de Custos'!$L$8:$L$42,0)),"Revisar"))</f>
        <v/>
      </c>
      <c r="O892" s="60">
        <f>IF(M892="","",IFERROR(VLOOKUP(M892,'6. Base de Custos'!$H$12:$J$18,3,FALSE),0))</f>
        <v/>
      </c>
      <c r="P892" s="59">
        <f>IF(C892="","",IFERROR(INDEX('6. Base de Custos'!$P$8:$P$42,MATCH(C892,'6. Base de Custos'!$L$8:$L$42,0)),"Revisar"))</f>
        <v/>
      </c>
      <c r="Q892" s="59">
        <f>IF(C892="","",IFERROR(INDEX('6. Base de Custos'!$Q$8:$Q$42,MATCH(C892,'6. Base de Custos'!$L$8:$L$42,0)),""))</f>
        <v/>
      </c>
      <c r="R892" s="65">
        <f>IF(C892="","",IFERROR(VLOOKUP(M892&amp;"|"&amp;N892,'17. Mapa DRE CP'!$E$5:$H$100,2,FALSE),"Revisar"))</f>
        <v/>
      </c>
      <c r="S892" s="65">
        <f>IF(C892="","",IFERROR(VLOOKUP(M892&amp;"|"&amp;N892,'17. Mapa DRE CP'!$E$5:$H$100,3,FALSE),"Revisar"))</f>
        <v/>
      </c>
      <c r="T892" s="65">
        <f>IF(C892="","",IF(R892="(-) Custos diretos dos serviços",IF(ISNUMBER(SEARCH("PCMSO",C892)),"PCMSO",IF(OR(ISNUMBER(SEARCH("SGS",C892)),ISNUMBER(SEARCH("CASTRO NAVES",C892))),"Projetos / Laudos / Avulsos","Projetos / Laudos / Avulsos")),"Rateio pela receita bruta"))</f>
        <v/>
      </c>
      <c r="U892" s="65">
        <f>IF(C892="","",IF(R892="(-) Custos diretos dos serviços","Direto por fornecedor/natureza do gasto","Rateio proporcional à receita bruta da linha de serviço"))</f>
        <v/>
      </c>
    </row>
    <row r="893">
      <c r="A893" s="28">
        <f>IF(C893="","", "CP-"&amp;TEXT(ROW()-5,"000"))</f>
        <v/>
      </c>
      <c r="B893" s="27">
        <f>IF(F893="","",DATE(YEAR(F893),MONTH(F893),1))</f>
        <v/>
      </c>
      <c r="C893" s="28" t="n"/>
      <c r="D893" s="28" t="n"/>
      <c r="E893" s="59">
        <f>IF(C893="","",IFERROR(INDEX('6. Base de Custos'!$M$8:$M$42,MATCH(C893,'6. Base de Custos'!$L$8:$L$42,0)),"Não classificado"))</f>
        <v/>
      </c>
      <c r="F893" s="111" t="n"/>
      <c r="G893" s="111" t="n"/>
      <c r="H893" s="111" t="n"/>
      <c r="I893" s="45" t="n"/>
      <c r="J893" s="28" t="n"/>
      <c r="K893" s="28" t="n"/>
      <c r="L893" s="28" t="n"/>
      <c r="M893" s="59">
        <f>IF(C893="","",IFERROR(INDEX('6. Base de Custos'!$N$8:$N$42,MATCH(C893,'6. Base de Custos'!$L$8:$L$42,0)),"Não classificado"))</f>
        <v/>
      </c>
      <c r="N893" s="59">
        <f>IF(C893="","",IFERROR(INDEX('6. Base de Custos'!$O$8:$O$42,MATCH(C893,'6. Base de Custos'!$L$8:$L$42,0)),"Revisar"))</f>
        <v/>
      </c>
      <c r="O893" s="60">
        <f>IF(M893="","",IFERROR(VLOOKUP(M893,'6. Base de Custos'!$H$12:$J$18,3,FALSE),0))</f>
        <v/>
      </c>
      <c r="P893" s="59">
        <f>IF(C893="","",IFERROR(INDEX('6. Base de Custos'!$P$8:$P$42,MATCH(C893,'6. Base de Custos'!$L$8:$L$42,0)),"Revisar"))</f>
        <v/>
      </c>
      <c r="Q893" s="59">
        <f>IF(C893="","",IFERROR(INDEX('6. Base de Custos'!$Q$8:$Q$42,MATCH(C893,'6. Base de Custos'!$L$8:$L$42,0)),""))</f>
        <v/>
      </c>
      <c r="R893" s="65">
        <f>IF(C893="","",IFERROR(VLOOKUP(M893&amp;"|"&amp;N893,'17. Mapa DRE CP'!$E$5:$H$100,2,FALSE),"Revisar"))</f>
        <v/>
      </c>
      <c r="S893" s="65">
        <f>IF(C893="","",IFERROR(VLOOKUP(M893&amp;"|"&amp;N893,'17. Mapa DRE CP'!$E$5:$H$100,3,FALSE),"Revisar"))</f>
        <v/>
      </c>
      <c r="T893" s="65">
        <f>IF(C893="","",IF(R893="(-) Custos diretos dos serviços",IF(ISNUMBER(SEARCH("PCMSO",C893)),"PCMSO",IF(OR(ISNUMBER(SEARCH("SGS",C893)),ISNUMBER(SEARCH("CASTRO NAVES",C893))),"Projetos / Laudos / Avulsos","Projetos / Laudos / Avulsos")),"Rateio pela receita bruta"))</f>
        <v/>
      </c>
      <c r="U893" s="65">
        <f>IF(C893="","",IF(R893="(-) Custos diretos dos serviços","Direto por fornecedor/natureza do gasto","Rateio proporcional à receita bruta da linha de serviço"))</f>
        <v/>
      </c>
    </row>
    <row r="894">
      <c r="A894" s="28">
        <f>IF(C894="","", "CP-"&amp;TEXT(ROW()-5,"000"))</f>
        <v/>
      </c>
      <c r="B894" s="27">
        <f>IF(F894="","",DATE(YEAR(F894),MONTH(F894),1))</f>
        <v/>
      </c>
      <c r="C894" s="28" t="n"/>
      <c r="D894" s="28" t="n"/>
      <c r="E894" s="59">
        <f>IF(C894="","",IFERROR(INDEX('6. Base de Custos'!$M$8:$M$42,MATCH(C894,'6. Base de Custos'!$L$8:$L$42,0)),"Não classificado"))</f>
        <v/>
      </c>
      <c r="F894" s="111" t="n"/>
      <c r="G894" s="111" t="n"/>
      <c r="H894" s="111" t="n"/>
      <c r="I894" s="45" t="n"/>
      <c r="J894" s="28" t="n"/>
      <c r="K894" s="28" t="n"/>
      <c r="L894" s="28" t="n"/>
      <c r="M894" s="59">
        <f>IF(C894="","",IFERROR(INDEX('6. Base de Custos'!$N$8:$N$42,MATCH(C894,'6. Base de Custos'!$L$8:$L$42,0)),"Não classificado"))</f>
        <v/>
      </c>
      <c r="N894" s="59">
        <f>IF(C894="","",IFERROR(INDEX('6. Base de Custos'!$O$8:$O$42,MATCH(C894,'6. Base de Custos'!$L$8:$L$42,0)),"Revisar"))</f>
        <v/>
      </c>
      <c r="O894" s="60">
        <f>IF(M894="","",IFERROR(VLOOKUP(M894,'6. Base de Custos'!$H$12:$J$18,3,FALSE),0))</f>
        <v/>
      </c>
      <c r="P894" s="59">
        <f>IF(C894="","",IFERROR(INDEX('6. Base de Custos'!$P$8:$P$42,MATCH(C894,'6. Base de Custos'!$L$8:$L$42,0)),"Revisar"))</f>
        <v/>
      </c>
      <c r="Q894" s="59">
        <f>IF(C894="","",IFERROR(INDEX('6. Base de Custos'!$Q$8:$Q$42,MATCH(C894,'6. Base de Custos'!$L$8:$L$42,0)),""))</f>
        <v/>
      </c>
      <c r="R894" s="65">
        <f>IF(C894="","",IFERROR(VLOOKUP(M894&amp;"|"&amp;N894,'17. Mapa DRE CP'!$E$5:$H$100,2,FALSE),"Revisar"))</f>
        <v/>
      </c>
      <c r="S894" s="65">
        <f>IF(C894="","",IFERROR(VLOOKUP(M894&amp;"|"&amp;N894,'17. Mapa DRE CP'!$E$5:$H$100,3,FALSE),"Revisar"))</f>
        <v/>
      </c>
      <c r="T894" s="65">
        <f>IF(C894="","",IF(R894="(-) Custos diretos dos serviços",IF(ISNUMBER(SEARCH("PCMSO",C894)),"PCMSO",IF(OR(ISNUMBER(SEARCH("SGS",C894)),ISNUMBER(SEARCH("CASTRO NAVES",C894))),"Projetos / Laudos / Avulsos","Projetos / Laudos / Avulsos")),"Rateio pela receita bruta"))</f>
        <v/>
      </c>
      <c r="U894" s="65">
        <f>IF(C894="","",IF(R894="(-) Custos diretos dos serviços","Direto por fornecedor/natureza do gasto","Rateio proporcional à receita bruta da linha de serviço"))</f>
        <v/>
      </c>
    </row>
    <row r="895">
      <c r="A895" s="28">
        <f>IF(C895="","", "CP-"&amp;TEXT(ROW()-5,"000"))</f>
        <v/>
      </c>
      <c r="B895" s="27">
        <f>IF(F895="","",DATE(YEAR(F895),MONTH(F895),1))</f>
        <v/>
      </c>
      <c r="C895" s="28" t="n"/>
      <c r="D895" s="28" t="n"/>
      <c r="E895" s="59">
        <f>IF(C895="","",IFERROR(INDEX('6. Base de Custos'!$M$8:$M$42,MATCH(C895,'6. Base de Custos'!$L$8:$L$42,0)),"Não classificado"))</f>
        <v/>
      </c>
      <c r="F895" s="111" t="n"/>
      <c r="G895" s="111" t="n"/>
      <c r="H895" s="111" t="n"/>
      <c r="I895" s="45" t="n"/>
      <c r="J895" s="28" t="n"/>
      <c r="K895" s="28" t="n"/>
      <c r="L895" s="28" t="n"/>
      <c r="M895" s="59">
        <f>IF(C895="","",IFERROR(INDEX('6. Base de Custos'!$N$8:$N$42,MATCH(C895,'6. Base de Custos'!$L$8:$L$42,0)),"Não classificado"))</f>
        <v/>
      </c>
      <c r="N895" s="59">
        <f>IF(C895="","",IFERROR(INDEX('6. Base de Custos'!$O$8:$O$42,MATCH(C895,'6. Base de Custos'!$L$8:$L$42,0)),"Revisar"))</f>
        <v/>
      </c>
      <c r="O895" s="60">
        <f>IF(M895="","",IFERROR(VLOOKUP(M895,'6. Base de Custos'!$H$12:$J$18,3,FALSE),0))</f>
        <v/>
      </c>
      <c r="P895" s="59">
        <f>IF(C895="","",IFERROR(INDEX('6. Base de Custos'!$P$8:$P$42,MATCH(C895,'6. Base de Custos'!$L$8:$L$42,0)),"Revisar"))</f>
        <v/>
      </c>
      <c r="Q895" s="59">
        <f>IF(C895="","",IFERROR(INDEX('6. Base de Custos'!$Q$8:$Q$42,MATCH(C895,'6. Base de Custos'!$L$8:$L$42,0)),""))</f>
        <v/>
      </c>
      <c r="R895" s="65">
        <f>IF(C895="","",IFERROR(VLOOKUP(M895&amp;"|"&amp;N895,'17. Mapa DRE CP'!$E$5:$H$100,2,FALSE),"Revisar"))</f>
        <v/>
      </c>
      <c r="S895" s="65">
        <f>IF(C895="","",IFERROR(VLOOKUP(M895&amp;"|"&amp;N895,'17. Mapa DRE CP'!$E$5:$H$100,3,FALSE),"Revisar"))</f>
        <v/>
      </c>
      <c r="T895" s="65">
        <f>IF(C895="","",IF(R895="(-) Custos diretos dos serviços",IF(ISNUMBER(SEARCH("PCMSO",C895)),"PCMSO",IF(OR(ISNUMBER(SEARCH("SGS",C895)),ISNUMBER(SEARCH("CASTRO NAVES",C895))),"Projetos / Laudos / Avulsos","Projetos / Laudos / Avulsos")),"Rateio pela receita bruta"))</f>
        <v/>
      </c>
      <c r="U895" s="65">
        <f>IF(C895="","",IF(R895="(-) Custos diretos dos serviços","Direto por fornecedor/natureza do gasto","Rateio proporcional à receita bruta da linha de serviço"))</f>
        <v/>
      </c>
    </row>
    <row r="896">
      <c r="A896" s="28">
        <f>IF(C896="","", "CP-"&amp;TEXT(ROW()-5,"000"))</f>
        <v/>
      </c>
      <c r="B896" s="27">
        <f>IF(F896="","",DATE(YEAR(F896),MONTH(F896),1))</f>
        <v/>
      </c>
      <c r="C896" s="28" t="n"/>
      <c r="D896" s="28" t="n"/>
      <c r="E896" s="59">
        <f>IF(C896="","",IFERROR(INDEX('6. Base de Custos'!$M$8:$M$42,MATCH(C896,'6. Base de Custos'!$L$8:$L$42,0)),"Não classificado"))</f>
        <v/>
      </c>
      <c r="F896" s="111" t="n"/>
      <c r="G896" s="111" t="n"/>
      <c r="H896" s="111" t="n"/>
      <c r="I896" s="45" t="n"/>
      <c r="J896" s="28" t="n"/>
      <c r="K896" s="28" t="n"/>
      <c r="L896" s="28" t="n"/>
      <c r="M896" s="59">
        <f>IF(C896="","",IFERROR(INDEX('6. Base de Custos'!$N$8:$N$42,MATCH(C896,'6. Base de Custos'!$L$8:$L$42,0)),"Não classificado"))</f>
        <v/>
      </c>
      <c r="N896" s="59">
        <f>IF(C896="","",IFERROR(INDEX('6. Base de Custos'!$O$8:$O$42,MATCH(C896,'6. Base de Custos'!$L$8:$L$42,0)),"Revisar"))</f>
        <v/>
      </c>
      <c r="O896" s="60">
        <f>IF(M896="","",IFERROR(VLOOKUP(M896,'6. Base de Custos'!$H$12:$J$18,3,FALSE),0))</f>
        <v/>
      </c>
      <c r="P896" s="59">
        <f>IF(C896="","",IFERROR(INDEX('6. Base de Custos'!$P$8:$P$42,MATCH(C896,'6. Base de Custos'!$L$8:$L$42,0)),"Revisar"))</f>
        <v/>
      </c>
      <c r="Q896" s="59">
        <f>IF(C896="","",IFERROR(INDEX('6. Base de Custos'!$Q$8:$Q$42,MATCH(C896,'6. Base de Custos'!$L$8:$L$42,0)),""))</f>
        <v/>
      </c>
      <c r="R896" s="65">
        <f>IF(C896="","",IFERROR(VLOOKUP(M896&amp;"|"&amp;N896,'17. Mapa DRE CP'!$E$5:$H$100,2,FALSE),"Revisar"))</f>
        <v/>
      </c>
      <c r="S896" s="65">
        <f>IF(C896="","",IFERROR(VLOOKUP(M896&amp;"|"&amp;N896,'17. Mapa DRE CP'!$E$5:$H$100,3,FALSE),"Revisar"))</f>
        <v/>
      </c>
      <c r="T896" s="65">
        <f>IF(C896="","",IF(R896="(-) Custos diretos dos serviços",IF(ISNUMBER(SEARCH("PCMSO",C896)),"PCMSO",IF(OR(ISNUMBER(SEARCH("SGS",C896)),ISNUMBER(SEARCH("CASTRO NAVES",C896))),"Projetos / Laudos / Avulsos","Projetos / Laudos / Avulsos")),"Rateio pela receita bruta"))</f>
        <v/>
      </c>
      <c r="U896" s="65">
        <f>IF(C896="","",IF(R896="(-) Custos diretos dos serviços","Direto por fornecedor/natureza do gasto","Rateio proporcional à receita bruta da linha de serviço"))</f>
        <v/>
      </c>
    </row>
    <row r="897">
      <c r="A897" s="28">
        <f>IF(C897="","", "CP-"&amp;TEXT(ROW()-5,"000"))</f>
        <v/>
      </c>
      <c r="B897" s="27">
        <f>IF(F897="","",DATE(YEAR(F897),MONTH(F897),1))</f>
        <v/>
      </c>
      <c r="C897" s="28" t="n"/>
      <c r="D897" s="28" t="n"/>
      <c r="E897" s="59">
        <f>IF(C897="","",IFERROR(INDEX('6. Base de Custos'!$M$8:$M$42,MATCH(C897,'6. Base de Custos'!$L$8:$L$42,0)),"Não classificado"))</f>
        <v/>
      </c>
      <c r="F897" s="111" t="n"/>
      <c r="G897" s="111" t="n"/>
      <c r="H897" s="111" t="n"/>
      <c r="I897" s="45" t="n"/>
      <c r="J897" s="28" t="n"/>
      <c r="K897" s="28" t="n"/>
      <c r="L897" s="28" t="n"/>
      <c r="M897" s="59">
        <f>IF(C897="","",IFERROR(INDEX('6. Base de Custos'!$N$8:$N$42,MATCH(C897,'6. Base de Custos'!$L$8:$L$42,0)),"Não classificado"))</f>
        <v/>
      </c>
      <c r="N897" s="59">
        <f>IF(C897="","",IFERROR(INDEX('6. Base de Custos'!$O$8:$O$42,MATCH(C897,'6. Base de Custos'!$L$8:$L$42,0)),"Revisar"))</f>
        <v/>
      </c>
      <c r="O897" s="60">
        <f>IF(M897="","",IFERROR(VLOOKUP(M897,'6. Base de Custos'!$H$12:$J$18,3,FALSE),0))</f>
        <v/>
      </c>
      <c r="P897" s="59">
        <f>IF(C897="","",IFERROR(INDEX('6. Base de Custos'!$P$8:$P$42,MATCH(C897,'6. Base de Custos'!$L$8:$L$42,0)),"Revisar"))</f>
        <v/>
      </c>
      <c r="Q897" s="59">
        <f>IF(C897="","",IFERROR(INDEX('6. Base de Custos'!$Q$8:$Q$42,MATCH(C897,'6. Base de Custos'!$L$8:$L$42,0)),""))</f>
        <v/>
      </c>
      <c r="R897" s="65">
        <f>IF(C897="","",IFERROR(VLOOKUP(M897&amp;"|"&amp;N897,'17. Mapa DRE CP'!$E$5:$H$100,2,FALSE),"Revisar"))</f>
        <v/>
      </c>
      <c r="S897" s="65">
        <f>IF(C897="","",IFERROR(VLOOKUP(M897&amp;"|"&amp;N897,'17. Mapa DRE CP'!$E$5:$H$100,3,FALSE),"Revisar"))</f>
        <v/>
      </c>
      <c r="T897" s="65">
        <f>IF(C897="","",IF(R897="(-) Custos diretos dos serviços",IF(ISNUMBER(SEARCH("PCMSO",C897)),"PCMSO",IF(OR(ISNUMBER(SEARCH("SGS",C897)),ISNUMBER(SEARCH("CASTRO NAVES",C897))),"Projetos / Laudos / Avulsos","Projetos / Laudos / Avulsos")),"Rateio pela receita bruta"))</f>
        <v/>
      </c>
      <c r="U897" s="65">
        <f>IF(C897="","",IF(R897="(-) Custos diretos dos serviços","Direto por fornecedor/natureza do gasto","Rateio proporcional à receita bruta da linha de serviço"))</f>
        <v/>
      </c>
    </row>
    <row r="898">
      <c r="A898" s="28">
        <f>IF(C898="","", "CP-"&amp;TEXT(ROW()-5,"000"))</f>
        <v/>
      </c>
      <c r="B898" s="27">
        <f>IF(F898="","",DATE(YEAR(F898),MONTH(F898),1))</f>
        <v/>
      </c>
      <c r="C898" s="28" t="n"/>
      <c r="D898" s="28" t="n"/>
      <c r="E898" s="59">
        <f>IF(C898="","",IFERROR(INDEX('6. Base de Custos'!$M$8:$M$42,MATCH(C898,'6. Base de Custos'!$L$8:$L$42,0)),"Não classificado"))</f>
        <v/>
      </c>
      <c r="F898" s="111" t="n"/>
      <c r="G898" s="111" t="n"/>
      <c r="H898" s="111" t="n"/>
      <c r="I898" s="45" t="n"/>
      <c r="J898" s="28" t="n"/>
      <c r="K898" s="28" t="n"/>
      <c r="L898" s="28" t="n"/>
      <c r="M898" s="59">
        <f>IF(C898="","",IFERROR(INDEX('6. Base de Custos'!$N$8:$N$42,MATCH(C898,'6. Base de Custos'!$L$8:$L$42,0)),"Não classificado"))</f>
        <v/>
      </c>
      <c r="N898" s="59">
        <f>IF(C898="","",IFERROR(INDEX('6. Base de Custos'!$O$8:$O$42,MATCH(C898,'6. Base de Custos'!$L$8:$L$42,0)),"Revisar"))</f>
        <v/>
      </c>
      <c r="O898" s="60">
        <f>IF(M898="","",IFERROR(VLOOKUP(M898,'6. Base de Custos'!$H$12:$J$18,3,FALSE),0))</f>
        <v/>
      </c>
      <c r="P898" s="59">
        <f>IF(C898="","",IFERROR(INDEX('6. Base de Custos'!$P$8:$P$42,MATCH(C898,'6. Base de Custos'!$L$8:$L$42,0)),"Revisar"))</f>
        <v/>
      </c>
      <c r="Q898" s="59">
        <f>IF(C898="","",IFERROR(INDEX('6. Base de Custos'!$Q$8:$Q$42,MATCH(C898,'6. Base de Custos'!$L$8:$L$42,0)),""))</f>
        <v/>
      </c>
      <c r="R898" s="65">
        <f>IF(C898="","",IFERROR(VLOOKUP(M898&amp;"|"&amp;N898,'17. Mapa DRE CP'!$E$5:$H$100,2,FALSE),"Revisar"))</f>
        <v/>
      </c>
      <c r="S898" s="65">
        <f>IF(C898="","",IFERROR(VLOOKUP(M898&amp;"|"&amp;N898,'17. Mapa DRE CP'!$E$5:$H$100,3,FALSE),"Revisar"))</f>
        <v/>
      </c>
      <c r="T898" s="65">
        <f>IF(C898="","",IF(R898="(-) Custos diretos dos serviços",IF(ISNUMBER(SEARCH("PCMSO",C898)),"PCMSO",IF(OR(ISNUMBER(SEARCH("SGS",C898)),ISNUMBER(SEARCH("CASTRO NAVES",C898))),"Projetos / Laudos / Avulsos","Projetos / Laudos / Avulsos")),"Rateio pela receita bruta"))</f>
        <v/>
      </c>
      <c r="U898" s="65">
        <f>IF(C898="","",IF(R898="(-) Custos diretos dos serviços","Direto por fornecedor/natureza do gasto","Rateio proporcional à receita bruta da linha de serviço"))</f>
        <v/>
      </c>
    </row>
    <row r="899">
      <c r="A899" s="28">
        <f>IF(C899="","", "CP-"&amp;TEXT(ROW()-5,"000"))</f>
        <v/>
      </c>
      <c r="B899" s="27">
        <f>IF(F899="","",DATE(YEAR(F899),MONTH(F899),1))</f>
        <v/>
      </c>
      <c r="C899" s="28" t="n"/>
      <c r="D899" s="28" t="n"/>
      <c r="E899" s="59">
        <f>IF(C899="","",IFERROR(INDEX('6. Base de Custos'!$M$8:$M$42,MATCH(C899,'6. Base de Custos'!$L$8:$L$42,0)),"Não classificado"))</f>
        <v/>
      </c>
      <c r="F899" s="111" t="n"/>
      <c r="G899" s="111" t="n"/>
      <c r="H899" s="111" t="n"/>
      <c r="I899" s="45" t="n"/>
      <c r="J899" s="28" t="n"/>
      <c r="K899" s="28" t="n"/>
      <c r="L899" s="28" t="n"/>
      <c r="M899" s="59">
        <f>IF(C899="","",IFERROR(INDEX('6. Base de Custos'!$N$8:$N$42,MATCH(C899,'6. Base de Custos'!$L$8:$L$42,0)),"Não classificado"))</f>
        <v/>
      </c>
      <c r="N899" s="59">
        <f>IF(C899="","",IFERROR(INDEX('6. Base de Custos'!$O$8:$O$42,MATCH(C899,'6. Base de Custos'!$L$8:$L$42,0)),"Revisar"))</f>
        <v/>
      </c>
      <c r="O899" s="60">
        <f>IF(M899="","",IFERROR(VLOOKUP(M899,'6. Base de Custos'!$H$12:$J$18,3,FALSE),0))</f>
        <v/>
      </c>
      <c r="P899" s="59">
        <f>IF(C899="","",IFERROR(INDEX('6. Base de Custos'!$P$8:$P$42,MATCH(C899,'6. Base de Custos'!$L$8:$L$42,0)),"Revisar"))</f>
        <v/>
      </c>
      <c r="Q899" s="59">
        <f>IF(C899="","",IFERROR(INDEX('6. Base de Custos'!$Q$8:$Q$42,MATCH(C899,'6. Base de Custos'!$L$8:$L$42,0)),""))</f>
        <v/>
      </c>
      <c r="R899" s="65">
        <f>IF(C899="","",IFERROR(VLOOKUP(M899&amp;"|"&amp;N899,'17. Mapa DRE CP'!$E$5:$H$100,2,FALSE),"Revisar"))</f>
        <v/>
      </c>
      <c r="S899" s="65">
        <f>IF(C899="","",IFERROR(VLOOKUP(M899&amp;"|"&amp;N899,'17. Mapa DRE CP'!$E$5:$H$100,3,FALSE),"Revisar"))</f>
        <v/>
      </c>
      <c r="T899" s="65">
        <f>IF(C899="","",IF(R899="(-) Custos diretos dos serviços",IF(ISNUMBER(SEARCH("PCMSO",C899)),"PCMSO",IF(OR(ISNUMBER(SEARCH("SGS",C899)),ISNUMBER(SEARCH("CASTRO NAVES",C899))),"Projetos / Laudos / Avulsos","Projetos / Laudos / Avulsos")),"Rateio pela receita bruta"))</f>
        <v/>
      </c>
      <c r="U899" s="65">
        <f>IF(C899="","",IF(R899="(-) Custos diretos dos serviços","Direto por fornecedor/natureza do gasto","Rateio proporcional à receita bruta da linha de serviço"))</f>
        <v/>
      </c>
    </row>
    <row r="900">
      <c r="A900" s="28">
        <f>IF(C900="","", "CP-"&amp;TEXT(ROW()-5,"000"))</f>
        <v/>
      </c>
      <c r="B900" s="27">
        <f>IF(F900="","",DATE(YEAR(F900),MONTH(F900),1))</f>
        <v/>
      </c>
      <c r="C900" s="28" t="n"/>
      <c r="D900" s="28" t="n"/>
      <c r="E900" s="59">
        <f>IF(C900="","",IFERROR(INDEX('6. Base de Custos'!$M$8:$M$42,MATCH(C900,'6. Base de Custos'!$L$8:$L$42,0)),"Não classificado"))</f>
        <v/>
      </c>
      <c r="F900" s="111" t="n"/>
      <c r="G900" s="111" t="n"/>
      <c r="H900" s="111" t="n"/>
      <c r="I900" s="45" t="n"/>
      <c r="J900" s="28" t="n"/>
      <c r="K900" s="28" t="n"/>
      <c r="L900" s="28" t="n"/>
      <c r="M900" s="59">
        <f>IF(C900="","",IFERROR(INDEX('6. Base de Custos'!$N$8:$N$42,MATCH(C900,'6. Base de Custos'!$L$8:$L$42,0)),"Não classificado"))</f>
        <v/>
      </c>
      <c r="N900" s="59">
        <f>IF(C900="","",IFERROR(INDEX('6. Base de Custos'!$O$8:$O$42,MATCH(C900,'6. Base de Custos'!$L$8:$L$42,0)),"Revisar"))</f>
        <v/>
      </c>
      <c r="O900" s="60">
        <f>IF(M900="","",IFERROR(VLOOKUP(M900,'6. Base de Custos'!$H$12:$J$18,3,FALSE),0))</f>
        <v/>
      </c>
      <c r="P900" s="59">
        <f>IF(C900="","",IFERROR(INDEX('6. Base de Custos'!$P$8:$P$42,MATCH(C900,'6. Base de Custos'!$L$8:$L$42,0)),"Revisar"))</f>
        <v/>
      </c>
      <c r="Q900" s="59">
        <f>IF(C900="","",IFERROR(INDEX('6. Base de Custos'!$Q$8:$Q$42,MATCH(C900,'6. Base de Custos'!$L$8:$L$42,0)),""))</f>
        <v/>
      </c>
      <c r="R900" s="65">
        <f>IF(C900="","",IFERROR(VLOOKUP(M900&amp;"|"&amp;N900,'17. Mapa DRE CP'!$E$5:$H$100,2,FALSE),"Revisar"))</f>
        <v/>
      </c>
      <c r="S900" s="65">
        <f>IF(C900="","",IFERROR(VLOOKUP(M900&amp;"|"&amp;N900,'17. Mapa DRE CP'!$E$5:$H$100,3,FALSE),"Revisar"))</f>
        <v/>
      </c>
      <c r="T900" s="65">
        <f>IF(C900="","",IF(R900="(-) Custos diretos dos serviços",IF(ISNUMBER(SEARCH("PCMSO",C900)),"PCMSO",IF(OR(ISNUMBER(SEARCH("SGS",C900)),ISNUMBER(SEARCH("CASTRO NAVES",C900))),"Projetos / Laudos / Avulsos","Projetos / Laudos / Avulsos")),"Rateio pela receita bruta"))</f>
        <v/>
      </c>
      <c r="U900" s="65">
        <f>IF(C900="","",IF(R900="(-) Custos diretos dos serviços","Direto por fornecedor/natureza do gasto","Rateio proporcional à receita bruta da linha de serviço"))</f>
        <v/>
      </c>
    </row>
    <row r="901">
      <c r="A901" s="28">
        <f>IF(C901="","", "CP-"&amp;TEXT(ROW()-5,"000"))</f>
        <v/>
      </c>
      <c r="B901" s="27">
        <f>IF(F901="","",DATE(YEAR(F901),MONTH(F901),1))</f>
        <v/>
      </c>
      <c r="C901" s="28" t="n"/>
      <c r="D901" s="28" t="n"/>
      <c r="E901" s="59">
        <f>IF(C901="","",IFERROR(INDEX('6. Base de Custos'!$M$8:$M$42,MATCH(C901,'6. Base de Custos'!$L$8:$L$42,0)),"Não classificado"))</f>
        <v/>
      </c>
      <c r="F901" s="111" t="n"/>
      <c r="G901" s="111" t="n"/>
      <c r="H901" s="111" t="n"/>
      <c r="I901" s="45" t="n"/>
      <c r="J901" s="28" t="n"/>
      <c r="K901" s="28" t="n"/>
      <c r="L901" s="28" t="n"/>
      <c r="M901" s="59">
        <f>IF(C901="","",IFERROR(INDEX('6. Base de Custos'!$N$8:$N$42,MATCH(C901,'6. Base de Custos'!$L$8:$L$42,0)),"Não classificado"))</f>
        <v/>
      </c>
      <c r="N901" s="59">
        <f>IF(C901="","",IFERROR(INDEX('6. Base de Custos'!$O$8:$O$42,MATCH(C901,'6. Base de Custos'!$L$8:$L$42,0)),"Revisar"))</f>
        <v/>
      </c>
      <c r="O901" s="60">
        <f>IF(M901="","",IFERROR(VLOOKUP(M901,'6. Base de Custos'!$H$12:$J$18,3,FALSE),0))</f>
        <v/>
      </c>
      <c r="P901" s="59">
        <f>IF(C901="","",IFERROR(INDEX('6. Base de Custos'!$P$8:$P$42,MATCH(C901,'6. Base de Custos'!$L$8:$L$42,0)),"Revisar"))</f>
        <v/>
      </c>
      <c r="Q901" s="59">
        <f>IF(C901="","",IFERROR(INDEX('6. Base de Custos'!$Q$8:$Q$42,MATCH(C901,'6. Base de Custos'!$L$8:$L$42,0)),""))</f>
        <v/>
      </c>
      <c r="R901" s="65">
        <f>IF(C901="","",IFERROR(VLOOKUP(M901&amp;"|"&amp;N901,'17. Mapa DRE CP'!$E$5:$H$100,2,FALSE),"Revisar"))</f>
        <v/>
      </c>
      <c r="S901" s="65">
        <f>IF(C901="","",IFERROR(VLOOKUP(M901&amp;"|"&amp;N901,'17. Mapa DRE CP'!$E$5:$H$100,3,FALSE),"Revisar"))</f>
        <v/>
      </c>
      <c r="T901" s="65">
        <f>IF(C901="","",IF(R901="(-) Custos diretos dos serviços",IF(ISNUMBER(SEARCH("PCMSO",C901)),"PCMSO",IF(OR(ISNUMBER(SEARCH("SGS",C901)),ISNUMBER(SEARCH("CASTRO NAVES",C901))),"Projetos / Laudos / Avulsos","Projetos / Laudos / Avulsos")),"Rateio pela receita bruta"))</f>
        <v/>
      </c>
      <c r="U901" s="65">
        <f>IF(C901="","",IF(R901="(-) Custos diretos dos serviços","Direto por fornecedor/natureza do gasto","Rateio proporcional à receita bruta da linha de serviço"))</f>
        <v/>
      </c>
    </row>
    <row r="902">
      <c r="A902" s="28">
        <f>IF(C902="","", "CP-"&amp;TEXT(ROW()-5,"000"))</f>
        <v/>
      </c>
      <c r="B902" s="27">
        <f>IF(F902="","",DATE(YEAR(F902),MONTH(F902),1))</f>
        <v/>
      </c>
      <c r="C902" s="28" t="n"/>
      <c r="D902" s="28" t="n"/>
      <c r="E902" s="59">
        <f>IF(C902="","",IFERROR(INDEX('6. Base de Custos'!$M$8:$M$42,MATCH(C902,'6. Base de Custos'!$L$8:$L$42,0)),"Não classificado"))</f>
        <v/>
      </c>
      <c r="F902" s="111" t="n"/>
      <c r="G902" s="111" t="n"/>
      <c r="H902" s="111" t="n"/>
      <c r="I902" s="45" t="n"/>
      <c r="J902" s="28" t="n"/>
      <c r="K902" s="28" t="n"/>
      <c r="L902" s="28" t="n"/>
      <c r="M902" s="59">
        <f>IF(C902="","",IFERROR(INDEX('6. Base de Custos'!$N$8:$N$42,MATCH(C902,'6. Base de Custos'!$L$8:$L$42,0)),"Não classificado"))</f>
        <v/>
      </c>
      <c r="N902" s="59">
        <f>IF(C902="","",IFERROR(INDEX('6. Base de Custos'!$O$8:$O$42,MATCH(C902,'6. Base de Custos'!$L$8:$L$42,0)),"Revisar"))</f>
        <v/>
      </c>
      <c r="O902" s="60">
        <f>IF(M902="","",IFERROR(VLOOKUP(M902,'6. Base de Custos'!$H$12:$J$18,3,FALSE),0))</f>
        <v/>
      </c>
      <c r="P902" s="59">
        <f>IF(C902="","",IFERROR(INDEX('6. Base de Custos'!$P$8:$P$42,MATCH(C902,'6. Base de Custos'!$L$8:$L$42,0)),"Revisar"))</f>
        <v/>
      </c>
      <c r="Q902" s="59">
        <f>IF(C902="","",IFERROR(INDEX('6. Base de Custos'!$Q$8:$Q$42,MATCH(C902,'6. Base de Custos'!$L$8:$L$42,0)),""))</f>
        <v/>
      </c>
      <c r="R902" s="65">
        <f>IF(C902="","",IFERROR(VLOOKUP(M902&amp;"|"&amp;N902,'17. Mapa DRE CP'!$E$5:$H$100,2,FALSE),"Revisar"))</f>
        <v/>
      </c>
      <c r="S902" s="65">
        <f>IF(C902="","",IFERROR(VLOOKUP(M902&amp;"|"&amp;N902,'17. Mapa DRE CP'!$E$5:$H$100,3,FALSE),"Revisar"))</f>
        <v/>
      </c>
      <c r="T902" s="65">
        <f>IF(C902="","",IF(R902="(-) Custos diretos dos serviços",IF(ISNUMBER(SEARCH("PCMSO",C902)),"PCMSO",IF(OR(ISNUMBER(SEARCH("SGS",C902)),ISNUMBER(SEARCH("CASTRO NAVES",C902))),"Projetos / Laudos / Avulsos","Projetos / Laudos / Avulsos")),"Rateio pela receita bruta"))</f>
        <v/>
      </c>
      <c r="U902" s="65">
        <f>IF(C902="","",IF(R902="(-) Custos diretos dos serviços","Direto por fornecedor/natureza do gasto","Rateio proporcional à receita bruta da linha de serviço"))</f>
        <v/>
      </c>
    </row>
    <row r="903">
      <c r="A903" s="28">
        <f>IF(C903="","", "CP-"&amp;TEXT(ROW()-5,"000"))</f>
        <v/>
      </c>
      <c r="B903" s="27">
        <f>IF(F903="","",DATE(YEAR(F903),MONTH(F903),1))</f>
        <v/>
      </c>
      <c r="C903" s="28" t="n"/>
      <c r="D903" s="28" t="n"/>
      <c r="E903" s="59">
        <f>IF(C903="","",IFERROR(INDEX('6. Base de Custos'!$M$8:$M$42,MATCH(C903,'6. Base de Custos'!$L$8:$L$42,0)),"Não classificado"))</f>
        <v/>
      </c>
      <c r="F903" s="111" t="n"/>
      <c r="G903" s="111" t="n"/>
      <c r="H903" s="111" t="n"/>
      <c r="I903" s="45" t="n"/>
      <c r="J903" s="28" t="n"/>
      <c r="K903" s="28" t="n"/>
      <c r="L903" s="28" t="n"/>
      <c r="M903" s="59">
        <f>IF(C903="","",IFERROR(INDEX('6. Base de Custos'!$N$8:$N$42,MATCH(C903,'6. Base de Custos'!$L$8:$L$42,0)),"Não classificado"))</f>
        <v/>
      </c>
      <c r="N903" s="59">
        <f>IF(C903="","",IFERROR(INDEX('6. Base de Custos'!$O$8:$O$42,MATCH(C903,'6. Base de Custos'!$L$8:$L$42,0)),"Revisar"))</f>
        <v/>
      </c>
      <c r="O903" s="60">
        <f>IF(M903="","",IFERROR(VLOOKUP(M903,'6. Base de Custos'!$H$12:$J$18,3,FALSE),0))</f>
        <v/>
      </c>
      <c r="P903" s="59">
        <f>IF(C903="","",IFERROR(INDEX('6. Base de Custos'!$P$8:$P$42,MATCH(C903,'6. Base de Custos'!$L$8:$L$42,0)),"Revisar"))</f>
        <v/>
      </c>
      <c r="Q903" s="59">
        <f>IF(C903="","",IFERROR(INDEX('6. Base de Custos'!$Q$8:$Q$42,MATCH(C903,'6. Base de Custos'!$L$8:$L$42,0)),""))</f>
        <v/>
      </c>
      <c r="R903" s="65">
        <f>IF(C903="","",IFERROR(VLOOKUP(M903&amp;"|"&amp;N903,'17. Mapa DRE CP'!$E$5:$H$100,2,FALSE),"Revisar"))</f>
        <v/>
      </c>
      <c r="S903" s="65">
        <f>IF(C903="","",IFERROR(VLOOKUP(M903&amp;"|"&amp;N903,'17. Mapa DRE CP'!$E$5:$H$100,3,FALSE),"Revisar"))</f>
        <v/>
      </c>
      <c r="T903" s="65">
        <f>IF(C903="","",IF(R903="(-) Custos diretos dos serviços",IF(ISNUMBER(SEARCH("PCMSO",C903)),"PCMSO",IF(OR(ISNUMBER(SEARCH("SGS",C903)),ISNUMBER(SEARCH("CASTRO NAVES",C903))),"Projetos / Laudos / Avulsos","Projetos / Laudos / Avulsos")),"Rateio pela receita bruta"))</f>
        <v/>
      </c>
      <c r="U903" s="65">
        <f>IF(C903="","",IF(R903="(-) Custos diretos dos serviços","Direto por fornecedor/natureza do gasto","Rateio proporcional à receita bruta da linha de serviço"))</f>
        <v/>
      </c>
    </row>
    <row r="904">
      <c r="A904" s="28">
        <f>IF(C904="","", "CP-"&amp;TEXT(ROW()-5,"000"))</f>
        <v/>
      </c>
      <c r="B904" s="27">
        <f>IF(F904="","",DATE(YEAR(F904),MONTH(F904),1))</f>
        <v/>
      </c>
      <c r="C904" s="28" t="n"/>
      <c r="D904" s="28" t="n"/>
      <c r="E904" s="59">
        <f>IF(C904="","",IFERROR(INDEX('6. Base de Custos'!$M$8:$M$42,MATCH(C904,'6. Base de Custos'!$L$8:$L$42,0)),"Não classificado"))</f>
        <v/>
      </c>
      <c r="F904" s="111" t="n"/>
      <c r="G904" s="111" t="n"/>
      <c r="H904" s="111" t="n"/>
      <c r="I904" s="45" t="n"/>
      <c r="J904" s="28" t="n"/>
      <c r="K904" s="28" t="n"/>
      <c r="L904" s="28" t="n"/>
      <c r="M904" s="59">
        <f>IF(C904="","",IFERROR(INDEX('6. Base de Custos'!$N$8:$N$42,MATCH(C904,'6. Base de Custos'!$L$8:$L$42,0)),"Não classificado"))</f>
        <v/>
      </c>
      <c r="N904" s="59">
        <f>IF(C904="","",IFERROR(INDEX('6. Base de Custos'!$O$8:$O$42,MATCH(C904,'6. Base de Custos'!$L$8:$L$42,0)),"Revisar"))</f>
        <v/>
      </c>
      <c r="O904" s="60">
        <f>IF(M904="","",IFERROR(VLOOKUP(M904,'6. Base de Custos'!$H$12:$J$18,3,FALSE),0))</f>
        <v/>
      </c>
      <c r="P904" s="59">
        <f>IF(C904="","",IFERROR(INDEX('6. Base de Custos'!$P$8:$P$42,MATCH(C904,'6. Base de Custos'!$L$8:$L$42,0)),"Revisar"))</f>
        <v/>
      </c>
      <c r="Q904" s="59">
        <f>IF(C904="","",IFERROR(INDEX('6. Base de Custos'!$Q$8:$Q$42,MATCH(C904,'6. Base de Custos'!$L$8:$L$42,0)),""))</f>
        <v/>
      </c>
      <c r="R904" s="65">
        <f>IF(C904="","",IFERROR(VLOOKUP(M904&amp;"|"&amp;N904,'17. Mapa DRE CP'!$E$5:$H$100,2,FALSE),"Revisar"))</f>
        <v/>
      </c>
      <c r="S904" s="65">
        <f>IF(C904="","",IFERROR(VLOOKUP(M904&amp;"|"&amp;N904,'17. Mapa DRE CP'!$E$5:$H$100,3,FALSE),"Revisar"))</f>
        <v/>
      </c>
      <c r="T904" s="65">
        <f>IF(C904="","",IF(R904="(-) Custos diretos dos serviços",IF(ISNUMBER(SEARCH("PCMSO",C904)),"PCMSO",IF(OR(ISNUMBER(SEARCH("SGS",C904)),ISNUMBER(SEARCH("CASTRO NAVES",C904))),"Projetos / Laudos / Avulsos","Projetos / Laudos / Avulsos")),"Rateio pela receita bruta"))</f>
        <v/>
      </c>
      <c r="U904" s="65">
        <f>IF(C904="","",IF(R904="(-) Custos diretos dos serviços","Direto por fornecedor/natureza do gasto","Rateio proporcional à receita bruta da linha de serviço"))</f>
        <v/>
      </c>
    </row>
    <row r="905">
      <c r="A905" s="28">
        <f>IF(C905="","", "CP-"&amp;TEXT(ROW()-5,"000"))</f>
        <v/>
      </c>
      <c r="B905" s="27">
        <f>IF(F905="","",DATE(YEAR(F905),MONTH(F905),1))</f>
        <v/>
      </c>
      <c r="C905" s="28" t="n"/>
      <c r="D905" s="28" t="n"/>
      <c r="E905" s="59">
        <f>IF(C905="","",IFERROR(INDEX('6. Base de Custos'!$M$8:$M$42,MATCH(C905,'6. Base de Custos'!$L$8:$L$42,0)),"Não classificado"))</f>
        <v/>
      </c>
      <c r="F905" s="111" t="n"/>
      <c r="G905" s="111" t="n"/>
      <c r="H905" s="111" t="n"/>
      <c r="I905" s="45" t="n"/>
      <c r="J905" s="28" t="n"/>
      <c r="K905" s="28" t="n"/>
      <c r="L905" s="28" t="n"/>
      <c r="M905" s="59">
        <f>IF(C905="","",IFERROR(INDEX('6. Base de Custos'!$N$8:$N$42,MATCH(C905,'6. Base de Custos'!$L$8:$L$42,0)),"Não classificado"))</f>
        <v/>
      </c>
      <c r="N905" s="59">
        <f>IF(C905="","",IFERROR(INDEX('6. Base de Custos'!$O$8:$O$42,MATCH(C905,'6. Base de Custos'!$L$8:$L$42,0)),"Revisar"))</f>
        <v/>
      </c>
      <c r="O905" s="60">
        <f>IF(M905="","",IFERROR(VLOOKUP(M905,'6. Base de Custos'!$H$12:$J$18,3,FALSE),0))</f>
        <v/>
      </c>
      <c r="P905" s="59">
        <f>IF(C905="","",IFERROR(INDEX('6. Base de Custos'!$P$8:$P$42,MATCH(C905,'6. Base de Custos'!$L$8:$L$42,0)),"Revisar"))</f>
        <v/>
      </c>
      <c r="Q905" s="59">
        <f>IF(C905="","",IFERROR(INDEX('6. Base de Custos'!$Q$8:$Q$42,MATCH(C905,'6. Base de Custos'!$L$8:$L$42,0)),""))</f>
        <v/>
      </c>
      <c r="R905" s="65">
        <f>IF(C905="","",IFERROR(VLOOKUP(M905&amp;"|"&amp;N905,'17. Mapa DRE CP'!$E$5:$H$100,2,FALSE),"Revisar"))</f>
        <v/>
      </c>
      <c r="S905" s="65">
        <f>IF(C905="","",IFERROR(VLOOKUP(M905&amp;"|"&amp;N905,'17. Mapa DRE CP'!$E$5:$H$100,3,FALSE),"Revisar"))</f>
        <v/>
      </c>
      <c r="T905" s="65">
        <f>IF(C905="","",IF(R905="(-) Custos diretos dos serviços",IF(ISNUMBER(SEARCH("PCMSO",C905)),"PCMSO",IF(OR(ISNUMBER(SEARCH("SGS",C905)),ISNUMBER(SEARCH("CASTRO NAVES",C905))),"Projetos / Laudos / Avulsos","Projetos / Laudos / Avulsos")),"Rateio pela receita bruta"))</f>
        <v/>
      </c>
      <c r="U905" s="65">
        <f>IF(C905="","",IF(R905="(-) Custos diretos dos serviços","Direto por fornecedor/natureza do gasto","Rateio proporcional à receita bruta da linha de serviço"))</f>
        <v/>
      </c>
    </row>
    <row r="906">
      <c r="A906" s="28">
        <f>IF(C906="","", "CP-"&amp;TEXT(ROW()-5,"000"))</f>
        <v/>
      </c>
      <c r="B906" s="27">
        <f>IF(F906="","",DATE(YEAR(F906),MONTH(F906),1))</f>
        <v/>
      </c>
      <c r="C906" s="28" t="n"/>
      <c r="D906" s="28" t="n"/>
      <c r="E906" s="59">
        <f>IF(C906="","",IFERROR(INDEX('6. Base de Custos'!$M$8:$M$42,MATCH(C906,'6. Base de Custos'!$L$8:$L$42,0)),"Não classificado"))</f>
        <v/>
      </c>
      <c r="F906" s="111" t="n"/>
      <c r="G906" s="111" t="n"/>
      <c r="H906" s="111" t="n"/>
      <c r="I906" s="45" t="n"/>
      <c r="J906" s="28" t="n"/>
      <c r="K906" s="28" t="n"/>
      <c r="L906" s="28" t="n"/>
      <c r="M906" s="59">
        <f>IF(C906="","",IFERROR(INDEX('6. Base de Custos'!$N$8:$N$42,MATCH(C906,'6. Base de Custos'!$L$8:$L$42,0)),"Não classificado"))</f>
        <v/>
      </c>
      <c r="N906" s="59">
        <f>IF(C906="","",IFERROR(INDEX('6. Base de Custos'!$O$8:$O$42,MATCH(C906,'6. Base de Custos'!$L$8:$L$42,0)),"Revisar"))</f>
        <v/>
      </c>
      <c r="O906" s="60">
        <f>IF(M906="","",IFERROR(VLOOKUP(M906,'6. Base de Custos'!$H$12:$J$18,3,FALSE),0))</f>
        <v/>
      </c>
      <c r="P906" s="59">
        <f>IF(C906="","",IFERROR(INDEX('6. Base de Custos'!$P$8:$P$42,MATCH(C906,'6. Base de Custos'!$L$8:$L$42,0)),"Revisar"))</f>
        <v/>
      </c>
      <c r="Q906" s="59">
        <f>IF(C906="","",IFERROR(INDEX('6. Base de Custos'!$Q$8:$Q$42,MATCH(C906,'6. Base de Custos'!$L$8:$L$42,0)),""))</f>
        <v/>
      </c>
      <c r="R906" s="65">
        <f>IF(C906="","",IFERROR(VLOOKUP(M906&amp;"|"&amp;N906,'17. Mapa DRE CP'!$E$5:$H$100,2,FALSE),"Revisar"))</f>
        <v/>
      </c>
      <c r="S906" s="65">
        <f>IF(C906="","",IFERROR(VLOOKUP(M906&amp;"|"&amp;N906,'17. Mapa DRE CP'!$E$5:$H$100,3,FALSE),"Revisar"))</f>
        <v/>
      </c>
      <c r="T906" s="65">
        <f>IF(C906="","",IF(R906="(-) Custos diretos dos serviços",IF(ISNUMBER(SEARCH("PCMSO",C906)),"PCMSO",IF(OR(ISNUMBER(SEARCH("SGS",C906)),ISNUMBER(SEARCH("CASTRO NAVES",C906))),"Projetos / Laudos / Avulsos","Projetos / Laudos / Avulsos")),"Rateio pela receita bruta"))</f>
        <v/>
      </c>
      <c r="U906" s="65">
        <f>IF(C906="","",IF(R906="(-) Custos diretos dos serviços","Direto por fornecedor/natureza do gasto","Rateio proporcional à receita bruta da linha de serviço"))</f>
        <v/>
      </c>
    </row>
    <row r="907">
      <c r="A907" s="28">
        <f>IF(C907="","", "CP-"&amp;TEXT(ROW()-5,"000"))</f>
        <v/>
      </c>
      <c r="B907" s="27">
        <f>IF(F907="","",DATE(YEAR(F907),MONTH(F907),1))</f>
        <v/>
      </c>
      <c r="C907" s="28" t="n"/>
      <c r="D907" s="28" t="n"/>
      <c r="E907" s="59">
        <f>IF(C907="","",IFERROR(INDEX('6. Base de Custos'!$M$8:$M$42,MATCH(C907,'6. Base de Custos'!$L$8:$L$42,0)),"Não classificado"))</f>
        <v/>
      </c>
      <c r="F907" s="111" t="n"/>
      <c r="G907" s="111" t="n"/>
      <c r="H907" s="111" t="n"/>
      <c r="I907" s="45" t="n"/>
      <c r="J907" s="28" t="n"/>
      <c r="K907" s="28" t="n"/>
      <c r="L907" s="28" t="n"/>
      <c r="M907" s="59">
        <f>IF(C907="","",IFERROR(INDEX('6. Base de Custos'!$N$8:$N$42,MATCH(C907,'6. Base de Custos'!$L$8:$L$42,0)),"Não classificado"))</f>
        <v/>
      </c>
      <c r="N907" s="59">
        <f>IF(C907="","",IFERROR(INDEX('6. Base de Custos'!$O$8:$O$42,MATCH(C907,'6. Base de Custos'!$L$8:$L$42,0)),"Revisar"))</f>
        <v/>
      </c>
      <c r="O907" s="60">
        <f>IF(M907="","",IFERROR(VLOOKUP(M907,'6. Base de Custos'!$H$12:$J$18,3,FALSE),0))</f>
        <v/>
      </c>
      <c r="P907" s="59">
        <f>IF(C907="","",IFERROR(INDEX('6. Base de Custos'!$P$8:$P$42,MATCH(C907,'6. Base de Custos'!$L$8:$L$42,0)),"Revisar"))</f>
        <v/>
      </c>
      <c r="Q907" s="59">
        <f>IF(C907="","",IFERROR(INDEX('6. Base de Custos'!$Q$8:$Q$42,MATCH(C907,'6. Base de Custos'!$L$8:$L$42,0)),""))</f>
        <v/>
      </c>
      <c r="R907" s="65">
        <f>IF(C907="","",IFERROR(VLOOKUP(M907&amp;"|"&amp;N907,'17. Mapa DRE CP'!$E$5:$H$100,2,FALSE),"Revisar"))</f>
        <v/>
      </c>
      <c r="S907" s="65">
        <f>IF(C907="","",IFERROR(VLOOKUP(M907&amp;"|"&amp;N907,'17. Mapa DRE CP'!$E$5:$H$100,3,FALSE),"Revisar"))</f>
        <v/>
      </c>
      <c r="T907" s="65">
        <f>IF(C907="","",IF(R907="(-) Custos diretos dos serviços",IF(ISNUMBER(SEARCH("PCMSO",C907)),"PCMSO",IF(OR(ISNUMBER(SEARCH("SGS",C907)),ISNUMBER(SEARCH("CASTRO NAVES",C907))),"Projetos / Laudos / Avulsos","Projetos / Laudos / Avulsos")),"Rateio pela receita bruta"))</f>
        <v/>
      </c>
      <c r="U907" s="65">
        <f>IF(C907="","",IF(R907="(-) Custos diretos dos serviços","Direto por fornecedor/natureza do gasto","Rateio proporcional à receita bruta da linha de serviço"))</f>
        <v/>
      </c>
    </row>
    <row r="908">
      <c r="A908" s="28">
        <f>IF(C908="","", "CP-"&amp;TEXT(ROW()-5,"000"))</f>
        <v/>
      </c>
      <c r="B908" s="27">
        <f>IF(F908="","",DATE(YEAR(F908),MONTH(F908),1))</f>
        <v/>
      </c>
      <c r="C908" s="28" t="n"/>
      <c r="D908" s="28" t="n"/>
      <c r="E908" s="59">
        <f>IF(C908="","",IFERROR(INDEX('6. Base de Custos'!$M$8:$M$42,MATCH(C908,'6. Base de Custos'!$L$8:$L$42,0)),"Não classificado"))</f>
        <v/>
      </c>
      <c r="F908" s="111" t="n"/>
      <c r="G908" s="111" t="n"/>
      <c r="H908" s="111" t="n"/>
      <c r="I908" s="45" t="n"/>
      <c r="J908" s="28" t="n"/>
      <c r="K908" s="28" t="n"/>
      <c r="L908" s="28" t="n"/>
      <c r="M908" s="59">
        <f>IF(C908="","",IFERROR(INDEX('6. Base de Custos'!$N$8:$N$42,MATCH(C908,'6. Base de Custos'!$L$8:$L$42,0)),"Não classificado"))</f>
        <v/>
      </c>
      <c r="N908" s="59">
        <f>IF(C908="","",IFERROR(INDEX('6. Base de Custos'!$O$8:$O$42,MATCH(C908,'6. Base de Custos'!$L$8:$L$42,0)),"Revisar"))</f>
        <v/>
      </c>
      <c r="O908" s="60">
        <f>IF(M908="","",IFERROR(VLOOKUP(M908,'6. Base de Custos'!$H$12:$J$18,3,FALSE),0))</f>
        <v/>
      </c>
      <c r="P908" s="59">
        <f>IF(C908="","",IFERROR(INDEX('6. Base de Custos'!$P$8:$P$42,MATCH(C908,'6. Base de Custos'!$L$8:$L$42,0)),"Revisar"))</f>
        <v/>
      </c>
      <c r="Q908" s="59">
        <f>IF(C908="","",IFERROR(INDEX('6. Base de Custos'!$Q$8:$Q$42,MATCH(C908,'6. Base de Custos'!$L$8:$L$42,0)),""))</f>
        <v/>
      </c>
      <c r="R908" s="65">
        <f>IF(C908="","",IFERROR(VLOOKUP(M908&amp;"|"&amp;N908,'17. Mapa DRE CP'!$E$5:$H$100,2,FALSE),"Revisar"))</f>
        <v/>
      </c>
      <c r="S908" s="65">
        <f>IF(C908="","",IFERROR(VLOOKUP(M908&amp;"|"&amp;N908,'17. Mapa DRE CP'!$E$5:$H$100,3,FALSE),"Revisar"))</f>
        <v/>
      </c>
      <c r="T908" s="65">
        <f>IF(C908="","",IF(R908="(-) Custos diretos dos serviços",IF(ISNUMBER(SEARCH("PCMSO",C908)),"PCMSO",IF(OR(ISNUMBER(SEARCH("SGS",C908)),ISNUMBER(SEARCH("CASTRO NAVES",C908))),"Projetos / Laudos / Avulsos","Projetos / Laudos / Avulsos")),"Rateio pela receita bruta"))</f>
        <v/>
      </c>
      <c r="U908" s="65">
        <f>IF(C908="","",IF(R908="(-) Custos diretos dos serviços","Direto por fornecedor/natureza do gasto","Rateio proporcional à receita bruta da linha de serviço"))</f>
        <v/>
      </c>
    </row>
    <row r="909">
      <c r="A909" s="28">
        <f>IF(C909="","", "CP-"&amp;TEXT(ROW()-5,"000"))</f>
        <v/>
      </c>
      <c r="B909" s="27">
        <f>IF(F909="","",DATE(YEAR(F909),MONTH(F909),1))</f>
        <v/>
      </c>
      <c r="C909" s="28" t="n"/>
      <c r="D909" s="28" t="n"/>
      <c r="E909" s="59">
        <f>IF(C909="","",IFERROR(INDEX('6. Base de Custos'!$M$8:$M$42,MATCH(C909,'6. Base de Custos'!$L$8:$L$42,0)),"Não classificado"))</f>
        <v/>
      </c>
      <c r="F909" s="111" t="n"/>
      <c r="G909" s="111" t="n"/>
      <c r="H909" s="111" t="n"/>
      <c r="I909" s="45" t="n"/>
      <c r="J909" s="28" t="n"/>
      <c r="K909" s="28" t="n"/>
      <c r="L909" s="28" t="n"/>
      <c r="M909" s="59">
        <f>IF(C909="","",IFERROR(INDEX('6. Base de Custos'!$N$8:$N$42,MATCH(C909,'6. Base de Custos'!$L$8:$L$42,0)),"Não classificado"))</f>
        <v/>
      </c>
      <c r="N909" s="59">
        <f>IF(C909="","",IFERROR(INDEX('6. Base de Custos'!$O$8:$O$42,MATCH(C909,'6. Base de Custos'!$L$8:$L$42,0)),"Revisar"))</f>
        <v/>
      </c>
      <c r="O909" s="60">
        <f>IF(M909="","",IFERROR(VLOOKUP(M909,'6. Base de Custos'!$H$12:$J$18,3,FALSE),0))</f>
        <v/>
      </c>
      <c r="P909" s="59">
        <f>IF(C909="","",IFERROR(INDEX('6. Base de Custos'!$P$8:$P$42,MATCH(C909,'6. Base de Custos'!$L$8:$L$42,0)),"Revisar"))</f>
        <v/>
      </c>
      <c r="Q909" s="59">
        <f>IF(C909="","",IFERROR(INDEX('6. Base de Custos'!$Q$8:$Q$42,MATCH(C909,'6. Base de Custos'!$L$8:$L$42,0)),""))</f>
        <v/>
      </c>
      <c r="R909" s="65">
        <f>IF(C909="","",IFERROR(VLOOKUP(M909&amp;"|"&amp;N909,'17. Mapa DRE CP'!$E$5:$H$100,2,FALSE),"Revisar"))</f>
        <v/>
      </c>
      <c r="S909" s="65">
        <f>IF(C909="","",IFERROR(VLOOKUP(M909&amp;"|"&amp;N909,'17. Mapa DRE CP'!$E$5:$H$100,3,FALSE),"Revisar"))</f>
        <v/>
      </c>
      <c r="T909" s="65">
        <f>IF(C909="","",IF(R909="(-) Custos diretos dos serviços",IF(ISNUMBER(SEARCH("PCMSO",C909)),"PCMSO",IF(OR(ISNUMBER(SEARCH("SGS",C909)),ISNUMBER(SEARCH("CASTRO NAVES",C909))),"Projetos / Laudos / Avulsos","Projetos / Laudos / Avulsos")),"Rateio pela receita bruta"))</f>
        <v/>
      </c>
      <c r="U909" s="65">
        <f>IF(C909="","",IF(R909="(-) Custos diretos dos serviços","Direto por fornecedor/natureza do gasto","Rateio proporcional à receita bruta da linha de serviço"))</f>
        <v/>
      </c>
    </row>
    <row r="910">
      <c r="A910" s="28">
        <f>IF(C910="","", "CP-"&amp;TEXT(ROW()-5,"000"))</f>
        <v/>
      </c>
      <c r="B910" s="27">
        <f>IF(F910="","",DATE(YEAR(F910),MONTH(F910),1))</f>
        <v/>
      </c>
      <c r="C910" s="28" t="n"/>
      <c r="D910" s="28" t="n"/>
      <c r="E910" s="59">
        <f>IF(C910="","",IFERROR(INDEX('6. Base de Custos'!$M$8:$M$42,MATCH(C910,'6. Base de Custos'!$L$8:$L$42,0)),"Não classificado"))</f>
        <v/>
      </c>
      <c r="F910" s="111" t="n"/>
      <c r="G910" s="111" t="n"/>
      <c r="H910" s="111" t="n"/>
      <c r="I910" s="45" t="n"/>
      <c r="J910" s="28" t="n"/>
      <c r="K910" s="28" t="n"/>
      <c r="L910" s="28" t="n"/>
      <c r="M910" s="59">
        <f>IF(C910="","",IFERROR(INDEX('6. Base de Custos'!$N$8:$N$42,MATCH(C910,'6. Base de Custos'!$L$8:$L$42,0)),"Não classificado"))</f>
        <v/>
      </c>
      <c r="N910" s="59">
        <f>IF(C910="","",IFERROR(INDEX('6. Base de Custos'!$O$8:$O$42,MATCH(C910,'6. Base de Custos'!$L$8:$L$42,0)),"Revisar"))</f>
        <v/>
      </c>
      <c r="O910" s="60">
        <f>IF(M910="","",IFERROR(VLOOKUP(M910,'6. Base de Custos'!$H$12:$J$18,3,FALSE),0))</f>
        <v/>
      </c>
      <c r="P910" s="59">
        <f>IF(C910="","",IFERROR(INDEX('6. Base de Custos'!$P$8:$P$42,MATCH(C910,'6. Base de Custos'!$L$8:$L$42,0)),"Revisar"))</f>
        <v/>
      </c>
      <c r="Q910" s="59">
        <f>IF(C910="","",IFERROR(INDEX('6. Base de Custos'!$Q$8:$Q$42,MATCH(C910,'6. Base de Custos'!$L$8:$L$42,0)),""))</f>
        <v/>
      </c>
      <c r="R910" s="65">
        <f>IF(C910="","",IFERROR(VLOOKUP(M910&amp;"|"&amp;N910,'17. Mapa DRE CP'!$E$5:$H$100,2,FALSE),"Revisar"))</f>
        <v/>
      </c>
      <c r="S910" s="65">
        <f>IF(C910="","",IFERROR(VLOOKUP(M910&amp;"|"&amp;N910,'17. Mapa DRE CP'!$E$5:$H$100,3,FALSE),"Revisar"))</f>
        <v/>
      </c>
      <c r="T910" s="65">
        <f>IF(C910="","",IF(R910="(-) Custos diretos dos serviços",IF(ISNUMBER(SEARCH("PCMSO",C910)),"PCMSO",IF(OR(ISNUMBER(SEARCH("SGS",C910)),ISNUMBER(SEARCH("CASTRO NAVES",C910))),"Projetos / Laudos / Avulsos","Projetos / Laudos / Avulsos")),"Rateio pela receita bruta"))</f>
        <v/>
      </c>
      <c r="U910" s="65">
        <f>IF(C910="","",IF(R910="(-) Custos diretos dos serviços","Direto por fornecedor/natureza do gasto","Rateio proporcional à receita bruta da linha de serviço"))</f>
        <v/>
      </c>
    </row>
    <row r="911">
      <c r="A911" s="28">
        <f>IF(C911="","", "CP-"&amp;TEXT(ROW()-5,"000"))</f>
        <v/>
      </c>
      <c r="B911" s="27">
        <f>IF(F911="","",DATE(YEAR(F911),MONTH(F911),1))</f>
        <v/>
      </c>
      <c r="C911" s="28" t="n"/>
      <c r="D911" s="28" t="n"/>
      <c r="E911" s="59">
        <f>IF(C911="","",IFERROR(INDEX('6. Base de Custos'!$M$8:$M$42,MATCH(C911,'6. Base de Custos'!$L$8:$L$42,0)),"Não classificado"))</f>
        <v/>
      </c>
      <c r="F911" s="111" t="n"/>
      <c r="G911" s="111" t="n"/>
      <c r="H911" s="111" t="n"/>
      <c r="I911" s="45" t="n"/>
      <c r="J911" s="28" t="n"/>
      <c r="K911" s="28" t="n"/>
      <c r="L911" s="28" t="n"/>
      <c r="M911" s="59">
        <f>IF(C911="","",IFERROR(INDEX('6. Base de Custos'!$N$8:$N$42,MATCH(C911,'6. Base de Custos'!$L$8:$L$42,0)),"Não classificado"))</f>
        <v/>
      </c>
      <c r="N911" s="59">
        <f>IF(C911="","",IFERROR(INDEX('6. Base de Custos'!$O$8:$O$42,MATCH(C911,'6. Base de Custos'!$L$8:$L$42,0)),"Revisar"))</f>
        <v/>
      </c>
      <c r="O911" s="60">
        <f>IF(M911="","",IFERROR(VLOOKUP(M911,'6. Base de Custos'!$H$12:$J$18,3,FALSE),0))</f>
        <v/>
      </c>
      <c r="P911" s="59">
        <f>IF(C911="","",IFERROR(INDEX('6. Base de Custos'!$P$8:$P$42,MATCH(C911,'6. Base de Custos'!$L$8:$L$42,0)),"Revisar"))</f>
        <v/>
      </c>
      <c r="Q911" s="59">
        <f>IF(C911="","",IFERROR(INDEX('6. Base de Custos'!$Q$8:$Q$42,MATCH(C911,'6. Base de Custos'!$L$8:$L$42,0)),""))</f>
        <v/>
      </c>
      <c r="R911" s="65">
        <f>IF(C911="","",IFERROR(VLOOKUP(M911&amp;"|"&amp;N911,'17. Mapa DRE CP'!$E$5:$H$100,2,FALSE),"Revisar"))</f>
        <v/>
      </c>
      <c r="S911" s="65">
        <f>IF(C911="","",IFERROR(VLOOKUP(M911&amp;"|"&amp;N911,'17. Mapa DRE CP'!$E$5:$H$100,3,FALSE),"Revisar"))</f>
        <v/>
      </c>
      <c r="T911" s="65">
        <f>IF(C911="","",IF(R911="(-) Custos diretos dos serviços",IF(ISNUMBER(SEARCH("PCMSO",C911)),"PCMSO",IF(OR(ISNUMBER(SEARCH("SGS",C911)),ISNUMBER(SEARCH("CASTRO NAVES",C911))),"Projetos / Laudos / Avulsos","Projetos / Laudos / Avulsos")),"Rateio pela receita bruta"))</f>
        <v/>
      </c>
      <c r="U911" s="65">
        <f>IF(C911="","",IF(R911="(-) Custos diretos dos serviços","Direto por fornecedor/natureza do gasto","Rateio proporcional à receita bruta da linha de serviço"))</f>
        <v/>
      </c>
    </row>
    <row r="912">
      <c r="A912" s="28">
        <f>IF(C912="","", "CP-"&amp;TEXT(ROW()-5,"000"))</f>
        <v/>
      </c>
      <c r="B912" s="27">
        <f>IF(F912="","",DATE(YEAR(F912),MONTH(F912),1))</f>
        <v/>
      </c>
      <c r="C912" s="28" t="n"/>
      <c r="D912" s="28" t="n"/>
      <c r="E912" s="59">
        <f>IF(C912="","",IFERROR(INDEX('6. Base de Custos'!$M$8:$M$42,MATCH(C912,'6. Base de Custos'!$L$8:$L$42,0)),"Não classificado"))</f>
        <v/>
      </c>
      <c r="F912" s="111" t="n"/>
      <c r="G912" s="111" t="n"/>
      <c r="H912" s="111" t="n"/>
      <c r="I912" s="45" t="n"/>
      <c r="J912" s="28" t="n"/>
      <c r="K912" s="28" t="n"/>
      <c r="L912" s="28" t="n"/>
      <c r="M912" s="59">
        <f>IF(C912="","",IFERROR(INDEX('6. Base de Custos'!$N$8:$N$42,MATCH(C912,'6. Base de Custos'!$L$8:$L$42,0)),"Não classificado"))</f>
        <v/>
      </c>
      <c r="N912" s="59">
        <f>IF(C912="","",IFERROR(INDEX('6. Base de Custos'!$O$8:$O$42,MATCH(C912,'6. Base de Custos'!$L$8:$L$42,0)),"Revisar"))</f>
        <v/>
      </c>
      <c r="O912" s="60">
        <f>IF(M912="","",IFERROR(VLOOKUP(M912,'6. Base de Custos'!$H$12:$J$18,3,FALSE),0))</f>
        <v/>
      </c>
      <c r="P912" s="59">
        <f>IF(C912="","",IFERROR(INDEX('6. Base de Custos'!$P$8:$P$42,MATCH(C912,'6. Base de Custos'!$L$8:$L$42,0)),"Revisar"))</f>
        <v/>
      </c>
      <c r="Q912" s="59">
        <f>IF(C912="","",IFERROR(INDEX('6. Base de Custos'!$Q$8:$Q$42,MATCH(C912,'6. Base de Custos'!$L$8:$L$42,0)),""))</f>
        <v/>
      </c>
      <c r="R912" s="65">
        <f>IF(C912="","",IFERROR(VLOOKUP(M912&amp;"|"&amp;N912,'17. Mapa DRE CP'!$E$5:$H$100,2,FALSE),"Revisar"))</f>
        <v/>
      </c>
      <c r="S912" s="65">
        <f>IF(C912="","",IFERROR(VLOOKUP(M912&amp;"|"&amp;N912,'17. Mapa DRE CP'!$E$5:$H$100,3,FALSE),"Revisar"))</f>
        <v/>
      </c>
      <c r="T912" s="65">
        <f>IF(C912="","",IF(R912="(-) Custos diretos dos serviços",IF(ISNUMBER(SEARCH("PCMSO",C912)),"PCMSO",IF(OR(ISNUMBER(SEARCH("SGS",C912)),ISNUMBER(SEARCH("CASTRO NAVES",C912))),"Projetos / Laudos / Avulsos","Projetos / Laudos / Avulsos")),"Rateio pela receita bruta"))</f>
        <v/>
      </c>
      <c r="U912" s="65">
        <f>IF(C912="","",IF(R912="(-) Custos diretos dos serviços","Direto por fornecedor/natureza do gasto","Rateio proporcional à receita bruta da linha de serviço"))</f>
        <v/>
      </c>
    </row>
    <row r="913">
      <c r="A913" s="28">
        <f>IF(C913="","", "CP-"&amp;TEXT(ROW()-5,"000"))</f>
        <v/>
      </c>
      <c r="B913" s="27">
        <f>IF(F913="","",DATE(YEAR(F913),MONTH(F913),1))</f>
        <v/>
      </c>
      <c r="C913" s="28" t="n"/>
      <c r="D913" s="28" t="n"/>
      <c r="E913" s="59">
        <f>IF(C913="","",IFERROR(INDEX('6. Base de Custos'!$M$8:$M$42,MATCH(C913,'6. Base de Custos'!$L$8:$L$42,0)),"Não classificado"))</f>
        <v/>
      </c>
      <c r="F913" s="111" t="n"/>
      <c r="G913" s="111" t="n"/>
      <c r="H913" s="111" t="n"/>
      <c r="I913" s="45" t="n"/>
      <c r="J913" s="28" t="n"/>
      <c r="K913" s="28" t="n"/>
      <c r="L913" s="28" t="n"/>
      <c r="M913" s="59">
        <f>IF(C913="","",IFERROR(INDEX('6. Base de Custos'!$N$8:$N$42,MATCH(C913,'6. Base de Custos'!$L$8:$L$42,0)),"Não classificado"))</f>
        <v/>
      </c>
      <c r="N913" s="59">
        <f>IF(C913="","",IFERROR(INDEX('6. Base de Custos'!$O$8:$O$42,MATCH(C913,'6. Base de Custos'!$L$8:$L$42,0)),"Revisar"))</f>
        <v/>
      </c>
      <c r="O913" s="60">
        <f>IF(M913="","",IFERROR(VLOOKUP(M913,'6. Base de Custos'!$H$12:$J$18,3,FALSE),0))</f>
        <v/>
      </c>
      <c r="P913" s="59">
        <f>IF(C913="","",IFERROR(INDEX('6. Base de Custos'!$P$8:$P$42,MATCH(C913,'6. Base de Custos'!$L$8:$L$42,0)),"Revisar"))</f>
        <v/>
      </c>
      <c r="Q913" s="59">
        <f>IF(C913="","",IFERROR(INDEX('6. Base de Custos'!$Q$8:$Q$42,MATCH(C913,'6. Base de Custos'!$L$8:$L$42,0)),""))</f>
        <v/>
      </c>
      <c r="R913" s="65">
        <f>IF(C913="","",IFERROR(VLOOKUP(M913&amp;"|"&amp;N913,'17. Mapa DRE CP'!$E$5:$H$100,2,FALSE),"Revisar"))</f>
        <v/>
      </c>
      <c r="S913" s="65">
        <f>IF(C913="","",IFERROR(VLOOKUP(M913&amp;"|"&amp;N913,'17. Mapa DRE CP'!$E$5:$H$100,3,FALSE),"Revisar"))</f>
        <v/>
      </c>
      <c r="T913" s="65">
        <f>IF(C913="","",IF(R913="(-) Custos diretos dos serviços",IF(ISNUMBER(SEARCH("PCMSO",C913)),"PCMSO",IF(OR(ISNUMBER(SEARCH("SGS",C913)),ISNUMBER(SEARCH("CASTRO NAVES",C913))),"Projetos / Laudos / Avulsos","Projetos / Laudos / Avulsos")),"Rateio pela receita bruta"))</f>
        <v/>
      </c>
      <c r="U913" s="65">
        <f>IF(C913="","",IF(R913="(-) Custos diretos dos serviços","Direto por fornecedor/natureza do gasto","Rateio proporcional à receita bruta da linha de serviço"))</f>
        <v/>
      </c>
    </row>
    <row r="914">
      <c r="A914" s="28">
        <f>IF(C914="","", "CP-"&amp;TEXT(ROW()-5,"000"))</f>
        <v/>
      </c>
      <c r="B914" s="27">
        <f>IF(F914="","",DATE(YEAR(F914),MONTH(F914),1))</f>
        <v/>
      </c>
      <c r="C914" s="28" t="n"/>
      <c r="D914" s="28" t="n"/>
      <c r="E914" s="59">
        <f>IF(C914="","",IFERROR(INDEX('6. Base de Custos'!$M$8:$M$42,MATCH(C914,'6. Base de Custos'!$L$8:$L$42,0)),"Não classificado"))</f>
        <v/>
      </c>
      <c r="F914" s="111" t="n"/>
      <c r="G914" s="111" t="n"/>
      <c r="H914" s="111" t="n"/>
      <c r="I914" s="45" t="n"/>
      <c r="J914" s="28" t="n"/>
      <c r="K914" s="28" t="n"/>
      <c r="L914" s="28" t="n"/>
      <c r="M914" s="59">
        <f>IF(C914="","",IFERROR(INDEX('6. Base de Custos'!$N$8:$N$42,MATCH(C914,'6. Base de Custos'!$L$8:$L$42,0)),"Não classificado"))</f>
        <v/>
      </c>
      <c r="N914" s="59">
        <f>IF(C914="","",IFERROR(INDEX('6. Base de Custos'!$O$8:$O$42,MATCH(C914,'6. Base de Custos'!$L$8:$L$42,0)),"Revisar"))</f>
        <v/>
      </c>
      <c r="O914" s="60">
        <f>IF(M914="","",IFERROR(VLOOKUP(M914,'6. Base de Custos'!$H$12:$J$18,3,FALSE),0))</f>
        <v/>
      </c>
      <c r="P914" s="59">
        <f>IF(C914="","",IFERROR(INDEX('6. Base de Custos'!$P$8:$P$42,MATCH(C914,'6. Base de Custos'!$L$8:$L$42,0)),"Revisar"))</f>
        <v/>
      </c>
      <c r="Q914" s="59">
        <f>IF(C914="","",IFERROR(INDEX('6. Base de Custos'!$Q$8:$Q$42,MATCH(C914,'6. Base de Custos'!$L$8:$L$42,0)),""))</f>
        <v/>
      </c>
      <c r="R914" s="65">
        <f>IF(C914="","",IFERROR(VLOOKUP(M914&amp;"|"&amp;N914,'17. Mapa DRE CP'!$E$5:$H$100,2,FALSE),"Revisar"))</f>
        <v/>
      </c>
      <c r="S914" s="65">
        <f>IF(C914="","",IFERROR(VLOOKUP(M914&amp;"|"&amp;N914,'17. Mapa DRE CP'!$E$5:$H$100,3,FALSE),"Revisar"))</f>
        <v/>
      </c>
      <c r="T914" s="65">
        <f>IF(C914="","",IF(R914="(-) Custos diretos dos serviços",IF(ISNUMBER(SEARCH("PCMSO",C914)),"PCMSO",IF(OR(ISNUMBER(SEARCH("SGS",C914)),ISNUMBER(SEARCH("CASTRO NAVES",C914))),"Projetos / Laudos / Avulsos","Projetos / Laudos / Avulsos")),"Rateio pela receita bruta"))</f>
        <v/>
      </c>
      <c r="U914" s="65">
        <f>IF(C914="","",IF(R914="(-) Custos diretos dos serviços","Direto por fornecedor/natureza do gasto","Rateio proporcional à receita bruta da linha de serviço"))</f>
        <v/>
      </c>
    </row>
    <row r="915">
      <c r="A915" s="28">
        <f>IF(C915="","", "CP-"&amp;TEXT(ROW()-5,"000"))</f>
        <v/>
      </c>
      <c r="B915" s="27">
        <f>IF(F915="","",DATE(YEAR(F915),MONTH(F915),1))</f>
        <v/>
      </c>
      <c r="C915" s="28" t="n"/>
      <c r="D915" s="28" t="n"/>
      <c r="E915" s="59">
        <f>IF(C915="","",IFERROR(INDEX('6. Base de Custos'!$M$8:$M$42,MATCH(C915,'6. Base de Custos'!$L$8:$L$42,0)),"Não classificado"))</f>
        <v/>
      </c>
      <c r="F915" s="111" t="n"/>
      <c r="G915" s="111" t="n"/>
      <c r="H915" s="111" t="n"/>
      <c r="I915" s="45" t="n"/>
      <c r="J915" s="28" t="n"/>
      <c r="K915" s="28" t="n"/>
      <c r="L915" s="28" t="n"/>
      <c r="M915" s="59">
        <f>IF(C915="","",IFERROR(INDEX('6. Base de Custos'!$N$8:$N$42,MATCH(C915,'6. Base de Custos'!$L$8:$L$42,0)),"Não classificado"))</f>
        <v/>
      </c>
      <c r="N915" s="59">
        <f>IF(C915="","",IFERROR(INDEX('6. Base de Custos'!$O$8:$O$42,MATCH(C915,'6. Base de Custos'!$L$8:$L$42,0)),"Revisar"))</f>
        <v/>
      </c>
      <c r="O915" s="60">
        <f>IF(M915="","",IFERROR(VLOOKUP(M915,'6. Base de Custos'!$H$12:$J$18,3,FALSE),0))</f>
        <v/>
      </c>
      <c r="P915" s="59">
        <f>IF(C915="","",IFERROR(INDEX('6. Base de Custos'!$P$8:$P$42,MATCH(C915,'6. Base de Custos'!$L$8:$L$42,0)),"Revisar"))</f>
        <v/>
      </c>
      <c r="Q915" s="59">
        <f>IF(C915="","",IFERROR(INDEX('6. Base de Custos'!$Q$8:$Q$42,MATCH(C915,'6. Base de Custos'!$L$8:$L$42,0)),""))</f>
        <v/>
      </c>
      <c r="R915" s="65">
        <f>IF(C915="","",IFERROR(VLOOKUP(M915&amp;"|"&amp;N915,'17. Mapa DRE CP'!$E$5:$H$100,2,FALSE),"Revisar"))</f>
        <v/>
      </c>
      <c r="S915" s="65">
        <f>IF(C915="","",IFERROR(VLOOKUP(M915&amp;"|"&amp;N915,'17. Mapa DRE CP'!$E$5:$H$100,3,FALSE),"Revisar"))</f>
        <v/>
      </c>
      <c r="T915" s="65">
        <f>IF(C915="","",IF(R915="(-) Custos diretos dos serviços",IF(ISNUMBER(SEARCH("PCMSO",C915)),"PCMSO",IF(OR(ISNUMBER(SEARCH("SGS",C915)),ISNUMBER(SEARCH("CASTRO NAVES",C915))),"Projetos / Laudos / Avulsos","Projetos / Laudos / Avulsos")),"Rateio pela receita bruta"))</f>
        <v/>
      </c>
      <c r="U915" s="65">
        <f>IF(C915="","",IF(R915="(-) Custos diretos dos serviços","Direto por fornecedor/natureza do gasto","Rateio proporcional à receita bruta da linha de serviço"))</f>
        <v/>
      </c>
    </row>
    <row r="916">
      <c r="A916" s="28">
        <f>IF(C916="","", "CP-"&amp;TEXT(ROW()-5,"000"))</f>
        <v/>
      </c>
      <c r="B916" s="27">
        <f>IF(F916="","",DATE(YEAR(F916),MONTH(F916),1))</f>
        <v/>
      </c>
      <c r="C916" s="28" t="n"/>
      <c r="D916" s="28" t="n"/>
      <c r="E916" s="59">
        <f>IF(C916="","",IFERROR(INDEX('6. Base de Custos'!$M$8:$M$42,MATCH(C916,'6. Base de Custos'!$L$8:$L$42,0)),"Não classificado"))</f>
        <v/>
      </c>
      <c r="F916" s="111" t="n"/>
      <c r="G916" s="111" t="n"/>
      <c r="H916" s="111" t="n"/>
      <c r="I916" s="45" t="n"/>
      <c r="J916" s="28" t="n"/>
      <c r="K916" s="28" t="n"/>
      <c r="L916" s="28" t="n"/>
      <c r="M916" s="59">
        <f>IF(C916="","",IFERROR(INDEX('6. Base de Custos'!$N$8:$N$42,MATCH(C916,'6. Base de Custos'!$L$8:$L$42,0)),"Não classificado"))</f>
        <v/>
      </c>
      <c r="N916" s="59">
        <f>IF(C916="","",IFERROR(INDEX('6. Base de Custos'!$O$8:$O$42,MATCH(C916,'6. Base de Custos'!$L$8:$L$42,0)),"Revisar"))</f>
        <v/>
      </c>
      <c r="O916" s="60">
        <f>IF(M916="","",IFERROR(VLOOKUP(M916,'6. Base de Custos'!$H$12:$J$18,3,FALSE),0))</f>
        <v/>
      </c>
      <c r="P916" s="59">
        <f>IF(C916="","",IFERROR(INDEX('6. Base de Custos'!$P$8:$P$42,MATCH(C916,'6. Base de Custos'!$L$8:$L$42,0)),"Revisar"))</f>
        <v/>
      </c>
      <c r="Q916" s="59">
        <f>IF(C916="","",IFERROR(INDEX('6. Base de Custos'!$Q$8:$Q$42,MATCH(C916,'6. Base de Custos'!$L$8:$L$42,0)),""))</f>
        <v/>
      </c>
      <c r="R916" s="65">
        <f>IF(C916="","",IFERROR(VLOOKUP(M916&amp;"|"&amp;N916,'17. Mapa DRE CP'!$E$5:$H$100,2,FALSE),"Revisar"))</f>
        <v/>
      </c>
      <c r="S916" s="65">
        <f>IF(C916="","",IFERROR(VLOOKUP(M916&amp;"|"&amp;N916,'17. Mapa DRE CP'!$E$5:$H$100,3,FALSE),"Revisar"))</f>
        <v/>
      </c>
      <c r="T916" s="65">
        <f>IF(C916="","",IF(R916="(-) Custos diretos dos serviços",IF(ISNUMBER(SEARCH("PCMSO",C916)),"PCMSO",IF(OR(ISNUMBER(SEARCH("SGS",C916)),ISNUMBER(SEARCH("CASTRO NAVES",C916))),"Projetos / Laudos / Avulsos","Projetos / Laudos / Avulsos")),"Rateio pela receita bruta"))</f>
        <v/>
      </c>
      <c r="U916" s="65">
        <f>IF(C916="","",IF(R916="(-) Custos diretos dos serviços","Direto por fornecedor/natureza do gasto","Rateio proporcional à receita bruta da linha de serviço"))</f>
        <v/>
      </c>
    </row>
    <row r="917">
      <c r="A917" s="28">
        <f>IF(C917="","", "CP-"&amp;TEXT(ROW()-5,"000"))</f>
        <v/>
      </c>
      <c r="B917" s="27">
        <f>IF(F917="","",DATE(YEAR(F917),MONTH(F917),1))</f>
        <v/>
      </c>
      <c r="C917" s="28" t="n"/>
      <c r="D917" s="28" t="n"/>
      <c r="E917" s="59">
        <f>IF(C917="","",IFERROR(INDEX('6. Base de Custos'!$M$8:$M$42,MATCH(C917,'6. Base de Custos'!$L$8:$L$42,0)),"Não classificado"))</f>
        <v/>
      </c>
      <c r="F917" s="111" t="n"/>
      <c r="G917" s="111" t="n"/>
      <c r="H917" s="111" t="n"/>
      <c r="I917" s="45" t="n"/>
      <c r="J917" s="28" t="n"/>
      <c r="K917" s="28" t="n"/>
      <c r="L917" s="28" t="n"/>
      <c r="M917" s="59">
        <f>IF(C917="","",IFERROR(INDEX('6. Base de Custos'!$N$8:$N$42,MATCH(C917,'6. Base de Custos'!$L$8:$L$42,0)),"Não classificado"))</f>
        <v/>
      </c>
      <c r="N917" s="59">
        <f>IF(C917="","",IFERROR(INDEX('6. Base de Custos'!$O$8:$O$42,MATCH(C917,'6. Base de Custos'!$L$8:$L$42,0)),"Revisar"))</f>
        <v/>
      </c>
      <c r="O917" s="60">
        <f>IF(M917="","",IFERROR(VLOOKUP(M917,'6. Base de Custos'!$H$12:$J$18,3,FALSE),0))</f>
        <v/>
      </c>
      <c r="P917" s="59">
        <f>IF(C917="","",IFERROR(INDEX('6. Base de Custos'!$P$8:$P$42,MATCH(C917,'6. Base de Custos'!$L$8:$L$42,0)),"Revisar"))</f>
        <v/>
      </c>
      <c r="Q917" s="59">
        <f>IF(C917="","",IFERROR(INDEX('6. Base de Custos'!$Q$8:$Q$42,MATCH(C917,'6. Base de Custos'!$L$8:$L$42,0)),""))</f>
        <v/>
      </c>
      <c r="R917" s="65">
        <f>IF(C917="","",IFERROR(VLOOKUP(M917&amp;"|"&amp;N917,'17. Mapa DRE CP'!$E$5:$H$100,2,FALSE),"Revisar"))</f>
        <v/>
      </c>
      <c r="S917" s="65">
        <f>IF(C917="","",IFERROR(VLOOKUP(M917&amp;"|"&amp;N917,'17. Mapa DRE CP'!$E$5:$H$100,3,FALSE),"Revisar"))</f>
        <v/>
      </c>
      <c r="T917" s="65">
        <f>IF(C917="","",IF(R917="(-) Custos diretos dos serviços",IF(ISNUMBER(SEARCH("PCMSO",C917)),"PCMSO",IF(OR(ISNUMBER(SEARCH("SGS",C917)),ISNUMBER(SEARCH("CASTRO NAVES",C917))),"Projetos / Laudos / Avulsos","Projetos / Laudos / Avulsos")),"Rateio pela receita bruta"))</f>
        <v/>
      </c>
      <c r="U917" s="65">
        <f>IF(C917="","",IF(R917="(-) Custos diretos dos serviços","Direto por fornecedor/natureza do gasto","Rateio proporcional à receita bruta da linha de serviço"))</f>
        <v/>
      </c>
    </row>
    <row r="918">
      <c r="A918" s="28">
        <f>IF(C918="","", "CP-"&amp;TEXT(ROW()-5,"000"))</f>
        <v/>
      </c>
      <c r="B918" s="27">
        <f>IF(F918="","",DATE(YEAR(F918),MONTH(F918),1))</f>
        <v/>
      </c>
      <c r="C918" s="28" t="n"/>
      <c r="D918" s="28" t="n"/>
      <c r="E918" s="59">
        <f>IF(C918="","",IFERROR(INDEX('6. Base de Custos'!$M$8:$M$42,MATCH(C918,'6. Base de Custos'!$L$8:$L$42,0)),"Não classificado"))</f>
        <v/>
      </c>
      <c r="F918" s="111" t="n"/>
      <c r="G918" s="111" t="n"/>
      <c r="H918" s="111" t="n"/>
      <c r="I918" s="45" t="n"/>
      <c r="J918" s="28" t="n"/>
      <c r="K918" s="28" t="n"/>
      <c r="L918" s="28" t="n"/>
      <c r="M918" s="59">
        <f>IF(C918="","",IFERROR(INDEX('6. Base de Custos'!$N$8:$N$42,MATCH(C918,'6. Base de Custos'!$L$8:$L$42,0)),"Não classificado"))</f>
        <v/>
      </c>
      <c r="N918" s="59">
        <f>IF(C918="","",IFERROR(INDEX('6. Base de Custos'!$O$8:$O$42,MATCH(C918,'6. Base de Custos'!$L$8:$L$42,0)),"Revisar"))</f>
        <v/>
      </c>
      <c r="O918" s="60">
        <f>IF(M918="","",IFERROR(VLOOKUP(M918,'6. Base de Custos'!$H$12:$J$18,3,FALSE),0))</f>
        <v/>
      </c>
      <c r="P918" s="59">
        <f>IF(C918="","",IFERROR(INDEX('6. Base de Custos'!$P$8:$P$42,MATCH(C918,'6. Base de Custos'!$L$8:$L$42,0)),"Revisar"))</f>
        <v/>
      </c>
      <c r="Q918" s="59">
        <f>IF(C918="","",IFERROR(INDEX('6. Base de Custos'!$Q$8:$Q$42,MATCH(C918,'6. Base de Custos'!$L$8:$L$42,0)),""))</f>
        <v/>
      </c>
      <c r="R918" s="65">
        <f>IF(C918="","",IFERROR(VLOOKUP(M918&amp;"|"&amp;N918,'17. Mapa DRE CP'!$E$5:$H$100,2,FALSE),"Revisar"))</f>
        <v/>
      </c>
      <c r="S918" s="65">
        <f>IF(C918="","",IFERROR(VLOOKUP(M918&amp;"|"&amp;N918,'17. Mapa DRE CP'!$E$5:$H$100,3,FALSE),"Revisar"))</f>
        <v/>
      </c>
      <c r="T918" s="65">
        <f>IF(C918="","",IF(R918="(-) Custos diretos dos serviços",IF(ISNUMBER(SEARCH("PCMSO",C918)),"PCMSO",IF(OR(ISNUMBER(SEARCH("SGS",C918)),ISNUMBER(SEARCH("CASTRO NAVES",C918))),"Projetos / Laudos / Avulsos","Projetos / Laudos / Avulsos")),"Rateio pela receita bruta"))</f>
        <v/>
      </c>
      <c r="U918" s="65">
        <f>IF(C918="","",IF(R918="(-) Custos diretos dos serviços","Direto por fornecedor/natureza do gasto","Rateio proporcional à receita bruta da linha de serviço"))</f>
        <v/>
      </c>
    </row>
    <row r="919">
      <c r="A919" s="28">
        <f>IF(C919="","", "CP-"&amp;TEXT(ROW()-5,"000"))</f>
        <v/>
      </c>
      <c r="B919" s="27">
        <f>IF(F919="","",DATE(YEAR(F919),MONTH(F919),1))</f>
        <v/>
      </c>
      <c r="C919" s="28" t="n"/>
      <c r="D919" s="28" t="n"/>
      <c r="E919" s="59">
        <f>IF(C919="","",IFERROR(INDEX('6. Base de Custos'!$M$8:$M$42,MATCH(C919,'6. Base de Custos'!$L$8:$L$42,0)),"Não classificado"))</f>
        <v/>
      </c>
      <c r="F919" s="111" t="n"/>
      <c r="G919" s="111" t="n"/>
      <c r="H919" s="111" t="n"/>
      <c r="I919" s="45" t="n"/>
      <c r="J919" s="28" t="n"/>
      <c r="K919" s="28" t="n"/>
      <c r="L919" s="28" t="n"/>
      <c r="M919" s="59">
        <f>IF(C919="","",IFERROR(INDEX('6. Base de Custos'!$N$8:$N$42,MATCH(C919,'6. Base de Custos'!$L$8:$L$42,0)),"Não classificado"))</f>
        <v/>
      </c>
      <c r="N919" s="59">
        <f>IF(C919="","",IFERROR(INDEX('6. Base de Custos'!$O$8:$O$42,MATCH(C919,'6. Base de Custos'!$L$8:$L$42,0)),"Revisar"))</f>
        <v/>
      </c>
      <c r="O919" s="60">
        <f>IF(M919="","",IFERROR(VLOOKUP(M919,'6. Base de Custos'!$H$12:$J$18,3,FALSE),0))</f>
        <v/>
      </c>
      <c r="P919" s="59">
        <f>IF(C919="","",IFERROR(INDEX('6. Base de Custos'!$P$8:$P$42,MATCH(C919,'6. Base de Custos'!$L$8:$L$42,0)),"Revisar"))</f>
        <v/>
      </c>
      <c r="Q919" s="59">
        <f>IF(C919="","",IFERROR(INDEX('6. Base de Custos'!$Q$8:$Q$42,MATCH(C919,'6. Base de Custos'!$L$8:$L$42,0)),""))</f>
        <v/>
      </c>
      <c r="R919" s="65">
        <f>IF(C919="","",IFERROR(VLOOKUP(M919&amp;"|"&amp;N919,'17. Mapa DRE CP'!$E$5:$H$100,2,FALSE),"Revisar"))</f>
        <v/>
      </c>
      <c r="S919" s="65">
        <f>IF(C919="","",IFERROR(VLOOKUP(M919&amp;"|"&amp;N919,'17. Mapa DRE CP'!$E$5:$H$100,3,FALSE),"Revisar"))</f>
        <v/>
      </c>
      <c r="T919" s="65">
        <f>IF(C919="","",IF(R919="(-) Custos diretos dos serviços",IF(ISNUMBER(SEARCH("PCMSO",C919)),"PCMSO",IF(OR(ISNUMBER(SEARCH("SGS",C919)),ISNUMBER(SEARCH("CASTRO NAVES",C919))),"Projetos / Laudos / Avulsos","Projetos / Laudos / Avulsos")),"Rateio pela receita bruta"))</f>
        <v/>
      </c>
      <c r="U919" s="65">
        <f>IF(C919="","",IF(R919="(-) Custos diretos dos serviços","Direto por fornecedor/natureza do gasto","Rateio proporcional à receita bruta da linha de serviço"))</f>
        <v/>
      </c>
    </row>
    <row r="920">
      <c r="A920" s="28">
        <f>IF(C920="","", "CP-"&amp;TEXT(ROW()-5,"000"))</f>
        <v/>
      </c>
      <c r="B920" s="27">
        <f>IF(F920="","",DATE(YEAR(F920),MONTH(F920),1))</f>
        <v/>
      </c>
      <c r="C920" s="28" t="n"/>
      <c r="D920" s="28" t="n"/>
      <c r="E920" s="59">
        <f>IF(C920="","",IFERROR(INDEX('6. Base de Custos'!$M$8:$M$42,MATCH(C920,'6. Base de Custos'!$L$8:$L$42,0)),"Não classificado"))</f>
        <v/>
      </c>
      <c r="F920" s="111" t="n"/>
      <c r="G920" s="111" t="n"/>
      <c r="H920" s="111" t="n"/>
      <c r="I920" s="45" t="n"/>
      <c r="J920" s="28" t="n"/>
      <c r="K920" s="28" t="n"/>
      <c r="L920" s="28" t="n"/>
      <c r="M920" s="59">
        <f>IF(C920="","",IFERROR(INDEX('6. Base de Custos'!$N$8:$N$42,MATCH(C920,'6. Base de Custos'!$L$8:$L$42,0)),"Não classificado"))</f>
        <v/>
      </c>
      <c r="N920" s="59">
        <f>IF(C920="","",IFERROR(INDEX('6. Base de Custos'!$O$8:$O$42,MATCH(C920,'6. Base de Custos'!$L$8:$L$42,0)),"Revisar"))</f>
        <v/>
      </c>
      <c r="O920" s="60">
        <f>IF(M920="","",IFERROR(VLOOKUP(M920,'6. Base de Custos'!$H$12:$J$18,3,FALSE),0))</f>
        <v/>
      </c>
      <c r="P920" s="59">
        <f>IF(C920="","",IFERROR(INDEX('6. Base de Custos'!$P$8:$P$42,MATCH(C920,'6. Base de Custos'!$L$8:$L$42,0)),"Revisar"))</f>
        <v/>
      </c>
      <c r="Q920" s="59">
        <f>IF(C920="","",IFERROR(INDEX('6. Base de Custos'!$Q$8:$Q$42,MATCH(C920,'6. Base de Custos'!$L$8:$L$42,0)),""))</f>
        <v/>
      </c>
      <c r="R920" s="65">
        <f>IF(C920="","",IFERROR(VLOOKUP(M920&amp;"|"&amp;N920,'17. Mapa DRE CP'!$E$5:$H$100,2,FALSE),"Revisar"))</f>
        <v/>
      </c>
      <c r="S920" s="65">
        <f>IF(C920="","",IFERROR(VLOOKUP(M920&amp;"|"&amp;N920,'17. Mapa DRE CP'!$E$5:$H$100,3,FALSE),"Revisar"))</f>
        <v/>
      </c>
      <c r="T920" s="65">
        <f>IF(C920="","",IF(R920="(-) Custos diretos dos serviços",IF(ISNUMBER(SEARCH("PCMSO",C920)),"PCMSO",IF(OR(ISNUMBER(SEARCH("SGS",C920)),ISNUMBER(SEARCH("CASTRO NAVES",C920))),"Projetos / Laudos / Avulsos","Projetos / Laudos / Avulsos")),"Rateio pela receita bruta"))</f>
        <v/>
      </c>
      <c r="U920" s="65">
        <f>IF(C920="","",IF(R920="(-) Custos diretos dos serviços","Direto por fornecedor/natureza do gasto","Rateio proporcional à receita bruta da linha de serviço"))</f>
        <v/>
      </c>
    </row>
    <row r="921">
      <c r="A921" s="28">
        <f>IF(C921="","", "CP-"&amp;TEXT(ROW()-5,"000"))</f>
        <v/>
      </c>
      <c r="B921" s="27">
        <f>IF(F921="","",DATE(YEAR(F921),MONTH(F921),1))</f>
        <v/>
      </c>
      <c r="C921" s="28" t="n"/>
      <c r="D921" s="28" t="n"/>
      <c r="E921" s="59">
        <f>IF(C921="","",IFERROR(INDEX('6. Base de Custos'!$M$8:$M$42,MATCH(C921,'6. Base de Custos'!$L$8:$L$42,0)),"Não classificado"))</f>
        <v/>
      </c>
      <c r="F921" s="111" t="n"/>
      <c r="G921" s="111" t="n"/>
      <c r="H921" s="111" t="n"/>
      <c r="I921" s="45" t="n"/>
      <c r="J921" s="28" t="n"/>
      <c r="K921" s="28" t="n"/>
      <c r="L921" s="28" t="n"/>
      <c r="M921" s="59">
        <f>IF(C921="","",IFERROR(INDEX('6. Base de Custos'!$N$8:$N$42,MATCH(C921,'6. Base de Custos'!$L$8:$L$42,0)),"Não classificado"))</f>
        <v/>
      </c>
      <c r="N921" s="59">
        <f>IF(C921="","",IFERROR(INDEX('6. Base de Custos'!$O$8:$O$42,MATCH(C921,'6. Base de Custos'!$L$8:$L$42,0)),"Revisar"))</f>
        <v/>
      </c>
      <c r="O921" s="60">
        <f>IF(M921="","",IFERROR(VLOOKUP(M921,'6. Base de Custos'!$H$12:$J$18,3,FALSE),0))</f>
        <v/>
      </c>
      <c r="P921" s="59">
        <f>IF(C921="","",IFERROR(INDEX('6. Base de Custos'!$P$8:$P$42,MATCH(C921,'6. Base de Custos'!$L$8:$L$42,0)),"Revisar"))</f>
        <v/>
      </c>
      <c r="Q921" s="59">
        <f>IF(C921="","",IFERROR(INDEX('6. Base de Custos'!$Q$8:$Q$42,MATCH(C921,'6. Base de Custos'!$L$8:$L$42,0)),""))</f>
        <v/>
      </c>
      <c r="R921" s="65">
        <f>IF(C921="","",IFERROR(VLOOKUP(M921&amp;"|"&amp;N921,'17. Mapa DRE CP'!$E$5:$H$100,2,FALSE),"Revisar"))</f>
        <v/>
      </c>
      <c r="S921" s="65">
        <f>IF(C921="","",IFERROR(VLOOKUP(M921&amp;"|"&amp;N921,'17. Mapa DRE CP'!$E$5:$H$100,3,FALSE),"Revisar"))</f>
        <v/>
      </c>
      <c r="T921" s="65">
        <f>IF(C921="","",IF(R921="(-) Custos diretos dos serviços",IF(ISNUMBER(SEARCH("PCMSO",C921)),"PCMSO",IF(OR(ISNUMBER(SEARCH("SGS",C921)),ISNUMBER(SEARCH("CASTRO NAVES",C921))),"Projetos / Laudos / Avulsos","Projetos / Laudos / Avulsos")),"Rateio pela receita bruta"))</f>
        <v/>
      </c>
      <c r="U921" s="65">
        <f>IF(C921="","",IF(R921="(-) Custos diretos dos serviços","Direto por fornecedor/natureza do gasto","Rateio proporcional à receita bruta da linha de serviço"))</f>
        <v/>
      </c>
    </row>
    <row r="922">
      <c r="A922" s="28">
        <f>IF(C922="","", "CP-"&amp;TEXT(ROW()-5,"000"))</f>
        <v/>
      </c>
      <c r="B922" s="27">
        <f>IF(F922="","",DATE(YEAR(F922),MONTH(F922),1))</f>
        <v/>
      </c>
      <c r="C922" s="28" t="n"/>
      <c r="D922" s="28" t="n"/>
      <c r="E922" s="59">
        <f>IF(C922="","",IFERROR(INDEX('6. Base de Custos'!$M$8:$M$42,MATCH(C922,'6. Base de Custos'!$L$8:$L$42,0)),"Não classificado"))</f>
        <v/>
      </c>
      <c r="F922" s="111" t="n"/>
      <c r="G922" s="111" t="n"/>
      <c r="H922" s="111" t="n"/>
      <c r="I922" s="45" t="n"/>
      <c r="J922" s="28" t="n"/>
      <c r="K922" s="28" t="n"/>
      <c r="L922" s="28" t="n"/>
      <c r="M922" s="59">
        <f>IF(C922="","",IFERROR(INDEX('6. Base de Custos'!$N$8:$N$42,MATCH(C922,'6. Base de Custos'!$L$8:$L$42,0)),"Não classificado"))</f>
        <v/>
      </c>
      <c r="N922" s="59">
        <f>IF(C922="","",IFERROR(INDEX('6. Base de Custos'!$O$8:$O$42,MATCH(C922,'6. Base de Custos'!$L$8:$L$42,0)),"Revisar"))</f>
        <v/>
      </c>
      <c r="O922" s="60">
        <f>IF(M922="","",IFERROR(VLOOKUP(M922,'6. Base de Custos'!$H$12:$J$18,3,FALSE),0))</f>
        <v/>
      </c>
      <c r="P922" s="59">
        <f>IF(C922="","",IFERROR(INDEX('6. Base de Custos'!$P$8:$P$42,MATCH(C922,'6. Base de Custos'!$L$8:$L$42,0)),"Revisar"))</f>
        <v/>
      </c>
      <c r="Q922" s="59">
        <f>IF(C922="","",IFERROR(INDEX('6. Base de Custos'!$Q$8:$Q$42,MATCH(C922,'6. Base de Custos'!$L$8:$L$42,0)),""))</f>
        <v/>
      </c>
      <c r="R922" s="65">
        <f>IF(C922="","",IFERROR(VLOOKUP(M922&amp;"|"&amp;N922,'17. Mapa DRE CP'!$E$5:$H$100,2,FALSE),"Revisar"))</f>
        <v/>
      </c>
      <c r="S922" s="65">
        <f>IF(C922="","",IFERROR(VLOOKUP(M922&amp;"|"&amp;N922,'17. Mapa DRE CP'!$E$5:$H$100,3,FALSE),"Revisar"))</f>
        <v/>
      </c>
      <c r="T922" s="65">
        <f>IF(C922="","",IF(R922="(-) Custos diretos dos serviços",IF(ISNUMBER(SEARCH("PCMSO",C922)),"PCMSO",IF(OR(ISNUMBER(SEARCH("SGS",C922)),ISNUMBER(SEARCH("CASTRO NAVES",C922))),"Projetos / Laudos / Avulsos","Projetos / Laudos / Avulsos")),"Rateio pela receita bruta"))</f>
        <v/>
      </c>
      <c r="U922" s="65">
        <f>IF(C922="","",IF(R922="(-) Custos diretos dos serviços","Direto por fornecedor/natureza do gasto","Rateio proporcional à receita bruta da linha de serviço"))</f>
        <v/>
      </c>
    </row>
    <row r="923">
      <c r="A923" s="28">
        <f>IF(C923="","", "CP-"&amp;TEXT(ROW()-5,"000"))</f>
        <v/>
      </c>
      <c r="B923" s="27">
        <f>IF(F923="","",DATE(YEAR(F923),MONTH(F923),1))</f>
        <v/>
      </c>
      <c r="C923" s="28" t="n"/>
      <c r="D923" s="28" t="n"/>
      <c r="E923" s="59">
        <f>IF(C923="","",IFERROR(INDEX('6. Base de Custos'!$M$8:$M$42,MATCH(C923,'6. Base de Custos'!$L$8:$L$42,0)),"Não classificado"))</f>
        <v/>
      </c>
      <c r="F923" s="111" t="n"/>
      <c r="G923" s="111" t="n"/>
      <c r="H923" s="111" t="n"/>
      <c r="I923" s="45" t="n"/>
      <c r="J923" s="28" t="n"/>
      <c r="K923" s="28" t="n"/>
      <c r="L923" s="28" t="n"/>
      <c r="M923" s="59">
        <f>IF(C923="","",IFERROR(INDEX('6. Base de Custos'!$N$8:$N$42,MATCH(C923,'6. Base de Custos'!$L$8:$L$42,0)),"Não classificado"))</f>
        <v/>
      </c>
      <c r="N923" s="59">
        <f>IF(C923="","",IFERROR(INDEX('6. Base de Custos'!$O$8:$O$42,MATCH(C923,'6. Base de Custos'!$L$8:$L$42,0)),"Revisar"))</f>
        <v/>
      </c>
      <c r="O923" s="60">
        <f>IF(M923="","",IFERROR(VLOOKUP(M923,'6. Base de Custos'!$H$12:$J$18,3,FALSE),0))</f>
        <v/>
      </c>
      <c r="P923" s="59">
        <f>IF(C923="","",IFERROR(INDEX('6. Base de Custos'!$P$8:$P$42,MATCH(C923,'6. Base de Custos'!$L$8:$L$42,0)),"Revisar"))</f>
        <v/>
      </c>
      <c r="Q923" s="59">
        <f>IF(C923="","",IFERROR(INDEX('6. Base de Custos'!$Q$8:$Q$42,MATCH(C923,'6. Base de Custos'!$L$8:$L$42,0)),""))</f>
        <v/>
      </c>
      <c r="R923" s="65">
        <f>IF(C923="","",IFERROR(VLOOKUP(M923&amp;"|"&amp;N923,'17. Mapa DRE CP'!$E$5:$H$100,2,FALSE),"Revisar"))</f>
        <v/>
      </c>
      <c r="S923" s="65">
        <f>IF(C923="","",IFERROR(VLOOKUP(M923&amp;"|"&amp;N923,'17. Mapa DRE CP'!$E$5:$H$100,3,FALSE),"Revisar"))</f>
        <v/>
      </c>
      <c r="T923" s="65">
        <f>IF(C923="","",IF(R923="(-) Custos diretos dos serviços",IF(ISNUMBER(SEARCH("PCMSO",C923)),"PCMSO",IF(OR(ISNUMBER(SEARCH("SGS",C923)),ISNUMBER(SEARCH("CASTRO NAVES",C923))),"Projetos / Laudos / Avulsos","Projetos / Laudos / Avulsos")),"Rateio pela receita bruta"))</f>
        <v/>
      </c>
      <c r="U923" s="65">
        <f>IF(C923="","",IF(R923="(-) Custos diretos dos serviços","Direto por fornecedor/natureza do gasto","Rateio proporcional à receita bruta da linha de serviço"))</f>
        <v/>
      </c>
    </row>
    <row r="924">
      <c r="A924" s="28">
        <f>IF(C924="","", "CP-"&amp;TEXT(ROW()-5,"000"))</f>
        <v/>
      </c>
      <c r="B924" s="27">
        <f>IF(F924="","",DATE(YEAR(F924),MONTH(F924),1))</f>
        <v/>
      </c>
      <c r="C924" s="28" t="n"/>
      <c r="D924" s="28" t="n"/>
      <c r="E924" s="59">
        <f>IF(C924="","",IFERROR(INDEX('6. Base de Custos'!$M$8:$M$42,MATCH(C924,'6. Base de Custos'!$L$8:$L$42,0)),"Não classificado"))</f>
        <v/>
      </c>
      <c r="F924" s="111" t="n"/>
      <c r="G924" s="111" t="n"/>
      <c r="H924" s="111" t="n"/>
      <c r="I924" s="45" t="n"/>
      <c r="J924" s="28" t="n"/>
      <c r="K924" s="28" t="n"/>
      <c r="L924" s="28" t="n"/>
      <c r="M924" s="59">
        <f>IF(C924="","",IFERROR(INDEX('6. Base de Custos'!$N$8:$N$42,MATCH(C924,'6. Base de Custos'!$L$8:$L$42,0)),"Não classificado"))</f>
        <v/>
      </c>
      <c r="N924" s="59">
        <f>IF(C924="","",IFERROR(INDEX('6. Base de Custos'!$O$8:$O$42,MATCH(C924,'6. Base de Custos'!$L$8:$L$42,0)),"Revisar"))</f>
        <v/>
      </c>
      <c r="O924" s="60">
        <f>IF(M924="","",IFERROR(VLOOKUP(M924,'6. Base de Custos'!$H$12:$J$18,3,FALSE),0))</f>
        <v/>
      </c>
      <c r="P924" s="59">
        <f>IF(C924="","",IFERROR(INDEX('6. Base de Custos'!$P$8:$P$42,MATCH(C924,'6. Base de Custos'!$L$8:$L$42,0)),"Revisar"))</f>
        <v/>
      </c>
      <c r="Q924" s="59">
        <f>IF(C924="","",IFERROR(INDEX('6. Base de Custos'!$Q$8:$Q$42,MATCH(C924,'6. Base de Custos'!$L$8:$L$42,0)),""))</f>
        <v/>
      </c>
      <c r="R924" s="65">
        <f>IF(C924="","",IFERROR(VLOOKUP(M924&amp;"|"&amp;N924,'17. Mapa DRE CP'!$E$5:$H$100,2,FALSE),"Revisar"))</f>
        <v/>
      </c>
      <c r="S924" s="65">
        <f>IF(C924="","",IFERROR(VLOOKUP(M924&amp;"|"&amp;N924,'17. Mapa DRE CP'!$E$5:$H$100,3,FALSE),"Revisar"))</f>
        <v/>
      </c>
      <c r="T924" s="65">
        <f>IF(C924="","",IF(R924="(-) Custos diretos dos serviços",IF(ISNUMBER(SEARCH("PCMSO",C924)),"PCMSO",IF(OR(ISNUMBER(SEARCH("SGS",C924)),ISNUMBER(SEARCH("CASTRO NAVES",C924))),"Projetos / Laudos / Avulsos","Projetos / Laudos / Avulsos")),"Rateio pela receita bruta"))</f>
        <v/>
      </c>
      <c r="U924" s="65">
        <f>IF(C924="","",IF(R924="(-) Custos diretos dos serviços","Direto por fornecedor/natureza do gasto","Rateio proporcional à receita bruta da linha de serviço"))</f>
        <v/>
      </c>
    </row>
    <row r="925">
      <c r="A925" s="28">
        <f>IF(C925="","", "CP-"&amp;TEXT(ROW()-5,"000"))</f>
        <v/>
      </c>
      <c r="B925" s="27">
        <f>IF(F925="","",DATE(YEAR(F925),MONTH(F925),1))</f>
        <v/>
      </c>
      <c r="C925" s="28" t="n"/>
      <c r="D925" s="28" t="n"/>
      <c r="E925" s="59">
        <f>IF(C925="","",IFERROR(INDEX('6. Base de Custos'!$M$8:$M$42,MATCH(C925,'6. Base de Custos'!$L$8:$L$42,0)),"Não classificado"))</f>
        <v/>
      </c>
      <c r="F925" s="111" t="n"/>
      <c r="G925" s="111" t="n"/>
      <c r="H925" s="111" t="n"/>
      <c r="I925" s="45" t="n"/>
      <c r="J925" s="28" t="n"/>
      <c r="K925" s="28" t="n"/>
      <c r="L925" s="28" t="n"/>
      <c r="M925" s="59">
        <f>IF(C925="","",IFERROR(INDEX('6. Base de Custos'!$N$8:$N$42,MATCH(C925,'6. Base de Custos'!$L$8:$L$42,0)),"Não classificado"))</f>
        <v/>
      </c>
      <c r="N925" s="59">
        <f>IF(C925="","",IFERROR(INDEX('6. Base de Custos'!$O$8:$O$42,MATCH(C925,'6. Base de Custos'!$L$8:$L$42,0)),"Revisar"))</f>
        <v/>
      </c>
      <c r="O925" s="60">
        <f>IF(M925="","",IFERROR(VLOOKUP(M925,'6. Base de Custos'!$H$12:$J$18,3,FALSE),0))</f>
        <v/>
      </c>
      <c r="P925" s="59">
        <f>IF(C925="","",IFERROR(INDEX('6. Base de Custos'!$P$8:$P$42,MATCH(C925,'6. Base de Custos'!$L$8:$L$42,0)),"Revisar"))</f>
        <v/>
      </c>
      <c r="Q925" s="59">
        <f>IF(C925="","",IFERROR(INDEX('6. Base de Custos'!$Q$8:$Q$42,MATCH(C925,'6. Base de Custos'!$L$8:$L$42,0)),""))</f>
        <v/>
      </c>
      <c r="R925" s="65">
        <f>IF(C925="","",IFERROR(VLOOKUP(M925&amp;"|"&amp;N925,'17. Mapa DRE CP'!$E$5:$H$100,2,FALSE),"Revisar"))</f>
        <v/>
      </c>
      <c r="S925" s="65">
        <f>IF(C925="","",IFERROR(VLOOKUP(M925&amp;"|"&amp;N925,'17. Mapa DRE CP'!$E$5:$H$100,3,FALSE),"Revisar"))</f>
        <v/>
      </c>
      <c r="T925" s="65">
        <f>IF(C925="","",IF(R925="(-) Custos diretos dos serviços",IF(ISNUMBER(SEARCH("PCMSO",C925)),"PCMSO",IF(OR(ISNUMBER(SEARCH("SGS",C925)),ISNUMBER(SEARCH("CASTRO NAVES",C925))),"Projetos / Laudos / Avulsos","Projetos / Laudos / Avulsos")),"Rateio pela receita bruta"))</f>
        <v/>
      </c>
      <c r="U925" s="65">
        <f>IF(C925="","",IF(R925="(-) Custos diretos dos serviços","Direto por fornecedor/natureza do gasto","Rateio proporcional à receita bruta da linha de serviço"))</f>
        <v/>
      </c>
    </row>
    <row r="926">
      <c r="A926" s="28">
        <f>IF(C926="","", "CP-"&amp;TEXT(ROW()-5,"000"))</f>
        <v/>
      </c>
      <c r="B926" s="27">
        <f>IF(F926="","",DATE(YEAR(F926),MONTH(F926),1))</f>
        <v/>
      </c>
      <c r="C926" s="28" t="n"/>
      <c r="D926" s="28" t="n"/>
      <c r="E926" s="59">
        <f>IF(C926="","",IFERROR(INDEX('6. Base de Custos'!$M$8:$M$42,MATCH(C926,'6. Base de Custos'!$L$8:$L$42,0)),"Não classificado"))</f>
        <v/>
      </c>
      <c r="F926" s="111" t="n"/>
      <c r="G926" s="111" t="n"/>
      <c r="H926" s="111" t="n"/>
      <c r="I926" s="45" t="n"/>
      <c r="J926" s="28" t="n"/>
      <c r="K926" s="28" t="n"/>
      <c r="L926" s="28" t="n"/>
      <c r="M926" s="59">
        <f>IF(C926="","",IFERROR(INDEX('6. Base de Custos'!$N$8:$N$42,MATCH(C926,'6. Base de Custos'!$L$8:$L$42,0)),"Não classificado"))</f>
        <v/>
      </c>
      <c r="N926" s="59">
        <f>IF(C926="","",IFERROR(INDEX('6. Base de Custos'!$O$8:$O$42,MATCH(C926,'6. Base de Custos'!$L$8:$L$42,0)),"Revisar"))</f>
        <v/>
      </c>
      <c r="O926" s="60">
        <f>IF(M926="","",IFERROR(VLOOKUP(M926,'6. Base de Custos'!$H$12:$J$18,3,FALSE),0))</f>
        <v/>
      </c>
      <c r="P926" s="59">
        <f>IF(C926="","",IFERROR(INDEX('6. Base de Custos'!$P$8:$P$42,MATCH(C926,'6. Base de Custos'!$L$8:$L$42,0)),"Revisar"))</f>
        <v/>
      </c>
      <c r="Q926" s="59">
        <f>IF(C926="","",IFERROR(INDEX('6. Base de Custos'!$Q$8:$Q$42,MATCH(C926,'6. Base de Custos'!$L$8:$L$42,0)),""))</f>
        <v/>
      </c>
      <c r="R926" s="65">
        <f>IF(C926="","",IFERROR(VLOOKUP(M926&amp;"|"&amp;N926,'17. Mapa DRE CP'!$E$5:$H$100,2,FALSE),"Revisar"))</f>
        <v/>
      </c>
      <c r="S926" s="65">
        <f>IF(C926="","",IFERROR(VLOOKUP(M926&amp;"|"&amp;N926,'17. Mapa DRE CP'!$E$5:$H$100,3,FALSE),"Revisar"))</f>
        <v/>
      </c>
      <c r="T926" s="65">
        <f>IF(C926="","",IF(R926="(-) Custos diretos dos serviços",IF(ISNUMBER(SEARCH("PCMSO",C926)),"PCMSO",IF(OR(ISNUMBER(SEARCH("SGS",C926)),ISNUMBER(SEARCH("CASTRO NAVES",C926))),"Projetos / Laudos / Avulsos","Projetos / Laudos / Avulsos")),"Rateio pela receita bruta"))</f>
        <v/>
      </c>
      <c r="U926" s="65">
        <f>IF(C926="","",IF(R926="(-) Custos diretos dos serviços","Direto por fornecedor/natureza do gasto","Rateio proporcional à receita bruta da linha de serviço"))</f>
        <v/>
      </c>
    </row>
    <row r="927">
      <c r="A927" s="28">
        <f>IF(C927="","", "CP-"&amp;TEXT(ROW()-5,"000"))</f>
        <v/>
      </c>
      <c r="B927" s="27">
        <f>IF(F927="","",DATE(YEAR(F927),MONTH(F927),1))</f>
        <v/>
      </c>
      <c r="C927" s="28" t="n"/>
      <c r="D927" s="28" t="n"/>
      <c r="E927" s="59">
        <f>IF(C927="","",IFERROR(INDEX('6. Base de Custos'!$M$8:$M$42,MATCH(C927,'6. Base de Custos'!$L$8:$L$42,0)),"Não classificado"))</f>
        <v/>
      </c>
      <c r="F927" s="111" t="n"/>
      <c r="G927" s="111" t="n"/>
      <c r="H927" s="111" t="n"/>
      <c r="I927" s="45" t="n"/>
      <c r="J927" s="28" t="n"/>
      <c r="K927" s="28" t="n"/>
      <c r="L927" s="28" t="n"/>
      <c r="M927" s="59">
        <f>IF(C927="","",IFERROR(INDEX('6. Base de Custos'!$N$8:$N$42,MATCH(C927,'6. Base de Custos'!$L$8:$L$42,0)),"Não classificado"))</f>
        <v/>
      </c>
      <c r="N927" s="59">
        <f>IF(C927="","",IFERROR(INDEX('6. Base de Custos'!$O$8:$O$42,MATCH(C927,'6. Base de Custos'!$L$8:$L$42,0)),"Revisar"))</f>
        <v/>
      </c>
      <c r="O927" s="60">
        <f>IF(M927="","",IFERROR(VLOOKUP(M927,'6. Base de Custos'!$H$12:$J$18,3,FALSE),0))</f>
        <v/>
      </c>
      <c r="P927" s="59">
        <f>IF(C927="","",IFERROR(INDEX('6. Base de Custos'!$P$8:$P$42,MATCH(C927,'6. Base de Custos'!$L$8:$L$42,0)),"Revisar"))</f>
        <v/>
      </c>
      <c r="Q927" s="59">
        <f>IF(C927="","",IFERROR(INDEX('6. Base de Custos'!$Q$8:$Q$42,MATCH(C927,'6. Base de Custos'!$L$8:$L$42,0)),""))</f>
        <v/>
      </c>
      <c r="R927" s="65">
        <f>IF(C927="","",IFERROR(VLOOKUP(M927&amp;"|"&amp;N927,'17. Mapa DRE CP'!$E$5:$H$100,2,FALSE),"Revisar"))</f>
        <v/>
      </c>
      <c r="S927" s="65">
        <f>IF(C927="","",IFERROR(VLOOKUP(M927&amp;"|"&amp;N927,'17. Mapa DRE CP'!$E$5:$H$100,3,FALSE),"Revisar"))</f>
        <v/>
      </c>
      <c r="T927" s="65">
        <f>IF(C927="","",IF(R927="(-) Custos diretos dos serviços",IF(ISNUMBER(SEARCH("PCMSO",C927)),"PCMSO",IF(OR(ISNUMBER(SEARCH("SGS",C927)),ISNUMBER(SEARCH("CASTRO NAVES",C927))),"Projetos / Laudos / Avulsos","Projetos / Laudos / Avulsos")),"Rateio pela receita bruta"))</f>
        <v/>
      </c>
      <c r="U927" s="65">
        <f>IF(C927="","",IF(R927="(-) Custos diretos dos serviços","Direto por fornecedor/natureza do gasto","Rateio proporcional à receita bruta da linha de serviço"))</f>
        <v/>
      </c>
    </row>
    <row r="928">
      <c r="A928" s="28">
        <f>IF(C928="","", "CP-"&amp;TEXT(ROW()-5,"000"))</f>
        <v/>
      </c>
      <c r="B928" s="27">
        <f>IF(F928="","",DATE(YEAR(F928),MONTH(F928),1))</f>
        <v/>
      </c>
      <c r="C928" s="28" t="n"/>
      <c r="D928" s="28" t="n"/>
      <c r="E928" s="59">
        <f>IF(C928="","",IFERROR(INDEX('6. Base de Custos'!$M$8:$M$42,MATCH(C928,'6. Base de Custos'!$L$8:$L$42,0)),"Não classificado"))</f>
        <v/>
      </c>
      <c r="F928" s="111" t="n"/>
      <c r="G928" s="111" t="n"/>
      <c r="H928" s="111" t="n"/>
      <c r="I928" s="45" t="n"/>
      <c r="J928" s="28" t="n"/>
      <c r="K928" s="28" t="n"/>
      <c r="L928" s="28" t="n"/>
      <c r="M928" s="59">
        <f>IF(C928="","",IFERROR(INDEX('6. Base de Custos'!$N$8:$N$42,MATCH(C928,'6. Base de Custos'!$L$8:$L$42,0)),"Não classificado"))</f>
        <v/>
      </c>
      <c r="N928" s="59">
        <f>IF(C928="","",IFERROR(INDEX('6. Base de Custos'!$O$8:$O$42,MATCH(C928,'6. Base de Custos'!$L$8:$L$42,0)),"Revisar"))</f>
        <v/>
      </c>
      <c r="O928" s="60">
        <f>IF(M928="","",IFERROR(VLOOKUP(M928,'6. Base de Custos'!$H$12:$J$18,3,FALSE),0))</f>
        <v/>
      </c>
      <c r="P928" s="59">
        <f>IF(C928="","",IFERROR(INDEX('6. Base de Custos'!$P$8:$P$42,MATCH(C928,'6. Base de Custos'!$L$8:$L$42,0)),"Revisar"))</f>
        <v/>
      </c>
      <c r="Q928" s="59">
        <f>IF(C928="","",IFERROR(INDEX('6. Base de Custos'!$Q$8:$Q$42,MATCH(C928,'6. Base de Custos'!$L$8:$L$42,0)),""))</f>
        <v/>
      </c>
      <c r="R928" s="65">
        <f>IF(C928="","",IFERROR(VLOOKUP(M928&amp;"|"&amp;N928,'17. Mapa DRE CP'!$E$5:$H$100,2,FALSE),"Revisar"))</f>
        <v/>
      </c>
      <c r="S928" s="65">
        <f>IF(C928="","",IFERROR(VLOOKUP(M928&amp;"|"&amp;N928,'17. Mapa DRE CP'!$E$5:$H$100,3,FALSE),"Revisar"))</f>
        <v/>
      </c>
      <c r="T928" s="65">
        <f>IF(C928="","",IF(R928="(-) Custos diretos dos serviços",IF(ISNUMBER(SEARCH("PCMSO",C928)),"PCMSO",IF(OR(ISNUMBER(SEARCH("SGS",C928)),ISNUMBER(SEARCH("CASTRO NAVES",C928))),"Projetos / Laudos / Avulsos","Projetos / Laudos / Avulsos")),"Rateio pela receita bruta"))</f>
        <v/>
      </c>
      <c r="U928" s="65">
        <f>IF(C928="","",IF(R928="(-) Custos diretos dos serviços","Direto por fornecedor/natureza do gasto","Rateio proporcional à receita bruta da linha de serviço"))</f>
        <v/>
      </c>
    </row>
    <row r="929">
      <c r="A929" s="28">
        <f>IF(C929="","", "CP-"&amp;TEXT(ROW()-5,"000"))</f>
        <v/>
      </c>
      <c r="B929" s="27">
        <f>IF(F929="","",DATE(YEAR(F929),MONTH(F929),1))</f>
        <v/>
      </c>
      <c r="C929" s="28" t="n"/>
      <c r="D929" s="28" t="n"/>
      <c r="E929" s="59">
        <f>IF(C929="","",IFERROR(INDEX('6. Base de Custos'!$M$8:$M$42,MATCH(C929,'6. Base de Custos'!$L$8:$L$42,0)),"Não classificado"))</f>
        <v/>
      </c>
      <c r="F929" s="111" t="n"/>
      <c r="G929" s="111" t="n"/>
      <c r="H929" s="111" t="n"/>
      <c r="I929" s="45" t="n"/>
      <c r="J929" s="28" t="n"/>
      <c r="K929" s="28" t="n"/>
      <c r="L929" s="28" t="n"/>
      <c r="M929" s="59">
        <f>IF(C929="","",IFERROR(INDEX('6. Base de Custos'!$N$8:$N$42,MATCH(C929,'6. Base de Custos'!$L$8:$L$42,0)),"Não classificado"))</f>
        <v/>
      </c>
      <c r="N929" s="59">
        <f>IF(C929="","",IFERROR(INDEX('6. Base de Custos'!$O$8:$O$42,MATCH(C929,'6. Base de Custos'!$L$8:$L$42,0)),"Revisar"))</f>
        <v/>
      </c>
      <c r="O929" s="60">
        <f>IF(M929="","",IFERROR(VLOOKUP(M929,'6. Base de Custos'!$H$12:$J$18,3,FALSE),0))</f>
        <v/>
      </c>
      <c r="P929" s="59">
        <f>IF(C929="","",IFERROR(INDEX('6. Base de Custos'!$P$8:$P$42,MATCH(C929,'6. Base de Custos'!$L$8:$L$42,0)),"Revisar"))</f>
        <v/>
      </c>
      <c r="Q929" s="59">
        <f>IF(C929="","",IFERROR(INDEX('6. Base de Custos'!$Q$8:$Q$42,MATCH(C929,'6. Base de Custos'!$L$8:$L$42,0)),""))</f>
        <v/>
      </c>
      <c r="R929" s="65">
        <f>IF(C929="","",IFERROR(VLOOKUP(M929&amp;"|"&amp;N929,'17. Mapa DRE CP'!$E$5:$H$100,2,FALSE),"Revisar"))</f>
        <v/>
      </c>
      <c r="S929" s="65">
        <f>IF(C929="","",IFERROR(VLOOKUP(M929&amp;"|"&amp;N929,'17. Mapa DRE CP'!$E$5:$H$100,3,FALSE),"Revisar"))</f>
        <v/>
      </c>
      <c r="T929" s="65">
        <f>IF(C929="","",IF(R929="(-) Custos diretos dos serviços",IF(ISNUMBER(SEARCH("PCMSO",C929)),"PCMSO",IF(OR(ISNUMBER(SEARCH("SGS",C929)),ISNUMBER(SEARCH("CASTRO NAVES",C929))),"Projetos / Laudos / Avulsos","Projetos / Laudos / Avulsos")),"Rateio pela receita bruta"))</f>
        <v/>
      </c>
      <c r="U929" s="65">
        <f>IF(C929="","",IF(R929="(-) Custos diretos dos serviços","Direto por fornecedor/natureza do gasto","Rateio proporcional à receita bruta da linha de serviço"))</f>
        <v/>
      </c>
    </row>
    <row r="930">
      <c r="A930" s="28">
        <f>IF(C930="","", "CP-"&amp;TEXT(ROW()-5,"000"))</f>
        <v/>
      </c>
      <c r="B930" s="27">
        <f>IF(F930="","",DATE(YEAR(F930),MONTH(F930),1))</f>
        <v/>
      </c>
      <c r="C930" s="28" t="n"/>
      <c r="D930" s="28" t="n"/>
      <c r="E930" s="59">
        <f>IF(C930="","",IFERROR(INDEX('6. Base de Custos'!$M$8:$M$42,MATCH(C930,'6. Base de Custos'!$L$8:$L$42,0)),"Não classificado"))</f>
        <v/>
      </c>
      <c r="F930" s="111" t="n"/>
      <c r="G930" s="111" t="n"/>
      <c r="H930" s="111" t="n"/>
      <c r="I930" s="45" t="n"/>
      <c r="J930" s="28" t="n"/>
      <c r="K930" s="28" t="n"/>
      <c r="L930" s="28" t="n"/>
      <c r="M930" s="59">
        <f>IF(C930="","",IFERROR(INDEX('6. Base de Custos'!$N$8:$N$42,MATCH(C930,'6. Base de Custos'!$L$8:$L$42,0)),"Não classificado"))</f>
        <v/>
      </c>
      <c r="N930" s="59">
        <f>IF(C930="","",IFERROR(INDEX('6. Base de Custos'!$O$8:$O$42,MATCH(C930,'6. Base de Custos'!$L$8:$L$42,0)),"Revisar"))</f>
        <v/>
      </c>
      <c r="O930" s="60">
        <f>IF(M930="","",IFERROR(VLOOKUP(M930,'6. Base de Custos'!$H$12:$J$18,3,FALSE),0))</f>
        <v/>
      </c>
      <c r="P930" s="59">
        <f>IF(C930="","",IFERROR(INDEX('6. Base de Custos'!$P$8:$P$42,MATCH(C930,'6. Base de Custos'!$L$8:$L$42,0)),"Revisar"))</f>
        <v/>
      </c>
      <c r="Q930" s="59">
        <f>IF(C930="","",IFERROR(INDEX('6. Base de Custos'!$Q$8:$Q$42,MATCH(C930,'6. Base de Custos'!$L$8:$L$42,0)),""))</f>
        <v/>
      </c>
      <c r="R930" s="65">
        <f>IF(C930="","",IFERROR(VLOOKUP(M930&amp;"|"&amp;N930,'17. Mapa DRE CP'!$E$5:$H$100,2,FALSE),"Revisar"))</f>
        <v/>
      </c>
      <c r="S930" s="65">
        <f>IF(C930="","",IFERROR(VLOOKUP(M930&amp;"|"&amp;N930,'17. Mapa DRE CP'!$E$5:$H$100,3,FALSE),"Revisar"))</f>
        <v/>
      </c>
      <c r="T930" s="65">
        <f>IF(C930="","",IF(R930="(-) Custos diretos dos serviços",IF(ISNUMBER(SEARCH("PCMSO",C930)),"PCMSO",IF(OR(ISNUMBER(SEARCH("SGS",C930)),ISNUMBER(SEARCH("CASTRO NAVES",C930))),"Projetos / Laudos / Avulsos","Projetos / Laudos / Avulsos")),"Rateio pela receita bruta"))</f>
        <v/>
      </c>
      <c r="U930" s="65">
        <f>IF(C930="","",IF(R930="(-) Custos diretos dos serviços","Direto por fornecedor/natureza do gasto","Rateio proporcional à receita bruta da linha de serviço"))</f>
        <v/>
      </c>
    </row>
    <row r="931">
      <c r="A931" s="28">
        <f>IF(C931="","", "CP-"&amp;TEXT(ROW()-5,"000"))</f>
        <v/>
      </c>
      <c r="B931" s="27">
        <f>IF(F931="","",DATE(YEAR(F931),MONTH(F931),1))</f>
        <v/>
      </c>
      <c r="C931" s="28" t="n"/>
      <c r="D931" s="28" t="n"/>
      <c r="E931" s="59">
        <f>IF(C931="","",IFERROR(INDEX('6. Base de Custos'!$M$8:$M$42,MATCH(C931,'6. Base de Custos'!$L$8:$L$42,0)),"Não classificado"))</f>
        <v/>
      </c>
      <c r="F931" s="111" t="n"/>
      <c r="G931" s="111" t="n"/>
      <c r="H931" s="111" t="n"/>
      <c r="I931" s="45" t="n"/>
      <c r="J931" s="28" t="n"/>
      <c r="K931" s="28" t="n"/>
      <c r="L931" s="28" t="n"/>
      <c r="M931" s="59">
        <f>IF(C931="","",IFERROR(INDEX('6. Base de Custos'!$N$8:$N$42,MATCH(C931,'6. Base de Custos'!$L$8:$L$42,0)),"Não classificado"))</f>
        <v/>
      </c>
      <c r="N931" s="59">
        <f>IF(C931="","",IFERROR(INDEX('6. Base de Custos'!$O$8:$O$42,MATCH(C931,'6. Base de Custos'!$L$8:$L$42,0)),"Revisar"))</f>
        <v/>
      </c>
      <c r="O931" s="60">
        <f>IF(M931="","",IFERROR(VLOOKUP(M931,'6. Base de Custos'!$H$12:$J$18,3,FALSE),0))</f>
        <v/>
      </c>
      <c r="P931" s="59">
        <f>IF(C931="","",IFERROR(INDEX('6. Base de Custos'!$P$8:$P$42,MATCH(C931,'6. Base de Custos'!$L$8:$L$42,0)),"Revisar"))</f>
        <v/>
      </c>
      <c r="Q931" s="59">
        <f>IF(C931="","",IFERROR(INDEX('6. Base de Custos'!$Q$8:$Q$42,MATCH(C931,'6. Base de Custos'!$L$8:$L$42,0)),""))</f>
        <v/>
      </c>
      <c r="R931" s="65">
        <f>IF(C931="","",IFERROR(VLOOKUP(M931&amp;"|"&amp;N931,'17. Mapa DRE CP'!$E$5:$H$100,2,FALSE),"Revisar"))</f>
        <v/>
      </c>
      <c r="S931" s="65">
        <f>IF(C931="","",IFERROR(VLOOKUP(M931&amp;"|"&amp;N931,'17. Mapa DRE CP'!$E$5:$H$100,3,FALSE),"Revisar"))</f>
        <v/>
      </c>
      <c r="T931" s="65">
        <f>IF(C931="","",IF(R931="(-) Custos diretos dos serviços",IF(ISNUMBER(SEARCH("PCMSO",C931)),"PCMSO",IF(OR(ISNUMBER(SEARCH("SGS",C931)),ISNUMBER(SEARCH("CASTRO NAVES",C931))),"Projetos / Laudos / Avulsos","Projetos / Laudos / Avulsos")),"Rateio pela receita bruta"))</f>
        <v/>
      </c>
      <c r="U931" s="65">
        <f>IF(C931="","",IF(R931="(-) Custos diretos dos serviços","Direto por fornecedor/natureza do gasto","Rateio proporcional à receita bruta da linha de serviço"))</f>
        <v/>
      </c>
    </row>
    <row r="932">
      <c r="A932" s="28">
        <f>IF(C932="","", "CP-"&amp;TEXT(ROW()-5,"000"))</f>
        <v/>
      </c>
      <c r="B932" s="27">
        <f>IF(F932="","",DATE(YEAR(F932),MONTH(F932),1))</f>
        <v/>
      </c>
      <c r="C932" s="28" t="n"/>
      <c r="D932" s="28" t="n"/>
      <c r="E932" s="59">
        <f>IF(C932="","",IFERROR(INDEX('6. Base de Custos'!$M$8:$M$42,MATCH(C932,'6. Base de Custos'!$L$8:$L$42,0)),"Não classificado"))</f>
        <v/>
      </c>
      <c r="F932" s="111" t="n"/>
      <c r="G932" s="111" t="n"/>
      <c r="H932" s="111" t="n"/>
      <c r="I932" s="45" t="n"/>
      <c r="J932" s="28" t="n"/>
      <c r="K932" s="28" t="n"/>
      <c r="L932" s="28" t="n"/>
      <c r="M932" s="59">
        <f>IF(C932="","",IFERROR(INDEX('6. Base de Custos'!$N$8:$N$42,MATCH(C932,'6. Base de Custos'!$L$8:$L$42,0)),"Não classificado"))</f>
        <v/>
      </c>
      <c r="N932" s="59">
        <f>IF(C932="","",IFERROR(INDEX('6. Base de Custos'!$O$8:$O$42,MATCH(C932,'6. Base de Custos'!$L$8:$L$42,0)),"Revisar"))</f>
        <v/>
      </c>
      <c r="O932" s="60">
        <f>IF(M932="","",IFERROR(VLOOKUP(M932,'6. Base de Custos'!$H$12:$J$18,3,FALSE),0))</f>
        <v/>
      </c>
      <c r="P932" s="59">
        <f>IF(C932="","",IFERROR(INDEX('6. Base de Custos'!$P$8:$P$42,MATCH(C932,'6. Base de Custos'!$L$8:$L$42,0)),"Revisar"))</f>
        <v/>
      </c>
      <c r="Q932" s="59">
        <f>IF(C932="","",IFERROR(INDEX('6. Base de Custos'!$Q$8:$Q$42,MATCH(C932,'6. Base de Custos'!$L$8:$L$42,0)),""))</f>
        <v/>
      </c>
      <c r="R932" s="65">
        <f>IF(C932="","",IFERROR(VLOOKUP(M932&amp;"|"&amp;N932,'17. Mapa DRE CP'!$E$5:$H$100,2,FALSE),"Revisar"))</f>
        <v/>
      </c>
      <c r="S932" s="65">
        <f>IF(C932="","",IFERROR(VLOOKUP(M932&amp;"|"&amp;N932,'17. Mapa DRE CP'!$E$5:$H$100,3,FALSE),"Revisar"))</f>
        <v/>
      </c>
      <c r="T932" s="65">
        <f>IF(C932="","",IF(R932="(-) Custos diretos dos serviços",IF(ISNUMBER(SEARCH("PCMSO",C932)),"PCMSO",IF(OR(ISNUMBER(SEARCH("SGS",C932)),ISNUMBER(SEARCH("CASTRO NAVES",C932))),"Projetos / Laudos / Avulsos","Projetos / Laudos / Avulsos")),"Rateio pela receita bruta"))</f>
        <v/>
      </c>
      <c r="U932" s="65">
        <f>IF(C932="","",IF(R932="(-) Custos diretos dos serviços","Direto por fornecedor/natureza do gasto","Rateio proporcional à receita bruta da linha de serviço"))</f>
        <v/>
      </c>
    </row>
    <row r="933">
      <c r="A933" s="28">
        <f>IF(C933="","", "CP-"&amp;TEXT(ROW()-5,"000"))</f>
        <v/>
      </c>
      <c r="B933" s="27">
        <f>IF(F933="","",DATE(YEAR(F933),MONTH(F933),1))</f>
        <v/>
      </c>
      <c r="C933" s="28" t="n"/>
      <c r="D933" s="28" t="n"/>
      <c r="E933" s="59">
        <f>IF(C933="","",IFERROR(INDEX('6. Base de Custos'!$M$8:$M$42,MATCH(C933,'6. Base de Custos'!$L$8:$L$42,0)),"Não classificado"))</f>
        <v/>
      </c>
      <c r="F933" s="111" t="n"/>
      <c r="G933" s="111" t="n"/>
      <c r="H933" s="111" t="n"/>
      <c r="I933" s="45" t="n"/>
      <c r="J933" s="28" t="n"/>
      <c r="K933" s="28" t="n"/>
      <c r="L933" s="28" t="n"/>
      <c r="M933" s="59">
        <f>IF(C933="","",IFERROR(INDEX('6. Base de Custos'!$N$8:$N$42,MATCH(C933,'6. Base de Custos'!$L$8:$L$42,0)),"Não classificado"))</f>
        <v/>
      </c>
      <c r="N933" s="59">
        <f>IF(C933="","",IFERROR(INDEX('6. Base de Custos'!$O$8:$O$42,MATCH(C933,'6. Base de Custos'!$L$8:$L$42,0)),"Revisar"))</f>
        <v/>
      </c>
      <c r="O933" s="60">
        <f>IF(M933="","",IFERROR(VLOOKUP(M933,'6. Base de Custos'!$H$12:$J$18,3,FALSE),0))</f>
        <v/>
      </c>
      <c r="P933" s="59">
        <f>IF(C933="","",IFERROR(INDEX('6. Base de Custos'!$P$8:$P$42,MATCH(C933,'6. Base de Custos'!$L$8:$L$42,0)),"Revisar"))</f>
        <v/>
      </c>
      <c r="Q933" s="59">
        <f>IF(C933="","",IFERROR(INDEX('6. Base de Custos'!$Q$8:$Q$42,MATCH(C933,'6. Base de Custos'!$L$8:$L$42,0)),""))</f>
        <v/>
      </c>
      <c r="R933" s="65">
        <f>IF(C933="","",IFERROR(VLOOKUP(M933&amp;"|"&amp;N933,'17. Mapa DRE CP'!$E$5:$H$100,2,FALSE),"Revisar"))</f>
        <v/>
      </c>
      <c r="S933" s="65">
        <f>IF(C933="","",IFERROR(VLOOKUP(M933&amp;"|"&amp;N933,'17. Mapa DRE CP'!$E$5:$H$100,3,FALSE),"Revisar"))</f>
        <v/>
      </c>
      <c r="T933" s="65">
        <f>IF(C933="","",IF(R933="(-) Custos diretos dos serviços",IF(ISNUMBER(SEARCH("PCMSO",C933)),"PCMSO",IF(OR(ISNUMBER(SEARCH("SGS",C933)),ISNUMBER(SEARCH("CASTRO NAVES",C933))),"Projetos / Laudos / Avulsos","Projetos / Laudos / Avulsos")),"Rateio pela receita bruta"))</f>
        <v/>
      </c>
      <c r="U933" s="65">
        <f>IF(C933="","",IF(R933="(-) Custos diretos dos serviços","Direto por fornecedor/natureza do gasto","Rateio proporcional à receita bruta da linha de serviço"))</f>
        <v/>
      </c>
    </row>
    <row r="934">
      <c r="A934" s="28">
        <f>IF(C934="","", "CP-"&amp;TEXT(ROW()-5,"000"))</f>
        <v/>
      </c>
      <c r="B934" s="27">
        <f>IF(F934="","",DATE(YEAR(F934),MONTH(F934),1))</f>
        <v/>
      </c>
      <c r="C934" s="28" t="n"/>
      <c r="D934" s="28" t="n"/>
      <c r="E934" s="59">
        <f>IF(C934="","",IFERROR(INDEX('6. Base de Custos'!$M$8:$M$42,MATCH(C934,'6. Base de Custos'!$L$8:$L$42,0)),"Não classificado"))</f>
        <v/>
      </c>
      <c r="F934" s="111" t="n"/>
      <c r="G934" s="111" t="n"/>
      <c r="H934" s="111" t="n"/>
      <c r="I934" s="45" t="n"/>
      <c r="J934" s="28" t="n"/>
      <c r="K934" s="28" t="n"/>
      <c r="L934" s="28" t="n"/>
      <c r="M934" s="59">
        <f>IF(C934="","",IFERROR(INDEX('6. Base de Custos'!$N$8:$N$42,MATCH(C934,'6. Base de Custos'!$L$8:$L$42,0)),"Não classificado"))</f>
        <v/>
      </c>
      <c r="N934" s="59">
        <f>IF(C934="","",IFERROR(INDEX('6. Base de Custos'!$O$8:$O$42,MATCH(C934,'6. Base de Custos'!$L$8:$L$42,0)),"Revisar"))</f>
        <v/>
      </c>
      <c r="O934" s="60">
        <f>IF(M934="","",IFERROR(VLOOKUP(M934,'6. Base de Custos'!$H$12:$J$18,3,FALSE),0))</f>
        <v/>
      </c>
      <c r="P934" s="59">
        <f>IF(C934="","",IFERROR(INDEX('6. Base de Custos'!$P$8:$P$42,MATCH(C934,'6. Base de Custos'!$L$8:$L$42,0)),"Revisar"))</f>
        <v/>
      </c>
      <c r="Q934" s="59">
        <f>IF(C934="","",IFERROR(INDEX('6. Base de Custos'!$Q$8:$Q$42,MATCH(C934,'6. Base de Custos'!$L$8:$L$42,0)),""))</f>
        <v/>
      </c>
      <c r="R934" s="65">
        <f>IF(C934="","",IFERROR(VLOOKUP(M934&amp;"|"&amp;N934,'17. Mapa DRE CP'!$E$5:$H$100,2,FALSE),"Revisar"))</f>
        <v/>
      </c>
      <c r="S934" s="65">
        <f>IF(C934="","",IFERROR(VLOOKUP(M934&amp;"|"&amp;N934,'17. Mapa DRE CP'!$E$5:$H$100,3,FALSE),"Revisar"))</f>
        <v/>
      </c>
      <c r="T934" s="65">
        <f>IF(C934="","",IF(R934="(-) Custos diretos dos serviços",IF(ISNUMBER(SEARCH("PCMSO",C934)),"PCMSO",IF(OR(ISNUMBER(SEARCH("SGS",C934)),ISNUMBER(SEARCH("CASTRO NAVES",C934))),"Projetos / Laudos / Avulsos","Projetos / Laudos / Avulsos")),"Rateio pela receita bruta"))</f>
        <v/>
      </c>
      <c r="U934" s="65">
        <f>IF(C934="","",IF(R934="(-) Custos diretos dos serviços","Direto por fornecedor/natureza do gasto","Rateio proporcional à receita bruta da linha de serviço"))</f>
        <v/>
      </c>
    </row>
    <row r="935">
      <c r="A935" s="28">
        <f>IF(C935="","", "CP-"&amp;TEXT(ROW()-5,"000"))</f>
        <v/>
      </c>
      <c r="B935" s="27">
        <f>IF(F935="","",DATE(YEAR(F935),MONTH(F935),1))</f>
        <v/>
      </c>
      <c r="C935" s="28" t="n"/>
      <c r="D935" s="28" t="n"/>
      <c r="E935" s="59">
        <f>IF(C935="","",IFERROR(INDEX('6. Base de Custos'!$M$8:$M$42,MATCH(C935,'6. Base de Custos'!$L$8:$L$42,0)),"Não classificado"))</f>
        <v/>
      </c>
      <c r="F935" s="111" t="n"/>
      <c r="G935" s="111" t="n"/>
      <c r="H935" s="111" t="n"/>
      <c r="I935" s="45" t="n"/>
      <c r="J935" s="28" t="n"/>
      <c r="K935" s="28" t="n"/>
      <c r="L935" s="28" t="n"/>
      <c r="M935" s="59">
        <f>IF(C935="","",IFERROR(INDEX('6. Base de Custos'!$N$8:$N$42,MATCH(C935,'6. Base de Custos'!$L$8:$L$42,0)),"Não classificado"))</f>
        <v/>
      </c>
      <c r="N935" s="59">
        <f>IF(C935="","",IFERROR(INDEX('6. Base de Custos'!$O$8:$O$42,MATCH(C935,'6. Base de Custos'!$L$8:$L$42,0)),"Revisar"))</f>
        <v/>
      </c>
      <c r="O935" s="60">
        <f>IF(M935="","",IFERROR(VLOOKUP(M935,'6. Base de Custos'!$H$12:$J$18,3,FALSE),0))</f>
        <v/>
      </c>
      <c r="P935" s="59">
        <f>IF(C935="","",IFERROR(INDEX('6. Base de Custos'!$P$8:$P$42,MATCH(C935,'6. Base de Custos'!$L$8:$L$42,0)),"Revisar"))</f>
        <v/>
      </c>
      <c r="Q935" s="59">
        <f>IF(C935="","",IFERROR(INDEX('6. Base de Custos'!$Q$8:$Q$42,MATCH(C935,'6. Base de Custos'!$L$8:$L$42,0)),""))</f>
        <v/>
      </c>
      <c r="R935" s="65">
        <f>IF(C935="","",IFERROR(VLOOKUP(M935&amp;"|"&amp;N935,'17. Mapa DRE CP'!$E$5:$H$100,2,FALSE),"Revisar"))</f>
        <v/>
      </c>
      <c r="S935" s="65">
        <f>IF(C935="","",IFERROR(VLOOKUP(M935&amp;"|"&amp;N935,'17. Mapa DRE CP'!$E$5:$H$100,3,FALSE),"Revisar"))</f>
        <v/>
      </c>
      <c r="T935" s="65">
        <f>IF(C935="","",IF(R935="(-) Custos diretos dos serviços",IF(ISNUMBER(SEARCH("PCMSO",C935)),"PCMSO",IF(OR(ISNUMBER(SEARCH("SGS",C935)),ISNUMBER(SEARCH("CASTRO NAVES",C935))),"Projetos / Laudos / Avulsos","Projetos / Laudos / Avulsos")),"Rateio pela receita bruta"))</f>
        <v/>
      </c>
      <c r="U935" s="65">
        <f>IF(C935="","",IF(R935="(-) Custos diretos dos serviços","Direto por fornecedor/natureza do gasto","Rateio proporcional à receita bruta da linha de serviço"))</f>
        <v/>
      </c>
    </row>
    <row r="936">
      <c r="A936" s="28">
        <f>IF(C936="","", "CP-"&amp;TEXT(ROW()-5,"000"))</f>
        <v/>
      </c>
      <c r="B936" s="27">
        <f>IF(F936="","",DATE(YEAR(F936),MONTH(F936),1))</f>
        <v/>
      </c>
      <c r="C936" s="28" t="n"/>
      <c r="D936" s="28" t="n"/>
      <c r="E936" s="59">
        <f>IF(C936="","",IFERROR(INDEX('6. Base de Custos'!$M$8:$M$42,MATCH(C936,'6. Base de Custos'!$L$8:$L$42,0)),"Não classificado"))</f>
        <v/>
      </c>
      <c r="F936" s="111" t="n"/>
      <c r="G936" s="111" t="n"/>
      <c r="H936" s="111" t="n"/>
      <c r="I936" s="45" t="n"/>
      <c r="J936" s="28" t="n"/>
      <c r="K936" s="28" t="n"/>
      <c r="L936" s="28" t="n"/>
      <c r="M936" s="59">
        <f>IF(C936="","",IFERROR(INDEX('6. Base de Custos'!$N$8:$N$42,MATCH(C936,'6. Base de Custos'!$L$8:$L$42,0)),"Não classificado"))</f>
        <v/>
      </c>
      <c r="N936" s="59">
        <f>IF(C936="","",IFERROR(INDEX('6. Base de Custos'!$O$8:$O$42,MATCH(C936,'6. Base de Custos'!$L$8:$L$42,0)),"Revisar"))</f>
        <v/>
      </c>
      <c r="O936" s="60">
        <f>IF(M936="","",IFERROR(VLOOKUP(M936,'6. Base de Custos'!$H$12:$J$18,3,FALSE),0))</f>
        <v/>
      </c>
      <c r="P936" s="59">
        <f>IF(C936="","",IFERROR(INDEX('6. Base de Custos'!$P$8:$P$42,MATCH(C936,'6. Base de Custos'!$L$8:$L$42,0)),"Revisar"))</f>
        <v/>
      </c>
      <c r="Q936" s="59">
        <f>IF(C936="","",IFERROR(INDEX('6. Base de Custos'!$Q$8:$Q$42,MATCH(C936,'6. Base de Custos'!$L$8:$L$42,0)),""))</f>
        <v/>
      </c>
      <c r="R936" s="65">
        <f>IF(C936="","",IFERROR(VLOOKUP(M936&amp;"|"&amp;N936,'17. Mapa DRE CP'!$E$5:$H$100,2,FALSE),"Revisar"))</f>
        <v/>
      </c>
      <c r="S936" s="65">
        <f>IF(C936="","",IFERROR(VLOOKUP(M936&amp;"|"&amp;N936,'17. Mapa DRE CP'!$E$5:$H$100,3,FALSE),"Revisar"))</f>
        <v/>
      </c>
      <c r="T936" s="65">
        <f>IF(C936="","",IF(R936="(-) Custos diretos dos serviços",IF(ISNUMBER(SEARCH("PCMSO",C936)),"PCMSO",IF(OR(ISNUMBER(SEARCH("SGS",C936)),ISNUMBER(SEARCH("CASTRO NAVES",C936))),"Projetos / Laudos / Avulsos","Projetos / Laudos / Avulsos")),"Rateio pela receita bruta"))</f>
        <v/>
      </c>
      <c r="U936" s="65">
        <f>IF(C936="","",IF(R936="(-) Custos diretos dos serviços","Direto por fornecedor/natureza do gasto","Rateio proporcional à receita bruta da linha de serviço"))</f>
        <v/>
      </c>
    </row>
    <row r="937">
      <c r="A937" s="28">
        <f>IF(C937="","", "CP-"&amp;TEXT(ROW()-5,"000"))</f>
        <v/>
      </c>
      <c r="B937" s="27">
        <f>IF(F937="","",DATE(YEAR(F937),MONTH(F937),1))</f>
        <v/>
      </c>
      <c r="C937" s="28" t="n"/>
      <c r="D937" s="28" t="n"/>
      <c r="E937" s="59">
        <f>IF(C937="","",IFERROR(INDEX('6. Base de Custos'!$M$8:$M$42,MATCH(C937,'6. Base de Custos'!$L$8:$L$42,0)),"Não classificado"))</f>
        <v/>
      </c>
      <c r="F937" s="111" t="n"/>
      <c r="G937" s="111" t="n"/>
      <c r="H937" s="111" t="n"/>
      <c r="I937" s="45" t="n"/>
      <c r="J937" s="28" t="n"/>
      <c r="K937" s="28" t="n"/>
      <c r="L937" s="28" t="n"/>
      <c r="M937" s="59">
        <f>IF(C937="","",IFERROR(INDEX('6. Base de Custos'!$N$8:$N$42,MATCH(C937,'6. Base de Custos'!$L$8:$L$42,0)),"Não classificado"))</f>
        <v/>
      </c>
      <c r="N937" s="59">
        <f>IF(C937="","",IFERROR(INDEX('6. Base de Custos'!$O$8:$O$42,MATCH(C937,'6. Base de Custos'!$L$8:$L$42,0)),"Revisar"))</f>
        <v/>
      </c>
      <c r="O937" s="60">
        <f>IF(M937="","",IFERROR(VLOOKUP(M937,'6. Base de Custos'!$H$12:$J$18,3,FALSE),0))</f>
        <v/>
      </c>
      <c r="P937" s="59">
        <f>IF(C937="","",IFERROR(INDEX('6. Base de Custos'!$P$8:$P$42,MATCH(C937,'6. Base de Custos'!$L$8:$L$42,0)),"Revisar"))</f>
        <v/>
      </c>
      <c r="Q937" s="59">
        <f>IF(C937="","",IFERROR(INDEX('6. Base de Custos'!$Q$8:$Q$42,MATCH(C937,'6. Base de Custos'!$L$8:$L$42,0)),""))</f>
        <v/>
      </c>
      <c r="R937" s="65">
        <f>IF(C937="","",IFERROR(VLOOKUP(M937&amp;"|"&amp;N937,'17. Mapa DRE CP'!$E$5:$H$100,2,FALSE),"Revisar"))</f>
        <v/>
      </c>
      <c r="S937" s="65">
        <f>IF(C937="","",IFERROR(VLOOKUP(M937&amp;"|"&amp;N937,'17. Mapa DRE CP'!$E$5:$H$100,3,FALSE),"Revisar"))</f>
        <v/>
      </c>
      <c r="T937" s="65">
        <f>IF(C937="","",IF(R937="(-) Custos diretos dos serviços",IF(ISNUMBER(SEARCH("PCMSO",C937)),"PCMSO",IF(OR(ISNUMBER(SEARCH("SGS",C937)),ISNUMBER(SEARCH("CASTRO NAVES",C937))),"Projetos / Laudos / Avulsos","Projetos / Laudos / Avulsos")),"Rateio pela receita bruta"))</f>
        <v/>
      </c>
      <c r="U937" s="65">
        <f>IF(C937="","",IF(R937="(-) Custos diretos dos serviços","Direto por fornecedor/natureza do gasto","Rateio proporcional à receita bruta da linha de serviço"))</f>
        <v/>
      </c>
    </row>
    <row r="938">
      <c r="A938" s="28">
        <f>IF(C938="","", "CP-"&amp;TEXT(ROW()-5,"000"))</f>
        <v/>
      </c>
      <c r="B938" s="27">
        <f>IF(F938="","",DATE(YEAR(F938),MONTH(F938),1))</f>
        <v/>
      </c>
      <c r="C938" s="28" t="n"/>
      <c r="D938" s="28" t="n"/>
      <c r="E938" s="59">
        <f>IF(C938="","",IFERROR(INDEX('6. Base de Custos'!$M$8:$M$42,MATCH(C938,'6. Base de Custos'!$L$8:$L$42,0)),"Não classificado"))</f>
        <v/>
      </c>
      <c r="F938" s="111" t="n"/>
      <c r="G938" s="111" t="n"/>
      <c r="H938" s="111" t="n"/>
      <c r="I938" s="45" t="n"/>
      <c r="J938" s="28" t="n"/>
      <c r="K938" s="28" t="n"/>
      <c r="L938" s="28" t="n"/>
      <c r="M938" s="59">
        <f>IF(C938="","",IFERROR(INDEX('6. Base de Custos'!$N$8:$N$42,MATCH(C938,'6. Base de Custos'!$L$8:$L$42,0)),"Não classificado"))</f>
        <v/>
      </c>
      <c r="N938" s="59">
        <f>IF(C938="","",IFERROR(INDEX('6. Base de Custos'!$O$8:$O$42,MATCH(C938,'6. Base de Custos'!$L$8:$L$42,0)),"Revisar"))</f>
        <v/>
      </c>
      <c r="O938" s="60">
        <f>IF(M938="","",IFERROR(VLOOKUP(M938,'6. Base de Custos'!$H$12:$J$18,3,FALSE),0))</f>
        <v/>
      </c>
      <c r="P938" s="59">
        <f>IF(C938="","",IFERROR(INDEX('6. Base de Custos'!$P$8:$P$42,MATCH(C938,'6. Base de Custos'!$L$8:$L$42,0)),"Revisar"))</f>
        <v/>
      </c>
      <c r="Q938" s="59">
        <f>IF(C938="","",IFERROR(INDEX('6. Base de Custos'!$Q$8:$Q$42,MATCH(C938,'6. Base de Custos'!$L$8:$L$42,0)),""))</f>
        <v/>
      </c>
      <c r="R938" s="65">
        <f>IF(C938="","",IFERROR(VLOOKUP(M938&amp;"|"&amp;N938,'17. Mapa DRE CP'!$E$5:$H$100,2,FALSE),"Revisar"))</f>
        <v/>
      </c>
      <c r="S938" s="65">
        <f>IF(C938="","",IFERROR(VLOOKUP(M938&amp;"|"&amp;N938,'17. Mapa DRE CP'!$E$5:$H$100,3,FALSE),"Revisar"))</f>
        <v/>
      </c>
      <c r="T938" s="65">
        <f>IF(C938="","",IF(R938="(-) Custos diretos dos serviços",IF(ISNUMBER(SEARCH("PCMSO",C938)),"PCMSO",IF(OR(ISNUMBER(SEARCH("SGS",C938)),ISNUMBER(SEARCH("CASTRO NAVES",C938))),"Projetos / Laudos / Avulsos","Projetos / Laudos / Avulsos")),"Rateio pela receita bruta"))</f>
        <v/>
      </c>
      <c r="U938" s="65">
        <f>IF(C938="","",IF(R938="(-) Custos diretos dos serviços","Direto por fornecedor/natureza do gasto","Rateio proporcional à receita bruta da linha de serviço"))</f>
        <v/>
      </c>
    </row>
    <row r="939">
      <c r="A939" s="28">
        <f>IF(C939="","", "CP-"&amp;TEXT(ROW()-5,"000"))</f>
        <v/>
      </c>
      <c r="B939" s="27">
        <f>IF(F939="","",DATE(YEAR(F939),MONTH(F939),1))</f>
        <v/>
      </c>
      <c r="C939" s="28" t="n"/>
      <c r="D939" s="28" t="n"/>
      <c r="E939" s="59">
        <f>IF(C939="","",IFERROR(INDEX('6. Base de Custos'!$M$8:$M$42,MATCH(C939,'6. Base de Custos'!$L$8:$L$42,0)),"Não classificado"))</f>
        <v/>
      </c>
      <c r="F939" s="111" t="n"/>
      <c r="G939" s="111" t="n"/>
      <c r="H939" s="111" t="n"/>
      <c r="I939" s="45" t="n"/>
      <c r="J939" s="28" t="n"/>
      <c r="K939" s="28" t="n"/>
      <c r="L939" s="28" t="n"/>
      <c r="M939" s="59">
        <f>IF(C939="","",IFERROR(INDEX('6. Base de Custos'!$N$8:$N$42,MATCH(C939,'6. Base de Custos'!$L$8:$L$42,0)),"Não classificado"))</f>
        <v/>
      </c>
      <c r="N939" s="59">
        <f>IF(C939="","",IFERROR(INDEX('6. Base de Custos'!$O$8:$O$42,MATCH(C939,'6. Base de Custos'!$L$8:$L$42,0)),"Revisar"))</f>
        <v/>
      </c>
      <c r="O939" s="60">
        <f>IF(M939="","",IFERROR(VLOOKUP(M939,'6. Base de Custos'!$H$12:$J$18,3,FALSE),0))</f>
        <v/>
      </c>
      <c r="P939" s="59">
        <f>IF(C939="","",IFERROR(INDEX('6. Base de Custos'!$P$8:$P$42,MATCH(C939,'6. Base de Custos'!$L$8:$L$42,0)),"Revisar"))</f>
        <v/>
      </c>
      <c r="Q939" s="59">
        <f>IF(C939="","",IFERROR(INDEX('6. Base de Custos'!$Q$8:$Q$42,MATCH(C939,'6. Base de Custos'!$L$8:$L$42,0)),""))</f>
        <v/>
      </c>
      <c r="R939" s="65">
        <f>IF(C939="","",IFERROR(VLOOKUP(M939&amp;"|"&amp;N939,'17. Mapa DRE CP'!$E$5:$H$100,2,FALSE),"Revisar"))</f>
        <v/>
      </c>
      <c r="S939" s="65">
        <f>IF(C939="","",IFERROR(VLOOKUP(M939&amp;"|"&amp;N939,'17. Mapa DRE CP'!$E$5:$H$100,3,FALSE),"Revisar"))</f>
        <v/>
      </c>
      <c r="T939" s="65">
        <f>IF(C939="","",IF(R939="(-) Custos diretos dos serviços",IF(ISNUMBER(SEARCH("PCMSO",C939)),"PCMSO",IF(OR(ISNUMBER(SEARCH("SGS",C939)),ISNUMBER(SEARCH("CASTRO NAVES",C939))),"Projetos / Laudos / Avulsos","Projetos / Laudos / Avulsos")),"Rateio pela receita bruta"))</f>
        <v/>
      </c>
      <c r="U939" s="65">
        <f>IF(C939="","",IF(R939="(-) Custos diretos dos serviços","Direto por fornecedor/natureza do gasto","Rateio proporcional à receita bruta da linha de serviço"))</f>
        <v/>
      </c>
    </row>
    <row r="940">
      <c r="A940" s="28">
        <f>IF(C940="","", "CP-"&amp;TEXT(ROW()-5,"000"))</f>
        <v/>
      </c>
      <c r="B940" s="27">
        <f>IF(F940="","",DATE(YEAR(F940),MONTH(F940),1))</f>
        <v/>
      </c>
      <c r="C940" s="28" t="n"/>
      <c r="D940" s="28" t="n"/>
      <c r="E940" s="59">
        <f>IF(C940="","",IFERROR(INDEX('6. Base de Custos'!$M$8:$M$42,MATCH(C940,'6. Base de Custos'!$L$8:$L$42,0)),"Não classificado"))</f>
        <v/>
      </c>
      <c r="F940" s="111" t="n"/>
      <c r="G940" s="111" t="n"/>
      <c r="H940" s="111" t="n"/>
      <c r="I940" s="45" t="n"/>
      <c r="J940" s="28" t="n"/>
      <c r="K940" s="28" t="n"/>
      <c r="L940" s="28" t="n"/>
      <c r="M940" s="59">
        <f>IF(C940="","",IFERROR(INDEX('6. Base de Custos'!$N$8:$N$42,MATCH(C940,'6. Base de Custos'!$L$8:$L$42,0)),"Não classificado"))</f>
        <v/>
      </c>
      <c r="N940" s="59">
        <f>IF(C940="","",IFERROR(INDEX('6. Base de Custos'!$O$8:$O$42,MATCH(C940,'6. Base de Custos'!$L$8:$L$42,0)),"Revisar"))</f>
        <v/>
      </c>
      <c r="O940" s="60">
        <f>IF(M940="","",IFERROR(VLOOKUP(M940,'6. Base de Custos'!$H$12:$J$18,3,FALSE),0))</f>
        <v/>
      </c>
      <c r="P940" s="59">
        <f>IF(C940="","",IFERROR(INDEX('6. Base de Custos'!$P$8:$P$42,MATCH(C940,'6. Base de Custos'!$L$8:$L$42,0)),"Revisar"))</f>
        <v/>
      </c>
      <c r="Q940" s="59">
        <f>IF(C940="","",IFERROR(INDEX('6. Base de Custos'!$Q$8:$Q$42,MATCH(C940,'6. Base de Custos'!$L$8:$L$42,0)),""))</f>
        <v/>
      </c>
      <c r="R940" s="65">
        <f>IF(C940="","",IFERROR(VLOOKUP(M940&amp;"|"&amp;N940,'17. Mapa DRE CP'!$E$5:$H$100,2,FALSE),"Revisar"))</f>
        <v/>
      </c>
      <c r="S940" s="65">
        <f>IF(C940="","",IFERROR(VLOOKUP(M940&amp;"|"&amp;N940,'17. Mapa DRE CP'!$E$5:$H$100,3,FALSE),"Revisar"))</f>
        <v/>
      </c>
      <c r="T940" s="65">
        <f>IF(C940="","",IF(R940="(-) Custos diretos dos serviços",IF(ISNUMBER(SEARCH("PCMSO",C940)),"PCMSO",IF(OR(ISNUMBER(SEARCH("SGS",C940)),ISNUMBER(SEARCH("CASTRO NAVES",C940))),"Projetos / Laudos / Avulsos","Projetos / Laudos / Avulsos")),"Rateio pela receita bruta"))</f>
        <v/>
      </c>
      <c r="U940" s="65">
        <f>IF(C940="","",IF(R940="(-) Custos diretos dos serviços","Direto por fornecedor/natureza do gasto","Rateio proporcional à receita bruta da linha de serviço"))</f>
        <v/>
      </c>
    </row>
    <row r="941">
      <c r="A941" s="28">
        <f>IF(C941="","", "CP-"&amp;TEXT(ROW()-5,"000"))</f>
        <v/>
      </c>
      <c r="B941" s="27">
        <f>IF(F941="","",DATE(YEAR(F941),MONTH(F941),1))</f>
        <v/>
      </c>
      <c r="C941" s="28" t="n"/>
      <c r="D941" s="28" t="n"/>
      <c r="E941" s="59">
        <f>IF(C941="","",IFERROR(INDEX('6. Base de Custos'!$M$8:$M$42,MATCH(C941,'6. Base de Custos'!$L$8:$L$42,0)),"Não classificado"))</f>
        <v/>
      </c>
      <c r="F941" s="111" t="n"/>
      <c r="G941" s="111" t="n"/>
      <c r="H941" s="111" t="n"/>
      <c r="I941" s="45" t="n"/>
      <c r="J941" s="28" t="n"/>
      <c r="K941" s="28" t="n"/>
      <c r="L941" s="28" t="n"/>
      <c r="M941" s="59">
        <f>IF(C941="","",IFERROR(INDEX('6. Base de Custos'!$N$8:$N$42,MATCH(C941,'6. Base de Custos'!$L$8:$L$42,0)),"Não classificado"))</f>
        <v/>
      </c>
      <c r="N941" s="59">
        <f>IF(C941="","",IFERROR(INDEX('6. Base de Custos'!$O$8:$O$42,MATCH(C941,'6. Base de Custos'!$L$8:$L$42,0)),"Revisar"))</f>
        <v/>
      </c>
      <c r="O941" s="60">
        <f>IF(M941="","",IFERROR(VLOOKUP(M941,'6. Base de Custos'!$H$12:$J$18,3,FALSE),0))</f>
        <v/>
      </c>
      <c r="P941" s="59">
        <f>IF(C941="","",IFERROR(INDEX('6. Base de Custos'!$P$8:$P$42,MATCH(C941,'6. Base de Custos'!$L$8:$L$42,0)),"Revisar"))</f>
        <v/>
      </c>
      <c r="Q941" s="59">
        <f>IF(C941="","",IFERROR(INDEX('6. Base de Custos'!$Q$8:$Q$42,MATCH(C941,'6. Base de Custos'!$L$8:$L$42,0)),""))</f>
        <v/>
      </c>
      <c r="R941" s="65">
        <f>IF(C941="","",IFERROR(VLOOKUP(M941&amp;"|"&amp;N941,'17. Mapa DRE CP'!$E$5:$H$100,2,FALSE),"Revisar"))</f>
        <v/>
      </c>
      <c r="S941" s="65">
        <f>IF(C941="","",IFERROR(VLOOKUP(M941&amp;"|"&amp;N941,'17. Mapa DRE CP'!$E$5:$H$100,3,FALSE),"Revisar"))</f>
        <v/>
      </c>
      <c r="T941" s="65">
        <f>IF(C941="","",IF(R941="(-) Custos diretos dos serviços",IF(ISNUMBER(SEARCH("PCMSO",C941)),"PCMSO",IF(OR(ISNUMBER(SEARCH("SGS",C941)),ISNUMBER(SEARCH("CASTRO NAVES",C941))),"Projetos / Laudos / Avulsos","Projetos / Laudos / Avulsos")),"Rateio pela receita bruta"))</f>
        <v/>
      </c>
      <c r="U941" s="65">
        <f>IF(C941="","",IF(R941="(-) Custos diretos dos serviços","Direto por fornecedor/natureza do gasto","Rateio proporcional à receita bruta da linha de serviço"))</f>
        <v/>
      </c>
    </row>
    <row r="942">
      <c r="A942" s="28">
        <f>IF(C942="","", "CP-"&amp;TEXT(ROW()-5,"000"))</f>
        <v/>
      </c>
      <c r="B942" s="27">
        <f>IF(F942="","",DATE(YEAR(F942),MONTH(F942),1))</f>
        <v/>
      </c>
      <c r="C942" s="28" t="n"/>
      <c r="D942" s="28" t="n"/>
      <c r="E942" s="59">
        <f>IF(C942="","",IFERROR(INDEX('6. Base de Custos'!$M$8:$M$42,MATCH(C942,'6. Base de Custos'!$L$8:$L$42,0)),"Não classificado"))</f>
        <v/>
      </c>
      <c r="F942" s="111" t="n"/>
      <c r="G942" s="111" t="n"/>
      <c r="H942" s="111" t="n"/>
      <c r="I942" s="45" t="n"/>
      <c r="J942" s="28" t="n"/>
      <c r="K942" s="28" t="n"/>
      <c r="L942" s="28" t="n"/>
      <c r="M942" s="59">
        <f>IF(C942="","",IFERROR(INDEX('6. Base de Custos'!$N$8:$N$42,MATCH(C942,'6. Base de Custos'!$L$8:$L$42,0)),"Não classificado"))</f>
        <v/>
      </c>
      <c r="N942" s="59">
        <f>IF(C942="","",IFERROR(INDEX('6. Base de Custos'!$O$8:$O$42,MATCH(C942,'6. Base de Custos'!$L$8:$L$42,0)),"Revisar"))</f>
        <v/>
      </c>
      <c r="O942" s="60">
        <f>IF(M942="","",IFERROR(VLOOKUP(M942,'6. Base de Custos'!$H$12:$J$18,3,FALSE),0))</f>
        <v/>
      </c>
      <c r="P942" s="59">
        <f>IF(C942="","",IFERROR(INDEX('6. Base de Custos'!$P$8:$P$42,MATCH(C942,'6. Base de Custos'!$L$8:$L$42,0)),"Revisar"))</f>
        <v/>
      </c>
      <c r="Q942" s="59">
        <f>IF(C942="","",IFERROR(INDEX('6. Base de Custos'!$Q$8:$Q$42,MATCH(C942,'6. Base de Custos'!$L$8:$L$42,0)),""))</f>
        <v/>
      </c>
      <c r="R942" s="65">
        <f>IF(C942="","",IFERROR(VLOOKUP(M942&amp;"|"&amp;N942,'17. Mapa DRE CP'!$E$5:$H$100,2,FALSE),"Revisar"))</f>
        <v/>
      </c>
      <c r="S942" s="65">
        <f>IF(C942="","",IFERROR(VLOOKUP(M942&amp;"|"&amp;N942,'17. Mapa DRE CP'!$E$5:$H$100,3,FALSE),"Revisar"))</f>
        <v/>
      </c>
      <c r="T942" s="65">
        <f>IF(C942="","",IF(R942="(-) Custos diretos dos serviços",IF(ISNUMBER(SEARCH("PCMSO",C942)),"PCMSO",IF(OR(ISNUMBER(SEARCH("SGS",C942)),ISNUMBER(SEARCH("CASTRO NAVES",C942))),"Projetos / Laudos / Avulsos","Projetos / Laudos / Avulsos")),"Rateio pela receita bruta"))</f>
        <v/>
      </c>
      <c r="U942" s="65">
        <f>IF(C942="","",IF(R942="(-) Custos diretos dos serviços","Direto por fornecedor/natureza do gasto","Rateio proporcional à receita bruta da linha de serviço"))</f>
        <v/>
      </c>
    </row>
    <row r="943">
      <c r="A943" s="28">
        <f>IF(C943="","", "CP-"&amp;TEXT(ROW()-5,"000"))</f>
        <v/>
      </c>
      <c r="B943" s="27">
        <f>IF(F943="","",DATE(YEAR(F943),MONTH(F943),1))</f>
        <v/>
      </c>
      <c r="C943" s="28" t="n"/>
      <c r="D943" s="28" t="n"/>
      <c r="E943" s="59">
        <f>IF(C943="","",IFERROR(INDEX('6. Base de Custos'!$M$8:$M$42,MATCH(C943,'6. Base de Custos'!$L$8:$L$42,0)),"Não classificado"))</f>
        <v/>
      </c>
      <c r="F943" s="111" t="n"/>
      <c r="G943" s="111" t="n"/>
      <c r="H943" s="111" t="n"/>
      <c r="I943" s="45" t="n"/>
      <c r="J943" s="28" t="n"/>
      <c r="K943" s="28" t="n"/>
      <c r="L943" s="28" t="n"/>
      <c r="M943" s="59">
        <f>IF(C943="","",IFERROR(INDEX('6. Base de Custos'!$N$8:$N$42,MATCH(C943,'6. Base de Custos'!$L$8:$L$42,0)),"Não classificado"))</f>
        <v/>
      </c>
      <c r="N943" s="59">
        <f>IF(C943="","",IFERROR(INDEX('6. Base de Custos'!$O$8:$O$42,MATCH(C943,'6. Base de Custos'!$L$8:$L$42,0)),"Revisar"))</f>
        <v/>
      </c>
      <c r="O943" s="60">
        <f>IF(M943="","",IFERROR(VLOOKUP(M943,'6. Base de Custos'!$H$12:$J$18,3,FALSE),0))</f>
        <v/>
      </c>
      <c r="P943" s="59">
        <f>IF(C943="","",IFERROR(INDEX('6. Base de Custos'!$P$8:$P$42,MATCH(C943,'6. Base de Custos'!$L$8:$L$42,0)),"Revisar"))</f>
        <v/>
      </c>
      <c r="Q943" s="59">
        <f>IF(C943="","",IFERROR(INDEX('6. Base de Custos'!$Q$8:$Q$42,MATCH(C943,'6. Base de Custos'!$L$8:$L$42,0)),""))</f>
        <v/>
      </c>
      <c r="R943" s="65">
        <f>IF(C943="","",IFERROR(VLOOKUP(M943&amp;"|"&amp;N943,'17. Mapa DRE CP'!$E$5:$H$100,2,FALSE),"Revisar"))</f>
        <v/>
      </c>
      <c r="S943" s="65">
        <f>IF(C943="","",IFERROR(VLOOKUP(M943&amp;"|"&amp;N943,'17. Mapa DRE CP'!$E$5:$H$100,3,FALSE),"Revisar"))</f>
        <v/>
      </c>
      <c r="T943" s="65">
        <f>IF(C943="","",IF(R943="(-) Custos diretos dos serviços",IF(ISNUMBER(SEARCH("PCMSO",C943)),"PCMSO",IF(OR(ISNUMBER(SEARCH("SGS",C943)),ISNUMBER(SEARCH("CASTRO NAVES",C943))),"Projetos / Laudos / Avulsos","Projetos / Laudos / Avulsos")),"Rateio pela receita bruta"))</f>
        <v/>
      </c>
      <c r="U943" s="65">
        <f>IF(C943="","",IF(R943="(-) Custos diretos dos serviços","Direto por fornecedor/natureza do gasto","Rateio proporcional à receita bruta da linha de serviço"))</f>
        <v/>
      </c>
    </row>
    <row r="944">
      <c r="A944" s="28">
        <f>IF(C944="","", "CP-"&amp;TEXT(ROW()-5,"000"))</f>
        <v/>
      </c>
      <c r="B944" s="27">
        <f>IF(F944="","",DATE(YEAR(F944),MONTH(F944),1))</f>
        <v/>
      </c>
      <c r="C944" s="28" t="n"/>
      <c r="D944" s="28" t="n"/>
      <c r="E944" s="59">
        <f>IF(C944="","",IFERROR(INDEX('6. Base de Custos'!$M$8:$M$42,MATCH(C944,'6. Base de Custos'!$L$8:$L$42,0)),"Não classificado"))</f>
        <v/>
      </c>
      <c r="F944" s="111" t="n"/>
      <c r="G944" s="111" t="n"/>
      <c r="H944" s="111" t="n"/>
      <c r="I944" s="45" t="n"/>
      <c r="J944" s="28" t="n"/>
      <c r="K944" s="28" t="n"/>
      <c r="L944" s="28" t="n"/>
      <c r="M944" s="59">
        <f>IF(C944="","",IFERROR(INDEX('6. Base de Custos'!$N$8:$N$42,MATCH(C944,'6. Base de Custos'!$L$8:$L$42,0)),"Não classificado"))</f>
        <v/>
      </c>
      <c r="N944" s="59">
        <f>IF(C944="","",IFERROR(INDEX('6. Base de Custos'!$O$8:$O$42,MATCH(C944,'6. Base de Custos'!$L$8:$L$42,0)),"Revisar"))</f>
        <v/>
      </c>
      <c r="O944" s="60">
        <f>IF(M944="","",IFERROR(VLOOKUP(M944,'6. Base de Custos'!$H$12:$J$18,3,FALSE),0))</f>
        <v/>
      </c>
      <c r="P944" s="59">
        <f>IF(C944="","",IFERROR(INDEX('6. Base de Custos'!$P$8:$P$42,MATCH(C944,'6. Base de Custos'!$L$8:$L$42,0)),"Revisar"))</f>
        <v/>
      </c>
      <c r="Q944" s="59">
        <f>IF(C944="","",IFERROR(INDEX('6. Base de Custos'!$Q$8:$Q$42,MATCH(C944,'6. Base de Custos'!$L$8:$L$42,0)),""))</f>
        <v/>
      </c>
      <c r="R944" s="65">
        <f>IF(C944="","",IFERROR(VLOOKUP(M944&amp;"|"&amp;N944,'17. Mapa DRE CP'!$E$5:$H$100,2,FALSE),"Revisar"))</f>
        <v/>
      </c>
      <c r="S944" s="65">
        <f>IF(C944="","",IFERROR(VLOOKUP(M944&amp;"|"&amp;N944,'17. Mapa DRE CP'!$E$5:$H$100,3,FALSE),"Revisar"))</f>
        <v/>
      </c>
      <c r="T944" s="65">
        <f>IF(C944="","",IF(R944="(-) Custos diretos dos serviços",IF(ISNUMBER(SEARCH("PCMSO",C944)),"PCMSO",IF(OR(ISNUMBER(SEARCH("SGS",C944)),ISNUMBER(SEARCH("CASTRO NAVES",C944))),"Projetos / Laudos / Avulsos","Projetos / Laudos / Avulsos")),"Rateio pela receita bruta"))</f>
        <v/>
      </c>
      <c r="U944" s="65">
        <f>IF(C944="","",IF(R944="(-) Custos diretos dos serviços","Direto por fornecedor/natureza do gasto","Rateio proporcional à receita bruta da linha de serviço"))</f>
        <v/>
      </c>
    </row>
    <row r="945">
      <c r="A945" s="28">
        <f>IF(C945="","", "CP-"&amp;TEXT(ROW()-5,"000"))</f>
        <v/>
      </c>
      <c r="B945" s="27">
        <f>IF(F945="","",DATE(YEAR(F945),MONTH(F945),1))</f>
        <v/>
      </c>
      <c r="C945" s="28" t="n"/>
      <c r="D945" s="28" t="n"/>
      <c r="E945" s="59">
        <f>IF(C945="","",IFERROR(INDEX('6. Base de Custos'!$M$8:$M$42,MATCH(C945,'6. Base de Custos'!$L$8:$L$42,0)),"Não classificado"))</f>
        <v/>
      </c>
      <c r="F945" s="111" t="n"/>
      <c r="G945" s="111" t="n"/>
      <c r="H945" s="111" t="n"/>
      <c r="I945" s="45" t="n"/>
      <c r="J945" s="28" t="n"/>
      <c r="K945" s="28" t="n"/>
      <c r="L945" s="28" t="n"/>
      <c r="M945" s="59">
        <f>IF(C945="","",IFERROR(INDEX('6. Base de Custos'!$N$8:$N$42,MATCH(C945,'6. Base de Custos'!$L$8:$L$42,0)),"Não classificado"))</f>
        <v/>
      </c>
      <c r="N945" s="59">
        <f>IF(C945="","",IFERROR(INDEX('6. Base de Custos'!$O$8:$O$42,MATCH(C945,'6. Base de Custos'!$L$8:$L$42,0)),"Revisar"))</f>
        <v/>
      </c>
      <c r="O945" s="60">
        <f>IF(M945="","",IFERROR(VLOOKUP(M945,'6. Base de Custos'!$H$12:$J$18,3,FALSE),0))</f>
        <v/>
      </c>
      <c r="P945" s="59">
        <f>IF(C945="","",IFERROR(INDEX('6. Base de Custos'!$P$8:$P$42,MATCH(C945,'6. Base de Custos'!$L$8:$L$42,0)),"Revisar"))</f>
        <v/>
      </c>
      <c r="Q945" s="59">
        <f>IF(C945="","",IFERROR(INDEX('6. Base de Custos'!$Q$8:$Q$42,MATCH(C945,'6. Base de Custos'!$L$8:$L$42,0)),""))</f>
        <v/>
      </c>
      <c r="R945" s="65">
        <f>IF(C945="","",IFERROR(VLOOKUP(M945&amp;"|"&amp;N945,'17. Mapa DRE CP'!$E$5:$H$100,2,FALSE),"Revisar"))</f>
        <v/>
      </c>
      <c r="S945" s="65">
        <f>IF(C945="","",IFERROR(VLOOKUP(M945&amp;"|"&amp;N945,'17. Mapa DRE CP'!$E$5:$H$100,3,FALSE),"Revisar"))</f>
        <v/>
      </c>
      <c r="T945" s="65">
        <f>IF(C945="","",IF(R945="(-) Custos diretos dos serviços",IF(ISNUMBER(SEARCH("PCMSO",C945)),"PCMSO",IF(OR(ISNUMBER(SEARCH("SGS",C945)),ISNUMBER(SEARCH("CASTRO NAVES",C945))),"Projetos / Laudos / Avulsos","Projetos / Laudos / Avulsos")),"Rateio pela receita bruta"))</f>
        <v/>
      </c>
      <c r="U945" s="65">
        <f>IF(C945="","",IF(R945="(-) Custos diretos dos serviços","Direto por fornecedor/natureza do gasto","Rateio proporcional à receita bruta da linha de serviço"))</f>
        <v/>
      </c>
    </row>
    <row r="946">
      <c r="A946" s="28">
        <f>IF(C946="","", "CP-"&amp;TEXT(ROW()-5,"000"))</f>
        <v/>
      </c>
      <c r="B946" s="27">
        <f>IF(F946="","",DATE(YEAR(F946),MONTH(F946),1))</f>
        <v/>
      </c>
      <c r="C946" s="28" t="n"/>
      <c r="D946" s="28" t="n"/>
      <c r="E946" s="59">
        <f>IF(C946="","",IFERROR(INDEX('6. Base de Custos'!$M$8:$M$42,MATCH(C946,'6. Base de Custos'!$L$8:$L$42,0)),"Não classificado"))</f>
        <v/>
      </c>
      <c r="F946" s="111" t="n"/>
      <c r="G946" s="111" t="n"/>
      <c r="H946" s="111" t="n"/>
      <c r="I946" s="45" t="n"/>
      <c r="J946" s="28" t="n"/>
      <c r="K946" s="28" t="n"/>
      <c r="L946" s="28" t="n"/>
      <c r="M946" s="59">
        <f>IF(C946="","",IFERROR(INDEX('6. Base de Custos'!$N$8:$N$42,MATCH(C946,'6. Base de Custos'!$L$8:$L$42,0)),"Não classificado"))</f>
        <v/>
      </c>
      <c r="N946" s="59">
        <f>IF(C946="","",IFERROR(INDEX('6. Base de Custos'!$O$8:$O$42,MATCH(C946,'6. Base de Custos'!$L$8:$L$42,0)),"Revisar"))</f>
        <v/>
      </c>
      <c r="O946" s="60">
        <f>IF(M946="","",IFERROR(VLOOKUP(M946,'6. Base de Custos'!$H$12:$J$18,3,FALSE),0))</f>
        <v/>
      </c>
      <c r="P946" s="59">
        <f>IF(C946="","",IFERROR(INDEX('6. Base de Custos'!$P$8:$P$42,MATCH(C946,'6. Base de Custos'!$L$8:$L$42,0)),"Revisar"))</f>
        <v/>
      </c>
      <c r="Q946" s="59">
        <f>IF(C946="","",IFERROR(INDEX('6. Base de Custos'!$Q$8:$Q$42,MATCH(C946,'6. Base de Custos'!$L$8:$L$42,0)),""))</f>
        <v/>
      </c>
      <c r="R946" s="65">
        <f>IF(C946="","",IFERROR(VLOOKUP(M946&amp;"|"&amp;N946,'17. Mapa DRE CP'!$E$5:$H$100,2,FALSE),"Revisar"))</f>
        <v/>
      </c>
      <c r="S946" s="65">
        <f>IF(C946="","",IFERROR(VLOOKUP(M946&amp;"|"&amp;N946,'17. Mapa DRE CP'!$E$5:$H$100,3,FALSE),"Revisar"))</f>
        <v/>
      </c>
      <c r="T946" s="65">
        <f>IF(C946="","",IF(R946="(-) Custos diretos dos serviços",IF(ISNUMBER(SEARCH("PCMSO",C946)),"PCMSO",IF(OR(ISNUMBER(SEARCH("SGS",C946)),ISNUMBER(SEARCH("CASTRO NAVES",C946))),"Projetos / Laudos / Avulsos","Projetos / Laudos / Avulsos")),"Rateio pela receita bruta"))</f>
        <v/>
      </c>
      <c r="U946" s="65">
        <f>IF(C946="","",IF(R946="(-) Custos diretos dos serviços","Direto por fornecedor/natureza do gasto","Rateio proporcional à receita bruta da linha de serviço"))</f>
        <v/>
      </c>
    </row>
    <row r="947">
      <c r="A947" s="28">
        <f>IF(C947="","", "CP-"&amp;TEXT(ROW()-5,"000"))</f>
        <v/>
      </c>
      <c r="B947" s="27">
        <f>IF(F947="","",DATE(YEAR(F947),MONTH(F947),1))</f>
        <v/>
      </c>
      <c r="C947" s="28" t="n"/>
      <c r="D947" s="28" t="n"/>
      <c r="E947" s="59">
        <f>IF(C947="","",IFERROR(INDEX('6. Base de Custos'!$M$8:$M$42,MATCH(C947,'6. Base de Custos'!$L$8:$L$42,0)),"Não classificado"))</f>
        <v/>
      </c>
      <c r="F947" s="111" t="n"/>
      <c r="G947" s="111" t="n"/>
      <c r="H947" s="111" t="n"/>
      <c r="I947" s="45" t="n"/>
      <c r="J947" s="28" t="n"/>
      <c r="K947" s="28" t="n"/>
      <c r="L947" s="28" t="n"/>
      <c r="M947" s="59">
        <f>IF(C947="","",IFERROR(INDEX('6. Base de Custos'!$N$8:$N$42,MATCH(C947,'6. Base de Custos'!$L$8:$L$42,0)),"Não classificado"))</f>
        <v/>
      </c>
      <c r="N947" s="59">
        <f>IF(C947="","",IFERROR(INDEX('6. Base de Custos'!$O$8:$O$42,MATCH(C947,'6. Base de Custos'!$L$8:$L$42,0)),"Revisar"))</f>
        <v/>
      </c>
      <c r="O947" s="60">
        <f>IF(M947="","",IFERROR(VLOOKUP(M947,'6. Base de Custos'!$H$12:$J$18,3,FALSE),0))</f>
        <v/>
      </c>
      <c r="P947" s="59">
        <f>IF(C947="","",IFERROR(INDEX('6. Base de Custos'!$P$8:$P$42,MATCH(C947,'6. Base de Custos'!$L$8:$L$42,0)),"Revisar"))</f>
        <v/>
      </c>
      <c r="Q947" s="59">
        <f>IF(C947="","",IFERROR(INDEX('6. Base de Custos'!$Q$8:$Q$42,MATCH(C947,'6. Base de Custos'!$L$8:$L$42,0)),""))</f>
        <v/>
      </c>
      <c r="R947" s="65">
        <f>IF(C947="","",IFERROR(VLOOKUP(M947&amp;"|"&amp;N947,'17. Mapa DRE CP'!$E$5:$H$100,2,FALSE),"Revisar"))</f>
        <v/>
      </c>
      <c r="S947" s="65">
        <f>IF(C947="","",IFERROR(VLOOKUP(M947&amp;"|"&amp;N947,'17. Mapa DRE CP'!$E$5:$H$100,3,FALSE),"Revisar"))</f>
        <v/>
      </c>
      <c r="T947" s="65">
        <f>IF(C947="","",IF(R947="(-) Custos diretos dos serviços",IF(ISNUMBER(SEARCH("PCMSO",C947)),"PCMSO",IF(OR(ISNUMBER(SEARCH("SGS",C947)),ISNUMBER(SEARCH("CASTRO NAVES",C947))),"Projetos / Laudos / Avulsos","Projetos / Laudos / Avulsos")),"Rateio pela receita bruta"))</f>
        <v/>
      </c>
      <c r="U947" s="65">
        <f>IF(C947="","",IF(R947="(-) Custos diretos dos serviços","Direto por fornecedor/natureza do gasto","Rateio proporcional à receita bruta da linha de serviço"))</f>
        <v/>
      </c>
    </row>
    <row r="948">
      <c r="A948" s="28">
        <f>IF(C948="","", "CP-"&amp;TEXT(ROW()-5,"000"))</f>
        <v/>
      </c>
      <c r="B948" s="27">
        <f>IF(F948="","",DATE(YEAR(F948),MONTH(F948),1))</f>
        <v/>
      </c>
      <c r="C948" s="28" t="n"/>
      <c r="D948" s="28" t="n"/>
      <c r="E948" s="59">
        <f>IF(C948="","",IFERROR(INDEX('6. Base de Custos'!$M$8:$M$42,MATCH(C948,'6. Base de Custos'!$L$8:$L$42,0)),"Não classificado"))</f>
        <v/>
      </c>
      <c r="F948" s="111" t="n"/>
      <c r="G948" s="111" t="n"/>
      <c r="H948" s="111" t="n"/>
      <c r="I948" s="45" t="n"/>
      <c r="J948" s="28" t="n"/>
      <c r="K948" s="28" t="n"/>
      <c r="L948" s="28" t="n"/>
      <c r="M948" s="59">
        <f>IF(C948="","",IFERROR(INDEX('6. Base de Custos'!$N$8:$N$42,MATCH(C948,'6. Base de Custos'!$L$8:$L$42,0)),"Não classificado"))</f>
        <v/>
      </c>
      <c r="N948" s="59">
        <f>IF(C948="","",IFERROR(INDEX('6. Base de Custos'!$O$8:$O$42,MATCH(C948,'6. Base de Custos'!$L$8:$L$42,0)),"Revisar"))</f>
        <v/>
      </c>
      <c r="O948" s="60">
        <f>IF(M948="","",IFERROR(VLOOKUP(M948,'6. Base de Custos'!$H$12:$J$18,3,FALSE),0))</f>
        <v/>
      </c>
      <c r="P948" s="59">
        <f>IF(C948="","",IFERROR(INDEX('6. Base de Custos'!$P$8:$P$42,MATCH(C948,'6. Base de Custos'!$L$8:$L$42,0)),"Revisar"))</f>
        <v/>
      </c>
      <c r="Q948" s="59">
        <f>IF(C948="","",IFERROR(INDEX('6. Base de Custos'!$Q$8:$Q$42,MATCH(C948,'6. Base de Custos'!$L$8:$L$42,0)),""))</f>
        <v/>
      </c>
      <c r="R948" s="65">
        <f>IF(C948="","",IFERROR(VLOOKUP(M948&amp;"|"&amp;N948,'17. Mapa DRE CP'!$E$5:$H$100,2,FALSE),"Revisar"))</f>
        <v/>
      </c>
      <c r="S948" s="65">
        <f>IF(C948="","",IFERROR(VLOOKUP(M948&amp;"|"&amp;N948,'17. Mapa DRE CP'!$E$5:$H$100,3,FALSE),"Revisar"))</f>
        <v/>
      </c>
      <c r="T948" s="65">
        <f>IF(C948="","",IF(R948="(-) Custos diretos dos serviços",IF(ISNUMBER(SEARCH("PCMSO",C948)),"PCMSO",IF(OR(ISNUMBER(SEARCH("SGS",C948)),ISNUMBER(SEARCH("CASTRO NAVES",C948))),"Projetos / Laudos / Avulsos","Projetos / Laudos / Avulsos")),"Rateio pela receita bruta"))</f>
        <v/>
      </c>
      <c r="U948" s="65">
        <f>IF(C948="","",IF(R948="(-) Custos diretos dos serviços","Direto por fornecedor/natureza do gasto","Rateio proporcional à receita bruta da linha de serviço"))</f>
        <v/>
      </c>
    </row>
    <row r="949">
      <c r="A949" s="28">
        <f>IF(C949="","", "CP-"&amp;TEXT(ROW()-5,"000"))</f>
        <v/>
      </c>
      <c r="B949" s="27">
        <f>IF(F949="","",DATE(YEAR(F949),MONTH(F949),1))</f>
        <v/>
      </c>
      <c r="C949" s="28" t="n"/>
      <c r="D949" s="28" t="n"/>
      <c r="E949" s="59">
        <f>IF(C949="","",IFERROR(INDEX('6. Base de Custos'!$M$8:$M$42,MATCH(C949,'6. Base de Custos'!$L$8:$L$42,0)),"Não classificado"))</f>
        <v/>
      </c>
      <c r="F949" s="111" t="n"/>
      <c r="G949" s="111" t="n"/>
      <c r="H949" s="111" t="n"/>
      <c r="I949" s="45" t="n"/>
      <c r="J949" s="28" t="n"/>
      <c r="K949" s="28" t="n"/>
      <c r="L949" s="28" t="n"/>
      <c r="M949" s="59">
        <f>IF(C949="","",IFERROR(INDEX('6. Base de Custos'!$N$8:$N$42,MATCH(C949,'6. Base de Custos'!$L$8:$L$42,0)),"Não classificado"))</f>
        <v/>
      </c>
      <c r="N949" s="59">
        <f>IF(C949="","",IFERROR(INDEX('6. Base de Custos'!$O$8:$O$42,MATCH(C949,'6. Base de Custos'!$L$8:$L$42,0)),"Revisar"))</f>
        <v/>
      </c>
      <c r="O949" s="60">
        <f>IF(M949="","",IFERROR(VLOOKUP(M949,'6. Base de Custos'!$H$12:$J$18,3,FALSE),0))</f>
        <v/>
      </c>
      <c r="P949" s="59">
        <f>IF(C949="","",IFERROR(INDEX('6. Base de Custos'!$P$8:$P$42,MATCH(C949,'6. Base de Custos'!$L$8:$L$42,0)),"Revisar"))</f>
        <v/>
      </c>
      <c r="Q949" s="59">
        <f>IF(C949="","",IFERROR(INDEX('6. Base de Custos'!$Q$8:$Q$42,MATCH(C949,'6. Base de Custos'!$L$8:$L$42,0)),""))</f>
        <v/>
      </c>
      <c r="R949" s="65">
        <f>IF(C949="","",IFERROR(VLOOKUP(M949&amp;"|"&amp;N949,'17. Mapa DRE CP'!$E$5:$H$100,2,FALSE),"Revisar"))</f>
        <v/>
      </c>
      <c r="S949" s="65">
        <f>IF(C949="","",IFERROR(VLOOKUP(M949&amp;"|"&amp;N949,'17. Mapa DRE CP'!$E$5:$H$100,3,FALSE),"Revisar"))</f>
        <v/>
      </c>
      <c r="T949" s="65">
        <f>IF(C949="","",IF(R949="(-) Custos diretos dos serviços",IF(ISNUMBER(SEARCH("PCMSO",C949)),"PCMSO",IF(OR(ISNUMBER(SEARCH("SGS",C949)),ISNUMBER(SEARCH("CASTRO NAVES",C949))),"Projetos / Laudos / Avulsos","Projetos / Laudos / Avulsos")),"Rateio pela receita bruta"))</f>
        <v/>
      </c>
      <c r="U949" s="65">
        <f>IF(C949="","",IF(R949="(-) Custos diretos dos serviços","Direto por fornecedor/natureza do gasto","Rateio proporcional à receita bruta da linha de serviço"))</f>
        <v/>
      </c>
    </row>
    <row r="950">
      <c r="A950" s="28">
        <f>IF(C950="","", "CP-"&amp;TEXT(ROW()-5,"000"))</f>
        <v/>
      </c>
      <c r="B950" s="27">
        <f>IF(F950="","",DATE(YEAR(F950),MONTH(F950),1))</f>
        <v/>
      </c>
      <c r="C950" s="28" t="n"/>
      <c r="D950" s="28" t="n"/>
      <c r="E950" s="59">
        <f>IF(C950="","",IFERROR(INDEX('6. Base de Custos'!$M$8:$M$42,MATCH(C950,'6. Base de Custos'!$L$8:$L$42,0)),"Não classificado"))</f>
        <v/>
      </c>
      <c r="F950" s="111" t="n"/>
      <c r="G950" s="111" t="n"/>
      <c r="H950" s="111" t="n"/>
      <c r="I950" s="45" t="n"/>
      <c r="J950" s="28" t="n"/>
      <c r="K950" s="28" t="n"/>
      <c r="L950" s="28" t="n"/>
      <c r="M950" s="59">
        <f>IF(C950="","",IFERROR(INDEX('6. Base de Custos'!$N$8:$N$42,MATCH(C950,'6. Base de Custos'!$L$8:$L$42,0)),"Não classificado"))</f>
        <v/>
      </c>
      <c r="N950" s="59">
        <f>IF(C950="","",IFERROR(INDEX('6. Base de Custos'!$O$8:$O$42,MATCH(C950,'6. Base de Custos'!$L$8:$L$42,0)),"Revisar"))</f>
        <v/>
      </c>
      <c r="O950" s="60">
        <f>IF(M950="","",IFERROR(VLOOKUP(M950,'6. Base de Custos'!$H$12:$J$18,3,FALSE),0))</f>
        <v/>
      </c>
      <c r="P950" s="59">
        <f>IF(C950="","",IFERROR(INDEX('6. Base de Custos'!$P$8:$P$42,MATCH(C950,'6. Base de Custos'!$L$8:$L$42,0)),"Revisar"))</f>
        <v/>
      </c>
      <c r="Q950" s="59">
        <f>IF(C950="","",IFERROR(INDEX('6. Base de Custos'!$Q$8:$Q$42,MATCH(C950,'6. Base de Custos'!$L$8:$L$42,0)),""))</f>
        <v/>
      </c>
      <c r="R950" s="65">
        <f>IF(C950="","",IFERROR(VLOOKUP(M950&amp;"|"&amp;N950,'17. Mapa DRE CP'!$E$5:$H$100,2,FALSE),"Revisar"))</f>
        <v/>
      </c>
      <c r="S950" s="65">
        <f>IF(C950="","",IFERROR(VLOOKUP(M950&amp;"|"&amp;N950,'17. Mapa DRE CP'!$E$5:$H$100,3,FALSE),"Revisar"))</f>
        <v/>
      </c>
      <c r="T950" s="65">
        <f>IF(C950="","",IF(R950="(-) Custos diretos dos serviços",IF(ISNUMBER(SEARCH("PCMSO",C950)),"PCMSO",IF(OR(ISNUMBER(SEARCH("SGS",C950)),ISNUMBER(SEARCH("CASTRO NAVES",C950))),"Projetos / Laudos / Avulsos","Projetos / Laudos / Avulsos")),"Rateio pela receita bruta"))</f>
        <v/>
      </c>
      <c r="U950" s="65">
        <f>IF(C950="","",IF(R950="(-) Custos diretos dos serviços","Direto por fornecedor/natureza do gasto","Rateio proporcional à receita bruta da linha de serviço"))</f>
        <v/>
      </c>
    </row>
    <row r="951">
      <c r="A951" s="28">
        <f>IF(C951="","", "CP-"&amp;TEXT(ROW()-5,"000"))</f>
        <v/>
      </c>
      <c r="B951" s="27">
        <f>IF(F951="","",DATE(YEAR(F951),MONTH(F951),1))</f>
        <v/>
      </c>
      <c r="C951" s="28" t="n"/>
      <c r="D951" s="28" t="n"/>
      <c r="E951" s="59">
        <f>IF(C951="","",IFERROR(INDEX('6. Base de Custos'!$M$8:$M$42,MATCH(C951,'6. Base de Custos'!$L$8:$L$42,0)),"Não classificado"))</f>
        <v/>
      </c>
      <c r="F951" s="111" t="n"/>
      <c r="G951" s="111" t="n"/>
      <c r="H951" s="111" t="n"/>
      <c r="I951" s="45" t="n"/>
      <c r="J951" s="28" t="n"/>
      <c r="K951" s="28" t="n"/>
      <c r="L951" s="28" t="n"/>
      <c r="M951" s="59">
        <f>IF(C951="","",IFERROR(INDEX('6. Base de Custos'!$N$8:$N$42,MATCH(C951,'6. Base de Custos'!$L$8:$L$42,0)),"Não classificado"))</f>
        <v/>
      </c>
      <c r="N951" s="59">
        <f>IF(C951="","",IFERROR(INDEX('6. Base de Custos'!$O$8:$O$42,MATCH(C951,'6. Base de Custos'!$L$8:$L$42,0)),"Revisar"))</f>
        <v/>
      </c>
      <c r="O951" s="60">
        <f>IF(M951="","",IFERROR(VLOOKUP(M951,'6. Base de Custos'!$H$12:$J$18,3,FALSE),0))</f>
        <v/>
      </c>
      <c r="P951" s="59">
        <f>IF(C951="","",IFERROR(INDEX('6. Base de Custos'!$P$8:$P$42,MATCH(C951,'6. Base de Custos'!$L$8:$L$42,0)),"Revisar"))</f>
        <v/>
      </c>
      <c r="Q951" s="59">
        <f>IF(C951="","",IFERROR(INDEX('6. Base de Custos'!$Q$8:$Q$42,MATCH(C951,'6. Base de Custos'!$L$8:$L$42,0)),""))</f>
        <v/>
      </c>
      <c r="R951" s="65">
        <f>IF(C951="","",IFERROR(VLOOKUP(M951&amp;"|"&amp;N951,'17. Mapa DRE CP'!$E$5:$H$100,2,FALSE),"Revisar"))</f>
        <v/>
      </c>
      <c r="S951" s="65">
        <f>IF(C951="","",IFERROR(VLOOKUP(M951&amp;"|"&amp;N951,'17. Mapa DRE CP'!$E$5:$H$100,3,FALSE),"Revisar"))</f>
        <v/>
      </c>
      <c r="T951" s="65">
        <f>IF(C951="","",IF(R951="(-) Custos diretos dos serviços",IF(ISNUMBER(SEARCH("PCMSO",C951)),"PCMSO",IF(OR(ISNUMBER(SEARCH("SGS",C951)),ISNUMBER(SEARCH("CASTRO NAVES",C951))),"Projetos / Laudos / Avulsos","Projetos / Laudos / Avulsos")),"Rateio pela receita bruta"))</f>
        <v/>
      </c>
      <c r="U951" s="65">
        <f>IF(C951="","",IF(R951="(-) Custos diretos dos serviços","Direto por fornecedor/natureza do gasto","Rateio proporcional à receita bruta da linha de serviço"))</f>
        <v/>
      </c>
    </row>
    <row r="952">
      <c r="A952" s="28">
        <f>IF(C952="","", "CP-"&amp;TEXT(ROW()-5,"000"))</f>
        <v/>
      </c>
      <c r="B952" s="27">
        <f>IF(F952="","",DATE(YEAR(F952),MONTH(F952),1))</f>
        <v/>
      </c>
      <c r="C952" s="28" t="n"/>
      <c r="D952" s="28" t="n"/>
      <c r="E952" s="59">
        <f>IF(C952="","",IFERROR(INDEX('6. Base de Custos'!$M$8:$M$42,MATCH(C952,'6. Base de Custos'!$L$8:$L$42,0)),"Não classificado"))</f>
        <v/>
      </c>
      <c r="F952" s="111" t="n"/>
      <c r="G952" s="111" t="n"/>
      <c r="H952" s="111" t="n"/>
      <c r="I952" s="45" t="n"/>
      <c r="J952" s="28" t="n"/>
      <c r="K952" s="28" t="n"/>
      <c r="L952" s="28" t="n"/>
      <c r="M952" s="59">
        <f>IF(C952="","",IFERROR(INDEX('6. Base de Custos'!$N$8:$N$42,MATCH(C952,'6. Base de Custos'!$L$8:$L$42,0)),"Não classificado"))</f>
        <v/>
      </c>
      <c r="N952" s="59">
        <f>IF(C952="","",IFERROR(INDEX('6. Base de Custos'!$O$8:$O$42,MATCH(C952,'6. Base de Custos'!$L$8:$L$42,0)),"Revisar"))</f>
        <v/>
      </c>
      <c r="O952" s="60">
        <f>IF(M952="","",IFERROR(VLOOKUP(M952,'6. Base de Custos'!$H$12:$J$18,3,FALSE),0))</f>
        <v/>
      </c>
      <c r="P952" s="59">
        <f>IF(C952="","",IFERROR(INDEX('6. Base de Custos'!$P$8:$P$42,MATCH(C952,'6. Base de Custos'!$L$8:$L$42,0)),"Revisar"))</f>
        <v/>
      </c>
      <c r="Q952" s="59">
        <f>IF(C952="","",IFERROR(INDEX('6. Base de Custos'!$Q$8:$Q$42,MATCH(C952,'6. Base de Custos'!$L$8:$L$42,0)),""))</f>
        <v/>
      </c>
      <c r="R952" s="65">
        <f>IF(C952="","",IFERROR(VLOOKUP(M952&amp;"|"&amp;N952,'17. Mapa DRE CP'!$E$5:$H$100,2,FALSE),"Revisar"))</f>
        <v/>
      </c>
      <c r="S952" s="65">
        <f>IF(C952="","",IFERROR(VLOOKUP(M952&amp;"|"&amp;N952,'17. Mapa DRE CP'!$E$5:$H$100,3,FALSE),"Revisar"))</f>
        <v/>
      </c>
      <c r="T952" s="65">
        <f>IF(C952="","",IF(R952="(-) Custos diretos dos serviços",IF(ISNUMBER(SEARCH("PCMSO",C952)),"PCMSO",IF(OR(ISNUMBER(SEARCH("SGS",C952)),ISNUMBER(SEARCH("CASTRO NAVES",C952))),"Projetos / Laudos / Avulsos","Projetos / Laudos / Avulsos")),"Rateio pela receita bruta"))</f>
        <v/>
      </c>
      <c r="U952" s="65">
        <f>IF(C952="","",IF(R952="(-) Custos diretos dos serviços","Direto por fornecedor/natureza do gasto","Rateio proporcional à receita bruta da linha de serviço"))</f>
        <v/>
      </c>
    </row>
    <row r="953">
      <c r="A953" s="28">
        <f>IF(C953="","", "CP-"&amp;TEXT(ROW()-5,"000"))</f>
        <v/>
      </c>
      <c r="B953" s="27">
        <f>IF(F953="","",DATE(YEAR(F953),MONTH(F953),1))</f>
        <v/>
      </c>
      <c r="C953" s="28" t="n"/>
      <c r="D953" s="28" t="n"/>
      <c r="E953" s="59">
        <f>IF(C953="","",IFERROR(INDEX('6. Base de Custos'!$M$8:$M$42,MATCH(C953,'6. Base de Custos'!$L$8:$L$42,0)),"Não classificado"))</f>
        <v/>
      </c>
      <c r="F953" s="111" t="n"/>
      <c r="G953" s="111" t="n"/>
      <c r="H953" s="111" t="n"/>
      <c r="I953" s="45" t="n"/>
      <c r="J953" s="28" t="n"/>
      <c r="K953" s="28" t="n"/>
      <c r="L953" s="28" t="n"/>
      <c r="M953" s="59">
        <f>IF(C953="","",IFERROR(INDEX('6. Base de Custos'!$N$8:$N$42,MATCH(C953,'6. Base de Custos'!$L$8:$L$42,0)),"Não classificado"))</f>
        <v/>
      </c>
      <c r="N953" s="59">
        <f>IF(C953="","",IFERROR(INDEX('6. Base de Custos'!$O$8:$O$42,MATCH(C953,'6. Base de Custos'!$L$8:$L$42,0)),"Revisar"))</f>
        <v/>
      </c>
      <c r="O953" s="60">
        <f>IF(M953="","",IFERROR(VLOOKUP(M953,'6. Base de Custos'!$H$12:$J$18,3,FALSE),0))</f>
        <v/>
      </c>
      <c r="P953" s="59">
        <f>IF(C953="","",IFERROR(INDEX('6. Base de Custos'!$P$8:$P$42,MATCH(C953,'6. Base de Custos'!$L$8:$L$42,0)),"Revisar"))</f>
        <v/>
      </c>
      <c r="Q953" s="59">
        <f>IF(C953="","",IFERROR(INDEX('6. Base de Custos'!$Q$8:$Q$42,MATCH(C953,'6. Base de Custos'!$L$8:$L$42,0)),""))</f>
        <v/>
      </c>
      <c r="R953" s="65">
        <f>IF(C953="","",IFERROR(VLOOKUP(M953&amp;"|"&amp;N953,'17. Mapa DRE CP'!$E$5:$H$100,2,FALSE),"Revisar"))</f>
        <v/>
      </c>
      <c r="S953" s="65">
        <f>IF(C953="","",IFERROR(VLOOKUP(M953&amp;"|"&amp;N953,'17. Mapa DRE CP'!$E$5:$H$100,3,FALSE),"Revisar"))</f>
        <v/>
      </c>
      <c r="T953" s="65">
        <f>IF(C953="","",IF(R953="(-) Custos diretos dos serviços",IF(ISNUMBER(SEARCH("PCMSO",C953)),"PCMSO",IF(OR(ISNUMBER(SEARCH("SGS",C953)),ISNUMBER(SEARCH("CASTRO NAVES",C953))),"Projetos / Laudos / Avulsos","Projetos / Laudos / Avulsos")),"Rateio pela receita bruta"))</f>
        <v/>
      </c>
      <c r="U953" s="65">
        <f>IF(C953="","",IF(R953="(-) Custos diretos dos serviços","Direto por fornecedor/natureza do gasto","Rateio proporcional à receita bruta da linha de serviço"))</f>
        <v/>
      </c>
    </row>
    <row r="954">
      <c r="A954" s="28">
        <f>IF(C954="","", "CP-"&amp;TEXT(ROW()-5,"000"))</f>
        <v/>
      </c>
      <c r="B954" s="27">
        <f>IF(F954="","",DATE(YEAR(F954),MONTH(F954),1))</f>
        <v/>
      </c>
      <c r="C954" s="28" t="n"/>
      <c r="D954" s="28" t="n"/>
      <c r="E954" s="59">
        <f>IF(C954="","",IFERROR(INDEX('6. Base de Custos'!$M$8:$M$42,MATCH(C954,'6. Base de Custos'!$L$8:$L$42,0)),"Não classificado"))</f>
        <v/>
      </c>
      <c r="F954" s="111" t="n"/>
      <c r="G954" s="111" t="n"/>
      <c r="H954" s="111" t="n"/>
      <c r="I954" s="45" t="n"/>
      <c r="J954" s="28" t="n"/>
      <c r="K954" s="28" t="n"/>
      <c r="L954" s="28" t="n"/>
      <c r="M954" s="59">
        <f>IF(C954="","",IFERROR(INDEX('6. Base de Custos'!$N$8:$N$42,MATCH(C954,'6. Base de Custos'!$L$8:$L$42,0)),"Não classificado"))</f>
        <v/>
      </c>
      <c r="N954" s="59">
        <f>IF(C954="","",IFERROR(INDEX('6. Base de Custos'!$O$8:$O$42,MATCH(C954,'6. Base de Custos'!$L$8:$L$42,0)),"Revisar"))</f>
        <v/>
      </c>
      <c r="O954" s="60">
        <f>IF(M954="","",IFERROR(VLOOKUP(M954,'6. Base de Custos'!$H$12:$J$18,3,FALSE),0))</f>
        <v/>
      </c>
      <c r="P954" s="59">
        <f>IF(C954="","",IFERROR(INDEX('6. Base de Custos'!$P$8:$P$42,MATCH(C954,'6. Base de Custos'!$L$8:$L$42,0)),"Revisar"))</f>
        <v/>
      </c>
      <c r="Q954" s="59">
        <f>IF(C954="","",IFERROR(INDEX('6. Base de Custos'!$Q$8:$Q$42,MATCH(C954,'6. Base de Custos'!$L$8:$L$42,0)),""))</f>
        <v/>
      </c>
      <c r="R954" s="65">
        <f>IF(C954="","",IFERROR(VLOOKUP(M954&amp;"|"&amp;N954,'17. Mapa DRE CP'!$E$5:$H$100,2,FALSE),"Revisar"))</f>
        <v/>
      </c>
      <c r="S954" s="65">
        <f>IF(C954="","",IFERROR(VLOOKUP(M954&amp;"|"&amp;N954,'17. Mapa DRE CP'!$E$5:$H$100,3,FALSE),"Revisar"))</f>
        <v/>
      </c>
      <c r="T954" s="65">
        <f>IF(C954="","",IF(R954="(-) Custos diretos dos serviços",IF(ISNUMBER(SEARCH("PCMSO",C954)),"PCMSO",IF(OR(ISNUMBER(SEARCH("SGS",C954)),ISNUMBER(SEARCH("CASTRO NAVES",C954))),"Projetos / Laudos / Avulsos","Projetos / Laudos / Avulsos")),"Rateio pela receita bruta"))</f>
        <v/>
      </c>
      <c r="U954" s="65">
        <f>IF(C954="","",IF(R954="(-) Custos diretos dos serviços","Direto por fornecedor/natureza do gasto","Rateio proporcional à receita bruta da linha de serviço"))</f>
        <v/>
      </c>
    </row>
    <row r="955">
      <c r="A955" s="28">
        <f>IF(C955="","", "CP-"&amp;TEXT(ROW()-5,"000"))</f>
        <v/>
      </c>
      <c r="B955" s="27">
        <f>IF(F955="","",DATE(YEAR(F955),MONTH(F955),1))</f>
        <v/>
      </c>
      <c r="C955" s="28" t="n"/>
      <c r="D955" s="28" t="n"/>
      <c r="E955" s="59">
        <f>IF(C955="","",IFERROR(INDEX('6. Base de Custos'!$M$8:$M$42,MATCH(C955,'6. Base de Custos'!$L$8:$L$42,0)),"Não classificado"))</f>
        <v/>
      </c>
      <c r="F955" s="111" t="n"/>
      <c r="G955" s="111" t="n"/>
      <c r="H955" s="111" t="n"/>
      <c r="I955" s="45" t="n"/>
      <c r="J955" s="28" t="n"/>
      <c r="K955" s="28" t="n"/>
      <c r="L955" s="28" t="n"/>
      <c r="M955" s="59">
        <f>IF(C955="","",IFERROR(INDEX('6. Base de Custos'!$N$8:$N$42,MATCH(C955,'6. Base de Custos'!$L$8:$L$42,0)),"Não classificado"))</f>
        <v/>
      </c>
      <c r="N955" s="59">
        <f>IF(C955="","",IFERROR(INDEX('6. Base de Custos'!$O$8:$O$42,MATCH(C955,'6. Base de Custos'!$L$8:$L$42,0)),"Revisar"))</f>
        <v/>
      </c>
      <c r="O955" s="60">
        <f>IF(M955="","",IFERROR(VLOOKUP(M955,'6. Base de Custos'!$H$12:$J$18,3,FALSE),0))</f>
        <v/>
      </c>
      <c r="P955" s="59">
        <f>IF(C955="","",IFERROR(INDEX('6. Base de Custos'!$P$8:$P$42,MATCH(C955,'6. Base de Custos'!$L$8:$L$42,0)),"Revisar"))</f>
        <v/>
      </c>
      <c r="Q955" s="59">
        <f>IF(C955="","",IFERROR(INDEX('6. Base de Custos'!$Q$8:$Q$42,MATCH(C955,'6. Base de Custos'!$L$8:$L$42,0)),""))</f>
        <v/>
      </c>
      <c r="R955" s="65">
        <f>IF(C955="","",IFERROR(VLOOKUP(M955&amp;"|"&amp;N955,'17. Mapa DRE CP'!$E$5:$H$100,2,FALSE),"Revisar"))</f>
        <v/>
      </c>
      <c r="S955" s="65">
        <f>IF(C955="","",IFERROR(VLOOKUP(M955&amp;"|"&amp;N955,'17. Mapa DRE CP'!$E$5:$H$100,3,FALSE),"Revisar"))</f>
        <v/>
      </c>
      <c r="T955" s="65">
        <f>IF(C955="","",IF(R955="(-) Custos diretos dos serviços",IF(ISNUMBER(SEARCH("PCMSO",C955)),"PCMSO",IF(OR(ISNUMBER(SEARCH("SGS",C955)),ISNUMBER(SEARCH("CASTRO NAVES",C955))),"Projetos / Laudos / Avulsos","Projetos / Laudos / Avulsos")),"Rateio pela receita bruta"))</f>
        <v/>
      </c>
      <c r="U955" s="65">
        <f>IF(C955="","",IF(R955="(-) Custos diretos dos serviços","Direto por fornecedor/natureza do gasto","Rateio proporcional à receita bruta da linha de serviço"))</f>
        <v/>
      </c>
    </row>
    <row r="956">
      <c r="A956" s="28">
        <f>IF(C956="","", "CP-"&amp;TEXT(ROW()-5,"000"))</f>
        <v/>
      </c>
      <c r="B956" s="27">
        <f>IF(F956="","",DATE(YEAR(F956),MONTH(F956),1))</f>
        <v/>
      </c>
      <c r="C956" s="28" t="n"/>
      <c r="D956" s="28" t="n"/>
      <c r="E956" s="59">
        <f>IF(C956="","",IFERROR(INDEX('6. Base de Custos'!$M$8:$M$42,MATCH(C956,'6. Base de Custos'!$L$8:$L$42,0)),"Não classificado"))</f>
        <v/>
      </c>
      <c r="F956" s="111" t="n"/>
      <c r="G956" s="111" t="n"/>
      <c r="H956" s="111" t="n"/>
      <c r="I956" s="45" t="n"/>
      <c r="J956" s="28" t="n"/>
      <c r="K956" s="28" t="n"/>
      <c r="L956" s="28" t="n"/>
      <c r="M956" s="59">
        <f>IF(C956="","",IFERROR(INDEX('6. Base de Custos'!$N$8:$N$42,MATCH(C956,'6. Base de Custos'!$L$8:$L$42,0)),"Não classificado"))</f>
        <v/>
      </c>
      <c r="N956" s="59">
        <f>IF(C956="","",IFERROR(INDEX('6. Base de Custos'!$O$8:$O$42,MATCH(C956,'6. Base de Custos'!$L$8:$L$42,0)),"Revisar"))</f>
        <v/>
      </c>
      <c r="O956" s="60">
        <f>IF(M956="","",IFERROR(VLOOKUP(M956,'6. Base de Custos'!$H$12:$J$18,3,FALSE),0))</f>
        <v/>
      </c>
      <c r="P956" s="59">
        <f>IF(C956="","",IFERROR(INDEX('6. Base de Custos'!$P$8:$P$42,MATCH(C956,'6. Base de Custos'!$L$8:$L$42,0)),"Revisar"))</f>
        <v/>
      </c>
      <c r="Q956" s="59">
        <f>IF(C956="","",IFERROR(INDEX('6. Base de Custos'!$Q$8:$Q$42,MATCH(C956,'6. Base de Custos'!$L$8:$L$42,0)),""))</f>
        <v/>
      </c>
      <c r="R956" s="65">
        <f>IF(C956="","",IFERROR(VLOOKUP(M956&amp;"|"&amp;N956,'17. Mapa DRE CP'!$E$5:$H$100,2,FALSE),"Revisar"))</f>
        <v/>
      </c>
      <c r="S956" s="65">
        <f>IF(C956="","",IFERROR(VLOOKUP(M956&amp;"|"&amp;N956,'17. Mapa DRE CP'!$E$5:$H$100,3,FALSE),"Revisar"))</f>
        <v/>
      </c>
      <c r="T956" s="65">
        <f>IF(C956="","",IF(R956="(-) Custos diretos dos serviços",IF(ISNUMBER(SEARCH("PCMSO",C956)),"PCMSO",IF(OR(ISNUMBER(SEARCH("SGS",C956)),ISNUMBER(SEARCH("CASTRO NAVES",C956))),"Projetos / Laudos / Avulsos","Projetos / Laudos / Avulsos")),"Rateio pela receita bruta"))</f>
        <v/>
      </c>
      <c r="U956" s="65">
        <f>IF(C956="","",IF(R956="(-) Custos diretos dos serviços","Direto por fornecedor/natureza do gasto","Rateio proporcional à receita bruta da linha de serviço"))</f>
        <v/>
      </c>
    </row>
    <row r="957">
      <c r="A957" s="28">
        <f>IF(C957="","", "CP-"&amp;TEXT(ROW()-5,"000"))</f>
        <v/>
      </c>
      <c r="B957" s="27">
        <f>IF(F957="","",DATE(YEAR(F957),MONTH(F957),1))</f>
        <v/>
      </c>
      <c r="C957" s="28" t="n"/>
      <c r="D957" s="28" t="n"/>
      <c r="E957" s="59">
        <f>IF(C957="","",IFERROR(INDEX('6. Base de Custos'!$M$8:$M$42,MATCH(C957,'6. Base de Custos'!$L$8:$L$42,0)),"Não classificado"))</f>
        <v/>
      </c>
      <c r="F957" s="111" t="n"/>
      <c r="G957" s="111" t="n"/>
      <c r="H957" s="111" t="n"/>
      <c r="I957" s="45" t="n"/>
      <c r="J957" s="28" t="n"/>
      <c r="K957" s="28" t="n"/>
      <c r="L957" s="28" t="n"/>
      <c r="M957" s="59">
        <f>IF(C957="","",IFERROR(INDEX('6. Base de Custos'!$N$8:$N$42,MATCH(C957,'6. Base de Custos'!$L$8:$L$42,0)),"Não classificado"))</f>
        <v/>
      </c>
      <c r="N957" s="59">
        <f>IF(C957="","",IFERROR(INDEX('6. Base de Custos'!$O$8:$O$42,MATCH(C957,'6. Base de Custos'!$L$8:$L$42,0)),"Revisar"))</f>
        <v/>
      </c>
      <c r="O957" s="60">
        <f>IF(M957="","",IFERROR(VLOOKUP(M957,'6. Base de Custos'!$H$12:$J$18,3,FALSE),0))</f>
        <v/>
      </c>
      <c r="P957" s="59">
        <f>IF(C957="","",IFERROR(INDEX('6. Base de Custos'!$P$8:$P$42,MATCH(C957,'6. Base de Custos'!$L$8:$L$42,0)),"Revisar"))</f>
        <v/>
      </c>
      <c r="Q957" s="59">
        <f>IF(C957="","",IFERROR(INDEX('6. Base de Custos'!$Q$8:$Q$42,MATCH(C957,'6. Base de Custos'!$L$8:$L$42,0)),""))</f>
        <v/>
      </c>
      <c r="R957" s="65">
        <f>IF(C957="","",IFERROR(VLOOKUP(M957&amp;"|"&amp;N957,'17. Mapa DRE CP'!$E$5:$H$100,2,FALSE),"Revisar"))</f>
        <v/>
      </c>
      <c r="S957" s="65">
        <f>IF(C957="","",IFERROR(VLOOKUP(M957&amp;"|"&amp;N957,'17. Mapa DRE CP'!$E$5:$H$100,3,FALSE),"Revisar"))</f>
        <v/>
      </c>
      <c r="T957" s="65">
        <f>IF(C957="","",IF(R957="(-) Custos diretos dos serviços",IF(ISNUMBER(SEARCH("PCMSO",C957)),"PCMSO",IF(OR(ISNUMBER(SEARCH("SGS",C957)),ISNUMBER(SEARCH("CASTRO NAVES",C957))),"Projetos / Laudos / Avulsos","Projetos / Laudos / Avulsos")),"Rateio pela receita bruta"))</f>
        <v/>
      </c>
      <c r="U957" s="65">
        <f>IF(C957="","",IF(R957="(-) Custos diretos dos serviços","Direto por fornecedor/natureza do gasto","Rateio proporcional à receita bruta da linha de serviço"))</f>
        <v/>
      </c>
    </row>
    <row r="958">
      <c r="A958" s="28">
        <f>IF(C958="","", "CP-"&amp;TEXT(ROW()-5,"000"))</f>
        <v/>
      </c>
      <c r="B958" s="27">
        <f>IF(F958="","",DATE(YEAR(F958),MONTH(F958),1))</f>
        <v/>
      </c>
      <c r="C958" s="28" t="n"/>
      <c r="D958" s="28" t="n"/>
      <c r="E958" s="59">
        <f>IF(C958="","",IFERROR(INDEX('6. Base de Custos'!$M$8:$M$42,MATCH(C958,'6. Base de Custos'!$L$8:$L$42,0)),"Não classificado"))</f>
        <v/>
      </c>
      <c r="F958" s="111" t="n"/>
      <c r="G958" s="111" t="n"/>
      <c r="H958" s="111" t="n"/>
      <c r="I958" s="45" t="n"/>
      <c r="J958" s="28" t="n"/>
      <c r="K958" s="28" t="n"/>
      <c r="L958" s="28" t="n"/>
      <c r="M958" s="59">
        <f>IF(C958="","",IFERROR(INDEX('6. Base de Custos'!$N$8:$N$42,MATCH(C958,'6. Base de Custos'!$L$8:$L$42,0)),"Não classificado"))</f>
        <v/>
      </c>
      <c r="N958" s="59">
        <f>IF(C958="","",IFERROR(INDEX('6. Base de Custos'!$O$8:$O$42,MATCH(C958,'6. Base de Custos'!$L$8:$L$42,0)),"Revisar"))</f>
        <v/>
      </c>
      <c r="O958" s="60">
        <f>IF(M958="","",IFERROR(VLOOKUP(M958,'6. Base de Custos'!$H$12:$J$18,3,FALSE),0))</f>
        <v/>
      </c>
      <c r="P958" s="59">
        <f>IF(C958="","",IFERROR(INDEX('6. Base de Custos'!$P$8:$P$42,MATCH(C958,'6. Base de Custos'!$L$8:$L$42,0)),"Revisar"))</f>
        <v/>
      </c>
      <c r="Q958" s="59">
        <f>IF(C958="","",IFERROR(INDEX('6. Base de Custos'!$Q$8:$Q$42,MATCH(C958,'6. Base de Custos'!$L$8:$L$42,0)),""))</f>
        <v/>
      </c>
      <c r="R958" s="65">
        <f>IF(C958="","",IFERROR(VLOOKUP(M958&amp;"|"&amp;N958,'17. Mapa DRE CP'!$E$5:$H$100,2,FALSE),"Revisar"))</f>
        <v/>
      </c>
      <c r="S958" s="65">
        <f>IF(C958="","",IFERROR(VLOOKUP(M958&amp;"|"&amp;N958,'17. Mapa DRE CP'!$E$5:$H$100,3,FALSE),"Revisar"))</f>
        <v/>
      </c>
      <c r="T958" s="65">
        <f>IF(C958="","",IF(R958="(-) Custos diretos dos serviços",IF(ISNUMBER(SEARCH("PCMSO",C958)),"PCMSO",IF(OR(ISNUMBER(SEARCH("SGS",C958)),ISNUMBER(SEARCH("CASTRO NAVES",C958))),"Projetos / Laudos / Avulsos","Projetos / Laudos / Avulsos")),"Rateio pela receita bruta"))</f>
        <v/>
      </c>
      <c r="U958" s="65">
        <f>IF(C958="","",IF(R958="(-) Custos diretos dos serviços","Direto por fornecedor/natureza do gasto","Rateio proporcional à receita bruta da linha de serviço"))</f>
        <v/>
      </c>
    </row>
    <row r="959">
      <c r="A959" s="28">
        <f>IF(C959="","", "CP-"&amp;TEXT(ROW()-5,"000"))</f>
        <v/>
      </c>
      <c r="B959" s="27">
        <f>IF(F959="","",DATE(YEAR(F959),MONTH(F959),1))</f>
        <v/>
      </c>
      <c r="C959" s="28" t="n"/>
      <c r="D959" s="28" t="n"/>
      <c r="E959" s="59">
        <f>IF(C959="","",IFERROR(INDEX('6. Base de Custos'!$M$8:$M$42,MATCH(C959,'6. Base de Custos'!$L$8:$L$42,0)),"Não classificado"))</f>
        <v/>
      </c>
      <c r="F959" s="111" t="n"/>
      <c r="G959" s="111" t="n"/>
      <c r="H959" s="111" t="n"/>
      <c r="I959" s="45" t="n"/>
      <c r="J959" s="28" t="n"/>
      <c r="K959" s="28" t="n"/>
      <c r="L959" s="28" t="n"/>
      <c r="M959" s="59">
        <f>IF(C959="","",IFERROR(INDEX('6. Base de Custos'!$N$8:$N$42,MATCH(C959,'6. Base de Custos'!$L$8:$L$42,0)),"Não classificado"))</f>
        <v/>
      </c>
      <c r="N959" s="59">
        <f>IF(C959="","",IFERROR(INDEX('6. Base de Custos'!$O$8:$O$42,MATCH(C959,'6. Base de Custos'!$L$8:$L$42,0)),"Revisar"))</f>
        <v/>
      </c>
      <c r="O959" s="60">
        <f>IF(M959="","",IFERROR(VLOOKUP(M959,'6. Base de Custos'!$H$12:$J$18,3,FALSE),0))</f>
        <v/>
      </c>
      <c r="P959" s="59">
        <f>IF(C959="","",IFERROR(INDEX('6. Base de Custos'!$P$8:$P$42,MATCH(C959,'6. Base de Custos'!$L$8:$L$42,0)),"Revisar"))</f>
        <v/>
      </c>
      <c r="Q959" s="59">
        <f>IF(C959="","",IFERROR(INDEX('6. Base de Custos'!$Q$8:$Q$42,MATCH(C959,'6. Base de Custos'!$L$8:$L$42,0)),""))</f>
        <v/>
      </c>
      <c r="R959" s="65">
        <f>IF(C959="","",IFERROR(VLOOKUP(M959&amp;"|"&amp;N959,'17. Mapa DRE CP'!$E$5:$H$100,2,FALSE),"Revisar"))</f>
        <v/>
      </c>
      <c r="S959" s="65">
        <f>IF(C959="","",IFERROR(VLOOKUP(M959&amp;"|"&amp;N959,'17. Mapa DRE CP'!$E$5:$H$100,3,FALSE),"Revisar"))</f>
        <v/>
      </c>
      <c r="T959" s="65">
        <f>IF(C959="","",IF(R959="(-) Custos diretos dos serviços",IF(ISNUMBER(SEARCH("PCMSO",C959)),"PCMSO",IF(OR(ISNUMBER(SEARCH("SGS",C959)),ISNUMBER(SEARCH("CASTRO NAVES",C959))),"Projetos / Laudos / Avulsos","Projetos / Laudos / Avulsos")),"Rateio pela receita bruta"))</f>
        <v/>
      </c>
      <c r="U959" s="65">
        <f>IF(C959="","",IF(R959="(-) Custos diretos dos serviços","Direto por fornecedor/natureza do gasto","Rateio proporcional à receita bruta da linha de serviço"))</f>
        <v/>
      </c>
    </row>
    <row r="960">
      <c r="A960" s="28">
        <f>IF(C960="","", "CP-"&amp;TEXT(ROW()-5,"000"))</f>
        <v/>
      </c>
      <c r="B960" s="27">
        <f>IF(F960="","",DATE(YEAR(F960),MONTH(F960),1))</f>
        <v/>
      </c>
      <c r="C960" s="28" t="n"/>
      <c r="D960" s="28" t="n"/>
      <c r="E960" s="59">
        <f>IF(C960="","",IFERROR(INDEX('6. Base de Custos'!$M$8:$M$42,MATCH(C960,'6. Base de Custos'!$L$8:$L$42,0)),"Não classificado"))</f>
        <v/>
      </c>
      <c r="F960" s="111" t="n"/>
      <c r="G960" s="111" t="n"/>
      <c r="H960" s="111" t="n"/>
      <c r="I960" s="45" t="n"/>
      <c r="J960" s="28" t="n"/>
      <c r="K960" s="28" t="n"/>
      <c r="L960" s="28" t="n"/>
      <c r="M960" s="59">
        <f>IF(C960="","",IFERROR(INDEX('6. Base de Custos'!$N$8:$N$42,MATCH(C960,'6. Base de Custos'!$L$8:$L$42,0)),"Não classificado"))</f>
        <v/>
      </c>
      <c r="N960" s="59">
        <f>IF(C960="","",IFERROR(INDEX('6. Base de Custos'!$O$8:$O$42,MATCH(C960,'6. Base de Custos'!$L$8:$L$42,0)),"Revisar"))</f>
        <v/>
      </c>
      <c r="O960" s="60">
        <f>IF(M960="","",IFERROR(VLOOKUP(M960,'6. Base de Custos'!$H$12:$J$18,3,FALSE),0))</f>
        <v/>
      </c>
      <c r="P960" s="59">
        <f>IF(C960="","",IFERROR(INDEX('6. Base de Custos'!$P$8:$P$42,MATCH(C960,'6. Base de Custos'!$L$8:$L$42,0)),"Revisar"))</f>
        <v/>
      </c>
      <c r="Q960" s="59">
        <f>IF(C960="","",IFERROR(INDEX('6. Base de Custos'!$Q$8:$Q$42,MATCH(C960,'6. Base de Custos'!$L$8:$L$42,0)),""))</f>
        <v/>
      </c>
      <c r="R960" s="65">
        <f>IF(C960="","",IFERROR(VLOOKUP(M960&amp;"|"&amp;N960,'17. Mapa DRE CP'!$E$5:$H$100,2,FALSE),"Revisar"))</f>
        <v/>
      </c>
      <c r="S960" s="65">
        <f>IF(C960="","",IFERROR(VLOOKUP(M960&amp;"|"&amp;N960,'17. Mapa DRE CP'!$E$5:$H$100,3,FALSE),"Revisar"))</f>
        <v/>
      </c>
      <c r="T960" s="65">
        <f>IF(C960="","",IF(R960="(-) Custos diretos dos serviços",IF(ISNUMBER(SEARCH("PCMSO",C960)),"PCMSO",IF(OR(ISNUMBER(SEARCH("SGS",C960)),ISNUMBER(SEARCH("CASTRO NAVES",C960))),"Projetos / Laudos / Avulsos","Projetos / Laudos / Avulsos")),"Rateio pela receita bruta"))</f>
        <v/>
      </c>
      <c r="U960" s="65">
        <f>IF(C960="","",IF(R960="(-) Custos diretos dos serviços","Direto por fornecedor/natureza do gasto","Rateio proporcional à receita bruta da linha de serviço"))</f>
        <v/>
      </c>
    </row>
    <row r="961">
      <c r="A961" s="28">
        <f>IF(C961="","", "CP-"&amp;TEXT(ROW()-5,"000"))</f>
        <v/>
      </c>
      <c r="B961" s="27">
        <f>IF(F961="","",DATE(YEAR(F961),MONTH(F961),1))</f>
        <v/>
      </c>
      <c r="C961" s="28" t="n"/>
      <c r="D961" s="28" t="n"/>
      <c r="E961" s="59">
        <f>IF(C961="","",IFERROR(INDEX('6. Base de Custos'!$M$8:$M$42,MATCH(C961,'6. Base de Custos'!$L$8:$L$42,0)),"Não classificado"))</f>
        <v/>
      </c>
      <c r="F961" s="111" t="n"/>
      <c r="G961" s="111" t="n"/>
      <c r="H961" s="111" t="n"/>
      <c r="I961" s="45" t="n"/>
      <c r="J961" s="28" t="n"/>
      <c r="K961" s="28" t="n"/>
      <c r="L961" s="28" t="n"/>
      <c r="M961" s="59">
        <f>IF(C961="","",IFERROR(INDEX('6. Base de Custos'!$N$8:$N$42,MATCH(C961,'6. Base de Custos'!$L$8:$L$42,0)),"Não classificado"))</f>
        <v/>
      </c>
      <c r="N961" s="59">
        <f>IF(C961="","",IFERROR(INDEX('6. Base de Custos'!$O$8:$O$42,MATCH(C961,'6. Base de Custos'!$L$8:$L$42,0)),"Revisar"))</f>
        <v/>
      </c>
      <c r="O961" s="60">
        <f>IF(M961="","",IFERROR(VLOOKUP(M961,'6. Base de Custos'!$H$12:$J$18,3,FALSE),0))</f>
        <v/>
      </c>
      <c r="P961" s="59">
        <f>IF(C961="","",IFERROR(INDEX('6. Base de Custos'!$P$8:$P$42,MATCH(C961,'6. Base de Custos'!$L$8:$L$42,0)),"Revisar"))</f>
        <v/>
      </c>
      <c r="Q961" s="59">
        <f>IF(C961="","",IFERROR(INDEX('6. Base de Custos'!$Q$8:$Q$42,MATCH(C961,'6. Base de Custos'!$L$8:$L$42,0)),""))</f>
        <v/>
      </c>
      <c r="R961" s="65">
        <f>IF(C961="","",IFERROR(VLOOKUP(M961&amp;"|"&amp;N961,'17. Mapa DRE CP'!$E$5:$H$100,2,FALSE),"Revisar"))</f>
        <v/>
      </c>
      <c r="S961" s="65">
        <f>IF(C961="","",IFERROR(VLOOKUP(M961&amp;"|"&amp;N961,'17. Mapa DRE CP'!$E$5:$H$100,3,FALSE),"Revisar"))</f>
        <v/>
      </c>
      <c r="T961" s="65">
        <f>IF(C961="","",IF(R961="(-) Custos diretos dos serviços",IF(ISNUMBER(SEARCH("PCMSO",C961)),"PCMSO",IF(OR(ISNUMBER(SEARCH("SGS",C961)),ISNUMBER(SEARCH("CASTRO NAVES",C961))),"Projetos / Laudos / Avulsos","Projetos / Laudos / Avulsos")),"Rateio pela receita bruta"))</f>
        <v/>
      </c>
      <c r="U961" s="65">
        <f>IF(C961="","",IF(R961="(-) Custos diretos dos serviços","Direto por fornecedor/natureza do gasto","Rateio proporcional à receita bruta da linha de serviço"))</f>
        <v/>
      </c>
    </row>
    <row r="962">
      <c r="A962" s="28">
        <f>IF(C962="","", "CP-"&amp;TEXT(ROW()-5,"000"))</f>
        <v/>
      </c>
      <c r="B962" s="27">
        <f>IF(F962="","",DATE(YEAR(F962),MONTH(F962),1))</f>
        <v/>
      </c>
      <c r="C962" s="28" t="n"/>
      <c r="D962" s="28" t="n"/>
      <c r="E962" s="59">
        <f>IF(C962="","",IFERROR(INDEX('6. Base de Custos'!$M$8:$M$42,MATCH(C962,'6. Base de Custos'!$L$8:$L$42,0)),"Não classificado"))</f>
        <v/>
      </c>
      <c r="F962" s="111" t="n"/>
      <c r="G962" s="111" t="n"/>
      <c r="H962" s="111" t="n"/>
      <c r="I962" s="45" t="n"/>
      <c r="J962" s="28" t="n"/>
      <c r="K962" s="28" t="n"/>
      <c r="L962" s="28" t="n"/>
      <c r="M962" s="59">
        <f>IF(C962="","",IFERROR(INDEX('6. Base de Custos'!$N$8:$N$42,MATCH(C962,'6. Base de Custos'!$L$8:$L$42,0)),"Não classificado"))</f>
        <v/>
      </c>
      <c r="N962" s="59">
        <f>IF(C962="","",IFERROR(INDEX('6. Base de Custos'!$O$8:$O$42,MATCH(C962,'6. Base de Custos'!$L$8:$L$42,0)),"Revisar"))</f>
        <v/>
      </c>
      <c r="O962" s="60">
        <f>IF(M962="","",IFERROR(VLOOKUP(M962,'6. Base de Custos'!$H$12:$J$18,3,FALSE),0))</f>
        <v/>
      </c>
      <c r="P962" s="59">
        <f>IF(C962="","",IFERROR(INDEX('6. Base de Custos'!$P$8:$P$42,MATCH(C962,'6. Base de Custos'!$L$8:$L$42,0)),"Revisar"))</f>
        <v/>
      </c>
      <c r="Q962" s="59">
        <f>IF(C962="","",IFERROR(INDEX('6. Base de Custos'!$Q$8:$Q$42,MATCH(C962,'6. Base de Custos'!$L$8:$L$42,0)),""))</f>
        <v/>
      </c>
      <c r="R962" s="65">
        <f>IF(C962="","",IFERROR(VLOOKUP(M962&amp;"|"&amp;N962,'17. Mapa DRE CP'!$E$5:$H$100,2,FALSE),"Revisar"))</f>
        <v/>
      </c>
      <c r="S962" s="65">
        <f>IF(C962="","",IFERROR(VLOOKUP(M962&amp;"|"&amp;N962,'17. Mapa DRE CP'!$E$5:$H$100,3,FALSE),"Revisar"))</f>
        <v/>
      </c>
      <c r="T962" s="65">
        <f>IF(C962="","",IF(R962="(-) Custos diretos dos serviços",IF(ISNUMBER(SEARCH("PCMSO",C962)),"PCMSO",IF(OR(ISNUMBER(SEARCH("SGS",C962)),ISNUMBER(SEARCH("CASTRO NAVES",C962))),"Projetos / Laudos / Avulsos","Projetos / Laudos / Avulsos")),"Rateio pela receita bruta"))</f>
        <v/>
      </c>
      <c r="U962" s="65">
        <f>IF(C962="","",IF(R962="(-) Custos diretos dos serviços","Direto por fornecedor/natureza do gasto","Rateio proporcional à receita bruta da linha de serviço"))</f>
        <v/>
      </c>
    </row>
    <row r="963">
      <c r="A963" s="28">
        <f>IF(C963="","", "CP-"&amp;TEXT(ROW()-5,"000"))</f>
        <v/>
      </c>
      <c r="B963" s="27">
        <f>IF(F963="","",DATE(YEAR(F963),MONTH(F963),1))</f>
        <v/>
      </c>
      <c r="C963" s="28" t="n"/>
      <c r="D963" s="28" t="n"/>
      <c r="E963" s="59">
        <f>IF(C963="","",IFERROR(INDEX('6. Base de Custos'!$M$8:$M$42,MATCH(C963,'6. Base de Custos'!$L$8:$L$42,0)),"Não classificado"))</f>
        <v/>
      </c>
      <c r="F963" s="111" t="n"/>
      <c r="G963" s="111" t="n"/>
      <c r="H963" s="111" t="n"/>
      <c r="I963" s="45" t="n"/>
      <c r="J963" s="28" t="n"/>
      <c r="K963" s="28" t="n"/>
      <c r="L963" s="28" t="n"/>
      <c r="M963" s="59">
        <f>IF(C963="","",IFERROR(INDEX('6. Base de Custos'!$N$8:$N$42,MATCH(C963,'6. Base de Custos'!$L$8:$L$42,0)),"Não classificado"))</f>
        <v/>
      </c>
      <c r="N963" s="59">
        <f>IF(C963="","",IFERROR(INDEX('6. Base de Custos'!$O$8:$O$42,MATCH(C963,'6. Base de Custos'!$L$8:$L$42,0)),"Revisar"))</f>
        <v/>
      </c>
      <c r="O963" s="60">
        <f>IF(M963="","",IFERROR(VLOOKUP(M963,'6. Base de Custos'!$H$12:$J$18,3,FALSE),0))</f>
        <v/>
      </c>
      <c r="P963" s="59">
        <f>IF(C963="","",IFERROR(INDEX('6. Base de Custos'!$P$8:$P$42,MATCH(C963,'6. Base de Custos'!$L$8:$L$42,0)),"Revisar"))</f>
        <v/>
      </c>
      <c r="Q963" s="59">
        <f>IF(C963="","",IFERROR(INDEX('6. Base de Custos'!$Q$8:$Q$42,MATCH(C963,'6. Base de Custos'!$L$8:$L$42,0)),""))</f>
        <v/>
      </c>
      <c r="R963" s="65">
        <f>IF(C963="","",IFERROR(VLOOKUP(M963&amp;"|"&amp;N963,'17. Mapa DRE CP'!$E$5:$H$100,2,FALSE),"Revisar"))</f>
        <v/>
      </c>
      <c r="S963" s="65">
        <f>IF(C963="","",IFERROR(VLOOKUP(M963&amp;"|"&amp;N963,'17. Mapa DRE CP'!$E$5:$H$100,3,FALSE),"Revisar"))</f>
        <v/>
      </c>
      <c r="T963" s="65">
        <f>IF(C963="","",IF(R963="(-) Custos diretos dos serviços",IF(ISNUMBER(SEARCH("PCMSO",C963)),"PCMSO",IF(OR(ISNUMBER(SEARCH("SGS",C963)),ISNUMBER(SEARCH("CASTRO NAVES",C963))),"Projetos / Laudos / Avulsos","Projetos / Laudos / Avulsos")),"Rateio pela receita bruta"))</f>
        <v/>
      </c>
      <c r="U963" s="65">
        <f>IF(C963="","",IF(R963="(-) Custos diretos dos serviços","Direto por fornecedor/natureza do gasto","Rateio proporcional à receita bruta da linha de serviço"))</f>
        <v/>
      </c>
    </row>
    <row r="964">
      <c r="A964" s="28">
        <f>IF(C964="","", "CP-"&amp;TEXT(ROW()-5,"000"))</f>
        <v/>
      </c>
      <c r="B964" s="27">
        <f>IF(F964="","",DATE(YEAR(F964),MONTH(F964),1))</f>
        <v/>
      </c>
      <c r="C964" s="28" t="n"/>
      <c r="D964" s="28" t="n"/>
      <c r="E964" s="59">
        <f>IF(C964="","",IFERROR(INDEX('6. Base de Custos'!$M$8:$M$42,MATCH(C964,'6. Base de Custos'!$L$8:$L$42,0)),"Não classificado"))</f>
        <v/>
      </c>
      <c r="F964" s="111" t="n"/>
      <c r="G964" s="111" t="n"/>
      <c r="H964" s="111" t="n"/>
      <c r="I964" s="45" t="n"/>
      <c r="J964" s="28" t="n"/>
      <c r="K964" s="28" t="n"/>
      <c r="L964" s="28" t="n"/>
      <c r="M964" s="59">
        <f>IF(C964="","",IFERROR(INDEX('6. Base de Custos'!$N$8:$N$42,MATCH(C964,'6. Base de Custos'!$L$8:$L$42,0)),"Não classificado"))</f>
        <v/>
      </c>
      <c r="N964" s="59">
        <f>IF(C964="","",IFERROR(INDEX('6. Base de Custos'!$O$8:$O$42,MATCH(C964,'6. Base de Custos'!$L$8:$L$42,0)),"Revisar"))</f>
        <v/>
      </c>
      <c r="O964" s="60">
        <f>IF(M964="","",IFERROR(VLOOKUP(M964,'6. Base de Custos'!$H$12:$J$18,3,FALSE),0))</f>
        <v/>
      </c>
      <c r="P964" s="59">
        <f>IF(C964="","",IFERROR(INDEX('6. Base de Custos'!$P$8:$P$42,MATCH(C964,'6. Base de Custos'!$L$8:$L$42,0)),"Revisar"))</f>
        <v/>
      </c>
      <c r="Q964" s="59">
        <f>IF(C964="","",IFERROR(INDEX('6. Base de Custos'!$Q$8:$Q$42,MATCH(C964,'6. Base de Custos'!$L$8:$L$42,0)),""))</f>
        <v/>
      </c>
      <c r="R964" s="65">
        <f>IF(C964="","",IFERROR(VLOOKUP(M964&amp;"|"&amp;N964,'17. Mapa DRE CP'!$E$5:$H$100,2,FALSE),"Revisar"))</f>
        <v/>
      </c>
      <c r="S964" s="65">
        <f>IF(C964="","",IFERROR(VLOOKUP(M964&amp;"|"&amp;N964,'17. Mapa DRE CP'!$E$5:$H$100,3,FALSE),"Revisar"))</f>
        <v/>
      </c>
      <c r="T964" s="65">
        <f>IF(C964="","",IF(R964="(-) Custos diretos dos serviços",IF(ISNUMBER(SEARCH("PCMSO",C964)),"PCMSO",IF(OR(ISNUMBER(SEARCH("SGS",C964)),ISNUMBER(SEARCH("CASTRO NAVES",C964))),"Projetos / Laudos / Avulsos","Projetos / Laudos / Avulsos")),"Rateio pela receita bruta"))</f>
        <v/>
      </c>
      <c r="U964" s="65">
        <f>IF(C964="","",IF(R964="(-) Custos diretos dos serviços","Direto por fornecedor/natureza do gasto","Rateio proporcional à receita bruta da linha de serviço"))</f>
        <v/>
      </c>
    </row>
    <row r="965">
      <c r="A965" s="28">
        <f>IF(C965="","", "CP-"&amp;TEXT(ROW()-5,"000"))</f>
        <v/>
      </c>
      <c r="B965" s="27">
        <f>IF(F965="","",DATE(YEAR(F965),MONTH(F965),1))</f>
        <v/>
      </c>
      <c r="C965" s="28" t="n"/>
      <c r="D965" s="28" t="n"/>
      <c r="E965" s="59">
        <f>IF(C965="","",IFERROR(INDEX('6. Base de Custos'!$M$8:$M$42,MATCH(C965,'6. Base de Custos'!$L$8:$L$42,0)),"Não classificado"))</f>
        <v/>
      </c>
      <c r="F965" s="111" t="n"/>
      <c r="G965" s="111" t="n"/>
      <c r="H965" s="111" t="n"/>
      <c r="I965" s="45" t="n"/>
      <c r="J965" s="28" t="n"/>
      <c r="K965" s="28" t="n"/>
      <c r="L965" s="28" t="n"/>
      <c r="M965" s="59">
        <f>IF(C965="","",IFERROR(INDEX('6. Base de Custos'!$N$8:$N$42,MATCH(C965,'6. Base de Custos'!$L$8:$L$42,0)),"Não classificado"))</f>
        <v/>
      </c>
      <c r="N965" s="59">
        <f>IF(C965="","",IFERROR(INDEX('6. Base de Custos'!$O$8:$O$42,MATCH(C965,'6. Base de Custos'!$L$8:$L$42,0)),"Revisar"))</f>
        <v/>
      </c>
      <c r="O965" s="60">
        <f>IF(M965="","",IFERROR(VLOOKUP(M965,'6. Base de Custos'!$H$12:$J$18,3,FALSE),0))</f>
        <v/>
      </c>
      <c r="P965" s="59">
        <f>IF(C965="","",IFERROR(INDEX('6. Base de Custos'!$P$8:$P$42,MATCH(C965,'6. Base de Custos'!$L$8:$L$42,0)),"Revisar"))</f>
        <v/>
      </c>
      <c r="Q965" s="59">
        <f>IF(C965="","",IFERROR(INDEX('6. Base de Custos'!$Q$8:$Q$42,MATCH(C965,'6. Base de Custos'!$L$8:$L$42,0)),""))</f>
        <v/>
      </c>
      <c r="R965" s="65">
        <f>IF(C965="","",IFERROR(VLOOKUP(M965&amp;"|"&amp;N965,'17. Mapa DRE CP'!$E$5:$H$100,2,FALSE),"Revisar"))</f>
        <v/>
      </c>
      <c r="S965" s="65">
        <f>IF(C965="","",IFERROR(VLOOKUP(M965&amp;"|"&amp;N965,'17. Mapa DRE CP'!$E$5:$H$100,3,FALSE),"Revisar"))</f>
        <v/>
      </c>
      <c r="T965" s="65">
        <f>IF(C965="","",IF(R965="(-) Custos diretos dos serviços",IF(ISNUMBER(SEARCH("PCMSO",C965)),"PCMSO",IF(OR(ISNUMBER(SEARCH("SGS",C965)),ISNUMBER(SEARCH("CASTRO NAVES",C965))),"Projetos / Laudos / Avulsos","Projetos / Laudos / Avulsos")),"Rateio pela receita bruta"))</f>
        <v/>
      </c>
      <c r="U965" s="65">
        <f>IF(C965="","",IF(R965="(-) Custos diretos dos serviços","Direto por fornecedor/natureza do gasto","Rateio proporcional à receita bruta da linha de serviço"))</f>
        <v/>
      </c>
    </row>
    <row r="966">
      <c r="A966" s="28">
        <f>IF(C966="","", "CP-"&amp;TEXT(ROW()-5,"000"))</f>
        <v/>
      </c>
      <c r="B966" s="27">
        <f>IF(F966="","",DATE(YEAR(F966),MONTH(F966),1))</f>
        <v/>
      </c>
      <c r="C966" s="28" t="n"/>
      <c r="D966" s="28" t="n"/>
      <c r="E966" s="59">
        <f>IF(C966="","",IFERROR(INDEX('6. Base de Custos'!$M$8:$M$42,MATCH(C966,'6. Base de Custos'!$L$8:$L$42,0)),"Não classificado"))</f>
        <v/>
      </c>
      <c r="F966" s="111" t="n"/>
      <c r="G966" s="111" t="n"/>
      <c r="H966" s="111" t="n"/>
      <c r="I966" s="45" t="n"/>
      <c r="J966" s="28" t="n"/>
      <c r="K966" s="28" t="n"/>
      <c r="L966" s="28" t="n"/>
      <c r="M966" s="59">
        <f>IF(C966="","",IFERROR(INDEX('6. Base de Custos'!$N$8:$N$42,MATCH(C966,'6. Base de Custos'!$L$8:$L$42,0)),"Não classificado"))</f>
        <v/>
      </c>
      <c r="N966" s="59">
        <f>IF(C966="","",IFERROR(INDEX('6. Base de Custos'!$O$8:$O$42,MATCH(C966,'6. Base de Custos'!$L$8:$L$42,0)),"Revisar"))</f>
        <v/>
      </c>
      <c r="O966" s="60">
        <f>IF(M966="","",IFERROR(VLOOKUP(M966,'6. Base de Custos'!$H$12:$J$18,3,FALSE),0))</f>
        <v/>
      </c>
      <c r="P966" s="59">
        <f>IF(C966="","",IFERROR(INDEX('6. Base de Custos'!$P$8:$P$42,MATCH(C966,'6. Base de Custos'!$L$8:$L$42,0)),"Revisar"))</f>
        <v/>
      </c>
      <c r="Q966" s="59">
        <f>IF(C966="","",IFERROR(INDEX('6. Base de Custos'!$Q$8:$Q$42,MATCH(C966,'6. Base de Custos'!$L$8:$L$42,0)),""))</f>
        <v/>
      </c>
      <c r="R966" s="65">
        <f>IF(C966="","",IFERROR(VLOOKUP(M966&amp;"|"&amp;N966,'17. Mapa DRE CP'!$E$5:$H$100,2,FALSE),"Revisar"))</f>
        <v/>
      </c>
      <c r="S966" s="65">
        <f>IF(C966="","",IFERROR(VLOOKUP(M966&amp;"|"&amp;N966,'17. Mapa DRE CP'!$E$5:$H$100,3,FALSE),"Revisar"))</f>
        <v/>
      </c>
      <c r="T966" s="65">
        <f>IF(C966="","",IF(R966="(-) Custos diretos dos serviços",IF(ISNUMBER(SEARCH("PCMSO",C966)),"PCMSO",IF(OR(ISNUMBER(SEARCH("SGS",C966)),ISNUMBER(SEARCH("CASTRO NAVES",C966))),"Projetos / Laudos / Avulsos","Projetos / Laudos / Avulsos")),"Rateio pela receita bruta"))</f>
        <v/>
      </c>
      <c r="U966" s="65">
        <f>IF(C966="","",IF(R966="(-) Custos diretos dos serviços","Direto por fornecedor/natureza do gasto","Rateio proporcional à receita bruta da linha de serviço"))</f>
        <v/>
      </c>
    </row>
    <row r="967">
      <c r="A967" s="28">
        <f>IF(C967="","", "CP-"&amp;TEXT(ROW()-5,"000"))</f>
        <v/>
      </c>
      <c r="B967" s="27">
        <f>IF(F967="","",DATE(YEAR(F967),MONTH(F967),1))</f>
        <v/>
      </c>
      <c r="C967" s="28" t="n"/>
      <c r="D967" s="28" t="n"/>
      <c r="E967" s="59">
        <f>IF(C967="","",IFERROR(INDEX('6. Base de Custos'!$M$8:$M$42,MATCH(C967,'6. Base de Custos'!$L$8:$L$42,0)),"Não classificado"))</f>
        <v/>
      </c>
      <c r="F967" s="111" t="n"/>
      <c r="G967" s="111" t="n"/>
      <c r="H967" s="111" t="n"/>
      <c r="I967" s="45" t="n"/>
      <c r="J967" s="28" t="n"/>
      <c r="K967" s="28" t="n"/>
      <c r="L967" s="28" t="n"/>
      <c r="M967" s="59">
        <f>IF(C967="","",IFERROR(INDEX('6. Base de Custos'!$N$8:$N$42,MATCH(C967,'6. Base de Custos'!$L$8:$L$42,0)),"Não classificado"))</f>
        <v/>
      </c>
      <c r="N967" s="59">
        <f>IF(C967="","",IFERROR(INDEX('6. Base de Custos'!$O$8:$O$42,MATCH(C967,'6. Base de Custos'!$L$8:$L$42,0)),"Revisar"))</f>
        <v/>
      </c>
      <c r="O967" s="60">
        <f>IF(M967="","",IFERROR(VLOOKUP(M967,'6. Base de Custos'!$H$12:$J$18,3,FALSE),0))</f>
        <v/>
      </c>
      <c r="P967" s="59">
        <f>IF(C967="","",IFERROR(INDEX('6. Base de Custos'!$P$8:$P$42,MATCH(C967,'6. Base de Custos'!$L$8:$L$42,0)),"Revisar"))</f>
        <v/>
      </c>
      <c r="Q967" s="59">
        <f>IF(C967="","",IFERROR(INDEX('6. Base de Custos'!$Q$8:$Q$42,MATCH(C967,'6. Base de Custos'!$L$8:$L$42,0)),""))</f>
        <v/>
      </c>
      <c r="R967" s="65">
        <f>IF(C967="","",IFERROR(VLOOKUP(M967&amp;"|"&amp;N967,'17. Mapa DRE CP'!$E$5:$H$100,2,FALSE),"Revisar"))</f>
        <v/>
      </c>
      <c r="S967" s="65">
        <f>IF(C967="","",IFERROR(VLOOKUP(M967&amp;"|"&amp;N967,'17. Mapa DRE CP'!$E$5:$H$100,3,FALSE),"Revisar"))</f>
        <v/>
      </c>
      <c r="T967" s="65">
        <f>IF(C967="","",IF(R967="(-) Custos diretos dos serviços",IF(ISNUMBER(SEARCH("PCMSO",C967)),"PCMSO",IF(OR(ISNUMBER(SEARCH("SGS",C967)),ISNUMBER(SEARCH("CASTRO NAVES",C967))),"Projetos / Laudos / Avulsos","Projetos / Laudos / Avulsos")),"Rateio pela receita bruta"))</f>
        <v/>
      </c>
      <c r="U967" s="65">
        <f>IF(C967="","",IF(R967="(-) Custos diretos dos serviços","Direto por fornecedor/natureza do gasto","Rateio proporcional à receita bruta da linha de serviço"))</f>
        <v/>
      </c>
    </row>
    <row r="968">
      <c r="A968" s="28">
        <f>IF(C968="","", "CP-"&amp;TEXT(ROW()-5,"000"))</f>
        <v/>
      </c>
      <c r="B968" s="27">
        <f>IF(F968="","",DATE(YEAR(F968),MONTH(F968),1))</f>
        <v/>
      </c>
      <c r="C968" s="28" t="n"/>
      <c r="D968" s="28" t="n"/>
      <c r="E968" s="59">
        <f>IF(C968="","",IFERROR(INDEX('6. Base de Custos'!$M$8:$M$42,MATCH(C968,'6. Base de Custos'!$L$8:$L$42,0)),"Não classificado"))</f>
        <v/>
      </c>
      <c r="F968" s="111" t="n"/>
      <c r="G968" s="111" t="n"/>
      <c r="H968" s="111" t="n"/>
      <c r="I968" s="45" t="n"/>
      <c r="J968" s="28" t="n"/>
      <c r="K968" s="28" t="n"/>
      <c r="L968" s="28" t="n"/>
      <c r="M968" s="59">
        <f>IF(C968="","",IFERROR(INDEX('6. Base de Custos'!$N$8:$N$42,MATCH(C968,'6. Base de Custos'!$L$8:$L$42,0)),"Não classificado"))</f>
        <v/>
      </c>
      <c r="N968" s="59">
        <f>IF(C968="","",IFERROR(INDEX('6. Base de Custos'!$O$8:$O$42,MATCH(C968,'6. Base de Custos'!$L$8:$L$42,0)),"Revisar"))</f>
        <v/>
      </c>
      <c r="O968" s="60">
        <f>IF(M968="","",IFERROR(VLOOKUP(M968,'6. Base de Custos'!$H$12:$J$18,3,FALSE),0))</f>
        <v/>
      </c>
      <c r="P968" s="59">
        <f>IF(C968="","",IFERROR(INDEX('6. Base de Custos'!$P$8:$P$42,MATCH(C968,'6. Base de Custos'!$L$8:$L$42,0)),"Revisar"))</f>
        <v/>
      </c>
      <c r="Q968" s="59">
        <f>IF(C968="","",IFERROR(INDEX('6. Base de Custos'!$Q$8:$Q$42,MATCH(C968,'6. Base de Custos'!$L$8:$L$42,0)),""))</f>
        <v/>
      </c>
      <c r="R968" s="65">
        <f>IF(C968="","",IFERROR(VLOOKUP(M968&amp;"|"&amp;N968,'17. Mapa DRE CP'!$E$5:$H$100,2,FALSE),"Revisar"))</f>
        <v/>
      </c>
      <c r="S968" s="65">
        <f>IF(C968="","",IFERROR(VLOOKUP(M968&amp;"|"&amp;N968,'17. Mapa DRE CP'!$E$5:$H$100,3,FALSE),"Revisar"))</f>
        <v/>
      </c>
      <c r="T968" s="65">
        <f>IF(C968="","",IF(R968="(-) Custos diretos dos serviços",IF(ISNUMBER(SEARCH("PCMSO",C968)),"PCMSO",IF(OR(ISNUMBER(SEARCH("SGS",C968)),ISNUMBER(SEARCH("CASTRO NAVES",C968))),"Projetos / Laudos / Avulsos","Projetos / Laudos / Avulsos")),"Rateio pela receita bruta"))</f>
        <v/>
      </c>
      <c r="U968" s="65">
        <f>IF(C968="","",IF(R968="(-) Custos diretos dos serviços","Direto por fornecedor/natureza do gasto","Rateio proporcional à receita bruta da linha de serviço"))</f>
        <v/>
      </c>
    </row>
    <row r="969">
      <c r="A969" s="28">
        <f>IF(C969="","", "CP-"&amp;TEXT(ROW()-5,"000"))</f>
        <v/>
      </c>
      <c r="B969" s="27">
        <f>IF(F969="","",DATE(YEAR(F969),MONTH(F969),1))</f>
        <v/>
      </c>
      <c r="C969" s="28" t="n"/>
      <c r="D969" s="28" t="n"/>
      <c r="E969" s="59">
        <f>IF(C969="","",IFERROR(INDEX('6. Base de Custos'!$M$8:$M$42,MATCH(C969,'6. Base de Custos'!$L$8:$L$42,0)),"Não classificado"))</f>
        <v/>
      </c>
      <c r="F969" s="111" t="n"/>
      <c r="G969" s="111" t="n"/>
      <c r="H969" s="111" t="n"/>
      <c r="I969" s="45" t="n"/>
      <c r="J969" s="28" t="n"/>
      <c r="K969" s="28" t="n"/>
      <c r="L969" s="28" t="n"/>
      <c r="M969" s="59">
        <f>IF(C969="","",IFERROR(INDEX('6. Base de Custos'!$N$8:$N$42,MATCH(C969,'6. Base de Custos'!$L$8:$L$42,0)),"Não classificado"))</f>
        <v/>
      </c>
      <c r="N969" s="59">
        <f>IF(C969="","",IFERROR(INDEX('6. Base de Custos'!$O$8:$O$42,MATCH(C969,'6. Base de Custos'!$L$8:$L$42,0)),"Revisar"))</f>
        <v/>
      </c>
      <c r="O969" s="60">
        <f>IF(M969="","",IFERROR(VLOOKUP(M969,'6. Base de Custos'!$H$12:$J$18,3,FALSE),0))</f>
        <v/>
      </c>
      <c r="P969" s="59">
        <f>IF(C969="","",IFERROR(INDEX('6. Base de Custos'!$P$8:$P$42,MATCH(C969,'6. Base de Custos'!$L$8:$L$42,0)),"Revisar"))</f>
        <v/>
      </c>
      <c r="Q969" s="59">
        <f>IF(C969="","",IFERROR(INDEX('6. Base de Custos'!$Q$8:$Q$42,MATCH(C969,'6. Base de Custos'!$L$8:$L$42,0)),""))</f>
        <v/>
      </c>
      <c r="R969" s="65">
        <f>IF(C969="","",IFERROR(VLOOKUP(M969&amp;"|"&amp;N969,'17. Mapa DRE CP'!$E$5:$H$100,2,FALSE),"Revisar"))</f>
        <v/>
      </c>
      <c r="S969" s="65">
        <f>IF(C969="","",IFERROR(VLOOKUP(M969&amp;"|"&amp;N969,'17. Mapa DRE CP'!$E$5:$H$100,3,FALSE),"Revisar"))</f>
        <v/>
      </c>
      <c r="T969" s="65">
        <f>IF(C969="","",IF(R969="(-) Custos diretos dos serviços",IF(ISNUMBER(SEARCH("PCMSO",C969)),"PCMSO",IF(OR(ISNUMBER(SEARCH("SGS",C969)),ISNUMBER(SEARCH("CASTRO NAVES",C969))),"Projetos / Laudos / Avulsos","Projetos / Laudos / Avulsos")),"Rateio pela receita bruta"))</f>
        <v/>
      </c>
      <c r="U969" s="65">
        <f>IF(C969="","",IF(R969="(-) Custos diretos dos serviços","Direto por fornecedor/natureza do gasto","Rateio proporcional à receita bruta da linha de serviço"))</f>
        <v/>
      </c>
    </row>
    <row r="970">
      <c r="A970" s="28">
        <f>IF(C970="","", "CP-"&amp;TEXT(ROW()-5,"000"))</f>
        <v/>
      </c>
      <c r="B970" s="27">
        <f>IF(F970="","",DATE(YEAR(F970),MONTH(F970),1))</f>
        <v/>
      </c>
      <c r="C970" s="28" t="n"/>
      <c r="D970" s="28" t="n"/>
      <c r="E970" s="59">
        <f>IF(C970="","",IFERROR(INDEX('6. Base de Custos'!$M$8:$M$42,MATCH(C970,'6. Base de Custos'!$L$8:$L$42,0)),"Não classificado"))</f>
        <v/>
      </c>
      <c r="F970" s="111" t="n"/>
      <c r="G970" s="111" t="n"/>
      <c r="H970" s="111" t="n"/>
      <c r="I970" s="45" t="n"/>
      <c r="J970" s="28" t="n"/>
      <c r="K970" s="28" t="n"/>
      <c r="L970" s="28" t="n"/>
      <c r="M970" s="59">
        <f>IF(C970="","",IFERROR(INDEX('6. Base de Custos'!$N$8:$N$42,MATCH(C970,'6. Base de Custos'!$L$8:$L$42,0)),"Não classificado"))</f>
        <v/>
      </c>
      <c r="N970" s="59">
        <f>IF(C970="","",IFERROR(INDEX('6. Base de Custos'!$O$8:$O$42,MATCH(C970,'6. Base de Custos'!$L$8:$L$42,0)),"Revisar"))</f>
        <v/>
      </c>
      <c r="O970" s="60">
        <f>IF(M970="","",IFERROR(VLOOKUP(M970,'6. Base de Custos'!$H$12:$J$18,3,FALSE),0))</f>
        <v/>
      </c>
      <c r="P970" s="59">
        <f>IF(C970="","",IFERROR(INDEX('6. Base de Custos'!$P$8:$P$42,MATCH(C970,'6. Base de Custos'!$L$8:$L$42,0)),"Revisar"))</f>
        <v/>
      </c>
      <c r="Q970" s="59">
        <f>IF(C970="","",IFERROR(INDEX('6. Base de Custos'!$Q$8:$Q$42,MATCH(C970,'6. Base de Custos'!$L$8:$L$42,0)),""))</f>
        <v/>
      </c>
      <c r="R970" s="65">
        <f>IF(C970="","",IFERROR(VLOOKUP(M970&amp;"|"&amp;N970,'17. Mapa DRE CP'!$E$5:$H$100,2,FALSE),"Revisar"))</f>
        <v/>
      </c>
      <c r="S970" s="65">
        <f>IF(C970="","",IFERROR(VLOOKUP(M970&amp;"|"&amp;N970,'17. Mapa DRE CP'!$E$5:$H$100,3,FALSE),"Revisar"))</f>
        <v/>
      </c>
      <c r="T970" s="65">
        <f>IF(C970="","",IF(R970="(-) Custos diretos dos serviços",IF(ISNUMBER(SEARCH("PCMSO",C970)),"PCMSO",IF(OR(ISNUMBER(SEARCH("SGS",C970)),ISNUMBER(SEARCH("CASTRO NAVES",C970))),"Projetos / Laudos / Avulsos","Projetos / Laudos / Avulsos")),"Rateio pela receita bruta"))</f>
        <v/>
      </c>
      <c r="U970" s="65">
        <f>IF(C970="","",IF(R970="(-) Custos diretos dos serviços","Direto por fornecedor/natureza do gasto","Rateio proporcional à receita bruta da linha de serviço"))</f>
        <v/>
      </c>
    </row>
    <row r="971">
      <c r="A971" s="28">
        <f>IF(C971="","", "CP-"&amp;TEXT(ROW()-5,"000"))</f>
        <v/>
      </c>
      <c r="B971" s="27">
        <f>IF(F971="","",DATE(YEAR(F971),MONTH(F971),1))</f>
        <v/>
      </c>
      <c r="C971" s="28" t="n"/>
      <c r="D971" s="28" t="n"/>
      <c r="E971" s="59">
        <f>IF(C971="","",IFERROR(INDEX('6. Base de Custos'!$M$8:$M$42,MATCH(C971,'6. Base de Custos'!$L$8:$L$42,0)),"Não classificado"))</f>
        <v/>
      </c>
      <c r="F971" s="111" t="n"/>
      <c r="G971" s="111" t="n"/>
      <c r="H971" s="111" t="n"/>
      <c r="I971" s="45" t="n"/>
      <c r="J971" s="28" t="n"/>
      <c r="K971" s="28" t="n"/>
      <c r="L971" s="28" t="n"/>
      <c r="M971" s="59">
        <f>IF(C971="","",IFERROR(INDEX('6. Base de Custos'!$N$8:$N$42,MATCH(C971,'6. Base de Custos'!$L$8:$L$42,0)),"Não classificado"))</f>
        <v/>
      </c>
      <c r="N971" s="59">
        <f>IF(C971="","",IFERROR(INDEX('6. Base de Custos'!$O$8:$O$42,MATCH(C971,'6. Base de Custos'!$L$8:$L$42,0)),"Revisar"))</f>
        <v/>
      </c>
      <c r="O971" s="60">
        <f>IF(M971="","",IFERROR(VLOOKUP(M971,'6. Base de Custos'!$H$12:$J$18,3,FALSE),0))</f>
        <v/>
      </c>
      <c r="P971" s="59">
        <f>IF(C971="","",IFERROR(INDEX('6. Base de Custos'!$P$8:$P$42,MATCH(C971,'6. Base de Custos'!$L$8:$L$42,0)),"Revisar"))</f>
        <v/>
      </c>
      <c r="Q971" s="59">
        <f>IF(C971="","",IFERROR(INDEX('6. Base de Custos'!$Q$8:$Q$42,MATCH(C971,'6. Base de Custos'!$L$8:$L$42,0)),""))</f>
        <v/>
      </c>
      <c r="R971" s="65">
        <f>IF(C971="","",IFERROR(VLOOKUP(M971&amp;"|"&amp;N971,'17. Mapa DRE CP'!$E$5:$H$100,2,FALSE),"Revisar"))</f>
        <v/>
      </c>
      <c r="S971" s="65">
        <f>IF(C971="","",IFERROR(VLOOKUP(M971&amp;"|"&amp;N971,'17. Mapa DRE CP'!$E$5:$H$100,3,FALSE),"Revisar"))</f>
        <v/>
      </c>
      <c r="T971" s="65">
        <f>IF(C971="","",IF(R971="(-) Custos diretos dos serviços",IF(ISNUMBER(SEARCH("PCMSO",C971)),"PCMSO",IF(OR(ISNUMBER(SEARCH("SGS",C971)),ISNUMBER(SEARCH("CASTRO NAVES",C971))),"Projetos / Laudos / Avulsos","Projetos / Laudos / Avulsos")),"Rateio pela receita bruta"))</f>
        <v/>
      </c>
      <c r="U971" s="65">
        <f>IF(C971="","",IF(R971="(-) Custos diretos dos serviços","Direto por fornecedor/natureza do gasto","Rateio proporcional à receita bruta da linha de serviço"))</f>
        <v/>
      </c>
    </row>
    <row r="972">
      <c r="A972" s="28">
        <f>IF(C972="","", "CP-"&amp;TEXT(ROW()-5,"000"))</f>
        <v/>
      </c>
      <c r="B972" s="27">
        <f>IF(F972="","",DATE(YEAR(F972),MONTH(F972),1))</f>
        <v/>
      </c>
      <c r="C972" s="28" t="n"/>
      <c r="D972" s="28" t="n"/>
      <c r="E972" s="59">
        <f>IF(C972="","",IFERROR(INDEX('6. Base de Custos'!$M$8:$M$42,MATCH(C972,'6. Base de Custos'!$L$8:$L$42,0)),"Não classificado"))</f>
        <v/>
      </c>
      <c r="F972" s="111" t="n"/>
      <c r="G972" s="111" t="n"/>
      <c r="H972" s="111" t="n"/>
      <c r="I972" s="45" t="n"/>
      <c r="J972" s="28" t="n"/>
      <c r="K972" s="28" t="n"/>
      <c r="L972" s="28" t="n"/>
      <c r="M972" s="59">
        <f>IF(C972="","",IFERROR(INDEX('6. Base de Custos'!$N$8:$N$42,MATCH(C972,'6. Base de Custos'!$L$8:$L$42,0)),"Não classificado"))</f>
        <v/>
      </c>
      <c r="N972" s="59">
        <f>IF(C972="","",IFERROR(INDEX('6. Base de Custos'!$O$8:$O$42,MATCH(C972,'6. Base de Custos'!$L$8:$L$42,0)),"Revisar"))</f>
        <v/>
      </c>
      <c r="O972" s="60">
        <f>IF(M972="","",IFERROR(VLOOKUP(M972,'6. Base de Custos'!$H$12:$J$18,3,FALSE),0))</f>
        <v/>
      </c>
      <c r="P972" s="59">
        <f>IF(C972="","",IFERROR(INDEX('6. Base de Custos'!$P$8:$P$42,MATCH(C972,'6. Base de Custos'!$L$8:$L$42,0)),"Revisar"))</f>
        <v/>
      </c>
      <c r="Q972" s="59">
        <f>IF(C972="","",IFERROR(INDEX('6. Base de Custos'!$Q$8:$Q$42,MATCH(C972,'6. Base de Custos'!$L$8:$L$42,0)),""))</f>
        <v/>
      </c>
      <c r="R972" s="65">
        <f>IF(C972="","",IFERROR(VLOOKUP(M972&amp;"|"&amp;N972,'17. Mapa DRE CP'!$E$5:$H$100,2,FALSE),"Revisar"))</f>
        <v/>
      </c>
      <c r="S972" s="65">
        <f>IF(C972="","",IFERROR(VLOOKUP(M972&amp;"|"&amp;N972,'17. Mapa DRE CP'!$E$5:$H$100,3,FALSE),"Revisar"))</f>
        <v/>
      </c>
      <c r="T972" s="65">
        <f>IF(C972="","",IF(R972="(-) Custos diretos dos serviços",IF(ISNUMBER(SEARCH("PCMSO",C972)),"PCMSO",IF(OR(ISNUMBER(SEARCH("SGS",C972)),ISNUMBER(SEARCH("CASTRO NAVES",C972))),"Projetos / Laudos / Avulsos","Projetos / Laudos / Avulsos")),"Rateio pela receita bruta"))</f>
        <v/>
      </c>
      <c r="U972" s="65">
        <f>IF(C972="","",IF(R972="(-) Custos diretos dos serviços","Direto por fornecedor/natureza do gasto","Rateio proporcional à receita bruta da linha de serviço"))</f>
        <v/>
      </c>
    </row>
    <row r="973">
      <c r="A973" s="28">
        <f>IF(C973="","", "CP-"&amp;TEXT(ROW()-5,"000"))</f>
        <v/>
      </c>
      <c r="B973" s="27">
        <f>IF(F973="","",DATE(YEAR(F973),MONTH(F973),1))</f>
        <v/>
      </c>
      <c r="C973" s="28" t="n"/>
      <c r="D973" s="28" t="n"/>
      <c r="E973" s="59">
        <f>IF(C973="","",IFERROR(INDEX('6. Base de Custos'!$M$8:$M$42,MATCH(C973,'6. Base de Custos'!$L$8:$L$42,0)),"Não classificado"))</f>
        <v/>
      </c>
      <c r="F973" s="111" t="n"/>
      <c r="G973" s="111" t="n"/>
      <c r="H973" s="111" t="n"/>
      <c r="I973" s="45" t="n"/>
      <c r="J973" s="28" t="n"/>
      <c r="K973" s="28" t="n"/>
      <c r="L973" s="28" t="n"/>
      <c r="M973" s="59">
        <f>IF(C973="","",IFERROR(INDEX('6. Base de Custos'!$N$8:$N$42,MATCH(C973,'6. Base de Custos'!$L$8:$L$42,0)),"Não classificado"))</f>
        <v/>
      </c>
      <c r="N973" s="59">
        <f>IF(C973="","",IFERROR(INDEX('6. Base de Custos'!$O$8:$O$42,MATCH(C973,'6. Base de Custos'!$L$8:$L$42,0)),"Revisar"))</f>
        <v/>
      </c>
      <c r="O973" s="60">
        <f>IF(M973="","",IFERROR(VLOOKUP(M973,'6. Base de Custos'!$H$12:$J$18,3,FALSE),0))</f>
        <v/>
      </c>
      <c r="P973" s="59">
        <f>IF(C973="","",IFERROR(INDEX('6. Base de Custos'!$P$8:$P$42,MATCH(C973,'6. Base de Custos'!$L$8:$L$42,0)),"Revisar"))</f>
        <v/>
      </c>
      <c r="Q973" s="59">
        <f>IF(C973="","",IFERROR(INDEX('6. Base de Custos'!$Q$8:$Q$42,MATCH(C973,'6. Base de Custos'!$L$8:$L$42,0)),""))</f>
        <v/>
      </c>
      <c r="R973" s="65">
        <f>IF(C973="","",IFERROR(VLOOKUP(M973&amp;"|"&amp;N973,'17. Mapa DRE CP'!$E$5:$H$100,2,FALSE),"Revisar"))</f>
        <v/>
      </c>
      <c r="S973" s="65">
        <f>IF(C973="","",IFERROR(VLOOKUP(M973&amp;"|"&amp;N973,'17. Mapa DRE CP'!$E$5:$H$100,3,FALSE),"Revisar"))</f>
        <v/>
      </c>
      <c r="T973" s="65">
        <f>IF(C973="","",IF(R973="(-) Custos diretos dos serviços",IF(ISNUMBER(SEARCH("PCMSO",C973)),"PCMSO",IF(OR(ISNUMBER(SEARCH("SGS",C973)),ISNUMBER(SEARCH("CASTRO NAVES",C973))),"Projetos / Laudos / Avulsos","Projetos / Laudos / Avulsos")),"Rateio pela receita bruta"))</f>
        <v/>
      </c>
      <c r="U973" s="65">
        <f>IF(C973="","",IF(R973="(-) Custos diretos dos serviços","Direto por fornecedor/natureza do gasto","Rateio proporcional à receita bruta da linha de serviço"))</f>
        <v/>
      </c>
    </row>
    <row r="974">
      <c r="A974" s="28">
        <f>IF(C974="","", "CP-"&amp;TEXT(ROW()-5,"000"))</f>
        <v/>
      </c>
      <c r="B974" s="27">
        <f>IF(F974="","",DATE(YEAR(F974),MONTH(F974),1))</f>
        <v/>
      </c>
      <c r="C974" s="28" t="n"/>
      <c r="D974" s="28" t="n"/>
      <c r="E974" s="59">
        <f>IF(C974="","",IFERROR(INDEX('6. Base de Custos'!$M$8:$M$42,MATCH(C974,'6. Base de Custos'!$L$8:$L$42,0)),"Não classificado"))</f>
        <v/>
      </c>
      <c r="F974" s="111" t="n"/>
      <c r="G974" s="111" t="n"/>
      <c r="H974" s="111" t="n"/>
      <c r="I974" s="45" t="n"/>
      <c r="J974" s="28" t="n"/>
      <c r="K974" s="28" t="n"/>
      <c r="L974" s="28" t="n"/>
      <c r="M974" s="59">
        <f>IF(C974="","",IFERROR(INDEX('6. Base de Custos'!$N$8:$N$42,MATCH(C974,'6. Base de Custos'!$L$8:$L$42,0)),"Não classificado"))</f>
        <v/>
      </c>
      <c r="N974" s="59">
        <f>IF(C974="","",IFERROR(INDEX('6. Base de Custos'!$O$8:$O$42,MATCH(C974,'6. Base de Custos'!$L$8:$L$42,0)),"Revisar"))</f>
        <v/>
      </c>
      <c r="O974" s="60">
        <f>IF(M974="","",IFERROR(VLOOKUP(M974,'6. Base de Custos'!$H$12:$J$18,3,FALSE),0))</f>
        <v/>
      </c>
      <c r="P974" s="59">
        <f>IF(C974="","",IFERROR(INDEX('6. Base de Custos'!$P$8:$P$42,MATCH(C974,'6. Base de Custos'!$L$8:$L$42,0)),"Revisar"))</f>
        <v/>
      </c>
      <c r="Q974" s="59">
        <f>IF(C974="","",IFERROR(INDEX('6. Base de Custos'!$Q$8:$Q$42,MATCH(C974,'6. Base de Custos'!$L$8:$L$42,0)),""))</f>
        <v/>
      </c>
      <c r="R974" s="65">
        <f>IF(C974="","",IFERROR(VLOOKUP(M974&amp;"|"&amp;N974,'17. Mapa DRE CP'!$E$5:$H$100,2,FALSE),"Revisar"))</f>
        <v/>
      </c>
      <c r="S974" s="65">
        <f>IF(C974="","",IFERROR(VLOOKUP(M974&amp;"|"&amp;N974,'17. Mapa DRE CP'!$E$5:$H$100,3,FALSE),"Revisar"))</f>
        <v/>
      </c>
      <c r="T974" s="65">
        <f>IF(C974="","",IF(R974="(-) Custos diretos dos serviços",IF(ISNUMBER(SEARCH("PCMSO",C974)),"PCMSO",IF(OR(ISNUMBER(SEARCH("SGS",C974)),ISNUMBER(SEARCH("CASTRO NAVES",C974))),"Projetos / Laudos / Avulsos","Projetos / Laudos / Avulsos")),"Rateio pela receita bruta"))</f>
        <v/>
      </c>
      <c r="U974" s="65">
        <f>IF(C974="","",IF(R974="(-) Custos diretos dos serviços","Direto por fornecedor/natureza do gasto","Rateio proporcional à receita bruta da linha de serviço"))</f>
        <v/>
      </c>
    </row>
    <row r="975">
      <c r="A975" s="28">
        <f>IF(C975="","", "CP-"&amp;TEXT(ROW()-5,"000"))</f>
        <v/>
      </c>
      <c r="B975" s="27">
        <f>IF(F975="","",DATE(YEAR(F975),MONTH(F975),1))</f>
        <v/>
      </c>
      <c r="C975" s="28" t="n"/>
      <c r="D975" s="28" t="n"/>
      <c r="E975" s="59">
        <f>IF(C975="","",IFERROR(INDEX('6. Base de Custos'!$M$8:$M$42,MATCH(C975,'6. Base de Custos'!$L$8:$L$42,0)),"Não classificado"))</f>
        <v/>
      </c>
      <c r="F975" s="111" t="n"/>
      <c r="G975" s="111" t="n"/>
      <c r="H975" s="111" t="n"/>
      <c r="I975" s="45" t="n"/>
      <c r="J975" s="28" t="n"/>
      <c r="K975" s="28" t="n"/>
      <c r="L975" s="28" t="n"/>
      <c r="M975" s="59">
        <f>IF(C975="","",IFERROR(INDEX('6. Base de Custos'!$N$8:$N$42,MATCH(C975,'6. Base de Custos'!$L$8:$L$42,0)),"Não classificado"))</f>
        <v/>
      </c>
      <c r="N975" s="59">
        <f>IF(C975="","",IFERROR(INDEX('6. Base de Custos'!$O$8:$O$42,MATCH(C975,'6. Base de Custos'!$L$8:$L$42,0)),"Revisar"))</f>
        <v/>
      </c>
      <c r="O975" s="60">
        <f>IF(M975="","",IFERROR(VLOOKUP(M975,'6. Base de Custos'!$H$12:$J$18,3,FALSE),0))</f>
        <v/>
      </c>
      <c r="P975" s="59">
        <f>IF(C975="","",IFERROR(INDEX('6. Base de Custos'!$P$8:$P$42,MATCH(C975,'6. Base de Custos'!$L$8:$L$42,0)),"Revisar"))</f>
        <v/>
      </c>
      <c r="Q975" s="59">
        <f>IF(C975="","",IFERROR(INDEX('6. Base de Custos'!$Q$8:$Q$42,MATCH(C975,'6. Base de Custos'!$L$8:$L$42,0)),""))</f>
        <v/>
      </c>
      <c r="R975" s="65">
        <f>IF(C975="","",IFERROR(VLOOKUP(M975&amp;"|"&amp;N975,'17. Mapa DRE CP'!$E$5:$H$100,2,FALSE),"Revisar"))</f>
        <v/>
      </c>
      <c r="S975" s="65">
        <f>IF(C975="","",IFERROR(VLOOKUP(M975&amp;"|"&amp;N975,'17. Mapa DRE CP'!$E$5:$H$100,3,FALSE),"Revisar"))</f>
        <v/>
      </c>
      <c r="T975" s="65">
        <f>IF(C975="","",IF(R975="(-) Custos diretos dos serviços",IF(ISNUMBER(SEARCH("PCMSO",C975)),"PCMSO",IF(OR(ISNUMBER(SEARCH("SGS",C975)),ISNUMBER(SEARCH("CASTRO NAVES",C975))),"Projetos / Laudos / Avulsos","Projetos / Laudos / Avulsos")),"Rateio pela receita bruta"))</f>
        <v/>
      </c>
      <c r="U975" s="65">
        <f>IF(C975="","",IF(R975="(-) Custos diretos dos serviços","Direto por fornecedor/natureza do gasto","Rateio proporcional à receita bruta da linha de serviço"))</f>
        <v/>
      </c>
    </row>
    <row r="976">
      <c r="A976" s="28">
        <f>IF(C976="","", "CP-"&amp;TEXT(ROW()-5,"000"))</f>
        <v/>
      </c>
      <c r="B976" s="27">
        <f>IF(F976="","",DATE(YEAR(F976),MONTH(F976),1))</f>
        <v/>
      </c>
      <c r="C976" s="28" t="n"/>
      <c r="D976" s="28" t="n"/>
      <c r="E976" s="59">
        <f>IF(C976="","",IFERROR(INDEX('6. Base de Custos'!$M$8:$M$42,MATCH(C976,'6. Base de Custos'!$L$8:$L$42,0)),"Não classificado"))</f>
        <v/>
      </c>
      <c r="F976" s="111" t="n"/>
      <c r="G976" s="111" t="n"/>
      <c r="H976" s="111" t="n"/>
      <c r="I976" s="45" t="n"/>
      <c r="J976" s="28" t="n"/>
      <c r="K976" s="28" t="n"/>
      <c r="L976" s="28" t="n"/>
      <c r="M976" s="59">
        <f>IF(C976="","",IFERROR(INDEX('6. Base de Custos'!$N$8:$N$42,MATCH(C976,'6. Base de Custos'!$L$8:$L$42,0)),"Não classificado"))</f>
        <v/>
      </c>
      <c r="N976" s="59">
        <f>IF(C976="","",IFERROR(INDEX('6. Base de Custos'!$O$8:$O$42,MATCH(C976,'6. Base de Custos'!$L$8:$L$42,0)),"Revisar"))</f>
        <v/>
      </c>
      <c r="O976" s="60">
        <f>IF(M976="","",IFERROR(VLOOKUP(M976,'6. Base de Custos'!$H$12:$J$18,3,FALSE),0))</f>
        <v/>
      </c>
      <c r="P976" s="59">
        <f>IF(C976="","",IFERROR(INDEX('6. Base de Custos'!$P$8:$P$42,MATCH(C976,'6. Base de Custos'!$L$8:$L$42,0)),"Revisar"))</f>
        <v/>
      </c>
      <c r="Q976" s="59">
        <f>IF(C976="","",IFERROR(INDEX('6. Base de Custos'!$Q$8:$Q$42,MATCH(C976,'6. Base de Custos'!$L$8:$L$42,0)),""))</f>
        <v/>
      </c>
      <c r="R976" s="65">
        <f>IF(C976="","",IFERROR(VLOOKUP(M976&amp;"|"&amp;N976,'17. Mapa DRE CP'!$E$5:$H$100,2,FALSE),"Revisar"))</f>
        <v/>
      </c>
      <c r="S976" s="65">
        <f>IF(C976="","",IFERROR(VLOOKUP(M976&amp;"|"&amp;N976,'17. Mapa DRE CP'!$E$5:$H$100,3,FALSE),"Revisar"))</f>
        <v/>
      </c>
      <c r="T976" s="65">
        <f>IF(C976="","",IF(R976="(-) Custos diretos dos serviços",IF(ISNUMBER(SEARCH("PCMSO",C976)),"PCMSO",IF(OR(ISNUMBER(SEARCH("SGS",C976)),ISNUMBER(SEARCH("CASTRO NAVES",C976))),"Projetos / Laudos / Avulsos","Projetos / Laudos / Avulsos")),"Rateio pela receita bruta"))</f>
        <v/>
      </c>
      <c r="U976" s="65">
        <f>IF(C976="","",IF(R976="(-) Custos diretos dos serviços","Direto por fornecedor/natureza do gasto","Rateio proporcional à receita bruta da linha de serviço"))</f>
        <v/>
      </c>
    </row>
    <row r="977">
      <c r="A977" s="28">
        <f>IF(C977="","", "CP-"&amp;TEXT(ROW()-5,"000"))</f>
        <v/>
      </c>
      <c r="B977" s="27">
        <f>IF(F977="","",DATE(YEAR(F977),MONTH(F977),1))</f>
        <v/>
      </c>
      <c r="C977" s="28" t="n"/>
      <c r="D977" s="28" t="n"/>
      <c r="E977" s="59">
        <f>IF(C977="","",IFERROR(INDEX('6. Base de Custos'!$M$8:$M$42,MATCH(C977,'6. Base de Custos'!$L$8:$L$42,0)),"Não classificado"))</f>
        <v/>
      </c>
      <c r="F977" s="111" t="n"/>
      <c r="G977" s="111" t="n"/>
      <c r="H977" s="111" t="n"/>
      <c r="I977" s="45" t="n"/>
      <c r="J977" s="28" t="n"/>
      <c r="K977" s="28" t="n"/>
      <c r="L977" s="28" t="n"/>
      <c r="M977" s="59">
        <f>IF(C977="","",IFERROR(INDEX('6. Base de Custos'!$N$8:$N$42,MATCH(C977,'6. Base de Custos'!$L$8:$L$42,0)),"Não classificado"))</f>
        <v/>
      </c>
      <c r="N977" s="59">
        <f>IF(C977="","",IFERROR(INDEX('6. Base de Custos'!$O$8:$O$42,MATCH(C977,'6. Base de Custos'!$L$8:$L$42,0)),"Revisar"))</f>
        <v/>
      </c>
      <c r="O977" s="60">
        <f>IF(M977="","",IFERROR(VLOOKUP(M977,'6. Base de Custos'!$H$12:$J$18,3,FALSE),0))</f>
        <v/>
      </c>
      <c r="P977" s="59">
        <f>IF(C977="","",IFERROR(INDEX('6. Base de Custos'!$P$8:$P$42,MATCH(C977,'6. Base de Custos'!$L$8:$L$42,0)),"Revisar"))</f>
        <v/>
      </c>
      <c r="Q977" s="59">
        <f>IF(C977="","",IFERROR(INDEX('6. Base de Custos'!$Q$8:$Q$42,MATCH(C977,'6. Base de Custos'!$L$8:$L$42,0)),""))</f>
        <v/>
      </c>
      <c r="R977" s="65">
        <f>IF(C977="","",IFERROR(VLOOKUP(M977&amp;"|"&amp;N977,'17. Mapa DRE CP'!$E$5:$H$100,2,FALSE),"Revisar"))</f>
        <v/>
      </c>
      <c r="S977" s="65">
        <f>IF(C977="","",IFERROR(VLOOKUP(M977&amp;"|"&amp;N977,'17. Mapa DRE CP'!$E$5:$H$100,3,FALSE),"Revisar"))</f>
        <v/>
      </c>
      <c r="T977" s="65">
        <f>IF(C977="","",IF(R977="(-) Custos diretos dos serviços",IF(ISNUMBER(SEARCH("PCMSO",C977)),"PCMSO",IF(OR(ISNUMBER(SEARCH("SGS",C977)),ISNUMBER(SEARCH("CASTRO NAVES",C977))),"Projetos / Laudos / Avulsos","Projetos / Laudos / Avulsos")),"Rateio pela receita bruta"))</f>
        <v/>
      </c>
      <c r="U977" s="65">
        <f>IF(C977="","",IF(R977="(-) Custos diretos dos serviços","Direto por fornecedor/natureza do gasto","Rateio proporcional à receita bruta da linha de serviço"))</f>
        <v/>
      </c>
    </row>
    <row r="978">
      <c r="A978" s="28">
        <f>IF(C978="","", "CP-"&amp;TEXT(ROW()-5,"000"))</f>
        <v/>
      </c>
      <c r="B978" s="27">
        <f>IF(F978="","",DATE(YEAR(F978),MONTH(F978),1))</f>
        <v/>
      </c>
      <c r="C978" s="28" t="n"/>
      <c r="D978" s="28" t="n"/>
      <c r="E978" s="59">
        <f>IF(C978="","",IFERROR(INDEX('6. Base de Custos'!$M$8:$M$42,MATCH(C978,'6. Base de Custos'!$L$8:$L$42,0)),"Não classificado"))</f>
        <v/>
      </c>
      <c r="F978" s="111" t="n"/>
      <c r="G978" s="111" t="n"/>
      <c r="H978" s="111" t="n"/>
      <c r="I978" s="45" t="n"/>
      <c r="J978" s="28" t="n"/>
      <c r="K978" s="28" t="n"/>
      <c r="L978" s="28" t="n"/>
      <c r="M978" s="59">
        <f>IF(C978="","",IFERROR(INDEX('6. Base de Custos'!$N$8:$N$42,MATCH(C978,'6. Base de Custos'!$L$8:$L$42,0)),"Não classificado"))</f>
        <v/>
      </c>
      <c r="N978" s="59">
        <f>IF(C978="","",IFERROR(INDEX('6. Base de Custos'!$O$8:$O$42,MATCH(C978,'6. Base de Custos'!$L$8:$L$42,0)),"Revisar"))</f>
        <v/>
      </c>
      <c r="O978" s="60">
        <f>IF(M978="","",IFERROR(VLOOKUP(M978,'6. Base de Custos'!$H$12:$J$18,3,FALSE),0))</f>
        <v/>
      </c>
      <c r="P978" s="59">
        <f>IF(C978="","",IFERROR(INDEX('6. Base de Custos'!$P$8:$P$42,MATCH(C978,'6. Base de Custos'!$L$8:$L$42,0)),"Revisar"))</f>
        <v/>
      </c>
      <c r="Q978" s="59">
        <f>IF(C978="","",IFERROR(INDEX('6. Base de Custos'!$Q$8:$Q$42,MATCH(C978,'6. Base de Custos'!$L$8:$L$42,0)),""))</f>
        <v/>
      </c>
      <c r="R978" s="65">
        <f>IF(C978="","",IFERROR(VLOOKUP(M978&amp;"|"&amp;N978,'17. Mapa DRE CP'!$E$5:$H$100,2,FALSE),"Revisar"))</f>
        <v/>
      </c>
      <c r="S978" s="65">
        <f>IF(C978="","",IFERROR(VLOOKUP(M978&amp;"|"&amp;N978,'17. Mapa DRE CP'!$E$5:$H$100,3,FALSE),"Revisar"))</f>
        <v/>
      </c>
      <c r="T978" s="65">
        <f>IF(C978="","",IF(R978="(-) Custos diretos dos serviços",IF(ISNUMBER(SEARCH("PCMSO",C978)),"PCMSO",IF(OR(ISNUMBER(SEARCH("SGS",C978)),ISNUMBER(SEARCH("CASTRO NAVES",C978))),"Projetos / Laudos / Avulsos","Projetos / Laudos / Avulsos")),"Rateio pela receita bruta"))</f>
        <v/>
      </c>
      <c r="U978" s="65">
        <f>IF(C978="","",IF(R978="(-) Custos diretos dos serviços","Direto por fornecedor/natureza do gasto","Rateio proporcional à receita bruta da linha de serviço"))</f>
        <v/>
      </c>
    </row>
    <row r="979">
      <c r="A979" s="28">
        <f>IF(C979="","", "CP-"&amp;TEXT(ROW()-5,"000"))</f>
        <v/>
      </c>
      <c r="B979" s="27">
        <f>IF(F979="","",DATE(YEAR(F979),MONTH(F979),1))</f>
        <v/>
      </c>
      <c r="C979" s="28" t="n"/>
      <c r="D979" s="28" t="n"/>
      <c r="E979" s="59">
        <f>IF(C979="","",IFERROR(INDEX('6. Base de Custos'!$M$8:$M$42,MATCH(C979,'6. Base de Custos'!$L$8:$L$42,0)),"Não classificado"))</f>
        <v/>
      </c>
      <c r="F979" s="111" t="n"/>
      <c r="G979" s="111" t="n"/>
      <c r="H979" s="111" t="n"/>
      <c r="I979" s="45" t="n"/>
      <c r="J979" s="28" t="n"/>
      <c r="K979" s="28" t="n"/>
      <c r="L979" s="28" t="n"/>
      <c r="M979" s="59">
        <f>IF(C979="","",IFERROR(INDEX('6. Base de Custos'!$N$8:$N$42,MATCH(C979,'6. Base de Custos'!$L$8:$L$42,0)),"Não classificado"))</f>
        <v/>
      </c>
      <c r="N979" s="59">
        <f>IF(C979="","",IFERROR(INDEX('6. Base de Custos'!$O$8:$O$42,MATCH(C979,'6. Base de Custos'!$L$8:$L$42,0)),"Revisar"))</f>
        <v/>
      </c>
      <c r="O979" s="60">
        <f>IF(M979="","",IFERROR(VLOOKUP(M979,'6. Base de Custos'!$H$12:$J$18,3,FALSE),0))</f>
        <v/>
      </c>
      <c r="P979" s="59">
        <f>IF(C979="","",IFERROR(INDEX('6. Base de Custos'!$P$8:$P$42,MATCH(C979,'6. Base de Custos'!$L$8:$L$42,0)),"Revisar"))</f>
        <v/>
      </c>
      <c r="Q979" s="59">
        <f>IF(C979="","",IFERROR(INDEX('6. Base de Custos'!$Q$8:$Q$42,MATCH(C979,'6. Base de Custos'!$L$8:$L$42,0)),""))</f>
        <v/>
      </c>
      <c r="R979" s="65">
        <f>IF(C979="","",IFERROR(VLOOKUP(M979&amp;"|"&amp;N979,'17. Mapa DRE CP'!$E$5:$H$100,2,FALSE),"Revisar"))</f>
        <v/>
      </c>
      <c r="S979" s="65">
        <f>IF(C979="","",IFERROR(VLOOKUP(M979&amp;"|"&amp;N979,'17. Mapa DRE CP'!$E$5:$H$100,3,FALSE),"Revisar"))</f>
        <v/>
      </c>
      <c r="T979" s="65">
        <f>IF(C979="","",IF(R979="(-) Custos diretos dos serviços",IF(ISNUMBER(SEARCH("PCMSO",C979)),"PCMSO",IF(OR(ISNUMBER(SEARCH("SGS",C979)),ISNUMBER(SEARCH("CASTRO NAVES",C979))),"Projetos / Laudos / Avulsos","Projetos / Laudos / Avulsos")),"Rateio pela receita bruta"))</f>
        <v/>
      </c>
      <c r="U979" s="65">
        <f>IF(C979="","",IF(R979="(-) Custos diretos dos serviços","Direto por fornecedor/natureza do gasto","Rateio proporcional à receita bruta da linha de serviço"))</f>
        <v/>
      </c>
    </row>
    <row r="980">
      <c r="A980" s="28">
        <f>IF(C980="","", "CP-"&amp;TEXT(ROW()-5,"000"))</f>
        <v/>
      </c>
      <c r="B980" s="27">
        <f>IF(F980="","",DATE(YEAR(F980),MONTH(F980),1))</f>
        <v/>
      </c>
      <c r="C980" s="28" t="n"/>
      <c r="D980" s="28" t="n"/>
      <c r="E980" s="59">
        <f>IF(C980="","",IFERROR(INDEX('6. Base de Custos'!$M$8:$M$42,MATCH(C980,'6. Base de Custos'!$L$8:$L$42,0)),"Não classificado"))</f>
        <v/>
      </c>
      <c r="F980" s="111" t="n"/>
      <c r="G980" s="111" t="n"/>
      <c r="H980" s="111" t="n"/>
      <c r="I980" s="45" t="n"/>
      <c r="J980" s="28" t="n"/>
      <c r="K980" s="28" t="n"/>
      <c r="L980" s="28" t="n"/>
      <c r="M980" s="59">
        <f>IF(C980="","",IFERROR(INDEX('6. Base de Custos'!$N$8:$N$42,MATCH(C980,'6. Base de Custos'!$L$8:$L$42,0)),"Não classificado"))</f>
        <v/>
      </c>
      <c r="N980" s="59">
        <f>IF(C980="","",IFERROR(INDEX('6. Base de Custos'!$O$8:$O$42,MATCH(C980,'6. Base de Custos'!$L$8:$L$42,0)),"Revisar"))</f>
        <v/>
      </c>
      <c r="O980" s="60">
        <f>IF(M980="","",IFERROR(VLOOKUP(M980,'6. Base de Custos'!$H$12:$J$18,3,FALSE),0))</f>
        <v/>
      </c>
      <c r="P980" s="59">
        <f>IF(C980="","",IFERROR(INDEX('6. Base de Custos'!$P$8:$P$42,MATCH(C980,'6. Base de Custos'!$L$8:$L$42,0)),"Revisar"))</f>
        <v/>
      </c>
      <c r="Q980" s="59">
        <f>IF(C980="","",IFERROR(INDEX('6. Base de Custos'!$Q$8:$Q$42,MATCH(C980,'6. Base de Custos'!$L$8:$L$42,0)),""))</f>
        <v/>
      </c>
      <c r="R980" s="65">
        <f>IF(C980="","",IFERROR(VLOOKUP(M980&amp;"|"&amp;N980,'17. Mapa DRE CP'!$E$5:$H$100,2,FALSE),"Revisar"))</f>
        <v/>
      </c>
      <c r="S980" s="65">
        <f>IF(C980="","",IFERROR(VLOOKUP(M980&amp;"|"&amp;N980,'17. Mapa DRE CP'!$E$5:$H$100,3,FALSE),"Revisar"))</f>
        <v/>
      </c>
      <c r="T980" s="65">
        <f>IF(C980="","",IF(R980="(-) Custos diretos dos serviços",IF(ISNUMBER(SEARCH("PCMSO",C980)),"PCMSO",IF(OR(ISNUMBER(SEARCH("SGS",C980)),ISNUMBER(SEARCH("CASTRO NAVES",C980))),"Projetos / Laudos / Avulsos","Projetos / Laudos / Avulsos")),"Rateio pela receita bruta"))</f>
        <v/>
      </c>
      <c r="U980" s="65">
        <f>IF(C980="","",IF(R980="(-) Custos diretos dos serviços","Direto por fornecedor/natureza do gasto","Rateio proporcional à receita bruta da linha de serviço"))</f>
        <v/>
      </c>
    </row>
    <row r="981">
      <c r="A981" s="28">
        <f>IF(C981="","", "CP-"&amp;TEXT(ROW()-5,"000"))</f>
        <v/>
      </c>
      <c r="B981" s="27">
        <f>IF(F981="","",DATE(YEAR(F981),MONTH(F981),1))</f>
        <v/>
      </c>
      <c r="C981" s="28" t="n"/>
      <c r="D981" s="28" t="n"/>
      <c r="E981" s="59">
        <f>IF(C981="","",IFERROR(INDEX('6. Base de Custos'!$M$8:$M$42,MATCH(C981,'6. Base de Custos'!$L$8:$L$42,0)),"Não classificado"))</f>
        <v/>
      </c>
      <c r="F981" s="111" t="n"/>
      <c r="G981" s="111" t="n"/>
      <c r="H981" s="111" t="n"/>
      <c r="I981" s="45" t="n"/>
      <c r="J981" s="28" t="n"/>
      <c r="K981" s="28" t="n"/>
      <c r="L981" s="28" t="n"/>
      <c r="M981" s="59">
        <f>IF(C981="","",IFERROR(INDEX('6. Base de Custos'!$N$8:$N$42,MATCH(C981,'6. Base de Custos'!$L$8:$L$42,0)),"Não classificado"))</f>
        <v/>
      </c>
      <c r="N981" s="59">
        <f>IF(C981="","",IFERROR(INDEX('6. Base de Custos'!$O$8:$O$42,MATCH(C981,'6. Base de Custos'!$L$8:$L$42,0)),"Revisar"))</f>
        <v/>
      </c>
      <c r="O981" s="60">
        <f>IF(M981="","",IFERROR(VLOOKUP(M981,'6. Base de Custos'!$H$12:$J$18,3,FALSE),0))</f>
        <v/>
      </c>
      <c r="P981" s="59">
        <f>IF(C981="","",IFERROR(INDEX('6. Base de Custos'!$P$8:$P$42,MATCH(C981,'6. Base de Custos'!$L$8:$L$42,0)),"Revisar"))</f>
        <v/>
      </c>
      <c r="Q981" s="59">
        <f>IF(C981="","",IFERROR(INDEX('6. Base de Custos'!$Q$8:$Q$42,MATCH(C981,'6. Base de Custos'!$L$8:$L$42,0)),""))</f>
        <v/>
      </c>
      <c r="R981" s="65">
        <f>IF(C981="","",IFERROR(VLOOKUP(M981&amp;"|"&amp;N981,'17. Mapa DRE CP'!$E$5:$H$100,2,FALSE),"Revisar"))</f>
        <v/>
      </c>
      <c r="S981" s="65">
        <f>IF(C981="","",IFERROR(VLOOKUP(M981&amp;"|"&amp;N981,'17. Mapa DRE CP'!$E$5:$H$100,3,FALSE),"Revisar"))</f>
        <v/>
      </c>
      <c r="T981" s="65">
        <f>IF(C981="","",IF(R981="(-) Custos diretos dos serviços",IF(ISNUMBER(SEARCH("PCMSO",C981)),"PCMSO",IF(OR(ISNUMBER(SEARCH("SGS",C981)),ISNUMBER(SEARCH("CASTRO NAVES",C981))),"Projetos / Laudos / Avulsos","Projetos / Laudos / Avulsos")),"Rateio pela receita bruta"))</f>
        <v/>
      </c>
      <c r="U981" s="65">
        <f>IF(C981="","",IF(R981="(-) Custos diretos dos serviços","Direto por fornecedor/natureza do gasto","Rateio proporcional à receita bruta da linha de serviço"))</f>
        <v/>
      </c>
    </row>
    <row r="982">
      <c r="A982" s="28">
        <f>IF(C982="","", "CP-"&amp;TEXT(ROW()-5,"000"))</f>
        <v/>
      </c>
      <c r="B982" s="27">
        <f>IF(F982="","",DATE(YEAR(F982),MONTH(F982),1))</f>
        <v/>
      </c>
      <c r="C982" s="28" t="n"/>
      <c r="D982" s="28" t="n"/>
      <c r="E982" s="59">
        <f>IF(C982="","",IFERROR(INDEX('6. Base de Custos'!$M$8:$M$42,MATCH(C982,'6. Base de Custos'!$L$8:$L$42,0)),"Não classificado"))</f>
        <v/>
      </c>
      <c r="F982" s="111" t="n"/>
      <c r="G982" s="111" t="n"/>
      <c r="H982" s="111" t="n"/>
      <c r="I982" s="45" t="n"/>
      <c r="J982" s="28" t="n"/>
      <c r="K982" s="28" t="n"/>
      <c r="L982" s="28" t="n"/>
      <c r="M982" s="59">
        <f>IF(C982="","",IFERROR(INDEX('6. Base de Custos'!$N$8:$N$42,MATCH(C982,'6. Base de Custos'!$L$8:$L$42,0)),"Não classificado"))</f>
        <v/>
      </c>
      <c r="N982" s="59">
        <f>IF(C982="","",IFERROR(INDEX('6. Base de Custos'!$O$8:$O$42,MATCH(C982,'6. Base de Custos'!$L$8:$L$42,0)),"Revisar"))</f>
        <v/>
      </c>
      <c r="O982" s="60">
        <f>IF(M982="","",IFERROR(VLOOKUP(M982,'6. Base de Custos'!$H$12:$J$18,3,FALSE),0))</f>
        <v/>
      </c>
      <c r="P982" s="59">
        <f>IF(C982="","",IFERROR(INDEX('6. Base de Custos'!$P$8:$P$42,MATCH(C982,'6. Base de Custos'!$L$8:$L$42,0)),"Revisar"))</f>
        <v/>
      </c>
      <c r="Q982" s="59">
        <f>IF(C982="","",IFERROR(INDEX('6. Base de Custos'!$Q$8:$Q$42,MATCH(C982,'6. Base de Custos'!$L$8:$L$42,0)),""))</f>
        <v/>
      </c>
      <c r="R982" s="65">
        <f>IF(C982="","",IFERROR(VLOOKUP(M982&amp;"|"&amp;N982,'17. Mapa DRE CP'!$E$5:$H$100,2,FALSE),"Revisar"))</f>
        <v/>
      </c>
      <c r="S982" s="65">
        <f>IF(C982="","",IFERROR(VLOOKUP(M982&amp;"|"&amp;N982,'17. Mapa DRE CP'!$E$5:$H$100,3,FALSE),"Revisar"))</f>
        <v/>
      </c>
      <c r="T982" s="65">
        <f>IF(C982="","",IF(R982="(-) Custos diretos dos serviços",IF(ISNUMBER(SEARCH("PCMSO",C982)),"PCMSO",IF(OR(ISNUMBER(SEARCH("SGS",C982)),ISNUMBER(SEARCH("CASTRO NAVES",C982))),"Projetos / Laudos / Avulsos","Projetos / Laudos / Avulsos")),"Rateio pela receita bruta"))</f>
        <v/>
      </c>
      <c r="U982" s="65">
        <f>IF(C982="","",IF(R982="(-) Custos diretos dos serviços","Direto por fornecedor/natureza do gasto","Rateio proporcional à receita bruta da linha de serviço"))</f>
        <v/>
      </c>
    </row>
    <row r="983">
      <c r="A983" s="28">
        <f>IF(C983="","", "CP-"&amp;TEXT(ROW()-5,"000"))</f>
        <v/>
      </c>
      <c r="B983" s="27">
        <f>IF(F983="","",DATE(YEAR(F983),MONTH(F983),1))</f>
        <v/>
      </c>
      <c r="C983" s="28" t="n"/>
      <c r="D983" s="28" t="n"/>
      <c r="E983" s="59">
        <f>IF(C983="","",IFERROR(INDEX('6. Base de Custos'!$M$8:$M$42,MATCH(C983,'6. Base de Custos'!$L$8:$L$42,0)),"Não classificado"))</f>
        <v/>
      </c>
      <c r="F983" s="111" t="n"/>
      <c r="G983" s="111" t="n"/>
      <c r="H983" s="111" t="n"/>
      <c r="I983" s="45" t="n"/>
      <c r="J983" s="28" t="n"/>
      <c r="K983" s="28" t="n"/>
      <c r="L983" s="28" t="n"/>
      <c r="M983" s="59">
        <f>IF(C983="","",IFERROR(INDEX('6. Base de Custos'!$N$8:$N$42,MATCH(C983,'6. Base de Custos'!$L$8:$L$42,0)),"Não classificado"))</f>
        <v/>
      </c>
      <c r="N983" s="59">
        <f>IF(C983="","",IFERROR(INDEX('6. Base de Custos'!$O$8:$O$42,MATCH(C983,'6. Base de Custos'!$L$8:$L$42,0)),"Revisar"))</f>
        <v/>
      </c>
      <c r="O983" s="60">
        <f>IF(M983="","",IFERROR(VLOOKUP(M983,'6. Base de Custos'!$H$12:$J$18,3,FALSE),0))</f>
        <v/>
      </c>
      <c r="P983" s="59">
        <f>IF(C983="","",IFERROR(INDEX('6. Base de Custos'!$P$8:$P$42,MATCH(C983,'6. Base de Custos'!$L$8:$L$42,0)),"Revisar"))</f>
        <v/>
      </c>
      <c r="Q983" s="59">
        <f>IF(C983="","",IFERROR(INDEX('6. Base de Custos'!$Q$8:$Q$42,MATCH(C983,'6. Base de Custos'!$L$8:$L$42,0)),""))</f>
        <v/>
      </c>
      <c r="R983" s="65">
        <f>IF(C983="","",IFERROR(VLOOKUP(M983&amp;"|"&amp;N983,'17. Mapa DRE CP'!$E$5:$H$100,2,FALSE),"Revisar"))</f>
        <v/>
      </c>
      <c r="S983" s="65">
        <f>IF(C983="","",IFERROR(VLOOKUP(M983&amp;"|"&amp;N983,'17. Mapa DRE CP'!$E$5:$H$100,3,FALSE),"Revisar"))</f>
        <v/>
      </c>
      <c r="T983" s="65">
        <f>IF(C983="","",IF(R983="(-) Custos diretos dos serviços",IF(ISNUMBER(SEARCH("PCMSO",C983)),"PCMSO",IF(OR(ISNUMBER(SEARCH("SGS",C983)),ISNUMBER(SEARCH("CASTRO NAVES",C983))),"Projetos / Laudos / Avulsos","Projetos / Laudos / Avulsos")),"Rateio pela receita bruta"))</f>
        <v/>
      </c>
      <c r="U983" s="65">
        <f>IF(C983="","",IF(R983="(-) Custos diretos dos serviços","Direto por fornecedor/natureza do gasto","Rateio proporcional à receita bruta da linha de serviço"))</f>
        <v/>
      </c>
    </row>
    <row r="984">
      <c r="A984" s="28">
        <f>IF(C984="","", "CP-"&amp;TEXT(ROW()-5,"000"))</f>
        <v/>
      </c>
      <c r="B984" s="27">
        <f>IF(F984="","",DATE(YEAR(F984),MONTH(F984),1))</f>
        <v/>
      </c>
      <c r="C984" s="28" t="n"/>
      <c r="D984" s="28" t="n"/>
      <c r="E984" s="59">
        <f>IF(C984="","",IFERROR(INDEX('6. Base de Custos'!$M$8:$M$42,MATCH(C984,'6. Base de Custos'!$L$8:$L$42,0)),"Não classificado"))</f>
        <v/>
      </c>
      <c r="F984" s="111" t="n"/>
      <c r="G984" s="111" t="n"/>
      <c r="H984" s="111" t="n"/>
      <c r="I984" s="45" t="n"/>
      <c r="J984" s="28" t="n"/>
      <c r="K984" s="28" t="n"/>
      <c r="L984" s="28" t="n"/>
      <c r="M984" s="59">
        <f>IF(C984="","",IFERROR(INDEX('6. Base de Custos'!$N$8:$N$42,MATCH(C984,'6. Base de Custos'!$L$8:$L$42,0)),"Não classificado"))</f>
        <v/>
      </c>
      <c r="N984" s="59">
        <f>IF(C984="","",IFERROR(INDEX('6. Base de Custos'!$O$8:$O$42,MATCH(C984,'6. Base de Custos'!$L$8:$L$42,0)),"Revisar"))</f>
        <v/>
      </c>
      <c r="O984" s="60">
        <f>IF(M984="","",IFERROR(VLOOKUP(M984,'6. Base de Custos'!$H$12:$J$18,3,FALSE),0))</f>
        <v/>
      </c>
      <c r="P984" s="59">
        <f>IF(C984="","",IFERROR(INDEX('6. Base de Custos'!$P$8:$P$42,MATCH(C984,'6. Base de Custos'!$L$8:$L$42,0)),"Revisar"))</f>
        <v/>
      </c>
      <c r="Q984" s="59">
        <f>IF(C984="","",IFERROR(INDEX('6. Base de Custos'!$Q$8:$Q$42,MATCH(C984,'6. Base de Custos'!$L$8:$L$42,0)),""))</f>
        <v/>
      </c>
      <c r="R984" s="65">
        <f>IF(C984="","",IFERROR(VLOOKUP(M984&amp;"|"&amp;N984,'17. Mapa DRE CP'!$E$5:$H$100,2,FALSE),"Revisar"))</f>
        <v/>
      </c>
      <c r="S984" s="65">
        <f>IF(C984="","",IFERROR(VLOOKUP(M984&amp;"|"&amp;N984,'17. Mapa DRE CP'!$E$5:$H$100,3,FALSE),"Revisar"))</f>
        <v/>
      </c>
      <c r="T984" s="65">
        <f>IF(C984="","",IF(R984="(-) Custos diretos dos serviços",IF(ISNUMBER(SEARCH("PCMSO",C984)),"PCMSO",IF(OR(ISNUMBER(SEARCH("SGS",C984)),ISNUMBER(SEARCH("CASTRO NAVES",C984))),"Projetos / Laudos / Avulsos","Projetos / Laudos / Avulsos")),"Rateio pela receita bruta"))</f>
        <v/>
      </c>
      <c r="U984" s="65">
        <f>IF(C984="","",IF(R984="(-) Custos diretos dos serviços","Direto por fornecedor/natureza do gasto","Rateio proporcional à receita bruta da linha de serviço"))</f>
        <v/>
      </c>
    </row>
    <row r="985">
      <c r="A985" s="28">
        <f>IF(C985="","", "CP-"&amp;TEXT(ROW()-5,"000"))</f>
        <v/>
      </c>
      <c r="B985" s="27">
        <f>IF(F985="","",DATE(YEAR(F985),MONTH(F985),1))</f>
        <v/>
      </c>
      <c r="C985" s="28" t="n"/>
      <c r="D985" s="28" t="n"/>
      <c r="E985" s="59">
        <f>IF(C985="","",IFERROR(INDEX('6. Base de Custos'!$M$8:$M$42,MATCH(C985,'6. Base de Custos'!$L$8:$L$42,0)),"Não classificado"))</f>
        <v/>
      </c>
      <c r="F985" s="111" t="n"/>
      <c r="G985" s="111" t="n"/>
      <c r="H985" s="111" t="n"/>
      <c r="I985" s="45" t="n"/>
      <c r="J985" s="28" t="n"/>
      <c r="K985" s="28" t="n"/>
      <c r="L985" s="28" t="n"/>
      <c r="M985" s="59">
        <f>IF(C985="","",IFERROR(INDEX('6. Base de Custos'!$N$8:$N$42,MATCH(C985,'6. Base de Custos'!$L$8:$L$42,0)),"Não classificado"))</f>
        <v/>
      </c>
      <c r="N985" s="59">
        <f>IF(C985="","",IFERROR(INDEX('6. Base de Custos'!$O$8:$O$42,MATCH(C985,'6. Base de Custos'!$L$8:$L$42,0)),"Revisar"))</f>
        <v/>
      </c>
      <c r="O985" s="60">
        <f>IF(M985="","",IFERROR(VLOOKUP(M985,'6. Base de Custos'!$H$12:$J$18,3,FALSE),0))</f>
        <v/>
      </c>
      <c r="P985" s="59">
        <f>IF(C985="","",IFERROR(INDEX('6. Base de Custos'!$P$8:$P$42,MATCH(C985,'6. Base de Custos'!$L$8:$L$42,0)),"Revisar"))</f>
        <v/>
      </c>
      <c r="Q985" s="59">
        <f>IF(C985="","",IFERROR(INDEX('6. Base de Custos'!$Q$8:$Q$42,MATCH(C985,'6. Base de Custos'!$L$8:$L$42,0)),""))</f>
        <v/>
      </c>
      <c r="R985" s="65">
        <f>IF(C985="","",IFERROR(VLOOKUP(M985&amp;"|"&amp;N985,'17. Mapa DRE CP'!$E$5:$H$100,2,FALSE),"Revisar"))</f>
        <v/>
      </c>
      <c r="S985" s="65">
        <f>IF(C985="","",IFERROR(VLOOKUP(M985&amp;"|"&amp;N985,'17. Mapa DRE CP'!$E$5:$H$100,3,FALSE),"Revisar"))</f>
        <v/>
      </c>
      <c r="T985" s="65">
        <f>IF(C985="","",IF(R985="(-) Custos diretos dos serviços",IF(ISNUMBER(SEARCH("PCMSO",C985)),"PCMSO",IF(OR(ISNUMBER(SEARCH("SGS",C985)),ISNUMBER(SEARCH("CASTRO NAVES",C985))),"Projetos / Laudos / Avulsos","Projetos / Laudos / Avulsos")),"Rateio pela receita bruta"))</f>
        <v/>
      </c>
      <c r="U985" s="65">
        <f>IF(C985="","",IF(R985="(-) Custos diretos dos serviços","Direto por fornecedor/natureza do gasto","Rateio proporcional à receita bruta da linha de serviço"))</f>
        <v/>
      </c>
    </row>
    <row r="986">
      <c r="A986" s="28">
        <f>IF(C986="","", "CP-"&amp;TEXT(ROW()-5,"000"))</f>
        <v/>
      </c>
      <c r="B986" s="27">
        <f>IF(F986="","",DATE(YEAR(F986),MONTH(F986),1))</f>
        <v/>
      </c>
      <c r="C986" s="28" t="n"/>
      <c r="D986" s="28" t="n"/>
      <c r="E986" s="59">
        <f>IF(C986="","",IFERROR(INDEX('6. Base de Custos'!$M$8:$M$42,MATCH(C986,'6. Base de Custos'!$L$8:$L$42,0)),"Não classificado"))</f>
        <v/>
      </c>
      <c r="F986" s="111" t="n"/>
      <c r="G986" s="111" t="n"/>
      <c r="H986" s="111" t="n"/>
      <c r="I986" s="45" t="n"/>
      <c r="J986" s="28" t="n"/>
      <c r="K986" s="28" t="n"/>
      <c r="L986" s="28" t="n"/>
      <c r="M986" s="59">
        <f>IF(C986="","",IFERROR(INDEX('6. Base de Custos'!$N$8:$N$42,MATCH(C986,'6. Base de Custos'!$L$8:$L$42,0)),"Não classificado"))</f>
        <v/>
      </c>
      <c r="N986" s="59">
        <f>IF(C986="","",IFERROR(INDEX('6. Base de Custos'!$O$8:$O$42,MATCH(C986,'6. Base de Custos'!$L$8:$L$42,0)),"Revisar"))</f>
        <v/>
      </c>
      <c r="O986" s="60">
        <f>IF(M986="","",IFERROR(VLOOKUP(M986,'6. Base de Custos'!$H$12:$J$18,3,FALSE),0))</f>
        <v/>
      </c>
      <c r="P986" s="59">
        <f>IF(C986="","",IFERROR(INDEX('6. Base de Custos'!$P$8:$P$42,MATCH(C986,'6. Base de Custos'!$L$8:$L$42,0)),"Revisar"))</f>
        <v/>
      </c>
      <c r="Q986" s="59">
        <f>IF(C986="","",IFERROR(INDEX('6. Base de Custos'!$Q$8:$Q$42,MATCH(C986,'6. Base de Custos'!$L$8:$L$42,0)),""))</f>
        <v/>
      </c>
      <c r="R986" s="65">
        <f>IF(C986="","",IFERROR(VLOOKUP(M986&amp;"|"&amp;N986,'17. Mapa DRE CP'!$E$5:$H$100,2,FALSE),"Revisar"))</f>
        <v/>
      </c>
      <c r="S986" s="65">
        <f>IF(C986="","",IFERROR(VLOOKUP(M986&amp;"|"&amp;N986,'17. Mapa DRE CP'!$E$5:$H$100,3,FALSE),"Revisar"))</f>
        <v/>
      </c>
      <c r="T986" s="65">
        <f>IF(C986="","",IF(R986="(-) Custos diretos dos serviços",IF(ISNUMBER(SEARCH("PCMSO",C986)),"PCMSO",IF(OR(ISNUMBER(SEARCH("SGS",C986)),ISNUMBER(SEARCH("CASTRO NAVES",C986))),"Projetos / Laudos / Avulsos","Projetos / Laudos / Avulsos")),"Rateio pela receita bruta"))</f>
        <v/>
      </c>
      <c r="U986" s="65">
        <f>IF(C986="","",IF(R986="(-) Custos diretos dos serviços","Direto por fornecedor/natureza do gasto","Rateio proporcional à receita bruta da linha de serviço"))</f>
        <v/>
      </c>
    </row>
    <row r="987">
      <c r="A987" s="28">
        <f>IF(C987="","", "CP-"&amp;TEXT(ROW()-5,"000"))</f>
        <v/>
      </c>
      <c r="B987" s="27">
        <f>IF(F987="","",DATE(YEAR(F987),MONTH(F987),1))</f>
        <v/>
      </c>
      <c r="C987" s="28" t="n"/>
      <c r="D987" s="28" t="n"/>
      <c r="E987" s="59">
        <f>IF(C987="","",IFERROR(INDEX('6. Base de Custos'!$M$8:$M$42,MATCH(C987,'6. Base de Custos'!$L$8:$L$42,0)),"Não classificado"))</f>
        <v/>
      </c>
      <c r="F987" s="111" t="n"/>
      <c r="G987" s="111" t="n"/>
      <c r="H987" s="111" t="n"/>
      <c r="I987" s="45" t="n"/>
      <c r="J987" s="28" t="n"/>
      <c r="K987" s="28" t="n"/>
      <c r="L987" s="28" t="n"/>
      <c r="M987" s="59">
        <f>IF(C987="","",IFERROR(INDEX('6. Base de Custos'!$N$8:$N$42,MATCH(C987,'6. Base de Custos'!$L$8:$L$42,0)),"Não classificado"))</f>
        <v/>
      </c>
      <c r="N987" s="59">
        <f>IF(C987="","",IFERROR(INDEX('6. Base de Custos'!$O$8:$O$42,MATCH(C987,'6. Base de Custos'!$L$8:$L$42,0)),"Revisar"))</f>
        <v/>
      </c>
      <c r="O987" s="60">
        <f>IF(M987="","",IFERROR(VLOOKUP(M987,'6. Base de Custos'!$H$12:$J$18,3,FALSE),0))</f>
        <v/>
      </c>
      <c r="P987" s="59">
        <f>IF(C987="","",IFERROR(INDEX('6. Base de Custos'!$P$8:$P$42,MATCH(C987,'6. Base de Custos'!$L$8:$L$42,0)),"Revisar"))</f>
        <v/>
      </c>
      <c r="Q987" s="59">
        <f>IF(C987="","",IFERROR(INDEX('6. Base de Custos'!$Q$8:$Q$42,MATCH(C987,'6. Base de Custos'!$L$8:$L$42,0)),""))</f>
        <v/>
      </c>
      <c r="R987" s="65">
        <f>IF(C987="","",IFERROR(VLOOKUP(M987&amp;"|"&amp;N987,'17. Mapa DRE CP'!$E$5:$H$100,2,FALSE),"Revisar"))</f>
        <v/>
      </c>
      <c r="S987" s="65">
        <f>IF(C987="","",IFERROR(VLOOKUP(M987&amp;"|"&amp;N987,'17. Mapa DRE CP'!$E$5:$H$100,3,FALSE),"Revisar"))</f>
        <v/>
      </c>
      <c r="T987" s="65">
        <f>IF(C987="","",IF(R987="(-) Custos diretos dos serviços",IF(ISNUMBER(SEARCH("PCMSO",C987)),"PCMSO",IF(OR(ISNUMBER(SEARCH("SGS",C987)),ISNUMBER(SEARCH("CASTRO NAVES",C987))),"Projetos / Laudos / Avulsos","Projetos / Laudos / Avulsos")),"Rateio pela receita bruta"))</f>
        <v/>
      </c>
      <c r="U987" s="65">
        <f>IF(C987="","",IF(R987="(-) Custos diretos dos serviços","Direto por fornecedor/natureza do gasto","Rateio proporcional à receita bruta da linha de serviço"))</f>
        <v/>
      </c>
    </row>
    <row r="988">
      <c r="A988" s="28">
        <f>IF(C988="","", "CP-"&amp;TEXT(ROW()-5,"000"))</f>
        <v/>
      </c>
      <c r="B988" s="27">
        <f>IF(F988="","",DATE(YEAR(F988),MONTH(F988),1))</f>
        <v/>
      </c>
      <c r="C988" s="28" t="n"/>
      <c r="D988" s="28" t="n"/>
      <c r="E988" s="59">
        <f>IF(C988="","",IFERROR(INDEX('6. Base de Custos'!$M$8:$M$42,MATCH(C988,'6. Base de Custos'!$L$8:$L$42,0)),"Não classificado"))</f>
        <v/>
      </c>
      <c r="F988" s="111" t="n"/>
      <c r="G988" s="111" t="n"/>
      <c r="H988" s="111" t="n"/>
      <c r="I988" s="45" t="n"/>
      <c r="J988" s="28" t="n"/>
      <c r="K988" s="28" t="n"/>
      <c r="L988" s="28" t="n"/>
      <c r="M988" s="59">
        <f>IF(C988="","",IFERROR(INDEX('6. Base de Custos'!$N$8:$N$42,MATCH(C988,'6. Base de Custos'!$L$8:$L$42,0)),"Não classificado"))</f>
        <v/>
      </c>
      <c r="N988" s="59">
        <f>IF(C988="","",IFERROR(INDEX('6. Base de Custos'!$O$8:$O$42,MATCH(C988,'6. Base de Custos'!$L$8:$L$42,0)),"Revisar"))</f>
        <v/>
      </c>
      <c r="O988" s="60">
        <f>IF(M988="","",IFERROR(VLOOKUP(M988,'6. Base de Custos'!$H$12:$J$18,3,FALSE),0))</f>
        <v/>
      </c>
      <c r="P988" s="59">
        <f>IF(C988="","",IFERROR(INDEX('6. Base de Custos'!$P$8:$P$42,MATCH(C988,'6. Base de Custos'!$L$8:$L$42,0)),"Revisar"))</f>
        <v/>
      </c>
      <c r="Q988" s="59">
        <f>IF(C988="","",IFERROR(INDEX('6. Base de Custos'!$Q$8:$Q$42,MATCH(C988,'6. Base de Custos'!$L$8:$L$42,0)),""))</f>
        <v/>
      </c>
      <c r="R988" s="65">
        <f>IF(C988="","",IFERROR(VLOOKUP(M988&amp;"|"&amp;N988,'17. Mapa DRE CP'!$E$5:$H$100,2,FALSE),"Revisar"))</f>
        <v/>
      </c>
      <c r="S988" s="65">
        <f>IF(C988="","",IFERROR(VLOOKUP(M988&amp;"|"&amp;N988,'17. Mapa DRE CP'!$E$5:$H$100,3,FALSE),"Revisar"))</f>
        <v/>
      </c>
      <c r="T988" s="65">
        <f>IF(C988="","",IF(R988="(-) Custos diretos dos serviços",IF(ISNUMBER(SEARCH("PCMSO",C988)),"PCMSO",IF(OR(ISNUMBER(SEARCH("SGS",C988)),ISNUMBER(SEARCH("CASTRO NAVES",C988))),"Projetos / Laudos / Avulsos","Projetos / Laudos / Avulsos")),"Rateio pela receita bruta"))</f>
        <v/>
      </c>
      <c r="U988" s="65">
        <f>IF(C988="","",IF(R988="(-) Custos diretos dos serviços","Direto por fornecedor/natureza do gasto","Rateio proporcional à receita bruta da linha de serviço"))</f>
        <v/>
      </c>
    </row>
    <row r="989">
      <c r="A989" s="28">
        <f>IF(C989="","", "CP-"&amp;TEXT(ROW()-5,"000"))</f>
        <v/>
      </c>
      <c r="B989" s="27">
        <f>IF(F989="","",DATE(YEAR(F989),MONTH(F989),1))</f>
        <v/>
      </c>
      <c r="C989" s="28" t="n"/>
      <c r="D989" s="28" t="n"/>
      <c r="E989" s="59">
        <f>IF(C989="","",IFERROR(INDEX('6. Base de Custos'!$M$8:$M$42,MATCH(C989,'6. Base de Custos'!$L$8:$L$42,0)),"Não classificado"))</f>
        <v/>
      </c>
      <c r="F989" s="111" t="n"/>
      <c r="G989" s="111" t="n"/>
      <c r="H989" s="111" t="n"/>
      <c r="I989" s="45" t="n"/>
      <c r="J989" s="28" t="n"/>
      <c r="K989" s="28" t="n"/>
      <c r="L989" s="28" t="n"/>
      <c r="M989" s="59">
        <f>IF(C989="","",IFERROR(INDEX('6. Base de Custos'!$N$8:$N$42,MATCH(C989,'6. Base de Custos'!$L$8:$L$42,0)),"Não classificado"))</f>
        <v/>
      </c>
      <c r="N989" s="59">
        <f>IF(C989="","",IFERROR(INDEX('6. Base de Custos'!$O$8:$O$42,MATCH(C989,'6. Base de Custos'!$L$8:$L$42,0)),"Revisar"))</f>
        <v/>
      </c>
      <c r="O989" s="60">
        <f>IF(M989="","",IFERROR(VLOOKUP(M989,'6. Base de Custos'!$H$12:$J$18,3,FALSE),0))</f>
        <v/>
      </c>
      <c r="P989" s="59">
        <f>IF(C989="","",IFERROR(INDEX('6. Base de Custos'!$P$8:$P$42,MATCH(C989,'6. Base de Custos'!$L$8:$L$42,0)),"Revisar"))</f>
        <v/>
      </c>
      <c r="Q989" s="59">
        <f>IF(C989="","",IFERROR(INDEX('6. Base de Custos'!$Q$8:$Q$42,MATCH(C989,'6. Base de Custos'!$L$8:$L$42,0)),""))</f>
        <v/>
      </c>
      <c r="R989" s="65">
        <f>IF(C989="","",IFERROR(VLOOKUP(M989&amp;"|"&amp;N989,'17. Mapa DRE CP'!$E$5:$H$100,2,FALSE),"Revisar"))</f>
        <v/>
      </c>
      <c r="S989" s="65">
        <f>IF(C989="","",IFERROR(VLOOKUP(M989&amp;"|"&amp;N989,'17. Mapa DRE CP'!$E$5:$H$100,3,FALSE),"Revisar"))</f>
        <v/>
      </c>
      <c r="T989" s="65">
        <f>IF(C989="","",IF(R989="(-) Custos diretos dos serviços",IF(ISNUMBER(SEARCH("PCMSO",C989)),"PCMSO",IF(OR(ISNUMBER(SEARCH("SGS",C989)),ISNUMBER(SEARCH("CASTRO NAVES",C989))),"Projetos / Laudos / Avulsos","Projetos / Laudos / Avulsos")),"Rateio pela receita bruta"))</f>
        <v/>
      </c>
      <c r="U989" s="65">
        <f>IF(C989="","",IF(R989="(-) Custos diretos dos serviços","Direto por fornecedor/natureza do gasto","Rateio proporcional à receita bruta da linha de serviço"))</f>
        <v/>
      </c>
    </row>
    <row r="990">
      <c r="A990" s="28">
        <f>IF(C990="","", "CP-"&amp;TEXT(ROW()-5,"000"))</f>
        <v/>
      </c>
      <c r="B990" s="27">
        <f>IF(F990="","",DATE(YEAR(F990),MONTH(F990),1))</f>
        <v/>
      </c>
      <c r="C990" s="28" t="n"/>
      <c r="D990" s="28" t="n"/>
      <c r="E990" s="59">
        <f>IF(C990="","",IFERROR(INDEX('6. Base de Custos'!$M$8:$M$42,MATCH(C990,'6. Base de Custos'!$L$8:$L$42,0)),"Não classificado"))</f>
        <v/>
      </c>
      <c r="F990" s="111" t="n"/>
      <c r="G990" s="111" t="n"/>
      <c r="H990" s="111" t="n"/>
      <c r="I990" s="45" t="n"/>
      <c r="J990" s="28" t="n"/>
      <c r="K990" s="28" t="n"/>
      <c r="L990" s="28" t="n"/>
      <c r="M990" s="59">
        <f>IF(C990="","",IFERROR(INDEX('6. Base de Custos'!$N$8:$N$42,MATCH(C990,'6. Base de Custos'!$L$8:$L$42,0)),"Não classificado"))</f>
        <v/>
      </c>
      <c r="N990" s="59">
        <f>IF(C990="","",IFERROR(INDEX('6. Base de Custos'!$O$8:$O$42,MATCH(C990,'6. Base de Custos'!$L$8:$L$42,0)),"Revisar"))</f>
        <v/>
      </c>
      <c r="O990" s="60">
        <f>IF(M990="","",IFERROR(VLOOKUP(M990,'6. Base de Custos'!$H$12:$J$18,3,FALSE),0))</f>
        <v/>
      </c>
      <c r="P990" s="59">
        <f>IF(C990="","",IFERROR(INDEX('6. Base de Custos'!$P$8:$P$42,MATCH(C990,'6. Base de Custos'!$L$8:$L$42,0)),"Revisar"))</f>
        <v/>
      </c>
      <c r="Q990" s="59">
        <f>IF(C990="","",IFERROR(INDEX('6. Base de Custos'!$Q$8:$Q$42,MATCH(C990,'6. Base de Custos'!$L$8:$L$42,0)),""))</f>
        <v/>
      </c>
      <c r="R990" s="65">
        <f>IF(C990="","",IFERROR(VLOOKUP(M990&amp;"|"&amp;N990,'17. Mapa DRE CP'!$E$5:$H$100,2,FALSE),"Revisar"))</f>
        <v/>
      </c>
      <c r="S990" s="65">
        <f>IF(C990="","",IFERROR(VLOOKUP(M990&amp;"|"&amp;N990,'17. Mapa DRE CP'!$E$5:$H$100,3,FALSE),"Revisar"))</f>
        <v/>
      </c>
      <c r="T990" s="65">
        <f>IF(C990="","",IF(R990="(-) Custos diretos dos serviços",IF(ISNUMBER(SEARCH("PCMSO",C990)),"PCMSO",IF(OR(ISNUMBER(SEARCH("SGS",C990)),ISNUMBER(SEARCH("CASTRO NAVES",C990))),"Projetos / Laudos / Avulsos","Projetos / Laudos / Avulsos")),"Rateio pela receita bruta"))</f>
        <v/>
      </c>
      <c r="U990" s="65">
        <f>IF(C990="","",IF(R990="(-) Custos diretos dos serviços","Direto por fornecedor/natureza do gasto","Rateio proporcional à receita bruta da linha de serviço"))</f>
        <v/>
      </c>
    </row>
    <row r="991">
      <c r="A991" s="28">
        <f>IF(C991="","", "CP-"&amp;TEXT(ROW()-5,"000"))</f>
        <v/>
      </c>
      <c r="B991" s="27">
        <f>IF(F991="","",DATE(YEAR(F991),MONTH(F991),1))</f>
        <v/>
      </c>
      <c r="C991" s="28" t="n"/>
      <c r="D991" s="28" t="n"/>
      <c r="E991" s="59">
        <f>IF(C991="","",IFERROR(INDEX('6. Base de Custos'!$M$8:$M$42,MATCH(C991,'6. Base de Custos'!$L$8:$L$42,0)),"Não classificado"))</f>
        <v/>
      </c>
      <c r="F991" s="111" t="n"/>
      <c r="G991" s="111" t="n"/>
      <c r="H991" s="111" t="n"/>
      <c r="I991" s="45" t="n"/>
      <c r="J991" s="28" t="n"/>
      <c r="K991" s="28" t="n"/>
      <c r="L991" s="28" t="n"/>
      <c r="M991" s="59">
        <f>IF(C991="","",IFERROR(INDEX('6. Base de Custos'!$N$8:$N$42,MATCH(C991,'6. Base de Custos'!$L$8:$L$42,0)),"Não classificado"))</f>
        <v/>
      </c>
      <c r="N991" s="59">
        <f>IF(C991="","",IFERROR(INDEX('6. Base de Custos'!$O$8:$O$42,MATCH(C991,'6. Base de Custos'!$L$8:$L$42,0)),"Revisar"))</f>
        <v/>
      </c>
      <c r="O991" s="60">
        <f>IF(M991="","",IFERROR(VLOOKUP(M991,'6. Base de Custos'!$H$12:$J$18,3,FALSE),0))</f>
        <v/>
      </c>
      <c r="P991" s="59">
        <f>IF(C991="","",IFERROR(INDEX('6. Base de Custos'!$P$8:$P$42,MATCH(C991,'6. Base de Custos'!$L$8:$L$42,0)),"Revisar"))</f>
        <v/>
      </c>
      <c r="Q991" s="59">
        <f>IF(C991="","",IFERROR(INDEX('6. Base de Custos'!$Q$8:$Q$42,MATCH(C991,'6. Base de Custos'!$L$8:$L$42,0)),""))</f>
        <v/>
      </c>
      <c r="R991" s="65">
        <f>IF(C991="","",IFERROR(VLOOKUP(M991&amp;"|"&amp;N991,'17. Mapa DRE CP'!$E$5:$H$100,2,FALSE),"Revisar"))</f>
        <v/>
      </c>
      <c r="S991" s="65">
        <f>IF(C991="","",IFERROR(VLOOKUP(M991&amp;"|"&amp;N991,'17. Mapa DRE CP'!$E$5:$H$100,3,FALSE),"Revisar"))</f>
        <v/>
      </c>
      <c r="T991" s="65">
        <f>IF(C991="","",IF(R991="(-) Custos diretos dos serviços",IF(ISNUMBER(SEARCH("PCMSO",C991)),"PCMSO",IF(OR(ISNUMBER(SEARCH("SGS",C991)),ISNUMBER(SEARCH("CASTRO NAVES",C991))),"Projetos / Laudos / Avulsos","Projetos / Laudos / Avulsos")),"Rateio pela receita bruta"))</f>
        <v/>
      </c>
      <c r="U991" s="65">
        <f>IF(C991="","",IF(R991="(-) Custos diretos dos serviços","Direto por fornecedor/natureza do gasto","Rateio proporcional à receita bruta da linha de serviço"))</f>
        <v/>
      </c>
    </row>
    <row r="992">
      <c r="A992" s="28">
        <f>IF(C992="","", "CP-"&amp;TEXT(ROW()-5,"000"))</f>
        <v/>
      </c>
      <c r="B992" s="27">
        <f>IF(F992="","",DATE(YEAR(F992),MONTH(F992),1))</f>
        <v/>
      </c>
      <c r="C992" s="28" t="n"/>
      <c r="D992" s="28" t="n"/>
      <c r="E992" s="59">
        <f>IF(C992="","",IFERROR(INDEX('6. Base de Custos'!$M$8:$M$42,MATCH(C992,'6. Base de Custos'!$L$8:$L$42,0)),"Não classificado"))</f>
        <v/>
      </c>
      <c r="F992" s="111" t="n"/>
      <c r="G992" s="111" t="n"/>
      <c r="H992" s="111" t="n"/>
      <c r="I992" s="45" t="n"/>
      <c r="J992" s="28" t="n"/>
      <c r="K992" s="28" t="n"/>
      <c r="L992" s="28" t="n"/>
      <c r="M992" s="59">
        <f>IF(C992="","",IFERROR(INDEX('6. Base de Custos'!$N$8:$N$42,MATCH(C992,'6. Base de Custos'!$L$8:$L$42,0)),"Não classificado"))</f>
        <v/>
      </c>
      <c r="N992" s="59">
        <f>IF(C992="","",IFERROR(INDEX('6. Base de Custos'!$O$8:$O$42,MATCH(C992,'6. Base de Custos'!$L$8:$L$42,0)),"Revisar"))</f>
        <v/>
      </c>
      <c r="O992" s="60">
        <f>IF(M992="","",IFERROR(VLOOKUP(M992,'6. Base de Custos'!$H$12:$J$18,3,FALSE),0))</f>
        <v/>
      </c>
      <c r="P992" s="59">
        <f>IF(C992="","",IFERROR(INDEX('6. Base de Custos'!$P$8:$P$42,MATCH(C992,'6. Base de Custos'!$L$8:$L$42,0)),"Revisar"))</f>
        <v/>
      </c>
      <c r="Q992" s="59">
        <f>IF(C992="","",IFERROR(INDEX('6. Base de Custos'!$Q$8:$Q$42,MATCH(C992,'6. Base de Custos'!$L$8:$L$42,0)),""))</f>
        <v/>
      </c>
      <c r="R992" s="65">
        <f>IF(C992="","",IFERROR(VLOOKUP(M992&amp;"|"&amp;N992,'17. Mapa DRE CP'!$E$5:$H$100,2,FALSE),"Revisar"))</f>
        <v/>
      </c>
      <c r="S992" s="65">
        <f>IF(C992="","",IFERROR(VLOOKUP(M992&amp;"|"&amp;N992,'17. Mapa DRE CP'!$E$5:$H$100,3,FALSE),"Revisar"))</f>
        <v/>
      </c>
      <c r="T992" s="65">
        <f>IF(C992="","",IF(R992="(-) Custos diretos dos serviços",IF(ISNUMBER(SEARCH("PCMSO",C992)),"PCMSO",IF(OR(ISNUMBER(SEARCH("SGS",C992)),ISNUMBER(SEARCH("CASTRO NAVES",C992))),"Projetos / Laudos / Avulsos","Projetos / Laudos / Avulsos")),"Rateio pela receita bruta"))</f>
        <v/>
      </c>
      <c r="U992" s="65">
        <f>IF(C992="","",IF(R992="(-) Custos diretos dos serviços","Direto por fornecedor/natureza do gasto","Rateio proporcional à receita bruta da linha de serviço"))</f>
        <v/>
      </c>
    </row>
    <row r="993">
      <c r="A993" s="28">
        <f>IF(C993="","", "CP-"&amp;TEXT(ROW()-5,"000"))</f>
        <v/>
      </c>
      <c r="B993" s="27">
        <f>IF(F993="","",DATE(YEAR(F993),MONTH(F993),1))</f>
        <v/>
      </c>
      <c r="C993" s="28" t="n"/>
      <c r="D993" s="28" t="n"/>
      <c r="E993" s="59">
        <f>IF(C993="","",IFERROR(INDEX('6. Base de Custos'!$M$8:$M$42,MATCH(C993,'6. Base de Custos'!$L$8:$L$42,0)),"Não classificado"))</f>
        <v/>
      </c>
      <c r="F993" s="111" t="n"/>
      <c r="G993" s="111" t="n"/>
      <c r="H993" s="111" t="n"/>
      <c r="I993" s="45" t="n"/>
      <c r="J993" s="28" t="n"/>
      <c r="K993" s="28" t="n"/>
      <c r="L993" s="28" t="n"/>
      <c r="M993" s="59">
        <f>IF(C993="","",IFERROR(INDEX('6. Base de Custos'!$N$8:$N$42,MATCH(C993,'6. Base de Custos'!$L$8:$L$42,0)),"Não classificado"))</f>
        <v/>
      </c>
      <c r="N993" s="59">
        <f>IF(C993="","",IFERROR(INDEX('6. Base de Custos'!$O$8:$O$42,MATCH(C993,'6. Base de Custos'!$L$8:$L$42,0)),"Revisar"))</f>
        <v/>
      </c>
      <c r="O993" s="60">
        <f>IF(M993="","",IFERROR(VLOOKUP(M993,'6. Base de Custos'!$H$12:$J$18,3,FALSE),0))</f>
        <v/>
      </c>
      <c r="P993" s="59">
        <f>IF(C993="","",IFERROR(INDEX('6. Base de Custos'!$P$8:$P$42,MATCH(C993,'6. Base de Custos'!$L$8:$L$42,0)),"Revisar"))</f>
        <v/>
      </c>
      <c r="Q993" s="59">
        <f>IF(C993="","",IFERROR(INDEX('6. Base de Custos'!$Q$8:$Q$42,MATCH(C993,'6. Base de Custos'!$L$8:$L$42,0)),""))</f>
        <v/>
      </c>
      <c r="R993" s="65">
        <f>IF(C993="","",IFERROR(VLOOKUP(M993&amp;"|"&amp;N993,'17. Mapa DRE CP'!$E$5:$H$100,2,FALSE),"Revisar"))</f>
        <v/>
      </c>
      <c r="S993" s="65">
        <f>IF(C993="","",IFERROR(VLOOKUP(M993&amp;"|"&amp;N993,'17. Mapa DRE CP'!$E$5:$H$100,3,FALSE),"Revisar"))</f>
        <v/>
      </c>
      <c r="T993" s="65">
        <f>IF(C993="","",IF(R993="(-) Custos diretos dos serviços",IF(ISNUMBER(SEARCH("PCMSO",C993)),"PCMSO",IF(OR(ISNUMBER(SEARCH("SGS",C993)),ISNUMBER(SEARCH("CASTRO NAVES",C993))),"Projetos / Laudos / Avulsos","Projetos / Laudos / Avulsos")),"Rateio pela receita bruta"))</f>
        <v/>
      </c>
      <c r="U993" s="65">
        <f>IF(C993="","",IF(R993="(-) Custos diretos dos serviços","Direto por fornecedor/natureza do gasto","Rateio proporcional à receita bruta da linha de serviço"))</f>
        <v/>
      </c>
    </row>
    <row r="994">
      <c r="A994" s="28">
        <f>IF(C994="","", "CP-"&amp;TEXT(ROW()-5,"000"))</f>
        <v/>
      </c>
      <c r="B994" s="27">
        <f>IF(F994="","",DATE(YEAR(F994),MONTH(F994),1))</f>
        <v/>
      </c>
      <c r="C994" s="28" t="n"/>
      <c r="D994" s="28" t="n"/>
      <c r="E994" s="59">
        <f>IF(C994="","",IFERROR(INDEX('6. Base de Custos'!$M$8:$M$42,MATCH(C994,'6. Base de Custos'!$L$8:$L$42,0)),"Não classificado"))</f>
        <v/>
      </c>
      <c r="F994" s="111" t="n"/>
      <c r="G994" s="111" t="n"/>
      <c r="H994" s="111" t="n"/>
      <c r="I994" s="45" t="n"/>
      <c r="J994" s="28" t="n"/>
      <c r="K994" s="28" t="n"/>
      <c r="L994" s="28" t="n"/>
      <c r="M994" s="59">
        <f>IF(C994="","",IFERROR(INDEX('6. Base de Custos'!$N$8:$N$42,MATCH(C994,'6. Base de Custos'!$L$8:$L$42,0)),"Não classificado"))</f>
        <v/>
      </c>
      <c r="N994" s="59">
        <f>IF(C994="","",IFERROR(INDEX('6. Base de Custos'!$O$8:$O$42,MATCH(C994,'6. Base de Custos'!$L$8:$L$42,0)),"Revisar"))</f>
        <v/>
      </c>
      <c r="O994" s="60">
        <f>IF(M994="","",IFERROR(VLOOKUP(M994,'6. Base de Custos'!$H$12:$J$18,3,FALSE),0))</f>
        <v/>
      </c>
      <c r="P994" s="59">
        <f>IF(C994="","",IFERROR(INDEX('6. Base de Custos'!$P$8:$P$42,MATCH(C994,'6. Base de Custos'!$L$8:$L$42,0)),"Revisar"))</f>
        <v/>
      </c>
      <c r="Q994" s="59">
        <f>IF(C994="","",IFERROR(INDEX('6. Base de Custos'!$Q$8:$Q$42,MATCH(C994,'6. Base de Custos'!$L$8:$L$42,0)),""))</f>
        <v/>
      </c>
      <c r="R994" s="65">
        <f>IF(C994="","",IFERROR(VLOOKUP(M994&amp;"|"&amp;N994,'17. Mapa DRE CP'!$E$5:$H$100,2,FALSE),"Revisar"))</f>
        <v/>
      </c>
      <c r="S994" s="65">
        <f>IF(C994="","",IFERROR(VLOOKUP(M994&amp;"|"&amp;N994,'17. Mapa DRE CP'!$E$5:$H$100,3,FALSE),"Revisar"))</f>
        <v/>
      </c>
      <c r="T994" s="65">
        <f>IF(C994="","",IF(R994="(-) Custos diretos dos serviços",IF(ISNUMBER(SEARCH("PCMSO",C994)),"PCMSO",IF(OR(ISNUMBER(SEARCH("SGS",C994)),ISNUMBER(SEARCH("CASTRO NAVES",C994))),"Projetos / Laudos / Avulsos","Projetos / Laudos / Avulsos")),"Rateio pela receita bruta"))</f>
        <v/>
      </c>
      <c r="U994" s="65">
        <f>IF(C994="","",IF(R994="(-) Custos diretos dos serviços","Direto por fornecedor/natureza do gasto","Rateio proporcional à receita bruta da linha de serviço"))</f>
        <v/>
      </c>
    </row>
    <row r="995">
      <c r="A995" s="28">
        <f>IF(C995="","", "CP-"&amp;TEXT(ROW()-5,"000"))</f>
        <v/>
      </c>
      <c r="B995" s="27">
        <f>IF(F995="","",DATE(YEAR(F995),MONTH(F995),1))</f>
        <v/>
      </c>
      <c r="C995" s="28" t="n"/>
      <c r="D995" s="28" t="n"/>
      <c r="E995" s="59">
        <f>IF(C995="","",IFERROR(INDEX('6. Base de Custos'!$M$8:$M$42,MATCH(C995,'6. Base de Custos'!$L$8:$L$42,0)),"Não classificado"))</f>
        <v/>
      </c>
      <c r="F995" s="111" t="n"/>
      <c r="G995" s="111" t="n"/>
      <c r="H995" s="111" t="n"/>
      <c r="I995" s="45" t="n"/>
      <c r="J995" s="28" t="n"/>
      <c r="K995" s="28" t="n"/>
      <c r="L995" s="28" t="n"/>
      <c r="M995" s="59">
        <f>IF(C995="","",IFERROR(INDEX('6. Base de Custos'!$N$8:$N$42,MATCH(C995,'6. Base de Custos'!$L$8:$L$42,0)),"Não classificado"))</f>
        <v/>
      </c>
      <c r="N995" s="59">
        <f>IF(C995="","",IFERROR(INDEX('6. Base de Custos'!$O$8:$O$42,MATCH(C995,'6. Base de Custos'!$L$8:$L$42,0)),"Revisar"))</f>
        <v/>
      </c>
      <c r="O995" s="60">
        <f>IF(M995="","",IFERROR(VLOOKUP(M995,'6. Base de Custos'!$H$12:$J$18,3,FALSE),0))</f>
        <v/>
      </c>
      <c r="P995" s="59">
        <f>IF(C995="","",IFERROR(INDEX('6. Base de Custos'!$P$8:$P$42,MATCH(C995,'6. Base de Custos'!$L$8:$L$42,0)),"Revisar"))</f>
        <v/>
      </c>
      <c r="Q995" s="59">
        <f>IF(C995="","",IFERROR(INDEX('6. Base de Custos'!$Q$8:$Q$42,MATCH(C995,'6. Base de Custos'!$L$8:$L$42,0)),""))</f>
        <v/>
      </c>
      <c r="R995" s="65">
        <f>IF(C995="","",IFERROR(VLOOKUP(M995&amp;"|"&amp;N995,'17. Mapa DRE CP'!$E$5:$H$100,2,FALSE),"Revisar"))</f>
        <v/>
      </c>
      <c r="S995" s="65">
        <f>IF(C995="","",IFERROR(VLOOKUP(M995&amp;"|"&amp;N995,'17. Mapa DRE CP'!$E$5:$H$100,3,FALSE),"Revisar"))</f>
        <v/>
      </c>
      <c r="T995" s="65">
        <f>IF(C995="","",IF(R995="(-) Custos diretos dos serviços",IF(ISNUMBER(SEARCH("PCMSO",C995)),"PCMSO",IF(OR(ISNUMBER(SEARCH("SGS",C995)),ISNUMBER(SEARCH("CASTRO NAVES",C995))),"Projetos / Laudos / Avulsos","Projetos / Laudos / Avulsos")),"Rateio pela receita bruta"))</f>
        <v/>
      </c>
      <c r="U995" s="65">
        <f>IF(C995="","",IF(R995="(-) Custos diretos dos serviços","Direto por fornecedor/natureza do gasto","Rateio proporcional à receita bruta da linha de serviço"))</f>
        <v/>
      </c>
    </row>
    <row r="996">
      <c r="A996" s="28">
        <f>IF(C996="","", "CP-"&amp;TEXT(ROW()-5,"000"))</f>
        <v/>
      </c>
      <c r="B996" s="27">
        <f>IF(F996="","",DATE(YEAR(F996),MONTH(F996),1))</f>
        <v/>
      </c>
      <c r="C996" s="28" t="n"/>
      <c r="D996" s="28" t="n"/>
      <c r="E996" s="59">
        <f>IF(C996="","",IFERROR(INDEX('6. Base de Custos'!$M$8:$M$42,MATCH(C996,'6. Base de Custos'!$L$8:$L$42,0)),"Não classificado"))</f>
        <v/>
      </c>
      <c r="F996" s="111" t="n"/>
      <c r="G996" s="111" t="n"/>
      <c r="H996" s="111" t="n"/>
      <c r="I996" s="45" t="n"/>
      <c r="J996" s="28" t="n"/>
      <c r="K996" s="28" t="n"/>
      <c r="L996" s="28" t="n"/>
      <c r="M996" s="59">
        <f>IF(C996="","",IFERROR(INDEX('6. Base de Custos'!$N$8:$N$42,MATCH(C996,'6. Base de Custos'!$L$8:$L$42,0)),"Não classificado"))</f>
        <v/>
      </c>
      <c r="N996" s="59">
        <f>IF(C996="","",IFERROR(INDEX('6. Base de Custos'!$O$8:$O$42,MATCH(C996,'6. Base de Custos'!$L$8:$L$42,0)),"Revisar"))</f>
        <v/>
      </c>
      <c r="O996" s="60">
        <f>IF(M996="","",IFERROR(VLOOKUP(M996,'6. Base de Custos'!$H$12:$J$18,3,FALSE),0))</f>
        <v/>
      </c>
      <c r="P996" s="59">
        <f>IF(C996="","",IFERROR(INDEX('6. Base de Custos'!$P$8:$P$42,MATCH(C996,'6. Base de Custos'!$L$8:$L$42,0)),"Revisar"))</f>
        <v/>
      </c>
      <c r="Q996" s="59">
        <f>IF(C996="","",IFERROR(INDEX('6. Base de Custos'!$Q$8:$Q$42,MATCH(C996,'6. Base de Custos'!$L$8:$L$42,0)),""))</f>
        <v/>
      </c>
      <c r="R996" s="65">
        <f>IF(C996="","",IFERROR(VLOOKUP(M996&amp;"|"&amp;N996,'17. Mapa DRE CP'!$E$5:$H$100,2,FALSE),"Revisar"))</f>
        <v/>
      </c>
      <c r="S996" s="65">
        <f>IF(C996="","",IFERROR(VLOOKUP(M996&amp;"|"&amp;N996,'17. Mapa DRE CP'!$E$5:$H$100,3,FALSE),"Revisar"))</f>
        <v/>
      </c>
      <c r="T996" s="65">
        <f>IF(C996="","",IF(R996="(-) Custos diretos dos serviços",IF(ISNUMBER(SEARCH("PCMSO",C996)),"PCMSO",IF(OR(ISNUMBER(SEARCH("SGS",C996)),ISNUMBER(SEARCH("CASTRO NAVES",C996))),"Projetos / Laudos / Avulsos","Projetos / Laudos / Avulsos")),"Rateio pela receita bruta"))</f>
        <v/>
      </c>
      <c r="U996" s="65">
        <f>IF(C996="","",IF(R996="(-) Custos diretos dos serviços","Direto por fornecedor/natureza do gasto","Rateio proporcional à receita bruta da linha de serviço"))</f>
        <v/>
      </c>
    </row>
    <row r="997">
      <c r="A997" s="28">
        <f>IF(C997="","", "CP-"&amp;TEXT(ROW()-5,"000"))</f>
        <v/>
      </c>
      <c r="B997" s="27">
        <f>IF(F997="","",DATE(YEAR(F997),MONTH(F997),1))</f>
        <v/>
      </c>
      <c r="C997" s="28" t="n"/>
      <c r="D997" s="28" t="n"/>
      <c r="E997" s="59">
        <f>IF(C997="","",IFERROR(INDEX('6. Base de Custos'!$M$8:$M$42,MATCH(C997,'6. Base de Custos'!$L$8:$L$42,0)),"Não classificado"))</f>
        <v/>
      </c>
      <c r="F997" s="111" t="n"/>
      <c r="G997" s="111" t="n"/>
      <c r="H997" s="111" t="n"/>
      <c r="I997" s="45" t="n"/>
      <c r="J997" s="28" t="n"/>
      <c r="K997" s="28" t="n"/>
      <c r="L997" s="28" t="n"/>
      <c r="M997" s="59">
        <f>IF(C997="","",IFERROR(INDEX('6. Base de Custos'!$N$8:$N$42,MATCH(C997,'6. Base de Custos'!$L$8:$L$42,0)),"Não classificado"))</f>
        <v/>
      </c>
      <c r="N997" s="59">
        <f>IF(C997="","",IFERROR(INDEX('6. Base de Custos'!$O$8:$O$42,MATCH(C997,'6. Base de Custos'!$L$8:$L$42,0)),"Revisar"))</f>
        <v/>
      </c>
      <c r="O997" s="60">
        <f>IF(M997="","",IFERROR(VLOOKUP(M997,'6. Base de Custos'!$H$12:$J$18,3,FALSE),0))</f>
        <v/>
      </c>
      <c r="P997" s="59">
        <f>IF(C997="","",IFERROR(INDEX('6. Base de Custos'!$P$8:$P$42,MATCH(C997,'6. Base de Custos'!$L$8:$L$42,0)),"Revisar"))</f>
        <v/>
      </c>
      <c r="Q997" s="59">
        <f>IF(C997="","",IFERROR(INDEX('6. Base de Custos'!$Q$8:$Q$42,MATCH(C997,'6. Base de Custos'!$L$8:$L$42,0)),""))</f>
        <v/>
      </c>
      <c r="R997" s="65">
        <f>IF(C997="","",IFERROR(VLOOKUP(M997&amp;"|"&amp;N997,'17. Mapa DRE CP'!$E$5:$H$100,2,FALSE),"Revisar"))</f>
        <v/>
      </c>
      <c r="S997" s="65">
        <f>IF(C997="","",IFERROR(VLOOKUP(M997&amp;"|"&amp;N997,'17. Mapa DRE CP'!$E$5:$H$100,3,FALSE),"Revisar"))</f>
        <v/>
      </c>
      <c r="T997" s="65">
        <f>IF(C997="","",IF(R997="(-) Custos diretos dos serviços",IF(ISNUMBER(SEARCH("PCMSO",C997)),"PCMSO",IF(OR(ISNUMBER(SEARCH("SGS",C997)),ISNUMBER(SEARCH("CASTRO NAVES",C997))),"Projetos / Laudos / Avulsos","Projetos / Laudos / Avulsos")),"Rateio pela receita bruta"))</f>
        <v/>
      </c>
      <c r="U997" s="65">
        <f>IF(C997="","",IF(R997="(-) Custos diretos dos serviços","Direto por fornecedor/natureza do gasto","Rateio proporcional à receita bruta da linha de serviço"))</f>
        <v/>
      </c>
    </row>
    <row r="998">
      <c r="A998" s="28">
        <f>IF(C998="","", "CP-"&amp;TEXT(ROW()-5,"000"))</f>
        <v/>
      </c>
      <c r="B998" s="27">
        <f>IF(F998="","",DATE(YEAR(F998),MONTH(F998),1))</f>
        <v/>
      </c>
      <c r="C998" s="28" t="n"/>
      <c r="D998" s="28" t="n"/>
      <c r="E998" s="59">
        <f>IF(C998="","",IFERROR(INDEX('6. Base de Custos'!$M$8:$M$42,MATCH(C998,'6. Base de Custos'!$L$8:$L$42,0)),"Não classificado"))</f>
        <v/>
      </c>
      <c r="F998" s="111" t="n"/>
      <c r="G998" s="111" t="n"/>
      <c r="H998" s="111" t="n"/>
      <c r="I998" s="45" t="n"/>
      <c r="J998" s="28" t="n"/>
      <c r="K998" s="28" t="n"/>
      <c r="L998" s="28" t="n"/>
      <c r="M998" s="59">
        <f>IF(C998="","",IFERROR(INDEX('6. Base de Custos'!$N$8:$N$42,MATCH(C998,'6. Base de Custos'!$L$8:$L$42,0)),"Não classificado"))</f>
        <v/>
      </c>
      <c r="N998" s="59">
        <f>IF(C998="","",IFERROR(INDEX('6. Base de Custos'!$O$8:$O$42,MATCH(C998,'6. Base de Custos'!$L$8:$L$42,0)),"Revisar"))</f>
        <v/>
      </c>
      <c r="O998" s="60">
        <f>IF(M998="","",IFERROR(VLOOKUP(M998,'6. Base de Custos'!$H$12:$J$18,3,FALSE),0))</f>
        <v/>
      </c>
      <c r="P998" s="59">
        <f>IF(C998="","",IFERROR(INDEX('6. Base de Custos'!$P$8:$P$42,MATCH(C998,'6. Base de Custos'!$L$8:$L$42,0)),"Revisar"))</f>
        <v/>
      </c>
      <c r="Q998" s="59">
        <f>IF(C998="","",IFERROR(INDEX('6. Base de Custos'!$Q$8:$Q$42,MATCH(C998,'6. Base de Custos'!$L$8:$L$42,0)),""))</f>
        <v/>
      </c>
      <c r="R998" s="65">
        <f>IF(C998="","",IFERROR(VLOOKUP(M998&amp;"|"&amp;N998,'17. Mapa DRE CP'!$E$5:$H$100,2,FALSE),"Revisar"))</f>
        <v/>
      </c>
      <c r="S998" s="65">
        <f>IF(C998="","",IFERROR(VLOOKUP(M998&amp;"|"&amp;N998,'17. Mapa DRE CP'!$E$5:$H$100,3,FALSE),"Revisar"))</f>
        <v/>
      </c>
      <c r="T998" s="65">
        <f>IF(C998="","",IF(R998="(-) Custos diretos dos serviços",IF(ISNUMBER(SEARCH("PCMSO",C998)),"PCMSO",IF(OR(ISNUMBER(SEARCH("SGS",C998)),ISNUMBER(SEARCH("CASTRO NAVES",C998))),"Projetos / Laudos / Avulsos","Projetos / Laudos / Avulsos")),"Rateio pela receita bruta"))</f>
        <v/>
      </c>
      <c r="U998" s="65">
        <f>IF(C998="","",IF(R998="(-) Custos diretos dos serviços","Direto por fornecedor/natureza do gasto","Rateio proporcional à receita bruta da linha de serviço"))</f>
        <v/>
      </c>
    </row>
    <row r="999">
      <c r="A999" s="28">
        <f>IF(C999="","", "CP-"&amp;TEXT(ROW()-5,"000"))</f>
        <v/>
      </c>
      <c r="B999" s="27">
        <f>IF(F999="","",DATE(YEAR(F999),MONTH(F999),1))</f>
        <v/>
      </c>
      <c r="C999" s="28" t="n"/>
      <c r="D999" s="28" t="n"/>
      <c r="E999" s="59">
        <f>IF(C999="","",IFERROR(INDEX('6. Base de Custos'!$M$8:$M$42,MATCH(C999,'6. Base de Custos'!$L$8:$L$42,0)),"Não classificado"))</f>
        <v/>
      </c>
      <c r="F999" s="111" t="n"/>
      <c r="G999" s="111" t="n"/>
      <c r="H999" s="111" t="n"/>
      <c r="I999" s="45" t="n"/>
      <c r="J999" s="28" t="n"/>
      <c r="K999" s="28" t="n"/>
      <c r="L999" s="28" t="n"/>
      <c r="M999" s="59">
        <f>IF(C999="","",IFERROR(INDEX('6. Base de Custos'!$N$8:$N$42,MATCH(C999,'6. Base de Custos'!$L$8:$L$42,0)),"Não classificado"))</f>
        <v/>
      </c>
      <c r="N999" s="59">
        <f>IF(C999="","",IFERROR(INDEX('6. Base de Custos'!$O$8:$O$42,MATCH(C999,'6. Base de Custos'!$L$8:$L$42,0)),"Revisar"))</f>
        <v/>
      </c>
      <c r="O999" s="60">
        <f>IF(M999="","",IFERROR(VLOOKUP(M999,'6. Base de Custos'!$H$12:$J$18,3,FALSE),0))</f>
        <v/>
      </c>
      <c r="P999" s="59">
        <f>IF(C999="","",IFERROR(INDEX('6. Base de Custos'!$P$8:$P$42,MATCH(C999,'6. Base de Custos'!$L$8:$L$42,0)),"Revisar"))</f>
        <v/>
      </c>
      <c r="Q999" s="59">
        <f>IF(C999="","",IFERROR(INDEX('6. Base de Custos'!$Q$8:$Q$42,MATCH(C999,'6. Base de Custos'!$L$8:$L$42,0)),""))</f>
        <v/>
      </c>
      <c r="R999" s="65">
        <f>IF(C999="","",IFERROR(VLOOKUP(M999&amp;"|"&amp;N999,'17. Mapa DRE CP'!$E$5:$H$100,2,FALSE),"Revisar"))</f>
        <v/>
      </c>
      <c r="S999" s="65">
        <f>IF(C999="","",IFERROR(VLOOKUP(M999&amp;"|"&amp;N999,'17. Mapa DRE CP'!$E$5:$H$100,3,FALSE),"Revisar"))</f>
        <v/>
      </c>
      <c r="T999" s="65">
        <f>IF(C999="","",IF(R999="(-) Custos diretos dos serviços",IF(ISNUMBER(SEARCH("PCMSO",C999)),"PCMSO",IF(OR(ISNUMBER(SEARCH("SGS",C999)),ISNUMBER(SEARCH("CASTRO NAVES",C999))),"Projetos / Laudos / Avulsos","Projetos / Laudos / Avulsos")),"Rateio pela receita bruta"))</f>
        <v/>
      </c>
      <c r="U999" s="65">
        <f>IF(C999="","",IF(R999="(-) Custos diretos dos serviços","Direto por fornecedor/natureza do gasto","Rateio proporcional à receita bruta da linha de serviço"))</f>
        <v/>
      </c>
    </row>
    <row r="1000">
      <c r="A1000" s="28">
        <f>IF(C1000="","", "CP-"&amp;TEXT(ROW()-5,"000"))</f>
        <v/>
      </c>
      <c r="B1000" s="27">
        <f>IF(F1000="","",DATE(YEAR(F1000),MONTH(F1000),1))</f>
        <v/>
      </c>
      <c r="C1000" s="28" t="n"/>
      <c r="D1000" s="28" t="n"/>
      <c r="E1000" s="59">
        <f>IF(C1000="","",IFERROR(INDEX('6. Base de Custos'!$M$8:$M$42,MATCH(C1000,'6. Base de Custos'!$L$8:$L$42,0)),"Não classificado"))</f>
        <v/>
      </c>
      <c r="F1000" s="111" t="n"/>
      <c r="G1000" s="111" t="n"/>
      <c r="H1000" s="111" t="n"/>
      <c r="I1000" s="45" t="n"/>
      <c r="J1000" s="28" t="n"/>
      <c r="K1000" s="28" t="n"/>
      <c r="L1000" s="28" t="n"/>
      <c r="M1000" s="59">
        <f>IF(C1000="","",IFERROR(INDEX('6. Base de Custos'!$N$8:$N$42,MATCH(C1000,'6. Base de Custos'!$L$8:$L$42,0)),"Não classificado"))</f>
        <v/>
      </c>
      <c r="N1000" s="59">
        <f>IF(C1000="","",IFERROR(INDEX('6. Base de Custos'!$O$8:$O$42,MATCH(C1000,'6. Base de Custos'!$L$8:$L$42,0)),"Revisar"))</f>
        <v/>
      </c>
      <c r="O1000" s="60">
        <f>IF(M1000="","",IFERROR(VLOOKUP(M1000,'6. Base de Custos'!$H$12:$J$18,3,FALSE),0))</f>
        <v/>
      </c>
      <c r="P1000" s="59">
        <f>IF(C1000="","",IFERROR(INDEX('6. Base de Custos'!$P$8:$P$42,MATCH(C1000,'6. Base de Custos'!$L$8:$L$42,0)),"Revisar"))</f>
        <v/>
      </c>
      <c r="Q1000" s="59">
        <f>IF(C1000="","",IFERROR(INDEX('6. Base de Custos'!$Q$8:$Q$42,MATCH(C1000,'6. Base de Custos'!$L$8:$L$42,0)),""))</f>
        <v/>
      </c>
      <c r="R1000" s="65">
        <f>IF(C1000="","",IFERROR(VLOOKUP(M1000&amp;"|"&amp;N1000,'17. Mapa DRE CP'!$E$5:$H$100,2,FALSE),"Revisar"))</f>
        <v/>
      </c>
      <c r="S1000" s="65">
        <f>IF(C1000="","",IFERROR(VLOOKUP(M1000&amp;"|"&amp;N1000,'17. Mapa DRE CP'!$E$5:$H$100,3,FALSE),"Revisar"))</f>
        <v/>
      </c>
      <c r="T1000" s="65">
        <f>IF(C1000="","",IF(R1000="(-) Custos diretos dos serviços",IF(ISNUMBER(SEARCH("PCMSO",C1000)),"PCMSO",IF(OR(ISNUMBER(SEARCH("SGS",C1000)),ISNUMBER(SEARCH("CASTRO NAVES",C1000))),"Projetos / Laudos / Avulsos","Projetos / Laudos / Avulsos")),"Rateio pela receita bruta"))</f>
        <v/>
      </c>
      <c r="U1000" s="65">
        <f>IF(C1000="","",IF(R1000="(-) Custos diretos dos serviços","Direto por fornecedor/natureza do gasto","Rateio proporcional à receita bruta da linha de serviço"))</f>
        <v/>
      </c>
    </row>
    <row r="1001">
      <c r="A1001" s="8" t="inlineStr">
        <is>
          <t>RESUMO DO BLOCO 3</t>
        </is>
      </c>
      <c r="B1001" s="23" t="n"/>
      <c r="C1001" s="23" t="n"/>
      <c r="D1001" s="23" t="n"/>
      <c r="E1001" s="23" t="n"/>
      <c r="F1001" s="23" t="n"/>
      <c r="G1001" s="23" t="n"/>
      <c r="H1001" s="23" t="n"/>
      <c r="I1001" s="23" t="n"/>
      <c r="J1001" s="23" t="n"/>
      <c r="K1001" s="23" t="n"/>
      <c r="L1001" s="23" t="n"/>
      <c r="M1001" s="8" t="inlineStr">
        <is>
          <t>RESUMO GERENCIAL POR GRUPO</t>
        </is>
      </c>
      <c r="N1001" s="23" t="n"/>
      <c r="O1001" s="23" t="n"/>
      <c r="P1001" s="23" t="n"/>
      <c r="Q1001" s="23" t="n"/>
    </row>
    <row r="1002">
      <c r="A1002" s="4" t="inlineStr">
        <is>
          <t>Obrigações lançadas</t>
        </is>
      </c>
      <c r="B1002" s="19">
        <f>COUNTIF(C6:C1000,"&lt;&gt;")</f>
        <v/>
      </c>
      <c r="M1002" s="3" t="inlineStr">
        <is>
          <t>Grupo gerencial</t>
        </is>
      </c>
      <c r="N1002" s="3" t="inlineStr">
        <is>
          <t>CP mês</t>
        </is>
      </c>
      <c r="O1002" s="3" t="inlineStr">
        <is>
          <t>% do CP</t>
        </is>
      </c>
      <c r="P1002" s="3" t="inlineStr">
        <is>
          <t>Base mensal</t>
        </is>
      </c>
      <c r="Q1002" s="3" t="inlineStr">
        <is>
          <t>Gap vs base</t>
        </is>
      </c>
    </row>
    <row r="1003">
      <c r="A1003" s="4" t="inlineStr">
        <is>
          <t>Valor total</t>
        </is>
      </c>
      <c r="B1003" s="43">
        <f>SUM(I6:I1000)</f>
        <v/>
      </c>
      <c r="M1003" s="4">
        <f>'6. Base de Custos'!H12</f>
        <v/>
      </c>
      <c r="N1003" s="61">
        <f>SUMIF($M$6:$M$55,M60,$I$6:$I$55)</f>
        <v/>
      </c>
      <c r="O1003" s="14">
        <f>IFERROR(N60/$B$60,0)</f>
        <v/>
      </c>
      <c r="P1003" s="61">
        <f>IFERROR(VLOOKUP(M60,'6. Base de Custos'!$H$12:$J$18,2,FALSE),0)</f>
        <v/>
      </c>
      <c r="Q1003" s="61">
        <f>N60-P60</f>
        <v/>
      </c>
    </row>
    <row r="1004">
      <c r="A1004" s="4" t="inlineStr">
        <is>
          <t>Pago</t>
        </is>
      </c>
      <c r="B1004" s="43">
        <f>SUMIFS(I6:I1000,J6:J1000,"Pago")</f>
        <v/>
      </c>
      <c r="M1004" s="4">
        <f>'6. Base de Custos'!H13</f>
        <v/>
      </c>
      <c r="N1004" s="61">
        <f>SUMIF($M$6:$M$55,M61,$I$6:$I$55)</f>
        <v/>
      </c>
      <c r="O1004" s="14">
        <f>IFERROR(N61/$B$60,0)</f>
        <v/>
      </c>
      <c r="P1004" s="61">
        <f>IFERROR(VLOOKUP(M61,'6. Base de Custos'!$H$12:$J$18,2,FALSE),0)</f>
        <v/>
      </c>
      <c r="Q1004" s="61">
        <f>N61-P61</f>
        <v/>
      </c>
    </row>
    <row r="1005">
      <c r="A1005" s="4" t="inlineStr">
        <is>
          <t>A pagar</t>
        </is>
      </c>
      <c r="B1005" s="43">
        <f>SUMIFS(I6:I1000,J6:J1000,"&lt;&gt;Pago",J6:J1000,"&lt;&gt;Cancelado")</f>
        <v/>
      </c>
      <c r="M1005" s="4">
        <f>'6. Base de Custos'!H14</f>
        <v/>
      </c>
      <c r="N1005" s="61">
        <f>SUMIF($M$6:$M$55,M62,$I$6:$I$55)</f>
        <v/>
      </c>
      <c r="O1005" s="14">
        <f>IFERROR(N62/$B$60,0)</f>
        <v/>
      </c>
      <c r="P1005" s="61">
        <f>IFERROR(VLOOKUP(M62,'6. Base de Custos'!$H$12:$J$18,2,FALSE),0)</f>
        <v/>
      </c>
      <c r="Q1005" s="61">
        <f>N62-P62</f>
        <v/>
      </c>
    </row>
    <row r="1006">
      <c r="A1006" s="4" t="inlineStr">
        <is>
          <t>Vencido</t>
        </is>
      </c>
      <c r="B1006" s="43">
        <f>SUMIFS(I6:I1000,J6:J1000,"Vencido")</f>
        <v/>
      </c>
      <c r="M1006" s="4">
        <f>'6. Base de Custos'!H15</f>
        <v/>
      </c>
      <c r="N1006" s="61">
        <f>SUMIF($M$6:$M$55,M63,$I$6:$I$55)</f>
        <v/>
      </c>
      <c r="O1006" s="14">
        <f>IFERROR(N63/$B$60,0)</f>
        <v/>
      </c>
      <c r="P1006" s="61">
        <f>IFERROR(VLOOKUP(M63,'6. Base de Custos'!$H$12:$J$18,2,FALSE),0)</f>
        <v/>
      </c>
      <c r="Q1006" s="61">
        <f>N63-P63</f>
        <v/>
      </c>
    </row>
    <row r="1007">
      <c r="A1007" s="8" t="inlineStr">
        <is>
          <t>CONFERÊNCIA COM BASE DE CUSTOS</t>
        </is>
      </c>
      <c r="B1007" s="23" t="n"/>
      <c r="C1007" s="23" t="n"/>
      <c r="D1007" s="23" t="n"/>
      <c r="M1007" s="4">
        <f>'6. Base de Custos'!H16</f>
        <v/>
      </c>
      <c r="N1007" s="61">
        <f>SUMIF($M$6:$M$55,M64,$I$6:$I$55)</f>
        <v/>
      </c>
      <c r="O1007" s="14">
        <f>IFERROR(N64/$B$60,0)</f>
        <v/>
      </c>
      <c r="P1007" s="61">
        <f>IFERROR(VLOOKUP(M64,'6. Base de Custos'!$H$12:$J$18,2,FALSE),0)</f>
        <v/>
      </c>
      <c r="Q1007" s="61">
        <f>N64-P64</f>
        <v/>
      </c>
    </row>
    <row r="1008">
      <c r="A1008" s="4" t="inlineStr">
        <is>
          <t>Estrutura fixa base</t>
        </is>
      </c>
      <c r="B1008" s="12">
        <f>ROUND('6. Base de Custos'!B35,2)</f>
        <v/>
      </c>
      <c r="C1008" s="13" t="inlineStr">
        <is>
          <t>Conferência da base fixa do CSV.</t>
        </is>
      </c>
      <c r="M1008" s="4">
        <f>'6. Base de Custos'!H17</f>
        <v/>
      </c>
      <c r="N1008" s="61">
        <f>SUMIF($M$6:$M$55,M65,$I$6:$I$55)</f>
        <v/>
      </c>
      <c r="O1008" s="14">
        <f>IFERROR(N65/$B$60,0)</f>
        <v/>
      </c>
      <c r="P1008" s="61">
        <f>IFERROR(VLOOKUP(M65,'6. Base de Custos'!$H$12:$J$18,2,FALSE),0)</f>
        <v/>
      </c>
      <c r="Q1008" s="61">
        <f>N65-P65</f>
        <v/>
      </c>
    </row>
    <row r="1009">
      <c r="A1009" s="4" t="inlineStr">
        <is>
          <t>Estrutura variável base</t>
        </is>
      </c>
      <c r="B1009" s="12">
        <f>ROUND('6. Base de Custos'!F19,2)</f>
        <v/>
      </c>
      <c r="C1009" s="13" t="inlineStr">
        <is>
          <t>Conferência da base variável do CSV.</t>
        </is>
      </c>
      <c r="M1009" s="4">
        <f>'6. Base de Custos'!H18</f>
        <v/>
      </c>
      <c r="N1009" s="61">
        <f>SUMIF($M$6:$M$55,M66,$I$6:$I$55)</f>
        <v/>
      </c>
      <c r="O1009" s="14">
        <f>IFERROR(N66/$B$60,0)</f>
        <v/>
      </c>
      <c r="P1009" s="61">
        <f>IFERROR(VLOOKUP(M66,'6. Base de Custos'!$H$12:$J$18,2,FALSE),0)</f>
        <v/>
      </c>
      <c r="Q1009" s="61">
        <f>N66-P66</f>
        <v/>
      </c>
    </row>
    <row r="1010">
      <c r="A1010" s="4" t="inlineStr">
        <is>
          <t>Estrutura total base</t>
        </is>
      </c>
      <c r="B1010" s="12">
        <f>ROUND('6. Base de Custos'!B7,2)</f>
        <v/>
      </c>
      <c r="C1010" s="13" t="inlineStr">
        <is>
          <t>Premissa mensal consolidada da estrutura.</t>
        </is>
      </c>
      <c r="M1010" s="8" t="inlineStr">
        <is>
          <t>Total</t>
        </is>
      </c>
      <c r="N1010" s="61">
        <f>SUM(N60:N66)</f>
        <v/>
      </c>
      <c r="O1010" s="14">
        <f>IFERROR(N67/$B$60,0)</f>
        <v/>
      </c>
      <c r="P1010" s="61">
        <f>SUM(P60:P66)</f>
        <v/>
      </c>
      <c r="Q1010" s="61">
        <f>N67-P67</f>
        <v/>
      </c>
    </row>
    <row r="1011">
      <c r="A1011" s="4" t="inlineStr">
        <is>
          <t>Dif. CP total x estrutura</t>
        </is>
      </c>
      <c r="B1011" s="12">
        <f>ROUND(B1003-B1010,2)</f>
        <v/>
      </c>
      <c r="C1011" s="13" t="inlineStr">
        <is>
          <t>Se diferente de zero, há divergência entre a base mensal e o mês lançado.</t>
        </is>
      </c>
    </row>
  </sheetData>
  <mergeCells count="6">
    <mergeCell ref="M58:Q58"/>
    <mergeCell ref="A4:Q4"/>
    <mergeCell ref="A64:D64"/>
    <mergeCell ref="A2:Q2"/>
    <mergeCell ref="A58:L58"/>
    <mergeCell ref="A1:Q1"/>
  </mergeCells>
  <dataValidations count="2">
    <dataValidation sqref="J6:J55" showDropDown="0" showInputMessage="0" showErrorMessage="0" allowBlank="0" type="list">
      <formula1>"A pagar,Pago,Vencido,Parcelado,Cancelado"</formula1>
    </dataValidation>
    <dataValidation sqref="K6:K55" showDropDown="0" showInputMessage="0" showErrorMessage="0" allowBlank="0" type="list">
      <formula1>"Fixo,Variável,Tributo,Folha,Financeiro"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4. FLUXO DE CAIXA — PROJEÇÃO E REALIZADO</t>
        </is>
      </c>
    </row>
    <row r="2">
      <c r="A2" s="2" t="inlineStr">
        <is>
          <t>O fluxo nasce da soma entre saldo inicial, entradas do CR e saídas do CP.</t>
        </is>
      </c>
    </row>
    <row r="4">
      <c r="A4" s="3" t="inlineStr">
        <is>
          <t>Saldo inicial de caixa</t>
        </is>
      </c>
      <c r="B4" s="21">
        <f>'0. Como Alimentar'!$B$5</f>
        <v/>
      </c>
    </row>
    <row r="6">
      <c r="A6" s="8" t="inlineStr">
        <is>
          <t>BASE MENSAL</t>
        </is>
      </c>
      <c r="B6" s="23" t="n"/>
      <c r="C6" s="23" t="n"/>
      <c r="D6" s="23" t="n"/>
      <c r="E6" s="23" t="n"/>
      <c r="F6" s="23" t="n"/>
      <c r="G6" s="23" t="n"/>
      <c r="H6" s="23" t="n"/>
    </row>
    <row r="7">
      <c r="A7" s="3" t="inlineStr">
        <is>
          <t>Mês</t>
        </is>
      </c>
      <c r="B7" s="3" t="inlineStr">
        <is>
          <t>Saldo inicial</t>
        </is>
      </c>
      <c r="C7" s="3" t="inlineStr">
        <is>
          <t>Entradas previstas</t>
        </is>
      </c>
      <c r="D7" s="3" t="inlineStr">
        <is>
          <t>Entradas realizadas</t>
        </is>
      </c>
      <c r="E7" s="3" t="inlineStr">
        <is>
          <t>Saídas previstas</t>
        </is>
      </c>
      <c r="F7" s="3" t="inlineStr">
        <is>
          <t>Saídas realizadas</t>
        </is>
      </c>
      <c r="G7" s="3" t="inlineStr">
        <is>
          <t>Saldo projetado</t>
        </is>
      </c>
      <c r="H7" s="3" t="inlineStr">
        <is>
          <t>Saldo realizado</t>
        </is>
      </c>
    </row>
    <row r="8">
      <c r="A8" s="46" t="n">
        <v>46023</v>
      </c>
      <c r="B8" s="47">
        <f>$B$4</f>
        <v/>
      </c>
      <c r="C8" s="47">
        <f>SUMIFS('2. Contas a Receber'!$H:$H,'2. Contas a Receber'!$E:$E,"&gt;="&amp;A8,'2. Contas a Receber'!$E:$E,"&lt;"&amp;DATE(YEAR(A8),MONTH(A8)+1,1),'2. Contas a Receber'!$J:$J,"&lt;&gt;Recebido",'2. Contas a Receber'!$J:$J,"&lt;&gt;Cancelado")</f>
        <v/>
      </c>
      <c r="D8" s="47">
        <f>SUMIFS('2. Contas a Receber'!$I:$I,'2. Contas a Receber'!$F:$F,"&gt;="&amp;A8,'2. Contas a Receber'!$F:$F,"&lt;"&amp;DATE(YEAR(A8),MONTH(A8)+1,1))</f>
        <v/>
      </c>
      <c r="E8" s="47">
        <f>SUMIFS('3. Contas a Pagar'!$I:$I,'3. Contas a Pagar'!$G:$G,"&gt;="&amp;A8,'3. Contas a Pagar'!$G:$G,"&lt;"&amp;DATE(YEAR(A8),MONTH(A8)+1,1),'3. Contas a Pagar'!$J:$J,"&lt;&gt;Pago",'3. Contas a Pagar'!$J:$J,"&lt;&gt;Cancelado")</f>
        <v/>
      </c>
      <c r="F8" s="47">
        <f>SUMIFS('3. Contas a Pagar'!$I:$I,'3. Contas a Pagar'!$H:$H,"&gt;="&amp;A8,'3. Contas a Pagar'!$H:$H,"&lt;"&amp;DATE(YEAR(A8),MONTH(A8)+1,1))</f>
        <v/>
      </c>
      <c r="G8" s="47">
        <f>B8+C8-E8</f>
        <v/>
      </c>
      <c r="H8" s="47">
        <f>B8+D8-F8</f>
        <v/>
      </c>
    </row>
    <row r="9">
      <c r="A9" s="46" t="n">
        <v>46054</v>
      </c>
      <c r="B9" s="47">
        <f>H8</f>
        <v/>
      </c>
      <c r="C9" s="47">
        <f>SUMIFS('2. Contas a Receber'!$H:$H,'2. Contas a Receber'!$E:$E,"&gt;="&amp;A9,'2. Contas a Receber'!$E:$E,"&lt;"&amp;DATE(YEAR(A9),MONTH(A9)+1,1),'2. Contas a Receber'!$J:$J,"&lt;&gt;Recebido",'2. Contas a Receber'!$J:$J,"&lt;&gt;Cancelado")</f>
        <v/>
      </c>
      <c r="D9" s="47">
        <f>SUMIFS('2. Contas a Receber'!$I:$I,'2. Contas a Receber'!$F:$F,"&gt;="&amp;A9,'2. Contas a Receber'!$F:$F,"&lt;"&amp;DATE(YEAR(A9),MONTH(A9)+1,1))</f>
        <v/>
      </c>
      <c r="E9" s="47">
        <f>SUMIFS('3. Contas a Pagar'!$I:$I,'3. Contas a Pagar'!$G:$G,"&gt;="&amp;A9,'3. Contas a Pagar'!$G:$G,"&lt;"&amp;DATE(YEAR(A9),MONTH(A9)+1,1),'3. Contas a Pagar'!$J:$J,"&lt;&gt;Pago",'3. Contas a Pagar'!$J:$J,"&lt;&gt;Cancelado")</f>
        <v/>
      </c>
      <c r="F9" s="47">
        <f>SUMIFS('3. Contas a Pagar'!$I:$I,'3. Contas a Pagar'!$H:$H,"&gt;="&amp;A9,'3. Contas a Pagar'!$H:$H,"&lt;"&amp;DATE(YEAR(A9),MONTH(A9)+1,1))</f>
        <v/>
      </c>
      <c r="G9" s="47">
        <f>B9+C9-E9</f>
        <v/>
      </c>
      <c r="H9" s="47">
        <f>B9+D9-F9</f>
        <v/>
      </c>
    </row>
    <row r="10">
      <c r="A10" s="46" t="n">
        <v>46082</v>
      </c>
      <c r="B10" s="47">
        <f>H9</f>
        <v/>
      </c>
      <c r="C10" s="47">
        <f>SUMIFS('2. Contas a Receber'!$H:$H,'2. Contas a Receber'!$E:$E,"&gt;="&amp;A10,'2. Contas a Receber'!$E:$E,"&lt;"&amp;DATE(YEAR(A10),MONTH(A10)+1,1),'2. Contas a Receber'!$J:$J,"&lt;&gt;Recebido",'2. Contas a Receber'!$J:$J,"&lt;&gt;Cancelado")</f>
        <v/>
      </c>
      <c r="D10" s="47">
        <f>SUMIFS('2. Contas a Receber'!$I:$I,'2. Contas a Receber'!$F:$F,"&gt;="&amp;A10,'2. Contas a Receber'!$F:$F,"&lt;"&amp;DATE(YEAR(A10),MONTH(A10)+1,1))</f>
        <v/>
      </c>
      <c r="E10" s="47">
        <f>SUMIFS('3. Contas a Pagar'!$I:$I,'3. Contas a Pagar'!$G:$G,"&gt;="&amp;A10,'3. Contas a Pagar'!$G:$G,"&lt;"&amp;DATE(YEAR(A10),MONTH(A10)+1,1),'3. Contas a Pagar'!$J:$J,"&lt;&gt;Pago",'3. Contas a Pagar'!$J:$J,"&lt;&gt;Cancelado")</f>
        <v/>
      </c>
      <c r="F10" s="47">
        <f>SUMIFS('3. Contas a Pagar'!$I:$I,'3. Contas a Pagar'!$H:$H,"&gt;="&amp;A10,'3. Contas a Pagar'!$H:$H,"&lt;"&amp;DATE(YEAR(A10),MONTH(A10)+1,1))</f>
        <v/>
      </c>
      <c r="G10" s="47">
        <f>B10+C10-E10</f>
        <v/>
      </c>
      <c r="H10" s="47">
        <f>B10+D10-F10</f>
        <v/>
      </c>
    </row>
    <row r="11">
      <c r="A11" s="46" t="n">
        <v>46113</v>
      </c>
      <c r="B11" s="47">
        <f>H10</f>
        <v/>
      </c>
      <c r="C11" s="47">
        <f>SUMIFS('2. Contas a Receber'!$H:$H,'2. Contas a Receber'!$E:$E,"&gt;="&amp;A11,'2. Contas a Receber'!$E:$E,"&lt;"&amp;DATE(YEAR(A11),MONTH(A11)+1,1),'2. Contas a Receber'!$J:$J,"&lt;&gt;Recebido",'2. Contas a Receber'!$J:$J,"&lt;&gt;Cancelado")</f>
        <v/>
      </c>
      <c r="D11" s="47">
        <f>SUMIFS('2. Contas a Receber'!$I:$I,'2. Contas a Receber'!$F:$F,"&gt;="&amp;A11,'2. Contas a Receber'!$F:$F,"&lt;"&amp;DATE(YEAR(A11),MONTH(A11)+1,1))</f>
        <v/>
      </c>
      <c r="E11" s="47">
        <f>SUMIFS('3. Contas a Pagar'!$I:$I,'3. Contas a Pagar'!$G:$G,"&gt;="&amp;A11,'3. Contas a Pagar'!$G:$G,"&lt;"&amp;DATE(YEAR(A11),MONTH(A11)+1,1),'3. Contas a Pagar'!$J:$J,"&lt;&gt;Pago",'3. Contas a Pagar'!$J:$J,"&lt;&gt;Cancelado")</f>
        <v/>
      </c>
      <c r="F11" s="47">
        <f>SUMIFS('3. Contas a Pagar'!$I:$I,'3. Contas a Pagar'!$H:$H,"&gt;="&amp;A11,'3. Contas a Pagar'!$H:$H,"&lt;"&amp;DATE(YEAR(A11),MONTH(A11)+1,1))</f>
        <v/>
      </c>
      <c r="G11" s="47">
        <f>B11+C11-E11</f>
        <v/>
      </c>
      <c r="H11" s="47">
        <f>B11+D11-F11</f>
        <v/>
      </c>
    </row>
    <row r="12">
      <c r="A12" s="46" t="n">
        <v>46143</v>
      </c>
      <c r="B12" s="47">
        <f>H11</f>
        <v/>
      </c>
      <c r="C12" s="47">
        <f>SUMIFS('2. Contas a Receber'!$H:$H,'2. Contas a Receber'!$E:$E,"&gt;="&amp;A12,'2. Contas a Receber'!$E:$E,"&lt;"&amp;DATE(YEAR(A12),MONTH(A12)+1,1),'2. Contas a Receber'!$J:$J,"&lt;&gt;Recebido",'2. Contas a Receber'!$J:$J,"&lt;&gt;Cancelado")</f>
        <v/>
      </c>
      <c r="D12" s="47">
        <f>SUMIFS('2. Contas a Receber'!$I:$I,'2. Contas a Receber'!$F:$F,"&gt;="&amp;A12,'2. Contas a Receber'!$F:$F,"&lt;"&amp;DATE(YEAR(A12),MONTH(A12)+1,1))</f>
        <v/>
      </c>
      <c r="E12" s="47">
        <f>SUMIFS('3. Contas a Pagar'!$I:$I,'3. Contas a Pagar'!$G:$G,"&gt;="&amp;A12,'3. Contas a Pagar'!$G:$G,"&lt;"&amp;DATE(YEAR(A12),MONTH(A12)+1,1),'3. Contas a Pagar'!$J:$J,"&lt;&gt;Pago",'3. Contas a Pagar'!$J:$J,"&lt;&gt;Cancelado")</f>
        <v/>
      </c>
      <c r="F12" s="47">
        <f>SUMIFS('3. Contas a Pagar'!$I:$I,'3. Contas a Pagar'!$H:$H,"&gt;="&amp;A12,'3. Contas a Pagar'!$H:$H,"&lt;"&amp;DATE(YEAR(A12),MONTH(A12)+1,1))</f>
        <v/>
      </c>
      <c r="G12" s="47">
        <f>B12+C12-E12</f>
        <v/>
      </c>
      <c r="H12" s="47">
        <f>B12+D12-F12</f>
        <v/>
      </c>
    </row>
    <row r="13">
      <c r="A13" s="46" t="n">
        <v>46174</v>
      </c>
      <c r="B13" s="47">
        <f>H12</f>
        <v/>
      </c>
      <c r="C13" s="47">
        <f>SUMIFS('2. Contas a Receber'!$H:$H,'2. Contas a Receber'!$E:$E,"&gt;="&amp;A13,'2. Contas a Receber'!$E:$E,"&lt;"&amp;DATE(YEAR(A13),MONTH(A13)+1,1),'2. Contas a Receber'!$J:$J,"&lt;&gt;Recebido",'2. Contas a Receber'!$J:$J,"&lt;&gt;Cancelado")</f>
        <v/>
      </c>
      <c r="D13" s="47">
        <f>SUMIFS('2. Contas a Receber'!$I:$I,'2. Contas a Receber'!$F:$F,"&gt;="&amp;A13,'2. Contas a Receber'!$F:$F,"&lt;"&amp;DATE(YEAR(A13),MONTH(A13)+1,1))</f>
        <v/>
      </c>
      <c r="E13" s="47">
        <f>SUMIFS('3. Contas a Pagar'!$I:$I,'3. Contas a Pagar'!$G:$G,"&gt;="&amp;A13,'3. Contas a Pagar'!$G:$G,"&lt;"&amp;DATE(YEAR(A13),MONTH(A13)+1,1),'3. Contas a Pagar'!$J:$J,"&lt;&gt;Pago",'3. Contas a Pagar'!$J:$J,"&lt;&gt;Cancelado")</f>
        <v/>
      </c>
      <c r="F13" s="47">
        <f>SUMIFS('3. Contas a Pagar'!$I:$I,'3. Contas a Pagar'!$H:$H,"&gt;="&amp;A13,'3. Contas a Pagar'!$H:$H,"&lt;"&amp;DATE(YEAR(A13),MONTH(A13)+1,1))</f>
        <v/>
      </c>
      <c r="G13" s="47">
        <f>B13+C13-E13</f>
        <v/>
      </c>
      <c r="H13" s="47">
        <f>B13+D13-F13</f>
        <v/>
      </c>
    </row>
    <row r="14">
      <c r="A14" s="46" t="n">
        <v>46204</v>
      </c>
      <c r="B14" s="47">
        <f>H13</f>
        <v/>
      </c>
      <c r="C14" s="47">
        <f>SUMIFS('2. Contas a Receber'!$H:$H,'2. Contas a Receber'!$E:$E,"&gt;="&amp;A14,'2. Contas a Receber'!$E:$E,"&lt;"&amp;DATE(YEAR(A14),MONTH(A14)+1,1),'2. Contas a Receber'!$J:$J,"&lt;&gt;Recebido",'2. Contas a Receber'!$J:$J,"&lt;&gt;Cancelado")</f>
        <v/>
      </c>
      <c r="D14" s="47">
        <f>SUMIFS('2. Contas a Receber'!$I:$I,'2. Contas a Receber'!$F:$F,"&gt;="&amp;A14,'2. Contas a Receber'!$F:$F,"&lt;"&amp;DATE(YEAR(A14),MONTH(A14)+1,1))</f>
        <v/>
      </c>
      <c r="E14" s="47">
        <f>SUMIFS('3. Contas a Pagar'!$I:$I,'3. Contas a Pagar'!$G:$G,"&gt;="&amp;A14,'3. Contas a Pagar'!$G:$G,"&lt;"&amp;DATE(YEAR(A14),MONTH(A14)+1,1),'3. Contas a Pagar'!$J:$J,"&lt;&gt;Pago",'3. Contas a Pagar'!$J:$J,"&lt;&gt;Cancelado")</f>
        <v/>
      </c>
      <c r="F14" s="47">
        <f>SUMIFS('3. Contas a Pagar'!$I:$I,'3. Contas a Pagar'!$H:$H,"&gt;="&amp;A14,'3. Contas a Pagar'!$H:$H,"&lt;"&amp;DATE(YEAR(A14),MONTH(A14)+1,1))</f>
        <v/>
      </c>
      <c r="G14" s="47">
        <f>B14+C14-E14</f>
        <v/>
      </c>
      <c r="H14" s="47">
        <f>B14+D14-F14</f>
        <v/>
      </c>
    </row>
    <row r="15">
      <c r="A15" s="46" t="n">
        <v>46235</v>
      </c>
      <c r="B15" s="47">
        <f>H14</f>
        <v/>
      </c>
      <c r="C15" s="47">
        <f>SUMIFS('2. Contas a Receber'!$H:$H,'2. Contas a Receber'!$E:$E,"&gt;="&amp;A15,'2. Contas a Receber'!$E:$E,"&lt;"&amp;DATE(YEAR(A15),MONTH(A15)+1,1),'2. Contas a Receber'!$J:$J,"&lt;&gt;Recebido",'2. Contas a Receber'!$J:$J,"&lt;&gt;Cancelado")</f>
        <v/>
      </c>
      <c r="D15" s="47">
        <f>SUMIFS('2. Contas a Receber'!$I:$I,'2. Contas a Receber'!$F:$F,"&gt;="&amp;A15,'2. Contas a Receber'!$F:$F,"&lt;"&amp;DATE(YEAR(A15),MONTH(A15)+1,1))</f>
        <v/>
      </c>
      <c r="E15" s="47">
        <f>SUMIFS('3. Contas a Pagar'!$I:$I,'3. Contas a Pagar'!$G:$G,"&gt;="&amp;A15,'3. Contas a Pagar'!$G:$G,"&lt;"&amp;DATE(YEAR(A15),MONTH(A15)+1,1),'3. Contas a Pagar'!$J:$J,"&lt;&gt;Pago",'3. Contas a Pagar'!$J:$J,"&lt;&gt;Cancelado")</f>
        <v/>
      </c>
      <c r="F15" s="47">
        <f>SUMIFS('3. Contas a Pagar'!$I:$I,'3. Contas a Pagar'!$H:$H,"&gt;="&amp;A15,'3. Contas a Pagar'!$H:$H,"&lt;"&amp;DATE(YEAR(A15),MONTH(A15)+1,1))</f>
        <v/>
      </c>
      <c r="G15" s="47">
        <f>B15+C15-E15</f>
        <v/>
      </c>
      <c r="H15" s="47">
        <f>B15+D15-F15</f>
        <v/>
      </c>
    </row>
    <row r="16">
      <c r="A16" s="46" t="n">
        <v>46266</v>
      </c>
      <c r="B16" s="47">
        <f>H15</f>
        <v/>
      </c>
      <c r="C16" s="47">
        <f>SUMIFS('2. Contas a Receber'!$H:$H,'2. Contas a Receber'!$E:$E,"&gt;="&amp;A16,'2. Contas a Receber'!$E:$E,"&lt;"&amp;DATE(YEAR(A16),MONTH(A16)+1,1),'2. Contas a Receber'!$J:$J,"&lt;&gt;Recebido",'2. Contas a Receber'!$J:$J,"&lt;&gt;Cancelado")</f>
        <v/>
      </c>
      <c r="D16" s="47">
        <f>SUMIFS('2. Contas a Receber'!$I:$I,'2. Contas a Receber'!$F:$F,"&gt;="&amp;A16,'2. Contas a Receber'!$F:$F,"&lt;"&amp;DATE(YEAR(A16),MONTH(A16)+1,1))</f>
        <v/>
      </c>
      <c r="E16" s="47">
        <f>SUMIFS('3. Contas a Pagar'!$I:$I,'3. Contas a Pagar'!$G:$G,"&gt;="&amp;A16,'3. Contas a Pagar'!$G:$G,"&lt;"&amp;DATE(YEAR(A16),MONTH(A16)+1,1),'3. Contas a Pagar'!$J:$J,"&lt;&gt;Pago",'3. Contas a Pagar'!$J:$J,"&lt;&gt;Cancelado")</f>
        <v/>
      </c>
      <c r="F16" s="47">
        <f>SUMIFS('3. Contas a Pagar'!$I:$I,'3. Contas a Pagar'!$H:$H,"&gt;="&amp;A16,'3. Contas a Pagar'!$H:$H,"&lt;"&amp;DATE(YEAR(A16),MONTH(A16)+1,1))</f>
        <v/>
      </c>
      <c r="G16" s="47">
        <f>B16+C16-E16</f>
        <v/>
      </c>
      <c r="H16" s="47">
        <f>B16+D16-F16</f>
        <v/>
      </c>
    </row>
    <row r="17">
      <c r="A17" s="46" t="n">
        <v>46296</v>
      </c>
      <c r="B17" s="47">
        <f>H16</f>
        <v/>
      </c>
      <c r="C17" s="47">
        <f>SUMIFS('2. Contas a Receber'!$H:$H,'2. Contas a Receber'!$E:$E,"&gt;="&amp;A17,'2. Contas a Receber'!$E:$E,"&lt;"&amp;DATE(YEAR(A17),MONTH(A17)+1,1),'2. Contas a Receber'!$J:$J,"&lt;&gt;Recebido",'2. Contas a Receber'!$J:$J,"&lt;&gt;Cancelado")</f>
        <v/>
      </c>
      <c r="D17" s="47">
        <f>SUMIFS('2. Contas a Receber'!$I:$I,'2. Contas a Receber'!$F:$F,"&gt;="&amp;A17,'2. Contas a Receber'!$F:$F,"&lt;"&amp;DATE(YEAR(A17),MONTH(A17)+1,1))</f>
        <v/>
      </c>
      <c r="E17" s="47">
        <f>SUMIFS('3. Contas a Pagar'!$I:$I,'3. Contas a Pagar'!$G:$G,"&gt;="&amp;A17,'3. Contas a Pagar'!$G:$G,"&lt;"&amp;DATE(YEAR(A17),MONTH(A17)+1,1),'3. Contas a Pagar'!$J:$J,"&lt;&gt;Pago",'3. Contas a Pagar'!$J:$J,"&lt;&gt;Cancelado")</f>
        <v/>
      </c>
      <c r="F17" s="47">
        <f>SUMIFS('3. Contas a Pagar'!$I:$I,'3. Contas a Pagar'!$H:$H,"&gt;="&amp;A17,'3. Contas a Pagar'!$H:$H,"&lt;"&amp;DATE(YEAR(A17),MONTH(A17)+1,1))</f>
        <v/>
      </c>
      <c r="G17" s="47">
        <f>B17+C17-E17</f>
        <v/>
      </c>
      <c r="H17" s="47">
        <f>B17+D17-F17</f>
        <v/>
      </c>
    </row>
    <row r="18">
      <c r="A18" s="46" t="n">
        <v>46327</v>
      </c>
      <c r="B18" s="47">
        <f>H17</f>
        <v/>
      </c>
      <c r="C18" s="47">
        <f>SUMIFS('2. Contas a Receber'!$H:$H,'2. Contas a Receber'!$E:$E,"&gt;="&amp;A18,'2. Contas a Receber'!$E:$E,"&lt;"&amp;DATE(YEAR(A18),MONTH(A18)+1,1),'2. Contas a Receber'!$J:$J,"&lt;&gt;Recebido",'2. Contas a Receber'!$J:$J,"&lt;&gt;Cancelado")</f>
        <v/>
      </c>
      <c r="D18" s="47">
        <f>SUMIFS('2. Contas a Receber'!$I:$I,'2. Contas a Receber'!$F:$F,"&gt;="&amp;A18,'2. Contas a Receber'!$F:$F,"&lt;"&amp;DATE(YEAR(A18),MONTH(A18)+1,1))</f>
        <v/>
      </c>
      <c r="E18" s="47">
        <f>SUMIFS('3. Contas a Pagar'!$I:$I,'3. Contas a Pagar'!$G:$G,"&gt;="&amp;A18,'3. Contas a Pagar'!$G:$G,"&lt;"&amp;DATE(YEAR(A18),MONTH(A18)+1,1),'3. Contas a Pagar'!$J:$J,"&lt;&gt;Pago",'3. Contas a Pagar'!$J:$J,"&lt;&gt;Cancelado")</f>
        <v/>
      </c>
      <c r="F18" s="47">
        <f>SUMIFS('3. Contas a Pagar'!$I:$I,'3. Contas a Pagar'!$H:$H,"&gt;="&amp;A18,'3. Contas a Pagar'!$H:$H,"&lt;"&amp;DATE(YEAR(A18),MONTH(A18)+1,1))</f>
        <v/>
      </c>
      <c r="G18" s="47">
        <f>B18+C18-E18</f>
        <v/>
      </c>
      <c r="H18" s="47">
        <f>B18+D18-F18</f>
        <v/>
      </c>
    </row>
    <row r="19">
      <c r="A19" s="46" t="n">
        <v>46357</v>
      </c>
      <c r="B19" s="47">
        <f>H18</f>
        <v/>
      </c>
      <c r="C19" s="47">
        <f>SUMIFS('2. Contas a Receber'!$H:$H,'2. Contas a Receber'!$E:$E,"&gt;="&amp;A19,'2. Contas a Receber'!$E:$E,"&lt;"&amp;DATE(YEAR(A19),MONTH(A19)+1,1),'2. Contas a Receber'!$J:$J,"&lt;&gt;Recebido",'2. Contas a Receber'!$J:$J,"&lt;&gt;Cancelado")</f>
        <v/>
      </c>
      <c r="D19" s="47">
        <f>SUMIFS('2. Contas a Receber'!$I:$I,'2. Contas a Receber'!$F:$F,"&gt;="&amp;A19,'2. Contas a Receber'!$F:$F,"&lt;"&amp;DATE(YEAR(A19),MONTH(A19)+1,1))</f>
        <v/>
      </c>
      <c r="E19" s="47">
        <f>SUMIFS('3. Contas a Pagar'!$I:$I,'3. Contas a Pagar'!$G:$G,"&gt;="&amp;A19,'3. Contas a Pagar'!$G:$G,"&lt;"&amp;DATE(YEAR(A19),MONTH(A19)+1,1),'3. Contas a Pagar'!$J:$J,"&lt;&gt;Pago",'3. Contas a Pagar'!$J:$J,"&lt;&gt;Cancelado")</f>
        <v/>
      </c>
      <c r="F19" s="47">
        <f>SUMIFS('3. Contas a Pagar'!$I:$I,'3. Contas a Pagar'!$H:$H,"&gt;="&amp;A19,'3. Contas a Pagar'!$H:$H,"&lt;"&amp;DATE(YEAR(A19),MONTH(A19)+1,1))</f>
        <v/>
      </c>
      <c r="G19" s="47">
        <f>B19+C19-E19</f>
        <v/>
      </c>
      <c r="H19" s="47">
        <f>B19+D19-F19</f>
        <v/>
      </c>
    </row>
    <row r="22">
      <c r="A22" s="8" t="inlineStr">
        <is>
          <t>LEITURA RÁPIDA</t>
        </is>
      </c>
      <c r="B22" s="23" t="n"/>
      <c r="C22" s="23" t="n"/>
      <c r="D22" s="23" t="n"/>
      <c r="E22" s="23" t="n"/>
      <c r="F22" s="23" t="n"/>
      <c r="G22" s="23" t="n"/>
      <c r="H22" s="23" t="n"/>
    </row>
    <row r="23">
      <c r="A23" s="4" t="inlineStr">
        <is>
          <t>Menor saldo projetado</t>
        </is>
      </c>
      <c r="B23" s="43">
        <f>MIN(G8:G19)</f>
        <v/>
      </c>
    </row>
    <row r="24">
      <c r="A24" s="4" t="inlineStr">
        <is>
          <t>Menor saldo realizado</t>
        </is>
      </c>
      <c r="B24" s="43">
        <f>MIN(H8:H19)</f>
        <v/>
      </c>
    </row>
    <row r="25">
      <c r="A25" s="4" t="inlineStr">
        <is>
          <t>Entradas realizadas no ano</t>
        </is>
      </c>
      <c r="B25" s="43">
        <f>SUM(D8:D19)</f>
        <v/>
      </c>
    </row>
    <row r="26">
      <c r="A26" s="4" t="inlineStr">
        <is>
          <t>Saídas realizadas no ano</t>
        </is>
      </c>
      <c r="B26" s="43">
        <f>SUM(F8:F19)</f>
        <v/>
      </c>
    </row>
  </sheetData>
  <mergeCells count="4">
    <mergeCell ref="A2:H2"/>
    <mergeCell ref="A6:H6"/>
    <mergeCell ref="A22:H22"/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</cols>
  <sheetData>
    <row r="1">
      <c r="A1" s="1" t="inlineStr">
        <is>
          <t>5. INDICADORES — PAINEL GERENCIAL CONSOLIDADO</t>
        </is>
      </c>
    </row>
    <row r="2">
      <c r="A2" s="2" t="inlineStr">
        <is>
          <t>Painel consolidado com CR, CP, fluxo e agora também a estrutura/custo base da planilha de precificação.</t>
        </is>
      </c>
    </row>
    <row r="4">
      <c r="A4" s="8" t="inlineStr">
        <is>
          <t>KPIs BASE</t>
        </is>
      </c>
      <c r="B4" s="23" t="n"/>
      <c r="C4" s="23" t="n"/>
    </row>
    <row r="5">
      <c r="A5" s="3" t="inlineStr">
        <is>
          <t>Indicador</t>
        </is>
      </c>
      <c r="B5" s="3" t="inlineStr">
        <is>
          <t>Valor</t>
        </is>
      </c>
      <c r="C5" s="3" t="inlineStr">
        <is>
          <t>Leitura</t>
        </is>
      </c>
    </row>
    <row r="6">
      <c r="A6" s="4" t="inlineStr">
        <is>
          <t>Vendas lançadas</t>
        </is>
      </c>
      <c r="B6" s="19">
        <f>'1. Receita'!B1004</f>
        <v/>
      </c>
      <c r="C6" s="13" t="inlineStr">
        <is>
          <t>Quantidade de vendas/propostas registradas.</t>
        </is>
      </c>
    </row>
    <row r="7">
      <c r="A7" s="4" t="inlineStr">
        <is>
          <t>Receita bruta</t>
        </is>
      </c>
      <c r="B7" s="12">
        <f>'1. Receita'!B1005</f>
        <v/>
      </c>
      <c r="C7" s="13" t="inlineStr">
        <is>
          <t>Volume comercial lançado.</t>
        </is>
      </c>
    </row>
    <row r="8">
      <c r="A8" s="4" t="inlineStr">
        <is>
          <t>Ticket médio</t>
        </is>
      </c>
      <c r="B8" s="12">
        <f>'1. Receita'!B1006</f>
        <v/>
      </c>
      <c r="C8" s="13" t="inlineStr">
        <is>
          <t>Receita média por venda lançada.</t>
        </is>
      </c>
    </row>
    <row r="9">
      <c r="A9" s="4" t="inlineStr">
        <is>
          <t>Gap médio vs piso</t>
        </is>
      </c>
      <c r="B9" s="12">
        <f>'1. Receita'!B1007</f>
        <v/>
      </c>
      <c r="C9" s="13" t="inlineStr">
        <is>
          <t>Se negativo, estão cotando abaixo do piso.</t>
        </is>
      </c>
    </row>
    <row r="10">
      <c r="A10" s="4" t="inlineStr">
        <is>
          <t>Carteira nominal</t>
        </is>
      </c>
      <c r="B10" s="12">
        <f>ROUND('2. Contas a Receber'!B1003,2)</f>
        <v/>
      </c>
      <c r="C10" s="13" t="inlineStr">
        <is>
          <t>Soma nominal dos títulos.</t>
        </is>
      </c>
    </row>
    <row r="11">
      <c r="A11" s="4" t="inlineStr">
        <is>
          <t>Recebido</t>
        </is>
      </c>
      <c r="B11" s="12">
        <f>ROUND('2. Contas a Receber'!B1004,2)</f>
        <v/>
      </c>
      <c r="C11" s="13" t="inlineStr">
        <is>
          <t>Quanto já virou caixa.</t>
        </is>
      </c>
    </row>
    <row r="12">
      <c r="A12" s="4" t="inlineStr">
        <is>
          <t>Em aberto</t>
        </is>
      </c>
      <c r="B12" s="12">
        <f>ROUND('2. Contas a Receber'!B1005,2)</f>
        <v/>
      </c>
      <c r="C12" s="13" t="inlineStr">
        <is>
          <t>Títulos ainda não convertidos em caixa.</t>
        </is>
      </c>
    </row>
    <row r="13">
      <c r="A13" s="4" t="inlineStr">
        <is>
          <t>Vencido</t>
        </is>
      </c>
      <c r="B13" s="12">
        <f>ROUND('2. Contas a Receber'!B1006,2)</f>
        <v/>
      </c>
      <c r="C13" s="13" t="inlineStr">
        <is>
          <t>Parcela marcada como vencida.</t>
        </is>
      </c>
    </row>
    <row r="14">
      <c r="A14" s="4" t="inlineStr">
        <is>
          <t>Contas a pagar em aberto</t>
        </is>
      </c>
      <c r="B14" s="12">
        <f>ROUND('3. Contas a Pagar'!B1003,2)</f>
        <v/>
      </c>
      <c r="C14" s="13" t="inlineStr">
        <is>
          <t>Obrigações ainda não pagas.</t>
        </is>
      </c>
    </row>
    <row r="15">
      <c r="A15" s="4" t="inlineStr">
        <is>
          <t>Menor saldo projetado</t>
        </is>
      </c>
      <c r="B15" s="12">
        <f>ROUND('4. Fluxo de Caixa'!B23,2)</f>
        <v/>
      </c>
      <c r="C15" s="13" t="inlineStr">
        <is>
          <t>Ponto de maior aperto de caixa.</t>
        </is>
      </c>
    </row>
    <row r="16">
      <c r="A16" s="4" t="inlineStr">
        <is>
          <t>Menor saldo realizado</t>
        </is>
      </c>
      <c r="B16" s="12">
        <f>ROUND('4. Fluxo de Caixa'!B24,2)</f>
        <v/>
      </c>
      <c r="C16" s="13" t="inlineStr">
        <is>
          <t>Pior saldo efetivamente observado.</t>
        </is>
      </c>
    </row>
    <row r="18">
      <c r="A18" s="8" t="inlineStr">
        <is>
          <t>ESTRUTURA / BASE DE CUSTOS</t>
        </is>
      </c>
      <c r="B18" s="23" t="n"/>
      <c r="C18" s="23" t="n"/>
    </row>
    <row r="19">
      <c r="A19" s="4" t="inlineStr">
        <is>
          <t>Estrutura fixa base</t>
        </is>
      </c>
      <c r="B19" s="12">
        <f>ROUND('6. Base de Custos'!B35,2)</f>
        <v/>
      </c>
      <c r="C19" s="13" t="inlineStr">
        <is>
          <t>Custo fixo mensal da estrutura-base.</t>
        </is>
      </c>
    </row>
    <row r="20">
      <c r="A20" s="4" t="inlineStr">
        <is>
          <t>Estrutura variável base</t>
        </is>
      </c>
      <c r="B20" s="12">
        <f>ROUND('6. Base de Custos'!F19,2)</f>
        <v/>
      </c>
      <c r="C20" s="13" t="inlineStr">
        <is>
          <t>Custo variável mensal da estrutura-base.</t>
        </is>
      </c>
    </row>
    <row r="21">
      <c r="A21" s="4" t="inlineStr">
        <is>
          <t>Estrutura total base</t>
        </is>
      </c>
      <c r="B21" s="12">
        <f>ROUND('6. Base de Custos'!B7,2)</f>
        <v/>
      </c>
      <c r="C21" s="13" t="inlineStr">
        <is>
          <t>Soma da estrutura mensal teórica.</t>
        </is>
      </c>
    </row>
    <row r="22">
      <c r="A22" s="4" t="inlineStr">
        <is>
          <t>Capacidade mensal (UEP)</t>
        </is>
      </c>
      <c r="B22" s="49">
        <f>ROUND('6. Base de Custos'!B6,2)</f>
        <v/>
      </c>
      <c r="C22" s="13" t="inlineStr">
        <is>
          <t>Capacidade operacional informada na precificação.</t>
        </is>
      </c>
    </row>
    <row r="23">
      <c r="A23" s="4" t="inlineStr">
        <is>
          <t>Custo estrutural por UEP</t>
        </is>
      </c>
      <c r="B23" s="12">
        <f>ROUND('6. Base de Custos'!B8,2)</f>
        <v/>
      </c>
      <c r="C23" s="13" t="inlineStr">
        <is>
          <t>Estrutura mensal dividida pela capacidade.</t>
        </is>
      </c>
    </row>
    <row r="24">
      <c r="A24" s="4" t="inlineStr">
        <is>
          <t>Cobertura da carteira sobre estrutura</t>
        </is>
      </c>
      <c r="B24" s="14">
        <f>ROUND('2. Contas a Receber'!B1003/'6. Base de Custos'!B7,4)</f>
        <v/>
      </c>
      <c r="C24" s="13" t="inlineStr">
        <is>
          <t>Quanto a carteira nominal cobre da estrutura do mês.</t>
        </is>
      </c>
    </row>
    <row r="25">
      <c r="A25" s="4" t="inlineStr">
        <is>
          <t>Cobertura do recebido sobre estrutura</t>
        </is>
      </c>
      <c r="B25" s="14">
        <f>ROUND('2. Contas a Receber'!B1004/'6. Base de Custos'!B7,4)</f>
        <v/>
      </c>
      <c r="C25" s="13" t="inlineStr">
        <is>
          <t>Quanto o caixa efetivamente recebido cobre da estrutura do mês.</t>
        </is>
      </c>
    </row>
    <row r="26">
      <c r="A26" s="4" t="inlineStr">
        <is>
          <t>Dif. CR nominal x estrutura</t>
        </is>
      </c>
      <c r="B26" s="12">
        <f>ROUND('2. Contas a Receber'!B1003-'6. Base de Custos'!B7,2)</f>
        <v/>
      </c>
      <c r="C26" s="13" t="inlineStr">
        <is>
          <t>Folga ou déficit nominal entre carteira e estrutura.</t>
        </is>
      </c>
    </row>
    <row r="27">
      <c r="A27" s="4" t="inlineStr">
        <is>
          <t>Dif. recebido x estrutura</t>
        </is>
      </c>
      <c r="B27" s="12">
        <f>ROUND('2. Contas a Receber'!B1004-'6. Base de Custos'!B7,2)</f>
        <v/>
      </c>
      <c r="C27" s="13" t="inlineStr">
        <is>
          <t>Folga ou déficit de caixa frente à estrutura.</t>
        </is>
      </c>
    </row>
    <row r="28">
      <c r="A28" s="32" t="n"/>
      <c r="B28" s="32" t="n"/>
    </row>
    <row r="29">
      <c r="A29" s="57" t="inlineStr">
        <is>
          <t>OBSERVAÇÕES</t>
        </is>
      </c>
      <c r="B29" s="23" t="n"/>
      <c r="C29" s="58" t="n"/>
    </row>
    <row r="30" ht="42" customHeight="1">
      <c r="A30" s="9" t="inlineStr">
        <is>
          <t>Base de custos do CSV consolidada na aba 6. No CP, itens marcados como Pago ficaram em 31/03 por falta de data efetiva no PDF. O bloco 1 continua pendente de histórico comercial.</t>
        </is>
      </c>
      <c r="B30" s="52" t="n"/>
      <c r="C30" s="53" t="n"/>
    </row>
    <row r="31" ht="20" customHeight="1">
      <c r="A31" s="54" t="n"/>
      <c r="B31" s="55" t="n"/>
      <c r="C31" s="56" t="n"/>
    </row>
    <row r="33">
      <c r="A33" s="8" t="inlineStr">
        <is>
          <t>PRESSÃO DE CUSTO POR GRUPO GERENCIAL</t>
        </is>
      </c>
      <c r="B33" s="23" t="n"/>
      <c r="C33" s="23" t="n"/>
    </row>
    <row r="34">
      <c r="A34" s="3" t="inlineStr">
        <is>
          <t>Grupo</t>
        </is>
      </c>
      <c r="B34" s="3" t="inlineStr">
        <is>
          <t>CP mês</t>
        </is>
      </c>
      <c r="C34" s="3" t="inlineStr">
        <is>
          <t>Gap vs base</t>
        </is>
      </c>
    </row>
    <row r="35">
      <c r="A35" s="4" t="inlineStr">
        <is>
          <t>Pessoal e equipe</t>
        </is>
      </c>
      <c r="B35" s="61">
        <f>'3. Contas a Pagar'!N60</f>
        <v/>
      </c>
      <c r="C35" s="62">
        <f>'3. Contas a Pagar'!Q60</f>
        <v/>
      </c>
    </row>
    <row r="36">
      <c r="A36" s="4" t="inlineStr">
        <is>
          <t>Encargos e tributos</t>
        </is>
      </c>
      <c r="B36" s="61">
        <f>'3. Contas a Pagar'!N61</f>
        <v/>
      </c>
      <c r="C36" s="62">
        <f>'3. Contas a Pagar'!Q61</f>
        <v/>
      </c>
    </row>
    <row r="37">
      <c r="A37" s="4" t="inlineStr">
        <is>
          <t>Operação e infraestrutura</t>
        </is>
      </c>
      <c r="B37" s="61">
        <f>'3. Contas a Pagar'!N62</f>
        <v/>
      </c>
      <c r="C37" s="62">
        <f>'3. Contas a Pagar'!Q62</f>
        <v/>
      </c>
    </row>
    <row r="38">
      <c r="A38" s="4" t="inlineStr">
        <is>
          <t>Tecnologia e contábil</t>
        </is>
      </c>
      <c r="B38" s="61">
        <f>'3. Contas a Pagar'!N63</f>
        <v/>
      </c>
      <c r="C38" s="62">
        <f>'3. Contas a Pagar'!Q63</f>
        <v/>
      </c>
    </row>
    <row r="39">
      <c r="A39" s="4" t="inlineStr">
        <is>
          <t>Comercial, deslocamento e benefícios</t>
        </is>
      </c>
      <c r="B39" s="61">
        <f>'3. Contas a Pagar'!N64</f>
        <v/>
      </c>
      <c r="C39" s="62">
        <f>'3. Contas a Pagar'!Q64</f>
        <v/>
      </c>
    </row>
    <row r="40">
      <c r="A40" s="4" t="inlineStr">
        <is>
          <t>Financeiro, dívidas e despesas gerais</t>
        </is>
      </c>
      <c r="B40" s="61">
        <f>'3. Contas a Pagar'!N65</f>
        <v/>
      </c>
      <c r="C40" s="62">
        <f>'3. Contas a Pagar'!Q65</f>
        <v/>
      </c>
    </row>
    <row r="41">
      <c r="A41" s="4" t="inlineStr">
        <is>
          <t>Terceiros e laboratoriais</t>
        </is>
      </c>
      <c r="B41" s="61">
        <f>'3. Contas a Pagar'!N66</f>
        <v/>
      </c>
      <c r="C41" s="62">
        <f>'3. Contas a Pagar'!Q66</f>
        <v/>
      </c>
    </row>
    <row r="43">
      <c r="A43" s="8" t="inlineStr">
        <is>
          <t>DRE GERENCIAL</t>
        </is>
      </c>
      <c r="B43" s="8" t="n"/>
      <c r="C43" s="8" t="n"/>
    </row>
    <row r="44">
      <c r="A44" s="4" t="inlineStr">
        <is>
          <t>Receita líquida (mar/26)</t>
        </is>
      </c>
      <c r="B44" s="43">
        <f>'7. DRE Gerencial Mensal'!D12</f>
        <v/>
      </c>
      <c r="C44" s="13" t="inlineStr">
        <is>
          <t>Receita após impostos sobre faturamento.</t>
        </is>
      </c>
    </row>
    <row r="45">
      <c r="A45" s="4" t="inlineStr">
        <is>
          <t>EBITDA gerencial (mar/26)</t>
        </is>
      </c>
      <c r="B45" s="43">
        <f>'7. DRE Gerencial Mensal'!D23</f>
        <v/>
      </c>
      <c r="C45" s="13" t="inlineStr">
        <is>
          <t>Resultado operacional antes do financeiro.</t>
        </is>
      </c>
    </row>
    <row r="46">
      <c r="A46" s="4" t="inlineStr">
        <is>
          <t>Resultado operacional (mar/26)</t>
        </is>
      </c>
      <c r="B46" s="43">
        <f>'7. DRE Gerencial Mensal'!D27</f>
        <v/>
      </c>
      <c r="C46" s="13" t="inlineStr">
        <is>
          <t>Resultado após financeiro/dívidas.</t>
        </is>
      </c>
    </row>
    <row r="47">
      <c r="A47" s="4" t="inlineStr">
        <is>
          <t>Margem EBITDA (mar/26)</t>
        </is>
      </c>
      <c r="B47" s="14">
        <f>'7. DRE Gerencial Mensal'!D31</f>
        <v/>
      </c>
      <c r="C47" s="13" t="inlineStr">
        <is>
          <t>EBITDA dividido pela receita bruta do mês.</t>
        </is>
      </c>
    </row>
    <row r="49" ht="30" customHeight="1">
      <c r="A49" s="2" t="inlineStr">
        <is>
          <t>A DRE gerencial é proxy de competência e serve para parametrizar o ERP. Não substitui demonstrações contábeis.</t>
        </is>
      </c>
    </row>
    <row r="51">
      <c r="A51" s="93" t="inlineStr">
        <is>
          <t>RASTREABILIDADE DO ERP — RECEITA</t>
        </is>
      </c>
    </row>
    <row r="52">
      <c r="A52" s="94" t="inlineStr">
        <is>
          <t>Títulos rastreados</t>
        </is>
      </c>
      <c r="B52" s="94">
        <f>COUNTA('13. Mapa Títulos-Receita'!A8:A51)</f>
        <v/>
      </c>
    </row>
    <row r="53">
      <c r="A53" s="94" t="inlineStr">
        <is>
          <t>Cobertura rastreada %</t>
        </is>
      </c>
      <c r="B53" s="94">
        <f>IFERROR(COUNTIF('13. Mapa Títulos-Receita'!O8:O51,"Rastreado")/COUNTA('13. Mapa Títulos-Receita'!A8:A51),0)</f>
        <v/>
      </c>
    </row>
    <row r="54">
      <c r="A54" s="94" t="inlineStr">
        <is>
          <t>Clientes mestres</t>
        </is>
      </c>
      <c r="B54" s="94">
        <f>COUNTA('10. Cadastro de Clientes'!A6:A41)</f>
        <v/>
      </c>
    </row>
    <row r="55">
      <c r="A55" s="94" t="inlineStr">
        <is>
          <t>Contratos / OS ativos</t>
        </is>
      </c>
      <c r="B55" s="94">
        <f>COUNTA('12. Contratos_OS'!B6:B49)</f>
        <v/>
      </c>
    </row>
  </sheetData>
  <mergeCells count="9">
    <mergeCell ref="A33:C33"/>
    <mergeCell ref="A49:C49"/>
    <mergeCell ref="A1:C1"/>
    <mergeCell ref="A30:C31"/>
    <mergeCell ref="A18:C18"/>
    <mergeCell ref="A29:C29"/>
    <mergeCell ref="A4:C4"/>
    <mergeCell ref="A2:C2"/>
    <mergeCell ref="A51:C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  <col width="34" customWidth="1" min="5" max="5"/>
    <col width="16" customWidth="1" min="6" max="6"/>
    <col width="38" customWidth="1" min="8" max="8"/>
    <col width="16" customWidth="1" min="9" max="9"/>
    <col width="14" customWidth="1" min="10" max="10"/>
    <col width="28" customWidth="1" min="12" max="12"/>
    <col width="26" customWidth="1" min="13" max="13"/>
    <col width="30" customWidth="1" min="14" max="14"/>
    <col width="24" customWidth="1" min="15" max="15"/>
    <col width="18" customWidth="1" min="16" max="16"/>
    <col width="42" customWidth="1" min="17" max="17"/>
  </cols>
  <sheetData>
    <row r="1">
      <c r="A1" s="1" t="inlineStr">
        <is>
          <t>6. BASE DE CUSTOS — INSUMOS DA PLANILHA DE PRECIFICAÇÃO</t>
        </is>
      </c>
    </row>
    <row r="2">
      <c r="A2" s="2" t="inlineStr">
        <is>
          <t>Carga estruturada a partir do CSV Base_Custos. Esta aba consolida premissas, custos fixos/variáveis e rateio gerencial.</t>
        </is>
      </c>
    </row>
    <row r="4">
      <c r="A4" s="8" t="inlineStr">
        <is>
          <t>PREMISSAS ESTRUTURAIS</t>
        </is>
      </c>
      <c r="B4" s="23" t="n"/>
      <c r="C4" s="23" t="n"/>
      <c r="L4" s="8" t="inlineStr">
        <is>
          <t>MAPA DE CLASSIFICAÇÃO GERENCIAL DO CONTAS A PAGAR</t>
        </is>
      </c>
      <c r="M4" s="23" t="n"/>
      <c r="N4" s="23" t="n"/>
      <c r="O4" s="23" t="n"/>
      <c r="P4" s="23" t="n"/>
      <c r="Q4" s="23" t="n"/>
    </row>
    <row r="5">
      <c r="A5" s="3" t="inlineStr">
        <is>
          <t>Premissa</t>
        </is>
      </c>
      <c r="B5" s="3" t="inlineStr">
        <is>
          <t>Valor</t>
        </is>
      </c>
      <c r="C5" s="3" t="inlineStr">
        <is>
          <t>Uso no modelo</t>
        </is>
      </c>
      <c r="L5" s="2" t="inlineStr">
        <is>
          <t>Amarração do CP de março aos grupos da Base_Custos para dar centro de custo real e natureza gerencial.</t>
        </is>
      </c>
    </row>
    <row r="6">
      <c r="A6" s="4" t="inlineStr">
        <is>
          <t>Capacidade mensal (UEP)</t>
        </is>
      </c>
      <c r="B6" s="49" t="n">
        <v>650</v>
      </c>
      <c r="C6" s="13" t="inlineStr">
        <is>
          <t>Capacidade operacional teórica/mensal</t>
        </is>
      </c>
    </row>
    <row r="7">
      <c r="A7" s="4" t="inlineStr">
        <is>
          <t>Estrutura mensal total</t>
        </is>
      </c>
      <c r="B7" s="12" t="n">
        <v>38149.72</v>
      </c>
      <c r="C7" s="13" t="inlineStr">
        <is>
          <t>Base mensal de custo da precificação</t>
        </is>
      </c>
      <c r="L7" s="3" t="inlineStr">
        <is>
          <t>Fornecedor / item</t>
        </is>
      </c>
      <c r="M7" s="3" t="inlineStr">
        <is>
          <t>Centro de custo real</t>
        </is>
      </c>
      <c r="N7" s="3" t="inlineStr">
        <is>
          <t>Grupo gerencial (CSV)</t>
        </is>
      </c>
      <c r="O7" s="3" t="inlineStr">
        <is>
          <t>Natureza gerencial</t>
        </is>
      </c>
      <c r="P7" s="3" t="inlineStr">
        <is>
          <t>Vínculo com a base</t>
        </is>
      </c>
      <c r="Q7" s="3" t="inlineStr">
        <is>
          <t>Observação</t>
        </is>
      </c>
    </row>
    <row r="8">
      <c r="A8" s="4" t="inlineStr">
        <is>
          <t>Custo estrutural por UEP</t>
        </is>
      </c>
      <c r="B8" s="12">
        <f>ROUND(B7/B6,2)</f>
        <v/>
      </c>
      <c r="C8" s="13" t="inlineStr">
        <is>
          <t>Estrutura mensal dividida pela capacidade</t>
        </is>
      </c>
      <c r="L8" s="63" t="inlineStr">
        <is>
          <t>VISA VALE</t>
        </is>
      </c>
      <c r="M8" s="63" t="inlineStr">
        <is>
          <t>Benefícios e deslocamento</t>
        </is>
      </c>
      <c r="N8" s="63" t="inlineStr">
        <is>
          <t>Comercial, deslocamento e benefícios</t>
        </is>
      </c>
      <c r="O8" s="63" t="inlineStr">
        <is>
          <t>Benefício</t>
        </is>
      </c>
      <c r="P8" s="63" t="inlineStr">
        <is>
          <t>Direto base CSV</t>
        </is>
      </c>
      <c r="Q8" s="63" t="inlineStr">
        <is>
          <t>Valor compõe o grupo Comercial, deslocamento e benefícios.</t>
        </is>
      </c>
    </row>
    <row r="9">
      <c r="L9" s="63" t="inlineStr">
        <is>
          <t>FAXINEIRA</t>
        </is>
      </c>
      <c r="M9" s="63" t="inlineStr">
        <is>
          <t>Infraestrutura do escritório</t>
        </is>
      </c>
      <c r="N9" s="63" t="inlineStr">
        <is>
          <t>Pessoal e equipe</t>
        </is>
      </c>
      <c r="O9" s="63" t="inlineStr">
        <is>
          <t>Apoio operacional</t>
        </is>
      </c>
      <c r="P9" s="63" t="inlineStr">
        <is>
          <t>Direto base CSV</t>
        </is>
      </c>
      <c r="Q9" s="63" t="inlineStr">
        <is>
          <t>Integra o grupo de pessoal/equipe na base consolidada.</t>
        </is>
      </c>
    </row>
    <row r="10">
      <c r="A10" s="8" t="inlineStr">
        <is>
          <t>CUSTOS FIXOS MENSAIS</t>
        </is>
      </c>
      <c r="B10" s="23" t="n"/>
      <c r="E10" s="8" t="inlineStr">
        <is>
          <t>CUSTOS VARIÁVEIS MENSAIS</t>
        </is>
      </c>
      <c r="F10" s="23" t="n"/>
      <c r="H10" s="8" t="inlineStr">
        <is>
          <t>RATEIO GERENCIAL POR GRUPO</t>
        </is>
      </c>
      <c r="I10" s="23" t="n"/>
      <c r="J10" s="23" t="n"/>
      <c r="L10" s="63" t="inlineStr">
        <is>
          <t>FERNANDA</t>
        </is>
      </c>
      <c r="M10" s="63" t="inlineStr">
        <is>
          <t>Equipe administrativa/comercial</t>
        </is>
      </c>
      <c r="N10" s="63" t="inlineStr">
        <is>
          <t>Pessoal e equipe</t>
        </is>
      </c>
      <c r="O10" s="63" t="inlineStr">
        <is>
          <t>Pessoal fixo</t>
        </is>
      </c>
      <c r="P10" s="63" t="inlineStr">
        <is>
          <t>Direto base CSV</t>
        </is>
      </c>
      <c r="Q10" s="63" t="inlineStr">
        <is>
          <t>Profissional alocada no grupo pessoal/equipe.</t>
        </is>
      </c>
    </row>
    <row r="11">
      <c r="A11" s="3" t="inlineStr">
        <is>
          <t>Item</t>
        </is>
      </c>
      <c r="B11" s="3" t="inlineStr">
        <is>
          <t>Valor</t>
        </is>
      </c>
      <c r="E11" s="3" t="inlineStr">
        <is>
          <t>Item</t>
        </is>
      </c>
      <c r="F11" s="3" t="inlineStr">
        <is>
          <t>Valor</t>
        </is>
      </c>
      <c r="H11" s="3" t="inlineStr">
        <is>
          <t>Grupo</t>
        </is>
      </c>
      <c r="I11" s="3" t="inlineStr">
        <is>
          <t>Valor mensal</t>
        </is>
      </c>
      <c r="J11" s="3" t="inlineStr">
        <is>
          <t>% da estrutura</t>
        </is>
      </c>
      <c r="L11" s="63" t="inlineStr">
        <is>
          <t>EDMILSON</t>
        </is>
      </c>
      <c r="M11" s="63" t="inlineStr">
        <is>
          <t>Equipe administrativa/comercial</t>
        </is>
      </c>
      <c r="N11" s="63" t="inlineStr">
        <is>
          <t>Pessoal e equipe</t>
        </is>
      </c>
      <c r="O11" s="63" t="inlineStr">
        <is>
          <t>Pessoal fixo</t>
        </is>
      </c>
      <c r="P11" s="63" t="inlineStr">
        <is>
          <t>Direto base CSV</t>
        </is>
      </c>
      <c r="Q11" s="63" t="inlineStr">
        <is>
          <t>Profissional alocada no grupo pessoal/equipe.</t>
        </is>
      </c>
    </row>
    <row r="12">
      <c r="A12" s="4" t="inlineStr">
        <is>
          <t>VISA vale</t>
        </is>
      </c>
      <c r="B12" s="12" t="n">
        <v>891.46</v>
      </c>
      <c r="E12" s="4" t="inlineStr">
        <is>
          <t>Empréstimo governo (03/37)</t>
        </is>
      </c>
      <c r="F12" s="12" t="n">
        <v>1470.77</v>
      </c>
      <c r="H12" s="4" t="inlineStr">
        <is>
          <t>Pessoal e equipe</t>
        </is>
      </c>
      <c r="I12" s="61" t="n">
        <v>17133.53</v>
      </c>
      <c r="J12" s="14">
        <f>IFERROR(I12/$B$7,0)</f>
        <v/>
      </c>
      <c r="L12" s="63" t="inlineStr">
        <is>
          <t>GASOLINA - FERNANDA</t>
        </is>
      </c>
      <c r="M12" s="63" t="inlineStr">
        <is>
          <t>Benefícios e deslocamento</t>
        </is>
      </c>
      <c r="N12" s="63" t="inlineStr">
        <is>
          <t>Comercial, deslocamento e benefícios</t>
        </is>
      </c>
      <c r="O12" s="63" t="inlineStr">
        <is>
          <t>Deslocamento</t>
        </is>
      </c>
      <c r="P12" s="63" t="inlineStr">
        <is>
          <t>Direto base CSV</t>
        </is>
      </c>
      <c r="Q12" s="63" t="inlineStr">
        <is>
          <t>Despesa de deslocamento vinculada ao grupo comercial/benefícios.</t>
        </is>
      </c>
    </row>
    <row r="13">
      <c r="A13" s="4" t="inlineStr">
        <is>
          <t>Faxineira</t>
        </is>
      </c>
      <c r="B13" s="12" t="n">
        <v>375</v>
      </c>
      <c r="E13" s="4" t="inlineStr">
        <is>
          <t>Empréstimo governo (29/36)</t>
        </is>
      </c>
      <c r="F13" s="12" t="n">
        <v>1393.26</v>
      </c>
      <c r="H13" s="4" t="inlineStr">
        <is>
          <t>Encargos e tributos</t>
        </is>
      </c>
      <c r="I13" s="61" t="n">
        <v>4400.36</v>
      </c>
      <c r="J13" s="14">
        <f>IFERROR(I13/$B$7,0)</f>
        <v/>
      </c>
      <c r="L13" s="63" t="inlineStr">
        <is>
          <t>ENGENHEIRO KLEBER</t>
        </is>
      </c>
      <c r="M13" s="63" t="inlineStr">
        <is>
          <t>Equipe técnica</t>
        </is>
      </c>
      <c r="N13" s="63" t="inlineStr">
        <is>
          <t>Pessoal e equipe</t>
        </is>
      </c>
      <c r="O13" s="63" t="inlineStr">
        <is>
          <t>Pessoal técnico</t>
        </is>
      </c>
      <c r="P13" s="63" t="inlineStr">
        <is>
          <t>Direto base CSV</t>
        </is>
      </c>
      <c r="Q13" s="63" t="inlineStr">
        <is>
          <t>Estrutura técnica fixa do mês.</t>
        </is>
      </c>
    </row>
    <row r="14">
      <c r="A14" s="4" t="inlineStr">
        <is>
          <t>Fernanda</t>
        </is>
      </c>
      <c r="B14" s="12" t="n">
        <v>3008.07</v>
      </c>
      <c r="E14" s="4" t="inlineStr">
        <is>
          <t>SGS - 27766</t>
        </is>
      </c>
      <c r="F14" s="12" t="n">
        <v>438.46</v>
      </c>
      <c r="H14" s="4" t="inlineStr">
        <is>
          <t>Operação e infraestrutura</t>
        </is>
      </c>
      <c r="I14" s="61" t="n">
        <v>1851.12</v>
      </c>
      <c r="J14" s="14">
        <f>IFERROR(I14/$B$7,0)</f>
        <v/>
      </c>
      <c r="L14" s="63" t="inlineStr">
        <is>
          <t>DMAE</t>
        </is>
      </c>
      <c r="M14" s="63" t="inlineStr">
        <is>
          <t>Infraestrutura do escritório</t>
        </is>
      </c>
      <c r="N14" s="63" t="inlineStr">
        <is>
          <t>Operação e infraestrutura</t>
        </is>
      </c>
      <c r="O14" s="63" t="inlineStr">
        <is>
          <t>Utilidades</t>
        </is>
      </c>
      <c r="P14" s="63" t="inlineStr">
        <is>
          <t>Direto base CSV</t>
        </is>
      </c>
      <c r="Q14" s="63" t="inlineStr">
        <is>
          <t>Consumo/utilidade da infraestrutura.</t>
        </is>
      </c>
    </row>
    <row r="15">
      <c r="A15" s="4" t="inlineStr">
        <is>
          <t>Edmilson</t>
        </is>
      </c>
      <c r="B15" s="12" t="n">
        <v>3008.07</v>
      </c>
      <c r="E15" s="4" t="inlineStr">
        <is>
          <t>SGS - 27856</t>
        </is>
      </c>
      <c r="F15" s="12" t="n">
        <v>1893.94</v>
      </c>
      <c r="H15" s="4" t="inlineStr">
        <is>
          <t>Tecnologia e contábil</t>
        </is>
      </c>
      <c r="I15" s="61" t="n">
        <v>2221</v>
      </c>
      <c r="J15" s="14">
        <f>IFERROR(I15/$B$7,0)</f>
        <v/>
      </c>
      <c r="L15" s="63" t="inlineStr">
        <is>
          <t>MERCADO OPEN</t>
        </is>
      </c>
      <c r="M15" s="63" t="inlineStr">
        <is>
          <t>Infraestrutura do escritório</t>
        </is>
      </c>
      <c r="N15" s="63" t="inlineStr">
        <is>
          <t>Operação e infraestrutura</t>
        </is>
      </c>
      <c r="O15" s="63" t="inlineStr">
        <is>
          <t>Apoio operacional</t>
        </is>
      </c>
      <c r="P15" s="63" t="inlineStr">
        <is>
          <t>Direto base CSV</t>
        </is>
      </c>
      <c r="Q15" s="63" t="inlineStr">
        <is>
          <t>Consumo de apoio à operação/estrutura.</t>
        </is>
      </c>
    </row>
    <row r="16">
      <c r="A16" s="4" t="inlineStr">
        <is>
          <t>Gasolina - Fernanda</t>
        </is>
      </c>
      <c r="B16" s="12" t="n">
        <v>250.8</v>
      </c>
      <c r="E16" s="4" t="inlineStr">
        <is>
          <t>Arte final - troca da central</t>
        </is>
      </c>
      <c r="F16" s="12" t="n">
        <v>345</v>
      </c>
      <c r="H16" s="4" t="inlineStr">
        <is>
          <t>Comercial, deslocamento e benefícios</t>
        </is>
      </c>
      <c r="I16" s="61" t="n">
        <v>1142.26</v>
      </c>
      <c r="J16" s="14">
        <f>IFERROR(I16/$B$7,0)</f>
        <v/>
      </c>
      <c r="L16" s="63" t="inlineStr">
        <is>
          <t>CEMIG</t>
        </is>
      </c>
      <c r="M16" s="63" t="inlineStr">
        <is>
          <t>Infraestrutura do escritório</t>
        </is>
      </c>
      <c r="N16" s="63" t="inlineStr">
        <is>
          <t>Operação e infraestrutura</t>
        </is>
      </c>
      <c r="O16" s="63" t="inlineStr">
        <is>
          <t>Utilidades</t>
        </is>
      </c>
      <c r="P16" s="63" t="inlineStr">
        <is>
          <t>Direto base CSV</t>
        </is>
      </c>
      <c r="Q16" s="63" t="inlineStr">
        <is>
          <t>Energia elétrica da operação.</t>
        </is>
      </c>
    </row>
    <row r="17">
      <c r="A17" s="4" t="inlineStr">
        <is>
          <t>Engenheiro Kleber</t>
        </is>
      </c>
      <c r="B17" s="12" t="n">
        <v>4300</v>
      </c>
      <c r="E17" s="4" t="inlineStr">
        <is>
          <t>IPTU (1/6)</t>
        </is>
      </c>
      <c r="F17" s="12" t="n">
        <v>174.01</v>
      </c>
      <c r="H17" s="4" t="inlineStr">
        <is>
          <t>Financeiro, dívidas e despesas gerais</t>
        </is>
      </c>
      <c r="I17" s="61" t="n">
        <v>9069.049999999999</v>
      </c>
      <c r="J17" s="14">
        <f>IFERROR(I17/$B$7,0)</f>
        <v/>
      </c>
      <c r="L17" s="63" t="inlineStr">
        <is>
          <t>CONTADORA</t>
        </is>
      </c>
      <c r="M17" s="63" t="inlineStr">
        <is>
          <t>Backoffice contábil</t>
        </is>
      </c>
      <c r="N17" s="63" t="inlineStr">
        <is>
          <t>Tecnologia e contábil</t>
        </is>
      </c>
      <c r="O17" s="63" t="inlineStr">
        <is>
          <t>Contábil / compliance</t>
        </is>
      </c>
      <c r="P17" s="63" t="inlineStr">
        <is>
          <t>Direto base CSV</t>
        </is>
      </c>
      <c r="Q17" s="63" t="inlineStr">
        <is>
          <t>Serviço contábil recorrente.</t>
        </is>
      </c>
    </row>
    <row r="18">
      <c r="A18" s="4" t="inlineStr">
        <is>
          <t>DMAE</t>
        </is>
      </c>
      <c r="B18" s="12" t="n">
        <v>157.04</v>
      </c>
      <c r="E18" s="4" t="inlineStr">
        <is>
          <t>Taxa de funcionamento (1/2)</t>
        </is>
      </c>
      <c r="F18" s="12" t="n">
        <v>194.79</v>
      </c>
      <c r="H18" s="4" t="inlineStr">
        <is>
          <t>Terceiros e laboratoriais</t>
        </is>
      </c>
      <c r="I18" s="61" t="n">
        <v>2332.4</v>
      </c>
      <c r="J18" s="14">
        <f>IFERROR(I18/$B$7,0)</f>
        <v/>
      </c>
      <c r="L18" s="63" t="inlineStr">
        <is>
          <t>SISTEMA ESO</t>
        </is>
      </c>
      <c r="M18" s="63" t="inlineStr">
        <is>
          <t>Sistemas</t>
        </is>
      </c>
      <c r="N18" s="63" t="inlineStr">
        <is>
          <t>Tecnologia e contábil</t>
        </is>
      </c>
      <c r="O18" s="63" t="inlineStr">
        <is>
          <t>Software / sistema</t>
        </is>
      </c>
      <c r="P18" s="63" t="inlineStr">
        <is>
          <t>Direto base CSV</t>
        </is>
      </c>
      <c r="Q18" s="63" t="inlineStr">
        <is>
          <t>Sistema operacional da rotina SST.</t>
        </is>
      </c>
    </row>
    <row r="19">
      <c r="A19" s="4" t="inlineStr">
        <is>
          <t>Mercado Open</t>
        </is>
      </c>
      <c r="B19" s="12" t="n">
        <v>404</v>
      </c>
      <c r="E19" s="3" t="inlineStr">
        <is>
          <t>Total variável</t>
        </is>
      </c>
      <c r="F19" s="12">
        <f>ROUND(SUM(F12:F18),2)</f>
        <v/>
      </c>
      <c r="H19" s="4" t="inlineStr">
        <is>
          <t>Total</t>
        </is>
      </c>
      <c r="I19" s="61">
        <f>SUM(I12:I18)</f>
        <v/>
      </c>
      <c r="J19" s="14">
        <f>SUM(J12:J18)</f>
        <v/>
      </c>
      <c r="L19" s="63" t="inlineStr">
        <is>
          <t>PANIFICADORA</t>
        </is>
      </c>
      <c r="M19" s="63" t="inlineStr">
        <is>
          <t>Infraestrutura do escritório</t>
        </is>
      </c>
      <c r="N19" s="63" t="inlineStr">
        <is>
          <t>Operação e infraestrutura</t>
        </is>
      </c>
      <c r="O19" s="63" t="inlineStr">
        <is>
          <t>Consumo interno</t>
        </is>
      </c>
      <c r="P19" s="63" t="inlineStr">
        <is>
          <t>Inferido gerencial</t>
        </is>
      </c>
      <c r="Q19" s="63" t="inlineStr">
        <is>
          <t>Valor não informado no PDF; grupo inferido pela natureza do gasto.</t>
        </is>
      </c>
    </row>
    <row r="20">
      <c r="A20" s="4" t="inlineStr">
        <is>
          <t>CEMIG</t>
        </is>
      </c>
      <c r="B20" s="12" t="n">
        <v>221.59</v>
      </c>
      <c r="L20" s="63" t="inlineStr">
        <is>
          <t>CARTÃO MASTER</t>
        </is>
      </c>
      <c r="M20" s="63" t="inlineStr">
        <is>
          <t>Financeiro</t>
        </is>
      </c>
      <c r="N20" s="63" t="inlineStr">
        <is>
          <t>Financeiro, dívidas e despesas gerais</t>
        </is>
      </c>
      <c r="O20" s="63" t="inlineStr">
        <is>
          <t>Passivo financeiro</t>
        </is>
      </c>
      <c r="P20" s="63" t="inlineStr">
        <is>
          <t>Direto base CSV</t>
        </is>
      </c>
      <c r="Q20" s="63" t="inlineStr">
        <is>
          <t>Cartão incluído no bloco financeiro/dívidas.</t>
        </is>
      </c>
    </row>
    <row r="21">
      <c r="A21" s="4" t="inlineStr">
        <is>
          <t>Contadora</t>
        </is>
      </c>
      <c r="B21" s="12" t="n">
        <v>1621</v>
      </c>
      <c r="L21" s="63" t="inlineStr">
        <is>
          <t>RONALDO</t>
        </is>
      </c>
      <c r="M21" s="63" t="inlineStr">
        <is>
          <t>Direção / gestão</t>
        </is>
      </c>
      <c r="N21" s="63" t="inlineStr">
        <is>
          <t>Pessoal e equipe</t>
        </is>
      </c>
      <c r="O21" s="63" t="inlineStr">
        <is>
          <t>Pró-labore / gestão</t>
        </is>
      </c>
      <c r="P21" s="63" t="inlineStr">
        <is>
          <t>Direto base CSV</t>
        </is>
      </c>
      <c r="Q21" s="63" t="inlineStr">
        <is>
          <t>Gestão alocada em pessoal/equipe.</t>
        </is>
      </c>
    </row>
    <row r="22">
      <c r="A22" s="4" t="inlineStr">
        <is>
          <t>Sistema ESO</t>
        </is>
      </c>
      <c r="B22" s="12" t="n">
        <v>600</v>
      </c>
      <c r="E22" s="8" t="inlineStr">
        <is>
          <t>CONFERÊNCIA COM O MÊS LANÇADO</t>
        </is>
      </c>
      <c r="F22" s="23" t="n"/>
      <c r="G22" s="23" t="n"/>
      <c r="H22" s="23" t="n"/>
      <c r="I22" s="23" t="n"/>
      <c r="J22" s="23" t="n"/>
      <c r="L22" s="63" t="inlineStr">
        <is>
          <t>ELIANE</t>
        </is>
      </c>
      <c r="M22" s="63" t="inlineStr">
        <is>
          <t>Equipe administrativa/comercial</t>
        </is>
      </c>
      <c r="N22" s="63" t="inlineStr">
        <is>
          <t>Pessoal e equipe</t>
        </is>
      </c>
      <c r="O22" s="63" t="inlineStr">
        <is>
          <t>Pessoal fixo</t>
        </is>
      </c>
      <c r="P22" s="63" t="inlineStr">
        <is>
          <t>Direto base CSV</t>
        </is>
      </c>
      <c r="Q22" s="63" t="inlineStr">
        <is>
          <t>Profissional alocada no grupo pessoal/equipe.</t>
        </is>
      </c>
    </row>
    <row r="23">
      <c r="A23" s="4" t="inlineStr">
        <is>
          <t>Cartão Master</t>
        </is>
      </c>
      <c r="B23" s="12" t="n">
        <v>2683.72</v>
      </c>
      <c r="E23" s="3" t="inlineStr">
        <is>
          <t>Indicador</t>
        </is>
      </c>
      <c r="F23" s="3" t="inlineStr">
        <is>
          <t>Valor</t>
        </is>
      </c>
      <c r="H23" s="3" t="inlineStr">
        <is>
          <t>Indicador</t>
        </is>
      </c>
      <c r="I23" s="3" t="inlineStr">
        <is>
          <t>Valor</t>
        </is>
      </c>
      <c r="L23" s="63" t="inlineStr">
        <is>
          <t>CORREIO</t>
        </is>
      </c>
      <c r="M23" s="63" t="inlineStr">
        <is>
          <t>Infraestrutura do escritório</t>
        </is>
      </c>
      <c r="N23" s="63" t="inlineStr">
        <is>
          <t>Operação e infraestrutura</t>
        </is>
      </c>
      <c r="O23" s="63" t="inlineStr">
        <is>
          <t>Apoio administrativo</t>
        </is>
      </c>
      <c r="P23" s="63" t="inlineStr">
        <is>
          <t>Inferido gerencial</t>
        </is>
      </c>
      <c r="Q23" s="63" t="inlineStr">
        <is>
          <t>Valor não informado no PDF; classificado pela natureza logística/apoio.</t>
        </is>
      </c>
    </row>
    <row r="24">
      <c r="A24" s="4" t="inlineStr">
        <is>
          <t>Ronaldo</t>
        </is>
      </c>
      <c r="B24" s="12" t="n">
        <v>5000</v>
      </c>
      <c r="E24" s="4" t="inlineStr">
        <is>
          <t>CP total lançado (mar/26)</t>
        </is>
      </c>
      <c r="F24" s="12">
        <f>ROUND('3. Contas a Pagar'!B1003,2)</f>
        <v/>
      </c>
      <c r="H24" s="4" t="inlineStr">
        <is>
          <t>CP pago (mar/26)</t>
        </is>
      </c>
      <c r="I24" s="12">
        <f>ROUND('3. Contas a Pagar'!B1004,2)</f>
        <v/>
      </c>
      <c r="L24" s="63" t="inlineStr">
        <is>
          <t>ARTE FINAL - ALARMES</t>
        </is>
      </c>
      <c r="M24" s="63" t="inlineStr">
        <is>
          <t>Infraestrutura e manutenção</t>
        </is>
      </c>
      <c r="N24" s="63" t="inlineStr">
        <is>
          <t>Operação e infraestrutura</t>
        </is>
      </c>
      <c r="O24" s="63" t="inlineStr">
        <is>
          <t>Manutenção / segurança</t>
        </is>
      </c>
      <c r="P24" s="63" t="inlineStr">
        <is>
          <t>Direto base CSV</t>
        </is>
      </c>
      <c r="Q24" s="63" t="inlineStr">
        <is>
          <t>Item constante da base fixa mensal.</t>
        </is>
      </c>
    </row>
    <row r="25">
      <c r="A25" s="4" t="inlineStr">
        <is>
          <t>Eliane</t>
        </is>
      </c>
      <c r="B25" s="12" t="n">
        <v>1442.39</v>
      </c>
      <c r="E25" s="4" t="inlineStr">
        <is>
          <t>CR nominal (mar/26)</t>
        </is>
      </c>
      <c r="F25" s="12">
        <f>ROUND('2. Contas a Receber'!B1003,2)</f>
        <v/>
      </c>
      <c r="H25" s="4" t="inlineStr">
        <is>
          <t>CR recebido (mar/26)</t>
        </is>
      </c>
      <c r="I25" s="12">
        <f>ROUND('2. Contas a Receber'!B1004,2)</f>
        <v/>
      </c>
      <c r="L25" s="63" t="inlineStr">
        <is>
          <t>SEGURO DE VIDA / ESCRITÓRIO</t>
        </is>
      </c>
      <c r="M25" s="63" t="inlineStr">
        <is>
          <t>Infraestrutura do escritório</t>
        </is>
      </c>
      <c r="N25" s="63" t="inlineStr">
        <is>
          <t>Operação e infraestrutura</t>
        </is>
      </c>
      <c r="O25" s="63" t="inlineStr">
        <is>
          <t>Seguro administrativo</t>
        </is>
      </c>
      <c r="P25" s="63" t="inlineStr">
        <is>
          <t>Direto base CSV</t>
        </is>
      </c>
      <c r="Q25" s="63" t="inlineStr">
        <is>
          <t>Seguro da estrutura.</t>
        </is>
      </c>
    </row>
    <row r="26">
      <c r="A26" s="4" t="inlineStr">
        <is>
          <t>Arte final - alarmes</t>
        </is>
      </c>
      <c r="B26" s="12" t="n">
        <v>222</v>
      </c>
      <c r="E26" s="4" t="inlineStr">
        <is>
          <t>Estrutura base mensal</t>
        </is>
      </c>
      <c r="F26" s="12">
        <f>B7</f>
        <v/>
      </c>
      <c r="H26" s="4" t="inlineStr">
        <is>
          <t>Dif. CP total x base</t>
        </is>
      </c>
      <c r="I26" s="12">
        <f>ROUND('3. Contas a Pagar'!B1003-B7,2)</f>
        <v/>
      </c>
      <c r="L26" s="63" t="inlineStr">
        <is>
          <t>TELEFONE - FIXO</t>
        </is>
      </c>
      <c r="M26" s="63" t="inlineStr">
        <is>
          <t>Infraestrutura do escritório</t>
        </is>
      </c>
      <c r="N26" s="63" t="inlineStr">
        <is>
          <t>Operação e infraestrutura</t>
        </is>
      </c>
      <c r="O26" s="63" t="inlineStr">
        <is>
          <t>Comunicação / utilidades</t>
        </is>
      </c>
      <c r="P26" s="63" t="inlineStr">
        <is>
          <t>Direto base CSV</t>
        </is>
      </c>
      <c r="Q26" s="63" t="inlineStr">
        <is>
          <t>Conta fixa de comunicação.</t>
        </is>
      </c>
    </row>
    <row r="27">
      <c r="A27" s="4" t="inlineStr">
        <is>
          <t>Seguro de vida / escritório</t>
        </is>
      </c>
      <c r="B27" s="12">
        <f>ROUND(97.49,2)</f>
        <v/>
      </c>
      <c r="L27" s="63" t="inlineStr">
        <is>
          <t>FGTS (GFIP)</t>
        </is>
      </c>
      <c r="M27" s="63" t="inlineStr">
        <is>
          <t>Tributário e encargos</t>
        </is>
      </c>
      <c r="N27" s="63" t="inlineStr">
        <is>
          <t>Encargos e tributos</t>
        </is>
      </c>
      <c r="O27" s="63" t="inlineStr">
        <is>
          <t>Encargo trabalhista</t>
        </is>
      </c>
      <c r="P27" s="63" t="inlineStr">
        <is>
          <t>Direto base CSV</t>
        </is>
      </c>
      <c r="Q27" s="63" t="inlineStr">
        <is>
          <t>Compõe o bloco de encargos.</t>
        </is>
      </c>
    </row>
    <row r="28">
      <c r="A28" s="4" t="inlineStr">
        <is>
          <t>Telefone fixo</t>
        </is>
      </c>
      <c r="B28" s="12" t="n">
        <v>404</v>
      </c>
      <c r="L28" s="63" t="inlineStr">
        <is>
          <t>GPS</t>
        </is>
      </c>
      <c r="M28" s="63" t="inlineStr">
        <is>
          <t>Tributário e encargos</t>
        </is>
      </c>
      <c r="N28" s="63" t="inlineStr">
        <is>
          <t>Encargos e tributos</t>
        </is>
      </c>
      <c r="O28" s="63" t="inlineStr">
        <is>
          <t>Encargo previdenciário</t>
        </is>
      </c>
      <c r="P28" s="63" t="inlineStr">
        <is>
          <t>Direto base CSV</t>
        </is>
      </c>
      <c r="Q28" s="63" t="inlineStr">
        <is>
          <t>Compõe o bloco de encargos.</t>
        </is>
      </c>
    </row>
    <row r="29">
      <c r="A29" s="4" t="inlineStr">
        <is>
          <t>FGTS</t>
        </is>
      </c>
      <c r="B29" s="12" t="n">
        <v>526.66</v>
      </c>
      <c r="L29" s="63" t="inlineStr">
        <is>
          <t>DARF - RET.CONTR</t>
        </is>
      </c>
      <c r="M29" s="63" t="inlineStr">
        <is>
          <t>Tributário e encargos</t>
        </is>
      </c>
      <c r="N29" s="63" t="inlineStr">
        <is>
          <t>Encargos e tributos</t>
        </is>
      </c>
      <c r="O29" s="63" t="inlineStr">
        <is>
          <t>Tributo retido</t>
        </is>
      </c>
      <c r="P29" s="63" t="inlineStr">
        <is>
          <t>Direto base CSV</t>
        </is>
      </c>
      <c r="Q29" s="63" t="inlineStr">
        <is>
          <t>Compõe o bloco de tributos.</t>
        </is>
      </c>
    </row>
    <row r="30">
      <c r="A30" s="4" t="inlineStr">
        <is>
          <t>GPS</t>
        </is>
      </c>
      <c r="B30" s="12" t="n">
        <v>755.3</v>
      </c>
      <c r="L30" s="63" t="inlineStr">
        <is>
          <t>SIMPLES</t>
        </is>
      </c>
      <c r="M30" s="63" t="inlineStr">
        <is>
          <t>Tributário e encargos</t>
        </is>
      </c>
      <c r="N30" s="63" t="inlineStr">
        <is>
          <t>Encargos e tributos</t>
        </is>
      </c>
      <c r="O30" s="63" t="inlineStr">
        <is>
          <t>Tributo sobre faturamento</t>
        </is>
      </c>
      <c r="P30" s="63" t="inlineStr">
        <is>
          <t>Direto base CSV</t>
        </is>
      </c>
      <c r="Q30" s="63" t="inlineStr">
        <is>
          <t>Compõe o bloco tributário.</t>
        </is>
      </c>
    </row>
    <row r="31">
      <c r="A31" s="4" t="inlineStr">
        <is>
          <t>DARF retido</t>
        </is>
      </c>
      <c r="B31" s="12" t="n">
        <v>11.63</v>
      </c>
      <c r="L31" s="63" t="inlineStr">
        <is>
          <t>SIMPLES - RONALDO</t>
        </is>
      </c>
      <c r="M31" s="63" t="inlineStr">
        <is>
          <t>Tributário e encargos</t>
        </is>
      </c>
      <c r="N31" s="63" t="inlineStr">
        <is>
          <t>Encargos e tributos</t>
        </is>
      </c>
      <c r="O31" s="63" t="inlineStr">
        <is>
          <t>Tributo complementar</t>
        </is>
      </c>
      <c r="P31" s="63" t="inlineStr">
        <is>
          <t>Direto base CSV</t>
        </is>
      </c>
      <c r="Q31" s="63" t="inlineStr">
        <is>
          <t>Compõe o bloco tributário.</t>
        </is>
      </c>
    </row>
    <row r="32">
      <c r="A32" s="4" t="inlineStr">
        <is>
          <t>Simples</t>
        </is>
      </c>
      <c r="B32" s="12" t="n">
        <v>2651.92</v>
      </c>
      <c r="L32" s="63" t="inlineStr">
        <is>
          <t>CARTÃO VISA</t>
        </is>
      </c>
      <c r="M32" s="63" t="inlineStr">
        <is>
          <t>Financeiro</t>
        </is>
      </c>
      <c r="N32" s="63" t="inlineStr">
        <is>
          <t>Financeiro, dívidas e despesas gerais</t>
        </is>
      </c>
      <c r="O32" s="63" t="inlineStr">
        <is>
          <t>Passivo financeiro</t>
        </is>
      </c>
      <c r="P32" s="63" t="inlineStr">
        <is>
          <t>Direto base CSV</t>
        </is>
      </c>
      <c r="Q32" s="63" t="inlineStr">
        <is>
          <t>Cartão incluído no bloco financeiro/dívidas.</t>
        </is>
      </c>
    </row>
    <row r="33">
      <c r="A33" s="4" t="inlineStr">
        <is>
          <t>Simples - Ronaldo</t>
        </is>
      </c>
      <c r="B33" s="12" t="n">
        <v>86.05</v>
      </c>
      <c r="L33" s="63" t="inlineStr">
        <is>
          <t>SPEED - CARTUCHO</t>
        </is>
      </c>
      <c r="M33" s="63" t="inlineStr">
        <is>
          <t>Infraestrutura do escritório</t>
        </is>
      </c>
      <c r="N33" s="63" t="inlineStr">
        <is>
          <t>Operação e infraestrutura</t>
        </is>
      </c>
      <c r="O33" s="63" t="inlineStr">
        <is>
          <t>Consumo / impressão</t>
        </is>
      </c>
      <c r="P33" s="63" t="inlineStr">
        <is>
          <t>Inferido gerencial</t>
        </is>
      </c>
      <c r="Q33" s="63" t="inlineStr">
        <is>
          <t>Valor não informado no PDF; alocado por natureza do gasto.</t>
        </is>
      </c>
    </row>
    <row r="34">
      <c r="A34" s="4" t="inlineStr">
        <is>
          <t>Cartão Visa</t>
        </is>
      </c>
      <c r="B34" s="12" t="n">
        <v>3521.3</v>
      </c>
      <c r="L34" s="63" t="inlineStr">
        <is>
          <t>WTA - PCMSO</t>
        </is>
      </c>
      <c r="M34" s="63" t="inlineStr">
        <is>
          <t>Terceiros e laboratoriais</t>
        </is>
      </c>
      <c r="N34" s="63" t="inlineStr">
        <is>
          <t>Terceiros e laboratoriais</t>
        </is>
      </c>
      <c r="O34" s="63" t="inlineStr">
        <is>
          <t>Serviço terceiro SST</t>
        </is>
      </c>
      <c r="P34" s="63" t="inlineStr">
        <is>
          <t>Inferido gerencial</t>
        </is>
      </c>
      <c r="Q34" s="63" t="inlineStr">
        <is>
          <t>Não aparece com valor no CSV consolidado, mas a natureza é de terceiro técnico.</t>
        </is>
      </c>
    </row>
    <row r="35">
      <c r="A35" s="3" t="inlineStr">
        <is>
          <t>Total fixo</t>
        </is>
      </c>
      <c r="B35" s="12">
        <f>ROUND(SUM(B12:B34),2)</f>
        <v/>
      </c>
      <c r="L35" s="63" t="inlineStr">
        <is>
          <t>EMPRÉSTIMO GOVERNO (03/37)</t>
        </is>
      </c>
      <c r="M35" s="63" t="inlineStr">
        <is>
          <t>Financeiro</t>
        </is>
      </c>
      <c r="N35" s="63" t="inlineStr">
        <is>
          <t>Financeiro, dívidas e despesas gerais</t>
        </is>
      </c>
      <c r="O35" s="63" t="inlineStr">
        <is>
          <t>Dívida parcelada</t>
        </is>
      </c>
      <c r="P35" s="63" t="inlineStr">
        <is>
          <t>Direto base CSV</t>
        </is>
      </c>
      <c r="Q35" s="63" t="inlineStr">
        <is>
          <t>Parcela de dívida incluída no bloco financeiro.</t>
        </is>
      </c>
    </row>
    <row r="36">
      <c r="L36" s="63" t="inlineStr">
        <is>
          <t>EMPRÉSTIMO GOVERNO (29/36)</t>
        </is>
      </c>
      <c r="M36" s="63" t="inlineStr">
        <is>
          <t>Financeiro</t>
        </is>
      </c>
      <c r="N36" s="63" t="inlineStr">
        <is>
          <t>Financeiro, dívidas e despesas gerais</t>
        </is>
      </c>
      <c r="O36" s="63" t="inlineStr">
        <is>
          <t>Dívida parcelada</t>
        </is>
      </c>
      <c r="P36" s="63" t="inlineStr">
        <is>
          <t>Direto base CSV</t>
        </is>
      </c>
      <c r="Q36" s="63" t="inlineStr">
        <is>
          <t>Parcela de dívida incluída no bloco financeiro.</t>
        </is>
      </c>
    </row>
    <row r="37">
      <c r="L37" s="63" t="inlineStr">
        <is>
          <t>SGS - 27766</t>
        </is>
      </c>
      <c r="M37" s="63" t="inlineStr">
        <is>
          <t>Terceiros e laboratoriais</t>
        </is>
      </c>
      <c r="N37" s="63" t="inlineStr">
        <is>
          <t>Terceiros e laboratoriais</t>
        </is>
      </c>
      <c r="O37" s="63" t="inlineStr">
        <is>
          <t>Serviço laboratorial</t>
        </is>
      </c>
      <c r="P37" s="63" t="inlineStr">
        <is>
          <t>Direto base CSV</t>
        </is>
      </c>
      <c r="Q37" s="63" t="inlineStr">
        <is>
          <t>Item do bloco terceiros/laboratoriais.</t>
        </is>
      </c>
    </row>
    <row r="38">
      <c r="L38" s="63" t="inlineStr">
        <is>
          <t>SGS - 27856</t>
        </is>
      </c>
      <c r="M38" s="63" t="inlineStr">
        <is>
          <t>Terceiros e laboratoriais</t>
        </is>
      </c>
      <c r="N38" s="63" t="inlineStr">
        <is>
          <t>Terceiros e laboratoriais</t>
        </is>
      </c>
      <c r="O38" s="63" t="inlineStr">
        <is>
          <t>Serviço laboratorial</t>
        </is>
      </c>
      <c r="P38" s="63" t="inlineStr">
        <is>
          <t>Direto base CSV</t>
        </is>
      </c>
      <c r="Q38" s="63" t="inlineStr">
        <is>
          <t>Item do bloco terceiros/laboratoriais.</t>
        </is>
      </c>
    </row>
    <row r="39">
      <c r="L39" s="63" t="inlineStr">
        <is>
          <t>ARTE FINAL - TROCA DA CENTRAL (3/4)</t>
        </is>
      </c>
      <c r="M39" s="63" t="inlineStr">
        <is>
          <t>Infraestrutura e manutenção</t>
        </is>
      </c>
      <c r="N39" s="63" t="inlineStr">
        <is>
          <t>Operação e infraestrutura</t>
        </is>
      </c>
      <c r="O39" s="63" t="inlineStr">
        <is>
          <t>Manutenção / segurança</t>
        </is>
      </c>
      <c r="P39" s="63" t="inlineStr">
        <is>
          <t>Direto base CSV</t>
        </is>
      </c>
      <c r="Q39" s="63" t="inlineStr">
        <is>
          <t>Item do bloco operação/infraestrutura.</t>
        </is>
      </c>
    </row>
    <row r="40">
      <c r="L40" s="63" t="inlineStr">
        <is>
          <t>IPTU(1/6)</t>
        </is>
      </c>
      <c r="M40" s="63" t="inlineStr">
        <is>
          <t>Tributário e encargos</t>
        </is>
      </c>
      <c r="N40" s="63" t="inlineStr">
        <is>
          <t>Encargos e tributos</t>
        </is>
      </c>
      <c r="O40" s="63" t="inlineStr">
        <is>
          <t>Tributo patrimonial</t>
        </is>
      </c>
      <c r="P40" s="63" t="inlineStr">
        <is>
          <t>Direto base CSV</t>
        </is>
      </c>
      <c r="Q40" s="63" t="inlineStr">
        <is>
          <t>Incluído no bloco encargos e tributos.</t>
        </is>
      </c>
    </row>
    <row r="41">
      <c r="L41" s="63" t="inlineStr">
        <is>
          <t>CASTRO NAVES</t>
        </is>
      </c>
      <c r="M41" s="63" t="inlineStr">
        <is>
          <t>Terceiros e laboratoriais</t>
        </is>
      </c>
      <c r="N41" s="63" t="inlineStr">
        <is>
          <t>Terceiros e laboratoriais</t>
        </is>
      </c>
      <c r="O41" s="63" t="inlineStr">
        <is>
          <t>Serviço terceiro</t>
        </is>
      </c>
      <c r="P41" s="63" t="inlineStr">
        <is>
          <t>Inferido gerencial</t>
        </is>
      </c>
      <c r="Q41" s="63" t="inlineStr">
        <is>
          <t>Valor não informado no PDF; natureza classificada como serviço de terceiro.</t>
        </is>
      </c>
    </row>
    <row r="42">
      <c r="L42" s="63" t="inlineStr">
        <is>
          <t>TX DE FUNCIONAMENTO (1/2)</t>
        </is>
      </c>
      <c r="M42" s="63" t="inlineStr">
        <is>
          <t>Tributário e encargos</t>
        </is>
      </c>
      <c r="N42" s="63" t="inlineStr">
        <is>
          <t>Encargos e tributos</t>
        </is>
      </c>
      <c r="O42" s="63" t="inlineStr">
        <is>
          <t>Taxa regulatória</t>
        </is>
      </c>
      <c r="P42" s="63" t="inlineStr">
        <is>
          <t>Direto base CSV</t>
        </is>
      </c>
      <c r="Q42" s="63" t="inlineStr">
        <is>
          <t>Incluída no bloco encargos e tributos.</t>
        </is>
      </c>
    </row>
  </sheetData>
  <mergeCells count="9">
    <mergeCell ref="A1:J1"/>
    <mergeCell ref="H10:J10"/>
    <mergeCell ref="E10:F10"/>
    <mergeCell ref="E22:J22"/>
    <mergeCell ref="L5:Q5"/>
    <mergeCell ref="A10:B10"/>
    <mergeCell ref="A2:J2"/>
    <mergeCell ref="A4:C4"/>
    <mergeCell ref="L4:Q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001A3A5C"/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</cols>
  <sheetData>
    <row r="1" ht="24" customHeight="1">
      <c r="A1" s="1" t="inlineStr">
        <is>
          <t>7. DRE GERENCIAL MENSAL — ETAPA DE MODELAGEM DO ERP</t>
        </is>
      </c>
    </row>
    <row r="2" ht="34" customHeight="1">
      <c r="A2" s="2" t="inlineStr">
        <is>
          <t>DRE gerencial por competência proxy: receita baseada na emissão do título do CR e despesas baseadas na competência do CP. Não substitui DRE contábil.</t>
        </is>
      </c>
    </row>
    <row r="4" ht="22" customHeight="1">
      <c r="A4" s="8" t="inlineStr">
        <is>
          <t>Ano-base</t>
        </is>
      </c>
      <c r="B4" s="90">
        <f>'0. Como Alimentar'!$B$6</f>
        <v/>
      </c>
      <c r="D4" s="8" t="inlineStr">
        <is>
          <t>Data-base CR</t>
        </is>
      </c>
      <c r="E4" s="66">
        <f>'2. Contas a Receber'!B4</f>
        <v/>
      </c>
      <c r="G4" s="8" t="inlineStr">
        <is>
          <t>Critério receita</t>
        </is>
      </c>
      <c r="H4" s="66" t="inlineStr">
        <is>
          <t>Emissão do título</t>
        </is>
      </c>
      <c r="J4" s="8" t="inlineStr">
        <is>
          <t>Critério despesa</t>
        </is>
      </c>
      <c r="K4" s="66" t="inlineStr">
        <is>
          <t>Competência do CP</t>
        </is>
      </c>
    </row>
    <row r="6" ht="22" customHeight="1">
      <c r="A6" s="66" t="inlineStr">
        <is>
          <t>Linha gerencial</t>
        </is>
      </c>
      <c r="B6" s="105">
        <f>DATE($B$4,1,1)</f>
        <v/>
      </c>
      <c r="C6" s="105">
        <f>DATE($B$4,2,1)</f>
        <v/>
      </c>
      <c r="D6" s="105">
        <f>DATE($B$4,3,1)</f>
        <v/>
      </c>
      <c r="E6" s="105">
        <f>DATE($B$4,4,1)</f>
        <v/>
      </c>
      <c r="F6" s="105">
        <f>DATE($B$4,5,1)</f>
        <v/>
      </c>
      <c r="G6" s="105">
        <f>DATE($B$4,6,1)</f>
        <v/>
      </c>
      <c r="H6" s="105">
        <f>DATE($B$4,7,1)</f>
        <v/>
      </c>
      <c r="I6" s="105">
        <f>DATE($B$4,8,1)</f>
        <v/>
      </c>
      <c r="J6" s="105">
        <f>DATE($B$4,9,1)</f>
        <v/>
      </c>
      <c r="K6" s="105">
        <f>DATE($B$4,10,1)</f>
        <v/>
      </c>
      <c r="L6" s="105">
        <f>DATE($B$4,11,1)</f>
        <v/>
      </c>
      <c r="M6" s="105">
        <f>DATE($B$4,12,1)</f>
        <v/>
      </c>
      <c r="N6" s="66">
        <f>"Total "&amp;$B$4</f>
        <v/>
      </c>
    </row>
    <row r="7" ht="22" customHeight="1">
      <c r="A7" s="8" t="inlineStr">
        <is>
          <t>RECEITA BRUTA</t>
        </is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>
      <c r="A8" s="4" t="inlineStr">
        <is>
          <t>Receita recorrente</t>
        </is>
      </c>
      <c r="B8" s="67">
        <f>ROUND(SUMIFS('2. Contas a Receber'!$H$8:$H$1000,'2. Contas a Receber'!$N$8:$N$1000,B$6,'2. Contas a Receber'!$O$8:$O$1000,$A8),2)</f>
        <v/>
      </c>
      <c r="C8" s="67">
        <f>ROUND(SUMIFS('2. Contas a Receber'!$H$8:$H$1000,'2. Contas a Receber'!$N$8:$N$1000,C$6,'2. Contas a Receber'!$O$8:$O$1000,$A8),2)</f>
        <v/>
      </c>
      <c r="D8" s="68">
        <f>ROUND(SUMIFS('2. Contas a Receber'!$H$8:$H$1000,'2. Contas a Receber'!$N$8:$N$1000,D$6,'2. Contas a Receber'!$O$8:$O$1000,$A8),2)</f>
        <v/>
      </c>
      <c r="E8" s="67">
        <f>ROUND(SUMIFS('2. Contas a Receber'!$H$8:$H$1000,'2. Contas a Receber'!$N$8:$N$1000,E$6,'2. Contas a Receber'!$O$8:$O$1000,$A8),2)</f>
        <v/>
      </c>
      <c r="F8" s="67">
        <f>ROUND(SUMIFS('2. Contas a Receber'!$H$8:$H$1000,'2. Contas a Receber'!$N$8:$N$1000,F$6,'2. Contas a Receber'!$O$8:$O$1000,$A8),2)</f>
        <v/>
      </c>
      <c r="G8" s="67">
        <f>ROUND(SUMIFS('2. Contas a Receber'!$H$8:$H$1000,'2. Contas a Receber'!$N$8:$N$1000,G$6,'2. Contas a Receber'!$O$8:$O$1000,$A8),2)</f>
        <v/>
      </c>
      <c r="H8" s="67">
        <f>ROUND(SUMIFS('2. Contas a Receber'!$H$8:$H$1000,'2. Contas a Receber'!$N$8:$N$1000,H$6,'2. Contas a Receber'!$O$8:$O$1000,$A8),2)</f>
        <v/>
      </c>
      <c r="I8" s="67">
        <f>ROUND(SUMIFS('2. Contas a Receber'!$H$8:$H$1000,'2. Contas a Receber'!$N$8:$N$1000,I$6,'2. Contas a Receber'!$O$8:$O$1000,$A8),2)</f>
        <v/>
      </c>
      <c r="J8" s="67">
        <f>ROUND(SUMIFS('2. Contas a Receber'!$H$8:$H$1000,'2. Contas a Receber'!$N$8:$N$1000,J$6,'2. Contas a Receber'!$O$8:$O$1000,$A8),2)</f>
        <v/>
      </c>
      <c r="K8" s="67">
        <f>ROUND(SUMIFS('2. Contas a Receber'!$H$8:$H$1000,'2. Contas a Receber'!$N$8:$N$1000,K$6,'2. Contas a Receber'!$O$8:$O$1000,$A8),2)</f>
        <v/>
      </c>
      <c r="L8" s="67">
        <f>ROUND(SUMIFS('2. Contas a Receber'!$H$8:$H$1000,'2. Contas a Receber'!$N$8:$N$1000,L$6,'2. Contas a Receber'!$O$8:$O$1000,$A8),2)</f>
        <v/>
      </c>
      <c r="M8" s="67">
        <f>ROUND(SUMIFS('2. Contas a Receber'!$H$8:$H$1000,'2. Contas a Receber'!$N$8:$N$1000,M$6,'2. Contas a Receber'!$O$8:$O$1000,$A8),2)</f>
        <v/>
      </c>
      <c r="N8" s="69">
        <f>ROUND(SUM(B8:M8),2)</f>
        <v/>
      </c>
    </row>
    <row r="9">
      <c r="A9" s="4" t="inlineStr">
        <is>
          <t>Receita extra</t>
        </is>
      </c>
      <c r="B9" s="67">
        <f>ROUND(SUMIFS('2. Contas a Receber'!$H$8:$H$1000,'2. Contas a Receber'!$N$8:$N$1000,B$6,'2. Contas a Receber'!$O$8:$O$1000,$A9),2)</f>
        <v/>
      </c>
      <c r="C9" s="67">
        <f>ROUND(SUMIFS('2. Contas a Receber'!$H$8:$H$1000,'2. Contas a Receber'!$N$8:$N$1000,C$6,'2. Contas a Receber'!$O$8:$O$1000,$A9),2)</f>
        <v/>
      </c>
      <c r="D9" s="68">
        <f>ROUND(SUMIFS('2. Contas a Receber'!$H$8:$H$1000,'2. Contas a Receber'!$N$8:$N$1000,D$6,'2. Contas a Receber'!$O$8:$O$1000,$A9),2)</f>
        <v/>
      </c>
      <c r="E9" s="67">
        <f>ROUND(SUMIFS('2. Contas a Receber'!$H$8:$H$1000,'2. Contas a Receber'!$N$8:$N$1000,E$6,'2. Contas a Receber'!$O$8:$O$1000,$A9),2)</f>
        <v/>
      </c>
      <c r="F9" s="67">
        <f>ROUND(SUMIFS('2. Contas a Receber'!$H$8:$H$1000,'2. Contas a Receber'!$N$8:$N$1000,F$6,'2. Contas a Receber'!$O$8:$O$1000,$A9),2)</f>
        <v/>
      </c>
      <c r="G9" s="67">
        <f>ROUND(SUMIFS('2. Contas a Receber'!$H$8:$H$1000,'2. Contas a Receber'!$N$8:$N$1000,G$6,'2. Contas a Receber'!$O$8:$O$1000,$A9),2)</f>
        <v/>
      </c>
      <c r="H9" s="67">
        <f>ROUND(SUMIFS('2. Contas a Receber'!$H$8:$H$1000,'2. Contas a Receber'!$N$8:$N$1000,H$6,'2. Contas a Receber'!$O$8:$O$1000,$A9),2)</f>
        <v/>
      </c>
      <c r="I9" s="67">
        <f>ROUND(SUMIFS('2. Contas a Receber'!$H$8:$H$1000,'2. Contas a Receber'!$N$8:$N$1000,I$6,'2. Contas a Receber'!$O$8:$O$1000,$A9),2)</f>
        <v/>
      </c>
      <c r="J9" s="67">
        <f>ROUND(SUMIFS('2. Contas a Receber'!$H$8:$H$1000,'2. Contas a Receber'!$N$8:$N$1000,J$6,'2. Contas a Receber'!$O$8:$O$1000,$A9),2)</f>
        <v/>
      </c>
      <c r="K9" s="67">
        <f>ROUND(SUMIFS('2. Contas a Receber'!$H$8:$H$1000,'2. Contas a Receber'!$N$8:$N$1000,K$6,'2. Contas a Receber'!$O$8:$O$1000,$A9),2)</f>
        <v/>
      </c>
      <c r="L9" s="67">
        <f>ROUND(SUMIFS('2. Contas a Receber'!$H$8:$H$1000,'2. Contas a Receber'!$N$8:$N$1000,L$6,'2. Contas a Receber'!$O$8:$O$1000,$A9),2)</f>
        <v/>
      </c>
      <c r="M9" s="67">
        <f>ROUND(SUMIFS('2. Contas a Receber'!$H$8:$H$1000,'2. Contas a Receber'!$N$8:$N$1000,M$6,'2. Contas a Receber'!$O$8:$O$1000,$A9),2)</f>
        <v/>
      </c>
      <c r="N9" s="69">
        <f>ROUND(SUM(B9:M9),2)</f>
        <v/>
      </c>
    </row>
    <row r="10">
      <c r="A10" s="70" t="inlineStr">
        <is>
          <t>Receita bruta total</t>
        </is>
      </c>
      <c r="B10" s="71">
        <f>ROUND(SUM(B8:B9),2)</f>
        <v/>
      </c>
      <c r="C10" s="71">
        <f>ROUND(SUM(C8:C9),2)</f>
        <v/>
      </c>
      <c r="D10" s="72">
        <f>ROUND(SUM(D8:D9),2)</f>
        <v/>
      </c>
      <c r="E10" s="71">
        <f>ROUND(SUM(E8:E9),2)</f>
        <v/>
      </c>
      <c r="F10" s="71">
        <f>ROUND(SUM(F8:F9),2)</f>
        <v/>
      </c>
      <c r="G10" s="71">
        <f>ROUND(SUM(G8:G9),2)</f>
        <v/>
      </c>
      <c r="H10" s="71">
        <f>ROUND(SUM(H8:H9),2)</f>
        <v/>
      </c>
      <c r="I10" s="71">
        <f>ROUND(SUM(I8:I9),2)</f>
        <v/>
      </c>
      <c r="J10" s="71">
        <f>ROUND(SUM(J8:J9),2)</f>
        <v/>
      </c>
      <c r="K10" s="71">
        <f>ROUND(SUM(K8:K9),2)</f>
        <v/>
      </c>
      <c r="L10" s="71">
        <f>ROUND(SUM(L8:L9),2)</f>
        <v/>
      </c>
      <c r="M10" s="71">
        <f>ROUND(SUM(M8:M9),2)</f>
        <v/>
      </c>
      <c r="N10" s="73">
        <f>ROUND(SUM(B10:M10),2)</f>
        <v/>
      </c>
    </row>
    <row r="11">
      <c r="A11" s="74" t="inlineStr">
        <is>
          <t>(-) Impostos sobre faturamento</t>
        </is>
      </c>
      <c r="B11" s="75">
        <f>ROUND(SUMIFS('3. Contas a Pagar'!$I$6:$I$1000,'3. Contas a Pagar'!$B$6:$B$1000,B$6,'3. Contas a Pagar'!$R$6:$R$1000,$A11),2)</f>
        <v/>
      </c>
      <c r="C11" s="75">
        <f>ROUND(SUMIFS('3. Contas a Pagar'!$I$6:$I$1000,'3. Contas a Pagar'!$B$6:$B$1000,C$6,'3. Contas a Pagar'!$R$6:$R$1000,$A11),2)</f>
        <v/>
      </c>
      <c r="D11" s="76">
        <f>ROUND(SUMIFS('3. Contas a Pagar'!$I$6:$I$1000,'3. Contas a Pagar'!$B$6:$B$1000,D$6,'3. Contas a Pagar'!$R$6:$R$1000,$A11),2)</f>
        <v/>
      </c>
      <c r="E11" s="75">
        <f>ROUND(SUMIFS('3. Contas a Pagar'!$I$6:$I$1000,'3. Contas a Pagar'!$B$6:$B$1000,E$6,'3. Contas a Pagar'!$R$6:$R$1000,$A11),2)</f>
        <v/>
      </c>
      <c r="F11" s="75">
        <f>ROUND(SUMIFS('3. Contas a Pagar'!$I$6:$I$1000,'3. Contas a Pagar'!$B$6:$B$1000,F$6,'3. Contas a Pagar'!$R$6:$R$1000,$A11),2)</f>
        <v/>
      </c>
      <c r="G11" s="75">
        <f>ROUND(SUMIFS('3. Contas a Pagar'!$I$6:$I$1000,'3. Contas a Pagar'!$B$6:$B$1000,G$6,'3. Contas a Pagar'!$R$6:$R$1000,$A11),2)</f>
        <v/>
      </c>
      <c r="H11" s="75">
        <f>ROUND(SUMIFS('3. Contas a Pagar'!$I$6:$I$1000,'3. Contas a Pagar'!$B$6:$B$1000,H$6,'3. Contas a Pagar'!$R$6:$R$1000,$A11),2)</f>
        <v/>
      </c>
      <c r="I11" s="75">
        <f>ROUND(SUMIFS('3. Contas a Pagar'!$I$6:$I$1000,'3. Contas a Pagar'!$B$6:$B$1000,I$6,'3. Contas a Pagar'!$R$6:$R$1000,$A11),2)</f>
        <v/>
      </c>
      <c r="J11" s="75">
        <f>ROUND(SUMIFS('3. Contas a Pagar'!$I$6:$I$1000,'3. Contas a Pagar'!$B$6:$B$1000,J$6,'3. Contas a Pagar'!$R$6:$R$1000,$A11),2)</f>
        <v/>
      </c>
      <c r="K11" s="75">
        <f>ROUND(SUMIFS('3. Contas a Pagar'!$I$6:$I$1000,'3. Contas a Pagar'!$B$6:$B$1000,K$6,'3. Contas a Pagar'!$R$6:$R$1000,$A11),2)</f>
        <v/>
      </c>
      <c r="L11" s="75">
        <f>ROUND(SUMIFS('3. Contas a Pagar'!$I$6:$I$1000,'3. Contas a Pagar'!$B$6:$B$1000,L$6,'3. Contas a Pagar'!$R$6:$R$1000,$A11),2)</f>
        <v/>
      </c>
      <c r="M11" s="75">
        <f>ROUND(SUMIFS('3. Contas a Pagar'!$I$6:$I$1000,'3. Contas a Pagar'!$B$6:$B$1000,M$6,'3. Contas a Pagar'!$R$6:$R$1000,$A11),2)</f>
        <v/>
      </c>
      <c r="N11" s="77">
        <f>ROUND(SUM(B11:M11),2)</f>
        <v/>
      </c>
    </row>
    <row r="12">
      <c r="A12" s="70" t="inlineStr">
        <is>
          <t>Receita líquida</t>
        </is>
      </c>
      <c r="B12" s="71">
        <f>ROUND(B10-B11,2)</f>
        <v/>
      </c>
      <c r="C12" s="71">
        <f>ROUND(C10-C11,2)</f>
        <v/>
      </c>
      <c r="D12" s="72">
        <f>ROUND(D10-D11,2)</f>
        <v/>
      </c>
      <c r="E12" s="71">
        <f>ROUND(E10-E11,2)</f>
        <v/>
      </c>
      <c r="F12" s="71">
        <f>ROUND(F10-F11,2)</f>
        <v/>
      </c>
      <c r="G12" s="71">
        <f>ROUND(G10-G11,2)</f>
        <v/>
      </c>
      <c r="H12" s="71">
        <f>ROUND(H10-H11,2)</f>
        <v/>
      </c>
      <c r="I12" s="71">
        <f>ROUND(I10-I11,2)</f>
        <v/>
      </c>
      <c r="J12" s="71">
        <f>ROUND(J10-J11,2)</f>
        <v/>
      </c>
      <c r="K12" s="71">
        <f>ROUND(K10-K11,2)</f>
        <v/>
      </c>
      <c r="L12" s="71">
        <f>ROUND(L10-L11,2)</f>
        <v/>
      </c>
      <c r="M12" s="71">
        <f>ROUND(M10-M11,2)</f>
        <v/>
      </c>
      <c r="N12" s="73">
        <f>ROUND(SUM(B12:M12),2)</f>
        <v/>
      </c>
    </row>
    <row r="13">
      <c r="D13" s="78" t="n"/>
      <c r="N13" s="79" t="n"/>
    </row>
    <row r="14" ht="22" customHeight="1">
      <c r="A14" s="8" t="inlineStr">
        <is>
          <t>CUSTOS E DESPESAS OPERACIONAIS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>
      <c r="A15" s="4" t="inlineStr">
        <is>
          <t>(-) Custos diretos dos serviços</t>
        </is>
      </c>
      <c r="B15" s="67">
        <f>ROUND(SUMIFS('3. Contas a Pagar'!$I$6:$I$1000,'3. Contas a Pagar'!$B$6:$B$1000,B$6,'3. Contas a Pagar'!$R$6:$R$1000,$A15),2)</f>
        <v/>
      </c>
      <c r="C15" s="67">
        <f>ROUND(SUMIFS('3. Contas a Pagar'!$I$6:$I$1000,'3. Contas a Pagar'!$B$6:$B$1000,C$6,'3. Contas a Pagar'!$R$6:$R$1000,$A15),2)</f>
        <v/>
      </c>
      <c r="D15" s="68">
        <f>ROUND(SUMIFS('3. Contas a Pagar'!$I$6:$I$1000,'3. Contas a Pagar'!$B$6:$B$1000,D$6,'3. Contas a Pagar'!$R$6:$R$1000,$A15),2)</f>
        <v/>
      </c>
      <c r="E15" s="67">
        <f>ROUND(SUMIFS('3. Contas a Pagar'!$I$6:$I$1000,'3. Contas a Pagar'!$B$6:$B$1000,E$6,'3. Contas a Pagar'!$R$6:$R$1000,$A15),2)</f>
        <v/>
      </c>
      <c r="F15" s="67">
        <f>ROUND(SUMIFS('3. Contas a Pagar'!$I$6:$I$1000,'3. Contas a Pagar'!$B$6:$B$1000,F$6,'3. Contas a Pagar'!$R$6:$R$1000,$A15),2)</f>
        <v/>
      </c>
      <c r="G15" s="67">
        <f>ROUND(SUMIFS('3. Contas a Pagar'!$I$6:$I$1000,'3. Contas a Pagar'!$B$6:$B$1000,G$6,'3. Contas a Pagar'!$R$6:$R$1000,$A15),2)</f>
        <v/>
      </c>
      <c r="H15" s="67">
        <f>ROUND(SUMIFS('3. Contas a Pagar'!$I$6:$I$1000,'3. Contas a Pagar'!$B$6:$B$1000,H$6,'3. Contas a Pagar'!$R$6:$R$1000,$A15),2)</f>
        <v/>
      </c>
      <c r="I15" s="67">
        <f>ROUND(SUMIFS('3. Contas a Pagar'!$I$6:$I$1000,'3. Contas a Pagar'!$B$6:$B$1000,I$6,'3. Contas a Pagar'!$R$6:$R$1000,$A15),2)</f>
        <v/>
      </c>
      <c r="J15" s="67">
        <f>ROUND(SUMIFS('3. Contas a Pagar'!$I$6:$I$1000,'3. Contas a Pagar'!$B$6:$B$1000,J$6,'3. Contas a Pagar'!$R$6:$R$1000,$A15),2)</f>
        <v/>
      </c>
      <c r="K15" s="67">
        <f>ROUND(SUMIFS('3. Contas a Pagar'!$I$6:$I$1000,'3. Contas a Pagar'!$B$6:$B$1000,K$6,'3. Contas a Pagar'!$R$6:$R$1000,$A15),2)</f>
        <v/>
      </c>
      <c r="L15" s="67">
        <f>ROUND(SUMIFS('3. Contas a Pagar'!$I$6:$I$1000,'3. Contas a Pagar'!$B$6:$B$1000,L$6,'3. Contas a Pagar'!$R$6:$R$1000,$A15),2)</f>
        <v/>
      </c>
      <c r="M15" s="67">
        <f>ROUND(SUMIFS('3. Contas a Pagar'!$I$6:$I$1000,'3. Contas a Pagar'!$B$6:$B$1000,M$6,'3. Contas a Pagar'!$R$6:$R$1000,$A15),2)</f>
        <v/>
      </c>
      <c r="N15" s="69">
        <f>ROUND(SUM(B15:M15),2)</f>
        <v/>
      </c>
    </row>
    <row r="16">
      <c r="A16" s="70" t="inlineStr">
        <is>
          <t>Margem bruta</t>
        </is>
      </c>
      <c r="B16" s="71">
        <f>ROUND(B12-B15,2)</f>
        <v/>
      </c>
      <c r="C16" s="71">
        <f>ROUND(C12-C15,2)</f>
        <v/>
      </c>
      <c r="D16" s="72">
        <f>ROUND(D12-D15,2)</f>
        <v/>
      </c>
      <c r="E16" s="71">
        <f>ROUND(E12-E15,2)</f>
        <v/>
      </c>
      <c r="F16" s="71">
        <f>ROUND(F12-F15,2)</f>
        <v/>
      </c>
      <c r="G16" s="71">
        <f>ROUND(G12-G15,2)</f>
        <v/>
      </c>
      <c r="H16" s="71">
        <f>ROUND(H12-H15,2)</f>
        <v/>
      </c>
      <c r="I16" s="71">
        <f>ROUND(I12-I15,2)</f>
        <v/>
      </c>
      <c r="J16" s="71">
        <f>ROUND(J12-J15,2)</f>
        <v/>
      </c>
      <c r="K16" s="71">
        <f>ROUND(K12-K15,2)</f>
        <v/>
      </c>
      <c r="L16" s="71">
        <f>ROUND(L12-L15,2)</f>
        <v/>
      </c>
      <c r="M16" s="71">
        <f>ROUND(M12-M15,2)</f>
        <v/>
      </c>
      <c r="N16" s="73">
        <f>ROUND(SUM(B16:M16),2)</f>
        <v/>
      </c>
    </row>
    <row r="17">
      <c r="D17" s="78" t="n"/>
      <c r="N17" s="79" t="n"/>
    </row>
    <row r="18">
      <c r="A18" s="4" t="inlineStr">
        <is>
          <t>(-) Despesas comerciais e deslocamento</t>
        </is>
      </c>
      <c r="B18" s="67">
        <f>ROUND(SUMIFS('3. Contas a Pagar'!$I$6:$I$1000,'3. Contas a Pagar'!$B$6:$B$1000,B$6,'3. Contas a Pagar'!$R$6:$R$1000,$A18),2)</f>
        <v/>
      </c>
      <c r="C18" s="67">
        <f>ROUND(SUMIFS('3. Contas a Pagar'!$I$6:$I$1000,'3. Contas a Pagar'!$B$6:$B$1000,C$6,'3. Contas a Pagar'!$R$6:$R$1000,$A18),2)</f>
        <v/>
      </c>
      <c r="D18" s="68">
        <f>ROUND(SUMIFS('3. Contas a Pagar'!$I$6:$I$1000,'3. Contas a Pagar'!$B$6:$B$1000,D$6,'3. Contas a Pagar'!$R$6:$R$1000,$A18),2)</f>
        <v/>
      </c>
      <c r="E18" s="67">
        <f>ROUND(SUMIFS('3. Contas a Pagar'!$I$6:$I$1000,'3. Contas a Pagar'!$B$6:$B$1000,E$6,'3. Contas a Pagar'!$R$6:$R$1000,$A18),2)</f>
        <v/>
      </c>
      <c r="F18" s="67">
        <f>ROUND(SUMIFS('3. Contas a Pagar'!$I$6:$I$1000,'3. Contas a Pagar'!$B$6:$B$1000,F$6,'3. Contas a Pagar'!$R$6:$R$1000,$A18),2)</f>
        <v/>
      </c>
      <c r="G18" s="67">
        <f>ROUND(SUMIFS('3. Contas a Pagar'!$I$6:$I$1000,'3. Contas a Pagar'!$B$6:$B$1000,G$6,'3. Contas a Pagar'!$R$6:$R$1000,$A18),2)</f>
        <v/>
      </c>
      <c r="H18" s="67">
        <f>ROUND(SUMIFS('3. Contas a Pagar'!$I$6:$I$1000,'3. Contas a Pagar'!$B$6:$B$1000,H$6,'3. Contas a Pagar'!$R$6:$R$1000,$A18),2)</f>
        <v/>
      </c>
      <c r="I18" s="67">
        <f>ROUND(SUMIFS('3. Contas a Pagar'!$I$6:$I$1000,'3. Contas a Pagar'!$B$6:$B$1000,I$6,'3. Contas a Pagar'!$R$6:$R$1000,$A18),2)</f>
        <v/>
      </c>
      <c r="J18" s="67">
        <f>ROUND(SUMIFS('3. Contas a Pagar'!$I$6:$I$1000,'3. Contas a Pagar'!$B$6:$B$1000,J$6,'3. Contas a Pagar'!$R$6:$R$1000,$A18),2)</f>
        <v/>
      </c>
      <c r="K18" s="67">
        <f>ROUND(SUMIFS('3. Contas a Pagar'!$I$6:$I$1000,'3. Contas a Pagar'!$B$6:$B$1000,K$6,'3. Contas a Pagar'!$R$6:$R$1000,$A18),2)</f>
        <v/>
      </c>
      <c r="L18" s="67">
        <f>ROUND(SUMIFS('3. Contas a Pagar'!$I$6:$I$1000,'3. Contas a Pagar'!$B$6:$B$1000,L$6,'3. Contas a Pagar'!$R$6:$R$1000,$A18),2)</f>
        <v/>
      </c>
      <c r="M18" s="67">
        <f>ROUND(SUMIFS('3. Contas a Pagar'!$I$6:$I$1000,'3. Contas a Pagar'!$B$6:$B$1000,M$6,'3. Contas a Pagar'!$R$6:$R$1000,$A18),2)</f>
        <v/>
      </c>
      <c r="N18" s="69">
        <f>ROUND(SUM(B18:M18),2)</f>
        <v/>
      </c>
    </row>
    <row r="19">
      <c r="A19" s="4" t="inlineStr">
        <is>
          <t>(-) Despesas com pessoal e equipe</t>
        </is>
      </c>
      <c r="B19" s="67">
        <f>ROUND(SUMIFS('3. Contas a Pagar'!$I$6:$I$1000,'3. Contas a Pagar'!$B$6:$B$1000,B$6,'3. Contas a Pagar'!$R$6:$R$1000,$A19),2)</f>
        <v/>
      </c>
      <c r="C19" s="67">
        <f>ROUND(SUMIFS('3. Contas a Pagar'!$I$6:$I$1000,'3. Contas a Pagar'!$B$6:$B$1000,C$6,'3. Contas a Pagar'!$R$6:$R$1000,$A19),2)</f>
        <v/>
      </c>
      <c r="D19" s="68">
        <f>ROUND(SUMIFS('3. Contas a Pagar'!$I$6:$I$1000,'3. Contas a Pagar'!$B$6:$B$1000,D$6,'3. Contas a Pagar'!$R$6:$R$1000,$A19),2)</f>
        <v/>
      </c>
      <c r="E19" s="67">
        <f>ROUND(SUMIFS('3. Contas a Pagar'!$I$6:$I$1000,'3. Contas a Pagar'!$B$6:$B$1000,E$6,'3. Contas a Pagar'!$R$6:$R$1000,$A19),2)</f>
        <v/>
      </c>
      <c r="F19" s="67">
        <f>ROUND(SUMIFS('3. Contas a Pagar'!$I$6:$I$1000,'3. Contas a Pagar'!$B$6:$B$1000,F$6,'3. Contas a Pagar'!$R$6:$R$1000,$A19),2)</f>
        <v/>
      </c>
      <c r="G19" s="67">
        <f>ROUND(SUMIFS('3. Contas a Pagar'!$I$6:$I$1000,'3. Contas a Pagar'!$B$6:$B$1000,G$6,'3. Contas a Pagar'!$R$6:$R$1000,$A19),2)</f>
        <v/>
      </c>
      <c r="H19" s="67">
        <f>ROUND(SUMIFS('3. Contas a Pagar'!$I$6:$I$1000,'3. Contas a Pagar'!$B$6:$B$1000,H$6,'3. Contas a Pagar'!$R$6:$R$1000,$A19),2)</f>
        <v/>
      </c>
      <c r="I19" s="67">
        <f>ROUND(SUMIFS('3. Contas a Pagar'!$I$6:$I$1000,'3. Contas a Pagar'!$B$6:$B$1000,I$6,'3. Contas a Pagar'!$R$6:$R$1000,$A19),2)</f>
        <v/>
      </c>
      <c r="J19" s="67">
        <f>ROUND(SUMIFS('3. Contas a Pagar'!$I$6:$I$1000,'3. Contas a Pagar'!$B$6:$B$1000,J$6,'3. Contas a Pagar'!$R$6:$R$1000,$A19),2)</f>
        <v/>
      </c>
      <c r="K19" s="67">
        <f>ROUND(SUMIFS('3. Contas a Pagar'!$I$6:$I$1000,'3. Contas a Pagar'!$B$6:$B$1000,K$6,'3. Contas a Pagar'!$R$6:$R$1000,$A19),2)</f>
        <v/>
      </c>
      <c r="L19" s="67">
        <f>ROUND(SUMIFS('3. Contas a Pagar'!$I$6:$I$1000,'3. Contas a Pagar'!$B$6:$B$1000,L$6,'3. Contas a Pagar'!$R$6:$R$1000,$A19),2)</f>
        <v/>
      </c>
      <c r="M19" s="67">
        <f>ROUND(SUMIFS('3. Contas a Pagar'!$I$6:$I$1000,'3. Contas a Pagar'!$B$6:$B$1000,M$6,'3. Contas a Pagar'!$R$6:$R$1000,$A19),2)</f>
        <v/>
      </c>
      <c r="N19" s="69">
        <f>ROUND(SUM(B19:M19),2)</f>
        <v/>
      </c>
    </row>
    <row r="20">
      <c r="A20" s="4" t="inlineStr">
        <is>
          <t>(-) Despesas operacionais e infraestrutura</t>
        </is>
      </c>
      <c r="B20" s="67">
        <f>ROUND(SUMIFS('3. Contas a Pagar'!$I$6:$I$1000,'3. Contas a Pagar'!$B$6:$B$1000,B$6,'3. Contas a Pagar'!$R$6:$R$1000,$A20),2)</f>
        <v/>
      </c>
      <c r="C20" s="67">
        <f>ROUND(SUMIFS('3. Contas a Pagar'!$I$6:$I$1000,'3. Contas a Pagar'!$B$6:$B$1000,C$6,'3. Contas a Pagar'!$R$6:$R$1000,$A20),2)</f>
        <v/>
      </c>
      <c r="D20" s="68">
        <f>ROUND(SUMIFS('3. Contas a Pagar'!$I$6:$I$1000,'3. Contas a Pagar'!$B$6:$B$1000,D$6,'3. Contas a Pagar'!$R$6:$R$1000,$A20),2)</f>
        <v/>
      </c>
      <c r="E20" s="67">
        <f>ROUND(SUMIFS('3. Contas a Pagar'!$I$6:$I$1000,'3. Contas a Pagar'!$B$6:$B$1000,E$6,'3. Contas a Pagar'!$R$6:$R$1000,$A20),2)</f>
        <v/>
      </c>
      <c r="F20" s="67">
        <f>ROUND(SUMIFS('3. Contas a Pagar'!$I$6:$I$1000,'3. Contas a Pagar'!$B$6:$B$1000,F$6,'3. Contas a Pagar'!$R$6:$R$1000,$A20),2)</f>
        <v/>
      </c>
      <c r="G20" s="67">
        <f>ROUND(SUMIFS('3. Contas a Pagar'!$I$6:$I$1000,'3. Contas a Pagar'!$B$6:$B$1000,G$6,'3. Contas a Pagar'!$R$6:$R$1000,$A20),2)</f>
        <v/>
      </c>
      <c r="H20" s="67">
        <f>ROUND(SUMIFS('3. Contas a Pagar'!$I$6:$I$1000,'3. Contas a Pagar'!$B$6:$B$1000,H$6,'3. Contas a Pagar'!$R$6:$R$1000,$A20),2)</f>
        <v/>
      </c>
      <c r="I20" s="67">
        <f>ROUND(SUMIFS('3. Contas a Pagar'!$I$6:$I$1000,'3. Contas a Pagar'!$B$6:$B$1000,I$6,'3. Contas a Pagar'!$R$6:$R$1000,$A20),2)</f>
        <v/>
      </c>
      <c r="J20" s="67">
        <f>ROUND(SUMIFS('3. Contas a Pagar'!$I$6:$I$1000,'3. Contas a Pagar'!$B$6:$B$1000,J$6,'3. Contas a Pagar'!$R$6:$R$1000,$A20),2)</f>
        <v/>
      </c>
      <c r="K20" s="67">
        <f>ROUND(SUMIFS('3. Contas a Pagar'!$I$6:$I$1000,'3. Contas a Pagar'!$B$6:$B$1000,K$6,'3. Contas a Pagar'!$R$6:$R$1000,$A20),2)</f>
        <v/>
      </c>
      <c r="L20" s="67">
        <f>ROUND(SUMIFS('3. Contas a Pagar'!$I$6:$I$1000,'3. Contas a Pagar'!$B$6:$B$1000,L$6,'3. Contas a Pagar'!$R$6:$R$1000,$A20),2)</f>
        <v/>
      </c>
      <c r="M20" s="67">
        <f>ROUND(SUMIFS('3. Contas a Pagar'!$I$6:$I$1000,'3. Contas a Pagar'!$B$6:$B$1000,M$6,'3. Contas a Pagar'!$R$6:$R$1000,$A20),2)</f>
        <v/>
      </c>
      <c r="N20" s="69">
        <f>ROUND(SUM(B20:M20),2)</f>
        <v/>
      </c>
    </row>
    <row r="21">
      <c r="A21" s="4" t="inlineStr">
        <is>
          <t>(-) Despesas com tecnologia e contábil</t>
        </is>
      </c>
      <c r="B21" s="67">
        <f>ROUND(SUMIFS('3. Contas a Pagar'!$I$6:$I$1000,'3. Contas a Pagar'!$B$6:$B$1000,B$6,'3. Contas a Pagar'!$R$6:$R$1000,$A21),2)</f>
        <v/>
      </c>
      <c r="C21" s="67">
        <f>ROUND(SUMIFS('3. Contas a Pagar'!$I$6:$I$1000,'3. Contas a Pagar'!$B$6:$B$1000,C$6,'3. Contas a Pagar'!$R$6:$R$1000,$A21),2)</f>
        <v/>
      </c>
      <c r="D21" s="68">
        <f>ROUND(SUMIFS('3. Contas a Pagar'!$I$6:$I$1000,'3. Contas a Pagar'!$B$6:$B$1000,D$6,'3. Contas a Pagar'!$R$6:$R$1000,$A21),2)</f>
        <v/>
      </c>
      <c r="E21" s="67">
        <f>ROUND(SUMIFS('3. Contas a Pagar'!$I$6:$I$1000,'3. Contas a Pagar'!$B$6:$B$1000,E$6,'3. Contas a Pagar'!$R$6:$R$1000,$A21),2)</f>
        <v/>
      </c>
      <c r="F21" s="67">
        <f>ROUND(SUMIFS('3. Contas a Pagar'!$I$6:$I$1000,'3. Contas a Pagar'!$B$6:$B$1000,F$6,'3. Contas a Pagar'!$R$6:$R$1000,$A21),2)</f>
        <v/>
      </c>
      <c r="G21" s="67">
        <f>ROUND(SUMIFS('3. Contas a Pagar'!$I$6:$I$1000,'3. Contas a Pagar'!$B$6:$B$1000,G$6,'3. Contas a Pagar'!$R$6:$R$1000,$A21),2)</f>
        <v/>
      </c>
      <c r="H21" s="67">
        <f>ROUND(SUMIFS('3. Contas a Pagar'!$I$6:$I$1000,'3. Contas a Pagar'!$B$6:$B$1000,H$6,'3. Contas a Pagar'!$R$6:$R$1000,$A21),2)</f>
        <v/>
      </c>
      <c r="I21" s="67">
        <f>ROUND(SUMIFS('3. Contas a Pagar'!$I$6:$I$1000,'3. Contas a Pagar'!$B$6:$B$1000,I$6,'3. Contas a Pagar'!$R$6:$R$1000,$A21),2)</f>
        <v/>
      </c>
      <c r="J21" s="67">
        <f>ROUND(SUMIFS('3. Contas a Pagar'!$I$6:$I$1000,'3. Contas a Pagar'!$B$6:$B$1000,J$6,'3. Contas a Pagar'!$R$6:$R$1000,$A21),2)</f>
        <v/>
      </c>
      <c r="K21" s="67">
        <f>ROUND(SUMIFS('3. Contas a Pagar'!$I$6:$I$1000,'3. Contas a Pagar'!$B$6:$B$1000,K$6,'3. Contas a Pagar'!$R$6:$R$1000,$A21),2)</f>
        <v/>
      </c>
      <c r="L21" s="67">
        <f>ROUND(SUMIFS('3. Contas a Pagar'!$I$6:$I$1000,'3. Contas a Pagar'!$B$6:$B$1000,L$6,'3. Contas a Pagar'!$R$6:$R$1000,$A21),2)</f>
        <v/>
      </c>
      <c r="M21" s="67">
        <f>ROUND(SUMIFS('3. Contas a Pagar'!$I$6:$I$1000,'3. Contas a Pagar'!$B$6:$B$1000,M$6,'3. Contas a Pagar'!$R$6:$R$1000,$A21),2)</f>
        <v/>
      </c>
      <c r="N21" s="69">
        <f>ROUND(SUM(B21:M21),2)</f>
        <v/>
      </c>
    </row>
    <row r="22">
      <c r="A22" s="4" t="inlineStr">
        <is>
          <t>(-) Encargos trabalhistas e tributos operacionais</t>
        </is>
      </c>
      <c r="B22" s="67">
        <f>ROUND(SUMIFS('3. Contas a Pagar'!$I$6:$I$1000,'3. Contas a Pagar'!$B$6:$B$1000,B$6,'3. Contas a Pagar'!$R$6:$R$1000,$A22),2)</f>
        <v/>
      </c>
      <c r="C22" s="67">
        <f>ROUND(SUMIFS('3. Contas a Pagar'!$I$6:$I$1000,'3. Contas a Pagar'!$B$6:$B$1000,C$6,'3. Contas a Pagar'!$R$6:$R$1000,$A22),2)</f>
        <v/>
      </c>
      <c r="D22" s="68">
        <f>ROUND(SUMIFS('3. Contas a Pagar'!$I$6:$I$1000,'3. Contas a Pagar'!$B$6:$B$1000,D$6,'3. Contas a Pagar'!$R$6:$R$1000,$A22),2)</f>
        <v/>
      </c>
      <c r="E22" s="67">
        <f>ROUND(SUMIFS('3. Contas a Pagar'!$I$6:$I$1000,'3. Contas a Pagar'!$B$6:$B$1000,E$6,'3. Contas a Pagar'!$R$6:$R$1000,$A22),2)</f>
        <v/>
      </c>
      <c r="F22" s="67">
        <f>ROUND(SUMIFS('3. Contas a Pagar'!$I$6:$I$1000,'3. Contas a Pagar'!$B$6:$B$1000,F$6,'3. Contas a Pagar'!$R$6:$R$1000,$A22),2)</f>
        <v/>
      </c>
      <c r="G22" s="67">
        <f>ROUND(SUMIFS('3. Contas a Pagar'!$I$6:$I$1000,'3. Contas a Pagar'!$B$6:$B$1000,G$6,'3. Contas a Pagar'!$R$6:$R$1000,$A22),2)</f>
        <v/>
      </c>
      <c r="H22" s="67">
        <f>ROUND(SUMIFS('3. Contas a Pagar'!$I$6:$I$1000,'3. Contas a Pagar'!$B$6:$B$1000,H$6,'3. Contas a Pagar'!$R$6:$R$1000,$A22),2)</f>
        <v/>
      </c>
      <c r="I22" s="67">
        <f>ROUND(SUMIFS('3. Contas a Pagar'!$I$6:$I$1000,'3. Contas a Pagar'!$B$6:$B$1000,I$6,'3. Contas a Pagar'!$R$6:$R$1000,$A22),2)</f>
        <v/>
      </c>
      <c r="J22" s="67">
        <f>ROUND(SUMIFS('3. Contas a Pagar'!$I$6:$I$1000,'3. Contas a Pagar'!$B$6:$B$1000,J$6,'3. Contas a Pagar'!$R$6:$R$1000,$A22),2)</f>
        <v/>
      </c>
      <c r="K22" s="67">
        <f>ROUND(SUMIFS('3. Contas a Pagar'!$I$6:$I$1000,'3. Contas a Pagar'!$B$6:$B$1000,K$6,'3. Contas a Pagar'!$R$6:$R$1000,$A22),2)</f>
        <v/>
      </c>
      <c r="L22" s="67">
        <f>ROUND(SUMIFS('3. Contas a Pagar'!$I$6:$I$1000,'3. Contas a Pagar'!$B$6:$B$1000,L$6,'3. Contas a Pagar'!$R$6:$R$1000,$A22),2)</f>
        <v/>
      </c>
      <c r="M22" s="67">
        <f>ROUND(SUMIFS('3. Contas a Pagar'!$I$6:$I$1000,'3. Contas a Pagar'!$B$6:$B$1000,M$6,'3. Contas a Pagar'!$R$6:$R$1000,$A22),2)</f>
        <v/>
      </c>
      <c r="N22" s="69">
        <f>ROUND(SUM(B22:M22),2)</f>
        <v/>
      </c>
    </row>
    <row r="23">
      <c r="A23" s="80" t="inlineStr">
        <is>
          <t>EBITDA gerencial</t>
        </is>
      </c>
      <c r="B23" s="71">
        <f>ROUND(B16-SUM(B18:B22),2)</f>
        <v/>
      </c>
      <c r="C23" s="71">
        <f>ROUND(C16-SUM(C18:C22),2)</f>
        <v/>
      </c>
      <c r="D23" s="72">
        <f>ROUND(D16-SUM(D18:D22),2)</f>
        <v/>
      </c>
      <c r="E23" s="71">
        <f>ROUND(E16-SUM(E18:E22),2)</f>
        <v/>
      </c>
      <c r="F23" s="71">
        <f>ROUND(F16-SUM(F18:F22),2)</f>
        <v/>
      </c>
      <c r="G23" s="71">
        <f>ROUND(G16-SUM(G18:G22),2)</f>
        <v/>
      </c>
      <c r="H23" s="71">
        <f>ROUND(H16-SUM(H18:H22),2)</f>
        <v/>
      </c>
      <c r="I23" s="71">
        <f>ROUND(I16-SUM(I18:I22),2)</f>
        <v/>
      </c>
      <c r="J23" s="71">
        <f>ROUND(J16-SUM(J18:J22),2)</f>
        <v/>
      </c>
      <c r="K23" s="71">
        <f>ROUND(K16-SUM(K18:K22),2)</f>
        <v/>
      </c>
      <c r="L23" s="71">
        <f>ROUND(L16-SUM(L18:L22),2)</f>
        <v/>
      </c>
      <c r="M23" s="71">
        <f>ROUND(M16-SUM(M18:M22),2)</f>
        <v/>
      </c>
      <c r="N23" s="73">
        <f>ROUND(SUM(B23:M23),2)</f>
        <v/>
      </c>
    </row>
    <row r="24">
      <c r="D24" s="78" t="n"/>
      <c r="N24" s="79" t="n"/>
    </row>
    <row r="25" ht="22" customHeight="1">
      <c r="A25" s="8" t="inlineStr">
        <is>
          <t>RESULTADO APÓS FINANCEIRO</t>
        </is>
      </c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</row>
    <row r="26">
      <c r="A26" s="4" t="inlineStr">
        <is>
          <t>(-) Resultado financeiro e despesas gerais</t>
        </is>
      </c>
      <c r="B26" s="75">
        <f>ROUND(SUMIFS('3. Contas a Pagar'!$I$6:$I$1000,'3. Contas a Pagar'!$B$6:$B$1000,B$6,'3. Contas a Pagar'!$R$6:$R$1000,$A26),2)</f>
        <v/>
      </c>
      <c r="C26" s="75">
        <f>ROUND(SUMIFS('3. Contas a Pagar'!$I$6:$I$1000,'3. Contas a Pagar'!$B$6:$B$1000,C$6,'3. Contas a Pagar'!$R$6:$R$1000,$A26),2)</f>
        <v/>
      </c>
      <c r="D26" s="76">
        <f>ROUND(SUMIFS('3. Contas a Pagar'!$I$6:$I$1000,'3. Contas a Pagar'!$B$6:$B$1000,D$6,'3. Contas a Pagar'!$R$6:$R$1000,$A26),2)</f>
        <v/>
      </c>
      <c r="E26" s="75">
        <f>ROUND(SUMIFS('3. Contas a Pagar'!$I$6:$I$1000,'3. Contas a Pagar'!$B$6:$B$1000,E$6,'3. Contas a Pagar'!$R$6:$R$1000,$A26),2)</f>
        <v/>
      </c>
      <c r="F26" s="75">
        <f>ROUND(SUMIFS('3. Contas a Pagar'!$I$6:$I$1000,'3. Contas a Pagar'!$B$6:$B$1000,F$6,'3. Contas a Pagar'!$R$6:$R$1000,$A26),2)</f>
        <v/>
      </c>
      <c r="G26" s="75">
        <f>ROUND(SUMIFS('3. Contas a Pagar'!$I$6:$I$1000,'3. Contas a Pagar'!$B$6:$B$1000,G$6,'3. Contas a Pagar'!$R$6:$R$1000,$A26),2)</f>
        <v/>
      </c>
      <c r="H26" s="75">
        <f>ROUND(SUMIFS('3. Contas a Pagar'!$I$6:$I$1000,'3. Contas a Pagar'!$B$6:$B$1000,H$6,'3. Contas a Pagar'!$R$6:$R$1000,$A26),2)</f>
        <v/>
      </c>
      <c r="I26" s="75">
        <f>ROUND(SUMIFS('3. Contas a Pagar'!$I$6:$I$1000,'3. Contas a Pagar'!$B$6:$B$1000,I$6,'3. Contas a Pagar'!$R$6:$R$1000,$A26),2)</f>
        <v/>
      </c>
      <c r="J26" s="75">
        <f>ROUND(SUMIFS('3. Contas a Pagar'!$I$6:$I$1000,'3. Contas a Pagar'!$B$6:$B$1000,J$6,'3. Contas a Pagar'!$R$6:$R$1000,$A26),2)</f>
        <v/>
      </c>
      <c r="K26" s="75">
        <f>ROUND(SUMIFS('3. Contas a Pagar'!$I$6:$I$1000,'3. Contas a Pagar'!$B$6:$B$1000,K$6,'3. Contas a Pagar'!$R$6:$R$1000,$A26),2)</f>
        <v/>
      </c>
      <c r="L26" s="75">
        <f>ROUND(SUMIFS('3. Contas a Pagar'!$I$6:$I$1000,'3. Contas a Pagar'!$B$6:$B$1000,L$6,'3. Contas a Pagar'!$R$6:$R$1000,$A26),2)</f>
        <v/>
      </c>
      <c r="M26" s="75">
        <f>ROUND(SUMIFS('3. Contas a Pagar'!$I$6:$I$1000,'3. Contas a Pagar'!$B$6:$B$1000,M$6,'3. Contas a Pagar'!$R$6:$R$1000,$A26),2)</f>
        <v/>
      </c>
      <c r="N26" s="77">
        <f>ROUND(SUM(B26:M26),2)</f>
        <v/>
      </c>
    </row>
    <row r="27">
      <c r="A27" s="80" t="inlineStr">
        <is>
          <t>Resultado operacional gerencial</t>
        </is>
      </c>
      <c r="B27" s="71">
        <f>ROUND(B23-B26,2)</f>
        <v/>
      </c>
      <c r="C27" s="71">
        <f>ROUND(C23-C26,2)</f>
        <v/>
      </c>
      <c r="D27" s="72">
        <f>ROUND(D23-D26,2)</f>
        <v/>
      </c>
      <c r="E27" s="71">
        <f>ROUND(E23-E26,2)</f>
        <v/>
      </c>
      <c r="F27" s="71">
        <f>ROUND(F23-F26,2)</f>
        <v/>
      </c>
      <c r="G27" s="71">
        <f>ROUND(G23-G26,2)</f>
        <v/>
      </c>
      <c r="H27" s="71">
        <f>ROUND(H23-H26,2)</f>
        <v/>
      </c>
      <c r="I27" s="71">
        <f>ROUND(I23-I26,2)</f>
        <v/>
      </c>
      <c r="J27" s="71">
        <f>ROUND(J23-J26,2)</f>
        <v/>
      </c>
      <c r="K27" s="71">
        <f>ROUND(K23-K26,2)</f>
        <v/>
      </c>
      <c r="L27" s="71">
        <f>ROUND(L23-L26,2)</f>
        <v/>
      </c>
      <c r="M27" s="71">
        <f>ROUND(M23-M26,2)</f>
        <v/>
      </c>
      <c r="N27" s="73">
        <f>ROUND(SUM(B27:M27),2)</f>
        <v/>
      </c>
    </row>
    <row r="28">
      <c r="D28" s="78" t="n"/>
      <c r="N28" s="79" t="n"/>
    </row>
    <row r="29" ht="22" customHeight="1">
      <c r="A29" s="8" t="inlineStr">
        <is>
          <t>MARGENS</t>
        </is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</row>
    <row r="30">
      <c r="A30" s="3" t="inlineStr">
        <is>
          <t>Margem bruta %</t>
        </is>
      </c>
      <c r="B30" s="81">
        <f>ROUND(IFERROR(B16/B10,0),4)</f>
        <v/>
      </c>
      <c r="C30" s="81">
        <f>ROUND(IFERROR(C16/C10,0),4)</f>
        <v/>
      </c>
      <c r="D30" s="82">
        <f>ROUND(IFERROR(D16/D10,0),4)</f>
        <v/>
      </c>
      <c r="E30" s="81">
        <f>ROUND(IFERROR(E16/E10,0),4)</f>
        <v/>
      </c>
      <c r="F30" s="81">
        <f>ROUND(IFERROR(F16/F10,0),4)</f>
        <v/>
      </c>
      <c r="G30" s="81">
        <f>ROUND(IFERROR(G16/G10,0),4)</f>
        <v/>
      </c>
      <c r="H30" s="81">
        <f>ROUND(IFERROR(H16/H10,0),4)</f>
        <v/>
      </c>
      <c r="I30" s="81">
        <f>ROUND(IFERROR(I16/I10,0),4)</f>
        <v/>
      </c>
      <c r="J30" s="81">
        <f>ROUND(IFERROR(J16/J10,0),4)</f>
        <v/>
      </c>
      <c r="K30" s="81">
        <f>ROUND(IFERROR(K16/K10,0),4)</f>
        <v/>
      </c>
      <c r="L30" s="81">
        <f>ROUND(IFERROR(L16/L10,0),4)</f>
        <v/>
      </c>
      <c r="M30" s="81">
        <f>ROUND(IFERROR(M16/M10,0),4)</f>
        <v/>
      </c>
      <c r="N30" s="83">
        <f>ROUND(IFERROR(N16/N10,0),4)</f>
        <v/>
      </c>
    </row>
    <row r="31">
      <c r="A31" s="3" t="inlineStr">
        <is>
          <t>Margem EBITDA %</t>
        </is>
      </c>
      <c r="B31" s="84">
        <f>ROUND(IFERROR(B23/B10,0),4)</f>
        <v/>
      </c>
      <c r="C31" s="84">
        <f>ROUND(IFERROR(C23/C10,0),4)</f>
        <v/>
      </c>
      <c r="D31" s="85">
        <f>ROUND(IFERROR(D23/D10,0),4)</f>
        <v/>
      </c>
      <c r="E31" s="84">
        <f>ROUND(IFERROR(E23/E10,0),4)</f>
        <v/>
      </c>
      <c r="F31" s="84">
        <f>ROUND(IFERROR(F23/F10,0),4)</f>
        <v/>
      </c>
      <c r="G31" s="84">
        <f>ROUND(IFERROR(G23/G10,0),4)</f>
        <v/>
      </c>
      <c r="H31" s="84">
        <f>ROUND(IFERROR(H23/H10,0),4)</f>
        <v/>
      </c>
      <c r="I31" s="84">
        <f>ROUND(IFERROR(I23/I10,0),4)</f>
        <v/>
      </c>
      <c r="J31" s="84">
        <f>ROUND(IFERROR(J23/J10,0),4)</f>
        <v/>
      </c>
      <c r="K31" s="84">
        <f>ROUND(IFERROR(K23/K10,0),4)</f>
        <v/>
      </c>
      <c r="L31" s="84">
        <f>ROUND(IFERROR(L23/L10,0),4)</f>
        <v/>
      </c>
      <c r="M31" s="84">
        <f>ROUND(IFERROR(M23/M10,0),4)</f>
        <v/>
      </c>
      <c r="N31" s="86">
        <f>ROUND(IFERROR(N23/N10,0),4)</f>
        <v/>
      </c>
    </row>
    <row r="32">
      <c r="A32" s="3" t="inlineStr">
        <is>
          <t>Margem operacional %</t>
        </is>
      </c>
      <c r="B32" s="84">
        <f>ROUND(IFERROR(B27/B10,0),4)</f>
        <v/>
      </c>
      <c r="C32" s="84">
        <f>ROUND(IFERROR(C27/C10,0),4)</f>
        <v/>
      </c>
      <c r="D32" s="85">
        <f>ROUND(IFERROR(D27/D10,0),4)</f>
        <v/>
      </c>
      <c r="E32" s="84">
        <f>ROUND(IFERROR(E27/E10,0),4)</f>
        <v/>
      </c>
      <c r="F32" s="84">
        <f>ROUND(IFERROR(F27/F10,0),4)</f>
        <v/>
      </c>
      <c r="G32" s="84">
        <f>ROUND(IFERROR(G27/G10,0),4)</f>
        <v/>
      </c>
      <c r="H32" s="84">
        <f>ROUND(IFERROR(H27/H10,0),4)</f>
        <v/>
      </c>
      <c r="I32" s="84">
        <f>ROUND(IFERROR(I27/I10,0),4)</f>
        <v/>
      </c>
      <c r="J32" s="84">
        <f>ROUND(IFERROR(J27/J10,0),4)</f>
        <v/>
      </c>
      <c r="K32" s="84">
        <f>ROUND(IFERROR(K27/K10,0),4)</f>
        <v/>
      </c>
      <c r="L32" s="84">
        <f>ROUND(IFERROR(L27/L10,0),4)</f>
        <v/>
      </c>
      <c r="M32" s="84">
        <f>ROUND(IFERROR(M27/M10,0),4)</f>
        <v/>
      </c>
      <c r="N32" s="86">
        <f>ROUND(IFERROR(N27/N10,0),4)</f>
        <v/>
      </c>
    </row>
    <row r="35" ht="22" customHeight="1">
      <c r="A35" s="8" t="inlineStr">
        <is>
          <t>MAPA DE CLASSIFICAÇÃO UTILIZADO NA DRE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</row>
    <row r="36" ht="22" customHeight="1">
      <c r="A36" s="66" t="inlineStr">
        <is>
          <t>Linha</t>
        </is>
      </c>
      <c r="B36" s="66" t="inlineStr">
        <is>
          <t>Critério de classificação</t>
        </is>
      </c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87" t="n"/>
    </row>
    <row r="37" ht="32" customHeight="1">
      <c r="A37" s="88" t="inlineStr">
        <is>
          <t>Receita recorrente</t>
        </is>
      </c>
      <c r="B37" s="89" t="inlineStr">
        <is>
          <t>Títulos do CR cujo texto de origem veio marcado como "Fixo".</t>
        </is>
      </c>
    </row>
    <row r="38" ht="32" customHeight="1">
      <c r="A38" s="88" t="inlineStr">
        <is>
          <t>Receita extra</t>
        </is>
      </c>
      <c r="B38" s="89" t="inlineStr">
        <is>
          <t>Títulos do CR cujo texto de origem veio marcado como "Extra".</t>
        </is>
      </c>
    </row>
    <row r="39" ht="32" customHeight="1">
      <c r="A39" s="88" t="inlineStr">
        <is>
          <t>Impostos sobre faturamento</t>
        </is>
      </c>
      <c r="B39" s="89" t="inlineStr">
        <is>
          <t>Itens do CP com fornecedor contendo SIMPLES ou DARF.</t>
        </is>
      </c>
    </row>
    <row r="40" ht="32" customHeight="1">
      <c r="A40" s="88" t="inlineStr">
        <is>
          <t>Custos diretos dos serviços</t>
        </is>
      </c>
      <c r="B40" s="89" t="inlineStr">
        <is>
          <t>Grupo gerencial do CP classificado como Terceiros e laboratoriais.</t>
        </is>
      </c>
    </row>
    <row r="41" ht="32" customHeight="1">
      <c r="A41" s="88" t="inlineStr">
        <is>
          <t>Encargos trabalhistas e tributos operacionais</t>
        </is>
      </c>
      <c r="B41" s="89" t="inlineStr">
        <is>
          <t>Demais itens do grupo Encargos e tributos (FGTS, GPS, IPTU, taxas).</t>
        </is>
      </c>
    </row>
    <row r="42" ht="32" customHeight="1">
      <c r="A42" s="88" t="inlineStr">
        <is>
          <t>Resultado financeiro e despesas gerais</t>
        </is>
      </c>
      <c r="B42" s="89" t="inlineStr">
        <is>
          <t>Grupo Financeiro, dívidas e despesas gerais, abaixo do EBITDA.</t>
        </is>
      </c>
    </row>
  </sheetData>
  <mergeCells count="14">
    <mergeCell ref="B36:N36"/>
    <mergeCell ref="B37:N37"/>
    <mergeCell ref="B42:N42"/>
    <mergeCell ref="A35:N35"/>
    <mergeCell ref="B41:N41"/>
    <mergeCell ref="A2:N2"/>
    <mergeCell ref="B40:N40"/>
    <mergeCell ref="A29:N29"/>
    <mergeCell ref="A7:N7"/>
    <mergeCell ref="A25:N25"/>
    <mergeCell ref="B39:N39"/>
    <mergeCell ref="B38:N38"/>
    <mergeCell ref="A14:N14"/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0" customWidth="1" min="3" max="3"/>
    <col width="22" customWidth="1" min="4" max="4"/>
    <col width="20" customWidth="1" min="5" max="5"/>
    <col width="18" customWidth="1" min="6" max="6"/>
    <col width="18" customWidth="1" min="7" max="7"/>
    <col width="18" customWidth="1" min="8" max="8"/>
    <col width="20" customWidth="1" min="9" max="9"/>
    <col width="22" customWidth="1" min="10" max="10"/>
    <col width="18" customWidth="1" min="11" max="11"/>
    <col width="22" customWidth="1" min="12" max="12"/>
    <col width="20" customWidth="1" min="13" max="13"/>
    <col width="14" customWidth="1" min="14" max="14"/>
  </cols>
  <sheetData>
    <row r="1">
      <c r="A1" s="1" t="inlineStr">
        <is>
          <t>8. DRE POR CENTRO DE CUSTO — CONSUMO DO RESULTADO</t>
        </is>
      </c>
    </row>
    <row r="2">
      <c r="A2" s="2" t="inlineStr">
        <is>
          <t>Nesta etapa de modelagem do ERP, a receita ainda não está tagueada por centro de custo. Por isso, o topo da DRE permanece consolidado e a abertura por centro começa nos custos e despesas.</t>
        </is>
      </c>
    </row>
    <row r="4">
      <c r="A4" s="8" t="inlineStr">
        <is>
          <t>Competência analisada</t>
        </is>
      </c>
      <c r="B4" s="105">
        <f>'0. Como Alimentar'!$B$7</f>
        <v/>
      </c>
      <c r="C4" s="90" t="n"/>
      <c r="D4" s="8" t="inlineStr">
        <is>
          <t>Critério</t>
        </is>
      </c>
      <c r="E4" s="90" t="inlineStr">
        <is>
          <t>Receita consolidada; despesas abertas por centro real do CP</t>
        </is>
      </c>
      <c r="F4" s="90" t="n"/>
      <c r="G4" s="8" t="n"/>
      <c r="H4" s="90" t="n"/>
      <c r="I4" s="90" t="n"/>
      <c r="J4" s="8" t="inlineStr">
        <is>
          <t>Fonte</t>
        </is>
      </c>
      <c r="K4" s="90" t="inlineStr">
        <is>
          <t>CP + DRE mensal</t>
        </is>
      </c>
      <c r="L4" s="90" t="n"/>
      <c r="M4" s="90" t="n"/>
      <c r="N4" s="90" t="n"/>
    </row>
    <row r="6" ht="22" customHeight="1">
      <c r="A6" s="66" t="inlineStr">
        <is>
          <t>Linha DRE</t>
        </is>
      </c>
      <c r="B6" s="66" t="inlineStr">
        <is>
          <t>Consolidado</t>
        </is>
      </c>
      <c r="C6" s="66" t="inlineStr">
        <is>
          <t>Benefícios e deslocamento</t>
        </is>
      </c>
      <c r="D6" s="66" t="inlineStr">
        <is>
          <t>Infraestrutura do escritório</t>
        </is>
      </c>
      <c r="E6" s="66" t="inlineStr">
        <is>
          <t>Equipe administrativa/comercial</t>
        </is>
      </c>
      <c r="F6" s="66" t="inlineStr">
        <is>
          <t>Equipe técnica</t>
        </is>
      </c>
      <c r="G6" s="66" t="inlineStr">
        <is>
          <t>Backoffice contábil</t>
        </is>
      </c>
      <c r="H6" s="66" t="inlineStr">
        <is>
          <t>Sistemas</t>
        </is>
      </c>
      <c r="I6" s="66" t="inlineStr">
        <is>
          <t>Financeiro</t>
        </is>
      </c>
      <c r="J6" s="66" t="inlineStr">
        <is>
          <t>Direção / gestão</t>
        </is>
      </c>
      <c r="K6" s="66" t="inlineStr">
        <is>
          <t>Infraestrutura e manutenção</t>
        </is>
      </c>
      <c r="L6" s="66" t="inlineStr">
        <is>
          <t>Tributário e encargos</t>
        </is>
      </c>
      <c r="M6" s="66" t="inlineStr">
        <is>
          <t>Terceiros e laboratoriais</t>
        </is>
      </c>
      <c r="N6" s="66" t="inlineStr">
        <is>
          <t>Total centros</t>
        </is>
      </c>
    </row>
    <row r="7">
      <c r="A7" s="8" t="inlineStr">
        <is>
          <t>RECEITA E MARGEM CONSOLIDADAS</t>
        </is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>
      <c r="A8" s="70" t="inlineStr">
        <is>
          <t>Receita bruta total</t>
        </is>
      </c>
      <c r="B8" s="71">
        <f>INDEX('7. DRE Gerencial Mensal'!$B$10:$M$10,1,MATCH($B$4,'7. DRE Gerencial Mensal'!$B$6:$M$6,0))</f>
        <v/>
      </c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3" t="n"/>
    </row>
    <row r="9">
      <c r="A9" s="4" t="inlineStr">
        <is>
          <t>(-) Impostos sobre faturamento</t>
        </is>
      </c>
      <c r="B9" s="75">
        <f>INDEX('7. DRE Gerencial Mensal'!$B$11:$M$11,1,MATCH($B$4,'7. DRE Gerencial Mensal'!$B$6:$M$6,0))</f>
        <v/>
      </c>
      <c r="C9" s="75" t="n"/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3" t="n"/>
    </row>
    <row r="10">
      <c r="A10" s="70" t="inlineStr">
        <is>
          <t>Receita líquida</t>
        </is>
      </c>
      <c r="B10" s="71">
        <f>INDEX('7. DRE Gerencial Mensal'!$B$12:$M$12,1,MATCH($B$4,'7. DRE Gerencial Mensal'!$B$6:$M$6,0))</f>
        <v/>
      </c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3" t="n"/>
    </row>
    <row r="11">
      <c r="A11" s="4" t="inlineStr">
        <is>
          <t>(-) Custos diretos dos serviços</t>
        </is>
      </c>
      <c r="B11" s="67">
        <f>INDEX('7. DRE Gerencial Mensal'!$B$15:$M$15,1,MATCH($B$4,'7. DRE Gerencial Mensal'!$B$6:$M$6,0))</f>
        <v/>
      </c>
      <c r="C11" s="67">
        <f>ROUND(SUMIFS('3. Contas a Pagar'!$I$6:$I$1000,'3. Contas a Pagar'!$B$6:$B$1000,$B$4,'3. Contas a Pagar'!$E$6:$E$1000,C$6,'3. Contas a Pagar'!$R$6:$R$1000,$A11),2)</f>
        <v/>
      </c>
      <c r="D11" s="67">
        <f>ROUND(SUMIFS('3. Contas a Pagar'!$I$6:$I$1000,'3. Contas a Pagar'!$B$6:$B$1000,$B$4,'3. Contas a Pagar'!$E$6:$E$1000,D$6,'3. Contas a Pagar'!$R$6:$R$1000,$A11),2)</f>
        <v/>
      </c>
      <c r="E11" s="67">
        <f>ROUND(SUMIFS('3. Contas a Pagar'!$I$6:$I$1000,'3. Contas a Pagar'!$B$6:$B$1000,$B$4,'3. Contas a Pagar'!$E$6:$E$1000,E$6,'3. Contas a Pagar'!$R$6:$R$1000,$A11),2)</f>
        <v/>
      </c>
      <c r="F11" s="67">
        <f>ROUND(SUMIFS('3. Contas a Pagar'!$I$6:$I$1000,'3. Contas a Pagar'!$B$6:$B$1000,$B$4,'3. Contas a Pagar'!$E$6:$E$1000,F$6,'3. Contas a Pagar'!$R$6:$R$1000,$A11),2)</f>
        <v/>
      </c>
      <c r="G11" s="67">
        <f>ROUND(SUMIFS('3. Contas a Pagar'!$I$6:$I$1000,'3. Contas a Pagar'!$B$6:$B$1000,$B$4,'3. Contas a Pagar'!$E$6:$E$1000,G$6,'3. Contas a Pagar'!$R$6:$R$1000,$A11),2)</f>
        <v/>
      </c>
      <c r="H11" s="67">
        <f>ROUND(SUMIFS('3. Contas a Pagar'!$I$6:$I$1000,'3. Contas a Pagar'!$B$6:$B$1000,$B$4,'3. Contas a Pagar'!$E$6:$E$1000,H$6,'3. Contas a Pagar'!$R$6:$R$1000,$A11),2)</f>
        <v/>
      </c>
      <c r="I11" s="67">
        <f>ROUND(SUMIFS('3. Contas a Pagar'!$I$6:$I$1000,'3. Contas a Pagar'!$B$6:$B$1000,$B$4,'3. Contas a Pagar'!$E$6:$E$1000,I$6,'3. Contas a Pagar'!$R$6:$R$1000,$A11),2)</f>
        <v/>
      </c>
      <c r="J11" s="67">
        <f>ROUND(SUMIFS('3. Contas a Pagar'!$I$6:$I$1000,'3. Contas a Pagar'!$B$6:$B$1000,$B$4,'3. Contas a Pagar'!$E$6:$E$1000,J$6,'3. Contas a Pagar'!$R$6:$R$1000,$A11),2)</f>
        <v/>
      </c>
      <c r="K11" s="67">
        <f>ROUND(SUMIFS('3. Contas a Pagar'!$I$6:$I$1000,'3. Contas a Pagar'!$B$6:$B$1000,$B$4,'3. Contas a Pagar'!$E$6:$E$1000,K$6,'3. Contas a Pagar'!$R$6:$R$1000,$A11),2)</f>
        <v/>
      </c>
      <c r="L11" s="67">
        <f>ROUND(SUMIFS('3. Contas a Pagar'!$I$6:$I$1000,'3. Contas a Pagar'!$B$6:$B$1000,$B$4,'3. Contas a Pagar'!$E$6:$E$1000,L$6,'3. Contas a Pagar'!$R$6:$R$1000,$A11),2)</f>
        <v/>
      </c>
      <c r="M11" s="67">
        <f>ROUND(SUMIFS('3. Contas a Pagar'!$I$6:$I$1000,'3. Contas a Pagar'!$B$6:$B$1000,$B$4,'3. Contas a Pagar'!$E$6:$E$1000,M$6,'3. Contas a Pagar'!$R$6:$R$1000,$A11),2)</f>
        <v/>
      </c>
      <c r="N11" s="69">
        <f>ROUND(SUM(C11:M11),2)</f>
        <v/>
      </c>
    </row>
    <row r="12">
      <c r="A12" s="70" t="inlineStr">
        <is>
          <t>Margem bruta</t>
        </is>
      </c>
      <c r="B12" s="71">
        <f>INDEX('7. DRE Gerencial Mensal'!$B$16:$M$16,1,MATCH($B$4,'7. DRE Gerencial Mensal'!$B$6:$M$6,0))</f>
        <v/>
      </c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  <c r="N12" s="73" t="n"/>
    </row>
    <row r="14">
      <c r="A14" s="8" t="inlineStr">
        <is>
          <t>DESPESAS OPERACIONAIS ABERTAS POR CENTRO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>
      <c r="A15" s="4" t="inlineStr">
        <is>
          <t>(-) Despesas comerciais e deslocamento</t>
        </is>
      </c>
      <c r="B15" s="67">
        <f>INDEX('7. DRE Gerencial Mensal'!$B$18:$M$18,1,MATCH($B$4,'7. DRE Gerencial Mensal'!$B$6:$M$6,0))</f>
        <v/>
      </c>
      <c r="C15" s="67">
        <f>ROUND(SUMIFS('3. Contas a Pagar'!$I$6:$I$1000,'3. Contas a Pagar'!$B$6:$B$1000,$B$4,'3. Contas a Pagar'!$E$6:$E$1000,C$6,'3. Contas a Pagar'!$R$6:$R$1000,$A15),2)</f>
        <v/>
      </c>
      <c r="D15" s="67">
        <f>ROUND(SUMIFS('3. Contas a Pagar'!$I$6:$I$1000,'3. Contas a Pagar'!$B$6:$B$1000,$B$4,'3. Contas a Pagar'!$E$6:$E$1000,D$6,'3. Contas a Pagar'!$R$6:$R$1000,$A15),2)</f>
        <v/>
      </c>
      <c r="E15" s="67">
        <f>ROUND(SUMIFS('3. Contas a Pagar'!$I$6:$I$1000,'3. Contas a Pagar'!$B$6:$B$1000,$B$4,'3. Contas a Pagar'!$E$6:$E$1000,E$6,'3. Contas a Pagar'!$R$6:$R$1000,$A15),2)</f>
        <v/>
      </c>
      <c r="F15" s="67">
        <f>ROUND(SUMIFS('3. Contas a Pagar'!$I$6:$I$1000,'3. Contas a Pagar'!$B$6:$B$1000,$B$4,'3. Contas a Pagar'!$E$6:$E$1000,F$6,'3. Contas a Pagar'!$R$6:$R$1000,$A15),2)</f>
        <v/>
      </c>
      <c r="G15" s="67">
        <f>ROUND(SUMIFS('3. Contas a Pagar'!$I$6:$I$1000,'3. Contas a Pagar'!$B$6:$B$1000,$B$4,'3. Contas a Pagar'!$E$6:$E$1000,G$6,'3. Contas a Pagar'!$R$6:$R$1000,$A15),2)</f>
        <v/>
      </c>
      <c r="H15" s="67">
        <f>ROUND(SUMIFS('3. Contas a Pagar'!$I$6:$I$1000,'3. Contas a Pagar'!$B$6:$B$1000,$B$4,'3. Contas a Pagar'!$E$6:$E$1000,H$6,'3. Contas a Pagar'!$R$6:$R$1000,$A15),2)</f>
        <v/>
      </c>
      <c r="I15" s="67">
        <f>ROUND(SUMIFS('3. Contas a Pagar'!$I$6:$I$1000,'3. Contas a Pagar'!$B$6:$B$1000,$B$4,'3. Contas a Pagar'!$E$6:$E$1000,I$6,'3. Contas a Pagar'!$R$6:$R$1000,$A15),2)</f>
        <v/>
      </c>
      <c r="J15" s="67">
        <f>ROUND(SUMIFS('3. Contas a Pagar'!$I$6:$I$1000,'3. Contas a Pagar'!$B$6:$B$1000,$B$4,'3. Contas a Pagar'!$E$6:$E$1000,J$6,'3. Contas a Pagar'!$R$6:$R$1000,$A15),2)</f>
        <v/>
      </c>
      <c r="K15" s="67">
        <f>ROUND(SUMIFS('3. Contas a Pagar'!$I$6:$I$1000,'3. Contas a Pagar'!$B$6:$B$1000,$B$4,'3. Contas a Pagar'!$E$6:$E$1000,K$6,'3. Contas a Pagar'!$R$6:$R$1000,$A15),2)</f>
        <v/>
      </c>
      <c r="L15" s="67">
        <f>ROUND(SUMIFS('3. Contas a Pagar'!$I$6:$I$1000,'3. Contas a Pagar'!$B$6:$B$1000,$B$4,'3. Contas a Pagar'!$E$6:$E$1000,L$6,'3. Contas a Pagar'!$R$6:$R$1000,$A15),2)</f>
        <v/>
      </c>
      <c r="M15" s="67">
        <f>ROUND(SUMIFS('3. Contas a Pagar'!$I$6:$I$1000,'3. Contas a Pagar'!$B$6:$B$1000,$B$4,'3. Contas a Pagar'!$E$6:$E$1000,M$6,'3. Contas a Pagar'!$R$6:$R$1000,$A15),2)</f>
        <v/>
      </c>
      <c r="N15" s="69">
        <f>ROUND(SUM(C15:M15),2)</f>
        <v/>
      </c>
    </row>
    <row r="16">
      <c r="A16" s="4" t="inlineStr">
        <is>
          <t>(-) Despesas com pessoal e equipe</t>
        </is>
      </c>
      <c r="B16" s="67">
        <f>INDEX('7. DRE Gerencial Mensal'!$B$19:$M$19,1,MATCH($B$4,'7. DRE Gerencial Mensal'!$B$6:$M$6,0))</f>
        <v/>
      </c>
      <c r="C16" s="67">
        <f>ROUND(SUMIFS('3. Contas a Pagar'!$I$6:$I$1000,'3. Contas a Pagar'!$B$6:$B$1000,$B$4,'3. Contas a Pagar'!$E$6:$E$1000,C$6,'3. Contas a Pagar'!$R$6:$R$1000,$A16),2)</f>
        <v/>
      </c>
      <c r="D16" s="67">
        <f>ROUND(SUMIFS('3. Contas a Pagar'!$I$6:$I$1000,'3. Contas a Pagar'!$B$6:$B$1000,$B$4,'3. Contas a Pagar'!$E$6:$E$1000,D$6,'3. Contas a Pagar'!$R$6:$R$1000,$A16),2)</f>
        <v/>
      </c>
      <c r="E16" s="67">
        <f>ROUND(SUMIFS('3. Contas a Pagar'!$I$6:$I$1000,'3. Contas a Pagar'!$B$6:$B$1000,$B$4,'3. Contas a Pagar'!$E$6:$E$1000,E$6,'3. Contas a Pagar'!$R$6:$R$1000,$A16),2)</f>
        <v/>
      </c>
      <c r="F16" s="67">
        <f>ROUND(SUMIFS('3. Contas a Pagar'!$I$6:$I$1000,'3. Contas a Pagar'!$B$6:$B$1000,$B$4,'3. Contas a Pagar'!$E$6:$E$1000,F$6,'3. Contas a Pagar'!$R$6:$R$1000,$A16),2)</f>
        <v/>
      </c>
      <c r="G16" s="67">
        <f>ROUND(SUMIFS('3. Contas a Pagar'!$I$6:$I$1000,'3. Contas a Pagar'!$B$6:$B$1000,$B$4,'3. Contas a Pagar'!$E$6:$E$1000,G$6,'3. Contas a Pagar'!$R$6:$R$1000,$A16),2)</f>
        <v/>
      </c>
      <c r="H16" s="67">
        <f>ROUND(SUMIFS('3. Contas a Pagar'!$I$6:$I$1000,'3. Contas a Pagar'!$B$6:$B$1000,$B$4,'3. Contas a Pagar'!$E$6:$E$1000,H$6,'3. Contas a Pagar'!$R$6:$R$1000,$A16),2)</f>
        <v/>
      </c>
      <c r="I16" s="67">
        <f>ROUND(SUMIFS('3. Contas a Pagar'!$I$6:$I$1000,'3. Contas a Pagar'!$B$6:$B$1000,$B$4,'3. Contas a Pagar'!$E$6:$E$1000,I$6,'3. Contas a Pagar'!$R$6:$R$1000,$A16),2)</f>
        <v/>
      </c>
      <c r="J16" s="67">
        <f>ROUND(SUMIFS('3. Contas a Pagar'!$I$6:$I$1000,'3. Contas a Pagar'!$B$6:$B$1000,$B$4,'3. Contas a Pagar'!$E$6:$E$1000,J$6,'3. Contas a Pagar'!$R$6:$R$1000,$A16),2)</f>
        <v/>
      </c>
      <c r="K16" s="67">
        <f>ROUND(SUMIFS('3. Contas a Pagar'!$I$6:$I$1000,'3. Contas a Pagar'!$B$6:$B$1000,$B$4,'3. Contas a Pagar'!$E$6:$E$1000,K$6,'3. Contas a Pagar'!$R$6:$R$1000,$A16),2)</f>
        <v/>
      </c>
      <c r="L16" s="67">
        <f>ROUND(SUMIFS('3. Contas a Pagar'!$I$6:$I$1000,'3. Contas a Pagar'!$B$6:$B$1000,$B$4,'3. Contas a Pagar'!$E$6:$E$1000,L$6,'3. Contas a Pagar'!$R$6:$R$1000,$A16),2)</f>
        <v/>
      </c>
      <c r="M16" s="67">
        <f>ROUND(SUMIFS('3. Contas a Pagar'!$I$6:$I$1000,'3. Contas a Pagar'!$B$6:$B$1000,$B$4,'3. Contas a Pagar'!$E$6:$E$1000,M$6,'3. Contas a Pagar'!$R$6:$R$1000,$A16),2)</f>
        <v/>
      </c>
      <c r="N16" s="69">
        <f>ROUND(SUM(C16:M16),2)</f>
        <v/>
      </c>
    </row>
    <row r="17">
      <c r="A17" s="4" t="inlineStr">
        <is>
          <t>(-) Despesas operacionais e infraestrutura</t>
        </is>
      </c>
      <c r="B17" s="67">
        <f>INDEX('7. DRE Gerencial Mensal'!$B$20:$M$20,1,MATCH($B$4,'7. DRE Gerencial Mensal'!$B$6:$M$6,0))</f>
        <v/>
      </c>
      <c r="C17" s="67">
        <f>ROUND(SUMIFS('3. Contas a Pagar'!$I$6:$I$1000,'3. Contas a Pagar'!$B$6:$B$1000,$B$4,'3. Contas a Pagar'!$E$6:$E$1000,C$6,'3. Contas a Pagar'!$R$6:$R$1000,$A17),2)</f>
        <v/>
      </c>
      <c r="D17" s="67">
        <f>ROUND(SUMIFS('3. Contas a Pagar'!$I$6:$I$1000,'3. Contas a Pagar'!$B$6:$B$1000,$B$4,'3. Contas a Pagar'!$E$6:$E$1000,D$6,'3. Contas a Pagar'!$R$6:$R$1000,$A17),2)</f>
        <v/>
      </c>
      <c r="E17" s="67">
        <f>ROUND(SUMIFS('3. Contas a Pagar'!$I$6:$I$1000,'3. Contas a Pagar'!$B$6:$B$1000,$B$4,'3. Contas a Pagar'!$E$6:$E$1000,E$6,'3. Contas a Pagar'!$R$6:$R$1000,$A17),2)</f>
        <v/>
      </c>
      <c r="F17" s="67">
        <f>ROUND(SUMIFS('3. Contas a Pagar'!$I$6:$I$1000,'3. Contas a Pagar'!$B$6:$B$1000,$B$4,'3. Contas a Pagar'!$E$6:$E$1000,F$6,'3. Contas a Pagar'!$R$6:$R$1000,$A17),2)</f>
        <v/>
      </c>
      <c r="G17" s="67">
        <f>ROUND(SUMIFS('3. Contas a Pagar'!$I$6:$I$1000,'3. Contas a Pagar'!$B$6:$B$1000,$B$4,'3. Contas a Pagar'!$E$6:$E$1000,G$6,'3. Contas a Pagar'!$R$6:$R$1000,$A17),2)</f>
        <v/>
      </c>
      <c r="H17" s="67">
        <f>ROUND(SUMIFS('3. Contas a Pagar'!$I$6:$I$1000,'3. Contas a Pagar'!$B$6:$B$1000,$B$4,'3. Contas a Pagar'!$E$6:$E$1000,H$6,'3. Contas a Pagar'!$R$6:$R$1000,$A17),2)</f>
        <v/>
      </c>
      <c r="I17" s="67">
        <f>ROUND(SUMIFS('3. Contas a Pagar'!$I$6:$I$1000,'3. Contas a Pagar'!$B$6:$B$1000,$B$4,'3. Contas a Pagar'!$E$6:$E$1000,I$6,'3. Contas a Pagar'!$R$6:$R$1000,$A17),2)</f>
        <v/>
      </c>
      <c r="J17" s="67">
        <f>ROUND(SUMIFS('3. Contas a Pagar'!$I$6:$I$1000,'3. Contas a Pagar'!$B$6:$B$1000,$B$4,'3. Contas a Pagar'!$E$6:$E$1000,J$6,'3. Contas a Pagar'!$R$6:$R$1000,$A17),2)</f>
        <v/>
      </c>
      <c r="K17" s="67">
        <f>ROUND(SUMIFS('3. Contas a Pagar'!$I$6:$I$1000,'3. Contas a Pagar'!$B$6:$B$1000,$B$4,'3. Contas a Pagar'!$E$6:$E$1000,K$6,'3. Contas a Pagar'!$R$6:$R$1000,$A17),2)</f>
        <v/>
      </c>
      <c r="L17" s="67">
        <f>ROUND(SUMIFS('3. Contas a Pagar'!$I$6:$I$1000,'3. Contas a Pagar'!$B$6:$B$1000,$B$4,'3. Contas a Pagar'!$E$6:$E$1000,L$6,'3. Contas a Pagar'!$R$6:$R$1000,$A17),2)</f>
        <v/>
      </c>
      <c r="M17" s="67">
        <f>ROUND(SUMIFS('3. Contas a Pagar'!$I$6:$I$1000,'3. Contas a Pagar'!$B$6:$B$1000,$B$4,'3. Contas a Pagar'!$E$6:$E$1000,M$6,'3. Contas a Pagar'!$R$6:$R$1000,$A17),2)</f>
        <v/>
      </c>
      <c r="N17" s="69">
        <f>ROUND(SUM(C17:M17),2)</f>
        <v/>
      </c>
    </row>
    <row r="18">
      <c r="A18" s="4" t="inlineStr">
        <is>
          <t>(-) Despesas com tecnologia e contábil</t>
        </is>
      </c>
      <c r="B18" s="67">
        <f>INDEX('7. DRE Gerencial Mensal'!$B$21:$M$21,1,MATCH($B$4,'7. DRE Gerencial Mensal'!$B$6:$M$6,0))</f>
        <v/>
      </c>
      <c r="C18" s="67">
        <f>ROUND(SUMIFS('3. Contas a Pagar'!$I$6:$I$1000,'3. Contas a Pagar'!$B$6:$B$1000,$B$4,'3. Contas a Pagar'!$E$6:$E$1000,C$6,'3. Contas a Pagar'!$R$6:$R$1000,$A18),2)</f>
        <v/>
      </c>
      <c r="D18" s="67">
        <f>ROUND(SUMIFS('3. Contas a Pagar'!$I$6:$I$1000,'3. Contas a Pagar'!$B$6:$B$1000,$B$4,'3. Contas a Pagar'!$E$6:$E$1000,D$6,'3. Contas a Pagar'!$R$6:$R$1000,$A18),2)</f>
        <v/>
      </c>
      <c r="E18" s="67">
        <f>ROUND(SUMIFS('3. Contas a Pagar'!$I$6:$I$1000,'3. Contas a Pagar'!$B$6:$B$1000,$B$4,'3. Contas a Pagar'!$E$6:$E$1000,E$6,'3. Contas a Pagar'!$R$6:$R$1000,$A18),2)</f>
        <v/>
      </c>
      <c r="F18" s="67">
        <f>ROUND(SUMIFS('3. Contas a Pagar'!$I$6:$I$1000,'3. Contas a Pagar'!$B$6:$B$1000,$B$4,'3. Contas a Pagar'!$E$6:$E$1000,F$6,'3. Contas a Pagar'!$R$6:$R$1000,$A18),2)</f>
        <v/>
      </c>
      <c r="G18" s="67">
        <f>ROUND(SUMIFS('3. Contas a Pagar'!$I$6:$I$1000,'3. Contas a Pagar'!$B$6:$B$1000,$B$4,'3. Contas a Pagar'!$E$6:$E$1000,G$6,'3. Contas a Pagar'!$R$6:$R$1000,$A18),2)</f>
        <v/>
      </c>
      <c r="H18" s="67">
        <f>ROUND(SUMIFS('3. Contas a Pagar'!$I$6:$I$1000,'3. Contas a Pagar'!$B$6:$B$1000,$B$4,'3. Contas a Pagar'!$E$6:$E$1000,H$6,'3. Contas a Pagar'!$R$6:$R$1000,$A18),2)</f>
        <v/>
      </c>
      <c r="I18" s="67">
        <f>ROUND(SUMIFS('3. Contas a Pagar'!$I$6:$I$1000,'3. Contas a Pagar'!$B$6:$B$1000,$B$4,'3. Contas a Pagar'!$E$6:$E$1000,I$6,'3. Contas a Pagar'!$R$6:$R$1000,$A18),2)</f>
        <v/>
      </c>
      <c r="J18" s="67">
        <f>ROUND(SUMIFS('3. Contas a Pagar'!$I$6:$I$1000,'3. Contas a Pagar'!$B$6:$B$1000,$B$4,'3. Contas a Pagar'!$E$6:$E$1000,J$6,'3. Contas a Pagar'!$R$6:$R$1000,$A18),2)</f>
        <v/>
      </c>
      <c r="K18" s="67">
        <f>ROUND(SUMIFS('3. Contas a Pagar'!$I$6:$I$1000,'3. Contas a Pagar'!$B$6:$B$1000,$B$4,'3. Contas a Pagar'!$E$6:$E$1000,K$6,'3. Contas a Pagar'!$R$6:$R$1000,$A18),2)</f>
        <v/>
      </c>
      <c r="L18" s="67">
        <f>ROUND(SUMIFS('3. Contas a Pagar'!$I$6:$I$1000,'3. Contas a Pagar'!$B$6:$B$1000,$B$4,'3. Contas a Pagar'!$E$6:$E$1000,L$6,'3. Contas a Pagar'!$R$6:$R$1000,$A18),2)</f>
        <v/>
      </c>
      <c r="M18" s="67">
        <f>ROUND(SUMIFS('3. Contas a Pagar'!$I$6:$I$1000,'3. Contas a Pagar'!$B$6:$B$1000,$B$4,'3. Contas a Pagar'!$E$6:$E$1000,M$6,'3. Contas a Pagar'!$R$6:$R$1000,$A18),2)</f>
        <v/>
      </c>
      <c r="N18" s="69">
        <f>ROUND(SUM(C18:M18),2)</f>
        <v/>
      </c>
    </row>
    <row r="19">
      <c r="A19" s="4" t="inlineStr">
        <is>
          <t>(-) Encargos trabalhistas e tributos operacionais</t>
        </is>
      </c>
      <c r="B19" s="67">
        <f>INDEX('7. DRE Gerencial Mensal'!$B$22:$M$22,1,MATCH($B$4,'7. DRE Gerencial Mensal'!$B$6:$M$6,0))</f>
        <v/>
      </c>
      <c r="C19" s="67">
        <f>ROUND(SUMIFS('3. Contas a Pagar'!$I$6:$I$1000,'3. Contas a Pagar'!$B$6:$B$1000,$B$4,'3. Contas a Pagar'!$E$6:$E$1000,C$6,'3. Contas a Pagar'!$R$6:$R$1000,$A19),2)</f>
        <v/>
      </c>
      <c r="D19" s="67">
        <f>ROUND(SUMIFS('3. Contas a Pagar'!$I$6:$I$1000,'3. Contas a Pagar'!$B$6:$B$1000,$B$4,'3. Contas a Pagar'!$E$6:$E$1000,D$6,'3. Contas a Pagar'!$R$6:$R$1000,$A19),2)</f>
        <v/>
      </c>
      <c r="E19" s="67">
        <f>ROUND(SUMIFS('3. Contas a Pagar'!$I$6:$I$1000,'3. Contas a Pagar'!$B$6:$B$1000,$B$4,'3. Contas a Pagar'!$E$6:$E$1000,E$6,'3. Contas a Pagar'!$R$6:$R$1000,$A19),2)</f>
        <v/>
      </c>
      <c r="F19" s="67">
        <f>ROUND(SUMIFS('3. Contas a Pagar'!$I$6:$I$1000,'3. Contas a Pagar'!$B$6:$B$1000,$B$4,'3. Contas a Pagar'!$E$6:$E$1000,F$6,'3. Contas a Pagar'!$R$6:$R$1000,$A19),2)</f>
        <v/>
      </c>
      <c r="G19" s="67">
        <f>ROUND(SUMIFS('3. Contas a Pagar'!$I$6:$I$1000,'3. Contas a Pagar'!$B$6:$B$1000,$B$4,'3. Contas a Pagar'!$E$6:$E$1000,G$6,'3. Contas a Pagar'!$R$6:$R$1000,$A19),2)</f>
        <v/>
      </c>
      <c r="H19" s="67">
        <f>ROUND(SUMIFS('3. Contas a Pagar'!$I$6:$I$1000,'3. Contas a Pagar'!$B$6:$B$1000,$B$4,'3. Contas a Pagar'!$E$6:$E$1000,H$6,'3. Contas a Pagar'!$R$6:$R$1000,$A19),2)</f>
        <v/>
      </c>
      <c r="I19" s="67">
        <f>ROUND(SUMIFS('3. Contas a Pagar'!$I$6:$I$1000,'3. Contas a Pagar'!$B$6:$B$1000,$B$4,'3. Contas a Pagar'!$E$6:$E$1000,I$6,'3. Contas a Pagar'!$R$6:$R$1000,$A19),2)</f>
        <v/>
      </c>
      <c r="J19" s="67">
        <f>ROUND(SUMIFS('3. Contas a Pagar'!$I$6:$I$1000,'3. Contas a Pagar'!$B$6:$B$1000,$B$4,'3. Contas a Pagar'!$E$6:$E$1000,J$6,'3. Contas a Pagar'!$R$6:$R$1000,$A19),2)</f>
        <v/>
      </c>
      <c r="K19" s="67">
        <f>ROUND(SUMIFS('3. Contas a Pagar'!$I$6:$I$1000,'3. Contas a Pagar'!$B$6:$B$1000,$B$4,'3. Contas a Pagar'!$E$6:$E$1000,K$6,'3. Contas a Pagar'!$R$6:$R$1000,$A19),2)</f>
        <v/>
      </c>
      <c r="L19" s="67">
        <f>ROUND(SUMIFS('3. Contas a Pagar'!$I$6:$I$1000,'3. Contas a Pagar'!$B$6:$B$1000,$B$4,'3. Contas a Pagar'!$E$6:$E$1000,L$6,'3. Contas a Pagar'!$R$6:$R$1000,$A19),2)</f>
        <v/>
      </c>
      <c r="M19" s="67">
        <f>ROUND(SUMIFS('3. Contas a Pagar'!$I$6:$I$1000,'3. Contas a Pagar'!$B$6:$B$1000,$B$4,'3. Contas a Pagar'!$E$6:$E$1000,M$6,'3. Contas a Pagar'!$R$6:$R$1000,$A19),2)</f>
        <v/>
      </c>
      <c r="N19" s="69">
        <f>ROUND(SUM(C19:M19),2)</f>
        <v/>
      </c>
    </row>
    <row r="20">
      <c r="A20" s="80" t="inlineStr">
        <is>
          <t>Total despesas operacionais por centro</t>
        </is>
      </c>
      <c r="B20" s="71">
        <f>ROUND(SUM(B15:B19),2)</f>
        <v/>
      </c>
      <c r="C20" s="71">
        <f>ROUND(SUM(C15:C19),2)</f>
        <v/>
      </c>
      <c r="D20" s="71">
        <f>ROUND(SUM(D15:D19),2)</f>
        <v/>
      </c>
      <c r="E20" s="71">
        <f>ROUND(SUM(E15:E19),2)</f>
        <v/>
      </c>
      <c r="F20" s="71">
        <f>ROUND(SUM(F15:F19),2)</f>
        <v/>
      </c>
      <c r="G20" s="71">
        <f>ROUND(SUM(G15:G19),2)</f>
        <v/>
      </c>
      <c r="H20" s="71">
        <f>ROUND(SUM(H15:H19),2)</f>
        <v/>
      </c>
      <c r="I20" s="71">
        <f>ROUND(SUM(I15:I19),2)</f>
        <v/>
      </c>
      <c r="J20" s="71">
        <f>ROUND(SUM(J15:J19),2)</f>
        <v/>
      </c>
      <c r="K20" s="71">
        <f>ROUND(SUM(K15:K19),2)</f>
        <v/>
      </c>
      <c r="L20" s="71">
        <f>ROUND(SUM(L15:L19),2)</f>
        <v/>
      </c>
      <c r="M20" s="71">
        <f>ROUND(SUM(M15:M19),2)</f>
        <v/>
      </c>
      <c r="N20" s="73">
        <f>ROUND(SUM(N15:N19),2)</f>
        <v/>
      </c>
    </row>
    <row r="22">
      <c r="A22" s="8" t="inlineStr">
        <is>
          <t>ABAIXO DO EBITDA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</row>
    <row r="23">
      <c r="A23" s="8" t="inlineStr">
        <is>
          <t>(-) Resultado financeiro e despesas gerais</t>
        </is>
      </c>
      <c r="B23" s="23">
        <f>INDEX('7. DRE Gerencial Mensal'!$B$26:$M$26,1,MATCH($B$4,'7. DRE Gerencial Mensal'!$B$6:$M$6,0))</f>
        <v/>
      </c>
      <c r="C23" s="23">
        <f>ROUND(SUMIFS('3. Contas a Pagar'!$I$6:$I$1000,'3. Contas a Pagar'!$B$6:$B$1000,$B$4,'3. Contas a Pagar'!$E$6:$E$1000,C$6,'3. Contas a Pagar'!$R$6:$R$1000,$A23),2)</f>
        <v/>
      </c>
      <c r="D23" s="23">
        <f>ROUND(SUMIFS('3. Contas a Pagar'!$I$6:$I$1000,'3. Contas a Pagar'!$B$6:$B$1000,$B$4,'3. Contas a Pagar'!$E$6:$E$1000,D$6,'3. Contas a Pagar'!$R$6:$R$1000,$A23),2)</f>
        <v/>
      </c>
      <c r="E23" s="23">
        <f>ROUND(SUMIFS('3. Contas a Pagar'!$I$6:$I$1000,'3. Contas a Pagar'!$B$6:$B$1000,$B$4,'3. Contas a Pagar'!$E$6:$E$1000,E$6,'3. Contas a Pagar'!$R$6:$R$1000,$A23),2)</f>
        <v/>
      </c>
      <c r="F23" s="23">
        <f>ROUND(SUMIFS('3. Contas a Pagar'!$I$6:$I$1000,'3. Contas a Pagar'!$B$6:$B$1000,$B$4,'3. Contas a Pagar'!$E$6:$E$1000,F$6,'3. Contas a Pagar'!$R$6:$R$1000,$A23),2)</f>
        <v/>
      </c>
      <c r="G23" s="23">
        <f>ROUND(SUMIFS('3. Contas a Pagar'!$I$6:$I$1000,'3. Contas a Pagar'!$B$6:$B$1000,$B$4,'3. Contas a Pagar'!$E$6:$E$1000,G$6,'3. Contas a Pagar'!$R$6:$R$1000,$A23),2)</f>
        <v/>
      </c>
      <c r="H23" s="23">
        <f>ROUND(SUMIFS('3. Contas a Pagar'!$I$6:$I$1000,'3. Contas a Pagar'!$B$6:$B$1000,$B$4,'3. Contas a Pagar'!$E$6:$E$1000,H$6,'3. Contas a Pagar'!$R$6:$R$1000,$A23),2)</f>
        <v/>
      </c>
      <c r="I23" s="23">
        <f>ROUND(SUMIFS('3. Contas a Pagar'!$I$6:$I$1000,'3. Contas a Pagar'!$B$6:$B$1000,$B$4,'3. Contas a Pagar'!$E$6:$E$1000,I$6,'3. Contas a Pagar'!$R$6:$R$1000,$A23),2)</f>
        <v/>
      </c>
      <c r="J23" s="23">
        <f>ROUND(SUMIFS('3. Contas a Pagar'!$I$6:$I$1000,'3. Contas a Pagar'!$B$6:$B$1000,$B$4,'3. Contas a Pagar'!$E$6:$E$1000,J$6,'3. Contas a Pagar'!$R$6:$R$1000,$A23),2)</f>
        <v/>
      </c>
      <c r="K23" s="23">
        <f>ROUND(SUMIFS('3. Contas a Pagar'!$I$6:$I$1000,'3. Contas a Pagar'!$B$6:$B$1000,$B$4,'3. Contas a Pagar'!$E$6:$E$1000,K$6,'3. Contas a Pagar'!$R$6:$R$1000,$A23),2)</f>
        <v/>
      </c>
      <c r="L23" s="23">
        <f>ROUND(SUMIFS('3. Contas a Pagar'!$I$6:$I$1000,'3. Contas a Pagar'!$B$6:$B$1000,$B$4,'3. Contas a Pagar'!$E$6:$E$1000,L$6,'3. Contas a Pagar'!$R$6:$R$1000,$A23),2)</f>
        <v/>
      </c>
      <c r="M23" s="23">
        <f>ROUND(SUMIFS('3. Contas a Pagar'!$I$6:$I$1000,'3. Contas a Pagar'!$B$6:$B$1000,$B$4,'3. Contas a Pagar'!$E$6:$E$1000,M$6,'3. Contas a Pagar'!$R$6:$R$1000,$A23),2)</f>
        <v/>
      </c>
      <c r="N23" s="23">
        <f>ROUND(SUM(C23:M23),2)</f>
        <v/>
      </c>
    </row>
    <row r="24">
      <c r="A24" s="80" t="inlineStr">
        <is>
          <t>Total abaixo EBITDA por centro</t>
        </is>
      </c>
      <c r="B24" s="71">
        <f>B23</f>
        <v/>
      </c>
      <c r="C24" s="71">
        <f>C23</f>
        <v/>
      </c>
      <c r="D24" s="71">
        <f>D23</f>
        <v/>
      </c>
      <c r="E24" s="71">
        <f>E23</f>
        <v/>
      </c>
      <c r="F24" s="71">
        <f>F23</f>
        <v/>
      </c>
      <c r="G24" s="71">
        <f>G23</f>
        <v/>
      </c>
      <c r="H24" s="71">
        <f>H23</f>
        <v/>
      </c>
      <c r="I24" s="71">
        <f>I23</f>
        <v/>
      </c>
      <c r="J24" s="71">
        <f>J23</f>
        <v/>
      </c>
      <c r="K24" s="71">
        <f>K23</f>
        <v/>
      </c>
      <c r="L24" s="71">
        <f>L23</f>
        <v/>
      </c>
      <c r="M24" s="71">
        <f>M23</f>
        <v/>
      </c>
      <c r="N24" s="73">
        <f>N23</f>
        <v/>
      </c>
    </row>
    <row r="26">
      <c r="A26" s="8" t="inlineStr">
        <is>
          <t>RESULTADO CONSOLIDADO</t>
        </is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80" t="inlineStr">
        <is>
          <t>EBITDA gerencial</t>
        </is>
      </c>
      <c r="B27" s="71">
        <f>INDEX('7. DRE Gerencial Mensal'!$B$23:$M$23,1,MATCH($B$4,'7. DRE Gerencial Mensal'!$B$6:$M$6,0))</f>
        <v/>
      </c>
      <c r="C27" s="71" t="n"/>
      <c r="D27" s="71" t="n"/>
      <c r="E27" s="71" t="n"/>
      <c r="F27" s="71" t="n"/>
      <c r="G27" s="71" t="n"/>
      <c r="H27" s="71" t="n"/>
      <c r="I27" s="71" t="n"/>
      <c r="J27" s="71" t="n"/>
      <c r="K27" s="71" t="n"/>
      <c r="L27" s="71" t="n"/>
      <c r="M27" s="71" t="n"/>
      <c r="N27" s="73" t="n"/>
    </row>
    <row r="28">
      <c r="A28" s="80" t="inlineStr">
        <is>
          <t>Resultado operacional gerencial</t>
        </is>
      </c>
      <c r="B28" s="71">
        <f>INDEX('7. DRE Gerencial Mensal'!$B$27:$M$27,1,MATCH($B$4,'7. DRE Gerencial Mensal'!$B$6:$M$6,0))</f>
        <v/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L28" s="71" t="n"/>
      <c r="M28" s="71" t="n"/>
      <c r="N28" s="73" t="n"/>
    </row>
    <row r="30">
      <c r="A30" s="8" t="inlineStr">
        <is>
          <t>LEITURA / APOIO À MODELAGEM DO ERP</t>
        </is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</row>
    <row r="31" ht="22" customHeight="1">
      <c r="A31" s="66" t="inlineStr">
        <is>
          <t>Indicador</t>
        </is>
      </c>
      <c r="B31" s="66" t="inlineStr">
        <is>
          <t>Consolidado</t>
        </is>
      </c>
      <c r="C31" s="66" t="inlineStr">
        <is>
          <t>Benefícios e deslocamento</t>
        </is>
      </c>
      <c r="D31" s="66" t="inlineStr">
        <is>
          <t>Infraestrutura do escritório</t>
        </is>
      </c>
      <c r="E31" s="66" t="inlineStr">
        <is>
          <t>Equipe administrativa/comercial</t>
        </is>
      </c>
      <c r="F31" s="66" t="inlineStr">
        <is>
          <t>Equipe técnica</t>
        </is>
      </c>
      <c r="G31" s="66" t="inlineStr">
        <is>
          <t>Backoffice contábil</t>
        </is>
      </c>
      <c r="H31" s="66" t="inlineStr">
        <is>
          <t>Sistemas</t>
        </is>
      </c>
      <c r="I31" s="66" t="inlineStr">
        <is>
          <t>Financeiro</t>
        </is>
      </c>
      <c r="J31" s="66" t="inlineStr">
        <is>
          <t>Direção / gestão</t>
        </is>
      </c>
      <c r="K31" s="66" t="inlineStr">
        <is>
          <t>Infraestrutura e manutenção</t>
        </is>
      </c>
      <c r="L31" s="66" t="inlineStr">
        <is>
          <t>Tributário e encargos</t>
        </is>
      </c>
      <c r="M31" s="66" t="inlineStr">
        <is>
          <t>Terceiros e laboratoriais</t>
        </is>
      </c>
      <c r="N31" s="66" t="inlineStr">
        <is>
          <t>Total centros</t>
        </is>
      </c>
    </row>
    <row r="32">
      <c r="A32" s="3" t="inlineStr">
        <is>
          <t>% do CP operacional do centro</t>
        </is>
      </c>
      <c r="B32" s="81">
        <f>1</f>
        <v/>
      </c>
      <c r="C32" s="81">
        <f>IFERROR(C20/$N$20,0)</f>
        <v/>
      </c>
      <c r="D32" s="81">
        <f>IFERROR(D20/$N$20,0)</f>
        <v/>
      </c>
      <c r="E32" s="81">
        <f>IFERROR(E20/$N$20,0)</f>
        <v/>
      </c>
      <c r="F32" s="81">
        <f>IFERROR(F20/$N$20,0)</f>
        <v/>
      </c>
      <c r="G32" s="81">
        <f>IFERROR(G20/$N$20,0)</f>
        <v/>
      </c>
      <c r="H32" s="81">
        <f>IFERROR(H20/$N$20,0)</f>
        <v/>
      </c>
      <c r="I32" s="81">
        <f>IFERROR(I20/$N$20,0)</f>
        <v/>
      </c>
      <c r="J32" s="81">
        <f>IFERROR(J20/$N$20,0)</f>
        <v/>
      </c>
      <c r="K32" s="81">
        <f>IFERROR(K20/$N$20,0)</f>
        <v/>
      </c>
      <c r="L32" s="81">
        <f>IFERROR(L20/$N$20,0)</f>
        <v/>
      </c>
      <c r="M32" s="81">
        <f>IFERROR(M20/$N$20,0)</f>
        <v/>
      </c>
      <c r="N32" s="83">
        <f>IFERROR(N20/N20,0)</f>
        <v/>
      </c>
    </row>
    <row r="33">
      <c r="A33" s="3" t="inlineStr">
        <is>
          <t>% da receita líquida consumida pelo centro</t>
        </is>
      </c>
      <c r="B33" s="84">
        <f>IFERROR(B24/B10,0)</f>
        <v/>
      </c>
      <c r="C33" s="84">
        <f>IFERROR(C24/$B$10,0)</f>
        <v/>
      </c>
      <c r="D33" s="84">
        <f>IFERROR(D24/$B$10,0)</f>
        <v/>
      </c>
      <c r="E33" s="84">
        <f>IFERROR(E24/$B$10,0)</f>
        <v/>
      </c>
      <c r="F33" s="84">
        <f>IFERROR(F24/$B$10,0)</f>
        <v/>
      </c>
      <c r="G33" s="84">
        <f>IFERROR(G24/$B$10,0)</f>
        <v/>
      </c>
      <c r="H33" s="84">
        <f>IFERROR(H24/$B$10,0)</f>
        <v/>
      </c>
      <c r="I33" s="84">
        <f>IFERROR(I24/$B$10,0)</f>
        <v/>
      </c>
      <c r="J33" s="84">
        <f>IFERROR(J24/$B$10,0)</f>
        <v/>
      </c>
      <c r="K33" s="84">
        <f>IFERROR(K24/$B$10,0)</f>
        <v/>
      </c>
      <c r="L33" s="84">
        <f>IFERROR(L24/$B$10,0)</f>
        <v/>
      </c>
      <c r="M33" s="84">
        <f>IFERROR(M24/$B$10,0)</f>
        <v/>
      </c>
      <c r="N33" s="86">
        <f>IFERROR(N24/$B$10,0)</f>
        <v/>
      </c>
    </row>
    <row r="34">
      <c r="A34" s="89" t="inlineStr">
        <is>
          <t>Receita já está rastreada por centro de resultado nas abas 12 e 13. Esta visão permanece focada em centro de custo do CP; próximo passo do ERP é cruzar centro de custo x centro de resultado na mesma peça.</t>
        </is>
      </c>
    </row>
  </sheetData>
  <mergeCells count="8">
    <mergeCell ref="A22:N22"/>
    <mergeCell ref="A34:N34"/>
    <mergeCell ref="A26:N26"/>
    <mergeCell ref="A30:N30"/>
    <mergeCell ref="A2:N2"/>
    <mergeCell ref="A7:N7"/>
    <mergeCell ref="A14:N14"/>
    <mergeCell ref="A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20" customWidth="1" min="4" max="4"/>
    <col width="24" customWidth="1" min="5" max="5"/>
    <col width="16" customWidth="1" min="6" max="6"/>
  </cols>
  <sheetData>
    <row r="1">
      <c r="A1" s="1" t="inlineStr">
        <is>
          <t>9. DRE POR LINHA DE SERVIÇO</t>
        </is>
      </c>
    </row>
    <row r="2">
      <c r="A2" s="2" t="inlineStr">
        <is>
          <t>Visão de rentabilidade por linha de serviço com receita direta do CR rastreada por contrato/OS e serviço padronizado. Custos diretos seguem alocação explícita; indiretos continuam rateados pela participação na receita.</t>
        </is>
      </c>
    </row>
    <row r="4">
      <c r="A4" s="8" t="inlineStr">
        <is>
          <t>Competência analisada</t>
        </is>
      </c>
      <c r="B4" s="105">
        <f>'0. Como Alimentar'!$B$7</f>
        <v/>
      </c>
      <c r="C4" s="90" t="n"/>
      <c r="D4" s="8" t="inlineStr">
        <is>
          <t>Critério de rateio</t>
        </is>
      </c>
      <c r="E4" s="90" t="inlineStr">
        <is>
          <t>Impostos e indiretos rateados pela receita bruta da linha</t>
        </is>
      </c>
      <c r="F4" s="90" t="n"/>
    </row>
    <row r="6" ht="22" customHeight="1">
      <c r="A6" s="66" t="inlineStr">
        <is>
          <t>Linha DRE</t>
        </is>
      </c>
      <c r="B6" s="66" t="inlineStr">
        <is>
          <t>Carteira recorrente</t>
        </is>
      </c>
      <c r="C6" s="66" t="inlineStr">
        <is>
          <t>PCMSO</t>
        </is>
      </c>
      <c r="D6" s="66" t="inlineStr">
        <is>
          <t>eSocial / Psicossocial</t>
        </is>
      </c>
      <c r="E6" s="66" t="inlineStr">
        <is>
          <t>Projetos / Laudos / Avulsos</t>
        </is>
      </c>
      <c r="F6" s="66" t="inlineStr">
        <is>
          <t>Total</t>
        </is>
      </c>
    </row>
    <row r="7">
      <c r="A7" s="8" t="inlineStr">
        <is>
          <t>RECEITA BRUTA</t>
        </is>
      </c>
      <c r="B7" s="23" t="n"/>
      <c r="C7" s="23" t="n"/>
      <c r="D7" s="23" t="n"/>
      <c r="E7" s="23" t="n"/>
      <c r="F7" s="23" t="n"/>
    </row>
    <row r="8">
      <c r="A8" s="70" t="inlineStr">
        <is>
          <t>Receita bruta</t>
        </is>
      </c>
      <c r="B8" s="71">
        <f>ROUND(SUMIFS('2. Contas a Receber'!$H$8:$H$1000,'2. Contas a Receber'!$N$8:$N$1000,$B$4,'2. Contas a Receber'!$AA$8:$AA$1000,B$6),2)</f>
        <v/>
      </c>
      <c r="C8" s="71">
        <f>ROUND(SUMIFS('2. Contas a Receber'!$H$8:$H$1000,'2. Contas a Receber'!$N$8:$N$1000,$B$4,'2. Contas a Receber'!$AA$8:$AA$1000,C$6),2)</f>
        <v/>
      </c>
      <c r="D8" s="71">
        <f>ROUND(SUMIFS('2. Contas a Receber'!$H$8:$H$1000,'2. Contas a Receber'!$N$8:$N$1000,$B$4,'2. Contas a Receber'!$AA$8:$AA$1000,D$6),2)</f>
        <v/>
      </c>
      <c r="E8" s="71">
        <f>ROUND(SUMIFS('2. Contas a Receber'!$H$8:$H$1000,'2. Contas a Receber'!$N$8:$N$1000,$B$4,'2. Contas a Receber'!$AA$8:$AA$1000,E$6),2)</f>
        <v/>
      </c>
      <c r="F8" s="73">
        <f>ROUND(SUM(B8:E8),2)</f>
        <v/>
      </c>
    </row>
    <row r="9">
      <c r="A9" s="3" t="inlineStr">
        <is>
          <t>Participação da receita bruta %</t>
        </is>
      </c>
      <c r="B9" s="81">
        <f>IFERROR(B8/$F$8,0)</f>
        <v/>
      </c>
      <c r="C9" s="81">
        <f>IFERROR(C8/$F$8,0)</f>
        <v/>
      </c>
      <c r="D9" s="81">
        <f>IFERROR(D8/$F$8,0)</f>
        <v/>
      </c>
      <c r="E9" s="81">
        <f>IFERROR(E8/$F$8,0)</f>
        <v/>
      </c>
      <c r="F9" s="83">
        <f>1</f>
        <v/>
      </c>
    </row>
    <row r="11">
      <c r="A11" s="4" t="inlineStr">
        <is>
          <t>(-) Impostos sobre faturamento</t>
        </is>
      </c>
      <c r="B11" s="75">
        <f>ROUND(B9*$F11,2)</f>
        <v/>
      </c>
      <c r="C11" s="75">
        <f>ROUND(C9*$F11,2)</f>
        <v/>
      </c>
      <c r="D11" s="75">
        <f>ROUND(D9*$F11,2)</f>
        <v/>
      </c>
      <c r="E11" s="75">
        <f>ROUND(E9*$F11,2)</f>
        <v/>
      </c>
      <c r="F11" s="77">
        <f>INDEX('7. DRE Gerencial Mensal'!$B$11:$M$11,1,MATCH($B$4,'7. DRE Gerencial Mensal'!$B$6:$M$6,0))</f>
        <v/>
      </c>
    </row>
    <row r="12">
      <c r="A12" s="70" t="inlineStr">
        <is>
          <t>Receita líquida</t>
        </is>
      </c>
      <c r="B12" s="71">
        <f>ROUND(B8-B11,2)</f>
        <v/>
      </c>
      <c r="C12" s="71">
        <f>ROUND(C8-C11,2)</f>
        <v/>
      </c>
      <c r="D12" s="71">
        <f>ROUND(D8-D11,2)</f>
        <v/>
      </c>
      <c r="E12" s="71">
        <f>ROUND(E8-E11,2)</f>
        <v/>
      </c>
      <c r="F12" s="73">
        <f>ROUND(F8-F11,2)</f>
        <v/>
      </c>
    </row>
    <row r="14">
      <c r="A14" s="8" t="inlineStr">
        <is>
          <t>CUSTOS E DESPESAS OPERACIONAIS</t>
        </is>
      </c>
      <c r="B14" s="23" t="n"/>
      <c r="C14" s="23" t="n"/>
      <c r="D14" s="23" t="n"/>
      <c r="E14" s="23" t="n"/>
      <c r="F14" s="23" t="n"/>
    </row>
    <row r="15">
      <c r="A15" s="4" t="inlineStr">
        <is>
          <t>(-) Custos diretos dos serviços</t>
        </is>
      </c>
      <c r="B15" s="67">
        <f>ROUND(SUMIFS('3. Contas a Pagar'!$I$6:$I$1000,'3. Contas a Pagar'!$B$6:$B$1000,$B$4,'3. Contas a Pagar'!$R$6:$R$1000,$A15,'3. Contas a Pagar'!$T$6:$T$1000,B$6),2)</f>
        <v/>
      </c>
      <c r="C15" s="67">
        <f>ROUND(SUMIFS('3. Contas a Pagar'!$I$6:$I$1000,'3. Contas a Pagar'!$B$6:$B$1000,$B$4,'3. Contas a Pagar'!$R$6:$R$1000,$A15,'3. Contas a Pagar'!$T$6:$T$1000,C$6),2)</f>
        <v/>
      </c>
      <c r="D15" s="67">
        <f>ROUND(SUMIFS('3. Contas a Pagar'!$I$6:$I$1000,'3. Contas a Pagar'!$B$6:$B$1000,$B$4,'3. Contas a Pagar'!$R$6:$R$1000,$A15,'3. Contas a Pagar'!$T$6:$T$1000,D$6),2)</f>
        <v/>
      </c>
      <c r="E15" s="67">
        <f>ROUND(SUMIFS('3. Contas a Pagar'!$I$6:$I$1000,'3. Contas a Pagar'!$B$6:$B$1000,$B$4,'3. Contas a Pagar'!$R$6:$R$1000,$A15,'3. Contas a Pagar'!$T$6:$T$1000,E$6),2)</f>
        <v/>
      </c>
      <c r="F15" s="69">
        <f>ROUND(SUM(B15:E15),2)</f>
        <v/>
      </c>
    </row>
    <row r="16">
      <c r="A16" s="70" t="inlineStr">
        <is>
          <t>Margem bruta</t>
        </is>
      </c>
      <c r="B16" s="71">
        <f>ROUND(B12-B15,2)</f>
        <v/>
      </c>
      <c r="C16" s="71">
        <f>ROUND(C12-C15,2)</f>
        <v/>
      </c>
      <c r="D16" s="71">
        <f>ROUND(D12-D15,2)</f>
        <v/>
      </c>
      <c r="E16" s="71">
        <f>ROUND(E12-E15,2)</f>
        <v/>
      </c>
      <c r="F16" s="73">
        <f>ROUND(F12-F15,2)</f>
        <v/>
      </c>
    </row>
    <row r="18">
      <c r="A18" s="4" t="inlineStr">
        <is>
          <t>(-) Despesas comerciais e deslocamento</t>
        </is>
      </c>
      <c r="B18" s="67">
        <f>ROUND(B9*$F18,2)</f>
        <v/>
      </c>
      <c r="C18" s="67">
        <f>ROUND(C9*$F18,2)</f>
        <v/>
      </c>
      <c r="D18" s="67">
        <f>ROUND(D9*$F18,2)</f>
        <v/>
      </c>
      <c r="E18" s="67">
        <f>ROUND(E9*$F18,2)</f>
        <v/>
      </c>
      <c r="F18" s="69">
        <f>INDEX('7. DRE Gerencial Mensal'!$B$18:$M$18,1,MATCH($B$4,'7. DRE Gerencial Mensal'!$B$6:$M$6,0))</f>
        <v/>
      </c>
    </row>
    <row r="19">
      <c r="A19" s="4" t="inlineStr">
        <is>
          <t>(-) Despesas com pessoal e equipe</t>
        </is>
      </c>
      <c r="B19" s="67">
        <f>ROUND(B9*$F19,2)</f>
        <v/>
      </c>
      <c r="C19" s="67">
        <f>ROUND(C9*$F19,2)</f>
        <v/>
      </c>
      <c r="D19" s="67">
        <f>ROUND(D9*$F19,2)</f>
        <v/>
      </c>
      <c r="E19" s="67">
        <f>ROUND(E9*$F19,2)</f>
        <v/>
      </c>
      <c r="F19" s="69">
        <f>INDEX('7. DRE Gerencial Mensal'!$B$19:$M$19,1,MATCH($B$4,'7. DRE Gerencial Mensal'!$B$6:$M$6,0))</f>
        <v/>
      </c>
    </row>
    <row r="20">
      <c r="A20" s="4" t="inlineStr">
        <is>
          <t>(-) Despesas operacionais e infraestrutura</t>
        </is>
      </c>
      <c r="B20" s="67">
        <f>ROUND(B9*$F20,2)</f>
        <v/>
      </c>
      <c r="C20" s="67">
        <f>ROUND(C9*$F20,2)</f>
        <v/>
      </c>
      <c r="D20" s="67">
        <f>ROUND(D9*$F20,2)</f>
        <v/>
      </c>
      <c r="E20" s="67">
        <f>ROUND(E9*$F20,2)</f>
        <v/>
      </c>
      <c r="F20" s="69">
        <f>INDEX('7. DRE Gerencial Mensal'!$B$20:$M$20,1,MATCH($B$4,'7. DRE Gerencial Mensal'!$B$6:$M$6,0))</f>
        <v/>
      </c>
    </row>
    <row r="21">
      <c r="A21" s="4" t="inlineStr">
        <is>
          <t>(-) Despesas com tecnologia e contábil</t>
        </is>
      </c>
      <c r="B21" s="67">
        <f>ROUND(B9*$F21,2)</f>
        <v/>
      </c>
      <c r="C21" s="67">
        <f>ROUND(C9*$F21,2)</f>
        <v/>
      </c>
      <c r="D21" s="67">
        <f>ROUND(D9*$F21,2)</f>
        <v/>
      </c>
      <c r="E21" s="67">
        <f>ROUND(E9*$F21,2)</f>
        <v/>
      </c>
      <c r="F21" s="69">
        <f>INDEX('7. DRE Gerencial Mensal'!$B$21:$M$21,1,MATCH($B$4,'7. DRE Gerencial Mensal'!$B$6:$M$6,0))</f>
        <v/>
      </c>
    </row>
    <row r="22">
      <c r="A22" s="4" t="inlineStr">
        <is>
          <t>(-) Encargos trabalhistas e tributos operacionais</t>
        </is>
      </c>
      <c r="B22" s="67">
        <f>ROUND(B9*$F22,2)</f>
        <v/>
      </c>
      <c r="C22" s="67">
        <f>ROUND(C9*$F22,2)</f>
        <v/>
      </c>
      <c r="D22" s="67">
        <f>ROUND(D9*$F22,2)</f>
        <v/>
      </c>
      <c r="E22" s="67">
        <f>ROUND(E9*$F22,2)</f>
        <v/>
      </c>
      <c r="F22" s="69">
        <f>INDEX('7. DRE Gerencial Mensal'!$B$22:$M$22,1,MATCH($B$4,'7. DRE Gerencial Mensal'!$B$6:$M$6,0))</f>
        <v/>
      </c>
    </row>
    <row r="23">
      <c r="A23" s="80" t="inlineStr">
        <is>
          <t>EBITDA gerencial</t>
        </is>
      </c>
      <c r="B23" s="71">
        <f>ROUND(B16-SUM(B18:B22),2)</f>
        <v/>
      </c>
      <c r="C23" s="71">
        <f>ROUND(C16-SUM(C18:C22),2)</f>
        <v/>
      </c>
      <c r="D23" s="71">
        <f>ROUND(D16-SUM(D18:D22),2)</f>
        <v/>
      </c>
      <c r="E23" s="71">
        <f>ROUND(E16-SUM(E18:E22),2)</f>
        <v/>
      </c>
      <c r="F23" s="73">
        <f>ROUND(F16-SUM(F18:F22),2)</f>
        <v/>
      </c>
    </row>
    <row r="25">
      <c r="A25" s="8" t="inlineStr">
        <is>
          <t>(-) Resultado financeiro e despesas gerais</t>
        </is>
      </c>
      <c r="B25" s="23">
        <f>ROUND(B9*$F25,2)</f>
        <v/>
      </c>
      <c r="C25" s="23">
        <f>ROUND(C9*$F25,2)</f>
        <v/>
      </c>
      <c r="D25" s="23">
        <f>ROUND(D9*$F25,2)</f>
        <v/>
      </c>
      <c r="E25" s="23">
        <f>ROUND(E9*$F25,2)</f>
        <v/>
      </c>
      <c r="F25" s="23">
        <f>INDEX('7. DRE Gerencial Mensal'!$B$26:$M$26,1,MATCH($B$4,'7. DRE Gerencial Mensal'!$B$6:$M$6,0))</f>
        <v/>
      </c>
    </row>
    <row r="26">
      <c r="A26" s="80" t="inlineStr">
        <is>
          <t>Resultado operacional gerencial</t>
        </is>
      </c>
      <c r="B26" s="71">
        <f>ROUND(B23-B25,2)</f>
        <v/>
      </c>
      <c r="C26" s="71">
        <f>ROUND(C23-C25,2)</f>
        <v/>
      </c>
      <c r="D26" s="71">
        <f>ROUND(D23-D25,2)</f>
        <v/>
      </c>
      <c r="E26" s="71">
        <f>ROUND(E23-E25,2)</f>
        <v/>
      </c>
      <c r="F26" s="73">
        <f>ROUND(F23-F25,2)</f>
        <v/>
      </c>
    </row>
    <row r="28">
      <c r="A28" s="8" t="inlineStr">
        <is>
          <t>MARGENS</t>
        </is>
      </c>
      <c r="B28" s="23" t="n"/>
      <c r="C28" s="23" t="n"/>
      <c r="D28" s="23" t="n"/>
      <c r="E28" s="23" t="n"/>
      <c r="F28" s="23" t="n"/>
    </row>
    <row r="29">
      <c r="A29" s="3" t="inlineStr">
        <is>
          <t>Margem bruta %</t>
        </is>
      </c>
      <c r="B29" s="81">
        <f>IFERROR(B16/B8,0)</f>
        <v/>
      </c>
      <c r="C29" s="81">
        <f>IFERROR(C16/C8,0)</f>
        <v/>
      </c>
      <c r="D29" s="81">
        <f>IFERROR(D16/D8,0)</f>
        <v/>
      </c>
      <c r="E29" s="81">
        <f>IFERROR(E16/E8,0)</f>
        <v/>
      </c>
      <c r="F29" s="83">
        <f>IFERROR(F16/F8,0)</f>
        <v/>
      </c>
    </row>
    <row r="30">
      <c r="A30" s="3" t="inlineStr">
        <is>
          <t>Margem EBITDA %</t>
        </is>
      </c>
      <c r="B30" s="81">
        <f>IFERROR(B23/B8,0)</f>
        <v/>
      </c>
      <c r="C30" s="81">
        <f>IFERROR(C23/C8,0)</f>
        <v/>
      </c>
      <c r="D30" s="81">
        <f>IFERROR(D23/D8,0)</f>
        <v/>
      </c>
      <c r="E30" s="81">
        <f>IFERROR(E23/E8,0)</f>
        <v/>
      </c>
      <c r="F30" s="83">
        <f>IFERROR(F23/F8,0)</f>
        <v/>
      </c>
    </row>
    <row r="31">
      <c r="A31" s="3" t="inlineStr">
        <is>
          <t>Margem operacional %</t>
        </is>
      </c>
      <c r="B31" s="81">
        <f>IFERROR(B26/B8,0)</f>
        <v/>
      </c>
      <c r="C31" s="81">
        <f>IFERROR(C26/C8,0)</f>
        <v/>
      </c>
      <c r="D31" s="81">
        <f>IFERROR(D26/D8,0)</f>
        <v/>
      </c>
      <c r="E31" s="81">
        <f>IFERROR(E26/E8,0)</f>
        <v/>
      </c>
      <c r="F31" s="83">
        <f>IFERROR(F26/F8,0)</f>
        <v/>
      </c>
    </row>
    <row r="33">
      <c r="A33" s="8" t="inlineStr">
        <is>
          <t>MAPA DE CLASSIFICAÇÃO UTILIZADO</t>
        </is>
      </c>
      <c r="B33" s="23" t="n"/>
      <c r="C33" s="23" t="n"/>
      <c r="D33" s="23" t="n"/>
      <c r="E33" s="23" t="n"/>
      <c r="F33" s="23" t="n"/>
    </row>
    <row r="34" ht="22" customHeight="1">
      <c r="A34" s="66" t="inlineStr">
        <is>
          <t>Regra</t>
        </is>
      </c>
      <c r="B34" s="66" t="inlineStr">
        <is>
          <t>Critério</t>
        </is>
      </c>
      <c r="C34" s="23" t="n"/>
      <c r="D34" s="23" t="n"/>
      <c r="E34" s="23" t="n"/>
      <c r="F34" s="23" t="n"/>
    </row>
    <row r="35">
      <c r="A35" s="88" t="inlineStr">
        <is>
          <t>Carteira recorrente</t>
        </is>
      </c>
      <c r="B35" s="89" t="inlineStr">
        <is>
          <t>Títulos classificados via cadastro explícito em 13. Mapa Títulos-Receita e 11. Cadastro de Serviços.</t>
        </is>
      </c>
    </row>
    <row r="36">
      <c r="A36" s="88" t="inlineStr">
        <is>
          <t>PCMSO</t>
        </is>
      </c>
      <c r="B36" s="89" t="inlineStr">
        <is>
          <t>Títulos vinculados ao serviço PCMSO por contrato/OS ou palavra-chave explícita no título.</t>
        </is>
      </c>
    </row>
    <row r="37">
      <c r="A37" s="88" t="inlineStr">
        <is>
          <t>eSocial / Psicossocial</t>
        </is>
      </c>
      <c r="B37" s="89" t="inlineStr">
        <is>
          <t>Títulos vinculados aos serviços eSocial ou Psicossocial no cadastro de serviços.</t>
        </is>
      </c>
    </row>
    <row r="38">
      <c r="A38" s="88" t="inlineStr">
        <is>
          <t>Projetos / Laudos / Avulsos</t>
        </is>
      </c>
      <c r="B38" s="89" t="inlineStr">
        <is>
          <t>Demais OS e entregas avulsas sem enquadramento específico.</t>
        </is>
      </c>
    </row>
    <row r="39">
      <c r="A39" s="88" t="inlineStr">
        <is>
          <t>Custos diretos</t>
        </is>
      </c>
      <c r="B39" s="89" t="inlineStr">
        <is>
          <t>SGS e CASTRO NAVES foram tratados como Projetos/Laudos. Itens com PCMSO iriam direto para PCMSO se houver valor.</t>
        </is>
      </c>
    </row>
    <row r="40">
      <c r="A40" s="88" t="inlineStr">
        <is>
          <t>Despesas indiretas</t>
        </is>
      </c>
      <c r="B40" s="89" t="inlineStr">
        <is>
          <t>Impostos e indiretos foram rateados pela participação de cada linha na receita bruta do mês.</t>
        </is>
      </c>
    </row>
  </sheetData>
  <mergeCells count="12">
    <mergeCell ref="A2:F2"/>
    <mergeCell ref="A33:F33"/>
    <mergeCell ref="B39:F39"/>
    <mergeCell ref="A28:F28"/>
    <mergeCell ref="B38:F38"/>
    <mergeCell ref="A14:F14"/>
    <mergeCell ref="A1:F1"/>
    <mergeCell ref="B37:F37"/>
    <mergeCell ref="B36:F36"/>
    <mergeCell ref="B40:F40"/>
    <mergeCell ref="A7:F7"/>
    <mergeCell ref="B35:F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42" customWidth="1" min="4" max="4"/>
  </cols>
  <sheetData>
    <row r="1" ht="24" customHeight="1">
      <c r="A1" s="93" t="inlineStr">
        <is>
          <t>10. CADASTRO DE CLIENTES — CLIENTE MESTRE PARA O ERP</t>
        </is>
      </c>
    </row>
    <row r="2" ht="32" customHeight="1">
      <c r="A2" s="93" t="inlineStr">
        <is>
          <t>Tabela-mestra para consolidar as variações de nome dos títulos em um único cliente mestre.</t>
        </is>
      </c>
    </row>
    <row r="4" ht="20" customHeight="1">
      <c r="A4" s="93" t="inlineStr">
        <is>
          <t>BASE OPERACIONAL</t>
        </is>
      </c>
    </row>
    <row r="5">
      <c r="A5" s="91" t="inlineStr">
        <is>
          <t>Cliente ID</t>
        </is>
      </c>
      <c r="B5" s="91" t="inlineStr">
        <is>
          <t>Cliente mestre</t>
        </is>
      </c>
      <c r="C5" s="91" t="inlineStr">
        <is>
          <t>Perfil no mês</t>
        </is>
      </c>
      <c r="D5" s="91" t="inlineStr">
        <is>
          <t>Observação ERP</t>
        </is>
      </c>
    </row>
    <row r="6">
      <c r="A6" s="95" t="inlineStr">
        <is>
          <t>CLI-001</t>
        </is>
      </c>
      <c r="B6" s="95" t="inlineStr">
        <is>
          <t>A2B - PCMSO</t>
        </is>
      </c>
      <c r="C6" s="95" t="inlineStr">
        <is>
          <t>Projeto/avulso</t>
        </is>
      </c>
      <c r="D6" s="96" t="inlineStr">
        <is>
          <t>Cliente mestre inferido a partir dos títulos do CR de mar/2026.</t>
        </is>
      </c>
    </row>
    <row r="7">
      <c r="A7" s="95" t="inlineStr">
        <is>
          <t>CLI-002</t>
        </is>
      </c>
      <c r="B7" s="95" t="inlineStr">
        <is>
          <t>AGROFORTE</t>
        </is>
      </c>
      <c r="C7" s="95" t="inlineStr">
        <is>
          <t>Recorrente</t>
        </is>
      </c>
      <c r="D7" s="96" t="inlineStr">
        <is>
          <t>Cliente mestre inferido a partir dos títulos do CR de mar/2026.</t>
        </is>
      </c>
    </row>
    <row r="8">
      <c r="A8" s="95" t="inlineStr">
        <is>
          <t>CLI-003</t>
        </is>
      </c>
      <c r="B8" s="95" t="inlineStr">
        <is>
          <t>ASSEME - ROSA GESSO</t>
        </is>
      </c>
      <c r="C8" s="95" t="inlineStr">
        <is>
          <t>Projeto/avulso</t>
        </is>
      </c>
      <c r="D8" s="96" t="inlineStr">
        <is>
          <t>Cliente mestre inferido a partir dos títulos do CR de mar/2026.</t>
        </is>
      </c>
    </row>
    <row r="9">
      <c r="A9" s="95" t="inlineStr">
        <is>
          <t>CLI-004</t>
        </is>
      </c>
      <c r="B9" s="95" t="inlineStr">
        <is>
          <t>AÇOFERGO</t>
        </is>
      </c>
      <c r="C9" s="95" t="inlineStr">
        <is>
          <t>Projeto/avulso</t>
        </is>
      </c>
      <c r="D9" s="96" t="inlineStr">
        <is>
          <t>Cliente mestre inferido a partir dos títulos do CR de mar/2026.</t>
        </is>
      </c>
    </row>
    <row r="10">
      <c r="A10" s="95" t="inlineStr">
        <is>
          <t>CLI-005</t>
        </is>
      </c>
      <c r="B10" s="95" t="inlineStr">
        <is>
          <t>BOM JESUS</t>
        </is>
      </c>
      <c r="C10" s="95" t="inlineStr">
        <is>
          <t>Projeto/avulso</t>
        </is>
      </c>
      <c r="D10" s="96" t="inlineStr">
        <is>
          <t>Cliente mestre inferido a partir dos títulos do CR de mar/2026.</t>
        </is>
      </c>
    </row>
    <row r="11">
      <c r="A11" s="95" t="inlineStr">
        <is>
          <t>CLI-006</t>
        </is>
      </c>
      <c r="B11" s="95" t="inlineStr">
        <is>
          <t>CBA</t>
        </is>
      </c>
      <c r="C11" s="95" t="inlineStr">
        <is>
          <t>Projeto/avulso</t>
        </is>
      </c>
      <c r="D11" s="96" t="inlineStr">
        <is>
          <t>Cliente mestre inferido a partir dos títulos do CR de mar/2026.</t>
        </is>
      </c>
    </row>
    <row r="12">
      <c r="A12" s="95" t="inlineStr">
        <is>
          <t>CLI-007</t>
        </is>
      </c>
      <c r="B12" s="95" t="inlineStr">
        <is>
          <t>CONTROLER</t>
        </is>
      </c>
      <c r="C12" s="95" t="inlineStr">
        <is>
          <t>Recorrente</t>
        </is>
      </c>
      <c r="D12" s="96" t="inlineStr">
        <is>
          <t>Cliente mestre inferido a partir dos títulos do CR de mar/2026.</t>
        </is>
      </c>
    </row>
    <row r="13">
      <c r="A13" s="95" t="inlineStr">
        <is>
          <t>CLI-008</t>
        </is>
      </c>
      <c r="B13" s="95" t="inlineStr">
        <is>
          <t>DPA</t>
        </is>
      </c>
      <c r="C13" s="95" t="inlineStr">
        <is>
          <t>Projeto/avulso</t>
        </is>
      </c>
      <c r="D13" s="96" t="inlineStr">
        <is>
          <t>Cliente mestre inferido a partir dos títulos do CR de mar/2026.</t>
        </is>
      </c>
    </row>
    <row r="14">
      <c r="A14" s="95" t="inlineStr">
        <is>
          <t>CLI-009</t>
        </is>
      </c>
      <c r="B14" s="95" t="inlineStr">
        <is>
          <t>DRESTE E-SOCIAL</t>
        </is>
      </c>
      <c r="C14" s="95" t="inlineStr">
        <is>
          <t>Projeto/avulso</t>
        </is>
      </c>
      <c r="D14" s="96" t="inlineStr">
        <is>
          <t>Cliente mestre inferido a partir dos títulos do CR de mar/2026.</t>
        </is>
      </c>
    </row>
    <row r="15">
      <c r="A15" s="95" t="inlineStr">
        <is>
          <t>CLI-010</t>
        </is>
      </c>
      <c r="B15" s="95" t="inlineStr">
        <is>
          <t>ESTIVA TRANSPORTES</t>
        </is>
      </c>
      <c r="C15" s="95" t="inlineStr">
        <is>
          <t>Projeto/avulso</t>
        </is>
      </c>
      <c r="D15" s="96" t="inlineStr">
        <is>
          <t>Cliente mestre inferido a partir dos títulos do CR de mar/2026.</t>
        </is>
      </c>
    </row>
    <row r="16">
      <c r="A16" s="95" t="inlineStr">
        <is>
          <t>CLI-011</t>
        </is>
      </c>
      <c r="B16" s="95" t="inlineStr">
        <is>
          <t>FAZ KUENO/ ADEQ PSICOSOCIAL</t>
        </is>
      </c>
      <c r="C16" s="95" t="inlineStr">
        <is>
          <t>Projeto/avulso</t>
        </is>
      </c>
      <c r="D16" s="96" t="inlineStr">
        <is>
          <t>Cliente mestre inferido a partir dos títulos do CR de mar/2026.</t>
        </is>
      </c>
    </row>
    <row r="17">
      <c r="A17" s="95" t="inlineStr">
        <is>
          <t>CLI-012</t>
        </is>
      </c>
      <c r="B17" s="95" t="inlineStr">
        <is>
          <t>FAZ ROBSON/ ADEQ PSICOSOCIAL</t>
        </is>
      </c>
      <c r="C17" s="95" t="inlineStr">
        <is>
          <t>Projeto/avulso</t>
        </is>
      </c>
      <c r="D17" s="96" t="inlineStr">
        <is>
          <t>Cliente mestre inferido a partir dos títulos do CR de mar/2026.</t>
        </is>
      </c>
    </row>
    <row r="18">
      <c r="A18" s="95" t="inlineStr">
        <is>
          <t>CLI-013</t>
        </is>
      </c>
      <c r="B18" s="95" t="inlineStr">
        <is>
          <t>FAZENDA SANTA LUCIA</t>
        </is>
      </c>
      <c r="C18" s="95" t="inlineStr">
        <is>
          <t>Recorrente</t>
        </is>
      </c>
      <c r="D18" s="96" t="inlineStr">
        <is>
          <t>Cliente mestre inferido a partir dos títulos do CR de mar/2026.</t>
        </is>
      </c>
    </row>
    <row r="19">
      <c r="A19" s="95" t="inlineStr">
        <is>
          <t>CLI-014</t>
        </is>
      </c>
      <c r="B19" s="95" t="inlineStr">
        <is>
          <t>FAZENDAS GUARACI</t>
        </is>
      </c>
      <c r="C19" s="95" t="inlineStr">
        <is>
          <t>Recorrente</t>
        </is>
      </c>
      <c r="D19" s="96" t="inlineStr">
        <is>
          <t>Cliente mestre inferido a partir dos títulos do CR de mar/2026.</t>
        </is>
      </c>
    </row>
    <row r="20">
      <c r="A20" s="95" t="inlineStr">
        <is>
          <t>CLI-015</t>
        </is>
      </c>
      <c r="B20" s="95" t="inlineStr">
        <is>
          <t>FERSAN</t>
        </is>
      </c>
      <c r="C20" s="95" t="inlineStr">
        <is>
          <t>Projeto/avulso</t>
        </is>
      </c>
      <c r="D20" s="96" t="inlineStr">
        <is>
          <t>Cliente mestre inferido a partir dos títulos do CR de mar/2026.</t>
        </is>
      </c>
    </row>
    <row r="21">
      <c r="A21" s="95" t="inlineStr">
        <is>
          <t>CLI-016</t>
        </is>
      </c>
      <c r="B21" s="95" t="inlineStr">
        <is>
          <t>GODOSAN</t>
        </is>
      </c>
      <c r="C21" s="95" t="inlineStr">
        <is>
          <t>Projeto/avulso</t>
        </is>
      </c>
      <c r="D21" s="96" t="inlineStr">
        <is>
          <t>Cliente mestre inferido a partir dos títulos do CR de mar/2026.</t>
        </is>
      </c>
    </row>
    <row r="22">
      <c r="A22" s="95" t="inlineStr">
        <is>
          <t>CLI-017</t>
        </is>
      </c>
      <c r="B22" s="95" t="inlineStr">
        <is>
          <t>LCA - FRIGOPAIVA /FERRO VELHO</t>
        </is>
      </c>
      <c r="C22" s="95" t="inlineStr">
        <is>
          <t>Projeto/avulso</t>
        </is>
      </c>
      <c r="D22" s="96" t="inlineStr">
        <is>
          <t>Cliente mestre inferido a partir dos títulos do CR de mar/2026.</t>
        </is>
      </c>
    </row>
    <row r="23">
      <c r="A23" s="95" t="inlineStr">
        <is>
          <t>CLI-018</t>
        </is>
      </c>
      <c r="B23" s="95" t="inlineStr">
        <is>
          <t>LGA MÁQUINAS</t>
        </is>
      </c>
      <c r="C23" s="95" t="inlineStr">
        <is>
          <t>Recorrente</t>
        </is>
      </c>
      <c r="D23" s="96" t="inlineStr">
        <is>
          <t>Cliente mestre inferido a partir dos títulos do CR de mar/2026.</t>
        </is>
      </c>
    </row>
    <row r="24">
      <c r="A24" s="95" t="inlineStr">
        <is>
          <t>CLI-019</t>
        </is>
      </c>
      <c r="B24" s="95" t="inlineStr">
        <is>
          <t>LM ASSESSORIA CONTÁBIL</t>
        </is>
      </c>
      <c r="C24" s="95" t="inlineStr">
        <is>
          <t>Recorrente</t>
        </is>
      </c>
      <c r="D24" s="96" t="inlineStr">
        <is>
          <t>Cliente mestre inferido a partir dos títulos do CR de mar/2026.</t>
        </is>
      </c>
    </row>
    <row r="25">
      <c r="A25" s="95" t="inlineStr">
        <is>
          <t>CLI-020</t>
        </is>
      </c>
      <c r="B25" s="95" t="inlineStr">
        <is>
          <t>MATA DO PORTO</t>
        </is>
      </c>
      <c r="C25" s="95" t="inlineStr">
        <is>
          <t>Projeto/avulso</t>
        </is>
      </c>
      <c r="D25" s="96" t="inlineStr">
        <is>
          <t>Cliente mestre inferido a partir dos títulos do CR de mar/2026.</t>
        </is>
      </c>
    </row>
    <row r="26">
      <c r="A26" s="95" t="inlineStr">
        <is>
          <t>CLI-021</t>
        </is>
      </c>
      <c r="B26" s="95" t="inlineStr">
        <is>
          <t>MDA SOLUÇÕES</t>
        </is>
      </c>
      <c r="C26" s="95" t="inlineStr">
        <is>
          <t>Projeto/avulso</t>
        </is>
      </c>
      <c r="D26" s="96" t="inlineStr">
        <is>
          <t>Cliente mestre inferido a partir dos títulos do CR de mar/2026.</t>
        </is>
      </c>
    </row>
    <row r="27">
      <c r="A27" s="95" t="inlineStr">
        <is>
          <t>CLI-022</t>
        </is>
      </c>
      <c r="B27" s="95" t="inlineStr">
        <is>
          <t>NDB</t>
        </is>
      </c>
      <c r="C27" s="95" t="inlineStr">
        <is>
          <t>Projeto/avulso</t>
        </is>
      </c>
      <c r="D27" s="96" t="inlineStr">
        <is>
          <t>Cliente mestre inferido a partir dos títulos do CR de mar/2026.</t>
        </is>
      </c>
    </row>
    <row r="28">
      <c r="A28" s="95" t="inlineStr">
        <is>
          <t>CLI-023</t>
        </is>
      </c>
      <c r="B28" s="95" t="inlineStr">
        <is>
          <t>NIVALMAG</t>
        </is>
      </c>
      <c r="C28" s="95" t="inlineStr">
        <is>
          <t>Recorrente</t>
        </is>
      </c>
      <c r="D28" s="96" t="inlineStr">
        <is>
          <t>Cliente mestre inferido a partir dos títulos do CR de mar/2026.</t>
        </is>
      </c>
    </row>
    <row r="29">
      <c r="A29" s="95" t="inlineStr">
        <is>
          <t>CLI-024</t>
        </is>
      </c>
      <c r="B29" s="95" t="inlineStr">
        <is>
          <t>POSTOS JULIANA</t>
        </is>
      </c>
      <c r="C29" s="95" t="inlineStr">
        <is>
          <t>Recorrente</t>
        </is>
      </c>
      <c r="D29" s="96" t="inlineStr">
        <is>
          <t>Cliente mestre inferido a partir dos títulos do CR de mar/2026.</t>
        </is>
      </c>
    </row>
    <row r="30">
      <c r="A30" s="95" t="inlineStr">
        <is>
          <t>CLI-025</t>
        </is>
      </c>
      <c r="B30" s="95" t="inlineStr">
        <is>
          <t>RDM LOGÍSTICA</t>
        </is>
      </c>
      <c r="C30" s="95" t="inlineStr">
        <is>
          <t>Recorrente</t>
        </is>
      </c>
      <c r="D30" s="96" t="inlineStr">
        <is>
          <t>Cliente mestre inferido a partir dos títulos do CR de mar/2026.</t>
        </is>
      </c>
    </row>
    <row r="31">
      <c r="A31" s="95" t="inlineStr">
        <is>
          <t>CLI-026</t>
        </is>
      </c>
      <c r="B31" s="95" t="inlineStr">
        <is>
          <t>REPET</t>
        </is>
      </c>
      <c r="C31" s="95" t="inlineStr">
        <is>
          <t>Recorrente</t>
        </is>
      </c>
      <c r="D31" s="96" t="inlineStr">
        <is>
          <t>Cliente mestre inferido a partir dos títulos do CR de mar/2026.</t>
        </is>
      </c>
    </row>
    <row r="32">
      <c r="A32" s="95" t="inlineStr">
        <is>
          <t>CLI-027</t>
        </is>
      </c>
      <c r="B32" s="95" t="inlineStr">
        <is>
          <t>RETRO ESCAVAÇÕES</t>
        </is>
      </c>
      <c r="C32" s="95" t="inlineStr">
        <is>
          <t>Projeto/avulso</t>
        </is>
      </c>
      <c r="D32" s="96" t="inlineStr">
        <is>
          <t>Cliente mestre inferido a partir dos títulos do CR de mar/2026.</t>
        </is>
      </c>
    </row>
    <row r="33">
      <c r="A33" s="95" t="inlineStr">
        <is>
          <t>CLI-028</t>
        </is>
      </c>
      <c r="B33" s="95" t="inlineStr">
        <is>
          <t>RUITHER</t>
        </is>
      </c>
      <c r="C33" s="95" t="inlineStr">
        <is>
          <t>Recorrente</t>
        </is>
      </c>
      <c r="D33" s="96" t="inlineStr">
        <is>
          <t>Cliente mestre inferido a partir dos títulos do CR de mar/2026.</t>
        </is>
      </c>
    </row>
    <row r="34">
      <c r="A34" s="95" t="inlineStr">
        <is>
          <t>CLI-029</t>
        </is>
      </c>
      <c r="B34" s="95" t="inlineStr">
        <is>
          <t>S12 INCORPORAÇÃO</t>
        </is>
      </c>
      <c r="C34" s="95" t="inlineStr">
        <is>
          <t>Recorrente</t>
        </is>
      </c>
      <c r="D34" s="96" t="inlineStr">
        <is>
          <t>Cliente mestre inferido a partir dos títulos do CR de mar/2026.</t>
        </is>
      </c>
    </row>
    <row r="35">
      <c r="A35" s="95" t="inlineStr">
        <is>
          <t>CLI-030</t>
        </is>
      </c>
      <c r="B35" s="95" t="inlineStr">
        <is>
          <t>SANTA CASA MT ALEGRE</t>
        </is>
      </c>
      <c r="C35" s="95" t="inlineStr">
        <is>
          <t>Recorrente</t>
        </is>
      </c>
      <c r="D35" s="96" t="inlineStr">
        <is>
          <t>Cliente mestre inferido a partir dos títulos do CR de mar/2026.</t>
        </is>
      </c>
    </row>
    <row r="36">
      <c r="A36" s="95" t="inlineStr">
        <is>
          <t>CLI-031</t>
        </is>
      </c>
      <c r="B36" s="95" t="inlineStr">
        <is>
          <t>SKAP KAP</t>
        </is>
      </c>
      <c r="C36" s="95" t="inlineStr">
        <is>
          <t>Recorrente</t>
        </is>
      </c>
      <c r="D36" s="96" t="inlineStr">
        <is>
          <t>Cliente mestre inferido a partir dos títulos do CR de mar/2026.</t>
        </is>
      </c>
    </row>
    <row r="37">
      <c r="A37" s="95" t="inlineStr">
        <is>
          <t>CLI-032</t>
        </is>
      </c>
      <c r="B37" s="95" t="inlineStr">
        <is>
          <t>SONDOTEC</t>
        </is>
      </c>
      <c r="C37" s="95" t="inlineStr">
        <is>
          <t>Recorrente</t>
        </is>
      </c>
      <c r="D37" s="96" t="inlineStr">
        <is>
          <t>Cliente mestre inferido a partir dos títulos do CR de mar/2026.</t>
        </is>
      </c>
    </row>
    <row r="38">
      <c r="A38" s="95" t="inlineStr">
        <is>
          <t>CLI-033</t>
        </is>
      </c>
      <c r="B38" s="95" t="inlineStr">
        <is>
          <t>TR. LASER - INCL FUNÇÃO</t>
        </is>
      </c>
      <c r="C38" s="95" t="inlineStr">
        <is>
          <t>Projeto/avulso</t>
        </is>
      </c>
      <c r="D38" s="96" t="inlineStr">
        <is>
          <t>Cliente mestre inferido a partir dos títulos do CR de mar/2026.</t>
        </is>
      </c>
    </row>
    <row r="39">
      <c r="A39" s="95" t="inlineStr">
        <is>
          <t>CLI-034</t>
        </is>
      </c>
      <c r="B39" s="95" t="inlineStr">
        <is>
          <t>TRANS DAVI</t>
        </is>
      </c>
      <c r="C39" s="95" t="inlineStr">
        <is>
          <t>Projeto/avulso</t>
        </is>
      </c>
      <c r="D39" s="96" t="inlineStr">
        <is>
          <t>Cliente mestre inferido a partir dos títulos do CR de mar/2026.</t>
        </is>
      </c>
    </row>
    <row r="40">
      <c r="A40" s="95" t="inlineStr">
        <is>
          <t>CLI-035</t>
        </is>
      </c>
      <c r="B40" s="95" t="inlineStr">
        <is>
          <t>TRANSPORTADORA RODOMEU</t>
        </is>
      </c>
      <c r="C40" s="95" t="inlineStr">
        <is>
          <t>Recorrente</t>
        </is>
      </c>
      <c r="D40" s="96" t="inlineStr">
        <is>
          <t>Cliente mestre inferido a partir dos títulos do CR de mar/2026.</t>
        </is>
      </c>
    </row>
    <row r="41">
      <c r="A41" s="95" t="inlineStr">
        <is>
          <t>CLI-036</t>
        </is>
      </c>
      <c r="B41" s="95" t="inlineStr">
        <is>
          <t>TRIÂNGULO SERVIÇOS</t>
        </is>
      </c>
      <c r="C41" s="95" t="inlineStr">
        <is>
          <t>Recorrente</t>
        </is>
      </c>
      <c r="D41" s="96" t="inlineStr">
        <is>
          <t>Cliente mestre inferido a partir dos títulos do CR de mar/2026.</t>
        </is>
      </c>
    </row>
    <row r="42">
      <c r="A42" s="95">
        <f>IF(B42="","", "CLI-"&amp;TEXT(ROW()-5,"000"))</f>
        <v/>
      </c>
      <c r="B42" s="95" t="n"/>
      <c r="C42" s="95" t="n"/>
      <c r="D42" s="96" t="n"/>
    </row>
    <row r="43">
      <c r="A43" s="95">
        <f>IF(B43="","", "CLI-"&amp;TEXT(ROW()-5,"000"))</f>
        <v/>
      </c>
      <c r="B43" s="95" t="n"/>
      <c r="C43" s="95" t="n"/>
      <c r="D43" s="96" t="n"/>
    </row>
    <row r="44">
      <c r="A44" s="95">
        <f>IF(B44="","", "CLI-"&amp;TEXT(ROW()-5,"000"))</f>
        <v/>
      </c>
      <c r="B44" s="95" t="n"/>
      <c r="C44" s="95" t="n"/>
      <c r="D44" s="96" t="n"/>
    </row>
    <row r="45">
      <c r="A45" s="95">
        <f>IF(B45="","", "CLI-"&amp;TEXT(ROW()-5,"000"))</f>
        <v/>
      </c>
      <c r="B45" s="95" t="n"/>
      <c r="C45" s="95" t="n"/>
      <c r="D45" s="96" t="n"/>
    </row>
    <row r="46">
      <c r="A46" s="95">
        <f>IF(B46="","", "CLI-"&amp;TEXT(ROW()-5,"000"))</f>
        <v/>
      </c>
      <c r="B46" s="95" t="n"/>
      <c r="C46" s="95" t="n"/>
      <c r="D46" s="96" t="n"/>
    </row>
    <row r="47">
      <c r="A47" s="95">
        <f>IF(B47="","", "CLI-"&amp;TEXT(ROW()-5,"000"))</f>
        <v/>
      </c>
      <c r="B47" s="95" t="n"/>
      <c r="C47" s="95" t="n"/>
      <c r="D47" s="96" t="n"/>
    </row>
    <row r="48">
      <c r="A48" s="95">
        <f>IF(B48="","", "CLI-"&amp;TEXT(ROW()-5,"000"))</f>
        <v/>
      </c>
      <c r="B48" s="95" t="n"/>
      <c r="C48" s="95" t="n"/>
      <c r="D48" s="96" t="n"/>
    </row>
    <row r="49">
      <c r="A49" s="95">
        <f>IF(B49="","", "CLI-"&amp;TEXT(ROW()-5,"000"))</f>
        <v/>
      </c>
      <c r="B49" s="95" t="n"/>
      <c r="C49" s="95" t="n"/>
      <c r="D49" s="96" t="n"/>
    </row>
    <row r="50">
      <c r="A50" s="95">
        <f>IF(B50="","", "CLI-"&amp;TEXT(ROW()-5,"000"))</f>
        <v/>
      </c>
      <c r="B50" s="95" t="n"/>
      <c r="C50" s="95" t="n"/>
      <c r="D50" s="96" t="n"/>
    </row>
    <row r="51">
      <c r="A51" s="95">
        <f>IF(B51="","", "CLI-"&amp;TEXT(ROW()-5,"000"))</f>
        <v/>
      </c>
      <c r="B51" s="95" t="n"/>
      <c r="C51" s="95" t="n"/>
      <c r="D51" s="96" t="n"/>
    </row>
    <row r="52">
      <c r="A52" s="95">
        <f>IF(B52="","", "CLI-"&amp;TEXT(ROW()-5,"000"))</f>
        <v/>
      </c>
      <c r="B52" s="95" t="n"/>
      <c r="C52" s="95" t="n"/>
      <c r="D52" s="96" t="n"/>
    </row>
    <row r="53">
      <c r="A53" s="95">
        <f>IF(B53="","", "CLI-"&amp;TEXT(ROW()-5,"000"))</f>
        <v/>
      </c>
      <c r="B53" s="95" t="n"/>
      <c r="C53" s="95" t="n"/>
      <c r="D53" s="96" t="n"/>
    </row>
    <row r="54">
      <c r="A54" s="95">
        <f>IF(B54="","", "CLI-"&amp;TEXT(ROW()-5,"000"))</f>
        <v/>
      </c>
      <c r="B54" s="95" t="n"/>
      <c r="C54" s="95" t="n"/>
      <c r="D54" s="96" t="n"/>
    </row>
    <row r="55">
      <c r="A55" s="95">
        <f>IF(B55="","", "CLI-"&amp;TEXT(ROW()-5,"000"))</f>
        <v/>
      </c>
      <c r="B55" s="95" t="n"/>
      <c r="C55" s="95" t="n"/>
      <c r="D55" s="96" t="n"/>
    </row>
    <row r="56">
      <c r="A56" s="95">
        <f>IF(B56="","", "CLI-"&amp;TEXT(ROW()-5,"000"))</f>
        <v/>
      </c>
      <c r="B56" s="95" t="n"/>
      <c r="C56" s="95" t="n"/>
      <c r="D56" s="96" t="n"/>
    </row>
    <row r="57">
      <c r="A57" s="95">
        <f>IF(B57="","", "CLI-"&amp;TEXT(ROW()-5,"000"))</f>
        <v/>
      </c>
      <c r="B57" s="95" t="n"/>
      <c r="C57" s="95" t="n"/>
      <c r="D57" s="96" t="n"/>
    </row>
    <row r="58">
      <c r="A58" s="95">
        <f>IF(B58="","", "CLI-"&amp;TEXT(ROW()-5,"000"))</f>
        <v/>
      </c>
      <c r="B58" s="95" t="n"/>
      <c r="C58" s="95" t="n"/>
      <c r="D58" s="96" t="n"/>
    </row>
    <row r="59">
      <c r="A59" s="95">
        <f>IF(B59="","", "CLI-"&amp;TEXT(ROW()-5,"000"))</f>
        <v/>
      </c>
      <c r="B59" s="95" t="n"/>
      <c r="C59" s="95" t="n"/>
      <c r="D59" s="96" t="n"/>
    </row>
    <row r="60">
      <c r="A60" s="95">
        <f>IF(B60="","", "CLI-"&amp;TEXT(ROW()-5,"000"))</f>
        <v/>
      </c>
      <c r="B60" s="95" t="n"/>
      <c r="C60" s="95" t="n"/>
      <c r="D60" s="96" t="n"/>
    </row>
    <row r="61">
      <c r="A61" s="95">
        <f>IF(B61="","", "CLI-"&amp;TEXT(ROW()-5,"000"))</f>
        <v/>
      </c>
      <c r="B61" s="95" t="n"/>
      <c r="C61" s="95" t="n"/>
      <c r="D61" s="96" t="n"/>
    </row>
    <row r="62">
      <c r="A62" s="95">
        <f>IF(B62="","", "CLI-"&amp;TEXT(ROW()-5,"000"))</f>
        <v/>
      </c>
      <c r="B62" s="95" t="n"/>
      <c r="C62" s="95" t="n"/>
      <c r="D62" s="96" t="n"/>
    </row>
    <row r="63">
      <c r="A63" s="95">
        <f>IF(B63="","", "CLI-"&amp;TEXT(ROW()-5,"000"))</f>
        <v/>
      </c>
      <c r="B63" s="95" t="n"/>
      <c r="C63" s="95" t="n"/>
      <c r="D63" s="96" t="n"/>
    </row>
    <row r="64">
      <c r="A64" s="95">
        <f>IF(B64="","", "CLI-"&amp;TEXT(ROW()-5,"000"))</f>
        <v/>
      </c>
      <c r="B64" s="95" t="n"/>
      <c r="C64" s="95" t="n"/>
      <c r="D64" s="96" t="n"/>
    </row>
    <row r="65">
      <c r="A65" s="95">
        <f>IF(B65="","", "CLI-"&amp;TEXT(ROW()-5,"000"))</f>
        <v/>
      </c>
      <c r="B65" s="95" t="n"/>
      <c r="C65" s="95" t="n"/>
      <c r="D65" s="96" t="n"/>
    </row>
    <row r="66">
      <c r="A66" s="95">
        <f>IF(B66="","", "CLI-"&amp;TEXT(ROW()-5,"000"))</f>
        <v/>
      </c>
      <c r="B66" s="95" t="n"/>
      <c r="C66" s="95" t="n"/>
      <c r="D66" s="96" t="n"/>
    </row>
    <row r="67">
      <c r="A67" s="95">
        <f>IF(B67="","", "CLI-"&amp;TEXT(ROW()-5,"000"))</f>
        <v/>
      </c>
      <c r="B67" s="95" t="n"/>
      <c r="C67" s="95" t="n"/>
      <c r="D67" s="96" t="n"/>
    </row>
    <row r="68">
      <c r="A68" s="95">
        <f>IF(B68="","", "CLI-"&amp;TEXT(ROW()-5,"000"))</f>
        <v/>
      </c>
      <c r="B68" s="95" t="n"/>
      <c r="C68" s="95" t="n"/>
      <c r="D68" s="96" t="n"/>
    </row>
    <row r="69">
      <c r="A69" s="95">
        <f>IF(B69="","", "CLI-"&amp;TEXT(ROW()-5,"000"))</f>
        <v/>
      </c>
      <c r="B69" s="95" t="n"/>
      <c r="C69" s="95" t="n"/>
      <c r="D69" s="96" t="n"/>
    </row>
    <row r="70">
      <c r="A70" s="95">
        <f>IF(B70="","", "CLI-"&amp;TEXT(ROW()-5,"000"))</f>
        <v/>
      </c>
      <c r="B70" s="95" t="n"/>
      <c r="C70" s="95" t="n"/>
      <c r="D70" s="96" t="n"/>
    </row>
    <row r="71">
      <c r="A71" s="95">
        <f>IF(B71="","", "CLI-"&amp;TEXT(ROW()-5,"000"))</f>
        <v/>
      </c>
      <c r="B71" s="95" t="n"/>
      <c r="C71" s="95" t="n"/>
      <c r="D71" s="96" t="n"/>
    </row>
    <row r="72">
      <c r="A72" s="95">
        <f>IF(B72="","", "CLI-"&amp;TEXT(ROW()-5,"000"))</f>
        <v/>
      </c>
      <c r="B72" s="95" t="n"/>
      <c r="C72" s="95" t="n"/>
      <c r="D72" s="96" t="n"/>
    </row>
    <row r="73">
      <c r="A73" s="95">
        <f>IF(B73="","", "CLI-"&amp;TEXT(ROW()-5,"000"))</f>
        <v/>
      </c>
      <c r="B73" s="95" t="n"/>
      <c r="C73" s="95" t="n"/>
      <c r="D73" s="96" t="n"/>
    </row>
    <row r="74">
      <c r="A74" s="95">
        <f>IF(B74="","", "CLI-"&amp;TEXT(ROW()-5,"000"))</f>
        <v/>
      </c>
      <c r="B74" s="95" t="n"/>
      <c r="C74" s="95" t="n"/>
      <c r="D74" s="96" t="n"/>
    </row>
    <row r="75">
      <c r="A75" s="95">
        <f>IF(B75="","", "CLI-"&amp;TEXT(ROW()-5,"000"))</f>
        <v/>
      </c>
      <c r="B75" s="95" t="n"/>
      <c r="C75" s="95" t="n"/>
      <c r="D75" s="96" t="n"/>
    </row>
    <row r="76">
      <c r="A76" s="95">
        <f>IF(B76="","", "CLI-"&amp;TEXT(ROW()-5,"000"))</f>
        <v/>
      </c>
      <c r="B76" s="95" t="n"/>
      <c r="C76" s="95" t="n"/>
      <c r="D76" s="96" t="n"/>
    </row>
    <row r="77">
      <c r="A77" s="95">
        <f>IF(B77="","", "CLI-"&amp;TEXT(ROW()-5,"000"))</f>
        <v/>
      </c>
      <c r="B77" s="95" t="n"/>
      <c r="C77" s="95" t="n"/>
      <c r="D77" s="96" t="n"/>
    </row>
    <row r="78">
      <c r="A78" s="95">
        <f>IF(B78="","", "CLI-"&amp;TEXT(ROW()-5,"000"))</f>
        <v/>
      </c>
      <c r="B78" s="95" t="n"/>
      <c r="C78" s="95" t="n"/>
      <c r="D78" s="96" t="n"/>
    </row>
    <row r="79">
      <c r="A79" s="95">
        <f>IF(B79="","", "CLI-"&amp;TEXT(ROW()-5,"000"))</f>
        <v/>
      </c>
      <c r="B79" s="95" t="n"/>
      <c r="C79" s="95" t="n"/>
      <c r="D79" s="96" t="n"/>
    </row>
    <row r="80">
      <c r="A80" s="95">
        <f>IF(B80="","", "CLI-"&amp;TEXT(ROW()-5,"000"))</f>
        <v/>
      </c>
      <c r="B80" s="95" t="n"/>
      <c r="C80" s="95" t="n"/>
      <c r="D80" s="96" t="n"/>
    </row>
    <row r="81">
      <c r="A81" s="95">
        <f>IF(B81="","", "CLI-"&amp;TEXT(ROW()-5,"000"))</f>
        <v/>
      </c>
      <c r="B81" s="95" t="n"/>
      <c r="C81" s="95" t="n"/>
      <c r="D81" s="96" t="n"/>
    </row>
    <row r="82">
      <c r="A82" s="95">
        <f>IF(B82="","", "CLI-"&amp;TEXT(ROW()-5,"000"))</f>
        <v/>
      </c>
      <c r="B82" s="95" t="n"/>
      <c r="C82" s="95" t="n"/>
      <c r="D82" s="96" t="n"/>
    </row>
    <row r="83">
      <c r="A83" s="95">
        <f>IF(B83="","", "CLI-"&amp;TEXT(ROW()-5,"000"))</f>
        <v/>
      </c>
      <c r="B83" s="95" t="n"/>
      <c r="C83" s="95" t="n"/>
      <c r="D83" s="96" t="n"/>
    </row>
    <row r="84">
      <c r="A84" s="95">
        <f>IF(B84="","", "CLI-"&amp;TEXT(ROW()-5,"000"))</f>
        <v/>
      </c>
      <c r="B84" s="95" t="n"/>
      <c r="C84" s="95" t="n"/>
      <c r="D84" s="96" t="n"/>
    </row>
    <row r="85">
      <c r="A85" s="95">
        <f>IF(B85="","", "CLI-"&amp;TEXT(ROW()-5,"000"))</f>
        <v/>
      </c>
      <c r="B85" s="95" t="n"/>
      <c r="C85" s="95" t="n"/>
      <c r="D85" s="96" t="n"/>
    </row>
    <row r="86">
      <c r="A86" s="95">
        <f>IF(B86="","", "CLI-"&amp;TEXT(ROW()-5,"000"))</f>
        <v/>
      </c>
      <c r="B86" s="95" t="n"/>
      <c r="C86" s="95" t="n"/>
      <c r="D86" s="96" t="n"/>
    </row>
    <row r="87">
      <c r="A87" s="95">
        <f>IF(B87="","", "CLI-"&amp;TEXT(ROW()-5,"000"))</f>
        <v/>
      </c>
      <c r="B87" s="95" t="n"/>
      <c r="C87" s="95" t="n"/>
      <c r="D87" s="96" t="n"/>
    </row>
    <row r="88">
      <c r="A88" s="95">
        <f>IF(B88="","", "CLI-"&amp;TEXT(ROW()-5,"000"))</f>
        <v/>
      </c>
      <c r="B88" s="95" t="n"/>
      <c r="C88" s="95" t="n"/>
      <c r="D88" s="96" t="n"/>
    </row>
    <row r="89">
      <c r="A89" s="95">
        <f>IF(B89="","", "CLI-"&amp;TEXT(ROW()-5,"000"))</f>
        <v/>
      </c>
      <c r="B89" s="95" t="n"/>
      <c r="C89" s="95" t="n"/>
      <c r="D89" s="96" t="n"/>
    </row>
    <row r="90">
      <c r="A90" s="95">
        <f>IF(B90="","", "CLI-"&amp;TEXT(ROW()-5,"000"))</f>
        <v/>
      </c>
      <c r="B90" s="95" t="n"/>
      <c r="C90" s="95" t="n"/>
      <c r="D90" s="96" t="n"/>
    </row>
    <row r="91">
      <c r="A91" s="95">
        <f>IF(B91="","", "CLI-"&amp;TEXT(ROW()-5,"000"))</f>
        <v/>
      </c>
      <c r="B91" s="95" t="n"/>
      <c r="C91" s="95" t="n"/>
      <c r="D91" s="96" t="n"/>
    </row>
    <row r="92">
      <c r="A92" s="95">
        <f>IF(B92="","", "CLI-"&amp;TEXT(ROW()-5,"000"))</f>
        <v/>
      </c>
      <c r="B92" s="95" t="n"/>
      <c r="C92" s="95" t="n"/>
      <c r="D92" s="96" t="n"/>
    </row>
    <row r="93">
      <c r="A93" s="95">
        <f>IF(B93="","", "CLI-"&amp;TEXT(ROW()-5,"000"))</f>
        <v/>
      </c>
      <c r="B93" s="95" t="n"/>
      <c r="C93" s="95" t="n"/>
      <c r="D93" s="96" t="n"/>
    </row>
    <row r="94">
      <c r="A94" s="95">
        <f>IF(B94="","", "CLI-"&amp;TEXT(ROW()-5,"000"))</f>
        <v/>
      </c>
      <c r="B94" s="95" t="n"/>
      <c r="C94" s="95" t="n"/>
      <c r="D94" s="96" t="n"/>
    </row>
    <row r="95">
      <c r="A95" s="95">
        <f>IF(B95="","", "CLI-"&amp;TEXT(ROW()-5,"000"))</f>
        <v/>
      </c>
      <c r="B95" s="95" t="n"/>
      <c r="C95" s="95" t="n"/>
      <c r="D95" s="96" t="n"/>
    </row>
    <row r="96">
      <c r="A96" s="95">
        <f>IF(B96="","", "CLI-"&amp;TEXT(ROW()-5,"000"))</f>
        <v/>
      </c>
      <c r="B96" s="95" t="n"/>
      <c r="C96" s="95" t="n"/>
      <c r="D96" s="96" t="n"/>
    </row>
    <row r="97">
      <c r="A97" s="95">
        <f>IF(B97="","", "CLI-"&amp;TEXT(ROW()-5,"000"))</f>
        <v/>
      </c>
      <c r="B97" s="95" t="n"/>
      <c r="C97" s="95" t="n"/>
      <c r="D97" s="96" t="n"/>
    </row>
    <row r="98">
      <c r="A98" s="95">
        <f>IF(B98="","", "CLI-"&amp;TEXT(ROW()-5,"000"))</f>
        <v/>
      </c>
      <c r="B98" s="95" t="n"/>
      <c r="C98" s="95" t="n"/>
      <c r="D98" s="96" t="n"/>
    </row>
    <row r="99">
      <c r="A99" s="95">
        <f>IF(B99="","", "CLI-"&amp;TEXT(ROW()-5,"000"))</f>
        <v/>
      </c>
      <c r="B99" s="95" t="n"/>
      <c r="C99" s="95" t="n"/>
      <c r="D99" s="96" t="n"/>
    </row>
    <row r="100">
      <c r="A100" s="95">
        <f>IF(B100="","", "CLI-"&amp;TEXT(ROW()-5,"000"))</f>
        <v/>
      </c>
      <c r="B100" s="95" t="n"/>
      <c r="C100" s="95" t="n"/>
      <c r="D100" s="96" t="n"/>
    </row>
    <row r="101">
      <c r="A101" s="95">
        <f>IF(B101="","", "CLI-"&amp;TEXT(ROW()-5,"000"))</f>
        <v/>
      </c>
      <c r="B101" s="95" t="n"/>
      <c r="C101" s="95" t="n"/>
      <c r="D101" s="96" t="n"/>
    </row>
    <row r="102">
      <c r="A102" s="95">
        <f>IF(B102="","", "CLI-"&amp;TEXT(ROW()-5,"000"))</f>
        <v/>
      </c>
      <c r="B102" s="95" t="n"/>
      <c r="C102" s="95" t="n"/>
      <c r="D102" s="96" t="n"/>
    </row>
    <row r="103">
      <c r="A103" s="95">
        <f>IF(B103="","", "CLI-"&amp;TEXT(ROW()-5,"000"))</f>
        <v/>
      </c>
      <c r="B103" s="95" t="n"/>
      <c r="C103" s="95" t="n"/>
      <c r="D103" s="96" t="n"/>
    </row>
    <row r="104">
      <c r="A104" s="95">
        <f>IF(B104="","", "CLI-"&amp;TEXT(ROW()-5,"000"))</f>
        <v/>
      </c>
      <c r="B104" s="95" t="n"/>
      <c r="C104" s="95" t="n"/>
      <c r="D104" s="96" t="n"/>
    </row>
    <row r="105">
      <c r="A105" s="95">
        <f>IF(B105="","", "CLI-"&amp;TEXT(ROW()-5,"000"))</f>
        <v/>
      </c>
      <c r="B105" s="95" t="n"/>
      <c r="C105" s="95" t="n"/>
      <c r="D105" s="96" t="n"/>
    </row>
    <row r="106">
      <c r="A106" s="95">
        <f>IF(B106="","", "CLI-"&amp;TEXT(ROW()-5,"000"))</f>
        <v/>
      </c>
      <c r="B106" s="95" t="n"/>
      <c r="C106" s="95" t="n"/>
      <c r="D106" s="96" t="n"/>
    </row>
    <row r="107">
      <c r="A107" s="95">
        <f>IF(B107="","", "CLI-"&amp;TEXT(ROW()-5,"000"))</f>
        <v/>
      </c>
      <c r="B107" s="95" t="n"/>
      <c r="C107" s="95" t="n"/>
      <c r="D107" s="96" t="n"/>
    </row>
    <row r="108">
      <c r="A108" s="95">
        <f>IF(B108="","", "CLI-"&amp;TEXT(ROW()-5,"000"))</f>
        <v/>
      </c>
      <c r="B108" s="95" t="n"/>
      <c r="C108" s="95" t="n"/>
      <c r="D108" s="96" t="n"/>
    </row>
    <row r="109">
      <c r="A109" s="95">
        <f>IF(B109="","", "CLI-"&amp;TEXT(ROW()-5,"000"))</f>
        <v/>
      </c>
      <c r="B109" s="95" t="n"/>
      <c r="C109" s="95" t="n"/>
      <c r="D109" s="96" t="n"/>
    </row>
    <row r="110">
      <c r="A110" s="95">
        <f>IF(B110="","", "CLI-"&amp;TEXT(ROW()-5,"000"))</f>
        <v/>
      </c>
      <c r="B110" s="95" t="n"/>
      <c r="C110" s="95" t="n"/>
      <c r="D110" s="96" t="n"/>
    </row>
    <row r="111">
      <c r="A111" s="95">
        <f>IF(B111="","", "CLI-"&amp;TEXT(ROW()-5,"000"))</f>
        <v/>
      </c>
      <c r="B111" s="95" t="n"/>
      <c r="C111" s="95" t="n"/>
      <c r="D111" s="96" t="n"/>
    </row>
    <row r="112">
      <c r="A112" s="95">
        <f>IF(B112="","", "CLI-"&amp;TEXT(ROW()-5,"000"))</f>
        <v/>
      </c>
      <c r="B112" s="95" t="n"/>
      <c r="C112" s="95" t="n"/>
      <c r="D112" s="96" t="n"/>
    </row>
    <row r="113">
      <c r="A113" s="95">
        <f>IF(B113="","", "CLI-"&amp;TEXT(ROW()-5,"000"))</f>
        <v/>
      </c>
      <c r="B113" s="95" t="n"/>
      <c r="C113" s="95" t="n"/>
      <c r="D113" s="96" t="n"/>
    </row>
    <row r="114">
      <c r="A114" s="95">
        <f>IF(B114="","", "CLI-"&amp;TEXT(ROW()-5,"000"))</f>
        <v/>
      </c>
      <c r="B114" s="95" t="n"/>
      <c r="C114" s="95" t="n"/>
      <c r="D114" s="96" t="n"/>
    </row>
    <row r="115">
      <c r="A115" s="95">
        <f>IF(B115="","", "CLI-"&amp;TEXT(ROW()-5,"000"))</f>
        <v/>
      </c>
      <c r="B115" s="95" t="n"/>
      <c r="C115" s="95" t="n"/>
      <c r="D115" s="96" t="n"/>
    </row>
    <row r="116">
      <c r="A116" s="95">
        <f>IF(B116="","", "CLI-"&amp;TEXT(ROW()-5,"000"))</f>
        <v/>
      </c>
      <c r="B116" s="95" t="n"/>
      <c r="C116" s="95" t="n"/>
      <c r="D116" s="96" t="n"/>
    </row>
    <row r="117">
      <c r="A117" s="95">
        <f>IF(B117="","", "CLI-"&amp;TEXT(ROW()-5,"000"))</f>
        <v/>
      </c>
      <c r="B117" s="95" t="n"/>
      <c r="C117" s="95" t="n"/>
      <c r="D117" s="96" t="n"/>
    </row>
    <row r="118">
      <c r="A118" s="95">
        <f>IF(B118="","", "CLI-"&amp;TEXT(ROW()-5,"000"))</f>
        <v/>
      </c>
      <c r="B118" s="95" t="n"/>
      <c r="C118" s="95" t="n"/>
      <c r="D118" s="96" t="n"/>
    </row>
    <row r="119">
      <c r="A119" s="95">
        <f>IF(B119="","", "CLI-"&amp;TEXT(ROW()-5,"000"))</f>
        <v/>
      </c>
      <c r="B119" s="95" t="n"/>
      <c r="C119" s="95" t="n"/>
      <c r="D119" s="96" t="n"/>
    </row>
    <row r="120">
      <c r="A120" s="95">
        <f>IF(B120="","", "CLI-"&amp;TEXT(ROW()-5,"000"))</f>
        <v/>
      </c>
      <c r="B120" s="95" t="n"/>
      <c r="C120" s="95" t="n"/>
      <c r="D120" s="96" t="n"/>
    </row>
    <row r="121">
      <c r="A121" s="95">
        <f>IF(B121="","", "CLI-"&amp;TEXT(ROW()-5,"000"))</f>
        <v/>
      </c>
      <c r="B121" s="95" t="n"/>
      <c r="C121" s="95" t="n"/>
      <c r="D121" s="96" t="n"/>
    </row>
    <row r="122">
      <c r="A122" s="95">
        <f>IF(B122="","", "CLI-"&amp;TEXT(ROW()-5,"000"))</f>
        <v/>
      </c>
      <c r="B122" s="95" t="n"/>
      <c r="C122" s="95" t="n"/>
      <c r="D122" s="96" t="n"/>
    </row>
    <row r="123">
      <c r="A123" s="95">
        <f>IF(B123="","", "CLI-"&amp;TEXT(ROW()-5,"000"))</f>
        <v/>
      </c>
      <c r="B123" s="95" t="n"/>
      <c r="C123" s="95" t="n"/>
      <c r="D123" s="96" t="n"/>
    </row>
    <row r="124">
      <c r="A124" s="95">
        <f>IF(B124="","", "CLI-"&amp;TEXT(ROW()-5,"000"))</f>
        <v/>
      </c>
      <c r="B124" s="95" t="n"/>
      <c r="C124" s="95" t="n"/>
      <c r="D124" s="96" t="n"/>
    </row>
    <row r="125">
      <c r="A125" s="95">
        <f>IF(B125="","", "CLI-"&amp;TEXT(ROW()-5,"000"))</f>
        <v/>
      </c>
      <c r="B125" s="95" t="n"/>
      <c r="C125" s="95" t="n"/>
      <c r="D125" s="96" t="n"/>
    </row>
    <row r="126">
      <c r="A126" s="95">
        <f>IF(B126="","", "CLI-"&amp;TEXT(ROW()-5,"000"))</f>
        <v/>
      </c>
      <c r="B126" s="95" t="n"/>
      <c r="C126" s="95" t="n"/>
      <c r="D126" s="96" t="n"/>
    </row>
    <row r="127">
      <c r="A127" s="95">
        <f>IF(B127="","", "CLI-"&amp;TEXT(ROW()-5,"000"))</f>
        <v/>
      </c>
      <c r="B127" s="95" t="n"/>
      <c r="C127" s="95" t="n"/>
      <c r="D127" s="96" t="n"/>
    </row>
    <row r="128">
      <c r="A128" s="95">
        <f>IF(B128="","", "CLI-"&amp;TEXT(ROW()-5,"000"))</f>
        <v/>
      </c>
      <c r="B128" s="95" t="n"/>
      <c r="C128" s="95" t="n"/>
      <c r="D128" s="96" t="n"/>
    </row>
    <row r="129">
      <c r="A129" s="95">
        <f>IF(B129="","", "CLI-"&amp;TEXT(ROW()-5,"000"))</f>
        <v/>
      </c>
      <c r="B129" s="95" t="n"/>
      <c r="C129" s="95" t="n"/>
      <c r="D129" s="96" t="n"/>
    </row>
    <row r="130">
      <c r="A130" s="95">
        <f>IF(B130="","", "CLI-"&amp;TEXT(ROW()-5,"000"))</f>
        <v/>
      </c>
      <c r="B130" s="95" t="n"/>
      <c r="C130" s="95" t="n"/>
      <c r="D130" s="96" t="n"/>
    </row>
    <row r="131">
      <c r="A131" s="95">
        <f>IF(B131="","", "CLI-"&amp;TEXT(ROW()-5,"000"))</f>
        <v/>
      </c>
      <c r="B131" s="95" t="n"/>
      <c r="C131" s="95" t="n"/>
      <c r="D131" s="96" t="n"/>
    </row>
    <row r="132">
      <c r="A132" s="95">
        <f>IF(B132="","", "CLI-"&amp;TEXT(ROW()-5,"000"))</f>
        <v/>
      </c>
      <c r="B132" s="95" t="n"/>
      <c r="C132" s="95" t="n"/>
      <c r="D132" s="96" t="n"/>
    </row>
    <row r="133">
      <c r="A133" s="95">
        <f>IF(B133="","", "CLI-"&amp;TEXT(ROW()-5,"000"))</f>
        <v/>
      </c>
      <c r="B133" s="95" t="n"/>
      <c r="C133" s="95" t="n"/>
      <c r="D133" s="96" t="n"/>
    </row>
    <row r="134">
      <c r="A134" s="95">
        <f>IF(B134="","", "CLI-"&amp;TEXT(ROW()-5,"000"))</f>
        <v/>
      </c>
      <c r="B134" s="95" t="n"/>
      <c r="C134" s="95" t="n"/>
      <c r="D134" s="96" t="n"/>
    </row>
    <row r="135">
      <c r="A135" s="95">
        <f>IF(B135="","", "CLI-"&amp;TEXT(ROW()-5,"000"))</f>
        <v/>
      </c>
      <c r="B135" s="95" t="n"/>
      <c r="C135" s="95" t="n"/>
      <c r="D135" s="96" t="n"/>
    </row>
    <row r="136">
      <c r="A136" s="95">
        <f>IF(B136="","", "CLI-"&amp;TEXT(ROW()-5,"000"))</f>
        <v/>
      </c>
      <c r="B136" s="95" t="n"/>
      <c r="C136" s="95" t="n"/>
      <c r="D136" s="96" t="n"/>
    </row>
    <row r="137">
      <c r="A137" s="95">
        <f>IF(B137="","", "CLI-"&amp;TEXT(ROW()-5,"000"))</f>
        <v/>
      </c>
      <c r="B137" s="95" t="n"/>
      <c r="C137" s="95" t="n"/>
      <c r="D137" s="96" t="n"/>
    </row>
    <row r="138">
      <c r="A138" s="95">
        <f>IF(B138="","", "CLI-"&amp;TEXT(ROW()-5,"000"))</f>
        <v/>
      </c>
      <c r="B138" s="95" t="n"/>
      <c r="C138" s="95" t="n"/>
      <c r="D138" s="96" t="n"/>
    </row>
    <row r="139">
      <c r="A139" s="95">
        <f>IF(B139="","", "CLI-"&amp;TEXT(ROW()-5,"000"))</f>
        <v/>
      </c>
      <c r="B139" s="95" t="n"/>
      <c r="C139" s="95" t="n"/>
      <c r="D139" s="96" t="n"/>
    </row>
    <row r="140">
      <c r="A140" s="95">
        <f>IF(B140="","", "CLI-"&amp;TEXT(ROW()-5,"000"))</f>
        <v/>
      </c>
      <c r="B140" s="95" t="n"/>
      <c r="C140" s="95" t="n"/>
      <c r="D140" s="96" t="n"/>
    </row>
    <row r="141">
      <c r="A141" s="95">
        <f>IF(B141="","", "CLI-"&amp;TEXT(ROW()-5,"000"))</f>
        <v/>
      </c>
      <c r="B141" s="95" t="n"/>
      <c r="C141" s="95" t="n"/>
      <c r="D141" s="96" t="n"/>
    </row>
    <row r="142">
      <c r="A142" s="95">
        <f>IF(B142="","", "CLI-"&amp;TEXT(ROW()-5,"000"))</f>
        <v/>
      </c>
      <c r="B142" s="95" t="n"/>
      <c r="C142" s="95" t="n"/>
      <c r="D142" s="96" t="n"/>
    </row>
    <row r="143">
      <c r="A143" s="95">
        <f>IF(B143="","", "CLI-"&amp;TEXT(ROW()-5,"000"))</f>
        <v/>
      </c>
      <c r="B143" s="95" t="n"/>
      <c r="C143" s="95" t="n"/>
      <c r="D143" s="96" t="n"/>
    </row>
    <row r="144">
      <c r="A144" s="95">
        <f>IF(B144="","", "CLI-"&amp;TEXT(ROW()-5,"000"))</f>
        <v/>
      </c>
      <c r="B144" s="95" t="n"/>
      <c r="C144" s="95" t="n"/>
      <c r="D144" s="96" t="n"/>
    </row>
    <row r="145">
      <c r="A145" s="95">
        <f>IF(B145="","", "CLI-"&amp;TEXT(ROW()-5,"000"))</f>
        <v/>
      </c>
      <c r="B145" s="95" t="n"/>
      <c r="C145" s="95" t="n"/>
      <c r="D145" s="96" t="n"/>
    </row>
    <row r="146">
      <c r="A146" s="95">
        <f>IF(B146="","", "CLI-"&amp;TEXT(ROW()-5,"000"))</f>
        <v/>
      </c>
      <c r="B146" s="95" t="n"/>
      <c r="C146" s="95" t="n"/>
      <c r="D146" s="96" t="n"/>
    </row>
    <row r="147">
      <c r="A147" s="95">
        <f>IF(B147="","", "CLI-"&amp;TEXT(ROW()-5,"000"))</f>
        <v/>
      </c>
      <c r="B147" s="95" t="n"/>
      <c r="C147" s="95" t="n"/>
      <c r="D147" s="96" t="n"/>
    </row>
    <row r="148">
      <c r="A148" s="95">
        <f>IF(B148="","", "CLI-"&amp;TEXT(ROW()-5,"000"))</f>
        <v/>
      </c>
      <c r="B148" s="95" t="n"/>
      <c r="C148" s="95" t="n"/>
      <c r="D148" s="96" t="n"/>
    </row>
    <row r="149">
      <c r="A149" s="95">
        <f>IF(B149="","", "CLI-"&amp;TEXT(ROW()-5,"000"))</f>
        <v/>
      </c>
      <c r="B149" s="95" t="n"/>
      <c r="C149" s="95" t="n"/>
      <c r="D149" s="96" t="n"/>
    </row>
    <row r="150">
      <c r="A150" s="95">
        <f>IF(B150="","", "CLI-"&amp;TEXT(ROW()-5,"000"))</f>
        <v/>
      </c>
      <c r="B150" s="95" t="n"/>
      <c r="C150" s="95" t="n"/>
      <c r="D150" s="96" t="n"/>
    </row>
    <row r="151">
      <c r="A151" s="95">
        <f>IF(B151="","", "CLI-"&amp;TEXT(ROW()-5,"000"))</f>
        <v/>
      </c>
      <c r="B151" s="95" t="n"/>
      <c r="C151" s="95" t="n"/>
      <c r="D151" s="96" t="n"/>
    </row>
    <row r="152">
      <c r="A152" s="95">
        <f>IF(B152="","", "CLI-"&amp;TEXT(ROW()-5,"000"))</f>
        <v/>
      </c>
      <c r="B152" s="95" t="n"/>
      <c r="C152" s="95" t="n"/>
      <c r="D152" s="96" t="n"/>
    </row>
    <row r="153">
      <c r="A153" s="95">
        <f>IF(B153="","", "CLI-"&amp;TEXT(ROW()-5,"000"))</f>
        <v/>
      </c>
      <c r="B153" s="95" t="n"/>
      <c r="C153" s="95" t="n"/>
      <c r="D153" s="96" t="n"/>
    </row>
    <row r="154">
      <c r="A154" s="95">
        <f>IF(B154="","", "CLI-"&amp;TEXT(ROW()-5,"000"))</f>
        <v/>
      </c>
      <c r="B154" s="95" t="n"/>
      <c r="C154" s="95" t="n"/>
      <c r="D154" s="96" t="n"/>
    </row>
    <row r="155">
      <c r="A155" s="95">
        <f>IF(B155="","", "CLI-"&amp;TEXT(ROW()-5,"000"))</f>
        <v/>
      </c>
      <c r="B155" s="95" t="n"/>
      <c r="C155" s="95" t="n"/>
      <c r="D155" s="96" t="n"/>
    </row>
    <row r="156">
      <c r="A156" s="95">
        <f>IF(B156="","", "CLI-"&amp;TEXT(ROW()-5,"000"))</f>
        <v/>
      </c>
      <c r="B156" s="95" t="n"/>
      <c r="C156" s="95" t="n"/>
      <c r="D156" s="96" t="n"/>
    </row>
    <row r="157">
      <c r="A157" s="95">
        <f>IF(B157="","", "CLI-"&amp;TEXT(ROW()-5,"000"))</f>
        <v/>
      </c>
      <c r="B157" s="95" t="n"/>
      <c r="C157" s="95" t="n"/>
      <c r="D157" s="96" t="n"/>
    </row>
    <row r="158">
      <c r="A158" s="95">
        <f>IF(B158="","", "CLI-"&amp;TEXT(ROW()-5,"000"))</f>
        <v/>
      </c>
      <c r="B158" s="95" t="n"/>
      <c r="C158" s="95" t="n"/>
      <c r="D158" s="96" t="n"/>
    </row>
    <row r="159">
      <c r="A159" s="95">
        <f>IF(B159="","", "CLI-"&amp;TEXT(ROW()-5,"000"))</f>
        <v/>
      </c>
      <c r="B159" s="95" t="n"/>
      <c r="C159" s="95" t="n"/>
      <c r="D159" s="96" t="n"/>
    </row>
    <row r="160">
      <c r="A160" s="95">
        <f>IF(B160="","", "CLI-"&amp;TEXT(ROW()-5,"000"))</f>
        <v/>
      </c>
      <c r="B160" s="95" t="n"/>
      <c r="C160" s="95" t="n"/>
      <c r="D160" s="96" t="n"/>
    </row>
    <row r="161">
      <c r="A161" s="95">
        <f>IF(B161="","", "CLI-"&amp;TEXT(ROW()-5,"000"))</f>
        <v/>
      </c>
      <c r="B161" s="95" t="n"/>
      <c r="C161" s="95" t="n"/>
      <c r="D161" s="96" t="n"/>
    </row>
    <row r="162">
      <c r="A162" s="95">
        <f>IF(B162="","", "CLI-"&amp;TEXT(ROW()-5,"000"))</f>
        <v/>
      </c>
      <c r="B162" s="95" t="n"/>
      <c r="C162" s="95" t="n"/>
      <c r="D162" s="96" t="n"/>
    </row>
    <row r="163">
      <c r="A163" s="95">
        <f>IF(B163="","", "CLI-"&amp;TEXT(ROW()-5,"000"))</f>
        <v/>
      </c>
      <c r="B163" s="95" t="n"/>
      <c r="C163" s="95" t="n"/>
      <c r="D163" s="96" t="n"/>
    </row>
    <row r="164">
      <c r="A164" s="95">
        <f>IF(B164="","", "CLI-"&amp;TEXT(ROW()-5,"000"))</f>
        <v/>
      </c>
      <c r="B164" s="95" t="n"/>
      <c r="C164" s="95" t="n"/>
      <c r="D164" s="96" t="n"/>
    </row>
    <row r="165">
      <c r="A165" s="95">
        <f>IF(B165="","", "CLI-"&amp;TEXT(ROW()-5,"000"))</f>
        <v/>
      </c>
      <c r="B165" s="95" t="n"/>
      <c r="C165" s="95" t="n"/>
      <c r="D165" s="96" t="n"/>
    </row>
    <row r="166">
      <c r="A166" s="95">
        <f>IF(B166="","", "CLI-"&amp;TEXT(ROW()-5,"000"))</f>
        <v/>
      </c>
      <c r="B166" s="95" t="n"/>
      <c r="C166" s="95" t="n"/>
      <c r="D166" s="96" t="n"/>
    </row>
    <row r="167">
      <c r="A167" s="95">
        <f>IF(B167="","", "CLI-"&amp;TEXT(ROW()-5,"000"))</f>
        <v/>
      </c>
      <c r="B167" s="95" t="n"/>
      <c r="C167" s="95" t="n"/>
      <c r="D167" s="96" t="n"/>
    </row>
    <row r="168">
      <c r="A168" s="95">
        <f>IF(B168="","", "CLI-"&amp;TEXT(ROW()-5,"000"))</f>
        <v/>
      </c>
      <c r="B168" s="95" t="n"/>
      <c r="C168" s="95" t="n"/>
      <c r="D168" s="96" t="n"/>
    </row>
    <row r="169">
      <c r="A169" s="95">
        <f>IF(B169="","", "CLI-"&amp;TEXT(ROW()-5,"000"))</f>
        <v/>
      </c>
      <c r="B169" s="95" t="n"/>
      <c r="C169" s="95" t="n"/>
      <c r="D169" s="96" t="n"/>
    </row>
    <row r="170">
      <c r="A170" s="95">
        <f>IF(B170="","", "CLI-"&amp;TEXT(ROW()-5,"000"))</f>
        <v/>
      </c>
      <c r="B170" s="95" t="n"/>
      <c r="C170" s="95" t="n"/>
      <c r="D170" s="96" t="n"/>
    </row>
    <row r="171">
      <c r="A171" s="95">
        <f>IF(B171="","", "CLI-"&amp;TEXT(ROW()-5,"000"))</f>
        <v/>
      </c>
      <c r="B171" s="95" t="n"/>
      <c r="C171" s="95" t="n"/>
      <c r="D171" s="96" t="n"/>
    </row>
    <row r="172">
      <c r="A172" s="95">
        <f>IF(B172="","", "CLI-"&amp;TEXT(ROW()-5,"000"))</f>
        <v/>
      </c>
      <c r="B172" s="95" t="n"/>
      <c r="C172" s="95" t="n"/>
      <c r="D172" s="96" t="n"/>
    </row>
    <row r="173">
      <c r="A173" s="95">
        <f>IF(B173="","", "CLI-"&amp;TEXT(ROW()-5,"000"))</f>
        <v/>
      </c>
      <c r="B173" s="95" t="n"/>
      <c r="C173" s="95" t="n"/>
      <c r="D173" s="96" t="n"/>
    </row>
    <row r="174">
      <c r="A174" s="95">
        <f>IF(B174="","", "CLI-"&amp;TEXT(ROW()-5,"000"))</f>
        <v/>
      </c>
      <c r="B174" s="95" t="n"/>
      <c r="C174" s="95" t="n"/>
      <c r="D174" s="96" t="n"/>
    </row>
    <row r="175">
      <c r="A175" s="95">
        <f>IF(B175="","", "CLI-"&amp;TEXT(ROW()-5,"000"))</f>
        <v/>
      </c>
      <c r="B175" s="95" t="n"/>
      <c r="C175" s="95" t="n"/>
      <c r="D175" s="96" t="n"/>
    </row>
    <row r="176">
      <c r="A176" s="95">
        <f>IF(B176="","", "CLI-"&amp;TEXT(ROW()-5,"000"))</f>
        <v/>
      </c>
      <c r="B176" s="95" t="n"/>
      <c r="C176" s="95" t="n"/>
      <c r="D176" s="96" t="n"/>
    </row>
    <row r="177">
      <c r="A177" s="95">
        <f>IF(B177="","", "CLI-"&amp;TEXT(ROW()-5,"000"))</f>
        <v/>
      </c>
      <c r="B177" s="95" t="n"/>
      <c r="C177" s="95" t="n"/>
      <c r="D177" s="96" t="n"/>
    </row>
    <row r="178">
      <c r="A178" s="95">
        <f>IF(B178="","", "CLI-"&amp;TEXT(ROW()-5,"000"))</f>
        <v/>
      </c>
      <c r="B178" s="95" t="n"/>
      <c r="C178" s="95" t="n"/>
      <c r="D178" s="96" t="n"/>
    </row>
    <row r="179">
      <c r="A179" s="95">
        <f>IF(B179="","", "CLI-"&amp;TEXT(ROW()-5,"000"))</f>
        <v/>
      </c>
      <c r="B179" s="95" t="n"/>
      <c r="C179" s="95" t="n"/>
      <c r="D179" s="96" t="n"/>
    </row>
    <row r="180">
      <c r="A180" s="95">
        <f>IF(B180="","", "CLI-"&amp;TEXT(ROW()-5,"000"))</f>
        <v/>
      </c>
      <c r="B180" s="95" t="n"/>
      <c r="C180" s="95" t="n"/>
      <c r="D180" s="96" t="n"/>
    </row>
    <row r="181">
      <c r="A181" s="95">
        <f>IF(B181="","", "CLI-"&amp;TEXT(ROW()-5,"000"))</f>
        <v/>
      </c>
      <c r="B181" s="95" t="n"/>
      <c r="C181" s="95" t="n"/>
      <c r="D181" s="96" t="n"/>
    </row>
    <row r="182">
      <c r="A182" s="95">
        <f>IF(B182="","", "CLI-"&amp;TEXT(ROW()-5,"000"))</f>
        <v/>
      </c>
      <c r="B182" s="95" t="n"/>
      <c r="C182" s="95" t="n"/>
      <c r="D182" s="96" t="n"/>
    </row>
    <row r="183">
      <c r="A183" s="95">
        <f>IF(B183="","", "CLI-"&amp;TEXT(ROW()-5,"000"))</f>
        <v/>
      </c>
      <c r="B183" s="95" t="n"/>
      <c r="C183" s="95" t="n"/>
      <c r="D183" s="96" t="n"/>
    </row>
    <row r="184">
      <c r="A184" s="95">
        <f>IF(B184="","", "CLI-"&amp;TEXT(ROW()-5,"000"))</f>
        <v/>
      </c>
      <c r="B184" s="95" t="n"/>
      <c r="C184" s="95" t="n"/>
      <c r="D184" s="96" t="n"/>
    </row>
    <row r="185">
      <c r="A185" s="95">
        <f>IF(B185="","", "CLI-"&amp;TEXT(ROW()-5,"000"))</f>
        <v/>
      </c>
      <c r="B185" s="95" t="n"/>
      <c r="C185" s="95" t="n"/>
      <c r="D185" s="96" t="n"/>
    </row>
    <row r="186">
      <c r="A186" s="95">
        <f>IF(B186="","", "CLI-"&amp;TEXT(ROW()-5,"000"))</f>
        <v/>
      </c>
      <c r="B186" s="95" t="n"/>
      <c r="C186" s="95" t="n"/>
      <c r="D186" s="96" t="n"/>
    </row>
    <row r="187">
      <c r="A187" s="95">
        <f>IF(B187="","", "CLI-"&amp;TEXT(ROW()-5,"000"))</f>
        <v/>
      </c>
      <c r="B187" s="95" t="n"/>
      <c r="C187" s="95" t="n"/>
      <c r="D187" s="96" t="n"/>
    </row>
    <row r="188">
      <c r="A188" s="95">
        <f>IF(B188="","", "CLI-"&amp;TEXT(ROW()-5,"000"))</f>
        <v/>
      </c>
      <c r="B188" s="95" t="n"/>
      <c r="C188" s="95" t="n"/>
      <c r="D188" s="96" t="n"/>
    </row>
    <row r="189">
      <c r="A189" s="95">
        <f>IF(B189="","", "CLI-"&amp;TEXT(ROW()-5,"000"))</f>
        <v/>
      </c>
      <c r="B189" s="95" t="n"/>
      <c r="C189" s="95" t="n"/>
      <c r="D189" s="96" t="n"/>
    </row>
    <row r="190">
      <c r="A190" s="95">
        <f>IF(B190="","", "CLI-"&amp;TEXT(ROW()-5,"000"))</f>
        <v/>
      </c>
      <c r="B190" s="95" t="n"/>
      <c r="C190" s="95" t="n"/>
      <c r="D190" s="96" t="n"/>
    </row>
    <row r="191">
      <c r="A191" s="95">
        <f>IF(B191="","", "CLI-"&amp;TEXT(ROW()-5,"000"))</f>
        <v/>
      </c>
      <c r="B191" s="95" t="n"/>
      <c r="C191" s="95" t="n"/>
      <c r="D191" s="96" t="n"/>
    </row>
    <row r="192">
      <c r="A192" s="95">
        <f>IF(B192="","", "CLI-"&amp;TEXT(ROW()-5,"000"))</f>
        <v/>
      </c>
      <c r="B192" s="95" t="n"/>
      <c r="C192" s="95" t="n"/>
      <c r="D192" s="96" t="n"/>
    </row>
    <row r="193">
      <c r="A193" s="95">
        <f>IF(B193="","", "CLI-"&amp;TEXT(ROW()-5,"000"))</f>
        <v/>
      </c>
      <c r="B193" s="95" t="n"/>
      <c r="C193" s="95" t="n"/>
      <c r="D193" s="96" t="n"/>
    </row>
    <row r="194">
      <c r="A194" s="95">
        <f>IF(B194="","", "CLI-"&amp;TEXT(ROW()-5,"000"))</f>
        <v/>
      </c>
      <c r="B194" s="95" t="n"/>
      <c r="C194" s="95" t="n"/>
      <c r="D194" s="96" t="n"/>
    </row>
    <row r="195">
      <c r="A195" s="95">
        <f>IF(B195="","", "CLI-"&amp;TEXT(ROW()-5,"000"))</f>
        <v/>
      </c>
      <c r="B195" s="95" t="n"/>
      <c r="C195" s="95" t="n"/>
      <c r="D195" s="96" t="n"/>
    </row>
    <row r="196">
      <c r="A196" s="95">
        <f>IF(B196="","", "CLI-"&amp;TEXT(ROW()-5,"000"))</f>
        <v/>
      </c>
      <c r="B196" s="95" t="n"/>
      <c r="C196" s="95" t="n"/>
      <c r="D196" s="96" t="n"/>
    </row>
    <row r="197">
      <c r="A197" s="95">
        <f>IF(B197="","", "CLI-"&amp;TEXT(ROW()-5,"000"))</f>
        <v/>
      </c>
      <c r="B197" s="95" t="n"/>
      <c r="C197" s="95" t="n"/>
      <c r="D197" s="96" t="n"/>
    </row>
    <row r="198">
      <c r="A198" s="95">
        <f>IF(B198="","", "CLI-"&amp;TEXT(ROW()-5,"000"))</f>
        <v/>
      </c>
      <c r="B198" s="95" t="n"/>
      <c r="C198" s="95" t="n"/>
      <c r="D198" s="96" t="n"/>
    </row>
    <row r="199">
      <c r="A199" s="95">
        <f>IF(B199="","", "CLI-"&amp;TEXT(ROW()-5,"000"))</f>
        <v/>
      </c>
      <c r="B199" s="95" t="n"/>
      <c r="C199" s="95" t="n"/>
      <c r="D199" s="96" t="n"/>
    </row>
    <row r="200">
      <c r="A200" s="95">
        <f>IF(B200="","", "CLI-"&amp;TEXT(ROW()-5,"000"))</f>
        <v/>
      </c>
      <c r="B200" s="95" t="n"/>
      <c r="C200" s="95" t="n"/>
      <c r="D200" s="96" t="n"/>
    </row>
    <row r="201">
      <c r="A201" s="95">
        <f>IF(B201="","", "CLI-"&amp;TEXT(ROW()-5,"000"))</f>
        <v/>
      </c>
      <c r="B201" s="95" t="n"/>
      <c r="C201" s="95" t="n"/>
      <c r="D201" s="96" t="n"/>
    </row>
    <row r="202">
      <c r="A202" s="95">
        <f>IF(B202="","", "CLI-"&amp;TEXT(ROW()-5,"000"))</f>
        <v/>
      </c>
      <c r="B202" s="95" t="n"/>
      <c r="C202" s="95" t="n"/>
      <c r="D202" s="96" t="n"/>
    </row>
    <row r="203">
      <c r="A203" s="95">
        <f>IF(B203="","", "CLI-"&amp;TEXT(ROW()-5,"000"))</f>
        <v/>
      </c>
      <c r="B203" s="95" t="n"/>
      <c r="C203" s="95" t="n"/>
      <c r="D203" s="96" t="n"/>
    </row>
    <row r="204">
      <c r="A204" s="95">
        <f>IF(B204="","", "CLI-"&amp;TEXT(ROW()-5,"000"))</f>
        <v/>
      </c>
      <c r="B204" s="95" t="n"/>
      <c r="C204" s="95" t="n"/>
      <c r="D204" s="96" t="n"/>
    </row>
    <row r="205">
      <c r="A205" s="95">
        <f>IF(B205="","", "CLI-"&amp;TEXT(ROW()-5,"000"))</f>
        <v/>
      </c>
      <c r="B205" s="95" t="n"/>
      <c r="C205" s="95" t="n"/>
      <c r="D205" s="96" t="n"/>
    </row>
    <row r="206">
      <c r="A206" s="95">
        <f>IF(B206="","", "CLI-"&amp;TEXT(ROW()-5,"000"))</f>
        <v/>
      </c>
      <c r="B206" s="95" t="n"/>
      <c r="C206" s="95" t="n"/>
      <c r="D206" s="96" t="n"/>
    </row>
    <row r="207">
      <c r="A207" s="95">
        <f>IF(B207="","", "CLI-"&amp;TEXT(ROW()-5,"000"))</f>
        <v/>
      </c>
      <c r="B207" s="95" t="n"/>
      <c r="C207" s="95" t="n"/>
      <c r="D207" s="96" t="n"/>
    </row>
    <row r="208">
      <c r="A208" s="95">
        <f>IF(B208="","", "CLI-"&amp;TEXT(ROW()-5,"000"))</f>
        <v/>
      </c>
      <c r="B208" s="95" t="n"/>
      <c r="C208" s="95" t="n"/>
      <c r="D208" s="96" t="n"/>
    </row>
    <row r="209">
      <c r="A209" s="95">
        <f>IF(B209="","", "CLI-"&amp;TEXT(ROW()-5,"000"))</f>
        <v/>
      </c>
      <c r="B209" s="95" t="n"/>
      <c r="C209" s="95" t="n"/>
      <c r="D209" s="96" t="n"/>
    </row>
    <row r="210">
      <c r="A210" s="95">
        <f>IF(B210="","", "CLI-"&amp;TEXT(ROW()-5,"000"))</f>
        <v/>
      </c>
      <c r="B210" s="95" t="n"/>
      <c r="C210" s="95" t="n"/>
      <c r="D210" s="96" t="n"/>
    </row>
    <row r="211">
      <c r="A211" s="95">
        <f>IF(B211="","", "CLI-"&amp;TEXT(ROW()-5,"000"))</f>
        <v/>
      </c>
      <c r="B211" s="95" t="n"/>
      <c r="C211" s="95" t="n"/>
      <c r="D211" s="96" t="n"/>
    </row>
    <row r="212">
      <c r="A212" s="95">
        <f>IF(B212="","", "CLI-"&amp;TEXT(ROW()-5,"000"))</f>
        <v/>
      </c>
      <c r="B212" s="95" t="n"/>
      <c r="C212" s="95" t="n"/>
      <c r="D212" s="96" t="n"/>
    </row>
    <row r="213">
      <c r="A213" s="95">
        <f>IF(B213="","", "CLI-"&amp;TEXT(ROW()-5,"000"))</f>
        <v/>
      </c>
      <c r="B213" s="95" t="n"/>
      <c r="C213" s="95" t="n"/>
      <c r="D213" s="96" t="n"/>
    </row>
    <row r="214">
      <c r="A214" s="95">
        <f>IF(B214="","", "CLI-"&amp;TEXT(ROW()-5,"000"))</f>
        <v/>
      </c>
      <c r="B214" s="95" t="n"/>
      <c r="C214" s="95" t="n"/>
      <c r="D214" s="96" t="n"/>
    </row>
    <row r="215">
      <c r="A215" s="95">
        <f>IF(B215="","", "CLI-"&amp;TEXT(ROW()-5,"000"))</f>
        <v/>
      </c>
      <c r="B215" s="95" t="n"/>
      <c r="C215" s="95" t="n"/>
      <c r="D215" s="96" t="n"/>
    </row>
    <row r="216">
      <c r="A216" s="95">
        <f>IF(B216="","", "CLI-"&amp;TEXT(ROW()-5,"000"))</f>
        <v/>
      </c>
      <c r="B216" s="95" t="n"/>
      <c r="C216" s="95" t="n"/>
      <c r="D216" s="96" t="n"/>
    </row>
    <row r="217">
      <c r="A217" s="95">
        <f>IF(B217="","", "CLI-"&amp;TEXT(ROW()-5,"000"))</f>
        <v/>
      </c>
      <c r="B217" s="95" t="n"/>
      <c r="C217" s="95" t="n"/>
      <c r="D217" s="96" t="n"/>
    </row>
    <row r="218">
      <c r="A218" s="95">
        <f>IF(B218="","", "CLI-"&amp;TEXT(ROW()-5,"000"))</f>
        <v/>
      </c>
      <c r="B218" s="95" t="n"/>
      <c r="C218" s="95" t="n"/>
      <c r="D218" s="96" t="n"/>
    </row>
    <row r="219">
      <c r="A219" s="95">
        <f>IF(B219="","", "CLI-"&amp;TEXT(ROW()-5,"000"))</f>
        <v/>
      </c>
      <c r="B219" s="95" t="n"/>
      <c r="C219" s="95" t="n"/>
      <c r="D219" s="96" t="n"/>
    </row>
    <row r="220">
      <c r="A220" s="95">
        <f>IF(B220="","", "CLI-"&amp;TEXT(ROW()-5,"000"))</f>
        <v/>
      </c>
      <c r="B220" s="95" t="n"/>
      <c r="C220" s="95" t="n"/>
      <c r="D220" s="96" t="n"/>
    </row>
    <row r="221">
      <c r="A221" s="95">
        <f>IF(B221="","", "CLI-"&amp;TEXT(ROW()-5,"000"))</f>
        <v/>
      </c>
      <c r="B221" s="95" t="n"/>
      <c r="C221" s="95" t="n"/>
      <c r="D221" s="96" t="n"/>
    </row>
    <row r="222">
      <c r="A222" s="95">
        <f>IF(B222="","", "CLI-"&amp;TEXT(ROW()-5,"000"))</f>
        <v/>
      </c>
      <c r="B222" s="95" t="n"/>
      <c r="C222" s="95" t="n"/>
      <c r="D222" s="96" t="n"/>
    </row>
    <row r="223">
      <c r="A223" s="95">
        <f>IF(B223="","", "CLI-"&amp;TEXT(ROW()-5,"000"))</f>
        <v/>
      </c>
      <c r="B223" s="95" t="n"/>
      <c r="C223" s="95" t="n"/>
      <c r="D223" s="96" t="n"/>
    </row>
    <row r="224">
      <c r="A224" s="95">
        <f>IF(B224="","", "CLI-"&amp;TEXT(ROW()-5,"000"))</f>
        <v/>
      </c>
      <c r="B224" s="95" t="n"/>
      <c r="C224" s="95" t="n"/>
      <c r="D224" s="96" t="n"/>
    </row>
    <row r="225">
      <c r="A225" s="95">
        <f>IF(B225="","", "CLI-"&amp;TEXT(ROW()-5,"000"))</f>
        <v/>
      </c>
      <c r="B225" s="95" t="n"/>
      <c r="C225" s="95" t="n"/>
      <c r="D225" s="96" t="n"/>
    </row>
    <row r="226">
      <c r="A226" s="95">
        <f>IF(B226="","", "CLI-"&amp;TEXT(ROW()-5,"000"))</f>
        <v/>
      </c>
      <c r="B226" s="95" t="n"/>
      <c r="C226" s="95" t="n"/>
      <c r="D226" s="96" t="n"/>
    </row>
    <row r="227">
      <c r="A227" s="95">
        <f>IF(B227="","", "CLI-"&amp;TEXT(ROW()-5,"000"))</f>
        <v/>
      </c>
      <c r="B227" s="95" t="n"/>
      <c r="C227" s="95" t="n"/>
      <c r="D227" s="96" t="n"/>
    </row>
    <row r="228">
      <c r="A228" s="95">
        <f>IF(B228="","", "CLI-"&amp;TEXT(ROW()-5,"000"))</f>
        <v/>
      </c>
      <c r="B228" s="95" t="n"/>
      <c r="C228" s="95" t="n"/>
      <c r="D228" s="96" t="n"/>
    </row>
    <row r="229">
      <c r="A229" s="95">
        <f>IF(B229="","", "CLI-"&amp;TEXT(ROW()-5,"000"))</f>
        <v/>
      </c>
      <c r="B229" s="95" t="n"/>
      <c r="C229" s="95" t="n"/>
      <c r="D229" s="96" t="n"/>
    </row>
    <row r="230">
      <c r="A230" s="95">
        <f>IF(B230="","", "CLI-"&amp;TEXT(ROW()-5,"000"))</f>
        <v/>
      </c>
      <c r="B230" s="95" t="n"/>
      <c r="C230" s="95" t="n"/>
      <c r="D230" s="96" t="n"/>
    </row>
    <row r="231">
      <c r="A231" s="95">
        <f>IF(B231="","", "CLI-"&amp;TEXT(ROW()-5,"000"))</f>
        <v/>
      </c>
      <c r="B231" s="95" t="n"/>
      <c r="C231" s="95" t="n"/>
      <c r="D231" s="96" t="n"/>
    </row>
    <row r="232">
      <c r="A232" s="95">
        <f>IF(B232="","", "CLI-"&amp;TEXT(ROW()-5,"000"))</f>
        <v/>
      </c>
      <c r="B232" s="95" t="n"/>
      <c r="C232" s="95" t="n"/>
      <c r="D232" s="96" t="n"/>
    </row>
    <row r="233">
      <c r="A233" s="95">
        <f>IF(B233="","", "CLI-"&amp;TEXT(ROW()-5,"000"))</f>
        <v/>
      </c>
      <c r="B233" s="95" t="n"/>
      <c r="C233" s="95" t="n"/>
      <c r="D233" s="96" t="n"/>
    </row>
    <row r="234">
      <c r="A234" s="95">
        <f>IF(B234="","", "CLI-"&amp;TEXT(ROW()-5,"000"))</f>
        <v/>
      </c>
      <c r="B234" s="95" t="n"/>
      <c r="C234" s="95" t="n"/>
      <c r="D234" s="96" t="n"/>
    </row>
    <row r="235">
      <c r="A235" s="95">
        <f>IF(B235="","", "CLI-"&amp;TEXT(ROW()-5,"000"))</f>
        <v/>
      </c>
      <c r="B235" s="95" t="n"/>
      <c r="C235" s="95" t="n"/>
      <c r="D235" s="96" t="n"/>
    </row>
    <row r="236">
      <c r="A236" s="95">
        <f>IF(B236="","", "CLI-"&amp;TEXT(ROW()-5,"000"))</f>
        <v/>
      </c>
      <c r="B236" s="95" t="n"/>
      <c r="C236" s="95" t="n"/>
      <c r="D236" s="96" t="n"/>
    </row>
    <row r="237">
      <c r="A237" s="95">
        <f>IF(B237="","", "CLI-"&amp;TEXT(ROW()-5,"000"))</f>
        <v/>
      </c>
      <c r="B237" s="95" t="n"/>
      <c r="C237" s="95" t="n"/>
      <c r="D237" s="96" t="n"/>
    </row>
    <row r="238">
      <c r="A238" s="95">
        <f>IF(B238="","", "CLI-"&amp;TEXT(ROW()-5,"000"))</f>
        <v/>
      </c>
      <c r="B238" s="95" t="n"/>
      <c r="C238" s="95" t="n"/>
      <c r="D238" s="96" t="n"/>
    </row>
    <row r="239">
      <c r="A239" s="95">
        <f>IF(B239="","", "CLI-"&amp;TEXT(ROW()-5,"000"))</f>
        <v/>
      </c>
      <c r="B239" s="95" t="n"/>
      <c r="C239" s="95" t="n"/>
      <c r="D239" s="96" t="n"/>
    </row>
    <row r="240">
      <c r="A240" s="95">
        <f>IF(B240="","", "CLI-"&amp;TEXT(ROW()-5,"000"))</f>
        <v/>
      </c>
      <c r="B240" s="95" t="n"/>
      <c r="C240" s="95" t="n"/>
      <c r="D240" s="96" t="n"/>
    </row>
    <row r="241">
      <c r="A241" s="95">
        <f>IF(B241="","", "CLI-"&amp;TEXT(ROW()-5,"000"))</f>
        <v/>
      </c>
      <c r="B241" s="95" t="n"/>
      <c r="C241" s="95" t="n"/>
      <c r="D241" s="96" t="n"/>
    </row>
    <row r="242">
      <c r="A242" s="95">
        <f>IF(B242="","", "CLI-"&amp;TEXT(ROW()-5,"000"))</f>
        <v/>
      </c>
      <c r="B242" s="95" t="n"/>
      <c r="C242" s="95" t="n"/>
      <c r="D242" s="96" t="n"/>
    </row>
    <row r="243">
      <c r="A243" s="95">
        <f>IF(B243="","", "CLI-"&amp;TEXT(ROW()-5,"000"))</f>
        <v/>
      </c>
      <c r="B243" s="95" t="n"/>
      <c r="C243" s="95" t="n"/>
      <c r="D243" s="96" t="n"/>
    </row>
    <row r="244">
      <c r="A244" s="95">
        <f>IF(B244="","", "CLI-"&amp;TEXT(ROW()-5,"000"))</f>
        <v/>
      </c>
      <c r="B244" s="95" t="n"/>
      <c r="C244" s="95" t="n"/>
      <c r="D244" s="96" t="n"/>
    </row>
    <row r="245">
      <c r="A245" s="95">
        <f>IF(B245="","", "CLI-"&amp;TEXT(ROW()-5,"000"))</f>
        <v/>
      </c>
      <c r="B245" s="95" t="n"/>
      <c r="C245" s="95" t="n"/>
      <c r="D245" s="96" t="n"/>
    </row>
    <row r="246">
      <c r="A246" s="95">
        <f>IF(B246="","", "CLI-"&amp;TEXT(ROW()-5,"000"))</f>
        <v/>
      </c>
      <c r="B246" s="95" t="n"/>
      <c r="C246" s="95" t="n"/>
      <c r="D246" s="96" t="n"/>
    </row>
    <row r="247">
      <c r="A247" s="95">
        <f>IF(B247="","", "CLI-"&amp;TEXT(ROW()-5,"000"))</f>
        <v/>
      </c>
      <c r="B247" s="95" t="n"/>
      <c r="C247" s="95" t="n"/>
      <c r="D247" s="96" t="n"/>
    </row>
    <row r="248">
      <c r="A248" s="95">
        <f>IF(B248="","", "CLI-"&amp;TEXT(ROW()-5,"000"))</f>
        <v/>
      </c>
      <c r="B248" s="95" t="n"/>
      <c r="C248" s="95" t="n"/>
      <c r="D248" s="96" t="n"/>
    </row>
    <row r="249">
      <c r="A249" s="95">
        <f>IF(B249="","", "CLI-"&amp;TEXT(ROW()-5,"000"))</f>
        <v/>
      </c>
      <c r="B249" s="95" t="n"/>
      <c r="C249" s="95" t="n"/>
      <c r="D249" s="96" t="n"/>
    </row>
    <row r="250">
      <c r="A250" s="95">
        <f>IF(B250="","", "CLI-"&amp;TEXT(ROW()-5,"000"))</f>
        <v/>
      </c>
      <c r="B250" s="95" t="n"/>
      <c r="C250" s="95" t="n"/>
      <c r="D250" s="96" t="n"/>
    </row>
    <row r="251">
      <c r="A251" s="95">
        <f>IF(B251="","", "CLI-"&amp;TEXT(ROW()-5,"000"))</f>
        <v/>
      </c>
      <c r="B251" s="95" t="n"/>
      <c r="C251" s="95" t="n"/>
      <c r="D251" s="96" t="n"/>
    </row>
    <row r="252">
      <c r="A252" s="95">
        <f>IF(B252="","", "CLI-"&amp;TEXT(ROW()-5,"000"))</f>
        <v/>
      </c>
      <c r="B252" s="95" t="n"/>
      <c r="C252" s="95" t="n"/>
      <c r="D252" s="96" t="n"/>
    </row>
    <row r="253">
      <c r="A253" s="95">
        <f>IF(B253="","", "CLI-"&amp;TEXT(ROW()-5,"000"))</f>
        <v/>
      </c>
      <c r="B253" s="95" t="n"/>
      <c r="C253" s="95" t="n"/>
      <c r="D253" s="96" t="n"/>
    </row>
    <row r="254">
      <c r="A254" s="95">
        <f>IF(B254="","", "CLI-"&amp;TEXT(ROW()-5,"000"))</f>
        <v/>
      </c>
      <c r="B254" s="95" t="n"/>
      <c r="C254" s="95" t="n"/>
      <c r="D254" s="96" t="n"/>
    </row>
    <row r="255">
      <c r="A255" s="95">
        <f>IF(B255="","", "CLI-"&amp;TEXT(ROW()-5,"000"))</f>
        <v/>
      </c>
      <c r="B255" s="95" t="n"/>
      <c r="C255" s="95" t="n"/>
      <c r="D255" s="96" t="n"/>
    </row>
    <row r="256">
      <c r="A256" s="95">
        <f>IF(B256="","", "CLI-"&amp;TEXT(ROW()-5,"000"))</f>
        <v/>
      </c>
      <c r="B256" s="95" t="n"/>
      <c r="C256" s="95" t="n"/>
      <c r="D256" s="96" t="n"/>
    </row>
    <row r="257">
      <c r="A257" s="95">
        <f>IF(B257="","", "CLI-"&amp;TEXT(ROW()-5,"000"))</f>
        <v/>
      </c>
      <c r="B257" s="95" t="n"/>
      <c r="C257" s="95" t="n"/>
      <c r="D257" s="96" t="n"/>
    </row>
    <row r="258">
      <c r="A258" s="95">
        <f>IF(B258="","", "CLI-"&amp;TEXT(ROW()-5,"000"))</f>
        <v/>
      </c>
      <c r="B258" s="95" t="n"/>
      <c r="C258" s="95" t="n"/>
      <c r="D258" s="96" t="n"/>
    </row>
    <row r="259">
      <c r="A259" s="95">
        <f>IF(B259="","", "CLI-"&amp;TEXT(ROW()-5,"000"))</f>
        <v/>
      </c>
      <c r="B259" s="95" t="n"/>
      <c r="C259" s="95" t="n"/>
      <c r="D259" s="96" t="n"/>
    </row>
    <row r="260">
      <c r="A260" s="95">
        <f>IF(B260="","", "CLI-"&amp;TEXT(ROW()-5,"000"))</f>
        <v/>
      </c>
      <c r="B260" s="95" t="n"/>
      <c r="C260" s="95" t="n"/>
      <c r="D260" s="96" t="n"/>
    </row>
    <row r="261">
      <c r="A261" s="95">
        <f>IF(B261="","", "CLI-"&amp;TEXT(ROW()-5,"000"))</f>
        <v/>
      </c>
      <c r="B261" s="95" t="n"/>
      <c r="C261" s="95" t="n"/>
      <c r="D261" s="96" t="n"/>
    </row>
    <row r="262">
      <c r="A262" s="95">
        <f>IF(B262="","", "CLI-"&amp;TEXT(ROW()-5,"000"))</f>
        <v/>
      </c>
      <c r="B262" s="95" t="n"/>
      <c r="C262" s="95" t="n"/>
      <c r="D262" s="96" t="n"/>
    </row>
    <row r="263">
      <c r="A263" s="95">
        <f>IF(B263="","", "CLI-"&amp;TEXT(ROW()-5,"000"))</f>
        <v/>
      </c>
      <c r="B263" s="95" t="n"/>
      <c r="C263" s="95" t="n"/>
      <c r="D263" s="96" t="n"/>
    </row>
    <row r="264">
      <c r="A264" s="95">
        <f>IF(B264="","", "CLI-"&amp;TEXT(ROW()-5,"000"))</f>
        <v/>
      </c>
      <c r="B264" s="95" t="n"/>
      <c r="C264" s="95" t="n"/>
      <c r="D264" s="96" t="n"/>
    </row>
    <row r="265">
      <c r="A265" s="95">
        <f>IF(B265="","", "CLI-"&amp;TEXT(ROW()-5,"000"))</f>
        <v/>
      </c>
      <c r="B265" s="95" t="n"/>
      <c r="C265" s="95" t="n"/>
      <c r="D265" s="96" t="n"/>
    </row>
    <row r="266">
      <c r="A266" s="95">
        <f>IF(B266="","", "CLI-"&amp;TEXT(ROW()-5,"000"))</f>
        <v/>
      </c>
      <c r="B266" s="95" t="n"/>
      <c r="C266" s="95" t="n"/>
      <c r="D266" s="96" t="n"/>
    </row>
    <row r="267">
      <c r="A267" s="95">
        <f>IF(B267="","", "CLI-"&amp;TEXT(ROW()-5,"000"))</f>
        <v/>
      </c>
      <c r="B267" s="95" t="n"/>
      <c r="C267" s="95" t="n"/>
      <c r="D267" s="96" t="n"/>
    </row>
    <row r="268">
      <c r="A268" s="95">
        <f>IF(B268="","", "CLI-"&amp;TEXT(ROW()-5,"000"))</f>
        <v/>
      </c>
      <c r="B268" s="95" t="n"/>
      <c r="C268" s="95" t="n"/>
      <c r="D268" s="96" t="n"/>
    </row>
    <row r="269">
      <c r="A269" s="95">
        <f>IF(B269="","", "CLI-"&amp;TEXT(ROW()-5,"000"))</f>
        <v/>
      </c>
      <c r="B269" s="95" t="n"/>
      <c r="C269" s="95" t="n"/>
      <c r="D269" s="96" t="n"/>
    </row>
    <row r="270">
      <c r="A270" s="95">
        <f>IF(B270="","", "CLI-"&amp;TEXT(ROW()-5,"000"))</f>
        <v/>
      </c>
      <c r="B270" s="95" t="n"/>
      <c r="C270" s="95" t="n"/>
      <c r="D270" s="96" t="n"/>
    </row>
    <row r="271">
      <c r="A271" s="95">
        <f>IF(B271="","", "CLI-"&amp;TEXT(ROW()-5,"000"))</f>
        <v/>
      </c>
      <c r="B271" s="95" t="n"/>
      <c r="C271" s="95" t="n"/>
      <c r="D271" s="96" t="n"/>
    </row>
    <row r="272">
      <c r="A272" s="95">
        <f>IF(B272="","", "CLI-"&amp;TEXT(ROW()-5,"000"))</f>
        <v/>
      </c>
      <c r="B272" s="95" t="n"/>
      <c r="C272" s="95" t="n"/>
      <c r="D272" s="96" t="n"/>
    </row>
    <row r="273">
      <c r="A273" s="95">
        <f>IF(B273="","", "CLI-"&amp;TEXT(ROW()-5,"000"))</f>
        <v/>
      </c>
      <c r="B273" s="95" t="n"/>
      <c r="C273" s="95" t="n"/>
      <c r="D273" s="96" t="n"/>
    </row>
    <row r="274">
      <c r="A274" s="95">
        <f>IF(B274="","", "CLI-"&amp;TEXT(ROW()-5,"000"))</f>
        <v/>
      </c>
      <c r="B274" s="95" t="n"/>
      <c r="C274" s="95" t="n"/>
      <c r="D274" s="96" t="n"/>
    </row>
    <row r="275">
      <c r="A275" s="95">
        <f>IF(B275="","", "CLI-"&amp;TEXT(ROW()-5,"000"))</f>
        <v/>
      </c>
      <c r="B275" s="95" t="n"/>
      <c r="C275" s="95" t="n"/>
      <c r="D275" s="96" t="n"/>
    </row>
    <row r="276">
      <c r="A276" s="95">
        <f>IF(B276="","", "CLI-"&amp;TEXT(ROW()-5,"000"))</f>
        <v/>
      </c>
      <c r="B276" s="95" t="n"/>
      <c r="C276" s="95" t="n"/>
      <c r="D276" s="96" t="n"/>
    </row>
    <row r="277">
      <c r="A277" s="95">
        <f>IF(B277="","", "CLI-"&amp;TEXT(ROW()-5,"000"))</f>
        <v/>
      </c>
      <c r="B277" s="95" t="n"/>
      <c r="C277" s="95" t="n"/>
      <c r="D277" s="96" t="n"/>
    </row>
    <row r="278">
      <c r="A278" s="95">
        <f>IF(B278="","", "CLI-"&amp;TEXT(ROW()-5,"000"))</f>
        <v/>
      </c>
      <c r="B278" s="95" t="n"/>
      <c r="C278" s="95" t="n"/>
      <c r="D278" s="96" t="n"/>
    </row>
    <row r="279">
      <c r="A279" s="95">
        <f>IF(B279="","", "CLI-"&amp;TEXT(ROW()-5,"000"))</f>
        <v/>
      </c>
      <c r="B279" s="95" t="n"/>
      <c r="C279" s="95" t="n"/>
      <c r="D279" s="96" t="n"/>
    </row>
    <row r="280">
      <c r="A280" s="95">
        <f>IF(B280="","", "CLI-"&amp;TEXT(ROW()-5,"000"))</f>
        <v/>
      </c>
      <c r="B280" s="95" t="n"/>
      <c r="C280" s="95" t="n"/>
      <c r="D280" s="96" t="n"/>
    </row>
    <row r="281">
      <c r="A281" s="95">
        <f>IF(B281="","", "CLI-"&amp;TEXT(ROW()-5,"000"))</f>
        <v/>
      </c>
      <c r="B281" s="95" t="n"/>
      <c r="C281" s="95" t="n"/>
      <c r="D281" s="96" t="n"/>
    </row>
    <row r="282">
      <c r="A282" s="95">
        <f>IF(B282="","", "CLI-"&amp;TEXT(ROW()-5,"000"))</f>
        <v/>
      </c>
      <c r="B282" s="95" t="n"/>
      <c r="C282" s="95" t="n"/>
      <c r="D282" s="96" t="n"/>
    </row>
    <row r="283">
      <c r="A283" s="95">
        <f>IF(B283="","", "CLI-"&amp;TEXT(ROW()-5,"000"))</f>
        <v/>
      </c>
      <c r="B283" s="95" t="n"/>
      <c r="C283" s="95" t="n"/>
      <c r="D283" s="96" t="n"/>
    </row>
    <row r="284">
      <c r="A284" s="95">
        <f>IF(B284="","", "CLI-"&amp;TEXT(ROW()-5,"000"))</f>
        <v/>
      </c>
      <c r="B284" s="95" t="n"/>
      <c r="C284" s="95" t="n"/>
      <c r="D284" s="96" t="n"/>
    </row>
    <row r="285">
      <c r="A285" s="95">
        <f>IF(B285="","", "CLI-"&amp;TEXT(ROW()-5,"000"))</f>
        <v/>
      </c>
      <c r="B285" s="95" t="n"/>
      <c r="C285" s="95" t="n"/>
      <c r="D285" s="96" t="n"/>
    </row>
    <row r="286">
      <c r="A286" s="95">
        <f>IF(B286="","", "CLI-"&amp;TEXT(ROW()-5,"000"))</f>
        <v/>
      </c>
      <c r="B286" s="95" t="n"/>
      <c r="C286" s="95" t="n"/>
      <c r="D286" s="96" t="n"/>
    </row>
    <row r="287">
      <c r="A287" s="95">
        <f>IF(B287="","", "CLI-"&amp;TEXT(ROW()-5,"000"))</f>
        <v/>
      </c>
      <c r="B287" s="95" t="n"/>
      <c r="C287" s="95" t="n"/>
      <c r="D287" s="96" t="n"/>
    </row>
    <row r="288">
      <c r="A288" s="95">
        <f>IF(B288="","", "CLI-"&amp;TEXT(ROW()-5,"000"))</f>
        <v/>
      </c>
      <c r="B288" s="95" t="n"/>
      <c r="C288" s="95" t="n"/>
      <c r="D288" s="96" t="n"/>
    </row>
    <row r="289">
      <c r="A289" s="95">
        <f>IF(B289="","", "CLI-"&amp;TEXT(ROW()-5,"000"))</f>
        <v/>
      </c>
      <c r="B289" s="95" t="n"/>
      <c r="C289" s="95" t="n"/>
      <c r="D289" s="96" t="n"/>
    </row>
    <row r="290">
      <c r="A290" s="95">
        <f>IF(B290="","", "CLI-"&amp;TEXT(ROW()-5,"000"))</f>
        <v/>
      </c>
      <c r="B290" s="95" t="n"/>
      <c r="C290" s="95" t="n"/>
      <c r="D290" s="96" t="n"/>
    </row>
    <row r="291">
      <c r="A291" s="95">
        <f>IF(B291="","", "CLI-"&amp;TEXT(ROW()-5,"000"))</f>
        <v/>
      </c>
      <c r="B291" s="95" t="n"/>
      <c r="C291" s="95" t="n"/>
      <c r="D291" s="96" t="n"/>
    </row>
    <row r="292">
      <c r="A292" s="95">
        <f>IF(B292="","", "CLI-"&amp;TEXT(ROW()-5,"000"))</f>
        <v/>
      </c>
      <c r="B292" s="95" t="n"/>
      <c r="C292" s="95" t="n"/>
      <c r="D292" s="96" t="n"/>
    </row>
    <row r="293">
      <c r="A293" s="95">
        <f>IF(B293="","", "CLI-"&amp;TEXT(ROW()-5,"000"))</f>
        <v/>
      </c>
      <c r="B293" s="95" t="n"/>
      <c r="C293" s="95" t="n"/>
      <c r="D293" s="96" t="n"/>
    </row>
    <row r="294">
      <c r="A294" s="95">
        <f>IF(B294="","", "CLI-"&amp;TEXT(ROW()-5,"000"))</f>
        <v/>
      </c>
      <c r="B294" s="95" t="n"/>
      <c r="C294" s="95" t="n"/>
      <c r="D294" s="96" t="n"/>
    </row>
    <row r="295">
      <c r="A295" s="95">
        <f>IF(B295="","", "CLI-"&amp;TEXT(ROW()-5,"000"))</f>
        <v/>
      </c>
      <c r="B295" s="95" t="n"/>
      <c r="C295" s="95" t="n"/>
      <c r="D295" s="96" t="n"/>
    </row>
    <row r="296">
      <c r="A296" s="95">
        <f>IF(B296="","", "CLI-"&amp;TEXT(ROW()-5,"000"))</f>
        <v/>
      </c>
      <c r="B296" s="95" t="n"/>
      <c r="C296" s="95" t="n"/>
      <c r="D296" s="96" t="n"/>
    </row>
    <row r="297">
      <c r="A297" s="95">
        <f>IF(B297="","", "CLI-"&amp;TEXT(ROW()-5,"000"))</f>
        <v/>
      </c>
      <c r="B297" s="95" t="n"/>
      <c r="C297" s="95" t="n"/>
      <c r="D297" s="96" t="n"/>
    </row>
    <row r="298">
      <c r="A298" s="95">
        <f>IF(B298="","", "CLI-"&amp;TEXT(ROW()-5,"000"))</f>
        <v/>
      </c>
      <c r="B298" s="95" t="n"/>
      <c r="C298" s="95" t="n"/>
      <c r="D298" s="96" t="n"/>
    </row>
    <row r="299">
      <c r="A299" s="95">
        <f>IF(B299="","", "CLI-"&amp;TEXT(ROW()-5,"000"))</f>
        <v/>
      </c>
      <c r="B299" s="95" t="n"/>
      <c r="C299" s="95" t="n"/>
      <c r="D299" s="96" t="n"/>
    </row>
    <row r="300">
      <c r="A300" s="95">
        <f>IF(B300="","", "CLI-"&amp;TEXT(ROW()-5,"000"))</f>
        <v/>
      </c>
      <c r="B300" s="95" t="n"/>
      <c r="C300" s="95" t="n"/>
      <c r="D300" s="96" t="n"/>
    </row>
    <row r="301">
      <c r="A301" s="95">
        <f>IF(B301="","", "CLI-"&amp;TEXT(ROW()-5,"000"))</f>
        <v/>
      </c>
      <c r="B301" s="95" t="n"/>
      <c r="C301" s="95" t="n"/>
      <c r="D301" s="96" t="n"/>
    </row>
    <row r="302">
      <c r="A302" s="95">
        <f>IF(B302="","", "CLI-"&amp;TEXT(ROW()-5,"000"))</f>
        <v/>
      </c>
      <c r="B302" s="95" t="n"/>
      <c r="C302" s="95" t="n"/>
      <c r="D302" s="96" t="n"/>
    </row>
    <row r="303">
      <c r="A303" s="95">
        <f>IF(B303="","", "CLI-"&amp;TEXT(ROW()-5,"000"))</f>
        <v/>
      </c>
      <c r="B303" s="95" t="n"/>
      <c r="C303" s="95" t="n"/>
      <c r="D303" s="96" t="n"/>
    </row>
    <row r="304">
      <c r="A304" s="95">
        <f>IF(B304="","", "CLI-"&amp;TEXT(ROW()-5,"000"))</f>
        <v/>
      </c>
      <c r="B304" s="95" t="n"/>
      <c r="C304" s="95" t="n"/>
      <c r="D304" s="96" t="n"/>
    </row>
    <row r="305">
      <c r="A305" s="95">
        <f>IF(B305="","", "CLI-"&amp;TEXT(ROW()-5,"000"))</f>
        <v/>
      </c>
      <c r="B305" s="95" t="n"/>
      <c r="C305" s="95" t="n"/>
      <c r="D305" s="96" t="n"/>
    </row>
    <row r="306">
      <c r="A306" s="95">
        <f>IF(B306="","", "CLI-"&amp;TEXT(ROW()-5,"000"))</f>
        <v/>
      </c>
      <c r="B306" s="95" t="n"/>
      <c r="C306" s="95" t="n"/>
      <c r="D306" s="96" t="n"/>
    </row>
    <row r="307">
      <c r="A307" s="95">
        <f>IF(B307="","", "CLI-"&amp;TEXT(ROW()-5,"000"))</f>
        <v/>
      </c>
      <c r="B307" s="95" t="n"/>
      <c r="C307" s="95" t="n"/>
      <c r="D307" s="96" t="n"/>
    </row>
    <row r="308">
      <c r="A308" s="95">
        <f>IF(B308="","", "CLI-"&amp;TEXT(ROW()-5,"000"))</f>
        <v/>
      </c>
      <c r="B308" s="95" t="n"/>
      <c r="C308" s="95" t="n"/>
      <c r="D308" s="96" t="n"/>
    </row>
    <row r="309">
      <c r="A309" s="95">
        <f>IF(B309="","", "CLI-"&amp;TEXT(ROW()-5,"000"))</f>
        <v/>
      </c>
      <c r="B309" s="95" t="n"/>
      <c r="C309" s="95" t="n"/>
      <c r="D309" s="96" t="n"/>
    </row>
    <row r="310">
      <c r="A310" s="95">
        <f>IF(B310="","", "CLI-"&amp;TEXT(ROW()-5,"000"))</f>
        <v/>
      </c>
      <c r="B310" s="95" t="n"/>
      <c r="C310" s="95" t="n"/>
      <c r="D310" s="96" t="n"/>
    </row>
    <row r="311">
      <c r="A311" s="95">
        <f>IF(B311="","", "CLI-"&amp;TEXT(ROW()-5,"000"))</f>
        <v/>
      </c>
      <c r="B311" s="95" t="n"/>
      <c r="C311" s="95" t="n"/>
      <c r="D311" s="96" t="n"/>
    </row>
    <row r="312">
      <c r="A312" s="95">
        <f>IF(B312="","", "CLI-"&amp;TEXT(ROW()-5,"000"))</f>
        <v/>
      </c>
      <c r="B312" s="95" t="n"/>
      <c r="C312" s="95" t="n"/>
      <c r="D312" s="96" t="n"/>
    </row>
    <row r="313">
      <c r="A313" s="95">
        <f>IF(B313="","", "CLI-"&amp;TEXT(ROW()-5,"000"))</f>
        <v/>
      </c>
      <c r="B313" s="95" t="n"/>
      <c r="C313" s="95" t="n"/>
      <c r="D313" s="96" t="n"/>
    </row>
    <row r="314">
      <c r="A314" s="95">
        <f>IF(B314="","", "CLI-"&amp;TEXT(ROW()-5,"000"))</f>
        <v/>
      </c>
      <c r="B314" s="95" t="n"/>
      <c r="C314" s="95" t="n"/>
      <c r="D314" s="96" t="n"/>
    </row>
    <row r="315">
      <c r="A315" s="95">
        <f>IF(B315="","", "CLI-"&amp;TEXT(ROW()-5,"000"))</f>
        <v/>
      </c>
      <c r="B315" s="95" t="n"/>
      <c r="C315" s="95" t="n"/>
      <c r="D315" s="96" t="n"/>
    </row>
    <row r="316">
      <c r="A316" s="95">
        <f>IF(B316="","", "CLI-"&amp;TEXT(ROW()-5,"000"))</f>
        <v/>
      </c>
      <c r="B316" s="95" t="n"/>
      <c r="C316" s="95" t="n"/>
      <c r="D316" s="96" t="n"/>
    </row>
    <row r="317">
      <c r="A317" s="95">
        <f>IF(B317="","", "CLI-"&amp;TEXT(ROW()-5,"000"))</f>
        <v/>
      </c>
      <c r="B317" s="95" t="n"/>
      <c r="C317" s="95" t="n"/>
      <c r="D317" s="96" t="n"/>
    </row>
    <row r="318">
      <c r="A318" s="95">
        <f>IF(B318="","", "CLI-"&amp;TEXT(ROW()-5,"000"))</f>
        <v/>
      </c>
      <c r="B318" s="95" t="n"/>
      <c r="C318" s="95" t="n"/>
      <c r="D318" s="96" t="n"/>
    </row>
    <row r="319">
      <c r="A319" s="95">
        <f>IF(B319="","", "CLI-"&amp;TEXT(ROW()-5,"000"))</f>
        <v/>
      </c>
      <c r="B319" s="95" t="n"/>
      <c r="C319" s="95" t="n"/>
      <c r="D319" s="96" t="n"/>
    </row>
    <row r="320">
      <c r="A320" s="95">
        <f>IF(B320="","", "CLI-"&amp;TEXT(ROW()-5,"000"))</f>
        <v/>
      </c>
      <c r="B320" s="95" t="n"/>
      <c r="C320" s="95" t="n"/>
      <c r="D320" s="96" t="n"/>
    </row>
    <row r="321">
      <c r="A321" s="95">
        <f>IF(B321="","", "CLI-"&amp;TEXT(ROW()-5,"000"))</f>
        <v/>
      </c>
      <c r="B321" s="95" t="n"/>
      <c r="C321" s="95" t="n"/>
      <c r="D321" s="96" t="n"/>
    </row>
    <row r="322">
      <c r="A322" s="95">
        <f>IF(B322="","", "CLI-"&amp;TEXT(ROW()-5,"000"))</f>
        <v/>
      </c>
      <c r="B322" s="95" t="n"/>
      <c r="C322" s="95" t="n"/>
      <c r="D322" s="96" t="n"/>
    </row>
    <row r="323">
      <c r="A323" s="95">
        <f>IF(B323="","", "CLI-"&amp;TEXT(ROW()-5,"000"))</f>
        <v/>
      </c>
      <c r="B323" s="95" t="n"/>
      <c r="C323" s="95" t="n"/>
      <c r="D323" s="96" t="n"/>
    </row>
    <row r="324">
      <c r="A324" s="95">
        <f>IF(B324="","", "CLI-"&amp;TEXT(ROW()-5,"000"))</f>
        <v/>
      </c>
      <c r="B324" s="95" t="n"/>
      <c r="C324" s="95" t="n"/>
      <c r="D324" s="96" t="n"/>
    </row>
    <row r="325">
      <c r="A325" s="95">
        <f>IF(B325="","", "CLI-"&amp;TEXT(ROW()-5,"000"))</f>
        <v/>
      </c>
      <c r="B325" s="95" t="n"/>
      <c r="C325" s="95" t="n"/>
      <c r="D325" s="96" t="n"/>
    </row>
    <row r="326">
      <c r="A326" s="95">
        <f>IF(B326="","", "CLI-"&amp;TEXT(ROW()-5,"000"))</f>
        <v/>
      </c>
      <c r="B326" s="95" t="n"/>
      <c r="C326" s="95" t="n"/>
      <c r="D326" s="96" t="n"/>
    </row>
    <row r="327">
      <c r="A327" s="95">
        <f>IF(B327="","", "CLI-"&amp;TEXT(ROW()-5,"000"))</f>
        <v/>
      </c>
      <c r="B327" s="95" t="n"/>
      <c r="C327" s="95" t="n"/>
      <c r="D327" s="96" t="n"/>
    </row>
    <row r="328">
      <c r="A328" s="95">
        <f>IF(B328="","", "CLI-"&amp;TEXT(ROW()-5,"000"))</f>
        <v/>
      </c>
      <c r="B328" s="95" t="n"/>
      <c r="C328" s="95" t="n"/>
      <c r="D328" s="96" t="n"/>
    </row>
    <row r="329">
      <c r="A329" s="95">
        <f>IF(B329="","", "CLI-"&amp;TEXT(ROW()-5,"000"))</f>
        <v/>
      </c>
      <c r="B329" s="95" t="n"/>
      <c r="C329" s="95" t="n"/>
      <c r="D329" s="96" t="n"/>
    </row>
    <row r="330">
      <c r="A330" s="95">
        <f>IF(B330="","", "CLI-"&amp;TEXT(ROW()-5,"000"))</f>
        <v/>
      </c>
      <c r="B330" s="95" t="n"/>
      <c r="C330" s="95" t="n"/>
      <c r="D330" s="96" t="n"/>
    </row>
    <row r="331">
      <c r="A331" s="95">
        <f>IF(B331="","", "CLI-"&amp;TEXT(ROW()-5,"000"))</f>
        <v/>
      </c>
      <c r="B331" s="95" t="n"/>
      <c r="C331" s="95" t="n"/>
      <c r="D331" s="96" t="n"/>
    </row>
    <row r="332">
      <c r="A332" s="95">
        <f>IF(B332="","", "CLI-"&amp;TEXT(ROW()-5,"000"))</f>
        <v/>
      </c>
      <c r="B332" s="95" t="n"/>
      <c r="C332" s="95" t="n"/>
      <c r="D332" s="96" t="n"/>
    </row>
    <row r="333">
      <c r="A333" s="95">
        <f>IF(B333="","", "CLI-"&amp;TEXT(ROW()-5,"000"))</f>
        <v/>
      </c>
      <c r="B333" s="95" t="n"/>
      <c r="C333" s="95" t="n"/>
      <c r="D333" s="96" t="n"/>
    </row>
    <row r="334">
      <c r="A334" s="95">
        <f>IF(B334="","", "CLI-"&amp;TEXT(ROW()-5,"000"))</f>
        <v/>
      </c>
      <c r="B334" s="95" t="n"/>
      <c r="C334" s="95" t="n"/>
      <c r="D334" s="96" t="n"/>
    </row>
    <row r="335">
      <c r="A335" s="95">
        <f>IF(B335="","", "CLI-"&amp;TEXT(ROW()-5,"000"))</f>
        <v/>
      </c>
      <c r="B335" s="95" t="n"/>
      <c r="C335" s="95" t="n"/>
      <c r="D335" s="96" t="n"/>
    </row>
    <row r="336">
      <c r="A336" s="95">
        <f>IF(B336="","", "CLI-"&amp;TEXT(ROW()-5,"000"))</f>
        <v/>
      </c>
      <c r="B336" s="95" t="n"/>
      <c r="C336" s="95" t="n"/>
      <c r="D336" s="96" t="n"/>
    </row>
    <row r="337">
      <c r="A337" s="95">
        <f>IF(B337="","", "CLI-"&amp;TEXT(ROW()-5,"000"))</f>
        <v/>
      </c>
      <c r="B337" s="95" t="n"/>
      <c r="C337" s="95" t="n"/>
      <c r="D337" s="96" t="n"/>
    </row>
    <row r="338">
      <c r="A338" s="95">
        <f>IF(B338="","", "CLI-"&amp;TEXT(ROW()-5,"000"))</f>
        <v/>
      </c>
      <c r="B338" s="95" t="n"/>
      <c r="C338" s="95" t="n"/>
      <c r="D338" s="96" t="n"/>
    </row>
    <row r="339">
      <c r="A339" s="95">
        <f>IF(B339="","", "CLI-"&amp;TEXT(ROW()-5,"000"))</f>
        <v/>
      </c>
      <c r="B339" s="95" t="n"/>
      <c r="C339" s="95" t="n"/>
      <c r="D339" s="96" t="n"/>
    </row>
    <row r="340">
      <c r="A340" s="95">
        <f>IF(B340="","", "CLI-"&amp;TEXT(ROW()-5,"000"))</f>
        <v/>
      </c>
      <c r="B340" s="95" t="n"/>
      <c r="C340" s="95" t="n"/>
      <c r="D340" s="96" t="n"/>
    </row>
    <row r="341">
      <c r="A341" s="95">
        <f>IF(B341="","", "CLI-"&amp;TEXT(ROW()-5,"000"))</f>
        <v/>
      </c>
      <c r="B341" s="95" t="n"/>
      <c r="C341" s="95" t="n"/>
      <c r="D341" s="96" t="n"/>
    </row>
    <row r="342">
      <c r="A342" s="95">
        <f>IF(B342="","", "CLI-"&amp;TEXT(ROW()-5,"000"))</f>
        <v/>
      </c>
      <c r="B342" s="95" t="n"/>
      <c r="C342" s="95" t="n"/>
      <c r="D342" s="96" t="n"/>
    </row>
    <row r="343">
      <c r="A343" s="95">
        <f>IF(B343="","", "CLI-"&amp;TEXT(ROW()-5,"000"))</f>
        <v/>
      </c>
      <c r="B343" s="95" t="n"/>
      <c r="C343" s="95" t="n"/>
      <c r="D343" s="96" t="n"/>
    </row>
    <row r="344">
      <c r="A344" s="95">
        <f>IF(B344="","", "CLI-"&amp;TEXT(ROW()-5,"000"))</f>
        <v/>
      </c>
      <c r="B344" s="95" t="n"/>
      <c r="C344" s="95" t="n"/>
      <c r="D344" s="96" t="n"/>
    </row>
    <row r="345">
      <c r="A345" s="95">
        <f>IF(B345="","", "CLI-"&amp;TEXT(ROW()-5,"000"))</f>
        <v/>
      </c>
      <c r="B345" s="95" t="n"/>
      <c r="C345" s="95" t="n"/>
      <c r="D345" s="96" t="n"/>
    </row>
    <row r="346">
      <c r="A346" s="95">
        <f>IF(B346="","", "CLI-"&amp;TEXT(ROW()-5,"000"))</f>
        <v/>
      </c>
      <c r="B346" s="95" t="n"/>
      <c r="C346" s="95" t="n"/>
      <c r="D346" s="96" t="n"/>
    </row>
    <row r="347">
      <c r="A347" s="95">
        <f>IF(B347="","", "CLI-"&amp;TEXT(ROW()-5,"000"))</f>
        <v/>
      </c>
      <c r="B347" s="95" t="n"/>
      <c r="C347" s="95" t="n"/>
      <c r="D347" s="96" t="n"/>
    </row>
    <row r="348">
      <c r="A348" s="95">
        <f>IF(B348="","", "CLI-"&amp;TEXT(ROW()-5,"000"))</f>
        <v/>
      </c>
      <c r="B348" s="95" t="n"/>
      <c r="C348" s="95" t="n"/>
      <c r="D348" s="96" t="n"/>
    </row>
    <row r="349">
      <c r="A349" s="95">
        <f>IF(B349="","", "CLI-"&amp;TEXT(ROW()-5,"000"))</f>
        <v/>
      </c>
      <c r="B349" s="95" t="n"/>
      <c r="C349" s="95" t="n"/>
      <c r="D349" s="96" t="n"/>
    </row>
    <row r="350">
      <c r="A350" s="95">
        <f>IF(B350="","", "CLI-"&amp;TEXT(ROW()-5,"000"))</f>
        <v/>
      </c>
      <c r="B350" s="95" t="n"/>
      <c r="C350" s="95" t="n"/>
      <c r="D350" s="96" t="n"/>
    </row>
    <row r="351">
      <c r="A351" s="95">
        <f>IF(B351="","", "CLI-"&amp;TEXT(ROW()-5,"000"))</f>
        <v/>
      </c>
      <c r="B351" s="95" t="n"/>
      <c r="C351" s="95" t="n"/>
      <c r="D351" s="96" t="n"/>
    </row>
    <row r="352">
      <c r="A352" s="95">
        <f>IF(B352="","", "CLI-"&amp;TEXT(ROW()-5,"000"))</f>
        <v/>
      </c>
      <c r="B352" s="95" t="n"/>
      <c r="C352" s="95" t="n"/>
      <c r="D352" s="96" t="n"/>
    </row>
    <row r="353">
      <c r="A353" s="95">
        <f>IF(B353="","", "CLI-"&amp;TEXT(ROW()-5,"000"))</f>
        <v/>
      </c>
      <c r="B353" s="95" t="n"/>
      <c r="C353" s="95" t="n"/>
      <c r="D353" s="96" t="n"/>
    </row>
    <row r="354">
      <c r="A354" s="95">
        <f>IF(B354="","", "CLI-"&amp;TEXT(ROW()-5,"000"))</f>
        <v/>
      </c>
      <c r="B354" s="95" t="n"/>
      <c r="C354" s="95" t="n"/>
      <c r="D354" s="96" t="n"/>
    </row>
    <row r="355">
      <c r="A355" s="95">
        <f>IF(B355="","", "CLI-"&amp;TEXT(ROW()-5,"000"))</f>
        <v/>
      </c>
      <c r="B355" s="95" t="n"/>
      <c r="C355" s="95" t="n"/>
      <c r="D355" s="96" t="n"/>
    </row>
    <row r="356">
      <c r="A356" s="95">
        <f>IF(B356="","", "CLI-"&amp;TEXT(ROW()-5,"000"))</f>
        <v/>
      </c>
      <c r="B356" s="95" t="n"/>
      <c r="C356" s="95" t="n"/>
      <c r="D356" s="96" t="n"/>
    </row>
    <row r="357">
      <c r="A357" s="95">
        <f>IF(B357="","", "CLI-"&amp;TEXT(ROW()-5,"000"))</f>
        <v/>
      </c>
      <c r="B357" s="95" t="n"/>
      <c r="C357" s="95" t="n"/>
      <c r="D357" s="96" t="n"/>
    </row>
    <row r="358">
      <c r="A358" s="95">
        <f>IF(B358="","", "CLI-"&amp;TEXT(ROW()-5,"000"))</f>
        <v/>
      </c>
      <c r="B358" s="95" t="n"/>
      <c r="C358" s="95" t="n"/>
      <c r="D358" s="96" t="n"/>
    </row>
    <row r="359">
      <c r="A359" s="95">
        <f>IF(B359="","", "CLI-"&amp;TEXT(ROW()-5,"000"))</f>
        <v/>
      </c>
      <c r="B359" s="95" t="n"/>
      <c r="C359" s="95" t="n"/>
      <c r="D359" s="96" t="n"/>
    </row>
    <row r="360">
      <c r="A360" s="95">
        <f>IF(B360="","", "CLI-"&amp;TEXT(ROW()-5,"000"))</f>
        <v/>
      </c>
      <c r="B360" s="95" t="n"/>
      <c r="C360" s="95" t="n"/>
      <c r="D360" s="96" t="n"/>
    </row>
    <row r="361">
      <c r="A361" s="95">
        <f>IF(B361="","", "CLI-"&amp;TEXT(ROW()-5,"000"))</f>
        <v/>
      </c>
      <c r="B361" s="95" t="n"/>
      <c r="C361" s="95" t="n"/>
      <c r="D361" s="96" t="n"/>
    </row>
    <row r="362">
      <c r="A362" s="95">
        <f>IF(B362="","", "CLI-"&amp;TEXT(ROW()-5,"000"))</f>
        <v/>
      </c>
      <c r="B362" s="95" t="n"/>
      <c r="C362" s="95" t="n"/>
      <c r="D362" s="96" t="n"/>
    </row>
    <row r="363">
      <c r="A363" s="95">
        <f>IF(B363="","", "CLI-"&amp;TEXT(ROW()-5,"000"))</f>
        <v/>
      </c>
      <c r="B363" s="95" t="n"/>
      <c r="C363" s="95" t="n"/>
      <c r="D363" s="96" t="n"/>
    </row>
    <row r="364">
      <c r="A364" s="95">
        <f>IF(B364="","", "CLI-"&amp;TEXT(ROW()-5,"000"))</f>
        <v/>
      </c>
      <c r="B364" s="95" t="n"/>
      <c r="C364" s="95" t="n"/>
      <c r="D364" s="96" t="n"/>
    </row>
    <row r="365">
      <c r="A365" s="95">
        <f>IF(B365="","", "CLI-"&amp;TEXT(ROW()-5,"000"))</f>
        <v/>
      </c>
      <c r="B365" s="95" t="n"/>
      <c r="C365" s="95" t="n"/>
      <c r="D365" s="96" t="n"/>
    </row>
    <row r="366">
      <c r="A366" s="95">
        <f>IF(B366="","", "CLI-"&amp;TEXT(ROW()-5,"000"))</f>
        <v/>
      </c>
      <c r="B366" s="95" t="n"/>
      <c r="C366" s="95" t="n"/>
      <c r="D366" s="96" t="n"/>
    </row>
    <row r="367">
      <c r="A367" s="95">
        <f>IF(B367="","", "CLI-"&amp;TEXT(ROW()-5,"000"))</f>
        <v/>
      </c>
      <c r="B367" s="95" t="n"/>
      <c r="C367" s="95" t="n"/>
      <c r="D367" s="96" t="n"/>
    </row>
    <row r="368">
      <c r="A368" s="95">
        <f>IF(B368="","", "CLI-"&amp;TEXT(ROW()-5,"000"))</f>
        <v/>
      </c>
      <c r="B368" s="95" t="n"/>
      <c r="C368" s="95" t="n"/>
      <c r="D368" s="96" t="n"/>
    </row>
    <row r="369">
      <c r="A369" s="95">
        <f>IF(B369="","", "CLI-"&amp;TEXT(ROW()-5,"000"))</f>
        <v/>
      </c>
      <c r="B369" s="95" t="n"/>
      <c r="C369" s="95" t="n"/>
      <c r="D369" s="96" t="n"/>
    </row>
    <row r="370">
      <c r="A370" s="95">
        <f>IF(B370="","", "CLI-"&amp;TEXT(ROW()-5,"000"))</f>
        <v/>
      </c>
      <c r="B370" s="95" t="n"/>
      <c r="C370" s="95" t="n"/>
      <c r="D370" s="96" t="n"/>
    </row>
    <row r="371">
      <c r="A371" s="95">
        <f>IF(B371="","", "CLI-"&amp;TEXT(ROW()-5,"000"))</f>
        <v/>
      </c>
      <c r="B371" s="95" t="n"/>
      <c r="C371" s="95" t="n"/>
      <c r="D371" s="96" t="n"/>
    </row>
    <row r="372">
      <c r="A372" s="95">
        <f>IF(B372="","", "CLI-"&amp;TEXT(ROW()-5,"000"))</f>
        <v/>
      </c>
      <c r="B372" s="95" t="n"/>
      <c r="C372" s="95" t="n"/>
      <c r="D372" s="96" t="n"/>
    </row>
    <row r="373">
      <c r="A373" s="95">
        <f>IF(B373="","", "CLI-"&amp;TEXT(ROW()-5,"000"))</f>
        <v/>
      </c>
      <c r="B373" s="95" t="n"/>
      <c r="C373" s="95" t="n"/>
      <c r="D373" s="96" t="n"/>
    </row>
    <row r="374">
      <c r="A374" s="95">
        <f>IF(B374="","", "CLI-"&amp;TEXT(ROW()-5,"000"))</f>
        <v/>
      </c>
      <c r="B374" s="95" t="n"/>
      <c r="C374" s="95" t="n"/>
      <c r="D374" s="96" t="n"/>
    </row>
    <row r="375">
      <c r="A375" s="95">
        <f>IF(B375="","", "CLI-"&amp;TEXT(ROW()-5,"000"))</f>
        <v/>
      </c>
      <c r="B375" s="95" t="n"/>
      <c r="C375" s="95" t="n"/>
      <c r="D375" s="96" t="n"/>
    </row>
    <row r="376">
      <c r="A376" s="95">
        <f>IF(B376="","", "CLI-"&amp;TEXT(ROW()-5,"000"))</f>
        <v/>
      </c>
      <c r="B376" s="95" t="n"/>
      <c r="C376" s="95" t="n"/>
      <c r="D376" s="96" t="n"/>
    </row>
    <row r="377">
      <c r="A377" s="95">
        <f>IF(B377="","", "CLI-"&amp;TEXT(ROW()-5,"000"))</f>
        <v/>
      </c>
      <c r="B377" s="95" t="n"/>
      <c r="C377" s="95" t="n"/>
      <c r="D377" s="96" t="n"/>
    </row>
    <row r="378">
      <c r="A378" s="95">
        <f>IF(B378="","", "CLI-"&amp;TEXT(ROW()-5,"000"))</f>
        <v/>
      </c>
      <c r="B378" s="95" t="n"/>
      <c r="C378" s="95" t="n"/>
      <c r="D378" s="96" t="n"/>
    </row>
    <row r="379">
      <c r="A379" s="95">
        <f>IF(B379="","", "CLI-"&amp;TEXT(ROW()-5,"000"))</f>
        <v/>
      </c>
      <c r="B379" s="95" t="n"/>
      <c r="C379" s="95" t="n"/>
      <c r="D379" s="96" t="n"/>
    </row>
    <row r="380">
      <c r="A380" s="95">
        <f>IF(B380="","", "CLI-"&amp;TEXT(ROW()-5,"000"))</f>
        <v/>
      </c>
      <c r="B380" s="95" t="n"/>
      <c r="C380" s="95" t="n"/>
      <c r="D380" s="96" t="n"/>
    </row>
    <row r="381">
      <c r="A381" s="95">
        <f>IF(B381="","", "CLI-"&amp;TEXT(ROW()-5,"000"))</f>
        <v/>
      </c>
      <c r="B381" s="95" t="n"/>
      <c r="C381" s="95" t="n"/>
      <c r="D381" s="96" t="n"/>
    </row>
    <row r="382">
      <c r="A382" s="95">
        <f>IF(B382="","", "CLI-"&amp;TEXT(ROW()-5,"000"))</f>
        <v/>
      </c>
      <c r="B382" s="95" t="n"/>
      <c r="C382" s="95" t="n"/>
      <c r="D382" s="96" t="n"/>
    </row>
    <row r="383">
      <c r="A383" s="95">
        <f>IF(B383="","", "CLI-"&amp;TEXT(ROW()-5,"000"))</f>
        <v/>
      </c>
      <c r="B383" s="95" t="n"/>
      <c r="C383" s="95" t="n"/>
      <c r="D383" s="96" t="n"/>
    </row>
    <row r="384">
      <c r="A384" s="95">
        <f>IF(B384="","", "CLI-"&amp;TEXT(ROW()-5,"000"))</f>
        <v/>
      </c>
      <c r="B384" s="95" t="n"/>
      <c r="C384" s="95" t="n"/>
      <c r="D384" s="96" t="n"/>
    </row>
    <row r="385">
      <c r="A385" s="95">
        <f>IF(B385="","", "CLI-"&amp;TEXT(ROW()-5,"000"))</f>
        <v/>
      </c>
      <c r="B385" s="95" t="n"/>
      <c r="C385" s="95" t="n"/>
      <c r="D385" s="96" t="n"/>
    </row>
    <row r="386">
      <c r="A386" s="95">
        <f>IF(B386="","", "CLI-"&amp;TEXT(ROW()-5,"000"))</f>
        <v/>
      </c>
      <c r="B386" s="95" t="n"/>
      <c r="C386" s="95" t="n"/>
      <c r="D386" s="96" t="n"/>
    </row>
    <row r="387">
      <c r="A387" s="95">
        <f>IF(B387="","", "CLI-"&amp;TEXT(ROW()-5,"000"))</f>
        <v/>
      </c>
      <c r="B387" s="95" t="n"/>
      <c r="C387" s="95" t="n"/>
      <c r="D387" s="96" t="n"/>
    </row>
    <row r="388">
      <c r="A388" s="95">
        <f>IF(B388="","", "CLI-"&amp;TEXT(ROW()-5,"000"))</f>
        <v/>
      </c>
      <c r="B388" s="95" t="n"/>
      <c r="C388" s="95" t="n"/>
      <c r="D388" s="96" t="n"/>
    </row>
    <row r="389">
      <c r="A389" s="95">
        <f>IF(B389="","", "CLI-"&amp;TEXT(ROW()-5,"000"))</f>
        <v/>
      </c>
      <c r="B389" s="95" t="n"/>
      <c r="C389" s="95" t="n"/>
      <c r="D389" s="96" t="n"/>
    </row>
    <row r="390">
      <c r="A390" s="95">
        <f>IF(B390="","", "CLI-"&amp;TEXT(ROW()-5,"000"))</f>
        <v/>
      </c>
      <c r="B390" s="95" t="n"/>
      <c r="C390" s="95" t="n"/>
      <c r="D390" s="96" t="n"/>
    </row>
    <row r="391">
      <c r="A391" s="95">
        <f>IF(B391="","", "CLI-"&amp;TEXT(ROW()-5,"000"))</f>
        <v/>
      </c>
      <c r="B391" s="95" t="n"/>
      <c r="C391" s="95" t="n"/>
      <c r="D391" s="96" t="n"/>
    </row>
    <row r="392">
      <c r="A392" s="95">
        <f>IF(B392="","", "CLI-"&amp;TEXT(ROW()-5,"000"))</f>
        <v/>
      </c>
      <c r="B392" s="95" t="n"/>
      <c r="C392" s="95" t="n"/>
      <c r="D392" s="96" t="n"/>
    </row>
    <row r="393">
      <c r="A393" s="95">
        <f>IF(B393="","", "CLI-"&amp;TEXT(ROW()-5,"000"))</f>
        <v/>
      </c>
      <c r="B393" s="95" t="n"/>
      <c r="C393" s="95" t="n"/>
      <c r="D393" s="96" t="n"/>
    </row>
    <row r="394">
      <c r="A394" s="95">
        <f>IF(B394="","", "CLI-"&amp;TEXT(ROW()-5,"000"))</f>
        <v/>
      </c>
      <c r="B394" s="95" t="n"/>
      <c r="C394" s="95" t="n"/>
      <c r="D394" s="96" t="n"/>
    </row>
    <row r="395">
      <c r="A395" s="95">
        <f>IF(B395="","", "CLI-"&amp;TEXT(ROW()-5,"000"))</f>
        <v/>
      </c>
      <c r="B395" s="95" t="n"/>
      <c r="C395" s="95" t="n"/>
      <c r="D395" s="96" t="n"/>
    </row>
    <row r="396">
      <c r="A396" s="95">
        <f>IF(B396="","", "CLI-"&amp;TEXT(ROW()-5,"000"))</f>
        <v/>
      </c>
      <c r="B396" s="95" t="n"/>
      <c r="C396" s="95" t="n"/>
      <c r="D396" s="96" t="n"/>
    </row>
    <row r="397">
      <c r="A397" s="95">
        <f>IF(B397="","", "CLI-"&amp;TEXT(ROW()-5,"000"))</f>
        <v/>
      </c>
      <c r="B397" s="95" t="n"/>
      <c r="C397" s="95" t="n"/>
      <c r="D397" s="96" t="n"/>
    </row>
    <row r="398">
      <c r="A398" s="95">
        <f>IF(B398="","", "CLI-"&amp;TEXT(ROW()-5,"000"))</f>
        <v/>
      </c>
      <c r="B398" s="95" t="n"/>
      <c r="C398" s="95" t="n"/>
      <c r="D398" s="96" t="n"/>
    </row>
    <row r="399">
      <c r="A399" s="95">
        <f>IF(B399="","", "CLI-"&amp;TEXT(ROW()-5,"000"))</f>
        <v/>
      </c>
      <c r="B399" s="95" t="n"/>
      <c r="C399" s="95" t="n"/>
      <c r="D399" s="96" t="n"/>
    </row>
    <row r="400">
      <c r="A400" s="95">
        <f>IF(B400="","", "CLI-"&amp;TEXT(ROW()-5,"000"))</f>
        <v/>
      </c>
      <c r="B400" s="95" t="n"/>
      <c r="C400" s="95" t="n"/>
      <c r="D400" s="96" t="n"/>
    </row>
    <row r="401">
      <c r="A401" s="95">
        <f>IF(B401="","", "CLI-"&amp;TEXT(ROW()-5,"000"))</f>
        <v/>
      </c>
      <c r="B401" s="95" t="n"/>
      <c r="C401" s="95" t="n"/>
      <c r="D401" s="96" t="n"/>
    </row>
    <row r="402">
      <c r="A402" s="95">
        <f>IF(B402="","", "CLI-"&amp;TEXT(ROW()-5,"000"))</f>
        <v/>
      </c>
      <c r="B402" s="95" t="n"/>
      <c r="C402" s="95" t="n"/>
      <c r="D402" s="96" t="n"/>
    </row>
    <row r="403">
      <c r="A403" s="95">
        <f>IF(B403="","", "CLI-"&amp;TEXT(ROW()-5,"000"))</f>
        <v/>
      </c>
      <c r="B403" s="95" t="n"/>
      <c r="C403" s="95" t="n"/>
      <c r="D403" s="96" t="n"/>
    </row>
    <row r="404">
      <c r="A404" s="95">
        <f>IF(B404="","", "CLI-"&amp;TEXT(ROW()-5,"000"))</f>
        <v/>
      </c>
      <c r="B404" s="95" t="n"/>
      <c r="C404" s="95" t="n"/>
      <c r="D404" s="96" t="n"/>
    </row>
    <row r="405">
      <c r="A405" s="95">
        <f>IF(B405="","", "CLI-"&amp;TEXT(ROW()-5,"000"))</f>
        <v/>
      </c>
      <c r="B405" s="95" t="n"/>
      <c r="C405" s="95" t="n"/>
      <c r="D405" s="96" t="n"/>
    </row>
    <row r="406">
      <c r="A406" s="95">
        <f>IF(B406="","", "CLI-"&amp;TEXT(ROW()-5,"000"))</f>
        <v/>
      </c>
      <c r="B406" s="95" t="n"/>
      <c r="C406" s="95" t="n"/>
      <c r="D406" s="96" t="n"/>
    </row>
    <row r="407">
      <c r="A407" s="95">
        <f>IF(B407="","", "CLI-"&amp;TEXT(ROW()-5,"000"))</f>
        <v/>
      </c>
      <c r="B407" s="95" t="n"/>
      <c r="C407" s="95" t="n"/>
      <c r="D407" s="96" t="n"/>
    </row>
    <row r="408">
      <c r="A408" s="95">
        <f>IF(B408="","", "CLI-"&amp;TEXT(ROW()-5,"000"))</f>
        <v/>
      </c>
      <c r="B408" s="95" t="n"/>
      <c r="C408" s="95" t="n"/>
      <c r="D408" s="96" t="n"/>
    </row>
    <row r="409">
      <c r="A409" s="95">
        <f>IF(B409="","", "CLI-"&amp;TEXT(ROW()-5,"000"))</f>
        <v/>
      </c>
      <c r="B409" s="95" t="n"/>
      <c r="C409" s="95" t="n"/>
      <c r="D409" s="96" t="n"/>
    </row>
    <row r="410">
      <c r="A410" s="95">
        <f>IF(B410="","", "CLI-"&amp;TEXT(ROW()-5,"000"))</f>
        <v/>
      </c>
      <c r="B410" s="95" t="n"/>
      <c r="C410" s="95" t="n"/>
      <c r="D410" s="96" t="n"/>
    </row>
    <row r="411">
      <c r="A411" s="95">
        <f>IF(B411="","", "CLI-"&amp;TEXT(ROW()-5,"000"))</f>
        <v/>
      </c>
      <c r="B411" s="95" t="n"/>
      <c r="C411" s="95" t="n"/>
      <c r="D411" s="96" t="n"/>
    </row>
    <row r="412">
      <c r="A412" s="95">
        <f>IF(B412="","", "CLI-"&amp;TEXT(ROW()-5,"000"))</f>
        <v/>
      </c>
      <c r="B412" s="95" t="n"/>
      <c r="C412" s="95" t="n"/>
      <c r="D412" s="96" t="n"/>
    </row>
    <row r="413">
      <c r="A413" s="95">
        <f>IF(B413="","", "CLI-"&amp;TEXT(ROW()-5,"000"))</f>
        <v/>
      </c>
      <c r="B413" s="95" t="n"/>
      <c r="C413" s="95" t="n"/>
      <c r="D413" s="96" t="n"/>
    </row>
    <row r="414">
      <c r="A414" s="95">
        <f>IF(B414="","", "CLI-"&amp;TEXT(ROW()-5,"000"))</f>
        <v/>
      </c>
      <c r="B414" s="95" t="n"/>
      <c r="C414" s="95" t="n"/>
      <c r="D414" s="96" t="n"/>
    </row>
    <row r="415">
      <c r="A415" s="95">
        <f>IF(B415="","", "CLI-"&amp;TEXT(ROW()-5,"000"))</f>
        <v/>
      </c>
      <c r="B415" s="95" t="n"/>
      <c r="C415" s="95" t="n"/>
      <c r="D415" s="96" t="n"/>
    </row>
    <row r="416">
      <c r="A416" s="95">
        <f>IF(B416="","", "CLI-"&amp;TEXT(ROW()-5,"000"))</f>
        <v/>
      </c>
      <c r="B416" s="95" t="n"/>
      <c r="C416" s="95" t="n"/>
      <c r="D416" s="96" t="n"/>
    </row>
    <row r="417">
      <c r="A417" s="95">
        <f>IF(B417="","", "CLI-"&amp;TEXT(ROW()-5,"000"))</f>
        <v/>
      </c>
      <c r="B417" s="95" t="n"/>
      <c r="C417" s="95" t="n"/>
      <c r="D417" s="96" t="n"/>
    </row>
    <row r="418">
      <c r="A418" s="95">
        <f>IF(B418="","", "CLI-"&amp;TEXT(ROW()-5,"000"))</f>
        <v/>
      </c>
      <c r="B418" s="95" t="n"/>
      <c r="C418" s="95" t="n"/>
      <c r="D418" s="96" t="n"/>
    </row>
    <row r="419">
      <c r="A419" s="95">
        <f>IF(B419="","", "CLI-"&amp;TEXT(ROW()-5,"000"))</f>
        <v/>
      </c>
      <c r="B419" s="95" t="n"/>
      <c r="C419" s="95" t="n"/>
      <c r="D419" s="96" t="n"/>
    </row>
    <row r="420">
      <c r="A420" s="95">
        <f>IF(B420="","", "CLI-"&amp;TEXT(ROW()-5,"000"))</f>
        <v/>
      </c>
      <c r="B420" s="95" t="n"/>
      <c r="C420" s="95" t="n"/>
      <c r="D420" s="96" t="n"/>
    </row>
    <row r="421">
      <c r="A421" s="95">
        <f>IF(B421="","", "CLI-"&amp;TEXT(ROW()-5,"000"))</f>
        <v/>
      </c>
      <c r="B421" s="95" t="n"/>
      <c r="C421" s="95" t="n"/>
      <c r="D421" s="96" t="n"/>
    </row>
    <row r="422">
      <c r="A422" s="95">
        <f>IF(B422="","", "CLI-"&amp;TEXT(ROW()-5,"000"))</f>
        <v/>
      </c>
      <c r="B422" s="95" t="n"/>
      <c r="C422" s="95" t="n"/>
      <c r="D422" s="96" t="n"/>
    </row>
    <row r="423">
      <c r="A423" s="95">
        <f>IF(B423="","", "CLI-"&amp;TEXT(ROW()-5,"000"))</f>
        <v/>
      </c>
      <c r="B423" s="95" t="n"/>
      <c r="C423" s="95" t="n"/>
      <c r="D423" s="96" t="n"/>
    </row>
    <row r="424">
      <c r="A424" s="95">
        <f>IF(B424="","", "CLI-"&amp;TEXT(ROW()-5,"000"))</f>
        <v/>
      </c>
      <c r="B424" s="95" t="n"/>
      <c r="C424" s="95" t="n"/>
      <c r="D424" s="96" t="n"/>
    </row>
    <row r="425">
      <c r="A425" s="95">
        <f>IF(B425="","", "CLI-"&amp;TEXT(ROW()-5,"000"))</f>
        <v/>
      </c>
      <c r="B425" s="95" t="n"/>
      <c r="C425" s="95" t="n"/>
      <c r="D425" s="96" t="n"/>
    </row>
    <row r="426">
      <c r="A426" s="95">
        <f>IF(B426="","", "CLI-"&amp;TEXT(ROW()-5,"000"))</f>
        <v/>
      </c>
      <c r="B426" s="95" t="n"/>
      <c r="C426" s="95" t="n"/>
      <c r="D426" s="96" t="n"/>
    </row>
    <row r="427">
      <c r="A427" s="95">
        <f>IF(B427="","", "CLI-"&amp;TEXT(ROW()-5,"000"))</f>
        <v/>
      </c>
      <c r="B427" s="95" t="n"/>
      <c r="C427" s="95" t="n"/>
      <c r="D427" s="96" t="n"/>
    </row>
    <row r="428">
      <c r="A428" s="95">
        <f>IF(B428="","", "CLI-"&amp;TEXT(ROW()-5,"000"))</f>
        <v/>
      </c>
      <c r="B428" s="95" t="n"/>
      <c r="C428" s="95" t="n"/>
      <c r="D428" s="96" t="n"/>
    </row>
    <row r="429">
      <c r="A429" s="95">
        <f>IF(B429="","", "CLI-"&amp;TEXT(ROW()-5,"000"))</f>
        <v/>
      </c>
      <c r="B429" s="95" t="n"/>
      <c r="C429" s="95" t="n"/>
      <c r="D429" s="96" t="n"/>
    </row>
    <row r="430">
      <c r="A430" s="95">
        <f>IF(B430="","", "CLI-"&amp;TEXT(ROW()-5,"000"))</f>
        <v/>
      </c>
      <c r="B430" s="95" t="n"/>
      <c r="C430" s="95" t="n"/>
      <c r="D430" s="96" t="n"/>
    </row>
    <row r="431">
      <c r="A431" s="95">
        <f>IF(B431="","", "CLI-"&amp;TEXT(ROW()-5,"000"))</f>
        <v/>
      </c>
      <c r="B431" s="95" t="n"/>
      <c r="C431" s="95" t="n"/>
      <c r="D431" s="96" t="n"/>
    </row>
    <row r="432">
      <c r="A432" s="95">
        <f>IF(B432="","", "CLI-"&amp;TEXT(ROW()-5,"000"))</f>
        <v/>
      </c>
      <c r="B432" s="95" t="n"/>
      <c r="C432" s="95" t="n"/>
      <c r="D432" s="96" t="n"/>
    </row>
    <row r="433">
      <c r="A433" s="95">
        <f>IF(B433="","", "CLI-"&amp;TEXT(ROW()-5,"000"))</f>
        <v/>
      </c>
      <c r="B433" s="95" t="n"/>
      <c r="C433" s="95" t="n"/>
      <c r="D433" s="96" t="n"/>
    </row>
    <row r="434">
      <c r="A434" s="95">
        <f>IF(B434="","", "CLI-"&amp;TEXT(ROW()-5,"000"))</f>
        <v/>
      </c>
      <c r="B434" s="95" t="n"/>
      <c r="C434" s="95" t="n"/>
      <c r="D434" s="96" t="n"/>
    </row>
    <row r="435">
      <c r="A435" s="95">
        <f>IF(B435="","", "CLI-"&amp;TEXT(ROW()-5,"000"))</f>
        <v/>
      </c>
      <c r="B435" s="95" t="n"/>
      <c r="C435" s="95" t="n"/>
      <c r="D435" s="96" t="n"/>
    </row>
    <row r="436">
      <c r="A436" s="95">
        <f>IF(B436="","", "CLI-"&amp;TEXT(ROW()-5,"000"))</f>
        <v/>
      </c>
      <c r="B436" s="95" t="n"/>
      <c r="C436" s="95" t="n"/>
      <c r="D436" s="96" t="n"/>
    </row>
    <row r="437">
      <c r="A437" s="95">
        <f>IF(B437="","", "CLI-"&amp;TEXT(ROW()-5,"000"))</f>
        <v/>
      </c>
      <c r="B437" s="95" t="n"/>
      <c r="C437" s="95" t="n"/>
      <c r="D437" s="96" t="n"/>
    </row>
    <row r="438">
      <c r="A438" s="95">
        <f>IF(B438="","", "CLI-"&amp;TEXT(ROW()-5,"000"))</f>
        <v/>
      </c>
      <c r="B438" s="95" t="n"/>
      <c r="C438" s="95" t="n"/>
      <c r="D438" s="96" t="n"/>
    </row>
    <row r="439">
      <c r="A439" s="95">
        <f>IF(B439="","", "CLI-"&amp;TEXT(ROW()-5,"000"))</f>
        <v/>
      </c>
      <c r="B439" s="95" t="n"/>
      <c r="C439" s="95" t="n"/>
      <c r="D439" s="96" t="n"/>
    </row>
    <row r="440">
      <c r="A440" s="95">
        <f>IF(B440="","", "CLI-"&amp;TEXT(ROW()-5,"000"))</f>
        <v/>
      </c>
      <c r="B440" s="95" t="n"/>
      <c r="C440" s="95" t="n"/>
      <c r="D440" s="96" t="n"/>
    </row>
    <row r="441">
      <c r="A441" s="95">
        <f>IF(B441="","", "CLI-"&amp;TEXT(ROW()-5,"000"))</f>
        <v/>
      </c>
      <c r="B441" s="95" t="n"/>
      <c r="C441" s="95" t="n"/>
      <c r="D441" s="96" t="n"/>
    </row>
    <row r="442">
      <c r="A442" s="95">
        <f>IF(B442="","", "CLI-"&amp;TEXT(ROW()-5,"000"))</f>
        <v/>
      </c>
      <c r="B442" s="95" t="n"/>
      <c r="C442" s="95" t="n"/>
      <c r="D442" s="96" t="n"/>
    </row>
    <row r="443">
      <c r="A443" s="95">
        <f>IF(B443="","", "CLI-"&amp;TEXT(ROW()-5,"000"))</f>
        <v/>
      </c>
      <c r="B443" s="95" t="n"/>
      <c r="C443" s="95" t="n"/>
      <c r="D443" s="96" t="n"/>
    </row>
    <row r="444">
      <c r="A444" s="95">
        <f>IF(B444="","", "CLI-"&amp;TEXT(ROW()-5,"000"))</f>
        <v/>
      </c>
      <c r="B444" s="95" t="n"/>
      <c r="C444" s="95" t="n"/>
      <c r="D444" s="96" t="n"/>
    </row>
    <row r="445">
      <c r="A445" s="95">
        <f>IF(B445="","", "CLI-"&amp;TEXT(ROW()-5,"000"))</f>
        <v/>
      </c>
      <c r="B445" s="95" t="n"/>
      <c r="C445" s="95" t="n"/>
      <c r="D445" s="96" t="n"/>
    </row>
    <row r="446">
      <c r="A446" s="95">
        <f>IF(B446="","", "CLI-"&amp;TEXT(ROW()-5,"000"))</f>
        <v/>
      </c>
      <c r="B446" s="95" t="n"/>
      <c r="C446" s="95" t="n"/>
      <c r="D446" s="96" t="n"/>
    </row>
    <row r="447">
      <c r="A447" s="95">
        <f>IF(B447="","", "CLI-"&amp;TEXT(ROW()-5,"000"))</f>
        <v/>
      </c>
      <c r="B447" s="95" t="n"/>
      <c r="C447" s="95" t="n"/>
      <c r="D447" s="96" t="n"/>
    </row>
    <row r="448">
      <c r="A448" s="95">
        <f>IF(B448="","", "CLI-"&amp;TEXT(ROW()-5,"000"))</f>
        <v/>
      </c>
      <c r="B448" s="95" t="n"/>
      <c r="C448" s="95" t="n"/>
      <c r="D448" s="96" t="n"/>
    </row>
    <row r="449">
      <c r="A449" s="95">
        <f>IF(B449="","", "CLI-"&amp;TEXT(ROW()-5,"000"))</f>
        <v/>
      </c>
      <c r="B449" s="95" t="n"/>
      <c r="C449" s="95" t="n"/>
      <c r="D449" s="96" t="n"/>
    </row>
    <row r="450">
      <c r="A450" s="95">
        <f>IF(B450="","", "CLI-"&amp;TEXT(ROW()-5,"000"))</f>
        <v/>
      </c>
      <c r="B450" s="95" t="n"/>
      <c r="C450" s="95" t="n"/>
      <c r="D450" s="96" t="n"/>
    </row>
    <row r="451">
      <c r="A451" s="95">
        <f>IF(B451="","", "CLI-"&amp;TEXT(ROW()-5,"000"))</f>
        <v/>
      </c>
      <c r="B451" s="95" t="n"/>
      <c r="C451" s="95" t="n"/>
      <c r="D451" s="96" t="n"/>
    </row>
    <row r="452">
      <c r="A452" s="95">
        <f>IF(B452="","", "CLI-"&amp;TEXT(ROW()-5,"000"))</f>
        <v/>
      </c>
      <c r="B452" s="95" t="n"/>
      <c r="C452" s="95" t="n"/>
      <c r="D452" s="96" t="n"/>
    </row>
    <row r="453">
      <c r="A453" s="95">
        <f>IF(B453="","", "CLI-"&amp;TEXT(ROW()-5,"000"))</f>
        <v/>
      </c>
      <c r="B453" s="95" t="n"/>
      <c r="C453" s="95" t="n"/>
      <c r="D453" s="96" t="n"/>
    </row>
    <row r="454">
      <c r="A454" s="95">
        <f>IF(B454="","", "CLI-"&amp;TEXT(ROW()-5,"000"))</f>
        <v/>
      </c>
      <c r="B454" s="95" t="n"/>
      <c r="C454" s="95" t="n"/>
      <c r="D454" s="96" t="n"/>
    </row>
    <row r="455">
      <c r="A455" s="95">
        <f>IF(B455="","", "CLI-"&amp;TEXT(ROW()-5,"000"))</f>
        <v/>
      </c>
      <c r="B455" s="95" t="n"/>
      <c r="C455" s="95" t="n"/>
      <c r="D455" s="96" t="n"/>
    </row>
    <row r="456">
      <c r="A456" s="95">
        <f>IF(B456="","", "CLI-"&amp;TEXT(ROW()-5,"000"))</f>
        <v/>
      </c>
      <c r="B456" s="95" t="n"/>
      <c r="C456" s="95" t="n"/>
      <c r="D456" s="96" t="n"/>
    </row>
    <row r="457">
      <c r="A457" s="95">
        <f>IF(B457="","", "CLI-"&amp;TEXT(ROW()-5,"000"))</f>
        <v/>
      </c>
      <c r="B457" s="95" t="n"/>
      <c r="C457" s="95" t="n"/>
      <c r="D457" s="96" t="n"/>
    </row>
    <row r="458">
      <c r="A458" s="95">
        <f>IF(B458="","", "CLI-"&amp;TEXT(ROW()-5,"000"))</f>
        <v/>
      </c>
      <c r="B458" s="95" t="n"/>
      <c r="C458" s="95" t="n"/>
      <c r="D458" s="96" t="n"/>
    </row>
    <row r="459">
      <c r="A459" s="95">
        <f>IF(B459="","", "CLI-"&amp;TEXT(ROW()-5,"000"))</f>
        <v/>
      </c>
      <c r="B459" s="95" t="n"/>
      <c r="C459" s="95" t="n"/>
      <c r="D459" s="96" t="n"/>
    </row>
    <row r="460">
      <c r="A460" s="95">
        <f>IF(B460="","", "CLI-"&amp;TEXT(ROW()-5,"000"))</f>
        <v/>
      </c>
      <c r="B460" s="95" t="n"/>
      <c r="C460" s="95" t="n"/>
      <c r="D460" s="96" t="n"/>
    </row>
    <row r="461">
      <c r="A461" s="95">
        <f>IF(B461="","", "CLI-"&amp;TEXT(ROW()-5,"000"))</f>
        <v/>
      </c>
      <c r="B461" s="95" t="n"/>
      <c r="C461" s="95" t="n"/>
      <c r="D461" s="96" t="n"/>
    </row>
    <row r="462">
      <c r="A462" s="95">
        <f>IF(B462="","", "CLI-"&amp;TEXT(ROW()-5,"000"))</f>
        <v/>
      </c>
      <c r="B462" s="95" t="n"/>
      <c r="C462" s="95" t="n"/>
      <c r="D462" s="96" t="n"/>
    </row>
    <row r="463">
      <c r="A463" s="95">
        <f>IF(B463="","", "CLI-"&amp;TEXT(ROW()-5,"000"))</f>
        <v/>
      </c>
      <c r="B463" s="95" t="n"/>
      <c r="C463" s="95" t="n"/>
      <c r="D463" s="96" t="n"/>
    </row>
    <row r="464">
      <c r="A464" s="95">
        <f>IF(B464="","", "CLI-"&amp;TEXT(ROW()-5,"000"))</f>
        <v/>
      </c>
      <c r="B464" s="95" t="n"/>
      <c r="C464" s="95" t="n"/>
      <c r="D464" s="96" t="n"/>
    </row>
    <row r="465">
      <c r="A465" s="95">
        <f>IF(B465="","", "CLI-"&amp;TEXT(ROW()-5,"000"))</f>
        <v/>
      </c>
      <c r="B465" s="95" t="n"/>
      <c r="C465" s="95" t="n"/>
      <c r="D465" s="96" t="n"/>
    </row>
    <row r="466">
      <c r="A466" s="95">
        <f>IF(B466="","", "CLI-"&amp;TEXT(ROW()-5,"000"))</f>
        <v/>
      </c>
      <c r="B466" s="95" t="n"/>
      <c r="C466" s="95" t="n"/>
      <c r="D466" s="96" t="n"/>
    </row>
    <row r="467">
      <c r="A467" s="95">
        <f>IF(B467="","", "CLI-"&amp;TEXT(ROW()-5,"000"))</f>
        <v/>
      </c>
      <c r="B467" s="95" t="n"/>
      <c r="C467" s="95" t="n"/>
      <c r="D467" s="96" t="n"/>
    </row>
    <row r="468">
      <c r="A468" s="95">
        <f>IF(B468="","", "CLI-"&amp;TEXT(ROW()-5,"000"))</f>
        <v/>
      </c>
      <c r="B468" s="95" t="n"/>
      <c r="C468" s="95" t="n"/>
      <c r="D468" s="96" t="n"/>
    </row>
    <row r="469">
      <c r="A469" s="95">
        <f>IF(B469="","", "CLI-"&amp;TEXT(ROW()-5,"000"))</f>
        <v/>
      </c>
      <c r="B469" s="95" t="n"/>
      <c r="C469" s="95" t="n"/>
      <c r="D469" s="96" t="n"/>
    </row>
    <row r="470">
      <c r="A470" s="95">
        <f>IF(B470="","", "CLI-"&amp;TEXT(ROW()-5,"000"))</f>
        <v/>
      </c>
      <c r="B470" s="95" t="n"/>
      <c r="C470" s="95" t="n"/>
      <c r="D470" s="96" t="n"/>
    </row>
    <row r="471">
      <c r="A471" s="95">
        <f>IF(B471="","", "CLI-"&amp;TEXT(ROW()-5,"000"))</f>
        <v/>
      </c>
      <c r="B471" s="95" t="n"/>
      <c r="C471" s="95" t="n"/>
      <c r="D471" s="96" t="n"/>
    </row>
    <row r="472">
      <c r="A472" s="95">
        <f>IF(B472="","", "CLI-"&amp;TEXT(ROW()-5,"000"))</f>
        <v/>
      </c>
      <c r="B472" s="95" t="n"/>
      <c r="C472" s="95" t="n"/>
      <c r="D472" s="96" t="n"/>
    </row>
    <row r="473">
      <c r="A473" s="95">
        <f>IF(B473="","", "CLI-"&amp;TEXT(ROW()-5,"000"))</f>
        <v/>
      </c>
      <c r="B473" s="95" t="n"/>
      <c r="C473" s="95" t="n"/>
      <c r="D473" s="96" t="n"/>
    </row>
    <row r="474">
      <c r="A474" s="95">
        <f>IF(B474="","", "CLI-"&amp;TEXT(ROW()-5,"000"))</f>
        <v/>
      </c>
      <c r="B474" s="95" t="n"/>
      <c r="C474" s="95" t="n"/>
      <c r="D474" s="96" t="n"/>
    </row>
    <row r="475">
      <c r="A475" s="95">
        <f>IF(B475="","", "CLI-"&amp;TEXT(ROW()-5,"000"))</f>
        <v/>
      </c>
      <c r="B475" s="95" t="n"/>
      <c r="C475" s="95" t="n"/>
      <c r="D475" s="96" t="n"/>
    </row>
    <row r="476">
      <c r="A476" s="95">
        <f>IF(B476="","", "CLI-"&amp;TEXT(ROW()-5,"000"))</f>
        <v/>
      </c>
      <c r="B476" s="95" t="n"/>
      <c r="C476" s="95" t="n"/>
      <c r="D476" s="96" t="n"/>
    </row>
    <row r="477">
      <c r="A477" s="95">
        <f>IF(B477="","", "CLI-"&amp;TEXT(ROW()-5,"000"))</f>
        <v/>
      </c>
      <c r="B477" s="95" t="n"/>
      <c r="C477" s="95" t="n"/>
      <c r="D477" s="96" t="n"/>
    </row>
    <row r="478">
      <c r="A478" s="95">
        <f>IF(B478="","", "CLI-"&amp;TEXT(ROW()-5,"000"))</f>
        <v/>
      </c>
      <c r="B478" s="95" t="n"/>
      <c r="C478" s="95" t="n"/>
      <c r="D478" s="96" t="n"/>
    </row>
    <row r="479">
      <c r="A479" s="95">
        <f>IF(B479="","", "CLI-"&amp;TEXT(ROW()-5,"000"))</f>
        <v/>
      </c>
      <c r="B479" s="95" t="n"/>
      <c r="C479" s="95" t="n"/>
      <c r="D479" s="96" t="n"/>
    </row>
    <row r="480">
      <c r="A480" s="95">
        <f>IF(B480="","", "CLI-"&amp;TEXT(ROW()-5,"000"))</f>
        <v/>
      </c>
      <c r="B480" s="95" t="n"/>
      <c r="C480" s="95" t="n"/>
      <c r="D480" s="96" t="n"/>
    </row>
    <row r="481">
      <c r="A481" s="95">
        <f>IF(B481="","", "CLI-"&amp;TEXT(ROW()-5,"000"))</f>
        <v/>
      </c>
      <c r="B481" s="95" t="n"/>
      <c r="C481" s="95" t="n"/>
      <c r="D481" s="96" t="n"/>
    </row>
    <row r="482">
      <c r="A482" s="95">
        <f>IF(B482="","", "CLI-"&amp;TEXT(ROW()-5,"000"))</f>
        <v/>
      </c>
      <c r="B482" s="95" t="n"/>
      <c r="C482" s="95" t="n"/>
      <c r="D482" s="96" t="n"/>
    </row>
    <row r="483">
      <c r="A483" s="95">
        <f>IF(B483="","", "CLI-"&amp;TEXT(ROW()-5,"000"))</f>
        <v/>
      </c>
      <c r="B483" s="95" t="n"/>
      <c r="C483" s="95" t="n"/>
      <c r="D483" s="96" t="n"/>
    </row>
    <row r="484">
      <c r="A484" s="95">
        <f>IF(B484="","", "CLI-"&amp;TEXT(ROW()-5,"000"))</f>
        <v/>
      </c>
      <c r="B484" s="95" t="n"/>
      <c r="C484" s="95" t="n"/>
      <c r="D484" s="96" t="n"/>
    </row>
    <row r="485">
      <c r="A485" s="95">
        <f>IF(B485="","", "CLI-"&amp;TEXT(ROW()-5,"000"))</f>
        <v/>
      </c>
      <c r="B485" s="95" t="n"/>
      <c r="C485" s="95" t="n"/>
      <c r="D485" s="96" t="n"/>
    </row>
    <row r="486">
      <c r="A486" s="95">
        <f>IF(B486="","", "CLI-"&amp;TEXT(ROW()-5,"000"))</f>
        <v/>
      </c>
      <c r="B486" s="95" t="n"/>
      <c r="C486" s="95" t="n"/>
      <c r="D486" s="96" t="n"/>
    </row>
    <row r="487">
      <c r="A487" s="95">
        <f>IF(B487="","", "CLI-"&amp;TEXT(ROW()-5,"000"))</f>
        <v/>
      </c>
      <c r="B487" s="95" t="n"/>
      <c r="C487" s="95" t="n"/>
      <c r="D487" s="96" t="n"/>
    </row>
    <row r="488">
      <c r="A488" s="95">
        <f>IF(B488="","", "CLI-"&amp;TEXT(ROW()-5,"000"))</f>
        <v/>
      </c>
      <c r="B488" s="95" t="n"/>
      <c r="C488" s="95" t="n"/>
      <c r="D488" s="96" t="n"/>
    </row>
    <row r="489">
      <c r="A489" s="95">
        <f>IF(B489="","", "CLI-"&amp;TEXT(ROW()-5,"000"))</f>
        <v/>
      </c>
      <c r="B489" s="95" t="n"/>
      <c r="C489" s="95" t="n"/>
      <c r="D489" s="96" t="n"/>
    </row>
    <row r="490">
      <c r="A490" s="95">
        <f>IF(B490="","", "CLI-"&amp;TEXT(ROW()-5,"000"))</f>
        <v/>
      </c>
      <c r="B490" s="95" t="n"/>
      <c r="C490" s="95" t="n"/>
      <c r="D490" s="96" t="n"/>
    </row>
    <row r="491">
      <c r="A491" s="95">
        <f>IF(B491="","", "CLI-"&amp;TEXT(ROW()-5,"000"))</f>
        <v/>
      </c>
      <c r="B491" s="95" t="n"/>
      <c r="C491" s="95" t="n"/>
      <c r="D491" s="96" t="n"/>
    </row>
    <row r="492">
      <c r="A492" s="95">
        <f>IF(B492="","", "CLI-"&amp;TEXT(ROW()-5,"000"))</f>
        <v/>
      </c>
      <c r="B492" s="95" t="n"/>
      <c r="C492" s="95" t="n"/>
      <c r="D492" s="96" t="n"/>
    </row>
    <row r="493">
      <c r="A493" s="95">
        <f>IF(B493="","", "CLI-"&amp;TEXT(ROW()-5,"000"))</f>
        <v/>
      </c>
      <c r="B493" s="95" t="n"/>
      <c r="C493" s="95" t="n"/>
      <c r="D493" s="96" t="n"/>
    </row>
    <row r="494">
      <c r="A494" s="95">
        <f>IF(B494="","", "CLI-"&amp;TEXT(ROW()-5,"000"))</f>
        <v/>
      </c>
      <c r="B494" s="95" t="n"/>
      <c r="C494" s="95" t="n"/>
      <c r="D494" s="96" t="n"/>
    </row>
    <row r="495">
      <c r="A495" s="95">
        <f>IF(B495="","", "CLI-"&amp;TEXT(ROW()-5,"000"))</f>
        <v/>
      </c>
      <c r="B495" s="95" t="n"/>
      <c r="C495" s="95" t="n"/>
      <c r="D495" s="96" t="n"/>
    </row>
    <row r="496">
      <c r="A496" s="95">
        <f>IF(B496="","", "CLI-"&amp;TEXT(ROW()-5,"000"))</f>
        <v/>
      </c>
      <c r="B496" s="95" t="n"/>
      <c r="C496" s="95" t="n"/>
      <c r="D496" s="96" t="n"/>
    </row>
    <row r="497">
      <c r="A497" s="95">
        <f>IF(B497="","", "CLI-"&amp;TEXT(ROW()-5,"000"))</f>
        <v/>
      </c>
      <c r="B497" s="95" t="n"/>
      <c r="C497" s="95" t="n"/>
      <c r="D497" s="96" t="n"/>
    </row>
    <row r="498">
      <c r="A498" s="95">
        <f>IF(B498="","", "CLI-"&amp;TEXT(ROW()-5,"000"))</f>
        <v/>
      </c>
      <c r="B498" s="95" t="n"/>
      <c r="C498" s="95" t="n"/>
      <c r="D498" s="96" t="n"/>
    </row>
    <row r="499">
      <c r="A499" s="95">
        <f>IF(B499="","", "CLI-"&amp;TEXT(ROW()-5,"000"))</f>
        <v/>
      </c>
      <c r="B499" s="95" t="n"/>
      <c r="C499" s="95" t="n"/>
      <c r="D499" s="96" t="n"/>
    </row>
    <row r="500">
      <c r="A500" s="95">
        <f>IF(B500="","", "CLI-"&amp;TEXT(ROW()-5,"000"))</f>
        <v/>
      </c>
      <c r="B500" s="95" t="n"/>
      <c r="C500" s="95" t="n"/>
      <c r="D500" s="96" t="n"/>
    </row>
    <row r="501">
      <c r="A501" s="95">
        <f>IF(B501="","", "CLI-"&amp;TEXT(ROW()-5,"000"))</f>
        <v/>
      </c>
      <c r="B501" s="95" t="n"/>
      <c r="C501" s="95" t="n"/>
      <c r="D501" s="96" t="n"/>
    </row>
    <row r="502">
      <c r="A502" s="95">
        <f>IF(B502="","", "CLI-"&amp;TEXT(ROW()-5,"000"))</f>
        <v/>
      </c>
      <c r="B502" s="95" t="n"/>
      <c r="C502" s="95" t="n"/>
      <c r="D502" s="96" t="n"/>
    </row>
    <row r="503">
      <c r="A503" s="95">
        <f>IF(B503="","", "CLI-"&amp;TEXT(ROW()-5,"000"))</f>
        <v/>
      </c>
      <c r="B503" s="95" t="n"/>
      <c r="C503" s="95" t="n"/>
      <c r="D503" s="96" t="n"/>
    </row>
    <row r="504">
      <c r="A504" s="95">
        <f>IF(B504="","", "CLI-"&amp;TEXT(ROW()-5,"000"))</f>
        <v/>
      </c>
      <c r="B504" s="95" t="n"/>
      <c r="C504" s="95" t="n"/>
      <c r="D504" s="96" t="n"/>
    </row>
    <row r="505">
      <c r="A505" s="95">
        <f>IF(B505="","", "CLI-"&amp;TEXT(ROW()-5,"000"))</f>
        <v/>
      </c>
      <c r="B505" s="95" t="n"/>
      <c r="C505" s="95" t="n"/>
      <c r="D505" s="96" t="n"/>
    </row>
    <row r="506">
      <c r="A506" s="95">
        <f>IF(B506="","", "CLI-"&amp;TEXT(ROW()-5,"000"))</f>
        <v/>
      </c>
      <c r="B506" s="95" t="n"/>
      <c r="C506" s="95" t="n"/>
      <c r="D506" s="96" t="n"/>
    </row>
    <row r="507">
      <c r="A507" s="95">
        <f>IF(B507="","", "CLI-"&amp;TEXT(ROW()-5,"000"))</f>
        <v/>
      </c>
      <c r="B507" s="95" t="n"/>
      <c r="C507" s="95" t="n"/>
      <c r="D507" s="96" t="n"/>
    </row>
    <row r="508">
      <c r="A508" s="95">
        <f>IF(B508="","", "CLI-"&amp;TEXT(ROW()-5,"000"))</f>
        <v/>
      </c>
      <c r="B508" s="95" t="n"/>
      <c r="C508" s="95" t="n"/>
      <c r="D508" s="96" t="n"/>
    </row>
    <row r="509">
      <c r="A509" s="95">
        <f>IF(B509="","", "CLI-"&amp;TEXT(ROW()-5,"000"))</f>
        <v/>
      </c>
      <c r="B509" s="95" t="n"/>
      <c r="C509" s="95" t="n"/>
      <c r="D509" s="96" t="n"/>
    </row>
    <row r="510">
      <c r="A510" s="95">
        <f>IF(B510="","", "CLI-"&amp;TEXT(ROW()-5,"000"))</f>
        <v/>
      </c>
      <c r="B510" s="95" t="n"/>
      <c r="C510" s="95" t="n"/>
      <c r="D510" s="96" t="n"/>
    </row>
    <row r="511">
      <c r="A511" s="95">
        <f>IF(B511="","", "CLI-"&amp;TEXT(ROW()-5,"000"))</f>
        <v/>
      </c>
      <c r="B511" s="95" t="n"/>
      <c r="C511" s="95" t="n"/>
      <c r="D511" s="96" t="n"/>
    </row>
    <row r="512">
      <c r="A512" s="95">
        <f>IF(B512="","", "CLI-"&amp;TEXT(ROW()-5,"000"))</f>
        <v/>
      </c>
      <c r="B512" s="95" t="n"/>
      <c r="C512" s="95" t="n"/>
      <c r="D512" s="96" t="n"/>
    </row>
    <row r="513">
      <c r="A513" s="95">
        <f>IF(B513="","", "CLI-"&amp;TEXT(ROW()-5,"000"))</f>
        <v/>
      </c>
      <c r="B513" s="95" t="n"/>
      <c r="C513" s="95" t="n"/>
      <c r="D513" s="96" t="n"/>
    </row>
    <row r="514">
      <c r="A514" s="95">
        <f>IF(B514="","", "CLI-"&amp;TEXT(ROW()-5,"000"))</f>
        <v/>
      </c>
      <c r="B514" s="95" t="n"/>
      <c r="C514" s="95" t="n"/>
      <c r="D514" s="96" t="n"/>
    </row>
    <row r="515">
      <c r="A515" s="95">
        <f>IF(B515="","", "CLI-"&amp;TEXT(ROW()-5,"000"))</f>
        <v/>
      </c>
      <c r="B515" s="95" t="n"/>
      <c r="C515" s="95" t="n"/>
      <c r="D515" s="96" t="n"/>
    </row>
    <row r="516">
      <c r="A516" s="95">
        <f>IF(B516="","", "CLI-"&amp;TEXT(ROW()-5,"000"))</f>
        <v/>
      </c>
      <c r="B516" s="95" t="n"/>
      <c r="C516" s="95" t="n"/>
      <c r="D516" s="96" t="n"/>
    </row>
    <row r="517">
      <c r="A517" s="95">
        <f>IF(B517="","", "CLI-"&amp;TEXT(ROW()-5,"000"))</f>
        <v/>
      </c>
      <c r="B517" s="95" t="n"/>
      <c r="C517" s="95" t="n"/>
      <c r="D517" s="96" t="n"/>
    </row>
    <row r="518">
      <c r="A518" s="95">
        <f>IF(B518="","", "CLI-"&amp;TEXT(ROW()-5,"000"))</f>
        <v/>
      </c>
      <c r="B518" s="95" t="n"/>
      <c r="C518" s="95" t="n"/>
      <c r="D518" s="96" t="n"/>
    </row>
    <row r="519">
      <c r="A519" s="95">
        <f>IF(B519="","", "CLI-"&amp;TEXT(ROW()-5,"000"))</f>
        <v/>
      </c>
      <c r="B519" s="95" t="n"/>
      <c r="C519" s="95" t="n"/>
      <c r="D519" s="96" t="n"/>
    </row>
    <row r="520">
      <c r="A520" s="95">
        <f>IF(B520="","", "CLI-"&amp;TEXT(ROW()-5,"000"))</f>
        <v/>
      </c>
      <c r="B520" s="95" t="n"/>
      <c r="C520" s="95" t="n"/>
      <c r="D520" s="96" t="n"/>
    </row>
    <row r="521">
      <c r="A521" s="95">
        <f>IF(B521="","", "CLI-"&amp;TEXT(ROW()-5,"000"))</f>
        <v/>
      </c>
      <c r="B521" s="95" t="n"/>
      <c r="C521" s="95" t="n"/>
      <c r="D521" s="96" t="n"/>
    </row>
    <row r="522">
      <c r="A522" s="95">
        <f>IF(B522="","", "CLI-"&amp;TEXT(ROW()-5,"000"))</f>
        <v/>
      </c>
      <c r="B522" s="95" t="n"/>
      <c r="C522" s="95" t="n"/>
      <c r="D522" s="96" t="n"/>
    </row>
    <row r="523">
      <c r="A523" s="95">
        <f>IF(B523="","", "CLI-"&amp;TEXT(ROW()-5,"000"))</f>
        <v/>
      </c>
      <c r="B523" s="95" t="n"/>
      <c r="C523" s="95" t="n"/>
      <c r="D523" s="96" t="n"/>
    </row>
    <row r="524">
      <c r="A524" s="95">
        <f>IF(B524="","", "CLI-"&amp;TEXT(ROW()-5,"000"))</f>
        <v/>
      </c>
      <c r="B524" s="95" t="n"/>
      <c r="C524" s="95" t="n"/>
      <c r="D524" s="96" t="n"/>
    </row>
    <row r="525">
      <c r="A525" s="95">
        <f>IF(B525="","", "CLI-"&amp;TEXT(ROW()-5,"000"))</f>
        <v/>
      </c>
      <c r="B525" s="95" t="n"/>
      <c r="C525" s="95" t="n"/>
      <c r="D525" s="96" t="n"/>
    </row>
    <row r="526">
      <c r="A526" s="95">
        <f>IF(B526="","", "CLI-"&amp;TEXT(ROW()-5,"000"))</f>
        <v/>
      </c>
      <c r="B526" s="95" t="n"/>
      <c r="C526" s="95" t="n"/>
      <c r="D526" s="96" t="n"/>
    </row>
    <row r="527">
      <c r="A527" s="95">
        <f>IF(B527="","", "CLI-"&amp;TEXT(ROW()-5,"000"))</f>
        <v/>
      </c>
      <c r="B527" s="95" t="n"/>
      <c r="C527" s="95" t="n"/>
      <c r="D527" s="96" t="n"/>
    </row>
    <row r="528">
      <c r="A528" s="95">
        <f>IF(B528="","", "CLI-"&amp;TEXT(ROW()-5,"000"))</f>
        <v/>
      </c>
      <c r="B528" s="95" t="n"/>
      <c r="C528" s="95" t="n"/>
      <c r="D528" s="96" t="n"/>
    </row>
    <row r="529">
      <c r="A529" s="95">
        <f>IF(B529="","", "CLI-"&amp;TEXT(ROW()-5,"000"))</f>
        <v/>
      </c>
      <c r="B529" s="95" t="n"/>
      <c r="C529" s="95" t="n"/>
      <c r="D529" s="96" t="n"/>
    </row>
    <row r="530">
      <c r="A530" s="95">
        <f>IF(B530="","", "CLI-"&amp;TEXT(ROW()-5,"000"))</f>
        <v/>
      </c>
      <c r="B530" s="95" t="n"/>
      <c r="C530" s="95" t="n"/>
      <c r="D530" s="96" t="n"/>
    </row>
    <row r="531">
      <c r="A531" s="95">
        <f>IF(B531="","", "CLI-"&amp;TEXT(ROW()-5,"000"))</f>
        <v/>
      </c>
      <c r="B531" s="95" t="n"/>
      <c r="C531" s="95" t="n"/>
      <c r="D531" s="96" t="n"/>
    </row>
    <row r="532">
      <c r="A532" s="95">
        <f>IF(B532="","", "CLI-"&amp;TEXT(ROW()-5,"000"))</f>
        <v/>
      </c>
      <c r="B532" s="95" t="n"/>
      <c r="C532" s="95" t="n"/>
      <c r="D532" s="96" t="n"/>
    </row>
    <row r="533">
      <c r="A533" s="95">
        <f>IF(B533="","", "CLI-"&amp;TEXT(ROW()-5,"000"))</f>
        <v/>
      </c>
      <c r="B533" s="95" t="n"/>
      <c r="C533" s="95" t="n"/>
      <c r="D533" s="96" t="n"/>
    </row>
    <row r="534">
      <c r="A534" s="95">
        <f>IF(B534="","", "CLI-"&amp;TEXT(ROW()-5,"000"))</f>
        <v/>
      </c>
      <c r="B534" s="95" t="n"/>
      <c r="C534" s="95" t="n"/>
      <c r="D534" s="96" t="n"/>
    </row>
    <row r="535">
      <c r="A535" s="95">
        <f>IF(B535="","", "CLI-"&amp;TEXT(ROW()-5,"000"))</f>
        <v/>
      </c>
      <c r="B535" s="95" t="n"/>
      <c r="C535" s="95" t="n"/>
      <c r="D535" s="96" t="n"/>
    </row>
    <row r="536">
      <c r="A536" s="95">
        <f>IF(B536="","", "CLI-"&amp;TEXT(ROW()-5,"000"))</f>
        <v/>
      </c>
      <c r="B536" s="95" t="n"/>
      <c r="C536" s="95" t="n"/>
      <c r="D536" s="96" t="n"/>
    </row>
    <row r="537">
      <c r="A537" s="95">
        <f>IF(B537="","", "CLI-"&amp;TEXT(ROW()-5,"000"))</f>
        <v/>
      </c>
      <c r="B537" s="95" t="n"/>
      <c r="C537" s="95" t="n"/>
      <c r="D537" s="96" t="n"/>
    </row>
    <row r="538">
      <c r="A538" s="95">
        <f>IF(B538="","", "CLI-"&amp;TEXT(ROW()-5,"000"))</f>
        <v/>
      </c>
      <c r="B538" s="95" t="n"/>
      <c r="C538" s="95" t="n"/>
      <c r="D538" s="96" t="n"/>
    </row>
    <row r="539">
      <c r="A539" s="95">
        <f>IF(B539="","", "CLI-"&amp;TEXT(ROW()-5,"000"))</f>
        <v/>
      </c>
      <c r="B539" s="95" t="n"/>
      <c r="C539" s="95" t="n"/>
      <c r="D539" s="96" t="n"/>
    </row>
    <row r="540">
      <c r="A540" s="95">
        <f>IF(B540="","", "CLI-"&amp;TEXT(ROW()-5,"000"))</f>
        <v/>
      </c>
      <c r="B540" s="95" t="n"/>
      <c r="C540" s="95" t="n"/>
      <c r="D540" s="96" t="n"/>
    </row>
    <row r="541">
      <c r="A541" s="95">
        <f>IF(B541="","", "CLI-"&amp;TEXT(ROW()-5,"000"))</f>
        <v/>
      </c>
      <c r="B541" s="95" t="n"/>
      <c r="C541" s="95" t="n"/>
      <c r="D541" s="96" t="n"/>
    </row>
    <row r="542">
      <c r="A542" s="95">
        <f>IF(B542="","", "CLI-"&amp;TEXT(ROW()-5,"000"))</f>
        <v/>
      </c>
      <c r="B542" s="95" t="n"/>
      <c r="C542" s="95" t="n"/>
      <c r="D542" s="96" t="n"/>
    </row>
    <row r="543">
      <c r="A543" s="95">
        <f>IF(B543="","", "CLI-"&amp;TEXT(ROW()-5,"000"))</f>
        <v/>
      </c>
      <c r="B543" s="95" t="n"/>
      <c r="C543" s="95" t="n"/>
      <c r="D543" s="96" t="n"/>
    </row>
    <row r="544">
      <c r="A544" s="95">
        <f>IF(B544="","", "CLI-"&amp;TEXT(ROW()-5,"000"))</f>
        <v/>
      </c>
      <c r="B544" s="95" t="n"/>
      <c r="C544" s="95" t="n"/>
      <c r="D544" s="96" t="n"/>
    </row>
    <row r="545">
      <c r="A545" s="95">
        <f>IF(B545="","", "CLI-"&amp;TEXT(ROW()-5,"000"))</f>
        <v/>
      </c>
      <c r="B545" s="95" t="n"/>
      <c r="C545" s="95" t="n"/>
      <c r="D545" s="96" t="n"/>
    </row>
    <row r="546">
      <c r="A546" s="95">
        <f>IF(B546="","", "CLI-"&amp;TEXT(ROW()-5,"000"))</f>
        <v/>
      </c>
      <c r="B546" s="95" t="n"/>
      <c r="C546" s="95" t="n"/>
      <c r="D546" s="96" t="n"/>
    </row>
    <row r="547">
      <c r="A547" s="95">
        <f>IF(B547="","", "CLI-"&amp;TEXT(ROW()-5,"000"))</f>
        <v/>
      </c>
      <c r="B547" s="95" t="n"/>
      <c r="C547" s="95" t="n"/>
      <c r="D547" s="96" t="n"/>
    </row>
    <row r="548">
      <c r="A548" s="95">
        <f>IF(B548="","", "CLI-"&amp;TEXT(ROW()-5,"000"))</f>
        <v/>
      </c>
      <c r="B548" s="95" t="n"/>
      <c r="C548" s="95" t="n"/>
      <c r="D548" s="96" t="n"/>
    </row>
    <row r="549">
      <c r="A549" s="95">
        <f>IF(B549="","", "CLI-"&amp;TEXT(ROW()-5,"000"))</f>
        <v/>
      </c>
      <c r="B549" s="95" t="n"/>
      <c r="C549" s="95" t="n"/>
      <c r="D549" s="96" t="n"/>
    </row>
    <row r="550">
      <c r="A550" s="95">
        <f>IF(B550="","", "CLI-"&amp;TEXT(ROW()-5,"000"))</f>
        <v/>
      </c>
      <c r="B550" s="95" t="n"/>
      <c r="C550" s="95" t="n"/>
      <c r="D550" s="96" t="n"/>
    </row>
    <row r="551">
      <c r="A551" s="95">
        <f>IF(B551="","", "CLI-"&amp;TEXT(ROW()-5,"000"))</f>
        <v/>
      </c>
      <c r="B551" s="95" t="n"/>
      <c r="C551" s="95" t="n"/>
      <c r="D551" s="96" t="n"/>
    </row>
    <row r="552">
      <c r="A552" s="95">
        <f>IF(B552="","", "CLI-"&amp;TEXT(ROW()-5,"000"))</f>
        <v/>
      </c>
      <c r="B552" s="95" t="n"/>
      <c r="C552" s="95" t="n"/>
      <c r="D552" s="96" t="n"/>
    </row>
    <row r="553">
      <c r="A553" s="95">
        <f>IF(B553="","", "CLI-"&amp;TEXT(ROW()-5,"000"))</f>
        <v/>
      </c>
      <c r="B553" s="95" t="n"/>
      <c r="C553" s="95" t="n"/>
      <c r="D553" s="96" t="n"/>
    </row>
    <row r="554">
      <c r="A554" s="95">
        <f>IF(B554="","", "CLI-"&amp;TEXT(ROW()-5,"000"))</f>
        <v/>
      </c>
      <c r="B554" s="95" t="n"/>
      <c r="C554" s="95" t="n"/>
      <c r="D554" s="96" t="n"/>
    </row>
    <row r="555">
      <c r="A555" s="95">
        <f>IF(B555="","", "CLI-"&amp;TEXT(ROW()-5,"000"))</f>
        <v/>
      </c>
      <c r="B555" s="95" t="n"/>
      <c r="C555" s="95" t="n"/>
      <c r="D555" s="96" t="n"/>
    </row>
    <row r="556">
      <c r="A556" s="95">
        <f>IF(B556="","", "CLI-"&amp;TEXT(ROW()-5,"000"))</f>
        <v/>
      </c>
      <c r="B556" s="95" t="n"/>
      <c r="C556" s="95" t="n"/>
      <c r="D556" s="96" t="n"/>
    </row>
    <row r="557">
      <c r="A557" s="95">
        <f>IF(B557="","", "CLI-"&amp;TEXT(ROW()-5,"000"))</f>
        <v/>
      </c>
      <c r="B557" s="95" t="n"/>
      <c r="C557" s="95" t="n"/>
      <c r="D557" s="96" t="n"/>
    </row>
    <row r="558">
      <c r="A558" s="95">
        <f>IF(B558="","", "CLI-"&amp;TEXT(ROW()-5,"000"))</f>
        <v/>
      </c>
      <c r="B558" s="95" t="n"/>
      <c r="C558" s="95" t="n"/>
      <c r="D558" s="96" t="n"/>
    </row>
    <row r="559">
      <c r="A559" s="95">
        <f>IF(B559="","", "CLI-"&amp;TEXT(ROW()-5,"000"))</f>
        <v/>
      </c>
      <c r="B559" s="95" t="n"/>
      <c r="C559" s="95" t="n"/>
      <c r="D559" s="96" t="n"/>
    </row>
    <row r="560">
      <c r="A560" s="95">
        <f>IF(B560="","", "CLI-"&amp;TEXT(ROW()-5,"000"))</f>
        <v/>
      </c>
      <c r="B560" s="95" t="n"/>
      <c r="C560" s="95" t="n"/>
      <c r="D560" s="96" t="n"/>
    </row>
    <row r="561">
      <c r="A561" s="95">
        <f>IF(B561="","", "CLI-"&amp;TEXT(ROW()-5,"000"))</f>
        <v/>
      </c>
      <c r="B561" s="95" t="n"/>
      <c r="C561" s="95" t="n"/>
      <c r="D561" s="96" t="n"/>
    </row>
    <row r="562">
      <c r="A562" s="95">
        <f>IF(B562="","", "CLI-"&amp;TEXT(ROW()-5,"000"))</f>
        <v/>
      </c>
      <c r="B562" s="95" t="n"/>
      <c r="C562" s="95" t="n"/>
      <c r="D562" s="96" t="n"/>
    </row>
    <row r="563">
      <c r="A563" s="95">
        <f>IF(B563="","", "CLI-"&amp;TEXT(ROW()-5,"000"))</f>
        <v/>
      </c>
      <c r="B563" s="95" t="n"/>
      <c r="C563" s="95" t="n"/>
      <c r="D563" s="96" t="n"/>
    </row>
    <row r="564">
      <c r="A564" s="95">
        <f>IF(B564="","", "CLI-"&amp;TEXT(ROW()-5,"000"))</f>
        <v/>
      </c>
      <c r="B564" s="95" t="n"/>
      <c r="C564" s="95" t="n"/>
      <c r="D564" s="96" t="n"/>
    </row>
    <row r="565">
      <c r="A565" s="95">
        <f>IF(B565="","", "CLI-"&amp;TEXT(ROW()-5,"000"))</f>
        <v/>
      </c>
      <c r="B565" s="95" t="n"/>
      <c r="C565" s="95" t="n"/>
      <c r="D565" s="96" t="n"/>
    </row>
    <row r="566">
      <c r="A566" s="95">
        <f>IF(B566="","", "CLI-"&amp;TEXT(ROW()-5,"000"))</f>
        <v/>
      </c>
      <c r="B566" s="95" t="n"/>
      <c r="C566" s="95" t="n"/>
      <c r="D566" s="96" t="n"/>
    </row>
    <row r="567">
      <c r="A567" s="95">
        <f>IF(B567="","", "CLI-"&amp;TEXT(ROW()-5,"000"))</f>
        <v/>
      </c>
      <c r="B567" s="95" t="n"/>
      <c r="C567" s="95" t="n"/>
      <c r="D567" s="96" t="n"/>
    </row>
    <row r="568">
      <c r="A568" s="95">
        <f>IF(B568="","", "CLI-"&amp;TEXT(ROW()-5,"000"))</f>
        <v/>
      </c>
      <c r="B568" s="95" t="n"/>
      <c r="C568" s="95" t="n"/>
      <c r="D568" s="96" t="n"/>
    </row>
    <row r="569">
      <c r="A569" s="95">
        <f>IF(B569="","", "CLI-"&amp;TEXT(ROW()-5,"000"))</f>
        <v/>
      </c>
      <c r="B569" s="95" t="n"/>
      <c r="C569" s="95" t="n"/>
      <c r="D569" s="96" t="n"/>
    </row>
    <row r="570">
      <c r="A570" s="95">
        <f>IF(B570="","", "CLI-"&amp;TEXT(ROW()-5,"000"))</f>
        <v/>
      </c>
      <c r="B570" s="95" t="n"/>
      <c r="C570" s="95" t="n"/>
      <c r="D570" s="96" t="n"/>
    </row>
    <row r="571">
      <c r="A571" s="95">
        <f>IF(B571="","", "CLI-"&amp;TEXT(ROW()-5,"000"))</f>
        <v/>
      </c>
      <c r="B571" s="95" t="n"/>
      <c r="C571" s="95" t="n"/>
      <c r="D571" s="96" t="n"/>
    </row>
    <row r="572">
      <c r="A572" s="95">
        <f>IF(B572="","", "CLI-"&amp;TEXT(ROW()-5,"000"))</f>
        <v/>
      </c>
      <c r="B572" s="95" t="n"/>
      <c r="C572" s="95" t="n"/>
      <c r="D572" s="96" t="n"/>
    </row>
    <row r="573">
      <c r="A573" s="95">
        <f>IF(B573="","", "CLI-"&amp;TEXT(ROW()-5,"000"))</f>
        <v/>
      </c>
      <c r="B573" s="95" t="n"/>
      <c r="C573" s="95" t="n"/>
      <c r="D573" s="96" t="n"/>
    </row>
    <row r="574">
      <c r="A574" s="95">
        <f>IF(B574="","", "CLI-"&amp;TEXT(ROW()-5,"000"))</f>
        <v/>
      </c>
      <c r="B574" s="95" t="n"/>
      <c r="C574" s="95" t="n"/>
      <c r="D574" s="96" t="n"/>
    </row>
    <row r="575">
      <c r="A575" s="95">
        <f>IF(B575="","", "CLI-"&amp;TEXT(ROW()-5,"000"))</f>
        <v/>
      </c>
      <c r="B575" s="95" t="n"/>
      <c r="C575" s="95" t="n"/>
      <c r="D575" s="96" t="n"/>
    </row>
    <row r="576">
      <c r="A576" s="95">
        <f>IF(B576="","", "CLI-"&amp;TEXT(ROW()-5,"000"))</f>
        <v/>
      </c>
      <c r="B576" s="95" t="n"/>
      <c r="C576" s="95" t="n"/>
      <c r="D576" s="96" t="n"/>
    </row>
    <row r="577">
      <c r="A577" s="95">
        <f>IF(B577="","", "CLI-"&amp;TEXT(ROW()-5,"000"))</f>
        <v/>
      </c>
      <c r="B577" s="95" t="n"/>
      <c r="C577" s="95" t="n"/>
      <c r="D577" s="96" t="n"/>
    </row>
    <row r="578">
      <c r="A578" s="95">
        <f>IF(B578="","", "CLI-"&amp;TEXT(ROW()-5,"000"))</f>
        <v/>
      </c>
      <c r="B578" s="95" t="n"/>
      <c r="C578" s="95" t="n"/>
      <c r="D578" s="96" t="n"/>
    </row>
    <row r="579">
      <c r="A579" s="95">
        <f>IF(B579="","", "CLI-"&amp;TEXT(ROW()-5,"000"))</f>
        <v/>
      </c>
      <c r="B579" s="95" t="n"/>
      <c r="C579" s="95" t="n"/>
      <c r="D579" s="96" t="n"/>
    </row>
    <row r="580">
      <c r="A580" s="95">
        <f>IF(B580="","", "CLI-"&amp;TEXT(ROW()-5,"000"))</f>
        <v/>
      </c>
      <c r="B580" s="95" t="n"/>
      <c r="C580" s="95" t="n"/>
      <c r="D580" s="96" t="n"/>
    </row>
    <row r="581">
      <c r="A581" s="95">
        <f>IF(B581="","", "CLI-"&amp;TEXT(ROW()-5,"000"))</f>
        <v/>
      </c>
      <c r="B581" s="95" t="n"/>
      <c r="C581" s="95" t="n"/>
      <c r="D581" s="96" t="n"/>
    </row>
    <row r="582">
      <c r="A582" s="95">
        <f>IF(B582="","", "CLI-"&amp;TEXT(ROW()-5,"000"))</f>
        <v/>
      </c>
      <c r="B582" s="95" t="n"/>
      <c r="C582" s="95" t="n"/>
      <c r="D582" s="96" t="n"/>
    </row>
    <row r="583">
      <c r="A583" s="95">
        <f>IF(B583="","", "CLI-"&amp;TEXT(ROW()-5,"000"))</f>
        <v/>
      </c>
      <c r="B583" s="95" t="n"/>
      <c r="C583" s="95" t="n"/>
      <c r="D583" s="96" t="n"/>
    </row>
    <row r="584">
      <c r="A584" s="95">
        <f>IF(B584="","", "CLI-"&amp;TEXT(ROW()-5,"000"))</f>
        <v/>
      </c>
      <c r="B584" s="95" t="n"/>
      <c r="C584" s="95" t="n"/>
      <c r="D584" s="96" t="n"/>
    </row>
    <row r="585">
      <c r="A585" s="95">
        <f>IF(B585="","", "CLI-"&amp;TEXT(ROW()-5,"000"))</f>
        <v/>
      </c>
      <c r="B585" s="95" t="n"/>
      <c r="C585" s="95" t="n"/>
      <c r="D585" s="96" t="n"/>
    </row>
    <row r="586">
      <c r="A586" s="95">
        <f>IF(B586="","", "CLI-"&amp;TEXT(ROW()-5,"000"))</f>
        <v/>
      </c>
      <c r="B586" s="95" t="n"/>
      <c r="C586" s="95" t="n"/>
      <c r="D586" s="96" t="n"/>
    </row>
    <row r="587">
      <c r="A587" s="95">
        <f>IF(B587="","", "CLI-"&amp;TEXT(ROW()-5,"000"))</f>
        <v/>
      </c>
      <c r="B587" s="95" t="n"/>
      <c r="C587" s="95" t="n"/>
      <c r="D587" s="96" t="n"/>
    </row>
    <row r="588">
      <c r="A588" s="95">
        <f>IF(B588="","", "CLI-"&amp;TEXT(ROW()-5,"000"))</f>
        <v/>
      </c>
      <c r="B588" s="95" t="n"/>
      <c r="C588" s="95" t="n"/>
      <c r="D588" s="96" t="n"/>
    </row>
    <row r="589">
      <c r="A589" s="95">
        <f>IF(B589="","", "CLI-"&amp;TEXT(ROW()-5,"000"))</f>
        <v/>
      </c>
      <c r="B589" s="95" t="n"/>
      <c r="C589" s="95" t="n"/>
      <c r="D589" s="96" t="n"/>
    </row>
    <row r="590">
      <c r="A590" s="95">
        <f>IF(B590="","", "CLI-"&amp;TEXT(ROW()-5,"000"))</f>
        <v/>
      </c>
      <c r="B590" s="95" t="n"/>
      <c r="C590" s="95" t="n"/>
      <c r="D590" s="96" t="n"/>
    </row>
    <row r="591">
      <c r="A591" s="95">
        <f>IF(B591="","", "CLI-"&amp;TEXT(ROW()-5,"000"))</f>
        <v/>
      </c>
      <c r="B591" s="95" t="n"/>
      <c r="C591" s="95" t="n"/>
      <c r="D591" s="96" t="n"/>
    </row>
    <row r="592">
      <c r="A592" s="95">
        <f>IF(B592="","", "CLI-"&amp;TEXT(ROW()-5,"000"))</f>
        <v/>
      </c>
      <c r="B592" s="95" t="n"/>
      <c r="C592" s="95" t="n"/>
      <c r="D592" s="96" t="n"/>
    </row>
    <row r="593">
      <c r="A593" s="95">
        <f>IF(B593="","", "CLI-"&amp;TEXT(ROW()-5,"000"))</f>
        <v/>
      </c>
      <c r="B593" s="95" t="n"/>
      <c r="C593" s="95" t="n"/>
      <c r="D593" s="96" t="n"/>
    </row>
    <row r="594">
      <c r="A594" s="95">
        <f>IF(B594="","", "CLI-"&amp;TEXT(ROW()-5,"000"))</f>
        <v/>
      </c>
      <c r="B594" s="95" t="n"/>
      <c r="C594" s="95" t="n"/>
      <c r="D594" s="96" t="n"/>
    </row>
    <row r="595">
      <c r="A595" s="95">
        <f>IF(B595="","", "CLI-"&amp;TEXT(ROW()-5,"000"))</f>
        <v/>
      </c>
      <c r="B595" s="95" t="n"/>
      <c r="C595" s="95" t="n"/>
      <c r="D595" s="96" t="n"/>
    </row>
    <row r="596">
      <c r="A596" s="95">
        <f>IF(B596="","", "CLI-"&amp;TEXT(ROW()-5,"000"))</f>
        <v/>
      </c>
      <c r="B596" s="95" t="n"/>
      <c r="C596" s="95" t="n"/>
      <c r="D596" s="96" t="n"/>
    </row>
    <row r="597">
      <c r="A597" s="95">
        <f>IF(B597="","", "CLI-"&amp;TEXT(ROW()-5,"000"))</f>
        <v/>
      </c>
      <c r="B597" s="95" t="n"/>
      <c r="C597" s="95" t="n"/>
      <c r="D597" s="96" t="n"/>
    </row>
    <row r="598">
      <c r="A598" s="95">
        <f>IF(B598="","", "CLI-"&amp;TEXT(ROW()-5,"000"))</f>
        <v/>
      </c>
      <c r="B598" s="95" t="n"/>
      <c r="C598" s="95" t="n"/>
      <c r="D598" s="96" t="n"/>
    </row>
    <row r="599">
      <c r="A599" s="95">
        <f>IF(B599="","", "CLI-"&amp;TEXT(ROW()-5,"000"))</f>
        <v/>
      </c>
      <c r="B599" s="95" t="n"/>
      <c r="C599" s="95" t="n"/>
      <c r="D599" s="96" t="n"/>
    </row>
    <row r="600">
      <c r="A600" s="95">
        <f>IF(B600="","", "CLI-"&amp;TEXT(ROW()-5,"000"))</f>
        <v/>
      </c>
      <c r="B600" s="95" t="n"/>
      <c r="C600" s="95" t="n"/>
      <c r="D600" s="96" t="n"/>
    </row>
    <row r="601">
      <c r="A601" s="95">
        <f>IF(B601="","", "CLI-"&amp;TEXT(ROW()-5,"000"))</f>
        <v/>
      </c>
      <c r="B601" s="95" t="n"/>
      <c r="C601" s="95" t="n"/>
      <c r="D601" s="96" t="n"/>
    </row>
    <row r="602">
      <c r="A602" s="95">
        <f>IF(B602="","", "CLI-"&amp;TEXT(ROW()-5,"000"))</f>
        <v/>
      </c>
      <c r="B602" s="95" t="n"/>
      <c r="C602" s="95" t="n"/>
      <c r="D602" s="96" t="n"/>
    </row>
    <row r="603">
      <c r="A603" s="95">
        <f>IF(B603="","", "CLI-"&amp;TEXT(ROW()-5,"000"))</f>
        <v/>
      </c>
      <c r="B603" s="95" t="n"/>
      <c r="C603" s="95" t="n"/>
      <c r="D603" s="96" t="n"/>
    </row>
    <row r="604">
      <c r="A604" s="95">
        <f>IF(B604="","", "CLI-"&amp;TEXT(ROW()-5,"000"))</f>
        <v/>
      </c>
      <c r="B604" s="95" t="n"/>
      <c r="C604" s="95" t="n"/>
      <c r="D604" s="96" t="n"/>
    </row>
    <row r="605">
      <c r="A605" s="95">
        <f>IF(B605="","", "CLI-"&amp;TEXT(ROW()-5,"000"))</f>
        <v/>
      </c>
      <c r="B605" s="95" t="n"/>
      <c r="C605" s="95" t="n"/>
      <c r="D605" s="96" t="n"/>
    </row>
    <row r="606">
      <c r="A606" s="95">
        <f>IF(B606="","", "CLI-"&amp;TEXT(ROW()-5,"000"))</f>
        <v/>
      </c>
      <c r="B606" s="95" t="n"/>
      <c r="C606" s="95" t="n"/>
      <c r="D606" s="96" t="n"/>
    </row>
    <row r="607">
      <c r="A607" s="95">
        <f>IF(B607="","", "CLI-"&amp;TEXT(ROW()-5,"000"))</f>
        <v/>
      </c>
      <c r="B607" s="95" t="n"/>
      <c r="C607" s="95" t="n"/>
      <c r="D607" s="96" t="n"/>
    </row>
    <row r="608">
      <c r="A608" s="95">
        <f>IF(B608="","", "CLI-"&amp;TEXT(ROW()-5,"000"))</f>
        <v/>
      </c>
      <c r="B608" s="95" t="n"/>
      <c r="C608" s="95" t="n"/>
      <c r="D608" s="96" t="n"/>
    </row>
    <row r="609">
      <c r="A609" s="95">
        <f>IF(B609="","", "CLI-"&amp;TEXT(ROW()-5,"000"))</f>
        <v/>
      </c>
      <c r="B609" s="95" t="n"/>
      <c r="C609" s="95" t="n"/>
      <c r="D609" s="96" t="n"/>
    </row>
    <row r="610">
      <c r="A610" s="95">
        <f>IF(B610="","", "CLI-"&amp;TEXT(ROW()-5,"000"))</f>
        <v/>
      </c>
      <c r="B610" s="95" t="n"/>
      <c r="C610" s="95" t="n"/>
      <c r="D610" s="96" t="n"/>
    </row>
    <row r="611">
      <c r="A611" s="95">
        <f>IF(B611="","", "CLI-"&amp;TEXT(ROW()-5,"000"))</f>
        <v/>
      </c>
      <c r="B611" s="95" t="n"/>
      <c r="C611" s="95" t="n"/>
      <c r="D611" s="96" t="n"/>
    </row>
    <row r="612">
      <c r="A612" s="95">
        <f>IF(B612="","", "CLI-"&amp;TEXT(ROW()-5,"000"))</f>
        <v/>
      </c>
      <c r="B612" s="95" t="n"/>
      <c r="C612" s="95" t="n"/>
      <c r="D612" s="96" t="n"/>
    </row>
    <row r="613">
      <c r="A613" s="95">
        <f>IF(B613="","", "CLI-"&amp;TEXT(ROW()-5,"000"))</f>
        <v/>
      </c>
      <c r="B613" s="95" t="n"/>
      <c r="C613" s="95" t="n"/>
      <c r="D613" s="96" t="n"/>
    </row>
    <row r="614">
      <c r="A614" s="95">
        <f>IF(B614="","", "CLI-"&amp;TEXT(ROW()-5,"000"))</f>
        <v/>
      </c>
      <c r="B614" s="95" t="n"/>
      <c r="C614" s="95" t="n"/>
      <c r="D614" s="96" t="n"/>
    </row>
    <row r="615">
      <c r="A615" s="95">
        <f>IF(B615="","", "CLI-"&amp;TEXT(ROW()-5,"000"))</f>
        <v/>
      </c>
      <c r="B615" s="95" t="n"/>
      <c r="C615" s="95" t="n"/>
      <c r="D615" s="96" t="n"/>
    </row>
    <row r="616">
      <c r="A616" s="95">
        <f>IF(B616="","", "CLI-"&amp;TEXT(ROW()-5,"000"))</f>
        <v/>
      </c>
      <c r="B616" s="95" t="n"/>
      <c r="C616" s="95" t="n"/>
      <c r="D616" s="96" t="n"/>
    </row>
    <row r="617">
      <c r="A617" s="95">
        <f>IF(B617="","", "CLI-"&amp;TEXT(ROW()-5,"000"))</f>
        <v/>
      </c>
      <c r="B617" s="95" t="n"/>
      <c r="C617" s="95" t="n"/>
      <c r="D617" s="96" t="n"/>
    </row>
    <row r="618">
      <c r="A618" s="95">
        <f>IF(B618="","", "CLI-"&amp;TEXT(ROW()-5,"000"))</f>
        <v/>
      </c>
      <c r="B618" s="95" t="n"/>
      <c r="C618" s="95" t="n"/>
      <c r="D618" s="96" t="n"/>
    </row>
    <row r="619">
      <c r="A619" s="95">
        <f>IF(B619="","", "CLI-"&amp;TEXT(ROW()-5,"000"))</f>
        <v/>
      </c>
      <c r="B619" s="95" t="n"/>
      <c r="C619" s="95" t="n"/>
      <c r="D619" s="96" t="n"/>
    </row>
    <row r="620">
      <c r="A620" s="95">
        <f>IF(B620="","", "CLI-"&amp;TEXT(ROW()-5,"000"))</f>
        <v/>
      </c>
      <c r="B620" s="95" t="n"/>
      <c r="C620" s="95" t="n"/>
      <c r="D620" s="96" t="n"/>
    </row>
    <row r="621">
      <c r="A621" s="95">
        <f>IF(B621="","", "CLI-"&amp;TEXT(ROW()-5,"000"))</f>
        <v/>
      </c>
      <c r="B621" s="95" t="n"/>
      <c r="C621" s="95" t="n"/>
      <c r="D621" s="96" t="n"/>
    </row>
    <row r="622">
      <c r="A622" s="95">
        <f>IF(B622="","", "CLI-"&amp;TEXT(ROW()-5,"000"))</f>
        <v/>
      </c>
      <c r="B622" s="95" t="n"/>
      <c r="C622" s="95" t="n"/>
      <c r="D622" s="96" t="n"/>
    </row>
    <row r="623">
      <c r="A623" s="95">
        <f>IF(B623="","", "CLI-"&amp;TEXT(ROW()-5,"000"))</f>
        <v/>
      </c>
      <c r="B623" s="95" t="n"/>
      <c r="C623" s="95" t="n"/>
      <c r="D623" s="96" t="n"/>
    </row>
    <row r="624">
      <c r="A624" s="95">
        <f>IF(B624="","", "CLI-"&amp;TEXT(ROW()-5,"000"))</f>
        <v/>
      </c>
      <c r="B624" s="95" t="n"/>
      <c r="C624" s="95" t="n"/>
      <c r="D624" s="96" t="n"/>
    </row>
    <row r="625">
      <c r="A625" s="95">
        <f>IF(B625="","", "CLI-"&amp;TEXT(ROW()-5,"000"))</f>
        <v/>
      </c>
      <c r="B625" s="95" t="n"/>
      <c r="C625" s="95" t="n"/>
      <c r="D625" s="96" t="n"/>
    </row>
    <row r="626">
      <c r="A626" s="95">
        <f>IF(B626="","", "CLI-"&amp;TEXT(ROW()-5,"000"))</f>
        <v/>
      </c>
      <c r="B626" s="95" t="n"/>
      <c r="C626" s="95" t="n"/>
      <c r="D626" s="96" t="n"/>
    </row>
    <row r="627">
      <c r="A627" s="95">
        <f>IF(B627="","", "CLI-"&amp;TEXT(ROW()-5,"000"))</f>
        <v/>
      </c>
      <c r="B627" s="95" t="n"/>
      <c r="C627" s="95" t="n"/>
      <c r="D627" s="96" t="n"/>
    </row>
    <row r="628">
      <c r="A628" s="95">
        <f>IF(B628="","", "CLI-"&amp;TEXT(ROW()-5,"000"))</f>
        <v/>
      </c>
      <c r="B628" s="95" t="n"/>
      <c r="C628" s="95" t="n"/>
      <c r="D628" s="96" t="n"/>
    </row>
    <row r="629">
      <c r="A629" s="95">
        <f>IF(B629="","", "CLI-"&amp;TEXT(ROW()-5,"000"))</f>
        <v/>
      </c>
      <c r="B629" s="95" t="n"/>
      <c r="C629" s="95" t="n"/>
      <c r="D629" s="96" t="n"/>
    </row>
    <row r="630">
      <c r="A630" s="95">
        <f>IF(B630="","", "CLI-"&amp;TEXT(ROW()-5,"000"))</f>
        <v/>
      </c>
      <c r="B630" s="95" t="n"/>
      <c r="C630" s="95" t="n"/>
      <c r="D630" s="96" t="n"/>
    </row>
    <row r="631">
      <c r="A631" s="95">
        <f>IF(B631="","", "CLI-"&amp;TEXT(ROW()-5,"000"))</f>
        <v/>
      </c>
      <c r="B631" s="95" t="n"/>
      <c r="C631" s="95" t="n"/>
      <c r="D631" s="96" t="n"/>
    </row>
    <row r="632">
      <c r="A632" s="95">
        <f>IF(B632="","", "CLI-"&amp;TEXT(ROW()-5,"000"))</f>
        <v/>
      </c>
      <c r="B632" s="95" t="n"/>
      <c r="C632" s="95" t="n"/>
      <c r="D632" s="96" t="n"/>
    </row>
    <row r="633">
      <c r="A633" s="95">
        <f>IF(B633="","", "CLI-"&amp;TEXT(ROW()-5,"000"))</f>
        <v/>
      </c>
      <c r="B633" s="95" t="n"/>
      <c r="C633" s="95" t="n"/>
      <c r="D633" s="96" t="n"/>
    </row>
    <row r="634">
      <c r="A634" s="95">
        <f>IF(B634="","", "CLI-"&amp;TEXT(ROW()-5,"000"))</f>
        <v/>
      </c>
      <c r="B634" s="95" t="n"/>
      <c r="C634" s="95" t="n"/>
      <c r="D634" s="96" t="n"/>
    </row>
    <row r="635">
      <c r="A635" s="95">
        <f>IF(B635="","", "CLI-"&amp;TEXT(ROW()-5,"000"))</f>
        <v/>
      </c>
      <c r="B635" s="95" t="n"/>
      <c r="C635" s="95" t="n"/>
      <c r="D635" s="96" t="n"/>
    </row>
    <row r="636">
      <c r="A636" s="95">
        <f>IF(B636="","", "CLI-"&amp;TEXT(ROW()-5,"000"))</f>
        <v/>
      </c>
      <c r="B636" s="95" t="n"/>
      <c r="C636" s="95" t="n"/>
      <c r="D636" s="96" t="n"/>
    </row>
    <row r="637">
      <c r="A637" s="95">
        <f>IF(B637="","", "CLI-"&amp;TEXT(ROW()-5,"000"))</f>
        <v/>
      </c>
      <c r="B637" s="95" t="n"/>
      <c r="C637" s="95" t="n"/>
      <c r="D637" s="96" t="n"/>
    </row>
    <row r="638">
      <c r="A638" s="95">
        <f>IF(B638="","", "CLI-"&amp;TEXT(ROW()-5,"000"))</f>
        <v/>
      </c>
      <c r="B638" s="95" t="n"/>
      <c r="C638" s="95" t="n"/>
      <c r="D638" s="96" t="n"/>
    </row>
    <row r="639">
      <c r="A639" s="95">
        <f>IF(B639="","", "CLI-"&amp;TEXT(ROW()-5,"000"))</f>
        <v/>
      </c>
      <c r="B639" s="95" t="n"/>
      <c r="C639" s="95" t="n"/>
      <c r="D639" s="96" t="n"/>
    </row>
    <row r="640">
      <c r="A640" s="95">
        <f>IF(B640="","", "CLI-"&amp;TEXT(ROW()-5,"000"))</f>
        <v/>
      </c>
      <c r="B640" s="95" t="n"/>
      <c r="C640" s="95" t="n"/>
      <c r="D640" s="96" t="n"/>
    </row>
    <row r="641">
      <c r="A641" s="95">
        <f>IF(B641="","", "CLI-"&amp;TEXT(ROW()-5,"000"))</f>
        <v/>
      </c>
      <c r="B641" s="95" t="n"/>
      <c r="C641" s="95" t="n"/>
      <c r="D641" s="96" t="n"/>
    </row>
    <row r="642">
      <c r="A642" s="95">
        <f>IF(B642="","", "CLI-"&amp;TEXT(ROW()-5,"000"))</f>
        <v/>
      </c>
      <c r="B642" s="95" t="n"/>
      <c r="C642" s="95" t="n"/>
      <c r="D642" s="96" t="n"/>
    </row>
    <row r="643">
      <c r="A643" s="95">
        <f>IF(B643="","", "CLI-"&amp;TEXT(ROW()-5,"000"))</f>
        <v/>
      </c>
      <c r="B643" s="95" t="n"/>
      <c r="C643" s="95" t="n"/>
      <c r="D643" s="96" t="n"/>
    </row>
    <row r="644">
      <c r="A644" s="95">
        <f>IF(B644="","", "CLI-"&amp;TEXT(ROW()-5,"000"))</f>
        <v/>
      </c>
      <c r="B644" s="95" t="n"/>
      <c r="C644" s="95" t="n"/>
      <c r="D644" s="96" t="n"/>
    </row>
    <row r="645">
      <c r="A645" s="95">
        <f>IF(B645="","", "CLI-"&amp;TEXT(ROW()-5,"000"))</f>
        <v/>
      </c>
      <c r="B645" s="95" t="n"/>
      <c r="C645" s="95" t="n"/>
      <c r="D645" s="96" t="n"/>
    </row>
    <row r="646">
      <c r="A646" s="95">
        <f>IF(B646="","", "CLI-"&amp;TEXT(ROW()-5,"000"))</f>
        <v/>
      </c>
      <c r="B646" s="95" t="n"/>
      <c r="C646" s="95" t="n"/>
      <c r="D646" s="96" t="n"/>
    </row>
    <row r="647">
      <c r="A647" s="95">
        <f>IF(B647="","", "CLI-"&amp;TEXT(ROW()-5,"000"))</f>
        <v/>
      </c>
      <c r="B647" s="95" t="n"/>
      <c r="C647" s="95" t="n"/>
      <c r="D647" s="96" t="n"/>
    </row>
    <row r="648">
      <c r="A648" s="95">
        <f>IF(B648="","", "CLI-"&amp;TEXT(ROW()-5,"000"))</f>
        <v/>
      </c>
      <c r="B648" s="95" t="n"/>
      <c r="C648" s="95" t="n"/>
      <c r="D648" s="96" t="n"/>
    </row>
    <row r="649">
      <c r="A649" s="95">
        <f>IF(B649="","", "CLI-"&amp;TEXT(ROW()-5,"000"))</f>
        <v/>
      </c>
      <c r="B649" s="95" t="n"/>
      <c r="C649" s="95" t="n"/>
      <c r="D649" s="96" t="n"/>
    </row>
    <row r="650">
      <c r="A650" s="95">
        <f>IF(B650="","", "CLI-"&amp;TEXT(ROW()-5,"000"))</f>
        <v/>
      </c>
      <c r="B650" s="95" t="n"/>
      <c r="C650" s="95" t="n"/>
      <c r="D650" s="96" t="n"/>
    </row>
    <row r="651">
      <c r="A651" s="95">
        <f>IF(B651="","", "CLI-"&amp;TEXT(ROW()-5,"000"))</f>
        <v/>
      </c>
      <c r="B651" s="95" t="n"/>
      <c r="C651" s="95" t="n"/>
      <c r="D651" s="96" t="n"/>
    </row>
    <row r="652">
      <c r="A652" s="95">
        <f>IF(B652="","", "CLI-"&amp;TEXT(ROW()-5,"000"))</f>
        <v/>
      </c>
      <c r="B652" s="95" t="n"/>
      <c r="C652" s="95" t="n"/>
      <c r="D652" s="96" t="n"/>
    </row>
    <row r="653">
      <c r="A653" s="95">
        <f>IF(B653="","", "CLI-"&amp;TEXT(ROW()-5,"000"))</f>
        <v/>
      </c>
      <c r="B653" s="95" t="n"/>
      <c r="C653" s="95" t="n"/>
      <c r="D653" s="96" t="n"/>
    </row>
    <row r="654">
      <c r="A654" s="95">
        <f>IF(B654="","", "CLI-"&amp;TEXT(ROW()-5,"000"))</f>
        <v/>
      </c>
      <c r="B654" s="95" t="n"/>
      <c r="C654" s="95" t="n"/>
      <c r="D654" s="96" t="n"/>
    </row>
    <row r="655">
      <c r="A655" s="95">
        <f>IF(B655="","", "CLI-"&amp;TEXT(ROW()-5,"000"))</f>
        <v/>
      </c>
      <c r="B655" s="95" t="n"/>
      <c r="C655" s="95" t="n"/>
      <c r="D655" s="96" t="n"/>
    </row>
    <row r="656">
      <c r="A656" s="95">
        <f>IF(B656="","", "CLI-"&amp;TEXT(ROW()-5,"000"))</f>
        <v/>
      </c>
      <c r="B656" s="95" t="n"/>
      <c r="C656" s="95" t="n"/>
      <c r="D656" s="96" t="n"/>
    </row>
    <row r="657">
      <c r="A657" s="95">
        <f>IF(B657="","", "CLI-"&amp;TEXT(ROW()-5,"000"))</f>
        <v/>
      </c>
      <c r="B657" s="95" t="n"/>
      <c r="C657" s="95" t="n"/>
      <c r="D657" s="96" t="n"/>
    </row>
    <row r="658">
      <c r="A658" s="95">
        <f>IF(B658="","", "CLI-"&amp;TEXT(ROW()-5,"000"))</f>
        <v/>
      </c>
      <c r="B658" s="95" t="n"/>
      <c r="C658" s="95" t="n"/>
      <c r="D658" s="96" t="n"/>
    </row>
    <row r="659">
      <c r="A659" s="95">
        <f>IF(B659="","", "CLI-"&amp;TEXT(ROW()-5,"000"))</f>
        <v/>
      </c>
      <c r="B659" s="95" t="n"/>
      <c r="C659" s="95" t="n"/>
      <c r="D659" s="96" t="n"/>
    </row>
    <row r="660">
      <c r="A660" s="95">
        <f>IF(B660="","", "CLI-"&amp;TEXT(ROW()-5,"000"))</f>
        <v/>
      </c>
      <c r="B660" s="95" t="n"/>
      <c r="C660" s="95" t="n"/>
      <c r="D660" s="96" t="n"/>
    </row>
    <row r="661">
      <c r="A661" s="95">
        <f>IF(B661="","", "CLI-"&amp;TEXT(ROW()-5,"000"))</f>
        <v/>
      </c>
      <c r="B661" s="95" t="n"/>
      <c r="C661" s="95" t="n"/>
      <c r="D661" s="96" t="n"/>
    </row>
    <row r="662">
      <c r="A662" s="95">
        <f>IF(B662="","", "CLI-"&amp;TEXT(ROW()-5,"000"))</f>
        <v/>
      </c>
      <c r="B662" s="95" t="n"/>
      <c r="C662" s="95" t="n"/>
      <c r="D662" s="96" t="n"/>
    </row>
    <row r="663">
      <c r="A663" s="95">
        <f>IF(B663="","", "CLI-"&amp;TEXT(ROW()-5,"000"))</f>
        <v/>
      </c>
      <c r="B663" s="95" t="n"/>
      <c r="C663" s="95" t="n"/>
      <c r="D663" s="96" t="n"/>
    </row>
    <row r="664">
      <c r="A664" s="95">
        <f>IF(B664="","", "CLI-"&amp;TEXT(ROW()-5,"000"))</f>
        <v/>
      </c>
      <c r="B664" s="95" t="n"/>
      <c r="C664" s="95" t="n"/>
      <c r="D664" s="96" t="n"/>
    </row>
    <row r="665">
      <c r="A665" s="95">
        <f>IF(B665="","", "CLI-"&amp;TEXT(ROW()-5,"000"))</f>
        <v/>
      </c>
      <c r="B665" s="95" t="n"/>
      <c r="C665" s="95" t="n"/>
      <c r="D665" s="96" t="n"/>
    </row>
    <row r="666">
      <c r="A666" s="95">
        <f>IF(B666="","", "CLI-"&amp;TEXT(ROW()-5,"000"))</f>
        <v/>
      </c>
      <c r="B666" s="95" t="n"/>
      <c r="C666" s="95" t="n"/>
      <c r="D666" s="96" t="n"/>
    </row>
    <row r="667">
      <c r="A667" s="95">
        <f>IF(B667="","", "CLI-"&amp;TEXT(ROW()-5,"000"))</f>
        <v/>
      </c>
      <c r="B667" s="95" t="n"/>
      <c r="C667" s="95" t="n"/>
      <c r="D667" s="96" t="n"/>
    </row>
    <row r="668">
      <c r="A668" s="95">
        <f>IF(B668="","", "CLI-"&amp;TEXT(ROW()-5,"000"))</f>
        <v/>
      </c>
      <c r="B668" s="95" t="n"/>
      <c r="C668" s="95" t="n"/>
      <c r="D668" s="96" t="n"/>
    </row>
    <row r="669">
      <c r="A669" s="95">
        <f>IF(B669="","", "CLI-"&amp;TEXT(ROW()-5,"000"))</f>
        <v/>
      </c>
      <c r="B669" s="95" t="n"/>
      <c r="C669" s="95" t="n"/>
      <c r="D669" s="96" t="n"/>
    </row>
    <row r="670">
      <c r="A670" s="95">
        <f>IF(B670="","", "CLI-"&amp;TEXT(ROW()-5,"000"))</f>
        <v/>
      </c>
      <c r="B670" s="95" t="n"/>
      <c r="C670" s="95" t="n"/>
      <c r="D670" s="96" t="n"/>
    </row>
    <row r="671">
      <c r="A671" s="95">
        <f>IF(B671="","", "CLI-"&amp;TEXT(ROW()-5,"000"))</f>
        <v/>
      </c>
      <c r="B671" s="95" t="n"/>
      <c r="C671" s="95" t="n"/>
      <c r="D671" s="96" t="n"/>
    </row>
    <row r="672">
      <c r="A672" s="95">
        <f>IF(B672="","", "CLI-"&amp;TEXT(ROW()-5,"000"))</f>
        <v/>
      </c>
      <c r="B672" s="95" t="n"/>
      <c r="C672" s="95" t="n"/>
      <c r="D672" s="96" t="n"/>
    </row>
    <row r="673">
      <c r="A673" s="95">
        <f>IF(B673="","", "CLI-"&amp;TEXT(ROW()-5,"000"))</f>
        <v/>
      </c>
      <c r="B673" s="95" t="n"/>
      <c r="C673" s="95" t="n"/>
      <c r="D673" s="96" t="n"/>
    </row>
    <row r="674">
      <c r="A674" s="95">
        <f>IF(B674="","", "CLI-"&amp;TEXT(ROW()-5,"000"))</f>
        <v/>
      </c>
      <c r="B674" s="95" t="n"/>
      <c r="C674" s="95" t="n"/>
      <c r="D674" s="96" t="n"/>
    </row>
    <row r="675">
      <c r="A675" s="95">
        <f>IF(B675="","", "CLI-"&amp;TEXT(ROW()-5,"000"))</f>
        <v/>
      </c>
      <c r="B675" s="95" t="n"/>
      <c r="C675" s="95" t="n"/>
      <c r="D675" s="96" t="n"/>
    </row>
    <row r="676">
      <c r="A676" s="95">
        <f>IF(B676="","", "CLI-"&amp;TEXT(ROW()-5,"000"))</f>
        <v/>
      </c>
      <c r="B676" s="95" t="n"/>
      <c r="C676" s="95" t="n"/>
      <c r="D676" s="96" t="n"/>
    </row>
    <row r="677">
      <c r="A677" s="95">
        <f>IF(B677="","", "CLI-"&amp;TEXT(ROW()-5,"000"))</f>
        <v/>
      </c>
      <c r="B677" s="95" t="n"/>
      <c r="C677" s="95" t="n"/>
      <c r="D677" s="96" t="n"/>
    </row>
    <row r="678">
      <c r="A678" s="95">
        <f>IF(B678="","", "CLI-"&amp;TEXT(ROW()-5,"000"))</f>
        <v/>
      </c>
      <c r="B678" s="95" t="n"/>
      <c r="C678" s="95" t="n"/>
      <c r="D678" s="96" t="n"/>
    </row>
    <row r="679">
      <c r="A679" s="95">
        <f>IF(B679="","", "CLI-"&amp;TEXT(ROW()-5,"000"))</f>
        <v/>
      </c>
      <c r="B679" s="95" t="n"/>
      <c r="C679" s="95" t="n"/>
      <c r="D679" s="96" t="n"/>
    </row>
    <row r="680">
      <c r="A680" s="95">
        <f>IF(B680="","", "CLI-"&amp;TEXT(ROW()-5,"000"))</f>
        <v/>
      </c>
      <c r="B680" s="95" t="n"/>
      <c r="C680" s="95" t="n"/>
      <c r="D680" s="96" t="n"/>
    </row>
    <row r="681">
      <c r="A681" s="95">
        <f>IF(B681="","", "CLI-"&amp;TEXT(ROW()-5,"000"))</f>
        <v/>
      </c>
      <c r="B681" s="95" t="n"/>
      <c r="C681" s="95" t="n"/>
      <c r="D681" s="96" t="n"/>
    </row>
    <row r="682">
      <c r="A682" s="95">
        <f>IF(B682="","", "CLI-"&amp;TEXT(ROW()-5,"000"))</f>
        <v/>
      </c>
      <c r="B682" s="95" t="n"/>
      <c r="C682" s="95" t="n"/>
      <c r="D682" s="96" t="n"/>
    </row>
    <row r="683">
      <c r="A683" s="95">
        <f>IF(B683="","", "CLI-"&amp;TEXT(ROW()-5,"000"))</f>
        <v/>
      </c>
      <c r="B683" s="95" t="n"/>
      <c r="C683" s="95" t="n"/>
      <c r="D683" s="96" t="n"/>
    </row>
    <row r="684">
      <c r="A684" s="95">
        <f>IF(B684="","", "CLI-"&amp;TEXT(ROW()-5,"000"))</f>
        <v/>
      </c>
      <c r="B684" s="95" t="n"/>
      <c r="C684" s="95" t="n"/>
      <c r="D684" s="96" t="n"/>
    </row>
    <row r="685">
      <c r="A685" s="95">
        <f>IF(B685="","", "CLI-"&amp;TEXT(ROW()-5,"000"))</f>
        <v/>
      </c>
      <c r="B685" s="95" t="n"/>
      <c r="C685" s="95" t="n"/>
      <c r="D685" s="96" t="n"/>
    </row>
    <row r="686">
      <c r="A686" s="95">
        <f>IF(B686="","", "CLI-"&amp;TEXT(ROW()-5,"000"))</f>
        <v/>
      </c>
      <c r="B686" s="95" t="n"/>
      <c r="C686" s="95" t="n"/>
      <c r="D686" s="96" t="n"/>
    </row>
    <row r="687">
      <c r="A687" s="95">
        <f>IF(B687="","", "CLI-"&amp;TEXT(ROW()-5,"000"))</f>
        <v/>
      </c>
      <c r="B687" s="95" t="n"/>
      <c r="C687" s="95" t="n"/>
      <c r="D687" s="96" t="n"/>
    </row>
    <row r="688">
      <c r="A688" s="95">
        <f>IF(B688="","", "CLI-"&amp;TEXT(ROW()-5,"000"))</f>
        <v/>
      </c>
      <c r="B688" s="95" t="n"/>
      <c r="C688" s="95" t="n"/>
      <c r="D688" s="96" t="n"/>
    </row>
    <row r="689">
      <c r="A689" s="95">
        <f>IF(B689="","", "CLI-"&amp;TEXT(ROW()-5,"000"))</f>
        <v/>
      </c>
      <c r="B689" s="95" t="n"/>
      <c r="C689" s="95" t="n"/>
      <c r="D689" s="96" t="n"/>
    </row>
    <row r="690">
      <c r="A690" s="95">
        <f>IF(B690="","", "CLI-"&amp;TEXT(ROW()-5,"000"))</f>
        <v/>
      </c>
      <c r="B690" s="95" t="n"/>
      <c r="C690" s="95" t="n"/>
      <c r="D690" s="96" t="n"/>
    </row>
    <row r="691">
      <c r="A691" s="95">
        <f>IF(B691="","", "CLI-"&amp;TEXT(ROW()-5,"000"))</f>
        <v/>
      </c>
      <c r="B691" s="95" t="n"/>
      <c r="C691" s="95" t="n"/>
      <c r="D691" s="96" t="n"/>
    </row>
    <row r="692">
      <c r="A692" s="95">
        <f>IF(B692="","", "CLI-"&amp;TEXT(ROW()-5,"000"))</f>
        <v/>
      </c>
      <c r="B692" s="95" t="n"/>
      <c r="C692" s="95" t="n"/>
      <c r="D692" s="96" t="n"/>
    </row>
    <row r="693">
      <c r="A693" s="95">
        <f>IF(B693="","", "CLI-"&amp;TEXT(ROW()-5,"000"))</f>
        <v/>
      </c>
      <c r="B693" s="95" t="n"/>
      <c r="C693" s="95" t="n"/>
      <c r="D693" s="96" t="n"/>
    </row>
    <row r="694">
      <c r="A694" s="95">
        <f>IF(B694="","", "CLI-"&amp;TEXT(ROW()-5,"000"))</f>
        <v/>
      </c>
      <c r="B694" s="95" t="n"/>
      <c r="C694" s="95" t="n"/>
      <c r="D694" s="96" t="n"/>
    </row>
    <row r="695">
      <c r="A695" s="95">
        <f>IF(B695="","", "CLI-"&amp;TEXT(ROW()-5,"000"))</f>
        <v/>
      </c>
      <c r="B695" s="95" t="n"/>
      <c r="C695" s="95" t="n"/>
      <c r="D695" s="96" t="n"/>
    </row>
    <row r="696">
      <c r="A696" s="95">
        <f>IF(B696="","", "CLI-"&amp;TEXT(ROW()-5,"000"))</f>
        <v/>
      </c>
      <c r="B696" s="95" t="n"/>
      <c r="C696" s="95" t="n"/>
      <c r="D696" s="96" t="n"/>
    </row>
    <row r="697">
      <c r="A697" s="95">
        <f>IF(B697="","", "CLI-"&amp;TEXT(ROW()-5,"000"))</f>
        <v/>
      </c>
      <c r="B697" s="95" t="n"/>
      <c r="C697" s="95" t="n"/>
      <c r="D697" s="96" t="n"/>
    </row>
    <row r="698">
      <c r="A698" s="95">
        <f>IF(B698="","", "CLI-"&amp;TEXT(ROW()-5,"000"))</f>
        <v/>
      </c>
      <c r="B698" s="95" t="n"/>
      <c r="C698" s="95" t="n"/>
      <c r="D698" s="96" t="n"/>
    </row>
    <row r="699">
      <c r="A699" s="95">
        <f>IF(B699="","", "CLI-"&amp;TEXT(ROW()-5,"000"))</f>
        <v/>
      </c>
      <c r="B699" s="95" t="n"/>
      <c r="C699" s="95" t="n"/>
      <c r="D699" s="96" t="n"/>
    </row>
    <row r="700">
      <c r="A700" s="95">
        <f>IF(B700="","", "CLI-"&amp;TEXT(ROW()-5,"000"))</f>
        <v/>
      </c>
      <c r="B700" s="95" t="n"/>
      <c r="C700" s="95" t="n"/>
      <c r="D700" s="96" t="n"/>
    </row>
    <row r="701">
      <c r="A701" s="95">
        <f>IF(B701="","", "CLI-"&amp;TEXT(ROW()-5,"000"))</f>
        <v/>
      </c>
      <c r="B701" s="95" t="n"/>
      <c r="C701" s="95" t="n"/>
      <c r="D701" s="96" t="n"/>
    </row>
    <row r="702">
      <c r="A702" s="95">
        <f>IF(B702="","", "CLI-"&amp;TEXT(ROW()-5,"000"))</f>
        <v/>
      </c>
      <c r="B702" s="95" t="n"/>
      <c r="C702" s="95" t="n"/>
      <c r="D702" s="96" t="n"/>
    </row>
    <row r="703">
      <c r="A703" s="95">
        <f>IF(B703="","", "CLI-"&amp;TEXT(ROW()-5,"000"))</f>
        <v/>
      </c>
      <c r="B703" s="95" t="n"/>
      <c r="C703" s="95" t="n"/>
      <c r="D703" s="96" t="n"/>
    </row>
    <row r="704">
      <c r="A704" s="95">
        <f>IF(B704="","", "CLI-"&amp;TEXT(ROW()-5,"000"))</f>
        <v/>
      </c>
      <c r="B704" s="95" t="n"/>
      <c r="C704" s="95" t="n"/>
      <c r="D704" s="96" t="n"/>
    </row>
    <row r="705">
      <c r="A705" s="95">
        <f>IF(B705="","", "CLI-"&amp;TEXT(ROW()-5,"000"))</f>
        <v/>
      </c>
      <c r="B705" s="95" t="n"/>
      <c r="C705" s="95" t="n"/>
      <c r="D705" s="96" t="n"/>
    </row>
    <row r="706">
      <c r="A706" s="95">
        <f>IF(B706="","", "CLI-"&amp;TEXT(ROW()-5,"000"))</f>
        <v/>
      </c>
      <c r="B706" s="95" t="n"/>
      <c r="C706" s="95" t="n"/>
      <c r="D706" s="96" t="n"/>
    </row>
    <row r="707">
      <c r="A707" s="95">
        <f>IF(B707="","", "CLI-"&amp;TEXT(ROW()-5,"000"))</f>
        <v/>
      </c>
      <c r="B707" s="95" t="n"/>
      <c r="C707" s="95" t="n"/>
      <c r="D707" s="96" t="n"/>
    </row>
    <row r="708">
      <c r="A708" s="95">
        <f>IF(B708="","", "CLI-"&amp;TEXT(ROW()-5,"000"))</f>
        <v/>
      </c>
      <c r="B708" s="95" t="n"/>
      <c r="C708" s="95" t="n"/>
      <c r="D708" s="96" t="n"/>
    </row>
    <row r="709">
      <c r="A709" s="95">
        <f>IF(B709="","", "CLI-"&amp;TEXT(ROW()-5,"000"))</f>
        <v/>
      </c>
      <c r="B709" s="95" t="n"/>
      <c r="C709" s="95" t="n"/>
      <c r="D709" s="96" t="n"/>
    </row>
    <row r="710">
      <c r="A710" s="95">
        <f>IF(B710="","", "CLI-"&amp;TEXT(ROW()-5,"000"))</f>
        <v/>
      </c>
      <c r="B710" s="95" t="n"/>
      <c r="C710" s="95" t="n"/>
      <c r="D710" s="96" t="n"/>
    </row>
    <row r="711">
      <c r="A711" s="95">
        <f>IF(B711="","", "CLI-"&amp;TEXT(ROW()-5,"000"))</f>
        <v/>
      </c>
      <c r="B711" s="95" t="n"/>
      <c r="C711" s="95" t="n"/>
      <c r="D711" s="96" t="n"/>
    </row>
    <row r="712">
      <c r="A712" s="95">
        <f>IF(B712="","", "CLI-"&amp;TEXT(ROW()-5,"000"))</f>
        <v/>
      </c>
      <c r="B712" s="95" t="n"/>
      <c r="C712" s="95" t="n"/>
      <c r="D712" s="96" t="n"/>
    </row>
    <row r="713">
      <c r="A713" s="95">
        <f>IF(B713="","", "CLI-"&amp;TEXT(ROW()-5,"000"))</f>
        <v/>
      </c>
      <c r="B713" s="95" t="n"/>
      <c r="C713" s="95" t="n"/>
      <c r="D713" s="96" t="n"/>
    </row>
    <row r="714">
      <c r="A714" s="95">
        <f>IF(B714="","", "CLI-"&amp;TEXT(ROW()-5,"000"))</f>
        <v/>
      </c>
      <c r="B714" s="95" t="n"/>
      <c r="C714" s="95" t="n"/>
      <c r="D714" s="96" t="n"/>
    </row>
    <row r="715">
      <c r="A715" s="95">
        <f>IF(B715="","", "CLI-"&amp;TEXT(ROW()-5,"000"))</f>
        <v/>
      </c>
      <c r="B715" s="95" t="n"/>
      <c r="C715" s="95" t="n"/>
      <c r="D715" s="96" t="n"/>
    </row>
    <row r="716">
      <c r="A716" s="95">
        <f>IF(B716="","", "CLI-"&amp;TEXT(ROW()-5,"000"))</f>
        <v/>
      </c>
      <c r="B716" s="95" t="n"/>
      <c r="C716" s="95" t="n"/>
      <c r="D716" s="96" t="n"/>
    </row>
    <row r="717">
      <c r="A717" s="95">
        <f>IF(B717="","", "CLI-"&amp;TEXT(ROW()-5,"000"))</f>
        <v/>
      </c>
      <c r="B717" s="95" t="n"/>
      <c r="C717" s="95" t="n"/>
      <c r="D717" s="96" t="n"/>
    </row>
    <row r="718">
      <c r="A718" s="95">
        <f>IF(B718="","", "CLI-"&amp;TEXT(ROW()-5,"000"))</f>
        <v/>
      </c>
      <c r="B718" s="95" t="n"/>
      <c r="C718" s="95" t="n"/>
      <c r="D718" s="96" t="n"/>
    </row>
    <row r="719">
      <c r="A719" s="95">
        <f>IF(B719="","", "CLI-"&amp;TEXT(ROW()-5,"000"))</f>
        <v/>
      </c>
      <c r="B719" s="95" t="n"/>
      <c r="C719" s="95" t="n"/>
      <c r="D719" s="96" t="n"/>
    </row>
    <row r="720">
      <c r="A720" s="95">
        <f>IF(B720="","", "CLI-"&amp;TEXT(ROW()-5,"000"))</f>
        <v/>
      </c>
      <c r="B720" s="95" t="n"/>
      <c r="C720" s="95" t="n"/>
      <c r="D720" s="96" t="n"/>
    </row>
    <row r="721">
      <c r="A721" s="95">
        <f>IF(B721="","", "CLI-"&amp;TEXT(ROW()-5,"000"))</f>
        <v/>
      </c>
      <c r="B721" s="95" t="n"/>
      <c r="C721" s="95" t="n"/>
      <c r="D721" s="96" t="n"/>
    </row>
    <row r="722">
      <c r="A722" s="95">
        <f>IF(B722="","", "CLI-"&amp;TEXT(ROW()-5,"000"))</f>
        <v/>
      </c>
      <c r="B722" s="95" t="n"/>
      <c r="C722" s="95" t="n"/>
      <c r="D722" s="96" t="n"/>
    </row>
    <row r="723">
      <c r="A723" s="95">
        <f>IF(B723="","", "CLI-"&amp;TEXT(ROW()-5,"000"))</f>
        <v/>
      </c>
      <c r="B723" s="95" t="n"/>
      <c r="C723" s="95" t="n"/>
      <c r="D723" s="96" t="n"/>
    </row>
    <row r="724">
      <c r="A724" s="95">
        <f>IF(B724="","", "CLI-"&amp;TEXT(ROW()-5,"000"))</f>
        <v/>
      </c>
      <c r="B724" s="95" t="n"/>
      <c r="C724" s="95" t="n"/>
      <c r="D724" s="96" t="n"/>
    </row>
    <row r="725">
      <c r="A725" s="95">
        <f>IF(B725="","", "CLI-"&amp;TEXT(ROW()-5,"000"))</f>
        <v/>
      </c>
      <c r="B725" s="95" t="n"/>
      <c r="C725" s="95" t="n"/>
      <c r="D725" s="96" t="n"/>
    </row>
    <row r="726">
      <c r="A726" s="95">
        <f>IF(B726="","", "CLI-"&amp;TEXT(ROW()-5,"000"))</f>
        <v/>
      </c>
      <c r="B726" s="95" t="n"/>
      <c r="C726" s="95" t="n"/>
      <c r="D726" s="96" t="n"/>
    </row>
    <row r="727">
      <c r="A727" s="95">
        <f>IF(B727="","", "CLI-"&amp;TEXT(ROW()-5,"000"))</f>
        <v/>
      </c>
      <c r="B727" s="95" t="n"/>
      <c r="C727" s="95" t="n"/>
      <c r="D727" s="96" t="n"/>
    </row>
    <row r="728">
      <c r="A728" s="95">
        <f>IF(B728="","", "CLI-"&amp;TEXT(ROW()-5,"000"))</f>
        <v/>
      </c>
      <c r="B728" s="95" t="n"/>
      <c r="C728" s="95" t="n"/>
      <c r="D728" s="96" t="n"/>
    </row>
    <row r="729">
      <c r="A729" s="95">
        <f>IF(B729="","", "CLI-"&amp;TEXT(ROW()-5,"000"))</f>
        <v/>
      </c>
      <c r="B729" s="95" t="n"/>
      <c r="C729" s="95" t="n"/>
      <c r="D729" s="96" t="n"/>
    </row>
    <row r="730">
      <c r="A730" s="95">
        <f>IF(B730="","", "CLI-"&amp;TEXT(ROW()-5,"000"))</f>
        <v/>
      </c>
      <c r="B730" s="95" t="n"/>
      <c r="C730" s="95" t="n"/>
      <c r="D730" s="96" t="n"/>
    </row>
    <row r="731">
      <c r="A731" s="95">
        <f>IF(B731="","", "CLI-"&amp;TEXT(ROW()-5,"000"))</f>
        <v/>
      </c>
      <c r="B731" s="95" t="n"/>
      <c r="C731" s="95" t="n"/>
      <c r="D731" s="96" t="n"/>
    </row>
    <row r="732">
      <c r="A732" s="95">
        <f>IF(B732="","", "CLI-"&amp;TEXT(ROW()-5,"000"))</f>
        <v/>
      </c>
      <c r="B732" s="95" t="n"/>
      <c r="C732" s="95" t="n"/>
      <c r="D732" s="96" t="n"/>
    </row>
    <row r="733">
      <c r="A733" s="95">
        <f>IF(B733="","", "CLI-"&amp;TEXT(ROW()-5,"000"))</f>
        <v/>
      </c>
      <c r="B733" s="95" t="n"/>
      <c r="C733" s="95" t="n"/>
      <c r="D733" s="96" t="n"/>
    </row>
    <row r="734">
      <c r="A734" s="95">
        <f>IF(B734="","", "CLI-"&amp;TEXT(ROW()-5,"000"))</f>
        <v/>
      </c>
      <c r="B734" s="95" t="n"/>
      <c r="C734" s="95" t="n"/>
      <c r="D734" s="96" t="n"/>
    </row>
    <row r="735">
      <c r="A735" s="95">
        <f>IF(B735="","", "CLI-"&amp;TEXT(ROW()-5,"000"))</f>
        <v/>
      </c>
      <c r="B735" s="95" t="n"/>
      <c r="C735" s="95" t="n"/>
      <c r="D735" s="96" t="n"/>
    </row>
    <row r="736">
      <c r="A736" s="95">
        <f>IF(B736="","", "CLI-"&amp;TEXT(ROW()-5,"000"))</f>
        <v/>
      </c>
      <c r="B736" s="95" t="n"/>
      <c r="C736" s="95" t="n"/>
      <c r="D736" s="96" t="n"/>
    </row>
    <row r="737">
      <c r="A737" s="95">
        <f>IF(B737="","", "CLI-"&amp;TEXT(ROW()-5,"000"))</f>
        <v/>
      </c>
      <c r="B737" s="95" t="n"/>
      <c r="C737" s="95" t="n"/>
      <c r="D737" s="96" t="n"/>
    </row>
    <row r="738">
      <c r="A738" s="95">
        <f>IF(B738="","", "CLI-"&amp;TEXT(ROW()-5,"000"))</f>
        <v/>
      </c>
      <c r="B738" s="95" t="n"/>
      <c r="C738" s="95" t="n"/>
      <c r="D738" s="96" t="n"/>
    </row>
    <row r="739">
      <c r="A739" s="95">
        <f>IF(B739="","", "CLI-"&amp;TEXT(ROW()-5,"000"))</f>
        <v/>
      </c>
      <c r="B739" s="95" t="n"/>
      <c r="C739" s="95" t="n"/>
      <c r="D739" s="96" t="n"/>
    </row>
    <row r="740">
      <c r="A740" s="95">
        <f>IF(B740="","", "CLI-"&amp;TEXT(ROW()-5,"000"))</f>
        <v/>
      </c>
      <c r="B740" s="95" t="n"/>
      <c r="C740" s="95" t="n"/>
      <c r="D740" s="96" t="n"/>
    </row>
    <row r="741">
      <c r="A741" s="95">
        <f>IF(B741="","", "CLI-"&amp;TEXT(ROW()-5,"000"))</f>
        <v/>
      </c>
      <c r="B741" s="95" t="n"/>
      <c r="C741" s="95" t="n"/>
      <c r="D741" s="96" t="n"/>
    </row>
    <row r="742">
      <c r="A742" s="95">
        <f>IF(B742="","", "CLI-"&amp;TEXT(ROW()-5,"000"))</f>
        <v/>
      </c>
      <c r="B742" s="95" t="n"/>
      <c r="C742" s="95" t="n"/>
      <c r="D742" s="96" t="n"/>
    </row>
    <row r="743">
      <c r="A743" s="95">
        <f>IF(B743="","", "CLI-"&amp;TEXT(ROW()-5,"000"))</f>
        <v/>
      </c>
      <c r="B743" s="95" t="n"/>
      <c r="C743" s="95" t="n"/>
      <c r="D743" s="96" t="n"/>
    </row>
    <row r="744">
      <c r="A744" s="95">
        <f>IF(B744="","", "CLI-"&amp;TEXT(ROW()-5,"000"))</f>
        <v/>
      </c>
      <c r="B744" s="95" t="n"/>
      <c r="C744" s="95" t="n"/>
      <c r="D744" s="96" t="n"/>
    </row>
    <row r="745">
      <c r="A745" s="95">
        <f>IF(B745="","", "CLI-"&amp;TEXT(ROW()-5,"000"))</f>
        <v/>
      </c>
      <c r="B745" s="95" t="n"/>
      <c r="C745" s="95" t="n"/>
      <c r="D745" s="96" t="n"/>
    </row>
    <row r="746">
      <c r="A746" s="95">
        <f>IF(B746="","", "CLI-"&amp;TEXT(ROW()-5,"000"))</f>
        <v/>
      </c>
      <c r="B746" s="95" t="n"/>
      <c r="C746" s="95" t="n"/>
      <c r="D746" s="96" t="n"/>
    </row>
    <row r="747">
      <c r="A747" s="95">
        <f>IF(B747="","", "CLI-"&amp;TEXT(ROW()-5,"000"))</f>
        <v/>
      </c>
      <c r="B747" s="95" t="n"/>
      <c r="C747" s="95" t="n"/>
      <c r="D747" s="96" t="n"/>
    </row>
    <row r="748">
      <c r="A748" s="95">
        <f>IF(B748="","", "CLI-"&amp;TEXT(ROW()-5,"000"))</f>
        <v/>
      </c>
      <c r="B748" s="95" t="n"/>
      <c r="C748" s="95" t="n"/>
      <c r="D748" s="96" t="n"/>
    </row>
    <row r="749">
      <c r="A749" s="95">
        <f>IF(B749="","", "CLI-"&amp;TEXT(ROW()-5,"000"))</f>
        <v/>
      </c>
      <c r="B749" s="95" t="n"/>
      <c r="C749" s="95" t="n"/>
      <c r="D749" s="96" t="n"/>
    </row>
    <row r="750">
      <c r="A750" s="95">
        <f>IF(B750="","", "CLI-"&amp;TEXT(ROW()-5,"000"))</f>
        <v/>
      </c>
      <c r="B750" s="95" t="n"/>
      <c r="C750" s="95" t="n"/>
      <c r="D750" s="96" t="n"/>
    </row>
    <row r="751">
      <c r="A751" s="95">
        <f>IF(B751="","", "CLI-"&amp;TEXT(ROW()-5,"000"))</f>
        <v/>
      </c>
      <c r="B751" s="95" t="n"/>
      <c r="C751" s="95" t="n"/>
      <c r="D751" s="96" t="n"/>
    </row>
    <row r="752">
      <c r="A752" s="95">
        <f>IF(B752="","", "CLI-"&amp;TEXT(ROW()-5,"000"))</f>
        <v/>
      </c>
      <c r="B752" s="95" t="n"/>
      <c r="C752" s="95" t="n"/>
      <c r="D752" s="96" t="n"/>
    </row>
    <row r="753">
      <c r="A753" s="95">
        <f>IF(B753="","", "CLI-"&amp;TEXT(ROW()-5,"000"))</f>
        <v/>
      </c>
      <c r="B753" s="95" t="n"/>
      <c r="C753" s="95" t="n"/>
      <c r="D753" s="96" t="n"/>
    </row>
    <row r="754">
      <c r="A754" s="95">
        <f>IF(B754="","", "CLI-"&amp;TEXT(ROW()-5,"000"))</f>
        <v/>
      </c>
      <c r="B754" s="95" t="n"/>
      <c r="C754" s="95" t="n"/>
      <c r="D754" s="96" t="n"/>
    </row>
    <row r="755">
      <c r="A755" s="95">
        <f>IF(B755="","", "CLI-"&amp;TEXT(ROW()-5,"000"))</f>
        <v/>
      </c>
      <c r="B755" s="95" t="n"/>
      <c r="C755" s="95" t="n"/>
      <c r="D755" s="96" t="n"/>
    </row>
    <row r="756">
      <c r="A756" s="95">
        <f>IF(B756="","", "CLI-"&amp;TEXT(ROW()-5,"000"))</f>
        <v/>
      </c>
      <c r="B756" s="95" t="n"/>
      <c r="C756" s="95" t="n"/>
      <c r="D756" s="96" t="n"/>
    </row>
    <row r="757">
      <c r="A757" s="95">
        <f>IF(B757="","", "CLI-"&amp;TEXT(ROW()-5,"000"))</f>
        <v/>
      </c>
      <c r="B757" s="95" t="n"/>
      <c r="C757" s="95" t="n"/>
      <c r="D757" s="96" t="n"/>
    </row>
    <row r="758">
      <c r="A758" s="95">
        <f>IF(B758="","", "CLI-"&amp;TEXT(ROW()-5,"000"))</f>
        <v/>
      </c>
      <c r="B758" s="95" t="n"/>
      <c r="C758" s="95" t="n"/>
      <c r="D758" s="96" t="n"/>
    </row>
    <row r="759">
      <c r="A759" s="95">
        <f>IF(B759="","", "CLI-"&amp;TEXT(ROW()-5,"000"))</f>
        <v/>
      </c>
      <c r="B759" s="95" t="n"/>
      <c r="C759" s="95" t="n"/>
      <c r="D759" s="96" t="n"/>
    </row>
    <row r="760">
      <c r="A760" s="95">
        <f>IF(B760="","", "CLI-"&amp;TEXT(ROW()-5,"000"))</f>
        <v/>
      </c>
      <c r="B760" s="95" t="n"/>
      <c r="C760" s="95" t="n"/>
      <c r="D760" s="96" t="n"/>
    </row>
    <row r="761">
      <c r="A761" s="95">
        <f>IF(B761="","", "CLI-"&amp;TEXT(ROW()-5,"000"))</f>
        <v/>
      </c>
      <c r="B761" s="95" t="n"/>
      <c r="C761" s="95" t="n"/>
      <c r="D761" s="96" t="n"/>
    </row>
    <row r="762">
      <c r="A762" s="95">
        <f>IF(B762="","", "CLI-"&amp;TEXT(ROW()-5,"000"))</f>
        <v/>
      </c>
      <c r="B762" s="95" t="n"/>
      <c r="C762" s="95" t="n"/>
      <c r="D762" s="96" t="n"/>
    </row>
    <row r="763">
      <c r="A763" s="95">
        <f>IF(B763="","", "CLI-"&amp;TEXT(ROW()-5,"000"))</f>
        <v/>
      </c>
      <c r="B763" s="95" t="n"/>
      <c r="C763" s="95" t="n"/>
      <c r="D763" s="96" t="n"/>
    </row>
    <row r="764">
      <c r="A764" s="95">
        <f>IF(B764="","", "CLI-"&amp;TEXT(ROW()-5,"000"))</f>
        <v/>
      </c>
      <c r="B764" s="95" t="n"/>
      <c r="C764" s="95" t="n"/>
      <c r="D764" s="96" t="n"/>
    </row>
    <row r="765">
      <c r="A765" s="95">
        <f>IF(B765="","", "CLI-"&amp;TEXT(ROW()-5,"000"))</f>
        <v/>
      </c>
      <c r="B765" s="95" t="n"/>
      <c r="C765" s="95" t="n"/>
      <c r="D765" s="96" t="n"/>
    </row>
    <row r="766">
      <c r="A766" s="95">
        <f>IF(B766="","", "CLI-"&amp;TEXT(ROW()-5,"000"))</f>
        <v/>
      </c>
      <c r="B766" s="95" t="n"/>
      <c r="C766" s="95" t="n"/>
      <c r="D766" s="96" t="n"/>
    </row>
    <row r="767">
      <c r="A767" s="95">
        <f>IF(B767="","", "CLI-"&amp;TEXT(ROW()-5,"000"))</f>
        <v/>
      </c>
      <c r="B767" s="95" t="n"/>
      <c r="C767" s="95" t="n"/>
      <c r="D767" s="96" t="n"/>
    </row>
    <row r="768">
      <c r="A768" s="95">
        <f>IF(B768="","", "CLI-"&amp;TEXT(ROW()-5,"000"))</f>
        <v/>
      </c>
      <c r="B768" s="95" t="n"/>
      <c r="C768" s="95" t="n"/>
      <c r="D768" s="96" t="n"/>
    </row>
    <row r="769">
      <c r="A769" s="95">
        <f>IF(B769="","", "CLI-"&amp;TEXT(ROW()-5,"000"))</f>
        <v/>
      </c>
      <c r="B769" s="95" t="n"/>
      <c r="C769" s="95" t="n"/>
      <c r="D769" s="96" t="n"/>
    </row>
    <row r="770">
      <c r="A770" s="95">
        <f>IF(B770="","", "CLI-"&amp;TEXT(ROW()-5,"000"))</f>
        <v/>
      </c>
      <c r="B770" s="95" t="n"/>
      <c r="C770" s="95" t="n"/>
      <c r="D770" s="96" t="n"/>
    </row>
    <row r="771">
      <c r="A771" s="95">
        <f>IF(B771="","", "CLI-"&amp;TEXT(ROW()-5,"000"))</f>
        <v/>
      </c>
      <c r="B771" s="95" t="n"/>
      <c r="C771" s="95" t="n"/>
      <c r="D771" s="96" t="n"/>
    </row>
    <row r="772">
      <c r="A772" s="95">
        <f>IF(B772="","", "CLI-"&amp;TEXT(ROW()-5,"000"))</f>
        <v/>
      </c>
      <c r="B772" s="95" t="n"/>
      <c r="C772" s="95" t="n"/>
      <c r="D772" s="96" t="n"/>
    </row>
    <row r="773">
      <c r="A773" s="95">
        <f>IF(B773="","", "CLI-"&amp;TEXT(ROW()-5,"000"))</f>
        <v/>
      </c>
      <c r="B773" s="95" t="n"/>
      <c r="C773" s="95" t="n"/>
      <c r="D773" s="96" t="n"/>
    </row>
    <row r="774">
      <c r="A774" s="95">
        <f>IF(B774="","", "CLI-"&amp;TEXT(ROW()-5,"000"))</f>
        <v/>
      </c>
      <c r="B774" s="95" t="n"/>
      <c r="C774" s="95" t="n"/>
      <c r="D774" s="96" t="n"/>
    </row>
    <row r="775">
      <c r="A775" s="95">
        <f>IF(B775="","", "CLI-"&amp;TEXT(ROW()-5,"000"))</f>
        <v/>
      </c>
      <c r="B775" s="95" t="n"/>
      <c r="C775" s="95" t="n"/>
      <c r="D775" s="96" t="n"/>
    </row>
    <row r="776">
      <c r="A776" s="95">
        <f>IF(B776="","", "CLI-"&amp;TEXT(ROW()-5,"000"))</f>
        <v/>
      </c>
      <c r="B776" s="95" t="n"/>
      <c r="C776" s="95" t="n"/>
      <c r="D776" s="96" t="n"/>
    </row>
    <row r="777">
      <c r="A777" s="95">
        <f>IF(B777="","", "CLI-"&amp;TEXT(ROW()-5,"000"))</f>
        <v/>
      </c>
      <c r="B777" s="95" t="n"/>
      <c r="C777" s="95" t="n"/>
      <c r="D777" s="96" t="n"/>
    </row>
    <row r="778">
      <c r="A778" s="95">
        <f>IF(B778="","", "CLI-"&amp;TEXT(ROW()-5,"000"))</f>
        <v/>
      </c>
      <c r="B778" s="95" t="n"/>
      <c r="C778" s="95" t="n"/>
      <c r="D778" s="96" t="n"/>
    </row>
    <row r="779">
      <c r="A779" s="95">
        <f>IF(B779="","", "CLI-"&amp;TEXT(ROW()-5,"000"))</f>
        <v/>
      </c>
      <c r="B779" s="95" t="n"/>
      <c r="C779" s="95" t="n"/>
      <c r="D779" s="96" t="n"/>
    </row>
    <row r="780">
      <c r="A780" s="95">
        <f>IF(B780="","", "CLI-"&amp;TEXT(ROW()-5,"000"))</f>
        <v/>
      </c>
      <c r="B780" s="95" t="n"/>
      <c r="C780" s="95" t="n"/>
      <c r="D780" s="96" t="n"/>
    </row>
    <row r="781">
      <c r="A781" s="95">
        <f>IF(B781="","", "CLI-"&amp;TEXT(ROW()-5,"000"))</f>
        <v/>
      </c>
      <c r="B781" s="95" t="n"/>
      <c r="C781" s="95" t="n"/>
      <c r="D781" s="96" t="n"/>
    </row>
    <row r="782">
      <c r="A782" s="95">
        <f>IF(B782="","", "CLI-"&amp;TEXT(ROW()-5,"000"))</f>
        <v/>
      </c>
      <c r="B782" s="95" t="n"/>
      <c r="C782" s="95" t="n"/>
      <c r="D782" s="96" t="n"/>
    </row>
    <row r="783">
      <c r="A783" s="95">
        <f>IF(B783="","", "CLI-"&amp;TEXT(ROW()-5,"000"))</f>
        <v/>
      </c>
      <c r="B783" s="95" t="n"/>
      <c r="C783" s="95" t="n"/>
      <c r="D783" s="96" t="n"/>
    </row>
    <row r="784">
      <c r="A784" s="95">
        <f>IF(B784="","", "CLI-"&amp;TEXT(ROW()-5,"000"))</f>
        <v/>
      </c>
      <c r="B784" s="95" t="n"/>
      <c r="C784" s="95" t="n"/>
      <c r="D784" s="96" t="n"/>
    </row>
    <row r="785">
      <c r="A785" s="95">
        <f>IF(B785="","", "CLI-"&amp;TEXT(ROW()-5,"000"))</f>
        <v/>
      </c>
      <c r="B785" s="95" t="n"/>
      <c r="C785" s="95" t="n"/>
      <c r="D785" s="96" t="n"/>
    </row>
    <row r="786">
      <c r="A786" s="95">
        <f>IF(B786="","", "CLI-"&amp;TEXT(ROW()-5,"000"))</f>
        <v/>
      </c>
      <c r="B786" s="95" t="n"/>
      <c r="C786" s="95" t="n"/>
      <c r="D786" s="96" t="n"/>
    </row>
    <row r="787">
      <c r="A787" s="95">
        <f>IF(B787="","", "CLI-"&amp;TEXT(ROW()-5,"000"))</f>
        <v/>
      </c>
      <c r="B787" s="95" t="n"/>
      <c r="C787" s="95" t="n"/>
      <c r="D787" s="96" t="n"/>
    </row>
    <row r="788">
      <c r="A788" s="95">
        <f>IF(B788="","", "CLI-"&amp;TEXT(ROW()-5,"000"))</f>
        <v/>
      </c>
      <c r="B788" s="95" t="n"/>
      <c r="C788" s="95" t="n"/>
      <c r="D788" s="96" t="n"/>
    </row>
    <row r="789">
      <c r="A789" s="95">
        <f>IF(B789="","", "CLI-"&amp;TEXT(ROW()-5,"000"))</f>
        <v/>
      </c>
      <c r="B789" s="95" t="n"/>
      <c r="C789" s="95" t="n"/>
      <c r="D789" s="96" t="n"/>
    </row>
    <row r="790">
      <c r="A790" s="95">
        <f>IF(B790="","", "CLI-"&amp;TEXT(ROW()-5,"000"))</f>
        <v/>
      </c>
      <c r="B790" s="95" t="n"/>
      <c r="C790" s="95" t="n"/>
      <c r="D790" s="96" t="n"/>
    </row>
    <row r="791">
      <c r="A791" s="95">
        <f>IF(B791="","", "CLI-"&amp;TEXT(ROW()-5,"000"))</f>
        <v/>
      </c>
      <c r="B791" s="95" t="n"/>
      <c r="C791" s="95" t="n"/>
      <c r="D791" s="96" t="n"/>
    </row>
    <row r="792">
      <c r="A792" s="95">
        <f>IF(B792="","", "CLI-"&amp;TEXT(ROW()-5,"000"))</f>
        <v/>
      </c>
      <c r="B792" s="95" t="n"/>
      <c r="C792" s="95" t="n"/>
      <c r="D792" s="96" t="n"/>
    </row>
    <row r="793">
      <c r="A793" s="95">
        <f>IF(B793="","", "CLI-"&amp;TEXT(ROW()-5,"000"))</f>
        <v/>
      </c>
      <c r="B793" s="95" t="n"/>
      <c r="C793" s="95" t="n"/>
      <c r="D793" s="96" t="n"/>
    </row>
    <row r="794">
      <c r="A794" s="95">
        <f>IF(B794="","", "CLI-"&amp;TEXT(ROW()-5,"000"))</f>
        <v/>
      </c>
      <c r="B794" s="95" t="n"/>
      <c r="C794" s="95" t="n"/>
      <c r="D794" s="96" t="n"/>
    </row>
    <row r="795">
      <c r="A795" s="95">
        <f>IF(B795="","", "CLI-"&amp;TEXT(ROW()-5,"000"))</f>
        <v/>
      </c>
      <c r="B795" s="95" t="n"/>
      <c r="C795" s="95" t="n"/>
      <c r="D795" s="96" t="n"/>
    </row>
    <row r="796">
      <c r="A796" s="95">
        <f>IF(B796="","", "CLI-"&amp;TEXT(ROW()-5,"000"))</f>
        <v/>
      </c>
      <c r="B796" s="95" t="n"/>
      <c r="C796" s="95" t="n"/>
      <c r="D796" s="96" t="n"/>
    </row>
    <row r="797">
      <c r="A797" s="95">
        <f>IF(B797="","", "CLI-"&amp;TEXT(ROW()-5,"000"))</f>
        <v/>
      </c>
      <c r="B797" s="95" t="n"/>
      <c r="C797" s="95" t="n"/>
      <c r="D797" s="96" t="n"/>
    </row>
    <row r="798">
      <c r="A798" s="95">
        <f>IF(B798="","", "CLI-"&amp;TEXT(ROW()-5,"000"))</f>
        <v/>
      </c>
      <c r="B798" s="95" t="n"/>
      <c r="C798" s="95" t="n"/>
      <c r="D798" s="96" t="n"/>
    </row>
    <row r="799">
      <c r="A799" s="95">
        <f>IF(B799="","", "CLI-"&amp;TEXT(ROW()-5,"000"))</f>
        <v/>
      </c>
      <c r="B799" s="95" t="n"/>
      <c r="C799" s="95" t="n"/>
      <c r="D799" s="96" t="n"/>
    </row>
    <row r="800">
      <c r="A800" s="95">
        <f>IF(B800="","", "CLI-"&amp;TEXT(ROW()-5,"000"))</f>
        <v/>
      </c>
      <c r="B800" s="95" t="n"/>
      <c r="C800" s="95" t="n"/>
      <c r="D800" s="96" t="n"/>
    </row>
    <row r="801">
      <c r="A801" s="95">
        <f>IF(B801="","", "CLI-"&amp;TEXT(ROW()-5,"000"))</f>
        <v/>
      </c>
      <c r="B801" s="95" t="n"/>
      <c r="C801" s="95" t="n"/>
      <c r="D801" s="96" t="n"/>
    </row>
    <row r="802">
      <c r="A802" s="95">
        <f>IF(B802="","", "CLI-"&amp;TEXT(ROW()-5,"000"))</f>
        <v/>
      </c>
      <c r="B802" s="95" t="n"/>
      <c r="C802" s="95" t="n"/>
      <c r="D802" s="96" t="n"/>
    </row>
    <row r="803">
      <c r="A803" s="95">
        <f>IF(B803="","", "CLI-"&amp;TEXT(ROW()-5,"000"))</f>
        <v/>
      </c>
      <c r="B803" s="95" t="n"/>
      <c r="C803" s="95" t="n"/>
      <c r="D803" s="96" t="n"/>
    </row>
    <row r="804">
      <c r="A804" s="95">
        <f>IF(B804="","", "CLI-"&amp;TEXT(ROW()-5,"000"))</f>
        <v/>
      </c>
      <c r="B804" s="95" t="n"/>
      <c r="C804" s="95" t="n"/>
      <c r="D804" s="96" t="n"/>
    </row>
    <row r="805">
      <c r="A805" s="95">
        <f>IF(B805="","", "CLI-"&amp;TEXT(ROW()-5,"000"))</f>
        <v/>
      </c>
      <c r="B805" s="95" t="n"/>
      <c r="C805" s="95" t="n"/>
      <c r="D805" s="96" t="n"/>
    </row>
    <row r="806">
      <c r="A806" s="95">
        <f>IF(B806="","", "CLI-"&amp;TEXT(ROW()-5,"000"))</f>
        <v/>
      </c>
      <c r="B806" s="95" t="n"/>
      <c r="C806" s="95" t="n"/>
      <c r="D806" s="96" t="n"/>
    </row>
    <row r="807">
      <c r="A807" s="95">
        <f>IF(B807="","", "CLI-"&amp;TEXT(ROW()-5,"000"))</f>
        <v/>
      </c>
      <c r="B807" s="95" t="n"/>
      <c r="C807" s="95" t="n"/>
      <c r="D807" s="96" t="n"/>
    </row>
    <row r="808">
      <c r="A808" s="95">
        <f>IF(B808="","", "CLI-"&amp;TEXT(ROW()-5,"000"))</f>
        <v/>
      </c>
      <c r="B808" s="95" t="n"/>
      <c r="C808" s="95" t="n"/>
      <c r="D808" s="96" t="n"/>
    </row>
    <row r="809">
      <c r="A809" s="95">
        <f>IF(B809="","", "CLI-"&amp;TEXT(ROW()-5,"000"))</f>
        <v/>
      </c>
      <c r="B809" s="95" t="n"/>
      <c r="C809" s="95" t="n"/>
      <c r="D809" s="96" t="n"/>
    </row>
    <row r="810">
      <c r="A810" s="95">
        <f>IF(B810="","", "CLI-"&amp;TEXT(ROW()-5,"000"))</f>
        <v/>
      </c>
      <c r="B810" s="95" t="n"/>
      <c r="C810" s="95" t="n"/>
      <c r="D810" s="96" t="n"/>
    </row>
    <row r="811">
      <c r="A811" s="95">
        <f>IF(B811="","", "CLI-"&amp;TEXT(ROW()-5,"000"))</f>
        <v/>
      </c>
      <c r="B811" s="95" t="n"/>
      <c r="C811" s="95" t="n"/>
      <c r="D811" s="96" t="n"/>
    </row>
    <row r="812">
      <c r="A812" s="95">
        <f>IF(B812="","", "CLI-"&amp;TEXT(ROW()-5,"000"))</f>
        <v/>
      </c>
      <c r="B812" s="95" t="n"/>
      <c r="C812" s="95" t="n"/>
      <c r="D812" s="96" t="n"/>
    </row>
    <row r="813">
      <c r="A813" s="95">
        <f>IF(B813="","", "CLI-"&amp;TEXT(ROW()-5,"000"))</f>
        <v/>
      </c>
      <c r="B813" s="95" t="n"/>
      <c r="C813" s="95" t="n"/>
      <c r="D813" s="96" t="n"/>
    </row>
    <row r="814">
      <c r="A814" s="95">
        <f>IF(B814="","", "CLI-"&amp;TEXT(ROW()-5,"000"))</f>
        <v/>
      </c>
      <c r="B814" s="95" t="n"/>
      <c r="C814" s="95" t="n"/>
      <c r="D814" s="96" t="n"/>
    </row>
    <row r="815">
      <c r="A815" s="95">
        <f>IF(B815="","", "CLI-"&amp;TEXT(ROW()-5,"000"))</f>
        <v/>
      </c>
      <c r="B815" s="95" t="n"/>
      <c r="C815" s="95" t="n"/>
      <c r="D815" s="96" t="n"/>
    </row>
    <row r="816">
      <c r="A816" s="95">
        <f>IF(B816="","", "CLI-"&amp;TEXT(ROW()-5,"000"))</f>
        <v/>
      </c>
      <c r="B816" s="95" t="n"/>
      <c r="C816" s="95" t="n"/>
      <c r="D816" s="96" t="n"/>
    </row>
    <row r="817">
      <c r="A817" s="95">
        <f>IF(B817="","", "CLI-"&amp;TEXT(ROW()-5,"000"))</f>
        <v/>
      </c>
      <c r="B817" s="95" t="n"/>
      <c r="C817" s="95" t="n"/>
      <c r="D817" s="96" t="n"/>
    </row>
    <row r="818">
      <c r="A818" s="95">
        <f>IF(B818="","", "CLI-"&amp;TEXT(ROW()-5,"000"))</f>
        <v/>
      </c>
      <c r="B818" s="95" t="n"/>
      <c r="C818" s="95" t="n"/>
      <c r="D818" s="96" t="n"/>
    </row>
    <row r="819">
      <c r="A819" s="95">
        <f>IF(B819="","", "CLI-"&amp;TEXT(ROW()-5,"000"))</f>
        <v/>
      </c>
      <c r="B819" s="95" t="n"/>
      <c r="C819" s="95" t="n"/>
      <c r="D819" s="96" t="n"/>
    </row>
    <row r="820">
      <c r="A820" s="95">
        <f>IF(B820="","", "CLI-"&amp;TEXT(ROW()-5,"000"))</f>
        <v/>
      </c>
      <c r="B820" s="95" t="n"/>
      <c r="C820" s="95" t="n"/>
      <c r="D820" s="96" t="n"/>
    </row>
    <row r="821">
      <c r="A821" s="95">
        <f>IF(B821="","", "CLI-"&amp;TEXT(ROW()-5,"000"))</f>
        <v/>
      </c>
      <c r="B821" s="95" t="n"/>
      <c r="C821" s="95" t="n"/>
      <c r="D821" s="96" t="n"/>
    </row>
    <row r="822">
      <c r="A822" s="95">
        <f>IF(B822="","", "CLI-"&amp;TEXT(ROW()-5,"000"))</f>
        <v/>
      </c>
      <c r="B822" s="95" t="n"/>
      <c r="C822" s="95" t="n"/>
      <c r="D822" s="96" t="n"/>
    </row>
    <row r="823">
      <c r="A823" s="95">
        <f>IF(B823="","", "CLI-"&amp;TEXT(ROW()-5,"000"))</f>
        <v/>
      </c>
      <c r="B823" s="95" t="n"/>
      <c r="C823" s="95" t="n"/>
      <c r="D823" s="96" t="n"/>
    </row>
    <row r="824">
      <c r="A824" s="95">
        <f>IF(B824="","", "CLI-"&amp;TEXT(ROW()-5,"000"))</f>
        <v/>
      </c>
      <c r="B824" s="95" t="n"/>
      <c r="C824" s="95" t="n"/>
      <c r="D824" s="96" t="n"/>
    </row>
    <row r="825">
      <c r="A825" s="95">
        <f>IF(B825="","", "CLI-"&amp;TEXT(ROW()-5,"000"))</f>
        <v/>
      </c>
      <c r="B825" s="95" t="n"/>
      <c r="C825" s="95" t="n"/>
      <c r="D825" s="96" t="n"/>
    </row>
    <row r="826">
      <c r="A826" s="95">
        <f>IF(B826="","", "CLI-"&amp;TEXT(ROW()-5,"000"))</f>
        <v/>
      </c>
      <c r="B826" s="95" t="n"/>
      <c r="C826" s="95" t="n"/>
      <c r="D826" s="96" t="n"/>
    </row>
    <row r="827">
      <c r="A827" s="95">
        <f>IF(B827="","", "CLI-"&amp;TEXT(ROW()-5,"000"))</f>
        <v/>
      </c>
      <c r="B827" s="95" t="n"/>
      <c r="C827" s="95" t="n"/>
      <c r="D827" s="96" t="n"/>
    </row>
    <row r="828">
      <c r="A828" s="95">
        <f>IF(B828="","", "CLI-"&amp;TEXT(ROW()-5,"000"))</f>
        <v/>
      </c>
      <c r="B828" s="95" t="n"/>
      <c r="C828" s="95" t="n"/>
      <c r="D828" s="96" t="n"/>
    </row>
    <row r="829">
      <c r="A829" s="95">
        <f>IF(B829="","", "CLI-"&amp;TEXT(ROW()-5,"000"))</f>
        <v/>
      </c>
      <c r="B829" s="95" t="n"/>
      <c r="C829" s="95" t="n"/>
      <c r="D829" s="96" t="n"/>
    </row>
    <row r="830">
      <c r="A830" s="95">
        <f>IF(B830="","", "CLI-"&amp;TEXT(ROW()-5,"000"))</f>
        <v/>
      </c>
      <c r="B830" s="95" t="n"/>
      <c r="C830" s="95" t="n"/>
      <c r="D830" s="96" t="n"/>
    </row>
    <row r="831">
      <c r="A831" s="95">
        <f>IF(B831="","", "CLI-"&amp;TEXT(ROW()-5,"000"))</f>
        <v/>
      </c>
      <c r="B831" s="95" t="n"/>
      <c r="C831" s="95" t="n"/>
      <c r="D831" s="96" t="n"/>
    </row>
    <row r="832">
      <c r="A832" s="95">
        <f>IF(B832="","", "CLI-"&amp;TEXT(ROW()-5,"000"))</f>
        <v/>
      </c>
      <c r="B832" s="95" t="n"/>
      <c r="C832" s="95" t="n"/>
      <c r="D832" s="96" t="n"/>
    </row>
    <row r="833">
      <c r="A833" s="95">
        <f>IF(B833="","", "CLI-"&amp;TEXT(ROW()-5,"000"))</f>
        <v/>
      </c>
      <c r="B833" s="95" t="n"/>
      <c r="C833" s="95" t="n"/>
      <c r="D833" s="96" t="n"/>
    </row>
    <row r="834">
      <c r="A834" s="95">
        <f>IF(B834="","", "CLI-"&amp;TEXT(ROW()-5,"000"))</f>
        <v/>
      </c>
      <c r="B834" s="95" t="n"/>
      <c r="C834" s="95" t="n"/>
      <c r="D834" s="96" t="n"/>
    </row>
    <row r="835">
      <c r="A835" s="95">
        <f>IF(B835="","", "CLI-"&amp;TEXT(ROW()-5,"000"))</f>
        <v/>
      </c>
      <c r="B835" s="95" t="n"/>
      <c r="C835" s="95" t="n"/>
      <c r="D835" s="96" t="n"/>
    </row>
    <row r="836">
      <c r="A836" s="95">
        <f>IF(B836="","", "CLI-"&amp;TEXT(ROW()-5,"000"))</f>
        <v/>
      </c>
      <c r="B836" s="95" t="n"/>
      <c r="C836" s="95" t="n"/>
      <c r="D836" s="96" t="n"/>
    </row>
    <row r="837">
      <c r="A837" s="95">
        <f>IF(B837="","", "CLI-"&amp;TEXT(ROW()-5,"000"))</f>
        <v/>
      </c>
      <c r="B837" s="95" t="n"/>
      <c r="C837" s="95" t="n"/>
      <c r="D837" s="96" t="n"/>
    </row>
    <row r="838">
      <c r="A838" s="95">
        <f>IF(B838="","", "CLI-"&amp;TEXT(ROW()-5,"000"))</f>
        <v/>
      </c>
      <c r="B838" s="95" t="n"/>
      <c r="C838" s="95" t="n"/>
      <c r="D838" s="96" t="n"/>
    </row>
    <row r="839">
      <c r="A839" s="95">
        <f>IF(B839="","", "CLI-"&amp;TEXT(ROW()-5,"000"))</f>
        <v/>
      </c>
      <c r="B839" s="95" t="n"/>
      <c r="C839" s="95" t="n"/>
      <c r="D839" s="96" t="n"/>
    </row>
    <row r="840">
      <c r="A840" s="95">
        <f>IF(B840="","", "CLI-"&amp;TEXT(ROW()-5,"000"))</f>
        <v/>
      </c>
      <c r="B840" s="95" t="n"/>
      <c r="C840" s="95" t="n"/>
      <c r="D840" s="96" t="n"/>
    </row>
    <row r="841">
      <c r="A841" s="95">
        <f>IF(B841="","", "CLI-"&amp;TEXT(ROW()-5,"000"))</f>
        <v/>
      </c>
      <c r="B841" s="95" t="n"/>
      <c r="C841" s="95" t="n"/>
      <c r="D841" s="96" t="n"/>
    </row>
    <row r="842">
      <c r="A842" s="95">
        <f>IF(B842="","", "CLI-"&amp;TEXT(ROW()-5,"000"))</f>
        <v/>
      </c>
      <c r="B842" s="95" t="n"/>
      <c r="C842" s="95" t="n"/>
      <c r="D842" s="96" t="n"/>
    </row>
    <row r="843">
      <c r="A843" s="95">
        <f>IF(B843="","", "CLI-"&amp;TEXT(ROW()-5,"000"))</f>
        <v/>
      </c>
      <c r="B843" s="95" t="n"/>
      <c r="C843" s="95" t="n"/>
      <c r="D843" s="96" t="n"/>
    </row>
    <row r="844">
      <c r="A844" s="95">
        <f>IF(B844="","", "CLI-"&amp;TEXT(ROW()-5,"000"))</f>
        <v/>
      </c>
      <c r="B844" s="95" t="n"/>
      <c r="C844" s="95" t="n"/>
      <c r="D844" s="96" t="n"/>
    </row>
    <row r="845">
      <c r="A845" s="95">
        <f>IF(B845="","", "CLI-"&amp;TEXT(ROW()-5,"000"))</f>
        <v/>
      </c>
      <c r="B845" s="95" t="n"/>
      <c r="C845" s="95" t="n"/>
      <c r="D845" s="96" t="n"/>
    </row>
    <row r="846">
      <c r="A846" s="95">
        <f>IF(B846="","", "CLI-"&amp;TEXT(ROW()-5,"000"))</f>
        <v/>
      </c>
      <c r="B846" s="95" t="n"/>
      <c r="C846" s="95" t="n"/>
      <c r="D846" s="96" t="n"/>
    </row>
    <row r="847">
      <c r="A847" s="95">
        <f>IF(B847="","", "CLI-"&amp;TEXT(ROW()-5,"000"))</f>
        <v/>
      </c>
      <c r="B847" s="95" t="n"/>
      <c r="C847" s="95" t="n"/>
      <c r="D847" s="96" t="n"/>
    </row>
    <row r="848">
      <c r="A848" s="95">
        <f>IF(B848="","", "CLI-"&amp;TEXT(ROW()-5,"000"))</f>
        <v/>
      </c>
      <c r="B848" s="95" t="n"/>
      <c r="C848" s="95" t="n"/>
      <c r="D848" s="96" t="n"/>
    </row>
    <row r="849">
      <c r="A849" s="95">
        <f>IF(B849="","", "CLI-"&amp;TEXT(ROW()-5,"000"))</f>
        <v/>
      </c>
      <c r="B849" s="95" t="n"/>
      <c r="C849" s="95" t="n"/>
      <c r="D849" s="96" t="n"/>
    </row>
    <row r="850">
      <c r="A850" s="95">
        <f>IF(B850="","", "CLI-"&amp;TEXT(ROW()-5,"000"))</f>
        <v/>
      </c>
      <c r="B850" s="95" t="n"/>
      <c r="C850" s="95" t="n"/>
      <c r="D850" s="96" t="n"/>
    </row>
    <row r="851">
      <c r="A851" s="95">
        <f>IF(B851="","", "CLI-"&amp;TEXT(ROW()-5,"000"))</f>
        <v/>
      </c>
      <c r="B851" s="95" t="n"/>
      <c r="C851" s="95" t="n"/>
      <c r="D851" s="96" t="n"/>
    </row>
    <row r="852">
      <c r="A852" s="95">
        <f>IF(B852="","", "CLI-"&amp;TEXT(ROW()-5,"000"))</f>
        <v/>
      </c>
      <c r="B852" s="95" t="n"/>
      <c r="C852" s="95" t="n"/>
      <c r="D852" s="96" t="n"/>
    </row>
    <row r="853">
      <c r="A853" s="95">
        <f>IF(B853="","", "CLI-"&amp;TEXT(ROW()-5,"000"))</f>
        <v/>
      </c>
      <c r="B853" s="95" t="n"/>
      <c r="C853" s="95" t="n"/>
      <c r="D853" s="96" t="n"/>
    </row>
    <row r="854">
      <c r="A854" s="95">
        <f>IF(B854="","", "CLI-"&amp;TEXT(ROW()-5,"000"))</f>
        <v/>
      </c>
      <c r="B854" s="95" t="n"/>
      <c r="C854" s="95" t="n"/>
      <c r="D854" s="96" t="n"/>
    </row>
    <row r="855">
      <c r="A855" s="95">
        <f>IF(B855="","", "CLI-"&amp;TEXT(ROW()-5,"000"))</f>
        <v/>
      </c>
      <c r="B855" s="95" t="n"/>
      <c r="C855" s="95" t="n"/>
      <c r="D855" s="96" t="n"/>
    </row>
    <row r="856">
      <c r="A856" s="95">
        <f>IF(B856="","", "CLI-"&amp;TEXT(ROW()-5,"000"))</f>
        <v/>
      </c>
      <c r="B856" s="95" t="n"/>
      <c r="C856" s="95" t="n"/>
      <c r="D856" s="96" t="n"/>
    </row>
    <row r="857">
      <c r="A857" s="95">
        <f>IF(B857="","", "CLI-"&amp;TEXT(ROW()-5,"000"))</f>
        <v/>
      </c>
      <c r="B857" s="95" t="n"/>
      <c r="C857" s="95" t="n"/>
      <c r="D857" s="96" t="n"/>
    </row>
    <row r="858">
      <c r="A858" s="95">
        <f>IF(B858="","", "CLI-"&amp;TEXT(ROW()-5,"000"))</f>
        <v/>
      </c>
      <c r="B858" s="95" t="n"/>
      <c r="C858" s="95" t="n"/>
      <c r="D858" s="96" t="n"/>
    </row>
    <row r="859">
      <c r="A859" s="95">
        <f>IF(B859="","", "CLI-"&amp;TEXT(ROW()-5,"000"))</f>
        <v/>
      </c>
      <c r="B859" s="95" t="n"/>
      <c r="C859" s="95" t="n"/>
      <c r="D859" s="96" t="n"/>
    </row>
    <row r="860">
      <c r="A860" s="95">
        <f>IF(B860="","", "CLI-"&amp;TEXT(ROW()-5,"000"))</f>
        <v/>
      </c>
      <c r="B860" s="95" t="n"/>
      <c r="C860" s="95" t="n"/>
      <c r="D860" s="96" t="n"/>
    </row>
    <row r="861">
      <c r="A861" s="95">
        <f>IF(B861="","", "CLI-"&amp;TEXT(ROW()-5,"000"))</f>
        <v/>
      </c>
      <c r="B861" s="95" t="n"/>
      <c r="C861" s="95" t="n"/>
      <c r="D861" s="96" t="n"/>
    </row>
    <row r="862">
      <c r="A862" s="95">
        <f>IF(B862="","", "CLI-"&amp;TEXT(ROW()-5,"000"))</f>
        <v/>
      </c>
      <c r="B862" s="95" t="n"/>
      <c r="C862" s="95" t="n"/>
      <c r="D862" s="96" t="n"/>
    </row>
    <row r="863">
      <c r="A863" s="95">
        <f>IF(B863="","", "CLI-"&amp;TEXT(ROW()-5,"000"))</f>
        <v/>
      </c>
      <c r="B863" s="95" t="n"/>
      <c r="C863" s="95" t="n"/>
      <c r="D863" s="96" t="n"/>
    </row>
    <row r="864">
      <c r="A864" s="95">
        <f>IF(B864="","", "CLI-"&amp;TEXT(ROW()-5,"000"))</f>
        <v/>
      </c>
      <c r="B864" s="95" t="n"/>
      <c r="C864" s="95" t="n"/>
      <c r="D864" s="96" t="n"/>
    </row>
    <row r="865">
      <c r="A865" s="95">
        <f>IF(B865="","", "CLI-"&amp;TEXT(ROW()-5,"000"))</f>
        <v/>
      </c>
      <c r="B865" s="95" t="n"/>
      <c r="C865" s="95" t="n"/>
      <c r="D865" s="96" t="n"/>
    </row>
    <row r="866">
      <c r="A866" s="95">
        <f>IF(B866="","", "CLI-"&amp;TEXT(ROW()-5,"000"))</f>
        <v/>
      </c>
      <c r="B866" s="95" t="n"/>
      <c r="C866" s="95" t="n"/>
      <c r="D866" s="96" t="n"/>
    </row>
    <row r="867">
      <c r="A867" s="95">
        <f>IF(B867="","", "CLI-"&amp;TEXT(ROW()-5,"000"))</f>
        <v/>
      </c>
      <c r="B867" s="95" t="n"/>
      <c r="C867" s="95" t="n"/>
      <c r="D867" s="96" t="n"/>
    </row>
    <row r="868">
      <c r="A868" s="95">
        <f>IF(B868="","", "CLI-"&amp;TEXT(ROW()-5,"000"))</f>
        <v/>
      </c>
      <c r="B868" s="95" t="n"/>
      <c r="C868" s="95" t="n"/>
      <c r="D868" s="96" t="n"/>
    </row>
    <row r="869">
      <c r="A869" s="95">
        <f>IF(B869="","", "CLI-"&amp;TEXT(ROW()-5,"000"))</f>
        <v/>
      </c>
      <c r="B869" s="95" t="n"/>
      <c r="C869" s="95" t="n"/>
      <c r="D869" s="96" t="n"/>
    </row>
    <row r="870">
      <c r="A870" s="95">
        <f>IF(B870="","", "CLI-"&amp;TEXT(ROW()-5,"000"))</f>
        <v/>
      </c>
      <c r="B870" s="95" t="n"/>
      <c r="C870" s="95" t="n"/>
      <c r="D870" s="96" t="n"/>
    </row>
    <row r="871">
      <c r="A871" s="95">
        <f>IF(B871="","", "CLI-"&amp;TEXT(ROW()-5,"000"))</f>
        <v/>
      </c>
      <c r="B871" s="95" t="n"/>
      <c r="C871" s="95" t="n"/>
      <c r="D871" s="96" t="n"/>
    </row>
    <row r="872">
      <c r="A872" s="95">
        <f>IF(B872="","", "CLI-"&amp;TEXT(ROW()-5,"000"))</f>
        <v/>
      </c>
      <c r="B872" s="95" t="n"/>
      <c r="C872" s="95" t="n"/>
      <c r="D872" s="96" t="n"/>
    </row>
    <row r="873">
      <c r="A873" s="95">
        <f>IF(B873="","", "CLI-"&amp;TEXT(ROW()-5,"000"))</f>
        <v/>
      </c>
      <c r="B873" s="95" t="n"/>
      <c r="C873" s="95" t="n"/>
      <c r="D873" s="96" t="n"/>
    </row>
    <row r="874">
      <c r="A874" s="95">
        <f>IF(B874="","", "CLI-"&amp;TEXT(ROW()-5,"000"))</f>
        <v/>
      </c>
      <c r="B874" s="95" t="n"/>
      <c r="C874" s="95" t="n"/>
      <c r="D874" s="96" t="n"/>
    </row>
    <row r="875">
      <c r="A875" s="95">
        <f>IF(B875="","", "CLI-"&amp;TEXT(ROW()-5,"000"))</f>
        <v/>
      </c>
      <c r="B875" s="95" t="n"/>
      <c r="C875" s="95" t="n"/>
      <c r="D875" s="96" t="n"/>
    </row>
    <row r="876">
      <c r="A876" s="95">
        <f>IF(B876="","", "CLI-"&amp;TEXT(ROW()-5,"000"))</f>
        <v/>
      </c>
      <c r="B876" s="95" t="n"/>
      <c r="C876" s="95" t="n"/>
      <c r="D876" s="96" t="n"/>
    </row>
    <row r="877">
      <c r="A877" s="95">
        <f>IF(B877="","", "CLI-"&amp;TEXT(ROW()-5,"000"))</f>
        <v/>
      </c>
      <c r="B877" s="95" t="n"/>
      <c r="C877" s="95" t="n"/>
      <c r="D877" s="96" t="n"/>
    </row>
    <row r="878">
      <c r="A878" s="95">
        <f>IF(B878="","", "CLI-"&amp;TEXT(ROW()-5,"000"))</f>
        <v/>
      </c>
      <c r="B878" s="95" t="n"/>
      <c r="C878" s="95" t="n"/>
      <c r="D878" s="96" t="n"/>
    </row>
    <row r="879">
      <c r="A879" s="95">
        <f>IF(B879="","", "CLI-"&amp;TEXT(ROW()-5,"000"))</f>
        <v/>
      </c>
      <c r="B879" s="95" t="n"/>
      <c r="C879" s="95" t="n"/>
      <c r="D879" s="96" t="n"/>
    </row>
    <row r="880">
      <c r="A880" s="95">
        <f>IF(B880="","", "CLI-"&amp;TEXT(ROW()-5,"000"))</f>
        <v/>
      </c>
      <c r="B880" s="95" t="n"/>
      <c r="C880" s="95" t="n"/>
      <c r="D880" s="96" t="n"/>
    </row>
    <row r="881">
      <c r="A881" s="95">
        <f>IF(B881="","", "CLI-"&amp;TEXT(ROW()-5,"000"))</f>
        <v/>
      </c>
      <c r="B881" s="95" t="n"/>
      <c r="C881" s="95" t="n"/>
      <c r="D881" s="96" t="n"/>
    </row>
    <row r="882">
      <c r="A882" s="95">
        <f>IF(B882="","", "CLI-"&amp;TEXT(ROW()-5,"000"))</f>
        <v/>
      </c>
      <c r="B882" s="95" t="n"/>
      <c r="C882" s="95" t="n"/>
      <c r="D882" s="96" t="n"/>
    </row>
    <row r="883">
      <c r="A883" s="95">
        <f>IF(B883="","", "CLI-"&amp;TEXT(ROW()-5,"000"))</f>
        <v/>
      </c>
      <c r="B883" s="95" t="n"/>
      <c r="C883" s="95" t="n"/>
      <c r="D883" s="96" t="n"/>
    </row>
    <row r="884">
      <c r="A884" s="95">
        <f>IF(B884="","", "CLI-"&amp;TEXT(ROW()-5,"000"))</f>
        <v/>
      </c>
      <c r="B884" s="95" t="n"/>
      <c r="C884" s="95" t="n"/>
      <c r="D884" s="96" t="n"/>
    </row>
    <row r="885">
      <c r="A885" s="95">
        <f>IF(B885="","", "CLI-"&amp;TEXT(ROW()-5,"000"))</f>
        <v/>
      </c>
      <c r="B885" s="95" t="n"/>
      <c r="C885" s="95" t="n"/>
      <c r="D885" s="96" t="n"/>
    </row>
    <row r="886">
      <c r="A886" s="95">
        <f>IF(B886="","", "CLI-"&amp;TEXT(ROW()-5,"000"))</f>
        <v/>
      </c>
      <c r="B886" s="95" t="n"/>
      <c r="C886" s="95" t="n"/>
      <c r="D886" s="96" t="n"/>
    </row>
    <row r="887">
      <c r="A887" s="95">
        <f>IF(B887="","", "CLI-"&amp;TEXT(ROW()-5,"000"))</f>
        <v/>
      </c>
      <c r="B887" s="95" t="n"/>
      <c r="C887" s="95" t="n"/>
      <c r="D887" s="96" t="n"/>
    </row>
    <row r="888">
      <c r="A888" s="95">
        <f>IF(B888="","", "CLI-"&amp;TEXT(ROW()-5,"000"))</f>
        <v/>
      </c>
      <c r="B888" s="95" t="n"/>
      <c r="C888" s="95" t="n"/>
      <c r="D888" s="96" t="n"/>
    </row>
    <row r="889">
      <c r="A889" s="95">
        <f>IF(B889="","", "CLI-"&amp;TEXT(ROW()-5,"000"))</f>
        <v/>
      </c>
      <c r="B889" s="95" t="n"/>
      <c r="C889" s="95" t="n"/>
      <c r="D889" s="96" t="n"/>
    </row>
    <row r="890">
      <c r="A890" s="95">
        <f>IF(B890="","", "CLI-"&amp;TEXT(ROW()-5,"000"))</f>
        <v/>
      </c>
      <c r="B890" s="95" t="n"/>
      <c r="C890" s="95" t="n"/>
      <c r="D890" s="96" t="n"/>
    </row>
    <row r="891">
      <c r="A891" s="95">
        <f>IF(B891="","", "CLI-"&amp;TEXT(ROW()-5,"000"))</f>
        <v/>
      </c>
      <c r="B891" s="95" t="n"/>
      <c r="C891" s="95" t="n"/>
      <c r="D891" s="96" t="n"/>
    </row>
    <row r="892">
      <c r="A892" s="95">
        <f>IF(B892="","", "CLI-"&amp;TEXT(ROW()-5,"000"))</f>
        <v/>
      </c>
      <c r="B892" s="95" t="n"/>
      <c r="C892" s="95" t="n"/>
      <c r="D892" s="96" t="n"/>
    </row>
    <row r="893">
      <c r="A893" s="95">
        <f>IF(B893="","", "CLI-"&amp;TEXT(ROW()-5,"000"))</f>
        <v/>
      </c>
      <c r="B893" s="95" t="n"/>
      <c r="C893" s="95" t="n"/>
      <c r="D893" s="96" t="n"/>
    </row>
    <row r="894">
      <c r="A894" s="95">
        <f>IF(B894="","", "CLI-"&amp;TEXT(ROW()-5,"000"))</f>
        <v/>
      </c>
      <c r="B894" s="95" t="n"/>
      <c r="C894" s="95" t="n"/>
      <c r="D894" s="96" t="n"/>
    </row>
    <row r="895">
      <c r="A895" s="95">
        <f>IF(B895="","", "CLI-"&amp;TEXT(ROW()-5,"000"))</f>
        <v/>
      </c>
      <c r="B895" s="95" t="n"/>
      <c r="C895" s="95" t="n"/>
      <c r="D895" s="96" t="n"/>
    </row>
    <row r="896">
      <c r="A896" s="95">
        <f>IF(B896="","", "CLI-"&amp;TEXT(ROW()-5,"000"))</f>
        <v/>
      </c>
      <c r="B896" s="95" t="n"/>
      <c r="C896" s="95" t="n"/>
      <c r="D896" s="96" t="n"/>
    </row>
    <row r="897">
      <c r="A897" s="95">
        <f>IF(B897="","", "CLI-"&amp;TEXT(ROW()-5,"000"))</f>
        <v/>
      </c>
      <c r="B897" s="95" t="n"/>
      <c r="C897" s="95" t="n"/>
      <c r="D897" s="96" t="n"/>
    </row>
    <row r="898">
      <c r="A898" s="95">
        <f>IF(B898="","", "CLI-"&amp;TEXT(ROW()-5,"000"))</f>
        <v/>
      </c>
      <c r="B898" s="95" t="n"/>
      <c r="C898" s="95" t="n"/>
      <c r="D898" s="96" t="n"/>
    </row>
    <row r="899">
      <c r="A899" s="95">
        <f>IF(B899="","", "CLI-"&amp;TEXT(ROW()-5,"000"))</f>
        <v/>
      </c>
      <c r="B899" s="95" t="n"/>
      <c r="C899" s="95" t="n"/>
      <c r="D899" s="96" t="n"/>
    </row>
    <row r="900">
      <c r="A900" s="95">
        <f>IF(B900="","", "CLI-"&amp;TEXT(ROW()-5,"000"))</f>
        <v/>
      </c>
      <c r="B900" s="95" t="n"/>
      <c r="C900" s="95" t="n"/>
      <c r="D900" s="96" t="n"/>
    </row>
    <row r="901">
      <c r="A901" s="95">
        <f>IF(B901="","", "CLI-"&amp;TEXT(ROW()-5,"000"))</f>
        <v/>
      </c>
      <c r="B901" s="95" t="n"/>
      <c r="C901" s="95" t="n"/>
      <c r="D901" s="96" t="n"/>
    </row>
    <row r="902">
      <c r="A902" s="95">
        <f>IF(B902="","", "CLI-"&amp;TEXT(ROW()-5,"000"))</f>
        <v/>
      </c>
      <c r="B902" s="95" t="n"/>
      <c r="C902" s="95" t="n"/>
      <c r="D902" s="96" t="n"/>
    </row>
    <row r="903">
      <c r="A903" s="95">
        <f>IF(B903="","", "CLI-"&amp;TEXT(ROW()-5,"000"))</f>
        <v/>
      </c>
      <c r="B903" s="95" t="n"/>
      <c r="C903" s="95" t="n"/>
      <c r="D903" s="96" t="n"/>
    </row>
    <row r="904">
      <c r="A904" s="95">
        <f>IF(B904="","", "CLI-"&amp;TEXT(ROW()-5,"000"))</f>
        <v/>
      </c>
      <c r="B904" s="95" t="n"/>
      <c r="C904" s="95" t="n"/>
      <c r="D904" s="96" t="n"/>
    </row>
    <row r="905">
      <c r="A905" s="95">
        <f>IF(B905="","", "CLI-"&amp;TEXT(ROW()-5,"000"))</f>
        <v/>
      </c>
      <c r="B905" s="95" t="n"/>
      <c r="C905" s="95" t="n"/>
      <c r="D905" s="96" t="n"/>
    </row>
    <row r="906">
      <c r="A906" s="95">
        <f>IF(B906="","", "CLI-"&amp;TEXT(ROW()-5,"000"))</f>
        <v/>
      </c>
      <c r="B906" s="95" t="n"/>
      <c r="C906" s="95" t="n"/>
      <c r="D906" s="96" t="n"/>
    </row>
    <row r="907">
      <c r="A907" s="95">
        <f>IF(B907="","", "CLI-"&amp;TEXT(ROW()-5,"000"))</f>
        <v/>
      </c>
      <c r="B907" s="95" t="n"/>
      <c r="C907" s="95" t="n"/>
      <c r="D907" s="96" t="n"/>
    </row>
    <row r="908">
      <c r="A908" s="95">
        <f>IF(B908="","", "CLI-"&amp;TEXT(ROW()-5,"000"))</f>
        <v/>
      </c>
      <c r="B908" s="95" t="n"/>
      <c r="C908" s="95" t="n"/>
      <c r="D908" s="96" t="n"/>
    </row>
    <row r="909">
      <c r="A909" s="95">
        <f>IF(B909="","", "CLI-"&amp;TEXT(ROW()-5,"000"))</f>
        <v/>
      </c>
      <c r="B909" s="95" t="n"/>
      <c r="C909" s="95" t="n"/>
      <c r="D909" s="96" t="n"/>
    </row>
    <row r="910">
      <c r="A910" s="95">
        <f>IF(B910="","", "CLI-"&amp;TEXT(ROW()-5,"000"))</f>
        <v/>
      </c>
      <c r="B910" s="95" t="n"/>
      <c r="C910" s="95" t="n"/>
      <c r="D910" s="96" t="n"/>
    </row>
    <row r="911">
      <c r="A911" s="95">
        <f>IF(B911="","", "CLI-"&amp;TEXT(ROW()-5,"000"))</f>
        <v/>
      </c>
      <c r="B911" s="95" t="n"/>
      <c r="C911" s="95" t="n"/>
      <c r="D911" s="96" t="n"/>
    </row>
    <row r="912">
      <c r="A912" s="95">
        <f>IF(B912="","", "CLI-"&amp;TEXT(ROW()-5,"000"))</f>
        <v/>
      </c>
      <c r="B912" s="95" t="n"/>
      <c r="C912" s="95" t="n"/>
      <c r="D912" s="96" t="n"/>
    </row>
    <row r="913">
      <c r="A913" s="95">
        <f>IF(B913="","", "CLI-"&amp;TEXT(ROW()-5,"000"))</f>
        <v/>
      </c>
      <c r="B913" s="95" t="n"/>
      <c r="C913" s="95" t="n"/>
      <c r="D913" s="96" t="n"/>
    </row>
    <row r="914">
      <c r="A914" s="95">
        <f>IF(B914="","", "CLI-"&amp;TEXT(ROW()-5,"000"))</f>
        <v/>
      </c>
      <c r="B914" s="95" t="n"/>
      <c r="C914" s="95" t="n"/>
      <c r="D914" s="96" t="n"/>
    </row>
    <row r="915">
      <c r="A915" s="95">
        <f>IF(B915="","", "CLI-"&amp;TEXT(ROW()-5,"000"))</f>
        <v/>
      </c>
      <c r="B915" s="95" t="n"/>
      <c r="C915" s="95" t="n"/>
      <c r="D915" s="96" t="n"/>
    </row>
    <row r="916">
      <c r="A916" s="95">
        <f>IF(B916="","", "CLI-"&amp;TEXT(ROW()-5,"000"))</f>
        <v/>
      </c>
      <c r="B916" s="95" t="n"/>
      <c r="C916" s="95" t="n"/>
      <c r="D916" s="96" t="n"/>
    </row>
    <row r="917">
      <c r="A917" s="95">
        <f>IF(B917="","", "CLI-"&amp;TEXT(ROW()-5,"000"))</f>
        <v/>
      </c>
      <c r="B917" s="95" t="n"/>
      <c r="C917" s="95" t="n"/>
      <c r="D917" s="96" t="n"/>
    </row>
    <row r="918">
      <c r="A918" s="95">
        <f>IF(B918="","", "CLI-"&amp;TEXT(ROW()-5,"000"))</f>
        <v/>
      </c>
      <c r="B918" s="95" t="n"/>
      <c r="C918" s="95" t="n"/>
      <c r="D918" s="96" t="n"/>
    </row>
    <row r="919">
      <c r="A919" s="95">
        <f>IF(B919="","", "CLI-"&amp;TEXT(ROW()-5,"000"))</f>
        <v/>
      </c>
      <c r="B919" s="95" t="n"/>
      <c r="C919" s="95" t="n"/>
      <c r="D919" s="96" t="n"/>
    </row>
    <row r="920">
      <c r="A920" s="95">
        <f>IF(B920="","", "CLI-"&amp;TEXT(ROW()-5,"000"))</f>
        <v/>
      </c>
      <c r="B920" s="95" t="n"/>
      <c r="C920" s="95" t="n"/>
      <c r="D920" s="96" t="n"/>
    </row>
    <row r="921">
      <c r="A921" s="95">
        <f>IF(B921="","", "CLI-"&amp;TEXT(ROW()-5,"000"))</f>
        <v/>
      </c>
      <c r="B921" s="95" t="n"/>
      <c r="C921" s="95" t="n"/>
      <c r="D921" s="96" t="n"/>
    </row>
    <row r="922">
      <c r="A922" s="95">
        <f>IF(B922="","", "CLI-"&amp;TEXT(ROW()-5,"000"))</f>
        <v/>
      </c>
      <c r="B922" s="95" t="n"/>
      <c r="C922" s="95" t="n"/>
      <c r="D922" s="96" t="n"/>
    </row>
    <row r="923">
      <c r="A923" s="95">
        <f>IF(B923="","", "CLI-"&amp;TEXT(ROW()-5,"000"))</f>
        <v/>
      </c>
      <c r="B923" s="95" t="n"/>
      <c r="C923" s="95" t="n"/>
      <c r="D923" s="96" t="n"/>
    </row>
    <row r="924">
      <c r="A924" s="95">
        <f>IF(B924="","", "CLI-"&amp;TEXT(ROW()-5,"000"))</f>
        <v/>
      </c>
      <c r="B924" s="95" t="n"/>
      <c r="C924" s="95" t="n"/>
      <c r="D924" s="96" t="n"/>
    </row>
    <row r="925">
      <c r="A925" s="95">
        <f>IF(B925="","", "CLI-"&amp;TEXT(ROW()-5,"000"))</f>
        <v/>
      </c>
      <c r="B925" s="95" t="n"/>
      <c r="C925" s="95" t="n"/>
      <c r="D925" s="96" t="n"/>
    </row>
    <row r="926">
      <c r="A926" s="95">
        <f>IF(B926="","", "CLI-"&amp;TEXT(ROW()-5,"000"))</f>
        <v/>
      </c>
      <c r="B926" s="95" t="n"/>
      <c r="C926" s="95" t="n"/>
      <c r="D926" s="96" t="n"/>
    </row>
    <row r="927">
      <c r="A927" s="95">
        <f>IF(B927="","", "CLI-"&amp;TEXT(ROW()-5,"000"))</f>
        <v/>
      </c>
      <c r="B927" s="95" t="n"/>
      <c r="C927" s="95" t="n"/>
      <c r="D927" s="96" t="n"/>
    </row>
    <row r="928">
      <c r="A928" s="95">
        <f>IF(B928="","", "CLI-"&amp;TEXT(ROW()-5,"000"))</f>
        <v/>
      </c>
      <c r="B928" s="95" t="n"/>
      <c r="C928" s="95" t="n"/>
      <c r="D928" s="96" t="n"/>
    </row>
    <row r="929">
      <c r="A929" s="95">
        <f>IF(B929="","", "CLI-"&amp;TEXT(ROW()-5,"000"))</f>
        <v/>
      </c>
      <c r="B929" s="95" t="n"/>
      <c r="C929" s="95" t="n"/>
      <c r="D929" s="96" t="n"/>
    </row>
    <row r="930">
      <c r="A930" s="95">
        <f>IF(B930="","", "CLI-"&amp;TEXT(ROW()-5,"000"))</f>
        <v/>
      </c>
      <c r="B930" s="95" t="n"/>
      <c r="C930" s="95" t="n"/>
      <c r="D930" s="96" t="n"/>
    </row>
    <row r="931">
      <c r="A931" s="95">
        <f>IF(B931="","", "CLI-"&amp;TEXT(ROW()-5,"000"))</f>
        <v/>
      </c>
      <c r="B931" s="95" t="n"/>
      <c r="C931" s="95" t="n"/>
      <c r="D931" s="96" t="n"/>
    </row>
    <row r="932">
      <c r="A932" s="95">
        <f>IF(B932="","", "CLI-"&amp;TEXT(ROW()-5,"000"))</f>
        <v/>
      </c>
      <c r="B932" s="95" t="n"/>
      <c r="C932" s="95" t="n"/>
      <c r="D932" s="96" t="n"/>
    </row>
    <row r="933">
      <c r="A933" s="95">
        <f>IF(B933="","", "CLI-"&amp;TEXT(ROW()-5,"000"))</f>
        <v/>
      </c>
      <c r="B933" s="95" t="n"/>
      <c r="C933" s="95" t="n"/>
      <c r="D933" s="96" t="n"/>
    </row>
    <row r="934">
      <c r="A934" s="95">
        <f>IF(B934="","", "CLI-"&amp;TEXT(ROW()-5,"000"))</f>
        <v/>
      </c>
      <c r="B934" s="95" t="n"/>
      <c r="C934" s="95" t="n"/>
      <c r="D934" s="96" t="n"/>
    </row>
    <row r="935">
      <c r="A935" s="95">
        <f>IF(B935="","", "CLI-"&amp;TEXT(ROW()-5,"000"))</f>
        <v/>
      </c>
      <c r="B935" s="95" t="n"/>
      <c r="C935" s="95" t="n"/>
      <c r="D935" s="96" t="n"/>
    </row>
    <row r="936">
      <c r="A936" s="95">
        <f>IF(B936="","", "CLI-"&amp;TEXT(ROW()-5,"000"))</f>
        <v/>
      </c>
      <c r="B936" s="95" t="n"/>
      <c r="C936" s="95" t="n"/>
      <c r="D936" s="96" t="n"/>
    </row>
    <row r="937">
      <c r="A937" s="95">
        <f>IF(B937="","", "CLI-"&amp;TEXT(ROW()-5,"000"))</f>
        <v/>
      </c>
      <c r="B937" s="95" t="n"/>
      <c r="C937" s="95" t="n"/>
      <c r="D937" s="96" t="n"/>
    </row>
    <row r="938">
      <c r="A938" s="95">
        <f>IF(B938="","", "CLI-"&amp;TEXT(ROW()-5,"000"))</f>
        <v/>
      </c>
      <c r="B938" s="95" t="n"/>
      <c r="C938" s="95" t="n"/>
      <c r="D938" s="96" t="n"/>
    </row>
    <row r="939">
      <c r="A939" s="95">
        <f>IF(B939="","", "CLI-"&amp;TEXT(ROW()-5,"000"))</f>
        <v/>
      </c>
      <c r="B939" s="95" t="n"/>
      <c r="C939" s="95" t="n"/>
      <c r="D939" s="96" t="n"/>
    </row>
    <row r="940">
      <c r="A940" s="95">
        <f>IF(B940="","", "CLI-"&amp;TEXT(ROW()-5,"000"))</f>
        <v/>
      </c>
      <c r="B940" s="95" t="n"/>
      <c r="C940" s="95" t="n"/>
      <c r="D940" s="96" t="n"/>
    </row>
    <row r="941">
      <c r="A941" s="95">
        <f>IF(B941="","", "CLI-"&amp;TEXT(ROW()-5,"000"))</f>
        <v/>
      </c>
      <c r="B941" s="95" t="n"/>
      <c r="C941" s="95" t="n"/>
      <c r="D941" s="96" t="n"/>
    </row>
    <row r="942">
      <c r="A942" s="95">
        <f>IF(B942="","", "CLI-"&amp;TEXT(ROW()-5,"000"))</f>
        <v/>
      </c>
      <c r="B942" s="95" t="n"/>
      <c r="C942" s="95" t="n"/>
      <c r="D942" s="96" t="n"/>
    </row>
    <row r="943">
      <c r="A943" s="95">
        <f>IF(B943="","", "CLI-"&amp;TEXT(ROW()-5,"000"))</f>
        <v/>
      </c>
      <c r="B943" s="95" t="n"/>
      <c r="C943" s="95" t="n"/>
      <c r="D943" s="96" t="n"/>
    </row>
    <row r="944">
      <c r="A944" s="95">
        <f>IF(B944="","", "CLI-"&amp;TEXT(ROW()-5,"000"))</f>
        <v/>
      </c>
      <c r="B944" s="95" t="n"/>
      <c r="C944" s="95" t="n"/>
      <c r="D944" s="96" t="n"/>
    </row>
    <row r="945">
      <c r="A945" s="95">
        <f>IF(B945="","", "CLI-"&amp;TEXT(ROW()-5,"000"))</f>
        <v/>
      </c>
      <c r="B945" s="95" t="n"/>
      <c r="C945" s="95" t="n"/>
      <c r="D945" s="96" t="n"/>
    </row>
    <row r="946">
      <c r="A946" s="95">
        <f>IF(B946="","", "CLI-"&amp;TEXT(ROW()-5,"000"))</f>
        <v/>
      </c>
      <c r="B946" s="95" t="n"/>
      <c r="C946" s="95" t="n"/>
      <c r="D946" s="96" t="n"/>
    </row>
    <row r="947">
      <c r="A947" s="95">
        <f>IF(B947="","", "CLI-"&amp;TEXT(ROW()-5,"000"))</f>
        <v/>
      </c>
      <c r="B947" s="95" t="n"/>
      <c r="C947" s="95" t="n"/>
      <c r="D947" s="96" t="n"/>
    </row>
    <row r="948">
      <c r="A948" s="95">
        <f>IF(B948="","", "CLI-"&amp;TEXT(ROW()-5,"000"))</f>
        <v/>
      </c>
      <c r="B948" s="95" t="n"/>
      <c r="C948" s="95" t="n"/>
      <c r="D948" s="96" t="n"/>
    </row>
    <row r="949">
      <c r="A949" s="95">
        <f>IF(B949="","", "CLI-"&amp;TEXT(ROW()-5,"000"))</f>
        <v/>
      </c>
      <c r="B949" s="95" t="n"/>
      <c r="C949" s="95" t="n"/>
      <c r="D949" s="96" t="n"/>
    </row>
    <row r="950">
      <c r="A950" s="95">
        <f>IF(B950="","", "CLI-"&amp;TEXT(ROW()-5,"000"))</f>
        <v/>
      </c>
      <c r="B950" s="95" t="n"/>
      <c r="C950" s="95" t="n"/>
      <c r="D950" s="96" t="n"/>
    </row>
    <row r="951">
      <c r="A951" s="95">
        <f>IF(B951="","", "CLI-"&amp;TEXT(ROW()-5,"000"))</f>
        <v/>
      </c>
      <c r="B951" s="95" t="n"/>
      <c r="C951" s="95" t="n"/>
      <c r="D951" s="96" t="n"/>
    </row>
    <row r="952">
      <c r="A952" s="95">
        <f>IF(B952="","", "CLI-"&amp;TEXT(ROW()-5,"000"))</f>
        <v/>
      </c>
      <c r="B952" s="95" t="n"/>
      <c r="C952" s="95" t="n"/>
      <c r="D952" s="96" t="n"/>
    </row>
    <row r="953">
      <c r="A953" s="95">
        <f>IF(B953="","", "CLI-"&amp;TEXT(ROW()-5,"000"))</f>
        <v/>
      </c>
      <c r="B953" s="95" t="n"/>
      <c r="C953" s="95" t="n"/>
      <c r="D953" s="96" t="n"/>
    </row>
    <row r="954">
      <c r="A954" s="95">
        <f>IF(B954="","", "CLI-"&amp;TEXT(ROW()-5,"000"))</f>
        <v/>
      </c>
      <c r="B954" s="95" t="n"/>
      <c r="C954" s="95" t="n"/>
      <c r="D954" s="96" t="n"/>
    </row>
    <row r="955">
      <c r="A955" s="95">
        <f>IF(B955="","", "CLI-"&amp;TEXT(ROW()-5,"000"))</f>
        <v/>
      </c>
      <c r="B955" s="95" t="n"/>
      <c r="C955" s="95" t="n"/>
      <c r="D955" s="96" t="n"/>
    </row>
    <row r="956">
      <c r="A956" s="95">
        <f>IF(B956="","", "CLI-"&amp;TEXT(ROW()-5,"000"))</f>
        <v/>
      </c>
      <c r="B956" s="95" t="n"/>
      <c r="C956" s="95" t="n"/>
      <c r="D956" s="96" t="n"/>
    </row>
    <row r="957">
      <c r="A957" s="95">
        <f>IF(B957="","", "CLI-"&amp;TEXT(ROW()-5,"000"))</f>
        <v/>
      </c>
      <c r="B957" s="95" t="n"/>
      <c r="C957" s="95" t="n"/>
      <c r="D957" s="96" t="n"/>
    </row>
    <row r="958">
      <c r="A958" s="95">
        <f>IF(B958="","", "CLI-"&amp;TEXT(ROW()-5,"000"))</f>
        <v/>
      </c>
      <c r="B958" s="95" t="n"/>
      <c r="C958" s="95" t="n"/>
      <c r="D958" s="96" t="n"/>
    </row>
    <row r="959">
      <c r="A959" s="95">
        <f>IF(B959="","", "CLI-"&amp;TEXT(ROW()-5,"000"))</f>
        <v/>
      </c>
      <c r="B959" s="95" t="n"/>
      <c r="C959" s="95" t="n"/>
      <c r="D959" s="96" t="n"/>
    </row>
    <row r="960">
      <c r="A960" s="95">
        <f>IF(B960="","", "CLI-"&amp;TEXT(ROW()-5,"000"))</f>
        <v/>
      </c>
      <c r="B960" s="95" t="n"/>
      <c r="C960" s="95" t="n"/>
      <c r="D960" s="96" t="n"/>
    </row>
    <row r="961">
      <c r="A961" s="95">
        <f>IF(B961="","", "CLI-"&amp;TEXT(ROW()-5,"000"))</f>
        <v/>
      </c>
      <c r="B961" s="95" t="n"/>
      <c r="C961" s="95" t="n"/>
      <c r="D961" s="96" t="n"/>
    </row>
    <row r="962">
      <c r="A962" s="95">
        <f>IF(B962="","", "CLI-"&amp;TEXT(ROW()-5,"000"))</f>
        <v/>
      </c>
      <c r="B962" s="95" t="n"/>
      <c r="C962" s="95" t="n"/>
      <c r="D962" s="96" t="n"/>
    </row>
    <row r="963">
      <c r="A963" s="95">
        <f>IF(B963="","", "CLI-"&amp;TEXT(ROW()-5,"000"))</f>
        <v/>
      </c>
      <c r="B963" s="95" t="n"/>
      <c r="C963" s="95" t="n"/>
      <c r="D963" s="96" t="n"/>
    </row>
    <row r="964">
      <c r="A964" s="95">
        <f>IF(B964="","", "CLI-"&amp;TEXT(ROW()-5,"000"))</f>
        <v/>
      </c>
      <c r="B964" s="95" t="n"/>
      <c r="C964" s="95" t="n"/>
      <c r="D964" s="96" t="n"/>
    </row>
    <row r="965">
      <c r="A965" s="95">
        <f>IF(B965="","", "CLI-"&amp;TEXT(ROW()-5,"000"))</f>
        <v/>
      </c>
      <c r="B965" s="95" t="n"/>
      <c r="C965" s="95" t="n"/>
      <c r="D965" s="96" t="n"/>
    </row>
    <row r="966">
      <c r="A966" s="95">
        <f>IF(B966="","", "CLI-"&amp;TEXT(ROW()-5,"000"))</f>
        <v/>
      </c>
      <c r="B966" s="95" t="n"/>
      <c r="C966" s="95" t="n"/>
      <c r="D966" s="96" t="n"/>
    </row>
    <row r="967">
      <c r="A967" s="95">
        <f>IF(B967="","", "CLI-"&amp;TEXT(ROW()-5,"000"))</f>
        <v/>
      </c>
      <c r="B967" s="95" t="n"/>
      <c r="C967" s="95" t="n"/>
      <c r="D967" s="96" t="n"/>
    </row>
    <row r="968">
      <c r="A968" s="95">
        <f>IF(B968="","", "CLI-"&amp;TEXT(ROW()-5,"000"))</f>
        <v/>
      </c>
      <c r="B968" s="95" t="n"/>
      <c r="C968" s="95" t="n"/>
      <c r="D968" s="96" t="n"/>
    </row>
    <row r="969">
      <c r="A969" s="95">
        <f>IF(B969="","", "CLI-"&amp;TEXT(ROW()-5,"000"))</f>
        <v/>
      </c>
      <c r="B969" s="95" t="n"/>
      <c r="C969" s="95" t="n"/>
      <c r="D969" s="96" t="n"/>
    </row>
    <row r="970">
      <c r="A970" s="95">
        <f>IF(B970="","", "CLI-"&amp;TEXT(ROW()-5,"000"))</f>
        <v/>
      </c>
      <c r="B970" s="95" t="n"/>
      <c r="C970" s="95" t="n"/>
      <c r="D970" s="96" t="n"/>
    </row>
    <row r="971">
      <c r="A971" s="95">
        <f>IF(B971="","", "CLI-"&amp;TEXT(ROW()-5,"000"))</f>
        <v/>
      </c>
      <c r="B971" s="95" t="n"/>
      <c r="C971" s="95" t="n"/>
      <c r="D971" s="96" t="n"/>
    </row>
    <row r="972">
      <c r="A972" s="95">
        <f>IF(B972="","", "CLI-"&amp;TEXT(ROW()-5,"000"))</f>
        <v/>
      </c>
      <c r="B972" s="95" t="n"/>
      <c r="C972" s="95" t="n"/>
      <c r="D972" s="96" t="n"/>
    </row>
    <row r="973">
      <c r="A973" s="95">
        <f>IF(B973="","", "CLI-"&amp;TEXT(ROW()-5,"000"))</f>
        <v/>
      </c>
      <c r="B973" s="95" t="n"/>
      <c r="C973" s="95" t="n"/>
      <c r="D973" s="96" t="n"/>
    </row>
    <row r="974">
      <c r="A974" s="95">
        <f>IF(B974="","", "CLI-"&amp;TEXT(ROW()-5,"000"))</f>
        <v/>
      </c>
      <c r="B974" s="95" t="n"/>
      <c r="C974" s="95" t="n"/>
      <c r="D974" s="96" t="n"/>
    </row>
    <row r="975">
      <c r="A975" s="95">
        <f>IF(B975="","", "CLI-"&amp;TEXT(ROW()-5,"000"))</f>
        <v/>
      </c>
      <c r="B975" s="95" t="n"/>
      <c r="C975" s="95" t="n"/>
      <c r="D975" s="96" t="n"/>
    </row>
    <row r="976">
      <c r="A976" s="95">
        <f>IF(B976="","", "CLI-"&amp;TEXT(ROW()-5,"000"))</f>
        <v/>
      </c>
      <c r="B976" s="95" t="n"/>
      <c r="C976" s="95" t="n"/>
      <c r="D976" s="96" t="n"/>
    </row>
    <row r="977">
      <c r="A977" s="95">
        <f>IF(B977="","", "CLI-"&amp;TEXT(ROW()-5,"000"))</f>
        <v/>
      </c>
      <c r="B977" s="95" t="n"/>
      <c r="C977" s="95" t="n"/>
      <c r="D977" s="96" t="n"/>
    </row>
    <row r="978">
      <c r="A978" s="95">
        <f>IF(B978="","", "CLI-"&amp;TEXT(ROW()-5,"000"))</f>
        <v/>
      </c>
      <c r="B978" s="95" t="n"/>
      <c r="C978" s="95" t="n"/>
      <c r="D978" s="96" t="n"/>
    </row>
    <row r="979">
      <c r="A979" s="95">
        <f>IF(B979="","", "CLI-"&amp;TEXT(ROW()-5,"000"))</f>
        <v/>
      </c>
      <c r="B979" s="95" t="n"/>
      <c r="C979" s="95" t="n"/>
      <c r="D979" s="96" t="n"/>
    </row>
    <row r="980">
      <c r="A980" s="95">
        <f>IF(B980="","", "CLI-"&amp;TEXT(ROW()-5,"000"))</f>
        <v/>
      </c>
      <c r="B980" s="95" t="n"/>
      <c r="C980" s="95" t="n"/>
      <c r="D980" s="96" t="n"/>
    </row>
    <row r="981">
      <c r="A981" s="95">
        <f>IF(B981="","", "CLI-"&amp;TEXT(ROW()-5,"000"))</f>
        <v/>
      </c>
      <c r="B981" s="95" t="n"/>
      <c r="C981" s="95" t="n"/>
      <c r="D981" s="96" t="n"/>
    </row>
    <row r="982">
      <c r="A982" s="95">
        <f>IF(B982="","", "CLI-"&amp;TEXT(ROW()-5,"000"))</f>
        <v/>
      </c>
      <c r="B982" s="95" t="n"/>
      <c r="C982" s="95" t="n"/>
      <c r="D982" s="96" t="n"/>
    </row>
    <row r="983">
      <c r="A983" s="95">
        <f>IF(B983="","", "CLI-"&amp;TEXT(ROW()-5,"000"))</f>
        <v/>
      </c>
      <c r="B983" s="95" t="n"/>
      <c r="C983" s="95" t="n"/>
      <c r="D983" s="96" t="n"/>
    </row>
    <row r="984">
      <c r="A984" s="95">
        <f>IF(B984="","", "CLI-"&amp;TEXT(ROW()-5,"000"))</f>
        <v/>
      </c>
      <c r="B984" s="95" t="n"/>
      <c r="C984" s="95" t="n"/>
      <c r="D984" s="96" t="n"/>
    </row>
    <row r="985">
      <c r="A985" s="95">
        <f>IF(B985="","", "CLI-"&amp;TEXT(ROW()-5,"000"))</f>
        <v/>
      </c>
      <c r="B985" s="95" t="n"/>
      <c r="C985" s="95" t="n"/>
      <c r="D985" s="96" t="n"/>
    </row>
    <row r="986">
      <c r="A986" s="95">
        <f>IF(B986="","", "CLI-"&amp;TEXT(ROW()-5,"000"))</f>
        <v/>
      </c>
      <c r="B986" s="95" t="n"/>
      <c r="C986" s="95" t="n"/>
      <c r="D986" s="96" t="n"/>
    </row>
    <row r="987">
      <c r="A987" s="95">
        <f>IF(B987="","", "CLI-"&amp;TEXT(ROW()-5,"000"))</f>
        <v/>
      </c>
      <c r="B987" s="95" t="n"/>
      <c r="C987" s="95" t="n"/>
      <c r="D987" s="96" t="n"/>
    </row>
    <row r="988">
      <c r="A988" s="95">
        <f>IF(B988="","", "CLI-"&amp;TEXT(ROW()-5,"000"))</f>
        <v/>
      </c>
      <c r="B988" s="95" t="n"/>
      <c r="C988" s="95" t="n"/>
      <c r="D988" s="96" t="n"/>
    </row>
    <row r="989">
      <c r="A989" s="95">
        <f>IF(B989="","", "CLI-"&amp;TEXT(ROW()-5,"000"))</f>
        <v/>
      </c>
      <c r="B989" s="95" t="n"/>
      <c r="C989" s="95" t="n"/>
      <c r="D989" s="96" t="n"/>
    </row>
    <row r="990">
      <c r="A990" s="95">
        <f>IF(B990="","", "CLI-"&amp;TEXT(ROW()-5,"000"))</f>
        <v/>
      </c>
      <c r="B990" s="95" t="n"/>
      <c r="C990" s="95" t="n"/>
      <c r="D990" s="96" t="n"/>
    </row>
    <row r="991">
      <c r="A991" s="95">
        <f>IF(B991="","", "CLI-"&amp;TEXT(ROW()-5,"000"))</f>
        <v/>
      </c>
      <c r="B991" s="95" t="n"/>
      <c r="C991" s="95" t="n"/>
      <c r="D991" s="96" t="n"/>
    </row>
    <row r="992">
      <c r="A992" s="95">
        <f>IF(B992="","", "CLI-"&amp;TEXT(ROW()-5,"000"))</f>
        <v/>
      </c>
      <c r="B992" s="95" t="n"/>
      <c r="C992" s="95" t="n"/>
      <c r="D992" s="96" t="n"/>
    </row>
    <row r="993">
      <c r="A993" s="95">
        <f>IF(B993="","", "CLI-"&amp;TEXT(ROW()-5,"000"))</f>
        <v/>
      </c>
      <c r="B993" s="95" t="n"/>
      <c r="C993" s="95" t="n"/>
      <c r="D993" s="96" t="n"/>
    </row>
    <row r="994">
      <c r="A994" s="95">
        <f>IF(B994="","", "CLI-"&amp;TEXT(ROW()-5,"000"))</f>
        <v/>
      </c>
      <c r="B994" s="95" t="n"/>
      <c r="C994" s="95" t="n"/>
      <c r="D994" s="96" t="n"/>
    </row>
    <row r="995">
      <c r="A995" s="95">
        <f>IF(B995="","", "CLI-"&amp;TEXT(ROW()-5,"000"))</f>
        <v/>
      </c>
      <c r="B995" s="95" t="n"/>
      <c r="C995" s="95" t="n"/>
      <c r="D995" s="96" t="n"/>
    </row>
    <row r="996">
      <c r="A996" s="95">
        <f>IF(B996="","", "CLI-"&amp;TEXT(ROW()-5,"000"))</f>
        <v/>
      </c>
      <c r="B996" s="95" t="n"/>
      <c r="C996" s="95" t="n"/>
      <c r="D996" s="96" t="n"/>
    </row>
    <row r="997">
      <c r="A997" s="95">
        <f>IF(B997="","", "CLI-"&amp;TEXT(ROW()-5,"000"))</f>
        <v/>
      </c>
      <c r="B997" s="95" t="n"/>
      <c r="C997" s="95" t="n"/>
      <c r="D997" s="96" t="n"/>
    </row>
    <row r="998">
      <c r="A998" s="95">
        <f>IF(B998="","", "CLI-"&amp;TEXT(ROW()-5,"000"))</f>
        <v/>
      </c>
      <c r="B998" s="95" t="n"/>
      <c r="C998" s="95" t="n"/>
      <c r="D998" s="96" t="n"/>
    </row>
    <row r="999">
      <c r="A999" s="95">
        <f>IF(B999="","", "CLI-"&amp;TEXT(ROW()-5,"000"))</f>
        <v/>
      </c>
      <c r="B999" s="95" t="n"/>
      <c r="C999" s="95" t="n"/>
      <c r="D999" s="96" t="n"/>
    </row>
    <row r="1000">
      <c r="A1000" s="95">
        <f>IF(B1000="","", "CLI-"&amp;TEXT(ROW()-5,"000"))</f>
        <v/>
      </c>
      <c r="B1000" s="95" t="n"/>
      <c r="C1000" s="95" t="n"/>
      <c r="D1000" s="96" t="n"/>
    </row>
  </sheetData>
  <mergeCells count="3">
    <mergeCell ref="A1:D1"/>
    <mergeCell ref="A4:D4"/>
    <mergeCell ref="A2:D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8" customWidth="1" min="4" max="4"/>
    <col width="42" customWidth="1" min="5" max="5"/>
  </cols>
  <sheetData>
    <row r="1" ht="24" customHeight="1">
      <c r="A1" s="93" t="inlineStr">
        <is>
          <t>11. CADASTRO DE SERVIÇOS — LINHAS E CENTROS DE RESULTADO</t>
        </is>
      </c>
    </row>
    <row r="2" ht="32" customHeight="1">
      <c r="A2" s="93" t="inlineStr">
        <is>
          <t>Tabela-mestra para padronizar serviço, linha DRE e centro de resultado de cada título de receita.</t>
        </is>
      </c>
    </row>
    <row r="4" ht="20" customHeight="1">
      <c r="A4" s="93" t="inlineStr">
        <is>
          <t>BASE OPERACIONAL</t>
        </is>
      </c>
    </row>
    <row r="5">
      <c r="A5" s="91" t="inlineStr">
        <is>
          <t>Serviço ID</t>
        </is>
      </c>
      <c r="B5" s="91" t="inlineStr">
        <is>
          <t>Serviço padronizado</t>
        </is>
      </c>
      <c r="C5" s="91" t="inlineStr">
        <is>
          <t>Linha DRE</t>
        </is>
      </c>
      <c r="D5" s="91" t="inlineStr">
        <is>
          <t>Centro de resultado</t>
        </is>
      </c>
      <c r="E5" s="91" t="inlineStr">
        <is>
          <t>Observação ERP</t>
        </is>
      </c>
    </row>
    <row r="6">
      <c r="A6" s="95" t="inlineStr">
        <is>
          <t>SRV-REC</t>
        </is>
      </c>
      <c r="B6" s="95" t="inlineStr">
        <is>
          <t>Carteira recorrente SST</t>
        </is>
      </c>
      <c r="C6" s="95" t="inlineStr">
        <is>
          <t>Carteira recorrente</t>
        </is>
      </c>
      <c r="D6" s="95" t="inlineStr">
        <is>
          <t>Operação recorrente</t>
        </is>
      </c>
      <c r="E6" s="96" t="inlineStr">
        <is>
          <t>Contrato mensal/recorrente de SST.</t>
        </is>
      </c>
    </row>
    <row r="7">
      <c r="A7" s="95" t="inlineStr">
        <is>
          <t>SRV-PCM</t>
        </is>
      </c>
      <c r="B7" s="95" t="inlineStr">
        <is>
          <t>PCMSO</t>
        </is>
      </c>
      <c r="C7" s="95" t="inlineStr">
        <is>
          <t>PCMSO</t>
        </is>
      </c>
      <c r="D7" s="95" t="inlineStr">
        <is>
          <t>Projetos PCMSO</t>
        </is>
      </c>
      <c r="E7" s="96" t="inlineStr">
        <is>
          <t>Projeto/entrega vinculada a PCMSO.</t>
        </is>
      </c>
    </row>
    <row r="8">
      <c r="A8" s="95" t="inlineStr">
        <is>
          <t>SRV-ESO</t>
        </is>
      </c>
      <c r="B8" s="95" t="inlineStr">
        <is>
          <t>eSocial</t>
        </is>
      </c>
      <c r="C8" s="95" t="inlineStr">
        <is>
          <t>eSocial / Psicossocial</t>
        </is>
      </c>
      <c r="D8" s="95" t="inlineStr">
        <is>
          <t>Projetos eSocial/Psicossocial</t>
        </is>
      </c>
      <c r="E8" s="96" t="inlineStr">
        <is>
          <t>Projeto/entrega vinculada a eSocial.</t>
        </is>
      </c>
    </row>
    <row r="9">
      <c r="A9" s="95" t="inlineStr">
        <is>
          <t>SRV-PSI</t>
        </is>
      </c>
      <c r="B9" s="95" t="inlineStr">
        <is>
          <t>Adequação Psicossocial</t>
        </is>
      </c>
      <c r="C9" s="95" t="inlineStr">
        <is>
          <t>eSocial / Psicossocial</t>
        </is>
      </c>
      <c r="D9" s="95" t="inlineStr">
        <is>
          <t>Projetos eSocial/Psicossocial</t>
        </is>
      </c>
      <c r="E9" s="96" t="inlineStr">
        <is>
          <t>Projeto/entrega vinculada a adequação psicossocial.</t>
        </is>
      </c>
    </row>
    <row r="10">
      <c r="A10" s="95" t="inlineStr">
        <is>
          <t>SRV-PRJ</t>
        </is>
      </c>
      <c r="B10" s="95" t="inlineStr">
        <is>
          <t>Projetos / Laudos / Avulsos SST</t>
        </is>
      </c>
      <c r="C10" s="95" t="inlineStr">
        <is>
          <t>Projetos / Laudos / Avulsos</t>
        </is>
      </c>
      <c r="D10" s="95" t="inlineStr">
        <is>
          <t>Projetos / Laudos / Avulsos</t>
        </is>
      </c>
      <c r="E10" s="96" t="inlineStr">
        <is>
          <t>Projeto, laudo ou entrega avulsa sem palavra-chave específica.</t>
        </is>
      </c>
    </row>
  </sheetData>
  <mergeCells count="3">
    <mergeCell ref="A2:E2"/>
    <mergeCell ref="A1:E1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2" customWidth="1" min="4" max="4"/>
    <col width="24" customWidth="1" min="5" max="5"/>
    <col width="24" customWidth="1" min="6" max="6"/>
    <col width="12" customWidth="1" min="7" max="7"/>
    <col width="28" customWidth="1" min="8" max="8"/>
    <col width="24" customWidth="1" min="9" max="9"/>
    <col width="28" customWidth="1" min="10" max="10"/>
    <col width="18" customWidth="1" min="11" max="11"/>
    <col width="48" customWidth="1" min="12" max="12"/>
  </cols>
  <sheetData>
    <row r="1" ht="24" customHeight="1">
      <c r="A1" s="93" t="inlineStr">
        <is>
          <t>12. CONTRATOS / OS — NÍVEL TRANSACIONAL DO ERP</t>
        </is>
      </c>
    </row>
    <row r="2" ht="32" customHeight="1">
      <c r="A2" s="93" t="inlineStr">
        <is>
          <t>Cada chave representa o vínculo transacional que conecta o título de receita ao cliente, serviço e centro de resultado.</t>
        </is>
      </c>
    </row>
    <row r="4" ht="20" customHeight="1">
      <c r="A4" s="93" t="inlineStr">
        <is>
          <t>BASE OPERACIONAL</t>
        </is>
      </c>
    </row>
    <row r="5">
      <c r="A5" s="91" t="inlineStr">
        <is>
          <t>Chave contrato/OS</t>
        </is>
      </c>
      <c r="B5" s="91" t="inlineStr">
        <is>
          <t>Contrato/OS ID</t>
        </is>
      </c>
      <c r="C5" s="91" t="inlineStr">
        <is>
          <t>Tipo vínculo ERP</t>
        </is>
      </c>
      <c r="D5" s="91" t="inlineStr">
        <is>
          <t>Cliente ID</t>
        </is>
      </c>
      <c r="E5" s="91" t="inlineStr">
        <is>
          <t>Cliente mestre</t>
        </is>
      </c>
      <c r="F5" s="91" t="inlineStr">
        <is>
          <t>Unidade / escopo</t>
        </is>
      </c>
      <c r="G5" s="91" t="inlineStr">
        <is>
          <t>Serviço ID</t>
        </is>
      </c>
      <c r="H5" s="91" t="inlineStr">
        <is>
          <t>Serviço padronizado</t>
        </is>
      </c>
      <c r="I5" s="91" t="inlineStr">
        <is>
          <t>Linha DRE</t>
        </is>
      </c>
      <c r="J5" s="91" t="inlineStr">
        <is>
          <t>Centro de resultado</t>
        </is>
      </c>
      <c r="K5" s="91" t="inlineStr">
        <is>
          <t>Modelo faturamento</t>
        </is>
      </c>
      <c r="L5" s="91" t="inlineStr">
        <is>
          <t>Observação ERP</t>
        </is>
      </c>
    </row>
    <row r="6">
      <c r="A6" s="96" t="inlineStr">
        <is>
          <t>REC|NIVALMAG|MATRIZ</t>
        </is>
      </c>
      <c r="B6" s="95" t="inlineStr">
        <is>
          <t>CTR-001</t>
        </is>
      </c>
      <c r="C6" s="95" t="inlineStr">
        <is>
          <t>Contrato recorrente</t>
        </is>
      </c>
      <c r="D6" s="95" t="inlineStr">
        <is>
          <t>CLI-023</t>
        </is>
      </c>
      <c r="E6" s="95" t="inlineStr">
        <is>
          <t>NIVALMAG</t>
        </is>
      </c>
      <c r="F6" s="95" t="inlineStr">
        <is>
          <t>MATRIZ</t>
        </is>
      </c>
      <c r="G6" s="95" t="inlineStr">
        <is>
          <t>SRV-REC</t>
        </is>
      </c>
      <c r="H6" s="95" t="inlineStr">
        <is>
          <t>Carteira recorrente SST</t>
        </is>
      </c>
      <c r="I6" s="95" t="inlineStr">
        <is>
          <t>Carteira recorrente</t>
        </is>
      </c>
      <c r="J6" s="95" t="inlineStr">
        <is>
          <t>Operação recorrente</t>
        </is>
      </c>
      <c r="K6" s="95" t="inlineStr">
        <is>
          <t>Mensal/recorrente</t>
        </is>
      </c>
      <c r="L6" s="96" t="inlineStr">
        <is>
          <t>Contrato recorrente inferido a partir de título fixo do CR.</t>
        </is>
      </c>
    </row>
    <row r="7">
      <c r="A7" s="96" t="inlineStr">
        <is>
          <t>REC|NIVALMAG|FAZENDA</t>
        </is>
      </c>
      <c r="B7" s="95" t="inlineStr">
        <is>
          <t>CTR-002</t>
        </is>
      </c>
      <c r="C7" s="95" t="inlineStr">
        <is>
          <t>Contrato recorrente</t>
        </is>
      </c>
      <c r="D7" s="95" t="inlineStr">
        <is>
          <t>CLI-023</t>
        </is>
      </c>
      <c r="E7" s="95" t="inlineStr">
        <is>
          <t>NIVALMAG</t>
        </is>
      </c>
      <c r="F7" s="95" t="inlineStr">
        <is>
          <t>FAZENDA</t>
        </is>
      </c>
      <c r="G7" s="95" t="inlineStr">
        <is>
          <t>SRV-REC</t>
        </is>
      </c>
      <c r="H7" s="95" t="inlineStr">
        <is>
          <t>Carteira recorrente SST</t>
        </is>
      </c>
      <c r="I7" s="95" t="inlineStr">
        <is>
          <t>Carteira recorrente</t>
        </is>
      </c>
      <c r="J7" s="95" t="inlineStr">
        <is>
          <t>Operação recorrente</t>
        </is>
      </c>
      <c r="K7" s="95" t="inlineStr">
        <is>
          <t>Mensal/recorrente</t>
        </is>
      </c>
      <c r="L7" s="96" t="inlineStr">
        <is>
          <t>Contrato recorrente inferido a partir de título fixo do CR.</t>
        </is>
      </c>
    </row>
    <row r="8">
      <c r="A8" s="96" t="inlineStr">
        <is>
          <t>REC|SONDOTEC|SONDOTEC</t>
        </is>
      </c>
      <c r="B8" s="95" t="inlineStr">
        <is>
          <t>CTR-003</t>
        </is>
      </c>
      <c r="C8" s="95" t="inlineStr">
        <is>
          <t>Contrato recorrente</t>
        </is>
      </c>
      <c r="D8" s="95" t="inlineStr">
        <is>
          <t>CLI-032</t>
        </is>
      </c>
      <c r="E8" s="95" t="inlineStr">
        <is>
          <t>SONDOTEC</t>
        </is>
      </c>
      <c r="F8" s="95" t="inlineStr"/>
      <c r="G8" s="95" t="inlineStr">
        <is>
          <t>SRV-REC</t>
        </is>
      </c>
      <c r="H8" s="95" t="inlineStr">
        <is>
          <t>Carteira recorrente SST</t>
        </is>
      </c>
      <c r="I8" s="95" t="inlineStr">
        <is>
          <t>Carteira recorrente</t>
        </is>
      </c>
      <c r="J8" s="95" t="inlineStr">
        <is>
          <t>Operação recorrente</t>
        </is>
      </c>
      <c r="K8" s="95" t="inlineStr">
        <is>
          <t>Mensal/recorrente</t>
        </is>
      </c>
      <c r="L8" s="96" t="inlineStr">
        <is>
          <t>Contrato recorrente inferido a partir de título fixo do CR.</t>
        </is>
      </c>
    </row>
    <row r="9">
      <c r="A9" s="96" t="inlineStr">
        <is>
          <t>REC|TRIÂNGULO SERVIÇOS|TRIÂNGULO SERVIÇOS</t>
        </is>
      </c>
      <c r="B9" s="95" t="inlineStr">
        <is>
          <t>CTR-004</t>
        </is>
      </c>
      <c r="C9" s="95" t="inlineStr">
        <is>
          <t>Contrato recorrente</t>
        </is>
      </c>
      <c r="D9" s="95" t="inlineStr">
        <is>
          <t>CLI-036</t>
        </is>
      </c>
      <c r="E9" s="95" t="inlineStr">
        <is>
          <t>TRIÂNGULO SERVIÇOS</t>
        </is>
      </c>
      <c r="F9" s="95" t="inlineStr"/>
      <c r="G9" s="95" t="inlineStr">
        <is>
          <t>SRV-REC</t>
        </is>
      </c>
      <c r="H9" s="95" t="inlineStr">
        <is>
          <t>Carteira recorrente SST</t>
        </is>
      </c>
      <c r="I9" s="95" t="inlineStr">
        <is>
          <t>Carteira recorrente</t>
        </is>
      </c>
      <c r="J9" s="95" t="inlineStr">
        <is>
          <t>Operação recorrente</t>
        </is>
      </c>
      <c r="K9" s="95" t="inlineStr">
        <is>
          <t>Mensal/recorrente</t>
        </is>
      </c>
      <c r="L9" s="96" t="inlineStr">
        <is>
          <t>Contrato recorrente inferido a partir de título fixo do CR.</t>
        </is>
      </c>
    </row>
    <row r="10">
      <c r="A10" s="96" t="inlineStr">
        <is>
          <t>REC|CONTROLER|CONTROLER</t>
        </is>
      </c>
      <c r="B10" s="95" t="inlineStr">
        <is>
          <t>CTR-005</t>
        </is>
      </c>
      <c r="C10" s="95" t="inlineStr">
        <is>
          <t>Contrato recorrente</t>
        </is>
      </c>
      <c r="D10" s="95" t="inlineStr">
        <is>
          <t>CLI-007</t>
        </is>
      </c>
      <c r="E10" s="95" t="inlineStr">
        <is>
          <t>CONTROLER</t>
        </is>
      </c>
      <c r="F10" s="95" t="inlineStr"/>
      <c r="G10" s="95" t="inlineStr">
        <is>
          <t>SRV-REC</t>
        </is>
      </c>
      <c r="H10" s="95" t="inlineStr">
        <is>
          <t>Carteira recorrente SST</t>
        </is>
      </c>
      <c r="I10" s="95" t="inlineStr">
        <is>
          <t>Carteira recorrente</t>
        </is>
      </c>
      <c r="J10" s="95" t="inlineStr">
        <is>
          <t>Operação recorrente</t>
        </is>
      </c>
      <c r="K10" s="95" t="inlineStr">
        <is>
          <t>Mensal/recorrente</t>
        </is>
      </c>
      <c r="L10" s="96" t="inlineStr">
        <is>
          <t>Contrato recorrente inferido a partir de título fixo do CR.</t>
        </is>
      </c>
    </row>
    <row r="11">
      <c r="A11" s="96" t="inlineStr">
        <is>
          <t>REC|SANTA CASA MT ALEGRE|SANTA CASA MT ALEGRE</t>
        </is>
      </c>
      <c r="B11" s="95" t="inlineStr">
        <is>
          <t>CTR-006</t>
        </is>
      </c>
      <c r="C11" s="95" t="inlineStr">
        <is>
          <t>Contrato recorrente</t>
        </is>
      </c>
      <c r="D11" s="95" t="inlineStr">
        <is>
          <t>CLI-030</t>
        </is>
      </c>
      <c r="E11" s="95" t="inlineStr">
        <is>
          <t>SANTA CASA MT ALEGRE</t>
        </is>
      </c>
      <c r="F11" s="95" t="inlineStr"/>
      <c r="G11" s="95" t="inlineStr">
        <is>
          <t>SRV-REC</t>
        </is>
      </c>
      <c r="H11" s="95" t="inlineStr">
        <is>
          <t>Carteira recorrente SST</t>
        </is>
      </c>
      <c r="I11" s="95" t="inlineStr">
        <is>
          <t>Carteira recorrente</t>
        </is>
      </c>
      <c r="J11" s="95" t="inlineStr">
        <is>
          <t>Operação recorrente</t>
        </is>
      </c>
      <c r="K11" s="95" t="inlineStr">
        <is>
          <t>Mensal/recorrente</t>
        </is>
      </c>
      <c r="L11" s="96" t="inlineStr">
        <is>
          <t>Contrato recorrente inferido a partir de título fixo do CR.</t>
        </is>
      </c>
    </row>
    <row r="12">
      <c r="A12" s="96" t="inlineStr">
        <is>
          <t>REC|FAZENDA SANTA LUCIA|FAZENDA SANTA LUCIA</t>
        </is>
      </c>
      <c r="B12" s="95" t="inlineStr">
        <is>
          <t>CTR-007</t>
        </is>
      </c>
      <c r="C12" s="95" t="inlineStr">
        <is>
          <t>Contrato recorrente</t>
        </is>
      </c>
      <c r="D12" s="95" t="inlineStr">
        <is>
          <t>CLI-013</t>
        </is>
      </c>
      <c r="E12" s="95" t="inlineStr">
        <is>
          <t>FAZENDA SANTA LUCIA</t>
        </is>
      </c>
      <c r="F12" s="95" t="inlineStr"/>
      <c r="G12" s="95" t="inlineStr">
        <is>
          <t>SRV-REC</t>
        </is>
      </c>
      <c r="H12" s="95" t="inlineStr">
        <is>
          <t>Carteira recorrente SST</t>
        </is>
      </c>
      <c r="I12" s="95" t="inlineStr">
        <is>
          <t>Carteira recorrente</t>
        </is>
      </c>
      <c r="J12" s="95" t="inlineStr">
        <is>
          <t>Operação recorrente</t>
        </is>
      </c>
      <c r="K12" s="95" t="inlineStr">
        <is>
          <t>Mensal/recorrente</t>
        </is>
      </c>
      <c r="L12" s="96" t="inlineStr">
        <is>
          <t>Contrato recorrente inferido a partir de título fixo do CR.</t>
        </is>
      </c>
    </row>
    <row r="13">
      <c r="A13" s="96" t="inlineStr">
        <is>
          <t>REC|LGA MÁQUINAS|LGA MÁQUINAS</t>
        </is>
      </c>
      <c r="B13" s="95" t="inlineStr">
        <is>
          <t>CTR-008</t>
        </is>
      </c>
      <c r="C13" s="95" t="inlineStr">
        <is>
          <t>Contrato recorrente</t>
        </is>
      </c>
      <c r="D13" s="95" t="inlineStr">
        <is>
          <t>CLI-018</t>
        </is>
      </c>
      <c r="E13" s="95" t="inlineStr">
        <is>
          <t>LGA MÁQUINAS</t>
        </is>
      </c>
      <c r="F13" s="95" t="inlineStr"/>
      <c r="G13" s="95" t="inlineStr">
        <is>
          <t>SRV-REC</t>
        </is>
      </c>
      <c r="H13" s="95" t="inlineStr">
        <is>
          <t>Carteira recorrente SST</t>
        </is>
      </c>
      <c r="I13" s="95" t="inlineStr">
        <is>
          <t>Carteira recorrente</t>
        </is>
      </c>
      <c r="J13" s="95" t="inlineStr">
        <is>
          <t>Operação recorrente</t>
        </is>
      </c>
      <c r="K13" s="95" t="inlineStr">
        <is>
          <t>Mensal/recorrente</t>
        </is>
      </c>
      <c r="L13" s="96" t="inlineStr">
        <is>
          <t>Contrato recorrente inferido a partir de título fixo do CR.</t>
        </is>
      </c>
    </row>
    <row r="14">
      <c r="A14" s="96" t="inlineStr">
        <is>
          <t>REC|REPET|REPET</t>
        </is>
      </c>
      <c r="B14" s="95" t="inlineStr">
        <is>
          <t>CTR-009</t>
        </is>
      </c>
      <c r="C14" s="95" t="inlineStr">
        <is>
          <t>Contrato recorrente</t>
        </is>
      </c>
      <c r="D14" s="95" t="inlineStr">
        <is>
          <t>CLI-026</t>
        </is>
      </c>
      <c r="E14" s="95" t="inlineStr">
        <is>
          <t>REPET</t>
        </is>
      </c>
      <c r="F14" s="95" t="inlineStr"/>
      <c r="G14" s="95" t="inlineStr">
        <is>
          <t>SRV-REC</t>
        </is>
      </c>
      <c r="H14" s="95" t="inlineStr">
        <is>
          <t>Carteira recorrente SST</t>
        </is>
      </c>
      <c r="I14" s="95" t="inlineStr">
        <is>
          <t>Carteira recorrente</t>
        </is>
      </c>
      <c r="J14" s="95" t="inlineStr">
        <is>
          <t>Operação recorrente</t>
        </is>
      </c>
      <c r="K14" s="95" t="inlineStr">
        <is>
          <t>Mensal/recorrente</t>
        </is>
      </c>
      <c r="L14" s="96" t="inlineStr">
        <is>
          <t>Contrato recorrente inferido a partir de título fixo do CR.</t>
        </is>
      </c>
    </row>
    <row r="15">
      <c r="A15" s="96" t="inlineStr">
        <is>
          <t>REC|SKAP KAP|SKAP KAP</t>
        </is>
      </c>
      <c r="B15" s="95" t="inlineStr">
        <is>
          <t>CTR-010</t>
        </is>
      </c>
      <c r="C15" s="95" t="inlineStr">
        <is>
          <t>Contrato recorrente</t>
        </is>
      </c>
      <c r="D15" s="95" t="inlineStr">
        <is>
          <t>CLI-031</t>
        </is>
      </c>
      <c r="E15" s="95" t="inlineStr">
        <is>
          <t>SKAP KAP</t>
        </is>
      </c>
      <c r="F15" s="95" t="inlineStr"/>
      <c r="G15" s="95" t="inlineStr">
        <is>
          <t>SRV-REC</t>
        </is>
      </c>
      <c r="H15" s="95" t="inlineStr">
        <is>
          <t>Carteira recorrente SST</t>
        </is>
      </c>
      <c r="I15" s="95" t="inlineStr">
        <is>
          <t>Carteira recorrente</t>
        </is>
      </c>
      <c r="J15" s="95" t="inlineStr">
        <is>
          <t>Operação recorrente</t>
        </is>
      </c>
      <c r="K15" s="95" t="inlineStr">
        <is>
          <t>Mensal/recorrente</t>
        </is>
      </c>
      <c r="L15" s="96" t="inlineStr">
        <is>
          <t>Contrato recorrente inferido a partir de título fixo do CR.</t>
        </is>
      </c>
    </row>
    <row r="16">
      <c r="A16" s="96" t="inlineStr">
        <is>
          <t>REC|RUITHER|RUITHER</t>
        </is>
      </c>
      <c r="B16" s="95" t="inlineStr">
        <is>
          <t>CTR-011</t>
        </is>
      </c>
      <c r="C16" s="95" t="inlineStr">
        <is>
          <t>Contrato recorrente</t>
        </is>
      </c>
      <c r="D16" s="95" t="inlineStr">
        <is>
          <t>CLI-028</t>
        </is>
      </c>
      <c r="E16" s="95" t="inlineStr">
        <is>
          <t>RUITHER</t>
        </is>
      </c>
      <c r="F16" s="95" t="inlineStr"/>
      <c r="G16" s="95" t="inlineStr">
        <is>
          <t>SRV-REC</t>
        </is>
      </c>
      <c r="H16" s="95" t="inlineStr">
        <is>
          <t>Carteira recorrente SST</t>
        </is>
      </c>
      <c r="I16" s="95" t="inlineStr">
        <is>
          <t>Carteira recorrente</t>
        </is>
      </c>
      <c r="J16" s="95" t="inlineStr">
        <is>
          <t>Operação recorrente</t>
        </is>
      </c>
      <c r="K16" s="95" t="inlineStr">
        <is>
          <t>Mensal/recorrente</t>
        </is>
      </c>
      <c r="L16" s="96" t="inlineStr">
        <is>
          <t>Contrato recorrente inferido a partir de título fixo do CR.</t>
        </is>
      </c>
    </row>
    <row r="17">
      <c r="A17" s="96" t="inlineStr">
        <is>
          <t>REC|S12 INCORPORAÇÃO|S12 INCORPORAÇÃO</t>
        </is>
      </c>
      <c r="B17" s="95" t="inlineStr">
        <is>
          <t>CTR-012</t>
        </is>
      </c>
      <c r="C17" s="95" t="inlineStr">
        <is>
          <t>Contrato recorrente</t>
        </is>
      </c>
      <c r="D17" s="95" t="inlineStr">
        <is>
          <t>CLI-029</t>
        </is>
      </c>
      <c r="E17" s="95" t="inlineStr">
        <is>
          <t>S12 INCORPORAÇÃO</t>
        </is>
      </c>
      <c r="F17" s="95" t="inlineStr"/>
      <c r="G17" s="95" t="inlineStr">
        <is>
          <t>SRV-REC</t>
        </is>
      </c>
      <c r="H17" s="95" t="inlineStr">
        <is>
          <t>Carteira recorrente SST</t>
        </is>
      </c>
      <c r="I17" s="95" t="inlineStr">
        <is>
          <t>Carteira recorrente</t>
        </is>
      </c>
      <c r="J17" s="95" t="inlineStr">
        <is>
          <t>Operação recorrente</t>
        </is>
      </c>
      <c r="K17" s="95" t="inlineStr">
        <is>
          <t>Mensal/recorrente</t>
        </is>
      </c>
      <c r="L17" s="96" t="inlineStr">
        <is>
          <t>Contrato recorrente inferido a partir de título fixo do CR.</t>
        </is>
      </c>
    </row>
    <row r="18">
      <c r="A18" s="96" t="inlineStr">
        <is>
          <t>REC|LM ASSESSORIA CONTÁBIL|LM ASSESSORIA CONTÁBIL</t>
        </is>
      </c>
      <c r="B18" s="95" t="inlineStr">
        <is>
          <t>CTR-013</t>
        </is>
      </c>
      <c r="C18" s="95" t="inlineStr">
        <is>
          <t>Contrato recorrente</t>
        </is>
      </c>
      <c r="D18" s="95" t="inlineStr">
        <is>
          <t>CLI-019</t>
        </is>
      </c>
      <c r="E18" s="95" t="inlineStr">
        <is>
          <t>LM ASSESSORIA CONTÁBIL</t>
        </is>
      </c>
      <c r="F18" s="95" t="inlineStr"/>
      <c r="G18" s="95" t="inlineStr">
        <is>
          <t>SRV-REC</t>
        </is>
      </c>
      <c r="H18" s="95" t="inlineStr">
        <is>
          <t>Carteira recorrente SST</t>
        </is>
      </c>
      <c r="I18" s="95" t="inlineStr">
        <is>
          <t>Carteira recorrente</t>
        </is>
      </c>
      <c r="J18" s="95" t="inlineStr">
        <is>
          <t>Operação recorrente</t>
        </is>
      </c>
      <c r="K18" s="95" t="inlineStr">
        <is>
          <t>Mensal/recorrente</t>
        </is>
      </c>
      <c r="L18" s="96" t="inlineStr">
        <is>
          <t>Contrato recorrente inferido a partir de título fixo do CR.</t>
        </is>
      </c>
    </row>
    <row r="19">
      <c r="A19" s="96" t="inlineStr">
        <is>
          <t>REC|POSTOS JULIANA|P. Pau Furado</t>
        </is>
      </c>
      <c r="B19" s="95" t="inlineStr">
        <is>
          <t>CTR-014</t>
        </is>
      </c>
      <c r="C19" s="95" t="inlineStr">
        <is>
          <t>Contrato recorrente</t>
        </is>
      </c>
      <c r="D19" s="95" t="inlineStr">
        <is>
          <t>CLI-024</t>
        </is>
      </c>
      <c r="E19" s="95" t="inlineStr">
        <is>
          <t>POSTOS JULIANA</t>
        </is>
      </c>
      <c r="F19" s="95" t="inlineStr">
        <is>
          <t>P. Pau Furado</t>
        </is>
      </c>
      <c r="G19" s="95" t="inlineStr">
        <is>
          <t>SRV-REC</t>
        </is>
      </c>
      <c r="H19" s="95" t="inlineStr">
        <is>
          <t>Carteira recorrente SST</t>
        </is>
      </c>
      <c r="I19" s="95" t="inlineStr">
        <is>
          <t>Carteira recorrente</t>
        </is>
      </c>
      <c r="J19" s="95" t="inlineStr">
        <is>
          <t>Operação recorrente</t>
        </is>
      </c>
      <c r="K19" s="95" t="inlineStr">
        <is>
          <t>Mensal/recorrente</t>
        </is>
      </c>
      <c r="L19" s="96" t="inlineStr">
        <is>
          <t>Contrato recorrente inferido a partir de título fixo do CR.</t>
        </is>
      </c>
    </row>
    <row r="20">
      <c r="A20" s="96" t="inlineStr">
        <is>
          <t>REC|POSTOS JULIANA|Gravatás + 7</t>
        </is>
      </c>
      <c r="B20" s="95" t="inlineStr">
        <is>
          <t>CTR-015</t>
        </is>
      </c>
      <c r="C20" s="95" t="inlineStr">
        <is>
          <t>Contrato recorrente</t>
        </is>
      </c>
      <c r="D20" s="95" t="inlineStr">
        <is>
          <t>CLI-024</t>
        </is>
      </c>
      <c r="E20" s="95" t="inlineStr">
        <is>
          <t>POSTOS JULIANA</t>
        </is>
      </c>
      <c r="F20" s="95" t="inlineStr">
        <is>
          <t>Gravatás + 7</t>
        </is>
      </c>
      <c r="G20" s="95" t="inlineStr">
        <is>
          <t>SRV-REC</t>
        </is>
      </c>
      <c r="H20" s="95" t="inlineStr">
        <is>
          <t>Carteira recorrente SST</t>
        </is>
      </c>
      <c r="I20" s="95" t="inlineStr">
        <is>
          <t>Carteira recorrente</t>
        </is>
      </c>
      <c r="J20" s="95" t="inlineStr">
        <is>
          <t>Operação recorrente</t>
        </is>
      </c>
      <c r="K20" s="95" t="inlineStr">
        <is>
          <t>Mensal/recorrente</t>
        </is>
      </c>
      <c r="L20" s="96" t="inlineStr">
        <is>
          <t>Contrato recorrente inferido a partir de título fixo do CR.</t>
        </is>
      </c>
    </row>
    <row r="21">
      <c r="A21" s="96" t="inlineStr">
        <is>
          <t>REC|POSTOS JULIANA|Edem + 2</t>
        </is>
      </c>
      <c r="B21" s="95" t="inlineStr">
        <is>
          <t>CTR-016</t>
        </is>
      </c>
      <c r="C21" s="95" t="inlineStr">
        <is>
          <t>Contrato recorrente</t>
        </is>
      </c>
      <c r="D21" s="95" t="inlineStr">
        <is>
          <t>CLI-024</t>
        </is>
      </c>
      <c r="E21" s="95" t="inlineStr">
        <is>
          <t>POSTOS JULIANA</t>
        </is>
      </c>
      <c r="F21" s="95" t="inlineStr">
        <is>
          <t>Edem + 2</t>
        </is>
      </c>
      <c r="G21" s="95" t="inlineStr">
        <is>
          <t>SRV-REC</t>
        </is>
      </c>
      <c r="H21" s="95" t="inlineStr">
        <is>
          <t>Carteira recorrente SST</t>
        </is>
      </c>
      <c r="I21" s="95" t="inlineStr">
        <is>
          <t>Carteira recorrente</t>
        </is>
      </c>
      <c r="J21" s="95" t="inlineStr">
        <is>
          <t>Operação recorrente</t>
        </is>
      </c>
      <c r="K21" s="95" t="inlineStr">
        <is>
          <t>Mensal/recorrente</t>
        </is>
      </c>
      <c r="L21" s="96" t="inlineStr">
        <is>
          <t>Contrato recorrente inferido a partir de título fixo do CR.</t>
        </is>
      </c>
    </row>
    <row r="22">
      <c r="A22" s="96" t="inlineStr">
        <is>
          <t>REC|RDM LOGÍSTICA|RDM LOGÍSTICA</t>
        </is>
      </c>
      <c r="B22" s="95" t="inlineStr">
        <is>
          <t>CTR-017</t>
        </is>
      </c>
      <c r="C22" s="95" t="inlineStr">
        <is>
          <t>Contrato recorrente</t>
        </is>
      </c>
      <c r="D22" s="95" t="inlineStr">
        <is>
          <t>CLI-025</t>
        </is>
      </c>
      <c r="E22" s="95" t="inlineStr">
        <is>
          <t>RDM LOGÍSTICA</t>
        </is>
      </c>
      <c r="F22" s="95" t="inlineStr"/>
      <c r="G22" s="95" t="inlineStr">
        <is>
          <t>SRV-REC</t>
        </is>
      </c>
      <c r="H22" s="95" t="inlineStr">
        <is>
          <t>Carteira recorrente SST</t>
        </is>
      </c>
      <c r="I22" s="95" t="inlineStr">
        <is>
          <t>Carteira recorrente</t>
        </is>
      </c>
      <c r="J22" s="95" t="inlineStr">
        <is>
          <t>Operação recorrente</t>
        </is>
      </c>
      <c r="K22" s="95" t="inlineStr">
        <is>
          <t>Mensal/recorrente</t>
        </is>
      </c>
      <c r="L22" s="96" t="inlineStr">
        <is>
          <t>Contrato recorrente inferido a partir de título fixo do CR.</t>
        </is>
      </c>
    </row>
    <row r="23">
      <c r="A23" s="96" t="inlineStr">
        <is>
          <t>REC|TRANSPORTADORA RODOMEU|TRANSPORTADORA RODOMEU</t>
        </is>
      </c>
      <c r="B23" s="95" t="inlineStr">
        <is>
          <t>CTR-018</t>
        </is>
      </c>
      <c r="C23" s="95" t="inlineStr">
        <is>
          <t>Contrato recorrente</t>
        </is>
      </c>
      <c r="D23" s="95" t="inlineStr">
        <is>
          <t>CLI-035</t>
        </is>
      </c>
      <c r="E23" s="95" t="inlineStr">
        <is>
          <t>TRANSPORTADORA RODOMEU</t>
        </is>
      </c>
      <c r="F23" s="95" t="inlineStr"/>
      <c r="G23" s="95" t="inlineStr">
        <is>
          <t>SRV-REC</t>
        </is>
      </c>
      <c r="H23" s="95" t="inlineStr">
        <is>
          <t>Carteira recorrente SST</t>
        </is>
      </c>
      <c r="I23" s="95" t="inlineStr">
        <is>
          <t>Carteira recorrente</t>
        </is>
      </c>
      <c r="J23" s="95" t="inlineStr">
        <is>
          <t>Operação recorrente</t>
        </is>
      </c>
      <c r="K23" s="95" t="inlineStr">
        <is>
          <t>Mensal/recorrente</t>
        </is>
      </c>
      <c r="L23" s="96" t="inlineStr">
        <is>
          <t>Contrato recorrente inferido a partir de título fixo do CR.</t>
        </is>
      </c>
    </row>
    <row r="24">
      <c r="A24" s="96" t="inlineStr">
        <is>
          <t>REC|AGROFORTE|AGROFORTE</t>
        </is>
      </c>
      <c r="B24" s="95" t="inlineStr">
        <is>
          <t>CTR-019</t>
        </is>
      </c>
      <c r="C24" s="95" t="inlineStr">
        <is>
          <t>Contrato recorrente</t>
        </is>
      </c>
      <c r="D24" s="95" t="inlineStr">
        <is>
          <t>CLI-002</t>
        </is>
      </c>
      <c r="E24" s="95" t="inlineStr">
        <is>
          <t>AGROFORTE</t>
        </is>
      </c>
      <c r="F24" s="95" t="inlineStr"/>
      <c r="G24" s="95" t="inlineStr">
        <is>
          <t>SRV-REC</t>
        </is>
      </c>
      <c r="H24" s="95" t="inlineStr">
        <is>
          <t>Carteira recorrente SST</t>
        </is>
      </c>
      <c r="I24" s="95" t="inlineStr">
        <is>
          <t>Carteira recorrente</t>
        </is>
      </c>
      <c r="J24" s="95" t="inlineStr">
        <is>
          <t>Operação recorrente</t>
        </is>
      </c>
      <c r="K24" s="95" t="inlineStr">
        <is>
          <t>Mensal/recorrente</t>
        </is>
      </c>
      <c r="L24" s="96" t="inlineStr">
        <is>
          <t>Contrato recorrente inferido a partir de título fixo do CR.</t>
        </is>
      </c>
    </row>
    <row r="25">
      <c r="A25" s="96" t="inlineStr">
        <is>
          <t>REC|FAZENDAS GUARACI|FAZENDAS GUARACI</t>
        </is>
      </c>
      <c r="B25" s="95" t="inlineStr">
        <is>
          <t>CTR-020</t>
        </is>
      </c>
      <c r="C25" s="95" t="inlineStr">
        <is>
          <t>Contrato recorrente</t>
        </is>
      </c>
      <c r="D25" s="95" t="inlineStr">
        <is>
          <t>CLI-014</t>
        </is>
      </c>
      <c r="E25" s="95" t="inlineStr">
        <is>
          <t>FAZENDAS GUARACI</t>
        </is>
      </c>
      <c r="F25" s="95" t="inlineStr"/>
      <c r="G25" s="95" t="inlineStr">
        <is>
          <t>SRV-REC</t>
        </is>
      </c>
      <c r="H25" s="95" t="inlineStr">
        <is>
          <t>Carteira recorrente SST</t>
        </is>
      </c>
      <c r="I25" s="95" t="inlineStr">
        <is>
          <t>Carteira recorrente</t>
        </is>
      </c>
      <c r="J25" s="95" t="inlineStr">
        <is>
          <t>Operação recorrente</t>
        </is>
      </c>
      <c r="K25" s="95" t="inlineStr">
        <is>
          <t>Mensal/recorrente</t>
        </is>
      </c>
      <c r="L25" s="96" t="inlineStr">
        <is>
          <t>Contrato recorrente inferido a partir de título fixo do CR.</t>
        </is>
      </c>
    </row>
    <row r="26">
      <c r="A26" s="96" t="inlineStr">
        <is>
          <t>OS|TR. LASER - INCL FUNÇÃO|TR. LASER - INCL FUNÇÃO|SRV-PRJ</t>
        </is>
      </c>
      <c r="B26" s="95" t="inlineStr">
        <is>
          <t>OS-001</t>
        </is>
      </c>
      <c r="C26" s="95" t="inlineStr">
        <is>
          <t>OS avulsa</t>
        </is>
      </c>
      <c r="D26" s="95" t="inlineStr">
        <is>
          <t>CLI-033</t>
        </is>
      </c>
      <c r="E26" s="95" t="inlineStr">
        <is>
          <t>TR. LASER - INCL FUNÇÃO</t>
        </is>
      </c>
      <c r="F26" s="95" t="inlineStr">
        <is>
          <t>TR. LASER - INCL FUNÇÃO</t>
        </is>
      </c>
      <c r="G26" s="95" t="inlineStr">
        <is>
          <t>SRV-PRJ</t>
        </is>
      </c>
      <c r="H26" s="95" t="inlineStr">
        <is>
          <t>Projetos / Laudos / Avulsos SST</t>
        </is>
      </c>
      <c r="I26" s="95" t="inlineStr">
        <is>
          <t>Projetos / Laudos / Avulsos</t>
        </is>
      </c>
      <c r="J26" s="95" t="inlineStr">
        <is>
          <t>Projetos / Laudos / Avulsos</t>
        </is>
      </c>
      <c r="K26" s="95" t="inlineStr">
        <is>
          <t>Avulso</t>
        </is>
      </c>
      <c r="L26" s="96" t="inlineStr">
        <is>
          <t>OS inferida a partir do título Extra; parcelas da mesma descrição devem apontar para a mesma OS.</t>
        </is>
      </c>
    </row>
    <row r="27">
      <c r="A27" s="96" t="inlineStr">
        <is>
          <t>OS|DPA|DPA- HUB UM 593|SRV-PRJ</t>
        </is>
      </c>
      <c r="B27" s="95" t="inlineStr">
        <is>
          <t>OS-002</t>
        </is>
      </c>
      <c r="C27" s="95" t="inlineStr">
        <is>
          <t>OS avulsa</t>
        </is>
      </c>
      <c r="D27" s="95" t="inlineStr">
        <is>
          <t>CLI-008</t>
        </is>
      </c>
      <c r="E27" s="95" t="inlineStr">
        <is>
          <t>DPA</t>
        </is>
      </c>
      <c r="F27" s="95" t="inlineStr">
        <is>
          <t>HUB UM 593</t>
        </is>
      </c>
      <c r="G27" s="95" t="inlineStr">
        <is>
          <t>SRV-PRJ</t>
        </is>
      </c>
      <c r="H27" s="95" t="inlineStr">
        <is>
          <t>Projetos / Laudos / Avulsos SST</t>
        </is>
      </c>
      <c r="I27" s="95" t="inlineStr">
        <is>
          <t>Projetos / Laudos / Avulsos</t>
        </is>
      </c>
      <c r="J27" s="95" t="inlineStr">
        <is>
          <t>Projetos / Laudos / Avulsos</t>
        </is>
      </c>
      <c r="K27" s="95" t="inlineStr">
        <is>
          <t>Avulso</t>
        </is>
      </c>
      <c r="L27" s="96" t="inlineStr">
        <is>
          <t>OS inferida a partir do título Extra; parcelas da mesma descrição devem apontar para a mesma OS.</t>
        </is>
      </c>
    </row>
    <row r="28">
      <c r="A28" s="96" t="inlineStr">
        <is>
          <t>OS|LCA - FRIGOPAIVA /FERRO VELHO|LCA - FRIGOPAIVA /FERRO VELHO|SRV-PRJ</t>
        </is>
      </c>
      <c r="B28" s="95" t="inlineStr">
        <is>
          <t>OS-003</t>
        </is>
      </c>
      <c r="C28" s="95" t="inlineStr">
        <is>
          <t>OS avulsa</t>
        </is>
      </c>
      <c r="D28" s="95" t="inlineStr">
        <is>
          <t>CLI-017</t>
        </is>
      </c>
      <c r="E28" s="95" t="inlineStr">
        <is>
          <t>LCA - FRIGOPAIVA /FERRO VELHO</t>
        </is>
      </c>
      <c r="F28" s="95" t="inlineStr">
        <is>
          <t>LCA - FRIGOPAIVA /FERRO VELHO</t>
        </is>
      </c>
      <c r="G28" s="95" t="inlineStr">
        <is>
          <t>SRV-PRJ</t>
        </is>
      </c>
      <c r="H28" s="95" t="inlineStr">
        <is>
          <t>Projetos / Laudos / Avulsos SST</t>
        </is>
      </c>
      <c r="I28" s="95" t="inlineStr">
        <is>
          <t>Projetos / Laudos / Avulsos</t>
        </is>
      </c>
      <c r="J28" s="95" t="inlineStr">
        <is>
          <t>Projetos / Laudos / Avulsos</t>
        </is>
      </c>
      <c r="K28" s="95" t="inlineStr">
        <is>
          <t>Avulso</t>
        </is>
      </c>
      <c r="L28" s="96" t="inlineStr">
        <is>
          <t>OS inferida a partir do título Extra; parcelas da mesma descrição devem apontar para a mesma OS.</t>
        </is>
      </c>
    </row>
    <row r="29">
      <c r="A29" s="96" t="inlineStr">
        <is>
          <t>OS|MDA SOLUÇÕES|MDA SOLUÇÕES|SRV-PRJ</t>
        </is>
      </c>
      <c r="B29" s="95" t="inlineStr">
        <is>
          <t>OS-004</t>
        </is>
      </c>
      <c r="C29" s="95" t="inlineStr">
        <is>
          <t>OS avulsa</t>
        </is>
      </c>
      <c r="D29" s="95" t="inlineStr">
        <is>
          <t>CLI-021</t>
        </is>
      </c>
      <c r="E29" s="95" t="inlineStr">
        <is>
          <t>MDA SOLUÇÕES</t>
        </is>
      </c>
      <c r="F29" s="95" t="inlineStr">
        <is>
          <t>MDA SOLUÇÕES</t>
        </is>
      </c>
      <c r="G29" s="95" t="inlineStr">
        <is>
          <t>SRV-PRJ</t>
        </is>
      </c>
      <c r="H29" s="95" t="inlineStr">
        <is>
          <t>Projetos / Laudos / Avulsos SST</t>
        </is>
      </c>
      <c r="I29" s="95" t="inlineStr">
        <is>
          <t>Projetos / Laudos / Avulsos</t>
        </is>
      </c>
      <c r="J29" s="95" t="inlineStr">
        <is>
          <t>Projetos / Laudos / Avulsos</t>
        </is>
      </c>
      <c r="K29" s="95" t="inlineStr">
        <is>
          <t>Avulso</t>
        </is>
      </c>
      <c r="L29" s="96" t="inlineStr">
        <is>
          <t>OS inferida a partir do título Extra; parcelas da mesma descrição devem apontar para a mesma OS.</t>
        </is>
      </c>
    </row>
    <row r="30">
      <c r="A30" s="96" t="inlineStr">
        <is>
          <t>OS|CBA|CBA - MERC BELA VISTA/ P Olavo|SRV-PRJ</t>
        </is>
      </c>
      <c r="B30" s="95" t="inlineStr">
        <is>
          <t>OS-005</t>
        </is>
      </c>
      <c r="C30" s="95" t="inlineStr">
        <is>
          <t>OS avulsa</t>
        </is>
      </c>
      <c r="D30" s="95" t="inlineStr">
        <is>
          <t>CLI-006</t>
        </is>
      </c>
      <c r="E30" s="95" t="inlineStr">
        <is>
          <t>CBA</t>
        </is>
      </c>
      <c r="F30" s="95" t="inlineStr">
        <is>
          <t>MERC BELA VISTA/ P Olavo</t>
        </is>
      </c>
      <c r="G30" s="95" t="inlineStr">
        <is>
          <t>SRV-PRJ</t>
        </is>
      </c>
      <c r="H30" s="95" t="inlineStr">
        <is>
          <t>Projetos / Laudos / Avulsos SST</t>
        </is>
      </c>
      <c r="I30" s="95" t="inlineStr">
        <is>
          <t>Projetos / Laudos / Avulsos</t>
        </is>
      </c>
      <c r="J30" s="95" t="inlineStr">
        <is>
          <t>Projetos / Laudos / Avulsos</t>
        </is>
      </c>
      <c r="K30" s="95" t="inlineStr">
        <is>
          <t>Avulso</t>
        </is>
      </c>
      <c r="L30" s="96" t="inlineStr">
        <is>
          <t>OS inferida a partir do título Extra; parcelas da mesma descrição devem apontar para a mesma OS.</t>
        </is>
      </c>
    </row>
    <row r="31">
      <c r="A31" s="96" t="inlineStr">
        <is>
          <t>OS|FAZ KUENO/ ADEQ PSICOSOCIAL|FAZ KUENO/ ADEQ PSICOSOCIAL|SRV-PSI</t>
        </is>
      </c>
      <c r="B31" s="95" t="inlineStr">
        <is>
          <t>OS-006</t>
        </is>
      </c>
      <c r="C31" s="95" t="inlineStr">
        <is>
          <t>OS avulsa</t>
        </is>
      </c>
      <c r="D31" s="95" t="inlineStr">
        <is>
          <t>CLI-011</t>
        </is>
      </c>
      <c r="E31" s="95" t="inlineStr">
        <is>
          <t>FAZ KUENO/ ADEQ PSICOSOCIAL</t>
        </is>
      </c>
      <c r="F31" s="95" t="inlineStr">
        <is>
          <t>FAZ KUENO/ ADEQ PSICOSOCIAL</t>
        </is>
      </c>
      <c r="G31" s="95" t="inlineStr">
        <is>
          <t>SRV-PSI</t>
        </is>
      </c>
      <c r="H31" s="95" t="inlineStr">
        <is>
          <t>Adequação Psicossocial</t>
        </is>
      </c>
      <c r="I31" s="95" t="inlineStr">
        <is>
          <t>eSocial / Psicossocial</t>
        </is>
      </c>
      <c r="J31" s="95" t="inlineStr">
        <is>
          <t>Projetos eSocial/Psicossocial</t>
        </is>
      </c>
      <c r="K31" s="95" t="inlineStr">
        <is>
          <t>Avulso</t>
        </is>
      </c>
      <c r="L31" s="96" t="inlineStr">
        <is>
          <t>OS inferida a partir do título Extra; parcelas da mesma descrição devem apontar para a mesma OS.</t>
        </is>
      </c>
    </row>
    <row r="32">
      <c r="A32" s="96" t="inlineStr">
        <is>
          <t>OS|FAZ ROBSON/ ADEQ PSICOSOCIAL|FAZ ROBSON/ ADEQ PSICOSOCIAL|SRV-PSI</t>
        </is>
      </c>
      <c r="B32" s="95" t="inlineStr">
        <is>
          <t>OS-007</t>
        </is>
      </c>
      <c r="C32" s="95" t="inlineStr">
        <is>
          <t>OS avulsa</t>
        </is>
      </c>
      <c r="D32" s="95" t="inlineStr">
        <is>
          <t>CLI-012</t>
        </is>
      </c>
      <c r="E32" s="95" t="inlineStr">
        <is>
          <t>FAZ ROBSON/ ADEQ PSICOSOCIAL</t>
        </is>
      </c>
      <c r="F32" s="95" t="inlineStr">
        <is>
          <t>FAZ ROBSON/ ADEQ PSICOSOCIAL</t>
        </is>
      </c>
      <c r="G32" s="95" t="inlineStr">
        <is>
          <t>SRV-PSI</t>
        </is>
      </c>
      <c r="H32" s="95" t="inlineStr">
        <is>
          <t>Adequação Psicossocial</t>
        </is>
      </c>
      <c r="I32" s="95" t="inlineStr">
        <is>
          <t>eSocial / Psicossocial</t>
        </is>
      </c>
      <c r="J32" s="95" t="inlineStr">
        <is>
          <t>Projetos eSocial/Psicossocial</t>
        </is>
      </c>
      <c r="K32" s="95" t="inlineStr">
        <is>
          <t>Avulso</t>
        </is>
      </c>
      <c r="L32" s="96" t="inlineStr">
        <is>
          <t>OS inferida a partir do título Extra; parcelas da mesma descrição devem apontar para a mesma OS.</t>
        </is>
      </c>
    </row>
    <row r="33">
      <c r="A33" s="96" t="inlineStr">
        <is>
          <t>OS|DRESTE E-SOCIAL|DRESTE E-SOCIAL|SRV-ESO</t>
        </is>
      </c>
      <c r="B33" s="95" t="inlineStr">
        <is>
          <t>OS-008</t>
        </is>
      </c>
      <c r="C33" s="95" t="inlineStr">
        <is>
          <t>OS avulsa</t>
        </is>
      </c>
      <c r="D33" s="95" t="inlineStr">
        <is>
          <t>CLI-009</t>
        </is>
      </c>
      <c r="E33" s="95" t="inlineStr">
        <is>
          <t>DRESTE E-SOCIAL</t>
        </is>
      </c>
      <c r="F33" s="95" t="inlineStr">
        <is>
          <t>DRESTE E-SOCIAL</t>
        </is>
      </c>
      <c r="G33" s="95" t="inlineStr">
        <is>
          <t>SRV-ESO</t>
        </is>
      </c>
      <c r="H33" s="95" t="inlineStr">
        <is>
          <t>eSocial</t>
        </is>
      </c>
      <c r="I33" s="95" t="inlineStr">
        <is>
          <t>eSocial / Psicossocial</t>
        </is>
      </c>
      <c r="J33" s="95" t="inlineStr">
        <is>
          <t>Projetos eSocial/Psicossocial</t>
        </is>
      </c>
      <c r="K33" s="95" t="inlineStr">
        <is>
          <t>Avulso</t>
        </is>
      </c>
      <c r="L33" s="96" t="inlineStr">
        <is>
          <t>OS inferida a partir do título Extra; parcelas da mesma descrição devem apontar para a mesma OS.</t>
        </is>
      </c>
    </row>
    <row r="34">
      <c r="A34" s="96" t="inlineStr">
        <is>
          <t>OS|AÇOFERGO|AÇOFERGO|SRV-PRJ</t>
        </is>
      </c>
      <c r="B34" s="95" t="inlineStr">
        <is>
          <t>OS-009</t>
        </is>
      </c>
      <c r="C34" s="95" t="inlineStr">
        <is>
          <t>OS avulsa</t>
        </is>
      </c>
      <c r="D34" s="95" t="inlineStr">
        <is>
          <t>CLI-004</t>
        </is>
      </c>
      <c r="E34" s="95" t="inlineStr">
        <is>
          <t>AÇOFERGO</t>
        </is>
      </c>
      <c r="F34" s="95" t="inlineStr">
        <is>
          <t>AÇOFERGO</t>
        </is>
      </c>
      <c r="G34" s="95" t="inlineStr">
        <is>
          <t>SRV-PRJ</t>
        </is>
      </c>
      <c r="H34" s="95" t="inlineStr">
        <is>
          <t>Projetos / Laudos / Avulsos SST</t>
        </is>
      </c>
      <c r="I34" s="95" t="inlineStr">
        <is>
          <t>Projetos / Laudos / Avulsos</t>
        </is>
      </c>
      <c r="J34" s="95" t="inlineStr">
        <is>
          <t>Projetos / Laudos / Avulsos</t>
        </is>
      </c>
      <c r="K34" s="95" t="inlineStr">
        <is>
          <t>Avulso</t>
        </is>
      </c>
      <c r="L34" s="96" t="inlineStr">
        <is>
          <t>OS inferida a partir do título Extra; parcelas da mesma descrição devem apontar para a mesma OS.</t>
        </is>
      </c>
    </row>
    <row r="35">
      <c r="A35" s="96" t="inlineStr">
        <is>
          <t>OS|ASSEME - ROSA GESSO|ASSEME - ROSA GESSO|SRV-PRJ</t>
        </is>
      </c>
      <c r="B35" s="95" t="inlineStr">
        <is>
          <t>OS-010</t>
        </is>
      </c>
      <c r="C35" s="95" t="inlineStr">
        <is>
          <t>OS avulsa</t>
        </is>
      </c>
      <c r="D35" s="95" t="inlineStr">
        <is>
          <t>CLI-003</t>
        </is>
      </c>
      <c r="E35" s="95" t="inlineStr">
        <is>
          <t>ASSEME - ROSA GESSO</t>
        </is>
      </c>
      <c r="F35" s="95" t="inlineStr">
        <is>
          <t>ASSEME - ROSA GESSO</t>
        </is>
      </c>
      <c r="G35" s="95" t="inlineStr">
        <is>
          <t>SRV-PRJ</t>
        </is>
      </c>
      <c r="H35" s="95" t="inlineStr">
        <is>
          <t>Projetos / Laudos / Avulsos SST</t>
        </is>
      </c>
      <c r="I35" s="95" t="inlineStr">
        <is>
          <t>Projetos / Laudos / Avulsos</t>
        </is>
      </c>
      <c r="J35" s="95" t="inlineStr">
        <is>
          <t>Projetos / Laudos / Avulsos</t>
        </is>
      </c>
      <c r="K35" s="95" t="inlineStr">
        <is>
          <t>Avulso</t>
        </is>
      </c>
      <c r="L35" s="96" t="inlineStr">
        <is>
          <t>OS inferida a partir do título Extra; parcelas da mesma descrição devem apontar para a mesma OS.</t>
        </is>
      </c>
    </row>
    <row r="36">
      <c r="A36" s="96" t="inlineStr">
        <is>
          <t>OS|ESTIVA TRANSPORTES|ESTIVA TRANSPORTES|SRV-PRJ</t>
        </is>
      </c>
      <c r="B36" s="95" t="inlineStr">
        <is>
          <t>OS-011</t>
        </is>
      </c>
      <c r="C36" s="95" t="inlineStr">
        <is>
          <t>OS avulsa</t>
        </is>
      </c>
      <c r="D36" s="95" t="inlineStr">
        <is>
          <t>CLI-010</t>
        </is>
      </c>
      <c r="E36" s="95" t="inlineStr">
        <is>
          <t>ESTIVA TRANSPORTES</t>
        </is>
      </c>
      <c r="F36" s="95" t="inlineStr">
        <is>
          <t>ESTIVA TRANSPORTES</t>
        </is>
      </c>
      <c r="G36" s="95" t="inlineStr">
        <is>
          <t>SRV-PRJ</t>
        </is>
      </c>
      <c r="H36" s="95" t="inlineStr">
        <is>
          <t>Projetos / Laudos / Avulsos SST</t>
        </is>
      </c>
      <c r="I36" s="95" t="inlineStr">
        <is>
          <t>Projetos / Laudos / Avulsos</t>
        </is>
      </c>
      <c r="J36" s="95" t="inlineStr">
        <is>
          <t>Projetos / Laudos / Avulsos</t>
        </is>
      </c>
      <c r="K36" s="95" t="inlineStr">
        <is>
          <t>Avulso</t>
        </is>
      </c>
      <c r="L36" s="96" t="inlineStr">
        <is>
          <t>OS inferida a partir do título Extra; parcelas da mesma descrição devem apontar para a mesma OS.</t>
        </is>
      </c>
    </row>
    <row r="37">
      <c r="A37" s="96" t="inlineStr">
        <is>
          <t>OS|CBA|CBA - PEDRO|SRV-PRJ</t>
        </is>
      </c>
      <c r="B37" s="95" t="inlineStr">
        <is>
          <t>OS-012</t>
        </is>
      </c>
      <c r="C37" s="95" t="inlineStr">
        <is>
          <t>OS avulsa</t>
        </is>
      </c>
      <c r="D37" s="95" t="inlineStr">
        <is>
          <t>CLI-006</t>
        </is>
      </c>
      <c r="E37" s="95" t="inlineStr">
        <is>
          <t>CBA</t>
        </is>
      </c>
      <c r="F37" s="95" t="inlineStr">
        <is>
          <t>PEDRO</t>
        </is>
      </c>
      <c r="G37" s="95" t="inlineStr">
        <is>
          <t>SRV-PRJ</t>
        </is>
      </c>
      <c r="H37" s="95" t="inlineStr">
        <is>
          <t>Projetos / Laudos / Avulsos SST</t>
        </is>
      </c>
      <c r="I37" s="95" t="inlineStr">
        <is>
          <t>Projetos / Laudos / Avulsos</t>
        </is>
      </c>
      <c r="J37" s="95" t="inlineStr">
        <is>
          <t>Projetos / Laudos / Avulsos</t>
        </is>
      </c>
      <c r="K37" s="95" t="inlineStr">
        <is>
          <t>Avulso</t>
        </is>
      </c>
      <c r="L37" s="96" t="inlineStr">
        <is>
          <t>OS inferida a partir do título Extra; parcelas da mesma descrição devem apontar para a mesma OS.</t>
        </is>
      </c>
    </row>
    <row r="38">
      <c r="A38" s="96" t="inlineStr">
        <is>
          <t>OS|TRANS DAVI|TRANS DAVI|SRV-PRJ</t>
        </is>
      </c>
      <c r="B38" s="95" t="inlineStr">
        <is>
          <t>OS-013</t>
        </is>
      </c>
      <c r="C38" s="95" t="inlineStr">
        <is>
          <t>OS avulsa</t>
        </is>
      </c>
      <c r="D38" s="95" t="inlineStr">
        <is>
          <t>CLI-034</t>
        </is>
      </c>
      <c r="E38" s="95" t="inlineStr">
        <is>
          <t>TRANS DAVI</t>
        </is>
      </c>
      <c r="F38" s="95" t="inlineStr">
        <is>
          <t>TRANS DAVI</t>
        </is>
      </c>
      <c r="G38" s="95" t="inlineStr">
        <is>
          <t>SRV-PRJ</t>
        </is>
      </c>
      <c r="H38" s="95" t="inlineStr">
        <is>
          <t>Projetos / Laudos / Avulsos SST</t>
        </is>
      </c>
      <c r="I38" s="95" t="inlineStr">
        <is>
          <t>Projetos / Laudos / Avulsos</t>
        </is>
      </c>
      <c r="J38" s="95" t="inlineStr">
        <is>
          <t>Projetos / Laudos / Avulsos</t>
        </is>
      </c>
      <c r="K38" s="95" t="inlineStr">
        <is>
          <t>Avulso</t>
        </is>
      </c>
      <c r="L38" s="96" t="inlineStr">
        <is>
          <t>OS inferida a partir do título Extra; parcelas da mesma descrição devem apontar para a mesma OS.</t>
        </is>
      </c>
    </row>
    <row r="39">
      <c r="A39" s="96" t="inlineStr">
        <is>
          <t>OS|NDB|NDB|SRV-PRJ</t>
        </is>
      </c>
      <c r="B39" s="95" t="inlineStr">
        <is>
          <t>OS-014</t>
        </is>
      </c>
      <c r="C39" s="95" t="inlineStr">
        <is>
          <t>OS avulsa</t>
        </is>
      </c>
      <c r="D39" s="95" t="inlineStr">
        <is>
          <t>CLI-022</t>
        </is>
      </c>
      <c r="E39" s="95" t="inlineStr">
        <is>
          <t>NDB</t>
        </is>
      </c>
      <c r="F39" s="95" t="inlineStr">
        <is>
          <t>NDB</t>
        </is>
      </c>
      <c r="G39" s="95" t="inlineStr">
        <is>
          <t>SRV-PRJ</t>
        </is>
      </c>
      <c r="H39" s="95" t="inlineStr">
        <is>
          <t>Projetos / Laudos / Avulsos SST</t>
        </is>
      </c>
      <c r="I39" s="95" t="inlineStr">
        <is>
          <t>Projetos / Laudos / Avulsos</t>
        </is>
      </c>
      <c r="J39" s="95" t="inlineStr">
        <is>
          <t>Projetos / Laudos / Avulsos</t>
        </is>
      </c>
      <c r="K39" s="95" t="inlineStr">
        <is>
          <t>Avulso</t>
        </is>
      </c>
      <c r="L39" s="96" t="inlineStr">
        <is>
          <t>OS inferida a partir do título Extra; parcelas da mesma descrição devem apontar para a mesma OS.</t>
        </is>
      </c>
    </row>
    <row r="40">
      <c r="A40" s="96" t="inlineStr">
        <is>
          <t>OS|RETRO ESCAVAÇÕES|RETRO ESCAVAÇÕES|SRV-PRJ</t>
        </is>
      </c>
      <c r="B40" s="95" t="inlineStr">
        <is>
          <t>OS-015</t>
        </is>
      </c>
      <c r="C40" s="95" t="inlineStr">
        <is>
          <t>OS avulsa</t>
        </is>
      </c>
      <c r="D40" s="95" t="inlineStr">
        <is>
          <t>CLI-027</t>
        </is>
      </c>
      <c r="E40" s="95" t="inlineStr">
        <is>
          <t>RETRO ESCAVAÇÕES</t>
        </is>
      </c>
      <c r="F40" s="95" t="inlineStr">
        <is>
          <t>RETRO ESCAVAÇÕES</t>
        </is>
      </c>
      <c r="G40" s="95" t="inlineStr">
        <is>
          <t>SRV-PRJ</t>
        </is>
      </c>
      <c r="H40" s="95" t="inlineStr">
        <is>
          <t>Projetos / Laudos / Avulsos SST</t>
        </is>
      </c>
      <c r="I40" s="95" t="inlineStr">
        <is>
          <t>Projetos / Laudos / Avulsos</t>
        </is>
      </c>
      <c r="J40" s="95" t="inlineStr">
        <is>
          <t>Projetos / Laudos / Avulsos</t>
        </is>
      </c>
      <c r="K40" s="95" t="inlineStr">
        <is>
          <t>Avulso</t>
        </is>
      </c>
      <c r="L40" s="96" t="inlineStr">
        <is>
          <t>OS inferida a partir do título Extra; parcelas da mesma descrição devem apontar para a mesma OS.</t>
        </is>
      </c>
    </row>
    <row r="41">
      <c r="A41" s="96" t="inlineStr">
        <is>
          <t>OS|DPA|DPA - HUB / UNIDADE 593|SRV-PRJ</t>
        </is>
      </c>
      <c r="B41" s="95" t="inlineStr">
        <is>
          <t>OS-016</t>
        </is>
      </c>
      <c r="C41" s="95" t="inlineStr">
        <is>
          <t>OS avulsa</t>
        </is>
      </c>
      <c r="D41" s="95" t="inlineStr">
        <is>
          <t>CLI-008</t>
        </is>
      </c>
      <c r="E41" s="95" t="inlineStr">
        <is>
          <t>DPA</t>
        </is>
      </c>
      <c r="F41" s="95" t="inlineStr">
        <is>
          <t>HUB / UNIDADE 593</t>
        </is>
      </c>
      <c r="G41" s="95" t="inlineStr">
        <is>
          <t>SRV-PRJ</t>
        </is>
      </c>
      <c r="H41" s="95" t="inlineStr">
        <is>
          <t>Projetos / Laudos / Avulsos SST</t>
        </is>
      </c>
      <c r="I41" s="95" t="inlineStr">
        <is>
          <t>Projetos / Laudos / Avulsos</t>
        </is>
      </c>
      <c r="J41" s="95" t="inlineStr">
        <is>
          <t>Projetos / Laudos / Avulsos</t>
        </is>
      </c>
      <c r="K41" s="95" t="inlineStr">
        <is>
          <t>Avulso</t>
        </is>
      </c>
      <c r="L41" s="96" t="inlineStr">
        <is>
          <t>OS inferida a partir do título Extra; parcelas da mesma descrição devem apontar para a mesma OS.</t>
        </is>
      </c>
    </row>
    <row r="42">
      <c r="A42" s="96" t="inlineStr">
        <is>
          <t>OS|A2B - PCMSO|A2B - PCMSO|SRV-PCM</t>
        </is>
      </c>
      <c r="B42" s="95" t="inlineStr">
        <is>
          <t>OS-017</t>
        </is>
      </c>
      <c r="C42" s="95" t="inlineStr">
        <is>
          <t>OS avulsa</t>
        </is>
      </c>
      <c r="D42" s="95" t="inlineStr">
        <is>
          <t>CLI-001</t>
        </is>
      </c>
      <c r="E42" s="95" t="inlineStr">
        <is>
          <t>A2B - PCMSO</t>
        </is>
      </c>
      <c r="F42" s="95" t="inlineStr">
        <is>
          <t>A2B - PCMSO</t>
        </is>
      </c>
      <c r="G42" s="95" t="inlineStr">
        <is>
          <t>SRV-PCM</t>
        </is>
      </c>
      <c r="H42" s="95" t="inlineStr">
        <is>
          <t>PCMSO</t>
        </is>
      </c>
      <c r="I42" s="95" t="inlineStr">
        <is>
          <t>PCMSO</t>
        </is>
      </c>
      <c r="J42" s="95" t="inlineStr">
        <is>
          <t>Projetos PCMSO</t>
        </is>
      </c>
      <c r="K42" s="95" t="inlineStr">
        <is>
          <t>Avulso</t>
        </is>
      </c>
      <c r="L42" s="96" t="inlineStr">
        <is>
          <t>OS inferida a partir do título Extra; parcelas da mesma descrição devem apontar para a mesma OS.</t>
        </is>
      </c>
    </row>
    <row r="43">
      <c r="A43" s="96" t="inlineStr">
        <is>
          <t>OS|BOM JESUS|BOM JESUS LOCAÇÃO|SRV-PRJ</t>
        </is>
      </c>
      <c r="B43" s="95" t="inlineStr">
        <is>
          <t>OS-018</t>
        </is>
      </c>
      <c r="C43" s="95" t="inlineStr">
        <is>
          <t>OS avulsa</t>
        </is>
      </c>
      <c r="D43" s="95" t="inlineStr">
        <is>
          <t>CLI-005</t>
        </is>
      </c>
      <c r="E43" s="95" t="inlineStr">
        <is>
          <t>BOM JESUS</t>
        </is>
      </c>
      <c r="F43" s="95" t="inlineStr">
        <is>
          <t>LOCAÇÃO</t>
        </is>
      </c>
      <c r="G43" s="95" t="inlineStr">
        <is>
          <t>SRV-PRJ</t>
        </is>
      </c>
      <c r="H43" s="95" t="inlineStr">
        <is>
          <t>Projetos / Laudos / Avulsos SST</t>
        </is>
      </c>
      <c r="I43" s="95" t="inlineStr">
        <is>
          <t>Projetos / Laudos / Avulsos</t>
        </is>
      </c>
      <c r="J43" s="95" t="inlineStr">
        <is>
          <t>Projetos / Laudos / Avulsos</t>
        </is>
      </c>
      <c r="K43" s="95" t="inlineStr">
        <is>
          <t>Avulso</t>
        </is>
      </c>
      <c r="L43" s="96" t="inlineStr">
        <is>
          <t>OS inferida a partir do título Extra; parcelas da mesma descrição devem apontar para a mesma OS.</t>
        </is>
      </c>
    </row>
    <row r="44">
      <c r="A44" s="96" t="inlineStr">
        <is>
          <t>OS|BOM JESUS|BOM JESUS EXTRAÇÃO|SRV-PRJ</t>
        </is>
      </c>
      <c r="B44" s="95" t="inlineStr">
        <is>
          <t>OS-019</t>
        </is>
      </c>
      <c r="C44" s="95" t="inlineStr">
        <is>
          <t>OS avulsa</t>
        </is>
      </c>
      <c r="D44" s="95" t="inlineStr">
        <is>
          <t>CLI-005</t>
        </is>
      </c>
      <c r="E44" s="95" t="inlineStr">
        <is>
          <t>BOM JESUS</t>
        </is>
      </c>
      <c r="F44" s="95" t="inlineStr">
        <is>
          <t>EXTRAÇÃO</t>
        </is>
      </c>
      <c r="G44" s="95" t="inlineStr">
        <is>
          <t>SRV-PRJ</t>
        </is>
      </c>
      <c r="H44" s="95" t="inlineStr">
        <is>
          <t>Projetos / Laudos / Avulsos SST</t>
        </is>
      </c>
      <c r="I44" s="95" t="inlineStr">
        <is>
          <t>Projetos / Laudos / Avulsos</t>
        </is>
      </c>
      <c r="J44" s="95" t="inlineStr">
        <is>
          <t>Projetos / Laudos / Avulsos</t>
        </is>
      </c>
      <c r="K44" s="95" t="inlineStr">
        <is>
          <t>Avulso</t>
        </is>
      </c>
      <c r="L44" s="96" t="inlineStr">
        <is>
          <t>OS inferida a partir do título Extra; parcelas da mesma descrição devem apontar para a mesma OS.</t>
        </is>
      </c>
    </row>
    <row r="45">
      <c r="A45" s="96" t="inlineStr">
        <is>
          <t>OS|DPA|DPA - UBERABA / UNIDADE 18|SRV-PRJ</t>
        </is>
      </c>
      <c r="B45" s="95" t="inlineStr">
        <is>
          <t>OS-020</t>
        </is>
      </c>
      <c r="C45" s="95" t="inlineStr">
        <is>
          <t>OS avulsa</t>
        </is>
      </c>
      <c r="D45" s="95" t="inlineStr">
        <is>
          <t>CLI-008</t>
        </is>
      </c>
      <c r="E45" s="95" t="inlineStr">
        <is>
          <t>DPA</t>
        </is>
      </c>
      <c r="F45" s="95" t="inlineStr">
        <is>
          <t>UBERABA / UNIDADE 18</t>
        </is>
      </c>
      <c r="G45" s="95" t="inlineStr">
        <is>
          <t>SRV-PRJ</t>
        </is>
      </c>
      <c r="H45" s="95" t="inlineStr">
        <is>
          <t>Projetos / Laudos / Avulsos SST</t>
        </is>
      </c>
      <c r="I45" s="95" t="inlineStr">
        <is>
          <t>Projetos / Laudos / Avulsos</t>
        </is>
      </c>
      <c r="J45" s="95" t="inlineStr">
        <is>
          <t>Projetos / Laudos / Avulsos</t>
        </is>
      </c>
      <c r="K45" s="95" t="inlineStr">
        <is>
          <t>Avulso</t>
        </is>
      </c>
      <c r="L45" s="96" t="inlineStr">
        <is>
          <t>OS inferida a partir do título Extra; parcelas da mesma descrição devem apontar para a mesma OS.</t>
        </is>
      </c>
    </row>
    <row r="46">
      <c r="A46" s="96" t="inlineStr">
        <is>
          <t>OS|DPA|DPA - HUB / UNIDADE 261|SRV-PRJ</t>
        </is>
      </c>
      <c r="B46" s="95" t="inlineStr">
        <is>
          <t>OS-021</t>
        </is>
      </c>
      <c r="C46" s="95" t="inlineStr">
        <is>
          <t>OS avulsa</t>
        </is>
      </c>
      <c r="D46" s="95" t="inlineStr">
        <is>
          <t>CLI-008</t>
        </is>
      </c>
      <c r="E46" s="95" t="inlineStr">
        <is>
          <t>DPA</t>
        </is>
      </c>
      <c r="F46" s="95" t="inlineStr">
        <is>
          <t>HUB / UNIDADE 261</t>
        </is>
      </c>
      <c r="G46" s="95" t="inlineStr">
        <is>
          <t>SRV-PRJ</t>
        </is>
      </c>
      <c r="H46" s="95" t="inlineStr">
        <is>
          <t>Projetos / Laudos / Avulsos SST</t>
        </is>
      </c>
      <c r="I46" s="95" t="inlineStr">
        <is>
          <t>Projetos / Laudos / Avulsos</t>
        </is>
      </c>
      <c r="J46" s="95" t="inlineStr">
        <is>
          <t>Projetos / Laudos / Avulsos</t>
        </is>
      </c>
      <c r="K46" s="95" t="inlineStr">
        <is>
          <t>Avulso</t>
        </is>
      </c>
      <c r="L46" s="96" t="inlineStr">
        <is>
          <t>OS inferida a partir do título Extra; parcelas da mesma descrição devem apontar para a mesma OS.</t>
        </is>
      </c>
    </row>
    <row r="47">
      <c r="A47" s="96" t="inlineStr">
        <is>
          <t>OS|MATA DO PORTO|MATA DO PORTO|SRV-PRJ</t>
        </is>
      </c>
      <c r="B47" s="95" t="inlineStr">
        <is>
          <t>OS-022</t>
        </is>
      </c>
      <c r="C47" s="95" t="inlineStr">
        <is>
          <t>OS avulsa</t>
        </is>
      </c>
      <c r="D47" s="95" t="inlineStr">
        <is>
          <t>CLI-020</t>
        </is>
      </c>
      <c r="E47" s="95" t="inlineStr">
        <is>
          <t>MATA DO PORTO</t>
        </is>
      </c>
      <c r="F47" s="95" t="inlineStr">
        <is>
          <t>MATA DO PORTO</t>
        </is>
      </c>
      <c r="G47" s="95" t="inlineStr">
        <is>
          <t>SRV-PRJ</t>
        </is>
      </c>
      <c r="H47" s="95" t="inlineStr">
        <is>
          <t>Projetos / Laudos / Avulsos SST</t>
        </is>
      </c>
      <c r="I47" s="95" t="inlineStr">
        <is>
          <t>Projetos / Laudos / Avulsos</t>
        </is>
      </c>
      <c r="J47" s="95" t="inlineStr">
        <is>
          <t>Projetos / Laudos / Avulsos</t>
        </is>
      </c>
      <c r="K47" s="95" t="inlineStr">
        <is>
          <t>Avulso</t>
        </is>
      </c>
      <c r="L47" s="96" t="inlineStr">
        <is>
          <t>OS inferida a partir do título Extra; parcelas da mesma descrição devem apontar para a mesma OS.</t>
        </is>
      </c>
    </row>
    <row r="48">
      <c r="A48" s="96" t="inlineStr">
        <is>
          <t>OS|GODOSAN|GODOSAN|SRV-PRJ</t>
        </is>
      </c>
      <c r="B48" s="95" t="inlineStr">
        <is>
          <t>OS-023</t>
        </is>
      </c>
      <c r="C48" s="95" t="inlineStr">
        <is>
          <t>OS avulsa</t>
        </is>
      </c>
      <c r="D48" s="95" t="inlineStr">
        <is>
          <t>CLI-016</t>
        </is>
      </c>
      <c r="E48" s="95" t="inlineStr">
        <is>
          <t>GODOSAN</t>
        </is>
      </c>
      <c r="F48" s="95" t="inlineStr">
        <is>
          <t>GODOSAN</t>
        </is>
      </c>
      <c r="G48" s="95" t="inlineStr">
        <is>
          <t>SRV-PRJ</t>
        </is>
      </c>
      <c r="H48" s="95" t="inlineStr">
        <is>
          <t>Projetos / Laudos / Avulsos SST</t>
        </is>
      </c>
      <c r="I48" s="95" t="inlineStr">
        <is>
          <t>Projetos / Laudos / Avulsos</t>
        </is>
      </c>
      <c r="J48" s="95" t="inlineStr">
        <is>
          <t>Projetos / Laudos / Avulsos</t>
        </is>
      </c>
      <c r="K48" s="95" t="inlineStr">
        <is>
          <t>Avulso</t>
        </is>
      </c>
      <c r="L48" s="96" t="inlineStr">
        <is>
          <t>OS inferida a partir do título Extra; parcelas da mesma descrição devem apontar para a mesma OS.</t>
        </is>
      </c>
    </row>
    <row r="49">
      <c r="A49" s="96" t="inlineStr">
        <is>
          <t>OS|FERSAN|FERSAN|SRV-PRJ</t>
        </is>
      </c>
      <c r="B49" s="95" t="inlineStr">
        <is>
          <t>OS-024</t>
        </is>
      </c>
      <c r="C49" s="95" t="inlineStr">
        <is>
          <t>OS avulsa</t>
        </is>
      </c>
      <c r="D49" s="95" t="inlineStr">
        <is>
          <t>CLI-015</t>
        </is>
      </c>
      <c r="E49" s="95" t="inlineStr">
        <is>
          <t>FERSAN</t>
        </is>
      </c>
      <c r="F49" s="95" t="inlineStr">
        <is>
          <t>FERSAN</t>
        </is>
      </c>
      <c r="G49" s="95" t="inlineStr">
        <is>
          <t>SRV-PRJ</t>
        </is>
      </c>
      <c r="H49" s="95" t="inlineStr">
        <is>
          <t>Projetos / Laudos / Avulsos SST</t>
        </is>
      </c>
      <c r="I49" s="95" t="inlineStr">
        <is>
          <t>Projetos / Laudos / Avulsos</t>
        </is>
      </c>
      <c r="J49" s="95" t="inlineStr">
        <is>
          <t>Projetos / Laudos / Avulsos</t>
        </is>
      </c>
      <c r="K49" s="95" t="inlineStr">
        <is>
          <t>Avulso</t>
        </is>
      </c>
      <c r="L49" s="96" t="inlineStr">
        <is>
          <t>OS inferida a partir do título Extra; parcelas da mesma descrição devem apontar para a mesma OS.</t>
        </is>
      </c>
    </row>
    <row r="50">
      <c r="A50" s="96" t="n"/>
      <c r="B50" s="95">
        <f>IF(A50="","", "CTR-"&amp;TEXT(ROW()-5,"000"))</f>
        <v/>
      </c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6" t="n"/>
    </row>
    <row r="51">
      <c r="A51" s="96" t="n"/>
      <c r="B51" s="95">
        <f>IF(A51="","", "CTR-"&amp;TEXT(ROW()-5,"000"))</f>
        <v/>
      </c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6" t="n"/>
    </row>
    <row r="52">
      <c r="A52" s="96" t="n"/>
      <c r="B52" s="95">
        <f>IF(A52="","", "CTR-"&amp;TEXT(ROW()-5,"000"))</f>
        <v/>
      </c>
      <c r="C52" s="95" t="n"/>
      <c r="D52" s="95" t="n"/>
      <c r="E52" s="95" t="n"/>
      <c r="F52" s="95" t="n"/>
      <c r="G52" s="95" t="n"/>
      <c r="H52" s="95" t="n"/>
      <c r="I52" s="95" t="n"/>
      <c r="J52" s="95" t="n"/>
      <c r="K52" s="95" t="n"/>
      <c r="L52" s="96" t="n"/>
    </row>
    <row r="53">
      <c r="A53" s="96" t="n"/>
      <c r="B53" s="95">
        <f>IF(A53="","", "CTR-"&amp;TEXT(ROW()-5,"000"))</f>
        <v/>
      </c>
      <c r="C53" s="95" t="n"/>
      <c r="D53" s="95" t="n"/>
      <c r="E53" s="95" t="n"/>
      <c r="F53" s="95" t="n"/>
      <c r="G53" s="95" t="n"/>
      <c r="H53" s="95" t="n"/>
      <c r="I53" s="95" t="n"/>
      <c r="J53" s="95" t="n"/>
      <c r="K53" s="95" t="n"/>
      <c r="L53" s="96" t="n"/>
    </row>
    <row r="54">
      <c r="A54" s="96" t="n"/>
      <c r="B54" s="95">
        <f>IF(A54="","", "CTR-"&amp;TEXT(ROW()-5,"000"))</f>
        <v/>
      </c>
      <c r="C54" s="95" t="n"/>
      <c r="D54" s="95" t="n"/>
      <c r="E54" s="95" t="n"/>
      <c r="F54" s="95" t="n"/>
      <c r="G54" s="95" t="n"/>
      <c r="H54" s="95" t="n"/>
      <c r="I54" s="95" t="n"/>
      <c r="J54" s="95" t="n"/>
      <c r="K54" s="95" t="n"/>
      <c r="L54" s="96" t="n"/>
    </row>
    <row r="55">
      <c r="A55" s="96" t="n"/>
      <c r="B55" s="95">
        <f>IF(A55="","", "CTR-"&amp;TEXT(ROW()-5,"000"))</f>
        <v/>
      </c>
      <c r="C55" s="95" t="n"/>
      <c r="D55" s="95" t="n"/>
      <c r="E55" s="95" t="n"/>
      <c r="F55" s="95" t="n"/>
      <c r="G55" s="95" t="n"/>
      <c r="H55" s="95" t="n"/>
      <c r="I55" s="95" t="n"/>
      <c r="J55" s="95" t="n"/>
      <c r="K55" s="95" t="n"/>
      <c r="L55" s="96" t="n"/>
    </row>
    <row r="56">
      <c r="A56" s="96" t="n"/>
      <c r="B56" s="95">
        <f>IF(A56="","", "CTR-"&amp;TEXT(ROW()-5,"000"))</f>
        <v/>
      </c>
      <c r="C56" s="95" t="n"/>
      <c r="D56" s="95" t="n"/>
      <c r="E56" s="95" t="n"/>
      <c r="F56" s="95" t="n"/>
      <c r="G56" s="95" t="n"/>
      <c r="H56" s="95" t="n"/>
      <c r="I56" s="95" t="n"/>
      <c r="J56" s="95" t="n"/>
      <c r="K56" s="95" t="n"/>
      <c r="L56" s="96" t="n"/>
    </row>
    <row r="57">
      <c r="A57" s="96" t="n"/>
      <c r="B57" s="95">
        <f>IF(A57="","", "CTR-"&amp;TEXT(ROW()-5,"000"))</f>
        <v/>
      </c>
      <c r="C57" s="95" t="n"/>
      <c r="D57" s="95" t="n"/>
      <c r="E57" s="95" t="n"/>
      <c r="F57" s="95" t="n"/>
      <c r="G57" s="95" t="n"/>
      <c r="H57" s="95" t="n"/>
      <c r="I57" s="95" t="n"/>
      <c r="J57" s="95" t="n"/>
      <c r="K57" s="95" t="n"/>
      <c r="L57" s="96" t="n"/>
    </row>
    <row r="58">
      <c r="A58" s="96" t="n"/>
      <c r="B58" s="95">
        <f>IF(A58="","", "CTR-"&amp;TEXT(ROW()-5,"000"))</f>
        <v/>
      </c>
      <c r="C58" s="95" t="n"/>
      <c r="D58" s="95" t="n"/>
      <c r="E58" s="95" t="n"/>
      <c r="F58" s="95" t="n"/>
      <c r="G58" s="95" t="n"/>
      <c r="H58" s="95" t="n"/>
      <c r="I58" s="95" t="n"/>
      <c r="J58" s="95" t="n"/>
      <c r="K58" s="95" t="n"/>
      <c r="L58" s="96" t="n"/>
    </row>
    <row r="59">
      <c r="A59" s="96" t="n"/>
      <c r="B59" s="95">
        <f>IF(A59="","", "CTR-"&amp;TEXT(ROW()-5,"000"))</f>
        <v/>
      </c>
      <c r="C59" s="95" t="n"/>
      <c r="D59" s="95" t="n"/>
      <c r="E59" s="95" t="n"/>
      <c r="F59" s="95" t="n"/>
      <c r="G59" s="95" t="n"/>
      <c r="H59" s="95" t="n"/>
      <c r="I59" s="95" t="n"/>
      <c r="J59" s="95" t="n"/>
      <c r="K59" s="95" t="n"/>
      <c r="L59" s="96" t="n"/>
    </row>
    <row r="60">
      <c r="A60" s="96" t="n"/>
      <c r="B60" s="95">
        <f>IF(A60="","", "CTR-"&amp;TEXT(ROW()-5,"000"))</f>
        <v/>
      </c>
      <c r="C60" s="95" t="n"/>
      <c r="D60" s="95" t="n"/>
      <c r="E60" s="95" t="n"/>
      <c r="F60" s="95" t="n"/>
      <c r="G60" s="95" t="n"/>
      <c r="H60" s="95" t="n"/>
      <c r="I60" s="95" t="n"/>
      <c r="J60" s="95" t="n"/>
      <c r="K60" s="95" t="n"/>
      <c r="L60" s="96" t="n"/>
    </row>
    <row r="61">
      <c r="A61" s="96" t="n"/>
      <c r="B61" s="95">
        <f>IF(A61="","", "CTR-"&amp;TEXT(ROW()-5,"000"))</f>
        <v/>
      </c>
      <c r="C61" s="95" t="n"/>
      <c r="D61" s="95" t="n"/>
      <c r="E61" s="95" t="n"/>
      <c r="F61" s="95" t="n"/>
      <c r="G61" s="95" t="n"/>
      <c r="H61" s="95" t="n"/>
      <c r="I61" s="95" t="n"/>
      <c r="J61" s="95" t="n"/>
      <c r="K61" s="95" t="n"/>
      <c r="L61" s="96" t="n"/>
    </row>
    <row r="62">
      <c r="A62" s="96" t="n"/>
      <c r="B62" s="95">
        <f>IF(A62="","", "CTR-"&amp;TEXT(ROW()-5,"000"))</f>
        <v/>
      </c>
      <c r="C62" s="95" t="n"/>
      <c r="D62" s="95" t="n"/>
      <c r="E62" s="95" t="n"/>
      <c r="F62" s="95" t="n"/>
      <c r="G62" s="95" t="n"/>
      <c r="H62" s="95" t="n"/>
      <c r="I62" s="95" t="n"/>
      <c r="J62" s="95" t="n"/>
      <c r="K62" s="95" t="n"/>
      <c r="L62" s="96" t="n"/>
    </row>
    <row r="63">
      <c r="A63" s="96" t="n"/>
      <c r="B63" s="95">
        <f>IF(A63="","", "CTR-"&amp;TEXT(ROW()-5,"000"))</f>
        <v/>
      </c>
      <c r="C63" s="95" t="n"/>
      <c r="D63" s="95" t="n"/>
      <c r="E63" s="95" t="n"/>
      <c r="F63" s="95" t="n"/>
      <c r="G63" s="95" t="n"/>
      <c r="H63" s="95" t="n"/>
      <c r="I63" s="95" t="n"/>
      <c r="J63" s="95" t="n"/>
      <c r="K63" s="95" t="n"/>
      <c r="L63" s="96" t="n"/>
    </row>
    <row r="64">
      <c r="A64" s="96" t="n"/>
      <c r="B64" s="95">
        <f>IF(A64="","", "CTR-"&amp;TEXT(ROW()-5,"000"))</f>
        <v/>
      </c>
      <c r="C64" s="95" t="n"/>
      <c r="D64" s="95" t="n"/>
      <c r="E64" s="95" t="n"/>
      <c r="F64" s="95" t="n"/>
      <c r="G64" s="95" t="n"/>
      <c r="H64" s="95" t="n"/>
      <c r="I64" s="95" t="n"/>
      <c r="J64" s="95" t="n"/>
      <c r="K64" s="95" t="n"/>
      <c r="L64" s="96" t="n"/>
    </row>
    <row r="65">
      <c r="A65" s="96" t="n"/>
      <c r="B65" s="95">
        <f>IF(A65="","", "CTR-"&amp;TEXT(ROW()-5,"000"))</f>
        <v/>
      </c>
      <c r="C65" s="95" t="n"/>
      <c r="D65" s="95" t="n"/>
      <c r="E65" s="95" t="n"/>
      <c r="F65" s="95" t="n"/>
      <c r="G65" s="95" t="n"/>
      <c r="H65" s="95" t="n"/>
      <c r="I65" s="95" t="n"/>
      <c r="J65" s="95" t="n"/>
      <c r="K65" s="95" t="n"/>
      <c r="L65" s="96" t="n"/>
    </row>
    <row r="66">
      <c r="A66" s="96" t="n"/>
      <c r="B66" s="95">
        <f>IF(A66="","", "CTR-"&amp;TEXT(ROW()-5,"000"))</f>
        <v/>
      </c>
      <c r="C66" s="95" t="n"/>
      <c r="D66" s="95" t="n"/>
      <c r="E66" s="95" t="n"/>
      <c r="F66" s="95" t="n"/>
      <c r="G66" s="95" t="n"/>
      <c r="H66" s="95" t="n"/>
      <c r="I66" s="95" t="n"/>
      <c r="J66" s="95" t="n"/>
      <c r="K66" s="95" t="n"/>
      <c r="L66" s="96" t="n"/>
    </row>
    <row r="67">
      <c r="A67" s="96" t="n"/>
      <c r="B67" s="95">
        <f>IF(A67="","", "CTR-"&amp;TEXT(ROW()-5,"000"))</f>
        <v/>
      </c>
      <c r="C67" s="95" t="n"/>
      <c r="D67" s="95" t="n"/>
      <c r="E67" s="95" t="n"/>
      <c r="F67" s="95" t="n"/>
      <c r="G67" s="95" t="n"/>
      <c r="H67" s="95" t="n"/>
      <c r="I67" s="95" t="n"/>
      <c r="J67" s="95" t="n"/>
      <c r="K67" s="95" t="n"/>
      <c r="L67" s="96" t="n"/>
    </row>
    <row r="68">
      <c r="A68" s="96" t="n"/>
      <c r="B68" s="95">
        <f>IF(A68="","", "CTR-"&amp;TEXT(ROW()-5,"000"))</f>
        <v/>
      </c>
      <c r="C68" s="95" t="n"/>
      <c r="D68" s="95" t="n"/>
      <c r="E68" s="95" t="n"/>
      <c r="F68" s="95" t="n"/>
      <c r="G68" s="95" t="n"/>
      <c r="H68" s="95" t="n"/>
      <c r="I68" s="95" t="n"/>
      <c r="J68" s="95" t="n"/>
      <c r="K68" s="95" t="n"/>
      <c r="L68" s="96" t="n"/>
    </row>
    <row r="69">
      <c r="A69" s="96" t="n"/>
      <c r="B69" s="95">
        <f>IF(A69="","", "CTR-"&amp;TEXT(ROW()-5,"000"))</f>
        <v/>
      </c>
      <c r="C69" s="95" t="n"/>
      <c r="D69" s="95" t="n"/>
      <c r="E69" s="95" t="n"/>
      <c r="F69" s="95" t="n"/>
      <c r="G69" s="95" t="n"/>
      <c r="H69" s="95" t="n"/>
      <c r="I69" s="95" t="n"/>
      <c r="J69" s="95" t="n"/>
      <c r="K69" s="95" t="n"/>
      <c r="L69" s="96" t="n"/>
    </row>
    <row r="70">
      <c r="A70" s="96" t="n"/>
      <c r="B70" s="95">
        <f>IF(A70="","", "CTR-"&amp;TEXT(ROW()-5,"000"))</f>
        <v/>
      </c>
      <c r="C70" s="95" t="n"/>
      <c r="D70" s="95" t="n"/>
      <c r="E70" s="95" t="n"/>
      <c r="F70" s="95" t="n"/>
      <c r="G70" s="95" t="n"/>
      <c r="H70" s="95" t="n"/>
      <c r="I70" s="95" t="n"/>
      <c r="J70" s="95" t="n"/>
      <c r="K70" s="95" t="n"/>
      <c r="L70" s="96" t="n"/>
    </row>
    <row r="71">
      <c r="A71" s="96" t="n"/>
      <c r="B71" s="95">
        <f>IF(A71="","", "CTR-"&amp;TEXT(ROW()-5,"000"))</f>
        <v/>
      </c>
      <c r="C71" s="95" t="n"/>
      <c r="D71" s="95" t="n"/>
      <c r="E71" s="95" t="n"/>
      <c r="F71" s="95" t="n"/>
      <c r="G71" s="95" t="n"/>
      <c r="H71" s="95" t="n"/>
      <c r="I71" s="95" t="n"/>
      <c r="J71" s="95" t="n"/>
      <c r="K71" s="95" t="n"/>
      <c r="L71" s="96" t="n"/>
    </row>
    <row r="72">
      <c r="A72" s="96" t="n"/>
      <c r="B72" s="95">
        <f>IF(A72="","", "CTR-"&amp;TEXT(ROW()-5,"000"))</f>
        <v/>
      </c>
      <c r="C72" s="95" t="n"/>
      <c r="D72" s="95" t="n"/>
      <c r="E72" s="95" t="n"/>
      <c r="F72" s="95" t="n"/>
      <c r="G72" s="95" t="n"/>
      <c r="H72" s="95" t="n"/>
      <c r="I72" s="95" t="n"/>
      <c r="J72" s="95" t="n"/>
      <c r="K72" s="95" t="n"/>
      <c r="L72" s="96" t="n"/>
    </row>
    <row r="73">
      <c r="A73" s="96" t="n"/>
      <c r="B73" s="95">
        <f>IF(A73="","", "CTR-"&amp;TEXT(ROW()-5,"000"))</f>
        <v/>
      </c>
      <c r="C73" s="95" t="n"/>
      <c r="D73" s="95" t="n"/>
      <c r="E73" s="95" t="n"/>
      <c r="F73" s="95" t="n"/>
      <c r="G73" s="95" t="n"/>
      <c r="H73" s="95" t="n"/>
      <c r="I73" s="95" t="n"/>
      <c r="J73" s="95" t="n"/>
      <c r="K73" s="95" t="n"/>
      <c r="L73" s="96" t="n"/>
    </row>
    <row r="74">
      <c r="A74" s="96" t="n"/>
      <c r="B74" s="95">
        <f>IF(A74="","", "CTR-"&amp;TEXT(ROW()-5,"000"))</f>
        <v/>
      </c>
      <c r="C74" s="95" t="n"/>
      <c r="D74" s="95" t="n"/>
      <c r="E74" s="95" t="n"/>
      <c r="F74" s="95" t="n"/>
      <c r="G74" s="95" t="n"/>
      <c r="H74" s="95" t="n"/>
      <c r="I74" s="95" t="n"/>
      <c r="J74" s="95" t="n"/>
      <c r="K74" s="95" t="n"/>
      <c r="L74" s="96" t="n"/>
    </row>
    <row r="75">
      <c r="A75" s="96" t="n"/>
      <c r="B75" s="95">
        <f>IF(A75="","", "CTR-"&amp;TEXT(ROW()-5,"000"))</f>
        <v/>
      </c>
      <c r="C75" s="95" t="n"/>
      <c r="D75" s="95" t="n"/>
      <c r="E75" s="95" t="n"/>
      <c r="F75" s="95" t="n"/>
      <c r="G75" s="95" t="n"/>
      <c r="H75" s="95" t="n"/>
      <c r="I75" s="95" t="n"/>
      <c r="J75" s="95" t="n"/>
      <c r="K75" s="95" t="n"/>
      <c r="L75" s="96" t="n"/>
    </row>
    <row r="76">
      <c r="A76" s="96" t="n"/>
      <c r="B76" s="95">
        <f>IF(A76="","", "CTR-"&amp;TEXT(ROW()-5,"000"))</f>
        <v/>
      </c>
      <c r="C76" s="95" t="n"/>
      <c r="D76" s="95" t="n"/>
      <c r="E76" s="95" t="n"/>
      <c r="F76" s="95" t="n"/>
      <c r="G76" s="95" t="n"/>
      <c r="H76" s="95" t="n"/>
      <c r="I76" s="95" t="n"/>
      <c r="J76" s="95" t="n"/>
      <c r="K76" s="95" t="n"/>
      <c r="L76" s="96" t="n"/>
    </row>
    <row r="77">
      <c r="A77" s="96" t="n"/>
      <c r="B77" s="95">
        <f>IF(A77="","", "CTR-"&amp;TEXT(ROW()-5,"000"))</f>
        <v/>
      </c>
      <c r="C77" s="95" t="n"/>
      <c r="D77" s="95" t="n"/>
      <c r="E77" s="95" t="n"/>
      <c r="F77" s="95" t="n"/>
      <c r="G77" s="95" t="n"/>
      <c r="H77" s="95" t="n"/>
      <c r="I77" s="95" t="n"/>
      <c r="J77" s="95" t="n"/>
      <c r="K77" s="95" t="n"/>
      <c r="L77" s="96" t="n"/>
    </row>
    <row r="78">
      <c r="A78" s="96" t="n"/>
      <c r="B78" s="95">
        <f>IF(A78="","", "CTR-"&amp;TEXT(ROW()-5,"000"))</f>
        <v/>
      </c>
      <c r="C78" s="95" t="n"/>
      <c r="D78" s="95" t="n"/>
      <c r="E78" s="95" t="n"/>
      <c r="F78" s="95" t="n"/>
      <c r="G78" s="95" t="n"/>
      <c r="H78" s="95" t="n"/>
      <c r="I78" s="95" t="n"/>
      <c r="J78" s="95" t="n"/>
      <c r="K78" s="95" t="n"/>
      <c r="L78" s="96" t="n"/>
    </row>
    <row r="79">
      <c r="A79" s="96" t="n"/>
      <c r="B79" s="95">
        <f>IF(A79="","", "CTR-"&amp;TEXT(ROW()-5,"000"))</f>
        <v/>
      </c>
      <c r="C79" s="95" t="n"/>
      <c r="D79" s="95" t="n"/>
      <c r="E79" s="95" t="n"/>
      <c r="F79" s="95" t="n"/>
      <c r="G79" s="95" t="n"/>
      <c r="H79" s="95" t="n"/>
      <c r="I79" s="95" t="n"/>
      <c r="J79" s="95" t="n"/>
      <c r="K79" s="95" t="n"/>
      <c r="L79" s="96" t="n"/>
    </row>
    <row r="80">
      <c r="A80" s="96" t="n"/>
      <c r="B80" s="95">
        <f>IF(A80="","", "CTR-"&amp;TEXT(ROW()-5,"000"))</f>
        <v/>
      </c>
      <c r="C80" s="95" t="n"/>
      <c r="D80" s="95" t="n"/>
      <c r="E80" s="95" t="n"/>
      <c r="F80" s="95" t="n"/>
      <c r="G80" s="95" t="n"/>
      <c r="H80" s="95" t="n"/>
      <c r="I80" s="95" t="n"/>
      <c r="J80" s="95" t="n"/>
      <c r="K80" s="95" t="n"/>
      <c r="L80" s="96" t="n"/>
    </row>
    <row r="81">
      <c r="A81" s="96" t="n"/>
      <c r="B81" s="95">
        <f>IF(A81="","", "CTR-"&amp;TEXT(ROW()-5,"000"))</f>
        <v/>
      </c>
      <c r="C81" s="95" t="n"/>
      <c r="D81" s="95" t="n"/>
      <c r="E81" s="95" t="n"/>
      <c r="F81" s="95" t="n"/>
      <c r="G81" s="95" t="n"/>
      <c r="H81" s="95" t="n"/>
      <c r="I81" s="95" t="n"/>
      <c r="J81" s="95" t="n"/>
      <c r="K81" s="95" t="n"/>
      <c r="L81" s="96" t="n"/>
    </row>
    <row r="82">
      <c r="A82" s="96" t="n"/>
      <c r="B82" s="95">
        <f>IF(A82="","", "CTR-"&amp;TEXT(ROW()-5,"000"))</f>
        <v/>
      </c>
      <c r="C82" s="95" t="n"/>
      <c r="D82" s="95" t="n"/>
      <c r="E82" s="95" t="n"/>
      <c r="F82" s="95" t="n"/>
      <c r="G82" s="95" t="n"/>
      <c r="H82" s="95" t="n"/>
      <c r="I82" s="95" t="n"/>
      <c r="J82" s="95" t="n"/>
      <c r="K82" s="95" t="n"/>
      <c r="L82" s="96" t="n"/>
    </row>
    <row r="83">
      <c r="A83" s="96" t="n"/>
      <c r="B83" s="95">
        <f>IF(A83="","", "CTR-"&amp;TEXT(ROW()-5,"000"))</f>
        <v/>
      </c>
      <c r="C83" s="95" t="n"/>
      <c r="D83" s="95" t="n"/>
      <c r="E83" s="95" t="n"/>
      <c r="F83" s="95" t="n"/>
      <c r="G83" s="95" t="n"/>
      <c r="H83" s="95" t="n"/>
      <c r="I83" s="95" t="n"/>
      <c r="J83" s="95" t="n"/>
      <c r="K83" s="95" t="n"/>
      <c r="L83" s="96" t="n"/>
    </row>
    <row r="84">
      <c r="A84" s="96" t="n"/>
      <c r="B84" s="95">
        <f>IF(A84="","", "CTR-"&amp;TEXT(ROW()-5,"000"))</f>
        <v/>
      </c>
      <c r="C84" s="95" t="n"/>
      <c r="D84" s="95" t="n"/>
      <c r="E84" s="95" t="n"/>
      <c r="F84" s="95" t="n"/>
      <c r="G84" s="95" t="n"/>
      <c r="H84" s="95" t="n"/>
      <c r="I84" s="95" t="n"/>
      <c r="J84" s="95" t="n"/>
      <c r="K84" s="95" t="n"/>
      <c r="L84" s="96" t="n"/>
    </row>
    <row r="85">
      <c r="A85" s="96" t="n"/>
      <c r="B85" s="95">
        <f>IF(A85="","", "CTR-"&amp;TEXT(ROW()-5,"000"))</f>
        <v/>
      </c>
      <c r="C85" s="95" t="n"/>
      <c r="D85" s="95" t="n"/>
      <c r="E85" s="95" t="n"/>
      <c r="F85" s="95" t="n"/>
      <c r="G85" s="95" t="n"/>
      <c r="H85" s="95" t="n"/>
      <c r="I85" s="95" t="n"/>
      <c r="J85" s="95" t="n"/>
      <c r="K85" s="95" t="n"/>
      <c r="L85" s="96" t="n"/>
    </row>
    <row r="86">
      <c r="A86" s="96" t="n"/>
      <c r="B86" s="95">
        <f>IF(A86="","", "CTR-"&amp;TEXT(ROW()-5,"000"))</f>
        <v/>
      </c>
      <c r="C86" s="95" t="n"/>
      <c r="D86" s="95" t="n"/>
      <c r="E86" s="95" t="n"/>
      <c r="F86" s="95" t="n"/>
      <c r="G86" s="95" t="n"/>
      <c r="H86" s="95" t="n"/>
      <c r="I86" s="95" t="n"/>
      <c r="J86" s="95" t="n"/>
      <c r="K86" s="95" t="n"/>
      <c r="L86" s="96" t="n"/>
    </row>
    <row r="87">
      <c r="A87" s="96" t="n"/>
      <c r="B87" s="95">
        <f>IF(A87="","", "CTR-"&amp;TEXT(ROW()-5,"000"))</f>
        <v/>
      </c>
      <c r="C87" s="95" t="n"/>
      <c r="D87" s="95" t="n"/>
      <c r="E87" s="95" t="n"/>
      <c r="F87" s="95" t="n"/>
      <c r="G87" s="95" t="n"/>
      <c r="H87" s="95" t="n"/>
      <c r="I87" s="95" t="n"/>
      <c r="J87" s="95" t="n"/>
      <c r="K87" s="95" t="n"/>
      <c r="L87" s="96" t="n"/>
    </row>
    <row r="88">
      <c r="A88" s="96" t="n"/>
      <c r="B88" s="95">
        <f>IF(A88="","", "CTR-"&amp;TEXT(ROW()-5,"000"))</f>
        <v/>
      </c>
      <c r="C88" s="95" t="n"/>
      <c r="D88" s="95" t="n"/>
      <c r="E88" s="95" t="n"/>
      <c r="F88" s="95" t="n"/>
      <c r="G88" s="95" t="n"/>
      <c r="H88" s="95" t="n"/>
      <c r="I88" s="95" t="n"/>
      <c r="J88" s="95" t="n"/>
      <c r="K88" s="95" t="n"/>
      <c r="L88" s="96" t="n"/>
    </row>
    <row r="89">
      <c r="A89" s="96" t="n"/>
      <c r="B89" s="95">
        <f>IF(A89="","", "CTR-"&amp;TEXT(ROW()-5,"000"))</f>
        <v/>
      </c>
      <c r="C89" s="95" t="n"/>
      <c r="D89" s="95" t="n"/>
      <c r="E89" s="95" t="n"/>
      <c r="F89" s="95" t="n"/>
      <c r="G89" s="95" t="n"/>
      <c r="H89" s="95" t="n"/>
      <c r="I89" s="95" t="n"/>
      <c r="J89" s="95" t="n"/>
      <c r="K89" s="95" t="n"/>
      <c r="L89" s="96" t="n"/>
    </row>
    <row r="90">
      <c r="A90" s="96" t="n"/>
      <c r="B90" s="95">
        <f>IF(A90="","", "CTR-"&amp;TEXT(ROW()-5,"000"))</f>
        <v/>
      </c>
      <c r="C90" s="95" t="n"/>
      <c r="D90" s="95" t="n"/>
      <c r="E90" s="95" t="n"/>
      <c r="F90" s="95" t="n"/>
      <c r="G90" s="95" t="n"/>
      <c r="H90" s="95" t="n"/>
      <c r="I90" s="95" t="n"/>
      <c r="J90" s="95" t="n"/>
      <c r="K90" s="95" t="n"/>
      <c r="L90" s="96" t="n"/>
    </row>
    <row r="91">
      <c r="A91" s="96" t="n"/>
      <c r="B91" s="95">
        <f>IF(A91="","", "CTR-"&amp;TEXT(ROW()-5,"000"))</f>
        <v/>
      </c>
      <c r="C91" s="95" t="n"/>
      <c r="D91" s="95" t="n"/>
      <c r="E91" s="95" t="n"/>
      <c r="F91" s="95" t="n"/>
      <c r="G91" s="95" t="n"/>
      <c r="H91" s="95" t="n"/>
      <c r="I91" s="95" t="n"/>
      <c r="J91" s="95" t="n"/>
      <c r="K91" s="95" t="n"/>
      <c r="L91" s="96" t="n"/>
    </row>
    <row r="92">
      <c r="A92" s="96" t="n"/>
      <c r="B92" s="95">
        <f>IF(A92="","", "CTR-"&amp;TEXT(ROW()-5,"000"))</f>
        <v/>
      </c>
      <c r="C92" s="95" t="n"/>
      <c r="D92" s="95" t="n"/>
      <c r="E92" s="95" t="n"/>
      <c r="F92" s="95" t="n"/>
      <c r="G92" s="95" t="n"/>
      <c r="H92" s="95" t="n"/>
      <c r="I92" s="95" t="n"/>
      <c r="J92" s="95" t="n"/>
      <c r="K92" s="95" t="n"/>
      <c r="L92" s="96" t="n"/>
    </row>
    <row r="93">
      <c r="A93" s="96" t="n"/>
      <c r="B93" s="95">
        <f>IF(A93="","", "CTR-"&amp;TEXT(ROW()-5,"000"))</f>
        <v/>
      </c>
      <c r="C93" s="95" t="n"/>
      <c r="D93" s="95" t="n"/>
      <c r="E93" s="95" t="n"/>
      <c r="F93" s="95" t="n"/>
      <c r="G93" s="95" t="n"/>
      <c r="H93" s="95" t="n"/>
      <c r="I93" s="95" t="n"/>
      <c r="J93" s="95" t="n"/>
      <c r="K93" s="95" t="n"/>
      <c r="L93" s="96" t="n"/>
    </row>
    <row r="94">
      <c r="A94" s="96" t="n"/>
      <c r="B94" s="95">
        <f>IF(A94="","", "CTR-"&amp;TEXT(ROW()-5,"000"))</f>
        <v/>
      </c>
      <c r="C94" s="95" t="n"/>
      <c r="D94" s="95" t="n"/>
      <c r="E94" s="95" t="n"/>
      <c r="F94" s="95" t="n"/>
      <c r="G94" s="95" t="n"/>
      <c r="H94" s="95" t="n"/>
      <c r="I94" s="95" t="n"/>
      <c r="J94" s="95" t="n"/>
      <c r="K94" s="95" t="n"/>
      <c r="L94" s="96" t="n"/>
    </row>
    <row r="95">
      <c r="A95" s="96" t="n"/>
      <c r="B95" s="95">
        <f>IF(A95="","", "CTR-"&amp;TEXT(ROW()-5,"000"))</f>
        <v/>
      </c>
      <c r="C95" s="95" t="n"/>
      <c r="D95" s="95" t="n"/>
      <c r="E95" s="95" t="n"/>
      <c r="F95" s="95" t="n"/>
      <c r="G95" s="95" t="n"/>
      <c r="H95" s="95" t="n"/>
      <c r="I95" s="95" t="n"/>
      <c r="J95" s="95" t="n"/>
      <c r="K95" s="95" t="n"/>
      <c r="L95" s="96" t="n"/>
    </row>
    <row r="96">
      <c r="A96" s="96" t="n"/>
      <c r="B96" s="95">
        <f>IF(A96="","", "CTR-"&amp;TEXT(ROW()-5,"000"))</f>
        <v/>
      </c>
      <c r="C96" s="95" t="n"/>
      <c r="D96" s="95" t="n"/>
      <c r="E96" s="95" t="n"/>
      <c r="F96" s="95" t="n"/>
      <c r="G96" s="95" t="n"/>
      <c r="H96" s="95" t="n"/>
      <c r="I96" s="95" t="n"/>
      <c r="J96" s="95" t="n"/>
      <c r="K96" s="95" t="n"/>
      <c r="L96" s="96" t="n"/>
    </row>
    <row r="97">
      <c r="A97" s="96" t="n"/>
      <c r="B97" s="95">
        <f>IF(A97="","", "CTR-"&amp;TEXT(ROW()-5,"000"))</f>
        <v/>
      </c>
      <c r="C97" s="95" t="n"/>
      <c r="D97" s="95" t="n"/>
      <c r="E97" s="95" t="n"/>
      <c r="F97" s="95" t="n"/>
      <c r="G97" s="95" t="n"/>
      <c r="H97" s="95" t="n"/>
      <c r="I97" s="95" t="n"/>
      <c r="J97" s="95" t="n"/>
      <c r="K97" s="95" t="n"/>
      <c r="L97" s="96" t="n"/>
    </row>
    <row r="98">
      <c r="A98" s="96" t="n"/>
      <c r="B98" s="95">
        <f>IF(A98="","", "CTR-"&amp;TEXT(ROW()-5,"000"))</f>
        <v/>
      </c>
      <c r="C98" s="95" t="n"/>
      <c r="D98" s="95" t="n"/>
      <c r="E98" s="95" t="n"/>
      <c r="F98" s="95" t="n"/>
      <c r="G98" s="95" t="n"/>
      <c r="H98" s="95" t="n"/>
      <c r="I98" s="95" t="n"/>
      <c r="J98" s="95" t="n"/>
      <c r="K98" s="95" t="n"/>
      <c r="L98" s="96" t="n"/>
    </row>
    <row r="99">
      <c r="A99" s="96" t="n"/>
      <c r="B99" s="95">
        <f>IF(A99="","", "CTR-"&amp;TEXT(ROW()-5,"000"))</f>
        <v/>
      </c>
      <c r="C99" s="95" t="n"/>
      <c r="D99" s="95" t="n"/>
      <c r="E99" s="95" t="n"/>
      <c r="F99" s="95" t="n"/>
      <c r="G99" s="95" t="n"/>
      <c r="H99" s="95" t="n"/>
      <c r="I99" s="95" t="n"/>
      <c r="J99" s="95" t="n"/>
      <c r="K99" s="95" t="n"/>
      <c r="L99" s="96" t="n"/>
    </row>
    <row r="100">
      <c r="A100" s="96" t="n"/>
      <c r="B100" s="95">
        <f>IF(A100="","", "CTR-"&amp;TEXT(ROW()-5,"000"))</f>
        <v/>
      </c>
      <c r="C100" s="95" t="n"/>
      <c r="D100" s="95" t="n"/>
      <c r="E100" s="95" t="n"/>
      <c r="F100" s="95" t="n"/>
      <c r="G100" s="95" t="n"/>
      <c r="H100" s="95" t="n"/>
      <c r="I100" s="95" t="n"/>
      <c r="J100" s="95" t="n"/>
      <c r="K100" s="95" t="n"/>
      <c r="L100" s="96" t="n"/>
    </row>
    <row r="101">
      <c r="A101" s="96" t="n"/>
      <c r="B101" s="95">
        <f>IF(A101="","", "CTR-"&amp;TEXT(ROW()-5,"000"))</f>
        <v/>
      </c>
      <c r="C101" s="95" t="n"/>
      <c r="D101" s="95" t="n"/>
      <c r="E101" s="95" t="n"/>
      <c r="F101" s="95" t="n"/>
      <c r="G101" s="95" t="n"/>
      <c r="H101" s="95" t="n"/>
      <c r="I101" s="95" t="n"/>
      <c r="J101" s="95" t="n"/>
      <c r="K101" s="95" t="n"/>
      <c r="L101" s="96" t="n"/>
    </row>
    <row r="102">
      <c r="A102" s="96" t="n"/>
      <c r="B102" s="95">
        <f>IF(A102="","", "CTR-"&amp;TEXT(ROW()-5,"000"))</f>
        <v/>
      </c>
      <c r="C102" s="95" t="n"/>
      <c r="D102" s="95" t="n"/>
      <c r="E102" s="95" t="n"/>
      <c r="F102" s="95" t="n"/>
      <c r="G102" s="95" t="n"/>
      <c r="H102" s="95" t="n"/>
      <c r="I102" s="95" t="n"/>
      <c r="J102" s="95" t="n"/>
      <c r="K102" s="95" t="n"/>
      <c r="L102" s="96" t="n"/>
    </row>
    <row r="103">
      <c r="A103" s="96" t="n"/>
      <c r="B103" s="95">
        <f>IF(A103="","", "CTR-"&amp;TEXT(ROW()-5,"000"))</f>
        <v/>
      </c>
      <c r="C103" s="95" t="n"/>
      <c r="D103" s="95" t="n"/>
      <c r="E103" s="95" t="n"/>
      <c r="F103" s="95" t="n"/>
      <c r="G103" s="95" t="n"/>
      <c r="H103" s="95" t="n"/>
      <c r="I103" s="95" t="n"/>
      <c r="J103" s="95" t="n"/>
      <c r="K103" s="95" t="n"/>
      <c r="L103" s="96" t="n"/>
    </row>
    <row r="104">
      <c r="A104" s="96" t="n"/>
      <c r="B104" s="95">
        <f>IF(A104="","", "CTR-"&amp;TEXT(ROW()-5,"000"))</f>
        <v/>
      </c>
      <c r="C104" s="95" t="n"/>
      <c r="D104" s="95" t="n"/>
      <c r="E104" s="95" t="n"/>
      <c r="F104" s="95" t="n"/>
      <c r="G104" s="95" t="n"/>
      <c r="H104" s="95" t="n"/>
      <c r="I104" s="95" t="n"/>
      <c r="J104" s="95" t="n"/>
      <c r="K104" s="95" t="n"/>
      <c r="L104" s="96" t="n"/>
    </row>
    <row r="105">
      <c r="A105" s="96" t="n"/>
      <c r="B105" s="95">
        <f>IF(A105="","", "CTR-"&amp;TEXT(ROW()-5,"000"))</f>
        <v/>
      </c>
      <c r="C105" s="95" t="n"/>
      <c r="D105" s="95" t="n"/>
      <c r="E105" s="95" t="n"/>
      <c r="F105" s="95" t="n"/>
      <c r="G105" s="95" t="n"/>
      <c r="H105" s="95" t="n"/>
      <c r="I105" s="95" t="n"/>
      <c r="J105" s="95" t="n"/>
      <c r="K105" s="95" t="n"/>
      <c r="L105" s="96" t="n"/>
    </row>
    <row r="106">
      <c r="A106" s="96" t="n"/>
      <c r="B106" s="95">
        <f>IF(A106="","", "CTR-"&amp;TEXT(ROW()-5,"000"))</f>
        <v/>
      </c>
      <c r="C106" s="95" t="n"/>
      <c r="D106" s="95" t="n"/>
      <c r="E106" s="95" t="n"/>
      <c r="F106" s="95" t="n"/>
      <c r="G106" s="95" t="n"/>
      <c r="H106" s="95" t="n"/>
      <c r="I106" s="95" t="n"/>
      <c r="J106" s="95" t="n"/>
      <c r="K106" s="95" t="n"/>
      <c r="L106" s="96" t="n"/>
    </row>
    <row r="107">
      <c r="A107" s="96" t="n"/>
      <c r="B107" s="95">
        <f>IF(A107="","", "CTR-"&amp;TEXT(ROW()-5,"000"))</f>
        <v/>
      </c>
      <c r="C107" s="95" t="n"/>
      <c r="D107" s="95" t="n"/>
      <c r="E107" s="95" t="n"/>
      <c r="F107" s="95" t="n"/>
      <c r="G107" s="95" t="n"/>
      <c r="H107" s="95" t="n"/>
      <c r="I107" s="95" t="n"/>
      <c r="J107" s="95" t="n"/>
      <c r="K107" s="95" t="n"/>
      <c r="L107" s="96" t="n"/>
    </row>
    <row r="108">
      <c r="A108" s="96" t="n"/>
      <c r="B108" s="95">
        <f>IF(A108="","", "CTR-"&amp;TEXT(ROW()-5,"000"))</f>
        <v/>
      </c>
      <c r="C108" s="95" t="n"/>
      <c r="D108" s="95" t="n"/>
      <c r="E108" s="95" t="n"/>
      <c r="F108" s="95" t="n"/>
      <c r="G108" s="95" t="n"/>
      <c r="H108" s="95" t="n"/>
      <c r="I108" s="95" t="n"/>
      <c r="J108" s="95" t="n"/>
      <c r="K108" s="95" t="n"/>
      <c r="L108" s="96" t="n"/>
    </row>
    <row r="109">
      <c r="A109" s="96" t="n"/>
      <c r="B109" s="95">
        <f>IF(A109="","", "CTR-"&amp;TEXT(ROW()-5,"000"))</f>
        <v/>
      </c>
      <c r="C109" s="95" t="n"/>
      <c r="D109" s="95" t="n"/>
      <c r="E109" s="95" t="n"/>
      <c r="F109" s="95" t="n"/>
      <c r="G109" s="95" t="n"/>
      <c r="H109" s="95" t="n"/>
      <c r="I109" s="95" t="n"/>
      <c r="J109" s="95" t="n"/>
      <c r="K109" s="95" t="n"/>
      <c r="L109" s="96" t="n"/>
    </row>
    <row r="110">
      <c r="A110" s="96" t="n"/>
      <c r="B110" s="95">
        <f>IF(A110="","", "CTR-"&amp;TEXT(ROW()-5,"000"))</f>
        <v/>
      </c>
      <c r="C110" s="95" t="n"/>
      <c r="D110" s="95" t="n"/>
      <c r="E110" s="95" t="n"/>
      <c r="F110" s="95" t="n"/>
      <c r="G110" s="95" t="n"/>
      <c r="H110" s="95" t="n"/>
      <c r="I110" s="95" t="n"/>
      <c r="J110" s="95" t="n"/>
      <c r="K110" s="95" t="n"/>
      <c r="L110" s="96" t="n"/>
    </row>
    <row r="111">
      <c r="A111" s="96" t="n"/>
      <c r="B111" s="95">
        <f>IF(A111="","", "CTR-"&amp;TEXT(ROW()-5,"000"))</f>
        <v/>
      </c>
      <c r="C111" s="95" t="n"/>
      <c r="D111" s="95" t="n"/>
      <c r="E111" s="95" t="n"/>
      <c r="F111" s="95" t="n"/>
      <c r="G111" s="95" t="n"/>
      <c r="H111" s="95" t="n"/>
      <c r="I111" s="95" t="n"/>
      <c r="J111" s="95" t="n"/>
      <c r="K111" s="95" t="n"/>
      <c r="L111" s="96" t="n"/>
    </row>
    <row r="112">
      <c r="A112" s="96" t="n"/>
      <c r="B112" s="95">
        <f>IF(A112="","", "CTR-"&amp;TEXT(ROW()-5,"000"))</f>
        <v/>
      </c>
      <c r="C112" s="95" t="n"/>
      <c r="D112" s="95" t="n"/>
      <c r="E112" s="95" t="n"/>
      <c r="F112" s="95" t="n"/>
      <c r="G112" s="95" t="n"/>
      <c r="H112" s="95" t="n"/>
      <c r="I112" s="95" t="n"/>
      <c r="J112" s="95" t="n"/>
      <c r="K112" s="95" t="n"/>
      <c r="L112" s="96" t="n"/>
    </row>
    <row r="113">
      <c r="A113" s="96" t="n"/>
      <c r="B113" s="95">
        <f>IF(A113="","", "CTR-"&amp;TEXT(ROW()-5,"000"))</f>
        <v/>
      </c>
      <c r="C113" s="95" t="n"/>
      <c r="D113" s="95" t="n"/>
      <c r="E113" s="95" t="n"/>
      <c r="F113" s="95" t="n"/>
      <c r="G113" s="95" t="n"/>
      <c r="H113" s="95" t="n"/>
      <c r="I113" s="95" t="n"/>
      <c r="J113" s="95" t="n"/>
      <c r="K113" s="95" t="n"/>
      <c r="L113" s="96" t="n"/>
    </row>
    <row r="114">
      <c r="A114" s="96" t="n"/>
      <c r="B114" s="95">
        <f>IF(A114="","", "CTR-"&amp;TEXT(ROW()-5,"000"))</f>
        <v/>
      </c>
      <c r="C114" s="95" t="n"/>
      <c r="D114" s="95" t="n"/>
      <c r="E114" s="95" t="n"/>
      <c r="F114" s="95" t="n"/>
      <c r="G114" s="95" t="n"/>
      <c r="H114" s="95" t="n"/>
      <c r="I114" s="95" t="n"/>
      <c r="J114" s="95" t="n"/>
      <c r="K114" s="95" t="n"/>
      <c r="L114" s="96" t="n"/>
    </row>
    <row r="115">
      <c r="A115" s="96" t="n"/>
      <c r="B115" s="95">
        <f>IF(A115="","", "CTR-"&amp;TEXT(ROW()-5,"000"))</f>
        <v/>
      </c>
      <c r="C115" s="95" t="n"/>
      <c r="D115" s="95" t="n"/>
      <c r="E115" s="95" t="n"/>
      <c r="F115" s="95" t="n"/>
      <c r="G115" s="95" t="n"/>
      <c r="H115" s="95" t="n"/>
      <c r="I115" s="95" t="n"/>
      <c r="J115" s="95" t="n"/>
      <c r="K115" s="95" t="n"/>
      <c r="L115" s="96" t="n"/>
    </row>
    <row r="116">
      <c r="A116" s="96" t="n"/>
      <c r="B116" s="95">
        <f>IF(A116="","", "CTR-"&amp;TEXT(ROW()-5,"000"))</f>
        <v/>
      </c>
      <c r="C116" s="95" t="n"/>
      <c r="D116" s="95" t="n"/>
      <c r="E116" s="95" t="n"/>
      <c r="F116" s="95" t="n"/>
      <c r="G116" s="95" t="n"/>
      <c r="H116" s="95" t="n"/>
      <c r="I116" s="95" t="n"/>
      <c r="J116" s="95" t="n"/>
      <c r="K116" s="95" t="n"/>
      <c r="L116" s="96" t="n"/>
    </row>
    <row r="117">
      <c r="A117" s="96" t="n"/>
      <c r="B117" s="95">
        <f>IF(A117="","", "CTR-"&amp;TEXT(ROW()-5,"000"))</f>
        <v/>
      </c>
      <c r="C117" s="95" t="n"/>
      <c r="D117" s="95" t="n"/>
      <c r="E117" s="95" t="n"/>
      <c r="F117" s="95" t="n"/>
      <c r="G117" s="95" t="n"/>
      <c r="H117" s="95" t="n"/>
      <c r="I117" s="95" t="n"/>
      <c r="J117" s="95" t="n"/>
      <c r="K117" s="95" t="n"/>
      <c r="L117" s="96" t="n"/>
    </row>
    <row r="118">
      <c r="A118" s="96" t="n"/>
      <c r="B118" s="95">
        <f>IF(A118="","", "CTR-"&amp;TEXT(ROW()-5,"000"))</f>
        <v/>
      </c>
      <c r="C118" s="95" t="n"/>
      <c r="D118" s="95" t="n"/>
      <c r="E118" s="95" t="n"/>
      <c r="F118" s="95" t="n"/>
      <c r="G118" s="95" t="n"/>
      <c r="H118" s="95" t="n"/>
      <c r="I118" s="95" t="n"/>
      <c r="J118" s="95" t="n"/>
      <c r="K118" s="95" t="n"/>
      <c r="L118" s="96" t="n"/>
    </row>
    <row r="119">
      <c r="A119" s="96" t="n"/>
      <c r="B119" s="95">
        <f>IF(A119="","", "CTR-"&amp;TEXT(ROW()-5,"000"))</f>
        <v/>
      </c>
      <c r="C119" s="95" t="n"/>
      <c r="D119" s="95" t="n"/>
      <c r="E119" s="95" t="n"/>
      <c r="F119" s="95" t="n"/>
      <c r="G119" s="95" t="n"/>
      <c r="H119" s="95" t="n"/>
      <c r="I119" s="95" t="n"/>
      <c r="J119" s="95" t="n"/>
      <c r="K119" s="95" t="n"/>
      <c r="L119" s="96" t="n"/>
    </row>
    <row r="120">
      <c r="A120" s="96" t="n"/>
      <c r="B120" s="95">
        <f>IF(A120="","", "CTR-"&amp;TEXT(ROW()-5,"000"))</f>
        <v/>
      </c>
      <c r="C120" s="95" t="n"/>
      <c r="D120" s="95" t="n"/>
      <c r="E120" s="95" t="n"/>
      <c r="F120" s="95" t="n"/>
      <c r="G120" s="95" t="n"/>
      <c r="H120" s="95" t="n"/>
      <c r="I120" s="95" t="n"/>
      <c r="J120" s="95" t="n"/>
      <c r="K120" s="95" t="n"/>
      <c r="L120" s="96" t="n"/>
    </row>
    <row r="121">
      <c r="A121" s="96" t="n"/>
      <c r="B121" s="95">
        <f>IF(A121="","", "CTR-"&amp;TEXT(ROW()-5,"000"))</f>
        <v/>
      </c>
      <c r="C121" s="95" t="n"/>
      <c r="D121" s="95" t="n"/>
      <c r="E121" s="95" t="n"/>
      <c r="F121" s="95" t="n"/>
      <c r="G121" s="95" t="n"/>
      <c r="H121" s="95" t="n"/>
      <c r="I121" s="95" t="n"/>
      <c r="J121" s="95" t="n"/>
      <c r="K121" s="95" t="n"/>
      <c r="L121" s="96" t="n"/>
    </row>
    <row r="122">
      <c r="A122" s="96" t="n"/>
      <c r="B122" s="95">
        <f>IF(A122="","", "CTR-"&amp;TEXT(ROW()-5,"000"))</f>
        <v/>
      </c>
      <c r="C122" s="95" t="n"/>
      <c r="D122" s="95" t="n"/>
      <c r="E122" s="95" t="n"/>
      <c r="F122" s="95" t="n"/>
      <c r="G122" s="95" t="n"/>
      <c r="H122" s="95" t="n"/>
      <c r="I122" s="95" t="n"/>
      <c r="J122" s="95" t="n"/>
      <c r="K122" s="95" t="n"/>
      <c r="L122" s="96" t="n"/>
    </row>
    <row r="123">
      <c r="A123" s="96" t="n"/>
      <c r="B123" s="95">
        <f>IF(A123="","", "CTR-"&amp;TEXT(ROW()-5,"000"))</f>
        <v/>
      </c>
      <c r="C123" s="95" t="n"/>
      <c r="D123" s="95" t="n"/>
      <c r="E123" s="95" t="n"/>
      <c r="F123" s="95" t="n"/>
      <c r="G123" s="95" t="n"/>
      <c r="H123" s="95" t="n"/>
      <c r="I123" s="95" t="n"/>
      <c r="J123" s="95" t="n"/>
      <c r="K123" s="95" t="n"/>
      <c r="L123" s="96" t="n"/>
    </row>
    <row r="124">
      <c r="A124" s="96" t="n"/>
      <c r="B124" s="95">
        <f>IF(A124="","", "CTR-"&amp;TEXT(ROW()-5,"000"))</f>
        <v/>
      </c>
      <c r="C124" s="95" t="n"/>
      <c r="D124" s="95" t="n"/>
      <c r="E124" s="95" t="n"/>
      <c r="F124" s="95" t="n"/>
      <c r="G124" s="95" t="n"/>
      <c r="H124" s="95" t="n"/>
      <c r="I124" s="95" t="n"/>
      <c r="J124" s="95" t="n"/>
      <c r="K124" s="95" t="n"/>
      <c r="L124" s="96" t="n"/>
    </row>
    <row r="125">
      <c r="A125" s="96" t="n"/>
      <c r="B125" s="95">
        <f>IF(A125="","", "CTR-"&amp;TEXT(ROW()-5,"000"))</f>
        <v/>
      </c>
      <c r="C125" s="95" t="n"/>
      <c r="D125" s="95" t="n"/>
      <c r="E125" s="95" t="n"/>
      <c r="F125" s="95" t="n"/>
      <c r="G125" s="95" t="n"/>
      <c r="H125" s="95" t="n"/>
      <c r="I125" s="95" t="n"/>
      <c r="J125" s="95" t="n"/>
      <c r="K125" s="95" t="n"/>
      <c r="L125" s="96" t="n"/>
    </row>
    <row r="126">
      <c r="A126" s="96" t="n"/>
      <c r="B126" s="95">
        <f>IF(A126="","", "CTR-"&amp;TEXT(ROW()-5,"000"))</f>
        <v/>
      </c>
      <c r="C126" s="95" t="n"/>
      <c r="D126" s="95" t="n"/>
      <c r="E126" s="95" t="n"/>
      <c r="F126" s="95" t="n"/>
      <c r="G126" s="95" t="n"/>
      <c r="H126" s="95" t="n"/>
      <c r="I126" s="95" t="n"/>
      <c r="J126" s="95" t="n"/>
      <c r="K126" s="95" t="n"/>
      <c r="L126" s="96" t="n"/>
    </row>
    <row r="127">
      <c r="A127" s="96" t="n"/>
      <c r="B127" s="95">
        <f>IF(A127="","", "CTR-"&amp;TEXT(ROW()-5,"000"))</f>
        <v/>
      </c>
      <c r="C127" s="95" t="n"/>
      <c r="D127" s="95" t="n"/>
      <c r="E127" s="95" t="n"/>
      <c r="F127" s="95" t="n"/>
      <c r="G127" s="95" t="n"/>
      <c r="H127" s="95" t="n"/>
      <c r="I127" s="95" t="n"/>
      <c r="J127" s="95" t="n"/>
      <c r="K127" s="95" t="n"/>
      <c r="L127" s="96" t="n"/>
    </row>
    <row r="128">
      <c r="A128" s="96" t="n"/>
      <c r="B128" s="95">
        <f>IF(A128="","", "CTR-"&amp;TEXT(ROW()-5,"000"))</f>
        <v/>
      </c>
      <c r="C128" s="95" t="n"/>
      <c r="D128" s="95" t="n"/>
      <c r="E128" s="95" t="n"/>
      <c r="F128" s="95" t="n"/>
      <c r="G128" s="95" t="n"/>
      <c r="H128" s="95" t="n"/>
      <c r="I128" s="95" t="n"/>
      <c r="J128" s="95" t="n"/>
      <c r="K128" s="95" t="n"/>
      <c r="L128" s="96" t="n"/>
    </row>
    <row r="129">
      <c r="A129" s="96" t="n"/>
      <c r="B129" s="95">
        <f>IF(A129="","", "CTR-"&amp;TEXT(ROW()-5,"000"))</f>
        <v/>
      </c>
      <c r="C129" s="95" t="n"/>
      <c r="D129" s="95" t="n"/>
      <c r="E129" s="95" t="n"/>
      <c r="F129" s="95" t="n"/>
      <c r="G129" s="95" t="n"/>
      <c r="H129" s="95" t="n"/>
      <c r="I129" s="95" t="n"/>
      <c r="J129" s="95" t="n"/>
      <c r="K129" s="95" t="n"/>
      <c r="L129" s="96" t="n"/>
    </row>
    <row r="130">
      <c r="A130" s="96" t="n"/>
      <c r="B130" s="95">
        <f>IF(A130="","", "CTR-"&amp;TEXT(ROW()-5,"000"))</f>
        <v/>
      </c>
      <c r="C130" s="95" t="n"/>
      <c r="D130" s="95" t="n"/>
      <c r="E130" s="95" t="n"/>
      <c r="F130" s="95" t="n"/>
      <c r="G130" s="95" t="n"/>
      <c r="H130" s="95" t="n"/>
      <c r="I130" s="95" t="n"/>
      <c r="J130" s="95" t="n"/>
      <c r="K130" s="95" t="n"/>
      <c r="L130" s="96" t="n"/>
    </row>
    <row r="131">
      <c r="A131" s="96" t="n"/>
      <c r="B131" s="95">
        <f>IF(A131="","", "CTR-"&amp;TEXT(ROW()-5,"000"))</f>
        <v/>
      </c>
      <c r="C131" s="95" t="n"/>
      <c r="D131" s="95" t="n"/>
      <c r="E131" s="95" t="n"/>
      <c r="F131" s="95" t="n"/>
      <c r="G131" s="95" t="n"/>
      <c r="H131" s="95" t="n"/>
      <c r="I131" s="95" t="n"/>
      <c r="J131" s="95" t="n"/>
      <c r="K131" s="95" t="n"/>
      <c r="L131" s="96" t="n"/>
    </row>
    <row r="132">
      <c r="A132" s="96" t="n"/>
      <c r="B132" s="95">
        <f>IF(A132="","", "CTR-"&amp;TEXT(ROW()-5,"000"))</f>
        <v/>
      </c>
      <c r="C132" s="95" t="n"/>
      <c r="D132" s="95" t="n"/>
      <c r="E132" s="95" t="n"/>
      <c r="F132" s="95" t="n"/>
      <c r="G132" s="95" t="n"/>
      <c r="H132" s="95" t="n"/>
      <c r="I132" s="95" t="n"/>
      <c r="J132" s="95" t="n"/>
      <c r="K132" s="95" t="n"/>
      <c r="L132" s="96" t="n"/>
    </row>
    <row r="133">
      <c r="A133" s="96" t="n"/>
      <c r="B133" s="95">
        <f>IF(A133="","", "CTR-"&amp;TEXT(ROW()-5,"000"))</f>
        <v/>
      </c>
      <c r="C133" s="95" t="n"/>
      <c r="D133" s="95" t="n"/>
      <c r="E133" s="95" t="n"/>
      <c r="F133" s="95" t="n"/>
      <c r="G133" s="95" t="n"/>
      <c r="H133" s="95" t="n"/>
      <c r="I133" s="95" t="n"/>
      <c r="J133" s="95" t="n"/>
      <c r="K133" s="95" t="n"/>
      <c r="L133" s="96" t="n"/>
    </row>
    <row r="134">
      <c r="A134" s="96" t="n"/>
      <c r="B134" s="95">
        <f>IF(A134="","", "CTR-"&amp;TEXT(ROW()-5,"000"))</f>
        <v/>
      </c>
      <c r="C134" s="95" t="n"/>
      <c r="D134" s="95" t="n"/>
      <c r="E134" s="95" t="n"/>
      <c r="F134" s="95" t="n"/>
      <c r="G134" s="95" t="n"/>
      <c r="H134" s="95" t="n"/>
      <c r="I134" s="95" t="n"/>
      <c r="J134" s="95" t="n"/>
      <c r="K134" s="95" t="n"/>
      <c r="L134" s="96" t="n"/>
    </row>
    <row r="135">
      <c r="A135" s="96" t="n"/>
      <c r="B135" s="95">
        <f>IF(A135="","", "CTR-"&amp;TEXT(ROW()-5,"000"))</f>
        <v/>
      </c>
      <c r="C135" s="95" t="n"/>
      <c r="D135" s="95" t="n"/>
      <c r="E135" s="95" t="n"/>
      <c r="F135" s="95" t="n"/>
      <c r="G135" s="95" t="n"/>
      <c r="H135" s="95" t="n"/>
      <c r="I135" s="95" t="n"/>
      <c r="J135" s="95" t="n"/>
      <c r="K135" s="95" t="n"/>
      <c r="L135" s="96" t="n"/>
    </row>
    <row r="136">
      <c r="A136" s="96" t="n"/>
      <c r="B136" s="95">
        <f>IF(A136="","", "CTR-"&amp;TEXT(ROW()-5,"000"))</f>
        <v/>
      </c>
      <c r="C136" s="95" t="n"/>
      <c r="D136" s="95" t="n"/>
      <c r="E136" s="95" t="n"/>
      <c r="F136" s="95" t="n"/>
      <c r="G136" s="95" t="n"/>
      <c r="H136" s="95" t="n"/>
      <c r="I136" s="95" t="n"/>
      <c r="J136" s="95" t="n"/>
      <c r="K136" s="95" t="n"/>
      <c r="L136" s="96" t="n"/>
    </row>
    <row r="137">
      <c r="A137" s="96" t="n"/>
      <c r="B137" s="95">
        <f>IF(A137="","", "CTR-"&amp;TEXT(ROW()-5,"000"))</f>
        <v/>
      </c>
      <c r="C137" s="95" t="n"/>
      <c r="D137" s="95" t="n"/>
      <c r="E137" s="95" t="n"/>
      <c r="F137" s="95" t="n"/>
      <c r="G137" s="95" t="n"/>
      <c r="H137" s="95" t="n"/>
      <c r="I137" s="95" t="n"/>
      <c r="J137" s="95" t="n"/>
      <c r="K137" s="95" t="n"/>
      <c r="L137" s="96" t="n"/>
    </row>
    <row r="138">
      <c r="A138" s="96" t="n"/>
      <c r="B138" s="95">
        <f>IF(A138="","", "CTR-"&amp;TEXT(ROW()-5,"000"))</f>
        <v/>
      </c>
      <c r="C138" s="95" t="n"/>
      <c r="D138" s="95" t="n"/>
      <c r="E138" s="95" t="n"/>
      <c r="F138" s="95" t="n"/>
      <c r="G138" s="95" t="n"/>
      <c r="H138" s="95" t="n"/>
      <c r="I138" s="95" t="n"/>
      <c r="J138" s="95" t="n"/>
      <c r="K138" s="95" t="n"/>
      <c r="L138" s="96" t="n"/>
    </row>
    <row r="139">
      <c r="A139" s="96" t="n"/>
      <c r="B139" s="95">
        <f>IF(A139="","", "CTR-"&amp;TEXT(ROW()-5,"000"))</f>
        <v/>
      </c>
      <c r="C139" s="95" t="n"/>
      <c r="D139" s="95" t="n"/>
      <c r="E139" s="95" t="n"/>
      <c r="F139" s="95" t="n"/>
      <c r="G139" s="95" t="n"/>
      <c r="H139" s="95" t="n"/>
      <c r="I139" s="95" t="n"/>
      <c r="J139" s="95" t="n"/>
      <c r="K139" s="95" t="n"/>
      <c r="L139" s="96" t="n"/>
    </row>
    <row r="140">
      <c r="A140" s="96" t="n"/>
      <c r="B140" s="95">
        <f>IF(A140="","", "CTR-"&amp;TEXT(ROW()-5,"000"))</f>
        <v/>
      </c>
      <c r="C140" s="95" t="n"/>
      <c r="D140" s="95" t="n"/>
      <c r="E140" s="95" t="n"/>
      <c r="F140" s="95" t="n"/>
      <c r="G140" s="95" t="n"/>
      <c r="H140" s="95" t="n"/>
      <c r="I140" s="95" t="n"/>
      <c r="J140" s="95" t="n"/>
      <c r="K140" s="95" t="n"/>
      <c r="L140" s="96" t="n"/>
    </row>
    <row r="141">
      <c r="A141" s="96" t="n"/>
      <c r="B141" s="95">
        <f>IF(A141="","", "CTR-"&amp;TEXT(ROW()-5,"000"))</f>
        <v/>
      </c>
      <c r="C141" s="95" t="n"/>
      <c r="D141" s="95" t="n"/>
      <c r="E141" s="95" t="n"/>
      <c r="F141" s="95" t="n"/>
      <c r="G141" s="95" t="n"/>
      <c r="H141" s="95" t="n"/>
      <c r="I141" s="95" t="n"/>
      <c r="J141" s="95" t="n"/>
      <c r="K141" s="95" t="n"/>
      <c r="L141" s="96" t="n"/>
    </row>
    <row r="142">
      <c r="A142" s="96" t="n"/>
      <c r="B142" s="95">
        <f>IF(A142="","", "CTR-"&amp;TEXT(ROW()-5,"000"))</f>
        <v/>
      </c>
      <c r="C142" s="95" t="n"/>
      <c r="D142" s="95" t="n"/>
      <c r="E142" s="95" t="n"/>
      <c r="F142" s="95" t="n"/>
      <c r="G142" s="95" t="n"/>
      <c r="H142" s="95" t="n"/>
      <c r="I142" s="95" t="n"/>
      <c r="J142" s="95" t="n"/>
      <c r="K142" s="95" t="n"/>
      <c r="L142" s="96" t="n"/>
    </row>
    <row r="143">
      <c r="A143" s="96" t="n"/>
      <c r="B143" s="95">
        <f>IF(A143="","", "CTR-"&amp;TEXT(ROW()-5,"000"))</f>
        <v/>
      </c>
      <c r="C143" s="95" t="n"/>
      <c r="D143" s="95" t="n"/>
      <c r="E143" s="95" t="n"/>
      <c r="F143" s="95" t="n"/>
      <c r="G143" s="95" t="n"/>
      <c r="H143" s="95" t="n"/>
      <c r="I143" s="95" t="n"/>
      <c r="J143" s="95" t="n"/>
      <c r="K143" s="95" t="n"/>
      <c r="L143" s="96" t="n"/>
    </row>
    <row r="144">
      <c r="A144" s="96" t="n"/>
      <c r="B144" s="95">
        <f>IF(A144="","", "CTR-"&amp;TEXT(ROW()-5,"000"))</f>
        <v/>
      </c>
      <c r="C144" s="95" t="n"/>
      <c r="D144" s="95" t="n"/>
      <c r="E144" s="95" t="n"/>
      <c r="F144" s="95" t="n"/>
      <c r="G144" s="95" t="n"/>
      <c r="H144" s="95" t="n"/>
      <c r="I144" s="95" t="n"/>
      <c r="J144" s="95" t="n"/>
      <c r="K144" s="95" t="n"/>
      <c r="L144" s="96" t="n"/>
    </row>
    <row r="145">
      <c r="A145" s="96" t="n"/>
      <c r="B145" s="95">
        <f>IF(A145="","", "CTR-"&amp;TEXT(ROW()-5,"000"))</f>
        <v/>
      </c>
      <c r="C145" s="95" t="n"/>
      <c r="D145" s="95" t="n"/>
      <c r="E145" s="95" t="n"/>
      <c r="F145" s="95" t="n"/>
      <c r="G145" s="95" t="n"/>
      <c r="H145" s="95" t="n"/>
      <c r="I145" s="95" t="n"/>
      <c r="J145" s="95" t="n"/>
      <c r="K145" s="95" t="n"/>
      <c r="L145" s="96" t="n"/>
    </row>
    <row r="146">
      <c r="A146" s="96" t="n"/>
      <c r="B146" s="95">
        <f>IF(A146="","", "CTR-"&amp;TEXT(ROW()-5,"000"))</f>
        <v/>
      </c>
      <c r="C146" s="95" t="n"/>
      <c r="D146" s="95" t="n"/>
      <c r="E146" s="95" t="n"/>
      <c r="F146" s="95" t="n"/>
      <c r="G146" s="95" t="n"/>
      <c r="H146" s="95" t="n"/>
      <c r="I146" s="95" t="n"/>
      <c r="J146" s="95" t="n"/>
      <c r="K146" s="95" t="n"/>
      <c r="L146" s="96" t="n"/>
    </row>
    <row r="147">
      <c r="A147" s="96" t="n"/>
      <c r="B147" s="95">
        <f>IF(A147="","", "CTR-"&amp;TEXT(ROW()-5,"000"))</f>
        <v/>
      </c>
      <c r="C147" s="95" t="n"/>
      <c r="D147" s="95" t="n"/>
      <c r="E147" s="95" t="n"/>
      <c r="F147" s="95" t="n"/>
      <c r="G147" s="95" t="n"/>
      <c r="H147" s="95" t="n"/>
      <c r="I147" s="95" t="n"/>
      <c r="J147" s="95" t="n"/>
      <c r="K147" s="95" t="n"/>
      <c r="L147" s="96" t="n"/>
    </row>
    <row r="148">
      <c r="A148" s="96" t="n"/>
      <c r="B148" s="95">
        <f>IF(A148="","", "CTR-"&amp;TEXT(ROW()-5,"000"))</f>
        <v/>
      </c>
      <c r="C148" s="95" t="n"/>
      <c r="D148" s="95" t="n"/>
      <c r="E148" s="95" t="n"/>
      <c r="F148" s="95" t="n"/>
      <c r="G148" s="95" t="n"/>
      <c r="H148" s="95" t="n"/>
      <c r="I148" s="95" t="n"/>
      <c r="J148" s="95" t="n"/>
      <c r="K148" s="95" t="n"/>
      <c r="L148" s="96" t="n"/>
    </row>
    <row r="149">
      <c r="A149" s="96" t="n"/>
      <c r="B149" s="95">
        <f>IF(A149="","", "CTR-"&amp;TEXT(ROW()-5,"000"))</f>
        <v/>
      </c>
      <c r="C149" s="95" t="n"/>
      <c r="D149" s="95" t="n"/>
      <c r="E149" s="95" t="n"/>
      <c r="F149" s="95" t="n"/>
      <c r="G149" s="95" t="n"/>
      <c r="H149" s="95" t="n"/>
      <c r="I149" s="95" t="n"/>
      <c r="J149" s="95" t="n"/>
      <c r="K149" s="95" t="n"/>
      <c r="L149" s="96" t="n"/>
    </row>
    <row r="150">
      <c r="A150" s="96" t="n"/>
      <c r="B150" s="95">
        <f>IF(A150="","", "CTR-"&amp;TEXT(ROW()-5,"000"))</f>
        <v/>
      </c>
      <c r="C150" s="95" t="n"/>
      <c r="D150" s="95" t="n"/>
      <c r="E150" s="95" t="n"/>
      <c r="F150" s="95" t="n"/>
      <c r="G150" s="95" t="n"/>
      <c r="H150" s="95" t="n"/>
      <c r="I150" s="95" t="n"/>
      <c r="J150" s="95" t="n"/>
      <c r="K150" s="95" t="n"/>
      <c r="L150" s="96" t="n"/>
    </row>
    <row r="151">
      <c r="A151" s="96" t="n"/>
      <c r="B151" s="95">
        <f>IF(A151="","", "CTR-"&amp;TEXT(ROW()-5,"000"))</f>
        <v/>
      </c>
      <c r="C151" s="95" t="n"/>
      <c r="D151" s="95" t="n"/>
      <c r="E151" s="95" t="n"/>
      <c r="F151" s="95" t="n"/>
      <c r="G151" s="95" t="n"/>
      <c r="H151" s="95" t="n"/>
      <c r="I151" s="95" t="n"/>
      <c r="J151" s="95" t="n"/>
      <c r="K151" s="95" t="n"/>
      <c r="L151" s="96" t="n"/>
    </row>
    <row r="152">
      <c r="A152" s="96" t="n"/>
      <c r="B152" s="95">
        <f>IF(A152="","", "CTR-"&amp;TEXT(ROW()-5,"000"))</f>
        <v/>
      </c>
      <c r="C152" s="95" t="n"/>
      <c r="D152" s="95" t="n"/>
      <c r="E152" s="95" t="n"/>
      <c r="F152" s="95" t="n"/>
      <c r="G152" s="95" t="n"/>
      <c r="H152" s="95" t="n"/>
      <c r="I152" s="95" t="n"/>
      <c r="J152" s="95" t="n"/>
      <c r="K152" s="95" t="n"/>
      <c r="L152" s="96" t="n"/>
    </row>
    <row r="153">
      <c r="A153" s="96" t="n"/>
      <c r="B153" s="95">
        <f>IF(A153="","", "CTR-"&amp;TEXT(ROW()-5,"000"))</f>
        <v/>
      </c>
      <c r="C153" s="95" t="n"/>
      <c r="D153" s="95" t="n"/>
      <c r="E153" s="95" t="n"/>
      <c r="F153" s="95" t="n"/>
      <c r="G153" s="95" t="n"/>
      <c r="H153" s="95" t="n"/>
      <c r="I153" s="95" t="n"/>
      <c r="J153" s="95" t="n"/>
      <c r="K153" s="95" t="n"/>
      <c r="L153" s="96" t="n"/>
    </row>
    <row r="154">
      <c r="A154" s="96" t="n"/>
      <c r="B154" s="95">
        <f>IF(A154="","", "CTR-"&amp;TEXT(ROW()-5,"000"))</f>
        <v/>
      </c>
      <c r="C154" s="95" t="n"/>
      <c r="D154" s="95" t="n"/>
      <c r="E154" s="95" t="n"/>
      <c r="F154" s="95" t="n"/>
      <c r="G154" s="95" t="n"/>
      <c r="H154" s="95" t="n"/>
      <c r="I154" s="95" t="n"/>
      <c r="J154" s="95" t="n"/>
      <c r="K154" s="95" t="n"/>
      <c r="L154" s="96" t="n"/>
    </row>
    <row r="155">
      <c r="A155" s="96" t="n"/>
      <c r="B155" s="95">
        <f>IF(A155="","", "CTR-"&amp;TEXT(ROW()-5,"000"))</f>
        <v/>
      </c>
      <c r="C155" s="95" t="n"/>
      <c r="D155" s="95" t="n"/>
      <c r="E155" s="95" t="n"/>
      <c r="F155" s="95" t="n"/>
      <c r="G155" s="95" t="n"/>
      <c r="H155" s="95" t="n"/>
      <c r="I155" s="95" t="n"/>
      <c r="J155" s="95" t="n"/>
      <c r="K155" s="95" t="n"/>
      <c r="L155" s="96" t="n"/>
    </row>
    <row r="156">
      <c r="A156" s="96" t="n"/>
      <c r="B156" s="95">
        <f>IF(A156="","", "CTR-"&amp;TEXT(ROW()-5,"000"))</f>
        <v/>
      </c>
      <c r="C156" s="95" t="n"/>
      <c r="D156" s="95" t="n"/>
      <c r="E156" s="95" t="n"/>
      <c r="F156" s="95" t="n"/>
      <c r="G156" s="95" t="n"/>
      <c r="H156" s="95" t="n"/>
      <c r="I156" s="95" t="n"/>
      <c r="J156" s="95" t="n"/>
      <c r="K156" s="95" t="n"/>
      <c r="L156" s="96" t="n"/>
    </row>
    <row r="157">
      <c r="A157" s="96" t="n"/>
      <c r="B157" s="95">
        <f>IF(A157="","", "CTR-"&amp;TEXT(ROW()-5,"000"))</f>
        <v/>
      </c>
      <c r="C157" s="95" t="n"/>
      <c r="D157" s="95" t="n"/>
      <c r="E157" s="95" t="n"/>
      <c r="F157" s="95" t="n"/>
      <c r="G157" s="95" t="n"/>
      <c r="H157" s="95" t="n"/>
      <c r="I157" s="95" t="n"/>
      <c r="J157" s="95" t="n"/>
      <c r="K157" s="95" t="n"/>
      <c r="L157" s="96" t="n"/>
    </row>
    <row r="158">
      <c r="A158" s="96" t="n"/>
      <c r="B158" s="95">
        <f>IF(A158="","", "CTR-"&amp;TEXT(ROW()-5,"000"))</f>
        <v/>
      </c>
      <c r="C158" s="95" t="n"/>
      <c r="D158" s="95" t="n"/>
      <c r="E158" s="95" t="n"/>
      <c r="F158" s="95" t="n"/>
      <c r="G158" s="95" t="n"/>
      <c r="H158" s="95" t="n"/>
      <c r="I158" s="95" t="n"/>
      <c r="J158" s="95" t="n"/>
      <c r="K158" s="95" t="n"/>
      <c r="L158" s="96" t="n"/>
    </row>
    <row r="159">
      <c r="A159" s="96" t="n"/>
      <c r="B159" s="95">
        <f>IF(A159="","", "CTR-"&amp;TEXT(ROW()-5,"000"))</f>
        <v/>
      </c>
      <c r="C159" s="95" t="n"/>
      <c r="D159" s="95" t="n"/>
      <c r="E159" s="95" t="n"/>
      <c r="F159" s="95" t="n"/>
      <c r="G159" s="95" t="n"/>
      <c r="H159" s="95" t="n"/>
      <c r="I159" s="95" t="n"/>
      <c r="J159" s="95" t="n"/>
      <c r="K159" s="95" t="n"/>
      <c r="L159" s="96" t="n"/>
    </row>
    <row r="160">
      <c r="A160" s="96" t="n"/>
      <c r="B160" s="95">
        <f>IF(A160="","", "CTR-"&amp;TEXT(ROW()-5,"000"))</f>
        <v/>
      </c>
      <c r="C160" s="95" t="n"/>
      <c r="D160" s="95" t="n"/>
      <c r="E160" s="95" t="n"/>
      <c r="F160" s="95" t="n"/>
      <c r="G160" s="95" t="n"/>
      <c r="H160" s="95" t="n"/>
      <c r="I160" s="95" t="n"/>
      <c r="J160" s="95" t="n"/>
      <c r="K160" s="95" t="n"/>
      <c r="L160" s="96" t="n"/>
    </row>
    <row r="161">
      <c r="A161" s="96" t="n"/>
      <c r="B161" s="95">
        <f>IF(A161="","", "CTR-"&amp;TEXT(ROW()-5,"000"))</f>
        <v/>
      </c>
      <c r="C161" s="95" t="n"/>
      <c r="D161" s="95" t="n"/>
      <c r="E161" s="95" t="n"/>
      <c r="F161" s="95" t="n"/>
      <c r="G161" s="95" t="n"/>
      <c r="H161" s="95" t="n"/>
      <c r="I161" s="95" t="n"/>
      <c r="J161" s="95" t="n"/>
      <c r="K161" s="95" t="n"/>
      <c r="L161" s="96" t="n"/>
    </row>
    <row r="162">
      <c r="A162" s="96" t="n"/>
      <c r="B162" s="95">
        <f>IF(A162="","", "CTR-"&amp;TEXT(ROW()-5,"000"))</f>
        <v/>
      </c>
      <c r="C162" s="95" t="n"/>
      <c r="D162" s="95" t="n"/>
      <c r="E162" s="95" t="n"/>
      <c r="F162" s="95" t="n"/>
      <c r="G162" s="95" t="n"/>
      <c r="H162" s="95" t="n"/>
      <c r="I162" s="95" t="n"/>
      <c r="J162" s="95" t="n"/>
      <c r="K162" s="95" t="n"/>
      <c r="L162" s="96" t="n"/>
    </row>
    <row r="163">
      <c r="A163" s="96" t="n"/>
      <c r="B163" s="95">
        <f>IF(A163="","", "CTR-"&amp;TEXT(ROW()-5,"000"))</f>
        <v/>
      </c>
      <c r="C163" s="95" t="n"/>
      <c r="D163" s="95" t="n"/>
      <c r="E163" s="95" t="n"/>
      <c r="F163" s="95" t="n"/>
      <c r="G163" s="95" t="n"/>
      <c r="H163" s="95" t="n"/>
      <c r="I163" s="95" t="n"/>
      <c r="J163" s="95" t="n"/>
      <c r="K163" s="95" t="n"/>
      <c r="L163" s="96" t="n"/>
    </row>
    <row r="164">
      <c r="A164" s="96" t="n"/>
      <c r="B164" s="95">
        <f>IF(A164="","", "CTR-"&amp;TEXT(ROW()-5,"000"))</f>
        <v/>
      </c>
      <c r="C164" s="95" t="n"/>
      <c r="D164" s="95" t="n"/>
      <c r="E164" s="95" t="n"/>
      <c r="F164" s="95" t="n"/>
      <c r="G164" s="95" t="n"/>
      <c r="H164" s="95" t="n"/>
      <c r="I164" s="95" t="n"/>
      <c r="J164" s="95" t="n"/>
      <c r="K164" s="95" t="n"/>
      <c r="L164" s="96" t="n"/>
    </row>
    <row r="165">
      <c r="A165" s="96" t="n"/>
      <c r="B165" s="95">
        <f>IF(A165="","", "CTR-"&amp;TEXT(ROW()-5,"000"))</f>
        <v/>
      </c>
      <c r="C165" s="95" t="n"/>
      <c r="D165" s="95" t="n"/>
      <c r="E165" s="95" t="n"/>
      <c r="F165" s="95" t="n"/>
      <c r="G165" s="95" t="n"/>
      <c r="H165" s="95" t="n"/>
      <c r="I165" s="95" t="n"/>
      <c r="J165" s="95" t="n"/>
      <c r="K165" s="95" t="n"/>
      <c r="L165" s="96" t="n"/>
    </row>
    <row r="166">
      <c r="A166" s="96" t="n"/>
      <c r="B166" s="95">
        <f>IF(A166="","", "CTR-"&amp;TEXT(ROW()-5,"000"))</f>
        <v/>
      </c>
      <c r="C166" s="95" t="n"/>
      <c r="D166" s="95" t="n"/>
      <c r="E166" s="95" t="n"/>
      <c r="F166" s="95" t="n"/>
      <c r="G166" s="95" t="n"/>
      <c r="H166" s="95" t="n"/>
      <c r="I166" s="95" t="n"/>
      <c r="J166" s="95" t="n"/>
      <c r="K166" s="95" t="n"/>
      <c r="L166" s="96" t="n"/>
    </row>
    <row r="167">
      <c r="A167" s="96" t="n"/>
      <c r="B167" s="95">
        <f>IF(A167="","", "CTR-"&amp;TEXT(ROW()-5,"000"))</f>
        <v/>
      </c>
      <c r="C167" s="95" t="n"/>
      <c r="D167" s="95" t="n"/>
      <c r="E167" s="95" t="n"/>
      <c r="F167" s="95" t="n"/>
      <c r="G167" s="95" t="n"/>
      <c r="H167" s="95" t="n"/>
      <c r="I167" s="95" t="n"/>
      <c r="J167" s="95" t="n"/>
      <c r="K167" s="95" t="n"/>
      <c r="L167" s="96" t="n"/>
    </row>
    <row r="168">
      <c r="A168" s="96" t="n"/>
      <c r="B168" s="95">
        <f>IF(A168="","", "CTR-"&amp;TEXT(ROW()-5,"000"))</f>
        <v/>
      </c>
      <c r="C168" s="95" t="n"/>
      <c r="D168" s="95" t="n"/>
      <c r="E168" s="95" t="n"/>
      <c r="F168" s="95" t="n"/>
      <c r="G168" s="95" t="n"/>
      <c r="H168" s="95" t="n"/>
      <c r="I168" s="95" t="n"/>
      <c r="J168" s="95" t="n"/>
      <c r="K168" s="95" t="n"/>
      <c r="L168" s="96" t="n"/>
    </row>
    <row r="169">
      <c r="A169" s="96" t="n"/>
      <c r="B169" s="95">
        <f>IF(A169="","", "CTR-"&amp;TEXT(ROW()-5,"000"))</f>
        <v/>
      </c>
      <c r="C169" s="95" t="n"/>
      <c r="D169" s="95" t="n"/>
      <c r="E169" s="95" t="n"/>
      <c r="F169" s="95" t="n"/>
      <c r="G169" s="95" t="n"/>
      <c r="H169" s="95" t="n"/>
      <c r="I169" s="95" t="n"/>
      <c r="J169" s="95" t="n"/>
      <c r="K169" s="95" t="n"/>
      <c r="L169" s="96" t="n"/>
    </row>
    <row r="170">
      <c r="A170" s="96" t="n"/>
      <c r="B170" s="95">
        <f>IF(A170="","", "CTR-"&amp;TEXT(ROW()-5,"000"))</f>
        <v/>
      </c>
      <c r="C170" s="95" t="n"/>
      <c r="D170" s="95" t="n"/>
      <c r="E170" s="95" t="n"/>
      <c r="F170" s="95" t="n"/>
      <c r="G170" s="95" t="n"/>
      <c r="H170" s="95" t="n"/>
      <c r="I170" s="95" t="n"/>
      <c r="J170" s="95" t="n"/>
      <c r="K170" s="95" t="n"/>
      <c r="L170" s="96" t="n"/>
    </row>
    <row r="171">
      <c r="A171" s="96" t="n"/>
      <c r="B171" s="95">
        <f>IF(A171="","", "CTR-"&amp;TEXT(ROW()-5,"000"))</f>
        <v/>
      </c>
      <c r="C171" s="95" t="n"/>
      <c r="D171" s="95" t="n"/>
      <c r="E171" s="95" t="n"/>
      <c r="F171" s="95" t="n"/>
      <c r="G171" s="95" t="n"/>
      <c r="H171" s="95" t="n"/>
      <c r="I171" s="95" t="n"/>
      <c r="J171" s="95" t="n"/>
      <c r="K171" s="95" t="n"/>
      <c r="L171" s="96" t="n"/>
    </row>
    <row r="172">
      <c r="A172" s="96" t="n"/>
      <c r="B172" s="95">
        <f>IF(A172="","", "CTR-"&amp;TEXT(ROW()-5,"000"))</f>
        <v/>
      </c>
      <c r="C172" s="95" t="n"/>
      <c r="D172" s="95" t="n"/>
      <c r="E172" s="95" t="n"/>
      <c r="F172" s="95" t="n"/>
      <c r="G172" s="95" t="n"/>
      <c r="H172" s="95" t="n"/>
      <c r="I172" s="95" t="n"/>
      <c r="J172" s="95" t="n"/>
      <c r="K172" s="95" t="n"/>
      <c r="L172" s="96" t="n"/>
    </row>
    <row r="173">
      <c r="A173" s="96" t="n"/>
      <c r="B173" s="95">
        <f>IF(A173="","", "CTR-"&amp;TEXT(ROW()-5,"000"))</f>
        <v/>
      </c>
      <c r="C173" s="95" t="n"/>
      <c r="D173" s="95" t="n"/>
      <c r="E173" s="95" t="n"/>
      <c r="F173" s="95" t="n"/>
      <c r="G173" s="95" t="n"/>
      <c r="H173" s="95" t="n"/>
      <c r="I173" s="95" t="n"/>
      <c r="J173" s="95" t="n"/>
      <c r="K173" s="95" t="n"/>
      <c r="L173" s="96" t="n"/>
    </row>
    <row r="174">
      <c r="A174" s="96" t="n"/>
      <c r="B174" s="95">
        <f>IF(A174="","", "CTR-"&amp;TEXT(ROW()-5,"000"))</f>
        <v/>
      </c>
      <c r="C174" s="95" t="n"/>
      <c r="D174" s="95" t="n"/>
      <c r="E174" s="95" t="n"/>
      <c r="F174" s="95" t="n"/>
      <c r="G174" s="95" t="n"/>
      <c r="H174" s="95" t="n"/>
      <c r="I174" s="95" t="n"/>
      <c r="J174" s="95" t="n"/>
      <c r="K174" s="95" t="n"/>
      <c r="L174" s="96" t="n"/>
    </row>
    <row r="175">
      <c r="A175" s="96" t="n"/>
      <c r="B175" s="95">
        <f>IF(A175="","", "CTR-"&amp;TEXT(ROW()-5,"000"))</f>
        <v/>
      </c>
      <c r="C175" s="95" t="n"/>
      <c r="D175" s="95" t="n"/>
      <c r="E175" s="95" t="n"/>
      <c r="F175" s="95" t="n"/>
      <c r="G175" s="95" t="n"/>
      <c r="H175" s="95" t="n"/>
      <c r="I175" s="95" t="n"/>
      <c r="J175" s="95" t="n"/>
      <c r="K175" s="95" t="n"/>
      <c r="L175" s="96" t="n"/>
    </row>
    <row r="176">
      <c r="A176" s="96" t="n"/>
      <c r="B176" s="95">
        <f>IF(A176="","", "CTR-"&amp;TEXT(ROW()-5,"000"))</f>
        <v/>
      </c>
      <c r="C176" s="95" t="n"/>
      <c r="D176" s="95" t="n"/>
      <c r="E176" s="95" t="n"/>
      <c r="F176" s="95" t="n"/>
      <c r="G176" s="95" t="n"/>
      <c r="H176" s="95" t="n"/>
      <c r="I176" s="95" t="n"/>
      <c r="J176" s="95" t="n"/>
      <c r="K176" s="95" t="n"/>
      <c r="L176" s="96" t="n"/>
    </row>
    <row r="177">
      <c r="A177" s="96" t="n"/>
      <c r="B177" s="95">
        <f>IF(A177="","", "CTR-"&amp;TEXT(ROW()-5,"000"))</f>
        <v/>
      </c>
      <c r="C177" s="95" t="n"/>
      <c r="D177" s="95" t="n"/>
      <c r="E177" s="95" t="n"/>
      <c r="F177" s="95" t="n"/>
      <c r="G177" s="95" t="n"/>
      <c r="H177" s="95" t="n"/>
      <c r="I177" s="95" t="n"/>
      <c r="J177" s="95" t="n"/>
      <c r="K177" s="95" t="n"/>
      <c r="L177" s="96" t="n"/>
    </row>
    <row r="178">
      <c r="A178" s="96" t="n"/>
      <c r="B178" s="95">
        <f>IF(A178="","", "CTR-"&amp;TEXT(ROW()-5,"000"))</f>
        <v/>
      </c>
      <c r="C178" s="95" t="n"/>
      <c r="D178" s="95" t="n"/>
      <c r="E178" s="95" t="n"/>
      <c r="F178" s="95" t="n"/>
      <c r="G178" s="95" t="n"/>
      <c r="H178" s="95" t="n"/>
      <c r="I178" s="95" t="n"/>
      <c r="J178" s="95" t="n"/>
      <c r="K178" s="95" t="n"/>
      <c r="L178" s="96" t="n"/>
    </row>
    <row r="179">
      <c r="A179" s="96" t="n"/>
      <c r="B179" s="95">
        <f>IF(A179="","", "CTR-"&amp;TEXT(ROW()-5,"000"))</f>
        <v/>
      </c>
      <c r="C179" s="95" t="n"/>
      <c r="D179" s="95" t="n"/>
      <c r="E179" s="95" t="n"/>
      <c r="F179" s="95" t="n"/>
      <c r="G179" s="95" t="n"/>
      <c r="H179" s="95" t="n"/>
      <c r="I179" s="95" t="n"/>
      <c r="J179" s="95" t="n"/>
      <c r="K179" s="95" t="n"/>
      <c r="L179" s="96" t="n"/>
    </row>
    <row r="180">
      <c r="A180" s="96" t="n"/>
      <c r="B180" s="95">
        <f>IF(A180="","", "CTR-"&amp;TEXT(ROW()-5,"000"))</f>
        <v/>
      </c>
      <c r="C180" s="95" t="n"/>
      <c r="D180" s="95" t="n"/>
      <c r="E180" s="95" t="n"/>
      <c r="F180" s="95" t="n"/>
      <c r="G180" s="95" t="n"/>
      <c r="H180" s="95" t="n"/>
      <c r="I180" s="95" t="n"/>
      <c r="J180" s="95" t="n"/>
      <c r="K180" s="95" t="n"/>
      <c r="L180" s="96" t="n"/>
    </row>
    <row r="181">
      <c r="A181" s="96" t="n"/>
      <c r="B181" s="95">
        <f>IF(A181="","", "CTR-"&amp;TEXT(ROW()-5,"000"))</f>
        <v/>
      </c>
      <c r="C181" s="95" t="n"/>
      <c r="D181" s="95" t="n"/>
      <c r="E181" s="95" t="n"/>
      <c r="F181" s="95" t="n"/>
      <c r="G181" s="95" t="n"/>
      <c r="H181" s="95" t="n"/>
      <c r="I181" s="95" t="n"/>
      <c r="J181" s="95" t="n"/>
      <c r="K181" s="95" t="n"/>
      <c r="L181" s="96" t="n"/>
    </row>
    <row r="182">
      <c r="A182" s="96" t="n"/>
      <c r="B182" s="95">
        <f>IF(A182="","", "CTR-"&amp;TEXT(ROW()-5,"000"))</f>
        <v/>
      </c>
      <c r="C182" s="95" t="n"/>
      <c r="D182" s="95" t="n"/>
      <c r="E182" s="95" t="n"/>
      <c r="F182" s="95" t="n"/>
      <c r="G182" s="95" t="n"/>
      <c r="H182" s="95" t="n"/>
      <c r="I182" s="95" t="n"/>
      <c r="J182" s="95" t="n"/>
      <c r="K182" s="95" t="n"/>
      <c r="L182" s="96" t="n"/>
    </row>
    <row r="183">
      <c r="A183" s="96" t="n"/>
      <c r="B183" s="95">
        <f>IF(A183="","", "CTR-"&amp;TEXT(ROW()-5,"000"))</f>
        <v/>
      </c>
      <c r="C183" s="95" t="n"/>
      <c r="D183" s="95" t="n"/>
      <c r="E183" s="95" t="n"/>
      <c r="F183" s="95" t="n"/>
      <c r="G183" s="95" t="n"/>
      <c r="H183" s="95" t="n"/>
      <c r="I183" s="95" t="n"/>
      <c r="J183" s="95" t="n"/>
      <c r="K183" s="95" t="n"/>
      <c r="L183" s="96" t="n"/>
    </row>
    <row r="184">
      <c r="A184" s="96" t="n"/>
      <c r="B184" s="95">
        <f>IF(A184="","", "CTR-"&amp;TEXT(ROW()-5,"000"))</f>
        <v/>
      </c>
      <c r="C184" s="95" t="n"/>
      <c r="D184" s="95" t="n"/>
      <c r="E184" s="95" t="n"/>
      <c r="F184" s="95" t="n"/>
      <c r="G184" s="95" t="n"/>
      <c r="H184" s="95" t="n"/>
      <c r="I184" s="95" t="n"/>
      <c r="J184" s="95" t="n"/>
      <c r="K184" s="95" t="n"/>
      <c r="L184" s="96" t="n"/>
    </row>
    <row r="185">
      <c r="A185" s="96" t="n"/>
      <c r="B185" s="95">
        <f>IF(A185="","", "CTR-"&amp;TEXT(ROW()-5,"000"))</f>
        <v/>
      </c>
      <c r="C185" s="95" t="n"/>
      <c r="D185" s="95" t="n"/>
      <c r="E185" s="95" t="n"/>
      <c r="F185" s="95" t="n"/>
      <c r="G185" s="95" t="n"/>
      <c r="H185" s="95" t="n"/>
      <c r="I185" s="95" t="n"/>
      <c r="J185" s="95" t="n"/>
      <c r="K185" s="95" t="n"/>
      <c r="L185" s="96" t="n"/>
    </row>
    <row r="186">
      <c r="A186" s="96" t="n"/>
      <c r="B186" s="95">
        <f>IF(A186="","", "CTR-"&amp;TEXT(ROW()-5,"000"))</f>
        <v/>
      </c>
      <c r="C186" s="95" t="n"/>
      <c r="D186" s="95" t="n"/>
      <c r="E186" s="95" t="n"/>
      <c r="F186" s="95" t="n"/>
      <c r="G186" s="95" t="n"/>
      <c r="H186" s="95" t="n"/>
      <c r="I186" s="95" t="n"/>
      <c r="J186" s="95" t="n"/>
      <c r="K186" s="95" t="n"/>
      <c r="L186" s="96" t="n"/>
    </row>
    <row r="187">
      <c r="A187" s="96" t="n"/>
      <c r="B187" s="95">
        <f>IF(A187="","", "CTR-"&amp;TEXT(ROW()-5,"000"))</f>
        <v/>
      </c>
      <c r="C187" s="95" t="n"/>
      <c r="D187" s="95" t="n"/>
      <c r="E187" s="95" t="n"/>
      <c r="F187" s="95" t="n"/>
      <c r="G187" s="95" t="n"/>
      <c r="H187" s="95" t="n"/>
      <c r="I187" s="95" t="n"/>
      <c r="J187" s="95" t="n"/>
      <c r="K187" s="95" t="n"/>
      <c r="L187" s="96" t="n"/>
    </row>
    <row r="188">
      <c r="A188" s="96" t="n"/>
      <c r="B188" s="95">
        <f>IF(A188="","", "CTR-"&amp;TEXT(ROW()-5,"000"))</f>
        <v/>
      </c>
      <c r="C188" s="95" t="n"/>
      <c r="D188" s="95" t="n"/>
      <c r="E188" s="95" t="n"/>
      <c r="F188" s="95" t="n"/>
      <c r="G188" s="95" t="n"/>
      <c r="H188" s="95" t="n"/>
      <c r="I188" s="95" t="n"/>
      <c r="J188" s="95" t="n"/>
      <c r="K188" s="95" t="n"/>
      <c r="L188" s="96" t="n"/>
    </row>
    <row r="189">
      <c r="A189" s="96" t="n"/>
      <c r="B189" s="95">
        <f>IF(A189="","", "CTR-"&amp;TEXT(ROW()-5,"000"))</f>
        <v/>
      </c>
      <c r="C189" s="95" t="n"/>
      <c r="D189" s="95" t="n"/>
      <c r="E189" s="95" t="n"/>
      <c r="F189" s="95" t="n"/>
      <c r="G189" s="95" t="n"/>
      <c r="H189" s="95" t="n"/>
      <c r="I189" s="95" t="n"/>
      <c r="J189" s="95" t="n"/>
      <c r="K189" s="95" t="n"/>
      <c r="L189" s="96" t="n"/>
    </row>
    <row r="190">
      <c r="A190" s="96" t="n"/>
      <c r="B190" s="95">
        <f>IF(A190="","", "CTR-"&amp;TEXT(ROW()-5,"000"))</f>
        <v/>
      </c>
      <c r="C190" s="95" t="n"/>
      <c r="D190" s="95" t="n"/>
      <c r="E190" s="95" t="n"/>
      <c r="F190" s="95" t="n"/>
      <c r="G190" s="95" t="n"/>
      <c r="H190" s="95" t="n"/>
      <c r="I190" s="95" t="n"/>
      <c r="J190" s="95" t="n"/>
      <c r="K190" s="95" t="n"/>
      <c r="L190" s="96" t="n"/>
    </row>
    <row r="191">
      <c r="A191" s="96" t="n"/>
      <c r="B191" s="95">
        <f>IF(A191="","", "CTR-"&amp;TEXT(ROW()-5,"000"))</f>
        <v/>
      </c>
      <c r="C191" s="95" t="n"/>
      <c r="D191" s="95" t="n"/>
      <c r="E191" s="95" t="n"/>
      <c r="F191" s="95" t="n"/>
      <c r="G191" s="95" t="n"/>
      <c r="H191" s="95" t="n"/>
      <c r="I191" s="95" t="n"/>
      <c r="J191" s="95" t="n"/>
      <c r="K191" s="95" t="n"/>
      <c r="L191" s="96" t="n"/>
    </row>
    <row r="192">
      <c r="A192" s="96" t="n"/>
      <c r="B192" s="95">
        <f>IF(A192="","", "CTR-"&amp;TEXT(ROW()-5,"000"))</f>
        <v/>
      </c>
      <c r="C192" s="95" t="n"/>
      <c r="D192" s="95" t="n"/>
      <c r="E192" s="95" t="n"/>
      <c r="F192" s="95" t="n"/>
      <c r="G192" s="95" t="n"/>
      <c r="H192" s="95" t="n"/>
      <c r="I192" s="95" t="n"/>
      <c r="J192" s="95" t="n"/>
      <c r="K192" s="95" t="n"/>
      <c r="L192" s="96" t="n"/>
    </row>
    <row r="193">
      <c r="A193" s="96" t="n"/>
      <c r="B193" s="95">
        <f>IF(A193="","", "CTR-"&amp;TEXT(ROW()-5,"000"))</f>
        <v/>
      </c>
      <c r="C193" s="95" t="n"/>
      <c r="D193" s="95" t="n"/>
      <c r="E193" s="95" t="n"/>
      <c r="F193" s="95" t="n"/>
      <c r="G193" s="95" t="n"/>
      <c r="H193" s="95" t="n"/>
      <c r="I193" s="95" t="n"/>
      <c r="J193" s="95" t="n"/>
      <c r="K193" s="95" t="n"/>
      <c r="L193" s="96" t="n"/>
    </row>
    <row r="194">
      <c r="A194" s="96" t="n"/>
      <c r="B194" s="95">
        <f>IF(A194="","", "CTR-"&amp;TEXT(ROW()-5,"000"))</f>
        <v/>
      </c>
      <c r="C194" s="95" t="n"/>
      <c r="D194" s="95" t="n"/>
      <c r="E194" s="95" t="n"/>
      <c r="F194" s="95" t="n"/>
      <c r="G194" s="95" t="n"/>
      <c r="H194" s="95" t="n"/>
      <c r="I194" s="95" t="n"/>
      <c r="J194" s="95" t="n"/>
      <c r="K194" s="95" t="n"/>
      <c r="L194" s="96" t="n"/>
    </row>
    <row r="195">
      <c r="A195" s="96" t="n"/>
      <c r="B195" s="95">
        <f>IF(A195="","", "CTR-"&amp;TEXT(ROW()-5,"000"))</f>
        <v/>
      </c>
      <c r="C195" s="95" t="n"/>
      <c r="D195" s="95" t="n"/>
      <c r="E195" s="95" t="n"/>
      <c r="F195" s="95" t="n"/>
      <c r="G195" s="95" t="n"/>
      <c r="H195" s="95" t="n"/>
      <c r="I195" s="95" t="n"/>
      <c r="J195" s="95" t="n"/>
      <c r="K195" s="95" t="n"/>
      <c r="L195" s="96" t="n"/>
    </row>
    <row r="196">
      <c r="A196" s="96" t="n"/>
      <c r="B196" s="95">
        <f>IF(A196="","", "CTR-"&amp;TEXT(ROW()-5,"000"))</f>
        <v/>
      </c>
      <c r="C196" s="95" t="n"/>
      <c r="D196" s="95" t="n"/>
      <c r="E196" s="95" t="n"/>
      <c r="F196" s="95" t="n"/>
      <c r="G196" s="95" t="n"/>
      <c r="H196" s="95" t="n"/>
      <c r="I196" s="95" t="n"/>
      <c r="J196" s="95" t="n"/>
      <c r="K196" s="95" t="n"/>
      <c r="L196" s="96" t="n"/>
    </row>
    <row r="197">
      <c r="A197" s="96" t="n"/>
      <c r="B197" s="95">
        <f>IF(A197="","", "CTR-"&amp;TEXT(ROW()-5,"000"))</f>
        <v/>
      </c>
      <c r="C197" s="95" t="n"/>
      <c r="D197" s="95" t="n"/>
      <c r="E197" s="95" t="n"/>
      <c r="F197" s="95" t="n"/>
      <c r="G197" s="95" t="n"/>
      <c r="H197" s="95" t="n"/>
      <c r="I197" s="95" t="n"/>
      <c r="J197" s="95" t="n"/>
      <c r="K197" s="95" t="n"/>
      <c r="L197" s="96" t="n"/>
    </row>
    <row r="198">
      <c r="A198" s="96" t="n"/>
      <c r="B198" s="95">
        <f>IF(A198="","", "CTR-"&amp;TEXT(ROW()-5,"000"))</f>
        <v/>
      </c>
      <c r="C198" s="95" t="n"/>
      <c r="D198" s="95" t="n"/>
      <c r="E198" s="95" t="n"/>
      <c r="F198" s="95" t="n"/>
      <c r="G198" s="95" t="n"/>
      <c r="H198" s="95" t="n"/>
      <c r="I198" s="95" t="n"/>
      <c r="J198" s="95" t="n"/>
      <c r="K198" s="95" t="n"/>
      <c r="L198" s="96" t="n"/>
    </row>
    <row r="199">
      <c r="A199" s="96" t="n"/>
      <c r="B199" s="95">
        <f>IF(A199="","", "CTR-"&amp;TEXT(ROW()-5,"000"))</f>
        <v/>
      </c>
      <c r="C199" s="95" t="n"/>
      <c r="D199" s="95" t="n"/>
      <c r="E199" s="95" t="n"/>
      <c r="F199" s="95" t="n"/>
      <c r="G199" s="95" t="n"/>
      <c r="H199" s="95" t="n"/>
      <c r="I199" s="95" t="n"/>
      <c r="J199" s="95" t="n"/>
      <c r="K199" s="95" t="n"/>
      <c r="L199" s="96" t="n"/>
    </row>
    <row r="200">
      <c r="A200" s="96" t="n"/>
      <c r="B200" s="95">
        <f>IF(A200="","", "CTR-"&amp;TEXT(ROW()-5,"000"))</f>
        <v/>
      </c>
      <c r="C200" s="95" t="n"/>
      <c r="D200" s="95" t="n"/>
      <c r="E200" s="95" t="n"/>
      <c r="F200" s="95" t="n"/>
      <c r="G200" s="95" t="n"/>
      <c r="H200" s="95" t="n"/>
      <c r="I200" s="95" t="n"/>
      <c r="J200" s="95" t="n"/>
      <c r="K200" s="95" t="n"/>
      <c r="L200" s="96" t="n"/>
    </row>
    <row r="201">
      <c r="A201" s="96" t="n"/>
      <c r="B201" s="95">
        <f>IF(A201="","", "CTR-"&amp;TEXT(ROW()-5,"000"))</f>
        <v/>
      </c>
      <c r="C201" s="95" t="n"/>
      <c r="D201" s="95" t="n"/>
      <c r="E201" s="95" t="n"/>
      <c r="F201" s="95" t="n"/>
      <c r="G201" s="95" t="n"/>
      <c r="H201" s="95" t="n"/>
      <c r="I201" s="95" t="n"/>
      <c r="J201" s="95" t="n"/>
      <c r="K201" s="95" t="n"/>
      <c r="L201" s="96" t="n"/>
    </row>
    <row r="202">
      <c r="A202" s="96" t="n"/>
      <c r="B202" s="95">
        <f>IF(A202="","", "CTR-"&amp;TEXT(ROW()-5,"000"))</f>
        <v/>
      </c>
      <c r="C202" s="95" t="n"/>
      <c r="D202" s="95" t="n"/>
      <c r="E202" s="95" t="n"/>
      <c r="F202" s="95" t="n"/>
      <c r="G202" s="95" t="n"/>
      <c r="H202" s="95" t="n"/>
      <c r="I202" s="95" t="n"/>
      <c r="J202" s="95" t="n"/>
      <c r="K202" s="95" t="n"/>
      <c r="L202" s="96" t="n"/>
    </row>
    <row r="203">
      <c r="A203" s="96" t="n"/>
      <c r="B203" s="95">
        <f>IF(A203="","", "CTR-"&amp;TEXT(ROW()-5,"000"))</f>
        <v/>
      </c>
      <c r="C203" s="95" t="n"/>
      <c r="D203" s="95" t="n"/>
      <c r="E203" s="95" t="n"/>
      <c r="F203" s="95" t="n"/>
      <c r="G203" s="95" t="n"/>
      <c r="H203" s="95" t="n"/>
      <c r="I203" s="95" t="n"/>
      <c r="J203" s="95" t="n"/>
      <c r="K203" s="95" t="n"/>
      <c r="L203" s="96" t="n"/>
    </row>
    <row r="204">
      <c r="A204" s="96" t="n"/>
      <c r="B204" s="95">
        <f>IF(A204="","", "CTR-"&amp;TEXT(ROW()-5,"000"))</f>
        <v/>
      </c>
      <c r="C204" s="95" t="n"/>
      <c r="D204" s="95" t="n"/>
      <c r="E204" s="95" t="n"/>
      <c r="F204" s="95" t="n"/>
      <c r="G204" s="95" t="n"/>
      <c r="H204" s="95" t="n"/>
      <c r="I204" s="95" t="n"/>
      <c r="J204" s="95" t="n"/>
      <c r="K204" s="95" t="n"/>
      <c r="L204" s="96" t="n"/>
    </row>
    <row r="205">
      <c r="A205" s="96" t="n"/>
      <c r="B205" s="95">
        <f>IF(A205="","", "CTR-"&amp;TEXT(ROW()-5,"000"))</f>
        <v/>
      </c>
      <c r="C205" s="95" t="n"/>
      <c r="D205" s="95" t="n"/>
      <c r="E205" s="95" t="n"/>
      <c r="F205" s="95" t="n"/>
      <c r="G205" s="95" t="n"/>
      <c r="H205" s="95" t="n"/>
      <c r="I205" s="95" t="n"/>
      <c r="J205" s="95" t="n"/>
      <c r="K205" s="95" t="n"/>
      <c r="L205" s="96" t="n"/>
    </row>
    <row r="206">
      <c r="A206" s="96" t="n"/>
      <c r="B206" s="95">
        <f>IF(A206="","", "CTR-"&amp;TEXT(ROW()-5,"000"))</f>
        <v/>
      </c>
      <c r="C206" s="95" t="n"/>
      <c r="D206" s="95" t="n"/>
      <c r="E206" s="95" t="n"/>
      <c r="F206" s="95" t="n"/>
      <c r="G206" s="95" t="n"/>
      <c r="H206" s="95" t="n"/>
      <c r="I206" s="95" t="n"/>
      <c r="J206" s="95" t="n"/>
      <c r="K206" s="95" t="n"/>
      <c r="L206" s="96" t="n"/>
    </row>
    <row r="207">
      <c r="A207" s="96" t="n"/>
      <c r="B207" s="95">
        <f>IF(A207="","", "CTR-"&amp;TEXT(ROW()-5,"000"))</f>
        <v/>
      </c>
      <c r="C207" s="95" t="n"/>
      <c r="D207" s="95" t="n"/>
      <c r="E207" s="95" t="n"/>
      <c r="F207" s="95" t="n"/>
      <c r="G207" s="95" t="n"/>
      <c r="H207" s="95" t="n"/>
      <c r="I207" s="95" t="n"/>
      <c r="J207" s="95" t="n"/>
      <c r="K207" s="95" t="n"/>
      <c r="L207" s="96" t="n"/>
    </row>
    <row r="208">
      <c r="A208" s="96" t="n"/>
      <c r="B208" s="95">
        <f>IF(A208="","", "CTR-"&amp;TEXT(ROW()-5,"000"))</f>
        <v/>
      </c>
      <c r="C208" s="95" t="n"/>
      <c r="D208" s="95" t="n"/>
      <c r="E208" s="95" t="n"/>
      <c r="F208" s="95" t="n"/>
      <c r="G208" s="95" t="n"/>
      <c r="H208" s="95" t="n"/>
      <c r="I208" s="95" t="n"/>
      <c r="J208" s="95" t="n"/>
      <c r="K208" s="95" t="n"/>
      <c r="L208" s="96" t="n"/>
    </row>
    <row r="209">
      <c r="A209" s="96" t="n"/>
      <c r="B209" s="95">
        <f>IF(A209="","", "CTR-"&amp;TEXT(ROW()-5,"000"))</f>
        <v/>
      </c>
      <c r="C209" s="95" t="n"/>
      <c r="D209" s="95" t="n"/>
      <c r="E209" s="95" t="n"/>
      <c r="F209" s="95" t="n"/>
      <c r="G209" s="95" t="n"/>
      <c r="H209" s="95" t="n"/>
      <c r="I209" s="95" t="n"/>
      <c r="J209" s="95" t="n"/>
      <c r="K209" s="95" t="n"/>
      <c r="L209" s="96" t="n"/>
    </row>
    <row r="210">
      <c r="A210" s="96" t="n"/>
      <c r="B210" s="95">
        <f>IF(A210="","", "CTR-"&amp;TEXT(ROW()-5,"000"))</f>
        <v/>
      </c>
      <c r="C210" s="95" t="n"/>
      <c r="D210" s="95" t="n"/>
      <c r="E210" s="95" t="n"/>
      <c r="F210" s="95" t="n"/>
      <c r="G210" s="95" t="n"/>
      <c r="H210" s="95" t="n"/>
      <c r="I210" s="95" t="n"/>
      <c r="J210" s="95" t="n"/>
      <c r="K210" s="95" t="n"/>
      <c r="L210" s="96" t="n"/>
    </row>
    <row r="211">
      <c r="A211" s="96" t="n"/>
      <c r="B211" s="95">
        <f>IF(A211="","", "CTR-"&amp;TEXT(ROW()-5,"000"))</f>
        <v/>
      </c>
      <c r="C211" s="95" t="n"/>
      <c r="D211" s="95" t="n"/>
      <c r="E211" s="95" t="n"/>
      <c r="F211" s="95" t="n"/>
      <c r="G211" s="95" t="n"/>
      <c r="H211" s="95" t="n"/>
      <c r="I211" s="95" t="n"/>
      <c r="J211" s="95" t="n"/>
      <c r="K211" s="95" t="n"/>
      <c r="L211" s="96" t="n"/>
    </row>
    <row r="212">
      <c r="A212" s="96" t="n"/>
      <c r="B212" s="95">
        <f>IF(A212="","", "CTR-"&amp;TEXT(ROW()-5,"000"))</f>
        <v/>
      </c>
      <c r="C212" s="95" t="n"/>
      <c r="D212" s="95" t="n"/>
      <c r="E212" s="95" t="n"/>
      <c r="F212" s="95" t="n"/>
      <c r="G212" s="95" t="n"/>
      <c r="H212" s="95" t="n"/>
      <c r="I212" s="95" t="n"/>
      <c r="J212" s="95" t="n"/>
      <c r="K212" s="95" t="n"/>
      <c r="L212" s="96" t="n"/>
    </row>
    <row r="213">
      <c r="A213" s="96" t="n"/>
      <c r="B213" s="95">
        <f>IF(A213="","", "CTR-"&amp;TEXT(ROW()-5,"000"))</f>
        <v/>
      </c>
      <c r="C213" s="95" t="n"/>
      <c r="D213" s="95" t="n"/>
      <c r="E213" s="95" t="n"/>
      <c r="F213" s="95" t="n"/>
      <c r="G213" s="95" t="n"/>
      <c r="H213" s="95" t="n"/>
      <c r="I213" s="95" t="n"/>
      <c r="J213" s="95" t="n"/>
      <c r="K213" s="95" t="n"/>
      <c r="L213" s="96" t="n"/>
    </row>
    <row r="214">
      <c r="A214" s="96" t="n"/>
      <c r="B214" s="95">
        <f>IF(A214="","", "CTR-"&amp;TEXT(ROW()-5,"000"))</f>
        <v/>
      </c>
      <c r="C214" s="95" t="n"/>
      <c r="D214" s="95" t="n"/>
      <c r="E214" s="95" t="n"/>
      <c r="F214" s="95" t="n"/>
      <c r="G214" s="95" t="n"/>
      <c r="H214" s="95" t="n"/>
      <c r="I214" s="95" t="n"/>
      <c r="J214" s="95" t="n"/>
      <c r="K214" s="95" t="n"/>
      <c r="L214" s="96" t="n"/>
    </row>
    <row r="215">
      <c r="A215" s="96" t="n"/>
      <c r="B215" s="95">
        <f>IF(A215="","", "CTR-"&amp;TEXT(ROW()-5,"000"))</f>
        <v/>
      </c>
      <c r="C215" s="95" t="n"/>
      <c r="D215" s="95" t="n"/>
      <c r="E215" s="95" t="n"/>
      <c r="F215" s="95" t="n"/>
      <c r="G215" s="95" t="n"/>
      <c r="H215" s="95" t="n"/>
      <c r="I215" s="95" t="n"/>
      <c r="J215" s="95" t="n"/>
      <c r="K215" s="95" t="n"/>
      <c r="L215" s="96" t="n"/>
    </row>
    <row r="216">
      <c r="A216" s="96" t="n"/>
      <c r="B216" s="95">
        <f>IF(A216="","", "CTR-"&amp;TEXT(ROW()-5,"000"))</f>
        <v/>
      </c>
      <c r="C216" s="95" t="n"/>
      <c r="D216" s="95" t="n"/>
      <c r="E216" s="95" t="n"/>
      <c r="F216" s="95" t="n"/>
      <c r="G216" s="95" t="n"/>
      <c r="H216" s="95" t="n"/>
      <c r="I216" s="95" t="n"/>
      <c r="J216" s="95" t="n"/>
      <c r="K216" s="95" t="n"/>
      <c r="L216" s="96" t="n"/>
    </row>
    <row r="217">
      <c r="A217" s="96" t="n"/>
      <c r="B217" s="95">
        <f>IF(A217="","", "CTR-"&amp;TEXT(ROW()-5,"000"))</f>
        <v/>
      </c>
      <c r="C217" s="95" t="n"/>
      <c r="D217" s="95" t="n"/>
      <c r="E217" s="95" t="n"/>
      <c r="F217" s="95" t="n"/>
      <c r="G217" s="95" t="n"/>
      <c r="H217" s="95" t="n"/>
      <c r="I217" s="95" t="n"/>
      <c r="J217" s="95" t="n"/>
      <c r="K217" s="95" t="n"/>
      <c r="L217" s="96" t="n"/>
    </row>
    <row r="218">
      <c r="A218" s="96" t="n"/>
      <c r="B218" s="95">
        <f>IF(A218="","", "CTR-"&amp;TEXT(ROW()-5,"000"))</f>
        <v/>
      </c>
      <c r="C218" s="95" t="n"/>
      <c r="D218" s="95" t="n"/>
      <c r="E218" s="95" t="n"/>
      <c r="F218" s="95" t="n"/>
      <c r="G218" s="95" t="n"/>
      <c r="H218" s="95" t="n"/>
      <c r="I218" s="95" t="n"/>
      <c r="J218" s="95" t="n"/>
      <c r="K218" s="95" t="n"/>
      <c r="L218" s="96" t="n"/>
    </row>
    <row r="219">
      <c r="A219" s="96" t="n"/>
      <c r="B219" s="95">
        <f>IF(A219="","", "CTR-"&amp;TEXT(ROW()-5,"000"))</f>
        <v/>
      </c>
      <c r="C219" s="95" t="n"/>
      <c r="D219" s="95" t="n"/>
      <c r="E219" s="95" t="n"/>
      <c r="F219" s="95" t="n"/>
      <c r="G219" s="95" t="n"/>
      <c r="H219" s="95" t="n"/>
      <c r="I219" s="95" t="n"/>
      <c r="J219" s="95" t="n"/>
      <c r="K219" s="95" t="n"/>
      <c r="L219" s="96" t="n"/>
    </row>
    <row r="220">
      <c r="A220" s="96" t="n"/>
      <c r="B220" s="95">
        <f>IF(A220="","", "CTR-"&amp;TEXT(ROW()-5,"000"))</f>
        <v/>
      </c>
      <c r="C220" s="95" t="n"/>
      <c r="D220" s="95" t="n"/>
      <c r="E220" s="95" t="n"/>
      <c r="F220" s="95" t="n"/>
      <c r="G220" s="95" t="n"/>
      <c r="H220" s="95" t="n"/>
      <c r="I220" s="95" t="n"/>
      <c r="J220" s="95" t="n"/>
      <c r="K220" s="95" t="n"/>
      <c r="L220" s="96" t="n"/>
    </row>
    <row r="221">
      <c r="A221" s="96" t="n"/>
      <c r="B221" s="95">
        <f>IF(A221="","", "CTR-"&amp;TEXT(ROW()-5,"000"))</f>
        <v/>
      </c>
      <c r="C221" s="95" t="n"/>
      <c r="D221" s="95" t="n"/>
      <c r="E221" s="95" t="n"/>
      <c r="F221" s="95" t="n"/>
      <c r="G221" s="95" t="n"/>
      <c r="H221" s="95" t="n"/>
      <c r="I221" s="95" t="n"/>
      <c r="J221" s="95" t="n"/>
      <c r="K221" s="95" t="n"/>
      <c r="L221" s="96" t="n"/>
    </row>
    <row r="222">
      <c r="A222" s="96" t="n"/>
      <c r="B222" s="95">
        <f>IF(A222="","", "CTR-"&amp;TEXT(ROW()-5,"000"))</f>
        <v/>
      </c>
      <c r="C222" s="95" t="n"/>
      <c r="D222" s="95" t="n"/>
      <c r="E222" s="95" t="n"/>
      <c r="F222" s="95" t="n"/>
      <c r="G222" s="95" t="n"/>
      <c r="H222" s="95" t="n"/>
      <c r="I222" s="95" t="n"/>
      <c r="J222" s="95" t="n"/>
      <c r="K222" s="95" t="n"/>
      <c r="L222" s="96" t="n"/>
    </row>
    <row r="223">
      <c r="A223" s="96" t="n"/>
      <c r="B223" s="95">
        <f>IF(A223="","", "CTR-"&amp;TEXT(ROW()-5,"000"))</f>
        <v/>
      </c>
      <c r="C223" s="95" t="n"/>
      <c r="D223" s="95" t="n"/>
      <c r="E223" s="95" t="n"/>
      <c r="F223" s="95" t="n"/>
      <c r="G223" s="95" t="n"/>
      <c r="H223" s="95" t="n"/>
      <c r="I223" s="95" t="n"/>
      <c r="J223" s="95" t="n"/>
      <c r="K223" s="95" t="n"/>
      <c r="L223" s="96" t="n"/>
    </row>
    <row r="224">
      <c r="A224" s="96" t="n"/>
      <c r="B224" s="95">
        <f>IF(A224="","", "CTR-"&amp;TEXT(ROW()-5,"000"))</f>
        <v/>
      </c>
      <c r="C224" s="95" t="n"/>
      <c r="D224" s="95" t="n"/>
      <c r="E224" s="95" t="n"/>
      <c r="F224" s="95" t="n"/>
      <c r="G224" s="95" t="n"/>
      <c r="H224" s="95" t="n"/>
      <c r="I224" s="95" t="n"/>
      <c r="J224" s="95" t="n"/>
      <c r="K224" s="95" t="n"/>
      <c r="L224" s="96" t="n"/>
    </row>
    <row r="225">
      <c r="A225" s="96" t="n"/>
      <c r="B225" s="95">
        <f>IF(A225="","", "CTR-"&amp;TEXT(ROW()-5,"000"))</f>
        <v/>
      </c>
      <c r="C225" s="95" t="n"/>
      <c r="D225" s="95" t="n"/>
      <c r="E225" s="95" t="n"/>
      <c r="F225" s="95" t="n"/>
      <c r="G225" s="95" t="n"/>
      <c r="H225" s="95" t="n"/>
      <c r="I225" s="95" t="n"/>
      <c r="J225" s="95" t="n"/>
      <c r="K225" s="95" t="n"/>
      <c r="L225" s="96" t="n"/>
    </row>
    <row r="226">
      <c r="A226" s="96" t="n"/>
      <c r="B226" s="95">
        <f>IF(A226="","", "CTR-"&amp;TEXT(ROW()-5,"000"))</f>
        <v/>
      </c>
      <c r="C226" s="95" t="n"/>
      <c r="D226" s="95" t="n"/>
      <c r="E226" s="95" t="n"/>
      <c r="F226" s="95" t="n"/>
      <c r="G226" s="95" t="n"/>
      <c r="H226" s="95" t="n"/>
      <c r="I226" s="95" t="n"/>
      <c r="J226" s="95" t="n"/>
      <c r="K226" s="95" t="n"/>
      <c r="L226" s="96" t="n"/>
    </row>
    <row r="227">
      <c r="A227" s="96" t="n"/>
      <c r="B227" s="95">
        <f>IF(A227="","", "CTR-"&amp;TEXT(ROW()-5,"000"))</f>
        <v/>
      </c>
      <c r="C227" s="95" t="n"/>
      <c r="D227" s="95" t="n"/>
      <c r="E227" s="95" t="n"/>
      <c r="F227" s="95" t="n"/>
      <c r="G227" s="95" t="n"/>
      <c r="H227" s="95" t="n"/>
      <c r="I227" s="95" t="n"/>
      <c r="J227" s="95" t="n"/>
      <c r="K227" s="95" t="n"/>
      <c r="L227" s="96" t="n"/>
    </row>
    <row r="228">
      <c r="A228" s="96" t="n"/>
      <c r="B228" s="95">
        <f>IF(A228="","", "CTR-"&amp;TEXT(ROW()-5,"000"))</f>
        <v/>
      </c>
      <c r="C228" s="95" t="n"/>
      <c r="D228" s="95" t="n"/>
      <c r="E228" s="95" t="n"/>
      <c r="F228" s="95" t="n"/>
      <c r="G228" s="95" t="n"/>
      <c r="H228" s="95" t="n"/>
      <c r="I228" s="95" t="n"/>
      <c r="J228" s="95" t="n"/>
      <c r="K228" s="95" t="n"/>
      <c r="L228" s="96" t="n"/>
    </row>
    <row r="229">
      <c r="A229" s="96" t="n"/>
      <c r="B229" s="95">
        <f>IF(A229="","", "CTR-"&amp;TEXT(ROW()-5,"000"))</f>
        <v/>
      </c>
      <c r="C229" s="95" t="n"/>
      <c r="D229" s="95" t="n"/>
      <c r="E229" s="95" t="n"/>
      <c r="F229" s="95" t="n"/>
      <c r="G229" s="95" t="n"/>
      <c r="H229" s="95" t="n"/>
      <c r="I229" s="95" t="n"/>
      <c r="J229" s="95" t="n"/>
      <c r="K229" s="95" t="n"/>
      <c r="L229" s="96" t="n"/>
    </row>
    <row r="230">
      <c r="A230" s="96" t="n"/>
      <c r="B230" s="95">
        <f>IF(A230="","", "CTR-"&amp;TEXT(ROW()-5,"000"))</f>
        <v/>
      </c>
      <c r="C230" s="95" t="n"/>
      <c r="D230" s="95" t="n"/>
      <c r="E230" s="95" t="n"/>
      <c r="F230" s="95" t="n"/>
      <c r="G230" s="95" t="n"/>
      <c r="H230" s="95" t="n"/>
      <c r="I230" s="95" t="n"/>
      <c r="J230" s="95" t="n"/>
      <c r="K230" s="95" t="n"/>
      <c r="L230" s="96" t="n"/>
    </row>
    <row r="231">
      <c r="A231" s="96" t="n"/>
      <c r="B231" s="95">
        <f>IF(A231="","", "CTR-"&amp;TEXT(ROW()-5,"000"))</f>
        <v/>
      </c>
      <c r="C231" s="95" t="n"/>
      <c r="D231" s="95" t="n"/>
      <c r="E231" s="95" t="n"/>
      <c r="F231" s="95" t="n"/>
      <c r="G231" s="95" t="n"/>
      <c r="H231" s="95" t="n"/>
      <c r="I231" s="95" t="n"/>
      <c r="J231" s="95" t="n"/>
      <c r="K231" s="95" t="n"/>
      <c r="L231" s="96" t="n"/>
    </row>
    <row r="232">
      <c r="A232" s="96" t="n"/>
      <c r="B232" s="95">
        <f>IF(A232="","", "CTR-"&amp;TEXT(ROW()-5,"000"))</f>
        <v/>
      </c>
      <c r="C232" s="95" t="n"/>
      <c r="D232" s="95" t="n"/>
      <c r="E232" s="95" t="n"/>
      <c r="F232" s="95" t="n"/>
      <c r="G232" s="95" t="n"/>
      <c r="H232" s="95" t="n"/>
      <c r="I232" s="95" t="n"/>
      <c r="J232" s="95" t="n"/>
      <c r="K232" s="95" t="n"/>
      <c r="L232" s="96" t="n"/>
    </row>
    <row r="233">
      <c r="A233" s="96" t="n"/>
      <c r="B233" s="95">
        <f>IF(A233="","", "CTR-"&amp;TEXT(ROW()-5,"000"))</f>
        <v/>
      </c>
      <c r="C233" s="95" t="n"/>
      <c r="D233" s="95" t="n"/>
      <c r="E233" s="95" t="n"/>
      <c r="F233" s="95" t="n"/>
      <c r="G233" s="95" t="n"/>
      <c r="H233" s="95" t="n"/>
      <c r="I233" s="95" t="n"/>
      <c r="J233" s="95" t="n"/>
      <c r="K233" s="95" t="n"/>
      <c r="L233" s="96" t="n"/>
    </row>
    <row r="234">
      <c r="A234" s="96" t="n"/>
      <c r="B234" s="95">
        <f>IF(A234="","", "CTR-"&amp;TEXT(ROW()-5,"000"))</f>
        <v/>
      </c>
      <c r="C234" s="95" t="n"/>
      <c r="D234" s="95" t="n"/>
      <c r="E234" s="95" t="n"/>
      <c r="F234" s="95" t="n"/>
      <c r="G234" s="95" t="n"/>
      <c r="H234" s="95" t="n"/>
      <c r="I234" s="95" t="n"/>
      <c r="J234" s="95" t="n"/>
      <c r="K234" s="95" t="n"/>
      <c r="L234" s="96" t="n"/>
    </row>
    <row r="235">
      <c r="A235" s="96" t="n"/>
      <c r="B235" s="95">
        <f>IF(A235="","", "CTR-"&amp;TEXT(ROW()-5,"000"))</f>
        <v/>
      </c>
      <c r="C235" s="95" t="n"/>
      <c r="D235" s="95" t="n"/>
      <c r="E235" s="95" t="n"/>
      <c r="F235" s="95" t="n"/>
      <c r="G235" s="95" t="n"/>
      <c r="H235" s="95" t="n"/>
      <c r="I235" s="95" t="n"/>
      <c r="J235" s="95" t="n"/>
      <c r="K235" s="95" t="n"/>
      <c r="L235" s="96" t="n"/>
    </row>
    <row r="236">
      <c r="A236" s="96" t="n"/>
      <c r="B236" s="95">
        <f>IF(A236="","", "CTR-"&amp;TEXT(ROW()-5,"000"))</f>
        <v/>
      </c>
      <c r="C236" s="95" t="n"/>
      <c r="D236" s="95" t="n"/>
      <c r="E236" s="95" t="n"/>
      <c r="F236" s="95" t="n"/>
      <c r="G236" s="95" t="n"/>
      <c r="H236" s="95" t="n"/>
      <c r="I236" s="95" t="n"/>
      <c r="J236" s="95" t="n"/>
      <c r="K236" s="95" t="n"/>
      <c r="L236" s="96" t="n"/>
    </row>
    <row r="237">
      <c r="A237" s="96" t="n"/>
      <c r="B237" s="95">
        <f>IF(A237="","", "CTR-"&amp;TEXT(ROW()-5,"000"))</f>
        <v/>
      </c>
      <c r="C237" s="95" t="n"/>
      <c r="D237" s="95" t="n"/>
      <c r="E237" s="95" t="n"/>
      <c r="F237" s="95" t="n"/>
      <c r="G237" s="95" t="n"/>
      <c r="H237" s="95" t="n"/>
      <c r="I237" s="95" t="n"/>
      <c r="J237" s="95" t="n"/>
      <c r="K237" s="95" t="n"/>
      <c r="L237" s="96" t="n"/>
    </row>
    <row r="238">
      <c r="A238" s="96" t="n"/>
      <c r="B238" s="95">
        <f>IF(A238="","", "CTR-"&amp;TEXT(ROW()-5,"000"))</f>
        <v/>
      </c>
      <c r="C238" s="95" t="n"/>
      <c r="D238" s="95" t="n"/>
      <c r="E238" s="95" t="n"/>
      <c r="F238" s="95" t="n"/>
      <c r="G238" s="95" t="n"/>
      <c r="H238" s="95" t="n"/>
      <c r="I238" s="95" t="n"/>
      <c r="J238" s="95" t="n"/>
      <c r="K238" s="95" t="n"/>
      <c r="L238" s="96" t="n"/>
    </row>
    <row r="239">
      <c r="A239" s="96" t="n"/>
      <c r="B239" s="95">
        <f>IF(A239="","", "CTR-"&amp;TEXT(ROW()-5,"000"))</f>
        <v/>
      </c>
      <c r="C239" s="95" t="n"/>
      <c r="D239" s="95" t="n"/>
      <c r="E239" s="95" t="n"/>
      <c r="F239" s="95" t="n"/>
      <c r="G239" s="95" t="n"/>
      <c r="H239" s="95" t="n"/>
      <c r="I239" s="95" t="n"/>
      <c r="J239" s="95" t="n"/>
      <c r="K239" s="95" t="n"/>
      <c r="L239" s="96" t="n"/>
    </row>
    <row r="240">
      <c r="A240" s="96" t="n"/>
      <c r="B240" s="95">
        <f>IF(A240="","", "CTR-"&amp;TEXT(ROW()-5,"000"))</f>
        <v/>
      </c>
      <c r="C240" s="95" t="n"/>
      <c r="D240" s="95" t="n"/>
      <c r="E240" s="95" t="n"/>
      <c r="F240" s="95" t="n"/>
      <c r="G240" s="95" t="n"/>
      <c r="H240" s="95" t="n"/>
      <c r="I240" s="95" t="n"/>
      <c r="J240" s="95" t="n"/>
      <c r="K240" s="95" t="n"/>
      <c r="L240" s="96" t="n"/>
    </row>
    <row r="241">
      <c r="A241" s="96" t="n"/>
      <c r="B241" s="95">
        <f>IF(A241="","", "CTR-"&amp;TEXT(ROW()-5,"000"))</f>
        <v/>
      </c>
      <c r="C241" s="95" t="n"/>
      <c r="D241" s="95" t="n"/>
      <c r="E241" s="95" t="n"/>
      <c r="F241" s="95" t="n"/>
      <c r="G241" s="95" t="n"/>
      <c r="H241" s="95" t="n"/>
      <c r="I241" s="95" t="n"/>
      <c r="J241" s="95" t="n"/>
      <c r="K241" s="95" t="n"/>
      <c r="L241" s="96" t="n"/>
    </row>
    <row r="242">
      <c r="A242" s="96" t="n"/>
      <c r="B242" s="95">
        <f>IF(A242="","", "CTR-"&amp;TEXT(ROW()-5,"000"))</f>
        <v/>
      </c>
      <c r="C242" s="95" t="n"/>
      <c r="D242" s="95" t="n"/>
      <c r="E242" s="95" t="n"/>
      <c r="F242" s="95" t="n"/>
      <c r="G242" s="95" t="n"/>
      <c r="H242" s="95" t="n"/>
      <c r="I242" s="95" t="n"/>
      <c r="J242" s="95" t="n"/>
      <c r="K242" s="95" t="n"/>
      <c r="L242" s="96" t="n"/>
    </row>
    <row r="243">
      <c r="A243" s="96" t="n"/>
      <c r="B243" s="95">
        <f>IF(A243="","", "CTR-"&amp;TEXT(ROW()-5,"000"))</f>
        <v/>
      </c>
      <c r="C243" s="95" t="n"/>
      <c r="D243" s="95" t="n"/>
      <c r="E243" s="95" t="n"/>
      <c r="F243" s="95" t="n"/>
      <c r="G243" s="95" t="n"/>
      <c r="H243" s="95" t="n"/>
      <c r="I243" s="95" t="n"/>
      <c r="J243" s="95" t="n"/>
      <c r="K243" s="95" t="n"/>
      <c r="L243" s="96" t="n"/>
    </row>
    <row r="244">
      <c r="A244" s="96" t="n"/>
      <c r="B244" s="95">
        <f>IF(A244="","", "CTR-"&amp;TEXT(ROW()-5,"000"))</f>
        <v/>
      </c>
      <c r="C244" s="95" t="n"/>
      <c r="D244" s="95" t="n"/>
      <c r="E244" s="95" t="n"/>
      <c r="F244" s="95" t="n"/>
      <c r="G244" s="95" t="n"/>
      <c r="H244" s="95" t="n"/>
      <c r="I244" s="95" t="n"/>
      <c r="J244" s="95" t="n"/>
      <c r="K244" s="95" t="n"/>
      <c r="L244" s="96" t="n"/>
    </row>
    <row r="245">
      <c r="A245" s="96" t="n"/>
      <c r="B245" s="95">
        <f>IF(A245="","", "CTR-"&amp;TEXT(ROW()-5,"000"))</f>
        <v/>
      </c>
      <c r="C245" s="95" t="n"/>
      <c r="D245" s="95" t="n"/>
      <c r="E245" s="95" t="n"/>
      <c r="F245" s="95" t="n"/>
      <c r="G245" s="95" t="n"/>
      <c r="H245" s="95" t="n"/>
      <c r="I245" s="95" t="n"/>
      <c r="J245" s="95" t="n"/>
      <c r="K245" s="95" t="n"/>
      <c r="L245" s="96" t="n"/>
    </row>
    <row r="246">
      <c r="A246" s="96" t="n"/>
      <c r="B246" s="95">
        <f>IF(A246="","", "CTR-"&amp;TEXT(ROW()-5,"000"))</f>
        <v/>
      </c>
      <c r="C246" s="95" t="n"/>
      <c r="D246" s="95" t="n"/>
      <c r="E246" s="95" t="n"/>
      <c r="F246" s="95" t="n"/>
      <c r="G246" s="95" t="n"/>
      <c r="H246" s="95" t="n"/>
      <c r="I246" s="95" t="n"/>
      <c r="J246" s="95" t="n"/>
      <c r="K246" s="95" t="n"/>
      <c r="L246" s="96" t="n"/>
    </row>
    <row r="247">
      <c r="A247" s="96" t="n"/>
      <c r="B247" s="95">
        <f>IF(A247="","", "CTR-"&amp;TEXT(ROW()-5,"000"))</f>
        <v/>
      </c>
      <c r="C247" s="95" t="n"/>
      <c r="D247" s="95" t="n"/>
      <c r="E247" s="95" t="n"/>
      <c r="F247" s="95" t="n"/>
      <c r="G247" s="95" t="n"/>
      <c r="H247" s="95" t="n"/>
      <c r="I247" s="95" t="n"/>
      <c r="J247" s="95" t="n"/>
      <c r="K247" s="95" t="n"/>
      <c r="L247" s="96" t="n"/>
    </row>
    <row r="248">
      <c r="A248" s="96" t="n"/>
      <c r="B248" s="95">
        <f>IF(A248="","", "CTR-"&amp;TEXT(ROW()-5,"000"))</f>
        <v/>
      </c>
      <c r="C248" s="95" t="n"/>
      <c r="D248" s="95" t="n"/>
      <c r="E248" s="95" t="n"/>
      <c r="F248" s="95" t="n"/>
      <c r="G248" s="95" t="n"/>
      <c r="H248" s="95" t="n"/>
      <c r="I248" s="95" t="n"/>
      <c r="J248" s="95" t="n"/>
      <c r="K248" s="95" t="n"/>
      <c r="L248" s="96" t="n"/>
    </row>
    <row r="249">
      <c r="A249" s="96" t="n"/>
      <c r="B249" s="95">
        <f>IF(A249="","", "CTR-"&amp;TEXT(ROW()-5,"000"))</f>
        <v/>
      </c>
      <c r="C249" s="95" t="n"/>
      <c r="D249" s="95" t="n"/>
      <c r="E249" s="95" t="n"/>
      <c r="F249" s="95" t="n"/>
      <c r="G249" s="95" t="n"/>
      <c r="H249" s="95" t="n"/>
      <c r="I249" s="95" t="n"/>
      <c r="J249" s="95" t="n"/>
      <c r="K249" s="95" t="n"/>
      <c r="L249" s="96" t="n"/>
    </row>
    <row r="250">
      <c r="A250" s="96" t="n"/>
      <c r="B250" s="95">
        <f>IF(A250="","", "CTR-"&amp;TEXT(ROW()-5,"000"))</f>
        <v/>
      </c>
      <c r="C250" s="95" t="n"/>
      <c r="D250" s="95" t="n"/>
      <c r="E250" s="95" t="n"/>
      <c r="F250" s="95" t="n"/>
      <c r="G250" s="95" t="n"/>
      <c r="H250" s="95" t="n"/>
      <c r="I250" s="95" t="n"/>
      <c r="J250" s="95" t="n"/>
      <c r="K250" s="95" t="n"/>
      <c r="L250" s="96" t="n"/>
    </row>
    <row r="251">
      <c r="A251" s="96" t="n"/>
      <c r="B251" s="95">
        <f>IF(A251="","", "CTR-"&amp;TEXT(ROW()-5,"000"))</f>
        <v/>
      </c>
      <c r="C251" s="95" t="n"/>
      <c r="D251" s="95" t="n"/>
      <c r="E251" s="95" t="n"/>
      <c r="F251" s="95" t="n"/>
      <c r="G251" s="95" t="n"/>
      <c r="H251" s="95" t="n"/>
      <c r="I251" s="95" t="n"/>
      <c r="J251" s="95" t="n"/>
      <c r="K251" s="95" t="n"/>
      <c r="L251" s="96" t="n"/>
    </row>
    <row r="252">
      <c r="A252" s="96" t="n"/>
      <c r="B252" s="95">
        <f>IF(A252="","", "CTR-"&amp;TEXT(ROW()-5,"000"))</f>
        <v/>
      </c>
      <c r="C252" s="95" t="n"/>
      <c r="D252" s="95" t="n"/>
      <c r="E252" s="95" t="n"/>
      <c r="F252" s="95" t="n"/>
      <c r="G252" s="95" t="n"/>
      <c r="H252" s="95" t="n"/>
      <c r="I252" s="95" t="n"/>
      <c r="J252" s="95" t="n"/>
      <c r="K252" s="95" t="n"/>
      <c r="L252" s="96" t="n"/>
    </row>
    <row r="253">
      <c r="A253" s="96" t="n"/>
      <c r="B253" s="95">
        <f>IF(A253="","", "CTR-"&amp;TEXT(ROW()-5,"000"))</f>
        <v/>
      </c>
      <c r="C253" s="95" t="n"/>
      <c r="D253" s="95" t="n"/>
      <c r="E253" s="95" t="n"/>
      <c r="F253" s="95" t="n"/>
      <c r="G253" s="95" t="n"/>
      <c r="H253" s="95" t="n"/>
      <c r="I253" s="95" t="n"/>
      <c r="J253" s="95" t="n"/>
      <c r="K253" s="95" t="n"/>
      <c r="L253" s="96" t="n"/>
    </row>
    <row r="254">
      <c r="A254" s="96" t="n"/>
      <c r="B254" s="95">
        <f>IF(A254="","", "CTR-"&amp;TEXT(ROW()-5,"000"))</f>
        <v/>
      </c>
      <c r="C254" s="95" t="n"/>
      <c r="D254" s="95" t="n"/>
      <c r="E254" s="95" t="n"/>
      <c r="F254" s="95" t="n"/>
      <c r="G254" s="95" t="n"/>
      <c r="H254" s="95" t="n"/>
      <c r="I254" s="95" t="n"/>
      <c r="J254" s="95" t="n"/>
      <c r="K254" s="95" t="n"/>
      <c r="L254" s="96" t="n"/>
    </row>
    <row r="255">
      <c r="A255" s="96" t="n"/>
      <c r="B255" s="95">
        <f>IF(A255="","", "CTR-"&amp;TEXT(ROW()-5,"000"))</f>
        <v/>
      </c>
      <c r="C255" s="95" t="n"/>
      <c r="D255" s="95" t="n"/>
      <c r="E255" s="95" t="n"/>
      <c r="F255" s="95" t="n"/>
      <c r="G255" s="95" t="n"/>
      <c r="H255" s="95" t="n"/>
      <c r="I255" s="95" t="n"/>
      <c r="J255" s="95" t="n"/>
      <c r="K255" s="95" t="n"/>
      <c r="L255" s="96" t="n"/>
    </row>
    <row r="256">
      <c r="A256" s="96" t="n"/>
      <c r="B256" s="95">
        <f>IF(A256="","", "CTR-"&amp;TEXT(ROW()-5,"000"))</f>
        <v/>
      </c>
      <c r="C256" s="95" t="n"/>
      <c r="D256" s="95" t="n"/>
      <c r="E256" s="95" t="n"/>
      <c r="F256" s="95" t="n"/>
      <c r="G256" s="95" t="n"/>
      <c r="H256" s="95" t="n"/>
      <c r="I256" s="95" t="n"/>
      <c r="J256" s="95" t="n"/>
      <c r="K256" s="95" t="n"/>
      <c r="L256" s="96" t="n"/>
    </row>
    <row r="257">
      <c r="A257" s="96" t="n"/>
      <c r="B257" s="95">
        <f>IF(A257="","", "CTR-"&amp;TEXT(ROW()-5,"000"))</f>
        <v/>
      </c>
      <c r="C257" s="95" t="n"/>
      <c r="D257" s="95" t="n"/>
      <c r="E257" s="95" t="n"/>
      <c r="F257" s="95" t="n"/>
      <c r="G257" s="95" t="n"/>
      <c r="H257" s="95" t="n"/>
      <c r="I257" s="95" t="n"/>
      <c r="J257" s="95" t="n"/>
      <c r="K257" s="95" t="n"/>
      <c r="L257" s="96" t="n"/>
    </row>
    <row r="258">
      <c r="A258" s="96" t="n"/>
      <c r="B258" s="95">
        <f>IF(A258="","", "CTR-"&amp;TEXT(ROW()-5,"000"))</f>
        <v/>
      </c>
      <c r="C258" s="95" t="n"/>
      <c r="D258" s="95" t="n"/>
      <c r="E258" s="95" t="n"/>
      <c r="F258" s="95" t="n"/>
      <c r="G258" s="95" t="n"/>
      <c r="H258" s="95" t="n"/>
      <c r="I258" s="95" t="n"/>
      <c r="J258" s="95" t="n"/>
      <c r="K258" s="95" t="n"/>
      <c r="L258" s="96" t="n"/>
    </row>
    <row r="259">
      <c r="A259" s="96" t="n"/>
      <c r="B259" s="95">
        <f>IF(A259="","", "CTR-"&amp;TEXT(ROW()-5,"000"))</f>
        <v/>
      </c>
      <c r="C259" s="95" t="n"/>
      <c r="D259" s="95" t="n"/>
      <c r="E259" s="95" t="n"/>
      <c r="F259" s="95" t="n"/>
      <c r="G259" s="95" t="n"/>
      <c r="H259" s="95" t="n"/>
      <c r="I259" s="95" t="n"/>
      <c r="J259" s="95" t="n"/>
      <c r="K259" s="95" t="n"/>
      <c r="L259" s="96" t="n"/>
    </row>
    <row r="260">
      <c r="A260" s="96" t="n"/>
      <c r="B260" s="95">
        <f>IF(A260="","", "CTR-"&amp;TEXT(ROW()-5,"000"))</f>
        <v/>
      </c>
      <c r="C260" s="95" t="n"/>
      <c r="D260" s="95" t="n"/>
      <c r="E260" s="95" t="n"/>
      <c r="F260" s="95" t="n"/>
      <c r="G260" s="95" t="n"/>
      <c r="H260" s="95" t="n"/>
      <c r="I260" s="95" t="n"/>
      <c r="J260" s="95" t="n"/>
      <c r="K260" s="95" t="n"/>
      <c r="L260" s="96" t="n"/>
    </row>
    <row r="261">
      <c r="A261" s="96" t="n"/>
      <c r="B261" s="95">
        <f>IF(A261="","", "CTR-"&amp;TEXT(ROW()-5,"000"))</f>
        <v/>
      </c>
      <c r="C261" s="95" t="n"/>
      <c r="D261" s="95" t="n"/>
      <c r="E261" s="95" t="n"/>
      <c r="F261" s="95" t="n"/>
      <c r="G261" s="95" t="n"/>
      <c r="H261" s="95" t="n"/>
      <c r="I261" s="95" t="n"/>
      <c r="J261" s="95" t="n"/>
      <c r="K261" s="95" t="n"/>
      <c r="L261" s="96" t="n"/>
    </row>
    <row r="262">
      <c r="A262" s="96" t="n"/>
      <c r="B262" s="95">
        <f>IF(A262="","", "CTR-"&amp;TEXT(ROW()-5,"000"))</f>
        <v/>
      </c>
      <c r="C262" s="95" t="n"/>
      <c r="D262" s="95" t="n"/>
      <c r="E262" s="95" t="n"/>
      <c r="F262" s="95" t="n"/>
      <c r="G262" s="95" t="n"/>
      <c r="H262" s="95" t="n"/>
      <c r="I262" s="95" t="n"/>
      <c r="J262" s="95" t="n"/>
      <c r="K262" s="95" t="n"/>
      <c r="L262" s="96" t="n"/>
    </row>
    <row r="263">
      <c r="A263" s="96" t="n"/>
      <c r="B263" s="95">
        <f>IF(A263="","", "CTR-"&amp;TEXT(ROW()-5,"000"))</f>
        <v/>
      </c>
      <c r="C263" s="95" t="n"/>
      <c r="D263" s="95" t="n"/>
      <c r="E263" s="95" t="n"/>
      <c r="F263" s="95" t="n"/>
      <c r="G263" s="95" t="n"/>
      <c r="H263" s="95" t="n"/>
      <c r="I263" s="95" t="n"/>
      <c r="J263" s="95" t="n"/>
      <c r="K263" s="95" t="n"/>
      <c r="L263" s="96" t="n"/>
    </row>
    <row r="264">
      <c r="A264" s="96" t="n"/>
      <c r="B264" s="95">
        <f>IF(A264="","", "CTR-"&amp;TEXT(ROW()-5,"000"))</f>
        <v/>
      </c>
      <c r="C264" s="95" t="n"/>
      <c r="D264" s="95" t="n"/>
      <c r="E264" s="95" t="n"/>
      <c r="F264" s="95" t="n"/>
      <c r="G264" s="95" t="n"/>
      <c r="H264" s="95" t="n"/>
      <c r="I264" s="95" t="n"/>
      <c r="J264" s="95" t="n"/>
      <c r="K264" s="95" t="n"/>
      <c r="L264" s="96" t="n"/>
    </row>
    <row r="265">
      <c r="A265" s="96" t="n"/>
      <c r="B265" s="95">
        <f>IF(A265="","", "CTR-"&amp;TEXT(ROW()-5,"000"))</f>
        <v/>
      </c>
      <c r="C265" s="95" t="n"/>
      <c r="D265" s="95" t="n"/>
      <c r="E265" s="95" t="n"/>
      <c r="F265" s="95" t="n"/>
      <c r="G265" s="95" t="n"/>
      <c r="H265" s="95" t="n"/>
      <c r="I265" s="95" t="n"/>
      <c r="J265" s="95" t="n"/>
      <c r="K265" s="95" t="n"/>
      <c r="L265" s="96" t="n"/>
    </row>
    <row r="266">
      <c r="A266" s="96" t="n"/>
      <c r="B266" s="95">
        <f>IF(A266="","", "CTR-"&amp;TEXT(ROW()-5,"000"))</f>
        <v/>
      </c>
      <c r="C266" s="95" t="n"/>
      <c r="D266" s="95" t="n"/>
      <c r="E266" s="95" t="n"/>
      <c r="F266" s="95" t="n"/>
      <c r="G266" s="95" t="n"/>
      <c r="H266" s="95" t="n"/>
      <c r="I266" s="95" t="n"/>
      <c r="J266" s="95" t="n"/>
      <c r="K266" s="95" t="n"/>
      <c r="L266" s="96" t="n"/>
    </row>
    <row r="267">
      <c r="A267" s="96" t="n"/>
      <c r="B267" s="95">
        <f>IF(A267="","", "CTR-"&amp;TEXT(ROW()-5,"000"))</f>
        <v/>
      </c>
      <c r="C267" s="95" t="n"/>
      <c r="D267" s="95" t="n"/>
      <c r="E267" s="95" t="n"/>
      <c r="F267" s="95" t="n"/>
      <c r="G267" s="95" t="n"/>
      <c r="H267" s="95" t="n"/>
      <c r="I267" s="95" t="n"/>
      <c r="J267" s="95" t="n"/>
      <c r="K267" s="95" t="n"/>
      <c r="L267" s="96" t="n"/>
    </row>
    <row r="268">
      <c r="A268" s="96" t="n"/>
      <c r="B268" s="95">
        <f>IF(A268="","", "CTR-"&amp;TEXT(ROW()-5,"000"))</f>
        <v/>
      </c>
      <c r="C268" s="95" t="n"/>
      <c r="D268" s="95" t="n"/>
      <c r="E268" s="95" t="n"/>
      <c r="F268" s="95" t="n"/>
      <c r="G268" s="95" t="n"/>
      <c r="H268" s="95" t="n"/>
      <c r="I268" s="95" t="n"/>
      <c r="J268" s="95" t="n"/>
      <c r="K268" s="95" t="n"/>
      <c r="L268" s="96" t="n"/>
    </row>
    <row r="269">
      <c r="A269" s="96" t="n"/>
      <c r="B269" s="95">
        <f>IF(A269="","", "CTR-"&amp;TEXT(ROW()-5,"000"))</f>
        <v/>
      </c>
      <c r="C269" s="95" t="n"/>
      <c r="D269" s="95" t="n"/>
      <c r="E269" s="95" t="n"/>
      <c r="F269" s="95" t="n"/>
      <c r="G269" s="95" t="n"/>
      <c r="H269" s="95" t="n"/>
      <c r="I269" s="95" t="n"/>
      <c r="J269" s="95" t="n"/>
      <c r="K269" s="95" t="n"/>
      <c r="L269" s="96" t="n"/>
    </row>
    <row r="270">
      <c r="A270" s="96" t="n"/>
      <c r="B270" s="95">
        <f>IF(A270="","", "CTR-"&amp;TEXT(ROW()-5,"000"))</f>
        <v/>
      </c>
      <c r="C270" s="95" t="n"/>
      <c r="D270" s="95" t="n"/>
      <c r="E270" s="95" t="n"/>
      <c r="F270" s="95" t="n"/>
      <c r="G270" s="95" t="n"/>
      <c r="H270" s="95" t="n"/>
      <c r="I270" s="95" t="n"/>
      <c r="J270" s="95" t="n"/>
      <c r="K270" s="95" t="n"/>
      <c r="L270" s="96" t="n"/>
    </row>
    <row r="271">
      <c r="A271" s="96" t="n"/>
      <c r="B271" s="95">
        <f>IF(A271="","", "CTR-"&amp;TEXT(ROW()-5,"000"))</f>
        <v/>
      </c>
      <c r="C271" s="95" t="n"/>
      <c r="D271" s="95" t="n"/>
      <c r="E271" s="95" t="n"/>
      <c r="F271" s="95" t="n"/>
      <c r="G271" s="95" t="n"/>
      <c r="H271" s="95" t="n"/>
      <c r="I271" s="95" t="n"/>
      <c r="J271" s="95" t="n"/>
      <c r="K271" s="95" t="n"/>
      <c r="L271" s="96" t="n"/>
    </row>
    <row r="272">
      <c r="A272" s="96" t="n"/>
      <c r="B272" s="95">
        <f>IF(A272="","", "CTR-"&amp;TEXT(ROW()-5,"000"))</f>
        <v/>
      </c>
      <c r="C272" s="95" t="n"/>
      <c r="D272" s="95" t="n"/>
      <c r="E272" s="95" t="n"/>
      <c r="F272" s="95" t="n"/>
      <c r="G272" s="95" t="n"/>
      <c r="H272" s="95" t="n"/>
      <c r="I272" s="95" t="n"/>
      <c r="J272" s="95" t="n"/>
      <c r="K272" s="95" t="n"/>
      <c r="L272" s="96" t="n"/>
    </row>
    <row r="273">
      <c r="A273" s="96" t="n"/>
      <c r="B273" s="95">
        <f>IF(A273="","", "CTR-"&amp;TEXT(ROW()-5,"000"))</f>
        <v/>
      </c>
      <c r="C273" s="95" t="n"/>
      <c r="D273" s="95" t="n"/>
      <c r="E273" s="95" t="n"/>
      <c r="F273" s="95" t="n"/>
      <c r="G273" s="95" t="n"/>
      <c r="H273" s="95" t="n"/>
      <c r="I273" s="95" t="n"/>
      <c r="J273" s="95" t="n"/>
      <c r="K273" s="95" t="n"/>
      <c r="L273" s="96" t="n"/>
    </row>
    <row r="274">
      <c r="A274" s="96" t="n"/>
      <c r="B274" s="95">
        <f>IF(A274="","", "CTR-"&amp;TEXT(ROW()-5,"000"))</f>
        <v/>
      </c>
      <c r="C274" s="95" t="n"/>
      <c r="D274" s="95" t="n"/>
      <c r="E274" s="95" t="n"/>
      <c r="F274" s="95" t="n"/>
      <c r="G274" s="95" t="n"/>
      <c r="H274" s="95" t="n"/>
      <c r="I274" s="95" t="n"/>
      <c r="J274" s="95" t="n"/>
      <c r="K274" s="95" t="n"/>
      <c r="L274" s="96" t="n"/>
    </row>
    <row r="275">
      <c r="A275" s="96" t="n"/>
      <c r="B275" s="95">
        <f>IF(A275="","", "CTR-"&amp;TEXT(ROW()-5,"000"))</f>
        <v/>
      </c>
      <c r="C275" s="95" t="n"/>
      <c r="D275" s="95" t="n"/>
      <c r="E275" s="95" t="n"/>
      <c r="F275" s="95" t="n"/>
      <c r="G275" s="95" t="n"/>
      <c r="H275" s="95" t="n"/>
      <c r="I275" s="95" t="n"/>
      <c r="J275" s="95" t="n"/>
      <c r="K275" s="95" t="n"/>
      <c r="L275" s="96" t="n"/>
    </row>
    <row r="276">
      <c r="A276" s="96" t="n"/>
      <c r="B276" s="95">
        <f>IF(A276="","", "CTR-"&amp;TEXT(ROW()-5,"000"))</f>
        <v/>
      </c>
      <c r="C276" s="95" t="n"/>
      <c r="D276" s="95" t="n"/>
      <c r="E276" s="95" t="n"/>
      <c r="F276" s="95" t="n"/>
      <c r="G276" s="95" t="n"/>
      <c r="H276" s="95" t="n"/>
      <c r="I276" s="95" t="n"/>
      <c r="J276" s="95" t="n"/>
      <c r="K276" s="95" t="n"/>
      <c r="L276" s="96" t="n"/>
    </row>
    <row r="277">
      <c r="A277" s="96" t="n"/>
      <c r="B277" s="95">
        <f>IF(A277="","", "CTR-"&amp;TEXT(ROW()-5,"000"))</f>
        <v/>
      </c>
      <c r="C277" s="95" t="n"/>
      <c r="D277" s="95" t="n"/>
      <c r="E277" s="95" t="n"/>
      <c r="F277" s="95" t="n"/>
      <c r="G277" s="95" t="n"/>
      <c r="H277" s="95" t="n"/>
      <c r="I277" s="95" t="n"/>
      <c r="J277" s="95" t="n"/>
      <c r="K277" s="95" t="n"/>
      <c r="L277" s="96" t="n"/>
    </row>
    <row r="278">
      <c r="A278" s="96" t="n"/>
      <c r="B278" s="95">
        <f>IF(A278="","", "CTR-"&amp;TEXT(ROW()-5,"000"))</f>
        <v/>
      </c>
      <c r="C278" s="95" t="n"/>
      <c r="D278" s="95" t="n"/>
      <c r="E278" s="95" t="n"/>
      <c r="F278" s="95" t="n"/>
      <c r="G278" s="95" t="n"/>
      <c r="H278" s="95" t="n"/>
      <c r="I278" s="95" t="n"/>
      <c r="J278" s="95" t="n"/>
      <c r="K278" s="95" t="n"/>
      <c r="L278" s="96" t="n"/>
    </row>
    <row r="279">
      <c r="A279" s="96" t="n"/>
      <c r="B279" s="95">
        <f>IF(A279="","", "CTR-"&amp;TEXT(ROW()-5,"000"))</f>
        <v/>
      </c>
      <c r="C279" s="95" t="n"/>
      <c r="D279" s="95" t="n"/>
      <c r="E279" s="95" t="n"/>
      <c r="F279" s="95" t="n"/>
      <c r="G279" s="95" t="n"/>
      <c r="H279" s="95" t="n"/>
      <c r="I279" s="95" t="n"/>
      <c r="J279" s="95" t="n"/>
      <c r="K279" s="95" t="n"/>
      <c r="L279" s="96" t="n"/>
    </row>
    <row r="280">
      <c r="A280" s="96" t="n"/>
      <c r="B280" s="95">
        <f>IF(A280="","", "CTR-"&amp;TEXT(ROW()-5,"000"))</f>
        <v/>
      </c>
      <c r="C280" s="95" t="n"/>
      <c r="D280" s="95" t="n"/>
      <c r="E280" s="95" t="n"/>
      <c r="F280" s="95" t="n"/>
      <c r="G280" s="95" t="n"/>
      <c r="H280" s="95" t="n"/>
      <c r="I280" s="95" t="n"/>
      <c r="J280" s="95" t="n"/>
      <c r="K280" s="95" t="n"/>
      <c r="L280" s="96" t="n"/>
    </row>
    <row r="281">
      <c r="A281" s="96" t="n"/>
      <c r="B281" s="95">
        <f>IF(A281="","", "CTR-"&amp;TEXT(ROW()-5,"000"))</f>
        <v/>
      </c>
      <c r="C281" s="95" t="n"/>
      <c r="D281" s="95" t="n"/>
      <c r="E281" s="95" t="n"/>
      <c r="F281" s="95" t="n"/>
      <c r="G281" s="95" t="n"/>
      <c r="H281" s="95" t="n"/>
      <c r="I281" s="95" t="n"/>
      <c r="J281" s="95" t="n"/>
      <c r="K281" s="95" t="n"/>
      <c r="L281" s="96" t="n"/>
    </row>
    <row r="282">
      <c r="A282" s="96" t="n"/>
      <c r="B282" s="95">
        <f>IF(A282="","", "CTR-"&amp;TEXT(ROW()-5,"000"))</f>
        <v/>
      </c>
      <c r="C282" s="95" t="n"/>
      <c r="D282" s="95" t="n"/>
      <c r="E282" s="95" t="n"/>
      <c r="F282" s="95" t="n"/>
      <c r="G282" s="95" t="n"/>
      <c r="H282" s="95" t="n"/>
      <c r="I282" s="95" t="n"/>
      <c r="J282" s="95" t="n"/>
      <c r="K282" s="95" t="n"/>
      <c r="L282" s="96" t="n"/>
    </row>
    <row r="283">
      <c r="A283" s="96" t="n"/>
      <c r="B283" s="95">
        <f>IF(A283="","", "CTR-"&amp;TEXT(ROW()-5,"000"))</f>
        <v/>
      </c>
      <c r="C283" s="95" t="n"/>
      <c r="D283" s="95" t="n"/>
      <c r="E283" s="95" t="n"/>
      <c r="F283" s="95" t="n"/>
      <c r="G283" s="95" t="n"/>
      <c r="H283" s="95" t="n"/>
      <c r="I283" s="95" t="n"/>
      <c r="J283" s="95" t="n"/>
      <c r="K283" s="95" t="n"/>
      <c r="L283" s="96" t="n"/>
    </row>
    <row r="284">
      <c r="A284" s="96" t="n"/>
      <c r="B284" s="95">
        <f>IF(A284="","", "CTR-"&amp;TEXT(ROW()-5,"000"))</f>
        <v/>
      </c>
      <c r="C284" s="95" t="n"/>
      <c r="D284" s="95" t="n"/>
      <c r="E284" s="95" t="n"/>
      <c r="F284" s="95" t="n"/>
      <c r="G284" s="95" t="n"/>
      <c r="H284" s="95" t="n"/>
      <c r="I284" s="95" t="n"/>
      <c r="J284" s="95" t="n"/>
      <c r="K284" s="95" t="n"/>
      <c r="L284" s="96" t="n"/>
    </row>
    <row r="285">
      <c r="A285" s="96" t="n"/>
      <c r="B285" s="95">
        <f>IF(A285="","", "CTR-"&amp;TEXT(ROW()-5,"000"))</f>
        <v/>
      </c>
      <c r="C285" s="95" t="n"/>
      <c r="D285" s="95" t="n"/>
      <c r="E285" s="95" t="n"/>
      <c r="F285" s="95" t="n"/>
      <c r="G285" s="95" t="n"/>
      <c r="H285" s="95" t="n"/>
      <c r="I285" s="95" t="n"/>
      <c r="J285" s="95" t="n"/>
      <c r="K285" s="95" t="n"/>
      <c r="L285" s="96" t="n"/>
    </row>
    <row r="286">
      <c r="A286" s="96" t="n"/>
      <c r="B286" s="95">
        <f>IF(A286="","", "CTR-"&amp;TEXT(ROW()-5,"000"))</f>
        <v/>
      </c>
      <c r="C286" s="95" t="n"/>
      <c r="D286" s="95" t="n"/>
      <c r="E286" s="95" t="n"/>
      <c r="F286" s="95" t="n"/>
      <c r="G286" s="95" t="n"/>
      <c r="H286" s="95" t="n"/>
      <c r="I286" s="95" t="n"/>
      <c r="J286" s="95" t="n"/>
      <c r="K286" s="95" t="n"/>
      <c r="L286" s="96" t="n"/>
    </row>
    <row r="287">
      <c r="A287" s="96" t="n"/>
      <c r="B287" s="95">
        <f>IF(A287="","", "CTR-"&amp;TEXT(ROW()-5,"000"))</f>
        <v/>
      </c>
      <c r="C287" s="95" t="n"/>
      <c r="D287" s="95" t="n"/>
      <c r="E287" s="95" t="n"/>
      <c r="F287" s="95" t="n"/>
      <c r="G287" s="95" t="n"/>
      <c r="H287" s="95" t="n"/>
      <c r="I287" s="95" t="n"/>
      <c r="J287" s="95" t="n"/>
      <c r="K287" s="95" t="n"/>
      <c r="L287" s="96" t="n"/>
    </row>
    <row r="288">
      <c r="A288" s="96" t="n"/>
      <c r="B288" s="95">
        <f>IF(A288="","", "CTR-"&amp;TEXT(ROW()-5,"000"))</f>
        <v/>
      </c>
      <c r="C288" s="95" t="n"/>
      <c r="D288" s="95" t="n"/>
      <c r="E288" s="95" t="n"/>
      <c r="F288" s="95" t="n"/>
      <c r="G288" s="95" t="n"/>
      <c r="H288" s="95" t="n"/>
      <c r="I288" s="95" t="n"/>
      <c r="J288" s="95" t="n"/>
      <c r="K288" s="95" t="n"/>
      <c r="L288" s="96" t="n"/>
    </row>
    <row r="289">
      <c r="A289" s="96" t="n"/>
      <c r="B289" s="95">
        <f>IF(A289="","", "CTR-"&amp;TEXT(ROW()-5,"000"))</f>
        <v/>
      </c>
      <c r="C289" s="95" t="n"/>
      <c r="D289" s="95" t="n"/>
      <c r="E289" s="95" t="n"/>
      <c r="F289" s="95" t="n"/>
      <c r="G289" s="95" t="n"/>
      <c r="H289" s="95" t="n"/>
      <c r="I289" s="95" t="n"/>
      <c r="J289" s="95" t="n"/>
      <c r="K289" s="95" t="n"/>
      <c r="L289" s="96" t="n"/>
    </row>
    <row r="290">
      <c r="A290" s="96" t="n"/>
      <c r="B290" s="95">
        <f>IF(A290="","", "CTR-"&amp;TEXT(ROW()-5,"000"))</f>
        <v/>
      </c>
      <c r="C290" s="95" t="n"/>
      <c r="D290" s="95" t="n"/>
      <c r="E290" s="95" t="n"/>
      <c r="F290" s="95" t="n"/>
      <c r="G290" s="95" t="n"/>
      <c r="H290" s="95" t="n"/>
      <c r="I290" s="95" t="n"/>
      <c r="J290" s="95" t="n"/>
      <c r="K290" s="95" t="n"/>
      <c r="L290" s="96" t="n"/>
    </row>
    <row r="291">
      <c r="A291" s="96" t="n"/>
      <c r="B291" s="95">
        <f>IF(A291="","", "CTR-"&amp;TEXT(ROW()-5,"000"))</f>
        <v/>
      </c>
      <c r="C291" s="95" t="n"/>
      <c r="D291" s="95" t="n"/>
      <c r="E291" s="95" t="n"/>
      <c r="F291" s="95" t="n"/>
      <c r="G291" s="95" t="n"/>
      <c r="H291" s="95" t="n"/>
      <c r="I291" s="95" t="n"/>
      <c r="J291" s="95" t="n"/>
      <c r="K291" s="95" t="n"/>
      <c r="L291" s="96" t="n"/>
    </row>
    <row r="292">
      <c r="A292" s="96" t="n"/>
      <c r="B292" s="95">
        <f>IF(A292="","", "CTR-"&amp;TEXT(ROW()-5,"000"))</f>
        <v/>
      </c>
      <c r="C292" s="95" t="n"/>
      <c r="D292" s="95" t="n"/>
      <c r="E292" s="95" t="n"/>
      <c r="F292" s="95" t="n"/>
      <c r="G292" s="95" t="n"/>
      <c r="H292" s="95" t="n"/>
      <c r="I292" s="95" t="n"/>
      <c r="J292" s="95" t="n"/>
      <c r="K292" s="95" t="n"/>
      <c r="L292" s="96" t="n"/>
    </row>
    <row r="293">
      <c r="A293" s="96" t="n"/>
      <c r="B293" s="95">
        <f>IF(A293="","", "CTR-"&amp;TEXT(ROW()-5,"000"))</f>
        <v/>
      </c>
      <c r="C293" s="95" t="n"/>
      <c r="D293" s="95" t="n"/>
      <c r="E293" s="95" t="n"/>
      <c r="F293" s="95" t="n"/>
      <c r="G293" s="95" t="n"/>
      <c r="H293" s="95" t="n"/>
      <c r="I293" s="95" t="n"/>
      <c r="J293" s="95" t="n"/>
      <c r="K293" s="95" t="n"/>
      <c r="L293" s="96" t="n"/>
    </row>
    <row r="294">
      <c r="A294" s="96" t="n"/>
      <c r="B294" s="95">
        <f>IF(A294="","", "CTR-"&amp;TEXT(ROW()-5,"000"))</f>
        <v/>
      </c>
      <c r="C294" s="95" t="n"/>
      <c r="D294" s="95" t="n"/>
      <c r="E294" s="95" t="n"/>
      <c r="F294" s="95" t="n"/>
      <c r="G294" s="95" t="n"/>
      <c r="H294" s="95" t="n"/>
      <c r="I294" s="95" t="n"/>
      <c r="J294" s="95" t="n"/>
      <c r="K294" s="95" t="n"/>
      <c r="L294" s="96" t="n"/>
    </row>
    <row r="295">
      <c r="A295" s="96" t="n"/>
      <c r="B295" s="95">
        <f>IF(A295="","", "CTR-"&amp;TEXT(ROW()-5,"000"))</f>
        <v/>
      </c>
      <c r="C295" s="95" t="n"/>
      <c r="D295" s="95" t="n"/>
      <c r="E295" s="95" t="n"/>
      <c r="F295" s="95" t="n"/>
      <c r="G295" s="95" t="n"/>
      <c r="H295" s="95" t="n"/>
      <c r="I295" s="95" t="n"/>
      <c r="J295" s="95" t="n"/>
      <c r="K295" s="95" t="n"/>
      <c r="L295" s="96" t="n"/>
    </row>
    <row r="296">
      <c r="A296" s="96" t="n"/>
      <c r="B296" s="95">
        <f>IF(A296="","", "CTR-"&amp;TEXT(ROW()-5,"000"))</f>
        <v/>
      </c>
      <c r="C296" s="95" t="n"/>
      <c r="D296" s="95" t="n"/>
      <c r="E296" s="95" t="n"/>
      <c r="F296" s="95" t="n"/>
      <c r="G296" s="95" t="n"/>
      <c r="H296" s="95" t="n"/>
      <c r="I296" s="95" t="n"/>
      <c r="J296" s="95" t="n"/>
      <c r="K296" s="95" t="n"/>
      <c r="L296" s="96" t="n"/>
    </row>
    <row r="297">
      <c r="A297" s="96" t="n"/>
      <c r="B297" s="95">
        <f>IF(A297="","", "CTR-"&amp;TEXT(ROW()-5,"000"))</f>
        <v/>
      </c>
      <c r="C297" s="95" t="n"/>
      <c r="D297" s="95" t="n"/>
      <c r="E297" s="95" t="n"/>
      <c r="F297" s="95" t="n"/>
      <c r="G297" s="95" t="n"/>
      <c r="H297" s="95" t="n"/>
      <c r="I297" s="95" t="n"/>
      <c r="J297" s="95" t="n"/>
      <c r="K297" s="95" t="n"/>
      <c r="L297" s="96" t="n"/>
    </row>
    <row r="298">
      <c r="A298" s="96" t="n"/>
      <c r="B298" s="95">
        <f>IF(A298="","", "CTR-"&amp;TEXT(ROW()-5,"000"))</f>
        <v/>
      </c>
      <c r="C298" s="95" t="n"/>
      <c r="D298" s="95" t="n"/>
      <c r="E298" s="95" t="n"/>
      <c r="F298" s="95" t="n"/>
      <c r="G298" s="95" t="n"/>
      <c r="H298" s="95" t="n"/>
      <c r="I298" s="95" t="n"/>
      <c r="J298" s="95" t="n"/>
      <c r="K298" s="95" t="n"/>
      <c r="L298" s="96" t="n"/>
    </row>
    <row r="299">
      <c r="A299" s="96" t="n"/>
      <c r="B299" s="95">
        <f>IF(A299="","", "CTR-"&amp;TEXT(ROW()-5,"000"))</f>
        <v/>
      </c>
      <c r="C299" s="95" t="n"/>
      <c r="D299" s="95" t="n"/>
      <c r="E299" s="95" t="n"/>
      <c r="F299" s="95" t="n"/>
      <c r="G299" s="95" t="n"/>
      <c r="H299" s="95" t="n"/>
      <c r="I299" s="95" t="n"/>
      <c r="J299" s="95" t="n"/>
      <c r="K299" s="95" t="n"/>
      <c r="L299" s="96" t="n"/>
    </row>
    <row r="300">
      <c r="A300" s="96" t="n"/>
      <c r="B300" s="95">
        <f>IF(A300="","", "CTR-"&amp;TEXT(ROW()-5,"000"))</f>
        <v/>
      </c>
      <c r="C300" s="95" t="n"/>
      <c r="D300" s="95" t="n"/>
      <c r="E300" s="95" t="n"/>
      <c r="F300" s="95" t="n"/>
      <c r="G300" s="95" t="n"/>
      <c r="H300" s="95" t="n"/>
      <c r="I300" s="95" t="n"/>
      <c r="J300" s="95" t="n"/>
      <c r="K300" s="95" t="n"/>
      <c r="L300" s="96" t="n"/>
    </row>
    <row r="301">
      <c r="A301" s="96" t="n"/>
      <c r="B301" s="95">
        <f>IF(A301="","", "CTR-"&amp;TEXT(ROW()-5,"000"))</f>
        <v/>
      </c>
      <c r="C301" s="95" t="n"/>
      <c r="D301" s="95" t="n"/>
      <c r="E301" s="95" t="n"/>
      <c r="F301" s="95" t="n"/>
      <c r="G301" s="95" t="n"/>
      <c r="H301" s="95" t="n"/>
      <c r="I301" s="95" t="n"/>
      <c r="J301" s="95" t="n"/>
      <c r="K301" s="95" t="n"/>
      <c r="L301" s="96" t="n"/>
    </row>
    <row r="302">
      <c r="A302" s="96" t="n"/>
      <c r="B302" s="95">
        <f>IF(A302="","", "CTR-"&amp;TEXT(ROW()-5,"000"))</f>
        <v/>
      </c>
      <c r="C302" s="95" t="n"/>
      <c r="D302" s="95" t="n"/>
      <c r="E302" s="95" t="n"/>
      <c r="F302" s="95" t="n"/>
      <c r="G302" s="95" t="n"/>
      <c r="H302" s="95" t="n"/>
      <c r="I302" s="95" t="n"/>
      <c r="J302" s="95" t="n"/>
      <c r="K302" s="95" t="n"/>
      <c r="L302" s="96" t="n"/>
    </row>
    <row r="303">
      <c r="A303" s="96" t="n"/>
      <c r="B303" s="95">
        <f>IF(A303="","", "CTR-"&amp;TEXT(ROW()-5,"000"))</f>
        <v/>
      </c>
      <c r="C303" s="95" t="n"/>
      <c r="D303" s="95" t="n"/>
      <c r="E303" s="95" t="n"/>
      <c r="F303" s="95" t="n"/>
      <c r="G303" s="95" t="n"/>
      <c r="H303" s="95" t="n"/>
      <c r="I303" s="95" t="n"/>
      <c r="J303" s="95" t="n"/>
      <c r="K303" s="95" t="n"/>
      <c r="L303" s="96" t="n"/>
    </row>
    <row r="304">
      <c r="A304" s="96" t="n"/>
      <c r="B304" s="95">
        <f>IF(A304="","", "CTR-"&amp;TEXT(ROW()-5,"000"))</f>
        <v/>
      </c>
      <c r="C304" s="95" t="n"/>
      <c r="D304" s="95" t="n"/>
      <c r="E304" s="95" t="n"/>
      <c r="F304" s="95" t="n"/>
      <c r="G304" s="95" t="n"/>
      <c r="H304" s="95" t="n"/>
      <c r="I304" s="95" t="n"/>
      <c r="J304" s="95" t="n"/>
      <c r="K304" s="95" t="n"/>
      <c r="L304" s="96" t="n"/>
    </row>
    <row r="305">
      <c r="A305" s="96" t="n"/>
      <c r="B305" s="95">
        <f>IF(A305="","", "CTR-"&amp;TEXT(ROW()-5,"000"))</f>
        <v/>
      </c>
      <c r="C305" s="95" t="n"/>
      <c r="D305" s="95" t="n"/>
      <c r="E305" s="95" t="n"/>
      <c r="F305" s="95" t="n"/>
      <c r="G305" s="95" t="n"/>
      <c r="H305" s="95" t="n"/>
      <c r="I305" s="95" t="n"/>
      <c r="J305" s="95" t="n"/>
      <c r="K305" s="95" t="n"/>
      <c r="L305" s="96" t="n"/>
    </row>
    <row r="306">
      <c r="A306" s="96" t="n"/>
      <c r="B306" s="95">
        <f>IF(A306="","", "CTR-"&amp;TEXT(ROW()-5,"000"))</f>
        <v/>
      </c>
      <c r="C306" s="95" t="n"/>
      <c r="D306" s="95" t="n"/>
      <c r="E306" s="95" t="n"/>
      <c r="F306" s="95" t="n"/>
      <c r="G306" s="95" t="n"/>
      <c r="H306" s="95" t="n"/>
      <c r="I306" s="95" t="n"/>
      <c r="J306" s="95" t="n"/>
      <c r="K306" s="95" t="n"/>
      <c r="L306" s="96" t="n"/>
    </row>
    <row r="307">
      <c r="A307" s="96" t="n"/>
      <c r="B307" s="95">
        <f>IF(A307="","", "CTR-"&amp;TEXT(ROW()-5,"000"))</f>
        <v/>
      </c>
      <c r="C307" s="95" t="n"/>
      <c r="D307" s="95" t="n"/>
      <c r="E307" s="95" t="n"/>
      <c r="F307" s="95" t="n"/>
      <c r="G307" s="95" t="n"/>
      <c r="H307" s="95" t="n"/>
      <c r="I307" s="95" t="n"/>
      <c r="J307" s="95" t="n"/>
      <c r="K307" s="95" t="n"/>
      <c r="L307" s="96" t="n"/>
    </row>
    <row r="308">
      <c r="A308" s="96" t="n"/>
      <c r="B308" s="95">
        <f>IF(A308="","", "CTR-"&amp;TEXT(ROW()-5,"000"))</f>
        <v/>
      </c>
      <c r="C308" s="95" t="n"/>
      <c r="D308" s="95" t="n"/>
      <c r="E308" s="95" t="n"/>
      <c r="F308" s="95" t="n"/>
      <c r="G308" s="95" t="n"/>
      <c r="H308" s="95" t="n"/>
      <c r="I308" s="95" t="n"/>
      <c r="J308" s="95" t="n"/>
      <c r="K308" s="95" t="n"/>
      <c r="L308" s="96" t="n"/>
    </row>
    <row r="309">
      <c r="A309" s="96" t="n"/>
      <c r="B309" s="95">
        <f>IF(A309="","", "CTR-"&amp;TEXT(ROW()-5,"000"))</f>
        <v/>
      </c>
      <c r="C309" s="95" t="n"/>
      <c r="D309" s="95" t="n"/>
      <c r="E309" s="95" t="n"/>
      <c r="F309" s="95" t="n"/>
      <c r="G309" s="95" t="n"/>
      <c r="H309" s="95" t="n"/>
      <c r="I309" s="95" t="n"/>
      <c r="J309" s="95" t="n"/>
      <c r="K309" s="95" t="n"/>
      <c r="L309" s="96" t="n"/>
    </row>
    <row r="310">
      <c r="A310" s="96" t="n"/>
      <c r="B310" s="95">
        <f>IF(A310="","", "CTR-"&amp;TEXT(ROW()-5,"000"))</f>
        <v/>
      </c>
      <c r="C310" s="95" t="n"/>
      <c r="D310" s="95" t="n"/>
      <c r="E310" s="95" t="n"/>
      <c r="F310" s="95" t="n"/>
      <c r="G310" s="95" t="n"/>
      <c r="H310" s="95" t="n"/>
      <c r="I310" s="95" t="n"/>
      <c r="J310" s="95" t="n"/>
      <c r="K310" s="95" t="n"/>
      <c r="L310" s="96" t="n"/>
    </row>
    <row r="311">
      <c r="A311" s="96" t="n"/>
      <c r="B311" s="95">
        <f>IF(A311="","", "CTR-"&amp;TEXT(ROW()-5,"000"))</f>
        <v/>
      </c>
      <c r="C311" s="95" t="n"/>
      <c r="D311" s="95" t="n"/>
      <c r="E311" s="95" t="n"/>
      <c r="F311" s="95" t="n"/>
      <c r="G311" s="95" t="n"/>
      <c r="H311" s="95" t="n"/>
      <c r="I311" s="95" t="n"/>
      <c r="J311" s="95" t="n"/>
      <c r="K311" s="95" t="n"/>
      <c r="L311" s="96" t="n"/>
    </row>
    <row r="312">
      <c r="A312" s="96" t="n"/>
      <c r="B312" s="95">
        <f>IF(A312="","", "CTR-"&amp;TEXT(ROW()-5,"000"))</f>
        <v/>
      </c>
      <c r="C312" s="95" t="n"/>
      <c r="D312" s="95" t="n"/>
      <c r="E312" s="95" t="n"/>
      <c r="F312" s="95" t="n"/>
      <c r="G312" s="95" t="n"/>
      <c r="H312" s="95" t="n"/>
      <c r="I312" s="95" t="n"/>
      <c r="J312" s="95" t="n"/>
      <c r="K312" s="95" t="n"/>
      <c r="L312" s="96" t="n"/>
    </row>
    <row r="313">
      <c r="A313" s="96" t="n"/>
      <c r="B313" s="95">
        <f>IF(A313="","", "CTR-"&amp;TEXT(ROW()-5,"000"))</f>
        <v/>
      </c>
      <c r="C313" s="95" t="n"/>
      <c r="D313" s="95" t="n"/>
      <c r="E313" s="95" t="n"/>
      <c r="F313" s="95" t="n"/>
      <c r="G313" s="95" t="n"/>
      <c r="H313" s="95" t="n"/>
      <c r="I313" s="95" t="n"/>
      <c r="J313" s="95" t="n"/>
      <c r="K313" s="95" t="n"/>
      <c r="L313" s="96" t="n"/>
    </row>
    <row r="314">
      <c r="A314" s="96" t="n"/>
      <c r="B314" s="95">
        <f>IF(A314="","", "CTR-"&amp;TEXT(ROW()-5,"000"))</f>
        <v/>
      </c>
      <c r="C314" s="95" t="n"/>
      <c r="D314" s="95" t="n"/>
      <c r="E314" s="95" t="n"/>
      <c r="F314" s="95" t="n"/>
      <c r="G314" s="95" t="n"/>
      <c r="H314" s="95" t="n"/>
      <c r="I314" s="95" t="n"/>
      <c r="J314" s="95" t="n"/>
      <c r="K314" s="95" t="n"/>
      <c r="L314" s="96" t="n"/>
    </row>
    <row r="315">
      <c r="A315" s="96" t="n"/>
      <c r="B315" s="95">
        <f>IF(A315="","", "CTR-"&amp;TEXT(ROW()-5,"000"))</f>
        <v/>
      </c>
      <c r="C315" s="95" t="n"/>
      <c r="D315" s="95" t="n"/>
      <c r="E315" s="95" t="n"/>
      <c r="F315" s="95" t="n"/>
      <c r="G315" s="95" t="n"/>
      <c r="H315" s="95" t="n"/>
      <c r="I315" s="95" t="n"/>
      <c r="J315" s="95" t="n"/>
      <c r="K315" s="95" t="n"/>
      <c r="L315" s="96" t="n"/>
    </row>
    <row r="316">
      <c r="A316" s="96" t="n"/>
      <c r="B316" s="95">
        <f>IF(A316="","", "CTR-"&amp;TEXT(ROW()-5,"000"))</f>
        <v/>
      </c>
      <c r="C316" s="95" t="n"/>
      <c r="D316" s="95" t="n"/>
      <c r="E316" s="95" t="n"/>
      <c r="F316" s="95" t="n"/>
      <c r="G316" s="95" t="n"/>
      <c r="H316" s="95" t="n"/>
      <c r="I316" s="95" t="n"/>
      <c r="J316" s="95" t="n"/>
      <c r="K316" s="95" t="n"/>
      <c r="L316" s="96" t="n"/>
    </row>
    <row r="317">
      <c r="A317" s="96" t="n"/>
      <c r="B317" s="95">
        <f>IF(A317="","", "CTR-"&amp;TEXT(ROW()-5,"000"))</f>
        <v/>
      </c>
      <c r="C317" s="95" t="n"/>
      <c r="D317" s="95" t="n"/>
      <c r="E317" s="95" t="n"/>
      <c r="F317" s="95" t="n"/>
      <c r="G317" s="95" t="n"/>
      <c r="H317" s="95" t="n"/>
      <c r="I317" s="95" t="n"/>
      <c r="J317" s="95" t="n"/>
      <c r="K317" s="95" t="n"/>
      <c r="L317" s="96" t="n"/>
    </row>
    <row r="318">
      <c r="A318" s="96" t="n"/>
      <c r="B318" s="95">
        <f>IF(A318="","", "CTR-"&amp;TEXT(ROW()-5,"000"))</f>
        <v/>
      </c>
      <c r="C318" s="95" t="n"/>
      <c r="D318" s="95" t="n"/>
      <c r="E318" s="95" t="n"/>
      <c r="F318" s="95" t="n"/>
      <c r="G318" s="95" t="n"/>
      <c r="H318" s="95" t="n"/>
      <c r="I318" s="95" t="n"/>
      <c r="J318" s="95" t="n"/>
      <c r="K318" s="95" t="n"/>
      <c r="L318" s="96" t="n"/>
    </row>
    <row r="319">
      <c r="A319" s="96" t="n"/>
      <c r="B319" s="95">
        <f>IF(A319="","", "CTR-"&amp;TEXT(ROW()-5,"000"))</f>
        <v/>
      </c>
      <c r="C319" s="95" t="n"/>
      <c r="D319" s="95" t="n"/>
      <c r="E319" s="95" t="n"/>
      <c r="F319" s="95" t="n"/>
      <c r="G319" s="95" t="n"/>
      <c r="H319" s="95" t="n"/>
      <c r="I319" s="95" t="n"/>
      <c r="J319" s="95" t="n"/>
      <c r="K319" s="95" t="n"/>
      <c r="L319" s="96" t="n"/>
    </row>
    <row r="320">
      <c r="A320" s="96" t="n"/>
      <c r="B320" s="95">
        <f>IF(A320="","", "CTR-"&amp;TEXT(ROW()-5,"000"))</f>
        <v/>
      </c>
      <c r="C320" s="95" t="n"/>
      <c r="D320" s="95" t="n"/>
      <c r="E320" s="95" t="n"/>
      <c r="F320" s="95" t="n"/>
      <c r="G320" s="95" t="n"/>
      <c r="H320" s="95" t="n"/>
      <c r="I320" s="95" t="n"/>
      <c r="J320" s="95" t="n"/>
      <c r="K320" s="95" t="n"/>
      <c r="L320" s="96" t="n"/>
    </row>
    <row r="321">
      <c r="A321" s="96" t="n"/>
      <c r="B321" s="95">
        <f>IF(A321="","", "CTR-"&amp;TEXT(ROW()-5,"000"))</f>
        <v/>
      </c>
      <c r="C321" s="95" t="n"/>
      <c r="D321" s="95" t="n"/>
      <c r="E321" s="95" t="n"/>
      <c r="F321" s="95" t="n"/>
      <c r="G321" s="95" t="n"/>
      <c r="H321" s="95" t="n"/>
      <c r="I321" s="95" t="n"/>
      <c r="J321" s="95" t="n"/>
      <c r="K321" s="95" t="n"/>
      <c r="L321" s="96" t="n"/>
    </row>
    <row r="322">
      <c r="A322" s="96" t="n"/>
      <c r="B322" s="95">
        <f>IF(A322="","", "CTR-"&amp;TEXT(ROW()-5,"000"))</f>
        <v/>
      </c>
      <c r="C322" s="95" t="n"/>
      <c r="D322" s="95" t="n"/>
      <c r="E322" s="95" t="n"/>
      <c r="F322" s="95" t="n"/>
      <c r="G322" s="95" t="n"/>
      <c r="H322" s="95" t="n"/>
      <c r="I322" s="95" t="n"/>
      <c r="J322" s="95" t="n"/>
      <c r="K322" s="95" t="n"/>
      <c r="L322" s="96" t="n"/>
    </row>
    <row r="323">
      <c r="A323" s="96" t="n"/>
      <c r="B323" s="95">
        <f>IF(A323="","", "CTR-"&amp;TEXT(ROW()-5,"000"))</f>
        <v/>
      </c>
      <c r="C323" s="95" t="n"/>
      <c r="D323" s="95" t="n"/>
      <c r="E323" s="95" t="n"/>
      <c r="F323" s="95" t="n"/>
      <c r="G323" s="95" t="n"/>
      <c r="H323" s="95" t="n"/>
      <c r="I323" s="95" t="n"/>
      <c r="J323" s="95" t="n"/>
      <c r="K323" s="95" t="n"/>
      <c r="L323" s="96" t="n"/>
    </row>
    <row r="324">
      <c r="A324" s="96" t="n"/>
      <c r="B324" s="95">
        <f>IF(A324="","", "CTR-"&amp;TEXT(ROW()-5,"000"))</f>
        <v/>
      </c>
      <c r="C324" s="95" t="n"/>
      <c r="D324" s="95" t="n"/>
      <c r="E324" s="95" t="n"/>
      <c r="F324" s="95" t="n"/>
      <c r="G324" s="95" t="n"/>
      <c r="H324" s="95" t="n"/>
      <c r="I324" s="95" t="n"/>
      <c r="J324" s="95" t="n"/>
      <c r="K324" s="95" t="n"/>
      <c r="L324" s="96" t="n"/>
    </row>
    <row r="325">
      <c r="A325" s="96" t="n"/>
      <c r="B325" s="95">
        <f>IF(A325="","", "CTR-"&amp;TEXT(ROW()-5,"000"))</f>
        <v/>
      </c>
      <c r="C325" s="95" t="n"/>
      <c r="D325" s="95" t="n"/>
      <c r="E325" s="95" t="n"/>
      <c r="F325" s="95" t="n"/>
      <c r="G325" s="95" t="n"/>
      <c r="H325" s="95" t="n"/>
      <c r="I325" s="95" t="n"/>
      <c r="J325" s="95" t="n"/>
      <c r="K325" s="95" t="n"/>
      <c r="L325" s="96" t="n"/>
    </row>
    <row r="326">
      <c r="A326" s="96" t="n"/>
      <c r="B326" s="95">
        <f>IF(A326="","", "CTR-"&amp;TEXT(ROW()-5,"000"))</f>
        <v/>
      </c>
      <c r="C326" s="95" t="n"/>
      <c r="D326" s="95" t="n"/>
      <c r="E326" s="95" t="n"/>
      <c r="F326" s="95" t="n"/>
      <c r="G326" s="95" t="n"/>
      <c r="H326" s="95" t="n"/>
      <c r="I326" s="95" t="n"/>
      <c r="J326" s="95" t="n"/>
      <c r="K326" s="95" t="n"/>
      <c r="L326" s="96" t="n"/>
    </row>
    <row r="327">
      <c r="A327" s="96" t="n"/>
      <c r="B327" s="95">
        <f>IF(A327="","", "CTR-"&amp;TEXT(ROW()-5,"000"))</f>
        <v/>
      </c>
      <c r="C327" s="95" t="n"/>
      <c r="D327" s="95" t="n"/>
      <c r="E327" s="95" t="n"/>
      <c r="F327" s="95" t="n"/>
      <c r="G327" s="95" t="n"/>
      <c r="H327" s="95" t="n"/>
      <c r="I327" s="95" t="n"/>
      <c r="J327" s="95" t="n"/>
      <c r="K327" s="95" t="n"/>
      <c r="L327" s="96" t="n"/>
    </row>
    <row r="328">
      <c r="A328" s="96" t="n"/>
      <c r="B328" s="95">
        <f>IF(A328="","", "CTR-"&amp;TEXT(ROW()-5,"000"))</f>
        <v/>
      </c>
      <c r="C328" s="95" t="n"/>
      <c r="D328" s="95" t="n"/>
      <c r="E328" s="95" t="n"/>
      <c r="F328" s="95" t="n"/>
      <c r="G328" s="95" t="n"/>
      <c r="H328" s="95" t="n"/>
      <c r="I328" s="95" t="n"/>
      <c r="J328" s="95" t="n"/>
      <c r="K328" s="95" t="n"/>
      <c r="L328" s="96" t="n"/>
    </row>
    <row r="329">
      <c r="A329" s="96" t="n"/>
      <c r="B329" s="95">
        <f>IF(A329="","", "CTR-"&amp;TEXT(ROW()-5,"000"))</f>
        <v/>
      </c>
      <c r="C329" s="95" t="n"/>
      <c r="D329" s="95" t="n"/>
      <c r="E329" s="95" t="n"/>
      <c r="F329" s="95" t="n"/>
      <c r="G329" s="95" t="n"/>
      <c r="H329" s="95" t="n"/>
      <c r="I329" s="95" t="n"/>
      <c r="J329" s="95" t="n"/>
      <c r="K329" s="95" t="n"/>
      <c r="L329" s="96" t="n"/>
    </row>
    <row r="330">
      <c r="A330" s="96" t="n"/>
      <c r="B330" s="95">
        <f>IF(A330="","", "CTR-"&amp;TEXT(ROW()-5,"000"))</f>
        <v/>
      </c>
      <c r="C330" s="95" t="n"/>
      <c r="D330" s="95" t="n"/>
      <c r="E330" s="95" t="n"/>
      <c r="F330" s="95" t="n"/>
      <c r="G330" s="95" t="n"/>
      <c r="H330" s="95" t="n"/>
      <c r="I330" s="95" t="n"/>
      <c r="J330" s="95" t="n"/>
      <c r="K330" s="95" t="n"/>
      <c r="L330" s="96" t="n"/>
    </row>
    <row r="331">
      <c r="A331" s="96" t="n"/>
      <c r="B331" s="95">
        <f>IF(A331="","", "CTR-"&amp;TEXT(ROW()-5,"000"))</f>
        <v/>
      </c>
      <c r="C331" s="95" t="n"/>
      <c r="D331" s="95" t="n"/>
      <c r="E331" s="95" t="n"/>
      <c r="F331" s="95" t="n"/>
      <c r="G331" s="95" t="n"/>
      <c r="H331" s="95" t="n"/>
      <c r="I331" s="95" t="n"/>
      <c r="J331" s="95" t="n"/>
      <c r="K331" s="95" t="n"/>
      <c r="L331" s="96" t="n"/>
    </row>
    <row r="332">
      <c r="A332" s="96" t="n"/>
      <c r="B332" s="95">
        <f>IF(A332="","", "CTR-"&amp;TEXT(ROW()-5,"000"))</f>
        <v/>
      </c>
      <c r="C332" s="95" t="n"/>
      <c r="D332" s="95" t="n"/>
      <c r="E332" s="95" t="n"/>
      <c r="F332" s="95" t="n"/>
      <c r="G332" s="95" t="n"/>
      <c r="H332" s="95" t="n"/>
      <c r="I332" s="95" t="n"/>
      <c r="J332" s="95" t="n"/>
      <c r="K332" s="95" t="n"/>
      <c r="L332" s="96" t="n"/>
    </row>
    <row r="333">
      <c r="A333" s="96" t="n"/>
      <c r="B333" s="95">
        <f>IF(A333="","", "CTR-"&amp;TEXT(ROW()-5,"000"))</f>
        <v/>
      </c>
      <c r="C333" s="95" t="n"/>
      <c r="D333" s="95" t="n"/>
      <c r="E333" s="95" t="n"/>
      <c r="F333" s="95" t="n"/>
      <c r="G333" s="95" t="n"/>
      <c r="H333" s="95" t="n"/>
      <c r="I333" s="95" t="n"/>
      <c r="J333" s="95" t="n"/>
      <c r="K333" s="95" t="n"/>
      <c r="L333" s="96" t="n"/>
    </row>
    <row r="334">
      <c r="A334" s="96" t="n"/>
      <c r="B334" s="95">
        <f>IF(A334="","", "CTR-"&amp;TEXT(ROW()-5,"000"))</f>
        <v/>
      </c>
      <c r="C334" s="95" t="n"/>
      <c r="D334" s="95" t="n"/>
      <c r="E334" s="95" t="n"/>
      <c r="F334" s="95" t="n"/>
      <c r="G334" s="95" t="n"/>
      <c r="H334" s="95" t="n"/>
      <c r="I334" s="95" t="n"/>
      <c r="J334" s="95" t="n"/>
      <c r="K334" s="95" t="n"/>
      <c r="L334" s="96" t="n"/>
    </row>
    <row r="335">
      <c r="A335" s="96" t="n"/>
      <c r="B335" s="95">
        <f>IF(A335="","", "CTR-"&amp;TEXT(ROW()-5,"000"))</f>
        <v/>
      </c>
      <c r="C335" s="95" t="n"/>
      <c r="D335" s="95" t="n"/>
      <c r="E335" s="95" t="n"/>
      <c r="F335" s="95" t="n"/>
      <c r="G335" s="95" t="n"/>
      <c r="H335" s="95" t="n"/>
      <c r="I335" s="95" t="n"/>
      <c r="J335" s="95" t="n"/>
      <c r="K335" s="95" t="n"/>
      <c r="L335" s="96" t="n"/>
    </row>
    <row r="336">
      <c r="A336" s="96" t="n"/>
      <c r="B336" s="95">
        <f>IF(A336="","", "CTR-"&amp;TEXT(ROW()-5,"000"))</f>
        <v/>
      </c>
      <c r="C336" s="95" t="n"/>
      <c r="D336" s="95" t="n"/>
      <c r="E336" s="95" t="n"/>
      <c r="F336" s="95" t="n"/>
      <c r="G336" s="95" t="n"/>
      <c r="H336" s="95" t="n"/>
      <c r="I336" s="95" t="n"/>
      <c r="J336" s="95" t="n"/>
      <c r="K336" s="95" t="n"/>
      <c r="L336" s="96" t="n"/>
    </row>
    <row r="337">
      <c r="A337" s="96" t="n"/>
      <c r="B337" s="95">
        <f>IF(A337="","", "CTR-"&amp;TEXT(ROW()-5,"000"))</f>
        <v/>
      </c>
      <c r="C337" s="95" t="n"/>
      <c r="D337" s="95" t="n"/>
      <c r="E337" s="95" t="n"/>
      <c r="F337" s="95" t="n"/>
      <c r="G337" s="95" t="n"/>
      <c r="H337" s="95" t="n"/>
      <c r="I337" s="95" t="n"/>
      <c r="J337" s="95" t="n"/>
      <c r="K337" s="95" t="n"/>
      <c r="L337" s="96" t="n"/>
    </row>
    <row r="338">
      <c r="A338" s="96" t="n"/>
      <c r="B338" s="95">
        <f>IF(A338="","", "CTR-"&amp;TEXT(ROW()-5,"000"))</f>
        <v/>
      </c>
      <c r="C338" s="95" t="n"/>
      <c r="D338" s="95" t="n"/>
      <c r="E338" s="95" t="n"/>
      <c r="F338" s="95" t="n"/>
      <c r="G338" s="95" t="n"/>
      <c r="H338" s="95" t="n"/>
      <c r="I338" s="95" t="n"/>
      <c r="J338" s="95" t="n"/>
      <c r="K338" s="95" t="n"/>
      <c r="L338" s="96" t="n"/>
    </row>
    <row r="339">
      <c r="A339" s="96" t="n"/>
      <c r="B339" s="95">
        <f>IF(A339="","", "CTR-"&amp;TEXT(ROW()-5,"000"))</f>
        <v/>
      </c>
      <c r="C339" s="95" t="n"/>
      <c r="D339" s="95" t="n"/>
      <c r="E339" s="95" t="n"/>
      <c r="F339" s="95" t="n"/>
      <c r="G339" s="95" t="n"/>
      <c r="H339" s="95" t="n"/>
      <c r="I339" s="95" t="n"/>
      <c r="J339" s="95" t="n"/>
      <c r="K339" s="95" t="n"/>
      <c r="L339" s="96" t="n"/>
    </row>
    <row r="340">
      <c r="A340" s="96" t="n"/>
      <c r="B340" s="95">
        <f>IF(A340="","", "CTR-"&amp;TEXT(ROW()-5,"000"))</f>
        <v/>
      </c>
      <c r="C340" s="95" t="n"/>
      <c r="D340" s="95" t="n"/>
      <c r="E340" s="95" t="n"/>
      <c r="F340" s="95" t="n"/>
      <c r="G340" s="95" t="n"/>
      <c r="H340" s="95" t="n"/>
      <c r="I340" s="95" t="n"/>
      <c r="J340" s="95" t="n"/>
      <c r="K340" s="95" t="n"/>
      <c r="L340" s="96" t="n"/>
    </row>
    <row r="341">
      <c r="A341" s="96" t="n"/>
      <c r="B341" s="95">
        <f>IF(A341="","", "CTR-"&amp;TEXT(ROW()-5,"000"))</f>
        <v/>
      </c>
      <c r="C341" s="95" t="n"/>
      <c r="D341" s="95" t="n"/>
      <c r="E341" s="95" t="n"/>
      <c r="F341" s="95" t="n"/>
      <c r="G341" s="95" t="n"/>
      <c r="H341" s="95" t="n"/>
      <c r="I341" s="95" t="n"/>
      <c r="J341" s="95" t="n"/>
      <c r="K341" s="95" t="n"/>
      <c r="L341" s="96" t="n"/>
    </row>
    <row r="342">
      <c r="A342" s="96" t="n"/>
      <c r="B342" s="95">
        <f>IF(A342="","", "CTR-"&amp;TEXT(ROW()-5,"000"))</f>
        <v/>
      </c>
      <c r="C342" s="95" t="n"/>
      <c r="D342" s="95" t="n"/>
      <c r="E342" s="95" t="n"/>
      <c r="F342" s="95" t="n"/>
      <c r="G342" s="95" t="n"/>
      <c r="H342" s="95" t="n"/>
      <c r="I342" s="95" t="n"/>
      <c r="J342" s="95" t="n"/>
      <c r="K342" s="95" t="n"/>
      <c r="L342" s="96" t="n"/>
    </row>
    <row r="343">
      <c r="A343" s="96" t="n"/>
      <c r="B343" s="95">
        <f>IF(A343="","", "CTR-"&amp;TEXT(ROW()-5,"000"))</f>
        <v/>
      </c>
      <c r="C343" s="95" t="n"/>
      <c r="D343" s="95" t="n"/>
      <c r="E343" s="95" t="n"/>
      <c r="F343" s="95" t="n"/>
      <c r="G343" s="95" t="n"/>
      <c r="H343" s="95" t="n"/>
      <c r="I343" s="95" t="n"/>
      <c r="J343" s="95" t="n"/>
      <c r="K343" s="95" t="n"/>
      <c r="L343" s="96" t="n"/>
    </row>
    <row r="344">
      <c r="A344" s="96" t="n"/>
      <c r="B344" s="95">
        <f>IF(A344="","", "CTR-"&amp;TEXT(ROW()-5,"000"))</f>
        <v/>
      </c>
      <c r="C344" s="95" t="n"/>
      <c r="D344" s="95" t="n"/>
      <c r="E344" s="95" t="n"/>
      <c r="F344" s="95" t="n"/>
      <c r="G344" s="95" t="n"/>
      <c r="H344" s="95" t="n"/>
      <c r="I344" s="95" t="n"/>
      <c r="J344" s="95" t="n"/>
      <c r="K344" s="95" t="n"/>
      <c r="L344" s="96" t="n"/>
    </row>
    <row r="345">
      <c r="A345" s="96" t="n"/>
      <c r="B345" s="95">
        <f>IF(A345="","", "CTR-"&amp;TEXT(ROW()-5,"000"))</f>
        <v/>
      </c>
      <c r="C345" s="95" t="n"/>
      <c r="D345" s="95" t="n"/>
      <c r="E345" s="95" t="n"/>
      <c r="F345" s="95" t="n"/>
      <c r="G345" s="95" t="n"/>
      <c r="H345" s="95" t="n"/>
      <c r="I345" s="95" t="n"/>
      <c r="J345" s="95" t="n"/>
      <c r="K345" s="95" t="n"/>
      <c r="L345" s="96" t="n"/>
    </row>
    <row r="346">
      <c r="A346" s="96" t="n"/>
      <c r="B346" s="95">
        <f>IF(A346="","", "CTR-"&amp;TEXT(ROW()-5,"000"))</f>
        <v/>
      </c>
      <c r="C346" s="95" t="n"/>
      <c r="D346" s="95" t="n"/>
      <c r="E346" s="95" t="n"/>
      <c r="F346" s="95" t="n"/>
      <c r="G346" s="95" t="n"/>
      <c r="H346" s="95" t="n"/>
      <c r="I346" s="95" t="n"/>
      <c r="J346" s="95" t="n"/>
      <c r="K346" s="95" t="n"/>
      <c r="L346" s="96" t="n"/>
    </row>
    <row r="347">
      <c r="A347" s="96" t="n"/>
      <c r="B347" s="95">
        <f>IF(A347="","", "CTR-"&amp;TEXT(ROW()-5,"000"))</f>
        <v/>
      </c>
      <c r="C347" s="95" t="n"/>
      <c r="D347" s="95" t="n"/>
      <c r="E347" s="95" t="n"/>
      <c r="F347" s="95" t="n"/>
      <c r="G347" s="95" t="n"/>
      <c r="H347" s="95" t="n"/>
      <c r="I347" s="95" t="n"/>
      <c r="J347" s="95" t="n"/>
      <c r="K347" s="95" t="n"/>
      <c r="L347" s="96" t="n"/>
    </row>
    <row r="348">
      <c r="A348" s="96" t="n"/>
      <c r="B348" s="95">
        <f>IF(A348="","", "CTR-"&amp;TEXT(ROW()-5,"000"))</f>
        <v/>
      </c>
      <c r="C348" s="95" t="n"/>
      <c r="D348" s="95" t="n"/>
      <c r="E348" s="95" t="n"/>
      <c r="F348" s="95" t="n"/>
      <c r="G348" s="95" t="n"/>
      <c r="H348" s="95" t="n"/>
      <c r="I348" s="95" t="n"/>
      <c r="J348" s="95" t="n"/>
      <c r="K348" s="95" t="n"/>
      <c r="L348" s="96" t="n"/>
    </row>
    <row r="349">
      <c r="A349" s="96" t="n"/>
      <c r="B349" s="95">
        <f>IF(A349="","", "CTR-"&amp;TEXT(ROW()-5,"000"))</f>
        <v/>
      </c>
      <c r="C349" s="95" t="n"/>
      <c r="D349" s="95" t="n"/>
      <c r="E349" s="95" t="n"/>
      <c r="F349" s="95" t="n"/>
      <c r="G349" s="95" t="n"/>
      <c r="H349" s="95" t="n"/>
      <c r="I349" s="95" t="n"/>
      <c r="J349" s="95" t="n"/>
      <c r="K349" s="95" t="n"/>
      <c r="L349" s="96" t="n"/>
    </row>
    <row r="350">
      <c r="A350" s="96" t="n"/>
      <c r="B350" s="95">
        <f>IF(A350="","", "CTR-"&amp;TEXT(ROW()-5,"000"))</f>
        <v/>
      </c>
      <c r="C350" s="95" t="n"/>
      <c r="D350" s="95" t="n"/>
      <c r="E350" s="95" t="n"/>
      <c r="F350" s="95" t="n"/>
      <c r="G350" s="95" t="n"/>
      <c r="H350" s="95" t="n"/>
      <c r="I350" s="95" t="n"/>
      <c r="J350" s="95" t="n"/>
      <c r="K350" s="95" t="n"/>
      <c r="L350" s="96" t="n"/>
    </row>
    <row r="351">
      <c r="A351" s="96" t="n"/>
      <c r="B351" s="95">
        <f>IF(A351="","", "CTR-"&amp;TEXT(ROW()-5,"000"))</f>
        <v/>
      </c>
      <c r="C351" s="95" t="n"/>
      <c r="D351" s="95" t="n"/>
      <c r="E351" s="95" t="n"/>
      <c r="F351" s="95" t="n"/>
      <c r="G351" s="95" t="n"/>
      <c r="H351" s="95" t="n"/>
      <c r="I351" s="95" t="n"/>
      <c r="J351" s="95" t="n"/>
      <c r="K351" s="95" t="n"/>
      <c r="L351" s="96" t="n"/>
    </row>
    <row r="352">
      <c r="A352" s="96" t="n"/>
      <c r="B352" s="95">
        <f>IF(A352="","", "CTR-"&amp;TEXT(ROW()-5,"000"))</f>
        <v/>
      </c>
      <c r="C352" s="95" t="n"/>
      <c r="D352" s="95" t="n"/>
      <c r="E352" s="95" t="n"/>
      <c r="F352" s="95" t="n"/>
      <c r="G352" s="95" t="n"/>
      <c r="H352" s="95" t="n"/>
      <c r="I352" s="95" t="n"/>
      <c r="J352" s="95" t="n"/>
      <c r="K352" s="95" t="n"/>
      <c r="L352" s="96" t="n"/>
    </row>
    <row r="353">
      <c r="A353" s="96" t="n"/>
      <c r="B353" s="95">
        <f>IF(A353="","", "CTR-"&amp;TEXT(ROW()-5,"000"))</f>
        <v/>
      </c>
      <c r="C353" s="95" t="n"/>
      <c r="D353" s="95" t="n"/>
      <c r="E353" s="95" t="n"/>
      <c r="F353" s="95" t="n"/>
      <c r="G353" s="95" t="n"/>
      <c r="H353" s="95" t="n"/>
      <c r="I353" s="95" t="n"/>
      <c r="J353" s="95" t="n"/>
      <c r="K353" s="95" t="n"/>
      <c r="L353" s="96" t="n"/>
    </row>
    <row r="354">
      <c r="A354" s="96" t="n"/>
      <c r="B354" s="95">
        <f>IF(A354="","", "CTR-"&amp;TEXT(ROW()-5,"000"))</f>
        <v/>
      </c>
      <c r="C354" s="95" t="n"/>
      <c r="D354" s="95" t="n"/>
      <c r="E354" s="95" t="n"/>
      <c r="F354" s="95" t="n"/>
      <c r="G354" s="95" t="n"/>
      <c r="H354" s="95" t="n"/>
      <c r="I354" s="95" t="n"/>
      <c r="J354" s="95" t="n"/>
      <c r="K354" s="95" t="n"/>
      <c r="L354" s="96" t="n"/>
    </row>
    <row r="355">
      <c r="A355" s="96" t="n"/>
      <c r="B355" s="95">
        <f>IF(A355="","", "CTR-"&amp;TEXT(ROW()-5,"000"))</f>
        <v/>
      </c>
      <c r="C355" s="95" t="n"/>
      <c r="D355" s="95" t="n"/>
      <c r="E355" s="95" t="n"/>
      <c r="F355" s="95" t="n"/>
      <c r="G355" s="95" t="n"/>
      <c r="H355" s="95" t="n"/>
      <c r="I355" s="95" t="n"/>
      <c r="J355" s="95" t="n"/>
      <c r="K355" s="95" t="n"/>
      <c r="L355" s="96" t="n"/>
    </row>
    <row r="356">
      <c r="A356" s="96" t="n"/>
      <c r="B356" s="95">
        <f>IF(A356="","", "CTR-"&amp;TEXT(ROW()-5,"000"))</f>
        <v/>
      </c>
      <c r="C356" s="95" t="n"/>
      <c r="D356" s="95" t="n"/>
      <c r="E356" s="95" t="n"/>
      <c r="F356" s="95" t="n"/>
      <c r="G356" s="95" t="n"/>
      <c r="H356" s="95" t="n"/>
      <c r="I356" s="95" t="n"/>
      <c r="J356" s="95" t="n"/>
      <c r="K356" s="95" t="n"/>
      <c r="L356" s="96" t="n"/>
    </row>
    <row r="357">
      <c r="A357" s="96" t="n"/>
      <c r="B357" s="95">
        <f>IF(A357="","", "CTR-"&amp;TEXT(ROW()-5,"000"))</f>
        <v/>
      </c>
      <c r="C357" s="95" t="n"/>
      <c r="D357" s="95" t="n"/>
      <c r="E357" s="95" t="n"/>
      <c r="F357" s="95" t="n"/>
      <c r="G357" s="95" t="n"/>
      <c r="H357" s="95" t="n"/>
      <c r="I357" s="95" t="n"/>
      <c r="J357" s="95" t="n"/>
      <c r="K357" s="95" t="n"/>
      <c r="L357" s="96" t="n"/>
    </row>
    <row r="358">
      <c r="A358" s="96" t="n"/>
      <c r="B358" s="95">
        <f>IF(A358="","", "CTR-"&amp;TEXT(ROW()-5,"000"))</f>
        <v/>
      </c>
      <c r="C358" s="95" t="n"/>
      <c r="D358" s="95" t="n"/>
      <c r="E358" s="95" t="n"/>
      <c r="F358" s="95" t="n"/>
      <c r="G358" s="95" t="n"/>
      <c r="H358" s="95" t="n"/>
      <c r="I358" s="95" t="n"/>
      <c r="J358" s="95" t="n"/>
      <c r="K358" s="95" t="n"/>
      <c r="L358" s="96" t="n"/>
    </row>
    <row r="359">
      <c r="A359" s="96" t="n"/>
      <c r="B359" s="95">
        <f>IF(A359="","", "CTR-"&amp;TEXT(ROW()-5,"000"))</f>
        <v/>
      </c>
      <c r="C359" s="95" t="n"/>
      <c r="D359" s="95" t="n"/>
      <c r="E359" s="95" t="n"/>
      <c r="F359" s="95" t="n"/>
      <c r="G359" s="95" t="n"/>
      <c r="H359" s="95" t="n"/>
      <c r="I359" s="95" t="n"/>
      <c r="J359" s="95" t="n"/>
      <c r="K359" s="95" t="n"/>
      <c r="L359" s="96" t="n"/>
    </row>
    <row r="360">
      <c r="A360" s="96" t="n"/>
      <c r="B360" s="95">
        <f>IF(A360="","", "CTR-"&amp;TEXT(ROW()-5,"000"))</f>
        <v/>
      </c>
      <c r="C360" s="95" t="n"/>
      <c r="D360" s="95" t="n"/>
      <c r="E360" s="95" t="n"/>
      <c r="F360" s="95" t="n"/>
      <c r="G360" s="95" t="n"/>
      <c r="H360" s="95" t="n"/>
      <c r="I360" s="95" t="n"/>
      <c r="J360" s="95" t="n"/>
      <c r="K360" s="95" t="n"/>
      <c r="L360" s="96" t="n"/>
    </row>
    <row r="361">
      <c r="A361" s="96" t="n"/>
      <c r="B361" s="95">
        <f>IF(A361="","", "CTR-"&amp;TEXT(ROW()-5,"000"))</f>
        <v/>
      </c>
      <c r="C361" s="95" t="n"/>
      <c r="D361" s="95" t="n"/>
      <c r="E361" s="95" t="n"/>
      <c r="F361" s="95" t="n"/>
      <c r="G361" s="95" t="n"/>
      <c r="H361" s="95" t="n"/>
      <c r="I361" s="95" t="n"/>
      <c r="J361" s="95" t="n"/>
      <c r="K361" s="95" t="n"/>
      <c r="L361" s="96" t="n"/>
    </row>
    <row r="362">
      <c r="A362" s="96" t="n"/>
      <c r="B362" s="95">
        <f>IF(A362="","", "CTR-"&amp;TEXT(ROW()-5,"000"))</f>
        <v/>
      </c>
      <c r="C362" s="95" t="n"/>
      <c r="D362" s="95" t="n"/>
      <c r="E362" s="95" t="n"/>
      <c r="F362" s="95" t="n"/>
      <c r="G362" s="95" t="n"/>
      <c r="H362" s="95" t="n"/>
      <c r="I362" s="95" t="n"/>
      <c r="J362" s="95" t="n"/>
      <c r="K362" s="95" t="n"/>
      <c r="L362" s="96" t="n"/>
    </row>
    <row r="363">
      <c r="A363" s="96" t="n"/>
      <c r="B363" s="95">
        <f>IF(A363="","", "CTR-"&amp;TEXT(ROW()-5,"000"))</f>
        <v/>
      </c>
      <c r="C363" s="95" t="n"/>
      <c r="D363" s="95" t="n"/>
      <c r="E363" s="95" t="n"/>
      <c r="F363" s="95" t="n"/>
      <c r="G363" s="95" t="n"/>
      <c r="H363" s="95" t="n"/>
      <c r="I363" s="95" t="n"/>
      <c r="J363" s="95" t="n"/>
      <c r="K363" s="95" t="n"/>
      <c r="L363" s="96" t="n"/>
    </row>
    <row r="364">
      <c r="A364" s="96" t="n"/>
      <c r="B364" s="95">
        <f>IF(A364="","", "CTR-"&amp;TEXT(ROW()-5,"000"))</f>
        <v/>
      </c>
      <c r="C364" s="95" t="n"/>
      <c r="D364" s="95" t="n"/>
      <c r="E364" s="95" t="n"/>
      <c r="F364" s="95" t="n"/>
      <c r="G364" s="95" t="n"/>
      <c r="H364" s="95" t="n"/>
      <c r="I364" s="95" t="n"/>
      <c r="J364" s="95" t="n"/>
      <c r="K364" s="95" t="n"/>
      <c r="L364" s="96" t="n"/>
    </row>
    <row r="365">
      <c r="A365" s="96" t="n"/>
      <c r="B365" s="95">
        <f>IF(A365="","", "CTR-"&amp;TEXT(ROW()-5,"000"))</f>
        <v/>
      </c>
      <c r="C365" s="95" t="n"/>
      <c r="D365" s="95" t="n"/>
      <c r="E365" s="95" t="n"/>
      <c r="F365" s="95" t="n"/>
      <c r="G365" s="95" t="n"/>
      <c r="H365" s="95" t="n"/>
      <c r="I365" s="95" t="n"/>
      <c r="J365" s="95" t="n"/>
      <c r="K365" s="95" t="n"/>
      <c r="L365" s="96" t="n"/>
    </row>
    <row r="366">
      <c r="A366" s="96" t="n"/>
      <c r="B366" s="95">
        <f>IF(A366="","", "CTR-"&amp;TEXT(ROW()-5,"000"))</f>
        <v/>
      </c>
      <c r="C366" s="95" t="n"/>
      <c r="D366" s="95" t="n"/>
      <c r="E366" s="95" t="n"/>
      <c r="F366" s="95" t="n"/>
      <c r="G366" s="95" t="n"/>
      <c r="H366" s="95" t="n"/>
      <c r="I366" s="95" t="n"/>
      <c r="J366" s="95" t="n"/>
      <c r="K366" s="95" t="n"/>
      <c r="L366" s="96" t="n"/>
    </row>
    <row r="367">
      <c r="A367" s="96" t="n"/>
      <c r="B367" s="95">
        <f>IF(A367="","", "CTR-"&amp;TEXT(ROW()-5,"000"))</f>
        <v/>
      </c>
      <c r="C367" s="95" t="n"/>
      <c r="D367" s="95" t="n"/>
      <c r="E367" s="95" t="n"/>
      <c r="F367" s="95" t="n"/>
      <c r="G367" s="95" t="n"/>
      <c r="H367" s="95" t="n"/>
      <c r="I367" s="95" t="n"/>
      <c r="J367" s="95" t="n"/>
      <c r="K367" s="95" t="n"/>
      <c r="L367" s="96" t="n"/>
    </row>
    <row r="368">
      <c r="A368" s="96" t="n"/>
      <c r="B368" s="95">
        <f>IF(A368="","", "CTR-"&amp;TEXT(ROW()-5,"000"))</f>
        <v/>
      </c>
      <c r="C368" s="95" t="n"/>
      <c r="D368" s="95" t="n"/>
      <c r="E368" s="95" t="n"/>
      <c r="F368" s="95" t="n"/>
      <c r="G368" s="95" t="n"/>
      <c r="H368" s="95" t="n"/>
      <c r="I368" s="95" t="n"/>
      <c r="J368" s="95" t="n"/>
      <c r="K368" s="95" t="n"/>
      <c r="L368" s="96" t="n"/>
    </row>
    <row r="369">
      <c r="A369" s="96" t="n"/>
      <c r="B369" s="95">
        <f>IF(A369="","", "CTR-"&amp;TEXT(ROW()-5,"000"))</f>
        <v/>
      </c>
      <c r="C369" s="95" t="n"/>
      <c r="D369" s="95" t="n"/>
      <c r="E369" s="95" t="n"/>
      <c r="F369" s="95" t="n"/>
      <c r="G369" s="95" t="n"/>
      <c r="H369" s="95" t="n"/>
      <c r="I369" s="95" t="n"/>
      <c r="J369" s="95" t="n"/>
      <c r="K369" s="95" t="n"/>
      <c r="L369" s="96" t="n"/>
    </row>
    <row r="370">
      <c r="A370" s="96" t="n"/>
      <c r="B370" s="95">
        <f>IF(A370="","", "CTR-"&amp;TEXT(ROW()-5,"000"))</f>
        <v/>
      </c>
      <c r="C370" s="95" t="n"/>
      <c r="D370" s="95" t="n"/>
      <c r="E370" s="95" t="n"/>
      <c r="F370" s="95" t="n"/>
      <c r="G370" s="95" t="n"/>
      <c r="H370" s="95" t="n"/>
      <c r="I370" s="95" t="n"/>
      <c r="J370" s="95" t="n"/>
      <c r="K370" s="95" t="n"/>
      <c r="L370" s="96" t="n"/>
    </row>
    <row r="371">
      <c r="A371" s="96" t="n"/>
      <c r="B371" s="95">
        <f>IF(A371="","", "CTR-"&amp;TEXT(ROW()-5,"000"))</f>
        <v/>
      </c>
      <c r="C371" s="95" t="n"/>
      <c r="D371" s="95" t="n"/>
      <c r="E371" s="95" t="n"/>
      <c r="F371" s="95" t="n"/>
      <c r="G371" s="95" t="n"/>
      <c r="H371" s="95" t="n"/>
      <c r="I371" s="95" t="n"/>
      <c r="J371" s="95" t="n"/>
      <c r="K371" s="95" t="n"/>
      <c r="L371" s="96" t="n"/>
    </row>
    <row r="372">
      <c r="A372" s="96" t="n"/>
      <c r="B372" s="95">
        <f>IF(A372="","", "CTR-"&amp;TEXT(ROW()-5,"000"))</f>
        <v/>
      </c>
      <c r="C372" s="95" t="n"/>
      <c r="D372" s="95" t="n"/>
      <c r="E372" s="95" t="n"/>
      <c r="F372" s="95" t="n"/>
      <c r="G372" s="95" t="n"/>
      <c r="H372" s="95" t="n"/>
      <c r="I372" s="95" t="n"/>
      <c r="J372" s="95" t="n"/>
      <c r="K372" s="95" t="n"/>
      <c r="L372" s="96" t="n"/>
    </row>
    <row r="373">
      <c r="A373" s="96" t="n"/>
      <c r="B373" s="95">
        <f>IF(A373="","", "CTR-"&amp;TEXT(ROW()-5,"000"))</f>
        <v/>
      </c>
      <c r="C373" s="95" t="n"/>
      <c r="D373" s="95" t="n"/>
      <c r="E373" s="95" t="n"/>
      <c r="F373" s="95" t="n"/>
      <c r="G373" s="95" t="n"/>
      <c r="H373" s="95" t="n"/>
      <c r="I373" s="95" t="n"/>
      <c r="J373" s="95" t="n"/>
      <c r="K373" s="95" t="n"/>
      <c r="L373" s="96" t="n"/>
    </row>
    <row r="374">
      <c r="A374" s="96" t="n"/>
      <c r="B374" s="95">
        <f>IF(A374="","", "CTR-"&amp;TEXT(ROW()-5,"000"))</f>
        <v/>
      </c>
      <c r="C374" s="95" t="n"/>
      <c r="D374" s="95" t="n"/>
      <c r="E374" s="95" t="n"/>
      <c r="F374" s="95" t="n"/>
      <c r="G374" s="95" t="n"/>
      <c r="H374" s="95" t="n"/>
      <c r="I374" s="95" t="n"/>
      <c r="J374" s="95" t="n"/>
      <c r="K374" s="95" t="n"/>
      <c r="L374" s="96" t="n"/>
    </row>
    <row r="375">
      <c r="A375" s="96" t="n"/>
      <c r="B375" s="95">
        <f>IF(A375="","", "CTR-"&amp;TEXT(ROW()-5,"000"))</f>
        <v/>
      </c>
      <c r="C375" s="95" t="n"/>
      <c r="D375" s="95" t="n"/>
      <c r="E375" s="95" t="n"/>
      <c r="F375" s="95" t="n"/>
      <c r="G375" s="95" t="n"/>
      <c r="H375" s="95" t="n"/>
      <c r="I375" s="95" t="n"/>
      <c r="J375" s="95" t="n"/>
      <c r="K375" s="95" t="n"/>
      <c r="L375" s="96" t="n"/>
    </row>
    <row r="376">
      <c r="A376" s="96" t="n"/>
      <c r="B376" s="95">
        <f>IF(A376="","", "CTR-"&amp;TEXT(ROW()-5,"000"))</f>
        <v/>
      </c>
      <c r="C376" s="95" t="n"/>
      <c r="D376" s="95" t="n"/>
      <c r="E376" s="95" t="n"/>
      <c r="F376" s="95" t="n"/>
      <c r="G376" s="95" t="n"/>
      <c r="H376" s="95" t="n"/>
      <c r="I376" s="95" t="n"/>
      <c r="J376" s="95" t="n"/>
      <c r="K376" s="95" t="n"/>
      <c r="L376" s="96" t="n"/>
    </row>
    <row r="377">
      <c r="A377" s="96" t="n"/>
      <c r="B377" s="95">
        <f>IF(A377="","", "CTR-"&amp;TEXT(ROW()-5,"000"))</f>
        <v/>
      </c>
      <c r="C377" s="95" t="n"/>
      <c r="D377" s="95" t="n"/>
      <c r="E377" s="95" t="n"/>
      <c r="F377" s="95" t="n"/>
      <c r="G377" s="95" t="n"/>
      <c r="H377" s="95" t="n"/>
      <c r="I377" s="95" t="n"/>
      <c r="J377" s="95" t="n"/>
      <c r="K377" s="95" t="n"/>
      <c r="L377" s="96" t="n"/>
    </row>
    <row r="378">
      <c r="A378" s="96" t="n"/>
      <c r="B378" s="95">
        <f>IF(A378="","", "CTR-"&amp;TEXT(ROW()-5,"000"))</f>
        <v/>
      </c>
      <c r="C378" s="95" t="n"/>
      <c r="D378" s="95" t="n"/>
      <c r="E378" s="95" t="n"/>
      <c r="F378" s="95" t="n"/>
      <c r="G378" s="95" t="n"/>
      <c r="H378" s="95" t="n"/>
      <c r="I378" s="95" t="n"/>
      <c r="J378" s="95" t="n"/>
      <c r="K378" s="95" t="n"/>
      <c r="L378" s="96" t="n"/>
    </row>
    <row r="379">
      <c r="A379" s="96" t="n"/>
      <c r="B379" s="95">
        <f>IF(A379="","", "CTR-"&amp;TEXT(ROW()-5,"000"))</f>
        <v/>
      </c>
      <c r="C379" s="95" t="n"/>
      <c r="D379" s="95" t="n"/>
      <c r="E379" s="95" t="n"/>
      <c r="F379" s="95" t="n"/>
      <c r="G379" s="95" t="n"/>
      <c r="H379" s="95" t="n"/>
      <c r="I379" s="95" t="n"/>
      <c r="J379" s="95" t="n"/>
      <c r="K379" s="95" t="n"/>
      <c r="L379" s="96" t="n"/>
    </row>
    <row r="380">
      <c r="A380" s="96" t="n"/>
      <c r="B380" s="95">
        <f>IF(A380="","", "CTR-"&amp;TEXT(ROW()-5,"000"))</f>
        <v/>
      </c>
      <c r="C380" s="95" t="n"/>
      <c r="D380" s="95" t="n"/>
      <c r="E380" s="95" t="n"/>
      <c r="F380" s="95" t="n"/>
      <c r="G380" s="95" t="n"/>
      <c r="H380" s="95" t="n"/>
      <c r="I380" s="95" t="n"/>
      <c r="J380" s="95" t="n"/>
      <c r="K380" s="95" t="n"/>
      <c r="L380" s="96" t="n"/>
    </row>
    <row r="381">
      <c r="A381" s="96" t="n"/>
      <c r="B381" s="95">
        <f>IF(A381="","", "CTR-"&amp;TEXT(ROW()-5,"000"))</f>
        <v/>
      </c>
      <c r="C381" s="95" t="n"/>
      <c r="D381" s="95" t="n"/>
      <c r="E381" s="95" t="n"/>
      <c r="F381" s="95" t="n"/>
      <c r="G381" s="95" t="n"/>
      <c r="H381" s="95" t="n"/>
      <c r="I381" s="95" t="n"/>
      <c r="J381" s="95" t="n"/>
      <c r="K381" s="95" t="n"/>
      <c r="L381" s="96" t="n"/>
    </row>
    <row r="382">
      <c r="A382" s="96" t="n"/>
      <c r="B382" s="95">
        <f>IF(A382="","", "CTR-"&amp;TEXT(ROW()-5,"000"))</f>
        <v/>
      </c>
      <c r="C382" s="95" t="n"/>
      <c r="D382" s="95" t="n"/>
      <c r="E382" s="95" t="n"/>
      <c r="F382" s="95" t="n"/>
      <c r="G382" s="95" t="n"/>
      <c r="H382" s="95" t="n"/>
      <c r="I382" s="95" t="n"/>
      <c r="J382" s="95" t="n"/>
      <c r="K382" s="95" t="n"/>
      <c r="L382" s="96" t="n"/>
    </row>
    <row r="383">
      <c r="A383" s="96" t="n"/>
      <c r="B383" s="95">
        <f>IF(A383="","", "CTR-"&amp;TEXT(ROW()-5,"000"))</f>
        <v/>
      </c>
      <c r="C383" s="95" t="n"/>
      <c r="D383" s="95" t="n"/>
      <c r="E383" s="95" t="n"/>
      <c r="F383" s="95" t="n"/>
      <c r="G383" s="95" t="n"/>
      <c r="H383" s="95" t="n"/>
      <c r="I383" s="95" t="n"/>
      <c r="J383" s="95" t="n"/>
      <c r="K383" s="95" t="n"/>
      <c r="L383" s="96" t="n"/>
    </row>
    <row r="384">
      <c r="A384" s="96" t="n"/>
      <c r="B384" s="95">
        <f>IF(A384="","", "CTR-"&amp;TEXT(ROW()-5,"000"))</f>
        <v/>
      </c>
      <c r="C384" s="95" t="n"/>
      <c r="D384" s="95" t="n"/>
      <c r="E384" s="95" t="n"/>
      <c r="F384" s="95" t="n"/>
      <c r="G384" s="95" t="n"/>
      <c r="H384" s="95" t="n"/>
      <c r="I384" s="95" t="n"/>
      <c r="J384" s="95" t="n"/>
      <c r="K384" s="95" t="n"/>
      <c r="L384" s="96" t="n"/>
    </row>
    <row r="385">
      <c r="A385" s="96" t="n"/>
      <c r="B385" s="95">
        <f>IF(A385="","", "CTR-"&amp;TEXT(ROW()-5,"000"))</f>
        <v/>
      </c>
      <c r="C385" s="95" t="n"/>
      <c r="D385" s="95" t="n"/>
      <c r="E385" s="95" t="n"/>
      <c r="F385" s="95" t="n"/>
      <c r="G385" s="95" t="n"/>
      <c r="H385" s="95" t="n"/>
      <c r="I385" s="95" t="n"/>
      <c r="J385" s="95" t="n"/>
      <c r="K385" s="95" t="n"/>
      <c r="L385" s="96" t="n"/>
    </row>
    <row r="386">
      <c r="A386" s="96" t="n"/>
      <c r="B386" s="95">
        <f>IF(A386="","", "CTR-"&amp;TEXT(ROW()-5,"000"))</f>
        <v/>
      </c>
      <c r="C386" s="95" t="n"/>
      <c r="D386" s="95" t="n"/>
      <c r="E386" s="95" t="n"/>
      <c r="F386" s="95" t="n"/>
      <c r="G386" s="95" t="n"/>
      <c r="H386" s="95" t="n"/>
      <c r="I386" s="95" t="n"/>
      <c r="J386" s="95" t="n"/>
      <c r="K386" s="95" t="n"/>
      <c r="L386" s="96" t="n"/>
    </row>
    <row r="387">
      <c r="A387" s="96" t="n"/>
      <c r="B387" s="95">
        <f>IF(A387="","", "CTR-"&amp;TEXT(ROW()-5,"000"))</f>
        <v/>
      </c>
      <c r="C387" s="95" t="n"/>
      <c r="D387" s="95" t="n"/>
      <c r="E387" s="95" t="n"/>
      <c r="F387" s="95" t="n"/>
      <c r="G387" s="95" t="n"/>
      <c r="H387" s="95" t="n"/>
      <c r="I387" s="95" t="n"/>
      <c r="J387" s="95" t="n"/>
      <c r="K387" s="95" t="n"/>
      <c r="L387" s="96" t="n"/>
    </row>
    <row r="388">
      <c r="A388" s="96" t="n"/>
      <c r="B388" s="95">
        <f>IF(A388="","", "CTR-"&amp;TEXT(ROW()-5,"000"))</f>
        <v/>
      </c>
      <c r="C388" s="95" t="n"/>
      <c r="D388" s="95" t="n"/>
      <c r="E388" s="95" t="n"/>
      <c r="F388" s="95" t="n"/>
      <c r="G388" s="95" t="n"/>
      <c r="H388" s="95" t="n"/>
      <c r="I388" s="95" t="n"/>
      <c r="J388" s="95" t="n"/>
      <c r="K388" s="95" t="n"/>
      <c r="L388" s="96" t="n"/>
    </row>
    <row r="389">
      <c r="A389" s="96" t="n"/>
      <c r="B389" s="95">
        <f>IF(A389="","", "CTR-"&amp;TEXT(ROW()-5,"000"))</f>
        <v/>
      </c>
      <c r="C389" s="95" t="n"/>
      <c r="D389" s="95" t="n"/>
      <c r="E389" s="95" t="n"/>
      <c r="F389" s="95" t="n"/>
      <c r="G389" s="95" t="n"/>
      <c r="H389" s="95" t="n"/>
      <c r="I389" s="95" t="n"/>
      <c r="J389" s="95" t="n"/>
      <c r="K389" s="95" t="n"/>
      <c r="L389" s="96" t="n"/>
    </row>
    <row r="390">
      <c r="A390" s="96" t="n"/>
      <c r="B390" s="95">
        <f>IF(A390="","", "CTR-"&amp;TEXT(ROW()-5,"000"))</f>
        <v/>
      </c>
      <c r="C390" s="95" t="n"/>
      <c r="D390" s="95" t="n"/>
      <c r="E390" s="95" t="n"/>
      <c r="F390" s="95" t="n"/>
      <c r="G390" s="95" t="n"/>
      <c r="H390" s="95" t="n"/>
      <c r="I390" s="95" t="n"/>
      <c r="J390" s="95" t="n"/>
      <c r="K390" s="95" t="n"/>
      <c r="L390" s="96" t="n"/>
    </row>
    <row r="391">
      <c r="A391" s="96" t="n"/>
      <c r="B391" s="95">
        <f>IF(A391="","", "CTR-"&amp;TEXT(ROW()-5,"000"))</f>
        <v/>
      </c>
      <c r="C391" s="95" t="n"/>
      <c r="D391" s="95" t="n"/>
      <c r="E391" s="95" t="n"/>
      <c r="F391" s="95" t="n"/>
      <c r="G391" s="95" t="n"/>
      <c r="H391" s="95" t="n"/>
      <c r="I391" s="95" t="n"/>
      <c r="J391" s="95" t="n"/>
      <c r="K391" s="95" t="n"/>
      <c r="L391" s="96" t="n"/>
    </row>
    <row r="392">
      <c r="A392" s="96" t="n"/>
      <c r="B392" s="95">
        <f>IF(A392="","", "CTR-"&amp;TEXT(ROW()-5,"000"))</f>
        <v/>
      </c>
      <c r="C392" s="95" t="n"/>
      <c r="D392" s="95" t="n"/>
      <c r="E392" s="95" t="n"/>
      <c r="F392" s="95" t="n"/>
      <c r="G392" s="95" t="n"/>
      <c r="H392" s="95" t="n"/>
      <c r="I392" s="95" t="n"/>
      <c r="J392" s="95" t="n"/>
      <c r="K392" s="95" t="n"/>
      <c r="L392" s="96" t="n"/>
    </row>
    <row r="393">
      <c r="A393" s="96" t="n"/>
      <c r="B393" s="95">
        <f>IF(A393="","", "CTR-"&amp;TEXT(ROW()-5,"000"))</f>
        <v/>
      </c>
      <c r="C393" s="95" t="n"/>
      <c r="D393" s="95" t="n"/>
      <c r="E393" s="95" t="n"/>
      <c r="F393" s="95" t="n"/>
      <c r="G393" s="95" t="n"/>
      <c r="H393" s="95" t="n"/>
      <c r="I393" s="95" t="n"/>
      <c r="J393" s="95" t="n"/>
      <c r="K393" s="95" t="n"/>
      <c r="L393" s="96" t="n"/>
    </row>
    <row r="394">
      <c r="A394" s="96" t="n"/>
      <c r="B394" s="95">
        <f>IF(A394="","", "CTR-"&amp;TEXT(ROW()-5,"000"))</f>
        <v/>
      </c>
      <c r="C394" s="95" t="n"/>
      <c r="D394" s="95" t="n"/>
      <c r="E394" s="95" t="n"/>
      <c r="F394" s="95" t="n"/>
      <c r="G394" s="95" t="n"/>
      <c r="H394" s="95" t="n"/>
      <c r="I394" s="95" t="n"/>
      <c r="J394" s="95" t="n"/>
      <c r="K394" s="95" t="n"/>
      <c r="L394" s="96" t="n"/>
    </row>
    <row r="395">
      <c r="A395" s="96" t="n"/>
      <c r="B395" s="95">
        <f>IF(A395="","", "CTR-"&amp;TEXT(ROW()-5,"000"))</f>
        <v/>
      </c>
      <c r="C395" s="95" t="n"/>
      <c r="D395" s="95" t="n"/>
      <c r="E395" s="95" t="n"/>
      <c r="F395" s="95" t="n"/>
      <c r="G395" s="95" t="n"/>
      <c r="H395" s="95" t="n"/>
      <c r="I395" s="95" t="n"/>
      <c r="J395" s="95" t="n"/>
      <c r="K395" s="95" t="n"/>
      <c r="L395" s="96" t="n"/>
    </row>
    <row r="396">
      <c r="A396" s="96" t="n"/>
      <c r="B396" s="95">
        <f>IF(A396="","", "CTR-"&amp;TEXT(ROW()-5,"000"))</f>
        <v/>
      </c>
      <c r="C396" s="95" t="n"/>
      <c r="D396" s="95" t="n"/>
      <c r="E396" s="95" t="n"/>
      <c r="F396" s="95" t="n"/>
      <c r="G396" s="95" t="n"/>
      <c r="H396" s="95" t="n"/>
      <c r="I396" s="95" t="n"/>
      <c r="J396" s="95" t="n"/>
      <c r="K396" s="95" t="n"/>
      <c r="L396" s="96" t="n"/>
    </row>
    <row r="397">
      <c r="A397" s="96" t="n"/>
      <c r="B397" s="95">
        <f>IF(A397="","", "CTR-"&amp;TEXT(ROW()-5,"000"))</f>
        <v/>
      </c>
      <c r="C397" s="95" t="n"/>
      <c r="D397" s="95" t="n"/>
      <c r="E397" s="95" t="n"/>
      <c r="F397" s="95" t="n"/>
      <c r="G397" s="95" t="n"/>
      <c r="H397" s="95" t="n"/>
      <c r="I397" s="95" t="n"/>
      <c r="J397" s="95" t="n"/>
      <c r="K397" s="95" t="n"/>
      <c r="L397" s="96" t="n"/>
    </row>
    <row r="398">
      <c r="A398" s="96" t="n"/>
      <c r="B398" s="95">
        <f>IF(A398="","", "CTR-"&amp;TEXT(ROW()-5,"000"))</f>
        <v/>
      </c>
      <c r="C398" s="95" t="n"/>
      <c r="D398" s="95" t="n"/>
      <c r="E398" s="95" t="n"/>
      <c r="F398" s="95" t="n"/>
      <c r="G398" s="95" t="n"/>
      <c r="H398" s="95" t="n"/>
      <c r="I398" s="95" t="n"/>
      <c r="J398" s="95" t="n"/>
      <c r="K398" s="95" t="n"/>
      <c r="L398" s="96" t="n"/>
    </row>
    <row r="399">
      <c r="A399" s="96" t="n"/>
      <c r="B399" s="95">
        <f>IF(A399="","", "CTR-"&amp;TEXT(ROW()-5,"000"))</f>
        <v/>
      </c>
      <c r="C399" s="95" t="n"/>
      <c r="D399" s="95" t="n"/>
      <c r="E399" s="95" t="n"/>
      <c r="F399" s="95" t="n"/>
      <c r="G399" s="95" t="n"/>
      <c r="H399" s="95" t="n"/>
      <c r="I399" s="95" t="n"/>
      <c r="J399" s="95" t="n"/>
      <c r="K399" s="95" t="n"/>
      <c r="L399" s="96" t="n"/>
    </row>
    <row r="400">
      <c r="A400" s="96" t="n"/>
      <c r="B400" s="95">
        <f>IF(A400="","", "CTR-"&amp;TEXT(ROW()-5,"000"))</f>
        <v/>
      </c>
      <c r="C400" s="95" t="n"/>
      <c r="D400" s="95" t="n"/>
      <c r="E400" s="95" t="n"/>
      <c r="F400" s="95" t="n"/>
      <c r="G400" s="95" t="n"/>
      <c r="H400" s="95" t="n"/>
      <c r="I400" s="95" t="n"/>
      <c r="J400" s="95" t="n"/>
      <c r="K400" s="95" t="n"/>
      <c r="L400" s="96" t="n"/>
    </row>
    <row r="401">
      <c r="A401" s="96" t="n"/>
      <c r="B401" s="95">
        <f>IF(A401="","", "CTR-"&amp;TEXT(ROW()-5,"000"))</f>
        <v/>
      </c>
      <c r="C401" s="95" t="n"/>
      <c r="D401" s="95" t="n"/>
      <c r="E401" s="95" t="n"/>
      <c r="F401" s="95" t="n"/>
      <c r="G401" s="95" t="n"/>
      <c r="H401" s="95" t="n"/>
      <c r="I401" s="95" t="n"/>
      <c r="J401" s="95" t="n"/>
      <c r="K401" s="95" t="n"/>
      <c r="L401" s="96" t="n"/>
    </row>
    <row r="402">
      <c r="A402" s="96" t="n"/>
      <c r="B402" s="95">
        <f>IF(A402="","", "CTR-"&amp;TEXT(ROW()-5,"000"))</f>
        <v/>
      </c>
      <c r="C402" s="95" t="n"/>
      <c r="D402" s="95" t="n"/>
      <c r="E402" s="95" t="n"/>
      <c r="F402" s="95" t="n"/>
      <c r="G402" s="95" t="n"/>
      <c r="H402" s="95" t="n"/>
      <c r="I402" s="95" t="n"/>
      <c r="J402" s="95" t="n"/>
      <c r="K402" s="95" t="n"/>
      <c r="L402" s="96" t="n"/>
    </row>
    <row r="403">
      <c r="A403" s="96" t="n"/>
      <c r="B403" s="95">
        <f>IF(A403="","", "CTR-"&amp;TEXT(ROW()-5,"000"))</f>
        <v/>
      </c>
      <c r="C403" s="95" t="n"/>
      <c r="D403" s="95" t="n"/>
      <c r="E403" s="95" t="n"/>
      <c r="F403" s="95" t="n"/>
      <c r="G403" s="95" t="n"/>
      <c r="H403" s="95" t="n"/>
      <c r="I403" s="95" t="n"/>
      <c r="J403" s="95" t="n"/>
      <c r="K403" s="95" t="n"/>
      <c r="L403" s="96" t="n"/>
    </row>
    <row r="404">
      <c r="A404" s="96" t="n"/>
      <c r="B404" s="95">
        <f>IF(A404="","", "CTR-"&amp;TEXT(ROW()-5,"000"))</f>
        <v/>
      </c>
      <c r="C404" s="95" t="n"/>
      <c r="D404" s="95" t="n"/>
      <c r="E404" s="95" t="n"/>
      <c r="F404" s="95" t="n"/>
      <c r="G404" s="95" t="n"/>
      <c r="H404" s="95" t="n"/>
      <c r="I404" s="95" t="n"/>
      <c r="J404" s="95" t="n"/>
      <c r="K404" s="95" t="n"/>
      <c r="L404" s="96" t="n"/>
    </row>
    <row r="405">
      <c r="A405" s="96" t="n"/>
      <c r="B405" s="95">
        <f>IF(A405="","", "CTR-"&amp;TEXT(ROW()-5,"000"))</f>
        <v/>
      </c>
      <c r="C405" s="95" t="n"/>
      <c r="D405" s="95" t="n"/>
      <c r="E405" s="95" t="n"/>
      <c r="F405" s="95" t="n"/>
      <c r="G405" s="95" t="n"/>
      <c r="H405" s="95" t="n"/>
      <c r="I405" s="95" t="n"/>
      <c r="J405" s="95" t="n"/>
      <c r="K405" s="95" t="n"/>
      <c r="L405" s="96" t="n"/>
    </row>
    <row r="406">
      <c r="A406" s="96" t="n"/>
      <c r="B406" s="95">
        <f>IF(A406="","", "CTR-"&amp;TEXT(ROW()-5,"000"))</f>
        <v/>
      </c>
      <c r="C406" s="95" t="n"/>
      <c r="D406" s="95" t="n"/>
      <c r="E406" s="95" t="n"/>
      <c r="F406" s="95" t="n"/>
      <c r="G406" s="95" t="n"/>
      <c r="H406" s="95" t="n"/>
      <c r="I406" s="95" t="n"/>
      <c r="J406" s="95" t="n"/>
      <c r="K406" s="95" t="n"/>
      <c r="L406" s="96" t="n"/>
    </row>
    <row r="407">
      <c r="A407" s="96" t="n"/>
      <c r="B407" s="95">
        <f>IF(A407="","", "CTR-"&amp;TEXT(ROW()-5,"000"))</f>
        <v/>
      </c>
      <c r="C407" s="95" t="n"/>
      <c r="D407" s="95" t="n"/>
      <c r="E407" s="95" t="n"/>
      <c r="F407" s="95" t="n"/>
      <c r="G407" s="95" t="n"/>
      <c r="H407" s="95" t="n"/>
      <c r="I407" s="95" t="n"/>
      <c r="J407" s="95" t="n"/>
      <c r="K407" s="95" t="n"/>
      <c r="L407" s="96" t="n"/>
    </row>
    <row r="408">
      <c r="A408" s="96" t="n"/>
      <c r="B408" s="95">
        <f>IF(A408="","", "CTR-"&amp;TEXT(ROW()-5,"000"))</f>
        <v/>
      </c>
      <c r="C408" s="95" t="n"/>
      <c r="D408" s="95" t="n"/>
      <c r="E408" s="95" t="n"/>
      <c r="F408" s="95" t="n"/>
      <c r="G408" s="95" t="n"/>
      <c r="H408" s="95" t="n"/>
      <c r="I408" s="95" t="n"/>
      <c r="J408" s="95" t="n"/>
      <c r="K408" s="95" t="n"/>
      <c r="L408" s="96" t="n"/>
    </row>
    <row r="409">
      <c r="A409" s="96" t="n"/>
      <c r="B409" s="95">
        <f>IF(A409="","", "CTR-"&amp;TEXT(ROW()-5,"000"))</f>
        <v/>
      </c>
      <c r="C409" s="95" t="n"/>
      <c r="D409" s="95" t="n"/>
      <c r="E409" s="95" t="n"/>
      <c r="F409" s="95" t="n"/>
      <c r="G409" s="95" t="n"/>
      <c r="H409" s="95" t="n"/>
      <c r="I409" s="95" t="n"/>
      <c r="J409" s="95" t="n"/>
      <c r="K409" s="95" t="n"/>
      <c r="L409" s="96" t="n"/>
    </row>
    <row r="410">
      <c r="A410" s="96" t="n"/>
      <c r="B410" s="95">
        <f>IF(A410="","", "CTR-"&amp;TEXT(ROW()-5,"000"))</f>
        <v/>
      </c>
      <c r="C410" s="95" t="n"/>
      <c r="D410" s="95" t="n"/>
      <c r="E410" s="95" t="n"/>
      <c r="F410" s="95" t="n"/>
      <c r="G410" s="95" t="n"/>
      <c r="H410" s="95" t="n"/>
      <c r="I410" s="95" t="n"/>
      <c r="J410" s="95" t="n"/>
      <c r="K410" s="95" t="n"/>
      <c r="L410" s="96" t="n"/>
    </row>
    <row r="411">
      <c r="A411" s="96" t="n"/>
      <c r="B411" s="95">
        <f>IF(A411="","", "CTR-"&amp;TEXT(ROW()-5,"000"))</f>
        <v/>
      </c>
      <c r="C411" s="95" t="n"/>
      <c r="D411" s="95" t="n"/>
      <c r="E411" s="95" t="n"/>
      <c r="F411" s="95" t="n"/>
      <c r="G411" s="95" t="n"/>
      <c r="H411" s="95" t="n"/>
      <c r="I411" s="95" t="n"/>
      <c r="J411" s="95" t="n"/>
      <c r="K411" s="95" t="n"/>
      <c r="L411" s="96" t="n"/>
    </row>
    <row r="412">
      <c r="A412" s="96" t="n"/>
      <c r="B412" s="95">
        <f>IF(A412="","", "CTR-"&amp;TEXT(ROW()-5,"000"))</f>
        <v/>
      </c>
      <c r="C412" s="95" t="n"/>
      <c r="D412" s="95" t="n"/>
      <c r="E412" s="95" t="n"/>
      <c r="F412" s="95" t="n"/>
      <c r="G412" s="95" t="n"/>
      <c r="H412" s="95" t="n"/>
      <c r="I412" s="95" t="n"/>
      <c r="J412" s="95" t="n"/>
      <c r="K412" s="95" t="n"/>
      <c r="L412" s="96" t="n"/>
    </row>
    <row r="413">
      <c r="A413" s="96" t="n"/>
      <c r="B413" s="95">
        <f>IF(A413="","", "CTR-"&amp;TEXT(ROW()-5,"000"))</f>
        <v/>
      </c>
      <c r="C413" s="95" t="n"/>
      <c r="D413" s="95" t="n"/>
      <c r="E413" s="95" t="n"/>
      <c r="F413" s="95" t="n"/>
      <c r="G413" s="95" t="n"/>
      <c r="H413" s="95" t="n"/>
      <c r="I413" s="95" t="n"/>
      <c r="J413" s="95" t="n"/>
      <c r="K413" s="95" t="n"/>
      <c r="L413" s="96" t="n"/>
    </row>
    <row r="414">
      <c r="A414" s="96" t="n"/>
      <c r="B414" s="95">
        <f>IF(A414="","", "CTR-"&amp;TEXT(ROW()-5,"000"))</f>
        <v/>
      </c>
      <c r="C414" s="95" t="n"/>
      <c r="D414" s="95" t="n"/>
      <c r="E414" s="95" t="n"/>
      <c r="F414" s="95" t="n"/>
      <c r="G414" s="95" t="n"/>
      <c r="H414" s="95" t="n"/>
      <c r="I414" s="95" t="n"/>
      <c r="J414" s="95" t="n"/>
      <c r="K414" s="95" t="n"/>
      <c r="L414" s="96" t="n"/>
    </row>
    <row r="415">
      <c r="A415" s="96" t="n"/>
      <c r="B415" s="95">
        <f>IF(A415="","", "CTR-"&amp;TEXT(ROW()-5,"000"))</f>
        <v/>
      </c>
      <c r="C415" s="95" t="n"/>
      <c r="D415" s="95" t="n"/>
      <c r="E415" s="95" t="n"/>
      <c r="F415" s="95" t="n"/>
      <c r="G415" s="95" t="n"/>
      <c r="H415" s="95" t="n"/>
      <c r="I415" s="95" t="n"/>
      <c r="J415" s="95" t="n"/>
      <c r="K415" s="95" t="n"/>
      <c r="L415" s="96" t="n"/>
    </row>
    <row r="416">
      <c r="A416" s="96" t="n"/>
      <c r="B416" s="95">
        <f>IF(A416="","", "CTR-"&amp;TEXT(ROW()-5,"000"))</f>
        <v/>
      </c>
      <c r="C416" s="95" t="n"/>
      <c r="D416" s="95" t="n"/>
      <c r="E416" s="95" t="n"/>
      <c r="F416" s="95" t="n"/>
      <c r="G416" s="95" t="n"/>
      <c r="H416" s="95" t="n"/>
      <c r="I416" s="95" t="n"/>
      <c r="J416" s="95" t="n"/>
      <c r="K416" s="95" t="n"/>
      <c r="L416" s="96" t="n"/>
    </row>
    <row r="417">
      <c r="A417" s="96" t="n"/>
      <c r="B417" s="95">
        <f>IF(A417="","", "CTR-"&amp;TEXT(ROW()-5,"000"))</f>
        <v/>
      </c>
      <c r="C417" s="95" t="n"/>
      <c r="D417" s="95" t="n"/>
      <c r="E417" s="95" t="n"/>
      <c r="F417" s="95" t="n"/>
      <c r="G417" s="95" t="n"/>
      <c r="H417" s="95" t="n"/>
      <c r="I417" s="95" t="n"/>
      <c r="J417" s="95" t="n"/>
      <c r="K417" s="95" t="n"/>
      <c r="L417" s="96" t="n"/>
    </row>
    <row r="418">
      <c r="A418" s="96" t="n"/>
      <c r="B418" s="95">
        <f>IF(A418="","", "CTR-"&amp;TEXT(ROW()-5,"000"))</f>
        <v/>
      </c>
      <c r="C418" s="95" t="n"/>
      <c r="D418" s="95" t="n"/>
      <c r="E418" s="95" t="n"/>
      <c r="F418" s="95" t="n"/>
      <c r="G418" s="95" t="n"/>
      <c r="H418" s="95" t="n"/>
      <c r="I418" s="95" t="n"/>
      <c r="J418" s="95" t="n"/>
      <c r="K418" s="95" t="n"/>
      <c r="L418" s="96" t="n"/>
    </row>
    <row r="419">
      <c r="A419" s="96" t="n"/>
      <c r="B419" s="95">
        <f>IF(A419="","", "CTR-"&amp;TEXT(ROW()-5,"000"))</f>
        <v/>
      </c>
      <c r="C419" s="95" t="n"/>
      <c r="D419" s="95" t="n"/>
      <c r="E419" s="95" t="n"/>
      <c r="F419" s="95" t="n"/>
      <c r="G419" s="95" t="n"/>
      <c r="H419" s="95" t="n"/>
      <c r="I419" s="95" t="n"/>
      <c r="J419" s="95" t="n"/>
      <c r="K419" s="95" t="n"/>
      <c r="L419" s="96" t="n"/>
    </row>
    <row r="420">
      <c r="A420" s="96" t="n"/>
      <c r="B420" s="95">
        <f>IF(A420="","", "CTR-"&amp;TEXT(ROW()-5,"000"))</f>
        <v/>
      </c>
      <c r="C420" s="95" t="n"/>
      <c r="D420" s="95" t="n"/>
      <c r="E420" s="95" t="n"/>
      <c r="F420" s="95" t="n"/>
      <c r="G420" s="95" t="n"/>
      <c r="H420" s="95" t="n"/>
      <c r="I420" s="95" t="n"/>
      <c r="J420" s="95" t="n"/>
      <c r="K420" s="95" t="n"/>
      <c r="L420" s="96" t="n"/>
    </row>
    <row r="421">
      <c r="A421" s="96" t="n"/>
      <c r="B421" s="95">
        <f>IF(A421="","", "CTR-"&amp;TEXT(ROW()-5,"000"))</f>
        <v/>
      </c>
      <c r="C421" s="95" t="n"/>
      <c r="D421" s="95" t="n"/>
      <c r="E421" s="95" t="n"/>
      <c r="F421" s="95" t="n"/>
      <c r="G421" s="95" t="n"/>
      <c r="H421" s="95" t="n"/>
      <c r="I421" s="95" t="n"/>
      <c r="J421" s="95" t="n"/>
      <c r="K421" s="95" t="n"/>
      <c r="L421" s="96" t="n"/>
    </row>
    <row r="422">
      <c r="A422" s="96" t="n"/>
      <c r="B422" s="95">
        <f>IF(A422="","", "CTR-"&amp;TEXT(ROW()-5,"000"))</f>
        <v/>
      </c>
      <c r="C422" s="95" t="n"/>
      <c r="D422" s="95" t="n"/>
      <c r="E422" s="95" t="n"/>
      <c r="F422" s="95" t="n"/>
      <c r="G422" s="95" t="n"/>
      <c r="H422" s="95" t="n"/>
      <c r="I422" s="95" t="n"/>
      <c r="J422" s="95" t="n"/>
      <c r="K422" s="95" t="n"/>
      <c r="L422" s="96" t="n"/>
    </row>
    <row r="423">
      <c r="A423" s="96" t="n"/>
      <c r="B423" s="95">
        <f>IF(A423="","", "CTR-"&amp;TEXT(ROW()-5,"000"))</f>
        <v/>
      </c>
      <c r="C423" s="95" t="n"/>
      <c r="D423" s="95" t="n"/>
      <c r="E423" s="95" t="n"/>
      <c r="F423" s="95" t="n"/>
      <c r="G423" s="95" t="n"/>
      <c r="H423" s="95" t="n"/>
      <c r="I423" s="95" t="n"/>
      <c r="J423" s="95" t="n"/>
      <c r="K423" s="95" t="n"/>
      <c r="L423" s="96" t="n"/>
    </row>
    <row r="424">
      <c r="A424" s="96" t="n"/>
      <c r="B424" s="95">
        <f>IF(A424="","", "CTR-"&amp;TEXT(ROW()-5,"000"))</f>
        <v/>
      </c>
      <c r="C424" s="95" t="n"/>
      <c r="D424" s="95" t="n"/>
      <c r="E424" s="95" t="n"/>
      <c r="F424" s="95" t="n"/>
      <c r="G424" s="95" t="n"/>
      <c r="H424" s="95" t="n"/>
      <c r="I424" s="95" t="n"/>
      <c r="J424" s="95" t="n"/>
      <c r="K424" s="95" t="n"/>
      <c r="L424" s="96" t="n"/>
    </row>
    <row r="425">
      <c r="A425" s="96" t="n"/>
      <c r="B425" s="95">
        <f>IF(A425="","", "CTR-"&amp;TEXT(ROW()-5,"000"))</f>
        <v/>
      </c>
      <c r="C425" s="95" t="n"/>
      <c r="D425" s="95" t="n"/>
      <c r="E425" s="95" t="n"/>
      <c r="F425" s="95" t="n"/>
      <c r="G425" s="95" t="n"/>
      <c r="H425" s="95" t="n"/>
      <c r="I425" s="95" t="n"/>
      <c r="J425" s="95" t="n"/>
      <c r="K425" s="95" t="n"/>
      <c r="L425" s="96" t="n"/>
    </row>
    <row r="426">
      <c r="A426" s="96" t="n"/>
      <c r="B426" s="95">
        <f>IF(A426="","", "CTR-"&amp;TEXT(ROW()-5,"000"))</f>
        <v/>
      </c>
      <c r="C426" s="95" t="n"/>
      <c r="D426" s="95" t="n"/>
      <c r="E426" s="95" t="n"/>
      <c r="F426" s="95" t="n"/>
      <c r="G426" s="95" t="n"/>
      <c r="H426" s="95" t="n"/>
      <c r="I426" s="95" t="n"/>
      <c r="J426" s="95" t="n"/>
      <c r="K426" s="95" t="n"/>
      <c r="L426" s="96" t="n"/>
    </row>
    <row r="427">
      <c r="A427" s="96" t="n"/>
      <c r="B427" s="95">
        <f>IF(A427="","", "CTR-"&amp;TEXT(ROW()-5,"000"))</f>
        <v/>
      </c>
      <c r="C427" s="95" t="n"/>
      <c r="D427" s="95" t="n"/>
      <c r="E427" s="95" t="n"/>
      <c r="F427" s="95" t="n"/>
      <c r="G427" s="95" t="n"/>
      <c r="H427" s="95" t="n"/>
      <c r="I427" s="95" t="n"/>
      <c r="J427" s="95" t="n"/>
      <c r="K427" s="95" t="n"/>
      <c r="L427" s="96" t="n"/>
    </row>
    <row r="428">
      <c r="A428" s="96" t="n"/>
      <c r="B428" s="95">
        <f>IF(A428="","", "CTR-"&amp;TEXT(ROW()-5,"000"))</f>
        <v/>
      </c>
      <c r="C428" s="95" t="n"/>
      <c r="D428" s="95" t="n"/>
      <c r="E428" s="95" t="n"/>
      <c r="F428" s="95" t="n"/>
      <c r="G428" s="95" t="n"/>
      <c r="H428" s="95" t="n"/>
      <c r="I428" s="95" t="n"/>
      <c r="J428" s="95" t="n"/>
      <c r="K428" s="95" t="n"/>
      <c r="L428" s="96" t="n"/>
    </row>
    <row r="429">
      <c r="A429" s="96" t="n"/>
      <c r="B429" s="95">
        <f>IF(A429="","", "CTR-"&amp;TEXT(ROW()-5,"000"))</f>
        <v/>
      </c>
      <c r="C429" s="95" t="n"/>
      <c r="D429" s="95" t="n"/>
      <c r="E429" s="95" t="n"/>
      <c r="F429" s="95" t="n"/>
      <c r="G429" s="95" t="n"/>
      <c r="H429" s="95" t="n"/>
      <c r="I429" s="95" t="n"/>
      <c r="J429" s="95" t="n"/>
      <c r="K429" s="95" t="n"/>
      <c r="L429" s="96" t="n"/>
    </row>
    <row r="430">
      <c r="A430" s="96" t="n"/>
      <c r="B430" s="95">
        <f>IF(A430="","", "CTR-"&amp;TEXT(ROW()-5,"000"))</f>
        <v/>
      </c>
      <c r="C430" s="95" t="n"/>
      <c r="D430" s="95" t="n"/>
      <c r="E430" s="95" t="n"/>
      <c r="F430" s="95" t="n"/>
      <c r="G430" s="95" t="n"/>
      <c r="H430" s="95" t="n"/>
      <c r="I430" s="95" t="n"/>
      <c r="J430" s="95" t="n"/>
      <c r="K430" s="95" t="n"/>
      <c r="L430" s="96" t="n"/>
    </row>
    <row r="431">
      <c r="A431" s="96" t="n"/>
      <c r="B431" s="95">
        <f>IF(A431="","", "CTR-"&amp;TEXT(ROW()-5,"000"))</f>
        <v/>
      </c>
      <c r="C431" s="95" t="n"/>
      <c r="D431" s="95" t="n"/>
      <c r="E431" s="95" t="n"/>
      <c r="F431" s="95" t="n"/>
      <c r="G431" s="95" t="n"/>
      <c r="H431" s="95" t="n"/>
      <c r="I431" s="95" t="n"/>
      <c r="J431" s="95" t="n"/>
      <c r="K431" s="95" t="n"/>
      <c r="L431" s="96" t="n"/>
    </row>
    <row r="432">
      <c r="A432" s="96" t="n"/>
      <c r="B432" s="95">
        <f>IF(A432="","", "CTR-"&amp;TEXT(ROW()-5,"000"))</f>
        <v/>
      </c>
      <c r="C432" s="95" t="n"/>
      <c r="D432" s="95" t="n"/>
      <c r="E432" s="95" t="n"/>
      <c r="F432" s="95" t="n"/>
      <c r="G432" s="95" t="n"/>
      <c r="H432" s="95" t="n"/>
      <c r="I432" s="95" t="n"/>
      <c r="J432" s="95" t="n"/>
      <c r="K432" s="95" t="n"/>
      <c r="L432" s="96" t="n"/>
    </row>
    <row r="433">
      <c r="A433" s="96" t="n"/>
      <c r="B433" s="95">
        <f>IF(A433="","", "CTR-"&amp;TEXT(ROW()-5,"000"))</f>
        <v/>
      </c>
      <c r="C433" s="95" t="n"/>
      <c r="D433" s="95" t="n"/>
      <c r="E433" s="95" t="n"/>
      <c r="F433" s="95" t="n"/>
      <c r="G433" s="95" t="n"/>
      <c r="H433" s="95" t="n"/>
      <c r="I433" s="95" t="n"/>
      <c r="J433" s="95" t="n"/>
      <c r="K433" s="95" t="n"/>
      <c r="L433" s="96" t="n"/>
    </row>
    <row r="434">
      <c r="A434" s="96" t="n"/>
      <c r="B434" s="95">
        <f>IF(A434="","", "CTR-"&amp;TEXT(ROW()-5,"000"))</f>
        <v/>
      </c>
      <c r="C434" s="95" t="n"/>
      <c r="D434" s="95" t="n"/>
      <c r="E434" s="95" t="n"/>
      <c r="F434" s="95" t="n"/>
      <c r="G434" s="95" t="n"/>
      <c r="H434" s="95" t="n"/>
      <c r="I434" s="95" t="n"/>
      <c r="J434" s="95" t="n"/>
      <c r="K434" s="95" t="n"/>
      <c r="L434" s="96" t="n"/>
    </row>
    <row r="435">
      <c r="A435" s="96" t="n"/>
      <c r="B435" s="95">
        <f>IF(A435="","", "CTR-"&amp;TEXT(ROW()-5,"000"))</f>
        <v/>
      </c>
      <c r="C435" s="95" t="n"/>
      <c r="D435" s="95" t="n"/>
      <c r="E435" s="95" t="n"/>
      <c r="F435" s="95" t="n"/>
      <c r="G435" s="95" t="n"/>
      <c r="H435" s="95" t="n"/>
      <c r="I435" s="95" t="n"/>
      <c r="J435" s="95" t="n"/>
      <c r="K435" s="95" t="n"/>
      <c r="L435" s="96" t="n"/>
    </row>
    <row r="436">
      <c r="A436" s="96" t="n"/>
      <c r="B436" s="95">
        <f>IF(A436="","", "CTR-"&amp;TEXT(ROW()-5,"000"))</f>
        <v/>
      </c>
      <c r="C436" s="95" t="n"/>
      <c r="D436" s="95" t="n"/>
      <c r="E436" s="95" t="n"/>
      <c r="F436" s="95" t="n"/>
      <c r="G436" s="95" t="n"/>
      <c r="H436" s="95" t="n"/>
      <c r="I436" s="95" t="n"/>
      <c r="J436" s="95" t="n"/>
      <c r="K436" s="95" t="n"/>
      <c r="L436" s="96" t="n"/>
    </row>
    <row r="437">
      <c r="A437" s="96" t="n"/>
      <c r="B437" s="95">
        <f>IF(A437="","", "CTR-"&amp;TEXT(ROW()-5,"000"))</f>
        <v/>
      </c>
      <c r="C437" s="95" t="n"/>
      <c r="D437" s="95" t="n"/>
      <c r="E437" s="95" t="n"/>
      <c r="F437" s="95" t="n"/>
      <c r="G437" s="95" t="n"/>
      <c r="H437" s="95" t="n"/>
      <c r="I437" s="95" t="n"/>
      <c r="J437" s="95" t="n"/>
      <c r="K437" s="95" t="n"/>
      <c r="L437" s="96" t="n"/>
    </row>
    <row r="438">
      <c r="A438" s="96" t="n"/>
      <c r="B438" s="95">
        <f>IF(A438="","", "CTR-"&amp;TEXT(ROW()-5,"000"))</f>
        <v/>
      </c>
      <c r="C438" s="95" t="n"/>
      <c r="D438" s="95" t="n"/>
      <c r="E438" s="95" t="n"/>
      <c r="F438" s="95" t="n"/>
      <c r="G438" s="95" t="n"/>
      <c r="H438" s="95" t="n"/>
      <c r="I438" s="95" t="n"/>
      <c r="J438" s="95" t="n"/>
      <c r="K438" s="95" t="n"/>
      <c r="L438" s="96" t="n"/>
    </row>
    <row r="439">
      <c r="A439" s="96" t="n"/>
      <c r="B439" s="95">
        <f>IF(A439="","", "CTR-"&amp;TEXT(ROW()-5,"000"))</f>
        <v/>
      </c>
      <c r="C439" s="95" t="n"/>
      <c r="D439" s="95" t="n"/>
      <c r="E439" s="95" t="n"/>
      <c r="F439" s="95" t="n"/>
      <c r="G439" s="95" t="n"/>
      <c r="H439" s="95" t="n"/>
      <c r="I439" s="95" t="n"/>
      <c r="J439" s="95" t="n"/>
      <c r="K439" s="95" t="n"/>
      <c r="L439" s="96" t="n"/>
    </row>
    <row r="440">
      <c r="A440" s="96" t="n"/>
      <c r="B440" s="95">
        <f>IF(A440="","", "CTR-"&amp;TEXT(ROW()-5,"000"))</f>
        <v/>
      </c>
      <c r="C440" s="95" t="n"/>
      <c r="D440" s="95" t="n"/>
      <c r="E440" s="95" t="n"/>
      <c r="F440" s="95" t="n"/>
      <c r="G440" s="95" t="n"/>
      <c r="H440" s="95" t="n"/>
      <c r="I440" s="95" t="n"/>
      <c r="J440" s="95" t="n"/>
      <c r="K440" s="95" t="n"/>
      <c r="L440" s="96" t="n"/>
    </row>
    <row r="441">
      <c r="A441" s="96" t="n"/>
      <c r="B441" s="95">
        <f>IF(A441="","", "CTR-"&amp;TEXT(ROW()-5,"000"))</f>
        <v/>
      </c>
      <c r="C441" s="95" t="n"/>
      <c r="D441" s="95" t="n"/>
      <c r="E441" s="95" t="n"/>
      <c r="F441" s="95" t="n"/>
      <c r="G441" s="95" t="n"/>
      <c r="H441" s="95" t="n"/>
      <c r="I441" s="95" t="n"/>
      <c r="J441" s="95" t="n"/>
      <c r="K441" s="95" t="n"/>
      <c r="L441" s="96" t="n"/>
    </row>
    <row r="442">
      <c r="A442" s="96" t="n"/>
      <c r="B442" s="95">
        <f>IF(A442="","", "CTR-"&amp;TEXT(ROW()-5,"000"))</f>
        <v/>
      </c>
      <c r="C442" s="95" t="n"/>
      <c r="D442" s="95" t="n"/>
      <c r="E442" s="95" t="n"/>
      <c r="F442" s="95" t="n"/>
      <c r="G442" s="95" t="n"/>
      <c r="H442" s="95" t="n"/>
      <c r="I442" s="95" t="n"/>
      <c r="J442" s="95" t="n"/>
      <c r="K442" s="95" t="n"/>
      <c r="L442" s="96" t="n"/>
    </row>
    <row r="443">
      <c r="A443" s="96" t="n"/>
      <c r="B443" s="95">
        <f>IF(A443="","", "CTR-"&amp;TEXT(ROW()-5,"000"))</f>
        <v/>
      </c>
      <c r="C443" s="95" t="n"/>
      <c r="D443" s="95" t="n"/>
      <c r="E443" s="95" t="n"/>
      <c r="F443" s="95" t="n"/>
      <c r="G443" s="95" t="n"/>
      <c r="H443" s="95" t="n"/>
      <c r="I443" s="95" t="n"/>
      <c r="J443" s="95" t="n"/>
      <c r="K443" s="95" t="n"/>
      <c r="L443" s="96" t="n"/>
    </row>
    <row r="444">
      <c r="A444" s="96" t="n"/>
      <c r="B444" s="95">
        <f>IF(A444="","", "CTR-"&amp;TEXT(ROW()-5,"000"))</f>
        <v/>
      </c>
      <c r="C444" s="95" t="n"/>
      <c r="D444" s="95" t="n"/>
      <c r="E444" s="95" t="n"/>
      <c r="F444" s="95" t="n"/>
      <c r="G444" s="95" t="n"/>
      <c r="H444" s="95" t="n"/>
      <c r="I444" s="95" t="n"/>
      <c r="J444" s="95" t="n"/>
      <c r="K444" s="95" t="n"/>
      <c r="L444" s="96" t="n"/>
    </row>
    <row r="445">
      <c r="A445" s="96" t="n"/>
      <c r="B445" s="95">
        <f>IF(A445="","", "CTR-"&amp;TEXT(ROW()-5,"000"))</f>
        <v/>
      </c>
      <c r="C445" s="95" t="n"/>
      <c r="D445" s="95" t="n"/>
      <c r="E445" s="95" t="n"/>
      <c r="F445" s="95" t="n"/>
      <c r="G445" s="95" t="n"/>
      <c r="H445" s="95" t="n"/>
      <c r="I445" s="95" t="n"/>
      <c r="J445" s="95" t="n"/>
      <c r="K445" s="95" t="n"/>
      <c r="L445" s="96" t="n"/>
    </row>
    <row r="446">
      <c r="A446" s="96" t="n"/>
      <c r="B446" s="95">
        <f>IF(A446="","", "CTR-"&amp;TEXT(ROW()-5,"000"))</f>
        <v/>
      </c>
      <c r="C446" s="95" t="n"/>
      <c r="D446" s="95" t="n"/>
      <c r="E446" s="95" t="n"/>
      <c r="F446" s="95" t="n"/>
      <c r="G446" s="95" t="n"/>
      <c r="H446" s="95" t="n"/>
      <c r="I446" s="95" t="n"/>
      <c r="J446" s="95" t="n"/>
      <c r="K446" s="95" t="n"/>
      <c r="L446" s="96" t="n"/>
    </row>
    <row r="447">
      <c r="A447" s="96" t="n"/>
      <c r="B447" s="95">
        <f>IF(A447="","", "CTR-"&amp;TEXT(ROW()-5,"000"))</f>
        <v/>
      </c>
      <c r="C447" s="95" t="n"/>
      <c r="D447" s="95" t="n"/>
      <c r="E447" s="95" t="n"/>
      <c r="F447" s="95" t="n"/>
      <c r="G447" s="95" t="n"/>
      <c r="H447" s="95" t="n"/>
      <c r="I447" s="95" t="n"/>
      <c r="J447" s="95" t="n"/>
      <c r="K447" s="95" t="n"/>
      <c r="L447" s="96" t="n"/>
    </row>
    <row r="448">
      <c r="A448" s="96" t="n"/>
      <c r="B448" s="95">
        <f>IF(A448="","", "CTR-"&amp;TEXT(ROW()-5,"000"))</f>
        <v/>
      </c>
      <c r="C448" s="95" t="n"/>
      <c r="D448" s="95" t="n"/>
      <c r="E448" s="95" t="n"/>
      <c r="F448" s="95" t="n"/>
      <c r="G448" s="95" t="n"/>
      <c r="H448" s="95" t="n"/>
      <c r="I448" s="95" t="n"/>
      <c r="J448" s="95" t="n"/>
      <c r="K448" s="95" t="n"/>
      <c r="L448" s="96" t="n"/>
    </row>
    <row r="449">
      <c r="A449" s="96" t="n"/>
      <c r="B449" s="95">
        <f>IF(A449="","", "CTR-"&amp;TEXT(ROW()-5,"000"))</f>
        <v/>
      </c>
      <c r="C449" s="95" t="n"/>
      <c r="D449" s="95" t="n"/>
      <c r="E449" s="95" t="n"/>
      <c r="F449" s="95" t="n"/>
      <c r="G449" s="95" t="n"/>
      <c r="H449" s="95" t="n"/>
      <c r="I449" s="95" t="n"/>
      <c r="J449" s="95" t="n"/>
      <c r="K449" s="95" t="n"/>
      <c r="L449" s="96" t="n"/>
    </row>
    <row r="450">
      <c r="A450" s="96" t="n"/>
      <c r="B450" s="95">
        <f>IF(A450="","", "CTR-"&amp;TEXT(ROW()-5,"000"))</f>
        <v/>
      </c>
      <c r="C450" s="95" t="n"/>
      <c r="D450" s="95" t="n"/>
      <c r="E450" s="95" t="n"/>
      <c r="F450" s="95" t="n"/>
      <c r="G450" s="95" t="n"/>
      <c r="H450" s="95" t="n"/>
      <c r="I450" s="95" t="n"/>
      <c r="J450" s="95" t="n"/>
      <c r="K450" s="95" t="n"/>
      <c r="L450" s="96" t="n"/>
    </row>
    <row r="451">
      <c r="A451" s="96" t="n"/>
      <c r="B451" s="95">
        <f>IF(A451="","", "CTR-"&amp;TEXT(ROW()-5,"000"))</f>
        <v/>
      </c>
      <c r="C451" s="95" t="n"/>
      <c r="D451" s="95" t="n"/>
      <c r="E451" s="95" t="n"/>
      <c r="F451" s="95" t="n"/>
      <c r="G451" s="95" t="n"/>
      <c r="H451" s="95" t="n"/>
      <c r="I451" s="95" t="n"/>
      <c r="J451" s="95" t="n"/>
      <c r="K451" s="95" t="n"/>
      <c r="L451" s="96" t="n"/>
    </row>
    <row r="452">
      <c r="A452" s="96" t="n"/>
      <c r="B452" s="95">
        <f>IF(A452="","", "CTR-"&amp;TEXT(ROW()-5,"000"))</f>
        <v/>
      </c>
      <c r="C452" s="95" t="n"/>
      <c r="D452" s="95" t="n"/>
      <c r="E452" s="95" t="n"/>
      <c r="F452" s="95" t="n"/>
      <c r="G452" s="95" t="n"/>
      <c r="H452" s="95" t="n"/>
      <c r="I452" s="95" t="n"/>
      <c r="J452" s="95" t="n"/>
      <c r="K452" s="95" t="n"/>
      <c r="L452" s="96" t="n"/>
    </row>
    <row r="453">
      <c r="A453" s="96" t="n"/>
      <c r="B453" s="95">
        <f>IF(A453="","", "CTR-"&amp;TEXT(ROW()-5,"000"))</f>
        <v/>
      </c>
      <c r="C453" s="95" t="n"/>
      <c r="D453" s="95" t="n"/>
      <c r="E453" s="95" t="n"/>
      <c r="F453" s="95" t="n"/>
      <c r="G453" s="95" t="n"/>
      <c r="H453" s="95" t="n"/>
      <c r="I453" s="95" t="n"/>
      <c r="J453" s="95" t="n"/>
      <c r="K453" s="95" t="n"/>
      <c r="L453" s="96" t="n"/>
    </row>
    <row r="454">
      <c r="A454" s="96" t="n"/>
      <c r="B454" s="95">
        <f>IF(A454="","", "CTR-"&amp;TEXT(ROW()-5,"000"))</f>
        <v/>
      </c>
      <c r="C454" s="95" t="n"/>
      <c r="D454" s="95" t="n"/>
      <c r="E454" s="95" t="n"/>
      <c r="F454" s="95" t="n"/>
      <c r="G454" s="95" t="n"/>
      <c r="H454" s="95" t="n"/>
      <c r="I454" s="95" t="n"/>
      <c r="J454" s="95" t="n"/>
      <c r="K454" s="95" t="n"/>
      <c r="L454" s="96" t="n"/>
    </row>
    <row r="455">
      <c r="A455" s="96" t="n"/>
      <c r="B455" s="95">
        <f>IF(A455="","", "CTR-"&amp;TEXT(ROW()-5,"000"))</f>
        <v/>
      </c>
      <c r="C455" s="95" t="n"/>
      <c r="D455" s="95" t="n"/>
      <c r="E455" s="95" t="n"/>
      <c r="F455" s="95" t="n"/>
      <c r="G455" s="95" t="n"/>
      <c r="H455" s="95" t="n"/>
      <c r="I455" s="95" t="n"/>
      <c r="J455" s="95" t="n"/>
      <c r="K455" s="95" t="n"/>
      <c r="L455" s="96" t="n"/>
    </row>
    <row r="456">
      <c r="A456" s="96" t="n"/>
      <c r="B456" s="95">
        <f>IF(A456="","", "CTR-"&amp;TEXT(ROW()-5,"000"))</f>
        <v/>
      </c>
      <c r="C456" s="95" t="n"/>
      <c r="D456" s="95" t="n"/>
      <c r="E456" s="95" t="n"/>
      <c r="F456" s="95" t="n"/>
      <c r="G456" s="95" t="n"/>
      <c r="H456" s="95" t="n"/>
      <c r="I456" s="95" t="n"/>
      <c r="J456" s="95" t="n"/>
      <c r="K456" s="95" t="n"/>
      <c r="L456" s="96" t="n"/>
    </row>
    <row r="457">
      <c r="A457" s="96" t="n"/>
      <c r="B457" s="95">
        <f>IF(A457="","", "CTR-"&amp;TEXT(ROW()-5,"000"))</f>
        <v/>
      </c>
      <c r="C457" s="95" t="n"/>
      <c r="D457" s="95" t="n"/>
      <c r="E457" s="95" t="n"/>
      <c r="F457" s="95" t="n"/>
      <c r="G457" s="95" t="n"/>
      <c r="H457" s="95" t="n"/>
      <c r="I457" s="95" t="n"/>
      <c r="J457" s="95" t="n"/>
      <c r="K457" s="95" t="n"/>
      <c r="L457" s="96" t="n"/>
    </row>
    <row r="458">
      <c r="A458" s="96" t="n"/>
      <c r="B458" s="95">
        <f>IF(A458="","", "CTR-"&amp;TEXT(ROW()-5,"000"))</f>
        <v/>
      </c>
      <c r="C458" s="95" t="n"/>
      <c r="D458" s="95" t="n"/>
      <c r="E458" s="95" t="n"/>
      <c r="F458" s="95" t="n"/>
      <c r="G458" s="95" t="n"/>
      <c r="H458" s="95" t="n"/>
      <c r="I458" s="95" t="n"/>
      <c r="J458" s="95" t="n"/>
      <c r="K458" s="95" t="n"/>
      <c r="L458" s="96" t="n"/>
    </row>
    <row r="459">
      <c r="A459" s="96" t="n"/>
      <c r="B459" s="95">
        <f>IF(A459="","", "CTR-"&amp;TEXT(ROW()-5,"000"))</f>
        <v/>
      </c>
      <c r="C459" s="95" t="n"/>
      <c r="D459" s="95" t="n"/>
      <c r="E459" s="95" t="n"/>
      <c r="F459" s="95" t="n"/>
      <c r="G459" s="95" t="n"/>
      <c r="H459" s="95" t="n"/>
      <c r="I459" s="95" t="n"/>
      <c r="J459" s="95" t="n"/>
      <c r="K459" s="95" t="n"/>
      <c r="L459" s="96" t="n"/>
    </row>
    <row r="460">
      <c r="A460" s="96" t="n"/>
      <c r="B460" s="95">
        <f>IF(A460="","", "CTR-"&amp;TEXT(ROW()-5,"000"))</f>
        <v/>
      </c>
      <c r="C460" s="95" t="n"/>
      <c r="D460" s="95" t="n"/>
      <c r="E460" s="95" t="n"/>
      <c r="F460" s="95" t="n"/>
      <c r="G460" s="95" t="n"/>
      <c r="H460" s="95" t="n"/>
      <c r="I460" s="95" t="n"/>
      <c r="J460" s="95" t="n"/>
      <c r="K460" s="95" t="n"/>
      <c r="L460" s="96" t="n"/>
    </row>
    <row r="461">
      <c r="A461" s="96" t="n"/>
      <c r="B461" s="95">
        <f>IF(A461="","", "CTR-"&amp;TEXT(ROW()-5,"000"))</f>
        <v/>
      </c>
      <c r="C461" s="95" t="n"/>
      <c r="D461" s="95" t="n"/>
      <c r="E461" s="95" t="n"/>
      <c r="F461" s="95" t="n"/>
      <c r="G461" s="95" t="n"/>
      <c r="H461" s="95" t="n"/>
      <c r="I461" s="95" t="n"/>
      <c r="J461" s="95" t="n"/>
      <c r="K461" s="95" t="n"/>
      <c r="L461" s="96" t="n"/>
    </row>
    <row r="462">
      <c r="A462" s="96" t="n"/>
      <c r="B462" s="95">
        <f>IF(A462="","", "CTR-"&amp;TEXT(ROW()-5,"000"))</f>
        <v/>
      </c>
      <c r="C462" s="95" t="n"/>
      <c r="D462" s="95" t="n"/>
      <c r="E462" s="95" t="n"/>
      <c r="F462" s="95" t="n"/>
      <c r="G462" s="95" t="n"/>
      <c r="H462" s="95" t="n"/>
      <c r="I462" s="95" t="n"/>
      <c r="J462" s="95" t="n"/>
      <c r="K462" s="95" t="n"/>
      <c r="L462" s="96" t="n"/>
    </row>
    <row r="463">
      <c r="A463" s="96" t="n"/>
      <c r="B463" s="95">
        <f>IF(A463="","", "CTR-"&amp;TEXT(ROW()-5,"000"))</f>
        <v/>
      </c>
      <c r="C463" s="95" t="n"/>
      <c r="D463" s="95" t="n"/>
      <c r="E463" s="95" t="n"/>
      <c r="F463" s="95" t="n"/>
      <c r="G463" s="95" t="n"/>
      <c r="H463" s="95" t="n"/>
      <c r="I463" s="95" t="n"/>
      <c r="J463" s="95" t="n"/>
      <c r="K463" s="95" t="n"/>
      <c r="L463" s="96" t="n"/>
    </row>
    <row r="464">
      <c r="A464" s="96" t="n"/>
      <c r="B464" s="95">
        <f>IF(A464="","", "CTR-"&amp;TEXT(ROW()-5,"000"))</f>
        <v/>
      </c>
      <c r="C464" s="95" t="n"/>
      <c r="D464" s="95" t="n"/>
      <c r="E464" s="95" t="n"/>
      <c r="F464" s="95" t="n"/>
      <c r="G464" s="95" t="n"/>
      <c r="H464" s="95" t="n"/>
      <c r="I464" s="95" t="n"/>
      <c r="J464" s="95" t="n"/>
      <c r="K464" s="95" t="n"/>
      <c r="L464" s="96" t="n"/>
    </row>
    <row r="465">
      <c r="A465" s="96" t="n"/>
      <c r="B465" s="95">
        <f>IF(A465="","", "CTR-"&amp;TEXT(ROW()-5,"000"))</f>
        <v/>
      </c>
      <c r="C465" s="95" t="n"/>
      <c r="D465" s="95" t="n"/>
      <c r="E465" s="95" t="n"/>
      <c r="F465" s="95" t="n"/>
      <c r="G465" s="95" t="n"/>
      <c r="H465" s="95" t="n"/>
      <c r="I465" s="95" t="n"/>
      <c r="J465" s="95" t="n"/>
      <c r="K465" s="95" t="n"/>
      <c r="L465" s="96" t="n"/>
    </row>
    <row r="466">
      <c r="A466" s="96" t="n"/>
      <c r="B466" s="95">
        <f>IF(A466="","", "CTR-"&amp;TEXT(ROW()-5,"000"))</f>
        <v/>
      </c>
      <c r="C466" s="95" t="n"/>
      <c r="D466" s="95" t="n"/>
      <c r="E466" s="95" t="n"/>
      <c r="F466" s="95" t="n"/>
      <c r="G466" s="95" t="n"/>
      <c r="H466" s="95" t="n"/>
      <c r="I466" s="95" t="n"/>
      <c r="J466" s="95" t="n"/>
      <c r="K466" s="95" t="n"/>
      <c r="L466" s="96" t="n"/>
    </row>
    <row r="467">
      <c r="A467" s="96" t="n"/>
      <c r="B467" s="95">
        <f>IF(A467="","", "CTR-"&amp;TEXT(ROW()-5,"000"))</f>
        <v/>
      </c>
      <c r="C467" s="95" t="n"/>
      <c r="D467" s="95" t="n"/>
      <c r="E467" s="95" t="n"/>
      <c r="F467" s="95" t="n"/>
      <c r="G467" s="95" t="n"/>
      <c r="H467" s="95" t="n"/>
      <c r="I467" s="95" t="n"/>
      <c r="J467" s="95" t="n"/>
      <c r="K467" s="95" t="n"/>
      <c r="L467" s="96" t="n"/>
    </row>
    <row r="468">
      <c r="A468" s="96" t="n"/>
      <c r="B468" s="95">
        <f>IF(A468="","", "CTR-"&amp;TEXT(ROW()-5,"000"))</f>
        <v/>
      </c>
      <c r="C468" s="95" t="n"/>
      <c r="D468" s="95" t="n"/>
      <c r="E468" s="95" t="n"/>
      <c r="F468" s="95" t="n"/>
      <c r="G468" s="95" t="n"/>
      <c r="H468" s="95" t="n"/>
      <c r="I468" s="95" t="n"/>
      <c r="J468" s="95" t="n"/>
      <c r="K468" s="95" t="n"/>
      <c r="L468" s="96" t="n"/>
    </row>
    <row r="469">
      <c r="A469" s="96" t="n"/>
      <c r="B469" s="95">
        <f>IF(A469="","", "CTR-"&amp;TEXT(ROW()-5,"000"))</f>
        <v/>
      </c>
      <c r="C469" s="95" t="n"/>
      <c r="D469" s="95" t="n"/>
      <c r="E469" s="95" t="n"/>
      <c r="F469" s="95" t="n"/>
      <c r="G469" s="95" t="n"/>
      <c r="H469" s="95" t="n"/>
      <c r="I469" s="95" t="n"/>
      <c r="J469" s="95" t="n"/>
      <c r="K469" s="95" t="n"/>
      <c r="L469" s="96" t="n"/>
    </row>
    <row r="470">
      <c r="A470" s="96" t="n"/>
      <c r="B470" s="95">
        <f>IF(A470="","", "CTR-"&amp;TEXT(ROW()-5,"000"))</f>
        <v/>
      </c>
      <c r="C470" s="95" t="n"/>
      <c r="D470" s="95" t="n"/>
      <c r="E470" s="95" t="n"/>
      <c r="F470" s="95" t="n"/>
      <c r="G470" s="95" t="n"/>
      <c r="H470" s="95" t="n"/>
      <c r="I470" s="95" t="n"/>
      <c r="J470" s="95" t="n"/>
      <c r="K470" s="95" t="n"/>
      <c r="L470" s="96" t="n"/>
    </row>
    <row r="471">
      <c r="A471" s="96" t="n"/>
      <c r="B471" s="95">
        <f>IF(A471="","", "CTR-"&amp;TEXT(ROW()-5,"000"))</f>
        <v/>
      </c>
      <c r="C471" s="95" t="n"/>
      <c r="D471" s="95" t="n"/>
      <c r="E471" s="95" t="n"/>
      <c r="F471" s="95" t="n"/>
      <c r="G471" s="95" t="n"/>
      <c r="H471" s="95" t="n"/>
      <c r="I471" s="95" t="n"/>
      <c r="J471" s="95" t="n"/>
      <c r="K471" s="95" t="n"/>
      <c r="L471" s="96" t="n"/>
    </row>
    <row r="472">
      <c r="A472" s="96" t="n"/>
      <c r="B472" s="95">
        <f>IF(A472="","", "CTR-"&amp;TEXT(ROW()-5,"000"))</f>
        <v/>
      </c>
      <c r="C472" s="95" t="n"/>
      <c r="D472" s="95" t="n"/>
      <c r="E472" s="95" t="n"/>
      <c r="F472" s="95" t="n"/>
      <c r="G472" s="95" t="n"/>
      <c r="H472" s="95" t="n"/>
      <c r="I472" s="95" t="n"/>
      <c r="J472" s="95" t="n"/>
      <c r="K472" s="95" t="n"/>
      <c r="L472" s="96" t="n"/>
    </row>
    <row r="473">
      <c r="A473" s="96" t="n"/>
      <c r="B473" s="95">
        <f>IF(A473="","", "CTR-"&amp;TEXT(ROW()-5,"000"))</f>
        <v/>
      </c>
      <c r="C473" s="95" t="n"/>
      <c r="D473" s="95" t="n"/>
      <c r="E473" s="95" t="n"/>
      <c r="F473" s="95" t="n"/>
      <c r="G473" s="95" t="n"/>
      <c r="H473" s="95" t="n"/>
      <c r="I473" s="95" t="n"/>
      <c r="J473" s="95" t="n"/>
      <c r="K473" s="95" t="n"/>
      <c r="L473" s="96" t="n"/>
    </row>
    <row r="474">
      <c r="A474" s="96" t="n"/>
      <c r="B474" s="95">
        <f>IF(A474="","", "CTR-"&amp;TEXT(ROW()-5,"000"))</f>
        <v/>
      </c>
      <c r="C474" s="95" t="n"/>
      <c r="D474" s="95" t="n"/>
      <c r="E474" s="95" t="n"/>
      <c r="F474" s="95" t="n"/>
      <c r="G474" s="95" t="n"/>
      <c r="H474" s="95" t="n"/>
      <c r="I474" s="95" t="n"/>
      <c r="J474" s="95" t="n"/>
      <c r="K474" s="95" t="n"/>
      <c r="L474" s="96" t="n"/>
    </row>
    <row r="475">
      <c r="A475" s="96" t="n"/>
      <c r="B475" s="95">
        <f>IF(A475="","", "CTR-"&amp;TEXT(ROW()-5,"000"))</f>
        <v/>
      </c>
      <c r="C475" s="95" t="n"/>
      <c r="D475" s="95" t="n"/>
      <c r="E475" s="95" t="n"/>
      <c r="F475" s="95" t="n"/>
      <c r="G475" s="95" t="n"/>
      <c r="H475" s="95" t="n"/>
      <c r="I475" s="95" t="n"/>
      <c r="J475" s="95" t="n"/>
      <c r="K475" s="95" t="n"/>
      <c r="L475" s="96" t="n"/>
    </row>
    <row r="476">
      <c r="A476" s="96" t="n"/>
      <c r="B476" s="95">
        <f>IF(A476="","", "CTR-"&amp;TEXT(ROW()-5,"000"))</f>
        <v/>
      </c>
      <c r="C476" s="95" t="n"/>
      <c r="D476" s="95" t="n"/>
      <c r="E476" s="95" t="n"/>
      <c r="F476" s="95" t="n"/>
      <c r="G476" s="95" t="n"/>
      <c r="H476" s="95" t="n"/>
      <c r="I476" s="95" t="n"/>
      <c r="J476" s="95" t="n"/>
      <c r="K476" s="95" t="n"/>
      <c r="L476" s="96" t="n"/>
    </row>
    <row r="477">
      <c r="A477" s="96" t="n"/>
      <c r="B477" s="95">
        <f>IF(A477="","", "CTR-"&amp;TEXT(ROW()-5,"000"))</f>
        <v/>
      </c>
      <c r="C477" s="95" t="n"/>
      <c r="D477" s="95" t="n"/>
      <c r="E477" s="95" t="n"/>
      <c r="F477" s="95" t="n"/>
      <c r="G477" s="95" t="n"/>
      <c r="H477" s="95" t="n"/>
      <c r="I477" s="95" t="n"/>
      <c r="J477" s="95" t="n"/>
      <c r="K477" s="95" t="n"/>
      <c r="L477" s="96" t="n"/>
    </row>
    <row r="478">
      <c r="A478" s="96" t="n"/>
      <c r="B478" s="95">
        <f>IF(A478="","", "CTR-"&amp;TEXT(ROW()-5,"000"))</f>
        <v/>
      </c>
      <c r="C478" s="95" t="n"/>
      <c r="D478" s="95" t="n"/>
      <c r="E478" s="95" t="n"/>
      <c r="F478" s="95" t="n"/>
      <c r="G478" s="95" t="n"/>
      <c r="H478" s="95" t="n"/>
      <c r="I478" s="95" t="n"/>
      <c r="J478" s="95" t="n"/>
      <c r="K478" s="95" t="n"/>
      <c r="L478" s="96" t="n"/>
    </row>
    <row r="479">
      <c r="A479" s="96" t="n"/>
      <c r="B479" s="95">
        <f>IF(A479="","", "CTR-"&amp;TEXT(ROW()-5,"000"))</f>
        <v/>
      </c>
      <c r="C479" s="95" t="n"/>
      <c r="D479" s="95" t="n"/>
      <c r="E479" s="95" t="n"/>
      <c r="F479" s="95" t="n"/>
      <c r="G479" s="95" t="n"/>
      <c r="H479" s="95" t="n"/>
      <c r="I479" s="95" t="n"/>
      <c r="J479" s="95" t="n"/>
      <c r="K479" s="95" t="n"/>
      <c r="L479" s="96" t="n"/>
    </row>
    <row r="480">
      <c r="A480" s="96" t="n"/>
      <c r="B480" s="95">
        <f>IF(A480="","", "CTR-"&amp;TEXT(ROW()-5,"000"))</f>
        <v/>
      </c>
      <c r="C480" s="95" t="n"/>
      <c r="D480" s="95" t="n"/>
      <c r="E480" s="95" t="n"/>
      <c r="F480" s="95" t="n"/>
      <c r="G480" s="95" t="n"/>
      <c r="H480" s="95" t="n"/>
      <c r="I480" s="95" t="n"/>
      <c r="J480" s="95" t="n"/>
      <c r="K480" s="95" t="n"/>
      <c r="L480" s="96" t="n"/>
    </row>
    <row r="481">
      <c r="A481" s="96" t="n"/>
      <c r="B481" s="95">
        <f>IF(A481="","", "CTR-"&amp;TEXT(ROW()-5,"000"))</f>
        <v/>
      </c>
      <c r="C481" s="95" t="n"/>
      <c r="D481" s="95" t="n"/>
      <c r="E481" s="95" t="n"/>
      <c r="F481" s="95" t="n"/>
      <c r="G481" s="95" t="n"/>
      <c r="H481" s="95" t="n"/>
      <c r="I481" s="95" t="n"/>
      <c r="J481" s="95" t="n"/>
      <c r="K481" s="95" t="n"/>
      <c r="L481" s="96" t="n"/>
    </row>
    <row r="482">
      <c r="A482" s="96" t="n"/>
      <c r="B482" s="95">
        <f>IF(A482="","", "CTR-"&amp;TEXT(ROW()-5,"000"))</f>
        <v/>
      </c>
      <c r="C482" s="95" t="n"/>
      <c r="D482" s="95" t="n"/>
      <c r="E482" s="95" t="n"/>
      <c r="F482" s="95" t="n"/>
      <c r="G482" s="95" t="n"/>
      <c r="H482" s="95" t="n"/>
      <c r="I482" s="95" t="n"/>
      <c r="J482" s="95" t="n"/>
      <c r="K482" s="95" t="n"/>
      <c r="L482" s="96" t="n"/>
    </row>
    <row r="483">
      <c r="A483" s="96" t="n"/>
      <c r="B483" s="95">
        <f>IF(A483="","", "CTR-"&amp;TEXT(ROW()-5,"000"))</f>
        <v/>
      </c>
      <c r="C483" s="95" t="n"/>
      <c r="D483" s="95" t="n"/>
      <c r="E483" s="95" t="n"/>
      <c r="F483" s="95" t="n"/>
      <c r="G483" s="95" t="n"/>
      <c r="H483" s="95" t="n"/>
      <c r="I483" s="95" t="n"/>
      <c r="J483" s="95" t="n"/>
      <c r="K483" s="95" t="n"/>
      <c r="L483" s="96" t="n"/>
    </row>
    <row r="484">
      <c r="A484" s="96" t="n"/>
      <c r="B484" s="95">
        <f>IF(A484="","", "CTR-"&amp;TEXT(ROW()-5,"000"))</f>
        <v/>
      </c>
      <c r="C484" s="95" t="n"/>
      <c r="D484" s="95" t="n"/>
      <c r="E484" s="95" t="n"/>
      <c r="F484" s="95" t="n"/>
      <c r="G484" s="95" t="n"/>
      <c r="H484" s="95" t="n"/>
      <c r="I484" s="95" t="n"/>
      <c r="J484" s="95" t="n"/>
      <c r="K484" s="95" t="n"/>
      <c r="L484" s="96" t="n"/>
    </row>
    <row r="485">
      <c r="A485" s="96" t="n"/>
      <c r="B485" s="95">
        <f>IF(A485="","", "CTR-"&amp;TEXT(ROW()-5,"000"))</f>
        <v/>
      </c>
      <c r="C485" s="95" t="n"/>
      <c r="D485" s="95" t="n"/>
      <c r="E485" s="95" t="n"/>
      <c r="F485" s="95" t="n"/>
      <c r="G485" s="95" t="n"/>
      <c r="H485" s="95" t="n"/>
      <c r="I485" s="95" t="n"/>
      <c r="J485" s="95" t="n"/>
      <c r="K485" s="95" t="n"/>
      <c r="L485" s="96" t="n"/>
    </row>
    <row r="486">
      <c r="A486" s="96" t="n"/>
      <c r="B486" s="95">
        <f>IF(A486="","", "CTR-"&amp;TEXT(ROW()-5,"000"))</f>
        <v/>
      </c>
      <c r="C486" s="95" t="n"/>
      <c r="D486" s="95" t="n"/>
      <c r="E486" s="95" t="n"/>
      <c r="F486" s="95" t="n"/>
      <c r="G486" s="95" t="n"/>
      <c r="H486" s="95" t="n"/>
      <c r="I486" s="95" t="n"/>
      <c r="J486" s="95" t="n"/>
      <c r="K486" s="95" t="n"/>
      <c r="L486" s="96" t="n"/>
    </row>
    <row r="487">
      <c r="A487" s="96" t="n"/>
      <c r="B487" s="95">
        <f>IF(A487="","", "CTR-"&amp;TEXT(ROW()-5,"000"))</f>
        <v/>
      </c>
      <c r="C487" s="95" t="n"/>
      <c r="D487" s="95" t="n"/>
      <c r="E487" s="95" t="n"/>
      <c r="F487" s="95" t="n"/>
      <c r="G487" s="95" t="n"/>
      <c r="H487" s="95" t="n"/>
      <c r="I487" s="95" t="n"/>
      <c r="J487" s="95" t="n"/>
      <c r="K487" s="95" t="n"/>
      <c r="L487" s="96" t="n"/>
    </row>
    <row r="488">
      <c r="A488" s="96" t="n"/>
      <c r="B488" s="95">
        <f>IF(A488="","", "CTR-"&amp;TEXT(ROW()-5,"000"))</f>
        <v/>
      </c>
      <c r="C488" s="95" t="n"/>
      <c r="D488" s="95" t="n"/>
      <c r="E488" s="95" t="n"/>
      <c r="F488" s="95" t="n"/>
      <c r="G488" s="95" t="n"/>
      <c r="H488" s="95" t="n"/>
      <c r="I488" s="95" t="n"/>
      <c r="J488" s="95" t="n"/>
      <c r="K488" s="95" t="n"/>
      <c r="L488" s="96" t="n"/>
    </row>
    <row r="489">
      <c r="A489" s="96" t="n"/>
      <c r="B489" s="95">
        <f>IF(A489="","", "CTR-"&amp;TEXT(ROW()-5,"000"))</f>
        <v/>
      </c>
      <c r="C489" s="95" t="n"/>
      <c r="D489" s="95" t="n"/>
      <c r="E489" s="95" t="n"/>
      <c r="F489" s="95" t="n"/>
      <c r="G489" s="95" t="n"/>
      <c r="H489" s="95" t="n"/>
      <c r="I489" s="95" t="n"/>
      <c r="J489" s="95" t="n"/>
      <c r="K489" s="95" t="n"/>
      <c r="L489" s="96" t="n"/>
    </row>
    <row r="490">
      <c r="A490" s="96" t="n"/>
      <c r="B490" s="95">
        <f>IF(A490="","", "CTR-"&amp;TEXT(ROW()-5,"000"))</f>
        <v/>
      </c>
      <c r="C490" s="95" t="n"/>
      <c r="D490" s="95" t="n"/>
      <c r="E490" s="95" t="n"/>
      <c r="F490" s="95" t="n"/>
      <c r="G490" s="95" t="n"/>
      <c r="H490" s="95" t="n"/>
      <c r="I490" s="95" t="n"/>
      <c r="J490" s="95" t="n"/>
      <c r="K490" s="95" t="n"/>
      <c r="L490" s="96" t="n"/>
    </row>
    <row r="491">
      <c r="A491" s="96" t="n"/>
      <c r="B491" s="95">
        <f>IF(A491="","", "CTR-"&amp;TEXT(ROW()-5,"000"))</f>
        <v/>
      </c>
      <c r="C491" s="95" t="n"/>
      <c r="D491" s="95" t="n"/>
      <c r="E491" s="95" t="n"/>
      <c r="F491" s="95" t="n"/>
      <c r="G491" s="95" t="n"/>
      <c r="H491" s="95" t="n"/>
      <c r="I491" s="95" t="n"/>
      <c r="J491" s="95" t="n"/>
      <c r="K491" s="95" t="n"/>
      <c r="L491" s="96" t="n"/>
    </row>
    <row r="492">
      <c r="A492" s="96" t="n"/>
      <c r="B492" s="95">
        <f>IF(A492="","", "CTR-"&amp;TEXT(ROW()-5,"000"))</f>
        <v/>
      </c>
      <c r="C492" s="95" t="n"/>
      <c r="D492" s="95" t="n"/>
      <c r="E492" s="95" t="n"/>
      <c r="F492" s="95" t="n"/>
      <c r="G492" s="95" t="n"/>
      <c r="H492" s="95" t="n"/>
      <c r="I492" s="95" t="n"/>
      <c r="J492" s="95" t="n"/>
      <c r="K492" s="95" t="n"/>
      <c r="L492" s="96" t="n"/>
    </row>
    <row r="493">
      <c r="A493" s="96" t="n"/>
      <c r="B493" s="95">
        <f>IF(A493="","", "CTR-"&amp;TEXT(ROW()-5,"000"))</f>
        <v/>
      </c>
      <c r="C493" s="95" t="n"/>
      <c r="D493" s="95" t="n"/>
      <c r="E493" s="95" t="n"/>
      <c r="F493" s="95" t="n"/>
      <c r="G493" s="95" t="n"/>
      <c r="H493" s="95" t="n"/>
      <c r="I493" s="95" t="n"/>
      <c r="J493" s="95" t="n"/>
      <c r="K493" s="95" t="n"/>
      <c r="L493" s="96" t="n"/>
    </row>
    <row r="494">
      <c r="A494" s="96" t="n"/>
      <c r="B494" s="95">
        <f>IF(A494="","", "CTR-"&amp;TEXT(ROW()-5,"000"))</f>
        <v/>
      </c>
      <c r="C494" s="95" t="n"/>
      <c r="D494" s="95" t="n"/>
      <c r="E494" s="95" t="n"/>
      <c r="F494" s="95" t="n"/>
      <c r="G494" s="95" t="n"/>
      <c r="H494" s="95" t="n"/>
      <c r="I494" s="95" t="n"/>
      <c r="J494" s="95" t="n"/>
      <c r="K494" s="95" t="n"/>
      <c r="L494" s="96" t="n"/>
    </row>
    <row r="495">
      <c r="A495" s="96" t="n"/>
      <c r="B495" s="95">
        <f>IF(A495="","", "CTR-"&amp;TEXT(ROW()-5,"000"))</f>
        <v/>
      </c>
      <c r="C495" s="95" t="n"/>
      <c r="D495" s="95" t="n"/>
      <c r="E495" s="95" t="n"/>
      <c r="F495" s="95" t="n"/>
      <c r="G495" s="95" t="n"/>
      <c r="H495" s="95" t="n"/>
      <c r="I495" s="95" t="n"/>
      <c r="J495" s="95" t="n"/>
      <c r="K495" s="95" t="n"/>
      <c r="L495" s="96" t="n"/>
    </row>
    <row r="496">
      <c r="A496" s="96" t="n"/>
      <c r="B496" s="95">
        <f>IF(A496="","", "CTR-"&amp;TEXT(ROW()-5,"000"))</f>
        <v/>
      </c>
      <c r="C496" s="95" t="n"/>
      <c r="D496" s="95" t="n"/>
      <c r="E496" s="95" t="n"/>
      <c r="F496" s="95" t="n"/>
      <c r="G496" s="95" t="n"/>
      <c r="H496" s="95" t="n"/>
      <c r="I496" s="95" t="n"/>
      <c r="J496" s="95" t="n"/>
      <c r="K496" s="95" t="n"/>
      <c r="L496" s="96" t="n"/>
    </row>
    <row r="497">
      <c r="A497" s="96" t="n"/>
      <c r="B497" s="95">
        <f>IF(A497="","", "CTR-"&amp;TEXT(ROW()-5,"000"))</f>
        <v/>
      </c>
      <c r="C497" s="95" t="n"/>
      <c r="D497" s="95" t="n"/>
      <c r="E497" s="95" t="n"/>
      <c r="F497" s="95" t="n"/>
      <c r="G497" s="95" t="n"/>
      <c r="H497" s="95" t="n"/>
      <c r="I497" s="95" t="n"/>
      <c r="J497" s="95" t="n"/>
      <c r="K497" s="95" t="n"/>
      <c r="L497" s="96" t="n"/>
    </row>
    <row r="498">
      <c r="A498" s="96" t="n"/>
      <c r="B498" s="95">
        <f>IF(A498="","", "CTR-"&amp;TEXT(ROW()-5,"000"))</f>
        <v/>
      </c>
      <c r="C498" s="95" t="n"/>
      <c r="D498" s="95" t="n"/>
      <c r="E498" s="95" t="n"/>
      <c r="F498" s="95" t="n"/>
      <c r="G498" s="95" t="n"/>
      <c r="H498" s="95" t="n"/>
      <c r="I498" s="95" t="n"/>
      <c r="J498" s="95" t="n"/>
      <c r="K498" s="95" t="n"/>
      <c r="L498" s="96" t="n"/>
    </row>
    <row r="499">
      <c r="A499" s="96" t="n"/>
      <c r="B499" s="95">
        <f>IF(A499="","", "CTR-"&amp;TEXT(ROW()-5,"000"))</f>
        <v/>
      </c>
      <c r="C499" s="95" t="n"/>
      <c r="D499" s="95" t="n"/>
      <c r="E499" s="95" t="n"/>
      <c r="F499" s="95" t="n"/>
      <c r="G499" s="95" t="n"/>
      <c r="H499" s="95" t="n"/>
      <c r="I499" s="95" t="n"/>
      <c r="J499" s="95" t="n"/>
      <c r="K499" s="95" t="n"/>
      <c r="L499" s="96" t="n"/>
    </row>
    <row r="500">
      <c r="A500" s="96" t="n"/>
      <c r="B500" s="95">
        <f>IF(A500="","", "CTR-"&amp;TEXT(ROW()-5,"000"))</f>
        <v/>
      </c>
      <c r="C500" s="95" t="n"/>
      <c r="D500" s="95" t="n"/>
      <c r="E500" s="95" t="n"/>
      <c r="F500" s="95" t="n"/>
      <c r="G500" s="95" t="n"/>
      <c r="H500" s="95" t="n"/>
      <c r="I500" s="95" t="n"/>
      <c r="J500" s="95" t="n"/>
      <c r="K500" s="95" t="n"/>
      <c r="L500" s="96" t="n"/>
    </row>
    <row r="501">
      <c r="A501" s="96" t="n"/>
      <c r="B501" s="95">
        <f>IF(A501="","", "CTR-"&amp;TEXT(ROW()-5,"000"))</f>
        <v/>
      </c>
      <c r="C501" s="95" t="n"/>
      <c r="D501" s="95" t="n"/>
      <c r="E501" s="95" t="n"/>
      <c r="F501" s="95" t="n"/>
      <c r="G501" s="95" t="n"/>
      <c r="H501" s="95" t="n"/>
      <c r="I501" s="95" t="n"/>
      <c r="J501" s="95" t="n"/>
      <c r="K501" s="95" t="n"/>
      <c r="L501" s="96" t="n"/>
    </row>
    <row r="502">
      <c r="A502" s="96" t="n"/>
      <c r="B502" s="95">
        <f>IF(A502="","", "CTR-"&amp;TEXT(ROW()-5,"000"))</f>
        <v/>
      </c>
      <c r="C502" s="95" t="n"/>
      <c r="D502" s="95" t="n"/>
      <c r="E502" s="95" t="n"/>
      <c r="F502" s="95" t="n"/>
      <c r="G502" s="95" t="n"/>
      <c r="H502" s="95" t="n"/>
      <c r="I502" s="95" t="n"/>
      <c r="J502" s="95" t="n"/>
      <c r="K502" s="95" t="n"/>
      <c r="L502" s="96" t="n"/>
    </row>
    <row r="503">
      <c r="A503" s="96" t="n"/>
      <c r="B503" s="95">
        <f>IF(A503="","", "CTR-"&amp;TEXT(ROW()-5,"000"))</f>
        <v/>
      </c>
      <c r="C503" s="95" t="n"/>
      <c r="D503" s="95" t="n"/>
      <c r="E503" s="95" t="n"/>
      <c r="F503" s="95" t="n"/>
      <c r="G503" s="95" t="n"/>
      <c r="H503" s="95" t="n"/>
      <c r="I503" s="95" t="n"/>
      <c r="J503" s="95" t="n"/>
      <c r="K503" s="95" t="n"/>
      <c r="L503" s="96" t="n"/>
    </row>
    <row r="504">
      <c r="A504" s="96" t="n"/>
      <c r="B504" s="95">
        <f>IF(A504="","", "CTR-"&amp;TEXT(ROW()-5,"000"))</f>
        <v/>
      </c>
      <c r="C504" s="95" t="n"/>
      <c r="D504" s="95" t="n"/>
      <c r="E504" s="95" t="n"/>
      <c r="F504" s="95" t="n"/>
      <c r="G504" s="95" t="n"/>
      <c r="H504" s="95" t="n"/>
      <c r="I504" s="95" t="n"/>
      <c r="J504" s="95" t="n"/>
      <c r="K504" s="95" t="n"/>
      <c r="L504" s="96" t="n"/>
    </row>
    <row r="505">
      <c r="A505" s="96" t="n"/>
      <c r="B505" s="95">
        <f>IF(A505="","", "CTR-"&amp;TEXT(ROW()-5,"000"))</f>
        <v/>
      </c>
      <c r="C505" s="95" t="n"/>
      <c r="D505" s="95" t="n"/>
      <c r="E505" s="95" t="n"/>
      <c r="F505" s="95" t="n"/>
      <c r="G505" s="95" t="n"/>
      <c r="H505" s="95" t="n"/>
      <c r="I505" s="95" t="n"/>
      <c r="J505" s="95" t="n"/>
      <c r="K505" s="95" t="n"/>
      <c r="L505" s="96" t="n"/>
    </row>
    <row r="506">
      <c r="A506" s="96" t="n"/>
      <c r="B506" s="95">
        <f>IF(A506="","", "CTR-"&amp;TEXT(ROW()-5,"000"))</f>
        <v/>
      </c>
      <c r="C506" s="95" t="n"/>
      <c r="D506" s="95" t="n"/>
      <c r="E506" s="95" t="n"/>
      <c r="F506" s="95" t="n"/>
      <c r="G506" s="95" t="n"/>
      <c r="H506" s="95" t="n"/>
      <c r="I506" s="95" t="n"/>
      <c r="J506" s="95" t="n"/>
      <c r="K506" s="95" t="n"/>
      <c r="L506" s="96" t="n"/>
    </row>
    <row r="507">
      <c r="A507" s="96" t="n"/>
      <c r="B507" s="95">
        <f>IF(A507="","", "CTR-"&amp;TEXT(ROW()-5,"000"))</f>
        <v/>
      </c>
      <c r="C507" s="95" t="n"/>
      <c r="D507" s="95" t="n"/>
      <c r="E507" s="95" t="n"/>
      <c r="F507" s="95" t="n"/>
      <c r="G507" s="95" t="n"/>
      <c r="H507" s="95" t="n"/>
      <c r="I507" s="95" t="n"/>
      <c r="J507" s="95" t="n"/>
      <c r="K507" s="95" t="n"/>
      <c r="L507" s="96" t="n"/>
    </row>
    <row r="508">
      <c r="A508" s="96" t="n"/>
      <c r="B508" s="95">
        <f>IF(A508="","", "CTR-"&amp;TEXT(ROW()-5,"000"))</f>
        <v/>
      </c>
      <c r="C508" s="95" t="n"/>
      <c r="D508" s="95" t="n"/>
      <c r="E508" s="95" t="n"/>
      <c r="F508" s="95" t="n"/>
      <c r="G508" s="95" t="n"/>
      <c r="H508" s="95" t="n"/>
      <c r="I508" s="95" t="n"/>
      <c r="J508" s="95" t="n"/>
      <c r="K508" s="95" t="n"/>
      <c r="L508" s="96" t="n"/>
    </row>
    <row r="509">
      <c r="A509" s="96" t="n"/>
      <c r="B509" s="95">
        <f>IF(A509="","", "CTR-"&amp;TEXT(ROW()-5,"000"))</f>
        <v/>
      </c>
      <c r="C509" s="95" t="n"/>
      <c r="D509" s="95" t="n"/>
      <c r="E509" s="95" t="n"/>
      <c r="F509" s="95" t="n"/>
      <c r="G509" s="95" t="n"/>
      <c r="H509" s="95" t="n"/>
      <c r="I509" s="95" t="n"/>
      <c r="J509" s="95" t="n"/>
      <c r="K509" s="95" t="n"/>
      <c r="L509" s="96" t="n"/>
    </row>
    <row r="510">
      <c r="A510" s="96" t="n"/>
      <c r="B510" s="95">
        <f>IF(A510="","", "CTR-"&amp;TEXT(ROW()-5,"000"))</f>
        <v/>
      </c>
      <c r="C510" s="95" t="n"/>
      <c r="D510" s="95" t="n"/>
      <c r="E510" s="95" t="n"/>
      <c r="F510" s="95" t="n"/>
      <c r="G510" s="95" t="n"/>
      <c r="H510" s="95" t="n"/>
      <c r="I510" s="95" t="n"/>
      <c r="J510" s="95" t="n"/>
      <c r="K510" s="95" t="n"/>
      <c r="L510" s="96" t="n"/>
    </row>
    <row r="511">
      <c r="A511" s="96" t="n"/>
      <c r="B511" s="95">
        <f>IF(A511="","", "CTR-"&amp;TEXT(ROW()-5,"000"))</f>
        <v/>
      </c>
      <c r="C511" s="95" t="n"/>
      <c r="D511" s="95" t="n"/>
      <c r="E511" s="95" t="n"/>
      <c r="F511" s="95" t="n"/>
      <c r="G511" s="95" t="n"/>
      <c r="H511" s="95" t="n"/>
      <c r="I511" s="95" t="n"/>
      <c r="J511" s="95" t="n"/>
      <c r="K511" s="95" t="n"/>
      <c r="L511" s="96" t="n"/>
    </row>
    <row r="512">
      <c r="A512" s="96" t="n"/>
      <c r="B512" s="95">
        <f>IF(A512="","", "CTR-"&amp;TEXT(ROW()-5,"000"))</f>
        <v/>
      </c>
      <c r="C512" s="95" t="n"/>
      <c r="D512" s="95" t="n"/>
      <c r="E512" s="95" t="n"/>
      <c r="F512" s="95" t="n"/>
      <c r="G512" s="95" t="n"/>
      <c r="H512" s="95" t="n"/>
      <c r="I512" s="95" t="n"/>
      <c r="J512" s="95" t="n"/>
      <c r="K512" s="95" t="n"/>
      <c r="L512" s="96" t="n"/>
    </row>
    <row r="513">
      <c r="A513" s="96" t="n"/>
      <c r="B513" s="95">
        <f>IF(A513="","", "CTR-"&amp;TEXT(ROW()-5,"000"))</f>
        <v/>
      </c>
      <c r="C513" s="95" t="n"/>
      <c r="D513" s="95" t="n"/>
      <c r="E513" s="95" t="n"/>
      <c r="F513" s="95" t="n"/>
      <c r="G513" s="95" t="n"/>
      <c r="H513" s="95" t="n"/>
      <c r="I513" s="95" t="n"/>
      <c r="J513" s="95" t="n"/>
      <c r="K513" s="95" t="n"/>
      <c r="L513" s="96" t="n"/>
    </row>
    <row r="514">
      <c r="A514" s="96" t="n"/>
      <c r="B514" s="95">
        <f>IF(A514="","", "CTR-"&amp;TEXT(ROW()-5,"000"))</f>
        <v/>
      </c>
      <c r="C514" s="95" t="n"/>
      <c r="D514" s="95" t="n"/>
      <c r="E514" s="95" t="n"/>
      <c r="F514" s="95" t="n"/>
      <c r="G514" s="95" t="n"/>
      <c r="H514" s="95" t="n"/>
      <c r="I514" s="95" t="n"/>
      <c r="J514" s="95" t="n"/>
      <c r="K514" s="95" t="n"/>
      <c r="L514" s="96" t="n"/>
    </row>
    <row r="515">
      <c r="A515" s="96" t="n"/>
      <c r="B515" s="95">
        <f>IF(A515="","", "CTR-"&amp;TEXT(ROW()-5,"000"))</f>
        <v/>
      </c>
      <c r="C515" s="95" t="n"/>
      <c r="D515" s="95" t="n"/>
      <c r="E515" s="95" t="n"/>
      <c r="F515" s="95" t="n"/>
      <c r="G515" s="95" t="n"/>
      <c r="H515" s="95" t="n"/>
      <c r="I515" s="95" t="n"/>
      <c r="J515" s="95" t="n"/>
      <c r="K515" s="95" t="n"/>
      <c r="L515" s="96" t="n"/>
    </row>
    <row r="516">
      <c r="A516" s="96" t="n"/>
      <c r="B516" s="95">
        <f>IF(A516="","", "CTR-"&amp;TEXT(ROW()-5,"000"))</f>
        <v/>
      </c>
      <c r="C516" s="95" t="n"/>
      <c r="D516" s="95" t="n"/>
      <c r="E516" s="95" t="n"/>
      <c r="F516" s="95" t="n"/>
      <c r="G516" s="95" t="n"/>
      <c r="H516" s="95" t="n"/>
      <c r="I516" s="95" t="n"/>
      <c r="J516" s="95" t="n"/>
      <c r="K516" s="95" t="n"/>
      <c r="L516" s="96" t="n"/>
    </row>
    <row r="517">
      <c r="A517" s="96" t="n"/>
      <c r="B517" s="95">
        <f>IF(A517="","", "CTR-"&amp;TEXT(ROW()-5,"000"))</f>
        <v/>
      </c>
      <c r="C517" s="95" t="n"/>
      <c r="D517" s="95" t="n"/>
      <c r="E517" s="95" t="n"/>
      <c r="F517" s="95" t="n"/>
      <c r="G517" s="95" t="n"/>
      <c r="H517" s="95" t="n"/>
      <c r="I517" s="95" t="n"/>
      <c r="J517" s="95" t="n"/>
      <c r="K517" s="95" t="n"/>
      <c r="L517" s="96" t="n"/>
    </row>
    <row r="518">
      <c r="A518" s="96" t="n"/>
      <c r="B518" s="95">
        <f>IF(A518="","", "CTR-"&amp;TEXT(ROW()-5,"000"))</f>
        <v/>
      </c>
      <c r="C518" s="95" t="n"/>
      <c r="D518" s="95" t="n"/>
      <c r="E518" s="95" t="n"/>
      <c r="F518" s="95" t="n"/>
      <c r="G518" s="95" t="n"/>
      <c r="H518" s="95" t="n"/>
      <c r="I518" s="95" t="n"/>
      <c r="J518" s="95" t="n"/>
      <c r="K518" s="95" t="n"/>
      <c r="L518" s="96" t="n"/>
    </row>
    <row r="519">
      <c r="A519" s="96" t="n"/>
      <c r="B519" s="95">
        <f>IF(A519="","", "CTR-"&amp;TEXT(ROW()-5,"000"))</f>
        <v/>
      </c>
      <c r="C519" s="95" t="n"/>
      <c r="D519" s="95" t="n"/>
      <c r="E519" s="95" t="n"/>
      <c r="F519" s="95" t="n"/>
      <c r="G519" s="95" t="n"/>
      <c r="H519" s="95" t="n"/>
      <c r="I519" s="95" t="n"/>
      <c r="J519" s="95" t="n"/>
      <c r="K519" s="95" t="n"/>
      <c r="L519" s="96" t="n"/>
    </row>
    <row r="520">
      <c r="A520" s="96" t="n"/>
      <c r="B520" s="95">
        <f>IF(A520="","", "CTR-"&amp;TEXT(ROW()-5,"000"))</f>
        <v/>
      </c>
      <c r="C520" s="95" t="n"/>
      <c r="D520" s="95" t="n"/>
      <c r="E520" s="95" t="n"/>
      <c r="F520" s="95" t="n"/>
      <c r="G520" s="95" t="n"/>
      <c r="H520" s="95" t="n"/>
      <c r="I520" s="95" t="n"/>
      <c r="J520" s="95" t="n"/>
      <c r="K520" s="95" t="n"/>
      <c r="L520" s="96" t="n"/>
    </row>
    <row r="521">
      <c r="A521" s="96" t="n"/>
      <c r="B521" s="95">
        <f>IF(A521="","", "CTR-"&amp;TEXT(ROW()-5,"000"))</f>
        <v/>
      </c>
      <c r="C521" s="95" t="n"/>
      <c r="D521" s="95" t="n"/>
      <c r="E521" s="95" t="n"/>
      <c r="F521" s="95" t="n"/>
      <c r="G521" s="95" t="n"/>
      <c r="H521" s="95" t="n"/>
      <c r="I521" s="95" t="n"/>
      <c r="J521" s="95" t="n"/>
      <c r="K521" s="95" t="n"/>
      <c r="L521" s="96" t="n"/>
    </row>
    <row r="522">
      <c r="A522" s="96" t="n"/>
      <c r="B522" s="95">
        <f>IF(A522="","", "CTR-"&amp;TEXT(ROW()-5,"000"))</f>
        <v/>
      </c>
      <c r="C522" s="95" t="n"/>
      <c r="D522" s="95" t="n"/>
      <c r="E522" s="95" t="n"/>
      <c r="F522" s="95" t="n"/>
      <c r="G522" s="95" t="n"/>
      <c r="H522" s="95" t="n"/>
      <c r="I522" s="95" t="n"/>
      <c r="J522" s="95" t="n"/>
      <c r="K522" s="95" t="n"/>
      <c r="L522" s="96" t="n"/>
    </row>
    <row r="523">
      <c r="A523" s="96" t="n"/>
      <c r="B523" s="95">
        <f>IF(A523="","", "CTR-"&amp;TEXT(ROW()-5,"000"))</f>
        <v/>
      </c>
      <c r="C523" s="95" t="n"/>
      <c r="D523" s="95" t="n"/>
      <c r="E523" s="95" t="n"/>
      <c r="F523" s="95" t="n"/>
      <c r="G523" s="95" t="n"/>
      <c r="H523" s="95" t="n"/>
      <c r="I523" s="95" t="n"/>
      <c r="J523" s="95" t="n"/>
      <c r="K523" s="95" t="n"/>
      <c r="L523" s="96" t="n"/>
    </row>
    <row r="524">
      <c r="A524" s="96" t="n"/>
      <c r="B524" s="95">
        <f>IF(A524="","", "CTR-"&amp;TEXT(ROW()-5,"000"))</f>
        <v/>
      </c>
      <c r="C524" s="95" t="n"/>
      <c r="D524" s="95" t="n"/>
      <c r="E524" s="95" t="n"/>
      <c r="F524" s="95" t="n"/>
      <c r="G524" s="95" t="n"/>
      <c r="H524" s="95" t="n"/>
      <c r="I524" s="95" t="n"/>
      <c r="J524" s="95" t="n"/>
      <c r="K524" s="95" t="n"/>
      <c r="L524" s="96" t="n"/>
    </row>
    <row r="525">
      <c r="A525" s="96" t="n"/>
      <c r="B525" s="95">
        <f>IF(A525="","", "CTR-"&amp;TEXT(ROW()-5,"000"))</f>
        <v/>
      </c>
      <c r="C525" s="95" t="n"/>
      <c r="D525" s="95" t="n"/>
      <c r="E525" s="95" t="n"/>
      <c r="F525" s="95" t="n"/>
      <c r="G525" s="95" t="n"/>
      <c r="H525" s="95" t="n"/>
      <c r="I525" s="95" t="n"/>
      <c r="J525" s="95" t="n"/>
      <c r="K525" s="95" t="n"/>
      <c r="L525" s="96" t="n"/>
    </row>
    <row r="526">
      <c r="A526" s="96" t="n"/>
      <c r="B526" s="95">
        <f>IF(A526="","", "CTR-"&amp;TEXT(ROW()-5,"000"))</f>
        <v/>
      </c>
      <c r="C526" s="95" t="n"/>
      <c r="D526" s="95" t="n"/>
      <c r="E526" s="95" t="n"/>
      <c r="F526" s="95" t="n"/>
      <c r="G526" s="95" t="n"/>
      <c r="H526" s="95" t="n"/>
      <c r="I526" s="95" t="n"/>
      <c r="J526" s="95" t="n"/>
      <c r="K526" s="95" t="n"/>
      <c r="L526" s="96" t="n"/>
    </row>
    <row r="527">
      <c r="A527" s="96" t="n"/>
      <c r="B527" s="95">
        <f>IF(A527="","", "CTR-"&amp;TEXT(ROW()-5,"000"))</f>
        <v/>
      </c>
      <c r="C527" s="95" t="n"/>
      <c r="D527" s="95" t="n"/>
      <c r="E527" s="95" t="n"/>
      <c r="F527" s="95" t="n"/>
      <c r="G527" s="95" t="n"/>
      <c r="H527" s="95" t="n"/>
      <c r="I527" s="95" t="n"/>
      <c r="J527" s="95" t="n"/>
      <c r="K527" s="95" t="n"/>
      <c r="L527" s="96" t="n"/>
    </row>
    <row r="528">
      <c r="A528" s="96" t="n"/>
      <c r="B528" s="95">
        <f>IF(A528="","", "CTR-"&amp;TEXT(ROW()-5,"000"))</f>
        <v/>
      </c>
      <c r="C528" s="95" t="n"/>
      <c r="D528" s="95" t="n"/>
      <c r="E528" s="95" t="n"/>
      <c r="F528" s="95" t="n"/>
      <c r="G528" s="95" t="n"/>
      <c r="H528" s="95" t="n"/>
      <c r="I528" s="95" t="n"/>
      <c r="J528" s="95" t="n"/>
      <c r="K528" s="95" t="n"/>
      <c r="L528" s="96" t="n"/>
    </row>
    <row r="529">
      <c r="A529" s="96" t="n"/>
      <c r="B529" s="95">
        <f>IF(A529="","", "CTR-"&amp;TEXT(ROW()-5,"000"))</f>
        <v/>
      </c>
      <c r="C529" s="95" t="n"/>
      <c r="D529" s="95" t="n"/>
      <c r="E529" s="95" t="n"/>
      <c r="F529" s="95" t="n"/>
      <c r="G529" s="95" t="n"/>
      <c r="H529" s="95" t="n"/>
      <c r="I529" s="95" t="n"/>
      <c r="J529" s="95" t="n"/>
      <c r="K529" s="95" t="n"/>
      <c r="L529" s="96" t="n"/>
    </row>
    <row r="530">
      <c r="A530" s="96" t="n"/>
      <c r="B530" s="95">
        <f>IF(A530="","", "CTR-"&amp;TEXT(ROW()-5,"000"))</f>
        <v/>
      </c>
      <c r="C530" s="95" t="n"/>
      <c r="D530" s="95" t="n"/>
      <c r="E530" s="95" t="n"/>
      <c r="F530" s="95" t="n"/>
      <c r="G530" s="95" t="n"/>
      <c r="H530" s="95" t="n"/>
      <c r="I530" s="95" t="n"/>
      <c r="J530" s="95" t="n"/>
      <c r="K530" s="95" t="n"/>
      <c r="L530" s="96" t="n"/>
    </row>
    <row r="531">
      <c r="A531" s="96" t="n"/>
      <c r="B531" s="95">
        <f>IF(A531="","", "CTR-"&amp;TEXT(ROW()-5,"000"))</f>
        <v/>
      </c>
      <c r="C531" s="95" t="n"/>
      <c r="D531" s="95" t="n"/>
      <c r="E531" s="95" t="n"/>
      <c r="F531" s="95" t="n"/>
      <c r="G531" s="95" t="n"/>
      <c r="H531" s="95" t="n"/>
      <c r="I531" s="95" t="n"/>
      <c r="J531" s="95" t="n"/>
      <c r="K531" s="95" t="n"/>
      <c r="L531" s="96" t="n"/>
    </row>
    <row r="532">
      <c r="A532" s="96" t="n"/>
      <c r="B532" s="95">
        <f>IF(A532="","", "CTR-"&amp;TEXT(ROW()-5,"000"))</f>
        <v/>
      </c>
      <c r="C532" s="95" t="n"/>
      <c r="D532" s="95" t="n"/>
      <c r="E532" s="95" t="n"/>
      <c r="F532" s="95" t="n"/>
      <c r="G532" s="95" t="n"/>
      <c r="H532" s="95" t="n"/>
      <c r="I532" s="95" t="n"/>
      <c r="J532" s="95" t="n"/>
      <c r="K532" s="95" t="n"/>
      <c r="L532" s="96" t="n"/>
    </row>
    <row r="533">
      <c r="A533" s="96" t="n"/>
      <c r="B533" s="95">
        <f>IF(A533="","", "CTR-"&amp;TEXT(ROW()-5,"000"))</f>
        <v/>
      </c>
      <c r="C533" s="95" t="n"/>
      <c r="D533" s="95" t="n"/>
      <c r="E533" s="95" t="n"/>
      <c r="F533" s="95" t="n"/>
      <c r="G533" s="95" t="n"/>
      <c r="H533" s="95" t="n"/>
      <c r="I533" s="95" t="n"/>
      <c r="J533" s="95" t="n"/>
      <c r="K533" s="95" t="n"/>
      <c r="L533" s="96" t="n"/>
    </row>
    <row r="534">
      <c r="A534" s="96" t="n"/>
      <c r="B534" s="95">
        <f>IF(A534="","", "CTR-"&amp;TEXT(ROW()-5,"000"))</f>
        <v/>
      </c>
      <c r="C534" s="95" t="n"/>
      <c r="D534" s="95" t="n"/>
      <c r="E534" s="95" t="n"/>
      <c r="F534" s="95" t="n"/>
      <c r="G534" s="95" t="n"/>
      <c r="H534" s="95" t="n"/>
      <c r="I534" s="95" t="n"/>
      <c r="J534" s="95" t="n"/>
      <c r="K534" s="95" t="n"/>
      <c r="L534" s="96" t="n"/>
    </row>
    <row r="535">
      <c r="A535" s="96" t="n"/>
      <c r="B535" s="95">
        <f>IF(A535="","", "CTR-"&amp;TEXT(ROW()-5,"000"))</f>
        <v/>
      </c>
      <c r="C535" s="95" t="n"/>
      <c r="D535" s="95" t="n"/>
      <c r="E535" s="95" t="n"/>
      <c r="F535" s="95" t="n"/>
      <c r="G535" s="95" t="n"/>
      <c r="H535" s="95" t="n"/>
      <c r="I535" s="95" t="n"/>
      <c r="J535" s="95" t="n"/>
      <c r="K535" s="95" t="n"/>
      <c r="L535" s="96" t="n"/>
    </row>
    <row r="536">
      <c r="A536" s="96" t="n"/>
      <c r="B536" s="95">
        <f>IF(A536="","", "CTR-"&amp;TEXT(ROW()-5,"000"))</f>
        <v/>
      </c>
      <c r="C536" s="95" t="n"/>
      <c r="D536" s="95" t="n"/>
      <c r="E536" s="95" t="n"/>
      <c r="F536" s="95" t="n"/>
      <c r="G536" s="95" t="n"/>
      <c r="H536" s="95" t="n"/>
      <c r="I536" s="95" t="n"/>
      <c r="J536" s="95" t="n"/>
      <c r="K536" s="95" t="n"/>
      <c r="L536" s="96" t="n"/>
    </row>
    <row r="537">
      <c r="A537" s="96" t="n"/>
      <c r="B537" s="95">
        <f>IF(A537="","", "CTR-"&amp;TEXT(ROW()-5,"000"))</f>
        <v/>
      </c>
      <c r="C537" s="95" t="n"/>
      <c r="D537" s="95" t="n"/>
      <c r="E537" s="95" t="n"/>
      <c r="F537" s="95" t="n"/>
      <c r="G537" s="95" t="n"/>
      <c r="H537" s="95" t="n"/>
      <c r="I537" s="95" t="n"/>
      <c r="J537" s="95" t="n"/>
      <c r="K537" s="95" t="n"/>
      <c r="L537" s="96" t="n"/>
    </row>
    <row r="538">
      <c r="A538" s="96" t="n"/>
      <c r="B538" s="95">
        <f>IF(A538="","", "CTR-"&amp;TEXT(ROW()-5,"000"))</f>
        <v/>
      </c>
      <c r="C538" s="95" t="n"/>
      <c r="D538" s="95" t="n"/>
      <c r="E538" s="95" t="n"/>
      <c r="F538" s="95" t="n"/>
      <c r="G538" s="95" t="n"/>
      <c r="H538" s="95" t="n"/>
      <c r="I538" s="95" t="n"/>
      <c r="J538" s="95" t="n"/>
      <c r="K538" s="95" t="n"/>
      <c r="L538" s="96" t="n"/>
    </row>
    <row r="539">
      <c r="A539" s="96" t="n"/>
      <c r="B539" s="95">
        <f>IF(A539="","", "CTR-"&amp;TEXT(ROW()-5,"000"))</f>
        <v/>
      </c>
      <c r="C539" s="95" t="n"/>
      <c r="D539" s="95" t="n"/>
      <c r="E539" s="95" t="n"/>
      <c r="F539" s="95" t="n"/>
      <c r="G539" s="95" t="n"/>
      <c r="H539" s="95" t="n"/>
      <c r="I539" s="95" t="n"/>
      <c r="J539" s="95" t="n"/>
      <c r="K539" s="95" t="n"/>
      <c r="L539" s="96" t="n"/>
    </row>
    <row r="540">
      <c r="A540" s="96" t="n"/>
      <c r="B540" s="95">
        <f>IF(A540="","", "CTR-"&amp;TEXT(ROW()-5,"000"))</f>
        <v/>
      </c>
      <c r="C540" s="95" t="n"/>
      <c r="D540" s="95" t="n"/>
      <c r="E540" s="95" t="n"/>
      <c r="F540" s="95" t="n"/>
      <c r="G540" s="95" t="n"/>
      <c r="H540" s="95" t="n"/>
      <c r="I540" s="95" t="n"/>
      <c r="J540" s="95" t="n"/>
      <c r="K540" s="95" t="n"/>
      <c r="L540" s="96" t="n"/>
    </row>
    <row r="541">
      <c r="A541" s="96" t="n"/>
      <c r="B541" s="95">
        <f>IF(A541="","", "CTR-"&amp;TEXT(ROW()-5,"000"))</f>
        <v/>
      </c>
      <c r="C541" s="95" t="n"/>
      <c r="D541" s="95" t="n"/>
      <c r="E541" s="95" t="n"/>
      <c r="F541" s="95" t="n"/>
      <c r="G541" s="95" t="n"/>
      <c r="H541" s="95" t="n"/>
      <c r="I541" s="95" t="n"/>
      <c r="J541" s="95" t="n"/>
      <c r="K541" s="95" t="n"/>
      <c r="L541" s="96" t="n"/>
    </row>
    <row r="542">
      <c r="A542" s="96" t="n"/>
      <c r="B542" s="95">
        <f>IF(A542="","", "CTR-"&amp;TEXT(ROW()-5,"000"))</f>
        <v/>
      </c>
      <c r="C542" s="95" t="n"/>
      <c r="D542" s="95" t="n"/>
      <c r="E542" s="95" t="n"/>
      <c r="F542" s="95" t="n"/>
      <c r="G542" s="95" t="n"/>
      <c r="H542" s="95" t="n"/>
      <c r="I542" s="95" t="n"/>
      <c r="J542" s="95" t="n"/>
      <c r="K542" s="95" t="n"/>
      <c r="L542" s="96" t="n"/>
    </row>
    <row r="543">
      <c r="A543" s="96" t="n"/>
      <c r="B543" s="95">
        <f>IF(A543="","", "CTR-"&amp;TEXT(ROW()-5,"000"))</f>
        <v/>
      </c>
      <c r="C543" s="95" t="n"/>
      <c r="D543" s="95" t="n"/>
      <c r="E543" s="95" t="n"/>
      <c r="F543" s="95" t="n"/>
      <c r="G543" s="95" t="n"/>
      <c r="H543" s="95" t="n"/>
      <c r="I543" s="95" t="n"/>
      <c r="J543" s="95" t="n"/>
      <c r="K543" s="95" t="n"/>
      <c r="L543" s="96" t="n"/>
    </row>
    <row r="544">
      <c r="A544" s="96" t="n"/>
      <c r="B544" s="95">
        <f>IF(A544="","", "CTR-"&amp;TEXT(ROW()-5,"000"))</f>
        <v/>
      </c>
      <c r="C544" s="95" t="n"/>
      <c r="D544" s="95" t="n"/>
      <c r="E544" s="95" t="n"/>
      <c r="F544" s="95" t="n"/>
      <c r="G544" s="95" t="n"/>
      <c r="H544" s="95" t="n"/>
      <c r="I544" s="95" t="n"/>
      <c r="J544" s="95" t="n"/>
      <c r="K544" s="95" t="n"/>
      <c r="L544" s="96" t="n"/>
    </row>
    <row r="545">
      <c r="A545" s="96" t="n"/>
      <c r="B545" s="95">
        <f>IF(A545="","", "CTR-"&amp;TEXT(ROW()-5,"000"))</f>
        <v/>
      </c>
      <c r="C545" s="95" t="n"/>
      <c r="D545" s="95" t="n"/>
      <c r="E545" s="95" t="n"/>
      <c r="F545" s="95" t="n"/>
      <c r="G545" s="95" t="n"/>
      <c r="H545" s="95" t="n"/>
      <c r="I545" s="95" t="n"/>
      <c r="J545" s="95" t="n"/>
      <c r="K545" s="95" t="n"/>
      <c r="L545" s="96" t="n"/>
    </row>
    <row r="546">
      <c r="A546" s="96" t="n"/>
      <c r="B546" s="95">
        <f>IF(A546="","", "CTR-"&amp;TEXT(ROW()-5,"000"))</f>
        <v/>
      </c>
      <c r="C546" s="95" t="n"/>
      <c r="D546" s="95" t="n"/>
      <c r="E546" s="95" t="n"/>
      <c r="F546" s="95" t="n"/>
      <c r="G546" s="95" t="n"/>
      <c r="H546" s="95" t="n"/>
      <c r="I546" s="95" t="n"/>
      <c r="J546" s="95" t="n"/>
      <c r="K546" s="95" t="n"/>
      <c r="L546" s="96" t="n"/>
    </row>
    <row r="547">
      <c r="A547" s="96" t="n"/>
      <c r="B547" s="95">
        <f>IF(A547="","", "CTR-"&amp;TEXT(ROW()-5,"000"))</f>
        <v/>
      </c>
      <c r="C547" s="95" t="n"/>
      <c r="D547" s="95" t="n"/>
      <c r="E547" s="95" t="n"/>
      <c r="F547" s="95" t="n"/>
      <c r="G547" s="95" t="n"/>
      <c r="H547" s="95" t="n"/>
      <c r="I547" s="95" t="n"/>
      <c r="J547" s="95" t="n"/>
      <c r="K547" s="95" t="n"/>
      <c r="L547" s="96" t="n"/>
    </row>
    <row r="548">
      <c r="A548" s="96" t="n"/>
      <c r="B548" s="95">
        <f>IF(A548="","", "CTR-"&amp;TEXT(ROW()-5,"000"))</f>
        <v/>
      </c>
      <c r="C548" s="95" t="n"/>
      <c r="D548" s="95" t="n"/>
      <c r="E548" s="95" t="n"/>
      <c r="F548" s="95" t="n"/>
      <c r="G548" s="95" t="n"/>
      <c r="H548" s="95" t="n"/>
      <c r="I548" s="95" t="n"/>
      <c r="J548" s="95" t="n"/>
      <c r="K548" s="95" t="n"/>
      <c r="L548" s="96" t="n"/>
    </row>
    <row r="549">
      <c r="A549" s="96" t="n"/>
      <c r="B549" s="95">
        <f>IF(A549="","", "CTR-"&amp;TEXT(ROW()-5,"000"))</f>
        <v/>
      </c>
      <c r="C549" s="95" t="n"/>
      <c r="D549" s="95" t="n"/>
      <c r="E549" s="95" t="n"/>
      <c r="F549" s="95" t="n"/>
      <c r="G549" s="95" t="n"/>
      <c r="H549" s="95" t="n"/>
      <c r="I549" s="95" t="n"/>
      <c r="J549" s="95" t="n"/>
      <c r="K549" s="95" t="n"/>
      <c r="L549" s="96" t="n"/>
    </row>
    <row r="550">
      <c r="A550" s="96" t="n"/>
      <c r="B550" s="95">
        <f>IF(A550="","", "CTR-"&amp;TEXT(ROW()-5,"000"))</f>
        <v/>
      </c>
      <c r="C550" s="95" t="n"/>
      <c r="D550" s="95" t="n"/>
      <c r="E550" s="95" t="n"/>
      <c r="F550" s="95" t="n"/>
      <c r="G550" s="95" t="n"/>
      <c r="H550" s="95" t="n"/>
      <c r="I550" s="95" t="n"/>
      <c r="J550" s="95" t="n"/>
      <c r="K550" s="95" t="n"/>
      <c r="L550" s="96" t="n"/>
    </row>
    <row r="551">
      <c r="A551" s="96" t="n"/>
      <c r="B551" s="95">
        <f>IF(A551="","", "CTR-"&amp;TEXT(ROW()-5,"000"))</f>
        <v/>
      </c>
      <c r="C551" s="95" t="n"/>
      <c r="D551" s="95" t="n"/>
      <c r="E551" s="95" t="n"/>
      <c r="F551" s="95" t="n"/>
      <c r="G551" s="95" t="n"/>
      <c r="H551" s="95" t="n"/>
      <c r="I551" s="95" t="n"/>
      <c r="J551" s="95" t="n"/>
      <c r="K551" s="95" t="n"/>
      <c r="L551" s="96" t="n"/>
    </row>
    <row r="552">
      <c r="A552" s="96" t="n"/>
      <c r="B552" s="95">
        <f>IF(A552="","", "CTR-"&amp;TEXT(ROW()-5,"000"))</f>
        <v/>
      </c>
      <c r="C552" s="95" t="n"/>
      <c r="D552" s="95" t="n"/>
      <c r="E552" s="95" t="n"/>
      <c r="F552" s="95" t="n"/>
      <c r="G552" s="95" t="n"/>
      <c r="H552" s="95" t="n"/>
      <c r="I552" s="95" t="n"/>
      <c r="J552" s="95" t="n"/>
      <c r="K552" s="95" t="n"/>
      <c r="L552" s="96" t="n"/>
    </row>
    <row r="553">
      <c r="A553" s="96" t="n"/>
      <c r="B553" s="95">
        <f>IF(A553="","", "CTR-"&amp;TEXT(ROW()-5,"000"))</f>
        <v/>
      </c>
      <c r="C553" s="95" t="n"/>
      <c r="D553" s="95" t="n"/>
      <c r="E553" s="95" t="n"/>
      <c r="F553" s="95" t="n"/>
      <c r="G553" s="95" t="n"/>
      <c r="H553" s="95" t="n"/>
      <c r="I553" s="95" t="n"/>
      <c r="J553" s="95" t="n"/>
      <c r="K553" s="95" t="n"/>
      <c r="L553" s="96" t="n"/>
    </row>
    <row r="554">
      <c r="A554" s="96" t="n"/>
      <c r="B554" s="95">
        <f>IF(A554="","", "CTR-"&amp;TEXT(ROW()-5,"000"))</f>
        <v/>
      </c>
      <c r="C554" s="95" t="n"/>
      <c r="D554" s="95" t="n"/>
      <c r="E554" s="95" t="n"/>
      <c r="F554" s="95" t="n"/>
      <c r="G554" s="95" t="n"/>
      <c r="H554" s="95" t="n"/>
      <c r="I554" s="95" t="n"/>
      <c r="J554" s="95" t="n"/>
      <c r="K554" s="95" t="n"/>
      <c r="L554" s="96" t="n"/>
    </row>
    <row r="555">
      <c r="A555" s="96" t="n"/>
      <c r="B555" s="95">
        <f>IF(A555="","", "CTR-"&amp;TEXT(ROW()-5,"000"))</f>
        <v/>
      </c>
      <c r="C555" s="95" t="n"/>
      <c r="D555" s="95" t="n"/>
      <c r="E555" s="95" t="n"/>
      <c r="F555" s="95" t="n"/>
      <c r="G555" s="95" t="n"/>
      <c r="H555" s="95" t="n"/>
      <c r="I555" s="95" t="n"/>
      <c r="J555" s="95" t="n"/>
      <c r="K555" s="95" t="n"/>
      <c r="L555" s="96" t="n"/>
    </row>
    <row r="556">
      <c r="A556" s="96" t="n"/>
      <c r="B556" s="95">
        <f>IF(A556="","", "CTR-"&amp;TEXT(ROW()-5,"000"))</f>
        <v/>
      </c>
      <c r="C556" s="95" t="n"/>
      <c r="D556" s="95" t="n"/>
      <c r="E556" s="95" t="n"/>
      <c r="F556" s="95" t="n"/>
      <c r="G556" s="95" t="n"/>
      <c r="H556" s="95" t="n"/>
      <c r="I556" s="95" t="n"/>
      <c r="J556" s="95" t="n"/>
      <c r="K556" s="95" t="n"/>
      <c r="L556" s="96" t="n"/>
    </row>
    <row r="557">
      <c r="A557" s="96" t="n"/>
      <c r="B557" s="95">
        <f>IF(A557="","", "CTR-"&amp;TEXT(ROW()-5,"000"))</f>
        <v/>
      </c>
      <c r="C557" s="95" t="n"/>
      <c r="D557" s="95" t="n"/>
      <c r="E557" s="95" t="n"/>
      <c r="F557" s="95" t="n"/>
      <c r="G557" s="95" t="n"/>
      <c r="H557" s="95" t="n"/>
      <c r="I557" s="95" t="n"/>
      <c r="J557" s="95" t="n"/>
      <c r="K557" s="95" t="n"/>
      <c r="L557" s="96" t="n"/>
    </row>
    <row r="558">
      <c r="A558" s="96" t="n"/>
      <c r="B558" s="95">
        <f>IF(A558="","", "CTR-"&amp;TEXT(ROW()-5,"000"))</f>
        <v/>
      </c>
      <c r="C558" s="95" t="n"/>
      <c r="D558" s="95" t="n"/>
      <c r="E558" s="95" t="n"/>
      <c r="F558" s="95" t="n"/>
      <c r="G558" s="95" t="n"/>
      <c r="H558" s="95" t="n"/>
      <c r="I558" s="95" t="n"/>
      <c r="J558" s="95" t="n"/>
      <c r="K558" s="95" t="n"/>
      <c r="L558" s="96" t="n"/>
    </row>
    <row r="559">
      <c r="A559" s="96" t="n"/>
      <c r="B559" s="95">
        <f>IF(A559="","", "CTR-"&amp;TEXT(ROW()-5,"000"))</f>
        <v/>
      </c>
      <c r="C559" s="95" t="n"/>
      <c r="D559" s="95" t="n"/>
      <c r="E559" s="95" t="n"/>
      <c r="F559" s="95" t="n"/>
      <c r="G559" s="95" t="n"/>
      <c r="H559" s="95" t="n"/>
      <c r="I559" s="95" t="n"/>
      <c r="J559" s="95" t="n"/>
      <c r="K559" s="95" t="n"/>
      <c r="L559" s="96" t="n"/>
    </row>
    <row r="560">
      <c r="A560" s="96" t="n"/>
      <c r="B560" s="95">
        <f>IF(A560="","", "CTR-"&amp;TEXT(ROW()-5,"000"))</f>
        <v/>
      </c>
      <c r="C560" s="95" t="n"/>
      <c r="D560" s="95" t="n"/>
      <c r="E560" s="95" t="n"/>
      <c r="F560" s="95" t="n"/>
      <c r="G560" s="95" t="n"/>
      <c r="H560" s="95" t="n"/>
      <c r="I560" s="95" t="n"/>
      <c r="J560" s="95" t="n"/>
      <c r="K560" s="95" t="n"/>
      <c r="L560" s="96" t="n"/>
    </row>
    <row r="561">
      <c r="A561" s="96" t="n"/>
      <c r="B561" s="95">
        <f>IF(A561="","", "CTR-"&amp;TEXT(ROW()-5,"000"))</f>
        <v/>
      </c>
      <c r="C561" s="95" t="n"/>
      <c r="D561" s="95" t="n"/>
      <c r="E561" s="95" t="n"/>
      <c r="F561" s="95" t="n"/>
      <c r="G561" s="95" t="n"/>
      <c r="H561" s="95" t="n"/>
      <c r="I561" s="95" t="n"/>
      <c r="J561" s="95" t="n"/>
      <c r="K561" s="95" t="n"/>
      <c r="L561" s="96" t="n"/>
    </row>
    <row r="562">
      <c r="A562" s="96" t="n"/>
      <c r="B562" s="95">
        <f>IF(A562="","", "CTR-"&amp;TEXT(ROW()-5,"000"))</f>
        <v/>
      </c>
      <c r="C562" s="95" t="n"/>
      <c r="D562" s="95" t="n"/>
      <c r="E562" s="95" t="n"/>
      <c r="F562" s="95" t="n"/>
      <c r="G562" s="95" t="n"/>
      <c r="H562" s="95" t="n"/>
      <c r="I562" s="95" t="n"/>
      <c r="J562" s="95" t="n"/>
      <c r="K562" s="95" t="n"/>
      <c r="L562" s="96" t="n"/>
    </row>
    <row r="563">
      <c r="A563" s="96" t="n"/>
      <c r="B563" s="95">
        <f>IF(A563="","", "CTR-"&amp;TEXT(ROW()-5,"000"))</f>
        <v/>
      </c>
      <c r="C563" s="95" t="n"/>
      <c r="D563" s="95" t="n"/>
      <c r="E563" s="95" t="n"/>
      <c r="F563" s="95" t="n"/>
      <c r="G563" s="95" t="n"/>
      <c r="H563" s="95" t="n"/>
      <c r="I563" s="95" t="n"/>
      <c r="J563" s="95" t="n"/>
      <c r="K563" s="95" t="n"/>
      <c r="L563" s="96" t="n"/>
    </row>
    <row r="564">
      <c r="A564" s="96" t="n"/>
      <c r="B564" s="95">
        <f>IF(A564="","", "CTR-"&amp;TEXT(ROW()-5,"000"))</f>
        <v/>
      </c>
      <c r="C564" s="95" t="n"/>
      <c r="D564" s="95" t="n"/>
      <c r="E564" s="95" t="n"/>
      <c r="F564" s="95" t="n"/>
      <c r="G564" s="95" t="n"/>
      <c r="H564" s="95" t="n"/>
      <c r="I564" s="95" t="n"/>
      <c r="J564" s="95" t="n"/>
      <c r="K564" s="95" t="n"/>
      <c r="L564" s="96" t="n"/>
    </row>
    <row r="565">
      <c r="A565" s="96" t="n"/>
      <c r="B565" s="95">
        <f>IF(A565="","", "CTR-"&amp;TEXT(ROW()-5,"000"))</f>
        <v/>
      </c>
      <c r="C565" s="95" t="n"/>
      <c r="D565" s="95" t="n"/>
      <c r="E565" s="95" t="n"/>
      <c r="F565" s="95" t="n"/>
      <c r="G565" s="95" t="n"/>
      <c r="H565" s="95" t="n"/>
      <c r="I565" s="95" t="n"/>
      <c r="J565" s="95" t="n"/>
      <c r="K565" s="95" t="n"/>
      <c r="L565" s="96" t="n"/>
    </row>
    <row r="566">
      <c r="A566" s="96" t="n"/>
      <c r="B566" s="95">
        <f>IF(A566="","", "CTR-"&amp;TEXT(ROW()-5,"000"))</f>
        <v/>
      </c>
      <c r="C566" s="95" t="n"/>
      <c r="D566" s="95" t="n"/>
      <c r="E566" s="95" t="n"/>
      <c r="F566" s="95" t="n"/>
      <c r="G566" s="95" t="n"/>
      <c r="H566" s="95" t="n"/>
      <c r="I566" s="95" t="n"/>
      <c r="J566" s="95" t="n"/>
      <c r="K566" s="95" t="n"/>
      <c r="L566" s="96" t="n"/>
    </row>
    <row r="567">
      <c r="A567" s="96" t="n"/>
      <c r="B567" s="95">
        <f>IF(A567="","", "CTR-"&amp;TEXT(ROW()-5,"000"))</f>
        <v/>
      </c>
      <c r="C567" s="95" t="n"/>
      <c r="D567" s="95" t="n"/>
      <c r="E567" s="95" t="n"/>
      <c r="F567" s="95" t="n"/>
      <c r="G567" s="95" t="n"/>
      <c r="H567" s="95" t="n"/>
      <c r="I567" s="95" t="n"/>
      <c r="J567" s="95" t="n"/>
      <c r="K567" s="95" t="n"/>
      <c r="L567" s="96" t="n"/>
    </row>
    <row r="568">
      <c r="A568" s="96" t="n"/>
      <c r="B568" s="95">
        <f>IF(A568="","", "CTR-"&amp;TEXT(ROW()-5,"000"))</f>
        <v/>
      </c>
      <c r="C568" s="95" t="n"/>
      <c r="D568" s="95" t="n"/>
      <c r="E568" s="95" t="n"/>
      <c r="F568" s="95" t="n"/>
      <c r="G568" s="95" t="n"/>
      <c r="H568" s="95" t="n"/>
      <c r="I568" s="95" t="n"/>
      <c r="J568" s="95" t="n"/>
      <c r="K568" s="95" t="n"/>
      <c r="L568" s="96" t="n"/>
    </row>
    <row r="569">
      <c r="A569" s="96" t="n"/>
      <c r="B569" s="95">
        <f>IF(A569="","", "CTR-"&amp;TEXT(ROW()-5,"000"))</f>
        <v/>
      </c>
      <c r="C569" s="95" t="n"/>
      <c r="D569" s="95" t="n"/>
      <c r="E569" s="95" t="n"/>
      <c r="F569" s="95" t="n"/>
      <c r="G569" s="95" t="n"/>
      <c r="H569" s="95" t="n"/>
      <c r="I569" s="95" t="n"/>
      <c r="J569" s="95" t="n"/>
      <c r="K569" s="95" t="n"/>
      <c r="L569" s="96" t="n"/>
    </row>
    <row r="570">
      <c r="A570" s="96" t="n"/>
      <c r="B570" s="95">
        <f>IF(A570="","", "CTR-"&amp;TEXT(ROW()-5,"000"))</f>
        <v/>
      </c>
      <c r="C570" s="95" t="n"/>
      <c r="D570" s="95" t="n"/>
      <c r="E570" s="95" t="n"/>
      <c r="F570" s="95" t="n"/>
      <c r="G570" s="95" t="n"/>
      <c r="H570" s="95" t="n"/>
      <c r="I570" s="95" t="n"/>
      <c r="J570" s="95" t="n"/>
      <c r="K570" s="95" t="n"/>
      <c r="L570" s="96" t="n"/>
    </row>
    <row r="571">
      <c r="A571" s="96" t="n"/>
      <c r="B571" s="95">
        <f>IF(A571="","", "CTR-"&amp;TEXT(ROW()-5,"000"))</f>
        <v/>
      </c>
      <c r="C571" s="95" t="n"/>
      <c r="D571" s="95" t="n"/>
      <c r="E571" s="95" t="n"/>
      <c r="F571" s="95" t="n"/>
      <c r="G571" s="95" t="n"/>
      <c r="H571" s="95" t="n"/>
      <c r="I571" s="95" t="n"/>
      <c r="J571" s="95" t="n"/>
      <c r="K571" s="95" t="n"/>
      <c r="L571" s="96" t="n"/>
    </row>
    <row r="572">
      <c r="A572" s="96" t="n"/>
      <c r="B572" s="95">
        <f>IF(A572="","", "CTR-"&amp;TEXT(ROW()-5,"000"))</f>
        <v/>
      </c>
      <c r="C572" s="95" t="n"/>
      <c r="D572" s="95" t="n"/>
      <c r="E572" s="95" t="n"/>
      <c r="F572" s="95" t="n"/>
      <c r="G572" s="95" t="n"/>
      <c r="H572" s="95" t="n"/>
      <c r="I572" s="95" t="n"/>
      <c r="J572" s="95" t="n"/>
      <c r="K572" s="95" t="n"/>
      <c r="L572" s="96" t="n"/>
    </row>
    <row r="573">
      <c r="A573" s="96" t="n"/>
      <c r="B573" s="95">
        <f>IF(A573="","", "CTR-"&amp;TEXT(ROW()-5,"000"))</f>
        <v/>
      </c>
      <c r="C573" s="95" t="n"/>
      <c r="D573" s="95" t="n"/>
      <c r="E573" s="95" t="n"/>
      <c r="F573" s="95" t="n"/>
      <c r="G573" s="95" t="n"/>
      <c r="H573" s="95" t="n"/>
      <c r="I573" s="95" t="n"/>
      <c r="J573" s="95" t="n"/>
      <c r="K573" s="95" t="n"/>
      <c r="L573" s="96" t="n"/>
    </row>
    <row r="574">
      <c r="A574" s="96" t="n"/>
      <c r="B574" s="95">
        <f>IF(A574="","", "CTR-"&amp;TEXT(ROW()-5,"000"))</f>
        <v/>
      </c>
      <c r="C574" s="95" t="n"/>
      <c r="D574" s="95" t="n"/>
      <c r="E574" s="95" t="n"/>
      <c r="F574" s="95" t="n"/>
      <c r="G574" s="95" t="n"/>
      <c r="H574" s="95" t="n"/>
      <c r="I574" s="95" t="n"/>
      <c r="J574" s="95" t="n"/>
      <c r="K574" s="95" t="n"/>
      <c r="L574" s="96" t="n"/>
    </row>
    <row r="575">
      <c r="A575" s="96" t="n"/>
      <c r="B575" s="95">
        <f>IF(A575="","", "CTR-"&amp;TEXT(ROW()-5,"000"))</f>
        <v/>
      </c>
      <c r="C575" s="95" t="n"/>
      <c r="D575" s="95" t="n"/>
      <c r="E575" s="95" t="n"/>
      <c r="F575" s="95" t="n"/>
      <c r="G575" s="95" t="n"/>
      <c r="H575" s="95" t="n"/>
      <c r="I575" s="95" t="n"/>
      <c r="J575" s="95" t="n"/>
      <c r="K575" s="95" t="n"/>
      <c r="L575" s="96" t="n"/>
    </row>
    <row r="576">
      <c r="A576" s="96" t="n"/>
      <c r="B576" s="95">
        <f>IF(A576="","", "CTR-"&amp;TEXT(ROW()-5,"000"))</f>
        <v/>
      </c>
      <c r="C576" s="95" t="n"/>
      <c r="D576" s="95" t="n"/>
      <c r="E576" s="95" t="n"/>
      <c r="F576" s="95" t="n"/>
      <c r="G576" s="95" t="n"/>
      <c r="H576" s="95" t="n"/>
      <c r="I576" s="95" t="n"/>
      <c r="J576" s="95" t="n"/>
      <c r="K576" s="95" t="n"/>
      <c r="L576" s="96" t="n"/>
    </row>
    <row r="577">
      <c r="A577" s="96" t="n"/>
      <c r="B577" s="95">
        <f>IF(A577="","", "CTR-"&amp;TEXT(ROW()-5,"000"))</f>
        <v/>
      </c>
      <c r="C577" s="95" t="n"/>
      <c r="D577" s="95" t="n"/>
      <c r="E577" s="95" t="n"/>
      <c r="F577" s="95" t="n"/>
      <c r="G577" s="95" t="n"/>
      <c r="H577" s="95" t="n"/>
      <c r="I577" s="95" t="n"/>
      <c r="J577" s="95" t="n"/>
      <c r="K577" s="95" t="n"/>
      <c r="L577" s="96" t="n"/>
    </row>
    <row r="578">
      <c r="A578" s="96" t="n"/>
      <c r="B578" s="95">
        <f>IF(A578="","", "CTR-"&amp;TEXT(ROW()-5,"000"))</f>
        <v/>
      </c>
      <c r="C578" s="95" t="n"/>
      <c r="D578" s="95" t="n"/>
      <c r="E578" s="95" t="n"/>
      <c r="F578" s="95" t="n"/>
      <c r="G578" s="95" t="n"/>
      <c r="H578" s="95" t="n"/>
      <c r="I578" s="95" t="n"/>
      <c r="J578" s="95" t="n"/>
      <c r="K578" s="95" t="n"/>
      <c r="L578" s="96" t="n"/>
    </row>
    <row r="579">
      <c r="A579" s="96" t="n"/>
      <c r="B579" s="95">
        <f>IF(A579="","", "CTR-"&amp;TEXT(ROW()-5,"000"))</f>
        <v/>
      </c>
      <c r="C579" s="95" t="n"/>
      <c r="D579" s="95" t="n"/>
      <c r="E579" s="95" t="n"/>
      <c r="F579" s="95" t="n"/>
      <c r="G579" s="95" t="n"/>
      <c r="H579" s="95" t="n"/>
      <c r="I579" s="95" t="n"/>
      <c r="J579" s="95" t="n"/>
      <c r="K579" s="95" t="n"/>
      <c r="L579" s="96" t="n"/>
    </row>
    <row r="580">
      <c r="A580" s="96" t="n"/>
      <c r="B580" s="95">
        <f>IF(A580="","", "CTR-"&amp;TEXT(ROW()-5,"000"))</f>
        <v/>
      </c>
      <c r="C580" s="95" t="n"/>
      <c r="D580" s="95" t="n"/>
      <c r="E580" s="95" t="n"/>
      <c r="F580" s="95" t="n"/>
      <c r="G580" s="95" t="n"/>
      <c r="H580" s="95" t="n"/>
      <c r="I580" s="95" t="n"/>
      <c r="J580" s="95" t="n"/>
      <c r="K580" s="95" t="n"/>
      <c r="L580" s="96" t="n"/>
    </row>
    <row r="581">
      <c r="A581" s="96" t="n"/>
      <c r="B581" s="95">
        <f>IF(A581="","", "CTR-"&amp;TEXT(ROW()-5,"000"))</f>
        <v/>
      </c>
      <c r="C581" s="95" t="n"/>
      <c r="D581" s="95" t="n"/>
      <c r="E581" s="95" t="n"/>
      <c r="F581" s="95" t="n"/>
      <c r="G581" s="95" t="n"/>
      <c r="H581" s="95" t="n"/>
      <c r="I581" s="95" t="n"/>
      <c r="J581" s="95" t="n"/>
      <c r="K581" s="95" t="n"/>
      <c r="L581" s="96" t="n"/>
    </row>
    <row r="582">
      <c r="A582" s="96" t="n"/>
      <c r="B582" s="95">
        <f>IF(A582="","", "CTR-"&amp;TEXT(ROW()-5,"000"))</f>
        <v/>
      </c>
      <c r="C582" s="95" t="n"/>
      <c r="D582" s="95" t="n"/>
      <c r="E582" s="95" t="n"/>
      <c r="F582" s="95" t="n"/>
      <c r="G582" s="95" t="n"/>
      <c r="H582" s="95" t="n"/>
      <c r="I582" s="95" t="n"/>
      <c r="J582" s="95" t="n"/>
      <c r="K582" s="95" t="n"/>
      <c r="L582" s="96" t="n"/>
    </row>
    <row r="583">
      <c r="A583" s="96" t="n"/>
      <c r="B583" s="95">
        <f>IF(A583="","", "CTR-"&amp;TEXT(ROW()-5,"000"))</f>
        <v/>
      </c>
      <c r="C583" s="95" t="n"/>
      <c r="D583" s="95" t="n"/>
      <c r="E583" s="95" t="n"/>
      <c r="F583" s="95" t="n"/>
      <c r="G583" s="95" t="n"/>
      <c r="H583" s="95" t="n"/>
      <c r="I583" s="95" t="n"/>
      <c r="J583" s="95" t="n"/>
      <c r="K583" s="95" t="n"/>
      <c r="L583" s="96" t="n"/>
    </row>
    <row r="584">
      <c r="A584" s="96" t="n"/>
      <c r="B584" s="95">
        <f>IF(A584="","", "CTR-"&amp;TEXT(ROW()-5,"000"))</f>
        <v/>
      </c>
      <c r="C584" s="95" t="n"/>
      <c r="D584" s="95" t="n"/>
      <c r="E584" s="95" t="n"/>
      <c r="F584" s="95" t="n"/>
      <c r="G584" s="95" t="n"/>
      <c r="H584" s="95" t="n"/>
      <c r="I584" s="95" t="n"/>
      <c r="J584" s="95" t="n"/>
      <c r="K584" s="95" t="n"/>
      <c r="L584" s="96" t="n"/>
    </row>
    <row r="585">
      <c r="A585" s="96" t="n"/>
      <c r="B585" s="95">
        <f>IF(A585="","", "CTR-"&amp;TEXT(ROW()-5,"000"))</f>
        <v/>
      </c>
      <c r="C585" s="95" t="n"/>
      <c r="D585" s="95" t="n"/>
      <c r="E585" s="95" t="n"/>
      <c r="F585" s="95" t="n"/>
      <c r="G585" s="95" t="n"/>
      <c r="H585" s="95" t="n"/>
      <c r="I585" s="95" t="n"/>
      <c r="J585" s="95" t="n"/>
      <c r="K585" s="95" t="n"/>
      <c r="L585" s="96" t="n"/>
    </row>
    <row r="586">
      <c r="A586" s="96" t="n"/>
      <c r="B586" s="95">
        <f>IF(A586="","", "CTR-"&amp;TEXT(ROW()-5,"000"))</f>
        <v/>
      </c>
      <c r="C586" s="95" t="n"/>
      <c r="D586" s="95" t="n"/>
      <c r="E586" s="95" t="n"/>
      <c r="F586" s="95" t="n"/>
      <c r="G586" s="95" t="n"/>
      <c r="H586" s="95" t="n"/>
      <c r="I586" s="95" t="n"/>
      <c r="J586" s="95" t="n"/>
      <c r="K586" s="95" t="n"/>
      <c r="L586" s="96" t="n"/>
    </row>
    <row r="587">
      <c r="A587" s="96" t="n"/>
      <c r="B587" s="95">
        <f>IF(A587="","", "CTR-"&amp;TEXT(ROW()-5,"000"))</f>
        <v/>
      </c>
      <c r="C587" s="95" t="n"/>
      <c r="D587" s="95" t="n"/>
      <c r="E587" s="95" t="n"/>
      <c r="F587" s="95" t="n"/>
      <c r="G587" s="95" t="n"/>
      <c r="H587" s="95" t="n"/>
      <c r="I587" s="95" t="n"/>
      <c r="J587" s="95" t="n"/>
      <c r="K587" s="95" t="n"/>
      <c r="L587" s="96" t="n"/>
    </row>
    <row r="588">
      <c r="A588" s="96" t="n"/>
      <c r="B588" s="95">
        <f>IF(A588="","", "CTR-"&amp;TEXT(ROW()-5,"000"))</f>
        <v/>
      </c>
      <c r="C588" s="95" t="n"/>
      <c r="D588" s="95" t="n"/>
      <c r="E588" s="95" t="n"/>
      <c r="F588" s="95" t="n"/>
      <c r="G588" s="95" t="n"/>
      <c r="H588" s="95" t="n"/>
      <c r="I588" s="95" t="n"/>
      <c r="J588" s="95" t="n"/>
      <c r="K588" s="95" t="n"/>
      <c r="L588" s="96" t="n"/>
    </row>
    <row r="589">
      <c r="A589" s="96" t="n"/>
      <c r="B589" s="95">
        <f>IF(A589="","", "CTR-"&amp;TEXT(ROW()-5,"000"))</f>
        <v/>
      </c>
      <c r="C589" s="95" t="n"/>
      <c r="D589" s="95" t="n"/>
      <c r="E589" s="95" t="n"/>
      <c r="F589" s="95" t="n"/>
      <c r="G589" s="95" t="n"/>
      <c r="H589" s="95" t="n"/>
      <c r="I589" s="95" t="n"/>
      <c r="J589" s="95" t="n"/>
      <c r="K589" s="95" t="n"/>
      <c r="L589" s="96" t="n"/>
    </row>
    <row r="590">
      <c r="A590" s="96" t="n"/>
      <c r="B590" s="95">
        <f>IF(A590="","", "CTR-"&amp;TEXT(ROW()-5,"000"))</f>
        <v/>
      </c>
      <c r="C590" s="95" t="n"/>
      <c r="D590" s="95" t="n"/>
      <c r="E590" s="95" t="n"/>
      <c r="F590" s="95" t="n"/>
      <c r="G590" s="95" t="n"/>
      <c r="H590" s="95" t="n"/>
      <c r="I590" s="95" t="n"/>
      <c r="J590" s="95" t="n"/>
      <c r="K590" s="95" t="n"/>
      <c r="L590" s="96" t="n"/>
    </row>
    <row r="591">
      <c r="A591" s="96" t="n"/>
      <c r="B591" s="95">
        <f>IF(A591="","", "CTR-"&amp;TEXT(ROW()-5,"000"))</f>
        <v/>
      </c>
      <c r="C591" s="95" t="n"/>
      <c r="D591" s="95" t="n"/>
      <c r="E591" s="95" t="n"/>
      <c r="F591" s="95" t="n"/>
      <c r="G591" s="95" t="n"/>
      <c r="H591" s="95" t="n"/>
      <c r="I591" s="95" t="n"/>
      <c r="J591" s="95" t="n"/>
      <c r="K591" s="95" t="n"/>
      <c r="L591" s="96" t="n"/>
    </row>
    <row r="592">
      <c r="A592" s="96" t="n"/>
      <c r="B592" s="95">
        <f>IF(A592="","", "CTR-"&amp;TEXT(ROW()-5,"000"))</f>
        <v/>
      </c>
      <c r="C592" s="95" t="n"/>
      <c r="D592" s="95" t="n"/>
      <c r="E592" s="95" t="n"/>
      <c r="F592" s="95" t="n"/>
      <c r="G592" s="95" t="n"/>
      <c r="H592" s="95" t="n"/>
      <c r="I592" s="95" t="n"/>
      <c r="J592" s="95" t="n"/>
      <c r="K592" s="95" t="n"/>
      <c r="L592" s="96" t="n"/>
    </row>
    <row r="593">
      <c r="A593" s="96" t="n"/>
      <c r="B593" s="95">
        <f>IF(A593="","", "CTR-"&amp;TEXT(ROW()-5,"000"))</f>
        <v/>
      </c>
      <c r="C593" s="95" t="n"/>
      <c r="D593" s="95" t="n"/>
      <c r="E593" s="95" t="n"/>
      <c r="F593" s="95" t="n"/>
      <c r="G593" s="95" t="n"/>
      <c r="H593" s="95" t="n"/>
      <c r="I593" s="95" t="n"/>
      <c r="J593" s="95" t="n"/>
      <c r="K593" s="95" t="n"/>
      <c r="L593" s="96" t="n"/>
    </row>
    <row r="594">
      <c r="A594" s="96" t="n"/>
      <c r="B594" s="95">
        <f>IF(A594="","", "CTR-"&amp;TEXT(ROW()-5,"000"))</f>
        <v/>
      </c>
      <c r="C594" s="95" t="n"/>
      <c r="D594" s="95" t="n"/>
      <c r="E594" s="95" t="n"/>
      <c r="F594" s="95" t="n"/>
      <c r="G594" s="95" t="n"/>
      <c r="H594" s="95" t="n"/>
      <c r="I594" s="95" t="n"/>
      <c r="J594" s="95" t="n"/>
      <c r="K594" s="95" t="n"/>
      <c r="L594" s="96" t="n"/>
    </row>
    <row r="595">
      <c r="A595" s="96" t="n"/>
      <c r="B595" s="95">
        <f>IF(A595="","", "CTR-"&amp;TEXT(ROW()-5,"000"))</f>
        <v/>
      </c>
      <c r="C595" s="95" t="n"/>
      <c r="D595" s="95" t="n"/>
      <c r="E595" s="95" t="n"/>
      <c r="F595" s="95" t="n"/>
      <c r="G595" s="95" t="n"/>
      <c r="H595" s="95" t="n"/>
      <c r="I595" s="95" t="n"/>
      <c r="J595" s="95" t="n"/>
      <c r="K595" s="95" t="n"/>
      <c r="L595" s="96" t="n"/>
    </row>
    <row r="596">
      <c r="A596" s="96" t="n"/>
      <c r="B596" s="95">
        <f>IF(A596="","", "CTR-"&amp;TEXT(ROW()-5,"000"))</f>
        <v/>
      </c>
      <c r="C596" s="95" t="n"/>
      <c r="D596" s="95" t="n"/>
      <c r="E596" s="95" t="n"/>
      <c r="F596" s="95" t="n"/>
      <c r="G596" s="95" t="n"/>
      <c r="H596" s="95" t="n"/>
      <c r="I596" s="95" t="n"/>
      <c r="J596" s="95" t="n"/>
      <c r="K596" s="95" t="n"/>
      <c r="L596" s="96" t="n"/>
    </row>
    <row r="597">
      <c r="A597" s="96" t="n"/>
      <c r="B597" s="95">
        <f>IF(A597="","", "CTR-"&amp;TEXT(ROW()-5,"000"))</f>
        <v/>
      </c>
      <c r="C597" s="95" t="n"/>
      <c r="D597" s="95" t="n"/>
      <c r="E597" s="95" t="n"/>
      <c r="F597" s="95" t="n"/>
      <c r="G597" s="95" t="n"/>
      <c r="H597" s="95" t="n"/>
      <c r="I597" s="95" t="n"/>
      <c r="J597" s="95" t="n"/>
      <c r="K597" s="95" t="n"/>
      <c r="L597" s="96" t="n"/>
    </row>
    <row r="598">
      <c r="A598" s="96" t="n"/>
      <c r="B598" s="95">
        <f>IF(A598="","", "CTR-"&amp;TEXT(ROW()-5,"000"))</f>
        <v/>
      </c>
      <c r="C598" s="95" t="n"/>
      <c r="D598" s="95" t="n"/>
      <c r="E598" s="95" t="n"/>
      <c r="F598" s="95" t="n"/>
      <c r="G598" s="95" t="n"/>
      <c r="H598" s="95" t="n"/>
      <c r="I598" s="95" t="n"/>
      <c r="J598" s="95" t="n"/>
      <c r="K598" s="95" t="n"/>
      <c r="L598" s="96" t="n"/>
    </row>
    <row r="599">
      <c r="A599" s="96" t="n"/>
      <c r="B599" s="95">
        <f>IF(A599="","", "CTR-"&amp;TEXT(ROW()-5,"000"))</f>
        <v/>
      </c>
      <c r="C599" s="95" t="n"/>
      <c r="D599" s="95" t="n"/>
      <c r="E599" s="95" t="n"/>
      <c r="F599" s="95" t="n"/>
      <c r="G599" s="95" t="n"/>
      <c r="H599" s="95" t="n"/>
      <c r="I599" s="95" t="n"/>
      <c r="J599" s="95" t="n"/>
      <c r="K599" s="95" t="n"/>
      <c r="L599" s="96" t="n"/>
    </row>
    <row r="600">
      <c r="A600" s="96" t="n"/>
      <c r="B600" s="95">
        <f>IF(A600="","", "CTR-"&amp;TEXT(ROW()-5,"000"))</f>
        <v/>
      </c>
      <c r="C600" s="95" t="n"/>
      <c r="D600" s="95" t="n"/>
      <c r="E600" s="95" t="n"/>
      <c r="F600" s="95" t="n"/>
      <c r="G600" s="95" t="n"/>
      <c r="H600" s="95" t="n"/>
      <c r="I600" s="95" t="n"/>
      <c r="J600" s="95" t="n"/>
      <c r="K600" s="95" t="n"/>
      <c r="L600" s="96" t="n"/>
    </row>
    <row r="601">
      <c r="A601" s="96" t="n"/>
      <c r="B601" s="95">
        <f>IF(A601="","", "CTR-"&amp;TEXT(ROW()-5,"000"))</f>
        <v/>
      </c>
      <c r="C601" s="95" t="n"/>
      <c r="D601" s="95" t="n"/>
      <c r="E601" s="95" t="n"/>
      <c r="F601" s="95" t="n"/>
      <c r="G601" s="95" t="n"/>
      <c r="H601" s="95" t="n"/>
      <c r="I601" s="95" t="n"/>
      <c r="J601" s="95" t="n"/>
      <c r="K601" s="95" t="n"/>
      <c r="L601" s="96" t="n"/>
    </row>
    <row r="602">
      <c r="A602" s="96" t="n"/>
      <c r="B602" s="95">
        <f>IF(A602="","", "CTR-"&amp;TEXT(ROW()-5,"000"))</f>
        <v/>
      </c>
      <c r="C602" s="95" t="n"/>
      <c r="D602" s="95" t="n"/>
      <c r="E602" s="95" t="n"/>
      <c r="F602" s="95" t="n"/>
      <c r="G602" s="95" t="n"/>
      <c r="H602" s="95" t="n"/>
      <c r="I602" s="95" t="n"/>
      <c r="J602" s="95" t="n"/>
      <c r="K602" s="95" t="n"/>
      <c r="L602" s="96" t="n"/>
    </row>
    <row r="603">
      <c r="A603" s="96" t="n"/>
      <c r="B603" s="95">
        <f>IF(A603="","", "CTR-"&amp;TEXT(ROW()-5,"000"))</f>
        <v/>
      </c>
      <c r="C603" s="95" t="n"/>
      <c r="D603" s="95" t="n"/>
      <c r="E603" s="95" t="n"/>
      <c r="F603" s="95" t="n"/>
      <c r="G603" s="95" t="n"/>
      <c r="H603" s="95" t="n"/>
      <c r="I603" s="95" t="n"/>
      <c r="J603" s="95" t="n"/>
      <c r="K603" s="95" t="n"/>
      <c r="L603" s="96" t="n"/>
    </row>
    <row r="604">
      <c r="A604" s="96" t="n"/>
      <c r="B604" s="95">
        <f>IF(A604="","", "CTR-"&amp;TEXT(ROW()-5,"000"))</f>
        <v/>
      </c>
      <c r="C604" s="95" t="n"/>
      <c r="D604" s="95" t="n"/>
      <c r="E604" s="95" t="n"/>
      <c r="F604" s="95" t="n"/>
      <c r="G604" s="95" t="n"/>
      <c r="H604" s="95" t="n"/>
      <c r="I604" s="95" t="n"/>
      <c r="J604" s="95" t="n"/>
      <c r="K604" s="95" t="n"/>
      <c r="L604" s="96" t="n"/>
    </row>
    <row r="605">
      <c r="A605" s="96" t="n"/>
      <c r="B605" s="95">
        <f>IF(A605="","", "CTR-"&amp;TEXT(ROW()-5,"000"))</f>
        <v/>
      </c>
      <c r="C605" s="95" t="n"/>
      <c r="D605" s="95" t="n"/>
      <c r="E605" s="95" t="n"/>
      <c r="F605" s="95" t="n"/>
      <c r="G605" s="95" t="n"/>
      <c r="H605" s="95" t="n"/>
      <c r="I605" s="95" t="n"/>
      <c r="J605" s="95" t="n"/>
      <c r="K605" s="95" t="n"/>
      <c r="L605" s="96" t="n"/>
    </row>
    <row r="606">
      <c r="A606" s="96" t="n"/>
      <c r="B606" s="95">
        <f>IF(A606="","", "CTR-"&amp;TEXT(ROW()-5,"000"))</f>
        <v/>
      </c>
      <c r="C606" s="95" t="n"/>
      <c r="D606" s="95" t="n"/>
      <c r="E606" s="95" t="n"/>
      <c r="F606" s="95" t="n"/>
      <c r="G606" s="95" t="n"/>
      <c r="H606" s="95" t="n"/>
      <c r="I606" s="95" t="n"/>
      <c r="J606" s="95" t="n"/>
      <c r="K606" s="95" t="n"/>
      <c r="L606" s="96" t="n"/>
    </row>
    <row r="607">
      <c r="A607" s="96" t="n"/>
      <c r="B607" s="95">
        <f>IF(A607="","", "CTR-"&amp;TEXT(ROW()-5,"000"))</f>
        <v/>
      </c>
      <c r="C607" s="95" t="n"/>
      <c r="D607" s="95" t="n"/>
      <c r="E607" s="95" t="n"/>
      <c r="F607" s="95" t="n"/>
      <c r="G607" s="95" t="n"/>
      <c r="H607" s="95" t="n"/>
      <c r="I607" s="95" t="n"/>
      <c r="J607" s="95" t="n"/>
      <c r="K607" s="95" t="n"/>
      <c r="L607" s="96" t="n"/>
    </row>
    <row r="608">
      <c r="A608" s="96" t="n"/>
      <c r="B608" s="95">
        <f>IF(A608="","", "CTR-"&amp;TEXT(ROW()-5,"000"))</f>
        <v/>
      </c>
      <c r="C608" s="95" t="n"/>
      <c r="D608" s="95" t="n"/>
      <c r="E608" s="95" t="n"/>
      <c r="F608" s="95" t="n"/>
      <c r="G608" s="95" t="n"/>
      <c r="H608" s="95" t="n"/>
      <c r="I608" s="95" t="n"/>
      <c r="J608" s="95" t="n"/>
      <c r="K608" s="95" t="n"/>
      <c r="L608" s="96" t="n"/>
    </row>
    <row r="609">
      <c r="A609" s="96" t="n"/>
      <c r="B609" s="95">
        <f>IF(A609="","", "CTR-"&amp;TEXT(ROW()-5,"000"))</f>
        <v/>
      </c>
      <c r="C609" s="95" t="n"/>
      <c r="D609" s="95" t="n"/>
      <c r="E609" s="95" t="n"/>
      <c r="F609" s="95" t="n"/>
      <c r="G609" s="95" t="n"/>
      <c r="H609" s="95" t="n"/>
      <c r="I609" s="95" t="n"/>
      <c r="J609" s="95" t="n"/>
      <c r="K609" s="95" t="n"/>
      <c r="L609" s="96" t="n"/>
    </row>
    <row r="610">
      <c r="A610" s="96" t="n"/>
      <c r="B610" s="95">
        <f>IF(A610="","", "CTR-"&amp;TEXT(ROW()-5,"000"))</f>
        <v/>
      </c>
      <c r="C610" s="95" t="n"/>
      <c r="D610" s="95" t="n"/>
      <c r="E610" s="95" t="n"/>
      <c r="F610" s="95" t="n"/>
      <c r="G610" s="95" t="n"/>
      <c r="H610" s="95" t="n"/>
      <c r="I610" s="95" t="n"/>
      <c r="J610" s="95" t="n"/>
      <c r="K610" s="95" t="n"/>
      <c r="L610" s="96" t="n"/>
    </row>
    <row r="611">
      <c r="A611" s="96" t="n"/>
      <c r="B611" s="95">
        <f>IF(A611="","", "CTR-"&amp;TEXT(ROW()-5,"000"))</f>
        <v/>
      </c>
      <c r="C611" s="95" t="n"/>
      <c r="D611" s="95" t="n"/>
      <c r="E611" s="95" t="n"/>
      <c r="F611" s="95" t="n"/>
      <c r="G611" s="95" t="n"/>
      <c r="H611" s="95" t="n"/>
      <c r="I611" s="95" t="n"/>
      <c r="J611" s="95" t="n"/>
      <c r="K611" s="95" t="n"/>
      <c r="L611" s="96" t="n"/>
    </row>
    <row r="612">
      <c r="A612" s="96" t="n"/>
      <c r="B612" s="95">
        <f>IF(A612="","", "CTR-"&amp;TEXT(ROW()-5,"000"))</f>
        <v/>
      </c>
      <c r="C612" s="95" t="n"/>
      <c r="D612" s="95" t="n"/>
      <c r="E612" s="95" t="n"/>
      <c r="F612" s="95" t="n"/>
      <c r="G612" s="95" t="n"/>
      <c r="H612" s="95" t="n"/>
      <c r="I612" s="95" t="n"/>
      <c r="J612" s="95" t="n"/>
      <c r="K612" s="95" t="n"/>
      <c r="L612" s="96" t="n"/>
    </row>
    <row r="613">
      <c r="A613" s="96" t="n"/>
      <c r="B613" s="95">
        <f>IF(A613="","", "CTR-"&amp;TEXT(ROW()-5,"000"))</f>
        <v/>
      </c>
      <c r="C613" s="95" t="n"/>
      <c r="D613" s="95" t="n"/>
      <c r="E613" s="95" t="n"/>
      <c r="F613" s="95" t="n"/>
      <c r="G613" s="95" t="n"/>
      <c r="H613" s="95" t="n"/>
      <c r="I613" s="95" t="n"/>
      <c r="J613" s="95" t="n"/>
      <c r="K613" s="95" t="n"/>
      <c r="L613" s="96" t="n"/>
    </row>
    <row r="614">
      <c r="A614" s="96" t="n"/>
      <c r="B614" s="95">
        <f>IF(A614="","", "CTR-"&amp;TEXT(ROW()-5,"000"))</f>
        <v/>
      </c>
      <c r="C614" s="95" t="n"/>
      <c r="D614" s="95" t="n"/>
      <c r="E614" s="95" t="n"/>
      <c r="F614" s="95" t="n"/>
      <c r="G614" s="95" t="n"/>
      <c r="H614" s="95" t="n"/>
      <c r="I614" s="95" t="n"/>
      <c r="J614" s="95" t="n"/>
      <c r="K614" s="95" t="n"/>
      <c r="L614" s="96" t="n"/>
    </row>
    <row r="615">
      <c r="A615" s="96" t="n"/>
      <c r="B615" s="95">
        <f>IF(A615="","", "CTR-"&amp;TEXT(ROW()-5,"000"))</f>
        <v/>
      </c>
      <c r="C615" s="95" t="n"/>
      <c r="D615" s="95" t="n"/>
      <c r="E615" s="95" t="n"/>
      <c r="F615" s="95" t="n"/>
      <c r="G615" s="95" t="n"/>
      <c r="H615" s="95" t="n"/>
      <c r="I615" s="95" t="n"/>
      <c r="J615" s="95" t="n"/>
      <c r="K615" s="95" t="n"/>
      <c r="L615" s="96" t="n"/>
    </row>
    <row r="616">
      <c r="A616" s="96" t="n"/>
      <c r="B616" s="95">
        <f>IF(A616="","", "CTR-"&amp;TEXT(ROW()-5,"000"))</f>
        <v/>
      </c>
      <c r="C616" s="95" t="n"/>
      <c r="D616" s="95" t="n"/>
      <c r="E616" s="95" t="n"/>
      <c r="F616" s="95" t="n"/>
      <c r="G616" s="95" t="n"/>
      <c r="H616" s="95" t="n"/>
      <c r="I616" s="95" t="n"/>
      <c r="J616" s="95" t="n"/>
      <c r="K616" s="95" t="n"/>
      <c r="L616" s="96" t="n"/>
    </row>
    <row r="617">
      <c r="A617" s="96" t="n"/>
      <c r="B617" s="95">
        <f>IF(A617="","", "CTR-"&amp;TEXT(ROW()-5,"000"))</f>
        <v/>
      </c>
      <c r="C617" s="95" t="n"/>
      <c r="D617" s="95" t="n"/>
      <c r="E617" s="95" t="n"/>
      <c r="F617" s="95" t="n"/>
      <c r="G617" s="95" t="n"/>
      <c r="H617" s="95" t="n"/>
      <c r="I617" s="95" t="n"/>
      <c r="J617" s="95" t="n"/>
      <c r="K617" s="95" t="n"/>
      <c r="L617" s="96" t="n"/>
    </row>
    <row r="618">
      <c r="A618" s="96" t="n"/>
      <c r="B618" s="95">
        <f>IF(A618="","", "CTR-"&amp;TEXT(ROW()-5,"000"))</f>
        <v/>
      </c>
      <c r="C618" s="95" t="n"/>
      <c r="D618" s="95" t="n"/>
      <c r="E618" s="95" t="n"/>
      <c r="F618" s="95" t="n"/>
      <c r="G618" s="95" t="n"/>
      <c r="H618" s="95" t="n"/>
      <c r="I618" s="95" t="n"/>
      <c r="J618" s="95" t="n"/>
      <c r="K618" s="95" t="n"/>
      <c r="L618" s="96" t="n"/>
    </row>
    <row r="619">
      <c r="A619" s="96" t="n"/>
      <c r="B619" s="95">
        <f>IF(A619="","", "CTR-"&amp;TEXT(ROW()-5,"000"))</f>
        <v/>
      </c>
      <c r="C619" s="95" t="n"/>
      <c r="D619" s="95" t="n"/>
      <c r="E619" s="95" t="n"/>
      <c r="F619" s="95" t="n"/>
      <c r="G619" s="95" t="n"/>
      <c r="H619" s="95" t="n"/>
      <c r="I619" s="95" t="n"/>
      <c r="J619" s="95" t="n"/>
      <c r="K619" s="95" t="n"/>
      <c r="L619" s="96" t="n"/>
    </row>
    <row r="620">
      <c r="A620" s="96" t="n"/>
      <c r="B620" s="95">
        <f>IF(A620="","", "CTR-"&amp;TEXT(ROW()-5,"000"))</f>
        <v/>
      </c>
      <c r="C620" s="95" t="n"/>
      <c r="D620" s="95" t="n"/>
      <c r="E620" s="95" t="n"/>
      <c r="F620" s="95" t="n"/>
      <c r="G620" s="95" t="n"/>
      <c r="H620" s="95" t="n"/>
      <c r="I620" s="95" t="n"/>
      <c r="J620" s="95" t="n"/>
      <c r="K620" s="95" t="n"/>
      <c r="L620" s="96" t="n"/>
    </row>
    <row r="621">
      <c r="A621" s="96" t="n"/>
      <c r="B621" s="95">
        <f>IF(A621="","", "CTR-"&amp;TEXT(ROW()-5,"000"))</f>
        <v/>
      </c>
      <c r="C621" s="95" t="n"/>
      <c r="D621" s="95" t="n"/>
      <c r="E621" s="95" t="n"/>
      <c r="F621" s="95" t="n"/>
      <c r="G621" s="95" t="n"/>
      <c r="H621" s="95" t="n"/>
      <c r="I621" s="95" t="n"/>
      <c r="J621" s="95" t="n"/>
      <c r="K621" s="95" t="n"/>
      <c r="L621" s="96" t="n"/>
    </row>
    <row r="622">
      <c r="A622" s="96" t="n"/>
      <c r="B622" s="95">
        <f>IF(A622="","", "CTR-"&amp;TEXT(ROW()-5,"000"))</f>
        <v/>
      </c>
      <c r="C622" s="95" t="n"/>
      <c r="D622" s="95" t="n"/>
      <c r="E622" s="95" t="n"/>
      <c r="F622" s="95" t="n"/>
      <c r="G622" s="95" t="n"/>
      <c r="H622" s="95" t="n"/>
      <c r="I622" s="95" t="n"/>
      <c r="J622" s="95" t="n"/>
      <c r="K622" s="95" t="n"/>
      <c r="L622" s="96" t="n"/>
    </row>
    <row r="623">
      <c r="A623" s="96" t="n"/>
      <c r="B623" s="95">
        <f>IF(A623="","", "CTR-"&amp;TEXT(ROW()-5,"000"))</f>
        <v/>
      </c>
      <c r="C623" s="95" t="n"/>
      <c r="D623" s="95" t="n"/>
      <c r="E623" s="95" t="n"/>
      <c r="F623" s="95" t="n"/>
      <c r="G623" s="95" t="n"/>
      <c r="H623" s="95" t="n"/>
      <c r="I623" s="95" t="n"/>
      <c r="J623" s="95" t="n"/>
      <c r="K623" s="95" t="n"/>
      <c r="L623" s="96" t="n"/>
    </row>
    <row r="624">
      <c r="A624" s="96" t="n"/>
      <c r="B624" s="95">
        <f>IF(A624="","", "CTR-"&amp;TEXT(ROW()-5,"000"))</f>
        <v/>
      </c>
      <c r="C624" s="95" t="n"/>
      <c r="D624" s="95" t="n"/>
      <c r="E624" s="95" t="n"/>
      <c r="F624" s="95" t="n"/>
      <c r="G624" s="95" t="n"/>
      <c r="H624" s="95" t="n"/>
      <c r="I624" s="95" t="n"/>
      <c r="J624" s="95" t="n"/>
      <c r="K624" s="95" t="n"/>
      <c r="L624" s="96" t="n"/>
    </row>
    <row r="625">
      <c r="A625" s="96" t="n"/>
      <c r="B625" s="95">
        <f>IF(A625="","", "CTR-"&amp;TEXT(ROW()-5,"000"))</f>
        <v/>
      </c>
      <c r="C625" s="95" t="n"/>
      <c r="D625" s="95" t="n"/>
      <c r="E625" s="95" t="n"/>
      <c r="F625" s="95" t="n"/>
      <c r="G625" s="95" t="n"/>
      <c r="H625" s="95" t="n"/>
      <c r="I625" s="95" t="n"/>
      <c r="J625" s="95" t="n"/>
      <c r="K625" s="95" t="n"/>
      <c r="L625" s="96" t="n"/>
    </row>
    <row r="626">
      <c r="A626" s="96" t="n"/>
      <c r="B626" s="95">
        <f>IF(A626="","", "CTR-"&amp;TEXT(ROW()-5,"000"))</f>
        <v/>
      </c>
      <c r="C626" s="95" t="n"/>
      <c r="D626" s="95" t="n"/>
      <c r="E626" s="95" t="n"/>
      <c r="F626" s="95" t="n"/>
      <c r="G626" s="95" t="n"/>
      <c r="H626" s="95" t="n"/>
      <c r="I626" s="95" t="n"/>
      <c r="J626" s="95" t="n"/>
      <c r="K626" s="95" t="n"/>
      <c r="L626" s="96" t="n"/>
    </row>
    <row r="627">
      <c r="A627" s="96" t="n"/>
      <c r="B627" s="95">
        <f>IF(A627="","", "CTR-"&amp;TEXT(ROW()-5,"000"))</f>
        <v/>
      </c>
      <c r="C627" s="95" t="n"/>
      <c r="D627" s="95" t="n"/>
      <c r="E627" s="95" t="n"/>
      <c r="F627" s="95" t="n"/>
      <c r="G627" s="95" t="n"/>
      <c r="H627" s="95" t="n"/>
      <c r="I627" s="95" t="n"/>
      <c r="J627" s="95" t="n"/>
      <c r="K627" s="95" t="n"/>
      <c r="L627" s="96" t="n"/>
    </row>
    <row r="628">
      <c r="A628" s="96" t="n"/>
      <c r="B628" s="95">
        <f>IF(A628="","", "CTR-"&amp;TEXT(ROW()-5,"000"))</f>
        <v/>
      </c>
      <c r="C628" s="95" t="n"/>
      <c r="D628" s="95" t="n"/>
      <c r="E628" s="95" t="n"/>
      <c r="F628" s="95" t="n"/>
      <c r="G628" s="95" t="n"/>
      <c r="H628" s="95" t="n"/>
      <c r="I628" s="95" t="n"/>
      <c r="J628" s="95" t="n"/>
      <c r="K628" s="95" t="n"/>
      <c r="L628" s="96" t="n"/>
    </row>
    <row r="629">
      <c r="A629" s="96" t="n"/>
      <c r="B629" s="95">
        <f>IF(A629="","", "CTR-"&amp;TEXT(ROW()-5,"000"))</f>
        <v/>
      </c>
      <c r="C629" s="95" t="n"/>
      <c r="D629" s="95" t="n"/>
      <c r="E629" s="95" t="n"/>
      <c r="F629" s="95" t="n"/>
      <c r="G629" s="95" t="n"/>
      <c r="H629" s="95" t="n"/>
      <c r="I629" s="95" t="n"/>
      <c r="J629" s="95" t="n"/>
      <c r="K629" s="95" t="n"/>
      <c r="L629" s="96" t="n"/>
    </row>
    <row r="630">
      <c r="A630" s="96" t="n"/>
      <c r="B630" s="95">
        <f>IF(A630="","", "CTR-"&amp;TEXT(ROW()-5,"000"))</f>
        <v/>
      </c>
      <c r="C630" s="95" t="n"/>
      <c r="D630" s="95" t="n"/>
      <c r="E630" s="95" t="n"/>
      <c r="F630" s="95" t="n"/>
      <c r="G630" s="95" t="n"/>
      <c r="H630" s="95" t="n"/>
      <c r="I630" s="95" t="n"/>
      <c r="J630" s="95" t="n"/>
      <c r="K630" s="95" t="n"/>
      <c r="L630" s="96" t="n"/>
    </row>
    <row r="631">
      <c r="A631" s="96" t="n"/>
      <c r="B631" s="95">
        <f>IF(A631="","", "CTR-"&amp;TEXT(ROW()-5,"000"))</f>
        <v/>
      </c>
      <c r="C631" s="95" t="n"/>
      <c r="D631" s="95" t="n"/>
      <c r="E631" s="95" t="n"/>
      <c r="F631" s="95" t="n"/>
      <c r="G631" s="95" t="n"/>
      <c r="H631" s="95" t="n"/>
      <c r="I631" s="95" t="n"/>
      <c r="J631" s="95" t="n"/>
      <c r="K631" s="95" t="n"/>
      <c r="L631" s="96" t="n"/>
    </row>
    <row r="632">
      <c r="A632" s="96" t="n"/>
      <c r="B632" s="95">
        <f>IF(A632="","", "CTR-"&amp;TEXT(ROW()-5,"000"))</f>
        <v/>
      </c>
      <c r="C632" s="95" t="n"/>
      <c r="D632" s="95" t="n"/>
      <c r="E632" s="95" t="n"/>
      <c r="F632" s="95" t="n"/>
      <c r="G632" s="95" t="n"/>
      <c r="H632" s="95" t="n"/>
      <c r="I632" s="95" t="n"/>
      <c r="J632" s="95" t="n"/>
      <c r="K632" s="95" t="n"/>
      <c r="L632" s="96" t="n"/>
    </row>
    <row r="633">
      <c r="A633" s="96" t="n"/>
      <c r="B633" s="95">
        <f>IF(A633="","", "CTR-"&amp;TEXT(ROW()-5,"000"))</f>
        <v/>
      </c>
      <c r="C633" s="95" t="n"/>
      <c r="D633" s="95" t="n"/>
      <c r="E633" s="95" t="n"/>
      <c r="F633" s="95" t="n"/>
      <c r="G633" s="95" t="n"/>
      <c r="H633" s="95" t="n"/>
      <c r="I633" s="95" t="n"/>
      <c r="J633" s="95" t="n"/>
      <c r="K633" s="95" t="n"/>
      <c r="L633" s="96" t="n"/>
    </row>
    <row r="634">
      <c r="A634" s="96" t="n"/>
      <c r="B634" s="95">
        <f>IF(A634="","", "CTR-"&amp;TEXT(ROW()-5,"000"))</f>
        <v/>
      </c>
      <c r="C634" s="95" t="n"/>
      <c r="D634" s="95" t="n"/>
      <c r="E634" s="95" t="n"/>
      <c r="F634" s="95" t="n"/>
      <c r="G634" s="95" t="n"/>
      <c r="H634" s="95" t="n"/>
      <c r="I634" s="95" t="n"/>
      <c r="J634" s="95" t="n"/>
      <c r="K634" s="95" t="n"/>
      <c r="L634" s="96" t="n"/>
    </row>
    <row r="635">
      <c r="A635" s="96" t="n"/>
      <c r="B635" s="95">
        <f>IF(A635="","", "CTR-"&amp;TEXT(ROW()-5,"000"))</f>
        <v/>
      </c>
      <c r="C635" s="95" t="n"/>
      <c r="D635" s="95" t="n"/>
      <c r="E635" s="95" t="n"/>
      <c r="F635" s="95" t="n"/>
      <c r="G635" s="95" t="n"/>
      <c r="H635" s="95" t="n"/>
      <c r="I635" s="95" t="n"/>
      <c r="J635" s="95" t="n"/>
      <c r="K635" s="95" t="n"/>
      <c r="L635" s="96" t="n"/>
    </row>
    <row r="636">
      <c r="A636" s="96" t="n"/>
      <c r="B636" s="95">
        <f>IF(A636="","", "CTR-"&amp;TEXT(ROW()-5,"000"))</f>
        <v/>
      </c>
      <c r="C636" s="95" t="n"/>
      <c r="D636" s="95" t="n"/>
      <c r="E636" s="95" t="n"/>
      <c r="F636" s="95" t="n"/>
      <c r="G636" s="95" t="n"/>
      <c r="H636" s="95" t="n"/>
      <c r="I636" s="95" t="n"/>
      <c r="J636" s="95" t="n"/>
      <c r="K636" s="95" t="n"/>
      <c r="L636" s="96" t="n"/>
    </row>
    <row r="637">
      <c r="A637" s="96" t="n"/>
      <c r="B637" s="95">
        <f>IF(A637="","", "CTR-"&amp;TEXT(ROW()-5,"000"))</f>
        <v/>
      </c>
      <c r="C637" s="95" t="n"/>
      <c r="D637" s="95" t="n"/>
      <c r="E637" s="95" t="n"/>
      <c r="F637" s="95" t="n"/>
      <c r="G637" s="95" t="n"/>
      <c r="H637" s="95" t="n"/>
      <c r="I637" s="95" t="n"/>
      <c r="J637" s="95" t="n"/>
      <c r="K637" s="95" t="n"/>
      <c r="L637" s="96" t="n"/>
    </row>
    <row r="638">
      <c r="A638" s="96" t="n"/>
      <c r="B638" s="95">
        <f>IF(A638="","", "CTR-"&amp;TEXT(ROW()-5,"000"))</f>
        <v/>
      </c>
      <c r="C638" s="95" t="n"/>
      <c r="D638" s="95" t="n"/>
      <c r="E638" s="95" t="n"/>
      <c r="F638" s="95" t="n"/>
      <c r="G638" s="95" t="n"/>
      <c r="H638" s="95" t="n"/>
      <c r="I638" s="95" t="n"/>
      <c r="J638" s="95" t="n"/>
      <c r="K638" s="95" t="n"/>
      <c r="L638" s="96" t="n"/>
    </row>
    <row r="639">
      <c r="A639" s="96" t="n"/>
      <c r="B639" s="95">
        <f>IF(A639="","", "CTR-"&amp;TEXT(ROW()-5,"000"))</f>
        <v/>
      </c>
      <c r="C639" s="95" t="n"/>
      <c r="D639" s="95" t="n"/>
      <c r="E639" s="95" t="n"/>
      <c r="F639" s="95" t="n"/>
      <c r="G639" s="95" t="n"/>
      <c r="H639" s="95" t="n"/>
      <c r="I639" s="95" t="n"/>
      <c r="J639" s="95" t="n"/>
      <c r="K639" s="95" t="n"/>
      <c r="L639" s="96" t="n"/>
    </row>
    <row r="640">
      <c r="A640" s="96" t="n"/>
      <c r="B640" s="95">
        <f>IF(A640="","", "CTR-"&amp;TEXT(ROW()-5,"000"))</f>
        <v/>
      </c>
      <c r="C640" s="95" t="n"/>
      <c r="D640" s="95" t="n"/>
      <c r="E640" s="95" t="n"/>
      <c r="F640" s="95" t="n"/>
      <c r="G640" s="95" t="n"/>
      <c r="H640" s="95" t="n"/>
      <c r="I640" s="95" t="n"/>
      <c r="J640" s="95" t="n"/>
      <c r="K640" s="95" t="n"/>
      <c r="L640" s="96" t="n"/>
    </row>
    <row r="641">
      <c r="A641" s="96" t="n"/>
      <c r="B641" s="95">
        <f>IF(A641="","", "CTR-"&amp;TEXT(ROW()-5,"000"))</f>
        <v/>
      </c>
      <c r="C641" s="95" t="n"/>
      <c r="D641" s="95" t="n"/>
      <c r="E641" s="95" t="n"/>
      <c r="F641" s="95" t="n"/>
      <c r="G641" s="95" t="n"/>
      <c r="H641" s="95" t="n"/>
      <c r="I641" s="95" t="n"/>
      <c r="J641" s="95" t="n"/>
      <c r="K641" s="95" t="n"/>
      <c r="L641" s="96" t="n"/>
    </row>
    <row r="642">
      <c r="A642" s="96" t="n"/>
      <c r="B642" s="95">
        <f>IF(A642="","", "CTR-"&amp;TEXT(ROW()-5,"000"))</f>
        <v/>
      </c>
      <c r="C642" s="95" t="n"/>
      <c r="D642" s="95" t="n"/>
      <c r="E642" s="95" t="n"/>
      <c r="F642" s="95" t="n"/>
      <c r="G642" s="95" t="n"/>
      <c r="H642" s="95" t="n"/>
      <c r="I642" s="95" t="n"/>
      <c r="J642" s="95" t="n"/>
      <c r="K642" s="95" t="n"/>
      <c r="L642" s="96" t="n"/>
    </row>
    <row r="643">
      <c r="A643" s="96" t="n"/>
      <c r="B643" s="95">
        <f>IF(A643="","", "CTR-"&amp;TEXT(ROW()-5,"000"))</f>
        <v/>
      </c>
      <c r="C643" s="95" t="n"/>
      <c r="D643" s="95" t="n"/>
      <c r="E643" s="95" t="n"/>
      <c r="F643" s="95" t="n"/>
      <c r="G643" s="95" t="n"/>
      <c r="H643" s="95" t="n"/>
      <c r="I643" s="95" t="n"/>
      <c r="J643" s="95" t="n"/>
      <c r="K643" s="95" t="n"/>
      <c r="L643" s="96" t="n"/>
    </row>
    <row r="644">
      <c r="A644" s="96" t="n"/>
      <c r="B644" s="95">
        <f>IF(A644="","", "CTR-"&amp;TEXT(ROW()-5,"000"))</f>
        <v/>
      </c>
      <c r="C644" s="95" t="n"/>
      <c r="D644" s="95" t="n"/>
      <c r="E644" s="95" t="n"/>
      <c r="F644" s="95" t="n"/>
      <c r="G644" s="95" t="n"/>
      <c r="H644" s="95" t="n"/>
      <c r="I644" s="95" t="n"/>
      <c r="J644" s="95" t="n"/>
      <c r="K644" s="95" t="n"/>
      <c r="L644" s="96" t="n"/>
    </row>
    <row r="645">
      <c r="A645" s="96" t="n"/>
      <c r="B645" s="95">
        <f>IF(A645="","", "CTR-"&amp;TEXT(ROW()-5,"000"))</f>
        <v/>
      </c>
      <c r="C645" s="95" t="n"/>
      <c r="D645" s="95" t="n"/>
      <c r="E645" s="95" t="n"/>
      <c r="F645" s="95" t="n"/>
      <c r="G645" s="95" t="n"/>
      <c r="H645" s="95" t="n"/>
      <c r="I645" s="95" t="n"/>
      <c r="J645" s="95" t="n"/>
      <c r="K645" s="95" t="n"/>
      <c r="L645" s="96" t="n"/>
    </row>
    <row r="646">
      <c r="A646" s="96" t="n"/>
      <c r="B646" s="95">
        <f>IF(A646="","", "CTR-"&amp;TEXT(ROW()-5,"000"))</f>
        <v/>
      </c>
      <c r="C646" s="95" t="n"/>
      <c r="D646" s="95" t="n"/>
      <c r="E646" s="95" t="n"/>
      <c r="F646" s="95" t="n"/>
      <c r="G646" s="95" t="n"/>
      <c r="H646" s="95" t="n"/>
      <c r="I646" s="95" t="n"/>
      <c r="J646" s="95" t="n"/>
      <c r="K646" s="95" t="n"/>
      <c r="L646" s="96" t="n"/>
    </row>
    <row r="647">
      <c r="A647" s="96" t="n"/>
      <c r="B647" s="95">
        <f>IF(A647="","", "CTR-"&amp;TEXT(ROW()-5,"000"))</f>
        <v/>
      </c>
      <c r="C647" s="95" t="n"/>
      <c r="D647" s="95" t="n"/>
      <c r="E647" s="95" t="n"/>
      <c r="F647" s="95" t="n"/>
      <c r="G647" s="95" t="n"/>
      <c r="H647" s="95" t="n"/>
      <c r="I647" s="95" t="n"/>
      <c r="J647" s="95" t="n"/>
      <c r="K647" s="95" t="n"/>
      <c r="L647" s="96" t="n"/>
    </row>
    <row r="648">
      <c r="A648" s="96" t="n"/>
      <c r="B648" s="95">
        <f>IF(A648="","", "CTR-"&amp;TEXT(ROW()-5,"000"))</f>
        <v/>
      </c>
      <c r="C648" s="95" t="n"/>
      <c r="D648" s="95" t="n"/>
      <c r="E648" s="95" t="n"/>
      <c r="F648" s="95" t="n"/>
      <c r="G648" s="95" t="n"/>
      <c r="H648" s="95" t="n"/>
      <c r="I648" s="95" t="n"/>
      <c r="J648" s="95" t="n"/>
      <c r="K648" s="95" t="n"/>
      <c r="L648" s="96" t="n"/>
    </row>
    <row r="649">
      <c r="A649" s="96" t="n"/>
      <c r="B649" s="95">
        <f>IF(A649="","", "CTR-"&amp;TEXT(ROW()-5,"000"))</f>
        <v/>
      </c>
      <c r="C649" s="95" t="n"/>
      <c r="D649" s="95" t="n"/>
      <c r="E649" s="95" t="n"/>
      <c r="F649" s="95" t="n"/>
      <c r="G649" s="95" t="n"/>
      <c r="H649" s="95" t="n"/>
      <c r="I649" s="95" t="n"/>
      <c r="J649" s="95" t="n"/>
      <c r="K649" s="95" t="n"/>
      <c r="L649" s="96" t="n"/>
    </row>
    <row r="650">
      <c r="A650" s="96" t="n"/>
      <c r="B650" s="95">
        <f>IF(A650="","", "CTR-"&amp;TEXT(ROW()-5,"000"))</f>
        <v/>
      </c>
      <c r="C650" s="95" t="n"/>
      <c r="D650" s="95" t="n"/>
      <c r="E650" s="95" t="n"/>
      <c r="F650" s="95" t="n"/>
      <c r="G650" s="95" t="n"/>
      <c r="H650" s="95" t="n"/>
      <c r="I650" s="95" t="n"/>
      <c r="J650" s="95" t="n"/>
      <c r="K650" s="95" t="n"/>
      <c r="L650" s="96" t="n"/>
    </row>
    <row r="651">
      <c r="A651" s="96" t="n"/>
      <c r="B651" s="95">
        <f>IF(A651="","", "CTR-"&amp;TEXT(ROW()-5,"000"))</f>
        <v/>
      </c>
      <c r="C651" s="95" t="n"/>
      <c r="D651" s="95" t="n"/>
      <c r="E651" s="95" t="n"/>
      <c r="F651" s="95" t="n"/>
      <c r="G651" s="95" t="n"/>
      <c r="H651" s="95" t="n"/>
      <c r="I651" s="95" t="n"/>
      <c r="J651" s="95" t="n"/>
      <c r="K651" s="95" t="n"/>
      <c r="L651" s="96" t="n"/>
    </row>
    <row r="652">
      <c r="A652" s="96" t="n"/>
      <c r="B652" s="95">
        <f>IF(A652="","", "CTR-"&amp;TEXT(ROW()-5,"000"))</f>
        <v/>
      </c>
      <c r="C652" s="95" t="n"/>
      <c r="D652" s="95" t="n"/>
      <c r="E652" s="95" t="n"/>
      <c r="F652" s="95" t="n"/>
      <c r="G652" s="95" t="n"/>
      <c r="H652" s="95" t="n"/>
      <c r="I652" s="95" t="n"/>
      <c r="J652" s="95" t="n"/>
      <c r="K652" s="95" t="n"/>
      <c r="L652" s="96" t="n"/>
    </row>
    <row r="653">
      <c r="A653" s="96" t="n"/>
      <c r="B653" s="95">
        <f>IF(A653="","", "CTR-"&amp;TEXT(ROW()-5,"000"))</f>
        <v/>
      </c>
      <c r="C653" s="95" t="n"/>
      <c r="D653" s="95" t="n"/>
      <c r="E653" s="95" t="n"/>
      <c r="F653" s="95" t="n"/>
      <c r="G653" s="95" t="n"/>
      <c r="H653" s="95" t="n"/>
      <c r="I653" s="95" t="n"/>
      <c r="J653" s="95" t="n"/>
      <c r="K653" s="95" t="n"/>
      <c r="L653" s="96" t="n"/>
    </row>
    <row r="654">
      <c r="A654" s="96" t="n"/>
      <c r="B654" s="95">
        <f>IF(A654="","", "CTR-"&amp;TEXT(ROW()-5,"000"))</f>
        <v/>
      </c>
      <c r="C654" s="95" t="n"/>
      <c r="D654" s="95" t="n"/>
      <c r="E654" s="95" t="n"/>
      <c r="F654" s="95" t="n"/>
      <c r="G654" s="95" t="n"/>
      <c r="H654" s="95" t="n"/>
      <c r="I654" s="95" t="n"/>
      <c r="J654" s="95" t="n"/>
      <c r="K654" s="95" t="n"/>
      <c r="L654" s="96" t="n"/>
    </row>
    <row r="655">
      <c r="A655" s="96" t="n"/>
      <c r="B655" s="95">
        <f>IF(A655="","", "CTR-"&amp;TEXT(ROW()-5,"000"))</f>
        <v/>
      </c>
      <c r="C655" s="95" t="n"/>
      <c r="D655" s="95" t="n"/>
      <c r="E655" s="95" t="n"/>
      <c r="F655" s="95" t="n"/>
      <c r="G655" s="95" t="n"/>
      <c r="H655" s="95" t="n"/>
      <c r="I655" s="95" t="n"/>
      <c r="J655" s="95" t="n"/>
      <c r="K655" s="95" t="n"/>
      <c r="L655" s="96" t="n"/>
    </row>
    <row r="656">
      <c r="A656" s="96" t="n"/>
      <c r="B656" s="95">
        <f>IF(A656="","", "CTR-"&amp;TEXT(ROW()-5,"000"))</f>
        <v/>
      </c>
      <c r="C656" s="95" t="n"/>
      <c r="D656" s="95" t="n"/>
      <c r="E656" s="95" t="n"/>
      <c r="F656" s="95" t="n"/>
      <c r="G656" s="95" t="n"/>
      <c r="H656" s="95" t="n"/>
      <c r="I656" s="95" t="n"/>
      <c r="J656" s="95" t="n"/>
      <c r="K656" s="95" t="n"/>
      <c r="L656" s="96" t="n"/>
    </row>
    <row r="657">
      <c r="A657" s="96" t="n"/>
      <c r="B657" s="95">
        <f>IF(A657="","", "CTR-"&amp;TEXT(ROW()-5,"000"))</f>
        <v/>
      </c>
      <c r="C657" s="95" t="n"/>
      <c r="D657" s="95" t="n"/>
      <c r="E657" s="95" t="n"/>
      <c r="F657" s="95" t="n"/>
      <c r="G657" s="95" t="n"/>
      <c r="H657" s="95" t="n"/>
      <c r="I657" s="95" t="n"/>
      <c r="J657" s="95" t="n"/>
      <c r="K657" s="95" t="n"/>
      <c r="L657" s="96" t="n"/>
    </row>
    <row r="658">
      <c r="A658" s="96" t="n"/>
      <c r="B658" s="95">
        <f>IF(A658="","", "CTR-"&amp;TEXT(ROW()-5,"000"))</f>
        <v/>
      </c>
      <c r="C658" s="95" t="n"/>
      <c r="D658" s="95" t="n"/>
      <c r="E658" s="95" t="n"/>
      <c r="F658" s="95" t="n"/>
      <c r="G658" s="95" t="n"/>
      <c r="H658" s="95" t="n"/>
      <c r="I658" s="95" t="n"/>
      <c r="J658" s="95" t="n"/>
      <c r="K658" s="95" t="n"/>
      <c r="L658" s="96" t="n"/>
    </row>
    <row r="659">
      <c r="A659" s="96" t="n"/>
      <c r="B659" s="95">
        <f>IF(A659="","", "CTR-"&amp;TEXT(ROW()-5,"000"))</f>
        <v/>
      </c>
      <c r="C659" s="95" t="n"/>
      <c r="D659" s="95" t="n"/>
      <c r="E659" s="95" t="n"/>
      <c r="F659" s="95" t="n"/>
      <c r="G659" s="95" t="n"/>
      <c r="H659" s="95" t="n"/>
      <c r="I659" s="95" t="n"/>
      <c r="J659" s="95" t="n"/>
      <c r="K659" s="95" t="n"/>
      <c r="L659" s="96" t="n"/>
    </row>
    <row r="660">
      <c r="A660" s="96" t="n"/>
      <c r="B660" s="95">
        <f>IF(A660="","", "CTR-"&amp;TEXT(ROW()-5,"000"))</f>
        <v/>
      </c>
      <c r="C660" s="95" t="n"/>
      <c r="D660" s="95" t="n"/>
      <c r="E660" s="95" t="n"/>
      <c r="F660" s="95" t="n"/>
      <c r="G660" s="95" t="n"/>
      <c r="H660" s="95" t="n"/>
      <c r="I660" s="95" t="n"/>
      <c r="J660" s="95" t="n"/>
      <c r="K660" s="95" t="n"/>
      <c r="L660" s="96" t="n"/>
    </row>
    <row r="661">
      <c r="A661" s="96" t="n"/>
      <c r="B661" s="95">
        <f>IF(A661="","", "CTR-"&amp;TEXT(ROW()-5,"000"))</f>
        <v/>
      </c>
      <c r="C661" s="95" t="n"/>
      <c r="D661" s="95" t="n"/>
      <c r="E661" s="95" t="n"/>
      <c r="F661" s="95" t="n"/>
      <c r="G661" s="95" t="n"/>
      <c r="H661" s="95" t="n"/>
      <c r="I661" s="95" t="n"/>
      <c r="J661" s="95" t="n"/>
      <c r="K661" s="95" t="n"/>
      <c r="L661" s="96" t="n"/>
    </row>
    <row r="662">
      <c r="A662" s="96" t="n"/>
      <c r="B662" s="95">
        <f>IF(A662="","", "CTR-"&amp;TEXT(ROW()-5,"000"))</f>
        <v/>
      </c>
      <c r="C662" s="95" t="n"/>
      <c r="D662" s="95" t="n"/>
      <c r="E662" s="95" t="n"/>
      <c r="F662" s="95" t="n"/>
      <c r="G662" s="95" t="n"/>
      <c r="H662" s="95" t="n"/>
      <c r="I662" s="95" t="n"/>
      <c r="J662" s="95" t="n"/>
      <c r="K662" s="95" t="n"/>
      <c r="L662" s="96" t="n"/>
    </row>
    <row r="663">
      <c r="A663" s="96" t="n"/>
      <c r="B663" s="95">
        <f>IF(A663="","", "CTR-"&amp;TEXT(ROW()-5,"000"))</f>
        <v/>
      </c>
      <c r="C663" s="95" t="n"/>
      <c r="D663" s="95" t="n"/>
      <c r="E663" s="95" t="n"/>
      <c r="F663" s="95" t="n"/>
      <c r="G663" s="95" t="n"/>
      <c r="H663" s="95" t="n"/>
      <c r="I663" s="95" t="n"/>
      <c r="J663" s="95" t="n"/>
      <c r="K663" s="95" t="n"/>
      <c r="L663" s="96" t="n"/>
    </row>
    <row r="664">
      <c r="A664" s="96" t="n"/>
      <c r="B664" s="95">
        <f>IF(A664="","", "CTR-"&amp;TEXT(ROW()-5,"000"))</f>
        <v/>
      </c>
      <c r="C664" s="95" t="n"/>
      <c r="D664" s="95" t="n"/>
      <c r="E664" s="95" t="n"/>
      <c r="F664" s="95" t="n"/>
      <c r="G664" s="95" t="n"/>
      <c r="H664" s="95" t="n"/>
      <c r="I664" s="95" t="n"/>
      <c r="J664" s="95" t="n"/>
      <c r="K664" s="95" t="n"/>
      <c r="L664" s="96" t="n"/>
    </row>
    <row r="665">
      <c r="A665" s="96" t="n"/>
      <c r="B665" s="95">
        <f>IF(A665="","", "CTR-"&amp;TEXT(ROW()-5,"000"))</f>
        <v/>
      </c>
      <c r="C665" s="95" t="n"/>
      <c r="D665" s="95" t="n"/>
      <c r="E665" s="95" t="n"/>
      <c r="F665" s="95" t="n"/>
      <c r="G665" s="95" t="n"/>
      <c r="H665" s="95" t="n"/>
      <c r="I665" s="95" t="n"/>
      <c r="J665" s="95" t="n"/>
      <c r="K665" s="95" t="n"/>
      <c r="L665" s="96" t="n"/>
    </row>
    <row r="666">
      <c r="A666" s="96" t="n"/>
      <c r="B666" s="95">
        <f>IF(A666="","", "CTR-"&amp;TEXT(ROW()-5,"000"))</f>
        <v/>
      </c>
      <c r="C666" s="95" t="n"/>
      <c r="D666" s="95" t="n"/>
      <c r="E666" s="95" t="n"/>
      <c r="F666" s="95" t="n"/>
      <c r="G666" s="95" t="n"/>
      <c r="H666" s="95" t="n"/>
      <c r="I666" s="95" t="n"/>
      <c r="J666" s="95" t="n"/>
      <c r="K666" s="95" t="n"/>
      <c r="L666" s="96" t="n"/>
    </row>
    <row r="667">
      <c r="A667" s="96" t="n"/>
      <c r="B667" s="95">
        <f>IF(A667="","", "CTR-"&amp;TEXT(ROW()-5,"000"))</f>
        <v/>
      </c>
      <c r="C667" s="95" t="n"/>
      <c r="D667" s="95" t="n"/>
      <c r="E667" s="95" t="n"/>
      <c r="F667" s="95" t="n"/>
      <c r="G667" s="95" t="n"/>
      <c r="H667" s="95" t="n"/>
      <c r="I667" s="95" t="n"/>
      <c r="J667" s="95" t="n"/>
      <c r="K667" s="95" t="n"/>
      <c r="L667" s="96" t="n"/>
    </row>
    <row r="668">
      <c r="A668" s="96" t="n"/>
      <c r="B668" s="95">
        <f>IF(A668="","", "CTR-"&amp;TEXT(ROW()-5,"000"))</f>
        <v/>
      </c>
      <c r="C668" s="95" t="n"/>
      <c r="D668" s="95" t="n"/>
      <c r="E668" s="95" t="n"/>
      <c r="F668" s="95" t="n"/>
      <c r="G668" s="95" t="n"/>
      <c r="H668" s="95" t="n"/>
      <c r="I668" s="95" t="n"/>
      <c r="J668" s="95" t="n"/>
      <c r="K668" s="95" t="n"/>
      <c r="L668" s="96" t="n"/>
    </row>
    <row r="669">
      <c r="A669" s="96" t="n"/>
      <c r="B669" s="95">
        <f>IF(A669="","", "CTR-"&amp;TEXT(ROW()-5,"000"))</f>
        <v/>
      </c>
      <c r="C669" s="95" t="n"/>
      <c r="D669" s="95" t="n"/>
      <c r="E669" s="95" t="n"/>
      <c r="F669" s="95" t="n"/>
      <c r="G669" s="95" t="n"/>
      <c r="H669" s="95" t="n"/>
      <c r="I669" s="95" t="n"/>
      <c r="J669" s="95" t="n"/>
      <c r="K669" s="95" t="n"/>
      <c r="L669" s="96" t="n"/>
    </row>
    <row r="670">
      <c r="A670" s="96" t="n"/>
      <c r="B670" s="95">
        <f>IF(A670="","", "CTR-"&amp;TEXT(ROW()-5,"000"))</f>
        <v/>
      </c>
      <c r="C670" s="95" t="n"/>
      <c r="D670" s="95" t="n"/>
      <c r="E670" s="95" t="n"/>
      <c r="F670" s="95" t="n"/>
      <c r="G670" s="95" t="n"/>
      <c r="H670" s="95" t="n"/>
      <c r="I670" s="95" t="n"/>
      <c r="J670" s="95" t="n"/>
      <c r="K670" s="95" t="n"/>
      <c r="L670" s="96" t="n"/>
    </row>
    <row r="671">
      <c r="A671" s="96" t="n"/>
      <c r="B671" s="95">
        <f>IF(A671="","", "CTR-"&amp;TEXT(ROW()-5,"000"))</f>
        <v/>
      </c>
      <c r="C671" s="95" t="n"/>
      <c r="D671" s="95" t="n"/>
      <c r="E671" s="95" t="n"/>
      <c r="F671" s="95" t="n"/>
      <c r="G671" s="95" t="n"/>
      <c r="H671" s="95" t="n"/>
      <c r="I671" s="95" t="n"/>
      <c r="J671" s="95" t="n"/>
      <c r="K671" s="95" t="n"/>
      <c r="L671" s="96" t="n"/>
    </row>
    <row r="672">
      <c r="A672" s="96" t="n"/>
      <c r="B672" s="95">
        <f>IF(A672="","", "CTR-"&amp;TEXT(ROW()-5,"000"))</f>
        <v/>
      </c>
      <c r="C672" s="95" t="n"/>
      <c r="D672" s="95" t="n"/>
      <c r="E672" s="95" t="n"/>
      <c r="F672" s="95" t="n"/>
      <c r="G672" s="95" t="n"/>
      <c r="H672" s="95" t="n"/>
      <c r="I672" s="95" t="n"/>
      <c r="J672" s="95" t="n"/>
      <c r="K672" s="95" t="n"/>
      <c r="L672" s="96" t="n"/>
    </row>
    <row r="673">
      <c r="A673" s="96" t="n"/>
      <c r="B673" s="95">
        <f>IF(A673="","", "CTR-"&amp;TEXT(ROW()-5,"000"))</f>
        <v/>
      </c>
      <c r="C673" s="95" t="n"/>
      <c r="D673" s="95" t="n"/>
      <c r="E673" s="95" t="n"/>
      <c r="F673" s="95" t="n"/>
      <c r="G673" s="95" t="n"/>
      <c r="H673" s="95" t="n"/>
      <c r="I673" s="95" t="n"/>
      <c r="J673" s="95" t="n"/>
      <c r="K673" s="95" t="n"/>
      <c r="L673" s="96" t="n"/>
    </row>
    <row r="674">
      <c r="A674" s="96" t="n"/>
      <c r="B674" s="95">
        <f>IF(A674="","", "CTR-"&amp;TEXT(ROW()-5,"000"))</f>
        <v/>
      </c>
      <c r="C674" s="95" t="n"/>
      <c r="D674" s="95" t="n"/>
      <c r="E674" s="95" t="n"/>
      <c r="F674" s="95" t="n"/>
      <c r="G674" s="95" t="n"/>
      <c r="H674" s="95" t="n"/>
      <c r="I674" s="95" t="n"/>
      <c r="J674" s="95" t="n"/>
      <c r="K674" s="95" t="n"/>
      <c r="L674" s="96" t="n"/>
    </row>
    <row r="675">
      <c r="A675" s="96" t="n"/>
      <c r="B675" s="95">
        <f>IF(A675="","", "CTR-"&amp;TEXT(ROW()-5,"000"))</f>
        <v/>
      </c>
      <c r="C675" s="95" t="n"/>
      <c r="D675" s="95" t="n"/>
      <c r="E675" s="95" t="n"/>
      <c r="F675" s="95" t="n"/>
      <c r="G675" s="95" t="n"/>
      <c r="H675" s="95" t="n"/>
      <c r="I675" s="95" t="n"/>
      <c r="J675" s="95" t="n"/>
      <c r="K675" s="95" t="n"/>
      <c r="L675" s="96" t="n"/>
    </row>
    <row r="676">
      <c r="A676" s="96" t="n"/>
      <c r="B676" s="95">
        <f>IF(A676="","", "CTR-"&amp;TEXT(ROW()-5,"000"))</f>
        <v/>
      </c>
      <c r="C676" s="95" t="n"/>
      <c r="D676" s="95" t="n"/>
      <c r="E676" s="95" t="n"/>
      <c r="F676" s="95" t="n"/>
      <c r="G676" s="95" t="n"/>
      <c r="H676" s="95" t="n"/>
      <c r="I676" s="95" t="n"/>
      <c r="J676" s="95" t="n"/>
      <c r="K676" s="95" t="n"/>
      <c r="L676" s="96" t="n"/>
    </row>
    <row r="677">
      <c r="A677" s="96" t="n"/>
      <c r="B677" s="95">
        <f>IF(A677="","", "CTR-"&amp;TEXT(ROW()-5,"000"))</f>
        <v/>
      </c>
      <c r="C677" s="95" t="n"/>
      <c r="D677" s="95" t="n"/>
      <c r="E677" s="95" t="n"/>
      <c r="F677" s="95" t="n"/>
      <c r="G677" s="95" t="n"/>
      <c r="H677" s="95" t="n"/>
      <c r="I677" s="95" t="n"/>
      <c r="J677" s="95" t="n"/>
      <c r="K677" s="95" t="n"/>
      <c r="L677" s="96" t="n"/>
    </row>
    <row r="678">
      <c r="A678" s="96" t="n"/>
      <c r="B678" s="95">
        <f>IF(A678="","", "CTR-"&amp;TEXT(ROW()-5,"000"))</f>
        <v/>
      </c>
      <c r="C678" s="95" t="n"/>
      <c r="D678" s="95" t="n"/>
      <c r="E678" s="95" t="n"/>
      <c r="F678" s="95" t="n"/>
      <c r="G678" s="95" t="n"/>
      <c r="H678" s="95" t="n"/>
      <c r="I678" s="95" t="n"/>
      <c r="J678" s="95" t="n"/>
      <c r="K678" s="95" t="n"/>
      <c r="L678" s="96" t="n"/>
    </row>
    <row r="679">
      <c r="A679" s="96" t="n"/>
      <c r="B679" s="95">
        <f>IF(A679="","", "CTR-"&amp;TEXT(ROW()-5,"000"))</f>
        <v/>
      </c>
      <c r="C679" s="95" t="n"/>
      <c r="D679" s="95" t="n"/>
      <c r="E679" s="95" t="n"/>
      <c r="F679" s="95" t="n"/>
      <c r="G679" s="95" t="n"/>
      <c r="H679" s="95" t="n"/>
      <c r="I679" s="95" t="n"/>
      <c r="J679" s="95" t="n"/>
      <c r="K679" s="95" t="n"/>
      <c r="L679" s="96" t="n"/>
    </row>
    <row r="680">
      <c r="A680" s="96" t="n"/>
      <c r="B680" s="95">
        <f>IF(A680="","", "CTR-"&amp;TEXT(ROW()-5,"000"))</f>
        <v/>
      </c>
      <c r="C680" s="95" t="n"/>
      <c r="D680" s="95" t="n"/>
      <c r="E680" s="95" t="n"/>
      <c r="F680" s="95" t="n"/>
      <c r="G680" s="95" t="n"/>
      <c r="H680" s="95" t="n"/>
      <c r="I680" s="95" t="n"/>
      <c r="J680" s="95" t="n"/>
      <c r="K680" s="95" t="n"/>
      <c r="L680" s="96" t="n"/>
    </row>
    <row r="681">
      <c r="A681" s="96" t="n"/>
      <c r="B681" s="95">
        <f>IF(A681="","", "CTR-"&amp;TEXT(ROW()-5,"000"))</f>
        <v/>
      </c>
      <c r="C681" s="95" t="n"/>
      <c r="D681" s="95" t="n"/>
      <c r="E681" s="95" t="n"/>
      <c r="F681" s="95" t="n"/>
      <c r="G681" s="95" t="n"/>
      <c r="H681" s="95" t="n"/>
      <c r="I681" s="95" t="n"/>
      <c r="J681" s="95" t="n"/>
      <c r="K681" s="95" t="n"/>
      <c r="L681" s="96" t="n"/>
    </row>
    <row r="682">
      <c r="A682" s="96" t="n"/>
      <c r="B682" s="95">
        <f>IF(A682="","", "CTR-"&amp;TEXT(ROW()-5,"000"))</f>
        <v/>
      </c>
      <c r="C682" s="95" t="n"/>
      <c r="D682" s="95" t="n"/>
      <c r="E682" s="95" t="n"/>
      <c r="F682" s="95" t="n"/>
      <c r="G682" s="95" t="n"/>
      <c r="H682" s="95" t="n"/>
      <c r="I682" s="95" t="n"/>
      <c r="J682" s="95" t="n"/>
      <c r="K682" s="95" t="n"/>
      <c r="L682" s="96" t="n"/>
    </row>
    <row r="683">
      <c r="A683" s="96" t="n"/>
      <c r="B683" s="95">
        <f>IF(A683="","", "CTR-"&amp;TEXT(ROW()-5,"000"))</f>
        <v/>
      </c>
      <c r="C683" s="95" t="n"/>
      <c r="D683" s="95" t="n"/>
      <c r="E683" s="95" t="n"/>
      <c r="F683" s="95" t="n"/>
      <c r="G683" s="95" t="n"/>
      <c r="H683" s="95" t="n"/>
      <c r="I683" s="95" t="n"/>
      <c r="J683" s="95" t="n"/>
      <c r="K683" s="95" t="n"/>
      <c r="L683" s="96" t="n"/>
    </row>
    <row r="684">
      <c r="A684" s="96" t="n"/>
      <c r="B684" s="95">
        <f>IF(A684="","", "CTR-"&amp;TEXT(ROW()-5,"000"))</f>
        <v/>
      </c>
      <c r="C684" s="95" t="n"/>
      <c r="D684" s="95" t="n"/>
      <c r="E684" s="95" t="n"/>
      <c r="F684" s="95" t="n"/>
      <c r="G684" s="95" t="n"/>
      <c r="H684" s="95" t="n"/>
      <c r="I684" s="95" t="n"/>
      <c r="J684" s="95" t="n"/>
      <c r="K684" s="95" t="n"/>
      <c r="L684" s="96" t="n"/>
    </row>
    <row r="685">
      <c r="A685" s="96" t="n"/>
      <c r="B685" s="95">
        <f>IF(A685="","", "CTR-"&amp;TEXT(ROW()-5,"000"))</f>
        <v/>
      </c>
      <c r="C685" s="95" t="n"/>
      <c r="D685" s="95" t="n"/>
      <c r="E685" s="95" t="n"/>
      <c r="F685" s="95" t="n"/>
      <c r="G685" s="95" t="n"/>
      <c r="H685" s="95" t="n"/>
      <c r="I685" s="95" t="n"/>
      <c r="J685" s="95" t="n"/>
      <c r="K685" s="95" t="n"/>
      <c r="L685" s="96" t="n"/>
    </row>
    <row r="686">
      <c r="A686" s="96" t="n"/>
      <c r="B686" s="95">
        <f>IF(A686="","", "CTR-"&amp;TEXT(ROW()-5,"000"))</f>
        <v/>
      </c>
      <c r="C686" s="95" t="n"/>
      <c r="D686" s="95" t="n"/>
      <c r="E686" s="95" t="n"/>
      <c r="F686" s="95" t="n"/>
      <c r="G686" s="95" t="n"/>
      <c r="H686" s="95" t="n"/>
      <c r="I686" s="95" t="n"/>
      <c r="J686" s="95" t="n"/>
      <c r="K686" s="95" t="n"/>
      <c r="L686" s="96" t="n"/>
    </row>
    <row r="687">
      <c r="A687" s="96" t="n"/>
      <c r="B687" s="95">
        <f>IF(A687="","", "CTR-"&amp;TEXT(ROW()-5,"000"))</f>
        <v/>
      </c>
      <c r="C687" s="95" t="n"/>
      <c r="D687" s="95" t="n"/>
      <c r="E687" s="95" t="n"/>
      <c r="F687" s="95" t="n"/>
      <c r="G687" s="95" t="n"/>
      <c r="H687" s="95" t="n"/>
      <c r="I687" s="95" t="n"/>
      <c r="J687" s="95" t="n"/>
      <c r="K687" s="95" t="n"/>
      <c r="L687" s="96" t="n"/>
    </row>
    <row r="688">
      <c r="A688" s="96" t="n"/>
      <c r="B688" s="95">
        <f>IF(A688="","", "CTR-"&amp;TEXT(ROW()-5,"000"))</f>
        <v/>
      </c>
      <c r="C688" s="95" t="n"/>
      <c r="D688" s="95" t="n"/>
      <c r="E688" s="95" t="n"/>
      <c r="F688" s="95" t="n"/>
      <c r="G688" s="95" t="n"/>
      <c r="H688" s="95" t="n"/>
      <c r="I688" s="95" t="n"/>
      <c r="J688" s="95" t="n"/>
      <c r="K688" s="95" t="n"/>
      <c r="L688" s="96" t="n"/>
    </row>
    <row r="689">
      <c r="A689" s="96" t="n"/>
      <c r="B689" s="95">
        <f>IF(A689="","", "CTR-"&amp;TEXT(ROW()-5,"000"))</f>
        <v/>
      </c>
      <c r="C689" s="95" t="n"/>
      <c r="D689" s="95" t="n"/>
      <c r="E689" s="95" t="n"/>
      <c r="F689" s="95" t="n"/>
      <c r="G689" s="95" t="n"/>
      <c r="H689" s="95" t="n"/>
      <c r="I689" s="95" t="n"/>
      <c r="J689" s="95" t="n"/>
      <c r="K689" s="95" t="n"/>
      <c r="L689" s="96" t="n"/>
    </row>
    <row r="690">
      <c r="A690" s="96" t="n"/>
      <c r="B690" s="95">
        <f>IF(A690="","", "CTR-"&amp;TEXT(ROW()-5,"000"))</f>
        <v/>
      </c>
      <c r="C690" s="95" t="n"/>
      <c r="D690" s="95" t="n"/>
      <c r="E690" s="95" t="n"/>
      <c r="F690" s="95" t="n"/>
      <c r="G690" s="95" t="n"/>
      <c r="H690" s="95" t="n"/>
      <c r="I690" s="95" t="n"/>
      <c r="J690" s="95" t="n"/>
      <c r="K690" s="95" t="n"/>
      <c r="L690" s="96" t="n"/>
    </row>
    <row r="691">
      <c r="A691" s="96" t="n"/>
      <c r="B691" s="95">
        <f>IF(A691="","", "CTR-"&amp;TEXT(ROW()-5,"000"))</f>
        <v/>
      </c>
      <c r="C691" s="95" t="n"/>
      <c r="D691" s="95" t="n"/>
      <c r="E691" s="95" t="n"/>
      <c r="F691" s="95" t="n"/>
      <c r="G691" s="95" t="n"/>
      <c r="H691" s="95" t="n"/>
      <c r="I691" s="95" t="n"/>
      <c r="J691" s="95" t="n"/>
      <c r="K691" s="95" t="n"/>
      <c r="L691" s="96" t="n"/>
    </row>
    <row r="692">
      <c r="A692" s="96" t="n"/>
      <c r="B692" s="95">
        <f>IF(A692="","", "CTR-"&amp;TEXT(ROW()-5,"000"))</f>
        <v/>
      </c>
      <c r="C692" s="95" t="n"/>
      <c r="D692" s="95" t="n"/>
      <c r="E692" s="95" t="n"/>
      <c r="F692" s="95" t="n"/>
      <c r="G692" s="95" t="n"/>
      <c r="H692" s="95" t="n"/>
      <c r="I692" s="95" t="n"/>
      <c r="J692" s="95" t="n"/>
      <c r="K692" s="95" t="n"/>
      <c r="L692" s="96" t="n"/>
    </row>
    <row r="693">
      <c r="A693" s="96" t="n"/>
      <c r="B693" s="95">
        <f>IF(A693="","", "CTR-"&amp;TEXT(ROW()-5,"000"))</f>
        <v/>
      </c>
      <c r="C693" s="95" t="n"/>
      <c r="D693" s="95" t="n"/>
      <c r="E693" s="95" t="n"/>
      <c r="F693" s="95" t="n"/>
      <c r="G693" s="95" t="n"/>
      <c r="H693" s="95" t="n"/>
      <c r="I693" s="95" t="n"/>
      <c r="J693" s="95" t="n"/>
      <c r="K693" s="95" t="n"/>
      <c r="L693" s="96" t="n"/>
    </row>
    <row r="694">
      <c r="A694" s="96" t="n"/>
      <c r="B694" s="95">
        <f>IF(A694="","", "CTR-"&amp;TEXT(ROW()-5,"000"))</f>
        <v/>
      </c>
      <c r="C694" s="95" t="n"/>
      <c r="D694" s="95" t="n"/>
      <c r="E694" s="95" t="n"/>
      <c r="F694" s="95" t="n"/>
      <c r="G694" s="95" t="n"/>
      <c r="H694" s="95" t="n"/>
      <c r="I694" s="95" t="n"/>
      <c r="J694" s="95" t="n"/>
      <c r="K694" s="95" t="n"/>
      <c r="L694" s="96" t="n"/>
    </row>
    <row r="695">
      <c r="A695" s="96" t="n"/>
      <c r="B695" s="95">
        <f>IF(A695="","", "CTR-"&amp;TEXT(ROW()-5,"000"))</f>
        <v/>
      </c>
      <c r="C695" s="95" t="n"/>
      <c r="D695" s="95" t="n"/>
      <c r="E695" s="95" t="n"/>
      <c r="F695" s="95" t="n"/>
      <c r="G695" s="95" t="n"/>
      <c r="H695" s="95" t="n"/>
      <c r="I695" s="95" t="n"/>
      <c r="J695" s="95" t="n"/>
      <c r="K695" s="95" t="n"/>
      <c r="L695" s="96" t="n"/>
    </row>
    <row r="696">
      <c r="A696" s="96" t="n"/>
      <c r="B696" s="95">
        <f>IF(A696="","", "CTR-"&amp;TEXT(ROW()-5,"000"))</f>
        <v/>
      </c>
      <c r="C696" s="95" t="n"/>
      <c r="D696" s="95" t="n"/>
      <c r="E696" s="95" t="n"/>
      <c r="F696" s="95" t="n"/>
      <c r="G696" s="95" t="n"/>
      <c r="H696" s="95" t="n"/>
      <c r="I696" s="95" t="n"/>
      <c r="J696" s="95" t="n"/>
      <c r="K696" s="95" t="n"/>
      <c r="L696" s="96" t="n"/>
    </row>
    <row r="697">
      <c r="A697" s="96" t="n"/>
      <c r="B697" s="95">
        <f>IF(A697="","", "CTR-"&amp;TEXT(ROW()-5,"000"))</f>
        <v/>
      </c>
      <c r="C697" s="95" t="n"/>
      <c r="D697" s="95" t="n"/>
      <c r="E697" s="95" t="n"/>
      <c r="F697" s="95" t="n"/>
      <c r="G697" s="95" t="n"/>
      <c r="H697" s="95" t="n"/>
      <c r="I697" s="95" t="n"/>
      <c r="J697" s="95" t="n"/>
      <c r="K697" s="95" t="n"/>
      <c r="L697" s="96" t="n"/>
    </row>
    <row r="698">
      <c r="A698" s="96" t="n"/>
      <c r="B698" s="95">
        <f>IF(A698="","", "CTR-"&amp;TEXT(ROW()-5,"000"))</f>
        <v/>
      </c>
      <c r="C698" s="95" t="n"/>
      <c r="D698" s="95" t="n"/>
      <c r="E698" s="95" t="n"/>
      <c r="F698" s="95" t="n"/>
      <c r="G698" s="95" t="n"/>
      <c r="H698" s="95" t="n"/>
      <c r="I698" s="95" t="n"/>
      <c r="J698" s="95" t="n"/>
      <c r="K698" s="95" t="n"/>
      <c r="L698" s="96" t="n"/>
    </row>
    <row r="699">
      <c r="A699" s="96" t="n"/>
      <c r="B699" s="95">
        <f>IF(A699="","", "CTR-"&amp;TEXT(ROW()-5,"000"))</f>
        <v/>
      </c>
      <c r="C699" s="95" t="n"/>
      <c r="D699" s="95" t="n"/>
      <c r="E699" s="95" t="n"/>
      <c r="F699" s="95" t="n"/>
      <c r="G699" s="95" t="n"/>
      <c r="H699" s="95" t="n"/>
      <c r="I699" s="95" t="n"/>
      <c r="J699" s="95" t="n"/>
      <c r="K699" s="95" t="n"/>
      <c r="L699" s="96" t="n"/>
    </row>
    <row r="700">
      <c r="A700" s="96" t="n"/>
      <c r="B700" s="95">
        <f>IF(A700="","", "CTR-"&amp;TEXT(ROW()-5,"000"))</f>
        <v/>
      </c>
      <c r="C700" s="95" t="n"/>
      <c r="D700" s="95" t="n"/>
      <c r="E700" s="95" t="n"/>
      <c r="F700" s="95" t="n"/>
      <c r="G700" s="95" t="n"/>
      <c r="H700" s="95" t="n"/>
      <c r="I700" s="95" t="n"/>
      <c r="J700" s="95" t="n"/>
      <c r="K700" s="95" t="n"/>
      <c r="L700" s="96" t="n"/>
    </row>
    <row r="701">
      <c r="A701" s="96" t="n"/>
      <c r="B701" s="95">
        <f>IF(A701="","", "CTR-"&amp;TEXT(ROW()-5,"000"))</f>
        <v/>
      </c>
      <c r="C701" s="95" t="n"/>
      <c r="D701" s="95" t="n"/>
      <c r="E701" s="95" t="n"/>
      <c r="F701" s="95" t="n"/>
      <c r="G701" s="95" t="n"/>
      <c r="H701" s="95" t="n"/>
      <c r="I701" s="95" t="n"/>
      <c r="J701" s="95" t="n"/>
      <c r="K701" s="95" t="n"/>
      <c r="L701" s="96" t="n"/>
    </row>
    <row r="702">
      <c r="A702" s="96" t="n"/>
      <c r="B702" s="95">
        <f>IF(A702="","", "CTR-"&amp;TEXT(ROW()-5,"000"))</f>
        <v/>
      </c>
      <c r="C702" s="95" t="n"/>
      <c r="D702" s="95" t="n"/>
      <c r="E702" s="95" t="n"/>
      <c r="F702" s="95" t="n"/>
      <c r="G702" s="95" t="n"/>
      <c r="H702" s="95" t="n"/>
      <c r="I702" s="95" t="n"/>
      <c r="J702" s="95" t="n"/>
      <c r="K702" s="95" t="n"/>
      <c r="L702" s="96" t="n"/>
    </row>
    <row r="703">
      <c r="A703" s="96" t="n"/>
      <c r="B703" s="95">
        <f>IF(A703="","", "CTR-"&amp;TEXT(ROW()-5,"000"))</f>
        <v/>
      </c>
      <c r="C703" s="95" t="n"/>
      <c r="D703" s="95" t="n"/>
      <c r="E703" s="95" t="n"/>
      <c r="F703" s="95" t="n"/>
      <c r="G703" s="95" t="n"/>
      <c r="H703" s="95" t="n"/>
      <c r="I703" s="95" t="n"/>
      <c r="J703" s="95" t="n"/>
      <c r="K703" s="95" t="n"/>
      <c r="L703" s="96" t="n"/>
    </row>
    <row r="704">
      <c r="A704" s="96" t="n"/>
      <c r="B704" s="95">
        <f>IF(A704="","", "CTR-"&amp;TEXT(ROW()-5,"000"))</f>
        <v/>
      </c>
      <c r="C704" s="95" t="n"/>
      <c r="D704" s="95" t="n"/>
      <c r="E704" s="95" t="n"/>
      <c r="F704" s="95" t="n"/>
      <c r="G704" s="95" t="n"/>
      <c r="H704" s="95" t="n"/>
      <c r="I704" s="95" t="n"/>
      <c r="J704" s="95" t="n"/>
      <c r="K704" s="95" t="n"/>
      <c r="L704" s="96" t="n"/>
    </row>
    <row r="705">
      <c r="A705" s="96" t="n"/>
      <c r="B705" s="95">
        <f>IF(A705="","", "CTR-"&amp;TEXT(ROW()-5,"000"))</f>
        <v/>
      </c>
      <c r="C705" s="95" t="n"/>
      <c r="D705" s="95" t="n"/>
      <c r="E705" s="95" t="n"/>
      <c r="F705" s="95" t="n"/>
      <c r="G705" s="95" t="n"/>
      <c r="H705" s="95" t="n"/>
      <c r="I705" s="95" t="n"/>
      <c r="J705" s="95" t="n"/>
      <c r="K705" s="95" t="n"/>
      <c r="L705" s="96" t="n"/>
    </row>
    <row r="706">
      <c r="A706" s="96" t="n"/>
      <c r="B706" s="95">
        <f>IF(A706="","", "CTR-"&amp;TEXT(ROW()-5,"000"))</f>
        <v/>
      </c>
      <c r="C706" s="95" t="n"/>
      <c r="D706" s="95" t="n"/>
      <c r="E706" s="95" t="n"/>
      <c r="F706" s="95" t="n"/>
      <c r="G706" s="95" t="n"/>
      <c r="H706" s="95" t="n"/>
      <c r="I706" s="95" t="n"/>
      <c r="J706" s="95" t="n"/>
      <c r="K706" s="95" t="n"/>
      <c r="L706" s="96" t="n"/>
    </row>
    <row r="707">
      <c r="A707" s="96" t="n"/>
      <c r="B707" s="95">
        <f>IF(A707="","", "CTR-"&amp;TEXT(ROW()-5,"000"))</f>
        <v/>
      </c>
      <c r="C707" s="95" t="n"/>
      <c r="D707" s="95" t="n"/>
      <c r="E707" s="95" t="n"/>
      <c r="F707" s="95" t="n"/>
      <c r="G707" s="95" t="n"/>
      <c r="H707" s="95" t="n"/>
      <c r="I707" s="95" t="n"/>
      <c r="J707" s="95" t="n"/>
      <c r="K707" s="95" t="n"/>
      <c r="L707" s="96" t="n"/>
    </row>
    <row r="708">
      <c r="A708" s="96" t="n"/>
      <c r="B708" s="95">
        <f>IF(A708="","", "CTR-"&amp;TEXT(ROW()-5,"000"))</f>
        <v/>
      </c>
      <c r="C708" s="95" t="n"/>
      <c r="D708" s="95" t="n"/>
      <c r="E708" s="95" t="n"/>
      <c r="F708" s="95" t="n"/>
      <c r="G708" s="95" t="n"/>
      <c r="H708" s="95" t="n"/>
      <c r="I708" s="95" t="n"/>
      <c r="J708" s="95" t="n"/>
      <c r="K708" s="95" t="n"/>
      <c r="L708" s="96" t="n"/>
    </row>
    <row r="709">
      <c r="A709" s="96" t="n"/>
      <c r="B709" s="95">
        <f>IF(A709="","", "CTR-"&amp;TEXT(ROW()-5,"000"))</f>
        <v/>
      </c>
      <c r="C709" s="95" t="n"/>
      <c r="D709" s="95" t="n"/>
      <c r="E709" s="95" t="n"/>
      <c r="F709" s="95" t="n"/>
      <c r="G709" s="95" t="n"/>
      <c r="H709" s="95" t="n"/>
      <c r="I709" s="95" t="n"/>
      <c r="J709" s="95" t="n"/>
      <c r="K709" s="95" t="n"/>
      <c r="L709" s="96" t="n"/>
    </row>
    <row r="710">
      <c r="A710" s="96" t="n"/>
      <c r="B710" s="95">
        <f>IF(A710="","", "CTR-"&amp;TEXT(ROW()-5,"000"))</f>
        <v/>
      </c>
      <c r="C710" s="95" t="n"/>
      <c r="D710" s="95" t="n"/>
      <c r="E710" s="95" t="n"/>
      <c r="F710" s="95" t="n"/>
      <c r="G710" s="95" t="n"/>
      <c r="H710" s="95" t="n"/>
      <c r="I710" s="95" t="n"/>
      <c r="J710" s="95" t="n"/>
      <c r="K710" s="95" t="n"/>
      <c r="L710" s="96" t="n"/>
    </row>
    <row r="711">
      <c r="A711" s="96" t="n"/>
      <c r="B711" s="95">
        <f>IF(A711="","", "CTR-"&amp;TEXT(ROW()-5,"000"))</f>
        <v/>
      </c>
      <c r="C711" s="95" t="n"/>
      <c r="D711" s="95" t="n"/>
      <c r="E711" s="95" t="n"/>
      <c r="F711" s="95" t="n"/>
      <c r="G711" s="95" t="n"/>
      <c r="H711" s="95" t="n"/>
      <c r="I711" s="95" t="n"/>
      <c r="J711" s="95" t="n"/>
      <c r="K711" s="95" t="n"/>
      <c r="L711" s="96" t="n"/>
    </row>
    <row r="712">
      <c r="A712" s="96" t="n"/>
      <c r="B712" s="95">
        <f>IF(A712="","", "CTR-"&amp;TEXT(ROW()-5,"000"))</f>
        <v/>
      </c>
      <c r="C712" s="95" t="n"/>
      <c r="D712" s="95" t="n"/>
      <c r="E712" s="95" t="n"/>
      <c r="F712" s="95" t="n"/>
      <c r="G712" s="95" t="n"/>
      <c r="H712" s="95" t="n"/>
      <c r="I712" s="95" t="n"/>
      <c r="J712" s="95" t="n"/>
      <c r="K712" s="95" t="n"/>
      <c r="L712" s="96" t="n"/>
    </row>
    <row r="713">
      <c r="A713" s="96" t="n"/>
      <c r="B713" s="95">
        <f>IF(A713="","", "CTR-"&amp;TEXT(ROW()-5,"000"))</f>
        <v/>
      </c>
      <c r="C713" s="95" t="n"/>
      <c r="D713" s="95" t="n"/>
      <c r="E713" s="95" t="n"/>
      <c r="F713" s="95" t="n"/>
      <c r="G713" s="95" t="n"/>
      <c r="H713" s="95" t="n"/>
      <c r="I713" s="95" t="n"/>
      <c r="J713" s="95" t="n"/>
      <c r="K713" s="95" t="n"/>
      <c r="L713" s="96" t="n"/>
    </row>
    <row r="714">
      <c r="A714" s="96" t="n"/>
      <c r="B714" s="95">
        <f>IF(A714="","", "CTR-"&amp;TEXT(ROW()-5,"000"))</f>
        <v/>
      </c>
      <c r="C714" s="95" t="n"/>
      <c r="D714" s="95" t="n"/>
      <c r="E714" s="95" t="n"/>
      <c r="F714" s="95" t="n"/>
      <c r="G714" s="95" t="n"/>
      <c r="H714" s="95" t="n"/>
      <c r="I714" s="95" t="n"/>
      <c r="J714" s="95" t="n"/>
      <c r="K714" s="95" t="n"/>
      <c r="L714" s="96" t="n"/>
    </row>
    <row r="715">
      <c r="A715" s="96" t="n"/>
      <c r="B715" s="95">
        <f>IF(A715="","", "CTR-"&amp;TEXT(ROW()-5,"000"))</f>
        <v/>
      </c>
      <c r="C715" s="95" t="n"/>
      <c r="D715" s="95" t="n"/>
      <c r="E715" s="95" t="n"/>
      <c r="F715" s="95" t="n"/>
      <c r="G715" s="95" t="n"/>
      <c r="H715" s="95" t="n"/>
      <c r="I715" s="95" t="n"/>
      <c r="J715" s="95" t="n"/>
      <c r="K715" s="95" t="n"/>
      <c r="L715" s="96" t="n"/>
    </row>
    <row r="716">
      <c r="A716" s="96" t="n"/>
      <c r="B716" s="95">
        <f>IF(A716="","", "CTR-"&amp;TEXT(ROW()-5,"000"))</f>
        <v/>
      </c>
      <c r="C716" s="95" t="n"/>
      <c r="D716" s="95" t="n"/>
      <c r="E716" s="95" t="n"/>
      <c r="F716" s="95" t="n"/>
      <c r="G716" s="95" t="n"/>
      <c r="H716" s="95" t="n"/>
      <c r="I716" s="95" t="n"/>
      <c r="J716" s="95" t="n"/>
      <c r="K716" s="95" t="n"/>
      <c r="L716" s="96" t="n"/>
    </row>
    <row r="717">
      <c r="A717" s="96" t="n"/>
      <c r="B717" s="95">
        <f>IF(A717="","", "CTR-"&amp;TEXT(ROW()-5,"000"))</f>
        <v/>
      </c>
      <c r="C717" s="95" t="n"/>
      <c r="D717" s="95" t="n"/>
      <c r="E717" s="95" t="n"/>
      <c r="F717" s="95" t="n"/>
      <c r="G717" s="95" t="n"/>
      <c r="H717" s="95" t="n"/>
      <c r="I717" s="95" t="n"/>
      <c r="J717" s="95" t="n"/>
      <c r="K717" s="95" t="n"/>
      <c r="L717" s="96" t="n"/>
    </row>
    <row r="718">
      <c r="A718" s="96" t="n"/>
      <c r="B718" s="95">
        <f>IF(A718="","", "CTR-"&amp;TEXT(ROW()-5,"000"))</f>
        <v/>
      </c>
      <c r="C718" s="95" t="n"/>
      <c r="D718" s="95" t="n"/>
      <c r="E718" s="95" t="n"/>
      <c r="F718" s="95" t="n"/>
      <c r="G718" s="95" t="n"/>
      <c r="H718" s="95" t="n"/>
      <c r="I718" s="95" t="n"/>
      <c r="J718" s="95" t="n"/>
      <c r="K718" s="95" t="n"/>
      <c r="L718" s="96" t="n"/>
    </row>
    <row r="719">
      <c r="A719" s="96" t="n"/>
      <c r="B719" s="95">
        <f>IF(A719="","", "CTR-"&amp;TEXT(ROW()-5,"000"))</f>
        <v/>
      </c>
      <c r="C719" s="95" t="n"/>
      <c r="D719" s="95" t="n"/>
      <c r="E719" s="95" t="n"/>
      <c r="F719" s="95" t="n"/>
      <c r="G719" s="95" t="n"/>
      <c r="H719" s="95" t="n"/>
      <c r="I719" s="95" t="n"/>
      <c r="J719" s="95" t="n"/>
      <c r="K719" s="95" t="n"/>
      <c r="L719" s="96" t="n"/>
    </row>
    <row r="720">
      <c r="A720" s="96" t="n"/>
      <c r="B720" s="95">
        <f>IF(A720="","", "CTR-"&amp;TEXT(ROW()-5,"000"))</f>
        <v/>
      </c>
      <c r="C720" s="95" t="n"/>
      <c r="D720" s="95" t="n"/>
      <c r="E720" s="95" t="n"/>
      <c r="F720" s="95" t="n"/>
      <c r="G720" s="95" t="n"/>
      <c r="H720" s="95" t="n"/>
      <c r="I720" s="95" t="n"/>
      <c r="J720" s="95" t="n"/>
      <c r="K720" s="95" t="n"/>
      <c r="L720" s="96" t="n"/>
    </row>
    <row r="721">
      <c r="A721" s="96" t="n"/>
      <c r="B721" s="95">
        <f>IF(A721="","", "CTR-"&amp;TEXT(ROW()-5,"000"))</f>
        <v/>
      </c>
      <c r="C721" s="95" t="n"/>
      <c r="D721" s="95" t="n"/>
      <c r="E721" s="95" t="n"/>
      <c r="F721" s="95" t="n"/>
      <c r="G721" s="95" t="n"/>
      <c r="H721" s="95" t="n"/>
      <c r="I721" s="95" t="n"/>
      <c r="J721" s="95" t="n"/>
      <c r="K721" s="95" t="n"/>
      <c r="L721" s="96" t="n"/>
    </row>
    <row r="722">
      <c r="A722" s="96" t="n"/>
      <c r="B722" s="95">
        <f>IF(A722="","", "CTR-"&amp;TEXT(ROW()-5,"000"))</f>
        <v/>
      </c>
      <c r="C722" s="95" t="n"/>
      <c r="D722" s="95" t="n"/>
      <c r="E722" s="95" t="n"/>
      <c r="F722" s="95" t="n"/>
      <c r="G722" s="95" t="n"/>
      <c r="H722" s="95" t="n"/>
      <c r="I722" s="95" t="n"/>
      <c r="J722" s="95" t="n"/>
      <c r="K722" s="95" t="n"/>
      <c r="L722" s="96" t="n"/>
    </row>
    <row r="723">
      <c r="A723" s="96" t="n"/>
      <c r="B723" s="95">
        <f>IF(A723="","", "CTR-"&amp;TEXT(ROW()-5,"000"))</f>
        <v/>
      </c>
      <c r="C723" s="95" t="n"/>
      <c r="D723" s="95" t="n"/>
      <c r="E723" s="95" t="n"/>
      <c r="F723" s="95" t="n"/>
      <c r="G723" s="95" t="n"/>
      <c r="H723" s="95" t="n"/>
      <c r="I723" s="95" t="n"/>
      <c r="J723" s="95" t="n"/>
      <c r="K723" s="95" t="n"/>
      <c r="L723" s="96" t="n"/>
    </row>
    <row r="724">
      <c r="A724" s="96" t="n"/>
      <c r="B724" s="95">
        <f>IF(A724="","", "CTR-"&amp;TEXT(ROW()-5,"000"))</f>
        <v/>
      </c>
      <c r="C724" s="95" t="n"/>
      <c r="D724" s="95" t="n"/>
      <c r="E724" s="95" t="n"/>
      <c r="F724" s="95" t="n"/>
      <c r="G724" s="95" t="n"/>
      <c r="H724" s="95" t="n"/>
      <c r="I724" s="95" t="n"/>
      <c r="J724" s="95" t="n"/>
      <c r="K724" s="95" t="n"/>
      <c r="L724" s="96" t="n"/>
    </row>
    <row r="725">
      <c r="A725" s="96" t="n"/>
      <c r="B725" s="95">
        <f>IF(A725="","", "CTR-"&amp;TEXT(ROW()-5,"000"))</f>
        <v/>
      </c>
      <c r="C725" s="95" t="n"/>
      <c r="D725" s="95" t="n"/>
      <c r="E725" s="95" t="n"/>
      <c r="F725" s="95" t="n"/>
      <c r="G725" s="95" t="n"/>
      <c r="H725" s="95" t="n"/>
      <c r="I725" s="95" t="n"/>
      <c r="J725" s="95" t="n"/>
      <c r="K725" s="95" t="n"/>
      <c r="L725" s="96" t="n"/>
    </row>
    <row r="726">
      <c r="A726" s="96" t="n"/>
      <c r="B726" s="95">
        <f>IF(A726="","", "CTR-"&amp;TEXT(ROW()-5,"000"))</f>
        <v/>
      </c>
      <c r="C726" s="95" t="n"/>
      <c r="D726" s="95" t="n"/>
      <c r="E726" s="95" t="n"/>
      <c r="F726" s="95" t="n"/>
      <c r="G726" s="95" t="n"/>
      <c r="H726" s="95" t="n"/>
      <c r="I726" s="95" t="n"/>
      <c r="J726" s="95" t="n"/>
      <c r="K726" s="95" t="n"/>
      <c r="L726" s="96" t="n"/>
    </row>
    <row r="727">
      <c r="A727" s="96" t="n"/>
      <c r="B727" s="95">
        <f>IF(A727="","", "CTR-"&amp;TEXT(ROW()-5,"000"))</f>
        <v/>
      </c>
      <c r="C727" s="95" t="n"/>
      <c r="D727" s="95" t="n"/>
      <c r="E727" s="95" t="n"/>
      <c r="F727" s="95" t="n"/>
      <c r="G727" s="95" t="n"/>
      <c r="H727" s="95" t="n"/>
      <c r="I727" s="95" t="n"/>
      <c r="J727" s="95" t="n"/>
      <c r="K727" s="95" t="n"/>
      <c r="L727" s="96" t="n"/>
    </row>
    <row r="728">
      <c r="A728" s="96" t="n"/>
      <c r="B728" s="95">
        <f>IF(A728="","", "CTR-"&amp;TEXT(ROW()-5,"000"))</f>
        <v/>
      </c>
      <c r="C728" s="95" t="n"/>
      <c r="D728" s="95" t="n"/>
      <c r="E728" s="95" t="n"/>
      <c r="F728" s="95" t="n"/>
      <c r="G728" s="95" t="n"/>
      <c r="H728" s="95" t="n"/>
      <c r="I728" s="95" t="n"/>
      <c r="J728" s="95" t="n"/>
      <c r="K728" s="95" t="n"/>
      <c r="L728" s="96" t="n"/>
    </row>
    <row r="729">
      <c r="A729" s="96" t="n"/>
      <c r="B729" s="95">
        <f>IF(A729="","", "CTR-"&amp;TEXT(ROW()-5,"000"))</f>
        <v/>
      </c>
      <c r="C729" s="95" t="n"/>
      <c r="D729" s="95" t="n"/>
      <c r="E729" s="95" t="n"/>
      <c r="F729" s="95" t="n"/>
      <c r="G729" s="95" t="n"/>
      <c r="H729" s="95" t="n"/>
      <c r="I729" s="95" t="n"/>
      <c r="J729" s="95" t="n"/>
      <c r="K729" s="95" t="n"/>
      <c r="L729" s="96" t="n"/>
    </row>
    <row r="730">
      <c r="A730" s="96" t="n"/>
      <c r="B730" s="95">
        <f>IF(A730="","", "CTR-"&amp;TEXT(ROW()-5,"000"))</f>
        <v/>
      </c>
      <c r="C730" s="95" t="n"/>
      <c r="D730" s="95" t="n"/>
      <c r="E730" s="95" t="n"/>
      <c r="F730" s="95" t="n"/>
      <c r="G730" s="95" t="n"/>
      <c r="H730" s="95" t="n"/>
      <c r="I730" s="95" t="n"/>
      <c r="J730" s="95" t="n"/>
      <c r="K730" s="95" t="n"/>
      <c r="L730" s="96" t="n"/>
    </row>
    <row r="731">
      <c r="A731" s="96" t="n"/>
      <c r="B731" s="95">
        <f>IF(A731="","", "CTR-"&amp;TEXT(ROW()-5,"000"))</f>
        <v/>
      </c>
      <c r="C731" s="95" t="n"/>
      <c r="D731" s="95" t="n"/>
      <c r="E731" s="95" t="n"/>
      <c r="F731" s="95" t="n"/>
      <c r="G731" s="95" t="n"/>
      <c r="H731" s="95" t="n"/>
      <c r="I731" s="95" t="n"/>
      <c r="J731" s="95" t="n"/>
      <c r="K731" s="95" t="n"/>
      <c r="L731" s="96" t="n"/>
    </row>
    <row r="732">
      <c r="A732" s="96" t="n"/>
      <c r="B732" s="95">
        <f>IF(A732="","", "CTR-"&amp;TEXT(ROW()-5,"000"))</f>
        <v/>
      </c>
      <c r="C732" s="95" t="n"/>
      <c r="D732" s="95" t="n"/>
      <c r="E732" s="95" t="n"/>
      <c r="F732" s="95" t="n"/>
      <c r="G732" s="95" t="n"/>
      <c r="H732" s="95" t="n"/>
      <c r="I732" s="95" t="n"/>
      <c r="J732" s="95" t="n"/>
      <c r="K732" s="95" t="n"/>
      <c r="L732" s="96" t="n"/>
    </row>
    <row r="733">
      <c r="A733" s="96" t="n"/>
      <c r="B733" s="95">
        <f>IF(A733="","", "CTR-"&amp;TEXT(ROW()-5,"000"))</f>
        <v/>
      </c>
      <c r="C733" s="95" t="n"/>
      <c r="D733" s="95" t="n"/>
      <c r="E733" s="95" t="n"/>
      <c r="F733" s="95" t="n"/>
      <c r="G733" s="95" t="n"/>
      <c r="H733" s="95" t="n"/>
      <c r="I733" s="95" t="n"/>
      <c r="J733" s="95" t="n"/>
      <c r="K733" s="95" t="n"/>
      <c r="L733" s="96" t="n"/>
    </row>
    <row r="734">
      <c r="A734" s="96" t="n"/>
      <c r="B734" s="95">
        <f>IF(A734="","", "CTR-"&amp;TEXT(ROW()-5,"000"))</f>
        <v/>
      </c>
      <c r="C734" s="95" t="n"/>
      <c r="D734" s="95" t="n"/>
      <c r="E734" s="95" t="n"/>
      <c r="F734" s="95" t="n"/>
      <c r="G734" s="95" t="n"/>
      <c r="H734" s="95" t="n"/>
      <c r="I734" s="95" t="n"/>
      <c r="J734" s="95" t="n"/>
      <c r="K734" s="95" t="n"/>
      <c r="L734" s="96" t="n"/>
    </row>
    <row r="735">
      <c r="A735" s="96" t="n"/>
      <c r="B735" s="95">
        <f>IF(A735="","", "CTR-"&amp;TEXT(ROW()-5,"000"))</f>
        <v/>
      </c>
      <c r="C735" s="95" t="n"/>
      <c r="D735" s="95" t="n"/>
      <c r="E735" s="95" t="n"/>
      <c r="F735" s="95" t="n"/>
      <c r="G735" s="95" t="n"/>
      <c r="H735" s="95" t="n"/>
      <c r="I735" s="95" t="n"/>
      <c r="J735" s="95" t="n"/>
      <c r="K735" s="95" t="n"/>
      <c r="L735" s="96" t="n"/>
    </row>
    <row r="736">
      <c r="A736" s="96" t="n"/>
      <c r="B736" s="95">
        <f>IF(A736="","", "CTR-"&amp;TEXT(ROW()-5,"000"))</f>
        <v/>
      </c>
      <c r="C736" s="95" t="n"/>
      <c r="D736" s="95" t="n"/>
      <c r="E736" s="95" t="n"/>
      <c r="F736" s="95" t="n"/>
      <c r="G736" s="95" t="n"/>
      <c r="H736" s="95" t="n"/>
      <c r="I736" s="95" t="n"/>
      <c r="J736" s="95" t="n"/>
      <c r="K736" s="95" t="n"/>
      <c r="L736" s="96" t="n"/>
    </row>
    <row r="737">
      <c r="A737" s="96" t="n"/>
      <c r="B737" s="95">
        <f>IF(A737="","", "CTR-"&amp;TEXT(ROW()-5,"000"))</f>
        <v/>
      </c>
      <c r="C737" s="95" t="n"/>
      <c r="D737" s="95" t="n"/>
      <c r="E737" s="95" t="n"/>
      <c r="F737" s="95" t="n"/>
      <c r="G737" s="95" t="n"/>
      <c r="H737" s="95" t="n"/>
      <c r="I737" s="95" t="n"/>
      <c r="J737" s="95" t="n"/>
      <c r="K737" s="95" t="n"/>
      <c r="L737" s="96" t="n"/>
    </row>
    <row r="738">
      <c r="A738" s="96" t="n"/>
      <c r="B738" s="95">
        <f>IF(A738="","", "CTR-"&amp;TEXT(ROW()-5,"000"))</f>
        <v/>
      </c>
      <c r="C738" s="95" t="n"/>
      <c r="D738" s="95" t="n"/>
      <c r="E738" s="95" t="n"/>
      <c r="F738" s="95" t="n"/>
      <c r="G738" s="95" t="n"/>
      <c r="H738" s="95" t="n"/>
      <c r="I738" s="95" t="n"/>
      <c r="J738" s="95" t="n"/>
      <c r="K738" s="95" t="n"/>
      <c r="L738" s="96" t="n"/>
    </row>
    <row r="739">
      <c r="A739" s="96" t="n"/>
      <c r="B739" s="95">
        <f>IF(A739="","", "CTR-"&amp;TEXT(ROW()-5,"000"))</f>
        <v/>
      </c>
      <c r="C739" s="95" t="n"/>
      <c r="D739" s="95" t="n"/>
      <c r="E739" s="95" t="n"/>
      <c r="F739" s="95" t="n"/>
      <c r="G739" s="95" t="n"/>
      <c r="H739" s="95" t="n"/>
      <c r="I739" s="95" t="n"/>
      <c r="J739" s="95" t="n"/>
      <c r="K739" s="95" t="n"/>
      <c r="L739" s="96" t="n"/>
    </row>
    <row r="740">
      <c r="A740" s="96" t="n"/>
      <c r="B740" s="95">
        <f>IF(A740="","", "CTR-"&amp;TEXT(ROW()-5,"000"))</f>
        <v/>
      </c>
      <c r="C740" s="95" t="n"/>
      <c r="D740" s="95" t="n"/>
      <c r="E740" s="95" t="n"/>
      <c r="F740" s="95" t="n"/>
      <c r="G740" s="95" t="n"/>
      <c r="H740" s="95" t="n"/>
      <c r="I740" s="95" t="n"/>
      <c r="J740" s="95" t="n"/>
      <c r="K740" s="95" t="n"/>
      <c r="L740" s="96" t="n"/>
    </row>
    <row r="741">
      <c r="A741" s="96" t="n"/>
      <c r="B741" s="95">
        <f>IF(A741="","", "CTR-"&amp;TEXT(ROW()-5,"000"))</f>
        <v/>
      </c>
      <c r="C741" s="95" t="n"/>
      <c r="D741" s="95" t="n"/>
      <c r="E741" s="95" t="n"/>
      <c r="F741" s="95" t="n"/>
      <c r="G741" s="95" t="n"/>
      <c r="H741" s="95" t="n"/>
      <c r="I741" s="95" t="n"/>
      <c r="J741" s="95" t="n"/>
      <c r="K741" s="95" t="n"/>
      <c r="L741" s="96" t="n"/>
    </row>
    <row r="742">
      <c r="A742" s="96" t="n"/>
      <c r="B742" s="95">
        <f>IF(A742="","", "CTR-"&amp;TEXT(ROW()-5,"000"))</f>
        <v/>
      </c>
      <c r="C742" s="95" t="n"/>
      <c r="D742" s="95" t="n"/>
      <c r="E742" s="95" t="n"/>
      <c r="F742" s="95" t="n"/>
      <c r="G742" s="95" t="n"/>
      <c r="H742" s="95" t="n"/>
      <c r="I742" s="95" t="n"/>
      <c r="J742" s="95" t="n"/>
      <c r="K742" s="95" t="n"/>
      <c r="L742" s="96" t="n"/>
    </row>
    <row r="743">
      <c r="A743" s="96" t="n"/>
      <c r="B743" s="95">
        <f>IF(A743="","", "CTR-"&amp;TEXT(ROW()-5,"000"))</f>
        <v/>
      </c>
      <c r="C743" s="95" t="n"/>
      <c r="D743" s="95" t="n"/>
      <c r="E743" s="95" t="n"/>
      <c r="F743" s="95" t="n"/>
      <c r="G743" s="95" t="n"/>
      <c r="H743" s="95" t="n"/>
      <c r="I743" s="95" t="n"/>
      <c r="J743" s="95" t="n"/>
      <c r="K743" s="95" t="n"/>
      <c r="L743" s="96" t="n"/>
    </row>
    <row r="744">
      <c r="A744" s="96" t="n"/>
      <c r="B744" s="95">
        <f>IF(A744="","", "CTR-"&amp;TEXT(ROW()-5,"000"))</f>
        <v/>
      </c>
      <c r="C744" s="95" t="n"/>
      <c r="D744" s="95" t="n"/>
      <c r="E744" s="95" t="n"/>
      <c r="F744" s="95" t="n"/>
      <c r="G744" s="95" t="n"/>
      <c r="H744" s="95" t="n"/>
      <c r="I744" s="95" t="n"/>
      <c r="J744" s="95" t="n"/>
      <c r="K744" s="95" t="n"/>
      <c r="L744" s="96" t="n"/>
    </row>
    <row r="745">
      <c r="A745" s="96" t="n"/>
      <c r="B745" s="95">
        <f>IF(A745="","", "CTR-"&amp;TEXT(ROW()-5,"000"))</f>
        <v/>
      </c>
      <c r="C745" s="95" t="n"/>
      <c r="D745" s="95" t="n"/>
      <c r="E745" s="95" t="n"/>
      <c r="F745" s="95" t="n"/>
      <c r="G745" s="95" t="n"/>
      <c r="H745" s="95" t="n"/>
      <c r="I745" s="95" t="n"/>
      <c r="J745" s="95" t="n"/>
      <c r="K745" s="95" t="n"/>
      <c r="L745" s="96" t="n"/>
    </row>
    <row r="746">
      <c r="A746" s="96" t="n"/>
      <c r="B746" s="95">
        <f>IF(A746="","", "CTR-"&amp;TEXT(ROW()-5,"000"))</f>
        <v/>
      </c>
      <c r="C746" s="95" t="n"/>
      <c r="D746" s="95" t="n"/>
      <c r="E746" s="95" t="n"/>
      <c r="F746" s="95" t="n"/>
      <c r="G746" s="95" t="n"/>
      <c r="H746" s="95" t="n"/>
      <c r="I746" s="95" t="n"/>
      <c r="J746" s="95" t="n"/>
      <c r="K746" s="95" t="n"/>
      <c r="L746" s="96" t="n"/>
    </row>
    <row r="747">
      <c r="A747" s="96" t="n"/>
      <c r="B747" s="95">
        <f>IF(A747="","", "CTR-"&amp;TEXT(ROW()-5,"000"))</f>
        <v/>
      </c>
      <c r="C747" s="95" t="n"/>
      <c r="D747" s="95" t="n"/>
      <c r="E747" s="95" t="n"/>
      <c r="F747" s="95" t="n"/>
      <c r="G747" s="95" t="n"/>
      <c r="H747" s="95" t="n"/>
      <c r="I747" s="95" t="n"/>
      <c r="J747" s="95" t="n"/>
      <c r="K747" s="95" t="n"/>
      <c r="L747" s="96" t="n"/>
    </row>
    <row r="748">
      <c r="A748" s="96" t="n"/>
      <c r="B748" s="95">
        <f>IF(A748="","", "CTR-"&amp;TEXT(ROW()-5,"000"))</f>
        <v/>
      </c>
      <c r="C748" s="95" t="n"/>
      <c r="D748" s="95" t="n"/>
      <c r="E748" s="95" t="n"/>
      <c r="F748" s="95" t="n"/>
      <c r="G748" s="95" t="n"/>
      <c r="H748" s="95" t="n"/>
      <c r="I748" s="95" t="n"/>
      <c r="J748" s="95" t="n"/>
      <c r="K748" s="95" t="n"/>
      <c r="L748" s="96" t="n"/>
    </row>
    <row r="749">
      <c r="A749" s="96" t="n"/>
      <c r="B749" s="95">
        <f>IF(A749="","", "CTR-"&amp;TEXT(ROW()-5,"000"))</f>
        <v/>
      </c>
      <c r="C749" s="95" t="n"/>
      <c r="D749" s="95" t="n"/>
      <c r="E749" s="95" t="n"/>
      <c r="F749" s="95" t="n"/>
      <c r="G749" s="95" t="n"/>
      <c r="H749" s="95" t="n"/>
      <c r="I749" s="95" t="n"/>
      <c r="J749" s="95" t="n"/>
      <c r="K749" s="95" t="n"/>
      <c r="L749" s="96" t="n"/>
    </row>
    <row r="750">
      <c r="A750" s="96" t="n"/>
      <c r="B750" s="95">
        <f>IF(A750="","", "CTR-"&amp;TEXT(ROW()-5,"000"))</f>
        <v/>
      </c>
      <c r="C750" s="95" t="n"/>
      <c r="D750" s="95" t="n"/>
      <c r="E750" s="95" t="n"/>
      <c r="F750" s="95" t="n"/>
      <c r="G750" s="95" t="n"/>
      <c r="H750" s="95" t="n"/>
      <c r="I750" s="95" t="n"/>
      <c r="J750" s="95" t="n"/>
      <c r="K750" s="95" t="n"/>
      <c r="L750" s="96" t="n"/>
    </row>
    <row r="751">
      <c r="A751" s="96" t="n"/>
      <c r="B751" s="95">
        <f>IF(A751="","", "CTR-"&amp;TEXT(ROW()-5,"000"))</f>
        <v/>
      </c>
      <c r="C751" s="95" t="n"/>
      <c r="D751" s="95" t="n"/>
      <c r="E751" s="95" t="n"/>
      <c r="F751" s="95" t="n"/>
      <c r="G751" s="95" t="n"/>
      <c r="H751" s="95" t="n"/>
      <c r="I751" s="95" t="n"/>
      <c r="J751" s="95" t="n"/>
      <c r="K751" s="95" t="n"/>
      <c r="L751" s="96" t="n"/>
    </row>
    <row r="752">
      <c r="A752" s="96" t="n"/>
      <c r="B752" s="95">
        <f>IF(A752="","", "CTR-"&amp;TEXT(ROW()-5,"000"))</f>
        <v/>
      </c>
      <c r="C752" s="95" t="n"/>
      <c r="D752" s="95" t="n"/>
      <c r="E752" s="95" t="n"/>
      <c r="F752" s="95" t="n"/>
      <c r="G752" s="95" t="n"/>
      <c r="H752" s="95" t="n"/>
      <c r="I752" s="95" t="n"/>
      <c r="J752" s="95" t="n"/>
      <c r="K752" s="95" t="n"/>
      <c r="L752" s="96" t="n"/>
    </row>
    <row r="753">
      <c r="A753" s="96" t="n"/>
      <c r="B753" s="95">
        <f>IF(A753="","", "CTR-"&amp;TEXT(ROW()-5,"000"))</f>
        <v/>
      </c>
      <c r="C753" s="95" t="n"/>
      <c r="D753" s="95" t="n"/>
      <c r="E753" s="95" t="n"/>
      <c r="F753" s="95" t="n"/>
      <c r="G753" s="95" t="n"/>
      <c r="H753" s="95" t="n"/>
      <c r="I753" s="95" t="n"/>
      <c r="J753" s="95" t="n"/>
      <c r="K753" s="95" t="n"/>
      <c r="L753" s="96" t="n"/>
    </row>
    <row r="754">
      <c r="A754" s="96" t="n"/>
      <c r="B754" s="95">
        <f>IF(A754="","", "CTR-"&amp;TEXT(ROW()-5,"000"))</f>
        <v/>
      </c>
      <c r="C754" s="95" t="n"/>
      <c r="D754" s="95" t="n"/>
      <c r="E754" s="95" t="n"/>
      <c r="F754" s="95" t="n"/>
      <c r="G754" s="95" t="n"/>
      <c r="H754" s="95" t="n"/>
      <c r="I754" s="95" t="n"/>
      <c r="J754" s="95" t="n"/>
      <c r="K754" s="95" t="n"/>
      <c r="L754" s="96" t="n"/>
    </row>
    <row r="755">
      <c r="A755" s="96" t="n"/>
      <c r="B755" s="95">
        <f>IF(A755="","", "CTR-"&amp;TEXT(ROW()-5,"000"))</f>
        <v/>
      </c>
      <c r="C755" s="95" t="n"/>
      <c r="D755" s="95" t="n"/>
      <c r="E755" s="95" t="n"/>
      <c r="F755" s="95" t="n"/>
      <c r="G755" s="95" t="n"/>
      <c r="H755" s="95" t="n"/>
      <c r="I755" s="95" t="n"/>
      <c r="J755" s="95" t="n"/>
      <c r="K755" s="95" t="n"/>
      <c r="L755" s="96" t="n"/>
    </row>
    <row r="756">
      <c r="A756" s="96" t="n"/>
      <c r="B756" s="95">
        <f>IF(A756="","", "CTR-"&amp;TEXT(ROW()-5,"000"))</f>
        <v/>
      </c>
      <c r="C756" s="95" t="n"/>
      <c r="D756" s="95" t="n"/>
      <c r="E756" s="95" t="n"/>
      <c r="F756" s="95" t="n"/>
      <c r="G756" s="95" t="n"/>
      <c r="H756" s="95" t="n"/>
      <c r="I756" s="95" t="n"/>
      <c r="J756" s="95" t="n"/>
      <c r="K756" s="95" t="n"/>
      <c r="L756" s="96" t="n"/>
    </row>
    <row r="757">
      <c r="A757" s="96" t="n"/>
      <c r="B757" s="95">
        <f>IF(A757="","", "CTR-"&amp;TEXT(ROW()-5,"000"))</f>
        <v/>
      </c>
      <c r="C757" s="95" t="n"/>
      <c r="D757" s="95" t="n"/>
      <c r="E757" s="95" t="n"/>
      <c r="F757" s="95" t="n"/>
      <c r="G757" s="95" t="n"/>
      <c r="H757" s="95" t="n"/>
      <c r="I757" s="95" t="n"/>
      <c r="J757" s="95" t="n"/>
      <c r="K757" s="95" t="n"/>
      <c r="L757" s="96" t="n"/>
    </row>
    <row r="758">
      <c r="A758" s="96" t="n"/>
      <c r="B758" s="95">
        <f>IF(A758="","", "CTR-"&amp;TEXT(ROW()-5,"000"))</f>
        <v/>
      </c>
      <c r="C758" s="95" t="n"/>
      <c r="D758" s="95" t="n"/>
      <c r="E758" s="95" t="n"/>
      <c r="F758" s="95" t="n"/>
      <c r="G758" s="95" t="n"/>
      <c r="H758" s="95" t="n"/>
      <c r="I758" s="95" t="n"/>
      <c r="J758" s="95" t="n"/>
      <c r="K758" s="95" t="n"/>
      <c r="L758" s="96" t="n"/>
    </row>
    <row r="759">
      <c r="A759" s="96" t="n"/>
      <c r="B759" s="95">
        <f>IF(A759="","", "CTR-"&amp;TEXT(ROW()-5,"000"))</f>
        <v/>
      </c>
      <c r="C759" s="95" t="n"/>
      <c r="D759" s="95" t="n"/>
      <c r="E759" s="95" t="n"/>
      <c r="F759" s="95" t="n"/>
      <c r="G759" s="95" t="n"/>
      <c r="H759" s="95" t="n"/>
      <c r="I759" s="95" t="n"/>
      <c r="J759" s="95" t="n"/>
      <c r="K759" s="95" t="n"/>
      <c r="L759" s="96" t="n"/>
    </row>
    <row r="760">
      <c r="A760" s="96" t="n"/>
      <c r="B760" s="95">
        <f>IF(A760="","", "CTR-"&amp;TEXT(ROW()-5,"000"))</f>
        <v/>
      </c>
      <c r="C760" s="95" t="n"/>
      <c r="D760" s="95" t="n"/>
      <c r="E760" s="95" t="n"/>
      <c r="F760" s="95" t="n"/>
      <c r="G760" s="95" t="n"/>
      <c r="H760" s="95" t="n"/>
      <c r="I760" s="95" t="n"/>
      <c r="J760" s="95" t="n"/>
      <c r="K760" s="95" t="n"/>
      <c r="L760" s="96" t="n"/>
    </row>
    <row r="761">
      <c r="A761" s="96" t="n"/>
      <c r="B761" s="95">
        <f>IF(A761="","", "CTR-"&amp;TEXT(ROW()-5,"000"))</f>
        <v/>
      </c>
      <c r="C761" s="95" t="n"/>
      <c r="D761" s="95" t="n"/>
      <c r="E761" s="95" t="n"/>
      <c r="F761" s="95" t="n"/>
      <c r="G761" s="95" t="n"/>
      <c r="H761" s="95" t="n"/>
      <c r="I761" s="95" t="n"/>
      <c r="J761" s="95" t="n"/>
      <c r="K761" s="95" t="n"/>
      <c r="L761" s="96" t="n"/>
    </row>
    <row r="762">
      <c r="A762" s="96" t="n"/>
      <c r="B762" s="95">
        <f>IF(A762="","", "CTR-"&amp;TEXT(ROW()-5,"000"))</f>
        <v/>
      </c>
      <c r="C762" s="95" t="n"/>
      <c r="D762" s="95" t="n"/>
      <c r="E762" s="95" t="n"/>
      <c r="F762" s="95" t="n"/>
      <c r="G762" s="95" t="n"/>
      <c r="H762" s="95" t="n"/>
      <c r="I762" s="95" t="n"/>
      <c r="J762" s="95" t="n"/>
      <c r="K762" s="95" t="n"/>
      <c r="L762" s="96" t="n"/>
    </row>
    <row r="763">
      <c r="A763" s="96" t="n"/>
      <c r="B763" s="95">
        <f>IF(A763="","", "CTR-"&amp;TEXT(ROW()-5,"000"))</f>
        <v/>
      </c>
      <c r="C763" s="95" t="n"/>
      <c r="D763" s="95" t="n"/>
      <c r="E763" s="95" t="n"/>
      <c r="F763" s="95" t="n"/>
      <c r="G763" s="95" t="n"/>
      <c r="H763" s="95" t="n"/>
      <c r="I763" s="95" t="n"/>
      <c r="J763" s="95" t="n"/>
      <c r="K763" s="95" t="n"/>
      <c r="L763" s="96" t="n"/>
    </row>
    <row r="764">
      <c r="A764" s="96" t="n"/>
      <c r="B764" s="95">
        <f>IF(A764="","", "CTR-"&amp;TEXT(ROW()-5,"000"))</f>
        <v/>
      </c>
      <c r="C764" s="95" t="n"/>
      <c r="D764" s="95" t="n"/>
      <c r="E764" s="95" t="n"/>
      <c r="F764" s="95" t="n"/>
      <c r="G764" s="95" t="n"/>
      <c r="H764" s="95" t="n"/>
      <c r="I764" s="95" t="n"/>
      <c r="J764" s="95" t="n"/>
      <c r="K764" s="95" t="n"/>
      <c r="L764" s="96" t="n"/>
    </row>
    <row r="765">
      <c r="A765" s="96" t="n"/>
      <c r="B765" s="95">
        <f>IF(A765="","", "CTR-"&amp;TEXT(ROW()-5,"000"))</f>
        <v/>
      </c>
      <c r="C765" s="95" t="n"/>
      <c r="D765" s="95" t="n"/>
      <c r="E765" s="95" t="n"/>
      <c r="F765" s="95" t="n"/>
      <c r="G765" s="95" t="n"/>
      <c r="H765" s="95" t="n"/>
      <c r="I765" s="95" t="n"/>
      <c r="J765" s="95" t="n"/>
      <c r="K765" s="95" t="n"/>
      <c r="L765" s="96" t="n"/>
    </row>
    <row r="766">
      <c r="A766" s="96" t="n"/>
      <c r="B766" s="95">
        <f>IF(A766="","", "CTR-"&amp;TEXT(ROW()-5,"000"))</f>
        <v/>
      </c>
      <c r="C766" s="95" t="n"/>
      <c r="D766" s="95" t="n"/>
      <c r="E766" s="95" t="n"/>
      <c r="F766" s="95" t="n"/>
      <c r="G766" s="95" t="n"/>
      <c r="H766" s="95" t="n"/>
      <c r="I766" s="95" t="n"/>
      <c r="J766" s="95" t="n"/>
      <c r="K766" s="95" t="n"/>
      <c r="L766" s="96" t="n"/>
    </row>
    <row r="767">
      <c r="A767" s="96" t="n"/>
      <c r="B767" s="95">
        <f>IF(A767="","", "CTR-"&amp;TEXT(ROW()-5,"000"))</f>
        <v/>
      </c>
      <c r="C767" s="95" t="n"/>
      <c r="D767" s="95" t="n"/>
      <c r="E767" s="95" t="n"/>
      <c r="F767" s="95" t="n"/>
      <c r="G767" s="95" t="n"/>
      <c r="H767" s="95" t="n"/>
      <c r="I767" s="95" t="n"/>
      <c r="J767" s="95" t="n"/>
      <c r="K767" s="95" t="n"/>
      <c r="L767" s="96" t="n"/>
    </row>
    <row r="768">
      <c r="A768" s="96" t="n"/>
      <c r="B768" s="95">
        <f>IF(A768="","", "CTR-"&amp;TEXT(ROW()-5,"000"))</f>
        <v/>
      </c>
      <c r="C768" s="95" t="n"/>
      <c r="D768" s="95" t="n"/>
      <c r="E768" s="95" t="n"/>
      <c r="F768" s="95" t="n"/>
      <c r="G768" s="95" t="n"/>
      <c r="H768" s="95" t="n"/>
      <c r="I768" s="95" t="n"/>
      <c r="J768" s="95" t="n"/>
      <c r="K768" s="95" t="n"/>
      <c r="L768" s="96" t="n"/>
    </row>
    <row r="769">
      <c r="A769" s="96" t="n"/>
      <c r="B769" s="95">
        <f>IF(A769="","", "CTR-"&amp;TEXT(ROW()-5,"000"))</f>
        <v/>
      </c>
      <c r="C769" s="95" t="n"/>
      <c r="D769" s="95" t="n"/>
      <c r="E769" s="95" t="n"/>
      <c r="F769" s="95" t="n"/>
      <c r="G769" s="95" t="n"/>
      <c r="H769" s="95" t="n"/>
      <c r="I769" s="95" t="n"/>
      <c r="J769" s="95" t="n"/>
      <c r="K769" s="95" t="n"/>
      <c r="L769" s="96" t="n"/>
    </row>
    <row r="770">
      <c r="A770" s="96" t="n"/>
      <c r="B770" s="95">
        <f>IF(A770="","", "CTR-"&amp;TEXT(ROW()-5,"000"))</f>
        <v/>
      </c>
      <c r="C770" s="95" t="n"/>
      <c r="D770" s="95" t="n"/>
      <c r="E770" s="95" t="n"/>
      <c r="F770" s="95" t="n"/>
      <c r="G770" s="95" t="n"/>
      <c r="H770" s="95" t="n"/>
      <c r="I770" s="95" t="n"/>
      <c r="J770" s="95" t="n"/>
      <c r="K770" s="95" t="n"/>
      <c r="L770" s="96" t="n"/>
    </row>
    <row r="771">
      <c r="A771" s="96" t="n"/>
      <c r="B771" s="95">
        <f>IF(A771="","", "CTR-"&amp;TEXT(ROW()-5,"000"))</f>
        <v/>
      </c>
      <c r="C771" s="95" t="n"/>
      <c r="D771" s="95" t="n"/>
      <c r="E771" s="95" t="n"/>
      <c r="F771" s="95" t="n"/>
      <c r="G771" s="95" t="n"/>
      <c r="H771" s="95" t="n"/>
      <c r="I771" s="95" t="n"/>
      <c r="J771" s="95" t="n"/>
      <c r="K771" s="95" t="n"/>
      <c r="L771" s="96" t="n"/>
    </row>
    <row r="772">
      <c r="A772" s="96" t="n"/>
      <c r="B772" s="95">
        <f>IF(A772="","", "CTR-"&amp;TEXT(ROW()-5,"000"))</f>
        <v/>
      </c>
      <c r="C772" s="95" t="n"/>
      <c r="D772" s="95" t="n"/>
      <c r="E772" s="95" t="n"/>
      <c r="F772" s="95" t="n"/>
      <c r="G772" s="95" t="n"/>
      <c r="H772" s="95" t="n"/>
      <c r="I772" s="95" t="n"/>
      <c r="J772" s="95" t="n"/>
      <c r="K772" s="95" t="n"/>
      <c r="L772" s="96" t="n"/>
    </row>
    <row r="773">
      <c r="A773" s="96" t="n"/>
      <c r="B773" s="95">
        <f>IF(A773="","", "CTR-"&amp;TEXT(ROW()-5,"000"))</f>
        <v/>
      </c>
      <c r="C773" s="95" t="n"/>
      <c r="D773" s="95" t="n"/>
      <c r="E773" s="95" t="n"/>
      <c r="F773" s="95" t="n"/>
      <c r="G773" s="95" t="n"/>
      <c r="H773" s="95" t="n"/>
      <c r="I773" s="95" t="n"/>
      <c r="J773" s="95" t="n"/>
      <c r="K773" s="95" t="n"/>
      <c r="L773" s="96" t="n"/>
    </row>
    <row r="774">
      <c r="A774" s="96" t="n"/>
      <c r="B774" s="95">
        <f>IF(A774="","", "CTR-"&amp;TEXT(ROW()-5,"000"))</f>
        <v/>
      </c>
      <c r="C774" s="95" t="n"/>
      <c r="D774" s="95" t="n"/>
      <c r="E774" s="95" t="n"/>
      <c r="F774" s="95" t="n"/>
      <c r="G774" s="95" t="n"/>
      <c r="H774" s="95" t="n"/>
      <c r="I774" s="95" t="n"/>
      <c r="J774" s="95" t="n"/>
      <c r="K774" s="95" t="n"/>
      <c r="L774" s="96" t="n"/>
    </row>
    <row r="775">
      <c r="A775" s="96" t="n"/>
      <c r="B775" s="95">
        <f>IF(A775="","", "CTR-"&amp;TEXT(ROW()-5,"000"))</f>
        <v/>
      </c>
      <c r="C775" s="95" t="n"/>
      <c r="D775" s="95" t="n"/>
      <c r="E775" s="95" t="n"/>
      <c r="F775" s="95" t="n"/>
      <c r="G775" s="95" t="n"/>
      <c r="H775" s="95" t="n"/>
      <c r="I775" s="95" t="n"/>
      <c r="J775" s="95" t="n"/>
      <c r="K775" s="95" t="n"/>
      <c r="L775" s="96" t="n"/>
    </row>
    <row r="776">
      <c r="A776" s="96" t="n"/>
      <c r="B776" s="95">
        <f>IF(A776="","", "CTR-"&amp;TEXT(ROW()-5,"000"))</f>
        <v/>
      </c>
      <c r="C776" s="95" t="n"/>
      <c r="D776" s="95" t="n"/>
      <c r="E776" s="95" t="n"/>
      <c r="F776" s="95" t="n"/>
      <c r="G776" s="95" t="n"/>
      <c r="H776" s="95" t="n"/>
      <c r="I776" s="95" t="n"/>
      <c r="J776" s="95" t="n"/>
      <c r="K776" s="95" t="n"/>
      <c r="L776" s="96" t="n"/>
    </row>
    <row r="777">
      <c r="A777" s="96" t="n"/>
      <c r="B777" s="95">
        <f>IF(A777="","", "CTR-"&amp;TEXT(ROW()-5,"000"))</f>
        <v/>
      </c>
      <c r="C777" s="95" t="n"/>
      <c r="D777" s="95" t="n"/>
      <c r="E777" s="95" t="n"/>
      <c r="F777" s="95" t="n"/>
      <c r="G777" s="95" t="n"/>
      <c r="H777" s="95" t="n"/>
      <c r="I777" s="95" t="n"/>
      <c r="J777" s="95" t="n"/>
      <c r="K777" s="95" t="n"/>
      <c r="L777" s="96" t="n"/>
    </row>
    <row r="778">
      <c r="A778" s="96" t="n"/>
      <c r="B778" s="95">
        <f>IF(A778="","", "CTR-"&amp;TEXT(ROW()-5,"000"))</f>
        <v/>
      </c>
      <c r="C778" s="95" t="n"/>
      <c r="D778" s="95" t="n"/>
      <c r="E778" s="95" t="n"/>
      <c r="F778" s="95" t="n"/>
      <c r="G778" s="95" t="n"/>
      <c r="H778" s="95" t="n"/>
      <c r="I778" s="95" t="n"/>
      <c r="J778" s="95" t="n"/>
      <c r="K778" s="95" t="n"/>
      <c r="L778" s="96" t="n"/>
    </row>
    <row r="779">
      <c r="A779" s="96" t="n"/>
      <c r="B779" s="95">
        <f>IF(A779="","", "CTR-"&amp;TEXT(ROW()-5,"000"))</f>
        <v/>
      </c>
      <c r="C779" s="95" t="n"/>
      <c r="D779" s="95" t="n"/>
      <c r="E779" s="95" t="n"/>
      <c r="F779" s="95" t="n"/>
      <c r="G779" s="95" t="n"/>
      <c r="H779" s="95" t="n"/>
      <c r="I779" s="95" t="n"/>
      <c r="J779" s="95" t="n"/>
      <c r="K779" s="95" t="n"/>
      <c r="L779" s="96" t="n"/>
    </row>
    <row r="780">
      <c r="A780" s="96" t="n"/>
      <c r="B780" s="95">
        <f>IF(A780="","", "CTR-"&amp;TEXT(ROW()-5,"000"))</f>
        <v/>
      </c>
      <c r="C780" s="95" t="n"/>
      <c r="D780" s="95" t="n"/>
      <c r="E780" s="95" t="n"/>
      <c r="F780" s="95" t="n"/>
      <c r="G780" s="95" t="n"/>
      <c r="H780" s="95" t="n"/>
      <c r="I780" s="95" t="n"/>
      <c r="J780" s="95" t="n"/>
      <c r="K780" s="95" t="n"/>
      <c r="L780" s="96" t="n"/>
    </row>
    <row r="781">
      <c r="A781" s="96" t="n"/>
      <c r="B781" s="95">
        <f>IF(A781="","", "CTR-"&amp;TEXT(ROW()-5,"000"))</f>
        <v/>
      </c>
      <c r="C781" s="95" t="n"/>
      <c r="D781" s="95" t="n"/>
      <c r="E781" s="95" t="n"/>
      <c r="F781" s="95" t="n"/>
      <c r="G781" s="95" t="n"/>
      <c r="H781" s="95" t="n"/>
      <c r="I781" s="95" t="n"/>
      <c r="J781" s="95" t="n"/>
      <c r="K781" s="95" t="n"/>
      <c r="L781" s="96" t="n"/>
    </row>
    <row r="782">
      <c r="A782" s="96" t="n"/>
      <c r="B782" s="95">
        <f>IF(A782="","", "CTR-"&amp;TEXT(ROW()-5,"000"))</f>
        <v/>
      </c>
      <c r="C782" s="95" t="n"/>
      <c r="D782" s="95" t="n"/>
      <c r="E782" s="95" t="n"/>
      <c r="F782" s="95" t="n"/>
      <c r="G782" s="95" t="n"/>
      <c r="H782" s="95" t="n"/>
      <c r="I782" s="95" t="n"/>
      <c r="J782" s="95" t="n"/>
      <c r="K782" s="95" t="n"/>
      <c r="L782" s="96" t="n"/>
    </row>
    <row r="783">
      <c r="A783" s="96" t="n"/>
      <c r="B783" s="95">
        <f>IF(A783="","", "CTR-"&amp;TEXT(ROW()-5,"000"))</f>
        <v/>
      </c>
      <c r="C783" s="95" t="n"/>
      <c r="D783" s="95" t="n"/>
      <c r="E783" s="95" t="n"/>
      <c r="F783" s="95" t="n"/>
      <c r="G783" s="95" t="n"/>
      <c r="H783" s="95" t="n"/>
      <c r="I783" s="95" t="n"/>
      <c r="J783" s="95" t="n"/>
      <c r="K783" s="95" t="n"/>
      <c r="L783" s="96" t="n"/>
    </row>
    <row r="784">
      <c r="A784" s="96" t="n"/>
      <c r="B784" s="95">
        <f>IF(A784="","", "CTR-"&amp;TEXT(ROW()-5,"000"))</f>
        <v/>
      </c>
      <c r="C784" s="95" t="n"/>
      <c r="D784" s="95" t="n"/>
      <c r="E784" s="95" t="n"/>
      <c r="F784" s="95" t="n"/>
      <c r="G784" s="95" t="n"/>
      <c r="H784" s="95" t="n"/>
      <c r="I784" s="95" t="n"/>
      <c r="J784" s="95" t="n"/>
      <c r="K784" s="95" t="n"/>
      <c r="L784" s="96" t="n"/>
    </row>
    <row r="785">
      <c r="A785" s="96" t="n"/>
      <c r="B785" s="95">
        <f>IF(A785="","", "CTR-"&amp;TEXT(ROW()-5,"000"))</f>
        <v/>
      </c>
      <c r="C785" s="95" t="n"/>
      <c r="D785" s="95" t="n"/>
      <c r="E785" s="95" t="n"/>
      <c r="F785" s="95" t="n"/>
      <c r="G785" s="95" t="n"/>
      <c r="H785" s="95" t="n"/>
      <c r="I785" s="95" t="n"/>
      <c r="J785" s="95" t="n"/>
      <c r="K785" s="95" t="n"/>
      <c r="L785" s="96" t="n"/>
    </row>
    <row r="786">
      <c r="A786" s="96" t="n"/>
      <c r="B786" s="95">
        <f>IF(A786="","", "CTR-"&amp;TEXT(ROW()-5,"000"))</f>
        <v/>
      </c>
      <c r="C786" s="95" t="n"/>
      <c r="D786" s="95" t="n"/>
      <c r="E786" s="95" t="n"/>
      <c r="F786" s="95" t="n"/>
      <c r="G786" s="95" t="n"/>
      <c r="H786" s="95" t="n"/>
      <c r="I786" s="95" t="n"/>
      <c r="J786" s="95" t="n"/>
      <c r="K786" s="95" t="n"/>
      <c r="L786" s="96" t="n"/>
    </row>
    <row r="787">
      <c r="A787" s="96" t="n"/>
      <c r="B787" s="95">
        <f>IF(A787="","", "CTR-"&amp;TEXT(ROW()-5,"000"))</f>
        <v/>
      </c>
      <c r="C787" s="95" t="n"/>
      <c r="D787" s="95" t="n"/>
      <c r="E787" s="95" t="n"/>
      <c r="F787" s="95" t="n"/>
      <c r="G787" s="95" t="n"/>
      <c r="H787" s="95" t="n"/>
      <c r="I787" s="95" t="n"/>
      <c r="J787" s="95" t="n"/>
      <c r="K787" s="95" t="n"/>
      <c r="L787" s="96" t="n"/>
    </row>
    <row r="788">
      <c r="A788" s="96" t="n"/>
      <c r="B788" s="95">
        <f>IF(A788="","", "CTR-"&amp;TEXT(ROW()-5,"000"))</f>
        <v/>
      </c>
      <c r="C788" s="95" t="n"/>
      <c r="D788" s="95" t="n"/>
      <c r="E788" s="95" t="n"/>
      <c r="F788" s="95" t="n"/>
      <c r="G788" s="95" t="n"/>
      <c r="H788" s="95" t="n"/>
      <c r="I788" s="95" t="n"/>
      <c r="J788" s="95" t="n"/>
      <c r="K788" s="95" t="n"/>
      <c r="L788" s="96" t="n"/>
    </row>
    <row r="789">
      <c r="A789" s="96" t="n"/>
      <c r="B789" s="95">
        <f>IF(A789="","", "CTR-"&amp;TEXT(ROW()-5,"000"))</f>
        <v/>
      </c>
      <c r="C789" s="95" t="n"/>
      <c r="D789" s="95" t="n"/>
      <c r="E789" s="95" t="n"/>
      <c r="F789" s="95" t="n"/>
      <c r="G789" s="95" t="n"/>
      <c r="H789" s="95" t="n"/>
      <c r="I789" s="95" t="n"/>
      <c r="J789" s="95" t="n"/>
      <c r="K789" s="95" t="n"/>
      <c r="L789" s="96" t="n"/>
    </row>
    <row r="790">
      <c r="A790" s="96" t="n"/>
      <c r="B790" s="95">
        <f>IF(A790="","", "CTR-"&amp;TEXT(ROW()-5,"000"))</f>
        <v/>
      </c>
      <c r="C790" s="95" t="n"/>
      <c r="D790" s="95" t="n"/>
      <c r="E790" s="95" t="n"/>
      <c r="F790" s="95" t="n"/>
      <c r="G790" s="95" t="n"/>
      <c r="H790" s="95" t="n"/>
      <c r="I790" s="95" t="n"/>
      <c r="J790" s="95" t="n"/>
      <c r="K790" s="95" t="n"/>
      <c r="L790" s="96" t="n"/>
    </row>
    <row r="791">
      <c r="A791" s="96" t="n"/>
      <c r="B791" s="95">
        <f>IF(A791="","", "CTR-"&amp;TEXT(ROW()-5,"000"))</f>
        <v/>
      </c>
      <c r="C791" s="95" t="n"/>
      <c r="D791" s="95" t="n"/>
      <c r="E791" s="95" t="n"/>
      <c r="F791" s="95" t="n"/>
      <c r="G791" s="95" t="n"/>
      <c r="H791" s="95" t="n"/>
      <c r="I791" s="95" t="n"/>
      <c r="J791" s="95" t="n"/>
      <c r="K791" s="95" t="n"/>
      <c r="L791" s="96" t="n"/>
    </row>
    <row r="792">
      <c r="A792" s="96" t="n"/>
      <c r="B792" s="95">
        <f>IF(A792="","", "CTR-"&amp;TEXT(ROW()-5,"000"))</f>
        <v/>
      </c>
      <c r="C792" s="95" t="n"/>
      <c r="D792" s="95" t="n"/>
      <c r="E792" s="95" t="n"/>
      <c r="F792" s="95" t="n"/>
      <c r="G792" s="95" t="n"/>
      <c r="H792" s="95" t="n"/>
      <c r="I792" s="95" t="n"/>
      <c r="J792" s="95" t="n"/>
      <c r="K792" s="95" t="n"/>
      <c r="L792" s="96" t="n"/>
    </row>
    <row r="793">
      <c r="A793" s="96" t="n"/>
      <c r="B793" s="95">
        <f>IF(A793="","", "CTR-"&amp;TEXT(ROW()-5,"000"))</f>
        <v/>
      </c>
      <c r="C793" s="95" t="n"/>
      <c r="D793" s="95" t="n"/>
      <c r="E793" s="95" t="n"/>
      <c r="F793" s="95" t="n"/>
      <c r="G793" s="95" t="n"/>
      <c r="H793" s="95" t="n"/>
      <c r="I793" s="95" t="n"/>
      <c r="J793" s="95" t="n"/>
      <c r="K793" s="95" t="n"/>
      <c r="L793" s="96" t="n"/>
    </row>
    <row r="794">
      <c r="A794" s="96" t="n"/>
      <c r="B794" s="95">
        <f>IF(A794="","", "CTR-"&amp;TEXT(ROW()-5,"000"))</f>
        <v/>
      </c>
      <c r="C794" s="95" t="n"/>
      <c r="D794" s="95" t="n"/>
      <c r="E794" s="95" t="n"/>
      <c r="F794" s="95" t="n"/>
      <c r="G794" s="95" t="n"/>
      <c r="H794" s="95" t="n"/>
      <c r="I794" s="95" t="n"/>
      <c r="J794" s="95" t="n"/>
      <c r="K794" s="95" t="n"/>
      <c r="L794" s="96" t="n"/>
    </row>
    <row r="795">
      <c r="A795" s="96" t="n"/>
      <c r="B795" s="95">
        <f>IF(A795="","", "CTR-"&amp;TEXT(ROW()-5,"000"))</f>
        <v/>
      </c>
      <c r="C795" s="95" t="n"/>
      <c r="D795" s="95" t="n"/>
      <c r="E795" s="95" t="n"/>
      <c r="F795" s="95" t="n"/>
      <c r="G795" s="95" t="n"/>
      <c r="H795" s="95" t="n"/>
      <c r="I795" s="95" t="n"/>
      <c r="J795" s="95" t="n"/>
      <c r="K795" s="95" t="n"/>
      <c r="L795" s="96" t="n"/>
    </row>
    <row r="796">
      <c r="A796" s="96" t="n"/>
      <c r="B796" s="95">
        <f>IF(A796="","", "CTR-"&amp;TEXT(ROW()-5,"000"))</f>
        <v/>
      </c>
      <c r="C796" s="95" t="n"/>
      <c r="D796" s="95" t="n"/>
      <c r="E796" s="95" t="n"/>
      <c r="F796" s="95" t="n"/>
      <c r="G796" s="95" t="n"/>
      <c r="H796" s="95" t="n"/>
      <c r="I796" s="95" t="n"/>
      <c r="J796" s="95" t="n"/>
      <c r="K796" s="95" t="n"/>
      <c r="L796" s="96" t="n"/>
    </row>
    <row r="797">
      <c r="A797" s="96" t="n"/>
      <c r="B797" s="95">
        <f>IF(A797="","", "CTR-"&amp;TEXT(ROW()-5,"000"))</f>
        <v/>
      </c>
      <c r="C797" s="95" t="n"/>
      <c r="D797" s="95" t="n"/>
      <c r="E797" s="95" t="n"/>
      <c r="F797" s="95" t="n"/>
      <c r="G797" s="95" t="n"/>
      <c r="H797" s="95" t="n"/>
      <c r="I797" s="95" t="n"/>
      <c r="J797" s="95" t="n"/>
      <c r="K797" s="95" t="n"/>
      <c r="L797" s="96" t="n"/>
    </row>
    <row r="798">
      <c r="A798" s="96" t="n"/>
      <c r="B798" s="95">
        <f>IF(A798="","", "CTR-"&amp;TEXT(ROW()-5,"000"))</f>
        <v/>
      </c>
      <c r="C798" s="95" t="n"/>
      <c r="D798" s="95" t="n"/>
      <c r="E798" s="95" t="n"/>
      <c r="F798" s="95" t="n"/>
      <c r="G798" s="95" t="n"/>
      <c r="H798" s="95" t="n"/>
      <c r="I798" s="95" t="n"/>
      <c r="J798" s="95" t="n"/>
      <c r="K798" s="95" t="n"/>
      <c r="L798" s="96" t="n"/>
    </row>
    <row r="799">
      <c r="A799" s="96" t="n"/>
      <c r="B799" s="95">
        <f>IF(A799="","", "CTR-"&amp;TEXT(ROW()-5,"000"))</f>
        <v/>
      </c>
      <c r="C799" s="95" t="n"/>
      <c r="D799" s="95" t="n"/>
      <c r="E799" s="95" t="n"/>
      <c r="F799" s="95" t="n"/>
      <c r="G799" s="95" t="n"/>
      <c r="H799" s="95" t="n"/>
      <c r="I799" s="95" t="n"/>
      <c r="J799" s="95" t="n"/>
      <c r="K799" s="95" t="n"/>
      <c r="L799" s="96" t="n"/>
    </row>
    <row r="800">
      <c r="A800" s="96" t="n"/>
      <c r="B800" s="95">
        <f>IF(A800="","", "CTR-"&amp;TEXT(ROW()-5,"000"))</f>
        <v/>
      </c>
      <c r="C800" s="95" t="n"/>
      <c r="D800" s="95" t="n"/>
      <c r="E800" s="95" t="n"/>
      <c r="F800" s="95" t="n"/>
      <c r="G800" s="95" t="n"/>
      <c r="H800" s="95" t="n"/>
      <c r="I800" s="95" t="n"/>
      <c r="J800" s="95" t="n"/>
      <c r="K800" s="95" t="n"/>
      <c r="L800" s="96" t="n"/>
    </row>
    <row r="801">
      <c r="A801" s="96" t="n"/>
      <c r="B801" s="95">
        <f>IF(A801="","", "CTR-"&amp;TEXT(ROW()-5,"000"))</f>
        <v/>
      </c>
      <c r="C801" s="95" t="n"/>
      <c r="D801" s="95" t="n"/>
      <c r="E801" s="95" t="n"/>
      <c r="F801" s="95" t="n"/>
      <c r="G801" s="95" t="n"/>
      <c r="H801" s="95" t="n"/>
      <c r="I801" s="95" t="n"/>
      <c r="J801" s="95" t="n"/>
      <c r="K801" s="95" t="n"/>
      <c r="L801" s="96" t="n"/>
    </row>
    <row r="802">
      <c r="A802" s="96" t="n"/>
      <c r="B802" s="95">
        <f>IF(A802="","", "CTR-"&amp;TEXT(ROW()-5,"000"))</f>
        <v/>
      </c>
      <c r="C802" s="95" t="n"/>
      <c r="D802" s="95" t="n"/>
      <c r="E802" s="95" t="n"/>
      <c r="F802" s="95" t="n"/>
      <c r="G802" s="95" t="n"/>
      <c r="H802" s="95" t="n"/>
      <c r="I802" s="95" t="n"/>
      <c r="J802" s="95" t="n"/>
      <c r="K802" s="95" t="n"/>
      <c r="L802" s="96" t="n"/>
    </row>
    <row r="803">
      <c r="A803" s="96" t="n"/>
      <c r="B803" s="95">
        <f>IF(A803="","", "CTR-"&amp;TEXT(ROW()-5,"000"))</f>
        <v/>
      </c>
      <c r="C803" s="95" t="n"/>
      <c r="D803" s="95" t="n"/>
      <c r="E803" s="95" t="n"/>
      <c r="F803" s="95" t="n"/>
      <c r="G803" s="95" t="n"/>
      <c r="H803" s="95" t="n"/>
      <c r="I803" s="95" t="n"/>
      <c r="J803" s="95" t="n"/>
      <c r="K803" s="95" t="n"/>
      <c r="L803" s="96" t="n"/>
    </row>
    <row r="804">
      <c r="A804" s="96" t="n"/>
      <c r="B804" s="95">
        <f>IF(A804="","", "CTR-"&amp;TEXT(ROW()-5,"000"))</f>
        <v/>
      </c>
      <c r="C804" s="95" t="n"/>
      <c r="D804" s="95" t="n"/>
      <c r="E804" s="95" t="n"/>
      <c r="F804" s="95" t="n"/>
      <c r="G804" s="95" t="n"/>
      <c r="H804" s="95" t="n"/>
      <c r="I804" s="95" t="n"/>
      <c r="J804" s="95" t="n"/>
      <c r="K804" s="95" t="n"/>
      <c r="L804" s="96" t="n"/>
    </row>
    <row r="805">
      <c r="A805" s="96" t="n"/>
      <c r="B805" s="95">
        <f>IF(A805="","", "CTR-"&amp;TEXT(ROW()-5,"000"))</f>
        <v/>
      </c>
      <c r="C805" s="95" t="n"/>
      <c r="D805" s="95" t="n"/>
      <c r="E805" s="95" t="n"/>
      <c r="F805" s="95" t="n"/>
      <c r="G805" s="95" t="n"/>
      <c r="H805" s="95" t="n"/>
      <c r="I805" s="95" t="n"/>
      <c r="J805" s="95" t="n"/>
      <c r="K805" s="95" t="n"/>
      <c r="L805" s="96" t="n"/>
    </row>
    <row r="806">
      <c r="A806" s="96" t="n"/>
      <c r="B806" s="95">
        <f>IF(A806="","", "CTR-"&amp;TEXT(ROW()-5,"000"))</f>
        <v/>
      </c>
      <c r="C806" s="95" t="n"/>
      <c r="D806" s="95" t="n"/>
      <c r="E806" s="95" t="n"/>
      <c r="F806" s="95" t="n"/>
      <c r="G806" s="95" t="n"/>
      <c r="H806" s="95" t="n"/>
      <c r="I806" s="95" t="n"/>
      <c r="J806" s="95" t="n"/>
      <c r="K806" s="95" t="n"/>
      <c r="L806" s="96" t="n"/>
    </row>
    <row r="807">
      <c r="A807" s="96" t="n"/>
      <c r="B807" s="95">
        <f>IF(A807="","", "CTR-"&amp;TEXT(ROW()-5,"000"))</f>
        <v/>
      </c>
      <c r="C807" s="95" t="n"/>
      <c r="D807" s="95" t="n"/>
      <c r="E807" s="95" t="n"/>
      <c r="F807" s="95" t="n"/>
      <c r="G807" s="95" t="n"/>
      <c r="H807" s="95" t="n"/>
      <c r="I807" s="95" t="n"/>
      <c r="J807" s="95" t="n"/>
      <c r="K807" s="95" t="n"/>
      <c r="L807" s="96" t="n"/>
    </row>
    <row r="808">
      <c r="A808" s="96" t="n"/>
      <c r="B808" s="95">
        <f>IF(A808="","", "CTR-"&amp;TEXT(ROW()-5,"000"))</f>
        <v/>
      </c>
      <c r="C808" s="95" t="n"/>
      <c r="D808" s="95" t="n"/>
      <c r="E808" s="95" t="n"/>
      <c r="F808" s="95" t="n"/>
      <c r="G808" s="95" t="n"/>
      <c r="H808" s="95" t="n"/>
      <c r="I808" s="95" t="n"/>
      <c r="J808" s="95" t="n"/>
      <c r="K808" s="95" t="n"/>
      <c r="L808" s="96" t="n"/>
    </row>
    <row r="809">
      <c r="A809" s="96" t="n"/>
      <c r="B809" s="95">
        <f>IF(A809="","", "CTR-"&amp;TEXT(ROW()-5,"000"))</f>
        <v/>
      </c>
      <c r="C809" s="95" t="n"/>
      <c r="D809" s="95" t="n"/>
      <c r="E809" s="95" t="n"/>
      <c r="F809" s="95" t="n"/>
      <c r="G809" s="95" t="n"/>
      <c r="H809" s="95" t="n"/>
      <c r="I809" s="95" t="n"/>
      <c r="J809" s="95" t="n"/>
      <c r="K809" s="95" t="n"/>
      <c r="L809" s="96" t="n"/>
    </row>
    <row r="810">
      <c r="A810" s="96" t="n"/>
      <c r="B810" s="95">
        <f>IF(A810="","", "CTR-"&amp;TEXT(ROW()-5,"000"))</f>
        <v/>
      </c>
      <c r="C810" s="95" t="n"/>
      <c r="D810" s="95" t="n"/>
      <c r="E810" s="95" t="n"/>
      <c r="F810" s="95" t="n"/>
      <c r="G810" s="95" t="n"/>
      <c r="H810" s="95" t="n"/>
      <c r="I810" s="95" t="n"/>
      <c r="J810" s="95" t="n"/>
      <c r="K810" s="95" t="n"/>
      <c r="L810" s="96" t="n"/>
    </row>
    <row r="811">
      <c r="A811" s="96" t="n"/>
      <c r="B811" s="95">
        <f>IF(A811="","", "CTR-"&amp;TEXT(ROW()-5,"000"))</f>
        <v/>
      </c>
      <c r="C811" s="95" t="n"/>
      <c r="D811" s="95" t="n"/>
      <c r="E811" s="95" t="n"/>
      <c r="F811" s="95" t="n"/>
      <c r="G811" s="95" t="n"/>
      <c r="H811" s="95" t="n"/>
      <c r="I811" s="95" t="n"/>
      <c r="J811" s="95" t="n"/>
      <c r="K811" s="95" t="n"/>
      <c r="L811" s="96" t="n"/>
    </row>
    <row r="812">
      <c r="A812" s="96" t="n"/>
      <c r="B812" s="95">
        <f>IF(A812="","", "CTR-"&amp;TEXT(ROW()-5,"000"))</f>
        <v/>
      </c>
      <c r="C812" s="95" t="n"/>
      <c r="D812" s="95" t="n"/>
      <c r="E812" s="95" t="n"/>
      <c r="F812" s="95" t="n"/>
      <c r="G812" s="95" t="n"/>
      <c r="H812" s="95" t="n"/>
      <c r="I812" s="95" t="n"/>
      <c r="J812" s="95" t="n"/>
      <c r="K812" s="95" t="n"/>
      <c r="L812" s="96" t="n"/>
    </row>
    <row r="813">
      <c r="A813" s="96" t="n"/>
      <c r="B813" s="95">
        <f>IF(A813="","", "CTR-"&amp;TEXT(ROW()-5,"000"))</f>
        <v/>
      </c>
      <c r="C813" s="95" t="n"/>
      <c r="D813" s="95" t="n"/>
      <c r="E813" s="95" t="n"/>
      <c r="F813" s="95" t="n"/>
      <c r="G813" s="95" t="n"/>
      <c r="H813" s="95" t="n"/>
      <c r="I813" s="95" t="n"/>
      <c r="J813" s="95" t="n"/>
      <c r="K813" s="95" t="n"/>
      <c r="L813" s="96" t="n"/>
    </row>
    <row r="814">
      <c r="A814" s="96" t="n"/>
      <c r="B814" s="95">
        <f>IF(A814="","", "CTR-"&amp;TEXT(ROW()-5,"000"))</f>
        <v/>
      </c>
      <c r="C814" s="95" t="n"/>
      <c r="D814" s="95" t="n"/>
      <c r="E814" s="95" t="n"/>
      <c r="F814" s="95" t="n"/>
      <c r="G814" s="95" t="n"/>
      <c r="H814" s="95" t="n"/>
      <c r="I814" s="95" t="n"/>
      <c r="J814" s="95" t="n"/>
      <c r="K814" s="95" t="n"/>
      <c r="L814" s="96" t="n"/>
    </row>
    <row r="815">
      <c r="A815" s="96" t="n"/>
      <c r="B815" s="95">
        <f>IF(A815="","", "CTR-"&amp;TEXT(ROW()-5,"000"))</f>
        <v/>
      </c>
      <c r="C815" s="95" t="n"/>
      <c r="D815" s="95" t="n"/>
      <c r="E815" s="95" t="n"/>
      <c r="F815" s="95" t="n"/>
      <c r="G815" s="95" t="n"/>
      <c r="H815" s="95" t="n"/>
      <c r="I815" s="95" t="n"/>
      <c r="J815" s="95" t="n"/>
      <c r="K815" s="95" t="n"/>
      <c r="L815" s="96" t="n"/>
    </row>
    <row r="816">
      <c r="A816" s="96" t="n"/>
      <c r="B816" s="95">
        <f>IF(A816="","", "CTR-"&amp;TEXT(ROW()-5,"000"))</f>
        <v/>
      </c>
      <c r="C816" s="95" t="n"/>
      <c r="D816" s="95" t="n"/>
      <c r="E816" s="95" t="n"/>
      <c r="F816" s="95" t="n"/>
      <c r="G816" s="95" t="n"/>
      <c r="H816" s="95" t="n"/>
      <c r="I816" s="95" t="n"/>
      <c r="J816" s="95" t="n"/>
      <c r="K816" s="95" t="n"/>
      <c r="L816" s="96" t="n"/>
    </row>
    <row r="817">
      <c r="A817" s="96" t="n"/>
      <c r="B817" s="95">
        <f>IF(A817="","", "CTR-"&amp;TEXT(ROW()-5,"000"))</f>
        <v/>
      </c>
      <c r="C817" s="95" t="n"/>
      <c r="D817" s="95" t="n"/>
      <c r="E817" s="95" t="n"/>
      <c r="F817" s="95" t="n"/>
      <c r="G817" s="95" t="n"/>
      <c r="H817" s="95" t="n"/>
      <c r="I817" s="95" t="n"/>
      <c r="J817" s="95" t="n"/>
      <c r="K817" s="95" t="n"/>
      <c r="L817" s="96" t="n"/>
    </row>
    <row r="818">
      <c r="A818" s="96" t="n"/>
      <c r="B818" s="95">
        <f>IF(A818="","", "CTR-"&amp;TEXT(ROW()-5,"000"))</f>
        <v/>
      </c>
      <c r="C818" s="95" t="n"/>
      <c r="D818" s="95" t="n"/>
      <c r="E818" s="95" t="n"/>
      <c r="F818" s="95" t="n"/>
      <c r="G818" s="95" t="n"/>
      <c r="H818" s="95" t="n"/>
      <c r="I818" s="95" t="n"/>
      <c r="J818" s="95" t="n"/>
      <c r="K818" s="95" t="n"/>
      <c r="L818" s="96" t="n"/>
    </row>
    <row r="819">
      <c r="A819" s="96" t="n"/>
      <c r="B819" s="95">
        <f>IF(A819="","", "CTR-"&amp;TEXT(ROW()-5,"000"))</f>
        <v/>
      </c>
      <c r="C819" s="95" t="n"/>
      <c r="D819" s="95" t="n"/>
      <c r="E819" s="95" t="n"/>
      <c r="F819" s="95" t="n"/>
      <c r="G819" s="95" t="n"/>
      <c r="H819" s="95" t="n"/>
      <c r="I819" s="95" t="n"/>
      <c r="J819" s="95" t="n"/>
      <c r="K819" s="95" t="n"/>
      <c r="L819" s="96" t="n"/>
    </row>
    <row r="820">
      <c r="A820" s="96" t="n"/>
      <c r="B820" s="95">
        <f>IF(A820="","", "CTR-"&amp;TEXT(ROW()-5,"000"))</f>
        <v/>
      </c>
      <c r="C820" s="95" t="n"/>
      <c r="D820" s="95" t="n"/>
      <c r="E820" s="95" t="n"/>
      <c r="F820" s="95" t="n"/>
      <c r="G820" s="95" t="n"/>
      <c r="H820" s="95" t="n"/>
      <c r="I820" s="95" t="n"/>
      <c r="J820" s="95" t="n"/>
      <c r="K820" s="95" t="n"/>
      <c r="L820" s="96" t="n"/>
    </row>
    <row r="821">
      <c r="A821" s="96" t="n"/>
      <c r="B821" s="95">
        <f>IF(A821="","", "CTR-"&amp;TEXT(ROW()-5,"000"))</f>
        <v/>
      </c>
      <c r="C821" s="95" t="n"/>
      <c r="D821" s="95" t="n"/>
      <c r="E821" s="95" t="n"/>
      <c r="F821" s="95" t="n"/>
      <c r="G821" s="95" t="n"/>
      <c r="H821" s="95" t="n"/>
      <c r="I821" s="95" t="n"/>
      <c r="J821" s="95" t="n"/>
      <c r="K821" s="95" t="n"/>
      <c r="L821" s="96" t="n"/>
    </row>
    <row r="822">
      <c r="A822" s="96" t="n"/>
      <c r="B822" s="95">
        <f>IF(A822="","", "CTR-"&amp;TEXT(ROW()-5,"000"))</f>
        <v/>
      </c>
      <c r="C822" s="95" t="n"/>
      <c r="D822" s="95" t="n"/>
      <c r="E822" s="95" t="n"/>
      <c r="F822" s="95" t="n"/>
      <c r="G822" s="95" t="n"/>
      <c r="H822" s="95" t="n"/>
      <c r="I822" s="95" t="n"/>
      <c r="J822" s="95" t="n"/>
      <c r="K822" s="95" t="n"/>
      <c r="L822" s="96" t="n"/>
    </row>
    <row r="823">
      <c r="A823" s="96" t="n"/>
      <c r="B823" s="95">
        <f>IF(A823="","", "CTR-"&amp;TEXT(ROW()-5,"000"))</f>
        <v/>
      </c>
      <c r="C823" s="95" t="n"/>
      <c r="D823" s="95" t="n"/>
      <c r="E823" s="95" t="n"/>
      <c r="F823" s="95" t="n"/>
      <c r="G823" s="95" t="n"/>
      <c r="H823" s="95" t="n"/>
      <c r="I823" s="95" t="n"/>
      <c r="J823" s="95" t="n"/>
      <c r="K823" s="95" t="n"/>
      <c r="L823" s="96" t="n"/>
    </row>
    <row r="824">
      <c r="A824" s="96" t="n"/>
      <c r="B824" s="95">
        <f>IF(A824="","", "CTR-"&amp;TEXT(ROW()-5,"000"))</f>
        <v/>
      </c>
      <c r="C824" s="95" t="n"/>
      <c r="D824" s="95" t="n"/>
      <c r="E824" s="95" t="n"/>
      <c r="F824" s="95" t="n"/>
      <c r="G824" s="95" t="n"/>
      <c r="H824" s="95" t="n"/>
      <c r="I824" s="95" t="n"/>
      <c r="J824" s="95" t="n"/>
      <c r="K824" s="95" t="n"/>
      <c r="L824" s="96" t="n"/>
    </row>
    <row r="825">
      <c r="A825" s="96" t="n"/>
      <c r="B825" s="95">
        <f>IF(A825="","", "CTR-"&amp;TEXT(ROW()-5,"000"))</f>
        <v/>
      </c>
      <c r="C825" s="95" t="n"/>
      <c r="D825" s="95" t="n"/>
      <c r="E825" s="95" t="n"/>
      <c r="F825" s="95" t="n"/>
      <c r="G825" s="95" t="n"/>
      <c r="H825" s="95" t="n"/>
      <c r="I825" s="95" t="n"/>
      <c r="J825" s="95" t="n"/>
      <c r="K825" s="95" t="n"/>
      <c r="L825" s="96" t="n"/>
    </row>
    <row r="826">
      <c r="A826" s="96" t="n"/>
      <c r="B826" s="95">
        <f>IF(A826="","", "CTR-"&amp;TEXT(ROW()-5,"000"))</f>
        <v/>
      </c>
      <c r="C826" s="95" t="n"/>
      <c r="D826" s="95" t="n"/>
      <c r="E826" s="95" t="n"/>
      <c r="F826" s="95" t="n"/>
      <c r="G826" s="95" t="n"/>
      <c r="H826" s="95" t="n"/>
      <c r="I826" s="95" t="n"/>
      <c r="J826" s="95" t="n"/>
      <c r="K826" s="95" t="n"/>
      <c r="L826" s="96" t="n"/>
    </row>
    <row r="827">
      <c r="A827" s="96" t="n"/>
      <c r="B827" s="95">
        <f>IF(A827="","", "CTR-"&amp;TEXT(ROW()-5,"000"))</f>
        <v/>
      </c>
      <c r="C827" s="95" t="n"/>
      <c r="D827" s="95" t="n"/>
      <c r="E827" s="95" t="n"/>
      <c r="F827" s="95" t="n"/>
      <c r="G827" s="95" t="n"/>
      <c r="H827" s="95" t="n"/>
      <c r="I827" s="95" t="n"/>
      <c r="J827" s="95" t="n"/>
      <c r="K827" s="95" t="n"/>
      <c r="L827" s="96" t="n"/>
    </row>
    <row r="828">
      <c r="A828" s="96" t="n"/>
      <c r="B828" s="95">
        <f>IF(A828="","", "CTR-"&amp;TEXT(ROW()-5,"000"))</f>
        <v/>
      </c>
      <c r="C828" s="95" t="n"/>
      <c r="D828" s="95" t="n"/>
      <c r="E828" s="95" t="n"/>
      <c r="F828" s="95" t="n"/>
      <c r="G828" s="95" t="n"/>
      <c r="H828" s="95" t="n"/>
      <c r="I828" s="95" t="n"/>
      <c r="J828" s="95" t="n"/>
      <c r="K828" s="95" t="n"/>
      <c r="L828" s="96" t="n"/>
    </row>
    <row r="829">
      <c r="A829" s="96" t="n"/>
      <c r="B829" s="95">
        <f>IF(A829="","", "CTR-"&amp;TEXT(ROW()-5,"000"))</f>
        <v/>
      </c>
      <c r="C829" s="95" t="n"/>
      <c r="D829" s="95" t="n"/>
      <c r="E829" s="95" t="n"/>
      <c r="F829" s="95" t="n"/>
      <c r="G829" s="95" t="n"/>
      <c r="H829" s="95" t="n"/>
      <c r="I829" s="95" t="n"/>
      <c r="J829" s="95" t="n"/>
      <c r="K829" s="95" t="n"/>
      <c r="L829" s="96" t="n"/>
    </row>
    <row r="830">
      <c r="A830" s="96" t="n"/>
      <c r="B830" s="95">
        <f>IF(A830="","", "CTR-"&amp;TEXT(ROW()-5,"000"))</f>
        <v/>
      </c>
      <c r="C830" s="95" t="n"/>
      <c r="D830" s="95" t="n"/>
      <c r="E830" s="95" t="n"/>
      <c r="F830" s="95" t="n"/>
      <c r="G830" s="95" t="n"/>
      <c r="H830" s="95" t="n"/>
      <c r="I830" s="95" t="n"/>
      <c r="J830" s="95" t="n"/>
      <c r="K830" s="95" t="n"/>
      <c r="L830" s="96" t="n"/>
    </row>
    <row r="831">
      <c r="A831" s="96" t="n"/>
      <c r="B831" s="95">
        <f>IF(A831="","", "CTR-"&amp;TEXT(ROW()-5,"000"))</f>
        <v/>
      </c>
      <c r="C831" s="95" t="n"/>
      <c r="D831" s="95" t="n"/>
      <c r="E831" s="95" t="n"/>
      <c r="F831" s="95" t="n"/>
      <c r="G831" s="95" t="n"/>
      <c r="H831" s="95" t="n"/>
      <c r="I831" s="95" t="n"/>
      <c r="J831" s="95" t="n"/>
      <c r="K831" s="95" t="n"/>
      <c r="L831" s="96" t="n"/>
    </row>
    <row r="832">
      <c r="A832" s="96" t="n"/>
      <c r="B832" s="95">
        <f>IF(A832="","", "CTR-"&amp;TEXT(ROW()-5,"000"))</f>
        <v/>
      </c>
      <c r="C832" s="95" t="n"/>
      <c r="D832" s="95" t="n"/>
      <c r="E832" s="95" t="n"/>
      <c r="F832" s="95" t="n"/>
      <c r="G832" s="95" t="n"/>
      <c r="H832" s="95" t="n"/>
      <c r="I832" s="95" t="n"/>
      <c r="J832" s="95" t="n"/>
      <c r="K832" s="95" t="n"/>
      <c r="L832" s="96" t="n"/>
    </row>
    <row r="833">
      <c r="A833" s="96" t="n"/>
      <c r="B833" s="95">
        <f>IF(A833="","", "CTR-"&amp;TEXT(ROW()-5,"000"))</f>
        <v/>
      </c>
      <c r="C833" s="95" t="n"/>
      <c r="D833" s="95" t="n"/>
      <c r="E833" s="95" t="n"/>
      <c r="F833" s="95" t="n"/>
      <c r="G833" s="95" t="n"/>
      <c r="H833" s="95" t="n"/>
      <c r="I833" s="95" t="n"/>
      <c r="J833" s="95" t="n"/>
      <c r="K833" s="95" t="n"/>
      <c r="L833" s="96" t="n"/>
    </row>
    <row r="834">
      <c r="A834" s="96" t="n"/>
      <c r="B834" s="95">
        <f>IF(A834="","", "CTR-"&amp;TEXT(ROW()-5,"000"))</f>
        <v/>
      </c>
      <c r="C834" s="95" t="n"/>
      <c r="D834" s="95" t="n"/>
      <c r="E834" s="95" t="n"/>
      <c r="F834" s="95" t="n"/>
      <c r="G834" s="95" t="n"/>
      <c r="H834" s="95" t="n"/>
      <c r="I834" s="95" t="n"/>
      <c r="J834" s="95" t="n"/>
      <c r="K834" s="95" t="n"/>
      <c r="L834" s="96" t="n"/>
    </row>
    <row r="835">
      <c r="A835" s="96" t="n"/>
      <c r="B835" s="95">
        <f>IF(A835="","", "CTR-"&amp;TEXT(ROW()-5,"000"))</f>
        <v/>
      </c>
      <c r="C835" s="95" t="n"/>
      <c r="D835" s="95" t="n"/>
      <c r="E835" s="95" t="n"/>
      <c r="F835" s="95" t="n"/>
      <c r="G835" s="95" t="n"/>
      <c r="H835" s="95" t="n"/>
      <c r="I835" s="95" t="n"/>
      <c r="J835" s="95" t="n"/>
      <c r="K835" s="95" t="n"/>
      <c r="L835" s="96" t="n"/>
    </row>
    <row r="836">
      <c r="A836" s="96" t="n"/>
      <c r="B836" s="95">
        <f>IF(A836="","", "CTR-"&amp;TEXT(ROW()-5,"000"))</f>
        <v/>
      </c>
      <c r="C836" s="95" t="n"/>
      <c r="D836" s="95" t="n"/>
      <c r="E836" s="95" t="n"/>
      <c r="F836" s="95" t="n"/>
      <c r="G836" s="95" t="n"/>
      <c r="H836" s="95" t="n"/>
      <c r="I836" s="95" t="n"/>
      <c r="J836" s="95" t="n"/>
      <c r="K836" s="95" t="n"/>
      <c r="L836" s="96" t="n"/>
    </row>
    <row r="837">
      <c r="A837" s="96" t="n"/>
      <c r="B837" s="95">
        <f>IF(A837="","", "CTR-"&amp;TEXT(ROW()-5,"000"))</f>
        <v/>
      </c>
      <c r="C837" s="95" t="n"/>
      <c r="D837" s="95" t="n"/>
      <c r="E837" s="95" t="n"/>
      <c r="F837" s="95" t="n"/>
      <c r="G837" s="95" t="n"/>
      <c r="H837" s="95" t="n"/>
      <c r="I837" s="95" t="n"/>
      <c r="J837" s="95" t="n"/>
      <c r="K837" s="95" t="n"/>
      <c r="L837" s="96" t="n"/>
    </row>
    <row r="838">
      <c r="A838" s="96" t="n"/>
      <c r="B838" s="95">
        <f>IF(A838="","", "CTR-"&amp;TEXT(ROW()-5,"000"))</f>
        <v/>
      </c>
      <c r="C838" s="95" t="n"/>
      <c r="D838" s="95" t="n"/>
      <c r="E838" s="95" t="n"/>
      <c r="F838" s="95" t="n"/>
      <c r="G838" s="95" t="n"/>
      <c r="H838" s="95" t="n"/>
      <c r="I838" s="95" t="n"/>
      <c r="J838" s="95" t="n"/>
      <c r="K838" s="95" t="n"/>
      <c r="L838" s="96" t="n"/>
    </row>
    <row r="839">
      <c r="A839" s="96" t="n"/>
      <c r="B839" s="95">
        <f>IF(A839="","", "CTR-"&amp;TEXT(ROW()-5,"000"))</f>
        <v/>
      </c>
      <c r="C839" s="95" t="n"/>
      <c r="D839" s="95" t="n"/>
      <c r="E839" s="95" t="n"/>
      <c r="F839" s="95" t="n"/>
      <c r="G839" s="95" t="n"/>
      <c r="H839" s="95" t="n"/>
      <c r="I839" s="95" t="n"/>
      <c r="J839" s="95" t="n"/>
      <c r="K839" s="95" t="n"/>
      <c r="L839" s="96" t="n"/>
    </row>
    <row r="840">
      <c r="A840" s="96" t="n"/>
      <c r="B840" s="95">
        <f>IF(A840="","", "CTR-"&amp;TEXT(ROW()-5,"000"))</f>
        <v/>
      </c>
      <c r="C840" s="95" t="n"/>
      <c r="D840" s="95" t="n"/>
      <c r="E840" s="95" t="n"/>
      <c r="F840" s="95" t="n"/>
      <c r="G840" s="95" t="n"/>
      <c r="H840" s="95" t="n"/>
      <c r="I840" s="95" t="n"/>
      <c r="J840" s="95" t="n"/>
      <c r="K840" s="95" t="n"/>
      <c r="L840" s="96" t="n"/>
    </row>
    <row r="841">
      <c r="A841" s="96" t="n"/>
      <c r="B841" s="95">
        <f>IF(A841="","", "CTR-"&amp;TEXT(ROW()-5,"000"))</f>
        <v/>
      </c>
      <c r="C841" s="95" t="n"/>
      <c r="D841" s="95" t="n"/>
      <c r="E841" s="95" t="n"/>
      <c r="F841" s="95" t="n"/>
      <c r="G841" s="95" t="n"/>
      <c r="H841" s="95" t="n"/>
      <c r="I841" s="95" t="n"/>
      <c r="J841" s="95" t="n"/>
      <c r="K841" s="95" t="n"/>
      <c r="L841" s="96" t="n"/>
    </row>
    <row r="842">
      <c r="A842" s="96" t="n"/>
      <c r="B842" s="95">
        <f>IF(A842="","", "CTR-"&amp;TEXT(ROW()-5,"000"))</f>
        <v/>
      </c>
      <c r="C842" s="95" t="n"/>
      <c r="D842" s="95" t="n"/>
      <c r="E842" s="95" t="n"/>
      <c r="F842" s="95" t="n"/>
      <c r="G842" s="95" t="n"/>
      <c r="H842" s="95" t="n"/>
      <c r="I842" s="95" t="n"/>
      <c r="J842" s="95" t="n"/>
      <c r="K842" s="95" t="n"/>
      <c r="L842" s="96" t="n"/>
    </row>
    <row r="843">
      <c r="A843" s="96" t="n"/>
      <c r="B843" s="95">
        <f>IF(A843="","", "CTR-"&amp;TEXT(ROW()-5,"000"))</f>
        <v/>
      </c>
      <c r="C843" s="95" t="n"/>
      <c r="D843" s="95" t="n"/>
      <c r="E843" s="95" t="n"/>
      <c r="F843" s="95" t="n"/>
      <c r="G843" s="95" t="n"/>
      <c r="H843" s="95" t="n"/>
      <c r="I843" s="95" t="n"/>
      <c r="J843" s="95" t="n"/>
      <c r="K843" s="95" t="n"/>
      <c r="L843" s="96" t="n"/>
    </row>
    <row r="844">
      <c r="A844" s="96" t="n"/>
      <c r="B844" s="95">
        <f>IF(A844="","", "CTR-"&amp;TEXT(ROW()-5,"000"))</f>
        <v/>
      </c>
      <c r="C844" s="95" t="n"/>
      <c r="D844" s="95" t="n"/>
      <c r="E844" s="95" t="n"/>
      <c r="F844" s="95" t="n"/>
      <c r="G844" s="95" t="n"/>
      <c r="H844" s="95" t="n"/>
      <c r="I844" s="95" t="n"/>
      <c r="J844" s="95" t="n"/>
      <c r="K844" s="95" t="n"/>
      <c r="L844" s="96" t="n"/>
    </row>
    <row r="845">
      <c r="A845" s="96" t="n"/>
      <c r="B845" s="95">
        <f>IF(A845="","", "CTR-"&amp;TEXT(ROW()-5,"000"))</f>
        <v/>
      </c>
      <c r="C845" s="95" t="n"/>
      <c r="D845" s="95" t="n"/>
      <c r="E845" s="95" t="n"/>
      <c r="F845" s="95" t="n"/>
      <c r="G845" s="95" t="n"/>
      <c r="H845" s="95" t="n"/>
      <c r="I845" s="95" t="n"/>
      <c r="J845" s="95" t="n"/>
      <c r="K845" s="95" t="n"/>
      <c r="L845" s="96" t="n"/>
    </row>
    <row r="846">
      <c r="A846" s="96" t="n"/>
      <c r="B846" s="95">
        <f>IF(A846="","", "CTR-"&amp;TEXT(ROW()-5,"000"))</f>
        <v/>
      </c>
      <c r="C846" s="95" t="n"/>
      <c r="D846" s="95" t="n"/>
      <c r="E846" s="95" t="n"/>
      <c r="F846" s="95" t="n"/>
      <c r="G846" s="95" t="n"/>
      <c r="H846" s="95" t="n"/>
      <c r="I846" s="95" t="n"/>
      <c r="J846" s="95" t="n"/>
      <c r="K846" s="95" t="n"/>
      <c r="L846" s="96" t="n"/>
    </row>
    <row r="847">
      <c r="A847" s="96" t="n"/>
      <c r="B847" s="95">
        <f>IF(A847="","", "CTR-"&amp;TEXT(ROW()-5,"000"))</f>
        <v/>
      </c>
      <c r="C847" s="95" t="n"/>
      <c r="D847" s="95" t="n"/>
      <c r="E847" s="95" t="n"/>
      <c r="F847" s="95" t="n"/>
      <c r="G847" s="95" t="n"/>
      <c r="H847" s="95" t="n"/>
      <c r="I847" s="95" t="n"/>
      <c r="J847" s="95" t="n"/>
      <c r="K847" s="95" t="n"/>
      <c r="L847" s="96" t="n"/>
    </row>
    <row r="848">
      <c r="A848" s="96" t="n"/>
      <c r="B848" s="95">
        <f>IF(A848="","", "CTR-"&amp;TEXT(ROW()-5,"000"))</f>
        <v/>
      </c>
      <c r="C848" s="95" t="n"/>
      <c r="D848" s="95" t="n"/>
      <c r="E848" s="95" t="n"/>
      <c r="F848" s="95" t="n"/>
      <c r="G848" s="95" t="n"/>
      <c r="H848" s="95" t="n"/>
      <c r="I848" s="95" t="n"/>
      <c r="J848" s="95" t="n"/>
      <c r="K848" s="95" t="n"/>
      <c r="L848" s="96" t="n"/>
    </row>
    <row r="849">
      <c r="A849" s="96" t="n"/>
      <c r="B849" s="95">
        <f>IF(A849="","", "CTR-"&amp;TEXT(ROW()-5,"000"))</f>
        <v/>
      </c>
      <c r="C849" s="95" t="n"/>
      <c r="D849" s="95" t="n"/>
      <c r="E849" s="95" t="n"/>
      <c r="F849" s="95" t="n"/>
      <c r="G849" s="95" t="n"/>
      <c r="H849" s="95" t="n"/>
      <c r="I849" s="95" t="n"/>
      <c r="J849" s="95" t="n"/>
      <c r="K849" s="95" t="n"/>
      <c r="L849" s="96" t="n"/>
    </row>
    <row r="850">
      <c r="A850" s="96" t="n"/>
      <c r="B850" s="95">
        <f>IF(A850="","", "CTR-"&amp;TEXT(ROW()-5,"000"))</f>
        <v/>
      </c>
      <c r="C850" s="95" t="n"/>
      <c r="D850" s="95" t="n"/>
      <c r="E850" s="95" t="n"/>
      <c r="F850" s="95" t="n"/>
      <c r="G850" s="95" t="n"/>
      <c r="H850" s="95" t="n"/>
      <c r="I850" s="95" t="n"/>
      <c r="J850" s="95" t="n"/>
      <c r="K850" s="95" t="n"/>
      <c r="L850" s="96" t="n"/>
    </row>
    <row r="851">
      <c r="A851" s="96" t="n"/>
      <c r="B851" s="95">
        <f>IF(A851="","", "CTR-"&amp;TEXT(ROW()-5,"000"))</f>
        <v/>
      </c>
      <c r="C851" s="95" t="n"/>
      <c r="D851" s="95" t="n"/>
      <c r="E851" s="95" t="n"/>
      <c r="F851" s="95" t="n"/>
      <c r="G851" s="95" t="n"/>
      <c r="H851" s="95" t="n"/>
      <c r="I851" s="95" t="n"/>
      <c r="J851" s="95" t="n"/>
      <c r="K851" s="95" t="n"/>
      <c r="L851" s="96" t="n"/>
    </row>
    <row r="852">
      <c r="A852" s="96" t="n"/>
      <c r="B852" s="95">
        <f>IF(A852="","", "CTR-"&amp;TEXT(ROW()-5,"000"))</f>
        <v/>
      </c>
      <c r="C852" s="95" t="n"/>
      <c r="D852" s="95" t="n"/>
      <c r="E852" s="95" t="n"/>
      <c r="F852" s="95" t="n"/>
      <c r="G852" s="95" t="n"/>
      <c r="H852" s="95" t="n"/>
      <c r="I852" s="95" t="n"/>
      <c r="J852" s="95" t="n"/>
      <c r="K852" s="95" t="n"/>
      <c r="L852" s="96" t="n"/>
    </row>
    <row r="853">
      <c r="A853" s="96" t="n"/>
      <c r="B853" s="95">
        <f>IF(A853="","", "CTR-"&amp;TEXT(ROW()-5,"000"))</f>
        <v/>
      </c>
      <c r="C853" s="95" t="n"/>
      <c r="D853" s="95" t="n"/>
      <c r="E853" s="95" t="n"/>
      <c r="F853" s="95" t="n"/>
      <c r="G853" s="95" t="n"/>
      <c r="H853" s="95" t="n"/>
      <c r="I853" s="95" t="n"/>
      <c r="J853" s="95" t="n"/>
      <c r="K853" s="95" t="n"/>
      <c r="L853" s="96" t="n"/>
    </row>
    <row r="854">
      <c r="A854" s="96" t="n"/>
      <c r="B854" s="95">
        <f>IF(A854="","", "CTR-"&amp;TEXT(ROW()-5,"000"))</f>
        <v/>
      </c>
      <c r="C854" s="95" t="n"/>
      <c r="D854" s="95" t="n"/>
      <c r="E854" s="95" t="n"/>
      <c r="F854" s="95" t="n"/>
      <c r="G854" s="95" t="n"/>
      <c r="H854" s="95" t="n"/>
      <c r="I854" s="95" t="n"/>
      <c r="J854" s="95" t="n"/>
      <c r="K854" s="95" t="n"/>
      <c r="L854" s="96" t="n"/>
    </row>
    <row r="855">
      <c r="A855" s="96" t="n"/>
      <c r="B855" s="95">
        <f>IF(A855="","", "CTR-"&amp;TEXT(ROW()-5,"000"))</f>
        <v/>
      </c>
      <c r="C855" s="95" t="n"/>
      <c r="D855" s="95" t="n"/>
      <c r="E855" s="95" t="n"/>
      <c r="F855" s="95" t="n"/>
      <c r="G855" s="95" t="n"/>
      <c r="H855" s="95" t="n"/>
      <c r="I855" s="95" t="n"/>
      <c r="J855" s="95" t="n"/>
      <c r="K855" s="95" t="n"/>
      <c r="L855" s="96" t="n"/>
    </row>
    <row r="856">
      <c r="A856" s="96" t="n"/>
      <c r="B856" s="95">
        <f>IF(A856="","", "CTR-"&amp;TEXT(ROW()-5,"000"))</f>
        <v/>
      </c>
      <c r="C856" s="95" t="n"/>
      <c r="D856" s="95" t="n"/>
      <c r="E856" s="95" t="n"/>
      <c r="F856" s="95" t="n"/>
      <c r="G856" s="95" t="n"/>
      <c r="H856" s="95" t="n"/>
      <c r="I856" s="95" t="n"/>
      <c r="J856" s="95" t="n"/>
      <c r="K856" s="95" t="n"/>
      <c r="L856" s="96" t="n"/>
    </row>
    <row r="857">
      <c r="A857" s="96" t="n"/>
      <c r="B857" s="95">
        <f>IF(A857="","", "CTR-"&amp;TEXT(ROW()-5,"000"))</f>
        <v/>
      </c>
      <c r="C857" s="95" t="n"/>
      <c r="D857" s="95" t="n"/>
      <c r="E857" s="95" t="n"/>
      <c r="F857" s="95" t="n"/>
      <c r="G857" s="95" t="n"/>
      <c r="H857" s="95" t="n"/>
      <c r="I857" s="95" t="n"/>
      <c r="J857" s="95" t="n"/>
      <c r="K857" s="95" t="n"/>
      <c r="L857" s="96" t="n"/>
    </row>
    <row r="858">
      <c r="A858" s="96" t="n"/>
      <c r="B858" s="95">
        <f>IF(A858="","", "CTR-"&amp;TEXT(ROW()-5,"000"))</f>
        <v/>
      </c>
      <c r="C858" s="95" t="n"/>
      <c r="D858" s="95" t="n"/>
      <c r="E858" s="95" t="n"/>
      <c r="F858" s="95" t="n"/>
      <c r="G858" s="95" t="n"/>
      <c r="H858" s="95" t="n"/>
      <c r="I858" s="95" t="n"/>
      <c r="J858" s="95" t="n"/>
      <c r="K858" s="95" t="n"/>
      <c r="L858" s="96" t="n"/>
    </row>
    <row r="859">
      <c r="A859" s="96" t="n"/>
      <c r="B859" s="95">
        <f>IF(A859="","", "CTR-"&amp;TEXT(ROW()-5,"000"))</f>
        <v/>
      </c>
      <c r="C859" s="95" t="n"/>
      <c r="D859" s="95" t="n"/>
      <c r="E859" s="95" t="n"/>
      <c r="F859" s="95" t="n"/>
      <c r="G859" s="95" t="n"/>
      <c r="H859" s="95" t="n"/>
      <c r="I859" s="95" t="n"/>
      <c r="J859" s="95" t="n"/>
      <c r="K859" s="95" t="n"/>
      <c r="L859" s="96" t="n"/>
    </row>
    <row r="860">
      <c r="A860" s="96" t="n"/>
      <c r="B860" s="95">
        <f>IF(A860="","", "CTR-"&amp;TEXT(ROW()-5,"000"))</f>
        <v/>
      </c>
      <c r="C860" s="95" t="n"/>
      <c r="D860" s="95" t="n"/>
      <c r="E860" s="95" t="n"/>
      <c r="F860" s="95" t="n"/>
      <c r="G860" s="95" t="n"/>
      <c r="H860" s="95" t="n"/>
      <c r="I860" s="95" t="n"/>
      <c r="J860" s="95" t="n"/>
      <c r="K860" s="95" t="n"/>
      <c r="L860" s="96" t="n"/>
    </row>
    <row r="861">
      <c r="A861" s="96" t="n"/>
      <c r="B861" s="95">
        <f>IF(A861="","", "CTR-"&amp;TEXT(ROW()-5,"000"))</f>
        <v/>
      </c>
      <c r="C861" s="95" t="n"/>
      <c r="D861" s="95" t="n"/>
      <c r="E861" s="95" t="n"/>
      <c r="F861" s="95" t="n"/>
      <c r="G861" s="95" t="n"/>
      <c r="H861" s="95" t="n"/>
      <c r="I861" s="95" t="n"/>
      <c r="J861" s="95" t="n"/>
      <c r="K861" s="95" t="n"/>
      <c r="L861" s="96" t="n"/>
    </row>
    <row r="862">
      <c r="A862" s="96" t="n"/>
      <c r="B862" s="95">
        <f>IF(A862="","", "CTR-"&amp;TEXT(ROW()-5,"000"))</f>
        <v/>
      </c>
      <c r="C862" s="95" t="n"/>
      <c r="D862" s="95" t="n"/>
      <c r="E862" s="95" t="n"/>
      <c r="F862" s="95" t="n"/>
      <c r="G862" s="95" t="n"/>
      <c r="H862" s="95" t="n"/>
      <c r="I862" s="95" t="n"/>
      <c r="J862" s="95" t="n"/>
      <c r="K862" s="95" t="n"/>
      <c r="L862" s="96" t="n"/>
    </row>
    <row r="863">
      <c r="A863" s="96" t="n"/>
      <c r="B863" s="95">
        <f>IF(A863="","", "CTR-"&amp;TEXT(ROW()-5,"000"))</f>
        <v/>
      </c>
      <c r="C863" s="95" t="n"/>
      <c r="D863" s="95" t="n"/>
      <c r="E863" s="95" t="n"/>
      <c r="F863" s="95" t="n"/>
      <c r="G863" s="95" t="n"/>
      <c r="H863" s="95" t="n"/>
      <c r="I863" s="95" t="n"/>
      <c r="J863" s="95" t="n"/>
      <c r="K863" s="95" t="n"/>
      <c r="L863" s="96" t="n"/>
    </row>
    <row r="864">
      <c r="A864" s="96" t="n"/>
      <c r="B864" s="95">
        <f>IF(A864="","", "CTR-"&amp;TEXT(ROW()-5,"000"))</f>
        <v/>
      </c>
      <c r="C864" s="95" t="n"/>
      <c r="D864" s="95" t="n"/>
      <c r="E864" s="95" t="n"/>
      <c r="F864" s="95" t="n"/>
      <c r="G864" s="95" t="n"/>
      <c r="H864" s="95" t="n"/>
      <c r="I864" s="95" t="n"/>
      <c r="J864" s="95" t="n"/>
      <c r="K864" s="95" t="n"/>
      <c r="L864" s="96" t="n"/>
    </row>
    <row r="865">
      <c r="A865" s="96" t="n"/>
      <c r="B865" s="95">
        <f>IF(A865="","", "CTR-"&amp;TEXT(ROW()-5,"000"))</f>
        <v/>
      </c>
      <c r="C865" s="95" t="n"/>
      <c r="D865" s="95" t="n"/>
      <c r="E865" s="95" t="n"/>
      <c r="F865" s="95" t="n"/>
      <c r="G865" s="95" t="n"/>
      <c r="H865" s="95" t="n"/>
      <c r="I865" s="95" t="n"/>
      <c r="J865" s="95" t="n"/>
      <c r="K865" s="95" t="n"/>
      <c r="L865" s="96" t="n"/>
    </row>
    <row r="866">
      <c r="A866" s="96" t="n"/>
      <c r="B866" s="95">
        <f>IF(A866="","", "CTR-"&amp;TEXT(ROW()-5,"000"))</f>
        <v/>
      </c>
      <c r="C866" s="95" t="n"/>
      <c r="D866" s="95" t="n"/>
      <c r="E866" s="95" t="n"/>
      <c r="F866" s="95" t="n"/>
      <c r="G866" s="95" t="n"/>
      <c r="H866" s="95" t="n"/>
      <c r="I866" s="95" t="n"/>
      <c r="J866" s="95" t="n"/>
      <c r="K866" s="95" t="n"/>
      <c r="L866" s="96" t="n"/>
    </row>
    <row r="867">
      <c r="A867" s="96" t="n"/>
      <c r="B867" s="95">
        <f>IF(A867="","", "CTR-"&amp;TEXT(ROW()-5,"000"))</f>
        <v/>
      </c>
      <c r="C867" s="95" t="n"/>
      <c r="D867" s="95" t="n"/>
      <c r="E867" s="95" t="n"/>
      <c r="F867" s="95" t="n"/>
      <c r="G867" s="95" t="n"/>
      <c r="H867" s="95" t="n"/>
      <c r="I867" s="95" t="n"/>
      <c r="J867" s="95" t="n"/>
      <c r="K867" s="95" t="n"/>
      <c r="L867" s="96" t="n"/>
    </row>
    <row r="868">
      <c r="A868" s="96" t="n"/>
      <c r="B868" s="95">
        <f>IF(A868="","", "CTR-"&amp;TEXT(ROW()-5,"000"))</f>
        <v/>
      </c>
      <c r="C868" s="95" t="n"/>
      <c r="D868" s="95" t="n"/>
      <c r="E868" s="95" t="n"/>
      <c r="F868" s="95" t="n"/>
      <c r="G868" s="95" t="n"/>
      <c r="H868" s="95" t="n"/>
      <c r="I868" s="95" t="n"/>
      <c r="J868" s="95" t="n"/>
      <c r="K868" s="95" t="n"/>
      <c r="L868" s="96" t="n"/>
    </row>
    <row r="869">
      <c r="A869" s="96" t="n"/>
      <c r="B869" s="95">
        <f>IF(A869="","", "CTR-"&amp;TEXT(ROW()-5,"000"))</f>
        <v/>
      </c>
      <c r="C869" s="95" t="n"/>
      <c r="D869" s="95" t="n"/>
      <c r="E869" s="95" t="n"/>
      <c r="F869" s="95" t="n"/>
      <c r="G869" s="95" t="n"/>
      <c r="H869" s="95" t="n"/>
      <c r="I869" s="95" t="n"/>
      <c r="J869" s="95" t="n"/>
      <c r="K869" s="95" t="n"/>
      <c r="L869" s="96" t="n"/>
    </row>
    <row r="870">
      <c r="A870" s="96" t="n"/>
      <c r="B870" s="95">
        <f>IF(A870="","", "CTR-"&amp;TEXT(ROW()-5,"000"))</f>
        <v/>
      </c>
      <c r="C870" s="95" t="n"/>
      <c r="D870" s="95" t="n"/>
      <c r="E870" s="95" t="n"/>
      <c r="F870" s="95" t="n"/>
      <c r="G870" s="95" t="n"/>
      <c r="H870" s="95" t="n"/>
      <c r="I870" s="95" t="n"/>
      <c r="J870" s="95" t="n"/>
      <c r="K870" s="95" t="n"/>
      <c r="L870" s="96" t="n"/>
    </row>
    <row r="871">
      <c r="A871" s="96" t="n"/>
      <c r="B871" s="95">
        <f>IF(A871="","", "CTR-"&amp;TEXT(ROW()-5,"000"))</f>
        <v/>
      </c>
      <c r="C871" s="95" t="n"/>
      <c r="D871" s="95" t="n"/>
      <c r="E871" s="95" t="n"/>
      <c r="F871" s="95" t="n"/>
      <c r="G871" s="95" t="n"/>
      <c r="H871" s="95" t="n"/>
      <c r="I871" s="95" t="n"/>
      <c r="J871" s="95" t="n"/>
      <c r="K871" s="95" t="n"/>
      <c r="L871" s="96" t="n"/>
    </row>
    <row r="872">
      <c r="A872" s="96" t="n"/>
      <c r="B872" s="95">
        <f>IF(A872="","", "CTR-"&amp;TEXT(ROW()-5,"000"))</f>
        <v/>
      </c>
      <c r="C872" s="95" t="n"/>
      <c r="D872" s="95" t="n"/>
      <c r="E872" s="95" t="n"/>
      <c r="F872" s="95" t="n"/>
      <c r="G872" s="95" t="n"/>
      <c r="H872" s="95" t="n"/>
      <c r="I872" s="95" t="n"/>
      <c r="J872" s="95" t="n"/>
      <c r="K872" s="95" t="n"/>
      <c r="L872" s="96" t="n"/>
    </row>
    <row r="873">
      <c r="A873" s="96" t="n"/>
      <c r="B873" s="95">
        <f>IF(A873="","", "CTR-"&amp;TEXT(ROW()-5,"000"))</f>
        <v/>
      </c>
      <c r="C873" s="95" t="n"/>
      <c r="D873" s="95" t="n"/>
      <c r="E873" s="95" t="n"/>
      <c r="F873" s="95" t="n"/>
      <c r="G873" s="95" t="n"/>
      <c r="H873" s="95" t="n"/>
      <c r="I873" s="95" t="n"/>
      <c r="J873" s="95" t="n"/>
      <c r="K873" s="95" t="n"/>
      <c r="L873" s="96" t="n"/>
    </row>
    <row r="874">
      <c r="A874" s="96" t="n"/>
      <c r="B874" s="95">
        <f>IF(A874="","", "CTR-"&amp;TEXT(ROW()-5,"000"))</f>
        <v/>
      </c>
      <c r="C874" s="95" t="n"/>
      <c r="D874" s="95" t="n"/>
      <c r="E874" s="95" t="n"/>
      <c r="F874" s="95" t="n"/>
      <c r="G874" s="95" t="n"/>
      <c r="H874" s="95" t="n"/>
      <c r="I874" s="95" t="n"/>
      <c r="J874" s="95" t="n"/>
      <c r="K874" s="95" t="n"/>
      <c r="L874" s="96" t="n"/>
    </row>
    <row r="875">
      <c r="A875" s="96" t="n"/>
      <c r="B875" s="95">
        <f>IF(A875="","", "CTR-"&amp;TEXT(ROW()-5,"000"))</f>
        <v/>
      </c>
      <c r="C875" s="95" t="n"/>
      <c r="D875" s="95" t="n"/>
      <c r="E875" s="95" t="n"/>
      <c r="F875" s="95" t="n"/>
      <c r="G875" s="95" t="n"/>
      <c r="H875" s="95" t="n"/>
      <c r="I875" s="95" t="n"/>
      <c r="J875" s="95" t="n"/>
      <c r="K875" s="95" t="n"/>
      <c r="L875" s="96" t="n"/>
    </row>
    <row r="876">
      <c r="A876" s="96" t="n"/>
      <c r="B876" s="95">
        <f>IF(A876="","", "CTR-"&amp;TEXT(ROW()-5,"000"))</f>
        <v/>
      </c>
      <c r="C876" s="95" t="n"/>
      <c r="D876" s="95" t="n"/>
      <c r="E876" s="95" t="n"/>
      <c r="F876" s="95" t="n"/>
      <c r="G876" s="95" t="n"/>
      <c r="H876" s="95" t="n"/>
      <c r="I876" s="95" t="n"/>
      <c r="J876" s="95" t="n"/>
      <c r="K876" s="95" t="n"/>
      <c r="L876" s="96" t="n"/>
    </row>
    <row r="877">
      <c r="A877" s="96" t="n"/>
      <c r="B877" s="95">
        <f>IF(A877="","", "CTR-"&amp;TEXT(ROW()-5,"000"))</f>
        <v/>
      </c>
      <c r="C877" s="95" t="n"/>
      <c r="D877" s="95" t="n"/>
      <c r="E877" s="95" t="n"/>
      <c r="F877" s="95" t="n"/>
      <c r="G877" s="95" t="n"/>
      <c r="H877" s="95" t="n"/>
      <c r="I877" s="95" t="n"/>
      <c r="J877" s="95" t="n"/>
      <c r="K877" s="95" t="n"/>
      <c r="L877" s="96" t="n"/>
    </row>
    <row r="878">
      <c r="A878" s="96" t="n"/>
      <c r="B878" s="95">
        <f>IF(A878="","", "CTR-"&amp;TEXT(ROW()-5,"000"))</f>
        <v/>
      </c>
      <c r="C878" s="95" t="n"/>
      <c r="D878" s="95" t="n"/>
      <c r="E878" s="95" t="n"/>
      <c r="F878" s="95" t="n"/>
      <c r="G878" s="95" t="n"/>
      <c r="H878" s="95" t="n"/>
      <c r="I878" s="95" t="n"/>
      <c r="J878" s="95" t="n"/>
      <c r="K878" s="95" t="n"/>
      <c r="L878" s="96" t="n"/>
    </row>
    <row r="879">
      <c r="A879" s="96" t="n"/>
      <c r="B879" s="95">
        <f>IF(A879="","", "CTR-"&amp;TEXT(ROW()-5,"000"))</f>
        <v/>
      </c>
      <c r="C879" s="95" t="n"/>
      <c r="D879" s="95" t="n"/>
      <c r="E879" s="95" t="n"/>
      <c r="F879" s="95" t="n"/>
      <c r="G879" s="95" t="n"/>
      <c r="H879" s="95" t="n"/>
      <c r="I879" s="95" t="n"/>
      <c r="J879" s="95" t="n"/>
      <c r="K879" s="95" t="n"/>
      <c r="L879" s="96" t="n"/>
    </row>
    <row r="880">
      <c r="A880" s="96" t="n"/>
      <c r="B880" s="95">
        <f>IF(A880="","", "CTR-"&amp;TEXT(ROW()-5,"000"))</f>
        <v/>
      </c>
      <c r="C880" s="95" t="n"/>
      <c r="D880" s="95" t="n"/>
      <c r="E880" s="95" t="n"/>
      <c r="F880" s="95" t="n"/>
      <c r="G880" s="95" t="n"/>
      <c r="H880" s="95" t="n"/>
      <c r="I880" s="95" t="n"/>
      <c r="J880" s="95" t="n"/>
      <c r="K880" s="95" t="n"/>
      <c r="L880" s="96" t="n"/>
    </row>
    <row r="881">
      <c r="A881" s="96" t="n"/>
      <c r="B881" s="95">
        <f>IF(A881="","", "CTR-"&amp;TEXT(ROW()-5,"000"))</f>
        <v/>
      </c>
      <c r="C881" s="95" t="n"/>
      <c r="D881" s="95" t="n"/>
      <c r="E881" s="95" t="n"/>
      <c r="F881" s="95" t="n"/>
      <c r="G881" s="95" t="n"/>
      <c r="H881" s="95" t="n"/>
      <c r="I881" s="95" t="n"/>
      <c r="J881" s="95" t="n"/>
      <c r="K881" s="95" t="n"/>
      <c r="L881" s="96" t="n"/>
    </row>
    <row r="882">
      <c r="A882" s="96" t="n"/>
      <c r="B882" s="95">
        <f>IF(A882="","", "CTR-"&amp;TEXT(ROW()-5,"000"))</f>
        <v/>
      </c>
      <c r="C882" s="95" t="n"/>
      <c r="D882" s="95" t="n"/>
      <c r="E882" s="95" t="n"/>
      <c r="F882" s="95" t="n"/>
      <c r="G882" s="95" t="n"/>
      <c r="H882" s="95" t="n"/>
      <c r="I882" s="95" t="n"/>
      <c r="J882" s="95" t="n"/>
      <c r="K882" s="95" t="n"/>
      <c r="L882" s="96" t="n"/>
    </row>
    <row r="883">
      <c r="A883" s="96" t="n"/>
      <c r="B883" s="95">
        <f>IF(A883="","", "CTR-"&amp;TEXT(ROW()-5,"000"))</f>
        <v/>
      </c>
      <c r="C883" s="95" t="n"/>
      <c r="D883" s="95" t="n"/>
      <c r="E883" s="95" t="n"/>
      <c r="F883" s="95" t="n"/>
      <c r="G883" s="95" t="n"/>
      <c r="H883" s="95" t="n"/>
      <c r="I883" s="95" t="n"/>
      <c r="J883" s="95" t="n"/>
      <c r="K883" s="95" t="n"/>
      <c r="L883" s="96" t="n"/>
    </row>
    <row r="884">
      <c r="A884" s="96" t="n"/>
      <c r="B884" s="95">
        <f>IF(A884="","", "CTR-"&amp;TEXT(ROW()-5,"000"))</f>
        <v/>
      </c>
      <c r="C884" s="95" t="n"/>
      <c r="D884" s="95" t="n"/>
      <c r="E884" s="95" t="n"/>
      <c r="F884" s="95" t="n"/>
      <c r="G884" s="95" t="n"/>
      <c r="H884" s="95" t="n"/>
      <c r="I884" s="95" t="n"/>
      <c r="J884" s="95" t="n"/>
      <c r="K884" s="95" t="n"/>
      <c r="L884" s="96" t="n"/>
    </row>
    <row r="885">
      <c r="A885" s="96" t="n"/>
      <c r="B885" s="95">
        <f>IF(A885="","", "CTR-"&amp;TEXT(ROW()-5,"000"))</f>
        <v/>
      </c>
      <c r="C885" s="95" t="n"/>
      <c r="D885" s="95" t="n"/>
      <c r="E885" s="95" t="n"/>
      <c r="F885" s="95" t="n"/>
      <c r="G885" s="95" t="n"/>
      <c r="H885" s="95" t="n"/>
      <c r="I885" s="95" t="n"/>
      <c r="J885" s="95" t="n"/>
      <c r="K885" s="95" t="n"/>
      <c r="L885" s="96" t="n"/>
    </row>
    <row r="886">
      <c r="A886" s="96" t="n"/>
      <c r="B886" s="95">
        <f>IF(A886="","", "CTR-"&amp;TEXT(ROW()-5,"000"))</f>
        <v/>
      </c>
      <c r="C886" s="95" t="n"/>
      <c r="D886" s="95" t="n"/>
      <c r="E886" s="95" t="n"/>
      <c r="F886" s="95" t="n"/>
      <c r="G886" s="95" t="n"/>
      <c r="H886" s="95" t="n"/>
      <c r="I886" s="95" t="n"/>
      <c r="J886" s="95" t="n"/>
      <c r="K886" s="95" t="n"/>
      <c r="L886" s="96" t="n"/>
    </row>
    <row r="887">
      <c r="A887" s="96" t="n"/>
      <c r="B887" s="95">
        <f>IF(A887="","", "CTR-"&amp;TEXT(ROW()-5,"000"))</f>
        <v/>
      </c>
      <c r="C887" s="95" t="n"/>
      <c r="D887" s="95" t="n"/>
      <c r="E887" s="95" t="n"/>
      <c r="F887" s="95" t="n"/>
      <c r="G887" s="95" t="n"/>
      <c r="H887" s="95" t="n"/>
      <c r="I887" s="95" t="n"/>
      <c r="J887" s="95" t="n"/>
      <c r="K887" s="95" t="n"/>
      <c r="L887" s="96" t="n"/>
    </row>
    <row r="888">
      <c r="A888" s="96" t="n"/>
      <c r="B888" s="95">
        <f>IF(A888="","", "CTR-"&amp;TEXT(ROW()-5,"000"))</f>
        <v/>
      </c>
      <c r="C888" s="95" t="n"/>
      <c r="D888" s="95" t="n"/>
      <c r="E888" s="95" t="n"/>
      <c r="F888" s="95" t="n"/>
      <c r="G888" s="95" t="n"/>
      <c r="H888" s="95" t="n"/>
      <c r="I888" s="95" t="n"/>
      <c r="J888" s="95" t="n"/>
      <c r="K888" s="95" t="n"/>
      <c r="L888" s="96" t="n"/>
    </row>
    <row r="889">
      <c r="A889" s="96" t="n"/>
      <c r="B889" s="95">
        <f>IF(A889="","", "CTR-"&amp;TEXT(ROW()-5,"000"))</f>
        <v/>
      </c>
      <c r="C889" s="95" t="n"/>
      <c r="D889" s="95" t="n"/>
      <c r="E889" s="95" t="n"/>
      <c r="F889" s="95" t="n"/>
      <c r="G889" s="95" t="n"/>
      <c r="H889" s="95" t="n"/>
      <c r="I889" s="95" t="n"/>
      <c r="J889" s="95" t="n"/>
      <c r="K889" s="95" t="n"/>
      <c r="L889" s="96" t="n"/>
    </row>
    <row r="890">
      <c r="A890" s="96" t="n"/>
      <c r="B890" s="95">
        <f>IF(A890="","", "CTR-"&amp;TEXT(ROW()-5,"000"))</f>
        <v/>
      </c>
      <c r="C890" s="95" t="n"/>
      <c r="D890" s="95" t="n"/>
      <c r="E890" s="95" t="n"/>
      <c r="F890" s="95" t="n"/>
      <c r="G890" s="95" t="n"/>
      <c r="H890" s="95" t="n"/>
      <c r="I890" s="95" t="n"/>
      <c r="J890" s="95" t="n"/>
      <c r="K890" s="95" t="n"/>
      <c r="L890" s="96" t="n"/>
    </row>
    <row r="891">
      <c r="A891" s="96" t="n"/>
      <c r="B891" s="95">
        <f>IF(A891="","", "CTR-"&amp;TEXT(ROW()-5,"000"))</f>
        <v/>
      </c>
      <c r="C891" s="95" t="n"/>
      <c r="D891" s="95" t="n"/>
      <c r="E891" s="95" t="n"/>
      <c r="F891" s="95" t="n"/>
      <c r="G891" s="95" t="n"/>
      <c r="H891" s="95" t="n"/>
      <c r="I891" s="95" t="n"/>
      <c r="J891" s="95" t="n"/>
      <c r="K891" s="95" t="n"/>
      <c r="L891" s="96" t="n"/>
    </row>
    <row r="892">
      <c r="A892" s="96" t="n"/>
      <c r="B892" s="95">
        <f>IF(A892="","", "CTR-"&amp;TEXT(ROW()-5,"000"))</f>
        <v/>
      </c>
      <c r="C892" s="95" t="n"/>
      <c r="D892" s="95" t="n"/>
      <c r="E892" s="95" t="n"/>
      <c r="F892" s="95" t="n"/>
      <c r="G892" s="95" t="n"/>
      <c r="H892" s="95" t="n"/>
      <c r="I892" s="95" t="n"/>
      <c r="J892" s="95" t="n"/>
      <c r="K892" s="95" t="n"/>
      <c r="L892" s="96" t="n"/>
    </row>
    <row r="893">
      <c r="A893" s="96" t="n"/>
      <c r="B893" s="95">
        <f>IF(A893="","", "CTR-"&amp;TEXT(ROW()-5,"000"))</f>
        <v/>
      </c>
      <c r="C893" s="95" t="n"/>
      <c r="D893" s="95" t="n"/>
      <c r="E893" s="95" t="n"/>
      <c r="F893" s="95" t="n"/>
      <c r="G893" s="95" t="n"/>
      <c r="H893" s="95" t="n"/>
      <c r="I893" s="95" t="n"/>
      <c r="J893" s="95" t="n"/>
      <c r="K893" s="95" t="n"/>
      <c r="L893" s="96" t="n"/>
    </row>
    <row r="894">
      <c r="A894" s="96" t="n"/>
      <c r="B894" s="95">
        <f>IF(A894="","", "CTR-"&amp;TEXT(ROW()-5,"000"))</f>
        <v/>
      </c>
      <c r="C894" s="95" t="n"/>
      <c r="D894" s="95" t="n"/>
      <c r="E894" s="95" t="n"/>
      <c r="F894" s="95" t="n"/>
      <c r="G894" s="95" t="n"/>
      <c r="H894" s="95" t="n"/>
      <c r="I894" s="95" t="n"/>
      <c r="J894" s="95" t="n"/>
      <c r="K894" s="95" t="n"/>
      <c r="L894" s="96" t="n"/>
    </row>
    <row r="895">
      <c r="A895" s="96" t="n"/>
      <c r="B895" s="95">
        <f>IF(A895="","", "CTR-"&amp;TEXT(ROW()-5,"000"))</f>
        <v/>
      </c>
      <c r="C895" s="95" t="n"/>
      <c r="D895" s="95" t="n"/>
      <c r="E895" s="95" t="n"/>
      <c r="F895" s="95" t="n"/>
      <c r="G895" s="95" t="n"/>
      <c r="H895" s="95" t="n"/>
      <c r="I895" s="95" t="n"/>
      <c r="J895" s="95" t="n"/>
      <c r="K895" s="95" t="n"/>
      <c r="L895" s="96" t="n"/>
    </row>
    <row r="896">
      <c r="A896" s="96" t="n"/>
      <c r="B896" s="95">
        <f>IF(A896="","", "CTR-"&amp;TEXT(ROW()-5,"000"))</f>
        <v/>
      </c>
      <c r="C896" s="95" t="n"/>
      <c r="D896" s="95" t="n"/>
      <c r="E896" s="95" t="n"/>
      <c r="F896" s="95" t="n"/>
      <c r="G896" s="95" t="n"/>
      <c r="H896" s="95" t="n"/>
      <c r="I896" s="95" t="n"/>
      <c r="J896" s="95" t="n"/>
      <c r="K896" s="95" t="n"/>
      <c r="L896" s="96" t="n"/>
    </row>
    <row r="897">
      <c r="A897" s="96" t="n"/>
      <c r="B897" s="95">
        <f>IF(A897="","", "CTR-"&amp;TEXT(ROW()-5,"000"))</f>
        <v/>
      </c>
      <c r="C897" s="95" t="n"/>
      <c r="D897" s="95" t="n"/>
      <c r="E897" s="95" t="n"/>
      <c r="F897" s="95" t="n"/>
      <c r="G897" s="95" t="n"/>
      <c r="H897" s="95" t="n"/>
      <c r="I897" s="95" t="n"/>
      <c r="J897" s="95" t="n"/>
      <c r="K897" s="95" t="n"/>
      <c r="L897" s="96" t="n"/>
    </row>
    <row r="898">
      <c r="A898" s="96" t="n"/>
      <c r="B898" s="95">
        <f>IF(A898="","", "CTR-"&amp;TEXT(ROW()-5,"000"))</f>
        <v/>
      </c>
      <c r="C898" s="95" t="n"/>
      <c r="D898" s="95" t="n"/>
      <c r="E898" s="95" t="n"/>
      <c r="F898" s="95" t="n"/>
      <c r="G898" s="95" t="n"/>
      <c r="H898" s="95" t="n"/>
      <c r="I898" s="95" t="n"/>
      <c r="J898" s="95" t="n"/>
      <c r="K898" s="95" t="n"/>
      <c r="L898" s="96" t="n"/>
    </row>
    <row r="899">
      <c r="A899" s="96" t="n"/>
      <c r="B899" s="95">
        <f>IF(A899="","", "CTR-"&amp;TEXT(ROW()-5,"000"))</f>
        <v/>
      </c>
      <c r="C899" s="95" t="n"/>
      <c r="D899" s="95" t="n"/>
      <c r="E899" s="95" t="n"/>
      <c r="F899" s="95" t="n"/>
      <c r="G899" s="95" t="n"/>
      <c r="H899" s="95" t="n"/>
      <c r="I899" s="95" t="n"/>
      <c r="J899" s="95" t="n"/>
      <c r="K899" s="95" t="n"/>
      <c r="L899" s="96" t="n"/>
    </row>
    <row r="900">
      <c r="A900" s="96" t="n"/>
      <c r="B900" s="95">
        <f>IF(A900="","", "CTR-"&amp;TEXT(ROW()-5,"000"))</f>
        <v/>
      </c>
      <c r="C900" s="95" t="n"/>
      <c r="D900" s="95" t="n"/>
      <c r="E900" s="95" t="n"/>
      <c r="F900" s="95" t="n"/>
      <c r="G900" s="95" t="n"/>
      <c r="H900" s="95" t="n"/>
      <c r="I900" s="95" t="n"/>
      <c r="J900" s="95" t="n"/>
      <c r="K900" s="95" t="n"/>
      <c r="L900" s="96" t="n"/>
    </row>
    <row r="901">
      <c r="A901" s="96" t="n"/>
      <c r="B901" s="95">
        <f>IF(A901="","", "CTR-"&amp;TEXT(ROW()-5,"000"))</f>
        <v/>
      </c>
      <c r="C901" s="95" t="n"/>
      <c r="D901" s="95" t="n"/>
      <c r="E901" s="95" t="n"/>
      <c r="F901" s="95" t="n"/>
      <c r="G901" s="95" t="n"/>
      <c r="H901" s="95" t="n"/>
      <c r="I901" s="95" t="n"/>
      <c r="J901" s="95" t="n"/>
      <c r="K901" s="95" t="n"/>
      <c r="L901" s="96" t="n"/>
    </row>
    <row r="902">
      <c r="A902" s="96" t="n"/>
      <c r="B902" s="95">
        <f>IF(A902="","", "CTR-"&amp;TEXT(ROW()-5,"000"))</f>
        <v/>
      </c>
      <c r="C902" s="95" t="n"/>
      <c r="D902" s="95" t="n"/>
      <c r="E902" s="95" t="n"/>
      <c r="F902" s="95" t="n"/>
      <c r="G902" s="95" t="n"/>
      <c r="H902" s="95" t="n"/>
      <c r="I902" s="95" t="n"/>
      <c r="J902" s="95" t="n"/>
      <c r="K902" s="95" t="n"/>
      <c r="L902" s="96" t="n"/>
    </row>
    <row r="903">
      <c r="A903" s="96" t="n"/>
      <c r="B903" s="95">
        <f>IF(A903="","", "CTR-"&amp;TEXT(ROW()-5,"000"))</f>
        <v/>
      </c>
      <c r="C903" s="95" t="n"/>
      <c r="D903" s="95" t="n"/>
      <c r="E903" s="95" t="n"/>
      <c r="F903" s="95" t="n"/>
      <c r="G903" s="95" t="n"/>
      <c r="H903" s="95" t="n"/>
      <c r="I903" s="95" t="n"/>
      <c r="J903" s="95" t="n"/>
      <c r="K903" s="95" t="n"/>
      <c r="L903" s="96" t="n"/>
    </row>
    <row r="904">
      <c r="A904" s="96" t="n"/>
      <c r="B904" s="95">
        <f>IF(A904="","", "CTR-"&amp;TEXT(ROW()-5,"000"))</f>
        <v/>
      </c>
      <c r="C904" s="95" t="n"/>
      <c r="D904" s="95" t="n"/>
      <c r="E904" s="95" t="n"/>
      <c r="F904" s="95" t="n"/>
      <c r="G904" s="95" t="n"/>
      <c r="H904" s="95" t="n"/>
      <c r="I904" s="95" t="n"/>
      <c r="J904" s="95" t="n"/>
      <c r="K904" s="95" t="n"/>
      <c r="L904" s="96" t="n"/>
    </row>
    <row r="905">
      <c r="A905" s="96" t="n"/>
      <c r="B905" s="95">
        <f>IF(A905="","", "CTR-"&amp;TEXT(ROW()-5,"000"))</f>
        <v/>
      </c>
      <c r="C905" s="95" t="n"/>
      <c r="D905" s="95" t="n"/>
      <c r="E905" s="95" t="n"/>
      <c r="F905" s="95" t="n"/>
      <c r="G905" s="95" t="n"/>
      <c r="H905" s="95" t="n"/>
      <c r="I905" s="95" t="n"/>
      <c r="J905" s="95" t="n"/>
      <c r="K905" s="95" t="n"/>
      <c r="L905" s="96" t="n"/>
    </row>
    <row r="906">
      <c r="A906" s="96" t="n"/>
      <c r="B906" s="95">
        <f>IF(A906="","", "CTR-"&amp;TEXT(ROW()-5,"000"))</f>
        <v/>
      </c>
      <c r="C906" s="95" t="n"/>
      <c r="D906" s="95" t="n"/>
      <c r="E906" s="95" t="n"/>
      <c r="F906" s="95" t="n"/>
      <c r="G906" s="95" t="n"/>
      <c r="H906" s="95" t="n"/>
      <c r="I906" s="95" t="n"/>
      <c r="J906" s="95" t="n"/>
      <c r="K906" s="95" t="n"/>
      <c r="L906" s="96" t="n"/>
    </row>
    <row r="907">
      <c r="A907" s="96" t="n"/>
      <c r="B907" s="95">
        <f>IF(A907="","", "CTR-"&amp;TEXT(ROW()-5,"000"))</f>
        <v/>
      </c>
      <c r="C907" s="95" t="n"/>
      <c r="D907" s="95" t="n"/>
      <c r="E907" s="95" t="n"/>
      <c r="F907" s="95" t="n"/>
      <c r="G907" s="95" t="n"/>
      <c r="H907" s="95" t="n"/>
      <c r="I907" s="95" t="n"/>
      <c r="J907" s="95" t="n"/>
      <c r="K907" s="95" t="n"/>
      <c r="L907" s="96" t="n"/>
    </row>
    <row r="908">
      <c r="A908" s="96" t="n"/>
      <c r="B908" s="95">
        <f>IF(A908="","", "CTR-"&amp;TEXT(ROW()-5,"000"))</f>
        <v/>
      </c>
      <c r="C908" s="95" t="n"/>
      <c r="D908" s="95" t="n"/>
      <c r="E908" s="95" t="n"/>
      <c r="F908" s="95" t="n"/>
      <c r="G908" s="95" t="n"/>
      <c r="H908" s="95" t="n"/>
      <c r="I908" s="95" t="n"/>
      <c r="J908" s="95" t="n"/>
      <c r="K908" s="95" t="n"/>
      <c r="L908" s="96" t="n"/>
    </row>
    <row r="909">
      <c r="A909" s="96" t="n"/>
      <c r="B909" s="95">
        <f>IF(A909="","", "CTR-"&amp;TEXT(ROW()-5,"000"))</f>
        <v/>
      </c>
      <c r="C909" s="95" t="n"/>
      <c r="D909" s="95" t="n"/>
      <c r="E909" s="95" t="n"/>
      <c r="F909" s="95" t="n"/>
      <c r="G909" s="95" t="n"/>
      <c r="H909" s="95" t="n"/>
      <c r="I909" s="95" t="n"/>
      <c r="J909" s="95" t="n"/>
      <c r="K909" s="95" t="n"/>
      <c r="L909" s="96" t="n"/>
    </row>
    <row r="910">
      <c r="A910" s="96" t="n"/>
      <c r="B910" s="95">
        <f>IF(A910="","", "CTR-"&amp;TEXT(ROW()-5,"000"))</f>
        <v/>
      </c>
      <c r="C910" s="95" t="n"/>
      <c r="D910" s="95" t="n"/>
      <c r="E910" s="95" t="n"/>
      <c r="F910" s="95" t="n"/>
      <c r="G910" s="95" t="n"/>
      <c r="H910" s="95" t="n"/>
      <c r="I910" s="95" t="n"/>
      <c r="J910" s="95" t="n"/>
      <c r="K910" s="95" t="n"/>
      <c r="L910" s="96" t="n"/>
    </row>
    <row r="911">
      <c r="A911" s="96" t="n"/>
      <c r="B911" s="95">
        <f>IF(A911="","", "CTR-"&amp;TEXT(ROW()-5,"000"))</f>
        <v/>
      </c>
      <c r="C911" s="95" t="n"/>
      <c r="D911" s="95" t="n"/>
      <c r="E911" s="95" t="n"/>
      <c r="F911" s="95" t="n"/>
      <c r="G911" s="95" t="n"/>
      <c r="H911" s="95" t="n"/>
      <c r="I911" s="95" t="n"/>
      <c r="J911" s="95" t="n"/>
      <c r="K911" s="95" t="n"/>
      <c r="L911" s="96" t="n"/>
    </row>
    <row r="912">
      <c r="A912" s="96" t="n"/>
      <c r="B912" s="95">
        <f>IF(A912="","", "CTR-"&amp;TEXT(ROW()-5,"000"))</f>
        <v/>
      </c>
      <c r="C912" s="95" t="n"/>
      <c r="D912" s="95" t="n"/>
      <c r="E912" s="95" t="n"/>
      <c r="F912" s="95" t="n"/>
      <c r="G912" s="95" t="n"/>
      <c r="H912" s="95" t="n"/>
      <c r="I912" s="95" t="n"/>
      <c r="J912" s="95" t="n"/>
      <c r="K912" s="95" t="n"/>
      <c r="L912" s="96" t="n"/>
    </row>
    <row r="913">
      <c r="A913" s="96" t="n"/>
      <c r="B913" s="95">
        <f>IF(A913="","", "CTR-"&amp;TEXT(ROW()-5,"000"))</f>
        <v/>
      </c>
      <c r="C913" s="95" t="n"/>
      <c r="D913" s="95" t="n"/>
      <c r="E913" s="95" t="n"/>
      <c r="F913" s="95" t="n"/>
      <c r="G913" s="95" t="n"/>
      <c r="H913" s="95" t="n"/>
      <c r="I913" s="95" t="n"/>
      <c r="J913" s="95" t="n"/>
      <c r="K913" s="95" t="n"/>
      <c r="L913" s="96" t="n"/>
    </row>
    <row r="914">
      <c r="A914" s="96" t="n"/>
      <c r="B914" s="95">
        <f>IF(A914="","", "CTR-"&amp;TEXT(ROW()-5,"000"))</f>
        <v/>
      </c>
      <c r="C914" s="95" t="n"/>
      <c r="D914" s="95" t="n"/>
      <c r="E914" s="95" t="n"/>
      <c r="F914" s="95" t="n"/>
      <c r="G914" s="95" t="n"/>
      <c r="H914" s="95" t="n"/>
      <c r="I914" s="95" t="n"/>
      <c r="J914" s="95" t="n"/>
      <c r="K914" s="95" t="n"/>
      <c r="L914" s="96" t="n"/>
    </row>
    <row r="915">
      <c r="A915" s="96" t="n"/>
      <c r="B915" s="95">
        <f>IF(A915="","", "CTR-"&amp;TEXT(ROW()-5,"000"))</f>
        <v/>
      </c>
      <c r="C915" s="95" t="n"/>
      <c r="D915" s="95" t="n"/>
      <c r="E915" s="95" t="n"/>
      <c r="F915" s="95" t="n"/>
      <c r="G915" s="95" t="n"/>
      <c r="H915" s="95" t="n"/>
      <c r="I915" s="95" t="n"/>
      <c r="J915" s="95" t="n"/>
      <c r="K915" s="95" t="n"/>
      <c r="L915" s="96" t="n"/>
    </row>
    <row r="916">
      <c r="A916" s="96" t="n"/>
      <c r="B916" s="95">
        <f>IF(A916="","", "CTR-"&amp;TEXT(ROW()-5,"000"))</f>
        <v/>
      </c>
      <c r="C916" s="95" t="n"/>
      <c r="D916" s="95" t="n"/>
      <c r="E916" s="95" t="n"/>
      <c r="F916" s="95" t="n"/>
      <c r="G916" s="95" t="n"/>
      <c r="H916" s="95" t="n"/>
      <c r="I916" s="95" t="n"/>
      <c r="J916" s="95" t="n"/>
      <c r="K916" s="95" t="n"/>
      <c r="L916" s="96" t="n"/>
    </row>
    <row r="917">
      <c r="A917" s="96" t="n"/>
      <c r="B917" s="95">
        <f>IF(A917="","", "CTR-"&amp;TEXT(ROW()-5,"000"))</f>
        <v/>
      </c>
      <c r="C917" s="95" t="n"/>
      <c r="D917" s="95" t="n"/>
      <c r="E917" s="95" t="n"/>
      <c r="F917" s="95" t="n"/>
      <c r="G917" s="95" t="n"/>
      <c r="H917" s="95" t="n"/>
      <c r="I917" s="95" t="n"/>
      <c r="J917" s="95" t="n"/>
      <c r="K917" s="95" t="n"/>
      <c r="L917" s="96" t="n"/>
    </row>
    <row r="918">
      <c r="A918" s="96" t="n"/>
      <c r="B918" s="95">
        <f>IF(A918="","", "CTR-"&amp;TEXT(ROW()-5,"000"))</f>
        <v/>
      </c>
      <c r="C918" s="95" t="n"/>
      <c r="D918" s="95" t="n"/>
      <c r="E918" s="95" t="n"/>
      <c r="F918" s="95" t="n"/>
      <c r="G918" s="95" t="n"/>
      <c r="H918" s="95" t="n"/>
      <c r="I918" s="95" t="n"/>
      <c r="J918" s="95" t="n"/>
      <c r="K918" s="95" t="n"/>
      <c r="L918" s="96" t="n"/>
    </row>
    <row r="919">
      <c r="A919" s="96" t="n"/>
      <c r="B919" s="95">
        <f>IF(A919="","", "CTR-"&amp;TEXT(ROW()-5,"000"))</f>
        <v/>
      </c>
      <c r="C919" s="95" t="n"/>
      <c r="D919" s="95" t="n"/>
      <c r="E919" s="95" t="n"/>
      <c r="F919" s="95" t="n"/>
      <c r="G919" s="95" t="n"/>
      <c r="H919" s="95" t="n"/>
      <c r="I919" s="95" t="n"/>
      <c r="J919" s="95" t="n"/>
      <c r="K919" s="95" t="n"/>
      <c r="L919" s="96" t="n"/>
    </row>
    <row r="920">
      <c r="A920" s="96" t="n"/>
      <c r="B920" s="95">
        <f>IF(A920="","", "CTR-"&amp;TEXT(ROW()-5,"000"))</f>
        <v/>
      </c>
      <c r="C920" s="95" t="n"/>
      <c r="D920" s="95" t="n"/>
      <c r="E920" s="95" t="n"/>
      <c r="F920" s="95" t="n"/>
      <c r="G920" s="95" t="n"/>
      <c r="H920" s="95" t="n"/>
      <c r="I920" s="95" t="n"/>
      <c r="J920" s="95" t="n"/>
      <c r="K920" s="95" t="n"/>
      <c r="L920" s="96" t="n"/>
    </row>
    <row r="921">
      <c r="A921" s="96" t="n"/>
      <c r="B921" s="95">
        <f>IF(A921="","", "CTR-"&amp;TEXT(ROW()-5,"000"))</f>
        <v/>
      </c>
      <c r="C921" s="95" t="n"/>
      <c r="D921" s="95" t="n"/>
      <c r="E921" s="95" t="n"/>
      <c r="F921" s="95" t="n"/>
      <c r="G921" s="95" t="n"/>
      <c r="H921" s="95" t="n"/>
      <c r="I921" s="95" t="n"/>
      <c r="J921" s="95" t="n"/>
      <c r="K921" s="95" t="n"/>
      <c r="L921" s="96" t="n"/>
    </row>
    <row r="922">
      <c r="A922" s="96" t="n"/>
      <c r="B922" s="95">
        <f>IF(A922="","", "CTR-"&amp;TEXT(ROW()-5,"000"))</f>
        <v/>
      </c>
      <c r="C922" s="95" t="n"/>
      <c r="D922" s="95" t="n"/>
      <c r="E922" s="95" t="n"/>
      <c r="F922" s="95" t="n"/>
      <c r="G922" s="95" t="n"/>
      <c r="H922" s="95" t="n"/>
      <c r="I922" s="95" t="n"/>
      <c r="J922" s="95" t="n"/>
      <c r="K922" s="95" t="n"/>
      <c r="L922" s="96" t="n"/>
    </row>
    <row r="923">
      <c r="A923" s="96" t="n"/>
      <c r="B923" s="95">
        <f>IF(A923="","", "CTR-"&amp;TEXT(ROW()-5,"000"))</f>
        <v/>
      </c>
      <c r="C923" s="95" t="n"/>
      <c r="D923" s="95" t="n"/>
      <c r="E923" s="95" t="n"/>
      <c r="F923" s="95" t="n"/>
      <c r="G923" s="95" t="n"/>
      <c r="H923" s="95" t="n"/>
      <c r="I923" s="95" t="n"/>
      <c r="J923" s="95" t="n"/>
      <c r="K923" s="95" t="n"/>
      <c r="L923" s="96" t="n"/>
    </row>
    <row r="924">
      <c r="A924" s="96" t="n"/>
      <c r="B924" s="95">
        <f>IF(A924="","", "CTR-"&amp;TEXT(ROW()-5,"000"))</f>
        <v/>
      </c>
      <c r="C924" s="95" t="n"/>
      <c r="D924" s="95" t="n"/>
      <c r="E924" s="95" t="n"/>
      <c r="F924" s="95" t="n"/>
      <c r="G924" s="95" t="n"/>
      <c r="H924" s="95" t="n"/>
      <c r="I924" s="95" t="n"/>
      <c r="J924" s="95" t="n"/>
      <c r="K924" s="95" t="n"/>
      <c r="L924" s="96" t="n"/>
    </row>
    <row r="925">
      <c r="A925" s="96" t="n"/>
      <c r="B925" s="95">
        <f>IF(A925="","", "CTR-"&amp;TEXT(ROW()-5,"000"))</f>
        <v/>
      </c>
      <c r="C925" s="95" t="n"/>
      <c r="D925" s="95" t="n"/>
      <c r="E925" s="95" t="n"/>
      <c r="F925" s="95" t="n"/>
      <c r="G925" s="95" t="n"/>
      <c r="H925" s="95" t="n"/>
      <c r="I925" s="95" t="n"/>
      <c r="J925" s="95" t="n"/>
      <c r="K925" s="95" t="n"/>
      <c r="L925" s="96" t="n"/>
    </row>
    <row r="926">
      <c r="A926" s="96" t="n"/>
      <c r="B926" s="95">
        <f>IF(A926="","", "CTR-"&amp;TEXT(ROW()-5,"000"))</f>
        <v/>
      </c>
      <c r="C926" s="95" t="n"/>
      <c r="D926" s="95" t="n"/>
      <c r="E926" s="95" t="n"/>
      <c r="F926" s="95" t="n"/>
      <c r="G926" s="95" t="n"/>
      <c r="H926" s="95" t="n"/>
      <c r="I926" s="95" t="n"/>
      <c r="J926" s="95" t="n"/>
      <c r="K926" s="95" t="n"/>
      <c r="L926" s="96" t="n"/>
    </row>
    <row r="927">
      <c r="A927" s="96" t="n"/>
      <c r="B927" s="95">
        <f>IF(A927="","", "CTR-"&amp;TEXT(ROW()-5,"000"))</f>
        <v/>
      </c>
      <c r="C927" s="95" t="n"/>
      <c r="D927" s="95" t="n"/>
      <c r="E927" s="95" t="n"/>
      <c r="F927" s="95" t="n"/>
      <c r="G927" s="95" t="n"/>
      <c r="H927" s="95" t="n"/>
      <c r="I927" s="95" t="n"/>
      <c r="J927" s="95" t="n"/>
      <c r="K927" s="95" t="n"/>
      <c r="L927" s="96" t="n"/>
    </row>
    <row r="928">
      <c r="A928" s="96" t="n"/>
      <c r="B928" s="95">
        <f>IF(A928="","", "CTR-"&amp;TEXT(ROW()-5,"000"))</f>
        <v/>
      </c>
      <c r="C928" s="95" t="n"/>
      <c r="D928" s="95" t="n"/>
      <c r="E928" s="95" t="n"/>
      <c r="F928" s="95" t="n"/>
      <c r="G928" s="95" t="n"/>
      <c r="H928" s="95" t="n"/>
      <c r="I928" s="95" t="n"/>
      <c r="J928" s="95" t="n"/>
      <c r="K928" s="95" t="n"/>
      <c r="L928" s="96" t="n"/>
    </row>
    <row r="929">
      <c r="A929" s="96" t="n"/>
      <c r="B929" s="95">
        <f>IF(A929="","", "CTR-"&amp;TEXT(ROW()-5,"000"))</f>
        <v/>
      </c>
      <c r="C929" s="95" t="n"/>
      <c r="D929" s="95" t="n"/>
      <c r="E929" s="95" t="n"/>
      <c r="F929" s="95" t="n"/>
      <c r="G929" s="95" t="n"/>
      <c r="H929" s="95" t="n"/>
      <c r="I929" s="95" t="n"/>
      <c r="J929" s="95" t="n"/>
      <c r="K929" s="95" t="n"/>
      <c r="L929" s="96" t="n"/>
    </row>
    <row r="930">
      <c r="A930" s="96" t="n"/>
      <c r="B930" s="95">
        <f>IF(A930="","", "CTR-"&amp;TEXT(ROW()-5,"000"))</f>
        <v/>
      </c>
      <c r="C930" s="95" t="n"/>
      <c r="D930" s="95" t="n"/>
      <c r="E930" s="95" t="n"/>
      <c r="F930" s="95" t="n"/>
      <c r="G930" s="95" t="n"/>
      <c r="H930" s="95" t="n"/>
      <c r="I930" s="95" t="n"/>
      <c r="J930" s="95" t="n"/>
      <c r="K930" s="95" t="n"/>
      <c r="L930" s="96" t="n"/>
    </row>
    <row r="931">
      <c r="A931" s="96" t="n"/>
      <c r="B931" s="95">
        <f>IF(A931="","", "CTR-"&amp;TEXT(ROW()-5,"000"))</f>
        <v/>
      </c>
      <c r="C931" s="95" t="n"/>
      <c r="D931" s="95" t="n"/>
      <c r="E931" s="95" t="n"/>
      <c r="F931" s="95" t="n"/>
      <c r="G931" s="95" t="n"/>
      <c r="H931" s="95" t="n"/>
      <c r="I931" s="95" t="n"/>
      <c r="J931" s="95" t="n"/>
      <c r="K931" s="95" t="n"/>
      <c r="L931" s="96" t="n"/>
    </row>
    <row r="932">
      <c r="A932" s="96" t="n"/>
      <c r="B932" s="95">
        <f>IF(A932="","", "CTR-"&amp;TEXT(ROW()-5,"000"))</f>
        <v/>
      </c>
      <c r="C932" s="95" t="n"/>
      <c r="D932" s="95" t="n"/>
      <c r="E932" s="95" t="n"/>
      <c r="F932" s="95" t="n"/>
      <c r="G932" s="95" t="n"/>
      <c r="H932" s="95" t="n"/>
      <c r="I932" s="95" t="n"/>
      <c r="J932" s="95" t="n"/>
      <c r="K932" s="95" t="n"/>
      <c r="L932" s="96" t="n"/>
    </row>
    <row r="933">
      <c r="A933" s="96" t="n"/>
      <c r="B933" s="95">
        <f>IF(A933="","", "CTR-"&amp;TEXT(ROW()-5,"000"))</f>
        <v/>
      </c>
      <c r="C933" s="95" t="n"/>
      <c r="D933" s="95" t="n"/>
      <c r="E933" s="95" t="n"/>
      <c r="F933" s="95" t="n"/>
      <c r="G933" s="95" t="n"/>
      <c r="H933" s="95" t="n"/>
      <c r="I933" s="95" t="n"/>
      <c r="J933" s="95" t="n"/>
      <c r="K933" s="95" t="n"/>
      <c r="L933" s="96" t="n"/>
    </row>
    <row r="934">
      <c r="A934" s="96" t="n"/>
      <c r="B934" s="95">
        <f>IF(A934="","", "CTR-"&amp;TEXT(ROW()-5,"000"))</f>
        <v/>
      </c>
      <c r="C934" s="95" t="n"/>
      <c r="D934" s="95" t="n"/>
      <c r="E934" s="95" t="n"/>
      <c r="F934" s="95" t="n"/>
      <c r="G934" s="95" t="n"/>
      <c r="H934" s="95" t="n"/>
      <c r="I934" s="95" t="n"/>
      <c r="J934" s="95" t="n"/>
      <c r="K934" s="95" t="n"/>
      <c r="L934" s="96" t="n"/>
    </row>
    <row r="935">
      <c r="A935" s="96" t="n"/>
      <c r="B935" s="95">
        <f>IF(A935="","", "CTR-"&amp;TEXT(ROW()-5,"000"))</f>
        <v/>
      </c>
      <c r="C935" s="95" t="n"/>
      <c r="D935" s="95" t="n"/>
      <c r="E935" s="95" t="n"/>
      <c r="F935" s="95" t="n"/>
      <c r="G935" s="95" t="n"/>
      <c r="H935" s="95" t="n"/>
      <c r="I935" s="95" t="n"/>
      <c r="J935" s="95" t="n"/>
      <c r="K935" s="95" t="n"/>
      <c r="L935" s="96" t="n"/>
    </row>
    <row r="936">
      <c r="A936" s="96" t="n"/>
      <c r="B936" s="95">
        <f>IF(A936="","", "CTR-"&amp;TEXT(ROW()-5,"000"))</f>
        <v/>
      </c>
      <c r="C936" s="95" t="n"/>
      <c r="D936" s="95" t="n"/>
      <c r="E936" s="95" t="n"/>
      <c r="F936" s="95" t="n"/>
      <c r="G936" s="95" t="n"/>
      <c r="H936" s="95" t="n"/>
      <c r="I936" s="95" t="n"/>
      <c r="J936" s="95" t="n"/>
      <c r="K936" s="95" t="n"/>
      <c r="L936" s="96" t="n"/>
    </row>
    <row r="937">
      <c r="A937" s="96" t="n"/>
      <c r="B937" s="95">
        <f>IF(A937="","", "CTR-"&amp;TEXT(ROW()-5,"000"))</f>
        <v/>
      </c>
      <c r="C937" s="95" t="n"/>
      <c r="D937" s="95" t="n"/>
      <c r="E937" s="95" t="n"/>
      <c r="F937" s="95" t="n"/>
      <c r="G937" s="95" t="n"/>
      <c r="H937" s="95" t="n"/>
      <c r="I937" s="95" t="n"/>
      <c r="J937" s="95" t="n"/>
      <c r="K937" s="95" t="n"/>
      <c r="L937" s="96" t="n"/>
    </row>
    <row r="938">
      <c r="A938" s="96" t="n"/>
      <c r="B938" s="95">
        <f>IF(A938="","", "CTR-"&amp;TEXT(ROW()-5,"000"))</f>
        <v/>
      </c>
      <c r="C938" s="95" t="n"/>
      <c r="D938" s="95" t="n"/>
      <c r="E938" s="95" t="n"/>
      <c r="F938" s="95" t="n"/>
      <c r="G938" s="95" t="n"/>
      <c r="H938" s="95" t="n"/>
      <c r="I938" s="95" t="n"/>
      <c r="J938" s="95" t="n"/>
      <c r="K938" s="95" t="n"/>
      <c r="L938" s="96" t="n"/>
    </row>
    <row r="939">
      <c r="A939" s="96" t="n"/>
      <c r="B939" s="95">
        <f>IF(A939="","", "CTR-"&amp;TEXT(ROW()-5,"000"))</f>
        <v/>
      </c>
      <c r="C939" s="95" t="n"/>
      <c r="D939" s="95" t="n"/>
      <c r="E939" s="95" t="n"/>
      <c r="F939" s="95" t="n"/>
      <c r="G939" s="95" t="n"/>
      <c r="H939" s="95" t="n"/>
      <c r="I939" s="95" t="n"/>
      <c r="J939" s="95" t="n"/>
      <c r="K939" s="95" t="n"/>
      <c r="L939" s="96" t="n"/>
    </row>
    <row r="940">
      <c r="A940" s="96" t="n"/>
      <c r="B940" s="95">
        <f>IF(A940="","", "CTR-"&amp;TEXT(ROW()-5,"000"))</f>
        <v/>
      </c>
      <c r="C940" s="95" t="n"/>
      <c r="D940" s="95" t="n"/>
      <c r="E940" s="95" t="n"/>
      <c r="F940" s="95" t="n"/>
      <c r="G940" s="95" t="n"/>
      <c r="H940" s="95" t="n"/>
      <c r="I940" s="95" t="n"/>
      <c r="J940" s="95" t="n"/>
      <c r="K940" s="95" t="n"/>
      <c r="L940" s="96" t="n"/>
    </row>
    <row r="941">
      <c r="A941" s="96" t="n"/>
      <c r="B941" s="95">
        <f>IF(A941="","", "CTR-"&amp;TEXT(ROW()-5,"000"))</f>
        <v/>
      </c>
      <c r="C941" s="95" t="n"/>
      <c r="D941" s="95" t="n"/>
      <c r="E941" s="95" t="n"/>
      <c r="F941" s="95" t="n"/>
      <c r="G941" s="95" t="n"/>
      <c r="H941" s="95" t="n"/>
      <c r="I941" s="95" t="n"/>
      <c r="J941" s="95" t="n"/>
      <c r="K941" s="95" t="n"/>
      <c r="L941" s="96" t="n"/>
    </row>
    <row r="942">
      <c r="A942" s="96" t="n"/>
      <c r="B942" s="95">
        <f>IF(A942="","", "CTR-"&amp;TEXT(ROW()-5,"000"))</f>
        <v/>
      </c>
      <c r="C942" s="95" t="n"/>
      <c r="D942" s="95" t="n"/>
      <c r="E942" s="95" t="n"/>
      <c r="F942" s="95" t="n"/>
      <c r="G942" s="95" t="n"/>
      <c r="H942" s="95" t="n"/>
      <c r="I942" s="95" t="n"/>
      <c r="J942" s="95" t="n"/>
      <c r="K942" s="95" t="n"/>
      <c r="L942" s="96" t="n"/>
    </row>
    <row r="943">
      <c r="A943" s="96" t="n"/>
      <c r="B943" s="95">
        <f>IF(A943="","", "CTR-"&amp;TEXT(ROW()-5,"000"))</f>
        <v/>
      </c>
      <c r="C943" s="95" t="n"/>
      <c r="D943" s="95" t="n"/>
      <c r="E943" s="95" t="n"/>
      <c r="F943" s="95" t="n"/>
      <c r="G943" s="95" t="n"/>
      <c r="H943" s="95" t="n"/>
      <c r="I943" s="95" t="n"/>
      <c r="J943" s="95" t="n"/>
      <c r="K943" s="95" t="n"/>
      <c r="L943" s="96" t="n"/>
    </row>
    <row r="944">
      <c r="A944" s="96" t="n"/>
      <c r="B944" s="95">
        <f>IF(A944="","", "CTR-"&amp;TEXT(ROW()-5,"000"))</f>
        <v/>
      </c>
      <c r="C944" s="95" t="n"/>
      <c r="D944" s="95" t="n"/>
      <c r="E944" s="95" t="n"/>
      <c r="F944" s="95" t="n"/>
      <c r="G944" s="95" t="n"/>
      <c r="H944" s="95" t="n"/>
      <c r="I944" s="95" t="n"/>
      <c r="J944" s="95" t="n"/>
      <c r="K944" s="95" t="n"/>
      <c r="L944" s="96" t="n"/>
    </row>
    <row r="945">
      <c r="A945" s="96" t="n"/>
      <c r="B945" s="95">
        <f>IF(A945="","", "CTR-"&amp;TEXT(ROW()-5,"000"))</f>
        <v/>
      </c>
      <c r="C945" s="95" t="n"/>
      <c r="D945" s="95" t="n"/>
      <c r="E945" s="95" t="n"/>
      <c r="F945" s="95" t="n"/>
      <c r="G945" s="95" t="n"/>
      <c r="H945" s="95" t="n"/>
      <c r="I945" s="95" t="n"/>
      <c r="J945" s="95" t="n"/>
      <c r="K945" s="95" t="n"/>
      <c r="L945" s="96" t="n"/>
    </row>
    <row r="946">
      <c r="A946" s="96" t="n"/>
      <c r="B946" s="95">
        <f>IF(A946="","", "CTR-"&amp;TEXT(ROW()-5,"000"))</f>
        <v/>
      </c>
      <c r="C946" s="95" t="n"/>
      <c r="D946" s="95" t="n"/>
      <c r="E946" s="95" t="n"/>
      <c r="F946" s="95" t="n"/>
      <c r="G946" s="95" t="n"/>
      <c r="H946" s="95" t="n"/>
      <c r="I946" s="95" t="n"/>
      <c r="J946" s="95" t="n"/>
      <c r="K946" s="95" t="n"/>
      <c r="L946" s="96" t="n"/>
    </row>
    <row r="947">
      <c r="A947" s="96" t="n"/>
      <c r="B947" s="95">
        <f>IF(A947="","", "CTR-"&amp;TEXT(ROW()-5,"000"))</f>
        <v/>
      </c>
      <c r="C947" s="95" t="n"/>
      <c r="D947" s="95" t="n"/>
      <c r="E947" s="95" t="n"/>
      <c r="F947" s="95" t="n"/>
      <c r="G947" s="95" t="n"/>
      <c r="H947" s="95" t="n"/>
      <c r="I947" s="95" t="n"/>
      <c r="J947" s="95" t="n"/>
      <c r="K947" s="95" t="n"/>
      <c r="L947" s="96" t="n"/>
    </row>
    <row r="948">
      <c r="A948" s="96" t="n"/>
      <c r="B948" s="95">
        <f>IF(A948="","", "CTR-"&amp;TEXT(ROW()-5,"000"))</f>
        <v/>
      </c>
      <c r="C948" s="95" t="n"/>
      <c r="D948" s="95" t="n"/>
      <c r="E948" s="95" t="n"/>
      <c r="F948" s="95" t="n"/>
      <c r="G948" s="95" t="n"/>
      <c r="H948" s="95" t="n"/>
      <c r="I948" s="95" t="n"/>
      <c r="J948" s="95" t="n"/>
      <c r="K948" s="95" t="n"/>
      <c r="L948" s="96" t="n"/>
    </row>
    <row r="949">
      <c r="A949" s="96" t="n"/>
      <c r="B949" s="95">
        <f>IF(A949="","", "CTR-"&amp;TEXT(ROW()-5,"000"))</f>
        <v/>
      </c>
      <c r="C949" s="95" t="n"/>
      <c r="D949" s="95" t="n"/>
      <c r="E949" s="95" t="n"/>
      <c r="F949" s="95" t="n"/>
      <c r="G949" s="95" t="n"/>
      <c r="H949" s="95" t="n"/>
      <c r="I949" s="95" t="n"/>
      <c r="J949" s="95" t="n"/>
      <c r="K949" s="95" t="n"/>
      <c r="L949" s="96" t="n"/>
    </row>
    <row r="950">
      <c r="A950" s="96" t="n"/>
      <c r="B950" s="95">
        <f>IF(A950="","", "CTR-"&amp;TEXT(ROW()-5,"000"))</f>
        <v/>
      </c>
      <c r="C950" s="95" t="n"/>
      <c r="D950" s="95" t="n"/>
      <c r="E950" s="95" t="n"/>
      <c r="F950" s="95" t="n"/>
      <c r="G950" s="95" t="n"/>
      <c r="H950" s="95" t="n"/>
      <c r="I950" s="95" t="n"/>
      <c r="J950" s="95" t="n"/>
      <c r="K950" s="95" t="n"/>
      <c r="L950" s="96" t="n"/>
    </row>
    <row r="951">
      <c r="A951" s="96" t="n"/>
      <c r="B951" s="95">
        <f>IF(A951="","", "CTR-"&amp;TEXT(ROW()-5,"000"))</f>
        <v/>
      </c>
      <c r="C951" s="95" t="n"/>
      <c r="D951" s="95" t="n"/>
      <c r="E951" s="95" t="n"/>
      <c r="F951" s="95" t="n"/>
      <c r="G951" s="95" t="n"/>
      <c r="H951" s="95" t="n"/>
      <c r="I951" s="95" t="n"/>
      <c r="J951" s="95" t="n"/>
      <c r="K951" s="95" t="n"/>
      <c r="L951" s="96" t="n"/>
    </row>
    <row r="952">
      <c r="A952" s="96" t="n"/>
      <c r="B952" s="95">
        <f>IF(A952="","", "CTR-"&amp;TEXT(ROW()-5,"000"))</f>
        <v/>
      </c>
      <c r="C952" s="95" t="n"/>
      <c r="D952" s="95" t="n"/>
      <c r="E952" s="95" t="n"/>
      <c r="F952" s="95" t="n"/>
      <c r="G952" s="95" t="n"/>
      <c r="H952" s="95" t="n"/>
      <c r="I952" s="95" t="n"/>
      <c r="J952" s="95" t="n"/>
      <c r="K952" s="95" t="n"/>
      <c r="L952" s="96" t="n"/>
    </row>
    <row r="953">
      <c r="A953" s="96" t="n"/>
      <c r="B953" s="95">
        <f>IF(A953="","", "CTR-"&amp;TEXT(ROW()-5,"000"))</f>
        <v/>
      </c>
      <c r="C953" s="95" t="n"/>
      <c r="D953" s="95" t="n"/>
      <c r="E953" s="95" t="n"/>
      <c r="F953" s="95" t="n"/>
      <c r="G953" s="95" t="n"/>
      <c r="H953" s="95" t="n"/>
      <c r="I953" s="95" t="n"/>
      <c r="J953" s="95" t="n"/>
      <c r="K953" s="95" t="n"/>
      <c r="L953" s="96" t="n"/>
    </row>
    <row r="954">
      <c r="A954" s="96" t="n"/>
      <c r="B954" s="95">
        <f>IF(A954="","", "CTR-"&amp;TEXT(ROW()-5,"000"))</f>
        <v/>
      </c>
      <c r="C954" s="95" t="n"/>
      <c r="D954" s="95" t="n"/>
      <c r="E954" s="95" t="n"/>
      <c r="F954" s="95" t="n"/>
      <c r="G954" s="95" t="n"/>
      <c r="H954" s="95" t="n"/>
      <c r="I954" s="95" t="n"/>
      <c r="J954" s="95" t="n"/>
      <c r="K954" s="95" t="n"/>
      <c r="L954" s="96" t="n"/>
    </row>
    <row r="955">
      <c r="A955" s="96" t="n"/>
      <c r="B955" s="95">
        <f>IF(A955="","", "CTR-"&amp;TEXT(ROW()-5,"000"))</f>
        <v/>
      </c>
      <c r="C955" s="95" t="n"/>
      <c r="D955" s="95" t="n"/>
      <c r="E955" s="95" t="n"/>
      <c r="F955" s="95" t="n"/>
      <c r="G955" s="95" t="n"/>
      <c r="H955" s="95" t="n"/>
      <c r="I955" s="95" t="n"/>
      <c r="J955" s="95" t="n"/>
      <c r="K955" s="95" t="n"/>
      <c r="L955" s="96" t="n"/>
    </row>
    <row r="956">
      <c r="A956" s="96" t="n"/>
      <c r="B956" s="95">
        <f>IF(A956="","", "CTR-"&amp;TEXT(ROW()-5,"000"))</f>
        <v/>
      </c>
      <c r="C956" s="95" t="n"/>
      <c r="D956" s="95" t="n"/>
      <c r="E956" s="95" t="n"/>
      <c r="F956" s="95" t="n"/>
      <c r="G956" s="95" t="n"/>
      <c r="H956" s="95" t="n"/>
      <c r="I956" s="95" t="n"/>
      <c r="J956" s="95" t="n"/>
      <c r="K956" s="95" t="n"/>
      <c r="L956" s="96" t="n"/>
    </row>
    <row r="957">
      <c r="A957" s="96" t="n"/>
      <c r="B957" s="95">
        <f>IF(A957="","", "CTR-"&amp;TEXT(ROW()-5,"000"))</f>
        <v/>
      </c>
      <c r="C957" s="95" t="n"/>
      <c r="D957" s="95" t="n"/>
      <c r="E957" s="95" t="n"/>
      <c r="F957" s="95" t="n"/>
      <c r="G957" s="95" t="n"/>
      <c r="H957" s="95" t="n"/>
      <c r="I957" s="95" t="n"/>
      <c r="J957" s="95" t="n"/>
      <c r="K957" s="95" t="n"/>
      <c r="L957" s="96" t="n"/>
    </row>
    <row r="958">
      <c r="A958" s="96" t="n"/>
      <c r="B958" s="95">
        <f>IF(A958="","", "CTR-"&amp;TEXT(ROW()-5,"000"))</f>
        <v/>
      </c>
      <c r="C958" s="95" t="n"/>
      <c r="D958" s="95" t="n"/>
      <c r="E958" s="95" t="n"/>
      <c r="F958" s="95" t="n"/>
      <c r="G958" s="95" t="n"/>
      <c r="H958" s="95" t="n"/>
      <c r="I958" s="95" t="n"/>
      <c r="J958" s="95" t="n"/>
      <c r="K958" s="95" t="n"/>
      <c r="L958" s="96" t="n"/>
    </row>
    <row r="959">
      <c r="A959" s="96" t="n"/>
      <c r="B959" s="95">
        <f>IF(A959="","", "CTR-"&amp;TEXT(ROW()-5,"000"))</f>
        <v/>
      </c>
      <c r="C959" s="95" t="n"/>
      <c r="D959" s="95" t="n"/>
      <c r="E959" s="95" t="n"/>
      <c r="F959" s="95" t="n"/>
      <c r="G959" s="95" t="n"/>
      <c r="H959" s="95" t="n"/>
      <c r="I959" s="95" t="n"/>
      <c r="J959" s="95" t="n"/>
      <c r="K959" s="95" t="n"/>
      <c r="L959" s="96" t="n"/>
    </row>
    <row r="960">
      <c r="A960" s="96" t="n"/>
      <c r="B960" s="95">
        <f>IF(A960="","", "CTR-"&amp;TEXT(ROW()-5,"000"))</f>
        <v/>
      </c>
      <c r="C960" s="95" t="n"/>
      <c r="D960" s="95" t="n"/>
      <c r="E960" s="95" t="n"/>
      <c r="F960" s="95" t="n"/>
      <c r="G960" s="95" t="n"/>
      <c r="H960" s="95" t="n"/>
      <c r="I960" s="95" t="n"/>
      <c r="J960" s="95" t="n"/>
      <c r="K960" s="95" t="n"/>
      <c r="L960" s="96" t="n"/>
    </row>
    <row r="961">
      <c r="A961" s="96" t="n"/>
      <c r="B961" s="95">
        <f>IF(A961="","", "CTR-"&amp;TEXT(ROW()-5,"000"))</f>
        <v/>
      </c>
      <c r="C961" s="95" t="n"/>
      <c r="D961" s="95" t="n"/>
      <c r="E961" s="95" t="n"/>
      <c r="F961" s="95" t="n"/>
      <c r="G961" s="95" t="n"/>
      <c r="H961" s="95" t="n"/>
      <c r="I961" s="95" t="n"/>
      <c r="J961" s="95" t="n"/>
      <c r="K961" s="95" t="n"/>
      <c r="L961" s="96" t="n"/>
    </row>
    <row r="962">
      <c r="A962" s="96" t="n"/>
      <c r="B962" s="95">
        <f>IF(A962="","", "CTR-"&amp;TEXT(ROW()-5,"000"))</f>
        <v/>
      </c>
      <c r="C962" s="95" t="n"/>
      <c r="D962" s="95" t="n"/>
      <c r="E962" s="95" t="n"/>
      <c r="F962" s="95" t="n"/>
      <c r="G962" s="95" t="n"/>
      <c r="H962" s="95" t="n"/>
      <c r="I962" s="95" t="n"/>
      <c r="J962" s="95" t="n"/>
      <c r="K962" s="95" t="n"/>
      <c r="L962" s="96" t="n"/>
    </row>
    <row r="963">
      <c r="A963" s="96" t="n"/>
      <c r="B963" s="95">
        <f>IF(A963="","", "CTR-"&amp;TEXT(ROW()-5,"000"))</f>
        <v/>
      </c>
      <c r="C963" s="95" t="n"/>
      <c r="D963" s="95" t="n"/>
      <c r="E963" s="95" t="n"/>
      <c r="F963" s="95" t="n"/>
      <c r="G963" s="95" t="n"/>
      <c r="H963" s="95" t="n"/>
      <c r="I963" s="95" t="n"/>
      <c r="J963" s="95" t="n"/>
      <c r="K963" s="95" t="n"/>
      <c r="L963" s="96" t="n"/>
    </row>
    <row r="964">
      <c r="A964" s="96" t="n"/>
      <c r="B964" s="95">
        <f>IF(A964="","", "CTR-"&amp;TEXT(ROW()-5,"000"))</f>
        <v/>
      </c>
      <c r="C964" s="95" t="n"/>
      <c r="D964" s="95" t="n"/>
      <c r="E964" s="95" t="n"/>
      <c r="F964" s="95" t="n"/>
      <c r="G964" s="95" t="n"/>
      <c r="H964" s="95" t="n"/>
      <c r="I964" s="95" t="n"/>
      <c r="J964" s="95" t="n"/>
      <c r="K964" s="95" t="n"/>
      <c r="L964" s="96" t="n"/>
    </row>
    <row r="965">
      <c r="A965" s="96" t="n"/>
      <c r="B965" s="95">
        <f>IF(A965="","", "CTR-"&amp;TEXT(ROW()-5,"000"))</f>
        <v/>
      </c>
      <c r="C965" s="95" t="n"/>
      <c r="D965" s="95" t="n"/>
      <c r="E965" s="95" t="n"/>
      <c r="F965" s="95" t="n"/>
      <c r="G965" s="95" t="n"/>
      <c r="H965" s="95" t="n"/>
      <c r="I965" s="95" t="n"/>
      <c r="J965" s="95" t="n"/>
      <c r="K965" s="95" t="n"/>
      <c r="L965" s="96" t="n"/>
    </row>
    <row r="966">
      <c r="A966" s="96" t="n"/>
      <c r="B966" s="95">
        <f>IF(A966="","", "CTR-"&amp;TEXT(ROW()-5,"000"))</f>
        <v/>
      </c>
      <c r="C966" s="95" t="n"/>
      <c r="D966" s="95" t="n"/>
      <c r="E966" s="95" t="n"/>
      <c r="F966" s="95" t="n"/>
      <c r="G966" s="95" t="n"/>
      <c r="H966" s="95" t="n"/>
      <c r="I966" s="95" t="n"/>
      <c r="J966" s="95" t="n"/>
      <c r="K966" s="95" t="n"/>
      <c r="L966" s="96" t="n"/>
    </row>
    <row r="967">
      <c r="A967" s="96" t="n"/>
      <c r="B967" s="95">
        <f>IF(A967="","", "CTR-"&amp;TEXT(ROW()-5,"000"))</f>
        <v/>
      </c>
      <c r="C967" s="95" t="n"/>
      <c r="D967" s="95" t="n"/>
      <c r="E967" s="95" t="n"/>
      <c r="F967" s="95" t="n"/>
      <c r="G967" s="95" t="n"/>
      <c r="H967" s="95" t="n"/>
      <c r="I967" s="95" t="n"/>
      <c r="J967" s="95" t="n"/>
      <c r="K967" s="95" t="n"/>
      <c r="L967" s="96" t="n"/>
    </row>
    <row r="968">
      <c r="A968" s="96" t="n"/>
      <c r="B968" s="95">
        <f>IF(A968="","", "CTR-"&amp;TEXT(ROW()-5,"000"))</f>
        <v/>
      </c>
      <c r="C968" s="95" t="n"/>
      <c r="D968" s="95" t="n"/>
      <c r="E968" s="95" t="n"/>
      <c r="F968" s="95" t="n"/>
      <c r="G968" s="95" t="n"/>
      <c r="H968" s="95" t="n"/>
      <c r="I968" s="95" t="n"/>
      <c r="J968" s="95" t="n"/>
      <c r="K968" s="95" t="n"/>
      <c r="L968" s="96" t="n"/>
    </row>
    <row r="969">
      <c r="A969" s="96" t="n"/>
      <c r="B969" s="95">
        <f>IF(A969="","", "CTR-"&amp;TEXT(ROW()-5,"000"))</f>
        <v/>
      </c>
      <c r="C969" s="95" t="n"/>
      <c r="D969" s="95" t="n"/>
      <c r="E969" s="95" t="n"/>
      <c r="F969" s="95" t="n"/>
      <c r="G969" s="95" t="n"/>
      <c r="H969" s="95" t="n"/>
      <c r="I969" s="95" t="n"/>
      <c r="J969" s="95" t="n"/>
      <c r="K969" s="95" t="n"/>
      <c r="L969" s="96" t="n"/>
    </row>
    <row r="970">
      <c r="A970" s="96" t="n"/>
      <c r="B970" s="95">
        <f>IF(A970="","", "CTR-"&amp;TEXT(ROW()-5,"000"))</f>
        <v/>
      </c>
      <c r="C970" s="95" t="n"/>
      <c r="D970" s="95" t="n"/>
      <c r="E970" s="95" t="n"/>
      <c r="F970" s="95" t="n"/>
      <c r="G970" s="95" t="n"/>
      <c r="H970" s="95" t="n"/>
      <c r="I970" s="95" t="n"/>
      <c r="J970" s="95" t="n"/>
      <c r="K970" s="95" t="n"/>
      <c r="L970" s="96" t="n"/>
    </row>
    <row r="971">
      <c r="A971" s="96" t="n"/>
      <c r="B971" s="95">
        <f>IF(A971="","", "CTR-"&amp;TEXT(ROW()-5,"000"))</f>
        <v/>
      </c>
      <c r="C971" s="95" t="n"/>
      <c r="D971" s="95" t="n"/>
      <c r="E971" s="95" t="n"/>
      <c r="F971" s="95" t="n"/>
      <c r="G971" s="95" t="n"/>
      <c r="H971" s="95" t="n"/>
      <c r="I971" s="95" t="n"/>
      <c r="J971" s="95" t="n"/>
      <c r="K971" s="95" t="n"/>
      <c r="L971" s="96" t="n"/>
    </row>
    <row r="972">
      <c r="A972" s="96" t="n"/>
      <c r="B972" s="95">
        <f>IF(A972="","", "CTR-"&amp;TEXT(ROW()-5,"000"))</f>
        <v/>
      </c>
      <c r="C972" s="95" t="n"/>
      <c r="D972" s="95" t="n"/>
      <c r="E972" s="95" t="n"/>
      <c r="F972" s="95" t="n"/>
      <c r="G972" s="95" t="n"/>
      <c r="H972" s="95" t="n"/>
      <c r="I972" s="95" t="n"/>
      <c r="J972" s="95" t="n"/>
      <c r="K972" s="95" t="n"/>
      <c r="L972" s="96" t="n"/>
    </row>
    <row r="973">
      <c r="A973" s="96" t="n"/>
      <c r="B973" s="95">
        <f>IF(A973="","", "CTR-"&amp;TEXT(ROW()-5,"000"))</f>
        <v/>
      </c>
      <c r="C973" s="95" t="n"/>
      <c r="D973" s="95" t="n"/>
      <c r="E973" s="95" t="n"/>
      <c r="F973" s="95" t="n"/>
      <c r="G973" s="95" t="n"/>
      <c r="H973" s="95" t="n"/>
      <c r="I973" s="95" t="n"/>
      <c r="J973" s="95" t="n"/>
      <c r="K973" s="95" t="n"/>
      <c r="L973" s="96" t="n"/>
    </row>
    <row r="974">
      <c r="A974" s="96" t="n"/>
      <c r="B974" s="95">
        <f>IF(A974="","", "CTR-"&amp;TEXT(ROW()-5,"000"))</f>
        <v/>
      </c>
      <c r="C974" s="95" t="n"/>
      <c r="D974" s="95" t="n"/>
      <c r="E974" s="95" t="n"/>
      <c r="F974" s="95" t="n"/>
      <c r="G974" s="95" t="n"/>
      <c r="H974" s="95" t="n"/>
      <c r="I974" s="95" t="n"/>
      <c r="J974" s="95" t="n"/>
      <c r="K974" s="95" t="n"/>
      <c r="L974" s="96" t="n"/>
    </row>
    <row r="975">
      <c r="A975" s="96" t="n"/>
      <c r="B975" s="95">
        <f>IF(A975="","", "CTR-"&amp;TEXT(ROW()-5,"000"))</f>
        <v/>
      </c>
      <c r="C975" s="95" t="n"/>
      <c r="D975" s="95" t="n"/>
      <c r="E975" s="95" t="n"/>
      <c r="F975" s="95" t="n"/>
      <c r="G975" s="95" t="n"/>
      <c r="H975" s="95" t="n"/>
      <c r="I975" s="95" t="n"/>
      <c r="J975" s="95" t="n"/>
      <c r="K975" s="95" t="n"/>
      <c r="L975" s="96" t="n"/>
    </row>
    <row r="976">
      <c r="A976" s="96" t="n"/>
      <c r="B976" s="95">
        <f>IF(A976="","", "CTR-"&amp;TEXT(ROW()-5,"000"))</f>
        <v/>
      </c>
      <c r="C976" s="95" t="n"/>
      <c r="D976" s="95" t="n"/>
      <c r="E976" s="95" t="n"/>
      <c r="F976" s="95" t="n"/>
      <c r="G976" s="95" t="n"/>
      <c r="H976" s="95" t="n"/>
      <c r="I976" s="95" t="n"/>
      <c r="J976" s="95" t="n"/>
      <c r="K976" s="95" t="n"/>
      <c r="L976" s="96" t="n"/>
    </row>
    <row r="977">
      <c r="A977" s="96" t="n"/>
      <c r="B977" s="95">
        <f>IF(A977="","", "CTR-"&amp;TEXT(ROW()-5,"000"))</f>
        <v/>
      </c>
      <c r="C977" s="95" t="n"/>
      <c r="D977" s="95" t="n"/>
      <c r="E977" s="95" t="n"/>
      <c r="F977" s="95" t="n"/>
      <c r="G977" s="95" t="n"/>
      <c r="H977" s="95" t="n"/>
      <c r="I977" s="95" t="n"/>
      <c r="J977" s="95" t="n"/>
      <c r="K977" s="95" t="n"/>
      <c r="L977" s="96" t="n"/>
    </row>
    <row r="978">
      <c r="A978" s="96" t="n"/>
      <c r="B978" s="95">
        <f>IF(A978="","", "CTR-"&amp;TEXT(ROW()-5,"000"))</f>
        <v/>
      </c>
      <c r="C978" s="95" t="n"/>
      <c r="D978" s="95" t="n"/>
      <c r="E978" s="95" t="n"/>
      <c r="F978" s="95" t="n"/>
      <c r="G978" s="95" t="n"/>
      <c r="H978" s="95" t="n"/>
      <c r="I978" s="95" t="n"/>
      <c r="J978" s="95" t="n"/>
      <c r="K978" s="95" t="n"/>
      <c r="L978" s="96" t="n"/>
    </row>
    <row r="979">
      <c r="A979" s="96" t="n"/>
      <c r="B979" s="95">
        <f>IF(A979="","", "CTR-"&amp;TEXT(ROW()-5,"000"))</f>
        <v/>
      </c>
      <c r="C979" s="95" t="n"/>
      <c r="D979" s="95" t="n"/>
      <c r="E979" s="95" t="n"/>
      <c r="F979" s="95" t="n"/>
      <c r="G979" s="95" t="n"/>
      <c r="H979" s="95" t="n"/>
      <c r="I979" s="95" t="n"/>
      <c r="J979" s="95" t="n"/>
      <c r="K979" s="95" t="n"/>
      <c r="L979" s="96" t="n"/>
    </row>
    <row r="980">
      <c r="A980" s="96" t="n"/>
      <c r="B980" s="95">
        <f>IF(A980="","", "CTR-"&amp;TEXT(ROW()-5,"000"))</f>
        <v/>
      </c>
      <c r="C980" s="95" t="n"/>
      <c r="D980" s="95" t="n"/>
      <c r="E980" s="95" t="n"/>
      <c r="F980" s="95" t="n"/>
      <c r="G980" s="95" t="n"/>
      <c r="H980" s="95" t="n"/>
      <c r="I980" s="95" t="n"/>
      <c r="J980" s="95" t="n"/>
      <c r="K980" s="95" t="n"/>
      <c r="L980" s="96" t="n"/>
    </row>
    <row r="981">
      <c r="A981" s="96" t="n"/>
      <c r="B981" s="95">
        <f>IF(A981="","", "CTR-"&amp;TEXT(ROW()-5,"000"))</f>
        <v/>
      </c>
      <c r="C981" s="95" t="n"/>
      <c r="D981" s="95" t="n"/>
      <c r="E981" s="95" t="n"/>
      <c r="F981" s="95" t="n"/>
      <c r="G981" s="95" t="n"/>
      <c r="H981" s="95" t="n"/>
      <c r="I981" s="95" t="n"/>
      <c r="J981" s="95" t="n"/>
      <c r="K981" s="95" t="n"/>
      <c r="L981" s="96" t="n"/>
    </row>
    <row r="982">
      <c r="A982" s="96" t="n"/>
      <c r="B982" s="95">
        <f>IF(A982="","", "CTR-"&amp;TEXT(ROW()-5,"000"))</f>
        <v/>
      </c>
      <c r="C982" s="95" t="n"/>
      <c r="D982" s="95" t="n"/>
      <c r="E982" s="95" t="n"/>
      <c r="F982" s="95" t="n"/>
      <c r="G982" s="95" t="n"/>
      <c r="H982" s="95" t="n"/>
      <c r="I982" s="95" t="n"/>
      <c r="J982" s="95" t="n"/>
      <c r="K982" s="95" t="n"/>
      <c r="L982" s="96" t="n"/>
    </row>
    <row r="983">
      <c r="A983" s="96" t="n"/>
      <c r="B983" s="95">
        <f>IF(A983="","", "CTR-"&amp;TEXT(ROW()-5,"000"))</f>
        <v/>
      </c>
      <c r="C983" s="95" t="n"/>
      <c r="D983" s="95" t="n"/>
      <c r="E983" s="95" t="n"/>
      <c r="F983" s="95" t="n"/>
      <c r="G983" s="95" t="n"/>
      <c r="H983" s="95" t="n"/>
      <c r="I983" s="95" t="n"/>
      <c r="J983" s="95" t="n"/>
      <c r="K983" s="95" t="n"/>
      <c r="L983" s="96" t="n"/>
    </row>
    <row r="984">
      <c r="A984" s="96" t="n"/>
      <c r="B984" s="95">
        <f>IF(A984="","", "CTR-"&amp;TEXT(ROW()-5,"000"))</f>
        <v/>
      </c>
      <c r="C984" s="95" t="n"/>
      <c r="D984" s="95" t="n"/>
      <c r="E984" s="95" t="n"/>
      <c r="F984" s="95" t="n"/>
      <c r="G984" s="95" t="n"/>
      <c r="H984" s="95" t="n"/>
      <c r="I984" s="95" t="n"/>
      <c r="J984" s="95" t="n"/>
      <c r="K984" s="95" t="n"/>
      <c r="L984" s="96" t="n"/>
    </row>
    <row r="985">
      <c r="A985" s="96" t="n"/>
      <c r="B985" s="95">
        <f>IF(A985="","", "CTR-"&amp;TEXT(ROW()-5,"000"))</f>
        <v/>
      </c>
      <c r="C985" s="95" t="n"/>
      <c r="D985" s="95" t="n"/>
      <c r="E985" s="95" t="n"/>
      <c r="F985" s="95" t="n"/>
      <c r="G985" s="95" t="n"/>
      <c r="H985" s="95" t="n"/>
      <c r="I985" s="95" t="n"/>
      <c r="J985" s="95" t="n"/>
      <c r="K985" s="95" t="n"/>
      <c r="L985" s="96" t="n"/>
    </row>
    <row r="986">
      <c r="A986" s="96" t="n"/>
      <c r="B986" s="95">
        <f>IF(A986="","", "CTR-"&amp;TEXT(ROW()-5,"000"))</f>
        <v/>
      </c>
      <c r="C986" s="95" t="n"/>
      <c r="D986" s="95" t="n"/>
      <c r="E986" s="95" t="n"/>
      <c r="F986" s="95" t="n"/>
      <c r="G986" s="95" t="n"/>
      <c r="H986" s="95" t="n"/>
      <c r="I986" s="95" t="n"/>
      <c r="J986" s="95" t="n"/>
      <c r="K986" s="95" t="n"/>
      <c r="L986" s="96" t="n"/>
    </row>
    <row r="987">
      <c r="A987" s="96" t="n"/>
      <c r="B987" s="95">
        <f>IF(A987="","", "CTR-"&amp;TEXT(ROW()-5,"000"))</f>
        <v/>
      </c>
      <c r="C987" s="95" t="n"/>
      <c r="D987" s="95" t="n"/>
      <c r="E987" s="95" t="n"/>
      <c r="F987" s="95" t="n"/>
      <c r="G987" s="95" t="n"/>
      <c r="H987" s="95" t="n"/>
      <c r="I987" s="95" t="n"/>
      <c r="J987" s="95" t="n"/>
      <c r="K987" s="95" t="n"/>
      <c r="L987" s="96" t="n"/>
    </row>
    <row r="988">
      <c r="A988" s="96" t="n"/>
      <c r="B988" s="95">
        <f>IF(A988="","", "CTR-"&amp;TEXT(ROW()-5,"000"))</f>
        <v/>
      </c>
      <c r="C988" s="95" t="n"/>
      <c r="D988" s="95" t="n"/>
      <c r="E988" s="95" t="n"/>
      <c r="F988" s="95" t="n"/>
      <c r="G988" s="95" t="n"/>
      <c r="H988" s="95" t="n"/>
      <c r="I988" s="95" t="n"/>
      <c r="J988" s="95" t="n"/>
      <c r="K988" s="95" t="n"/>
      <c r="L988" s="96" t="n"/>
    </row>
    <row r="989">
      <c r="A989" s="96" t="n"/>
      <c r="B989" s="95">
        <f>IF(A989="","", "CTR-"&amp;TEXT(ROW()-5,"000"))</f>
        <v/>
      </c>
      <c r="C989" s="95" t="n"/>
      <c r="D989" s="95" t="n"/>
      <c r="E989" s="95" t="n"/>
      <c r="F989" s="95" t="n"/>
      <c r="G989" s="95" t="n"/>
      <c r="H989" s="95" t="n"/>
      <c r="I989" s="95" t="n"/>
      <c r="J989" s="95" t="n"/>
      <c r="K989" s="95" t="n"/>
      <c r="L989" s="96" t="n"/>
    </row>
    <row r="990">
      <c r="A990" s="96" t="n"/>
      <c r="B990" s="95">
        <f>IF(A990="","", "CTR-"&amp;TEXT(ROW()-5,"000"))</f>
        <v/>
      </c>
      <c r="C990" s="95" t="n"/>
      <c r="D990" s="95" t="n"/>
      <c r="E990" s="95" t="n"/>
      <c r="F990" s="95" t="n"/>
      <c r="G990" s="95" t="n"/>
      <c r="H990" s="95" t="n"/>
      <c r="I990" s="95" t="n"/>
      <c r="J990" s="95" t="n"/>
      <c r="K990" s="95" t="n"/>
      <c r="L990" s="96" t="n"/>
    </row>
    <row r="991">
      <c r="A991" s="96" t="n"/>
      <c r="B991" s="95">
        <f>IF(A991="","", "CTR-"&amp;TEXT(ROW()-5,"000"))</f>
        <v/>
      </c>
      <c r="C991" s="95" t="n"/>
      <c r="D991" s="95" t="n"/>
      <c r="E991" s="95" t="n"/>
      <c r="F991" s="95" t="n"/>
      <c r="G991" s="95" t="n"/>
      <c r="H991" s="95" t="n"/>
      <c r="I991" s="95" t="n"/>
      <c r="J991" s="95" t="n"/>
      <c r="K991" s="95" t="n"/>
      <c r="L991" s="96" t="n"/>
    </row>
    <row r="992">
      <c r="A992" s="96" t="n"/>
      <c r="B992" s="95">
        <f>IF(A992="","", "CTR-"&amp;TEXT(ROW()-5,"000"))</f>
        <v/>
      </c>
      <c r="C992" s="95" t="n"/>
      <c r="D992" s="95" t="n"/>
      <c r="E992" s="95" t="n"/>
      <c r="F992" s="95" t="n"/>
      <c r="G992" s="95" t="n"/>
      <c r="H992" s="95" t="n"/>
      <c r="I992" s="95" t="n"/>
      <c r="J992" s="95" t="n"/>
      <c r="K992" s="95" t="n"/>
      <c r="L992" s="96" t="n"/>
    </row>
    <row r="993">
      <c r="A993" s="96" t="n"/>
      <c r="B993" s="95">
        <f>IF(A993="","", "CTR-"&amp;TEXT(ROW()-5,"000"))</f>
        <v/>
      </c>
      <c r="C993" s="95" t="n"/>
      <c r="D993" s="95" t="n"/>
      <c r="E993" s="95" t="n"/>
      <c r="F993" s="95" t="n"/>
      <c r="G993" s="95" t="n"/>
      <c r="H993" s="95" t="n"/>
      <c r="I993" s="95" t="n"/>
      <c r="J993" s="95" t="n"/>
      <c r="K993" s="95" t="n"/>
      <c r="L993" s="96" t="n"/>
    </row>
    <row r="994">
      <c r="A994" s="96" t="n"/>
      <c r="B994" s="95">
        <f>IF(A994="","", "CTR-"&amp;TEXT(ROW()-5,"000"))</f>
        <v/>
      </c>
      <c r="C994" s="95" t="n"/>
      <c r="D994" s="95" t="n"/>
      <c r="E994" s="95" t="n"/>
      <c r="F994" s="95" t="n"/>
      <c r="G994" s="95" t="n"/>
      <c r="H994" s="95" t="n"/>
      <c r="I994" s="95" t="n"/>
      <c r="J994" s="95" t="n"/>
      <c r="K994" s="95" t="n"/>
      <c r="L994" s="96" t="n"/>
    </row>
    <row r="995">
      <c r="A995" s="96" t="n"/>
      <c r="B995" s="95">
        <f>IF(A995="","", "CTR-"&amp;TEXT(ROW()-5,"000"))</f>
        <v/>
      </c>
      <c r="C995" s="95" t="n"/>
      <c r="D995" s="95" t="n"/>
      <c r="E995" s="95" t="n"/>
      <c r="F995" s="95" t="n"/>
      <c r="G995" s="95" t="n"/>
      <c r="H995" s="95" t="n"/>
      <c r="I995" s="95" t="n"/>
      <c r="J995" s="95" t="n"/>
      <c r="K995" s="95" t="n"/>
      <c r="L995" s="96" t="n"/>
    </row>
    <row r="996">
      <c r="A996" s="96" t="n"/>
      <c r="B996" s="95">
        <f>IF(A996="","", "CTR-"&amp;TEXT(ROW()-5,"000"))</f>
        <v/>
      </c>
      <c r="C996" s="95" t="n"/>
      <c r="D996" s="95" t="n"/>
      <c r="E996" s="95" t="n"/>
      <c r="F996" s="95" t="n"/>
      <c r="G996" s="95" t="n"/>
      <c r="H996" s="95" t="n"/>
      <c r="I996" s="95" t="n"/>
      <c r="J996" s="95" t="n"/>
      <c r="K996" s="95" t="n"/>
      <c r="L996" s="96" t="n"/>
    </row>
    <row r="997">
      <c r="A997" s="96" t="n"/>
      <c r="B997" s="95">
        <f>IF(A997="","", "CTR-"&amp;TEXT(ROW()-5,"000"))</f>
        <v/>
      </c>
      <c r="C997" s="95" t="n"/>
      <c r="D997" s="95" t="n"/>
      <c r="E997" s="95" t="n"/>
      <c r="F997" s="95" t="n"/>
      <c r="G997" s="95" t="n"/>
      <c r="H997" s="95" t="n"/>
      <c r="I997" s="95" t="n"/>
      <c r="J997" s="95" t="n"/>
      <c r="K997" s="95" t="n"/>
      <c r="L997" s="96" t="n"/>
    </row>
    <row r="998">
      <c r="A998" s="96" t="n"/>
      <c r="B998" s="95">
        <f>IF(A998="","", "CTR-"&amp;TEXT(ROW()-5,"000"))</f>
        <v/>
      </c>
      <c r="C998" s="95" t="n"/>
      <c r="D998" s="95" t="n"/>
      <c r="E998" s="95" t="n"/>
      <c r="F998" s="95" t="n"/>
      <c r="G998" s="95" t="n"/>
      <c r="H998" s="95" t="n"/>
      <c r="I998" s="95" t="n"/>
      <c r="J998" s="95" t="n"/>
      <c r="K998" s="95" t="n"/>
      <c r="L998" s="96" t="n"/>
    </row>
    <row r="999">
      <c r="A999" s="96" t="n"/>
      <c r="B999" s="95">
        <f>IF(A999="","", "CTR-"&amp;TEXT(ROW()-5,"000"))</f>
        <v/>
      </c>
      <c r="C999" s="95" t="n"/>
      <c r="D999" s="95" t="n"/>
      <c r="E999" s="95" t="n"/>
      <c r="F999" s="95" t="n"/>
      <c r="G999" s="95" t="n"/>
      <c r="H999" s="95" t="n"/>
      <c r="I999" s="95" t="n"/>
      <c r="J999" s="95" t="n"/>
      <c r="K999" s="95" t="n"/>
      <c r="L999" s="96" t="n"/>
    </row>
    <row r="1000">
      <c r="A1000" s="96" t="n"/>
      <c r="B1000" s="95">
        <f>IF(A1000="","", "CTR-"&amp;TEXT(ROW()-5,"000"))</f>
        <v/>
      </c>
      <c r="C1000" s="95" t="n"/>
      <c r="D1000" s="95" t="n"/>
      <c r="E1000" s="95" t="n"/>
      <c r="F1000" s="95" t="n"/>
      <c r="G1000" s="95" t="n"/>
      <c r="H1000" s="95" t="n"/>
      <c r="I1000" s="95" t="n"/>
      <c r="J1000" s="95" t="n"/>
      <c r="K1000" s="95" t="n"/>
      <c r="L1000" s="96" t="n"/>
    </row>
  </sheetData>
  <mergeCells count="3">
    <mergeCell ref="A2:L2"/>
    <mergeCell ref="A1:L1"/>
    <mergeCell ref="A4:L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4" customWidth="1" min="4" max="4"/>
    <col width="22" customWidth="1" min="5" max="5"/>
    <col width="34" customWidth="1" min="6" max="6"/>
    <col width="14" customWidth="1" min="7" max="7"/>
    <col width="18" customWidth="1" min="8" max="8"/>
    <col width="12" customWidth="1" min="9" max="9"/>
    <col width="12" customWidth="1" min="10" max="10"/>
    <col width="24" customWidth="1" min="11" max="11"/>
    <col width="24" customWidth="1" min="12" max="12"/>
    <col width="28" customWidth="1" min="13" max="13"/>
    <col width="12" customWidth="1" min="14" max="14"/>
    <col width="16" customWidth="1" min="15" max="15"/>
    <col width="42" customWidth="1" min="16" max="16"/>
  </cols>
  <sheetData>
    <row r="1" ht="24" customHeight="1">
      <c r="A1" s="93" t="inlineStr">
        <is>
          <t>13. MAPA DE TÍTULOS DE RECEITA — RASTREABILIDADE PONTA A PONTA</t>
        </is>
      </c>
    </row>
    <row r="2" ht="32" customHeight="1">
      <c r="A2" s="93" t="inlineStr">
        <is>
          <t>Mapa de ligação: título de receita → cliente mestre → contrato/OS → serviço → centro de resultado.</t>
        </is>
      </c>
    </row>
    <row r="4" ht="20" customHeight="1">
      <c r="A4" s="93" t="inlineStr">
        <is>
          <t>BASE OPERACIONAL</t>
        </is>
      </c>
    </row>
    <row r="7">
      <c r="A7" s="91" t="inlineStr">
        <is>
          <t>ID título</t>
        </is>
      </c>
      <c r="B7" s="91" t="inlineStr">
        <is>
          <t>ID venda / origem</t>
        </is>
      </c>
      <c r="C7" s="91" t="inlineStr">
        <is>
          <t>Cliente faturado</t>
        </is>
      </c>
      <c r="D7" s="91" t="inlineStr">
        <is>
          <t>Cliente mestre</t>
        </is>
      </c>
      <c r="E7" s="91" t="inlineStr">
        <is>
          <t>Unidade / escopo</t>
        </is>
      </c>
      <c r="F7" s="91" t="inlineStr">
        <is>
          <t>Chave contrato/OS</t>
        </is>
      </c>
      <c r="G7" s="91" t="inlineStr">
        <is>
          <t>Contrato/OS ID</t>
        </is>
      </c>
      <c r="H7" s="91" t="inlineStr">
        <is>
          <t>Tipo vínculo ERP</t>
        </is>
      </c>
      <c r="I7" s="91" t="inlineStr">
        <is>
          <t>Cliente ID</t>
        </is>
      </c>
      <c r="J7" s="91" t="inlineStr">
        <is>
          <t>Serviço ID</t>
        </is>
      </c>
      <c r="K7" s="91" t="inlineStr">
        <is>
          <t>Serviço padronizado</t>
        </is>
      </c>
      <c r="L7" s="91" t="inlineStr">
        <is>
          <t>Linha DRE</t>
        </is>
      </c>
      <c r="M7" s="91" t="inlineStr">
        <is>
          <t>Centro de resultado</t>
        </is>
      </c>
      <c r="N7" s="91" t="inlineStr">
        <is>
          <t>Parcela atual</t>
        </is>
      </c>
      <c r="O7" s="91" t="inlineStr">
        <is>
          <t>Status rastreabilidade</t>
        </is>
      </c>
      <c r="P7" s="91" t="inlineStr">
        <is>
          <t>Critério / observação</t>
        </is>
      </c>
    </row>
    <row r="8">
      <c r="A8" s="95" t="inlineStr">
        <is>
          <t>CR-001</t>
        </is>
      </c>
      <c r="B8" s="96" t="inlineStr">
        <is>
          <t>NIVALMAG - MATRIZ</t>
        </is>
      </c>
      <c r="C8" s="96" t="inlineStr">
        <is>
          <t>NIVALMAG - MATRIZ</t>
        </is>
      </c>
      <c r="D8" s="95" t="inlineStr">
        <is>
          <t>NIVALMAG</t>
        </is>
      </c>
      <c r="E8" s="96" t="inlineStr">
        <is>
          <t>MATRIZ</t>
        </is>
      </c>
      <c r="F8" s="96" t="inlineStr">
        <is>
          <t>REC|NIVALMAG|MATRIZ</t>
        </is>
      </c>
      <c r="G8" s="95">
        <f>IFERROR(VLOOKUP(F8,'12. Contratos_OS'!$A$6:$L$1000,2,FALSE),"")</f>
        <v/>
      </c>
      <c r="H8" s="95">
        <f>IFERROR(VLOOKUP(F8,'12. Contratos_OS'!$A$6:$L$1000,3,FALSE),"")</f>
        <v/>
      </c>
      <c r="I8" s="95">
        <f>IFERROR(VLOOKUP(F8,'12. Contratos_OS'!$A$6:$L$1000,4,FALSE),"")</f>
        <v/>
      </c>
      <c r="J8" s="95">
        <f>IFERROR(VLOOKUP(F8,'12. Contratos_OS'!$A$6:$L$1000,7,FALSE),"")</f>
        <v/>
      </c>
      <c r="K8" s="95">
        <f>IFERROR(VLOOKUP(J8,'11. Cadastro de Serviços'!$A$6:$E$200,2,FALSE),"")</f>
        <v/>
      </c>
      <c r="L8" s="95">
        <f>IFERROR(VLOOKUP(J8,'11. Cadastro de Serviços'!$A$6:$E$200,3,FALSE),"")</f>
        <v/>
      </c>
      <c r="M8" s="95">
        <f>IFERROR(VLOOKUP(J8,'11. Cadastro de Serviços'!$A$6:$E$200,4,FALSE),"")</f>
        <v/>
      </c>
      <c r="N8" s="95" t="inlineStr"/>
      <c r="O8" s="95">
        <f>IF(AND(G8&lt;&gt;"",I8&lt;&gt;"",J8&lt;&gt;"",M8&lt;&gt;""),"Rastreado","Revisar")</f>
        <v/>
      </c>
      <c r="P8" s="96" t="inlineStr">
        <is>
          <t>Recorrente: cliente mestre/unidade inferidos do título fixo.</t>
        </is>
      </c>
    </row>
    <row r="9">
      <c r="A9" s="95" t="inlineStr">
        <is>
          <t>CR-002</t>
        </is>
      </c>
      <c r="B9" s="96" t="inlineStr">
        <is>
          <t>NIVALMAG - FAZENDA</t>
        </is>
      </c>
      <c r="C9" s="96" t="inlineStr">
        <is>
          <t>NIVALMAG - FAZENDA</t>
        </is>
      </c>
      <c r="D9" s="95" t="inlineStr">
        <is>
          <t>NIVALMAG</t>
        </is>
      </c>
      <c r="E9" s="96" t="inlineStr">
        <is>
          <t>FAZENDA</t>
        </is>
      </c>
      <c r="F9" s="96" t="inlineStr">
        <is>
          <t>REC|NIVALMAG|FAZENDA</t>
        </is>
      </c>
      <c r="G9" s="95">
        <f>IFERROR(VLOOKUP(F9,'12. Contratos_OS'!$A$6:$L$1000,2,FALSE),"")</f>
        <v/>
      </c>
      <c r="H9" s="95">
        <f>IFERROR(VLOOKUP(F9,'12. Contratos_OS'!$A$6:$L$1000,3,FALSE),"")</f>
        <v/>
      </c>
      <c r="I9" s="95">
        <f>IFERROR(VLOOKUP(F9,'12. Contratos_OS'!$A$6:$L$1000,4,FALSE),"")</f>
        <v/>
      </c>
      <c r="J9" s="95">
        <f>IFERROR(VLOOKUP(F9,'12. Contratos_OS'!$A$6:$L$1000,7,FALSE),"")</f>
        <v/>
      </c>
      <c r="K9" s="95">
        <f>IFERROR(VLOOKUP(J9,'11. Cadastro de Serviços'!$A$6:$E$200,2,FALSE),"")</f>
        <v/>
      </c>
      <c r="L9" s="95">
        <f>IFERROR(VLOOKUP(J9,'11. Cadastro de Serviços'!$A$6:$E$200,3,FALSE),"")</f>
        <v/>
      </c>
      <c r="M9" s="95">
        <f>IFERROR(VLOOKUP(J9,'11. Cadastro de Serviços'!$A$6:$E$200,4,FALSE),"")</f>
        <v/>
      </c>
      <c r="N9" s="95" t="inlineStr"/>
      <c r="O9" s="95">
        <f>IF(AND(G9&lt;&gt;"",I9&lt;&gt;"",J9&lt;&gt;"",M9&lt;&gt;""),"Rastreado","Revisar")</f>
        <v/>
      </c>
      <c r="P9" s="96" t="inlineStr">
        <is>
          <t>Recorrente: cliente mestre/unidade inferidos do título fixo.</t>
        </is>
      </c>
    </row>
    <row r="10">
      <c r="A10" s="95" t="inlineStr">
        <is>
          <t>CR-003</t>
        </is>
      </c>
      <c r="B10" s="96" t="inlineStr">
        <is>
          <t>SONDOTEC</t>
        </is>
      </c>
      <c r="C10" s="96" t="inlineStr">
        <is>
          <t>SONDOTEC</t>
        </is>
      </c>
      <c r="D10" s="95" t="inlineStr">
        <is>
          <t>SONDOTEC</t>
        </is>
      </c>
      <c r="E10" s="96" t="inlineStr"/>
      <c r="F10" s="96" t="inlineStr">
        <is>
          <t>REC|SONDOTEC|SONDOTEC</t>
        </is>
      </c>
      <c r="G10" s="95">
        <f>IFERROR(VLOOKUP(F10,'12. Contratos_OS'!$A$6:$L$1000,2,FALSE),"")</f>
        <v/>
      </c>
      <c r="H10" s="95">
        <f>IFERROR(VLOOKUP(F10,'12. Contratos_OS'!$A$6:$L$1000,3,FALSE),"")</f>
        <v/>
      </c>
      <c r="I10" s="95">
        <f>IFERROR(VLOOKUP(F10,'12. Contratos_OS'!$A$6:$L$1000,4,FALSE),"")</f>
        <v/>
      </c>
      <c r="J10" s="95">
        <f>IFERROR(VLOOKUP(F10,'12. Contratos_OS'!$A$6:$L$1000,7,FALSE),"")</f>
        <v/>
      </c>
      <c r="K10" s="95">
        <f>IFERROR(VLOOKUP(J10,'11. Cadastro de Serviços'!$A$6:$E$200,2,FALSE),"")</f>
        <v/>
      </c>
      <c r="L10" s="95">
        <f>IFERROR(VLOOKUP(J10,'11. Cadastro de Serviços'!$A$6:$E$200,3,FALSE),"")</f>
        <v/>
      </c>
      <c r="M10" s="95">
        <f>IFERROR(VLOOKUP(J10,'11. Cadastro de Serviços'!$A$6:$E$200,4,FALSE),"")</f>
        <v/>
      </c>
      <c r="N10" s="95" t="inlineStr"/>
      <c r="O10" s="95">
        <f>IF(AND(G10&lt;&gt;"",I10&lt;&gt;"",J10&lt;&gt;"",M10&lt;&gt;""),"Rastreado","Revisar")</f>
        <v/>
      </c>
      <c r="P10" s="96" t="inlineStr">
        <is>
          <t>Recorrente: cliente mestre/unidade inferidos do título fixo.</t>
        </is>
      </c>
    </row>
    <row r="11">
      <c r="A11" s="95" t="inlineStr">
        <is>
          <t>CR-004</t>
        </is>
      </c>
      <c r="B11" s="96" t="inlineStr">
        <is>
          <t>TRIÂNGULO SERVIÇOS</t>
        </is>
      </c>
      <c r="C11" s="96" t="inlineStr">
        <is>
          <t>TRIÂNGULO SERVIÇOS</t>
        </is>
      </c>
      <c r="D11" s="95" t="inlineStr">
        <is>
          <t>TRIÂNGULO SERVIÇOS</t>
        </is>
      </c>
      <c r="E11" s="96" t="inlineStr"/>
      <c r="F11" s="96" t="inlineStr">
        <is>
          <t>REC|TRIÂNGULO SERVIÇOS|TRIÂNGULO SERVIÇOS</t>
        </is>
      </c>
      <c r="G11" s="95">
        <f>IFERROR(VLOOKUP(F11,'12. Contratos_OS'!$A$6:$L$1000,2,FALSE),"")</f>
        <v/>
      </c>
      <c r="H11" s="95">
        <f>IFERROR(VLOOKUP(F11,'12. Contratos_OS'!$A$6:$L$1000,3,FALSE),"")</f>
        <v/>
      </c>
      <c r="I11" s="95">
        <f>IFERROR(VLOOKUP(F11,'12. Contratos_OS'!$A$6:$L$1000,4,FALSE),"")</f>
        <v/>
      </c>
      <c r="J11" s="95">
        <f>IFERROR(VLOOKUP(F11,'12. Contratos_OS'!$A$6:$L$1000,7,FALSE),"")</f>
        <v/>
      </c>
      <c r="K11" s="95">
        <f>IFERROR(VLOOKUP(J11,'11. Cadastro de Serviços'!$A$6:$E$200,2,FALSE),"")</f>
        <v/>
      </c>
      <c r="L11" s="95">
        <f>IFERROR(VLOOKUP(J11,'11. Cadastro de Serviços'!$A$6:$E$200,3,FALSE),"")</f>
        <v/>
      </c>
      <c r="M11" s="95">
        <f>IFERROR(VLOOKUP(J11,'11. Cadastro de Serviços'!$A$6:$E$200,4,FALSE),"")</f>
        <v/>
      </c>
      <c r="N11" s="95" t="inlineStr"/>
      <c r="O11" s="95">
        <f>IF(AND(G11&lt;&gt;"",I11&lt;&gt;"",J11&lt;&gt;"",M11&lt;&gt;""),"Rastreado","Revisar")</f>
        <v/>
      </c>
      <c r="P11" s="96" t="inlineStr">
        <is>
          <t>Recorrente: cliente mestre/unidade inferidos do título fixo.</t>
        </is>
      </c>
    </row>
    <row r="12">
      <c r="A12" s="95" t="inlineStr">
        <is>
          <t>CR-005</t>
        </is>
      </c>
      <c r="B12" s="96" t="inlineStr">
        <is>
          <t>CONTROLER</t>
        </is>
      </c>
      <c r="C12" s="96" t="inlineStr">
        <is>
          <t>CONTROLER</t>
        </is>
      </c>
      <c r="D12" s="95" t="inlineStr">
        <is>
          <t>CONTROLER</t>
        </is>
      </c>
      <c r="E12" s="96" t="inlineStr"/>
      <c r="F12" s="96" t="inlineStr">
        <is>
          <t>REC|CONTROLER|CONTROLER</t>
        </is>
      </c>
      <c r="G12" s="95">
        <f>IFERROR(VLOOKUP(F12,'12. Contratos_OS'!$A$6:$L$1000,2,FALSE),"")</f>
        <v/>
      </c>
      <c r="H12" s="95">
        <f>IFERROR(VLOOKUP(F12,'12. Contratos_OS'!$A$6:$L$1000,3,FALSE),"")</f>
        <v/>
      </c>
      <c r="I12" s="95">
        <f>IFERROR(VLOOKUP(F12,'12. Contratos_OS'!$A$6:$L$1000,4,FALSE),"")</f>
        <v/>
      </c>
      <c r="J12" s="95">
        <f>IFERROR(VLOOKUP(F12,'12. Contratos_OS'!$A$6:$L$1000,7,FALSE),"")</f>
        <v/>
      </c>
      <c r="K12" s="95">
        <f>IFERROR(VLOOKUP(J12,'11. Cadastro de Serviços'!$A$6:$E$200,2,FALSE),"")</f>
        <v/>
      </c>
      <c r="L12" s="95">
        <f>IFERROR(VLOOKUP(J12,'11. Cadastro de Serviços'!$A$6:$E$200,3,FALSE),"")</f>
        <v/>
      </c>
      <c r="M12" s="95">
        <f>IFERROR(VLOOKUP(J12,'11. Cadastro de Serviços'!$A$6:$E$200,4,FALSE),"")</f>
        <v/>
      </c>
      <c r="N12" s="95" t="inlineStr"/>
      <c r="O12" s="95">
        <f>IF(AND(G12&lt;&gt;"",I12&lt;&gt;"",J12&lt;&gt;"",M12&lt;&gt;""),"Rastreado","Revisar")</f>
        <v/>
      </c>
      <c r="P12" s="96" t="inlineStr">
        <is>
          <t>Recorrente: cliente mestre/unidade inferidos do título fixo.</t>
        </is>
      </c>
    </row>
    <row r="13">
      <c r="A13" s="95" t="inlineStr">
        <is>
          <t>CR-006</t>
        </is>
      </c>
      <c r="B13" s="96" t="inlineStr">
        <is>
          <t>SANTA CASA MT ALEGRE</t>
        </is>
      </c>
      <c r="C13" s="96" t="inlineStr">
        <is>
          <t>SANTA CASA MT ALEGRE</t>
        </is>
      </c>
      <c r="D13" s="95" t="inlineStr">
        <is>
          <t>SANTA CASA MT ALEGRE</t>
        </is>
      </c>
      <c r="E13" s="96" t="inlineStr"/>
      <c r="F13" s="96" t="inlineStr">
        <is>
          <t>REC|SANTA CASA MT ALEGRE|SANTA CASA MT ALEGRE</t>
        </is>
      </c>
      <c r="G13" s="95">
        <f>IFERROR(VLOOKUP(F13,'12. Contratos_OS'!$A$6:$L$1000,2,FALSE),"")</f>
        <v/>
      </c>
      <c r="H13" s="95">
        <f>IFERROR(VLOOKUP(F13,'12. Contratos_OS'!$A$6:$L$1000,3,FALSE),"")</f>
        <v/>
      </c>
      <c r="I13" s="95">
        <f>IFERROR(VLOOKUP(F13,'12. Contratos_OS'!$A$6:$L$1000,4,FALSE),"")</f>
        <v/>
      </c>
      <c r="J13" s="95">
        <f>IFERROR(VLOOKUP(F13,'12. Contratos_OS'!$A$6:$L$1000,7,FALSE),"")</f>
        <v/>
      </c>
      <c r="K13" s="95">
        <f>IFERROR(VLOOKUP(J13,'11. Cadastro de Serviços'!$A$6:$E$200,2,FALSE),"")</f>
        <v/>
      </c>
      <c r="L13" s="95">
        <f>IFERROR(VLOOKUP(J13,'11. Cadastro de Serviços'!$A$6:$E$200,3,FALSE),"")</f>
        <v/>
      </c>
      <c r="M13" s="95">
        <f>IFERROR(VLOOKUP(J13,'11. Cadastro de Serviços'!$A$6:$E$200,4,FALSE),"")</f>
        <v/>
      </c>
      <c r="N13" s="95" t="inlineStr"/>
      <c r="O13" s="95">
        <f>IF(AND(G13&lt;&gt;"",I13&lt;&gt;"",J13&lt;&gt;"",M13&lt;&gt;""),"Rastreado","Revisar")</f>
        <v/>
      </c>
      <c r="P13" s="96" t="inlineStr">
        <is>
          <t>Recorrente: cliente mestre/unidade inferidos do título fixo.</t>
        </is>
      </c>
    </row>
    <row r="14">
      <c r="A14" s="95" t="inlineStr">
        <is>
          <t>CR-007</t>
        </is>
      </c>
      <c r="B14" s="96" t="inlineStr">
        <is>
          <t>FAZENDA SANTA LUCIA</t>
        </is>
      </c>
      <c r="C14" s="96" t="inlineStr">
        <is>
          <t>FAZENDA SANTA LUCIA</t>
        </is>
      </c>
      <c r="D14" s="95" t="inlineStr">
        <is>
          <t>FAZENDA SANTA LUCIA</t>
        </is>
      </c>
      <c r="E14" s="96" t="inlineStr"/>
      <c r="F14" s="96" t="inlineStr">
        <is>
          <t>REC|FAZENDA SANTA LUCIA|FAZENDA SANTA LUCIA</t>
        </is>
      </c>
      <c r="G14" s="95">
        <f>IFERROR(VLOOKUP(F14,'12. Contratos_OS'!$A$6:$L$1000,2,FALSE),"")</f>
        <v/>
      </c>
      <c r="H14" s="95">
        <f>IFERROR(VLOOKUP(F14,'12. Contratos_OS'!$A$6:$L$1000,3,FALSE),"")</f>
        <v/>
      </c>
      <c r="I14" s="95">
        <f>IFERROR(VLOOKUP(F14,'12. Contratos_OS'!$A$6:$L$1000,4,FALSE),"")</f>
        <v/>
      </c>
      <c r="J14" s="95">
        <f>IFERROR(VLOOKUP(F14,'12. Contratos_OS'!$A$6:$L$1000,7,FALSE),"")</f>
        <v/>
      </c>
      <c r="K14" s="95">
        <f>IFERROR(VLOOKUP(J14,'11. Cadastro de Serviços'!$A$6:$E$200,2,FALSE),"")</f>
        <v/>
      </c>
      <c r="L14" s="95">
        <f>IFERROR(VLOOKUP(J14,'11. Cadastro de Serviços'!$A$6:$E$200,3,FALSE),"")</f>
        <v/>
      </c>
      <c r="M14" s="95">
        <f>IFERROR(VLOOKUP(J14,'11. Cadastro de Serviços'!$A$6:$E$200,4,FALSE),"")</f>
        <v/>
      </c>
      <c r="N14" s="95" t="inlineStr"/>
      <c r="O14" s="95">
        <f>IF(AND(G14&lt;&gt;"",I14&lt;&gt;"",J14&lt;&gt;"",M14&lt;&gt;""),"Rastreado","Revisar")</f>
        <v/>
      </c>
      <c r="P14" s="96" t="inlineStr">
        <is>
          <t>Recorrente: cliente mestre/unidade inferidos do título fixo.</t>
        </is>
      </c>
    </row>
    <row r="15">
      <c r="A15" s="95" t="inlineStr">
        <is>
          <t>CR-008</t>
        </is>
      </c>
      <c r="B15" s="96" t="inlineStr">
        <is>
          <t>LGA MÁQUINAS</t>
        </is>
      </c>
      <c r="C15" s="96" t="inlineStr">
        <is>
          <t>LGA MÁQUINAS</t>
        </is>
      </c>
      <c r="D15" s="95" t="inlineStr">
        <is>
          <t>LGA MÁQUINAS</t>
        </is>
      </c>
      <c r="E15" s="96" t="inlineStr"/>
      <c r="F15" s="96" t="inlineStr">
        <is>
          <t>REC|LGA MÁQUINAS|LGA MÁQUINAS</t>
        </is>
      </c>
      <c r="G15" s="95">
        <f>IFERROR(VLOOKUP(F15,'12. Contratos_OS'!$A$6:$L$1000,2,FALSE),"")</f>
        <v/>
      </c>
      <c r="H15" s="95">
        <f>IFERROR(VLOOKUP(F15,'12. Contratos_OS'!$A$6:$L$1000,3,FALSE),"")</f>
        <v/>
      </c>
      <c r="I15" s="95">
        <f>IFERROR(VLOOKUP(F15,'12. Contratos_OS'!$A$6:$L$1000,4,FALSE),"")</f>
        <v/>
      </c>
      <c r="J15" s="95">
        <f>IFERROR(VLOOKUP(F15,'12. Contratos_OS'!$A$6:$L$1000,7,FALSE),"")</f>
        <v/>
      </c>
      <c r="K15" s="95">
        <f>IFERROR(VLOOKUP(J15,'11. Cadastro de Serviços'!$A$6:$E$200,2,FALSE),"")</f>
        <v/>
      </c>
      <c r="L15" s="95">
        <f>IFERROR(VLOOKUP(J15,'11. Cadastro de Serviços'!$A$6:$E$200,3,FALSE),"")</f>
        <v/>
      </c>
      <c r="M15" s="95">
        <f>IFERROR(VLOOKUP(J15,'11. Cadastro de Serviços'!$A$6:$E$200,4,FALSE),"")</f>
        <v/>
      </c>
      <c r="N15" s="95" t="inlineStr"/>
      <c r="O15" s="95">
        <f>IF(AND(G15&lt;&gt;"",I15&lt;&gt;"",J15&lt;&gt;"",M15&lt;&gt;""),"Rastreado","Revisar")</f>
        <v/>
      </c>
      <c r="P15" s="96" t="inlineStr">
        <is>
          <t>Recorrente: cliente mestre/unidade inferidos do título fixo.</t>
        </is>
      </c>
    </row>
    <row r="16">
      <c r="A16" s="95" t="inlineStr">
        <is>
          <t>CR-009</t>
        </is>
      </c>
      <c r="B16" s="96" t="inlineStr">
        <is>
          <t>REPET</t>
        </is>
      </c>
      <c r="C16" s="96" t="inlineStr">
        <is>
          <t>REPET</t>
        </is>
      </c>
      <c r="D16" s="95" t="inlineStr">
        <is>
          <t>REPET</t>
        </is>
      </c>
      <c r="E16" s="96" t="inlineStr"/>
      <c r="F16" s="96" t="inlineStr">
        <is>
          <t>REC|REPET|REPET</t>
        </is>
      </c>
      <c r="G16" s="95">
        <f>IFERROR(VLOOKUP(F16,'12. Contratos_OS'!$A$6:$L$1000,2,FALSE),"")</f>
        <v/>
      </c>
      <c r="H16" s="95">
        <f>IFERROR(VLOOKUP(F16,'12. Contratos_OS'!$A$6:$L$1000,3,FALSE),"")</f>
        <v/>
      </c>
      <c r="I16" s="95">
        <f>IFERROR(VLOOKUP(F16,'12. Contratos_OS'!$A$6:$L$1000,4,FALSE),"")</f>
        <v/>
      </c>
      <c r="J16" s="95">
        <f>IFERROR(VLOOKUP(F16,'12. Contratos_OS'!$A$6:$L$1000,7,FALSE),"")</f>
        <v/>
      </c>
      <c r="K16" s="95">
        <f>IFERROR(VLOOKUP(J16,'11. Cadastro de Serviços'!$A$6:$E$200,2,FALSE),"")</f>
        <v/>
      </c>
      <c r="L16" s="95">
        <f>IFERROR(VLOOKUP(J16,'11. Cadastro de Serviços'!$A$6:$E$200,3,FALSE),"")</f>
        <v/>
      </c>
      <c r="M16" s="95">
        <f>IFERROR(VLOOKUP(J16,'11. Cadastro de Serviços'!$A$6:$E$200,4,FALSE),"")</f>
        <v/>
      </c>
      <c r="N16" s="95" t="inlineStr"/>
      <c r="O16" s="95">
        <f>IF(AND(G16&lt;&gt;"",I16&lt;&gt;"",J16&lt;&gt;"",M16&lt;&gt;""),"Rastreado","Revisar")</f>
        <v/>
      </c>
      <c r="P16" s="96" t="inlineStr">
        <is>
          <t>Recorrente: cliente mestre/unidade inferidos do título fixo.</t>
        </is>
      </c>
    </row>
    <row r="17">
      <c r="A17" s="95" t="inlineStr">
        <is>
          <t>CR-010</t>
        </is>
      </c>
      <c r="B17" s="96" t="inlineStr">
        <is>
          <t>SKAP KAP</t>
        </is>
      </c>
      <c r="C17" s="96" t="inlineStr">
        <is>
          <t>SKAP KAP</t>
        </is>
      </c>
      <c r="D17" s="95" t="inlineStr">
        <is>
          <t>SKAP KAP</t>
        </is>
      </c>
      <c r="E17" s="96" t="inlineStr"/>
      <c r="F17" s="96" t="inlineStr">
        <is>
          <t>REC|SKAP KAP|SKAP KAP</t>
        </is>
      </c>
      <c r="G17" s="95">
        <f>IFERROR(VLOOKUP(F17,'12. Contratos_OS'!$A$6:$L$1000,2,FALSE),"")</f>
        <v/>
      </c>
      <c r="H17" s="95">
        <f>IFERROR(VLOOKUP(F17,'12. Contratos_OS'!$A$6:$L$1000,3,FALSE),"")</f>
        <v/>
      </c>
      <c r="I17" s="95">
        <f>IFERROR(VLOOKUP(F17,'12. Contratos_OS'!$A$6:$L$1000,4,FALSE),"")</f>
        <v/>
      </c>
      <c r="J17" s="95">
        <f>IFERROR(VLOOKUP(F17,'12. Contratos_OS'!$A$6:$L$1000,7,FALSE),"")</f>
        <v/>
      </c>
      <c r="K17" s="95">
        <f>IFERROR(VLOOKUP(J17,'11. Cadastro de Serviços'!$A$6:$E$200,2,FALSE),"")</f>
        <v/>
      </c>
      <c r="L17" s="95">
        <f>IFERROR(VLOOKUP(J17,'11. Cadastro de Serviços'!$A$6:$E$200,3,FALSE),"")</f>
        <v/>
      </c>
      <c r="M17" s="95">
        <f>IFERROR(VLOOKUP(J17,'11. Cadastro de Serviços'!$A$6:$E$200,4,FALSE),"")</f>
        <v/>
      </c>
      <c r="N17" s="95" t="inlineStr"/>
      <c r="O17" s="95">
        <f>IF(AND(G17&lt;&gt;"",I17&lt;&gt;"",J17&lt;&gt;"",M17&lt;&gt;""),"Rastreado","Revisar")</f>
        <v/>
      </c>
      <c r="P17" s="96" t="inlineStr">
        <is>
          <t>Recorrente: cliente mestre/unidade inferidos do título fixo.</t>
        </is>
      </c>
    </row>
    <row r="18">
      <c r="A18" s="95" t="inlineStr">
        <is>
          <t>CR-011</t>
        </is>
      </c>
      <c r="B18" s="96" t="inlineStr">
        <is>
          <t>RUITHER</t>
        </is>
      </c>
      <c r="C18" s="96" t="inlineStr">
        <is>
          <t>RUITHER</t>
        </is>
      </c>
      <c r="D18" s="95" t="inlineStr">
        <is>
          <t>RUITHER</t>
        </is>
      </c>
      <c r="E18" s="96" t="inlineStr"/>
      <c r="F18" s="96" t="inlineStr">
        <is>
          <t>REC|RUITHER|RUITHER</t>
        </is>
      </c>
      <c r="G18" s="95">
        <f>IFERROR(VLOOKUP(F18,'12. Contratos_OS'!$A$6:$L$1000,2,FALSE),"")</f>
        <v/>
      </c>
      <c r="H18" s="95">
        <f>IFERROR(VLOOKUP(F18,'12. Contratos_OS'!$A$6:$L$1000,3,FALSE),"")</f>
        <v/>
      </c>
      <c r="I18" s="95">
        <f>IFERROR(VLOOKUP(F18,'12. Contratos_OS'!$A$6:$L$1000,4,FALSE),"")</f>
        <v/>
      </c>
      <c r="J18" s="95">
        <f>IFERROR(VLOOKUP(F18,'12. Contratos_OS'!$A$6:$L$1000,7,FALSE),"")</f>
        <v/>
      </c>
      <c r="K18" s="95">
        <f>IFERROR(VLOOKUP(J18,'11. Cadastro de Serviços'!$A$6:$E$200,2,FALSE),"")</f>
        <v/>
      </c>
      <c r="L18" s="95">
        <f>IFERROR(VLOOKUP(J18,'11. Cadastro de Serviços'!$A$6:$E$200,3,FALSE),"")</f>
        <v/>
      </c>
      <c r="M18" s="95">
        <f>IFERROR(VLOOKUP(J18,'11. Cadastro de Serviços'!$A$6:$E$200,4,FALSE),"")</f>
        <v/>
      </c>
      <c r="N18" s="95" t="inlineStr"/>
      <c r="O18" s="95">
        <f>IF(AND(G18&lt;&gt;"",I18&lt;&gt;"",J18&lt;&gt;"",M18&lt;&gt;""),"Rastreado","Revisar")</f>
        <v/>
      </c>
      <c r="P18" s="96" t="inlineStr">
        <is>
          <t>Recorrente: cliente mestre/unidade inferidos do título fixo.</t>
        </is>
      </c>
    </row>
    <row r="19">
      <c r="A19" s="95" t="inlineStr">
        <is>
          <t>CR-012</t>
        </is>
      </c>
      <c r="B19" s="96" t="inlineStr">
        <is>
          <t>S12 INCORPORAÇÃO</t>
        </is>
      </c>
      <c r="C19" s="96" t="inlineStr">
        <is>
          <t>S12 INCORPORAÇÃO</t>
        </is>
      </c>
      <c r="D19" s="95" t="inlineStr">
        <is>
          <t>S12 INCORPORAÇÃO</t>
        </is>
      </c>
      <c r="E19" s="96" t="inlineStr"/>
      <c r="F19" s="96" t="inlineStr">
        <is>
          <t>REC|S12 INCORPORAÇÃO|S12 INCORPORAÇÃO</t>
        </is>
      </c>
      <c r="G19" s="95">
        <f>IFERROR(VLOOKUP(F19,'12. Contratos_OS'!$A$6:$L$1000,2,FALSE),"")</f>
        <v/>
      </c>
      <c r="H19" s="95">
        <f>IFERROR(VLOOKUP(F19,'12. Contratos_OS'!$A$6:$L$1000,3,FALSE),"")</f>
        <v/>
      </c>
      <c r="I19" s="95">
        <f>IFERROR(VLOOKUP(F19,'12. Contratos_OS'!$A$6:$L$1000,4,FALSE),"")</f>
        <v/>
      </c>
      <c r="J19" s="95">
        <f>IFERROR(VLOOKUP(F19,'12. Contratos_OS'!$A$6:$L$1000,7,FALSE),"")</f>
        <v/>
      </c>
      <c r="K19" s="95">
        <f>IFERROR(VLOOKUP(J19,'11. Cadastro de Serviços'!$A$6:$E$200,2,FALSE),"")</f>
        <v/>
      </c>
      <c r="L19" s="95">
        <f>IFERROR(VLOOKUP(J19,'11. Cadastro de Serviços'!$A$6:$E$200,3,FALSE),"")</f>
        <v/>
      </c>
      <c r="M19" s="95">
        <f>IFERROR(VLOOKUP(J19,'11. Cadastro de Serviços'!$A$6:$E$200,4,FALSE),"")</f>
        <v/>
      </c>
      <c r="N19" s="95" t="inlineStr"/>
      <c r="O19" s="95">
        <f>IF(AND(G19&lt;&gt;"",I19&lt;&gt;"",J19&lt;&gt;"",M19&lt;&gt;""),"Rastreado","Revisar")</f>
        <v/>
      </c>
      <c r="P19" s="96" t="inlineStr">
        <is>
          <t>Recorrente: cliente mestre/unidade inferidos do título fixo.</t>
        </is>
      </c>
    </row>
    <row r="20">
      <c r="A20" s="95" t="inlineStr">
        <is>
          <t>CR-013</t>
        </is>
      </c>
      <c r="B20" s="96" t="inlineStr">
        <is>
          <t>LM ASSESSORIA CONTÁBIL</t>
        </is>
      </c>
      <c r="C20" s="96" t="inlineStr">
        <is>
          <t>LM ASSESSORIA CONTÁBIL</t>
        </is>
      </c>
      <c r="D20" s="95" t="inlineStr">
        <is>
          <t>LM ASSESSORIA CONTÁBIL</t>
        </is>
      </c>
      <c r="E20" s="96" t="inlineStr"/>
      <c r="F20" s="96" t="inlineStr">
        <is>
          <t>REC|LM ASSESSORIA CONTÁBIL|LM ASSESSORIA CONTÁBIL</t>
        </is>
      </c>
      <c r="G20" s="95">
        <f>IFERROR(VLOOKUP(F20,'12. Contratos_OS'!$A$6:$L$1000,2,FALSE),"")</f>
        <v/>
      </c>
      <c r="H20" s="95">
        <f>IFERROR(VLOOKUP(F20,'12. Contratos_OS'!$A$6:$L$1000,3,FALSE),"")</f>
        <v/>
      </c>
      <c r="I20" s="95">
        <f>IFERROR(VLOOKUP(F20,'12. Contratos_OS'!$A$6:$L$1000,4,FALSE),"")</f>
        <v/>
      </c>
      <c r="J20" s="95">
        <f>IFERROR(VLOOKUP(F20,'12. Contratos_OS'!$A$6:$L$1000,7,FALSE),"")</f>
        <v/>
      </c>
      <c r="K20" s="95">
        <f>IFERROR(VLOOKUP(J20,'11. Cadastro de Serviços'!$A$6:$E$200,2,FALSE),"")</f>
        <v/>
      </c>
      <c r="L20" s="95">
        <f>IFERROR(VLOOKUP(J20,'11. Cadastro de Serviços'!$A$6:$E$200,3,FALSE),"")</f>
        <v/>
      </c>
      <c r="M20" s="95">
        <f>IFERROR(VLOOKUP(J20,'11. Cadastro de Serviços'!$A$6:$E$200,4,FALSE),"")</f>
        <v/>
      </c>
      <c r="N20" s="95" t="inlineStr"/>
      <c r="O20" s="95">
        <f>IF(AND(G20&lt;&gt;"",I20&lt;&gt;"",J20&lt;&gt;"",M20&lt;&gt;""),"Rastreado","Revisar")</f>
        <v/>
      </c>
      <c r="P20" s="96" t="inlineStr">
        <is>
          <t>Recorrente: cliente mestre/unidade inferidos do título fixo.</t>
        </is>
      </c>
    </row>
    <row r="21">
      <c r="A21" s="95" t="inlineStr">
        <is>
          <t>CR-014</t>
        </is>
      </c>
      <c r="B21" s="96" t="inlineStr">
        <is>
          <t>POSTOS JULIANA - P. Pau Furado</t>
        </is>
      </c>
      <c r="C21" s="96" t="inlineStr">
        <is>
          <t>POSTOS JULIANA - P. Pau Furado</t>
        </is>
      </c>
      <c r="D21" s="95" t="inlineStr">
        <is>
          <t>POSTOS JULIANA</t>
        </is>
      </c>
      <c r="E21" s="96" t="inlineStr">
        <is>
          <t>P. Pau Furado</t>
        </is>
      </c>
      <c r="F21" s="96" t="inlineStr">
        <is>
          <t>REC|POSTOS JULIANA|P. Pau Furado</t>
        </is>
      </c>
      <c r="G21" s="95">
        <f>IFERROR(VLOOKUP(F21,'12. Contratos_OS'!$A$6:$L$1000,2,FALSE),"")</f>
        <v/>
      </c>
      <c r="H21" s="95">
        <f>IFERROR(VLOOKUP(F21,'12. Contratos_OS'!$A$6:$L$1000,3,FALSE),"")</f>
        <v/>
      </c>
      <c r="I21" s="95">
        <f>IFERROR(VLOOKUP(F21,'12. Contratos_OS'!$A$6:$L$1000,4,FALSE),"")</f>
        <v/>
      </c>
      <c r="J21" s="95">
        <f>IFERROR(VLOOKUP(F21,'12. Contratos_OS'!$A$6:$L$1000,7,FALSE),"")</f>
        <v/>
      </c>
      <c r="K21" s="95">
        <f>IFERROR(VLOOKUP(J21,'11. Cadastro de Serviços'!$A$6:$E$200,2,FALSE),"")</f>
        <v/>
      </c>
      <c r="L21" s="95">
        <f>IFERROR(VLOOKUP(J21,'11. Cadastro de Serviços'!$A$6:$E$200,3,FALSE),"")</f>
        <v/>
      </c>
      <c r="M21" s="95">
        <f>IFERROR(VLOOKUP(J21,'11. Cadastro de Serviços'!$A$6:$E$200,4,FALSE),"")</f>
        <v/>
      </c>
      <c r="N21" s="95" t="inlineStr"/>
      <c r="O21" s="95">
        <f>IF(AND(G21&lt;&gt;"",I21&lt;&gt;"",J21&lt;&gt;"",M21&lt;&gt;""),"Rastreado","Revisar")</f>
        <v/>
      </c>
      <c r="P21" s="96" t="inlineStr">
        <is>
          <t>Recorrente: cliente mestre/unidade inferidos do título fixo.</t>
        </is>
      </c>
    </row>
    <row r="22">
      <c r="A22" s="95" t="inlineStr">
        <is>
          <t>CR-015</t>
        </is>
      </c>
      <c r="B22" s="96" t="inlineStr">
        <is>
          <t>POSTOS JULIANA - Gravatás + 7</t>
        </is>
      </c>
      <c r="C22" s="96" t="inlineStr">
        <is>
          <t>POSTOS JULIANA - Gravatás + 7</t>
        </is>
      </c>
      <c r="D22" s="95" t="inlineStr">
        <is>
          <t>POSTOS JULIANA</t>
        </is>
      </c>
      <c r="E22" s="96" t="inlineStr">
        <is>
          <t>Gravatás + 7</t>
        </is>
      </c>
      <c r="F22" s="96" t="inlineStr">
        <is>
          <t>REC|POSTOS JULIANA|Gravatás + 7</t>
        </is>
      </c>
      <c r="G22" s="95">
        <f>IFERROR(VLOOKUP(F22,'12. Contratos_OS'!$A$6:$L$1000,2,FALSE),"")</f>
        <v/>
      </c>
      <c r="H22" s="95">
        <f>IFERROR(VLOOKUP(F22,'12. Contratos_OS'!$A$6:$L$1000,3,FALSE),"")</f>
        <v/>
      </c>
      <c r="I22" s="95">
        <f>IFERROR(VLOOKUP(F22,'12. Contratos_OS'!$A$6:$L$1000,4,FALSE),"")</f>
        <v/>
      </c>
      <c r="J22" s="95">
        <f>IFERROR(VLOOKUP(F22,'12. Contratos_OS'!$A$6:$L$1000,7,FALSE),"")</f>
        <v/>
      </c>
      <c r="K22" s="95">
        <f>IFERROR(VLOOKUP(J22,'11. Cadastro de Serviços'!$A$6:$E$200,2,FALSE),"")</f>
        <v/>
      </c>
      <c r="L22" s="95">
        <f>IFERROR(VLOOKUP(J22,'11. Cadastro de Serviços'!$A$6:$E$200,3,FALSE),"")</f>
        <v/>
      </c>
      <c r="M22" s="95">
        <f>IFERROR(VLOOKUP(J22,'11. Cadastro de Serviços'!$A$6:$E$200,4,FALSE),"")</f>
        <v/>
      </c>
      <c r="N22" s="95" t="inlineStr"/>
      <c r="O22" s="95">
        <f>IF(AND(G22&lt;&gt;"",I22&lt;&gt;"",J22&lt;&gt;"",M22&lt;&gt;""),"Rastreado","Revisar")</f>
        <v/>
      </c>
      <c r="P22" s="96" t="inlineStr">
        <is>
          <t>Recorrente: cliente mestre/unidade inferidos do título fixo.</t>
        </is>
      </c>
    </row>
    <row r="23">
      <c r="A23" s="95" t="inlineStr">
        <is>
          <t>CR-016</t>
        </is>
      </c>
      <c r="B23" s="96" t="inlineStr">
        <is>
          <t>POSTOS JULIANA - Edem + 2</t>
        </is>
      </c>
      <c r="C23" s="96" t="inlineStr">
        <is>
          <t>POSTOS JULIANA - Edem + 2</t>
        </is>
      </c>
      <c r="D23" s="95" t="inlineStr">
        <is>
          <t>POSTOS JULIANA</t>
        </is>
      </c>
      <c r="E23" s="96" t="inlineStr">
        <is>
          <t>Edem + 2</t>
        </is>
      </c>
      <c r="F23" s="96" t="inlineStr">
        <is>
          <t>REC|POSTOS JULIANA|Edem + 2</t>
        </is>
      </c>
      <c r="G23" s="95">
        <f>IFERROR(VLOOKUP(F23,'12. Contratos_OS'!$A$6:$L$1000,2,FALSE),"")</f>
        <v/>
      </c>
      <c r="H23" s="95">
        <f>IFERROR(VLOOKUP(F23,'12. Contratos_OS'!$A$6:$L$1000,3,FALSE),"")</f>
        <v/>
      </c>
      <c r="I23" s="95">
        <f>IFERROR(VLOOKUP(F23,'12. Contratos_OS'!$A$6:$L$1000,4,FALSE),"")</f>
        <v/>
      </c>
      <c r="J23" s="95">
        <f>IFERROR(VLOOKUP(F23,'12. Contratos_OS'!$A$6:$L$1000,7,FALSE),"")</f>
        <v/>
      </c>
      <c r="K23" s="95">
        <f>IFERROR(VLOOKUP(J23,'11. Cadastro de Serviços'!$A$6:$E$200,2,FALSE),"")</f>
        <v/>
      </c>
      <c r="L23" s="95">
        <f>IFERROR(VLOOKUP(J23,'11. Cadastro de Serviços'!$A$6:$E$200,3,FALSE),"")</f>
        <v/>
      </c>
      <c r="M23" s="95">
        <f>IFERROR(VLOOKUP(J23,'11. Cadastro de Serviços'!$A$6:$E$200,4,FALSE),"")</f>
        <v/>
      </c>
      <c r="N23" s="95" t="inlineStr"/>
      <c r="O23" s="95">
        <f>IF(AND(G23&lt;&gt;"",I23&lt;&gt;"",J23&lt;&gt;"",M23&lt;&gt;""),"Rastreado","Revisar")</f>
        <v/>
      </c>
      <c r="P23" s="96" t="inlineStr">
        <is>
          <t>Recorrente: cliente mestre/unidade inferidos do título fixo.</t>
        </is>
      </c>
    </row>
    <row r="24">
      <c r="A24" s="95" t="inlineStr">
        <is>
          <t>CR-017</t>
        </is>
      </c>
      <c r="B24" s="96" t="inlineStr">
        <is>
          <t>RDM LOGÍSTICA</t>
        </is>
      </c>
      <c r="C24" s="96" t="inlineStr">
        <is>
          <t>RDM LOGÍSTICA</t>
        </is>
      </c>
      <c r="D24" s="95" t="inlineStr">
        <is>
          <t>RDM LOGÍSTICA</t>
        </is>
      </c>
      <c r="E24" s="96" t="inlineStr"/>
      <c r="F24" s="96" t="inlineStr">
        <is>
          <t>REC|RDM LOGÍSTICA|RDM LOGÍSTICA</t>
        </is>
      </c>
      <c r="G24" s="95">
        <f>IFERROR(VLOOKUP(F24,'12. Contratos_OS'!$A$6:$L$1000,2,FALSE),"")</f>
        <v/>
      </c>
      <c r="H24" s="95">
        <f>IFERROR(VLOOKUP(F24,'12. Contratos_OS'!$A$6:$L$1000,3,FALSE),"")</f>
        <v/>
      </c>
      <c r="I24" s="95">
        <f>IFERROR(VLOOKUP(F24,'12. Contratos_OS'!$A$6:$L$1000,4,FALSE),"")</f>
        <v/>
      </c>
      <c r="J24" s="95">
        <f>IFERROR(VLOOKUP(F24,'12. Contratos_OS'!$A$6:$L$1000,7,FALSE),"")</f>
        <v/>
      </c>
      <c r="K24" s="95">
        <f>IFERROR(VLOOKUP(J24,'11. Cadastro de Serviços'!$A$6:$E$200,2,FALSE),"")</f>
        <v/>
      </c>
      <c r="L24" s="95">
        <f>IFERROR(VLOOKUP(J24,'11. Cadastro de Serviços'!$A$6:$E$200,3,FALSE),"")</f>
        <v/>
      </c>
      <c r="M24" s="95">
        <f>IFERROR(VLOOKUP(J24,'11. Cadastro de Serviços'!$A$6:$E$200,4,FALSE),"")</f>
        <v/>
      </c>
      <c r="N24" s="95" t="inlineStr"/>
      <c r="O24" s="95">
        <f>IF(AND(G24&lt;&gt;"",I24&lt;&gt;"",J24&lt;&gt;"",M24&lt;&gt;""),"Rastreado","Revisar")</f>
        <v/>
      </c>
      <c r="P24" s="96" t="inlineStr">
        <is>
          <t>Recorrente: cliente mestre/unidade inferidos do título fixo.</t>
        </is>
      </c>
    </row>
    <row r="25">
      <c r="A25" s="95" t="inlineStr">
        <is>
          <t>CR-018</t>
        </is>
      </c>
      <c r="B25" s="96" t="inlineStr">
        <is>
          <t>TRANSPORTADORA RODOMEU</t>
        </is>
      </c>
      <c r="C25" s="96" t="inlineStr">
        <is>
          <t>TRANSPORTADORA RODOMEU</t>
        </is>
      </c>
      <c r="D25" s="95" t="inlineStr">
        <is>
          <t>TRANSPORTADORA RODOMEU</t>
        </is>
      </c>
      <c r="E25" s="96" t="inlineStr"/>
      <c r="F25" s="96" t="inlineStr">
        <is>
          <t>REC|TRANSPORTADORA RODOMEU|TRANSPORTADORA RODOMEU</t>
        </is>
      </c>
      <c r="G25" s="95">
        <f>IFERROR(VLOOKUP(F25,'12. Contratos_OS'!$A$6:$L$1000,2,FALSE),"")</f>
        <v/>
      </c>
      <c r="H25" s="95">
        <f>IFERROR(VLOOKUP(F25,'12. Contratos_OS'!$A$6:$L$1000,3,FALSE),"")</f>
        <v/>
      </c>
      <c r="I25" s="95">
        <f>IFERROR(VLOOKUP(F25,'12. Contratos_OS'!$A$6:$L$1000,4,FALSE),"")</f>
        <v/>
      </c>
      <c r="J25" s="95">
        <f>IFERROR(VLOOKUP(F25,'12. Contratos_OS'!$A$6:$L$1000,7,FALSE),"")</f>
        <v/>
      </c>
      <c r="K25" s="95">
        <f>IFERROR(VLOOKUP(J25,'11. Cadastro de Serviços'!$A$6:$E$200,2,FALSE),"")</f>
        <v/>
      </c>
      <c r="L25" s="95">
        <f>IFERROR(VLOOKUP(J25,'11. Cadastro de Serviços'!$A$6:$E$200,3,FALSE),"")</f>
        <v/>
      </c>
      <c r="M25" s="95">
        <f>IFERROR(VLOOKUP(J25,'11. Cadastro de Serviços'!$A$6:$E$200,4,FALSE),"")</f>
        <v/>
      </c>
      <c r="N25" s="95" t="inlineStr"/>
      <c r="O25" s="95">
        <f>IF(AND(G25&lt;&gt;"",I25&lt;&gt;"",J25&lt;&gt;"",M25&lt;&gt;""),"Rastreado","Revisar")</f>
        <v/>
      </c>
      <c r="P25" s="96" t="inlineStr">
        <is>
          <t>Recorrente: cliente mestre/unidade inferidos do título fixo.</t>
        </is>
      </c>
    </row>
    <row r="26">
      <c r="A26" s="95" t="inlineStr">
        <is>
          <t>CR-019</t>
        </is>
      </c>
      <c r="B26" s="96" t="inlineStr">
        <is>
          <t>AGROFORTE</t>
        </is>
      </c>
      <c r="C26" s="96" t="inlineStr">
        <is>
          <t>AGROFORTE (10/12)</t>
        </is>
      </c>
      <c r="D26" s="95" t="inlineStr">
        <is>
          <t>AGROFORTE</t>
        </is>
      </c>
      <c r="E26" s="96" t="inlineStr"/>
      <c r="F26" s="96" t="inlineStr">
        <is>
          <t>REC|AGROFORTE|AGROFORTE</t>
        </is>
      </c>
      <c r="G26" s="95">
        <f>IFERROR(VLOOKUP(F26,'12. Contratos_OS'!$A$6:$L$1000,2,FALSE),"")</f>
        <v/>
      </c>
      <c r="H26" s="95">
        <f>IFERROR(VLOOKUP(F26,'12. Contratos_OS'!$A$6:$L$1000,3,FALSE),"")</f>
        <v/>
      </c>
      <c r="I26" s="95">
        <f>IFERROR(VLOOKUP(F26,'12. Contratos_OS'!$A$6:$L$1000,4,FALSE),"")</f>
        <v/>
      </c>
      <c r="J26" s="95">
        <f>IFERROR(VLOOKUP(F26,'12. Contratos_OS'!$A$6:$L$1000,7,FALSE),"")</f>
        <v/>
      </c>
      <c r="K26" s="95">
        <f>IFERROR(VLOOKUP(J26,'11. Cadastro de Serviços'!$A$6:$E$200,2,FALSE),"")</f>
        <v/>
      </c>
      <c r="L26" s="95">
        <f>IFERROR(VLOOKUP(J26,'11. Cadastro de Serviços'!$A$6:$E$200,3,FALSE),"")</f>
        <v/>
      </c>
      <c r="M26" s="95">
        <f>IFERROR(VLOOKUP(J26,'11. Cadastro de Serviços'!$A$6:$E$200,4,FALSE),"")</f>
        <v/>
      </c>
      <c r="N26" s="95" t="inlineStr"/>
      <c r="O26" s="95">
        <f>IF(AND(G26&lt;&gt;"",I26&lt;&gt;"",J26&lt;&gt;"",M26&lt;&gt;""),"Rastreado","Revisar")</f>
        <v/>
      </c>
      <c r="P26" s="96" t="inlineStr">
        <is>
          <t>Recorrente: cliente mestre/unidade inferidos do título fixo.</t>
        </is>
      </c>
    </row>
    <row r="27">
      <c r="A27" s="95" t="inlineStr">
        <is>
          <t>CR-020</t>
        </is>
      </c>
      <c r="B27" s="96" t="inlineStr">
        <is>
          <t>FAZENDAS GUARACI</t>
        </is>
      </c>
      <c r="C27" s="96" t="inlineStr">
        <is>
          <t>FAZENDAS GUARACI</t>
        </is>
      </c>
      <c r="D27" s="95" t="inlineStr">
        <is>
          <t>FAZENDAS GUARACI</t>
        </is>
      </c>
      <c r="E27" s="96" t="inlineStr"/>
      <c r="F27" s="96" t="inlineStr">
        <is>
          <t>REC|FAZENDAS GUARACI|FAZENDAS GUARACI</t>
        </is>
      </c>
      <c r="G27" s="95">
        <f>IFERROR(VLOOKUP(F27,'12. Contratos_OS'!$A$6:$L$1000,2,FALSE),"")</f>
        <v/>
      </c>
      <c r="H27" s="95">
        <f>IFERROR(VLOOKUP(F27,'12. Contratos_OS'!$A$6:$L$1000,3,FALSE),"")</f>
        <v/>
      </c>
      <c r="I27" s="95">
        <f>IFERROR(VLOOKUP(F27,'12. Contratos_OS'!$A$6:$L$1000,4,FALSE),"")</f>
        <v/>
      </c>
      <c r="J27" s="95">
        <f>IFERROR(VLOOKUP(F27,'12. Contratos_OS'!$A$6:$L$1000,7,FALSE),"")</f>
        <v/>
      </c>
      <c r="K27" s="95">
        <f>IFERROR(VLOOKUP(J27,'11. Cadastro de Serviços'!$A$6:$E$200,2,FALSE),"")</f>
        <v/>
      </c>
      <c r="L27" s="95">
        <f>IFERROR(VLOOKUP(J27,'11. Cadastro de Serviços'!$A$6:$E$200,3,FALSE),"")</f>
        <v/>
      </c>
      <c r="M27" s="95">
        <f>IFERROR(VLOOKUP(J27,'11. Cadastro de Serviços'!$A$6:$E$200,4,FALSE),"")</f>
        <v/>
      </c>
      <c r="N27" s="95" t="inlineStr"/>
      <c r="O27" s="95">
        <f>IF(AND(G27&lt;&gt;"",I27&lt;&gt;"",J27&lt;&gt;"",M27&lt;&gt;""),"Rastreado","Revisar")</f>
        <v/>
      </c>
      <c r="P27" s="96" t="inlineStr">
        <is>
          <t>Recorrente: cliente mestre/unidade inferidos do título fixo.</t>
        </is>
      </c>
    </row>
    <row r="28">
      <c r="A28" s="95" t="inlineStr">
        <is>
          <t>CR-021</t>
        </is>
      </c>
      <c r="B28" s="96" t="inlineStr">
        <is>
          <t>TR. LASER - INCL FUNÇÃO</t>
        </is>
      </c>
      <c r="C28" s="96" t="inlineStr">
        <is>
          <t>TR. LASER - INCL FUNÇÃO</t>
        </is>
      </c>
      <c r="D28" s="95" t="inlineStr">
        <is>
          <t>TR. LASER - INCL FUNÇÃO</t>
        </is>
      </c>
      <c r="E28" s="96" t="inlineStr"/>
      <c r="F28" s="96" t="inlineStr">
        <is>
          <t>OS|TR. LASER - INCL FUNÇÃO|TR. LASER - INCL FUNÇÃO|SRV-PRJ</t>
        </is>
      </c>
      <c r="G28" s="95">
        <f>IFERROR(VLOOKUP(F28,'12. Contratos_OS'!$A$6:$L$1000,2,FALSE),"")</f>
        <v/>
      </c>
      <c r="H28" s="95">
        <f>IFERROR(VLOOKUP(F28,'12. Contratos_OS'!$A$6:$L$1000,3,FALSE),"")</f>
        <v/>
      </c>
      <c r="I28" s="95">
        <f>IFERROR(VLOOKUP(F28,'12. Contratos_OS'!$A$6:$L$1000,4,FALSE),"")</f>
        <v/>
      </c>
      <c r="J28" s="95">
        <f>IFERROR(VLOOKUP(F28,'12. Contratos_OS'!$A$6:$L$1000,7,FALSE),"")</f>
        <v/>
      </c>
      <c r="K28" s="95">
        <f>IFERROR(VLOOKUP(J28,'11. Cadastro de Serviços'!$A$6:$E$200,2,FALSE),"")</f>
        <v/>
      </c>
      <c r="L28" s="95">
        <f>IFERROR(VLOOKUP(J28,'11. Cadastro de Serviços'!$A$6:$E$200,3,FALSE),"")</f>
        <v/>
      </c>
      <c r="M28" s="95">
        <f>IFERROR(VLOOKUP(J28,'11. Cadastro de Serviços'!$A$6:$E$200,4,FALSE),"")</f>
        <v/>
      </c>
      <c r="N28" s="95" t="inlineStr"/>
      <c r="O28" s="95">
        <f>IF(AND(G28&lt;&gt;"",I28&lt;&gt;"",J28&lt;&gt;"",M28&lt;&gt;""),"Rastreado","Revisar")</f>
        <v/>
      </c>
      <c r="P28" s="96" t="inlineStr">
        <is>
          <t>Extra: OS inferida da descrição limpa do título; parcelas mantidas na mesma chave.</t>
        </is>
      </c>
    </row>
    <row r="29">
      <c r="A29" s="95" t="inlineStr">
        <is>
          <t>CR-022</t>
        </is>
      </c>
      <c r="B29" s="96" t="inlineStr">
        <is>
          <t>DPA- HUB UM 593</t>
        </is>
      </c>
      <c r="C29" s="96" t="inlineStr">
        <is>
          <t>DPA- HUB UM 593</t>
        </is>
      </c>
      <c r="D29" s="95" t="inlineStr">
        <is>
          <t>DPA</t>
        </is>
      </c>
      <c r="E29" s="96" t="inlineStr">
        <is>
          <t>HUB UM 593</t>
        </is>
      </c>
      <c r="F29" s="96" t="inlineStr">
        <is>
          <t>OS|DPA|DPA- HUB UM 593|SRV-PRJ</t>
        </is>
      </c>
      <c r="G29" s="95">
        <f>IFERROR(VLOOKUP(F29,'12. Contratos_OS'!$A$6:$L$1000,2,FALSE),"")</f>
        <v/>
      </c>
      <c r="H29" s="95">
        <f>IFERROR(VLOOKUP(F29,'12. Contratos_OS'!$A$6:$L$1000,3,FALSE),"")</f>
        <v/>
      </c>
      <c r="I29" s="95">
        <f>IFERROR(VLOOKUP(F29,'12. Contratos_OS'!$A$6:$L$1000,4,FALSE),"")</f>
        <v/>
      </c>
      <c r="J29" s="95">
        <f>IFERROR(VLOOKUP(F29,'12. Contratos_OS'!$A$6:$L$1000,7,FALSE),"")</f>
        <v/>
      </c>
      <c r="K29" s="95">
        <f>IFERROR(VLOOKUP(J29,'11. Cadastro de Serviços'!$A$6:$E$200,2,FALSE),"")</f>
        <v/>
      </c>
      <c r="L29" s="95">
        <f>IFERROR(VLOOKUP(J29,'11. Cadastro de Serviços'!$A$6:$E$200,3,FALSE),"")</f>
        <v/>
      </c>
      <c r="M29" s="95">
        <f>IFERROR(VLOOKUP(J29,'11. Cadastro de Serviços'!$A$6:$E$200,4,FALSE),"")</f>
        <v/>
      </c>
      <c r="N29" s="95" t="inlineStr"/>
      <c r="O29" s="95">
        <f>IF(AND(G29&lt;&gt;"",I29&lt;&gt;"",J29&lt;&gt;"",M29&lt;&gt;""),"Rastreado","Revisar")</f>
        <v/>
      </c>
      <c r="P29" s="96" t="inlineStr">
        <is>
          <t>Extra: OS inferida da descrição limpa do título; parcelas mantidas na mesma chave.</t>
        </is>
      </c>
    </row>
    <row r="30">
      <c r="A30" s="95" t="inlineStr">
        <is>
          <t>CR-023</t>
        </is>
      </c>
      <c r="B30" s="96" t="inlineStr">
        <is>
          <t>LCA - FRIGOPAIVA /FERRO VELHO</t>
        </is>
      </c>
      <c r="C30" s="96" t="inlineStr">
        <is>
          <t>LCA - FRIGOPAIVA /FERRO VELHO (1/3)</t>
        </is>
      </c>
      <c r="D30" s="95" t="inlineStr">
        <is>
          <t>LCA - FRIGOPAIVA /FERRO VELHO</t>
        </is>
      </c>
      <c r="E30" s="96" t="inlineStr"/>
      <c r="F30" s="96" t="inlineStr">
        <is>
          <t>OS|LCA - FRIGOPAIVA /FERRO VELHO|LCA - FRIGOPAIVA /FERRO VELHO|SRV-PRJ</t>
        </is>
      </c>
      <c r="G30" s="95">
        <f>IFERROR(VLOOKUP(F30,'12. Contratos_OS'!$A$6:$L$1000,2,FALSE),"")</f>
        <v/>
      </c>
      <c r="H30" s="95">
        <f>IFERROR(VLOOKUP(F30,'12. Contratos_OS'!$A$6:$L$1000,3,FALSE),"")</f>
        <v/>
      </c>
      <c r="I30" s="95">
        <f>IFERROR(VLOOKUP(F30,'12. Contratos_OS'!$A$6:$L$1000,4,FALSE),"")</f>
        <v/>
      </c>
      <c r="J30" s="95">
        <f>IFERROR(VLOOKUP(F30,'12. Contratos_OS'!$A$6:$L$1000,7,FALSE),"")</f>
        <v/>
      </c>
      <c r="K30" s="95">
        <f>IFERROR(VLOOKUP(J30,'11. Cadastro de Serviços'!$A$6:$E$200,2,FALSE),"")</f>
        <v/>
      </c>
      <c r="L30" s="95">
        <f>IFERROR(VLOOKUP(J30,'11. Cadastro de Serviços'!$A$6:$E$200,3,FALSE),"")</f>
        <v/>
      </c>
      <c r="M30" s="95">
        <f>IFERROR(VLOOKUP(J30,'11. Cadastro de Serviços'!$A$6:$E$200,4,FALSE),"")</f>
        <v/>
      </c>
      <c r="N30" s="95" t="inlineStr"/>
      <c r="O30" s="95">
        <f>IF(AND(G30&lt;&gt;"",I30&lt;&gt;"",J30&lt;&gt;"",M30&lt;&gt;""),"Rastreado","Revisar")</f>
        <v/>
      </c>
      <c r="P30" s="96" t="inlineStr">
        <is>
          <t>Extra: OS inferida da descrição limpa do título; parcelas mantidas na mesma chave.</t>
        </is>
      </c>
    </row>
    <row r="31">
      <c r="A31" s="95" t="inlineStr">
        <is>
          <t>CR-024</t>
        </is>
      </c>
      <c r="B31" s="96" t="inlineStr">
        <is>
          <t>MDA SOLUÇÕES</t>
        </is>
      </c>
      <c r="C31" s="96" t="inlineStr">
        <is>
          <t>MDA SOLUÇÕES (2/3)</t>
        </is>
      </c>
      <c r="D31" s="95" t="inlineStr">
        <is>
          <t>MDA SOLUÇÕES</t>
        </is>
      </c>
      <c r="E31" s="96" t="inlineStr"/>
      <c r="F31" s="96" t="inlineStr">
        <is>
          <t>OS|MDA SOLUÇÕES|MDA SOLUÇÕES|SRV-PRJ</t>
        </is>
      </c>
      <c r="G31" s="95">
        <f>IFERROR(VLOOKUP(F31,'12. Contratos_OS'!$A$6:$L$1000,2,FALSE),"")</f>
        <v/>
      </c>
      <c r="H31" s="95">
        <f>IFERROR(VLOOKUP(F31,'12. Contratos_OS'!$A$6:$L$1000,3,FALSE),"")</f>
        <v/>
      </c>
      <c r="I31" s="95">
        <f>IFERROR(VLOOKUP(F31,'12. Contratos_OS'!$A$6:$L$1000,4,FALSE),"")</f>
        <v/>
      </c>
      <c r="J31" s="95">
        <f>IFERROR(VLOOKUP(F31,'12. Contratos_OS'!$A$6:$L$1000,7,FALSE),"")</f>
        <v/>
      </c>
      <c r="K31" s="95">
        <f>IFERROR(VLOOKUP(J31,'11. Cadastro de Serviços'!$A$6:$E$200,2,FALSE),"")</f>
        <v/>
      </c>
      <c r="L31" s="95">
        <f>IFERROR(VLOOKUP(J31,'11. Cadastro de Serviços'!$A$6:$E$200,3,FALSE),"")</f>
        <v/>
      </c>
      <c r="M31" s="95">
        <f>IFERROR(VLOOKUP(J31,'11. Cadastro de Serviços'!$A$6:$E$200,4,FALSE),"")</f>
        <v/>
      </c>
      <c r="N31" s="95" t="inlineStr"/>
      <c r="O31" s="95">
        <f>IF(AND(G31&lt;&gt;"",I31&lt;&gt;"",J31&lt;&gt;"",M31&lt;&gt;""),"Rastreado","Revisar")</f>
        <v/>
      </c>
      <c r="P31" s="96" t="inlineStr">
        <is>
          <t>Extra: OS inferida da descrição limpa do título; parcelas mantidas na mesma chave.</t>
        </is>
      </c>
    </row>
    <row r="32">
      <c r="A32" s="95" t="inlineStr">
        <is>
          <t>CR-025</t>
        </is>
      </c>
      <c r="B32" s="96" t="inlineStr">
        <is>
          <t>CBA - MERC BELA VISTA/ P Olavo</t>
        </is>
      </c>
      <c r="C32" s="96" t="inlineStr">
        <is>
          <t>CBA - MERC BELA VISTA/ P Olavo</t>
        </is>
      </c>
      <c r="D32" s="95" t="inlineStr">
        <is>
          <t>CBA</t>
        </is>
      </c>
      <c r="E32" s="96" t="inlineStr">
        <is>
          <t>MERC BELA VISTA/ P Olavo</t>
        </is>
      </c>
      <c r="F32" s="96" t="inlineStr">
        <is>
          <t>OS|CBA|CBA - MERC BELA VISTA/ P Olavo|SRV-PRJ</t>
        </is>
      </c>
      <c r="G32" s="95">
        <f>IFERROR(VLOOKUP(F32,'12. Contratos_OS'!$A$6:$L$1000,2,FALSE),"")</f>
        <v/>
      </c>
      <c r="H32" s="95">
        <f>IFERROR(VLOOKUP(F32,'12. Contratos_OS'!$A$6:$L$1000,3,FALSE),"")</f>
        <v/>
      </c>
      <c r="I32" s="95">
        <f>IFERROR(VLOOKUP(F32,'12. Contratos_OS'!$A$6:$L$1000,4,FALSE),"")</f>
        <v/>
      </c>
      <c r="J32" s="95">
        <f>IFERROR(VLOOKUP(F32,'12. Contratos_OS'!$A$6:$L$1000,7,FALSE),"")</f>
        <v/>
      </c>
      <c r="K32" s="95">
        <f>IFERROR(VLOOKUP(J32,'11. Cadastro de Serviços'!$A$6:$E$200,2,FALSE),"")</f>
        <v/>
      </c>
      <c r="L32" s="95">
        <f>IFERROR(VLOOKUP(J32,'11. Cadastro de Serviços'!$A$6:$E$200,3,FALSE),"")</f>
        <v/>
      </c>
      <c r="M32" s="95">
        <f>IFERROR(VLOOKUP(J32,'11. Cadastro de Serviços'!$A$6:$E$200,4,FALSE),"")</f>
        <v/>
      </c>
      <c r="N32" s="95" t="inlineStr"/>
      <c r="O32" s="95">
        <f>IF(AND(G32&lt;&gt;"",I32&lt;&gt;"",J32&lt;&gt;"",M32&lt;&gt;""),"Rastreado","Revisar")</f>
        <v/>
      </c>
      <c r="P32" s="96" t="inlineStr">
        <is>
          <t>Extra: OS inferida da descrição limpa do título; parcelas mantidas na mesma chave.</t>
        </is>
      </c>
    </row>
    <row r="33">
      <c r="A33" s="95" t="inlineStr">
        <is>
          <t>CR-026</t>
        </is>
      </c>
      <c r="B33" s="96" t="inlineStr">
        <is>
          <t>FAZ KUENO/ ADEQ PSICOSOCIAL</t>
        </is>
      </c>
      <c r="C33" s="96" t="inlineStr">
        <is>
          <t>FAZ KUENO/ ADEQ PSICOSOCIAL</t>
        </is>
      </c>
      <c r="D33" s="95" t="inlineStr">
        <is>
          <t>FAZ KUENO/ ADEQ PSICOSOCIAL</t>
        </is>
      </c>
      <c r="E33" s="96" t="inlineStr"/>
      <c r="F33" s="96" t="inlineStr">
        <is>
          <t>OS|FAZ KUENO/ ADEQ PSICOSOCIAL|FAZ KUENO/ ADEQ PSICOSOCIAL|SRV-PSI</t>
        </is>
      </c>
      <c r="G33" s="95">
        <f>IFERROR(VLOOKUP(F33,'12. Contratos_OS'!$A$6:$L$1000,2,FALSE),"")</f>
        <v/>
      </c>
      <c r="H33" s="95">
        <f>IFERROR(VLOOKUP(F33,'12. Contratos_OS'!$A$6:$L$1000,3,FALSE),"")</f>
        <v/>
      </c>
      <c r="I33" s="95">
        <f>IFERROR(VLOOKUP(F33,'12. Contratos_OS'!$A$6:$L$1000,4,FALSE),"")</f>
        <v/>
      </c>
      <c r="J33" s="95">
        <f>IFERROR(VLOOKUP(F33,'12. Contratos_OS'!$A$6:$L$1000,7,FALSE),"")</f>
        <v/>
      </c>
      <c r="K33" s="95">
        <f>IFERROR(VLOOKUP(J33,'11. Cadastro de Serviços'!$A$6:$E$200,2,FALSE),"")</f>
        <v/>
      </c>
      <c r="L33" s="95">
        <f>IFERROR(VLOOKUP(J33,'11. Cadastro de Serviços'!$A$6:$E$200,3,FALSE),"")</f>
        <v/>
      </c>
      <c r="M33" s="95">
        <f>IFERROR(VLOOKUP(J33,'11. Cadastro de Serviços'!$A$6:$E$200,4,FALSE),"")</f>
        <v/>
      </c>
      <c r="N33" s="95" t="inlineStr"/>
      <c r="O33" s="95">
        <f>IF(AND(G33&lt;&gt;"",I33&lt;&gt;"",J33&lt;&gt;"",M33&lt;&gt;""),"Rastreado","Revisar")</f>
        <v/>
      </c>
      <c r="P33" s="96" t="inlineStr">
        <is>
          <t>Extra: OS inferida da descrição limpa do título; parcelas mantidas na mesma chave.</t>
        </is>
      </c>
    </row>
    <row r="34">
      <c r="A34" s="95" t="inlineStr">
        <is>
          <t>CR-027</t>
        </is>
      </c>
      <c r="B34" s="96" t="inlineStr">
        <is>
          <t>FAZ ROBSON/ ADEQ PSICOSOCIAL</t>
        </is>
      </c>
      <c r="C34" s="96" t="inlineStr">
        <is>
          <t>FAZ ROBSON/ ADEQ PSICOSOCIAL</t>
        </is>
      </c>
      <c r="D34" s="95" t="inlineStr">
        <is>
          <t>FAZ ROBSON/ ADEQ PSICOSOCIAL</t>
        </is>
      </c>
      <c r="E34" s="96" t="inlineStr"/>
      <c r="F34" s="96" t="inlineStr">
        <is>
          <t>OS|FAZ ROBSON/ ADEQ PSICOSOCIAL|FAZ ROBSON/ ADEQ PSICOSOCIAL|SRV-PSI</t>
        </is>
      </c>
      <c r="G34" s="95">
        <f>IFERROR(VLOOKUP(F34,'12. Contratos_OS'!$A$6:$L$1000,2,FALSE),"")</f>
        <v/>
      </c>
      <c r="H34" s="95">
        <f>IFERROR(VLOOKUP(F34,'12. Contratos_OS'!$A$6:$L$1000,3,FALSE),"")</f>
        <v/>
      </c>
      <c r="I34" s="95">
        <f>IFERROR(VLOOKUP(F34,'12. Contratos_OS'!$A$6:$L$1000,4,FALSE),"")</f>
        <v/>
      </c>
      <c r="J34" s="95">
        <f>IFERROR(VLOOKUP(F34,'12. Contratos_OS'!$A$6:$L$1000,7,FALSE),"")</f>
        <v/>
      </c>
      <c r="K34" s="95">
        <f>IFERROR(VLOOKUP(J34,'11. Cadastro de Serviços'!$A$6:$E$200,2,FALSE),"")</f>
        <v/>
      </c>
      <c r="L34" s="95">
        <f>IFERROR(VLOOKUP(J34,'11. Cadastro de Serviços'!$A$6:$E$200,3,FALSE),"")</f>
        <v/>
      </c>
      <c r="M34" s="95">
        <f>IFERROR(VLOOKUP(J34,'11. Cadastro de Serviços'!$A$6:$E$200,4,FALSE),"")</f>
        <v/>
      </c>
      <c r="N34" s="95" t="inlineStr"/>
      <c r="O34" s="95">
        <f>IF(AND(G34&lt;&gt;"",I34&lt;&gt;"",J34&lt;&gt;"",M34&lt;&gt;""),"Rastreado","Revisar")</f>
        <v/>
      </c>
      <c r="P34" s="96" t="inlineStr">
        <is>
          <t>Extra: OS inferida da descrição limpa do título; parcelas mantidas na mesma chave.</t>
        </is>
      </c>
    </row>
    <row r="35">
      <c r="A35" s="95" t="inlineStr">
        <is>
          <t>CR-028</t>
        </is>
      </c>
      <c r="B35" s="96" t="inlineStr">
        <is>
          <t>DRESTE E-SOCIAL</t>
        </is>
      </c>
      <c r="C35" s="96" t="inlineStr">
        <is>
          <t>DRESTE E-SOCIAL</t>
        </is>
      </c>
      <c r="D35" s="95" t="inlineStr">
        <is>
          <t>DRESTE E-SOCIAL</t>
        </is>
      </c>
      <c r="E35" s="96" t="inlineStr"/>
      <c r="F35" s="96" t="inlineStr">
        <is>
          <t>OS|DRESTE E-SOCIAL|DRESTE E-SOCIAL|SRV-ESO</t>
        </is>
      </c>
      <c r="G35" s="95">
        <f>IFERROR(VLOOKUP(F35,'12. Contratos_OS'!$A$6:$L$1000,2,FALSE),"")</f>
        <v/>
      </c>
      <c r="H35" s="95">
        <f>IFERROR(VLOOKUP(F35,'12. Contratos_OS'!$A$6:$L$1000,3,FALSE),"")</f>
        <v/>
      </c>
      <c r="I35" s="95">
        <f>IFERROR(VLOOKUP(F35,'12. Contratos_OS'!$A$6:$L$1000,4,FALSE),"")</f>
        <v/>
      </c>
      <c r="J35" s="95">
        <f>IFERROR(VLOOKUP(F35,'12. Contratos_OS'!$A$6:$L$1000,7,FALSE),"")</f>
        <v/>
      </c>
      <c r="K35" s="95">
        <f>IFERROR(VLOOKUP(J35,'11. Cadastro de Serviços'!$A$6:$E$200,2,FALSE),"")</f>
        <v/>
      </c>
      <c r="L35" s="95">
        <f>IFERROR(VLOOKUP(J35,'11. Cadastro de Serviços'!$A$6:$E$200,3,FALSE),"")</f>
        <v/>
      </c>
      <c r="M35" s="95">
        <f>IFERROR(VLOOKUP(J35,'11. Cadastro de Serviços'!$A$6:$E$200,4,FALSE),"")</f>
        <v/>
      </c>
      <c r="N35" s="95" t="inlineStr"/>
      <c r="O35" s="95">
        <f>IF(AND(G35&lt;&gt;"",I35&lt;&gt;"",J35&lt;&gt;"",M35&lt;&gt;""),"Rastreado","Revisar")</f>
        <v/>
      </c>
      <c r="P35" s="96" t="inlineStr">
        <is>
          <t>Extra: OS inferida da descrição limpa do título; parcelas mantidas na mesma chave.</t>
        </is>
      </c>
    </row>
    <row r="36">
      <c r="A36" s="95" t="inlineStr">
        <is>
          <t>CR-029</t>
        </is>
      </c>
      <c r="B36" s="96" t="inlineStr">
        <is>
          <t>AÇOFERGO</t>
        </is>
      </c>
      <c r="C36" s="96" t="inlineStr">
        <is>
          <t>AÇOFERGO (2/2)</t>
        </is>
      </c>
      <c r="D36" s="95" t="inlineStr">
        <is>
          <t>AÇOFERGO</t>
        </is>
      </c>
      <c r="E36" s="96" t="inlineStr"/>
      <c r="F36" s="96" t="inlineStr">
        <is>
          <t>OS|AÇOFERGO|AÇOFERGO|SRV-PRJ</t>
        </is>
      </c>
      <c r="G36" s="95">
        <f>IFERROR(VLOOKUP(F36,'12. Contratos_OS'!$A$6:$L$1000,2,FALSE),"")</f>
        <v/>
      </c>
      <c r="H36" s="95">
        <f>IFERROR(VLOOKUP(F36,'12. Contratos_OS'!$A$6:$L$1000,3,FALSE),"")</f>
        <v/>
      </c>
      <c r="I36" s="95">
        <f>IFERROR(VLOOKUP(F36,'12. Contratos_OS'!$A$6:$L$1000,4,FALSE),"")</f>
        <v/>
      </c>
      <c r="J36" s="95">
        <f>IFERROR(VLOOKUP(F36,'12. Contratos_OS'!$A$6:$L$1000,7,FALSE),"")</f>
        <v/>
      </c>
      <c r="K36" s="95">
        <f>IFERROR(VLOOKUP(J36,'11. Cadastro de Serviços'!$A$6:$E$200,2,FALSE),"")</f>
        <v/>
      </c>
      <c r="L36" s="95">
        <f>IFERROR(VLOOKUP(J36,'11. Cadastro de Serviços'!$A$6:$E$200,3,FALSE),"")</f>
        <v/>
      </c>
      <c r="M36" s="95">
        <f>IFERROR(VLOOKUP(J36,'11. Cadastro de Serviços'!$A$6:$E$200,4,FALSE),"")</f>
        <v/>
      </c>
      <c r="N36" s="95" t="inlineStr"/>
      <c r="O36" s="95">
        <f>IF(AND(G36&lt;&gt;"",I36&lt;&gt;"",J36&lt;&gt;"",M36&lt;&gt;""),"Rastreado","Revisar")</f>
        <v/>
      </c>
      <c r="P36" s="96" t="inlineStr">
        <is>
          <t>Extra: OS inferida da descrição limpa do título; parcelas mantidas na mesma chave.</t>
        </is>
      </c>
    </row>
    <row r="37">
      <c r="A37" s="95" t="inlineStr">
        <is>
          <t>CR-030</t>
        </is>
      </c>
      <c r="B37" s="96" t="inlineStr">
        <is>
          <t>ASSEME - ROSA GESSO</t>
        </is>
      </c>
      <c r="C37" s="96" t="inlineStr">
        <is>
          <t>ASSEME - ROSA GESSO</t>
        </is>
      </c>
      <c r="D37" s="95" t="inlineStr">
        <is>
          <t>ASSEME - ROSA GESSO</t>
        </is>
      </c>
      <c r="E37" s="96" t="inlineStr"/>
      <c r="F37" s="96" t="inlineStr">
        <is>
          <t>OS|ASSEME - ROSA GESSO|ASSEME - ROSA GESSO|SRV-PRJ</t>
        </is>
      </c>
      <c r="G37" s="95">
        <f>IFERROR(VLOOKUP(F37,'12. Contratos_OS'!$A$6:$L$1000,2,FALSE),"")</f>
        <v/>
      </c>
      <c r="H37" s="95">
        <f>IFERROR(VLOOKUP(F37,'12. Contratos_OS'!$A$6:$L$1000,3,FALSE),"")</f>
        <v/>
      </c>
      <c r="I37" s="95">
        <f>IFERROR(VLOOKUP(F37,'12. Contratos_OS'!$A$6:$L$1000,4,FALSE),"")</f>
        <v/>
      </c>
      <c r="J37" s="95">
        <f>IFERROR(VLOOKUP(F37,'12. Contratos_OS'!$A$6:$L$1000,7,FALSE),"")</f>
        <v/>
      </c>
      <c r="K37" s="95">
        <f>IFERROR(VLOOKUP(J37,'11. Cadastro de Serviços'!$A$6:$E$200,2,FALSE),"")</f>
        <v/>
      </c>
      <c r="L37" s="95">
        <f>IFERROR(VLOOKUP(J37,'11. Cadastro de Serviços'!$A$6:$E$200,3,FALSE),"")</f>
        <v/>
      </c>
      <c r="M37" s="95">
        <f>IFERROR(VLOOKUP(J37,'11. Cadastro de Serviços'!$A$6:$E$200,4,FALSE),"")</f>
        <v/>
      </c>
      <c r="N37" s="95" t="inlineStr"/>
      <c r="O37" s="95">
        <f>IF(AND(G37&lt;&gt;"",I37&lt;&gt;"",J37&lt;&gt;"",M37&lt;&gt;""),"Rastreado","Revisar")</f>
        <v/>
      </c>
      <c r="P37" s="96" t="inlineStr">
        <is>
          <t>Extra: OS inferida da descrição limpa do título; parcelas mantidas na mesma chave.</t>
        </is>
      </c>
    </row>
    <row r="38">
      <c r="A38" s="95" t="inlineStr">
        <is>
          <t>CR-031</t>
        </is>
      </c>
      <c r="B38" s="96" t="inlineStr">
        <is>
          <t>ESTIVA TRANSPORTES</t>
        </is>
      </c>
      <c r="C38" s="96" t="inlineStr">
        <is>
          <t>ESTIVA TRANSPORTES (1/2)</t>
        </is>
      </c>
      <c r="D38" s="95" t="inlineStr">
        <is>
          <t>ESTIVA TRANSPORTES</t>
        </is>
      </c>
      <c r="E38" s="96" t="inlineStr"/>
      <c r="F38" s="96" t="inlineStr">
        <is>
          <t>OS|ESTIVA TRANSPORTES|ESTIVA TRANSPORTES|SRV-PRJ</t>
        </is>
      </c>
      <c r="G38" s="95">
        <f>IFERROR(VLOOKUP(F38,'12. Contratos_OS'!$A$6:$L$1000,2,FALSE),"")</f>
        <v/>
      </c>
      <c r="H38" s="95">
        <f>IFERROR(VLOOKUP(F38,'12. Contratos_OS'!$A$6:$L$1000,3,FALSE),"")</f>
        <v/>
      </c>
      <c r="I38" s="95">
        <f>IFERROR(VLOOKUP(F38,'12. Contratos_OS'!$A$6:$L$1000,4,FALSE),"")</f>
        <v/>
      </c>
      <c r="J38" s="95">
        <f>IFERROR(VLOOKUP(F38,'12. Contratos_OS'!$A$6:$L$1000,7,FALSE),"")</f>
        <v/>
      </c>
      <c r="K38" s="95">
        <f>IFERROR(VLOOKUP(J38,'11. Cadastro de Serviços'!$A$6:$E$200,2,FALSE),"")</f>
        <v/>
      </c>
      <c r="L38" s="95">
        <f>IFERROR(VLOOKUP(J38,'11. Cadastro de Serviços'!$A$6:$E$200,3,FALSE),"")</f>
        <v/>
      </c>
      <c r="M38" s="95">
        <f>IFERROR(VLOOKUP(J38,'11. Cadastro de Serviços'!$A$6:$E$200,4,FALSE),"")</f>
        <v/>
      </c>
      <c r="N38" s="95" t="inlineStr"/>
      <c r="O38" s="95">
        <f>IF(AND(G38&lt;&gt;"",I38&lt;&gt;"",J38&lt;&gt;"",M38&lt;&gt;""),"Rastreado","Revisar")</f>
        <v/>
      </c>
      <c r="P38" s="96" t="inlineStr">
        <is>
          <t>Extra: OS inferida da descrição limpa do título; parcelas mantidas na mesma chave.</t>
        </is>
      </c>
    </row>
    <row r="39">
      <c r="A39" s="95" t="inlineStr">
        <is>
          <t>CR-032</t>
        </is>
      </c>
      <c r="B39" s="96" t="inlineStr">
        <is>
          <t>CBA - PEDRO</t>
        </is>
      </c>
      <c r="C39" s="96" t="inlineStr">
        <is>
          <t>CBA - PEDRO</t>
        </is>
      </c>
      <c r="D39" s="95" t="inlineStr">
        <is>
          <t>CBA</t>
        </is>
      </c>
      <c r="E39" s="96" t="inlineStr">
        <is>
          <t>PEDRO</t>
        </is>
      </c>
      <c r="F39" s="96" t="inlineStr">
        <is>
          <t>OS|CBA|CBA - PEDRO|SRV-PRJ</t>
        </is>
      </c>
      <c r="G39" s="95">
        <f>IFERROR(VLOOKUP(F39,'12. Contratos_OS'!$A$6:$L$1000,2,FALSE),"")</f>
        <v/>
      </c>
      <c r="H39" s="95">
        <f>IFERROR(VLOOKUP(F39,'12. Contratos_OS'!$A$6:$L$1000,3,FALSE),"")</f>
        <v/>
      </c>
      <c r="I39" s="95">
        <f>IFERROR(VLOOKUP(F39,'12. Contratos_OS'!$A$6:$L$1000,4,FALSE),"")</f>
        <v/>
      </c>
      <c r="J39" s="95">
        <f>IFERROR(VLOOKUP(F39,'12. Contratos_OS'!$A$6:$L$1000,7,FALSE),"")</f>
        <v/>
      </c>
      <c r="K39" s="95">
        <f>IFERROR(VLOOKUP(J39,'11. Cadastro de Serviços'!$A$6:$E$200,2,FALSE),"")</f>
        <v/>
      </c>
      <c r="L39" s="95">
        <f>IFERROR(VLOOKUP(J39,'11. Cadastro de Serviços'!$A$6:$E$200,3,FALSE),"")</f>
        <v/>
      </c>
      <c r="M39" s="95">
        <f>IFERROR(VLOOKUP(J39,'11. Cadastro de Serviços'!$A$6:$E$200,4,FALSE),"")</f>
        <v/>
      </c>
      <c r="N39" s="95" t="inlineStr"/>
      <c r="O39" s="95">
        <f>IF(AND(G39&lt;&gt;"",I39&lt;&gt;"",J39&lt;&gt;"",M39&lt;&gt;""),"Rastreado","Revisar")</f>
        <v/>
      </c>
      <c r="P39" s="96" t="inlineStr">
        <is>
          <t>Extra: OS inferida da descrição limpa do título; parcelas mantidas na mesma chave.</t>
        </is>
      </c>
    </row>
    <row r="40">
      <c r="A40" s="95" t="inlineStr">
        <is>
          <t>CR-033</t>
        </is>
      </c>
      <c r="B40" s="96" t="inlineStr">
        <is>
          <t>TRANS DAVI</t>
        </is>
      </c>
      <c r="C40" s="96" t="inlineStr">
        <is>
          <t>TRANS DAVI (1/2)</t>
        </is>
      </c>
      <c r="D40" s="95" t="inlineStr">
        <is>
          <t>TRANS DAVI</t>
        </is>
      </c>
      <c r="E40" s="96" t="inlineStr"/>
      <c r="F40" s="96" t="inlineStr">
        <is>
          <t>OS|TRANS DAVI|TRANS DAVI|SRV-PRJ</t>
        </is>
      </c>
      <c r="G40" s="95">
        <f>IFERROR(VLOOKUP(F40,'12. Contratos_OS'!$A$6:$L$1000,2,FALSE),"")</f>
        <v/>
      </c>
      <c r="H40" s="95">
        <f>IFERROR(VLOOKUP(F40,'12. Contratos_OS'!$A$6:$L$1000,3,FALSE),"")</f>
        <v/>
      </c>
      <c r="I40" s="95">
        <f>IFERROR(VLOOKUP(F40,'12. Contratos_OS'!$A$6:$L$1000,4,FALSE),"")</f>
        <v/>
      </c>
      <c r="J40" s="95">
        <f>IFERROR(VLOOKUP(F40,'12. Contratos_OS'!$A$6:$L$1000,7,FALSE),"")</f>
        <v/>
      </c>
      <c r="K40" s="95">
        <f>IFERROR(VLOOKUP(J40,'11. Cadastro de Serviços'!$A$6:$E$200,2,FALSE),"")</f>
        <v/>
      </c>
      <c r="L40" s="95">
        <f>IFERROR(VLOOKUP(J40,'11. Cadastro de Serviços'!$A$6:$E$200,3,FALSE),"")</f>
        <v/>
      </c>
      <c r="M40" s="95">
        <f>IFERROR(VLOOKUP(J40,'11. Cadastro de Serviços'!$A$6:$E$200,4,FALSE),"")</f>
        <v/>
      </c>
      <c r="N40" s="95" t="inlineStr"/>
      <c r="O40" s="95">
        <f>IF(AND(G40&lt;&gt;"",I40&lt;&gt;"",J40&lt;&gt;"",M40&lt;&gt;""),"Rastreado","Revisar")</f>
        <v/>
      </c>
      <c r="P40" s="96" t="inlineStr">
        <is>
          <t>Extra: OS inferida da descrição limpa do título; parcelas mantidas na mesma chave.</t>
        </is>
      </c>
    </row>
    <row r="41">
      <c r="A41" s="95" t="inlineStr">
        <is>
          <t>CR-034</t>
        </is>
      </c>
      <c r="B41" s="96" t="inlineStr">
        <is>
          <t>NDB</t>
        </is>
      </c>
      <c r="C41" s="96" t="inlineStr">
        <is>
          <t>NDB (1/3)</t>
        </is>
      </c>
      <c r="D41" s="95" t="inlineStr">
        <is>
          <t>NDB</t>
        </is>
      </c>
      <c r="E41" s="96" t="inlineStr"/>
      <c r="F41" s="96" t="inlineStr">
        <is>
          <t>OS|NDB|NDB|SRV-PRJ</t>
        </is>
      </c>
      <c r="G41" s="95">
        <f>IFERROR(VLOOKUP(F41,'12. Contratos_OS'!$A$6:$L$1000,2,FALSE),"")</f>
        <v/>
      </c>
      <c r="H41" s="95">
        <f>IFERROR(VLOOKUP(F41,'12. Contratos_OS'!$A$6:$L$1000,3,FALSE),"")</f>
        <v/>
      </c>
      <c r="I41" s="95">
        <f>IFERROR(VLOOKUP(F41,'12. Contratos_OS'!$A$6:$L$1000,4,FALSE),"")</f>
        <v/>
      </c>
      <c r="J41" s="95">
        <f>IFERROR(VLOOKUP(F41,'12. Contratos_OS'!$A$6:$L$1000,7,FALSE),"")</f>
        <v/>
      </c>
      <c r="K41" s="95">
        <f>IFERROR(VLOOKUP(J41,'11. Cadastro de Serviços'!$A$6:$E$200,2,FALSE),"")</f>
        <v/>
      </c>
      <c r="L41" s="95">
        <f>IFERROR(VLOOKUP(J41,'11. Cadastro de Serviços'!$A$6:$E$200,3,FALSE),"")</f>
        <v/>
      </c>
      <c r="M41" s="95">
        <f>IFERROR(VLOOKUP(J41,'11. Cadastro de Serviços'!$A$6:$E$200,4,FALSE),"")</f>
        <v/>
      </c>
      <c r="N41" s="95" t="inlineStr"/>
      <c r="O41" s="95">
        <f>IF(AND(G41&lt;&gt;"",I41&lt;&gt;"",J41&lt;&gt;"",M41&lt;&gt;""),"Rastreado","Revisar")</f>
        <v/>
      </c>
      <c r="P41" s="96" t="inlineStr">
        <is>
          <t>Extra: OS inferida da descrição limpa do título; parcelas mantidas na mesma chave.</t>
        </is>
      </c>
    </row>
    <row r="42">
      <c r="A42" s="95" t="inlineStr">
        <is>
          <t>CR-035</t>
        </is>
      </c>
      <c r="B42" s="96" t="inlineStr">
        <is>
          <t>RETRO ESCAVAÇÕES</t>
        </is>
      </c>
      <c r="C42" s="96" t="inlineStr">
        <is>
          <t>RETRO ESCAVAÇÕES</t>
        </is>
      </c>
      <c r="D42" s="95" t="inlineStr">
        <is>
          <t>RETRO ESCAVAÇÕES</t>
        </is>
      </c>
      <c r="E42" s="96" t="inlineStr"/>
      <c r="F42" s="96" t="inlineStr">
        <is>
          <t>OS|RETRO ESCAVAÇÕES|RETRO ESCAVAÇÕES|SRV-PRJ</t>
        </is>
      </c>
      <c r="G42" s="95">
        <f>IFERROR(VLOOKUP(F42,'12. Contratos_OS'!$A$6:$L$1000,2,FALSE),"")</f>
        <v/>
      </c>
      <c r="H42" s="95">
        <f>IFERROR(VLOOKUP(F42,'12. Contratos_OS'!$A$6:$L$1000,3,FALSE),"")</f>
        <v/>
      </c>
      <c r="I42" s="95">
        <f>IFERROR(VLOOKUP(F42,'12. Contratos_OS'!$A$6:$L$1000,4,FALSE),"")</f>
        <v/>
      </c>
      <c r="J42" s="95">
        <f>IFERROR(VLOOKUP(F42,'12. Contratos_OS'!$A$6:$L$1000,7,FALSE),"")</f>
        <v/>
      </c>
      <c r="K42" s="95">
        <f>IFERROR(VLOOKUP(J42,'11. Cadastro de Serviços'!$A$6:$E$200,2,FALSE),"")</f>
        <v/>
      </c>
      <c r="L42" s="95">
        <f>IFERROR(VLOOKUP(J42,'11. Cadastro de Serviços'!$A$6:$E$200,3,FALSE),"")</f>
        <v/>
      </c>
      <c r="M42" s="95">
        <f>IFERROR(VLOOKUP(J42,'11. Cadastro de Serviços'!$A$6:$E$200,4,FALSE),"")</f>
        <v/>
      </c>
      <c r="N42" s="95" t="inlineStr"/>
      <c r="O42" s="95">
        <f>IF(AND(G42&lt;&gt;"",I42&lt;&gt;"",J42&lt;&gt;"",M42&lt;&gt;""),"Rastreado","Revisar")</f>
        <v/>
      </c>
      <c r="P42" s="96" t="inlineStr">
        <is>
          <t>Extra: OS inferida da descrição limpa do título; parcelas mantidas na mesma chave.</t>
        </is>
      </c>
    </row>
    <row r="43">
      <c r="A43" s="95" t="inlineStr">
        <is>
          <t>CR-036</t>
        </is>
      </c>
      <c r="B43" s="96" t="inlineStr">
        <is>
          <t>DPA - HUB / UNIDADE 593</t>
        </is>
      </c>
      <c r="C43" s="96" t="inlineStr">
        <is>
          <t>DPA - HUB / UNIDADE 593</t>
        </is>
      </c>
      <c r="D43" s="95" t="inlineStr">
        <is>
          <t>DPA</t>
        </is>
      </c>
      <c r="E43" s="96" t="inlineStr">
        <is>
          <t>HUB / UNIDADE 593</t>
        </is>
      </c>
      <c r="F43" s="96" t="inlineStr">
        <is>
          <t>OS|DPA|DPA - HUB / UNIDADE 593|SRV-PRJ</t>
        </is>
      </c>
      <c r="G43" s="95">
        <f>IFERROR(VLOOKUP(F43,'12. Contratos_OS'!$A$6:$L$1000,2,FALSE),"")</f>
        <v/>
      </c>
      <c r="H43" s="95">
        <f>IFERROR(VLOOKUP(F43,'12. Contratos_OS'!$A$6:$L$1000,3,FALSE),"")</f>
        <v/>
      </c>
      <c r="I43" s="95">
        <f>IFERROR(VLOOKUP(F43,'12. Contratos_OS'!$A$6:$L$1000,4,FALSE),"")</f>
        <v/>
      </c>
      <c r="J43" s="95">
        <f>IFERROR(VLOOKUP(F43,'12. Contratos_OS'!$A$6:$L$1000,7,FALSE),"")</f>
        <v/>
      </c>
      <c r="K43" s="95">
        <f>IFERROR(VLOOKUP(J43,'11. Cadastro de Serviços'!$A$6:$E$200,2,FALSE),"")</f>
        <v/>
      </c>
      <c r="L43" s="95">
        <f>IFERROR(VLOOKUP(J43,'11. Cadastro de Serviços'!$A$6:$E$200,3,FALSE),"")</f>
        <v/>
      </c>
      <c r="M43" s="95">
        <f>IFERROR(VLOOKUP(J43,'11. Cadastro de Serviços'!$A$6:$E$200,4,FALSE),"")</f>
        <v/>
      </c>
      <c r="N43" s="95" t="inlineStr"/>
      <c r="O43" s="95">
        <f>IF(AND(G43&lt;&gt;"",I43&lt;&gt;"",J43&lt;&gt;"",M43&lt;&gt;""),"Rastreado","Revisar")</f>
        <v/>
      </c>
      <c r="P43" s="96" t="inlineStr">
        <is>
          <t>Extra: OS inferida da descrição limpa do título; parcelas mantidas na mesma chave.</t>
        </is>
      </c>
    </row>
    <row r="44">
      <c r="A44" s="95" t="inlineStr">
        <is>
          <t>CR-037</t>
        </is>
      </c>
      <c r="B44" s="96" t="inlineStr">
        <is>
          <t>A2B - PCMSO</t>
        </is>
      </c>
      <c r="C44" s="96" t="inlineStr">
        <is>
          <t>A2B - PCMSO</t>
        </is>
      </c>
      <c r="D44" s="95" t="inlineStr">
        <is>
          <t>A2B - PCMSO</t>
        </is>
      </c>
      <c r="E44" s="96" t="inlineStr"/>
      <c r="F44" s="96" t="inlineStr">
        <is>
          <t>OS|A2B - PCMSO|A2B - PCMSO|SRV-PCM</t>
        </is>
      </c>
      <c r="G44" s="95">
        <f>IFERROR(VLOOKUP(F44,'12. Contratos_OS'!$A$6:$L$1000,2,FALSE),"")</f>
        <v/>
      </c>
      <c r="H44" s="95">
        <f>IFERROR(VLOOKUP(F44,'12. Contratos_OS'!$A$6:$L$1000,3,FALSE),"")</f>
        <v/>
      </c>
      <c r="I44" s="95">
        <f>IFERROR(VLOOKUP(F44,'12. Contratos_OS'!$A$6:$L$1000,4,FALSE),"")</f>
        <v/>
      </c>
      <c r="J44" s="95">
        <f>IFERROR(VLOOKUP(F44,'12. Contratos_OS'!$A$6:$L$1000,7,FALSE),"")</f>
        <v/>
      </c>
      <c r="K44" s="95">
        <f>IFERROR(VLOOKUP(J44,'11. Cadastro de Serviços'!$A$6:$E$200,2,FALSE),"")</f>
        <v/>
      </c>
      <c r="L44" s="95">
        <f>IFERROR(VLOOKUP(J44,'11. Cadastro de Serviços'!$A$6:$E$200,3,FALSE),"")</f>
        <v/>
      </c>
      <c r="M44" s="95">
        <f>IFERROR(VLOOKUP(J44,'11. Cadastro de Serviços'!$A$6:$E$200,4,FALSE),"")</f>
        <v/>
      </c>
      <c r="N44" s="95" t="inlineStr"/>
      <c r="O44" s="95">
        <f>IF(AND(G44&lt;&gt;"",I44&lt;&gt;"",J44&lt;&gt;"",M44&lt;&gt;""),"Rastreado","Revisar")</f>
        <v/>
      </c>
      <c r="P44" s="96" t="inlineStr">
        <is>
          <t>Extra: OS inferida da descrição limpa do título; parcelas mantidas na mesma chave.</t>
        </is>
      </c>
    </row>
    <row r="45">
      <c r="A45" s="95" t="inlineStr">
        <is>
          <t>CR-038</t>
        </is>
      </c>
      <c r="B45" s="96" t="inlineStr">
        <is>
          <t>BOM JESUS LOCAÇÃO</t>
        </is>
      </c>
      <c r="C45" s="96" t="inlineStr">
        <is>
          <t>BOM JESUS LOCAÇÃO</t>
        </is>
      </c>
      <c r="D45" s="95" t="inlineStr">
        <is>
          <t>BOM JESUS</t>
        </is>
      </c>
      <c r="E45" s="96" t="inlineStr">
        <is>
          <t>LOCAÇÃO</t>
        </is>
      </c>
      <c r="F45" s="96" t="inlineStr">
        <is>
          <t>OS|BOM JESUS|BOM JESUS LOCAÇÃO|SRV-PRJ</t>
        </is>
      </c>
      <c r="G45" s="95">
        <f>IFERROR(VLOOKUP(F45,'12. Contratos_OS'!$A$6:$L$1000,2,FALSE),"")</f>
        <v/>
      </c>
      <c r="H45" s="95">
        <f>IFERROR(VLOOKUP(F45,'12. Contratos_OS'!$A$6:$L$1000,3,FALSE),"")</f>
        <v/>
      </c>
      <c r="I45" s="95">
        <f>IFERROR(VLOOKUP(F45,'12. Contratos_OS'!$A$6:$L$1000,4,FALSE),"")</f>
        <v/>
      </c>
      <c r="J45" s="95">
        <f>IFERROR(VLOOKUP(F45,'12. Contratos_OS'!$A$6:$L$1000,7,FALSE),"")</f>
        <v/>
      </c>
      <c r="K45" s="95">
        <f>IFERROR(VLOOKUP(J45,'11. Cadastro de Serviços'!$A$6:$E$200,2,FALSE),"")</f>
        <v/>
      </c>
      <c r="L45" s="95">
        <f>IFERROR(VLOOKUP(J45,'11. Cadastro de Serviços'!$A$6:$E$200,3,FALSE),"")</f>
        <v/>
      </c>
      <c r="M45" s="95">
        <f>IFERROR(VLOOKUP(J45,'11. Cadastro de Serviços'!$A$6:$E$200,4,FALSE),"")</f>
        <v/>
      </c>
      <c r="N45" s="95" t="inlineStr"/>
      <c r="O45" s="95">
        <f>IF(AND(G45&lt;&gt;"",I45&lt;&gt;"",J45&lt;&gt;"",M45&lt;&gt;""),"Rastreado","Revisar")</f>
        <v/>
      </c>
      <c r="P45" s="96" t="inlineStr">
        <is>
          <t>Extra: OS inferida da descrição limpa do título; parcelas mantidas na mesma chave.</t>
        </is>
      </c>
    </row>
    <row r="46">
      <c r="A46" s="95" t="inlineStr">
        <is>
          <t>CR-039</t>
        </is>
      </c>
      <c r="B46" s="96" t="inlineStr">
        <is>
          <t>BOM JESUS EXTRAÇÃO</t>
        </is>
      </c>
      <c r="C46" s="96" t="inlineStr">
        <is>
          <t>BOM JESUS EXTRAÇÃO</t>
        </is>
      </c>
      <c r="D46" s="95" t="inlineStr">
        <is>
          <t>BOM JESUS</t>
        </is>
      </c>
      <c r="E46" s="96" t="inlineStr">
        <is>
          <t>EXTRAÇÃO</t>
        </is>
      </c>
      <c r="F46" s="96" t="inlineStr">
        <is>
          <t>OS|BOM JESUS|BOM JESUS EXTRAÇÃO|SRV-PRJ</t>
        </is>
      </c>
      <c r="G46" s="95">
        <f>IFERROR(VLOOKUP(F46,'12. Contratos_OS'!$A$6:$L$1000,2,FALSE),"")</f>
        <v/>
      </c>
      <c r="H46" s="95">
        <f>IFERROR(VLOOKUP(F46,'12. Contratos_OS'!$A$6:$L$1000,3,FALSE),"")</f>
        <v/>
      </c>
      <c r="I46" s="95">
        <f>IFERROR(VLOOKUP(F46,'12. Contratos_OS'!$A$6:$L$1000,4,FALSE),"")</f>
        <v/>
      </c>
      <c r="J46" s="95">
        <f>IFERROR(VLOOKUP(F46,'12. Contratos_OS'!$A$6:$L$1000,7,FALSE),"")</f>
        <v/>
      </c>
      <c r="K46" s="95">
        <f>IFERROR(VLOOKUP(J46,'11. Cadastro de Serviços'!$A$6:$E$200,2,FALSE),"")</f>
        <v/>
      </c>
      <c r="L46" s="95">
        <f>IFERROR(VLOOKUP(J46,'11. Cadastro de Serviços'!$A$6:$E$200,3,FALSE),"")</f>
        <v/>
      </c>
      <c r="M46" s="95">
        <f>IFERROR(VLOOKUP(J46,'11. Cadastro de Serviços'!$A$6:$E$200,4,FALSE),"")</f>
        <v/>
      </c>
      <c r="N46" s="95" t="inlineStr"/>
      <c r="O46" s="95">
        <f>IF(AND(G46&lt;&gt;"",I46&lt;&gt;"",J46&lt;&gt;"",M46&lt;&gt;""),"Rastreado","Revisar")</f>
        <v/>
      </c>
      <c r="P46" s="96" t="inlineStr">
        <is>
          <t>Extra: OS inferida da descrição limpa do título; parcelas mantidas na mesma chave.</t>
        </is>
      </c>
    </row>
    <row r="47">
      <c r="A47" s="95" t="inlineStr">
        <is>
          <t>CR-040</t>
        </is>
      </c>
      <c r="B47" s="96" t="inlineStr">
        <is>
          <t>DPA - UBERABA / UNIDADE 18</t>
        </is>
      </c>
      <c r="C47" s="96" t="inlineStr">
        <is>
          <t>DPA - UBERABA / UNIDADE 18</t>
        </is>
      </c>
      <c r="D47" s="95" t="inlineStr">
        <is>
          <t>DPA</t>
        </is>
      </c>
      <c r="E47" s="96" t="inlineStr">
        <is>
          <t>UBERABA / UNIDADE 18</t>
        </is>
      </c>
      <c r="F47" s="96" t="inlineStr">
        <is>
          <t>OS|DPA|DPA - UBERABA / UNIDADE 18|SRV-PRJ</t>
        </is>
      </c>
      <c r="G47" s="95">
        <f>IFERROR(VLOOKUP(F47,'12. Contratos_OS'!$A$6:$L$1000,2,FALSE),"")</f>
        <v/>
      </c>
      <c r="H47" s="95">
        <f>IFERROR(VLOOKUP(F47,'12. Contratos_OS'!$A$6:$L$1000,3,FALSE),"")</f>
        <v/>
      </c>
      <c r="I47" s="95">
        <f>IFERROR(VLOOKUP(F47,'12. Contratos_OS'!$A$6:$L$1000,4,FALSE),"")</f>
        <v/>
      </c>
      <c r="J47" s="95">
        <f>IFERROR(VLOOKUP(F47,'12. Contratos_OS'!$A$6:$L$1000,7,FALSE),"")</f>
        <v/>
      </c>
      <c r="K47" s="95">
        <f>IFERROR(VLOOKUP(J47,'11. Cadastro de Serviços'!$A$6:$E$200,2,FALSE),"")</f>
        <v/>
      </c>
      <c r="L47" s="95">
        <f>IFERROR(VLOOKUP(J47,'11. Cadastro de Serviços'!$A$6:$E$200,3,FALSE),"")</f>
        <v/>
      </c>
      <c r="M47" s="95">
        <f>IFERROR(VLOOKUP(J47,'11. Cadastro de Serviços'!$A$6:$E$200,4,FALSE),"")</f>
        <v/>
      </c>
      <c r="N47" s="95" t="inlineStr"/>
      <c r="O47" s="95">
        <f>IF(AND(G47&lt;&gt;"",I47&lt;&gt;"",J47&lt;&gt;"",M47&lt;&gt;""),"Rastreado","Revisar")</f>
        <v/>
      </c>
      <c r="P47" s="96" t="inlineStr">
        <is>
          <t>Extra: OS inferida da descrição limpa do título; parcelas mantidas na mesma chave.</t>
        </is>
      </c>
    </row>
    <row r="48">
      <c r="A48" s="95" t="inlineStr">
        <is>
          <t>CR-041</t>
        </is>
      </c>
      <c r="B48" s="96" t="inlineStr">
        <is>
          <t>DPA - HUB / UNIDADE 261</t>
        </is>
      </c>
      <c r="C48" s="96" t="inlineStr">
        <is>
          <t>DPA - HUB / UNIDADE 261</t>
        </is>
      </c>
      <c r="D48" s="95" t="inlineStr">
        <is>
          <t>DPA</t>
        </is>
      </c>
      <c r="E48" s="96" t="inlineStr">
        <is>
          <t>HUB / UNIDADE 261</t>
        </is>
      </c>
      <c r="F48" s="96" t="inlineStr">
        <is>
          <t>OS|DPA|DPA - HUB / UNIDADE 261|SRV-PRJ</t>
        </is>
      </c>
      <c r="G48" s="95">
        <f>IFERROR(VLOOKUP(F48,'12. Contratos_OS'!$A$6:$L$1000,2,FALSE),"")</f>
        <v/>
      </c>
      <c r="H48" s="95">
        <f>IFERROR(VLOOKUP(F48,'12. Contratos_OS'!$A$6:$L$1000,3,FALSE),"")</f>
        <v/>
      </c>
      <c r="I48" s="95">
        <f>IFERROR(VLOOKUP(F48,'12. Contratos_OS'!$A$6:$L$1000,4,FALSE),"")</f>
        <v/>
      </c>
      <c r="J48" s="95">
        <f>IFERROR(VLOOKUP(F48,'12. Contratos_OS'!$A$6:$L$1000,7,FALSE),"")</f>
        <v/>
      </c>
      <c r="K48" s="95">
        <f>IFERROR(VLOOKUP(J48,'11. Cadastro de Serviços'!$A$6:$E$200,2,FALSE),"")</f>
        <v/>
      </c>
      <c r="L48" s="95">
        <f>IFERROR(VLOOKUP(J48,'11. Cadastro de Serviços'!$A$6:$E$200,3,FALSE),"")</f>
        <v/>
      </c>
      <c r="M48" s="95">
        <f>IFERROR(VLOOKUP(J48,'11. Cadastro de Serviços'!$A$6:$E$200,4,FALSE),"")</f>
        <v/>
      </c>
      <c r="N48" s="95" t="inlineStr"/>
      <c r="O48" s="95">
        <f>IF(AND(G48&lt;&gt;"",I48&lt;&gt;"",J48&lt;&gt;"",M48&lt;&gt;""),"Rastreado","Revisar")</f>
        <v/>
      </c>
      <c r="P48" s="96" t="inlineStr">
        <is>
          <t>Extra: OS inferida da descrição limpa do título; parcelas mantidas na mesma chave.</t>
        </is>
      </c>
    </row>
    <row r="49">
      <c r="A49" s="95" t="inlineStr">
        <is>
          <t>CR-042</t>
        </is>
      </c>
      <c r="B49" s="96" t="inlineStr">
        <is>
          <t>MATA DO PORTO</t>
        </is>
      </c>
      <c r="C49" s="96" t="inlineStr">
        <is>
          <t>MATA DO PORTO</t>
        </is>
      </c>
      <c r="D49" s="95" t="inlineStr">
        <is>
          <t>MATA DO PORTO</t>
        </is>
      </c>
      <c r="E49" s="96" t="inlineStr"/>
      <c r="F49" s="96" t="inlineStr">
        <is>
          <t>OS|MATA DO PORTO|MATA DO PORTO|SRV-PRJ</t>
        </is>
      </c>
      <c r="G49" s="95">
        <f>IFERROR(VLOOKUP(F49,'12. Contratos_OS'!$A$6:$L$1000,2,FALSE),"")</f>
        <v/>
      </c>
      <c r="H49" s="95">
        <f>IFERROR(VLOOKUP(F49,'12. Contratos_OS'!$A$6:$L$1000,3,FALSE),"")</f>
        <v/>
      </c>
      <c r="I49" s="95">
        <f>IFERROR(VLOOKUP(F49,'12. Contratos_OS'!$A$6:$L$1000,4,FALSE),"")</f>
        <v/>
      </c>
      <c r="J49" s="95">
        <f>IFERROR(VLOOKUP(F49,'12. Contratos_OS'!$A$6:$L$1000,7,FALSE),"")</f>
        <v/>
      </c>
      <c r="K49" s="95">
        <f>IFERROR(VLOOKUP(J49,'11. Cadastro de Serviços'!$A$6:$E$200,2,FALSE),"")</f>
        <v/>
      </c>
      <c r="L49" s="95">
        <f>IFERROR(VLOOKUP(J49,'11. Cadastro de Serviços'!$A$6:$E$200,3,FALSE),"")</f>
        <v/>
      </c>
      <c r="M49" s="95">
        <f>IFERROR(VLOOKUP(J49,'11. Cadastro de Serviços'!$A$6:$E$200,4,FALSE),"")</f>
        <v/>
      </c>
      <c r="N49" s="95" t="inlineStr"/>
      <c r="O49" s="95">
        <f>IF(AND(G49&lt;&gt;"",I49&lt;&gt;"",J49&lt;&gt;"",M49&lt;&gt;""),"Rastreado","Revisar")</f>
        <v/>
      </c>
      <c r="P49" s="96" t="inlineStr">
        <is>
          <t>Extra: OS inferida da descrição limpa do título; parcelas mantidas na mesma chave.</t>
        </is>
      </c>
    </row>
    <row r="50">
      <c r="A50" s="95" t="inlineStr">
        <is>
          <t>CR-043</t>
        </is>
      </c>
      <c r="B50" s="96" t="inlineStr">
        <is>
          <t>GODOSAN</t>
        </is>
      </c>
      <c r="C50" s="96" t="inlineStr">
        <is>
          <t>GODOSAN (1/4)</t>
        </is>
      </c>
      <c r="D50" s="95" t="inlineStr">
        <is>
          <t>GODOSAN</t>
        </is>
      </c>
      <c r="E50" s="96" t="inlineStr"/>
      <c r="F50" s="96" t="inlineStr">
        <is>
          <t>OS|GODOSAN|GODOSAN|SRV-PRJ</t>
        </is>
      </c>
      <c r="G50" s="95">
        <f>IFERROR(VLOOKUP(F50,'12. Contratos_OS'!$A$6:$L$1000,2,FALSE),"")</f>
        <v/>
      </c>
      <c r="H50" s="95">
        <f>IFERROR(VLOOKUP(F50,'12. Contratos_OS'!$A$6:$L$1000,3,FALSE),"")</f>
        <v/>
      </c>
      <c r="I50" s="95">
        <f>IFERROR(VLOOKUP(F50,'12. Contratos_OS'!$A$6:$L$1000,4,FALSE),"")</f>
        <v/>
      </c>
      <c r="J50" s="95">
        <f>IFERROR(VLOOKUP(F50,'12. Contratos_OS'!$A$6:$L$1000,7,FALSE),"")</f>
        <v/>
      </c>
      <c r="K50" s="95">
        <f>IFERROR(VLOOKUP(J50,'11. Cadastro de Serviços'!$A$6:$E$200,2,FALSE),"")</f>
        <v/>
      </c>
      <c r="L50" s="95">
        <f>IFERROR(VLOOKUP(J50,'11. Cadastro de Serviços'!$A$6:$E$200,3,FALSE),"")</f>
        <v/>
      </c>
      <c r="M50" s="95">
        <f>IFERROR(VLOOKUP(J50,'11. Cadastro de Serviços'!$A$6:$E$200,4,FALSE),"")</f>
        <v/>
      </c>
      <c r="N50" s="95" t="inlineStr"/>
      <c r="O50" s="95">
        <f>IF(AND(G50&lt;&gt;"",I50&lt;&gt;"",J50&lt;&gt;"",M50&lt;&gt;""),"Rastreado","Revisar")</f>
        <v/>
      </c>
      <c r="P50" s="96" t="inlineStr">
        <is>
          <t>Extra: OS inferida da descrição limpa do título; parcelas mantidas na mesma chave.</t>
        </is>
      </c>
    </row>
    <row r="51">
      <c r="A51" s="95" t="inlineStr">
        <is>
          <t>CR-044</t>
        </is>
      </c>
      <c r="B51" s="96" t="inlineStr">
        <is>
          <t>FERSAN</t>
        </is>
      </c>
      <c r="C51" s="96" t="inlineStr">
        <is>
          <t>FERSAN (1/4)</t>
        </is>
      </c>
      <c r="D51" s="95" t="inlineStr">
        <is>
          <t>FERSAN</t>
        </is>
      </c>
      <c r="E51" s="96" t="inlineStr"/>
      <c r="F51" s="96" t="inlineStr">
        <is>
          <t>OS|FERSAN|FERSAN|SRV-PRJ</t>
        </is>
      </c>
      <c r="G51" s="95">
        <f>IFERROR(VLOOKUP(F51,'12. Contratos_OS'!$A$6:$L$1000,2,FALSE),"")</f>
        <v/>
      </c>
      <c r="H51" s="95">
        <f>IFERROR(VLOOKUP(F51,'12. Contratos_OS'!$A$6:$L$1000,3,FALSE),"")</f>
        <v/>
      </c>
      <c r="I51" s="95">
        <f>IFERROR(VLOOKUP(F51,'12. Contratos_OS'!$A$6:$L$1000,4,FALSE),"")</f>
        <v/>
      </c>
      <c r="J51" s="95">
        <f>IFERROR(VLOOKUP(F51,'12. Contratos_OS'!$A$6:$L$1000,7,FALSE),"")</f>
        <v/>
      </c>
      <c r="K51" s="95">
        <f>IFERROR(VLOOKUP(J51,'11. Cadastro de Serviços'!$A$6:$E$200,2,FALSE),"")</f>
        <v/>
      </c>
      <c r="L51" s="95">
        <f>IFERROR(VLOOKUP(J51,'11. Cadastro de Serviços'!$A$6:$E$200,3,FALSE),"")</f>
        <v/>
      </c>
      <c r="M51" s="95">
        <f>IFERROR(VLOOKUP(J51,'11. Cadastro de Serviços'!$A$6:$E$200,4,FALSE),"")</f>
        <v/>
      </c>
      <c r="N51" s="95" t="inlineStr"/>
      <c r="O51" s="95">
        <f>IF(AND(G51&lt;&gt;"",I51&lt;&gt;"",J51&lt;&gt;"",M51&lt;&gt;""),"Rastreado","Revisar")</f>
        <v/>
      </c>
      <c r="P51" s="96" t="inlineStr">
        <is>
          <t>Extra: OS inferida da descrição limpa do título; parcelas mantidas na mesma chave.</t>
        </is>
      </c>
    </row>
    <row r="54">
      <c r="A54" s="93" t="inlineStr">
        <is>
          <t>RESUMO DA RASTREABILIDADE</t>
        </is>
      </c>
    </row>
    <row r="55">
      <c r="A55" s="94" t="inlineStr">
        <is>
          <t>Títulos de receita</t>
        </is>
      </c>
      <c r="B55" s="94">
        <f>COUNTA(A8:A51)</f>
        <v/>
      </c>
    </row>
    <row r="56">
      <c r="A56" s="94" t="inlineStr">
        <is>
          <t>Clientes mestres</t>
        </is>
      </c>
      <c r="B56" s="94">
        <f>COUNTA('10. Cadastro de Clientes'!A6:A41)</f>
        <v/>
      </c>
    </row>
    <row r="57">
      <c r="A57" s="94" t="inlineStr">
        <is>
          <t>Contratos / OS ativos</t>
        </is>
      </c>
      <c r="B57" s="94">
        <f>COUNTA('12. Contratos_OS'!B6:B49)</f>
        <v/>
      </c>
    </row>
    <row r="58">
      <c r="A58" s="94" t="inlineStr">
        <is>
          <t>Cobertura rastreada %</t>
        </is>
      </c>
      <c r="B58" s="94">
        <f>IFERROR(COUNTIF(O8:O51,"Rastreado")/COUNTA(A8:A51),0)</f>
        <v/>
      </c>
    </row>
    <row r="59">
      <c r="A59" s="95" t="n"/>
      <c r="B59" s="96" t="n"/>
      <c r="C59" s="96" t="n"/>
      <c r="D59" s="95" t="n"/>
      <c r="E59" s="96" t="n"/>
      <c r="F59" s="96" t="n"/>
      <c r="G59" s="95">
        <f>IFERROR(VLOOKUP(F59,'12. Contratos_OS'!$A$6:$L$1000,2,FALSE),"")</f>
        <v/>
      </c>
      <c r="H59" s="95">
        <f>IFERROR(VLOOKUP(F59,'12. Contratos_OS'!$A$6:$L$1000,3,FALSE),"")</f>
        <v/>
      </c>
      <c r="I59" s="95">
        <f>IFERROR(VLOOKUP(F59,'12. Contratos_OS'!$A$6:$L$1000,4,FALSE),"")</f>
        <v/>
      </c>
      <c r="J59" s="95">
        <f>IFERROR(VLOOKUP(F59,'12. Contratos_OS'!$A$6:$L$1000,7,FALSE),"")</f>
        <v/>
      </c>
      <c r="K59" s="95">
        <f>IFERROR(VLOOKUP(J59,'11. Cadastro de Serviços'!$A$6:$E$200,2,FALSE),"")</f>
        <v/>
      </c>
      <c r="L59" s="95">
        <f>IFERROR(VLOOKUP(J59,'11. Cadastro de Serviços'!$A$6:$E$200,3,FALSE),"")</f>
        <v/>
      </c>
      <c r="M59" s="95">
        <f>IFERROR(VLOOKUP(J59,'11. Cadastro de Serviços'!$A$6:$E$200,4,FALSE),"")</f>
        <v/>
      </c>
      <c r="N59" s="95" t="n"/>
      <c r="O59" s="95">
        <f>IF(AND(G59&lt;&gt;"",I59&lt;&gt;"",J59&lt;&gt;"",M59&lt;&gt;""),"Rastreado","Revisar")</f>
        <v/>
      </c>
      <c r="P59" s="96" t="n"/>
    </row>
    <row r="60">
      <c r="A60" s="95" t="n"/>
      <c r="B60" s="96" t="n"/>
      <c r="C60" s="96" t="n"/>
      <c r="D60" s="95" t="n"/>
      <c r="E60" s="96" t="n"/>
      <c r="F60" s="96" t="n"/>
      <c r="G60" s="95">
        <f>IFERROR(VLOOKUP(F60,'12. Contratos_OS'!$A$6:$L$1000,2,FALSE),"")</f>
        <v/>
      </c>
      <c r="H60" s="95">
        <f>IFERROR(VLOOKUP(F60,'12. Contratos_OS'!$A$6:$L$1000,3,FALSE),"")</f>
        <v/>
      </c>
      <c r="I60" s="95">
        <f>IFERROR(VLOOKUP(F60,'12. Contratos_OS'!$A$6:$L$1000,4,FALSE),"")</f>
        <v/>
      </c>
      <c r="J60" s="95">
        <f>IFERROR(VLOOKUP(F60,'12. Contratos_OS'!$A$6:$L$1000,7,FALSE),"")</f>
        <v/>
      </c>
      <c r="K60" s="95">
        <f>IFERROR(VLOOKUP(J60,'11. Cadastro de Serviços'!$A$6:$E$200,2,FALSE),"")</f>
        <v/>
      </c>
      <c r="L60" s="95">
        <f>IFERROR(VLOOKUP(J60,'11. Cadastro de Serviços'!$A$6:$E$200,3,FALSE),"")</f>
        <v/>
      </c>
      <c r="M60" s="95">
        <f>IFERROR(VLOOKUP(J60,'11. Cadastro de Serviços'!$A$6:$E$200,4,FALSE),"")</f>
        <v/>
      </c>
      <c r="N60" s="95" t="n"/>
      <c r="O60" s="95">
        <f>IF(AND(G60&lt;&gt;"",I60&lt;&gt;"",J60&lt;&gt;"",M60&lt;&gt;""),"Rastreado","Revisar")</f>
        <v/>
      </c>
      <c r="P60" s="96" t="n"/>
    </row>
    <row r="61">
      <c r="A61" s="95" t="n"/>
      <c r="B61" s="96" t="n"/>
      <c r="C61" s="96" t="n"/>
      <c r="D61" s="95" t="n"/>
      <c r="E61" s="96" t="n"/>
      <c r="F61" s="96" t="n"/>
      <c r="G61" s="95">
        <f>IFERROR(VLOOKUP(F61,'12. Contratos_OS'!$A$6:$L$1000,2,FALSE),"")</f>
        <v/>
      </c>
      <c r="H61" s="95">
        <f>IFERROR(VLOOKUP(F61,'12. Contratos_OS'!$A$6:$L$1000,3,FALSE),"")</f>
        <v/>
      </c>
      <c r="I61" s="95">
        <f>IFERROR(VLOOKUP(F61,'12. Contratos_OS'!$A$6:$L$1000,4,FALSE),"")</f>
        <v/>
      </c>
      <c r="J61" s="95">
        <f>IFERROR(VLOOKUP(F61,'12. Contratos_OS'!$A$6:$L$1000,7,FALSE),"")</f>
        <v/>
      </c>
      <c r="K61" s="95">
        <f>IFERROR(VLOOKUP(J61,'11. Cadastro de Serviços'!$A$6:$E$200,2,FALSE),"")</f>
        <v/>
      </c>
      <c r="L61" s="95">
        <f>IFERROR(VLOOKUP(J61,'11. Cadastro de Serviços'!$A$6:$E$200,3,FALSE),"")</f>
        <v/>
      </c>
      <c r="M61" s="95">
        <f>IFERROR(VLOOKUP(J61,'11. Cadastro de Serviços'!$A$6:$E$200,4,FALSE),"")</f>
        <v/>
      </c>
      <c r="N61" s="95" t="n"/>
      <c r="O61" s="95">
        <f>IF(AND(G61&lt;&gt;"",I61&lt;&gt;"",J61&lt;&gt;"",M61&lt;&gt;""),"Rastreado","Revisar")</f>
        <v/>
      </c>
      <c r="P61" s="96" t="n"/>
    </row>
    <row r="62">
      <c r="A62" s="95" t="n"/>
      <c r="B62" s="96" t="n"/>
      <c r="C62" s="96" t="n"/>
      <c r="D62" s="95" t="n"/>
      <c r="E62" s="96" t="n"/>
      <c r="F62" s="96" t="n"/>
      <c r="G62" s="95">
        <f>IFERROR(VLOOKUP(F62,'12. Contratos_OS'!$A$6:$L$1000,2,FALSE),"")</f>
        <v/>
      </c>
      <c r="H62" s="95">
        <f>IFERROR(VLOOKUP(F62,'12. Contratos_OS'!$A$6:$L$1000,3,FALSE),"")</f>
        <v/>
      </c>
      <c r="I62" s="95">
        <f>IFERROR(VLOOKUP(F62,'12. Contratos_OS'!$A$6:$L$1000,4,FALSE),"")</f>
        <v/>
      </c>
      <c r="J62" s="95">
        <f>IFERROR(VLOOKUP(F62,'12. Contratos_OS'!$A$6:$L$1000,7,FALSE),"")</f>
        <v/>
      </c>
      <c r="K62" s="95">
        <f>IFERROR(VLOOKUP(J62,'11. Cadastro de Serviços'!$A$6:$E$200,2,FALSE),"")</f>
        <v/>
      </c>
      <c r="L62" s="95">
        <f>IFERROR(VLOOKUP(J62,'11. Cadastro de Serviços'!$A$6:$E$200,3,FALSE),"")</f>
        <v/>
      </c>
      <c r="M62" s="95">
        <f>IFERROR(VLOOKUP(J62,'11. Cadastro de Serviços'!$A$6:$E$200,4,FALSE),"")</f>
        <v/>
      </c>
      <c r="N62" s="95" t="n"/>
      <c r="O62" s="95">
        <f>IF(AND(G62&lt;&gt;"",I62&lt;&gt;"",J62&lt;&gt;"",M62&lt;&gt;""),"Rastreado","Revisar")</f>
        <v/>
      </c>
      <c r="P62" s="96" t="n"/>
    </row>
    <row r="63">
      <c r="A63" s="95" t="n"/>
      <c r="B63" s="96" t="n"/>
      <c r="C63" s="96" t="n"/>
      <c r="D63" s="95" t="n"/>
      <c r="E63" s="96" t="n"/>
      <c r="F63" s="96" t="n"/>
      <c r="G63" s="95">
        <f>IFERROR(VLOOKUP(F63,'12. Contratos_OS'!$A$6:$L$1000,2,FALSE),"")</f>
        <v/>
      </c>
      <c r="H63" s="95">
        <f>IFERROR(VLOOKUP(F63,'12. Contratos_OS'!$A$6:$L$1000,3,FALSE),"")</f>
        <v/>
      </c>
      <c r="I63" s="95">
        <f>IFERROR(VLOOKUP(F63,'12. Contratos_OS'!$A$6:$L$1000,4,FALSE),"")</f>
        <v/>
      </c>
      <c r="J63" s="95">
        <f>IFERROR(VLOOKUP(F63,'12. Contratos_OS'!$A$6:$L$1000,7,FALSE),"")</f>
        <v/>
      </c>
      <c r="K63" s="95">
        <f>IFERROR(VLOOKUP(J63,'11. Cadastro de Serviços'!$A$6:$E$200,2,FALSE),"")</f>
        <v/>
      </c>
      <c r="L63" s="95">
        <f>IFERROR(VLOOKUP(J63,'11. Cadastro de Serviços'!$A$6:$E$200,3,FALSE),"")</f>
        <v/>
      </c>
      <c r="M63" s="95">
        <f>IFERROR(VLOOKUP(J63,'11. Cadastro de Serviços'!$A$6:$E$200,4,FALSE),"")</f>
        <v/>
      </c>
      <c r="N63" s="95" t="n"/>
      <c r="O63" s="95">
        <f>IF(AND(G63&lt;&gt;"",I63&lt;&gt;"",J63&lt;&gt;"",M63&lt;&gt;""),"Rastreado","Revisar")</f>
        <v/>
      </c>
      <c r="P63" s="96" t="n"/>
    </row>
    <row r="64">
      <c r="A64" s="95" t="n"/>
      <c r="B64" s="96" t="n"/>
      <c r="C64" s="96" t="n"/>
      <c r="D64" s="95" t="n"/>
      <c r="E64" s="96" t="n"/>
      <c r="F64" s="96" t="n"/>
      <c r="G64" s="95">
        <f>IFERROR(VLOOKUP(F64,'12. Contratos_OS'!$A$6:$L$1000,2,FALSE),"")</f>
        <v/>
      </c>
      <c r="H64" s="95">
        <f>IFERROR(VLOOKUP(F64,'12. Contratos_OS'!$A$6:$L$1000,3,FALSE),"")</f>
        <v/>
      </c>
      <c r="I64" s="95">
        <f>IFERROR(VLOOKUP(F64,'12. Contratos_OS'!$A$6:$L$1000,4,FALSE),"")</f>
        <v/>
      </c>
      <c r="J64" s="95">
        <f>IFERROR(VLOOKUP(F64,'12. Contratos_OS'!$A$6:$L$1000,7,FALSE),"")</f>
        <v/>
      </c>
      <c r="K64" s="95">
        <f>IFERROR(VLOOKUP(J64,'11. Cadastro de Serviços'!$A$6:$E$200,2,FALSE),"")</f>
        <v/>
      </c>
      <c r="L64" s="95">
        <f>IFERROR(VLOOKUP(J64,'11. Cadastro de Serviços'!$A$6:$E$200,3,FALSE),"")</f>
        <v/>
      </c>
      <c r="M64" s="95">
        <f>IFERROR(VLOOKUP(J64,'11. Cadastro de Serviços'!$A$6:$E$200,4,FALSE),"")</f>
        <v/>
      </c>
      <c r="N64" s="95" t="n"/>
      <c r="O64" s="95">
        <f>IF(AND(G64&lt;&gt;"",I64&lt;&gt;"",J64&lt;&gt;"",M64&lt;&gt;""),"Rastreado","Revisar")</f>
        <v/>
      </c>
      <c r="P64" s="96" t="n"/>
    </row>
    <row r="65">
      <c r="A65" s="95" t="n"/>
      <c r="B65" s="96" t="n"/>
      <c r="C65" s="96" t="n"/>
      <c r="D65" s="95" t="n"/>
      <c r="E65" s="96" t="n"/>
      <c r="F65" s="96" t="n"/>
      <c r="G65" s="95">
        <f>IFERROR(VLOOKUP(F65,'12. Contratos_OS'!$A$6:$L$1000,2,FALSE),"")</f>
        <v/>
      </c>
      <c r="H65" s="95">
        <f>IFERROR(VLOOKUP(F65,'12. Contratos_OS'!$A$6:$L$1000,3,FALSE),"")</f>
        <v/>
      </c>
      <c r="I65" s="95">
        <f>IFERROR(VLOOKUP(F65,'12. Contratos_OS'!$A$6:$L$1000,4,FALSE),"")</f>
        <v/>
      </c>
      <c r="J65" s="95">
        <f>IFERROR(VLOOKUP(F65,'12. Contratos_OS'!$A$6:$L$1000,7,FALSE),"")</f>
        <v/>
      </c>
      <c r="K65" s="95">
        <f>IFERROR(VLOOKUP(J65,'11. Cadastro de Serviços'!$A$6:$E$200,2,FALSE),"")</f>
        <v/>
      </c>
      <c r="L65" s="95">
        <f>IFERROR(VLOOKUP(J65,'11. Cadastro de Serviços'!$A$6:$E$200,3,FALSE),"")</f>
        <v/>
      </c>
      <c r="M65" s="95">
        <f>IFERROR(VLOOKUP(J65,'11. Cadastro de Serviços'!$A$6:$E$200,4,FALSE),"")</f>
        <v/>
      </c>
      <c r="N65" s="95" t="n"/>
      <c r="O65" s="95">
        <f>IF(AND(G65&lt;&gt;"",I65&lt;&gt;"",J65&lt;&gt;"",M65&lt;&gt;""),"Rastreado","Revisar")</f>
        <v/>
      </c>
      <c r="P65" s="96" t="n"/>
    </row>
    <row r="66">
      <c r="A66" s="95" t="n"/>
      <c r="B66" s="96" t="n"/>
      <c r="C66" s="96" t="n"/>
      <c r="D66" s="95" t="n"/>
      <c r="E66" s="96" t="n"/>
      <c r="F66" s="96" t="n"/>
      <c r="G66" s="95">
        <f>IFERROR(VLOOKUP(F66,'12. Contratos_OS'!$A$6:$L$1000,2,FALSE),"")</f>
        <v/>
      </c>
      <c r="H66" s="95">
        <f>IFERROR(VLOOKUP(F66,'12. Contratos_OS'!$A$6:$L$1000,3,FALSE),"")</f>
        <v/>
      </c>
      <c r="I66" s="95">
        <f>IFERROR(VLOOKUP(F66,'12. Contratos_OS'!$A$6:$L$1000,4,FALSE),"")</f>
        <v/>
      </c>
      <c r="J66" s="95">
        <f>IFERROR(VLOOKUP(F66,'12. Contratos_OS'!$A$6:$L$1000,7,FALSE),"")</f>
        <v/>
      </c>
      <c r="K66" s="95">
        <f>IFERROR(VLOOKUP(J66,'11. Cadastro de Serviços'!$A$6:$E$200,2,FALSE),"")</f>
        <v/>
      </c>
      <c r="L66" s="95">
        <f>IFERROR(VLOOKUP(J66,'11. Cadastro de Serviços'!$A$6:$E$200,3,FALSE),"")</f>
        <v/>
      </c>
      <c r="M66" s="95">
        <f>IFERROR(VLOOKUP(J66,'11. Cadastro de Serviços'!$A$6:$E$200,4,FALSE),"")</f>
        <v/>
      </c>
      <c r="N66" s="95" t="n"/>
      <c r="O66" s="95">
        <f>IF(AND(G66&lt;&gt;"",I66&lt;&gt;"",J66&lt;&gt;"",M66&lt;&gt;""),"Rastreado","Revisar")</f>
        <v/>
      </c>
      <c r="P66" s="96" t="n"/>
    </row>
    <row r="67">
      <c r="A67" s="95" t="n"/>
      <c r="B67" s="96" t="n"/>
      <c r="C67" s="96" t="n"/>
      <c r="D67" s="95" t="n"/>
      <c r="E67" s="96" t="n"/>
      <c r="F67" s="96" t="n"/>
      <c r="G67" s="95">
        <f>IFERROR(VLOOKUP(F67,'12. Contratos_OS'!$A$6:$L$1000,2,FALSE),"")</f>
        <v/>
      </c>
      <c r="H67" s="95">
        <f>IFERROR(VLOOKUP(F67,'12. Contratos_OS'!$A$6:$L$1000,3,FALSE),"")</f>
        <v/>
      </c>
      <c r="I67" s="95">
        <f>IFERROR(VLOOKUP(F67,'12. Contratos_OS'!$A$6:$L$1000,4,FALSE),"")</f>
        <v/>
      </c>
      <c r="J67" s="95">
        <f>IFERROR(VLOOKUP(F67,'12. Contratos_OS'!$A$6:$L$1000,7,FALSE),"")</f>
        <v/>
      </c>
      <c r="K67" s="95">
        <f>IFERROR(VLOOKUP(J67,'11. Cadastro de Serviços'!$A$6:$E$200,2,FALSE),"")</f>
        <v/>
      </c>
      <c r="L67" s="95">
        <f>IFERROR(VLOOKUP(J67,'11. Cadastro de Serviços'!$A$6:$E$200,3,FALSE),"")</f>
        <v/>
      </c>
      <c r="M67" s="95">
        <f>IFERROR(VLOOKUP(J67,'11. Cadastro de Serviços'!$A$6:$E$200,4,FALSE),"")</f>
        <v/>
      </c>
      <c r="N67" s="95" t="n"/>
      <c r="O67" s="95">
        <f>IF(AND(G67&lt;&gt;"",I67&lt;&gt;"",J67&lt;&gt;"",M67&lt;&gt;""),"Rastreado","Revisar")</f>
        <v/>
      </c>
      <c r="P67" s="96" t="n"/>
    </row>
    <row r="68">
      <c r="A68" s="95" t="n"/>
      <c r="B68" s="96" t="n"/>
      <c r="C68" s="96" t="n"/>
      <c r="D68" s="95" t="n"/>
      <c r="E68" s="96" t="n"/>
      <c r="F68" s="96" t="n"/>
      <c r="G68" s="95">
        <f>IFERROR(VLOOKUP(F68,'12. Contratos_OS'!$A$6:$L$1000,2,FALSE),"")</f>
        <v/>
      </c>
      <c r="H68" s="95">
        <f>IFERROR(VLOOKUP(F68,'12. Contratos_OS'!$A$6:$L$1000,3,FALSE),"")</f>
        <v/>
      </c>
      <c r="I68" s="95">
        <f>IFERROR(VLOOKUP(F68,'12. Contratos_OS'!$A$6:$L$1000,4,FALSE),"")</f>
        <v/>
      </c>
      <c r="J68" s="95">
        <f>IFERROR(VLOOKUP(F68,'12. Contratos_OS'!$A$6:$L$1000,7,FALSE),"")</f>
        <v/>
      </c>
      <c r="K68" s="95">
        <f>IFERROR(VLOOKUP(J68,'11. Cadastro de Serviços'!$A$6:$E$200,2,FALSE),"")</f>
        <v/>
      </c>
      <c r="L68" s="95">
        <f>IFERROR(VLOOKUP(J68,'11. Cadastro de Serviços'!$A$6:$E$200,3,FALSE),"")</f>
        <v/>
      </c>
      <c r="M68" s="95">
        <f>IFERROR(VLOOKUP(J68,'11. Cadastro de Serviços'!$A$6:$E$200,4,FALSE),"")</f>
        <v/>
      </c>
      <c r="N68" s="95" t="n"/>
      <c r="O68" s="95">
        <f>IF(AND(G68&lt;&gt;"",I68&lt;&gt;"",J68&lt;&gt;"",M68&lt;&gt;""),"Rastreado","Revisar")</f>
        <v/>
      </c>
      <c r="P68" s="96" t="n"/>
    </row>
    <row r="69">
      <c r="A69" s="95" t="n"/>
      <c r="B69" s="96" t="n"/>
      <c r="C69" s="96" t="n"/>
      <c r="D69" s="95" t="n"/>
      <c r="E69" s="96" t="n"/>
      <c r="F69" s="96" t="n"/>
      <c r="G69" s="95">
        <f>IFERROR(VLOOKUP(F69,'12. Contratos_OS'!$A$6:$L$1000,2,FALSE),"")</f>
        <v/>
      </c>
      <c r="H69" s="95">
        <f>IFERROR(VLOOKUP(F69,'12. Contratos_OS'!$A$6:$L$1000,3,FALSE),"")</f>
        <v/>
      </c>
      <c r="I69" s="95">
        <f>IFERROR(VLOOKUP(F69,'12. Contratos_OS'!$A$6:$L$1000,4,FALSE),"")</f>
        <v/>
      </c>
      <c r="J69" s="95">
        <f>IFERROR(VLOOKUP(F69,'12. Contratos_OS'!$A$6:$L$1000,7,FALSE),"")</f>
        <v/>
      </c>
      <c r="K69" s="95">
        <f>IFERROR(VLOOKUP(J69,'11. Cadastro de Serviços'!$A$6:$E$200,2,FALSE),"")</f>
        <v/>
      </c>
      <c r="L69" s="95">
        <f>IFERROR(VLOOKUP(J69,'11. Cadastro de Serviços'!$A$6:$E$200,3,FALSE),"")</f>
        <v/>
      </c>
      <c r="M69" s="95">
        <f>IFERROR(VLOOKUP(J69,'11. Cadastro de Serviços'!$A$6:$E$200,4,FALSE),"")</f>
        <v/>
      </c>
      <c r="N69" s="95" t="n"/>
      <c r="O69" s="95">
        <f>IF(AND(G69&lt;&gt;"",I69&lt;&gt;"",J69&lt;&gt;"",M69&lt;&gt;""),"Rastreado","Revisar")</f>
        <v/>
      </c>
      <c r="P69" s="96" t="n"/>
    </row>
    <row r="70">
      <c r="A70" s="95" t="n"/>
      <c r="B70" s="96" t="n"/>
      <c r="C70" s="96" t="n"/>
      <c r="D70" s="95" t="n"/>
      <c r="E70" s="96" t="n"/>
      <c r="F70" s="96" t="n"/>
      <c r="G70" s="95">
        <f>IFERROR(VLOOKUP(F70,'12. Contratos_OS'!$A$6:$L$1000,2,FALSE),"")</f>
        <v/>
      </c>
      <c r="H70" s="95">
        <f>IFERROR(VLOOKUP(F70,'12. Contratos_OS'!$A$6:$L$1000,3,FALSE),"")</f>
        <v/>
      </c>
      <c r="I70" s="95">
        <f>IFERROR(VLOOKUP(F70,'12. Contratos_OS'!$A$6:$L$1000,4,FALSE),"")</f>
        <v/>
      </c>
      <c r="J70" s="95">
        <f>IFERROR(VLOOKUP(F70,'12. Contratos_OS'!$A$6:$L$1000,7,FALSE),"")</f>
        <v/>
      </c>
      <c r="K70" s="95">
        <f>IFERROR(VLOOKUP(J70,'11. Cadastro de Serviços'!$A$6:$E$200,2,FALSE),"")</f>
        <v/>
      </c>
      <c r="L70" s="95">
        <f>IFERROR(VLOOKUP(J70,'11. Cadastro de Serviços'!$A$6:$E$200,3,FALSE),"")</f>
        <v/>
      </c>
      <c r="M70" s="95">
        <f>IFERROR(VLOOKUP(J70,'11. Cadastro de Serviços'!$A$6:$E$200,4,FALSE),"")</f>
        <v/>
      </c>
      <c r="N70" s="95" t="n"/>
      <c r="O70" s="95">
        <f>IF(AND(G70&lt;&gt;"",I70&lt;&gt;"",J70&lt;&gt;"",M70&lt;&gt;""),"Rastreado","Revisar")</f>
        <v/>
      </c>
      <c r="P70" s="96" t="n"/>
    </row>
    <row r="71">
      <c r="A71" s="95" t="n"/>
      <c r="B71" s="96" t="n"/>
      <c r="C71" s="96" t="n"/>
      <c r="D71" s="95" t="n"/>
      <c r="E71" s="96" t="n"/>
      <c r="F71" s="96" t="n"/>
      <c r="G71" s="95">
        <f>IFERROR(VLOOKUP(F71,'12. Contratos_OS'!$A$6:$L$1000,2,FALSE),"")</f>
        <v/>
      </c>
      <c r="H71" s="95">
        <f>IFERROR(VLOOKUP(F71,'12. Contratos_OS'!$A$6:$L$1000,3,FALSE),"")</f>
        <v/>
      </c>
      <c r="I71" s="95">
        <f>IFERROR(VLOOKUP(F71,'12. Contratos_OS'!$A$6:$L$1000,4,FALSE),"")</f>
        <v/>
      </c>
      <c r="J71" s="95">
        <f>IFERROR(VLOOKUP(F71,'12. Contratos_OS'!$A$6:$L$1000,7,FALSE),"")</f>
        <v/>
      </c>
      <c r="K71" s="95">
        <f>IFERROR(VLOOKUP(J71,'11. Cadastro de Serviços'!$A$6:$E$200,2,FALSE),"")</f>
        <v/>
      </c>
      <c r="L71" s="95">
        <f>IFERROR(VLOOKUP(J71,'11. Cadastro de Serviços'!$A$6:$E$200,3,FALSE),"")</f>
        <v/>
      </c>
      <c r="M71" s="95">
        <f>IFERROR(VLOOKUP(J71,'11. Cadastro de Serviços'!$A$6:$E$200,4,FALSE),"")</f>
        <v/>
      </c>
      <c r="N71" s="95" t="n"/>
      <c r="O71" s="95">
        <f>IF(AND(G71&lt;&gt;"",I71&lt;&gt;"",J71&lt;&gt;"",M71&lt;&gt;""),"Rastreado","Revisar")</f>
        <v/>
      </c>
      <c r="P71" s="96" t="n"/>
    </row>
    <row r="72">
      <c r="A72" s="95" t="n"/>
      <c r="B72" s="96" t="n"/>
      <c r="C72" s="96" t="n"/>
      <c r="D72" s="95" t="n"/>
      <c r="E72" s="96" t="n"/>
      <c r="F72" s="96" t="n"/>
      <c r="G72" s="95">
        <f>IFERROR(VLOOKUP(F72,'12. Contratos_OS'!$A$6:$L$1000,2,FALSE),"")</f>
        <v/>
      </c>
      <c r="H72" s="95">
        <f>IFERROR(VLOOKUP(F72,'12. Contratos_OS'!$A$6:$L$1000,3,FALSE),"")</f>
        <v/>
      </c>
      <c r="I72" s="95">
        <f>IFERROR(VLOOKUP(F72,'12. Contratos_OS'!$A$6:$L$1000,4,FALSE),"")</f>
        <v/>
      </c>
      <c r="J72" s="95">
        <f>IFERROR(VLOOKUP(F72,'12. Contratos_OS'!$A$6:$L$1000,7,FALSE),"")</f>
        <v/>
      </c>
      <c r="K72" s="95">
        <f>IFERROR(VLOOKUP(J72,'11. Cadastro de Serviços'!$A$6:$E$200,2,FALSE),"")</f>
        <v/>
      </c>
      <c r="L72" s="95">
        <f>IFERROR(VLOOKUP(J72,'11. Cadastro de Serviços'!$A$6:$E$200,3,FALSE),"")</f>
        <v/>
      </c>
      <c r="M72" s="95">
        <f>IFERROR(VLOOKUP(J72,'11. Cadastro de Serviços'!$A$6:$E$200,4,FALSE),"")</f>
        <v/>
      </c>
      <c r="N72" s="95" t="n"/>
      <c r="O72" s="95">
        <f>IF(AND(G72&lt;&gt;"",I72&lt;&gt;"",J72&lt;&gt;"",M72&lt;&gt;""),"Rastreado","Revisar")</f>
        <v/>
      </c>
      <c r="P72" s="96" t="n"/>
    </row>
    <row r="73">
      <c r="A73" s="95" t="n"/>
      <c r="B73" s="96" t="n"/>
      <c r="C73" s="96" t="n"/>
      <c r="D73" s="95" t="n"/>
      <c r="E73" s="96" t="n"/>
      <c r="F73" s="96" t="n"/>
      <c r="G73" s="95">
        <f>IFERROR(VLOOKUP(F73,'12. Contratos_OS'!$A$6:$L$1000,2,FALSE),"")</f>
        <v/>
      </c>
      <c r="H73" s="95">
        <f>IFERROR(VLOOKUP(F73,'12. Contratos_OS'!$A$6:$L$1000,3,FALSE),"")</f>
        <v/>
      </c>
      <c r="I73" s="95">
        <f>IFERROR(VLOOKUP(F73,'12. Contratos_OS'!$A$6:$L$1000,4,FALSE),"")</f>
        <v/>
      </c>
      <c r="J73" s="95">
        <f>IFERROR(VLOOKUP(F73,'12. Contratos_OS'!$A$6:$L$1000,7,FALSE),"")</f>
        <v/>
      </c>
      <c r="K73" s="95">
        <f>IFERROR(VLOOKUP(J73,'11. Cadastro de Serviços'!$A$6:$E$200,2,FALSE),"")</f>
        <v/>
      </c>
      <c r="L73" s="95">
        <f>IFERROR(VLOOKUP(J73,'11. Cadastro de Serviços'!$A$6:$E$200,3,FALSE),"")</f>
        <v/>
      </c>
      <c r="M73" s="95">
        <f>IFERROR(VLOOKUP(J73,'11. Cadastro de Serviços'!$A$6:$E$200,4,FALSE),"")</f>
        <v/>
      </c>
      <c r="N73" s="95" t="n"/>
      <c r="O73" s="95">
        <f>IF(AND(G73&lt;&gt;"",I73&lt;&gt;"",J73&lt;&gt;"",M73&lt;&gt;""),"Rastreado","Revisar")</f>
        <v/>
      </c>
      <c r="P73" s="96" t="n"/>
    </row>
    <row r="74">
      <c r="A74" s="95" t="n"/>
      <c r="B74" s="96" t="n"/>
      <c r="C74" s="96" t="n"/>
      <c r="D74" s="95" t="n"/>
      <c r="E74" s="96" t="n"/>
      <c r="F74" s="96" t="n"/>
      <c r="G74" s="95">
        <f>IFERROR(VLOOKUP(F74,'12. Contratos_OS'!$A$6:$L$1000,2,FALSE),"")</f>
        <v/>
      </c>
      <c r="H74" s="95">
        <f>IFERROR(VLOOKUP(F74,'12. Contratos_OS'!$A$6:$L$1000,3,FALSE),"")</f>
        <v/>
      </c>
      <c r="I74" s="95">
        <f>IFERROR(VLOOKUP(F74,'12. Contratos_OS'!$A$6:$L$1000,4,FALSE),"")</f>
        <v/>
      </c>
      <c r="J74" s="95">
        <f>IFERROR(VLOOKUP(F74,'12. Contratos_OS'!$A$6:$L$1000,7,FALSE),"")</f>
        <v/>
      </c>
      <c r="K74" s="95">
        <f>IFERROR(VLOOKUP(J74,'11. Cadastro de Serviços'!$A$6:$E$200,2,FALSE),"")</f>
        <v/>
      </c>
      <c r="L74" s="95">
        <f>IFERROR(VLOOKUP(J74,'11. Cadastro de Serviços'!$A$6:$E$200,3,FALSE),"")</f>
        <v/>
      </c>
      <c r="M74" s="95">
        <f>IFERROR(VLOOKUP(J74,'11. Cadastro de Serviços'!$A$6:$E$200,4,FALSE),"")</f>
        <v/>
      </c>
      <c r="N74" s="95" t="n"/>
      <c r="O74" s="95">
        <f>IF(AND(G74&lt;&gt;"",I74&lt;&gt;"",J74&lt;&gt;"",M74&lt;&gt;""),"Rastreado","Revisar")</f>
        <v/>
      </c>
      <c r="P74" s="96" t="n"/>
    </row>
    <row r="75">
      <c r="A75" s="95" t="n"/>
      <c r="B75" s="96" t="n"/>
      <c r="C75" s="96" t="n"/>
      <c r="D75" s="95" t="n"/>
      <c r="E75" s="96" t="n"/>
      <c r="F75" s="96" t="n"/>
      <c r="G75" s="95">
        <f>IFERROR(VLOOKUP(F75,'12. Contratos_OS'!$A$6:$L$1000,2,FALSE),"")</f>
        <v/>
      </c>
      <c r="H75" s="95">
        <f>IFERROR(VLOOKUP(F75,'12. Contratos_OS'!$A$6:$L$1000,3,FALSE),"")</f>
        <v/>
      </c>
      <c r="I75" s="95">
        <f>IFERROR(VLOOKUP(F75,'12. Contratos_OS'!$A$6:$L$1000,4,FALSE),"")</f>
        <v/>
      </c>
      <c r="J75" s="95">
        <f>IFERROR(VLOOKUP(F75,'12. Contratos_OS'!$A$6:$L$1000,7,FALSE),"")</f>
        <v/>
      </c>
      <c r="K75" s="95">
        <f>IFERROR(VLOOKUP(J75,'11. Cadastro de Serviços'!$A$6:$E$200,2,FALSE),"")</f>
        <v/>
      </c>
      <c r="L75" s="95">
        <f>IFERROR(VLOOKUP(J75,'11. Cadastro de Serviços'!$A$6:$E$200,3,FALSE),"")</f>
        <v/>
      </c>
      <c r="M75" s="95">
        <f>IFERROR(VLOOKUP(J75,'11. Cadastro de Serviços'!$A$6:$E$200,4,FALSE),"")</f>
        <v/>
      </c>
      <c r="N75" s="95" t="n"/>
      <c r="O75" s="95">
        <f>IF(AND(G75&lt;&gt;"",I75&lt;&gt;"",J75&lt;&gt;"",M75&lt;&gt;""),"Rastreado","Revisar")</f>
        <v/>
      </c>
      <c r="P75" s="96" t="n"/>
    </row>
    <row r="76">
      <c r="A76" s="95" t="n"/>
      <c r="B76" s="96" t="n"/>
      <c r="C76" s="96" t="n"/>
      <c r="D76" s="95" t="n"/>
      <c r="E76" s="96" t="n"/>
      <c r="F76" s="96" t="n"/>
      <c r="G76" s="95">
        <f>IFERROR(VLOOKUP(F76,'12. Contratos_OS'!$A$6:$L$1000,2,FALSE),"")</f>
        <v/>
      </c>
      <c r="H76" s="95">
        <f>IFERROR(VLOOKUP(F76,'12. Contratos_OS'!$A$6:$L$1000,3,FALSE),"")</f>
        <v/>
      </c>
      <c r="I76" s="95">
        <f>IFERROR(VLOOKUP(F76,'12. Contratos_OS'!$A$6:$L$1000,4,FALSE),"")</f>
        <v/>
      </c>
      <c r="J76" s="95">
        <f>IFERROR(VLOOKUP(F76,'12. Contratos_OS'!$A$6:$L$1000,7,FALSE),"")</f>
        <v/>
      </c>
      <c r="K76" s="95">
        <f>IFERROR(VLOOKUP(J76,'11. Cadastro de Serviços'!$A$6:$E$200,2,FALSE),"")</f>
        <v/>
      </c>
      <c r="L76" s="95">
        <f>IFERROR(VLOOKUP(J76,'11. Cadastro de Serviços'!$A$6:$E$200,3,FALSE),"")</f>
        <v/>
      </c>
      <c r="M76" s="95">
        <f>IFERROR(VLOOKUP(J76,'11. Cadastro de Serviços'!$A$6:$E$200,4,FALSE),"")</f>
        <v/>
      </c>
      <c r="N76" s="95" t="n"/>
      <c r="O76" s="95">
        <f>IF(AND(G76&lt;&gt;"",I76&lt;&gt;"",J76&lt;&gt;"",M76&lt;&gt;""),"Rastreado","Revisar")</f>
        <v/>
      </c>
      <c r="P76" s="96" t="n"/>
    </row>
    <row r="77">
      <c r="A77" s="95" t="n"/>
      <c r="B77" s="96" t="n"/>
      <c r="C77" s="96" t="n"/>
      <c r="D77" s="95" t="n"/>
      <c r="E77" s="96" t="n"/>
      <c r="F77" s="96" t="n"/>
      <c r="G77" s="95">
        <f>IFERROR(VLOOKUP(F77,'12. Contratos_OS'!$A$6:$L$1000,2,FALSE),"")</f>
        <v/>
      </c>
      <c r="H77" s="95">
        <f>IFERROR(VLOOKUP(F77,'12. Contratos_OS'!$A$6:$L$1000,3,FALSE),"")</f>
        <v/>
      </c>
      <c r="I77" s="95">
        <f>IFERROR(VLOOKUP(F77,'12. Contratos_OS'!$A$6:$L$1000,4,FALSE),"")</f>
        <v/>
      </c>
      <c r="J77" s="95">
        <f>IFERROR(VLOOKUP(F77,'12. Contratos_OS'!$A$6:$L$1000,7,FALSE),"")</f>
        <v/>
      </c>
      <c r="K77" s="95">
        <f>IFERROR(VLOOKUP(J77,'11. Cadastro de Serviços'!$A$6:$E$200,2,FALSE),"")</f>
        <v/>
      </c>
      <c r="L77" s="95">
        <f>IFERROR(VLOOKUP(J77,'11. Cadastro de Serviços'!$A$6:$E$200,3,FALSE),"")</f>
        <v/>
      </c>
      <c r="M77" s="95">
        <f>IFERROR(VLOOKUP(J77,'11. Cadastro de Serviços'!$A$6:$E$200,4,FALSE),"")</f>
        <v/>
      </c>
      <c r="N77" s="95" t="n"/>
      <c r="O77" s="95">
        <f>IF(AND(G77&lt;&gt;"",I77&lt;&gt;"",J77&lt;&gt;"",M77&lt;&gt;""),"Rastreado","Revisar")</f>
        <v/>
      </c>
      <c r="P77" s="96" t="n"/>
    </row>
    <row r="78">
      <c r="A78" s="95" t="n"/>
      <c r="B78" s="96" t="n"/>
      <c r="C78" s="96" t="n"/>
      <c r="D78" s="95" t="n"/>
      <c r="E78" s="96" t="n"/>
      <c r="F78" s="96" t="n"/>
      <c r="G78" s="95">
        <f>IFERROR(VLOOKUP(F78,'12. Contratos_OS'!$A$6:$L$1000,2,FALSE),"")</f>
        <v/>
      </c>
      <c r="H78" s="95">
        <f>IFERROR(VLOOKUP(F78,'12. Contratos_OS'!$A$6:$L$1000,3,FALSE),"")</f>
        <v/>
      </c>
      <c r="I78" s="95">
        <f>IFERROR(VLOOKUP(F78,'12. Contratos_OS'!$A$6:$L$1000,4,FALSE),"")</f>
        <v/>
      </c>
      <c r="J78" s="95">
        <f>IFERROR(VLOOKUP(F78,'12. Contratos_OS'!$A$6:$L$1000,7,FALSE),"")</f>
        <v/>
      </c>
      <c r="K78" s="95">
        <f>IFERROR(VLOOKUP(J78,'11. Cadastro de Serviços'!$A$6:$E$200,2,FALSE),"")</f>
        <v/>
      </c>
      <c r="L78" s="95">
        <f>IFERROR(VLOOKUP(J78,'11. Cadastro de Serviços'!$A$6:$E$200,3,FALSE),"")</f>
        <v/>
      </c>
      <c r="M78" s="95">
        <f>IFERROR(VLOOKUP(J78,'11. Cadastro de Serviços'!$A$6:$E$200,4,FALSE),"")</f>
        <v/>
      </c>
      <c r="N78" s="95" t="n"/>
      <c r="O78" s="95">
        <f>IF(AND(G78&lt;&gt;"",I78&lt;&gt;"",J78&lt;&gt;"",M78&lt;&gt;""),"Rastreado","Revisar")</f>
        <v/>
      </c>
      <c r="P78" s="96" t="n"/>
    </row>
    <row r="79">
      <c r="A79" s="95" t="n"/>
      <c r="B79" s="96" t="n"/>
      <c r="C79" s="96" t="n"/>
      <c r="D79" s="95" t="n"/>
      <c r="E79" s="96" t="n"/>
      <c r="F79" s="96" t="n"/>
      <c r="G79" s="95">
        <f>IFERROR(VLOOKUP(F79,'12. Contratos_OS'!$A$6:$L$1000,2,FALSE),"")</f>
        <v/>
      </c>
      <c r="H79" s="95">
        <f>IFERROR(VLOOKUP(F79,'12. Contratos_OS'!$A$6:$L$1000,3,FALSE),"")</f>
        <v/>
      </c>
      <c r="I79" s="95">
        <f>IFERROR(VLOOKUP(F79,'12. Contratos_OS'!$A$6:$L$1000,4,FALSE),"")</f>
        <v/>
      </c>
      <c r="J79" s="95">
        <f>IFERROR(VLOOKUP(F79,'12. Contratos_OS'!$A$6:$L$1000,7,FALSE),"")</f>
        <v/>
      </c>
      <c r="K79" s="95">
        <f>IFERROR(VLOOKUP(J79,'11. Cadastro de Serviços'!$A$6:$E$200,2,FALSE),"")</f>
        <v/>
      </c>
      <c r="L79" s="95">
        <f>IFERROR(VLOOKUP(J79,'11. Cadastro de Serviços'!$A$6:$E$200,3,FALSE),"")</f>
        <v/>
      </c>
      <c r="M79" s="95">
        <f>IFERROR(VLOOKUP(J79,'11. Cadastro de Serviços'!$A$6:$E$200,4,FALSE),"")</f>
        <v/>
      </c>
      <c r="N79" s="95" t="n"/>
      <c r="O79" s="95">
        <f>IF(AND(G79&lt;&gt;"",I79&lt;&gt;"",J79&lt;&gt;"",M79&lt;&gt;""),"Rastreado","Revisar")</f>
        <v/>
      </c>
      <c r="P79" s="96" t="n"/>
    </row>
    <row r="80">
      <c r="A80" s="95" t="n"/>
      <c r="B80" s="96" t="n"/>
      <c r="C80" s="96" t="n"/>
      <c r="D80" s="95" t="n"/>
      <c r="E80" s="96" t="n"/>
      <c r="F80" s="96" t="n"/>
      <c r="G80" s="95">
        <f>IFERROR(VLOOKUP(F80,'12. Contratos_OS'!$A$6:$L$1000,2,FALSE),"")</f>
        <v/>
      </c>
      <c r="H80" s="95">
        <f>IFERROR(VLOOKUP(F80,'12. Contratos_OS'!$A$6:$L$1000,3,FALSE),"")</f>
        <v/>
      </c>
      <c r="I80" s="95">
        <f>IFERROR(VLOOKUP(F80,'12. Contratos_OS'!$A$6:$L$1000,4,FALSE),"")</f>
        <v/>
      </c>
      <c r="J80" s="95">
        <f>IFERROR(VLOOKUP(F80,'12. Contratos_OS'!$A$6:$L$1000,7,FALSE),"")</f>
        <v/>
      </c>
      <c r="K80" s="95">
        <f>IFERROR(VLOOKUP(J80,'11. Cadastro de Serviços'!$A$6:$E$200,2,FALSE),"")</f>
        <v/>
      </c>
      <c r="L80" s="95">
        <f>IFERROR(VLOOKUP(J80,'11. Cadastro de Serviços'!$A$6:$E$200,3,FALSE),"")</f>
        <v/>
      </c>
      <c r="M80" s="95">
        <f>IFERROR(VLOOKUP(J80,'11. Cadastro de Serviços'!$A$6:$E$200,4,FALSE),"")</f>
        <v/>
      </c>
      <c r="N80" s="95" t="n"/>
      <c r="O80" s="95">
        <f>IF(AND(G80&lt;&gt;"",I80&lt;&gt;"",J80&lt;&gt;"",M80&lt;&gt;""),"Rastreado","Revisar")</f>
        <v/>
      </c>
      <c r="P80" s="96" t="n"/>
    </row>
    <row r="81">
      <c r="A81" s="95" t="n"/>
      <c r="B81" s="96" t="n"/>
      <c r="C81" s="96" t="n"/>
      <c r="D81" s="95" t="n"/>
      <c r="E81" s="96" t="n"/>
      <c r="F81" s="96" t="n"/>
      <c r="G81" s="95">
        <f>IFERROR(VLOOKUP(F81,'12. Contratos_OS'!$A$6:$L$1000,2,FALSE),"")</f>
        <v/>
      </c>
      <c r="H81" s="95">
        <f>IFERROR(VLOOKUP(F81,'12. Contratos_OS'!$A$6:$L$1000,3,FALSE),"")</f>
        <v/>
      </c>
      <c r="I81" s="95">
        <f>IFERROR(VLOOKUP(F81,'12. Contratos_OS'!$A$6:$L$1000,4,FALSE),"")</f>
        <v/>
      </c>
      <c r="J81" s="95">
        <f>IFERROR(VLOOKUP(F81,'12. Contratos_OS'!$A$6:$L$1000,7,FALSE),"")</f>
        <v/>
      </c>
      <c r="K81" s="95">
        <f>IFERROR(VLOOKUP(J81,'11. Cadastro de Serviços'!$A$6:$E$200,2,FALSE),"")</f>
        <v/>
      </c>
      <c r="L81" s="95">
        <f>IFERROR(VLOOKUP(J81,'11. Cadastro de Serviços'!$A$6:$E$200,3,FALSE),"")</f>
        <v/>
      </c>
      <c r="M81" s="95">
        <f>IFERROR(VLOOKUP(J81,'11. Cadastro de Serviços'!$A$6:$E$200,4,FALSE),"")</f>
        <v/>
      </c>
      <c r="N81" s="95" t="n"/>
      <c r="O81" s="95">
        <f>IF(AND(G81&lt;&gt;"",I81&lt;&gt;"",J81&lt;&gt;"",M81&lt;&gt;""),"Rastreado","Revisar")</f>
        <v/>
      </c>
      <c r="P81" s="96" t="n"/>
    </row>
    <row r="82">
      <c r="A82" s="95" t="n"/>
      <c r="B82" s="96" t="n"/>
      <c r="C82" s="96" t="n"/>
      <c r="D82" s="95" t="n"/>
      <c r="E82" s="96" t="n"/>
      <c r="F82" s="96" t="n"/>
      <c r="G82" s="95">
        <f>IFERROR(VLOOKUP(F82,'12. Contratos_OS'!$A$6:$L$1000,2,FALSE),"")</f>
        <v/>
      </c>
      <c r="H82" s="95">
        <f>IFERROR(VLOOKUP(F82,'12. Contratos_OS'!$A$6:$L$1000,3,FALSE),"")</f>
        <v/>
      </c>
      <c r="I82" s="95">
        <f>IFERROR(VLOOKUP(F82,'12. Contratos_OS'!$A$6:$L$1000,4,FALSE),"")</f>
        <v/>
      </c>
      <c r="J82" s="95">
        <f>IFERROR(VLOOKUP(F82,'12. Contratos_OS'!$A$6:$L$1000,7,FALSE),"")</f>
        <v/>
      </c>
      <c r="K82" s="95">
        <f>IFERROR(VLOOKUP(J82,'11. Cadastro de Serviços'!$A$6:$E$200,2,FALSE),"")</f>
        <v/>
      </c>
      <c r="L82" s="95">
        <f>IFERROR(VLOOKUP(J82,'11. Cadastro de Serviços'!$A$6:$E$200,3,FALSE),"")</f>
        <v/>
      </c>
      <c r="M82" s="95">
        <f>IFERROR(VLOOKUP(J82,'11. Cadastro de Serviços'!$A$6:$E$200,4,FALSE),"")</f>
        <v/>
      </c>
      <c r="N82" s="95" t="n"/>
      <c r="O82" s="95">
        <f>IF(AND(G82&lt;&gt;"",I82&lt;&gt;"",J82&lt;&gt;"",M82&lt;&gt;""),"Rastreado","Revisar")</f>
        <v/>
      </c>
      <c r="P82" s="96" t="n"/>
    </row>
    <row r="83">
      <c r="A83" s="95" t="n"/>
      <c r="B83" s="96" t="n"/>
      <c r="C83" s="96" t="n"/>
      <c r="D83" s="95" t="n"/>
      <c r="E83" s="96" t="n"/>
      <c r="F83" s="96" t="n"/>
      <c r="G83" s="95">
        <f>IFERROR(VLOOKUP(F83,'12. Contratos_OS'!$A$6:$L$1000,2,FALSE),"")</f>
        <v/>
      </c>
      <c r="H83" s="95">
        <f>IFERROR(VLOOKUP(F83,'12. Contratos_OS'!$A$6:$L$1000,3,FALSE),"")</f>
        <v/>
      </c>
      <c r="I83" s="95">
        <f>IFERROR(VLOOKUP(F83,'12. Contratos_OS'!$A$6:$L$1000,4,FALSE),"")</f>
        <v/>
      </c>
      <c r="J83" s="95">
        <f>IFERROR(VLOOKUP(F83,'12. Contratos_OS'!$A$6:$L$1000,7,FALSE),"")</f>
        <v/>
      </c>
      <c r="K83" s="95">
        <f>IFERROR(VLOOKUP(J83,'11. Cadastro de Serviços'!$A$6:$E$200,2,FALSE),"")</f>
        <v/>
      </c>
      <c r="L83" s="95">
        <f>IFERROR(VLOOKUP(J83,'11. Cadastro de Serviços'!$A$6:$E$200,3,FALSE),"")</f>
        <v/>
      </c>
      <c r="M83" s="95">
        <f>IFERROR(VLOOKUP(J83,'11. Cadastro de Serviços'!$A$6:$E$200,4,FALSE),"")</f>
        <v/>
      </c>
      <c r="N83" s="95" t="n"/>
      <c r="O83" s="95">
        <f>IF(AND(G83&lt;&gt;"",I83&lt;&gt;"",J83&lt;&gt;"",M83&lt;&gt;""),"Rastreado","Revisar")</f>
        <v/>
      </c>
      <c r="P83" s="96" t="n"/>
    </row>
    <row r="84">
      <c r="A84" s="95" t="n"/>
      <c r="B84" s="96" t="n"/>
      <c r="C84" s="96" t="n"/>
      <c r="D84" s="95" t="n"/>
      <c r="E84" s="96" t="n"/>
      <c r="F84" s="96" t="n"/>
      <c r="G84" s="95">
        <f>IFERROR(VLOOKUP(F84,'12. Contratos_OS'!$A$6:$L$1000,2,FALSE),"")</f>
        <v/>
      </c>
      <c r="H84" s="95">
        <f>IFERROR(VLOOKUP(F84,'12. Contratos_OS'!$A$6:$L$1000,3,FALSE),"")</f>
        <v/>
      </c>
      <c r="I84" s="95">
        <f>IFERROR(VLOOKUP(F84,'12. Contratos_OS'!$A$6:$L$1000,4,FALSE),"")</f>
        <v/>
      </c>
      <c r="J84" s="95">
        <f>IFERROR(VLOOKUP(F84,'12. Contratos_OS'!$A$6:$L$1000,7,FALSE),"")</f>
        <v/>
      </c>
      <c r="K84" s="95">
        <f>IFERROR(VLOOKUP(J84,'11. Cadastro de Serviços'!$A$6:$E$200,2,FALSE),"")</f>
        <v/>
      </c>
      <c r="L84" s="95">
        <f>IFERROR(VLOOKUP(J84,'11. Cadastro de Serviços'!$A$6:$E$200,3,FALSE),"")</f>
        <v/>
      </c>
      <c r="M84" s="95">
        <f>IFERROR(VLOOKUP(J84,'11. Cadastro de Serviços'!$A$6:$E$200,4,FALSE),"")</f>
        <v/>
      </c>
      <c r="N84" s="95" t="n"/>
      <c r="O84" s="95">
        <f>IF(AND(G84&lt;&gt;"",I84&lt;&gt;"",J84&lt;&gt;"",M84&lt;&gt;""),"Rastreado","Revisar")</f>
        <v/>
      </c>
      <c r="P84" s="96" t="n"/>
    </row>
    <row r="85">
      <c r="A85" s="95" t="n"/>
      <c r="B85" s="96" t="n"/>
      <c r="C85" s="96" t="n"/>
      <c r="D85" s="95" t="n"/>
      <c r="E85" s="96" t="n"/>
      <c r="F85" s="96" t="n"/>
      <c r="G85" s="95">
        <f>IFERROR(VLOOKUP(F85,'12. Contratos_OS'!$A$6:$L$1000,2,FALSE),"")</f>
        <v/>
      </c>
      <c r="H85" s="95">
        <f>IFERROR(VLOOKUP(F85,'12. Contratos_OS'!$A$6:$L$1000,3,FALSE),"")</f>
        <v/>
      </c>
      <c r="I85" s="95">
        <f>IFERROR(VLOOKUP(F85,'12. Contratos_OS'!$A$6:$L$1000,4,FALSE),"")</f>
        <v/>
      </c>
      <c r="J85" s="95">
        <f>IFERROR(VLOOKUP(F85,'12. Contratos_OS'!$A$6:$L$1000,7,FALSE),"")</f>
        <v/>
      </c>
      <c r="K85" s="95">
        <f>IFERROR(VLOOKUP(J85,'11. Cadastro de Serviços'!$A$6:$E$200,2,FALSE),"")</f>
        <v/>
      </c>
      <c r="L85" s="95">
        <f>IFERROR(VLOOKUP(J85,'11. Cadastro de Serviços'!$A$6:$E$200,3,FALSE),"")</f>
        <v/>
      </c>
      <c r="M85" s="95">
        <f>IFERROR(VLOOKUP(J85,'11. Cadastro de Serviços'!$A$6:$E$200,4,FALSE),"")</f>
        <v/>
      </c>
      <c r="N85" s="95" t="n"/>
      <c r="O85" s="95">
        <f>IF(AND(G85&lt;&gt;"",I85&lt;&gt;"",J85&lt;&gt;"",M85&lt;&gt;""),"Rastreado","Revisar")</f>
        <v/>
      </c>
      <c r="P85" s="96" t="n"/>
    </row>
    <row r="86">
      <c r="A86" s="95" t="n"/>
      <c r="B86" s="96" t="n"/>
      <c r="C86" s="96" t="n"/>
      <c r="D86" s="95" t="n"/>
      <c r="E86" s="96" t="n"/>
      <c r="F86" s="96" t="n"/>
      <c r="G86" s="95">
        <f>IFERROR(VLOOKUP(F86,'12. Contratos_OS'!$A$6:$L$1000,2,FALSE),"")</f>
        <v/>
      </c>
      <c r="H86" s="95">
        <f>IFERROR(VLOOKUP(F86,'12. Contratos_OS'!$A$6:$L$1000,3,FALSE),"")</f>
        <v/>
      </c>
      <c r="I86" s="95">
        <f>IFERROR(VLOOKUP(F86,'12. Contratos_OS'!$A$6:$L$1000,4,FALSE),"")</f>
        <v/>
      </c>
      <c r="J86" s="95">
        <f>IFERROR(VLOOKUP(F86,'12. Contratos_OS'!$A$6:$L$1000,7,FALSE),"")</f>
        <v/>
      </c>
      <c r="K86" s="95">
        <f>IFERROR(VLOOKUP(J86,'11. Cadastro de Serviços'!$A$6:$E$200,2,FALSE),"")</f>
        <v/>
      </c>
      <c r="L86" s="95">
        <f>IFERROR(VLOOKUP(J86,'11. Cadastro de Serviços'!$A$6:$E$200,3,FALSE),"")</f>
        <v/>
      </c>
      <c r="M86" s="95">
        <f>IFERROR(VLOOKUP(J86,'11. Cadastro de Serviços'!$A$6:$E$200,4,FALSE),"")</f>
        <v/>
      </c>
      <c r="N86" s="95" t="n"/>
      <c r="O86" s="95">
        <f>IF(AND(G86&lt;&gt;"",I86&lt;&gt;"",J86&lt;&gt;"",M86&lt;&gt;""),"Rastreado","Revisar")</f>
        <v/>
      </c>
      <c r="P86" s="96" t="n"/>
    </row>
    <row r="87">
      <c r="A87" s="95" t="n"/>
      <c r="B87" s="96" t="n"/>
      <c r="C87" s="96" t="n"/>
      <c r="D87" s="95" t="n"/>
      <c r="E87" s="96" t="n"/>
      <c r="F87" s="96" t="n"/>
      <c r="G87" s="95">
        <f>IFERROR(VLOOKUP(F87,'12. Contratos_OS'!$A$6:$L$1000,2,FALSE),"")</f>
        <v/>
      </c>
      <c r="H87" s="95">
        <f>IFERROR(VLOOKUP(F87,'12. Contratos_OS'!$A$6:$L$1000,3,FALSE),"")</f>
        <v/>
      </c>
      <c r="I87" s="95">
        <f>IFERROR(VLOOKUP(F87,'12. Contratos_OS'!$A$6:$L$1000,4,FALSE),"")</f>
        <v/>
      </c>
      <c r="J87" s="95">
        <f>IFERROR(VLOOKUP(F87,'12. Contratos_OS'!$A$6:$L$1000,7,FALSE),"")</f>
        <v/>
      </c>
      <c r="K87" s="95">
        <f>IFERROR(VLOOKUP(J87,'11. Cadastro de Serviços'!$A$6:$E$200,2,FALSE),"")</f>
        <v/>
      </c>
      <c r="L87" s="95">
        <f>IFERROR(VLOOKUP(J87,'11. Cadastro de Serviços'!$A$6:$E$200,3,FALSE),"")</f>
        <v/>
      </c>
      <c r="M87" s="95">
        <f>IFERROR(VLOOKUP(J87,'11. Cadastro de Serviços'!$A$6:$E$200,4,FALSE),"")</f>
        <v/>
      </c>
      <c r="N87" s="95" t="n"/>
      <c r="O87" s="95">
        <f>IF(AND(G87&lt;&gt;"",I87&lt;&gt;"",J87&lt;&gt;"",M87&lt;&gt;""),"Rastreado","Revisar")</f>
        <v/>
      </c>
      <c r="P87" s="96" t="n"/>
    </row>
    <row r="88">
      <c r="A88" s="95" t="n"/>
      <c r="B88" s="96" t="n"/>
      <c r="C88" s="96" t="n"/>
      <c r="D88" s="95" t="n"/>
      <c r="E88" s="96" t="n"/>
      <c r="F88" s="96" t="n"/>
      <c r="G88" s="95">
        <f>IFERROR(VLOOKUP(F88,'12. Contratos_OS'!$A$6:$L$1000,2,FALSE),"")</f>
        <v/>
      </c>
      <c r="H88" s="95">
        <f>IFERROR(VLOOKUP(F88,'12. Contratos_OS'!$A$6:$L$1000,3,FALSE),"")</f>
        <v/>
      </c>
      <c r="I88" s="95">
        <f>IFERROR(VLOOKUP(F88,'12. Contratos_OS'!$A$6:$L$1000,4,FALSE),"")</f>
        <v/>
      </c>
      <c r="J88" s="95">
        <f>IFERROR(VLOOKUP(F88,'12. Contratos_OS'!$A$6:$L$1000,7,FALSE),"")</f>
        <v/>
      </c>
      <c r="K88" s="95">
        <f>IFERROR(VLOOKUP(J88,'11. Cadastro de Serviços'!$A$6:$E$200,2,FALSE),"")</f>
        <v/>
      </c>
      <c r="L88" s="95">
        <f>IFERROR(VLOOKUP(J88,'11. Cadastro de Serviços'!$A$6:$E$200,3,FALSE),"")</f>
        <v/>
      </c>
      <c r="M88" s="95">
        <f>IFERROR(VLOOKUP(J88,'11. Cadastro de Serviços'!$A$6:$E$200,4,FALSE),"")</f>
        <v/>
      </c>
      <c r="N88" s="95" t="n"/>
      <c r="O88" s="95">
        <f>IF(AND(G88&lt;&gt;"",I88&lt;&gt;"",J88&lt;&gt;"",M88&lt;&gt;""),"Rastreado","Revisar")</f>
        <v/>
      </c>
      <c r="P88" s="96" t="n"/>
    </row>
    <row r="89">
      <c r="A89" s="95" t="n"/>
      <c r="B89" s="96" t="n"/>
      <c r="C89" s="96" t="n"/>
      <c r="D89" s="95" t="n"/>
      <c r="E89" s="96" t="n"/>
      <c r="F89" s="96" t="n"/>
      <c r="G89" s="95">
        <f>IFERROR(VLOOKUP(F89,'12. Contratos_OS'!$A$6:$L$1000,2,FALSE),"")</f>
        <v/>
      </c>
      <c r="H89" s="95">
        <f>IFERROR(VLOOKUP(F89,'12. Contratos_OS'!$A$6:$L$1000,3,FALSE),"")</f>
        <v/>
      </c>
      <c r="I89" s="95">
        <f>IFERROR(VLOOKUP(F89,'12. Contratos_OS'!$A$6:$L$1000,4,FALSE),"")</f>
        <v/>
      </c>
      <c r="J89" s="95">
        <f>IFERROR(VLOOKUP(F89,'12. Contratos_OS'!$A$6:$L$1000,7,FALSE),"")</f>
        <v/>
      </c>
      <c r="K89" s="95">
        <f>IFERROR(VLOOKUP(J89,'11. Cadastro de Serviços'!$A$6:$E$200,2,FALSE),"")</f>
        <v/>
      </c>
      <c r="L89" s="95">
        <f>IFERROR(VLOOKUP(J89,'11. Cadastro de Serviços'!$A$6:$E$200,3,FALSE),"")</f>
        <v/>
      </c>
      <c r="M89" s="95">
        <f>IFERROR(VLOOKUP(J89,'11. Cadastro de Serviços'!$A$6:$E$200,4,FALSE),"")</f>
        <v/>
      </c>
      <c r="N89" s="95" t="n"/>
      <c r="O89" s="95">
        <f>IF(AND(G89&lt;&gt;"",I89&lt;&gt;"",J89&lt;&gt;"",M89&lt;&gt;""),"Rastreado","Revisar")</f>
        <v/>
      </c>
      <c r="P89" s="96" t="n"/>
    </row>
    <row r="90">
      <c r="A90" s="95" t="n"/>
      <c r="B90" s="96" t="n"/>
      <c r="C90" s="96" t="n"/>
      <c r="D90" s="95" t="n"/>
      <c r="E90" s="96" t="n"/>
      <c r="F90" s="96" t="n"/>
      <c r="G90" s="95">
        <f>IFERROR(VLOOKUP(F90,'12. Contratos_OS'!$A$6:$L$1000,2,FALSE),"")</f>
        <v/>
      </c>
      <c r="H90" s="95">
        <f>IFERROR(VLOOKUP(F90,'12. Contratos_OS'!$A$6:$L$1000,3,FALSE),"")</f>
        <v/>
      </c>
      <c r="I90" s="95">
        <f>IFERROR(VLOOKUP(F90,'12. Contratos_OS'!$A$6:$L$1000,4,FALSE),"")</f>
        <v/>
      </c>
      <c r="J90" s="95">
        <f>IFERROR(VLOOKUP(F90,'12. Contratos_OS'!$A$6:$L$1000,7,FALSE),"")</f>
        <v/>
      </c>
      <c r="K90" s="95">
        <f>IFERROR(VLOOKUP(J90,'11. Cadastro de Serviços'!$A$6:$E$200,2,FALSE),"")</f>
        <v/>
      </c>
      <c r="L90" s="95">
        <f>IFERROR(VLOOKUP(J90,'11. Cadastro de Serviços'!$A$6:$E$200,3,FALSE),"")</f>
        <v/>
      </c>
      <c r="M90" s="95">
        <f>IFERROR(VLOOKUP(J90,'11. Cadastro de Serviços'!$A$6:$E$200,4,FALSE),"")</f>
        <v/>
      </c>
      <c r="N90" s="95" t="n"/>
      <c r="O90" s="95">
        <f>IF(AND(G90&lt;&gt;"",I90&lt;&gt;"",J90&lt;&gt;"",M90&lt;&gt;""),"Rastreado","Revisar")</f>
        <v/>
      </c>
      <c r="P90" s="96" t="n"/>
    </row>
    <row r="91">
      <c r="A91" s="95" t="n"/>
      <c r="B91" s="96" t="n"/>
      <c r="C91" s="96" t="n"/>
      <c r="D91" s="95" t="n"/>
      <c r="E91" s="96" t="n"/>
      <c r="F91" s="96" t="n"/>
      <c r="G91" s="95">
        <f>IFERROR(VLOOKUP(F91,'12. Contratos_OS'!$A$6:$L$1000,2,FALSE),"")</f>
        <v/>
      </c>
      <c r="H91" s="95">
        <f>IFERROR(VLOOKUP(F91,'12. Contratos_OS'!$A$6:$L$1000,3,FALSE),"")</f>
        <v/>
      </c>
      <c r="I91" s="95">
        <f>IFERROR(VLOOKUP(F91,'12. Contratos_OS'!$A$6:$L$1000,4,FALSE),"")</f>
        <v/>
      </c>
      <c r="J91" s="95">
        <f>IFERROR(VLOOKUP(F91,'12. Contratos_OS'!$A$6:$L$1000,7,FALSE),"")</f>
        <v/>
      </c>
      <c r="K91" s="95">
        <f>IFERROR(VLOOKUP(J91,'11. Cadastro de Serviços'!$A$6:$E$200,2,FALSE),"")</f>
        <v/>
      </c>
      <c r="L91" s="95">
        <f>IFERROR(VLOOKUP(J91,'11. Cadastro de Serviços'!$A$6:$E$200,3,FALSE),"")</f>
        <v/>
      </c>
      <c r="M91" s="95">
        <f>IFERROR(VLOOKUP(J91,'11. Cadastro de Serviços'!$A$6:$E$200,4,FALSE),"")</f>
        <v/>
      </c>
      <c r="N91" s="95" t="n"/>
      <c r="O91" s="95">
        <f>IF(AND(G91&lt;&gt;"",I91&lt;&gt;"",J91&lt;&gt;"",M91&lt;&gt;""),"Rastreado","Revisar")</f>
        <v/>
      </c>
      <c r="P91" s="96" t="n"/>
    </row>
    <row r="92">
      <c r="A92" s="95" t="n"/>
      <c r="B92" s="96" t="n"/>
      <c r="C92" s="96" t="n"/>
      <c r="D92" s="95" t="n"/>
      <c r="E92" s="96" t="n"/>
      <c r="F92" s="96" t="n"/>
      <c r="G92" s="95">
        <f>IFERROR(VLOOKUP(F92,'12. Contratos_OS'!$A$6:$L$1000,2,FALSE),"")</f>
        <v/>
      </c>
      <c r="H92" s="95">
        <f>IFERROR(VLOOKUP(F92,'12. Contratos_OS'!$A$6:$L$1000,3,FALSE),"")</f>
        <v/>
      </c>
      <c r="I92" s="95">
        <f>IFERROR(VLOOKUP(F92,'12. Contratos_OS'!$A$6:$L$1000,4,FALSE),"")</f>
        <v/>
      </c>
      <c r="J92" s="95">
        <f>IFERROR(VLOOKUP(F92,'12. Contratos_OS'!$A$6:$L$1000,7,FALSE),"")</f>
        <v/>
      </c>
      <c r="K92" s="95">
        <f>IFERROR(VLOOKUP(J92,'11. Cadastro de Serviços'!$A$6:$E$200,2,FALSE),"")</f>
        <v/>
      </c>
      <c r="L92" s="95">
        <f>IFERROR(VLOOKUP(J92,'11. Cadastro de Serviços'!$A$6:$E$200,3,FALSE),"")</f>
        <v/>
      </c>
      <c r="M92" s="95">
        <f>IFERROR(VLOOKUP(J92,'11. Cadastro de Serviços'!$A$6:$E$200,4,FALSE),"")</f>
        <v/>
      </c>
      <c r="N92" s="95" t="n"/>
      <c r="O92" s="95">
        <f>IF(AND(G92&lt;&gt;"",I92&lt;&gt;"",J92&lt;&gt;"",M92&lt;&gt;""),"Rastreado","Revisar")</f>
        <v/>
      </c>
      <c r="P92" s="96" t="n"/>
    </row>
    <row r="93">
      <c r="A93" s="95" t="n"/>
      <c r="B93" s="96" t="n"/>
      <c r="C93" s="96" t="n"/>
      <c r="D93" s="95" t="n"/>
      <c r="E93" s="96" t="n"/>
      <c r="F93" s="96" t="n"/>
      <c r="G93" s="95">
        <f>IFERROR(VLOOKUP(F93,'12. Contratos_OS'!$A$6:$L$1000,2,FALSE),"")</f>
        <v/>
      </c>
      <c r="H93" s="95">
        <f>IFERROR(VLOOKUP(F93,'12. Contratos_OS'!$A$6:$L$1000,3,FALSE),"")</f>
        <v/>
      </c>
      <c r="I93" s="95">
        <f>IFERROR(VLOOKUP(F93,'12. Contratos_OS'!$A$6:$L$1000,4,FALSE),"")</f>
        <v/>
      </c>
      <c r="J93" s="95">
        <f>IFERROR(VLOOKUP(F93,'12. Contratos_OS'!$A$6:$L$1000,7,FALSE),"")</f>
        <v/>
      </c>
      <c r="K93" s="95">
        <f>IFERROR(VLOOKUP(J93,'11. Cadastro de Serviços'!$A$6:$E$200,2,FALSE),"")</f>
        <v/>
      </c>
      <c r="L93" s="95">
        <f>IFERROR(VLOOKUP(J93,'11. Cadastro de Serviços'!$A$6:$E$200,3,FALSE),"")</f>
        <v/>
      </c>
      <c r="M93" s="95">
        <f>IFERROR(VLOOKUP(J93,'11. Cadastro de Serviços'!$A$6:$E$200,4,FALSE),"")</f>
        <v/>
      </c>
      <c r="N93" s="95" t="n"/>
      <c r="O93" s="95">
        <f>IF(AND(G93&lt;&gt;"",I93&lt;&gt;"",J93&lt;&gt;"",M93&lt;&gt;""),"Rastreado","Revisar")</f>
        <v/>
      </c>
      <c r="P93" s="96" t="n"/>
    </row>
    <row r="94">
      <c r="A94" s="95" t="n"/>
      <c r="B94" s="96" t="n"/>
      <c r="C94" s="96" t="n"/>
      <c r="D94" s="95" t="n"/>
      <c r="E94" s="96" t="n"/>
      <c r="F94" s="96" t="n"/>
      <c r="G94" s="95">
        <f>IFERROR(VLOOKUP(F94,'12. Contratos_OS'!$A$6:$L$1000,2,FALSE),"")</f>
        <v/>
      </c>
      <c r="H94" s="95">
        <f>IFERROR(VLOOKUP(F94,'12. Contratos_OS'!$A$6:$L$1000,3,FALSE),"")</f>
        <v/>
      </c>
      <c r="I94" s="95">
        <f>IFERROR(VLOOKUP(F94,'12. Contratos_OS'!$A$6:$L$1000,4,FALSE),"")</f>
        <v/>
      </c>
      <c r="J94" s="95">
        <f>IFERROR(VLOOKUP(F94,'12. Contratos_OS'!$A$6:$L$1000,7,FALSE),"")</f>
        <v/>
      </c>
      <c r="K94" s="95">
        <f>IFERROR(VLOOKUP(J94,'11. Cadastro de Serviços'!$A$6:$E$200,2,FALSE),"")</f>
        <v/>
      </c>
      <c r="L94" s="95">
        <f>IFERROR(VLOOKUP(J94,'11. Cadastro de Serviços'!$A$6:$E$200,3,FALSE),"")</f>
        <v/>
      </c>
      <c r="M94" s="95">
        <f>IFERROR(VLOOKUP(J94,'11. Cadastro de Serviços'!$A$6:$E$200,4,FALSE),"")</f>
        <v/>
      </c>
      <c r="N94" s="95" t="n"/>
      <c r="O94" s="95">
        <f>IF(AND(G94&lt;&gt;"",I94&lt;&gt;"",J94&lt;&gt;"",M94&lt;&gt;""),"Rastreado","Revisar")</f>
        <v/>
      </c>
      <c r="P94" s="96" t="n"/>
    </row>
    <row r="95">
      <c r="A95" s="95" t="n"/>
      <c r="B95" s="96" t="n"/>
      <c r="C95" s="96" t="n"/>
      <c r="D95" s="95" t="n"/>
      <c r="E95" s="96" t="n"/>
      <c r="F95" s="96" t="n"/>
      <c r="G95" s="95">
        <f>IFERROR(VLOOKUP(F95,'12. Contratos_OS'!$A$6:$L$1000,2,FALSE),"")</f>
        <v/>
      </c>
      <c r="H95" s="95">
        <f>IFERROR(VLOOKUP(F95,'12. Contratos_OS'!$A$6:$L$1000,3,FALSE),"")</f>
        <v/>
      </c>
      <c r="I95" s="95">
        <f>IFERROR(VLOOKUP(F95,'12. Contratos_OS'!$A$6:$L$1000,4,FALSE),"")</f>
        <v/>
      </c>
      <c r="J95" s="95">
        <f>IFERROR(VLOOKUP(F95,'12. Contratos_OS'!$A$6:$L$1000,7,FALSE),"")</f>
        <v/>
      </c>
      <c r="K95" s="95">
        <f>IFERROR(VLOOKUP(J95,'11. Cadastro de Serviços'!$A$6:$E$200,2,FALSE),"")</f>
        <v/>
      </c>
      <c r="L95" s="95">
        <f>IFERROR(VLOOKUP(J95,'11. Cadastro de Serviços'!$A$6:$E$200,3,FALSE),"")</f>
        <v/>
      </c>
      <c r="M95" s="95">
        <f>IFERROR(VLOOKUP(J95,'11. Cadastro de Serviços'!$A$6:$E$200,4,FALSE),"")</f>
        <v/>
      </c>
      <c r="N95" s="95" t="n"/>
      <c r="O95" s="95">
        <f>IF(AND(G95&lt;&gt;"",I95&lt;&gt;"",J95&lt;&gt;"",M95&lt;&gt;""),"Rastreado","Revisar")</f>
        <v/>
      </c>
      <c r="P95" s="96" t="n"/>
    </row>
    <row r="96">
      <c r="A96" s="95" t="n"/>
      <c r="B96" s="96" t="n"/>
      <c r="C96" s="96" t="n"/>
      <c r="D96" s="95" t="n"/>
      <c r="E96" s="96" t="n"/>
      <c r="F96" s="96" t="n"/>
      <c r="G96" s="95">
        <f>IFERROR(VLOOKUP(F96,'12. Contratos_OS'!$A$6:$L$1000,2,FALSE),"")</f>
        <v/>
      </c>
      <c r="H96" s="95">
        <f>IFERROR(VLOOKUP(F96,'12. Contratos_OS'!$A$6:$L$1000,3,FALSE),"")</f>
        <v/>
      </c>
      <c r="I96" s="95">
        <f>IFERROR(VLOOKUP(F96,'12. Contratos_OS'!$A$6:$L$1000,4,FALSE),"")</f>
        <v/>
      </c>
      <c r="J96" s="95">
        <f>IFERROR(VLOOKUP(F96,'12. Contratos_OS'!$A$6:$L$1000,7,FALSE),"")</f>
        <v/>
      </c>
      <c r="K96" s="95">
        <f>IFERROR(VLOOKUP(J96,'11. Cadastro de Serviços'!$A$6:$E$200,2,FALSE),"")</f>
        <v/>
      </c>
      <c r="L96" s="95">
        <f>IFERROR(VLOOKUP(J96,'11. Cadastro de Serviços'!$A$6:$E$200,3,FALSE),"")</f>
        <v/>
      </c>
      <c r="M96" s="95">
        <f>IFERROR(VLOOKUP(J96,'11. Cadastro de Serviços'!$A$6:$E$200,4,FALSE),"")</f>
        <v/>
      </c>
      <c r="N96" s="95" t="n"/>
      <c r="O96" s="95">
        <f>IF(AND(G96&lt;&gt;"",I96&lt;&gt;"",J96&lt;&gt;"",M96&lt;&gt;""),"Rastreado","Revisar")</f>
        <v/>
      </c>
      <c r="P96" s="96" t="n"/>
    </row>
    <row r="97">
      <c r="A97" s="95" t="n"/>
      <c r="B97" s="96" t="n"/>
      <c r="C97" s="96" t="n"/>
      <c r="D97" s="95" t="n"/>
      <c r="E97" s="96" t="n"/>
      <c r="F97" s="96" t="n"/>
      <c r="G97" s="95">
        <f>IFERROR(VLOOKUP(F97,'12. Contratos_OS'!$A$6:$L$1000,2,FALSE),"")</f>
        <v/>
      </c>
      <c r="H97" s="95">
        <f>IFERROR(VLOOKUP(F97,'12. Contratos_OS'!$A$6:$L$1000,3,FALSE),"")</f>
        <v/>
      </c>
      <c r="I97" s="95">
        <f>IFERROR(VLOOKUP(F97,'12. Contratos_OS'!$A$6:$L$1000,4,FALSE),"")</f>
        <v/>
      </c>
      <c r="J97" s="95">
        <f>IFERROR(VLOOKUP(F97,'12. Contratos_OS'!$A$6:$L$1000,7,FALSE),"")</f>
        <v/>
      </c>
      <c r="K97" s="95">
        <f>IFERROR(VLOOKUP(J97,'11. Cadastro de Serviços'!$A$6:$E$200,2,FALSE),"")</f>
        <v/>
      </c>
      <c r="L97" s="95">
        <f>IFERROR(VLOOKUP(J97,'11. Cadastro de Serviços'!$A$6:$E$200,3,FALSE),"")</f>
        <v/>
      </c>
      <c r="M97" s="95">
        <f>IFERROR(VLOOKUP(J97,'11. Cadastro de Serviços'!$A$6:$E$200,4,FALSE),"")</f>
        <v/>
      </c>
      <c r="N97" s="95" t="n"/>
      <c r="O97" s="95">
        <f>IF(AND(G97&lt;&gt;"",I97&lt;&gt;"",J97&lt;&gt;"",M97&lt;&gt;""),"Rastreado","Revisar")</f>
        <v/>
      </c>
      <c r="P97" s="96" t="n"/>
    </row>
    <row r="98">
      <c r="A98" s="95" t="n"/>
      <c r="B98" s="96" t="n"/>
      <c r="C98" s="96" t="n"/>
      <c r="D98" s="95" t="n"/>
      <c r="E98" s="96" t="n"/>
      <c r="F98" s="96" t="n"/>
      <c r="G98" s="95">
        <f>IFERROR(VLOOKUP(F98,'12. Contratos_OS'!$A$6:$L$1000,2,FALSE),"")</f>
        <v/>
      </c>
      <c r="H98" s="95">
        <f>IFERROR(VLOOKUP(F98,'12. Contratos_OS'!$A$6:$L$1000,3,FALSE),"")</f>
        <v/>
      </c>
      <c r="I98" s="95">
        <f>IFERROR(VLOOKUP(F98,'12. Contratos_OS'!$A$6:$L$1000,4,FALSE),"")</f>
        <v/>
      </c>
      <c r="J98" s="95">
        <f>IFERROR(VLOOKUP(F98,'12. Contratos_OS'!$A$6:$L$1000,7,FALSE),"")</f>
        <v/>
      </c>
      <c r="K98" s="95">
        <f>IFERROR(VLOOKUP(J98,'11. Cadastro de Serviços'!$A$6:$E$200,2,FALSE),"")</f>
        <v/>
      </c>
      <c r="L98" s="95">
        <f>IFERROR(VLOOKUP(J98,'11. Cadastro de Serviços'!$A$6:$E$200,3,FALSE),"")</f>
        <v/>
      </c>
      <c r="M98" s="95">
        <f>IFERROR(VLOOKUP(J98,'11. Cadastro de Serviços'!$A$6:$E$200,4,FALSE),"")</f>
        <v/>
      </c>
      <c r="N98" s="95" t="n"/>
      <c r="O98" s="95">
        <f>IF(AND(G98&lt;&gt;"",I98&lt;&gt;"",J98&lt;&gt;"",M98&lt;&gt;""),"Rastreado","Revisar")</f>
        <v/>
      </c>
      <c r="P98" s="96" t="n"/>
    </row>
    <row r="99">
      <c r="A99" s="95" t="n"/>
      <c r="B99" s="96" t="n"/>
      <c r="C99" s="96" t="n"/>
      <c r="D99" s="95" t="n"/>
      <c r="E99" s="96" t="n"/>
      <c r="F99" s="96" t="n"/>
      <c r="G99" s="95">
        <f>IFERROR(VLOOKUP(F99,'12. Contratos_OS'!$A$6:$L$1000,2,FALSE),"")</f>
        <v/>
      </c>
      <c r="H99" s="95">
        <f>IFERROR(VLOOKUP(F99,'12. Contratos_OS'!$A$6:$L$1000,3,FALSE),"")</f>
        <v/>
      </c>
      <c r="I99" s="95">
        <f>IFERROR(VLOOKUP(F99,'12. Contratos_OS'!$A$6:$L$1000,4,FALSE),"")</f>
        <v/>
      </c>
      <c r="J99" s="95">
        <f>IFERROR(VLOOKUP(F99,'12. Contratos_OS'!$A$6:$L$1000,7,FALSE),"")</f>
        <v/>
      </c>
      <c r="K99" s="95">
        <f>IFERROR(VLOOKUP(J99,'11. Cadastro de Serviços'!$A$6:$E$200,2,FALSE),"")</f>
        <v/>
      </c>
      <c r="L99" s="95">
        <f>IFERROR(VLOOKUP(J99,'11. Cadastro de Serviços'!$A$6:$E$200,3,FALSE),"")</f>
        <v/>
      </c>
      <c r="M99" s="95">
        <f>IFERROR(VLOOKUP(J99,'11. Cadastro de Serviços'!$A$6:$E$200,4,FALSE),"")</f>
        <v/>
      </c>
      <c r="N99" s="95" t="n"/>
      <c r="O99" s="95">
        <f>IF(AND(G99&lt;&gt;"",I99&lt;&gt;"",J99&lt;&gt;"",M99&lt;&gt;""),"Rastreado","Revisar")</f>
        <v/>
      </c>
      <c r="P99" s="96" t="n"/>
    </row>
    <row r="100">
      <c r="A100" s="95" t="n"/>
      <c r="B100" s="96" t="n"/>
      <c r="C100" s="96" t="n"/>
      <c r="D100" s="95" t="n"/>
      <c r="E100" s="96" t="n"/>
      <c r="F100" s="96" t="n"/>
      <c r="G100" s="95">
        <f>IFERROR(VLOOKUP(F100,'12. Contratos_OS'!$A$6:$L$1000,2,FALSE),"")</f>
        <v/>
      </c>
      <c r="H100" s="95">
        <f>IFERROR(VLOOKUP(F100,'12. Contratos_OS'!$A$6:$L$1000,3,FALSE),"")</f>
        <v/>
      </c>
      <c r="I100" s="95">
        <f>IFERROR(VLOOKUP(F100,'12. Contratos_OS'!$A$6:$L$1000,4,FALSE),"")</f>
        <v/>
      </c>
      <c r="J100" s="95">
        <f>IFERROR(VLOOKUP(F100,'12. Contratos_OS'!$A$6:$L$1000,7,FALSE),"")</f>
        <v/>
      </c>
      <c r="K100" s="95">
        <f>IFERROR(VLOOKUP(J100,'11. Cadastro de Serviços'!$A$6:$E$200,2,FALSE),"")</f>
        <v/>
      </c>
      <c r="L100" s="95">
        <f>IFERROR(VLOOKUP(J100,'11. Cadastro de Serviços'!$A$6:$E$200,3,FALSE),"")</f>
        <v/>
      </c>
      <c r="M100" s="95">
        <f>IFERROR(VLOOKUP(J100,'11. Cadastro de Serviços'!$A$6:$E$200,4,FALSE),"")</f>
        <v/>
      </c>
      <c r="N100" s="95" t="n"/>
      <c r="O100" s="95">
        <f>IF(AND(G100&lt;&gt;"",I100&lt;&gt;"",J100&lt;&gt;"",M100&lt;&gt;""),"Rastreado","Revisar")</f>
        <v/>
      </c>
      <c r="P100" s="96" t="n"/>
    </row>
    <row r="101">
      <c r="A101" s="95" t="n"/>
      <c r="B101" s="96" t="n"/>
      <c r="C101" s="96" t="n"/>
      <c r="D101" s="95" t="n"/>
      <c r="E101" s="96" t="n"/>
      <c r="F101" s="96" t="n"/>
      <c r="G101" s="95">
        <f>IFERROR(VLOOKUP(F101,'12. Contratos_OS'!$A$6:$L$1000,2,FALSE),"")</f>
        <v/>
      </c>
      <c r="H101" s="95">
        <f>IFERROR(VLOOKUP(F101,'12. Contratos_OS'!$A$6:$L$1000,3,FALSE),"")</f>
        <v/>
      </c>
      <c r="I101" s="95">
        <f>IFERROR(VLOOKUP(F101,'12. Contratos_OS'!$A$6:$L$1000,4,FALSE),"")</f>
        <v/>
      </c>
      <c r="J101" s="95">
        <f>IFERROR(VLOOKUP(F101,'12. Contratos_OS'!$A$6:$L$1000,7,FALSE),"")</f>
        <v/>
      </c>
      <c r="K101" s="95">
        <f>IFERROR(VLOOKUP(J101,'11. Cadastro de Serviços'!$A$6:$E$200,2,FALSE),"")</f>
        <v/>
      </c>
      <c r="L101" s="95">
        <f>IFERROR(VLOOKUP(J101,'11. Cadastro de Serviços'!$A$6:$E$200,3,FALSE),"")</f>
        <v/>
      </c>
      <c r="M101" s="95">
        <f>IFERROR(VLOOKUP(J101,'11. Cadastro de Serviços'!$A$6:$E$200,4,FALSE),"")</f>
        <v/>
      </c>
      <c r="N101" s="95" t="n"/>
      <c r="O101" s="95">
        <f>IF(AND(G101&lt;&gt;"",I101&lt;&gt;"",J101&lt;&gt;"",M101&lt;&gt;""),"Rastreado","Revisar")</f>
        <v/>
      </c>
      <c r="P101" s="96" t="n"/>
    </row>
    <row r="102">
      <c r="A102" s="95" t="n"/>
      <c r="B102" s="96" t="n"/>
      <c r="C102" s="96" t="n"/>
      <c r="D102" s="95" t="n"/>
      <c r="E102" s="96" t="n"/>
      <c r="F102" s="96" t="n"/>
      <c r="G102" s="95">
        <f>IFERROR(VLOOKUP(F102,'12. Contratos_OS'!$A$6:$L$1000,2,FALSE),"")</f>
        <v/>
      </c>
      <c r="H102" s="95">
        <f>IFERROR(VLOOKUP(F102,'12. Contratos_OS'!$A$6:$L$1000,3,FALSE),"")</f>
        <v/>
      </c>
      <c r="I102" s="95">
        <f>IFERROR(VLOOKUP(F102,'12. Contratos_OS'!$A$6:$L$1000,4,FALSE),"")</f>
        <v/>
      </c>
      <c r="J102" s="95">
        <f>IFERROR(VLOOKUP(F102,'12. Contratos_OS'!$A$6:$L$1000,7,FALSE),"")</f>
        <v/>
      </c>
      <c r="K102" s="95">
        <f>IFERROR(VLOOKUP(J102,'11. Cadastro de Serviços'!$A$6:$E$200,2,FALSE),"")</f>
        <v/>
      </c>
      <c r="L102" s="95">
        <f>IFERROR(VLOOKUP(J102,'11. Cadastro de Serviços'!$A$6:$E$200,3,FALSE),"")</f>
        <v/>
      </c>
      <c r="M102" s="95">
        <f>IFERROR(VLOOKUP(J102,'11. Cadastro de Serviços'!$A$6:$E$200,4,FALSE),"")</f>
        <v/>
      </c>
      <c r="N102" s="95" t="n"/>
      <c r="O102" s="95">
        <f>IF(AND(G102&lt;&gt;"",I102&lt;&gt;"",J102&lt;&gt;"",M102&lt;&gt;""),"Rastreado","Revisar")</f>
        <v/>
      </c>
      <c r="P102" s="96" t="n"/>
    </row>
    <row r="103">
      <c r="A103" s="95" t="n"/>
      <c r="B103" s="96" t="n"/>
      <c r="C103" s="96" t="n"/>
      <c r="D103" s="95" t="n"/>
      <c r="E103" s="96" t="n"/>
      <c r="F103" s="96" t="n"/>
      <c r="G103" s="95">
        <f>IFERROR(VLOOKUP(F103,'12. Contratos_OS'!$A$6:$L$1000,2,FALSE),"")</f>
        <v/>
      </c>
      <c r="H103" s="95">
        <f>IFERROR(VLOOKUP(F103,'12. Contratos_OS'!$A$6:$L$1000,3,FALSE),"")</f>
        <v/>
      </c>
      <c r="I103" s="95">
        <f>IFERROR(VLOOKUP(F103,'12. Contratos_OS'!$A$6:$L$1000,4,FALSE),"")</f>
        <v/>
      </c>
      <c r="J103" s="95">
        <f>IFERROR(VLOOKUP(F103,'12. Contratos_OS'!$A$6:$L$1000,7,FALSE),"")</f>
        <v/>
      </c>
      <c r="K103" s="95">
        <f>IFERROR(VLOOKUP(J103,'11. Cadastro de Serviços'!$A$6:$E$200,2,FALSE),"")</f>
        <v/>
      </c>
      <c r="L103" s="95">
        <f>IFERROR(VLOOKUP(J103,'11. Cadastro de Serviços'!$A$6:$E$200,3,FALSE),"")</f>
        <v/>
      </c>
      <c r="M103" s="95">
        <f>IFERROR(VLOOKUP(J103,'11. Cadastro de Serviços'!$A$6:$E$200,4,FALSE),"")</f>
        <v/>
      </c>
      <c r="N103" s="95" t="n"/>
      <c r="O103" s="95">
        <f>IF(AND(G103&lt;&gt;"",I103&lt;&gt;"",J103&lt;&gt;"",M103&lt;&gt;""),"Rastreado","Revisar")</f>
        <v/>
      </c>
      <c r="P103" s="96" t="n"/>
    </row>
    <row r="104">
      <c r="A104" s="95" t="n"/>
      <c r="B104" s="96" t="n"/>
      <c r="C104" s="96" t="n"/>
      <c r="D104" s="95" t="n"/>
      <c r="E104" s="96" t="n"/>
      <c r="F104" s="96" t="n"/>
      <c r="G104" s="95">
        <f>IFERROR(VLOOKUP(F104,'12. Contratos_OS'!$A$6:$L$1000,2,FALSE),"")</f>
        <v/>
      </c>
      <c r="H104" s="95">
        <f>IFERROR(VLOOKUP(F104,'12. Contratos_OS'!$A$6:$L$1000,3,FALSE),"")</f>
        <v/>
      </c>
      <c r="I104" s="95">
        <f>IFERROR(VLOOKUP(F104,'12. Contratos_OS'!$A$6:$L$1000,4,FALSE),"")</f>
        <v/>
      </c>
      <c r="J104" s="95">
        <f>IFERROR(VLOOKUP(F104,'12. Contratos_OS'!$A$6:$L$1000,7,FALSE),"")</f>
        <v/>
      </c>
      <c r="K104" s="95">
        <f>IFERROR(VLOOKUP(J104,'11. Cadastro de Serviços'!$A$6:$E$200,2,FALSE),"")</f>
        <v/>
      </c>
      <c r="L104" s="95">
        <f>IFERROR(VLOOKUP(J104,'11. Cadastro de Serviços'!$A$6:$E$200,3,FALSE),"")</f>
        <v/>
      </c>
      <c r="M104" s="95">
        <f>IFERROR(VLOOKUP(J104,'11. Cadastro de Serviços'!$A$6:$E$200,4,FALSE),"")</f>
        <v/>
      </c>
      <c r="N104" s="95" t="n"/>
      <c r="O104" s="95">
        <f>IF(AND(G104&lt;&gt;"",I104&lt;&gt;"",J104&lt;&gt;"",M104&lt;&gt;""),"Rastreado","Revisar")</f>
        <v/>
      </c>
      <c r="P104" s="96" t="n"/>
    </row>
    <row r="105">
      <c r="A105" s="95" t="n"/>
      <c r="B105" s="96" t="n"/>
      <c r="C105" s="96" t="n"/>
      <c r="D105" s="95" t="n"/>
      <c r="E105" s="96" t="n"/>
      <c r="F105" s="96" t="n"/>
      <c r="G105" s="95">
        <f>IFERROR(VLOOKUP(F105,'12. Contratos_OS'!$A$6:$L$1000,2,FALSE),"")</f>
        <v/>
      </c>
      <c r="H105" s="95">
        <f>IFERROR(VLOOKUP(F105,'12. Contratos_OS'!$A$6:$L$1000,3,FALSE),"")</f>
        <v/>
      </c>
      <c r="I105" s="95">
        <f>IFERROR(VLOOKUP(F105,'12. Contratos_OS'!$A$6:$L$1000,4,FALSE),"")</f>
        <v/>
      </c>
      <c r="J105" s="95">
        <f>IFERROR(VLOOKUP(F105,'12. Contratos_OS'!$A$6:$L$1000,7,FALSE),"")</f>
        <v/>
      </c>
      <c r="K105" s="95">
        <f>IFERROR(VLOOKUP(J105,'11. Cadastro de Serviços'!$A$6:$E$200,2,FALSE),"")</f>
        <v/>
      </c>
      <c r="L105" s="95">
        <f>IFERROR(VLOOKUP(J105,'11. Cadastro de Serviços'!$A$6:$E$200,3,FALSE),"")</f>
        <v/>
      </c>
      <c r="M105" s="95">
        <f>IFERROR(VLOOKUP(J105,'11. Cadastro de Serviços'!$A$6:$E$200,4,FALSE),"")</f>
        <v/>
      </c>
      <c r="N105" s="95" t="n"/>
      <c r="O105" s="95">
        <f>IF(AND(G105&lt;&gt;"",I105&lt;&gt;"",J105&lt;&gt;"",M105&lt;&gt;""),"Rastreado","Revisar")</f>
        <v/>
      </c>
      <c r="P105" s="96" t="n"/>
    </row>
    <row r="106">
      <c r="A106" s="95" t="n"/>
      <c r="B106" s="96" t="n"/>
      <c r="C106" s="96" t="n"/>
      <c r="D106" s="95" t="n"/>
      <c r="E106" s="96" t="n"/>
      <c r="F106" s="96" t="n"/>
      <c r="G106" s="95">
        <f>IFERROR(VLOOKUP(F106,'12. Contratos_OS'!$A$6:$L$1000,2,FALSE),"")</f>
        <v/>
      </c>
      <c r="H106" s="95">
        <f>IFERROR(VLOOKUP(F106,'12. Contratos_OS'!$A$6:$L$1000,3,FALSE),"")</f>
        <v/>
      </c>
      <c r="I106" s="95">
        <f>IFERROR(VLOOKUP(F106,'12. Contratos_OS'!$A$6:$L$1000,4,FALSE),"")</f>
        <v/>
      </c>
      <c r="J106" s="95">
        <f>IFERROR(VLOOKUP(F106,'12. Contratos_OS'!$A$6:$L$1000,7,FALSE),"")</f>
        <v/>
      </c>
      <c r="K106" s="95">
        <f>IFERROR(VLOOKUP(J106,'11. Cadastro de Serviços'!$A$6:$E$200,2,FALSE),"")</f>
        <v/>
      </c>
      <c r="L106" s="95">
        <f>IFERROR(VLOOKUP(J106,'11. Cadastro de Serviços'!$A$6:$E$200,3,FALSE),"")</f>
        <v/>
      </c>
      <c r="M106" s="95">
        <f>IFERROR(VLOOKUP(J106,'11. Cadastro de Serviços'!$A$6:$E$200,4,FALSE),"")</f>
        <v/>
      </c>
      <c r="N106" s="95" t="n"/>
      <c r="O106" s="95">
        <f>IF(AND(G106&lt;&gt;"",I106&lt;&gt;"",J106&lt;&gt;"",M106&lt;&gt;""),"Rastreado","Revisar")</f>
        <v/>
      </c>
      <c r="P106" s="96" t="n"/>
    </row>
    <row r="107">
      <c r="A107" s="95" t="n"/>
      <c r="B107" s="96" t="n"/>
      <c r="C107" s="96" t="n"/>
      <c r="D107" s="95" t="n"/>
      <c r="E107" s="96" t="n"/>
      <c r="F107" s="96" t="n"/>
      <c r="G107" s="95">
        <f>IFERROR(VLOOKUP(F107,'12. Contratos_OS'!$A$6:$L$1000,2,FALSE),"")</f>
        <v/>
      </c>
      <c r="H107" s="95">
        <f>IFERROR(VLOOKUP(F107,'12. Contratos_OS'!$A$6:$L$1000,3,FALSE),"")</f>
        <v/>
      </c>
      <c r="I107" s="95">
        <f>IFERROR(VLOOKUP(F107,'12. Contratos_OS'!$A$6:$L$1000,4,FALSE),"")</f>
        <v/>
      </c>
      <c r="J107" s="95">
        <f>IFERROR(VLOOKUP(F107,'12. Contratos_OS'!$A$6:$L$1000,7,FALSE),"")</f>
        <v/>
      </c>
      <c r="K107" s="95">
        <f>IFERROR(VLOOKUP(J107,'11. Cadastro de Serviços'!$A$6:$E$200,2,FALSE),"")</f>
        <v/>
      </c>
      <c r="L107" s="95">
        <f>IFERROR(VLOOKUP(J107,'11. Cadastro de Serviços'!$A$6:$E$200,3,FALSE),"")</f>
        <v/>
      </c>
      <c r="M107" s="95">
        <f>IFERROR(VLOOKUP(J107,'11. Cadastro de Serviços'!$A$6:$E$200,4,FALSE),"")</f>
        <v/>
      </c>
      <c r="N107" s="95" t="n"/>
      <c r="O107" s="95">
        <f>IF(AND(G107&lt;&gt;"",I107&lt;&gt;"",J107&lt;&gt;"",M107&lt;&gt;""),"Rastreado","Revisar")</f>
        <v/>
      </c>
      <c r="P107" s="96" t="n"/>
    </row>
    <row r="108">
      <c r="A108" s="95" t="n"/>
      <c r="B108" s="96" t="n"/>
      <c r="C108" s="96" t="n"/>
      <c r="D108" s="95" t="n"/>
      <c r="E108" s="96" t="n"/>
      <c r="F108" s="96" t="n"/>
      <c r="G108" s="95">
        <f>IFERROR(VLOOKUP(F108,'12. Contratos_OS'!$A$6:$L$1000,2,FALSE),"")</f>
        <v/>
      </c>
      <c r="H108" s="95">
        <f>IFERROR(VLOOKUP(F108,'12. Contratos_OS'!$A$6:$L$1000,3,FALSE),"")</f>
        <v/>
      </c>
      <c r="I108" s="95">
        <f>IFERROR(VLOOKUP(F108,'12. Contratos_OS'!$A$6:$L$1000,4,FALSE),"")</f>
        <v/>
      </c>
      <c r="J108" s="95">
        <f>IFERROR(VLOOKUP(F108,'12. Contratos_OS'!$A$6:$L$1000,7,FALSE),"")</f>
        <v/>
      </c>
      <c r="K108" s="95">
        <f>IFERROR(VLOOKUP(J108,'11. Cadastro de Serviços'!$A$6:$E$200,2,FALSE),"")</f>
        <v/>
      </c>
      <c r="L108" s="95">
        <f>IFERROR(VLOOKUP(J108,'11. Cadastro de Serviços'!$A$6:$E$200,3,FALSE),"")</f>
        <v/>
      </c>
      <c r="M108" s="95">
        <f>IFERROR(VLOOKUP(J108,'11. Cadastro de Serviços'!$A$6:$E$200,4,FALSE),"")</f>
        <v/>
      </c>
      <c r="N108" s="95" t="n"/>
      <c r="O108" s="95">
        <f>IF(AND(G108&lt;&gt;"",I108&lt;&gt;"",J108&lt;&gt;"",M108&lt;&gt;""),"Rastreado","Revisar")</f>
        <v/>
      </c>
      <c r="P108" s="96" t="n"/>
    </row>
    <row r="109">
      <c r="A109" s="95" t="n"/>
      <c r="B109" s="96" t="n"/>
      <c r="C109" s="96" t="n"/>
      <c r="D109" s="95" t="n"/>
      <c r="E109" s="96" t="n"/>
      <c r="F109" s="96" t="n"/>
      <c r="G109" s="95">
        <f>IFERROR(VLOOKUP(F109,'12. Contratos_OS'!$A$6:$L$1000,2,FALSE),"")</f>
        <v/>
      </c>
      <c r="H109" s="95">
        <f>IFERROR(VLOOKUP(F109,'12. Contratos_OS'!$A$6:$L$1000,3,FALSE),"")</f>
        <v/>
      </c>
      <c r="I109" s="95">
        <f>IFERROR(VLOOKUP(F109,'12. Contratos_OS'!$A$6:$L$1000,4,FALSE),"")</f>
        <v/>
      </c>
      <c r="J109" s="95">
        <f>IFERROR(VLOOKUP(F109,'12. Contratos_OS'!$A$6:$L$1000,7,FALSE),"")</f>
        <v/>
      </c>
      <c r="K109" s="95">
        <f>IFERROR(VLOOKUP(J109,'11. Cadastro de Serviços'!$A$6:$E$200,2,FALSE),"")</f>
        <v/>
      </c>
      <c r="L109" s="95">
        <f>IFERROR(VLOOKUP(J109,'11. Cadastro de Serviços'!$A$6:$E$200,3,FALSE),"")</f>
        <v/>
      </c>
      <c r="M109" s="95">
        <f>IFERROR(VLOOKUP(J109,'11. Cadastro de Serviços'!$A$6:$E$200,4,FALSE),"")</f>
        <v/>
      </c>
      <c r="N109" s="95" t="n"/>
      <c r="O109" s="95">
        <f>IF(AND(G109&lt;&gt;"",I109&lt;&gt;"",J109&lt;&gt;"",M109&lt;&gt;""),"Rastreado","Revisar")</f>
        <v/>
      </c>
      <c r="P109" s="96" t="n"/>
    </row>
    <row r="110">
      <c r="A110" s="95" t="n"/>
      <c r="B110" s="96" t="n"/>
      <c r="C110" s="96" t="n"/>
      <c r="D110" s="95" t="n"/>
      <c r="E110" s="96" t="n"/>
      <c r="F110" s="96" t="n"/>
      <c r="G110" s="95">
        <f>IFERROR(VLOOKUP(F110,'12. Contratos_OS'!$A$6:$L$1000,2,FALSE),"")</f>
        <v/>
      </c>
      <c r="H110" s="95">
        <f>IFERROR(VLOOKUP(F110,'12. Contratos_OS'!$A$6:$L$1000,3,FALSE),"")</f>
        <v/>
      </c>
      <c r="I110" s="95">
        <f>IFERROR(VLOOKUP(F110,'12. Contratos_OS'!$A$6:$L$1000,4,FALSE),"")</f>
        <v/>
      </c>
      <c r="J110" s="95">
        <f>IFERROR(VLOOKUP(F110,'12. Contratos_OS'!$A$6:$L$1000,7,FALSE),"")</f>
        <v/>
      </c>
      <c r="K110" s="95">
        <f>IFERROR(VLOOKUP(J110,'11. Cadastro de Serviços'!$A$6:$E$200,2,FALSE),"")</f>
        <v/>
      </c>
      <c r="L110" s="95">
        <f>IFERROR(VLOOKUP(J110,'11. Cadastro de Serviços'!$A$6:$E$200,3,FALSE),"")</f>
        <v/>
      </c>
      <c r="M110" s="95">
        <f>IFERROR(VLOOKUP(J110,'11. Cadastro de Serviços'!$A$6:$E$200,4,FALSE),"")</f>
        <v/>
      </c>
      <c r="N110" s="95" t="n"/>
      <c r="O110" s="95">
        <f>IF(AND(G110&lt;&gt;"",I110&lt;&gt;"",J110&lt;&gt;"",M110&lt;&gt;""),"Rastreado","Revisar")</f>
        <v/>
      </c>
      <c r="P110" s="96" t="n"/>
    </row>
    <row r="111">
      <c r="A111" s="95" t="n"/>
      <c r="B111" s="96" t="n"/>
      <c r="C111" s="96" t="n"/>
      <c r="D111" s="95" t="n"/>
      <c r="E111" s="96" t="n"/>
      <c r="F111" s="96" t="n"/>
      <c r="G111" s="95">
        <f>IFERROR(VLOOKUP(F111,'12. Contratos_OS'!$A$6:$L$1000,2,FALSE),"")</f>
        <v/>
      </c>
      <c r="H111" s="95">
        <f>IFERROR(VLOOKUP(F111,'12. Contratos_OS'!$A$6:$L$1000,3,FALSE),"")</f>
        <v/>
      </c>
      <c r="I111" s="95">
        <f>IFERROR(VLOOKUP(F111,'12. Contratos_OS'!$A$6:$L$1000,4,FALSE),"")</f>
        <v/>
      </c>
      <c r="J111" s="95">
        <f>IFERROR(VLOOKUP(F111,'12. Contratos_OS'!$A$6:$L$1000,7,FALSE),"")</f>
        <v/>
      </c>
      <c r="K111" s="95">
        <f>IFERROR(VLOOKUP(J111,'11. Cadastro de Serviços'!$A$6:$E$200,2,FALSE),"")</f>
        <v/>
      </c>
      <c r="L111" s="95">
        <f>IFERROR(VLOOKUP(J111,'11. Cadastro de Serviços'!$A$6:$E$200,3,FALSE),"")</f>
        <v/>
      </c>
      <c r="M111" s="95">
        <f>IFERROR(VLOOKUP(J111,'11. Cadastro de Serviços'!$A$6:$E$200,4,FALSE),"")</f>
        <v/>
      </c>
      <c r="N111" s="95" t="n"/>
      <c r="O111" s="95">
        <f>IF(AND(G111&lt;&gt;"",I111&lt;&gt;"",J111&lt;&gt;"",M111&lt;&gt;""),"Rastreado","Revisar")</f>
        <v/>
      </c>
      <c r="P111" s="96" t="n"/>
    </row>
    <row r="112">
      <c r="A112" s="95" t="n"/>
      <c r="B112" s="96" t="n"/>
      <c r="C112" s="96" t="n"/>
      <c r="D112" s="95" t="n"/>
      <c r="E112" s="96" t="n"/>
      <c r="F112" s="96" t="n"/>
      <c r="G112" s="95">
        <f>IFERROR(VLOOKUP(F112,'12. Contratos_OS'!$A$6:$L$1000,2,FALSE),"")</f>
        <v/>
      </c>
      <c r="H112" s="95">
        <f>IFERROR(VLOOKUP(F112,'12. Contratos_OS'!$A$6:$L$1000,3,FALSE),"")</f>
        <v/>
      </c>
      <c r="I112" s="95">
        <f>IFERROR(VLOOKUP(F112,'12. Contratos_OS'!$A$6:$L$1000,4,FALSE),"")</f>
        <v/>
      </c>
      <c r="J112" s="95">
        <f>IFERROR(VLOOKUP(F112,'12. Contratos_OS'!$A$6:$L$1000,7,FALSE),"")</f>
        <v/>
      </c>
      <c r="K112" s="95">
        <f>IFERROR(VLOOKUP(J112,'11. Cadastro de Serviços'!$A$6:$E$200,2,FALSE),"")</f>
        <v/>
      </c>
      <c r="L112" s="95">
        <f>IFERROR(VLOOKUP(J112,'11. Cadastro de Serviços'!$A$6:$E$200,3,FALSE),"")</f>
        <v/>
      </c>
      <c r="M112" s="95">
        <f>IFERROR(VLOOKUP(J112,'11. Cadastro de Serviços'!$A$6:$E$200,4,FALSE),"")</f>
        <v/>
      </c>
      <c r="N112" s="95" t="n"/>
      <c r="O112" s="95">
        <f>IF(AND(G112&lt;&gt;"",I112&lt;&gt;"",J112&lt;&gt;"",M112&lt;&gt;""),"Rastreado","Revisar")</f>
        <v/>
      </c>
      <c r="P112" s="96" t="n"/>
    </row>
    <row r="113">
      <c r="A113" s="95" t="n"/>
      <c r="B113" s="96" t="n"/>
      <c r="C113" s="96" t="n"/>
      <c r="D113" s="95" t="n"/>
      <c r="E113" s="96" t="n"/>
      <c r="F113" s="96" t="n"/>
      <c r="G113" s="95">
        <f>IFERROR(VLOOKUP(F113,'12. Contratos_OS'!$A$6:$L$1000,2,FALSE),"")</f>
        <v/>
      </c>
      <c r="H113" s="95">
        <f>IFERROR(VLOOKUP(F113,'12. Contratos_OS'!$A$6:$L$1000,3,FALSE),"")</f>
        <v/>
      </c>
      <c r="I113" s="95">
        <f>IFERROR(VLOOKUP(F113,'12. Contratos_OS'!$A$6:$L$1000,4,FALSE),"")</f>
        <v/>
      </c>
      <c r="J113" s="95">
        <f>IFERROR(VLOOKUP(F113,'12. Contratos_OS'!$A$6:$L$1000,7,FALSE),"")</f>
        <v/>
      </c>
      <c r="K113" s="95">
        <f>IFERROR(VLOOKUP(J113,'11. Cadastro de Serviços'!$A$6:$E$200,2,FALSE),"")</f>
        <v/>
      </c>
      <c r="L113" s="95">
        <f>IFERROR(VLOOKUP(J113,'11. Cadastro de Serviços'!$A$6:$E$200,3,FALSE),"")</f>
        <v/>
      </c>
      <c r="M113" s="95">
        <f>IFERROR(VLOOKUP(J113,'11. Cadastro de Serviços'!$A$6:$E$200,4,FALSE),"")</f>
        <v/>
      </c>
      <c r="N113" s="95" t="n"/>
      <c r="O113" s="95">
        <f>IF(AND(G113&lt;&gt;"",I113&lt;&gt;"",J113&lt;&gt;"",M113&lt;&gt;""),"Rastreado","Revisar")</f>
        <v/>
      </c>
      <c r="P113" s="96" t="n"/>
    </row>
    <row r="114">
      <c r="A114" s="95" t="n"/>
      <c r="B114" s="96" t="n"/>
      <c r="C114" s="96" t="n"/>
      <c r="D114" s="95" t="n"/>
      <c r="E114" s="96" t="n"/>
      <c r="F114" s="96" t="n"/>
      <c r="G114" s="95">
        <f>IFERROR(VLOOKUP(F114,'12. Contratos_OS'!$A$6:$L$1000,2,FALSE),"")</f>
        <v/>
      </c>
      <c r="H114" s="95">
        <f>IFERROR(VLOOKUP(F114,'12. Contratos_OS'!$A$6:$L$1000,3,FALSE),"")</f>
        <v/>
      </c>
      <c r="I114" s="95">
        <f>IFERROR(VLOOKUP(F114,'12. Contratos_OS'!$A$6:$L$1000,4,FALSE),"")</f>
        <v/>
      </c>
      <c r="J114" s="95">
        <f>IFERROR(VLOOKUP(F114,'12. Contratos_OS'!$A$6:$L$1000,7,FALSE),"")</f>
        <v/>
      </c>
      <c r="K114" s="95">
        <f>IFERROR(VLOOKUP(J114,'11. Cadastro de Serviços'!$A$6:$E$200,2,FALSE),"")</f>
        <v/>
      </c>
      <c r="L114" s="95">
        <f>IFERROR(VLOOKUP(J114,'11. Cadastro de Serviços'!$A$6:$E$200,3,FALSE),"")</f>
        <v/>
      </c>
      <c r="M114" s="95">
        <f>IFERROR(VLOOKUP(J114,'11. Cadastro de Serviços'!$A$6:$E$200,4,FALSE),"")</f>
        <v/>
      </c>
      <c r="N114" s="95" t="n"/>
      <c r="O114" s="95">
        <f>IF(AND(G114&lt;&gt;"",I114&lt;&gt;"",J114&lt;&gt;"",M114&lt;&gt;""),"Rastreado","Revisar")</f>
        <v/>
      </c>
      <c r="P114" s="96" t="n"/>
    </row>
    <row r="115">
      <c r="A115" s="95" t="n"/>
      <c r="B115" s="96" t="n"/>
      <c r="C115" s="96" t="n"/>
      <c r="D115" s="95" t="n"/>
      <c r="E115" s="96" t="n"/>
      <c r="F115" s="96" t="n"/>
      <c r="G115" s="95">
        <f>IFERROR(VLOOKUP(F115,'12. Contratos_OS'!$A$6:$L$1000,2,FALSE),"")</f>
        <v/>
      </c>
      <c r="H115" s="95">
        <f>IFERROR(VLOOKUP(F115,'12. Contratos_OS'!$A$6:$L$1000,3,FALSE),"")</f>
        <v/>
      </c>
      <c r="I115" s="95">
        <f>IFERROR(VLOOKUP(F115,'12. Contratos_OS'!$A$6:$L$1000,4,FALSE),"")</f>
        <v/>
      </c>
      <c r="J115" s="95">
        <f>IFERROR(VLOOKUP(F115,'12. Contratos_OS'!$A$6:$L$1000,7,FALSE),"")</f>
        <v/>
      </c>
      <c r="K115" s="95">
        <f>IFERROR(VLOOKUP(J115,'11. Cadastro de Serviços'!$A$6:$E$200,2,FALSE),"")</f>
        <v/>
      </c>
      <c r="L115" s="95">
        <f>IFERROR(VLOOKUP(J115,'11. Cadastro de Serviços'!$A$6:$E$200,3,FALSE),"")</f>
        <v/>
      </c>
      <c r="M115" s="95">
        <f>IFERROR(VLOOKUP(J115,'11. Cadastro de Serviços'!$A$6:$E$200,4,FALSE),"")</f>
        <v/>
      </c>
      <c r="N115" s="95" t="n"/>
      <c r="O115" s="95">
        <f>IF(AND(G115&lt;&gt;"",I115&lt;&gt;"",J115&lt;&gt;"",M115&lt;&gt;""),"Rastreado","Revisar")</f>
        <v/>
      </c>
      <c r="P115" s="96" t="n"/>
    </row>
    <row r="116">
      <c r="A116" s="95" t="n"/>
      <c r="B116" s="96" t="n"/>
      <c r="C116" s="96" t="n"/>
      <c r="D116" s="95" t="n"/>
      <c r="E116" s="96" t="n"/>
      <c r="F116" s="96" t="n"/>
      <c r="G116" s="95">
        <f>IFERROR(VLOOKUP(F116,'12. Contratos_OS'!$A$6:$L$1000,2,FALSE),"")</f>
        <v/>
      </c>
      <c r="H116" s="95">
        <f>IFERROR(VLOOKUP(F116,'12. Contratos_OS'!$A$6:$L$1000,3,FALSE),"")</f>
        <v/>
      </c>
      <c r="I116" s="95">
        <f>IFERROR(VLOOKUP(F116,'12. Contratos_OS'!$A$6:$L$1000,4,FALSE),"")</f>
        <v/>
      </c>
      <c r="J116" s="95">
        <f>IFERROR(VLOOKUP(F116,'12. Contratos_OS'!$A$6:$L$1000,7,FALSE),"")</f>
        <v/>
      </c>
      <c r="K116" s="95">
        <f>IFERROR(VLOOKUP(J116,'11. Cadastro de Serviços'!$A$6:$E$200,2,FALSE),"")</f>
        <v/>
      </c>
      <c r="L116" s="95">
        <f>IFERROR(VLOOKUP(J116,'11. Cadastro de Serviços'!$A$6:$E$200,3,FALSE),"")</f>
        <v/>
      </c>
      <c r="M116" s="95">
        <f>IFERROR(VLOOKUP(J116,'11. Cadastro de Serviços'!$A$6:$E$200,4,FALSE),"")</f>
        <v/>
      </c>
      <c r="N116" s="95" t="n"/>
      <c r="O116" s="95">
        <f>IF(AND(G116&lt;&gt;"",I116&lt;&gt;"",J116&lt;&gt;"",M116&lt;&gt;""),"Rastreado","Revisar")</f>
        <v/>
      </c>
      <c r="P116" s="96" t="n"/>
    </row>
    <row r="117">
      <c r="A117" s="95" t="n"/>
      <c r="B117" s="96" t="n"/>
      <c r="C117" s="96" t="n"/>
      <c r="D117" s="95" t="n"/>
      <c r="E117" s="96" t="n"/>
      <c r="F117" s="96" t="n"/>
      <c r="G117" s="95">
        <f>IFERROR(VLOOKUP(F117,'12. Contratos_OS'!$A$6:$L$1000,2,FALSE),"")</f>
        <v/>
      </c>
      <c r="H117" s="95">
        <f>IFERROR(VLOOKUP(F117,'12. Contratos_OS'!$A$6:$L$1000,3,FALSE),"")</f>
        <v/>
      </c>
      <c r="I117" s="95">
        <f>IFERROR(VLOOKUP(F117,'12. Contratos_OS'!$A$6:$L$1000,4,FALSE),"")</f>
        <v/>
      </c>
      <c r="J117" s="95">
        <f>IFERROR(VLOOKUP(F117,'12. Contratos_OS'!$A$6:$L$1000,7,FALSE),"")</f>
        <v/>
      </c>
      <c r="K117" s="95">
        <f>IFERROR(VLOOKUP(J117,'11. Cadastro de Serviços'!$A$6:$E$200,2,FALSE),"")</f>
        <v/>
      </c>
      <c r="L117" s="95">
        <f>IFERROR(VLOOKUP(J117,'11. Cadastro de Serviços'!$A$6:$E$200,3,FALSE),"")</f>
        <v/>
      </c>
      <c r="M117" s="95">
        <f>IFERROR(VLOOKUP(J117,'11. Cadastro de Serviços'!$A$6:$E$200,4,FALSE),"")</f>
        <v/>
      </c>
      <c r="N117" s="95" t="n"/>
      <c r="O117" s="95">
        <f>IF(AND(G117&lt;&gt;"",I117&lt;&gt;"",J117&lt;&gt;"",M117&lt;&gt;""),"Rastreado","Revisar")</f>
        <v/>
      </c>
      <c r="P117" s="96" t="n"/>
    </row>
    <row r="118">
      <c r="A118" s="95" t="n"/>
      <c r="B118" s="96" t="n"/>
      <c r="C118" s="96" t="n"/>
      <c r="D118" s="95" t="n"/>
      <c r="E118" s="96" t="n"/>
      <c r="F118" s="96" t="n"/>
      <c r="G118" s="95">
        <f>IFERROR(VLOOKUP(F118,'12. Contratos_OS'!$A$6:$L$1000,2,FALSE),"")</f>
        <v/>
      </c>
      <c r="H118" s="95">
        <f>IFERROR(VLOOKUP(F118,'12. Contratos_OS'!$A$6:$L$1000,3,FALSE),"")</f>
        <v/>
      </c>
      <c r="I118" s="95">
        <f>IFERROR(VLOOKUP(F118,'12. Contratos_OS'!$A$6:$L$1000,4,FALSE),"")</f>
        <v/>
      </c>
      <c r="J118" s="95">
        <f>IFERROR(VLOOKUP(F118,'12. Contratos_OS'!$A$6:$L$1000,7,FALSE),"")</f>
        <v/>
      </c>
      <c r="K118" s="95">
        <f>IFERROR(VLOOKUP(J118,'11. Cadastro de Serviços'!$A$6:$E$200,2,FALSE),"")</f>
        <v/>
      </c>
      <c r="L118" s="95">
        <f>IFERROR(VLOOKUP(J118,'11. Cadastro de Serviços'!$A$6:$E$200,3,FALSE),"")</f>
        <v/>
      </c>
      <c r="M118" s="95">
        <f>IFERROR(VLOOKUP(J118,'11. Cadastro de Serviços'!$A$6:$E$200,4,FALSE),"")</f>
        <v/>
      </c>
      <c r="N118" s="95" t="n"/>
      <c r="O118" s="95">
        <f>IF(AND(G118&lt;&gt;"",I118&lt;&gt;"",J118&lt;&gt;"",M118&lt;&gt;""),"Rastreado","Revisar")</f>
        <v/>
      </c>
      <c r="P118" s="96" t="n"/>
    </row>
    <row r="119">
      <c r="A119" s="95" t="n"/>
      <c r="B119" s="96" t="n"/>
      <c r="C119" s="96" t="n"/>
      <c r="D119" s="95" t="n"/>
      <c r="E119" s="96" t="n"/>
      <c r="F119" s="96" t="n"/>
      <c r="G119" s="95">
        <f>IFERROR(VLOOKUP(F119,'12. Contratos_OS'!$A$6:$L$1000,2,FALSE),"")</f>
        <v/>
      </c>
      <c r="H119" s="95">
        <f>IFERROR(VLOOKUP(F119,'12. Contratos_OS'!$A$6:$L$1000,3,FALSE),"")</f>
        <v/>
      </c>
      <c r="I119" s="95">
        <f>IFERROR(VLOOKUP(F119,'12. Contratos_OS'!$A$6:$L$1000,4,FALSE),"")</f>
        <v/>
      </c>
      <c r="J119" s="95">
        <f>IFERROR(VLOOKUP(F119,'12. Contratos_OS'!$A$6:$L$1000,7,FALSE),"")</f>
        <v/>
      </c>
      <c r="K119" s="95">
        <f>IFERROR(VLOOKUP(J119,'11. Cadastro de Serviços'!$A$6:$E$200,2,FALSE),"")</f>
        <v/>
      </c>
      <c r="L119" s="95">
        <f>IFERROR(VLOOKUP(J119,'11. Cadastro de Serviços'!$A$6:$E$200,3,FALSE),"")</f>
        <v/>
      </c>
      <c r="M119" s="95">
        <f>IFERROR(VLOOKUP(J119,'11. Cadastro de Serviços'!$A$6:$E$200,4,FALSE),"")</f>
        <v/>
      </c>
      <c r="N119" s="95" t="n"/>
      <c r="O119" s="95">
        <f>IF(AND(G119&lt;&gt;"",I119&lt;&gt;"",J119&lt;&gt;"",M119&lt;&gt;""),"Rastreado","Revisar")</f>
        <v/>
      </c>
      <c r="P119" s="96" t="n"/>
    </row>
    <row r="120">
      <c r="A120" s="95" t="n"/>
      <c r="B120" s="96" t="n"/>
      <c r="C120" s="96" t="n"/>
      <c r="D120" s="95" t="n"/>
      <c r="E120" s="96" t="n"/>
      <c r="F120" s="96" t="n"/>
      <c r="G120" s="95">
        <f>IFERROR(VLOOKUP(F120,'12. Contratos_OS'!$A$6:$L$1000,2,FALSE),"")</f>
        <v/>
      </c>
      <c r="H120" s="95">
        <f>IFERROR(VLOOKUP(F120,'12. Contratos_OS'!$A$6:$L$1000,3,FALSE),"")</f>
        <v/>
      </c>
      <c r="I120" s="95">
        <f>IFERROR(VLOOKUP(F120,'12. Contratos_OS'!$A$6:$L$1000,4,FALSE),"")</f>
        <v/>
      </c>
      <c r="J120" s="95">
        <f>IFERROR(VLOOKUP(F120,'12. Contratos_OS'!$A$6:$L$1000,7,FALSE),"")</f>
        <v/>
      </c>
      <c r="K120" s="95">
        <f>IFERROR(VLOOKUP(J120,'11. Cadastro de Serviços'!$A$6:$E$200,2,FALSE),"")</f>
        <v/>
      </c>
      <c r="L120" s="95">
        <f>IFERROR(VLOOKUP(J120,'11. Cadastro de Serviços'!$A$6:$E$200,3,FALSE),"")</f>
        <v/>
      </c>
      <c r="M120" s="95">
        <f>IFERROR(VLOOKUP(J120,'11. Cadastro de Serviços'!$A$6:$E$200,4,FALSE),"")</f>
        <v/>
      </c>
      <c r="N120" s="95" t="n"/>
      <c r="O120" s="95">
        <f>IF(AND(G120&lt;&gt;"",I120&lt;&gt;"",J120&lt;&gt;"",M120&lt;&gt;""),"Rastreado","Revisar")</f>
        <v/>
      </c>
      <c r="P120" s="96" t="n"/>
    </row>
    <row r="121">
      <c r="A121" s="95" t="n"/>
      <c r="B121" s="96" t="n"/>
      <c r="C121" s="96" t="n"/>
      <c r="D121" s="95" t="n"/>
      <c r="E121" s="96" t="n"/>
      <c r="F121" s="96" t="n"/>
      <c r="G121" s="95">
        <f>IFERROR(VLOOKUP(F121,'12. Contratos_OS'!$A$6:$L$1000,2,FALSE),"")</f>
        <v/>
      </c>
      <c r="H121" s="95">
        <f>IFERROR(VLOOKUP(F121,'12. Contratos_OS'!$A$6:$L$1000,3,FALSE),"")</f>
        <v/>
      </c>
      <c r="I121" s="95">
        <f>IFERROR(VLOOKUP(F121,'12. Contratos_OS'!$A$6:$L$1000,4,FALSE),"")</f>
        <v/>
      </c>
      <c r="J121" s="95">
        <f>IFERROR(VLOOKUP(F121,'12. Contratos_OS'!$A$6:$L$1000,7,FALSE),"")</f>
        <v/>
      </c>
      <c r="K121" s="95">
        <f>IFERROR(VLOOKUP(J121,'11. Cadastro de Serviços'!$A$6:$E$200,2,FALSE),"")</f>
        <v/>
      </c>
      <c r="L121" s="95">
        <f>IFERROR(VLOOKUP(J121,'11. Cadastro de Serviços'!$A$6:$E$200,3,FALSE),"")</f>
        <v/>
      </c>
      <c r="M121" s="95">
        <f>IFERROR(VLOOKUP(J121,'11. Cadastro de Serviços'!$A$6:$E$200,4,FALSE),"")</f>
        <v/>
      </c>
      <c r="N121" s="95" t="n"/>
      <c r="O121" s="95">
        <f>IF(AND(G121&lt;&gt;"",I121&lt;&gt;"",J121&lt;&gt;"",M121&lt;&gt;""),"Rastreado","Revisar")</f>
        <v/>
      </c>
      <c r="P121" s="96" t="n"/>
    </row>
    <row r="122">
      <c r="A122" s="95" t="n"/>
      <c r="B122" s="96" t="n"/>
      <c r="C122" s="96" t="n"/>
      <c r="D122" s="95" t="n"/>
      <c r="E122" s="96" t="n"/>
      <c r="F122" s="96" t="n"/>
      <c r="G122" s="95">
        <f>IFERROR(VLOOKUP(F122,'12. Contratos_OS'!$A$6:$L$1000,2,FALSE),"")</f>
        <v/>
      </c>
      <c r="H122" s="95">
        <f>IFERROR(VLOOKUP(F122,'12. Contratos_OS'!$A$6:$L$1000,3,FALSE),"")</f>
        <v/>
      </c>
      <c r="I122" s="95">
        <f>IFERROR(VLOOKUP(F122,'12. Contratos_OS'!$A$6:$L$1000,4,FALSE),"")</f>
        <v/>
      </c>
      <c r="J122" s="95">
        <f>IFERROR(VLOOKUP(F122,'12. Contratos_OS'!$A$6:$L$1000,7,FALSE),"")</f>
        <v/>
      </c>
      <c r="K122" s="95">
        <f>IFERROR(VLOOKUP(J122,'11. Cadastro de Serviços'!$A$6:$E$200,2,FALSE),"")</f>
        <v/>
      </c>
      <c r="L122" s="95">
        <f>IFERROR(VLOOKUP(J122,'11. Cadastro de Serviços'!$A$6:$E$200,3,FALSE),"")</f>
        <v/>
      </c>
      <c r="M122" s="95">
        <f>IFERROR(VLOOKUP(J122,'11. Cadastro de Serviços'!$A$6:$E$200,4,FALSE),"")</f>
        <v/>
      </c>
      <c r="N122" s="95" t="n"/>
      <c r="O122" s="95">
        <f>IF(AND(G122&lt;&gt;"",I122&lt;&gt;"",J122&lt;&gt;"",M122&lt;&gt;""),"Rastreado","Revisar")</f>
        <v/>
      </c>
      <c r="P122" s="96" t="n"/>
    </row>
    <row r="123">
      <c r="A123" s="95" t="n"/>
      <c r="B123" s="96" t="n"/>
      <c r="C123" s="96" t="n"/>
      <c r="D123" s="95" t="n"/>
      <c r="E123" s="96" t="n"/>
      <c r="F123" s="96" t="n"/>
      <c r="G123" s="95">
        <f>IFERROR(VLOOKUP(F123,'12. Contratos_OS'!$A$6:$L$1000,2,FALSE),"")</f>
        <v/>
      </c>
      <c r="H123" s="95">
        <f>IFERROR(VLOOKUP(F123,'12. Contratos_OS'!$A$6:$L$1000,3,FALSE),"")</f>
        <v/>
      </c>
      <c r="I123" s="95">
        <f>IFERROR(VLOOKUP(F123,'12. Contratos_OS'!$A$6:$L$1000,4,FALSE),"")</f>
        <v/>
      </c>
      <c r="J123" s="95">
        <f>IFERROR(VLOOKUP(F123,'12. Contratos_OS'!$A$6:$L$1000,7,FALSE),"")</f>
        <v/>
      </c>
      <c r="K123" s="95">
        <f>IFERROR(VLOOKUP(J123,'11. Cadastro de Serviços'!$A$6:$E$200,2,FALSE),"")</f>
        <v/>
      </c>
      <c r="L123" s="95">
        <f>IFERROR(VLOOKUP(J123,'11. Cadastro de Serviços'!$A$6:$E$200,3,FALSE),"")</f>
        <v/>
      </c>
      <c r="M123" s="95">
        <f>IFERROR(VLOOKUP(J123,'11. Cadastro de Serviços'!$A$6:$E$200,4,FALSE),"")</f>
        <v/>
      </c>
      <c r="N123" s="95" t="n"/>
      <c r="O123" s="95">
        <f>IF(AND(G123&lt;&gt;"",I123&lt;&gt;"",J123&lt;&gt;"",M123&lt;&gt;""),"Rastreado","Revisar")</f>
        <v/>
      </c>
      <c r="P123" s="96" t="n"/>
    </row>
    <row r="124">
      <c r="A124" s="95" t="n"/>
      <c r="B124" s="96" t="n"/>
      <c r="C124" s="96" t="n"/>
      <c r="D124" s="95" t="n"/>
      <c r="E124" s="96" t="n"/>
      <c r="F124" s="96" t="n"/>
      <c r="G124" s="95">
        <f>IFERROR(VLOOKUP(F124,'12. Contratos_OS'!$A$6:$L$1000,2,FALSE),"")</f>
        <v/>
      </c>
      <c r="H124" s="95">
        <f>IFERROR(VLOOKUP(F124,'12. Contratos_OS'!$A$6:$L$1000,3,FALSE),"")</f>
        <v/>
      </c>
      <c r="I124" s="95">
        <f>IFERROR(VLOOKUP(F124,'12. Contratos_OS'!$A$6:$L$1000,4,FALSE),"")</f>
        <v/>
      </c>
      <c r="J124" s="95">
        <f>IFERROR(VLOOKUP(F124,'12. Contratos_OS'!$A$6:$L$1000,7,FALSE),"")</f>
        <v/>
      </c>
      <c r="K124" s="95">
        <f>IFERROR(VLOOKUP(J124,'11. Cadastro de Serviços'!$A$6:$E$200,2,FALSE),"")</f>
        <v/>
      </c>
      <c r="L124" s="95">
        <f>IFERROR(VLOOKUP(J124,'11. Cadastro de Serviços'!$A$6:$E$200,3,FALSE),"")</f>
        <v/>
      </c>
      <c r="M124" s="95">
        <f>IFERROR(VLOOKUP(J124,'11. Cadastro de Serviços'!$A$6:$E$200,4,FALSE),"")</f>
        <v/>
      </c>
      <c r="N124" s="95" t="n"/>
      <c r="O124" s="95">
        <f>IF(AND(G124&lt;&gt;"",I124&lt;&gt;"",J124&lt;&gt;"",M124&lt;&gt;""),"Rastreado","Revisar")</f>
        <v/>
      </c>
      <c r="P124" s="96" t="n"/>
    </row>
    <row r="125">
      <c r="A125" s="95" t="n"/>
      <c r="B125" s="96" t="n"/>
      <c r="C125" s="96" t="n"/>
      <c r="D125" s="95" t="n"/>
      <c r="E125" s="96" t="n"/>
      <c r="F125" s="96" t="n"/>
      <c r="G125" s="95">
        <f>IFERROR(VLOOKUP(F125,'12. Contratos_OS'!$A$6:$L$1000,2,FALSE),"")</f>
        <v/>
      </c>
      <c r="H125" s="95">
        <f>IFERROR(VLOOKUP(F125,'12. Contratos_OS'!$A$6:$L$1000,3,FALSE),"")</f>
        <v/>
      </c>
      <c r="I125" s="95">
        <f>IFERROR(VLOOKUP(F125,'12. Contratos_OS'!$A$6:$L$1000,4,FALSE),"")</f>
        <v/>
      </c>
      <c r="J125" s="95">
        <f>IFERROR(VLOOKUP(F125,'12. Contratos_OS'!$A$6:$L$1000,7,FALSE),"")</f>
        <v/>
      </c>
      <c r="K125" s="95">
        <f>IFERROR(VLOOKUP(J125,'11. Cadastro de Serviços'!$A$6:$E$200,2,FALSE),"")</f>
        <v/>
      </c>
      <c r="L125" s="95">
        <f>IFERROR(VLOOKUP(J125,'11. Cadastro de Serviços'!$A$6:$E$200,3,FALSE),"")</f>
        <v/>
      </c>
      <c r="M125" s="95">
        <f>IFERROR(VLOOKUP(J125,'11. Cadastro de Serviços'!$A$6:$E$200,4,FALSE),"")</f>
        <v/>
      </c>
      <c r="N125" s="95" t="n"/>
      <c r="O125" s="95">
        <f>IF(AND(G125&lt;&gt;"",I125&lt;&gt;"",J125&lt;&gt;"",M125&lt;&gt;""),"Rastreado","Revisar")</f>
        <v/>
      </c>
      <c r="P125" s="96" t="n"/>
    </row>
    <row r="126">
      <c r="A126" s="95" t="n"/>
      <c r="B126" s="96" t="n"/>
      <c r="C126" s="96" t="n"/>
      <c r="D126" s="95" t="n"/>
      <c r="E126" s="96" t="n"/>
      <c r="F126" s="96" t="n"/>
      <c r="G126" s="95">
        <f>IFERROR(VLOOKUP(F126,'12. Contratos_OS'!$A$6:$L$1000,2,FALSE),"")</f>
        <v/>
      </c>
      <c r="H126" s="95">
        <f>IFERROR(VLOOKUP(F126,'12. Contratos_OS'!$A$6:$L$1000,3,FALSE),"")</f>
        <v/>
      </c>
      <c r="I126" s="95">
        <f>IFERROR(VLOOKUP(F126,'12. Contratos_OS'!$A$6:$L$1000,4,FALSE),"")</f>
        <v/>
      </c>
      <c r="J126" s="95">
        <f>IFERROR(VLOOKUP(F126,'12. Contratos_OS'!$A$6:$L$1000,7,FALSE),"")</f>
        <v/>
      </c>
      <c r="K126" s="95">
        <f>IFERROR(VLOOKUP(J126,'11. Cadastro de Serviços'!$A$6:$E$200,2,FALSE),"")</f>
        <v/>
      </c>
      <c r="L126" s="95">
        <f>IFERROR(VLOOKUP(J126,'11. Cadastro de Serviços'!$A$6:$E$200,3,FALSE),"")</f>
        <v/>
      </c>
      <c r="M126" s="95">
        <f>IFERROR(VLOOKUP(J126,'11. Cadastro de Serviços'!$A$6:$E$200,4,FALSE),"")</f>
        <v/>
      </c>
      <c r="N126" s="95" t="n"/>
      <c r="O126" s="95">
        <f>IF(AND(G126&lt;&gt;"",I126&lt;&gt;"",J126&lt;&gt;"",M126&lt;&gt;""),"Rastreado","Revisar")</f>
        <v/>
      </c>
      <c r="P126" s="96" t="n"/>
    </row>
    <row r="127">
      <c r="A127" s="95" t="n"/>
      <c r="B127" s="96" t="n"/>
      <c r="C127" s="96" t="n"/>
      <c r="D127" s="95" t="n"/>
      <c r="E127" s="96" t="n"/>
      <c r="F127" s="96" t="n"/>
      <c r="G127" s="95">
        <f>IFERROR(VLOOKUP(F127,'12. Contratos_OS'!$A$6:$L$1000,2,FALSE),"")</f>
        <v/>
      </c>
      <c r="H127" s="95">
        <f>IFERROR(VLOOKUP(F127,'12. Contratos_OS'!$A$6:$L$1000,3,FALSE),"")</f>
        <v/>
      </c>
      <c r="I127" s="95">
        <f>IFERROR(VLOOKUP(F127,'12. Contratos_OS'!$A$6:$L$1000,4,FALSE),"")</f>
        <v/>
      </c>
      <c r="J127" s="95">
        <f>IFERROR(VLOOKUP(F127,'12. Contratos_OS'!$A$6:$L$1000,7,FALSE),"")</f>
        <v/>
      </c>
      <c r="K127" s="95">
        <f>IFERROR(VLOOKUP(J127,'11. Cadastro de Serviços'!$A$6:$E$200,2,FALSE),"")</f>
        <v/>
      </c>
      <c r="L127" s="95">
        <f>IFERROR(VLOOKUP(J127,'11. Cadastro de Serviços'!$A$6:$E$200,3,FALSE),"")</f>
        <v/>
      </c>
      <c r="M127" s="95">
        <f>IFERROR(VLOOKUP(J127,'11. Cadastro de Serviços'!$A$6:$E$200,4,FALSE),"")</f>
        <v/>
      </c>
      <c r="N127" s="95" t="n"/>
      <c r="O127" s="95">
        <f>IF(AND(G127&lt;&gt;"",I127&lt;&gt;"",J127&lt;&gt;"",M127&lt;&gt;""),"Rastreado","Revisar")</f>
        <v/>
      </c>
      <c r="P127" s="96" t="n"/>
    </row>
    <row r="128">
      <c r="A128" s="95" t="n"/>
      <c r="B128" s="96" t="n"/>
      <c r="C128" s="96" t="n"/>
      <c r="D128" s="95" t="n"/>
      <c r="E128" s="96" t="n"/>
      <c r="F128" s="96" t="n"/>
      <c r="G128" s="95">
        <f>IFERROR(VLOOKUP(F128,'12. Contratos_OS'!$A$6:$L$1000,2,FALSE),"")</f>
        <v/>
      </c>
      <c r="H128" s="95">
        <f>IFERROR(VLOOKUP(F128,'12. Contratos_OS'!$A$6:$L$1000,3,FALSE),"")</f>
        <v/>
      </c>
      <c r="I128" s="95">
        <f>IFERROR(VLOOKUP(F128,'12. Contratos_OS'!$A$6:$L$1000,4,FALSE),"")</f>
        <v/>
      </c>
      <c r="J128" s="95">
        <f>IFERROR(VLOOKUP(F128,'12. Contratos_OS'!$A$6:$L$1000,7,FALSE),"")</f>
        <v/>
      </c>
      <c r="K128" s="95">
        <f>IFERROR(VLOOKUP(J128,'11. Cadastro de Serviços'!$A$6:$E$200,2,FALSE),"")</f>
        <v/>
      </c>
      <c r="L128" s="95">
        <f>IFERROR(VLOOKUP(J128,'11. Cadastro de Serviços'!$A$6:$E$200,3,FALSE),"")</f>
        <v/>
      </c>
      <c r="M128" s="95">
        <f>IFERROR(VLOOKUP(J128,'11. Cadastro de Serviços'!$A$6:$E$200,4,FALSE),"")</f>
        <v/>
      </c>
      <c r="N128" s="95" t="n"/>
      <c r="O128" s="95">
        <f>IF(AND(G128&lt;&gt;"",I128&lt;&gt;"",J128&lt;&gt;"",M128&lt;&gt;""),"Rastreado","Revisar")</f>
        <v/>
      </c>
      <c r="P128" s="96" t="n"/>
    </row>
    <row r="129">
      <c r="A129" s="95" t="n"/>
      <c r="B129" s="96" t="n"/>
      <c r="C129" s="96" t="n"/>
      <c r="D129" s="95" t="n"/>
      <c r="E129" s="96" t="n"/>
      <c r="F129" s="96" t="n"/>
      <c r="G129" s="95">
        <f>IFERROR(VLOOKUP(F129,'12. Contratos_OS'!$A$6:$L$1000,2,FALSE),"")</f>
        <v/>
      </c>
      <c r="H129" s="95">
        <f>IFERROR(VLOOKUP(F129,'12. Contratos_OS'!$A$6:$L$1000,3,FALSE),"")</f>
        <v/>
      </c>
      <c r="I129" s="95">
        <f>IFERROR(VLOOKUP(F129,'12. Contratos_OS'!$A$6:$L$1000,4,FALSE),"")</f>
        <v/>
      </c>
      <c r="J129" s="95">
        <f>IFERROR(VLOOKUP(F129,'12. Contratos_OS'!$A$6:$L$1000,7,FALSE),"")</f>
        <v/>
      </c>
      <c r="K129" s="95">
        <f>IFERROR(VLOOKUP(J129,'11. Cadastro de Serviços'!$A$6:$E$200,2,FALSE),"")</f>
        <v/>
      </c>
      <c r="L129" s="95">
        <f>IFERROR(VLOOKUP(J129,'11. Cadastro de Serviços'!$A$6:$E$200,3,FALSE),"")</f>
        <v/>
      </c>
      <c r="M129" s="95">
        <f>IFERROR(VLOOKUP(J129,'11. Cadastro de Serviços'!$A$6:$E$200,4,FALSE),"")</f>
        <v/>
      </c>
      <c r="N129" s="95" t="n"/>
      <c r="O129" s="95">
        <f>IF(AND(G129&lt;&gt;"",I129&lt;&gt;"",J129&lt;&gt;"",M129&lt;&gt;""),"Rastreado","Revisar")</f>
        <v/>
      </c>
      <c r="P129" s="96" t="n"/>
    </row>
    <row r="130">
      <c r="A130" s="95" t="n"/>
      <c r="B130" s="96" t="n"/>
      <c r="C130" s="96" t="n"/>
      <c r="D130" s="95" t="n"/>
      <c r="E130" s="96" t="n"/>
      <c r="F130" s="96" t="n"/>
      <c r="G130" s="95">
        <f>IFERROR(VLOOKUP(F130,'12. Contratos_OS'!$A$6:$L$1000,2,FALSE),"")</f>
        <v/>
      </c>
      <c r="H130" s="95">
        <f>IFERROR(VLOOKUP(F130,'12. Contratos_OS'!$A$6:$L$1000,3,FALSE),"")</f>
        <v/>
      </c>
      <c r="I130" s="95">
        <f>IFERROR(VLOOKUP(F130,'12. Contratos_OS'!$A$6:$L$1000,4,FALSE),"")</f>
        <v/>
      </c>
      <c r="J130" s="95">
        <f>IFERROR(VLOOKUP(F130,'12. Contratos_OS'!$A$6:$L$1000,7,FALSE),"")</f>
        <v/>
      </c>
      <c r="K130" s="95">
        <f>IFERROR(VLOOKUP(J130,'11. Cadastro de Serviços'!$A$6:$E$200,2,FALSE),"")</f>
        <v/>
      </c>
      <c r="L130" s="95">
        <f>IFERROR(VLOOKUP(J130,'11. Cadastro de Serviços'!$A$6:$E$200,3,FALSE),"")</f>
        <v/>
      </c>
      <c r="M130" s="95">
        <f>IFERROR(VLOOKUP(J130,'11. Cadastro de Serviços'!$A$6:$E$200,4,FALSE),"")</f>
        <v/>
      </c>
      <c r="N130" s="95" t="n"/>
      <c r="O130" s="95">
        <f>IF(AND(G130&lt;&gt;"",I130&lt;&gt;"",J130&lt;&gt;"",M130&lt;&gt;""),"Rastreado","Revisar")</f>
        <v/>
      </c>
      <c r="P130" s="96" t="n"/>
    </row>
    <row r="131">
      <c r="A131" s="95" t="n"/>
      <c r="B131" s="96" t="n"/>
      <c r="C131" s="96" t="n"/>
      <c r="D131" s="95" t="n"/>
      <c r="E131" s="96" t="n"/>
      <c r="F131" s="96" t="n"/>
      <c r="G131" s="95">
        <f>IFERROR(VLOOKUP(F131,'12. Contratos_OS'!$A$6:$L$1000,2,FALSE),"")</f>
        <v/>
      </c>
      <c r="H131" s="95">
        <f>IFERROR(VLOOKUP(F131,'12. Contratos_OS'!$A$6:$L$1000,3,FALSE),"")</f>
        <v/>
      </c>
      <c r="I131" s="95">
        <f>IFERROR(VLOOKUP(F131,'12. Contratos_OS'!$A$6:$L$1000,4,FALSE),"")</f>
        <v/>
      </c>
      <c r="J131" s="95">
        <f>IFERROR(VLOOKUP(F131,'12. Contratos_OS'!$A$6:$L$1000,7,FALSE),"")</f>
        <v/>
      </c>
      <c r="K131" s="95">
        <f>IFERROR(VLOOKUP(J131,'11. Cadastro de Serviços'!$A$6:$E$200,2,FALSE),"")</f>
        <v/>
      </c>
      <c r="L131" s="95">
        <f>IFERROR(VLOOKUP(J131,'11. Cadastro de Serviços'!$A$6:$E$200,3,FALSE),"")</f>
        <v/>
      </c>
      <c r="M131" s="95">
        <f>IFERROR(VLOOKUP(J131,'11. Cadastro de Serviços'!$A$6:$E$200,4,FALSE),"")</f>
        <v/>
      </c>
      <c r="N131" s="95" t="n"/>
      <c r="O131" s="95">
        <f>IF(AND(G131&lt;&gt;"",I131&lt;&gt;"",J131&lt;&gt;"",M131&lt;&gt;""),"Rastreado","Revisar")</f>
        <v/>
      </c>
      <c r="P131" s="96" t="n"/>
    </row>
    <row r="132">
      <c r="A132" s="95" t="n"/>
      <c r="B132" s="96" t="n"/>
      <c r="C132" s="96" t="n"/>
      <c r="D132" s="95" t="n"/>
      <c r="E132" s="96" t="n"/>
      <c r="F132" s="96" t="n"/>
      <c r="G132" s="95">
        <f>IFERROR(VLOOKUP(F132,'12. Contratos_OS'!$A$6:$L$1000,2,FALSE),"")</f>
        <v/>
      </c>
      <c r="H132" s="95">
        <f>IFERROR(VLOOKUP(F132,'12. Contratos_OS'!$A$6:$L$1000,3,FALSE),"")</f>
        <v/>
      </c>
      <c r="I132" s="95">
        <f>IFERROR(VLOOKUP(F132,'12. Contratos_OS'!$A$6:$L$1000,4,FALSE),"")</f>
        <v/>
      </c>
      <c r="J132" s="95">
        <f>IFERROR(VLOOKUP(F132,'12. Contratos_OS'!$A$6:$L$1000,7,FALSE),"")</f>
        <v/>
      </c>
      <c r="K132" s="95">
        <f>IFERROR(VLOOKUP(J132,'11. Cadastro de Serviços'!$A$6:$E$200,2,FALSE),"")</f>
        <v/>
      </c>
      <c r="L132" s="95">
        <f>IFERROR(VLOOKUP(J132,'11. Cadastro de Serviços'!$A$6:$E$200,3,FALSE),"")</f>
        <v/>
      </c>
      <c r="M132" s="95">
        <f>IFERROR(VLOOKUP(J132,'11. Cadastro de Serviços'!$A$6:$E$200,4,FALSE),"")</f>
        <v/>
      </c>
      <c r="N132" s="95" t="n"/>
      <c r="O132" s="95">
        <f>IF(AND(G132&lt;&gt;"",I132&lt;&gt;"",J132&lt;&gt;"",M132&lt;&gt;""),"Rastreado","Revisar")</f>
        <v/>
      </c>
      <c r="P132" s="96" t="n"/>
    </row>
    <row r="133">
      <c r="A133" s="95" t="n"/>
      <c r="B133" s="96" t="n"/>
      <c r="C133" s="96" t="n"/>
      <c r="D133" s="95" t="n"/>
      <c r="E133" s="96" t="n"/>
      <c r="F133" s="96" t="n"/>
      <c r="G133" s="95">
        <f>IFERROR(VLOOKUP(F133,'12. Contratos_OS'!$A$6:$L$1000,2,FALSE),"")</f>
        <v/>
      </c>
      <c r="H133" s="95">
        <f>IFERROR(VLOOKUP(F133,'12. Contratos_OS'!$A$6:$L$1000,3,FALSE),"")</f>
        <v/>
      </c>
      <c r="I133" s="95">
        <f>IFERROR(VLOOKUP(F133,'12. Contratos_OS'!$A$6:$L$1000,4,FALSE),"")</f>
        <v/>
      </c>
      <c r="J133" s="95">
        <f>IFERROR(VLOOKUP(F133,'12. Contratos_OS'!$A$6:$L$1000,7,FALSE),"")</f>
        <v/>
      </c>
      <c r="K133" s="95">
        <f>IFERROR(VLOOKUP(J133,'11. Cadastro de Serviços'!$A$6:$E$200,2,FALSE),"")</f>
        <v/>
      </c>
      <c r="L133" s="95">
        <f>IFERROR(VLOOKUP(J133,'11. Cadastro de Serviços'!$A$6:$E$200,3,FALSE),"")</f>
        <v/>
      </c>
      <c r="M133" s="95">
        <f>IFERROR(VLOOKUP(J133,'11. Cadastro de Serviços'!$A$6:$E$200,4,FALSE),"")</f>
        <v/>
      </c>
      <c r="N133" s="95" t="n"/>
      <c r="O133" s="95">
        <f>IF(AND(G133&lt;&gt;"",I133&lt;&gt;"",J133&lt;&gt;"",M133&lt;&gt;""),"Rastreado","Revisar")</f>
        <v/>
      </c>
      <c r="P133" s="96" t="n"/>
    </row>
    <row r="134">
      <c r="A134" s="95" t="n"/>
      <c r="B134" s="96" t="n"/>
      <c r="C134" s="96" t="n"/>
      <c r="D134" s="95" t="n"/>
      <c r="E134" s="96" t="n"/>
      <c r="F134" s="96" t="n"/>
      <c r="G134" s="95">
        <f>IFERROR(VLOOKUP(F134,'12. Contratos_OS'!$A$6:$L$1000,2,FALSE),"")</f>
        <v/>
      </c>
      <c r="H134" s="95">
        <f>IFERROR(VLOOKUP(F134,'12. Contratos_OS'!$A$6:$L$1000,3,FALSE),"")</f>
        <v/>
      </c>
      <c r="I134" s="95">
        <f>IFERROR(VLOOKUP(F134,'12. Contratos_OS'!$A$6:$L$1000,4,FALSE),"")</f>
        <v/>
      </c>
      <c r="J134" s="95">
        <f>IFERROR(VLOOKUP(F134,'12. Contratos_OS'!$A$6:$L$1000,7,FALSE),"")</f>
        <v/>
      </c>
      <c r="K134" s="95">
        <f>IFERROR(VLOOKUP(J134,'11. Cadastro de Serviços'!$A$6:$E$200,2,FALSE),"")</f>
        <v/>
      </c>
      <c r="L134" s="95">
        <f>IFERROR(VLOOKUP(J134,'11. Cadastro de Serviços'!$A$6:$E$200,3,FALSE),"")</f>
        <v/>
      </c>
      <c r="M134" s="95">
        <f>IFERROR(VLOOKUP(J134,'11. Cadastro de Serviços'!$A$6:$E$200,4,FALSE),"")</f>
        <v/>
      </c>
      <c r="N134" s="95" t="n"/>
      <c r="O134" s="95">
        <f>IF(AND(G134&lt;&gt;"",I134&lt;&gt;"",J134&lt;&gt;"",M134&lt;&gt;""),"Rastreado","Revisar")</f>
        <v/>
      </c>
      <c r="P134" s="96" t="n"/>
    </row>
    <row r="135">
      <c r="A135" s="95" t="n"/>
      <c r="B135" s="96" t="n"/>
      <c r="C135" s="96" t="n"/>
      <c r="D135" s="95" t="n"/>
      <c r="E135" s="96" t="n"/>
      <c r="F135" s="96" t="n"/>
      <c r="G135" s="95">
        <f>IFERROR(VLOOKUP(F135,'12. Contratos_OS'!$A$6:$L$1000,2,FALSE),"")</f>
        <v/>
      </c>
      <c r="H135" s="95">
        <f>IFERROR(VLOOKUP(F135,'12. Contratos_OS'!$A$6:$L$1000,3,FALSE),"")</f>
        <v/>
      </c>
      <c r="I135" s="95">
        <f>IFERROR(VLOOKUP(F135,'12. Contratos_OS'!$A$6:$L$1000,4,FALSE),"")</f>
        <v/>
      </c>
      <c r="J135" s="95">
        <f>IFERROR(VLOOKUP(F135,'12. Contratos_OS'!$A$6:$L$1000,7,FALSE),"")</f>
        <v/>
      </c>
      <c r="K135" s="95">
        <f>IFERROR(VLOOKUP(J135,'11. Cadastro de Serviços'!$A$6:$E$200,2,FALSE),"")</f>
        <v/>
      </c>
      <c r="L135" s="95">
        <f>IFERROR(VLOOKUP(J135,'11. Cadastro de Serviços'!$A$6:$E$200,3,FALSE),"")</f>
        <v/>
      </c>
      <c r="M135" s="95">
        <f>IFERROR(VLOOKUP(J135,'11. Cadastro de Serviços'!$A$6:$E$200,4,FALSE),"")</f>
        <v/>
      </c>
      <c r="N135" s="95" t="n"/>
      <c r="O135" s="95">
        <f>IF(AND(G135&lt;&gt;"",I135&lt;&gt;"",J135&lt;&gt;"",M135&lt;&gt;""),"Rastreado","Revisar")</f>
        <v/>
      </c>
      <c r="P135" s="96" t="n"/>
    </row>
    <row r="136">
      <c r="A136" s="95" t="n"/>
      <c r="B136" s="96" t="n"/>
      <c r="C136" s="96" t="n"/>
      <c r="D136" s="95" t="n"/>
      <c r="E136" s="96" t="n"/>
      <c r="F136" s="96" t="n"/>
      <c r="G136" s="95">
        <f>IFERROR(VLOOKUP(F136,'12. Contratos_OS'!$A$6:$L$1000,2,FALSE),"")</f>
        <v/>
      </c>
      <c r="H136" s="95">
        <f>IFERROR(VLOOKUP(F136,'12. Contratos_OS'!$A$6:$L$1000,3,FALSE),"")</f>
        <v/>
      </c>
      <c r="I136" s="95">
        <f>IFERROR(VLOOKUP(F136,'12. Contratos_OS'!$A$6:$L$1000,4,FALSE),"")</f>
        <v/>
      </c>
      <c r="J136" s="95">
        <f>IFERROR(VLOOKUP(F136,'12. Contratos_OS'!$A$6:$L$1000,7,FALSE),"")</f>
        <v/>
      </c>
      <c r="K136" s="95">
        <f>IFERROR(VLOOKUP(J136,'11. Cadastro de Serviços'!$A$6:$E$200,2,FALSE),"")</f>
        <v/>
      </c>
      <c r="L136" s="95">
        <f>IFERROR(VLOOKUP(J136,'11. Cadastro de Serviços'!$A$6:$E$200,3,FALSE),"")</f>
        <v/>
      </c>
      <c r="M136" s="95">
        <f>IFERROR(VLOOKUP(J136,'11. Cadastro de Serviços'!$A$6:$E$200,4,FALSE),"")</f>
        <v/>
      </c>
      <c r="N136" s="95" t="n"/>
      <c r="O136" s="95">
        <f>IF(AND(G136&lt;&gt;"",I136&lt;&gt;"",J136&lt;&gt;"",M136&lt;&gt;""),"Rastreado","Revisar")</f>
        <v/>
      </c>
      <c r="P136" s="96" t="n"/>
    </row>
    <row r="137">
      <c r="A137" s="95" t="n"/>
      <c r="B137" s="96" t="n"/>
      <c r="C137" s="96" t="n"/>
      <c r="D137" s="95" t="n"/>
      <c r="E137" s="96" t="n"/>
      <c r="F137" s="96" t="n"/>
      <c r="G137" s="95">
        <f>IFERROR(VLOOKUP(F137,'12. Contratos_OS'!$A$6:$L$1000,2,FALSE),"")</f>
        <v/>
      </c>
      <c r="H137" s="95">
        <f>IFERROR(VLOOKUP(F137,'12. Contratos_OS'!$A$6:$L$1000,3,FALSE),"")</f>
        <v/>
      </c>
      <c r="I137" s="95">
        <f>IFERROR(VLOOKUP(F137,'12. Contratos_OS'!$A$6:$L$1000,4,FALSE),"")</f>
        <v/>
      </c>
      <c r="J137" s="95">
        <f>IFERROR(VLOOKUP(F137,'12. Contratos_OS'!$A$6:$L$1000,7,FALSE),"")</f>
        <v/>
      </c>
      <c r="K137" s="95">
        <f>IFERROR(VLOOKUP(J137,'11. Cadastro de Serviços'!$A$6:$E$200,2,FALSE),"")</f>
        <v/>
      </c>
      <c r="L137" s="95">
        <f>IFERROR(VLOOKUP(J137,'11. Cadastro de Serviços'!$A$6:$E$200,3,FALSE),"")</f>
        <v/>
      </c>
      <c r="M137" s="95">
        <f>IFERROR(VLOOKUP(J137,'11. Cadastro de Serviços'!$A$6:$E$200,4,FALSE),"")</f>
        <v/>
      </c>
      <c r="N137" s="95" t="n"/>
      <c r="O137" s="95">
        <f>IF(AND(G137&lt;&gt;"",I137&lt;&gt;"",J137&lt;&gt;"",M137&lt;&gt;""),"Rastreado","Revisar")</f>
        <v/>
      </c>
      <c r="P137" s="96" t="n"/>
    </row>
    <row r="138">
      <c r="A138" s="95" t="n"/>
      <c r="B138" s="96" t="n"/>
      <c r="C138" s="96" t="n"/>
      <c r="D138" s="95" t="n"/>
      <c r="E138" s="96" t="n"/>
      <c r="F138" s="96" t="n"/>
      <c r="G138" s="95">
        <f>IFERROR(VLOOKUP(F138,'12. Contratos_OS'!$A$6:$L$1000,2,FALSE),"")</f>
        <v/>
      </c>
      <c r="H138" s="95">
        <f>IFERROR(VLOOKUP(F138,'12. Contratos_OS'!$A$6:$L$1000,3,FALSE),"")</f>
        <v/>
      </c>
      <c r="I138" s="95">
        <f>IFERROR(VLOOKUP(F138,'12. Contratos_OS'!$A$6:$L$1000,4,FALSE),"")</f>
        <v/>
      </c>
      <c r="J138" s="95">
        <f>IFERROR(VLOOKUP(F138,'12. Contratos_OS'!$A$6:$L$1000,7,FALSE),"")</f>
        <v/>
      </c>
      <c r="K138" s="95">
        <f>IFERROR(VLOOKUP(J138,'11. Cadastro de Serviços'!$A$6:$E$200,2,FALSE),"")</f>
        <v/>
      </c>
      <c r="L138" s="95">
        <f>IFERROR(VLOOKUP(J138,'11. Cadastro de Serviços'!$A$6:$E$200,3,FALSE),"")</f>
        <v/>
      </c>
      <c r="M138" s="95">
        <f>IFERROR(VLOOKUP(J138,'11. Cadastro de Serviços'!$A$6:$E$200,4,FALSE),"")</f>
        <v/>
      </c>
      <c r="N138" s="95" t="n"/>
      <c r="O138" s="95">
        <f>IF(AND(G138&lt;&gt;"",I138&lt;&gt;"",J138&lt;&gt;"",M138&lt;&gt;""),"Rastreado","Revisar")</f>
        <v/>
      </c>
      <c r="P138" s="96" t="n"/>
    </row>
    <row r="139">
      <c r="A139" s="95" t="n"/>
      <c r="B139" s="96" t="n"/>
      <c r="C139" s="96" t="n"/>
      <c r="D139" s="95" t="n"/>
      <c r="E139" s="96" t="n"/>
      <c r="F139" s="96" t="n"/>
      <c r="G139" s="95">
        <f>IFERROR(VLOOKUP(F139,'12. Contratos_OS'!$A$6:$L$1000,2,FALSE),"")</f>
        <v/>
      </c>
      <c r="H139" s="95">
        <f>IFERROR(VLOOKUP(F139,'12. Contratos_OS'!$A$6:$L$1000,3,FALSE),"")</f>
        <v/>
      </c>
      <c r="I139" s="95">
        <f>IFERROR(VLOOKUP(F139,'12. Contratos_OS'!$A$6:$L$1000,4,FALSE),"")</f>
        <v/>
      </c>
      <c r="J139" s="95">
        <f>IFERROR(VLOOKUP(F139,'12. Contratos_OS'!$A$6:$L$1000,7,FALSE),"")</f>
        <v/>
      </c>
      <c r="K139" s="95">
        <f>IFERROR(VLOOKUP(J139,'11. Cadastro de Serviços'!$A$6:$E$200,2,FALSE),"")</f>
        <v/>
      </c>
      <c r="L139" s="95">
        <f>IFERROR(VLOOKUP(J139,'11. Cadastro de Serviços'!$A$6:$E$200,3,FALSE),"")</f>
        <v/>
      </c>
      <c r="M139" s="95">
        <f>IFERROR(VLOOKUP(J139,'11. Cadastro de Serviços'!$A$6:$E$200,4,FALSE),"")</f>
        <v/>
      </c>
      <c r="N139" s="95" t="n"/>
      <c r="O139" s="95">
        <f>IF(AND(G139&lt;&gt;"",I139&lt;&gt;"",J139&lt;&gt;"",M139&lt;&gt;""),"Rastreado","Revisar")</f>
        <v/>
      </c>
      <c r="P139" s="96" t="n"/>
    </row>
    <row r="140">
      <c r="A140" s="95" t="n"/>
      <c r="B140" s="96" t="n"/>
      <c r="C140" s="96" t="n"/>
      <c r="D140" s="95" t="n"/>
      <c r="E140" s="96" t="n"/>
      <c r="F140" s="96" t="n"/>
      <c r="G140" s="95">
        <f>IFERROR(VLOOKUP(F140,'12. Contratos_OS'!$A$6:$L$1000,2,FALSE),"")</f>
        <v/>
      </c>
      <c r="H140" s="95">
        <f>IFERROR(VLOOKUP(F140,'12. Contratos_OS'!$A$6:$L$1000,3,FALSE),"")</f>
        <v/>
      </c>
      <c r="I140" s="95">
        <f>IFERROR(VLOOKUP(F140,'12. Contratos_OS'!$A$6:$L$1000,4,FALSE),"")</f>
        <v/>
      </c>
      <c r="J140" s="95">
        <f>IFERROR(VLOOKUP(F140,'12. Contratos_OS'!$A$6:$L$1000,7,FALSE),"")</f>
        <v/>
      </c>
      <c r="K140" s="95">
        <f>IFERROR(VLOOKUP(J140,'11. Cadastro de Serviços'!$A$6:$E$200,2,FALSE),"")</f>
        <v/>
      </c>
      <c r="L140" s="95">
        <f>IFERROR(VLOOKUP(J140,'11. Cadastro de Serviços'!$A$6:$E$200,3,FALSE),"")</f>
        <v/>
      </c>
      <c r="M140" s="95">
        <f>IFERROR(VLOOKUP(J140,'11. Cadastro de Serviços'!$A$6:$E$200,4,FALSE),"")</f>
        <v/>
      </c>
      <c r="N140" s="95" t="n"/>
      <c r="O140" s="95">
        <f>IF(AND(G140&lt;&gt;"",I140&lt;&gt;"",J140&lt;&gt;"",M140&lt;&gt;""),"Rastreado","Revisar")</f>
        <v/>
      </c>
      <c r="P140" s="96" t="n"/>
    </row>
    <row r="141">
      <c r="A141" s="95" t="n"/>
      <c r="B141" s="96" t="n"/>
      <c r="C141" s="96" t="n"/>
      <c r="D141" s="95" t="n"/>
      <c r="E141" s="96" t="n"/>
      <c r="F141" s="96" t="n"/>
      <c r="G141" s="95">
        <f>IFERROR(VLOOKUP(F141,'12. Contratos_OS'!$A$6:$L$1000,2,FALSE),"")</f>
        <v/>
      </c>
      <c r="H141" s="95">
        <f>IFERROR(VLOOKUP(F141,'12. Contratos_OS'!$A$6:$L$1000,3,FALSE),"")</f>
        <v/>
      </c>
      <c r="I141" s="95">
        <f>IFERROR(VLOOKUP(F141,'12. Contratos_OS'!$A$6:$L$1000,4,FALSE),"")</f>
        <v/>
      </c>
      <c r="J141" s="95">
        <f>IFERROR(VLOOKUP(F141,'12. Contratos_OS'!$A$6:$L$1000,7,FALSE),"")</f>
        <v/>
      </c>
      <c r="K141" s="95">
        <f>IFERROR(VLOOKUP(J141,'11. Cadastro de Serviços'!$A$6:$E$200,2,FALSE),"")</f>
        <v/>
      </c>
      <c r="L141" s="95">
        <f>IFERROR(VLOOKUP(J141,'11. Cadastro de Serviços'!$A$6:$E$200,3,FALSE),"")</f>
        <v/>
      </c>
      <c r="M141" s="95">
        <f>IFERROR(VLOOKUP(J141,'11. Cadastro de Serviços'!$A$6:$E$200,4,FALSE),"")</f>
        <v/>
      </c>
      <c r="N141" s="95" t="n"/>
      <c r="O141" s="95">
        <f>IF(AND(G141&lt;&gt;"",I141&lt;&gt;"",J141&lt;&gt;"",M141&lt;&gt;""),"Rastreado","Revisar")</f>
        <v/>
      </c>
      <c r="P141" s="96" t="n"/>
    </row>
    <row r="142">
      <c r="A142" s="95" t="n"/>
      <c r="B142" s="96" t="n"/>
      <c r="C142" s="96" t="n"/>
      <c r="D142" s="95" t="n"/>
      <c r="E142" s="96" t="n"/>
      <c r="F142" s="96" t="n"/>
      <c r="G142" s="95">
        <f>IFERROR(VLOOKUP(F142,'12. Contratos_OS'!$A$6:$L$1000,2,FALSE),"")</f>
        <v/>
      </c>
      <c r="H142" s="95">
        <f>IFERROR(VLOOKUP(F142,'12. Contratos_OS'!$A$6:$L$1000,3,FALSE),"")</f>
        <v/>
      </c>
      <c r="I142" s="95">
        <f>IFERROR(VLOOKUP(F142,'12. Contratos_OS'!$A$6:$L$1000,4,FALSE),"")</f>
        <v/>
      </c>
      <c r="J142" s="95">
        <f>IFERROR(VLOOKUP(F142,'12. Contratos_OS'!$A$6:$L$1000,7,FALSE),"")</f>
        <v/>
      </c>
      <c r="K142" s="95">
        <f>IFERROR(VLOOKUP(J142,'11. Cadastro de Serviços'!$A$6:$E$200,2,FALSE),"")</f>
        <v/>
      </c>
      <c r="L142" s="95">
        <f>IFERROR(VLOOKUP(J142,'11. Cadastro de Serviços'!$A$6:$E$200,3,FALSE),"")</f>
        <v/>
      </c>
      <c r="M142" s="95">
        <f>IFERROR(VLOOKUP(J142,'11. Cadastro de Serviços'!$A$6:$E$200,4,FALSE),"")</f>
        <v/>
      </c>
      <c r="N142" s="95" t="n"/>
      <c r="O142" s="95">
        <f>IF(AND(G142&lt;&gt;"",I142&lt;&gt;"",J142&lt;&gt;"",M142&lt;&gt;""),"Rastreado","Revisar")</f>
        <v/>
      </c>
      <c r="P142" s="96" t="n"/>
    </row>
    <row r="143">
      <c r="A143" s="95" t="n"/>
      <c r="B143" s="96" t="n"/>
      <c r="C143" s="96" t="n"/>
      <c r="D143" s="95" t="n"/>
      <c r="E143" s="96" t="n"/>
      <c r="F143" s="96" t="n"/>
      <c r="G143" s="95">
        <f>IFERROR(VLOOKUP(F143,'12. Contratos_OS'!$A$6:$L$1000,2,FALSE),"")</f>
        <v/>
      </c>
      <c r="H143" s="95">
        <f>IFERROR(VLOOKUP(F143,'12. Contratos_OS'!$A$6:$L$1000,3,FALSE),"")</f>
        <v/>
      </c>
      <c r="I143" s="95">
        <f>IFERROR(VLOOKUP(F143,'12. Contratos_OS'!$A$6:$L$1000,4,FALSE),"")</f>
        <v/>
      </c>
      <c r="J143" s="95">
        <f>IFERROR(VLOOKUP(F143,'12. Contratos_OS'!$A$6:$L$1000,7,FALSE),"")</f>
        <v/>
      </c>
      <c r="K143" s="95">
        <f>IFERROR(VLOOKUP(J143,'11. Cadastro de Serviços'!$A$6:$E$200,2,FALSE),"")</f>
        <v/>
      </c>
      <c r="L143" s="95">
        <f>IFERROR(VLOOKUP(J143,'11. Cadastro de Serviços'!$A$6:$E$200,3,FALSE),"")</f>
        <v/>
      </c>
      <c r="M143" s="95">
        <f>IFERROR(VLOOKUP(J143,'11. Cadastro de Serviços'!$A$6:$E$200,4,FALSE),"")</f>
        <v/>
      </c>
      <c r="N143" s="95" t="n"/>
      <c r="O143" s="95">
        <f>IF(AND(G143&lt;&gt;"",I143&lt;&gt;"",J143&lt;&gt;"",M143&lt;&gt;""),"Rastreado","Revisar")</f>
        <v/>
      </c>
      <c r="P143" s="96" t="n"/>
    </row>
    <row r="144">
      <c r="A144" s="95" t="n"/>
      <c r="B144" s="96" t="n"/>
      <c r="C144" s="96" t="n"/>
      <c r="D144" s="95" t="n"/>
      <c r="E144" s="96" t="n"/>
      <c r="F144" s="96" t="n"/>
      <c r="G144" s="95">
        <f>IFERROR(VLOOKUP(F144,'12. Contratos_OS'!$A$6:$L$1000,2,FALSE),"")</f>
        <v/>
      </c>
      <c r="H144" s="95">
        <f>IFERROR(VLOOKUP(F144,'12. Contratos_OS'!$A$6:$L$1000,3,FALSE),"")</f>
        <v/>
      </c>
      <c r="I144" s="95">
        <f>IFERROR(VLOOKUP(F144,'12. Contratos_OS'!$A$6:$L$1000,4,FALSE),"")</f>
        <v/>
      </c>
      <c r="J144" s="95">
        <f>IFERROR(VLOOKUP(F144,'12. Contratos_OS'!$A$6:$L$1000,7,FALSE),"")</f>
        <v/>
      </c>
      <c r="K144" s="95">
        <f>IFERROR(VLOOKUP(J144,'11. Cadastro de Serviços'!$A$6:$E$200,2,FALSE),"")</f>
        <v/>
      </c>
      <c r="L144" s="95">
        <f>IFERROR(VLOOKUP(J144,'11. Cadastro de Serviços'!$A$6:$E$200,3,FALSE),"")</f>
        <v/>
      </c>
      <c r="M144" s="95">
        <f>IFERROR(VLOOKUP(J144,'11. Cadastro de Serviços'!$A$6:$E$200,4,FALSE),"")</f>
        <v/>
      </c>
      <c r="N144" s="95" t="n"/>
      <c r="O144" s="95">
        <f>IF(AND(G144&lt;&gt;"",I144&lt;&gt;"",J144&lt;&gt;"",M144&lt;&gt;""),"Rastreado","Revisar")</f>
        <v/>
      </c>
      <c r="P144" s="96" t="n"/>
    </row>
    <row r="145">
      <c r="A145" s="95" t="n"/>
      <c r="B145" s="96" t="n"/>
      <c r="C145" s="96" t="n"/>
      <c r="D145" s="95" t="n"/>
      <c r="E145" s="96" t="n"/>
      <c r="F145" s="96" t="n"/>
      <c r="G145" s="95">
        <f>IFERROR(VLOOKUP(F145,'12. Contratos_OS'!$A$6:$L$1000,2,FALSE),"")</f>
        <v/>
      </c>
      <c r="H145" s="95">
        <f>IFERROR(VLOOKUP(F145,'12. Contratos_OS'!$A$6:$L$1000,3,FALSE),"")</f>
        <v/>
      </c>
      <c r="I145" s="95">
        <f>IFERROR(VLOOKUP(F145,'12. Contratos_OS'!$A$6:$L$1000,4,FALSE),"")</f>
        <v/>
      </c>
      <c r="J145" s="95">
        <f>IFERROR(VLOOKUP(F145,'12. Contratos_OS'!$A$6:$L$1000,7,FALSE),"")</f>
        <v/>
      </c>
      <c r="K145" s="95">
        <f>IFERROR(VLOOKUP(J145,'11. Cadastro de Serviços'!$A$6:$E$200,2,FALSE),"")</f>
        <v/>
      </c>
      <c r="L145" s="95">
        <f>IFERROR(VLOOKUP(J145,'11. Cadastro de Serviços'!$A$6:$E$200,3,FALSE),"")</f>
        <v/>
      </c>
      <c r="M145" s="95">
        <f>IFERROR(VLOOKUP(J145,'11. Cadastro de Serviços'!$A$6:$E$200,4,FALSE),"")</f>
        <v/>
      </c>
      <c r="N145" s="95" t="n"/>
      <c r="O145" s="95">
        <f>IF(AND(G145&lt;&gt;"",I145&lt;&gt;"",J145&lt;&gt;"",M145&lt;&gt;""),"Rastreado","Revisar")</f>
        <v/>
      </c>
      <c r="P145" s="96" t="n"/>
    </row>
    <row r="146">
      <c r="A146" s="95" t="n"/>
      <c r="B146" s="96" t="n"/>
      <c r="C146" s="96" t="n"/>
      <c r="D146" s="95" t="n"/>
      <c r="E146" s="96" t="n"/>
      <c r="F146" s="96" t="n"/>
      <c r="G146" s="95">
        <f>IFERROR(VLOOKUP(F146,'12. Contratos_OS'!$A$6:$L$1000,2,FALSE),"")</f>
        <v/>
      </c>
      <c r="H146" s="95">
        <f>IFERROR(VLOOKUP(F146,'12. Contratos_OS'!$A$6:$L$1000,3,FALSE),"")</f>
        <v/>
      </c>
      <c r="I146" s="95">
        <f>IFERROR(VLOOKUP(F146,'12. Contratos_OS'!$A$6:$L$1000,4,FALSE),"")</f>
        <v/>
      </c>
      <c r="J146" s="95">
        <f>IFERROR(VLOOKUP(F146,'12. Contratos_OS'!$A$6:$L$1000,7,FALSE),"")</f>
        <v/>
      </c>
      <c r="K146" s="95">
        <f>IFERROR(VLOOKUP(J146,'11. Cadastro de Serviços'!$A$6:$E$200,2,FALSE),"")</f>
        <v/>
      </c>
      <c r="L146" s="95">
        <f>IFERROR(VLOOKUP(J146,'11. Cadastro de Serviços'!$A$6:$E$200,3,FALSE),"")</f>
        <v/>
      </c>
      <c r="M146" s="95">
        <f>IFERROR(VLOOKUP(J146,'11. Cadastro de Serviços'!$A$6:$E$200,4,FALSE),"")</f>
        <v/>
      </c>
      <c r="N146" s="95" t="n"/>
      <c r="O146" s="95">
        <f>IF(AND(G146&lt;&gt;"",I146&lt;&gt;"",J146&lt;&gt;"",M146&lt;&gt;""),"Rastreado","Revisar")</f>
        <v/>
      </c>
      <c r="P146" s="96" t="n"/>
    </row>
    <row r="147">
      <c r="A147" s="95" t="n"/>
      <c r="B147" s="96" t="n"/>
      <c r="C147" s="96" t="n"/>
      <c r="D147" s="95" t="n"/>
      <c r="E147" s="96" t="n"/>
      <c r="F147" s="96" t="n"/>
      <c r="G147" s="95">
        <f>IFERROR(VLOOKUP(F147,'12. Contratos_OS'!$A$6:$L$1000,2,FALSE),"")</f>
        <v/>
      </c>
      <c r="H147" s="95">
        <f>IFERROR(VLOOKUP(F147,'12. Contratos_OS'!$A$6:$L$1000,3,FALSE),"")</f>
        <v/>
      </c>
      <c r="I147" s="95">
        <f>IFERROR(VLOOKUP(F147,'12. Contratos_OS'!$A$6:$L$1000,4,FALSE),"")</f>
        <v/>
      </c>
      <c r="J147" s="95">
        <f>IFERROR(VLOOKUP(F147,'12. Contratos_OS'!$A$6:$L$1000,7,FALSE),"")</f>
        <v/>
      </c>
      <c r="K147" s="95">
        <f>IFERROR(VLOOKUP(J147,'11. Cadastro de Serviços'!$A$6:$E$200,2,FALSE),"")</f>
        <v/>
      </c>
      <c r="L147" s="95">
        <f>IFERROR(VLOOKUP(J147,'11. Cadastro de Serviços'!$A$6:$E$200,3,FALSE),"")</f>
        <v/>
      </c>
      <c r="M147" s="95">
        <f>IFERROR(VLOOKUP(J147,'11. Cadastro de Serviços'!$A$6:$E$200,4,FALSE),"")</f>
        <v/>
      </c>
      <c r="N147" s="95" t="n"/>
      <c r="O147" s="95">
        <f>IF(AND(G147&lt;&gt;"",I147&lt;&gt;"",J147&lt;&gt;"",M147&lt;&gt;""),"Rastreado","Revisar")</f>
        <v/>
      </c>
      <c r="P147" s="96" t="n"/>
    </row>
    <row r="148">
      <c r="A148" s="95" t="n"/>
      <c r="B148" s="96" t="n"/>
      <c r="C148" s="96" t="n"/>
      <c r="D148" s="95" t="n"/>
      <c r="E148" s="96" t="n"/>
      <c r="F148" s="96" t="n"/>
      <c r="G148" s="95">
        <f>IFERROR(VLOOKUP(F148,'12. Contratos_OS'!$A$6:$L$1000,2,FALSE),"")</f>
        <v/>
      </c>
      <c r="H148" s="95">
        <f>IFERROR(VLOOKUP(F148,'12. Contratos_OS'!$A$6:$L$1000,3,FALSE),"")</f>
        <v/>
      </c>
      <c r="I148" s="95">
        <f>IFERROR(VLOOKUP(F148,'12. Contratos_OS'!$A$6:$L$1000,4,FALSE),"")</f>
        <v/>
      </c>
      <c r="J148" s="95">
        <f>IFERROR(VLOOKUP(F148,'12. Contratos_OS'!$A$6:$L$1000,7,FALSE),"")</f>
        <v/>
      </c>
      <c r="K148" s="95">
        <f>IFERROR(VLOOKUP(J148,'11. Cadastro de Serviços'!$A$6:$E$200,2,FALSE),"")</f>
        <v/>
      </c>
      <c r="L148" s="95">
        <f>IFERROR(VLOOKUP(J148,'11. Cadastro de Serviços'!$A$6:$E$200,3,FALSE),"")</f>
        <v/>
      </c>
      <c r="M148" s="95">
        <f>IFERROR(VLOOKUP(J148,'11. Cadastro de Serviços'!$A$6:$E$200,4,FALSE),"")</f>
        <v/>
      </c>
      <c r="N148" s="95" t="n"/>
      <c r="O148" s="95">
        <f>IF(AND(G148&lt;&gt;"",I148&lt;&gt;"",J148&lt;&gt;"",M148&lt;&gt;""),"Rastreado","Revisar")</f>
        <v/>
      </c>
      <c r="P148" s="96" t="n"/>
    </row>
    <row r="149">
      <c r="A149" s="95" t="n"/>
      <c r="B149" s="96" t="n"/>
      <c r="C149" s="96" t="n"/>
      <c r="D149" s="95" t="n"/>
      <c r="E149" s="96" t="n"/>
      <c r="F149" s="96" t="n"/>
      <c r="G149" s="95">
        <f>IFERROR(VLOOKUP(F149,'12. Contratos_OS'!$A$6:$L$1000,2,FALSE),"")</f>
        <v/>
      </c>
      <c r="H149" s="95">
        <f>IFERROR(VLOOKUP(F149,'12. Contratos_OS'!$A$6:$L$1000,3,FALSE),"")</f>
        <v/>
      </c>
      <c r="I149" s="95">
        <f>IFERROR(VLOOKUP(F149,'12. Contratos_OS'!$A$6:$L$1000,4,FALSE),"")</f>
        <v/>
      </c>
      <c r="J149" s="95">
        <f>IFERROR(VLOOKUP(F149,'12. Contratos_OS'!$A$6:$L$1000,7,FALSE),"")</f>
        <v/>
      </c>
      <c r="K149" s="95">
        <f>IFERROR(VLOOKUP(J149,'11. Cadastro de Serviços'!$A$6:$E$200,2,FALSE),"")</f>
        <v/>
      </c>
      <c r="L149" s="95">
        <f>IFERROR(VLOOKUP(J149,'11. Cadastro de Serviços'!$A$6:$E$200,3,FALSE),"")</f>
        <v/>
      </c>
      <c r="M149" s="95">
        <f>IFERROR(VLOOKUP(J149,'11. Cadastro de Serviços'!$A$6:$E$200,4,FALSE),"")</f>
        <v/>
      </c>
      <c r="N149" s="95" t="n"/>
      <c r="O149" s="95">
        <f>IF(AND(G149&lt;&gt;"",I149&lt;&gt;"",J149&lt;&gt;"",M149&lt;&gt;""),"Rastreado","Revisar")</f>
        <v/>
      </c>
      <c r="P149" s="96" t="n"/>
    </row>
    <row r="150">
      <c r="A150" s="95" t="n"/>
      <c r="B150" s="96" t="n"/>
      <c r="C150" s="96" t="n"/>
      <c r="D150" s="95" t="n"/>
      <c r="E150" s="96" t="n"/>
      <c r="F150" s="96" t="n"/>
      <c r="G150" s="95">
        <f>IFERROR(VLOOKUP(F150,'12. Contratos_OS'!$A$6:$L$1000,2,FALSE),"")</f>
        <v/>
      </c>
      <c r="H150" s="95">
        <f>IFERROR(VLOOKUP(F150,'12. Contratos_OS'!$A$6:$L$1000,3,FALSE),"")</f>
        <v/>
      </c>
      <c r="I150" s="95">
        <f>IFERROR(VLOOKUP(F150,'12. Contratos_OS'!$A$6:$L$1000,4,FALSE),"")</f>
        <v/>
      </c>
      <c r="J150" s="95">
        <f>IFERROR(VLOOKUP(F150,'12. Contratos_OS'!$A$6:$L$1000,7,FALSE),"")</f>
        <v/>
      </c>
      <c r="K150" s="95">
        <f>IFERROR(VLOOKUP(J150,'11. Cadastro de Serviços'!$A$6:$E$200,2,FALSE),"")</f>
        <v/>
      </c>
      <c r="L150" s="95">
        <f>IFERROR(VLOOKUP(J150,'11. Cadastro de Serviços'!$A$6:$E$200,3,FALSE),"")</f>
        <v/>
      </c>
      <c r="M150" s="95">
        <f>IFERROR(VLOOKUP(J150,'11. Cadastro de Serviços'!$A$6:$E$200,4,FALSE),"")</f>
        <v/>
      </c>
      <c r="N150" s="95" t="n"/>
      <c r="O150" s="95">
        <f>IF(AND(G150&lt;&gt;"",I150&lt;&gt;"",J150&lt;&gt;"",M150&lt;&gt;""),"Rastreado","Revisar")</f>
        <v/>
      </c>
      <c r="P150" s="96" t="n"/>
    </row>
    <row r="151">
      <c r="A151" s="95" t="n"/>
      <c r="B151" s="96" t="n"/>
      <c r="C151" s="96" t="n"/>
      <c r="D151" s="95" t="n"/>
      <c r="E151" s="96" t="n"/>
      <c r="F151" s="96" t="n"/>
      <c r="G151" s="95">
        <f>IFERROR(VLOOKUP(F151,'12. Contratos_OS'!$A$6:$L$1000,2,FALSE),"")</f>
        <v/>
      </c>
      <c r="H151" s="95">
        <f>IFERROR(VLOOKUP(F151,'12. Contratos_OS'!$A$6:$L$1000,3,FALSE),"")</f>
        <v/>
      </c>
      <c r="I151" s="95">
        <f>IFERROR(VLOOKUP(F151,'12. Contratos_OS'!$A$6:$L$1000,4,FALSE),"")</f>
        <v/>
      </c>
      <c r="J151" s="95">
        <f>IFERROR(VLOOKUP(F151,'12. Contratos_OS'!$A$6:$L$1000,7,FALSE),"")</f>
        <v/>
      </c>
      <c r="K151" s="95">
        <f>IFERROR(VLOOKUP(J151,'11. Cadastro de Serviços'!$A$6:$E$200,2,FALSE),"")</f>
        <v/>
      </c>
      <c r="L151" s="95">
        <f>IFERROR(VLOOKUP(J151,'11. Cadastro de Serviços'!$A$6:$E$200,3,FALSE),"")</f>
        <v/>
      </c>
      <c r="M151" s="95">
        <f>IFERROR(VLOOKUP(J151,'11. Cadastro de Serviços'!$A$6:$E$200,4,FALSE),"")</f>
        <v/>
      </c>
      <c r="N151" s="95" t="n"/>
      <c r="O151" s="95">
        <f>IF(AND(G151&lt;&gt;"",I151&lt;&gt;"",J151&lt;&gt;"",M151&lt;&gt;""),"Rastreado","Revisar")</f>
        <v/>
      </c>
      <c r="P151" s="96" t="n"/>
    </row>
    <row r="152">
      <c r="A152" s="95" t="n"/>
      <c r="B152" s="96" t="n"/>
      <c r="C152" s="96" t="n"/>
      <c r="D152" s="95" t="n"/>
      <c r="E152" s="96" t="n"/>
      <c r="F152" s="96" t="n"/>
      <c r="G152" s="95">
        <f>IFERROR(VLOOKUP(F152,'12. Contratos_OS'!$A$6:$L$1000,2,FALSE),"")</f>
        <v/>
      </c>
      <c r="H152" s="95">
        <f>IFERROR(VLOOKUP(F152,'12. Contratos_OS'!$A$6:$L$1000,3,FALSE),"")</f>
        <v/>
      </c>
      <c r="I152" s="95">
        <f>IFERROR(VLOOKUP(F152,'12. Contratos_OS'!$A$6:$L$1000,4,FALSE),"")</f>
        <v/>
      </c>
      <c r="J152" s="95">
        <f>IFERROR(VLOOKUP(F152,'12. Contratos_OS'!$A$6:$L$1000,7,FALSE),"")</f>
        <v/>
      </c>
      <c r="K152" s="95">
        <f>IFERROR(VLOOKUP(J152,'11. Cadastro de Serviços'!$A$6:$E$200,2,FALSE),"")</f>
        <v/>
      </c>
      <c r="L152" s="95">
        <f>IFERROR(VLOOKUP(J152,'11. Cadastro de Serviços'!$A$6:$E$200,3,FALSE),"")</f>
        <v/>
      </c>
      <c r="M152" s="95">
        <f>IFERROR(VLOOKUP(J152,'11. Cadastro de Serviços'!$A$6:$E$200,4,FALSE),"")</f>
        <v/>
      </c>
      <c r="N152" s="95" t="n"/>
      <c r="O152" s="95">
        <f>IF(AND(G152&lt;&gt;"",I152&lt;&gt;"",J152&lt;&gt;"",M152&lt;&gt;""),"Rastreado","Revisar")</f>
        <v/>
      </c>
      <c r="P152" s="96" t="n"/>
    </row>
    <row r="153">
      <c r="A153" s="95" t="n"/>
      <c r="B153" s="96" t="n"/>
      <c r="C153" s="96" t="n"/>
      <c r="D153" s="95" t="n"/>
      <c r="E153" s="96" t="n"/>
      <c r="F153" s="96" t="n"/>
      <c r="G153" s="95">
        <f>IFERROR(VLOOKUP(F153,'12. Contratos_OS'!$A$6:$L$1000,2,FALSE),"")</f>
        <v/>
      </c>
      <c r="H153" s="95">
        <f>IFERROR(VLOOKUP(F153,'12. Contratos_OS'!$A$6:$L$1000,3,FALSE),"")</f>
        <v/>
      </c>
      <c r="I153" s="95">
        <f>IFERROR(VLOOKUP(F153,'12. Contratos_OS'!$A$6:$L$1000,4,FALSE),"")</f>
        <v/>
      </c>
      <c r="J153" s="95">
        <f>IFERROR(VLOOKUP(F153,'12. Contratos_OS'!$A$6:$L$1000,7,FALSE),"")</f>
        <v/>
      </c>
      <c r="K153" s="95">
        <f>IFERROR(VLOOKUP(J153,'11. Cadastro de Serviços'!$A$6:$E$200,2,FALSE),"")</f>
        <v/>
      </c>
      <c r="L153" s="95">
        <f>IFERROR(VLOOKUP(J153,'11. Cadastro de Serviços'!$A$6:$E$200,3,FALSE),"")</f>
        <v/>
      </c>
      <c r="M153" s="95">
        <f>IFERROR(VLOOKUP(J153,'11. Cadastro de Serviços'!$A$6:$E$200,4,FALSE),"")</f>
        <v/>
      </c>
      <c r="N153" s="95" t="n"/>
      <c r="O153" s="95">
        <f>IF(AND(G153&lt;&gt;"",I153&lt;&gt;"",J153&lt;&gt;"",M153&lt;&gt;""),"Rastreado","Revisar")</f>
        <v/>
      </c>
      <c r="P153" s="96" t="n"/>
    </row>
    <row r="154">
      <c r="A154" s="95" t="n"/>
      <c r="B154" s="96" t="n"/>
      <c r="C154" s="96" t="n"/>
      <c r="D154" s="95" t="n"/>
      <c r="E154" s="96" t="n"/>
      <c r="F154" s="96" t="n"/>
      <c r="G154" s="95">
        <f>IFERROR(VLOOKUP(F154,'12. Contratos_OS'!$A$6:$L$1000,2,FALSE),"")</f>
        <v/>
      </c>
      <c r="H154" s="95">
        <f>IFERROR(VLOOKUP(F154,'12. Contratos_OS'!$A$6:$L$1000,3,FALSE),"")</f>
        <v/>
      </c>
      <c r="I154" s="95">
        <f>IFERROR(VLOOKUP(F154,'12. Contratos_OS'!$A$6:$L$1000,4,FALSE),"")</f>
        <v/>
      </c>
      <c r="J154" s="95">
        <f>IFERROR(VLOOKUP(F154,'12. Contratos_OS'!$A$6:$L$1000,7,FALSE),"")</f>
        <v/>
      </c>
      <c r="K154" s="95">
        <f>IFERROR(VLOOKUP(J154,'11. Cadastro de Serviços'!$A$6:$E$200,2,FALSE),"")</f>
        <v/>
      </c>
      <c r="L154" s="95">
        <f>IFERROR(VLOOKUP(J154,'11. Cadastro de Serviços'!$A$6:$E$200,3,FALSE),"")</f>
        <v/>
      </c>
      <c r="M154" s="95">
        <f>IFERROR(VLOOKUP(J154,'11. Cadastro de Serviços'!$A$6:$E$200,4,FALSE),"")</f>
        <v/>
      </c>
      <c r="N154" s="95" t="n"/>
      <c r="O154" s="95">
        <f>IF(AND(G154&lt;&gt;"",I154&lt;&gt;"",J154&lt;&gt;"",M154&lt;&gt;""),"Rastreado","Revisar")</f>
        <v/>
      </c>
      <c r="P154" s="96" t="n"/>
    </row>
    <row r="155">
      <c r="A155" s="95" t="n"/>
      <c r="B155" s="96" t="n"/>
      <c r="C155" s="96" t="n"/>
      <c r="D155" s="95" t="n"/>
      <c r="E155" s="96" t="n"/>
      <c r="F155" s="96" t="n"/>
      <c r="G155" s="95">
        <f>IFERROR(VLOOKUP(F155,'12. Contratos_OS'!$A$6:$L$1000,2,FALSE),"")</f>
        <v/>
      </c>
      <c r="H155" s="95">
        <f>IFERROR(VLOOKUP(F155,'12. Contratos_OS'!$A$6:$L$1000,3,FALSE),"")</f>
        <v/>
      </c>
      <c r="I155" s="95">
        <f>IFERROR(VLOOKUP(F155,'12. Contratos_OS'!$A$6:$L$1000,4,FALSE),"")</f>
        <v/>
      </c>
      <c r="J155" s="95">
        <f>IFERROR(VLOOKUP(F155,'12. Contratos_OS'!$A$6:$L$1000,7,FALSE),"")</f>
        <v/>
      </c>
      <c r="K155" s="95">
        <f>IFERROR(VLOOKUP(J155,'11. Cadastro de Serviços'!$A$6:$E$200,2,FALSE),"")</f>
        <v/>
      </c>
      <c r="L155" s="95">
        <f>IFERROR(VLOOKUP(J155,'11. Cadastro de Serviços'!$A$6:$E$200,3,FALSE),"")</f>
        <v/>
      </c>
      <c r="M155" s="95">
        <f>IFERROR(VLOOKUP(J155,'11. Cadastro de Serviços'!$A$6:$E$200,4,FALSE),"")</f>
        <v/>
      </c>
      <c r="N155" s="95" t="n"/>
      <c r="O155" s="95">
        <f>IF(AND(G155&lt;&gt;"",I155&lt;&gt;"",J155&lt;&gt;"",M155&lt;&gt;""),"Rastreado","Revisar")</f>
        <v/>
      </c>
      <c r="P155" s="96" t="n"/>
    </row>
    <row r="156">
      <c r="A156" s="95" t="n"/>
      <c r="B156" s="96" t="n"/>
      <c r="C156" s="96" t="n"/>
      <c r="D156" s="95" t="n"/>
      <c r="E156" s="96" t="n"/>
      <c r="F156" s="96" t="n"/>
      <c r="G156" s="95">
        <f>IFERROR(VLOOKUP(F156,'12. Contratos_OS'!$A$6:$L$1000,2,FALSE),"")</f>
        <v/>
      </c>
      <c r="H156" s="95">
        <f>IFERROR(VLOOKUP(F156,'12. Contratos_OS'!$A$6:$L$1000,3,FALSE),"")</f>
        <v/>
      </c>
      <c r="I156" s="95">
        <f>IFERROR(VLOOKUP(F156,'12. Contratos_OS'!$A$6:$L$1000,4,FALSE),"")</f>
        <v/>
      </c>
      <c r="J156" s="95">
        <f>IFERROR(VLOOKUP(F156,'12. Contratos_OS'!$A$6:$L$1000,7,FALSE),"")</f>
        <v/>
      </c>
      <c r="K156" s="95">
        <f>IFERROR(VLOOKUP(J156,'11. Cadastro de Serviços'!$A$6:$E$200,2,FALSE),"")</f>
        <v/>
      </c>
      <c r="L156" s="95">
        <f>IFERROR(VLOOKUP(J156,'11. Cadastro de Serviços'!$A$6:$E$200,3,FALSE),"")</f>
        <v/>
      </c>
      <c r="M156" s="95">
        <f>IFERROR(VLOOKUP(J156,'11. Cadastro de Serviços'!$A$6:$E$200,4,FALSE),"")</f>
        <v/>
      </c>
      <c r="N156" s="95" t="n"/>
      <c r="O156" s="95">
        <f>IF(AND(G156&lt;&gt;"",I156&lt;&gt;"",J156&lt;&gt;"",M156&lt;&gt;""),"Rastreado","Revisar")</f>
        <v/>
      </c>
      <c r="P156" s="96" t="n"/>
    </row>
    <row r="157">
      <c r="A157" s="95" t="n"/>
      <c r="B157" s="96" t="n"/>
      <c r="C157" s="96" t="n"/>
      <c r="D157" s="95" t="n"/>
      <c r="E157" s="96" t="n"/>
      <c r="F157" s="96" t="n"/>
      <c r="G157" s="95">
        <f>IFERROR(VLOOKUP(F157,'12. Contratos_OS'!$A$6:$L$1000,2,FALSE),"")</f>
        <v/>
      </c>
      <c r="H157" s="95">
        <f>IFERROR(VLOOKUP(F157,'12. Contratos_OS'!$A$6:$L$1000,3,FALSE),"")</f>
        <v/>
      </c>
      <c r="I157" s="95">
        <f>IFERROR(VLOOKUP(F157,'12. Contratos_OS'!$A$6:$L$1000,4,FALSE),"")</f>
        <v/>
      </c>
      <c r="J157" s="95">
        <f>IFERROR(VLOOKUP(F157,'12. Contratos_OS'!$A$6:$L$1000,7,FALSE),"")</f>
        <v/>
      </c>
      <c r="K157" s="95">
        <f>IFERROR(VLOOKUP(J157,'11. Cadastro de Serviços'!$A$6:$E$200,2,FALSE),"")</f>
        <v/>
      </c>
      <c r="L157" s="95">
        <f>IFERROR(VLOOKUP(J157,'11. Cadastro de Serviços'!$A$6:$E$200,3,FALSE),"")</f>
        <v/>
      </c>
      <c r="M157" s="95">
        <f>IFERROR(VLOOKUP(J157,'11. Cadastro de Serviços'!$A$6:$E$200,4,FALSE),"")</f>
        <v/>
      </c>
      <c r="N157" s="95" t="n"/>
      <c r="O157" s="95">
        <f>IF(AND(G157&lt;&gt;"",I157&lt;&gt;"",J157&lt;&gt;"",M157&lt;&gt;""),"Rastreado","Revisar")</f>
        <v/>
      </c>
      <c r="P157" s="96" t="n"/>
    </row>
    <row r="158">
      <c r="A158" s="95" t="n"/>
      <c r="B158" s="96" t="n"/>
      <c r="C158" s="96" t="n"/>
      <c r="D158" s="95" t="n"/>
      <c r="E158" s="96" t="n"/>
      <c r="F158" s="96" t="n"/>
      <c r="G158" s="95">
        <f>IFERROR(VLOOKUP(F158,'12. Contratos_OS'!$A$6:$L$1000,2,FALSE),"")</f>
        <v/>
      </c>
      <c r="H158" s="95">
        <f>IFERROR(VLOOKUP(F158,'12. Contratos_OS'!$A$6:$L$1000,3,FALSE),"")</f>
        <v/>
      </c>
      <c r="I158" s="95">
        <f>IFERROR(VLOOKUP(F158,'12. Contratos_OS'!$A$6:$L$1000,4,FALSE),"")</f>
        <v/>
      </c>
      <c r="J158" s="95">
        <f>IFERROR(VLOOKUP(F158,'12. Contratos_OS'!$A$6:$L$1000,7,FALSE),"")</f>
        <v/>
      </c>
      <c r="K158" s="95">
        <f>IFERROR(VLOOKUP(J158,'11. Cadastro de Serviços'!$A$6:$E$200,2,FALSE),"")</f>
        <v/>
      </c>
      <c r="L158" s="95">
        <f>IFERROR(VLOOKUP(J158,'11. Cadastro de Serviços'!$A$6:$E$200,3,FALSE),"")</f>
        <v/>
      </c>
      <c r="M158" s="95">
        <f>IFERROR(VLOOKUP(J158,'11. Cadastro de Serviços'!$A$6:$E$200,4,FALSE),"")</f>
        <v/>
      </c>
      <c r="N158" s="95" t="n"/>
      <c r="O158" s="95">
        <f>IF(AND(G158&lt;&gt;"",I158&lt;&gt;"",J158&lt;&gt;"",M158&lt;&gt;""),"Rastreado","Revisar")</f>
        <v/>
      </c>
      <c r="P158" s="96" t="n"/>
    </row>
    <row r="159">
      <c r="A159" s="95" t="n"/>
      <c r="B159" s="96" t="n"/>
      <c r="C159" s="96" t="n"/>
      <c r="D159" s="95" t="n"/>
      <c r="E159" s="96" t="n"/>
      <c r="F159" s="96" t="n"/>
      <c r="G159" s="95">
        <f>IFERROR(VLOOKUP(F159,'12. Contratos_OS'!$A$6:$L$1000,2,FALSE),"")</f>
        <v/>
      </c>
      <c r="H159" s="95">
        <f>IFERROR(VLOOKUP(F159,'12. Contratos_OS'!$A$6:$L$1000,3,FALSE),"")</f>
        <v/>
      </c>
      <c r="I159" s="95">
        <f>IFERROR(VLOOKUP(F159,'12. Contratos_OS'!$A$6:$L$1000,4,FALSE),"")</f>
        <v/>
      </c>
      <c r="J159" s="95">
        <f>IFERROR(VLOOKUP(F159,'12. Contratos_OS'!$A$6:$L$1000,7,FALSE),"")</f>
        <v/>
      </c>
      <c r="K159" s="95">
        <f>IFERROR(VLOOKUP(J159,'11. Cadastro de Serviços'!$A$6:$E$200,2,FALSE),"")</f>
        <v/>
      </c>
      <c r="L159" s="95">
        <f>IFERROR(VLOOKUP(J159,'11. Cadastro de Serviços'!$A$6:$E$200,3,FALSE),"")</f>
        <v/>
      </c>
      <c r="M159" s="95">
        <f>IFERROR(VLOOKUP(J159,'11. Cadastro de Serviços'!$A$6:$E$200,4,FALSE),"")</f>
        <v/>
      </c>
      <c r="N159" s="95" t="n"/>
      <c r="O159" s="95">
        <f>IF(AND(G159&lt;&gt;"",I159&lt;&gt;"",J159&lt;&gt;"",M159&lt;&gt;""),"Rastreado","Revisar")</f>
        <v/>
      </c>
      <c r="P159" s="96" t="n"/>
    </row>
    <row r="160">
      <c r="A160" s="95" t="n"/>
      <c r="B160" s="96" t="n"/>
      <c r="C160" s="96" t="n"/>
      <c r="D160" s="95" t="n"/>
      <c r="E160" s="96" t="n"/>
      <c r="F160" s="96" t="n"/>
      <c r="G160" s="95">
        <f>IFERROR(VLOOKUP(F160,'12. Contratos_OS'!$A$6:$L$1000,2,FALSE),"")</f>
        <v/>
      </c>
      <c r="H160" s="95">
        <f>IFERROR(VLOOKUP(F160,'12. Contratos_OS'!$A$6:$L$1000,3,FALSE),"")</f>
        <v/>
      </c>
      <c r="I160" s="95">
        <f>IFERROR(VLOOKUP(F160,'12. Contratos_OS'!$A$6:$L$1000,4,FALSE),"")</f>
        <v/>
      </c>
      <c r="J160" s="95">
        <f>IFERROR(VLOOKUP(F160,'12. Contratos_OS'!$A$6:$L$1000,7,FALSE),"")</f>
        <v/>
      </c>
      <c r="K160" s="95">
        <f>IFERROR(VLOOKUP(J160,'11. Cadastro de Serviços'!$A$6:$E$200,2,FALSE),"")</f>
        <v/>
      </c>
      <c r="L160" s="95">
        <f>IFERROR(VLOOKUP(J160,'11. Cadastro de Serviços'!$A$6:$E$200,3,FALSE),"")</f>
        <v/>
      </c>
      <c r="M160" s="95">
        <f>IFERROR(VLOOKUP(J160,'11. Cadastro de Serviços'!$A$6:$E$200,4,FALSE),"")</f>
        <v/>
      </c>
      <c r="N160" s="95" t="n"/>
      <c r="O160" s="95">
        <f>IF(AND(G160&lt;&gt;"",I160&lt;&gt;"",J160&lt;&gt;"",M160&lt;&gt;""),"Rastreado","Revisar")</f>
        <v/>
      </c>
      <c r="P160" s="96" t="n"/>
    </row>
    <row r="161">
      <c r="A161" s="95" t="n"/>
      <c r="B161" s="96" t="n"/>
      <c r="C161" s="96" t="n"/>
      <c r="D161" s="95" t="n"/>
      <c r="E161" s="96" t="n"/>
      <c r="F161" s="96" t="n"/>
      <c r="G161" s="95">
        <f>IFERROR(VLOOKUP(F161,'12. Contratos_OS'!$A$6:$L$1000,2,FALSE),"")</f>
        <v/>
      </c>
      <c r="H161" s="95">
        <f>IFERROR(VLOOKUP(F161,'12. Contratos_OS'!$A$6:$L$1000,3,FALSE),"")</f>
        <v/>
      </c>
      <c r="I161" s="95">
        <f>IFERROR(VLOOKUP(F161,'12. Contratos_OS'!$A$6:$L$1000,4,FALSE),"")</f>
        <v/>
      </c>
      <c r="J161" s="95">
        <f>IFERROR(VLOOKUP(F161,'12. Contratos_OS'!$A$6:$L$1000,7,FALSE),"")</f>
        <v/>
      </c>
      <c r="K161" s="95">
        <f>IFERROR(VLOOKUP(J161,'11. Cadastro de Serviços'!$A$6:$E$200,2,FALSE),"")</f>
        <v/>
      </c>
      <c r="L161" s="95">
        <f>IFERROR(VLOOKUP(J161,'11. Cadastro de Serviços'!$A$6:$E$200,3,FALSE),"")</f>
        <v/>
      </c>
      <c r="M161" s="95">
        <f>IFERROR(VLOOKUP(J161,'11. Cadastro de Serviços'!$A$6:$E$200,4,FALSE),"")</f>
        <v/>
      </c>
      <c r="N161" s="95" t="n"/>
      <c r="O161" s="95">
        <f>IF(AND(G161&lt;&gt;"",I161&lt;&gt;"",J161&lt;&gt;"",M161&lt;&gt;""),"Rastreado","Revisar")</f>
        <v/>
      </c>
      <c r="P161" s="96" t="n"/>
    </row>
    <row r="162">
      <c r="A162" s="95" t="n"/>
      <c r="B162" s="96" t="n"/>
      <c r="C162" s="96" t="n"/>
      <c r="D162" s="95" t="n"/>
      <c r="E162" s="96" t="n"/>
      <c r="F162" s="96" t="n"/>
      <c r="G162" s="95">
        <f>IFERROR(VLOOKUP(F162,'12. Contratos_OS'!$A$6:$L$1000,2,FALSE),"")</f>
        <v/>
      </c>
      <c r="H162" s="95">
        <f>IFERROR(VLOOKUP(F162,'12. Contratos_OS'!$A$6:$L$1000,3,FALSE),"")</f>
        <v/>
      </c>
      <c r="I162" s="95">
        <f>IFERROR(VLOOKUP(F162,'12. Contratos_OS'!$A$6:$L$1000,4,FALSE),"")</f>
        <v/>
      </c>
      <c r="J162" s="95">
        <f>IFERROR(VLOOKUP(F162,'12. Contratos_OS'!$A$6:$L$1000,7,FALSE),"")</f>
        <v/>
      </c>
      <c r="K162" s="95">
        <f>IFERROR(VLOOKUP(J162,'11. Cadastro de Serviços'!$A$6:$E$200,2,FALSE),"")</f>
        <v/>
      </c>
      <c r="L162" s="95">
        <f>IFERROR(VLOOKUP(J162,'11. Cadastro de Serviços'!$A$6:$E$200,3,FALSE),"")</f>
        <v/>
      </c>
      <c r="M162" s="95">
        <f>IFERROR(VLOOKUP(J162,'11. Cadastro de Serviços'!$A$6:$E$200,4,FALSE),"")</f>
        <v/>
      </c>
      <c r="N162" s="95" t="n"/>
      <c r="O162" s="95">
        <f>IF(AND(G162&lt;&gt;"",I162&lt;&gt;"",J162&lt;&gt;"",M162&lt;&gt;""),"Rastreado","Revisar")</f>
        <v/>
      </c>
      <c r="P162" s="96" t="n"/>
    </row>
    <row r="163">
      <c r="A163" s="95" t="n"/>
      <c r="B163" s="96" t="n"/>
      <c r="C163" s="96" t="n"/>
      <c r="D163" s="95" t="n"/>
      <c r="E163" s="96" t="n"/>
      <c r="F163" s="96" t="n"/>
      <c r="G163" s="95">
        <f>IFERROR(VLOOKUP(F163,'12. Contratos_OS'!$A$6:$L$1000,2,FALSE),"")</f>
        <v/>
      </c>
      <c r="H163" s="95">
        <f>IFERROR(VLOOKUP(F163,'12. Contratos_OS'!$A$6:$L$1000,3,FALSE),"")</f>
        <v/>
      </c>
      <c r="I163" s="95">
        <f>IFERROR(VLOOKUP(F163,'12. Contratos_OS'!$A$6:$L$1000,4,FALSE),"")</f>
        <v/>
      </c>
      <c r="J163" s="95">
        <f>IFERROR(VLOOKUP(F163,'12. Contratos_OS'!$A$6:$L$1000,7,FALSE),"")</f>
        <v/>
      </c>
      <c r="K163" s="95">
        <f>IFERROR(VLOOKUP(J163,'11. Cadastro de Serviços'!$A$6:$E$200,2,FALSE),"")</f>
        <v/>
      </c>
      <c r="L163" s="95">
        <f>IFERROR(VLOOKUP(J163,'11. Cadastro de Serviços'!$A$6:$E$200,3,FALSE),"")</f>
        <v/>
      </c>
      <c r="M163" s="95">
        <f>IFERROR(VLOOKUP(J163,'11. Cadastro de Serviços'!$A$6:$E$200,4,FALSE),"")</f>
        <v/>
      </c>
      <c r="N163" s="95" t="n"/>
      <c r="O163" s="95">
        <f>IF(AND(G163&lt;&gt;"",I163&lt;&gt;"",J163&lt;&gt;"",M163&lt;&gt;""),"Rastreado","Revisar")</f>
        <v/>
      </c>
      <c r="P163" s="96" t="n"/>
    </row>
    <row r="164">
      <c r="A164" s="95" t="n"/>
      <c r="B164" s="96" t="n"/>
      <c r="C164" s="96" t="n"/>
      <c r="D164" s="95" t="n"/>
      <c r="E164" s="96" t="n"/>
      <c r="F164" s="96" t="n"/>
      <c r="G164" s="95">
        <f>IFERROR(VLOOKUP(F164,'12. Contratos_OS'!$A$6:$L$1000,2,FALSE),"")</f>
        <v/>
      </c>
      <c r="H164" s="95">
        <f>IFERROR(VLOOKUP(F164,'12. Contratos_OS'!$A$6:$L$1000,3,FALSE),"")</f>
        <v/>
      </c>
      <c r="I164" s="95">
        <f>IFERROR(VLOOKUP(F164,'12. Contratos_OS'!$A$6:$L$1000,4,FALSE),"")</f>
        <v/>
      </c>
      <c r="J164" s="95">
        <f>IFERROR(VLOOKUP(F164,'12. Contratos_OS'!$A$6:$L$1000,7,FALSE),"")</f>
        <v/>
      </c>
      <c r="K164" s="95">
        <f>IFERROR(VLOOKUP(J164,'11. Cadastro de Serviços'!$A$6:$E$200,2,FALSE),"")</f>
        <v/>
      </c>
      <c r="L164" s="95">
        <f>IFERROR(VLOOKUP(J164,'11. Cadastro de Serviços'!$A$6:$E$200,3,FALSE),"")</f>
        <v/>
      </c>
      <c r="M164" s="95">
        <f>IFERROR(VLOOKUP(J164,'11. Cadastro de Serviços'!$A$6:$E$200,4,FALSE),"")</f>
        <v/>
      </c>
      <c r="N164" s="95" t="n"/>
      <c r="O164" s="95">
        <f>IF(AND(G164&lt;&gt;"",I164&lt;&gt;"",J164&lt;&gt;"",M164&lt;&gt;""),"Rastreado","Revisar")</f>
        <v/>
      </c>
      <c r="P164" s="96" t="n"/>
    </row>
    <row r="165">
      <c r="A165" s="95" t="n"/>
      <c r="B165" s="96" t="n"/>
      <c r="C165" s="96" t="n"/>
      <c r="D165" s="95" t="n"/>
      <c r="E165" s="96" t="n"/>
      <c r="F165" s="96" t="n"/>
      <c r="G165" s="95">
        <f>IFERROR(VLOOKUP(F165,'12. Contratos_OS'!$A$6:$L$1000,2,FALSE),"")</f>
        <v/>
      </c>
      <c r="H165" s="95">
        <f>IFERROR(VLOOKUP(F165,'12. Contratos_OS'!$A$6:$L$1000,3,FALSE),"")</f>
        <v/>
      </c>
      <c r="I165" s="95">
        <f>IFERROR(VLOOKUP(F165,'12. Contratos_OS'!$A$6:$L$1000,4,FALSE),"")</f>
        <v/>
      </c>
      <c r="J165" s="95">
        <f>IFERROR(VLOOKUP(F165,'12. Contratos_OS'!$A$6:$L$1000,7,FALSE),"")</f>
        <v/>
      </c>
      <c r="K165" s="95">
        <f>IFERROR(VLOOKUP(J165,'11. Cadastro de Serviços'!$A$6:$E$200,2,FALSE),"")</f>
        <v/>
      </c>
      <c r="L165" s="95">
        <f>IFERROR(VLOOKUP(J165,'11. Cadastro de Serviços'!$A$6:$E$200,3,FALSE),"")</f>
        <v/>
      </c>
      <c r="M165" s="95">
        <f>IFERROR(VLOOKUP(J165,'11. Cadastro de Serviços'!$A$6:$E$200,4,FALSE),"")</f>
        <v/>
      </c>
      <c r="N165" s="95" t="n"/>
      <c r="O165" s="95">
        <f>IF(AND(G165&lt;&gt;"",I165&lt;&gt;"",J165&lt;&gt;"",M165&lt;&gt;""),"Rastreado","Revisar")</f>
        <v/>
      </c>
      <c r="P165" s="96" t="n"/>
    </row>
    <row r="166">
      <c r="A166" s="95" t="n"/>
      <c r="B166" s="96" t="n"/>
      <c r="C166" s="96" t="n"/>
      <c r="D166" s="95" t="n"/>
      <c r="E166" s="96" t="n"/>
      <c r="F166" s="96" t="n"/>
      <c r="G166" s="95">
        <f>IFERROR(VLOOKUP(F166,'12. Contratos_OS'!$A$6:$L$1000,2,FALSE),"")</f>
        <v/>
      </c>
      <c r="H166" s="95">
        <f>IFERROR(VLOOKUP(F166,'12. Contratos_OS'!$A$6:$L$1000,3,FALSE),"")</f>
        <v/>
      </c>
      <c r="I166" s="95">
        <f>IFERROR(VLOOKUP(F166,'12. Contratos_OS'!$A$6:$L$1000,4,FALSE),"")</f>
        <v/>
      </c>
      <c r="J166" s="95">
        <f>IFERROR(VLOOKUP(F166,'12. Contratos_OS'!$A$6:$L$1000,7,FALSE),"")</f>
        <v/>
      </c>
      <c r="K166" s="95">
        <f>IFERROR(VLOOKUP(J166,'11. Cadastro de Serviços'!$A$6:$E$200,2,FALSE),"")</f>
        <v/>
      </c>
      <c r="L166" s="95">
        <f>IFERROR(VLOOKUP(J166,'11. Cadastro de Serviços'!$A$6:$E$200,3,FALSE),"")</f>
        <v/>
      </c>
      <c r="M166" s="95">
        <f>IFERROR(VLOOKUP(J166,'11. Cadastro de Serviços'!$A$6:$E$200,4,FALSE),"")</f>
        <v/>
      </c>
      <c r="N166" s="95" t="n"/>
      <c r="O166" s="95">
        <f>IF(AND(G166&lt;&gt;"",I166&lt;&gt;"",J166&lt;&gt;"",M166&lt;&gt;""),"Rastreado","Revisar")</f>
        <v/>
      </c>
      <c r="P166" s="96" t="n"/>
    </row>
    <row r="167">
      <c r="A167" s="95" t="n"/>
      <c r="B167" s="96" t="n"/>
      <c r="C167" s="96" t="n"/>
      <c r="D167" s="95" t="n"/>
      <c r="E167" s="96" t="n"/>
      <c r="F167" s="96" t="n"/>
      <c r="G167" s="95">
        <f>IFERROR(VLOOKUP(F167,'12. Contratos_OS'!$A$6:$L$1000,2,FALSE),"")</f>
        <v/>
      </c>
      <c r="H167" s="95">
        <f>IFERROR(VLOOKUP(F167,'12. Contratos_OS'!$A$6:$L$1000,3,FALSE),"")</f>
        <v/>
      </c>
      <c r="I167" s="95">
        <f>IFERROR(VLOOKUP(F167,'12. Contratos_OS'!$A$6:$L$1000,4,FALSE),"")</f>
        <v/>
      </c>
      <c r="J167" s="95">
        <f>IFERROR(VLOOKUP(F167,'12. Contratos_OS'!$A$6:$L$1000,7,FALSE),"")</f>
        <v/>
      </c>
      <c r="K167" s="95">
        <f>IFERROR(VLOOKUP(J167,'11. Cadastro de Serviços'!$A$6:$E$200,2,FALSE),"")</f>
        <v/>
      </c>
      <c r="L167" s="95">
        <f>IFERROR(VLOOKUP(J167,'11. Cadastro de Serviços'!$A$6:$E$200,3,FALSE),"")</f>
        <v/>
      </c>
      <c r="M167" s="95">
        <f>IFERROR(VLOOKUP(J167,'11. Cadastro de Serviços'!$A$6:$E$200,4,FALSE),"")</f>
        <v/>
      </c>
      <c r="N167" s="95" t="n"/>
      <c r="O167" s="95">
        <f>IF(AND(G167&lt;&gt;"",I167&lt;&gt;"",J167&lt;&gt;"",M167&lt;&gt;""),"Rastreado","Revisar")</f>
        <v/>
      </c>
      <c r="P167" s="96" t="n"/>
    </row>
    <row r="168">
      <c r="A168" s="95" t="n"/>
      <c r="B168" s="96" t="n"/>
      <c r="C168" s="96" t="n"/>
      <c r="D168" s="95" t="n"/>
      <c r="E168" s="96" t="n"/>
      <c r="F168" s="96" t="n"/>
      <c r="G168" s="95">
        <f>IFERROR(VLOOKUP(F168,'12. Contratos_OS'!$A$6:$L$1000,2,FALSE),"")</f>
        <v/>
      </c>
      <c r="H168" s="95">
        <f>IFERROR(VLOOKUP(F168,'12. Contratos_OS'!$A$6:$L$1000,3,FALSE),"")</f>
        <v/>
      </c>
      <c r="I168" s="95">
        <f>IFERROR(VLOOKUP(F168,'12. Contratos_OS'!$A$6:$L$1000,4,FALSE),"")</f>
        <v/>
      </c>
      <c r="J168" s="95">
        <f>IFERROR(VLOOKUP(F168,'12. Contratos_OS'!$A$6:$L$1000,7,FALSE),"")</f>
        <v/>
      </c>
      <c r="K168" s="95">
        <f>IFERROR(VLOOKUP(J168,'11. Cadastro de Serviços'!$A$6:$E$200,2,FALSE),"")</f>
        <v/>
      </c>
      <c r="L168" s="95">
        <f>IFERROR(VLOOKUP(J168,'11. Cadastro de Serviços'!$A$6:$E$200,3,FALSE),"")</f>
        <v/>
      </c>
      <c r="M168" s="95">
        <f>IFERROR(VLOOKUP(J168,'11. Cadastro de Serviços'!$A$6:$E$200,4,FALSE),"")</f>
        <v/>
      </c>
      <c r="N168" s="95" t="n"/>
      <c r="O168" s="95">
        <f>IF(AND(G168&lt;&gt;"",I168&lt;&gt;"",J168&lt;&gt;"",M168&lt;&gt;""),"Rastreado","Revisar")</f>
        <v/>
      </c>
      <c r="P168" s="96" t="n"/>
    </row>
    <row r="169">
      <c r="A169" s="95" t="n"/>
      <c r="B169" s="96" t="n"/>
      <c r="C169" s="96" t="n"/>
      <c r="D169" s="95" t="n"/>
      <c r="E169" s="96" t="n"/>
      <c r="F169" s="96" t="n"/>
      <c r="G169" s="95">
        <f>IFERROR(VLOOKUP(F169,'12. Contratos_OS'!$A$6:$L$1000,2,FALSE),"")</f>
        <v/>
      </c>
      <c r="H169" s="95">
        <f>IFERROR(VLOOKUP(F169,'12. Contratos_OS'!$A$6:$L$1000,3,FALSE),"")</f>
        <v/>
      </c>
      <c r="I169" s="95">
        <f>IFERROR(VLOOKUP(F169,'12. Contratos_OS'!$A$6:$L$1000,4,FALSE),"")</f>
        <v/>
      </c>
      <c r="J169" s="95">
        <f>IFERROR(VLOOKUP(F169,'12. Contratos_OS'!$A$6:$L$1000,7,FALSE),"")</f>
        <v/>
      </c>
      <c r="K169" s="95">
        <f>IFERROR(VLOOKUP(J169,'11. Cadastro de Serviços'!$A$6:$E$200,2,FALSE),"")</f>
        <v/>
      </c>
      <c r="L169" s="95">
        <f>IFERROR(VLOOKUP(J169,'11. Cadastro de Serviços'!$A$6:$E$200,3,FALSE),"")</f>
        <v/>
      </c>
      <c r="M169" s="95">
        <f>IFERROR(VLOOKUP(J169,'11. Cadastro de Serviços'!$A$6:$E$200,4,FALSE),"")</f>
        <v/>
      </c>
      <c r="N169" s="95" t="n"/>
      <c r="O169" s="95">
        <f>IF(AND(G169&lt;&gt;"",I169&lt;&gt;"",J169&lt;&gt;"",M169&lt;&gt;""),"Rastreado","Revisar")</f>
        <v/>
      </c>
      <c r="P169" s="96" t="n"/>
    </row>
    <row r="170">
      <c r="A170" s="95" t="n"/>
      <c r="B170" s="96" t="n"/>
      <c r="C170" s="96" t="n"/>
      <c r="D170" s="95" t="n"/>
      <c r="E170" s="96" t="n"/>
      <c r="F170" s="96" t="n"/>
      <c r="G170" s="95">
        <f>IFERROR(VLOOKUP(F170,'12. Contratos_OS'!$A$6:$L$1000,2,FALSE),"")</f>
        <v/>
      </c>
      <c r="H170" s="95">
        <f>IFERROR(VLOOKUP(F170,'12. Contratos_OS'!$A$6:$L$1000,3,FALSE),"")</f>
        <v/>
      </c>
      <c r="I170" s="95">
        <f>IFERROR(VLOOKUP(F170,'12. Contratos_OS'!$A$6:$L$1000,4,FALSE),"")</f>
        <v/>
      </c>
      <c r="J170" s="95">
        <f>IFERROR(VLOOKUP(F170,'12. Contratos_OS'!$A$6:$L$1000,7,FALSE),"")</f>
        <v/>
      </c>
      <c r="K170" s="95">
        <f>IFERROR(VLOOKUP(J170,'11. Cadastro de Serviços'!$A$6:$E$200,2,FALSE),"")</f>
        <v/>
      </c>
      <c r="L170" s="95">
        <f>IFERROR(VLOOKUP(J170,'11. Cadastro de Serviços'!$A$6:$E$200,3,FALSE),"")</f>
        <v/>
      </c>
      <c r="M170" s="95">
        <f>IFERROR(VLOOKUP(J170,'11. Cadastro de Serviços'!$A$6:$E$200,4,FALSE),"")</f>
        <v/>
      </c>
      <c r="N170" s="95" t="n"/>
      <c r="O170" s="95">
        <f>IF(AND(G170&lt;&gt;"",I170&lt;&gt;"",J170&lt;&gt;"",M170&lt;&gt;""),"Rastreado","Revisar")</f>
        <v/>
      </c>
      <c r="P170" s="96" t="n"/>
    </row>
    <row r="171">
      <c r="A171" s="95" t="n"/>
      <c r="B171" s="96" t="n"/>
      <c r="C171" s="96" t="n"/>
      <c r="D171" s="95" t="n"/>
      <c r="E171" s="96" t="n"/>
      <c r="F171" s="96" t="n"/>
      <c r="G171" s="95">
        <f>IFERROR(VLOOKUP(F171,'12. Contratos_OS'!$A$6:$L$1000,2,FALSE),"")</f>
        <v/>
      </c>
      <c r="H171" s="95">
        <f>IFERROR(VLOOKUP(F171,'12. Contratos_OS'!$A$6:$L$1000,3,FALSE),"")</f>
        <v/>
      </c>
      <c r="I171" s="95">
        <f>IFERROR(VLOOKUP(F171,'12. Contratos_OS'!$A$6:$L$1000,4,FALSE),"")</f>
        <v/>
      </c>
      <c r="J171" s="95">
        <f>IFERROR(VLOOKUP(F171,'12. Contratos_OS'!$A$6:$L$1000,7,FALSE),"")</f>
        <v/>
      </c>
      <c r="K171" s="95">
        <f>IFERROR(VLOOKUP(J171,'11. Cadastro de Serviços'!$A$6:$E$200,2,FALSE),"")</f>
        <v/>
      </c>
      <c r="L171" s="95">
        <f>IFERROR(VLOOKUP(J171,'11. Cadastro de Serviços'!$A$6:$E$200,3,FALSE),"")</f>
        <v/>
      </c>
      <c r="M171" s="95">
        <f>IFERROR(VLOOKUP(J171,'11. Cadastro de Serviços'!$A$6:$E$200,4,FALSE),"")</f>
        <v/>
      </c>
      <c r="N171" s="95" t="n"/>
      <c r="O171" s="95">
        <f>IF(AND(G171&lt;&gt;"",I171&lt;&gt;"",J171&lt;&gt;"",M171&lt;&gt;""),"Rastreado","Revisar")</f>
        <v/>
      </c>
      <c r="P171" s="96" t="n"/>
    </row>
    <row r="172">
      <c r="A172" s="95" t="n"/>
      <c r="B172" s="96" t="n"/>
      <c r="C172" s="96" t="n"/>
      <c r="D172" s="95" t="n"/>
      <c r="E172" s="96" t="n"/>
      <c r="F172" s="96" t="n"/>
      <c r="G172" s="95">
        <f>IFERROR(VLOOKUP(F172,'12. Contratos_OS'!$A$6:$L$1000,2,FALSE),"")</f>
        <v/>
      </c>
      <c r="H172" s="95">
        <f>IFERROR(VLOOKUP(F172,'12. Contratos_OS'!$A$6:$L$1000,3,FALSE),"")</f>
        <v/>
      </c>
      <c r="I172" s="95">
        <f>IFERROR(VLOOKUP(F172,'12. Contratos_OS'!$A$6:$L$1000,4,FALSE),"")</f>
        <v/>
      </c>
      <c r="J172" s="95">
        <f>IFERROR(VLOOKUP(F172,'12. Contratos_OS'!$A$6:$L$1000,7,FALSE),"")</f>
        <v/>
      </c>
      <c r="K172" s="95">
        <f>IFERROR(VLOOKUP(J172,'11. Cadastro de Serviços'!$A$6:$E$200,2,FALSE),"")</f>
        <v/>
      </c>
      <c r="L172" s="95">
        <f>IFERROR(VLOOKUP(J172,'11. Cadastro de Serviços'!$A$6:$E$200,3,FALSE),"")</f>
        <v/>
      </c>
      <c r="M172" s="95">
        <f>IFERROR(VLOOKUP(J172,'11. Cadastro de Serviços'!$A$6:$E$200,4,FALSE),"")</f>
        <v/>
      </c>
      <c r="N172" s="95" t="n"/>
      <c r="O172" s="95">
        <f>IF(AND(G172&lt;&gt;"",I172&lt;&gt;"",J172&lt;&gt;"",M172&lt;&gt;""),"Rastreado","Revisar")</f>
        <v/>
      </c>
      <c r="P172" s="96" t="n"/>
    </row>
    <row r="173">
      <c r="A173" s="95" t="n"/>
      <c r="B173" s="96" t="n"/>
      <c r="C173" s="96" t="n"/>
      <c r="D173" s="95" t="n"/>
      <c r="E173" s="96" t="n"/>
      <c r="F173" s="96" t="n"/>
      <c r="G173" s="95">
        <f>IFERROR(VLOOKUP(F173,'12. Contratos_OS'!$A$6:$L$1000,2,FALSE),"")</f>
        <v/>
      </c>
      <c r="H173" s="95">
        <f>IFERROR(VLOOKUP(F173,'12. Contratos_OS'!$A$6:$L$1000,3,FALSE),"")</f>
        <v/>
      </c>
      <c r="I173" s="95">
        <f>IFERROR(VLOOKUP(F173,'12. Contratos_OS'!$A$6:$L$1000,4,FALSE),"")</f>
        <v/>
      </c>
      <c r="J173" s="95">
        <f>IFERROR(VLOOKUP(F173,'12. Contratos_OS'!$A$6:$L$1000,7,FALSE),"")</f>
        <v/>
      </c>
      <c r="K173" s="95">
        <f>IFERROR(VLOOKUP(J173,'11. Cadastro de Serviços'!$A$6:$E$200,2,FALSE),"")</f>
        <v/>
      </c>
      <c r="L173" s="95">
        <f>IFERROR(VLOOKUP(J173,'11. Cadastro de Serviços'!$A$6:$E$200,3,FALSE),"")</f>
        <v/>
      </c>
      <c r="M173" s="95">
        <f>IFERROR(VLOOKUP(J173,'11. Cadastro de Serviços'!$A$6:$E$200,4,FALSE),"")</f>
        <v/>
      </c>
      <c r="N173" s="95" t="n"/>
      <c r="O173" s="95">
        <f>IF(AND(G173&lt;&gt;"",I173&lt;&gt;"",J173&lt;&gt;"",M173&lt;&gt;""),"Rastreado","Revisar")</f>
        <v/>
      </c>
      <c r="P173" s="96" t="n"/>
    </row>
    <row r="174">
      <c r="A174" s="95" t="n"/>
      <c r="B174" s="96" t="n"/>
      <c r="C174" s="96" t="n"/>
      <c r="D174" s="95" t="n"/>
      <c r="E174" s="96" t="n"/>
      <c r="F174" s="96" t="n"/>
      <c r="G174" s="95">
        <f>IFERROR(VLOOKUP(F174,'12. Contratos_OS'!$A$6:$L$1000,2,FALSE),"")</f>
        <v/>
      </c>
      <c r="H174" s="95">
        <f>IFERROR(VLOOKUP(F174,'12. Contratos_OS'!$A$6:$L$1000,3,FALSE),"")</f>
        <v/>
      </c>
      <c r="I174" s="95">
        <f>IFERROR(VLOOKUP(F174,'12. Contratos_OS'!$A$6:$L$1000,4,FALSE),"")</f>
        <v/>
      </c>
      <c r="J174" s="95">
        <f>IFERROR(VLOOKUP(F174,'12. Contratos_OS'!$A$6:$L$1000,7,FALSE),"")</f>
        <v/>
      </c>
      <c r="K174" s="95">
        <f>IFERROR(VLOOKUP(J174,'11. Cadastro de Serviços'!$A$6:$E$200,2,FALSE),"")</f>
        <v/>
      </c>
      <c r="L174" s="95">
        <f>IFERROR(VLOOKUP(J174,'11. Cadastro de Serviços'!$A$6:$E$200,3,FALSE),"")</f>
        <v/>
      </c>
      <c r="M174" s="95">
        <f>IFERROR(VLOOKUP(J174,'11. Cadastro de Serviços'!$A$6:$E$200,4,FALSE),"")</f>
        <v/>
      </c>
      <c r="N174" s="95" t="n"/>
      <c r="O174" s="95">
        <f>IF(AND(G174&lt;&gt;"",I174&lt;&gt;"",J174&lt;&gt;"",M174&lt;&gt;""),"Rastreado","Revisar")</f>
        <v/>
      </c>
      <c r="P174" s="96" t="n"/>
    </row>
    <row r="175">
      <c r="A175" s="95" t="n"/>
      <c r="B175" s="96" t="n"/>
      <c r="C175" s="96" t="n"/>
      <c r="D175" s="95" t="n"/>
      <c r="E175" s="96" t="n"/>
      <c r="F175" s="96" t="n"/>
      <c r="G175" s="95">
        <f>IFERROR(VLOOKUP(F175,'12. Contratos_OS'!$A$6:$L$1000,2,FALSE),"")</f>
        <v/>
      </c>
      <c r="H175" s="95">
        <f>IFERROR(VLOOKUP(F175,'12. Contratos_OS'!$A$6:$L$1000,3,FALSE),"")</f>
        <v/>
      </c>
      <c r="I175" s="95">
        <f>IFERROR(VLOOKUP(F175,'12. Contratos_OS'!$A$6:$L$1000,4,FALSE),"")</f>
        <v/>
      </c>
      <c r="J175" s="95">
        <f>IFERROR(VLOOKUP(F175,'12. Contratos_OS'!$A$6:$L$1000,7,FALSE),"")</f>
        <v/>
      </c>
      <c r="K175" s="95">
        <f>IFERROR(VLOOKUP(J175,'11. Cadastro de Serviços'!$A$6:$E$200,2,FALSE),"")</f>
        <v/>
      </c>
      <c r="L175" s="95">
        <f>IFERROR(VLOOKUP(J175,'11. Cadastro de Serviços'!$A$6:$E$200,3,FALSE),"")</f>
        <v/>
      </c>
      <c r="M175" s="95">
        <f>IFERROR(VLOOKUP(J175,'11. Cadastro de Serviços'!$A$6:$E$200,4,FALSE),"")</f>
        <v/>
      </c>
      <c r="N175" s="95" t="n"/>
      <c r="O175" s="95">
        <f>IF(AND(G175&lt;&gt;"",I175&lt;&gt;"",J175&lt;&gt;"",M175&lt;&gt;""),"Rastreado","Revisar")</f>
        <v/>
      </c>
      <c r="P175" s="96" t="n"/>
    </row>
    <row r="176">
      <c r="A176" s="95" t="n"/>
      <c r="B176" s="96" t="n"/>
      <c r="C176" s="96" t="n"/>
      <c r="D176" s="95" t="n"/>
      <c r="E176" s="96" t="n"/>
      <c r="F176" s="96" t="n"/>
      <c r="G176" s="95">
        <f>IFERROR(VLOOKUP(F176,'12. Contratos_OS'!$A$6:$L$1000,2,FALSE),"")</f>
        <v/>
      </c>
      <c r="H176" s="95">
        <f>IFERROR(VLOOKUP(F176,'12. Contratos_OS'!$A$6:$L$1000,3,FALSE),"")</f>
        <v/>
      </c>
      <c r="I176" s="95">
        <f>IFERROR(VLOOKUP(F176,'12. Contratos_OS'!$A$6:$L$1000,4,FALSE),"")</f>
        <v/>
      </c>
      <c r="J176" s="95">
        <f>IFERROR(VLOOKUP(F176,'12. Contratos_OS'!$A$6:$L$1000,7,FALSE),"")</f>
        <v/>
      </c>
      <c r="K176" s="95">
        <f>IFERROR(VLOOKUP(J176,'11. Cadastro de Serviços'!$A$6:$E$200,2,FALSE),"")</f>
        <v/>
      </c>
      <c r="L176" s="95">
        <f>IFERROR(VLOOKUP(J176,'11. Cadastro de Serviços'!$A$6:$E$200,3,FALSE),"")</f>
        <v/>
      </c>
      <c r="M176" s="95">
        <f>IFERROR(VLOOKUP(J176,'11. Cadastro de Serviços'!$A$6:$E$200,4,FALSE),"")</f>
        <v/>
      </c>
      <c r="N176" s="95" t="n"/>
      <c r="O176" s="95">
        <f>IF(AND(G176&lt;&gt;"",I176&lt;&gt;"",J176&lt;&gt;"",M176&lt;&gt;""),"Rastreado","Revisar")</f>
        <v/>
      </c>
      <c r="P176" s="96" t="n"/>
    </row>
    <row r="177">
      <c r="A177" s="95" t="n"/>
      <c r="B177" s="96" t="n"/>
      <c r="C177" s="96" t="n"/>
      <c r="D177" s="95" t="n"/>
      <c r="E177" s="96" t="n"/>
      <c r="F177" s="96" t="n"/>
      <c r="G177" s="95">
        <f>IFERROR(VLOOKUP(F177,'12. Contratos_OS'!$A$6:$L$1000,2,FALSE),"")</f>
        <v/>
      </c>
      <c r="H177" s="95">
        <f>IFERROR(VLOOKUP(F177,'12. Contratos_OS'!$A$6:$L$1000,3,FALSE),"")</f>
        <v/>
      </c>
      <c r="I177" s="95">
        <f>IFERROR(VLOOKUP(F177,'12. Contratos_OS'!$A$6:$L$1000,4,FALSE),"")</f>
        <v/>
      </c>
      <c r="J177" s="95">
        <f>IFERROR(VLOOKUP(F177,'12. Contratos_OS'!$A$6:$L$1000,7,FALSE),"")</f>
        <v/>
      </c>
      <c r="K177" s="95">
        <f>IFERROR(VLOOKUP(J177,'11. Cadastro de Serviços'!$A$6:$E$200,2,FALSE),"")</f>
        <v/>
      </c>
      <c r="L177" s="95">
        <f>IFERROR(VLOOKUP(J177,'11. Cadastro de Serviços'!$A$6:$E$200,3,FALSE),"")</f>
        <v/>
      </c>
      <c r="M177" s="95">
        <f>IFERROR(VLOOKUP(J177,'11. Cadastro de Serviços'!$A$6:$E$200,4,FALSE),"")</f>
        <v/>
      </c>
      <c r="N177" s="95" t="n"/>
      <c r="O177" s="95">
        <f>IF(AND(G177&lt;&gt;"",I177&lt;&gt;"",J177&lt;&gt;"",M177&lt;&gt;""),"Rastreado","Revisar")</f>
        <v/>
      </c>
      <c r="P177" s="96" t="n"/>
    </row>
    <row r="178">
      <c r="A178" s="95" t="n"/>
      <c r="B178" s="96" t="n"/>
      <c r="C178" s="96" t="n"/>
      <c r="D178" s="95" t="n"/>
      <c r="E178" s="96" t="n"/>
      <c r="F178" s="96" t="n"/>
      <c r="G178" s="95">
        <f>IFERROR(VLOOKUP(F178,'12. Contratos_OS'!$A$6:$L$1000,2,FALSE),"")</f>
        <v/>
      </c>
      <c r="H178" s="95">
        <f>IFERROR(VLOOKUP(F178,'12. Contratos_OS'!$A$6:$L$1000,3,FALSE),"")</f>
        <v/>
      </c>
      <c r="I178" s="95">
        <f>IFERROR(VLOOKUP(F178,'12. Contratos_OS'!$A$6:$L$1000,4,FALSE),"")</f>
        <v/>
      </c>
      <c r="J178" s="95">
        <f>IFERROR(VLOOKUP(F178,'12. Contratos_OS'!$A$6:$L$1000,7,FALSE),"")</f>
        <v/>
      </c>
      <c r="K178" s="95">
        <f>IFERROR(VLOOKUP(J178,'11. Cadastro de Serviços'!$A$6:$E$200,2,FALSE),"")</f>
        <v/>
      </c>
      <c r="L178" s="95">
        <f>IFERROR(VLOOKUP(J178,'11. Cadastro de Serviços'!$A$6:$E$200,3,FALSE),"")</f>
        <v/>
      </c>
      <c r="M178" s="95">
        <f>IFERROR(VLOOKUP(J178,'11. Cadastro de Serviços'!$A$6:$E$200,4,FALSE),"")</f>
        <v/>
      </c>
      <c r="N178" s="95" t="n"/>
      <c r="O178" s="95">
        <f>IF(AND(G178&lt;&gt;"",I178&lt;&gt;"",J178&lt;&gt;"",M178&lt;&gt;""),"Rastreado","Revisar")</f>
        <v/>
      </c>
      <c r="P178" s="96" t="n"/>
    </row>
    <row r="179">
      <c r="A179" s="95" t="n"/>
      <c r="B179" s="96" t="n"/>
      <c r="C179" s="96" t="n"/>
      <c r="D179" s="95" t="n"/>
      <c r="E179" s="96" t="n"/>
      <c r="F179" s="96" t="n"/>
      <c r="G179" s="95">
        <f>IFERROR(VLOOKUP(F179,'12. Contratos_OS'!$A$6:$L$1000,2,FALSE),"")</f>
        <v/>
      </c>
      <c r="H179" s="95">
        <f>IFERROR(VLOOKUP(F179,'12. Contratos_OS'!$A$6:$L$1000,3,FALSE),"")</f>
        <v/>
      </c>
      <c r="I179" s="95">
        <f>IFERROR(VLOOKUP(F179,'12. Contratos_OS'!$A$6:$L$1000,4,FALSE),"")</f>
        <v/>
      </c>
      <c r="J179" s="95">
        <f>IFERROR(VLOOKUP(F179,'12. Contratos_OS'!$A$6:$L$1000,7,FALSE),"")</f>
        <v/>
      </c>
      <c r="K179" s="95">
        <f>IFERROR(VLOOKUP(J179,'11. Cadastro de Serviços'!$A$6:$E$200,2,FALSE),"")</f>
        <v/>
      </c>
      <c r="L179" s="95">
        <f>IFERROR(VLOOKUP(J179,'11. Cadastro de Serviços'!$A$6:$E$200,3,FALSE),"")</f>
        <v/>
      </c>
      <c r="M179" s="95">
        <f>IFERROR(VLOOKUP(J179,'11. Cadastro de Serviços'!$A$6:$E$200,4,FALSE),"")</f>
        <v/>
      </c>
      <c r="N179" s="95" t="n"/>
      <c r="O179" s="95">
        <f>IF(AND(G179&lt;&gt;"",I179&lt;&gt;"",J179&lt;&gt;"",M179&lt;&gt;""),"Rastreado","Revisar")</f>
        <v/>
      </c>
      <c r="P179" s="96" t="n"/>
    </row>
    <row r="180">
      <c r="A180" s="95" t="n"/>
      <c r="B180" s="96" t="n"/>
      <c r="C180" s="96" t="n"/>
      <c r="D180" s="95" t="n"/>
      <c r="E180" s="96" t="n"/>
      <c r="F180" s="96" t="n"/>
      <c r="G180" s="95">
        <f>IFERROR(VLOOKUP(F180,'12. Contratos_OS'!$A$6:$L$1000,2,FALSE),"")</f>
        <v/>
      </c>
      <c r="H180" s="95">
        <f>IFERROR(VLOOKUP(F180,'12. Contratos_OS'!$A$6:$L$1000,3,FALSE),"")</f>
        <v/>
      </c>
      <c r="I180" s="95">
        <f>IFERROR(VLOOKUP(F180,'12. Contratos_OS'!$A$6:$L$1000,4,FALSE),"")</f>
        <v/>
      </c>
      <c r="J180" s="95">
        <f>IFERROR(VLOOKUP(F180,'12. Contratos_OS'!$A$6:$L$1000,7,FALSE),"")</f>
        <v/>
      </c>
      <c r="K180" s="95">
        <f>IFERROR(VLOOKUP(J180,'11. Cadastro de Serviços'!$A$6:$E$200,2,FALSE),"")</f>
        <v/>
      </c>
      <c r="L180" s="95">
        <f>IFERROR(VLOOKUP(J180,'11. Cadastro de Serviços'!$A$6:$E$200,3,FALSE),"")</f>
        <v/>
      </c>
      <c r="M180" s="95">
        <f>IFERROR(VLOOKUP(J180,'11. Cadastro de Serviços'!$A$6:$E$200,4,FALSE),"")</f>
        <v/>
      </c>
      <c r="N180" s="95" t="n"/>
      <c r="O180" s="95">
        <f>IF(AND(G180&lt;&gt;"",I180&lt;&gt;"",J180&lt;&gt;"",M180&lt;&gt;""),"Rastreado","Revisar")</f>
        <v/>
      </c>
      <c r="P180" s="96" t="n"/>
    </row>
    <row r="181">
      <c r="A181" s="95" t="n"/>
      <c r="B181" s="96" t="n"/>
      <c r="C181" s="96" t="n"/>
      <c r="D181" s="95" t="n"/>
      <c r="E181" s="96" t="n"/>
      <c r="F181" s="96" t="n"/>
      <c r="G181" s="95">
        <f>IFERROR(VLOOKUP(F181,'12. Contratos_OS'!$A$6:$L$1000,2,FALSE),"")</f>
        <v/>
      </c>
      <c r="H181" s="95">
        <f>IFERROR(VLOOKUP(F181,'12. Contratos_OS'!$A$6:$L$1000,3,FALSE),"")</f>
        <v/>
      </c>
      <c r="I181" s="95">
        <f>IFERROR(VLOOKUP(F181,'12. Contratos_OS'!$A$6:$L$1000,4,FALSE),"")</f>
        <v/>
      </c>
      <c r="J181" s="95">
        <f>IFERROR(VLOOKUP(F181,'12. Contratos_OS'!$A$6:$L$1000,7,FALSE),"")</f>
        <v/>
      </c>
      <c r="K181" s="95">
        <f>IFERROR(VLOOKUP(J181,'11. Cadastro de Serviços'!$A$6:$E$200,2,FALSE),"")</f>
        <v/>
      </c>
      <c r="L181" s="95">
        <f>IFERROR(VLOOKUP(J181,'11. Cadastro de Serviços'!$A$6:$E$200,3,FALSE),"")</f>
        <v/>
      </c>
      <c r="M181" s="95">
        <f>IFERROR(VLOOKUP(J181,'11. Cadastro de Serviços'!$A$6:$E$200,4,FALSE),"")</f>
        <v/>
      </c>
      <c r="N181" s="95" t="n"/>
      <c r="O181" s="95">
        <f>IF(AND(G181&lt;&gt;"",I181&lt;&gt;"",J181&lt;&gt;"",M181&lt;&gt;""),"Rastreado","Revisar")</f>
        <v/>
      </c>
      <c r="P181" s="96" t="n"/>
    </row>
    <row r="182">
      <c r="A182" s="95" t="n"/>
      <c r="B182" s="96" t="n"/>
      <c r="C182" s="96" t="n"/>
      <c r="D182" s="95" t="n"/>
      <c r="E182" s="96" t="n"/>
      <c r="F182" s="96" t="n"/>
      <c r="G182" s="95">
        <f>IFERROR(VLOOKUP(F182,'12. Contratos_OS'!$A$6:$L$1000,2,FALSE),"")</f>
        <v/>
      </c>
      <c r="H182" s="95">
        <f>IFERROR(VLOOKUP(F182,'12. Contratos_OS'!$A$6:$L$1000,3,FALSE),"")</f>
        <v/>
      </c>
      <c r="I182" s="95">
        <f>IFERROR(VLOOKUP(F182,'12. Contratos_OS'!$A$6:$L$1000,4,FALSE),"")</f>
        <v/>
      </c>
      <c r="J182" s="95">
        <f>IFERROR(VLOOKUP(F182,'12. Contratos_OS'!$A$6:$L$1000,7,FALSE),"")</f>
        <v/>
      </c>
      <c r="K182" s="95">
        <f>IFERROR(VLOOKUP(J182,'11. Cadastro de Serviços'!$A$6:$E$200,2,FALSE),"")</f>
        <v/>
      </c>
      <c r="L182" s="95">
        <f>IFERROR(VLOOKUP(J182,'11. Cadastro de Serviços'!$A$6:$E$200,3,FALSE),"")</f>
        <v/>
      </c>
      <c r="M182" s="95">
        <f>IFERROR(VLOOKUP(J182,'11. Cadastro de Serviços'!$A$6:$E$200,4,FALSE),"")</f>
        <v/>
      </c>
      <c r="N182" s="95" t="n"/>
      <c r="O182" s="95">
        <f>IF(AND(G182&lt;&gt;"",I182&lt;&gt;"",J182&lt;&gt;"",M182&lt;&gt;""),"Rastreado","Revisar")</f>
        <v/>
      </c>
      <c r="P182" s="96" t="n"/>
    </row>
    <row r="183">
      <c r="A183" s="95" t="n"/>
      <c r="B183" s="96" t="n"/>
      <c r="C183" s="96" t="n"/>
      <c r="D183" s="95" t="n"/>
      <c r="E183" s="96" t="n"/>
      <c r="F183" s="96" t="n"/>
      <c r="G183" s="95">
        <f>IFERROR(VLOOKUP(F183,'12. Contratos_OS'!$A$6:$L$1000,2,FALSE),"")</f>
        <v/>
      </c>
      <c r="H183" s="95">
        <f>IFERROR(VLOOKUP(F183,'12. Contratos_OS'!$A$6:$L$1000,3,FALSE),"")</f>
        <v/>
      </c>
      <c r="I183" s="95">
        <f>IFERROR(VLOOKUP(F183,'12. Contratos_OS'!$A$6:$L$1000,4,FALSE),"")</f>
        <v/>
      </c>
      <c r="J183" s="95">
        <f>IFERROR(VLOOKUP(F183,'12. Contratos_OS'!$A$6:$L$1000,7,FALSE),"")</f>
        <v/>
      </c>
      <c r="K183" s="95">
        <f>IFERROR(VLOOKUP(J183,'11. Cadastro de Serviços'!$A$6:$E$200,2,FALSE),"")</f>
        <v/>
      </c>
      <c r="L183" s="95">
        <f>IFERROR(VLOOKUP(J183,'11. Cadastro de Serviços'!$A$6:$E$200,3,FALSE),"")</f>
        <v/>
      </c>
      <c r="M183" s="95">
        <f>IFERROR(VLOOKUP(J183,'11. Cadastro de Serviços'!$A$6:$E$200,4,FALSE),"")</f>
        <v/>
      </c>
      <c r="N183" s="95" t="n"/>
      <c r="O183" s="95">
        <f>IF(AND(G183&lt;&gt;"",I183&lt;&gt;"",J183&lt;&gt;"",M183&lt;&gt;""),"Rastreado","Revisar")</f>
        <v/>
      </c>
      <c r="P183" s="96" t="n"/>
    </row>
    <row r="184">
      <c r="A184" s="95" t="n"/>
      <c r="B184" s="96" t="n"/>
      <c r="C184" s="96" t="n"/>
      <c r="D184" s="95" t="n"/>
      <c r="E184" s="96" t="n"/>
      <c r="F184" s="96" t="n"/>
      <c r="G184" s="95">
        <f>IFERROR(VLOOKUP(F184,'12. Contratos_OS'!$A$6:$L$1000,2,FALSE),"")</f>
        <v/>
      </c>
      <c r="H184" s="95">
        <f>IFERROR(VLOOKUP(F184,'12. Contratos_OS'!$A$6:$L$1000,3,FALSE),"")</f>
        <v/>
      </c>
      <c r="I184" s="95">
        <f>IFERROR(VLOOKUP(F184,'12. Contratos_OS'!$A$6:$L$1000,4,FALSE),"")</f>
        <v/>
      </c>
      <c r="J184" s="95">
        <f>IFERROR(VLOOKUP(F184,'12. Contratos_OS'!$A$6:$L$1000,7,FALSE),"")</f>
        <v/>
      </c>
      <c r="K184" s="95">
        <f>IFERROR(VLOOKUP(J184,'11. Cadastro de Serviços'!$A$6:$E$200,2,FALSE),"")</f>
        <v/>
      </c>
      <c r="L184" s="95">
        <f>IFERROR(VLOOKUP(J184,'11. Cadastro de Serviços'!$A$6:$E$200,3,FALSE),"")</f>
        <v/>
      </c>
      <c r="M184" s="95">
        <f>IFERROR(VLOOKUP(J184,'11. Cadastro de Serviços'!$A$6:$E$200,4,FALSE),"")</f>
        <v/>
      </c>
      <c r="N184" s="95" t="n"/>
      <c r="O184" s="95">
        <f>IF(AND(G184&lt;&gt;"",I184&lt;&gt;"",J184&lt;&gt;"",M184&lt;&gt;""),"Rastreado","Revisar")</f>
        <v/>
      </c>
      <c r="P184" s="96" t="n"/>
    </row>
    <row r="185">
      <c r="A185" s="95" t="n"/>
      <c r="B185" s="96" t="n"/>
      <c r="C185" s="96" t="n"/>
      <c r="D185" s="95" t="n"/>
      <c r="E185" s="96" t="n"/>
      <c r="F185" s="96" t="n"/>
      <c r="G185" s="95">
        <f>IFERROR(VLOOKUP(F185,'12. Contratos_OS'!$A$6:$L$1000,2,FALSE),"")</f>
        <v/>
      </c>
      <c r="H185" s="95">
        <f>IFERROR(VLOOKUP(F185,'12. Contratos_OS'!$A$6:$L$1000,3,FALSE),"")</f>
        <v/>
      </c>
      <c r="I185" s="95">
        <f>IFERROR(VLOOKUP(F185,'12. Contratos_OS'!$A$6:$L$1000,4,FALSE),"")</f>
        <v/>
      </c>
      <c r="J185" s="95">
        <f>IFERROR(VLOOKUP(F185,'12. Contratos_OS'!$A$6:$L$1000,7,FALSE),"")</f>
        <v/>
      </c>
      <c r="K185" s="95">
        <f>IFERROR(VLOOKUP(J185,'11. Cadastro de Serviços'!$A$6:$E$200,2,FALSE),"")</f>
        <v/>
      </c>
      <c r="L185" s="95">
        <f>IFERROR(VLOOKUP(J185,'11. Cadastro de Serviços'!$A$6:$E$200,3,FALSE),"")</f>
        <v/>
      </c>
      <c r="M185" s="95">
        <f>IFERROR(VLOOKUP(J185,'11. Cadastro de Serviços'!$A$6:$E$200,4,FALSE),"")</f>
        <v/>
      </c>
      <c r="N185" s="95" t="n"/>
      <c r="O185" s="95">
        <f>IF(AND(G185&lt;&gt;"",I185&lt;&gt;"",J185&lt;&gt;"",M185&lt;&gt;""),"Rastreado","Revisar")</f>
        <v/>
      </c>
      <c r="P185" s="96" t="n"/>
    </row>
    <row r="186">
      <c r="A186" s="95" t="n"/>
      <c r="B186" s="96" t="n"/>
      <c r="C186" s="96" t="n"/>
      <c r="D186" s="95" t="n"/>
      <c r="E186" s="96" t="n"/>
      <c r="F186" s="96" t="n"/>
      <c r="G186" s="95">
        <f>IFERROR(VLOOKUP(F186,'12. Contratos_OS'!$A$6:$L$1000,2,FALSE),"")</f>
        <v/>
      </c>
      <c r="H186" s="95">
        <f>IFERROR(VLOOKUP(F186,'12. Contratos_OS'!$A$6:$L$1000,3,FALSE),"")</f>
        <v/>
      </c>
      <c r="I186" s="95">
        <f>IFERROR(VLOOKUP(F186,'12. Contratos_OS'!$A$6:$L$1000,4,FALSE),"")</f>
        <v/>
      </c>
      <c r="J186" s="95">
        <f>IFERROR(VLOOKUP(F186,'12. Contratos_OS'!$A$6:$L$1000,7,FALSE),"")</f>
        <v/>
      </c>
      <c r="K186" s="95">
        <f>IFERROR(VLOOKUP(J186,'11. Cadastro de Serviços'!$A$6:$E$200,2,FALSE),"")</f>
        <v/>
      </c>
      <c r="L186" s="95">
        <f>IFERROR(VLOOKUP(J186,'11. Cadastro de Serviços'!$A$6:$E$200,3,FALSE),"")</f>
        <v/>
      </c>
      <c r="M186" s="95">
        <f>IFERROR(VLOOKUP(J186,'11. Cadastro de Serviços'!$A$6:$E$200,4,FALSE),"")</f>
        <v/>
      </c>
      <c r="N186" s="95" t="n"/>
      <c r="O186" s="95">
        <f>IF(AND(G186&lt;&gt;"",I186&lt;&gt;"",J186&lt;&gt;"",M186&lt;&gt;""),"Rastreado","Revisar")</f>
        <v/>
      </c>
      <c r="P186" s="96" t="n"/>
    </row>
    <row r="187">
      <c r="A187" s="95" t="n"/>
      <c r="B187" s="96" t="n"/>
      <c r="C187" s="96" t="n"/>
      <c r="D187" s="95" t="n"/>
      <c r="E187" s="96" t="n"/>
      <c r="F187" s="96" t="n"/>
      <c r="G187" s="95">
        <f>IFERROR(VLOOKUP(F187,'12. Contratos_OS'!$A$6:$L$1000,2,FALSE),"")</f>
        <v/>
      </c>
      <c r="H187" s="95">
        <f>IFERROR(VLOOKUP(F187,'12. Contratos_OS'!$A$6:$L$1000,3,FALSE),"")</f>
        <v/>
      </c>
      <c r="I187" s="95">
        <f>IFERROR(VLOOKUP(F187,'12. Contratos_OS'!$A$6:$L$1000,4,FALSE),"")</f>
        <v/>
      </c>
      <c r="J187" s="95">
        <f>IFERROR(VLOOKUP(F187,'12. Contratos_OS'!$A$6:$L$1000,7,FALSE),"")</f>
        <v/>
      </c>
      <c r="K187" s="95">
        <f>IFERROR(VLOOKUP(J187,'11. Cadastro de Serviços'!$A$6:$E$200,2,FALSE),"")</f>
        <v/>
      </c>
      <c r="L187" s="95">
        <f>IFERROR(VLOOKUP(J187,'11. Cadastro de Serviços'!$A$6:$E$200,3,FALSE),"")</f>
        <v/>
      </c>
      <c r="M187" s="95">
        <f>IFERROR(VLOOKUP(J187,'11. Cadastro de Serviços'!$A$6:$E$200,4,FALSE),"")</f>
        <v/>
      </c>
      <c r="N187" s="95" t="n"/>
      <c r="O187" s="95">
        <f>IF(AND(G187&lt;&gt;"",I187&lt;&gt;"",J187&lt;&gt;"",M187&lt;&gt;""),"Rastreado","Revisar")</f>
        <v/>
      </c>
      <c r="P187" s="96" t="n"/>
    </row>
    <row r="188">
      <c r="A188" s="95" t="n"/>
      <c r="B188" s="96" t="n"/>
      <c r="C188" s="96" t="n"/>
      <c r="D188" s="95" t="n"/>
      <c r="E188" s="96" t="n"/>
      <c r="F188" s="96" t="n"/>
      <c r="G188" s="95">
        <f>IFERROR(VLOOKUP(F188,'12. Contratos_OS'!$A$6:$L$1000,2,FALSE),"")</f>
        <v/>
      </c>
      <c r="H188" s="95">
        <f>IFERROR(VLOOKUP(F188,'12. Contratos_OS'!$A$6:$L$1000,3,FALSE),"")</f>
        <v/>
      </c>
      <c r="I188" s="95">
        <f>IFERROR(VLOOKUP(F188,'12. Contratos_OS'!$A$6:$L$1000,4,FALSE),"")</f>
        <v/>
      </c>
      <c r="J188" s="95">
        <f>IFERROR(VLOOKUP(F188,'12. Contratos_OS'!$A$6:$L$1000,7,FALSE),"")</f>
        <v/>
      </c>
      <c r="K188" s="95">
        <f>IFERROR(VLOOKUP(J188,'11. Cadastro de Serviços'!$A$6:$E$200,2,FALSE),"")</f>
        <v/>
      </c>
      <c r="L188" s="95">
        <f>IFERROR(VLOOKUP(J188,'11. Cadastro de Serviços'!$A$6:$E$200,3,FALSE),"")</f>
        <v/>
      </c>
      <c r="M188" s="95">
        <f>IFERROR(VLOOKUP(J188,'11. Cadastro de Serviços'!$A$6:$E$200,4,FALSE),"")</f>
        <v/>
      </c>
      <c r="N188" s="95" t="n"/>
      <c r="O188" s="95">
        <f>IF(AND(G188&lt;&gt;"",I188&lt;&gt;"",J188&lt;&gt;"",M188&lt;&gt;""),"Rastreado","Revisar")</f>
        <v/>
      </c>
      <c r="P188" s="96" t="n"/>
    </row>
    <row r="189">
      <c r="A189" s="95" t="n"/>
      <c r="B189" s="96" t="n"/>
      <c r="C189" s="96" t="n"/>
      <c r="D189" s="95" t="n"/>
      <c r="E189" s="96" t="n"/>
      <c r="F189" s="96" t="n"/>
      <c r="G189" s="95">
        <f>IFERROR(VLOOKUP(F189,'12. Contratos_OS'!$A$6:$L$1000,2,FALSE),"")</f>
        <v/>
      </c>
      <c r="H189" s="95">
        <f>IFERROR(VLOOKUP(F189,'12. Contratos_OS'!$A$6:$L$1000,3,FALSE),"")</f>
        <v/>
      </c>
      <c r="I189" s="95">
        <f>IFERROR(VLOOKUP(F189,'12. Contratos_OS'!$A$6:$L$1000,4,FALSE),"")</f>
        <v/>
      </c>
      <c r="J189" s="95">
        <f>IFERROR(VLOOKUP(F189,'12. Contratos_OS'!$A$6:$L$1000,7,FALSE),"")</f>
        <v/>
      </c>
      <c r="K189" s="95">
        <f>IFERROR(VLOOKUP(J189,'11. Cadastro de Serviços'!$A$6:$E$200,2,FALSE),"")</f>
        <v/>
      </c>
      <c r="L189" s="95">
        <f>IFERROR(VLOOKUP(J189,'11. Cadastro de Serviços'!$A$6:$E$200,3,FALSE),"")</f>
        <v/>
      </c>
      <c r="M189" s="95">
        <f>IFERROR(VLOOKUP(J189,'11. Cadastro de Serviços'!$A$6:$E$200,4,FALSE),"")</f>
        <v/>
      </c>
      <c r="N189" s="95" t="n"/>
      <c r="O189" s="95">
        <f>IF(AND(G189&lt;&gt;"",I189&lt;&gt;"",J189&lt;&gt;"",M189&lt;&gt;""),"Rastreado","Revisar")</f>
        <v/>
      </c>
      <c r="P189" s="96" t="n"/>
    </row>
    <row r="190">
      <c r="A190" s="95" t="n"/>
      <c r="B190" s="96" t="n"/>
      <c r="C190" s="96" t="n"/>
      <c r="D190" s="95" t="n"/>
      <c r="E190" s="96" t="n"/>
      <c r="F190" s="96" t="n"/>
      <c r="G190" s="95">
        <f>IFERROR(VLOOKUP(F190,'12. Contratos_OS'!$A$6:$L$1000,2,FALSE),"")</f>
        <v/>
      </c>
      <c r="H190" s="95">
        <f>IFERROR(VLOOKUP(F190,'12. Contratos_OS'!$A$6:$L$1000,3,FALSE),"")</f>
        <v/>
      </c>
      <c r="I190" s="95">
        <f>IFERROR(VLOOKUP(F190,'12. Contratos_OS'!$A$6:$L$1000,4,FALSE),"")</f>
        <v/>
      </c>
      <c r="J190" s="95">
        <f>IFERROR(VLOOKUP(F190,'12. Contratos_OS'!$A$6:$L$1000,7,FALSE),"")</f>
        <v/>
      </c>
      <c r="K190" s="95">
        <f>IFERROR(VLOOKUP(J190,'11. Cadastro de Serviços'!$A$6:$E$200,2,FALSE),"")</f>
        <v/>
      </c>
      <c r="L190" s="95">
        <f>IFERROR(VLOOKUP(J190,'11. Cadastro de Serviços'!$A$6:$E$200,3,FALSE),"")</f>
        <v/>
      </c>
      <c r="M190" s="95">
        <f>IFERROR(VLOOKUP(J190,'11. Cadastro de Serviços'!$A$6:$E$200,4,FALSE),"")</f>
        <v/>
      </c>
      <c r="N190" s="95" t="n"/>
      <c r="O190" s="95">
        <f>IF(AND(G190&lt;&gt;"",I190&lt;&gt;"",J190&lt;&gt;"",M190&lt;&gt;""),"Rastreado","Revisar")</f>
        <v/>
      </c>
      <c r="P190" s="96" t="n"/>
    </row>
    <row r="191">
      <c r="A191" s="95" t="n"/>
      <c r="B191" s="96" t="n"/>
      <c r="C191" s="96" t="n"/>
      <c r="D191" s="95" t="n"/>
      <c r="E191" s="96" t="n"/>
      <c r="F191" s="96" t="n"/>
      <c r="G191" s="95">
        <f>IFERROR(VLOOKUP(F191,'12. Contratos_OS'!$A$6:$L$1000,2,FALSE),"")</f>
        <v/>
      </c>
      <c r="H191" s="95">
        <f>IFERROR(VLOOKUP(F191,'12. Contratos_OS'!$A$6:$L$1000,3,FALSE),"")</f>
        <v/>
      </c>
      <c r="I191" s="95">
        <f>IFERROR(VLOOKUP(F191,'12. Contratos_OS'!$A$6:$L$1000,4,FALSE),"")</f>
        <v/>
      </c>
      <c r="J191" s="95">
        <f>IFERROR(VLOOKUP(F191,'12. Contratos_OS'!$A$6:$L$1000,7,FALSE),"")</f>
        <v/>
      </c>
      <c r="K191" s="95">
        <f>IFERROR(VLOOKUP(J191,'11. Cadastro de Serviços'!$A$6:$E$200,2,FALSE),"")</f>
        <v/>
      </c>
      <c r="L191" s="95">
        <f>IFERROR(VLOOKUP(J191,'11. Cadastro de Serviços'!$A$6:$E$200,3,FALSE),"")</f>
        <v/>
      </c>
      <c r="M191" s="95">
        <f>IFERROR(VLOOKUP(J191,'11. Cadastro de Serviços'!$A$6:$E$200,4,FALSE),"")</f>
        <v/>
      </c>
      <c r="N191" s="95" t="n"/>
      <c r="O191" s="95">
        <f>IF(AND(G191&lt;&gt;"",I191&lt;&gt;"",J191&lt;&gt;"",M191&lt;&gt;""),"Rastreado","Revisar")</f>
        <v/>
      </c>
      <c r="P191" s="96" t="n"/>
    </row>
    <row r="192">
      <c r="A192" s="95" t="n"/>
      <c r="B192" s="96" t="n"/>
      <c r="C192" s="96" t="n"/>
      <c r="D192" s="95" t="n"/>
      <c r="E192" s="96" t="n"/>
      <c r="F192" s="96" t="n"/>
      <c r="G192" s="95">
        <f>IFERROR(VLOOKUP(F192,'12. Contratos_OS'!$A$6:$L$1000,2,FALSE),"")</f>
        <v/>
      </c>
      <c r="H192" s="95">
        <f>IFERROR(VLOOKUP(F192,'12. Contratos_OS'!$A$6:$L$1000,3,FALSE),"")</f>
        <v/>
      </c>
      <c r="I192" s="95">
        <f>IFERROR(VLOOKUP(F192,'12. Contratos_OS'!$A$6:$L$1000,4,FALSE),"")</f>
        <v/>
      </c>
      <c r="J192" s="95">
        <f>IFERROR(VLOOKUP(F192,'12. Contratos_OS'!$A$6:$L$1000,7,FALSE),"")</f>
        <v/>
      </c>
      <c r="K192" s="95">
        <f>IFERROR(VLOOKUP(J192,'11. Cadastro de Serviços'!$A$6:$E$200,2,FALSE),"")</f>
        <v/>
      </c>
      <c r="L192" s="95">
        <f>IFERROR(VLOOKUP(J192,'11. Cadastro de Serviços'!$A$6:$E$200,3,FALSE),"")</f>
        <v/>
      </c>
      <c r="M192" s="95">
        <f>IFERROR(VLOOKUP(J192,'11. Cadastro de Serviços'!$A$6:$E$200,4,FALSE),"")</f>
        <v/>
      </c>
      <c r="N192" s="95" t="n"/>
      <c r="O192" s="95">
        <f>IF(AND(G192&lt;&gt;"",I192&lt;&gt;"",J192&lt;&gt;"",M192&lt;&gt;""),"Rastreado","Revisar")</f>
        <v/>
      </c>
      <c r="P192" s="96" t="n"/>
    </row>
    <row r="193">
      <c r="A193" s="95" t="n"/>
      <c r="B193" s="96" t="n"/>
      <c r="C193" s="96" t="n"/>
      <c r="D193" s="95" t="n"/>
      <c r="E193" s="96" t="n"/>
      <c r="F193" s="96" t="n"/>
      <c r="G193" s="95">
        <f>IFERROR(VLOOKUP(F193,'12. Contratos_OS'!$A$6:$L$1000,2,FALSE),"")</f>
        <v/>
      </c>
      <c r="H193" s="95">
        <f>IFERROR(VLOOKUP(F193,'12. Contratos_OS'!$A$6:$L$1000,3,FALSE),"")</f>
        <v/>
      </c>
      <c r="I193" s="95">
        <f>IFERROR(VLOOKUP(F193,'12. Contratos_OS'!$A$6:$L$1000,4,FALSE),"")</f>
        <v/>
      </c>
      <c r="J193" s="95">
        <f>IFERROR(VLOOKUP(F193,'12. Contratos_OS'!$A$6:$L$1000,7,FALSE),"")</f>
        <v/>
      </c>
      <c r="K193" s="95">
        <f>IFERROR(VLOOKUP(J193,'11. Cadastro de Serviços'!$A$6:$E$200,2,FALSE),"")</f>
        <v/>
      </c>
      <c r="L193" s="95">
        <f>IFERROR(VLOOKUP(J193,'11. Cadastro de Serviços'!$A$6:$E$200,3,FALSE),"")</f>
        <v/>
      </c>
      <c r="M193" s="95">
        <f>IFERROR(VLOOKUP(J193,'11. Cadastro de Serviços'!$A$6:$E$200,4,FALSE),"")</f>
        <v/>
      </c>
      <c r="N193" s="95" t="n"/>
      <c r="O193" s="95">
        <f>IF(AND(G193&lt;&gt;"",I193&lt;&gt;"",J193&lt;&gt;"",M193&lt;&gt;""),"Rastreado","Revisar")</f>
        <v/>
      </c>
      <c r="P193" s="96" t="n"/>
    </row>
    <row r="194">
      <c r="A194" s="95" t="n"/>
      <c r="B194" s="96" t="n"/>
      <c r="C194" s="96" t="n"/>
      <c r="D194" s="95" t="n"/>
      <c r="E194" s="96" t="n"/>
      <c r="F194" s="96" t="n"/>
      <c r="G194" s="95">
        <f>IFERROR(VLOOKUP(F194,'12. Contratos_OS'!$A$6:$L$1000,2,FALSE),"")</f>
        <v/>
      </c>
      <c r="H194" s="95">
        <f>IFERROR(VLOOKUP(F194,'12. Contratos_OS'!$A$6:$L$1000,3,FALSE),"")</f>
        <v/>
      </c>
      <c r="I194" s="95">
        <f>IFERROR(VLOOKUP(F194,'12. Contratos_OS'!$A$6:$L$1000,4,FALSE),"")</f>
        <v/>
      </c>
      <c r="J194" s="95">
        <f>IFERROR(VLOOKUP(F194,'12. Contratos_OS'!$A$6:$L$1000,7,FALSE),"")</f>
        <v/>
      </c>
      <c r="K194" s="95">
        <f>IFERROR(VLOOKUP(J194,'11. Cadastro de Serviços'!$A$6:$E$200,2,FALSE),"")</f>
        <v/>
      </c>
      <c r="L194" s="95">
        <f>IFERROR(VLOOKUP(J194,'11. Cadastro de Serviços'!$A$6:$E$200,3,FALSE),"")</f>
        <v/>
      </c>
      <c r="M194" s="95">
        <f>IFERROR(VLOOKUP(J194,'11. Cadastro de Serviços'!$A$6:$E$200,4,FALSE),"")</f>
        <v/>
      </c>
      <c r="N194" s="95" t="n"/>
      <c r="O194" s="95">
        <f>IF(AND(G194&lt;&gt;"",I194&lt;&gt;"",J194&lt;&gt;"",M194&lt;&gt;""),"Rastreado","Revisar")</f>
        <v/>
      </c>
      <c r="P194" s="96" t="n"/>
    </row>
    <row r="195">
      <c r="A195" s="95" t="n"/>
      <c r="B195" s="96" t="n"/>
      <c r="C195" s="96" t="n"/>
      <c r="D195" s="95" t="n"/>
      <c r="E195" s="96" t="n"/>
      <c r="F195" s="96" t="n"/>
      <c r="G195" s="95">
        <f>IFERROR(VLOOKUP(F195,'12. Contratos_OS'!$A$6:$L$1000,2,FALSE),"")</f>
        <v/>
      </c>
      <c r="H195" s="95">
        <f>IFERROR(VLOOKUP(F195,'12. Contratos_OS'!$A$6:$L$1000,3,FALSE),"")</f>
        <v/>
      </c>
      <c r="I195" s="95">
        <f>IFERROR(VLOOKUP(F195,'12. Contratos_OS'!$A$6:$L$1000,4,FALSE),"")</f>
        <v/>
      </c>
      <c r="J195" s="95">
        <f>IFERROR(VLOOKUP(F195,'12. Contratos_OS'!$A$6:$L$1000,7,FALSE),"")</f>
        <v/>
      </c>
      <c r="K195" s="95">
        <f>IFERROR(VLOOKUP(J195,'11. Cadastro de Serviços'!$A$6:$E$200,2,FALSE),"")</f>
        <v/>
      </c>
      <c r="L195" s="95">
        <f>IFERROR(VLOOKUP(J195,'11. Cadastro de Serviços'!$A$6:$E$200,3,FALSE),"")</f>
        <v/>
      </c>
      <c r="M195" s="95">
        <f>IFERROR(VLOOKUP(J195,'11. Cadastro de Serviços'!$A$6:$E$200,4,FALSE),"")</f>
        <v/>
      </c>
      <c r="N195" s="95" t="n"/>
      <c r="O195" s="95">
        <f>IF(AND(G195&lt;&gt;"",I195&lt;&gt;"",J195&lt;&gt;"",M195&lt;&gt;""),"Rastreado","Revisar")</f>
        <v/>
      </c>
      <c r="P195" s="96" t="n"/>
    </row>
    <row r="196">
      <c r="A196" s="95" t="n"/>
      <c r="B196" s="96" t="n"/>
      <c r="C196" s="96" t="n"/>
      <c r="D196" s="95" t="n"/>
      <c r="E196" s="96" t="n"/>
      <c r="F196" s="96" t="n"/>
      <c r="G196" s="95">
        <f>IFERROR(VLOOKUP(F196,'12. Contratos_OS'!$A$6:$L$1000,2,FALSE),"")</f>
        <v/>
      </c>
      <c r="H196" s="95">
        <f>IFERROR(VLOOKUP(F196,'12. Contratos_OS'!$A$6:$L$1000,3,FALSE),"")</f>
        <v/>
      </c>
      <c r="I196" s="95">
        <f>IFERROR(VLOOKUP(F196,'12. Contratos_OS'!$A$6:$L$1000,4,FALSE),"")</f>
        <v/>
      </c>
      <c r="J196" s="95">
        <f>IFERROR(VLOOKUP(F196,'12. Contratos_OS'!$A$6:$L$1000,7,FALSE),"")</f>
        <v/>
      </c>
      <c r="K196" s="95">
        <f>IFERROR(VLOOKUP(J196,'11. Cadastro de Serviços'!$A$6:$E$200,2,FALSE),"")</f>
        <v/>
      </c>
      <c r="L196" s="95">
        <f>IFERROR(VLOOKUP(J196,'11. Cadastro de Serviços'!$A$6:$E$200,3,FALSE),"")</f>
        <v/>
      </c>
      <c r="M196" s="95">
        <f>IFERROR(VLOOKUP(J196,'11. Cadastro de Serviços'!$A$6:$E$200,4,FALSE),"")</f>
        <v/>
      </c>
      <c r="N196" s="95" t="n"/>
      <c r="O196" s="95">
        <f>IF(AND(G196&lt;&gt;"",I196&lt;&gt;"",J196&lt;&gt;"",M196&lt;&gt;""),"Rastreado","Revisar")</f>
        <v/>
      </c>
      <c r="P196" s="96" t="n"/>
    </row>
    <row r="197">
      <c r="A197" s="95" t="n"/>
      <c r="B197" s="96" t="n"/>
      <c r="C197" s="96" t="n"/>
      <c r="D197" s="95" t="n"/>
      <c r="E197" s="96" t="n"/>
      <c r="F197" s="96" t="n"/>
      <c r="G197" s="95">
        <f>IFERROR(VLOOKUP(F197,'12. Contratos_OS'!$A$6:$L$1000,2,FALSE),"")</f>
        <v/>
      </c>
      <c r="H197" s="95">
        <f>IFERROR(VLOOKUP(F197,'12. Contratos_OS'!$A$6:$L$1000,3,FALSE),"")</f>
        <v/>
      </c>
      <c r="I197" s="95">
        <f>IFERROR(VLOOKUP(F197,'12. Contratos_OS'!$A$6:$L$1000,4,FALSE),"")</f>
        <v/>
      </c>
      <c r="J197" s="95">
        <f>IFERROR(VLOOKUP(F197,'12. Contratos_OS'!$A$6:$L$1000,7,FALSE),"")</f>
        <v/>
      </c>
      <c r="K197" s="95">
        <f>IFERROR(VLOOKUP(J197,'11. Cadastro de Serviços'!$A$6:$E$200,2,FALSE),"")</f>
        <v/>
      </c>
      <c r="L197" s="95">
        <f>IFERROR(VLOOKUP(J197,'11. Cadastro de Serviços'!$A$6:$E$200,3,FALSE),"")</f>
        <v/>
      </c>
      <c r="M197" s="95">
        <f>IFERROR(VLOOKUP(J197,'11. Cadastro de Serviços'!$A$6:$E$200,4,FALSE),"")</f>
        <v/>
      </c>
      <c r="N197" s="95" t="n"/>
      <c r="O197" s="95">
        <f>IF(AND(G197&lt;&gt;"",I197&lt;&gt;"",J197&lt;&gt;"",M197&lt;&gt;""),"Rastreado","Revisar")</f>
        <v/>
      </c>
      <c r="P197" s="96" t="n"/>
    </row>
    <row r="198">
      <c r="A198" s="95" t="n"/>
      <c r="B198" s="96" t="n"/>
      <c r="C198" s="96" t="n"/>
      <c r="D198" s="95" t="n"/>
      <c r="E198" s="96" t="n"/>
      <c r="F198" s="96" t="n"/>
      <c r="G198" s="95">
        <f>IFERROR(VLOOKUP(F198,'12. Contratos_OS'!$A$6:$L$1000,2,FALSE),"")</f>
        <v/>
      </c>
      <c r="H198" s="95">
        <f>IFERROR(VLOOKUP(F198,'12. Contratos_OS'!$A$6:$L$1000,3,FALSE),"")</f>
        <v/>
      </c>
      <c r="I198" s="95">
        <f>IFERROR(VLOOKUP(F198,'12. Contratos_OS'!$A$6:$L$1000,4,FALSE),"")</f>
        <v/>
      </c>
      <c r="J198" s="95">
        <f>IFERROR(VLOOKUP(F198,'12. Contratos_OS'!$A$6:$L$1000,7,FALSE),"")</f>
        <v/>
      </c>
      <c r="K198" s="95">
        <f>IFERROR(VLOOKUP(J198,'11. Cadastro de Serviços'!$A$6:$E$200,2,FALSE),"")</f>
        <v/>
      </c>
      <c r="L198" s="95">
        <f>IFERROR(VLOOKUP(J198,'11. Cadastro de Serviços'!$A$6:$E$200,3,FALSE),"")</f>
        <v/>
      </c>
      <c r="M198" s="95">
        <f>IFERROR(VLOOKUP(J198,'11. Cadastro de Serviços'!$A$6:$E$200,4,FALSE),"")</f>
        <v/>
      </c>
      <c r="N198" s="95" t="n"/>
      <c r="O198" s="95">
        <f>IF(AND(G198&lt;&gt;"",I198&lt;&gt;"",J198&lt;&gt;"",M198&lt;&gt;""),"Rastreado","Revisar")</f>
        <v/>
      </c>
      <c r="P198" s="96" t="n"/>
    </row>
    <row r="199">
      <c r="A199" s="95" t="n"/>
      <c r="B199" s="96" t="n"/>
      <c r="C199" s="96" t="n"/>
      <c r="D199" s="95" t="n"/>
      <c r="E199" s="96" t="n"/>
      <c r="F199" s="96" t="n"/>
      <c r="G199" s="95">
        <f>IFERROR(VLOOKUP(F199,'12. Contratos_OS'!$A$6:$L$1000,2,FALSE),"")</f>
        <v/>
      </c>
      <c r="H199" s="95">
        <f>IFERROR(VLOOKUP(F199,'12. Contratos_OS'!$A$6:$L$1000,3,FALSE),"")</f>
        <v/>
      </c>
      <c r="I199" s="95">
        <f>IFERROR(VLOOKUP(F199,'12. Contratos_OS'!$A$6:$L$1000,4,FALSE),"")</f>
        <v/>
      </c>
      <c r="J199" s="95">
        <f>IFERROR(VLOOKUP(F199,'12. Contratos_OS'!$A$6:$L$1000,7,FALSE),"")</f>
        <v/>
      </c>
      <c r="K199" s="95">
        <f>IFERROR(VLOOKUP(J199,'11. Cadastro de Serviços'!$A$6:$E$200,2,FALSE),"")</f>
        <v/>
      </c>
      <c r="L199" s="95">
        <f>IFERROR(VLOOKUP(J199,'11. Cadastro de Serviços'!$A$6:$E$200,3,FALSE),"")</f>
        <v/>
      </c>
      <c r="M199" s="95">
        <f>IFERROR(VLOOKUP(J199,'11. Cadastro de Serviços'!$A$6:$E$200,4,FALSE),"")</f>
        <v/>
      </c>
      <c r="N199" s="95" t="n"/>
      <c r="O199" s="95">
        <f>IF(AND(G199&lt;&gt;"",I199&lt;&gt;"",J199&lt;&gt;"",M199&lt;&gt;""),"Rastreado","Revisar")</f>
        <v/>
      </c>
      <c r="P199" s="96" t="n"/>
    </row>
    <row r="200">
      <c r="A200" s="95" t="n"/>
      <c r="B200" s="96" t="n"/>
      <c r="C200" s="96" t="n"/>
      <c r="D200" s="95" t="n"/>
      <c r="E200" s="96" t="n"/>
      <c r="F200" s="96" t="n"/>
      <c r="G200" s="95">
        <f>IFERROR(VLOOKUP(F200,'12. Contratos_OS'!$A$6:$L$1000,2,FALSE),"")</f>
        <v/>
      </c>
      <c r="H200" s="95">
        <f>IFERROR(VLOOKUP(F200,'12. Contratos_OS'!$A$6:$L$1000,3,FALSE),"")</f>
        <v/>
      </c>
      <c r="I200" s="95">
        <f>IFERROR(VLOOKUP(F200,'12. Contratos_OS'!$A$6:$L$1000,4,FALSE),"")</f>
        <v/>
      </c>
      <c r="J200" s="95">
        <f>IFERROR(VLOOKUP(F200,'12. Contratos_OS'!$A$6:$L$1000,7,FALSE),"")</f>
        <v/>
      </c>
      <c r="K200" s="95">
        <f>IFERROR(VLOOKUP(J200,'11. Cadastro de Serviços'!$A$6:$E$200,2,FALSE),"")</f>
        <v/>
      </c>
      <c r="L200" s="95">
        <f>IFERROR(VLOOKUP(J200,'11. Cadastro de Serviços'!$A$6:$E$200,3,FALSE),"")</f>
        <v/>
      </c>
      <c r="M200" s="95">
        <f>IFERROR(VLOOKUP(J200,'11. Cadastro de Serviços'!$A$6:$E$200,4,FALSE),"")</f>
        <v/>
      </c>
      <c r="N200" s="95" t="n"/>
      <c r="O200" s="95">
        <f>IF(AND(G200&lt;&gt;"",I200&lt;&gt;"",J200&lt;&gt;"",M200&lt;&gt;""),"Rastreado","Revisar")</f>
        <v/>
      </c>
      <c r="P200" s="96" t="n"/>
    </row>
    <row r="201">
      <c r="A201" s="95" t="n"/>
      <c r="B201" s="96" t="n"/>
      <c r="C201" s="96" t="n"/>
      <c r="D201" s="95" t="n"/>
      <c r="E201" s="96" t="n"/>
      <c r="F201" s="96" t="n"/>
      <c r="G201" s="95">
        <f>IFERROR(VLOOKUP(F201,'12. Contratos_OS'!$A$6:$L$1000,2,FALSE),"")</f>
        <v/>
      </c>
      <c r="H201" s="95">
        <f>IFERROR(VLOOKUP(F201,'12. Contratos_OS'!$A$6:$L$1000,3,FALSE),"")</f>
        <v/>
      </c>
      <c r="I201" s="95">
        <f>IFERROR(VLOOKUP(F201,'12. Contratos_OS'!$A$6:$L$1000,4,FALSE),"")</f>
        <v/>
      </c>
      <c r="J201" s="95">
        <f>IFERROR(VLOOKUP(F201,'12. Contratos_OS'!$A$6:$L$1000,7,FALSE),"")</f>
        <v/>
      </c>
      <c r="K201" s="95">
        <f>IFERROR(VLOOKUP(J201,'11. Cadastro de Serviços'!$A$6:$E$200,2,FALSE),"")</f>
        <v/>
      </c>
      <c r="L201" s="95">
        <f>IFERROR(VLOOKUP(J201,'11. Cadastro de Serviços'!$A$6:$E$200,3,FALSE),"")</f>
        <v/>
      </c>
      <c r="M201" s="95">
        <f>IFERROR(VLOOKUP(J201,'11. Cadastro de Serviços'!$A$6:$E$200,4,FALSE),"")</f>
        <v/>
      </c>
      <c r="N201" s="95" t="n"/>
      <c r="O201" s="95">
        <f>IF(AND(G201&lt;&gt;"",I201&lt;&gt;"",J201&lt;&gt;"",M201&lt;&gt;""),"Rastreado","Revisar")</f>
        <v/>
      </c>
      <c r="P201" s="96" t="n"/>
    </row>
    <row r="202">
      <c r="A202" s="95" t="n"/>
      <c r="B202" s="96" t="n"/>
      <c r="C202" s="96" t="n"/>
      <c r="D202" s="95" t="n"/>
      <c r="E202" s="96" t="n"/>
      <c r="F202" s="96" t="n"/>
      <c r="G202" s="95">
        <f>IFERROR(VLOOKUP(F202,'12. Contratos_OS'!$A$6:$L$1000,2,FALSE),"")</f>
        <v/>
      </c>
      <c r="H202" s="95">
        <f>IFERROR(VLOOKUP(F202,'12. Contratos_OS'!$A$6:$L$1000,3,FALSE),"")</f>
        <v/>
      </c>
      <c r="I202" s="95">
        <f>IFERROR(VLOOKUP(F202,'12. Contratos_OS'!$A$6:$L$1000,4,FALSE),"")</f>
        <v/>
      </c>
      <c r="J202" s="95">
        <f>IFERROR(VLOOKUP(F202,'12. Contratos_OS'!$A$6:$L$1000,7,FALSE),"")</f>
        <v/>
      </c>
      <c r="K202" s="95">
        <f>IFERROR(VLOOKUP(J202,'11. Cadastro de Serviços'!$A$6:$E$200,2,FALSE),"")</f>
        <v/>
      </c>
      <c r="L202" s="95">
        <f>IFERROR(VLOOKUP(J202,'11. Cadastro de Serviços'!$A$6:$E$200,3,FALSE),"")</f>
        <v/>
      </c>
      <c r="M202" s="95">
        <f>IFERROR(VLOOKUP(J202,'11. Cadastro de Serviços'!$A$6:$E$200,4,FALSE),"")</f>
        <v/>
      </c>
      <c r="N202" s="95" t="n"/>
      <c r="O202" s="95">
        <f>IF(AND(G202&lt;&gt;"",I202&lt;&gt;"",J202&lt;&gt;"",M202&lt;&gt;""),"Rastreado","Revisar")</f>
        <v/>
      </c>
      <c r="P202" s="96" t="n"/>
    </row>
    <row r="203">
      <c r="A203" s="95" t="n"/>
      <c r="B203" s="96" t="n"/>
      <c r="C203" s="96" t="n"/>
      <c r="D203" s="95" t="n"/>
      <c r="E203" s="96" t="n"/>
      <c r="F203" s="96" t="n"/>
      <c r="G203" s="95">
        <f>IFERROR(VLOOKUP(F203,'12. Contratos_OS'!$A$6:$L$1000,2,FALSE),"")</f>
        <v/>
      </c>
      <c r="H203" s="95">
        <f>IFERROR(VLOOKUP(F203,'12. Contratos_OS'!$A$6:$L$1000,3,FALSE),"")</f>
        <v/>
      </c>
      <c r="I203" s="95">
        <f>IFERROR(VLOOKUP(F203,'12. Contratos_OS'!$A$6:$L$1000,4,FALSE),"")</f>
        <v/>
      </c>
      <c r="J203" s="95">
        <f>IFERROR(VLOOKUP(F203,'12. Contratos_OS'!$A$6:$L$1000,7,FALSE),"")</f>
        <v/>
      </c>
      <c r="K203" s="95">
        <f>IFERROR(VLOOKUP(J203,'11. Cadastro de Serviços'!$A$6:$E$200,2,FALSE),"")</f>
        <v/>
      </c>
      <c r="L203" s="95">
        <f>IFERROR(VLOOKUP(J203,'11. Cadastro de Serviços'!$A$6:$E$200,3,FALSE),"")</f>
        <v/>
      </c>
      <c r="M203" s="95">
        <f>IFERROR(VLOOKUP(J203,'11. Cadastro de Serviços'!$A$6:$E$200,4,FALSE),"")</f>
        <v/>
      </c>
      <c r="N203" s="95" t="n"/>
      <c r="O203" s="95">
        <f>IF(AND(G203&lt;&gt;"",I203&lt;&gt;"",J203&lt;&gt;"",M203&lt;&gt;""),"Rastreado","Revisar")</f>
        <v/>
      </c>
      <c r="P203" s="96" t="n"/>
    </row>
    <row r="204">
      <c r="A204" s="95" t="n"/>
      <c r="B204" s="96" t="n"/>
      <c r="C204" s="96" t="n"/>
      <c r="D204" s="95" t="n"/>
      <c r="E204" s="96" t="n"/>
      <c r="F204" s="96" t="n"/>
      <c r="G204" s="95">
        <f>IFERROR(VLOOKUP(F204,'12. Contratos_OS'!$A$6:$L$1000,2,FALSE),"")</f>
        <v/>
      </c>
      <c r="H204" s="95">
        <f>IFERROR(VLOOKUP(F204,'12. Contratos_OS'!$A$6:$L$1000,3,FALSE),"")</f>
        <v/>
      </c>
      <c r="I204" s="95">
        <f>IFERROR(VLOOKUP(F204,'12. Contratos_OS'!$A$6:$L$1000,4,FALSE),"")</f>
        <v/>
      </c>
      <c r="J204" s="95">
        <f>IFERROR(VLOOKUP(F204,'12. Contratos_OS'!$A$6:$L$1000,7,FALSE),"")</f>
        <v/>
      </c>
      <c r="K204" s="95">
        <f>IFERROR(VLOOKUP(J204,'11. Cadastro de Serviços'!$A$6:$E$200,2,FALSE),"")</f>
        <v/>
      </c>
      <c r="L204" s="95">
        <f>IFERROR(VLOOKUP(J204,'11. Cadastro de Serviços'!$A$6:$E$200,3,FALSE),"")</f>
        <v/>
      </c>
      <c r="M204" s="95">
        <f>IFERROR(VLOOKUP(J204,'11. Cadastro de Serviços'!$A$6:$E$200,4,FALSE),"")</f>
        <v/>
      </c>
      <c r="N204" s="95" t="n"/>
      <c r="O204" s="95">
        <f>IF(AND(G204&lt;&gt;"",I204&lt;&gt;"",J204&lt;&gt;"",M204&lt;&gt;""),"Rastreado","Revisar")</f>
        <v/>
      </c>
      <c r="P204" s="96" t="n"/>
    </row>
    <row r="205">
      <c r="A205" s="95" t="n"/>
      <c r="B205" s="96" t="n"/>
      <c r="C205" s="96" t="n"/>
      <c r="D205" s="95" t="n"/>
      <c r="E205" s="96" t="n"/>
      <c r="F205" s="96" t="n"/>
      <c r="G205" s="95">
        <f>IFERROR(VLOOKUP(F205,'12. Contratos_OS'!$A$6:$L$1000,2,FALSE),"")</f>
        <v/>
      </c>
      <c r="H205" s="95">
        <f>IFERROR(VLOOKUP(F205,'12. Contratos_OS'!$A$6:$L$1000,3,FALSE),"")</f>
        <v/>
      </c>
      <c r="I205" s="95">
        <f>IFERROR(VLOOKUP(F205,'12. Contratos_OS'!$A$6:$L$1000,4,FALSE),"")</f>
        <v/>
      </c>
      <c r="J205" s="95">
        <f>IFERROR(VLOOKUP(F205,'12. Contratos_OS'!$A$6:$L$1000,7,FALSE),"")</f>
        <v/>
      </c>
      <c r="K205" s="95">
        <f>IFERROR(VLOOKUP(J205,'11. Cadastro de Serviços'!$A$6:$E$200,2,FALSE),"")</f>
        <v/>
      </c>
      <c r="L205" s="95">
        <f>IFERROR(VLOOKUP(J205,'11. Cadastro de Serviços'!$A$6:$E$200,3,FALSE),"")</f>
        <v/>
      </c>
      <c r="M205" s="95">
        <f>IFERROR(VLOOKUP(J205,'11. Cadastro de Serviços'!$A$6:$E$200,4,FALSE),"")</f>
        <v/>
      </c>
      <c r="N205" s="95" t="n"/>
      <c r="O205" s="95">
        <f>IF(AND(G205&lt;&gt;"",I205&lt;&gt;"",J205&lt;&gt;"",M205&lt;&gt;""),"Rastreado","Revisar")</f>
        <v/>
      </c>
      <c r="P205" s="96" t="n"/>
    </row>
    <row r="206">
      <c r="A206" s="95" t="n"/>
      <c r="B206" s="96" t="n"/>
      <c r="C206" s="96" t="n"/>
      <c r="D206" s="95" t="n"/>
      <c r="E206" s="96" t="n"/>
      <c r="F206" s="96" t="n"/>
      <c r="G206" s="95">
        <f>IFERROR(VLOOKUP(F206,'12. Contratos_OS'!$A$6:$L$1000,2,FALSE),"")</f>
        <v/>
      </c>
      <c r="H206" s="95">
        <f>IFERROR(VLOOKUP(F206,'12. Contratos_OS'!$A$6:$L$1000,3,FALSE),"")</f>
        <v/>
      </c>
      <c r="I206" s="95">
        <f>IFERROR(VLOOKUP(F206,'12. Contratos_OS'!$A$6:$L$1000,4,FALSE),"")</f>
        <v/>
      </c>
      <c r="J206" s="95">
        <f>IFERROR(VLOOKUP(F206,'12. Contratos_OS'!$A$6:$L$1000,7,FALSE),"")</f>
        <v/>
      </c>
      <c r="K206" s="95">
        <f>IFERROR(VLOOKUP(J206,'11. Cadastro de Serviços'!$A$6:$E$200,2,FALSE),"")</f>
        <v/>
      </c>
      <c r="L206" s="95">
        <f>IFERROR(VLOOKUP(J206,'11. Cadastro de Serviços'!$A$6:$E$200,3,FALSE),"")</f>
        <v/>
      </c>
      <c r="M206" s="95">
        <f>IFERROR(VLOOKUP(J206,'11. Cadastro de Serviços'!$A$6:$E$200,4,FALSE),"")</f>
        <v/>
      </c>
      <c r="N206" s="95" t="n"/>
      <c r="O206" s="95">
        <f>IF(AND(G206&lt;&gt;"",I206&lt;&gt;"",J206&lt;&gt;"",M206&lt;&gt;""),"Rastreado","Revisar")</f>
        <v/>
      </c>
      <c r="P206" s="96" t="n"/>
    </row>
    <row r="207">
      <c r="A207" s="95" t="n"/>
      <c r="B207" s="96" t="n"/>
      <c r="C207" s="96" t="n"/>
      <c r="D207" s="95" t="n"/>
      <c r="E207" s="96" t="n"/>
      <c r="F207" s="96" t="n"/>
      <c r="G207" s="95">
        <f>IFERROR(VLOOKUP(F207,'12. Contratos_OS'!$A$6:$L$1000,2,FALSE),"")</f>
        <v/>
      </c>
      <c r="H207" s="95">
        <f>IFERROR(VLOOKUP(F207,'12. Contratos_OS'!$A$6:$L$1000,3,FALSE),"")</f>
        <v/>
      </c>
      <c r="I207" s="95">
        <f>IFERROR(VLOOKUP(F207,'12. Contratos_OS'!$A$6:$L$1000,4,FALSE),"")</f>
        <v/>
      </c>
      <c r="J207" s="95">
        <f>IFERROR(VLOOKUP(F207,'12. Contratos_OS'!$A$6:$L$1000,7,FALSE),"")</f>
        <v/>
      </c>
      <c r="K207" s="95">
        <f>IFERROR(VLOOKUP(J207,'11. Cadastro de Serviços'!$A$6:$E$200,2,FALSE),"")</f>
        <v/>
      </c>
      <c r="L207" s="95">
        <f>IFERROR(VLOOKUP(J207,'11. Cadastro de Serviços'!$A$6:$E$200,3,FALSE),"")</f>
        <v/>
      </c>
      <c r="M207" s="95">
        <f>IFERROR(VLOOKUP(J207,'11. Cadastro de Serviços'!$A$6:$E$200,4,FALSE),"")</f>
        <v/>
      </c>
      <c r="N207" s="95" t="n"/>
      <c r="O207" s="95">
        <f>IF(AND(G207&lt;&gt;"",I207&lt;&gt;"",J207&lt;&gt;"",M207&lt;&gt;""),"Rastreado","Revisar")</f>
        <v/>
      </c>
      <c r="P207" s="96" t="n"/>
    </row>
    <row r="208">
      <c r="A208" s="95" t="n"/>
      <c r="B208" s="96" t="n"/>
      <c r="C208" s="96" t="n"/>
      <c r="D208" s="95" t="n"/>
      <c r="E208" s="96" t="n"/>
      <c r="F208" s="96" t="n"/>
      <c r="G208" s="95">
        <f>IFERROR(VLOOKUP(F208,'12. Contratos_OS'!$A$6:$L$1000,2,FALSE),"")</f>
        <v/>
      </c>
      <c r="H208" s="95">
        <f>IFERROR(VLOOKUP(F208,'12. Contratos_OS'!$A$6:$L$1000,3,FALSE),"")</f>
        <v/>
      </c>
      <c r="I208" s="95">
        <f>IFERROR(VLOOKUP(F208,'12. Contratos_OS'!$A$6:$L$1000,4,FALSE),"")</f>
        <v/>
      </c>
      <c r="J208" s="95">
        <f>IFERROR(VLOOKUP(F208,'12. Contratos_OS'!$A$6:$L$1000,7,FALSE),"")</f>
        <v/>
      </c>
      <c r="K208" s="95">
        <f>IFERROR(VLOOKUP(J208,'11. Cadastro de Serviços'!$A$6:$E$200,2,FALSE),"")</f>
        <v/>
      </c>
      <c r="L208" s="95">
        <f>IFERROR(VLOOKUP(J208,'11. Cadastro de Serviços'!$A$6:$E$200,3,FALSE),"")</f>
        <v/>
      </c>
      <c r="M208" s="95">
        <f>IFERROR(VLOOKUP(J208,'11. Cadastro de Serviços'!$A$6:$E$200,4,FALSE),"")</f>
        <v/>
      </c>
      <c r="N208" s="95" t="n"/>
      <c r="O208" s="95">
        <f>IF(AND(G208&lt;&gt;"",I208&lt;&gt;"",J208&lt;&gt;"",M208&lt;&gt;""),"Rastreado","Revisar")</f>
        <v/>
      </c>
      <c r="P208" s="96" t="n"/>
    </row>
    <row r="209">
      <c r="A209" s="95" t="n"/>
      <c r="B209" s="96" t="n"/>
      <c r="C209" s="96" t="n"/>
      <c r="D209" s="95" t="n"/>
      <c r="E209" s="96" t="n"/>
      <c r="F209" s="96" t="n"/>
      <c r="G209" s="95">
        <f>IFERROR(VLOOKUP(F209,'12. Contratos_OS'!$A$6:$L$1000,2,FALSE),"")</f>
        <v/>
      </c>
      <c r="H209" s="95">
        <f>IFERROR(VLOOKUP(F209,'12. Contratos_OS'!$A$6:$L$1000,3,FALSE),"")</f>
        <v/>
      </c>
      <c r="I209" s="95">
        <f>IFERROR(VLOOKUP(F209,'12. Contratos_OS'!$A$6:$L$1000,4,FALSE),"")</f>
        <v/>
      </c>
      <c r="J209" s="95">
        <f>IFERROR(VLOOKUP(F209,'12. Contratos_OS'!$A$6:$L$1000,7,FALSE),"")</f>
        <v/>
      </c>
      <c r="K209" s="95">
        <f>IFERROR(VLOOKUP(J209,'11. Cadastro de Serviços'!$A$6:$E$200,2,FALSE),"")</f>
        <v/>
      </c>
      <c r="L209" s="95">
        <f>IFERROR(VLOOKUP(J209,'11. Cadastro de Serviços'!$A$6:$E$200,3,FALSE),"")</f>
        <v/>
      </c>
      <c r="M209" s="95">
        <f>IFERROR(VLOOKUP(J209,'11. Cadastro de Serviços'!$A$6:$E$200,4,FALSE),"")</f>
        <v/>
      </c>
      <c r="N209" s="95" t="n"/>
      <c r="O209" s="95">
        <f>IF(AND(G209&lt;&gt;"",I209&lt;&gt;"",J209&lt;&gt;"",M209&lt;&gt;""),"Rastreado","Revisar")</f>
        <v/>
      </c>
      <c r="P209" s="96" t="n"/>
    </row>
    <row r="210">
      <c r="A210" s="95" t="n"/>
      <c r="B210" s="96" t="n"/>
      <c r="C210" s="96" t="n"/>
      <c r="D210" s="95" t="n"/>
      <c r="E210" s="96" t="n"/>
      <c r="F210" s="96" t="n"/>
      <c r="G210" s="95">
        <f>IFERROR(VLOOKUP(F210,'12. Contratos_OS'!$A$6:$L$1000,2,FALSE),"")</f>
        <v/>
      </c>
      <c r="H210" s="95">
        <f>IFERROR(VLOOKUP(F210,'12. Contratos_OS'!$A$6:$L$1000,3,FALSE),"")</f>
        <v/>
      </c>
      <c r="I210" s="95">
        <f>IFERROR(VLOOKUP(F210,'12. Contratos_OS'!$A$6:$L$1000,4,FALSE),"")</f>
        <v/>
      </c>
      <c r="J210" s="95">
        <f>IFERROR(VLOOKUP(F210,'12. Contratos_OS'!$A$6:$L$1000,7,FALSE),"")</f>
        <v/>
      </c>
      <c r="K210" s="95">
        <f>IFERROR(VLOOKUP(J210,'11. Cadastro de Serviços'!$A$6:$E$200,2,FALSE),"")</f>
        <v/>
      </c>
      <c r="L210" s="95">
        <f>IFERROR(VLOOKUP(J210,'11. Cadastro de Serviços'!$A$6:$E$200,3,FALSE),"")</f>
        <v/>
      </c>
      <c r="M210" s="95">
        <f>IFERROR(VLOOKUP(J210,'11. Cadastro de Serviços'!$A$6:$E$200,4,FALSE),"")</f>
        <v/>
      </c>
      <c r="N210" s="95" t="n"/>
      <c r="O210" s="95">
        <f>IF(AND(G210&lt;&gt;"",I210&lt;&gt;"",J210&lt;&gt;"",M210&lt;&gt;""),"Rastreado","Revisar")</f>
        <v/>
      </c>
      <c r="P210" s="96" t="n"/>
    </row>
    <row r="211">
      <c r="A211" s="95" t="n"/>
      <c r="B211" s="96" t="n"/>
      <c r="C211" s="96" t="n"/>
      <c r="D211" s="95" t="n"/>
      <c r="E211" s="96" t="n"/>
      <c r="F211" s="96" t="n"/>
      <c r="G211" s="95">
        <f>IFERROR(VLOOKUP(F211,'12. Contratos_OS'!$A$6:$L$1000,2,FALSE),"")</f>
        <v/>
      </c>
      <c r="H211" s="95">
        <f>IFERROR(VLOOKUP(F211,'12. Contratos_OS'!$A$6:$L$1000,3,FALSE),"")</f>
        <v/>
      </c>
      <c r="I211" s="95">
        <f>IFERROR(VLOOKUP(F211,'12. Contratos_OS'!$A$6:$L$1000,4,FALSE),"")</f>
        <v/>
      </c>
      <c r="J211" s="95">
        <f>IFERROR(VLOOKUP(F211,'12. Contratos_OS'!$A$6:$L$1000,7,FALSE),"")</f>
        <v/>
      </c>
      <c r="K211" s="95">
        <f>IFERROR(VLOOKUP(J211,'11. Cadastro de Serviços'!$A$6:$E$200,2,FALSE),"")</f>
        <v/>
      </c>
      <c r="L211" s="95">
        <f>IFERROR(VLOOKUP(J211,'11. Cadastro de Serviços'!$A$6:$E$200,3,FALSE),"")</f>
        <v/>
      </c>
      <c r="M211" s="95">
        <f>IFERROR(VLOOKUP(J211,'11. Cadastro de Serviços'!$A$6:$E$200,4,FALSE),"")</f>
        <v/>
      </c>
      <c r="N211" s="95" t="n"/>
      <c r="O211" s="95">
        <f>IF(AND(G211&lt;&gt;"",I211&lt;&gt;"",J211&lt;&gt;"",M211&lt;&gt;""),"Rastreado","Revisar")</f>
        <v/>
      </c>
      <c r="P211" s="96" t="n"/>
    </row>
    <row r="212">
      <c r="A212" s="95" t="n"/>
      <c r="B212" s="96" t="n"/>
      <c r="C212" s="96" t="n"/>
      <c r="D212" s="95" t="n"/>
      <c r="E212" s="96" t="n"/>
      <c r="F212" s="96" t="n"/>
      <c r="G212" s="95">
        <f>IFERROR(VLOOKUP(F212,'12. Contratos_OS'!$A$6:$L$1000,2,FALSE),"")</f>
        <v/>
      </c>
      <c r="H212" s="95">
        <f>IFERROR(VLOOKUP(F212,'12. Contratos_OS'!$A$6:$L$1000,3,FALSE),"")</f>
        <v/>
      </c>
      <c r="I212" s="95">
        <f>IFERROR(VLOOKUP(F212,'12. Contratos_OS'!$A$6:$L$1000,4,FALSE),"")</f>
        <v/>
      </c>
      <c r="J212" s="95">
        <f>IFERROR(VLOOKUP(F212,'12. Contratos_OS'!$A$6:$L$1000,7,FALSE),"")</f>
        <v/>
      </c>
      <c r="K212" s="95">
        <f>IFERROR(VLOOKUP(J212,'11. Cadastro de Serviços'!$A$6:$E$200,2,FALSE),"")</f>
        <v/>
      </c>
      <c r="L212" s="95">
        <f>IFERROR(VLOOKUP(J212,'11. Cadastro de Serviços'!$A$6:$E$200,3,FALSE),"")</f>
        <v/>
      </c>
      <c r="M212" s="95">
        <f>IFERROR(VLOOKUP(J212,'11. Cadastro de Serviços'!$A$6:$E$200,4,FALSE),"")</f>
        <v/>
      </c>
      <c r="N212" s="95" t="n"/>
      <c r="O212" s="95">
        <f>IF(AND(G212&lt;&gt;"",I212&lt;&gt;"",J212&lt;&gt;"",M212&lt;&gt;""),"Rastreado","Revisar")</f>
        <v/>
      </c>
      <c r="P212" s="96" t="n"/>
    </row>
    <row r="213">
      <c r="A213" s="95" t="n"/>
      <c r="B213" s="96" t="n"/>
      <c r="C213" s="96" t="n"/>
      <c r="D213" s="95" t="n"/>
      <c r="E213" s="96" t="n"/>
      <c r="F213" s="96" t="n"/>
      <c r="G213" s="95">
        <f>IFERROR(VLOOKUP(F213,'12. Contratos_OS'!$A$6:$L$1000,2,FALSE),"")</f>
        <v/>
      </c>
      <c r="H213" s="95">
        <f>IFERROR(VLOOKUP(F213,'12. Contratos_OS'!$A$6:$L$1000,3,FALSE),"")</f>
        <v/>
      </c>
      <c r="I213" s="95">
        <f>IFERROR(VLOOKUP(F213,'12. Contratos_OS'!$A$6:$L$1000,4,FALSE),"")</f>
        <v/>
      </c>
      <c r="J213" s="95">
        <f>IFERROR(VLOOKUP(F213,'12. Contratos_OS'!$A$6:$L$1000,7,FALSE),"")</f>
        <v/>
      </c>
      <c r="K213" s="95">
        <f>IFERROR(VLOOKUP(J213,'11. Cadastro de Serviços'!$A$6:$E$200,2,FALSE),"")</f>
        <v/>
      </c>
      <c r="L213" s="95">
        <f>IFERROR(VLOOKUP(J213,'11. Cadastro de Serviços'!$A$6:$E$200,3,FALSE),"")</f>
        <v/>
      </c>
      <c r="M213" s="95">
        <f>IFERROR(VLOOKUP(J213,'11. Cadastro de Serviços'!$A$6:$E$200,4,FALSE),"")</f>
        <v/>
      </c>
      <c r="N213" s="95" t="n"/>
      <c r="O213" s="95">
        <f>IF(AND(G213&lt;&gt;"",I213&lt;&gt;"",J213&lt;&gt;"",M213&lt;&gt;""),"Rastreado","Revisar")</f>
        <v/>
      </c>
      <c r="P213" s="96" t="n"/>
    </row>
    <row r="214">
      <c r="A214" s="95" t="n"/>
      <c r="B214" s="96" t="n"/>
      <c r="C214" s="96" t="n"/>
      <c r="D214" s="95" t="n"/>
      <c r="E214" s="96" t="n"/>
      <c r="F214" s="96" t="n"/>
      <c r="G214" s="95">
        <f>IFERROR(VLOOKUP(F214,'12. Contratos_OS'!$A$6:$L$1000,2,FALSE),"")</f>
        <v/>
      </c>
      <c r="H214" s="95">
        <f>IFERROR(VLOOKUP(F214,'12. Contratos_OS'!$A$6:$L$1000,3,FALSE),"")</f>
        <v/>
      </c>
      <c r="I214" s="95">
        <f>IFERROR(VLOOKUP(F214,'12. Contratos_OS'!$A$6:$L$1000,4,FALSE),"")</f>
        <v/>
      </c>
      <c r="J214" s="95">
        <f>IFERROR(VLOOKUP(F214,'12. Contratos_OS'!$A$6:$L$1000,7,FALSE),"")</f>
        <v/>
      </c>
      <c r="K214" s="95">
        <f>IFERROR(VLOOKUP(J214,'11. Cadastro de Serviços'!$A$6:$E$200,2,FALSE),"")</f>
        <v/>
      </c>
      <c r="L214" s="95">
        <f>IFERROR(VLOOKUP(J214,'11. Cadastro de Serviços'!$A$6:$E$200,3,FALSE),"")</f>
        <v/>
      </c>
      <c r="M214" s="95">
        <f>IFERROR(VLOOKUP(J214,'11. Cadastro de Serviços'!$A$6:$E$200,4,FALSE),"")</f>
        <v/>
      </c>
      <c r="N214" s="95" t="n"/>
      <c r="O214" s="95">
        <f>IF(AND(G214&lt;&gt;"",I214&lt;&gt;"",J214&lt;&gt;"",M214&lt;&gt;""),"Rastreado","Revisar")</f>
        <v/>
      </c>
      <c r="P214" s="96" t="n"/>
    </row>
    <row r="215">
      <c r="A215" s="95" t="n"/>
      <c r="B215" s="96" t="n"/>
      <c r="C215" s="96" t="n"/>
      <c r="D215" s="95" t="n"/>
      <c r="E215" s="96" t="n"/>
      <c r="F215" s="96" t="n"/>
      <c r="G215" s="95">
        <f>IFERROR(VLOOKUP(F215,'12. Contratos_OS'!$A$6:$L$1000,2,FALSE),"")</f>
        <v/>
      </c>
      <c r="H215" s="95">
        <f>IFERROR(VLOOKUP(F215,'12. Contratos_OS'!$A$6:$L$1000,3,FALSE),"")</f>
        <v/>
      </c>
      <c r="I215" s="95">
        <f>IFERROR(VLOOKUP(F215,'12. Contratos_OS'!$A$6:$L$1000,4,FALSE),"")</f>
        <v/>
      </c>
      <c r="J215" s="95">
        <f>IFERROR(VLOOKUP(F215,'12. Contratos_OS'!$A$6:$L$1000,7,FALSE),"")</f>
        <v/>
      </c>
      <c r="K215" s="95">
        <f>IFERROR(VLOOKUP(J215,'11. Cadastro de Serviços'!$A$6:$E$200,2,FALSE),"")</f>
        <v/>
      </c>
      <c r="L215" s="95">
        <f>IFERROR(VLOOKUP(J215,'11. Cadastro de Serviços'!$A$6:$E$200,3,FALSE),"")</f>
        <v/>
      </c>
      <c r="M215" s="95">
        <f>IFERROR(VLOOKUP(J215,'11. Cadastro de Serviços'!$A$6:$E$200,4,FALSE),"")</f>
        <v/>
      </c>
      <c r="N215" s="95" t="n"/>
      <c r="O215" s="95">
        <f>IF(AND(G215&lt;&gt;"",I215&lt;&gt;"",J215&lt;&gt;"",M215&lt;&gt;""),"Rastreado","Revisar")</f>
        <v/>
      </c>
      <c r="P215" s="96" t="n"/>
    </row>
    <row r="216">
      <c r="A216" s="95" t="n"/>
      <c r="B216" s="96" t="n"/>
      <c r="C216" s="96" t="n"/>
      <c r="D216" s="95" t="n"/>
      <c r="E216" s="96" t="n"/>
      <c r="F216" s="96" t="n"/>
      <c r="G216" s="95">
        <f>IFERROR(VLOOKUP(F216,'12. Contratos_OS'!$A$6:$L$1000,2,FALSE),"")</f>
        <v/>
      </c>
      <c r="H216" s="95">
        <f>IFERROR(VLOOKUP(F216,'12. Contratos_OS'!$A$6:$L$1000,3,FALSE),"")</f>
        <v/>
      </c>
      <c r="I216" s="95">
        <f>IFERROR(VLOOKUP(F216,'12. Contratos_OS'!$A$6:$L$1000,4,FALSE),"")</f>
        <v/>
      </c>
      <c r="J216" s="95">
        <f>IFERROR(VLOOKUP(F216,'12. Contratos_OS'!$A$6:$L$1000,7,FALSE),"")</f>
        <v/>
      </c>
      <c r="K216" s="95">
        <f>IFERROR(VLOOKUP(J216,'11. Cadastro de Serviços'!$A$6:$E$200,2,FALSE),"")</f>
        <v/>
      </c>
      <c r="L216" s="95">
        <f>IFERROR(VLOOKUP(J216,'11. Cadastro de Serviços'!$A$6:$E$200,3,FALSE),"")</f>
        <v/>
      </c>
      <c r="M216" s="95">
        <f>IFERROR(VLOOKUP(J216,'11. Cadastro de Serviços'!$A$6:$E$200,4,FALSE),"")</f>
        <v/>
      </c>
      <c r="N216" s="95" t="n"/>
      <c r="O216" s="95">
        <f>IF(AND(G216&lt;&gt;"",I216&lt;&gt;"",J216&lt;&gt;"",M216&lt;&gt;""),"Rastreado","Revisar")</f>
        <v/>
      </c>
      <c r="P216" s="96" t="n"/>
    </row>
    <row r="217">
      <c r="A217" s="95" t="n"/>
      <c r="B217" s="96" t="n"/>
      <c r="C217" s="96" t="n"/>
      <c r="D217" s="95" t="n"/>
      <c r="E217" s="96" t="n"/>
      <c r="F217" s="96" t="n"/>
      <c r="G217" s="95">
        <f>IFERROR(VLOOKUP(F217,'12. Contratos_OS'!$A$6:$L$1000,2,FALSE),"")</f>
        <v/>
      </c>
      <c r="H217" s="95">
        <f>IFERROR(VLOOKUP(F217,'12. Contratos_OS'!$A$6:$L$1000,3,FALSE),"")</f>
        <v/>
      </c>
      <c r="I217" s="95">
        <f>IFERROR(VLOOKUP(F217,'12. Contratos_OS'!$A$6:$L$1000,4,FALSE),"")</f>
        <v/>
      </c>
      <c r="J217" s="95">
        <f>IFERROR(VLOOKUP(F217,'12. Contratos_OS'!$A$6:$L$1000,7,FALSE),"")</f>
        <v/>
      </c>
      <c r="K217" s="95">
        <f>IFERROR(VLOOKUP(J217,'11. Cadastro de Serviços'!$A$6:$E$200,2,FALSE),"")</f>
        <v/>
      </c>
      <c r="L217" s="95">
        <f>IFERROR(VLOOKUP(J217,'11. Cadastro de Serviços'!$A$6:$E$200,3,FALSE),"")</f>
        <v/>
      </c>
      <c r="M217" s="95">
        <f>IFERROR(VLOOKUP(J217,'11. Cadastro de Serviços'!$A$6:$E$200,4,FALSE),"")</f>
        <v/>
      </c>
      <c r="N217" s="95" t="n"/>
      <c r="O217" s="95">
        <f>IF(AND(G217&lt;&gt;"",I217&lt;&gt;"",J217&lt;&gt;"",M217&lt;&gt;""),"Rastreado","Revisar")</f>
        <v/>
      </c>
      <c r="P217" s="96" t="n"/>
    </row>
    <row r="218">
      <c r="A218" s="95" t="n"/>
      <c r="B218" s="96" t="n"/>
      <c r="C218" s="96" t="n"/>
      <c r="D218" s="95" t="n"/>
      <c r="E218" s="96" t="n"/>
      <c r="F218" s="96" t="n"/>
      <c r="G218" s="95">
        <f>IFERROR(VLOOKUP(F218,'12. Contratos_OS'!$A$6:$L$1000,2,FALSE),"")</f>
        <v/>
      </c>
      <c r="H218" s="95">
        <f>IFERROR(VLOOKUP(F218,'12. Contratos_OS'!$A$6:$L$1000,3,FALSE),"")</f>
        <v/>
      </c>
      <c r="I218" s="95">
        <f>IFERROR(VLOOKUP(F218,'12. Contratos_OS'!$A$6:$L$1000,4,FALSE),"")</f>
        <v/>
      </c>
      <c r="J218" s="95">
        <f>IFERROR(VLOOKUP(F218,'12. Contratos_OS'!$A$6:$L$1000,7,FALSE),"")</f>
        <v/>
      </c>
      <c r="K218" s="95">
        <f>IFERROR(VLOOKUP(J218,'11. Cadastro de Serviços'!$A$6:$E$200,2,FALSE),"")</f>
        <v/>
      </c>
      <c r="L218" s="95">
        <f>IFERROR(VLOOKUP(J218,'11. Cadastro de Serviços'!$A$6:$E$200,3,FALSE),"")</f>
        <v/>
      </c>
      <c r="M218" s="95">
        <f>IFERROR(VLOOKUP(J218,'11. Cadastro de Serviços'!$A$6:$E$200,4,FALSE),"")</f>
        <v/>
      </c>
      <c r="N218" s="95" t="n"/>
      <c r="O218" s="95">
        <f>IF(AND(G218&lt;&gt;"",I218&lt;&gt;"",J218&lt;&gt;"",M218&lt;&gt;""),"Rastreado","Revisar")</f>
        <v/>
      </c>
      <c r="P218" s="96" t="n"/>
    </row>
    <row r="219">
      <c r="A219" s="95" t="n"/>
      <c r="B219" s="96" t="n"/>
      <c r="C219" s="96" t="n"/>
      <c r="D219" s="95" t="n"/>
      <c r="E219" s="96" t="n"/>
      <c r="F219" s="96" t="n"/>
      <c r="G219" s="95">
        <f>IFERROR(VLOOKUP(F219,'12. Contratos_OS'!$A$6:$L$1000,2,FALSE),"")</f>
        <v/>
      </c>
      <c r="H219" s="95">
        <f>IFERROR(VLOOKUP(F219,'12. Contratos_OS'!$A$6:$L$1000,3,FALSE),"")</f>
        <v/>
      </c>
      <c r="I219" s="95">
        <f>IFERROR(VLOOKUP(F219,'12. Contratos_OS'!$A$6:$L$1000,4,FALSE),"")</f>
        <v/>
      </c>
      <c r="J219" s="95">
        <f>IFERROR(VLOOKUP(F219,'12. Contratos_OS'!$A$6:$L$1000,7,FALSE),"")</f>
        <v/>
      </c>
      <c r="K219" s="95">
        <f>IFERROR(VLOOKUP(J219,'11. Cadastro de Serviços'!$A$6:$E$200,2,FALSE),"")</f>
        <v/>
      </c>
      <c r="L219" s="95">
        <f>IFERROR(VLOOKUP(J219,'11. Cadastro de Serviços'!$A$6:$E$200,3,FALSE),"")</f>
        <v/>
      </c>
      <c r="M219" s="95">
        <f>IFERROR(VLOOKUP(J219,'11. Cadastro de Serviços'!$A$6:$E$200,4,FALSE),"")</f>
        <v/>
      </c>
      <c r="N219" s="95" t="n"/>
      <c r="O219" s="95">
        <f>IF(AND(G219&lt;&gt;"",I219&lt;&gt;"",J219&lt;&gt;"",M219&lt;&gt;""),"Rastreado","Revisar")</f>
        <v/>
      </c>
      <c r="P219" s="96" t="n"/>
    </row>
    <row r="220">
      <c r="A220" s="95" t="n"/>
      <c r="B220" s="96" t="n"/>
      <c r="C220" s="96" t="n"/>
      <c r="D220" s="95" t="n"/>
      <c r="E220" s="96" t="n"/>
      <c r="F220" s="96" t="n"/>
      <c r="G220" s="95">
        <f>IFERROR(VLOOKUP(F220,'12. Contratos_OS'!$A$6:$L$1000,2,FALSE),"")</f>
        <v/>
      </c>
      <c r="H220" s="95">
        <f>IFERROR(VLOOKUP(F220,'12. Contratos_OS'!$A$6:$L$1000,3,FALSE),"")</f>
        <v/>
      </c>
      <c r="I220" s="95">
        <f>IFERROR(VLOOKUP(F220,'12. Contratos_OS'!$A$6:$L$1000,4,FALSE),"")</f>
        <v/>
      </c>
      <c r="J220" s="95">
        <f>IFERROR(VLOOKUP(F220,'12. Contratos_OS'!$A$6:$L$1000,7,FALSE),"")</f>
        <v/>
      </c>
      <c r="K220" s="95">
        <f>IFERROR(VLOOKUP(J220,'11. Cadastro de Serviços'!$A$6:$E$200,2,FALSE),"")</f>
        <v/>
      </c>
      <c r="L220" s="95">
        <f>IFERROR(VLOOKUP(J220,'11. Cadastro de Serviços'!$A$6:$E$200,3,FALSE),"")</f>
        <v/>
      </c>
      <c r="M220" s="95">
        <f>IFERROR(VLOOKUP(J220,'11. Cadastro de Serviços'!$A$6:$E$200,4,FALSE),"")</f>
        <v/>
      </c>
      <c r="N220" s="95" t="n"/>
      <c r="O220" s="95">
        <f>IF(AND(G220&lt;&gt;"",I220&lt;&gt;"",J220&lt;&gt;"",M220&lt;&gt;""),"Rastreado","Revisar")</f>
        <v/>
      </c>
      <c r="P220" s="96" t="n"/>
    </row>
    <row r="221">
      <c r="A221" s="95" t="n"/>
      <c r="B221" s="96" t="n"/>
      <c r="C221" s="96" t="n"/>
      <c r="D221" s="95" t="n"/>
      <c r="E221" s="96" t="n"/>
      <c r="F221" s="96" t="n"/>
      <c r="G221" s="95">
        <f>IFERROR(VLOOKUP(F221,'12. Contratos_OS'!$A$6:$L$1000,2,FALSE),"")</f>
        <v/>
      </c>
      <c r="H221" s="95">
        <f>IFERROR(VLOOKUP(F221,'12. Contratos_OS'!$A$6:$L$1000,3,FALSE),"")</f>
        <v/>
      </c>
      <c r="I221" s="95">
        <f>IFERROR(VLOOKUP(F221,'12. Contratos_OS'!$A$6:$L$1000,4,FALSE),"")</f>
        <v/>
      </c>
      <c r="J221" s="95">
        <f>IFERROR(VLOOKUP(F221,'12. Contratos_OS'!$A$6:$L$1000,7,FALSE),"")</f>
        <v/>
      </c>
      <c r="K221" s="95">
        <f>IFERROR(VLOOKUP(J221,'11. Cadastro de Serviços'!$A$6:$E$200,2,FALSE),"")</f>
        <v/>
      </c>
      <c r="L221" s="95">
        <f>IFERROR(VLOOKUP(J221,'11. Cadastro de Serviços'!$A$6:$E$200,3,FALSE),"")</f>
        <v/>
      </c>
      <c r="M221" s="95">
        <f>IFERROR(VLOOKUP(J221,'11. Cadastro de Serviços'!$A$6:$E$200,4,FALSE),"")</f>
        <v/>
      </c>
      <c r="N221" s="95" t="n"/>
      <c r="O221" s="95">
        <f>IF(AND(G221&lt;&gt;"",I221&lt;&gt;"",J221&lt;&gt;"",M221&lt;&gt;""),"Rastreado","Revisar")</f>
        <v/>
      </c>
      <c r="P221" s="96" t="n"/>
    </row>
    <row r="222">
      <c r="A222" s="95" t="n"/>
      <c r="B222" s="96" t="n"/>
      <c r="C222" s="96" t="n"/>
      <c r="D222" s="95" t="n"/>
      <c r="E222" s="96" t="n"/>
      <c r="F222" s="96" t="n"/>
      <c r="G222" s="95">
        <f>IFERROR(VLOOKUP(F222,'12. Contratos_OS'!$A$6:$L$1000,2,FALSE),"")</f>
        <v/>
      </c>
      <c r="H222" s="95">
        <f>IFERROR(VLOOKUP(F222,'12. Contratos_OS'!$A$6:$L$1000,3,FALSE),"")</f>
        <v/>
      </c>
      <c r="I222" s="95">
        <f>IFERROR(VLOOKUP(F222,'12. Contratos_OS'!$A$6:$L$1000,4,FALSE),"")</f>
        <v/>
      </c>
      <c r="J222" s="95">
        <f>IFERROR(VLOOKUP(F222,'12. Contratos_OS'!$A$6:$L$1000,7,FALSE),"")</f>
        <v/>
      </c>
      <c r="K222" s="95">
        <f>IFERROR(VLOOKUP(J222,'11. Cadastro de Serviços'!$A$6:$E$200,2,FALSE),"")</f>
        <v/>
      </c>
      <c r="L222" s="95">
        <f>IFERROR(VLOOKUP(J222,'11. Cadastro de Serviços'!$A$6:$E$200,3,FALSE),"")</f>
        <v/>
      </c>
      <c r="M222" s="95">
        <f>IFERROR(VLOOKUP(J222,'11. Cadastro de Serviços'!$A$6:$E$200,4,FALSE),"")</f>
        <v/>
      </c>
      <c r="N222" s="95" t="n"/>
      <c r="O222" s="95">
        <f>IF(AND(G222&lt;&gt;"",I222&lt;&gt;"",J222&lt;&gt;"",M222&lt;&gt;""),"Rastreado","Revisar")</f>
        <v/>
      </c>
      <c r="P222" s="96" t="n"/>
    </row>
    <row r="223">
      <c r="A223" s="95" t="n"/>
      <c r="B223" s="96" t="n"/>
      <c r="C223" s="96" t="n"/>
      <c r="D223" s="95" t="n"/>
      <c r="E223" s="96" t="n"/>
      <c r="F223" s="96" t="n"/>
      <c r="G223" s="95">
        <f>IFERROR(VLOOKUP(F223,'12. Contratos_OS'!$A$6:$L$1000,2,FALSE),"")</f>
        <v/>
      </c>
      <c r="H223" s="95">
        <f>IFERROR(VLOOKUP(F223,'12. Contratos_OS'!$A$6:$L$1000,3,FALSE),"")</f>
        <v/>
      </c>
      <c r="I223" s="95">
        <f>IFERROR(VLOOKUP(F223,'12. Contratos_OS'!$A$6:$L$1000,4,FALSE),"")</f>
        <v/>
      </c>
      <c r="J223" s="95">
        <f>IFERROR(VLOOKUP(F223,'12. Contratos_OS'!$A$6:$L$1000,7,FALSE),"")</f>
        <v/>
      </c>
      <c r="K223" s="95">
        <f>IFERROR(VLOOKUP(J223,'11. Cadastro de Serviços'!$A$6:$E$200,2,FALSE),"")</f>
        <v/>
      </c>
      <c r="L223" s="95">
        <f>IFERROR(VLOOKUP(J223,'11. Cadastro de Serviços'!$A$6:$E$200,3,FALSE),"")</f>
        <v/>
      </c>
      <c r="M223" s="95">
        <f>IFERROR(VLOOKUP(J223,'11. Cadastro de Serviços'!$A$6:$E$200,4,FALSE),"")</f>
        <v/>
      </c>
      <c r="N223" s="95" t="n"/>
      <c r="O223" s="95">
        <f>IF(AND(G223&lt;&gt;"",I223&lt;&gt;"",J223&lt;&gt;"",M223&lt;&gt;""),"Rastreado","Revisar")</f>
        <v/>
      </c>
      <c r="P223" s="96" t="n"/>
    </row>
    <row r="224">
      <c r="A224" s="95" t="n"/>
      <c r="B224" s="96" t="n"/>
      <c r="C224" s="96" t="n"/>
      <c r="D224" s="95" t="n"/>
      <c r="E224" s="96" t="n"/>
      <c r="F224" s="96" t="n"/>
      <c r="G224" s="95">
        <f>IFERROR(VLOOKUP(F224,'12. Contratos_OS'!$A$6:$L$1000,2,FALSE),"")</f>
        <v/>
      </c>
      <c r="H224" s="95">
        <f>IFERROR(VLOOKUP(F224,'12. Contratos_OS'!$A$6:$L$1000,3,FALSE),"")</f>
        <v/>
      </c>
      <c r="I224" s="95">
        <f>IFERROR(VLOOKUP(F224,'12. Contratos_OS'!$A$6:$L$1000,4,FALSE),"")</f>
        <v/>
      </c>
      <c r="J224" s="95">
        <f>IFERROR(VLOOKUP(F224,'12. Contratos_OS'!$A$6:$L$1000,7,FALSE),"")</f>
        <v/>
      </c>
      <c r="K224" s="95">
        <f>IFERROR(VLOOKUP(J224,'11. Cadastro de Serviços'!$A$6:$E$200,2,FALSE),"")</f>
        <v/>
      </c>
      <c r="L224" s="95">
        <f>IFERROR(VLOOKUP(J224,'11. Cadastro de Serviços'!$A$6:$E$200,3,FALSE),"")</f>
        <v/>
      </c>
      <c r="M224" s="95">
        <f>IFERROR(VLOOKUP(J224,'11. Cadastro de Serviços'!$A$6:$E$200,4,FALSE),"")</f>
        <v/>
      </c>
      <c r="N224" s="95" t="n"/>
      <c r="O224" s="95">
        <f>IF(AND(G224&lt;&gt;"",I224&lt;&gt;"",J224&lt;&gt;"",M224&lt;&gt;""),"Rastreado","Revisar")</f>
        <v/>
      </c>
      <c r="P224" s="96" t="n"/>
    </row>
    <row r="225">
      <c r="A225" s="95" t="n"/>
      <c r="B225" s="96" t="n"/>
      <c r="C225" s="96" t="n"/>
      <c r="D225" s="95" t="n"/>
      <c r="E225" s="96" t="n"/>
      <c r="F225" s="96" t="n"/>
      <c r="G225" s="95">
        <f>IFERROR(VLOOKUP(F225,'12. Contratos_OS'!$A$6:$L$1000,2,FALSE),"")</f>
        <v/>
      </c>
      <c r="H225" s="95">
        <f>IFERROR(VLOOKUP(F225,'12. Contratos_OS'!$A$6:$L$1000,3,FALSE),"")</f>
        <v/>
      </c>
      <c r="I225" s="95">
        <f>IFERROR(VLOOKUP(F225,'12. Contratos_OS'!$A$6:$L$1000,4,FALSE),"")</f>
        <v/>
      </c>
      <c r="J225" s="95">
        <f>IFERROR(VLOOKUP(F225,'12. Contratos_OS'!$A$6:$L$1000,7,FALSE),"")</f>
        <v/>
      </c>
      <c r="K225" s="95">
        <f>IFERROR(VLOOKUP(J225,'11. Cadastro de Serviços'!$A$6:$E$200,2,FALSE),"")</f>
        <v/>
      </c>
      <c r="L225" s="95">
        <f>IFERROR(VLOOKUP(J225,'11. Cadastro de Serviços'!$A$6:$E$200,3,FALSE),"")</f>
        <v/>
      </c>
      <c r="M225" s="95">
        <f>IFERROR(VLOOKUP(J225,'11. Cadastro de Serviços'!$A$6:$E$200,4,FALSE),"")</f>
        <v/>
      </c>
      <c r="N225" s="95" t="n"/>
      <c r="O225" s="95">
        <f>IF(AND(G225&lt;&gt;"",I225&lt;&gt;"",J225&lt;&gt;"",M225&lt;&gt;""),"Rastreado","Revisar")</f>
        <v/>
      </c>
      <c r="P225" s="96" t="n"/>
    </row>
    <row r="226">
      <c r="A226" s="95" t="n"/>
      <c r="B226" s="96" t="n"/>
      <c r="C226" s="96" t="n"/>
      <c r="D226" s="95" t="n"/>
      <c r="E226" s="96" t="n"/>
      <c r="F226" s="96" t="n"/>
      <c r="G226" s="95">
        <f>IFERROR(VLOOKUP(F226,'12. Contratos_OS'!$A$6:$L$1000,2,FALSE),"")</f>
        <v/>
      </c>
      <c r="H226" s="95">
        <f>IFERROR(VLOOKUP(F226,'12. Contratos_OS'!$A$6:$L$1000,3,FALSE),"")</f>
        <v/>
      </c>
      <c r="I226" s="95">
        <f>IFERROR(VLOOKUP(F226,'12. Contratos_OS'!$A$6:$L$1000,4,FALSE),"")</f>
        <v/>
      </c>
      <c r="J226" s="95">
        <f>IFERROR(VLOOKUP(F226,'12. Contratos_OS'!$A$6:$L$1000,7,FALSE),"")</f>
        <v/>
      </c>
      <c r="K226" s="95">
        <f>IFERROR(VLOOKUP(J226,'11. Cadastro de Serviços'!$A$6:$E$200,2,FALSE),"")</f>
        <v/>
      </c>
      <c r="L226" s="95">
        <f>IFERROR(VLOOKUP(J226,'11. Cadastro de Serviços'!$A$6:$E$200,3,FALSE),"")</f>
        <v/>
      </c>
      <c r="M226" s="95">
        <f>IFERROR(VLOOKUP(J226,'11. Cadastro de Serviços'!$A$6:$E$200,4,FALSE),"")</f>
        <v/>
      </c>
      <c r="N226" s="95" t="n"/>
      <c r="O226" s="95">
        <f>IF(AND(G226&lt;&gt;"",I226&lt;&gt;"",J226&lt;&gt;"",M226&lt;&gt;""),"Rastreado","Revisar")</f>
        <v/>
      </c>
      <c r="P226" s="96" t="n"/>
    </row>
    <row r="227">
      <c r="A227" s="95" t="n"/>
      <c r="B227" s="96" t="n"/>
      <c r="C227" s="96" t="n"/>
      <c r="D227" s="95" t="n"/>
      <c r="E227" s="96" t="n"/>
      <c r="F227" s="96" t="n"/>
      <c r="G227" s="95">
        <f>IFERROR(VLOOKUP(F227,'12. Contratos_OS'!$A$6:$L$1000,2,FALSE),"")</f>
        <v/>
      </c>
      <c r="H227" s="95">
        <f>IFERROR(VLOOKUP(F227,'12. Contratos_OS'!$A$6:$L$1000,3,FALSE),"")</f>
        <v/>
      </c>
      <c r="I227" s="95">
        <f>IFERROR(VLOOKUP(F227,'12. Contratos_OS'!$A$6:$L$1000,4,FALSE),"")</f>
        <v/>
      </c>
      <c r="J227" s="95">
        <f>IFERROR(VLOOKUP(F227,'12. Contratos_OS'!$A$6:$L$1000,7,FALSE),"")</f>
        <v/>
      </c>
      <c r="K227" s="95">
        <f>IFERROR(VLOOKUP(J227,'11. Cadastro de Serviços'!$A$6:$E$200,2,FALSE),"")</f>
        <v/>
      </c>
      <c r="L227" s="95">
        <f>IFERROR(VLOOKUP(J227,'11. Cadastro de Serviços'!$A$6:$E$200,3,FALSE),"")</f>
        <v/>
      </c>
      <c r="M227" s="95">
        <f>IFERROR(VLOOKUP(J227,'11. Cadastro de Serviços'!$A$6:$E$200,4,FALSE),"")</f>
        <v/>
      </c>
      <c r="N227" s="95" t="n"/>
      <c r="O227" s="95">
        <f>IF(AND(G227&lt;&gt;"",I227&lt;&gt;"",J227&lt;&gt;"",M227&lt;&gt;""),"Rastreado","Revisar")</f>
        <v/>
      </c>
      <c r="P227" s="96" t="n"/>
    </row>
    <row r="228">
      <c r="A228" s="95" t="n"/>
      <c r="B228" s="96" t="n"/>
      <c r="C228" s="96" t="n"/>
      <c r="D228" s="95" t="n"/>
      <c r="E228" s="96" t="n"/>
      <c r="F228" s="96" t="n"/>
      <c r="G228" s="95">
        <f>IFERROR(VLOOKUP(F228,'12. Contratos_OS'!$A$6:$L$1000,2,FALSE),"")</f>
        <v/>
      </c>
      <c r="H228" s="95">
        <f>IFERROR(VLOOKUP(F228,'12. Contratos_OS'!$A$6:$L$1000,3,FALSE),"")</f>
        <v/>
      </c>
      <c r="I228" s="95">
        <f>IFERROR(VLOOKUP(F228,'12. Contratos_OS'!$A$6:$L$1000,4,FALSE),"")</f>
        <v/>
      </c>
      <c r="J228" s="95">
        <f>IFERROR(VLOOKUP(F228,'12. Contratos_OS'!$A$6:$L$1000,7,FALSE),"")</f>
        <v/>
      </c>
      <c r="K228" s="95">
        <f>IFERROR(VLOOKUP(J228,'11. Cadastro de Serviços'!$A$6:$E$200,2,FALSE),"")</f>
        <v/>
      </c>
      <c r="L228" s="95">
        <f>IFERROR(VLOOKUP(J228,'11. Cadastro de Serviços'!$A$6:$E$200,3,FALSE),"")</f>
        <v/>
      </c>
      <c r="M228" s="95">
        <f>IFERROR(VLOOKUP(J228,'11. Cadastro de Serviços'!$A$6:$E$200,4,FALSE),"")</f>
        <v/>
      </c>
      <c r="N228" s="95" t="n"/>
      <c r="O228" s="95">
        <f>IF(AND(G228&lt;&gt;"",I228&lt;&gt;"",J228&lt;&gt;"",M228&lt;&gt;""),"Rastreado","Revisar")</f>
        <v/>
      </c>
      <c r="P228" s="96" t="n"/>
    </row>
    <row r="229">
      <c r="A229" s="95" t="n"/>
      <c r="B229" s="96" t="n"/>
      <c r="C229" s="96" t="n"/>
      <c r="D229" s="95" t="n"/>
      <c r="E229" s="96" t="n"/>
      <c r="F229" s="96" t="n"/>
      <c r="G229" s="95">
        <f>IFERROR(VLOOKUP(F229,'12. Contratos_OS'!$A$6:$L$1000,2,FALSE),"")</f>
        <v/>
      </c>
      <c r="H229" s="95">
        <f>IFERROR(VLOOKUP(F229,'12. Contratos_OS'!$A$6:$L$1000,3,FALSE),"")</f>
        <v/>
      </c>
      <c r="I229" s="95">
        <f>IFERROR(VLOOKUP(F229,'12. Contratos_OS'!$A$6:$L$1000,4,FALSE),"")</f>
        <v/>
      </c>
      <c r="J229" s="95">
        <f>IFERROR(VLOOKUP(F229,'12. Contratos_OS'!$A$6:$L$1000,7,FALSE),"")</f>
        <v/>
      </c>
      <c r="K229" s="95">
        <f>IFERROR(VLOOKUP(J229,'11. Cadastro de Serviços'!$A$6:$E$200,2,FALSE),"")</f>
        <v/>
      </c>
      <c r="L229" s="95">
        <f>IFERROR(VLOOKUP(J229,'11. Cadastro de Serviços'!$A$6:$E$200,3,FALSE),"")</f>
        <v/>
      </c>
      <c r="M229" s="95">
        <f>IFERROR(VLOOKUP(J229,'11. Cadastro de Serviços'!$A$6:$E$200,4,FALSE),"")</f>
        <v/>
      </c>
      <c r="N229" s="95" t="n"/>
      <c r="O229" s="95">
        <f>IF(AND(G229&lt;&gt;"",I229&lt;&gt;"",J229&lt;&gt;"",M229&lt;&gt;""),"Rastreado","Revisar")</f>
        <v/>
      </c>
      <c r="P229" s="96" t="n"/>
    </row>
    <row r="230">
      <c r="A230" s="95" t="n"/>
      <c r="B230" s="96" t="n"/>
      <c r="C230" s="96" t="n"/>
      <c r="D230" s="95" t="n"/>
      <c r="E230" s="96" t="n"/>
      <c r="F230" s="96" t="n"/>
      <c r="G230" s="95">
        <f>IFERROR(VLOOKUP(F230,'12. Contratos_OS'!$A$6:$L$1000,2,FALSE),"")</f>
        <v/>
      </c>
      <c r="H230" s="95">
        <f>IFERROR(VLOOKUP(F230,'12. Contratos_OS'!$A$6:$L$1000,3,FALSE),"")</f>
        <v/>
      </c>
      <c r="I230" s="95">
        <f>IFERROR(VLOOKUP(F230,'12. Contratos_OS'!$A$6:$L$1000,4,FALSE),"")</f>
        <v/>
      </c>
      <c r="J230" s="95">
        <f>IFERROR(VLOOKUP(F230,'12. Contratos_OS'!$A$6:$L$1000,7,FALSE),"")</f>
        <v/>
      </c>
      <c r="K230" s="95">
        <f>IFERROR(VLOOKUP(J230,'11. Cadastro de Serviços'!$A$6:$E$200,2,FALSE),"")</f>
        <v/>
      </c>
      <c r="L230" s="95">
        <f>IFERROR(VLOOKUP(J230,'11. Cadastro de Serviços'!$A$6:$E$200,3,FALSE),"")</f>
        <v/>
      </c>
      <c r="M230" s="95">
        <f>IFERROR(VLOOKUP(J230,'11. Cadastro de Serviços'!$A$6:$E$200,4,FALSE),"")</f>
        <v/>
      </c>
      <c r="N230" s="95" t="n"/>
      <c r="O230" s="95">
        <f>IF(AND(G230&lt;&gt;"",I230&lt;&gt;"",J230&lt;&gt;"",M230&lt;&gt;""),"Rastreado","Revisar")</f>
        <v/>
      </c>
      <c r="P230" s="96" t="n"/>
    </row>
    <row r="231">
      <c r="A231" s="95" t="n"/>
      <c r="B231" s="96" t="n"/>
      <c r="C231" s="96" t="n"/>
      <c r="D231" s="95" t="n"/>
      <c r="E231" s="96" t="n"/>
      <c r="F231" s="96" t="n"/>
      <c r="G231" s="95">
        <f>IFERROR(VLOOKUP(F231,'12. Contratos_OS'!$A$6:$L$1000,2,FALSE),"")</f>
        <v/>
      </c>
      <c r="H231" s="95">
        <f>IFERROR(VLOOKUP(F231,'12. Contratos_OS'!$A$6:$L$1000,3,FALSE),"")</f>
        <v/>
      </c>
      <c r="I231" s="95">
        <f>IFERROR(VLOOKUP(F231,'12. Contratos_OS'!$A$6:$L$1000,4,FALSE),"")</f>
        <v/>
      </c>
      <c r="J231" s="95">
        <f>IFERROR(VLOOKUP(F231,'12. Contratos_OS'!$A$6:$L$1000,7,FALSE),"")</f>
        <v/>
      </c>
      <c r="K231" s="95">
        <f>IFERROR(VLOOKUP(J231,'11. Cadastro de Serviços'!$A$6:$E$200,2,FALSE),"")</f>
        <v/>
      </c>
      <c r="L231" s="95">
        <f>IFERROR(VLOOKUP(J231,'11. Cadastro de Serviços'!$A$6:$E$200,3,FALSE),"")</f>
        <v/>
      </c>
      <c r="M231" s="95">
        <f>IFERROR(VLOOKUP(J231,'11. Cadastro de Serviços'!$A$6:$E$200,4,FALSE),"")</f>
        <v/>
      </c>
      <c r="N231" s="95" t="n"/>
      <c r="O231" s="95">
        <f>IF(AND(G231&lt;&gt;"",I231&lt;&gt;"",J231&lt;&gt;"",M231&lt;&gt;""),"Rastreado","Revisar")</f>
        <v/>
      </c>
      <c r="P231" s="96" t="n"/>
    </row>
    <row r="232">
      <c r="A232" s="95" t="n"/>
      <c r="B232" s="96" t="n"/>
      <c r="C232" s="96" t="n"/>
      <c r="D232" s="95" t="n"/>
      <c r="E232" s="96" t="n"/>
      <c r="F232" s="96" t="n"/>
      <c r="G232" s="95">
        <f>IFERROR(VLOOKUP(F232,'12. Contratos_OS'!$A$6:$L$1000,2,FALSE),"")</f>
        <v/>
      </c>
      <c r="H232" s="95">
        <f>IFERROR(VLOOKUP(F232,'12. Contratos_OS'!$A$6:$L$1000,3,FALSE),"")</f>
        <v/>
      </c>
      <c r="I232" s="95">
        <f>IFERROR(VLOOKUP(F232,'12. Contratos_OS'!$A$6:$L$1000,4,FALSE),"")</f>
        <v/>
      </c>
      <c r="J232" s="95">
        <f>IFERROR(VLOOKUP(F232,'12. Contratos_OS'!$A$6:$L$1000,7,FALSE),"")</f>
        <v/>
      </c>
      <c r="K232" s="95">
        <f>IFERROR(VLOOKUP(J232,'11. Cadastro de Serviços'!$A$6:$E$200,2,FALSE),"")</f>
        <v/>
      </c>
      <c r="L232" s="95">
        <f>IFERROR(VLOOKUP(J232,'11. Cadastro de Serviços'!$A$6:$E$200,3,FALSE),"")</f>
        <v/>
      </c>
      <c r="M232" s="95">
        <f>IFERROR(VLOOKUP(J232,'11. Cadastro de Serviços'!$A$6:$E$200,4,FALSE),"")</f>
        <v/>
      </c>
      <c r="N232" s="95" t="n"/>
      <c r="O232" s="95">
        <f>IF(AND(G232&lt;&gt;"",I232&lt;&gt;"",J232&lt;&gt;"",M232&lt;&gt;""),"Rastreado","Revisar")</f>
        <v/>
      </c>
      <c r="P232" s="96" t="n"/>
    </row>
    <row r="233">
      <c r="A233" s="95" t="n"/>
      <c r="B233" s="96" t="n"/>
      <c r="C233" s="96" t="n"/>
      <c r="D233" s="95" t="n"/>
      <c r="E233" s="96" t="n"/>
      <c r="F233" s="96" t="n"/>
      <c r="G233" s="95">
        <f>IFERROR(VLOOKUP(F233,'12. Contratos_OS'!$A$6:$L$1000,2,FALSE),"")</f>
        <v/>
      </c>
      <c r="H233" s="95">
        <f>IFERROR(VLOOKUP(F233,'12. Contratos_OS'!$A$6:$L$1000,3,FALSE),"")</f>
        <v/>
      </c>
      <c r="I233" s="95">
        <f>IFERROR(VLOOKUP(F233,'12. Contratos_OS'!$A$6:$L$1000,4,FALSE),"")</f>
        <v/>
      </c>
      <c r="J233" s="95">
        <f>IFERROR(VLOOKUP(F233,'12. Contratos_OS'!$A$6:$L$1000,7,FALSE),"")</f>
        <v/>
      </c>
      <c r="K233" s="95">
        <f>IFERROR(VLOOKUP(J233,'11. Cadastro de Serviços'!$A$6:$E$200,2,FALSE),"")</f>
        <v/>
      </c>
      <c r="L233" s="95">
        <f>IFERROR(VLOOKUP(J233,'11. Cadastro de Serviços'!$A$6:$E$200,3,FALSE),"")</f>
        <v/>
      </c>
      <c r="M233" s="95">
        <f>IFERROR(VLOOKUP(J233,'11. Cadastro de Serviços'!$A$6:$E$200,4,FALSE),"")</f>
        <v/>
      </c>
      <c r="N233" s="95" t="n"/>
      <c r="O233" s="95">
        <f>IF(AND(G233&lt;&gt;"",I233&lt;&gt;"",J233&lt;&gt;"",M233&lt;&gt;""),"Rastreado","Revisar")</f>
        <v/>
      </c>
      <c r="P233" s="96" t="n"/>
    </row>
    <row r="234">
      <c r="A234" s="95" t="n"/>
      <c r="B234" s="96" t="n"/>
      <c r="C234" s="96" t="n"/>
      <c r="D234" s="95" t="n"/>
      <c r="E234" s="96" t="n"/>
      <c r="F234" s="96" t="n"/>
      <c r="G234" s="95">
        <f>IFERROR(VLOOKUP(F234,'12. Contratos_OS'!$A$6:$L$1000,2,FALSE),"")</f>
        <v/>
      </c>
      <c r="H234" s="95">
        <f>IFERROR(VLOOKUP(F234,'12. Contratos_OS'!$A$6:$L$1000,3,FALSE),"")</f>
        <v/>
      </c>
      <c r="I234" s="95">
        <f>IFERROR(VLOOKUP(F234,'12. Contratos_OS'!$A$6:$L$1000,4,FALSE),"")</f>
        <v/>
      </c>
      <c r="J234" s="95">
        <f>IFERROR(VLOOKUP(F234,'12. Contratos_OS'!$A$6:$L$1000,7,FALSE),"")</f>
        <v/>
      </c>
      <c r="K234" s="95">
        <f>IFERROR(VLOOKUP(J234,'11. Cadastro de Serviços'!$A$6:$E$200,2,FALSE),"")</f>
        <v/>
      </c>
      <c r="L234" s="95">
        <f>IFERROR(VLOOKUP(J234,'11. Cadastro de Serviços'!$A$6:$E$200,3,FALSE),"")</f>
        <v/>
      </c>
      <c r="M234" s="95">
        <f>IFERROR(VLOOKUP(J234,'11. Cadastro de Serviços'!$A$6:$E$200,4,FALSE),"")</f>
        <v/>
      </c>
      <c r="N234" s="95" t="n"/>
      <c r="O234" s="95">
        <f>IF(AND(G234&lt;&gt;"",I234&lt;&gt;"",J234&lt;&gt;"",M234&lt;&gt;""),"Rastreado","Revisar")</f>
        <v/>
      </c>
      <c r="P234" s="96" t="n"/>
    </row>
    <row r="235">
      <c r="A235" s="95" t="n"/>
      <c r="B235" s="96" t="n"/>
      <c r="C235" s="96" t="n"/>
      <c r="D235" s="95" t="n"/>
      <c r="E235" s="96" t="n"/>
      <c r="F235" s="96" t="n"/>
      <c r="G235" s="95">
        <f>IFERROR(VLOOKUP(F235,'12. Contratos_OS'!$A$6:$L$1000,2,FALSE),"")</f>
        <v/>
      </c>
      <c r="H235" s="95">
        <f>IFERROR(VLOOKUP(F235,'12. Contratos_OS'!$A$6:$L$1000,3,FALSE),"")</f>
        <v/>
      </c>
      <c r="I235" s="95">
        <f>IFERROR(VLOOKUP(F235,'12. Contratos_OS'!$A$6:$L$1000,4,FALSE),"")</f>
        <v/>
      </c>
      <c r="J235" s="95">
        <f>IFERROR(VLOOKUP(F235,'12. Contratos_OS'!$A$6:$L$1000,7,FALSE),"")</f>
        <v/>
      </c>
      <c r="K235" s="95">
        <f>IFERROR(VLOOKUP(J235,'11. Cadastro de Serviços'!$A$6:$E$200,2,FALSE),"")</f>
        <v/>
      </c>
      <c r="L235" s="95">
        <f>IFERROR(VLOOKUP(J235,'11. Cadastro de Serviços'!$A$6:$E$200,3,FALSE),"")</f>
        <v/>
      </c>
      <c r="M235" s="95">
        <f>IFERROR(VLOOKUP(J235,'11. Cadastro de Serviços'!$A$6:$E$200,4,FALSE),"")</f>
        <v/>
      </c>
      <c r="N235" s="95" t="n"/>
      <c r="O235" s="95">
        <f>IF(AND(G235&lt;&gt;"",I235&lt;&gt;"",J235&lt;&gt;"",M235&lt;&gt;""),"Rastreado","Revisar")</f>
        <v/>
      </c>
      <c r="P235" s="96" t="n"/>
    </row>
    <row r="236">
      <c r="A236" s="95" t="n"/>
      <c r="B236" s="96" t="n"/>
      <c r="C236" s="96" t="n"/>
      <c r="D236" s="95" t="n"/>
      <c r="E236" s="96" t="n"/>
      <c r="F236" s="96" t="n"/>
      <c r="G236" s="95">
        <f>IFERROR(VLOOKUP(F236,'12. Contratos_OS'!$A$6:$L$1000,2,FALSE),"")</f>
        <v/>
      </c>
      <c r="H236" s="95">
        <f>IFERROR(VLOOKUP(F236,'12. Contratos_OS'!$A$6:$L$1000,3,FALSE),"")</f>
        <v/>
      </c>
      <c r="I236" s="95">
        <f>IFERROR(VLOOKUP(F236,'12. Contratos_OS'!$A$6:$L$1000,4,FALSE),"")</f>
        <v/>
      </c>
      <c r="J236" s="95">
        <f>IFERROR(VLOOKUP(F236,'12. Contratos_OS'!$A$6:$L$1000,7,FALSE),"")</f>
        <v/>
      </c>
      <c r="K236" s="95">
        <f>IFERROR(VLOOKUP(J236,'11. Cadastro de Serviços'!$A$6:$E$200,2,FALSE),"")</f>
        <v/>
      </c>
      <c r="L236" s="95">
        <f>IFERROR(VLOOKUP(J236,'11. Cadastro de Serviços'!$A$6:$E$200,3,FALSE),"")</f>
        <v/>
      </c>
      <c r="M236" s="95">
        <f>IFERROR(VLOOKUP(J236,'11. Cadastro de Serviços'!$A$6:$E$200,4,FALSE),"")</f>
        <v/>
      </c>
      <c r="N236" s="95" t="n"/>
      <c r="O236" s="95">
        <f>IF(AND(G236&lt;&gt;"",I236&lt;&gt;"",J236&lt;&gt;"",M236&lt;&gt;""),"Rastreado","Revisar")</f>
        <v/>
      </c>
      <c r="P236" s="96" t="n"/>
    </row>
    <row r="237">
      <c r="A237" s="95" t="n"/>
      <c r="B237" s="96" t="n"/>
      <c r="C237" s="96" t="n"/>
      <c r="D237" s="95" t="n"/>
      <c r="E237" s="96" t="n"/>
      <c r="F237" s="96" t="n"/>
      <c r="G237" s="95">
        <f>IFERROR(VLOOKUP(F237,'12. Contratos_OS'!$A$6:$L$1000,2,FALSE),"")</f>
        <v/>
      </c>
      <c r="H237" s="95">
        <f>IFERROR(VLOOKUP(F237,'12. Contratos_OS'!$A$6:$L$1000,3,FALSE),"")</f>
        <v/>
      </c>
      <c r="I237" s="95">
        <f>IFERROR(VLOOKUP(F237,'12. Contratos_OS'!$A$6:$L$1000,4,FALSE),"")</f>
        <v/>
      </c>
      <c r="J237" s="95">
        <f>IFERROR(VLOOKUP(F237,'12. Contratos_OS'!$A$6:$L$1000,7,FALSE),"")</f>
        <v/>
      </c>
      <c r="K237" s="95">
        <f>IFERROR(VLOOKUP(J237,'11. Cadastro de Serviços'!$A$6:$E$200,2,FALSE),"")</f>
        <v/>
      </c>
      <c r="L237" s="95">
        <f>IFERROR(VLOOKUP(J237,'11. Cadastro de Serviços'!$A$6:$E$200,3,FALSE),"")</f>
        <v/>
      </c>
      <c r="M237" s="95">
        <f>IFERROR(VLOOKUP(J237,'11. Cadastro de Serviços'!$A$6:$E$200,4,FALSE),"")</f>
        <v/>
      </c>
      <c r="N237" s="95" t="n"/>
      <c r="O237" s="95">
        <f>IF(AND(G237&lt;&gt;"",I237&lt;&gt;"",J237&lt;&gt;"",M237&lt;&gt;""),"Rastreado","Revisar")</f>
        <v/>
      </c>
      <c r="P237" s="96" t="n"/>
    </row>
    <row r="238">
      <c r="A238" s="95" t="n"/>
      <c r="B238" s="96" t="n"/>
      <c r="C238" s="96" t="n"/>
      <c r="D238" s="95" t="n"/>
      <c r="E238" s="96" t="n"/>
      <c r="F238" s="96" t="n"/>
      <c r="G238" s="95">
        <f>IFERROR(VLOOKUP(F238,'12. Contratos_OS'!$A$6:$L$1000,2,FALSE),"")</f>
        <v/>
      </c>
      <c r="H238" s="95">
        <f>IFERROR(VLOOKUP(F238,'12. Contratos_OS'!$A$6:$L$1000,3,FALSE),"")</f>
        <v/>
      </c>
      <c r="I238" s="95">
        <f>IFERROR(VLOOKUP(F238,'12. Contratos_OS'!$A$6:$L$1000,4,FALSE),"")</f>
        <v/>
      </c>
      <c r="J238" s="95">
        <f>IFERROR(VLOOKUP(F238,'12. Contratos_OS'!$A$6:$L$1000,7,FALSE),"")</f>
        <v/>
      </c>
      <c r="K238" s="95">
        <f>IFERROR(VLOOKUP(J238,'11. Cadastro de Serviços'!$A$6:$E$200,2,FALSE),"")</f>
        <v/>
      </c>
      <c r="L238" s="95">
        <f>IFERROR(VLOOKUP(J238,'11. Cadastro de Serviços'!$A$6:$E$200,3,FALSE),"")</f>
        <v/>
      </c>
      <c r="M238" s="95">
        <f>IFERROR(VLOOKUP(J238,'11. Cadastro de Serviços'!$A$6:$E$200,4,FALSE),"")</f>
        <v/>
      </c>
      <c r="N238" s="95" t="n"/>
      <c r="O238" s="95">
        <f>IF(AND(G238&lt;&gt;"",I238&lt;&gt;"",J238&lt;&gt;"",M238&lt;&gt;""),"Rastreado","Revisar")</f>
        <v/>
      </c>
      <c r="P238" s="96" t="n"/>
    </row>
    <row r="239">
      <c r="A239" s="95" t="n"/>
      <c r="B239" s="96" t="n"/>
      <c r="C239" s="96" t="n"/>
      <c r="D239" s="95" t="n"/>
      <c r="E239" s="96" t="n"/>
      <c r="F239" s="96" t="n"/>
      <c r="G239" s="95">
        <f>IFERROR(VLOOKUP(F239,'12. Contratos_OS'!$A$6:$L$1000,2,FALSE),"")</f>
        <v/>
      </c>
      <c r="H239" s="95">
        <f>IFERROR(VLOOKUP(F239,'12. Contratos_OS'!$A$6:$L$1000,3,FALSE),"")</f>
        <v/>
      </c>
      <c r="I239" s="95">
        <f>IFERROR(VLOOKUP(F239,'12. Contratos_OS'!$A$6:$L$1000,4,FALSE),"")</f>
        <v/>
      </c>
      <c r="J239" s="95">
        <f>IFERROR(VLOOKUP(F239,'12. Contratos_OS'!$A$6:$L$1000,7,FALSE),"")</f>
        <v/>
      </c>
      <c r="K239" s="95">
        <f>IFERROR(VLOOKUP(J239,'11. Cadastro de Serviços'!$A$6:$E$200,2,FALSE),"")</f>
        <v/>
      </c>
      <c r="L239" s="95">
        <f>IFERROR(VLOOKUP(J239,'11. Cadastro de Serviços'!$A$6:$E$200,3,FALSE),"")</f>
        <v/>
      </c>
      <c r="M239" s="95">
        <f>IFERROR(VLOOKUP(J239,'11. Cadastro de Serviços'!$A$6:$E$200,4,FALSE),"")</f>
        <v/>
      </c>
      <c r="N239" s="95" t="n"/>
      <c r="O239" s="95">
        <f>IF(AND(G239&lt;&gt;"",I239&lt;&gt;"",J239&lt;&gt;"",M239&lt;&gt;""),"Rastreado","Revisar")</f>
        <v/>
      </c>
      <c r="P239" s="96" t="n"/>
    </row>
    <row r="240">
      <c r="A240" s="95" t="n"/>
      <c r="B240" s="96" t="n"/>
      <c r="C240" s="96" t="n"/>
      <c r="D240" s="95" t="n"/>
      <c r="E240" s="96" t="n"/>
      <c r="F240" s="96" t="n"/>
      <c r="G240" s="95">
        <f>IFERROR(VLOOKUP(F240,'12. Contratos_OS'!$A$6:$L$1000,2,FALSE),"")</f>
        <v/>
      </c>
      <c r="H240" s="95">
        <f>IFERROR(VLOOKUP(F240,'12. Contratos_OS'!$A$6:$L$1000,3,FALSE),"")</f>
        <v/>
      </c>
      <c r="I240" s="95">
        <f>IFERROR(VLOOKUP(F240,'12. Contratos_OS'!$A$6:$L$1000,4,FALSE),"")</f>
        <v/>
      </c>
      <c r="J240" s="95">
        <f>IFERROR(VLOOKUP(F240,'12. Contratos_OS'!$A$6:$L$1000,7,FALSE),"")</f>
        <v/>
      </c>
      <c r="K240" s="95">
        <f>IFERROR(VLOOKUP(J240,'11. Cadastro de Serviços'!$A$6:$E$200,2,FALSE),"")</f>
        <v/>
      </c>
      <c r="L240" s="95">
        <f>IFERROR(VLOOKUP(J240,'11. Cadastro de Serviços'!$A$6:$E$200,3,FALSE),"")</f>
        <v/>
      </c>
      <c r="M240" s="95">
        <f>IFERROR(VLOOKUP(J240,'11. Cadastro de Serviços'!$A$6:$E$200,4,FALSE),"")</f>
        <v/>
      </c>
      <c r="N240" s="95" t="n"/>
      <c r="O240" s="95">
        <f>IF(AND(G240&lt;&gt;"",I240&lt;&gt;"",J240&lt;&gt;"",M240&lt;&gt;""),"Rastreado","Revisar")</f>
        <v/>
      </c>
      <c r="P240" s="96" t="n"/>
    </row>
    <row r="241">
      <c r="A241" s="95" t="n"/>
      <c r="B241" s="96" t="n"/>
      <c r="C241" s="96" t="n"/>
      <c r="D241" s="95" t="n"/>
      <c r="E241" s="96" t="n"/>
      <c r="F241" s="96" t="n"/>
      <c r="G241" s="95">
        <f>IFERROR(VLOOKUP(F241,'12. Contratos_OS'!$A$6:$L$1000,2,FALSE),"")</f>
        <v/>
      </c>
      <c r="H241" s="95">
        <f>IFERROR(VLOOKUP(F241,'12. Contratos_OS'!$A$6:$L$1000,3,FALSE),"")</f>
        <v/>
      </c>
      <c r="I241" s="95">
        <f>IFERROR(VLOOKUP(F241,'12. Contratos_OS'!$A$6:$L$1000,4,FALSE),"")</f>
        <v/>
      </c>
      <c r="J241" s="95">
        <f>IFERROR(VLOOKUP(F241,'12. Contratos_OS'!$A$6:$L$1000,7,FALSE),"")</f>
        <v/>
      </c>
      <c r="K241" s="95">
        <f>IFERROR(VLOOKUP(J241,'11. Cadastro de Serviços'!$A$6:$E$200,2,FALSE),"")</f>
        <v/>
      </c>
      <c r="L241" s="95">
        <f>IFERROR(VLOOKUP(J241,'11. Cadastro de Serviços'!$A$6:$E$200,3,FALSE),"")</f>
        <v/>
      </c>
      <c r="M241" s="95">
        <f>IFERROR(VLOOKUP(J241,'11. Cadastro de Serviços'!$A$6:$E$200,4,FALSE),"")</f>
        <v/>
      </c>
      <c r="N241" s="95" t="n"/>
      <c r="O241" s="95">
        <f>IF(AND(G241&lt;&gt;"",I241&lt;&gt;"",J241&lt;&gt;"",M241&lt;&gt;""),"Rastreado","Revisar")</f>
        <v/>
      </c>
      <c r="P241" s="96" t="n"/>
    </row>
    <row r="242">
      <c r="A242" s="95" t="n"/>
      <c r="B242" s="96" t="n"/>
      <c r="C242" s="96" t="n"/>
      <c r="D242" s="95" t="n"/>
      <c r="E242" s="96" t="n"/>
      <c r="F242" s="96" t="n"/>
      <c r="G242" s="95">
        <f>IFERROR(VLOOKUP(F242,'12. Contratos_OS'!$A$6:$L$1000,2,FALSE),"")</f>
        <v/>
      </c>
      <c r="H242" s="95">
        <f>IFERROR(VLOOKUP(F242,'12. Contratos_OS'!$A$6:$L$1000,3,FALSE),"")</f>
        <v/>
      </c>
      <c r="I242" s="95">
        <f>IFERROR(VLOOKUP(F242,'12. Contratos_OS'!$A$6:$L$1000,4,FALSE),"")</f>
        <v/>
      </c>
      <c r="J242" s="95">
        <f>IFERROR(VLOOKUP(F242,'12. Contratos_OS'!$A$6:$L$1000,7,FALSE),"")</f>
        <v/>
      </c>
      <c r="K242" s="95">
        <f>IFERROR(VLOOKUP(J242,'11. Cadastro de Serviços'!$A$6:$E$200,2,FALSE),"")</f>
        <v/>
      </c>
      <c r="L242" s="95">
        <f>IFERROR(VLOOKUP(J242,'11. Cadastro de Serviços'!$A$6:$E$200,3,FALSE),"")</f>
        <v/>
      </c>
      <c r="M242" s="95">
        <f>IFERROR(VLOOKUP(J242,'11. Cadastro de Serviços'!$A$6:$E$200,4,FALSE),"")</f>
        <v/>
      </c>
      <c r="N242" s="95" t="n"/>
      <c r="O242" s="95">
        <f>IF(AND(G242&lt;&gt;"",I242&lt;&gt;"",J242&lt;&gt;"",M242&lt;&gt;""),"Rastreado","Revisar")</f>
        <v/>
      </c>
      <c r="P242" s="96" t="n"/>
    </row>
    <row r="243">
      <c r="A243" s="95" t="n"/>
      <c r="B243" s="96" t="n"/>
      <c r="C243" s="96" t="n"/>
      <c r="D243" s="95" t="n"/>
      <c r="E243" s="96" t="n"/>
      <c r="F243" s="96" t="n"/>
      <c r="G243" s="95">
        <f>IFERROR(VLOOKUP(F243,'12. Contratos_OS'!$A$6:$L$1000,2,FALSE),"")</f>
        <v/>
      </c>
      <c r="H243" s="95">
        <f>IFERROR(VLOOKUP(F243,'12. Contratos_OS'!$A$6:$L$1000,3,FALSE),"")</f>
        <v/>
      </c>
      <c r="I243" s="95">
        <f>IFERROR(VLOOKUP(F243,'12. Contratos_OS'!$A$6:$L$1000,4,FALSE),"")</f>
        <v/>
      </c>
      <c r="J243" s="95">
        <f>IFERROR(VLOOKUP(F243,'12. Contratos_OS'!$A$6:$L$1000,7,FALSE),"")</f>
        <v/>
      </c>
      <c r="K243" s="95">
        <f>IFERROR(VLOOKUP(J243,'11. Cadastro de Serviços'!$A$6:$E$200,2,FALSE),"")</f>
        <v/>
      </c>
      <c r="L243" s="95">
        <f>IFERROR(VLOOKUP(J243,'11. Cadastro de Serviços'!$A$6:$E$200,3,FALSE),"")</f>
        <v/>
      </c>
      <c r="M243" s="95">
        <f>IFERROR(VLOOKUP(J243,'11. Cadastro de Serviços'!$A$6:$E$200,4,FALSE),"")</f>
        <v/>
      </c>
      <c r="N243" s="95" t="n"/>
      <c r="O243" s="95">
        <f>IF(AND(G243&lt;&gt;"",I243&lt;&gt;"",J243&lt;&gt;"",M243&lt;&gt;""),"Rastreado","Revisar")</f>
        <v/>
      </c>
      <c r="P243" s="96" t="n"/>
    </row>
    <row r="244">
      <c r="A244" s="95" t="n"/>
      <c r="B244" s="96" t="n"/>
      <c r="C244" s="96" t="n"/>
      <c r="D244" s="95" t="n"/>
      <c r="E244" s="96" t="n"/>
      <c r="F244" s="96" t="n"/>
      <c r="G244" s="95">
        <f>IFERROR(VLOOKUP(F244,'12. Contratos_OS'!$A$6:$L$1000,2,FALSE),"")</f>
        <v/>
      </c>
      <c r="H244" s="95">
        <f>IFERROR(VLOOKUP(F244,'12. Contratos_OS'!$A$6:$L$1000,3,FALSE),"")</f>
        <v/>
      </c>
      <c r="I244" s="95">
        <f>IFERROR(VLOOKUP(F244,'12. Contratos_OS'!$A$6:$L$1000,4,FALSE),"")</f>
        <v/>
      </c>
      <c r="J244" s="95">
        <f>IFERROR(VLOOKUP(F244,'12. Contratos_OS'!$A$6:$L$1000,7,FALSE),"")</f>
        <v/>
      </c>
      <c r="K244" s="95">
        <f>IFERROR(VLOOKUP(J244,'11. Cadastro de Serviços'!$A$6:$E$200,2,FALSE),"")</f>
        <v/>
      </c>
      <c r="L244" s="95">
        <f>IFERROR(VLOOKUP(J244,'11. Cadastro de Serviços'!$A$6:$E$200,3,FALSE),"")</f>
        <v/>
      </c>
      <c r="M244" s="95">
        <f>IFERROR(VLOOKUP(J244,'11. Cadastro de Serviços'!$A$6:$E$200,4,FALSE),"")</f>
        <v/>
      </c>
      <c r="N244" s="95" t="n"/>
      <c r="O244" s="95">
        <f>IF(AND(G244&lt;&gt;"",I244&lt;&gt;"",J244&lt;&gt;"",M244&lt;&gt;""),"Rastreado","Revisar")</f>
        <v/>
      </c>
      <c r="P244" s="96" t="n"/>
    </row>
    <row r="245">
      <c r="A245" s="95" t="n"/>
      <c r="B245" s="96" t="n"/>
      <c r="C245" s="96" t="n"/>
      <c r="D245" s="95" t="n"/>
      <c r="E245" s="96" t="n"/>
      <c r="F245" s="96" t="n"/>
      <c r="G245" s="95">
        <f>IFERROR(VLOOKUP(F245,'12. Contratos_OS'!$A$6:$L$1000,2,FALSE),"")</f>
        <v/>
      </c>
      <c r="H245" s="95">
        <f>IFERROR(VLOOKUP(F245,'12. Contratos_OS'!$A$6:$L$1000,3,FALSE),"")</f>
        <v/>
      </c>
      <c r="I245" s="95">
        <f>IFERROR(VLOOKUP(F245,'12. Contratos_OS'!$A$6:$L$1000,4,FALSE),"")</f>
        <v/>
      </c>
      <c r="J245" s="95">
        <f>IFERROR(VLOOKUP(F245,'12. Contratos_OS'!$A$6:$L$1000,7,FALSE),"")</f>
        <v/>
      </c>
      <c r="K245" s="95">
        <f>IFERROR(VLOOKUP(J245,'11. Cadastro de Serviços'!$A$6:$E$200,2,FALSE),"")</f>
        <v/>
      </c>
      <c r="L245" s="95">
        <f>IFERROR(VLOOKUP(J245,'11. Cadastro de Serviços'!$A$6:$E$200,3,FALSE),"")</f>
        <v/>
      </c>
      <c r="M245" s="95">
        <f>IFERROR(VLOOKUP(J245,'11. Cadastro de Serviços'!$A$6:$E$200,4,FALSE),"")</f>
        <v/>
      </c>
      <c r="N245" s="95" t="n"/>
      <c r="O245" s="95">
        <f>IF(AND(G245&lt;&gt;"",I245&lt;&gt;"",J245&lt;&gt;"",M245&lt;&gt;""),"Rastreado","Revisar")</f>
        <v/>
      </c>
      <c r="P245" s="96" t="n"/>
    </row>
    <row r="246">
      <c r="A246" s="95" t="n"/>
      <c r="B246" s="96" t="n"/>
      <c r="C246" s="96" t="n"/>
      <c r="D246" s="95" t="n"/>
      <c r="E246" s="96" t="n"/>
      <c r="F246" s="96" t="n"/>
      <c r="G246" s="95">
        <f>IFERROR(VLOOKUP(F246,'12. Contratos_OS'!$A$6:$L$1000,2,FALSE),"")</f>
        <v/>
      </c>
      <c r="H246" s="95">
        <f>IFERROR(VLOOKUP(F246,'12. Contratos_OS'!$A$6:$L$1000,3,FALSE),"")</f>
        <v/>
      </c>
      <c r="I246" s="95">
        <f>IFERROR(VLOOKUP(F246,'12. Contratos_OS'!$A$6:$L$1000,4,FALSE),"")</f>
        <v/>
      </c>
      <c r="J246" s="95">
        <f>IFERROR(VLOOKUP(F246,'12. Contratos_OS'!$A$6:$L$1000,7,FALSE),"")</f>
        <v/>
      </c>
      <c r="K246" s="95">
        <f>IFERROR(VLOOKUP(J246,'11. Cadastro de Serviços'!$A$6:$E$200,2,FALSE),"")</f>
        <v/>
      </c>
      <c r="L246" s="95">
        <f>IFERROR(VLOOKUP(J246,'11. Cadastro de Serviços'!$A$6:$E$200,3,FALSE),"")</f>
        <v/>
      </c>
      <c r="M246" s="95">
        <f>IFERROR(VLOOKUP(J246,'11. Cadastro de Serviços'!$A$6:$E$200,4,FALSE),"")</f>
        <v/>
      </c>
      <c r="N246" s="95" t="n"/>
      <c r="O246" s="95">
        <f>IF(AND(G246&lt;&gt;"",I246&lt;&gt;"",J246&lt;&gt;"",M246&lt;&gt;""),"Rastreado","Revisar")</f>
        <v/>
      </c>
      <c r="P246" s="96" t="n"/>
    </row>
    <row r="247">
      <c r="A247" s="95" t="n"/>
      <c r="B247" s="96" t="n"/>
      <c r="C247" s="96" t="n"/>
      <c r="D247" s="95" t="n"/>
      <c r="E247" s="96" t="n"/>
      <c r="F247" s="96" t="n"/>
      <c r="G247" s="95">
        <f>IFERROR(VLOOKUP(F247,'12. Contratos_OS'!$A$6:$L$1000,2,FALSE),"")</f>
        <v/>
      </c>
      <c r="H247" s="95">
        <f>IFERROR(VLOOKUP(F247,'12. Contratos_OS'!$A$6:$L$1000,3,FALSE),"")</f>
        <v/>
      </c>
      <c r="I247" s="95">
        <f>IFERROR(VLOOKUP(F247,'12. Contratos_OS'!$A$6:$L$1000,4,FALSE),"")</f>
        <v/>
      </c>
      <c r="J247" s="95">
        <f>IFERROR(VLOOKUP(F247,'12. Contratos_OS'!$A$6:$L$1000,7,FALSE),"")</f>
        <v/>
      </c>
      <c r="K247" s="95">
        <f>IFERROR(VLOOKUP(J247,'11. Cadastro de Serviços'!$A$6:$E$200,2,FALSE),"")</f>
        <v/>
      </c>
      <c r="L247" s="95">
        <f>IFERROR(VLOOKUP(J247,'11. Cadastro de Serviços'!$A$6:$E$200,3,FALSE),"")</f>
        <v/>
      </c>
      <c r="M247" s="95">
        <f>IFERROR(VLOOKUP(J247,'11. Cadastro de Serviços'!$A$6:$E$200,4,FALSE),"")</f>
        <v/>
      </c>
      <c r="N247" s="95" t="n"/>
      <c r="O247" s="95">
        <f>IF(AND(G247&lt;&gt;"",I247&lt;&gt;"",J247&lt;&gt;"",M247&lt;&gt;""),"Rastreado","Revisar")</f>
        <v/>
      </c>
      <c r="P247" s="96" t="n"/>
    </row>
    <row r="248">
      <c r="A248" s="95" t="n"/>
      <c r="B248" s="96" t="n"/>
      <c r="C248" s="96" t="n"/>
      <c r="D248" s="95" t="n"/>
      <c r="E248" s="96" t="n"/>
      <c r="F248" s="96" t="n"/>
      <c r="G248" s="95">
        <f>IFERROR(VLOOKUP(F248,'12. Contratos_OS'!$A$6:$L$1000,2,FALSE),"")</f>
        <v/>
      </c>
      <c r="H248" s="95">
        <f>IFERROR(VLOOKUP(F248,'12. Contratos_OS'!$A$6:$L$1000,3,FALSE),"")</f>
        <v/>
      </c>
      <c r="I248" s="95">
        <f>IFERROR(VLOOKUP(F248,'12. Contratos_OS'!$A$6:$L$1000,4,FALSE),"")</f>
        <v/>
      </c>
      <c r="J248" s="95">
        <f>IFERROR(VLOOKUP(F248,'12. Contratos_OS'!$A$6:$L$1000,7,FALSE),"")</f>
        <v/>
      </c>
      <c r="K248" s="95">
        <f>IFERROR(VLOOKUP(J248,'11. Cadastro de Serviços'!$A$6:$E$200,2,FALSE),"")</f>
        <v/>
      </c>
      <c r="L248" s="95">
        <f>IFERROR(VLOOKUP(J248,'11. Cadastro de Serviços'!$A$6:$E$200,3,FALSE),"")</f>
        <v/>
      </c>
      <c r="M248" s="95">
        <f>IFERROR(VLOOKUP(J248,'11. Cadastro de Serviços'!$A$6:$E$200,4,FALSE),"")</f>
        <v/>
      </c>
      <c r="N248" s="95" t="n"/>
      <c r="O248" s="95">
        <f>IF(AND(G248&lt;&gt;"",I248&lt;&gt;"",J248&lt;&gt;"",M248&lt;&gt;""),"Rastreado","Revisar")</f>
        <v/>
      </c>
      <c r="P248" s="96" t="n"/>
    </row>
    <row r="249">
      <c r="A249" s="95" t="n"/>
      <c r="B249" s="96" t="n"/>
      <c r="C249" s="96" t="n"/>
      <c r="D249" s="95" t="n"/>
      <c r="E249" s="96" t="n"/>
      <c r="F249" s="96" t="n"/>
      <c r="G249" s="95">
        <f>IFERROR(VLOOKUP(F249,'12. Contratos_OS'!$A$6:$L$1000,2,FALSE),"")</f>
        <v/>
      </c>
      <c r="H249" s="95">
        <f>IFERROR(VLOOKUP(F249,'12. Contratos_OS'!$A$6:$L$1000,3,FALSE),"")</f>
        <v/>
      </c>
      <c r="I249" s="95">
        <f>IFERROR(VLOOKUP(F249,'12. Contratos_OS'!$A$6:$L$1000,4,FALSE),"")</f>
        <v/>
      </c>
      <c r="J249" s="95">
        <f>IFERROR(VLOOKUP(F249,'12. Contratos_OS'!$A$6:$L$1000,7,FALSE),"")</f>
        <v/>
      </c>
      <c r="K249" s="95">
        <f>IFERROR(VLOOKUP(J249,'11. Cadastro de Serviços'!$A$6:$E$200,2,FALSE),"")</f>
        <v/>
      </c>
      <c r="L249" s="95">
        <f>IFERROR(VLOOKUP(J249,'11. Cadastro de Serviços'!$A$6:$E$200,3,FALSE),"")</f>
        <v/>
      </c>
      <c r="M249" s="95">
        <f>IFERROR(VLOOKUP(J249,'11. Cadastro de Serviços'!$A$6:$E$200,4,FALSE),"")</f>
        <v/>
      </c>
      <c r="N249" s="95" t="n"/>
      <c r="O249" s="95">
        <f>IF(AND(G249&lt;&gt;"",I249&lt;&gt;"",J249&lt;&gt;"",M249&lt;&gt;""),"Rastreado","Revisar")</f>
        <v/>
      </c>
      <c r="P249" s="96" t="n"/>
    </row>
    <row r="250">
      <c r="A250" s="95" t="n"/>
      <c r="B250" s="96" t="n"/>
      <c r="C250" s="96" t="n"/>
      <c r="D250" s="95" t="n"/>
      <c r="E250" s="96" t="n"/>
      <c r="F250" s="96" t="n"/>
      <c r="G250" s="95">
        <f>IFERROR(VLOOKUP(F250,'12. Contratos_OS'!$A$6:$L$1000,2,FALSE),"")</f>
        <v/>
      </c>
      <c r="H250" s="95">
        <f>IFERROR(VLOOKUP(F250,'12. Contratos_OS'!$A$6:$L$1000,3,FALSE),"")</f>
        <v/>
      </c>
      <c r="I250" s="95">
        <f>IFERROR(VLOOKUP(F250,'12. Contratos_OS'!$A$6:$L$1000,4,FALSE),"")</f>
        <v/>
      </c>
      <c r="J250" s="95">
        <f>IFERROR(VLOOKUP(F250,'12. Contratos_OS'!$A$6:$L$1000,7,FALSE),"")</f>
        <v/>
      </c>
      <c r="K250" s="95">
        <f>IFERROR(VLOOKUP(J250,'11. Cadastro de Serviços'!$A$6:$E$200,2,FALSE),"")</f>
        <v/>
      </c>
      <c r="L250" s="95">
        <f>IFERROR(VLOOKUP(J250,'11. Cadastro de Serviços'!$A$6:$E$200,3,FALSE),"")</f>
        <v/>
      </c>
      <c r="M250" s="95">
        <f>IFERROR(VLOOKUP(J250,'11. Cadastro de Serviços'!$A$6:$E$200,4,FALSE),"")</f>
        <v/>
      </c>
      <c r="N250" s="95" t="n"/>
      <c r="O250" s="95">
        <f>IF(AND(G250&lt;&gt;"",I250&lt;&gt;"",J250&lt;&gt;"",M250&lt;&gt;""),"Rastreado","Revisar")</f>
        <v/>
      </c>
      <c r="P250" s="96" t="n"/>
    </row>
    <row r="251">
      <c r="A251" s="95" t="n"/>
      <c r="B251" s="96" t="n"/>
      <c r="C251" s="96" t="n"/>
      <c r="D251" s="95" t="n"/>
      <c r="E251" s="96" t="n"/>
      <c r="F251" s="96" t="n"/>
      <c r="G251" s="95">
        <f>IFERROR(VLOOKUP(F251,'12. Contratos_OS'!$A$6:$L$1000,2,FALSE),"")</f>
        <v/>
      </c>
      <c r="H251" s="95">
        <f>IFERROR(VLOOKUP(F251,'12. Contratos_OS'!$A$6:$L$1000,3,FALSE),"")</f>
        <v/>
      </c>
      <c r="I251" s="95">
        <f>IFERROR(VLOOKUP(F251,'12. Contratos_OS'!$A$6:$L$1000,4,FALSE),"")</f>
        <v/>
      </c>
      <c r="J251" s="95">
        <f>IFERROR(VLOOKUP(F251,'12. Contratos_OS'!$A$6:$L$1000,7,FALSE),"")</f>
        <v/>
      </c>
      <c r="K251" s="95">
        <f>IFERROR(VLOOKUP(J251,'11. Cadastro de Serviços'!$A$6:$E$200,2,FALSE),"")</f>
        <v/>
      </c>
      <c r="L251" s="95">
        <f>IFERROR(VLOOKUP(J251,'11. Cadastro de Serviços'!$A$6:$E$200,3,FALSE),"")</f>
        <v/>
      </c>
      <c r="M251" s="95">
        <f>IFERROR(VLOOKUP(J251,'11. Cadastro de Serviços'!$A$6:$E$200,4,FALSE),"")</f>
        <v/>
      </c>
      <c r="N251" s="95" t="n"/>
      <c r="O251" s="95">
        <f>IF(AND(G251&lt;&gt;"",I251&lt;&gt;"",J251&lt;&gt;"",M251&lt;&gt;""),"Rastreado","Revisar")</f>
        <v/>
      </c>
      <c r="P251" s="96" t="n"/>
    </row>
    <row r="252">
      <c r="A252" s="95" t="n"/>
      <c r="B252" s="96" t="n"/>
      <c r="C252" s="96" t="n"/>
      <c r="D252" s="95" t="n"/>
      <c r="E252" s="96" t="n"/>
      <c r="F252" s="96" t="n"/>
      <c r="G252" s="95">
        <f>IFERROR(VLOOKUP(F252,'12. Contratos_OS'!$A$6:$L$1000,2,FALSE),"")</f>
        <v/>
      </c>
      <c r="H252" s="95">
        <f>IFERROR(VLOOKUP(F252,'12. Contratos_OS'!$A$6:$L$1000,3,FALSE),"")</f>
        <v/>
      </c>
      <c r="I252" s="95">
        <f>IFERROR(VLOOKUP(F252,'12. Contratos_OS'!$A$6:$L$1000,4,FALSE),"")</f>
        <v/>
      </c>
      <c r="J252" s="95">
        <f>IFERROR(VLOOKUP(F252,'12. Contratos_OS'!$A$6:$L$1000,7,FALSE),"")</f>
        <v/>
      </c>
      <c r="K252" s="95">
        <f>IFERROR(VLOOKUP(J252,'11. Cadastro de Serviços'!$A$6:$E$200,2,FALSE),"")</f>
        <v/>
      </c>
      <c r="L252" s="95">
        <f>IFERROR(VLOOKUP(J252,'11. Cadastro de Serviços'!$A$6:$E$200,3,FALSE),"")</f>
        <v/>
      </c>
      <c r="M252" s="95">
        <f>IFERROR(VLOOKUP(J252,'11. Cadastro de Serviços'!$A$6:$E$200,4,FALSE),"")</f>
        <v/>
      </c>
      <c r="N252" s="95" t="n"/>
      <c r="O252" s="95">
        <f>IF(AND(G252&lt;&gt;"",I252&lt;&gt;"",J252&lt;&gt;"",M252&lt;&gt;""),"Rastreado","Revisar")</f>
        <v/>
      </c>
      <c r="P252" s="96" t="n"/>
    </row>
    <row r="253">
      <c r="A253" s="95" t="n"/>
      <c r="B253" s="96" t="n"/>
      <c r="C253" s="96" t="n"/>
      <c r="D253" s="95" t="n"/>
      <c r="E253" s="96" t="n"/>
      <c r="F253" s="96" t="n"/>
      <c r="G253" s="95">
        <f>IFERROR(VLOOKUP(F253,'12. Contratos_OS'!$A$6:$L$1000,2,FALSE),"")</f>
        <v/>
      </c>
      <c r="H253" s="95">
        <f>IFERROR(VLOOKUP(F253,'12. Contratos_OS'!$A$6:$L$1000,3,FALSE),"")</f>
        <v/>
      </c>
      <c r="I253" s="95">
        <f>IFERROR(VLOOKUP(F253,'12. Contratos_OS'!$A$6:$L$1000,4,FALSE),"")</f>
        <v/>
      </c>
      <c r="J253" s="95">
        <f>IFERROR(VLOOKUP(F253,'12. Contratos_OS'!$A$6:$L$1000,7,FALSE),"")</f>
        <v/>
      </c>
      <c r="K253" s="95">
        <f>IFERROR(VLOOKUP(J253,'11. Cadastro de Serviços'!$A$6:$E$200,2,FALSE),"")</f>
        <v/>
      </c>
      <c r="L253" s="95">
        <f>IFERROR(VLOOKUP(J253,'11. Cadastro de Serviços'!$A$6:$E$200,3,FALSE),"")</f>
        <v/>
      </c>
      <c r="M253" s="95">
        <f>IFERROR(VLOOKUP(J253,'11. Cadastro de Serviços'!$A$6:$E$200,4,FALSE),"")</f>
        <v/>
      </c>
      <c r="N253" s="95" t="n"/>
      <c r="O253" s="95">
        <f>IF(AND(G253&lt;&gt;"",I253&lt;&gt;"",J253&lt;&gt;"",M253&lt;&gt;""),"Rastreado","Revisar")</f>
        <v/>
      </c>
      <c r="P253" s="96" t="n"/>
    </row>
    <row r="254">
      <c r="A254" s="95" t="n"/>
      <c r="B254" s="96" t="n"/>
      <c r="C254" s="96" t="n"/>
      <c r="D254" s="95" t="n"/>
      <c r="E254" s="96" t="n"/>
      <c r="F254" s="96" t="n"/>
      <c r="G254" s="95">
        <f>IFERROR(VLOOKUP(F254,'12. Contratos_OS'!$A$6:$L$1000,2,FALSE),"")</f>
        <v/>
      </c>
      <c r="H254" s="95">
        <f>IFERROR(VLOOKUP(F254,'12. Contratos_OS'!$A$6:$L$1000,3,FALSE),"")</f>
        <v/>
      </c>
      <c r="I254" s="95">
        <f>IFERROR(VLOOKUP(F254,'12. Contratos_OS'!$A$6:$L$1000,4,FALSE),"")</f>
        <v/>
      </c>
      <c r="J254" s="95">
        <f>IFERROR(VLOOKUP(F254,'12. Contratos_OS'!$A$6:$L$1000,7,FALSE),"")</f>
        <v/>
      </c>
      <c r="K254" s="95">
        <f>IFERROR(VLOOKUP(J254,'11. Cadastro de Serviços'!$A$6:$E$200,2,FALSE),"")</f>
        <v/>
      </c>
      <c r="L254" s="95">
        <f>IFERROR(VLOOKUP(J254,'11. Cadastro de Serviços'!$A$6:$E$200,3,FALSE),"")</f>
        <v/>
      </c>
      <c r="M254" s="95">
        <f>IFERROR(VLOOKUP(J254,'11. Cadastro de Serviços'!$A$6:$E$200,4,FALSE),"")</f>
        <v/>
      </c>
      <c r="N254" s="95" t="n"/>
      <c r="O254" s="95">
        <f>IF(AND(G254&lt;&gt;"",I254&lt;&gt;"",J254&lt;&gt;"",M254&lt;&gt;""),"Rastreado","Revisar")</f>
        <v/>
      </c>
      <c r="P254" s="96" t="n"/>
    </row>
    <row r="255">
      <c r="A255" s="95" t="n"/>
      <c r="B255" s="96" t="n"/>
      <c r="C255" s="96" t="n"/>
      <c r="D255" s="95" t="n"/>
      <c r="E255" s="96" t="n"/>
      <c r="F255" s="96" t="n"/>
      <c r="G255" s="95">
        <f>IFERROR(VLOOKUP(F255,'12. Contratos_OS'!$A$6:$L$1000,2,FALSE),"")</f>
        <v/>
      </c>
      <c r="H255" s="95">
        <f>IFERROR(VLOOKUP(F255,'12. Contratos_OS'!$A$6:$L$1000,3,FALSE),"")</f>
        <v/>
      </c>
      <c r="I255" s="95">
        <f>IFERROR(VLOOKUP(F255,'12. Contratos_OS'!$A$6:$L$1000,4,FALSE),"")</f>
        <v/>
      </c>
      <c r="J255" s="95">
        <f>IFERROR(VLOOKUP(F255,'12. Contratos_OS'!$A$6:$L$1000,7,FALSE),"")</f>
        <v/>
      </c>
      <c r="K255" s="95">
        <f>IFERROR(VLOOKUP(J255,'11. Cadastro de Serviços'!$A$6:$E$200,2,FALSE),"")</f>
        <v/>
      </c>
      <c r="L255" s="95">
        <f>IFERROR(VLOOKUP(J255,'11. Cadastro de Serviços'!$A$6:$E$200,3,FALSE),"")</f>
        <v/>
      </c>
      <c r="M255" s="95">
        <f>IFERROR(VLOOKUP(J255,'11. Cadastro de Serviços'!$A$6:$E$200,4,FALSE),"")</f>
        <v/>
      </c>
      <c r="N255" s="95" t="n"/>
      <c r="O255" s="95">
        <f>IF(AND(G255&lt;&gt;"",I255&lt;&gt;"",J255&lt;&gt;"",M255&lt;&gt;""),"Rastreado","Revisar")</f>
        <v/>
      </c>
      <c r="P255" s="96" t="n"/>
    </row>
    <row r="256">
      <c r="A256" s="95" t="n"/>
      <c r="B256" s="96" t="n"/>
      <c r="C256" s="96" t="n"/>
      <c r="D256" s="95" t="n"/>
      <c r="E256" s="96" t="n"/>
      <c r="F256" s="96" t="n"/>
      <c r="G256" s="95">
        <f>IFERROR(VLOOKUP(F256,'12. Contratos_OS'!$A$6:$L$1000,2,FALSE),"")</f>
        <v/>
      </c>
      <c r="H256" s="95">
        <f>IFERROR(VLOOKUP(F256,'12. Contratos_OS'!$A$6:$L$1000,3,FALSE),"")</f>
        <v/>
      </c>
      <c r="I256" s="95">
        <f>IFERROR(VLOOKUP(F256,'12. Contratos_OS'!$A$6:$L$1000,4,FALSE),"")</f>
        <v/>
      </c>
      <c r="J256" s="95">
        <f>IFERROR(VLOOKUP(F256,'12. Contratos_OS'!$A$6:$L$1000,7,FALSE),"")</f>
        <v/>
      </c>
      <c r="K256" s="95">
        <f>IFERROR(VLOOKUP(J256,'11. Cadastro de Serviços'!$A$6:$E$200,2,FALSE),"")</f>
        <v/>
      </c>
      <c r="L256" s="95">
        <f>IFERROR(VLOOKUP(J256,'11. Cadastro de Serviços'!$A$6:$E$200,3,FALSE),"")</f>
        <v/>
      </c>
      <c r="M256" s="95">
        <f>IFERROR(VLOOKUP(J256,'11. Cadastro de Serviços'!$A$6:$E$200,4,FALSE),"")</f>
        <v/>
      </c>
      <c r="N256" s="95" t="n"/>
      <c r="O256" s="95">
        <f>IF(AND(G256&lt;&gt;"",I256&lt;&gt;"",J256&lt;&gt;"",M256&lt;&gt;""),"Rastreado","Revisar")</f>
        <v/>
      </c>
      <c r="P256" s="96" t="n"/>
    </row>
    <row r="257">
      <c r="A257" s="95" t="n"/>
      <c r="B257" s="96" t="n"/>
      <c r="C257" s="96" t="n"/>
      <c r="D257" s="95" t="n"/>
      <c r="E257" s="96" t="n"/>
      <c r="F257" s="96" t="n"/>
      <c r="G257" s="95">
        <f>IFERROR(VLOOKUP(F257,'12. Contratos_OS'!$A$6:$L$1000,2,FALSE),"")</f>
        <v/>
      </c>
      <c r="H257" s="95">
        <f>IFERROR(VLOOKUP(F257,'12. Contratos_OS'!$A$6:$L$1000,3,FALSE),"")</f>
        <v/>
      </c>
      <c r="I257" s="95">
        <f>IFERROR(VLOOKUP(F257,'12. Contratos_OS'!$A$6:$L$1000,4,FALSE),"")</f>
        <v/>
      </c>
      <c r="J257" s="95">
        <f>IFERROR(VLOOKUP(F257,'12. Contratos_OS'!$A$6:$L$1000,7,FALSE),"")</f>
        <v/>
      </c>
      <c r="K257" s="95">
        <f>IFERROR(VLOOKUP(J257,'11. Cadastro de Serviços'!$A$6:$E$200,2,FALSE),"")</f>
        <v/>
      </c>
      <c r="L257" s="95">
        <f>IFERROR(VLOOKUP(J257,'11. Cadastro de Serviços'!$A$6:$E$200,3,FALSE),"")</f>
        <v/>
      </c>
      <c r="M257" s="95">
        <f>IFERROR(VLOOKUP(J257,'11. Cadastro de Serviços'!$A$6:$E$200,4,FALSE),"")</f>
        <v/>
      </c>
      <c r="N257" s="95" t="n"/>
      <c r="O257" s="95">
        <f>IF(AND(G257&lt;&gt;"",I257&lt;&gt;"",J257&lt;&gt;"",M257&lt;&gt;""),"Rastreado","Revisar")</f>
        <v/>
      </c>
      <c r="P257" s="96" t="n"/>
    </row>
    <row r="258">
      <c r="A258" s="95" t="n"/>
      <c r="B258" s="96" t="n"/>
      <c r="C258" s="96" t="n"/>
      <c r="D258" s="95" t="n"/>
      <c r="E258" s="96" t="n"/>
      <c r="F258" s="96" t="n"/>
      <c r="G258" s="95">
        <f>IFERROR(VLOOKUP(F258,'12. Contratos_OS'!$A$6:$L$1000,2,FALSE),"")</f>
        <v/>
      </c>
      <c r="H258" s="95">
        <f>IFERROR(VLOOKUP(F258,'12. Contratos_OS'!$A$6:$L$1000,3,FALSE),"")</f>
        <v/>
      </c>
      <c r="I258" s="95">
        <f>IFERROR(VLOOKUP(F258,'12. Contratos_OS'!$A$6:$L$1000,4,FALSE),"")</f>
        <v/>
      </c>
      <c r="J258" s="95">
        <f>IFERROR(VLOOKUP(F258,'12. Contratos_OS'!$A$6:$L$1000,7,FALSE),"")</f>
        <v/>
      </c>
      <c r="K258" s="95">
        <f>IFERROR(VLOOKUP(J258,'11. Cadastro de Serviços'!$A$6:$E$200,2,FALSE),"")</f>
        <v/>
      </c>
      <c r="L258" s="95">
        <f>IFERROR(VLOOKUP(J258,'11. Cadastro de Serviços'!$A$6:$E$200,3,FALSE),"")</f>
        <v/>
      </c>
      <c r="M258" s="95">
        <f>IFERROR(VLOOKUP(J258,'11. Cadastro de Serviços'!$A$6:$E$200,4,FALSE),"")</f>
        <v/>
      </c>
      <c r="N258" s="95" t="n"/>
      <c r="O258" s="95">
        <f>IF(AND(G258&lt;&gt;"",I258&lt;&gt;"",J258&lt;&gt;"",M258&lt;&gt;""),"Rastreado","Revisar")</f>
        <v/>
      </c>
      <c r="P258" s="96" t="n"/>
    </row>
    <row r="259">
      <c r="A259" s="95" t="n"/>
      <c r="B259" s="96" t="n"/>
      <c r="C259" s="96" t="n"/>
      <c r="D259" s="95" t="n"/>
      <c r="E259" s="96" t="n"/>
      <c r="F259" s="96" t="n"/>
      <c r="G259" s="95">
        <f>IFERROR(VLOOKUP(F259,'12. Contratos_OS'!$A$6:$L$1000,2,FALSE),"")</f>
        <v/>
      </c>
      <c r="H259" s="95">
        <f>IFERROR(VLOOKUP(F259,'12. Contratos_OS'!$A$6:$L$1000,3,FALSE),"")</f>
        <v/>
      </c>
      <c r="I259" s="95">
        <f>IFERROR(VLOOKUP(F259,'12. Contratos_OS'!$A$6:$L$1000,4,FALSE),"")</f>
        <v/>
      </c>
      <c r="J259" s="95">
        <f>IFERROR(VLOOKUP(F259,'12. Contratos_OS'!$A$6:$L$1000,7,FALSE),"")</f>
        <v/>
      </c>
      <c r="K259" s="95">
        <f>IFERROR(VLOOKUP(J259,'11. Cadastro de Serviços'!$A$6:$E$200,2,FALSE),"")</f>
        <v/>
      </c>
      <c r="L259" s="95">
        <f>IFERROR(VLOOKUP(J259,'11. Cadastro de Serviços'!$A$6:$E$200,3,FALSE),"")</f>
        <v/>
      </c>
      <c r="M259" s="95">
        <f>IFERROR(VLOOKUP(J259,'11. Cadastro de Serviços'!$A$6:$E$200,4,FALSE),"")</f>
        <v/>
      </c>
      <c r="N259" s="95" t="n"/>
      <c r="O259" s="95">
        <f>IF(AND(G259&lt;&gt;"",I259&lt;&gt;"",J259&lt;&gt;"",M259&lt;&gt;""),"Rastreado","Revisar")</f>
        <v/>
      </c>
      <c r="P259" s="96" t="n"/>
    </row>
    <row r="260">
      <c r="A260" s="95" t="n"/>
      <c r="B260" s="96" t="n"/>
      <c r="C260" s="96" t="n"/>
      <c r="D260" s="95" t="n"/>
      <c r="E260" s="96" t="n"/>
      <c r="F260" s="96" t="n"/>
      <c r="G260" s="95">
        <f>IFERROR(VLOOKUP(F260,'12. Contratos_OS'!$A$6:$L$1000,2,FALSE),"")</f>
        <v/>
      </c>
      <c r="H260" s="95">
        <f>IFERROR(VLOOKUP(F260,'12. Contratos_OS'!$A$6:$L$1000,3,FALSE),"")</f>
        <v/>
      </c>
      <c r="I260" s="95">
        <f>IFERROR(VLOOKUP(F260,'12. Contratos_OS'!$A$6:$L$1000,4,FALSE),"")</f>
        <v/>
      </c>
      <c r="J260" s="95">
        <f>IFERROR(VLOOKUP(F260,'12. Contratos_OS'!$A$6:$L$1000,7,FALSE),"")</f>
        <v/>
      </c>
      <c r="K260" s="95">
        <f>IFERROR(VLOOKUP(J260,'11. Cadastro de Serviços'!$A$6:$E$200,2,FALSE),"")</f>
        <v/>
      </c>
      <c r="L260" s="95">
        <f>IFERROR(VLOOKUP(J260,'11. Cadastro de Serviços'!$A$6:$E$200,3,FALSE),"")</f>
        <v/>
      </c>
      <c r="M260" s="95">
        <f>IFERROR(VLOOKUP(J260,'11. Cadastro de Serviços'!$A$6:$E$200,4,FALSE),"")</f>
        <v/>
      </c>
      <c r="N260" s="95" t="n"/>
      <c r="O260" s="95">
        <f>IF(AND(G260&lt;&gt;"",I260&lt;&gt;"",J260&lt;&gt;"",M260&lt;&gt;""),"Rastreado","Revisar")</f>
        <v/>
      </c>
      <c r="P260" s="96" t="n"/>
    </row>
    <row r="261">
      <c r="A261" s="95" t="n"/>
      <c r="B261" s="96" t="n"/>
      <c r="C261" s="96" t="n"/>
      <c r="D261" s="95" t="n"/>
      <c r="E261" s="96" t="n"/>
      <c r="F261" s="96" t="n"/>
      <c r="G261" s="95">
        <f>IFERROR(VLOOKUP(F261,'12. Contratos_OS'!$A$6:$L$1000,2,FALSE),"")</f>
        <v/>
      </c>
      <c r="H261" s="95">
        <f>IFERROR(VLOOKUP(F261,'12. Contratos_OS'!$A$6:$L$1000,3,FALSE),"")</f>
        <v/>
      </c>
      <c r="I261" s="95">
        <f>IFERROR(VLOOKUP(F261,'12. Contratos_OS'!$A$6:$L$1000,4,FALSE),"")</f>
        <v/>
      </c>
      <c r="J261" s="95">
        <f>IFERROR(VLOOKUP(F261,'12. Contratos_OS'!$A$6:$L$1000,7,FALSE),"")</f>
        <v/>
      </c>
      <c r="K261" s="95">
        <f>IFERROR(VLOOKUP(J261,'11. Cadastro de Serviços'!$A$6:$E$200,2,FALSE),"")</f>
        <v/>
      </c>
      <c r="L261" s="95">
        <f>IFERROR(VLOOKUP(J261,'11. Cadastro de Serviços'!$A$6:$E$200,3,FALSE),"")</f>
        <v/>
      </c>
      <c r="M261" s="95">
        <f>IFERROR(VLOOKUP(J261,'11. Cadastro de Serviços'!$A$6:$E$200,4,FALSE),"")</f>
        <v/>
      </c>
      <c r="N261" s="95" t="n"/>
      <c r="O261" s="95">
        <f>IF(AND(G261&lt;&gt;"",I261&lt;&gt;"",J261&lt;&gt;"",M261&lt;&gt;""),"Rastreado","Revisar")</f>
        <v/>
      </c>
      <c r="P261" s="96" t="n"/>
    </row>
    <row r="262">
      <c r="A262" s="95" t="n"/>
      <c r="B262" s="96" t="n"/>
      <c r="C262" s="96" t="n"/>
      <c r="D262" s="95" t="n"/>
      <c r="E262" s="96" t="n"/>
      <c r="F262" s="96" t="n"/>
      <c r="G262" s="95">
        <f>IFERROR(VLOOKUP(F262,'12. Contratos_OS'!$A$6:$L$1000,2,FALSE),"")</f>
        <v/>
      </c>
      <c r="H262" s="95">
        <f>IFERROR(VLOOKUP(F262,'12. Contratos_OS'!$A$6:$L$1000,3,FALSE),"")</f>
        <v/>
      </c>
      <c r="I262" s="95">
        <f>IFERROR(VLOOKUP(F262,'12. Contratos_OS'!$A$6:$L$1000,4,FALSE),"")</f>
        <v/>
      </c>
      <c r="J262" s="95">
        <f>IFERROR(VLOOKUP(F262,'12. Contratos_OS'!$A$6:$L$1000,7,FALSE),"")</f>
        <v/>
      </c>
      <c r="K262" s="95">
        <f>IFERROR(VLOOKUP(J262,'11. Cadastro de Serviços'!$A$6:$E$200,2,FALSE),"")</f>
        <v/>
      </c>
      <c r="L262" s="95">
        <f>IFERROR(VLOOKUP(J262,'11. Cadastro de Serviços'!$A$6:$E$200,3,FALSE),"")</f>
        <v/>
      </c>
      <c r="M262" s="95">
        <f>IFERROR(VLOOKUP(J262,'11. Cadastro de Serviços'!$A$6:$E$200,4,FALSE),"")</f>
        <v/>
      </c>
      <c r="N262" s="95" t="n"/>
      <c r="O262" s="95">
        <f>IF(AND(G262&lt;&gt;"",I262&lt;&gt;"",J262&lt;&gt;"",M262&lt;&gt;""),"Rastreado","Revisar")</f>
        <v/>
      </c>
      <c r="P262" s="96" t="n"/>
    </row>
    <row r="263">
      <c r="A263" s="95" t="n"/>
      <c r="B263" s="96" t="n"/>
      <c r="C263" s="96" t="n"/>
      <c r="D263" s="95" t="n"/>
      <c r="E263" s="96" t="n"/>
      <c r="F263" s="96" t="n"/>
      <c r="G263" s="95">
        <f>IFERROR(VLOOKUP(F263,'12. Contratos_OS'!$A$6:$L$1000,2,FALSE),"")</f>
        <v/>
      </c>
      <c r="H263" s="95">
        <f>IFERROR(VLOOKUP(F263,'12. Contratos_OS'!$A$6:$L$1000,3,FALSE),"")</f>
        <v/>
      </c>
      <c r="I263" s="95">
        <f>IFERROR(VLOOKUP(F263,'12. Contratos_OS'!$A$6:$L$1000,4,FALSE),"")</f>
        <v/>
      </c>
      <c r="J263" s="95">
        <f>IFERROR(VLOOKUP(F263,'12. Contratos_OS'!$A$6:$L$1000,7,FALSE),"")</f>
        <v/>
      </c>
      <c r="K263" s="95">
        <f>IFERROR(VLOOKUP(J263,'11. Cadastro de Serviços'!$A$6:$E$200,2,FALSE),"")</f>
        <v/>
      </c>
      <c r="L263" s="95">
        <f>IFERROR(VLOOKUP(J263,'11. Cadastro de Serviços'!$A$6:$E$200,3,FALSE),"")</f>
        <v/>
      </c>
      <c r="M263" s="95">
        <f>IFERROR(VLOOKUP(J263,'11. Cadastro de Serviços'!$A$6:$E$200,4,FALSE),"")</f>
        <v/>
      </c>
      <c r="N263" s="95" t="n"/>
      <c r="O263" s="95">
        <f>IF(AND(G263&lt;&gt;"",I263&lt;&gt;"",J263&lt;&gt;"",M263&lt;&gt;""),"Rastreado","Revisar")</f>
        <v/>
      </c>
      <c r="P263" s="96" t="n"/>
    </row>
    <row r="264">
      <c r="A264" s="95" t="n"/>
      <c r="B264" s="96" t="n"/>
      <c r="C264" s="96" t="n"/>
      <c r="D264" s="95" t="n"/>
      <c r="E264" s="96" t="n"/>
      <c r="F264" s="96" t="n"/>
      <c r="G264" s="95">
        <f>IFERROR(VLOOKUP(F264,'12. Contratos_OS'!$A$6:$L$1000,2,FALSE),"")</f>
        <v/>
      </c>
      <c r="H264" s="95">
        <f>IFERROR(VLOOKUP(F264,'12. Contratos_OS'!$A$6:$L$1000,3,FALSE),"")</f>
        <v/>
      </c>
      <c r="I264" s="95">
        <f>IFERROR(VLOOKUP(F264,'12. Contratos_OS'!$A$6:$L$1000,4,FALSE),"")</f>
        <v/>
      </c>
      <c r="J264" s="95">
        <f>IFERROR(VLOOKUP(F264,'12. Contratos_OS'!$A$6:$L$1000,7,FALSE),"")</f>
        <v/>
      </c>
      <c r="K264" s="95">
        <f>IFERROR(VLOOKUP(J264,'11. Cadastro de Serviços'!$A$6:$E$200,2,FALSE),"")</f>
        <v/>
      </c>
      <c r="L264" s="95">
        <f>IFERROR(VLOOKUP(J264,'11. Cadastro de Serviços'!$A$6:$E$200,3,FALSE),"")</f>
        <v/>
      </c>
      <c r="M264" s="95">
        <f>IFERROR(VLOOKUP(J264,'11. Cadastro de Serviços'!$A$6:$E$200,4,FALSE),"")</f>
        <v/>
      </c>
      <c r="N264" s="95" t="n"/>
      <c r="O264" s="95">
        <f>IF(AND(G264&lt;&gt;"",I264&lt;&gt;"",J264&lt;&gt;"",M264&lt;&gt;""),"Rastreado","Revisar")</f>
        <v/>
      </c>
      <c r="P264" s="96" t="n"/>
    </row>
    <row r="265">
      <c r="A265" s="95" t="n"/>
      <c r="B265" s="96" t="n"/>
      <c r="C265" s="96" t="n"/>
      <c r="D265" s="95" t="n"/>
      <c r="E265" s="96" t="n"/>
      <c r="F265" s="96" t="n"/>
      <c r="G265" s="95">
        <f>IFERROR(VLOOKUP(F265,'12. Contratos_OS'!$A$6:$L$1000,2,FALSE),"")</f>
        <v/>
      </c>
      <c r="H265" s="95">
        <f>IFERROR(VLOOKUP(F265,'12. Contratos_OS'!$A$6:$L$1000,3,FALSE),"")</f>
        <v/>
      </c>
      <c r="I265" s="95">
        <f>IFERROR(VLOOKUP(F265,'12. Contratos_OS'!$A$6:$L$1000,4,FALSE),"")</f>
        <v/>
      </c>
      <c r="J265" s="95">
        <f>IFERROR(VLOOKUP(F265,'12. Contratos_OS'!$A$6:$L$1000,7,FALSE),"")</f>
        <v/>
      </c>
      <c r="K265" s="95">
        <f>IFERROR(VLOOKUP(J265,'11. Cadastro de Serviços'!$A$6:$E$200,2,FALSE),"")</f>
        <v/>
      </c>
      <c r="L265" s="95">
        <f>IFERROR(VLOOKUP(J265,'11. Cadastro de Serviços'!$A$6:$E$200,3,FALSE),"")</f>
        <v/>
      </c>
      <c r="M265" s="95">
        <f>IFERROR(VLOOKUP(J265,'11. Cadastro de Serviços'!$A$6:$E$200,4,FALSE),"")</f>
        <v/>
      </c>
      <c r="N265" s="95" t="n"/>
      <c r="O265" s="95">
        <f>IF(AND(G265&lt;&gt;"",I265&lt;&gt;"",J265&lt;&gt;"",M265&lt;&gt;""),"Rastreado","Revisar")</f>
        <v/>
      </c>
      <c r="P265" s="96" t="n"/>
    </row>
    <row r="266">
      <c r="A266" s="95" t="n"/>
      <c r="B266" s="96" t="n"/>
      <c r="C266" s="96" t="n"/>
      <c r="D266" s="95" t="n"/>
      <c r="E266" s="96" t="n"/>
      <c r="F266" s="96" t="n"/>
      <c r="G266" s="95">
        <f>IFERROR(VLOOKUP(F266,'12. Contratos_OS'!$A$6:$L$1000,2,FALSE),"")</f>
        <v/>
      </c>
      <c r="H266" s="95">
        <f>IFERROR(VLOOKUP(F266,'12. Contratos_OS'!$A$6:$L$1000,3,FALSE),"")</f>
        <v/>
      </c>
      <c r="I266" s="95">
        <f>IFERROR(VLOOKUP(F266,'12. Contratos_OS'!$A$6:$L$1000,4,FALSE),"")</f>
        <v/>
      </c>
      <c r="J266" s="95">
        <f>IFERROR(VLOOKUP(F266,'12. Contratos_OS'!$A$6:$L$1000,7,FALSE),"")</f>
        <v/>
      </c>
      <c r="K266" s="95">
        <f>IFERROR(VLOOKUP(J266,'11. Cadastro de Serviços'!$A$6:$E$200,2,FALSE),"")</f>
        <v/>
      </c>
      <c r="L266" s="95">
        <f>IFERROR(VLOOKUP(J266,'11. Cadastro de Serviços'!$A$6:$E$200,3,FALSE),"")</f>
        <v/>
      </c>
      <c r="M266" s="95">
        <f>IFERROR(VLOOKUP(J266,'11. Cadastro de Serviços'!$A$6:$E$200,4,FALSE),"")</f>
        <v/>
      </c>
      <c r="N266" s="95" t="n"/>
      <c r="O266" s="95">
        <f>IF(AND(G266&lt;&gt;"",I266&lt;&gt;"",J266&lt;&gt;"",M266&lt;&gt;""),"Rastreado","Revisar")</f>
        <v/>
      </c>
      <c r="P266" s="96" t="n"/>
    </row>
    <row r="267">
      <c r="A267" s="95" t="n"/>
      <c r="B267" s="96" t="n"/>
      <c r="C267" s="96" t="n"/>
      <c r="D267" s="95" t="n"/>
      <c r="E267" s="96" t="n"/>
      <c r="F267" s="96" t="n"/>
      <c r="G267" s="95">
        <f>IFERROR(VLOOKUP(F267,'12. Contratos_OS'!$A$6:$L$1000,2,FALSE),"")</f>
        <v/>
      </c>
      <c r="H267" s="95">
        <f>IFERROR(VLOOKUP(F267,'12. Contratos_OS'!$A$6:$L$1000,3,FALSE),"")</f>
        <v/>
      </c>
      <c r="I267" s="95">
        <f>IFERROR(VLOOKUP(F267,'12. Contratos_OS'!$A$6:$L$1000,4,FALSE),"")</f>
        <v/>
      </c>
      <c r="J267" s="95">
        <f>IFERROR(VLOOKUP(F267,'12. Contratos_OS'!$A$6:$L$1000,7,FALSE),"")</f>
        <v/>
      </c>
      <c r="K267" s="95">
        <f>IFERROR(VLOOKUP(J267,'11. Cadastro de Serviços'!$A$6:$E$200,2,FALSE),"")</f>
        <v/>
      </c>
      <c r="L267" s="95">
        <f>IFERROR(VLOOKUP(J267,'11. Cadastro de Serviços'!$A$6:$E$200,3,FALSE),"")</f>
        <v/>
      </c>
      <c r="M267" s="95">
        <f>IFERROR(VLOOKUP(J267,'11. Cadastro de Serviços'!$A$6:$E$200,4,FALSE),"")</f>
        <v/>
      </c>
      <c r="N267" s="95" t="n"/>
      <c r="O267" s="95">
        <f>IF(AND(G267&lt;&gt;"",I267&lt;&gt;"",J267&lt;&gt;"",M267&lt;&gt;""),"Rastreado","Revisar")</f>
        <v/>
      </c>
      <c r="P267" s="96" t="n"/>
    </row>
    <row r="268">
      <c r="A268" s="95" t="n"/>
      <c r="B268" s="96" t="n"/>
      <c r="C268" s="96" t="n"/>
      <c r="D268" s="95" t="n"/>
      <c r="E268" s="96" t="n"/>
      <c r="F268" s="96" t="n"/>
      <c r="G268" s="95">
        <f>IFERROR(VLOOKUP(F268,'12. Contratos_OS'!$A$6:$L$1000,2,FALSE),"")</f>
        <v/>
      </c>
      <c r="H268" s="95">
        <f>IFERROR(VLOOKUP(F268,'12. Contratos_OS'!$A$6:$L$1000,3,FALSE),"")</f>
        <v/>
      </c>
      <c r="I268" s="95">
        <f>IFERROR(VLOOKUP(F268,'12. Contratos_OS'!$A$6:$L$1000,4,FALSE),"")</f>
        <v/>
      </c>
      <c r="J268" s="95">
        <f>IFERROR(VLOOKUP(F268,'12. Contratos_OS'!$A$6:$L$1000,7,FALSE),"")</f>
        <v/>
      </c>
      <c r="K268" s="95">
        <f>IFERROR(VLOOKUP(J268,'11. Cadastro de Serviços'!$A$6:$E$200,2,FALSE),"")</f>
        <v/>
      </c>
      <c r="L268" s="95">
        <f>IFERROR(VLOOKUP(J268,'11. Cadastro de Serviços'!$A$6:$E$200,3,FALSE),"")</f>
        <v/>
      </c>
      <c r="M268" s="95">
        <f>IFERROR(VLOOKUP(J268,'11. Cadastro de Serviços'!$A$6:$E$200,4,FALSE),"")</f>
        <v/>
      </c>
      <c r="N268" s="95" t="n"/>
      <c r="O268" s="95">
        <f>IF(AND(G268&lt;&gt;"",I268&lt;&gt;"",J268&lt;&gt;"",M268&lt;&gt;""),"Rastreado","Revisar")</f>
        <v/>
      </c>
      <c r="P268" s="96" t="n"/>
    </row>
    <row r="269">
      <c r="A269" s="95" t="n"/>
      <c r="B269" s="96" t="n"/>
      <c r="C269" s="96" t="n"/>
      <c r="D269" s="95" t="n"/>
      <c r="E269" s="96" t="n"/>
      <c r="F269" s="96" t="n"/>
      <c r="G269" s="95">
        <f>IFERROR(VLOOKUP(F269,'12. Contratos_OS'!$A$6:$L$1000,2,FALSE),"")</f>
        <v/>
      </c>
      <c r="H269" s="95">
        <f>IFERROR(VLOOKUP(F269,'12. Contratos_OS'!$A$6:$L$1000,3,FALSE),"")</f>
        <v/>
      </c>
      <c r="I269" s="95">
        <f>IFERROR(VLOOKUP(F269,'12. Contratos_OS'!$A$6:$L$1000,4,FALSE),"")</f>
        <v/>
      </c>
      <c r="J269" s="95">
        <f>IFERROR(VLOOKUP(F269,'12. Contratos_OS'!$A$6:$L$1000,7,FALSE),"")</f>
        <v/>
      </c>
      <c r="K269" s="95">
        <f>IFERROR(VLOOKUP(J269,'11. Cadastro de Serviços'!$A$6:$E$200,2,FALSE),"")</f>
        <v/>
      </c>
      <c r="L269" s="95">
        <f>IFERROR(VLOOKUP(J269,'11. Cadastro de Serviços'!$A$6:$E$200,3,FALSE),"")</f>
        <v/>
      </c>
      <c r="M269" s="95">
        <f>IFERROR(VLOOKUP(J269,'11. Cadastro de Serviços'!$A$6:$E$200,4,FALSE),"")</f>
        <v/>
      </c>
      <c r="N269" s="95" t="n"/>
      <c r="O269" s="95">
        <f>IF(AND(G269&lt;&gt;"",I269&lt;&gt;"",J269&lt;&gt;"",M269&lt;&gt;""),"Rastreado","Revisar")</f>
        <v/>
      </c>
      <c r="P269" s="96" t="n"/>
    </row>
    <row r="270">
      <c r="A270" s="95" t="n"/>
      <c r="B270" s="96" t="n"/>
      <c r="C270" s="96" t="n"/>
      <c r="D270" s="95" t="n"/>
      <c r="E270" s="96" t="n"/>
      <c r="F270" s="96" t="n"/>
      <c r="G270" s="95">
        <f>IFERROR(VLOOKUP(F270,'12. Contratos_OS'!$A$6:$L$1000,2,FALSE),"")</f>
        <v/>
      </c>
      <c r="H270" s="95">
        <f>IFERROR(VLOOKUP(F270,'12. Contratos_OS'!$A$6:$L$1000,3,FALSE),"")</f>
        <v/>
      </c>
      <c r="I270" s="95">
        <f>IFERROR(VLOOKUP(F270,'12. Contratos_OS'!$A$6:$L$1000,4,FALSE),"")</f>
        <v/>
      </c>
      <c r="J270" s="95">
        <f>IFERROR(VLOOKUP(F270,'12. Contratos_OS'!$A$6:$L$1000,7,FALSE),"")</f>
        <v/>
      </c>
      <c r="K270" s="95">
        <f>IFERROR(VLOOKUP(J270,'11. Cadastro de Serviços'!$A$6:$E$200,2,FALSE),"")</f>
        <v/>
      </c>
      <c r="L270" s="95">
        <f>IFERROR(VLOOKUP(J270,'11. Cadastro de Serviços'!$A$6:$E$200,3,FALSE),"")</f>
        <v/>
      </c>
      <c r="M270" s="95">
        <f>IFERROR(VLOOKUP(J270,'11. Cadastro de Serviços'!$A$6:$E$200,4,FALSE),"")</f>
        <v/>
      </c>
      <c r="N270" s="95" t="n"/>
      <c r="O270" s="95">
        <f>IF(AND(G270&lt;&gt;"",I270&lt;&gt;"",J270&lt;&gt;"",M270&lt;&gt;""),"Rastreado","Revisar")</f>
        <v/>
      </c>
      <c r="P270" s="96" t="n"/>
    </row>
    <row r="271">
      <c r="A271" s="95" t="n"/>
      <c r="B271" s="96" t="n"/>
      <c r="C271" s="96" t="n"/>
      <c r="D271" s="95" t="n"/>
      <c r="E271" s="96" t="n"/>
      <c r="F271" s="96" t="n"/>
      <c r="G271" s="95">
        <f>IFERROR(VLOOKUP(F271,'12. Contratos_OS'!$A$6:$L$1000,2,FALSE),"")</f>
        <v/>
      </c>
      <c r="H271" s="95">
        <f>IFERROR(VLOOKUP(F271,'12. Contratos_OS'!$A$6:$L$1000,3,FALSE),"")</f>
        <v/>
      </c>
      <c r="I271" s="95">
        <f>IFERROR(VLOOKUP(F271,'12. Contratos_OS'!$A$6:$L$1000,4,FALSE),"")</f>
        <v/>
      </c>
      <c r="J271" s="95">
        <f>IFERROR(VLOOKUP(F271,'12. Contratos_OS'!$A$6:$L$1000,7,FALSE),"")</f>
        <v/>
      </c>
      <c r="K271" s="95">
        <f>IFERROR(VLOOKUP(J271,'11. Cadastro de Serviços'!$A$6:$E$200,2,FALSE),"")</f>
        <v/>
      </c>
      <c r="L271" s="95">
        <f>IFERROR(VLOOKUP(J271,'11. Cadastro de Serviços'!$A$6:$E$200,3,FALSE),"")</f>
        <v/>
      </c>
      <c r="M271" s="95">
        <f>IFERROR(VLOOKUP(J271,'11. Cadastro de Serviços'!$A$6:$E$200,4,FALSE),"")</f>
        <v/>
      </c>
      <c r="N271" s="95" t="n"/>
      <c r="O271" s="95">
        <f>IF(AND(G271&lt;&gt;"",I271&lt;&gt;"",J271&lt;&gt;"",M271&lt;&gt;""),"Rastreado","Revisar")</f>
        <v/>
      </c>
      <c r="P271" s="96" t="n"/>
    </row>
    <row r="272">
      <c r="A272" s="95" t="n"/>
      <c r="B272" s="96" t="n"/>
      <c r="C272" s="96" t="n"/>
      <c r="D272" s="95" t="n"/>
      <c r="E272" s="96" t="n"/>
      <c r="F272" s="96" t="n"/>
      <c r="G272" s="95">
        <f>IFERROR(VLOOKUP(F272,'12. Contratos_OS'!$A$6:$L$1000,2,FALSE),"")</f>
        <v/>
      </c>
      <c r="H272" s="95">
        <f>IFERROR(VLOOKUP(F272,'12. Contratos_OS'!$A$6:$L$1000,3,FALSE),"")</f>
        <v/>
      </c>
      <c r="I272" s="95">
        <f>IFERROR(VLOOKUP(F272,'12. Contratos_OS'!$A$6:$L$1000,4,FALSE),"")</f>
        <v/>
      </c>
      <c r="J272" s="95">
        <f>IFERROR(VLOOKUP(F272,'12. Contratos_OS'!$A$6:$L$1000,7,FALSE),"")</f>
        <v/>
      </c>
      <c r="K272" s="95">
        <f>IFERROR(VLOOKUP(J272,'11. Cadastro de Serviços'!$A$6:$E$200,2,FALSE),"")</f>
        <v/>
      </c>
      <c r="L272" s="95">
        <f>IFERROR(VLOOKUP(J272,'11. Cadastro de Serviços'!$A$6:$E$200,3,FALSE),"")</f>
        <v/>
      </c>
      <c r="M272" s="95">
        <f>IFERROR(VLOOKUP(J272,'11. Cadastro de Serviços'!$A$6:$E$200,4,FALSE),"")</f>
        <v/>
      </c>
      <c r="N272" s="95" t="n"/>
      <c r="O272" s="95">
        <f>IF(AND(G272&lt;&gt;"",I272&lt;&gt;"",J272&lt;&gt;"",M272&lt;&gt;""),"Rastreado","Revisar")</f>
        <v/>
      </c>
      <c r="P272" s="96" t="n"/>
    </row>
    <row r="273">
      <c r="A273" s="95" t="n"/>
      <c r="B273" s="96" t="n"/>
      <c r="C273" s="96" t="n"/>
      <c r="D273" s="95" t="n"/>
      <c r="E273" s="96" t="n"/>
      <c r="F273" s="96" t="n"/>
      <c r="G273" s="95">
        <f>IFERROR(VLOOKUP(F273,'12. Contratos_OS'!$A$6:$L$1000,2,FALSE),"")</f>
        <v/>
      </c>
      <c r="H273" s="95">
        <f>IFERROR(VLOOKUP(F273,'12. Contratos_OS'!$A$6:$L$1000,3,FALSE),"")</f>
        <v/>
      </c>
      <c r="I273" s="95">
        <f>IFERROR(VLOOKUP(F273,'12. Contratos_OS'!$A$6:$L$1000,4,FALSE),"")</f>
        <v/>
      </c>
      <c r="J273" s="95">
        <f>IFERROR(VLOOKUP(F273,'12. Contratos_OS'!$A$6:$L$1000,7,FALSE),"")</f>
        <v/>
      </c>
      <c r="K273" s="95">
        <f>IFERROR(VLOOKUP(J273,'11. Cadastro de Serviços'!$A$6:$E$200,2,FALSE),"")</f>
        <v/>
      </c>
      <c r="L273" s="95">
        <f>IFERROR(VLOOKUP(J273,'11. Cadastro de Serviços'!$A$6:$E$200,3,FALSE),"")</f>
        <v/>
      </c>
      <c r="M273" s="95">
        <f>IFERROR(VLOOKUP(J273,'11. Cadastro de Serviços'!$A$6:$E$200,4,FALSE),"")</f>
        <v/>
      </c>
      <c r="N273" s="95" t="n"/>
      <c r="O273" s="95">
        <f>IF(AND(G273&lt;&gt;"",I273&lt;&gt;"",J273&lt;&gt;"",M273&lt;&gt;""),"Rastreado","Revisar")</f>
        <v/>
      </c>
      <c r="P273" s="96" t="n"/>
    </row>
    <row r="274">
      <c r="A274" s="95" t="n"/>
      <c r="B274" s="96" t="n"/>
      <c r="C274" s="96" t="n"/>
      <c r="D274" s="95" t="n"/>
      <c r="E274" s="96" t="n"/>
      <c r="F274" s="96" t="n"/>
      <c r="G274" s="95">
        <f>IFERROR(VLOOKUP(F274,'12. Contratos_OS'!$A$6:$L$1000,2,FALSE),"")</f>
        <v/>
      </c>
      <c r="H274" s="95">
        <f>IFERROR(VLOOKUP(F274,'12. Contratos_OS'!$A$6:$L$1000,3,FALSE),"")</f>
        <v/>
      </c>
      <c r="I274" s="95">
        <f>IFERROR(VLOOKUP(F274,'12. Contratos_OS'!$A$6:$L$1000,4,FALSE),"")</f>
        <v/>
      </c>
      <c r="J274" s="95">
        <f>IFERROR(VLOOKUP(F274,'12. Contratos_OS'!$A$6:$L$1000,7,FALSE),"")</f>
        <v/>
      </c>
      <c r="K274" s="95">
        <f>IFERROR(VLOOKUP(J274,'11. Cadastro de Serviços'!$A$6:$E$200,2,FALSE),"")</f>
        <v/>
      </c>
      <c r="L274" s="95">
        <f>IFERROR(VLOOKUP(J274,'11. Cadastro de Serviços'!$A$6:$E$200,3,FALSE),"")</f>
        <v/>
      </c>
      <c r="M274" s="95">
        <f>IFERROR(VLOOKUP(J274,'11. Cadastro de Serviços'!$A$6:$E$200,4,FALSE),"")</f>
        <v/>
      </c>
      <c r="N274" s="95" t="n"/>
      <c r="O274" s="95">
        <f>IF(AND(G274&lt;&gt;"",I274&lt;&gt;"",J274&lt;&gt;"",M274&lt;&gt;""),"Rastreado","Revisar")</f>
        <v/>
      </c>
      <c r="P274" s="96" t="n"/>
    </row>
    <row r="275">
      <c r="A275" s="95" t="n"/>
      <c r="B275" s="96" t="n"/>
      <c r="C275" s="96" t="n"/>
      <c r="D275" s="95" t="n"/>
      <c r="E275" s="96" t="n"/>
      <c r="F275" s="96" t="n"/>
      <c r="G275" s="95">
        <f>IFERROR(VLOOKUP(F275,'12. Contratos_OS'!$A$6:$L$1000,2,FALSE),"")</f>
        <v/>
      </c>
      <c r="H275" s="95">
        <f>IFERROR(VLOOKUP(F275,'12. Contratos_OS'!$A$6:$L$1000,3,FALSE),"")</f>
        <v/>
      </c>
      <c r="I275" s="95">
        <f>IFERROR(VLOOKUP(F275,'12. Contratos_OS'!$A$6:$L$1000,4,FALSE),"")</f>
        <v/>
      </c>
      <c r="J275" s="95">
        <f>IFERROR(VLOOKUP(F275,'12. Contratos_OS'!$A$6:$L$1000,7,FALSE),"")</f>
        <v/>
      </c>
      <c r="K275" s="95">
        <f>IFERROR(VLOOKUP(J275,'11. Cadastro de Serviços'!$A$6:$E$200,2,FALSE),"")</f>
        <v/>
      </c>
      <c r="L275" s="95">
        <f>IFERROR(VLOOKUP(J275,'11. Cadastro de Serviços'!$A$6:$E$200,3,FALSE),"")</f>
        <v/>
      </c>
      <c r="M275" s="95">
        <f>IFERROR(VLOOKUP(J275,'11. Cadastro de Serviços'!$A$6:$E$200,4,FALSE),"")</f>
        <v/>
      </c>
      <c r="N275" s="95" t="n"/>
      <c r="O275" s="95">
        <f>IF(AND(G275&lt;&gt;"",I275&lt;&gt;"",J275&lt;&gt;"",M275&lt;&gt;""),"Rastreado","Revisar")</f>
        <v/>
      </c>
      <c r="P275" s="96" t="n"/>
    </row>
    <row r="276">
      <c r="A276" s="95" t="n"/>
      <c r="B276" s="96" t="n"/>
      <c r="C276" s="96" t="n"/>
      <c r="D276" s="95" t="n"/>
      <c r="E276" s="96" t="n"/>
      <c r="F276" s="96" t="n"/>
      <c r="G276" s="95">
        <f>IFERROR(VLOOKUP(F276,'12. Contratos_OS'!$A$6:$L$1000,2,FALSE),"")</f>
        <v/>
      </c>
      <c r="H276" s="95">
        <f>IFERROR(VLOOKUP(F276,'12. Contratos_OS'!$A$6:$L$1000,3,FALSE),"")</f>
        <v/>
      </c>
      <c r="I276" s="95">
        <f>IFERROR(VLOOKUP(F276,'12. Contratos_OS'!$A$6:$L$1000,4,FALSE),"")</f>
        <v/>
      </c>
      <c r="J276" s="95">
        <f>IFERROR(VLOOKUP(F276,'12. Contratos_OS'!$A$6:$L$1000,7,FALSE),"")</f>
        <v/>
      </c>
      <c r="K276" s="95">
        <f>IFERROR(VLOOKUP(J276,'11. Cadastro de Serviços'!$A$6:$E$200,2,FALSE),"")</f>
        <v/>
      </c>
      <c r="L276" s="95">
        <f>IFERROR(VLOOKUP(J276,'11. Cadastro de Serviços'!$A$6:$E$200,3,FALSE),"")</f>
        <v/>
      </c>
      <c r="M276" s="95">
        <f>IFERROR(VLOOKUP(J276,'11. Cadastro de Serviços'!$A$6:$E$200,4,FALSE),"")</f>
        <v/>
      </c>
      <c r="N276" s="95" t="n"/>
      <c r="O276" s="95">
        <f>IF(AND(G276&lt;&gt;"",I276&lt;&gt;"",J276&lt;&gt;"",M276&lt;&gt;""),"Rastreado","Revisar")</f>
        <v/>
      </c>
      <c r="P276" s="96" t="n"/>
    </row>
    <row r="277">
      <c r="A277" s="95" t="n"/>
      <c r="B277" s="96" t="n"/>
      <c r="C277" s="96" t="n"/>
      <c r="D277" s="95" t="n"/>
      <c r="E277" s="96" t="n"/>
      <c r="F277" s="96" t="n"/>
      <c r="G277" s="95">
        <f>IFERROR(VLOOKUP(F277,'12. Contratos_OS'!$A$6:$L$1000,2,FALSE),"")</f>
        <v/>
      </c>
      <c r="H277" s="95">
        <f>IFERROR(VLOOKUP(F277,'12. Contratos_OS'!$A$6:$L$1000,3,FALSE),"")</f>
        <v/>
      </c>
      <c r="I277" s="95">
        <f>IFERROR(VLOOKUP(F277,'12. Contratos_OS'!$A$6:$L$1000,4,FALSE),"")</f>
        <v/>
      </c>
      <c r="J277" s="95">
        <f>IFERROR(VLOOKUP(F277,'12. Contratos_OS'!$A$6:$L$1000,7,FALSE),"")</f>
        <v/>
      </c>
      <c r="K277" s="95">
        <f>IFERROR(VLOOKUP(J277,'11. Cadastro de Serviços'!$A$6:$E$200,2,FALSE),"")</f>
        <v/>
      </c>
      <c r="L277" s="95">
        <f>IFERROR(VLOOKUP(J277,'11. Cadastro de Serviços'!$A$6:$E$200,3,FALSE),"")</f>
        <v/>
      </c>
      <c r="M277" s="95">
        <f>IFERROR(VLOOKUP(J277,'11. Cadastro de Serviços'!$A$6:$E$200,4,FALSE),"")</f>
        <v/>
      </c>
      <c r="N277" s="95" t="n"/>
      <c r="O277" s="95">
        <f>IF(AND(G277&lt;&gt;"",I277&lt;&gt;"",J277&lt;&gt;"",M277&lt;&gt;""),"Rastreado","Revisar")</f>
        <v/>
      </c>
      <c r="P277" s="96" t="n"/>
    </row>
    <row r="278">
      <c r="A278" s="95" t="n"/>
      <c r="B278" s="96" t="n"/>
      <c r="C278" s="96" t="n"/>
      <c r="D278" s="95" t="n"/>
      <c r="E278" s="96" t="n"/>
      <c r="F278" s="96" t="n"/>
      <c r="G278" s="95">
        <f>IFERROR(VLOOKUP(F278,'12. Contratos_OS'!$A$6:$L$1000,2,FALSE),"")</f>
        <v/>
      </c>
      <c r="H278" s="95">
        <f>IFERROR(VLOOKUP(F278,'12. Contratos_OS'!$A$6:$L$1000,3,FALSE),"")</f>
        <v/>
      </c>
      <c r="I278" s="95">
        <f>IFERROR(VLOOKUP(F278,'12. Contratos_OS'!$A$6:$L$1000,4,FALSE),"")</f>
        <v/>
      </c>
      <c r="J278" s="95">
        <f>IFERROR(VLOOKUP(F278,'12. Contratos_OS'!$A$6:$L$1000,7,FALSE),"")</f>
        <v/>
      </c>
      <c r="K278" s="95">
        <f>IFERROR(VLOOKUP(J278,'11. Cadastro de Serviços'!$A$6:$E$200,2,FALSE),"")</f>
        <v/>
      </c>
      <c r="L278" s="95">
        <f>IFERROR(VLOOKUP(J278,'11. Cadastro de Serviços'!$A$6:$E$200,3,FALSE),"")</f>
        <v/>
      </c>
      <c r="M278" s="95">
        <f>IFERROR(VLOOKUP(J278,'11. Cadastro de Serviços'!$A$6:$E$200,4,FALSE),"")</f>
        <v/>
      </c>
      <c r="N278" s="95" t="n"/>
      <c r="O278" s="95">
        <f>IF(AND(G278&lt;&gt;"",I278&lt;&gt;"",J278&lt;&gt;"",M278&lt;&gt;""),"Rastreado","Revisar")</f>
        <v/>
      </c>
      <c r="P278" s="96" t="n"/>
    </row>
    <row r="279">
      <c r="A279" s="95" t="n"/>
      <c r="B279" s="96" t="n"/>
      <c r="C279" s="96" t="n"/>
      <c r="D279" s="95" t="n"/>
      <c r="E279" s="96" t="n"/>
      <c r="F279" s="96" t="n"/>
      <c r="G279" s="95">
        <f>IFERROR(VLOOKUP(F279,'12. Contratos_OS'!$A$6:$L$1000,2,FALSE),"")</f>
        <v/>
      </c>
      <c r="H279" s="95">
        <f>IFERROR(VLOOKUP(F279,'12. Contratos_OS'!$A$6:$L$1000,3,FALSE),"")</f>
        <v/>
      </c>
      <c r="I279" s="95">
        <f>IFERROR(VLOOKUP(F279,'12. Contratos_OS'!$A$6:$L$1000,4,FALSE),"")</f>
        <v/>
      </c>
      <c r="J279" s="95">
        <f>IFERROR(VLOOKUP(F279,'12. Contratos_OS'!$A$6:$L$1000,7,FALSE),"")</f>
        <v/>
      </c>
      <c r="K279" s="95">
        <f>IFERROR(VLOOKUP(J279,'11. Cadastro de Serviços'!$A$6:$E$200,2,FALSE),"")</f>
        <v/>
      </c>
      <c r="L279" s="95">
        <f>IFERROR(VLOOKUP(J279,'11. Cadastro de Serviços'!$A$6:$E$200,3,FALSE),"")</f>
        <v/>
      </c>
      <c r="M279" s="95">
        <f>IFERROR(VLOOKUP(J279,'11. Cadastro de Serviços'!$A$6:$E$200,4,FALSE),"")</f>
        <v/>
      </c>
      <c r="N279" s="95" t="n"/>
      <c r="O279" s="95">
        <f>IF(AND(G279&lt;&gt;"",I279&lt;&gt;"",J279&lt;&gt;"",M279&lt;&gt;""),"Rastreado","Revisar")</f>
        <v/>
      </c>
      <c r="P279" s="96" t="n"/>
    </row>
    <row r="280">
      <c r="A280" s="95" t="n"/>
      <c r="B280" s="96" t="n"/>
      <c r="C280" s="96" t="n"/>
      <c r="D280" s="95" t="n"/>
      <c r="E280" s="96" t="n"/>
      <c r="F280" s="96" t="n"/>
      <c r="G280" s="95">
        <f>IFERROR(VLOOKUP(F280,'12. Contratos_OS'!$A$6:$L$1000,2,FALSE),"")</f>
        <v/>
      </c>
      <c r="H280" s="95">
        <f>IFERROR(VLOOKUP(F280,'12. Contratos_OS'!$A$6:$L$1000,3,FALSE),"")</f>
        <v/>
      </c>
      <c r="I280" s="95">
        <f>IFERROR(VLOOKUP(F280,'12. Contratos_OS'!$A$6:$L$1000,4,FALSE),"")</f>
        <v/>
      </c>
      <c r="J280" s="95">
        <f>IFERROR(VLOOKUP(F280,'12. Contratos_OS'!$A$6:$L$1000,7,FALSE),"")</f>
        <v/>
      </c>
      <c r="K280" s="95">
        <f>IFERROR(VLOOKUP(J280,'11. Cadastro de Serviços'!$A$6:$E$200,2,FALSE),"")</f>
        <v/>
      </c>
      <c r="L280" s="95">
        <f>IFERROR(VLOOKUP(J280,'11. Cadastro de Serviços'!$A$6:$E$200,3,FALSE),"")</f>
        <v/>
      </c>
      <c r="M280" s="95">
        <f>IFERROR(VLOOKUP(J280,'11. Cadastro de Serviços'!$A$6:$E$200,4,FALSE),"")</f>
        <v/>
      </c>
      <c r="N280" s="95" t="n"/>
      <c r="O280" s="95">
        <f>IF(AND(G280&lt;&gt;"",I280&lt;&gt;"",J280&lt;&gt;"",M280&lt;&gt;""),"Rastreado","Revisar")</f>
        <v/>
      </c>
      <c r="P280" s="96" t="n"/>
    </row>
    <row r="281">
      <c r="A281" s="95" t="n"/>
      <c r="B281" s="96" t="n"/>
      <c r="C281" s="96" t="n"/>
      <c r="D281" s="95" t="n"/>
      <c r="E281" s="96" t="n"/>
      <c r="F281" s="96" t="n"/>
      <c r="G281" s="95">
        <f>IFERROR(VLOOKUP(F281,'12. Contratos_OS'!$A$6:$L$1000,2,FALSE),"")</f>
        <v/>
      </c>
      <c r="H281" s="95">
        <f>IFERROR(VLOOKUP(F281,'12. Contratos_OS'!$A$6:$L$1000,3,FALSE),"")</f>
        <v/>
      </c>
      <c r="I281" s="95">
        <f>IFERROR(VLOOKUP(F281,'12. Contratos_OS'!$A$6:$L$1000,4,FALSE),"")</f>
        <v/>
      </c>
      <c r="J281" s="95">
        <f>IFERROR(VLOOKUP(F281,'12. Contratos_OS'!$A$6:$L$1000,7,FALSE),"")</f>
        <v/>
      </c>
      <c r="K281" s="95">
        <f>IFERROR(VLOOKUP(J281,'11. Cadastro de Serviços'!$A$6:$E$200,2,FALSE),"")</f>
        <v/>
      </c>
      <c r="L281" s="95">
        <f>IFERROR(VLOOKUP(J281,'11. Cadastro de Serviços'!$A$6:$E$200,3,FALSE),"")</f>
        <v/>
      </c>
      <c r="M281" s="95">
        <f>IFERROR(VLOOKUP(J281,'11. Cadastro de Serviços'!$A$6:$E$200,4,FALSE),"")</f>
        <v/>
      </c>
      <c r="N281" s="95" t="n"/>
      <c r="O281" s="95">
        <f>IF(AND(G281&lt;&gt;"",I281&lt;&gt;"",J281&lt;&gt;"",M281&lt;&gt;""),"Rastreado","Revisar")</f>
        <v/>
      </c>
      <c r="P281" s="96" t="n"/>
    </row>
    <row r="282">
      <c r="A282" s="95" t="n"/>
      <c r="B282" s="96" t="n"/>
      <c r="C282" s="96" t="n"/>
      <c r="D282" s="95" t="n"/>
      <c r="E282" s="96" t="n"/>
      <c r="F282" s="96" t="n"/>
      <c r="G282" s="95">
        <f>IFERROR(VLOOKUP(F282,'12. Contratos_OS'!$A$6:$L$1000,2,FALSE),"")</f>
        <v/>
      </c>
      <c r="H282" s="95">
        <f>IFERROR(VLOOKUP(F282,'12. Contratos_OS'!$A$6:$L$1000,3,FALSE),"")</f>
        <v/>
      </c>
      <c r="I282" s="95">
        <f>IFERROR(VLOOKUP(F282,'12. Contratos_OS'!$A$6:$L$1000,4,FALSE),"")</f>
        <v/>
      </c>
      <c r="J282" s="95">
        <f>IFERROR(VLOOKUP(F282,'12. Contratos_OS'!$A$6:$L$1000,7,FALSE),"")</f>
        <v/>
      </c>
      <c r="K282" s="95">
        <f>IFERROR(VLOOKUP(J282,'11. Cadastro de Serviços'!$A$6:$E$200,2,FALSE),"")</f>
        <v/>
      </c>
      <c r="L282" s="95">
        <f>IFERROR(VLOOKUP(J282,'11. Cadastro de Serviços'!$A$6:$E$200,3,FALSE),"")</f>
        <v/>
      </c>
      <c r="M282" s="95">
        <f>IFERROR(VLOOKUP(J282,'11. Cadastro de Serviços'!$A$6:$E$200,4,FALSE),"")</f>
        <v/>
      </c>
      <c r="N282" s="95" t="n"/>
      <c r="O282" s="95">
        <f>IF(AND(G282&lt;&gt;"",I282&lt;&gt;"",J282&lt;&gt;"",M282&lt;&gt;""),"Rastreado","Revisar")</f>
        <v/>
      </c>
      <c r="P282" s="96" t="n"/>
    </row>
    <row r="283">
      <c r="A283" s="95" t="n"/>
      <c r="B283" s="96" t="n"/>
      <c r="C283" s="96" t="n"/>
      <c r="D283" s="95" t="n"/>
      <c r="E283" s="96" t="n"/>
      <c r="F283" s="96" t="n"/>
      <c r="G283" s="95">
        <f>IFERROR(VLOOKUP(F283,'12. Contratos_OS'!$A$6:$L$1000,2,FALSE),"")</f>
        <v/>
      </c>
      <c r="H283" s="95">
        <f>IFERROR(VLOOKUP(F283,'12. Contratos_OS'!$A$6:$L$1000,3,FALSE),"")</f>
        <v/>
      </c>
      <c r="I283" s="95">
        <f>IFERROR(VLOOKUP(F283,'12. Contratos_OS'!$A$6:$L$1000,4,FALSE),"")</f>
        <v/>
      </c>
      <c r="J283" s="95">
        <f>IFERROR(VLOOKUP(F283,'12. Contratos_OS'!$A$6:$L$1000,7,FALSE),"")</f>
        <v/>
      </c>
      <c r="K283" s="95">
        <f>IFERROR(VLOOKUP(J283,'11. Cadastro de Serviços'!$A$6:$E$200,2,FALSE),"")</f>
        <v/>
      </c>
      <c r="L283" s="95">
        <f>IFERROR(VLOOKUP(J283,'11. Cadastro de Serviços'!$A$6:$E$200,3,FALSE),"")</f>
        <v/>
      </c>
      <c r="M283" s="95">
        <f>IFERROR(VLOOKUP(J283,'11. Cadastro de Serviços'!$A$6:$E$200,4,FALSE),"")</f>
        <v/>
      </c>
      <c r="N283" s="95" t="n"/>
      <c r="O283" s="95">
        <f>IF(AND(G283&lt;&gt;"",I283&lt;&gt;"",J283&lt;&gt;"",M283&lt;&gt;""),"Rastreado","Revisar")</f>
        <v/>
      </c>
      <c r="P283" s="96" t="n"/>
    </row>
    <row r="284">
      <c r="A284" s="95" t="n"/>
      <c r="B284" s="96" t="n"/>
      <c r="C284" s="96" t="n"/>
      <c r="D284" s="95" t="n"/>
      <c r="E284" s="96" t="n"/>
      <c r="F284" s="96" t="n"/>
      <c r="G284" s="95">
        <f>IFERROR(VLOOKUP(F284,'12. Contratos_OS'!$A$6:$L$1000,2,FALSE),"")</f>
        <v/>
      </c>
      <c r="H284" s="95">
        <f>IFERROR(VLOOKUP(F284,'12. Contratos_OS'!$A$6:$L$1000,3,FALSE),"")</f>
        <v/>
      </c>
      <c r="I284" s="95">
        <f>IFERROR(VLOOKUP(F284,'12. Contratos_OS'!$A$6:$L$1000,4,FALSE),"")</f>
        <v/>
      </c>
      <c r="J284" s="95">
        <f>IFERROR(VLOOKUP(F284,'12. Contratos_OS'!$A$6:$L$1000,7,FALSE),"")</f>
        <v/>
      </c>
      <c r="K284" s="95">
        <f>IFERROR(VLOOKUP(J284,'11. Cadastro de Serviços'!$A$6:$E$200,2,FALSE),"")</f>
        <v/>
      </c>
      <c r="L284" s="95">
        <f>IFERROR(VLOOKUP(J284,'11. Cadastro de Serviços'!$A$6:$E$200,3,FALSE),"")</f>
        <v/>
      </c>
      <c r="M284" s="95">
        <f>IFERROR(VLOOKUP(J284,'11. Cadastro de Serviços'!$A$6:$E$200,4,FALSE),"")</f>
        <v/>
      </c>
      <c r="N284" s="95" t="n"/>
      <c r="O284" s="95">
        <f>IF(AND(G284&lt;&gt;"",I284&lt;&gt;"",J284&lt;&gt;"",M284&lt;&gt;""),"Rastreado","Revisar")</f>
        <v/>
      </c>
      <c r="P284" s="96" t="n"/>
    </row>
    <row r="285">
      <c r="A285" s="95" t="n"/>
      <c r="B285" s="96" t="n"/>
      <c r="C285" s="96" t="n"/>
      <c r="D285" s="95" t="n"/>
      <c r="E285" s="96" t="n"/>
      <c r="F285" s="96" t="n"/>
      <c r="G285" s="95">
        <f>IFERROR(VLOOKUP(F285,'12. Contratos_OS'!$A$6:$L$1000,2,FALSE),"")</f>
        <v/>
      </c>
      <c r="H285" s="95">
        <f>IFERROR(VLOOKUP(F285,'12. Contratos_OS'!$A$6:$L$1000,3,FALSE),"")</f>
        <v/>
      </c>
      <c r="I285" s="95">
        <f>IFERROR(VLOOKUP(F285,'12. Contratos_OS'!$A$6:$L$1000,4,FALSE),"")</f>
        <v/>
      </c>
      <c r="J285" s="95">
        <f>IFERROR(VLOOKUP(F285,'12. Contratos_OS'!$A$6:$L$1000,7,FALSE),"")</f>
        <v/>
      </c>
      <c r="K285" s="95">
        <f>IFERROR(VLOOKUP(J285,'11. Cadastro de Serviços'!$A$6:$E$200,2,FALSE),"")</f>
        <v/>
      </c>
      <c r="L285" s="95">
        <f>IFERROR(VLOOKUP(J285,'11. Cadastro de Serviços'!$A$6:$E$200,3,FALSE),"")</f>
        <v/>
      </c>
      <c r="M285" s="95">
        <f>IFERROR(VLOOKUP(J285,'11. Cadastro de Serviços'!$A$6:$E$200,4,FALSE),"")</f>
        <v/>
      </c>
      <c r="N285" s="95" t="n"/>
      <c r="O285" s="95">
        <f>IF(AND(G285&lt;&gt;"",I285&lt;&gt;"",J285&lt;&gt;"",M285&lt;&gt;""),"Rastreado","Revisar")</f>
        <v/>
      </c>
      <c r="P285" s="96" t="n"/>
    </row>
    <row r="286">
      <c r="A286" s="95" t="n"/>
      <c r="B286" s="96" t="n"/>
      <c r="C286" s="96" t="n"/>
      <c r="D286" s="95" t="n"/>
      <c r="E286" s="96" t="n"/>
      <c r="F286" s="96" t="n"/>
      <c r="G286" s="95">
        <f>IFERROR(VLOOKUP(F286,'12. Contratos_OS'!$A$6:$L$1000,2,FALSE),"")</f>
        <v/>
      </c>
      <c r="H286" s="95">
        <f>IFERROR(VLOOKUP(F286,'12. Contratos_OS'!$A$6:$L$1000,3,FALSE),"")</f>
        <v/>
      </c>
      <c r="I286" s="95">
        <f>IFERROR(VLOOKUP(F286,'12. Contratos_OS'!$A$6:$L$1000,4,FALSE),"")</f>
        <v/>
      </c>
      <c r="J286" s="95">
        <f>IFERROR(VLOOKUP(F286,'12. Contratos_OS'!$A$6:$L$1000,7,FALSE),"")</f>
        <v/>
      </c>
      <c r="K286" s="95">
        <f>IFERROR(VLOOKUP(J286,'11. Cadastro de Serviços'!$A$6:$E$200,2,FALSE),"")</f>
        <v/>
      </c>
      <c r="L286" s="95">
        <f>IFERROR(VLOOKUP(J286,'11. Cadastro de Serviços'!$A$6:$E$200,3,FALSE),"")</f>
        <v/>
      </c>
      <c r="M286" s="95">
        <f>IFERROR(VLOOKUP(J286,'11. Cadastro de Serviços'!$A$6:$E$200,4,FALSE),"")</f>
        <v/>
      </c>
      <c r="N286" s="95" t="n"/>
      <c r="O286" s="95">
        <f>IF(AND(G286&lt;&gt;"",I286&lt;&gt;"",J286&lt;&gt;"",M286&lt;&gt;""),"Rastreado","Revisar")</f>
        <v/>
      </c>
      <c r="P286" s="96" t="n"/>
    </row>
    <row r="287">
      <c r="A287" s="95" t="n"/>
      <c r="B287" s="96" t="n"/>
      <c r="C287" s="96" t="n"/>
      <c r="D287" s="95" t="n"/>
      <c r="E287" s="96" t="n"/>
      <c r="F287" s="96" t="n"/>
      <c r="G287" s="95">
        <f>IFERROR(VLOOKUP(F287,'12. Contratos_OS'!$A$6:$L$1000,2,FALSE),"")</f>
        <v/>
      </c>
      <c r="H287" s="95">
        <f>IFERROR(VLOOKUP(F287,'12. Contratos_OS'!$A$6:$L$1000,3,FALSE),"")</f>
        <v/>
      </c>
      <c r="I287" s="95">
        <f>IFERROR(VLOOKUP(F287,'12. Contratos_OS'!$A$6:$L$1000,4,FALSE),"")</f>
        <v/>
      </c>
      <c r="J287" s="95">
        <f>IFERROR(VLOOKUP(F287,'12. Contratos_OS'!$A$6:$L$1000,7,FALSE),"")</f>
        <v/>
      </c>
      <c r="K287" s="95">
        <f>IFERROR(VLOOKUP(J287,'11. Cadastro de Serviços'!$A$6:$E$200,2,FALSE),"")</f>
        <v/>
      </c>
      <c r="L287" s="95">
        <f>IFERROR(VLOOKUP(J287,'11. Cadastro de Serviços'!$A$6:$E$200,3,FALSE),"")</f>
        <v/>
      </c>
      <c r="M287" s="95">
        <f>IFERROR(VLOOKUP(J287,'11. Cadastro de Serviços'!$A$6:$E$200,4,FALSE),"")</f>
        <v/>
      </c>
      <c r="N287" s="95" t="n"/>
      <c r="O287" s="95">
        <f>IF(AND(G287&lt;&gt;"",I287&lt;&gt;"",J287&lt;&gt;"",M287&lt;&gt;""),"Rastreado","Revisar")</f>
        <v/>
      </c>
      <c r="P287" s="96" t="n"/>
    </row>
    <row r="288">
      <c r="A288" s="95" t="n"/>
      <c r="B288" s="96" t="n"/>
      <c r="C288" s="96" t="n"/>
      <c r="D288" s="95" t="n"/>
      <c r="E288" s="96" t="n"/>
      <c r="F288" s="96" t="n"/>
      <c r="G288" s="95">
        <f>IFERROR(VLOOKUP(F288,'12. Contratos_OS'!$A$6:$L$1000,2,FALSE),"")</f>
        <v/>
      </c>
      <c r="H288" s="95">
        <f>IFERROR(VLOOKUP(F288,'12. Contratos_OS'!$A$6:$L$1000,3,FALSE),"")</f>
        <v/>
      </c>
      <c r="I288" s="95">
        <f>IFERROR(VLOOKUP(F288,'12. Contratos_OS'!$A$6:$L$1000,4,FALSE),"")</f>
        <v/>
      </c>
      <c r="J288" s="95">
        <f>IFERROR(VLOOKUP(F288,'12. Contratos_OS'!$A$6:$L$1000,7,FALSE),"")</f>
        <v/>
      </c>
      <c r="K288" s="95">
        <f>IFERROR(VLOOKUP(J288,'11. Cadastro de Serviços'!$A$6:$E$200,2,FALSE),"")</f>
        <v/>
      </c>
      <c r="L288" s="95">
        <f>IFERROR(VLOOKUP(J288,'11. Cadastro de Serviços'!$A$6:$E$200,3,FALSE),"")</f>
        <v/>
      </c>
      <c r="M288" s="95">
        <f>IFERROR(VLOOKUP(J288,'11. Cadastro de Serviços'!$A$6:$E$200,4,FALSE),"")</f>
        <v/>
      </c>
      <c r="N288" s="95" t="n"/>
      <c r="O288" s="95">
        <f>IF(AND(G288&lt;&gt;"",I288&lt;&gt;"",J288&lt;&gt;"",M288&lt;&gt;""),"Rastreado","Revisar")</f>
        <v/>
      </c>
      <c r="P288" s="96" t="n"/>
    </row>
    <row r="289">
      <c r="A289" s="95" t="n"/>
      <c r="B289" s="96" t="n"/>
      <c r="C289" s="96" t="n"/>
      <c r="D289" s="95" t="n"/>
      <c r="E289" s="96" t="n"/>
      <c r="F289" s="96" t="n"/>
      <c r="G289" s="95">
        <f>IFERROR(VLOOKUP(F289,'12. Contratos_OS'!$A$6:$L$1000,2,FALSE),"")</f>
        <v/>
      </c>
      <c r="H289" s="95">
        <f>IFERROR(VLOOKUP(F289,'12. Contratos_OS'!$A$6:$L$1000,3,FALSE),"")</f>
        <v/>
      </c>
      <c r="I289" s="95">
        <f>IFERROR(VLOOKUP(F289,'12. Contratos_OS'!$A$6:$L$1000,4,FALSE),"")</f>
        <v/>
      </c>
      <c r="J289" s="95">
        <f>IFERROR(VLOOKUP(F289,'12. Contratos_OS'!$A$6:$L$1000,7,FALSE),"")</f>
        <v/>
      </c>
      <c r="K289" s="95">
        <f>IFERROR(VLOOKUP(J289,'11. Cadastro de Serviços'!$A$6:$E$200,2,FALSE),"")</f>
        <v/>
      </c>
      <c r="L289" s="95">
        <f>IFERROR(VLOOKUP(J289,'11. Cadastro de Serviços'!$A$6:$E$200,3,FALSE),"")</f>
        <v/>
      </c>
      <c r="M289" s="95">
        <f>IFERROR(VLOOKUP(J289,'11. Cadastro de Serviços'!$A$6:$E$200,4,FALSE),"")</f>
        <v/>
      </c>
      <c r="N289" s="95" t="n"/>
      <c r="O289" s="95">
        <f>IF(AND(G289&lt;&gt;"",I289&lt;&gt;"",J289&lt;&gt;"",M289&lt;&gt;""),"Rastreado","Revisar")</f>
        <v/>
      </c>
      <c r="P289" s="96" t="n"/>
    </row>
    <row r="290">
      <c r="A290" s="95" t="n"/>
      <c r="B290" s="96" t="n"/>
      <c r="C290" s="96" t="n"/>
      <c r="D290" s="95" t="n"/>
      <c r="E290" s="96" t="n"/>
      <c r="F290" s="96" t="n"/>
      <c r="G290" s="95">
        <f>IFERROR(VLOOKUP(F290,'12. Contratos_OS'!$A$6:$L$1000,2,FALSE),"")</f>
        <v/>
      </c>
      <c r="H290" s="95">
        <f>IFERROR(VLOOKUP(F290,'12. Contratos_OS'!$A$6:$L$1000,3,FALSE),"")</f>
        <v/>
      </c>
      <c r="I290" s="95">
        <f>IFERROR(VLOOKUP(F290,'12. Contratos_OS'!$A$6:$L$1000,4,FALSE),"")</f>
        <v/>
      </c>
      <c r="J290" s="95">
        <f>IFERROR(VLOOKUP(F290,'12. Contratos_OS'!$A$6:$L$1000,7,FALSE),"")</f>
        <v/>
      </c>
      <c r="K290" s="95">
        <f>IFERROR(VLOOKUP(J290,'11. Cadastro de Serviços'!$A$6:$E$200,2,FALSE),"")</f>
        <v/>
      </c>
      <c r="L290" s="95">
        <f>IFERROR(VLOOKUP(J290,'11. Cadastro de Serviços'!$A$6:$E$200,3,FALSE),"")</f>
        <v/>
      </c>
      <c r="M290" s="95">
        <f>IFERROR(VLOOKUP(J290,'11. Cadastro de Serviços'!$A$6:$E$200,4,FALSE),"")</f>
        <v/>
      </c>
      <c r="N290" s="95" t="n"/>
      <c r="O290" s="95">
        <f>IF(AND(G290&lt;&gt;"",I290&lt;&gt;"",J290&lt;&gt;"",M290&lt;&gt;""),"Rastreado","Revisar")</f>
        <v/>
      </c>
      <c r="P290" s="96" t="n"/>
    </row>
    <row r="291">
      <c r="A291" s="95" t="n"/>
      <c r="B291" s="96" t="n"/>
      <c r="C291" s="96" t="n"/>
      <c r="D291" s="95" t="n"/>
      <c r="E291" s="96" t="n"/>
      <c r="F291" s="96" t="n"/>
      <c r="G291" s="95">
        <f>IFERROR(VLOOKUP(F291,'12. Contratos_OS'!$A$6:$L$1000,2,FALSE),"")</f>
        <v/>
      </c>
      <c r="H291" s="95">
        <f>IFERROR(VLOOKUP(F291,'12. Contratos_OS'!$A$6:$L$1000,3,FALSE),"")</f>
        <v/>
      </c>
      <c r="I291" s="95">
        <f>IFERROR(VLOOKUP(F291,'12. Contratos_OS'!$A$6:$L$1000,4,FALSE),"")</f>
        <v/>
      </c>
      <c r="J291" s="95">
        <f>IFERROR(VLOOKUP(F291,'12. Contratos_OS'!$A$6:$L$1000,7,FALSE),"")</f>
        <v/>
      </c>
      <c r="K291" s="95">
        <f>IFERROR(VLOOKUP(J291,'11. Cadastro de Serviços'!$A$6:$E$200,2,FALSE),"")</f>
        <v/>
      </c>
      <c r="L291" s="95">
        <f>IFERROR(VLOOKUP(J291,'11. Cadastro de Serviços'!$A$6:$E$200,3,FALSE),"")</f>
        <v/>
      </c>
      <c r="M291" s="95">
        <f>IFERROR(VLOOKUP(J291,'11. Cadastro de Serviços'!$A$6:$E$200,4,FALSE),"")</f>
        <v/>
      </c>
      <c r="N291" s="95" t="n"/>
      <c r="O291" s="95">
        <f>IF(AND(G291&lt;&gt;"",I291&lt;&gt;"",J291&lt;&gt;"",M291&lt;&gt;""),"Rastreado","Revisar")</f>
        <v/>
      </c>
      <c r="P291" s="96" t="n"/>
    </row>
    <row r="292">
      <c r="A292" s="95" t="n"/>
      <c r="B292" s="96" t="n"/>
      <c r="C292" s="96" t="n"/>
      <c r="D292" s="95" t="n"/>
      <c r="E292" s="96" t="n"/>
      <c r="F292" s="96" t="n"/>
      <c r="G292" s="95">
        <f>IFERROR(VLOOKUP(F292,'12. Contratos_OS'!$A$6:$L$1000,2,FALSE),"")</f>
        <v/>
      </c>
      <c r="H292" s="95">
        <f>IFERROR(VLOOKUP(F292,'12. Contratos_OS'!$A$6:$L$1000,3,FALSE),"")</f>
        <v/>
      </c>
      <c r="I292" s="95">
        <f>IFERROR(VLOOKUP(F292,'12. Contratos_OS'!$A$6:$L$1000,4,FALSE),"")</f>
        <v/>
      </c>
      <c r="J292" s="95">
        <f>IFERROR(VLOOKUP(F292,'12. Contratos_OS'!$A$6:$L$1000,7,FALSE),"")</f>
        <v/>
      </c>
      <c r="K292" s="95">
        <f>IFERROR(VLOOKUP(J292,'11. Cadastro de Serviços'!$A$6:$E$200,2,FALSE),"")</f>
        <v/>
      </c>
      <c r="L292" s="95">
        <f>IFERROR(VLOOKUP(J292,'11. Cadastro de Serviços'!$A$6:$E$200,3,FALSE),"")</f>
        <v/>
      </c>
      <c r="M292" s="95">
        <f>IFERROR(VLOOKUP(J292,'11. Cadastro de Serviços'!$A$6:$E$200,4,FALSE),"")</f>
        <v/>
      </c>
      <c r="N292" s="95" t="n"/>
      <c r="O292" s="95">
        <f>IF(AND(G292&lt;&gt;"",I292&lt;&gt;"",J292&lt;&gt;"",M292&lt;&gt;""),"Rastreado","Revisar")</f>
        <v/>
      </c>
      <c r="P292" s="96" t="n"/>
    </row>
    <row r="293">
      <c r="A293" s="95" t="n"/>
      <c r="B293" s="96" t="n"/>
      <c r="C293" s="96" t="n"/>
      <c r="D293" s="95" t="n"/>
      <c r="E293" s="96" t="n"/>
      <c r="F293" s="96" t="n"/>
      <c r="G293" s="95">
        <f>IFERROR(VLOOKUP(F293,'12. Contratos_OS'!$A$6:$L$1000,2,FALSE),"")</f>
        <v/>
      </c>
      <c r="H293" s="95">
        <f>IFERROR(VLOOKUP(F293,'12. Contratos_OS'!$A$6:$L$1000,3,FALSE),"")</f>
        <v/>
      </c>
      <c r="I293" s="95">
        <f>IFERROR(VLOOKUP(F293,'12. Contratos_OS'!$A$6:$L$1000,4,FALSE),"")</f>
        <v/>
      </c>
      <c r="J293" s="95">
        <f>IFERROR(VLOOKUP(F293,'12. Contratos_OS'!$A$6:$L$1000,7,FALSE),"")</f>
        <v/>
      </c>
      <c r="K293" s="95">
        <f>IFERROR(VLOOKUP(J293,'11. Cadastro de Serviços'!$A$6:$E$200,2,FALSE),"")</f>
        <v/>
      </c>
      <c r="L293" s="95">
        <f>IFERROR(VLOOKUP(J293,'11. Cadastro de Serviços'!$A$6:$E$200,3,FALSE),"")</f>
        <v/>
      </c>
      <c r="M293" s="95">
        <f>IFERROR(VLOOKUP(J293,'11. Cadastro de Serviços'!$A$6:$E$200,4,FALSE),"")</f>
        <v/>
      </c>
      <c r="N293" s="95" t="n"/>
      <c r="O293" s="95">
        <f>IF(AND(G293&lt;&gt;"",I293&lt;&gt;"",J293&lt;&gt;"",M293&lt;&gt;""),"Rastreado","Revisar")</f>
        <v/>
      </c>
      <c r="P293" s="96" t="n"/>
    </row>
    <row r="294">
      <c r="A294" s="95" t="n"/>
      <c r="B294" s="96" t="n"/>
      <c r="C294" s="96" t="n"/>
      <c r="D294" s="95" t="n"/>
      <c r="E294" s="96" t="n"/>
      <c r="F294" s="96" t="n"/>
      <c r="G294" s="95">
        <f>IFERROR(VLOOKUP(F294,'12. Contratos_OS'!$A$6:$L$1000,2,FALSE),"")</f>
        <v/>
      </c>
      <c r="H294" s="95">
        <f>IFERROR(VLOOKUP(F294,'12. Contratos_OS'!$A$6:$L$1000,3,FALSE),"")</f>
        <v/>
      </c>
      <c r="I294" s="95">
        <f>IFERROR(VLOOKUP(F294,'12. Contratos_OS'!$A$6:$L$1000,4,FALSE),"")</f>
        <v/>
      </c>
      <c r="J294" s="95">
        <f>IFERROR(VLOOKUP(F294,'12. Contratos_OS'!$A$6:$L$1000,7,FALSE),"")</f>
        <v/>
      </c>
      <c r="K294" s="95">
        <f>IFERROR(VLOOKUP(J294,'11. Cadastro de Serviços'!$A$6:$E$200,2,FALSE),"")</f>
        <v/>
      </c>
      <c r="L294" s="95">
        <f>IFERROR(VLOOKUP(J294,'11. Cadastro de Serviços'!$A$6:$E$200,3,FALSE),"")</f>
        <v/>
      </c>
      <c r="M294" s="95">
        <f>IFERROR(VLOOKUP(J294,'11. Cadastro de Serviços'!$A$6:$E$200,4,FALSE),"")</f>
        <v/>
      </c>
      <c r="N294" s="95" t="n"/>
      <c r="O294" s="95">
        <f>IF(AND(G294&lt;&gt;"",I294&lt;&gt;"",J294&lt;&gt;"",M294&lt;&gt;""),"Rastreado","Revisar")</f>
        <v/>
      </c>
      <c r="P294" s="96" t="n"/>
    </row>
    <row r="295">
      <c r="A295" s="95" t="n"/>
      <c r="B295" s="96" t="n"/>
      <c r="C295" s="96" t="n"/>
      <c r="D295" s="95" t="n"/>
      <c r="E295" s="96" t="n"/>
      <c r="F295" s="96" t="n"/>
      <c r="G295" s="95">
        <f>IFERROR(VLOOKUP(F295,'12. Contratos_OS'!$A$6:$L$1000,2,FALSE),"")</f>
        <v/>
      </c>
      <c r="H295" s="95">
        <f>IFERROR(VLOOKUP(F295,'12. Contratos_OS'!$A$6:$L$1000,3,FALSE),"")</f>
        <v/>
      </c>
      <c r="I295" s="95">
        <f>IFERROR(VLOOKUP(F295,'12. Contratos_OS'!$A$6:$L$1000,4,FALSE),"")</f>
        <v/>
      </c>
      <c r="J295" s="95">
        <f>IFERROR(VLOOKUP(F295,'12. Contratos_OS'!$A$6:$L$1000,7,FALSE),"")</f>
        <v/>
      </c>
      <c r="K295" s="95">
        <f>IFERROR(VLOOKUP(J295,'11. Cadastro de Serviços'!$A$6:$E$200,2,FALSE),"")</f>
        <v/>
      </c>
      <c r="L295" s="95">
        <f>IFERROR(VLOOKUP(J295,'11. Cadastro de Serviços'!$A$6:$E$200,3,FALSE),"")</f>
        <v/>
      </c>
      <c r="M295" s="95">
        <f>IFERROR(VLOOKUP(J295,'11. Cadastro de Serviços'!$A$6:$E$200,4,FALSE),"")</f>
        <v/>
      </c>
      <c r="N295" s="95" t="n"/>
      <c r="O295" s="95">
        <f>IF(AND(G295&lt;&gt;"",I295&lt;&gt;"",J295&lt;&gt;"",M295&lt;&gt;""),"Rastreado","Revisar")</f>
        <v/>
      </c>
      <c r="P295" s="96" t="n"/>
    </row>
    <row r="296">
      <c r="A296" s="95" t="n"/>
      <c r="B296" s="96" t="n"/>
      <c r="C296" s="96" t="n"/>
      <c r="D296" s="95" t="n"/>
      <c r="E296" s="96" t="n"/>
      <c r="F296" s="96" t="n"/>
      <c r="G296" s="95">
        <f>IFERROR(VLOOKUP(F296,'12. Contratos_OS'!$A$6:$L$1000,2,FALSE),"")</f>
        <v/>
      </c>
      <c r="H296" s="95">
        <f>IFERROR(VLOOKUP(F296,'12. Contratos_OS'!$A$6:$L$1000,3,FALSE),"")</f>
        <v/>
      </c>
      <c r="I296" s="95">
        <f>IFERROR(VLOOKUP(F296,'12. Contratos_OS'!$A$6:$L$1000,4,FALSE),"")</f>
        <v/>
      </c>
      <c r="J296" s="95">
        <f>IFERROR(VLOOKUP(F296,'12. Contratos_OS'!$A$6:$L$1000,7,FALSE),"")</f>
        <v/>
      </c>
      <c r="K296" s="95">
        <f>IFERROR(VLOOKUP(J296,'11. Cadastro de Serviços'!$A$6:$E$200,2,FALSE),"")</f>
        <v/>
      </c>
      <c r="L296" s="95">
        <f>IFERROR(VLOOKUP(J296,'11. Cadastro de Serviços'!$A$6:$E$200,3,FALSE),"")</f>
        <v/>
      </c>
      <c r="M296" s="95">
        <f>IFERROR(VLOOKUP(J296,'11. Cadastro de Serviços'!$A$6:$E$200,4,FALSE),"")</f>
        <v/>
      </c>
      <c r="N296" s="95" t="n"/>
      <c r="O296" s="95">
        <f>IF(AND(G296&lt;&gt;"",I296&lt;&gt;"",J296&lt;&gt;"",M296&lt;&gt;""),"Rastreado","Revisar")</f>
        <v/>
      </c>
      <c r="P296" s="96" t="n"/>
    </row>
    <row r="297">
      <c r="A297" s="95" t="n"/>
      <c r="B297" s="96" t="n"/>
      <c r="C297" s="96" t="n"/>
      <c r="D297" s="95" t="n"/>
      <c r="E297" s="96" t="n"/>
      <c r="F297" s="96" t="n"/>
      <c r="G297" s="95">
        <f>IFERROR(VLOOKUP(F297,'12. Contratos_OS'!$A$6:$L$1000,2,FALSE),"")</f>
        <v/>
      </c>
      <c r="H297" s="95">
        <f>IFERROR(VLOOKUP(F297,'12. Contratos_OS'!$A$6:$L$1000,3,FALSE),"")</f>
        <v/>
      </c>
      <c r="I297" s="95">
        <f>IFERROR(VLOOKUP(F297,'12. Contratos_OS'!$A$6:$L$1000,4,FALSE),"")</f>
        <v/>
      </c>
      <c r="J297" s="95">
        <f>IFERROR(VLOOKUP(F297,'12. Contratos_OS'!$A$6:$L$1000,7,FALSE),"")</f>
        <v/>
      </c>
      <c r="K297" s="95">
        <f>IFERROR(VLOOKUP(J297,'11. Cadastro de Serviços'!$A$6:$E$200,2,FALSE),"")</f>
        <v/>
      </c>
      <c r="L297" s="95">
        <f>IFERROR(VLOOKUP(J297,'11. Cadastro de Serviços'!$A$6:$E$200,3,FALSE),"")</f>
        <v/>
      </c>
      <c r="M297" s="95">
        <f>IFERROR(VLOOKUP(J297,'11. Cadastro de Serviços'!$A$6:$E$200,4,FALSE),"")</f>
        <v/>
      </c>
      <c r="N297" s="95" t="n"/>
      <c r="O297" s="95">
        <f>IF(AND(G297&lt;&gt;"",I297&lt;&gt;"",J297&lt;&gt;"",M297&lt;&gt;""),"Rastreado","Revisar")</f>
        <v/>
      </c>
      <c r="P297" s="96" t="n"/>
    </row>
    <row r="298">
      <c r="A298" s="95" t="n"/>
      <c r="B298" s="96" t="n"/>
      <c r="C298" s="96" t="n"/>
      <c r="D298" s="95" t="n"/>
      <c r="E298" s="96" t="n"/>
      <c r="F298" s="96" t="n"/>
      <c r="G298" s="95">
        <f>IFERROR(VLOOKUP(F298,'12. Contratos_OS'!$A$6:$L$1000,2,FALSE),"")</f>
        <v/>
      </c>
      <c r="H298" s="95">
        <f>IFERROR(VLOOKUP(F298,'12. Contratos_OS'!$A$6:$L$1000,3,FALSE),"")</f>
        <v/>
      </c>
      <c r="I298" s="95">
        <f>IFERROR(VLOOKUP(F298,'12. Contratos_OS'!$A$6:$L$1000,4,FALSE),"")</f>
        <v/>
      </c>
      <c r="J298" s="95">
        <f>IFERROR(VLOOKUP(F298,'12. Contratos_OS'!$A$6:$L$1000,7,FALSE),"")</f>
        <v/>
      </c>
      <c r="K298" s="95">
        <f>IFERROR(VLOOKUP(J298,'11. Cadastro de Serviços'!$A$6:$E$200,2,FALSE),"")</f>
        <v/>
      </c>
      <c r="L298" s="95">
        <f>IFERROR(VLOOKUP(J298,'11. Cadastro de Serviços'!$A$6:$E$200,3,FALSE),"")</f>
        <v/>
      </c>
      <c r="M298" s="95">
        <f>IFERROR(VLOOKUP(J298,'11. Cadastro de Serviços'!$A$6:$E$200,4,FALSE),"")</f>
        <v/>
      </c>
      <c r="N298" s="95" t="n"/>
      <c r="O298" s="95">
        <f>IF(AND(G298&lt;&gt;"",I298&lt;&gt;"",J298&lt;&gt;"",M298&lt;&gt;""),"Rastreado","Revisar")</f>
        <v/>
      </c>
      <c r="P298" s="96" t="n"/>
    </row>
    <row r="299">
      <c r="A299" s="95" t="n"/>
      <c r="B299" s="96" t="n"/>
      <c r="C299" s="96" t="n"/>
      <c r="D299" s="95" t="n"/>
      <c r="E299" s="96" t="n"/>
      <c r="F299" s="96" t="n"/>
      <c r="G299" s="95">
        <f>IFERROR(VLOOKUP(F299,'12. Contratos_OS'!$A$6:$L$1000,2,FALSE),"")</f>
        <v/>
      </c>
      <c r="H299" s="95">
        <f>IFERROR(VLOOKUP(F299,'12. Contratos_OS'!$A$6:$L$1000,3,FALSE),"")</f>
        <v/>
      </c>
      <c r="I299" s="95">
        <f>IFERROR(VLOOKUP(F299,'12. Contratos_OS'!$A$6:$L$1000,4,FALSE),"")</f>
        <v/>
      </c>
      <c r="J299" s="95">
        <f>IFERROR(VLOOKUP(F299,'12. Contratos_OS'!$A$6:$L$1000,7,FALSE),"")</f>
        <v/>
      </c>
      <c r="K299" s="95">
        <f>IFERROR(VLOOKUP(J299,'11. Cadastro de Serviços'!$A$6:$E$200,2,FALSE),"")</f>
        <v/>
      </c>
      <c r="L299" s="95">
        <f>IFERROR(VLOOKUP(J299,'11. Cadastro de Serviços'!$A$6:$E$200,3,FALSE),"")</f>
        <v/>
      </c>
      <c r="M299" s="95">
        <f>IFERROR(VLOOKUP(J299,'11. Cadastro de Serviços'!$A$6:$E$200,4,FALSE),"")</f>
        <v/>
      </c>
      <c r="N299" s="95" t="n"/>
      <c r="O299" s="95">
        <f>IF(AND(G299&lt;&gt;"",I299&lt;&gt;"",J299&lt;&gt;"",M299&lt;&gt;""),"Rastreado","Revisar")</f>
        <v/>
      </c>
      <c r="P299" s="96" t="n"/>
    </row>
    <row r="300">
      <c r="A300" s="95" t="n"/>
      <c r="B300" s="96" t="n"/>
      <c r="C300" s="96" t="n"/>
      <c r="D300" s="95" t="n"/>
      <c r="E300" s="96" t="n"/>
      <c r="F300" s="96" t="n"/>
      <c r="G300" s="95">
        <f>IFERROR(VLOOKUP(F300,'12. Contratos_OS'!$A$6:$L$1000,2,FALSE),"")</f>
        <v/>
      </c>
      <c r="H300" s="95">
        <f>IFERROR(VLOOKUP(F300,'12. Contratos_OS'!$A$6:$L$1000,3,FALSE),"")</f>
        <v/>
      </c>
      <c r="I300" s="95">
        <f>IFERROR(VLOOKUP(F300,'12. Contratos_OS'!$A$6:$L$1000,4,FALSE),"")</f>
        <v/>
      </c>
      <c r="J300" s="95">
        <f>IFERROR(VLOOKUP(F300,'12. Contratos_OS'!$A$6:$L$1000,7,FALSE),"")</f>
        <v/>
      </c>
      <c r="K300" s="95">
        <f>IFERROR(VLOOKUP(J300,'11. Cadastro de Serviços'!$A$6:$E$200,2,FALSE),"")</f>
        <v/>
      </c>
      <c r="L300" s="95">
        <f>IFERROR(VLOOKUP(J300,'11. Cadastro de Serviços'!$A$6:$E$200,3,FALSE),"")</f>
        <v/>
      </c>
      <c r="M300" s="95">
        <f>IFERROR(VLOOKUP(J300,'11. Cadastro de Serviços'!$A$6:$E$200,4,FALSE),"")</f>
        <v/>
      </c>
      <c r="N300" s="95" t="n"/>
      <c r="O300" s="95">
        <f>IF(AND(G300&lt;&gt;"",I300&lt;&gt;"",J300&lt;&gt;"",M300&lt;&gt;""),"Rastreado","Revisar")</f>
        <v/>
      </c>
      <c r="P300" s="96" t="n"/>
    </row>
    <row r="301">
      <c r="A301" s="95" t="n"/>
      <c r="B301" s="96" t="n"/>
      <c r="C301" s="96" t="n"/>
      <c r="D301" s="95" t="n"/>
      <c r="E301" s="96" t="n"/>
      <c r="F301" s="96" t="n"/>
      <c r="G301" s="95">
        <f>IFERROR(VLOOKUP(F301,'12. Contratos_OS'!$A$6:$L$1000,2,FALSE),"")</f>
        <v/>
      </c>
      <c r="H301" s="95">
        <f>IFERROR(VLOOKUP(F301,'12. Contratos_OS'!$A$6:$L$1000,3,FALSE),"")</f>
        <v/>
      </c>
      <c r="I301" s="95">
        <f>IFERROR(VLOOKUP(F301,'12. Contratos_OS'!$A$6:$L$1000,4,FALSE),"")</f>
        <v/>
      </c>
      <c r="J301" s="95">
        <f>IFERROR(VLOOKUP(F301,'12. Contratos_OS'!$A$6:$L$1000,7,FALSE),"")</f>
        <v/>
      </c>
      <c r="K301" s="95">
        <f>IFERROR(VLOOKUP(J301,'11. Cadastro de Serviços'!$A$6:$E$200,2,FALSE),"")</f>
        <v/>
      </c>
      <c r="L301" s="95">
        <f>IFERROR(VLOOKUP(J301,'11. Cadastro de Serviços'!$A$6:$E$200,3,FALSE),"")</f>
        <v/>
      </c>
      <c r="M301" s="95">
        <f>IFERROR(VLOOKUP(J301,'11. Cadastro de Serviços'!$A$6:$E$200,4,FALSE),"")</f>
        <v/>
      </c>
      <c r="N301" s="95" t="n"/>
      <c r="O301" s="95">
        <f>IF(AND(G301&lt;&gt;"",I301&lt;&gt;"",J301&lt;&gt;"",M301&lt;&gt;""),"Rastreado","Revisar")</f>
        <v/>
      </c>
      <c r="P301" s="96" t="n"/>
    </row>
    <row r="302">
      <c r="A302" s="95" t="n"/>
      <c r="B302" s="96" t="n"/>
      <c r="C302" s="96" t="n"/>
      <c r="D302" s="95" t="n"/>
      <c r="E302" s="96" t="n"/>
      <c r="F302" s="96" t="n"/>
      <c r="G302" s="95">
        <f>IFERROR(VLOOKUP(F302,'12. Contratos_OS'!$A$6:$L$1000,2,FALSE),"")</f>
        <v/>
      </c>
      <c r="H302" s="95">
        <f>IFERROR(VLOOKUP(F302,'12. Contratos_OS'!$A$6:$L$1000,3,FALSE),"")</f>
        <v/>
      </c>
      <c r="I302" s="95">
        <f>IFERROR(VLOOKUP(F302,'12. Contratos_OS'!$A$6:$L$1000,4,FALSE),"")</f>
        <v/>
      </c>
      <c r="J302" s="95">
        <f>IFERROR(VLOOKUP(F302,'12. Contratos_OS'!$A$6:$L$1000,7,FALSE),"")</f>
        <v/>
      </c>
      <c r="K302" s="95">
        <f>IFERROR(VLOOKUP(J302,'11. Cadastro de Serviços'!$A$6:$E$200,2,FALSE),"")</f>
        <v/>
      </c>
      <c r="L302" s="95">
        <f>IFERROR(VLOOKUP(J302,'11. Cadastro de Serviços'!$A$6:$E$200,3,FALSE),"")</f>
        <v/>
      </c>
      <c r="M302" s="95">
        <f>IFERROR(VLOOKUP(J302,'11. Cadastro de Serviços'!$A$6:$E$200,4,FALSE),"")</f>
        <v/>
      </c>
      <c r="N302" s="95" t="n"/>
      <c r="O302" s="95">
        <f>IF(AND(G302&lt;&gt;"",I302&lt;&gt;"",J302&lt;&gt;"",M302&lt;&gt;""),"Rastreado","Revisar")</f>
        <v/>
      </c>
      <c r="P302" s="96" t="n"/>
    </row>
    <row r="303">
      <c r="A303" s="95" t="n"/>
      <c r="B303" s="96" t="n"/>
      <c r="C303" s="96" t="n"/>
      <c r="D303" s="95" t="n"/>
      <c r="E303" s="96" t="n"/>
      <c r="F303" s="96" t="n"/>
      <c r="G303" s="95">
        <f>IFERROR(VLOOKUP(F303,'12. Contratos_OS'!$A$6:$L$1000,2,FALSE),"")</f>
        <v/>
      </c>
      <c r="H303" s="95">
        <f>IFERROR(VLOOKUP(F303,'12. Contratos_OS'!$A$6:$L$1000,3,FALSE),"")</f>
        <v/>
      </c>
      <c r="I303" s="95">
        <f>IFERROR(VLOOKUP(F303,'12. Contratos_OS'!$A$6:$L$1000,4,FALSE),"")</f>
        <v/>
      </c>
      <c r="J303" s="95">
        <f>IFERROR(VLOOKUP(F303,'12. Contratos_OS'!$A$6:$L$1000,7,FALSE),"")</f>
        <v/>
      </c>
      <c r="K303" s="95">
        <f>IFERROR(VLOOKUP(J303,'11. Cadastro de Serviços'!$A$6:$E$200,2,FALSE),"")</f>
        <v/>
      </c>
      <c r="L303" s="95">
        <f>IFERROR(VLOOKUP(J303,'11. Cadastro de Serviços'!$A$6:$E$200,3,FALSE),"")</f>
        <v/>
      </c>
      <c r="M303" s="95">
        <f>IFERROR(VLOOKUP(J303,'11. Cadastro de Serviços'!$A$6:$E$200,4,FALSE),"")</f>
        <v/>
      </c>
      <c r="N303" s="95" t="n"/>
      <c r="O303" s="95">
        <f>IF(AND(G303&lt;&gt;"",I303&lt;&gt;"",J303&lt;&gt;"",M303&lt;&gt;""),"Rastreado","Revisar")</f>
        <v/>
      </c>
      <c r="P303" s="96" t="n"/>
    </row>
    <row r="304">
      <c r="A304" s="95" t="n"/>
      <c r="B304" s="96" t="n"/>
      <c r="C304" s="96" t="n"/>
      <c r="D304" s="95" t="n"/>
      <c r="E304" s="96" t="n"/>
      <c r="F304" s="96" t="n"/>
      <c r="G304" s="95">
        <f>IFERROR(VLOOKUP(F304,'12. Contratos_OS'!$A$6:$L$1000,2,FALSE),"")</f>
        <v/>
      </c>
      <c r="H304" s="95">
        <f>IFERROR(VLOOKUP(F304,'12. Contratos_OS'!$A$6:$L$1000,3,FALSE),"")</f>
        <v/>
      </c>
      <c r="I304" s="95">
        <f>IFERROR(VLOOKUP(F304,'12. Contratos_OS'!$A$6:$L$1000,4,FALSE),"")</f>
        <v/>
      </c>
      <c r="J304" s="95">
        <f>IFERROR(VLOOKUP(F304,'12. Contratos_OS'!$A$6:$L$1000,7,FALSE),"")</f>
        <v/>
      </c>
      <c r="K304" s="95">
        <f>IFERROR(VLOOKUP(J304,'11. Cadastro de Serviços'!$A$6:$E$200,2,FALSE),"")</f>
        <v/>
      </c>
      <c r="L304" s="95">
        <f>IFERROR(VLOOKUP(J304,'11. Cadastro de Serviços'!$A$6:$E$200,3,FALSE),"")</f>
        <v/>
      </c>
      <c r="M304" s="95">
        <f>IFERROR(VLOOKUP(J304,'11. Cadastro de Serviços'!$A$6:$E$200,4,FALSE),"")</f>
        <v/>
      </c>
      <c r="N304" s="95" t="n"/>
      <c r="O304" s="95">
        <f>IF(AND(G304&lt;&gt;"",I304&lt;&gt;"",J304&lt;&gt;"",M304&lt;&gt;""),"Rastreado","Revisar")</f>
        <v/>
      </c>
      <c r="P304" s="96" t="n"/>
    </row>
    <row r="305">
      <c r="A305" s="95" t="n"/>
      <c r="B305" s="96" t="n"/>
      <c r="C305" s="96" t="n"/>
      <c r="D305" s="95" t="n"/>
      <c r="E305" s="96" t="n"/>
      <c r="F305" s="96" t="n"/>
      <c r="G305" s="95">
        <f>IFERROR(VLOOKUP(F305,'12. Contratos_OS'!$A$6:$L$1000,2,FALSE),"")</f>
        <v/>
      </c>
      <c r="H305" s="95">
        <f>IFERROR(VLOOKUP(F305,'12. Contratos_OS'!$A$6:$L$1000,3,FALSE),"")</f>
        <v/>
      </c>
      <c r="I305" s="95">
        <f>IFERROR(VLOOKUP(F305,'12. Contratos_OS'!$A$6:$L$1000,4,FALSE),"")</f>
        <v/>
      </c>
      <c r="J305" s="95">
        <f>IFERROR(VLOOKUP(F305,'12. Contratos_OS'!$A$6:$L$1000,7,FALSE),"")</f>
        <v/>
      </c>
      <c r="K305" s="95">
        <f>IFERROR(VLOOKUP(J305,'11. Cadastro de Serviços'!$A$6:$E$200,2,FALSE),"")</f>
        <v/>
      </c>
      <c r="L305" s="95">
        <f>IFERROR(VLOOKUP(J305,'11. Cadastro de Serviços'!$A$6:$E$200,3,FALSE),"")</f>
        <v/>
      </c>
      <c r="M305" s="95">
        <f>IFERROR(VLOOKUP(J305,'11. Cadastro de Serviços'!$A$6:$E$200,4,FALSE),"")</f>
        <v/>
      </c>
      <c r="N305" s="95" t="n"/>
      <c r="O305" s="95">
        <f>IF(AND(G305&lt;&gt;"",I305&lt;&gt;"",J305&lt;&gt;"",M305&lt;&gt;""),"Rastreado","Revisar")</f>
        <v/>
      </c>
      <c r="P305" s="96" t="n"/>
    </row>
    <row r="306">
      <c r="A306" s="95" t="n"/>
      <c r="B306" s="96" t="n"/>
      <c r="C306" s="96" t="n"/>
      <c r="D306" s="95" t="n"/>
      <c r="E306" s="96" t="n"/>
      <c r="F306" s="96" t="n"/>
      <c r="G306" s="95">
        <f>IFERROR(VLOOKUP(F306,'12. Contratos_OS'!$A$6:$L$1000,2,FALSE),"")</f>
        <v/>
      </c>
      <c r="H306" s="95">
        <f>IFERROR(VLOOKUP(F306,'12. Contratos_OS'!$A$6:$L$1000,3,FALSE),"")</f>
        <v/>
      </c>
      <c r="I306" s="95">
        <f>IFERROR(VLOOKUP(F306,'12. Contratos_OS'!$A$6:$L$1000,4,FALSE),"")</f>
        <v/>
      </c>
      <c r="J306" s="95">
        <f>IFERROR(VLOOKUP(F306,'12. Contratos_OS'!$A$6:$L$1000,7,FALSE),"")</f>
        <v/>
      </c>
      <c r="K306" s="95">
        <f>IFERROR(VLOOKUP(J306,'11. Cadastro de Serviços'!$A$6:$E$200,2,FALSE),"")</f>
        <v/>
      </c>
      <c r="L306" s="95">
        <f>IFERROR(VLOOKUP(J306,'11. Cadastro de Serviços'!$A$6:$E$200,3,FALSE),"")</f>
        <v/>
      </c>
      <c r="M306" s="95">
        <f>IFERROR(VLOOKUP(J306,'11. Cadastro de Serviços'!$A$6:$E$200,4,FALSE),"")</f>
        <v/>
      </c>
      <c r="N306" s="95" t="n"/>
      <c r="O306" s="95">
        <f>IF(AND(G306&lt;&gt;"",I306&lt;&gt;"",J306&lt;&gt;"",M306&lt;&gt;""),"Rastreado","Revisar")</f>
        <v/>
      </c>
      <c r="P306" s="96" t="n"/>
    </row>
    <row r="307">
      <c r="A307" s="95" t="n"/>
      <c r="B307" s="96" t="n"/>
      <c r="C307" s="96" t="n"/>
      <c r="D307" s="95" t="n"/>
      <c r="E307" s="96" t="n"/>
      <c r="F307" s="96" t="n"/>
      <c r="G307" s="95">
        <f>IFERROR(VLOOKUP(F307,'12. Contratos_OS'!$A$6:$L$1000,2,FALSE),"")</f>
        <v/>
      </c>
      <c r="H307" s="95">
        <f>IFERROR(VLOOKUP(F307,'12. Contratos_OS'!$A$6:$L$1000,3,FALSE),"")</f>
        <v/>
      </c>
      <c r="I307" s="95">
        <f>IFERROR(VLOOKUP(F307,'12. Contratos_OS'!$A$6:$L$1000,4,FALSE),"")</f>
        <v/>
      </c>
      <c r="J307" s="95">
        <f>IFERROR(VLOOKUP(F307,'12. Contratos_OS'!$A$6:$L$1000,7,FALSE),"")</f>
        <v/>
      </c>
      <c r="K307" s="95">
        <f>IFERROR(VLOOKUP(J307,'11. Cadastro de Serviços'!$A$6:$E$200,2,FALSE),"")</f>
        <v/>
      </c>
      <c r="L307" s="95">
        <f>IFERROR(VLOOKUP(J307,'11. Cadastro de Serviços'!$A$6:$E$200,3,FALSE),"")</f>
        <v/>
      </c>
      <c r="M307" s="95">
        <f>IFERROR(VLOOKUP(J307,'11. Cadastro de Serviços'!$A$6:$E$200,4,FALSE),"")</f>
        <v/>
      </c>
      <c r="N307" s="95" t="n"/>
      <c r="O307" s="95">
        <f>IF(AND(G307&lt;&gt;"",I307&lt;&gt;"",J307&lt;&gt;"",M307&lt;&gt;""),"Rastreado","Revisar")</f>
        <v/>
      </c>
      <c r="P307" s="96" t="n"/>
    </row>
    <row r="308">
      <c r="A308" s="95" t="n"/>
      <c r="B308" s="96" t="n"/>
      <c r="C308" s="96" t="n"/>
      <c r="D308" s="95" t="n"/>
      <c r="E308" s="96" t="n"/>
      <c r="F308" s="96" t="n"/>
      <c r="G308" s="95">
        <f>IFERROR(VLOOKUP(F308,'12. Contratos_OS'!$A$6:$L$1000,2,FALSE),"")</f>
        <v/>
      </c>
      <c r="H308" s="95">
        <f>IFERROR(VLOOKUP(F308,'12. Contratos_OS'!$A$6:$L$1000,3,FALSE),"")</f>
        <v/>
      </c>
      <c r="I308" s="95">
        <f>IFERROR(VLOOKUP(F308,'12. Contratos_OS'!$A$6:$L$1000,4,FALSE),"")</f>
        <v/>
      </c>
      <c r="J308" s="95">
        <f>IFERROR(VLOOKUP(F308,'12. Contratos_OS'!$A$6:$L$1000,7,FALSE),"")</f>
        <v/>
      </c>
      <c r="K308" s="95">
        <f>IFERROR(VLOOKUP(J308,'11. Cadastro de Serviços'!$A$6:$E$200,2,FALSE),"")</f>
        <v/>
      </c>
      <c r="L308" s="95">
        <f>IFERROR(VLOOKUP(J308,'11. Cadastro de Serviços'!$A$6:$E$200,3,FALSE),"")</f>
        <v/>
      </c>
      <c r="M308" s="95">
        <f>IFERROR(VLOOKUP(J308,'11. Cadastro de Serviços'!$A$6:$E$200,4,FALSE),"")</f>
        <v/>
      </c>
      <c r="N308" s="95" t="n"/>
      <c r="O308" s="95">
        <f>IF(AND(G308&lt;&gt;"",I308&lt;&gt;"",J308&lt;&gt;"",M308&lt;&gt;""),"Rastreado","Revisar")</f>
        <v/>
      </c>
      <c r="P308" s="96" t="n"/>
    </row>
    <row r="309">
      <c r="A309" s="95" t="n"/>
      <c r="B309" s="96" t="n"/>
      <c r="C309" s="96" t="n"/>
      <c r="D309" s="95" t="n"/>
      <c r="E309" s="96" t="n"/>
      <c r="F309" s="96" t="n"/>
      <c r="G309" s="95">
        <f>IFERROR(VLOOKUP(F309,'12. Contratos_OS'!$A$6:$L$1000,2,FALSE),"")</f>
        <v/>
      </c>
      <c r="H309" s="95">
        <f>IFERROR(VLOOKUP(F309,'12. Contratos_OS'!$A$6:$L$1000,3,FALSE),"")</f>
        <v/>
      </c>
      <c r="I309" s="95">
        <f>IFERROR(VLOOKUP(F309,'12. Contratos_OS'!$A$6:$L$1000,4,FALSE),"")</f>
        <v/>
      </c>
      <c r="J309" s="95">
        <f>IFERROR(VLOOKUP(F309,'12. Contratos_OS'!$A$6:$L$1000,7,FALSE),"")</f>
        <v/>
      </c>
      <c r="K309" s="95">
        <f>IFERROR(VLOOKUP(J309,'11. Cadastro de Serviços'!$A$6:$E$200,2,FALSE),"")</f>
        <v/>
      </c>
      <c r="L309" s="95">
        <f>IFERROR(VLOOKUP(J309,'11. Cadastro de Serviços'!$A$6:$E$200,3,FALSE),"")</f>
        <v/>
      </c>
      <c r="M309" s="95">
        <f>IFERROR(VLOOKUP(J309,'11. Cadastro de Serviços'!$A$6:$E$200,4,FALSE),"")</f>
        <v/>
      </c>
      <c r="N309" s="95" t="n"/>
      <c r="O309" s="95">
        <f>IF(AND(G309&lt;&gt;"",I309&lt;&gt;"",J309&lt;&gt;"",M309&lt;&gt;""),"Rastreado","Revisar")</f>
        <v/>
      </c>
      <c r="P309" s="96" t="n"/>
    </row>
    <row r="310">
      <c r="A310" s="95" t="n"/>
      <c r="B310" s="96" t="n"/>
      <c r="C310" s="96" t="n"/>
      <c r="D310" s="95" t="n"/>
      <c r="E310" s="96" t="n"/>
      <c r="F310" s="96" t="n"/>
      <c r="G310" s="95">
        <f>IFERROR(VLOOKUP(F310,'12. Contratos_OS'!$A$6:$L$1000,2,FALSE),"")</f>
        <v/>
      </c>
      <c r="H310" s="95">
        <f>IFERROR(VLOOKUP(F310,'12. Contratos_OS'!$A$6:$L$1000,3,FALSE),"")</f>
        <v/>
      </c>
      <c r="I310" s="95">
        <f>IFERROR(VLOOKUP(F310,'12. Contratos_OS'!$A$6:$L$1000,4,FALSE),"")</f>
        <v/>
      </c>
      <c r="J310" s="95">
        <f>IFERROR(VLOOKUP(F310,'12. Contratos_OS'!$A$6:$L$1000,7,FALSE),"")</f>
        <v/>
      </c>
      <c r="K310" s="95">
        <f>IFERROR(VLOOKUP(J310,'11. Cadastro de Serviços'!$A$6:$E$200,2,FALSE),"")</f>
        <v/>
      </c>
      <c r="L310" s="95">
        <f>IFERROR(VLOOKUP(J310,'11. Cadastro de Serviços'!$A$6:$E$200,3,FALSE),"")</f>
        <v/>
      </c>
      <c r="M310" s="95">
        <f>IFERROR(VLOOKUP(J310,'11. Cadastro de Serviços'!$A$6:$E$200,4,FALSE),"")</f>
        <v/>
      </c>
      <c r="N310" s="95" t="n"/>
      <c r="O310" s="95">
        <f>IF(AND(G310&lt;&gt;"",I310&lt;&gt;"",J310&lt;&gt;"",M310&lt;&gt;""),"Rastreado","Revisar")</f>
        <v/>
      </c>
      <c r="P310" s="96" t="n"/>
    </row>
    <row r="311">
      <c r="A311" s="95" t="n"/>
      <c r="B311" s="96" t="n"/>
      <c r="C311" s="96" t="n"/>
      <c r="D311" s="95" t="n"/>
      <c r="E311" s="96" t="n"/>
      <c r="F311" s="96" t="n"/>
      <c r="G311" s="95">
        <f>IFERROR(VLOOKUP(F311,'12. Contratos_OS'!$A$6:$L$1000,2,FALSE),"")</f>
        <v/>
      </c>
      <c r="H311" s="95">
        <f>IFERROR(VLOOKUP(F311,'12. Contratos_OS'!$A$6:$L$1000,3,FALSE),"")</f>
        <v/>
      </c>
      <c r="I311" s="95">
        <f>IFERROR(VLOOKUP(F311,'12. Contratos_OS'!$A$6:$L$1000,4,FALSE),"")</f>
        <v/>
      </c>
      <c r="J311" s="95">
        <f>IFERROR(VLOOKUP(F311,'12. Contratos_OS'!$A$6:$L$1000,7,FALSE),"")</f>
        <v/>
      </c>
      <c r="K311" s="95">
        <f>IFERROR(VLOOKUP(J311,'11. Cadastro de Serviços'!$A$6:$E$200,2,FALSE),"")</f>
        <v/>
      </c>
      <c r="L311" s="95">
        <f>IFERROR(VLOOKUP(J311,'11. Cadastro de Serviços'!$A$6:$E$200,3,FALSE),"")</f>
        <v/>
      </c>
      <c r="M311" s="95">
        <f>IFERROR(VLOOKUP(J311,'11. Cadastro de Serviços'!$A$6:$E$200,4,FALSE),"")</f>
        <v/>
      </c>
      <c r="N311" s="95" t="n"/>
      <c r="O311" s="95">
        <f>IF(AND(G311&lt;&gt;"",I311&lt;&gt;"",J311&lt;&gt;"",M311&lt;&gt;""),"Rastreado","Revisar")</f>
        <v/>
      </c>
      <c r="P311" s="96" t="n"/>
    </row>
    <row r="312">
      <c r="A312" s="95" t="n"/>
      <c r="B312" s="96" t="n"/>
      <c r="C312" s="96" t="n"/>
      <c r="D312" s="95" t="n"/>
      <c r="E312" s="96" t="n"/>
      <c r="F312" s="96" t="n"/>
      <c r="G312" s="95">
        <f>IFERROR(VLOOKUP(F312,'12. Contratos_OS'!$A$6:$L$1000,2,FALSE),"")</f>
        <v/>
      </c>
      <c r="H312" s="95">
        <f>IFERROR(VLOOKUP(F312,'12. Contratos_OS'!$A$6:$L$1000,3,FALSE),"")</f>
        <v/>
      </c>
      <c r="I312" s="95">
        <f>IFERROR(VLOOKUP(F312,'12. Contratos_OS'!$A$6:$L$1000,4,FALSE),"")</f>
        <v/>
      </c>
      <c r="J312" s="95">
        <f>IFERROR(VLOOKUP(F312,'12. Contratos_OS'!$A$6:$L$1000,7,FALSE),"")</f>
        <v/>
      </c>
      <c r="K312" s="95">
        <f>IFERROR(VLOOKUP(J312,'11. Cadastro de Serviços'!$A$6:$E$200,2,FALSE),"")</f>
        <v/>
      </c>
      <c r="L312" s="95">
        <f>IFERROR(VLOOKUP(J312,'11. Cadastro de Serviços'!$A$6:$E$200,3,FALSE),"")</f>
        <v/>
      </c>
      <c r="M312" s="95">
        <f>IFERROR(VLOOKUP(J312,'11. Cadastro de Serviços'!$A$6:$E$200,4,FALSE),"")</f>
        <v/>
      </c>
      <c r="N312" s="95" t="n"/>
      <c r="O312" s="95">
        <f>IF(AND(G312&lt;&gt;"",I312&lt;&gt;"",J312&lt;&gt;"",M312&lt;&gt;""),"Rastreado","Revisar")</f>
        <v/>
      </c>
      <c r="P312" s="96" t="n"/>
    </row>
    <row r="313">
      <c r="A313" s="95" t="n"/>
      <c r="B313" s="96" t="n"/>
      <c r="C313" s="96" t="n"/>
      <c r="D313" s="95" t="n"/>
      <c r="E313" s="96" t="n"/>
      <c r="F313" s="96" t="n"/>
      <c r="G313" s="95">
        <f>IFERROR(VLOOKUP(F313,'12. Contratos_OS'!$A$6:$L$1000,2,FALSE),"")</f>
        <v/>
      </c>
      <c r="H313" s="95">
        <f>IFERROR(VLOOKUP(F313,'12. Contratos_OS'!$A$6:$L$1000,3,FALSE),"")</f>
        <v/>
      </c>
      <c r="I313" s="95">
        <f>IFERROR(VLOOKUP(F313,'12. Contratos_OS'!$A$6:$L$1000,4,FALSE),"")</f>
        <v/>
      </c>
      <c r="J313" s="95">
        <f>IFERROR(VLOOKUP(F313,'12. Contratos_OS'!$A$6:$L$1000,7,FALSE),"")</f>
        <v/>
      </c>
      <c r="K313" s="95">
        <f>IFERROR(VLOOKUP(J313,'11. Cadastro de Serviços'!$A$6:$E$200,2,FALSE),"")</f>
        <v/>
      </c>
      <c r="L313" s="95">
        <f>IFERROR(VLOOKUP(J313,'11. Cadastro de Serviços'!$A$6:$E$200,3,FALSE),"")</f>
        <v/>
      </c>
      <c r="M313" s="95">
        <f>IFERROR(VLOOKUP(J313,'11. Cadastro de Serviços'!$A$6:$E$200,4,FALSE),"")</f>
        <v/>
      </c>
      <c r="N313" s="95" t="n"/>
      <c r="O313" s="95">
        <f>IF(AND(G313&lt;&gt;"",I313&lt;&gt;"",J313&lt;&gt;"",M313&lt;&gt;""),"Rastreado","Revisar")</f>
        <v/>
      </c>
      <c r="P313" s="96" t="n"/>
    </row>
    <row r="314">
      <c r="A314" s="95" t="n"/>
      <c r="B314" s="96" t="n"/>
      <c r="C314" s="96" t="n"/>
      <c r="D314" s="95" t="n"/>
      <c r="E314" s="96" t="n"/>
      <c r="F314" s="96" t="n"/>
      <c r="G314" s="95">
        <f>IFERROR(VLOOKUP(F314,'12. Contratos_OS'!$A$6:$L$1000,2,FALSE),"")</f>
        <v/>
      </c>
      <c r="H314" s="95">
        <f>IFERROR(VLOOKUP(F314,'12. Contratos_OS'!$A$6:$L$1000,3,FALSE),"")</f>
        <v/>
      </c>
      <c r="I314" s="95">
        <f>IFERROR(VLOOKUP(F314,'12. Contratos_OS'!$A$6:$L$1000,4,FALSE),"")</f>
        <v/>
      </c>
      <c r="J314" s="95">
        <f>IFERROR(VLOOKUP(F314,'12. Contratos_OS'!$A$6:$L$1000,7,FALSE),"")</f>
        <v/>
      </c>
      <c r="K314" s="95">
        <f>IFERROR(VLOOKUP(J314,'11. Cadastro de Serviços'!$A$6:$E$200,2,FALSE),"")</f>
        <v/>
      </c>
      <c r="L314" s="95">
        <f>IFERROR(VLOOKUP(J314,'11. Cadastro de Serviços'!$A$6:$E$200,3,FALSE),"")</f>
        <v/>
      </c>
      <c r="M314" s="95">
        <f>IFERROR(VLOOKUP(J314,'11. Cadastro de Serviços'!$A$6:$E$200,4,FALSE),"")</f>
        <v/>
      </c>
      <c r="N314" s="95" t="n"/>
      <c r="O314" s="95">
        <f>IF(AND(G314&lt;&gt;"",I314&lt;&gt;"",J314&lt;&gt;"",M314&lt;&gt;""),"Rastreado","Revisar")</f>
        <v/>
      </c>
      <c r="P314" s="96" t="n"/>
    </row>
    <row r="315">
      <c r="A315" s="95" t="n"/>
      <c r="B315" s="96" t="n"/>
      <c r="C315" s="96" t="n"/>
      <c r="D315" s="95" t="n"/>
      <c r="E315" s="96" t="n"/>
      <c r="F315" s="96" t="n"/>
      <c r="G315" s="95">
        <f>IFERROR(VLOOKUP(F315,'12. Contratos_OS'!$A$6:$L$1000,2,FALSE),"")</f>
        <v/>
      </c>
      <c r="H315" s="95">
        <f>IFERROR(VLOOKUP(F315,'12. Contratos_OS'!$A$6:$L$1000,3,FALSE),"")</f>
        <v/>
      </c>
      <c r="I315" s="95">
        <f>IFERROR(VLOOKUP(F315,'12. Contratos_OS'!$A$6:$L$1000,4,FALSE),"")</f>
        <v/>
      </c>
      <c r="J315" s="95">
        <f>IFERROR(VLOOKUP(F315,'12. Contratos_OS'!$A$6:$L$1000,7,FALSE),"")</f>
        <v/>
      </c>
      <c r="K315" s="95">
        <f>IFERROR(VLOOKUP(J315,'11. Cadastro de Serviços'!$A$6:$E$200,2,FALSE),"")</f>
        <v/>
      </c>
      <c r="L315" s="95">
        <f>IFERROR(VLOOKUP(J315,'11. Cadastro de Serviços'!$A$6:$E$200,3,FALSE),"")</f>
        <v/>
      </c>
      <c r="M315" s="95">
        <f>IFERROR(VLOOKUP(J315,'11. Cadastro de Serviços'!$A$6:$E$200,4,FALSE),"")</f>
        <v/>
      </c>
      <c r="N315" s="95" t="n"/>
      <c r="O315" s="95">
        <f>IF(AND(G315&lt;&gt;"",I315&lt;&gt;"",J315&lt;&gt;"",M315&lt;&gt;""),"Rastreado","Revisar")</f>
        <v/>
      </c>
      <c r="P315" s="96" t="n"/>
    </row>
    <row r="316">
      <c r="A316" s="95" t="n"/>
      <c r="B316" s="96" t="n"/>
      <c r="C316" s="96" t="n"/>
      <c r="D316" s="95" t="n"/>
      <c r="E316" s="96" t="n"/>
      <c r="F316" s="96" t="n"/>
      <c r="G316" s="95">
        <f>IFERROR(VLOOKUP(F316,'12. Contratos_OS'!$A$6:$L$1000,2,FALSE),"")</f>
        <v/>
      </c>
      <c r="H316" s="95">
        <f>IFERROR(VLOOKUP(F316,'12. Contratos_OS'!$A$6:$L$1000,3,FALSE),"")</f>
        <v/>
      </c>
      <c r="I316" s="95">
        <f>IFERROR(VLOOKUP(F316,'12. Contratos_OS'!$A$6:$L$1000,4,FALSE),"")</f>
        <v/>
      </c>
      <c r="J316" s="95">
        <f>IFERROR(VLOOKUP(F316,'12. Contratos_OS'!$A$6:$L$1000,7,FALSE),"")</f>
        <v/>
      </c>
      <c r="K316" s="95">
        <f>IFERROR(VLOOKUP(J316,'11. Cadastro de Serviços'!$A$6:$E$200,2,FALSE),"")</f>
        <v/>
      </c>
      <c r="L316" s="95">
        <f>IFERROR(VLOOKUP(J316,'11. Cadastro de Serviços'!$A$6:$E$200,3,FALSE),"")</f>
        <v/>
      </c>
      <c r="M316" s="95">
        <f>IFERROR(VLOOKUP(J316,'11. Cadastro de Serviços'!$A$6:$E$200,4,FALSE),"")</f>
        <v/>
      </c>
      <c r="N316" s="95" t="n"/>
      <c r="O316" s="95">
        <f>IF(AND(G316&lt;&gt;"",I316&lt;&gt;"",J316&lt;&gt;"",M316&lt;&gt;""),"Rastreado","Revisar")</f>
        <v/>
      </c>
      <c r="P316" s="96" t="n"/>
    </row>
    <row r="317">
      <c r="A317" s="95" t="n"/>
      <c r="B317" s="96" t="n"/>
      <c r="C317" s="96" t="n"/>
      <c r="D317" s="95" t="n"/>
      <c r="E317" s="96" t="n"/>
      <c r="F317" s="96" t="n"/>
      <c r="G317" s="95">
        <f>IFERROR(VLOOKUP(F317,'12. Contratos_OS'!$A$6:$L$1000,2,FALSE),"")</f>
        <v/>
      </c>
      <c r="H317" s="95">
        <f>IFERROR(VLOOKUP(F317,'12. Contratos_OS'!$A$6:$L$1000,3,FALSE),"")</f>
        <v/>
      </c>
      <c r="I317" s="95">
        <f>IFERROR(VLOOKUP(F317,'12. Contratos_OS'!$A$6:$L$1000,4,FALSE),"")</f>
        <v/>
      </c>
      <c r="J317" s="95">
        <f>IFERROR(VLOOKUP(F317,'12. Contratos_OS'!$A$6:$L$1000,7,FALSE),"")</f>
        <v/>
      </c>
      <c r="K317" s="95">
        <f>IFERROR(VLOOKUP(J317,'11. Cadastro de Serviços'!$A$6:$E$200,2,FALSE),"")</f>
        <v/>
      </c>
      <c r="L317" s="95">
        <f>IFERROR(VLOOKUP(J317,'11. Cadastro de Serviços'!$A$6:$E$200,3,FALSE),"")</f>
        <v/>
      </c>
      <c r="M317" s="95">
        <f>IFERROR(VLOOKUP(J317,'11. Cadastro de Serviços'!$A$6:$E$200,4,FALSE),"")</f>
        <v/>
      </c>
      <c r="N317" s="95" t="n"/>
      <c r="O317" s="95">
        <f>IF(AND(G317&lt;&gt;"",I317&lt;&gt;"",J317&lt;&gt;"",M317&lt;&gt;""),"Rastreado","Revisar")</f>
        <v/>
      </c>
      <c r="P317" s="96" t="n"/>
    </row>
    <row r="318">
      <c r="A318" s="95" t="n"/>
      <c r="B318" s="96" t="n"/>
      <c r="C318" s="96" t="n"/>
      <c r="D318" s="95" t="n"/>
      <c r="E318" s="96" t="n"/>
      <c r="F318" s="96" t="n"/>
      <c r="G318" s="95">
        <f>IFERROR(VLOOKUP(F318,'12. Contratos_OS'!$A$6:$L$1000,2,FALSE),"")</f>
        <v/>
      </c>
      <c r="H318" s="95">
        <f>IFERROR(VLOOKUP(F318,'12. Contratos_OS'!$A$6:$L$1000,3,FALSE),"")</f>
        <v/>
      </c>
      <c r="I318" s="95">
        <f>IFERROR(VLOOKUP(F318,'12. Contratos_OS'!$A$6:$L$1000,4,FALSE),"")</f>
        <v/>
      </c>
      <c r="J318" s="95">
        <f>IFERROR(VLOOKUP(F318,'12. Contratos_OS'!$A$6:$L$1000,7,FALSE),"")</f>
        <v/>
      </c>
      <c r="K318" s="95">
        <f>IFERROR(VLOOKUP(J318,'11. Cadastro de Serviços'!$A$6:$E$200,2,FALSE),"")</f>
        <v/>
      </c>
      <c r="L318" s="95">
        <f>IFERROR(VLOOKUP(J318,'11. Cadastro de Serviços'!$A$6:$E$200,3,FALSE),"")</f>
        <v/>
      </c>
      <c r="M318" s="95">
        <f>IFERROR(VLOOKUP(J318,'11. Cadastro de Serviços'!$A$6:$E$200,4,FALSE),"")</f>
        <v/>
      </c>
      <c r="N318" s="95" t="n"/>
      <c r="O318" s="95">
        <f>IF(AND(G318&lt;&gt;"",I318&lt;&gt;"",J318&lt;&gt;"",M318&lt;&gt;""),"Rastreado","Revisar")</f>
        <v/>
      </c>
      <c r="P318" s="96" t="n"/>
    </row>
    <row r="319">
      <c r="A319" s="95" t="n"/>
      <c r="B319" s="96" t="n"/>
      <c r="C319" s="96" t="n"/>
      <c r="D319" s="95" t="n"/>
      <c r="E319" s="96" t="n"/>
      <c r="F319" s="96" t="n"/>
      <c r="G319" s="95">
        <f>IFERROR(VLOOKUP(F319,'12. Contratos_OS'!$A$6:$L$1000,2,FALSE),"")</f>
        <v/>
      </c>
      <c r="H319" s="95">
        <f>IFERROR(VLOOKUP(F319,'12. Contratos_OS'!$A$6:$L$1000,3,FALSE),"")</f>
        <v/>
      </c>
      <c r="I319" s="95">
        <f>IFERROR(VLOOKUP(F319,'12. Contratos_OS'!$A$6:$L$1000,4,FALSE),"")</f>
        <v/>
      </c>
      <c r="J319" s="95">
        <f>IFERROR(VLOOKUP(F319,'12. Contratos_OS'!$A$6:$L$1000,7,FALSE),"")</f>
        <v/>
      </c>
      <c r="K319" s="95">
        <f>IFERROR(VLOOKUP(J319,'11. Cadastro de Serviços'!$A$6:$E$200,2,FALSE),"")</f>
        <v/>
      </c>
      <c r="L319" s="95">
        <f>IFERROR(VLOOKUP(J319,'11. Cadastro de Serviços'!$A$6:$E$200,3,FALSE),"")</f>
        <v/>
      </c>
      <c r="M319" s="95">
        <f>IFERROR(VLOOKUP(J319,'11. Cadastro de Serviços'!$A$6:$E$200,4,FALSE),"")</f>
        <v/>
      </c>
      <c r="N319" s="95" t="n"/>
      <c r="O319" s="95">
        <f>IF(AND(G319&lt;&gt;"",I319&lt;&gt;"",J319&lt;&gt;"",M319&lt;&gt;""),"Rastreado","Revisar")</f>
        <v/>
      </c>
      <c r="P319" s="96" t="n"/>
    </row>
    <row r="320">
      <c r="A320" s="95" t="n"/>
      <c r="B320" s="96" t="n"/>
      <c r="C320" s="96" t="n"/>
      <c r="D320" s="95" t="n"/>
      <c r="E320" s="96" t="n"/>
      <c r="F320" s="96" t="n"/>
      <c r="G320" s="95">
        <f>IFERROR(VLOOKUP(F320,'12. Contratos_OS'!$A$6:$L$1000,2,FALSE),"")</f>
        <v/>
      </c>
      <c r="H320" s="95">
        <f>IFERROR(VLOOKUP(F320,'12. Contratos_OS'!$A$6:$L$1000,3,FALSE),"")</f>
        <v/>
      </c>
      <c r="I320" s="95">
        <f>IFERROR(VLOOKUP(F320,'12. Contratos_OS'!$A$6:$L$1000,4,FALSE),"")</f>
        <v/>
      </c>
      <c r="J320" s="95">
        <f>IFERROR(VLOOKUP(F320,'12. Contratos_OS'!$A$6:$L$1000,7,FALSE),"")</f>
        <v/>
      </c>
      <c r="K320" s="95">
        <f>IFERROR(VLOOKUP(J320,'11. Cadastro de Serviços'!$A$6:$E$200,2,FALSE),"")</f>
        <v/>
      </c>
      <c r="L320" s="95">
        <f>IFERROR(VLOOKUP(J320,'11. Cadastro de Serviços'!$A$6:$E$200,3,FALSE),"")</f>
        <v/>
      </c>
      <c r="M320" s="95">
        <f>IFERROR(VLOOKUP(J320,'11. Cadastro de Serviços'!$A$6:$E$200,4,FALSE),"")</f>
        <v/>
      </c>
      <c r="N320" s="95" t="n"/>
      <c r="O320" s="95">
        <f>IF(AND(G320&lt;&gt;"",I320&lt;&gt;"",J320&lt;&gt;"",M320&lt;&gt;""),"Rastreado","Revisar")</f>
        <v/>
      </c>
      <c r="P320" s="96" t="n"/>
    </row>
    <row r="321">
      <c r="A321" s="95" t="n"/>
      <c r="B321" s="96" t="n"/>
      <c r="C321" s="96" t="n"/>
      <c r="D321" s="95" t="n"/>
      <c r="E321" s="96" t="n"/>
      <c r="F321" s="96" t="n"/>
      <c r="G321" s="95">
        <f>IFERROR(VLOOKUP(F321,'12. Contratos_OS'!$A$6:$L$1000,2,FALSE),"")</f>
        <v/>
      </c>
      <c r="H321" s="95">
        <f>IFERROR(VLOOKUP(F321,'12. Contratos_OS'!$A$6:$L$1000,3,FALSE),"")</f>
        <v/>
      </c>
      <c r="I321" s="95">
        <f>IFERROR(VLOOKUP(F321,'12. Contratos_OS'!$A$6:$L$1000,4,FALSE),"")</f>
        <v/>
      </c>
      <c r="J321" s="95">
        <f>IFERROR(VLOOKUP(F321,'12. Contratos_OS'!$A$6:$L$1000,7,FALSE),"")</f>
        <v/>
      </c>
      <c r="K321" s="95">
        <f>IFERROR(VLOOKUP(J321,'11. Cadastro de Serviços'!$A$6:$E$200,2,FALSE),"")</f>
        <v/>
      </c>
      <c r="L321" s="95">
        <f>IFERROR(VLOOKUP(J321,'11. Cadastro de Serviços'!$A$6:$E$200,3,FALSE),"")</f>
        <v/>
      </c>
      <c r="M321" s="95">
        <f>IFERROR(VLOOKUP(J321,'11. Cadastro de Serviços'!$A$6:$E$200,4,FALSE),"")</f>
        <v/>
      </c>
      <c r="N321" s="95" t="n"/>
      <c r="O321" s="95">
        <f>IF(AND(G321&lt;&gt;"",I321&lt;&gt;"",J321&lt;&gt;"",M321&lt;&gt;""),"Rastreado","Revisar")</f>
        <v/>
      </c>
      <c r="P321" s="96" t="n"/>
    </row>
    <row r="322">
      <c r="A322" s="95" t="n"/>
      <c r="B322" s="96" t="n"/>
      <c r="C322" s="96" t="n"/>
      <c r="D322" s="95" t="n"/>
      <c r="E322" s="96" t="n"/>
      <c r="F322" s="96" t="n"/>
      <c r="G322" s="95">
        <f>IFERROR(VLOOKUP(F322,'12. Contratos_OS'!$A$6:$L$1000,2,FALSE),"")</f>
        <v/>
      </c>
      <c r="H322" s="95">
        <f>IFERROR(VLOOKUP(F322,'12. Contratos_OS'!$A$6:$L$1000,3,FALSE),"")</f>
        <v/>
      </c>
      <c r="I322" s="95">
        <f>IFERROR(VLOOKUP(F322,'12. Contratos_OS'!$A$6:$L$1000,4,FALSE),"")</f>
        <v/>
      </c>
      <c r="J322" s="95">
        <f>IFERROR(VLOOKUP(F322,'12. Contratos_OS'!$A$6:$L$1000,7,FALSE),"")</f>
        <v/>
      </c>
      <c r="K322" s="95">
        <f>IFERROR(VLOOKUP(J322,'11. Cadastro de Serviços'!$A$6:$E$200,2,FALSE),"")</f>
        <v/>
      </c>
      <c r="L322" s="95">
        <f>IFERROR(VLOOKUP(J322,'11. Cadastro de Serviços'!$A$6:$E$200,3,FALSE),"")</f>
        <v/>
      </c>
      <c r="M322" s="95">
        <f>IFERROR(VLOOKUP(J322,'11. Cadastro de Serviços'!$A$6:$E$200,4,FALSE),"")</f>
        <v/>
      </c>
      <c r="N322" s="95" t="n"/>
      <c r="O322" s="95">
        <f>IF(AND(G322&lt;&gt;"",I322&lt;&gt;"",J322&lt;&gt;"",M322&lt;&gt;""),"Rastreado","Revisar")</f>
        <v/>
      </c>
      <c r="P322" s="96" t="n"/>
    </row>
    <row r="323">
      <c r="A323" s="95" t="n"/>
      <c r="B323" s="96" t="n"/>
      <c r="C323" s="96" t="n"/>
      <c r="D323" s="95" t="n"/>
      <c r="E323" s="96" t="n"/>
      <c r="F323" s="96" t="n"/>
      <c r="G323" s="95">
        <f>IFERROR(VLOOKUP(F323,'12. Contratos_OS'!$A$6:$L$1000,2,FALSE),"")</f>
        <v/>
      </c>
      <c r="H323" s="95">
        <f>IFERROR(VLOOKUP(F323,'12. Contratos_OS'!$A$6:$L$1000,3,FALSE),"")</f>
        <v/>
      </c>
      <c r="I323" s="95">
        <f>IFERROR(VLOOKUP(F323,'12. Contratos_OS'!$A$6:$L$1000,4,FALSE),"")</f>
        <v/>
      </c>
      <c r="J323" s="95">
        <f>IFERROR(VLOOKUP(F323,'12. Contratos_OS'!$A$6:$L$1000,7,FALSE),"")</f>
        <v/>
      </c>
      <c r="K323" s="95">
        <f>IFERROR(VLOOKUP(J323,'11. Cadastro de Serviços'!$A$6:$E$200,2,FALSE),"")</f>
        <v/>
      </c>
      <c r="L323" s="95">
        <f>IFERROR(VLOOKUP(J323,'11. Cadastro de Serviços'!$A$6:$E$200,3,FALSE),"")</f>
        <v/>
      </c>
      <c r="M323" s="95">
        <f>IFERROR(VLOOKUP(J323,'11. Cadastro de Serviços'!$A$6:$E$200,4,FALSE),"")</f>
        <v/>
      </c>
      <c r="N323" s="95" t="n"/>
      <c r="O323" s="95">
        <f>IF(AND(G323&lt;&gt;"",I323&lt;&gt;"",J323&lt;&gt;"",M323&lt;&gt;""),"Rastreado","Revisar")</f>
        <v/>
      </c>
      <c r="P323" s="96" t="n"/>
    </row>
    <row r="324">
      <c r="A324" s="95" t="n"/>
      <c r="B324" s="96" t="n"/>
      <c r="C324" s="96" t="n"/>
      <c r="D324" s="95" t="n"/>
      <c r="E324" s="96" t="n"/>
      <c r="F324" s="96" t="n"/>
      <c r="G324" s="95">
        <f>IFERROR(VLOOKUP(F324,'12. Contratos_OS'!$A$6:$L$1000,2,FALSE),"")</f>
        <v/>
      </c>
      <c r="H324" s="95">
        <f>IFERROR(VLOOKUP(F324,'12. Contratos_OS'!$A$6:$L$1000,3,FALSE),"")</f>
        <v/>
      </c>
      <c r="I324" s="95">
        <f>IFERROR(VLOOKUP(F324,'12. Contratos_OS'!$A$6:$L$1000,4,FALSE),"")</f>
        <v/>
      </c>
      <c r="J324" s="95">
        <f>IFERROR(VLOOKUP(F324,'12. Contratos_OS'!$A$6:$L$1000,7,FALSE),"")</f>
        <v/>
      </c>
      <c r="K324" s="95">
        <f>IFERROR(VLOOKUP(J324,'11. Cadastro de Serviços'!$A$6:$E$200,2,FALSE),"")</f>
        <v/>
      </c>
      <c r="L324" s="95">
        <f>IFERROR(VLOOKUP(J324,'11. Cadastro de Serviços'!$A$6:$E$200,3,FALSE),"")</f>
        <v/>
      </c>
      <c r="M324" s="95">
        <f>IFERROR(VLOOKUP(J324,'11. Cadastro de Serviços'!$A$6:$E$200,4,FALSE),"")</f>
        <v/>
      </c>
      <c r="N324" s="95" t="n"/>
      <c r="O324" s="95">
        <f>IF(AND(G324&lt;&gt;"",I324&lt;&gt;"",J324&lt;&gt;"",M324&lt;&gt;""),"Rastreado","Revisar")</f>
        <v/>
      </c>
      <c r="P324" s="96" t="n"/>
    </row>
    <row r="325">
      <c r="A325" s="95" t="n"/>
      <c r="B325" s="96" t="n"/>
      <c r="C325" s="96" t="n"/>
      <c r="D325" s="95" t="n"/>
      <c r="E325" s="96" t="n"/>
      <c r="F325" s="96" t="n"/>
      <c r="G325" s="95">
        <f>IFERROR(VLOOKUP(F325,'12. Contratos_OS'!$A$6:$L$1000,2,FALSE),"")</f>
        <v/>
      </c>
      <c r="H325" s="95">
        <f>IFERROR(VLOOKUP(F325,'12. Contratos_OS'!$A$6:$L$1000,3,FALSE),"")</f>
        <v/>
      </c>
      <c r="I325" s="95">
        <f>IFERROR(VLOOKUP(F325,'12. Contratos_OS'!$A$6:$L$1000,4,FALSE),"")</f>
        <v/>
      </c>
      <c r="J325" s="95">
        <f>IFERROR(VLOOKUP(F325,'12. Contratos_OS'!$A$6:$L$1000,7,FALSE),"")</f>
        <v/>
      </c>
      <c r="K325" s="95">
        <f>IFERROR(VLOOKUP(J325,'11. Cadastro de Serviços'!$A$6:$E$200,2,FALSE),"")</f>
        <v/>
      </c>
      <c r="L325" s="95">
        <f>IFERROR(VLOOKUP(J325,'11. Cadastro de Serviços'!$A$6:$E$200,3,FALSE),"")</f>
        <v/>
      </c>
      <c r="M325" s="95">
        <f>IFERROR(VLOOKUP(J325,'11. Cadastro de Serviços'!$A$6:$E$200,4,FALSE),"")</f>
        <v/>
      </c>
      <c r="N325" s="95" t="n"/>
      <c r="O325" s="95">
        <f>IF(AND(G325&lt;&gt;"",I325&lt;&gt;"",J325&lt;&gt;"",M325&lt;&gt;""),"Rastreado","Revisar")</f>
        <v/>
      </c>
      <c r="P325" s="96" t="n"/>
    </row>
    <row r="326">
      <c r="A326" s="95" t="n"/>
      <c r="B326" s="96" t="n"/>
      <c r="C326" s="96" t="n"/>
      <c r="D326" s="95" t="n"/>
      <c r="E326" s="96" t="n"/>
      <c r="F326" s="96" t="n"/>
      <c r="G326" s="95">
        <f>IFERROR(VLOOKUP(F326,'12. Contratos_OS'!$A$6:$L$1000,2,FALSE),"")</f>
        <v/>
      </c>
      <c r="H326" s="95">
        <f>IFERROR(VLOOKUP(F326,'12. Contratos_OS'!$A$6:$L$1000,3,FALSE),"")</f>
        <v/>
      </c>
      <c r="I326" s="95">
        <f>IFERROR(VLOOKUP(F326,'12. Contratos_OS'!$A$6:$L$1000,4,FALSE),"")</f>
        <v/>
      </c>
      <c r="J326" s="95">
        <f>IFERROR(VLOOKUP(F326,'12. Contratos_OS'!$A$6:$L$1000,7,FALSE),"")</f>
        <v/>
      </c>
      <c r="K326" s="95">
        <f>IFERROR(VLOOKUP(J326,'11. Cadastro de Serviços'!$A$6:$E$200,2,FALSE),"")</f>
        <v/>
      </c>
      <c r="L326" s="95">
        <f>IFERROR(VLOOKUP(J326,'11. Cadastro de Serviços'!$A$6:$E$200,3,FALSE),"")</f>
        <v/>
      </c>
      <c r="M326" s="95">
        <f>IFERROR(VLOOKUP(J326,'11. Cadastro de Serviços'!$A$6:$E$200,4,FALSE),"")</f>
        <v/>
      </c>
      <c r="N326" s="95" t="n"/>
      <c r="O326" s="95">
        <f>IF(AND(G326&lt;&gt;"",I326&lt;&gt;"",J326&lt;&gt;"",M326&lt;&gt;""),"Rastreado","Revisar")</f>
        <v/>
      </c>
      <c r="P326" s="96" t="n"/>
    </row>
    <row r="327">
      <c r="A327" s="95" t="n"/>
      <c r="B327" s="96" t="n"/>
      <c r="C327" s="96" t="n"/>
      <c r="D327" s="95" t="n"/>
      <c r="E327" s="96" t="n"/>
      <c r="F327" s="96" t="n"/>
      <c r="G327" s="95">
        <f>IFERROR(VLOOKUP(F327,'12. Contratos_OS'!$A$6:$L$1000,2,FALSE),"")</f>
        <v/>
      </c>
      <c r="H327" s="95">
        <f>IFERROR(VLOOKUP(F327,'12. Contratos_OS'!$A$6:$L$1000,3,FALSE),"")</f>
        <v/>
      </c>
      <c r="I327" s="95">
        <f>IFERROR(VLOOKUP(F327,'12. Contratos_OS'!$A$6:$L$1000,4,FALSE),"")</f>
        <v/>
      </c>
      <c r="J327" s="95">
        <f>IFERROR(VLOOKUP(F327,'12. Contratos_OS'!$A$6:$L$1000,7,FALSE),"")</f>
        <v/>
      </c>
      <c r="K327" s="95">
        <f>IFERROR(VLOOKUP(J327,'11. Cadastro de Serviços'!$A$6:$E$200,2,FALSE),"")</f>
        <v/>
      </c>
      <c r="L327" s="95">
        <f>IFERROR(VLOOKUP(J327,'11. Cadastro de Serviços'!$A$6:$E$200,3,FALSE),"")</f>
        <v/>
      </c>
      <c r="M327" s="95">
        <f>IFERROR(VLOOKUP(J327,'11. Cadastro de Serviços'!$A$6:$E$200,4,FALSE),"")</f>
        <v/>
      </c>
      <c r="N327" s="95" t="n"/>
      <c r="O327" s="95">
        <f>IF(AND(G327&lt;&gt;"",I327&lt;&gt;"",J327&lt;&gt;"",M327&lt;&gt;""),"Rastreado","Revisar")</f>
        <v/>
      </c>
      <c r="P327" s="96" t="n"/>
    </row>
    <row r="328">
      <c r="A328" s="95" t="n"/>
      <c r="B328" s="96" t="n"/>
      <c r="C328" s="96" t="n"/>
      <c r="D328" s="95" t="n"/>
      <c r="E328" s="96" t="n"/>
      <c r="F328" s="96" t="n"/>
      <c r="G328" s="95">
        <f>IFERROR(VLOOKUP(F328,'12. Contratos_OS'!$A$6:$L$1000,2,FALSE),"")</f>
        <v/>
      </c>
      <c r="H328" s="95">
        <f>IFERROR(VLOOKUP(F328,'12. Contratos_OS'!$A$6:$L$1000,3,FALSE),"")</f>
        <v/>
      </c>
      <c r="I328" s="95">
        <f>IFERROR(VLOOKUP(F328,'12. Contratos_OS'!$A$6:$L$1000,4,FALSE),"")</f>
        <v/>
      </c>
      <c r="J328" s="95">
        <f>IFERROR(VLOOKUP(F328,'12. Contratos_OS'!$A$6:$L$1000,7,FALSE),"")</f>
        <v/>
      </c>
      <c r="K328" s="95">
        <f>IFERROR(VLOOKUP(J328,'11. Cadastro de Serviços'!$A$6:$E$200,2,FALSE),"")</f>
        <v/>
      </c>
      <c r="L328" s="95">
        <f>IFERROR(VLOOKUP(J328,'11. Cadastro de Serviços'!$A$6:$E$200,3,FALSE),"")</f>
        <v/>
      </c>
      <c r="M328" s="95">
        <f>IFERROR(VLOOKUP(J328,'11. Cadastro de Serviços'!$A$6:$E$200,4,FALSE),"")</f>
        <v/>
      </c>
      <c r="N328" s="95" t="n"/>
      <c r="O328" s="95">
        <f>IF(AND(G328&lt;&gt;"",I328&lt;&gt;"",J328&lt;&gt;"",M328&lt;&gt;""),"Rastreado","Revisar")</f>
        <v/>
      </c>
      <c r="P328" s="96" t="n"/>
    </row>
    <row r="329">
      <c r="A329" s="95" t="n"/>
      <c r="B329" s="96" t="n"/>
      <c r="C329" s="96" t="n"/>
      <c r="D329" s="95" t="n"/>
      <c r="E329" s="96" t="n"/>
      <c r="F329" s="96" t="n"/>
      <c r="G329" s="95">
        <f>IFERROR(VLOOKUP(F329,'12. Contratos_OS'!$A$6:$L$1000,2,FALSE),"")</f>
        <v/>
      </c>
      <c r="H329" s="95">
        <f>IFERROR(VLOOKUP(F329,'12. Contratos_OS'!$A$6:$L$1000,3,FALSE),"")</f>
        <v/>
      </c>
      <c r="I329" s="95">
        <f>IFERROR(VLOOKUP(F329,'12. Contratos_OS'!$A$6:$L$1000,4,FALSE),"")</f>
        <v/>
      </c>
      <c r="J329" s="95">
        <f>IFERROR(VLOOKUP(F329,'12. Contratos_OS'!$A$6:$L$1000,7,FALSE),"")</f>
        <v/>
      </c>
      <c r="K329" s="95">
        <f>IFERROR(VLOOKUP(J329,'11. Cadastro de Serviços'!$A$6:$E$200,2,FALSE),"")</f>
        <v/>
      </c>
      <c r="L329" s="95">
        <f>IFERROR(VLOOKUP(J329,'11. Cadastro de Serviços'!$A$6:$E$200,3,FALSE),"")</f>
        <v/>
      </c>
      <c r="M329" s="95">
        <f>IFERROR(VLOOKUP(J329,'11. Cadastro de Serviços'!$A$6:$E$200,4,FALSE),"")</f>
        <v/>
      </c>
      <c r="N329" s="95" t="n"/>
      <c r="O329" s="95">
        <f>IF(AND(G329&lt;&gt;"",I329&lt;&gt;"",J329&lt;&gt;"",M329&lt;&gt;""),"Rastreado","Revisar")</f>
        <v/>
      </c>
      <c r="P329" s="96" t="n"/>
    </row>
    <row r="330">
      <c r="A330" s="95" t="n"/>
      <c r="B330" s="96" t="n"/>
      <c r="C330" s="96" t="n"/>
      <c r="D330" s="95" t="n"/>
      <c r="E330" s="96" t="n"/>
      <c r="F330" s="96" t="n"/>
      <c r="G330" s="95">
        <f>IFERROR(VLOOKUP(F330,'12. Contratos_OS'!$A$6:$L$1000,2,FALSE),"")</f>
        <v/>
      </c>
      <c r="H330" s="95">
        <f>IFERROR(VLOOKUP(F330,'12. Contratos_OS'!$A$6:$L$1000,3,FALSE),"")</f>
        <v/>
      </c>
      <c r="I330" s="95">
        <f>IFERROR(VLOOKUP(F330,'12. Contratos_OS'!$A$6:$L$1000,4,FALSE),"")</f>
        <v/>
      </c>
      <c r="J330" s="95">
        <f>IFERROR(VLOOKUP(F330,'12. Contratos_OS'!$A$6:$L$1000,7,FALSE),"")</f>
        <v/>
      </c>
      <c r="K330" s="95">
        <f>IFERROR(VLOOKUP(J330,'11. Cadastro de Serviços'!$A$6:$E$200,2,FALSE),"")</f>
        <v/>
      </c>
      <c r="L330" s="95">
        <f>IFERROR(VLOOKUP(J330,'11. Cadastro de Serviços'!$A$6:$E$200,3,FALSE),"")</f>
        <v/>
      </c>
      <c r="M330" s="95">
        <f>IFERROR(VLOOKUP(J330,'11. Cadastro de Serviços'!$A$6:$E$200,4,FALSE),"")</f>
        <v/>
      </c>
      <c r="N330" s="95" t="n"/>
      <c r="O330" s="95">
        <f>IF(AND(G330&lt;&gt;"",I330&lt;&gt;"",J330&lt;&gt;"",M330&lt;&gt;""),"Rastreado","Revisar")</f>
        <v/>
      </c>
      <c r="P330" s="96" t="n"/>
    </row>
    <row r="331">
      <c r="A331" s="95" t="n"/>
      <c r="B331" s="96" t="n"/>
      <c r="C331" s="96" t="n"/>
      <c r="D331" s="95" t="n"/>
      <c r="E331" s="96" t="n"/>
      <c r="F331" s="96" t="n"/>
      <c r="G331" s="95">
        <f>IFERROR(VLOOKUP(F331,'12. Contratos_OS'!$A$6:$L$1000,2,FALSE),"")</f>
        <v/>
      </c>
      <c r="H331" s="95">
        <f>IFERROR(VLOOKUP(F331,'12. Contratos_OS'!$A$6:$L$1000,3,FALSE),"")</f>
        <v/>
      </c>
      <c r="I331" s="95">
        <f>IFERROR(VLOOKUP(F331,'12. Contratos_OS'!$A$6:$L$1000,4,FALSE),"")</f>
        <v/>
      </c>
      <c r="J331" s="95">
        <f>IFERROR(VLOOKUP(F331,'12. Contratos_OS'!$A$6:$L$1000,7,FALSE),"")</f>
        <v/>
      </c>
      <c r="K331" s="95">
        <f>IFERROR(VLOOKUP(J331,'11. Cadastro de Serviços'!$A$6:$E$200,2,FALSE),"")</f>
        <v/>
      </c>
      <c r="L331" s="95">
        <f>IFERROR(VLOOKUP(J331,'11. Cadastro de Serviços'!$A$6:$E$200,3,FALSE),"")</f>
        <v/>
      </c>
      <c r="M331" s="95">
        <f>IFERROR(VLOOKUP(J331,'11. Cadastro de Serviços'!$A$6:$E$200,4,FALSE),"")</f>
        <v/>
      </c>
      <c r="N331" s="95" t="n"/>
      <c r="O331" s="95">
        <f>IF(AND(G331&lt;&gt;"",I331&lt;&gt;"",J331&lt;&gt;"",M331&lt;&gt;""),"Rastreado","Revisar")</f>
        <v/>
      </c>
      <c r="P331" s="96" t="n"/>
    </row>
    <row r="332">
      <c r="A332" s="95" t="n"/>
      <c r="B332" s="96" t="n"/>
      <c r="C332" s="96" t="n"/>
      <c r="D332" s="95" t="n"/>
      <c r="E332" s="96" t="n"/>
      <c r="F332" s="96" t="n"/>
      <c r="G332" s="95">
        <f>IFERROR(VLOOKUP(F332,'12. Contratos_OS'!$A$6:$L$1000,2,FALSE),"")</f>
        <v/>
      </c>
      <c r="H332" s="95">
        <f>IFERROR(VLOOKUP(F332,'12. Contratos_OS'!$A$6:$L$1000,3,FALSE),"")</f>
        <v/>
      </c>
      <c r="I332" s="95">
        <f>IFERROR(VLOOKUP(F332,'12. Contratos_OS'!$A$6:$L$1000,4,FALSE),"")</f>
        <v/>
      </c>
      <c r="J332" s="95">
        <f>IFERROR(VLOOKUP(F332,'12. Contratos_OS'!$A$6:$L$1000,7,FALSE),"")</f>
        <v/>
      </c>
      <c r="K332" s="95">
        <f>IFERROR(VLOOKUP(J332,'11. Cadastro de Serviços'!$A$6:$E$200,2,FALSE),"")</f>
        <v/>
      </c>
      <c r="L332" s="95">
        <f>IFERROR(VLOOKUP(J332,'11. Cadastro de Serviços'!$A$6:$E$200,3,FALSE),"")</f>
        <v/>
      </c>
      <c r="M332" s="95">
        <f>IFERROR(VLOOKUP(J332,'11. Cadastro de Serviços'!$A$6:$E$200,4,FALSE),"")</f>
        <v/>
      </c>
      <c r="N332" s="95" t="n"/>
      <c r="O332" s="95">
        <f>IF(AND(G332&lt;&gt;"",I332&lt;&gt;"",J332&lt;&gt;"",M332&lt;&gt;""),"Rastreado","Revisar")</f>
        <v/>
      </c>
      <c r="P332" s="96" t="n"/>
    </row>
    <row r="333">
      <c r="A333" s="95" t="n"/>
      <c r="B333" s="96" t="n"/>
      <c r="C333" s="96" t="n"/>
      <c r="D333" s="95" t="n"/>
      <c r="E333" s="96" t="n"/>
      <c r="F333" s="96" t="n"/>
      <c r="G333" s="95">
        <f>IFERROR(VLOOKUP(F333,'12. Contratos_OS'!$A$6:$L$1000,2,FALSE),"")</f>
        <v/>
      </c>
      <c r="H333" s="95">
        <f>IFERROR(VLOOKUP(F333,'12. Contratos_OS'!$A$6:$L$1000,3,FALSE),"")</f>
        <v/>
      </c>
      <c r="I333" s="95">
        <f>IFERROR(VLOOKUP(F333,'12. Contratos_OS'!$A$6:$L$1000,4,FALSE),"")</f>
        <v/>
      </c>
      <c r="J333" s="95">
        <f>IFERROR(VLOOKUP(F333,'12. Contratos_OS'!$A$6:$L$1000,7,FALSE),"")</f>
        <v/>
      </c>
      <c r="K333" s="95">
        <f>IFERROR(VLOOKUP(J333,'11. Cadastro de Serviços'!$A$6:$E$200,2,FALSE),"")</f>
        <v/>
      </c>
      <c r="L333" s="95">
        <f>IFERROR(VLOOKUP(J333,'11. Cadastro de Serviços'!$A$6:$E$200,3,FALSE),"")</f>
        <v/>
      </c>
      <c r="M333" s="95">
        <f>IFERROR(VLOOKUP(J333,'11. Cadastro de Serviços'!$A$6:$E$200,4,FALSE),"")</f>
        <v/>
      </c>
      <c r="N333" s="95" t="n"/>
      <c r="O333" s="95">
        <f>IF(AND(G333&lt;&gt;"",I333&lt;&gt;"",J333&lt;&gt;"",M333&lt;&gt;""),"Rastreado","Revisar")</f>
        <v/>
      </c>
      <c r="P333" s="96" t="n"/>
    </row>
    <row r="334">
      <c r="A334" s="95" t="n"/>
      <c r="B334" s="96" t="n"/>
      <c r="C334" s="96" t="n"/>
      <c r="D334" s="95" t="n"/>
      <c r="E334" s="96" t="n"/>
      <c r="F334" s="96" t="n"/>
      <c r="G334" s="95">
        <f>IFERROR(VLOOKUP(F334,'12. Contratos_OS'!$A$6:$L$1000,2,FALSE),"")</f>
        <v/>
      </c>
      <c r="H334" s="95">
        <f>IFERROR(VLOOKUP(F334,'12. Contratos_OS'!$A$6:$L$1000,3,FALSE),"")</f>
        <v/>
      </c>
      <c r="I334" s="95">
        <f>IFERROR(VLOOKUP(F334,'12. Contratos_OS'!$A$6:$L$1000,4,FALSE),"")</f>
        <v/>
      </c>
      <c r="J334" s="95">
        <f>IFERROR(VLOOKUP(F334,'12. Contratos_OS'!$A$6:$L$1000,7,FALSE),"")</f>
        <v/>
      </c>
      <c r="K334" s="95">
        <f>IFERROR(VLOOKUP(J334,'11. Cadastro de Serviços'!$A$6:$E$200,2,FALSE),"")</f>
        <v/>
      </c>
      <c r="L334" s="95">
        <f>IFERROR(VLOOKUP(J334,'11. Cadastro de Serviços'!$A$6:$E$200,3,FALSE),"")</f>
        <v/>
      </c>
      <c r="M334" s="95">
        <f>IFERROR(VLOOKUP(J334,'11. Cadastro de Serviços'!$A$6:$E$200,4,FALSE),"")</f>
        <v/>
      </c>
      <c r="N334" s="95" t="n"/>
      <c r="O334" s="95">
        <f>IF(AND(G334&lt;&gt;"",I334&lt;&gt;"",J334&lt;&gt;"",M334&lt;&gt;""),"Rastreado","Revisar")</f>
        <v/>
      </c>
      <c r="P334" s="96" t="n"/>
    </row>
    <row r="335">
      <c r="A335" s="95" t="n"/>
      <c r="B335" s="96" t="n"/>
      <c r="C335" s="96" t="n"/>
      <c r="D335" s="95" t="n"/>
      <c r="E335" s="96" t="n"/>
      <c r="F335" s="96" t="n"/>
      <c r="G335" s="95">
        <f>IFERROR(VLOOKUP(F335,'12. Contratos_OS'!$A$6:$L$1000,2,FALSE),"")</f>
        <v/>
      </c>
      <c r="H335" s="95">
        <f>IFERROR(VLOOKUP(F335,'12. Contratos_OS'!$A$6:$L$1000,3,FALSE),"")</f>
        <v/>
      </c>
      <c r="I335" s="95">
        <f>IFERROR(VLOOKUP(F335,'12. Contratos_OS'!$A$6:$L$1000,4,FALSE),"")</f>
        <v/>
      </c>
      <c r="J335" s="95">
        <f>IFERROR(VLOOKUP(F335,'12. Contratos_OS'!$A$6:$L$1000,7,FALSE),"")</f>
        <v/>
      </c>
      <c r="K335" s="95">
        <f>IFERROR(VLOOKUP(J335,'11. Cadastro de Serviços'!$A$6:$E$200,2,FALSE),"")</f>
        <v/>
      </c>
      <c r="L335" s="95">
        <f>IFERROR(VLOOKUP(J335,'11. Cadastro de Serviços'!$A$6:$E$200,3,FALSE),"")</f>
        <v/>
      </c>
      <c r="M335" s="95">
        <f>IFERROR(VLOOKUP(J335,'11. Cadastro de Serviços'!$A$6:$E$200,4,FALSE),"")</f>
        <v/>
      </c>
      <c r="N335" s="95" t="n"/>
      <c r="O335" s="95">
        <f>IF(AND(G335&lt;&gt;"",I335&lt;&gt;"",J335&lt;&gt;"",M335&lt;&gt;""),"Rastreado","Revisar")</f>
        <v/>
      </c>
      <c r="P335" s="96" t="n"/>
    </row>
    <row r="336">
      <c r="A336" s="95" t="n"/>
      <c r="B336" s="96" t="n"/>
      <c r="C336" s="96" t="n"/>
      <c r="D336" s="95" t="n"/>
      <c r="E336" s="96" t="n"/>
      <c r="F336" s="96" t="n"/>
      <c r="G336" s="95">
        <f>IFERROR(VLOOKUP(F336,'12. Contratos_OS'!$A$6:$L$1000,2,FALSE),"")</f>
        <v/>
      </c>
      <c r="H336" s="95">
        <f>IFERROR(VLOOKUP(F336,'12. Contratos_OS'!$A$6:$L$1000,3,FALSE),"")</f>
        <v/>
      </c>
      <c r="I336" s="95">
        <f>IFERROR(VLOOKUP(F336,'12. Contratos_OS'!$A$6:$L$1000,4,FALSE),"")</f>
        <v/>
      </c>
      <c r="J336" s="95">
        <f>IFERROR(VLOOKUP(F336,'12. Contratos_OS'!$A$6:$L$1000,7,FALSE),"")</f>
        <v/>
      </c>
      <c r="K336" s="95">
        <f>IFERROR(VLOOKUP(J336,'11. Cadastro de Serviços'!$A$6:$E$200,2,FALSE),"")</f>
        <v/>
      </c>
      <c r="L336" s="95">
        <f>IFERROR(VLOOKUP(J336,'11. Cadastro de Serviços'!$A$6:$E$200,3,FALSE),"")</f>
        <v/>
      </c>
      <c r="M336" s="95">
        <f>IFERROR(VLOOKUP(J336,'11. Cadastro de Serviços'!$A$6:$E$200,4,FALSE),"")</f>
        <v/>
      </c>
      <c r="N336" s="95" t="n"/>
      <c r="O336" s="95">
        <f>IF(AND(G336&lt;&gt;"",I336&lt;&gt;"",J336&lt;&gt;"",M336&lt;&gt;""),"Rastreado","Revisar")</f>
        <v/>
      </c>
      <c r="P336" s="96" t="n"/>
    </row>
    <row r="337">
      <c r="A337" s="95" t="n"/>
      <c r="B337" s="96" t="n"/>
      <c r="C337" s="96" t="n"/>
      <c r="D337" s="95" t="n"/>
      <c r="E337" s="96" t="n"/>
      <c r="F337" s="96" t="n"/>
      <c r="G337" s="95">
        <f>IFERROR(VLOOKUP(F337,'12. Contratos_OS'!$A$6:$L$1000,2,FALSE),"")</f>
        <v/>
      </c>
      <c r="H337" s="95">
        <f>IFERROR(VLOOKUP(F337,'12. Contratos_OS'!$A$6:$L$1000,3,FALSE),"")</f>
        <v/>
      </c>
      <c r="I337" s="95">
        <f>IFERROR(VLOOKUP(F337,'12. Contratos_OS'!$A$6:$L$1000,4,FALSE),"")</f>
        <v/>
      </c>
      <c r="J337" s="95">
        <f>IFERROR(VLOOKUP(F337,'12. Contratos_OS'!$A$6:$L$1000,7,FALSE),"")</f>
        <v/>
      </c>
      <c r="K337" s="95">
        <f>IFERROR(VLOOKUP(J337,'11. Cadastro de Serviços'!$A$6:$E$200,2,FALSE),"")</f>
        <v/>
      </c>
      <c r="L337" s="95">
        <f>IFERROR(VLOOKUP(J337,'11. Cadastro de Serviços'!$A$6:$E$200,3,FALSE),"")</f>
        <v/>
      </c>
      <c r="M337" s="95">
        <f>IFERROR(VLOOKUP(J337,'11. Cadastro de Serviços'!$A$6:$E$200,4,FALSE),"")</f>
        <v/>
      </c>
      <c r="N337" s="95" t="n"/>
      <c r="O337" s="95">
        <f>IF(AND(G337&lt;&gt;"",I337&lt;&gt;"",J337&lt;&gt;"",M337&lt;&gt;""),"Rastreado","Revisar")</f>
        <v/>
      </c>
      <c r="P337" s="96" t="n"/>
    </row>
    <row r="338">
      <c r="A338" s="95" t="n"/>
      <c r="B338" s="96" t="n"/>
      <c r="C338" s="96" t="n"/>
      <c r="D338" s="95" t="n"/>
      <c r="E338" s="96" t="n"/>
      <c r="F338" s="96" t="n"/>
      <c r="G338" s="95">
        <f>IFERROR(VLOOKUP(F338,'12. Contratos_OS'!$A$6:$L$1000,2,FALSE),"")</f>
        <v/>
      </c>
      <c r="H338" s="95">
        <f>IFERROR(VLOOKUP(F338,'12. Contratos_OS'!$A$6:$L$1000,3,FALSE),"")</f>
        <v/>
      </c>
      <c r="I338" s="95">
        <f>IFERROR(VLOOKUP(F338,'12. Contratos_OS'!$A$6:$L$1000,4,FALSE),"")</f>
        <v/>
      </c>
      <c r="J338" s="95">
        <f>IFERROR(VLOOKUP(F338,'12. Contratos_OS'!$A$6:$L$1000,7,FALSE),"")</f>
        <v/>
      </c>
      <c r="K338" s="95">
        <f>IFERROR(VLOOKUP(J338,'11. Cadastro de Serviços'!$A$6:$E$200,2,FALSE),"")</f>
        <v/>
      </c>
      <c r="L338" s="95">
        <f>IFERROR(VLOOKUP(J338,'11. Cadastro de Serviços'!$A$6:$E$200,3,FALSE),"")</f>
        <v/>
      </c>
      <c r="M338" s="95">
        <f>IFERROR(VLOOKUP(J338,'11. Cadastro de Serviços'!$A$6:$E$200,4,FALSE),"")</f>
        <v/>
      </c>
      <c r="N338" s="95" t="n"/>
      <c r="O338" s="95">
        <f>IF(AND(G338&lt;&gt;"",I338&lt;&gt;"",J338&lt;&gt;"",M338&lt;&gt;""),"Rastreado","Revisar")</f>
        <v/>
      </c>
      <c r="P338" s="96" t="n"/>
    </row>
    <row r="339">
      <c r="A339" s="95" t="n"/>
      <c r="B339" s="96" t="n"/>
      <c r="C339" s="96" t="n"/>
      <c r="D339" s="95" t="n"/>
      <c r="E339" s="96" t="n"/>
      <c r="F339" s="96" t="n"/>
      <c r="G339" s="95">
        <f>IFERROR(VLOOKUP(F339,'12. Contratos_OS'!$A$6:$L$1000,2,FALSE),"")</f>
        <v/>
      </c>
      <c r="H339" s="95">
        <f>IFERROR(VLOOKUP(F339,'12. Contratos_OS'!$A$6:$L$1000,3,FALSE),"")</f>
        <v/>
      </c>
      <c r="I339" s="95">
        <f>IFERROR(VLOOKUP(F339,'12. Contratos_OS'!$A$6:$L$1000,4,FALSE),"")</f>
        <v/>
      </c>
      <c r="J339" s="95">
        <f>IFERROR(VLOOKUP(F339,'12. Contratos_OS'!$A$6:$L$1000,7,FALSE),"")</f>
        <v/>
      </c>
      <c r="K339" s="95">
        <f>IFERROR(VLOOKUP(J339,'11. Cadastro de Serviços'!$A$6:$E$200,2,FALSE),"")</f>
        <v/>
      </c>
      <c r="L339" s="95">
        <f>IFERROR(VLOOKUP(J339,'11. Cadastro de Serviços'!$A$6:$E$200,3,FALSE),"")</f>
        <v/>
      </c>
      <c r="M339" s="95">
        <f>IFERROR(VLOOKUP(J339,'11. Cadastro de Serviços'!$A$6:$E$200,4,FALSE),"")</f>
        <v/>
      </c>
      <c r="N339" s="95" t="n"/>
      <c r="O339" s="95">
        <f>IF(AND(G339&lt;&gt;"",I339&lt;&gt;"",J339&lt;&gt;"",M339&lt;&gt;""),"Rastreado","Revisar")</f>
        <v/>
      </c>
      <c r="P339" s="96" t="n"/>
    </row>
    <row r="340">
      <c r="A340" s="95" t="n"/>
      <c r="B340" s="96" t="n"/>
      <c r="C340" s="96" t="n"/>
      <c r="D340" s="95" t="n"/>
      <c r="E340" s="96" t="n"/>
      <c r="F340" s="96" t="n"/>
      <c r="G340" s="95">
        <f>IFERROR(VLOOKUP(F340,'12. Contratos_OS'!$A$6:$L$1000,2,FALSE),"")</f>
        <v/>
      </c>
      <c r="H340" s="95">
        <f>IFERROR(VLOOKUP(F340,'12. Contratos_OS'!$A$6:$L$1000,3,FALSE),"")</f>
        <v/>
      </c>
      <c r="I340" s="95">
        <f>IFERROR(VLOOKUP(F340,'12. Contratos_OS'!$A$6:$L$1000,4,FALSE),"")</f>
        <v/>
      </c>
      <c r="J340" s="95">
        <f>IFERROR(VLOOKUP(F340,'12. Contratos_OS'!$A$6:$L$1000,7,FALSE),"")</f>
        <v/>
      </c>
      <c r="K340" s="95">
        <f>IFERROR(VLOOKUP(J340,'11. Cadastro de Serviços'!$A$6:$E$200,2,FALSE),"")</f>
        <v/>
      </c>
      <c r="L340" s="95">
        <f>IFERROR(VLOOKUP(J340,'11. Cadastro de Serviços'!$A$6:$E$200,3,FALSE),"")</f>
        <v/>
      </c>
      <c r="M340" s="95">
        <f>IFERROR(VLOOKUP(J340,'11. Cadastro de Serviços'!$A$6:$E$200,4,FALSE),"")</f>
        <v/>
      </c>
      <c r="N340" s="95" t="n"/>
      <c r="O340" s="95">
        <f>IF(AND(G340&lt;&gt;"",I340&lt;&gt;"",J340&lt;&gt;"",M340&lt;&gt;""),"Rastreado","Revisar")</f>
        <v/>
      </c>
      <c r="P340" s="96" t="n"/>
    </row>
    <row r="341">
      <c r="A341" s="95" t="n"/>
      <c r="B341" s="96" t="n"/>
      <c r="C341" s="96" t="n"/>
      <c r="D341" s="95" t="n"/>
      <c r="E341" s="96" t="n"/>
      <c r="F341" s="96" t="n"/>
      <c r="G341" s="95">
        <f>IFERROR(VLOOKUP(F341,'12. Contratos_OS'!$A$6:$L$1000,2,FALSE),"")</f>
        <v/>
      </c>
      <c r="H341" s="95">
        <f>IFERROR(VLOOKUP(F341,'12. Contratos_OS'!$A$6:$L$1000,3,FALSE),"")</f>
        <v/>
      </c>
      <c r="I341" s="95">
        <f>IFERROR(VLOOKUP(F341,'12. Contratos_OS'!$A$6:$L$1000,4,FALSE),"")</f>
        <v/>
      </c>
      <c r="J341" s="95">
        <f>IFERROR(VLOOKUP(F341,'12. Contratos_OS'!$A$6:$L$1000,7,FALSE),"")</f>
        <v/>
      </c>
      <c r="K341" s="95">
        <f>IFERROR(VLOOKUP(J341,'11. Cadastro de Serviços'!$A$6:$E$200,2,FALSE),"")</f>
        <v/>
      </c>
      <c r="L341" s="95">
        <f>IFERROR(VLOOKUP(J341,'11. Cadastro de Serviços'!$A$6:$E$200,3,FALSE),"")</f>
        <v/>
      </c>
      <c r="M341" s="95">
        <f>IFERROR(VLOOKUP(J341,'11. Cadastro de Serviços'!$A$6:$E$200,4,FALSE),"")</f>
        <v/>
      </c>
      <c r="N341" s="95" t="n"/>
      <c r="O341" s="95">
        <f>IF(AND(G341&lt;&gt;"",I341&lt;&gt;"",J341&lt;&gt;"",M341&lt;&gt;""),"Rastreado","Revisar")</f>
        <v/>
      </c>
      <c r="P341" s="96" t="n"/>
    </row>
    <row r="342">
      <c r="A342" s="95" t="n"/>
      <c r="B342" s="96" t="n"/>
      <c r="C342" s="96" t="n"/>
      <c r="D342" s="95" t="n"/>
      <c r="E342" s="96" t="n"/>
      <c r="F342" s="96" t="n"/>
      <c r="G342" s="95">
        <f>IFERROR(VLOOKUP(F342,'12. Contratos_OS'!$A$6:$L$1000,2,FALSE),"")</f>
        <v/>
      </c>
      <c r="H342" s="95">
        <f>IFERROR(VLOOKUP(F342,'12. Contratos_OS'!$A$6:$L$1000,3,FALSE),"")</f>
        <v/>
      </c>
      <c r="I342" s="95">
        <f>IFERROR(VLOOKUP(F342,'12. Contratos_OS'!$A$6:$L$1000,4,FALSE),"")</f>
        <v/>
      </c>
      <c r="J342" s="95">
        <f>IFERROR(VLOOKUP(F342,'12. Contratos_OS'!$A$6:$L$1000,7,FALSE),"")</f>
        <v/>
      </c>
      <c r="K342" s="95">
        <f>IFERROR(VLOOKUP(J342,'11. Cadastro de Serviços'!$A$6:$E$200,2,FALSE),"")</f>
        <v/>
      </c>
      <c r="L342" s="95">
        <f>IFERROR(VLOOKUP(J342,'11. Cadastro de Serviços'!$A$6:$E$200,3,FALSE),"")</f>
        <v/>
      </c>
      <c r="M342" s="95">
        <f>IFERROR(VLOOKUP(J342,'11. Cadastro de Serviços'!$A$6:$E$200,4,FALSE),"")</f>
        <v/>
      </c>
      <c r="N342" s="95" t="n"/>
      <c r="O342" s="95">
        <f>IF(AND(G342&lt;&gt;"",I342&lt;&gt;"",J342&lt;&gt;"",M342&lt;&gt;""),"Rastreado","Revisar")</f>
        <v/>
      </c>
      <c r="P342" s="96" t="n"/>
    </row>
    <row r="343">
      <c r="A343" s="95" t="n"/>
      <c r="B343" s="96" t="n"/>
      <c r="C343" s="96" t="n"/>
      <c r="D343" s="95" t="n"/>
      <c r="E343" s="96" t="n"/>
      <c r="F343" s="96" t="n"/>
      <c r="G343" s="95">
        <f>IFERROR(VLOOKUP(F343,'12. Contratos_OS'!$A$6:$L$1000,2,FALSE),"")</f>
        <v/>
      </c>
      <c r="H343" s="95">
        <f>IFERROR(VLOOKUP(F343,'12. Contratos_OS'!$A$6:$L$1000,3,FALSE),"")</f>
        <v/>
      </c>
      <c r="I343" s="95">
        <f>IFERROR(VLOOKUP(F343,'12. Contratos_OS'!$A$6:$L$1000,4,FALSE),"")</f>
        <v/>
      </c>
      <c r="J343" s="95">
        <f>IFERROR(VLOOKUP(F343,'12. Contratos_OS'!$A$6:$L$1000,7,FALSE),"")</f>
        <v/>
      </c>
      <c r="K343" s="95">
        <f>IFERROR(VLOOKUP(J343,'11. Cadastro de Serviços'!$A$6:$E$200,2,FALSE),"")</f>
        <v/>
      </c>
      <c r="L343" s="95">
        <f>IFERROR(VLOOKUP(J343,'11. Cadastro de Serviços'!$A$6:$E$200,3,FALSE),"")</f>
        <v/>
      </c>
      <c r="M343" s="95">
        <f>IFERROR(VLOOKUP(J343,'11. Cadastro de Serviços'!$A$6:$E$200,4,FALSE),"")</f>
        <v/>
      </c>
      <c r="N343" s="95" t="n"/>
      <c r="O343" s="95">
        <f>IF(AND(G343&lt;&gt;"",I343&lt;&gt;"",J343&lt;&gt;"",M343&lt;&gt;""),"Rastreado","Revisar")</f>
        <v/>
      </c>
      <c r="P343" s="96" t="n"/>
    </row>
    <row r="344">
      <c r="A344" s="95" t="n"/>
      <c r="B344" s="96" t="n"/>
      <c r="C344" s="96" t="n"/>
      <c r="D344" s="95" t="n"/>
      <c r="E344" s="96" t="n"/>
      <c r="F344" s="96" t="n"/>
      <c r="G344" s="95">
        <f>IFERROR(VLOOKUP(F344,'12. Contratos_OS'!$A$6:$L$1000,2,FALSE),"")</f>
        <v/>
      </c>
      <c r="H344" s="95">
        <f>IFERROR(VLOOKUP(F344,'12. Contratos_OS'!$A$6:$L$1000,3,FALSE),"")</f>
        <v/>
      </c>
      <c r="I344" s="95">
        <f>IFERROR(VLOOKUP(F344,'12. Contratos_OS'!$A$6:$L$1000,4,FALSE),"")</f>
        <v/>
      </c>
      <c r="J344" s="95">
        <f>IFERROR(VLOOKUP(F344,'12. Contratos_OS'!$A$6:$L$1000,7,FALSE),"")</f>
        <v/>
      </c>
      <c r="K344" s="95">
        <f>IFERROR(VLOOKUP(J344,'11. Cadastro de Serviços'!$A$6:$E$200,2,FALSE),"")</f>
        <v/>
      </c>
      <c r="L344" s="95">
        <f>IFERROR(VLOOKUP(J344,'11. Cadastro de Serviços'!$A$6:$E$200,3,FALSE),"")</f>
        <v/>
      </c>
      <c r="M344" s="95">
        <f>IFERROR(VLOOKUP(J344,'11. Cadastro de Serviços'!$A$6:$E$200,4,FALSE),"")</f>
        <v/>
      </c>
      <c r="N344" s="95" t="n"/>
      <c r="O344" s="95">
        <f>IF(AND(G344&lt;&gt;"",I344&lt;&gt;"",J344&lt;&gt;"",M344&lt;&gt;""),"Rastreado","Revisar")</f>
        <v/>
      </c>
      <c r="P344" s="96" t="n"/>
    </row>
    <row r="345">
      <c r="A345" s="95" t="n"/>
      <c r="B345" s="96" t="n"/>
      <c r="C345" s="96" t="n"/>
      <c r="D345" s="95" t="n"/>
      <c r="E345" s="96" t="n"/>
      <c r="F345" s="96" t="n"/>
      <c r="G345" s="95">
        <f>IFERROR(VLOOKUP(F345,'12. Contratos_OS'!$A$6:$L$1000,2,FALSE),"")</f>
        <v/>
      </c>
      <c r="H345" s="95">
        <f>IFERROR(VLOOKUP(F345,'12. Contratos_OS'!$A$6:$L$1000,3,FALSE),"")</f>
        <v/>
      </c>
      <c r="I345" s="95">
        <f>IFERROR(VLOOKUP(F345,'12. Contratos_OS'!$A$6:$L$1000,4,FALSE),"")</f>
        <v/>
      </c>
      <c r="J345" s="95">
        <f>IFERROR(VLOOKUP(F345,'12. Contratos_OS'!$A$6:$L$1000,7,FALSE),"")</f>
        <v/>
      </c>
      <c r="K345" s="95">
        <f>IFERROR(VLOOKUP(J345,'11. Cadastro de Serviços'!$A$6:$E$200,2,FALSE),"")</f>
        <v/>
      </c>
      <c r="L345" s="95">
        <f>IFERROR(VLOOKUP(J345,'11. Cadastro de Serviços'!$A$6:$E$200,3,FALSE),"")</f>
        <v/>
      </c>
      <c r="M345" s="95">
        <f>IFERROR(VLOOKUP(J345,'11. Cadastro de Serviços'!$A$6:$E$200,4,FALSE),"")</f>
        <v/>
      </c>
      <c r="N345" s="95" t="n"/>
      <c r="O345" s="95">
        <f>IF(AND(G345&lt;&gt;"",I345&lt;&gt;"",J345&lt;&gt;"",M345&lt;&gt;""),"Rastreado","Revisar")</f>
        <v/>
      </c>
      <c r="P345" s="96" t="n"/>
    </row>
    <row r="346">
      <c r="A346" s="95" t="n"/>
      <c r="B346" s="96" t="n"/>
      <c r="C346" s="96" t="n"/>
      <c r="D346" s="95" t="n"/>
      <c r="E346" s="96" t="n"/>
      <c r="F346" s="96" t="n"/>
      <c r="G346" s="95">
        <f>IFERROR(VLOOKUP(F346,'12. Contratos_OS'!$A$6:$L$1000,2,FALSE),"")</f>
        <v/>
      </c>
      <c r="H346" s="95">
        <f>IFERROR(VLOOKUP(F346,'12. Contratos_OS'!$A$6:$L$1000,3,FALSE),"")</f>
        <v/>
      </c>
      <c r="I346" s="95">
        <f>IFERROR(VLOOKUP(F346,'12. Contratos_OS'!$A$6:$L$1000,4,FALSE),"")</f>
        <v/>
      </c>
      <c r="J346" s="95">
        <f>IFERROR(VLOOKUP(F346,'12. Contratos_OS'!$A$6:$L$1000,7,FALSE),"")</f>
        <v/>
      </c>
      <c r="K346" s="95">
        <f>IFERROR(VLOOKUP(J346,'11. Cadastro de Serviços'!$A$6:$E$200,2,FALSE),"")</f>
        <v/>
      </c>
      <c r="L346" s="95">
        <f>IFERROR(VLOOKUP(J346,'11. Cadastro de Serviços'!$A$6:$E$200,3,FALSE),"")</f>
        <v/>
      </c>
      <c r="M346" s="95">
        <f>IFERROR(VLOOKUP(J346,'11. Cadastro de Serviços'!$A$6:$E$200,4,FALSE),"")</f>
        <v/>
      </c>
      <c r="N346" s="95" t="n"/>
      <c r="O346" s="95">
        <f>IF(AND(G346&lt;&gt;"",I346&lt;&gt;"",J346&lt;&gt;"",M346&lt;&gt;""),"Rastreado","Revisar")</f>
        <v/>
      </c>
      <c r="P346" s="96" t="n"/>
    </row>
    <row r="347">
      <c r="A347" s="95" t="n"/>
      <c r="B347" s="96" t="n"/>
      <c r="C347" s="96" t="n"/>
      <c r="D347" s="95" t="n"/>
      <c r="E347" s="96" t="n"/>
      <c r="F347" s="96" t="n"/>
      <c r="G347" s="95">
        <f>IFERROR(VLOOKUP(F347,'12. Contratos_OS'!$A$6:$L$1000,2,FALSE),"")</f>
        <v/>
      </c>
      <c r="H347" s="95">
        <f>IFERROR(VLOOKUP(F347,'12. Contratos_OS'!$A$6:$L$1000,3,FALSE),"")</f>
        <v/>
      </c>
      <c r="I347" s="95">
        <f>IFERROR(VLOOKUP(F347,'12. Contratos_OS'!$A$6:$L$1000,4,FALSE),"")</f>
        <v/>
      </c>
      <c r="J347" s="95">
        <f>IFERROR(VLOOKUP(F347,'12. Contratos_OS'!$A$6:$L$1000,7,FALSE),"")</f>
        <v/>
      </c>
      <c r="K347" s="95">
        <f>IFERROR(VLOOKUP(J347,'11. Cadastro de Serviços'!$A$6:$E$200,2,FALSE),"")</f>
        <v/>
      </c>
      <c r="L347" s="95">
        <f>IFERROR(VLOOKUP(J347,'11. Cadastro de Serviços'!$A$6:$E$200,3,FALSE),"")</f>
        <v/>
      </c>
      <c r="M347" s="95">
        <f>IFERROR(VLOOKUP(J347,'11. Cadastro de Serviços'!$A$6:$E$200,4,FALSE),"")</f>
        <v/>
      </c>
      <c r="N347" s="95" t="n"/>
      <c r="O347" s="95">
        <f>IF(AND(G347&lt;&gt;"",I347&lt;&gt;"",J347&lt;&gt;"",M347&lt;&gt;""),"Rastreado","Revisar")</f>
        <v/>
      </c>
      <c r="P347" s="96" t="n"/>
    </row>
    <row r="348">
      <c r="A348" s="95" t="n"/>
      <c r="B348" s="96" t="n"/>
      <c r="C348" s="96" t="n"/>
      <c r="D348" s="95" t="n"/>
      <c r="E348" s="96" t="n"/>
      <c r="F348" s="96" t="n"/>
      <c r="G348" s="95">
        <f>IFERROR(VLOOKUP(F348,'12. Contratos_OS'!$A$6:$L$1000,2,FALSE),"")</f>
        <v/>
      </c>
      <c r="H348" s="95">
        <f>IFERROR(VLOOKUP(F348,'12. Contratos_OS'!$A$6:$L$1000,3,FALSE),"")</f>
        <v/>
      </c>
      <c r="I348" s="95">
        <f>IFERROR(VLOOKUP(F348,'12. Contratos_OS'!$A$6:$L$1000,4,FALSE),"")</f>
        <v/>
      </c>
      <c r="J348" s="95">
        <f>IFERROR(VLOOKUP(F348,'12. Contratos_OS'!$A$6:$L$1000,7,FALSE),"")</f>
        <v/>
      </c>
      <c r="K348" s="95">
        <f>IFERROR(VLOOKUP(J348,'11. Cadastro de Serviços'!$A$6:$E$200,2,FALSE),"")</f>
        <v/>
      </c>
      <c r="L348" s="95">
        <f>IFERROR(VLOOKUP(J348,'11. Cadastro de Serviços'!$A$6:$E$200,3,FALSE),"")</f>
        <v/>
      </c>
      <c r="M348" s="95">
        <f>IFERROR(VLOOKUP(J348,'11. Cadastro de Serviços'!$A$6:$E$200,4,FALSE),"")</f>
        <v/>
      </c>
      <c r="N348" s="95" t="n"/>
      <c r="O348" s="95">
        <f>IF(AND(G348&lt;&gt;"",I348&lt;&gt;"",J348&lt;&gt;"",M348&lt;&gt;""),"Rastreado","Revisar")</f>
        <v/>
      </c>
      <c r="P348" s="96" t="n"/>
    </row>
    <row r="349">
      <c r="A349" s="95" t="n"/>
      <c r="B349" s="96" t="n"/>
      <c r="C349" s="96" t="n"/>
      <c r="D349" s="95" t="n"/>
      <c r="E349" s="96" t="n"/>
      <c r="F349" s="96" t="n"/>
      <c r="G349" s="95">
        <f>IFERROR(VLOOKUP(F349,'12. Contratos_OS'!$A$6:$L$1000,2,FALSE),"")</f>
        <v/>
      </c>
      <c r="H349" s="95">
        <f>IFERROR(VLOOKUP(F349,'12. Contratos_OS'!$A$6:$L$1000,3,FALSE),"")</f>
        <v/>
      </c>
      <c r="I349" s="95">
        <f>IFERROR(VLOOKUP(F349,'12. Contratos_OS'!$A$6:$L$1000,4,FALSE),"")</f>
        <v/>
      </c>
      <c r="J349" s="95">
        <f>IFERROR(VLOOKUP(F349,'12. Contratos_OS'!$A$6:$L$1000,7,FALSE),"")</f>
        <v/>
      </c>
      <c r="K349" s="95">
        <f>IFERROR(VLOOKUP(J349,'11. Cadastro de Serviços'!$A$6:$E$200,2,FALSE),"")</f>
        <v/>
      </c>
      <c r="L349" s="95">
        <f>IFERROR(VLOOKUP(J349,'11. Cadastro de Serviços'!$A$6:$E$200,3,FALSE),"")</f>
        <v/>
      </c>
      <c r="M349" s="95">
        <f>IFERROR(VLOOKUP(J349,'11. Cadastro de Serviços'!$A$6:$E$200,4,FALSE),"")</f>
        <v/>
      </c>
      <c r="N349" s="95" t="n"/>
      <c r="O349" s="95">
        <f>IF(AND(G349&lt;&gt;"",I349&lt;&gt;"",J349&lt;&gt;"",M349&lt;&gt;""),"Rastreado","Revisar")</f>
        <v/>
      </c>
      <c r="P349" s="96" t="n"/>
    </row>
    <row r="350">
      <c r="A350" s="95" t="n"/>
      <c r="B350" s="96" t="n"/>
      <c r="C350" s="96" t="n"/>
      <c r="D350" s="95" t="n"/>
      <c r="E350" s="96" t="n"/>
      <c r="F350" s="96" t="n"/>
      <c r="G350" s="95">
        <f>IFERROR(VLOOKUP(F350,'12. Contratos_OS'!$A$6:$L$1000,2,FALSE),"")</f>
        <v/>
      </c>
      <c r="H350" s="95">
        <f>IFERROR(VLOOKUP(F350,'12. Contratos_OS'!$A$6:$L$1000,3,FALSE),"")</f>
        <v/>
      </c>
      <c r="I350" s="95">
        <f>IFERROR(VLOOKUP(F350,'12. Contratos_OS'!$A$6:$L$1000,4,FALSE),"")</f>
        <v/>
      </c>
      <c r="J350" s="95">
        <f>IFERROR(VLOOKUP(F350,'12. Contratos_OS'!$A$6:$L$1000,7,FALSE),"")</f>
        <v/>
      </c>
      <c r="K350" s="95">
        <f>IFERROR(VLOOKUP(J350,'11. Cadastro de Serviços'!$A$6:$E$200,2,FALSE),"")</f>
        <v/>
      </c>
      <c r="L350" s="95">
        <f>IFERROR(VLOOKUP(J350,'11. Cadastro de Serviços'!$A$6:$E$200,3,FALSE),"")</f>
        <v/>
      </c>
      <c r="M350" s="95">
        <f>IFERROR(VLOOKUP(J350,'11. Cadastro de Serviços'!$A$6:$E$200,4,FALSE),"")</f>
        <v/>
      </c>
      <c r="N350" s="95" t="n"/>
      <c r="O350" s="95">
        <f>IF(AND(G350&lt;&gt;"",I350&lt;&gt;"",J350&lt;&gt;"",M350&lt;&gt;""),"Rastreado","Revisar")</f>
        <v/>
      </c>
      <c r="P350" s="96" t="n"/>
    </row>
    <row r="351">
      <c r="A351" s="95" t="n"/>
      <c r="B351" s="96" t="n"/>
      <c r="C351" s="96" t="n"/>
      <c r="D351" s="95" t="n"/>
      <c r="E351" s="96" t="n"/>
      <c r="F351" s="96" t="n"/>
      <c r="G351" s="95">
        <f>IFERROR(VLOOKUP(F351,'12. Contratos_OS'!$A$6:$L$1000,2,FALSE),"")</f>
        <v/>
      </c>
      <c r="H351" s="95">
        <f>IFERROR(VLOOKUP(F351,'12. Contratos_OS'!$A$6:$L$1000,3,FALSE),"")</f>
        <v/>
      </c>
      <c r="I351" s="95">
        <f>IFERROR(VLOOKUP(F351,'12. Contratos_OS'!$A$6:$L$1000,4,FALSE),"")</f>
        <v/>
      </c>
      <c r="J351" s="95">
        <f>IFERROR(VLOOKUP(F351,'12. Contratos_OS'!$A$6:$L$1000,7,FALSE),"")</f>
        <v/>
      </c>
      <c r="K351" s="95">
        <f>IFERROR(VLOOKUP(J351,'11. Cadastro de Serviços'!$A$6:$E$200,2,FALSE),"")</f>
        <v/>
      </c>
      <c r="L351" s="95">
        <f>IFERROR(VLOOKUP(J351,'11. Cadastro de Serviços'!$A$6:$E$200,3,FALSE),"")</f>
        <v/>
      </c>
      <c r="M351" s="95">
        <f>IFERROR(VLOOKUP(J351,'11. Cadastro de Serviços'!$A$6:$E$200,4,FALSE),"")</f>
        <v/>
      </c>
      <c r="N351" s="95" t="n"/>
      <c r="O351" s="95">
        <f>IF(AND(G351&lt;&gt;"",I351&lt;&gt;"",J351&lt;&gt;"",M351&lt;&gt;""),"Rastreado","Revisar")</f>
        <v/>
      </c>
      <c r="P351" s="96" t="n"/>
    </row>
    <row r="352">
      <c r="A352" s="95" t="n"/>
      <c r="B352" s="96" t="n"/>
      <c r="C352" s="96" t="n"/>
      <c r="D352" s="95" t="n"/>
      <c r="E352" s="96" t="n"/>
      <c r="F352" s="96" t="n"/>
      <c r="G352" s="95">
        <f>IFERROR(VLOOKUP(F352,'12. Contratos_OS'!$A$6:$L$1000,2,FALSE),"")</f>
        <v/>
      </c>
      <c r="H352" s="95">
        <f>IFERROR(VLOOKUP(F352,'12. Contratos_OS'!$A$6:$L$1000,3,FALSE),"")</f>
        <v/>
      </c>
      <c r="I352" s="95">
        <f>IFERROR(VLOOKUP(F352,'12. Contratos_OS'!$A$6:$L$1000,4,FALSE),"")</f>
        <v/>
      </c>
      <c r="J352" s="95">
        <f>IFERROR(VLOOKUP(F352,'12. Contratos_OS'!$A$6:$L$1000,7,FALSE),"")</f>
        <v/>
      </c>
      <c r="K352" s="95">
        <f>IFERROR(VLOOKUP(J352,'11. Cadastro de Serviços'!$A$6:$E$200,2,FALSE),"")</f>
        <v/>
      </c>
      <c r="L352" s="95">
        <f>IFERROR(VLOOKUP(J352,'11. Cadastro de Serviços'!$A$6:$E$200,3,FALSE),"")</f>
        <v/>
      </c>
      <c r="M352" s="95">
        <f>IFERROR(VLOOKUP(J352,'11. Cadastro de Serviços'!$A$6:$E$200,4,FALSE),"")</f>
        <v/>
      </c>
      <c r="N352" s="95" t="n"/>
      <c r="O352" s="95">
        <f>IF(AND(G352&lt;&gt;"",I352&lt;&gt;"",J352&lt;&gt;"",M352&lt;&gt;""),"Rastreado","Revisar")</f>
        <v/>
      </c>
      <c r="P352" s="96" t="n"/>
    </row>
    <row r="353">
      <c r="A353" s="95" t="n"/>
      <c r="B353" s="96" t="n"/>
      <c r="C353" s="96" t="n"/>
      <c r="D353" s="95" t="n"/>
      <c r="E353" s="96" t="n"/>
      <c r="F353" s="96" t="n"/>
      <c r="G353" s="95">
        <f>IFERROR(VLOOKUP(F353,'12. Contratos_OS'!$A$6:$L$1000,2,FALSE),"")</f>
        <v/>
      </c>
      <c r="H353" s="95">
        <f>IFERROR(VLOOKUP(F353,'12. Contratos_OS'!$A$6:$L$1000,3,FALSE),"")</f>
        <v/>
      </c>
      <c r="I353" s="95">
        <f>IFERROR(VLOOKUP(F353,'12. Contratos_OS'!$A$6:$L$1000,4,FALSE),"")</f>
        <v/>
      </c>
      <c r="J353" s="95">
        <f>IFERROR(VLOOKUP(F353,'12. Contratos_OS'!$A$6:$L$1000,7,FALSE),"")</f>
        <v/>
      </c>
      <c r="K353" s="95">
        <f>IFERROR(VLOOKUP(J353,'11. Cadastro de Serviços'!$A$6:$E$200,2,FALSE),"")</f>
        <v/>
      </c>
      <c r="L353" s="95">
        <f>IFERROR(VLOOKUP(J353,'11. Cadastro de Serviços'!$A$6:$E$200,3,FALSE),"")</f>
        <v/>
      </c>
      <c r="M353" s="95">
        <f>IFERROR(VLOOKUP(J353,'11. Cadastro de Serviços'!$A$6:$E$200,4,FALSE),"")</f>
        <v/>
      </c>
      <c r="N353" s="95" t="n"/>
      <c r="O353" s="95">
        <f>IF(AND(G353&lt;&gt;"",I353&lt;&gt;"",J353&lt;&gt;"",M353&lt;&gt;""),"Rastreado","Revisar")</f>
        <v/>
      </c>
      <c r="P353" s="96" t="n"/>
    </row>
    <row r="354">
      <c r="A354" s="95" t="n"/>
      <c r="B354" s="96" t="n"/>
      <c r="C354" s="96" t="n"/>
      <c r="D354" s="95" t="n"/>
      <c r="E354" s="96" t="n"/>
      <c r="F354" s="96" t="n"/>
      <c r="G354" s="95">
        <f>IFERROR(VLOOKUP(F354,'12. Contratos_OS'!$A$6:$L$1000,2,FALSE),"")</f>
        <v/>
      </c>
      <c r="H354" s="95">
        <f>IFERROR(VLOOKUP(F354,'12. Contratos_OS'!$A$6:$L$1000,3,FALSE),"")</f>
        <v/>
      </c>
      <c r="I354" s="95">
        <f>IFERROR(VLOOKUP(F354,'12. Contratos_OS'!$A$6:$L$1000,4,FALSE),"")</f>
        <v/>
      </c>
      <c r="J354" s="95">
        <f>IFERROR(VLOOKUP(F354,'12. Contratos_OS'!$A$6:$L$1000,7,FALSE),"")</f>
        <v/>
      </c>
      <c r="K354" s="95">
        <f>IFERROR(VLOOKUP(J354,'11. Cadastro de Serviços'!$A$6:$E$200,2,FALSE),"")</f>
        <v/>
      </c>
      <c r="L354" s="95">
        <f>IFERROR(VLOOKUP(J354,'11. Cadastro de Serviços'!$A$6:$E$200,3,FALSE),"")</f>
        <v/>
      </c>
      <c r="M354" s="95">
        <f>IFERROR(VLOOKUP(J354,'11. Cadastro de Serviços'!$A$6:$E$200,4,FALSE),"")</f>
        <v/>
      </c>
      <c r="N354" s="95" t="n"/>
      <c r="O354" s="95">
        <f>IF(AND(G354&lt;&gt;"",I354&lt;&gt;"",J354&lt;&gt;"",M354&lt;&gt;""),"Rastreado","Revisar")</f>
        <v/>
      </c>
      <c r="P354" s="96" t="n"/>
    </row>
    <row r="355">
      <c r="A355" s="95" t="n"/>
      <c r="B355" s="96" t="n"/>
      <c r="C355" s="96" t="n"/>
      <c r="D355" s="95" t="n"/>
      <c r="E355" s="96" t="n"/>
      <c r="F355" s="96" t="n"/>
      <c r="G355" s="95">
        <f>IFERROR(VLOOKUP(F355,'12. Contratos_OS'!$A$6:$L$1000,2,FALSE),"")</f>
        <v/>
      </c>
      <c r="H355" s="95">
        <f>IFERROR(VLOOKUP(F355,'12. Contratos_OS'!$A$6:$L$1000,3,FALSE),"")</f>
        <v/>
      </c>
      <c r="I355" s="95">
        <f>IFERROR(VLOOKUP(F355,'12. Contratos_OS'!$A$6:$L$1000,4,FALSE),"")</f>
        <v/>
      </c>
      <c r="J355" s="95">
        <f>IFERROR(VLOOKUP(F355,'12. Contratos_OS'!$A$6:$L$1000,7,FALSE),"")</f>
        <v/>
      </c>
      <c r="K355" s="95">
        <f>IFERROR(VLOOKUP(J355,'11. Cadastro de Serviços'!$A$6:$E$200,2,FALSE),"")</f>
        <v/>
      </c>
      <c r="L355" s="95">
        <f>IFERROR(VLOOKUP(J355,'11. Cadastro de Serviços'!$A$6:$E$200,3,FALSE),"")</f>
        <v/>
      </c>
      <c r="M355" s="95">
        <f>IFERROR(VLOOKUP(J355,'11. Cadastro de Serviços'!$A$6:$E$200,4,FALSE),"")</f>
        <v/>
      </c>
      <c r="N355" s="95" t="n"/>
      <c r="O355" s="95">
        <f>IF(AND(G355&lt;&gt;"",I355&lt;&gt;"",J355&lt;&gt;"",M355&lt;&gt;""),"Rastreado","Revisar")</f>
        <v/>
      </c>
      <c r="P355" s="96" t="n"/>
    </row>
    <row r="356">
      <c r="A356" s="95" t="n"/>
      <c r="B356" s="96" t="n"/>
      <c r="C356" s="96" t="n"/>
      <c r="D356" s="95" t="n"/>
      <c r="E356" s="96" t="n"/>
      <c r="F356" s="96" t="n"/>
      <c r="G356" s="95">
        <f>IFERROR(VLOOKUP(F356,'12. Contratos_OS'!$A$6:$L$1000,2,FALSE),"")</f>
        <v/>
      </c>
      <c r="H356" s="95">
        <f>IFERROR(VLOOKUP(F356,'12. Contratos_OS'!$A$6:$L$1000,3,FALSE),"")</f>
        <v/>
      </c>
      <c r="I356" s="95">
        <f>IFERROR(VLOOKUP(F356,'12. Contratos_OS'!$A$6:$L$1000,4,FALSE),"")</f>
        <v/>
      </c>
      <c r="J356" s="95">
        <f>IFERROR(VLOOKUP(F356,'12. Contratos_OS'!$A$6:$L$1000,7,FALSE),"")</f>
        <v/>
      </c>
      <c r="K356" s="95">
        <f>IFERROR(VLOOKUP(J356,'11. Cadastro de Serviços'!$A$6:$E$200,2,FALSE),"")</f>
        <v/>
      </c>
      <c r="L356" s="95">
        <f>IFERROR(VLOOKUP(J356,'11. Cadastro de Serviços'!$A$6:$E$200,3,FALSE),"")</f>
        <v/>
      </c>
      <c r="M356" s="95">
        <f>IFERROR(VLOOKUP(J356,'11. Cadastro de Serviços'!$A$6:$E$200,4,FALSE),"")</f>
        <v/>
      </c>
      <c r="N356" s="95" t="n"/>
      <c r="O356" s="95">
        <f>IF(AND(G356&lt;&gt;"",I356&lt;&gt;"",J356&lt;&gt;"",M356&lt;&gt;""),"Rastreado","Revisar")</f>
        <v/>
      </c>
      <c r="P356" s="96" t="n"/>
    </row>
    <row r="357">
      <c r="A357" s="95" t="n"/>
      <c r="B357" s="96" t="n"/>
      <c r="C357" s="96" t="n"/>
      <c r="D357" s="95" t="n"/>
      <c r="E357" s="96" t="n"/>
      <c r="F357" s="96" t="n"/>
      <c r="G357" s="95">
        <f>IFERROR(VLOOKUP(F357,'12. Contratos_OS'!$A$6:$L$1000,2,FALSE),"")</f>
        <v/>
      </c>
      <c r="H357" s="95">
        <f>IFERROR(VLOOKUP(F357,'12. Contratos_OS'!$A$6:$L$1000,3,FALSE),"")</f>
        <v/>
      </c>
      <c r="I357" s="95">
        <f>IFERROR(VLOOKUP(F357,'12. Contratos_OS'!$A$6:$L$1000,4,FALSE),"")</f>
        <v/>
      </c>
      <c r="J357" s="95">
        <f>IFERROR(VLOOKUP(F357,'12. Contratos_OS'!$A$6:$L$1000,7,FALSE),"")</f>
        <v/>
      </c>
      <c r="K357" s="95">
        <f>IFERROR(VLOOKUP(J357,'11. Cadastro de Serviços'!$A$6:$E$200,2,FALSE),"")</f>
        <v/>
      </c>
      <c r="L357" s="95">
        <f>IFERROR(VLOOKUP(J357,'11. Cadastro de Serviços'!$A$6:$E$200,3,FALSE),"")</f>
        <v/>
      </c>
      <c r="M357" s="95">
        <f>IFERROR(VLOOKUP(J357,'11. Cadastro de Serviços'!$A$6:$E$200,4,FALSE),"")</f>
        <v/>
      </c>
      <c r="N357" s="95" t="n"/>
      <c r="O357" s="95">
        <f>IF(AND(G357&lt;&gt;"",I357&lt;&gt;"",J357&lt;&gt;"",M357&lt;&gt;""),"Rastreado","Revisar")</f>
        <v/>
      </c>
      <c r="P357" s="96" t="n"/>
    </row>
    <row r="358">
      <c r="A358" s="95" t="n"/>
      <c r="B358" s="96" t="n"/>
      <c r="C358" s="96" t="n"/>
      <c r="D358" s="95" t="n"/>
      <c r="E358" s="96" t="n"/>
      <c r="F358" s="96" t="n"/>
      <c r="G358" s="95">
        <f>IFERROR(VLOOKUP(F358,'12. Contratos_OS'!$A$6:$L$1000,2,FALSE),"")</f>
        <v/>
      </c>
      <c r="H358" s="95">
        <f>IFERROR(VLOOKUP(F358,'12. Contratos_OS'!$A$6:$L$1000,3,FALSE),"")</f>
        <v/>
      </c>
      <c r="I358" s="95">
        <f>IFERROR(VLOOKUP(F358,'12. Contratos_OS'!$A$6:$L$1000,4,FALSE),"")</f>
        <v/>
      </c>
      <c r="J358" s="95">
        <f>IFERROR(VLOOKUP(F358,'12. Contratos_OS'!$A$6:$L$1000,7,FALSE),"")</f>
        <v/>
      </c>
      <c r="K358" s="95">
        <f>IFERROR(VLOOKUP(J358,'11. Cadastro de Serviços'!$A$6:$E$200,2,FALSE),"")</f>
        <v/>
      </c>
      <c r="L358" s="95">
        <f>IFERROR(VLOOKUP(J358,'11. Cadastro de Serviços'!$A$6:$E$200,3,FALSE),"")</f>
        <v/>
      </c>
      <c r="M358" s="95">
        <f>IFERROR(VLOOKUP(J358,'11. Cadastro de Serviços'!$A$6:$E$200,4,FALSE),"")</f>
        <v/>
      </c>
      <c r="N358" s="95" t="n"/>
      <c r="O358" s="95">
        <f>IF(AND(G358&lt;&gt;"",I358&lt;&gt;"",J358&lt;&gt;"",M358&lt;&gt;""),"Rastreado","Revisar")</f>
        <v/>
      </c>
      <c r="P358" s="96" t="n"/>
    </row>
    <row r="359">
      <c r="A359" s="95" t="n"/>
      <c r="B359" s="96" t="n"/>
      <c r="C359" s="96" t="n"/>
      <c r="D359" s="95" t="n"/>
      <c r="E359" s="96" t="n"/>
      <c r="F359" s="96" t="n"/>
      <c r="G359" s="95">
        <f>IFERROR(VLOOKUP(F359,'12. Contratos_OS'!$A$6:$L$1000,2,FALSE),"")</f>
        <v/>
      </c>
      <c r="H359" s="95">
        <f>IFERROR(VLOOKUP(F359,'12. Contratos_OS'!$A$6:$L$1000,3,FALSE),"")</f>
        <v/>
      </c>
      <c r="I359" s="95">
        <f>IFERROR(VLOOKUP(F359,'12. Contratos_OS'!$A$6:$L$1000,4,FALSE),"")</f>
        <v/>
      </c>
      <c r="J359" s="95">
        <f>IFERROR(VLOOKUP(F359,'12. Contratos_OS'!$A$6:$L$1000,7,FALSE),"")</f>
        <v/>
      </c>
      <c r="K359" s="95">
        <f>IFERROR(VLOOKUP(J359,'11. Cadastro de Serviços'!$A$6:$E$200,2,FALSE),"")</f>
        <v/>
      </c>
      <c r="L359" s="95">
        <f>IFERROR(VLOOKUP(J359,'11. Cadastro de Serviços'!$A$6:$E$200,3,FALSE),"")</f>
        <v/>
      </c>
      <c r="M359" s="95">
        <f>IFERROR(VLOOKUP(J359,'11. Cadastro de Serviços'!$A$6:$E$200,4,FALSE),"")</f>
        <v/>
      </c>
      <c r="N359" s="95" t="n"/>
      <c r="O359" s="95">
        <f>IF(AND(G359&lt;&gt;"",I359&lt;&gt;"",J359&lt;&gt;"",M359&lt;&gt;""),"Rastreado","Revisar")</f>
        <v/>
      </c>
      <c r="P359" s="96" t="n"/>
    </row>
    <row r="360">
      <c r="A360" s="95" t="n"/>
      <c r="B360" s="96" t="n"/>
      <c r="C360" s="96" t="n"/>
      <c r="D360" s="95" t="n"/>
      <c r="E360" s="96" t="n"/>
      <c r="F360" s="96" t="n"/>
      <c r="G360" s="95">
        <f>IFERROR(VLOOKUP(F360,'12. Contratos_OS'!$A$6:$L$1000,2,FALSE),"")</f>
        <v/>
      </c>
      <c r="H360" s="95">
        <f>IFERROR(VLOOKUP(F360,'12. Contratos_OS'!$A$6:$L$1000,3,FALSE),"")</f>
        <v/>
      </c>
      <c r="I360" s="95">
        <f>IFERROR(VLOOKUP(F360,'12. Contratos_OS'!$A$6:$L$1000,4,FALSE),"")</f>
        <v/>
      </c>
      <c r="J360" s="95">
        <f>IFERROR(VLOOKUP(F360,'12. Contratos_OS'!$A$6:$L$1000,7,FALSE),"")</f>
        <v/>
      </c>
      <c r="K360" s="95">
        <f>IFERROR(VLOOKUP(J360,'11. Cadastro de Serviços'!$A$6:$E$200,2,FALSE),"")</f>
        <v/>
      </c>
      <c r="L360" s="95">
        <f>IFERROR(VLOOKUP(J360,'11. Cadastro de Serviços'!$A$6:$E$200,3,FALSE),"")</f>
        <v/>
      </c>
      <c r="M360" s="95">
        <f>IFERROR(VLOOKUP(J360,'11. Cadastro de Serviços'!$A$6:$E$200,4,FALSE),"")</f>
        <v/>
      </c>
      <c r="N360" s="95" t="n"/>
      <c r="O360" s="95">
        <f>IF(AND(G360&lt;&gt;"",I360&lt;&gt;"",J360&lt;&gt;"",M360&lt;&gt;""),"Rastreado","Revisar")</f>
        <v/>
      </c>
      <c r="P360" s="96" t="n"/>
    </row>
    <row r="361">
      <c r="A361" s="95" t="n"/>
      <c r="B361" s="96" t="n"/>
      <c r="C361" s="96" t="n"/>
      <c r="D361" s="95" t="n"/>
      <c r="E361" s="96" t="n"/>
      <c r="F361" s="96" t="n"/>
      <c r="G361" s="95">
        <f>IFERROR(VLOOKUP(F361,'12. Contratos_OS'!$A$6:$L$1000,2,FALSE),"")</f>
        <v/>
      </c>
      <c r="H361" s="95">
        <f>IFERROR(VLOOKUP(F361,'12. Contratos_OS'!$A$6:$L$1000,3,FALSE),"")</f>
        <v/>
      </c>
      <c r="I361" s="95">
        <f>IFERROR(VLOOKUP(F361,'12. Contratos_OS'!$A$6:$L$1000,4,FALSE),"")</f>
        <v/>
      </c>
      <c r="J361" s="95">
        <f>IFERROR(VLOOKUP(F361,'12. Contratos_OS'!$A$6:$L$1000,7,FALSE),"")</f>
        <v/>
      </c>
      <c r="K361" s="95">
        <f>IFERROR(VLOOKUP(J361,'11. Cadastro de Serviços'!$A$6:$E$200,2,FALSE),"")</f>
        <v/>
      </c>
      <c r="L361" s="95">
        <f>IFERROR(VLOOKUP(J361,'11. Cadastro de Serviços'!$A$6:$E$200,3,FALSE),"")</f>
        <v/>
      </c>
      <c r="M361" s="95">
        <f>IFERROR(VLOOKUP(J361,'11. Cadastro de Serviços'!$A$6:$E$200,4,FALSE),"")</f>
        <v/>
      </c>
      <c r="N361" s="95" t="n"/>
      <c r="O361" s="95">
        <f>IF(AND(G361&lt;&gt;"",I361&lt;&gt;"",J361&lt;&gt;"",M361&lt;&gt;""),"Rastreado","Revisar")</f>
        <v/>
      </c>
      <c r="P361" s="96" t="n"/>
    </row>
    <row r="362">
      <c r="A362" s="95" t="n"/>
      <c r="B362" s="96" t="n"/>
      <c r="C362" s="96" t="n"/>
      <c r="D362" s="95" t="n"/>
      <c r="E362" s="96" t="n"/>
      <c r="F362" s="96" t="n"/>
      <c r="G362" s="95">
        <f>IFERROR(VLOOKUP(F362,'12. Contratos_OS'!$A$6:$L$1000,2,FALSE),"")</f>
        <v/>
      </c>
      <c r="H362" s="95">
        <f>IFERROR(VLOOKUP(F362,'12. Contratos_OS'!$A$6:$L$1000,3,FALSE),"")</f>
        <v/>
      </c>
      <c r="I362" s="95">
        <f>IFERROR(VLOOKUP(F362,'12. Contratos_OS'!$A$6:$L$1000,4,FALSE),"")</f>
        <v/>
      </c>
      <c r="J362" s="95">
        <f>IFERROR(VLOOKUP(F362,'12. Contratos_OS'!$A$6:$L$1000,7,FALSE),"")</f>
        <v/>
      </c>
      <c r="K362" s="95">
        <f>IFERROR(VLOOKUP(J362,'11. Cadastro de Serviços'!$A$6:$E$200,2,FALSE),"")</f>
        <v/>
      </c>
      <c r="L362" s="95">
        <f>IFERROR(VLOOKUP(J362,'11. Cadastro de Serviços'!$A$6:$E$200,3,FALSE),"")</f>
        <v/>
      </c>
      <c r="M362" s="95">
        <f>IFERROR(VLOOKUP(J362,'11. Cadastro de Serviços'!$A$6:$E$200,4,FALSE),"")</f>
        <v/>
      </c>
      <c r="N362" s="95" t="n"/>
      <c r="O362" s="95">
        <f>IF(AND(G362&lt;&gt;"",I362&lt;&gt;"",J362&lt;&gt;"",M362&lt;&gt;""),"Rastreado","Revisar")</f>
        <v/>
      </c>
      <c r="P362" s="96" t="n"/>
    </row>
    <row r="363">
      <c r="A363" s="95" t="n"/>
      <c r="B363" s="96" t="n"/>
      <c r="C363" s="96" t="n"/>
      <c r="D363" s="95" t="n"/>
      <c r="E363" s="96" t="n"/>
      <c r="F363" s="96" t="n"/>
      <c r="G363" s="95">
        <f>IFERROR(VLOOKUP(F363,'12. Contratos_OS'!$A$6:$L$1000,2,FALSE),"")</f>
        <v/>
      </c>
      <c r="H363" s="95">
        <f>IFERROR(VLOOKUP(F363,'12. Contratos_OS'!$A$6:$L$1000,3,FALSE),"")</f>
        <v/>
      </c>
      <c r="I363" s="95">
        <f>IFERROR(VLOOKUP(F363,'12. Contratos_OS'!$A$6:$L$1000,4,FALSE),"")</f>
        <v/>
      </c>
      <c r="J363" s="95">
        <f>IFERROR(VLOOKUP(F363,'12. Contratos_OS'!$A$6:$L$1000,7,FALSE),"")</f>
        <v/>
      </c>
      <c r="K363" s="95">
        <f>IFERROR(VLOOKUP(J363,'11. Cadastro de Serviços'!$A$6:$E$200,2,FALSE),"")</f>
        <v/>
      </c>
      <c r="L363" s="95">
        <f>IFERROR(VLOOKUP(J363,'11. Cadastro de Serviços'!$A$6:$E$200,3,FALSE),"")</f>
        <v/>
      </c>
      <c r="M363" s="95">
        <f>IFERROR(VLOOKUP(J363,'11. Cadastro de Serviços'!$A$6:$E$200,4,FALSE),"")</f>
        <v/>
      </c>
      <c r="N363" s="95" t="n"/>
      <c r="O363" s="95">
        <f>IF(AND(G363&lt;&gt;"",I363&lt;&gt;"",J363&lt;&gt;"",M363&lt;&gt;""),"Rastreado","Revisar")</f>
        <v/>
      </c>
      <c r="P363" s="96" t="n"/>
    </row>
    <row r="364">
      <c r="A364" s="95" t="n"/>
      <c r="B364" s="96" t="n"/>
      <c r="C364" s="96" t="n"/>
      <c r="D364" s="95" t="n"/>
      <c r="E364" s="96" t="n"/>
      <c r="F364" s="96" t="n"/>
      <c r="G364" s="95">
        <f>IFERROR(VLOOKUP(F364,'12. Contratos_OS'!$A$6:$L$1000,2,FALSE),"")</f>
        <v/>
      </c>
      <c r="H364" s="95">
        <f>IFERROR(VLOOKUP(F364,'12. Contratos_OS'!$A$6:$L$1000,3,FALSE),"")</f>
        <v/>
      </c>
      <c r="I364" s="95">
        <f>IFERROR(VLOOKUP(F364,'12. Contratos_OS'!$A$6:$L$1000,4,FALSE),"")</f>
        <v/>
      </c>
      <c r="J364" s="95">
        <f>IFERROR(VLOOKUP(F364,'12. Contratos_OS'!$A$6:$L$1000,7,FALSE),"")</f>
        <v/>
      </c>
      <c r="K364" s="95">
        <f>IFERROR(VLOOKUP(J364,'11. Cadastro de Serviços'!$A$6:$E$200,2,FALSE),"")</f>
        <v/>
      </c>
      <c r="L364" s="95">
        <f>IFERROR(VLOOKUP(J364,'11. Cadastro de Serviços'!$A$6:$E$200,3,FALSE),"")</f>
        <v/>
      </c>
      <c r="M364" s="95">
        <f>IFERROR(VLOOKUP(J364,'11. Cadastro de Serviços'!$A$6:$E$200,4,FALSE),"")</f>
        <v/>
      </c>
      <c r="N364" s="95" t="n"/>
      <c r="O364" s="95">
        <f>IF(AND(G364&lt;&gt;"",I364&lt;&gt;"",J364&lt;&gt;"",M364&lt;&gt;""),"Rastreado","Revisar")</f>
        <v/>
      </c>
      <c r="P364" s="96" t="n"/>
    </row>
    <row r="365">
      <c r="A365" s="95" t="n"/>
      <c r="B365" s="96" t="n"/>
      <c r="C365" s="96" t="n"/>
      <c r="D365" s="95" t="n"/>
      <c r="E365" s="96" t="n"/>
      <c r="F365" s="96" t="n"/>
      <c r="G365" s="95">
        <f>IFERROR(VLOOKUP(F365,'12. Contratos_OS'!$A$6:$L$1000,2,FALSE),"")</f>
        <v/>
      </c>
      <c r="H365" s="95">
        <f>IFERROR(VLOOKUP(F365,'12. Contratos_OS'!$A$6:$L$1000,3,FALSE),"")</f>
        <v/>
      </c>
      <c r="I365" s="95">
        <f>IFERROR(VLOOKUP(F365,'12. Contratos_OS'!$A$6:$L$1000,4,FALSE),"")</f>
        <v/>
      </c>
      <c r="J365" s="95">
        <f>IFERROR(VLOOKUP(F365,'12. Contratos_OS'!$A$6:$L$1000,7,FALSE),"")</f>
        <v/>
      </c>
      <c r="K365" s="95">
        <f>IFERROR(VLOOKUP(J365,'11. Cadastro de Serviços'!$A$6:$E$200,2,FALSE),"")</f>
        <v/>
      </c>
      <c r="L365" s="95">
        <f>IFERROR(VLOOKUP(J365,'11. Cadastro de Serviços'!$A$6:$E$200,3,FALSE),"")</f>
        <v/>
      </c>
      <c r="M365" s="95">
        <f>IFERROR(VLOOKUP(J365,'11. Cadastro de Serviços'!$A$6:$E$200,4,FALSE),"")</f>
        <v/>
      </c>
      <c r="N365" s="95" t="n"/>
      <c r="O365" s="95">
        <f>IF(AND(G365&lt;&gt;"",I365&lt;&gt;"",J365&lt;&gt;"",M365&lt;&gt;""),"Rastreado","Revisar")</f>
        <v/>
      </c>
      <c r="P365" s="96" t="n"/>
    </row>
    <row r="366">
      <c r="A366" s="95" t="n"/>
      <c r="B366" s="96" t="n"/>
      <c r="C366" s="96" t="n"/>
      <c r="D366" s="95" t="n"/>
      <c r="E366" s="96" t="n"/>
      <c r="F366" s="96" t="n"/>
      <c r="G366" s="95">
        <f>IFERROR(VLOOKUP(F366,'12. Contratos_OS'!$A$6:$L$1000,2,FALSE),"")</f>
        <v/>
      </c>
      <c r="H366" s="95">
        <f>IFERROR(VLOOKUP(F366,'12. Contratos_OS'!$A$6:$L$1000,3,FALSE),"")</f>
        <v/>
      </c>
      <c r="I366" s="95">
        <f>IFERROR(VLOOKUP(F366,'12. Contratos_OS'!$A$6:$L$1000,4,FALSE),"")</f>
        <v/>
      </c>
      <c r="J366" s="95">
        <f>IFERROR(VLOOKUP(F366,'12. Contratos_OS'!$A$6:$L$1000,7,FALSE),"")</f>
        <v/>
      </c>
      <c r="K366" s="95">
        <f>IFERROR(VLOOKUP(J366,'11. Cadastro de Serviços'!$A$6:$E$200,2,FALSE),"")</f>
        <v/>
      </c>
      <c r="L366" s="95">
        <f>IFERROR(VLOOKUP(J366,'11. Cadastro de Serviços'!$A$6:$E$200,3,FALSE),"")</f>
        <v/>
      </c>
      <c r="M366" s="95">
        <f>IFERROR(VLOOKUP(J366,'11. Cadastro de Serviços'!$A$6:$E$200,4,FALSE),"")</f>
        <v/>
      </c>
      <c r="N366" s="95" t="n"/>
      <c r="O366" s="95">
        <f>IF(AND(G366&lt;&gt;"",I366&lt;&gt;"",J366&lt;&gt;"",M366&lt;&gt;""),"Rastreado","Revisar")</f>
        <v/>
      </c>
      <c r="P366" s="96" t="n"/>
    </row>
    <row r="367">
      <c r="A367" s="95" t="n"/>
      <c r="B367" s="96" t="n"/>
      <c r="C367" s="96" t="n"/>
      <c r="D367" s="95" t="n"/>
      <c r="E367" s="96" t="n"/>
      <c r="F367" s="96" t="n"/>
      <c r="G367" s="95">
        <f>IFERROR(VLOOKUP(F367,'12. Contratos_OS'!$A$6:$L$1000,2,FALSE),"")</f>
        <v/>
      </c>
      <c r="H367" s="95">
        <f>IFERROR(VLOOKUP(F367,'12. Contratos_OS'!$A$6:$L$1000,3,FALSE),"")</f>
        <v/>
      </c>
      <c r="I367" s="95">
        <f>IFERROR(VLOOKUP(F367,'12. Contratos_OS'!$A$6:$L$1000,4,FALSE),"")</f>
        <v/>
      </c>
      <c r="J367" s="95">
        <f>IFERROR(VLOOKUP(F367,'12. Contratos_OS'!$A$6:$L$1000,7,FALSE),"")</f>
        <v/>
      </c>
      <c r="K367" s="95">
        <f>IFERROR(VLOOKUP(J367,'11. Cadastro de Serviços'!$A$6:$E$200,2,FALSE),"")</f>
        <v/>
      </c>
      <c r="L367" s="95">
        <f>IFERROR(VLOOKUP(J367,'11. Cadastro de Serviços'!$A$6:$E$200,3,FALSE),"")</f>
        <v/>
      </c>
      <c r="M367" s="95">
        <f>IFERROR(VLOOKUP(J367,'11. Cadastro de Serviços'!$A$6:$E$200,4,FALSE),"")</f>
        <v/>
      </c>
      <c r="N367" s="95" t="n"/>
      <c r="O367" s="95">
        <f>IF(AND(G367&lt;&gt;"",I367&lt;&gt;"",J367&lt;&gt;"",M367&lt;&gt;""),"Rastreado","Revisar")</f>
        <v/>
      </c>
      <c r="P367" s="96" t="n"/>
    </row>
    <row r="368">
      <c r="A368" s="95" t="n"/>
      <c r="B368" s="96" t="n"/>
      <c r="C368" s="96" t="n"/>
      <c r="D368" s="95" t="n"/>
      <c r="E368" s="96" t="n"/>
      <c r="F368" s="96" t="n"/>
      <c r="G368" s="95">
        <f>IFERROR(VLOOKUP(F368,'12. Contratos_OS'!$A$6:$L$1000,2,FALSE),"")</f>
        <v/>
      </c>
      <c r="H368" s="95">
        <f>IFERROR(VLOOKUP(F368,'12. Contratos_OS'!$A$6:$L$1000,3,FALSE),"")</f>
        <v/>
      </c>
      <c r="I368" s="95">
        <f>IFERROR(VLOOKUP(F368,'12. Contratos_OS'!$A$6:$L$1000,4,FALSE),"")</f>
        <v/>
      </c>
      <c r="J368" s="95">
        <f>IFERROR(VLOOKUP(F368,'12. Contratos_OS'!$A$6:$L$1000,7,FALSE),"")</f>
        <v/>
      </c>
      <c r="K368" s="95">
        <f>IFERROR(VLOOKUP(J368,'11. Cadastro de Serviços'!$A$6:$E$200,2,FALSE),"")</f>
        <v/>
      </c>
      <c r="L368" s="95">
        <f>IFERROR(VLOOKUP(J368,'11. Cadastro de Serviços'!$A$6:$E$200,3,FALSE),"")</f>
        <v/>
      </c>
      <c r="M368" s="95">
        <f>IFERROR(VLOOKUP(J368,'11. Cadastro de Serviços'!$A$6:$E$200,4,FALSE),"")</f>
        <v/>
      </c>
      <c r="N368" s="95" t="n"/>
      <c r="O368" s="95">
        <f>IF(AND(G368&lt;&gt;"",I368&lt;&gt;"",J368&lt;&gt;"",M368&lt;&gt;""),"Rastreado","Revisar")</f>
        <v/>
      </c>
      <c r="P368" s="96" t="n"/>
    </row>
    <row r="369">
      <c r="A369" s="95" t="n"/>
      <c r="B369" s="96" t="n"/>
      <c r="C369" s="96" t="n"/>
      <c r="D369" s="95" t="n"/>
      <c r="E369" s="96" t="n"/>
      <c r="F369" s="96" t="n"/>
      <c r="G369" s="95">
        <f>IFERROR(VLOOKUP(F369,'12. Contratos_OS'!$A$6:$L$1000,2,FALSE),"")</f>
        <v/>
      </c>
      <c r="H369" s="95">
        <f>IFERROR(VLOOKUP(F369,'12. Contratos_OS'!$A$6:$L$1000,3,FALSE),"")</f>
        <v/>
      </c>
      <c r="I369" s="95">
        <f>IFERROR(VLOOKUP(F369,'12. Contratos_OS'!$A$6:$L$1000,4,FALSE),"")</f>
        <v/>
      </c>
      <c r="J369" s="95">
        <f>IFERROR(VLOOKUP(F369,'12. Contratos_OS'!$A$6:$L$1000,7,FALSE),"")</f>
        <v/>
      </c>
      <c r="K369" s="95">
        <f>IFERROR(VLOOKUP(J369,'11. Cadastro de Serviços'!$A$6:$E$200,2,FALSE),"")</f>
        <v/>
      </c>
      <c r="L369" s="95">
        <f>IFERROR(VLOOKUP(J369,'11. Cadastro de Serviços'!$A$6:$E$200,3,FALSE),"")</f>
        <v/>
      </c>
      <c r="M369" s="95">
        <f>IFERROR(VLOOKUP(J369,'11. Cadastro de Serviços'!$A$6:$E$200,4,FALSE),"")</f>
        <v/>
      </c>
      <c r="N369" s="95" t="n"/>
      <c r="O369" s="95">
        <f>IF(AND(G369&lt;&gt;"",I369&lt;&gt;"",J369&lt;&gt;"",M369&lt;&gt;""),"Rastreado","Revisar")</f>
        <v/>
      </c>
      <c r="P369" s="96" t="n"/>
    </row>
    <row r="370">
      <c r="A370" s="95" t="n"/>
      <c r="B370" s="96" t="n"/>
      <c r="C370" s="96" t="n"/>
      <c r="D370" s="95" t="n"/>
      <c r="E370" s="96" t="n"/>
      <c r="F370" s="96" t="n"/>
      <c r="G370" s="95">
        <f>IFERROR(VLOOKUP(F370,'12. Contratos_OS'!$A$6:$L$1000,2,FALSE),"")</f>
        <v/>
      </c>
      <c r="H370" s="95">
        <f>IFERROR(VLOOKUP(F370,'12. Contratos_OS'!$A$6:$L$1000,3,FALSE),"")</f>
        <v/>
      </c>
      <c r="I370" s="95">
        <f>IFERROR(VLOOKUP(F370,'12. Contratos_OS'!$A$6:$L$1000,4,FALSE),"")</f>
        <v/>
      </c>
      <c r="J370" s="95">
        <f>IFERROR(VLOOKUP(F370,'12. Contratos_OS'!$A$6:$L$1000,7,FALSE),"")</f>
        <v/>
      </c>
      <c r="K370" s="95">
        <f>IFERROR(VLOOKUP(J370,'11. Cadastro de Serviços'!$A$6:$E$200,2,FALSE),"")</f>
        <v/>
      </c>
      <c r="L370" s="95">
        <f>IFERROR(VLOOKUP(J370,'11. Cadastro de Serviços'!$A$6:$E$200,3,FALSE),"")</f>
        <v/>
      </c>
      <c r="M370" s="95">
        <f>IFERROR(VLOOKUP(J370,'11. Cadastro de Serviços'!$A$6:$E$200,4,FALSE),"")</f>
        <v/>
      </c>
      <c r="N370" s="95" t="n"/>
      <c r="O370" s="95">
        <f>IF(AND(G370&lt;&gt;"",I370&lt;&gt;"",J370&lt;&gt;"",M370&lt;&gt;""),"Rastreado","Revisar")</f>
        <v/>
      </c>
      <c r="P370" s="96" t="n"/>
    </row>
    <row r="371">
      <c r="A371" s="95" t="n"/>
      <c r="B371" s="96" t="n"/>
      <c r="C371" s="96" t="n"/>
      <c r="D371" s="95" t="n"/>
      <c r="E371" s="96" t="n"/>
      <c r="F371" s="96" t="n"/>
      <c r="G371" s="95">
        <f>IFERROR(VLOOKUP(F371,'12. Contratos_OS'!$A$6:$L$1000,2,FALSE),"")</f>
        <v/>
      </c>
      <c r="H371" s="95">
        <f>IFERROR(VLOOKUP(F371,'12. Contratos_OS'!$A$6:$L$1000,3,FALSE),"")</f>
        <v/>
      </c>
      <c r="I371" s="95">
        <f>IFERROR(VLOOKUP(F371,'12. Contratos_OS'!$A$6:$L$1000,4,FALSE),"")</f>
        <v/>
      </c>
      <c r="J371" s="95">
        <f>IFERROR(VLOOKUP(F371,'12. Contratos_OS'!$A$6:$L$1000,7,FALSE),"")</f>
        <v/>
      </c>
      <c r="K371" s="95">
        <f>IFERROR(VLOOKUP(J371,'11. Cadastro de Serviços'!$A$6:$E$200,2,FALSE),"")</f>
        <v/>
      </c>
      <c r="L371" s="95">
        <f>IFERROR(VLOOKUP(J371,'11. Cadastro de Serviços'!$A$6:$E$200,3,FALSE),"")</f>
        <v/>
      </c>
      <c r="M371" s="95">
        <f>IFERROR(VLOOKUP(J371,'11. Cadastro de Serviços'!$A$6:$E$200,4,FALSE),"")</f>
        <v/>
      </c>
      <c r="N371" s="95" t="n"/>
      <c r="O371" s="95">
        <f>IF(AND(G371&lt;&gt;"",I371&lt;&gt;"",J371&lt;&gt;"",M371&lt;&gt;""),"Rastreado","Revisar")</f>
        <v/>
      </c>
      <c r="P371" s="96" t="n"/>
    </row>
    <row r="372">
      <c r="A372" s="95" t="n"/>
      <c r="B372" s="96" t="n"/>
      <c r="C372" s="96" t="n"/>
      <c r="D372" s="95" t="n"/>
      <c r="E372" s="96" t="n"/>
      <c r="F372" s="96" t="n"/>
      <c r="G372" s="95">
        <f>IFERROR(VLOOKUP(F372,'12. Contratos_OS'!$A$6:$L$1000,2,FALSE),"")</f>
        <v/>
      </c>
      <c r="H372" s="95">
        <f>IFERROR(VLOOKUP(F372,'12. Contratos_OS'!$A$6:$L$1000,3,FALSE),"")</f>
        <v/>
      </c>
      <c r="I372" s="95">
        <f>IFERROR(VLOOKUP(F372,'12. Contratos_OS'!$A$6:$L$1000,4,FALSE),"")</f>
        <v/>
      </c>
      <c r="J372" s="95">
        <f>IFERROR(VLOOKUP(F372,'12. Contratos_OS'!$A$6:$L$1000,7,FALSE),"")</f>
        <v/>
      </c>
      <c r="K372" s="95">
        <f>IFERROR(VLOOKUP(J372,'11. Cadastro de Serviços'!$A$6:$E$200,2,FALSE),"")</f>
        <v/>
      </c>
      <c r="L372" s="95">
        <f>IFERROR(VLOOKUP(J372,'11. Cadastro de Serviços'!$A$6:$E$200,3,FALSE),"")</f>
        <v/>
      </c>
      <c r="M372" s="95">
        <f>IFERROR(VLOOKUP(J372,'11. Cadastro de Serviços'!$A$6:$E$200,4,FALSE),"")</f>
        <v/>
      </c>
      <c r="N372" s="95" t="n"/>
      <c r="O372" s="95">
        <f>IF(AND(G372&lt;&gt;"",I372&lt;&gt;"",J372&lt;&gt;"",M372&lt;&gt;""),"Rastreado","Revisar")</f>
        <v/>
      </c>
      <c r="P372" s="96" t="n"/>
    </row>
    <row r="373">
      <c r="A373" s="95" t="n"/>
      <c r="B373" s="96" t="n"/>
      <c r="C373" s="96" t="n"/>
      <c r="D373" s="95" t="n"/>
      <c r="E373" s="96" t="n"/>
      <c r="F373" s="96" t="n"/>
      <c r="G373" s="95">
        <f>IFERROR(VLOOKUP(F373,'12. Contratos_OS'!$A$6:$L$1000,2,FALSE),"")</f>
        <v/>
      </c>
      <c r="H373" s="95">
        <f>IFERROR(VLOOKUP(F373,'12. Contratos_OS'!$A$6:$L$1000,3,FALSE),"")</f>
        <v/>
      </c>
      <c r="I373" s="95">
        <f>IFERROR(VLOOKUP(F373,'12. Contratos_OS'!$A$6:$L$1000,4,FALSE),"")</f>
        <v/>
      </c>
      <c r="J373" s="95">
        <f>IFERROR(VLOOKUP(F373,'12. Contratos_OS'!$A$6:$L$1000,7,FALSE),"")</f>
        <v/>
      </c>
      <c r="K373" s="95">
        <f>IFERROR(VLOOKUP(J373,'11. Cadastro de Serviços'!$A$6:$E$200,2,FALSE),"")</f>
        <v/>
      </c>
      <c r="L373" s="95">
        <f>IFERROR(VLOOKUP(J373,'11. Cadastro de Serviços'!$A$6:$E$200,3,FALSE),"")</f>
        <v/>
      </c>
      <c r="M373" s="95">
        <f>IFERROR(VLOOKUP(J373,'11. Cadastro de Serviços'!$A$6:$E$200,4,FALSE),"")</f>
        <v/>
      </c>
      <c r="N373" s="95" t="n"/>
      <c r="O373" s="95">
        <f>IF(AND(G373&lt;&gt;"",I373&lt;&gt;"",J373&lt;&gt;"",M373&lt;&gt;""),"Rastreado","Revisar")</f>
        <v/>
      </c>
      <c r="P373" s="96" t="n"/>
    </row>
    <row r="374">
      <c r="A374" s="95" t="n"/>
      <c r="B374" s="96" t="n"/>
      <c r="C374" s="96" t="n"/>
      <c r="D374" s="95" t="n"/>
      <c r="E374" s="96" t="n"/>
      <c r="F374" s="96" t="n"/>
      <c r="G374" s="95">
        <f>IFERROR(VLOOKUP(F374,'12. Contratos_OS'!$A$6:$L$1000,2,FALSE),"")</f>
        <v/>
      </c>
      <c r="H374" s="95">
        <f>IFERROR(VLOOKUP(F374,'12. Contratos_OS'!$A$6:$L$1000,3,FALSE),"")</f>
        <v/>
      </c>
      <c r="I374" s="95">
        <f>IFERROR(VLOOKUP(F374,'12. Contratos_OS'!$A$6:$L$1000,4,FALSE),"")</f>
        <v/>
      </c>
      <c r="J374" s="95">
        <f>IFERROR(VLOOKUP(F374,'12. Contratos_OS'!$A$6:$L$1000,7,FALSE),"")</f>
        <v/>
      </c>
      <c r="K374" s="95">
        <f>IFERROR(VLOOKUP(J374,'11. Cadastro de Serviços'!$A$6:$E$200,2,FALSE),"")</f>
        <v/>
      </c>
      <c r="L374" s="95">
        <f>IFERROR(VLOOKUP(J374,'11. Cadastro de Serviços'!$A$6:$E$200,3,FALSE),"")</f>
        <v/>
      </c>
      <c r="M374" s="95">
        <f>IFERROR(VLOOKUP(J374,'11. Cadastro de Serviços'!$A$6:$E$200,4,FALSE),"")</f>
        <v/>
      </c>
      <c r="N374" s="95" t="n"/>
      <c r="O374" s="95">
        <f>IF(AND(G374&lt;&gt;"",I374&lt;&gt;"",J374&lt;&gt;"",M374&lt;&gt;""),"Rastreado","Revisar")</f>
        <v/>
      </c>
      <c r="P374" s="96" t="n"/>
    </row>
    <row r="375">
      <c r="A375" s="95" t="n"/>
      <c r="B375" s="96" t="n"/>
      <c r="C375" s="96" t="n"/>
      <c r="D375" s="95" t="n"/>
      <c r="E375" s="96" t="n"/>
      <c r="F375" s="96" t="n"/>
      <c r="G375" s="95">
        <f>IFERROR(VLOOKUP(F375,'12. Contratos_OS'!$A$6:$L$1000,2,FALSE),"")</f>
        <v/>
      </c>
      <c r="H375" s="95">
        <f>IFERROR(VLOOKUP(F375,'12. Contratos_OS'!$A$6:$L$1000,3,FALSE),"")</f>
        <v/>
      </c>
      <c r="I375" s="95">
        <f>IFERROR(VLOOKUP(F375,'12. Contratos_OS'!$A$6:$L$1000,4,FALSE),"")</f>
        <v/>
      </c>
      <c r="J375" s="95">
        <f>IFERROR(VLOOKUP(F375,'12. Contratos_OS'!$A$6:$L$1000,7,FALSE),"")</f>
        <v/>
      </c>
      <c r="K375" s="95">
        <f>IFERROR(VLOOKUP(J375,'11. Cadastro de Serviços'!$A$6:$E$200,2,FALSE),"")</f>
        <v/>
      </c>
      <c r="L375" s="95">
        <f>IFERROR(VLOOKUP(J375,'11. Cadastro de Serviços'!$A$6:$E$200,3,FALSE),"")</f>
        <v/>
      </c>
      <c r="M375" s="95">
        <f>IFERROR(VLOOKUP(J375,'11. Cadastro de Serviços'!$A$6:$E$200,4,FALSE),"")</f>
        <v/>
      </c>
      <c r="N375" s="95" t="n"/>
      <c r="O375" s="95">
        <f>IF(AND(G375&lt;&gt;"",I375&lt;&gt;"",J375&lt;&gt;"",M375&lt;&gt;""),"Rastreado","Revisar")</f>
        <v/>
      </c>
      <c r="P375" s="96" t="n"/>
    </row>
    <row r="376">
      <c r="A376" s="95" t="n"/>
      <c r="B376" s="96" t="n"/>
      <c r="C376" s="96" t="n"/>
      <c r="D376" s="95" t="n"/>
      <c r="E376" s="96" t="n"/>
      <c r="F376" s="96" t="n"/>
      <c r="G376" s="95">
        <f>IFERROR(VLOOKUP(F376,'12. Contratos_OS'!$A$6:$L$1000,2,FALSE),"")</f>
        <v/>
      </c>
      <c r="H376" s="95">
        <f>IFERROR(VLOOKUP(F376,'12. Contratos_OS'!$A$6:$L$1000,3,FALSE),"")</f>
        <v/>
      </c>
      <c r="I376" s="95">
        <f>IFERROR(VLOOKUP(F376,'12. Contratos_OS'!$A$6:$L$1000,4,FALSE),"")</f>
        <v/>
      </c>
      <c r="J376" s="95">
        <f>IFERROR(VLOOKUP(F376,'12. Contratos_OS'!$A$6:$L$1000,7,FALSE),"")</f>
        <v/>
      </c>
      <c r="K376" s="95">
        <f>IFERROR(VLOOKUP(J376,'11. Cadastro de Serviços'!$A$6:$E$200,2,FALSE),"")</f>
        <v/>
      </c>
      <c r="L376" s="95">
        <f>IFERROR(VLOOKUP(J376,'11. Cadastro de Serviços'!$A$6:$E$200,3,FALSE),"")</f>
        <v/>
      </c>
      <c r="M376" s="95">
        <f>IFERROR(VLOOKUP(J376,'11. Cadastro de Serviços'!$A$6:$E$200,4,FALSE),"")</f>
        <v/>
      </c>
      <c r="N376" s="95" t="n"/>
      <c r="O376" s="95">
        <f>IF(AND(G376&lt;&gt;"",I376&lt;&gt;"",J376&lt;&gt;"",M376&lt;&gt;""),"Rastreado","Revisar")</f>
        <v/>
      </c>
      <c r="P376" s="96" t="n"/>
    </row>
    <row r="377">
      <c r="A377" s="95" t="n"/>
      <c r="B377" s="96" t="n"/>
      <c r="C377" s="96" t="n"/>
      <c r="D377" s="95" t="n"/>
      <c r="E377" s="96" t="n"/>
      <c r="F377" s="96" t="n"/>
      <c r="G377" s="95">
        <f>IFERROR(VLOOKUP(F377,'12. Contratos_OS'!$A$6:$L$1000,2,FALSE),"")</f>
        <v/>
      </c>
      <c r="H377" s="95">
        <f>IFERROR(VLOOKUP(F377,'12. Contratos_OS'!$A$6:$L$1000,3,FALSE),"")</f>
        <v/>
      </c>
      <c r="I377" s="95">
        <f>IFERROR(VLOOKUP(F377,'12. Contratos_OS'!$A$6:$L$1000,4,FALSE),"")</f>
        <v/>
      </c>
      <c r="J377" s="95">
        <f>IFERROR(VLOOKUP(F377,'12. Contratos_OS'!$A$6:$L$1000,7,FALSE),"")</f>
        <v/>
      </c>
      <c r="K377" s="95">
        <f>IFERROR(VLOOKUP(J377,'11. Cadastro de Serviços'!$A$6:$E$200,2,FALSE),"")</f>
        <v/>
      </c>
      <c r="L377" s="95">
        <f>IFERROR(VLOOKUP(J377,'11. Cadastro de Serviços'!$A$6:$E$200,3,FALSE),"")</f>
        <v/>
      </c>
      <c r="M377" s="95">
        <f>IFERROR(VLOOKUP(J377,'11. Cadastro de Serviços'!$A$6:$E$200,4,FALSE),"")</f>
        <v/>
      </c>
      <c r="N377" s="95" t="n"/>
      <c r="O377" s="95">
        <f>IF(AND(G377&lt;&gt;"",I377&lt;&gt;"",J377&lt;&gt;"",M377&lt;&gt;""),"Rastreado","Revisar")</f>
        <v/>
      </c>
      <c r="P377" s="96" t="n"/>
    </row>
    <row r="378">
      <c r="A378" s="95" t="n"/>
      <c r="B378" s="96" t="n"/>
      <c r="C378" s="96" t="n"/>
      <c r="D378" s="95" t="n"/>
      <c r="E378" s="96" t="n"/>
      <c r="F378" s="96" t="n"/>
      <c r="G378" s="95">
        <f>IFERROR(VLOOKUP(F378,'12. Contratos_OS'!$A$6:$L$1000,2,FALSE),"")</f>
        <v/>
      </c>
      <c r="H378" s="95">
        <f>IFERROR(VLOOKUP(F378,'12. Contratos_OS'!$A$6:$L$1000,3,FALSE),"")</f>
        <v/>
      </c>
      <c r="I378" s="95">
        <f>IFERROR(VLOOKUP(F378,'12. Contratos_OS'!$A$6:$L$1000,4,FALSE),"")</f>
        <v/>
      </c>
      <c r="J378" s="95">
        <f>IFERROR(VLOOKUP(F378,'12. Contratos_OS'!$A$6:$L$1000,7,FALSE),"")</f>
        <v/>
      </c>
      <c r="K378" s="95">
        <f>IFERROR(VLOOKUP(J378,'11. Cadastro de Serviços'!$A$6:$E$200,2,FALSE),"")</f>
        <v/>
      </c>
      <c r="L378" s="95">
        <f>IFERROR(VLOOKUP(J378,'11. Cadastro de Serviços'!$A$6:$E$200,3,FALSE),"")</f>
        <v/>
      </c>
      <c r="M378" s="95">
        <f>IFERROR(VLOOKUP(J378,'11. Cadastro de Serviços'!$A$6:$E$200,4,FALSE),"")</f>
        <v/>
      </c>
      <c r="N378" s="95" t="n"/>
      <c r="O378" s="95">
        <f>IF(AND(G378&lt;&gt;"",I378&lt;&gt;"",J378&lt;&gt;"",M378&lt;&gt;""),"Rastreado","Revisar")</f>
        <v/>
      </c>
      <c r="P378" s="96" t="n"/>
    </row>
    <row r="379">
      <c r="A379" s="95" t="n"/>
      <c r="B379" s="96" t="n"/>
      <c r="C379" s="96" t="n"/>
      <c r="D379" s="95" t="n"/>
      <c r="E379" s="96" t="n"/>
      <c r="F379" s="96" t="n"/>
      <c r="G379" s="95">
        <f>IFERROR(VLOOKUP(F379,'12. Contratos_OS'!$A$6:$L$1000,2,FALSE),"")</f>
        <v/>
      </c>
      <c r="H379" s="95">
        <f>IFERROR(VLOOKUP(F379,'12. Contratos_OS'!$A$6:$L$1000,3,FALSE),"")</f>
        <v/>
      </c>
      <c r="I379" s="95">
        <f>IFERROR(VLOOKUP(F379,'12. Contratos_OS'!$A$6:$L$1000,4,FALSE),"")</f>
        <v/>
      </c>
      <c r="J379" s="95">
        <f>IFERROR(VLOOKUP(F379,'12. Contratos_OS'!$A$6:$L$1000,7,FALSE),"")</f>
        <v/>
      </c>
      <c r="K379" s="95">
        <f>IFERROR(VLOOKUP(J379,'11. Cadastro de Serviços'!$A$6:$E$200,2,FALSE),"")</f>
        <v/>
      </c>
      <c r="L379" s="95">
        <f>IFERROR(VLOOKUP(J379,'11. Cadastro de Serviços'!$A$6:$E$200,3,FALSE),"")</f>
        <v/>
      </c>
      <c r="M379" s="95">
        <f>IFERROR(VLOOKUP(J379,'11. Cadastro de Serviços'!$A$6:$E$200,4,FALSE),"")</f>
        <v/>
      </c>
      <c r="N379" s="95" t="n"/>
      <c r="O379" s="95">
        <f>IF(AND(G379&lt;&gt;"",I379&lt;&gt;"",J379&lt;&gt;"",M379&lt;&gt;""),"Rastreado","Revisar")</f>
        <v/>
      </c>
      <c r="P379" s="96" t="n"/>
    </row>
    <row r="380">
      <c r="A380" s="95" t="n"/>
      <c r="B380" s="96" t="n"/>
      <c r="C380" s="96" t="n"/>
      <c r="D380" s="95" t="n"/>
      <c r="E380" s="96" t="n"/>
      <c r="F380" s="96" t="n"/>
      <c r="G380" s="95">
        <f>IFERROR(VLOOKUP(F380,'12. Contratos_OS'!$A$6:$L$1000,2,FALSE),"")</f>
        <v/>
      </c>
      <c r="H380" s="95">
        <f>IFERROR(VLOOKUP(F380,'12. Contratos_OS'!$A$6:$L$1000,3,FALSE),"")</f>
        <v/>
      </c>
      <c r="I380" s="95">
        <f>IFERROR(VLOOKUP(F380,'12. Contratos_OS'!$A$6:$L$1000,4,FALSE),"")</f>
        <v/>
      </c>
      <c r="J380" s="95">
        <f>IFERROR(VLOOKUP(F380,'12. Contratos_OS'!$A$6:$L$1000,7,FALSE),"")</f>
        <v/>
      </c>
      <c r="K380" s="95">
        <f>IFERROR(VLOOKUP(J380,'11. Cadastro de Serviços'!$A$6:$E$200,2,FALSE),"")</f>
        <v/>
      </c>
      <c r="L380" s="95">
        <f>IFERROR(VLOOKUP(J380,'11. Cadastro de Serviços'!$A$6:$E$200,3,FALSE),"")</f>
        <v/>
      </c>
      <c r="M380" s="95">
        <f>IFERROR(VLOOKUP(J380,'11. Cadastro de Serviços'!$A$6:$E$200,4,FALSE),"")</f>
        <v/>
      </c>
      <c r="N380" s="95" t="n"/>
      <c r="O380" s="95">
        <f>IF(AND(G380&lt;&gt;"",I380&lt;&gt;"",J380&lt;&gt;"",M380&lt;&gt;""),"Rastreado","Revisar")</f>
        <v/>
      </c>
      <c r="P380" s="96" t="n"/>
    </row>
    <row r="381">
      <c r="A381" s="95" t="n"/>
      <c r="B381" s="96" t="n"/>
      <c r="C381" s="96" t="n"/>
      <c r="D381" s="95" t="n"/>
      <c r="E381" s="96" t="n"/>
      <c r="F381" s="96" t="n"/>
      <c r="G381" s="95">
        <f>IFERROR(VLOOKUP(F381,'12. Contratos_OS'!$A$6:$L$1000,2,FALSE),"")</f>
        <v/>
      </c>
      <c r="H381" s="95">
        <f>IFERROR(VLOOKUP(F381,'12. Contratos_OS'!$A$6:$L$1000,3,FALSE),"")</f>
        <v/>
      </c>
      <c r="I381" s="95">
        <f>IFERROR(VLOOKUP(F381,'12. Contratos_OS'!$A$6:$L$1000,4,FALSE),"")</f>
        <v/>
      </c>
      <c r="J381" s="95">
        <f>IFERROR(VLOOKUP(F381,'12. Contratos_OS'!$A$6:$L$1000,7,FALSE),"")</f>
        <v/>
      </c>
      <c r="K381" s="95">
        <f>IFERROR(VLOOKUP(J381,'11. Cadastro de Serviços'!$A$6:$E$200,2,FALSE),"")</f>
        <v/>
      </c>
      <c r="L381" s="95">
        <f>IFERROR(VLOOKUP(J381,'11. Cadastro de Serviços'!$A$6:$E$200,3,FALSE),"")</f>
        <v/>
      </c>
      <c r="M381" s="95">
        <f>IFERROR(VLOOKUP(J381,'11. Cadastro de Serviços'!$A$6:$E$200,4,FALSE),"")</f>
        <v/>
      </c>
      <c r="N381" s="95" t="n"/>
      <c r="O381" s="95">
        <f>IF(AND(G381&lt;&gt;"",I381&lt;&gt;"",J381&lt;&gt;"",M381&lt;&gt;""),"Rastreado","Revisar")</f>
        <v/>
      </c>
      <c r="P381" s="96" t="n"/>
    </row>
    <row r="382">
      <c r="A382" s="95" t="n"/>
      <c r="B382" s="96" t="n"/>
      <c r="C382" s="96" t="n"/>
      <c r="D382" s="95" t="n"/>
      <c r="E382" s="96" t="n"/>
      <c r="F382" s="96" t="n"/>
      <c r="G382" s="95">
        <f>IFERROR(VLOOKUP(F382,'12. Contratos_OS'!$A$6:$L$1000,2,FALSE),"")</f>
        <v/>
      </c>
      <c r="H382" s="95">
        <f>IFERROR(VLOOKUP(F382,'12. Contratos_OS'!$A$6:$L$1000,3,FALSE),"")</f>
        <v/>
      </c>
      <c r="I382" s="95">
        <f>IFERROR(VLOOKUP(F382,'12. Contratos_OS'!$A$6:$L$1000,4,FALSE),"")</f>
        <v/>
      </c>
      <c r="J382" s="95">
        <f>IFERROR(VLOOKUP(F382,'12. Contratos_OS'!$A$6:$L$1000,7,FALSE),"")</f>
        <v/>
      </c>
      <c r="K382" s="95">
        <f>IFERROR(VLOOKUP(J382,'11. Cadastro de Serviços'!$A$6:$E$200,2,FALSE),"")</f>
        <v/>
      </c>
      <c r="L382" s="95">
        <f>IFERROR(VLOOKUP(J382,'11. Cadastro de Serviços'!$A$6:$E$200,3,FALSE),"")</f>
        <v/>
      </c>
      <c r="M382" s="95">
        <f>IFERROR(VLOOKUP(J382,'11. Cadastro de Serviços'!$A$6:$E$200,4,FALSE),"")</f>
        <v/>
      </c>
      <c r="N382" s="95" t="n"/>
      <c r="O382" s="95">
        <f>IF(AND(G382&lt;&gt;"",I382&lt;&gt;"",J382&lt;&gt;"",M382&lt;&gt;""),"Rastreado","Revisar")</f>
        <v/>
      </c>
      <c r="P382" s="96" t="n"/>
    </row>
    <row r="383">
      <c r="A383" s="95" t="n"/>
      <c r="B383" s="96" t="n"/>
      <c r="C383" s="96" t="n"/>
      <c r="D383" s="95" t="n"/>
      <c r="E383" s="96" t="n"/>
      <c r="F383" s="96" t="n"/>
      <c r="G383" s="95">
        <f>IFERROR(VLOOKUP(F383,'12. Contratos_OS'!$A$6:$L$1000,2,FALSE),"")</f>
        <v/>
      </c>
      <c r="H383" s="95">
        <f>IFERROR(VLOOKUP(F383,'12. Contratos_OS'!$A$6:$L$1000,3,FALSE),"")</f>
        <v/>
      </c>
      <c r="I383" s="95">
        <f>IFERROR(VLOOKUP(F383,'12. Contratos_OS'!$A$6:$L$1000,4,FALSE),"")</f>
        <v/>
      </c>
      <c r="J383" s="95">
        <f>IFERROR(VLOOKUP(F383,'12. Contratos_OS'!$A$6:$L$1000,7,FALSE),"")</f>
        <v/>
      </c>
      <c r="K383" s="95">
        <f>IFERROR(VLOOKUP(J383,'11. Cadastro de Serviços'!$A$6:$E$200,2,FALSE),"")</f>
        <v/>
      </c>
      <c r="L383" s="95">
        <f>IFERROR(VLOOKUP(J383,'11. Cadastro de Serviços'!$A$6:$E$200,3,FALSE),"")</f>
        <v/>
      </c>
      <c r="M383" s="95">
        <f>IFERROR(VLOOKUP(J383,'11. Cadastro de Serviços'!$A$6:$E$200,4,FALSE),"")</f>
        <v/>
      </c>
      <c r="N383" s="95" t="n"/>
      <c r="O383" s="95">
        <f>IF(AND(G383&lt;&gt;"",I383&lt;&gt;"",J383&lt;&gt;"",M383&lt;&gt;""),"Rastreado","Revisar")</f>
        <v/>
      </c>
      <c r="P383" s="96" t="n"/>
    </row>
    <row r="384">
      <c r="A384" s="95" t="n"/>
      <c r="B384" s="96" t="n"/>
      <c r="C384" s="96" t="n"/>
      <c r="D384" s="95" t="n"/>
      <c r="E384" s="96" t="n"/>
      <c r="F384" s="96" t="n"/>
      <c r="G384" s="95">
        <f>IFERROR(VLOOKUP(F384,'12. Contratos_OS'!$A$6:$L$1000,2,FALSE),"")</f>
        <v/>
      </c>
      <c r="H384" s="95">
        <f>IFERROR(VLOOKUP(F384,'12. Contratos_OS'!$A$6:$L$1000,3,FALSE),"")</f>
        <v/>
      </c>
      <c r="I384" s="95">
        <f>IFERROR(VLOOKUP(F384,'12. Contratos_OS'!$A$6:$L$1000,4,FALSE),"")</f>
        <v/>
      </c>
      <c r="J384" s="95">
        <f>IFERROR(VLOOKUP(F384,'12. Contratos_OS'!$A$6:$L$1000,7,FALSE),"")</f>
        <v/>
      </c>
      <c r="K384" s="95">
        <f>IFERROR(VLOOKUP(J384,'11. Cadastro de Serviços'!$A$6:$E$200,2,FALSE),"")</f>
        <v/>
      </c>
      <c r="L384" s="95">
        <f>IFERROR(VLOOKUP(J384,'11. Cadastro de Serviços'!$A$6:$E$200,3,FALSE),"")</f>
        <v/>
      </c>
      <c r="M384" s="95">
        <f>IFERROR(VLOOKUP(J384,'11. Cadastro de Serviços'!$A$6:$E$200,4,FALSE),"")</f>
        <v/>
      </c>
      <c r="N384" s="95" t="n"/>
      <c r="O384" s="95">
        <f>IF(AND(G384&lt;&gt;"",I384&lt;&gt;"",J384&lt;&gt;"",M384&lt;&gt;""),"Rastreado","Revisar")</f>
        <v/>
      </c>
      <c r="P384" s="96" t="n"/>
    </row>
    <row r="385">
      <c r="A385" s="95" t="n"/>
      <c r="B385" s="96" t="n"/>
      <c r="C385" s="96" t="n"/>
      <c r="D385" s="95" t="n"/>
      <c r="E385" s="96" t="n"/>
      <c r="F385" s="96" t="n"/>
      <c r="G385" s="95">
        <f>IFERROR(VLOOKUP(F385,'12. Contratos_OS'!$A$6:$L$1000,2,FALSE),"")</f>
        <v/>
      </c>
      <c r="H385" s="95">
        <f>IFERROR(VLOOKUP(F385,'12. Contratos_OS'!$A$6:$L$1000,3,FALSE),"")</f>
        <v/>
      </c>
      <c r="I385" s="95">
        <f>IFERROR(VLOOKUP(F385,'12. Contratos_OS'!$A$6:$L$1000,4,FALSE),"")</f>
        <v/>
      </c>
      <c r="J385" s="95">
        <f>IFERROR(VLOOKUP(F385,'12. Contratos_OS'!$A$6:$L$1000,7,FALSE),"")</f>
        <v/>
      </c>
      <c r="K385" s="95">
        <f>IFERROR(VLOOKUP(J385,'11. Cadastro de Serviços'!$A$6:$E$200,2,FALSE),"")</f>
        <v/>
      </c>
      <c r="L385" s="95">
        <f>IFERROR(VLOOKUP(J385,'11. Cadastro de Serviços'!$A$6:$E$200,3,FALSE),"")</f>
        <v/>
      </c>
      <c r="M385" s="95">
        <f>IFERROR(VLOOKUP(J385,'11. Cadastro de Serviços'!$A$6:$E$200,4,FALSE),"")</f>
        <v/>
      </c>
      <c r="N385" s="95" t="n"/>
      <c r="O385" s="95">
        <f>IF(AND(G385&lt;&gt;"",I385&lt;&gt;"",J385&lt;&gt;"",M385&lt;&gt;""),"Rastreado","Revisar")</f>
        <v/>
      </c>
      <c r="P385" s="96" t="n"/>
    </row>
    <row r="386">
      <c r="A386" s="95" t="n"/>
      <c r="B386" s="96" t="n"/>
      <c r="C386" s="96" t="n"/>
      <c r="D386" s="95" t="n"/>
      <c r="E386" s="96" t="n"/>
      <c r="F386" s="96" t="n"/>
      <c r="G386" s="95">
        <f>IFERROR(VLOOKUP(F386,'12. Contratos_OS'!$A$6:$L$1000,2,FALSE),"")</f>
        <v/>
      </c>
      <c r="H386" s="95">
        <f>IFERROR(VLOOKUP(F386,'12. Contratos_OS'!$A$6:$L$1000,3,FALSE),"")</f>
        <v/>
      </c>
      <c r="I386" s="95">
        <f>IFERROR(VLOOKUP(F386,'12. Contratos_OS'!$A$6:$L$1000,4,FALSE),"")</f>
        <v/>
      </c>
      <c r="J386" s="95">
        <f>IFERROR(VLOOKUP(F386,'12. Contratos_OS'!$A$6:$L$1000,7,FALSE),"")</f>
        <v/>
      </c>
      <c r="K386" s="95">
        <f>IFERROR(VLOOKUP(J386,'11. Cadastro de Serviços'!$A$6:$E$200,2,FALSE),"")</f>
        <v/>
      </c>
      <c r="L386" s="95">
        <f>IFERROR(VLOOKUP(J386,'11. Cadastro de Serviços'!$A$6:$E$200,3,FALSE),"")</f>
        <v/>
      </c>
      <c r="M386" s="95">
        <f>IFERROR(VLOOKUP(J386,'11. Cadastro de Serviços'!$A$6:$E$200,4,FALSE),"")</f>
        <v/>
      </c>
      <c r="N386" s="95" t="n"/>
      <c r="O386" s="95">
        <f>IF(AND(G386&lt;&gt;"",I386&lt;&gt;"",J386&lt;&gt;"",M386&lt;&gt;""),"Rastreado","Revisar")</f>
        <v/>
      </c>
      <c r="P386" s="96" t="n"/>
    </row>
    <row r="387">
      <c r="A387" s="95" t="n"/>
      <c r="B387" s="96" t="n"/>
      <c r="C387" s="96" t="n"/>
      <c r="D387" s="95" t="n"/>
      <c r="E387" s="96" t="n"/>
      <c r="F387" s="96" t="n"/>
      <c r="G387" s="95">
        <f>IFERROR(VLOOKUP(F387,'12. Contratos_OS'!$A$6:$L$1000,2,FALSE),"")</f>
        <v/>
      </c>
      <c r="H387" s="95">
        <f>IFERROR(VLOOKUP(F387,'12. Contratos_OS'!$A$6:$L$1000,3,FALSE),"")</f>
        <v/>
      </c>
      <c r="I387" s="95">
        <f>IFERROR(VLOOKUP(F387,'12. Contratos_OS'!$A$6:$L$1000,4,FALSE),"")</f>
        <v/>
      </c>
      <c r="J387" s="95">
        <f>IFERROR(VLOOKUP(F387,'12. Contratos_OS'!$A$6:$L$1000,7,FALSE),"")</f>
        <v/>
      </c>
      <c r="K387" s="95">
        <f>IFERROR(VLOOKUP(J387,'11. Cadastro de Serviços'!$A$6:$E$200,2,FALSE),"")</f>
        <v/>
      </c>
      <c r="L387" s="95">
        <f>IFERROR(VLOOKUP(J387,'11. Cadastro de Serviços'!$A$6:$E$200,3,FALSE),"")</f>
        <v/>
      </c>
      <c r="M387" s="95">
        <f>IFERROR(VLOOKUP(J387,'11. Cadastro de Serviços'!$A$6:$E$200,4,FALSE),"")</f>
        <v/>
      </c>
      <c r="N387" s="95" t="n"/>
      <c r="O387" s="95">
        <f>IF(AND(G387&lt;&gt;"",I387&lt;&gt;"",J387&lt;&gt;"",M387&lt;&gt;""),"Rastreado","Revisar")</f>
        <v/>
      </c>
      <c r="P387" s="96" t="n"/>
    </row>
    <row r="388">
      <c r="A388" s="95" t="n"/>
      <c r="B388" s="96" t="n"/>
      <c r="C388" s="96" t="n"/>
      <c r="D388" s="95" t="n"/>
      <c r="E388" s="96" t="n"/>
      <c r="F388" s="96" t="n"/>
      <c r="G388" s="95">
        <f>IFERROR(VLOOKUP(F388,'12. Contratos_OS'!$A$6:$L$1000,2,FALSE),"")</f>
        <v/>
      </c>
      <c r="H388" s="95">
        <f>IFERROR(VLOOKUP(F388,'12. Contratos_OS'!$A$6:$L$1000,3,FALSE),"")</f>
        <v/>
      </c>
      <c r="I388" s="95">
        <f>IFERROR(VLOOKUP(F388,'12. Contratos_OS'!$A$6:$L$1000,4,FALSE),"")</f>
        <v/>
      </c>
      <c r="J388" s="95">
        <f>IFERROR(VLOOKUP(F388,'12. Contratos_OS'!$A$6:$L$1000,7,FALSE),"")</f>
        <v/>
      </c>
      <c r="K388" s="95">
        <f>IFERROR(VLOOKUP(J388,'11. Cadastro de Serviços'!$A$6:$E$200,2,FALSE),"")</f>
        <v/>
      </c>
      <c r="L388" s="95">
        <f>IFERROR(VLOOKUP(J388,'11. Cadastro de Serviços'!$A$6:$E$200,3,FALSE),"")</f>
        <v/>
      </c>
      <c r="M388" s="95">
        <f>IFERROR(VLOOKUP(J388,'11. Cadastro de Serviços'!$A$6:$E$200,4,FALSE),"")</f>
        <v/>
      </c>
      <c r="N388" s="95" t="n"/>
      <c r="O388" s="95">
        <f>IF(AND(G388&lt;&gt;"",I388&lt;&gt;"",J388&lt;&gt;"",M388&lt;&gt;""),"Rastreado","Revisar")</f>
        <v/>
      </c>
      <c r="P388" s="96" t="n"/>
    </row>
    <row r="389">
      <c r="A389" s="95" t="n"/>
      <c r="B389" s="96" t="n"/>
      <c r="C389" s="96" t="n"/>
      <c r="D389" s="95" t="n"/>
      <c r="E389" s="96" t="n"/>
      <c r="F389" s="96" t="n"/>
      <c r="G389" s="95">
        <f>IFERROR(VLOOKUP(F389,'12. Contratos_OS'!$A$6:$L$1000,2,FALSE),"")</f>
        <v/>
      </c>
      <c r="H389" s="95">
        <f>IFERROR(VLOOKUP(F389,'12. Contratos_OS'!$A$6:$L$1000,3,FALSE),"")</f>
        <v/>
      </c>
      <c r="I389" s="95">
        <f>IFERROR(VLOOKUP(F389,'12. Contratos_OS'!$A$6:$L$1000,4,FALSE),"")</f>
        <v/>
      </c>
      <c r="J389" s="95">
        <f>IFERROR(VLOOKUP(F389,'12. Contratos_OS'!$A$6:$L$1000,7,FALSE),"")</f>
        <v/>
      </c>
      <c r="K389" s="95">
        <f>IFERROR(VLOOKUP(J389,'11. Cadastro de Serviços'!$A$6:$E$200,2,FALSE),"")</f>
        <v/>
      </c>
      <c r="L389" s="95">
        <f>IFERROR(VLOOKUP(J389,'11. Cadastro de Serviços'!$A$6:$E$200,3,FALSE),"")</f>
        <v/>
      </c>
      <c r="M389" s="95">
        <f>IFERROR(VLOOKUP(J389,'11. Cadastro de Serviços'!$A$6:$E$200,4,FALSE),"")</f>
        <v/>
      </c>
      <c r="N389" s="95" t="n"/>
      <c r="O389" s="95">
        <f>IF(AND(G389&lt;&gt;"",I389&lt;&gt;"",J389&lt;&gt;"",M389&lt;&gt;""),"Rastreado","Revisar")</f>
        <v/>
      </c>
      <c r="P389" s="96" t="n"/>
    </row>
    <row r="390">
      <c r="A390" s="95" t="n"/>
      <c r="B390" s="96" t="n"/>
      <c r="C390" s="96" t="n"/>
      <c r="D390" s="95" t="n"/>
      <c r="E390" s="96" t="n"/>
      <c r="F390" s="96" t="n"/>
      <c r="G390" s="95">
        <f>IFERROR(VLOOKUP(F390,'12. Contratos_OS'!$A$6:$L$1000,2,FALSE),"")</f>
        <v/>
      </c>
      <c r="H390" s="95">
        <f>IFERROR(VLOOKUP(F390,'12. Contratos_OS'!$A$6:$L$1000,3,FALSE),"")</f>
        <v/>
      </c>
      <c r="I390" s="95">
        <f>IFERROR(VLOOKUP(F390,'12. Contratos_OS'!$A$6:$L$1000,4,FALSE),"")</f>
        <v/>
      </c>
      <c r="J390" s="95">
        <f>IFERROR(VLOOKUP(F390,'12. Contratos_OS'!$A$6:$L$1000,7,FALSE),"")</f>
        <v/>
      </c>
      <c r="K390" s="95">
        <f>IFERROR(VLOOKUP(J390,'11. Cadastro de Serviços'!$A$6:$E$200,2,FALSE),"")</f>
        <v/>
      </c>
      <c r="L390" s="95">
        <f>IFERROR(VLOOKUP(J390,'11. Cadastro de Serviços'!$A$6:$E$200,3,FALSE),"")</f>
        <v/>
      </c>
      <c r="M390" s="95">
        <f>IFERROR(VLOOKUP(J390,'11. Cadastro de Serviços'!$A$6:$E$200,4,FALSE),"")</f>
        <v/>
      </c>
      <c r="N390" s="95" t="n"/>
      <c r="O390" s="95">
        <f>IF(AND(G390&lt;&gt;"",I390&lt;&gt;"",J390&lt;&gt;"",M390&lt;&gt;""),"Rastreado","Revisar")</f>
        <v/>
      </c>
      <c r="P390" s="96" t="n"/>
    </row>
    <row r="391">
      <c r="A391" s="95" t="n"/>
      <c r="B391" s="96" t="n"/>
      <c r="C391" s="96" t="n"/>
      <c r="D391" s="95" t="n"/>
      <c r="E391" s="96" t="n"/>
      <c r="F391" s="96" t="n"/>
      <c r="G391" s="95">
        <f>IFERROR(VLOOKUP(F391,'12. Contratos_OS'!$A$6:$L$1000,2,FALSE),"")</f>
        <v/>
      </c>
      <c r="H391" s="95">
        <f>IFERROR(VLOOKUP(F391,'12. Contratos_OS'!$A$6:$L$1000,3,FALSE),"")</f>
        <v/>
      </c>
      <c r="I391" s="95">
        <f>IFERROR(VLOOKUP(F391,'12. Contratos_OS'!$A$6:$L$1000,4,FALSE),"")</f>
        <v/>
      </c>
      <c r="J391" s="95">
        <f>IFERROR(VLOOKUP(F391,'12. Contratos_OS'!$A$6:$L$1000,7,FALSE),"")</f>
        <v/>
      </c>
      <c r="K391" s="95">
        <f>IFERROR(VLOOKUP(J391,'11. Cadastro de Serviços'!$A$6:$E$200,2,FALSE),"")</f>
        <v/>
      </c>
      <c r="L391" s="95">
        <f>IFERROR(VLOOKUP(J391,'11. Cadastro de Serviços'!$A$6:$E$200,3,FALSE),"")</f>
        <v/>
      </c>
      <c r="M391" s="95">
        <f>IFERROR(VLOOKUP(J391,'11. Cadastro de Serviços'!$A$6:$E$200,4,FALSE),"")</f>
        <v/>
      </c>
      <c r="N391" s="95" t="n"/>
      <c r="O391" s="95">
        <f>IF(AND(G391&lt;&gt;"",I391&lt;&gt;"",J391&lt;&gt;"",M391&lt;&gt;""),"Rastreado","Revisar")</f>
        <v/>
      </c>
      <c r="P391" s="96" t="n"/>
    </row>
    <row r="392">
      <c r="A392" s="95" t="n"/>
      <c r="B392" s="96" t="n"/>
      <c r="C392" s="96" t="n"/>
      <c r="D392" s="95" t="n"/>
      <c r="E392" s="96" t="n"/>
      <c r="F392" s="96" t="n"/>
      <c r="G392" s="95">
        <f>IFERROR(VLOOKUP(F392,'12. Contratos_OS'!$A$6:$L$1000,2,FALSE),"")</f>
        <v/>
      </c>
      <c r="H392" s="95">
        <f>IFERROR(VLOOKUP(F392,'12. Contratos_OS'!$A$6:$L$1000,3,FALSE),"")</f>
        <v/>
      </c>
      <c r="I392" s="95">
        <f>IFERROR(VLOOKUP(F392,'12. Contratos_OS'!$A$6:$L$1000,4,FALSE),"")</f>
        <v/>
      </c>
      <c r="J392" s="95">
        <f>IFERROR(VLOOKUP(F392,'12. Contratos_OS'!$A$6:$L$1000,7,FALSE),"")</f>
        <v/>
      </c>
      <c r="K392" s="95">
        <f>IFERROR(VLOOKUP(J392,'11. Cadastro de Serviços'!$A$6:$E$200,2,FALSE),"")</f>
        <v/>
      </c>
      <c r="L392" s="95">
        <f>IFERROR(VLOOKUP(J392,'11. Cadastro de Serviços'!$A$6:$E$200,3,FALSE),"")</f>
        <v/>
      </c>
      <c r="M392" s="95">
        <f>IFERROR(VLOOKUP(J392,'11. Cadastro de Serviços'!$A$6:$E$200,4,FALSE),"")</f>
        <v/>
      </c>
      <c r="N392" s="95" t="n"/>
      <c r="O392" s="95">
        <f>IF(AND(G392&lt;&gt;"",I392&lt;&gt;"",J392&lt;&gt;"",M392&lt;&gt;""),"Rastreado","Revisar")</f>
        <v/>
      </c>
      <c r="P392" s="96" t="n"/>
    </row>
    <row r="393">
      <c r="A393" s="95" t="n"/>
      <c r="B393" s="96" t="n"/>
      <c r="C393" s="96" t="n"/>
      <c r="D393" s="95" t="n"/>
      <c r="E393" s="96" t="n"/>
      <c r="F393" s="96" t="n"/>
      <c r="G393" s="95">
        <f>IFERROR(VLOOKUP(F393,'12. Contratos_OS'!$A$6:$L$1000,2,FALSE),"")</f>
        <v/>
      </c>
      <c r="H393" s="95">
        <f>IFERROR(VLOOKUP(F393,'12. Contratos_OS'!$A$6:$L$1000,3,FALSE),"")</f>
        <v/>
      </c>
      <c r="I393" s="95">
        <f>IFERROR(VLOOKUP(F393,'12. Contratos_OS'!$A$6:$L$1000,4,FALSE),"")</f>
        <v/>
      </c>
      <c r="J393" s="95">
        <f>IFERROR(VLOOKUP(F393,'12. Contratos_OS'!$A$6:$L$1000,7,FALSE),"")</f>
        <v/>
      </c>
      <c r="K393" s="95">
        <f>IFERROR(VLOOKUP(J393,'11. Cadastro de Serviços'!$A$6:$E$200,2,FALSE),"")</f>
        <v/>
      </c>
      <c r="L393" s="95">
        <f>IFERROR(VLOOKUP(J393,'11. Cadastro de Serviços'!$A$6:$E$200,3,FALSE),"")</f>
        <v/>
      </c>
      <c r="M393" s="95">
        <f>IFERROR(VLOOKUP(J393,'11. Cadastro de Serviços'!$A$6:$E$200,4,FALSE),"")</f>
        <v/>
      </c>
      <c r="N393" s="95" t="n"/>
      <c r="O393" s="95">
        <f>IF(AND(G393&lt;&gt;"",I393&lt;&gt;"",J393&lt;&gt;"",M393&lt;&gt;""),"Rastreado","Revisar")</f>
        <v/>
      </c>
      <c r="P393" s="96" t="n"/>
    </row>
    <row r="394">
      <c r="A394" s="95" t="n"/>
      <c r="B394" s="96" t="n"/>
      <c r="C394" s="96" t="n"/>
      <c r="D394" s="95" t="n"/>
      <c r="E394" s="96" t="n"/>
      <c r="F394" s="96" t="n"/>
      <c r="G394" s="95">
        <f>IFERROR(VLOOKUP(F394,'12. Contratos_OS'!$A$6:$L$1000,2,FALSE),"")</f>
        <v/>
      </c>
      <c r="H394" s="95">
        <f>IFERROR(VLOOKUP(F394,'12. Contratos_OS'!$A$6:$L$1000,3,FALSE),"")</f>
        <v/>
      </c>
      <c r="I394" s="95">
        <f>IFERROR(VLOOKUP(F394,'12. Contratos_OS'!$A$6:$L$1000,4,FALSE),"")</f>
        <v/>
      </c>
      <c r="J394" s="95">
        <f>IFERROR(VLOOKUP(F394,'12. Contratos_OS'!$A$6:$L$1000,7,FALSE),"")</f>
        <v/>
      </c>
      <c r="K394" s="95">
        <f>IFERROR(VLOOKUP(J394,'11. Cadastro de Serviços'!$A$6:$E$200,2,FALSE),"")</f>
        <v/>
      </c>
      <c r="L394" s="95">
        <f>IFERROR(VLOOKUP(J394,'11. Cadastro de Serviços'!$A$6:$E$200,3,FALSE),"")</f>
        <v/>
      </c>
      <c r="M394" s="95">
        <f>IFERROR(VLOOKUP(J394,'11. Cadastro de Serviços'!$A$6:$E$200,4,FALSE),"")</f>
        <v/>
      </c>
      <c r="N394" s="95" t="n"/>
      <c r="O394" s="95">
        <f>IF(AND(G394&lt;&gt;"",I394&lt;&gt;"",J394&lt;&gt;"",M394&lt;&gt;""),"Rastreado","Revisar")</f>
        <v/>
      </c>
      <c r="P394" s="96" t="n"/>
    </row>
    <row r="395">
      <c r="A395" s="95" t="n"/>
      <c r="B395" s="96" t="n"/>
      <c r="C395" s="96" t="n"/>
      <c r="D395" s="95" t="n"/>
      <c r="E395" s="96" t="n"/>
      <c r="F395" s="96" t="n"/>
      <c r="G395" s="95">
        <f>IFERROR(VLOOKUP(F395,'12. Contratos_OS'!$A$6:$L$1000,2,FALSE),"")</f>
        <v/>
      </c>
      <c r="H395" s="95">
        <f>IFERROR(VLOOKUP(F395,'12. Contratos_OS'!$A$6:$L$1000,3,FALSE),"")</f>
        <v/>
      </c>
      <c r="I395" s="95">
        <f>IFERROR(VLOOKUP(F395,'12. Contratos_OS'!$A$6:$L$1000,4,FALSE),"")</f>
        <v/>
      </c>
      <c r="J395" s="95">
        <f>IFERROR(VLOOKUP(F395,'12. Contratos_OS'!$A$6:$L$1000,7,FALSE),"")</f>
        <v/>
      </c>
      <c r="K395" s="95">
        <f>IFERROR(VLOOKUP(J395,'11. Cadastro de Serviços'!$A$6:$E$200,2,FALSE),"")</f>
        <v/>
      </c>
      <c r="L395" s="95">
        <f>IFERROR(VLOOKUP(J395,'11. Cadastro de Serviços'!$A$6:$E$200,3,FALSE),"")</f>
        <v/>
      </c>
      <c r="M395" s="95">
        <f>IFERROR(VLOOKUP(J395,'11. Cadastro de Serviços'!$A$6:$E$200,4,FALSE),"")</f>
        <v/>
      </c>
      <c r="N395" s="95" t="n"/>
      <c r="O395" s="95">
        <f>IF(AND(G395&lt;&gt;"",I395&lt;&gt;"",J395&lt;&gt;"",M395&lt;&gt;""),"Rastreado","Revisar")</f>
        <v/>
      </c>
      <c r="P395" s="96" t="n"/>
    </row>
    <row r="396">
      <c r="A396" s="95" t="n"/>
      <c r="B396" s="96" t="n"/>
      <c r="C396" s="96" t="n"/>
      <c r="D396" s="95" t="n"/>
      <c r="E396" s="96" t="n"/>
      <c r="F396" s="96" t="n"/>
      <c r="G396" s="95">
        <f>IFERROR(VLOOKUP(F396,'12. Contratos_OS'!$A$6:$L$1000,2,FALSE),"")</f>
        <v/>
      </c>
      <c r="H396" s="95">
        <f>IFERROR(VLOOKUP(F396,'12. Contratos_OS'!$A$6:$L$1000,3,FALSE),"")</f>
        <v/>
      </c>
      <c r="I396" s="95">
        <f>IFERROR(VLOOKUP(F396,'12. Contratos_OS'!$A$6:$L$1000,4,FALSE),"")</f>
        <v/>
      </c>
      <c r="J396" s="95">
        <f>IFERROR(VLOOKUP(F396,'12. Contratos_OS'!$A$6:$L$1000,7,FALSE),"")</f>
        <v/>
      </c>
      <c r="K396" s="95">
        <f>IFERROR(VLOOKUP(J396,'11. Cadastro de Serviços'!$A$6:$E$200,2,FALSE),"")</f>
        <v/>
      </c>
      <c r="L396" s="95">
        <f>IFERROR(VLOOKUP(J396,'11. Cadastro de Serviços'!$A$6:$E$200,3,FALSE),"")</f>
        <v/>
      </c>
      <c r="M396" s="95">
        <f>IFERROR(VLOOKUP(J396,'11. Cadastro de Serviços'!$A$6:$E$200,4,FALSE),"")</f>
        <v/>
      </c>
      <c r="N396" s="95" t="n"/>
      <c r="O396" s="95">
        <f>IF(AND(G396&lt;&gt;"",I396&lt;&gt;"",J396&lt;&gt;"",M396&lt;&gt;""),"Rastreado","Revisar")</f>
        <v/>
      </c>
      <c r="P396" s="96" t="n"/>
    </row>
    <row r="397">
      <c r="A397" s="95" t="n"/>
      <c r="B397" s="96" t="n"/>
      <c r="C397" s="96" t="n"/>
      <c r="D397" s="95" t="n"/>
      <c r="E397" s="96" t="n"/>
      <c r="F397" s="96" t="n"/>
      <c r="G397" s="95">
        <f>IFERROR(VLOOKUP(F397,'12. Contratos_OS'!$A$6:$L$1000,2,FALSE),"")</f>
        <v/>
      </c>
      <c r="H397" s="95">
        <f>IFERROR(VLOOKUP(F397,'12. Contratos_OS'!$A$6:$L$1000,3,FALSE),"")</f>
        <v/>
      </c>
      <c r="I397" s="95">
        <f>IFERROR(VLOOKUP(F397,'12. Contratos_OS'!$A$6:$L$1000,4,FALSE),"")</f>
        <v/>
      </c>
      <c r="J397" s="95">
        <f>IFERROR(VLOOKUP(F397,'12. Contratos_OS'!$A$6:$L$1000,7,FALSE),"")</f>
        <v/>
      </c>
      <c r="K397" s="95">
        <f>IFERROR(VLOOKUP(J397,'11. Cadastro de Serviços'!$A$6:$E$200,2,FALSE),"")</f>
        <v/>
      </c>
      <c r="L397" s="95">
        <f>IFERROR(VLOOKUP(J397,'11. Cadastro de Serviços'!$A$6:$E$200,3,FALSE),"")</f>
        <v/>
      </c>
      <c r="M397" s="95">
        <f>IFERROR(VLOOKUP(J397,'11. Cadastro de Serviços'!$A$6:$E$200,4,FALSE),"")</f>
        <v/>
      </c>
      <c r="N397" s="95" t="n"/>
      <c r="O397" s="95">
        <f>IF(AND(G397&lt;&gt;"",I397&lt;&gt;"",J397&lt;&gt;"",M397&lt;&gt;""),"Rastreado","Revisar")</f>
        <v/>
      </c>
      <c r="P397" s="96" t="n"/>
    </row>
    <row r="398">
      <c r="A398" s="95" t="n"/>
      <c r="B398" s="96" t="n"/>
      <c r="C398" s="96" t="n"/>
      <c r="D398" s="95" t="n"/>
      <c r="E398" s="96" t="n"/>
      <c r="F398" s="96" t="n"/>
      <c r="G398" s="95">
        <f>IFERROR(VLOOKUP(F398,'12. Contratos_OS'!$A$6:$L$1000,2,FALSE),"")</f>
        <v/>
      </c>
      <c r="H398" s="95">
        <f>IFERROR(VLOOKUP(F398,'12. Contratos_OS'!$A$6:$L$1000,3,FALSE),"")</f>
        <v/>
      </c>
      <c r="I398" s="95">
        <f>IFERROR(VLOOKUP(F398,'12. Contratos_OS'!$A$6:$L$1000,4,FALSE),"")</f>
        <v/>
      </c>
      <c r="J398" s="95">
        <f>IFERROR(VLOOKUP(F398,'12. Contratos_OS'!$A$6:$L$1000,7,FALSE),"")</f>
        <v/>
      </c>
      <c r="K398" s="95">
        <f>IFERROR(VLOOKUP(J398,'11. Cadastro de Serviços'!$A$6:$E$200,2,FALSE),"")</f>
        <v/>
      </c>
      <c r="L398" s="95">
        <f>IFERROR(VLOOKUP(J398,'11. Cadastro de Serviços'!$A$6:$E$200,3,FALSE),"")</f>
        <v/>
      </c>
      <c r="M398" s="95">
        <f>IFERROR(VLOOKUP(J398,'11. Cadastro de Serviços'!$A$6:$E$200,4,FALSE),"")</f>
        <v/>
      </c>
      <c r="N398" s="95" t="n"/>
      <c r="O398" s="95">
        <f>IF(AND(G398&lt;&gt;"",I398&lt;&gt;"",J398&lt;&gt;"",M398&lt;&gt;""),"Rastreado","Revisar")</f>
        <v/>
      </c>
      <c r="P398" s="96" t="n"/>
    </row>
    <row r="399">
      <c r="A399" s="95" t="n"/>
      <c r="B399" s="96" t="n"/>
      <c r="C399" s="96" t="n"/>
      <c r="D399" s="95" t="n"/>
      <c r="E399" s="96" t="n"/>
      <c r="F399" s="96" t="n"/>
      <c r="G399" s="95">
        <f>IFERROR(VLOOKUP(F399,'12. Contratos_OS'!$A$6:$L$1000,2,FALSE),"")</f>
        <v/>
      </c>
      <c r="H399" s="95">
        <f>IFERROR(VLOOKUP(F399,'12. Contratos_OS'!$A$6:$L$1000,3,FALSE),"")</f>
        <v/>
      </c>
      <c r="I399" s="95">
        <f>IFERROR(VLOOKUP(F399,'12. Contratos_OS'!$A$6:$L$1000,4,FALSE),"")</f>
        <v/>
      </c>
      <c r="J399" s="95">
        <f>IFERROR(VLOOKUP(F399,'12. Contratos_OS'!$A$6:$L$1000,7,FALSE),"")</f>
        <v/>
      </c>
      <c r="K399" s="95">
        <f>IFERROR(VLOOKUP(J399,'11. Cadastro de Serviços'!$A$6:$E$200,2,FALSE),"")</f>
        <v/>
      </c>
      <c r="L399" s="95">
        <f>IFERROR(VLOOKUP(J399,'11. Cadastro de Serviços'!$A$6:$E$200,3,FALSE),"")</f>
        <v/>
      </c>
      <c r="M399" s="95">
        <f>IFERROR(VLOOKUP(J399,'11. Cadastro de Serviços'!$A$6:$E$200,4,FALSE),"")</f>
        <v/>
      </c>
      <c r="N399" s="95" t="n"/>
      <c r="O399" s="95">
        <f>IF(AND(G399&lt;&gt;"",I399&lt;&gt;"",J399&lt;&gt;"",M399&lt;&gt;""),"Rastreado","Revisar")</f>
        <v/>
      </c>
      <c r="P399" s="96" t="n"/>
    </row>
    <row r="400">
      <c r="A400" s="95" t="n"/>
      <c r="B400" s="96" t="n"/>
      <c r="C400" s="96" t="n"/>
      <c r="D400" s="95" t="n"/>
      <c r="E400" s="96" t="n"/>
      <c r="F400" s="96" t="n"/>
      <c r="G400" s="95">
        <f>IFERROR(VLOOKUP(F400,'12. Contratos_OS'!$A$6:$L$1000,2,FALSE),"")</f>
        <v/>
      </c>
      <c r="H400" s="95">
        <f>IFERROR(VLOOKUP(F400,'12. Contratos_OS'!$A$6:$L$1000,3,FALSE),"")</f>
        <v/>
      </c>
      <c r="I400" s="95">
        <f>IFERROR(VLOOKUP(F400,'12. Contratos_OS'!$A$6:$L$1000,4,FALSE),"")</f>
        <v/>
      </c>
      <c r="J400" s="95">
        <f>IFERROR(VLOOKUP(F400,'12. Contratos_OS'!$A$6:$L$1000,7,FALSE),"")</f>
        <v/>
      </c>
      <c r="K400" s="95">
        <f>IFERROR(VLOOKUP(J400,'11. Cadastro de Serviços'!$A$6:$E$200,2,FALSE),"")</f>
        <v/>
      </c>
      <c r="L400" s="95">
        <f>IFERROR(VLOOKUP(J400,'11. Cadastro de Serviços'!$A$6:$E$200,3,FALSE),"")</f>
        <v/>
      </c>
      <c r="M400" s="95">
        <f>IFERROR(VLOOKUP(J400,'11. Cadastro de Serviços'!$A$6:$E$200,4,FALSE),"")</f>
        <v/>
      </c>
      <c r="N400" s="95" t="n"/>
      <c r="O400" s="95">
        <f>IF(AND(G400&lt;&gt;"",I400&lt;&gt;"",J400&lt;&gt;"",M400&lt;&gt;""),"Rastreado","Revisar")</f>
        <v/>
      </c>
      <c r="P400" s="96" t="n"/>
    </row>
    <row r="401">
      <c r="A401" s="95" t="n"/>
      <c r="B401" s="96" t="n"/>
      <c r="C401" s="96" t="n"/>
      <c r="D401" s="95" t="n"/>
      <c r="E401" s="96" t="n"/>
      <c r="F401" s="96" t="n"/>
      <c r="G401" s="95">
        <f>IFERROR(VLOOKUP(F401,'12. Contratos_OS'!$A$6:$L$1000,2,FALSE),"")</f>
        <v/>
      </c>
      <c r="H401" s="95">
        <f>IFERROR(VLOOKUP(F401,'12. Contratos_OS'!$A$6:$L$1000,3,FALSE),"")</f>
        <v/>
      </c>
      <c r="I401" s="95">
        <f>IFERROR(VLOOKUP(F401,'12. Contratos_OS'!$A$6:$L$1000,4,FALSE),"")</f>
        <v/>
      </c>
      <c r="J401" s="95">
        <f>IFERROR(VLOOKUP(F401,'12. Contratos_OS'!$A$6:$L$1000,7,FALSE),"")</f>
        <v/>
      </c>
      <c r="K401" s="95">
        <f>IFERROR(VLOOKUP(J401,'11. Cadastro de Serviços'!$A$6:$E$200,2,FALSE),"")</f>
        <v/>
      </c>
      <c r="L401" s="95">
        <f>IFERROR(VLOOKUP(J401,'11. Cadastro de Serviços'!$A$6:$E$200,3,FALSE),"")</f>
        <v/>
      </c>
      <c r="M401" s="95">
        <f>IFERROR(VLOOKUP(J401,'11. Cadastro de Serviços'!$A$6:$E$200,4,FALSE),"")</f>
        <v/>
      </c>
      <c r="N401" s="95" t="n"/>
      <c r="O401" s="95">
        <f>IF(AND(G401&lt;&gt;"",I401&lt;&gt;"",J401&lt;&gt;"",M401&lt;&gt;""),"Rastreado","Revisar")</f>
        <v/>
      </c>
      <c r="P401" s="96" t="n"/>
    </row>
    <row r="402">
      <c r="A402" s="95" t="n"/>
      <c r="B402" s="96" t="n"/>
      <c r="C402" s="96" t="n"/>
      <c r="D402" s="95" t="n"/>
      <c r="E402" s="96" t="n"/>
      <c r="F402" s="96" t="n"/>
      <c r="G402" s="95">
        <f>IFERROR(VLOOKUP(F402,'12. Contratos_OS'!$A$6:$L$1000,2,FALSE),"")</f>
        <v/>
      </c>
      <c r="H402" s="95">
        <f>IFERROR(VLOOKUP(F402,'12. Contratos_OS'!$A$6:$L$1000,3,FALSE),"")</f>
        <v/>
      </c>
      <c r="I402" s="95">
        <f>IFERROR(VLOOKUP(F402,'12. Contratos_OS'!$A$6:$L$1000,4,FALSE),"")</f>
        <v/>
      </c>
      <c r="J402" s="95">
        <f>IFERROR(VLOOKUP(F402,'12. Contratos_OS'!$A$6:$L$1000,7,FALSE),"")</f>
        <v/>
      </c>
      <c r="K402" s="95">
        <f>IFERROR(VLOOKUP(J402,'11. Cadastro de Serviços'!$A$6:$E$200,2,FALSE),"")</f>
        <v/>
      </c>
      <c r="L402" s="95">
        <f>IFERROR(VLOOKUP(J402,'11. Cadastro de Serviços'!$A$6:$E$200,3,FALSE),"")</f>
        <v/>
      </c>
      <c r="M402" s="95">
        <f>IFERROR(VLOOKUP(J402,'11. Cadastro de Serviços'!$A$6:$E$200,4,FALSE),"")</f>
        <v/>
      </c>
      <c r="N402" s="95" t="n"/>
      <c r="O402" s="95">
        <f>IF(AND(G402&lt;&gt;"",I402&lt;&gt;"",J402&lt;&gt;"",M402&lt;&gt;""),"Rastreado","Revisar")</f>
        <v/>
      </c>
      <c r="P402" s="96" t="n"/>
    </row>
    <row r="403">
      <c r="A403" s="95" t="n"/>
      <c r="B403" s="96" t="n"/>
      <c r="C403" s="96" t="n"/>
      <c r="D403" s="95" t="n"/>
      <c r="E403" s="96" t="n"/>
      <c r="F403" s="96" t="n"/>
      <c r="G403" s="95">
        <f>IFERROR(VLOOKUP(F403,'12. Contratos_OS'!$A$6:$L$1000,2,FALSE),"")</f>
        <v/>
      </c>
      <c r="H403" s="95">
        <f>IFERROR(VLOOKUP(F403,'12. Contratos_OS'!$A$6:$L$1000,3,FALSE),"")</f>
        <v/>
      </c>
      <c r="I403" s="95">
        <f>IFERROR(VLOOKUP(F403,'12. Contratos_OS'!$A$6:$L$1000,4,FALSE),"")</f>
        <v/>
      </c>
      <c r="J403" s="95">
        <f>IFERROR(VLOOKUP(F403,'12. Contratos_OS'!$A$6:$L$1000,7,FALSE),"")</f>
        <v/>
      </c>
      <c r="K403" s="95">
        <f>IFERROR(VLOOKUP(J403,'11. Cadastro de Serviços'!$A$6:$E$200,2,FALSE),"")</f>
        <v/>
      </c>
      <c r="L403" s="95">
        <f>IFERROR(VLOOKUP(J403,'11. Cadastro de Serviços'!$A$6:$E$200,3,FALSE),"")</f>
        <v/>
      </c>
      <c r="M403" s="95">
        <f>IFERROR(VLOOKUP(J403,'11. Cadastro de Serviços'!$A$6:$E$200,4,FALSE),"")</f>
        <v/>
      </c>
      <c r="N403" s="95" t="n"/>
      <c r="O403" s="95">
        <f>IF(AND(G403&lt;&gt;"",I403&lt;&gt;"",J403&lt;&gt;"",M403&lt;&gt;""),"Rastreado","Revisar")</f>
        <v/>
      </c>
      <c r="P403" s="96" t="n"/>
    </row>
    <row r="404">
      <c r="A404" s="95" t="n"/>
      <c r="B404" s="96" t="n"/>
      <c r="C404" s="96" t="n"/>
      <c r="D404" s="95" t="n"/>
      <c r="E404" s="96" t="n"/>
      <c r="F404" s="96" t="n"/>
      <c r="G404" s="95">
        <f>IFERROR(VLOOKUP(F404,'12. Contratos_OS'!$A$6:$L$1000,2,FALSE),"")</f>
        <v/>
      </c>
      <c r="H404" s="95">
        <f>IFERROR(VLOOKUP(F404,'12. Contratos_OS'!$A$6:$L$1000,3,FALSE),"")</f>
        <v/>
      </c>
      <c r="I404" s="95">
        <f>IFERROR(VLOOKUP(F404,'12. Contratos_OS'!$A$6:$L$1000,4,FALSE),"")</f>
        <v/>
      </c>
      <c r="J404" s="95">
        <f>IFERROR(VLOOKUP(F404,'12. Contratos_OS'!$A$6:$L$1000,7,FALSE),"")</f>
        <v/>
      </c>
      <c r="K404" s="95">
        <f>IFERROR(VLOOKUP(J404,'11. Cadastro de Serviços'!$A$6:$E$200,2,FALSE),"")</f>
        <v/>
      </c>
      <c r="L404" s="95">
        <f>IFERROR(VLOOKUP(J404,'11. Cadastro de Serviços'!$A$6:$E$200,3,FALSE),"")</f>
        <v/>
      </c>
      <c r="M404" s="95">
        <f>IFERROR(VLOOKUP(J404,'11. Cadastro de Serviços'!$A$6:$E$200,4,FALSE),"")</f>
        <v/>
      </c>
      <c r="N404" s="95" t="n"/>
      <c r="O404" s="95">
        <f>IF(AND(G404&lt;&gt;"",I404&lt;&gt;"",J404&lt;&gt;"",M404&lt;&gt;""),"Rastreado","Revisar")</f>
        <v/>
      </c>
      <c r="P404" s="96" t="n"/>
    </row>
    <row r="405">
      <c r="A405" s="95" t="n"/>
      <c r="B405" s="96" t="n"/>
      <c r="C405" s="96" t="n"/>
      <c r="D405" s="95" t="n"/>
      <c r="E405" s="96" t="n"/>
      <c r="F405" s="96" t="n"/>
      <c r="G405" s="95">
        <f>IFERROR(VLOOKUP(F405,'12. Contratos_OS'!$A$6:$L$1000,2,FALSE),"")</f>
        <v/>
      </c>
      <c r="H405" s="95">
        <f>IFERROR(VLOOKUP(F405,'12. Contratos_OS'!$A$6:$L$1000,3,FALSE),"")</f>
        <v/>
      </c>
      <c r="I405" s="95">
        <f>IFERROR(VLOOKUP(F405,'12. Contratos_OS'!$A$6:$L$1000,4,FALSE),"")</f>
        <v/>
      </c>
      <c r="J405" s="95">
        <f>IFERROR(VLOOKUP(F405,'12. Contratos_OS'!$A$6:$L$1000,7,FALSE),"")</f>
        <v/>
      </c>
      <c r="K405" s="95">
        <f>IFERROR(VLOOKUP(J405,'11. Cadastro de Serviços'!$A$6:$E$200,2,FALSE),"")</f>
        <v/>
      </c>
      <c r="L405" s="95">
        <f>IFERROR(VLOOKUP(J405,'11. Cadastro de Serviços'!$A$6:$E$200,3,FALSE),"")</f>
        <v/>
      </c>
      <c r="M405" s="95">
        <f>IFERROR(VLOOKUP(J405,'11. Cadastro de Serviços'!$A$6:$E$200,4,FALSE),"")</f>
        <v/>
      </c>
      <c r="N405" s="95" t="n"/>
      <c r="O405" s="95">
        <f>IF(AND(G405&lt;&gt;"",I405&lt;&gt;"",J405&lt;&gt;"",M405&lt;&gt;""),"Rastreado","Revisar")</f>
        <v/>
      </c>
      <c r="P405" s="96" t="n"/>
    </row>
    <row r="406">
      <c r="A406" s="95" t="n"/>
      <c r="B406" s="96" t="n"/>
      <c r="C406" s="96" t="n"/>
      <c r="D406" s="95" t="n"/>
      <c r="E406" s="96" t="n"/>
      <c r="F406" s="96" t="n"/>
      <c r="G406" s="95">
        <f>IFERROR(VLOOKUP(F406,'12. Contratos_OS'!$A$6:$L$1000,2,FALSE),"")</f>
        <v/>
      </c>
      <c r="H406" s="95">
        <f>IFERROR(VLOOKUP(F406,'12. Contratos_OS'!$A$6:$L$1000,3,FALSE),"")</f>
        <v/>
      </c>
      <c r="I406" s="95">
        <f>IFERROR(VLOOKUP(F406,'12. Contratos_OS'!$A$6:$L$1000,4,FALSE),"")</f>
        <v/>
      </c>
      <c r="J406" s="95">
        <f>IFERROR(VLOOKUP(F406,'12. Contratos_OS'!$A$6:$L$1000,7,FALSE),"")</f>
        <v/>
      </c>
      <c r="K406" s="95">
        <f>IFERROR(VLOOKUP(J406,'11. Cadastro de Serviços'!$A$6:$E$200,2,FALSE),"")</f>
        <v/>
      </c>
      <c r="L406" s="95">
        <f>IFERROR(VLOOKUP(J406,'11. Cadastro de Serviços'!$A$6:$E$200,3,FALSE),"")</f>
        <v/>
      </c>
      <c r="M406" s="95">
        <f>IFERROR(VLOOKUP(J406,'11. Cadastro de Serviços'!$A$6:$E$200,4,FALSE),"")</f>
        <v/>
      </c>
      <c r="N406" s="95" t="n"/>
      <c r="O406" s="95">
        <f>IF(AND(G406&lt;&gt;"",I406&lt;&gt;"",J406&lt;&gt;"",M406&lt;&gt;""),"Rastreado","Revisar")</f>
        <v/>
      </c>
      <c r="P406" s="96" t="n"/>
    </row>
    <row r="407">
      <c r="A407" s="95" t="n"/>
      <c r="B407" s="96" t="n"/>
      <c r="C407" s="96" t="n"/>
      <c r="D407" s="95" t="n"/>
      <c r="E407" s="96" t="n"/>
      <c r="F407" s="96" t="n"/>
      <c r="G407" s="95">
        <f>IFERROR(VLOOKUP(F407,'12. Contratos_OS'!$A$6:$L$1000,2,FALSE),"")</f>
        <v/>
      </c>
      <c r="H407" s="95">
        <f>IFERROR(VLOOKUP(F407,'12. Contratos_OS'!$A$6:$L$1000,3,FALSE),"")</f>
        <v/>
      </c>
      <c r="I407" s="95">
        <f>IFERROR(VLOOKUP(F407,'12. Contratos_OS'!$A$6:$L$1000,4,FALSE),"")</f>
        <v/>
      </c>
      <c r="J407" s="95">
        <f>IFERROR(VLOOKUP(F407,'12. Contratos_OS'!$A$6:$L$1000,7,FALSE),"")</f>
        <v/>
      </c>
      <c r="K407" s="95">
        <f>IFERROR(VLOOKUP(J407,'11. Cadastro de Serviços'!$A$6:$E$200,2,FALSE),"")</f>
        <v/>
      </c>
      <c r="L407" s="95">
        <f>IFERROR(VLOOKUP(J407,'11. Cadastro de Serviços'!$A$6:$E$200,3,FALSE),"")</f>
        <v/>
      </c>
      <c r="M407" s="95">
        <f>IFERROR(VLOOKUP(J407,'11. Cadastro de Serviços'!$A$6:$E$200,4,FALSE),"")</f>
        <v/>
      </c>
      <c r="N407" s="95" t="n"/>
      <c r="O407" s="95">
        <f>IF(AND(G407&lt;&gt;"",I407&lt;&gt;"",J407&lt;&gt;"",M407&lt;&gt;""),"Rastreado","Revisar")</f>
        <v/>
      </c>
      <c r="P407" s="96" t="n"/>
    </row>
    <row r="408">
      <c r="A408" s="95" t="n"/>
      <c r="B408" s="96" t="n"/>
      <c r="C408" s="96" t="n"/>
      <c r="D408" s="95" t="n"/>
      <c r="E408" s="96" t="n"/>
      <c r="F408" s="96" t="n"/>
      <c r="G408" s="95">
        <f>IFERROR(VLOOKUP(F408,'12. Contratos_OS'!$A$6:$L$1000,2,FALSE),"")</f>
        <v/>
      </c>
      <c r="H408" s="95">
        <f>IFERROR(VLOOKUP(F408,'12. Contratos_OS'!$A$6:$L$1000,3,FALSE),"")</f>
        <v/>
      </c>
      <c r="I408" s="95">
        <f>IFERROR(VLOOKUP(F408,'12. Contratos_OS'!$A$6:$L$1000,4,FALSE),"")</f>
        <v/>
      </c>
      <c r="J408" s="95">
        <f>IFERROR(VLOOKUP(F408,'12. Contratos_OS'!$A$6:$L$1000,7,FALSE),"")</f>
        <v/>
      </c>
      <c r="K408" s="95">
        <f>IFERROR(VLOOKUP(J408,'11. Cadastro de Serviços'!$A$6:$E$200,2,FALSE),"")</f>
        <v/>
      </c>
      <c r="L408" s="95">
        <f>IFERROR(VLOOKUP(J408,'11. Cadastro de Serviços'!$A$6:$E$200,3,FALSE),"")</f>
        <v/>
      </c>
      <c r="M408" s="95">
        <f>IFERROR(VLOOKUP(J408,'11. Cadastro de Serviços'!$A$6:$E$200,4,FALSE),"")</f>
        <v/>
      </c>
      <c r="N408" s="95" t="n"/>
      <c r="O408" s="95">
        <f>IF(AND(G408&lt;&gt;"",I408&lt;&gt;"",J408&lt;&gt;"",M408&lt;&gt;""),"Rastreado","Revisar")</f>
        <v/>
      </c>
      <c r="P408" s="96" t="n"/>
    </row>
    <row r="409">
      <c r="A409" s="95" t="n"/>
      <c r="B409" s="96" t="n"/>
      <c r="C409" s="96" t="n"/>
      <c r="D409" s="95" t="n"/>
      <c r="E409" s="96" t="n"/>
      <c r="F409" s="96" t="n"/>
      <c r="G409" s="95">
        <f>IFERROR(VLOOKUP(F409,'12. Contratos_OS'!$A$6:$L$1000,2,FALSE),"")</f>
        <v/>
      </c>
      <c r="H409" s="95">
        <f>IFERROR(VLOOKUP(F409,'12. Contratos_OS'!$A$6:$L$1000,3,FALSE),"")</f>
        <v/>
      </c>
      <c r="I409" s="95">
        <f>IFERROR(VLOOKUP(F409,'12. Contratos_OS'!$A$6:$L$1000,4,FALSE),"")</f>
        <v/>
      </c>
      <c r="J409" s="95">
        <f>IFERROR(VLOOKUP(F409,'12. Contratos_OS'!$A$6:$L$1000,7,FALSE),"")</f>
        <v/>
      </c>
      <c r="K409" s="95">
        <f>IFERROR(VLOOKUP(J409,'11. Cadastro de Serviços'!$A$6:$E$200,2,FALSE),"")</f>
        <v/>
      </c>
      <c r="L409" s="95">
        <f>IFERROR(VLOOKUP(J409,'11. Cadastro de Serviços'!$A$6:$E$200,3,FALSE),"")</f>
        <v/>
      </c>
      <c r="M409" s="95">
        <f>IFERROR(VLOOKUP(J409,'11. Cadastro de Serviços'!$A$6:$E$200,4,FALSE),"")</f>
        <v/>
      </c>
      <c r="N409" s="95" t="n"/>
      <c r="O409" s="95">
        <f>IF(AND(G409&lt;&gt;"",I409&lt;&gt;"",J409&lt;&gt;"",M409&lt;&gt;""),"Rastreado","Revisar")</f>
        <v/>
      </c>
      <c r="P409" s="96" t="n"/>
    </row>
    <row r="410">
      <c r="A410" s="95" t="n"/>
      <c r="B410" s="96" t="n"/>
      <c r="C410" s="96" t="n"/>
      <c r="D410" s="95" t="n"/>
      <c r="E410" s="96" t="n"/>
      <c r="F410" s="96" t="n"/>
      <c r="G410" s="95">
        <f>IFERROR(VLOOKUP(F410,'12. Contratos_OS'!$A$6:$L$1000,2,FALSE),"")</f>
        <v/>
      </c>
      <c r="H410" s="95">
        <f>IFERROR(VLOOKUP(F410,'12. Contratos_OS'!$A$6:$L$1000,3,FALSE),"")</f>
        <v/>
      </c>
      <c r="I410" s="95">
        <f>IFERROR(VLOOKUP(F410,'12. Contratos_OS'!$A$6:$L$1000,4,FALSE),"")</f>
        <v/>
      </c>
      <c r="J410" s="95">
        <f>IFERROR(VLOOKUP(F410,'12. Contratos_OS'!$A$6:$L$1000,7,FALSE),"")</f>
        <v/>
      </c>
      <c r="K410" s="95">
        <f>IFERROR(VLOOKUP(J410,'11. Cadastro de Serviços'!$A$6:$E$200,2,FALSE),"")</f>
        <v/>
      </c>
      <c r="L410" s="95">
        <f>IFERROR(VLOOKUP(J410,'11. Cadastro de Serviços'!$A$6:$E$200,3,FALSE),"")</f>
        <v/>
      </c>
      <c r="M410" s="95">
        <f>IFERROR(VLOOKUP(J410,'11. Cadastro de Serviços'!$A$6:$E$200,4,FALSE),"")</f>
        <v/>
      </c>
      <c r="N410" s="95" t="n"/>
      <c r="O410" s="95">
        <f>IF(AND(G410&lt;&gt;"",I410&lt;&gt;"",J410&lt;&gt;"",M410&lt;&gt;""),"Rastreado","Revisar")</f>
        <v/>
      </c>
      <c r="P410" s="96" t="n"/>
    </row>
    <row r="411">
      <c r="A411" s="95" t="n"/>
      <c r="B411" s="96" t="n"/>
      <c r="C411" s="96" t="n"/>
      <c r="D411" s="95" t="n"/>
      <c r="E411" s="96" t="n"/>
      <c r="F411" s="96" t="n"/>
      <c r="G411" s="95">
        <f>IFERROR(VLOOKUP(F411,'12. Contratos_OS'!$A$6:$L$1000,2,FALSE),"")</f>
        <v/>
      </c>
      <c r="H411" s="95">
        <f>IFERROR(VLOOKUP(F411,'12. Contratos_OS'!$A$6:$L$1000,3,FALSE),"")</f>
        <v/>
      </c>
      <c r="I411" s="95">
        <f>IFERROR(VLOOKUP(F411,'12. Contratos_OS'!$A$6:$L$1000,4,FALSE),"")</f>
        <v/>
      </c>
      <c r="J411" s="95">
        <f>IFERROR(VLOOKUP(F411,'12. Contratos_OS'!$A$6:$L$1000,7,FALSE),"")</f>
        <v/>
      </c>
      <c r="K411" s="95">
        <f>IFERROR(VLOOKUP(J411,'11. Cadastro de Serviços'!$A$6:$E$200,2,FALSE),"")</f>
        <v/>
      </c>
      <c r="L411" s="95">
        <f>IFERROR(VLOOKUP(J411,'11. Cadastro de Serviços'!$A$6:$E$200,3,FALSE),"")</f>
        <v/>
      </c>
      <c r="M411" s="95">
        <f>IFERROR(VLOOKUP(J411,'11. Cadastro de Serviços'!$A$6:$E$200,4,FALSE),"")</f>
        <v/>
      </c>
      <c r="N411" s="95" t="n"/>
      <c r="O411" s="95">
        <f>IF(AND(G411&lt;&gt;"",I411&lt;&gt;"",J411&lt;&gt;"",M411&lt;&gt;""),"Rastreado","Revisar")</f>
        <v/>
      </c>
      <c r="P411" s="96" t="n"/>
    </row>
    <row r="412">
      <c r="A412" s="95" t="n"/>
      <c r="B412" s="96" t="n"/>
      <c r="C412" s="96" t="n"/>
      <c r="D412" s="95" t="n"/>
      <c r="E412" s="96" t="n"/>
      <c r="F412" s="96" t="n"/>
      <c r="G412" s="95">
        <f>IFERROR(VLOOKUP(F412,'12. Contratos_OS'!$A$6:$L$1000,2,FALSE),"")</f>
        <v/>
      </c>
      <c r="H412" s="95">
        <f>IFERROR(VLOOKUP(F412,'12. Contratos_OS'!$A$6:$L$1000,3,FALSE),"")</f>
        <v/>
      </c>
      <c r="I412" s="95">
        <f>IFERROR(VLOOKUP(F412,'12. Contratos_OS'!$A$6:$L$1000,4,FALSE),"")</f>
        <v/>
      </c>
      <c r="J412" s="95">
        <f>IFERROR(VLOOKUP(F412,'12. Contratos_OS'!$A$6:$L$1000,7,FALSE),"")</f>
        <v/>
      </c>
      <c r="K412" s="95">
        <f>IFERROR(VLOOKUP(J412,'11. Cadastro de Serviços'!$A$6:$E$200,2,FALSE),"")</f>
        <v/>
      </c>
      <c r="L412" s="95">
        <f>IFERROR(VLOOKUP(J412,'11. Cadastro de Serviços'!$A$6:$E$200,3,FALSE),"")</f>
        <v/>
      </c>
      <c r="M412" s="95">
        <f>IFERROR(VLOOKUP(J412,'11. Cadastro de Serviços'!$A$6:$E$200,4,FALSE),"")</f>
        <v/>
      </c>
      <c r="N412" s="95" t="n"/>
      <c r="O412" s="95">
        <f>IF(AND(G412&lt;&gt;"",I412&lt;&gt;"",J412&lt;&gt;"",M412&lt;&gt;""),"Rastreado","Revisar")</f>
        <v/>
      </c>
      <c r="P412" s="96" t="n"/>
    </row>
    <row r="413">
      <c r="A413" s="95" t="n"/>
      <c r="B413" s="96" t="n"/>
      <c r="C413" s="96" t="n"/>
      <c r="D413" s="95" t="n"/>
      <c r="E413" s="96" t="n"/>
      <c r="F413" s="96" t="n"/>
      <c r="G413" s="95">
        <f>IFERROR(VLOOKUP(F413,'12. Contratos_OS'!$A$6:$L$1000,2,FALSE),"")</f>
        <v/>
      </c>
      <c r="H413" s="95">
        <f>IFERROR(VLOOKUP(F413,'12. Contratos_OS'!$A$6:$L$1000,3,FALSE),"")</f>
        <v/>
      </c>
      <c r="I413" s="95">
        <f>IFERROR(VLOOKUP(F413,'12. Contratos_OS'!$A$6:$L$1000,4,FALSE),"")</f>
        <v/>
      </c>
      <c r="J413" s="95">
        <f>IFERROR(VLOOKUP(F413,'12. Contratos_OS'!$A$6:$L$1000,7,FALSE),"")</f>
        <v/>
      </c>
      <c r="K413" s="95">
        <f>IFERROR(VLOOKUP(J413,'11. Cadastro de Serviços'!$A$6:$E$200,2,FALSE),"")</f>
        <v/>
      </c>
      <c r="L413" s="95">
        <f>IFERROR(VLOOKUP(J413,'11. Cadastro de Serviços'!$A$6:$E$200,3,FALSE),"")</f>
        <v/>
      </c>
      <c r="M413" s="95">
        <f>IFERROR(VLOOKUP(J413,'11. Cadastro de Serviços'!$A$6:$E$200,4,FALSE),"")</f>
        <v/>
      </c>
      <c r="N413" s="95" t="n"/>
      <c r="O413" s="95">
        <f>IF(AND(G413&lt;&gt;"",I413&lt;&gt;"",J413&lt;&gt;"",M413&lt;&gt;""),"Rastreado","Revisar")</f>
        <v/>
      </c>
      <c r="P413" s="96" t="n"/>
    </row>
    <row r="414">
      <c r="A414" s="95" t="n"/>
      <c r="B414" s="96" t="n"/>
      <c r="C414" s="96" t="n"/>
      <c r="D414" s="95" t="n"/>
      <c r="E414" s="96" t="n"/>
      <c r="F414" s="96" t="n"/>
      <c r="G414" s="95">
        <f>IFERROR(VLOOKUP(F414,'12. Contratos_OS'!$A$6:$L$1000,2,FALSE),"")</f>
        <v/>
      </c>
      <c r="H414" s="95">
        <f>IFERROR(VLOOKUP(F414,'12. Contratos_OS'!$A$6:$L$1000,3,FALSE),"")</f>
        <v/>
      </c>
      <c r="I414" s="95">
        <f>IFERROR(VLOOKUP(F414,'12. Contratos_OS'!$A$6:$L$1000,4,FALSE),"")</f>
        <v/>
      </c>
      <c r="J414" s="95">
        <f>IFERROR(VLOOKUP(F414,'12. Contratos_OS'!$A$6:$L$1000,7,FALSE),"")</f>
        <v/>
      </c>
      <c r="K414" s="95">
        <f>IFERROR(VLOOKUP(J414,'11. Cadastro de Serviços'!$A$6:$E$200,2,FALSE),"")</f>
        <v/>
      </c>
      <c r="L414" s="95">
        <f>IFERROR(VLOOKUP(J414,'11. Cadastro de Serviços'!$A$6:$E$200,3,FALSE),"")</f>
        <v/>
      </c>
      <c r="M414" s="95">
        <f>IFERROR(VLOOKUP(J414,'11. Cadastro de Serviços'!$A$6:$E$200,4,FALSE),"")</f>
        <v/>
      </c>
      <c r="N414" s="95" t="n"/>
      <c r="O414" s="95">
        <f>IF(AND(G414&lt;&gt;"",I414&lt;&gt;"",J414&lt;&gt;"",M414&lt;&gt;""),"Rastreado","Revisar")</f>
        <v/>
      </c>
      <c r="P414" s="96" t="n"/>
    </row>
    <row r="415">
      <c r="A415" s="95" t="n"/>
      <c r="B415" s="96" t="n"/>
      <c r="C415" s="96" t="n"/>
      <c r="D415" s="95" t="n"/>
      <c r="E415" s="96" t="n"/>
      <c r="F415" s="96" t="n"/>
      <c r="G415" s="95">
        <f>IFERROR(VLOOKUP(F415,'12. Contratos_OS'!$A$6:$L$1000,2,FALSE),"")</f>
        <v/>
      </c>
      <c r="H415" s="95">
        <f>IFERROR(VLOOKUP(F415,'12. Contratos_OS'!$A$6:$L$1000,3,FALSE),"")</f>
        <v/>
      </c>
      <c r="I415" s="95">
        <f>IFERROR(VLOOKUP(F415,'12. Contratos_OS'!$A$6:$L$1000,4,FALSE),"")</f>
        <v/>
      </c>
      <c r="J415" s="95">
        <f>IFERROR(VLOOKUP(F415,'12. Contratos_OS'!$A$6:$L$1000,7,FALSE),"")</f>
        <v/>
      </c>
      <c r="K415" s="95">
        <f>IFERROR(VLOOKUP(J415,'11. Cadastro de Serviços'!$A$6:$E$200,2,FALSE),"")</f>
        <v/>
      </c>
      <c r="L415" s="95">
        <f>IFERROR(VLOOKUP(J415,'11. Cadastro de Serviços'!$A$6:$E$200,3,FALSE),"")</f>
        <v/>
      </c>
      <c r="M415" s="95">
        <f>IFERROR(VLOOKUP(J415,'11. Cadastro de Serviços'!$A$6:$E$200,4,FALSE),"")</f>
        <v/>
      </c>
      <c r="N415" s="95" t="n"/>
      <c r="O415" s="95">
        <f>IF(AND(G415&lt;&gt;"",I415&lt;&gt;"",J415&lt;&gt;"",M415&lt;&gt;""),"Rastreado","Revisar")</f>
        <v/>
      </c>
      <c r="P415" s="96" t="n"/>
    </row>
    <row r="416">
      <c r="A416" s="95" t="n"/>
      <c r="B416" s="96" t="n"/>
      <c r="C416" s="96" t="n"/>
      <c r="D416" s="95" t="n"/>
      <c r="E416" s="96" t="n"/>
      <c r="F416" s="96" t="n"/>
      <c r="G416" s="95">
        <f>IFERROR(VLOOKUP(F416,'12. Contratos_OS'!$A$6:$L$1000,2,FALSE),"")</f>
        <v/>
      </c>
      <c r="H416" s="95">
        <f>IFERROR(VLOOKUP(F416,'12. Contratos_OS'!$A$6:$L$1000,3,FALSE),"")</f>
        <v/>
      </c>
      <c r="I416" s="95">
        <f>IFERROR(VLOOKUP(F416,'12. Contratos_OS'!$A$6:$L$1000,4,FALSE),"")</f>
        <v/>
      </c>
      <c r="J416" s="95">
        <f>IFERROR(VLOOKUP(F416,'12. Contratos_OS'!$A$6:$L$1000,7,FALSE),"")</f>
        <v/>
      </c>
      <c r="K416" s="95">
        <f>IFERROR(VLOOKUP(J416,'11. Cadastro de Serviços'!$A$6:$E$200,2,FALSE),"")</f>
        <v/>
      </c>
      <c r="L416" s="95">
        <f>IFERROR(VLOOKUP(J416,'11. Cadastro de Serviços'!$A$6:$E$200,3,FALSE),"")</f>
        <v/>
      </c>
      <c r="M416" s="95">
        <f>IFERROR(VLOOKUP(J416,'11. Cadastro de Serviços'!$A$6:$E$200,4,FALSE),"")</f>
        <v/>
      </c>
      <c r="N416" s="95" t="n"/>
      <c r="O416" s="95">
        <f>IF(AND(G416&lt;&gt;"",I416&lt;&gt;"",J416&lt;&gt;"",M416&lt;&gt;""),"Rastreado","Revisar")</f>
        <v/>
      </c>
      <c r="P416" s="96" t="n"/>
    </row>
    <row r="417">
      <c r="A417" s="95" t="n"/>
      <c r="B417" s="96" t="n"/>
      <c r="C417" s="96" t="n"/>
      <c r="D417" s="95" t="n"/>
      <c r="E417" s="96" t="n"/>
      <c r="F417" s="96" t="n"/>
      <c r="G417" s="95">
        <f>IFERROR(VLOOKUP(F417,'12. Contratos_OS'!$A$6:$L$1000,2,FALSE),"")</f>
        <v/>
      </c>
      <c r="H417" s="95">
        <f>IFERROR(VLOOKUP(F417,'12. Contratos_OS'!$A$6:$L$1000,3,FALSE),"")</f>
        <v/>
      </c>
      <c r="I417" s="95">
        <f>IFERROR(VLOOKUP(F417,'12. Contratos_OS'!$A$6:$L$1000,4,FALSE),"")</f>
        <v/>
      </c>
      <c r="J417" s="95">
        <f>IFERROR(VLOOKUP(F417,'12. Contratos_OS'!$A$6:$L$1000,7,FALSE),"")</f>
        <v/>
      </c>
      <c r="K417" s="95">
        <f>IFERROR(VLOOKUP(J417,'11. Cadastro de Serviços'!$A$6:$E$200,2,FALSE),"")</f>
        <v/>
      </c>
      <c r="L417" s="95">
        <f>IFERROR(VLOOKUP(J417,'11. Cadastro de Serviços'!$A$6:$E$200,3,FALSE),"")</f>
        <v/>
      </c>
      <c r="M417" s="95">
        <f>IFERROR(VLOOKUP(J417,'11. Cadastro de Serviços'!$A$6:$E$200,4,FALSE),"")</f>
        <v/>
      </c>
      <c r="N417" s="95" t="n"/>
      <c r="O417" s="95">
        <f>IF(AND(G417&lt;&gt;"",I417&lt;&gt;"",J417&lt;&gt;"",M417&lt;&gt;""),"Rastreado","Revisar")</f>
        <v/>
      </c>
      <c r="P417" s="96" t="n"/>
    </row>
    <row r="418">
      <c r="A418" s="95" t="n"/>
      <c r="B418" s="96" t="n"/>
      <c r="C418" s="96" t="n"/>
      <c r="D418" s="95" t="n"/>
      <c r="E418" s="96" t="n"/>
      <c r="F418" s="96" t="n"/>
      <c r="G418" s="95">
        <f>IFERROR(VLOOKUP(F418,'12. Contratos_OS'!$A$6:$L$1000,2,FALSE),"")</f>
        <v/>
      </c>
      <c r="H418" s="95">
        <f>IFERROR(VLOOKUP(F418,'12. Contratos_OS'!$A$6:$L$1000,3,FALSE),"")</f>
        <v/>
      </c>
      <c r="I418" s="95">
        <f>IFERROR(VLOOKUP(F418,'12. Contratos_OS'!$A$6:$L$1000,4,FALSE),"")</f>
        <v/>
      </c>
      <c r="J418" s="95">
        <f>IFERROR(VLOOKUP(F418,'12. Contratos_OS'!$A$6:$L$1000,7,FALSE),"")</f>
        <v/>
      </c>
      <c r="K418" s="95">
        <f>IFERROR(VLOOKUP(J418,'11. Cadastro de Serviços'!$A$6:$E$200,2,FALSE),"")</f>
        <v/>
      </c>
      <c r="L418" s="95">
        <f>IFERROR(VLOOKUP(J418,'11. Cadastro de Serviços'!$A$6:$E$200,3,FALSE),"")</f>
        <v/>
      </c>
      <c r="M418" s="95">
        <f>IFERROR(VLOOKUP(J418,'11. Cadastro de Serviços'!$A$6:$E$200,4,FALSE),"")</f>
        <v/>
      </c>
      <c r="N418" s="95" t="n"/>
      <c r="O418" s="95">
        <f>IF(AND(G418&lt;&gt;"",I418&lt;&gt;"",J418&lt;&gt;"",M418&lt;&gt;""),"Rastreado","Revisar")</f>
        <v/>
      </c>
      <c r="P418" s="96" t="n"/>
    </row>
    <row r="419">
      <c r="A419" s="95" t="n"/>
      <c r="B419" s="96" t="n"/>
      <c r="C419" s="96" t="n"/>
      <c r="D419" s="95" t="n"/>
      <c r="E419" s="96" t="n"/>
      <c r="F419" s="96" t="n"/>
      <c r="G419" s="95">
        <f>IFERROR(VLOOKUP(F419,'12. Contratos_OS'!$A$6:$L$1000,2,FALSE),"")</f>
        <v/>
      </c>
      <c r="H419" s="95">
        <f>IFERROR(VLOOKUP(F419,'12. Contratos_OS'!$A$6:$L$1000,3,FALSE),"")</f>
        <v/>
      </c>
      <c r="I419" s="95">
        <f>IFERROR(VLOOKUP(F419,'12. Contratos_OS'!$A$6:$L$1000,4,FALSE),"")</f>
        <v/>
      </c>
      <c r="J419" s="95">
        <f>IFERROR(VLOOKUP(F419,'12. Contratos_OS'!$A$6:$L$1000,7,FALSE),"")</f>
        <v/>
      </c>
      <c r="K419" s="95">
        <f>IFERROR(VLOOKUP(J419,'11. Cadastro de Serviços'!$A$6:$E$200,2,FALSE),"")</f>
        <v/>
      </c>
      <c r="L419" s="95">
        <f>IFERROR(VLOOKUP(J419,'11. Cadastro de Serviços'!$A$6:$E$200,3,FALSE),"")</f>
        <v/>
      </c>
      <c r="M419" s="95">
        <f>IFERROR(VLOOKUP(J419,'11. Cadastro de Serviços'!$A$6:$E$200,4,FALSE),"")</f>
        <v/>
      </c>
      <c r="N419" s="95" t="n"/>
      <c r="O419" s="95">
        <f>IF(AND(G419&lt;&gt;"",I419&lt;&gt;"",J419&lt;&gt;"",M419&lt;&gt;""),"Rastreado","Revisar")</f>
        <v/>
      </c>
      <c r="P419" s="96" t="n"/>
    </row>
    <row r="420">
      <c r="A420" s="95" t="n"/>
      <c r="B420" s="96" t="n"/>
      <c r="C420" s="96" t="n"/>
      <c r="D420" s="95" t="n"/>
      <c r="E420" s="96" t="n"/>
      <c r="F420" s="96" t="n"/>
      <c r="G420" s="95">
        <f>IFERROR(VLOOKUP(F420,'12. Contratos_OS'!$A$6:$L$1000,2,FALSE),"")</f>
        <v/>
      </c>
      <c r="H420" s="95">
        <f>IFERROR(VLOOKUP(F420,'12. Contratos_OS'!$A$6:$L$1000,3,FALSE),"")</f>
        <v/>
      </c>
      <c r="I420" s="95">
        <f>IFERROR(VLOOKUP(F420,'12. Contratos_OS'!$A$6:$L$1000,4,FALSE),"")</f>
        <v/>
      </c>
      <c r="J420" s="95">
        <f>IFERROR(VLOOKUP(F420,'12. Contratos_OS'!$A$6:$L$1000,7,FALSE),"")</f>
        <v/>
      </c>
      <c r="K420" s="95">
        <f>IFERROR(VLOOKUP(J420,'11. Cadastro de Serviços'!$A$6:$E$200,2,FALSE),"")</f>
        <v/>
      </c>
      <c r="L420" s="95">
        <f>IFERROR(VLOOKUP(J420,'11. Cadastro de Serviços'!$A$6:$E$200,3,FALSE),"")</f>
        <v/>
      </c>
      <c r="M420" s="95">
        <f>IFERROR(VLOOKUP(J420,'11. Cadastro de Serviços'!$A$6:$E$200,4,FALSE),"")</f>
        <v/>
      </c>
      <c r="N420" s="95" t="n"/>
      <c r="O420" s="95">
        <f>IF(AND(G420&lt;&gt;"",I420&lt;&gt;"",J420&lt;&gt;"",M420&lt;&gt;""),"Rastreado","Revisar")</f>
        <v/>
      </c>
      <c r="P420" s="96" t="n"/>
    </row>
    <row r="421">
      <c r="A421" s="95" t="n"/>
      <c r="B421" s="96" t="n"/>
      <c r="C421" s="96" t="n"/>
      <c r="D421" s="95" t="n"/>
      <c r="E421" s="96" t="n"/>
      <c r="F421" s="96" t="n"/>
      <c r="G421" s="95">
        <f>IFERROR(VLOOKUP(F421,'12. Contratos_OS'!$A$6:$L$1000,2,FALSE),"")</f>
        <v/>
      </c>
      <c r="H421" s="95">
        <f>IFERROR(VLOOKUP(F421,'12. Contratos_OS'!$A$6:$L$1000,3,FALSE),"")</f>
        <v/>
      </c>
      <c r="I421" s="95">
        <f>IFERROR(VLOOKUP(F421,'12. Contratos_OS'!$A$6:$L$1000,4,FALSE),"")</f>
        <v/>
      </c>
      <c r="J421" s="95">
        <f>IFERROR(VLOOKUP(F421,'12. Contratos_OS'!$A$6:$L$1000,7,FALSE),"")</f>
        <v/>
      </c>
      <c r="K421" s="95">
        <f>IFERROR(VLOOKUP(J421,'11. Cadastro de Serviços'!$A$6:$E$200,2,FALSE),"")</f>
        <v/>
      </c>
      <c r="L421" s="95">
        <f>IFERROR(VLOOKUP(J421,'11. Cadastro de Serviços'!$A$6:$E$200,3,FALSE),"")</f>
        <v/>
      </c>
      <c r="M421" s="95">
        <f>IFERROR(VLOOKUP(J421,'11. Cadastro de Serviços'!$A$6:$E$200,4,FALSE),"")</f>
        <v/>
      </c>
      <c r="N421" s="95" t="n"/>
      <c r="O421" s="95">
        <f>IF(AND(G421&lt;&gt;"",I421&lt;&gt;"",J421&lt;&gt;"",M421&lt;&gt;""),"Rastreado","Revisar")</f>
        <v/>
      </c>
      <c r="P421" s="96" t="n"/>
    </row>
    <row r="422">
      <c r="A422" s="95" t="n"/>
      <c r="B422" s="96" t="n"/>
      <c r="C422" s="96" t="n"/>
      <c r="D422" s="95" t="n"/>
      <c r="E422" s="96" t="n"/>
      <c r="F422" s="96" t="n"/>
      <c r="G422" s="95">
        <f>IFERROR(VLOOKUP(F422,'12. Contratos_OS'!$A$6:$L$1000,2,FALSE),"")</f>
        <v/>
      </c>
      <c r="H422" s="95">
        <f>IFERROR(VLOOKUP(F422,'12. Contratos_OS'!$A$6:$L$1000,3,FALSE),"")</f>
        <v/>
      </c>
      <c r="I422" s="95">
        <f>IFERROR(VLOOKUP(F422,'12. Contratos_OS'!$A$6:$L$1000,4,FALSE),"")</f>
        <v/>
      </c>
      <c r="J422" s="95">
        <f>IFERROR(VLOOKUP(F422,'12. Contratos_OS'!$A$6:$L$1000,7,FALSE),"")</f>
        <v/>
      </c>
      <c r="K422" s="95">
        <f>IFERROR(VLOOKUP(J422,'11. Cadastro de Serviços'!$A$6:$E$200,2,FALSE),"")</f>
        <v/>
      </c>
      <c r="L422" s="95">
        <f>IFERROR(VLOOKUP(J422,'11. Cadastro de Serviços'!$A$6:$E$200,3,FALSE),"")</f>
        <v/>
      </c>
      <c r="M422" s="95">
        <f>IFERROR(VLOOKUP(J422,'11. Cadastro de Serviços'!$A$6:$E$200,4,FALSE),"")</f>
        <v/>
      </c>
      <c r="N422" s="95" t="n"/>
      <c r="O422" s="95">
        <f>IF(AND(G422&lt;&gt;"",I422&lt;&gt;"",J422&lt;&gt;"",M422&lt;&gt;""),"Rastreado","Revisar")</f>
        <v/>
      </c>
      <c r="P422" s="96" t="n"/>
    </row>
    <row r="423">
      <c r="A423" s="95" t="n"/>
      <c r="B423" s="96" t="n"/>
      <c r="C423" s="96" t="n"/>
      <c r="D423" s="95" t="n"/>
      <c r="E423" s="96" t="n"/>
      <c r="F423" s="96" t="n"/>
      <c r="G423" s="95">
        <f>IFERROR(VLOOKUP(F423,'12. Contratos_OS'!$A$6:$L$1000,2,FALSE),"")</f>
        <v/>
      </c>
      <c r="H423" s="95">
        <f>IFERROR(VLOOKUP(F423,'12. Contratos_OS'!$A$6:$L$1000,3,FALSE),"")</f>
        <v/>
      </c>
      <c r="I423" s="95">
        <f>IFERROR(VLOOKUP(F423,'12. Contratos_OS'!$A$6:$L$1000,4,FALSE),"")</f>
        <v/>
      </c>
      <c r="J423" s="95">
        <f>IFERROR(VLOOKUP(F423,'12. Contratos_OS'!$A$6:$L$1000,7,FALSE),"")</f>
        <v/>
      </c>
      <c r="K423" s="95">
        <f>IFERROR(VLOOKUP(J423,'11. Cadastro de Serviços'!$A$6:$E$200,2,FALSE),"")</f>
        <v/>
      </c>
      <c r="L423" s="95">
        <f>IFERROR(VLOOKUP(J423,'11. Cadastro de Serviços'!$A$6:$E$200,3,FALSE),"")</f>
        <v/>
      </c>
      <c r="M423" s="95">
        <f>IFERROR(VLOOKUP(J423,'11. Cadastro de Serviços'!$A$6:$E$200,4,FALSE),"")</f>
        <v/>
      </c>
      <c r="N423" s="95" t="n"/>
      <c r="O423" s="95">
        <f>IF(AND(G423&lt;&gt;"",I423&lt;&gt;"",J423&lt;&gt;"",M423&lt;&gt;""),"Rastreado","Revisar")</f>
        <v/>
      </c>
      <c r="P423" s="96" t="n"/>
    </row>
    <row r="424">
      <c r="A424" s="95" t="n"/>
      <c r="B424" s="96" t="n"/>
      <c r="C424" s="96" t="n"/>
      <c r="D424" s="95" t="n"/>
      <c r="E424" s="96" t="n"/>
      <c r="F424" s="96" t="n"/>
      <c r="G424" s="95">
        <f>IFERROR(VLOOKUP(F424,'12. Contratos_OS'!$A$6:$L$1000,2,FALSE),"")</f>
        <v/>
      </c>
      <c r="H424" s="95">
        <f>IFERROR(VLOOKUP(F424,'12. Contratos_OS'!$A$6:$L$1000,3,FALSE),"")</f>
        <v/>
      </c>
      <c r="I424" s="95">
        <f>IFERROR(VLOOKUP(F424,'12. Contratos_OS'!$A$6:$L$1000,4,FALSE),"")</f>
        <v/>
      </c>
      <c r="J424" s="95">
        <f>IFERROR(VLOOKUP(F424,'12. Contratos_OS'!$A$6:$L$1000,7,FALSE),"")</f>
        <v/>
      </c>
      <c r="K424" s="95">
        <f>IFERROR(VLOOKUP(J424,'11. Cadastro de Serviços'!$A$6:$E$200,2,FALSE),"")</f>
        <v/>
      </c>
      <c r="L424" s="95">
        <f>IFERROR(VLOOKUP(J424,'11. Cadastro de Serviços'!$A$6:$E$200,3,FALSE),"")</f>
        <v/>
      </c>
      <c r="M424" s="95">
        <f>IFERROR(VLOOKUP(J424,'11. Cadastro de Serviços'!$A$6:$E$200,4,FALSE),"")</f>
        <v/>
      </c>
      <c r="N424" s="95" t="n"/>
      <c r="O424" s="95">
        <f>IF(AND(G424&lt;&gt;"",I424&lt;&gt;"",J424&lt;&gt;"",M424&lt;&gt;""),"Rastreado","Revisar")</f>
        <v/>
      </c>
      <c r="P424" s="96" t="n"/>
    </row>
    <row r="425">
      <c r="A425" s="95" t="n"/>
      <c r="B425" s="96" t="n"/>
      <c r="C425" s="96" t="n"/>
      <c r="D425" s="95" t="n"/>
      <c r="E425" s="96" t="n"/>
      <c r="F425" s="96" t="n"/>
      <c r="G425" s="95">
        <f>IFERROR(VLOOKUP(F425,'12. Contratos_OS'!$A$6:$L$1000,2,FALSE),"")</f>
        <v/>
      </c>
      <c r="H425" s="95">
        <f>IFERROR(VLOOKUP(F425,'12. Contratos_OS'!$A$6:$L$1000,3,FALSE),"")</f>
        <v/>
      </c>
      <c r="I425" s="95">
        <f>IFERROR(VLOOKUP(F425,'12. Contratos_OS'!$A$6:$L$1000,4,FALSE),"")</f>
        <v/>
      </c>
      <c r="J425" s="95">
        <f>IFERROR(VLOOKUP(F425,'12. Contratos_OS'!$A$6:$L$1000,7,FALSE),"")</f>
        <v/>
      </c>
      <c r="K425" s="95">
        <f>IFERROR(VLOOKUP(J425,'11. Cadastro de Serviços'!$A$6:$E$200,2,FALSE),"")</f>
        <v/>
      </c>
      <c r="L425" s="95">
        <f>IFERROR(VLOOKUP(J425,'11. Cadastro de Serviços'!$A$6:$E$200,3,FALSE),"")</f>
        <v/>
      </c>
      <c r="M425" s="95">
        <f>IFERROR(VLOOKUP(J425,'11. Cadastro de Serviços'!$A$6:$E$200,4,FALSE),"")</f>
        <v/>
      </c>
      <c r="N425" s="95" t="n"/>
      <c r="O425" s="95">
        <f>IF(AND(G425&lt;&gt;"",I425&lt;&gt;"",J425&lt;&gt;"",M425&lt;&gt;""),"Rastreado","Revisar")</f>
        <v/>
      </c>
      <c r="P425" s="96" t="n"/>
    </row>
    <row r="426">
      <c r="A426" s="95" t="n"/>
      <c r="B426" s="96" t="n"/>
      <c r="C426" s="96" t="n"/>
      <c r="D426" s="95" t="n"/>
      <c r="E426" s="96" t="n"/>
      <c r="F426" s="96" t="n"/>
      <c r="G426" s="95">
        <f>IFERROR(VLOOKUP(F426,'12. Contratos_OS'!$A$6:$L$1000,2,FALSE),"")</f>
        <v/>
      </c>
      <c r="H426" s="95">
        <f>IFERROR(VLOOKUP(F426,'12. Contratos_OS'!$A$6:$L$1000,3,FALSE),"")</f>
        <v/>
      </c>
      <c r="I426" s="95">
        <f>IFERROR(VLOOKUP(F426,'12. Contratos_OS'!$A$6:$L$1000,4,FALSE),"")</f>
        <v/>
      </c>
      <c r="J426" s="95">
        <f>IFERROR(VLOOKUP(F426,'12. Contratos_OS'!$A$6:$L$1000,7,FALSE),"")</f>
        <v/>
      </c>
      <c r="K426" s="95">
        <f>IFERROR(VLOOKUP(J426,'11. Cadastro de Serviços'!$A$6:$E$200,2,FALSE),"")</f>
        <v/>
      </c>
      <c r="L426" s="95">
        <f>IFERROR(VLOOKUP(J426,'11. Cadastro de Serviços'!$A$6:$E$200,3,FALSE),"")</f>
        <v/>
      </c>
      <c r="M426" s="95">
        <f>IFERROR(VLOOKUP(J426,'11. Cadastro de Serviços'!$A$6:$E$200,4,FALSE),"")</f>
        <v/>
      </c>
      <c r="N426" s="95" t="n"/>
      <c r="O426" s="95">
        <f>IF(AND(G426&lt;&gt;"",I426&lt;&gt;"",J426&lt;&gt;"",M426&lt;&gt;""),"Rastreado","Revisar")</f>
        <v/>
      </c>
      <c r="P426" s="96" t="n"/>
    </row>
    <row r="427">
      <c r="A427" s="95" t="n"/>
      <c r="B427" s="96" t="n"/>
      <c r="C427" s="96" t="n"/>
      <c r="D427" s="95" t="n"/>
      <c r="E427" s="96" t="n"/>
      <c r="F427" s="96" t="n"/>
      <c r="G427" s="95">
        <f>IFERROR(VLOOKUP(F427,'12. Contratos_OS'!$A$6:$L$1000,2,FALSE),"")</f>
        <v/>
      </c>
      <c r="H427" s="95">
        <f>IFERROR(VLOOKUP(F427,'12. Contratos_OS'!$A$6:$L$1000,3,FALSE),"")</f>
        <v/>
      </c>
      <c r="I427" s="95">
        <f>IFERROR(VLOOKUP(F427,'12. Contratos_OS'!$A$6:$L$1000,4,FALSE),"")</f>
        <v/>
      </c>
      <c r="J427" s="95">
        <f>IFERROR(VLOOKUP(F427,'12. Contratos_OS'!$A$6:$L$1000,7,FALSE),"")</f>
        <v/>
      </c>
      <c r="K427" s="95">
        <f>IFERROR(VLOOKUP(J427,'11. Cadastro de Serviços'!$A$6:$E$200,2,FALSE),"")</f>
        <v/>
      </c>
      <c r="L427" s="95">
        <f>IFERROR(VLOOKUP(J427,'11. Cadastro de Serviços'!$A$6:$E$200,3,FALSE),"")</f>
        <v/>
      </c>
      <c r="M427" s="95">
        <f>IFERROR(VLOOKUP(J427,'11. Cadastro de Serviços'!$A$6:$E$200,4,FALSE),"")</f>
        <v/>
      </c>
      <c r="N427" s="95" t="n"/>
      <c r="O427" s="95">
        <f>IF(AND(G427&lt;&gt;"",I427&lt;&gt;"",J427&lt;&gt;"",M427&lt;&gt;""),"Rastreado","Revisar")</f>
        <v/>
      </c>
      <c r="P427" s="96" t="n"/>
    </row>
    <row r="428">
      <c r="A428" s="95" t="n"/>
      <c r="B428" s="96" t="n"/>
      <c r="C428" s="96" t="n"/>
      <c r="D428" s="95" t="n"/>
      <c r="E428" s="96" t="n"/>
      <c r="F428" s="96" t="n"/>
      <c r="G428" s="95">
        <f>IFERROR(VLOOKUP(F428,'12. Contratos_OS'!$A$6:$L$1000,2,FALSE),"")</f>
        <v/>
      </c>
      <c r="H428" s="95">
        <f>IFERROR(VLOOKUP(F428,'12. Contratos_OS'!$A$6:$L$1000,3,FALSE),"")</f>
        <v/>
      </c>
      <c r="I428" s="95">
        <f>IFERROR(VLOOKUP(F428,'12. Contratos_OS'!$A$6:$L$1000,4,FALSE),"")</f>
        <v/>
      </c>
      <c r="J428" s="95">
        <f>IFERROR(VLOOKUP(F428,'12. Contratos_OS'!$A$6:$L$1000,7,FALSE),"")</f>
        <v/>
      </c>
      <c r="K428" s="95">
        <f>IFERROR(VLOOKUP(J428,'11. Cadastro de Serviços'!$A$6:$E$200,2,FALSE),"")</f>
        <v/>
      </c>
      <c r="L428" s="95">
        <f>IFERROR(VLOOKUP(J428,'11. Cadastro de Serviços'!$A$6:$E$200,3,FALSE),"")</f>
        <v/>
      </c>
      <c r="M428" s="95">
        <f>IFERROR(VLOOKUP(J428,'11. Cadastro de Serviços'!$A$6:$E$200,4,FALSE),"")</f>
        <v/>
      </c>
      <c r="N428" s="95" t="n"/>
      <c r="O428" s="95">
        <f>IF(AND(G428&lt;&gt;"",I428&lt;&gt;"",J428&lt;&gt;"",M428&lt;&gt;""),"Rastreado","Revisar")</f>
        <v/>
      </c>
      <c r="P428" s="96" t="n"/>
    </row>
    <row r="429">
      <c r="A429" s="95" t="n"/>
      <c r="B429" s="96" t="n"/>
      <c r="C429" s="96" t="n"/>
      <c r="D429" s="95" t="n"/>
      <c r="E429" s="96" t="n"/>
      <c r="F429" s="96" t="n"/>
      <c r="G429" s="95">
        <f>IFERROR(VLOOKUP(F429,'12. Contratos_OS'!$A$6:$L$1000,2,FALSE),"")</f>
        <v/>
      </c>
      <c r="H429" s="95">
        <f>IFERROR(VLOOKUP(F429,'12. Contratos_OS'!$A$6:$L$1000,3,FALSE),"")</f>
        <v/>
      </c>
      <c r="I429" s="95">
        <f>IFERROR(VLOOKUP(F429,'12. Contratos_OS'!$A$6:$L$1000,4,FALSE),"")</f>
        <v/>
      </c>
      <c r="J429" s="95">
        <f>IFERROR(VLOOKUP(F429,'12. Contratos_OS'!$A$6:$L$1000,7,FALSE),"")</f>
        <v/>
      </c>
      <c r="K429" s="95">
        <f>IFERROR(VLOOKUP(J429,'11. Cadastro de Serviços'!$A$6:$E$200,2,FALSE),"")</f>
        <v/>
      </c>
      <c r="L429" s="95">
        <f>IFERROR(VLOOKUP(J429,'11. Cadastro de Serviços'!$A$6:$E$200,3,FALSE),"")</f>
        <v/>
      </c>
      <c r="M429" s="95">
        <f>IFERROR(VLOOKUP(J429,'11. Cadastro de Serviços'!$A$6:$E$200,4,FALSE),"")</f>
        <v/>
      </c>
      <c r="N429" s="95" t="n"/>
      <c r="O429" s="95">
        <f>IF(AND(G429&lt;&gt;"",I429&lt;&gt;"",J429&lt;&gt;"",M429&lt;&gt;""),"Rastreado","Revisar")</f>
        <v/>
      </c>
      <c r="P429" s="96" t="n"/>
    </row>
    <row r="430">
      <c r="A430" s="95" t="n"/>
      <c r="B430" s="96" t="n"/>
      <c r="C430" s="96" t="n"/>
      <c r="D430" s="95" t="n"/>
      <c r="E430" s="96" t="n"/>
      <c r="F430" s="96" t="n"/>
      <c r="G430" s="95">
        <f>IFERROR(VLOOKUP(F430,'12. Contratos_OS'!$A$6:$L$1000,2,FALSE),"")</f>
        <v/>
      </c>
      <c r="H430" s="95">
        <f>IFERROR(VLOOKUP(F430,'12. Contratos_OS'!$A$6:$L$1000,3,FALSE),"")</f>
        <v/>
      </c>
      <c r="I430" s="95">
        <f>IFERROR(VLOOKUP(F430,'12. Contratos_OS'!$A$6:$L$1000,4,FALSE),"")</f>
        <v/>
      </c>
      <c r="J430" s="95">
        <f>IFERROR(VLOOKUP(F430,'12. Contratos_OS'!$A$6:$L$1000,7,FALSE),"")</f>
        <v/>
      </c>
      <c r="K430" s="95">
        <f>IFERROR(VLOOKUP(J430,'11. Cadastro de Serviços'!$A$6:$E$200,2,FALSE),"")</f>
        <v/>
      </c>
      <c r="L430" s="95">
        <f>IFERROR(VLOOKUP(J430,'11. Cadastro de Serviços'!$A$6:$E$200,3,FALSE),"")</f>
        <v/>
      </c>
      <c r="M430" s="95">
        <f>IFERROR(VLOOKUP(J430,'11. Cadastro de Serviços'!$A$6:$E$200,4,FALSE),"")</f>
        <v/>
      </c>
      <c r="N430" s="95" t="n"/>
      <c r="O430" s="95">
        <f>IF(AND(G430&lt;&gt;"",I430&lt;&gt;"",J430&lt;&gt;"",M430&lt;&gt;""),"Rastreado","Revisar")</f>
        <v/>
      </c>
      <c r="P430" s="96" t="n"/>
    </row>
    <row r="431">
      <c r="A431" s="95" t="n"/>
      <c r="B431" s="96" t="n"/>
      <c r="C431" s="96" t="n"/>
      <c r="D431" s="95" t="n"/>
      <c r="E431" s="96" t="n"/>
      <c r="F431" s="96" t="n"/>
      <c r="G431" s="95">
        <f>IFERROR(VLOOKUP(F431,'12. Contratos_OS'!$A$6:$L$1000,2,FALSE),"")</f>
        <v/>
      </c>
      <c r="H431" s="95">
        <f>IFERROR(VLOOKUP(F431,'12. Contratos_OS'!$A$6:$L$1000,3,FALSE),"")</f>
        <v/>
      </c>
      <c r="I431" s="95">
        <f>IFERROR(VLOOKUP(F431,'12. Contratos_OS'!$A$6:$L$1000,4,FALSE),"")</f>
        <v/>
      </c>
      <c r="J431" s="95">
        <f>IFERROR(VLOOKUP(F431,'12. Contratos_OS'!$A$6:$L$1000,7,FALSE),"")</f>
        <v/>
      </c>
      <c r="K431" s="95">
        <f>IFERROR(VLOOKUP(J431,'11. Cadastro de Serviços'!$A$6:$E$200,2,FALSE),"")</f>
        <v/>
      </c>
      <c r="L431" s="95">
        <f>IFERROR(VLOOKUP(J431,'11. Cadastro de Serviços'!$A$6:$E$200,3,FALSE),"")</f>
        <v/>
      </c>
      <c r="M431" s="95">
        <f>IFERROR(VLOOKUP(J431,'11. Cadastro de Serviços'!$A$6:$E$200,4,FALSE),"")</f>
        <v/>
      </c>
      <c r="N431" s="95" t="n"/>
      <c r="O431" s="95">
        <f>IF(AND(G431&lt;&gt;"",I431&lt;&gt;"",J431&lt;&gt;"",M431&lt;&gt;""),"Rastreado","Revisar")</f>
        <v/>
      </c>
      <c r="P431" s="96" t="n"/>
    </row>
    <row r="432">
      <c r="A432" s="95" t="n"/>
      <c r="B432" s="96" t="n"/>
      <c r="C432" s="96" t="n"/>
      <c r="D432" s="95" t="n"/>
      <c r="E432" s="96" t="n"/>
      <c r="F432" s="96" t="n"/>
      <c r="G432" s="95">
        <f>IFERROR(VLOOKUP(F432,'12. Contratos_OS'!$A$6:$L$1000,2,FALSE),"")</f>
        <v/>
      </c>
      <c r="H432" s="95">
        <f>IFERROR(VLOOKUP(F432,'12. Contratos_OS'!$A$6:$L$1000,3,FALSE),"")</f>
        <v/>
      </c>
      <c r="I432" s="95">
        <f>IFERROR(VLOOKUP(F432,'12. Contratos_OS'!$A$6:$L$1000,4,FALSE),"")</f>
        <v/>
      </c>
      <c r="J432" s="95">
        <f>IFERROR(VLOOKUP(F432,'12. Contratos_OS'!$A$6:$L$1000,7,FALSE),"")</f>
        <v/>
      </c>
      <c r="K432" s="95">
        <f>IFERROR(VLOOKUP(J432,'11. Cadastro de Serviços'!$A$6:$E$200,2,FALSE),"")</f>
        <v/>
      </c>
      <c r="L432" s="95">
        <f>IFERROR(VLOOKUP(J432,'11. Cadastro de Serviços'!$A$6:$E$200,3,FALSE),"")</f>
        <v/>
      </c>
      <c r="M432" s="95">
        <f>IFERROR(VLOOKUP(J432,'11. Cadastro de Serviços'!$A$6:$E$200,4,FALSE),"")</f>
        <v/>
      </c>
      <c r="N432" s="95" t="n"/>
      <c r="O432" s="95">
        <f>IF(AND(G432&lt;&gt;"",I432&lt;&gt;"",J432&lt;&gt;"",M432&lt;&gt;""),"Rastreado","Revisar")</f>
        <v/>
      </c>
      <c r="P432" s="96" t="n"/>
    </row>
    <row r="433">
      <c r="A433" s="95" t="n"/>
      <c r="B433" s="96" t="n"/>
      <c r="C433" s="96" t="n"/>
      <c r="D433" s="95" t="n"/>
      <c r="E433" s="96" t="n"/>
      <c r="F433" s="96" t="n"/>
      <c r="G433" s="95">
        <f>IFERROR(VLOOKUP(F433,'12. Contratos_OS'!$A$6:$L$1000,2,FALSE),"")</f>
        <v/>
      </c>
      <c r="H433" s="95">
        <f>IFERROR(VLOOKUP(F433,'12. Contratos_OS'!$A$6:$L$1000,3,FALSE),"")</f>
        <v/>
      </c>
      <c r="I433" s="95">
        <f>IFERROR(VLOOKUP(F433,'12. Contratos_OS'!$A$6:$L$1000,4,FALSE),"")</f>
        <v/>
      </c>
      <c r="J433" s="95">
        <f>IFERROR(VLOOKUP(F433,'12. Contratos_OS'!$A$6:$L$1000,7,FALSE),"")</f>
        <v/>
      </c>
      <c r="K433" s="95">
        <f>IFERROR(VLOOKUP(J433,'11. Cadastro de Serviços'!$A$6:$E$200,2,FALSE),"")</f>
        <v/>
      </c>
      <c r="L433" s="95">
        <f>IFERROR(VLOOKUP(J433,'11. Cadastro de Serviços'!$A$6:$E$200,3,FALSE),"")</f>
        <v/>
      </c>
      <c r="M433" s="95">
        <f>IFERROR(VLOOKUP(J433,'11. Cadastro de Serviços'!$A$6:$E$200,4,FALSE),"")</f>
        <v/>
      </c>
      <c r="N433" s="95" t="n"/>
      <c r="O433" s="95">
        <f>IF(AND(G433&lt;&gt;"",I433&lt;&gt;"",J433&lt;&gt;"",M433&lt;&gt;""),"Rastreado","Revisar")</f>
        <v/>
      </c>
      <c r="P433" s="96" t="n"/>
    </row>
    <row r="434">
      <c r="A434" s="95" t="n"/>
      <c r="B434" s="96" t="n"/>
      <c r="C434" s="96" t="n"/>
      <c r="D434" s="95" t="n"/>
      <c r="E434" s="96" t="n"/>
      <c r="F434" s="96" t="n"/>
      <c r="G434" s="95">
        <f>IFERROR(VLOOKUP(F434,'12. Contratos_OS'!$A$6:$L$1000,2,FALSE),"")</f>
        <v/>
      </c>
      <c r="H434" s="95">
        <f>IFERROR(VLOOKUP(F434,'12. Contratos_OS'!$A$6:$L$1000,3,FALSE),"")</f>
        <v/>
      </c>
      <c r="I434" s="95">
        <f>IFERROR(VLOOKUP(F434,'12. Contratos_OS'!$A$6:$L$1000,4,FALSE),"")</f>
        <v/>
      </c>
      <c r="J434" s="95">
        <f>IFERROR(VLOOKUP(F434,'12. Contratos_OS'!$A$6:$L$1000,7,FALSE),"")</f>
        <v/>
      </c>
      <c r="K434" s="95">
        <f>IFERROR(VLOOKUP(J434,'11. Cadastro de Serviços'!$A$6:$E$200,2,FALSE),"")</f>
        <v/>
      </c>
      <c r="L434" s="95">
        <f>IFERROR(VLOOKUP(J434,'11. Cadastro de Serviços'!$A$6:$E$200,3,FALSE),"")</f>
        <v/>
      </c>
      <c r="M434" s="95">
        <f>IFERROR(VLOOKUP(J434,'11. Cadastro de Serviços'!$A$6:$E$200,4,FALSE),"")</f>
        <v/>
      </c>
      <c r="N434" s="95" t="n"/>
      <c r="O434" s="95">
        <f>IF(AND(G434&lt;&gt;"",I434&lt;&gt;"",J434&lt;&gt;"",M434&lt;&gt;""),"Rastreado","Revisar")</f>
        <v/>
      </c>
      <c r="P434" s="96" t="n"/>
    </row>
    <row r="435">
      <c r="A435" s="95" t="n"/>
      <c r="B435" s="96" t="n"/>
      <c r="C435" s="96" t="n"/>
      <c r="D435" s="95" t="n"/>
      <c r="E435" s="96" t="n"/>
      <c r="F435" s="96" t="n"/>
      <c r="G435" s="95">
        <f>IFERROR(VLOOKUP(F435,'12. Contratos_OS'!$A$6:$L$1000,2,FALSE),"")</f>
        <v/>
      </c>
      <c r="H435" s="95">
        <f>IFERROR(VLOOKUP(F435,'12. Contratos_OS'!$A$6:$L$1000,3,FALSE),"")</f>
        <v/>
      </c>
      <c r="I435" s="95">
        <f>IFERROR(VLOOKUP(F435,'12. Contratos_OS'!$A$6:$L$1000,4,FALSE),"")</f>
        <v/>
      </c>
      <c r="J435" s="95">
        <f>IFERROR(VLOOKUP(F435,'12. Contratos_OS'!$A$6:$L$1000,7,FALSE),"")</f>
        <v/>
      </c>
      <c r="K435" s="95">
        <f>IFERROR(VLOOKUP(J435,'11. Cadastro de Serviços'!$A$6:$E$200,2,FALSE),"")</f>
        <v/>
      </c>
      <c r="L435" s="95">
        <f>IFERROR(VLOOKUP(J435,'11. Cadastro de Serviços'!$A$6:$E$200,3,FALSE),"")</f>
        <v/>
      </c>
      <c r="M435" s="95">
        <f>IFERROR(VLOOKUP(J435,'11. Cadastro de Serviços'!$A$6:$E$200,4,FALSE),"")</f>
        <v/>
      </c>
      <c r="N435" s="95" t="n"/>
      <c r="O435" s="95">
        <f>IF(AND(G435&lt;&gt;"",I435&lt;&gt;"",J435&lt;&gt;"",M435&lt;&gt;""),"Rastreado","Revisar")</f>
        <v/>
      </c>
      <c r="P435" s="96" t="n"/>
    </row>
    <row r="436">
      <c r="A436" s="95" t="n"/>
      <c r="B436" s="96" t="n"/>
      <c r="C436" s="96" t="n"/>
      <c r="D436" s="95" t="n"/>
      <c r="E436" s="96" t="n"/>
      <c r="F436" s="96" t="n"/>
      <c r="G436" s="95">
        <f>IFERROR(VLOOKUP(F436,'12. Contratos_OS'!$A$6:$L$1000,2,FALSE),"")</f>
        <v/>
      </c>
      <c r="H436" s="95">
        <f>IFERROR(VLOOKUP(F436,'12. Contratos_OS'!$A$6:$L$1000,3,FALSE),"")</f>
        <v/>
      </c>
      <c r="I436" s="95">
        <f>IFERROR(VLOOKUP(F436,'12. Contratos_OS'!$A$6:$L$1000,4,FALSE),"")</f>
        <v/>
      </c>
      <c r="J436" s="95">
        <f>IFERROR(VLOOKUP(F436,'12. Contratos_OS'!$A$6:$L$1000,7,FALSE),"")</f>
        <v/>
      </c>
      <c r="K436" s="95">
        <f>IFERROR(VLOOKUP(J436,'11. Cadastro de Serviços'!$A$6:$E$200,2,FALSE),"")</f>
        <v/>
      </c>
      <c r="L436" s="95">
        <f>IFERROR(VLOOKUP(J436,'11. Cadastro de Serviços'!$A$6:$E$200,3,FALSE),"")</f>
        <v/>
      </c>
      <c r="M436" s="95">
        <f>IFERROR(VLOOKUP(J436,'11. Cadastro de Serviços'!$A$6:$E$200,4,FALSE),"")</f>
        <v/>
      </c>
      <c r="N436" s="95" t="n"/>
      <c r="O436" s="95">
        <f>IF(AND(G436&lt;&gt;"",I436&lt;&gt;"",J436&lt;&gt;"",M436&lt;&gt;""),"Rastreado","Revisar")</f>
        <v/>
      </c>
      <c r="P436" s="96" t="n"/>
    </row>
    <row r="437">
      <c r="A437" s="95" t="n"/>
      <c r="B437" s="96" t="n"/>
      <c r="C437" s="96" t="n"/>
      <c r="D437" s="95" t="n"/>
      <c r="E437" s="96" t="n"/>
      <c r="F437" s="96" t="n"/>
      <c r="G437" s="95">
        <f>IFERROR(VLOOKUP(F437,'12. Contratos_OS'!$A$6:$L$1000,2,FALSE),"")</f>
        <v/>
      </c>
      <c r="H437" s="95">
        <f>IFERROR(VLOOKUP(F437,'12. Contratos_OS'!$A$6:$L$1000,3,FALSE),"")</f>
        <v/>
      </c>
      <c r="I437" s="95">
        <f>IFERROR(VLOOKUP(F437,'12. Contratos_OS'!$A$6:$L$1000,4,FALSE),"")</f>
        <v/>
      </c>
      <c r="J437" s="95">
        <f>IFERROR(VLOOKUP(F437,'12. Contratos_OS'!$A$6:$L$1000,7,FALSE),"")</f>
        <v/>
      </c>
      <c r="K437" s="95">
        <f>IFERROR(VLOOKUP(J437,'11. Cadastro de Serviços'!$A$6:$E$200,2,FALSE),"")</f>
        <v/>
      </c>
      <c r="L437" s="95">
        <f>IFERROR(VLOOKUP(J437,'11. Cadastro de Serviços'!$A$6:$E$200,3,FALSE),"")</f>
        <v/>
      </c>
      <c r="M437" s="95">
        <f>IFERROR(VLOOKUP(J437,'11. Cadastro de Serviços'!$A$6:$E$200,4,FALSE),"")</f>
        <v/>
      </c>
      <c r="N437" s="95" t="n"/>
      <c r="O437" s="95">
        <f>IF(AND(G437&lt;&gt;"",I437&lt;&gt;"",J437&lt;&gt;"",M437&lt;&gt;""),"Rastreado","Revisar")</f>
        <v/>
      </c>
      <c r="P437" s="96" t="n"/>
    </row>
    <row r="438">
      <c r="A438" s="95" t="n"/>
      <c r="B438" s="96" t="n"/>
      <c r="C438" s="96" t="n"/>
      <c r="D438" s="95" t="n"/>
      <c r="E438" s="96" t="n"/>
      <c r="F438" s="96" t="n"/>
      <c r="G438" s="95">
        <f>IFERROR(VLOOKUP(F438,'12. Contratos_OS'!$A$6:$L$1000,2,FALSE),"")</f>
        <v/>
      </c>
      <c r="H438" s="95">
        <f>IFERROR(VLOOKUP(F438,'12. Contratos_OS'!$A$6:$L$1000,3,FALSE),"")</f>
        <v/>
      </c>
      <c r="I438" s="95">
        <f>IFERROR(VLOOKUP(F438,'12. Contratos_OS'!$A$6:$L$1000,4,FALSE),"")</f>
        <v/>
      </c>
      <c r="J438" s="95">
        <f>IFERROR(VLOOKUP(F438,'12. Contratos_OS'!$A$6:$L$1000,7,FALSE),"")</f>
        <v/>
      </c>
      <c r="K438" s="95">
        <f>IFERROR(VLOOKUP(J438,'11. Cadastro de Serviços'!$A$6:$E$200,2,FALSE),"")</f>
        <v/>
      </c>
      <c r="L438" s="95">
        <f>IFERROR(VLOOKUP(J438,'11. Cadastro de Serviços'!$A$6:$E$200,3,FALSE),"")</f>
        <v/>
      </c>
      <c r="M438" s="95">
        <f>IFERROR(VLOOKUP(J438,'11. Cadastro de Serviços'!$A$6:$E$200,4,FALSE),"")</f>
        <v/>
      </c>
      <c r="N438" s="95" t="n"/>
      <c r="O438" s="95">
        <f>IF(AND(G438&lt;&gt;"",I438&lt;&gt;"",J438&lt;&gt;"",M438&lt;&gt;""),"Rastreado","Revisar")</f>
        <v/>
      </c>
      <c r="P438" s="96" t="n"/>
    </row>
    <row r="439">
      <c r="A439" s="95" t="n"/>
      <c r="B439" s="96" t="n"/>
      <c r="C439" s="96" t="n"/>
      <c r="D439" s="95" t="n"/>
      <c r="E439" s="96" t="n"/>
      <c r="F439" s="96" t="n"/>
      <c r="G439" s="95">
        <f>IFERROR(VLOOKUP(F439,'12. Contratos_OS'!$A$6:$L$1000,2,FALSE),"")</f>
        <v/>
      </c>
      <c r="H439" s="95">
        <f>IFERROR(VLOOKUP(F439,'12. Contratos_OS'!$A$6:$L$1000,3,FALSE),"")</f>
        <v/>
      </c>
      <c r="I439" s="95">
        <f>IFERROR(VLOOKUP(F439,'12. Contratos_OS'!$A$6:$L$1000,4,FALSE),"")</f>
        <v/>
      </c>
      <c r="J439" s="95">
        <f>IFERROR(VLOOKUP(F439,'12. Contratos_OS'!$A$6:$L$1000,7,FALSE),"")</f>
        <v/>
      </c>
      <c r="K439" s="95">
        <f>IFERROR(VLOOKUP(J439,'11. Cadastro de Serviços'!$A$6:$E$200,2,FALSE),"")</f>
        <v/>
      </c>
      <c r="L439" s="95">
        <f>IFERROR(VLOOKUP(J439,'11. Cadastro de Serviços'!$A$6:$E$200,3,FALSE),"")</f>
        <v/>
      </c>
      <c r="M439" s="95">
        <f>IFERROR(VLOOKUP(J439,'11. Cadastro de Serviços'!$A$6:$E$200,4,FALSE),"")</f>
        <v/>
      </c>
      <c r="N439" s="95" t="n"/>
      <c r="O439" s="95">
        <f>IF(AND(G439&lt;&gt;"",I439&lt;&gt;"",J439&lt;&gt;"",M439&lt;&gt;""),"Rastreado","Revisar")</f>
        <v/>
      </c>
      <c r="P439" s="96" t="n"/>
    </row>
    <row r="440">
      <c r="A440" s="95" t="n"/>
      <c r="B440" s="96" t="n"/>
      <c r="C440" s="96" t="n"/>
      <c r="D440" s="95" t="n"/>
      <c r="E440" s="96" t="n"/>
      <c r="F440" s="96" t="n"/>
      <c r="G440" s="95">
        <f>IFERROR(VLOOKUP(F440,'12. Contratos_OS'!$A$6:$L$1000,2,FALSE),"")</f>
        <v/>
      </c>
      <c r="H440" s="95">
        <f>IFERROR(VLOOKUP(F440,'12. Contratos_OS'!$A$6:$L$1000,3,FALSE),"")</f>
        <v/>
      </c>
      <c r="I440" s="95">
        <f>IFERROR(VLOOKUP(F440,'12. Contratos_OS'!$A$6:$L$1000,4,FALSE),"")</f>
        <v/>
      </c>
      <c r="J440" s="95">
        <f>IFERROR(VLOOKUP(F440,'12. Contratos_OS'!$A$6:$L$1000,7,FALSE),"")</f>
        <v/>
      </c>
      <c r="K440" s="95">
        <f>IFERROR(VLOOKUP(J440,'11. Cadastro de Serviços'!$A$6:$E$200,2,FALSE),"")</f>
        <v/>
      </c>
      <c r="L440" s="95">
        <f>IFERROR(VLOOKUP(J440,'11. Cadastro de Serviços'!$A$6:$E$200,3,FALSE),"")</f>
        <v/>
      </c>
      <c r="M440" s="95">
        <f>IFERROR(VLOOKUP(J440,'11. Cadastro de Serviços'!$A$6:$E$200,4,FALSE),"")</f>
        <v/>
      </c>
      <c r="N440" s="95" t="n"/>
      <c r="O440" s="95">
        <f>IF(AND(G440&lt;&gt;"",I440&lt;&gt;"",J440&lt;&gt;"",M440&lt;&gt;""),"Rastreado","Revisar")</f>
        <v/>
      </c>
      <c r="P440" s="96" t="n"/>
    </row>
    <row r="441">
      <c r="A441" s="95" t="n"/>
      <c r="B441" s="96" t="n"/>
      <c r="C441" s="96" t="n"/>
      <c r="D441" s="95" t="n"/>
      <c r="E441" s="96" t="n"/>
      <c r="F441" s="96" t="n"/>
      <c r="G441" s="95">
        <f>IFERROR(VLOOKUP(F441,'12. Contratos_OS'!$A$6:$L$1000,2,FALSE),"")</f>
        <v/>
      </c>
      <c r="H441" s="95">
        <f>IFERROR(VLOOKUP(F441,'12. Contratos_OS'!$A$6:$L$1000,3,FALSE),"")</f>
        <v/>
      </c>
      <c r="I441" s="95">
        <f>IFERROR(VLOOKUP(F441,'12. Contratos_OS'!$A$6:$L$1000,4,FALSE),"")</f>
        <v/>
      </c>
      <c r="J441" s="95">
        <f>IFERROR(VLOOKUP(F441,'12. Contratos_OS'!$A$6:$L$1000,7,FALSE),"")</f>
        <v/>
      </c>
      <c r="K441" s="95">
        <f>IFERROR(VLOOKUP(J441,'11. Cadastro de Serviços'!$A$6:$E$200,2,FALSE),"")</f>
        <v/>
      </c>
      <c r="L441" s="95">
        <f>IFERROR(VLOOKUP(J441,'11. Cadastro de Serviços'!$A$6:$E$200,3,FALSE),"")</f>
        <v/>
      </c>
      <c r="M441" s="95">
        <f>IFERROR(VLOOKUP(J441,'11. Cadastro de Serviços'!$A$6:$E$200,4,FALSE),"")</f>
        <v/>
      </c>
      <c r="N441" s="95" t="n"/>
      <c r="O441" s="95">
        <f>IF(AND(G441&lt;&gt;"",I441&lt;&gt;"",J441&lt;&gt;"",M441&lt;&gt;""),"Rastreado","Revisar")</f>
        <v/>
      </c>
      <c r="P441" s="96" t="n"/>
    </row>
    <row r="442">
      <c r="A442" s="95" t="n"/>
      <c r="B442" s="96" t="n"/>
      <c r="C442" s="96" t="n"/>
      <c r="D442" s="95" t="n"/>
      <c r="E442" s="96" t="n"/>
      <c r="F442" s="96" t="n"/>
      <c r="G442" s="95">
        <f>IFERROR(VLOOKUP(F442,'12. Contratos_OS'!$A$6:$L$1000,2,FALSE),"")</f>
        <v/>
      </c>
      <c r="H442" s="95">
        <f>IFERROR(VLOOKUP(F442,'12. Contratos_OS'!$A$6:$L$1000,3,FALSE),"")</f>
        <v/>
      </c>
      <c r="I442" s="95">
        <f>IFERROR(VLOOKUP(F442,'12. Contratos_OS'!$A$6:$L$1000,4,FALSE),"")</f>
        <v/>
      </c>
      <c r="J442" s="95">
        <f>IFERROR(VLOOKUP(F442,'12. Contratos_OS'!$A$6:$L$1000,7,FALSE),"")</f>
        <v/>
      </c>
      <c r="K442" s="95">
        <f>IFERROR(VLOOKUP(J442,'11. Cadastro de Serviços'!$A$6:$E$200,2,FALSE),"")</f>
        <v/>
      </c>
      <c r="L442" s="95">
        <f>IFERROR(VLOOKUP(J442,'11. Cadastro de Serviços'!$A$6:$E$200,3,FALSE),"")</f>
        <v/>
      </c>
      <c r="M442" s="95">
        <f>IFERROR(VLOOKUP(J442,'11. Cadastro de Serviços'!$A$6:$E$200,4,FALSE),"")</f>
        <v/>
      </c>
      <c r="N442" s="95" t="n"/>
      <c r="O442" s="95">
        <f>IF(AND(G442&lt;&gt;"",I442&lt;&gt;"",J442&lt;&gt;"",M442&lt;&gt;""),"Rastreado","Revisar")</f>
        <v/>
      </c>
      <c r="P442" s="96" t="n"/>
    </row>
    <row r="443">
      <c r="A443" s="95" t="n"/>
      <c r="B443" s="96" t="n"/>
      <c r="C443" s="96" t="n"/>
      <c r="D443" s="95" t="n"/>
      <c r="E443" s="96" t="n"/>
      <c r="F443" s="96" t="n"/>
      <c r="G443" s="95">
        <f>IFERROR(VLOOKUP(F443,'12. Contratos_OS'!$A$6:$L$1000,2,FALSE),"")</f>
        <v/>
      </c>
      <c r="H443" s="95">
        <f>IFERROR(VLOOKUP(F443,'12. Contratos_OS'!$A$6:$L$1000,3,FALSE),"")</f>
        <v/>
      </c>
      <c r="I443" s="95">
        <f>IFERROR(VLOOKUP(F443,'12. Contratos_OS'!$A$6:$L$1000,4,FALSE),"")</f>
        <v/>
      </c>
      <c r="J443" s="95">
        <f>IFERROR(VLOOKUP(F443,'12. Contratos_OS'!$A$6:$L$1000,7,FALSE),"")</f>
        <v/>
      </c>
      <c r="K443" s="95">
        <f>IFERROR(VLOOKUP(J443,'11. Cadastro de Serviços'!$A$6:$E$200,2,FALSE),"")</f>
        <v/>
      </c>
      <c r="L443" s="95">
        <f>IFERROR(VLOOKUP(J443,'11. Cadastro de Serviços'!$A$6:$E$200,3,FALSE),"")</f>
        <v/>
      </c>
      <c r="M443" s="95">
        <f>IFERROR(VLOOKUP(J443,'11. Cadastro de Serviços'!$A$6:$E$200,4,FALSE),"")</f>
        <v/>
      </c>
      <c r="N443" s="95" t="n"/>
      <c r="O443" s="95">
        <f>IF(AND(G443&lt;&gt;"",I443&lt;&gt;"",J443&lt;&gt;"",M443&lt;&gt;""),"Rastreado","Revisar")</f>
        <v/>
      </c>
      <c r="P443" s="96" t="n"/>
    </row>
    <row r="444">
      <c r="A444" s="95" t="n"/>
      <c r="B444" s="96" t="n"/>
      <c r="C444" s="96" t="n"/>
      <c r="D444" s="95" t="n"/>
      <c r="E444" s="96" t="n"/>
      <c r="F444" s="96" t="n"/>
      <c r="G444" s="95">
        <f>IFERROR(VLOOKUP(F444,'12. Contratos_OS'!$A$6:$L$1000,2,FALSE),"")</f>
        <v/>
      </c>
      <c r="H444" s="95">
        <f>IFERROR(VLOOKUP(F444,'12. Contratos_OS'!$A$6:$L$1000,3,FALSE),"")</f>
        <v/>
      </c>
      <c r="I444" s="95">
        <f>IFERROR(VLOOKUP(F444,'12. Contratos_OS'!$A$6:$L$1000,4,FALSE),"")</f>
        <v/>
      </c>
      <c r="J444" s="95">
        <f>IFERROR(VLOOKUP(F444,'12. Contratos_OS'!$A$6:$L$1000,7,FALSE),"")</f>
        <v/>
      </c>
      <c r="K444" s="95">
        <f>IFERROR(VLOOKUP(J444,'11. Cadastro de Serviços'!$A$6:$E$200,2,FALSE),"")</f>
        <v/>
      </c>
      <c r="L444" s="95">
        <f>IFERROR(VLOOKUP(J444,'11. Cadastro de Serviços'!$A$6:$E$200,3,FALSE),"")</f>
        <v/>
      </c>
      <c r="M444" s="95">
        <f>IFERROR(VLOOKUP(J444,'11. Cadastro de Serviços'!$A$6:$E$200,4,FALSE),"")</f>
        <v/>
      </c>
      <c r="N444" s="95" t="n"/>
      <c r="O444" s="95">
        <f>IF(AND(G444&lt;&gt;"",I444&lt;&gt;"",J444&lt;&gt;"",M444&lt;&gt;""),"Rastreado","Revisar")</f>
        <v/>
      </c>
      <c r="P444" s="96" t="n"/>
    </row>
    <row r="445">
      <c r="A445" s="95" t="n"/>
      <c r="B445" s="96" t="n"/>
      <c r="C445" s="96" t="n"/>
      <c r="D445" s="95" t="n"/>
      <c r="E445" s="96" t="n"/>
      <c r="F445" s="96" t="n"/>
      <c r="G445" s="95">
        <f>IFERROR(VLOOKUP(F445,'12. Contratos_OS'!$A$6:$L$1000,2,FALSE),"")</f>
        <v/>
      </c>
      <c r="H445" s="95">
        <f>IFERROR(VLOOKUP(F445,'12. Contratos_OS'!$A$6:$L$1000,3,FALSE),"")</f>
        <v/>
      </c>
      <c r="I445" s="95">
        <f>IFERROR(VLOOKUP(F445,'12. Contratos_OS'!$A$6:$L$1000,4,FALSE),"")</f>
        <v/>
      </c>
      <c r="J445" s="95">
        <f>IFERROR(VLOOKUP(F445,'12. Contratos_OS'!$A$6:$L$1000,7,FALSE),"")</f>
        <v/>
      </c>
      <c r="K445" s="95">
        <f>IFERROR(VLOOKUP(J445,'11. Cadastro de Serviços'!$A$6:$E$200,2,FALSE),"")</f>
        <v/>
      </c>
      <c r="L445" s="95">
        <f>IFERROR(VLOOKUP(J445,'11. Cadastro de Serviços'!$A$6:$E$200,3,FALSE),"")</f>
        <v/>
      </c>
      <c r="M445" s="95">
        <f>IFERROR(VLOOKUP(J445,'11. Cadastro de Serviços'!$A$6:$E$200,4,FALSE),"")</f>
        <v/>
      </c>
      <c r="N445" s="95" t="n"/>
      <c r="O445" s="95">
        <f>IF(AND(G445&lt;&gt;"",I445&lt;&gt;"",J445&lt;&gt;"",M445&lt;&gt;""),"Rastreado","Revisar")</f>
        <v/>
      </c>
      <c r="P445" s="96" t="n"/>
    </row>
    <row r="446">
      <c r="A446" s="95" t="n"/>
      <c r="B446" s="96" t="n"/>
      <c r="C446" s="96" t="n"/>
      <c r="D446" s="95" t="n"/>
      <c r="E446" s="96" t="n"/>
      <c r="F446" s="96" t="n"/>
      <c r="G446" s="95">
        <f>IFERROR(VLOOKUP(F446,'12. Contratos_OS'!$A$6:$L$1000,2,FALSE),"")</f>
        <v/>
      </c>
      <c r="H446" s="95">
        <f>IFERROR(VLOOKUP(F446,'12. Contratos_OS'!$A$6:$L$1000,3,FALSE),"")</f>
        <v/>
      </c>
      <c r="I446" s="95">
        <f>IFERROR(VLOOKUP(F446,'12. Contratos_OS'!$A$6:$L$1000,4,FALSE),"")</f>
        <v/>
      </c>
      <c r="J446" s="95">
        <f>IFERROR(VLOOKUP(F446,'12. Contratos_OS'!$A$6:$L$1000,7,FALSE),"")</f>
        <v/>
      </c>
      <c r="K446" s="95">
        <f>IFERROR(VLOOKUP(J446,'11. Cadastro de Serviços'!$A$6:$E$200,2,FALSE),"")</f>
        <v/>
      </c>
      <c r="L446" s="95">
        <f>IFERROR(VLOOKUP(J446,'11. Cadastro de Serviços'!$A$6:$E$200,3,FALSE),"")</f>
        <v/>
      </c>
      <c r="M446" s="95">
        <f>IFERROR(VLOOKUP(J446,'11. Cadastro de Serviços'!$A$6:$E$200,4,FALSE),"")</f>
        <v/>
      </c>
      <c r="N446" s="95" t="n"/>
      <c r="O446" s="95">
        <f>IF(AND(G446&lt;&gt;"",I446&lt;&gt;"",J446&lt;&gt;"",M446&lt;&gt;""),"Rastreado","Revisar")</f>
        <v/>
      </c>
      <c r="P446" s="96" t="n"/>
    </row>
    <row r="447">
      <c r="A447" s="95" t="n"/>
      <c r="B447" s="96" t="n"/>
      <c r="C447" s="96" t="n"/>
      <c r="D447" s="95" t="n"/>
      <c r="E447" s="96" t="n"/>
      <c r="F447" s="96" t="n"/>
      <c r="G447" s="95">
        <f>IFERROR(VLOOKUP(F447,'12. Contratos_OS'!$A$6:$L$1000,2,FALSE),"")</f>
        <v/>
      </c>
      <c r="H447" s="95">
        <f>IFERROR(VLOOKUP(F447,'12. Contratos_OS'!$A$6:$L$1000,3,FALSE),"")</f>
        <v/>
      </c>
      <c r="I447" s="95">
        <f>IFERROR(VLOOKUP(F447,'12. Contratos_OS'!$A$6:$L$1000,4,FALSE),"")</f>
        <v/>
      </c>
      <c r="J447" s="95">
        <f>IFERROR(VLOOKUP(F447,'12. Contratos_OS'!$A$6:$L$1000,7,FALSE),"")</f>
        <v/>
      </c>
      <c r="K447" s="95">
        <f>IFERROR(VLOOKUP(J447,'11. Cadastro de Serviços'!$A$6:$E$200,2,FALSE),"")</f>
        <v/>
      </c>
      <c r="L447" s="95">
        <f>IFERROR(VLOOKUP(J447,'11. Cadastro de Serviços'!$A$6:$E$200,3,FALSE),"")</f>
        <v/>
      </c>
      <c r="M447" s="95">
        <f>IFERROR(VLOOKUP(J447,'11. Cadastro de Serviços'!$A$6:$E$200,4,FALSE),"")</f>
        <v/>
      </c>
      <c r="N447" s="95" t="n"/>
      <c r="O447" s="95">
        <f>IF(AND(G447&lt;&gt;"",I447&lt;&gt;"",J447&lt;&gt;"",M447&lt;&gt;""),"Rastreado","Revisar")</f>
        <v/>
      </c>
      <c r="P447" s="96" t="n"/>
    </row>
    <row r="448">
      <c r="A448" s="95" t="n"/>
      <c r="B448" s="96" t="n"/>
      <c r="C448" s="96" t="n"/>
      <c r="D448" s="95" t="n"/>
      <c r="E448" s="96" t="n"/>
      <c r="F448" s="96" t="n"/>
      <c r="G448" s="95">
        <f>IFERROR(VLOOKUP(F448,'12. Contratos_OS'!$A$6:$L$1000,2,FALSE),"")</f>
        <v/>
      </c>
      <c r="H448" s="95">
        <f>IFERROR(VLOOKUP(F448,'12. Contratos_OS'!$A$6:$L$1000,3,FALSE),"")</f>
        <v/>
      </c>
      <c r="I448" s="95">
        <f>IFERROR(VLOOKUP(F448,'12. Contratos_OS'!$A$6:$L$1000,4,FALSE),"")</f>
        <v/>
      </c>
      <c r="J448" s="95">
        <f>IFERROR(VLOOKUP(F448,'12. Contratos_OS'!$A$6:$L$1000,7,FALSE),"")</f>
        <v/>
      </c>
      <c r="K448" s="95">
        <f>IFERROR(VLOOKUP(J448,'11. Cadastro de Serviços'!$A$6:$E$200,2,FALSE),"")</f>
        <v/>
      </c>
      <c r="L448" s="95">
        <f>IFERROR(VLOOKUP(J448,'11. Cadastro de Serviços'!$A$6:$E$200,3,FALSE),"")</f>
        <v/>
      </c>
      <c r="M448" s="95">
        <f>IFERROR(VLOOKUP(J448,'11. Cadastro de Serviços'!$A$6:$E$200,4,FALSE),"")</f>
        <v/>
      </c>
      <c r="N448" s="95" t="n"/>
      <c r="O448" s="95">
        <f>IF(AND(G448&lt;&gt;"",I448&lt;&gt;"",J448&lt;&gt;"",M448&lt;&gt;""),"Rastreado","Revisar")</f>
        <v/>
      </c>
      <c r="P448" s="96" t="n"/>
    </row>
    <row r="449">
      <c r="A449" s="95" t="n"/>
      <c r="B449" s="96" t="n"/>
      <c r="C449" s="96" t="n"/>
      <c r="D449" s="95" t="n"/>
      <c r="E449" s="96" t="n"/>
      <c r="F449" s="96" t="n"/>
      <c r="G449" s="95">
        <f>IFERROR(VLOOKUP(F449,'12. Contratos_OS'!$A$6:$L$1000,2,FALSE),"")</f>
        <v/>
      </c>
      <c r="H449" s="95">
        <f>IFERROR(VLOOKUP(F449,'12. Contratos_OS'!$A$6:$L$1000,3,FALSE),"")</f>
        <v/>
      </c>
      <c r="I449" s="95">
        <f>IFERROR(VLOOKUP(F449,'12. Contratos_OS'!$A$6:$L$1000,4,FALSE),"")</f>
        <v/>
      </c>
      <c r="J449" s="95">
        <f>IFERROR(VLOOKUP(F449,'12. Contratos_OS'!$A$6:$L$1000,7,FALSE),"")</f>
        <v/>
      </c>
      <c r="K449" s="95">
        <f>IFERROR(VLOOKUP(J449,'11. Cadastro de Serviços'!$A$6:$E$200,2,FALSE),"")</f>
        <v/>
      </c>
      <c r="L449" s="95">
        <f>IFERROR(VLOOKUP(J449,'11. Cadastro de Serviços'!$A$6:$E$200,3,FALSE),"")</f>
        <v/>
      </c>
      <c r="M449" s="95">
        <f>IFERROR(VLOOKUP(J449,'11. Cadastro de Serviços'!$A$6:$E$200,4,FALSE),"")</f>
        <v/>
      </c>
      <c r="N449" s="95" t="n"/>
      <c r="O449" s="95">
        <f>IF(AND(G449&lt;&gt;"",I449&lt;&gt;"",J449&lt;&gt;"",M449&lt;&gt;""),"Rastreado","Revisar")</f>
        <v/>
      </c>
      <c r="P449" s="96" t="n"/>
    </row>
    <row r="450">
      <c r="A450" s="95" t="n"/>
      <c r="B450" s="96" t="n"/>
      <c r="C450" s="96" t="n"/>
      <c r="D450" s="95" t="n"/>
      <c r="E450" s="96" t="n"/>
      <c r="F450" s="96" t="n"/>
      <c r="G450" s="95">
        <f>IFERROR(VLOOKUP(F450,'12. Contratos_OS'!$A$6:$L$1000,2,FALSE),"")</f>
        <v/>
      </c>
      <c r="H450" s="95">
        <f>IFERROR(VLOOKUP(F450,'12. Contratos_OS'!$A$6:$L$1000,3,FALSE),"")</f>
        <v/>
      </c>
      <c r="I450" s="95">
        <f>IFERROR(VLOOKUP(F450,'12. Contratos_OS'!$A$6:$L$1000,4,FALSE),"")</f>
        <v/>
      </c>
      <c r="J450" s="95">
        <f>IFERROR(VLOOKUP(F450,'12. Contratos_OS'!$A$6:$L$1000,7,FALSE),"")</f>
        <v/>
      </c>
      <c r="K450" s="95">
        <f>IFERROR(VLOOKUP(J450,'11. Cadastro de Serviços'!$A$6:$E$200,2,FALSE),"")</f>
        <v/>
      </c>
      <c r="L450" s="95">
        <f>IFERROR(VLOOKUP(J450,'11. Cadastro de Serviços'!$A$6:$E$200,3,FALSE),"")</f>
        <v/>
      </c>
      <c r="M450" s="95">
        <f>IFERROR(VLOOKUP(J450,'11. Cadastro de Serviços'!$A$6:$E$200,4,FALSE),"")</f>
        <v/>
      </c>
      <c r="N450" s="95" t="n"/>
      <c r="O450" s="95">
        <f>IF(AND(G450&lt;&gt;"",I450&lt;&gt;"",J450&lt;&gt;"",M450&lt;&gt;""),"Rastreado","Revisar")</f>
        <v/>
      </c>
      <c r="P450" s="96" t="n"/>
    </row>
    <row r="451">
      <c r="A451" s="95" t="n"/>
      <c r="B451" s="96" t="n"/>
      <c r="C451" s="96" t="n"/>
      <c r="D451" s="95" t="n"/>
      <c r="E451" s="96" t="n"/>
      <c r="F451" s="96" t="n"/>
      <c r="G451" s="95">
        <f>IFERROR(VLOOKUP(F451,'12. Contratos_OS'!$A$6:$L$1000,2,FALSE),"")</f>
        <v/>
      </c>
      <c r="H451" s="95">
        <f>IFERROR(VLOOKUP(F451,'12. Contratos_OS'!$A$6:$L$1000,3,FALSE),"")</f>
        <v/>
      </c>
      <c r="I451" s="95">
        <f>IFERROR(VLOOKUP(F451,'12. Contratos_OS'!$A$6:$L$1000,4,FALSE),"")</f>
        <v/>
      </c>
      <c r="J451" s="95">
        <f>IFERROR(VLOOKUP(F451,'12. Contratos_OS'!$A$6:$L$1000,7,FALSE),"")</f>
        <v/>
      </c>
      <c r="K451" s="95">
        <f>IFERROR(VLOOKUP(J451,'11. Cadastro de Serviços'!$A$6:$E$200,2,FALSE),"")</f>
        <v/>
      </c>
      <c r="L451" s="95">
        <f>IFERROR(VLOOKUP(J451,'11. Cadastro de Serviços'!$A$6:$E$200,3,FALSE),"")</f>
        <v/>
      </c>
      <c r="M451" s="95">
        <f>IFERROR(VLOOKUP(J451,'11. Cadastro de Serviços'!$A$6:$E$200,4,FALSE),"")</f>
        <v/>
      </c>
      <c r="N451" s="95" t="n"/>
      <c r="O451" s="95">
        <f>IF(AND(G451&lt;&gt;"",I451&lt;&gt;"",J451&lt;&gt;"",M451&lt;&gt;""),"Rastreado","Revisar")</f>
        <v/>
      </c>
      <c r="P451" s="96" t="n"/>
    </row>
    <row r="452">
      <c r="A452" s="95" t="n"/>
      <c r="B452" s="96" t="n"/>
      <c r="C452" s="96" t="n"/>
      <c r="D452" s="95" t="n"/>
      <c r="E452" s="96" t="n"/>
      <c r="F452" s="96" t="n"/>
      <c r="G452" s="95">
        <f>IFERROR(VLOOKUP(F452,'12. Contratos_OS'!$A$6:$L$1000,2,FALSE),"")</f>
        <v/>
      </c>
      <c r="H452" s="95">
        <f>IFERROR(VLOOKUP(F452,'12. Contratos_OS'!$A$6:$L$1000,3,FALSE),"")</f>
        <v/>
      </c>
      <c r="I452" s="95">
        <f>IFERROR(VLOOKUP(F452,'12. Contratos_OS'!$A$6:$L$1000,4,FALSE),"")</f>
        <v/>
      </c>
      <c r="J452" s="95">
        <f>IFERROR(VLOOKUP(F452,'12. Contratos_OS'!$A$6:$L$1000,7,FALSE),"")</f>
        <v/>
      </c>
      <c r="K452" s="95">
        <f>IFERROR(VLOOKUP(J452,'11. Cadastro de Serviços'!$A$6:$E$200,2,FALSE),"")</f>
        <v/>
      </c>
      <c r="L452" s="95">
        <f>IFERROR(VLOOKUP(J452,'11. Cadastro de Serviços'!$A$6:$E$200,3,FALSE),"")</f>
        <v/>
      </c>
      <c r="M452" s="95">
        <f>IFERROR(VLOOKUP(J452,'11. Cadastro de Serviços'!$A$6:$E$200,4,FALSE),"")</f>
        <v/>
      </c>
      <c r="N452" s="95" t="n"/>
      <c r="O452" s="95">
        <f>IF(AND(G452&lt;&gt;"",I452&lt;&gt;"",J452&lt;&gt;"",M452&lt;&gt;""),"Rastreado","Revisar")</f>
        <v/>
      </c>
      <c r="P452" s="96" t="n"/>
    </row>
    <row r="453">
      <c r="A453" s="95" t="n"/>
      <c r="B453" s="96" t="n"/>
      <c r="C453" s="96" t="n"/>
      <c r="D453" s="95" t="n"/>
      <c r="E453" s="96" t="n"/>
      <c r="F453" s="96" t="n"/>
      <c r="G453" s="95">
        <f>IFERROR(VLOOKUP(F453,'12. Contratos_OS'!$A$6:$L$1000,2,FALSE),"")</f>
        <v/>
      </c>
      <c r="H453" s="95">
        <f>IFERROR(VLOOKUP(F453,'12. Contratos_OS'!$A$6:$L$1000,3,FALSE),"")</f>
        <v/>
      </c>
      <c r="I453" s="95">
        <f>IFERROR(VLOOKUP(F453,'12. Contratos_OS'!$A$6:$L$1000,4,FALSE),"")</f>
        <v/>
      </c>
      <c r="J453" s="95">
        <f>IFERROR(VLOOKUP(F453,'12. Contratos_OS'!$A$6:$L$1000,7,FALSE),"")</f>
        <v/>
      </c>
      <c r="K453" s="95">
        <f>IFERROR(VLOOKUP(J453,'11. Cadastro de Serviços'!$A$6:$E$200,2,FALSE),"")</f>
        <v/>
      </c>
      <c r="L453" s="95">
        <f>IFERROR(VLOOKUP(J453,'11. Cadastro de Serviços'!$A$6:$E$200,3,FALSE),"")</f>
        <v/>
      </c>
      <c r="M453" s="95">
        <f>IFERROR(VLOOKUP(J453,'11. Cadastro de Serviços'!$A$6:$E$200,4,FALSE),"")</f>
        <v/>
      </c>
      <c r="N453" s="95" t="n"/>
      <c r="O453" s="95">
        <f>IF(AND(G453&lt;&gt;"",I453&lt;&gt;"",J453&lt;&gt;"",M453&lt;&gt;""),"Rastreado","Revisar")</f>
        <v/>
      </c>
      <c r="P453" s="96" t="n"/>
    </row>
    <row r="454">
      <c r="A454" s="95" t="n"/>
      <c r="B454" s="96" t="n"/>
      <c r="C454" s="96" t="n"/>
      <c r="D454" s="95" t="n"/>
      <c r="E454" s="96" t="n"/>
      <c r="F454" s="96" t="n"/>
      <c r="G454" s="95">
        <f>IFERROR(VLOOKUP(F454,'12. Contratos_OS'!$A$6:$L$1000,2,FALSE),"")</f>
        <v/>
      </c>
      <c r="H454" s="95">
        <f>IFERROR(VLOOKUP(F454,'12. Contratos_OS'!$A$6:$L$1000,3,FALSE),"")</f>
        <v/>
      </c>
      <c r="I454" s="95">
        <f>IFERROR(VLOOKUP(F454,'12. Contratos_OS'!$A$6:$L$1000,4,FALSE),"")</f>
        <v/>
      </c>
      <c r="J454" s="95">
        <f>IFERROR(VLOOKUP(F454,'12. Contratos_OS'!$A$6:$L$1000,7,FALSE),"")</f>
        <v/>
      </c>
      <c r="K454" s="95">
        <f>IFERROR(VLOOKUP(J454,'11. Cadastro de Serviços'!$A$6:$E$200,2,FALSE),"")</f>
        <v/>
      </c>
      <c r="L454" s="95">
        <f>IFERROR(VLOOKUP(J454,'11. Cadastro de Serviços'!$A$6:$E$200,3,FALSE),"")</f>
        <v/>
      </c>
      <c r="M454" s="95">
        <f>IFERROR(VLOOKUP(J454,'11. Cadastro de Serviços'!$A$6:$E$200,4,FALSE),"")</f>
        <v/>
      </c>
      <c r="N454" s="95" t="n"/>
      <c r="O454" s="95">
        <f>IF(AND(G454&lt;&gt;"",I454&lt;&gt;"",J454&lt;&gt;"",M454&lt;&gt;""),"Rastreado","Revisar")</f>
        <v/>
      </c>
      <c r="P454" s="96" t="n"/>
    </row>
    <row r="455">
      <c r="A455" s="95" t="n"/>
      <c r="B455" s="96" t="n"/>
      <c r="C455" s="96" t="n"/>
      <c r="D455" s="95" t="n"/>
      <c r="E455" s="96" t="n"/>
      <c r="F455" s="96" t="n"/>
      <c r="G455" s="95">
        <f>IFERROR(VLOOKUP(F455,'12. Contratos_OS'!$A$6:$L$1000,2,FALSE),"")</f>
        <v/>
      </c>
      <c r="H455" s="95">
        <f>IFERROR(VLOOKUP(F455,'12. Contratos_OS'!$A$6:$L$1000,3,FALSE),"")</f>
        <v/>
      </c>
      <c r="I455" s="95">
        <f>IFERROR(VLOOKUP(F455,'12. Contratos_OS'!$A$6:$L$1000,4,FALSE),"")</f>
        <v/>
      </c>
      <c r="J455" s="95">
        <f>IFERROR(VLOOKUP(F455,'12. Contratos_OS'!$A$6:$L$1000,7,FALSE),"")</f>
        <v/>
      </c>
      <c r="K455" s="95">
        <f>IFERROR(VLOOKUP(J455,'11. Cadastro de Serviços'!$A$6:$E$200,2,FALSE),"")</f>
        <v/>
      </c>
      <c r="L455" s="95">
        <f>IFERROR(VLOOKUP(J455,'11. Cadastro de Serviços'!$A$6:$E$200,3,FALSE),"")</f>
        <v/>
      </c>
      <c r="M455" s="95">
        <f>IFERROR(VLOOKUP(J455,'11. Cadastro de Serviços'!$A$6:$E$200,4,FALSE),"")</f>
        <v/>
      </c>
      <c r="N455" s="95" t="n"/>
      <c r="O455" s="95">
        <f>IF(AND(G455&lt;&gt;"",I455&lt;&gt;"",J455&lt;&gt;"",M455&lt;&gt;""),"Rastreado","Revisar")</f>
        <v/>
      </c>
      <c r="P455" s="96" t="n"/>
    </row>
    <row r="456">
      <c r="A456" s="95" t="n"/>
      <c r="B456" s="96" t="n"/>
      <c r="C456" s="96" t="n"/>
      <c r="D456" s="95" t="n"/>
      <c r="E456" s="96" t="n"/>
      <c r="F456" s="96" t="n"/>
      <c r="G456" s="95">
        <f>IFERROR(VLOOKUP(F456,'12. Contratos_OS'!$A$6:$L$1000,2,FALSE),"")</f>
        <v/>
      </c>
      <c r="H456" s="95">
        <f>IFERROR(VLOOKUP(F456,'12. Contratos_OS'!$A$6:$L$1000,3,FALSE),"")</f>
        <v/>
      </c>
      <c r="I456" s="95">
        <f>IFERROR(VLOOKUP(F456,'12. Contratos_OS'!$A$6:$L$1000,4,FALSE),"")</f>
        <v/>
      </c>
      <c r="J456" s="95">
        <f>IFERROR(VLOOKUP(F456,'12. Contratos_OS'!$A$6:$L$1000,7,FALSE),"")</f>
        <v/>
      </c>
      <c r="K456" s="95">
        <f>IFERROR(VLOOKUP(J456,'11. Cadastro de Serviços'!$A$6:$E$200,2,FALSE),"")</f>
        <v/>
      </c>
      <c r="L456" s="95">
        <f>IFERROR(VLOOKUP(J456,'11. Cadastro de Serviços'!$A$6:$E$200,3,FALSE),"")</f>
        <v/>
      </c>
      <c r="M456" s="95">
        <f>IFERROR(VLOOKUP(J456,'11. Cadastro de Serviços'!$A$6:$E$200,4,FALSE),"")</f>
        <v/>
      </c>
      <c r="N456" s="95" t="n"/>
      <c r="O456" s="95">
        <f>IF(AND(G456&lt;&gt;"",I456&lt;&gt;"",J456&lt;&gt;"",M456&lt;&gt;""),"Rastreado","Revisar")</f>
        <v/>
      </c>
      <c r="P456" s="96" t="n"/>
    </row>
    <row r="457">
      <c r="A457" s="95" t="n"/>
      <c r="B457" s="96" t="n"/>
      <c r="C457" s="96" t="n"/>
      <c r="D457" s="95" t="n"/>
      <c r="E457" s="96" t="n"/>
      <c r="F457" s="96" t="n"/>
      <c r="G457" s="95">
        <f>IFERROR(VLOOKUP(F457,'12. Contratos_OS'!$A$6:$L$1000,2,FALSE),"")</f>
        <v/>
      </c>
      <c r="H457" s="95">
        <f>IFERROR(VLOOKUP(F457,'12. Contratos_OS'!$A$6:$L$1000,3,FALSE),"")</f>
        <v/>
      </c>
      <c r="I457" s="95">
        <f>IFERROR(VLOOKUP(F457,'12. Contratos_OS'!$A$6:$L$1000,4,FALSE),"")</f>
        <v/>
      </c>
      <c r="J457" s="95">
        <f>IFERROR(VLOOKUP(F457,'12. Contratos_OS'!$A$6:$L$1000,7,FALSE),"")</f>
        <v/>
      </c>
      <c r="K457" s="95">
        <f>IFERROR(VLOOKUP(J457,'11. Cadastro de Serviços'!$A$6:$E$200,2,FALSE),"")</f>
        <v/>
      </c>
      <c r="L457" s="95">
        <f>IFERROR(VLOOKUP(J457,'11. Cadastro de Serviços'!$A$6:$E$200,3,FALSE),"")</f>
        <v/>
      </c>
      <c r="M457" s="95">
        <f>IFERROR(VLOOKUP(J457,'11. Cadastro de Serviços'!$A$6:$E$200,4,FALSE),"")</f>
        <v/>
      </c>
      <c r="N457" s="95" t="n"/>
      <c r="O457" s="95">
        <f>IF(AND(G457&lt;&gt;"",I457&lt;&gt;"",J457&lt;&gt;"",M457&lt;&gt;""),"Rastreado","Revisar")</f>
        <v/>
      </c>
      <c r="P457" s="96" t="n"/>
    </row>
    <row r="458">
      <c r="A458" s="95" t="n"/>
      <c r="B458" s="96" t="n"/>
      <c r="C458" s="96" t="n"/>
      <c r="D458" s="95" t="n"/>
      <c r="E458" s="96" t="n"/>
      <c r="F458" s="96" t="n"/>
      <c r="G458" s="95">
        <f>IFERROR(VLOOKUP(F458,'12. Contratos_OS'!$A$6:$L$1000,2,FALSE),"")</f>
        <v/>
      </c>
      <c r="H458" s="95">
        <f>IFERROR(VLOOKUP(F458,'12. Contratos_OS'!$A$6:$L$1000,3,FALSE),"")</f>
        <v/>
      </c>
      <c r="I458" s="95">
        <f>IFERROR(VLOOKUP(F458,'12. Contratos_OS'!$A$6:$L$1000,4,FALSE),"")</f>
        <v/>
      </c>
      <c r="J458" s="95">
        <f>IFERROR(VLOOKUP(F458,'12. Contratos_OS'!$A$6:$L$1000,7,FALSE),"")</f>
        <v/>
      </c>
      <c r="K458" s="95">
        <f>IFERROR(VLOOKUP(J458,'11. Cadastro de Serviços'!$A$6:$E$200,2,FALSE),"")</f>
        <v/>
      </c>
      <c r="L458" s="95">
        <f>IFERROR(VLOOKUP(J458,'11. Cadastro de Serviços'!$A$6:$E$200,3,FALSE),"")</f>
        <v/>
      </c>
      <c r="M458" s="95">
        <f>IFERROR(VLOOKUP(J458,'11. Cadastro de Serviços'!$A$6:$E$200,4,FALSE),"")</f>
        <v/>
      </c>
      <c r="N458" s="95" t="n"/>
      <c r="O458" s="95">
        <f>IF(AND(G458&lt;&gt;"",I458&lt;&gt;"",J458&lt;&gt;"",M458&lt;&gt;""),"Rastreado","Revisar")</f>
        <v/>
      </c>
      <c r="P458" s="96" t="n"/>
    </row>
    <row r="459">
      <c r="A459" s="95" t="n"/>
      <c r="B459" s="96" t="n"/>
      <c r="C459" s="96" t="n"/>
      <c r="D459" s="95" t="n"/>
      <c r="E459" s="96" t="n"/>
      <c r="F459" s="96" t="n"/>
      <c r="G459" s="95">
        <f>IFERROR(VLOOKUP(F459,'12. Contratos_OS'!$A$6:$L$1000,2,FALSE),"")</f>
        <v/>
      </c>
      <c r="H459" s="95">
        <f>IFERROR(VLOOKUP(F459,'12. Contratos_OS'!$A$6:$L$1000,3,FALSE),"")</f>
        <v/>
      </c>
      <c r="I459" s="95">
        <f>IFERROR(VLOOKUP(F459,'12. Contratos_OS'!$A$6:$L$1000,4,FALSE),"")</f>
        <v/>
      </c>
      <c r="J459" s="95">
        <f>IFERROR(VLOOKUP(F459,'12. Contratos_OS'!$A$6:$L$1000,7,FALSE),"")</f>
        <v/>
      </c>
      <c r="K459" s="95">
        <f>IFERROR(VLOOKUP(J459,'11. Cadastro de Serviços'!$A$6:$E$200,2,FALSE),"")</f>
        <v/>
      </c>
      <c r="L459" s="95">
        <f>IFERROR(VLOOKUP(J459,'11. Cadastro de Serviços'!$A$6:$E$200,3,FALSE),"")</f>
        <v/>
      </c>
      <c r="M459" s="95">
        <f>IFERROR(VLOOKUP(J459,'11. Cadastro de Serviços'!$A$6:$E$200,4,FALSE),"")</f>
        <v/>
      </c>
      <c r="N459" s="95" t="n"/>
      <c r="O459" s="95">
        <f>IF(AND(G459&lt;&gt;"",I459&lt;&gt;"",J459&lt;&gt;"",M459&lt;&gt;""),"Rastreado","Revisar")</f>
        <v/>
      </c>
      <c r="P459" s="96" t="n"/>
    </row>
    <row r="460">
      <c r="A460" s="95" t="n"/>
      <c r="B460" s="96" t="n"/>
      <c r="C460" s="96" t="n"/>
      <c r="D460" s="95" t="n"/>
      <c r="E460" s="96" t="n"/>
      <c r="F460" s="96" t="n"/>
      <c r="G460" s="95">
        <f>IFERROR(VLOOKUP(F460,'12. Contratos_OS'!$A$6:$L$1000,2,FALSE),"")</f>
        <v/>
      </c>
      <c r="H460" s="95">
        <f>IFERROR(VLOOKUP(F460,'12. Contratos_OS'!$A$6:$L$1000,3,FALSE),"")</f>
        <v/>
      </c>
      <c r="I460" s="95">
        <f>IFERROR(VLOOKUP(F460,'12. Contratos_OS'!$A$6:$L$1000,4,FALSE),"")</f>
        <v/>
      </c>
      <c r="J460" s="95">
        <f>IFERROR(VLOOKUP(F460,'12. Contratos_OS'!$A$6:$L$1000,7,FALSE),"")</f>
        <v/>
      </c>
      <c r="K460" s="95">
        <f>IFERROR(VLOOKUP(J460,'11. Cadastro de Serviços'!$A$6:$E$200,2,FALSE),"")</f>
        <v/>
      </c>
      <c r="L460" s="95">
        <f>IFERROR(VLOOKUP(J460,'11. Cadastro de Serviços'!$A$6:$E$200,3,FALSE),"")</f>
        <v/>
      </c>
      <c r="M460" s="95">
        <f>IFERROR(VLOOKUP(J460,'11. Cadastro de Serviços'!$A$6:$E$200,4,FALSE),"")</f>
        <v/>
      </c>
      <c r="N460" s="95" t="n"/>
      <c r="O460" s="95">
        <f>IF(AND(G460&lt;&gt;"",I460&lt;&gt;"",J460&lt;&gt;"",M460&lt;&gt;""),"Rastreado","Revisar")</f>
        <v/>
      </c>
      <c r="P460" s="96" t="n"/>
    </row>
    <row r="461">
      <c r="A461" s="95" t="n"/>
      <c r="B461" s="96" t="n"/>
      <c r="C461" s="96" t="n"/>
      <c r="D461" s="95" t="n"/>
      <c r="E461" s="96" t="n"/>
      <c r="F461" s="96" t="n"/>
      <c r="G461" s="95">
        <f>IFERROR(VLOOKUP(F461,'12. Contratos_OS'!$A$6:$L$1000,2,FALSE),"")</f>
        <v/>
      </c>
      <c r="H461" s="95">
        <f>IFERROR(VLOOKUP(F461,'12. Contratos_OS'!$A$6:$L$1000,3,FALSE),"")</f>
        <v/>
      </c>
      <c r="I461" s="95">
        <f>IFERROR(VLOOKUP(F461,'12. Contratos_OS'!$A$6:$L$1000,4,FALSE),"")</f>
        <v/>
      </c>
      <c r="J461" s="95">
        <f>IFERROR(VLOOKUP(F461,'12. Contratos_OS'!$A$6:$L$1000,7,FALSE),"")</f>
        <v/>
      </c>
      <c r="K461" s="95">
        <f>IFERROR(VLOOKUP(J461,'11. Cadastro de Serviços'!$A$6:$E$200,2,FALSE),"")</f>
        <v/>
      </c>
      <c r="L461" s="95">
        <f>IFERROR(VLOOKUP(J461,'11. Cadastro de Serviços'!$A$6:$E$200,3,FALSE),"")</f>
        <v/>
      </c>
      <c r="M461" s="95">
        <f>IFERROR(VLOOKUP(J461,'11. Cadastro de Serviços'!$A$6:$E$200,4,FALSE),"")</f>
        <v/>
      </c>
      <c r="N461" s="95" t="n"/>
      <c r="O461" s="95">
        <f>IF(AND(G461&lt;&gt;"",I461&lt;&gt;"",J461&lt;&gt;"",M461&lt;&gt;""),"Rastreado","Revisar")</f>
        <v/>
      </c>
      <c r="P461" s="96" t="n"/>
    </row>
    <row r="462">
      <c r="A462" s="95" t="n"/>
      <c r="B462" s="96" t="n"/>
      <c r="C462" s="96" t="n"/>
      <c r="D462" s="95" t="n"/>
      <c r="E462" s="96" t="n"/>
      <c r="F462" s="96" t="n"/>
      <c r="G462" s="95">
        <f>IFERROR(VLOOKUP(F462,'12. Contratos_OS'!$A$6:$L$1000,2,FALSE),"")</f>
        <v/>
      </c>
      <c r="H462" s="95">
        <f>IFERROR(VLOOKUP(F462,'12. Contratos_OS'!$A$6:$L$1000,3,FALSE),"")</f>
        <v/>
      </c>
      <c r="I462" s="95">
        <f>IFERROR(VLOOKUP(F462,'12. Contratos_OS'!$A$6:$L$1000,4,FALSE),"")</f>
        <v/>
      </c>
      <c r="J462" s="95">
        <f>IFERROR(VLOOKUP(F462,'12. Contratos_OS'!$A$6:$L$1000,7,FALSE),"")</f>
        <v/>
      </c>
      <c r="K462" s="95">
        <f>IFERROR(VLOOKUP(J462,'11. Cadastro de Serviços'!$A$6:$E$200,2,FALSE),"")</f>
        <v/>
      </c>
      <c r="L462" s="95">
        <f>IFERROR(VLOOKUP(J462,'11. Cadastro de Serviços'!$A$6:$E$200,3,FALSE),"")</f>
        <v/>
      </c>
      <c r="M462" s="95">
        <f>IFERROR(VLOOKUP(J462,'11. Cadastro de Serviços'!$A$6:$E$200,4,FALSE),"")</f>
        <v/>
      </c>
      <c r="N462" s="95" t="n"/>
      <c r="O462" s="95">
        <f>IF(AND(G462&lt;&gt;"",I462&lt;&gt;"",J462&lt;&gt;"",M462&lt;&gt;""),"Rastreado","Revisar")</f>
        <v/>
      </c>
      <c r="P462" s="96" t="n"/>
    </row>
    <row r="463">
      <c r="A463" s="95" t="n"/>
      <c r="B463" s="96" t="n"/>
      <c r="C463" s="96" t="n"/>
      <c r="D463" s="95" t="n"/>
      <c r="E463" s="96" t="n"/>
      <c r="F463" s="96" t="n"/>
      <c r="G463" s="95">
        <f>IFERROR(VLOOKUP(F463,'12. Contratos_OS'!$A$6:$L$1000,2,FALSE),"")</f>
        <v/>
      </c>
      <c r="H463" s="95">
        <f>IFERROR(VLOOKUP(F463,'12. Contratos_OS'!$A$6:$L$1000,3,FALSE),"")</f>
        <v/>
      </c>
      <c r="I463" s="95">
        <f>IFERROR(VLOOKUP(F463,'12. Contratos_OS'!$A$6:$L$1000,4,FALSE),"")</f>
        <v/>
      </c>
      <c r="J463" s="95">
        <f>IFERROR(VLOOKUP(F463,'12. Contratos_OS'!$A$6:$L$1000,7,FALSE),"")</f>
        <v/>
      </c>
      <c r="K463" s="95">
        <f>IFERROR(VLOOKUP(J463,'11. Cadastro de Serviços'!$A$6:$E$200,2,FALSE),"")</f>
        <v/>
      </c>
      <c r="L463" s="95">
        <f>IFERROR(VLOOKUP(J463,'11. Cadastro de Serviços'!$A$6:$E$200,3,FALSE),"")</f>
        <v/>
      </c>
      <c r="M463" s="95">
        <f>IFERROR(VLOOKUP(J463,'11. Cadastro de Serviços'!$A$6:$E$200,4,FALSE),"")</f>
        <v/>
      </c>
      <c r="N463" s="95" t="n"/>
      <c r="O463" s="95">
        <f>IF(AND(G463&lt;&gt;"",I463&lt;&gt;"",J463&lt;&gt;"",M463&lt;&gt;""),"Rastreado","Revisar")</f>
        <v/>
      </c>
      <c r="P463" s="96" t="n"/>
    </row>
    <row r="464">
      <c r="A464" s="95" t="n"/>
      <c r="B464" s="96" t="n"/>
      <c r="C464" s="96" t="n"/>
      <c r="D464" s="95" t="n"/>
      <c r="E464" s="96" t="n"/>
      <c r="F464" s="96" t="n"/>
      <c r="G464" s="95">
        <f>IFERROR(VLOOKUP(F464,'12. Contratos_OS'!$A$6:$L$1000,2,FALSE),"")</f>
        <v/>
      </c>
      <c r="H464" s="95">
        <f>IFERROR(VLOOKUP(F464,'12. Contratos_OS'!$A$6:$L$1000,3,FALSE),"")</f>
        <v/>
      </c>
      <c r="I464" s="95">
        <f>IFERROR(VLOOKUP(F464,'12. Contratos_OS'!$A$6:$L$1000,4,FALSE),"")</f>
        <v/>
      </c>
      <c r="J464" s="95">
        <f>IFERROR(VLOOKUP(F464,'12. Contratos_OS'!$A$6:$L$1000,7,FALSE),"")</f>
        <v/>
      </c>
      <c r="K464" s="95">
        <f>IFERROR(VLOOKUP(J464,'11. Cadastro de Serviços'!$A$6:$E$200,2,FALSE),"")</f>
        <v/>
      </c>
      <c r="L464" s="95">
        <f>IFERROR(VLOOKUP(J464,'11. Cadastro de Serviços'!$A$6:$E$200,3,FALSE),"")</f>
        <v/>
      </c>
      <c r="M464" s="95">
        <f>IFERROR(VLOOKUP(J464,'11. Cadastro de Serviços'!$A$6:$E$200,4,FALSE),"")</f>
        <v/>
      </c>
      <c r="N464" s="95" t="n"/>
      <c r="O464" s="95">
        <f>IF(AND(G464&lt;&gt;"",I464&lt;&gt;"",J464&lt;&gt;"",M464&lt;&gt;""),"Rastreado","Revisar")</f>
        <v/>
      </c>
      <c r="P464" s="96" t="n"/>
    </row>
    <row r="465">
      <c r="A465" s="95" t="n"/>
      <c r="B465" s="96" t="n"/>
      <c r="C465" s="96" t="n"/>
      <c r="D465" s="95" t="n"/>
      <c r="E465" s="96" t="n"/>
      <c r="F465" s="96" t="n"/>
      <c r="G465" s="95">
        <f>IFERROR(VLOOKUP(F465,'12. Contratos_OS'!$A$6:$L$1000,2,FALSE),"")</f>
        <v/>
      </c>
      <c r="H465" s="95">
        <f>IFERROR(VLOOKUP(F465,'12. Contratos_OS'!$A$6:$L$1000,3,FALSE),"")</f>
        <v/>
      </c>
      <c r="I465" s="95">
        <f>IFERROR(VLOOKUP(F465,'12. Contratos_OS'!$A$6:$L$1000,4,FALSE),"")</f>
        <v/>
      </c>
      <c r="J465" s="95">
        <f>IFERROR(VLOOKUP(F465,'12. Contratos_OS'!$A$6:$L$1000,7,FALSE),"")</f>
        <v/>
      </c>
      <c r="K465" s="95">
        <f>IFERROR(VLOOKUP(J465,'11. Cadastro de Serviços'!$A$6:$E$200,2,FALSE),"")</f>
        <v/>
      </c>
      <c r="L465" s="95">
        <f>IFERROR(VLOOKUP(J465,'11. Cadastro de Serviços'!$A$6:$E$200,3,FALSE),"")</f>
        <v/>
      </c>
      <c r="M465" s="95">
        <f>IFERROR(VLOOKUP(J465,'11. Cadastro de Serviços'!$A$6:$E$200,4,FALSE),"")</f>
        <v/>
      </c>
      <c r="N465" s="95" t="n"/>
      <c r="O465" s="95">
        <f>IF(AND(G465&lt;&gt;"",I465&lt;&gt;"",J465&lt;&gt;"",M465&lt;&gt;""),"Rastreado","Revisar")</f>
        <v/>
      </c>
      <c r="P465" s="96" t="n"/>
    </row>
    <row r="466">
      <c r="A466" s="95" t="n"/>
      <c r="B466" s="96" t="n"/>
      <c r="C466" s="96" t="n"/>
      <c r="D466" s="95" t="n"/>
      <c r="E466" s="96" t="n"/>
      <c r="F466" s="96" t="n"/>
      <c r="G466" s="95">
        <f>IFERROR(VLOOKUP(F466,'12. Contratos_OS'!$A$6:$L$1000,2,FALSE),"")</f>
        <v/>
      </c>
      <c r="H466" s="95">
        <f>IFERROR(VLOOKUP(F466,'12. Contratos_OS'!$A$6:$L$1000,3,FALSE),"")</f>
        <v/>
      </c>
      <c r="I466" s="95">
        <f>IFERROR(VLOOKUP(F466,'12. Contratos_OS'!$A$6:$L$1000,4,FALSE),"")</f>
        <v/>
      </c>
      <c r="J466" s="95">
        <f>IFERROR(VLOOKUP(F466,'12. Contratos_OS'!$A$6:$L$1000,7,FALSE),"")</f>
        <v/>
      </c>
      <c r="K466" s="95">
        <f>IFERROR(VLOOKUP(J466,'11. Cadastro de Serviços'!$A$6:$E$200,2,FALSE),"")</f>
        <v/>
      </c>
      <c r="L466" s="95">
        <f>IFERROR(VLOOKUP(J466,'11. Cadastro de Serviços'!$A$6:$E$200,3,FALSE),"")</f>
        <v/>
      </c>
      <c r="M466" s="95">
        <f>IFERROR(VLOOKUP(J466,'11. Cadastro de Serviços'!$A$6:$E$200,4,FALSE),"")</f>
        <v/>
      </c>
      <c r="N466" s="95" t="n"/>
      <c r="O466" s="95">
        <f>IF(AND(G466&lt;&gt;"",I466&lt;&gt;"",J466&lt;&gt;"",M466&lt;&gt;""),"Rastreado","Revisar")</f>
        <v/>
      </c>
      <c r="P466" s="96" t="n"/>
    </row>
    <row r="467">
      <c r="A467" s="95" t="n"/>
      <c r="B467" s="96" t="n"/>
      <c r="C467" s="96" t="n"/>
      <c r="D467" s="95" t="n"/>
      <c r="E467" s="96" t="n"/>
      <c r="F467" s="96" t="n"/>
      <c r="G467" s="95">
        <f>IFERROR(VLOOKUP(F467,'12. Contratos_OS'!$A$6:$L$1000,2,FALSE),"")</f>
        <v/>
      </c>
      <c r="H467" s="95">
        <f>IFERROR(VLOOKUP(F467,'12. Contratos_OS'!$A$6:$L$1000,3,FALSE),"")</f>
        <v/>
      </c>
      <c r="I467" s="95">
        <f>IFERROR(VLOOKUP(F467,'12. Contratos_OS'!$A$6:$L$1000,4,FALSE),"")</f>
        <v/>
      </c>
      <c r="J467" s="95">
        <f>IFERROR(VLOOKUP(F467,'12. Contratos_OS'!$A$6:$L$1000,7,FALSE),"")</f>
        <v/>
      </c>
      <c r="K467" s="95">
        <f>IFERROR(VLOOKUP(J467,'11. Cadastro de Serviços'!$A$6:$E$200,2,FALSE),"")</f>
        <v/>
      </c>
      <c r="L467" s="95">
        <f>IFERROR(VLOOKUP(J467,'11. Cadastro de Serviços'!$A$6:$E$200,3,FALSE),"")</f>
        <v/>
      </c>
      <c r="M467" s="95">
        <f>IFERROR(VLOOKUP(J467,'11. Cadastro de Serviços'!$A$6:$E$200,4,FALSE),"")</f>
        <v/>
      </c>
      <c r="N467" s="95" t="n"/>
      <c r="O467" s="95">
        <f>IF(AND(G467&lt;&gt;"",I467&lt;&gt;"",J467&lt;&gt;"",M467&lt;&gt;""),"Rastreado","Revisar")</f>
        <v/>
      </c>
      <c r="P467" s="96" t="n"/>
    </row>
    <row r="468">
      <c r="A468" s="95" t="n"/>
      <c r="B468" s="96" t="n"/>
      <c r="C468" s="96" t="n"/>
      <c r="D468" s="95" t="n"/>
      <c r="E468" s="96" t="n"/>
      <c r="F468" s="96" t="n"/>
      <c r="G468" s="95">
        <f>IFERROR(VLOOKUP(F468,'12. Contratos_OS'!$A$6:$L$1000,2,FALSE),"")</f>
        <v/>
      </c>
      <c r="H468" s="95">
        <f>IFERROR(VLOOKUP(F468,'12. Contratos_OS'!$A$6:$L$1000,3,FALSE),"")</f>
        <v/>
      </c>
      <c r="I468" s="95">
        <f>IFERROR(VLOOKUP(F468,'12. Contratos_OS'!$A$6:$L$1000,4,FALSE),"")</f>
        <v/>
      </c>
      <c r="J468" s="95">
        <f>IFERROR(VLOOKUP(F468,'12. Contratos_OS'!$A$6:$L$1000,7,FALSE),"")</f>
        <v/>
      </c>
      <c r="K468" s="95">
        <f>IFERROR(VLOOKUP(J468,'11. Cadastro de Serviços'!$A$6:$E$200,2,FALSE),"")</f>
        <v/>
      </c>
      <c r="L468" s="95">
        <f>IFERROR(VLOOKUP(J468,'11. Cadastro de Serviços'!$A$6:$E$200,3,FALSE),"")</f>
        <v/>
      </c>
      <c r="M468" s="95">
        <f>IFERROR(VLOOKUP(J468,'11. Cadastro de Serviços'!$A$6:$E$200,4,FALSE),"")</f>
        <v/>
      </c>
      <c r="N468" s="95" t="n"/>
      <c r="O468" s="95">
        <f>IF(AND(G468&lt;&gt;"",I468&lt;&gt;"",J468&lt;&gt;"",M468&lt;&gt;""),"Rastreado","Revisar")</f>
        <v/>
      </c>
      <c r="P468" s="96" t="n"/>
    </row>
    <row r="469">
      <c r="A469" s="95" t="n"/>
      <c r="B469" s="96" t="n"/>
      <c r="C469" s="96" t="n"/>
      <c r="D469" s="95" t="n"/>
      <c r="E469" s="96" t="n"/>
      <c r="F469" s="96" t="n"/>
      <c r="G469" s="95">
        <f>IFERROR(VLOOKUP(F469,'12. Contratos_OS'!$A$6:$L$1000,2,FALSE),"")</f>
        <v/>
      </c>
      <c r="H469" s="95">
        <f>IFERROR(VLOOKUP(F469,'12. Contratos_OS'!$A$6:$L$1000,3,FALSE),"")</f>
        <v/>
      </c>
      <c r="I469" s="95">
        <f>IFERROR(VLOOKUP(F469,'12. Contratos_OS'!$A$6:$L$1000,4,FALSE),"")</f>
        <v/>
      </c>
      <c r="J469" s="95">
        <f>IFERROR(VLOOKUP(F469,'12. Contratos_OS'!$A$6:$L$1000,7,FALSE),"")</f>
        <v/>
      </c>
      <c r="K469" s="95">
        <f>IFERROR(VLOOKUP(J469,'11. Cadastro de Serviços'!$A$6:$E$200,2,FALSE),"")</f>
        <v/>
      </c>
      <c r="L469" s="95">
        <f>IFERROR(VLOOKUP(J469,'11. Cadastro de Serviços'!$A$6:$E$200,3,FALSE),"")</f>
        <v/>
      </c>
      <c r="M469" s="95">
        <f>IFERROR(VLOOKUP(J469,'11. Cadastro de Serviços'!$A$6:$E$200,4,FALSE),"")</f>
        <v/>
      </c>
      <c r="N469" s="95" t="n"/>
      <c r="O469" s="95">
        <f>IF(AND(G469&lt;&gt;"",I469&lt;&gt;"",J469&lt;&gt;"",M469&lt;&gt;""),"Rastreado","Revisar")</f>
        <v/>
      </c>
      <c r="P469" s="96" t="n"/>
    </row>
    <row r="470">
      <c r="A470" s="95" t="n"/>
      <c r="B470" s="96" t="n"/>
      <c r="C470" s="96" t="n"/>
      <c r="D470" s="95" t="n"/>
      <c r="E470" s="96" t="n"/>
      <c r="F470" s="96" t="n"/>
      <c r="G470" s="95">
        <f>IFERROR(VLOOKUP(F470,'12. Contratos_OS'!$A$6:$L$1000,2,FALSE),"")</f>
        <v/>
      </c>
      <c r="H470" s="95">
        <f>IFERROR(VLOOKUP(F470,'12. Contratos_OS'!$A$6:$L$1000,3,FALSE),"")</f>
        <v/>
      </c>
      <c r="I470" s="95">
        <f>IFERROR(VLOOKUP(F470,'12. Contratos_OS'!$A$6:$L$1000,4,FALSE),"")</f>
        <v/>
      </c>
      <c r="J470" s="95">
        <f>IFERROR(VLOOKUP(F470,'12. Contratos_OS'!$A$6:$L$1000,7,FALSE),"")</f>
        <v/>
      </c>
      <c r="K470" s="95">
        <f>IFERROR(VLOOKUP(J470,'11. Cadastro de Serviços'!$A$6:$E$200,2,FALSE),"")</f>
        <v/>
      </c>
      <c r="L470" s="95">
        <f>IFERROR(VLOOKUP(J470,'11. Cadastro de Serviços'!$A$6:$E$200,3,FALSE),"")</f>
        <v/>
      </c>
      <c r="M470" s="95">
        <f>IFERROR(VLOOKUP(J470,'11. Cadastro de Serviços'!$A$6:$E$200,4,FALSE),"")</f>
        <v/>
      </c>
      <c r="N470" s="95" t="n"/>
      <c r="O470" s="95">
        <f>IF(AND(G470&lt;&gt;"",I470&lt;&gt;"",J470&lt;&gt;"",M470&lt;&gt;""),"Rastreado","Revisar")</f>
        <v/>
      </c>
      <c r="P470" s="96" t="n"/>
    </row>
    <row r="471">
      <c r="A471" s="95" t="n"/>
      <c r="B471" s="96" t="n"/>
      <c r="C471" s="96" t="n"/>
      <c r="D471" s="95" t="n"/>
      <c r="E471" s="96" t="n"/>
      <c r="F471" s="96" t="n"/>
      <c r="G471" s="95">
        <f>IFERROR(VLOOKUP(F471,'12. Contratos_OS'!$A$6:$L$1000,2,FALSE),"")</f>
        <v/>
      </c>
      <c r="H471" s="95">
        <f>IFERROR(VLOOKUP(F471,'12. Contratos_OS'!$A$6:$L$1000,3,FALSE),"")</f>
        <v/>
      </c>
      <c r="I471" s="95">
        <f>IFERROR(VLOOKUP(F471,'12. Contratos_OS'!$A$6:$L$1000,4,FALSE),"")</f>
        <v/>
      </c>
      <c r="J471" s="95">
        <f>IFERROR(VLOOKUP(F471,'12. Contratos_OS'!$A$6:$L$1000,7,FALSE),"")</f>
        <v/>
      </c>
      <c r="K471" s="95">
        <f>IFERROR(VLOOKUP(J471,'11. Cadastro de Serviços'!$A$6:$E$200,2,FALSE),"")</f>
        <v/>
      </c>
      <c r="L471" s="95">
        <f>IFERROR(VLOOKUP(J471,'11. Cadastro de Serviços'!$A$6:$E$200,3,FALSE),"")</f>
        <v/>
      </c>
      <c r="M471" s="95">
        <f>IFERROR(VLOOKUP(J471,'11. Cadastro de Serviços'!$A$6:$E$200,4,FALSE),"")</f>
        <v/>
      </c>
      <c r="N471" s="95" t="n"/>
      <c r="O471" s="95">
        <f>IF(AND(G471&lt;&gt;"",I471&lt;&gt;"",J471&lt;&gt;"",M471&lt;&gt;""),"Rastreado","Revisar")</f>
        <v/>
      </c>
      <c r="P471" s="96" t="n"/>
    </row>
    <row r="472">
      <c r="A472" s="95" t="n"/>
      <c r="B472" s="96" t="n"/>
      <c r="C472" s="96" t="n"/>
      <c r="D472" s="95" t="n"/>
      <c r="E472" s="96" t="n"/>
      <c r="F472" s="96" t="n"/>
      <c r="G472" s="95">
        <f>IFERROR(VLOOKUP(F472,'12. Contratos_OS'!$A$6:$L$1000,2,FALSE),"")</f>
        <v/>
      </c>
      <c r="H472" s="95">
        <f>IFERROR(VLOOKUP(F472,'12. Contratos_OS'!$A$6:$L$1000,3,FALSE),"")</f>
        <v/>
      </c>
      <c r="I472" s="95">
        <f>IFERROR(VLOOKUP(F472,'12. Contratos_OS'!$A$6:$L$1000,4,FALSE),"")</f>
        <v/>
      </c>
      <c r="J472" s="95">
        <f>IFERROR(VLOOKUP(F472,'12. Contratos_OS'!$A$6:$L$1000,7,FALSE),"")</f>
        <v/>
      </c>
      <c r="K472" s="95">
        <f>IFERROR(VLOOKUP(J472,'11. Cadastro de Serviços'!$A$6:$E$200,2,FALSE),"")</f>
        <v/>
      </c>
      <c r="L472" s="95">
        <f>IFERROR(VLOOKUP(J472,'11. Cadastro de Serviços'!$A$6:$E$200,3,FALSE),"")</f>
        <v/>
      </c>
      <c r="M472" s="95">
        <f>IFERROR(VLOOKUP(J472,'11. Cadastro de Serviços'!$A$6:$E$200,4,FALSE),"")</f>
        <v/>
      </c>
      <c r="N472" s="95" t="n"/>
      <c r="O472" s="95">
        <f>IF(AND(G472&lt;&gt;"",I472&lt;&gt;"",J472&lt;&gt;"",M472&lt;&gt;""),"Rastreado","Revisar")</f>
        <v/>
      </c>
      <c r="P472" s="96" t="n"/>
    </row>
    <row r="473">
      <c r="A473" s="95" t="n"/>
      <c r="B473" s="96" t="n"/>
      <c r="C473" s="96" t="n"/>
      <c r="D473" s="95" t="n"/>
      <c r="E473" s="96" t="n"/>
      <c r="F473" s="96" t="n"/>
      <c r="G473" s="95">
        <f>IFERROR(VLOOKUP(F473,'12. Contratos_OS'!$A$6:$L$1000,2,FALSE),"")</f>
        <v/>
      </c>
      <c r="H473" s="95">
        <f>IFERROR(VLOOKUP(F473,'12. Contratos_OS'!$A$6:$L$1000,3,FALSE),"")</f>
        <v/>
      </c>
      <c r="I473" s="95">
        <f>IFERROR(VLOOKUP(F473,'12. Contratos_OS'!$A$6:$L$1000,4,FALSE),"")</f>
        <v/>
      </c>
      <c r="J473" s="95">
        <f>IFERROR(VLOOKUP(F473,'12. Contratos_OS'!$A$6:$L$1000,7,FALSE),"")</f>
        <v/>
      </c>
      <c r="K473" s="95">
        <f>IFERROR(VLOOKUP(J473,'11. Cadastro de Serviços'!$A$6:$E$200,2,FALSE),"")</f>
        <v/>
      </c>
      <c r="L473" s="95">
        <f>IFERROR(VLOOKUP(J473,'11. Cadastro de Serviços'!$A$6:$E$200,3,FALSE),"")</f>
        <v/>
      </c>
      <c r="M473" s="95">
        <f>IFERROR(VLOOKUP(J473,'11. Cadastro de Serviços'!$A$6:$E$200,4,FALSE),"")</f>
        <v/>
      </c>
      <c r="N473" s="95" t="n"/>
      <c r="O473" s="95">
        <f>IF(AND(G473&lt;&gt;"",I473&lt;&gt;"",J473&lt;&gt;"",M473&lt;&gt;""),"Rastreado","Revisar")</f>
        <v/>
      </c>
      <c r="P473" s="96" t="n"/>
    </row>
    <row r="474">
      <c r="A474" s="95" t="n"/>
      <c r="B474" s="96" t="n"/>
      <c r="C474" s="96" t="n"/>
      <c r="D474" s="95" t="n"/>
      <c r="E474" s="96" t="n"/>
      <c r="F474" s="96" t="n"/>
      <c r="G474" s="95">
        <f>IFERROR(VLOOKUP(F474,'12. Contratos_OS'!$A$6:$L$1000,2,FALSE),"")</f>
        <v/>
      </c>
      <c r="H474" s="95">
        <f>IFERROR(VLOOKUP(F474,'12. Contratos_OS'!$A$6:$L$1000,3,FALSE),"")</f>
        <v/>
      </c>
      <c r="I474" s="95">
        <f>IFERROR(VLOOKUP(F474,'12. Contratos_OS'!$A$6:$L$1000,4,FALSE),"")</f>
        <v/>
      </c>
      <c r="J474" s="95">
        <f>IFERROR(VLOOKUP(F474,'12. Contratos_OS'!$A$6:$L$1000,7,FALSE),"")</f>
        <v/>
      </c>
      <c r="K474" s="95">
        <f>IFERROR(VLOOKUP(J474,'11. Cadastro de Serviços'!$A$6:$E$200,2,FALSE),"")</f>
        <v/>
      </c>
      <c r="L474" s="95">
        <f>IFERROR(VLOOKUP(J474,'11. Cadastro de Serviços'!$A$6:$E$200,3,FALSE),"")</f>
        <v/>
      </c>
      <c r="M474" s="95">
        <f>IFERROR(VLOOKUP(J474,'11. Cadastro de Serviços'!$A$6:$E$200,4,FALSE),"")</f>
        <v/>
      </c>
      <c r="N474" s="95" t="n"/>
      <c r="O474" s="95">
        <f>IF(AND(G474&lt;&gt;"",I474&lt;&gt;"",J474&lt;&gt;"",M474&lt;&gt;""),"Rastreado","Revisar")</f>
        <v/>
      </c>
      <c r="P474" s="96" t="n"/>
    </row>
    <row r="475">
      <c r="A475" s="95" t="n"/>
      <c r="B475" s="96" t="n"/>
      <c r="C475" s="96" t="n"/>
      <c r="D475" s="95" t="n"/>
      <c r="E475" s="96" t="n"/>
      <c r="F475" s="96" t="n"/>
      <c r="G475" s="95">
        <f>IFERROR(VLOOKUP(F475,'12. Contratos_OS'!$A$6:$L$1000,2,FALSE),"")</f>
        <v/>
      </c>
      <c r="H475" s="95">
        <f>IFERROR(VLOOKUP(F475,'12. Contratos_OS'!$A$6:$L$1000,3,FALSE),"")</f>
        <v/>
      </c>
      <c r="I475" s="95">
        <f>IFERROR(VLOOKUP(F475,'12. Contratos_OS'!$A$6:$L$1000,4,FALSE),"")</f>
        <v/>
      </c>
      <c r="J475" s="95">
        <f>IFERROR(VLOOKUP(F475,'12. Contratos_OS'!$A$6:$L$1000,7,FALSE),"")</f>
        <v/>
      </c>
      <c r="K475" s="95">
        <f>IFERROR(VLOOKUP(J475,'11. Cadastro de Serviços'!$A$6:$E$200,2,FALSE),"")</f>
        <v/>
      </c>
      <c r="L475" s="95">
        <f>IFERROR(VLOOKUP(J475,'11. Cadastro de Serviços'!$A$6:$E$200,3,FALSE),"")</f>
        <v/>
      </c>
      <c r="M475" s="95">
        <f>IFERROR(VLOOKUP(J475,'11. Cadastro de Serviços'!$A$6:$E$200,4,FALSE),"")</f>
        <v/>
      </c>
      <c r="N475" s="95" t="n"/>
      <c r="O475" s="95">
        <f>IF(AND(G475&lt;&gt;"",I475&lt;&gt;"",J475&lt;&gt;"",M475&lt;&gt;""),"Rastreado","Revisar")</f>
        <v/>
      </c>
      <c r="P475" s="96" t="n"/>
    </row>
    <row r="476">
      <c r="A476" s="95" t="n"/>
      <c r="B476" s="96" t="n"/>
      <c r="C476" s="96" t="n"/>
      <c r="D476" s="95" t="n"/>
      <c r="E476" s="96" t="n"/>
      <c r="F476" s="96" t="n"/>
      <c r="G476" s="95">
        <f>IFERROR(VLOOKUP(F476,'12. Contratos_OS'!$A$6:$L$1000,2,FALSE),"")</f>
        <v/>
      </c>
      <c r="H476" s="95">
        <f>IFERROR(VLOOKUP(F476,'12. Contratos_OS'!$A$6:$L$1000,3,FALSE),"")</f>
        <v/>
      </c>
      <c r="I476" s="95">
        <f>IFERROR(VLOOKUP(F476,'12. Contratos_OS'!$A$6:$L$1000,4,FALSE),"")</f>
        <v/>
      </c>
      <c r="J476" s="95">
        <f>IFERROR(VLOOKUP(F476,'12. Contratos_OS'!$A$6:$L$1000,7,FALSE),"")</f>
        <v/>
      </c>
      <c r="K476" s="95">
        <f>IFERROR(VLOOKUP(J476,'11. Cadastro de Serviços'!$A$6:$E$200,2,FALSE),"")</f>
        <v/>
      </c>
      <c r="L476" s="95">
        <f>IFERROR(VLOOKUP(J476,'11. Cadastro de Serviços'!$A$6:$E$200,3,FALSE),"")</f>
        <v/>
      </c>
      <c r="M476" s="95">
        <f>IFERROR(VLOOKUP(J476,'11. Cadastro de Serviços'!$A$6:$E$200,4,FALSE),"")</f>
        <v/>
      </c>
      <c r="N476" s="95" t="n"/>
      <c r="O476" s="95">
        <f>IF(AND(G476&lt;&gt;"",I476&lt;&gt;"",J476&lt;&gt;"",M476&lt;&gt;""),"Rastreado","Revisar")</f>
        <v/>
      </c>
      <c r="P476" s="96" t="n"/>
    </row>
    <row r="477">
      <c r="A477" s="95" t="n"/>
      <c r="B477" s="96" t="n"/>
      <c r="C477" s="96" t="n"/>
      <c r="D477" s="95" t="n"/>
      <c r="E477" s="96" t="n"/>
      <c r="F477" s="96" t="n"/>
      <c r="G477" s="95">
        <f>IFERROR(VLOOKUP(F477,'12. Contratos_OS'!$A$6:$L$1000,2,FALSE),"")</f>
        <v/>
      </c>
      <c r="H477" s="95">
        <f>IFERROR(VLOOKUP(F477,'12. Contratos_OS'!$A$6:$L$1000,3,FALSE),"")</f>
        <v/>
      </c>
      <c r="I477" s="95">
        <f>IFERROR(VLOOKUP(F477,'12. Contratos_OS'!$A$6:$L$1000,4,FALSE),"")</f>
        <v/>
      </c>
      <c r="J477" s="95">
        <f>IFERROR(VLOOKUP(F477,'12. Contratos_OS'!$A$6:$L$1000,7,FALSE),"")</f>
        <v/>
      </c>
      <c r="K477" s="95">
        <f>IFERROR(VLOOKUP(J477,'11. Cadastro de Serviços'!$A$6:$E$200,2,FALSE),"")</f>
        <v/>
      </c>
      <c r="L477" s="95">
        <f>IFERROR(VLOOKUP(J477,'11. Cadastro de Serviços'!$A$6:$E$200,3,FALSE),"")</f>
        <v/>
      </c>
      <c r="M477" s="95">
        <f>IFERROR(VLOOKUP(J477,'11. Cadastro de Serviços'!$A$6:$E$200,4,FALSE),"")</f>
        <v/>
      </c>
      <c r="N477" s="95" t="n"/>
      <c r="O477" s="95">
        <f>IF(AND(G477&lt;&gt;"",I477&lt;&gt;"",J477&lt;&gt;"",M477&lt;&gt;""),"Rastreado","Revisar")</f>
        <v/>
      </c>
      <c r="P477" s="96" t="n"/>
    </row>
    <row r="478">
      <c r="A478" s="95" t="n"/>
      <c r="B478" s="96" t="n"/>
      <c r="C478" s="96" t="n"/>
      <c r="D478" s="95" t="n"/>
      <c r="E478" s="96" t="n"/>
      <c r="F478" s="96" t="n"/>
      <c r="G478" s="95">
        <f>IFERROR(VLOOKUP(F478,'12. Contratos_OS'!$A$6:$L$1000,2,FALSE),"")</f>
        <v/>
      </c>
      <c r="H478" s="95">
        <f>IFERROR(VLOOKUP(F478,'12. Contratos_OS'!$A$6:$L$1000,3,FALSE),"")</f>
        <v/>
      </c>
      <c r="I478" s="95">
        <f>IFERROR(VLOOKUP(F478,'12. Contratos_OS'!$A$6:$L$1000,4,FALSE),"")</f>
        <v/>
      </c>
      <c r="J478" s="95">
        <f>IFERROR(VLOOKUP(F478,'12. Contratos_OS'!$A$6:$L$1000,7,FALSE),"")</f>
        <v/>
      </c>
      <c r="K478" s="95">
        <f>IFERROR(VLOOKUP(J478,'11. Cadastro de Serviços'!$A$6:$E$200,2,FALSE),"")</f>
        <v/>
      </c>
      <c r="L478" s="95">
        <f>IFERROR(VLOOKUP(J478,'11. Cadastro de Serviços'!$A$6:$E$200,3,FALSE),"")</f>
        <v/>
      </c>
      <c r="M478" s="95">
        <f>IFERROR(VLOOKUP(J478,'11. Cadastro de Serviços'!$A$6:$E$200,4,FALSE),"")</f>
        <v/>
      </c>
      <c r="N478" s="95" t="n"/>
      <c r="O478" s="95">
        <f>IF(AND(G478&lt;&gt;"",I478&lt;&gt;"",J478&lt;&gt;"",M478&lt;&gt;""),"Rastreado","Revisar")</f>
        <v/>
      </c>
      <c r="P478" s="96" t="n"/>
    </row>
    <row r="479">
      <c r="A479" s="95" t="n"/>
      <c r="B479" s="96" t="n"/>
      <c r="C479" s="96" t="n"/>
      <c r="D479" s="95" t="n"/>
      <c r="E479" s="96" t="n"/>
      <c r="F479" s="96" t="n"/>
      <c r="G479" s="95">
        <f>IFERROR(VLOOKUP(F479,'12. Contratos_OS'!$A$6:$L$1000,2,FALSE),"")</f>
        <v/>
      </c>
      <c r="H479" s="95">
        <f>IFERROR(VLOOKUP(F479,'12. Contratos_OS'!$A$6:$L$1000,3,FALSE),"")</f>
        <v/>
      </c>
      <c r="I479" s="95">
        <f>IFERROR(VLOOKUP(F479,'12. Contratos_OS'!$A$6:$L$1000,4,FALSE),"")</f>
        <v/>
      </c>
      <c r="J479" s="95">
        <f>IFERROR(VLOOKUP(F479,'12. Contratos_OS'!$A$6:$L$1000,7,FALSE),"")</f>
        <v/>
      </c>
      <c r="K479" s="95">
        <f>IFERROR(VLOOKUP(J479,'11. Cadastro de Serviços'!$A$6:$E$200,2,FALSE),"")</f>
        <v/>
      </c>
      <c r="L479" s="95">
        <f>IFERROR(VLOOKUP(J479,'11. Cadastro de Serviços'!$A$6:$E$200,3,FALSE),"")</f>
        <v/>
      </c>
      <c r="M479" s="95">
        <f>IFERROR(VLOOKUP(J479,'11. Cadastro de Serviços'!$A$6:$E$200,4,FALSE),"")</f>
        <v/>
      </c>
      <c r="N479" s="95" t="n"/>
      <c r="O479" s="95">
        <f>IF(AND(G479&lt;&gt;"",I479&lt;&gt;"",J479&lt;&gt;"",M479&lt;&gt;""),"Rastreado","Revisar")</f>
        <v/>
      </c>
      <c r="P479" s="96" t="n"/>
    </row>
    <row r="480">
      <c r="A480" s="95" t="n"/>
      <c r="B480" s="96" t="n"/>
      <c r="C480" s="96" t="n"/>
      <c r="D480" s="95" t="n"/>
      <c r="E480" s="96" t="n"/>
      <c r="F480" s="96" t="n"/>
      <c r="G480" s="95">
        <f>IFERROR(VLOOKUP(F480,'12. Contratos_OS'!$A$6:$L$1000,2,FALSE),"")</f>
        <v/>
      </c>
      <c r="H480" s="95">
        <f>IFERROR(VLOOKUP(F480,'12. Contratos_OS'!$A$6:$L$1000,3,FALSE),"")</f>
        <v/>
      </c>
      <c r="I480" s="95">
        <f>IFERROR(VLOOKUP(F480,'12. Contratos_OS'!$A$6:$L$1000,4,FALSE),"")</f>
        <v/>
      </c>
      <c r="J480" s="95">
        <f>IFERROR(VLOOKUP(F480,'12. Contratos_OS'!$A$6:$L$1000,7,FALSE),"")</f>
        <v/>
      </c>
      <c r="K480" s="95">
        <f>IFERROR(VLOOKUP(J480,'11. Cadastro de Serviços'!$A$6:$E$200,2,FALSE),"")</f>
        <v/>
      </c>
      <c r="L480" s="95">
        <f>IFERROR(VLOOKUP(J480,'11. Cadastro de Serviços'!$A$6:$E$200,3,FALSE),"")</f>
        <v/>
      </c>
      <c r="M480" s="95">
        <f>IFERROR(VLOOKUP(J480,'11. Cadastro de Serviços'!$A$6:$E$200,4,FALSE),"")</f>
        <v/>
      </c>
      <c r="N480" s="95" t="n"/>
      <c r="O480" s="95">
        <f>IF(AND(G480&lt;&gt;"",I480&lt;&gt;"",J480&lt;&gt;"",M480&lt;&gt;""),"Rastreado","Revisar")</f>
        <v/>
      </c>
      <c r="P480" s="96" t="n"/>
    </row>
    <row r="481">
      <c r="A481" s="95" t="n"/>
      <c r="B481" s="96" t="n"/>
      <c r="C481" s="96" t="n"/>
      <c r="D481" s="95" t="n"/>
      <c r="E481" s="96" t="n"/>
      <c r="F481" s="96" t="n"/>
      <c r="G481" s="95">
        <f>IFERROR(VLOOKUP(F481,'12. Contratos_OS'!$A$6:$L$1000,2,FALSE),"")</f>
        <v/>
      </c>
      <c r="H481" s="95">
        <f>IFERROR(VLOOKUP(F481,'12. Contratos_OS'!$A$6:$L$1000,3,FALSE),"")</f>
        <v/>
      </c>
      <c r="I481" s="95">
        <f>IFERROR(VLOOKUP(F481,'12. Contratos_OS'!$A$6:$L$1000,4,FALSE),"")</f>
        <v/>
      </c>
      <c r="J481" s="95">
        <f>IFERROR(VLOOKUP(F481,'12. Contratos_OS'!$A$6:$L$1000,7,FALSE),"")</f>
        <v/>
      </c>
      <c r="K481" s="95">
        <f>IFERROR(VLOOKUP(J481,'11. Cadastro de Serviços'!$A$6:$E$200,2,FALSE),"")</f>
        <v/>
      </c>
      <c r="L481" s="95">
        <f>IFERROR(VLOOKUP(J481,'11. Cadastro de Serviços'!$A$6:$E$200,3,FALSE),"")</f>
        <v/>
      </c>
      <c r="M481" s="95">
        <f>IFERROR(VLOOKUP(J481,'11. Cadastro de Serviços'!$A$6:$E$200,4,FALSE),"")</f>
        <v/>
      </c>
      <c r="N481" s="95" t="n"/>
      <c r="O481" s="95">
        <f>IF(AND(G481&lt;&gt;"",I481&lt;&gt;"",J481&lt;&gt;"",M481&lt;&gt;""),"Rastreado","Revisar")</f>
        <v/>
      </c>
      <c r="P481" s="96" t="n"/>
    </row>
    <row r="482">
      <c r="A482" s="95" t="n"/>
      <c r="B482" s="96" t="n"/>
      <c r="C482" s="96" t="n"/>
      <c r="D482" s="95" t="n"/>
      <c r="E482" s="96" t="n"/>
      <c r="F482" s="96" t="n"/>
      <c r="G482" s="95">
        <f>IFERROR(VLOOKUP(F482,'12. Contratos_OS'!$A$6:$L$1000,2,FALSE),"")</f>
        <v/>
      </c>
      <c r="H482" s="95">
        <f>IFERROR(VLOOKUP(F482,'12. Contratos_OS'!$A$6:$L$1000,3,FALSE),"")</f>
        <v/>
      </c>
      <c r="I482" s="95">
        <f>IFERROR(VLOOKUP(F482,'12. Contratos_OS'!$A$6:$L$1000,4,FALSE),"")</f>
        <v/>
      </c>
      <c r="J482" s="95">
        <f>IFERROR(VLOOKUP(F482,'12. Contratos_OS'!$A$6:$L$1000,7,FALSE),"")</f>
        <v/>
      </c>
      <c r="K482" s="95">
        <f>IFERROR(VLOOKUP(J482,'11. Cadastro de Serviços'!$A$6:$E$200,2,FALSE),"")</f>
        <v/>
      </c>
      <c r="L482" s="95">
        <f>IFERROR(VLOOKUP(J482,'11. Cadastro de Serviços'!$A$6:$E$200,3,FALSE),"")</f>
        <v/>
      </c>
      <c r="M482" s="95">
        <f>IFERROR(VLOOKUP(J482,'11. Cadastro de Serviços'!$A$6:$E$200,4,FALSE),"")</f>
        <v/>
      </c>
      <c r="N482" s="95" t="n"/>
      <c r="O482" s="95">
        <f>IF(AND(G482&lt;&gt;"",I482&lt;&gt;"",J482&lt;&gt;"",M482&lt;&gt;""),"Rastreado","Revisar")</f>
        <v/>
      </c>
      <c r="P482" s="96" t="n"/>
    </row>
    <row r="483">
      <c r="A483" s="95" t="n"/>
      <c r="B483" s="96" t="n"/>
      <c r="C483" s="96" t="n"/>
      <c r="D483" s="95" t="n"/>
      <c r="E483" s="96" t="n"/>
      <c r="F483" s="96" t="n"/>
      <c r="G483" s="95">
        <f>IFERROR(VLOOKUP(F483,'12. Contratos_OS'!$A$6:$L$1000,2,FALSE),"")</f>
        <v/>
      </c>
      <c r="H483" s="95">
        <f>IFERROR(VLOOKUP(F483,'12. Contratos_OS'!$A$6:$L$1000,3,FALSE),"")</f>
        <v/>
      </c>
      <c r="I483" s="95">
        <f>IFERROR(VLOOKUP(F483,'12. Contratos_OS'!$A$6:$L$1000,4,FALSE),"")</f>
        <v/>
      </c>
      <c r="J483" s="95">
        <f>IFERROR(VLOOKUP(F483,'12. Contratos_OS'!$A$6:$L$1000,7,FALSE),"")</f>
        <v/>
      </c>
      <c r="K483" s="95">
        <f>IFERROR(VLOOKUP(J483,'11. Cadastro de Serviços'!$A$6:$E$200,2,FALSE),"")</f>
        <v/>
      </c>
      <c r="L483" s="95">
        <f>IFERROR(VLOOKUP(J483,'11. Cadastro de Serviços'!$A$6:$E$200,3,FALSE),"")</f>
        <v/>
      </c>
      <c r="M483" s="95">
        <f>IFERROR(VLOOKUP(J483,'11. Cadastro de Serviços'!$A$6:$E$200,4,FALSE),"")</f>
        <v/>
      </c>
      <c r="N483" s="95" t="n"/>
      <c r="O483" s="95">
        <f>IF(AND(G483&lt;&gt;"",I483&lt;&gt;"",J483&lt;&gt;"",M483&lt;&gt;""),"Rastreado","Revisar")</f>
        <v/>
      </c>
      <c r="P483" s="96" t="n"/>
    </row>
    <row r="484">
      <c r="A484" s="95" t="n"/>
      <c r="B484" s="96" t="n"/>
      <c r="C484" s="96" t="n"/>
      <c r="D484" s="95" t="n"/>
      <c r="E484" s="96" t="n"/>
      <c r="F484" s="96" t="n"/>
      <c r="G484" s="95">
        <f>IFERROR(VLOOKUP(F484,'12. Contratos_OS'!$A$6:$L$1000,2,FALSE),"")</f>
        <v/>
      </c>
      <c r="H484" s="95">
        <f>IFERROR(VLOOKUP(F484,'12. Contratos_OS'!$A$6:$L$1000,3,FALSE),"")</f>
        <v/>
      </c>
      <c r="I484" s="95">
        <f>IFERROR(VLOOKUP(F484,'12. Contratos_OS'!$A$6:$L$1000,4,FALSE),"")</f>
        <v/>
      </c>
      <c r="J484" s="95">
        <f>IFERROR(VLOOKUP(F484,'12. Contratos_OS'!$A$6:$L$1000,7,FALSE),"")</f>
        <v/>
      </c>
      <c r="K484" s="95">
        <f>IFERROR(VLOOKUP(J484,'11. Cadastro de Serviços'!$A$6:$E$200,2,FALSE),"")</f>
        <v/>
      </c>
      <c r="L484" s="95">
        <f>IFERROR(VLOOKUP(J484,'11. Cadastro de Serviços'!$A$6:$E$200,3,FALSE),"")</f>
        <v/>
      </c>
      <c r="M484" s="95">
        <f>IFERROR(VLOOKUP(J484,'11. Cadastro de Serviços'!$A$6:$E$200,4,FALSE),"")</f>
        <v/>
      </c>
      <c r="N484" s="95" t="n"/>
      <c r="O484" s="95">
        <f>IF(AND(G484&lt;&gt;"",I484&lt;&gt;"",J484&lt;&gt;"",M484&lt;&gt;""),"Rastreado","Revisar")</f>
        <v/>
      </c>
      <c r="P484" s="96" t="n"/>
    </row>
    <row r="485">
      <c r="A485" s="95" t="n"/>
      <c r="B485" s="96" t="n"/>
      <c r="C485" s="96" t="n"/>
      <c r="D485" s="95" t="n"/>
      <c r="E485" s="96" t="n"/>
      <c r="F485" s="96" t="n"/>
      <c r="G485" s="95">
        <f>IFERROR(VLOOKUP(F485,'12. Contratos_OS'!$A$6:$L$1000,2,FALSE),"")</f>
        <v/>
      </c>
      <c r="H485" s="95">
        <f>IFERROR(VLOOKUP(F485,'12. Contratos_OS'!$A$6:$L$1000,3,FALSE),"")</f>
        <v/>
      </c>
      <c r="I485" s="95">
        <f>IFERROR(VLOOKUP(F485,'12. Contratos_OS'!$A$6:$L$1000,4,FALSE),"")</f>
        <v/>
      </c>
      <c r="J485" s="95">
        <f>IFERROR(VLOOKUP(F485,'12. Contratos_OS'!$A$6:$L$1000,7,FALSE),"")</f>
        <v/>
      </c>
      <c r="K485" s="95">
        <f>IFERROR(VLOOKUP(J485,'11. Cadastro de Serviços'!$A$6:$E$200,2,FALSE),"")</f>
        <v/>
      </c>
      <c r="L485" s="95">
        <f>IFERROR(VLOOKUP(J485,'11. Cadastro de Serviços'!$A$6:$E$200,3,FALSE),"")</f>
        <v/>
      </c>
      <c r="M485" s="95">
        <f>IFERROR(VLOOKUP(J485,'11. Cadastro de Serviços'!$A$6:$E$200,4,FALSE),"")</f>
        <v/>
      </c>
      <c r="N485" s="95" t="n"/>
      <c r="O485" s="95">
        <f>IF(AND(G485&lt;&gt;"",I485&lt;&gt;"",J485&lt;&gt;"",M485&lt;&gt;""),"Rastreado","Revisar")</f>
        <v/>
      </c>
      <c r="P485" s="96" t="n"/>
    </row>
    <row r="486">
      <c r="A486" s="95" t="n"/>
      <c r="B486" s="96" t="n"/>
      <c r="C486" s="96" t="n"/>
      <c r="D486" s="95" t="n"/>
      <c r="E486" s="96" t="n"/>
      <c r="F486" s="96" t="n"/>
      <c r="G486" s="95">
        <f>IFERROR(VLOOKUP(F486,'12. Contratos_OS'!$A$6:$L$1000,2,FALSE),"")</f>
        <v/>
      </c>
      <c r="H486" s="95">
        <f>IFERROR(VLOOKUP(F486,'12. Contratos_OS'!$A$6:$L$1000,3,FALSE),"")</f>
        <v/>
      </c>
      <c r="I486" s="95">
        <f>IFERROR(VLOOKUP(F486,'12. Contratos_OS'!$A$6:$L$1000,4,FALSE),"")</f>
        <v/>
      </c>
      <c r="J486" s="95">
        <f>IFERROR(VLOOKUP(F486,'12. Contratos_OS'!$A$6:$L$1000,7,FALSE),"")</f>
        <v/>
      </c>
      <c r="K486" s="95">
        <f>IFERROR(VLOOKUP(J486,'11. Cadastro de Serviços'!$A$6:$E$200,2,FALSE),"")</f>
        <v/>
      </c>
      <c r="L486" s="95">
        <f>IFERROR(VLOOKUP(J486,'11. Cadastro de Serviços'!$A$6:$E$200,3,FALSE),"")</f>
        <v/>
      </c>
      <c r="M486" s="95">
        <f>IFERROR(VLOOKUP(J486,'11. Cadastro de Serviços'!$A$6:$E$200,4,FALSE),"")</f>
        <v/>
      </c>
      <c r="N486" s="95" t="n"/>
      <c r="O486" s="95">
        <f>IF(AND(G486&lt;&gt;"",I486&lt;&gt;"",J486&lt;&gt;"",M486&lt;&gt;""),"Rastreado","Revisar")</f>
        <v/>
      </c>
      <c r="P486" s="96" t="n"/>
    </row>
    <row r="487">
      <c r="A487" s="95" t="n"/>
      <c r="B487" s="96" t="n"/>
      <c r="C487" s="96" t="n"/>
      <c r="D487" s="95" t="n"/>
      <c r="E487" s="96" t="n"/>
      <c r="F487" s="96" t="n"/>
      <c r="G487" s="95">
        <f>IFERROR(VLOOKUP(F487,'12. Contratos_OS'!$A$6:$L$1000,2,FALSE),"")</f>
        <v/>
      </c>
      <c r="H487" s="95">
        <f>IFERROR(VLOOKUP(F487,'12. Contratos_OS'!$A$6:$L$1000,3,FALSE),"")</f>
        <v/>
      </c>
      <c r="I487" s="95">
        <f>IFERROR(VLOOKUP(F487,'12. Contratos_OS'!$A$6:$L$1000,4,FALSE),"")</f>
        <v/>
      </c>
      <c r="J487" s="95">
        <f>IFERROR(VLOOKUP(F487,'12. Contratos_OS'!$A$6:$L$1000,7,FALSE),"")</f>
        <v/>
      </c>
      <c r="K487" s="95">
        <f>IFERROR(VLOOKUP(J487,'11. Cadastro de Serviços'!$A$6:$E$200,2,FALSE),"")</f>
        <v/>
      </c>
      <c r="L487" s="95">
        <f>IFERROR(VLOOKUP(J487,'11. Cadastro de Serviços'!$A$6:$E$200,3,FALSE),"")</f>
        <v/>
      </c>
      <c r="M487" s="95">
        <f>IFERROR(VLOOKUP(J487,'11. Cadastro de Serviços'!$A$6:$E$200,4,FALSE),"")</f>
        <v/>
      </c>
      <c r="N487" s="95" t="n"/>
      <c r="O487" s="95">
        <f>IF(AND(G487&lt;&gt;"",I487&lt;&gt;"",J487&lt;&gt;"",M487&lt;&gt;""),"Rastreado","Revisar")</f>
        <v/>
      </c>
      <c r="P487" s="96" t="n"/>
    </row>
    <row r="488">
      <c r="A488" s="95" t="n"/>
      <c r="B488" s="96" t="n"/>
      <c r="C488" s="96" t="n"/>
      <c r="D488" s="95" t="n"/>
      <c r="E488" s="96" t="n"/>
      <c r="F488" s="96" t="n"/>
      <c r="G488" s="95">
        <f>IFERROR(VLOOKUP(F488,'12. Contratos_OS'!$A$6:$L$1000,2,FALSE),"")</f>
        <v/>
      </c>
      <c r="H488" s="95">
        <f>IFERROR(VLOOKUP(F488,'12. Contratos_OS'!$A$6:$L$1000,3,FALSE),"")</f>
        <v/>
      </c>
      <c r="I488" s="95">
        <f>IFERROR(VLOOKUP(F488,'12. Contratos_OS'!$A$6:$L$1000,4,FALSE),"")</f>
        <v/>
      </c>
      <c r="J488" s="95">
        <f>IFERROR(VLOOKUP(F488,'12. Contratos_OS'!$A$6:$L$1000,7,FALSE),"")</f>
        <v/>
      </c>
      <c r="K488" s="95">
        <f>IFERROR(VLOOKUP(J488,'11. Cadastro de Serviços'!$A$6:$E$200,2,FALSE),"")</f>
        <v/>
      </c>
      <c r="L488" s="95">
        <f>IFERROR(VLOOKUP(J488,'11. Cadastro de Serviços'!$A$6:$E$200,3,FALSE),"")</f>
        <v/>
      </c>
      <c r="M488" s="95">
        <f>IFERROR(VLOOKUP(J488,'11. Cadastro de Serviços'!$A$6:$E$200,4,FALSE),"")</f>
        <v/>
      </c>
      <c r="N488" s="95" t="n"/>
      <c r="O488" s="95">
        <f>IF(AND(G488&lt;&gt;"",I488&lt;&gt;"",J488&lt;&gt;"",M488&lt;&gt;""),"Rastreado","Revisar")</f>
        <v/>
      </c>
      <c r="P488" s="96" t="n"/>
    </row>
    <row r="489">
      <c r="A489" s="95" t="n"/>
      <c r="B489" s="96" t="n"/>
      <c r="C489" s="96" t="n"/>
      <c r="D489" s="95" t="n"/>
      <c r="E489" s="96" t="n"/>
      <c r="F489" s="96" t="n"/>
      <c r="G489" s="95">
        <f>IFERROR(VLOOKUP(F489,'12. Contratos_OS'!$A$6:$L$1000,2,FALSE),"")</f>
        <v/>
      </c>
      <c r="H489" s="95">
        <f>IFERROR(VLOOKUP(F489,'12. Contratos_OS'!$A$6:$L$1000,3,FALSE),"")</f>
        <v/>
      </c>
      <c r="I489" s="95">
        <f>IFERROR(VLOOKUP(F489,'12. Contratos_OS'!$A$6:$L$1000,4,FALSE),"")</f>
        <v/>
      </c>
      <c r="J489" s="95">
        <f>IFERROR(VLOOKUP(F489,'12. Contratos_OS'!$A$6:$L$1000,7,FALSE),"")</f>
        <v/>
      </c>
      <c r="K489" s="95">
        <f>IFERROR(VLOOKUP(J489,'11. Cadastro de Serviços'!$A$6:$E$200,2,FALSE),"")</f>
        <v/>
      </c>
      <c r="L489" s="95">
        <f>IFERROR(VLOOKUP(J489,'11. Cadastro de Serviços'!$A$6:$E$200,3,FALSE),"")</f>
        <v/>
      </c>
      <c r="M489" s="95">
        <f>IFERROR(VLOOKUP(J489,'11. Cadastro de Serviços'!$A$6:$E$200,4,FALSE),"")</f>
        <v/>
      </c>
      <c r="N489" s="95" t="n"/>
      <c r="O489" s="95">
        <f>IF(AND(G489&lt;&gt;"",I489&lt;&gt;"",J489&lt;&gt;"",M489&lt;&gt;""),"Rastreado","Revisar")</f>
        <v/>
      </c>
      <c r="P489" s="96" t="n"/>
    </row>
    <row r="490">
      <c r="A490" s="95" t="n"/>
      <c r="B490" s="96" t="n"/>
      <c r="C490" s="96" t="n"/>
      <c r="D490" s="95" t="n"/>
      <c r="E490" s="96" t="n"/>
      <c r="F490" s="96" t="n"/>
      <c r="G490" s="95">
        <f>IFERROR(VLOOKUP(F490,'12. Contratos_OS'!$A$6:$L$1000,2,FALSE),"")</f>
        <v/>
      </c>
      <c r="H490" s="95">
        <f>IFERROR(VLOOKUP(F490,'12. Contratos_OS'!$A$6:$L$1000,3,FALSE),"")</f>
        <v/>
      </c>
      <c r="I490" s="95">
        <f>IFERROR(VLOOKUP(F490,'12. Contratos_OS'!$A$6:$L$1000,4,FALSE),"")</f>
        <v/>
      </c>
      <c r="J490" s="95">
        <f>IFERROR(VLOOKUP(F490,'12. Contratos_OS'!$A$6:$L$1000,7,FALSE),"")</f>
        <v/>
      </c>
      <c r="K490" s="95">
        <f>IFERROR(VLOOKUP(J490,'11. Cadastro de Serviços'!$A$6:$E$200,2,FALSE),"")</f>
        <v/>
      </c>
      <c r="L490" s="95">
        <f>IFERROR(VLOOKUP(J490,'11. Cadastro de Serviços'!$A$6:$E$200,3,FALSE),"")</f>
        <v/>
      </c>
      <c r="M490" s="95">
        <f>IFERROR(VLOOKUP(J490,'11. Cadastro de Serviços'!$A$6:$E$200,4,FALSE),"")</f>
        <v/>
      </c>
      <c r="N490" s="95" t="n"/>
      <c r="O490" s="95">
        <f>IF(AND(G490&lt;&gt;"",I490&lt;&gt;"",J490&lt;&gt;"",M490&lt;&gt;""),"Rastreado","Revisar")</f>
        <v/>
      </c>
      <c r="P490" s="96" t="n"/>
    </row>
    <row r="491">
      <c r="A491" s="95" t="n"/>
      <c r="B491" s="96" t="n"/>
      <c r="C491" s="96" t="n"/>
      <c r="D491" s="95" t="n"/>
      <c r="E491" s="96" t="n"/>
      <c r="F491" s="96" t="n"/>
      <c r="G491" s="95">
        <f>IFERROR(VLOOKUP(F491,'12. Contratos_OS'!$A$6:$L$1000,2,FALSE),"")</f>
        <v/>
      </c>
      <c r="H491" s="95">
        <f>IFERROR(VLOOKUP(F491,'12. Contratos_OS'!$A$6:$L$1000,3,FALSE),"")</f>
        <v/>
      </c>
      <c r="I491" s="95">
        <f>IFERROR(VLOOKUP(F491,'12. Contratos_OS'!$A$6:$L$1000,4,FALSE),"")</f>
        <v/>
      </c>
      <c r="J491" s="95">
        <f>IFERROR(VLOOKUP(F491,'12. Contratos_OS'!$A$6:$L$1000,7,FALSE),"")</f>
        <v/>
      </c>
      <c r="K491" s="95">
        <f>IFERROR(VLOOKUP(J491,'11. Cadastro de Serviços'!$A$6:$E$200,2,FALSE),"")</f>
        <v/>
      </c>
      <c r="L491" s="95">
        <f>IFERROR(VLOOKUP(J491,'11. Cadastro de Serviços'!$A$6:$E$200,3,FALSE),"")</f>
        <v/>
      </c>
      <c r="M491" s="95">
        <f>IFERROR(VLOOKUP(J491,'11. Cadastro de Serviços'!$A$6:$E$200,4,FALSE),"")</f>
        <v/>
      </c>
      <c r="N491" s="95" t="n"/>
      <c r="O491" s="95">
        <f>IF(AND(G491&lt;&gt;"",I491&lt;&gt;"",J491&lt;&gt;"",M491&lt;&gt;""),"Rastreado","Revisar")</f>
        <v/>
      </c>
      <c r="P491" s="96" t="n"/>
    </row>
    <row r="492">
      <c r="A492" s="95" t="n"/>
      <c r="B492" s="96" t="n"/>
      <c r="C492" s="96" t="n"/>
      <c r="D492" s="95" t="n"/>
      <c r="E492" s="96" t="n"/>
      <c r="F492" s="96" t="n"/>
      <c r="G492" s="95">
        <f>IFERROR(VLOOKUP(F492,'12. Contratos_OS'!$A$6:$L$1000,2,FALSE),"")</f>
        <v/>
      </c>
      <c r="H492" s="95">
        <f>IFERROR(VLOOKUP(F492,'12. Contratos_OS'!$A$6:$L$1000,3,FALSE),"")</f>
        <v/>
      </c>
      <c r="I492" s="95">
        <f>IFERROR(VLOOKUP(F492,'12. Contratos_OS'!$A$6:$L$1000,4,FALSE),"")</f>
        <v/>
      </c>
      <c r="J492" s="95">
        <f>IFERROR(VLOOKUP(F492,'12. Contratos_OS'!$A$6:$L$1000,7,FALSE),"")</f>
        <v/>
      </c>
      <c r="K492" s="95">
        <f>IFERROR(VLOOKUP(J492,'11. Cadastro de Serviços'!$A$6:$E$200,2,FALSE),"")</f>
        <v/>
      </c>
      <c r="L492" s="95">
        <f>IFERROR(VLOOKUP(J492,'11. Cadastro de Serviços'!$A$6:$E$200,3,FALSE),"")</f>
        <v/>
      </c>
      <c r="M492" s="95">
        <f>IFERROR(VLOOKUP(J492,'11. Cadastro de Serviços'!$A$6:$E$200,4,FALSE),"")</f>
        <v/>
      </c>
      <c r="N492" s="95" t="n"/>
      <c r="O492" s="95">
        <f>IF(AND(G492&lt;&gt;"",I492&lt;&gt;"",J492&lt;&gt;"",M492&lt;&gt;""),"Rastreado","Revisar")</f>
        <v/>
      </c>
      <c r="P492" s="96" t="n"/>
    </row>
    <row r="493">
      <c r="A493" s="95" t="n"/>
      <c r="B493" s="96" t="n"/>
      <c r="C493" s="96" t="n"/>
      <c r="D493" s="95" t="n"/>
      <c r="E493" s="96" t="n"/>
      <c r="F493" s="96" t="n"/>
      <c r="G493" s="95">
        <f>IFERROR(VLOOKUP(F493,'12. Contratos_OS'!$A$6:$L$1000,2,FALSE),"")</f>
        <v/>
      </c>
      <c r="H493" s="95">
        <f>IFERROR(VLOOKUP(F493,'12. Contratos_OS'!$A$6:$L$1000,3,FALSE),"")</f>
        <v/>
      </c>
      <c r="I493" s="95">
        <f>IFERROR(VLOOKUP(F493,'12. Contratos_OS'!$A$6:$L$1000,4,FALSE),"")</f>
        <v/>
      </c>
      <c r="J493" s="95">
        <f>IFERROR(VLOOKUP(F493,'12. Contratos_OS'!$A$6:$L$1000,7,FALSE),"")</f>
        <v/>
      </c>
      <c r="K493" s="95">
        <f>IFERROR(VLOOKUP(J493,'11. Cadastro de Serviços'!$A$6:$E$200,2,FALSE),"")</f>
        <v/>
      </c>
      <c r="L493" s="95">
        <f>IFERROR(VLOOKUP(J493,'11. Cadastro de Serviços'!$A$6:$E$200,3,FALSE),"")</f>
        <v/>
      </c>
      <c r="M493" s="95">
        <f>IFERROR(VLOOKUP(J493,'11. Cadastro de Serviços'!$A$6:$E$200,4,FALSE),"")</f>
        <v/>
      </c>
      <c r="N493" s="95" t="n"/>
      <c r="O493" s="95">
        <f>IF(AND(G493&lt;&gt;"",I493&lt;&gt;"",J493&lt;&gt;"",M493&lt;&gt;""),"Rastreado","Revisar")</f>
        <v/>
      </c>
      <c r="P493" s="96" t="n"/>
    </row>
    <row r="494">
      <c r="A494" s="95" t="n"/>
      <c r="B494" s="96" t="n"/>
      <c r="C494" s="96" t="n"/>
      <c r="D494" s="95" t="n"/>
      <c r="E494" s="96" t="n"/>
      <c r="F494" s="96" t="n"/>
      <c r="G494" s="95">
        <f>IFERROR(VLOOKUP(F494,'12. Contratos_OS'!$A$6:$L$1000,2,FALSE),"")</f>
        <v/>
      </c>
      <c r="H494" s="95">
        <f>IFERROR(VLOOKUP(F494,'12. Contratos_OS'!$A$6:$L$1000,3,FALSE),"")</f>
        <v/>
      </c>
      <c r="I494" s="95">
        <f>IFERROR(VLOOKUP(F494,'12. Contratos_OS'!$A$6:$L$1000,4,FALSE),"")</f>
        <v/>
      </c>
      <c r="J494" s="95">
        <f>IFERROR(VLOOKUP(F494,'12. Contratos_OS'!$A$6:$L$1000,7,FALSE),"")</f>
        <v/>
      </c>
      <c r="K494" s="95">
        <f>IFERROR(VLOOKUP(J494,'11. Cadastro de Serviços'!$A$6:$E$200,2,FALSE),"")</f>
        <v/>
      </c>
      <c r="L494" s="95">
        <f>IFERROR(VLOOKUP(J494,'11. Cadastro de Serviços'!$A$6:$E$200,3,FALSE),"")</f>
        <v/>
      </c>
      <c r="M494" s="95">
        <f>IFERROR(VLOOKUP(J494,'11. Cadastro de Serviços'!$A$6:$E$200,4,FALSE),"")</f>
        <v/>
      </c>
      <c r="N494" s="95" t="n"/>
      <c r="O494" s="95">
        <f>IF(AND(G494&lt;&gt;"",I494&lt;&gt;"",J494&lt;&gt;"",M494&lt;&gt;""),"Rastreado","Revisar")</f>
        <v/>
      </c>
      <c r="P494" s="96" t="n"/>
    </row>
    <row r="495">
      <c r="A495" s="95" t="n"/>
      <c r="B495" s="96" t="n"/>
      <c r="C495" s="96" t="n"/>
      <c r="D495" s="95" t="n"/>
      <c r="E495" s="96" t="n"/>
      <c r="F495" s="96" t="n"/>
      <c r="G495" s="95">
        <f>IFERROR(VLOOKUP(F495,'12. Contratos_OS'!$A$6:$L$1000,2,FALSE),"")</f>
        <v/>
      </c>
      <c r="H495" s="95">
        <f>IFERROR(VLOOKUP(F495,'12. Contratos_OS'!$A$6:$L$1000,3,FALSE),"")</f>
        <v/>
      </c>
      <c r="I495" s="95">
        <f>IFERROR(VLOOKUP(F495,'12. Contratos_OS'!$A$6:$L$1000,4,FALSE),"")</f>
        <v/>
      </c>
      <c r="J495" s="95">
        <f>IFERROR(VLOOKUP(F495,'12. Contratos_OS'!$A$6:$L$1000,7,FALSE),"")</f>
        <v/>
      </c>
      <c r="K495" s="95">
        <f>IFERROR(VLOOKUP(J495,'11. Cadastro de Serviços'!$A$6:$E$200,2,FALSE),"")</f>
        <v/>
      </c>
      <c r="L495" s="95">
        <f>IFERROR(VLOOKUP(J495,'11. Cadastro de Serviços'!$A$6:$E$200,3,FALSE),"")</f>
        <v/>
      </c>
      <c r="M495" s="95">
        <f>IFERROR(VLOOKUP(J495,'11. Cadastro de Serviços'!$A$6:$E$200,4,FALSE),"")</f>
        <v/>
      </c>
      <c r="N495" s="95" t="n"/>
      <c r="O495" s="95">
        <f>IF(AND(G495&lt;&gt;"",I495&lt;&gt;"",J495&lt;&gt;"",M495&lt;&gt;""),"Rastreado","Revisar")</f>
        <v/>
      </c>
      <c r="P495" s="96" t="n"/>
    </row>
    <row r="496">
      <c r="A496" s="95" t="n"/>
      <c r="B496" s="96" t="n"/>
      <c r="C496" s="96" t="n"/>
      <c r="D496" s="95" t="n"/>
      <c r="E496" s="96" t="n"/>
      <c r="F496" s="96" t="n"/>
      <c r="G496" s="95">
        <f>IFERROR(VLOOKUP(F496,'12. Contratos_OS'!$A$6:$L$1000,2,FALSE),"")</f>
        <v/>
      </c>
      <c r="H496" s="95">
        <f>IFERROR(VLOOKUP(F496,'12. Contratos_OS'!$A$6:$L$1000,3,FALSE),"")</f>
        <v/>
      </c>
      <c r="I496" s="95">
        <f>IFERROR(VLOOKUP(F496,'12. Contratos_OS'!$A$6:$L$1000,4,FALSE),"")</f>
        <v/>
      </c>
      <c r="J496" s="95">
        <f>IFERROR(VLOOKUP(F496,'12. Contratos_OS'!$A$6:$L$1000,7,FALSE),"")</f>
        <v/>
      </c>
      <c r="K496" s="95">
        <f>IFERROR(VLOOKUP(J496,'11. Cadastro de Serviços'!$A$6:$E$200,2,FALSE),"")</f>
        <v/>
      </c>
      <c r="L496" s="95">
        <f>IFERROR(VLOOKUP(J496,'11. Cadastro de Serviços'!$A$6:$E$200,3,FALSE),"")</f>
        <v/>
      </c>
      <c r="M496" s="95">
        <f>IFERROR(VLOOKUP(J496,'11. Cadastro de Serviços'!$A$6:$E$200,4,FALSE),"")</f>
        <v/>
      </c>
      <c r="N496" s="95" t="n"/>
      <c r="O496" s="95">
        <f>IF(AND(G496&lt;&gt;"",I496&lt;&gt;"",J496&lt;&gt;"",M496&lt;&gt;""),"Rastreado","Revisar")</f>
        <v/>
      </c>
      <c r="P496" s="96" t="n"/>
    </row>
    <row r="497">
      <c r="A497" s="95" t="n"/>
      <c r="B497" s="96" t="n"/>
      <c r="C497" s="96" t="n"/>
      <c r="D497" s="95" t="n"/>
      <c r="E497" s="96" t="n"/>
      <c r="F497" s="96" t="n"/>
      <c r="G497" s="95">
        <f>IFERROR(VLOOKUP(F497,'12. Contratos_OS'!$A$6:$L$1000,2,FALSE),"")</f>
        <v/>
      </c>
      <c r="H497" s="95">
        <f>IFERROR(VLOOKUP(F497,'12. Contratos_OS'!$A$6:$L$1000,3,FALSE),"")</f>
        <v/>
      </c>
      <c r="I497" s="95">
        <f>IFERROR(VLOOKUP(F497,'12. Contratos_OS'!$A$6:$L$1000,4,FALSE),"")</f>
        <v/>
      </c>
      <c r="J497" s="95">
        <f>IFERROR(VLOOKUP(F497,'12. Contratos_OS'!$A$6:$L$1000,7,FALSE),"")</f>
        <v/>
      </c>
      <c r="K497" s="95">
        <f>IFERROR(VLOOKUP(J497,'11. Cadastro de Serviços'!$A$6:$E$200,2,FALSE),"")</f>
        <v/>
      </c>
      <c r="L497" s="95">
        <f>IFERROR(VLOOKUP(J497,'11. Cadastro de Serviços'!$A$6:$E$200,3,FALSE),"")</f>
        <v/>
      </c>
      <c r="M497" s="95">
        <f>IFERROR(VLOOKUP(J497,'11. Cadastro de Serviços'!$A$6:$E$200,4,FALSE),"")</f>
        <v/>
      </c>
      <c r="N497" s="95" t="n"/>
      <c r="O497" s="95">
        <f>IF(AND(G497&lt;&gt;"",I497&lt;&gt;"",J497&lt;&gt;"",M497&lt;&gt;""),"Rastreado","Revisar")</f>
        <v/>
      </c>
      <c r="P497" s="96" t="n"/>
    </row>
    <row r="498">
      <c r="A498" s="95" t="n"/>
      <c r="B498" s="96" t="n"/>
      <c r="C498" s="96" t="n"/>
      <c r="D498" s="95" t="n"/>
      <c r="E498" s="96" t="n"/>
      <c r="F498" s="96" t="n"/>
      <c r="G498" s="95">
        <f>IFERROR(VLOOKUP(F498,'12. Contratos_OS'!$A$6:$L$1000,2,FALSE),"")</f>
        <v/>
      </c>
      <c r="H498" s="95">
        <f>IFERROR(VLOOKUP(F498,'12. Contratos_OS'!$A$6:$L$1000,3,FALSE),"")</f>
        <v/>
      </c>
      <c r="I498" s="95">
        <f>IFERROR(VLOOKUP(F498,'12. Contratos_OS'!$A$6:$L$1000,4,FALSE),"")</f>
        <v/>
      </c>
      <c r="J498" s="95">
        <f>IFERROR(VLOOKUP(F498,'12. Contratos_OS'!$A$6:$L$1000,7,FALSE),"")</f>
        <v/>
      </c>
      <c r="K498" s="95">
        <f>IFERROR(VLOOKUP(J498,'11. Cadastro de Serviços'!$A$6:$E$200,2,FALSE),"")</f>
        <v/>
      </c>
      <c r="L498" s="95">
        <f>IFERROR(VLOOKUP(J498,'11. Cadastro de Serviços'!$A$6:$E$200,3,FALSE),"")</f>
        <v/>
      </c>
      <c r="M498" s="95">
        <f>IFERROR(VLOOKUP(J498,'11. Cadastro de Serviços'!$A$6:$E$200,4,FALSE),"")</f>
        <v/>
      </c>
      <c r="N498" s="95" t="n"/>
      <c r="O498" s="95">
        <f>IF(AND(G498&lt;&gt;"",I498&lt;&gt;"",J498&lt;&gt;"",M498&lt;&gt;""),"Rastreado","Revisar")</f>
        <v/>
      </c>
      <c r="P498" s="96" t="n"/>
    </row>
    <row r="499">
      <c r="A499" s="95" t="n"/>
      <c r="B499" s="96" t="n"/>
      <c r="C499" s="96" t="n"/>
      <c r="D499" s="95" t="n"/>
      <c r="E499" s="96" t="n"/>
      <c r="F499" s="96" t="n"/>
      <c r="G499" s="95">
        <f>IFERROR(VLOOKUP(F499,'12. Contratos_OS'!$A$6:$L$1000,2,FALSE),"")</f>
        <v/>
      </c>
      <c r="H499" s="95">
        <f>IFERROR(VLOOKUP(F499,'12. Contratos_OS'!$A$6:$L$1000,3,FALSE),"")</f>
        <v/>
      </c>
      <c r="I499" s="95">
        <f>IFERROR(VLOOKUP(F499,'12. Contratos_OS'!$A$6:$L$1000,4,FALSE),"")</f>
        <v/>
      </c>
      <c r="J499" s="95">
        <f>IFERROR(VLOOKUP(F499,'12. Contratos_OS'!$A$6:$L$1000,7,FALSE),"")</f>
        <v/>
      </c>
      <c r="K499" s="95">
        <f>IFERROR(VLOOKUP(J499,'11. Cadastro de Serviços'!$A$6:$E$200,2,FALSE),"")</f>
        <v/>
      </c>
      <c r="L499" s="95">
        <f>IFERROR(VLOOKUP(J499,'11. Cadastro de Serviços'!$A$6:$E$200,3,FALSE),"")</f>
        <v/>
      </c>
      <c r="M499" s="95">
        <f>IFERROR(VLOOKUP(J499,'11. Cadastro de Serviços'!$A$6:$E$200,4,FALSE),"")</f>
        <v/>
      </c>
      <c r="N499" s="95" t="n"/>
      <c r="O499" s="95">
        <f>IF(AND(G499&lt;&gt;"",I499&lt;&gt;"",J499&lt;&gt;"",M499&lt;&gt;""),"Rastreado","Revisar")</f>
        <v/>
      </c>
      <c r="P499" s="96" t="n"/>
    </row>
    <row r="500">
      <c r="A500" s="95" t="n"/>
      <c r="B500" s="96" t="n"/>
      <c r="C500" s="96" t="n"/>
      <c r="D500" s="95" t="n"/>
      <c r="E500" s="96" t="n"/>
      <c r="F500" s="96" t="n"/>
      <c r="G500" s="95">
        <f>IFERROR(VLOOKUP(F500,'12. Contratos_OS'!$A$6:$L$1000,2,FALSE),"")</f>
        <v/>
      </c>
      <c r="H500" s="95">
        <f>IFERROR(VLOOKUP(F500,'12. Contratos_OS'!$A$6:$L$1000,3,FALSE),"")</f>
        <v/>
      </c>
      <c r="I500" s="95">
        <f>IFERROR(VLOOKUP(F500,'12. Contratos_OS'!$A$6:$L$1000,4,FALSE),"")</f>
        <v/>
      </c>
      <c r="J500" s="95">
        <f>IFERROR(VLOOKUP(F500,'12. Contratos_OS'!$A$6:$L$1000,7,FALSE),"")</f>
        <v/>
      </c>
      <c r="K500" s="95">
        <f>IFERROR(VLOOKUP(J500,'11. Cadastro de Serviços'!$A$6:$E$200,2,FALSE),"")</f>
        <v/>
      </c>
      <c r="L500" s="95">
        <f>IFERROR(VLOOKUP(J500,'11. Cadastro de Serviços'!$A$6:$E$200,3,FALSE),"")</f>
        <v/>
      </c>
      <c r="M500" s="95">
        <f>IFERROR(VLOOKUP(J500,'11. Cadastro de Serviços'!$A$6:$E$200,4,FALSE),"")</f>
        <v/>
      </c>
      <c r="N500" s="95" t="n"/>
      <c r="O500" s="95">
        <f>IF(AND(G500&lt;&gt;"",I500&lt;&gt;"",J500&lt;&gt;"",M500&lt;&gt;""),"Rastreado","Revisar")</f>
        <v/>
      </c>
      <c r="P500" s="96" t="n"/>
    </row>
    <row r="501">
      <c r="A501" s="95" t="n"/>
      <c r="B501" s="96" t="n"/>
      <c r="C501" s="96" t="n"/>
      <c r="D501" s="95" t="n"/>
      <c r="E501" s="96" t="n"/>
      <c r="F501" s="96" t="n"/>
      <c r="G501" s="95">
        <f>IFERROR(VLOOKUP(F501,'12. Contratos_OS'!$A$6:$L$1000,2,FALSE),"")</f>
        <v/>
      </c>
      <c r="H501" s="95">
        <f>IFERROR(VLOOKUP(F501,'12. Contratos_OS'!$A$6:$L$1000,3,FALSE),"")</f>
        <v/>
      </c>
      <c r="I501" s="95">
        <f>IFERROR(VLOOKUP(F501,'12. Contratos_OS'!$A$6:$L$1000,4,FALSE),"")</f>
        <v/>
      </c>
      <c r="J501" s="95">
        <f>IFERROR(VLOOKUP(F501,'12. Contratos_OS'!$A$6:$L$1000,7,FALSE),"")</f>
        <v/>
      </c>
      <c r="K501" s="95">
        <f>IFERROR(VLOOKUP(J501,'11. Cadastro de Serviços'!$A$6:$E$200,2,FALSE),"")</f>
        <v/>
      </c>
      <c r="L501" s="95">
        <f>IFERROR(VLOOKUP(J501,'11. Cadastro de Serviços'!$A$6:$E$200,3,FALSE),"")</f>
        <v/>
      </c>
      <c r="M501" s="95">
        <f>IFERROR(VLOOKUP(J501,'11. Cadastro de Serviços'!$A$6:$E$200,4,FALSE),"")</f>
        <v/>
      </c>
      <c r="N501" s="95" t="n"/>
      <c r="O501" s="95">
        <f>IF(AND(G501&lt;&gt;"",I501&lt;&gt;"",J501&lt;&gt;"",M501&lt;&gt;""),"Rastreado","Revisar")</f>
        <v/>
      </c>
      <c r="P501" s="96" t="n"/>
    </row>
    <row r="502">
      <c r="A502" s="95" t="n"/>
      <c r="B502" s="96" t="n"/>
      <c r="C502" s="96" t="n"/>
      <c r="D502" s="95" t="n"/>
      <c r="E502" s="96" t="n"/>
      <c r="F502" s="96" t="n"/>
      <c r="G502" s="95">
        <f>IFERROR(VLOOKUP(F502,'12. Contratos_OS'!$A$6:$L$1000,2,FALSE),"")</f>
        <v/>
      </c>
      <c r="H502" s="95">
        <f>IFERROR(VLOOKUP(F502,'12. Contratos_OS'!$A$6:$L$1000,3,FALSE),"")</f>
        <v/>
      </c>
      <c r="I502" s="95">
        <f>IFERROR(VLOOKUP(F502,'12. Contratos_OS'!$A$6:$L$1000,4,FALSE),"")</f>
        <v/>
      </c>
      <c r="J502" s="95">
        <f>IFERROR(VLOOKUP(F502,'12. Contratos_OS'!$A$6:$L$1000,7,FALSE),"")</f>
        <v/>
      </c>
      <c r="K502" s="95">
        <f>IFERROR(VLOOKUP(J502,'11. Cadastro de Serviços'!$A$6:$E$200,2,FALSE),"")</f>
        <v/>
      </c>
      <c r="L502" s="95">
        <f>IFERROR(VLOOKUP(J502,'11. Cadastro de Serviços'!$A$6:$E$200,3,FALSE),"")</f>
        <v/>
      </c>
      <c r="M502" s="95">
        <f>IFERROR(VLOOKUP(J502,'11. Cadastro de Serviços'!$A$6:$E$200,4,FALSE),"")</f>
        <v/>
      </c>
      <c r="N502" s="95" t="n"/>
      <c r="O502" s="95">
        <f>IF(AND(G502&lt;&gt;"",I502&lt;&gt;"",J502&lt;&gt;"",M502&lt;&gt;""),"Rastreado","Revisar")</f>
        <v/>
      </c>
      <c r="P502" s="96" t="n"/>
    </row>
    <row r="503">
      <c r="A503" s="95" t="n"/>
      <c r="B503" s="96" t="n"/>
      <c r="C503" s="96" t="n"/>
      <c r="D503" s="95" t="n"/>
      <c r="E503" s="96" t="n"/>
      <c r="F503" s="96" t="n"/>
      <c r="G503" s="95">
        <f>IFERROR(VLOOKUP(F503,'12. Contratos_OS'!$A$6:$L$1000,2,FALSE),"")</f>
        <v/>
      </c>
      <c r="H503" s="95">
        <f>IFERROR(VLOOKUP(F503,'12. Contratos_OS'!$A$6:$L$1000,3,FALSE),"")</f>
        <v/>
      </c>
      <c r="I503" s="95">
        <f>IFERROR(VLOOKUP(F503,'12. Contratos_OS'!$A$6:$L$1000,4,FALSE),"")</f>
        <v/>
      </c>
      <c r="J503" s="95">
        <f>IFERROR(VLOOKUP(F503,'12. Contratos_OS'!$A$6:$L$1000,7,FALSE),"")</f>
        <v/>
      </c>
      <c r="K503" s="95">
        <f>IFERROR(VLOOKUP(J503,'11. Cadastro de Serviços'!$A$6:$E$200,2,FALSE),"")</f>
        <v/>
      </c>
      <c r="L503" s="95">
        <f>IFERROR(VLOOKUP(J503,'11. Cadastro de Serviços'!$A$6:$E$200,3,FALSE),"")</f>
        <v/>
      </c>
      <c r="M503" s="95">
        <f>IFERROR(VLOOKUP(J503,'11. Cadastro de Serviços'!$A$6:$E$200,4,FALSE),"")</f>
        <v/>
      </c>
      <c r="N503" s="95" t="n"/>
      <c r="O503" s="95">
        <f>IF(AND(G503&lt;&gt;"",I503&lt;&gt;"",J503&lt;&gt;"",M503&lt;&gt;""),"Rastreado","Revisar")</f>
        <v/>
      </c>
      <c r="P503" s="96" t="n"/>
    </row>
    <row r="504">
      <c r="A504" s="95" t="n"/>
      <c r="B504" s="96" t="n"/>
      <c r="C504" s="96" t="n"/>
      <c r="D504" s="95" t="n"/>
      <c r="E504" s="96" t="n"/>
      <c r="F504" s="96" t="n"/>
      <c r="G504" s="95">
        <f>IFERROR(VLOOKUP(F504,'12. Contratos_OS'!$A$6:$L$1000,2,FALSE),"")</f>
        <v/>
      </c>
      <c r="H504" s="95">
        <f>IFERROR(VLOOKUP(F504,'12. Contratos_OS'!$A$6:$L$1000,3,FALSE),"")</f>
        <v/>
      </c>
      <c r="I504" s="95">
        <f>IFERROR(VLOOKUP(F504,'12. Contratos_OS'!$A$6:$L$1000,4,FALSE),"")</f>
        <v/>
      </c>
      <c r="J504" s="95">
        <f>IFERROR(VLOOKUP(F504,'12. Contratos_OS'!$A$6:$L$1000,7,FALSE),"")</f>
        <v/>
      </c>
      <c r="K504" s="95">
        <f>IFERROR(VLOOKUP(J504,'11. Cadastro de Serviços'!$A$6:$E$200,2,FALSE),"")</f>
        <v/>
      </c>
      <c r="L504" s="95">
        <f>IFERROR(VLOOKUP(J504,'11. Cadastro de Serviços'!$A$6:$E$200,3,FALSE),"")</f>
        <v/>
      </c>
      <c r="M504" s="95">
        <f>IFERROR(VLOOKUP(J504,'11. Cadastro de Serviços'!$A$6:$E$200,4,FALSE),"")</f>
        <v/>
      </c>
      <c r="N504" s="95" t="n"/>
      <c r="O504" s="95">
        <f>IF(AND(G504&lt;&gt;"",I504&lt;&gt;"",J504&lt;&gt;"",M504&lt;&gt;""),"Rastreado","Revisar")</f>
        <v/>
      </c>
      <c r="P504" s="96" t="n"/>
    </row>
    <row r="505">
      <c r="A505" s="95" t="n"/>
      <c r="B505" s="96" t="n"/>
      <c r="C505" s="96" t="n"/>
      <c r="D505" s="95" t="n"/>
      <c r="E505" s="96" t="n"/>
      <c r="F505" s="96" t="n"/>
      <c r="G505" s="95">
        <f>IFERROR(VLOOKUP(F505,'12. Contratos_OS'!$A$6:$L$1000,2,FALSE),"")</f>
        <v/>
      </c>
      <c r="H505" s="95">
        <f>IFERROR(VLOOKUP(F505,'12. Contratos_OS'!$A$6:$L$1000,3,FALSE),"")</f>
        <v/>
      </c>
      <c r="I505" s="95">
        <f>IFERROR(VLOOKUP(F505,'12. Contratos_OS'!$A$6:$L$1000,4,FALSE),"")</f>
        <v/>
      </c>
      <c r="J505" s="95">
        <f>IFERROR(VLOOKUP(F505,'12. Contratos_OS'!$A$6:$L$1000,7,FALSE),"")</f>
        <v/>
      </c>
      <c r="K505" s="95">
        <f>IFERROR(VLOOKUP(J505,'11. Cadastro de Serviços'!$A$6:$E$200,2,FALSE),"")</f>
        <v/>
      </c>
      <c r="L505" s="95">
        <f>IFERROR(VLOOKUP(J505,'11. Cadastro de Serviços'!$A$6:$E$200,3,FALSE),"")</f>
        <v/>
      </c>
      <c r="M505" s="95">
        <f>IFERROR(VLOOKUP(J505,'11. Cadastro de Serviços'!$A$6:$E$200,4,FALSE),"")</f>
        <v/>
      </c>
      <c r="N505" s="95" t="n"/>
      <c r="O505" s="95">
        <f>IF(AND(G505&lt;&gt;"",I505&lt;&gt;"",J505&lt;&gt;"",M505&lt;&gt;""),"Rastreado","Revisar")</f>
        <v/>
      </c>
      <c r="P505" s="96" t="n"/>
    </row>
    <row r="506">
      <c r="A506" s="95" t="n"/>
      <c r="B506" s="96" t="n"/>
      <c r="C506" s="96" t="n"/>
      <c r="D506" s="95" t="n"/>
      <c r="E506" s="96" t="n"/>
      <c r="F506" s="96" t="n"/>
      <c r="G506" s="95">
        <f>IFERROR(VLOOKUP(F506,'12. Contratos_OS'!$A$6:$L$1000,2,FALSE),"")</f>
        <v/>
      </c>
      <c r="H506" s="95">
        <f>IFERROR(VLOOKUP(F506,'12. Contratos_OS'!$A$6:$L$1000,3,FALSE),"")</f>
        <v/>
      </c>
      <c r="I506" s="95">
        <f>IFERROR(VLOOKUP(F506,'12. Contratos_OS'!$A$6:$L$1000,4,FALSE),"")</f>
        <v/>
      </c>
      <c r="J506" s="95">
        <f>IFERROR(VLOOKUP(F506,'12. Contratos_OS'!$A$6:$L$1000,7,FALSE),"")</f>
        <v/>
      </c>
      <c r="K506" s="95">
        <f>IFERROR(VLOOKUP(J506,'11. Cadastro de Serviços'!$A$6:$E$200,2,FALSE),"")</f>
        <v/>
      </c>
      <c r="L506" s="95">
        <f>IFERROR(VLOOKUP(J506,'11. Cadastro de Serviços'!$A$6:$E$200,3,FALSE),"")</f>
        <v/>
      </c>
      <c r="M506" s="95">
        <f>IFERROR(VLOOKUP(J506,'11. Cadastro de Serviços'!$A$6:$E$200,4,FALSE),"")</f>
        <v/>
      </c>
      <c r="N506" s="95" t="n"/>
      <c r="O506" s="95">
        <f>IF(AND(G506&lt;&gt;"",I506&lt;&gt;"",J506&lt;&gt;"",M506&lt;&gt;""),"Rastreado","Revisar")</f>
        <v/>
      </c>
      <c r="P506" s="96" t="n"/>
    </row>
    <row r="507">
      <c r="A507" s="95" t="n"/>
      <c r="B507" s="96" t="n"/>
      <c r="C507" s="96" t="n"/>
      <c r="D507" s="95" t="n"/>
      <c r="E507" s="96" t="n"/>
      <c r="F507" s="96" t="n"/>
      <c r="G507" s="95">
        <f>IFERROR(VLOOKUP(F507,'12. Contratos_OS'!$A$6:$L$1000,2,FALSE),"")</f>
        <v/>
      </c>
      <c r="H507" s="95">
        <f>IFERROR(VLOOKUP(F507,'12. Contratos_OS'!$A$6:$L$1000,3,FALSE),"")</f>
        <v/>
      </c>
      <c r="I507" s="95">
        <f>IFERROR(VLOOKUP(F507,'12. Contratos_OS'!$A$6:$L$1000,4,FALSE),"")</f>
        <v/>
      </c>
      <c r="J507" s="95">
        <f>IFERROR(VLOOKUP(F507,'12. Contratos_OS'!$A$6:$L$1000,7,FALSE),"")</f>
        <v/>
      </c>
      <c r="K507" s="95">
        <f>IFERROR(VLOOKUP(J507,'11. Cadastro de Serviços'!$A$6:$E$200,2,FALSE),"")</f>
        <v/>
      </c>
      <c r="L507" s="95">
        <f>IFERROR(VLOOKUP(J507,'11. Cadastro de Serviços'!$A$6:$E$200,3,FALSE),"")</f>
        <v/>
      </c>
      <c r="M507" s="95">
        <f>IFERROR(VLOOKUP(J507,'11. Cadastro de Serviços'!$A$6:$E$200,4,FALSE),"")</f>
        <v/>
      </c>
      <c r="N507" s="95" t="n"/>
      <c r="O507" s="95">
        <f>IF(AND(G507&lt;&gt;"",I507&lt;&gt;"",J507&lt;&gt;"",M507&lt;&gt;""),"Rastreado","Revisar")</f>
        <v/>
      </c>
      <c r="P507" s="96" t="n"/>
    </row>
    <row r="508">
      <c r="A508" s="95" t="n"/>
      <c r="B508" s="96" t="n"/>
      <c r="C508" s="96" t="n"/>
      <c r="D508" s="95" t="n"/>
      <c r="E508" s="96" t="n"/>
      <c r="F508" s="96" t="n"/>
      <c r="G508" s="95">
        <f>IFERROR(VLOOKUP(F508,'12. Contratos_OS'!$A$6:$L$1000,2,FALSE),"")</f>
        <v/>
      </c>
      <c r="H508" s="95">
        <f>IFERROR(VLOOKUP(F508,'12. Contratos_OS'!$A$6:$L$1000,3,FALSE),"")</f>
        <v/>
      </c>
      <c r="I508" s="95">
        <f>IFERROR(VLOOKUP(F508,'12. Contratos_OS'!$A$6:$L$1000,4,FALSE),"")</f>
        <v/>
      </c>
      <c r="J508" s="95">
        <f>IFERROR(VLOOKUP(F508,'12. Contratos_OS'!$A$6:$L$1000,7,FALSE),"")</f>
        <v/>
      </c>
      <c r="K508" s="95">
        <f>IFERROR(VLOOKUP(J508,'11. Cadastro de Serviços'!$A$6:$E$200,2,FALSE),"")</f>
        <v/>
      </c>
      <c r="L508" s="95">
        <f>IFERROR(VLOOKUP(J508,'11. Cadastro de Serviços'!$A$6:$E$200,3,FALSE),"")</f>
        <v/>
      </c>
      <c r="M508" s="95">
        <f>IFERROR(VLOOKUP(J508,'11. Cadastro de Serviços'!$A$6:$E$200,4,FALSE),"")</f>
        <v/>
      </c>
      <c r="N508" s="95" t="n"/>
      <c r="O508" s="95">
        <f>IF(AND(G508&lt;&gt;"",I508&lt;&gt;"",J508&lt;&gt;"",M508&lt;&gt;""),"Rastreado","Revisar")</f>
        <v/>
      </c>
      <c r="P508" s="96" t="n"/>
    </row>
    <row r="509">
      <c r="A509" s="95" t="n"/>
      <c r="B509" s="96" t="n"/>
      <c r="C509" s="96" t="n"/>
      <c r="D509" s="95" t="n"/>
      <c r="E509" s="96" t="n"/>
      <c r="F509" s="96" t="n"/>
      <c r="G509" s="95">
        <f>IFERROR(VLOOKUP(F509,'12. Contratos_OS'!$A$6:$L$1000,2,FALSE),"")</f>
        <v/>
      </c>
      <c r="H509" s="95">
        <f>IFERROR(VLOOKUP(F509,'12. Contratos_OS'!$A$6:$L$1000,3,FALSE),"")</f>
        <v/>
      </c>
      <c r="I509" s="95">
        <f>IFERROR(VLOOKUP(F509,'12. Contratos_OS'!$A$6:$L$1000,4,FALSE),"")</f>
        <v/>
      </c>
      <c r="J509" s="95">
        <f>IFERROR(VLOOKUP(F509,'12. Contratos_OS'!$A$6:$L$1000,7,FALSE),"")</f>
        <v/>
      </c>
      <c r="K509" s="95">
        <f>IFERROR(VLOOKUP(J509,'11. Cadastro de Serviços'!$A$6:$E$200,2,FALSE),"")</f>
        <v/>
      </c>
      <c r="L509" s="95">
        <f>IFERROR(VLOOKUP(J509,'11. Cadastro de Serviços'!$A$6:$E$200,3,FALSE),"")</f>
        <v/>
      </c>
      <c r="M509" s="95">
        <f>IFERROR(VLOOKUP(J509,'11. Cadastro de Serviços'!$A$6:$E$200,4,FALSE),"")</f>
        <v/>
      </c>
      <c r="N509" s="95" t="n"/>
      <c r="O509" s="95">
        <f>IF(AND(G509&lt;&gt;"",I509&lt;&gt;"",J509&lt;&gt;"",M509&lt;&gt;""),"Rastreado","Revisar")</f>
        <v/>
      </c>
      <c r="P509" s="96" t="n"/>
    </row>
    <row r="510">
      <c r="A510" s="95" t="n"/>
      <c r="B510" s="96" t="n"/>
      <c r="C510" s="96" t="n"/>
      <c r="D510" s="95" t="n"/>
      <c r="E510" s="96" t="n"/>
      <c r="F510" s="96" t="n"/>
      <c r="G510" s="95">
        <f>IFERROR(VLOOKUP(F510,'12. Contratos_OS'!$A$6:$L$1000,2,FALSE),"")</f>
        <v/>
      </c>
      <c r="H510" s="95">
        <f>IFERROR(VLOOKUP(F510,'12. Contratos_OS'!$A$6:$L$1000,3,FALSE),"")</f>
        <v/>
      </c>
      <c r="I510" s="95">
        <f>IFERROR(VLOOKUP(F510,'12. Contratos_OS'!$A$6:$L$1000,4,FALSE),"")</f>
        <v/>
      </c>
      <c r="J510" s="95">
        <f>IFERROR(VLOOKUP(F510,'12. Contratos_OS'!$A$6:$L$1000,7,FALSE),"")</f>
        <v/>
      </c>
      <c r="K510" s="95">
        <f>IFERROR(VLOOKUP(J510,'11. Cadastro de Serviços'!$A$6:$E$200,2,FALSE),"")</f>
        <v/>
      </c>
      <c r="L510" s="95">
        <f>IFERROR(VLOOKUP(J510,'11. Cadastro de Serviços'!$A$6:$E$200,3,FALSE),"")</f>
        <v/>
      </c>
      <c r="M510" s="95">
        <f>IFERROR(VLOOKUP(J510,'11. Cadastro de Serviços'!$A$6:$E$200,4,FALSE),"")</f>
        <v/>
      </c>
      <c r="N510" s="95" t="n"/>
      <c r="O510" s="95">
        <f>IF(AND(G510&lt;&gt;"",I510&lt;&gt;"",J510&lt;&gt;"",M510&lt;&gt;""),"Rastreado","Revisar")</f>
        <v/>
      </c>
      <c r="P510" s="96" t="n"/>
    </row>
    <row r="511">
      <c r="A511" s="95" t="n"/>
      <c r="B511" s="96" t="n"/>
      <c r="C511" s="96" t="n"/>
      <c r="D511" s="95" t="n"/>
      <c r="E511" s="96" t="n"/>
      <c r="F511" s="96" t="n"/>
      <c r="G511" s="95">
        <f>IFERROR(VLOOKUP(F511,'12. Contratos_OS'!$A$6:$L$1000,2,FALSE),"")</f>
        <v/>
      </c>
      <c r="H511" s="95">
        <f>IFERROR(VLOOKUP(F511,'12. Contratos_OS'!$A$6:$L$1000,3,FALSE),"")</f>
        <v/>
      </c>
      <c r="I511" s="95">
        <f>IFERROR(VLOOKUP(F511,'12. Contratos_OS'!$A$6:$L$1000,4,FALSE),"")</f>
        <v/>
      </c>
      <c r="J511" s="95">
        <f>IFERROR(VLOOKUP(F511,'12. Contratos_OS'!$A$6:$L$1000,7,FALSE),"")</f>
        <v/>
      </c>
      <c r="K511" s="95">
        <f>IFERROR(VLOOKUP(J511,'11. Cadastro de Serviços'!$A$6:$E$200,2,FALSE),"")</f>
        <v/>
      </c>
      <c r="L511" s="95">
        <f>IFERROR(VLOOKUP(J511,'11. Cadastro de Serviços'!$A$6:$E$200,3,FALSE),"")</f>
        <v/>
      </c>
      <c r="M511" s="95">
        <f>IFERROR(VLOOKUP(J511,'11. Cadastro de Serviços'!$A$6:$E$200,4,FALSE),"")</f>
        <v/>
      </c>
      <c r="N511" s="95" t="n"/>
      <c r="O511" s="95">
        <f>IF(AND(G511&lt;&gt;"",I511&lt;&gt;"",J511&lt;&gt;"",M511&lt;&gt;""),"Rastreado","Revisar")</f>
        <v/>
      </c>
      <c r="P511" s="96" t="n"/>
    </row>
    <row r="512">
      <c r="A512" s="95" t="n"/>
      <c r="B512" s="96" t="n"/>
      <c r="C512" s="96" t="n"/>
      <c r="D512" s="95" t="n"/>
      <c r="E512" s="96" t="n"/>
      <c r="F512" s="96" t="n"/>
      <c r="G512" s="95">
        <f>IFERROR(VLOOKUP(F512,'12. Contratos_OS'!$A$6:$L$1000,2,FALSE),"")</f>
        <v/>
      </c>
      <c r="H512" s="95">
        <f>IFERROR(VLOOKUP(F512,'12. Contratos_OS'!$A$6:$L$1000,3,FALSE),"")</f>
        <v/>
      </c>
      <c r="I512" s="95">
        <f>IFERROR(VLOOKUP(F512,'12. Contratos_OS'!$A$6:$L$1000,4,FALSE),"")</f>
        <v/>
      </c>
      <c r="J512" s="95">
        <f>IFERROR(VLOOKUP(F512,'12. Contratos_OS'!$A$6:$L$1000,7,FALSE),"")</f>
        <v/>
      </c>
      <c r="K512" s="95">
        <f>IFERROR(VLOOKUP(J512,'11. Cadastro de Serviços'!$A$6:$E$200,2,FALSE),"")</f>
        <v/>
      </c>
      <c r="L512" s="95">
        <f>IFERROR(VLOOKUP(J512,'11. Cadastro de Serviços'!$A$6:$E$200,3,FALSE),"")</f>
        <v/>
      </c>
      <c r="M512" s="95">
        <f>IFERROR(VLOOKUP(J512,'11. Cadastro de Serviços'!$A$6:$E$200,4,FALSE),"")</f>
        <v/>
      </c>
      <c r="N512" s="95" t="n"/>
      <c r="O512" s="95">
        <f>IF(AND(G512&lt;&gt;"",I512&lt;&gt;"",J512&lt;&gt;"",M512&lt;&gt;""),"Rastreado","Revisar")</f>
        <v/>
      </c>
      <c r="P512" s="96" t="n"/>
    </row>
    <row r="513">
      <c r="A513" s="95" t="n"/>
      <c r="B513" s="96" t="n"/>
      <c r="C513" s="96" t="n"/>
      <c r="D513" s="95" t="n"/>
      <c r="E513" s="96" t="n"/>
      <c r="F513" s="96" t="n"/>
      <c r="G513" s="95">
        <f>IFERROR(VLOOKUP(F513,'12. Contratos_OS'!$A$6:$L$1000,2,FALSE),"")</f>
        <v/>
      </c>
      <c r="H513" s="95">
        <f>IFERROR(VLOOKUP(F513,'12. Contratos_OS'!$A$6:$L$1000,3,FALSE),"")</f>
        <v/>
      </c>
      <c r="I513" s="95">
        <f>IFERROR(VLOOKUP(F513,'12. Contratos_OS'!$A$6:$L$1000,4,FALSE),"")</f>
        <v/>
      </c>
      <c r="J513" s="95">
        <f>IFERROR(VLOOKUP(F513,'12. Contratos_OS'!$A$6:$L$1000,7,FALSE),"")</f>
        <v/>
      </c>
      <c r="K513" s="95">
        <f>IFERROR(VLOOKUP(J513,'11. Cadastro de Serviços'!$A$6:$E$200,2,FALSE),"")</f>
        <v/>
      </c>
      <c r="L513" s="95">
        <f>IFERROR(VLOOKUP(J513,'11. Cadastro de Serviços'!$A$6:$E$200,3,FALSE),"")</f>
        <v/>
      </c>
      <c r="M513" s="95">
        <f>IFERROR(VLOOKUP(J513,'11. Cadastro de Serviços'!$A$6:$E$200,4,FALSE),"")</f>
        <v/>
      </c>
      <c r="N513" s="95" t="n"/>
      <c r="O513" s="95">
        <f>IF(AND(G513&lt;&gt;"",I513&lt;&gt;"",J513&lt;&gt;"",M513&lt;&gt;""),"Rastreado","Revisar")</f>
        <v/>
      </c>
      <c r="P513" s="96" t="n"/>
    </row>
    <row r="514">
      <c r="A514" s="95" t="n"/>
      <c r="B514" s="96" t="n"/>
      <c r="C514" s="96" t="n"/>
      <c r="D514" s="95" t="n"/>
      <c r="E514" s="96" t="n"/>
      <c r="F514" s="96" t="n"/>
      <c r="G514" s="95">
        <f>IFERROR(VLOOKUP(F514,'12. Contratos_OS'!$A$6:$L$1000,2,FALSE),"")</f>
        <v/>
      </c>
      <c r="H514" s="95">
        <f>IFERROR(VLOOKUP(F514,'12. Contratos_OS'!$A$6:$L$1000,3,FALSE),"")</f>
        <v/>
      </c>
      <c r="I514" s="95">
        <f>IFERROR(VLOOKUP(F514,'12. Contratos_OS'!$A$6:$L$1000,4,FALSE),"")</f>
        <v/>
      </c>
      <c r="J514" s="95">
        <f>IFERROR(VLOOKUP(F514,'12. Contratos_OS'!$A$6:$L$1000,7,FALSE),"")</f>
        <v/>
      </c>
      <c r="K514" s="95">
        <f>IFERROR(VLOOKUP(J514,'11. Cadastro de Serviços'!$A$6:$E$200,2,FALSE),"")</f>
        <v/>
      </c>
      <c r="L514" s="95">
        <f>IFERROR(VLOOKUP(J514,'11. Cadastro de Serviços'!$A$6:$E$200,3,FALSE),"")</f>
        <v/>
      </c>
      <c r="M514" s="95">
        <f>IFERROR(VLOOKUP(J514,'11. Cadastro de Serviços'!$A$6:$E$200,4,FALSE),"")</f>
        <v/>
      </c>
      <c r="N514" s="95" t="n"/>
      <c r="O514" s="95">
        <f>IF(AND(G514&lt;&gt;"",I514&lt;&gt;"",J514&lt;&gt;"",M514&lt;&gt;""),"Rastreado","Revisar")</f>
        <v/>
      </c>
      <c r="P514" s="96" t="n"/>
    </row>
    <row r="515">
      <c r="A515" s="95" t="n"/>
      <c r="B515" s="96" t="n"/>
      <c r="C515" s="96" t="n"/>
      <c r="D515" s="95" t="n"/>
      <c r="E515" s="96" t="n"/>
      <c r="F515" s="96" t="n"/>
      <c r="G515" s="95">
        <f>IFERROR(VLOOKUP(F515,'12. Contratos_OS'!$A$6:$L$1000,2,FALSE),"")</f>
        <v/>
      </c>
      <c r="H515" s="95">
        <f>IFERROR(VLOOKUP(F515,'12. Contratos_OS'!$A$6:$L$1000,3,FALSE),"")</f>
        <v/>
      </c>
      <c r="I515" s="95">
        <f>IFERROR(VLOOKUP(F515,'12. Contratos_OS'!$A$6:$L$1000,4,FALSE),"")</f>
        <v/>
      </c>
      <c r="J515" s="95">
        <f>IFERROR(VLOOKUP(F515,'12. Contratos_OS'!$A$6:$L$1000,7,FALSE),"")</f>
        <v/>
      </c>
      <c r="K515" s="95">
        <f>IFERROR(VLOOKUP(J515,'11. Cadastro de Serviços'!$A$6:$E$200,2,FALSE),"")</f>
        <v/>
      </c>
      <c r="L515" s="95">
        <f>IFERROR(VLOOKUP(J515,'11. Cadastro de Serviços'!$A$6:$E$200,3,FALSE),"")</f>
        <v/>
      </c>
      <c r="M515" s="95">
        <f>IFERROR(VLOOKUP(J515,'11. Cadastro de Serviços'!$A$6:$E$200,4,FALSE),"")</f>
        <v/>
      </c>
      <c r="N515" s="95" t="n"/>
      <c r="O515" s="95">
        <f>IF(AND(G515&lt;&gt;"",I515&lt;&gt;"",J515&lt;&gt;"",M515&lt;&gt;""),"Rastreado","Revisar")</f>
        <v/>
      </c>
      <c r="P515" s="96" t="n"/>
    </row>
    <row r="516">
      <c r="A516" s="95" t="n"/>
      <c r="B516" s="96" t="n"/>
      <c r="C516" s="96" t="n"/>
      <c r="D516" s="95" t="n"/>
      <c r="E516" s="96" t="n"/>
      <c r="F516" s="96" t="n"/>
      <c r="G516" s="95">
        <f>IFERROR(VLOOKUP(F516,'12. Contratos_OS'!$A$6:$L$1000,2,FALSE),"")</f>
        <v/>
      </c>
      <c r="H516" s="95">
        <f>IFERROR(VLOOKUP(F516,'12. Contratos_OS'!$A$6:$L$1000,3,FALSE),"")</f>
        <v/>
      </c>
      <c r="I516" s="95">
        <f>IFERROR(VLOOKUP(F516,'12. Contratos_OS'!$A$6:$L$1000,4,FALSE),"")</f>
        <v/>
      </c>
      <c r="J516" s="95">
        <f>IFERROR(VLOOKUP(F516,'12. Contratos_OS'!$A$6:$L$1000,7,FALSE),"")</f>
        <v/>
      </c>
      <c r="K516" s="95">
        <f>IFERROR(VLOOKUP(J516,'11. Cadastro de Serviços'!$A$6:$E$200,2,FALSE),"")</f>
        <v/>
      </c>
      <c r="L516" s="95">
        <f>IFERROR(VLOOKUP(J516,'11. Cadastro de Serviços'!$A$6:$E$200,3,FALSE),"")</f>
        <v/>
      </c>
      <c r="M516" s="95">
        <f>IFERROR(VLOOKUP(J516,'11. Cadastro de Serviços'!$A$6:$E$200,4,FALSE),"")</f>
        <v/>
      </c>
      <c r="N516" s="95" t="n"/>
      <c r="O516" s="95">
        <f>IF(AND(G516&lt;&gt;"",I516&lt;&gt;"",J516&lt;&gt;"",M516&lt;&gt;""),"Rastreado","Revisar")</f>
        <v/>
      </c>
      <c r="P516" s="96" t="n"/>
    </row>
    <row r="517">
      <c r="A517" s="95" t="n"/>
      <c r="B517" s="96" t="n"/>
      <c r="C517" s="96" t="n"/>
      <c r="D517" s="95" t="n"/>
      <c r="E517" s="96" t="n"/>
      <c r="F517" s="96" t="n"/>
      <c r="G517" s="95">
        <f>IFERROR(VLOOKUP(F517,'12. Contratos_OS'!$A$6:$L$1000,2,FALSE),"")</f>
        <v/>
      </c>
      <c r="H517" s="95">
        <f>IFERROR(VLOOKUP(F517,'12. Contratos_OS'!$A$6:$L$1000,3,FALSE),"")</f>
        <v/>
      </c>
      <c r="I517" s="95">
        <f>IFERROR(VLOOKUP(F517,'12. Contratos_OS'!$A$6:$L$1000,4,FALSE),"")</f>
        <v/>
      </c>
      <c r="J517" s="95">
        <f>IFERROR(VLOOKUP(F517,'12. Contratos_OS'!$A$6:$L$1000,7,FALSE),"")</f>
        <v/>
      </c>
      <c r="K517" s="95">
        <f>IFERROR(VLOOKUP(J517,'11. Cadastro de Serviços'!$A$6:$E$200,2,FALSE),"")</f>
        <v/>
      </c>
      <c r="L517" s="95">
        <f>IFERROR(VLOOKUP(J517,'11. Cadastro de Serviços'!$A$6:$E$200,3,FALSE),"")</f>
        <v/>
      </c>
      <c r="M517" s="95">
        <f>IFERROR(VLOOKUP(J517,'11. Cadastro de Serviços'!$A$6:$E$200,4,FALSE),"")</f>
        <v/>
      </c>
      <c r="N517" s="95" t="n"/>
      <c r="O517" s="95">
        <f>IF(AND(G517&lt;&gt;"",I517&lt;&gt;"",J517&lt;&gt;"",M517&lt;&gt;""),"Rastreado","Revisar")</f>
        <v/>
      </c>
      <c r="P517" s="96" t="n"/>
    </row>
    <row r="518">
      <c r="A518" s="95" t="n"/>
      <c r="B518" s="96" t="n"/>
      <c r="C518" s="96" t="n"/>
      <c r="D518" s="95" t="n"/>
      <c r="E518" s="96" t="n"/>
      <c r="F518" s="96" t="n"/>
      <c r="G518" s="95">
        <f>IFERROR(VLOOKUP(F518,'12. Contratos_OS'!$A$6:$L$1000,2,FALSE),"")</f>
        <v/>
      </c>
      <c r="H518" s="95">
        <f>IFERROR(VLOOKUP(F518,'12. Contratos_OS'!$A$6:$L$1000,3,FALSE),"")</f>
        <v/>
      </c>
      <c r="I518" s="95">
        <f>IFERROR(VLOOKUP(F518,'12. Contratos_OS'!$A$6:$L$1000,4,FALSE),"")</f>
        <v/>
      </c>
      <c r="J518" s="95">
        <f>IFERROR(VLOOKUP(F518,'12. Contratos_OS'!$A$6:$L$1000,7,FALSE),"")</f>
        <v/>
      </c>
      <c r="K518" s="95">
        <f>IFERROR(VLOOKUP(J518,'11. Cadastro de Serviços'!$A$6:$E$200,2,FALSE),"")</f>
        <v/>
      </c>
      <c r="L518" s="95">
        <f>IFERROR(VLOOKUP(J518,'11. Cadastro de Serviços'!$A$6:$E$200,3,FALSE),"")</f>
        <v/>
      </c>
      <c r="M518" s="95">
        <f>IFERROR(VLOOKUP(J518,'11. Cadastro de Serviços'!$A$6:$E$200,4,FALSE),"")</f>
        <v/>
      </c>
      <c r="N518" s="95" t="n"/>
      <c r="O518" s="95">
        <f>IF(AND(G518&lt;&gt;"",I518&lt;&gt;"",J518&lt;&gt;"",M518&lt;&gt;""),"Rastreado","Revisar")</f>
        <v/>
      </c>
      <c r="P518" s="96" t="n"/>
    </row>
    <row r="519">
      <c r="A519" s="95" t="n"/>
      <c r="B519" s="96" t="n"/>
      <c r="C519" s="96" t="n"/>
      <c r="D519" s="95" t="n"/>
      <c r="E519" s="96" t="n"/>
      <c r="F519" s="96" t="n"/>
      <c r="G519" s="95">
        <f>IFERROR(VLOOKUP(F519,'12. Contratos_OS'!$A$6:$L$1000,2,FALSE),"")</f>
        <v/>
      </c>
      <c r="H519" s="95">
        <f>IFERROR(VLOOKUP(F519,'12. Contratos_OS'!$A$6:$L$1000,3,FALSE),"")</f>
        <v/>
      </c>
      <c r="I519" s="95">
        <f>IFERROR(VLOOKUP(F519,'12. Contratos_OS'!$A$6:$L$1000,4,FALSE),"")</f>
        <v/>
      </c>
      <c r="J519" s="95">
        <f>IFERROR(VLOOKUP(F519,'12. Contratos_OS'!$A$6:$L$1000,7,FALSE),"")</f>
        <v/>
      </c>
      <c r="K519" s="95">
        <f>IFERROR(VLOOKUP(J519,'11. Cadastro de Serviços'!$A$6:$E$200,2,FALSE),"")</f>
        <v/>
      </c>
      <c r="L519" s="95">
        <f>IFERROR(VLOOKUP(J519,'11. Cadastro de Serviços'!$A$6:$E$200,3,FALSE),"")</f>
        <v/>
      </c>
      <c r="M519" s="95">
        <f>IFERROR(VLOOKUP(J519,'11. Cadastro de Serviços'!$A$6:$E$200,4,FALSE),"")</f>
        <v/>
      </c>
      <c r="N519" s="95" t="n"/>
      <c r="O519" s="95">
        <f>IF(AND(G519&lt;&gt;"",I519&lt;&gt;"",J519&lt;&gt;"",M519&lt;&gt;""),"Rastreado","Revisar")</f>
        <v/>
      </c>
      <c r="P519" s="96" t="n"/>
    </row>
    <row r="520">
      <c r="A520" s="95" t="n"/>
      <c r="B520" s="96" t="n"/>
      <c r="C520" s="96" t="n"/>
      <c r="D520" s="95" t="n"/>
      <c r="E520" s="96" t="n"/>
      <c r="F520" s="96" t="n"/>
      <c r="G520" s="95">
        <f>IFERROR(VLOOKUP(F520,'12. Contratos_OS'!$A$6:$L$1000,2,FALSE),"")</f>
        <v/>
      </c>
      <c r="H520" s="95">
        <f>IFERROR(VLOOKUP(F520,'12. Contratos_OS'!$A$6:$L$1000,3,FALSE),"")</f>
        <v/>
      </c>
      <c r="I520" s="95">
        <f>IFERROR(VLOOKUP(F520,'12. Contratos_OS'!$A$6:$L$1000,4,FALSE),"")</f>
        <v/>
      </c>
      <c r="J520" s="95">
        <f>IFERROR(VLOOKUP(F520,'12. Contratos_OS'!$A$6:$L$1000,7,FALSE),"")</f>
        <v/>
      </c>
      <c r="K520" s="95">
        <f>IFERROR(VLOOKUP(J520,'11. Cadastro de Serviços'!$A$6:$E$200,2,FALSE),"")</f>
        <v/>
      </c>
      <c r="L520" s="95">
        <f>IFERROR(VLOOKUP(J520,'11. Cadastro de Serviços'!$A$6:$E$200,3,FALSE),"")</f>
        <v/>
      </c>
      <c r="M520" s="95">
        <f>IFERROR(VLOOKUP(J520,'11. Cadastro de Serviços'!$A$6:$E$200,4,FALSE),"")</f>
        <v/>
      </c>
      <c r="N520" s="95" t="n"/>
      <c r="O520" s="95">
        <f>IF(AND(G520&lt;&gt;"",I520&lt;&gt;"",J520&lt;&gt;"",M520&lt;&gt;""),"Rastreado","Revisar")</f>
        <v/>
      </c>
      <c r="P520" s="96" t="n"/>
    </row>
    <row r="521">
      <c r="A521" s="95" t="n"/>
      <c r="B521" s="96" t="n"/>
      <c r="C521" s="96" t="n"/>
      <c r="D521" s="95" t="n"/>
      <c r="E521" s="96" t="n"/>
      <c r="F521" s="96" t="n"/>
      <c r="G521" s="95">
        <f>IFERROR(VLOOKUP(F521,'12. Contratos_OS'!$A$6:$L$1000,2,FALSE),"")</f>
        <v/>
      </c>
      <c r="H521" s="95">
        <f>IFERROR(VLOOKUP(F521,'12. Contratos_OS'!$A$6:$L$1000,3,FALSE),"")</f>
        <v/>
      </c>
      <c r="I521" s="95">
        <f>IFERROR(VLOOKUP(F521,'12. Contratos_OS'!$A$6:$L$1000,4,FALSE),"")</f>
        <v/>
      </c>
      <c r="J521" s="95">
        <f>IFERROR(VLOOKUP(F521,'12. Contratos_OS'!$A$6:$L$1000,7,FALSE),"")</f>
        <v/>
      </c>
      <c r="K521" s="95">
        <f>IFERROR(VLOOKUP(J521,'11. Cadastro de Serviços'!$A$6:$E$200,2,FALSE),"")</f>
        <v/>
      </c>
      <c r="L521" s="95">
        <f>IFERROR(VLOOKUP(J521,'11. Cadastro de Serviços'!$A$6:$E$200,3,FALSE),"")</f>
        <v/>
      </c>
      <c r="M521" s="95">
        <f>IFERROR(VLOOKUP(J521,'11. Cadastro de Serviços'!$A$6:$E$200,4,FALSE),"")</f>
        <v/>
      </c>
      <c r="N521" s="95" t="n"/>
      <c r="O521" s="95">
        <f>IF(AND(G521&lt;&gt;"",I521&lt;&gt;"",J521&lt;&gt;"",M521&lt;&gt;""),"Rastreado","Revisar")</f>
        <v/>
      </c>
      <c r="P521" s="96" t="n"/>
    </row>
    <row r="522">
      <c r="A522" s="95" t="n"/>
      <c r="B522" s="96" t="n"/>
      <c r="C522" s="96" t="n"/>
      <c r="D522" s="95" t="n"/>
      <c r="E522" s="96" t="n"/>
      <c r="F522" s="96" t="n"/>
      <c r="G522" s="95">
        <f>IFERROR(VLOOKUP(F522,'12. Contratos_OS'!$A$6:$L$1000,2,FALSE),"")</f>
        <v/>
      </c>
      <c r="H522" s="95">
        <f>IFERROR(VLOOKUP(F522,'12. Contratos_OS'!$A$6:$L$1000,3,FALSE),"")</f>
        <v/>
      </c>
      <c r="I522" s="95">
        <f>IFERROR(VLOOKUP(F522,'12. Contratos_OS'!$A$6:$L$1000,4,FALSE),"")</f>
        <v/>
      </c>
      <c r="J522" s="95">
        <f>IFERROR(VLOOKUP(F522,'12. Contratos_OS'!$A$6:$L$1000,7,FALSE),"")</f>
        <v/>
      </c>
      <c r="K522" s="95">
        <f>IFERROR(VLOOKUP(J522,'11. Cadastro de Serviços'!$A$6:$E$200,2,FALSE),"")</f>
        <v/>
      </c>
      <c r="L522" s="95">
        <f>IFERROR(VLOOKUP(J522,'11. Cadastro de Serviços'!$A$6:$E$200,3,FALSE),"")</f>
        <v/>
      </c>
      <c r="M522" s="95">
        <f>IFERROR(VLOOKUP(J522,'11. Cadastro de Serviços'!$A$6:$E$200,4,FALSE),"")</f>
        <v/>
      </c>
      <c r="N522" s="95" t="n"/>
      <c r="O522" s="95">
        <f>IF(AND(G522&lt;&gt;"",I522&lt;&gt;"",J522&lt;&gt;"",M522&lt;&gt;""),"Rastreado","Revisar")</f>
        <v/>
      </c>
      <c r="P522" s="96" t="n"/>
    </row>
    <row r="523">
      <c r="A523" s="95" t="n"/>
      <c r="B523" s="96" t="n"/>
      <c r="C523" s="96" t="n"/>
      <c r="D523" s="95" t="n"/>
      <c r="E523" s="96" t="n"/>
      <c r="F523" s="96" t="n"/>
      <c r="G523" s="95">
        <f>IFERROR(VLOOKUP(F523,'12. Contratos_OS'!$A$6:$L$1000,2,FALSE),"")</f>
        <v/>
      </c>
      <c r="H523" s="95">
        <f>IFERROR(VLOOKUP(F523,'12. Contratos_OS'!$A$6:$L$1000,3,FALSE),"")</f>
        <v/>
      </c>
      <c r="I523" s="95">
        <f>IFERROR(VLOOKUP(F523,'12. Contratos_OS'!$A$6:$L$1000,4,FALSE),"")</f>
        <v/>
      </c>
      <c r="J523" s="95">
        <f>IFERROR(VLOOKUP(F523,'12. Contratos_OS'!$A$6:$L$1000,7,FALSE),"")</f>
        <v/>
      </c>
      <c r="K523" s="95">
        <f>IFERROR(VLOOKUP(J523,'11. Cadastro de Serviços'!$A$6:$E$200,2,FALSE),"")</f>
        <v/>
      </c>
      <c r="L523" s="95">
        <f>IFERROR(VLOOKUP(J523,'11. Cadastro de Serviços'!$A$6:$E$200,3,FALSE),"")</f>
        <v/>
      </c>
      <c r="M523" s="95">
        <f>IFERROR(VLOOKUP(J523,'11. Cadastro de Serviços'!$A$6:$E$200,4,FALSE),"")</f>
        <v/>
      </c>
      <c r="N523" s="95" t="n"/>
      <c r="O523" s="95">
        <f>IF(AND(G523&lt;&gt;"",I523&lt;&gt;"",J523&lt;&gt;"",M523&lt;&gt;""),"Rastreado","Revisar")</f>
        <v/>
      </c>
      <c r="P523" s="96" t="n"/>
    </row>
    <row r="524">
      <c r="A524" s="95" t="n"/>
      <c r="B524" s="96" t="n"/>
      <c r="C524" s="96" t="n"/>
      <c r="D524" s="95" t="n"/>
      <c r="E524" s="96" t="n"/>
      <c r="F524" s="96" t="n"/>
      <c r="G524" s="95">
        <f>IFERROR(VLOOKUP(F524,'12. Contratos_OS'!$A$6:$L$1000,2,FALSE),"")</f>
        <v/>
      </c>
      <c r="H524" s="95">
        <f>IFERROR(VLOOKUP(F524,'12. Contratos_OS'!$A$6:$L$1000,3,FALSE),"")</f>
        <v/>
      </c>
      <c r="I524" s="95">
        <f>IFERROR(VLOOKUP(F524,'12. Contratos_OS'!$A$6:$L$1000,4,FALSE),"")</f>
        <v/>
      </c>
      <c r="J524" s="95">
        <f>IFERROR(VLOOKUP(F524,'12. Contratos_OS'!$A$6:$L$1000,7,FALSE),"")</f>
        <v/>
      </c>
      <c r="K524" s="95">
        <f>IFERROR(VLOOKUP(J524,'11. Cadastro de Serviços'!$A$6:$E$200,2,FALSE),"")</f>
        <v/>
      </c>
      <c r="L524" s="95">
        <f>IFERROR(VLOOKUP(J524,'11. Cadastro de Serviços'!$A$6:$E$200,3,FALSE),"")</f>
        <v/>
      </c>
      <c r="M524" s="95">
        <f>IFERROR(VLOOKUP(J524,'11. Cadastro de Serviços'!$A$6:$E$200,4,FALSE),"")</f>
        <v/>
      </c>
      <c r="N524" s="95" t="n"/>
      <c r="O524" s="95">
        <f>IF(AND(G524&lt;&gt;"",I524&lt;&gt;"",J524&lt;&gt;"",M524&lt;&gt;""),"Rastreado","Revisar")</f>
        <v/>
      </c>
      <c r="P524" s="96" t="n"/>
    </row>
    <row r="525">
      <c r="A525" s="95" t="n"/>
      <c r="B525" s="96" t="n"/>
      <c r="C525" s="96" t="n"/>
      <c r="D525" s="95" t="n"/>
      <c r="E525" s="96" t="n"/>
      <c r="F525" s="96" t="n"/>
      <c r="G525" s="95">
        <f>IFERROR(VLOOKUP(F525,'12. Contratos_OS'!$A$6:$L$1000,2,FALSE),"")</f>
        <v/>
      </c>
      <c r="H525" s="95">
        <f>IFERROR(VLOOKUP(F525,'12. Contratos_OS'!$A$6:$L$1000,3,FALSE),"")</f>
        <v/>
      </c>
      <c r="I525" s="95">
        <f>IFERROR(VLOOKUP(F525,'12. Contratos_OS'!$A$6:$L$1000,4,FALSE),"")</f>
        <v/>
      </c>
      <c r="J525" s="95">
        <f>IFERROR(VLOOKUP(F525,'12. Contratos_OS'!$A$6:$L$1000,7,FALSE),"")</f>
        <v/>
      </c>
      <c r="K525" s="95">
        <f>IFERROR(VLOOKUP(J525,'11. Cadastro de Serviços'!$A$6:$E$200,2,FALSE),"")</f>
        <v/>
      </c>
      <c r="L525" s="95">
        <f>IFERROR(VLOOKUP(J525,'11. Cadastro de Serviços'!$A$6:$E$200,3,FALSE),"")</f>
        <v/>
      </c>
      <c r="M525" s="95">
        <f>IFERROR(VLOOKUP(J525,'11. Cadastro de Serviços'!$A$6:$E$200,4,FALSE),"")</f>
        <v/>
      </c>
      <c r="N525" s="95" t="n"/>
      <c r="O525" s="95">
        <f>IF(AND(G525&lt;&gt;"",I525&lt;&gt;"",J525&lt;&gt;"",M525&lt;&gt;""),"Rastreado","Revisar")</f>
        <v/>
      </c>
      <c r="P525" s="96" t="n"/>
    </row>
    <row r="526">
      <c r="A526" s="95" t="n"/>
      <c r="B526" s="96" t="n"/>
      <c r="C526" s="96" t="n"/>
      <c r="D526" s="95" t="n"/>
      <c r="E526" s="96" t="n"/>
      <c r="F526" s="96" t="n"/>
      <c r="G526" s="95">
        <f>IFERROR(VLOOKUP(F526,'12. Contratos_OS'!$A$6:$L$1000,2,FALSE),"")</f>
        <v/>
      </c>
      <c r="H526" s="95">
        <f>IFERROR(VLOOKUP(F526,'12. Contratos_OS'!$A$6:$L$1000,3,FALSE),"")</f>
        <v/>
      </c>
      <c r="I526" s="95">
        <f>IFERROR(VLOOKUP(F526,'12. Contratos_OS'!$A$6:$L$1000,4,FALSE),"")</f>
        <v/>
      </c>
      <c r="J526" s="95">
        <f>IFERROR(VLOOKUP(F526,'12. Contratos_OS'!$A$6:$L$1000,7,FALSE),"")</f>
        <v/>
      </c>
      <c r="K526" s="95">
        <f>IFERROR(VLOOKUP(J526,'11. Cadastro de Serviços'!$A$6:$E$200,2,FALSE),"")</f>
        <v/>
      </c>
      <c r="L526" s="95">
        <f>IFERROR(VLOOKUP(J526,'11. Cadastro de Serviços'!$A$6:$E$200,3,FALSE),"")</f>
        <v/>
      </c>
      <c r="M526" s="95">
        <f>IFERROR(VLOOKUP(J526,'11. Cadastro de Serviços'!$A$6:$E$200,4,FALSE),"")</f>
        <v/>
      </c>
      <c r="N526" s="95" t="n"/>
      <c r="O526" s="95">
        <f>IF(AND(G526&lt;&gt;"",I526&lt;&gt;"",J526&lt;&gt;"",M526&lt;&gt;""),"Rastreado","Revisar")</f>
        <v/>
      </c>
      <c r="P526" s="96" t="n"/>
    </row>
    <row r="527">
      <c r="A527" s="95" t="n"/>
      <c r="B527" s="96" t="n"/>
      <c r="C527" s="96" t="n"/>
      <c r="D527" s="95" t="n"/>
      <c r="E527" s="96" t="n"/>
      <c r="F527" s="96" t="n"/>
      <c r="G527" s="95">
        <f>IFERROR(VLOOKUP(F527,'12. Contratos_OS'!$A$6:$L$1000,2,FALSE),"")</f>
        <v/>
      </c>
      <c r="H527" s="95">
        <f>IFERROR(VLOOKUP(F527,'12. Contratos_OS'!$A$6:$L$1000,3,FALSE),"")</f>
        <v/>
      </c>
      <c r="I527" s="95">
        <f>IFERROR(VLOOKUP(F527,'12. Contratos_OS'!$A$6:$L$1000,4,FALSE),"")</f>
        <v/>
      </c>
      <c r="J527" s="95">
        <f>IFERROR(VLOOKUP(F527,'12. Contratos_OS'!$A$6:$L$1000,7,FALSE),"")</f>
        <v/>
      </c>
      <c r="K527" s="95">
        <f>IFERROR(VLOOKUP(J527,'11. Cadastro de Serviços'!$A$6:$E$200,2,FALSE),"")</f>
        <v/>
      </c>
      <c r="L527" s="95">
        <f>IFERROR(VLOOKUP(J527,'11. Cadastro de Serviços'!$A$6:$E$200,3,FALSE),"")</f>
        <v/>
      </c>
      <c r="M527" s="95">
        <f>IFERROR(VLOOKUP(J527,'11. Cadastro de Serviços'!$A$6:$E$200,4,FALSE),"")</f>
        <v/>
      </c>
      <c r="N527" s="95" t="n"/>
      <c r="O527" s="95">
        <f>IF(AND(G527&lt;&gt;"",I527&lt;&gt;"",J527&lt;&gt;"",M527&lt;&gt;""),"Rastreado","Revisar")</f>
        <v/>
      </c>
      <c r="P527" s="96" t="n"/>
    </row>
    <row r="528">
      <c r="A528" s="95" t="n"/>
      <c r="B528" s="96" t="n"/>
      <c r="C528" s="96" t="n"/>
      <c r="D528" s="95" t="n"/>
      <c r="E528" s="96" t="n"/>
      <c r="F528" s="96" t="n"/>
      <c r="G528" s="95">
        <f>IFERROR(VLOOKUP(F528,'12. Contratos_OS'!$A$6:$L$1000,2,FALSE),"")</f>
        <v/>
      </c>
      <c r="H528" s="95">
        <f>IFERROR(VLOOKUP(F528,'12. Contratos_OS'!$A$6:$L$1000,3,FALSE),"")</f>
        <v/>
      </c>
      <c r="I528" s="95">
        <f>IFERROR(VLOOKUP(F528,'12. Contratos_OS'!$A$6:$L$1000,4,FALSE),"")</f>
        <v/>
      </c>
      <c r="J528" s="95">
        <f>IFERROR(VLOOKUP(F528,'12. Contratos_OS'!$A$6:$L$1000,7,FALSE),"")</f>
        <v/>
      </c>
      <c r="K528" s="95">
        <f>IFERROR(VLOOKUP(J528,'11. Cadastro de Serviços'!$A$6:$E$200,2,FALSE),"")</f>
        <v/>
      </c>
      <c r="L528" s="95">
        <f>IFERROR(VLOOKUP(J528,'11. Cadastro de Serviços'!$A$6:$E$200,3,FALSE),"")</f>
        <v/>
      </c>
      <c r="M528" s="95">
        <f>IFERROR(VLOOKUP(J528,'11. Cadastro de Serviços'!$A$6:$E$200,4,FALSE),"")</f>
        <v/>
      </c>
      <c r="N528" s="95" t="n"/>
      <c r="O528" s="95">
        <f>IF(AND(G528&lt;&gt;"",I528&lt;&gt;"",J528&lt;&gt;"",M528&lt;&gt;""),"Rastreado","Revisar")</f>
        <v/>
      </c>
      <c r="P528" s="96" t="n"/>
    </row>
    <row r="529">
      <c r="A529" s="95" t="n"/>
      <c r="B529" s="96" t="n"/>
      <c r="C529" s="96" t="n"/>
      <c r="D529" s="95" t="n"/>
      <c r="E529" s="96" t="n"/>
      <c r="F529" s="96" t="n"/>
      <c r="G529" s="95">
        <f>IFERROR(VLOOKUP(F529,'12. Contratos_OS'!$A$6:$L$1000,2,FALSE),"")</f>
        <v/>
      </c>
      <c r="H529" s="95">
        <f>IFERROR(VLOOKUP(F529,'12. Contratos_OS'!$A$6:$L$1000,3,FALSE),"")</f>
        <v/>
      </c>
      <c r="I529" s="95">
        <f>IFERROR(VLOOKUP(F529,'12. Contratos_OS'!$A$6:$L$1000,4,FALSE),"")</f>
        <v/>
      </c>
      <c r="J529" s="95">
        <f>IFERROR(VLOOKUP(F529,'12. Contratos_OS'!$A$6:$L$1000,7,FALSE),"")</f>
        <v/>
      </c>
      <c r="K529" s="95">
        <f>IFERROR(VLOOKUP(J529,'11. Cadastro de Serviços'!$A$6:$E$200,2,FALSE),"")</f>
        <v/>
      </c>
      <c r="L529" s="95">
        <f>IFERROR(VLOOKUP(J529,'11. Cadastro de Serviços'!$A$6:$E$200,3,FALSE),"")</f>
        <v/>
      </c>
      <c r="M529" s="95">
        <f>IFERROR(VLOOKUP(J529,'11. Cadastro de Serviços'!$A$6:$E$200,4,FALSE),"")</f>
        <v/>
      </c>
      <c r="N529" s="95" t="n"/>
      <c r="O529" s="95">
        <f>IF(AND(G529&lt;&gt;"",I529&lt;&gt;"",J529&lt;&gt;"",M529&lt;&gt;""),"Rastreado","Revisar")</f>
        <v/>
      </c>
      <c r="P529" s="96" t="n"/>
    </row>
    <row r="530">
      <c r="A530" s="95" t="n"/>
      <c r="B530" s="96" t="n"/>
      <c r="C530" s="96" t="n"/>
      <c r="D530" s="95" t="n"/>
      <c r="E530" s="96" t="n"/>
      <c r="F530" s="96" t="n"/>
      <c r="G530" s="95">
        <f>IFERROR(VLOOKUP(F530,'12. Contratos_OS'!$A$6:$L$1000,2,FALSE),"")</f>
        <v/>
      </c>
      <c r="H530" s="95">
        <f>IFERROR(VLOOKUP(F530,'12. Contratos_OS'!$A$6:$L$1000,3,FALSE),"")</f>
        <v/>
      </c>
      <c r="I530" s="95">
        <f>IFERROR(VLOOKUP(F530,'12. Contratos_OS'!$A$6:$L$1000,4,FALSE),"")</f>
        <v/>
      </c>
      <c r="J530" s="95">
        <f>IFERROR(VLOOKUP(F530,'12. Contratos_OS'!$A$6:$L$1000,7,FALSE),"")</f>
        <v/>
      </c>
      <c r="K530" s="95">
        <f>IFERROR(VLOOKUP(J530,'11. Cadastro de Serviços'!$A$6:$E$200,2,FALSE),"")</f>
        <v/>
      </c>
      <c r="L530" s="95">
        <f>IFERROR(VLOOKUP(J530,'11. Cadastro de Serviços'!$A$6:$E$200,3,FALSE),"")</f>
        <v/>
      </c>
      <c r="M530" s="95">
        <f>IFERROR(VLOOKUP(J530,'11. Cadastro de Serviços'!$A$6:$E$200,4,FALSE),"")</f>
        <v/>
      </c>
      <c r="N530" s="95" t="n"/>
      <c r="O530" s="95">
        <f>IF(AND(G530&lt;&gt;"",I530&lt;&gt;"",J530&lt;&gt;"",M530&lt;&gt;""),"Rastreado","Revisar")</f>
        <v/>
      </c>
      <c r="P530" s="96" t="n"/>
    </row>
    <row r="531">
      <c r="A531" s="95" t="n"/>
      <c r="B531" s="96" t="n"/>
      <c r="C531" s="96" t="n"/>
      <c r="D531" s="95" t="n"/>
      <c r="E531" s="96" t="n"/>
      <c r="F531" s="96" t="n"/>
      <c r="G531" s="95">
        <f>IFERROR(VLOOKUP(F531,'12. Contratos_OS'!$A$6:$L$1000,2,FALSE),"")</f>
        <v/>
      </c>
      <c r="H531" s="95">
        <f>IFERROR(VLOOKUP(F531,'12. Contratos_OS'!$A$6:$L$1000,3,FALSE),"")</f>
        <v/>
      </c>
      <c r="I531" s="95">
        <f>IFERROR(VLOOKUP(F531,'12. Contratos_OS'!$A$6:$L$1000,4,FALSE),"")</f>
        <v/>
      </c>
      <c r="J531" s="95">
        <f>IFERROR(VLOOKUP(F531,'12. Contratos_OS'!$A$6:$L$1000,7,FALSE),"")</f>
        <v/>
      </c>
      <c r="K531" s="95">
        <f>IFERROR(VLOOKUP(J531,'11. Cadastro de Serviços'!$A$6:$E$200,2,FALSE),"")</f>
        <v/>
      </c>
      <c r="L531" s="95">
        <f>IFERROR(VLOOKUP(J531,'11. Cadastro de Serviços'!$A$6:$E$200,3,FALSE),"")</f>
        <v/>
      </c>
      <c r="M531" s="95">
        <f>IFERROR(VLOOKUP(J531,'11. Cadastro de Serviços'!$A$6:$E$200,4,FALSE),"")</f>
        <v/>
      </c>
      <c r="N531" s="95" t="n"/>
      <c r="O531" s="95">
        <f>IF(AND(G531&lt;&gt;"",I531&lt;&gt;"",J531&lt;&gt;"",M531&lt;&gt;""),"Rastreado","Revisar")</f>
        <v/>
      </c>
      <c r="P531" s="96" t="n"/>
    </row>
    <row r="532">
      <c r="A532" s="95" t="n"/>
      <c r="B532" s="96" t="n"/>
      <c r="C532" s="96" t="n"/>
      <c r="D532" s="95" t="n"/>
      <c r="E532" s="96" t="n"/>
      <c r="F532" s="96" t="n"/>
      <c r="G532" s="95">
        <f>IFERROR(VLOOKUP(F532,'12. Contratos_OS'!$A$6:$L$1000,2,FALSE),"")</f>
        <v/>
      </c>
      <c r="H532" s="95">
        <f>IFERROR(VLOOKUP(F532,'12. Contratos_OS'!$A$6:$L$1000,3,FALSE),"")</f>
        <v/>
      </c>
      <c r="I532" s="95">
        <f>IFERROR(VLOOKUP(F532,'12. Contratos_OS'!$A$6:$L$1000,4,FALSE),"")</f>
        <v/>
      </c>
      <c r="J532" s="95">
        <f>IFERROR(VLOOKUP(F532,'12. Contratos_OS'!$A$6:$L$1000,7,FALSE),"")</f>
        <v/>
      </c>
      <c r="K532" s="95">
        <f>IFERROR(VLOOKUP(J532,'11. Cadastro de Serviços'!$A$6:$E$200,2,FALSE),"")</f>
        <v/>
      </c>
      <c r="L532" s="95">
        <f>IFERROR(VLOOKUP(J532,'11. Cadastro de Serviços'!$A$6:$E$200,3,FALSE),"")</f>
        <v/>
      </c>
      <c r="M532" s="95">
        <f>IFERROR(VLOOKUP(J532,'11. Cadastro de Serviços'!$A$6:$E$200,4,FALSE),"")</f>
        <v/>
      </c>
      <c r="N532" s="95" t="n"/>
      <c r="O532" s="95">
        <f>IF(AND(G532&lt;&gt;"",I532&lt;&gt;"",J532&lt;&gt;"",M532&lt;&gt;""),"Rastreado","Revisar")</f>
        <v/>
      </c>
      <c r="P532" s="96" t="n"/>
    </row>
    <row r="533">
      <c r="A533" s="95" t="n"/>
      <c r="B533" s="96" t="n"/>
      <c r="C533" s="96" t="n"/>
      <c r="D533" s="95" t="n"/>
      <c r="E533" s="96" t="n"/>
      <c r="F533" s="96" t="n"/>
      <c r="G533" s="95">
        <f>IFERROR(VLOOKUP(F533,'12. Contratos_OS'!$A$6:$L$1000,2,FALSE),"")</f>
        <v/>
      </c>
      <c r="H533" s="95">
        <f>IFERROR(VLOOKUP(F533,'12. Contratos_OS'!$A$6:$L$1000,3,FALSE),"")</f>
        <v/>
      </c>
      <c r="I533" s="95">
        <f>IFERROR(VLOOKUP(F533,'12. Contratos_OS'!$A$6:$L$1000,4,FALSE),"")</f>
        <v/>
      </c>
      <c r="J533" s="95">
        <f>IFERROR(VLOOKUP(F533,'12. Contratos_OS'!$A$6:$L$1000,7,FALSE),"")</f>
        <v/>
      </c>
      <c r="K533" s="95">
        <f>IFERROR(VLOOKUP(J533,'11. Cadastro de Serviços'!$A$6:$E$200,2,FALSE),"")</f>
        <v/>
      </c>
      <c r="L533" s="95">
        <f>IFERROR(VLOOKUP(J533,'11. Cadastro de Serviços'!$A$6:$E$200,3,FALSE),"")</f>
        <v/>
      </c>
      <c r="M533" s="95">
        <f>IFERROR(VLOOKUP(J533,'11. Cadastro de Serviços'!$A$6:$E$200,4,FALSE),"")</f>
        <v/>
      </c>
      <c r="N533" s="95" t="n"/>
      <c r="O533" s="95">
        <f>IF(AND(G533&lt;&gt;"",I533&lt;&gt;"",J533&lt;&gt;"",M533&lt;&gt;""),"Rastreado","Revisar")</f>
        <v/>
      </c>
      <c r="P533" s="96" t="n"/>
    </row>
    <row r="534">
      <c r="A534" s="95" t="n"/>
      <c r="B534" s="96" t="n"/>
      <c r="C534" s="96" t="n"/>
      <c r="D534" s="95" t="n"/>
      <c r="E534" s="96" t="n"/>
      <c r="F534" s="96" t="n"/>
      <c r="G534" s="95">
        <f>IFERROR(VLOOKUP(F534,'12. Contratos_OS'!$A$6:$L$1000,2,FALSE),"")</f>
        <v/>
      </c>
      <c r="H534" s="95">
        <f>IFERROR(VLOOKUP(F534,'12. Contratos_OS'!$A$6:$L$1000,3,FALSE),"")</f>
        <v/>
      </c>
      <c r="I534" s="95">
        <f>IFERROR(VLOOKUP(F534,'12. Contratos_OS'!$A$6:$L$1000,4,FALSE),"")</f>
        <v/>
      </c>
      <c r="J534" s="95">
        <f>IFERROR(VLOOKUP(F534,'12. Contratos_OS'!$A$6:$L$1000,7,FALSE),"")</f>
        <v/>
      </c>
      <c r="K534" s="95">
        <f>IFERROR(VLOOKUP(J534,'11. Cadastro de Serviços'!$A$6:$E$200,2,FALSE),"")</f>
        <v/>
      </c>
      <c r="L534" s="95">
        <f>IFERROR(VLOOKUP(J534,'11. Cadastro de Serviços'!$A$6:$E$200,3,FALSE),"")</f>
        <v/>
      </c>
      <c r="M534" s="95">
        <f>IFERROR(VLOOKUP(J534,'11. Cadastro de Serviços'!$A$6:$E$200,4,FALSE),"")</f>
        <v/>
      </c>
      <c r="N534" s="95" t="n"/>
      <c r="O534" s="95">
        <f>IF(AND(G534&lt;&gt;"",I534&lt;&gt;"",J534&lt;&gt;"",M534&lt;&gt;""),"Rastreado","Revisar")</f>
        <v/>
      </c>
      <c r="P534" s="96" t="n"/>
    </row>
    <row r="535">
      <c r="A535" s="95" t="n"/>
      <c r="B535" s="96" t="n"/>
      <c r="C535" s="96" t="n"/>
      <c r="D535" s="95" t="n"/>
      <c r="E535" s="96" t="n"/>
      <c r="F535" s="96" t="n"/>
      <c r="G535" s="95">
        <f>IFERROR(VLOOKUP(F535,'12. Contratos_OS'!$A$6:$L$1000,2,FALSE),"")</f>
        <v/>
      </c>
      <c r="H535" s="95">
        <f>IFERROR(VLOOKUP(F535,'12. Contratos_OS'!$A$6:$L$1000,3,FALSE),"")</f>
        <v/>
      </c>
      <c r="I535" s="95">
        <f>IFERROR(VLOOKUP(F535,'12. Contratos_OS'!$A$6:$L$1000,4,FALSE),"")</f>
        <v/>
      </c>
      <c r="J535" s="95">
        <f>IFERROR(VLOOKUP(F535,'12. Contratos_OS'!$A$6:$L$1000,7,FALSE),"")</f>
        <v/>
      </c>
      <c r="K535" s="95">
        <f>IFERROR(VLOOKUP(J535,'11. Cadastro de Serviços'!$A$6:$E$200,2,FALSE),"")</f>
        <v/>
      </c>
      <c r="L535" s="95">
        <f>IFERROR(VLOOKUP(J535,'11. Cadastro de Serviços'!$A$6:$E$200,3,FALSE),"")</f>
        <v/>
      </c>
      <c r="M535" s="95">
        <f>IFERROR(VLOOKUP(J535,'11. Cadastro de Serviços'!$A$6:$E$200,4,FALSE),"")</f>
        <v/>
      </c>
      <c r="N535" s="95" t="n"/>
      <c r="O535" s="95">
        <f>IF(AND(G535&lt;&gt;"",I535&lt;&gt;"",J535&lt;&gt;"",M535&lt;&gt;""),"Rastreado","Revisar")</f>
        <v/>
      </c>
      <c r="P535" s="96" t="n"/>
    </row>
    <row r="536">
      <c r="A536" s="95" t="n"/>
      <c r="B536" s="96" t="n"/>
      <c r="C536" s="96" t="n"/>
      <c r="D536" s="95" t="n"/>
      <c r="E536" s="96" t="n"/>
      <c r="F536" s="96" t="n"/>
      <c r="G536" s="95">
        <f>IFERROR(VLOOKUP(F536,'12. Contratos_OS'!$A$6:$L$1000,2,FALSE),"")</f>
        <v/>
      </c>
      <c r="H536" s="95">
        <f>IFERROR(VLOOKUP(F536,'12. Contratos_OS'!$A$6:$L$1000,3,FALSE),"")</f>
        <v/>
      </c>
      <c r="I536" s="95">
        <f>IFERROR(VLOOKUP(F536,'12. Contratos_OS'!$A$6:$L$1000,4,FALSE),"")</f>
        <v/>
      </c>
      <c r="J536" s="95">
        <f>IFERROR(VLOOKUP(F536,'12. Contratos_OS'!$A$6:$L$1000,7,FALSE),"")</f>
        <v/>
      </c>
      <c r="K536" s="95">
        <f>IFERROR(VLOOKUP(J536,'11. Cadastro de Serviços'!$A$6:$E$200,2,FALSE),"")</f>
        <v/>
      </c>
      <c r="L536" s="95">
        <f>IFERROR(VLOOKUP(J536,'11. Cadastro de Serviços'!$A$6:$E$200,3,FALSE),"")</f>
        <v/>
      </c>
      <c r="M536" s="95">
        <f>IFERROR(VLOOKUP(J536,'11. Cadastro de Serviços'!$A$6:$E$200,4,FALSE),"")</f>
        <v/>
      </c>
      <c r="N536" s="95" t="n"/>
      <c r="O536" s="95">
        <f>IF(AND(G536&lt;&gt;"",I536&lt;&gt;"",J536&lt;&gt;"",M536&lt;&gt;""),"Rastreado","Revisar")</f>
        <v/>
      </c>
      <c r="P536" s="96" t="n"/>
    </row>
    <row r="537">
      <c r="A537" s="95" t="n"/>
      <c r="B537" s="96" t="n"/>
      <c r="C537" s="96" t="n"/>
      <c r="D537" s="95" t="n"/>
      <c r="E537" s="96" t="n"/>
      <c r="F537" s="96" t="n"/>
      <c r="G537" s="95">
        <f>IFERROR(VLOOKUP(F537,'12. Contratos_OS'!$A$6:$L$1000,2,FALSE),"")</f>
        <v/>
      </c>
      <c r="H537" s="95">
        <f>IFERROR(VLOOKUP(F537,'12. Contratos_OS'!$A$6:$L$1000,3,FALSE),"")</f>
        <v/>
      </c>
      <c r="I537" s="95">
        <f>IFERROR(VLOOKUP(F537,'12. Contratos_OS'!$A$6:$L$1000,4,FALSE),"")</f>
        <v/>
      </c>
      <c r="J537" s="95">
        <f>IFERROR(VLOOKUP(F537,'12. Contratos_OS'!$A$6:$L$1000,7,FALSE),"")</f>
        <v/>
      </c>
      <c r="K537" s="95">
        <f>IFERROR(VLOOKUP(J537,'11. Cadastro de Serviços'!$A$6:$E$200,2,FALSE),"")</f>
        <v/>
      </c>
      <c r="L537" s="95">
        <f>IFERROR(VLOOKUP(J537,'11. Cadastro de Serviços'!$A$6:$E$200,3,FALSE),"")</f>
        <v/>
      </c>
      <c r="M537" s="95">
        <f>IFERROR(VLOOKUP(J537,'11. Cadastro de Serviços'!$A$6:$E$200,4,FALSE),"")</f>
        <v/>
      </c>
      <c r="N537" s="95" t="n"/>
      <c r="O537" s="95">
        <f>IF(AND(G537&lt;&gt;"",I537&lt;&gt;"",J537&lt;&gt;"",M537&lt;&gt;""),"Rastreado","Revisar")</f>
        <v/>
      </c>
      <c r="P537" s="96" t="n"/>
    </row>
    <row r="538">
      <c r="A538" s="95" t="n"/>
      <c r="B538" s="96" t="n"/>
      <c r="C538" s="96" t="n"/>
      <c r="D538" s="95" t="n"/>
      <c r="E538" s="96" t="n"/>
      <c r="F538" s="96" t="n"/>
      <c r="G538" s="95">
        <f>IFERROR(VLOOKUP(F538,'12. Contratos_OS'!$A$6:$L$1000,2,FALSE),"")</f>
        <v/>
      </c>
      <c r="H538" s="95">
        <f>IFERROR(VLOOKUP(F538,'12. Contratos_OS'!$A$6:$L$1000,3,FALSE),"")</f>
        <v/>
      </c>
      <c r="I538" s="95">
        <f>IFERROR(VLOOKUP(F538,'12. Contratos_OS'!$A$6:$L$1000,4,FALSE),"")</f>
        <v/>
      </c>
      <c r="J538" s="95">
        <f>IFERROR(VLOOKUP(F538,'12. Contratos_OS'!$A$6:$L$1000,7,FALSE),"")</f>
        <v/>
      </c>
      <c r="K538" s="95">
        <f>IFERROR(VLOOKUP(J538,'11. Cadastro de Serviços'!$A$6:$E$200,2,FALSE),"")</f>
        <v/>
      </c>
      <c r="L538" s="95">
        <f>IFERROR(VLOOKUP(J538,'11. Cadastro de Serviços'!$A$6:$E$200,3,FALSE),"")</f>
        <v/>
      </c>
      <c r="M538" s="95">
        <f>IFERROR(VLOOKUP(J538,'11. Cadastro de Serviços'!$A$6:$E$200,4,FALSE),"")</f>
        <v/>
      </c>
      <c r="N538" s="95" t="n"/>
      <c r="O538" s="95">
        <f>IF(AND(G538&lt;&gt;"",I538&lt;&gt;"",J538&lt;&gt;"",M538&lt;&gt;""),"Rastreado","Revisar")</f>
        <v/>
      </c>
      <c r="P538" s="96" t="n"/>
    </row>
    <row r="539">
      <c r="A539" s="95" t="n"/>
      <c r="B539" s="96" t="n"/>
      <c r="C539" s="96" t="n"/>
      <c r="D539" s="95" t="n"/>
      <c r="E539" s="96" t="n"/>
      <c r="F539" s="96" t="n"/>
      <c r="G539" s="95">
        <f>IFERROR(VLOOKUP(F539,'12. Contratos_OS'!$A$6:$L$1000,2,FALSE),"")</f>
        <v/>
      </c>
      <c r="H539" s="95">
        <f>IFERROR(VLOOKUP(F539,'12. Contratos_OS'!$A$6:$L$1000,3,FALSE),"")</f>
        <v/>
      </c>
      <c r="I539" s="95">
        <f>IFERROR(VLOOKUP(F539,'12. Contratos_OS'!$A$6:$L$1000,4,FALSE),"")</f>
        <v/>
      </c>
      <c r="J539" s="95">
        <f>IFERROR(VLOOKUP(F539,'12. Contratos_OS'!$A$6:$L$1000,7,FALSE),"")</f>
        <v/>
      </c>
      <c r="K539" s="95">
        <f>IFERROR(VLOOKUP(J539,'11. Cadastro de Serviços'!$A$6:$E$200,2,FALSE),"")</f>
        <v/>
      </c>
      <c r="L539" s="95">
        <f>IFERROR(VLOOKUP(J539,'11. Cadastro de Serviços'!$A$6:$E$200,3,FALSE),"")</f>
        <v/>
      </c>
      <c r="M539" s="95">
        <f>IFERROR(VLOOKUP(J539,'11. Cadastro de Serviços'!$A$6:$E$200,4,FALSE),"")</f>
        <v/>
      </c>
      <c r="N539" s="95" t="n"/>
      <c r="O539" s="95">
        <f>IF(AND(G539&lt;&gt;"",I539&lt;&gt;"",J539&lt;&gt;"",M539&lt;&gt;""),"Rastreado","Revisar")</f>
        <v/>
      </c>
      <c r="P539" s="96" t="n"/>
    </row>
    <row r="540">
      <c r="A540" s="95" t="n"/>
      <c r="B540" s="96" t="n"/>
      <c r="C540" s="96" t="n"/>
      <c r="D540" s="95" t="n"/>
      <c r="E540" s="96" t="n"/>
      <c r="F540" s="96" t="n"/>
      <c r="G540" s="95">
        <f>IFERROR(VLOOKUP(F540,'12. Contratos_OS'!$A$6:$L$1000,2,FALSE),"")</f>
        <v/>
      </c>
      <c r="H540" s="95">
        <f>IFERROR(VLOOKUP(F540,'12. Contratos_OS'!$A$6:$L$1000,3,FALSE),"")</f>
        <v/>
      </c>
      <c r="I540" s="95">
        <f>IFERROR(VLOOKUP(F540,'12. Contratos_OS'!$A$6:$L$1000,4,FALSE),"")</f>
        <v/>
      </c>
      <c r="J540" s="95">
        <f>IFERROR(VLOOKUP(F540,'12. Contratos_OS'!$A$6:$L$1000,7,FALSE),"")</f>
        <v/>
      </c>
      <c r="K540" s="95">
        <f>IFERROR(VLOOKUP(J540,'11. Cadastro de Serviços'!$A$6:$E$200,2,FALSE),"")</f>
        <v/>
      </c>
      <c r="L540" s="95">
        <f>IFERROR(VLOOKUP(J540,'11. Cadastro de Serviços'!$A$6:$E$200,3,FALSE),"")</f>
        <v/>
      </c>
      <c r="M540" s="95">
        <f>IFERROR(VLOOKUP(J540,'11. Cadastro de Serviços'!$A$6:$E$200,4,FALSE),"")</f>
        <v/>
      </c>
      <c r="N540" s="95" t="n"/>
      <c r="O540" s="95">
        <f>IF(AND(G540&lt;&gt;"",I540&lt;&gt;"",J540&lt;&gt;"",M540&lt;&gt;""),"Rastreado","Revisar")</f>
        <v/>
      </c>
      <c r="P540" s="96" t="n"/>
    </row>
    <row r="541">
      <c r="A541" s="95" t="n"/>
      <c r="B541" s="96" t="n"/>
      <c r="C541" s="96" t="n"/>
      <c r="D541" s="95" t="n"/>
      <c r="E541" s="96" t="n"/>
      <c r="F541" s="96" t="n"/>
      <c r="G541" s="95">
        <f>IFERROR(VLOOKUP(F541,'12. Contratos_OS'!$A$6:$L$1000,2,FALSE),"")</f>
        <v/>
      </c>
      <c r="H541" s="95">
        <f>IFERROR(VLOOKUP(F541,'12. Contratos_OS'!$A$6:$L$1000,3,FALSE),"")</f>
        <v/>
      </c>
      <c r="I541" s="95">
        <f>IFERROR(VLOOKUP(F541,'12. Contratos_OS'!$A$6:$L$1000,4,FALSE),"")</f>
        <v/>
      </c>
      <c r="J541" s="95">
        <f>IFERROR(VLOOKUP(F541,'12. Contratos_OS'!$A$6:$L$1000,7,FALSE),"")</f>
        <v/>
      </c>
      <c r="K541" s="95">
        <f>IFERROR(VLOOKUP(J541,'11. Cadastro de Serviços'!$A$6:$E$200,2,FALSE),"")</f>
        <v/>
      </c>
      <c r="L541" s="95">
        <f>IFERROR(VLOOKUP(J541,'11. Cadastro de Serviços'!$A$6:$E$200,3,FALSE),"")</f>
        <v/>
      </c>
      <c r="M541" s="95">
        <f>IFERROR(VLOOKUP(J541,'11. Cadastro de Serviços'!$A$6:$E$200,4,FALSE),"")</f>
        <v/>
      </c>
      <c r="N541" s="95" t="n"/>
      <c r="O541" s="95">
        <f>IF(AND(G541&lt;&gt;"",I541&lt;&gt;"",J541&lt;&gt;"",M541&lt;&gt;""),"Rastreado","Revisar")</f>
        <v/>
      </c>
      <c r="P541" s="96" t="n"/>
    </row>
    <row r="542">
      <c r="A542" s="95" t="n"/>
      <c r="B542" s="96" t="n"/>
      <c r="C542" s="96" t="n"/>
      <c r="D542" s="95" t="n"/>
      <c r="E542" s="96" t="n"/>
      <c r="F542" s="96" t="n"/>
      <c r="G542" s="95">
        <f>IFERROR(VLOOKUP(F542,'12. Contratos_OS'!$A$6:$L$1000,2,FALSE),"")</f>
        <v/>
      </c>
      <c r="H542" s="95">
        <f>IFERROR(VLOOKUP(F542,'12. Contratos_OS'!$A$6:$L$1000,3,FALSE),"")</f>
        <v/>
      </c>
      <c r="I542" s="95">
        <f>IFERROR(VLOOKUP(F542,'12. Contratos_OS'!$A$6:$L$1000,4,FALSE),"")</f>
        <v/>
      </c>
      <c r="J542" s="95">
        <f>IFERROR(VLOOKUP(F542,'12. Contratos_OS'!$A$6:$L$1000,7,FALSE),"")</f>
        <v/>
      </c>
      <c r="K542" s="95">
        <f>IFERROR(VLOOKUP(J542,'11. Cadastro de Serviços'!$A$6:$E$200,2,FALSE),"")</f>
        <v/>
      </c>
      <c r="L542" s="95">
        <f>IFERROR(VLOOKUP(J542,'11. Cadastro de Serviços'!$A$6:$E$200,3,FALSE),"")</f>
        <v/>
      </c>
      <c r="M542" s="95">
        <f>IFERROR(VLOOKUP(J542,'11. Cadastro de Serviços'!$A$6:$E$200,4,FALSE),"")</f>
        <v/>
      </c>
      <c r="N542" s="95" t="n"/>
      <c r="O542" s="95">
        <f>IF(AND(G542&lt;&gt;"",I542&lt;&gt;"",J542&lt;&gt;"",M542&lt;&gt;""),"Rastreado","Revisar")</f>
        <v/>
      </c>
      <c r="P542" s="96" t="n"/>
    </row>
    <row r="543">
      <c r="A543" s="95" t="n"/>
      <c r="B543" s="96" t="n"/>
      <c r="C543" s="96" t="n"/>
      <c r="D543" s="95" t="n"/>
      <c r="E543" s="96" t="n"/>
      <c r="F543" s="96" t="n"/>
      <c r="G543" s="95">
        <f>IFERROR(VLOOKUP(F543,'12. Contratos_OS'!$A$6:$L$1000,2,FALSE),"")</f>
        <v/>
      </c>
      <c r="H543" s="95">
        <f>IFERROR(VLOOKUP(F543,'12. Contratos_OS'!$A$6:$L$1000,3,FALSE),"")</f>
        <v/>
      </c>
      <c r="I543" s="95">
        <f>IFERROR(VLOOKUP(F543,'12. Contratos_OS'!$A$6:$L$1000,4,FALSE),"")</f>
        <v/>
      </c>
      <c r="J543" s="95">
        <f>IFERROR(VLOOKUP(F543,'12. Contratos_OS'!$A$6:$L$1000,7,FALSE),"")</f>
        <v/>
      </c>
      <c r="K543" s="95">
        <f>IFERROR(VLOOKUP(J543,'11. Cadastro de Serviços'!$A$6:$E$200,2,FALSE),"")</f>
        <v/>
      </c>
      <c r="L543" s="95">
        <f>IFERROR(VLOOKUP(J543,'11. Cadastro de Serviços'!$A$6:$E$200,3,FALSE),"")</f>
        <v/>
      </c>
      <c r="M543" s="95">
        <f>IFERROR(VLOOKUP(J543,'11. Cadastro de Serviços'!$A$6:$E$200,4,FALSE),"")</f>
        <v/>
      </c>
      <c r="N543" s="95" t="n"/>
      <c r="O543" s="95">
        <f>IF(AND(G543&lt;&gt;"",I543&lt;&gt;"",J543&lt;&gt;"",M543&lt;&gt;""),"Rastreado","Revisar")</f>
        <v/>
      </c>
      <c r="P543" s="96" t="n"/>
    </row>
    <row r="544">
      <c r="A544" s="95" t="n"/>
      <c r="B544" s="96" t="n"/>
      <c r="C544" s="96" t="n"/>
      <c r="D544" s="95" t="n"/>
      <c r="E544" s="96" t="n"/>
      <c r="F544" s="96" t="n"/>
      <c r="G544" s="95">
        <f>IFERROR(VLOOKUP(F544,'12. Contratos_OS'!$A$6:$L$1000,2,FALSE),"")</f>
        <v/>
      </c>
      <c r="H544" s="95">
        <f>IFERROR(VLOOKUP(F544,'12. Contratos_OS'!$A$6:$L$1000,3,FALSE),"")</f>
        <v/>
      </c>
      <c r="I544" s="95">
        <f>IFERROR(VLOOKUP(F544,'12. Contratos_OS'!$A$6:$L$1000,4,FALSE),"")</f>
        <v/>
      </c>
      <c r="J544" s="95">
        <f>IFERROR(VLOOKUP(F544,'12. Contratos_OS'!$A$6:$L$1000,7,FALSE),"")</f>
        <v/>
      </c>
      <c r="K544" s="95">
        <f>IFERROR(VLOOKUP(J544,'11. Cadastro de Serviços'!$A$6:$E$200,2,FALSE),"")</f>
        <v/>
      </c>
      <c r="L544" s="95">
        <f>IFERROR(VLOOKUP(J544,'11. Cadastro de Serviços'!$A$6:$E$200,3,FALSE),"")</f>
        <v/>
      </c>
      <c r="M544" s="95">
        <f>IFERROR(VLOOKUP(J544,'11. Cadastro de Serviços'!$A$6:$E$200,4,FALSE),"")</f>
        <v/>
      </c>
      <c r="N544" s="95" t="n"/>
      <c r="O544" s="95">
        <f>IF(AND(G544&lt;&gt;"",I544&lt;&gt;"",J544&lt;&gt;"",M544&lt;&gt;""),"Rastreado","Revisar")</f>
        <v/>
      </c>
      <c r="P544" s="96" t="n"/>
    </row>
    <row r="545">
      <c r="A545" s="95" t="n"/>
      <c r="B545" s="96" t="n"/>
      <c r="C545" s="96" t="n"/>
      <c r="D545" s="95" t="n"/>
      <c r="E545" s="96" t="n"/>
      <c r="F545" s="96" t="n"/>
      <c r="G545" s="95">
        <f>IFERROR(VLOOKUP(F545,'12. Contratos_OS'!$A$6:$L$1000,2,FALSE),"")</f>
        <v/>
      </c>
      <c r="H545" s="95">
        <f>IFERROR(VLOOKUP(F545,'12. Contratos_OS'!$A$6:$L$1000,3,FALSE),"")</f>
        <v/>
      </c>
      <c r="I545" s="95">
        <f>IFERROR(VLOOKUP(F545,'12. Contratos_OS'!$A$6:$L$1000,4,FALSE),"")</f>
        <v/>
      </c>
      <c r="J545" s="95">
        <f>IFERROR(VLOOKUP(F545,'12. Contratos_OS'!$A$6:$L$1000,7,FALSE),"")</f>
        <v/>
      </c>
      <c r="K545" s="95">
        <f>IFERROR(VLOOKUP(J545,'11. Cadastro de Serviços'!$A$6:$E$200,2,FALSE),"")</f>
        <v/>
      </c>
      <c r="L545" s="95">
        <f>IFERROR(VLOOKUP(J545,'11. Cadastro de Serviços'!$A$6:$E$200,3,FALSE),"")</f>
        <v/>
      </c>
      <c r="M545" s="95">
        <f>IFERROR(VLOOKUP(J545,'11. Cadastro de Serviços'!$A$6:$E$200,4,FALSE),"")</f>
        <v/>
      </c>
      <c r="N545" s="95" t="n"/>
      <c r="O545" s="95">
        <f>IF(AND(G545&lt;&gt;"",I545&lt;&gt;"",J545&lt;&gt;"",M545&lt;&gt;""),"Rastreado","Revisar")</f>
        <v/>
      </c>
      <c r="P545" s="96" t="n"/>
    </row>
    <row r="546">
      <c r="A546" s="95" t="n"/>
      <c r="B546" s="96" t="n"/>
      <c r="C546" s="96" t="n"/>
      <c r="D546" s="95" t="n"/>
      <c r="E546" s="96" t="n"/>
      <c r="F546" s="96" t="n"/>
      <c r="G546" s="95">
        <f>IFERROR(VLOOKUP(F546,'12. Contratos_OS'!$A$6:$L$1000,2,FALSE),"")</f>
        <v/>
      </c>
      <c r="H546" s="95">
        <f>IFERROR(VLOOKUP(F546,'12. Contratos_OS'!$A$6:$L$1000,3,FALSE),"")</f>
        <v/>
      </c>
      <c r="I546" s="95">
        <f>IFERROR(VLOOKUP(F546,'12. Contratos_OS'!$A$6:$L$1000,4,FALSE),"")</f>
        <v/>
      </c>
      <c r="J546" s="95">
        <f>IFERROR(VLOOKUP(F546,'12. Contratos_OS'!$A$6:$L$1000,7,FALSE),"")</f>
        <v/>
      </c>
      <c r="K546" s="95">
        <f>IFERROR(VLOOKUP(J546,'11. Cadastro de Serviços'!$A$6:$E$200,2,FALSE),"")</f>
        <v/>
      </c>
      <c r="L546" s="95">
        <f>IFERROR(VLOOKUP(J546,'11. Cadastro de Serviços'!$A$6:$E$200,3,FALSE),"")</f>
        <v/>
      </c>
      <c r="M546" s="95">
        <f>IFERROR(VLOOKUP(J546,'11. Cadastro de Serviços'!$A$6:$E$200,4,FALSE),"")</f>
        <v/>
      </c>
      <c r="N546" s="95" t="n"/>
      <c r="O546" s="95">
        <f>IF(AND(G546&lt;&gt;"",I546&lt;&gt;"",J546&lt;&gt;"",M546&lt;&gt;""),"Rastreado","Revisar")</f>
        <v/>
      </c>
      <c r="P546" s="96" t="n"/>
    </row>
    <row r="547">
      <c r="A547" s="95" t="n"/>
      <c r="B547" s="96" t="n"/>
      <c r="C547" s="96" t="n"/>
      <c r="D547" s="95" t="n"/>
      <c r="E547" s="96" t="n"/>
      <c r="F547" s="96" t="n"/>
      <c r="G547" s="95">
        <f>IFERROR(VLOOKUP(F547,'12. Contratos_OS'!$A$6:$L$1000,2,FALSE),"")</f>
        <v/>
      </c>
      <c r="H547" s="95">
        <f>IFERROR(VLOOKUP(F547,'12. Contratos_OS'!$A$6:$L$1000,3,FALSE),"")</f>
        <v/>
      </c>
      <c r="I547" s="95">
        <f>IFERROR(VLOOKUP(F547,'12. Contratos_OS'!$A$6:$L$1000,4,FALSE),"")</f>
        <v/>
      </c>
      <c r="J547" s="95">
        <f>IFERROR(VLOOKUP(F547,'12. Contratos_OS'!$A$6:$L$1000,7,FALSE),"")</f>
        <v/>
      </c>
      <c r="K547" s="95">
        <f>IFERROR(VLOOKUP(J547,'11. Cadastro de Serviços'!$A$6:$E$200,2,FALSE),"")</f>
        <v/>
      </c>
      <c r="L547" s="95">
        <f>IFERROR(VLOOKUP(J547,'11. Cadastro de Serviços'!$A$6:$E$200,3,FALSE),"")</f>
        <v/>
      </c>
      <c r="M547" s="95">
        <f>IFERROR(VLOOKUP(J547,'11. Cadastro de Serviços'!$A$6:$E$200,4,FALSE),"")</f>
        <v/>
      </c>
      <c r="N547" s="95" t="n"/>
      <c r="O547" s="95">
        <f>IF(AND(G547&lt;&gt;"",I547&lt;&gt;"",J547&lt;&gt;"",M547&lt;&gt;""),"Rastreado","Revisar")</f>
        <v/>
      </c>
      <c r="P547" s="96" t="n"/>
    </row>
    <row r="548">
      <c r="A548" s="95" t="n"/>
      <c r="B548" s="96" t="n"/>
      <c r="C548" s="96" t="n"/>
      <c r="D548" s="95" t="n"/>
      <c r="E548" s="96" t="n"/>
      <c r="F548" s="96" t="n"/>
      <c r="G548" s="95">
        <f>IFERROR(VLOOKUP(F548,'12. Contratos_OS'!$A$6:$L$1000,2,FALSE),"")</f>
        <v/>
      </c>
      <c r="H548" s="95">
        <f>IFERROR(VLOOKUP(F548,'12. Contratos_OS'!$A$6:$L$1000,3,FALSE),"")</f>
        <v/>
      </c>
      <c r="I548" s="95">
        <f>IFERROR(VLOOKUP(F548,'12. Contratos_OS'!$A$6:$L$1000,4,FALSE),"")</f>
        <v/>
      </c>
      <c r="J548" s="95">
        <f>IFERROR(VLOOKUP(F548,'12. Contratos_OS'!$A$6:$L$1000,7,FALSE),"")</f>
        <v/>
      </c>
      <c r="K548" s="95">
        <f>IFERROR(VLOOKUP(J548,'11. Cadastro de Serviços'!$A$6:$E$200,2,FALSE),"")</f>
        <v/>
      </c>
      <c r="L548" s="95">
        <f>IFERROR(VLOOKUP(J548,'11. Cadastro de Serviços'!$A$6:$E$200,3,FALSE),"")</f>
        <v/>
      </c>
      <c r="M548" s="95">
        <f>IFERROR(VLOOKUP(J548,'11. Cadastro de Serviços'!$A$6:$E$200,4,FALSE),"")</f>
        <v/>
      </c>
      <c r="N548" s="95" t="n"/>
      <c r="O548" s="95">
        <f>IF(AND(G548&lt;&gt;"",I548&lt;&gt;"",J548&lt;&gt;"",M548&lt;&gt;""),"Rastreado","Revisar")</f>
        <v/>
      </c>
      <c r="P548" s="96" t="n"/>
    </row>
    <row r="549">
      <c r="A549" s="95" t="n"/>
      <c r="B549" s="96" t="n"/>
      <c r="C549" s="96" t="n"/>
      <c r="D549" s="95" t="n"/>
      <c r="E549" s="96" t="n"/>
      <c r="F549" s="96" t="n"/>
      <c r="G549" s="95">
        <f>IFERROR(VLOOKUP(F549,'12. Contratos_OS'!$A$6:$L$1000,2,FALSE),"")</f>
        <v/>
      </c>
      <c r="H549" s="95">
        <f>IFERROR(VLOOKUP(F549,'12. Contratos_OS'!$A$6:$L$1000,3,FALSE),"")</f>
        <v/>
      </c>
      <c r="I549" s="95">
        <f>IFERROR(VLOOKUP(F549,'12. Contratos_OS'!$A$6:$L$1000,4,FALSE),"")</f>
        <v/>
      </c>
      <c r="J549" s="95">
        <f>IFERROR(VLOOKUP(F549,'12. Contratos_OS'!$A$6:$L$1000,7,FALSE),"")</f>
        <v/>
      </c>
      <c r="K549" s="95">
        <f>IFERROR(VLOOKUP(J549,'11. Cadastro de Serviços'!$A$6:$E$200,2,FALSE),"")</f>
        <v/>
      </c>
      <c r="L549" s="95">
        <f>IFERROR(VLOOKUP(J549,'11. Cadastro de Serviços'!$A$6:$E$200,3,FALSE),"")</f>
        <v/>
      </c>
      <c r="M549" s="95">
        <f>IFERROR(VLOOKUP(J549,'11. Cadastro de Serviços'!$A$6:$E$200,4,FALSE),"")</f>
        <v/>
      </c>
      <c r="N549" s="95" t="n"/>
      <c r="O549" s="95">
        <f>IF(AND(G549&lt;&gt;"",I549&lt;&gt;"",J549&lt;&gt;"",M549&lt;&gt;""),"Rastreado","Revisar")</f>
        <v/>
      </c>
      <c r="P549" s="96" t="n"/>
    </row>
    <row r="550">
      <c r="A550" s="95" t="n"/>
      <c r="B550" s="96" t="n"/>
      <c r="C550" s="96" t="n"/>
      <c r="D550" s="95" t="n"/>
      <c r="E550" s="96" t="n"/>
      <c r="F550" s="96" t="n"/>
      <c r="G550" s="95">
        <f>IFERROR(VLOOKUP(F550,'12. Contratos_OS'!$A$6:$L$1000,2,FALSE),"")</f>
        <v/>
      </c>
      <c r="H550" s="95">
        <f>IFERROR(VLOOKUP(F550,'12. Contratos_OS'!$A$6:$L$1000,3,FALSE),"")</f>
        <v/>
      </c>
      <c r="I550" s="95">
        <f>IFERROR(VLOOKUP(F550,'12. Contratos_OS'!$A$6:$L$1000,4,FALSE),"")</f>
        <v/>
      </c>
      <c r="J550" s="95">
        <f>IFERROR(VLOOKUP(F550,'12. Contratos_OS'!$A$6:$L$1000,7,FALSE),"")</f>
        <v/>
      </c>
      <c r="K550" s="95">
        <f>IFERROR(VLOOKUP(J550,'11. Cadastro de Serviços'!$A$6:$E$200,2,FALSE),"")</f>
        <v/>
      </c>
      <c r="L550" s="95">
        <f>IFERROR(VLOOKUP(J550,'11. Cadastro de Serviços'!$A$6:$E$200,3,FALSE),"")</f>
        <v/>
      </c>
      <c r="M550" s="95">
        <f>IFERROR(VLOOKUP(J550,'11. Cadastro de Serviços'!$A$6:$E$200,4,FALSE),"")</f>
        <v/>
      </c>
      <c r="N550" s="95" t="n"/>
      <c r="O550" s="95">
        <f>IF(AND(G550&lt;&gt;"",I550&lt;&gt;"",J550&lt;&gt;"",M550&lt;&gt;""),"Rastreado","Revisar")</f>
        <v/>
      </c>
      <c r="P550" s="96" t="n"/>
    </row>
    <row r="551">
      <c r="A551" s="95" t="n"/>
      <c r="B551" s="96" t="n"/>
      <c r="C551" s="96" t="n"/>
      <c r="D551" s="95" t="n"/>
      <c r="E551" s="96" t="n"/>
      <c r="F551" s="96" t="n"/>
      <c r="G551" s="95">
        <f>IFERROR(VLOOKUP(F551,'12. Contratos_OS'!$A$6:$L$1000,2,FALSE),"")</f>
        <v/>
      </c>
      <c r="H551" s="95">
        <f>IFERROR(VLOOKUP(F551,'12. Contratos_OS'!$A$6:$L$1000,3,FALSE),"")</f>
        <v/>
      </c>
      <c r="I551" s="95">
        <f>IFERROR(VLOOKUP(F551,'12. Contratos_OS'!$A$6:$L$1000,4,FALSE),"")</f>
        <v/>
      </c>
      <c r="J551" s="95">
        <f>IFERROR(VLOOKUP(F551,'12. Contratos_OS'!$A$6:$L$1000,7,FALSE),"")</f>
        <v/>
      </c>
      <c r="K551" s="95">
        <f>IFERROR(VLOOKUP(J551,'11. Cadastro de Serviços'!$A$6:$E$200,2,FALSE),"")</f>
        <v/>
      </c>
      <c r="L551" s="95">
        <f>IFERROR(VLOOKUP(J551,'11. Cadastro de Serviços'!$A$6:$E$200,3,FALSE),"")</f>
        <v/>
      </c>
      <c r="M551" s="95">
        <f>IFERROR(VLOOKUP(J551,'11. Cadastro de Serviços'!$A$6:$E$200,4,FALSE),"")</f>
        <v/>
      </c>
      <c r="N551" s="95" t="n"/>
      <c r="O551" s="95">
        <f>IF(AND(G551&lt;&gt;"",I551&lt;&gt;"",J551&lt;&gt;"",M551&lt;&gt;""),"Rastreado","Revisar")</f>
        <v/>
      </c>
      <c r="P551" s="96" t="n"/>
    </row>
    <row r="552">
      <c r="A552" s="95" t="n"/>
      <c r="B552" s="96" t="n"/>
      <c r="C552" s="96" t="n"/>
      <c r="D552" s="95" t="n"/>
      <c r="E552" s="96" t="n"/>
      <c r="F552" s="96" t="n"/>
      <c r="G552" s="95">
        <f>IFERROR(VLOOKUP(F552,'12. Contratos_OS'!$A$6:$L$1000,2,FALSE),"")</f>
        <v/>
      </c>
      <c r="H552" s="95">
        <f>IFERROR(VLOOKUP(F552,'12. Contratos_OS'!$A$6:$L$1000,3,FALSE),"")</f>
        <v/>
      </c>
      <c r="I552" s="95">
        <f>IFERROR(VLOOKUP(F552,'12. Contratos_OS'!$A$6:$L$1000,4,FALSE),"")</f>
        <v/>
      </c>
      <c r="J552" s="95">
        <f>IFERROR(VLOOKUP(F552,'12. Contratos_OS'!$A$6:$L$1000,7,FALSE),"")</f>
        <v/>
      </c>
      <c r="K552" s="95">
        <f>IFERROR(VLOOKUP(J552,'11. Cadastro de Serviços'!$A$6:$E$200,2,FALSE),"")</f>
        <v/>
      </c>
      <c r="L552" s="95">
        <f>IFERROR(VLOOKUP(J552,'11. Cadastro de Serviços'!$A$6:$E$200,3,FALSE),"")</f>
        <v/>
      </c>
      <c r="M552" s="95">
        <f>IFERROR(VLOOKUP(J552,'11. Cadastro de Serviços'!$A$6:$E$200,4,FALSE),"")</f>
        <v/>
      </c>
      <c r="N552" s="95" t="n"/>
      <c r="O552" s="95">
        <f>IF(AND(G552&lt;&gt;"",I552&lt;&gt;"",J552&lt;&gt;"",M552&lt;&gt;""),"Rastreado","Revisar")</f>
        <v/>
      </c>
      <c r="P552" s="96" t="n"/>
    </row>
    <row r="553">
      <c r="A553" s="95" t="n"/>
      <c r="B553" s="96" t="n"/>
      <c r="C553" s="96" t="n"/>
      <c r="D553" s="95" t="n"/>
      <c r="E553" s="96" t="n"/>
      <c r="F553" s="96" t="n"/>
      <c r="G553" s="95">
        <f>IFERROR(VLOOKUP(F553,'12. Contratos_OS'!$A$6:$L$1000,2,FALSE),"")</f>
        <v/>
      </c>
      <c r="H553" s="95">
        <f>IFERROR(VLOOKUP(F553,'12. Contratos_OS'!$A$6:$L$1000,3,FALSE),"")</f>
        <v/>
      </c>
      <c r="I553" s="95">
        <f>IFERROR(VLOOKUP(F553,'12. Contratos_OS'!$A$6:$L$1000,4,FALSE),"")</f>
        <v/>
      </c>
      <c r="J553" s="95">
        <f>IFERROR(VLOOKUP(F553,'12. Contratos_OS'!$A$6:$L$1000,7,FALSE),"")</f>
        <v/>
      </c>
      <c r="K553" s="95">
        <f>IFERROR(VLOOKUP(J553,'11. Cadastro de Serviços'!$A$6:$E$200,2,FALSE),"")</f>
        <v/>
      </c>
      <c r="L553" s="95">
        <f>IFERROR(VLOOKUP(J553,'11. Cadastro de Serviços'!$A$6:$E$200,3,FALSE),"")</f>
        <v/>
      </c>
      <c r="M553" s="95">
        <f>IFERROR(VLOOKUP(J553,'11. Cadastro de Serviços'!$A$6:$E$200,4,FALSE),"")</f>
        <v/>
      </c>
      <c r="N553" s="95" t="n"/>
      <c r="O553" s="95">
        <f>IF(AND(G553&lt;&gt;"",I553&lt;&gt;"",J553&lt;&gt;"",M553&lt;&gt;""),"Rastreado","Revisar")</f>
        <v/>
      </c>
      <c r="P553" s="96" t="n"/>
    </row>
    <row r="554">
      <c r="A554" s="95" t="n"/>
      <c r="B554" s="96" t="n"/>
      <c r="C554" s="96" t="n"/>
      <c r="D554" s="95" t="n"/>
      <c r="E554" s="96" t="n"/>
      <c r="F554" s="96" t="n"/>
      <c r="G554" s="95">
        <f>IFERROR(VLOOKUP(F554,'12. Contratos_OS'!$A$6:$L$1000,2,FALSE),"")</f>
        <v/>
      </c>
      <c r="H554" s="95">
        <f>IFERROR(VLOOKUP(F554,'12. Contratos_OS'!$A$6:$L$1000,3,FALSE),"")</f>
        <v/>
      </c>
      <c r="I554" s="95">
        <f>IFERROR(VLOOKUP(F554,'12. Contratos_OS'!$A$6:$L$1000,4,FALSE),"")</f>
        <v/>
      </c>
      <c r="J554" s="95">
        <f>IFERROR(VLOOKUP(F554,'12. Contratos_OS'!$A$6:$L$1000,7,FALSE),"")</f>
        <v/>
      </c>
      <c r="K554" s="95">
        <f>IFERROR(VLOOKUP(J554,'11. Cadastro de Serviços'!$A$6:$E$200,2,FALSE),"")</f>
        <v/>
      </c>
      <c r="L554" s="95">
        <f>IFERROR(VLOOKUP(J554,'11. Cadastro de Serviços'!$A$6:$E$200,3,FALSE),"")</f>
        <v/>
      </c>
      <c r="M554" s="95">
        <f>IFERROR(VLOOKUP(J554,'11. Cadastro de Serviços'!$A$6:$E$200,4,FALSE),"")</f>
        <v/>
      </c>
      <c r="N554" s="95" t="n"/>
      <c r="O554" s="95">
        <f>IF(AND(G554&lt;&gt;"",I554&lt;&gt;"",J554&lt;&gt;"",M554&lt;&gt;""),"Rastreado","Revisar")</f>
        <v/>
      </c>
      <c r="P554" s="96" t="n"/>
    </row>
    <row r="555">
      <c r="A555" s="95" t="n"/>
      <c r="B555" s="96" t="n"/>
      <c r="C555" s="96" t="n"/>
      <c r="D555" s="95" t="n"/>
      <c r="E555" s="96" t="n"/>
      <c r="F555" s="96" t="n"/>
      <c r="G555" s="95">
        <f>IFERROR(VLOOKUP(F555,'12. Contratos_OS'!$A$6:$L$1000,2,FALSE),"")</f>
        <v/>
      </c>
      <c r="H555" s="95">
        <f>IFERROR(VLOOKUP(F555,'12. Contratos_OS'!$A$6:$L$1000,3,FALSE),"")</f>
        <v/>
      </c>
      <c r="I555" s="95">
        <f>IFERROR(VLOOKUP(F555,'12. Contratos_OS'!$A$6:$L$1000,4,FALSE),"")</f>
        <v/>
      </c>
      <c r="J555" s="95">
        <f>IFERROR(VLOOKUP(F555,'12. Contratos_OS'!$A$6:$L$1000,7,FALSE),"")</f>
        <v/>
      </c>
      <c r="K555" s="95">
        <f>IFERROR(VLOOKUP(J555,'11. Cadastro de Serviços'!$A$6:$E$200,2,FALSE),"")</f>
        <v/>
      </c>
      <c r="L555" s="95">
        <f>IFERROR(VLOOKUP(J555,'11. Cadastro de Serviços'!$A$6:$E$200,3,FALSE),"")</f>
        <v/>
      </c>
      <c r="M555" s="95">
        <f>IFERROR(VLOOKUP(J555,'11. Cadastro de Serviços'!$A$6:$E$200,4,FALSE),"")</f>
        <v/>
      </c>
      <c r="N555" s="95" t="n"/>
      <c r="O555" s="95">
        <f>IF(AND(G555&lt;&gt;"",I555&lt;&gt;"",J555&lt;&gt;"",M555&lt;&gt;""),"Rastreado","Revisar")</f>
        <v/>
      </c>
      <c r="P555" s="96" t="n"/>
    </row>
    <row r="556">
      <c r="A556" s="95" t="n"/>
      <c r="B556" s="96" t="n"/>
      <c r="C556" s="96" t="n"/>
      <c r="D556" s="95" t="n"/>
      <c r="E556" s="96" t="n"/>
      <c r="F556" s="96" t="n"/>
      <c r="G556" s="95">
        <f>IFERROR(VLOOKUP(F556,'12. Contratos_OS'!$A$6:$L$1000,2,FALSE),"")</f>
        <v/>
      </c>
      <c r="H556" s="95">
        <f>IFERROR(VLOOKUP(F556,'12. Contratos_OS'!$A$6:$L$1000,3,FALSE),"")</f>
        <v/>
      </c>
      <c r="I556" s="95">
        <f>IFERROR(VLOOKUP(F556,'12. Contratos_OS'!$A$6:$L$1000,4,FALSE),"")</f>
        <v/>
      </c>
      <c r="J556" s="95">
        <f>IFERROR(VLOOKUP(F556,'12. Contratos_OS'!$A$6:$L$1000,7,FALSE),"")</f>
        <v/>
      </c>
      <c r="K556" s="95">
        <f>IFERROR(VLOOKUP(J556,'11. Cadastro de Serviços'!$A$6:$E$200,2,FALSE),"")</f>
        <v/>
      </c>
      <c r="L556" s="95">
        <f>IFERROR(VLOOKUP(J556,'11. Cadastro de Serviços'!$A$6:$E$200,3,FALSE),"")</f>
        <v/>
      </c>
      <c r="M556" s="95">
        <f>IFERROR(VLOOKUP(J556,'11. Cadastro de Serviços'!$A$6:$E$200,4,FALSE),"")</f>
        <v/>
      </c>
      <c r="N556" s="95" t="n"/>
      <c r="O556" s="95">
        <f>IF(AND(G556&lt;&gt;"",I556&lt;&gt;"",J556&lt;&gt;"",M556&lt;&gt;""),"Rastreado","Revisar")</f>
        <v/>
      </c>
      <c r="P556" s="96" t="n"/>
    </row>
    <row r="557">
      <c r="A557" s="95" t="n"/>
      <c r="B557" s="96" t="n"/>
      <c r="C557" s="96" t="n"/>
      <c r="D557" s="95" t="n"/>
      <c r="E557" s="96" t="n"/>
      <c r="F557" s="96" t="n"/>
      <c r="G557" s="95">
        <f>IFERROR(VLOOKUP(F557,'12. Contratos_OS'!$A$6:$L$1000,2,FALSE),"")</f>
        <v/>
      </c>
      <c r="H557" s="95">
        <f>IFERROR(VLOOKUP(F557,'12. Contratos_OS'!$A$6:$L$1000,3,FALSE),"")</f>
        <v/>
      </c>
      <c r="I557" s="95">
        <f>IFERROR(VLOOKUP(F557,'12. Contratos_OS'!$A$6:$L$1000,4,FALSE),"")</f>
        <v/>
      </c>
      <c r="J557" s="95">
        <f>IFERROR(VLOOKUP(F557,'12. Contratos_OS'!$A$6:$L$1000,7,FALSE),"")</f>
        <v/>
      </c>
      <c r="K557" s="95">
        <f>IFERROR(VLOOKUP(J557,'11. Cadastro de Serviços'!$A$6:$E$200,2,FALSE),"")</f>
        <v/>
      </c>
      <c r="L557" s="95">
        <f>IFERROR(VLOOKUP(J557,'11. Cadastro de Serviços'!$A$6:$E$200,3,FALSE),"")</f>
        <v/>
      </c>
      <c r="M557" s="95">
        <f>IFERROR(VLOOKUP(J557,'11. Cadastro de Serviços'!$A$6:$E$200,4,FALSE),"")</f>
        <v/>
      </c>
      <c r="N557" s="95" t="n"/>
      <c r="O557" s="95">
        <f>IF(AND(G557&lt;&gt;"",I557&lt;&gt;"",J557&lt;&gt;"",M557&lt;&gt;""),"Rastreado","Revisar")</f>
        <v/>
      </c>
      <c r="P557" s="96" t="n"/>
    </row>
    <row r="558">
      <c r="A558" s="95" t="n"/>
      <c r="B558" s="96" t="n"/>
      <c r="C558" s="96" t="n"/>
      <c r="D558" s="95" t="n"/>
      <c r="E558" s="96" t="n"/>
      <c r="F558" s="96" t="n"/>
      <c r="G558" s="95">
        <f>IFERROR(VLOOKUP(F558,'12. Contratos_OS'!$A$6:$L$1000,2,FALSE),"")</f>
        <v/>
      </c>
      <c r="H558" s="95">
        <f>IFERROR(VLOOKUP(F558,'12. Contratos_OS'!$A$6:$L$1000,3,FALSE),"")</f>
        <v/>
      </c>
      <c r="I558" s="95">
        <f>IFERROR(VLOOKUP(F558,'12. Contratos_OS'!$A$6:$L$1000,4,FALSE),"")</f>
        <v/>
      </c>
      <c r="J558" s="95">
        <f>IFERROR(VLOOKUP(F558,'12. Contratos_OS'!$A$6:$L$1000,7,FALSE),"")</f>
        <v/>
      </c>
      <c r="K558" s="95">
        <f>IFERROR(VLOOKUP(J558,'11. Cadastro de Serviços'!$A$6:$E$200,2,FALSE),"")</f>
        <v/>
      </c>
      <c r="L558" s="95">
        <f>IFERROR(VLOOKUP(J558,'11. Cadastro de Serviços'!$A$6:$E$200,3,FALSE),"")</f>
        <v/>
      </c>
      <c r="M558" s="95">
        <f>IFERROR(VLOOKUP(J558,'11. Cadastro de Serviços'!$A$6:$E$200,4,FALSE),"")</f>
        <v/>
      </c>
      <c r="N558" s="95" t="n"/>
      <c r="O558" s="95">
        <f>IF(AND(G558&lt;&gt;"",I558&lt;&gt;"",J558&lt;&gt;"",M558&lt;&gt;""),"Rastreado","Revisar")</f>
        <v/>
      </c>
      <c r="P558" s="96" t="n"/>
    </row>
    <row r="559">
      <c r="A559" s="95" t="n"/>
      <c r="B559" s="96" t="n"/>
      <c r="C559" s="96" t="n"/>
      <c r="D559" s="95" t="n"/>
      <c r="E559" s="96" t="n"/>
      <c r="F559" s="96" t="n"/>
      <c r="G559" s="95">
        <f>IFERROR(VLOOKUP(F559,'12. Contratos_OS'!$A$6:$L$1000,2,FALSE),"")</f>
        <v/>
      </c>
      <c r="H559" s="95">
        <f>IFERROR(VLOOKUP(F559,'12. Contratos_OS'!$A$6:$L$1000,3,FALSE),"")</f>
        <v/>
      </c>
      <c r="I559" s="95">
        <f>IFERROR(VLOOKUP(F559,'12. Contratos_OS'!$A$6:$L$1000,4,FALSE),"")</f>
        <v/>
      </c>
      <c r="J559" s="95">
        <f>IFERROR(VLOOKUP(F559,'12. Contratos_OS'!$A$6:$L$1000,7,FALSE),"")</f>
        <v/>
      </c>
      <c r="K559" s="95">
        <f>IFERROR(VLOOKUP(J559,'11. Cadastro de Serviços'!$A$6:$E$200,2,FALSE),"")</f>
        <v/>
      </c>
      <c r="L559" s="95">
        <f>IFERROR(VLOOKUP(J559,'11. Cadastro de Serviços'!$A$6:$E$200,3,FALSE),"")</f>
        <v/>
      </c>
      <c r="M559" s="95">
        <f>IFERROR(VLOOKUP(J559,'11. Cadastro de Serviços'!$A$6:$E$200,4,FALSE),"")</f>
        <v/>
      </c>
      <c r="N559" s="95" t="n"/>
      <c r="O559" s="95">
        <f>IF(AND(G559&lt;&gt;"",I559&lt;&gt;"",J559&lt;&gt;"",M559&lt;&gt;""),"Rastreado","Revisar")</f>
        <v/>
      </c>
      <c r="P559" s="96" t="n"/>
    </row>
    <row r="560">
      <c r="A560" s="95" t="n"/>
      <c r="B560" s="96" t="n"/>
      <c r="C560" s="96" t="n"/>
      <c r="D560" s="95" t="n"/>
      <c r="E560" s="96" t="n"/>
      <c r="F560" s="96" t="n"/>
      <c r="G560" s="95">
        <f>IFERROR(VLOOKUP(F560,'12. Contratos_OS'!$A$6:$L$1000,2,FALSE),"")</f>
        <v/>
      </c>
      <c r="H560" s="95">
        <f>IFERROR(VLOOKUP(F560,'12. Contratos_OS'!$A$6:$L$1000,3,FALSE),"")</f>
        <v/>
      </c>
      <c r="I560" s="95">
        <f>IFERROR(VLOOKUP(F560,'12. Contratos_OS'!$A$6:$L$1000,4,FALSE),"")</f>
        <v/>
      </c>
      <c r="J560" s="95">
        <f>IFERROR(VLOOKUP(F560,'12. Contratos_OS'!$A$6:$L$1000,7,FALSE),"")</f>
        <v/>
      </c>
      <c r="K560" s="95">
        <f>IFERROR(VLOOKUP(J560,'11. Cadastro de Serviços'!$A$6:$E$200,2,FALSE),"")</f>
        <v/>
      </c>
      <c r="L560" s="95">
        <f>IFERROR(VLOOKUP(J560,'11. Cadastro de Serviços'!$A$6:$E$200,3,FALSE),"")</f>
        <v/>
      </c>
      <c r="M560" s="95">
        <f>IFERROR(VLOOKUP(J560,'11. Cadastro de Serviços'!$A$6:$E$200,4,FALSE),"")</f>
        <v/>
      </c>
      <c r="N560" s="95" t="n"/>
      <c r="O560" s="95">
        <f>IF(AND(G560&lt;&gt;"",I560&lt;&gt;"",J560&lt;&gt;"",M560&lt;&gt;""),"Rastreado","Revisar")</f>
        <v/>
      </c>
      <c r="P560" s="96" t="n"/>
    </row>
    <row r="561">
      <c r="A561" s="95" t="n"/>
      <c r="B561" s="96" t="n"/>
      <c r="C561" s="96" t="n"/>
      <c r="D561" s="95" t="n"/>
      <c r="E561" s="96" t="n"/>
      <c r="F561" s="96" t="n"/>
      <c r="G561" s="95">
        <f>IFERROR(VLOOKUP(F561,'12. Contratos_OS'!$A$6:$L$1000,2,FALSE),"")</f>
        <v/>
      </c>
      <c r="H561" s="95">
        <f>IFERROR(VLOOKUP(F561,'12. Contratos_OS'!$A$6:$L$1000,3,FALSE),"")</f>
        <v/>
      </c>
      <c r="I561" s="95">
        <f>IFERROR(VLOOKUP(F561,'12. Contratos_OS'!$A$6:$L$1000,4,FALSE),"")</f>
        <v/>
      </c>
      <c r="J561" s="95">
        <f>IFERROR(VLOOKUP(F561,'12. Contratos_OS'!$A$6:$L$1000,7,FALSE),"")</f>
        <v/>
      </c>
      <c r="K561" s="95">
        <f>IFERROR(VLOOKUP(J561,'11. Cadastro de Serviços'!$A$6:$E$200,2,FALSE),"")</f>
        <v/>
      </c>
      <c r="L561" s="95">
        <f>IFERROR(VLOOKUP(J561,'11. Cadastro de Serviços'!$A$6:$E$200,3,FALSE),"")</f>
        <v/>
      </c>
      <c r="M561" s="95">
        <f>IFERROR(VLOOKUP(J561,'11. Cadastro de Serviços'!$A$6:$E$200,4,FALSE),"")</f>
        <v/>
      </c>
      <c r="N561" s="95" t="n"/>
      <c r="O561" s="95">
        <f>IF(AND(G561&lt;&gt;"",I561&lt;&gt;"",J561&lt;&gt;"",M561&lt;&gt;""),"Rastreado","Revisar")</f>
        <v/>
      </c>
      <c r="P561" s="96" t="n"/>
    </row>
    <row r="562">
      <c r="A562" s="95" t="n"/>
      <c r="B562" s="96" t="n"/>
      <c r="C562" s="96" t="n"/>
      <c r="D562" s="95" t="n"/>
      <c r="E562" s="96" t="n"/>
      <c r="F562" s="96" t="n"/>
      <c r="G562" s="95">
        <f>IFERROR(VLOOKUP(F562,'12. Contratos_OS'!$A$6:$L$1000,2,FALSE),"")</f>
        <v/>
      </c>
      <c r="H562" s="95">
        <f>IFERROR(VLOOKUP(F562,'12. Contratos_OS'!$A$6:$L$1000,3,FALSE),"")</f>
        <v/>
      </c>
      <c r="I562" s="95">
        <f>IFERROR(VLOOKUP(F562,'12. Contratos_OS'!$A$6:$L$1000,4,FALSE),"")</f>
        <v/>
      </c>
      <c r="J562" s="95">
        <f>IFERROR(VLOOKUP(F562,'12. Contratos_OS'!$A$6:$L$1000,7,FALSE),"")</f>
        <v/>
      </c>
      <c r="K562" s="95">
        <f>IFERROR(VLOOKUP(J562,'11. Cadastro de Serviços'!$A$6:$E$200,2,FALSE),"")</f>
        <v/>
      </c>
      <c r="L562" s="95">
        <f>IFERROR(VLOOKUP(J562,'11. Cadastro de Serviços'!$A$6:$E$200,3,FALSE),"")</f>
        <v/>
      </c>
      <c r="M562" s="95">
        <f>IFERROR(VLOOKUP(J562,'11. Cadastro de Serviços'!$A$6:$E$200,4,FALSE),"")</f>
        <v/>
      </c>
      <c r="N562" s="95" t="n"/>
      <c r="O562" s="95">
        <f>IF(AND(G562&lt;&gt;"",I562&lt;&gt;"",J562&lt;&gt;"",M562&lt;&gt;""),"Rastreado","Revisar")</f>
        <v/>
      </c>
      <c r="P562" s="96" t="n"/>
    </row>
    <row r="563">
      <c r="A563" s="95" t="n"/>
      <c r="B563" s="96" t="n"/>
      <c r="C563" s="96" t="n"/>
      <c r="D563" s="95" t="n"/>
      <c r="E563" s="96" t="n"/>
      <c r="F563" s="96" t="n"/>
      <c r="G563" s="95">
        <f>IFERROR(VLOOKUP(F563,'12. Contratos_OS'!$A$6:$L$1000,2,FALSE),"")</f>
        <v/>
      </c>
      <c r="H563" s="95">
        <f>IFERROR(VLOOKUP(F563,'12. Contratos_OS'!$A$6:$L$1000,3,FALSE),"")</f>
        <v/>
      </c>
      <c r="I563" s="95">
        <f>IFERROR(VLOOKUP(F563,'12. Contratos_OS'!$A$6:$L$1000,4,FALSE),"")</f>
        <v/>
      </c>
      <c r="J563" s="95">
        <f>IFERROR(VLOOKUP(F563,'12. Contratos_OS'!$A$6:$L$1000,7,FALSE),"")</f>
        <v/>
      </c>
      <c r="K563" s="95">
        <f>IFERROR(VLOOKUP(J563,'11. Cadastro de Serviços'!$A$6:$E$200,2,FALSE),"")</f>
        <v/>
      </c>
      <c r="L563" s="95">
        <f>IFERROR(VLOOKUP(J563,'11. Cadastro de Serviços'!$A$6:$E$200,3,FALSE),"")</f>
        <v/>
      </c>
      <c r="M563" s="95">
        <f>IFERROR(VLOOKUP(J563,'11. Cadastro de Serviços'!$A$6:$E$200,4,FALSE),"")</f>
        <v/>
      </c>
      <c r="N563" s="95" t="n"/>
      <c r="O563" s="95">
        <f>IF(AND(G563&lt;&gt;"",I563&lt;&gt;"",J563&lt;&gt;"",M563&lt;&gt;""),"Rastreado","Revisar")</f>
        <v/>
      </c>
      <c r="P563" s="96" t="n"/>
    </row>
    <row r="564">
      <c r="A564" s="95" t="n"/>
      <c r="B564" s="96" t="n"/>
      <c r="C564" s="96" t="n"/>
      <c r="D564" s="95" t="n"/>
      <c r="E564" s="96" t="n"/>
      <c r="F564" s="96" t="n"/>
      <c r="G564" s="95">
        <f>IFERROR(VLOOKUP(F564,'12. Contratos_OS'!$A$6:$L$1000,2,FALSE),"")</f>
        <v/>
      </c>
      <c r="H564" s="95">
        <f>IFERROR(VLOOKUP(F564,'12. Contratos_OS'!$A$6:$L$1000,3,FALSE),"")</f>
        <v/>
      </c>
      <c r="I564" s="95">
        <f>IFERROR(VLOOKUP(F564,'12. Contratos_OS'!$A$6:$L$1000,4,FALSE),"")</f>
        <v/>
      </c>
      <c r="J564" s="95">
        <f>IFERROR(VLOOKUP(F564,'12. Contratos_OS'!$A$6:$L$1000,7,FALSE),"")</f>
        <v/>
      </c>
      <c r="K564" s="95">
        <f>IFERROR(VLOOKUP(J564,'11. Cadastro de Serviços'!$A$6:$E$200,2,FALSE),"")</f>
        <v/>
      </c>
      <c r="L564" s="95">
        <f>IFERROR(VLOOKUP(J564,'11. Cadastro de Serviços'!$A$6:$E$200,3,FALSE),"")</f>
        <v/>
      </c>
      <c r="M564" s="95">
        <f>IFERROR(VLOOKUP(J564,'11. Cadastro de Serviços'!$A$6:$E$200,4,FALSE),"")</f>
        <v/>
      </c>
      <c r="N564" s="95" t="n"/>
      <c r="O564" s="95">
        <f>IF(AND(G564&lt;&gt;"",I564&lt;&gt;"",J564&lt;&gt;"",M564&lt;&gt;""),"Rastreado","Revisar")</f>
        <v/>
      </c>
      <c r="P564" s="96" t="n"/>
    </row>
    <row r="565">
      <c r="A565" s="95" t="n"/>
      <c r="B565" s="96" t="n"/>
      <c r="C565" s="96" t="n"/>
      <c r="D565" s="95" t="n"/>
      <c r="E565" s="96" t="n"/>
      <c r="F565" s="96" t="n"/>
      <c r="G565" s="95">
        <f>IFERROR(VLOOKUP(F565,'12. Contratos_OS'!$A$6:$L$1000,2,FALSE),"")</f>
        <v/>
      </c>
      <c r="H565" s="95">
        <f>IFERROR(VLOOKUP(F565,'12. Contratos_OS'!$A$6:$L$1000,3,FALSE),"")</f>
        <v/>
      </c>
      <c r="I565" s="95">
        <f>IFERROR(VLOOKUP(F565,'12. Contratos_OS'!$A$6:$L$1000,4,FALSE),"")</f>
        <v/>
      </c>
      <c r="J565" s="95">
        <f>IFERROR(VLOOKUP(F565,'12. Contratos_OS'!$A$6:$L$1000,7,FALSE),"")</f>
        <v/>
      </c>
      <c r="K565" s="95">
        <f>IFERROR(VLOOKUP(J565,'11. Cadastro de Serviços'!$A$6:$E$200,2,FALSE),"")</f>
        <v/>
      </c>
      <c r="L565" s="95">
        <f>IFERROR(VLOOKUP(J565,'11. Cadastro de Serviços'!$A$6:$E$200,3,FALSE),"")</f>
        <v/>
      </c>
      <c r="M565" s="95">
        <f>IFERROR(VLOOKUP(J565,'11. Cadastro de Serviços'!$A$6:$E$200,4,FALSE),"")</f>
        <v/>
      </c>
      <c r="N565" s="95" t="n"/>
      <c r="O565" s="95">
        <f>IF(AND(G565&lt;&gt;"",I565&lt;&gt;"",J565&lt;&gt;"",M565&lt;&gt;""),"Rastreado","Revisar")</f>
        <v/>
      </c>
      <c r="P565" s="96" t="n"/>
    </row>
    <row r="566">
      <c r="A566" s="95" t="n"/>
      <c r="B566" s="96" t="n"/>
      <c r="C566" s="96" t="n"/>
      <c r="D566" s="95" t="n"/>
      <c r="E566" s="96" t="n"/>
      <c r="F566" s="96" t="n"/>
      <c r="G566" s="95">
        <f>IFERROR(VLOOKUP(F566,'12. Contratos_OS'!$A$6:$L$1000,2,FALSE),"")</f>
        <v/>
      </c>
      <c r="H566" s="95">
        <f>IFERROR(VLOOKUP(F566,'12. Contratos_OS'!$A$6:$L$1000,3,FALSE),"")</f>
        <v/>
      </c>
      <c r="I566" s="95">
        <f>IFERROR(VLOOKUP(F566,'12. Contratos_OS'!$A$6:$L$1000,4,FALSE),"")</f>
        <v/>
      </c>
      <c r="J566" s="95">
        <f>IFERROR(VLOOKUP(F566,'12. Contratos_OS'!$A$6:$L$1000,7,FALSE),"")</f>
        <v/>
      </c>
      <c r="K566" s="95">
        <f>IFERROR(VLOOKUP(J566,'11. Cadastro de Serviços'!$A$6:$E$200,2,FALSE),"")</f>
        <v/>
      </c>
      <c r="L566" s="95">
        <f>IFERROR(VLOOKUP(J566,'11. Cadastro de Serviços'!$A$6:$E$200,3,FALSE),"")</f>
        <v/>
      </c>
      <c r="M566" s="95">
        <f>IFERROR(VLOOKUP(J566,'11. Cadastro de Serviços'!$A$6:$E$200,4,FALSE),"")</f>
        <v/>
      </c>
      <c r="N566" s="95" t="n"/>
      <c r="O566" s="95">
        <f>IF(AND(G566&lt;&gt;"",I566&lt;&gt;"",J566&lt;&gt;"",M566&lt;&gt;""),"Rastreado","Revisar")</f>
        <v/>
      </c>
      <c r="P566" s="96" t="n"/>
    </row>
    <row r="567">
      <c r="A567" s="95" t="n"/>
      <c r="B567" s="96" t="n"/>
      <c r="C567" s="96" t="n"/>
      <c r="D567" s="95" t="n"/>
      <c r="E567" s="96" t="n"/>
      <c r="F567" s="96" t="n"/>
      <c r="G567" s="95">
        <f>IFERROR(VLOOKUP(F567,'12. Contratos_OS'!$A$6:$L$1000,2,FALSE),"")</f>
        <v/>
      </c>
      <c r="H567" s="95">
        <f>IFERROR(VLOOKUP(F567,'12. Contratos_OS'!$A$6:$L$1000,3,FALSE),"")</f>
        <v/>
      </c>
      <c r="I567" s="95">
        <f>IFERROR(VLOOKUP(F567,'12. Contratos_OS'!$A$6:$L$1000,4,FALSE),"")</f>
        <v/>
      </c>
      <c r="J567" s="95">
        <f>IFERROR(VLOOKUP(F567,'12. Contratos_OS'!$A$6:$L$1000,7,FALSE),"")</f>
        <v/>
      </c>
      <c r="K567" s="95">
        <f>IFERROR(VLOOKUP(J567,'11. Cadastro de Serviços'!$A$6:$E$200,2,FALSE),"")</f>
        <v/>
      </c>
      <c r="L567" s="95">
        <f>IFERROR(VLOOKUP(J567,'11. Cadastro de Serviços'!$A$6:$E$200,3,FALSE),"")</f>
        <v/>
      </c>
      <c r="M567" s="95">
        <f>IFERROR(VLOOKUP(J567,'11. Cadastro de Serviços'!$A$6:$E$200,4,FALSE),"")</f>
        <v/>
      </c>
      <c r="N567" s="95" t="n"/>
      <c r="O567" s="95">
        <f>IF(AND(G567&lt;&gt;"",I567&lt;&gt;"",J567&lt;&gt;"",M567&lt;&gt;""),"Rastreado","Revisar")</f>
        <v/>
      </c>
      <c r="P567" s="96" t="n"/>
    </row>
    <row r="568">
      <c r="A568" s="95" t="n"/>
      <c r="B568" s="96" t="n"/>
      <c r="C568" s="96" t="n"/>
      <c r="D568" s="95" t="n"/>
      <c r="E568" s="96" t="n"/>
      <c r="F568" s="96" t="n"/>
      <c r="G568" s="95">
        <f>IFERROR(VLOOKUP(F568,'12. Contratos_OS'!$A$6:$L$1000,2,FALSE),"")</f>
        <v/>
      </c>
      <c r="H568" s="95">
        <f>IFERROR(VLOOKUP(F568,'12. Contratos_OS'!$A$6:$L$1000,3,FALSE),"")</f>
        <v/>
      </c>
      <c r="I568" s="95">
        <f>IFERROR(VLOOKUP(F568,'12. Contratos_OS'!$A$6:$L$1000,4,FALSE),"")</f>
        <v/>
      </c>
      <c r="J568" s="95">
        <f>IFERROR(VLOOKUP(F568,'12. Contratos_OS'!$A$6:$L$1000,7,FALSE),"")</f>
        <v/>
      </c>
      <c r="K568" s="95">
        <f>IFERROR(VLOOKUP(J568,'11. Cadastro de Serviços'!$A$6:$E$200,2,FALSE),"")</f>
        <v/>
      </c>
      <c r="L568" s="95">
        <f>IFERROR(VLOOKUP(J568,'11. Cadastro de Serviços'!$A$6:$E$200,3,FALSE),"")</f>
        <v/>
      </c>
      <c r="M568" s="95">
        <f>IFERROR(VLOOKUP(J568,'11. Cadastro de Serviços'!$A$6:$E$200,4,FALSE),"")</f>
        <v/>
      </c>
      <c r="N568" s="95" t="n"/>
      <c r="O568" s="95">
        <f>IF(AND(G568&lt;&gt;"",I568&lt;&gt;"",J568&lt;&gt;"",M568&lt;&gt;""),"Rastreado","Revisar")</f>
        <v/>
      </c>
      <c r="P568" s="96" t="n"/>
    </row>
    <row r="569">
      <c r="A569" s="95" t="n"/>
      <c r="B569" s="96" t="n"/>
      <c r="C569" s="96" t="n"/>
      <c r="D569" s="95" t="n"/>
      <c r="E569" s="96" t="n"/>
      <c r="F569" s="96" t="n"/>
      <c r="G569" s="95">
        <f>IFERROR(VLOOKUP(F569,'12. Contratos_OS'!$A$6:$L$1000,2,FALSE),"")</f>
        <v/>
      </c>
      <c r="H569" s="95">
        <f>IFERROR(VLOOKUP(F569,'12. Contratos_OS'!$A$6:$L$1000,3,FALSE),"")</f>
        <v/>
      </c>
      <c r="I569" s="95">
        <f>IFERROR(VLOOKUP(F569,'12. Contratos_OS'!$A$6:$L$1000,4,FALSE),"")</f>
        <v/>
      </c>
      <c r="J569" s="95">
        <f>IFERROR(VLOOKUP(F569,'12. Contratos_OS'!$A$6:$L$1000,7,FALSE),"")</f>
        <v/>
      </c>
      <c r="K569" s="95">
        <f>IFERROR(VLOOKUP(J569,'11. Cadastro de Serviços'!$A$6:$E$200,2,FALSE),"")</f>
        <v/>
      </c>
      <c r="L569" s="95">
        <f>IFERROR(VLOOKUP(J569,'11. Cadastro de Serviços'!$A$6:$E$200,3,FALSE),"")</f>
        <v/>
      </c>
      <c r="M569" s="95">
        <f>IFERROR(VLOOKUP(J569,'11. Cadastro de Serviços'!$A$6:$E$200,4,FALSE),"")</f>
        <v/>
      </c>
      <c r="N569" s="95" t="n"/>
      <c r="O569" s="95">
        <f>IF(AND(G569&lt;&gt;"",I569&lt;&gt;"",J569&lt;&gt;"",M569&lt;&gt;""),"Rastreado","Revisar")</f>
        <v/>
      </c>
      <c r="P569" s="96" t="n"/>
    </row>
    <row r="570">
      <c r="A570" s="95" t="n"/>
      <c r="B570" s="96" t="n"/>
      <c r="C570" s="96" t="n"/>
      <c r="D570" s="95" t="n"/>
      <c r="E570" s="96" t="n"/>
      <c r="F570" s="96" t="n"/>
      <c r="G570" s="95">
        <f>IFERROR(VLOOKUP(F570,'12. Contratos_OS'!$A$6:$L$1000,2,FALSE),"")</f>
        <v/>
      </c>
      <c r="H570" s="95">
        <f>IFERROR(VLOOKUP(F570,'12. Contratos_OS'!$A$6:$L$1000,3,FALSE),"")</f>
        <v/>
      </c>
      <c r="I570" s="95">
        <f>IFERROR(VLOOKUP(F570,'12. Contratos_OS'!$A$6:$L$1000,4,FALSE),"")</f>
        <v/>
      </c>
      <c r="J570" s="95">
        <f>IFERROR(VLOOKUP(F570,'12. Contratos_OS'!$A$6:$L$1000,7,FALSE),"")</f>
        <v/>
      </c>
      <c r="K570" s="95">
        <f>IFERROR(VLOOKUP(J570,'11. Cadastro de Serviços'!$A$6:$E$200,2,FALSE),"")</f>
        <v/>
      </c>
      <c r="L570" s="95">
        <f>IFERROR(VLOOKUP(J570,'11. Cadastro de Serviços'!$A$6:$E$200,3,FALSE),"")</f>
        <v/>
      </c>
      <c r="M570" s="95">
        <f>IFERROR(VLOOKUP(J570,'11. Cadastro de Serviços'!$A$6:$E$200,4,FALSE),"")</f>
        <v/>
      </c>
      <c r="N570" s="95" t="n"/>
      <c r="O570" s="95">
        <f>IF(AND(G570&lt;&gt;"",I570&lt;&gt;"",J570&lt;&gt;"",M570&lt;&gt;""),"Rastreado","Revisar")</f>
        <v/>
      </c>
      <c r="P570" s="96" t="n"/>
    </row>
    <row r="571">
      <c r="A571" s="95" t="n"/>
      <c r="B571" s="96" t="n"/>
      <c r="C571" s="96" t="n"/>
      <c r="D571" s="95" t="n"/>
      <c r="E571" s="96" t="n"/>
      <c r="F571" s="96" t="n"/>
      <c r="G571" s="95">
        <f>IFERROR(VLOOKUP(F571,'12. Contratos_OS'!$A$6:$L$1000,2,FALSE),"")</f>
        <v/>
      </c>
      <c r="H571" s="95">
        <f>IFERROR(VLOOKUP(F571,'12. Contratos_OS'!$A$6:$L$1000,3,FALSE),"")</f>
        <v/>
      </c>
      <c r="I571" s="95">
        <f>IFERROR(VLOOKUP(F571,'12. Contratos_OS'!$A$6:$L$1000,4,FALSE),"")</f>
        <v/>
      </c>
      <c r="J571" s="95">
        <f>IFERROR(VLOOKUP(F571,'12. Contratos_OS'!$A$6:$L$1000,7,FALSE),"")</f>
        <v/>
      </c>
      <c r="K571" s="95">
        <f>IFERROR(VLOOKUP(J571,'11. Cadastro de Serviços'!$A$6:$E$200,2,FALSE),"")</f>
        <v/>
      </c>
      <c r="L571" s="95">
        <f>IFERROR(VLOOKUP(J571,'11. Cadastro de Serviços'!$A$6:$E$200,3,FALSE),"")</f>
        <v/>
      </c>
      <c r="M571" s="95">
        <f>IFERROR(VLOOKUP(J571,'11. Cadastro de Serviços'!$A$6:$E$200,4,FALSE),"")</f>
        <v/>
      </c>
      <c r="N571" s="95" t="n"/>
      <c r="O571" s="95">
        <f>IF(AND(G571&lt;&gt;"",I571&lt;&gt;"",J571&lt;&gt;"",M571&lt;&gt;""),"Rastreado","Revisar")</f>
        <v/>
      </c>
      <c r="P571" s="96" t="n"/>
    </row>
    <row r="572">
      <c r="A572" s="95" t="n"/>
      <c r="B572" s="96" t="n"/>
      <c r="C572" s="96" t="n"/>
      <c r="D572" s="95" t="n"/>
      <c r="E572" s="96" t="n"/>
      <c r="F572" s="96" t="n"/>
      <c r="G572" s="95">
        <f>IFERROR(VLOOKUP(F572,'12. Contratos_OS'!$A$6:$L$1000,2,FALSE),"")</f>
        <v/>
      </c>
      <c r="H572" s="95">
        <f>IFERROR(VLOOKUP(F572,'12. Contratos_OS'!$A$6:$L$1000,3,FALSE),"")</f>
        <v/>
      </c>
      <c r="I572" s="95">
        <f>IFERROR(VLOOKUP(F572,'12. Contratos_OS'!$A$6:$L$1000,4,FALSE),"")</f>
        <v/>
      </c>
      <c r="J572" s="95">
        <f>IFERROR(VLOOKUP(F572,'12. Contratos_OS'!$A$6:$L$1000,7,FALSE),"")</f>
        <v/>
      </c>
      <c r="K572" s="95">
        <f>IFERROR(VLOOKUP(J572,'11. Cadastro de Serviços'!$A$6:$E$200,2,FALSE),"")</f>
        <v/>
      </c>
      <c r="L572" s="95">
        <f>IFERROR(VLOOKUP(J572,'11. Cadastro de Serviços'!$A$6:$E$200,3,FALSE),"")</f>
        <v/>
      </c>
      <c r="M572" s="95">
        <f>IFERROR(VLOOKUP(J572,'11. Cadastro de Serviços'!$A$6:$E$200,4,FALSE),"")</f>
        <v/>
      </c>
      <c r="N572" s="95" t="n"/>
      <c r="O572" s="95">
        <f>IF(AND(G572&lt;&gt;"",I572&lt;&gt;"",J572&lt;&gt;"",M572&lt;&gt;""),"Rastreado","Revisar")</f>
        <v/>
      </c>
      <c r="P572" s="96" t="n"/>
    </row>
    <row r="573">
      <c r="A573" s="95" t="n"/>
      <c r="B573" s="96" t="n"/>
      <c r="C573" s="96" t="n"/>
      <c r="D573" s="95" t="n"/>
      <c r="E573" s="96" t="n"/>
      <c r="F573" s="96" t="n"/>
      <c r="G573" s="95">
        <f>IFERROR(VLOOKUP(F573,'12. Contratos_OS'!$A$6:$L$1000,2,FALSE),"")</f>
        <v/>
      </c>
      <c r="H573" s="95">
        <f>IFERROR(VLOOKUP(F573,'12. Contratos_OS'!$A$6:$L$1000,3,FALSE),"")</f>
        <v/>
      </c>
      <c r="I573" s="95">
        <f>IFERROR(VLOOKUP(F573,'12. Contratos_OS'!$A$6:$L$1000,4,FALSE),"")</f>
        <v/>
      </c>
      <c r="J573" s="95">
        <f>IFERROR(VLOOKUP(F573,'12. Contratos_OS'!$A$6:$L$1000,7,FALSE),"")</f>
        <v/>
      </c>
      <c r="K573" s="95">
        <f>IFERROR(VLOOKUP(J573,'11. Cadastro de Serviços'!$A$6:$E$200,2,FALSE),"")</f>
        <v/>
      </c>
      <c r="L573" s="95">
        <f>IFERROR(VLOOKUP(J573,'11. Cadastro de Serviços'!$A$6:$E$200,3,FALSE),"")</f>
        <v/>
      </c>
      <c r="M573" s="95">
        <f>IFERROR(VLOOKUP(J573,'11. Cadastro de Serviços'!$A$6:$E$200,4,FALSE),"")</f>
        <v/>
      </c>
      <c r="N573" s="95" t="n"/>
      <c r="O573" s="95">
        <f>IF(AND(G573&lt;&gt;"",I573&lt;&gt;"",J573&lt;&gt;"",M573&lt;&gt;""),"Rastreado","Revisar")</f>
        <v/>
      </c>
      <c r="P573" s="96" t="n"/>
    </row>
    <row r="574">
      <c r="A574" s="95" t="n"/>
      <c r="B574" s="96" t="n"/>
      <c r="C574" s="96" t="n"/>
      <c r="D574" s="95" t="n"/>
      <c r="E574" s="96" t="n"/>
      <c r="F574" s="96" t="n"/>
      <c r="G574" s="95">
        <f>IFERROR(VLOOKUP(F574,'12. Contratos_OS'!$A$6:$L$1000,2,FALSE),"")</f>
        <v/>
      </c>
      <c r="H574" s="95">
        <f>IFERROR(VLOOKUP(F574,'12. Contratos_OS'!$A$6:$L$1000,3,FALSE),"")</f>
        <v/>
      </c>
      <c r="I574" s="95">
        <f>IFERROR(VLOOKUP(F574,'12. Contratos_OS'!$A$6:$L$1000,4,FALSE),"")</f>
        <v/>
      </c>
      <c r="J574" s="95">
        <f>IFERROR(VLOOKUP(F574,'12. Contratos_OS'!$A$6:$L$1000,7,FALSE),"")</f>
        <v/>
      </c>
      <c r="K574" s="95">
        <f>IFERROR(VLOOKUP(J574,'11. Cadastro de Serviços'!$A$6:$E$200,2,FALSE),"")</f>
        <v/>
      </c>
      <c r="L574" s="95">
        <f>IFERROR(VLOOKUP(J574,'11. Cadastro de Serviços'!$A$6:$E$200,3,FALSE),"")</f>
        <v/>
      </c>
      <c r="M574" s="95">
        <f>IFERROR(VLOOKUP(J574,'11. Cadastro de Serviços'!$A$6:$E$200,4,FALSE),"")</f>
        <v/>
      </c>
      <c r="N574" s="95" t="n"/>
      <c r="O574" s="95">
        <f>IF(AND(G574&lt;&gt;"",I574&lt;&gt;"",J574&lt;&gt;"",M574&lt;&gt;""),"Rastreado","Revisar")</f>
        <v/>
      </c>
      <c r="P574" s="96" t="n"/>
    </row>
    <row r="575">
      <c r="A575" s="95" t="n"/>
      <c r="B575" s="96" t="n"/>
      <c r="C575" s="96" t="n"/>
      <c r="D575" s="95" t="n"/>
      <c r="E575" s="96" t="n"/>
      <c r="F575" s="96" t="n"/>
      <c r="G575" s="95">
        <f>IFERROR(VLOOKUP(F575,'12. Contratos_OS'!$A$6:$L$1000,2,FALSE),"")</f>
        <v/>
      </c>
      <c r="H575" s="95">
        <f>IFERROR(VLOOKUP(F575,'12. Contratos_OS'!$A$6:$L$1000,3,FALSE),"")</f>
        <v/>
      </c>
      <c r="I575" s="95">
        <f>IFERROR(VLOOKUP(F575,'12. Contratos_OS'!$A$6:$L$1000,4,FALSE),"")</f>
        <v/>
      </c>
      <c r="J575" s="95">
        <f>IFERROR(VLOOKUP(F575,'12. Contratos_OS'!$A$6:$L$1000,7,FALSE),"")</f>
        <v/>
      </c>
      <c r="K575" s="95">
        <f>IFERROR(VLOOKUP(J575,'11. Cadastro de Serviços'!$A$6:$E$200,2,FALSE),"")</f>
        <v/>
      </c>
      <c r="L575" s="95">
        <f>IFERROR(VLOOKUP(J575,'11. Cadastro de Serviços'!$A$6:$E$200,3,FALSE),"")</f>
        <v/>
      </c>
      <c r="M575" s="95">
        <f>IFERROR(VLOOKUP(J575,'11. Cadastro de Serviços'!$A$6:$E$200,4,FALSE),"")</f>
        <v/>
      </c>
      <c r="N575" s="95" t="n"/>
      <c r="O575" s="95">
        <f>IF(AND(G575&lt;&gt;"",I575&lt;&gt;"",J575&lt;&gt;"",M575&lt;&gt;""),"Rastreado","Revisar")</f>
        <v/>
      </c>
      <c r="P575" s="96" t="n"/>
    </row>
    <row r="576">
      <c r="A576" s="95" t="n"/>
      <c r="B576" s="96" t="n"/>
      <c r="C576" s="96" t="n"/>
      <c r="D576" s="95" t="n"/>
      <c r="E576" s="96" t="n"/>
      <c r="F576" s="96" t="n"/>
      <c r="G576" s="95">
        <f>IFERROR(VLOOKUP(F576,'12. Contratos_OS'!$A$6:$L$1000,2,FALSE),"")</f>
        <v/>
      </c>
      <c r="H576" s="95">
        <f>IFERROR(VLOOKUP(F576,'12. Contratos_OS'!$A$6:$L$1000,3,FALSE),"")</f>
        <v/>
      </c>
      <c r="I576" s="95">
        <f>IFERROR(VLOOKUP(F576,'12. Contratos_OS'!$A$6:$L$1000,4,FALSE),"")</f>
        <v/>
      </c>
      <c r="J576" s="95">
        <f>IFERROR(VLOOKUP(F576,'12. Contratos_OS'!$A$6:$L$1000,7,FALSE),"")</f>
        <v/>
      </c>
      <c r="K576" s="95">
        <f>IFERROR(VLOOKUP(J576,'11. Cadastro de Serviços'!$A$6:$E$200,2,FALSE),"")</f>
        <v/>
      </c>
      <c r="L576" s="95">
        <f>IFERROR(VLOOKUP(J576,'11. Cadastro de Serviços'!$A$6:$E$200,3,FALSE),"")</f>
        <v/>
      </c>
      <c r="M576" s="95">
        <f>IFERROR(VLOOKUP(J576,'11. Cadastro de Serviços'!$A$6:$E$200,4,FALSE),"")</f>
        <v/>
      </c>
      <c r="N576" s="95" t="n"/>
      <c r="O576" s="95">
        <f>IF(AND(G576&lt;&gt;"",I576&lt;&gt;"",J576&lt;&gt;"",M576&lt;&gt;""),"Rastreado","Revisar")</f>
        <v/>
      </c>
      <c r="P576" s="96" t="n"/>
    </row>
    <row r="577">
      <c r="A577" s="95" t="n"/>
      <c r="B577" s="96" t="n"/>
      <c r="C577" s="96" t="n"/>
      <c r="D577" s="95" t="n"/>
      <c r="E577" s="96" t="n"/>
      <c r="F577" s="96" t="n"/>
      <c r="G577" s="95">
        <f>IFERROR(VLOOKUP(F577,'12. Contratos_OS'!$A$6:$L$1000,2,FALSE),"")</f>
        <v/>
      </c>
      <c r="H577" s="95">
        <f>IFERROR(VLOOKUP(F577,'12. Contratos_OS'!$A$6:$L$1000,3,FALSE),"")</f>
        <v/>
      </c>
      <c r="I577" s="95">
        <f>IFERROR(VLOOKUP(F577,'12. Contratos_OS'!$A$6:$L$1000,4,FALSE),"")</f>
        <v/>
      </c>
      <c r="J577" s="95">
        <f>IFERROR(VLOOKUP(F577,'12. Contratos_OS'!$A$6:$L$1000,7,FALSE),"")</f>
        <v/>
      </c>
      <c r="K577" s="95">
        <f>IFERROR(VLOOKUP(J577,'11. Cadastro de Serviços'!$A$6:$E$200,2,FALSE),"")</f>
        <v/>
      </c>
      <c r="L577" s="95">
        <f>IFERROR(VLOOKUP(J577,'11. Cadastro de Serviços'!$A$6:$E$200,3,FALSE),"")</f>
        <v/>
      </c>
      <c r="M577" s="95">
        <f>IFERROR(VLOOKUP(J577,'11. Cadastro de Serviços'!$A$6:$E$200,4,FALSE),"")</f>
        <v/>
      </c>
      <c r="N577" s="95" t="n"/>
      <c r="O577" s="95">
        <f>IF(AND(G577&lt;&gt;"",I577&lt;&gt;"",J577&lt;&gt;"",M577&lt;&gt;""),"Rastreado","Revisar")</f>
        <v/>
      </c>
      <c r="P577" s="96" t="n"/>
    </row>
    <row r="578">
      <c r="A578" s="95" t="n"/>
      <c r="B578" s="96" t="n"/>
      <c r="C578" s="96" t="n"/>
      <c r="D578" s="95" t="n"/>
      <c r="E578" s="96" t="n"/>
      <c r="F578" s="96" t="n"/>
      <c r="G578" s="95">
        <f>IFERROR(VLOOKUP(F578,'12. Contratos_OS'!$A$6:$L$1000,2,FALSE),"")</f>
        <v/>
      </c>
      <c r="H578" s="95">
        <f>IFERROR(VLOOKUP(F578,'12. Contratos_OS'!$A$6:$L$1000,3,FALSE),"")</f>
        <v/>
      </c>
      <c r="I578" s="95">
        <f>IFERROR(VLOOKUP(F578,'12. Contratos_OS'!$A$6:$L$1000,4,FALSE),"")</f>
        <v/>
      </c>
      <c r="J578" s="95">
        <f>IFERROR(VLOOKUP(F578,'12. Contratos_OS'!$A$6:$L$1000,7,FALSE),"")</f>
        <v/>
      </c>
      <c r="K578" s="95">
        <f>IFERROR(VLOOKUP(J578,'11. Cadastro de Serviços'!$A$6:$E$200,2,FALSE),"")</f>
        <v/>
      </c>
      <c r="L578" s="95">
        <f>IFERROR(VLOOKUP(J578,'11. Cadastro de Serviços'!$A$6:$E$200,3,FALSE),"")</f>
        <v/>
      </c>
      <c r="M578" s="95">
        <f>IFERROR(VLOOKUP(J578,'11. Cadastro de Serviços'!$A$6:$E$200,4,FALSE),"")</f>
        <v/>
      </c>
      <c r="N578" s="95" t="n"/>
      <c r="O578" s="95">
        <f>IF(AND(G578&lt;&gt;"",I578&lt;&gt;"",J578&lt;&gt;"",M578&lt;&gt;""),"Rastreado","Revisar")</f>
        <v/>
      </c>
      <c r="P578" s="96" t="n"/>
    </row>
    <row r="579">
      <c r="A579" s="95" t="n"/>
      <c r="B579" s="96" t="n"/>
      <c r="C579" s="96" t="n"/>
      <c r="D579" s="95" t="n"/>
      <c r="E579" s="96" t="n"/>
      <c r="F579" s="96" t="n"/>
      <c r="G579" s="95">
        <f>IFERROR(VLOOKUP(F579,'12. Contratos_OS'!$A$6:$L$1000,2,FALSE),"")</f>
        <v/>
      </c>
      <c r="H579" s="95">
        <f>IFERROR(VLOOKUP(F579,'12. Contratos_OS'!$A$6:$L$1000,3,FALSE),"")</f>
        <v/>
      </c>
      <c r="I579" s="95">
        <f>IFERROR(VLOOKUP(F579,'12. Contratos_OS'!$A$6:$L$1000,4,FALSE),"")</f>
        <v/>
      </c>
      <c r="J579" s="95">
        <f>IFERROR(VLOOKUP(F579,'12. Contratos_OS'!$A$6:$L$1000,7,FALSE),"")</f>
        <v/>
      </c>
      <c r="K579" s="95">
        <f>IFERROR(VLOOKUP(J579,'11. Cadastro de Serviços'!$A$6:$E$200,2,FALSE),"")</f>
        <v/>
      </c>
      <c r="L579" s="95">
        <f>IFERROR(VLOOKUP(J579,'11. Cadastro de Serviços'!$A$6:$E$200,3,FALSE),"")</f>
        <v/>
      </c>
      <c r="M579" s="95">
        <f>IFERROR(VLOOKUP(J579,'11. Cadastro de Serviços'!$A$6:$E$200,4,FALSE),"")</f>
        <v/>
      </c>
      <c r="N579" s="95" t="n"/>
      <c r="O579" s="95">
        <f>IF(AND(G579&lt;&gt;"",I579&lt;&gt;"",J579&lt;&gt;"",M579&lt;&gt;""),"Rastreado","Revisar")</f>
        <v/>
      </c>
      <c r="P579" s="96" t="n"/>
    </row>
    <row r="580">
      <c r="A580" s="95" t="n"/>
      <c r="B580" s="96" t="n"/>
      <c r="C580" s="96" t="n"/>
      <c r="D580" s="95" t="n"/>
      <c r="E580" s="96" t="n"/>
      <c r="F580" s="96" t="n"/>
      <c r="G580" s="95">
        <f>IFERROR(VLOOKUP(F580,'12. Contratos_OS'!$A$6:$L$1000,2,FALSE),"")</f>
        <v/>
      </c>
      <c r="H580" s="95">
        <f>IFERROR(VLOOKUP(F580,'12. Contratos_OS'!$A$6:$L$1000,3,FALSE),"")</f>
        <v/>
      </c>
      <c r="I580" s="95">
        <f>IFERROR(VLOOKUP(F580,'12. Contratos_OS'!$A$6:$L$1000,4,FALSE),"")</f>
        <v/>
      </c>
      <c r="J580" s="95">
        <f>IFERROR(VLOOKUP(F580,'12. Contratos_OS'!$A$6:$L$1000,7,FALSE),"")</f>
        <v/>
      </c>
      <c r="K580" s="95">
        <f>IFERROR(VLOOKUP(J580,'11. Cadastro de Serviços'!$A$6:$E$200,2,FALSE),"")</f>
        <v/>
      </c>
      <c r="L580" s="95">
        <f>IFERROR(VLOOKUP(J580,'11. Cadastro de Serviços'!$A$6:$E$200,3,FALSE),"")</f>
        <v/>
      </c>
      <c r="M580" s="95">
        <f>IFERROR(VLOOKUP(J580,'11. Cadastro de Serviços'!$A$6:$E$200,4,FALSE),"")</f>
        <v/>
      </c>
      <c r="N580" s="95" t="n"/>
      <c r="O580" s="95">
        <f>IF(AND(G580&lt;&gt;"",I580&lt;&gt;"",J580&lt;&gt;"",M580&lt;&gt;""),"Rastreado","Revisar")</f>
        <v/>
      </c>
      <c r="P580" s="96" t="n"/>
    </row>
    <row r="581">
      <c r="A581" s="95" t="n"/>
      <c r="B581" s="96" t="n"/>
      <c r="C581" s="96" t="n"/>
      <c r="D581" s="95" t="n"/>
      <c r="E581" s="96" t="n"/>
      <c r="F581" s="96" t="n"/>
      <c r="G581" s="95">
        <f>IFERROR(VLOOKUP(F581,'12. Contratos_OS'!$A$6:$L$1000,2,FALSE),"")</f>
        <v/>
      </c>
      <c r="H581" s="95">
        <f>IFERROR(VLOOKUP(F581,'12. Contratos_OS'!$A$6:$L$1000,3,FALSE),"")</f>
        <v/>
      </c>
      <c r="I581" s="95">
        <f>IFERROR(VLOOKUP(F581,'12. Contratos_OS'!$A$6:$L$1000,4,FALSE),"")</f>
        <v/>
      </c>
      <c r="J581" s="95">
        <f>IFERROR(VLOOKUP(F581,'12. Contratos_OS'!$A$6:$L$1000,7,FALSE),"")</f>
        <v/>
      </c>
      <c r="K581" s="95">
        <f>IFERROR(VLOOKUP(J581,'11. Cadastro de Serviços'!$A$6:$E$200,2,FALSE),"")</f>
        <v/>
      </c>
      <c r="L581" s="95">
        <f>IFERROR(VLOOKUP(J581,'11. Cadastro de Serviços'!$A$6:$E$200,3,FALSE),"")</f>
        <v/>
      </c>
      <c r="M581" s="95">
        <f>IFERROR(VLOOKUP(J581,'11. Cadastro de Serviços'!$A$6:$E$200,4,FALSE),"")</f>
        <v/>
      </c>
      <c r="N581" s="95" t="n"/>
      <c r="O581" s="95">
        <f>IF(AND(G581&lt;&gt;"",I581&lt;&gt;"",J581&lt;&gt;"",M581&lt;&gt;""),"Rastreado","Revisar")</f>
        <v/>
      </c>
      <c r="P581" s="96" t="n"/>
    </row>
    <row r="582">
      <c r="A582" s="95" t="n"/>
      <c r="B582" s="96" t="n"/>
      <c r="C582" s="96" t="n"/>
      <c r="D582" s="95" t="n"/>
      <c r="E582" s="96" t="n"/>
      <c r="F582" s="96" t="n"/>
      <c r="G582" s="95">
        <f>IFERROR(VLOOKUP(F582,'12. Contratos_OS'!$A$6:$L$1000,2,FALSE),"")</f>
        <v/>
      </c>
      <c r="H582" s="95">
        <f>IFERROR(VLOOKUP(F582,'12. Contratos_OS'!$A$6:$L$1000,3,FALSE),"")</f>
        <v/>
      </c>
      <c r="I582" s="95">
        <f>IFERROR(VLOOKUP(F582,'12. Contratos_OS'!$A$6:$L$1000,4,FALSE),"")</f>
        <v/>
      </c>
      <c r="J582" s="95">
        <f>IFERROR(VLOOKUP(F582,'12. Contratos_OS'!$A$6:$L$1000,7,FALSE),"")</f>
        <v/>
      </c>
      <c r="K582" s="95">
        <f>IFERROR(VLOOKUP(J582,'11. Cadastro de Serviços'!$A$6:$E$200,2,FALSE),"")</f>
        <v/>
      </c>
      <c r="L582" s="95">
        <f>IFERROR(VLOOKUP(J582,'11. Cadastro de Serviços'!$A$6:$E$200,3,FALSE),"")</f>
        <v/>
      </c>
      <c r="M582" s="95">
        <f>IFERROR(VLOOKUP(J582,'11. Cadastro de Serviços'!$A$6:$E$200,4,FALSE),"")</f>
        <v/>
      </c>
      <c r="N582" s="95" t="n"/>
      <c r="O582" s="95">
        <f>IF(AND(G582&lt;&gt;"",I582&lt;&gt;"",J582&lt;&gt;"",M582&lt;&gt;""),"Rastreado","Revisar")</f>
        <v/>
      </c>
      <c r="P582" s="96" t="n"/>
    </row>
    <row r="583">
      <c r="A583" s="95" t="n"/>
      <c r="B583" s="96" t="n"/>
      <c r="C583" s="96" t="n"/>
      <c r="D583" s="95" t="n"/>
      <c r="E583" s="96" t="n"/>
      <c r="F583" s="96" t="n"/>
      <c r="G583" s="95">
        <f>IFERROR(VLOOKUP(F583,'12. Contratos_OS'!$A$6:$L$1000,2,FALSE),"")</f>
        <v/>
      </c>
      <c r="H583" s="95">
        <f>IFERROR(VLOOKUP(F583,'12. Contratos_OS'!$A$6:$L$1000,3,FALSE),"")</f>
        <v/>
      </c>
      <c r="I583" s="95">
        <f>IFERROR(VLOOKUP(F583,'12. Contratos_OS'!$A$6:$L$1000,4,FALSE),"")</f>
        <v/>
      </c>
      <c r="J583" s="95">
        <f>IFERROR(VLOOKUP(F583,'12. Contratos_OS'!$A$6:$L$1000,7,FALSE),"")</f>
        <v/>
      </c>
      <c r="K583" s="95">
        <f>IFERROR(VLOOKUP(J583,'11. Cadastro de Serviços'!$A$6:$E$200,2,FALSE),"")</f>
        <v/>
      </c>
      <c r="L583" s="95">
        <f>IFERROR(VLOOKUP(J583,'11. Cadastro de Serviços'!$A$6:$E$200,3,FALSE),"")</f>
        <v/>
      </c>
      <c r="M583" s="95">
        <f>IFERROR(VLOOKUP(J583,'11. Cadastro de Serviços'!$A$6:$E$200,4,FALSE),"")</f>
        <v/>
      </c>
      <c r="N583" s="95" t="n"/>
      <c r="O583" s="95">
        <f>IF(AND(G583&lt;&gt;"",I583&lt;&gt;"",J583&lt;&gt;"",M583&lt;&gt;""),"Rastreado","Revisar")</f>
        <v/>
      </c>
      <c r="P583" s="96" t="n"/>
    </row>
    <row r="584">
      <c r="A584" s="95" t="n"/>
      <c r="B584" s="96" t="n"/>
      <c r="C584" s="96" t="n"/>
      <c r="D584" s="95" t="n"/>
      <c r="E584" s="96" t="n"/>
      <c r="F584" s="96" t="n"/>
      <c r="G584" s="95">
        <f>IFERROR(VLOOKUP(F584,'12. Contratos_OS'!$A$6:$L$1000,2,FALSE),"")</f>
        <v/>
      </c>
      <c r="H584" s="95">
        <f>IFERROR(VLOOKUP(F584,'12. Contratos_OS'!$A$6:$L$1000,3,FALSE),"")</f>
        <v/>
      </c>
      <c r="I584" s="95">
        <f>IFERROR(VLOOKUP(F584,'12. Contratos_OS'!$A$6:$L$1000,4,FALSE),"")</f>
        <v/>
      </c>
      <c r="J584" s="95">
        <f>IFERROR(VLOOKUP(F584,'12. Contratos_OS'!$A$6:$L$1000,7,FALSE),"")</f>
        <v/>
      </c>
      <c r="K584" s="95">
        <f>IFERROR(VLOOKUP(J584,'11. Cadastro de Serviços'!$A$6:$E$200,2,FALSE),"")</f>
        <v/>
      </c>
      <c r="L584" s="95">
        <f>IFERROR(VLOOKUP(J584,'11. Cadastro de Serviços'!$A$6:$E$200,3,FALSE),"")</f>
        <v/>
      </c>
      <c r="M584" s="95">
        <f>IFERROR(VLOOKUP(J584,'11. Cadastro de Serviços'!$A$6:$E$200,4,FALSE),"")</f>
        <v/>
      </c>
      <c r="N584" s="95" t="n"/>
      <c r="O584" s="95">
        <f>IF(AND(G584&lt;&gt;"",I584&lt;&gt;"",J584&lt;&gt;"",M584&lt;&gt;""),"Rastreado","Revisar")</f>
        <v/>
      </c>
      <c r="P584" s="96" t="n"/>
    </row>
    <row r="585">
      <c r="A585" s="95" t="n"/>
      <c r="B585" s="96" t="n"/>
      <c r="C585" s="96" t="n"/>
      <c r="D585" s="95" t="n"/>
      <c r="E585" s="96" t="n"/>
      <c r="F585" s="96" t="n"/>
      <c r="G585" s="95">
        <f>IFERROR(VLOOKUP(F585,'12. Contratos_OS'!$A$6:$L$1000,2,FALSE),"")</f>
        <v/>
      </c>
      <c r="H585" s="95">
        <f>IFERROR(VLOOKUP(F585,'12. Contratos_OS'!$A$6:$L$1000,3,FALSE),"")</f>
        <v/>
      </c>
      <c r="I585" s="95">
        <f>IFERROR(VLOOKUP(F585,'12. Contratos_OS'!$A$6:$L$1000,4,FALSE),"")</f>
        <v/>
      </c>
      <c r="J585" s="95">
        <f>IFERROR(VLOOKUP(F585,'12. Contratos_OS'!$A$6:$L$1000,7,FALSE),"")</f>
        <v/>
      </c>
      <c r="K585" s="95">
        <f>IFERROR(VLOOKUP(J585,'11. Cadastro de Serviços'!$A$6:$E$200,2,FALSE),"")</f>
        <v/>
      </c>
      <c r="L585" s="95">
        <f>IFERROR(VLOOKUP(J585,'11. Cadastro de Serviços'!$A$6:$E$200,3,FALSE),"")</f>
        <v/>
      </c>
      <c r="M585" s="95">
        <f>IFERROR(VLOOKUP(J585,'11. Cadastro de Serviços'!$A$6:$E$200,4,FALSE),"")</f>
        <v/>
      </c>
      <c r="N585" s="95" t="n"/>
      <c r="O585" s="95">
        <f>IF(AND(G585&lt;&gt;"",I585&lt;&gt;"",J585&lt;&gt;"",M585&lt;&gt;""),"Rastreado","Revisar")</f>
        <v/>
      </c>
      <c r="P585" s="96" t="n"/>
    </row>
    <row r="586">
      <c r="A586" s="95" t="n"/>
      <c r="B586" s="96" t="n"/>
      <c r="C586" s="96" t="n"/>
      <c r="D586" s="95" t="n"/>
      <c r="E586" s="96" t="n"/>
      <c r="F586" s="96" t="n"/>
      <c r="G586" s="95">
        <f>IFERROR(VLOOKUP(F586,'12. Contratos_OS'!$A$6:$L$1000,2,FALSE),"")</f>
        <v/>
      </c>
      <c r="H586" s="95">
        <f>IFERROR(VLOOKUP(F586,'12. Contratos_OS'!$A$6:$L$1000,3,FALSE),"")</f>
        <v/>
      </c>
      <c r="I586" s="95">
        <f>IFERROR(VLOOKUP(F586,'12. Contratos_OS'!$A$6:$L$1000,4,FALSE),"")</f>
        <v/>
      </c>
      <c r="J586" s="95">
        <f>IFERROR(VLOOKUP(F586,'12. Contratos_OS'!$A$6:$L$1000,7,FALSE),"")</f>
        <v/>
      </c>
      <c r="K586" s="95">
        <f>IFERROR(VLOOKUP(J586,'11. Cadastro de Serviços'!$A$6:$E$200,2,FALSE),"")</f>
        <v/>
      </c>
      <c r="L586" s="95">
        <f>IFERROR(VLOOKUP(J586,'11. Cadastro de Serviços'!$A$6:$E$200,3,FALSE),"")</f>
        <v/>
      </c>
      <c r="M586" s="95">
        <f>IFERROR(VLOOKUP(J586,'11. Cadastro de Serviços'!$A$6:$E$200,4,FALSE),"")</f>
        <v/>
      </c>
      <c r="N586" s="95" t="n"/>
      <c r="O586" s="95">
        <f>IF(AND(G586&lt;&gt;"",I586&lt;&gt;"",J586&lt;&gt;"",M586&lt;&gt;""),"Rastreado","Revisar")</f>
        <v/>
      </c>
      <c r="P586" s="96" t="n"/>
    </row>
    <row r="587">
      <c r="A587" s="95" t="n"/>
      <c r="B587" s="96" t="n"/>
      <c r="C587" s="96" t="n"/>
      <c r="D587" s="95" t="n"/>
      <c r="E587" s="96" t="n"/>
      <c r="F587" s="96" t="n"/>
      <c r="G587" s="95">
        <f>IFERROR(VLOOKUP(F587,'12. Contratos_OS'!$A$6:$L$1000,2,FALSE),"")</f>
        <v/>
      </c>
      <c r="H587" s="95">
        <f>IFERROR(VLOOKUP(F587,'12. Contratos_OS'!$A$6:$L$1000,3,FALSE),"")</f>
        <v/>
      </c>
      <c r="I587" s="95">
        <f>IFERROR(VLOOKUP(F587,'12. Contratos_OS'!$A$6:$L$1000,4,FALSE),"")</f>
        <v/>
      </c>
      <c r="J587" s="95">
        <f>IFERROR(VLOOKUP(F587,'12. Contratos_OS'!$A$6:$L$1000,7,FALSE),"")</f>
        <v/>
      </c>
      <c r="K587" s="95">
        <f>IFERROR(VLOOKUP(J587,'11. Cadastro de Serviços'!$A$6:$E$200,2,FALSE),"")</f>
        <v/>
      </c>
      <c r="L587" s="95">
        <f>IFERROR(VLOOKUP(J587,'11. Cadastro de Serviços'!$A$6:$E$200,3,FALSE),"")</f>
        <v/>
      </c>
      <c r="M587" s="95">
        <f>IFERROR(VLOOKUP(J587,'11. Cadastro de Serviços'!$A$6:$E$200,4,FALSE),"")</f>
        <v/>
      </c>
      <c r="N587" s="95" t="n"/>
      <c r="O587" s="95">
        <f>IF(AND(G587&lt;&gt;"",I587&lt;&gt;"",J587&lt;&gt;"",M587&lt;&gt;""),"Rastreado","Revisar")</f>
        <v/>
      </c>
      <c r="P587" s="96" t="n"/>
    </row>
    <row r="588">
      <c r="A588" s="95" t="n"/>
      <c r="B588" s="96" t="n"/>
      <c r="C588" s="96" t="n"/>
      <c r="D588" s="95" t="n"/>
      <c r="E588" s="96" t="n"/>
      <c r="F588" s="96" t="n"/>
      <c r="G588" s="95">
        <f>IFERROR(VLOOKUP(F588,'12. Contratos_OS'!$A$6:$L$1000,2,FALSE),"")</f>
        <v/>
      </c>
      <c r="H588" s="95">
        <f>IFERROR(VLOOKUP(F588,'12. Contratos_OS'!$A$6:$L$1000,3,FALSE),"")</f>
        <v/>
      </c>
      <c r="I588" s="95">
        <f>IFERROR(VLOOKUP(F588,'12. Contratos_OS'!$A$6:$L$1000,4,FALSE),"")</f>
        <v/>
      </c>
      <c r="J588" s="95">
        <f>IFERROR(VLOOKUP(F588,'12. Contratos_OS'!$A$6:$L$1000,7,FALSE),"")</f>
        <v/>
      </c>
      <c r="K588" s="95">
        <f>IFERROR(VLOOKUP(J588,'11. Cadastro de Serviços'!$A$6:$E$200,2,FALSE),"")</f>
        <v/>
      </c>
      <c r="L588" s="95">
        <f>IFERROR(VLOOKUP(J588,'11. Cadastro de Serviços'!$A$6:$E$200,3,FALSE),"")</f>
        <v/>
      </c>
      <c r="M588" s="95">
        <f>IFERROR(VLOOKUP(J588,'11. Cadastro de Serviços'!$A$6:$E$200,4,FALSE),"")</f>
        <v/>
      </c>
      <c r="N588" s="95" t="n"/>
      <c r="O588" s="95">
        <f>IF(AND(G588&lt;&gt;"",I588&lt;&gt;"",J588&lt;&gt;"",M588&lt;&gt;""),"Rastreado","Revisar")</f>
        <v/>
      </c>
      <c r="P588" s="96" t="n"/>
    </row>
    <row r="589">
      <c r="A589" s="95" t="n"/>
      <c r="B589" s="96" t="n"/>
      <c r="C589" s="96" t="n"/>
      <c r="D589" s="95" t="n"/>
      <c r="E589" s="96" t="n"/>
      <c r="F589" s="96" t="n"/>
      <c r="G589" s="95">
        <f>IFERROR(VLOOKUP(F589,'12. Contratos_OS'!$A$6:$L$1000,2,FALSE),"")</f>
        <v/>
      </c>
      <c r="H589" s="95">
        <f>IFERROR(VLOOKUP(F589,'12. Contratos_OS'!$A$6:$L$1000,3,FALSE),"")</f>
        <v/>
      </c>
      <c r="I589" s="95">
        <f>IFERROR(VLOOKUP(F589,'12. Contratos_OS'!$A$6:$L$1000,4,FALSE),"")</f>
        <v/>
      </c>
      <c r="J589" s="95">
        <f>IFERROR(VLOOKUP(F589,'12. Contratos_OS'!$A$6:$L$1000,7,FALSE),"")</f>
        <v/>
      </c>
      <c r="K589" s="95">
        <f>IFERROR(VLOOKUP(J589,'11. Cadastro de Serviços'!$A$6:$E$200,2,FALSE),"")</f>
        <v/>
      </c>
      <c r="L589" s="95">
        <f>IFERROR(VLOOKUP(J589,'11. Cadastro de Serviços'!$A$6:$E$200,3,FALSE),"")</f>
        <v/>
      </c>
      <c r="M589" s="95">
        <f>IFERROR(VLOOKUP(J589,'11. Cadastro de Serviços'!$A$6:$E$200,4,FALSE),"")</f>
        <v/>
      </c>
      <c r="N589" s="95" t="n"/>
      <c r="O589" s="95">
        <f>IF(AND(G589&lt;&gt;"",I589&lt;&gt;"",J589&lt;&gt;"",M589&lt;&gt;""),"Rastreado","Revisar")</f>
        <v/>
      </c>
      <c r="P589" s="96" t="n"/>
    </row>
    <row r="590">
      <c r="A590" s="95" t="n"/>
      <c r="B590" s="96" t="n"/>
      <c r="C590" s="96" t="n"/>
      <c r="D590" s="95" t="n"/>
      <c r="E590" s="96" t="n"/>
      <c r="F590" s="96" t="n"/>
      <c r="G590" s="95">
        <f>IFERROR(VLOOKUP(F590,'12. Contratos_OS'!$A$6:$L$1000,2,FALSE),"")</f>
        <v/>
      </c>
      <c r="H590" s="95">
        <f>IFERROR(VLOOKUP(F590,'12. Contratos_OS'!$A$6:$L$1000,3,FALSE),"")</f>
        <v/>
      </c>
      <c r="I590" s="95">
        <f>IFERROR(VLOOKUP(F590,'12. Contratos_OS'!$A$6:$L$1000,4,FALSE),"")</f>
        <v/>
      </c>
      <c r="J590" s="95">
        <f>IFERROR(VLOOKUP(F590,'12. Contratos_OS'!$A$6:$L$1000,7,FALSE),"")</f>
        <v/>
      </c>
      <c r="K590" s="95">
        <f>IFERROR(VLOOKUP(J590,'11. Cadastro de Serviços'!$A$6:$E$200,2,FALSE),"")</f>
        <v/>
      </c>
      <c r="L590" s="95">
        <f>IFERROR(VLOOKUP(J590,'11. Cadastro de Serviços'!$A$6:$E$200,3,FALSE),"")</f>
        <v/>
      </c>
      <c r="M590" s="95">
        <f>IFERROR(VLOOKUP(J590,'11. Cadastro de Serviços'!$A$6:$E$200,4,FALSE),"")</f>
        <v/>
      </c>
      <c r="N590" s="95" t="n"/>
      <c r="O590" s="95">
        <f>IF(AND(G590&lt;&gt;"",I590&lt;&gt;"",J590&lt;&gt;"",M590&lt;&gt;""),"Rastreado","Revisar")</f>
        <v/>
      </c>
      <c r="P590" s="96" t="n"/>
    </row>
    <row r="591">
      <c r="A591" s="95" t="n"/>
      <c r="B591" s="96" t="n"/>
      <c r="C591" s="96" t="n"/>
      <c r="D591" s="95" t="n"/>
      <c r="E591" s="96" t="n"/>
      <c r="F591" s="96" t="n"/>
      <c r="G591" s="95">
        <f>IFERROR(VLOOKUP(F591,'12. Contratos_OS'!$A$6:$L$1000,2,FALSE),"")</f>
        <v/>
      </c>
      <c r="H591" s="95">
        <f>IFERROR(VLOOKUP(F591,'12. Contratos_OS'!$A$6:$L$1000,3,FALSE),"")</f>
        <v/>
      </c>
      <c r="I591" s="95">
        <f>IFERROR(VLOOKUP(F591,'12. Contratos_OS'!$A$6:$L$1000,4,FALSE),"")</f>
        <v/>
      </c>
      <c r="J591" s="95">
        <f>IFERROR(VLOOKUP(F591,'12. Contratos_OS'!$A$6:$L$1000,7,FALSE),"")</f>
        <v/>
      </c>
      <c r="K591" s="95">
        <f>IFERROR(VLOOKUP(J591,'11. Cadastro de Serviços'!$A$6:$E$200,2,FALSE),"")</f>
        <v/>
      </c>
      <c r="L591" s="95">
        <f>IFERROR(VLOOKUP(J591,'11. Cadastro de Serviços'!$A$6:$E$200,3,FALSE),"")</f>
        <v/>
      </c>
      <c r="M591" s="95">
        <f>IFERROR(VLOOKUP(J591,'11. Cadastro de Serviços'!$A$6:$E$200,4,FALSE),"")</f>
        <v/>
      </c>
      <c r="N591" s="95" t="n"/>
      <c r="O591" s="95">
        <f>IF(AND(G591&lt;&gt;"",I591&lt;&gt;"",J591&lt;&gt;"",M591&lt;&gt;""),"Rastreado","Revisar")</f>
        <v/>
      </c>
      <c r="P591" s="96" t="n"/>
    </row>
    <row r="592">
      <c r="A592" s="95" t="n"/>
      <c r="B592" s="96" t="n"/>
      <c r="C592" s="96" t="n"/>
      <c r="D592" s="95" t="n"/>
      <c r="E592" s="96" t="n"/>
      <c r="F592" s="96" t="n"/>
      <c r="G592" s="95">
        <f>IFERROR(VLOOKUP(F592,'12. Contratos_OS'!$A$6:$L$1000,2,FALSE),"")</f>
        <v/>
      </c>
      <c r="H592" s="95">
        <f>IFERROR(VLOOKUP(F592,'12. Contratos_OS'!$A$6:$L$1000,3,FALSE),"")</f>
        <v/>
      </c>
      <c r="I592" s="95">
        <f>IFERROR(VLOOKUP(F592,'12. Contratos_OS'!$A$6:$L$1000,4,FALSE),"")</f>
        <v/>
      </c>
      <c r="J592" s="95">
        <f>IFERROR(VLOOKUP(F592,'12. Contratos_OS'!$A$6:$L$1000,7,FALSE),"")</f>
        <v/>
      </c>
      <c r="K592" s="95">
        <f>IFERROR(VLOOKUP(J592,'11. Cadastro de Serviços'!$A$6:$E$200,2,FALSE),"")</f>
        <v/>
      </c>
      <c r="L592" s="95">
        <f>IFERROR(VLOOKUP(J592,'11. Cadastro de Serviços'!$A$6:$E$200,3,FALSE),"")</f>
        <v/>
      </c>
      <c r="M592" s="95">
        <f>IFERROR(VLOOKUP(J592,'11. Cadastro de Serviços'!$A$6:$E$200,4,FALSE),"")</f>
        <v/>
      </c>
      <c r="N592" s="95" t="n"/>
      <c r="O592" s="95">
        <f>IF(AND(G592&lt;&gt;"",I592&lt;&gt;"",J592&lt;&gt;"",M592&lt;&gt;""),"Rastreado","Revisar")</f>
        <v/>
      </c>
      <c r="P592" s="96" t="n"/>
    </row>
    <row r="593">
      <c r="A593" s="95" t="n"/>
      <c r="B593" s="96" t="n"/>
      <c r="C593" s="96" t="n"/>
      <c r="D593" s="95" t="n"/>
      <c r="E593" s="96" t="n"/>
      <c r="F593" s="96" t="n"/>
      <c r="G593" s="95">
        <f>IFERROR(VLOOKUP(F593,'12. Contratos_OS'!$A$6:$L$1000,2,FALSE),"")</f>
        <v/>
      </c>
      <c r="H593" s="95">
        <f>IFERROR(VLOOKUP(F593,'12. Contratos_OS'!$A$6:$L$1000,3,FALSE),"")</f>
        <v/>
      </c>
      <c r="I593" s="95">
        <f>IFERROR(VLOOKUP(F593,'12. Contratos_OS'!$A$6:$L$1000,4,FALSE),"")</f>
        <v/>
      </c>
      <c r="J593" s="95">
        <f>IFERROR(VLOOKUP(F593,'12. Contratos_OS'!$A$6:$L$1000,7,FALSE),"")</f>
        <v/>
      </c>
      <c r="K593" s="95">
        <f>IFERROR(VLOOKUP(J593,'11. Cadastro de Serviços'!$A$6:$E$200,2,FALSE),"")</f>
        <v/>
      </c>
      <c r="L593" s="95">
        <f>IFERROR(VLOOKUP(J593,'11. Cadastro de Serviços'!$A$6:$E$200,3,FALSE),"")</f>
        <v/>
      </c>
      <c r="M593" s="95">
        <f>IFERROR(VLOOKUP(J593,'11. Cadastro de Serviços'!$A$6:$E$200,4,FALSE),"")</f>
        <v/>
      </c>
      <c r="N593" s="95" t="n"/>
      <c r="O593" s="95">
        <f>IF(AND(G593&lt;&gt;"",I593&lt;&gt;"",J593&lt;&gt;"",M593&lt;&gt;""),"Rastreado","Revisar")</f>
        <v/>
      </c>
      <c r="P593" s="96" t="n"/>
    </row>
    <row r="594">
      <c r="A594" s="95" t="n"/>
      <c r="B594" s="96" t="n"/>
      <c r="C594" s="96" t="n"/>
      <c r="D594" s="95" t="n"/>
      <c r="E594" s="96" t="n"/>
      <c r="F594" s="96" t="n"/>
      <c r="G594" s="95">
        <f>IFERROR(VLOOKUP(F594,'12. Contratos_OS'!$A$6:$L$1000,2,FALSE),"")</f>
        <v/>
      </c>
      <c r="H594" s="95">
        <f>IFERROR(VLOOKUP(F594,'12. Contratos_OS'!$A$6:$L$1000,3,FALSE),"")</f>
        <v/>
      </c>
      <c r="I594" s="95">
        <f>IFERROR(VLOOKUP(F594,'12. Contratos_OS'!$A$6:$L$1000,4,FALSE),"")</f>
        <v/>
      </c>
      <c r="J594" s="95">
        <f>IFERROR(VLOOKUP(F594,'12. Contratos_OS'!$A$6:$L$1000,7,FALSE),"")</f>
        <v/>
      </c>
      <c r="K594" s="95">
        <f>IFERROR(VLOOKUP(J594,'11. Cadastro de Serviços'!$A$6:$E$200,2,FALSE),"")</f>
        <v/>
      </c>
      <c r="L594" s="95">
        <f>IFERROR(VLOOKUP(J594,'11. Cadastro de Serviços'!$A$6:$E$200,3,FALSE),"")</f>
        <v/>
      </c>
      <c r="M594" s="95">
        <f>IFERROR(VLOOKUP(J594,'11. Cadastro de Serviços'!$A$6:$E$200,4,FALSE),"")</f>
        <v/>
      </c>
      <c r="N594" s="95" t="n"/>
      <c r="O594" s="95">
        <f>IF(AND(G594&lt;&gt;"",I594&lt;&gt;"",J594&lt;&gt;"",M594&lt;&gt;""),"Rastreado","Revisar")</f>
        <v/>
      </c>
      <c r="P594" s="96" t="n"/>
    </row>
    <row r="595">
      <c r="A595" s="95" t="n"/>
      <c r="B595" s="96" t="n"/>
      <c r="C595" s="96" t="n"/>
      <c r="D595" s="95" t="n"/>
      <c r="E595" s="96" t="n"/>
      <c r="F595" s="96" t="n"/>
      <c r="G595" s="95">
        <f>IFERROR(VLOOKUP(F595,'12. Contratos_OS'!$A$6:$L$1000,2,FALSE),"")</f>
        <v/>
      </c>
      <c r="H595" s="95">
        <f>IFERROR(VLOOKUP(F595,'12. Contratos_OS'!$A$6:$L$1000,3,FALSE),"")</f>
        <v/>
      </c>
      <c r="I595" s="95">
        <f>IFERROR(VLOOKUP(F595,'12. Contratos_OS'!$A$6:$L$1000,4,FALSE),"")</f>
        <v/>
      </c>
      <c r="J595" s="95">
        <f>IFERROR(VLOOKUP(F595,'12. Contratos_OS'!$A$6:$L$1000,7,FALSE),"")</f>
        <v/>
      </c>
      <c r="K595" s="95">
        <f>IFERROR(VLOOKUP(J595,'11. Cadastro de Serviços'!$A$6:$E$200,2,FALSE),"")</f>
        <v/>
      </c>
      <c r="L595" s="95">
        <f>IFERROR(VLOOKUP(J595,'11. Cadastro de Serviços'!$A$6:$E$200,3,FALSE),"")</f>
        <v/>
      </c>
      <c r="M595" s="95">
        <f>IFERROR(VLOOKUP(J595,'11. Cadastro de Serviços'!$A$6:$E$200,4,FALSE),"")</f>
        <v/>
      </c>
      <c r="N595" s="95" t="n"/>
      <c r="O595" s="95">
        <f>IF(AND(G595&lt;&gt;"",I595&lt;&gt;"",J595&lt;&gt;"",M595&lt;&gt;""),"Rastreado","Revisar")</f>
        <v/>
      </c>
      <c r="P595" s="96" t="n"/>
    </row>
    <row r="596">
      <c r="A596" s="95" t="n"/>
      <c r="B596" s="96" t="n"/>
      <c r="C596" s="96" t="n"/>
      <c r="D596" s="95" t="n"/>
      <c r="E596" s="96" t="n"/>
      <c r="F596" s="96" t="n"/>
      <c r="G596" s="95">
        <f>IFERROR(VLOOKUP(F596,'12. Contratos_OS'!$A$6:$L$1000,2,FALSE),"")</f>
        <v/>
      </c>
      <c r="H596" s="95">
        <f>IFERROR(VLOOKUP(F596,'12. Contratos_OS'!$A$6:$L$1000,3,FALSE),"")</f>
        <v/>
      </c>
      <c r="I596" s="95">
        <f>IFERROR(VLOOKUP(F596,'12. Contratos_OS'!$A$6:$L$1000,4,FALSE),"")</f>
        <v/>
      </c>
      <c r="J596" s="95">
        <f>IFERROR(VLOOKUP(F596,'12. Contratos_OS'!$A$6:$L$1000,7,FALSE),"")</f>
        <v/>
      </c>
      <c r="K596" s="95">
        <f>IFERROR(VLOOKUP(J596,'11. Cadastro de Serviços'!$A$6:$E$200,2,FALSE),"")</f>
        <v/>
      </c>
      <c r="L596" s="95">
        <f>IFERROR(VLOOKUP(J596,'11. Cadastro de Serviços'!$A$6:$E$200,3,FALSE),"")</f>
        <v/>
      </c>
      <c r="M596" s="95">
        <f>IFERROR(VLOOKUP(J596,'11. Cadastro de Serviços'!$A$6:$E$200,4,FALSE),"")</f>
        <v/>
      </c>
      <c r="N596" s="95" t="n"/>
      <c r="O596" s="95">
        <f>IF(AND(G596&lt;&gt;"",I596&lt;&gt;"",J596&lt;&gt;"",M596&lt;&gt;""),"Rastreado","Revisar")</f>
        <v/>
      </c>
      <c r="P596" s="96" t="n"/>
    </row>
    <row r="597">
      <c r="A597" s="95" t="n"/>
      <c r="B597" s="96" t="n"/>
      <c r="C597" s="96" t="n"/>
      <c r="D597" s="95" t="n"/>
      <c r="E597" s="96" t="n"/>
      <c r="F597" s="96" t="n"/>
      <c r="G597" s="95">
        <f>IFERROR(VLOOKUP(F597,'12. Contratos_OS'!$A$6:$L$1000,2,FALSE),"")</f>
        <v/>
      </c>
      <c r="H597" s="95">
        <f>IFERROR(VLOOKUP(F597,'12. Contratos_OS'!$A$6:$L$1000,3,FALSE),"")</f>
        <v/>
      </c>
      <c r="I597" s="95">
        <f>IFERROR(VLOOKUP(F597,'12. Contratos_OS'!$A$6:$L$1000,4,FALSE),"")</f>
        <v/>
      </c>
      <c r="J597" s="95">
        <f>IFERROR(VLOOKUP(F597,'12. Contratos_OS'!$A$6:$L$1000,7,FALSE),"")</f>
        <v/>
      </c>
      <c r="K597" s="95">
        <f>IFERROR(VLOOKUP(J597,'11. Cadastro de Serviços'!$A$6:$E$200,2,FALSE),"")</f>
        <v/>
      </c>
      <c r="L597" s="95">
        <f>IFERROR(VLOOKUP(J597,'11. Cadastro de Serviços'!$A$6:$E$200,3,FALSE),"")</f>
        <v/>
      </c>
      <c r="M597" s="95">
        <f>IFERROR(VLOOKUP(J597,'11. Cadastro de Serviços'!$A$6:$E$200,4,FALSE),"")</f>
        <v/>
      </c>
      <c r="N597" s="95" t="n"/>
      <c r="O597" s="95">
        <f>IF(AND(G597&lt;&gt;"",I597&lt;&gt;"",J597&lt;&gt;"",M597&lt;&gt;""),"Rastreado","Revisar")</f>
        <v/>
      </c>
      <c r="P597" s="96" t="n"/>
    </row>
    <row r="598">
      <c r="A598" s="95" t="n"/>
      <c r="B598" s="96" t="n"/>
      <c r="C598" s="96" t="n"/>
      <c r="D598" s="95" t="n"/>
      <c r="E598" s="96" t="n"/>
      <c r="F598" s="96" t="n"/>
      <c r="G598" s="95">
        <f>IFERROR(VLOOKUP(F598,'12. Contratos_OS'!$A$6:$L$1000,2,FALSE),"")</f>
        <v/>
      </c>
      <c r="H598" s="95">
        <f>IFERROR(VLOOKUP(F598,'12. Contratos_OS'!$A$6:$L$1000,3,FALSE),"")</f>
        <v/>
      </c>
      <c r="I598" s="95">
        <f>IFERROR(VLOOKUP(F598,'12. Contratos_OS'!$A$6:$L$1000,4,FALSE),"")</f>
        <v/>
      </c>
      <c r="J598" s="95">
        <f>IFERROR(VLOOKUP(F598,'12. Contratos_OS'!$A$6:$L$1000,7,FALSE),"")</f>
        <v/>
      </c>
      <c r="K598" s="95">
        <f>IFERROR(VLOOKUP(J598,'11. Cadastro de Serviços'!$A$6:$E$200,2,FALSE),"")</f>
        <v/>
      </c>
      <c r="L598" s="95">
        <f>IFERROR(VLOOKUP(J598,'11. Cadastro de Serviços'!$A$6:$E$200,3,FALSE),"")</f>
        <v/>
      </c>
      <c r="M598" s="95">
        <f>IFERROR(VLOOKUP(J598,'11. Cadastro de Serviços'!$A$6:$E$200,4,FALSE),"")</f>
        <v/>
      </c>
      <c r="N598" s="95" t="n"/>
      <c r="O598" s="95">
        <f>IF(AND(G598&lt;&gt;"",I598&lt;&gt;"",J598&lt;&gt;"",M598&lt;&gt;""),"Rastreado","Revisar")</f>
        <v/>
      </c>
      <c r="P598" s="96" t="n"/>
    </row>
    <row r="599">
      <c r="A599" s="95" t="n"/>
      <c r="B599" s="96" t="n"/>
      <c r="C599" s="96" t="n"/>
      <c r="D599" s="95" t="n"/>
      <c r="E599" s="96" t="n"/>
      <c r="F599" s="96" t="n"/>
      <c r="G599" s="95">
        <f>IFERROR(VLOOKUP(F599,'12. Contratos_OS'!$A$6:$L$1000,2,FALSE),"")</f>
        <v/>
      </c>
      <c r="H599" s="95">
        <f>IFERROR(VLOOKUP(F599,'12. Contratos_OS'!$A$6:$L$1000,3,FALSE),"")</f>
        <v/>
      </c>
      <c r="I599" s="95">
        <f>IFERROR(VLOOKUP(F599,'12. Contratos_OS'!$A$6:$L$1000,4,FALSE),"")</f>
        <v/>
      </c>
      <c r="J599" s="95">
        <f>IFERROR(VLOOKUP(F599,'12. Contratos_OS'!$A$6:$L$1000,7,FALSE),"")</f>
        <v/>
      </c>
      <c r="K599" s="95">
        <f>IFERROR(VLOOKUP(J599,'11. Cadastro de Serviços'!$A$6:$E$200,2,FALSE),"")</f>
        <v/>
      </c>
      <c r="L599" s="95">
        <f>IFERROR(VLOOKUP(J599,'11. Cadastro de Serviços'!$A$6:$E$200,3,FALSE),"")</f>
        <v/>
      </c>
      <c r="M599" s="95">
        <f>IFERROR(VLOOKUP(J599,'11. Cadastro de Serviços'!$A$6:$E$200,4,FALSE),"")</f>
        <v/>
      </c>
      <c r="N599" s="95" t="n"/>
      <c r="O599" s="95">
        <f>IF(AND(G599&lt;&gt;"",I599&lt;&gt;"",J599&lt;&gt;"",M599&lt;&gt;""),"Rastreado","Revisar")</f>
        <v/>
      </c>
      <c r="P599" s="96" t="n"/>
    </row>
    <row r="600">
      <c r="A600" s="95" t="n"/>
      <c r="B600" s="96" t="n"/>
      <c r="C600" s="96" t="n"/>
      <c r="D600" s="95" t="n"/>
      <c r="E600" s="96" t="n"/>
      <c r="F600" s="96" t="n"/>
      <c r="G600" s="95">
        <f>IFERROR(VLOOKUP(F600,'12. Contratos_OS'!$A$6:$L$1000,2,FALSE),"")</f>
        <v/>
      </c>
      <c r="H600" s="95">
        <f>IFERROR(VLOOKUP(F600,'12. Contratos_OS'!$A$6:$L$1000,3,FALSE),"")</f>
        <v/>
      </c>
      <c r="I600" s="95">
        <f>IFERROR(VLOOKUP(F600,'12. Contratos_OS'!$A$6:$L$1000,4,FALSE),"")</f>
        <v/>
      </c>
      <c r="J600" s="95">
        <f>IFERROR(VLOOKUP(F600,'12. Contratos_OS'!$A$6:$L$1000,7,FALSE),"")</f>
        <v/>
      </c>
      <c r="K600" s="95">
        <f>IFERROR(VLOOKUP(J600,'11. Cadastro de Serviços'!$A$6:$E$200,2,FALSE),"")</f>
        <v/>
      </c>
      <c r="L600" s="95">
        <f>IFERROR(VLOOKUP(J600,'11. Cadastro de Serviços'!$A$6:$E$200,3,FALSE),"")</f>
        <v/>
      </c>
      <c r="M600" s="95">
        <f>IFERROR(VLOOKUP(J600,'11. Cadastro de Serviços'!$A$6:$E$200,4,FALSE),"")</f>
        <v/>
      </c>
      <c r="N600" s="95" t="n"/>
      <c r="O600" s="95">
        <f>IF(AND(G600&lt;&gt;"",I600&lt;&gt;"",J600&lt;&gt;"",M600&lt;&gt;""),"Rastreado","Revisar")</f>
        <v/>
      </c>
      <c r="P600" s="96" t="n"/>
    </row>
    <row r="601">
      <c r="A601" s="95" t="n"/>
      <c r="B601" s="96" t="n"/>
      <c r="C601" s="96" t="n"/>
      <c r="D601" s="95" t="n"/>
      <c r="E601" s="96" t="n"/>
      <c r="F601" s="96" t="n"/>
      <c r="G601" s="95">
        <f>IFERROR(VLOOKUP(F601,'12. Contratos_OS'!$A$6:$L$1000,2,FALSE),"")</f>
        <v/>
      </c>
      <c r="H601" s="95">
        <f>IFERROR(VLOOKUP(F601,'12. Contratos_OS'!$A$6:$L$1000,3,FALSE),"")</f>
        <v/>
      </c>
      <c r="I601" s="95">
        <f>IFERROR(VLOOKUP(F601,'12. Contratos_OS'!$A$6:$L$1000,4,FALSE),"")</f>
        <v/>
      </c>
      <c r="J601" s="95">
        <f>IFERROR(VLOOKUP(F601,'12. Contratos_OS'!$A$6:$L$1000,7,FALSE),"")</f>
        <v/>
      </c>
      <c r="K601" s="95">
        <f>IFERROR(VLOOKUP(J601,'11. Cadastro de Serviços'!$A$6:$E$200,2,FALSE),"")</f>
        <v/>
      </c>
      <c r="L601" s="95">
        <f>IFERROR(VLOOKUP(J601,'11. Cadastro de Serviços'!$A$6:$E$200,3,FALSE),"")</f>
        <v/>
      </c>
      <c r="M601" s="95">
        <f>IFERROR(VLOOKUP(J601,'11. Cadastro de Serviços'!$A$6:$E$200,4,FALSE),"")</f>
        <v/>
      </c>
      <c r="N601" s="95" t="n"/>
      <c r="O601" s="95">
        <f>IF(AND(G601&lt;&gt;"",I601&lt;&gt;"",J601&lt;&gt;"",M601&lt;&gt;""),"Rastreado","Revisar")</f>
        <v/>
      </c>
      <c r="P601" s="96" t="n"/>
    </row>
    <row r="602">
      <c r="A602" s="95" t="n"/>
      <c r="B602" s="96" t="n"/>
      <c r="C602" s="96" t="n"/>
      <c r="D602" s="95" t="n"/>
      <c r="E602" s="96" t="n"/>
      <c r="F602" s="96" t="n"/>
      <c r="G602" s="95">
        <f>IFERROR(VLOOKUP(F602,'12. Contratos_OS'!$A$6:$L$1000,2,FALSE),"")</f>
        <v/>
      </c>
      <c r="H602" s="95">
        <f>IFERROR(VLOOKUP(F602,'12. Contratos_OS'!$A$6:$L$1000,3,FALSE),"")</f>
        <v/>
      </c>
      <c r="I602" s="95">
        <f>IFERROR(VLOOKUP(F602,'12. Contratos_OS'!$A$6:$L$1000,4,FALSE),"")</f>
        <v/>
      </c>
      <c r="J602" s="95">
        <f>IFERROR(VLOOKUP(F602,'12. Contratos_OS'!$A$6:$L$1000,7,FALSE),"")</f>
        <v/>
      </c>
      <c r="K602" s="95">
        <f>IFERROR(VLOOKUP(J602,'11. Cadastro de Serviços'!$A$6:$E$200,2,FALSE),"")</f>
        <v/>
      </c>
      <c r="L602" s="95">
        <f>IFERROR(VLOOKUP(J602,'11. Cadastro de Serviços'!$A$6:$E$200,3,FALSE),"")</f>
        <v/>
      </c>
      <c r="M602" s="95">
        <f>IFERROR(VLOOKUP(J602,'11. Cadastro de Serviços'!$A$6:$E$200,4,FALSE),"")</f>
        <v/>
      </c>
      <c r="N602" s="95" t="n"/>
      <c r="O602" s="95">
        <f>IF(AND(G602&lt;&gt;"",I602&lt;&gt;"",J602&lt;&gt;"",M602&lt;&gt;""),"Rastreado","Revisar")</f>
        <v/>
      </c>
      <c r="P602" s="96" t="n"/>
    </row>
    <row r="603">
      <c r="A603" s="95" t="n"/>
      <c r="B603" s="96" t="n"/>
      <c r="C603" s="96" t="n"/>
      <c r="D603" s="95" t="n"/>
      <c r="E603" s="96" t="n"/>
      <c r="F603" s="96" t="n"/>
      <c r="G603" s="95">
        <f>IFERROR(VLOOKUP(F603,'12. Contratos_OS'!$A$6:$L$1000,2,FALSE),"")</f>
        <v/>
      </c>
      <c r="H603" s="95">
        <f>IFERROR(VLOOKUP(F603,'12. Contratos_OS'!$A$6:$L$1000,3,FALSE),"")</f>
        <v/>
      </c>
      <c r="I603" s="95">
        <f>IFERROR(VLOOKUP(F603,'12. Contratos_OS'!$A$6:$L$1000,4,FALSE),"")</f>
        <v/>
      </c>
      <c r="J603" s="95">
        <f>IFERROR(VLOOKUP(F603,'12. Contratos_OS'!$A$6:$L$1000,7,FALSE),"")</f>
        <v/>
      </c>
      <c r="K603" s="95">
        <f>IFERROR(VLOOKUP(J603,'11. Cadastro de Serviços'!$A$6:$E$200,2,FALSE),"")</f>
        <v/>
      </c>
      <c r="L603" s="95">
        <f>IFERROR(VLOOKUP(J603,'11. Cadastro de Serviços'!$A$6:$E$200,3,FALSE),"")</f>
        <v/>
      </c>
      <c r="M603" s="95">
        <f>IFERROR(VLOOKUP(J603,'11. Cadastro de Serviços'!$A$6:$E$200,4,FALSE),"")</f>
        <v/>
      </c>
      <c r="N603" s="95" t="n"/>
      <c r="O603" s="95">
        <f>IF(AND(G603&lt;&gt;"",I603&lt;&gt;"",J603&lt;&gt;"",M603&lt;&gt;""),"Rastreado","Revisar")</f>
        <v/>
      </c>
      <c r="P603" s="96" t="n"/>
    </row>
    <row r="604">
      <c r="A604" s="95" t="n"/>
      <c r="B604" s="96" t="n"/>
      <c r="C604" s="96" t="n"/>
      <c r="D604" s="95" t="n"/>
      <c r="E604" s="96" t="n"/>
      <c r="F604" s="96" t="n"/>
      <c r="G604" s="95">
        <f>IFERROR(VLOOKUP(F604,'12. Contratos_OS'!$A$6:$L$1000,2,FALSE),"")</f>
        <v/>
      </c>
      <c r="H604" s="95">
        <f>IFERROR(VLOOKUP(F604,'12. Contratos_OS'!$A$6:$L$1000,3,FALSE),"")</f>
        <v/>
      </c>
      <c r="I604" s="95">
        <f>IFERROR(VLOOKUP(F604,'12. Contratos_OS'!$A$6:$L$1000,4,FALSE),"")</f>
        <v/>
      </c>
      <c r="J604" s="95">
        <f>IFERROR(VLOOKUP(F604,'12. Contratos_OS'!$A$6:$L$1000,7,FALSE),"")</f>
        <v/>
      </c>
      <c r="K604" s="95">
        <f>IFERROR(VLOOKUP(J604,'11. Cadastro de Serviços'!$A$6:$E$200,2,FALSE),"")</f>
        <v/>
      </c>
      <c r="L604" s="95">
        <f>IFERROR(VLOOKUP(J604,'11. Cadastro de Serviços'!$A$6:$E$200,3,FALSE),"")</f>
        <v/>
      </c>
      <c r="M604" s="95">
        <f>IFERROR(VLOOKUP(J604,'11. Cadastro de Serviços'!$A$6:$E$200,4,FALSE),"")</f>
        <v/>
      </c>
      <c r="N604" s="95" t="n"/>
      <c r="O604" s="95">
        <f>IF(AND(G604&lt;&gt;"",I604&lt;&gt;"",J604&lt;&gt;"",M604&lt;&gt;""),"Rastreado","Revisar")</f>
        <v/>
      </c>
      <c r="P604" s="96" t="n"/>
    </row>
    <row r="605">
      <c r="A605" s="95" t="n"/>
      <c r="B605" s="96" t="n"/>
      <c r="C605" s="96" t="n"/>
      <c r="D605" s="95" t="n"/>
      <c r="E605" s="96" t="n"/>
      <c r="F605" s="96" t="n"/>
      <c r="G605" s="95">
        <f>IFERROR(VLOOKUP(F605,'12. Contratos_OS'!$A$6:$L$1000,2,FALSE),"")</f>
        <v/>
      </c>
      <c r="H605" s="95">
        <f>IFERROR(VLOOKUP(F605,'12. Contratos_OS'!$A$6:$L$1000,3,FALSE),"")</f>
        <v/>
      </c>
      <c r="I605" s="95">
        <f>IFERROR(VLOOKUP(F605,'12. Contratos_OS'!$A$6:$L$1000,4,FALSE),"")</f>
        <v/>
      </c>
      <c r="J605" s="95">
        <f>IFERROR(VLOOKUP(F605,'12. Contratos_OS'!$A$6:$L$1000,7,FALSE),"")</f>
        <v/>
      </c>
      <c r="K605" s="95">
        <f>IFERROR(VLOOKUP(J605,'11. Cadastro de Serviços'!$A$6:$E$200,2,FALSE),"")</f>
        <v/>
      </c>
      <c r="L605" s="95">
        <f>IFERROR(VLOOKUP(J605,'11. Cadastro de Serviços'!$A$6:$E$200,3,FALSE),"")</f>
        <v/>
      </c>
      <c r="M605" s="95">
        <f>IFERROR(VLOOKUP(J605,'11. Cadastro de Serviços'!$A$6:$E$200,4,FALSE),"")</f>
        <v/>
      </c>
      <c r="N605" s="95" t="n"/>
      <c r="O605" s="95">
        <f>IF(AND(G605&lt;&gt;"",I605&lt;&gt;"",J605&lt;&gt;"",M605&lt;&gt;""),"Rastreado","Revisar")</f>
        <v/>
      </c>
      <c r="P605" s="96" t="n"/>
    </row>
    <row r="606">
      <c r="A606" s="95" t="n"/>
      <c r="B606" s="96" t="n"/>
      <c r="C606" s="96" t="n"/>
      <c r="D606" s="95" t="n"/>
      <c r="E606" s="96" t="n"/>
      <c r="F606" s="96" t="n"/>
      <c r="G606" s="95">
        <f>IFERROR(VLOOKUP(F606,'12. Contratos_OS'!$A$6:$L$1000,2,FALSE),"")</f>
        <v/>
      </c>
      <c r="H606" s="95">
        <f>IFERROR(VLOOKUP(F606,'12. Contratos_OS'!$A$6:$L$1000,3,FALSE),"")</f>
        <v/>
      </c>
      <c r="I606" s="95">
        <f>IFERROR(VLOOKUP(F606,'12. Contratos_OS'!$A$6:$L$1000,4,FALSE),"")</f>
        <v/>
      </c>
      <c r="J606" s="95">
        <f>IFERROR(VLOOKUP(F606,'12. Contratos_OS'!$A$6:$L$1000,7,FALSE),"")</f>
        <v/>
      </c>
      <c r="K606" s="95">
        <f>IFERROR(VLOOKUP(J606,'11. Cadastro de Serviços'!$A$6:$E$200,2,FALSE),"")</f>
        <v/>
      </c>
      <c r="L606" s="95">
        <f>IFERROR(VLOOKUP(J606,'11. Cadastro de Serviços'!$A$6:$E$200,3,FALSE),"")</f>
        <v/>
      </c>
      <c r="M606" s="95">
        <f>IFERROR(VLOOKUP(J606,'11. Cadastro de Serviços'!$A$6:$E$200,4,FALSE),"")</f>
        <v/>
      </c>
      <c r="N606" s="95" t="n"/>
      <c r="O606" s="95">
        <f>IF(AND(G606&lt;&gt;"",I606&lt;&gt;"",J606&lt;&gt;"",M606&lt;&gt;""),"Rastreado","Revisar")</f>
        <v/>
      </c>
      <c r="P606" s="96" t="n"/>
    </row>
    <row r="607">
      <c r="A607" s="95" t="n"/>
      <c r="B607" s="96" t="n"/>
      <c r="C607" s="96" t="n"/>
      <c r="D607" s="95" t="n"/>
      <c r="E607" s="96" t="n"/>
      <c r="F607" s="96" t="n"/>
      <c r="G607" s="95">
        <f>IFERROR(VLOOKUP(F607,'12. Contratos_OS'!$A$6:$L$1000,2,FALSE),"")</f>
        <v/>
      </c>
      <c r="H607" s="95">
        <f>IFERROR(VLOOKUP(F607,'12. Contratos_OS'!$A$6:$L$1000,3,FALSE),"")</f>
        <v/>
      </c>
      <c r="I607" s="95">
        <f>IFERROR(VLOOKUP(F607,'12. Contratos_OS'!$A$6:$L$1000,4,FALSE),"")</f>
        <v/>
      </c>
      <c r="J607" s="95">
        <f>IFERROR(VLOOKUP(F607,'12. Contratos_OS'!$A$6:$L$1000,7,FALSE),"")</f>
        <v/>
      </c>
      <c r="K607" s="95">
        <f>IFERROR(VLOOKUP(J607,'11. Cadastro de Serviços'!$A$6:$E$200,2,FALSE),"")</f>
        <v/>
      </c>
      <c r="L607" s="95">
        <f>IFERROR(VLOOKUP(J607,'11. Cadastro de Serviços'!$A$6:$E$200,3,FALSE),"")</f>
        <v/>
      </c>
      <c r="M607" s="95">
        <f>IFERROR(VLOOKUP(J607,'11. Cadastro de Serviços'!$A$6:$E$200,4,FALSE),"")</f>
        <v/>
      </c>
      <c r="N607" s="95" t="n"/>
      <c r="O607" s="95">
        <f>IF(AND(G607&lt;&gt;"",I607&lt;&gt;"",J607&lt;&gt;"",M607&lt;&gt;""),"Rastreado","Revisar")</f>
        <v/>
      </c>
      <c r="P607" s="96" t="n"/>
    </row>
    <row r="608">
      <c r="A608" s="95" t="n"/>
      <c r="B608" s="96" t="n"/>
      <c r="C608" s="96" t="n"/>
      <c r="D608" s="95" t="n"/>
      <c r="E608" s="96" t="n"/>
      <c r="F608" s="96" t="n"/>
      <c r="G608" s="95">
        <f>IFERROR(VLOOKUP(F608,'12. Contratos_OS'!$A$6:$L$1000,2,FALSE),"")</f>
        <v/>
      </c>
      <c r="H608" s="95">
        <f>IFERROR(VLOOKUP(F608,'12. Contratos_OS'!$A$6:$L$1000,3,FALSE),"")</f>
        <v/>
      </c>
      <c r="I608" s="95">
        <f>IFERROR(VLOOKUP(F608,'12. Contratos_OS'!$A$6:$L$1000,4,FALSE),"")</f>
        <v/>
      </c>
      <c r="J608" s="95">
        <f>IFERROR(VLOOKUP(F608,'12. Contratos_OS'!$A$6:$L$1000,7,FALSE),"")</f>
        <v/>
      </c>
      <c r="K608" s="95">
        <f>IFERROR(VLOOKUP(J608,'11. Cadastro de Serviços'!$A$6:$E$200,2,FALSE),"")</f>
        <v/>
      </c>
      <c r="L608" s="95">
        <f>IFERROR(VLOOKUP(J608,'11. Cadastro de Serviços'!$A$6:$E$200,3,FALSE),"")</f>
        <v/>
      </c>
      <c r="M608" s="95">
        <f>IFERROR(VLOOKUP(J608,'11. Cadastro de Serviços'!$A$6:$E$200,4,FALSE),"")</f>
        <v/>
      </c>
      <c r="N608" s="95" t="n"/>
      <c r="O608" s="95">
        <f>IF(AND(G608&lt;&gt;"",I608&lt;&gt;"",J608&lt;&gt;"",M608&lt;&gt;""),"Rastreado","Revisar")</f>
        <v/>
      </c>
      <c r="P608" s="96" t="n"/>
    </row>
    <row r="609">
      <c r="A609" s="95" t="n"/>
      <c r="B609" s="96" t="n"/>
      <c r="C609" s="96" t="n"/>
      <c r="D609" s="95" t="n"/>
      <c r="E609" s="96" t="n"/>
      <c r="F609" s="96" t="n"/>
      <c r="G609" s="95">
        <f>IFERROR(VLOOKUP(F609,'12. Contratos_OS'!$A$6:$L$1000,2,FALSE),"")</f>
        <v/>
      </c>
      <c r="H609" s="95">
        <f>IFERROR(VLOOKUP(F609,'12. Contratos_OS'!$A$6:$L$1000,3,FALSE),"")</f>
        <v/>
      </c>
      <c r="I609" s="95">
        <f>IFERROR(VLOOKUP(F609,'12. Contratos_OS'!$A$6:$L$1000,4,FALSE),"")</f>
        <v/>
      </c>
      <c r="J609" s="95">
        <f>IFERROR(VLOOKUP(F609,'12. Contratos_OS'!$A$6:$L$1000,7,FALSE),"")</f>
        <v/>
      </c>
      <c r="K609" s="95">
        <f>IFERROR(VLOOKUP(J609,'11. Cadastro de Serviços'!$A$6:$E$200,2,FALSE),"")</f>
        <v/>
      </c>
      <c r="L609" s="95">
        <f>IFERROR(VLOOKUP(J609,'11. Cadastro de Serviços'!$A$6:$E$200,3,FALSE),"")</f>
        <v/>
      </c>
      <c r="M609" s="95">
        <f>IFERROR(VLOOKUP(J609,'11. Cadastro de Serviços'!$A$6:$E$200,4,FALSE),"")</f>
        <v/>
      </c>
      <c r="N609" s="95" t="n"/>
      <c r="O609" s="95">
        <f>IF(AND(G609&lt;&gt;"",I609&lt;&gt;"",J609&lt;&gt;"",M609&lt;&gt;""),"Rastreado","Revisar")</f>
        <v/>
      </c>
      <c r="P609" s="96" t="n"/>
    </row>
    <row r="610">
      <c r="A610" s="95" t="n"/>
      <c r="B610" s="96" t="n"/>
      <c r="C610" s="96" t="n"/>
      <c r="D610" s="95" t="n"/>
      <c r="E610" s="96" t="n"/>
      <c r="F610" s="96" t="n"/>
      <c r="G610" s="95">
        <f>IFERROR(VLOOKUP(F610,'12. Contratos_OS'!$A$6:$L$1000,2,FALSE),"")</f>
        <v/>
      </c>
      <c r="H610" s="95">
        <f>IFERROR(VLOOKUP(F610,'12. Contratos_OS'!$A$6:$L$1000,3,FALSE),"")</f>
        <v/>
      </c>
      <c r="I610" s="95">
        <f>IFERROR(VLOOKUP(F610,'12. Contratos_OS'!$A$6:$L$1000,4,FALSE),"")</f>
        <v/>
      </c>
      <c r="J610" s="95">
        <f>IFERROR(VLOOKUP(F610,'12. Contratos_OS'!$A$6:$L$1000,7,FALSE),"")</f>
        <v/>
      </c>
      <c r="K610" s="95">
        <f>IFERROR(VLOOKUP(J610,'11. Cadastro de Serviços'!$A$6:$E$200,2,FALSE),"")</f>
        <v/>
      </c>
      <c r="L610" s="95">
        <f>IFERROR(VLOOKUP(J610,'11. Cadastro de Serviços'!$A$6:$E$200,3,FALSE),"")</f>
        <v/>
      </c>
      <c r="M610" s="95">
        <f>IFERROR(VLOOKUP(J610,'11. Cadastro de Serviços'!$A$6:$E$200,4,FALSE),"")</f>
        <v/>
      </c>
      <c r="N610" s="95" t="n"/>
      <c r="O610" s="95">
        <f>IF(AND(G610&lt;&gt;"",I610&lt;&gt;"",J610&lt;&gt;"",M610&lt;&gt;""),"Rastreado","Revisar")</f>
        <v/>
      </c>
      <c r="P610" s="96" t="n"/>
    </row>
    <row r="611">
      <c r="A611" s="95" t="n"/>
      <c r="B611" s="96" t="n"/>
      <c r="C611" s="96" t="n"/>
      <c r="D611" s="95" t="n"/>
      <c r="E611" s="96" t="n"/>
      <c r="F611" s="96" t="n"/>
      <c r="G611" s="95">
        <f>IFERROR(VLOOKUP(F611,'12. Contratos_OS'!$A$6:$L$1000,2,FALSE),"")</f>
        <v/>
      </c>
      <c r="H611" s="95">
        <f>IFERROR(VLOOKUP(F611,'12. Contratos_OS'!$A$6:$L$1000,3,FALSE),"")</f>
        <v/>
      </c>
      <c r="I611" s="95">
        <f>IFERROR(VLOOKUP(F611,'12. Contratos_OS'!$A$6:$L$1000,4,FALSE),"")</f>
        <v/>
      </c>
      <c r="J611" s="95">
        <f>IFERROR(VLOOKUP(F611,'12. Contratos_OS'!$A$6:$L$1000,7,FALSE),"")</f>
        <v/>
      </c>
      <c r="K611" s="95">
        <f>IFERROR(VLOOKUP(J611,'11. Cadastro de Serviços'!$A$6:$E$200,2,FALSE),"")</f>
        <v/>
      </c>
      <c r="L611" s="95">
        <f>IFERROR(VLOOKUP(J611,'11. Cadastro de Serviços'!$A$6:$E$200,3,FALSE),"")</f>
        <v/>
      </c>
      <c r="M611" s="95">
        <f>IFERROR(VLOOKUP(J611,'11. Cadastro de Serviços'!$A$6:$E$200,4,FALSE),"")</f>
        <v/>
      </c>
      <c r="N611" s="95" t="n"/>
      <c r="O611" s="95">
        <f>IF(AND(G611&lt;&gt;"",I611&lt;&gt;"",J611&lt;&gt;"",M611&lt;&gt;""),"Rastreado","Revisar")</f>
        <v/>
      </c>
      <c r="P611" s="96" t="n"/>
    </row>
    <row r="612">
      <c r="A612" s="95" t="n"/>
      <c r="B612" s="96" t="n"/>
      <c r="C612" s="96" t="n"/>
      <c r="D612" s="95" t="n"/>
      <c r="E612" s="96" t="n"/>
      <c r="F612" s="96" t="n"/>
      <c r="G612" s="95">
        <f>IFERROR(VLOOKUP(F612,'12. Contratos_OS'!$A$6:$L$1000,2,FALSE),"")</f>
        <v/>
      </c>
      <c r="H612" s="95">
        <f>IFERROR(VLOOKUP(F612,'12. Contratos_OS'!$A$6:$L$1000,3,FALSE),"")</f>
        <v/>
      </c>
      <c r="I612" s="95">
        <f>IFERROR(VLOOKUP(F612,'12. Contratos_OS'!$A$6:$L$1000,4,FALSE),"")</f>
        <v/>
      </c>
      <c r="J612" s="95">
        <f>IFERROR(VLOOKUP(F612,'12. Contratos_OS'!$A$6:$L$1000,7,FALSE),"")</f>
        <v/>
      </c>
      <c r="K612" s="95">
        <f>IFERROR(VLOOKUP(J612,'11. Cadastro de Serviços'!$A$6:$E$200,2,FALSE),"")</f>
        <v/>
      </c>
      <c r="L612" s="95">
        <f>IFERROR(VLOOKUP(J612,'11. Cadastro de Serviços'!$A$6:$E$200,3,FALSE),"")</f>
        <v/>
      </c>
      <c r="M612" s="95">
        <f>IFERROR(VLOOKUP(J612,'11. Cadastro de Serviços'!$A$6:$E$200,4,FALSE),"")</f>
        <v/>
      </c>
      <c r="N612" s="95" t="n"/>
      <c r="O612" s="95">
        <f>IF(AND(G612&lt;&gt;"",I612&lt;&gt;"",J612&lt;&gt;"",M612&lt;&gt;""),"Rastreado","Revisar")</f>
        <v/>
      </c>
      <c r="P612" s="96" t="n"/>
    </row>
    <row r="613">
      <c r="A613" s="95" t="n"/>
      <c r="B613" s="96" t="n"/>
      <c r="C613" s="96" t="n"/>
      <c r="D613" s="95" t="n"/>
      <c r="E613" s="96" t="n"/>
      <c r="F613" s="96" t="n"/>
      <c r="G613" s="95">
        <f>IFERROR(VLOOKUP(F613,'12. Contratos_OS'!$A$6:$L$1000,2,FALSE),"")</f>
        <v/>
      </c>
      <c r="H613" s="95">
        <f>IFERROR(VLOOKUP(F613,'12. Contratos_OS'!$A$6:$L$1000,3,FALSE),"")</f>
        <v/>
      </c>
      <c r="I613" s="95">
        <f>IFERROR(VLOOKUP(F613,'12. Contratos_OS'!$A$6:$L$1000,4,FALSE),"")</f>
        <v/>
      </c>
      <c r="J613" s="95">
        <f>IFERROR(VLOOKUP(F613,'12. Contratos_OS'!$A$6:$L$1000,7,FALSE),"")</f>
        <v/>
      </c>
      <c r="K613" s="95">
        <f>IFERROR(VLOOKUP(J613,'11. Cadastro de Serviços'!$A$6:$E$200,2,FALSE),"")</f>
        <v/>
      </c>
      <c r="L613" s="95">
        <f>IFERROR(VLOOKUP(J613,'11. Cadastro de Serviços'!$A$6:$E$200,3,FALSE),"")</f>
        <v/>
      </c>
      <c r="M613" s="95">
        <f>IFERROR(VLOOKUP(J613,'11. Cadastro de Serviços'!$A$6:$E$200,4,FALSE),"")</f>
        <v/>
      </c>
      <c r="N613" s="95" t="n"/>
      <c r="O613" s="95">
        <f>IF(AND(G613&lt;&gt;"",I613&lt;&gt;"",J613&lt;&gt;"",M613&lt;&gt;""),"Rastreado","Revisar")</f>
        <v/>
      </c>
      <c r="P613" s="96" t="n"/>
    </row>
    <row r="614">
      <c r="A614" s="95" t="n"/>
      <c r="B614" s="96" t="n"/>
      <c r="C614" s="96" t="n"/>
      <c r="D614" s="95" t="n"/>
      <c r="E614" s="96" t="n"/>
      <c r="F614" s="96" t="n"/>
      <c r="G614" s="95">
        <f>IFERROR(VLOOKUP(F614,'12. Contratos_OS'!$A$6:$L$1000,2,FALSE),"")</f>
        <v/>
      </c>
      <c r="H614" s="95">
        <f>IFERROR(VLOOKUP(F614,'12. Contratos_OS'!$A$6:$L$1000,3,FALSE),"")</f>
        <v/>
      </c>
      <c r="I614" s="95">
        <f>IFERROR(VLOOKUP(F614,'12. Contratos_OS'!$A$6:$L$1000,4,FALSE),"")</f>
        <v/>
      </c>
      <c r="J614" s="95">
        <f>IFERROR(VLOOKUP(F614,'12. Contratos_OS'!$A$6:$L$1000,7,FALSE),"")</f>
        <v/>
      </c>
      <c r="K614" s="95">
        <f>IFERROR(VLOOKUP(J614,'11. Cadastro de Serviços'!$A$6:$E$200,2,FALSE),"")</f>
        <v/>
      </c>
      <c r="L614" s="95">
        <f>IFERROR(VLOOKUP(J614,'11. Cadastro de Serviços'!$A$6:$E$200,3,FALSE),"")</f>
        <v/>
      </c>
      <c r="M614" s="95">
        <f>IFERROR(VLOOKUP(J614,'11. Cadastro de Serviços'!$A$6:$E$200,4,FALSE),"")</f>
        <v/>
      </c>
      <c r="N614" s="95" t="n"/>
      <c r="O614" s="95">
        <f>IF(AND(G614&lt;&gt;"",I614&lt;&gt;"",J614&lt;&gt;"",M614&lt;&gt;""),"Rastreado","Revisar")</f>
        <v/>
      </c>
      <c r="P614" s="96" t="n"/>
    </row>
    <row r="615">
      <c r="A615" s="95" t="n"/>
      <c r="B615" s="96" t="n"/>
      <c r="C615" s="96" t="n"/>
      <c r="D615" s="95" t="n"/>
      <c r="E615" s="96" t="n"/>
      <c r="F615" s="96" t="n"/>
      <c r="G615" s="95">
        <f>IFERROR(VLOOKUP(F615,'12. Contratos_OS'!$A$6:$L$1000,2,FALSE),"")</f>
        <v/>
      </c>
      <c r="H615" s="95">
        <f>IFERROR(VLOOKUP(F615,'12. Contratos_OS'!$A$6:$L$1000,3,FALSE),"")</f>
        <v/>
      </c>
      <c r="I615" s="95">
        <f>IFERROR(VLOOKUP(F615,'12. Contratos_OS'!$A$6:$L$1000,4,FALSE),"")</f>
        <v/>
      </c>
      <c r="J615" s="95">
        <f>IFERROR(VLOOKUP(F615,'12. Contratos_OS'!$A$6:$L$1000,7,FALSE),"")</f>
        <v/>
      </c>
      <c r="K615" s="95">
        <f>IFERROR(VLOOKUP(J615,'11. Cadastro de Serviços'!$A$6:$E$200,2,FALSE),"")</f>
        <v/>
      </c>
      <c r="L615" s="95">
        <f>IFERROR(VLOOKUP(J615,'11. Cadastro de Serviços'!$A$6:$E$200,3,FALSE),"")</f>
        <v/>
      </c>
      <c r="M615" s="95">
        <f>IFERROR(VLOOKUP(J615,'11. Cadastro de Serviços'!$A$6:$E$200,4,FALSE),"")</f>
        <v/>
      </c>
      <c r="N615" s="95" t="n"/>
      <c r="O615" s="95">
        <f>IF(AND(G615&lt;&gt;"",I615&lt;&gt;"",J615&lt;&gt;"",M615&lt;&gt;""),"Rastreado","Revisar")</f>
        <v/>
      </c>
      <c r="P615" s="96" t="n"/>
    </row>
    <row r="616">
      <c r="A616" s="95" t="n"/>
      <c r="B616" s="96" t="n"/>
      <c r="C616" s="96" t="n"/>
      <c r="D616" s="95" t="n"/>
      <c r="E616" s="96" t="n"/>
      <c r="F616" s="96" t="n"/>
      <c r="G616" s="95">
        <f>IFERROR(VLOOKUP(F616,'12. Contratos_OS'!$A$6:$L$1000,2,FALSE),"")</f>
        <v/>
      </c>
      <c r="H616" s="95">
        <f>IFERROR(VLOOKUP(F616,'12. Contratos_OS'!$A$6:$L$1000,3,FALSE),"")</f>
        <v/>
      </c>
      <c r="I616" s="95">
        <f>IFERROR(VLOOKUP(F616,'12. Contratos_OS'!$A$6:$L$1000,4,FALSE),"")</f>
        <v/>
      </c>
      <c r="J616" s="95">
        <f>IFERROR(VLOOKUP(F616,'12. Contratos_OS'!$A$6:$L$1000,7,FALSE),"")</f>
        <v/>
      </c>
      <c r="K616" s="95">
        <f>IFERROR(VLOOKUP(J616,'11. Cadastro de Serviços'!$A$6:$E$200,2,FALSE),"")</f>
        <v/>
      </c>
      <c r="L616" s="95">
        <f>IFERROR(VLOOKUP(J616,'11. Cadastro de Serviços'!$A$6:$E$200,3,FALSE),"")</f>
        <v/>
      </c>
      <c r="M616" s="95">
        <f>IFERROR(VLOOKUP(J616,'11. Cadastro de Serviços'!$A$6:$E$200,4,FALSE),"")</f>
        <v/>
      </c>
      <c r="N616" s="95" t="n"/>
      <c r="O616" s="95">
        <f>IF(AND(G616&lt;&gt;"",I616&lt;&gt;"",J616&lt;&gt;"",M616&lt;&gt;""),"Rastreado","Revisar")</f>
        <v/>
      </c>
      <c r="P616" s="96" t="n"/>
    </row>
    <row r="617">
      <c r="A617" s="95" t="n"/>
      <c r="B617" s="96" t="n"/>
      <c r="C617" s="96" t="n"/>
      <c r="D617" s="95" t="n"/>
      <c r="E617" s="96" t="n"/>
      <c r="F617" s="96" t="n"/>
      <c r="G617" s="95">
        <f>IFERROR(VLOOKUP(F617,'12. Contratos_OS'!$A$6:$L$1000,2,FALSE),"")</f>
        <v/>
      </c>
      <c r="H617" s="95">
        <f>IFERROR(VLOOKUP(F617,'12. Contratos_OS'!$A$6:$L$1000,3,FALSE),"")</f>
        <v/>
      </c>
      <c r="I617" s="95">
        <f>IFERROR(VLOOKUP(F617,'12. Contratos_OS'!$A$6:$L$1000,4,FALSE),"")</f>
        <v/>
      </c>
      <c r="J617" s="95">
        <f>IFERROR(VLOOKUP(F617,'12. Contratos_OS'!$A$6:$L$1000,7,FALSE),"")</f>
        <v/>
      </c>
      <c r="K617" s="95">
        <f>IFERROR(VLOOKUP(J617,'11. Cadastro de Serviços'!$A$6:$E$200,2,FALSE),"")</f>
        <v/>
      </c>
      <c r="L617" s="95">
        <f>IFERROR(VLOOKUP(J617,'11. Cadastro de Serviços'!$A$6:$E$200,3,FALSE),"")</f>
        <v/>
      </c>
      <c r="M617" s="95">
        <f>IFERROR(VLOOKUP(J617,'11. Cadastro de Serviços'!$A$6:$E$200,4,FALSE),"")</f>
        <v/>
      </c>
      <c r="N617" s="95" t="n"/>
      <c r="O617" s="95">
        <f>IF(AND(G617&lt;&gt;"",I617&lt;&gt;"",J617&lt;&gt;"",M617&lt;&gt;""),"Rastreado","Revisar")</f>
        <v/>
      </c>
      <c r="P617" s="96" t="n"/>
    </row>
    <row r="618">
      <c r="A618" s="95" t="n"/>
      <c r="B618" s="96" t="n"/>
      <c r="C618" s="96" t="n"/>
      <c r="D618" s="95" t="n"/>
      <c r="E618" s="96" t="n"/>
      <c r="F618" s="96" t="n"/>
      <c r="G618" s="95">
        <f>IFERROR(VLOOKUP(F618,'12. Contratos_OS'!$A$6:$L$1000,2,FALSE),"")</f>
        <v/>
      </c>
      <c r="H618" s="95">
        <f>IFERROR(VLOOKUP(F618,'12. Contratos_OS'!$A$6:$L$1000,3,FALSE),"")</f>
        <v/>
      </c>
      <c r="I618" s="95">
        <f>IFERROR(VLOOKUP(F618,'12. Contratos_OS'!$A$6:$L$1000,4,FALSE),"")</f>
        <v/>
      </c>
      <c r="J618" s="95">
        <f>IFERROR(VLOOKUP(F618,'12. Contratos_OS'!$A$6:$L$1000,7,FALSE),"")</f>
        <v/>
      </c>
      <c r="K618" s="95">
        <f>IFERROR(VLOOKUP(J618,'11. Cadastro de Serviços'!$A$6:$E$200,2,FALSE),"")</f>
        <v/>
      </c>
      <c r="L618" s="95">
        <f>IFERROR(VLOOKUP(J618,'11. Cadastro de Serviços'!$A$6:$E$200,3,FALSE),"")</f>
        <v/>
      </c>
      <c r="M618" s="95">
        <f>IFERROR(VLOOKUP(J618,'11. Cadastro de Serviços'!$A$6:$E$200,4,FALSE),"")</f>
        <v/>
      </c>
      <c r="N618" s="95" t="n"/>
      <c r="O618" s="95">
        <f>IF(AND(G618&lt;&gt;"",I618&lt;&gt;"",J618&lt;&gt;"",M618&lt;&gt;""),"Rastreado","Revisar")</f>
        <v/>
      </c>
      <c r="P618" s="96" t="n"/>
    </row>
    <row r="619">
      <c r="A619" s="95" t="n"/>
      <c r="B619" s="96" t="n"/>
      <c r="C619" s="96" t="n"/>
      <c r="D619" s="95" t="n"/>
      <c r="E619" s="96" t="n"/>
      <c r="F619" s="96" t="n"/>
      <c r="G619" s="95">
        <f>IFERROR(VLOOKUP(F619,'12. Contratos_OS'!$A$6:$L$1000,2,FALSE),"")</f>
        <v/>
      </c>
      <c r="H619" s="95">
        <f>IFERROR(VLOOKUP(F619,'12. Contratos_OS'!$A$6:$L$1000,3,FALSE),"")</f>
        <v/>
      </c>
      <c r="I619" s="95">
        <f>IFERROR(VLOOKUP(F619,'12. Contratos_OS'!$A$6:$L$1000,4,FALSE),"")</f>
        <v/>
      </c>
      <c r="J619" s="95">
        <f>IFERROR(VLOOKUP(F619,'12. Contratos_OS'!$A$6:$L$1000,7,FALSE),"")</f>
        <v/>
      </c>
      <c r="K619" s="95">
        <f>IFERROR(VLOOKUP(J619,'11. Cadastro de Serviços'!$A$6:$E$200,2,FALSE),"")</f>
        <v/>
      </c>
      <c r="L619" s="95">
        <f>IFERROR(VLOOKUP(J619,'11. Cadastro de Serviços'!$A$6:$E$200,3,FALSE),"")</f>
        <v/>
      </c>
      <c r="M619" s="95">
        <f>IFERROR(VLOOKUP(J619,'11. Cadastro de Serviços'!$A$6:$E$200,4,FALSE),"")</f>
        <v/>
      </c>
      <c r="N619" s="95" t="n"/>
      <c r="O619" s="95">
        <f>IF(AND(G619&lt;&gt;"",I619&lt;&gt;"",J619&lt;&gt;"",M619&lt;&gt;""),"Rastreado","Revisar")</f>
        <v/>
      </c>
      <c r="P619" s="96" t="n"/>
    </row>
    <row r="620">
      <c r="A620" s="95" t="n"/>
      <c r="B620" s="96" t="n"/>
      <c r="C620" s="96" t="n"/>
      <c r="D620" s="95" t="n"/>
      <c r="E620" s="96" t="n"/>
      <c r="F620" s="96" t="n"/>
      <c r="G620" s="95">
        <f>IFERROR(VLOOKUP(F620,'12. Contratos_OS'!$A$6:$L$1000,2,FALSE),"")</f>
        <v/>
      </c>
      <c r="H620" s="95">
        <f>IFERROR(VLOOKUP(F620,'12. Contratos_OS'!$A$6:$L$1000,3,FALSE),"")</f>
        <v/>
      </c>
      <c r="I620" s="95">
        <f>IFERROR(VLOOKUP(F620,'12. Contratos_OS'!$A$6:$L$1000,4,FALSE),"")</f>
        <v/>
      </c>
      <c r="J620" s="95">
        <f>IFERROR(VLOOKUP(F620,'12. Contratos_OS'!$A$6:$L$1000,7,FALSE),"")</f>
        <v/>
      </c>
      <c r="K620" s="95">
        <f>IFERROR(VLOOKUP(J620,'11. Cadastro de Serviços'!$A$6:$E$200,2,FALSE),"")</f>
        <v/>
      </c>
      <c r="L620" s="95">
        <f>IFERROR(VLOOKUP(J620,'11. Cadastro de Serviços'!$A$6:$E$200,3,FALSE),"")</f>
        <v/>
      </c>
      <c r="M620" s="95">
        <f>IFERROR(VLOOKUP(J620,'11. Cadastro de Serviços'!$A$6:$E$200,4,FALSE),"")</f>
        <v/>
      </c>
      <c r="N620" s="95" t="n"/>
      <c r="O620" s="95">
        <f>IF(AND(G620&lt;&gt;"",I620&lt;&gt;"",J620&lt;&gt;"",M620&lt;&gt;""),"Rastreado","Revisar")</f>
        <v/>
      </c>
      <c r="P620" s="96" t="n"/>
    </row>
    <row r="621">
      <c r="A621" s="95" t="n"/>
      <c r="B621" s="96" t="n"/>
      <c r="C621" s="96" t="n"/>
      <c r="D621" s="95" t="n"/>
      <c r="E621" s="96" t="n"/>
      <c r="F621" s="96" t="n"/>
      <c r="G621" s="95">
        <f>IFERROR(VLOOKUP(F621,'12. Contratos_OS'!$A$6:$L$1000,2,FALSE),"")</f>
        <v/>
      </c>
      <c r="H621" s="95">
        <f>IFERROR(VLOOKUP(F621,'12. Contratos_OS'!$A$6:$L$1000,3,FALSE),"")</f>
        <v/>
      </c>
      <c r="I621" s="95">
        <f>IFERROR(VLOOKUP(F621,'12. Contratos_OS'!$A$6:$L$1000,4,FALSE),"")</f>
        <v/>
      </c>
      <c r="J621" s="95">
        <f>IFERROR(VLOOKUP(F621,'12. Contratos_OS'!$A$6:$L$1000,7,FALSE),"")</f>
        <v/>
      </c>
      <c r="K621" s="95">
        <f>IFERROR(VLOOKUP(J621,'11. Cadastro de Serviços'!$A$6:$E$200,2,FALSE),"")</f>
        <v/>
      </c>
      <c r="L621" s="95">
        <f>IFERROR(VLOOKUP(J621,'11. Cadastro de Serviços'!$A$6:$E$200,3,FALSE),"")</f>
        <v/>
      </c>
      <c r="M621" s="95">
        <f>IFERROR(VLOOKUP(J621,'11. Cadastro de Serviços'!$A$6:$E$200,4,FALSE),"")</f>
        <v/>
      </c>
      <c r="N621" s="95" t="n"/>
      <c r="O621" s="95">
        <f>IF(AND(G621&lt;&gt;"",I621&lt;&gt;"",J621&lt;&gt;"",M621&lt;&gt;""),"Rastreado","Revisar")</f>
        <v/>
      </c>
      <c r="P621" s="96" t="n"/>
    </row>
    <row r="622">
      <c r="A622" s="95" t="n"/>
      <c r="B622" s="96" t="n"/>
      <c r="C622" s="96" t="n"/>
      <c r="D622" s="95" t="n"/>
      <c r="E622" s="96" t="n"/>
      <c r="F622" s="96" t="n"/>
      <c r="G622" s="95">
        <f>IFERROR(VLOOKUP(F622,'12. Contratos_OS'!$A$6:$L$1000,2,FALSE),"")</f>
        <v/>
      </c>
      <c r="H622" s="95">
        <f>IFERROR(VLOOKUP(F622,'12. Contratos_OS'!$A$6:$L$1000,3,FALSE),"")</f>
        <v/>
      </c>
      <c r="I622" s="95">
        <f>IFERROR(VLOOKUP(F622,'12. Contratos_OS'!$A$6:$L$1000,4,FALSE),"")</f>
        <v/>
      </c>
      <c r="J622" s="95">
        <f>IFERROR(VLOOKUP(F622,'12. Contratos_OS'!$A$6:$L$1000,7,FALSE),"")</f>
        <v/>
      </c>
      <c r="K622" s="95">
        <f>IFERROR(VLOOKUP(J622,'11. Cadastro de Serviços'!$A$6:$E$200,2,FALSE),"")</f>
        <v/>
      </c>
      <c r="L622" s="95">
        <f>IFERROR(VLOOKUP(J622,'11. Cadastro de Serviços'!$A$6:$E$200,3,FALSE),"")</f>
        <v/>
      </c>
      <c r="M622" s="95">
        <f>IFERROR(VLOOKUP(J622,'11. Cadastro de Serviços'!$A$6:$E$200,4,FALSE),"")</f>
        <v/>
      </c>
      <c r="N622" s="95" t="n"/>
      <c r="O622" s="95">
        <f>IF(AND(G622&lt;&gt;"",I622&lt;&gt;"",J622&lt;&gt;"",M622&lt;&gt;""),"Rastreado","Revisar")</f>
        <v/>
      </c>
      <c r="P622" s="96" t="n"/>
    </row>
    <row r="623">
      <c r="A623" s="95" t="n"/>
      <c r="B623" s="96" t="n"/>
      <c r="C623" s="96" t="n"/>
      <c r="D623" s="95" t="n"/>
      <c r="E623" s="96" t="n"/>
      <c r="F623" s="96" t="n"/>
      <c r="G623" s="95">
        <f>IFERROR(VLOOKUP(F623,'12. Contratos_OS'!$A$6:$L$1000,2,FALSE),"")</f>
        <v/>
      </c>
      <c r="H623" s="95">
        <f>IFERROR(VLOOKUP(F623,'12. Contratos_OS'!$A$6:$L$1000,3,FALSE),"")</f>
        <v/>
      </c>
      <c r="I623" s="95">
        <f>IFERROR(VLOOKUP(F623,'12. Contratos_OS'!$A$6:$L$1000,4,FALSE),"")</f>
        <v/>
      </c>
      <c r="J623" s="95">
        <f>IFERROR(VLOOKUP(F623,'12. Contratos_OS'!$A$6:$L$1000,7,FALSE),"")</f>
        <v/>
      </c>
      <c r="K623" s="95">
        <f>IFERROR(VLOOKUP(J623,'11. Cadastro de Serviços'!$A$6:$E$200,2,FALSE),"")</f>
        <v/>
      </c>
      <c r="L623" s="95">
        <f>IFERROR(VLOOKUP(J623,'11. Cadastro de Serviços'!$A$6:$E$200,3,FALSE),"")</f>
        <v/>
      </c>
      <c r="M623" s="95">
        <f>IFERROR(VLOOKUP(J623,'11. Cadastro de Serviços'!$A$6:$E$200,4,FALSE),"")</f>
        <v/>
      </c>
      <c r="N623" s="95" t="n"/>
      <c r="O623" s="95">
        <f>IF(AND(G623&lt;&gt;"",I623&lt;&gt;"",J623&lt;&gt;"",M623&lt;&gt;""),"Rastreado","Revisar")</f>
        <v/>
      </c>
      <c r="P623" s="96" t="n"/>
    </row>
    <row r="624">
      <c r="A624" s="95" t="n"/>
      <c r="B624" s="96" t="n"/>
      <c r="C624" s="96" t="n"/>
      <c r="D624" s="95" t="n"/>
      <c r="E624" s="96" t="n"/>
      <c r="F624" s="96" t="n"/>
      <c r="G624" s="95">
        <f>IFERROR(VLOOKUP(F624,'12. Contratos_OS'!$A$6:$L$1000,2,FALSE),"")</f>
        <v/>
      </c>
      <c r="H624" s="95">
        <f>IFERROR(VLOOKUP(F624,'12. Contratos_OS'!$A$6:$L$1000,3,FALSE),"")</f>
        <v/>
      </c>
      <c r="I624" s="95">
        <f>IFERROR(VLOOKUP(F624,'12. Contratos_OS'!$A$6:$L$1000,4,FALSE),"")</f>
        <v/>
      </c>
      <c r="J624" s="95">
        <f>IFERROR(VLOOKUP(F624,'12. Contratos_OS'!$A$6:$L$1000,7,FALSE),"")</f>
        <v/>
      </c>
      <c r="K624" s="95">
        <f>IFERROR(VLOOKUP(J624,'11. Cadastro de Serviços'!$A$6:$E$200,2,FALSE),"")</f>
        <v/>
      </c>
      <c r="L624" s="95">
        <f>IFERROR(VLOOKUP(J624,'11. Cadastro de Serviços'!$A$6:$E$200,3,FALSE),"")</f>
        <v/>
      </c>
      <c r="M624" s="95">
        <f>IFERROR(VLOOKUP(J624,'11. Cadastro de Serviços'!$A$6:$E$200,4,FALSE),"")</f>
        <v/>
      </c>
      <c r="N624" s="95" t="n"/>
      <c r="O624" s="95">
        <f>IF(AND(G624&lt;&gt;"",I624&lt;&gt;"",J624&lt;&gt;"",M624&lt;&gt;""),"Rastreado","Revisar")</f>
        <v/>
      </c>
      <c r="P624" s="96" t="n"/>
    </row>
    <row r="625">
      <c r="A625" s="95" t="n"/>
      <c r="B625" s="96" t="n"/>
      <c r="C625" s="96" t="n"/>
      <c r="D625" s="95" t="n"/>
      <c r="E625" s="96" t="n"/>
      <c r="F625" s="96" t="n"/>
      <c r="G625" s="95">
        <f>IFERROR(VLOOKUP(F625,'12. Contratos_OS'!$A$6:$L$1000,2,FALSE),"")</f>
        <v/>
      </c>
      <c r="H625" s="95">
        <f>IFERROR(VLOOKUP(F625,'12. Contratos_OS'!$A$6:$L$1000,3,FALSE),"")</f>
        <v/>
      </c>
      <c r="I625" s="95">
        <f>IFERROR(VLOOKUP(F625,'12. Contratos_OS'!$A$6:$L$1000,4,FALSE),"")</f>
        <v/>
      </c>
      <c r="J625" s="95">
        <f>IFERROR(VLOOKUP(F625,'12. Contratos_OS'!$A$6:$L$1000,7,FALSE),"")</f>
        <v/>
      </c>
      <c r="K625" s="95">
        <f>IFERROR(VLOOKUP(J625,'11. Cadastro de Serviços'!$A$6:$E$200,2,FALSE),"")</f>
        <v/>
      </c>
      <c r="L625" s="95">
        <f>IFERROR(VLOOKUP(J625,'11. Cadastro de Serviços'!$A$6:$E$200,3,FALSE),"")</f>
        <v/>
      </c>
      <c r="M625" s="95">
        <f>IFERROR(VLOOKUP(J625,'11. Cadastro de Serviços'!$A$6:$E$200,4,FALSE),"")</f>
        <v/>
      </c>
      <c r="N625" s="95" t="n"/>
      <c r="O625" s="95">
        <f>IF(AND(G625&lt;&gt;"",I625&lt;&gt;"",J625&lt;&gt;"",M625&lt;&gt;""),"Rastreado","Revisar")</f>
        <v/>
      </c>
      <c r="P625" s="96" t="n"/>
    </row>
    <row r="626">
      <c r="A626" s="95" t="n"/>
      <c r="B626" s="96" t="n"/>
      <c r="C626" s="96" t="n"/>
      <c r="D626" s="95" t="n"/>
      <c r="E626" s="96" t="n"/>
      <c r="F626" s="96" t="n"/>
      <c r="G626" s="95">
        <f>IFERROR(VLOOKUP(F626,'12. Contratos_OS'!$A$6:$L$1000,2,FALSE),"")</f>
        <v/>
      </c>
      <c r="H626" s="95">
        <f>IFERROR(VLOOKUP(F626,'12. Contratos_OS'!$A$6:$L$1000,3,FALSE),"")</f>
        <v/>
      </c>
      <c r="I626" s="95">
        <f>IFERROR(VLOOKUP(F626,'12. Contratos_OS'!$A$6:$L$1000,4,FALSE),"")</f>
        <v/>
      </c>
      <c r="J626" s="95">
        <f>IFERROR(VLOOKUP(F626,'12. Contratos_OS'!$A$6:$L$1000,7,FALSE),"")</f>
        <v/>
      </c>
      <c r="K626" s="95">
        <f>IFERROR(VLOOKUP(J626,'11. Cadastro de Serviços'!$A$6:$E$200,2,FALSE),"")</f>
        <v/>
      </c>
      <c r="L626" s="95">
        <f>IFERROR(VLOOKUP(J626,'11. Cadastro de Serviços'!$A$6:$E$200,3,FALSE),"")</f>
        <v/>
      </c>
      <c r="M626" s="95">
        <f>IFERROR(VLOOKUP(J626,'11. Cadastro de Serviços'!$A$6:$E$200,4,FALSE),"")</f>
        <v/>
      </c>
      <c r="N626" s="95" t="n"/>
      <c r="O626" s="95">
        <f>IF(AND(G626&lt;&gt;"",I626&lt;&gt;"",J626&lt;&gt;"",M626&lt;&gt;""),"Rastreado","Revisar")</f>
        <v/>
      </c>
      <c r="P626" s="96" t="n"/>
    </row>
    <row r="627">
      <c r="A627" s="95" t="n"/>
      <c r="B627" s="96" t="n"/>
      <c r="C627" s="96" t="n"/>
      <c r="D627" s="95" t="n"/>
      <c r="E627" s="96" t="n"/>
      <c r="F627" s="96" t="n"/>
      <c r="G627" s="95">
        <f>IFERROR(VLOOKUP(F627,'12. Contratos_OS'!$A$6:$L$1000,2,FALSE),"")</f>
        <v/>
      </c>
      <c r="H627" s="95">
        <f>IFERROR(VLOOKUP(F627,'12. Contratos_OS'!$A$6:$L$1000,3,FALSE),"")</f>
        <v/>
      </c>
      <c r="I627" s="95">
        <f>IFERROR(VLOOKUP(F627,'12. Contratos_OS'!$A$6:$L$1000,4,FALSE),"")</f>
        <v/>
      </c>
      <c r="J627" s="95">
        <f>IFERROR(VLOOKUP(F627,'12. Contratos_OS'!$A$6:$L$1000,7,FALSE),"")</f>
        <v/>
      </c>
      <c r="K627" s="95">
        <f>IFERROR(VLOOKUP(J627,'11. Cadastro de Serviços'!$A$6:$E$200,2,FALSE),"")</f>
        <v/>
      </c>
      <c r="L627" s="95">
        <f>IFERROR(VLOOKUP(J627,'11. Cadastro de Serviços'!$A$6:$E$200,3,FALSE),"")</f>
        <v/>
      </c>
      <c r="M627" s="95">
        <f>IFERROR(VLOOKUP(J627,'11. Cadastro de Serviços'!$A$6:$E$200,4,FALSE),"")</f>
        <v/>
      </c>
      <c r="N627" s="95" t="n"/>
      <c r="O627" s="95">
        <f>IF(AND(G627&lt;&gt;"",I627&lt;&gt;"",J627&lt;&gt;"",M627&lt;&gt;""),"Rastreado","Revisar")</f>
        <v/>
      </c>
      <c r="P627" s="96" t="n"/>
    </row>
    <row r="628">
      <c r="A628" s="95" t="n"/>
      <c r="B628" s="96" t="n"/>
      <c r="C628" s="96" t="n"/>
      <c r="D628" s="95" t="n"/>
      <c r="E628" s="96" t="n"/>
      <c r="F628" s="96" t="n"/>
      <c r="G628" s="95">
        <f>IFERROR(VLOOKUP(F628,'12. Contratos_OS'!$A$6:$L$1000,2,FALSE),"")</f>
        <v/>
      </c>
      <c r="H628" s="95">
        <f>IFERROR(VLOOKUP(F628,'12. Contratos_OS'!$A$6:$L$1000,3,FALSE),"")</f>
        <v/>
      </c>
      <c r="I628" s="95">
        <f>IFERROR(VLOOKUP(F628,'12. Contratos_OS'!$A$6:$L$1000,4,FALSE),"")</f>
        <v/>
      </c>
      <c r="J628" s="95">
        <f>IFERROR(VLOOKUP(F628,'12. Contratos_OS'!$A$6:$L$1000,7,FALSE),"")</f>
        <v/>
      </c>
      <c r="K628" s="95">
        <f>IFERROR(VLOOKUP(J628,'11. Cadastro de Serviços'!$A$6:$E$200,2,FALSE),"")</f>
        <v/>
      </c>
      <c r="L628" s="95">
        <f>IFERROR(VLOOKUP(J628,'11. Cadastro de Serviços'!$A$6:$E$200,3,FALSE),"")</f>
        <v/>
      </c>
      <c r="M628" s="95">
        <f>IFERROR(VLOOKUP(J628,'11. Cadastro de Serviços'!$A$6:$E$200,4,FALSE),"")</f>
        <v/>
      </c>
      <c r="N628" s="95" t="n"/>
      <c r="O628" s="95">
        <f>IF(AND(G628&lt;&gt;"",I628&lt;&gt;"",J628&lt;&gt;"",M628&lt;&gt;""),"Rastreado","Revisar")</f>
        <v/>
      </c>
      <c r="P628" s="96" t="n"/>
    </row>
    <row r="629">
      <c r="A629" s="95" t="n"/>
      <c r="B629" s="96" t="n"/>
      <c r="C629" s="96" t="n"/>
      <c r="D629" s="95" t="n"/>
      <c r="E629" s="96" t="n"/>
      <c r="F629" s="96" t="n"/>
      <c r="G629" s="95">
        <f>IFERROR(VLOOKUP(F629,'12. Contratos_OS'!$A$6:$L$1000,2,FALSE),"")</f>
        <v/>
      </c>
      <c r="H629" s="95">
        <f>IFERROR(VLOOKUP(F629,'12. Contratos_OS'!$A$6:$L$1000,3,FALSE),"")</f>
        <v/>
      </c>
      <c r="I629" s="95">
        <f>IFERROR(VLOOKUP(F629,'12. Contratos_OS'!$A$6:$L$1000,4,FALSE),"")</f>
        <v/>
      </c>
      <c r="J629" s="95">
        <f>IFERROR(VLOOKUP(F629,'12. Contratos_OS'!$A$6:$L$1000,7,FALSE),"")</f>
        <v/>
      </c>
      <c r="K629" s="95">
        <f>IFERROR(VLOOKUP(J629,'11. Cadastro de Serviços'!$A$6:$E$200,2,FALSE),"")</f>
        <v/>
      </c>
      <c r="L629" s="95">
        <f>IFERROR(VLOOKUP(J629,'11. Cadastro de Serviços'!$A$6:$E$200,3,FALSE),"")</f>
        <v/>
      </c>
      <c r="M629" s="95">
        <f>IFERROR(VLOOKUP(J629,'11. Cadastro de Serviços'!$A$6:$E$200,4,FALSE),"")</f>
        <v/>
      </c>
      <c r="N629" s="95" t="n"/>
      <c r="O629" s="95">
        <f>IF(AND(G629&lt;&gt;"",I629&lt;&gt;"",J629&lt;&gt;"",M629&lt;&gt;""),"Rastreado","Revisar")</f>
        <v/>
      </c>
      <c r="P629" s="96" t="n"/>
    </row>
    <row r="630">
      <c r="A630" s="95" t="n"/>
      <c r="B630" s="96" t="n"/>
      <c r="C630" s="96" t="n"/>
      <c r="D630" s="95" t="n"/>
      <c r="E630" s="96" t="n"/>
      <c r="F630" s="96" t="n"/>
      <c r="G630" s="95">
        <f>IFERROR(VLOOKUP(F630,'12. Contratos_OS'!$A$6:$L$1000,2,FALSE),"")</f>
        <v/>
      </c>
      <c r="H630" s="95">
        <f>IFERROR(VLOOKUP(F630,'12. Contratos_OS'!$A$6:$L$1000,3,FALSE),"")</f>
        <v/>
      </c>
      <c r="I630" s="95">
        <f>IFERROR(VLOOKUP(F630,'12. Contratos_OS'!$A$6:$L$1000,4,FALSE),"")</f>
        <v/>
      </c>
      <c r="J630" s="95">
        <f>IFERROR(VLOOKUP(F630,'12. Contratos_OS'!$A$6:$L$1000,7,FALSE),"")</f>
        <v/>
      </c>
      <c r="K630" s="95">
        <f>IFERROR(VLOOKUP(J630,'11. Cadastro de Serviços'!$A$6:$E$200,2,FALSE),"")</f>
        <v/>
      </c>
      <c r="L630" s="95">
        <f>IFERROR(VLOOKUP(J630,'11. Cadastro de Serviços'!$A$6:$E$200,3,FALSE),"")</f>
        <v/>
      </c>
      <c r="M630" s="95">
        <f>IFERROR(VLOOKUP(J630,'11. Cadastro de Serviços'!$A$6:$E$200,4,FALSE),"")</f>
        <v/>
      </c>
      <c r="N630" s="95" t="n"/>
      <c r="O630" s="95">
        <f>IF(AND(G630&lt;&gt;"",I630&lt;&gt;"",J630&lt;&gt;"",M630&lt;&gt;""),"Rastreado","Revisar")</f>
        <v/>
      </c>
      <c r="P630" s="96" t="n"/>
    </row>
    <row r="631">
      <c r="A631" s="95" t="n"/>
      <c r="B631" s="96" t="n"/>
      <c r="C631" s="96" t="n"/>
      <c r="D631" s="95" t="n"/>
      <c r="E631" s="96" t="n"/>
      <c r="F631" s="96" t="n"/>
      <c r="G631" s="95">
        <f>IFERROR(VLOOKUP(F631,'12. Contratos_OS'!$A$6:$L$1000,2,FALSE),"")</f>
        <v/>
      </c>
      <c r="H631" s="95">
        <f>IFERROR(VLOOKUP(F631,'12. Contratos_OS'!$A$6:$L$1000,3,FALSE),"")</f>
        <v/>
      </c>
      <c r="I631" s="95">
        <f>IFERROR(VLOOKUP(F631,'12. Contratos_OS'!$A$6:$L$1000,4,FALSE),"")</f>
        <v/>
      </c>
      <c r="J631" s="95">
        <f>IFERROR(VLOOKUP(F631,'12. Contratos_OS'!$A$6:$L$1000,7,FALSE),"")</f>
        <v/>
      </c>
      <c r="K631" s="95">
        <f>IFERROR(VLOOKUP(J631,'11. Cadastro de Serviços'!$A$6:$E$200,2,FALSE),"")</f>
        <v/>
      </c>
      <c r="L631" s="95">
        <f>IFERROR(VLOOKUP(J631,'11. Cadastro de Serviços'!$A$6:$E$200,3,FALSE),"")</f>
        <v/>
      </c>
      <c r="M631" s="95">
        <f>IFERROR(VLOOKUP(J631,'11. Cadastro de Serviços'!$A$6:$E$200,4,FALSE),"")</f>
        <v/>
      </c>
      <c r="N631" s="95" t="n"/>
      <c r="O631" s="95">
        <f>IF(AND(G631&lt;&gt;"",I631&lt;&gt;"",J631&lt;&gt;"",M631&lt;&gt;""),"Rastreado","Revisar")</f>
        <v/>
      </c>
      <c r="P631" s="96" t="n"/>
    </row>
    <row r="632">
      <c r="A632" s="95" t="n"/>
      <c r="B632" s="96" t="n"/>
      <c r="C632" s="96" t="n"/>
      <c r="D632" s="95" t="n"/>
      <c r="E632" s="96" t="n"/>
      <c r="F632" s="96" t="n"/>
      <c r="G632" s="95">
        <f>IFERROR(VLOOKUP(F632,'12. Contratos_OS'!$A$6:$L$1000,2,FALSE),"")</f>
        <v/>
      </c>
      <c r="H632" s="95">
        <f>IFERROR(VLOOKUP(F632,'12. Contratos_OS'!$A$6:$L$1000,3,FALSE),"")</f>
        <v/>
      </c>
      <c r="I632" s="95">
        <f>IFERROR(VLOOKUP(F632,'12. Contratos_OS'!$A$6:$L$1000,4,FALSE),"")</f>
        <v/>
      </c>
      <c r="J632" s="95">
        <f>IFERROR(VLOOKUP(F632,'12. Contratos_OS'!$A$6:$L$1000,7,FALSE),"")</f>
        <v/>
      </c>
      <c r="K632" s="95">
        <f>IFERROR(VLOOKUP(J632,'11. Cadastro de Serviços'!$A$6:$E$200,2,FALSE),"")</f>
        <v/>
      </c>
      <c r="L632" s="95">
        <f>IFERROR(VLOOKUP(J632,'11. Cadastro de Serviços'!$A$6:$E$200,3,FALSE),"")</f>
        <v/>
      </c>
      <c r="M632" s="95">
        <f>IFERROR(VLOOKUP(J632,'11. Cadastro de Serviços'!$A$6:$E$200,4,FALSE),"")</f>
        <v/>
      </c>
      <c r="N632" s="95" t="n"/>
      <c r="O632" s="95">
        <f>IF(AND(G632&lt;&gt;"",I632&lt;&gt;"",J632&lt;&gt;"",M632&lt;&gt;""),"Rastreado","Revisar")</f>
        <v/>
      </c>
      <c r="P632" s="96" t="n"/>
    </row>
    <row r="633">
      <c r="A633" s="95" t="n"/>
      <c r="B633" s="96" t="n"/>
      <c r="C633" s="96" t="n"/>
      <c r="D633" s="95" t="n"/>
      <c r="E633" s="96" t="n"/>
      <c r="F633" s="96" t="n"/>
      <c r="G633" s="95">
        <f>IFERROR(VLOOKUP(F633,'12. Contratos_OS'!$A$6:$L$1000,2,FALSE),"")</f>
        <v/>
      </c>
      <c r="H633" s="95">
        <f>IFERROR(VLOOKUP(F633,'12. Contratos_OS'!$A$6:$L$1000,3,FALSE),"")</f>
        <v/>
      </c>
      <c r="I633" s="95">
        <f>IFERROR(VLOOKUP(F633,'12. Contratos_OS'!$A$6:$L$1000,4,FALSE),"")</f>
        <v/>
      </c>
      <c r="J633" s="95">
        <f>IFERROR(VLOOKUP(F633,'12. Contratos_OS'!$A$6:$L$1000,7,FALSE),"")</f>
        <v/>
      </c>
      <c r="K633" s="95">
        <f>IFERROR(VLOOKUP(J633,'11. Cadastro de Serviços'!$A$6:$E$200,2,FALSE),"")</f>
        <v/>
      </c>
      <c r="L633" s="95">
        <f>IFERROR(VLOOKUP(J633,'11. Cadastro de Serviços'!$A$6:$E$200,3,FALSE),"")</f>
        <v/>
      </c>
      <c r="M633" s="95">
        <f>IFERROR(VLOOKUP(J633,'11. Cadastro de Serviços'!$A$6:$E$200,4,FALSE),"")</f>
        <v/>
      </c>
      <c r="N633" s="95" t="n"/>
      <c r="O633" s="95">
        <f>IF(AND(G633&lt;&gt;"",I633&lt;&gt;"",J633&lt;&gt;"",M633&lt;&gt;""),"Rastreado","Revisar")</f>
        <v/>
      </c>
      <c r="P633" s="96" t="n"/>
    </row>
    <row r="634">
      <c r="A634" s="95" t="n"/>
      <c r="B634" s="96" t="n"/>
      <c r="C634" s="96" t="n"/>
      <c r="D634" s="95" t="n"/>
      <c r="E634" s="96" t="n"/>
      <c r="F634" s="96" t="n"/>
      <c r="G634" s="95">
        <f>IFERROR(VLOOKUP(F634,'12. Contratos_OS'!$A$6:$L$1000,2,FALSE),"")</f>
        <v/>
      </c>
      <c r="H634" s="95">
        <f>IFERROR(VLOOKUP(F634,'12. Contratos_OS'!$A$6:$L$1000,3,FALSE),"")</f>
        <v/>
      </c>
      <c r="I634" s="95">
        <f>IFERROR(VLOOKUP(F634,'12. Contratos_OS'!$A$6:$L$1000,4,FALSE),"")</f>
        <v/>
      </c>
      <c r="J634" s="95">
        <f>IFERROR(VLOOKUP(F634,'12. Contratos_OS'!$A$6:$L$1000,7,FALSE),"")</f>
        <v/>
      </c>
      <c r="K634" s="95">
        <f>IFERROR(VLOOKUP(J634,'11. Cadastro de Serviços'!$A$6:$E$200,2,FALSE),"")</f>
        <v/>
      </c>
      <c r="L634" s="95">
        <f>IFERROR(VLOOKUP(J634,'11. Cadastro de Serviços'!$A$6:$E$200,3,FALSE),"")</f>
        <v/>
      </c>
      <c r="M634" s="95">
        <f>IFERROR(VLOOKUP(J634,'11. Cadastro de Serviços'!$A$6:$E$200,4,FALSE),"")</f>
        <v/>
      </c>
      <c r="N634" s="95" t="n"/>
      <c r="O634" s="95">
        <f>IF(AND(G634&lt;&gt;"",I634&lt;&gt;"",J634&lt;&gt;"",M634&lt;&gt;""),"Rastreado","Revisar")</f>
        <v/>
      </c>
      <c r="P634" s="96" t="n"/>
    </row>
    <row r="635">
      <c r="A635" s="95" t="n"/>
      <c r="B635" s="96" t="n"/>
      <c r="C635" s="96" t="n"/>
      <c r="D635" s="95" t="n"/>
      <c r="E635" s="96" t="n"/>
      <c r="F635" s="96" t="n"/>
      <c r="G635" s="95">
        <f>IFERROR(VLOOKUP(F635,'12. Contratos_OS'!$A$6:$L$1000,2,FALSE),"")</f>
        <v/>
      </c>
      <c r="H635" s="95">
        <f>IFERROR(VLOOKUP(F635,'12. Contratos_OS'!$A$6:$L$1000,3,FALSE),"")</f>
        <v/>
      </c>
      <c r="I635" s="95">
        <f>IFERROR(VLOOKUP(F635,'12. Contratos_OS'!$A$6:$L$1000,4,FALSE),"")</f>
        <v/>
      </c>
      <c r="J635" s="95">
        <f>IFERROR(VLOOKUP(F635,'12. Contratos_OS'!$A$6:$L$1000,7,FALSE),"")</f>
        <v/>
      </c>
      <c r="K635" s="95">
        <f>IFERROR(VLOOKUP(J635,'11. Cadastro de Serviços'!$A$6:$E$200,2,FALSE),"")</f>
        <v/>
      </c>
      <c r="L635" s="95">
        <f>IFERROR(VLOOKUP(J635,'11. Cadastro de Serviços'!$A$6:$E$200,3,FALSE),"")</f>
        <v/>
      </c>
      <c r="M635" s="95">
        <f>IFERROR(VLOOKUP(J635,'11. Cadastro de Serviços'!$A$6:$E$200,4,FALSE),"")</f>
        <v/>
      </c>
      <c r="N635" s="95" t="n"/>
      <c r="O635" s="95">
        <f>IF(AND(G635&lt;&gt;"",I635&lt;&gt;"",J635&lt;&gt;"",M635&lt;&gt;""),"Rastreado","Revisar")</f>
        <v/>
      </c>
      <c r="P635" s="96" t="n"/>
    </row>
    <row r="636">
      <c r="A636" s="95" t="n"/>
      <c r="B636" s="96" t="n"/>
      <c r="C636" s="96" t="n"/>
      <c r="D636" s="95" t="n"/>
      <c r="E636" s="96" t="n"/>
      <c r="F636" s="96" t="n"/>
      <c r="G636" s="95">
        <f>IFERROR(VLOOKUP(F636,'12. Contratos_OS'!$A$6:$L$1000,2,FALSE),"")</f>
        <v/>
      </c>
      <c r="H636" s="95">
        <f>IFERROR(VLOOKUP(F636,'12. Contratos_OS'!$A$6:$L$1000,3,FALSE),"")</f>
        <v/>
      </c>
      <c r="I636" s="95">
        <f>IFERROR(VLOOKUP(F636,'12. Contratos_OS'!$A$6:$L$1000,4,FALSE),"")</f>
        <v/>
      </c>
      <c r="J636" s="95">
        <f>IFERROR(VLOOKUP(F636,'12. Contratos_OS'!$A$6:$L$1000,7,FALSE),"")</f>
        <v/>
      </c>
      <c r="K636" s="95">
        <f>IFERROR(VLOOKUP(J636,'11. Cadastro de Serviços'!$A$6:$E$200,2,FALSE),"")</f>
        <v/>
      </c>
      <c r="L636" s="95">
        <f>IFERROR(VLOOKUP(J636,'11. Cadastro de Serviços'!$A$6:$E$200,3,FALSE),"")</f>
        <v/>
      </c>
      <c r="M636" s="95">
        <f>IFERROR(VLOOKUP(J636,'11. Cadastro de Serviços'!$A$6:$E$200,4,FALSE),"")</f>
        <v/>
      </c>
      <c r="N636" s="95" t="n"/>
      <c r="O636" s="95">
        <f>IF(AND(G636&lt;&gt;"",I636&lt;&gt;"",J636&lt;&gt;"",M636&lt;&gt;""),"Rastreado","Revisar")</f>
        <v/>
      </c>
      <c r="P636" s="96" t="n"/>
    </row>
    <row r="637">
      <c r="A637" s="95" t="n"/>
      <c r="B637" s="96" t="n"/>
      <c r="C637" s="96" t="n"/>
      <c r="D637" s="95" t="n"/>
      <c r="E637" s="96" t="n"/>
      <c r="F637" s="96" t="n"/>
      <c r="G637" s="95">
        <f>IFERROR(VLOOKUP(F637,'12. Contratos_OS'!$A$6:$L$1000,2,FALSE),"")</f>
        <v/>
      </c>
      <c r="H637" s="95">
        <f>IFERROR(VLOOKUP(F637,'12. Contratos_OS'!$A$6:$L$1000,3,FALSE),"")</f>
        <v/>
      </c>
      <c r="I637" s="95">
        <f>IFERROR(VLOOKUP(F637,'12. Contratos_OS'!$A$6:$L$1000,4,FALSE),"")</f>
        <v/>
      </c>
      <c r="J637" s="95">
        <f>IFERROR(VLOOKUP(F637,'12. Contratos_OS'!$A$6:$L$1000,7,FALSE),"")</f>
        <v/>
      </c>
      <c r="K637" s="95">
        <f>IFERROR(VLOOKUP(J637,'11. Cadastro de Serviços'!$A$6:$E$200,2,FALSE),"")</f>
        <v/>
      </c>
      <c r="L637" s="95">
        <f>IFERROR(VLOOKUP(J637,'11. Cadastro de Serviços'!$A$6:$E$200,3,FALSE),"")</f>
        <v/>
      </c>
      <c r="M637" s="95">
        <f>IFERROR(VLOOKUP(J637,'11. Cadastro de Serviços'!$A$6:$E$200,4,FALSE),"")</f>
        <v/>
      </c>
      <c r="N637" s="95" t="n"/>
      <c r="O637" s="95">
        <f>IF(AND(G637&lt;&gt;"",I637&lt;&gt;"",J637&lt;&gt;"",M637&lt;&gt;""),"Rastreado","Revisar")</f>
        <v/>
      </c>
      <c r="P637" s="96" t="n"/>
    </row>
    <row r="638">
      <c r="A638" s="95" t="n"/>
      <c r="B638" s="96" t="n"/>
      <c r="C638" s="96" t="n"/>
      <c r="D638" s="95" t="n"/>
      <c r="E638" s="96" t="n"/>
      <c r="F638" s="96" t="n"/>
      <c r="G638" s="95">
        <f>IFERROR(VLOOKUP(F638,'12. Contratos_OS'!$A$6:$L$1000,2,FALSE),"")</f>
        <v/>
      </c>
      <c r="H638" s="95">
        <f>IFERROR(VLOOKUP(F638,'12. Contratos_OS'!$A$6:$L$1000,3,FALSE),"")</f>
        <v/>
      </c>
      <c r="I638" s="95">
        <f>IFERROR(VLOOKUP(F638,'12. Contratos_OS'!$A$6:$L$1000,4,FALSE),"")</f>
        <v/>
      </c>
      <c r="J638" s="95">
        <f>IFERROR(VLOOKUP(F638,'12. Contratos_OS'!$A$6:$L$1000,7,FALSE),"")</f>
        <v/>
      </c>
      <c r="K638" s="95">
        <f>IFERROR(VLOOKUP(J638,'11. Cadastro de Serviços'!$A$6:$E$200,2,FALSE),"")</f>
        <v/>
      </c>
      <c r="L638" s="95">
        <f>IFERROR(VLOOKUP(J638,'11. Cadastro de Serviços'!$A$6:$E$200,3,FALSE),"")</f>
        <v/>
      </c>
      <c r="M638" s="95">
        <f>IFERROR(VLOOKUP(J638,'11. Cadastro de Serviços'!$A$6:$E$200,4,FALSE),"")</f>
        <v/>
      </c>
      <c r="N638" s="95" t="n"/>
      <c r="O638" s="95">
        <f>IF(AND(G638&lt;&gt;"",I638&lt;&gt;"",J638&lt;&gt;"",M638&lt;&gt;""),"Rastreado","Revisar")</f>
        <v/>
      </c>
      <c r="P638" s="96" t="n"/>
    </row>
    <row r="639">
      <c r="A639" s="95" t="n"/>
      <c r="B639" s="96" t="n"/>
      <c r="C639" s="96" t="n"/>
      <c r="D639" s="95" t="n"/>
      <c r="E639" s="96" t="n"/>
      <c r="F639" s="96" t="n"/>
      <c r="G639" s="95">
        <f>IFERROR(VLOOKUP(F639,'12. Contratos_OS'!$A$6:$L$1000,2,FALSE),"")</f>
        <v/>
      </c>
      <c r="H639" s="95">
        <f>IFERROR(VLOOKUP(F639,'12. Contratos_OS'!$A$6:$L$1000,3,FALSE),"")</f>
        <v/>
      </c>
      <c r="I639" s="95">
        <f>IFERROR(VLOOKUP(F639,'12. Contratos_OS'!$A$6:$L$1000,4,FALSE),"")</f>
        <v/>
      </c>
      <c r="J639" s="95">
        <f>IFERROR(VLOOKUP(F639,'12. Contratos_OS'!$A$6:$L$1000,7,FALSE),"")</f>
        <v/>
      </c>
      <c r="K639" s="95">
        <f>IFERROR(VLOOKUP(J639,'11. Cadastro de Serviços'!$A$6:$E$200,2,FALSE),"")</f>
        <v/>
      </c>
      <c r="L639" s="95">
        <f>IFERROR(VLOOKUP(J639,'11. Cadastro de Serviços'!$A$6:$E$200,3,FALSE),"")</f>
        <v/>
      </c>
      <c r="M639" s="95">
        <f>IFERROR(VLOOKUP(J639,'11. Cadastro de Serviços'!$A$6:$E$200,4,FALSE),"")</f>
        <v/>
      </c>
      <c r="N639" s="95" t="n"/>
      <c r="O639" s="95">
        <f>IF(AND(G639&lt;&gt;"",I639&lt;&gt;"",J639&lt;&gt;"",M639&lt;&gt;""),"Rastreado","Revisar")</f>
        <v/>
      </c>
      <c r="P639" s="96" t="n"/>
    </row>
    <row r="640">
      <c r="A640" s="95" t="n"/>
      <c r="B640" s="96" t="n"/>
      <c r="C640" s="96" t="n"/>
      <c r="D640" s="95" t="n"/>
      <c r="E640" s="96" t="n"/>
      <c r="F640" s="96" t="n"/>
      <c r="G640" s="95">
        <f>IFERROR(VLOOKUP(F640,'12. Contratos_OS'!$A$6:$L$1000,2,FALSE),"")</f>
        <v/>
      </c>
      <c r="H640" s="95">
        <f>IFERROR(VLOOKUP(F640,'12. Contratos_OS'!$A$6:$L$1000,3,FALSE),"")</f>
        <v/>
      </c>
      <c r="I640" s="95">
        <f>IFERROR(VLOOKUP(F640,'12. Contratos_OS'!$A$6:$L$1000,4,FALSE),"")</f>
        <v/>
      </c>
      <c r="J640" s="95">
        <f>IFERROR(VLOOKUP(F640,'12. Contratos_OS'!$A$6:$L$1000,7,FALSE),"")</f>
        <v/>
      </c>
      <c r="K640" s="95">
        <f>IFERROR(VLOOKUP(J640,'11. Cadastro de Serviços'!$A$6:$E$200,2,FALSE),"")</f>
        <v/>
      </c>
      <c r="L640" s="95">
        <f>IFERROR(VLOOKUP(J640,'11. Cadastro de Serviços'!$A$6:$E$200,3,FALSE),"")</f>
        <v/>
      </c>
      <c r="M640" s="95">
        <f>IFERROR(VLOOKUP(J640,'11. Cadastro de Serviços'!$A$6:$E$200,4,FALSE),"")</f>
        <v/>
      </c>
      <c r="N640" s="95" t="n"/>
      <c r="O640" s="95">
        <f>IF(AND(G640&lt;&gt;"",I640&lt;&gt;"",J640&lt;&gt;"",M640&lt;&gt;""),"Rastreado","Revisar")</f>
        <v/>
      </c>
      <c r="P640" s="96" t="n"/>
    </row>
    <row r="641">
      <c r="A641" s="95" t="n"/>
      <c r="B641" s="96" t="n"/>
      <c r="C641" s="96" t="n"/>
      <c r="D641" s="95" t="n"/>
      <c r="E641" s="96" t="n"/>
      <c r="F641" s="96" t="n"/>
      <c r="G641" s="95">
        <f>IFERROR(VLOOKUP(F641,'12. Contratos_OS'!$A$6:$L$1000,2,FALSE),"")</f>
        <v/>
      </c>
      <c r="H641" s="95">
        <f>IFERROR(VLOOKUP(F641,'12. Contratos_OS'!$A$6:$L$1000,3,FALSE),"")</f>
        <v/>
      </c>
      <c r="I641" s="95">
        <f>IFERROR(VLOOKUP(F641,'12. Contratos_OS'!$A$6:$L$1000,4,FALSE),"")</f>
        <v/>
      </c>
      <c r="J641" s="95">
        <f>IFERROR(VLOOKUP(F641,'12. Contratos_OS'!$A$6:$L$1000,7,FALSE),"")</f>
        <v/>
      </c>
      <c r="K641" s="95">
        <f>IFERROR(VLOOKUP(J641,'11. Cadastro de Serviços'!$A$6:$E$200,2,FALSE),"")</f>
        <v/>
      </c>
      <c r="L641" s="95">
        <f>IFERROR(VLOOKUP(J641,'11. Cadastro de Serviços'!$A$6:$E$200,3,FALSE),"")</f>
        <v/>
      </c>
      <c r="M641" s="95">
        <f>IFERROR(VLOOKUP(J641,'11. Cadastro de Serviços'!$A$6:$E$200,4,FALSE),"")</f>
        <v/>
      </c>
      <c r="N641" s="95" t="n"/>
      <c r="O641" s="95">
        <f>IF(AND(G641&lt;&gt;"",I641&lt;&gt;"",J641&lt;&gt;"",M641&lt;&gt;""),"Rastreado","Revisar")</f>
        <v/>
      </c>
      <c r="P641" s="96" t="n"/>
    </row>
    <row r="642">
      <c r="A642" s="95" t="n"/>
      <c r="B642" s="96" t="n"/>
      <c r="C642" s="96" t="n"/>
      <c r="D642" s="95" t="n"/>
      <c r="E642" s="96" t="n"/>
      <c r="F642" s="96" t="n"/>
      <c r="G642" s="95">
        <f>IFERROR(VLOOKUP(F642,'12. Contratos_OS'!$A$6:$L$1000,2,FALSE),"")</f>
        <v/>
      </c>
      <c r="H642" s="95">
        <f>IFERROR(VLOOKUP(F642,'12. Contratos_OS'!$A$6:$L$1000,3,FALSE),"")</f>
        <v/>
      </c>
      <c r="I642" s="95">
        <f>IFERROR(VLOOKUP(F642,'12. Contratos_OS'!$A$6:$L$1000,4,FALSE),"")</f>
        <v/>
      </c>
      <c r="J642" s="95">
        <f>IFERROR(VLOOKUP(F642,'12. Contratos_OS'!$A$6:$L$1000,7,FALSE),"")</f>
        <v/>
      </c>
      <c r="K642" s="95">
        <f>IFERROR(VLOOKUP(J642,'11. Cadastro de Serviços'!$A$6:$E$200,2,FALSE),"")</f>
        <v/>
      </c>
      <c r="L642" s="95">
        <f>IFERROR(VLOOKUP(J642,'11. Cadastro de Serviços'!$A$6:$E$200,3,FALSE),"")</f>
        <v/>
      </c>
      <c r="M642" s="95">
        <f>IFERROR(VLOOKUP(J642,'11. Cadastro de Serviços'!$A$6:$E$200,4,FALSE),"")</f>
        <v/>
      </c>
      <c r="N642" s="95" t="n"/>
      <c r="O642" s="95">
        <f>IF(AND(G642&lt;&gt;"",I642&lt;&gt;"",J642&lt;&gt;"",M642&lt;&gt;""),"Rastreado","Revisar")</f>
        <v/>
      </c>
      <c r="P642" s="96" t="n"/>
    </row>
    <row r="643">
      <c r="A643" s="95" t="n"/>
      <c r="B643" s="96" t="n"/>
      <c r="C643" s="96" t="n"/>
      <c r="D643" s="95" t="n"/>
      <c r="E643" s="96" t="n"/>
      <c r="F643" s="96" t="n"/>
      <c r="G643" s="95">
        <f>IFERROR(VLOOKUP(F643,'12. Contratos_OS'!$A$6:$L$1000,2,FALSE),"")</f>
        <v/>
      </c>
      <c r="H643" s="95">
        <f>IFERROR(VLOOKUP(F643,'12. Contratos_OS'!$A$6:$L$1000,3,FALSE),"")</f>
        <v/>
      </c>
      <c r="I643" s="95">
        <f>IFERROR(VLOOKUP(F643,'12. Contratos_OS'!$A$6:$L$1000,4,FALSE),"")</f>
        <v/>
      </c>
      <c r="J643" s="95">
        <f>IFERROR(VLOOKUP(F643,'12. Contratos_OS'!$A$6:$L$1000,7,FALSE),"")</f>
        <v/>
      </c>
      <c r="K643" s="95">
        <f>IFERROR(VLOOKUP(J643,'11. Cadastro de Serviços'!$A$6:$E$200,2,FALSE),"")</f>
        <v/>
      </c>
      <c r="L643" s="95">
        <f>IFERROR(VLOOKUP(J643,'11. Cadastro de Serviços'!$A$6:$E$200,3,FALSE),"")</f>
        <v/>
      </c>
      <c r="M643" s="95">
        <f>IFERROR(VLOOKUP(J643,'11. Cadastro de Serviços'!$A$6:$E$200,4,FALSE),"")</f>
        <v/>
      </c>
      <c r="N643" s="95" t="n"/>
      <c r="O643" s="95">
        <f>IF(AND(G643&lt;&gt;"",I643&lt;&gt;"",J643&lt;&gt;"",M643&lt;&gt;""),"Rastreado","Revisar")</f>
        <v/>
      </c>
      <c r="P643" s="96" t="n"/>
    </row>
    <row r="644">
      <c r="A644" s="95" t="n"/>
      <c r="B644" s="96" t="n"/>
      <c r="C644" s="96" t="n"/>
      <c r="D644" s="95" t="n"/>
      <c r="E644" s="96" t="n"/>
      <c r="F644" s="96" t="n"/>
      <c r="G644" s="95">
        <f>IFERROR(VLOOKUP(F644,'12. Contratos_OS'!$A$6:$L$1000,2,FALSE),"")</f>
        <v/>
      </c>
      <c r="H644" s="95">
        <f>IFERROR(VLOOKUP(F644,'12. Contratos_OS'!$A$6:$L$1000,3,FALSE),"")</f>
        <v/>
      </c>
      <c r="I644" s="95">
        <f>IFERROR(VLOOKUP(F644,'12. Contratos_OS'!$A$6:$L$1000,4,FALSE),"")</f>
        <v/>
      </c>
      <c r="J644" s="95">
        <f>IFERROR(VLOOKUP(F644,'12. Contratos_OS'!$A$6:$L$1000,7,FALSE),"")</f>
        <v/>
      </c>
      <c r="K644" s="95">
        <f>IFERROR(VLOOKUP(J644,'11. Cadastro de Serviços'!$A$6:$E$200,2,FALSE),"")</f>
        <v/>
      </c>
      <c r="L644" s="95">
        <f>IFERROR(VLOOKUP(J644,'11. Cadastro de Serviços'!$A$6:$E$200,3,FALSE),"")</f>
        <v/>
      </c>
      <c r="M644" s="95">
        <f>IFERROR(VLOOKUP(J644,'11. Cadastro de Serviços'!$A$6:$E$200,4,FALSE),"")</f>
        <v/>
      </c>
      <c r="N644" s="95" t="n"/>
      <c r="O644" s="95">
        <f>IF(AND(G644&lt;&gt;"",I644&lt;&gt;"",J644&lt;&gt;"",M644&lt;&gt;""),"Rastreado","Revisar")</f>
        <v/>
      </c>
      <c r="P644" s="96" t="n"/>
    </row>
    <row r="645">
      <c r="A645" s="95" t="n"/>
      <c r="B645" s="96" t="n"/>
      <c r="C645" s="96" t="n"/>
      <c r="D645" s="95" t="n"/>
      <c r="E645" s="96" t="n"/>
      <c r="F645" s="96" t="n"/>
      <c r="G645" s="95">
        <f>IFERROR(VLOOKUP(F645,'12. Contratos_OS'!$A$6:$L$1000,2,FALSE),"")</f>
        <v/>
      </c>
      <c r="H645" s="95">
        <f>IFERROR(VLOOKUP(F645,'12. Contratos_OS'!$A$6:$L$1000,3,FALSE),"")</f>
        <v/>
      </c>
      <c r="I645" s="95">
        <f>IFERROR(VLOOKUP(F645,'12. Contratos_OS'!$A$6:$L$1000,4,FALSE),"")</f>
        <v/>
      </c>
      <c r="J645" s="95">
        <f>IFERROR(VLOOKUP(F645,'12. Contratos_OS'!$A$6:$L$1000,7,FALSE),"")</f>
        <v/>
      </c>
      <c r="K645" s="95">
        <f>IFERROR(VLOOKUP(J645,'11. Cadastro de Serviços'!$A$6:$E$200,2,FALSE),"")</f>
        <v/>
      </c>
      <c r="L645" s="95">
        <f>IFERROR(VLOOKUP(J645,'11. Cadastro de Serviços'!$A$6:$E$200,3,FALSE),"")</f>
        <v/>
      </c>
      <c r="M645" s="95">
        <f>IFERROR(VLOOKUP(J645,'11. Cadastro de Serviços'!$A$6:$E$200,4,FALSE),"")</f>
        <v/>
      </c>
      <c r="N645" s="95" t="n"/>
      <c r="O645" s="95">
        <f>IF(AND(G645&lt;&gt;"",I645&lt;&gt;"",J645&lt;&gt;"",M645&lt;&gt;""),"Rastreado","Revisar")</f>
        <v/>
      </c>
      <c r="P645" s="96" t="n"/>
    </row>
    <row r="646">
      <c r="A646" s="95" t="n"/>
      <c r="B646" s="96" t="n"/>
      <c r="C646" s="96" t="n"/>
      <c r="D646" s="95" t="n"/>
      <c r="E646" s="96" t="n"/>
      <c r="F646" s="96" t="n"/>
      <c r="G646" s="95">
        <f>IFERROR(VLOOKUP(F646,'12. Contratos_OS'!$A$6:$L$1000,2,FALSE),"")</f>
        <v/>
      </c>
      <c r="H646" s="95">
        <f>IFERROR(VLOOKUP(F646,'12. Contratos_OS'!$A$6:$L$1000,3,FALSE),"")</f>
        <v/>
      </c>
      <c r="I646" s="95">
        <f>IFERROR(VLOOKUP(F646,'12. Contratos_OS'!$A$6:$L$1000,4,FALSE),"")</f>
        <v/>
      </c>
      <c r="J646" s="95">
        <f>IFERROR(VLOOKUP(F646,'12. Contratos_OS'!$A$6:$L$1000,7,FALSE),"")</f>
        <v/>
      </c>
      <c r="K646" s="95">
        <f>IFERROR(VLOOKUP(J646,'11. Cadastro de Serviços'!$A$6:$E$200,2,FALSE),"")</f>
        <v/>
      </c>
      <c r="L646" s="95">
        <f>IFERROR(VLOOKUP(J646,'11. Cadastro de Serviços'!$A$6:$E$200,3,FALSE),"")</f>
        <v/>
      </c>
      <c r="M646" s="95">
        <f>IFERROR(VLOOKUP(J646,'11. Cadastro de Serviços'!$A$6:$E$200,4,FALSE),"")</f>
        <v/>
      </c>
      <c r="N646" s="95" t="n"/>
      <c r="O646" s="95">
        <f>IF(AND(G646&lt;&gt;"",I646&lt;&gt;"",J646&lt;&gt;"",M646&lt;&gt;""),"Rastreado","Revisar")</f>
        <v/>
      </c>
      <c r="P646" s="96" t="n"/>
    </row>
    <row r="647">
      <c r="A647" s="95" t="n"/>
      <c r="B647" s="96" t="n"/>
      <c r="C647" s="96" t="n"/>
      <c r="D647" s="95" t="n"/>
      <c r="E647" s="96" t="n"/>
      <c r="F647" s="96" t="n"/>
      <c r="G647" s="95">
        <f>IFERROR(VLOOKUP(F647,'12. Contratos_OS'!$A$6:$L$1000,2,FALSE),"")</f>
        <v/>
      </c>
      <c r="H647" s="95">
        <f>IFERROR(VLOOKUP(F647,'12. Contratos_OS'!$A$6:$L$1000,3,FALSE),"")</f>
        <v/>
      </c>
      <c r="I647" s="95">
        <f>IFERROR(VLOOKUP(F647,'12. Contratos_OS'!$A$6:$L$1000,4,FALSE),"")</f>
        <v/>
      </c>
      <c r="J647" s="95">
        <f>IFERROR(VLOOKUP(F647,'12. Contratos_OS'!$A$6:$L$1000,7,FALSE),"")</f>
        <v/>
      </c>
      <c r="K647" s="95">
        <f>IFERROR(VLOOKUP(J647,'11. Cadastro de Serviços'!$A$6:$E$200,2,FALSE),"")</f>
        <v/>
      </c>
      <c r="L647" s="95">
        <f>IFERROR(VLOOKUP(J647,'11. Cadastro de Serviços'!$A$6:$E$200,3,FALSE),"")</f>
        <v/>
      </c>
      <c r="M647" s="95">
        <f>IFERROR(VLOOKUP(J647,'11. Cadastro de Serviços'!$A$6:$E$200,4,FALSE),"")</f>
        <v/>
      </c>
      <c r="N647" s="95" t="n"/>
      <c r="O647" s="95">
        <f>IF(AND(G647&lt;&gt;"",I647&lt;&gt;"",J647&lt;&gt;"",M647&lt;&gt;""),"Rastreado","Revisar")</f>
        <v/>
      </c>
      <c r="P647" s="96" t="n"/>
    </row>
    <row r="648">
      <c r="A648" s="95" t="n"/>
      <c r="B648" s="96" t="n"/>
      <c r="C648" s="96" t="n"/>
      <c r="D648" s="95" t="n"/>
      <c r="E648" s="96" t="n"/>
      <c r="F648" s="96" t="n"/>
      <c r="G648" s="95">
        <f>IFERROR(VLOOKUP(F648,'12. Contratos_OS'!$A$6:$L$1000,2,FALSE),"")</f>
        <v/>
      </c>
      <c r="H648" s="95">
        <f>IFERROR(VLOOKUP(F648,'12. Contratos_OS'!$A$6:$L$1000,3,FALSE),"")</f>
        <v/>
      </c>
      <c r="I648" s="95">
        <f>IFERROR(VLOOKUP(F648,'12. Contratos_OS'!$A$6:$L$1000,4,FALSE),"")</f>
        <v/>
      </c>
      <c r="J648" s="95">
        <f>IFERROR(VLOOKUP(F648,'12. Contratos_OS'!$A$6:$L$1000,7,FALSE),"")</f>
        <v/>
      </c>
      <c r="K648" s="95">
        <f>IFERROR(VLOOKUP(J648,'11. Cadastro de Serviços'!$A$6:$E$200,2,FALSE),"")</f>
        <v/>
      </c>
      <c r="L648" s="95">
        <f>IFERROR(VLOOKUP(J648,'11. Cadastro de Serviços'!$A$6:$E$200,3,FALSE),"")</f>
        <v/>
      </c>
      <c r="M648" s="95">
        <f>IFERROR(VLOOKUP(J648,'11. Cadastro de Serviços'!$A$6:$E$200,4,FALSE),"")</f>
        <v/>
      </c>
      <c r="N648" s="95" t="n"/>
      <c r="O648" s="95">
        <f>IF(AND(G648&lt;&gt;"",I648&lt;&gt;"",J648&lt;&gt;"",M648&lt;&gt;""),"Rastreado","Revisar")</f>
        <v/>
      </c>
      <c r="P648" s="96" t="n"/>
    </row>
    <row r="649">
      <c r="A649" s="95" t="n"/>
      <c r="B649" s="96" t="n"/>
      <c r="C649" s="96" t="n"/>
      <c r="D649" s="95" t="n"/>
      <c r="E649" s="96" t="n"/>
      <c r="F649" s="96" t="n"/>
      <c r="G649" s="95">
        <f>IFERROR(VLOOKUP(F649,'12. Contratos_OS'!$A$6:$L$1000,2,FALSE),"")</f>
        <v/>
      </c>
      <c r="H649" s="95">
        <f>IFERROR(VLOOKUP(F649,'12. Contratos_OS'!$A$6:$L$1000,3,FALSE),"")</f>
        <v/>
      </c>
      <c r="I649" s="95">
        <f>IFERROR(VLOOKUP(F649,'12. Contratos_OS'!$A$6:$L$1000,4,FALSE),"")</f>
        <v/>
      </c>
      <c r="J649" s="95">
        <f>IFERROR(VLOOKUP(F649,'12. Contratos_OS'!$A$6:$L$1000,7,FALSE),"")</f>
        <v/>
      </c>
      <c r="K649" s="95">
        <f>IFERROR(VLOOKUP(J649,'11. Cadastro de Serviços'!$A$6:$E$200,2,FALSE),"")</f>
        <v/>
      </c>
      <c r="L649" s="95">
        <f>IFERROR(VLOOKUP(J649,'11. Cadastro de Serviços'!$A$6:$E$200,3,FALSE),"")</f>
        <v/>
      </c>
      <c r="M649" s="95">
        <f>IFERROR(VLOOKUP(J649,'11. Cadastro de Serviços'!$A$6:$E$200,4,FALSE),"")</f>
        <v/>
      </c>
      <c r="N649" s="95" t="n"/>
      <c r="O649" s="95">
        <f>IF(AND(G649&lt;&gt;"",I649&lt;&gt;"",J649&lt;&gt;"",M649&lt;&gt;""),"Rastreado","Revisar")</f>
        <v/>
      </c>
      <c r="P649" s="96" t="n"/>
    </row>
    <row r="650">
      <c r="A650" s="95" t="n"/>
      <c r="B650" s="96" t="n"/>
      <c r="C650" s="96" t="n"/>
      <c r="D650" s="95" t="n"/>
      <c r="E650" s="96" t="n"/>
      <c r="F650" s="96" t="n"/>
      <c r="G650" s="95">
        <f>IFERROR(VLOOKUP(F650,'12. Contratos_OS'!$A$6:$L$1000,2,FALSE),"")</f>
        <v/>
      </c>
      <c r="H650" s="95">
        <f>IFERROR(VLOOKUP(F650,'12. Contratos_OS'!$A$6:$L$1000,3,FALSE),"")</f>
        <v/>
      </c>
      <c r="I650" s="95">
        <f>IFERROR(VLOOKUP(F650,'12. Contratos_OS'!$A$6:$L$1000,4,FALSE),"")</f>
        <v/>
      </c>
      <c r="J650" s="95">
        <f>IFERROR(VLOOKUP(F650,'12. Contratos_OS'!$A$6:$L$1000,7,FALSE),"")</f>
        <v/>
      </c>
      <c r="K650" s="95">
        <f>IFERROR(VLOOKUP(J650,'11. Cadastro de Serviços'!$A$6:$E$200,2,FALSE),"")</f>
        <v/>
      </c>
      <c r="L650" s="95">
        <f>IFERROR(VLOOKUP(J650,'11. Cadastro de Serviços'!$A$6:$E$200,3,FALSE),"")</f>
        <v/>
      </c>
      <c r="M650" s="95">
        <f>IFERROR(VLOOKUP(J650,'11. Cadastro de Serviços'!$A$6:$E$200,4,FALSE),"")</f>
        <v/>
      </c>
      <c r="N650" s="95" t="n"/>
      <c r="O650" s="95">
        <f>IF(AND(G650&lt;&gt;"",I650&lt;&gt;"",J650&lt;&gt;"",M650&lt;&gt;""),"Rastreado","Revisar")</f>
        <v/>
      </c>
      <c r="P650" s="96" t="n"/>
    </row>
    <row r="651">
      <c r="A651" s="95" t="n"/>
      <c r="B651" s="96" t="n"/>
      <c r="C651" s="96" t="n"/>
      <c r="D651" s="95" t="n"/>
      <c r="E651" s="96" t="n"/>
      <c r="F651" s="96" t="n"/>
      <c r="G651" s="95">
        <f>IFERROR(VLOOKUP(F651,'12. Contratos_OS'!$A$6:$L$1000,2,FALSE),"")</f>
        <v/>
      </c>
      <c r="H651" s="95">
        <f>IFERROR(VLOOKUP(F651,'12. Contratos_OS'!$A$6:$L$1000,3,FALSE),"")</f>
        <v/>
      </c>
      <c r="I651" s="95">
        <f>IFERROR(VLOOKUP(F651,'12. Contratos_OS'!$A$6:$L$1000,4,FALSE),"")</f>
        <v/>
      </c>
      <c r="J651" s="95">
        <f>IFERROR(VLOOKUP(F651,'12. Contratos_OS'!$A$6:$L$1000,7,FALSE),"")</f>
        <v/>
      </c>
      <c r="K651" s="95">
        <f>IFERROR(VLOOKUP(J651,'11. Cadastro de Serviços'!$A$6:$E$200,2,FALSE),"")</f>
        <v/>
      </c>
      <c r="L651" s="95">
        <f>IFERROR(VLOOKUP(J651,'11. Cadastro de Serviços'!$A$6:$E$200,3,FALSE),"")</f>
        <v/>
      </c>
      <c r="M651" s="95">
        <f>IFERROR(VLOOKUP(J651,'11. Cadastro de Serviços'!$A$6:$E$200,4,FALSE),"")</f>
        <v/>
      </c>
      <c r="N651" s="95" t="n"/>
      <c r="O651" s="95">
        <f>IF(AND(G651&lt;&gt;"",I651&lt;&gt;"",J651&lt;&gt;"",M651&lt;&gt;""),"Rastreado","Revisar")</f>
        <v/>
      </c>
      <c r="P651" s="96" t="n"/>
    </row>
    <row r="652">
      <c r="A652" s="95" t="n"/>
      <c r="B652" s="96" t="n"/>
      <c r="C652" s="96" t="n"/>
      <c r="D652" s="95" t="n"/>
      <c r="E652" s="96" t="n"/>
      <c r="F652" s="96" t="n"/>
      <c r="G652" s="95">
        <f>IFERROR(VLOOKUP(F652,'12. Contratos_OS'!$A$6:$L$1000,2,FALSE),"")</f>
        <v/>
      </c>
      <c r="H652" s="95">
        <f>IFERROR(VLOOKUP(F652,'12. Contratos_OS'!$A$6:$L$1000,3,FALSE),"")</f>
        <v/>
      </c>
      <c r="I652" s="95">
        <f>IFERROR(VLOOKUP(F652,'12. Contratos_OS'!$A$6:$L$1000,4,FALSE),"")</f>
        <v/>
      </c>
      <c r="J652" s="95">
        <f>IFERROR(VLOOKUP(F652,'12. Contratos_OS'!$A$6:$L$1000,7,FALSE),"")</f>
        <v/>
      </c>
      <c r="K652" s="95">
        <f>IFERROR(VLOOKUP(J652,'11. Cadastro de Serviços'!$A$6:$E$200,2,FALSE),"")</f>
        <v/>
      </c>
      <c r="L652" s="95">
        <f>IFERROR(VLOOKUP(J652,'11. Cadastro de Serviços'!$A$6:$E$200,3,FALSE),"")</f>
        <v/>
      </c>
      <c r="M652" s="95">
        <f>IFERROR(VLOOKUP(J652,'11. Cadastro de Serviços'!$A$6:$E$200,4,FALSE),"")</f>
        <v/>
      </c>
      <c r="N652" s="95" t="n"/>
      <c r="O652" s="95">
        <f>IF(AND(G652&lt;&gt;"",I652&lt;&gt;"",J652&lt;&gt;"",M652&lt;&gt;""),"Rastreado","Revisar")</f>
        <v/>
      </c>
      <c r="P652" s="96" t="n"/>
    </row>
    <row r="653">
      <c r="A653" s="95" t="n"/>
      <c r="B653" s="96" t="n"/>
      <c r="C653" s="96" t="n"/>
      <c r="D653" s="95" t="n"/>
      <c r="E653" s="96" t="n"/>
      <c r="F653" s="96" t="n"/>
      <c r="G653" s="95">
        <f>IFERROR(VLOOKUP(F653,'12. Contratos_OS'!$A$6:$L$1000,2,FALSE),"")</f>
        <v/>
      </c>
      <c r="H653" s="95">
        <f>IFERROR(VLOOKUP(F653,'12. Contratos_OS'!$A$6:$L$1000,3,FALSE),"")</f>
        <v/>
      </c>
      <c r="I653" s="95">
        <f>IFERROR(VLOOKUP(F653,'12. Contratos_OS'!$A$6:$L$1000,4,FALSE),"")</f>
        <v/>
      </c>
      <c r="J653" s="95">
        <f>IFERROR(VLOOKUP(F653,'12. Contratos_OS'!$A$6:$L$1000,7,FALSE),"")</f>
        <v/>
      </c>
      <c r="K653" s="95">
        <f>IFERROR(VLOOKUP(J653,'11. Cadastro de Serviços'!$A$6:$E$200,2,FALSE),"")</f>
        <v/>
      </c>
      <c r="L653" s="95">
        <f>IFERROR(VLOOKUP(J653,'11. Cadastro de Serviços'!$A$6:$E$200,3,FALSE),"")</f>
        <v/>
      </c>
      <c r="M653" s="95">
        <f>IFERROR(VLOOKUP(J653,'11. Cadastro de Serviços'!$A$6:$E$200,4,FALSE),"")</f>
        <v/>
      </c>
      <c r="N653" s="95" t="n"/>
      <c r="O653" s="95">
        <f>IF(AND(G653&lt;&gt;"",I653&lt;&gt;"",J653&lt;&gt;"",M653&lt;&gt;""),"Rastreado","Revisar")</f>
        <v/>
      </c>
      <c r="P653" s="96" t="n"/>
    </row>
    <row r="654">
      <c r="A654" s="95" t="n"/>
      <c r="B654" s="96" t="n"/>
      <c r="C654" s="96" t="n"/>
      <c r="D654" s="95" t="n"/>
      <c r="E654" s="96" t="n"/>
      <c r="F654" s="96" t="n"/>
      <c r="G654" s="95">
        <f>IFERROR(VLOOKUP(F654,'12. Contratos_OS'!$A$6:$L$1000,2,FALSE),"")</f>
        <v/>
      </c>
      <c r="H654" s="95">
        <f>IFERROR(VLOOKUP(F654,'12. Contratos_OS'!$A$6:$L$1000,3,FALSE),"")</f>
        <v/>
      </c>
      <c r="I654" s="95">
        <f>IFERROR(VLOOKUP(F654,'12. Contratos_OS'!$A$6:$L$1000,4,FALSE),"")</f>
        <v/>
      </c>
      <c r="J654" s="95">
        <f>IFERROR(VLOOKUP(F654,'12. Contratos_OS'!$A$6:$L$1000,7,FALSE),"")</f>
        <v/>
      </c>
      <c r="K654" s="95">
        <f>IFERROR(VLOOKUP(J654,'11. Cadastro de Serviços'!$A$6:$E$200,2,FALSE),"")</f>
        <v/>
      </c>
      <c r="L654" s="95">
        <f>IFERROR(VLOOKUP(J654,'11. Cadastro de Serviços'!$A$6:$E$200,3,FALSE),"")</f>
        <v/>
      </c>
      <c r="M654" s="95">
        <f>IFERROR(VLOOKUP(J654,'11. Cadastro de Serviços'!$A$6:$E$200,4,FALSE),"")</f>
        <v/>
      </c>
      <c r="N654" s="95" t="n"/>
      <c r="O654" s="95">
        <f>IF(AND(G654&lt;&gt;"",I654&lt;&gt;"",J654&lt;&gt;"",M654&lt;&gt;""),"Rastreado","Revisar")</f>
        <v/>
      </c>
      <c r="P654" s="96" t="n"/>
    </row>
    <row r="655">
      <c r="A655" s="95" t="n"/>
      <c r="B655" s="96" t="n"/>
      <c r="C655" s="96" t="n"/>
      <c r="D655" s="95" t="n"/>
      <c r="E655" s="96" t="n"/>
      <c r="F655" s="96" t="n"/>
      <c r="G655" s="95">
        <f>IFERROR(VLOOKUP(F655,'12. Contratos_OS'!$A$6:$L$1000,2,FALSE),"")</f>
        <v/>
      </c>
      <c r="H655" s="95">
        <f>IFERROR(VLOOKUP(F655,'12. Contratos_OS'!$A$6:$L$1000,3,FALSE),"")</f>
        <v/>
      </c>
      <c r="I655" s="95">
        <f>IFERROR(VLOOKUP(F655,'12. Contratos_OS'!$A$6:$L$1000,4,FALSE),"")</f>
        <v/>
      </c>
      <c r="J655" s="95">
        <f>IFERROR(VLOOKUP(F655,'12. Contratos_OS'!$A$6:$L$1000,7,FALSE),"")</f>
        <v/>
      </c>
      <c r="K655" s="95">
        <f>IFERROR(VLOOKUP(J655,'11. Cadastro de Serviços'!$A$6:$E$200,2,FALSE),"")</f>
        <v/>
      </c>
      <c r="L655" s="95">
        <f>IFERROR(VLOOKUP(J655,'11. Cadastro de Serviços'!$A$6:$E$200,3,FALSE),"")</f>
        <v/>
      </c>
      <c r="M655" s="95">
        <f>IFERROR(VLOOKUP(J655,'11. Cadastro de Serviços'!$A$6:$E$200,4,FALSE),"")</f>
        <v/>
      </c>
      <c r="N655" s="95" t="n"/>
      <c r="O655" s="95">
        <f>IF(AND(G655&lt;&gt;"",I655&lt;&gt;"",J655&lt;&gt;"",M655&lt;&gt;""),"Rastreado","Revisar")</f>
        <v/>
      </c>
      <c r="P655" s="96" t="n"/>
    </row>
    <row r="656">
      <c r="A656" s="95" t="n"/>
      <c r="B656" s="96" t="n"/>
      <c r="C656" s="96" t="n"/>
      <c r="D656" s="95" t="n"/>
      <c r="E656" s="96" t="n"/>
      <c r="F656" s="96" t="n"/>
      <c r="G656" s="95">
        <f>IFERROR(VLOOKUP(F656,'12. Contratos_OS'!$A$6:$L$1000,2,FALSE),"")</f>
        <v/>
      </c>
      <c r="H656" s="95">
        <f>IFERROR(VLOOKUP(F656,'12. Contratos_OS'!$A$6:$L$1000,3,FALSE),"")</f>
        <v/>
      </c>
      <c r="I656" s="95">
        <f>IFERROR(VLOOKUP(F656,'12. Contratos_OS'!$A$6:$L$1000,4,FALSE),"")</f>
        <v/>
      </c>
      <c r="J656" s="95">
        <f>IFERROR(VLOOKUP(F656,'12. Contratos_OS'!$A$6:$L$1000,7,FALSE),"")</f>
        <v/>
      </c>
      <c r="K656" s="95">
        <f>IFERROR(VLOOKUP(J656,'11. Cadastro de Serviços'!$A$6:$E$200,2,FALSE),"")</f>
        <v/>
      </c>
      <c r="L656" s="95">
        <f>IFERROR(VLOOKUP(J656,'11. Cadastro de Serviços'!$A$6:$E$200,3,FALSE),"")</f>
        <v/>
      </c>
      <c r="M656" s="95">
        <f>IFERROR(VLOOKUP(J656,'11. Cadastro de Serviços'!$A$6:$E$200,4,FALSE),"")</f>
        <v/>
      </c>
      <c r="N656" s="95" t="n"/>
      <c r="O656" s="95">
        <f>IF(AND(G656&lt;&gt;"",I656&lt;&gt;"",J656&lt;&gt;"",M656&lt;&gt;""),"Rastreado","Revisar")</f>
        <v/>
      </c>
      <c r="P656" s="96" t="n"/>
    </row>
    <row r="657">
      <c r="A657" s="95" t="n"/>
      <c r="B657" s="96" t="n"/>
      <c r="C657" s="96" t="n"/>
      <c r="D657" s="95" t="n"/>
      <c r="E657" s="96" t="n"/>
      <c r="F657" s="96" t="n"/>
      <c r="G657" s="95">
        <f>IFERROR(VLOOKUP(F657,'12. Contratos_OS'!$A$6:$L$1000,2,FALSE),"")</f>
        <v/>
      </c>
      <c r="H657" s="95">
        <f>IFERROR(VLOOKUP(F657,'12. Contratos_OS'!$A$6:$L$1000,3,FALSE),"")</f>
        <v/>
      </c>
      <c r="I657" s="95">
        <f>IFERROR(VLOOKUP(F657,'12. Contratos_OS'!$A$6:$L$1000,4,FALSE),"")</f>
        <v/>
      </c>
      <c r="J657" s="95">
        <f>IFERROR(VLOOKUP(F657,'12. Contratos_OS'!$A$6:$L$1000,7,FALSE),"")</f>
        <v/>
      </c>
      <c r="K657" s="95">
        <f>IFERROR(VLOOKUP(J657,'11. Cadastro de Serviços'!$A$6:$E$200,2,FALSE),"")</f>
        <v/>
      </c>
      <c r="L657" s="95">
        <f>IFERROR(VLOOKUP(J657,'11. Cadastro de Serviços'!$A$6:$E$200,3,FALSE),"")</f>
        <v/>
      </c>
      <c r="M657" s="95">
        <f>IFERROR(VLOOKUP(J657,'11. Cadastro de Serviços'!$A$6:$E$200,4,FALSE),"")</f>
        <v/>
      </c>
      <c r="N657" s="95" t="n"/>
      <c r="O657" s="95">
        <f>IF(AND(G657&lt;&gt;"",I657&lt;&gt;"",J657&lt;&gt;"",M657&lt;&gt;""),"Rastreado","Revisar")</f>
        <v/>
      </c>
      <c r="P657" s="96" t="n"/>
    </row>
    <row r="658">
      <c r="A658" s="95" t="n"/>
      <c r="B658" s="96" t="n"/>
      <c r="C658" s="96" t="n"/>
      <c r="D658" s="95" t="n"/>
      <c r="E658" s="96" t="n"/>
      <c r="F658" s="96" t="n"/>
      <c r="G658" s="95">
        <f>IFERROR(VLOOKUP(F658,'12. Contratos_OS'!$A$6:$L$1000,2,FALSE),"")</f>
        <v/>
      </c>
      <c r="H658" s="95">
        <f>IFERROR(VLOOKUP(F658,'12. Contratos_OS'!$A$6:$L$1000,3,FALSE),"")</f>
        <v/>
      </c>
      <c r="I658" s="95">
        <f>IFERROR(VLOOKUP(F658,'12. Contratos_OS'!$A$6:$L$1000,4,FALSE),"")</f>
        <v/>
      </c>
      <c r="J658" s="95">
        <f>IFERROR(VLOOKUP(F658,'12. Contratos_OS'!$A$6:$L$1000,7,FALSE),"")</f>
        <v/>
      </c>
      <c r="K658" s="95">
        <f>IFERROR(VLOOKUP(J658,'11. Cadastro de Serviços'!$A$6:$E$200,2,FALSE),"")</f>
        <v/>
      </c>
      <c r="L658" s="95">
        <f>IFERROR(VLOOKUP(J658,'11. Cadastro de Serviços'!$A$6:$E$200,3,FALSE),"")</f>
        <v/>
      </c>
      <c r="M658" s="95">
        <f>IFERROR(VLOOKUP(J658,'11. Cadastro de Serviços'!$A$6:$E$200,4,FALSE),"")</f>
        <v/>
      </c>
      <c r="N658" s="95" t="n"/>
      <c r="O658" s="95">
        <f>IF(AND(G658&lt;&gt;"",I658&lt;&gt;"",J658&lt;&gt;"",M658&lt;&gt;""),"Rastreado","Revisar")</f>
        <v/>
      </c>
      <c r="P658" s="96" t="n"/>
    </row>
    <row r="659">
      <c r="A659" s="95" t="n"/>
      <c r="B659" s="96" t="n"/>
      <c r="C659" s="96" t="n"/>
      <c r="D659" s="95" t="n"/>
      <c r="E659" s="96" t="n"/>
      <c r="F659" s="96" t="n"/>
      <c r="G659" s="95">
        <f>IFERROR(VLOOKUP(F659,'12. Contratos_OS'!$A$6:$L$1000,2,FALSE),"")</f>
        <v/>
      </c>
      <c r="H659" s="95">
        <f>IFERROR(VLOOKUP(F659,'12. Contratos_OS'!$A$6:$L$1000,3,FALSE),"")</f>
        <v/>
      </c>
      <c r="I659" s="95">
        <f>IFERROR(VLOOKUP(F659,'12. Contratos_OS'!$A$6:$L$1000,4,FALSE),"")</f>
        <v/>
      </c>
      <c r="J659" s="95">
        <f>IFERROR(VLOOKUP(F659,'12. Contratos_OS'!$A$6:$L$1000,7,FALSE),"")</f>
        <v/>
      </c>
      <c r="K659" s="95">
        <f>IFERROR(VLOOKUP(J659,'11. Cadastro de Serviços'!$A$6:$E$200,2,FALSE),"")</f>
        <v/>
      </c>
      <c r="L659" s="95">
        <f>IFERROR(VLOOKUP(J659,'11. Cadastro de Serviços'!$A$6:$E$200,3,FALSE),"")</f>
        <v/>
      </c>
      <c r="M659" s="95">
        <f>IFERROR(VLOOKUP(J659,'11. Cadastro de Serviços'!$A$6:$E$200,4,FALSE),"")</f>
        <v/>
      </c>
      <c r="N659" s="95" t="n"/>
      <c r="O659" s="95">
        <f>IF(AND(G659&lt;&gt;"",I659&lt;&gt;"",J659&lt;&gt;"",M659&lt;&gt;""),"Rastreado","Revisar")</f>
        <v/>
      </c>
      <c r="P659" s="96" t="n"/>
    </row>
    <row r="660">
      <c r="A660" s="95" t="n"/>
      <c r="B660" s="96" t="n"/>
      <c r="C660" s="96" t="n"/>
      <c r="D660" s="95" t="n"/>
      <c r="E660" s="96" t="n"/>
      <c r="F660" s="96" t="n"/>
      <c r="G660" s="95">
        <f>IFERROR(VLOOKUP(F660,'12. Contratos_OS'!$A$6:$L$1000,2,FALSE),"")</f>
        <v/>
      </c>
      <c r="H660" s="95">
        <f>IFERROR(VLOOKUP(F660,'12. Contratos_OS'!$A$6:$L$1000,3,FALSE),"")</f>
        <v/>
      </c>
      <c r="I660" s="95">
        <f>IFERROR(VLOOKUP(F660,'12. Contratos_OS'!$A$6:$L$1000,4,FALSE),"")</f>
        <v/>
      </c>
      <c r="J660" s="95">
        <f>IFERROR(VLOOKUP(F660,'12. Contratos_OS'!$A$6:$L$1000,7,FALSE),"")</f>
        <v/>
      </c>
      <c r="K660" s="95">
        <f>IFERROR(VLOOKUP(J660,'11. Cadastro de Serviços'!$A$6:$E$200,2,FALSE),"")</f>
        <v/>
      </c>
      <c r="L660" s="95">
        <f>IFERROR(VLOOKUP(J660,'11. Cadastro de Serviços'!$A$6:$E$200,3,FALSE),"")</f>
        <v/>
      </c>
      <c r="M660" s="95">
        <f>IFERROR(VLOOKUP(J660,'11. Cadastro de Serviços'!$A$6:$E$200,4,FALSE),"")</f>
        <v/>
      </c>
      <c r="N660" s="95" t="n"/>
      <c r="O660" s="95">
        <f>IF(AND(G660&lt;&gt;"",I660&lt;&gt;"",J660&lt;&gt;"",M660&lt;&gt;""),"Rastreado","Revisar")</f>
        <v/>
      </c>
      <c r="P660" s="96" t="n"/>
    </row>
    <row r="661">
      <c r="A661" s="95" t="n"/>
      <c r="B661" s="96" t="n"/>
      <c r="C661" s="96" t="n"/>
      <c r="D661" s="95" t="n"/>
      <c r="E661" s="96" t="n"/>
      <c r="F661" s="96" t="n"/>
      <c r="G661" s="95">
        <f>IFERROR(VLOOKUP(F661,'12. Contratos_OS'!$A$6:$L$1000,2,FALSE),"")</f>
        <v/>
      </c>
      <c r="H661" s="95">
        <f>IFERROR(VLOOKUP(F661,'12. Contratos_OS'!$A$6:$L$1000,3,FALSE),"")</f>
        <v/>
      </c>
      <c r="I661" s="95">
        <f>IFERROR(VLOOKUP(F661,'12. Contratos_OS'!$A$6:$L$1000,4,FALSE),"")</f>
        <v/>
      </c>
      <c r="J661" s="95">
        <f>IFERROR(VLOOKUP(F661,'12. Contratos_OS'!$A$6:$L$1000,7,FALSE),"")</f>
        <v/>
      </c>
      <c r="K661" s="95">
        <f>IFERROR(VLOOKUP(J661,'11. Cadastro de Serviços'!$A$6:$E$200,2,FALSE),"")</f>
        <v/>
      </c>
      <c r="L661" s="95">
        <f>IFERROR(VLOOKUP(J661,'11. Cadastro de Serviços'!$A$6:$E$200,3,FALSE),"")</f>
        <v/>
      </c>
      <c r="M661" s="95">
        <f>IFERROR(VLOOKUP(J661,'11. Cadastro de Serviços'!$A$6:$E$200,4,FALSE),"")</f>
        <v/>
      </c>
      <c r="N661" s="95" t="n"/>
      <c r="O661" s="95">
        <f>IF(AND(G661&lt;&gt;"",I661&lt;&gt;"",J661&lt;&gt;"",M661&lt;&gt;""),"Rastreado","Revisar")</f>
        <v/>
      </c>
      <c r="P661" s="96" t="n"/>
    </row>
    <row r="662">
      <c r="A662" s="95" t="n"/>
      <c r="B662" s="96" t="n"/>
      <c r="C662" s="96" t="n"/>
      <c r="D662" s="95" t="n"/>
      <c r="E662" s="96" t="n"/>
      <c r="F662" s="96" t="n"/>
      <c r="G662" s="95">
        <f>IFERROR(VLOOKUP(F662,'12. Contratos_OS'!$A$6:$L$1000,2,FALSE),"")</f>
        <v/>
      </c>
      <c r="H662" s="95">
        <f>IFERROR(VLOOKUP(F662,'12. Contratos_OS'!$A$6:$L$1000,3,FALSE),"")</f>
        <v/>
      </c>
      <c r="I662" s="95">
        <f>IFERROR(VLOOKUP(F662,'12. Contratos_OS'!$A$6:$L$1000,4,FALSE),"")</f>
        <v/>
      </c>
      <c r="J662" s="95">
        <f>IFERROR(VLOOKUP(F662,'12. Contratos_OS'!$A$6:$L$1000,7,FALSE),"")</f>
        <v/>
      </c>
      <c r="K662" s="95">
        <f>IFERROR(VLOOKUP(J662,'11. Cadastro de Serviços'!$A$6:$E$200,2,FALSE),"")</f>
        <v/>
      </c>
      <c r="L662" s="95">
        <f>IFERROR(VLOOKUP(J662,'11. Cadastro de Serviços'!$A$6:$E$200,3,FALSE),"")</f>
        <v/>
      </c>
      <c r="M662" s="95">
        <f>IFERROR(VLOOKUP(J662,'11. Cadastro de Serviços'!$A$6:$E$200,4,FALSE),"")</f>
        <v/>
      </c>
      <c r="N662" s="95" t="n"/>
      <c r="O662" s="95">
        <f>IF(AND(G662&lt;&gt;"",I662&lt;&gt;"",J662&lt;&gt;"",M662&lt;&gt;""),"Rastreado","Revisar")</f>
        <v/>
      </c>
      <c r="P662" s="96" t="n"/>
    </row>
    <row r="663">
      <c r="A663" s="95" t="n"/>
      <c r="B663" s="96" t="n"/>
      <c r="C663" s="96" t="n"/>
      <c r="D663" s="95" t="n"/>
      <c r="E663" s="96" t="n"/>
      <c r="F663" s="96" t="n"/>
      <c r="G663" s="95">
        <f>IFERROR(VLOOKUP(F663,'12. Contratos_OS'!$A$6:$L$1000,2,FALSE),"")</f>
        <v/>
      </c>
      <c r="H663" s="95">
        <f>IFERROR(VLOOKUP(F663,'12. Contratos_OS'!$A$6:$L$1000,3,FALSE),"")</f>
        <v/>
      </c>
      <c r="I663" s="95">
        <f>IFERROR(VLOOKUP(F663,'12. Contratos_OS'!$A$6:$L$1000,4,FALSE),"")</f>
        <v/>
      </c>
      <c r="J663" s="95">
        <f>IFERROR(VLOOKUP(F663,'12. Contratos_OS'!$A$6:$L$1000,7,FALSE),"")</f>
        <v/>
      </c>
      <c r="K663" s="95">
        <f>IFERROR(VLOOKUP(J663,'11. Cadastro de Serviços'!$A$6:$E$200,2,FALSE),"")</f>
        <v/>
      </c>
      <c r="L663" s="95">
        <f>IFERROR(VLOOKUP(J663,'11. Cadastro de Serviços'!$A$6:$E$200,3,FALSE),"")</f>
        <v/>
      </c>
      <c r="M663" s="95">
        <f>IFERROR(VLOOKUP(J663,'11. Cadastro de Serviços'!$A$6:$E$200,4,FALSE),"")</f>
        <v/>
      </c>
      <c r="N663" s="95" t="n"/>
      <c r="O663" s="95">
        <f>IF(AND(G663&lt;&gt;"",I663&lt;&gt;"",J663&lt;&gt;"",M663&lt;&gt;""),"Rastreado","Revisar")</f>
        <v/>
      </c>
      <c r="P663" s="96" t="n"/>
    </row>
    <row r="664">
      <c r="A664" s="95" t="n"/>
      <c r="B664" s="96" t="n"/>
      <c r="C664" s="96" t="n"/>
      <c r="D664" s="95" t="n"/>
      <c r="E664" s="96" t="n"/>
      <c r="F664" s="96" t="n"/>
      <c r="G664" s="95">
        <f>IFERROR(VLOOKUP(F664,'12. Contratos_OS'!$A$6:$L$1000,2,FALSE),"")</f>
        <v/>
      </c>
      <c r="H664" s="95">
        <f>IFERROR(VLOOKUP(F664,'12. Contratos_OS'!$A$6:$L$1000,3,FALSE),"")</f>
        <v/>
      </c>
      <c r="I664" s="95">
        <f>IFERROR(VLOOKUP(F664,'12. Contratos_OS'!$A$6:$L$1000,4,FALSE),"")</f>
        <v/>
      </c>
      <c r="J664" s="95">
        <f>IFERROR(VLOOKUP(F664,'12. Contratos_OS'!$A$6:$L$1000,7,FALSE),"")</f>
        <v/>
      </c>
      <c r="K664" s="95">
        <f>IFERROR(VLOOKUP(J664,'11. Cadastro de Serviços'!$A$6:$E$200,2,FALSE),"")</f>
        <v/>
      </c>
      <c r="L664" s="95">
        <f>IFERROR(VLOOKUP(J664,'11. Cadastro de Serviços'!$A$6:$E$200,3,FALSE),"")</f>
        <v/>
      </c>
      <c r="M664" s="95">
        <f>IFERROR(VLOOKUP(J664,'11. Cadastro de Serviços'!$A$6:$E$200,4,FALSE),"")</f>
        <v/>
      </c>
      <c r="N664" s="95" t="n"/>
      <c r="O664" s="95">
        <f>IF(AND(G664&lt;&gt;"",I664&lt;&gt;"",J664&lt;&gt;"",M664&lt;&gt;""),"Rastreado","Revisar")</f>
        <v/>
      </c>
      <c r="P664" s="96" t="n"/>
    </row>
    <row r="665">
      <c r="A665" s="95" t="n"/>
      <c r="B665" s="96" t="n"/>
      <c r="C665" s="96" t="n"/>
      <c r="D665" s="95" t="n"/>
      <c r="E665" s="96" t="n"/>
      <c r="F665" s="96" t="n"/>
      <c r="G665" s="95">
        <f>IFERROR(VLOOKUP(F665,'12. Contratos_OS'!$A$6:$L$1000,2,FALSE),"")</f>
        <v/>
      </c>
      <c r="H665" s="95">
        <f>IFERROR(VLOOKUP(F665,'12. Contratos_OS'!$A$6:$L$1000,3,FALSE),"")</f>
        <v/>
      </c>
      <c r="I665" s="95">
        <f>IFERROR(VLOOKUP(F665,'12. Contratos_OS'!$A$6:$L$1000,4,FALSE),"")</f>
        <v/>
      </c>
      <c r="J665" s="95">
        <f>IFERROR(VLOOKUP(F665,'12. Contratos_OS'!$A$6:$L$1000,7,FALSE),"")</f>
        <v/>
      </c>
      <c r="K665" s="95">
        <f>IFERROR(VLOOKUP(J665,'11. Cadastro de Serviços'!$A$6:$E$200,2,FALSE),"")</f>
        <v/>
      </c>
      <c r="L665" s="95">
        <f>IFERROR(VLOOKUP(J665,'11. Cadastro de Serviços'!$A$6:$E$200,3,FALSE),"")</f>
        <v/>
      </c>
      <c r="M665" s="95">
        <f>IFERROR(VLOOKUP(J665,'11. Cadastro de Serviços'!$A$6:$E$200,4,FALSE),"")</f>
        <v/>
      </c>
      <c r="N665" s="95" t="n"/>
      <c r="O665" s="95">
        <f>IF(AND(G665&lt;&gt;"",I665&lt;&gt;"",J665&lt;&gt;"",M665&lt;&gt;""),"Rastreado","Revisar")</f>
        <v/>
      </c>
      <c r="P665" s="96" t="n"/>
    </row>
    <row r="666">
      <c r="A666" s="95" t="n"/>
      <c r="B666" s="96" t="n"/>
      <c r="C666" s="96" t="n"/>
      <c r="D666" s="95" t="n"/>
      <c r="E666" s="96" t="n"/>
      <c r="F666" s="96" t="n"/>
      <c r="G666" s="95">
        <f>IFERROR(VLOOKUP(F666,'12. Contratos_OS'!$A$6:$L$1000,2,FALSE),"")</f>
        <v/>
      </c>
      <c r="H666" s="95">
        <f>IFERROR(VLOOKUP(F666,'12. Contratos_OS'!$A$6:$L$1000,3,FALSE),"")</f>
        <v/>
      </c>
      <c r="I666" s="95">
        <f>IFERROR(VLOOKUP(F666,'12. Contratos_OS'!$A$6:$L$1000,4,FALSE),"")</f>
        <v/>
      </c>
      <c r="J666" s="95">
        <f>IFERROR(VLOOKUP(F666,'12. Contratos_OS'!$A$6:$L$1000,7,FALSE),"")</f>
        <v/>
      </c>
      <c r="K666" s="95">
        <f>IFERROR(VLOOKUP(J666,'11. Cadastro de Serviços'!$A$6:$E$200,2,FALSE),"")</f>
        <v/>
      </c>
      <c r="L666" s="95">
        <f>IFERROR(VLOOKUP(J666,'11. Cadastro de Serviços'!$A$6:$E$200,3,FALSE),"")</f>
        <v/>
      </c>
      <c r="M666" s="95">
        <f>IFERROR(VLOOKUP(J666,'11. Cadastro de Serviços'!$A$6:$E$200,4,FALSE),"")</f>
        <v/>
      </c>
      <c r="N666" s="95" t="n"/>
      <c r="O666" s="95">
        <f>IF(AND(G666&lt;&gt;"",I666&lt;&gt;"",J666&lt;&gt;"",M666&lt;&gt;""),"Rastreado","Revisar")</f>
        <v/>
      </c>
      <c r="P666" s="96" t="n"/>
    </row>
    <row r="667">
      <c r="A667" s="95" t="n"/>
      <c r="B667" s="96" t="n"/>
      <c r="C667" s="96" t="n"/>
      <c r="D667" s="95" t="n"/>
      <c r="E667" s="96" t="n"/>
      <c r="F667" s="96" t="n"/>
      <c r="G667" s="95">
        <f>IFERROR(VLOOKUP(F667,'12. Contratos_OS'!$A$6:$L$1000,2,FALSE),"")</f>
        <v/>
      </c>
      <c r="H667" s="95">
        <f>IFERROR(VLOOKUP(F667,'12. Contratos_OS'!$A$6:$L$1000,3,FALSE),"")</f>
        <v/>
      </c>
      <c r="I667" s="95">
        <f>IFERROR(VLOOKUP(F667,'12. Contratos_OS'!$A$6:$L$1000,4,FALSE),"")</f>
        <v/>
      </c>
      <c r="J667" s="95">
        <f>IFERROR(VLOOKUP(F667,'12. Contratos_OS'!$A$6:$L$1000,7,FALSE),"")</f>
        <v/>
      </c>
      <c r="K667" s="95">
        <f>IFERROR(VLOOKUP(J667,'11. Cadastro de Serviços'!$A$6:$E$200,2,FALSE),"")</f>
        <v/>
      </c>
      <c r="L667" s="95">
        <f>IFERROR(VLOOKUP(J667,'11. Cadastro de Serviços'!$A$6:$E$200,3,FALSE),"")</f>
        <v/>
      </c>
      <c r="M667" s="95">
        <f>IFERROR(VLOOKUP(J667,'11. Cadastro de Serviços'!$A$6:$E$200,4,FALSE),"")</f>
        <v/>
      </c>
      <c r="N667" s="95" t="n"/>
      <c r="O667" s="95">
        <f>IF(AND(G667&lt;&gt;"",I667&lt;&gt;"",J667&lt;&gt;"",M667&lt;&gt;""),"Rastreado","Revisar")</f>
        <v/>
      </c>
      <c r="P667" s="96" t="n"/>
    </row>
    <row r="668">
      <c r="A668" s="95" t="n"/>
      <c r="B668" s="96" t="n"/>
      <c r="C668" s="96" t="n"/>
      <c r="D668" s="95" t="n"/>
      <c r="E668" s="96" t="n"/>
      <c r="F668" s="96" t="n"/>
      <c r="G668" s="95">
        <f>IFERROR(VLOOKUP(F668,'12. Contratos_OS'!$A$6:$L$1000,2,FALSE),"")</f>
        <v/>
      </c>
      <c r="H668" s="95">
        <f>IFERROR(VLOOKUP(F668,'12. Contratos_OS'!$A$6:$L$1000,3,FALSE),"")</f>
        <v/>
      </c>
      <c r="I668" s="95">
        <f>IFERROR(VLOOKUP(F668,'12. Contratos_OS'!$A$6:$L$1000,4,FALSE),"")</f>
        <v/>
      </c>
      <c r="J668" s="95">
        <f>IFERROR(VLOOKUP(F668,'12. Contratos_OS'!$A$6:$L$1000,7,FALSE),"")</f>
        <v/>
      </c>
      <c r="K668" s="95">
        <f>IFERROR(VLOOKUP(J668,'11. Cadastro de Serviços'!$A$6:$E$200,2,FALSE),"")</f>
        <v/>
      </c>
      <c r="L668" s="95">
        <f>IFERROR(VLOOKUP(J668,'11. Cadastro de Serviços'!$A$6:$E$200,3,FALSE),"")</f>
        <v/>
      </c>
      <c r="M668" s="95">
        <f>IFERROR(VLOOKUP(J668,'11. Cadastro de Serviços'!$A$6:$E$200,4,FALSE),"")</f>
        <v/>
      </c>
      <c r="N668" s="95" t="n"/>
      <c r="O668" s="95">
        <f>IF(AND(G668&lt;&gt;"",I668&lt;&gt;"",J668&lt;&gt;"",M668&lt;&gt;""),"Rastreado","Revisar")</f>
        <v/>
      </c>
      <c r="P668" s="96" t="n"/>
    </row>
    <row r="669">
      <c r="A669" s="95" t="n"/>
      <c r="B669" s="96" t="n"/>
      <c r="C669" s="96" t="n"/>
      <c r="D669" s="95" t="n"/>
      <c r="E669" s="96" t="n"/>
      <c r="F669" s="96" t="n"/>
      <c r="G669" s="95">
        <f>IFERROR(VLOOKUP(F669,'12. Contratos_OS'!$A$6:$L$1000,2,FALSE),"")</f>
        <v/>
      </c>
      <c r="H669" s="95">
        <f>IFERROR(VLOOKUP(F669,'12. Contratos_OS'!$A$6:$L$1000,3,FALSE),"")</f>
        <v/>
      </c>
      <c r="I669" s="95">
        <f>IFERROR(VLOOKUP(F669,'12. Contratos_OS'!$A$6:$L$1000,4,FALSE),"")</f>
        <v/>
      </c>
      <c r="J669" s="95">
        <f>IFERROR(VLOOKUP(F669,'12. Contratos_OS'!$A$6:$L$1000,7,FALSE),"")</f>
        <v/>
      </c>
      <c r="K669" s="95">
        <f>IFERROR(VLOOKUP(J669,'11. Cadastro de Serviços'!$A$6:$E$200,2,FALSE),"")</f>
        <v/>
      </c>
      <c r="L669" s="95">
        <f>IFERROR(VLOOKUP(J669,'11. Cadastro de Serviços'!$A$6:$E$200,3,FALSE),"")</f>
        <v/>
      </c>
      <c r="M669" s="95">
        <f>IFERROR(VLOOKUP(J669,'11. Cadastro de Serviços'!$A$6:$E$200,4,FALSE),"")</f>
        <v/>
      </c>
      <c r="N669" s="95" t="n"/>
      <c r="O669" s="95">
        <f>IF(AND(G669&lt;&gt;"",I669&lt;&gt;"",J669&lt;&gt;"",M669&lt;&gt;""),"Rastreado","Revisar")</f>
        <v/>
      </c>
      <c r="P669" s="96" t="n"/>
    </row>
    <row r="670">
      <c r="A670" s="95" t="n"/>
      <c r="B670" s="96" t="n"/>
      <c r="C670" s="96" t="n"/>
      <c r="D670" s="95" t="n"/>
      <c r="E670" s="96" t="n"/>
      <c r="F670" s="96" t="n"/>
      <c r="G670" s="95">
        <f>IFERROR(VLOOKUP(F670,'12. Contratos_OS'!$A$6:$L$1000,2,FALSE),"")</f>
        <v/>
      </c>
      <c r="H670" s="95">
        <f>IFERROR(VLOOKUP(F670,'12. Contratos_OS'!$A$6:$L$1000,3,FALSE),"")</f>
        <v/>
      </c>
      <c r="I670" s="95">
        <f>IFERROR(VLOOKUP(F670,'12. Contratos_OS'!$A$6:$L$1000,4,FALSE),"")</f>
        <v/>
      </c>
      <c r="J670" s="95">
        <f>IFERROR(VLOOKUP(F670,'12. Contratos_OS'!$A$6:$L$1000,7,FALSE),"")</f>
        <v/>
      </c>
      <c r="K670" s="95">
        <f>IFERROR(VLOOKUP(J670,'11. Cadastro de Serviços'!$A$6:$E$200,2,FALSE),"")</f>
        <v/>
      </c>
      <c r="L670" s="95">
        <f>IFERROR(VLOOKUP(J670,'11. Cadastro de Serviços'!$A$6:$E$200,3,FALSE),"")</f>
        <v/>
      </c>
      <c r="M670" s="95">
        <f>IFERROR(VLOOKUP(J670,'11. Cadastro de Serviços'!$A$6:$E$200,4,FALSE),"")</f>
        <v/>
      </c>
      <c r="N670" s="95" t="n"/>
      <c r="O670" s="95">
        <f>IF(AND(G670&lt;&gt;"",I670&lt;&gt;"",J670&lt;&gt;"",M670&lt;&gt;""),"Rastreado","Revisar")</f>
        <v/>
      </c>
      <c r="P670" s="96" t="n"/>
    </row>
    <row r="671">
      <c r="A671" s="95" t="n"/>
      <c r="B671" s="96" t="n"/>
      <c r="C671" s="96" t="n"/>
      <c r="D671" s="95" t="n"/>
      <c r="E671" s="96" t="n"/>
      <c r="F671" s="96" t="n"/>
      <c r="G671" s="95">
        <f>IFERROR(VLOOKUP(F671,'12. Contratos_OS'!$A$6:$L$1000,2,FALSE),"")</f>
        <v/>
      </c>
      <c r="H671" s="95">
        <f>IFERROR(VLOOKUP(F671,'12. Contratos_OS'!$A$6:$L$1000,3,FALSE),"")</f>
        <v/>
      </c>
      <c r="I671" s="95">
        <f>IFERROR(VLOOKUP(F671,'12. Contratos_OS'!$A$6:$L$1000,4,FALSE),"")</f>
        <v/>
      </c>
      <c r="J671" s="95">
        <f>IFERROR(VLOOKUP(F671,'12. Contratos_OS'!$A$6:$L$1000,7,FALSE),"")</f>
        <v/>
      </c>
      <c r="K671" s="95">
        <f>IFERROR(VLOOKUP(J671,'11. Cadastro de Serviços'!$A$6:$E$200,2,FALSE),"")</f>
        <v/>
      </c>
      <c r="L671" s="95">
        <f>IFERROR(VLOOKUP(J671,'11. Cadastro de Serviços'!$A$6:$E$200,3,FALSE),"")</f>
        <v/>
      </c>
      <c r="M671" s="95">
        <f>IFERROR(VLOOKUP(J671,'11. Cadastro de Serviços'!$A$6:$E$200,4,FALSE),"")</f>
        <v/>
      </c>
      <c r="N671" s="95" t="n"/>
      <c r="O671" s="95">
        <f>IF(AND(G671&lt;&gt;"",I671&lt;&gt;"",J671&lt;&gt;"",M671&lt;&gt;""),"Rastreado","Revisar")</f>
        <v/>
      </c>
      <c r="P671" s="96" t="n"/>
    </row>
    <row r="672">
      <c r="A672" s="95" t="n"/>
      <c r="B672" s="96" t="n"/>
      <c r="C672" s="96" t="n"/>
      <c r="D672" s="95" t="n"/>
      <c r="E672" s="96" t="n"/>
      <c r="F672" s="96" t="n"/>
      <c r="G672" s="95">
        <f>IFERROR(VLOOKUP(F672,'12. Contratos_OS'!$A$6:$L$1000,2,FALSE),"")</f>
        <v/>
      </c>
      <c r="H672" s="95">
        <f>IFERROR(VLOOKUP(F672,'12. Contratos_OS'!$A$6:$L$1000,3,FALSE),"")</f>
        <v/>
      </c>
      <c r="I672" s="95">
        <f>IFERROR(VLOOKUP(F672,'12. Contratos_OS'!$A$6:$L$1000,4,FALSE),"")</f>
        <v/>
      </c>
      <c r="J672" s="95">
        <f>IFERROR(VLOOKUP(F672,'12. Contratos_OS'!$A$6:$L$1000,7,FALSE),"")</f>
        <v/>
      </c>
      <c r="K672" s="95">
        <f>IFERROR(VLOOKUP(J672,'11. Cadastro de Serviços'!$A$6:$E$200,2,FALSE),"")</f>
        <v/>
      </c>
      <c r="L672" s="95">
        <f>IFERROR(VLOOKUP(J672,'11. Cadastro de Serviços'!$A$6:$E$200,3,FALSE),"")</f>
        <v/>
      </c>
      <c r="M672" s="95">
        <f>IFERROR(VLOOKUP(J672,'11. Cadastro de Serviços'!$A$6:$E$200,4,FALSE),"")</f>
        <v/>
      </c>
      <c r="N672" s="95" t="n"/>
      <c r="O672" s="95">
        <f>IF(AND(G672&lt;&gt;"",I672&lt;&gt;"",J672&lt;&gt;"",M672&lt;&gt;""),"Rastreado","Revisar")</f>
        <v/>
      </c>
      <c r="P672" s="96" t="n"/>
    </row>
    <row r="673">
      <c r="A673" s="95" t="n"/>
      <c r="B673" s="96" t="n"/>
      <c r="C673" s="96" t="n"/>
      <c r="D673" s="95" t="n"/>
      <c r="E673" s="96" t="n"/>
      <c r="F673" s="96" t="n"/>
      <c r="G673" s="95">
        <f>IFERROR(VLOOKUP(F673,'12. Contratos_OS'!$A$6:$L$1000,2,FALSE),"")</f>
        <v/>
      </c>
      <c r="H673" s="95">
        <f>IFERROR(VLOOKUP(F673,'12. Contratos_OS'!$A$6:$L$1000,3,FALSE),"")</f>
        <v/>
      </c>
      <c r="I673" s="95">
        <f>IFERROR(VLOOKUP(F673,'12. Contratos_OS'!$A$6:$L$1000,4,FALSE),"")</f>
        <v/>
      </c>
      <c r="J673" s="95">
        <f>IFERROR(VLOOKUP(F673,'12. Contratos_OS'!$A$6:$L$1000,7,FALSE),"")</f>
        <v/>
      </c>
      <c r="K673" s="95">
        <f>IFERROR(VLOOKUP(J673,'11. Cadastro de Serviços'!$A$6:$E$200,2,FALSE),"")</f>
        <v/>
      </c>
      <c r="L673" s="95">
        <f>IFERROR(VLOOKUP(J673,'11. Cadastro de Serviços'!$A$6:$E$200,3,FALSE),"")</f>
        <v/>
      </c>
      <c r="M673" s="95">
        <f>IFERROR(VLOOKUP(J673,'11. Cadastro de Serviços'!$A$6:$E$200,4,FALSE),"")</f>
        <v/>
      </c>
      <c r="N673" s="95" t="n"/>
      <c r="O673" s="95">
        <f>IF(AND(G673&lt;&gt;"",I673&lt;&gt;"",J673&lt;&gt;"",M673&lt;&gt;""),"Rastreado","Revisar")</f>
        <v/>
      </c>
      <c r="P673" s="96" t="n"/>
    </row>
    <row r="674">
      <c r="A674" s="95" t="n"/>
      <c r="B674" s="96" t="n"/>
      <c r="C674" s="96" t="n"/>
      <c r="D674" s="95" t="n"/>
      <c r="E674" s="96" t="n"/>
      <c r="F674" s="96" t="n"/>
      <c r="G674" s="95">
        <f>IFERROR(VLOOKUP(F674,'12. Contratos_OS'!$A$6:$L$1000,2,FALSE),"")</f>
        <v/>
      </c>
      <c r="H674" s="95">
        <f>IFERROR(VLOOKUP(F674,'12. Contratos_OS'!$A$6:$L$1000,3,FALSE),"")</f>
        <v/>
      </c>
      <c r="I674" s="95">
        <f>IFERROR(VLOOKUP(F674,'12. Contratos_OS'!$A$6:$L$1000,4,FALSE),"")</f>
        <v/>
      </c>
      <c r="J674" s="95">
        <f>IFERROR(VLOOKUP(F674,'12. Contratos_OS'!$A$6:$L$1000,7,FALSE),"")</f>
        <v/>
      </c>
      <c r="K674" s="95">
        <f>IFERROR(VLOOKUP(J674,'11. Cadastro de Serviços'!$A$6:$E$200,2,FALSE),"")</f>
        <v/>
      </c>
      <c r="L674" s="95">
        <f>IFERROR(VLOOKUP(J674,'11. Cadastro de Serviços'!$A$6:$E$200,3,FALSE),"")</f>
        <v/>
      </c>
      <c r="M674" s="95">
        <f>IFERROR(VLOOKUP(J674,'11. Cadastro de Serviços'!$A$6:$E$200,4,FALSE),"")</f>
        <v/>
      </c>
      <c r="N674" s="95" t="n"/>
      <c r="O674" s="95">
        <f>IF(AND(G674&lt;&gt;"",I674&lt;&gt;"",J674&lt;&gt;"",M674&lt;&gt;""),"Rastreado","Revisar")</f>
        <v/>
      </c>
      <c r="P674" s="96" t="n"/>
    </row>
    <row r="675">
      <c r="A675" s="95" t="n"/>
      <c r="B675" s="96" t="n"/>
      <c r="C675" s="96" t="n"/>
      <c r="D675" s="95" t="n"/>
      <c r="E675" s="96" t="n"/>
      <c r="F675" s="96" t="n"/>
      <c r="G675" s="95">
        <f>IFERROR(VLOOKUP(F675,'12. Contratos_OS'!$A$6:$L$1000,2,FALSE),"")</f>
        <v/>
      </c>
      <c r="H675" s="95">
        <f>IFERROR(VLOOKUP(F675,'12. Contratos_OS'!$A$6:$L$1000,3,FALSE),"")</f>
        <v/>
      </c>
      <c r="I675" s="95">
        <f>IFERROR(VLOOKUP(F675,'12. Contratos_OS'!$A$6:$L$1000,4,FALSE),"")</f>
        <v/>
      </c>
      <c r="J675" s="95">
        <f>IFERROR(VLOOKUP(F675,'12. Contratos_OS'!$A$6:$L$1000,7,FALSE),"")</f>
        <v/>
      </c>
      <c r="K675" s="95">
        <f>IFERROR(VLOOKUP(J675,'11. Cadastro de Serviços'!$A$6:$E$200,2,FALSE),"")</f>
        <v/>
      </c>
      <c r="L675" s="95">
        <f>IFERROR(VLOOKUP(J675,'11. Cadastro de Serviços'!$A$6:$E$200,3,FALSE),"")</f>
        <v/>
      </c>
      <c r="M675" s="95">
        <f>IFERROR(VLOOKUP(J675,'11. Cadastro de Serviços'!$A$6:$E$200,4,FALSE),"")</f>
        <v/>
      </c>
      <c r="N675" s="95" t="n"/>
      <c r="O675" s="95">
        <f>IF(AND(G675&lt;&gt;"",I675&lt;&gt;"",J675&lt;&gt;"",M675&lt;&gt;""),"Rastreado","Revisar")</f>
        <v/>
      </c>
      <c r="P675" s="96" t="n"/>
    </row>
    <row r="676">
      <c r="A676" s="95" t="n"/>
      <c r="B676" s="96" t="n"/>
      <c r="C676" s="96" t="n"/>
      <c r="D676" s="95" t="n"/>
      <c r="E676" s="96" t="n"/>
      <c r="F676" s="96" t="n"/>
      <c r="G676" s="95">
        <f>IFERROR(VLOOKUP(F676,'12. Contratos_OS'!$A$6:$L$1000,2,FALSE),"")</f>
        <v/>
      </c>
      <c r="H676" s="95">
        <f>IFERROR(VLOOKUP(F676,'12. Contratos_OS'!$A$6:$L$1000,3,FALSE),"")</f>
        <v/>
      </c>
      <c r="I676" s="95">
        <f>IFERROR(VLOOKUP(F676,'12. Contratos_OS'!$A$6:$L$1000,4,FALSE),"")</f>
        <v/>
      </c>
      <c r="J676" s="95">
        <f>IFERROR(VLOOKUP(F676,'12. Contratos_OS'!$A$6:$L$1000,7,FALSE),"")</f>
        <v/>
      </c>
      <c r="K676" s="95">
        <f>IFERROR(VLOOKUP(J676,'11. Cadastro de Serviços'!$A$6:$E$200,2,FALSE),"")</f>
        <v/>
      </c>
      <c r="L676" s="95">
        <f>IFERROR(VLOOKUP(J676,'11. Cadastro de Serviços'!$A$6:$E$200,3,FALSE),"")</f>
        <v/>
      </c>
      <c r="M676" s="95">
        <f>IFERROR(VLOOKUP(J676,'11. Cadastro de Serviços'!$A$6:$E$200,4,FALSE),"")</f>
        <v/>
      </c>
      <c r="N676" s="95" t="n"/>
      <c r="O676" s="95">
        <f>IF(AND(G676&lt;&gt;"",I676&lt;&gt;"",J676&lt;&gt;"",M676&lt;&gt;""),"Rastreado","Revisar")</f>
        <v/>
      </c>
      <c r="P676" s="96" t="n"/>
    </row>
    <row r="677">
      <c r="A677" s="95" t="n"/>
      <c r="B677" s="96" t="n"/>
      <c r="C677" s="96" t="n"/>
      <c r="D677" s="95" t="n"/>
      <c r="E677" s="96" t="n"/>
      <c r="F677" s="96" t="n"/>
      <c r="G677" s="95">
        <f>IFERROR(VLOOKUP(F677,'12. Contratos_OS'!$A$6:$L$1000,2,FALSE),"")</f>
        <v/>
      </c>
      <c r="H677" s="95">
        <f>IFERROR(VLOOKUP(F677,'12. Contratos_OS'!$A$6:$L$1000,3,FALSE),"")</f>
        <v/>
      </c>
      <c r="I677" s="95">
        <f>IFERROR(VLOOKUP(F677,'12. Contratos_OS'!$A$6:$L$1000,4,FALSE),"")</f>
        <v/>
      </c>
      <c r="J677" s="95">
        <f>IFERROR(VLOOKUP(F677,'12. Contratos_OS'!$A$6:$L$1000,7,FALSE),"")</f>
        <v/>
      </c>
      <c r="K677" s="95">
        <f>IFERROR(VLOOKUP(J677,'11. Cadastro de Serviços'!$A$6:$E$200,2,FALSE),"")</f>
        <v/>
      </c>
      <c r="L677" s="95">
        <f>IFERROR(VLOOKUP(J677,'11. Cadastro de Serviços'!$A$6:$E$200,3,FALSE),"")</f>
        <v/>
      </c>
      <c r="M677" s="95">
        <f>IFERROR(VLOOKUP(J677,'11. Cadastro de Serviços'!$A$6:$E$200,4,FALSE),"")</f>
        <v/>
      </c>
      <c r="N677" s="95" t="n"/>
      <c r="O677" s="95">
        <f>IF(AND(G677&lt;&gt;"",I677&lt;&gt;"",J677&lt;&gt;"",M677&lt;&gt;""),"Rastreado","Revisar")</f>
        <v/>
      </c>
      <c r="P677" s="96" t="n"/>
    </row>
    <row r="678">
      <c r="A678" s="95" t="n"/>
      <c r="B678" s="96" t="n"/>
      <c r="C678" s="96" t="n"/>
      <c r="D678" s="95" t="n"/>
      <c r="E678" s="96" t="n"/>
      <c r="F678" s="96" t="n"/>
      <c r="G678" s="95">
        <f>IFERROR(VLOOKUP(F678,'12. Contratos_OS'!$A$6:$L$1000,2,FALSE),"")</f>
        <v/>
      </c>
      <c r="H678" s="95">
        <f>IFERROR(VLOOKUP(F678,'12. Contratos_OS'!$A$6:$L$1000,3,FALSE),"")</f>
        <v/>
      </c>
      <c r="I678" s="95">
        <f>IFERROR(VLOOKUP(F678,'12. Contratos_OS'!$A$6:$L$1000,4,FALSE),"")</f>
        <v/>
      </c>
      <c r="J678" s="95">
        <f>IFERROR(VLOOKUP(F678,'12. Contratos_OS'!$A$6:$L$1000,7,FALSE),"")</f>
        <v/>
      </c>
      <c r="K678" s="95">
        <f>IFERROR(VLOOKUP(J678,'11. Cadastro de Serviços'!$A$6:$E$200,2,FALSE),"")</f>
        <v/>
      </c>
      <c r="L678" s="95">
        <f>IFERROR(VLOOKUP(J678,'11. Cadastro de Serviços'!$A$6:$E$200,3,FALSE),"")</f>
        <v/>
      </c>
      <c r="M678" s="95">
        <f>IFERROR(VLOOKUP(J678,'11. Cadastro de Serviços'!$A$6:$E$200,4,FALSE),"")</f>
        <v/>
      </c>
      <c r="N678" s="95" t="n"/>
      <c r="O678" s="95">
        <f>IF(AND(G678&lt;&gt;"",I678&lt;&gt;"",J678&lt;&gt;"",M678&lt;&gt;""),"Rastreado","Revisar")</f>
        <v/>
      </c>
      <c r="P678" s="96" t="n"/>
    </row>
    <row r="679">
      <c r="A679" s="95" t="n"/>
      <c r="B679" s="96" t="n"/>
      <c r="C679" s="96" t="n"/>
      <c r="D679" s="95" t="n"/>
      <c r="E679" s="96" t="n"/>
      <c r="F679" s="96" t="n"/>
      <c r="G679" s="95">
        <f>IFERROR(VLOOKUP(F679,'12. Contratos_OS'!$A$6:$L$1000,2,FALSE),"")</f>
        <v/>
      </c>
      <c r="H679" s="95">
        <f>IFERROR(VLOOKUP(F679,'12. Contratos_OS'!$A$6:$L$1000,3,FALSE),"")</f>
        <v/>
      </c>
      <c r="I679" s="95">
        <f>IFERROR(VLOOKUP(F679,'12. Contratos_OS'!$A$6:$L$1000,4,FALSE),"")</f>
        <v/>
      </c>
      <c r="J679" s="95">
        <f>IFERROR(VLOOKUP(F679,'12. Contratos_OS'!$A$6:$L$1000,7,FALSE),"")</f>
        <v/>
      </c>
      <c r="K679" s="95">
        <f>IFERROR(VLOOKUP(J679,'11. Cadastro de Serviços'!$A$6:$E$200,2,FALSE),"")</f>
        <v/>
      </c>
      <c r="L679" s="95">
        <f>IFERROR(VLOOKUP(J679,'11. Cadastro de Serviços'!$A$6:$E$200,3,FALSE),"")</f>
        <v/>
      </c>
      <c r="M679" s="95">
        <f>IFERROR(VLOOKUP(J679,'11. Cadastro de Serviços'!$A$6:$E$200,4,FALSE),"")</f>
        <v/>
      </c>
      <c r="N679" s="95" t="n"/>
      <c r="O679" s="95">
        <f>IF(AND(G679&lt;&gt;"",I679&lt;&gt;"",J679&lt;&gt;"",M679&lt;&gt;""),"Rastreado","Revisar")</f>
        <v/>
      </c>
      <c r="P679" s="96" t="n"/>
    </row>
    <row r="680">
      <c r="A680" s="95" t="n"/>
      <c r="B680" s="96" t="n"/>
      <c r="C680" s="96" t="n"/>
      <c r="D680" s="95" t="n"/>
      <c r="E680" s="96" t="n"/>
      <c r="F680" s="96" t="n"/>
      <c r="G680" s="95">
        <f>IFERROR(VLOOKUP(F680,'12. Contratos_OS'!$A$6:$L$1000,2,FALSE),"")</f>
        <v/>
      </c>
      <c r="H680" s="95">
        <f>IFERROR(VLOOKUP(F680,'12. Contratos_OS'!$A$6:$L$1000,3,FALSE),"")</f>
        <v/>
      </c>
      <c r="I680" s="95">
        <f>IFERROR(VLOOKUP(F680,'12. Contratos_OS'!$A$6:$L$1000,4,FALSE),"")</f>
        <v/>
      </c>
      <c r="J680" s="95">
        <f>IFERROR(VLOOKUP(F680,'12. Contratos_OS'!$A$6:$L$1000,7,FALSE),"")</f>
        <v/>
      </c>
      <c r="K680" s="95">
        <f>IFERROR(VLOOKUP(J680,'11. Cadastro de Serviços'!$A$6:$E$200,2,FALSE),"")</f>
        <v/>
      </c>
      <c r="L680" s="95">
        <f>IFERROR(VLOOKUP(J680,'11. Cadastro de Serviços'!$A$6:$E$200,3,FALSE),"")</f>
        <v/>
      </c>
      <c r="M680" s="95">
        <f>IFERROR(VLOOKUP(J680,'11. Cadastro de Serviços'!$A$6:$E$200,4,FALSE),"")</f>
        <v/>
      </c>
      <c r="N680" s="95" t="n"/>
      <c r="O680" s="95">
        <f>IF(AND(G680&lt;&gt;"",I680&lt;&gt;"",J680&lt;&gt;"",M680&lt;&gt;""),"Rastreado","Revisar")</f>
        <v/>
      </c>
      <c r="P680" s="96" t="n"/>
    </row>
    <row r="681">
      <c r="A681" s="95" t="n"/>
      <c r="B681" s="96" t="n"/>
      <c r="C681" s="96" t="n"/>
      <c r="D681" s="95" t="n"/>
      <c r="E681" s="96" t="n"/>
      <c r="F681" s="96" t="n"/>
      <c r="G681" s="95">
        <f>IFERROR(VLOOKUP(F681,'12. Contratos_OS'!$A$6:$L$1000,2,FALSE),"")</f>
        <v/>
      </c>
      <c r="H681" s="95">
        <f>IFERROR(VLOOKUP(F681,'12. Contratos_OS'!$A$6:$L$1000,3,FALSE),"")</f>
        <v/>
      </c>
      <c r="I681" s="95">
        <f>IFERROR(VLOOKUP(F681,'12. Contratos_OS'!$A$6:$L$1000,4,FALSE),"")</f>
        <v/>
      </c>
      <c r="J681" s="95">
        <f>IFERROR(VLOOKUP(F681,'12. Contratos_OS'!$A$6:$L$1000,7,FALSE),"")</f>
        <v/>
      </c>
      <c r="K681" s="95">
        <f>IFERROR(VLOOKUP(J681,'11. Cadastro de Serviços'!$A$6:$E$200,2,FALSE),"")</f>
        <v/>
      </c>
      <c r="L681" s="95">
        <f>IFERROR(VLOOKUP(J681,'11. Cadastro de Serviços'!$A$6:$E$200,3,FALSE),"")</f>
        <v/>
      </c>
      <c r="M681" s="95">
        <f>IFERROR(VLOOKUP(J681,'11. Cadastro de Serviços'!$A$6:$E$200,4,FALSE),"")</f>
        <v/>
      </c>
      <c r="N681" s="95" t="n"/>
      <c r="O681" s="95">
        <f>IF(AND(G681&lt;&gt;"",I681&lt;&gt;"",J681&lt;&gt;"",M681&lt;&gt;""),"Rastreado","Revisar")</f>
        <v/>
      </c>
      <c r="P681" s="96" t="n"/>
    </row>
    <row r="682">
      <c r="A682" s="95" t="n"/>
      <c r="B682" s="96" t="n"/>
      <c r="C682" s="96" t="n"/>
      <c r="D682" s="95" t="n"/>
      <c r="E682" s="96" t="n"/>
      <c r="F682" s="96" t="n"/>
      <c r="G682" s="95">
        <f>IFERROR(VLOOKUP(F682,'12. Contratos_OS'!$A$6:$L$1000,2,FALSE),"")</f>
        <v/>
      </c>
      <c r="H682" s="95">
        <f>IFERROR(VLOOKUP(F682,'12. Contratos_OS'!$A$6:$L$1000,3,FALSE),"")</f>
        <v/>
      </c>
      <c r="I682" s="95">
        <f>IFERROR(VLOOKUP(F682,'12. Contratos_OS'!$A$6:$L$1000,4,FALSE),"")</f>
        <v/>
      </c>
      <c r="J682" s="95">
        <f>IFERROR(VLOOKUP(F682,'12. Contratos_OS'!$A$6:$L$1000,7,FALSE),"")</f>
        <v/>
      </c>
      <c r="K682" s="95">
        <f>IFERROR(VLOOKUP(J682,'11. Cadastro de Serviços'!$A$6:$E$200,2,FALSE),"")</f>
        <v/>
      </c>
      <c r="L682" s="95">
        <f>IFERROR(VLOOKUP(J682,'11. Cadastro de Serviços'!$A$6:$E$200,3,FALSE),"")</f>
        <v/>
      </c>
      <c r="M682" s="95">
        <f>IFERROR(VLOOKUP(J682,'11. Cadastro de Serviços'!$A$6:$E$200,4,FALSE),"")</f>
        <v/>
      </c>
      <c r="N682" s="95" t="n"/>
      <c r="O682" s="95">
        <f>IF(AND(G682&lt;&gt;"",I682&lt;&gt;"",J682&lt;&gt;"",M682&lt;&gt;""),"Rastreado","Revisar")</f>
        <v/>
      </c>
      <c r="P682" s="96" t="n"/>
    </row>
    <row r="683">
      <c r="A683" s="95" t="n"/>
      <c r="B683" s="96" t="n"/>
      <c r="C683" s="96" t="n"/>
      <c r="D683" s="95" t="n"/>
      <c r="E683" s="96" t="n"/>
      <c r="F683" s="96" t="n"/>
      <c r="G683" s="95">
        <f>IFERROR(VLOOKUP(F683,'12. Contratos_OS'!$A$6:$L$1000,2,FALSE),"")</f>
        <v/>
      </c>
      <c r="H683" s="95">
        <f>IFERROR(VLOOKUP(F683,'12. Contratos_OS'!$A$6:$L$1000,3,FALSE),"")</f>
        <v/>
      </c>
      <c r="I683" s="95">
        <f>IFERROR(VLOOKUP(F683,'12. Contratos_OS'!$A$6:$L$1000,4,FALSE),"")</f>
        <v/>
      </c>
      <c r="J683" s="95">
        <f>IFERROR(VLOOKUP(F683,'12. Contratos_OS'!$A$6:$L$1000,7,FALSE),"")</f>
        <v/>
      </c>
      <c r="K683" s="95">
        <f>IFERROR(VLOOKUP(J683,'11. Cadastro de Serviços'!$A$6:$E$200,2,FALSE),"")</f>
        <v/>
      </c>
      <c r="L683" s="95">
        <f>IFERROR(VLOOKUP(J683,'11. Cadastro de Serviços'!$A$6:$E$200,3,FALSE),"")</f>
        <v/>
      </c>
      <c r="M683" s="95">
        <f>IFERROR(VLOOKUP(J683,'11. Cadastro de Serviços'!$A$6:$E$200,4,FALSE),"")</f>
        <v/>
      </c>
      <c r="N683" s="95" t="n"/>
      <c r="O683" s="95">
        <f>IF(AND(G683&lt;&gt;"",I683&lt;&gt;"",J683&lt;&gt;"",M683&lt;&gt;""),"Rastreado","Revisar")</f>
        <v/>
      </c>
      <c r="P683" s="96" t="n"/>
    </row>
    <row r="684">
      <c r="A684" s="95" t="n"/>
      <c r="B684" s="96" t="n"/>
      <c r="C684" s="96" t="n"/>
      <c r="D684" s="95" t="n"/>
      <c r="E684" s="96" t="n"/>
      <c r="F684" s="96" t="n"/>
      <c r="G684" s="95">
        <f>IFERROR(VLOOKUP(F684,'12. Contratos_OS'!$A$6:$L$1000,2,FALSE),"")</f>
        <v/>
      </c>
      <c r="H684" s="95">
        <f>IFERROR(VLOOKUP(F684,'12. Contratos_OS'!$A$6:$L$1000,3,FALSE),"")</f>
        <v/>
      </c>
      <c r="I684" s="95">
        <f>IFERROR(VLOOKUP(F684,'12. Contratos_OS'!$A$6:$L$1000,4,FALSE),"")</f>
        <v/>
      </c>
      <c r="J684" s="95">
        <f>IFERROR(VLOOKUP(F684,'12. Contratos_OS'!$A$6:$L$1000,7,FALSE),"")</f>
        <v/>
      </c>
      <c r="K684" s="95">
        <f>IFERROR(VLOOKUP(J684,'11. Cadastro de Serviços'!$A$6:$E$200,2,FALSE),"")</f>
        <v/>
      </c>
      <c r="L684" s="95">
        <f>IFERROR(VLOOKUP(J684,'11. Cadastro de Serviços'!$A$6:$E$200,3,FALSE),"")</f>
        <v/>
      </c>
      <c r="M684" s="95">
        <f>IFERROR(VLOOKUP(J684,'11. Cadastro de Serviços'!$A$6:$E$200,4,FALSE),"")</f>
        <v/>
      </c>
      <c r="N684" s="95" t="n"/>
      <c r="O684" s="95">
        <f>IF(AND(G684&lt;&gt;"",I684&lt;&gt;"",J684&lt;&gt;"",M684&lt;&gt;""),"Rastreado","Revisar")</f>
        <v/>
      </c>
      <c r="P684" s="96" t="n"/>
    </row>
    <row r="685">
      <c r="A685" s="95" t="n"/>
      <c r="B685" s="96" t="n"/>
      <c r="C685" s="96" t="n"/>
      <c r="D685" s="95" t="n"/>
      <c r="E685" s="96" t="n"/>
      <c r="F685" s="96" t="n"/>
      <c r="G685" s="95">
        <f>IFERROR(VLOOKUP(F685,'12. Contratos_OS'!$A$6:$L$1000,2,FALSE),"")</f>
        <v/>
      </c>
      <c r="H685" s="95">
        <f>IFERROR(VLOOKUP(F685,'12. Contratos_OS'!$A$6:$L$1000,3,FALSE),"")</f>
        <v/>
      </c>
      <c r="I685" s="95">
        <f>IFERROR(VLOOKUP(F685,'12. Contratos_OS'!$A$6:$L$1000,4,FALSE),"")</f>
        <v/>
      </c>
      <c r="J685" s="95">
        <f>IFERROR(VLOOKUP(F685,'12. Contratos_OS'!$A$6:$L$1000,7,FALSE),"")</f>
        <v/>
      </c>
      <c r="K685" s="95">
        <f>IFERROR(VLOOKUP(J685,'11. Cadastro de Serviços'!$A$6:$E$200,2,FALSE),"")</f>
        <v/>
      </c>
      <c r="L685" s="95">
        <f>IFERROR(VLOOKUP(J685,'11. Cadastro de Serviços'!$A$6:$E$200,3,FALSE),"")</f>
        <v/>
      </c>
      <c r="M685" s="95">
        <f>IFERROR(VLOOKUP(J685,'11. Cadastro de Serviços'!$A$6:$E$200,4,FALSE),"")</f>
        <v/>
      </c>
      <c r="N685" s="95" t="n"/>
      <c r="O685" s="95">
        <f>IF(AND(G685&lt;&gt;"",I685&lt;&gt;"",J685&lt;&gt;"",M685&lt;&gt;""),"Rastreado","Revisar")</f>
        <v/>
      </c>
      <c r="P685" s="96" t="n"/>
    </row>
    <row r="686">
      <c r="A686" s="95" t="n"/>
      <c r="B686" s="96" t="n"/>
      <c r="C686" s="96" t="n"/>
      <c r="D686" s="95" t="n"/>
      <c r="E686" s="96" t="n"/>
      <c r="F686" s="96" t="n"/>
      <c r="G686" s="95">
        <f>IFERROR(VLOOKUP(F686,'12. Contratos_OS'!$A$6:$L$1000,2,FALSE),"")</f>
        <v/>
      </c>
      <c r="H686" s="95">
        <f>IFERROR(VLOOKUP(F686,'12. Contratos_OS'!$A$6:$L$1000,3,FALSE),"")</f>
        <v/>
      </c>
      <c r="I686" s="95">
        <f>IFERROR(VLOOKUP(F686,'12. Contratos_OS'!$A$6:$L$1000,4,FALSE),"")</f>
        <v/>
      </c>
      <c r="J686" s="95">
        <f>IFERROR(VLOOKUP(F686,'12. Contratos_OS'!$A$6:$L$1000,7,FALSE),"")</f>
        <v/>
      </c>
      <c r="K686" s="95">
        <f>IFERROR(VLOOKUP(J686,'11. Cadastro de Serviços'!$A$6:$E$200,2,FALSE),"")</f>
        <v/>
      </c>
      <c r="L686" s="95">
        <f>IFERROR(VLOOKUP(J686,'11. Cadastro de Serviços'!$A$6:$E$200,3,FALSE),"")</f>
        <v/>
      </c>
      <c r="M686" s="95">
        <f>IFERROR(VLOOKUP(J686,'11. Cadastro de Serviços'!$A$6:$E$200,4,FALSE),"")</f>
        <v/>
      </c>
      <c r="N686" s="95" t="n"/>
      <c r="O686" s="95">
        <f>IF(AND(G686&lt;&gt;"",I686&lt;&gt;"",J686&lt;&gt;"",M686&lt;&gt;""),"Rastreado","Revisar")</f>
        <v/>
      </c>
      <c r="P686" s="96" t="n"/>
    </row>
    <row r="687">
      <c r="A687" s="95" t="n"/>
      <c r="B687" s="96" t="n"/>
      <c r="C687" s="96" t="n"/>
      <c r="D687" s="95" t="n"/>
      <c r="E687" s="96" t="n"/>
      <c r="F687" s="96" t="n"/>
      <c r="G687" s="95">
        <f>IFERROR(VLOOKUP(F687,'12. Contratos_OS'!$A$6:$L$1000,2,FALSE),"")</f>
        <v/>
      </c>
      <c r="H687" s="95">
        <f>IFERROR(VLOOKUP(F687,'12. Contratos_OS'!$A$6:$L$1000,3,FALSE),"")</f>
        <v/>
      </c>
      <c r="I687" s="95">
        <f>IFERROR(VLOOKUP(F687,'12. Contratos_OS'!$A$6:$L$1000,4,FALSE),"")</f>
        <v/>
      </c>
      <c r="J687" s="95">
        <f>IFERROR(VLOOKUP(F687,'12. Contratos_OS'!$A$6:$L$1000,7,FALSE),"")</f>
        <v/>
      </c>
      <c r="K687" s="95">
        <f>IFERROR(VLOOKUP(J687,'11. Cadastro de Serviços'!$A$6:$E$200,2,FALSE),"")</f>
        <v/>
      </c>
      <c r="L687" s="95">
        <f>IFERROR(VLOOKUP(J687,'11. Cadastro de Serviços'!$A$6:$E$200,3,FALSE),"")</f>
        <v/>
      </c>
      <c r="M687" s="95">
        <f>IFERROR(VLOOKUP(J687,'11. Cadastro de Serviços'!$A$6:$E$200,4,FALSE),"")</f>
        <v/>
      </c>
      <c r="N687" s="95" t="n"/>
      <c r="O687" s="95">
        <f>IF(AND(G687&lt;&gt;"",I687&lt;&gt;"",J687&lt;&gt;"",M687&lt;&gt;""),"Rastreado","Revisar")</f>
        <v/>
      </c>
      <c r="P687" s="96" t="n"/>
    </row>
    <row r="688">
      <c r="A688" s="95" t="n"/>
      <c r="B688" s="96" t="n"/>
      <c r="C688" s="96" t="n"/>
      <c r="D688" s="95" t="n"/>
      <c r="E688" s="96" t="n"/>
      <c r="F688" s="96" t="n"/>
      <c r="G688" s="95">
        <f>IFERROR(VLOOKUP(F688,'12. Contratos_OS'!$A$6:$L$1000,2,FALSE),"")</f>
        <v/>
      </c>
      <c r="H688" s="95">
        <f>IFERROR(VLOOKUP(F688,'12. Contratos_OS'!$A$6:$L$1000,3,FALSE),"")</f>
        <v/>
      </c>
      <c r="I688" s="95">
        <f>IFERROR(VLOOKUP(F688,'12. Contratos_OS'!$A$6:$L$1000,4,FALSE),"")</f>
        <v/>
      </c>
      <c r="J688" s="95">
        <f>IFERROR(VLOOKUP(F688,'12. Contratos_OS'!$A$6:$L$1000,7,FALSE),"")</f>
        <v/>
      </c>
      <c r="K688" s="95">
        <f>IFERROR(VLOOKUP(J688,'11. Cadastro de Serviços'!$A$6:$E$200,2,FALSE),"")</f>
        <v/>
      </c>
      <c r="L688" s="95">
        <f>IFERROR(VLOOKUP(J688,'11. Cadastro de Serviços'!$A$6:$E$200,3,FALSE),"")</f>
        <v/>
      </c>
      <c r="M688" s="95">
        <f>IFERROR(VLOOKUP(J688,'11. Cadastro de Serviços'!$A$6:$E$200,4,FALSE),"")</f>
        <v/>
      </c>
      <c r="N688" s="95" t="n"/>
      <c r="O688" s="95">
        <f>IF(AND(G688&lt;&gt;"",I688&lt;&gt;"",J688&lt;&gt;"",M688&lt;&gt;""),"Rastreado","Revisar")</f>
        <v/>
      </c>
      <c r="P688" s="96" t="n"/>
    </row>
    <row r="689">
      <c r="A689" s="95" t="n"/>
      <c r="B689" s="96" t="n"/>
      <c r="C689" s="96" t="n"/>
      <c r="D689" s="95" t="n"/>
      <c r="E689" s="96" t="n"/>
      <c r="F689" s="96" t="n"/>
      <c r="G689" s="95">
        <f>IFERROR(VLOOKUP(F689,'12. Contratos_OS'!$A$6:$L$1000,2,FALSE),"")</f>
        <v/>
      </c>
      <c r="H689" s="95">
        <f>IFERROR(VLOOKUP(F689,'12. Contratos_OS'!$A$6:$L$1000,3,FALSE),"")</f>
        <v/>
      </c>
      <c r="I689" s="95">
        <f>IFERROR(VLOOKUP(F689,'12. Contratos_OS'!$A$6:$L$1000,4,FALSE),"")</f>
        <v/>
      </c>
      <c r="J689" s="95">
        <f>IFERROR(VLOOKUP(F689,'12. Contratos_OS'!$A$6:$L$1000,7,FALSE),"")</f>
        <v/>
      </c>
      <c r="K689" s="95">
        <f>IFERROR(VLOOKUP(J689,'11. Cadastro de Serviços'!$A$6:$E$200,2,FALSE),"")</f>
        <v/>
      </c>
      <c r="L689" s="95">
        <f>IFERROR(VLOOKUP(J689,'11. Cadastro de Serviços'!$A$6:$E$200,3,FALSE),"")</f>
        <v/>
      </c>
      <c r="M689" s="95">
        <f>IFERROR(VLOOKUP(J689,'11. Cadastro de Serviços'!$A$6:$E$200,4,FALSE),"")</f>
        <v/>
      </c>
      <c r="N689" s="95" t="n"/>
      <c r="O689" s="95">
        <f>IF(AND(G689&lt;&gt;"",I689&lt;&gt;"",J689&lt;&gt;"",M689&lt;&gt;""),"Rastreado","Revisar")</f>
        <v/>
      </c>
      <c r="P689" s="96" t="n"/>
    </row>
    <row r="690">
      <c r="A690" s="95" t="n"/>
      <c r="B690" s="96" t="n"/>
      <c r="C690" s="96" t="n"/>
      <c r="D690" s="95" t="n"/>
      <c r="E690" s="96" t="n"/>
      <c r="F690" s="96" t="n"/>
      <c r="G690" s="95">
        <f>IFERROR(VLOOKUP(F690,'12. Contratos_OS'!$A$6:$L$1000,2,FALSE),"")</f>
        <v/>
      </c>
      <c r="H690" s="95">
        <f>IFERROR(VLOOKUP(F690,'12. Contratos_OS'!$A$6:$L$1000,3,FALSE),"")</f>
        <v/>
      </c>
      <c r="I690" s="95">
        <f>IFERROR(VLOOKUP(F690,'12. Contratos_OS'!$A$6:$L$1000,4,FALSE),"")</f>
        <v/>
      </c>
      <c r="J690" s="95">
        <f>IFERROR(VLOOKUP(F690,'12. Contratos_OS'!$A$6:$L$1000,7,FALSE),"")</f>
        <v/>
      </c>
      <c r="K690" s="95">
        <f>IFERROR(VLOOKUP(J690,'11. Cadastro de Serviços'!$A$6:$E$200,2,FALSE),"")</f>
        <v/>
      </c>
      <c r="L690" s="95">
        <f>IFERROR(VLOOKUP(J690,'11. Cadastro de Serviços'!$A$6:$E$200,3,FALSE),"")</f>
        <v/>
      </c>
      <c r="M690" s="95">
        <f>IFERROR(VLOOKUP(J690,'11. Cadastro de Serviços'!$A$6:$E$200,4,FALSE),"")</f>
        <v/>
      </c>
      <c r="N690" s="95" t="n"/>
      <c r="O690" s="95">
        <f>IF(AND(G690&lt;&gt;"",I690&lt;&gt;"",J690&lt;&gt;"",M690&lt;&gt;""),"Rastreado","Revisar")</f>
        <v/>
      </c>
      <c r="P690" s="96" t="n"/>
    </row>
    <row r="691">
      <c r="A691" s="95" t="n"/>
      <c r="B691" s="96" t="n"/>
      <c r="C691" s="96" t="n"/>
      <c r="D691" s="95" t="n"/>
      <c r="E691" s="96" t="n"/>
      <c r="F691" s="96" t="n"/>
      <c r="G691" s="95">
        <f>IFERROR(VLOOKUP(F691,'12. Contratos_OS'!$A$6:$L$1000,2,FALSE),"")</f>
        <v/>
      </c>
      <c r="H691" s="95">
        <f>IFERROR(VLOOKUP(F691,'12. Contratos_OS'!$A$6:$L$1000,3,FALSE),"")</f>
        <v/>
      </c>
      <c r="I691" s="95">
        <f>IFERROR(VLOOKUP(F691,'12. Contratos_OS'!$A$6:$L$1000,4,FALSE),"")</f>
        <v/>
      </c>
      <c r="J691" s="95">
        <f>IFERROR(VLOOKUP(F691,'12. Contratos_OS'!$A$6:$L$1000,7,FALSE),"")</f>
        <v/>
      </c>
      <c r="K691" s="95">
        <f>IFERROR(VLOOKUP(J691,'11. Cadastro de Serviços'!$A$6:$E$200,2,FALSE),"")</f>
        <v/>
      </c>
      <c r="L691" s="95">
        <f>IFERROR(VLOOKUP(J691,'11. Cadastro de Serviços'!$A$6:$E$200,3,FALSE),"")</f>
        <v/>
      </c>
      <c r="M691" s="95">
        <f>IFERROR(VLOOKUP(J691,'11. Cadastro de Serviços'!$A$6:$E$200,4,FALSE),"")</f>
        <v/>
      </c>
      <c r="N691" s="95" t="n"/>
      <c r="O691" s="95">
        <f>IF(AND(G691&lt;&gt;"",I691&lt;&gt;"",J691&lt;&gt;"",M691&lt;&gt;""),"Rastreado","Revisar")</f>
        <v/>
      </c>
      <c r="P691" s="96" t="n"/>
    </row>
    <row r="692">
      <c r="A692" s="95" t="n"/>
      <c r="B692" s="96" t="n"/>
      <c r="C692" s="96" t="n"/>
      <c r="D692" s="95" t="n"/>
      <c r="E692" s="96" t="n"/>
      <c r="F692" s="96" t="n"/>
      <c r="G692" s="95">
        <f>IFERROR(VLOOKUP(F692,'12. Contratos_OS'!$A$6:$L$1000,2,FALSE),"")</f>
        <v/>
      </c>
      <c r="H692" s="95">
        <f>IFERROR(VLOOKUP(F692,'12. Contratos_OS'!$A$6:$L$1000,3,FALSE),"")</f>
        <v/>
      </c>
      <c r="I692" s="95">
        <f>IFERROR(VLOOKUP(F692,'12. Contratos_OS'!$A$6:$L$1000,4,FALSE),"")</f>
        <v/>
      </c>
      <c r="J692" s="95">
        <f>IFERROR(VLOOKUP(F692,'12. Contratos_OS'!$A$6:$L$1000,7,FALSE),"")</f>
        <v/>
      </c>
      <c r="K692" s="95">
        <f>IFERROR(VLOOKUP(J692,'11. Cadastro de Serviços'!$A$6:$E$200,2,FALSE),"")</f>
        <v/>
      </c>
      <c r="L692" s="95">
        <f>IFERROR(VLOOKUP(J692,'11. Cadastro de Serviços'!$A$6:$E$200,3,FALSE),"")</f>
        <v/>
      </c>
      <c r="M692" s="95">
        <f>IFERROR(VLOOKUP(J692,'11. Cadastro de Serviços'!$A$6:$E$200,4,FALSE),"")</f>
        <v/>
      </c>
      <c r="N692" s="95" t="n"/>
      <c r="O692" s="95">
        <f>IF(AND(G692&lt;&gt;"",I692&lt;&gt;"",J692&lt;&gt;"",M692&lt;&gt;""),"Rastreado","Revisar")</f>
        <v/>
      </c>
      <c r="P692" s="96" t="n"/>
    </row>
    <row r="693">
      <c r="A693" s="95" t="n"/>
      <c r="B693" s="96" t="n"/>
      <c r="C693" s="96" t="n"/>
      <c r="D693" s="95" t="n"/>
      <c r="E693" s="96" t="n"/>
      <c r="F693" s="96" t="n"/>
      <c r="G693" s="95">
        <f>IFERROR(VLOOKUP(F693,'12. Contratos_OS'!$A$6:$L$1000,2,FALSE),"")</f>
        <v/>
      </c>
      <c r="H693" s="95">
        <f>IFERROR(VLOOKUP(F693,'12. Contratos_OS'!$A$6:$L$1000,3,FALSE),"")</f>
        <v/>
      </c>
      <c r="I693" s="95">
        <f>IFERROR(VLOOKUP(F693,'12. Contratos_OS'!$A$6:$L$1000,4,FALSE),"")</f>
        <v/>
      </c>
      <c r="J693" s="95">
        <f>IFERROR(VLOOKUP(F693,'12. Contratos_OS'!$A$6:$L$1000,7,FALSE),"")</f>
        <v/>
      </c>
      <c r="K693" s="95">
        <f>IFERROR(VLOOKUP(J693,'11. Cadastro de Serviços'!$A$6:$E$200,2,FALSE),"")</f>
        <v/>
      </c>
      <c r="L693" s="95">
        <f>IFERROR(VLOOKUP(J693,'11. Cadastro de Serviços'!$A$6:$E$200,3,FALSE),"")</f>
        <v/>
      </c>
      <c r="M693" s="95">
        <f>IFERROR(VLOOKUP(J693,'11. Cadastro de Serviços'!$A$6:$E$200,4,FALSE),"")</f>
        <v/>
      </c>
      <c r="N693" s="95" t="n"/>
      <c r="O693" s="95">
        <f>IF(AND(G693&lt;&gt;"",I693&lt;&gt;"",J693&lt;&gt;"",M693&lt;&gt;""),"Rastreado","Revisar")</f>
        <v/>
      </c>
      <c r="P693" s="96" t="n"/>
    </row>
    <row r="694">
      <c r="A694" s="95" t="n"/>
      <c r="B694" s="96" t="n"/>
      <c r="C694" s="96" t="n"/>
      <c r="D694" s="95" t="n"/>
      <c r="E694" s="96" t="n"/>
      <c r="F694" s="96" t="n"/>
      <c r="G694" s="95">
        <f>IFERROR(VLOOKUP(F694,'12. Contratos_OS'!$A$6:$L$1000,2,FALSE),"")</f>
        <v/>
      </c>
      <c r="H694" s="95">
        <f>IFERROR(VLOOKUP(F694,'12. Contratos_OS'!$A$6:$L$1000,3,FALSE),"")</f>
        <v/>
      </c>
      <c r="I694" s="95">
        <f>IFERROR(VLOOKUP(F694,'12. Contratos_OS'!$A$6:$L$1000,4,FALSE),"")</f>
        <v/>
      </c>
      <c r="J694" s="95">
        <f>IFERROR(VLOOKUP(F694,'12. Contratos_OS'!$A$6:$L$1000,7,FALSE),"")</f>
        <v/>
      </c>
      <c r="K694" s="95">
        <f>IFERROR(VLOOKUP(J694,'11. Cadastro de Serviços'!$A$6:$E$200,2,FALSE),"")</f>
        <v/>
      </c>
      <c r="L694" s="95">
        <f>IFERROR(VLOOKUP(J694,'11. Cadastro de Serviços'!$A$6:$E$200,3,FALSE),"")</f>
        <v/>
      </c>
      <c r="M694" s="95">
        <f>IFERROR(VLOOKUP(J694,'11. Cadastro de Serviços'!$A$6:$E$200,4,FALSE),"")</f>
        <v/>
      </c>
      <c r="N694" s="95" t="n"/>
      <c r="O694" s="95">
        <f>IF(AND(G694&lt;&gt;"",I694&lt;&gt;"",J694&lt;&gt;"",M694&lt;&gt;""),"Rastreado","Revisar")</f>
        <v/>
      </c>
      <c r="P694" s="96" t="n"/>
    </row>
    <row r="695">
      <c r="A695" s="95" t="n"/>
      <c r="B695" s="96" t="n"/>
      <c r="C695" s="96" t="n"/>
      <c r="D695" s="95" t="n"/>
      <c r="E695" s="96" t="n"/>
      <c r="F695" s="96" t="n"/>
      <c r="G695" s="95">
        <f>IFERROR(VLOOKUP(F695,'12. Contratos_OS'!$A$6:$L$1000,2,FALSE),"")</f>
        <v/>
      </c>
      <c r="H695" s="95">
        <f>IFERROR(VLOOKUP(F695,'12. Contratos_OS'!$A$6:$L$1000,3,FALSE),"")</f>
        <v/>
      </c>
      <c r="I695" s="95">
        <f>IFERROR(VLOOKUP(F695,'12. Contratos_OS'!$A$6:$L$1000,4,FALSE),"")</f>
        <v/>
      </c>
      <c r="J695" s="95">
        <f>IFERROR(VLOOKUP(F695,'12. Contratos_OS'!$A$6:$L$1000,7,FALSE),"")</f>
        <v/>
      </c>
      <c r="K695" s="95">
        <f>IFERROR(VLOOKUP(J695,'11. Cadastro de Serviços'!$A$6:$E$200,2,FALSE),"")</f>
        <v/>
      </c>
      <c r="L695" s="95">
        <f>IFERROR(VLOOKUP(J695,'11. Cadastro de Serviços'!$A$6:$E$200,3,FALSE),"")</f>
        <v/>
      </c>
      <c r="M695" s="95">
        <f>IFERROR(VLOOKUP(J695,'11. Cadastro de Serviços'!$A$6:$E$200,4,FALSE),"")</f>
        <v/>
      </c>
      <c r="N695" s="95" t="n"/>
      <c r="O695" s="95">
        <f>IF(AND(G695&lt;&gt;"",I695&lt;&gt;"",J695&lt;&gt;"",M695&lt;&gt;""),"Rastreado","Revisar")</f>
        <v/>
      </c>
      <c r="P695" s="96" t="n"/>
    </row>
    <row r="696">
      <c r="A696" s="95" t="n"/>
      <c r="B696" s="96" t="n"/>
      <c r="C696" s="96" t="n"/>
      <c r="D696" s="95" t="n"/>
      <c r="E696" s="96" t="n"/>
      <c r="F696" s="96" t="n"/>
      <c r="G696" s="95">
        <f>IFERROR(VLOOKUP(F696,'12. Contratos_OS'!$A$6:$L$1000,2,FALSE),"")</f>
        <v/>
      </c>
      <c r="H696" s="95">
        <f>IFERROR(VLOOKUP(F696,'12. Contratos_OS'!$A$6:$L$1000,3,FALSE),"")</f>
        <v/>
      </c>
      <c r="I696" s="95">
        <f>IFERROR(VLOOKUP(F696,'12. Contratos_OS'!$A$6:$L$1000,4,FALSE),"")</f>
        <v/>
      </c>
      <c r="J696" s="95">
        <f>IFERROR(VLOOKUP(F696,'12. Contratos_OS'!$A$6:$L$1000,7,FALSE),"")</f>
        <v/>
      </c>
      <c r="K696" s="95">
        <f>IFERROR(VLOOKUP(J696,'11. Cadastro de Serviços'!$A$6:$E$200,2,FALSE),"")</f>
        <v/>
      </c>
      <c r="L696" s="95">
        <f>IFERROR(VLOOKUP(J696,'11. Cadastro de Serviços'!$A$6:$E$200,3,FALSE),"")</f>
        <v/>
      </c>
      <c r="M696" s="95">
        <f>IFERROR(VLOOKUP(J696,'11. Cadastro de Serviços'!$A$6:$E$200,4,FALSE),"")</f>
        <v/>
      </c>
      <c r="N696" s="95" t="n"/>
      <c r="O696" s="95">
        <f>IF(AND(G696&lt;&gt;"",I696&lt;&gt;"",J696&lt;&gt;"",M696&lt;&gt;""),"Rastreado","Revisar")</f>
        <v/>
      </c>
      <c r="P696" s="96" t="n"/>
    </row>
    <row r="697">
      <c r="A697" s="95" t="n"/>
      <c r="B697" s="96" t="n"/>
      <c r="C697" s="96" t="n"/>
      <c r="D697" s="95" t="n"/>
      <c r="E697" s="96" t="n"/>
      <c r="F697" s="96" t="n"/>
      <c r="G697" s="95">
        <f>IFERROR(VLOOKUP(F697,'12. Contratos_OS'!$A$6:$L$1000,2,FALSE),"")</f>
        <v/>
      </c>
      <c r="H697" s="95">
        <f>IFERROR(VLOOKUP(F697,'12. Contratos_OS'!$A$6:$L$1000,3,FALSE),"")</f>
        <v/>
      </c>
      <c r="I697" s="95">
        <f>IFERROR(VLOOKUP(F697,'12. Contratos_OS'!$A$6:$L$1000,4,FALSE),"")</f>
        <v/>
      </c>
      <c r="J697" s="95">
        <f>IFERROR(VLOOKUP(F697,'12. Contratos_OS'!$A$6:$L$1000,7,FALSE),"")</f>
        <v/>
      </c>
      <c r="K697" s="95">
        <f>IFERROR(VLOOKUP(J697,'11. Cadastro de Serviços'!$A$6:$E$200,2,FALSE),"")</f>
        <v/>
      </c>
      <c r="L697" s="95">
        <f>IFERROR(VLOOKUP(J697,'11. Cadastro de Serviços'!$A$6:$E$200,3,FALSE),"")</f>
        <v/>
      </c>
      <c r="M697" s="95">
        <f>IFERROR(VLOOKUP(J697,'11. Cadastro de Serviços'!$A$6:$E$200,4,FALSE),"")</f>
        <v/>
      </c>
      <c r="N697" s="95" t="n"/>
      <c r="O697" s="95">
        <f>IF(AND(G697&lt;&gt;"",I697&lt;&gt;"",J697&lt;&gt;"",M697&lt;&gt;""),"Rastreado","Revisar")</f>
        <v/>
      </c>
      <c r="P697" s="96" t="n"/>
    </row>
    <row r="698">
      <c r="A698" s="95" t="n"/>
      <c r="B698" s="96" t="n"/>
      <c r="C698" s="96" t="n"/>
      <c r="D698" s="95" t="n"/>
      <c r="E698" s="96" t="n"/>
      <c r="F698" s="96" t="n"/>
      <c r="G698" s="95">
        <f>IFERROR(VLOOKUP(F698,'12. Contratos_OS'!$A$6:$L$1000,2,FALSE),"")</f>
        <v/>
      </c>
      <c r="H698" s="95">
        <f>IFERROR(VLOOKUP(F698,'12. Contratos_OS'!$A$6:$L$1000,3,FALSE),"")</f>
        <v/>
      </c>
      <c r="I698" s="95">
        <f>IFERROR(VLOOKUP(F698,'12. Contratos_OS'!$A$6:$L$1000,4,FALSE),"")</f>
        <v/>
      </c>
      <c r="J698" s="95">
        <f>IFERROR(VLOOKUP(F698,'12. Contratos_OS'!$A$6:$L$1000,7,FALSE),"")</f>
        <v/>
      </c>
      <c r="K698" s="95">
        <f>IFERROR(VLOOKUP(J698,'11. Cadastro de Serviços'!$A$6:$E$200,2,FALSE),"")</f>
        <v/>
      </c>
      <c r="L698" s="95">
        <f>IFERROR(VLOOKUP(J698,'11. Cadastro de Serviços'!$A$6:$E$200,3,FALSE),"")</f>
        <v/>
      </c>
      <c r="M698" s="95">
        <f>IFERROR(VLOOKUP(J698,'11. Cadastro de Serviços'!$A$6:$E$200,4,FALSE),"")</f>
        <v/>
      </c>
      <c r="N698" s="95" t="n"/>
      <c r="O698" s="95">
        <f>IF(AND(G698&lt;&gt;"",I698&lt;&gt;"",J698&lt;&gt;"",M698&lt;&gt;""),"Rastreado","Revisar")</f>
        <v/>
      </c>
      <c r="P698" s="96" t="n"/>
    </row>
    <row r="699">
      <c r="A699" s="95" t="n"/>
      <c r="B699" s="96" t="n"/>
      <c r="C699" s="96" t="n"/>
      <c r="D699" s="95" t="n"/>
      <c r="E699" s="96" t="n"/>
      <c r="F699" s="96" t="n"/>
      <c r="G699" s="95">
        <f>IFERROR(VLOOKUP(F699,'12. Contratos_OS'!$A$6:$L$1000,2,FALSE),"")</f>
        <v/>
      </c>
      <c r="H699" s="95">
        <f>IFERROR(VLOOKUP(F699,'12. Contratos_OS'!$A$6:$L$1000,3,FALSE),"")</f>
        <v/>
      </c>
      <c r="I699" s="95">
        <f>IFERROR(VLOOKUP(F699,'12. Contratos_OS'!$A$6:$L$1000,4,FALSE),"")</f>
        <v/>
      </c>
      <c r="J699" s="95">
        <f>IFERROR(VLOOKUP(F699,'12. Contratos_OS'!$A$6:$L$1000,7,FALSE),"")</f>
        <v/>
      </c>
      <c r="K699" s="95">
        <f>IFERROR(VLOOKUP(J699,'11. Cadastro de Serviços'!$A$6:$E$200,2,FALSE),"")</f>
        <v/>
      </c>
      <c r="L699" s="95">
        <f>IFERROR(VLOOKUP(J699,'11. Cadastro de Serviços'!$A$6:$E$200,3,FALSE),"")</f>
        <v/>
      </c>
      <c r="M699" s="95">
        <f>IFERROR(VLOOKUP(J699,'11. Cadastro de Serviços'!$A$6:$E$200,4,FALSE),"")</f>
        <v/>
      </c>
      <c r="N699" s="95" t="n"/>
      <c r="O699" s="95">
        <f>IF(AND(G699&lt;&gt;"",I699&lt;&gt;"",J699&lt;&gt;"",M699&lt;&gt;""),"Rastreado","Revisar")</f>
        <v/>
      </c>
      <c r="P699" s="96" t="n"/>
    </row>
    <row r="700">
      <c r="A700" s="95" t="n"/>
      <c r="B700" s="96" t="n"/>
      <c r="C700" s="96" t="n"/>
      <c r="D700" s="95" t="n"/>
      <c r="E700" s="96" t="n"/>
      <c r="F700" s="96" t="n"/>
      <c r="G700" s="95">
        <f>IFERROR(VLOOKUP(F700,'12. Contratos_OS'!$A$6:$L$1000,2,FALSE),"")</f>
        <v/>
      </c>
      <c r="H700" s="95">
        <f>IFERROR(VLOOKUP(F700,'12. Contratos_OS'!$A$6:$L$1000,3,FALSE),"")</f>
        <v/>
      </c>
      <c r="I700" s="95">
        <f>IFERROR(VLOOKUP(F700,'12. Contratos_OS'!$A$6:$L$1000,4,FALSE),"")</f>
        <v/>
      </c>
      <c r="J700" s="95">
        <f>IFERROR(VLOOKUP(F700,'12. Contratos_OS'!$A$6:$L$1000,7,FALSE),"")</f>
        <v/>
      </c>
      <c r="K700" s="95">
        <f>IFERROR(VLOOKUP(J700,'11. Cadastro de Serviços'!$A$6:$E$200,2,FALSE),"")</f>
        <v/>
      </c>
      <c r="L700" s="95">
        <f>IFERROR(VLOOKUP(J700,'11. Cadastro de Serviços'!$A$6:$E$200,3,FALSE),"")</f>
        <v/>
      </c>
      <c r="M700" s="95">
        <f>IFERROR(VLOOKUP(J700,'11. Cadastro de Serviços'!$A$6:$E$200,4,FALSE),"")</f>
        <v/>
      </c>
      <c r="N700" s="95" t="n"/>
      <c r="O700" s="95">
        <f>IF(AND(G700&lt;&gt;"",I700&lt;&gt;"",J700&lt;&gt;"",M700&lt;&gt;""),"Rastreado","Revisar")</f>
        <v/>
      </c>
      <c r="P700" s="96" t="n"/>
    </row>
    <row r="701">
      <c r="A701" s="95" t="n"/>
      <c r="B701" s="96" t="n"/>
      <c r="C701" s="96" t="n"/>
      <c r="D701" s="95" t="n"/>
      <c r="E701" s="96" t="n"/>
      <c r="F701" s="96" t="n"/>
      <c r="G701" s="95">
        <f>IFERROR(VLOOKUP(F701,'12. Contratos_OS'!$A$6:$L$1000,2,FALSE),"")</f>
        <v/>
      </c>
      <c r="H701" s="95">
        <f>IFERROR(VLOOKUP(F701,'12. Contratos_OS'!$A$6:$L$1000,3,FALSE),"")</f>
        <v/>
      </c>
      <c r="I701" s="95">
        <f>IFERROR(VLOOKUP(F701,'12. Contratos_OS'!$A$6:$L$1000,4,FALSE),"")</f>
        <v/>
      </c>
      <c r="J701" s="95">
        <f>IFERROR(VLOOKUP(F701,'12. Contratos_OS'!$A$6:$L$1000,7,FALSE),"")</f>
        <v/>
      </c>
      <c r="K701" s="95">
        <f>IFERROR(VLOOKUP(J701,'11. Cadastro de Serviços'!$A$6:$E$200,2,FALSE),"")</f>
        <v/>
      </c>
      <c r="L701" s="95">
        <f>IFERROR(VLOOKUP(J701,'11. Cadastro de Serviços'!$A$6:$E$200,3,FALSE),"")</f>
        <v/>
      </c>
      <c r="M701" s="95">
        <f>IFERROR(VLOOKUP(J701,'11. Cadastro de Serviços'!$A$6:$E$200,4,FALSE),"")</f>
        <v/>
      </c>
      <c r="N701" s="95" t="n"/>
      <c r="O701" s="95">
        <f>IF(AND(G701&lt;&gt;"",I701&lt;&gt;"",J701&lt;&gt;"",M701&lt;&gt;""),"Rastreado","Revisar")</f>
        <v/>
      </c>
      <c r="P701" s="96" t="n"/>
    </row>
    <row r="702">
      <c r="A702" s="95" t="n"/>
      <c r="B702" s="96" t="n"/>
      <c r="C702" s="96" t="n"/>
      <c r="D702" s="95" t="n"/>
      <c r="E702" s="96" t="n"/>
      <c r="F702" s="96" t="n"/>
      <c r="G702" s="95">
        <f>IFERROR(VLOOKUP(F702,'12. Contratos_OS'!$A$6:$L$1000,2,FALSE),"")</f>
        <v/>
      </c>
      <c r="H702" s="95">
        <f>IFERROR(VLOOKUP(F702,'12. Contratos_OS'!$A$6:$L$1000,3,FALSE),"")</f>
        <v/>
      </c>
      <c r="I702" s="95">
        <f>IFERROR(VLOOKUP(F702,'12. Contratos_OS'!$A$6:$L$1000,4,FALSE),"")</f>
        <v/>
      </c>
      <c r="J702" s="95">
        <f>IFERROR(VLOOKUP(F702,'12. Contratos_OS'!$A$6:$L$1000,7,FALSE),"")</f>
        <v/>
      </c>
      <c r="K702" s="95">
        <f>IFERROR(VLOOKUP(J702,'11. Cadastro de Serviços'!$A$6:$E$200,2,FALSE),"")</f>
        <v/>
      </c>
      <c r="L702" s="95">
        <f>IFERROR(VLOOKUP(J702,'11. Cadastro de Serviços'!$A$6:$E$200,3,FALSE),"")</f>
        <v/>
      </c>
      <c r="M702" s="95">
        <f>IFERROR(VLOOKUP(J702,'11. Cadastro de Serviços'!$A$6:$E$200,4,FALSE),"")</f>
        <v/>
      </c>
      <c r="N702" s="95" t="n"/>
      <c r="O702" s="95">
        <f>IF(AND(G702&lt;&gt;"",I702&lt;&gt;"",J702&lt;&gt;"",M702&lt;&gt;""),"Rastreado","Revisar")</f>
        <v/>
      </c>
      <c r="P702" s="96" t="n"/>
    </row>
    <row r="703">
      <c r="A703" s="95" t="n"/>
      <c r="B703" s="96" t="n"/>
      <c r="C703" s="96" t="n"/>
      <c r="D703" s="95" t="n"/>
      <c r="E703" s="96" t="n"/>
      <c r="F703" s="96" t="n"/>
      <c r="G703" s="95">
        <f>IFERROR(VLOOKUP(F703,'12. Contratos_OS'!$A$6:$L$1000,2,FALSE),"")</f>
        <v/>
      </c>
      <c r="H703" s="95">
        <f>IFERROR(VLOOKUP(F703,'12. Contratos_OS'!$A$6:$L$1000,3,FALSE),"")</f>
        <v/>
      </c>
      <c r="I703" s="95">
        <f>IFERROR(VLOOKUP(F703,'12. Contratos_OS'!$A$6:$L$1000,4,FALSE),"")</f>
        <v/>
      </c>
      <c r="J703" s="95">
        <f>IFERROR(VLOOKUP(F703,'12. Contratos_OS'!$A$6:$L$1000,7,FALSE),"")</f>
        <v/>
      </c>
      <c r="K703" s="95">
        <f>IFERROR(VLOOKUP(J703,'11. Cadastro de Serviços'!$A$6:$E$200,2,FALSE),"")</f>
        <v/>
      </c>
      <c r="L703" s="95">
        <f>IFERROR(VLOOKUP(J703,'11. Cadastro de Serviços'!$A$6:$E$200,3,FALSE),"")</f>
        <v/>
      </c>
      <c r="M703" s="95">
        <f>IFERROR(VLOOKUP(J703,'11. Cadastro de Serviços'!$A$6:$E$200,4,FALSE),"")</f>
        <v/>
      </c>
      <c r="N703" s="95" t="n"/>
      <c r="O703" s="95">
        <f>IF(AND(G703&lt;&gt;"",I703&lt;&gt;"",J703&lt;&gt;"",M703&lt;&gt;""),"Rastreado","Revisar")</f>
        <v/>
      </c>
      <c r="P703" s="96" t="n"/>
    </row>
    <row r="704">
      <c r="A704" s="95" t="n"/>
      <c r="B704" s="96" t="n"/>
      <c r="C704" s="96" t="n"/>
      <c r="D704" s="95" t="n"/>
      <c r="E704" s="96" t="n"/>
      <c r="F704" s="96" t="n"/>
      <c r="G704" s="95">
        <f>IFERROR(VLOOKUP(F704,'12. Contratos_OS'!$A$6:$L$1000,2,FALSE),"")</f>
        <v/>
      </c>
      <c r="H704" s="95">
        <f>IFERROR(VLOOKUP(F704,'12. Contratos_OS'!$A$6:$L$1000,3,FALSE),"")</f>
        <v/>
      </c>
      <c r="I704" s="95">
        <f>IFERROR(VLOOKUP(F704,'12. Contratos_OS'!$A$6:$L$1000,4,FALSE),"")</f>
        <v/>
      </c>
      <c r="J704" s="95">
        <f>IFERROR(VLOOKUP(F704,'12. Contratos_OS'!$A$6:$L$1000,7,FALSE),"")</f>
        <v/>
      </c>
      <c r="K704" s="95">
        <f>IFERROR(VLOOKUP(J704,'11. Cadastro de Serviços'!$A$6:$E$200,2,FALSE),"")</f>
        <v/>
      </c>
      <c r="L704" s="95">
        <f>IFERROR(VLOOKUP(J704,'11. Cadastro de Serviços'!$A$6:$E$200,3,FALSE),"")</f>
        <v/>
      </c>
      <c r="M704" s="95">
        <f>IFERROR(VLOOKUP(J704,'11. Cadastro de Serviços'!$A$6:$E$200,4,FALSE),"")</f>
        <v/>
      </c>
      <c r="N704" s="95" t="n"/>
      <c r="O704" s="95">
        <f>IF(AND(G704&lt;&gt;"",I704&lt;&gt;"",J704&lt;&gt;"",M704&lt;&gt;""),"Rastreado","Revisar")</f>
        <v/>
      </c>
      <c r="P704" s="96" t="n"/>
    </row>
    <row r="705">
      <c r="A705" s="95" t="n"/>
      <c r="B705" s="96" t="n"/>
      <c r="C705" s="96" t="n"/>
      <c r="D705" s="95" t="n"/>
      <c r="E705" s="96" t="n"/>
      <c r="F705" s="96" t="n"/>
      <c r="G705" s="95">
        <f>IFERROR(VLOOKUP(F705,'12. Contratos_OS'!$A$6:$L$1000,2,FALSE),"")</f>
        <v/>
      </c>
      <c r="H705" s="95">
        <f>IFERROR(VLOOKUP(F705,'12. Contratos_OS'!$A$6:$L$1000,3,FALSE),"")</f>
        <v/>
      </c>
      <c r="I705" s="95">
        <f>IFERROR(VLOOKUP(F705,'12. Contratos_OS'!$A$6:$L$1000,4,FALSE),"")</f>
        <v/>
      </c>
      <c r="J705" s="95">
        <f>IFERROR(VLOOKUP(F705,'12. Contratos_OS'!$A$6:$L$1000,7,FALSE),"")</f>
        <v/>
      </c>
      <c r="K705" s="95">
        <f>IFERROR(VLOOKUP(J705,'11. Cadastro de Serviços'!$A$6:$E$200,2,FALSE),"")</f>
        <v/>
      </c>
      <c r="L705" s="95">
        <f>IFERROR(VLOOKUP(J705,'11. Cadastro de Serviços'!$A$6:$E$200,3,FALSE),"")</f>
        <v/>
      </c>
      <c r="M705" s="95">
        <f>IFERROR(VLOOKUP(J705,'11. Cadastro de Serviços'!$A$6:$E$200,4,FALSE),"")</f>
        <v/>
      </c>
      <c r="N705" s="95" t="n"/>
      <c r="O705" s="95">
        <f>IF(AND(G705&lt;&gt;"",I705&lt;&gt;"",J705&lt;&gt;"",M705&lt;&gt;""),"Rastreado","Revisar")</f>
        <v/>
      </c>
      <c r="P705" s="96" t="n"/>
    </row>
    <row r="706">
      <c r="A706" s="95" t="n"/>
      <c r="B706" s="96" t="n"/>
      <c r="C706" s="96" t="n"/>
      <c r="D706" s="95" t="n"/>
      <c r="E706" s="96" t="n"/>
      <c r="F706" s="96" t="n"/>
      <c r="G706" s="95">
        <f>IFERROR(VLOOKUP(F706,'12. Contratos_OS'!$A$6:$L$1000,2,FALSE),"")</f>
        <v/>
      </c>
      <c r="H706" s="95">
        <f>IFERROR(VLOOKUP(F706,'12. Contratos_OS'!$A$6:$L$1000,3,FALSE),"")</f>
        <v/>
      </c>
      <c r="I706" s="95">
        <f>IFERROR(VLOOKUP(F706,'12. Contratos_OS'!$A$6:$L$1000,4,FALSE),"")</f>
        <v/>
      </c>
      <c r="J706" s="95">
        <f>IFERROR(VLOOKUP(F706,'12. Contratos_OS'!$A$6:$L$1000,7,FALSE),"")</f>
        <v/>
      </c>
      <c r="K706" s="95">
        <f>IFERROR(VLOOKUP(J706,'11. Cadastro de Serviços'!$A$6:$E$200,2,FALSE),"")</f>
        <v/>
      </c>
      <c r="L706" s="95">
        <f>IFERROR(VLOOKUP(J706,'11. Cadastro de Serviços'!$A$6:$E$200,3,FALSE),"")</f>
        <v/>
      </c>
      <c r="M706" s="95">
        <f>IFERROR(VLOOKUP(J706,'11. Cadastro de Serviços'!$A$6:$E$200,4,FALSE),"")</f>
        <v/>
      </c>
      <c r="N706" s="95" t="n"/>
      <c r="O706" s="95">
        <f>IF(AND(G706&lt;&gt;"",I706&lt;&gt;"",J706&lt;&gt;"",M706&lt;&gt;""),"Rastreado","Revisar")</f>
        <v/>
      </c>
      <c r="P706" s="96" t="n"/>
    </row>
    <row r="707">
      <c r="A707" s="95" t="n"/>
      <c r="B707" s="96" t="n"/>
      <c r="C707" s="96" t="n"/>
      <c r="D707" s="95" t="n"/>
      <c r="E707" s="96" t="n"/>
      <c r="F707" s="96" t="n"/>
      <c r="G707" s="95">
        <f>IFERROR(VLOOKUP(F707,'12. Contratos_OS'!$A$6:$L$1000,2,FALSE),"")</f>
        <v/>
      </c>
      <c r="H707" s="95">
        <f>IFERROR(VLOOKUP(F707,'12. Contratos_OS'!$A$6:$L$1000,3,FALSE),"")</f>
        <v/>
      </c>
      <c r="I707" s="95">
        <f>IFERROR(VLOOKUP(F707,'12. Contratos_OS'!$A$6:$L$1000,4,FALSE),"")</f>
        <v/>
      </c>
      <c r="J707" s="95">
        <f>IFERROR(VLOOKUP(F707,'12. Contratos_OS'!$A$6:$L$1000,7,FALSE),"")</f>
        <v/>
      </c>
      <c r="K707" s="95">
        <f>IFERROR(VLOOKUP(J707,'11. Cadastro de Serviços'!$A$6:$E$200,2,FALSE),"")</f>
        <v/>
      </c>
      <c r="L707" s="95">
        <f>IFERROR(VLOOKUP(J707,'11. Cadastro de Serviços'!$A$6:$E$200,3,FALSE),"")</f>
        <v/>
      </c>
      <c r="M707" s="95">
        <f>IFERROR(VLOOKUP(J707,'11. Cadastro de Serviços'!$A$6:$E$200,4,FALSE),"")</f>
        <v/>
      </c>
      <c r="N707" s="95" t="n"/>
      <c r="O707" s="95">
        <f>IF(AND(G707&lt;&gt;"",I707&lt;&gt;"",J707&lt;&gt;"",M707&lt;&gt;""),"Rastreado","Revisar")</f>
        <v/>
      </c>
      <c r="P707" s="96" t="n"/>
    </row>
    <row r="708">
      <c r="A708" s="95" t="n"/>
      <c r="B708" s="96" t="n"/>
      <c r="C708" s="96" t="n"/>
      <c r="D708" s="95" t="n"/>
      <c r="E708" s="96" t="n"/>
      <c r="F708" s="96" t="n"/>
      <c r="G708" s="95">
        <f>IFERROR(VLOOKUP(F708,'12. Contratos_OS'!$A$6:$L$1000,2,FALSE),"")</f>
        <v/>
      </c>
      <c r="H708" s="95">
        <f>IFERROR(VLOOKUP(F708,'12. Contratos_OS'!$A$6:$L$1000,3,FALSE),"")</f>
        <v/>
      </c>
      <c r="I708" s="95">
        <f>IFERROR(VLOOKUP(F708,'12. Contratos_OS'!$A$6:$L$1000,4,FALSE),"")</f>
        <v/>
      </c>
      <c r="J708" s="95">
        <f>IFERROR(VLOOKUP(F708,'12. Contratos_OS'!$A$6:$L$1000,7,FALSE),"")</f>
        <v/>
      </c>
      <c r="K708" s="95">
        <f>IFERROR(VLOOKUP(J708,'11. Cadastro de Serviços'!$A$6:$E$200,2,FALSE),"")</f>
        <v/>
      </c>
      <c r="L708" s="95">
        <f>IFERROR(VLOOKUP(J708,'11. Cadastro de Serviços'!$A$6:$E$200,3,FALSE),"")</f>
        <v/>
      </c>
      <c r="M708" s="95">
        <f>IFERROR(VLOOKUP(J708,'11. Cadastro de Serviços'!$A$6:$E$200,4,FALSE),"")</f>
        <v/>
      </c>
      <c r="N708" s="95" t="n"/>
      <c r="O708" s="95">
        <f>IF(AND(G708&lt;&gt;"",I708&lt;&gt;"",J708&lt;&gt;"",M708&lt;&gt;""),"Rastreado","Revisar")</f>
        <v/>
      </c>
      <c r="P708" s="96" t="n"/>
    </row>
    <row r="709">
      <c r="A709" s="95" t="n"/>
      <c r="B709" s="96" t="n"/>
      <c r="C709" s="96" t="n"/>
      <c r="D709" s="95" t="n"/>
      <c r="E709" s="96" t="n"/>
      <c r="F709" s="96" t="n"/>
      <c r="G709" s="95">
        <f>IFERROR(VLOOKUP(F709,'12. Contratos_OS'!$A$6:$L$1000,2,FALSE),"")</f>
        <v/>
      </c>
      <c r="H709" s="95">
        <f>IFERROR(VLOOKUP(F709,'12. Contratos_OS'!$A$6:$L$1000,3,FALSE),"")</f>
        <v/>
      </c>
      <c r="I709" s="95">
        <f>IFERROR(VLOOKUP(F709,'12. Contratos_OS'!$A$6:$L$1000,4,FALSE),"")</f>
        <v/>
      </c>
      <c r="J709" s="95">
        <f>IFERROR(VLOOKUP(F709,'12. Contratos_OS'!$A$6:$L$1000,7,FALSE),"")</f>
        <v/>
      </c>
      <c r="K709" s="95">
        <f>IFERROR(VLOOKUP(J709,'11. Cadastro de Serviços'!$A$6:$E$200,2,FALSE),"")</f>
        <v/>
      </c>
      <c r="L709" s="95">
        <f>IFERROR(VLOOKUP(J709,'11. Cadastro de Serviços'!$A$6:$E$200,3,FALSE),"")</f>
        <v/>
      </c>
      <c r="M709" s="95">
        <f>IFERROR(VLOOKUP(J709,'11. Cadastro de Serviços'!$A$6:$E$200,4,FALSE),"")</f>
        <v/>
      </c>
      <c r="N709" s="95" t="n"/>
      <c r="O709" s="95">
        <f>IF(AND(G709&lt;&gt;"",I709&lt;&gt;"",J709&lt;&gt;"",M709&lt;&gt;""),"Rastreado","Revisar")</f>
        <v/>
      </c>
      <c r="P709" s="96" t="n"/>
    </row>
    <row r="710">
      <c r="A710" s="95" t="n"/>
      <c r="B710" s="96" t="n"/>
      <c r="C710" s="96" t="n"/>
      <c r="D710" s="95" t="n"/>
      <c r="E710" s="96" t="n"/>
      <c r="F710" s="96" t="n"/>
      <c r="G710" s="95">
        <f>IFERROR(VLOOKUP(F710,'12. Contratos_OS'!$A$6:$L$1000,2,FALSE),"")</f>
        <v/>
      </c>
      <c r="H710" s="95">
        <f>IFERROR(VLOOKUP(F710,'12. Contratos_OS'!$A$6:$L$1000,3,FALSE),"")</f>
        <v/>
      </c>
      <c r="I710" s="95">
        <f>IFERROR(VLOOKUP(F710,'12. Contratos_OS'!$A$6:$L$1000,4,FALSE),"")</f>
        <v/>
      </c>
      <c r="J710" s="95">
        <f>IFERROR(VLOOKUP(F710,'12. Contratos_OS'!$A$6:$L$1000,7,FALSE),"")</f>
        <v/>
      </c>
      <c r="K710" s="95">
        <f>IFERROR(VLOOKUP(J710,'11. Cadastro de Serviços'!$A$6:$E$200,2,FALSE),"")</f>
        <v/>
      </c>
      <c r="L710" s="95">
        <f>IFERROR(VLOOKUP(J710,'11. Cadastro de Serviços'!$A$6:$E$200,3,FALSE),"")</f>
        <v/>
      </c>
      <c r="M710" s="95">
        <f>IFERROR(VLOOKUP(J710,'11. Cadastro de Serviços'!$A$6:$E$200,4,FALSE),"")</f>
        <v/>
      </c>
      <c r="N710" s="95" t="n"/>
      <c r="O710" s="95">
        <f>IF(AND(G710&lt;&gt;"",I710&lt;&gt;"",J710&lt;&gt;"",M710&lt;&gt;""),"Rastreado","Revisar")</f>
        <v/>
      </c>
      <c r="P710" s="96" t="n"/>
    </row>
    <row r="711">
      <c r="A711" s="95" t="n"/>
      <c r="B711" s="96" t="n"/>
      <c r="C711" s="96" t="n"/>
      <c r="D711" s="95" t="n"/>
      <c r="E711" s="96" t="n"/>
      <c r="F711" s="96" t="n"/>
      <c r="G711" s="95">
        <f>IFERROR(VLOOKUP(F711,'12. Contratos_OS'!$A$6:$L$1000,2,FALSE),"")</f>
        <v/>
      </c>
      <c r="H711" s="95">
        <f>IFERROR(VLOOKUP(F711,'12. Contratos_OS'!$A$6:$L$1000,3,FALSE),"")</f>
        <v/>
      </c>
      <c r="I711" s="95">
        <f>IFERROR(VLOOKUP(F711,'12. Contratos_OS'!$A$6:$L$1000,4,FALSE),"")</f>
        <v/>
      </c>
      <c r="J711" s="95">
        <f>IFERROR(VLOOKUP(F711,'12. Contratos_OS'!$A$6:$L$1000,7,FALSE),"")</f>
        <v/>
      </c>
      <c r="K711" s="95">
        <f>IFERROR(VLOOKUP(J711,'11. Cadastro de Serviços'!$A$6:$E$200,2,FALSE),"")</f>
        <v/>
      </c>
      <c r="L711" s="95">
        <f>IFERROR(VLOOKUP(J711,'11. Cadastro de Serviços'!$A$6:$E$200,3,FALSE),"")</f>
        <v/>
      </c>
      <c r="M711" s="95">
        <f>IFERROR(VLOOKUP(J711,'11. Cadastro de Serviços'!$A$6:$E$200,4,FALSE),"")</f>
        <v/>
      </c>
      <c r="N711" s="95" t="n"/>
      <c r="O711" s="95">
        <f>IF(AND(G711&lt;&gt;"",I711&lt;&gt;"",J711&lt;&gt;"",M711&lt;&gt;""),"Rastreado","Revisar")</f>
        <v/>
      </c>
      <c r="P711" s="96" t="n"/>
    </row>
    <row r="712">
      <c r="A712" s="95" t="n"/>
      <c r="B712" s="96" t="n"/>
      <c r="C712" s="96" t="n"/>
      <c r="D712" s="95" t="n"/>
      <c r="E712" s="96" t="n"/>
      <c r="F712" s="96" t="n"/>
      <c r="G712" s="95">
        <f>IFERROR(VLOOKUP(F712,'12. Contratos_OS'!$A$6:$L$1000,2,FALSE),"")</f>
        <v/>
      </c>
      <c r="H712" s="95">
        <f>IFERROR(VLOOKUP(F712,'12. Contratos_OS'!$A$6:$L$1000,3,FALSE),"")</f>
        <v/>
      </c>
      <c r="I712" s="95">
        <f>IFERROR(VLOOKUP(F712,'12. Contratos_OS'!$A$6:$L$1000,4,FALSE),"")</f>
        <v/>
      </c>
      <c r="J712" s="95">
        <f>IFERROR(VLOOKUP(F712,'12. Contratos_OS'!$A$6:$L$1000,7,FALSE),"")</f>
        <v/>
      </c>
      <c r="K712" s="95">
        <f>IFERROR(VLOOKUP(J712,'11. Cadastro de Serviços'!$A$6:$E$200,2,FALSE),"")</f>
        <v/>
      </c>
      <c r="L712" s="95">
        <f>IFERROR(VLOOKUP(J712,'11. Cadastro de Serviços'!$A$6:$E$200,3,FALSE),"")</f>
        <v/>
      </c>
      <c r="M712" s="95">
        <f>IFERROR(VLOOKUP(J712,'11. Cadastro de Serviços'!$A$6:$E$200,4,FALSE),"")</f>
        <v/>
      </c>
      <c r="N712" s="95" t="n"/>
      <c r="O712" s="95">
        <f>IF(AND(G712&lt;&gt;"",I712&lt;&gt;"",J712&lt;&gt;"",M712&lt;&gt;""),"Rastreado","Revisar")</f>
        <v/>
      </c>
      <c r="P712" s="96" t="n"/>
    </row>
    <row r="713">
      <c r="A713" s="95" t="n"/>
      <c r="B713" s="96" t="n"/>
      <c r="C713" s="96" t="n"/>
      <c r="D713" s="95" t="n"/>
      <c r="E713" s="96" t="n"/>
      <c r="F713" s="96" t="n"/>
      <c r="G713" s="95">
        <f>IFERROR(VLOOKUP(F713,'12. Contratos_OS'!$A$6:$L$1000,2,FALSE),"")</f>
        <v/>
      </c>
      <c r="H713" s="95">
        <f>IFERROR(VLOOKUP(F713,'12. Contratos_OS'!$A$6:$L$1000,3,FALSE),"")</f>
        <v/>
      </c>
      <c r="I713" s="95">
        <f>IFERROR(VLOOKUP(F713,'12. Contratos_OS'!$A$6:$L$1000,4,FALSE),"")</f>
        <v/>
      </c>
      <c r="J713" s="95">
        <f>IFERROR(VLOOKUP(F713,'12. Contratos_OS'!$A$6:$L$1000,7,FALSE),"")</f>
        <v/>
      </c>
      <c r="K713" s="95">
        <f>IFERROR(VLOOKUP(J713,'11. Cadastro de Serviços'!$A$6:$E$200,2,FALSE),"")</f>
        <v/>
      </c>
      <c r="L713" s="95">
        <f>IFERROR(VLOOKUP(J713,'11. Cadastro de Serviços'!$A$6:$E$200,3,FALSE),"")</f>
        <v/>
      </c>
      <c r="M713" s="95">
        <f>IFERROR(VLOOKUP(J713,'11. Cadastro de Serviços'!$A$6:$E$200,4,FALSE),"")</f>
        <v/>
      </c>
      <c r="N713" s="95" t="n"/>
      <c r="O713" s="95">
        <f>IF(AND(G713&lt;&gt;"",I713&lt;&gt;"",J713&lt;&gt;"",M713&lt;&gt;""),"Rastreado","Revisar")</f>
        <v/>
      </c>
      <c r="P713" s="96" t="n"/>
    </row>
    <row r="714">
      <c r="A714" s="95" t="n"/>
      <c r="B714" s="96" t="n"/>
      <c r="C714" s="96" t="n"/>
      <c r="D714" s="95" t="n"/>
      <c r="E714" s="96" t="n"/>
      <c r="F714" s="96" t="n"/>
      <c r="G714" s="95">
        <f>IFERROR(VLOOKUP(F714,'12. Contratos_OS'!$A$6:$L$1000,2,FALSE),"")</f>
        <v/>
      </c>
      <c r="H714" s="95">
        <f>IFERROR(VLOOKUP(F714,'12. Contratos_OS'!$A$6:$L$1000,3,FALSE),"")</f>
        <v/>
      </c>
      <c r="I714" s="95">
        <f>IFERROR(VLOOKUP(F714,'12. Contratos_OS'!$A$6:$L$1000,4,FALSE),"")</f>
        <v/>
      </c>
      <c r="J714" s="95">
        <f>IFERROR(VLOOKUP(F714,'12. Contratos_OS'!$A$6:$L$1000,7,FALSE),"")</f>
        <v/>
      </c>
      <c r="K714" s="95">
        <f>IFERROR(VLOOKUP(J714,'11. Cadastro de Serviços'!$A$6:$E$200,2,FALSE),"")</f>
        <v/>
      </c>
      <c r="L714" s="95">
        <f>IFERROR(VLOOKUP(J714,'11. Cadastro de Serviços'!$A$6:$E$200,3,FALSE),"")</f>
        <v/>
      </c>
      <c r="M714" s="95">
        <f>IFERROR(VLOOKUP(J714,'11. Cadastro de Serviços'!$A$6:$E$200,4,FALSE),"")</f>
        <v/>
      </c>
      <c r="N714" s="95" t="n"/>
      <c r="O714" s="95">
        <f>IF(AND(G714&lt;&gt;"",I714&lt;&gt;"",J714&lt;&gt;"",M714&lt;&gt;""),"Rastreado","Revisar")</f>
        <v/>
      </c>
      <c r="P714" s="96" t="n"/>
    </row>
    <row r="715">
      <c r="A715" s="95" t="n"/>
      <c r="B715" s="96" t="n"/>
      <c r="C715" s="96" t="n"/>
      <c r="D715" s="95" t="n"/>
      <c r="E715" s="96" t="n"/>
      <c r="F715" s="96" t="n"/>
      <c r="G715" s="95">
        <f>IFERROR(VLOOKUP(F715,'12. Contratos_OS'!$A$6:$L$1000,2,FALSE),"")</f>
        <v/>
      </c>
      <c r="H715" s="95">
        <f>IFERROR(VLOOKUP(F715,'12. Contratos_OS'!$A$6:$L$1000,3,FALSE),"")</f>
        <v/>
      </c>
      <c r="I715" s="95">
        <f>IFERROR(VLOOKUP(F715,'12. Contratos_OS'!$A$6:$L$1000,4,FALSE),"")</f>
        <v/>
      </c>
      <c r="J715" s="95">
        <f>IFERROR(VLOOKUP(F715,'12. Contratos_OS'!$A$6:$L$1000,7,FALSE),"")</f>
        <v/>
      </c>
      <c r="K715" s="95">
        <f>IFERROR(VLOOKUP(J715,'11. Cadastro de Serviços'!$A$6:$E$200,2,FALSE),"")</f>
        <v/>
      </c>
      <c r="L715" s="95">
        <f>IFERROR(VLOOKUP(J715,'11. Cadastro de Serviços'!$A$6:$E$200,3,FALSE),"")</f>
        <v/>
      </c>
      <c r="M715" s="95">
        <f>IFERROR(VLOOKUP(J715,'11. Cadastro de Serviços'!$A$6:$E$200,4,FALSE),"")</f>
        <v/>
      </c>
      <c r="N715" s="95" t="n"/>
      <c r="O715" s="95">
        <f>IF(AND(G715&lt;&gt;"",I715&lt;&gt;"",J715&lt;&gt;"",M715&lt;&gt;""),"Rastreado","Revisar")</f>
        <v/>
      </c>
      <c r="P715" s="96" t="n"/>
    </row>
    <row r="716">
      <c r="A716" s="95" t="n"/>
      <c r="B716" s="96" t="n"/>
      <c r="C716" s="96" t="n"/>
      <c r="D716" s="95" t="n"/>
      <c r="E716" s="96" t="n"/>
      <c r="F716" s="96" t="n"/>
      <c r="G716" s="95">
        <f>IFERROR(VLOOKUP(F716,'12. Contratos_OS'!$A$6:$L$1000,2,FALSE),"")</f>
        <v/>
      </c>
      <c r="H716" s="95">
        <f>IFERROR(VLOOKUP(F716,'12. Contratos_OS'!$A$6:$L$1000,3,FALSE),"")</f>
        <v/>
      </c>
      <c r="I716" s="95">
        <f>IFERROR(VLOOKUP(F716,'12. Contratos_OS'!$A$6:$L$1000,4,FALSE),"")</f>
        <v/>
      </c>
      <c r="J716" s="95">
        <f>IFERROR(VLOOKUP(F716,'12. Contratos_OS'!$A$6:$L$1000,7,FALSE),"")</f>
        <v/>
      </c>
      <c r="K716" s="95">
        <f>IFERROR(VLOOKUP(J716,'11. Cadastro de Serviços'!$A$6:$E$200,2,FALSE),"")</f>
        <v/>
      </c>
      <c r="L716" s="95">
        <f>IFERROR(VLOOKUP(J716,'11. Cadastro de Serviços'!$A$6:$E$200,3,FALSE),"")</f>
        <v/>
      </c>
      <c r="M716" s="95">
        <f>IFERROR(VLOOKUP(J716,'11. Cadastro de Serviços'!$A$6:$E$200,4,FALSE),"")</f>
        <v/>
      </c>
      <c r="N716" s="95" t="n"/>
      <c r="O716" s="95">
        <f>IF(AND(G716&lt;&gt;"",I716&lt;&gt;"",J716&lt;&gt;"",M716&lt;&gt;""),"Rastreado","Revisar")</f>
        <v/>
      </c>
      <c r="P716" s="96" t="n"/>
    </row>
    <row r="717">
      <c r="A717" s="95" t="n"/>
      <c r="B717" s="96" t="n"/>
      <c r="C717" s="96" t="n"/>
      <c r="D717" s="95" t="n"/>
      <c r="E717" s="96" t="n"/>
      <c r="F717" s="96" t="n"/>
      <c r="G717" s="95">
        <f>IFERROR(VLOOKUP(F717,'12. Contratos_OS'!$A$6:$L$1000,2,FALSE),"")</f>
        <v/>
      </c>
      <c r="H717" s="95">
        <f>IFERROR(VLOOKUP(F717,'12. Contratos_OS'!$A$6:$L$1000,3,FALSE),"")</f>
        <v/>
      </c>
      <c r="I717" s="95">
        <f>IFERROR(VLOOKUP(F717,'12. Contratos_OS'!$A$6:$L$1000,4,FALSE),"")</f>
        <v/>
      </c>
      <c r="J717" s="95">
        <f>IFERROR(VLOOKUP(F717,'12. Contratos_OS'!$A$6:$L$1000,7,FALSE),"")</f>
        <v/>
      </c>
      <c r="K717" s="95">
        <f>IFERROR(VLOOKUP(J717,'11. Cadastro de Serviços'!$A$6:$E$200,2,FALSE),"")</f>
        <v/>
      </c>
      <c r="L717" s="95">
        <f>IFERROR(VLOOKUP(J717,'11. Cadastro de Serviços'!$A$6:$E$200,3,FALSE),"")</f>
        <v/>
      </c>
      <c r="M717" s="95">
        <f>IFERROR(VLOOKUP(J717,'11. Cadastro de Serviços'!$A$6:$E$200,4,FALSE),"")</f>
        <v/>
      </c>
      <c r="N717" s="95" t="n"/>
      <c r="O717" s="95">
        <f>IF(AND(G717&lt;&gt;"",I717&lt;&gt;"",J717&lt;&gt;"",M717&lt;&gt;""),"Rastreado","Revisar")</f>
        <v/>
      </c>
      <c r="P717" s="96" t="n"/>
    </row>
    <row r="718">
      <c r="A718" s="95" t="n"/>
      <c r="B718" s="96" t="n"/>
      <c r="C718" s="96" t="n"/>
      <c r="D718" s="95" t="n"/>
      <c r="E718" s="96" t="n"/>
      <c r="F718" s="96" t="n"/>
      <c r="G718" s="95">
        <f>IFERROR(VLOOKUP(F718,'12. Contratos_OS'!$A$6:$L$1000,2,FALSE),"")</f>
        <v/>
      </c>
      <c r="H718" s="95">
        <f>IFERROR(VLOOKUP(F718,'12. Contratos_OS'!$A$6:$L$1000,3,FALSE),"")</f>
        <v/>
      </c>
      <c r="I718" s="95">
        <f>IFERROR(VLOOKUP(F718,'12. Contratos_OS'!$A$6:$L$1000,4,FALSE),"")</f>
        <v/>
      </c>
      <c r="J718" s="95">
        <f>IFERROR(VLOOKUP(F718,'12. Contratos_OS'!$A$6:$L$1000,7,FALSE),"")</f>
        <v/>
      </c>
      <c r="K718" s="95">
        <f>IFERROR(VLOOKUP(J718,'11. Cadastro de Serviços'!$A$6:$E$200,2,FALSE),"")</f>
        <v/>
      </c>
      <c r="L718" s="95">
        <f>IFERROR(VLOOKUP(J718,'11. Cadastro de Serviços'!$A$6:$E$200,3,FALSE),"")</f>
        <v/>
      </c>
      <c r="M718" s="95">
        <f>IFERROR(VLOOKUP(J718,'11. Cadastro de Serviços'!$A$6:$E$200,4,FALSE),"")</f>
        <v/>
      </c>
      <c r="N718" s="95" t="n"/>
      <c r="O718" s="95">
        <f>IF(AND(G718&lt;&gt;"",I718&lt;&gt;"",J718&lt;&gt;"",M718&lt;&gt;""),"Rastreado","Revisar")</f>
        <v/>
      </c>
      <c r="P718" s="96" t="n"/>
    </row>
    <row r="719">
      <c r="A719" s="95" t="n"/>
      <c r="B719" s="96" t="n"/>
      <c r="C719" s="96" t="n"/>
      <c r="D719" s="95" t="n"/>
      <c r="E719" s="96" t="n"/>
      <c r="F719" s="96" t="n"/>
      <c r="G719" s="95">
        <f>IFERROR(VLOOKUP(F719,'12. Contratos_OS'!$A$6:$L$1000,2,FALSE),"")</f>
        <v/>
      </c>
      <c r="H719" s="95">
        <f>IFERROR(VLOOKUP(F719,'12. Contratos_OS'!$A$6:$L$1000,3,FALSE),"")</f>
        <v/>
      </c>
      <c r="I719" s="95">
        <f>IFERROR(VLOOKUP(F719,'12. Contratos_OS'!$A$6:$L$1000,4,FALSE),"")</f>
        <v/>
      </c>
      <c r="J719" s="95">
        <f>IFERROR(VLOOKUP(F719,'12. Contratos_OS'!$A$6:$L$1000,7,FALSE),"")</f>
        <v/>
      </c>
      <c r="K719" s="95">
        <f>IFERROR(VLOOKUP(J719,'11. Cadastro de Serviços'!$A$6:$E$200,2,FALSE),"")</f>
        <v/>
      </c>
      <c r="L719" s="95">
        <f>IFERROR(VLOOKUP(J719,'11. Cadastro de Serviços'!$A$6:$E$200,3,FALSE),"")</f>
        <v/>
      </c>
      <c r="M719" s="95">
        <f>IFERROR(VLOOKUP(J719,'11. Cadastro de Serviços'!$A$6:$E$200,4,FALSE),"")</f>
        <v/>
      </c>
      <c r="N719" s="95" t="n"/>
      <c r="O719" s="95">
        <f>IF(AND(G719&lt;&gt;"",I719&lt;&gt;"",J719&lt;&gt;"",M719&lt;&gt;""),"Rastreado","Revisar")</f>
        <v/>
      </c>
      <c r="P719" s="96" t="n"/>
    </row>
    <row r="720">
      <c r="A720" s="95" t="n"/>
      <c r="B720" s="96" t="n"/>
      <c r="C720" s="96" t="n"/>
      <c r="D720" s="95" t="n"/>
      <c r="E720" s="96" t="n"/>
      <c r="F720" s="96" t="n"/>
      <c r="G720" s="95">
        <f>IFERROR(VLOOKUP(F720,'12. Contratos_OS'!$A$6:$L$1000,2,FALSE),"")</f>
        <v/>
      </c>
      <c r="H720" s="95">
        <f>IFERROR(VLOOKUP(F720,'12. Contratos_OS'!$A$6:$L$1000,3,FALSE),"")</f>
        <v/>
      </c>
      <c r="I720" s="95">
        <f>IFERROR(VLOOKUP(F720,'12. Contratos_OS'!$A$6:$L$1000,4,FALSE),"")</f>
        <v/>
      </c>
      <c r="J720" s="95">
        <f>IFERROR(VLOOKUP(F720,'12. Contratos_OS'!$A$6:$L$1000,7,FALSE),"")</f>
        <v/>
      </c>
      <c r="K720" s="95">
        <f>IFERROR(VLOOKUP(J720,'11. Cadastro de Serviços'!$A$6:$E$200,2,FALSE),"")</f>
        <v/>
      </c>
      <c r="L720" s="95">
        <f>IFERROR(VLOOKUP(J720,'11. Cadastro de Serviços'!$A$6:$E$200,3,FALSE),"")</f>
        <v/>
      </c>
      <c r="M720" s="95">
        <f>IFERROR(VLOOKUP(J720,'11. Cadastro de Serviços'!$A$6:$E$200,4,FALSE),"")</f>
        <v/>
      </c>
      <c r="N720" s="95" t="n"/>
      <c r="O720" s="95">
        <f>IF(AND(G720&lt;&gt;"",I720&lt;&gt;"",J720&lt;&gt;"",M720&lt;&gt;""),"Rastreado","Revisar")</f>
        <v/>
      </c>
      <c r="P720" s="96" t="n"/>
    </row>
    <row r="721">
      <c r="A721" s="95" t="n"/>
      <c r="B721" s="96" t="n"/>
      <c r="C721" s="96" t="n"/>
      <c r="D721" s="95" t="n"/>
      <c r="E721" s="96" t="n"/>
      <c r="F721" s="96" t="n"/>
      <c r="G721" s="95">
        <f>IFERROR(VLOOKUP(F721,'12. Contratos_OS'!$A$6:$L$1000,2,FALSE),"")</f>
        <v/>
      </c>
      <c r="H721" s="95">
        <f>IFERROR(VLOOKUP(F721,'12. Contratos_OS'!$A$6:$L$1000,3,FALSE),"")</f>
        <v/>
      </c>
      <c r="I721" s="95">
        <f>IFERROR(VLOOKUP(F721,'12. Contratos_OS'!$A$6:$L$1000,4,FALSE),"")</f>
        <v/>
      </c>
      <c r="J721" s="95">
        <f>IFERROR(VLOOKUP(F721,'12. Contratos_OS'!$A$6:$L$1000,7,FALSE),"")</f>
        <v/>
      </c>
      <c r="K721" s="95">
        <f>IFERROR(VLOOKUP(J721,'11. Cadastro de Serviços'!$A$6:$E$200,2,FALSE),"")</f>
        <v/>
      </c>
      <c r="L721" s="95">
        <f>IFERROR(VLOOKUP(J721,'11. Cadastro de Serviços'!$A$6:$E$200,3,FALSE),"")</f>
        <v/>
      </c>
      <c r="M721" s="95">
        <f>IFERROR(VLOOKUP(J721,'11. Cadastro de Serviços'!$A$6:$E$200,4,FALSE),"")</f>
        <v/>
      </c>
      <c r="N721" s="95" t="n"/>
      <c r="O721" s="95">
        <f>IF(AND(G721&lt;&gt;"",I721&lt;&gt;"",J721&lt;&gt;"",M721&lt;&gt;""),"Rastreado","Revisar")</f>
        <v/>
      </c>
      <c r="P721" s="96" t="n"/>
    </row>
    <row r="722">
      <c r="A722" s="95" t="n"/>
      <c r="B722" s="96" t="n"/>
      <c r="C722" s="96" t="n"/>
      <c r="D722" s="95" t="n"/>
      <c r="E722" s="96" t="n"/>
      <c r="F722" s="96" t="n"/>
      <c r="G722" s="95">
        <f>IFERROR(VLOOKUP(F722,'12. Contratos_OS'!$A$6:$L$1000,2,FALSE),"")</f>
        <v/>
      </c>
      <c r="H722" s="95">
        <f>IFERROR(VLOOKUP(F722,'12. Contratos_OS'!$A$6:$L$1000,3,FALSE),"")</f>
        <v/>
      </c>
      <c r="I722" s="95">
        <f>IFERROR(VLOOKUP(F722,'12. Contratos_OS'!$A$6:$L$1000,4,FALSE),"")</f>
        <v/>
      </c>
      <c r="J722" s="95">
        <f>IFERROR(VLOOKUP(F722,'12. Contratos_OS'!$A$6:$L$1000,7,FALSE),"")</f>
        <v/>
      </c>
      <c r="K722" s="95">
        <f>IFERROR(VLOOKUP(J722,'11. Cadastro de Serviços'!$A$6:$E$200,2,FALSE),"")</f>
        <v/>
      </c>
      <c r="L722" s="95">
        <f>IFERROR(VLOOKUP(J722,'11. Cadastro de Serviços'!$A$6:$E$200,3,FALSE),"")</f>
        <v/>
      </c>
      <c r="M722" s="95">
        <f>IFERROR(VLOOKUP(J722,'11. Cadastro de Serviços'!$A$6:$E$200,4,FALSE),"")</f>
        <v/>
      </c>
      <c r="N722" s="95" t="n"/>
      <c r="O722" s="95">
        <f>IF(AND(G722&lt;&gt;"",I722&lt;&gt;"",J722&lt;&gt;"",M722&lt;&gt;""),"Rastreado","Revisar")</f>
        <v/>
      </c>
      <c r="P722" s="96" t="n"/>
    </row>
    <row r="723">
      <c r="A723" s="95" t="n"/>
      <c r="B723" s="96" t="n"/>
      <c r="C723" s="96" t="n"/>
      <c r="D723" s="95" t="n"/>
      <c r="E723" s="96" t="n"/>
      <c r="F723" s="96" t="n"/>
      <c r="G723" s="95">
        <f>IFERROR(VLOOKUP(F723,'12. Contratos_OS'!$A$6:$L$1000,2,FALSE),"")</f>
        <v/>
      </c>
      <c r="H723" s="95">
        <f>IFERROR(VLOOKUP(F723,'12. Contratos_OS'!$A$6:$L$1000,3,FALSE),"")</f>
        <v/>
      </c>
      <c r="I723" s="95">
        <f>IFERROR(VLOOKUP(F723,'12. Contratos_OS'!$A$6:$L$1000,4,FALSE),"")</f>
        <v/>
      </c>
      <c r="J723" s="95">
        <f>IFERROR(VLOOKUP(F723,'12. Contratos_OS'!$A$6:$L$1000,7,FALSE),"")</f>
        <v/>
      </c>
      <c r="K723" s="95">
        <f>IFERROR(VLOOKUP(J723,'11. Cadastro de Serviços'!$A$6:$E$200,2,FALSE),"")</f>
        <v/>
      </c>
      <c r="L723" s="95">
        <f>IFERROR(VLOOKUP(J723,'11. Cadastro de Serviços'!$A$6:$E$200,3,FALSE),"")</f>
        <v/>
      </c>
      <c r="M723" s="95">
        <f>IFERROR(VLOOKUP(J723,'11. Cadastro de Serviços'!$A$6:$E$200,4,FALSE),"")</f>
        <v/>
      </c>
      <c r="N723" s="95" t="n"/>
      <c r="O723" s="95">
        <f>IF(AND(G723&lt;&gt;"",I723&lt;&gt;"",J723&lt;&gt;"",M723&lt;&gt;""),"Rastreado","Revisar")</f>
        <v/>
      </c>
      <c r="P723" s="96" t="n"/>
    </row>
    <row r="724">
      <c r="A724" s="95" t="n"/>
      <c r="B724" s="96" t="n"/>
      <c r="C724" s="96" t="n"/>
      <c r="D724" s="95" t="n"/>
      <c r="E724" s="96" t="n"/>
      <c r="F724" s="96" t="n"/>
      <c r="G724" s="95">
        <f>IFERROR(VLOOKUP(F724,'12. Contratos_OS'!$A$6:$L$1000,2,FALSE),"")</f>
        <v/>
      </c>
      <c r="H724" s="95">
        <f>IFERROR(VLOOKUP(F724,'12. Contratos_OS'!$A$6:$L$1000,3,FALSE),"")</f>
        <v/>
      </c>
      <c r="I724" s="95">
        <f>IFERROR(VLOOKUP(F724,'12. Contratos_OS'!$A$6:$L$1000,4,FALSE),"")</f>
        <v/>
      </c>
      <c r="J724" s="95">
        <f>IFERROR(VLOOKUP(F724,'12. Contratos_OS'!$A$6:$L$1000,7,FALSE),"")</f>
        <v/>
      </c>
      <c r="K724" s="95">
        <f>IFERROR(VLOOKUP(J724,'11. Cadastro de Serviços'!$A$6:$E$200,2,FALSE),"")</f>
        <v/>
      </c>
      <c r="L724" s="95">
        <f>IFERROR(VLOOKUP(J724,'11. Cadastro de Serviços'!$A$6:$E$200,3,FALSE),"")</f>
        <v/>
      </c>
      <c r="M724" s="95">
        <f>IFERROR(VLOOKUP(J724,'11. Cadastro de Serviços'!$A$6:$E$200,4,FALSE),"")</f>
        <v/>
      </c>
      <c r="N724" s="95" t="n"/>
      <c r="O724" s="95">
        <f>IF(AND(G724&lt;&gt;"",I724&lt;&gt;"",J724&lt;&gt;"",M724&lt;&gt;""),"Rastreado","Revisar")</f>
        <v/>
      </c>
      <c r="P724" s="96" t="n"/>
    </row>
    <row r="725">
      <c r="A725" s="95" t="n"/>
      <c r="B725" s="96" t="n"/>
      <c r="C725" s="96" t="n"/>
      <c r="D725" s="95" t="n"/>
      <c r="E725" s="96" t="n"/>
      <c r="F725" s="96" t="n"/>
      <c r="G725" s="95">
        <f>IFERROR(VLOOKUP(F725,'12. Contratos_OS'!$A$6:$L$1000,2,FALSE),"")</f>
        <v/>
      </c>
      <c r="H725" s="95">
        <f>IFERROR(VLOOKUP(F725,'12. Contratos_OS'!$A$6:$L$1000,3,FALSE),"")</f>
        <v/>
      </c>
      <c r="I725" s="95">
        <f>IFERROR(VLOOKUP(F725,'12. Contratos_OS'!$A$6:$L$1000,4,FALSE),"")</f>
        <v/>
      </c>
      <c r="J725" s="95">
        <f>IFERROR(VLOOKUP(F725,'12. Contratos_OS'!$A$6:$L$1000,7,FALSE),"")</f>
        <v/>
      </c>
      <c r="K725" s="95">
        <f>IFERROR(VLOOKUP(J725,'11. Cadastro de Serviços'!$A$6:$E$200,2,FALSE),"")</f>
        <v/>
      </c>
      <c r="L725" s="95">
        <f>IFERROR(VLOOKUP(J725,'11. Cadastro de Serviços'!$A$6:$E$200,3,FALSE),"")</f>
        <v/>
      </c>
      <c r="M725" s="95">
        <f>IFERROR(VLOOKUP(J725,'11. Cadastro de Serviços'!$A$6:$E$200,4,FALSE),"")</f>
        <v/>
      </c>
      <c r="N725" s="95" t="n"/>
      <c r="O725" s="95">
        <f>IF(AND(G725&lt;&gt;"",I725&lt;&gt;"",J725&lt;&gt;"",M725&lt;&gt;""),"Rastreado","Revisar")</f>
        <v/>
      </c>
      <c r="P725" s="96" t="n"/>
    </row>
    <row r="726">
      <c r="A726" s="95" t="n"/>
      <c r="B726" s="96" t="n"/>
      <c r="C726" s="96" t="n"/>
      <c r="D726" s="95" t="n"/>
      <c r="E726" s="96" t="n"/>
      <c r="F726" s="96" t="n"/>
      <c r="G726" s="95">
        <f>IFERROR(VLOOKUP(F726,'12. Contratos_OS'!$A$6:$L$1000,2,FALSE),"")</f>
        <v/>
      </c>
      <c r="H726" s="95">
        <f>IFERROR(VLOOKUP(F726,'12. Contratos_OS'!$A$6:$L$1000,3,FALSE),"")</f>
        <v/>
      </c>
      <c r="I726" s="95">
        <f>IFERROR(VLOOKUP(F726,'12. Contratos_OS'!$A$6:$L$1000,4,FALSE),"")</f>
        <v/>
      </c>
      <c r="J726" s="95">
        <f>IFERROR(VLOOKUP(F726,'12. Contratos_OS'!$A$6:$L$1000,7,FALSE),"")</f>
        <v/>
      </c>
      <c r="K726" s="95">
        <f>IFERROR(VLOOKUP(J726,'11. Cadastro de Serviços'!$A$6:$E$200,2,FALSE),"")</f>
        <v/>
      </c>
      <c r="L726" s="95">
        <f>IFERROR(VLOOKUP(J726,'11. Cadastro de Serviços'!$A$6:$E$200,3,FALSE),"")</f>
        <v/>
      </c>
      <c r="M726" s="95">
        <f>IFERROR(VLOOKUP(J726,'11. Cadastro de Serviços'!$A$6:$E$200,4,FALSE),"")</f>
        <v/>
      </c>
      <c r="N726" s="95" t="n"/>
      <c r="O726" s="95">
        <f>IF(AND(G726&lt;&gt;"",I726&lt;&gt;"",J726&lt;&gt;"",M726&lt;&gt;""),"Rastreado","Revisar")</f>
        <v/>
      </c>
      <c r="P726" s="96" t="n"/>
    </row>
    <row r="727">
      <c r="A727" s="95" t="n"/>
      <c r="B727" s="96" t="n"/>
      <c r="C727" s="96" t="n"/>
      <c r="D727" s="95" t="n"/>
      <c r="E727" s="96" t="n"/>
      <c r="F727" s="96" t="n"/>
      <c r="G727" s="95">
        <f>IFERROR(VLOOKUP(F727,'12. Contratos_OS'!$A$6:$L$1000,2,FALSE),"")</f>
        <v/>
      </c>
      <c r="H727" s="95">
        <f>IFERROR(VLOOKUP(F727,'12. Contratos_OS'!$A$6:$L$1000,3,FALSE),"")</f>
        <v/>
      </c>
      <c r="I727" s="95">
        <f>IFERROR(VLOOKUP(F727,'12. Contratos_OS'!$A$6:$L$1000,4,FALSE),"")</f>
        <v/>
      </c>
      <c r="J727" s="95">
        <f>IFERROR(VLOOKUP(F727,'12. Contratos_OS'!$A$6:$L$1000,7,FALSE),"")</f>
        <v/>
      </c>
      <c r="K727" s="95">
        <f>IFERROR(VLOOKUP(J727,'11. Cadastro de Serviços'!$A$6:$E$200,2,FALSE),"")</f>
        <v/>
      </c>
      <c r="L727" s="95">
        <f>IFERROR(VLOOKUP(J727,'11. Cadastro de Serviços'!$A$6:$E$200,3,FALSE),"")</f>
        <v/>
      </c>
      <c r="M727" s="95">
        <f>IFERROR(VLOOKUP(J727,'11. Cadastro de Serviços'!$A$6:$E$200,4,FALSE),"")</f>
        <v/>
      </c>
      <c r="N727" s="95" t="n"/>
      <c r="O727" s="95">
        <f>IF(AND(G727&lt;&gt;"",I727&lt;&gt;"",J727&lt;&gt;"",M727&lt;&gt;""),"Rastreado","Revisar")</f>
        <v/>
      </c>
      <c r="P727" s="96" t="n"/>
    </row>
    <row r="728">
      <c r="A728" s="95" t="n"/>
      <c r="B728" s="96" t="n"/>
      <c r="C728" s="96" t="n"/>
      <c r="D728" s="95" t="n"/>
      <c r="E728" s="96" t="n"/>
      <c r="F728" s="96" t="n"/>
      <c r="G728" s="95">
        <f>IFERROR(VLOOKUP(F728,'12. Contratos_OS'!$A$6:$L$1000,2,FALSE),"")</f>
        <v/>
      </c>
      <c r="H728" s="95">
        <f>IFERROR(VLOOKUP(F728,'12. Contratos_OS'!$A$6:$L$1000,3,FALSE),"")</f>
        <v/>
      </c>
      <c r="I728" s="95">
        <f>IFERROR(VLOOKUP(F728,'12. Contratos_OS'!$A$6:$L$1000,4,FALSE),"")</f>
        <v/>
      </c>
      <c r="J728" s="95">
        <f>IFERROR(VLOOKUP(F728,'12. Contratos_OS'!$A$6:$L$1000,7,FALSE),"")</f>
        <v/>
      </c>
      <c r="K728" s="95">
        <f>IFERROR(VLOOKUP(J728,'11. Cadastro de Serviços'!$A$6:$E$200,2,FALSE),"")</f>
        <v/>
      </c>
      <c r="L728" s="95">
        <f>IFERROR(VLOOKUP(J728,'11. Cadastro de Serviços'!$A$6:$E$200,3,FALSE),"")</f>
        <v/>
      </c>
      <c r="M728" s="95">
        <f>IFERROR(VLOOKUP(J728,'11. Cadastro de Serviços'!$A$6:$E$200,4,FALSE),"")</f>
        <v/>
      </c>
      <c r="N728" s="95" t="n"/>
      <c r="O728" s="95">
        <f>IF(AND(G728&lt;&gt;"",I728&lt;&gt;"",J728&lt;&gt;"",M728&lt;&gt;""),"Rastreado","Revisar")</f>
        <v/>
      </c>
      <c r="P728" s="96" t="n"/>
    </row>
    <row r="729">
      <c r="A729" s="95" t="n"/>
      <c r="B729" s="96" t="n"/>
      <c r="C729" s="96" t="n"/>
      <c r="D729" s="95" t="n"/>
      <c r="E729" s="96" t="n"/>
      <c r="F729" s="96" t="n"/>
      <c r="G729" s="95">
        <f>IFERROR(VLOOKUP(F729,'12. Contratos_OS'!$A$6:$L$1000,2,FALSE),"")</f>
        <v/>
      </c>
      <c r="H729" s="95">
        <f>IFERROR(VLOOKUP(F729,'12. Contratos_OS'!$A$6:$L$1000,3,FALSE),"")</f>
        <v/>
      </c>
      <c r="I729" s="95">
        <f>IFERROR(VLOOKUP(F729,'12. Contratos_OS'!$A$6:$L$1000,4,FALSE),"")</f>
        <v/>
      </c>
      <c r="J729" s="95">
        <f>IFERROR(VLOOKUP(F729,'12. Contratos_OS'!$A$6:$L$1000,7,FALSE),"")</f>
        <v/>
      </c>
      <c r="K729" s="95">
        <f>IFERROR(VLOOKUP(J729,'11. Cadastro de Serviços'!$A$6:$E$200,2,FALSE),"")</f>
        <v/>
      </c>
      <c r="L729" s="95">
        <f>IFERROR(VLOOKUP(J729,'11. Cadastro de Serviços'!$A$6:$E$200,3,FALSE),"")</f>
        <v/>
      </c>
      <c r="M729" s="95">
        <f>IFERROR(VLOOKUP(J729,'11. Cadastro de Serviços'!$A$6:$E$200,4,FALSE),"")</f>
        <v/>
      </c>
      <c r="N729" s="95" t="n"/>
      <c r="O729" s="95">
        <f>IF(AND(G729&lt;&gt;"",I729&lt;&gt;"",J729&lt;&gt;"",M729&lt;&gt;""),"Rastreado","Revisar")</f>
        <v/>
      </c>
      <c r="P729" s="96" t="n"/>
    </row>
    <row r="730">
      <c r="A730" s="95" t="n"/>
      <c r="B730" s="96" t="n"/>
      <c r="C730" s="96" t="n"/>
      <c r="D730" s="95" t="n"/>
      <c r="E730" s="96" t="n"/>
      <c r="F730" s="96" t="n"/>
      <c r="G730" s="95">
        <f>IFERROR(VLOOKUP(F730,'12. Contratos_OS'!$A$6:$L$1000,2,FALSE),"")</f>
        <v/>
      </c>
      <c r="H730" s="95">
        <f>IFERROR(VLOOKUP(F730,'12. Contratos_OS'!$A$6:$L$1000,3,FALSE),"")</f>
        <v/>
      </c>
      <c r="I730" s="95">
        <f>IFERROR(VLOOKUP(F730,'12. Contratos_OS'!$A$6:$L$1000,4,FALSE),"")</f>
        <v/>
      </c>
      <c r="J730" s="95">
        <f>IFERROR(VLOOKUP(F730,'12. Contratos_OS'!$A$6:$L$1000,7,FALSE),"")</f>
        <v/>
      </c>
      <c r="K730" s="95">
        <f>IFERROR(VLOOKUP(J730,'11. Cadastro de Serviços'!$A$6:$E$200,2,FALSE),"")</f>
        <v/>
      </c>
      <c r="L730" s="95">
        <f>IFERROR(VLOOKUP(J730,'11. Cadastro de Serviços'!$A$6:$E$200,3,FALSE),"")</f>
        <v/>
      </c>
      <c r="M730" s="95">
        <f>IFERROR(VLOOKUP(J730,'11. Cadastro de Serviços'!$A$6:$E$200,4,FALSE),"")</f>
        <v/>
      </c>
      <c r="N730" s="95" t="n"/>
      <c r="O730" s="95">
        <f>IF(AND(G730&lt;&gt;"",I730&lt;&gt;"",J730&lt;&gt;"",M730&lt;&gt;""),"Rastreado","Revisar")</f>
        <v/>
      </c>
      <c r="P730" s="96" t="n"/>
    </row>
    <row r="731">
      <c r="A731" s="95" t="n"/>
      <c r="B731" s="96" t="n"/>
      <c r="C731" s="96" t="n"/>
      <c r="D731" s="95" t="n"/>
      <c r="E731" s="96" t="n"/>
      <c r="F731" s="96" t="n"/>
      <c r="G731" s="95">
        <f>IFERROR(VLOOKUP(F731,'12. Contratos_OS'!$A$6:$L$1000,2,FALSE),"")</f>
        <v/>
      </c>
      <c r="H731" s="95">
        <f>IFERROR(VLOOKUP(F731,'12. Contratos_OS'!$A$6:$L$1000,3,FALSE),"")</f>
        <v/>
      </c>
      <c r="I731" s="95">
        <f>IFERROR(VLOOKUP(F731,'12. Contratos_OS'!$A$6:$L$1000,4,FALSE),"")</f>
        <v/>
      </c>
      <c r="J731" s="95">
        <f>IFERROR(VLOOKUP(F731,'12. Contratos_OS'!$A$6:$L$1000,7,FALSE),"")</f>
        <v/>
      </c>
      <c r="K731" s="95">
        <f>IFERROR(VLOOKUP(J731,'11. Cadastro de Serviços'!$A$6:$E$200,2,FALSE),"")</f>
        <v/>
      </c>
      <c r="L731" s="95">
        <f>IFERROR(VLOOKUP(J731,'11. Cadastro de Serviços'!$A$6:$E$200,3,FALSE),"")</f>
        <v/>
      </c>
      <c r="M731" s="95">
        <f>IFERROR(VLOOKUP(J731,'11. Cadastro de Serviços'!$A$6:$E$200,4,FALSE),"")</f>
        <v/>
      </c>
      <c r="N731" s="95" t="n"/>
      <c r="O731" s="95">
        <f>IF(AND(G731&lt;&gt;"",I731&lt;&gt;"",J731&lt;&gt;"",M731&lt;&gt;""),"Rastreado","Revisar")</f>
        <v/>
      </c>
      <c r="P731" s="96" t="n"/>
    </row>
    <row r="732">
      <c r="A732" s="95" t="n"/>
      <c r="B732" s="96" t="n"/>
      <c r="C732" s="96" t="n"/>
      <c r="D732" s="95" t="n"/>
      <c r="E732" s="96" t="n"/>
      <c r="F732" s="96" t="n"/>
      <c r="G732" s="95">
        <f>IFERROR(VLOOKUP(F732,'12. Contratos_OS'!$A$6:$L$1000,2,FALSE),"")</f>
        <v/>
      </c>
      <c r="H732" s="95">
        <f>IFERROR(VLOOKUP(F732,'12. Contratos_OS'!$A$6:$L$1000,3,FALSE),"")</f>
        <v/>
      </c>
      <c r="I732" s="95">
        <f>IFERROR(VLOOKUP(F732,'12. Contratos_OS'!$A$6:$L$1000,4,FALSE),"")</f>
        <v/>
      </c>
      <c r="J732" s="95">
        <f>IFERROR(VLOOKUP(F732,'12. Contratos_OS'!$A$6:$L$1000,7,FALSE),"")</f>
        <v/>
      </c>
      <c r="K732" s="95">
        <f>IFERROR(VLOOKUP(J732,'11. Cadastro de Serviços'!$A$6:$E$200,2,FALSE),"")</f>
        <v/>
      </c>
      <c r="L732" s="95">
        <f>IFERROR(VLOOKUP(J732,'11. Cadastro de Serviços'!$A$6:$E$200,3,FALSE),"")</f>
        <v/>
      </c>
      <c r="M732" s="95">
        <f>IFERROR(VLOOKUP(J732,'11. Cadastro de Serviços'!$A$6:$E$200,4,FALSE),"")</f>
        <v/>
      </c>
      <c r="N732" s="95" t="n"/>
      <c r="O732" s="95">
        <f>IF(AND(G732&lt;&gt;"",I732&lt;&gt;"",J732&lt;&gt;"",M732&lt;&gt;""),"Rastreado","Revisar")</f>
        <v/>
      </c>
      <c r="P732" s="96" t="n"/>
    </row>
    <row r="733">
      <c r="A733" s="95" t="n"/>
      <c r="B733" s="96" t="n"/>
      <c r="C733" s="96" t="n"/>
      <c r="D733" s="95" t="n"/>
      <c r="E733" s="96" t="n"/>
      <c r="F733" s="96" t="n"/>
      <c r="G733" s="95">
        <f>IFERROR(VLOOKUP(F733,'12. Contratos_OS'!$A$6:$L$1000,2,FALSE),"")</f>
        <v/>
      </c>
      <c r="H733" s="95">
        <f>IFERROR(VLOOKUP(F733,'12. Contratos_OS'!$A$6:$L$1000,3,FALSE),"")</f>
        <v/>
      </c>
      <c r="I733" s="95">
        <f>IFERROR(VLOOKUP(F733,'12. Contratos_OS'!$A$6:$L$1000,4,FALSE),"")</f>
        <v/>
      </c>
      <c r="J733" s="95">
        <f>IFERROR(VLOOKUP(F733,'12. Contratos_OS'!$A$6:$L$1000,7,FALSE),"")</f>
        <v/>
      </c>
      <c r="K733" s="95">
        <f>IFERROR(VLOOKUP(J733,'11. Cadastro de Serviços'!$A$6:$E$200,2,FALSE),"")</f>
        <v/>
      </c>
      <c r="L733" s="95">
        <f>IFERROR(VLOOKUP(J733,'11. Cadastro de Serviços'!$A$6:$E$200,3,FALSE),"")</f>
        <v/>
      </c>
      <c r="M733" s="95">
        <f>IFERROR(VLOOKUP(J733,'11. Cadastro de Serviços'!$A$6:$E$200,4,FALSE),"")</f>
        <v/>
      </c>
      <c r="N733" s="95" t="n"/>
      <c r="O733" s="95">
        <f>IF(AND(G733&lt;&gt;"",I733&lt;&gt;"",J733&lt;&gt;"",M733&lt;&gt;""),"Rastreado","Revisar")</f>
        <v/>
      </c>
      <c r="P733" s="96" t="n"/>
    </row>
    <row r="734">
      <c r="A734" s="95" t="n"/>
      <c r="B734" s="96" t="n"/>
      <c r="C734" s="96" t="n"/>
      <c r="D734" s="95" t="n"/>
      <c r="E734" s="96" t="n"/>
      <c r="F734" s="96" t="n"/>
      <c r="G734" s="95">
        <f>IFERROR(VLOOKUP(F734,'12. Contratos_OS'!$A$6:$L$1000,2,FALSE),"")</f>
        <v/>
      </c>
      <c r="H734" s="95">
        <f>IFERROR(VLOOKUP(F734,'12. Contratos_OS'!$A$6:$L$1000,3,FALSE),"")</f>
        <v/>
      </c>
      <c r="I734" s="95">
        <f>IFERROR(VLOOKUP(F734,'12. Contratos_OS'!$A$6:$L$1000,4,FALSE),"")</f>
        <v/>
      </c>
      <c r="J734" s="95">
        <f>IFERROR(VLOOKUP(F734,'12. Contratos_OS'!$A$6:$L$1000,7,FALSE),"")</f>
        <v/>
      </c>
      <c r="K734" s="95">
        <f>IFERROR(VLOOKUP(J734,'11. Cadastro de Serviços'!$A$6:$E$200,2,FALSE),"")</f>
        <v/>
      </c>
      <c r="L734" s="95">
        <f>IFERROR(VLOOKUP(J734,'11. Cadastro de Serviços'!$A$6:$E$200,3,FALSE),"")</f>
        <v/>
      </c>
      <c r="M734" s="95">
        <f>IFERROR(VLOOKUP(J734,'11. Cadastro de Serviços'!$A$6:$E$200,4,FALSE),"")</f>
        <v/>
      </c>
      <c r="N734" s="95" t="n"/>
      <c r="O734" s="95">
        <f>IF(AND(G734&lt;&gt;"",I734&lt;&gt;"",J734&lt;&gt;"",M734&lt;&gt;""),"Rastreado","Revisar")</f>
        <v/>
      </c>
      <c r="P734" s="96" t="n"/>
    </row>
    <row r="735">
      <c r="A735" s="95" t="n"/>
      <c r="B735" s="96" t="n"/>
      <c r="C735" s="96" t="n"/>
      <c r="D735" s="95" t="n"/>
      <c r="E735" s="96" t="n"/>
      <c r="F735" s="96" t="n"/>
      <c r="G735" s="95">
        <f>IFERROR(VLOOKUP(F735,'12. Contratos_OS'!$A$6:$L$1000,2,FALSE),"")</f>
        <v/>
      </c>
      <c r="H735" s="95">
        <f>IFERROR(VLOOKUP(F735,'12. Contratos_OS'!$A$6:$L$1000,3,FALSE),"")</f>
        <v/>
      </c>
      <c r="I735" s="95">
        <f>IFERROR(VLOOKUP(F735,'12. Contratos_OS'!$A$6:$L$1000,4,FALSE),"")</f>
        <v/>
      </c>
      <c r="J735" s="95">
        <f>IFERROR(VLOOKUP(F735,'12. Contratos_OS'!$A$6:$L$1000,7,FALSE),"")</f>
        <v/>
      </c>
      <c r="K735" s="95">
        <f>IFERROR(VLOOKUP(J735,'11. Cadastro de Serviços'!$A$6:$E$200,2,FALSE),"")</f>
        <v/>
      </c>
      <c r="L735" s="95">
        <f>IFERROR(VLOOKUP(J735,'11. Cadastro de Serviços'!$A$6:$E$200,3,FALSE),"")</f>
        <v/>
      </c>
      <c r="M735" s="95">
        <f>IFERROR(VLOOKUP(J735,'11. Cadastro de Serviços'!$A$6:$E$200,4,FALSE),"")</f>
        <v/>
      </c>
      <c r="N735" s="95" t="n"/>
      <c r="O735" s="95">
        <f>IF(AND(G735&lt;&gt;"",I735&lt;&gt;"",J735&lt;&gt;"",M735&lt;&gt;""),"Rastreado","Revisar")</f>
        <v/>
      </c>
      <c r="P735" s="96" t="n"/>
    </row>
    <row r="736">
      <c r="A736" s="95" t="n"/>
      <c r="B736" s="96" t="n"/>
      <c r="C736" s="96" t="n"/>
      <c r="D736" s="95" t="n"/>
      <c r="E736" s="96" t="n"/>
      <c r="F736" s="96" t="n"/>
      <c r="G736" s="95">
        <f>IFERROR(VLOOKUP(F736,'12. Contratos_OS'!$A$6:$L$1000,2,FALSE),"")</f>
        <v/>
      </c>
      <c r="H736" s="95">
        <f>IFERROR(VLOOKUP(F736,'12. Contratos_OS'!$A$6:$L$1000,3,FALSE),"")</f>
        <v/>
      </c>
      <c r="I736" s="95">
        <f>IFERROR(VLOOKUP(F736,'12. Contratos_OS'!$A$6:$L$1000,4,FALSE),"")</f>
        <v/>
      </c>
      <c r="J736" s="95">
        <f>IFERROR(VLOOKUP(F736,'12. Contratos_OS'!$A$6:$L$1000,7,FALSE),"")</f>
        <v/>
      </c>
      <c r="K736" s="95">
        <f>IFERROR(VLOOKUP(J736,'11. Cadastro de Serviços'!$A$6:$E$200,2,FALSE),"")</f>
        <v/>
      </c>
      <c r="L736" s="95">
        <f>IFERROR(VLOOKUP(J736,'11. Cadastro de Serviços'!$A$6:$E$200,3,FALSE),"")</f>
        <v/>
      </c>
      <c r="M736" s="95">
        <f>IFERROR(VLOOKUP(J736,'11. Cadastro de Serviços'!$A$6:$E$200,4,FALSE),"")</f>
        <v/>
      </c>
      <c r="N736" s="95" t="n"/>
      <c r="O736" s="95">
        <f>IF(AND(G736&lt;&gt;"",I736&lt;&gt;"",J736&lt;&gt;"",M736&lt;&gt;""),"Rastreado","Revisar")</f>
        <v/>
      </c>
      <c r="P736" s="96" t="n"/>
    </row>
    <row r="737">
      <c r="A737" s="95" t="n"/>
      <c r="B737" s="96" t="n"/>
      <c r="C737" s="96" t="n"/>
      <c r="D737" s="95" t="n"/>
      <c r="E737" s="96" t="n"/>
      <c r="F737" s="96" t="n"/>
      <c r="G737" s="95">
        <f>IFERROR(VLOOKUP(F737,'12. Contratos_OS'!$A$6:$L$1000,2,FALSE),"")</f>
        <v/>
      </c>
      <c r="H737" s="95">
        <f>IFERROR(VLOOKUP(F737,'12. Contratos_OS'!$A$6:$L$1000,3,FALSE),"")</f>
        <v/>
      </c>
      <c r="I737" s="95">
        <f>IFERROR(VLOOKUP(F737,'12. Contratos_OS'!$A$6:$L$1000,4,FALSE),"")</f>
        <v/>
      </c>
      <c r="J737" s="95">
        <f>IFERROR(VLOOKUP(F737,'12. Contratos_OS'!$A$6:$L$1000,7,FALSE),"")</f>
        <v/>
      </c>
      <c r="K737" s="95">
        <f>IFERROR(VLOOKUP(J737,'11. Cadastro de Serviços'!$A$6:$E$200,2,FALSE),"")</f>
        <v/>
      </c>
      <c r="L737" s="95">
        <f>IFERROR(VLOOKUP(J737,'11. Cadastro de Serviços'!$A$6:$E$200,3,FALSE),"")</f>
        <v/>
      </c>
      <c r="M737" s="95">
        <f>IFERROR(VLOOKUP(J737,'11. Cadastro de Serviços'!$A$6:$E$200,4,FALSE),"")</f>
        <v/>
      </c>
      <c r="N737" s="95" t="n"/>
      <c r="O737" s="95">
        <f>IF(AND(G737&lt;&gt;"",I737&lt;&gt;"",J737&lt;&gt;"",M737&lt;&gt;""),"Rastreado","Revisar")</f>
        <v/>
      </c>
      <c r="P737" s="96" t="n"/>
    </row>
    <row r="738">
      <c r="A738" s="95" t="n"/>
      <c r="B738" s="96" t="n"/>
      <c r="C738" s="96" t="n"/>
      <c r="D738" s="95" t="n"/>
      <c r="E738" s="96" t="n"/>
      <c r="F738" s="96" t="n"/>
      <c r="G738" s="95">
        <f>IFERROR(VLOOKUP(F738,'12. Contratos_OS'!$A$6:$L$1000,2,FALSE),"")</f>
        <v/>
      </c>
      <c r="H738" s="95">
        <f>IFERROR(VLOOKUP(F738,'12. Contratos_OS'!$A$6:$L$1000,3,FALSE),"")</f>
        <v/>
      </c>
      <c r="I738" s="95">
        <f>IFERROR(VLOOKUP(F738,'12. Contratos_OS'!$A$6:$L$1000,4,FALSE),"")</f>
        <v/>
      </c>
      <c r="J738" s="95">
        <f>IFERROR(VLOOKUP(F738,'12. Contratos_OS'!$A$6:$L$1000,7,FALSE),"")</f>
        <v/>
      </c>
      <c r="K738" s="95">
        <f>IFERROR(VLOOKUP(J738,'11. Cadastro de Serviços'!$A$6:$E$200,2,FALSE),"")</f>
        <v/>
      </c>
      <c r="L738" s="95">
        <f>IFERROR(VLOOKUP(J738,'11. Cadastro de Serviços'!$A$6:$E$200,3,FALSE),"")</f>
        <v/>
      </c>
      <c r="M738" s="95">
        <f>IFERROR(VLOOKUP(J738,'11. Cadastro de Serviços'!$A$6:$E$200,4,FALSE),"")</f>
        <v/>
      </c>
      <c r="N738" s="95" t="n"/>
      <c r="O738" s="95">
        <f>IF(AND(G738&lt;&gt;"",I738&lt;&gt;"",J738&lt;&gt;"",M738&lt;&gt;""),"Rastreado","Revisar")</f>
        <v/>
      </c>
      <c r="P738" s="96" t="n"/>
    </row>
    <row r="739">
      <c r="A739" s="95" t="n"/>
      <c r="B739" s="96" t="n"/>
      <c r="C739" s="96" t="n"/>
      <c r="D739" s="95" t="n"/>
      <c r="E739" s="96" t="n"/>
      <c r="F739" s="96" t="n"/>
      <c r="G739" s="95">
        <f>IFERROR(VLOOKUP(F739,'12. Contratos_OS'!$A$6:$L$1000,2,FALSE),"")</f>
        <v/>
      </c>
      <c r="H739" s="95">
        <f>IFERROR(VLOOKUP(F739,'12. Contratos_OS'!$A$6:$L$1000,3,FALSE),"")</f>
        <v/>
      </c>
      <c r="I739" s="95">
        <f>IFERROR(VLOOKUP(F739,'12. Contratos_OS'!$A$6:$L$1000,4,FALSE),"")</f>
        <v/>
      </c>
      <c r="J739" s="95">
        <f>IFERROR(VLOOKUP(F739,'12. Contratos_OS'!$A$6:$L$1000,7,FALSE),"")</f>
        <v/>
      </c>
      <c r="K739" s="95">
        <f>IFERROR(VLOOKUP(J739,'11. Cadastro de Serviços'!$A$6:$E$200,2,FALSE),"")</f>
        <v/>
      </c>
      <c r="L739" s="95">
        <f>IFERROR(VLOOKUP(J739,'11. Cadastro de Serviços'!$A$6:$E$200,3,FALSE),"")</f>
        <v/>
      </c>
      <c r="M739" s="95">
        <f>IFERROR(VLOOKUP(J739,'11. Cadastro de Serviços'!$A$6:$E$200,4,FALSE),"")</f>
        <v/>
      </c>
      <c r="N739" s="95" t="n"/>
      <c r="O739" s="95">
        <f>IF(AND(G739&lt;&gt;"",I739&lt;&gt;"",J739&lt;&gt;"",M739&lt;&gt;""),"Rastreado","Revisar")</f>
        <v/>
      </c>
      <c r="P739" s="96" t="n"/>
    </row>
    <row r="740">
      <c r="A740" s="95" t="n"/>
      <c r="B740" s="96" t="n"/>
      <c r="C740" s="96" t="n"/>
      <c r="D740" s="95" t="n"/>
      <c r="E740" s="96" t="n"/>
      <c r="F740" s="96" t="n"/>
      <c r="G740" s="95">
        <f>IFERROR(VLOOKUP(F740,'12. Contratos_OS'!$A$6:$L$1000,2,FALSE),"")</f>
        <v/>
      </c>
      <c r="H740" s="95">
        <f>IFERROR(VLOOKUP(F740,'12. Contratos_OS'!$A$6:$L$1000,3,FALSE),"")</f>
        <v/>
      </c>
      <c r="I740" s="95">
        <f>IFERROR(VLOOKUP(F740,'12. Contratos_OS'!$A$6:$L$1000,4,FALSE),"")</f>
        <v/>
      </c>
      <c r="J740" s="95">
        <f>IFERROR(VLOOKUP(F740,'12. Contratos_OS'!$A$6:$L$1000,7,FALSE),"")</f>
        <v/>
      </c>
      <c r="K740" s="95">
        <f>IFERROR(VLOOKUP(J740,'11. Cadastro de Serviços'!$A$6:$E$200,2,FALSE),"")</f>
        <v/>
      </c>
      <c r="L740" s="95">
        <f>IFERROR(VLOOKUP(J740,'11. Cadastro de Serviços'!$A$6:$E$200,3,FALSE),"")</f>
        <v/>
      </c>
      <c r="M740" s="95">
        <f>IFERROR(VLOOKUP(J740,'11. Cadastro de Serviços'!$A$6:$E$200,4,FALSE),"")</f>
        <v/>
      </c>
      <c r="N740" s="95" t="n"/>
      <c r="O740" s="95">
        <f>IF(AND(G740&lt;&gt;"",I740&lt;&gt;"",J740&lt;&gt;"",M740&lt;&gt;""),"Rastreado","Revisar")</f>
        <v/>
      </c>
      <c r="P740" s="96" t="n"/>
    </row>
    <row r="741">
      <c r="A741" s="95" t="n"/>
      <c r="B741" s="96" t="n"/>
      <c r="C741" s="96" t="n"/>
      <c r="D741" s="95" t="n"/>
      <c r="E741" s="96" t="n"/>
      <c r="F741" s="96" t="n"/>
      <c r="G741" s="95">
        <f>IFERROR(VLOOKUP(F741,'12. Contratos_OS'!$A$6:$L$1000,2,FALSE),"")</f>
        <v/>
      </c>
      <c r="H741" s="95">
        <f>IFERROR(VLOOKUP(F741,'12. Contratos_OS'!$A$6:$L$1000,3,FALSE),"")</f>
        <v/>
      </c>
      <c r="I741" s="95">
        <f>IFERROR(VLOOKUP(F741,'12. Contratos_OS'!$A$6:$L$1000,4,FALSE),"")</f>
        <v/>
      </c>
      <c r="J741" s="95">
        <f>IFERROR(VLOOKUP(F741,'12. Contratos_OS'!$A$6:$L$1000,7,FALSE),"")</f>
        <v/>
      </c>
      <c r="K741" s="95">
        <f>IFERROR(VLOOKUP(J741,'11. Cadastro de Serviços'!$A$6:$E$200,2,FALSE),"")</f>
        <v/>
      </c>
      <c r="L741" s="95">
        <f>IFERROR(VLOOKUP(J741,'11. Cadastro de Serviços'!$A$6:$E$200,3,FALSE),"")</f>
        <v/>
      </c>
      <c r="M741" s="95">
        <f>IFERROR(VLOOKUP(J741,'11. Cadastro de Serviços'!$A$6:$E$200,4,FALSE),"")</f>
        <v/>
      </c>
      <c r="N741" s="95" t="n"/>
      <c r="O741" s="95">
        <f>IF(AND(G741&lt;&gt;"",I741&lt;&gt;"",J741&lt;&gt;"",M741&lt;&gt;""),"Rastreado","Revisar")</f>
        <v/>
      </c>
      <c r="P741" s="96" t="n"/>
    </row>
    <row r="742">
      <c r="A742" s="95" t="n"/>
      <c r="B742" s="96" t="n"/>
      <c r="C742" s="96" t="n"/>
      <c r="D742" s="95" t="n"/>
      <c r="E742" s="96" t="n"/>
      <c r="F742" s="96" t="n"/>
      <c r="G742" s="95">
        <f>IFERROR(VLOOKUP(F742,'12. Contratos_OS'!$A$6:$L$1000,2,FALSE),"")</f>
        <v/>
      </c>
      <c r="H742" s="95">
        <f>IFERROR(VLOOKUP(F742,'12. Contratos_OS'!$A$6:$L$1000,3,FALSE),"")</f>
        <v/>
      </c>
      <c r="I742" s="95">
        <f>IFERROR(VLOOKUP(F742,'12. Contratos_OS'!$A$6:$L$1000,4,FALSE),"")</f>
        <v/>
      </c>
      <c r="J742" s="95">
        <f>IFERROR(VLOOKUP(F742,'12. Contratos_OS'!$A$6:$L$1000,7,FALSE),"")</f>
        <v/>
      </c>
      <c r="K742" s="95">
        <f>IFERROR(VLOOKUP(J742,'11. Cadastro de Serviços'!$A$6:$E$200,2,FALSE),"")</f>
        <v/>
      </c>
      <c r="L742" s="95">
        <f>IFERROR(VLOOKUP(J742,'11. Cadastro de Serviços'!$A$6:$E$200,3,FALSE),"")</f>
        <v/>
      </c>
      <c r="M742" s="95">
        <f>IFERROR(VLOOKUP(J742,'11. Cadastro de Serviços'!$A$6:$E$200,4,FALSE),"")</f>
        <v/>
      </c>
      <c r="N742" s="95" t="n"/>
      <c r="O742" s="95">
        <f>IF(AND(G742&lt;&gt;"",I742&lt;&gt;"",J742&lt;&gt;"",M742&lt;&gt;""),"Rastreado","Revisar")</f>
        <v/>
      </c>
      <c r="P742" s="96" t="n"/>
    </row>
    <row r="743">
      <c r="A743" s="95" t="n"/>
      <c r="B743" s="96" t="n"/>
      <c r="C743" s="96" t="n"/>
      <c r="D743" s="95" t="n"/>
      <c r="E743" s="96" t="n"/>
      <c r="F743" s="96" t="n"/>
      <c r="G743" s="95">
        <f>IFERROR(VLOOKUP(F743,'12. Contratos_OS'!$A$6:$L$1000,2,FALSE),"")</f>
        <v/>
      </c>
      <c r="H743" s="95">
        <f>IFERROR(VLOOKUP(F743,'12. Contratos_OS'!$A$6:$L$1000,3,FALSE),"")</f>
        <v/>
      </c>
      <c r="I743" s="95">
        <f>IFERROR(VLOOKUP(F743,'12. Contratos_OS'!$A$6:$L$1000,4,FALSE),"")</f>
        <v/>
      </c>
      <c r="J743" s="95">
        <f>IFERROR(VLOOKUP(F743,'12. Contratos_OS'!$A$6:$L$1000,7,FALSE),"")</f>
        <v/>
      </c>
      <c r="K743" s="95">
        <f>IFERROR(VLOOKUP(J743,'11. Cadastro de Serviços'!$A$6:$E$200,2,FALSE),"")</f>
        <v/>
      </c>
      <c r="L743" s="95">
        <f>IFERROR(VLOOKUP(J743,'11. Cadastro de Serviços'!$A$6:$E$200,3,FALSE),"")</f>
        <v/>
      </c>
      <c r="M743" s="95">
        <f>IFERROR(VLOOKUP(J743,'11. Cadastro de Serviços'!$A$6:$E$200,4,FALSE),"")</f>
        <v/>
      </c>
      <c r="N743" s="95" t="n"/>
      <c r="O743" s="95">
        <f>IF(AND(G743&lt;&gt;"",I743&lt;&gt;"",J743&lt;&gt;"",M743&lt;&gt;""),"Rastreado","Revisar")</f>
        <v/>
      </c>
      <c r="P743" s="96" t="n"/>
    </row>
    <row r="744">
      <c r="A744" s="95" t="n"/>
      <c r="B744" s="96" t="n"/>
      <c r="C744" s="96" t="n"/>
      <c r="D744" s="95" t="n"/>
      <c r="E744" s="96" t="n"/>
      <c r="F744" s="96" t="n"/>
      <c r="G744" s="95">
        <f>IFERROR(VLOOKUP(F744,'12. Contratos_OS'!$A$6:$L$1000,2,FALSE),"")</f>
        <v/>
      </c>
      <c r="H744" s="95">
        <f>IFERROR(VLOOKUP(F744,'12. Contratos_OS'!$A$6:$L$1000,3,FALSE),"")</f>
        <v/>
      </c>
      <c r="I744" s="95">
        <f>IFERROR(VLOOKUP(F744,'12. Contratos_OS'!$A$6:$L$1000,4,FALSE),"")</f>
        <v/>
      </c>
      <c r="J744" s="95">
        <f>IFERROR(VLOOKUP(F744,'12. Contratos_OS'!$A$6:$L$1000,7,FALSE),"")</f>
        <v/>
      </c>
      <c r="K744" s="95">
        <f>IFERROR(VLOOKUP(J744,'11. Cadastro de Serviços'!$A$6:$E$200,2,FALSE),"")</f>
        <v/>
      </c>
      <c r="L744" s="95">
        <f>IFERROR(VLOOKUP(J744,'11. Cadastro de Serviços'!$A$6:$E$200,3,FALSE),"")</f>
        <v/>
      </c>
      <c r="M744" s="95">
        <f>IFERROR(VLOOKUP(J744,'11. Cadastro de Serviços'!$A$6:$E$200,4,FALSE),"")</f>
        <v/>
      </c>
      <c r="N744" s="95" t="n"/>
      <c r="O744" s="95">
        <f>IF(AND(G744&lt;&gt;"",I744&lt;&gt;"",J744&lt;&gt;"",M744&lt;&gt;""),"Rastreado","Revisar")</f>
        <v/>
      </c>
      <c r="P744" s="96" t="n"/>
    </row>
    <row r="745">
      <c r="A745" s="95" t="n"/>
      <c r="B745" s="96" t="n"/>
      <c r="C745" s="96" t="n"/>
      <c r="D745" s="95" t="n"/>
      <c r="E745" s="96" t="n"/>
      <c r="F745" s="96" t="n"/>
      <c r="G745" s="95">
        <f>IFERROR(VLOOKUP(F745,'12. Contratos_OS'!$A$6:$L$1000,2,FALSE),"")</f>
        <v/>
      </c>
      <c r="H745" s="95">
        <f>IFERROR(VLOOKUP(F745,'12. Contratos_OS'!$A$6:$L$1000,3,FALSE),"")</f>
        <v/>
      </c>
      <c r="I745" s="95">
        <f>IFERROR(VLOOKUP(F745,'12. Contratos_OS'!$A$6:$L$1000,4,FALSE),"")</f>
        <v/>
      </c>
      <c r="J745" s="95">
        <f>IFERROR(VLOOKUP(F745,'12. Contratos_OS'!$A$6:$L$1000,7,FALSE),"")</f>
        <v/>
      </c>
      <c r="K745" s="95">
        <f>IFERROR(VLOOKUP(J745,'11. Cadastro de Serviços'!$A$6:$E$200,2,FALSE),"")</f>
        <v/>
      </c>
      <c r="L745" s="95">
        <f>IFERROR(VLOOKUP(J745,'11. Cadastro de Serviços'!$A$6:$E$200,3,FALSE),"")</f>
        <v/>
      </c>
      <c r="M745" s="95">
        <f>IFERROR(VLOOKUP(J745,'11. Cadastro de Serviços'!$A$6:$E$200,4,FALSE),"")</f>
        <v/>
      </c>
      <c r="N745" s="95" t="n"/>
      <c r="O745" s="95">
        <f>IF(AND(G745&lt;&gt;"",I745&lt;&gt;"",J745&lt;&gt;"",M745&lt;&gt;""),"Rastreado","Revisar")</f>
        <v/>
      </c>
      <c r="P745" s="96" t="n"/>
    </row>
    <row r="746">
      <c r="A746" s="95" t="n"/>
      <c r="B746" s="96" t="n"/>
      <c r="C746" s="96" t="n"/>
      <c r="D746" s="95" t="n"/>
      <c r="E746" s="96" t="n"/>
      <c r="F746" s="96" t="n"/>
      <c r="G746" s="95">
        <f>IFERROR(VLOOKUP(F746,'12. Contratos_OS'!$A$6:$L$1000,2,FALSE),"")</f>
        <v/>
      </c>
      <c r="H746" s="95">
        <f>IFERROR(VLOOKUP(F746,'12. Contratos_OS'!$A$6:$L$1000,3,FALSE),"")</f>
        <v/>
      </c>
      <c r="I746" s="95">
        <f>IFERROR(VLOOKUP(F746,'12. Contratos_OS'!$A$6:$L$1000,4,FALSE),"")</f>
        <v/>
      </c>
      <c r="J746" s="95">
        <f>IFERROR(VLOOKUP(F746,'12. Contratos_OS'!$A$6:$L$1000,7,FALSE),"")</f>
        <v/>
      </c>
      <c r="K746" s="95">
        <f>IFERROR(VLOOKUP(J746,'11. Cadastro de Serviços'!$A$6:$E$200,2,FALSE),"")</f>
        <v/>
      </c>
      <c r="L746" s="95">
        <f>IFERROR(VLOOKUP(J746,'11. Cadastro de Serviços'!$A$6:$E$200,3,FALSE),"")</f>
        <v/>
      </c>
      <c r="M746" s="95">
        <f>IFERROR(VLOOKUP(J746,'11. Cadastro de Serviços'!$A$6:$E$200,4,FALSE),"")</f>
        <v/>
      </c>
      <c r="N746" s="95" t="n"/>
      <c r="O746" s="95">
        <f>IF(AND(G746&lt;&gt;"",I746&lt;&gt;"",J746&lt;&gt;"",M746&lt;&gt;""),"Rastreado","Revisar")</f>
        <v/>
      </c>
      <c r="P746" s="96" t="n"/>
    </row>
    <row r="747">
      <c r="A747" s="95" t="n"/>
      <c r="B747" s="96" t="n"/>
      <c r="C747" s="96" t="n"/>
      <c r="D747" s="95" t="n"/>
      <c r="E747" s="96" t="n"/>
      <c r="F747" s="96" t="n"/>
      <c r="G747" s="95">
        <f>IFERROR(VLOOKUP(F747,'12. Contratos_OS'!$A$6:$L$1000,2,FALSE),"")</f>
        <v/>
      </c>
      <c r="H747" s="95">
        <f>IFERROR(VLOOKUP(F747,'12. Contratos_OS'!$A$6:$L$1000,3,FALSE),"")</f>
        <v/>
      </c>
      <c r="I747" s="95">
        <f>IFERROR(VLOOKUP(F747,'12. Contratos_OS'!$A$6:$L$1000,4,FALSE),"")</f>
        <v/>
      </c>
      <c r="J747" s="95">
        <f>IFERROR(VLOOKUP(F747,'12. Contratos_OS'!$A$6:$L$1000,7,FALSE),"")</f>
        <v/>
      </c>
      <c r="K747" s="95">
        <f>IFERROR(VLOOKUP(J747,'11. Cadastro de Serviços'!$A$6:$E$200,2,FALSE),"")</f>
        <v/>
      </c>
      <c r="L747" s="95">
        <f>IFERROR(VLOOKUP(J747,'11. Cadastro de Serviços'!$A$6:$E$200,3,FALSE),"")</f>
        <v/>
      </c>
      <c r="M747" s="95">
        <f>IFERROR(VLOOKUP(J747,'11. Cadastro de Serviços'!$A$6:$E$200,4,FALSE),"")</f>
        <v/>
      </c>
      <c r="N747" s="95" t="n"/>
      <c r="O747" s="95">
        <f>IF(AND(G747&lt;&gt;"",I747&lt;&gt;"",J747&lt;&gt;"",M747&lt;&gt;""),"Rastreado","Revisar")</f>
        <v/>
      </c>
      <c r="P747" s="96" t="n"/>
    </row>
    <row r="748">
      <c r="A748" s="95" t="n"/>
      <c r="B748" s="96" t="n"/>
      <c r="C748" s="96" t="n"/>
      <c r="D748" s="95" t="n"/>
      <c r="E748" s="96" t="n"/>
      <c r="F748" s="96" t="n"/>
      <c r="G748" s="95">
        <f>IFERROR(VLOOKUP(F748,'12. Contratos_OS'!$A$6:$L$1000,2,FALSE),"")</f>
        <v/>
      </c>
      <c r="H748" s="95">
        <f>IFERROR(VLOOKUP(F748,'12. Contratos_OS'!$A$6:$L$1000,3,FALSE),"")</f>
        <v/>
      </c>
      <c r="I748" s="95">
        <f>IFERROR(VLOOKUP(F748,'12. Contratos_OS'!$A$6:$L$1000,4,FALSE),"")</f>
        <v/>
      </c>
      <c r="J748" s="95">
        <f>IFERROR(VLOOKUP(F748,'12. Contratos_OS'!$A$6:$L$1000,7,FALSE),"")</f>
        <v/>
      </c>
      <c r="K748" s="95">
        <f>IFERROR(VLOOKUP(J748,'11. Cadastro de Serviços'!$A$6:$E$200,2,FALSE),"")</f>
        <v/>
      </c>
      <c r="L748" s="95">
        <f>IFERROR(VLOOKUP(J748,'11. Cadastro de Serviços'!$A$6:$E$200,3,FALSE),"")</f>
        <v/>
      </c>
      <c r="M748" s="95">
        <f>IFERROR(VLOOKUP(J748,'11. Cadastro de Serviços'!$A$6:$E$200,4,FALSE),"")</f>
        <v/>
      </c>
      <c r="N748" s="95" t="n"/>
      <c r="O748" s="95">
        <f>IF(AND(G748&lt;&gt;"",I748&lt;&gt;"",J748&lt;&gt;"",M748&lt;&gt;""),"Rastreado","Revisar")</f>
        <v/>
      </c>
      <c r="P748" s="96" t="n"/>
    </row>
    <row r="749">
      <c r="A749" s="95" t="n"/>
      <c r="B749" s="96" t="n"/>
      <c r="C749" s="96" t="n"/>
      <c r="D749" s="95" t="n"/>
      <c r="E749" s="96" t="n"/>
      <c r="F749" s="96" t="n"/>
      <c r="G749" s="95">
        <f>IFERROR(VLOOKUP(F749,'12. Contratos_OS'!$A$6:$L$1000,2,FALSE),"")</f>
        <v/>
      </c>
      <c r="H749" s="95">
        <f>IFERROR(VLOOKUP(F749,'12. Contratos_OS'!$A$6:$L$1000,3,FALSE),"")</f>
        <v/>
      </c>
      <c r="I749" s="95">
        <f>IFERROR(VLOOKUP(F749,'12. Contratos_OS'!$A$6:$L$1000,4,FALSE),"")</f>
        <v/>
      </c>
      <c r="J749" s="95">
        <f>IFERROR(VLOOKUP(F749,'12. Contratos_OS'!$A$6:$L$1000,7,FALSE),"")</f>
        <v/>
      </c>
      <c r="K749" s="95">
        <f>IFERROR(VLOOKUP(J749,'11. Cadastro de Serviços'!$A$6:$E$200,2,FALSE),"")</f>
        <v/>
      </c>
      <c r="L749" s="95">
        <f>IFERROR(VLOOKUP(J749,'11. Cadastro de Serviços'!$A$6:$E$200,3,FALSE),"")</f>
        <v/>
      </c>
      <c r="M749" s="95">
        <f>IFERROR(VLOOKUP(J749,'11. Cadastro de Serviços'!$A$6:$E$200,4,FALSE),"")</f>
        <v/>
      </c>
      <c r="N749" s="95" t="n"/>
      <c r="O749" s="95">
        <f>IF(AND(G749&lt;&gt;"",I749&lt;&gt;"",J749&lt;&gt;"",M749&lt;&gt;""),"Rastreado","Revisar")</f>
        <v/>
      </c>
      <c r="P749" s="96" t="n"/>
    </row>
    <row r="750">
      <c r="A750" s="95" t="n"/>
      <c r="B750" s="96" t="n"/>
      <c r="C750" s="96" t="n"/>
      <c r="D750" s="95" t="n"/>
      <c r="E750" s="96" t="n"/>
      <c r="F750" s="96" t="n"/>
      <c r="G750" s="95">
        <f>IFERROR(VLOOKUP(F750,'12. Contratos_OS'!$A$6:$L$1000,2,FALSE),"")</f>
        <v/>
      </c>
      <c r="H750" s="95">
        <f>IFERROR(VLOOKUP(F750,'12. Contratos_OS'!$A$6:$L$1000,3,FALSE),"")</f>
        <v/>
      </c>
      <c r="I750" s="95">
        <f>IFERROR(VLOOKUP(F750,'12. Contratos_OS'!$A$6:$L$1000,4,FALSE),"")</f>
        <v/>
      </c>
      <c r="J750" s="95">
        <f>IFERROR(VLOOKUP(F750,'12. Contratos_OS'!$A$6:$L$1000,7,FALSE),"")</f>
        <v/>
      </c>
      <c r="K750" s="95">
        <f>IFERROR(VLOOKUP(J750,'11. Cadastro de Serviços'!$A$6:$E$200,2,FALSE),"")</f>
        <v/>
      </c>
      <c r="L750" s="95">
        <f>IFERROR(VLOOKUP(J750,'11. Cadastro de Serviços'!$A$6:$E$200,3,FALSE),"")</f>
        <v/>
      </c>
      <c r="M750" s="95">
        <f>IFERROR(VLOOKUP(J750,'11. Cadastro de Serviços'!$A$6:$E$200,4,FALSE),"")</f>
        <v/>
      </c>
      <c r="N750" s="95" t="n"/>
      <c r="O750" s="95">
        <f>IF(AND(G750&lt;&gt;"",I750&lt;&gt;"",J750&lt;&gt;"",M750&lt;&gt;""),"Rastreado","Revisar")</f>
        <v/>
      </c>
      <c r="P750" s="96" t="n"/>
    </row>
    <row r="751">
      <c r="A751" s="95" t="n"/>
      <c r="B751" s="96" t="n"/>
      <c r="C751" s="96" t="n"/>
      <c r="D751" s="95" t="n"/>
      <c r="E751" s="96" t="n"/>
      <c r="F751" s="96" t="n"/>
      <c r="G751" s="95">
        <f>IFERROR(VLOOKUP(F751,'12. Contratos_OS'!$A$6:$L$1000,2,FALSE),"")</f>
        <v/>
      </c>
      <c r="H751" s="95">
        <f>IFERROR(VLOOKUP(F751,'12. Contratos_OS'!$A$6:$L$1000,3,FALSE),"")</f>
        <v/>
      </c>
      <c r="I751" s="95">
        <f>IFERROR(VLOOKUP(F751,'12. Contratos_OS'!$A$6:$L$1000,4,FALSE),"")</f>
        <v/>
      </c>
      <c r="J751" s="95">
        <f>IFERROR(VLOOKUP(F751,'12. Contratos_OS'!$A$6:$L$1000,7,FALSE),"")</f>
        <v/>
      </c>
      <c r="K751" s="95">
        <f>IFERROR(VLOOKUP(J751,'11. Cadastro de Serviços'!$A$6:$E$200,2,FALSE),"")</f>
        <v/>
      </c>
      <c r="L751" s="95">
        <f>IFERROR(VLOOKUP(J751,'11. Cadastro de Serviços'!$A$6:$E$200,3,FALSE),"")</f>
        <v/>
      </c>
      <c r="M751" s="95">
        <f>IFERROR(VLOOKUP(J751,'11. Cadastro de Serviços'!$A$6:$E$200,4,FALSE),"")</f>
        <v/>
      </c>
      <c r="N751" s="95" t="n"/>
      <c r="O751" s="95">
        <f>IF(AND(G751&lt;&gt;"",I751&lt;&gt;"",J751&lt;&gt;"",M751&lt;&gt;""),"Rastreado","Revisar")</f>
        <v/>
      </c>
      <c r="P751" s="96" t="n"/>
    </row>
    <row r="752">
      <c r="A752" s="95" t="n"/>
      <c r="B752" s="96" t="n"/>
      <c r="C752" s="96" t="n"/>
      <c r="D752" s="95" t="n"/>
      <c r="E752" s="96" t="n"/>
      <c r="F752" s="96" t="n"/>
      <c r="G752" s="95">
        <f>IFERROR(VLOOKUP(F752,'12. Contratos_OS'!$A$6:$L$1000,2,FALSE),"")</f>
        <v/>
      </c>
      <c r="H752" s="95">
        <f>IFERROR(VLOOKUP(F752,'12. Contratos_OS'!$A$6:$L$1000,3,FALSE),"")</f>
        <v/>
      </c>
      <c r="I752" s="95">
        <f>IFERROR(VLOOKUP(F752,'12. Contratos_OS'!$A$6:$L$1000,4,FALSE),"")</f>
        <v/>
      </c>
      <c r="J752" s="95">
        <f>IFERROR(VLOOKUP(F752,'12. Contratos_OS'!$A$6:$L$1000,7,FALSE),"")</f>
        <v/>
      </c>
      <c r="K752" s="95">
        <f>IFERROR(VLOOKUP(J752,'11. Cadastro de Serviços'!$A$6:$E$200,2,FALSE),"")</f>
        <v/>
      </c>
      <c r="L752" s="95">
        <f>IFERROR(VLOOKUP(J752,'11. Cadastro de Serviços'!$A$6:$E$200,3,FALSE),"")</f>
        <v/>
      </c>
      <c r="M752" s="95">
        <f>IFERROR(VLOOKUP(J752,'11. Cadastro de Serviços'!$A$6:$E$200,4,FALSE),"")</f>
        <v/>
      </c>
      <c r="N752" s="95" t="n"/>
      <c r="O752" s="95">
        <f>IF(AND(G752&lt;&gt;"",I752&lt;&gt;"",J752&lt;&gt;"",M752&lt;&gt;""),"Rastreado","Revisar")</f>
        <v/>
      </c>
      <c r="P752" s="96" t="n"/>
    </row>
    <row r="753">
      <c r="A753" s="95" t="n"/>
      <c r="B753" s="96" t="n"/>
      <c r="C753" s="96" t="n"/>
      <c r="D753" s="95" t="n"/>
      <c r="E753" s="96" t="n"/>
      <c r="F753" s="96" t="n"/>
      <c r="G753" s="95">
        <f>IFERROR(VLOOKUP(F753,'12. Contratos_OS'!$A$6:$L$1000,2,FALSE),"")</f>
        <v/>
      </c>
      <c r="H753" s="95">
        <f>IFERROR(VLOOKUP(F753,'12. Contratos_OS'!$A$6:$L$1000,3,FALSE),"")</f>
        <v/>
      </c>
      <c r="I753" s="95">
        <f>IFERROR(VLOOKUP(F753,'12. Contratos_OS'!$A$6:$L$1000,4,FALSE),"")</f>
        <v/>
      </c>
      <c r="J753" s="95">
        <f>IFERROR(VLOOKUP(F753,'12. Contratos_OS'!$A$6:$L$1000,7,FALSE),"")</f>
        <v/>
      </c>
      <c r="K753" s="95">
        <f>IFERROR(VLOOKUP(J753,'11. Cadastro de Serviços'!$A$6:$E$200,2,FALSE),"")</f>
        <v/>
      </c>
      <c r="L753" s="95">
        <f>IFERROR(VLOOKUP(J753,'11. Cadastro de Serviços'!$A$6:$E$200,3,FALSE),"")</f>
        <v/>
      </c>
      <c r="M753" s="95">
        <f>IFERROR(VLOOKUP(J753,'11. Cadastro de Serviços'!$A$6:$E$200,4,FALSE),"")</f>
        <v/>
      </c>
      <c r="N753" s="95" t="n"/>
      <c r="O753" s="95">
        <f>IF(AND(G753&lt;&gt;"",I753&lt;&gt;"",J753&lt;&gt;"",M753&lt;&gt;""),"Rastreado","Revisar")</f>
        <v/>
      </c>
      <c r="P753" s="96" t="n"/>
    </row>
    <row r="754">
      <c r="A754" s="95" t="n"/>
      <c r="B754" s="96" t="n"/>
      <c r="C754" s="96" t="n"/>
      <c r="D754" s="95" t="n"/>
      <c r="E754" s="96" t="n"/>
      <c r="F754" s="96" t="n"/>
      <c r="G754" s="95">
        <f>IFERROR(VLOOKUP(F754,'12. Contratos_OS'!$A$6:$L$1000,2,FALSE),"")</f>
        <v/>
      </c>
      <c r="H754" s="95">
        <f>IFERROR(VLOOKUP(F754,'12. Contratos_OS'!$A$6:$L$1000,3,FALSE),"")</f>
        <v/>
      </c>
      <c r="I754" s="95">
        <f>IFERROR(VLOOKUP(F754,'12. Contratos_OS'!$A$6:$L$1000,4,FALSE),"")</f>
        <v/>
      </c>
      <c r="J754" s="95">
        <f>IFERROR(VLOOKUP(F754,'12. Contratos_OS'!$A$6:$L$1000,7,FALSE),"")</f>
        <v/>
      </c>
      <c r="K754" s="95">
        <f>IFERROR(VLOOKUP(J754,'11. Cadastro de Serviços'!$A$6:$E$200,2,FALSE),"")</f>
        <v/>
      </c>
      <c r="L754" s="95">
        <f>IFERROR(VLOOKUP(J754,'11. Cadastro de Serviços'!$A$6:$E$200,3,FALSE),"")</f>
        <v/>
      </c>
      <c r="M754" s="95">
        <f>IFERROR(VLOOKUP(J754,'11. Cadastro de Serviços'!$A$6:$E$200,4,FALSE),"")</f>
        <v/>
      </c>
      <c r="N754" s="95" t="n"/>
      <c r="O754" s="95">
        <f>IF(AND(G754&lt;&gt;"",I754&lt;&gt;"",J754&lt;&gt;"",M754&lt;&gt;""),"Rastreado","Revisar")</f>
        <v/>
      </c>
      <c r="P754" s="96" t="n"/>
    </row>
    <row r="755">
      <c r="A755" s="95" t="n"/>
      <c r="B755" s="96" t="n"/>
      <c r="C755" s="96" t="n"/>
      <c r="D755" s="95" t="n"/>
      <c r="E755" s="96" t="n"/>
      <c r="F755" s="96" t="n"/>
      <c r="G755" s="95">
        <f>IFERROR(VLOOKUP(F755,'12. Contratos_OS'!$A$6:$L$1000,2,FALSE),"")</f>
        <v/>
      </c>
      <c r="H755" s="95">
        <f>IFERROR(VLOOKUP(F755,'12. Contratos_OS'!$A$6:$L$1000,3,FALSE),"")</f>
        <v/>
      </c>
      <c r="I755" s="95">
        <f>IFERROR(VLOOKUP(F755,'12. Contratos_OS'!$A$6:$L$1000,4,FALSE),"")</f>
        <v/>
      </c>
      <c r="J755" s="95">
        <f>IFERROR(VLOOKUP(F755,'12. Contratos_OS'!$A$6:$L$1000,7,FALSE),"")</f>
        <v/>
      </c>
      <c r="K755" s="95">
        <f>IFERROR(VLOOKUP(J755,'11. Cadastro de Serviços'!$A$6:$E$200,2,FALSE),"")</f>
        <v/>
      </c>
      <c r="L755" s="95">
        <f>IFERROR(VLOOKUP(J755,'11. Cadastro de Serviços'!$A$6:$E$200,3,FALSE),"")</f>
        <v/>
      </c>
      <c r="M755" s="95">
        <f>IFERROR(VLOOKUP(J755,'11. Cadastro de Serviços'!$A$6:$E$200,4,FALSE),"")</f>
        <v/>
      </c>
      <c r="N755" s="95" t="n"/>
      <c r="O755" s="95">
        <f>IF(AND(G755&lt;&gt;"",I755&lt;&gt;"",J755&lt;&gt;"",M755&lt;&gt;""),"Rastreado","Revisar")</f>
        <v/>
      </c>
      <c r="P755" s="96" t="n"/>
    </row>
    <row r="756">
      <c r="A756" s="95" t="n"/>
      <c r="B756" s="96" t="n"/>
      <c r="C756" s="96" t="n"/>
      <c r="D756" s="95" t="n"/>
      <c r="E756" s="96" t="n"/>
      <c r="F756" s="96" t="n"/>
      <c r="G756" s="95">
        <f>IFERROR(VLOOKUP(F756,'12. Contratos_OS'!$A$6:$L$1000,2,FALSE),"")</f>
        <v/>
      </c>
      <c r="H756" s="95">
        <f>IFERROR(VLOOKUP(F756,'12. Contratos_OS'!$A$6:$L$1000,3,FALSE),"")</f>
        <v/>
      </c>
      <c r="I756" s="95">
        <f>IFERROR(VLOOKUP(F756,'12. Contratos_OS'!$A$6:$L$1000,4,FALSE),"")</f>
        <v/>
      </c>
      <c r="J756" s="95">
        <f>IFERROR(VLOOKUP(F756,'12. Contratos_OS'!$A$6:$L$1000,7,FALSE),"")</f>
        <v/>
      </c>
      <c r="K756" s="95">
        <f>IFERROR(VLOOKUP(J756,'11. Cadastro de Serviços'!$A$6:$E$200,2,FALSE),"")</f>
        <v/>
      </c>
      <c r="L756" s="95">
        <f>IFERROR(VLOOKUP(J756,'11. Cadastro de Serviços'!$A$6:$E$200,3,FALSE),"")</f>
        <v/>
      </c>
      <c r="M756" s="95">
        <f>IFERROR(VLOOKUP(J756,'11. Cadastro de Serviços'!$A$6:$E$200,4,FALSE),"")</f>
        <v/>
      </c>
      <c r="N756" s="95" t="n"/>
      <c r="O756" s="95">
        <f>IF(AND(G756&lt;&gt;"",I756&lt;&gt;"",J756&lt;&gt;"",M756&lt;&gt;""),"Rastreado","Revisar")</f>
        <v/>
      </c>
      <c r="P756" s="96" t="n"/>
    </row>
    <row r="757">
      <c r="A757" s="95" t="n"/>
      <c r="B757" s="96" t="n"/>
      <c r="C757" s="96" t="n"/>
      <c r="D757" s="95" t="n"/>
      <c r="E757" s="96" t="n"/>
      <c r="F757" s="96" t="n"/>
      <c r="G757" s="95">
        <f>IFERROR(VLOOKUP(F757,'12. Contratos_OS'!$A$6:$L$1000,2,FALSE),"")</f>
        <v/>
      </c>
      <c r="H757" s="95">
        <f>IFERROR(VLOOKUP(F757,'12. Contratos_OS'!$A$6:$L$1000,3,FALSE),"")</f>
        <v/>
      </c>
      <c r="I757" s="95">
        <f>IFERROR(VLOOKUP(F757,'12. Contratos_OS'!$A$6:$L$1000,4,FALSE),"")</f>
        <v/>
      </c>
      <c r="J757" s="95">
        <f>IFERROR(VLOOKUP(F757,'12. Contratos_OS'!$A$6:$L$1000,7,FALSE),"")</f>
        <v/>
      </c>
      <c r="K757" s="95">
        <f>IFERROR(VLOOKUP(J757,'11. Cadastro de Serviços'!$A$6:$E$200,2,FALSE),"")</f>
        <v/>
      </c>
      <c r="L757" s="95">
        <f>IFERROR(VLOOKUP(J757,'11. Cadastro de Serviços'!$A$6:$E$200,3,FALSE),"")</f>
        <v/>
      </c>
      <c r="M757" s="95">
        <f>IFERROR(VLOOKUP(J757,'11. Cadastro de Serviços'!$A$6:$E$200,4,FALSE),"")</f>
        <v/>
      </c>
      <c r="N757" s="95" t="n"/>
      <c r="O757" s="95">
        <f>IF(AND(G757&lt;&gt;"",I757&lt;&gt;"",J757&lt;&gt;"",M757&lt;&gt;""),"Rastreado","Revisar")</f>
        <v/>
      </c>
      <c r="P757" s="96" t="n"/>
    </row>
    <row r="758">
      <c r="A758" s="95" t="n"/>
      <c r="B758" s="96" t="n"/>
      <c r="C758" s="96" t="n"/>
      <c r="D758" s="95" t="n"/>
      <c r="E758" s="96" t="n"/>
      <c r="F758" s="96" t="n"/>
      <c r="G758" s="95">
        <f>IFERROR(VLOOKUP(F758,'12. Contratos_OS'!$A$6:$L$1000,2,FALSE),"")</f>
        <v/>
      </c>
      <c r="H758" s="95">
        <f>IFERROR(VLOOKUP(F758,'12. Contratos_OS'!$A$6:$L$1000,3,FALSE),"")</f>
        <v/>
      </c>
      <c r="I758" s="95">
        <f>IFERROR(VLOOKUP(F758,'12. Contratos_OS'!$A$6:$L$1000,4,FALSE),"")</f>
        <v/>
      </c>
      <c r="J758" s="95">
        <f>IFERROR(VLOOKUP(F758,'12. Contratos_OS'!$A$6:$L$1000,7,FALSE),"")</f>
        <v/>
      </c>
      <c r="K758" s="95">
        <f>IFERROR(VLOOKUP(J758,'11. Cadastro de Serviços'!$A$6:$E$200,2,FALSE),"")</f>
        <v/>
      </c>
      <c r="L758" s="95">
        <f>IFERROR(VLOOKUP(J758,'11. Cadastro de Serviços'!$A$6:$E$200,3,FALSE),"")</f>
        <v/>
      </c>
      <c r="M758" s="95">
        <f>IFERROR(VLOOKUP(J758,'11. Cadastro de Serviços'!$A$6:$E$200,4,FALSE),"")</f>
        <v/>
      </c>
      <c r="N758" s="95" t="n"/>
      <c r="O758" s="95">
        <f>IF(AND(G758&lt;&gt;"",I758&lt;&gt;"",J758&lt;&gt;"",M758&lt;&gt;""),"Rastreado","Revisar")</f>
        <v/>
      </c>
      <c r="P758" s="96" t="n"/>
    </row>
    <row r="759">
      <c r="A759" s="95" t="n"/>
      <c r="B759" s="96" t="n"/>
      <c r="C759" s="96" t="n"/>
      <c r="D759" s="95" t="n"/>
      <c r="E759" s="96" t="n"/>
      <c r="F759" s="96" t="n"/>
      <c r="G759" s="95">
        <f>IFERROR(VLOOKUP(F759,'12. Contratos_OS'!$A$6:$L$1000,2,FALSE),"")</f>
        <v/>
      </c>
      <c r="H759" s="95">
        <f>IFERROR(VLOOKUP(F759,'12. Contratos_OS'!$A$6:$L$1000,3,FALSE),"")</f>
        <v/>
      </c>
      <c r="I759" s="95">
        <f>IFERROR(VLOOKUP(F759,'12. Contratos_OS'!$A$6:$L$1000,4,FALSE),"")</f>
        <v/>
      </c>
      <c r="J759" s="95">
        <f>IFERROR(VLOOKUP(F759,'12. Contratos_OS'!$A$6:$L$1000,7,FALSE),"")</f>
        <v/>
      </c>
      <c r="K759" s="95">
        <f>IFERROR(VLOOKUP(J759,'11. Cadastro de Serviços'!$A$6:$E$200,2,FALSE),"")</f>
        <v/>
      </c>
      <c r="L759" s="95">
        <f>IFERROR(VLOOKUP(J759,'11. Cadastro de Serviços'!$A$6:$E$200,3,FALSE),"")</f>
        <v/>
      </c>
      <c r="M759" s="95">
        <f>IFERROR(VLOOKUP(J759,'11. Cadastro de Serviços'!$A$6:$E$200,4,FALSE),"")</f>
        <v/>
      </c>
      <c r="N759" s="95" t="n"/>
      <c r="O759" s="95">
        <f>IF(AND(G759&lt;&gt;"",I759&lt;&gt;"",J759&lt;&gt;"",M759&lt;&gt;""),"Rastreado","Revisar")</f>
        <v/>
      </c>
      <c r="P759" s="96" t="n"/>
    </row>
    <row r="760">
      <c r="A760" s="95" t="n"/>
      <c r="B760" s="96" t="n"/>
      <c r="C760" s="96" t="n"/>
      <c r="D760" s="95" t="n"/>
      <c r="E760" s="96" t="n"/>
      <c r="F760" s="96" t="n"/>
      <c r="G760" s="95">
        <f>IFERROR(VLOOKUP(F760,'12. Contratos_OS'!$A$6:$L$1000,2,FALSE),"")</f>
        <v/>
      </c>
      <c r="H760" s="95">
        <f>IFERROR(VLOOKUP(F760,'12. Contratos_OS'!$A$6:$L$1000,3,FALSE),"")</f>
        <v/>
      </c>
      <c r="I760" s="95">
        <f>IFERROR(VLOOKUP(F760,'12. Contratos_OS'!$A$6:$L$1000,4,FALSE),"")</f>
        <v/>
      </c>
      <c r="J760" s="95">
        <f>IFERROR(VLOOKUP(F760,'12. Contratos_OS'!$A$6:$L$1000,7,FALSE),"")</f>
        <v/>
      </c>
      <c r="K760" s="95">
        <f>IFERROR(VLOOKUP(J760,'11. Cadastro de Serviços'!$A$6:$E$200,2,FALSE),"")</f>
        <v/>
      </c>
      <c r="L760" s="95">
        <f>IFERROR(VLOOKUP(J760,'11. Cadastro de Serviços'!$A$6:$E$200,3,FALSE),"")</f>
        <v/>
      </c>
      <c r="M760" s="95">
        <f>IFERROR(VLOOKUP(J760,'11. Cadastro de Serviços'!$A$6:$E$200,4,FALSE),"")</f>
        <v/>
      </c>
      <c r="N760" s="95" t="n"/>
      <c r="O760" s="95">
        <f>IF(AND(G760&lt;&gt;"",I760&lt;&gt;"",J760&lt;&gt;"",M760&lt;&gt;""),"Rastreado","Revisar")</f>
        <v/>
      </c>
      <c r="P760" s="96" t="n"/>
    </row>
    <row r="761">
      <c r="A761" s="95" t="n"/>
      <c r="B761" s="96" t="n"/>
      <c r="C761" s="96" t="n"/>
      <c r="D761" s="95" t="n"/>
      <c r="E761" s="96" t="n"/>
      <c r="F761" s="96" t="n"/>
      <c r="G761" s="95">
        <f>IFERROR(VLOOKUP(F761,'12. Contratos_OS'!$A$6:$L$1000,2,FALSE),"")</f>
        <v/>
      </c>
      <c r="H761" s="95">
        <f>IFERROR(VLOOKUP(F761,'12. Contratos_OS'!$A$6:$L$1000,3,FALSE),"")</f>
        <v/>
      </c>
      <c r="I761" s="95">
        <f>IFERROR(VLOOKUP(F761,'12. Contratos_OS'!$A$6:$L$1000,4,FALSE),"")</f>
        <v/>
      </c>
      <c r="J761" s="95">
        <f>IFERROR(VLOOKUP(F761,'12. Contratos_OS'!$A$6:$L$1000,7,FALSE),"")</f>
        <v/>
      </c>
      <c r="K761" s="95">
        <f>IFERROR(VLOOKUP(J761,'11. Cadastro de Serviços'!$A$6:$E$200,2,FALSE),"")</f>
        <v/>
      </c>
      <c r="L761" s="95">
        <f>IFERROR(VLOOKUP(J761,'11. Cadastro de Serviços'!$A$6:$E$200,3,FALSE),"")</f>
        <v/>
      </c>
      <c r="M761" s="95">
        <f>IFERROR(VLOOKUP(J761,'11. Cadastro de Serviços'!$A$6:$E$200,4,FALSE),"")</f>
        <v/>
      </c>
      <c r="N761" s="95" t="n"/>
      <c r="O761" s="95">
        <f>IF(AND(G761&lt;&gt;"",I761&lt;&gt;"",J761&lt;&gt;"",M761&lt;&gt;""),"Rastreado","Revisar")</f>
        <v/>
      </c>
      <c r="P761" s="96" t="n"/>
    </row>
    <row r="762">
      <c r="A762" s="95" t="n"/>
      <c r="B762" s="96" t="n"/>
      <c r="C762" s="96" t="n"/>
      <c r="D762" s="95" t="n"/>
      <c r="E762" s="96" t="n"/>
      <c r="F762" s="96" t="n"/>
      <c r="G762" s="95">
        <f>IFERROR(VLOOKUP(F762,'12. Contratos_OS'!$A$6:$L$1000,2,FALSE),"")</f>
        <v/>
      </c>
      <c r="H762" s="95">
        <f>IFERROR(VLOOKUP(F762,'12. Contratos_OS'!$A$6:$L$1000,3,FALSE),"")</f>
        <v/>
      </c>
      <c r="I762" s="95">
        <f>IFERROR(VLOOKUP(F762,'12. Contratos_OS'!$A$6:$L$1000,4,FALSE),"")</f>
        <v/>
      </c>
      <c r="J762" s="95">
        <f>IFERROR(VLOOKUP(F762,'12. Contratos_OS'!$A$6:$L$1000,7,FALSE),"")</f>
        <v/>
      </c>
      <c r="K762" s="95">
        <f>IFERROR(VLOOKUP(J762,'11. Cadastro de Serviços'!$A$6:$E$200,2,FALSE),"")</f>
        <v/>
      </c>
      <c r="L762" s="95">
        <f>IFERROR(VLOOKUP(J762,'11. Cadastro de Serviços'!$A$6:$E$200,3,FALSE),"")</f>
        <v/>
      </c>
      <c r="M762" s="95">
        <f>IFERROR(VLOOKUP(J762,'11. Cadastro de Serviços'!$A$6:$E$200,4,FALSE),"")</f>
        <v/>
      </c>
      <c r="N762" s="95" t="n"/>
      <c r="O762" s="95">
        <f>IF(AND(G762&lt;&gt;"",I762&lt;&gt;"",J762&lt;&gt;"",M762&lt;&gt;""),"Rastreado","Revisar")</f>
        <v/>
      </c>
      <c r="P762" s="96" t="n"/>
    </row>
    <row r="763">
      <c r="A763" s="95" t="n"/>
      <c r="B763" s="96" t="n"/>
      <c r="C763" s="96" t="n"/>
      <c r="D763" s="95" t="n"/>
      <c r="E763" s="96" t="n"/>
      <c r="F763" s="96" t="n"/>
      <c r="G763" s="95">
        <f>IFERROR(VLOOKUP(F763,'12. Contratos_OS'!$A$6:$L$1000,2,FALSE),"")</f>
        <v/>
      </c>
      <c r="H763" s="95">
        <f>IFERROR(VLOOKUP(F763,'12. Contratos_OS'!$A$6:$L$1000,3,FALSE),"")</f>
        <v/>
      </c>
      <c r="I763" s="95">
        <f>IFERROR(VLOOKUP(F763,'12. Contratos_OS'!$A$6:$L$1000,4,FALSE),"")</f>
        <v/>
      </c>
      <c r="J763" s="95">
        <f>IFERROR(VLOOKUP(F763,'12. Contratos_OS'!$A$6:$L$1000,7,FALSE),"")</f>
        <v/>
      </c>
      <c r="K763" s="95">
        <f>IFERROR(VLOOKUP(J763,'11. Cadastro de Serviços'!$A$6:$E$200,2,FALSE),"")</f>
        <v/>
      </c>
      <c r="L763" s="95">
        <f>IFERROR(VLOOKUP(J763,'11. Cadastro de Serviços'!$A$6:$E$200,3,FALSE),"")</f>
        <v/>
      </c>
      <c r="M763" s="95">
        <f>IFERROR(VLOOKUP(J763,'11. Cadastro de Serviços'!$A$6:$E$200,4,FALSE),"")</f>
        <v/>
      </c>
      <c r="N763" s="95" t="n"/>
      <c r="O763" s="95">
        <f>IF(AND(G763&lt;&gt;"",I763&lt;&gt;"",J763&lt;&gt;"",M763&lt;&gt;""),"Rastreado","Revisar")</f>
        <v/>
      </c>
      <c r="P763" s="96" t="n"/>
    </row>
    <row r="764">
      <c r="A764" s="95" t="n"/>
      <c r="B764" s="96" t="n"/>
      <c r="C764" s="96" t="n"/>
      <c r="D764" s="95" t="n"/>
      <c r="E764" s="96" t="n"/>
      <c r="F764" s="96" t="n"/>
      <c r="G764" s="95">
        <f>IFERROR(VLOOKUP(F764,'12. Contratos_OS'!$A$6:$L$1000,2,FALSE),"")</f>
        <v/>
      </c>
      <c r="H764" s="95">
        <f>IFERROR(VLOOKUP(F764,'12. Contratos_OS'!$A$6:$L$1000,3,FALSE),"")</f>
        <v/>
      </c>
      <c r="I764" s="95">
        <f>IFERROR(VLOOKUP(F764,'12. Contratos_OS'!$A$6:$L$1000,4,FALSE),"")</f>
        <v/>
      </c>
      <c r="J764" s="95">
        <f>IFERROR(VLOOKUP(F764,'12. Contratos_OS'!$A$6:$L$1000,7,FALSE),"")</f>
        <v/>
      </c>
      <c r="K764" s="95">
        <f>IFERROR(VLOOKUP(J764,'11. Cadastro de Serviços'!$A$6:$E$200,2,FALSE),"")</f>
        <v/>
      </c>
      <c r="L764" s="95">
        <f>IFERROR(VLOOKUP(J764,'11. Cadastro de Serviços'!$A$6:$E$200,3,FALSE),"")</f>
        <v/>
      </c>
      <c r="M764" s="95">
        <f>IFERROR(VLOOKUP(J764,'11. Cadastro de Serviços'!$A$6:$E$200,4,FALSE),"")</f>
        <v/>
      </c>
      <c r="N764" s="95" t="n"/>
      <c r="O764" s="95">
        <f>IF(AND(G764&lt;&gt;"",I764&lt;&gt;"",J764&lt;&gt;"",M764&lt;&gt;""),"Rastreado","Revisar")</f>
        <v/>
      </c>
      <c r="P764" s="96" t="n"/>
    </row>
    <row r="765">
      <c r="A765" s="95" t="n"/>
      <c r="B765" s="96" t="n"/>
      <c r="C765" s="96" t="n"/>
      <c r="D765" s="95" t="n"/>
      <c r="E765" s="96" t="n"/>
      <c r="F765" s="96" t="n"/>
      <c r="G765" s="95">
        <f>IFERROR(VLOOKUP(F765,'12. Contratos_OS'!$A$6:$L$1000,2,FALSE),"")</f>
        <v/>
      </c>
      <c r="H765" s="95">
        <f>IFERROR(VLOOKUP(F765,'12. Contratos_OS'!$A$6:$L$1000,3,FALSE),"")</f>
        <v/>
      </c>
      <c r="I765" s="95">
        <f>IFERROR(VLOOKUP(F765,'12. Contratos_OS'!$A$6:$L$1000,4,FALSE),"")</f>
        <v/>
      </c>
      <c r="J765" s="95">
        <f>IFERROR(VLOOKUP(F765,'12. Contratos_OS'!$A$6:$L$1000,7,FALSE),"")</f>
        <v/>
      </c>
      <c r="K765" s="95">
        <f>IFERROR(VLOOKUP(J765,'11. Cadastro de Serviços'!$A$6:$E$200,2,FALSE),"")</f>
        <v/>
      </c>
      <c r="L765" s="95">
        <f>IFERROR(VLOOKUP(J765,'11. Cadastro de Serviços'!$A$6:$E$200,3,FALSE),"")</f>
        <v/>
      </c>
      <c r="M765" s="95">
        <f>IFERROR(VLOOKUP(J765,'11. Cadastro de Serviços'!$A$6:$E$200,4,FALSE),"")</f>
        <v/>
      </c>
      <c r="N765" s="95" t="n"/>
      <c r="O765" s="95">
        <f>IF(AND(G765&lt;&gt;"",I765&lt;&gt;"",J765&lt;&gt;"",M765&lt;&gt;""),"Rastreado","Revisar")</f>
        <v/>
      </c>
      <c r="P765" s="96" t="n"/>
    </row>
    <row r="766">
      <c r="A766" s="95" t="n"/>
      <c r="B766" s="96" t="n"/>
      <c r="C766" s="96" t="n"/>
      <c r="D766" s="95" t="n"/>
      <c r="E766" s="96" t="n"/>
      <c r="F766" s="96" t="n"/>
      <c r="G766" s="95">
        <f>IFERROR(VLOOKUP(F766,'12. Contratos_OS'!$A$6:$L$1000,2,FALSE),"")</f>
        <v/>
      </c>
      <c r="H766" s="95">
        <f>IFERROR(VLOOKUP(F766,'12. Contratos_OS'!$A$6:$L$1000,3,FALSE),"")</f>
        <v/>
      </c>
      <c r="I766" s="95">
        <f>IFERROR(VLOOKUP(F766,'12. Contratos_OS'!$A$6:$L$1000,4,FALSE),"")</f>
        <v/>
      </c>
      <c r="J766" s="95">
        <f>IFERROR(VLOOKUP(F766,'12. Contratos_OS'!$A$6:$L$1000,7,FALSE),"")</f>
        <v/>
      </c>
      <c r="K766" s="95">
        <f>IFERROR(VLOOKUP(J766,'11. Cadastro de Serviços'!$A$6:$E$200,2,FALSE),"")</f>
        <v/>
      </c>
      <c r="L766" s="95">
        <f>IFERROR(VLOOKUP(J766,'11. Cadastro de Serviços'!$A$6:$E$200,3,FALSE),"")</f>
        <v/>
      </c>
      <c r="M766" s="95">
        <f>IFERROR(VLOOKUP(J766,'11. Cadastro de Serviços'!$A$6:$E$200,4,FALSE),"")</f>
        <v/>
      </c>
      <c r="N766" s="95" t="n"/>
      <c r="O766" s="95">
        <f>IF(AND(G766&lt;&gt;"",I766&lt;&gt;"",J766&lt;&gt;"",M766&lt;&gt;""),"Rastreado","Revisar")</f>
        <v/>
      </c>
      <c r="P766" s="96" t="n"/>
    </row>
    <row r="767">
      <c r="A767" s="95" t="n"/>
      <c r="B767" s="96" t="n"/>
      <c r="C767" s="96" t="n"/>
      <c r="D767" s="95" t="n"/>
      <c r="E767" s="96" t="n"/>
      <c r="F767" s="96" t="n"/>
      <c r="G767" s="95">
        <f>IFERROR(VLOOKUP(F767,'12. Contratos_OS'!$A$6:$L$1000,2,FALSE),"")</f>
        <v/>
      </c>
      <c r="H767" s="95">
        <f>IFERROR(VLOOKUP(F767,'12. Contratos_OS'!$A$6:$L$1000,3,FALSE),"")</f>
        <v/>
      </c>
      <c r="I767" s="95">
        <f>IFERROR(VLOOKUP(F767,'12. Contratos_OS'!$A$6:$L$1000,4,FALSE),"")</f>
        <v/>
      </c>
      <c r="J767" s="95">
        <f>IFERROR(VLOOKUP(F767,'12. Contratos_OS'!$A$6:$L$1000,7,FALSE),"")</f>
        <v/>
      </c>
      <c r="K767" s="95">
        <f>IFERROR(VLOOKUP(J767,'11. Cadastro de Serviços'!$A$6:$E$200,2,FALSE),"")</f>
        <v/>
      </c>
      <c r="L767" s="95">
        <f>IFERROR(VLOOKUP(J767,'11. Cadastro de Serviços'!$A$6:$E$200,3,FALSE),"")</f>
        <v/>
      </c>
      <c r="M767" s="95">
        <f>IFERROR(VLOOKUP(J767,'11. Cadastro de Serviços'!$A$6:$E$200,4,FALSE),"")</f>
        <v/>
      </c>
      <c r="N767" s="95" t="n"/>
      <c r="O767" s="95">
        <f>IF(AND(G767&lt;&gt;"",I767&lt;&gt;"",J767&lt;&gt;"",M767&lt;&gt;""),"Rastreado","Revisar")</f>
        <v/>
      </c>
      <c r="P767" s="96" t="n"/>
    </row>
    <row r="768">
      <c r="A768" s="95" t="n"/>
      <c r="B768" s="96" t="n"/>
      <c r="C768" s="96" t="n"/>
      <c r="D768" s="95" t="n"/>
      <c r="E768" s="96" t="n"/>
      <c r="F768" s="96" t="n"/>
      <c r="G768" s="95">
        <f>IFERROR(VLOOKUP(F768,'12. Contratos_OS'!$A$6:$L$1000,2,FALSE),"")</f>
        <v/>
      </c>
      <c r="H768" s="95">
        <f>IFERROR(VLOOKUP(F768,'12. Contratos_OS'!$A$6:$L$1000,3,FALSE),"")</f>
        <v/>
      </c>
      <c r="I768" s="95">
        <f>IFERROR(VLOOKUP(F768,'12. Contratos_OS'!$A$6:$L$1000,4,FALSE),"")</f>
        <v/>
      </c>
      <c r="J768" s="95">
        <f>IFERROR(VLOOKUP(F768,'12. Contratos_OS'!$A$6:$L$1000,7,FALSE),"")</f>
        <v/>
      </c>
      <c r="K768" s="95">
        <f>IFERROR(VLOOKUP(J768,'11. Cadastro de Serviços'!$A$6:$E$200,2,FALSE),"")</f>
        <v/>
      </c>
      <c r="L768" s="95">
        <f>IFERROR(VLOOKUP(J768,'11. Cadastro de Serviços'!$A$6:$E$200,3,FALSE),"")</f>
        <v/>
      </c>
      <c r="M768" s="95">
        <f>IFERROR(VLOOKUP(J768,'11. Cadastro de Serviços'!$A$6:$E$200,4,FALSE),"")</f>
        <v/>
      </c>
      <c r="N768" s="95" t="n"/>
      <c r="O768" s="95">
        <f>IF(AND(G768&lt;&gt;"",I768&lt;&gt;"",J768&lt;&gt;"",M768&lt;&gt;""),"Rastreado","Revisar")</f>
        <v/>
      </c>
      <c r="P768" s="96" t="n"/>
    </row>
    <row r="769">
      <c r="A769" s="95" t="n"/>
      <c r="B769" s="96" t="n"/>
      <c r="C769" s="96" t="n"/>
      <c r="D769" s="95" t="n"/>
      <c r="E769" s="96" t="n"/>
      <c r="F769" s="96" t="n"/>
      <c r="G769" s="95">
        <f>IFERROR(VLOOKUP(F769,'12. Contratos_OS'!$A$6:$L$1000,2,FALSE),"")</f>
        <v/>
      </c>
      <c r="H769" s="95">
        <f>IFERROR(VLOOKUP(F769,'12. Contratos_OS'!$A$6:$L$1000,3,FALSE),"")</f>
        <v/>
      </c>
      <c r="I769" s="95">
        <f>IFERROR(VLOOKUP(F769,'12. Contratos_OS'!$A$6:$L$1000,4,FALSE),"")</f>
        <v/>
      </c>
      <c r="J769" s="95">
        <f>IFERROR(VLOOKUP(F769,'12. Contratos_OS'!$A$6:$L$1000,7,FALSE),"")</f>
        <v/>
      </c>
      <c r="K769" s="95">
        <f>IFERROR(VLOOKUP(J769,'11. Cadastro de Serviços'!$A$6:$E$200,2,FALSE),"")</f>
        <v/>
      </c>
      <c r="L769" s="95">
        <f>IFERROR(VLOOKUP(J769,'11. Cadastro de Serviços'!$A$6:$E$200,3,FALSE),"")</f>
        <v/>
      </c>
      <c r="M769" s="95">
        <f>IFERROR(VLOOKUP(J769,'11. Cadastro de Serviços'!$A$6:$E$200,4,FALSE),"")</f>
        <v/>
      </c>
      <c r="N769" s="95" t="n"/>
      <c r="O769" s="95">
        <f>IF(AND(G769&lt;&gt;"",I769&lt;&gt;"",J769&lt;&gt;"",M769&lt;&gt;""),"Rastreado","Revisar")</f>
        <v/>
      </c>
      <c r="P769" s="96" t="n"/>
    </row>
    <row r="770">
      <c r="A770" s="95" t="n"/>
      <c r="B770" s="96" t="n"/>
      <c r="C770" s="96" t="n"/>
      <c r="D770" s="95" t="n"/>
      <c r="E770" s="96" t="n"/>
      <c r="F770" s="96" t="n"/>
      <c r="G770" s="95">
        <f>IFERROR(VLOOKUP(F770,'12. Contratos_OS'!$A$6:$L$1000,2,FALSE),"")</f>
        <v/>
      </c>
      <c r="H770" s="95">
        <f>IFERROR(VLOOKUP(F770,'12. Contratos_OS'!$A$6:$L$1000,3,FALSE),"")</f>
        <v/>
      </c>
      <c r="I770" s="95">
        <f>IFERROR(VLOOKUP(F770,'12. Contratos_OS'!$A$6:$L$1000,4,FALSE),"")</f>
        <v/>
      </c>
      <c r="J770" s="95">
        <f>IFERROR(VLOOKUP(F770,'12. Contratos_OS'!$A$6:$L$1000,7,FALSE),"")</f>
        <v/>
      </c>
      <c r="K770" s="95">
        <f>IFERROR(VLOOKUP(J770,'11. Cadastro de Serviços'!$A$6:$E$200,2,FALSE),"")</f>
        <v/>
      </c>
      <c r="L770" s="95">
        <f>IFERROR(VLOOKUP(J770,'11. Cadastro de Serviços'!$A$6:$E$200,3,FALSE),"")</f>
        <v/>
      </c>
      <c r="M770" s="95">
        <f>IFERROR(VLOOKUP(J770,'11. Cadastro de Serviços'!$A$6:$E$200,4,FALSE),"")</f>
        <v/>
      </c>
      <c r="N770" s="95" t="n"/>
      <c r="O770" s="95">
        <f>IF(AND(G770&lt;&gt;"",I770&lt;&gt;"",J770&lt;&gt;"",M770&lt;&gt;""),"Rastreado","Revisar")</f>
        <v/>
      </c>
      <c r="P770" s="96" t="n"/>
    </row>
    <row r="771">
      <c r="A771" s="95" t="n"/>
      <c r="B771" s="96" t="n"/>
      <c r="C771" s="96" t="n"/>
      <c r="D771" s="95" t="n"/>
      <c r="E771" s="96" t="n"/>
      <c r="F771" s="96" t="n"/>
      <c r="G771" s="95">
        <f>IFERROR(VLOOKUP(F771,'12. Contratos_OS'!$A$6:$L$1000,2,FALSE),"")</f>
        <v/>
      </c>
      <c r="H771" s="95">
        <f>IFERROR(VLOOKUP(F771,'12. Contratos_OS'!$A$6:$L$1000,3,FALSE),"")</f>
        <v/>
      </c>
      <c r="I771" s="95">
        <f>IFERROR(VLOOKUP(F771,'12. Contratos_OS'!$A$6:$L$1000,4,FALSE),"")</f>
        <v/>
      </c>
      <c r="J771" s="95">
        <f>IFERROR(VLOOKUP(F771,'12. Contratos_OS'!$A$6:$L$1000,7,FALSE),"")</f>
        <v/>
      </c>
      <c r="K771" s="95">
        <f>IFERROR(VLOOKUP(J771,'11. Cadastro de Serviços'!$A$6:$E$200,2,FALSE),"")</f>
        <v/>
      </c>
      <c r="L771" s="95">
        <f>IFERROR(VLOOKUP(J771,'11. Cadastro de Serviços'!$A$6:$E$200,3,FALSE),"")</f>
        <v/>
      </c>
      <c r="M771" s="95">
        <f>IFERROR(VLOOKUP(J771,'11. Cadastro de Serviços'!$A$6:$E$200,4,FALSE),"")</f>
        <v/>
      </c>
      <c r="N771" s="95" t="n"/>
      <c r="O771" s="95">
        <f>IF(AND(G771&lt;&gt;"",I771&lt;&gt;"",J771&lt;&gt;"",M771&lt;&gt;""),"Rastreado","Revisar")</f>
        <v/>
      </c>
      <c r="P771" s="96" t="n"/>
    </row>
    <row r="772">
      <c r="A772" s="95" t="n"/>
      <c r="B772" s="96" t="n"/>
      <c r="C772" s="96" t="n"/>
      <c r="D772" s="95" t="n"/>
      <c r="E772" s="96" t="n"/>
      <c r="F772" s="96" t="n"/>
      <c r="G772" s="95">
        <f>IFERROR(VLOOKUP(F772,'12. Contratos_OS'!$A$6:$L$1000,2,FALSE),"")</f>
        <v/>
      </c>
      <c r="H772" s="95">
        <f>IFERROR(VLOOKUP(F772,'12. Contratos_OS'!$A$6:$L$1000,3,FALSE),"")</f>
        <v/>
      </c>
      <c r="I772" s="95">
        <f>IFERROR(VLOOKUP(F772,'12. Contratos_OS'!$A$6:$L$1000,4,FALSE),"")</f>
        <v/>
      </c>
      <c r="J772" s="95">
        <f>IFERROR(VLOOKUP(F772,'12. Contratos_OS'!$A$6:$L$1000,7,FALSE),"")</f>
        <v/>
      </c>
      <c r="K772" s="95">
        <f>IFERROR(VLOOKUP(J772,'11. Cadastro de Serviços'!$A$6:$E$200,2,FALSE),"")</f>
        <v/>
      </c>
      <c r="L772" s="95">
        <f>IFERROR(VLOOKUP(J772,'11. Cadastro de Serviços'!$A$6:$E$200,3,FALSE),"")</f>
        <v/>
      </c>
      <c r="M772" s="95">
        <f>IFERROR(VLOOKUP(J772,'11. Cadastro de Serviços'!$A$6:$E$200,4,FALSE),"")</f>
        <v/>
      </c>
      <c r="N772" s="95" t="n"/>
      <c r="O772" s="95">
        <f>IF(AND(G772&lt;&gt;"",I772&lt;&gt;"",J772&lt;&gt;"",M772&lt;&gt;""),"Rastreado","Revisar")</f>
        <v/>
      </c>
      <c r="P772" s="96" t="n"/>
    </row>
    <row r="773">
      <c r="A773" s="95" t="n"/>
      <c r="B773" s="96" t="n"/>
      <c r="C773" s="96" t="n"/>
      <c r="D773" s="95" t="n"/>
      <c r="E773" s="96" t="n"/>
      <c r="F773" s="96" t="n"/>
      <c r="G773" s="95">
        <f>IFERROR(VLOOKUP(F773,'12. Contratos_OS'!$A$6:$L$1000,2,FALSE),"")</f>
        <v/>
      </c>
      <c r="H773" s="95">
        <f>IFERROR(VLOOKUP(F773,'12. Contratos_OS'!$A$6:$L$1000,3,FALSE),"")</f>
        <v/>
      </c>
      <c r="I773" s="95">
        <f>IFERROR(VLOOKUP(F773,'12. Contratos_OS'!$A$6:$L$1000,4,FALSE),"")</f>
        <v/>
      </c>
      <c r="J773" s="95">
        <f>IFERROR(VLOOKUP(F773,'12. Contratos_OS'!$A$6:$L$1000,7,FALSE),"")</f>
        <v/>
      </c>
      <c r="K773" s="95">
        <f>IFERROR(VLOOKUP(J773,'11. Cadastro de Serviços'!$A$6:$E$200,2,FALSE),"")</f>
        <v/>
      </c>
      <c r="L773" s="95">
        <f>IFERROR(VLOOKUP(J773,'11. Cadastro de Serviços'!$A$6:$E$200,3,FALSE),"")</f>
        <v/>
      </c>
      <c r="M773" s="95">
        <f>IFERROR(VLOOKUP(J773,'11. Cadastro de Serviços'!$A$6:$E$200,4,FALSE),"")</f>
        <v/>
      </c>
      <c r="N773" s="95" t="n"/>
      <c r="O773" s="95">
        <f>IF(AND(G773&lt;&gt;"",I773&lt;&gt;"",J773&lt;&gt;"",M773&lt;&gt;""),"Rastreado","Revisar")</f>
        <v/>
      </c>
      <c r="P773" s="96" t="n"/>
    </row>
    <row r="774">
      <c r="A774" s="95" t="n"/>
      <c r="B774" s="96" t="n"/>
      <c r="C774" s="96" t="n"/>
      <c r="D774" s="95" t="n"/>
      <c r="E774" s="96" t="n"/>
      <c r="F774" s="96" t="n"/>
      <c r="G774" s="95">
        <f>IFERROR(VLOOKUP(F774,'12. Contratos_OS'!$A$6:$L$1000,2,FALSE),"")</f>
        <v/>
      </c>
      <c r="H774" s="95">
        <f>IFERROR(VLOOKUP(F774,'12. Contratos_OS'!$A$6:$L$1000,3,FALSE),"")</f>
        <v/>
      </c>
      <c r="I774" s="95">
        <f>IFERROR(VLOOKUP(F774,'12. Contratos_OS'!$A$6:$L$1000,4,FALSE),"")</f>
        <v/>
      </c>
      <c r="J774" s="95">
        <f>IFERROR(VLOOKUP(F774,'12. Contratos_OS'!$A$6:$L$1000,7,FALSE),"")</f>
        <v/>
      </c>
      <c r="K774" s="95">
        <f>IFERROR(VLOOKUP(J774,'11. Cadastro de Serviços'!$A$6:$E$200,2,FALSE),"")</f>
        <v/>
      </c>
      <c r="L774" s="95">
        <f>IFERROR(VLOOKUP(J774,'11. Cadastro de Serviços'!$A$6:$E$200,3,FALSE),"")</f>
        <v/>
      </c>
      <c r="M774" s="95">
        <f>IFERROR(VLOOKUP(J774,'11. Cadastro de Serviços'!$A$6:$E$200,4,FALSE),"")</f>
        <v/>
      </c>
      <c r="N774" s="95" t="n"/>
      <c r="O774" s="95">
        <f>IF(AND(G774&lt;&gt;"",I774&lt;&gt;"",J774&lt;&gt;"",M774&lt;&gt;""),"Rastreado","Revisar")</f>
        <v/>
      </c>
      <c r="P774" s="96" t="n"/>
    </row>
    <row r="775">
      <c r="A775" s="95" t="n"/>
      <c r="B775" s="96" t="n"/>
      <c r="C775" s="96" t="n"/>
      <c r="D775" s="95" t="n"/>
      <c r="E775" s="96" t="n"/>
      <c r="F775" s="96" t="n"/>
      <c r="G775" s="95">
        <f>IFERROR(VLOOKUP(F775,'12. Contratos_OS'!$A$6:$L$1000,2,FALSE),"")</f>
        <v/>
      </c>
      <c r="H775" s="95">
        <f>IFERROR(VLOOKUP(F775,'12. Contratos_OS'!$A$6:$L$1000,3,FALSE),"")</f>
        <v/>
      </c>
      <c r="I775" s="95">
        <f>IFERROR(VLOOKUP(F775,'12. Contratos_OS'!$A$6:$L$1000,4,FALSE),"")</f>
        <v/>
      </c>
      <c r="J775" s="95">
        <f>IFERROR(VLOOKUP(F775,'12. Contratos_OS'!$A$6:$L$1000,7,FALSE),"")</f>
        <v/>
      </c>
      <c r="K775" s="95">
        <f>IFERROR(VLOOKUP(J775,'11. Cadastro de Serviços'!$A$6:$E$200,2,FALSE),"")</f>
        <v/>
      </c>
      <c r="L775" s="95">
        <f>IFERROR(VLOOKUP(J775,'11. Cadastro de Serviços'!$A$6:$E$200,3,FALSE),"")</f>
        <v/>
      </c>
      <c r="M775" s="95">
        <f>IFERROR(VLOOKUP(J775,'11. Cadastro de Serviços'!$A$6:$E$200,4,FALSE),"")</f>
        <v/>
      </c>
      <c r="N775" s="95" t="n"/>
      <c r="O775" s="95">
        <f>IF(AND(G775&lt;&gt;"",I775&lt;&gt;"",J775&lt;&gt;"",M775&lt;&gt;""),"Rastreado","Revisar")</f>
        <v/>
      </c>
      <c r="P775" s="96" t="n"/>
    </row>
    <row r="776">
      <c r="A776" s="95" t="n"/>
      <c r="B776" s="96" t="n"/>
      <c r="C776" s="96" t="n"/>
      <c r="D776" s="95" t="n"/>
      <c r="E776" s="96" t="n"/>
      <c r="F776" s="96" t="n"/>
      <c r="G776" s="95">
        <f>IFERROR(VLOOKUP(F776,'12. Contratos_OS'!$A$6:$L$1000,2,FALSE),"")</f>
        <v/>
      </c>
      <c r="H776" s="95">
        <f>IFERROR(VLOOKUP(F776,'12. Contratos_OS'!$A$6:$L$1000,3,FALSE),"")</f>
        <v/>
      </c>
      <c r="I776" s="95">
        <f>IFERROR(VLOOKUP(F776,'12. Contratos_OS'!$A$6:$L$1000,4,FALSE),"")</f>
        <v/>
      </c>
      <c r="J776" s="95">
        <f>IFERROR(VLOOKUP(F776,'12. Contratos_OS'!$A$6:$L$1000,7,FALSE),"")</f>
        <v/>
      </c>
      <c r="K776" s="95">
        <f>IFERROR(VLOOKUP(J776,'11. Cadastro de Serviços'!$A$6:$E$200,2,FALSE),"")</f>
        <v/>
      </c>
      <c r="L776" s="95">
        <f>IFERROR(VLOOKUP(J776,'11. Cadastro de Serviços'!$A$6:$E$200,3,FALSE),"")</f>
        <v/>
      </c>
      <c r="M776" s="95">
        <f>IFERROR(VLOOKUP(J776,'11. Cadastro de Serviços'!$A$6:$E$200,4,FALSE),"")</f>
        <v/>
      </c>
      <c r="N776" s="95" t="n"/>
      <c r="O776" s="95">
        <f>IF(AND(G776&lt;&gt;"",I776&lt;&gt;"",J776&lt;&gt;"",M776&lt;&gt;""),"Rastreado","Revisar")</f>
        <v/>
      </c>
      <c r="P776" s="96" t="n"/>
    </row>
    <row r="777">
      <c r="A777" s="95" t="n"/>
      <c r="B777" s="96" t="n"/>
      <c r="C777" s="96" t="n"/>
      <c r="D777" s="95" t="n"/>
      <c r="E777" s="96" t="n"/>
      <c r="F777" s="96" t="n"/>
      <c r="G777" s="95">
        <f>IFERROR(VLOOKUP(F777,'12. Contratos_OS'!$A$6:$L$1000,2,FALSE),"")</f>
        <v/>
      </c>
      <c r="H777" s="95">
        <f>IFERROR(VLOOKUP(F777,'12. Contratos_OS'!$A$6:$L$1000,3,FALSE),"")</f>
        <v/>
      </c>
      <c r="I777" s="95">
        <f>IFERROR(VLOOKUP(F777,'12. Contratos_OS'!$A$6:$L$1000,4,FALSE),"")</f>
        <v/>
      </c>
      <c r="J777" s="95">
        <f>IFERROR(VLOOKUP(F777,'12. Contratos_OS'!$A$6:$L$1000,7,FALSE),"")</f>
        <v/>
      </c>
      <c r="K777" s="95">
        <f>IFERROR(VLOOKUP(J777,'11. Cadastro de Serviços'!$A$6:$E$200,2,FALSE),"")</f>
        <v/>
      </c>
      <c r="L777" s="95">
        <f>IFERROR(VLOOKUP(J777,'11. Cadastro de Serviços'!$A$6:$E$200,3,FALSE),"")</f>
        <v/>
      </c>
      <c r="M777" s="95">
        <f>IFERROR(VLOOKUP(J777,'11. Cadastro de Serviços'!$A$6:$E$200,4,FALSE),"")</f>
        <v/>
      </c>
      <c r="N777" s="95" t="n"/>
      <c r="O777" s="95">
        <f>IF(AND(G777&lt;&gt;"",I777&lt;&gt;"",J777&lt;&gt;"",M777&lt;&gt;""),"Rastreado","Revisar")</f>
        <v/>
      </c>
      <c r="P777" s="96" t="n"/>
    </row>
    <row r="778">
      <c r="A778" s="95" t="n"/>
      <c r="B778" s="96" t="n"/>
      <c r="C778" s="96" t="n"/>
      <c r="D778" s="95" t="n"/>
      <c r="E778" s="96" t="n"/>
      <c r="F778" s="96" t="n"/>
      <c r="G778" s="95">
        <f>IFERROR(VLOOKUP(F778,'12. Contratos_OS'!$A$6:$L$1000,2,FALSE),"")</f>
        <v/>
      </c>
      <c r="H778" s="95">
        <f>IFERROR(VLOOKUP(F778,'12. Contratos_OS'!$A$6:$L$1000,3,FALSE),"")</f>
        <v/>
      </c>
      <c r="I778" s="95">
        <f>IFERROR(VLOOKUP(F778,'12. Contratos_OS'!$A$6:$L$1000,4,FALSE),"")</f>
        <v/>
      </c>
      <c r="J778" s="95">
        <f>IFERROR(VLOOKUP(F778,'12. Contratos_OS'!$A$6:$L$1000,7,FALSE),"")</f>
        <v/>
      </c>
      <c r="K778" s="95">
        <f>IFERROR(VLOOKUP(J778,'11. Cadastro de Serviços'!$A$6:$E$200,2,FALSE),"")</f>
        <v/>
      </c>
      <c r="L778" s="95">
        <f>IFERROR(VLOOKUP(J778,'11. Cadastro de Serviços'!$A$6:$E$200,3,FALSE),"")</f>
        <v/>
      </c>
      <c r="M778" s="95">
        <f>IFERROR(VLOOKUP(J778,'11. Cadastro de Serviços'!$A$6:$E$200,4,FALSE),"")</f>
        <v/>
      </c>
      <c r="N778" s="95" t="n"/>
      <c r="O778" s="95">
        <f>IF(AND(G778&lt;&gt;"",I778&lt;&gt;"",J778&lt;&gt;"",M778&lt;&gt;""),"Rastreado","Revisar")</f>
        <v/>
      </c>
      <c r="P778" s="96" t="n"/>
    </row>
    <row r="779">
      <c r="A779" s="95" t="n"/>
      <c r="B779" s="96" t="n"/>
      <c r="C779" s="96" t="n"/>
      <c r="D779" s="95" t="n"/>
      <c r="E779" s="96" t="n"/>
      <c r="F779" s="96" t="n"/>
      <c r="G779" s="95">
        <f>IFERROR(VLOOKUP(F779,'12. Contratos_OS'!$A$6:$L$1000,2,FALSE),"")</f>
        <v/>
      </c>
      <c r="H779" s="95">
        <f>IFERROR(VLOOKUP(F779,'12. Contratos_OS'!$A$6:$L$1000,3,FALSE),"")</f>
        <v/>
      </c>
      <c r="I779" s="95">
        <f>IFERROR(VLOOKUP(F779,'12. Contratos_OS'!$A$6:$L$1000,4,FALSE),"")</f>
        <v/>
      </c>
      <c r="J779" s="95">
        <f>IFERROR(VLOOKUP(F779,'12. Contratos_OS'!$A$6:$L$1000,7,FALSE),"")</f>
        <v/>
      </c>
      <c r="K779" s="95">
        <f>IFERROR(VLOOKUP(J779,'11. Cadastro de Serviços'!$A$6:$E$200,2,FALSE),"")</f>
        <v/>
      </c>
      <c r="L779" s="95">
        <f>IFERROR(VLOOKUP(J779,'11. Cadastro de Serviços'!$A$6:$E$200,3,FALSE),"")</f>
        <v/>
      </c>
      <c r="M779" s="95">
        <f>IFERROR(VLOOKUP(J779,'11. Cadastro de Serviços'!$A$6:$E$200,4,FALSE),"")</f>
        <v/>
      </c>
      <c r="N779" s="95" t="n"/>
      <c r="O779" s="95">
        <f>IF(AND(G779&lt;&gt;"",I779&lt;&gt;"",J779&lt;&gt;"",M779&lt;&gt;""),"Rastreado","Revisar")</f>
        <v/>
      </c>
      <c r="P779" s="96" t="n"/>
    </row>
    <row r="780">
      <c r="A780" s="95" t="n"/>
      <c r="B780" s="96" t="n"/>
      <c r="C780" s="96" t="n"/>
      <c r="D780" s="95" t="n"/>
      <c r="E780" s="96" t="n"/>
      <c r="F780" s="96" t="n"/>
      <c r="G780" s="95">
        <f>IFERROR(VLOOKUP(F780,'12. Contratos_OS'!$A$6:$L$1000,2,FALSE),"")</f>
        <v/>
      </c>
      <c r="H780" s="95">
        <f>IFERROR(VLOOKUP(F780,'12. Contratos_OS'!$A$6:$L$1000,3,FALSE),"")</f>
        <v/>
      </c>
      <c r="I780" s="95">
        <f>IFERROR(VLOOKUP(F780,'12. Contratos_OS'!$A$6:$L$1000,4,FALSE),"")</f>
        <v/>
      </c>
      <c r="J780" s="95">
        <f>IFERROR(VLOOKUP(F780,'12. Contratos_OS'!$A$6:$L$1000,7,FALSE),"")</f>
        <v/>
      </c>
      <c r="K780" s="95">
        <f>IFERROR(VLOOKUP(J780,'11. Cadastro de Serviços'!$A$6:$E$200,2,FALSE),"")</f>
        <v/>
      </c>
      <c r="L780" s="95">
        <f>IFERROR(VLOOKUP(J780,'11. Cadastro de Serviços'!$A$6:$E$200,3,FALSE),"")</f>
        <v/>
      </c>
      <c r="M780" s="95">
        <f>IFERROR(VLOOKUP(J780,'11. Cadastro de Serviços'!$A$6:$E$200,4,FALSE),"")</f>
        <v/>
      </c>
      <c r="N780" s="95" t="n"/>
      <c r="O780" s="95">
        <f>IF(AND(G780&lt;&gt;"",I780&lt;&gt;"",J780&lt;&gt;"",M780&lt;&gt;""),"Rastreado","Revisar")</f>
        <v/>
      </c>
      <c r="P780" s="96" t="n"/>
    </row>
    <row r="781">
      <c r="A781" s="95" t="n"/>
      <c r="B781" s="96" t="n"/>
      <c r="C781" s="96" t="n"/>
      <c r="D781" s="95" t="n"/>
      <c r="E781" s="96" t="n"/>
      <c r="F781" s="96" t="n"/>
      <c r="G781" s="95">
        <f>IFERROR(VLOOKUP(F781,'12. Contratos_OS'!$A$6:$L$1000,2,FALSE),"")</f>
        <v/>
      </c>
      <c r="H781" s="95">
        <f>IFERROR(VLOOKUP(F781,'12. Contratos_OS'!$A$6:$L$1000,3,FALSE),"")</f>
        <v/>
      </c>
      <c r="I781" s="95">
        <f>IFERROR(VLOOKUP(F781,'12. Contratos_OS'!$A$6:$L$1000,4,FALSE),"")</f>
        <v/>
      </c>
      <c r="J781" s="95">
        <f>IFERROR(VLOOKUP(F781,'12. Contratos_OS'!$A$6:$L$1000,7,FALSE),"")</f>
        <v/>
      </c>
      <c r="K781" s="95">
        <f>IFERROR(VLOOKUP(J781,'11. Cadastro de Serviços'!$A$6:$E$200,2,FALSE),"")</f>
        <v/>
      </c>
      <c r="L781" s="95">
        <f>IFERROR(VLOOKUP(J781,'11. Cadastro de Serviços'!$A$6:$E$200,3,FALSE),"")</f>
        <v/>
      </c>
      <c r="M781" s="95">
        <f>IFERROR(VLOOKUP(J781,'11. Cadastro de Serviços'!$A$6:$E$200,4,FALSE),"")</f>
        <v/>
      </c>
      <c r="N781" s="95" t="n"/>
      <c r="O781" s="95">
        <f>IF(AND(G781&lt;&gt;"",I781&lt;&gt;"",J781&lt;&gt;"",M781&lt;&gt;""),"Rastreado","Revisar")</f>
        <v/>
      </c>
      <c r="P781" s="96" t="n"/>
    </row>
    <row r="782">
      <c r="A782" s="95" t="n"/>
      <c r="B782" s="96" t="n"/>
      <c r="C782" s="96" t="n"/>
      <c r="D782" s="95" t="n"/>
      <c r="E782" s="96" t="n"/>
      <c r="F782" s="96" t="n"/>
      <c r="G782" s="95">
        <f>IFERROR(VLOOKUP(F782,'12. Contratos_OS'!$A$6:$L$1000,2,FALSE),"")</f>
        <v/>
      </c>
      <c r="H782" s="95">
        <f>IFERROR(VLOOKUP(F782,'12. Contratos_OS'!$A$6:$L$1000,3,FALSE),"")</f>
        <v/>
      </c>
      <c r="I782" s="95">
        <f>IFERROR(VLOOKUP(F782,'12. Contratos_OS'!$A$6:$L$1000,4,FALSE),"")</f>
        <v/>
      </c>
      <c r="J782" s="95">
        <f>IFERROR(VLOOKUP(F782,'12. Contratos_OS'!$A$6:$L$1000,7,FALSE),"")</f>
        <v/>
      </c>
      <c r="K782" s="95">
        <f>IFERROR(VLOOKUP(J782,'11. Cadastro de Serviços'!$A$6:$E$200,2,FALSE),"")</f>
        <v/>
      </c>
      <c r="L782" s="95">
        <f>IFERROR(VLOOKUP(J782,'11. Cadastro de Serviços'!$A$6:$E$200,3,FALSE),"")</f>
        <v/>
      </c>
      <c r="M782" s="95">
        <f>IFERROR(VLOOKUP(J782,'11. Cadastro de Serviços'!$A$6:$E$200,4,FALSE),"")</f>
        <v/>
      </c>
      <c r="N782" s="95" t="n"/>
      <c r="O782" s="95">
        <f>IF(AND(G782&lt;&gt;"",I782&lt;&gt;"",J782&lt;&gt;"",M782&lt;&gt;""),"Rastreado","Revisar")</f>
        <v/>
      </c>
      <c r="P782" s="96" t="n"/>
    </row>
    <row r="783">
      <c r="A783" s="95" t="n"/>
      <c r="B783" s="96" t="n"/>
      <c r="C783" s="96" t="n"/>
      <c r="D783" s="95" t="n"/>
      <c r="E783" s="96" t="n"/>
      <c r="F783" s="96" t="n"/>
      <c r="G783" s="95">
        <f>IFERROR(VLOOKUP(F783,'12. Contratos_OS'!$A$6:$L$1000,2,FALSE),"")</f>
        <v/>
      </c>
      <c r="H783" s="95">
        <f>IFERROR(VLOOKUP(F783,'12. Contratos_OS'!$A$6:$L$1000,3,FALSE),"")</f>
        <v/>
      </c>
      <c r="I783" s="95">
        <f>IFERROR(VLOOKUP(F783,'12. Contratos_OS'!$A$6:$L$1000,4,FALSE),"")</f>
        <v/>
      </c>
      <c r="J783" s="95">
        <f>IFERROR(VLOOKUP(F783,'12. Contratos_OS'!$A$6:$L$1000,7,FALSE),"")</f>
        <v/>
      </c>
      <c r="K783" s="95">
        <f>IFERROR(VLOOKUP(J783,'11. Cadastro de Serviços'!$A$6:$E$200,2,FALSE),"")</f>
        <v/>
      </c>
      <c r="L783" s="95">
        <f>IFERROR(VLOOKUP(J783,'11. Cadastro de Serviços'!$A$6:$E$200,3,FALSE),"")</f>
        <v/>
      </c>
      <c r="M783" s="95">
        <f>IFERROR(VLOOKUP(J783,'11. Cadastro de Serviços'!$A$6:$E$200,4,FALSE),"")</f>
        <v/>
      </c>
      <c r="N783" s="95" t="n"/>
      <c r="O783" s="95">
        <f>IF(AND(G783&lt;&gt;"",I783&lt;&gt;"",J783&lt;&gt;"",M783&lt;&gt;""),"Rastreado","Revisar")</f>
        <v/>
      </c>
      <c r="P783" s="96" t="n"/>
    </row>
    <row r="784">
      <c r="A784" s="95" t="n"/>
      <c r="B784" s="96" t="n"/>
      <c r="C784" s="96" t="n"/>
      <c r="D784" s="95" t="n"/>
      <c r="E784" s="96" t="n"/>
      <c r="F784" s="96" t="n"/>
      <c r="G784" s="95">
        <f>IFERROR(VLOOKUP(F784,'12. Contratos_OS'!$A$6:$L$1000,2,FALSE),"")</f>
        <v/>
      </c>
      <c r="H784" s="95">
        <f>IFERROR(VLOOKUP(F784,'12. Contratos_OS'!$A$6:$L$1000,3,FALSE),"")</f>
        <v/>
      </c>
      <c r="I784" s="95">
        <f>IFERROR(VLOOKUP(F784,'12. Contratos_OS'!$A$6:$L$1000,4,FALSE),"")</f>
        <v/>
      </c>
      <c r="J784" s="95">
        <f>IFERROR(VLOOKUP(F784,'12. Contratos_OS'!$A$6:$L$1000,7,FALSE),"")</f>
        <v/>
      </c>
      <c r="K784" s="95">
        <f>IFERROR(VLOOKUP(J784,'11. Cadastro de Serviços'!$A$6:$E$200,2,FALSE),"")</f>
        <v/>
      </c>
      <c r="L784" s="95">
        <f>IFERROR(VLOOKUP(J784,'11. Cadastro de Serviços'!$A$6:$E$200,3,FALSE),"")</f>
        <v/>
      </c>
      <c r="M784" s="95">
        <f>IFERROR(VLOOKUP(J784,'11. Cadastro de Serviços'!$A$6:$E$200,4,FALSE),"")</f>
        <v/>
      </c>
      <c r="N784" s="95" t="n"/>
      <c r="O784" s="95">
        <f>IF(AND(G784&lt;&gt;"",I784&lt;&gt;"",J784&lt;&gt;"",M784&lt;&gt;""),"Rastreado","Revisar")</f>
        <v/>
      </c>
      <c r="P784" s="96" t="n"/>
    </row>
    <row r="785">
      <c r="A785" s="95" t="n"/>
      <c r="B785" s="96" t="n"/>
      <c r="C785" s="96" t="n"/>
      <c r="D785" s="95" t="n"/>
      <c r="E785" s="96" t="n"/>
      <c r="F785" s="96" t="n"/>
      <c r="G785" s="95">
        <f>IFERROR(VLOOKUP(F785,'12. Contratos_OS'!$A$6:$L$1000,2,FALSE),"")</f>
        <v/>
      </c>
      <c r="H785" s="95">
        <f>IFERROR(VLOOKUP(F785,'12. Contratos_OS'!$A$6:$L$1000,3,FALSE),"")</f>
        <v/>
      </c>
      <c r="I785" s="95">
        <f>IFERROR(VLOOKUP(F785,'12. Contratos_OS'!$A$6:$L$1000,4,FALSE),"")</f>
        <v/>
      </c>
      <c r="J785" s="95">
        <f>IFERROR(VLOOKUP(F785,'12. Contratos_OS'!$A$6:$L$1000,7,FALSE),"")</f>
        <v/>
      </c>
      <c r="K785" s="95">
        <f>IFERROR(VLOOKUP(J785,'11. Cadastro de Serviços'!$A$6:$E$200,2,FALSE),"")</f>
        <v/>
      </c>
      <c r="L785" s="95">
        <f>IFERROR(VLOOKUP(J785,'11. Cadastro de Serviços'!$A$6:$E$200,3,FALSE),"")</f>
        <v/>
      </c>
      <c r="M785" s="95">
        <f>IFERROR(VLOOKUP(J785,'11. Cadastro de Serviços'!$A$6:$E$200,4,FALSE),"")</f>
        <v/>
      </c>
      <c r="N785" s="95" t="n"/>
      <c r="O785" s="95">
        <f>IF(AND(G785&lt;&gt;"",I785&lt;&gt;"",J785&lt;&gt;"",M785&lt;&gt;""),"Rastreado","Revisar")</f>
        <v/>
      </c>
      <c r="P785" s="96" t="n"/>
    </row>
    <row r="786">
      <c r="A786" s="95" t="n"/>
      <c r="B786" s="96" t="n"/>
      <c r="C786" s="96" t="n"/>
      <c r="D786" s="95" t="n"/>
      <c r="E786" s="96" t="n"/>
      <c r="F786" s="96" t="n"/>
      <c r="G786" s="95">
        <f>IFERROR(VLOOKUP(F786,'12. Contratos_OS'!$A$6:$L$1000,2,FALSE),"")</f>
        <v/>
      </c>
      <c r="H786" s="95">
        <f>IFERROR(VLOOKUP(F786,'12. Contratos_OS'!$A$6:$L$1000,3,FALSE),"")</f>
        <v/>
      </c>
      <c r="I786" s="95">
        <f>IFERROR(VLOOKUP(F786,'12. Contratos_OS'!$A$6:$L$1000,4,FALSE),"")</f>
        <v/>
      </c>
      <c r="J786" s="95">
        <f>IFERROR(VLOOKUP(F786,'12. Contratos_OS'!$A$6:$L$1000,7,FALSE),"")</f>
        <v/>
      </c>
      <c r="K786" s="95">
        <f>IFERROR(VLOOKUP(J786,'11. Cadastro de Serviços'!$A$6:$E$200,2,FALSE),"")</f>
        <v/>
      </c>
      <c r="L786" s="95">
        <f>IFERROR(VLOOKUP(J786,'11. Cadastro de Serviços'!$A$6:$E$200,3,FALSE),"")</f>
        <v/>
      </c>
      <c r="M786" s="95">
        <f>IFERROR(VLOOKUP(J786,'11. Cadastro de Serviços'!$A$6:$E$200,4,FALSE),"")</f>
        <v/>
      </c>
      <c r="N786" s="95" t="n"/>
      <c r="O786" s="95">
        <f>IF(AND(G786&lt;&gt;"",I786&lt;&gt;"",J786&lt;&gt;"",M786&lt;&gt;""),"Rastreado","Revisar")</f>
        <v/>
      </c>
      <c r="P786" s="96" t="n"/>
    </row>
    <row r="787">
      <c r="A787" s="95" t="n"/>
      <c r="B787" s="96" t="n"/>
      <c r="C787" s="96" t="n"/>
      <c r="D787" s="95" t="n"/>
      <c r="E787" s="96" t="n"/>
      <c r="F787" s="96" t="n"/>
      <c r="G787" s="95">
        <f>IFERROR(VLOOKUP(F787,'12. Contratos_OS'!$A$6:$L$1000,2,FALSE),"")</f>
        <v/>
      </c>
      <c r="H787" s="95">
        <f>IFERROR(VLOOKUP(F787,'12. Contratos_OS'!$A$6:$L$1000,3,FALSE),"")</f>
        <v/>
      </c>
      <c r="I787" s="95">
        <f>IFERROR(VLOOKUP(F787,'12. Contratos_OS'!$A$6:$L$1000,4,FALSE),"")</f>
        <v/>
      </c>
      <c r="J787" s="95">
        <f>IFERROR(VLOOKUP(F787,'12. Contratos_OS'!$A$6:$L$1000,7,FALSE),"")</f>
        <v/>
      </c>
      <c r="K787" s="95">
        <f>IFERROR(VLOOKUP(J787,'11. Cadastro de Serviços'!$A$6:$E$200,2,FALSE),"")</f>
        <v/>
      </c>
      <c r="L787" s="95">
        <f>IFERROR(VLOOKUP(J787,'11. Cadastro de Serviços'!$A$6:$E$200,3,FALSE),"")</f>
        <v/>
      </c>
      <c r="M787" s="95">
        <f>IFERROR(VLOOKUP(J787,'11. Cadastro de Serviços'!$A$6:$E$200,4,FALSE),"")</f>
        <v/>
      </c>
      <c r="N787" s="95" t="n"/>
      <c r="O787" s="95">
        <f>IF(AND(G787&lt;&gt;"",I787&lt;&gt;"",J787&lt;&gt;"",M787&lt;&gt;""),"Rastreado","Revisar")</f>
        <v/>
      </c>
      <c r="P787" s="96" t="n"/>
    </row>
    <row r="788">
      <c r="A788" s="95" t="n"/>
      <c r="B788" s="96" t="n"/>
      <c r="C788" s="96" t="n"/>
      <c r="D788" s="95" t="n"/>
      <c r="E788" s="96" t="n"/>
      <c r="F788" s="96" t="n"/>
      <c r="G788" s="95">
        <f>IFERROR(VLOOKUP(F788,'12. Contratos_OS'!$A$6:$L$1000,2,FALSE),"")</f>
        <v/>
      </c>
      <c r="H788" s="95">
        <f>IFERROR(VLOOKUP(F788,'12. Contratos_OS'!$A$6:$L$1000,3,FALSE),"")</f>
        <v/>
      </c>
      <c r="I788" s="95">
        <f>IFERROR(VLOOKUP(F788,'12. Contratos_OS'!$A$6:$L$1000,4,FALSE),"")</f>
        <v/>
      </c>
      <c r="J788" s="95">
        <f>IFERROR(VLOOKUP(F788,'12. Contratos_OS'!$A$6:$L$1000,7,FALSE),"")</f>
        <v/>
      </c>
      <c r="K788" s="95">
        <f>IFERROR(VLOOKUP(J788,'11. Cadastro de Serviços'!$A$6:$E$200,2,FALSE),"")</f>
        <v/>
      </c>
      <c r="L788" s="95">
        <f>IFERROR(VLOOKUP(J788,'11. Cadastro de Serviços'!$A$6:$E$200,3,FALSE),"")</f>
        <v/>
      </c>
      <c r="M788" s="95">
        <f>IFERROR(VLOOKUP(J788,'11. Cadastro de Serviços'!$A$6:$E$200,4,FALSE),"")</f>
        <v/>
      </c>
      <c r="N788" s="95" t="n"/>
      <c r="O788" s="95">
        <f>IF(AND(G788&lt;&gt;"",I788&lt;&gt;"",J788&lt;&gt;"",M788&lt;&gt;""),"Rastreado","Revisar")</f>
        <v/>
      </c>
      <c r="P788" s="96" t="n"/>
    </row>
    <row r="789">
      <c r="A789" s="95" t="n"/>
      <c r="B789" s="96" t="n"/>
      <c r="C789" s="96" t="n"/>
      <c r="D789" s="95" t="n"/>
      <c r="E789" s="96" t="n"/>
      <c r="F789" s="96" t="n"/>
      <c r="G789" s="95">
        <f>IFERROR(VLOOKUP(F789,'12. Contratos_OS'!$A$6:$L$1000,2,FALSE),"")</f>
        <v/>
      </c>
      <c r="H789" s="95">
        <f>IFERROR(VLOOKUP(F789,'12. Contratos_OS'!$A$6:$L$1000,3,FALSE),"")</f>
        <v/>
      </c>
      <c r="I789" s="95">
        <f>IFERROR(VLOOKUP(F789,'12. Contratos_OS'!$A$6:$L$1000,4,FALSE),"")</f>
        <v/>
      </c>
      <c r="J789" s="95">
        <f>IFERROR(VLOOKUP(F789,'12. Contratos_OS'!$A$6:$L$1000,7,FALSE),"")</f>
        <v/>
      </c>
      <c r="K789" s="95">
        <f>IFERROR(VLOOKUP(J789,'11. Cadastro de Serviços'!$A$6:$E$200,2,FALSE),"")</f>
        <v/>
      </c>
      <c r="L789" s="95">
        <f>IFERROR(VLOOKUP(J789,'11. Cadastro de Serviços'!$A$6:$E$200,3,FALSE),"")</f>
        <v/>
      </c>
      <c r="M789" s="95">
        <f>IFERROR(VLOOKUP(J789,'11. Cadastro de Serviços'!$A$6:$E$200,4,FALSE),"")</f>
        <v/>
      </c>
      <c r="N789" s="95" t="n"/>
      <c r="O789" s="95">
        <f>IF(AND(G789&lt;&gt;"",I789&lt;&gt;"",J789&lt;&gt;"",M789&lt;&gt;""),"Rastreado","Revisar")</f>
        <v/>
      </c>
      <c r="P789" s="96" t="n"/>
    </row>
    <row r="790">
      <c r="A790" s="95" t="n"/>
      <c r="B790" s="96" t="n"/>
      <c r="C790" s="96" t="n"/>
      <c r="D790" s="95" t="n"/>
      <c r="E790" s="96" t="n"/>
      <c r="F790" s="96" t="n"/>
      <c r="G790" s="95">
        <f>IFERROR(VLOOKUP(F790,'12. Contratos_OS'!$A$6:$L$1000,2,FALSE),"")</f>
        <v/>
      </c>
      <c r="H790" s="95">
        <f>IFERROR(VLOOKUP(F790,'12. Contratos_OS'!$A$6:$L$1000,3,FALSE),"")</f>
        <v/>
      </c>
      <c r="I790" s="95">
        <f>IFERROR(VLOOKUP(F790,'12. Contratos_OS'!$A$6:$L$1000,4,FALSE),"")</f>
        <v/>
      </c>
      <c r="J790" s="95">
        <f>IFERROR(VLOOKUP(F790,'12. Contratos_OS'!$A$6:$L$1000,7,FALSE),"")</f>
        <v/>
      </c>
      <c r="K790" s="95">
        <f>IFERROR(VLOOKUP(J790,'11. Cadastro de Serviços'!$A$6:$E$200,2,FALSE),"")</f>
        <v/>
      </c>
      <c r="L790" s="95">
        <f>IFERROR(VLOOKUP(J790,'11. Cadastro de Serviços'!$A$6:$E$200,3,FALSE),"")</f>
        <v/>
      </c>
      <c r="M790" s="95">
        <f>IFERROR(VLOOKUP(J790,'11. Cadastro de Serviços'!$A$6:$E$200,4,FALSE),"")</f>
        <v/>
      </c>
      <c r="N790" s="95" t="n"/>
      <c r="O790" s="95">
        <f>IF(AND(G790&lt;&gt;"",I790&lt;&gt;"",J790&lt;&gt;"",M790&lt;&gt;""),"Rastreado","Revisar")</f>
        <v/>
      </c>
      <c r="P790" s="96" t="n"/>
    </row>
    <row r="791">
      <c r="A791" s="95" t="n"/>
      <c r="B791" s="96" t="n"/>
      <c r="C791" s="96" t="n"/>
      <c r="D791" s="95" t="n"/>
      <c r="E791" s="96" t="n"/>
      <c r="F791" s="96" t="n"/>
      <c r="G791" s="95">
        <f>IFERROR(VLOOKUP(F791,'12. Contratos_OS'!$A$6:$L$1000,2,FALSE),"")</f>
        <v/>
      </c>
      <c r="H791" s="95">
        <f>IFERROR(VLOOKUP(F791,'12. Contratos_OS'!$A$6:$L$1000,3,FALSE),"")</f>
        <v/>
      </c>
      <c r="I791" s="95">
        <f>IFERROR(VLOOKUP(F791,'12. Contratos_OS'!$A$6:$L$1000,4,FALSE),"")</f>
        <v/>
      </c>
      <c r="J791" s="95">
        <f>IFERROR(VLOOKUP(F791,'12. Contratos_OS'!$A$6:$L$1000,7,FALSE),"")</f>
        <v/>
      </c>
      <c r="K791" s="95">
        <f>IFERROR(VLOOKUP(J791,'11. Cadastro de Serviços'!$A$6:$E$200,2,FALSE),"")</f>
        <v/>
      </c>
      <c r="L791" s="95">
        <f>IFERROR(VLOOKUP(J791,'11. Cadastro de Serviços'!$A$6:$E$200,3,FALSE),"")</f>
        <v/>
      </c>
      <c r="M791" s="95">
        <f>IFERROR(VLOOKUP(J791,'11. Cadastro de Serviços'!$A$6:$E$200,4,FALSE),"")</f>
        <v/>
      </c>
      <c r="N791" s="95" t="n"/>
      <c r="O791" s="95">
        <f>IF(AND(G791&lt;&gt;"",I791&lt;&gt;"",J791&lt;&gt;"",M791&lt;&gt;""),"Rastreado","Revisar")</f>
        <v/>
      </c>
      <c r="P791" s="96" t="n"/>
    </row>
    <row r="792">
      <c r="A792" s="95" t="n"/>
      <c r="B792" s="96" t="n"/>
      <c r="C792" s="96" t="n"/>
      <c r="D792" s="95" t="n"/>
      <c r="E792" s="96" t="n"/>
      <c r="F792" s="96" t="n"/>
      <c r="G792" s="95">
        <f>IFERROR(VLOOKUP(F792,'12. Contratos_OS'!$A$6:$L$1000,2,FALSE),"")</f>
        <v/>
      </c>
      <c r="H792" s="95">
        <f>IFERROR(VLOOKUP(F792,'12. Contratos_OS'!$A$6:$L$1000,3,FALSE),"")</f>
        <v/>
      </c>
      <c r="I792" s="95">
        <f>IFERROR(VLOOKUP(F792,'12. Contratos_OS'!$A$6:$L$1000,4,FALSE),"")</f>
        <v/>
      </c>
      <c r="J792" s="95">
        <f>IFERROR(VLOOKUP(F792,'12. Contratos_OS'!$A$6:$L$1000,7,FALSE),"")</f>
        <v/>
      </c>
      <c r="K792" s="95">
        <f>IFERROR(VLOOKUP(J792,'11. Cadastro de Serviços'!$A$6:$E$200,2,FALSE),"")</f>
        <v/>
      </c>
      <c r="L792" s="95">
        <f>IFERROR(VLOOKUP(J792,'11. Cadastro de Serviços'!$A$6:$E$200,3,FALSE),"")</f>
        <v/>
      </c>
      <c r="M792" s="95">
        <f>IFERROR(VLOOKUP(J792,'11. Cadastro de Serviços'!$A$6:$E$200,4,FALSE),"")</f>
        <v/>
      </c>
      <c r="N792" s="95" t="n"/>
      <c r="O792" s="95">
        <f>IF(AND(G792&lt;&gt;"",I792&lt;&gt;"",J792&lt;&gt;"",M792&lt;&gt;""),"Rastreado","Revisar")</f>
        <v/>
      </c>
      <c r="P792" s="96" t="n"/>
    </row>
    <row r="793">
      <c r="A793" s="95" t="n"/>
      <c r="B793" s="96" t="n"/>
      <c r="C793" s="96" t="n"/>
      <c r="D793" s="95" t="n"/>
      <c r="E793" s="96" t="n"/>
      <c r="F793" s="96" t="n"/>
      <c r="G793" s="95">
        <f>IFERROR(VLOOKUP(F793,'12. Contratos_OS'!$A$6:$L$1000,2,FALSE),"")</f>
        <v/>
      </c>
      <c r="H793" s="95">
        <f>IFERROR(VLOOKUP(F793,'12. Contratos_OS'!$A$6:$L$1000,3,FALSE),"")</f>
        <v/>
      </c>
      <c r="I793" s="95">
        <f>IFERROR(VLOOKUP(F793,'12. Contratos_OS'!$A$6:$L$1000,4,FALSE),"")</f>
        <v/>
      </c>
      <c r="J793" s="95">
        <f>IFERROR(VLOOKUP(F793,'12. Contratos_OS'!$A$6:$L$1000,7,FALSE),"")</f>
        <v/>
      </c>
      <c r="K793" s="95">
        <f>IFERROR(VLOOKUP(J793,'11. Cadastro de Serviços'!$A$6:$E$200,2,FALSE),"")</f>
        <v/>
      </c>
      <c r="L793" s="95">
        <f>IFERROR(VLOOKUP(J793,'11. Cadastro de Serviços'!$A$6:$E$200,3,FALSE),"")</f>
        <v/>
      </c>
      <c r="M793" s="95">
        <f>IFERROR(VLOOKUP(J793,'11. Cadastro de Serviços'!$A$6:$E$200,4,FALSE),"")</f>
        <v/>
      </c>
      <c r="N793" s="95" t="n"/>
      <c r="O793" s="95">
        <f>IF(AND(G793&lt;&gt;"",I793&lt;&gt;"",J793&lt;&gt;"",M793&lt;&gt;""),"Rastreado","Revisar")</f>
        <v/>
      </c>
      <c r="P793" s="96" t="n"/>
    </row>
    <row r="794">
      <c r="A794" s="95" t="n"/>
      <c r="B794" s="96" t="n"/>
      <c r="C794" s="96" t="n"/>
      <c r="D794" s="95" t="n"/>
      <c r="E794" s="96" t="n"/>
      <c r="F794" s="96" t="n"/>
      <c r="G794" s="95">
        <f>IFERROR(VLOOKUP(F794,'12. Contratos_OS'!$A$6:$L$1000,2,FALSE),"")</f>
        <v/>
      </c>
      <c r="H794" s="95">
        <f>IFERROR(VLOOKUP(F794,'12. Contratos_OS'!$A$6:$L$1000,3,FALSE),"")</f>
        <v/>
      </c>
      <c r="I794" s="95">
        <f>IFERROR(VLOOKUP(F794,'12. Contratos_OS'!$A$6:$L$1000,4,FALSE),"")</f>
        <v/>
      </c>
      <c r="J794" s="95">
        <f>IFERROR(VLOOKUP(F794,'12. Contratos_OS'!$A$6:$L$1000,7,FALSE),"")</f>
        <v/>
      </c>
      <c r="K794" s="95">
        <f>IFERROR(VLOOKUP(J794,'11. Cadastro de Serviços'!$A$6:$E$200,2,FALSE),"")</f>
        <v/>
      </c>
      <c r="L794" s="95">
        <f>IFERROR(VLOOKUP(J794,'11. Cadastro de Serviços'!$A$6:$E$200,3,FALSE),"")</f>
        <v/>
      </c>
      <c r="M794" s="95">
        <f>IFERROR(VLOOKUP(J794,'11. Cadastro de Serviços'!$A$6:$E$200,4,FALSE),"")</f>
        <v/>
      </c>
      <c r="N794" s="95" t="n"/>
      <c r="O794" s="95">
        <f>IF(AND(G794&lt;&gt;"",I794&lt;&gt;"",J794&lt;&gt;"",M794&lt;&gt;""),"Rastreado","Revisar")</f>
        <v/>
      </c>
      <c r="P794" s="96" t="n"/>
    </row>
    <row r="795">
      <c r="A795" s="95" t="n"/>
      <c r="B795" s="96" t="n"/>
      <c r="C795" s="96" t="n"/>
      <c r="D795" s="95" t="n"/>
      <c r="E795" s="96" t="n"/>
      <c r="F795" s="96" t="n"/>
      <c r="G795" s="95">
        <f>IFERROR(VLOOKUP(F795,'12. Contratos_OS'!$A$6:$L$1000,2,FALSE),"")</f>
        <v/>
      </c>
      <c r="H795" s="95">
        <f>IFERROR(VLOOKUP(F795,'12. Contratos_OS'!$A$6:$L$1000,3,FALSE),"")</f>
        <v/>
      </c>
      <c r="I795" s="95">
        <f>IFERROR(VLOOKUP(F795,'12. Contratos_OS'!$A$6:$L$1000,4,FALSE),"")</f>
        <v/>
      </c>
      <c r="J795" s="95">
        <f>IFERROR(VLOOKUP(F795,'12. Contratos_OS'!$A$6:$L$1000,7,FALSE),"")</f>
        <v/>
      </c>
      <c r="K795" s="95">
        <f>IFERROR(VLOOKUP(J795,'11. Cadastro de Serviços'!$A$6:$E$200,2,FALSE),"")</f>
        <v/>
      </c>
      <c r="L795" s="95">
        <f>IFERROR(VLOOKUP(J795,'11. Cadastro de Serviços'!$A$6:$E$200,3,FALSE),"")</f>
        <v/>
      </c>
      <c r="M795" s="95">
        <f>IFERROR(VLOOKUP(J795,'11. Cadastro de Serviços'!$A$6:$E$200,4,FALSE),"")</f>
        <v/>
      </c>
      <c r="N795" s="95" t="n"/>
      <c r="O795" s="95">
        <f>IF(AND(G795&lt;&gt;"",I795&lt;&gt;"",J795&lt;&gt;"",M795&lt;&gt;""),"Rastreado","Revisar")</f>
        <v/>
      </c>
      <c r="P795" s="96" t="n"/>
    </row>
    <row r="796">
      <c r="A796" s="95" t="n"/>
      <c r="B796" s="96" t="n"/>
      <c r="C796" s="96" t="n"/>
      <c r="D796" s="95" t="n"/>
      <c r="E796" s="96" t="n"/>
      <c r="F796" s="96" t="n"/>
      <c r="G796" s="95">
        <f>IFERROR(VLOOKUP(F796,'12. Contratos_OS'!$A$6:$L$1000,2,FALSE),"")</f>
        <v/>
      </c>
      <c r="H796" s="95">
        <f>IFERROR(VLOOKUP(F796,'12. Contratos_OS'!$A$6:$L$1000,3,FALSE),"")</f>
        <v/>
      </c>
      <c r="I796" s="95">
        <f>IFERROR(VLOOKUP(F796,'12. Contratos_OS'!$A$6:$L$1000,4,FALSE),"")</f>
        <v/>
      </c>
      <c r="J796" s="95">
        <f>IFERROR(VLOOKUP(F796,'12. Contratos_OS'!$A$6:$L$1000,7,FALSE),"")</f>
        <v/>
      </c>
      <c r="K796" s="95">
        <f>IFERROR(VLOOKUP(J796,'11. Cadastro de Serviços'!$A$6:$E$200,2,FALSE),"")</f>
        <v/>
      </c>
      <c r="L796" s="95">
        <f>IFERROR(VLOOKUP(J796,'11. Cadastro de Serviços'!$A$6:$E$200,3,FALSE),"")</f>
        <v/>
      </c>
      <c r="M796" s="95">
        <f>IFERROR(VLOOKUP(J796,'11. Cadastro de Serviços'!$A$6:$E$200,4,FALSE),"")</f>
        <v/>
      </c>
      <c r="N796" s="95" t="n"/>
      <c r="O796" s="95">
        <f>IF(AND(G796&lt;&gt;"",I796&lt;&gt;"",J796&lt;&gt;"",M796&lt;&gt;""),"Rastreado","Revisar")</f>
        <v/>
      </c>
      <c r="P796" s="96" t="n"/>
    </row>
    <row r="797">
      <c r="A797" s="95" t="n"/>
      <c r="B797" s="96" t="n"/>
      <c r="C797" s="96" t="n"/>
      <c r="D797" s="95" t="n"/>
      <c r="E797" s="96" t="n"/>
      <c r="F797" s="96" t="n"/>
      <c r="G797" s="95">
        <f>IFERROR(VLOOKUP(F797,'12. Contratos_OS'!$A$6:$L$1000,2,FALSE),"")</f>
        <v/>
      </c>
      <c r="H797" s="95">
        <f>IFERROR(VLOOKUP(F797,'12. Contratos_OS'!$A$6:$L$1000,3,FALSE),"")</f>
        <v/>
      </c>
      <c r="I797" s="95">
        <f>IFERROR(VLOOKUP(F797,'12. Contratos_OS'!$A$6:$L$1000,4,FALSE),"")</f>
        <v/>
      </c>
      <c r="J797" s="95">
        <f>IFERROR(VLOOKUP(F797,'12. Contratos_OS'!$A$6:$L$1000,7,FALSE),"")</f>
        <v/>
      </c>
      <c r="K797" s="95">
        <f>IFERROR(VLOOKUP(J797,'11. Cadastro de Serviços'!$A$6:$E$200,2,FALSE),"")</f>
        <v/>
      </c>
      <c r="L797" s="95">
        <f>IFERROR(VLOOKUP(J797,'11. Cadastro de Serviços'!$A$6:$E$200,3,FALSE),"")</f>
        <v/>
      </c>
      <c r="M797" s="95">
        <f>IFERROR(VLOOKUP(J797,'11. Cadastro de Serviços'!$A$6:$E$200,4,FALSE),"")</f>
        <v/>
      </c>
      <c r="N797" s="95" t="n"/>
      <c r="O797" s="95">
        <f>IF(AND(G797&lt;&gt;"",I797&lt;&gt;"",J797&lt;&gt;"",M797&lt;&gt;""),"Rastreado","Revisar")</f>
        <v/>
      </c>
      <c r="P797" s="96" t="n"/>
    </row>
    <row r="798">
      <c r="A798" s="95" t="n"/>
      <c r="B798" s="96" t="n"/>
      <c r="C798" s="96" t="n"/>
      <c r="D798" s="95" t="n"/>
      <c r="E798" s="96" t="n"/>
      <c r="F798" s="96" t="n"/>
      <c r="G798" s="95">
        <f>IFERROR(VLOOKUP(F798,'12. Contratos_OS'!$A$6:$L$1000,2,FALSE),"")</f>
        <v/>
      </c>
      <c r="H798" s="95">
        <f>IFERROR(VLOOKUP(F798,'12. Contratos_OS'!$A$6:$L$1000,3,FALSE),"")</f>
        <v/>
      </c>
      <c r="I798" s="95">
        <f>IFERROR(VLOOKUP(F798,'12. Contratos_OS'!$A$6:$L$1000,4,FALSE),"")</f>
        <v/>
      </c>
      <c r="J798" s="95">
        <f>IFERROR(VLOOKUP(F798,'12. Contratos_OS'!$A$6:$L$1000,7,FALSE),"")</f>
        <v/>
      </c>
      <c r="K798" s="95">
        <f>IFERROR(VLOOKUP(J798,'11. Cadastro de Serviços'!$A$6:$E$200,2,FALSE),"")</f>
        <v/>
      </c>
      <c r="L798" s="95">
        <f>IFERROR(VLOOKUP(J798,'11. Cadastro de Serviços'!$A$6:$E$200,3,FALSE),"")</f>
        <v/>
      </c>
      <c r="M798" s="95">
        <f>IFERROR(VLOOKUP(J798,'11. Cadastro de Serviços'!$A$6:$E$200,4,FALSE),"")</f>
        <v/>
      </c>
      <c r="N798" s="95" t="n"/>
      <c r="O798" s="95">
        <f>IF(AND(G798&lt;&gt;"",I798&lt;&gt;"",J798&lt;&gt;"",M798&lt;&gt;""),"Rastreado","Revisar")</f>
        <v/>
      </c>
      <c r="P798" s="96" t="n"/>
    </row>
    <row r="799">
      <c r="A799" s="95" t="n"/>
      <c r="B799" s="96" t="n"/>
      <c r="C799" s="96" t="n"/>
      <c r="D799" s="95" t="n"/>
      <c r="E799" s="96" t="n"/>
      <c r="F799" s="96" t="n"/>
      <c r="G799" s="95">
        <f>IFERROR(VLOOKUP(F799,'12. Contratos_OS'!$A$6:$L$1000,2,FALSE),"")</f>
        <v/>
      </c>
      <c r="H799" s="95">
        <f>IFERROR(VLOOKUP(F799,'12. Contratos_OS'!$A$6:$L$1000,3,FALSE),"")</f>
        <v/>
      </c>
      <c r="I799" s="95">
        <f>IFERROR(VLOOKUP(F799,'12. Contratos_OS'!$A$6:$L$1000,4,FALSE),"")</f>
        <v/>
      </c>
      <c r="J799" s="95">
        <f>IFERROR(VLOOKUP(F799,'12. Contratos_OS'!$A$6:$L$1000,7,FALSE),"")</f>
        <v/>
      </c>
      <c r="K799" s="95">
        <f>IFERROR(VLOOKUP(J799,'11. Cadastro de Serviços'!$A$6:$E$200,2,FALSE),"")</f>
        <v/>
      </c>
      <c r="L799" s="95">
        <f>IFERROR(VLOOKUP(J799,'11. Cadastro de Serviços'!$A$6:$E$200,3,FALSE),"")</f>
        <v/>
      </c>
      <c r="M799" s="95">
        <f>IFERROR(VLOOKUP(J799,'11. Cadastro de Serviços'!$A$6:$E$200,4,FALSE),"")</f>
        <v/>
      </c>
      <c r="N799" s="95" t="n"/>
      <c r="O799" s="95">
        <f>IF(AND(G799&lt;&gt;"",I799&lt;&gt;"",J799&lt;&gt;"",M799&lt;&gt;""),"Rastreado","Revisar")</f>
        <v/>
      </c>
      <c r="P799" s="96" t="n"/>
    </row>
    <row r="800">
      <c r="A800" s="95" t="n"/>
      <c r="B800" s="96" t="n"/>
      <c r="C800" s="96" t="n"/>
      <c r="D800" s="95" t="n"/>
      <c r="E800" s="96" t="n"/>
      <c r="F800" s="96" t="n"/>
      <c r="G800" s="95">
        <f>IFERROR(VLOOKUP(F800,'12. Contratos_OS'!$A$6:$L$1000,2,FALSE),"")</f>
        <v/>
      </c>
      <c r="H800" s="95">
        <f>IFERROR(VLOOKUP(F800,'12. Contratos_OS'!$A$6:$L$1000,3,FALSE),"")</f>
        <v/>
      </c>
      <c r="I800" s="95">
        <f>IFERROR(VLOOKUP(F800,'12. Contratos_OS'!$A$6:$L$1000,4,FALSE),"")</f>
        <v/>
      </c>
      <c r="J800" s="95">
        <f>IFERROR(VLOOKUP(F800,'12. Contratos_OS'!$A$6:$L$1000,7,FALSE),"")</f>
        <v/>
      </c>
      <c r="K800" s="95">
        <f>IFERROR(VLOOKUP(J800,'11. Cadastro de Serviços'!$A$6:$E$200,2,FALSE),"")</f>
        <v/>
      </c>
      <c r="L800" s="95">
        <f>IFERROR(VLOOKUP(J800,'11. Cadastro de Serviços'!$A$6:$E$200,3,FALSE),"")</f>
        <v/>
      </c>
      <c r="M800" s="95">
        <f>IFERROR(VLOOKUP(J800,'11. Cadastro de Serviços'!$A$6:$E$200,4,FALSE),"")</f>
        <v/>
      </c>
      <c r="N800" s="95" t="n"/>
      <c r="O800" s="95">
        <f>IF(AND(G800&lt;&gt;"",I800&lt;&gt;"",J800&lt;&gt;"",M800&lt;&gt;""),"Rastreado","Revisar")</f>
        <v/>
      </c>
      <c r="P800" s="96" t="n"/>
    </row>
    <row r="801">
      <c r="A801" s="95" t="n"/>
      <c r="B801" s="96" t="n"/>
      <c r="C801" s="96" t="n"/>
      <c r="D801" s="95" t="n"/>
      <c r="E801" s="96" t="n"/>
      <c r="F801" s="96" t="n"/>
      <c r="G801" s="95">
        <f>IFERROR(VLOOKUP(F801,'12. Contratos_OS'!$A$6:$L$1000,2,FALSE),"")</f>
        <v/>
      </c>
      <c r="H801" s="95">
        <f>IFERROR(VLOOKUP(F801,'12. Contratos_OS'!$A$6:$L$1000,3,FALSE),"")</f>
        <v/>
      </c>
      <c r="I801" s="95">
        <f>IFERROR(VLOOKUP(F801,'12. Contratos_OS'!$A$6:$L$1000,4,FALSE),"")</f>
        <v/>
      </c>
      <c r="J801" s="95">
        <f>IFERROR(VLOOKUP(F801,'12. Contratos_OS'!$A$6:$L$1000,7,FALSE),"")</f>
        <v/>
      </c>
      <c r="K801" s="95">
        <f>IFERROR(VLOOKUP(J801,'11. Cadastro de Serviços'!$A$6:$E$200,2,FALSE),"")</f>
        <v/>
      </c>
      <c r="L801" s="95">
        <f>IFERROR(VLOOKUP(J801,'11. Cadastro de Serviços'!$A$6:$E$200,3,FALSE),"")</f>
        <v/>
      </c>
      <c r="M801" s="95">
        <f>IFERROR(VLOOKUP(J801,'11. Cadastro de Serviços'!$A$6:$E$200,4,FALSE),"")</f>
        <v/>
      </c>
      <c r="N801" s="95" t="n"/>
      <c r="O801" s="95">
        <f>IF(AND(G801&lt;&gt;"",I801&lt;&gt;"",J801&lt;&gt;"",M801&lt;&gt;""),"Rastreado","Revisar")</f>
        <v/>
      </c>
      <c r="P801" s="96" t="n"/>
    </row>
    <row r="802">
      <c r="A802" s="95" t="n"/>
      <c r="B802" s="96" t="n"/>
      <c r="C802" s="96" t="n"/>
      <c r="D802" s="95" t="n"/>
      <c r="E802" s="96" t="n"/>
      <c r="F802" s="96" t="n"/>
      <c r="G802" s="95">
        <f>IFERROR(VLOOKUP(F802,'12. Contratos_OS'!$A$6:$L$1000,2,FALSE),"")</f>
        <v/>
      </c>
      <c r="H802" s="95">
        <f>IFERROR(VLOOKUP(F802,'12. Contratos_OS'!$A$6:$L$1000,3,FALSE),"")</f>
        <v/>
      </c>
      <c r="I802" s="95">
        <f>IFERROR(VLOOKUP(F802,'12. Contratos_OS'!$A$6:$L$1000,4,FALSE),"")</f>
        <v/>
      </c>
      <c r="J802" s="95">
        <f>IFERROR(VLOOKUP(F802,'12. Contratos_OS'!$A$6:$L$1000,7,FALSE),"")</f>
        <v/>
      </c>
      <c r="K802" s="95">
        <f>IFERROR(VLOOKUP(J802,'11. Cadastro de Serviços'!$A$6:$E$200,2,FALSE),"")</f>
        <v/>
      </c>
      <c r="L802" s="95">
        <f>IFERROR(VLOOKUP(J802,'11. Cadastro de Serviços'!$A$6:$E$200,3,FALSE),"")</f>
        <v/>
      </c>
      <c r="M802" s="95">
        <f>IFERROR(VLOOKUP(J802,'11. Cadastro de Serviços'!$A$6:$E$200,4,FALSE),"")</f>
        <v/>
      </c>
      <c r="N802" s="95" t="n"/>
      <c r="O802" s="95">
        <f>IF(AND(G802&lt;&gt;"",I802&lt;&gt;"",J802&lt;&gt;"",M802&lt;&gt;""),"Rastreado","Revisar")</f>
        <v/>
      </c>
      <c r="P802" s="96" t="n"/>
    </row>
    <row r="803">
      <c r="A803" s="95" t="n"/>
      <c r="B803" s="96" t="n"/>
      <c r="C803" s="96" t="n"/>
      <c r="D803" s="95" t="n"/>
      <c r="E803" s="96" t="n"/>
      <c r="F803" s="96" t="n"/>
      <c r="G803" s="95">
        <f>IFERROR(VLOOKUP(F803,'12. Contratos_OS'!$A$6:$L$1000,2,FALSE),"")</f>
        <v/>
      </c>
      <c r="H803" s="95">
        <f>IFERROR(VLOOKUP(F803,'12. Contratos_OS'!$A$6:$L$1000,3,FALSE),"")</f>
        <v/>
      </c>
      <c r="I803" s="95">
        <f>IFERROR(VLOOKUP(F803,'12. Contratos_OS'!$A$6:$L$1000,4,FALSE),"")</f>
        <v/>
      </c>
      <c r="J803" s="95">
        <f>IFERROR(VLOOKUP(F803,'12. Contratos_OS'!$A$6:$L$1000,7,FALSE),"")</f>
        <v/>
      </c>
      <c r="K803" s="95">
        <f>IFERROR(VLOOKUP(J803,'11. Cadastro de Serviços'!$A$6:$E$200,2,FALSE),"")</f>
        <v/>
      </c>
      <c r="L803" s="95">
        <f>IFERROR(VLOOKUP(J803,'11. Cadastro de Serviços'!$A$6:$E$200,3,FALSE),"")</f>
        <v/>
      </c>
      <c r="M803" s="95">
        <f>IFERROR(VLOOKUP(J803,'11. Cadastro de Serviços'!$A$6:$E$200,4,FALSE),"")</f>
        <v/>
      </c>
      <c r="N803" s="95" t="n"/>
      <c r="O803" s="95">
        <f>IF(AND(G803&lt;&gt;"",I803&lt;&gt;"",J803&lt;&gt;"",M803&lt;&gt;""),"Rastreado","Revisar")</f>
        <v/>
      </c>
      <c r="P803" s="96" t="n"/>
    </row>
    <row r="804">
      <c r="A804" s="95" t="n"/>
      <c r="B804" s="96" t="n"/>
      <c r="C804" s="96" t="n"/>
      <c r="D804" s="95" t="n"/>
      <c r="E804" s="96" t="n"/>
      <c r="F804" s="96" t="n"/>
      <c r="G804" s="95">
        <f>IFERROR(VLOOKUP(F804,'12. Contratos_OS'!$A$6:$L$1000,2,FALSE),"")</f>
        <v/>
      </c>
      <c r="H804" s="95">
        <f>IFERROR(VLOOKUP(F804,'12. Contratos_OS'!$A$6:$L$1000,3,FALSE),"")</f>
        <v/>
      </c>
      <c r="I804" s="95">
        <f>IFERROR(VLOOKUP(F804,'12. Contratos_OS'!$A$6:$L$1000,4,FALSE),"")</f>
        <v/>
      </c>
      <c r="J804" s="95">
        <f>IFERROR(VLOOKUP(F804,'12. Contratos_OS'!$A$6:$L$1000,7,FALSE),"")</f>
        <v/>
      </c>
      <c r="K804" s="95">
        <f>IFERROR(VLOOKUP(J804,'11. Cadastro de Serviços'!$A$6:$E$200,2,FALSE),"")</f>
        <v/>
      </c>
      <c r="L804" s="95">
        <f>IFERROR(VLOOKUP(J804,'11. Cadastro de Serviços'!$A$6:$E$200,3,FALSE),"")</f>
        <v/>
      </c>
      <c r="M804" s="95">
        <f>IFERROR(VLOOKUP(J804,'11. Cadastro de Serviços'!$A$6:$E$200,4,FALSE),"")</f>
        <v/>
      </c>
      <c r="N804" s="95" t="n"/>
      <c r="O804" s="95">
        <f>IF(AND(G804&lt;&gt;"",I804&lt;&gt;"",J804&lt;&gt;"",M804&lt;&gt;""),"Rastreado","Revisar")</f>
        <v/>
      </c>
      <c r="P804" s="96" t="n"/>
    </row>
    <row r="805">
      <c r="A805" s="95" t="n"/>
      <c r="B805" s="96" t="n"/>
      <c r="C805" s="96" t="n"/>
      <c r="D805" s="95" t="n"/>
      <c r="E805" s="96" t="n"/>
      <c r="F805" s="96" t="n"/>
      <c r="G805" s="95">
        <f>IFERROR(VLOOKUP(F805,'12. Contratos_OS'!$A$6:$L$1000,2,FALSE),"")</f>
        <v/>
      </c>
      <c r="H805" s="95">
        <f>IFERROR(VLOOKUP(F805,'12. Contratos_OS'!$A$6:$L$1000,3,FALSE),"")</f>
        <v/>
      </c>
      <c r="I805" s="95">
        <f>IFERROR(VLOOKUP(F805,'12. Contratos_OS'!$A$6:$L$1000,4,FALSE),"")</f>
        <v/>
      </c>
      <c r="J805" s="95">
        <f>IFERROR(VLOOKUP(F805,'12. Contratos_OS'!$A$6:$L$1000,7,FALSE),"")</f>
        <v/>
      </c>
      <c r="K805" s="95">
        <f>IFERROR(VLOOKUP(J805,'11. Cadastro de Serviços'!$A$6:$E$200,2,FALSE),"")</f>
        <v/>
      </c>
      <c r="L805" s="95">
        <f>IFERROR(VLOOKUP(J805,'11. Cadastro de Serviços'!$A$6:$E$200,3,FALSE),"")</f>
        <v/>
      </c>
      <c r="M805" s="95">
        <f>IFERROR(VLOOKUP(J805,'11. Cadastro de Serviços'!$A$6:$E$200,4,FALSE),"")</f>
        <v/>
      </c>
      <c r="N805" s="95" t="n"/>
      <c r="O805" s="95">
        <f>IF(AND(G805&lt;&gt;"",I805&lt;&gt;"",J805&lt;&gt;"",M805&lt;&gt;""),"Rastreado","Revisar")</f>
        <v/>
      </c>
      <c r="P805" s="96" t="n"/>
    </row>
    <row r="806">
      <c r="A806" s="95" t="n"/>
      <c r="B806" s="96" t="n"/>
      <c r="C806" s="96" t="n"/>
      <c r="D806" s="95" t="n"/>
      <c r="E806" s="96" t="n"/>
      <c r="F806" s="96" t="n"/>
      <c r="G806" s="95">
        <f>IFERROR(VLOOKUP(F806,'12. Contratos_OS'!$A$6:$L$1000,2,FALSE),"")</f>
        <v/>
      </c>
      <c r="H806" s="95">
        <f>IFERROR(VLOOKUP(F806,'12. Contratos_OS'!$A$6:$L$1000,3,FALSE),"")</f>
        <v/>
      </c>
      <c r="I806" s="95">
        <f>IFERROR(VLOOKUP(F806,'12. Contratos_OS'!$A$6:$L$1000,4,FALSE),"")</f>
        <v/>
      </c>
      <c r="J806" s="95">
        <f>IFERROR(VLOOKUP(F806,'12. Contratos_OS'!$A$6:$L$1000,7,FALSE),"")</f>
        <v/>
      </c>
      <c r="K806" s="95">
        <f>IFERROR(VLOOKUP(J806,'11. Cadastro de Serviços'!$A$6:$E$200,2,FALSE),"")</f>
        <v/>
      </c>
      <c r="L806" s="95">
        <f>IFERROR(VLOOKUP(J806,'11. Cadastro de Serviços'!$A$6:$E$200,3,FALSE),"")</f>
        <v/>
      </c>
      <c r="M806" s="95">
        <f>IFERROR(VLOOKUP(J806,'11. Cadastro de Serviços'!$A$6:$E$200,4,FALSE),"")</f>
        <v/>
      </c>
      <c r="N806" s="95" t="n"/>
      <c r="O806" s="95">
        <f>IF(AND(G806&lt;&gt;"",I806&lt;&gt;"",J806&lt;&gt;"",M806&lt;&gt;""),"Rastreado","Revisar")</f>
        <v/>
      </c>
      <c r="P806" s="96" t="n"/>
    </row>
    <row r="807">
      <c r="A807" s="95" t="n"/>
      <c r="B807" s="96" t="n"/>
      <c r="C807" s="96" t="n"/>
      <c r="D807" s="95" t="n"/>
      <c r="E807" s="96" t="n"/>
      <c r="F807" s="96" t="n"/>
      <c r="G807" s="95">
        <f>IFERROR(VLOOKUP(F807,'12. Contratos_OS'!$A$6:$L$1000,2,FALSE),"")</f>
        <v/>
      </c>
      <c r="H807" s="95">
        <f>IFERROR(VLOOKUP(F807,'12. Contratos_OS'!$A$6:$L$1000,3,FALSE),"")</f>
        <v/>
      </c>
      <c r="I807" s="95">
        <f>IFERROR(VLOOKUP(F807,'12. Contratos_OS'!$A$6:$L$1000,4,FALSE),"")</f>
        <v/>
      </c>
      <c r="J807" s="95">
        <f>IFERROR(VLOOKUP(F807,'12. Contratos_OS'!$A$6:$L$1000,7,FALSE),"")</f>
        <v/>
      </c>
      <c r="K807" s="95">
        <f>IFERROR(VLOOKUP(J807,'11. Cadastro de Serviços'!$A$6:$E$200,2,FALSE),"")</f>
        <v/>
      </c>
      <c r="L807" s="95">
        <f>IFERROR(VLOOKUP(J807,'11. Cadastro de Serviços'!$A$6:$E$200,3,FALSE),"")</f>
        <v/>
      </c>
      <c r="M807" s="95">
        <f>IFERROR(VLOOKUP(J807,'11. Cadastro de Serviços'!$A$6:$E$200,4,FALSE),"")</f>
        <v/>
      </c>
      <c r="N807" s="95" t="n"/>
      <c r="O807" s="95">
        <f>IF(AND(G807&lt;&gt;"",I807&lt;&gt;"",J807&lt;&gt;"",M807&lt;&gt;""),"Rastreado","Revisar")</f>
        <v/>
      </c>
      <c r="P807" s="96" t="n"/>
    </row>
    <row r="808">
      <c r="A808" s="95" t="n"/>
      <c r="B808" s="96" t="n"/>
      <c r="C808" s="96" t="n"/>
      <c r="D808" s="95" t="n"/>
      <c r="E808" s="96" t="n"/>
      <c r="F808" s="96" t="n"/>
      <c r="G808" s="95">
        <f>IFERROR(VLOOKUP(F808,'12. Contratos_OS'!$A$6:$L$1000,2,FALSE),"")</f>
        <v/>
      </c>
      <c r="H808" s="95">
        <f>IFERROR(VLOOKUP(F808,'12. Contratos_OS'!$A$6:$L$1000,3,FALSE),"")</f>
        <v/>
      </c>
      <c r="I808" s="95">
        <f>IFERROR(VLOOKUP(F808,'12. Contratos_OS'!$A$6:$L$1000,4,FALSE),"")</f>
        <v/>
      </c>
      <c r="J808" s="95">
        <f>IFERROR(VLOOKUP(F808,'12. Contratos_OS'!$A$6:$L$1000,7,FALSE),"")</f>
        <v/>
      </c>
      <c r="K808" s="95">
        <f>IFERROR(VLOOKUP(J808,'11. Cadastro de Serviços'!$A$6:$E$200,2,FALSE),"")</f>
        <v/>
      </c>
      <c r="L808" s="95">
        <f>IFERROR(VLOOKUP(J808,'11. Cadastro de Serviços'!$A$6:$E$200,3,FALSE),"")</f>
        <v/>
      </c>
      <c r="M808" s="95">
        <f>IFERROR(VLOOKUP(J808,'11. Cadastro de Serviços'!$A$6:$E$200,4,FALSE),"")</f>
        <v/>
      </c>
      <c r="N808" s="95" t="n"/>
      <c r="O808" s="95">
        <f>IF(AND(G808&lt;&gt;"",I808&lt;&gt;"",J808&lt;&gt;"",M808&lt;&gt;""),"Rastreado","Revisar")</f>
        <v/>
      </c>
      <c r="P808" s="96" t="n"/>
    </row>
    <row r="809">
      <c r="A809" s="95" t="n"/>
      <c r="B809" s="96" t="n"/>
      <c r="C809" s="96" t="n"/>
      <c r="D809" s="95" t="n"/>
      <c r="E809" s="96" t="n"/>
      <c r="F809" s="96" t="n"/>
      <c r="G809" s="95">
        <f>IFERROR(VLOOKUP(F809,'12. Contratos_OS'!$A$6:$L$1000,2,FALSE),"")</f>
        <v/>
      </c>
      <c r="H809" s="95">
        <f>IFERROR(VLOOKUP(F809,'12. Contratos_OS'!$A$6:$L$1000,3,FALSE),"")</f>
        <v/>
      </c>
      <c r="I809" s="95">
        <f>IFERROR(VLOOKUP(F809,'12. Contratos_OS'!$A$6:$L$1000,4,FALSE),"")</f>
        <v/>
      </c>
      <c r="J809" s="95">
        <f>IFERROR(VLOOKUP(F809,'12. Contratos_OS'!$A$6:$L$1000,7,FALSE),"")</f>
        <v/>
      </c>
      <c r="K809" s="95">
        <f>IFERROR(VLOOKUP(J809,'11. Cadastro de Serviços'!$A$6:$E$200,2,FALSE),"")</f>
        <v/>
      </c>
      <c r="L809" s="95">
        <f>IFERROR(VLOOKUP(J809,'11. Cadastro de Serviços'!$A$6:$E$200,3,FALSE),"")</f>
        <v/>
      </c>
      <c r="M809" s="95">
        <f>IFERROR(VLOOKUP(J809,'11. Cadastro de Serviços'!$A$6:$E$200,4,FALSE),"")</f>
        <v/>
      </c>
      <c r="N809" s="95" t="n"/>
      <c r="O809" s="95">
        <f>IF(AND(G809&lt;&gt;"",I809&lt;&gt;"",J809&lt;&gt;"",M809&lt;&gt;""),"Rastreado","Revisar")</f>
        <v/>
      </c>
      <c r="P809" s="96" t="n"/>
    </row>
    <row r="810">
      <c r="A810" s="95" t="n"/>
      <c r="B810" s="96" t="n"/>
      <c r="C810" s="96" t="n"/>
      <c r="D810" s="95" t="n"/>
      <c r="E810" s="96" t="n"/>
      <c r="F810" s="96" t="n"/>
      <c r="G810" s="95">
        <f>IFERROR(VLOOKUP(F810,'12. Contratos_OS'!$A$6:$L$1000,2,FALSE),"")</f>
        <v/>
      </c>
      <c r="H810" s="95">
        <f>IFERROR(VLOOKUP(F810,'12. Contratos_OS'!$A$6:$L$1000,3,FALSE),"")</f>
        <v/>
      </c>
      <c r="I810" s="95">
        <f>IFERROR(VLOOKUP(F810,'12. Contratos_OS'!$A$6:$L$1000,4,FALSE),"")</f>
        <v/>
      </c>
      <c r="J810" s="95">
        <f>IFERROR(VLOOKUP(F810,'12. Contratos_OS'!$A$6:$L$1000,7,FALSE),"")</f>
        <v/>
      </c>
      <c r="K810" s="95">
        <f>IFERROR(VLOOKUP(J810,'11. Cadastro de Serviços'!$A$6:$E$200,2,FALSE),"")</f>
        <v/>
      </c>
      <c r="L810" s="95">
        <f>IFERROR(VLOOKUP(J810,'11. Cadastro de Serviços'!$A$6:$E$200,3,FALSE),"")</f>
        <v/>
      </c>
      <c r="M810" s="95">
        <f>IFERROR(VLOOKUP(J810,'11. Cadastro de Serviços'!$A$6:$E$200,4,FALSE),"")</f>
        <v/>
      </c>
      <c r="N810" s="95" t="n"/>
      <c r="O810" s="95">
        <f>IF(AND(G810&lt;&gt;"",I810&lt;&gt;"",J810&lt;&gt;"",M810&lt;&gt;""),"Rastreado","Revisar")</f>
        <v/>
      </c>
      <c r="P810" s="96" t="n"/>
    </row>
    <row r="811">
      <c r="A811" s="95" t="n"/>
      <c r="B811" s="96" t="n"/>
      <c r="C811" s="96" t="n"/>
      <c r="D811" s="95" t="n"/>
      <c r="E811" s="96" t="n"/>
      <c r="F811" s="96" t="n"/>
      <c r="G811" s="95">
        <f>IFERROR(VLOOKUP(F811,'12. Contratos_OS'!$A$6:$L$1000,2,FALSE),"")</f>
        <v/>
      </c>
      <c r="H811" s="95">
        <f>IFERROR(VLOOKUP(F811,'12. Contratos_OS'!$A$6:$L$1000,3,FALSE),"")</f>
        <v/>
      </c>
      <c r="I811" s="95">
        <f>IFERROR(VLOOKUP(F811,'12. Contratos_OS'!$A$6:$L$1000,4,FALSE),"")</f>
        <v/>
      </c>
      <c r="J811" s="95">
        <f>IFERROR(VLOOKUP(F811,'12. Contratos_OS'!$A$6:$L$1000,7,FALSE),"")</f>
        <v/>
      </c>
      <c r="K811" s="95">
        <f>IFERROR(VLOOKUP(J811,'11. Cadastro de Serviços'!$A$6:$E$200,2,FALSE),"")</f>
        <v/>
      </c>
      <c r="L811" s="95">
        <f>IFERROR(VLOOKUP(J811,'11. Cadastro de Serviços'!$A$6:$E$200,3,FALSE),"")</f>
        <v/>
      </c>
      <c r="M811" s="95">
        <f>IFERROR(VLOOKUP(J811,'11. Cadastro de Serviços'!$A$6:$E$200,4,FALSE),"")</f>
        <v/>
      </c>
      <c r="N811" s="95" t="n"/>
      <c r="O811" s="95">
        <f>IF(AND(G811&lt;&gt;"",I811&lt;&gt;"",J811&lt;&gt;"",M811&lt;&gt;""),"Rastreado","Revisar")</f>
        <v/>
      </c>
      <c r="P811" s="96" t="n"/>
    </row>
    <row r="812">
      <c r="A812" s="95" t="n"/>
      <c r="B812" s="96" t="n"/>
      <c r="C812" s="96" t="n"/>
      <c r="D812" s="95" t="n"/>
      <c r="E812" s="96" t="n"/>
      <c r="F812" s="96" t="n"/>
      <c r="G812" s="95">
        <f>IFERROR(VLOOKUP(F812,'12. Contratos_OS'!$A$6:$L$1000,2,FALSE),"")</f>
        <v/>
      </c>
      <c r="H812" s="95">
        <f>IFERROR(VLOOKUP(F812,'12. Contratos_OS'!$A$6:$L$1000,3,FALSE),"")</f>
        <v/>
      </c>
      <c r="I812" s="95">
        <f>IFERROR(VLOOKUP(F812,'12. Contratos_OS'!$A$6:$L$1000,4,FALSE),"")</f>
        <v/>
      </c>
      <c r="J812" s="95">
        <f>IFERROR(VLOOKUP(F812,'12. Contratos_OS'!$A$6:$L$1000,7,FALSE),"")</f>
        <v/>
      </c>
      <c r="K812" s="95">
        <f>IFERROR(VLOOKUP(J812,'11. Cadastro de Serviços'!$A$6:$E$200,2,FALSE),"")</f>
        <v/>
      </c>
      <c r="L812" s="95">
        <f>IFERROR(VLOOKUP(J812,'11. Cadastro de Serviços'!$A$6:$E$200,3,FALSE),"")</f>
        <v/>
      </c>
      <c r="M812" s="95">
        <f>IFERROR(VLOOKUP(J812,'11. Cadastro de Serviços'!$A$6:$E$200,4,FALSE),"")</f>
        <v/>
      </c>
      <c r="N812" s="95" t="n"/>
      <c r="O812" s="95">
        <f>IF(AND(G812&lt;&gt;"",I812&lt;&gt;"",J812&lt;&gt;"",M812&lt;&gt;""),"Rastreado","Revisar")</f>
        <v/>
      </c>
      <c r="P812" s="96" t="n"/>
    </row>
    <row r="813">
      <c r="A813" s="95" t="n"/>
      <c r="B813" s="96" t="n"/>
      <c r="C813" s="96" t="n"/>
      <c r="D813" s="95" t="n"/>
      <c r="E813" s="96" t="n"/>
      <c r="F813" s="96" t="n"/>
      <c r="G813" s="95">
        <f>IFERROR(VLOOKUP(F813,'12. Contratos_OS'!$A$6:$L$1000,2,FALSE),"")</f>
        <v/>
      </c>
      <c r="H813" s="95">
        <f>IFERROR(VLOOKUP(F813,'12. Contratos_OS'!$A$6:$L$1000,3,FALSE),"")</f>
        <v/>
      </c>
      <c r="I813" s="95">
        <f>IFERROR(VLOOKUP(F813,'12. Contratos_OS'!$A$6:$L$1000,4,FALSE),"")</f>
        <v/>
      </c>
      <c r="J813" s="95">
        <f>IFERROR(VLOOKUP(F813,'12. Contratos_OS'!$A$6:$L$1000,7,FALSE),"")</f>
        <v/>
      </c>
      <c r="K813" s="95">
        <f>IFERROR(VLOOKUP(J813,'11. Cadastro de Serviços'!$A$6:$E$200,2,FALSE),"")</f>
        <v/>
      </c>
      <c r="L813" s="95">
        <f>IFERROR(VLOOKUP(J813,'11. Cadastro de Serviços'!$A$6:$E$200,3,FALSE),"")</f>
        <v/>
      </c>
      <c r="M813" s="95">
        <f>IFERROR(VLOOKUP(J813,'11. Cadastro de Serviços'!$A$6:$E$200,4,FALSE),"")</f>
        <v/>
      </c>
      <c r="N813" s="95" t="n"/>
      <c r="O813" s="95">
        <f>IF(AND(G813&lt;&gt;"",I813&lt;&gt;"",J813&lt;&gt;"",M813&lt;&gt;""),"Rastreado","Revisar")</f>
        <v/>
      </c>
      <c r="P813" s="96" t="n"/>
    </row>
    <row r="814">
      <c r="A814" s="95" t="n"/>
      <c r="B814" s="96" t="n"/>
      <c r="C814" s="96" t="n"/>
      <c r="D814" s="95" t="n"/>
      <c r="E814" s="96" t="n"/>
      <c r="F814" s="96" t="n"/>
      <c r="G814" s="95">
        <f>IFERROR(VLOOKUP(F814,'12. Contratos_OS'!$A$6:$L$1000,2,FALSE),"")</f>
        <v/>
      </c>
      <c r="H814" s="95">
        <f>IFERROR(VLOOKUP(F814,'12. Contratos_OS'!$A$6:$L$1000,3,FALSE),"")</f>
        <v/>
      </c>
      <c r="I814" s="95">
        <f>IFERROR(VLOOKUP(F814,'12. Contratos_OS'!$A$6:$L$1000,4,FALSE),"")</f>
        <v/>
      </c>
      <c r="J814" s="95">
        <f>IFERROR(VLOOKUP(F814,'12. Contratos_OS'!$A$6:$L$1000,7,FALSE),"")</f>
        <v/>
      </c>
      <c r="K814" s="95">
        <f>IFERROR(VLOOKUP(J814,'11. Cadastro de Serviços'!$A$6:$E$200,2,FALSE),"")</f>
        <v/>
      </c>
      <c r="L814" s="95">
        <f>IFERROR(VLOOKUP(J814,'11. Cadastro de Serviços'!$A$6:$E$200,3,FALSE),"")</f>
        <v/>
      </c>
      <c r="M814" s="95">
        <f>IFERROR(VLOOKUP(J814,'11. Cadastro de Serviços'!$A$6:$E$200,4,FALSE),"")</f>
        <v/>
      </c>
      <c r="N814" s="95" t="n"/>
      <c r="O814" s="95">
        <f>IF(AND(G814&lt;&gt;"",I814&lt;&gt;"",J814&lt;&gt;"",M814&lt;&gt;""),"Rastreado","Revisar")</f>
        <v/>
      </c>
      <c r="P814" s="96" t="n"/>
    </row>
    <row r="815">
      <c r="A815" s="95" t="n"/>
      <c r="B815" s="96" t="n"/>
      <c r="C815" s="96" t="n"/>
      <c r="D815" s="95" t="n"/>
      <c r="E815" s="96" t="n"/>
      <c r="F815" s="96" t="n"/>
      <c r="G815" s="95">
        <f>IFERROR(VLOOKUP(F815,'12. Contratos_OS'!$A$6:$L$1000,2,FALSE),"")</f>
        <v/>
      </c>
      <c r="H815" s="95">
        <f>IFERROR(VLOOKUP(F815,'12. Contratos_OS'!$A$6:$L$1000,3,FALSE),"")</f>
        <v/>
      </c>
      <c r="I815" s="95">
        <f>IFERROR(VLOOKUP(F815,'12. Contratos_OS'!$A$6:$L$1000,4,FALSE),"")</f>
        <v/>
      </c>
      <c r="J815" s="95">
        <f>IFERROR(VLOOKUP(F815,'12. Contratos_OS'!$A$6:$L$1000,7,FALSE),"")</f>
        <v/>
      </c>
      <c r="K815" s="95">
        <f>IFERROR(VLOOKUP(J815,'11. Cadastro de Serviços'!$A$6:$E$200,2,FALSE),"")</f>
        <v/>
      </c>
      <c r="L815" s="95">
        <f>IFERROR(VLOOKUP(J815,'11. Cadastro de Serviços'!$A$6:$E$200,3,FALSE),"")</f>
        <v/>
      </c>
      <c r="M815" s="95">
        <f>IFERROR(VLOOKUP(J815,'11. Cadastro de Serviços'!$A$6:$E$200,4,FALSE),"")</f>
        <v/>
      </c>
      <c r="N815" s="95" t="n"/>
      <c r="O815" s="95">
        <f>IF(AND(G815&lt;&gt;"",I815&lt;&gt;"",J815&lt;&gt;"",M815&lt;&gt;""),"Rastreado","Revisar")</f>
        <v/>
      </c>
      <c r="P815" s="96" t="n"/>
    </row>
    <row r="816">
      <c r="A816" s="95" t="n"/>
      <c r="B816" s="96" t="n"/>
      <c r="C816" s="96" t="n"/>
      <c r="D816" s="95" t="n"/>
      <c r="E816" s="96" t="n"/>
      <c r="F816" s="96" t="n"/>
      <c r="G816" s="95">
        <f>IFERROR(VLOOKUP(F816,'12. Contratos_OS'!$A$6:$L$1000,2,FALSE),"")</f>
        <v/>
      </c>
      <c r="H816" s="95">
        <f>IFERROR(VLOOKUP(F816,'12. Contratos_OS'!$A$6:$L$1000,3,FALSE),"")</f>
        <v/>
      </c>
      <c r="I816" s="95">
        <f>IFERROR(VLOOKUP(F816,'12. Contratos_OS'!$A$6:$L$1000,4,FALSE),"")</f>
        <v/>
      </c>
      <c r="J816" s="95">
        <f>IFERROR(VLOOKUP(F816,'12. Contratos_OS'!$A$6:$L$1000,7,FALSE),"")</f>
        <v/>
      </c>
      <c r="K816" s="95">
        <f>IFERROR(VLOOKUP(J816,'11. Cadastro de Serviços'!$A$6:$E$200,2,FALSE),"")</f>
        <v/>
      </c>
      <c r="L816" s="95">
        <f>IFERROR(VLOOKUP(J816,'11. Cadastro de Serviços'!$A$6:$E$200,3,FALSE),"")</f>
        <v/>
      </c>
      <c r="M816" s="95">
        <f>IFERROR(VLOOKUP(J816,'11. Cadastro de Serviços'!$A$6:$E$200,4,FALSE),"")</f>
        <v/>
      </c>
      <c r="N816" s="95" t="n"/>
      <c r="O816" s="95">
        <f>IF(AND(G816&lt;&gt;"",I816&lt;&gt;"",J816&lt;&gt;"",M816&lt;&gt;""),"Rastreado","Revisar")</f>
        <v/>
      </c>
      <c r="P816" s="96" t="n"/>
    </row>
    <row r="817">
      <c r="A817" s="95" t="n"/>
      <c r="B817" s="96" t="n"/>
      <c r="C817" s="96" t="n"/>
      <c r="D817" s="95" t="n"/>
      <c r="E817" s="96" t="n"/>
      <c r="F817" s="96" t="n"/>
      <c r="G817" s="95">
        <f>IFERROR(VLOOKUP(F817,'12. Contratos_OS'!$A$6:$L$1000,2,FALSE),"")</f>
        <v/>
      </c>
      <c r="H817" s="95">
        <f>IFERROR(VLOOKUP(F817,'12. Contratos_OS'!$A$6:$L$1000,3,FALSE),"")</f>
        <v/>
      </c>
      <c r="I817" s="95">
        <f>IFERROR(VLOOKUP(F817,'12. Contratos_OS'!$A$6:$L$1000,4,FALSE),"")</f>
        <v/>
      </c>
      <c r="J817" s="95">
        <f>IFERROR(VLOOKUP(F817,'12. Contratos_OS'!$A$6:$L$1000,7,FALSE),"")</f>
        <v/>
      </c>
      <c r="K817" s="95">
        <f>IFERROR(VLOOKUP(J817,'11. Cadastro de Serviços'!$A$6:$E$200,2,FALSE),"")</f>
        <v/>
      </c>
      <c r="L817" s="95">
        <f>IFERROR(VLOOKUP(J817,'11. Cadastro de Serviços'!$A$6:$E$200,3,FALSE),"")</f>
        <v/>
      </c>
      <c r="M817" s="95">
        <f>IFERROR(VLOOKUP(J817,'11. Cadastro de Serviços'!$A$6:$E$200,4,FALSE),"")</f>
        <v/>
      </c>
      <c r="N817" s="95" t="n"/>
      <c r="O817" s="95">
        <f>IF(AND(G817&lt;&gt;"",I817&lt;&gt;"",J817&lt;&gt;"",M817&lt;&gt;""),"Rastreado","Revisar")</f>
        <v/>
      </c>
      <c r="P817" s="96" t="n"/>
    </row>
    <row r="818">
      <c r="A818" s="95" t="n"/>
      <c r="B818" s="96" t="n"/>
      <c r="C818" s="96" t="n"/>
      <c r="D818" s="95" t="n"/>
      <c r="E818" s="96" t="n"/>
      <c r="F818" s="96" t="n"/>
      <c r="G818" s="95">
        <f>IFERROR(VLOOKUP(F818,'12. Contratos_OS'!$A$6:$L$1000,2,FALSE),"")</f>
        <v/>
      </c>
      <c r="H818" s="95">
        <f>IFERROR(VLOOKUP(F818,'12. Contratos_OS'!$A$6:$L$1000,3,FALSE),"")</f>
        <v/>
      </c>
      <c r="I818" s="95">
        <f>IFERROR(VLOOKUP(F818,'12. Contratos_OS'!$A$6:$L$1000,4,FALSE),"")</f>
        <v/>
      </c>
      <c r="J818" s="95">
        <f>IFERROR(VLOOKUP(F818,'12. Contratos_OS'!$A$6:$L$1000,7,FALSE),"")</f>
        <v/>
      </c>
      <c r="K818" s="95">
        <f>IFERROR(VLOOKUP(J818,'11. Cadastro de Serviços'!$A$6:$E$200,2,FALSE),"")</f>
        <v/>
      </c>
      <c r="L818" s="95">
        <f>IFERROR(VLOOKUP(J818,'11. Cadastro de Serviços'!$A$6:$E$200,3,FALSE),"")</f>
        <v/>
      </c>
      <c r="M818" s="95">
        <f>IFERROR(VLOOKUP(J818,'11. Cadastro de Serviços'!$A$6:$E$200,4,FALSE),"")</f>
        <v/>
      </c>
      <c r="N818" s="95" t="n"/>
      <c r="O818" s="95">
        <f>IF(AND(G818&lt;&gt;"",I818&lt;&gt;"",J818&lt;&gt;"",M818&lt;&gt;""),"Rastreado","Revisar")</f>
        <v/>
      </c>
      <c r="P818" s="96" t="n"/>
    </row>
    <row r="819">
      <c r="A819" s="95" t="n"/>
      <c r="B819" s="96" t="n"/>
      <c r="C819" s="96" t="n"/>
      <c r="D819" s="95" t="n"/>
      <c r="E819" s="96" t="n"/>
      <c r="F819" s="96" t="n"/>
      <c r="G819" s="95">
        <f>IFERROR(VLOOKUP(F819,'12. Contratos_OS'!$A$6:$L$1000,2,FALSE),"")</f>
        <v/>
      </c>
      <c r="H819" s="95">
        <f>IFERROR(VLOOKUP(F819,'12. Contratos_OS'!$A$6:$L$1000,3,FALSE),"")</f>
        <v/>
      </c>
      <c r="I819" s="95">
        <f>IFERROR(VLOOKUP(F819,'12. Contratos_OS'!$A$6:$L$1000,4,FALSE),"")</f>
        <v/>
      </c>
      <c r="J819" s="95">
        <f>IFERROR(VLOOKUP(F819,'12. Contratos_OS'!$A$6:$L$1000,7,FALSE),"")</f>
        <v/>
      </c>
      <c r="K819" s="95">
        <f>IFERROR(VLOOKUP(J819,'11. Cadastro de Serviços'!$A$6:$E$200,2,FALSE),"")</f>
        <v/>
      </c>
      <c r="L819" s="95">
        <f>IFERROR(VLOOKUP(J819,'11. Cadastro de Serviços'!$A$6:$E$200,3,FALSE),"")</f>
        <v/>
      </c>
      <c r="M819" s="95">
        <f>IFERROR(VLOOKUP(J819,'11. Cadastro de Serviços'!$A$6:$E$200,4,FALSE),"")</f>
        <v/>
      </c>
      <c r="N819" s="95" t="n"/>
      <c r="O819" s="95">
        <f>IF(AND(G819&lt;&gt;"",I819&lt;&gt;"",J819&lt;&gt;"",M819&lt;&gt;""),"Rastreado","Revisar")</f>
        <v/>
      </c>
      <c r="P819" s="96" t="n"/>
    </row>
    <row r="820">
      <c r="A820" s="95" t="n"/>
      <c r="B820" s="96" t="n"/>
      <c r="C820" s="96" t="n"/>
      <c r="D820" s="95" t="n"/>
      <c r="E820" s="96" t="n"/>
      <c r="F820" s="96" t="n"/>
      <c r="G820" s="95">
        <f>IFERROR(VLOOKUP(F820,'12. Contratos_OS'!$A$6:$L$1000,2,FALSE),"")</f>
        <v/>
      </c>
      <c r="H820" s="95">
        <f>IFERROR(VLOOKUP(F820,'12. Contratos_OS'!$A$6:$L$1000,3,FALSE),"")</f>
        <v/>
      </c>
      <c r="I820" s="95">
        <f>IFERROR(VLOOKUP(F820,'12. Contratos_OS'!$A$6:$L$1000,4,FALSE),"")</f>
        <v/>
      </c>
      <c r="J820" s="95">
        <f>IFERROR(VLOOKUP(F820,'12. Contratos_OS'!$A$6:$L$1000,7,FALSE),"")</f>
        <v/>
      </c>
      <c r="K820" s="95">
        <f>IFERROR(VLOOKUP(J820,'11. Cadastro de Serviços'!$A$6:$E$200,2,FALSE),"")</f>
        <v/>
      </c>
      <c r="L820" s="95">
        <f>IFERROR(VLOOKUP(J820,'11. Cadastro de Serviços'!$A$6:$E$200,3,FALSE),"")</f>
        <v/>
      </c>
      <c r="M820" s="95">
        <f>IFERROR(VLOOKUP(J820,'11. Cadastro de Serviços'!$A$6:$E$200,4,FALSE),"")</f>
        <v/>
      </c>
      <c r="N820" s="95" t="n"/>
      <c r="O820" s="95">
        <f>IF(AND(G820&lt;&gt;"",I820&lt;&gt;"",J820&lt;&gt;"",M820&lt;&gt;""),"Rastreado","Revisar")</f>
        <v/>
      </c>
      <c r="P820" s="96" t="n"/>
    </row>
    <row r="821">
      <c r="A821" s="95" t="n"/>
      <c r="B821" s="96" t="n"/>
      <c r="C821" s="96" t="n"/>
      <c r="D821" s="95" t="n"/>
      <c r="E821" s="96" t="n"/>
      <c r="F821" s="96" t="n"/>
      <c r="G821" s="95">
        <f>IFERROR(VLOOKUP(F821,'12. Contratos_OS'!$A$6:$L$1000,2,FALSE),"")</f>
        <v/>
      </c>
      <c r="H821" s="95">
        <f>IFERROR(VLOOKUP(F821,'12. Contratos_OS'!$A$6:$L$1000,3,FALSE),"")</f>
        <v/>
      </c>
      <c r="I821" s="95">
        <f>IFERROR(VLOOKUP(F821,'12. Contratos_OS'!$A$6:$L$1000,4,FALSE),"")</f>
        <v/>
      </c>
      <c r="J821" s="95">
        <f>IFERROR(VLOOKUP(F821,'12. Contratos_OS'!$A$6:$L$1000,7,FALSE),"")</f>
        <v/>
      </c>
      <c r="K821" s="95">
        <f>IFERROR(VLOOKUP(J821,'11. Cadastro de Serviços'!$A$6:$E$200,2,FALSE),"")</f>
        <v/>
      </c>
      <c r="L821" s="95">
        <f>IFERROR(VLOOKUP(J821,'11. Cadastro de Serviços'!$A$6:$E$200,3,FALSE),"")</f>
        <v/>
      </c>
      <c r="M821" s="95">
        <f>IFERROR(VLOOKUP(J821,'11. Cadastro de Serviços'!$A$6:$E$200,4,FALSE),"")</f>
        <v/>
      </c>
      <c r="N821" s="95" t="n"/>
      <c r="O821" s="95">
        <f>IF(AND(G821&lt;&gt;"",I821&lt;&gt;"",J821&lt;&gt;"",M821&lt;&gt;""),"Rastreado","Revisar")</f>
        <v/>
      </c>
      <c r="P821" s="96" t="n"/>
    </row>
    <row r="822">
      <c r="A822" s="95" t="n"/>
      <c r="B822" s="96" t="n"/>
      <c r="C822" s="96" t="n"/>
      <c r="D822" s="95" t="n"/>
      <c r="E822" s="96" t="n"/>
      <c r="F822" s="96" t="n"/>
      <c r="G822" s="95">
        <f>IFERROR(VLOOKUP(F822,'12. Contratos_OS'!$A$6:$L$1000,2,FALSE),"")</f>
        <v/>
      </c>
      <c r="H822" s="95">
        <f>IFERROR(VLOOKUP(F822,'12. Contratos_OS'!$A$6:$L$1000,3,FALSE),"")</f>
        <v/>
      </c>
      <c r="I822" s="95">
        <f>IFERROR(VLOOKUP(F822,'12. Contratos_OS'!$A$6:$L$1000,4,FALSE),"")</f>
        <v/>
      </c>
      <c r="J822" s="95">
        <f>IFERROR(VLOOKUP(F822,'12. Contratos_OS'!$A$6:$L$1000,7,FALSE),"")</f>
        <v/>
      </c>
      <c r="K822" s="95">
        <f>IFERROR(VLOOKUP(J822,'11. Cadastro de Serviços'!$A$6:$E$200,2,FALSE),"")</f>
        <v/>
      </c>
      <c r="L822" s="95">
        <f>IFERROR(VLOOKUP(J822,'11. Cadastro de Serviços'!$A$6:$E$200,3,FALSE),"")</f>
        <v/>
      </c>
      <c r="M822" s="95">
        <f>IFERROR(VLOOKUP(J822,'11. Cadastro de Serviços'!$A$6:$E$200,4,FALSE),"")</f>
        <v/>
      </c>
      <c r="N822" s="95" t="n"/>
      <c r="O822" s="95">
        <f>IF(AND(G822&lt;&gt;"",I822&lt;&gt;"",J822&lt;&gt;"",M822&lt;&gt;""),"Rastreado","Revisar")</f>
        <v/>
      </c>
      <c r="P822" s="96" t="n"/>
    </row>
    <row r="823">
      <c r="A823" s="95" t="n"/>
      <c r="B823" s="96" t="n"/>
      <c r="C823" s="96" t="n"/>
      <c r="D823" s="95" t="n"/>
      <c r="E823" s="96" t="n"/>
      <c r="F823" s="96" t="n"/>
      <c r="G823" s="95">
        <f>IFERROR(VLOOKUP(F823,'12. Contratos_OS'!$A$6:$L$1000,2,FALSE),"")</f>
        <v/>
      </c>
      <c r="H823" s="95">
        <f>IFERROR(VLOOKUP(F823,'12. Contratos_OS'!$A$6:$L$1000,3,FALSE),"")</f>
        <v/>
      </c>
      <c r="I823" s="95">
        <f>IFERROR(VLOOKUP(F823,'12. Contratos_OS'!$A$6:$L$1000,4,FALSE),"")</f>
        <v/>
      </c>
      <c r="J823" s="95">
        <f>IFERROR(VLOOKUP(F823,'12. Contratos_OS'!$A$6:$L$1000,7,FALSE),"")</f>
        <v/>
      </c>
      <c r="K823" s="95">
        <f>IFERROR(VLOOKUP(J823,'11. Cadastro de Serviços'!$A$6:$E$200,2,FALSE),"")</f>
        <v/>
      </c>
      <c r="L823" s="95">
        <f>IFERROR(VLOOKUP(J823,'11. Cadastro de Serviços'!$A$6:$E$200,3,FALSE),"")</f>
        <v/>
      </c>
      <c r="M823" s="95">
        <f>IFERROR(VLOOKUP(J823,'11. Cadastro de Serviços'!$A$6:$E$200,4,FALSE),"")</f>
        <v/>
      </c>
      <c r="N823" s="95" t="n"/>
      <c r="O823" s="95">
        <f>IF(AND(G823&lt;&gt;"",I823&lt;&gt;"",J823&lt;&gt;"",M823&lt;&gt;""),"Rastreado","Revisar")</f>
        <v/>
      </c>
      <c r="P823" s="96" t="n"/>
    </row>
    <row r="824">
      <c r="A824" s="95" t="n"/>
      <c r="B824" s="96" t="n"/>
      <c r="C824" s="96" t="n"/>
      <c r="D824" s="95" t="n"/>
      <c r="E824" s="96" t="n"/>
      <c r="F824" s="96" t="n"/>
      <c r="G824" s="95">
        <f>IFERROR(VLOOKUP(F824,'12. Contratos_OS'!$A$6:$L$1000,2,FALSE),"")</f>
        <v/>
      </c>
      <c r="H824" s="95">
        <f>IFERROR(VLOOKUP(F824,'12. Contratos_OS'!$A$6:$L$1000,3,FALSE),"")</f>
        <v/>
      </c>
      <c r="I824" s="95">
        <f>IFERROR(VLOOKUP(F824,'12. Contratos_OS'!$A$6:$L$1000,4,FALSE),"")</f>
        <v/>
      </c>
      <c r="J824" s="95">
        <f>IFERROR(VLOOKUP(F824,'12. Contratos_OS'!$A$6:$L$1000,7,FALSE),"")</f>
        <v/>
      </c>
      <c r="K824" s="95">
        <f>IFERROR(VLOOKUP(J824,'11. Cadastro de Serviços'!$A$6:$E$200,2,FALSE),"")</f>
        <v/>
      </c>
      <c r="L824" s="95">
        <f>IFERROR(VLOOKUP(J824,'11. Cadastro de Serviços'!$A$6:$E$200,3,FALSE),"")</f>
        <v/>
      </c>
      <c r="M824" s="95">
        <f>IFERROR(VLOOKUP(J824,'11. Cadastro de Serviços'!$A$6:$E$200,4,FALSE),"")</f>
        <v/>
      </c>
      <c r="N824" s="95" t="n"/>
      <c r="O824" s="95">
        <f>IF(AND(G824&lt;&gt;"",I824&lt;&gt;"",J824&lt;&gt;"",M824&lt;&gt;""),"Rastreado","Revisar")</f>
        <v/>
      </c>
      <c r="P824" s="96" t="n"/>
    </row>
    <row r="825">
      <c r="A825" s="95" t="n"/>
      <c r="B825" s="96" t="n"/>
      <c r="C825" s="96" t="n"/>
      <c r="D825" s="95" t="n"/>
      <c r="E825" s="96" t="n"/>
      <c r="F825" s="96" t="n"/>
      <c r="G825" s="95">
        <f>IFERROR(VLOOKUP(F825,'12. Contratos_OS'!$A$6:$L$1000,2,FALSE),"")</f>
        <v/>
      </c>
      <c r="H825" s="95">
        <f>IFERROR(VLOOKUP(F825,'12. Contratos_OS'!$A$6:$L$1000,3,FALSE),"")</f>
        <v/>
      </c>
      <c r="I825" s="95">
        <f>IFERROR(VLOOKUP(F825,'12. Contratos_OS'!$A$6:$L$1000,4,FALSE),"")</f>
        <v/>
      </c>
      <c r="J825" s="95">
        <f>IFERROR(VLOOKUP(F825,'12. Contratos_OS'!$A$6:$L$1000,7,FALSE),"")</f>
        <v/>
      </c>
      <c r="K825" s="95">
        <f>IFERROR(VLOOKUP(J825,'11. Cadastro de Serviços'!$A$6:$E$200,2,FALSE),"")</f>
        <v/>
      </c>
      <c r="L825" s="95">
        <f>IFERROR(VLOOKUP(J825,'11. Cadastro de Serviços'!$A$6:$E$200,3,FALSE),"")</f>
        <v/>
      </c>
      <c r="M825" s="95">
        <f>IFERROR(VLOOKUP(J825,'11. Cadastro de Serviços'!$A$6:$E$200,4,FALSE),"")</f>
        <v/>
      </c>
      <c r="N825" s="95" t="n"/>
      <c r="O825" s="95">
        <f>IF(AND(G825&lt;&gt;"",I825&lt;&gt;"",J825&lt;&gt;"",M825&lt;&gt;""),"Rastreado","Revisar")</f>
        <v/>
      </c>
      <c r="P825" s="96" t="n"/>
    </row>
    <row r="826">
      <c r="A826" s="95" t="n"/>
      <c r="B826" s="96" t="n"/>
      <c r="C826" s="96" t="n"/>
      <c r="D826" s="95" t="n"/>
      <c r="E826" s="96" t="n"/>
      <c r="F826" s="96" t="n"/>
      <c r="G826" s="95">
        <f>IFERROR(VLOOKUP(F826,'12. Contratos_OS'!$A$6:$L$1000,2,FALSE),"")</f>
        <v/>
      </c>
      <c r="H826" s="95">
        <f>IFERROR(VLOOKUP(F826,'12. Contratos_OS'!$A$6:$L$1000,3,FALSE),"")</f>
        <v/>
      </c>
      <c r="I826" s="95">
        <f>IFERROR(VLOOKUP(F826,'12. Contratos_OS'!$A$6:$L$1000,4,FALSE),"")</f>
        <v/>
      </c>
      <c r="J826" s="95">
        <f>IFERROR(VLOOKUP(F826,'12. Contratos_OS'!$A$6:$L$1000,7,FALSE),"")</f>
        <v/>
      </c>
      <c r="K826" s="95">
        <f>IFERROR(VLOOKUP(J826,'11. Cadastro de Serviços'!$A$6:$E$200,2,FALSE),"")</f>
        <v/>
      </c>
      <c r="L826" s="95">
        <f>IFERROR(VLOOKUP(J826,'11. Cadastro de Serviços'!$A$6:$E$200,3,FALSE),"")</f>
        <v/>
      </c>
      <c r="M826" s="95">
        <f>IFERROR(VLOOKUP(J826,'11. Cadastro de Serviços'!$A$6:$E$200,4,FALSE),"")</f>
        <v/>
      </c>
      <c r="N826" s="95" t="n"/>
      <c r="O826" s="95">
        <f>IF(AND(G826&lt;&gt;"",I826&lt;&gt;"",J826&lt;&gt;"",M826&lt;&gt;""),"Rastreado","Revisar")</f>
        <v/>
      </c>
      <c r="P826" s="96" t="n"/>
    </row>
    <row r="827">
      <c r="A827" s="95" t="n"/>
      <c r="B827" s="96" t="n"/>
      <c r="C827" s="96" t="n"/>
      <c r="D827" s="95" t="n"/>
      <c r="E827" s="96" t="n"/>
      <c r="F827" s="96" t="n"/>
      <c r="G827" s="95">
        <f>IFERROR(VLOOKUP(F827,'12. Contratos_OS'!$A$6:$L$1000,2,FALSE),"")</f>
        <v/>
      </c>
      <c r="H827" s="95">
        <f>IFERROR(VLOOKUP(F827,'12. Contratos_OS'!$A$6:$L$1000,3,FALSE),"")</f>
        <v/>
      </c>
      <c r="I827" s="95">
        <f>IFERROR(VLOOKUP(F827,'12. Contratos_OS'!$A$6:$L$1000,4,FALSE),"")</f>
        <v/>
      </c>
      <c r="J827" s="95">
        <f>IFERROR(VLOOKUP(F827,'12. Contratos_OS'!$A$6:$L$1000,7,FALSE),"")</f>
        <v/>
      </c>
      <c r="K827" s="95">
        <f>IFERROR(VLOOKUP(J827,'11. Cadastro de Serviços'!$A$6:$E$200,2,FALSE),"")</f>
        <v/>
      </c>
      <c r="L827" s="95">
        <f>IFERROR(VLOOKUP(J827,'11. Cadastro de Serviços'!$A$6:$E$200,3,FALSE),"")</f>
        <v/>
      </c>
      <c r="M827" s="95">
        <f>IFERROR(VLOOKUP(J827,'11. Cadastro de Serviços'!$A$6:$E$200,4,FALSE),"")</f>
        <v/>
      </c>
      <c r="N827" s="95" t="n"/>
      <c r="O827" s="95">
        <f>IF(AND(G827&lt;&gt;"",I827&lt;&gt;"",J827&lt;&gt;"",M827&lt;&gt;""),"Rastreado","Revisar")</f>
        <v/>
      </c>
      <c r="P827" s="96" t="n"/>
    </row>
    <row r="828">
      <c r="A828" s="95" t="n"/>
      <c r="B828" s="96" t="n"/>
      <c r="C828" s="96" t="n"/>
      <c r="D828" s="95" t="n"/>
      <c r="E828" s="96" t="n"/>
      <c r="F828" s="96" t="n"/>
      <c r="G828" s="95">
        <f>IFERROR(VLOOKUP(F828,'12. Contratos_OS'!$A$6:$L$1000,2,FALSE),"")</f>
        <v/>
      </c>
      <c r="H828" s="95">
        <f>IFERROR(VLOOKUP(F828,'12. Contratos_OS'!$A$6:$L$1000,3,FALSE),"")</f>
        <v/>
      </c>
      <c r="I828" s="95">
        <f>IFERROR(VLOOKUP(F828,'12. Contratos_OS'!$A$6:$L$1000,4,FALSE),"")</f>
        <v/>
      </c>
      <c r="J828" s="95">
        <f>IFERROR(VLOOKUP(F828,'12. Contratos_OS'!$A$6:$L$1000,7,FALSE),"")</f>
        <v/>
      </c>
      <c r="K828" s="95">
        <f>IFERROR(VLOOKUP(J828,'11. Cadastro de Serviços'!$A$6:$E$200,2,FALSE),"")</f>
        <v/>
      </c>
      <c r="L828" s="95">
        <f>IFERROR(VLOOKUP(J828,'11. Cadastro de Serviços'!$A$6:$E$200,3,FALSE),"")</f>
        <v/>
      </c>
      <c r="M828" s="95">
        <f>IFERROR(VLOOKUP(J828,'11. Cadastro de Serviços'!$A$6:$E$200,4,FALSE),"")</f>
        <v/>
      </c>
      <c r="N828" s="95" t="n"/>
      <c r="O828" s="95">
        <f>IF(AND(G828&lt;&gt;"",I828&lt;&gt;"",J828&lt;&gt;"",M828&lt;&gt;""),"Rastreado","Revisar")</f>
        <v/>
      </c>
      <c r="P828" s="96" t="n"/>
    </row>
    <row r="829">
      <c r="A829" s="95" t="n"/>
      <c r="B829" s="96" t="n"/>
      <c r="C829" s="96" t="n"/>
      <c r="D829" s="95" t="n"/>
      <c r="E829" s="96" t="n"/>
      <c r="F829" s="96" t="n"/>
      <c r="G829" s="95">
        <f>IFERROR(VLOOKUP(F829,'12. Contratos_OS'!$A$6:$L$1000,2,FALSE),"")</f>
        <v/>
      </c>
      <c r="H829" s="95">
        <f>IFERROR(VLOOKUP(F829,'12. Contratos_OS'!$A$6:$L$1000,3,FALSE),"")</f>
        <v/>
      </c>
      <c r="I829" s="95">
        <f>IFERROR(VLOOKUP(F829,'12. Contratos_OS'!$A$6:$L$1000,4,FALSE),"")</f>
        <v/>
      </c>
      <c r="J829" s="95">
        <f>IFERROR(VLOOKUP(F829,'12. Contratos_OS'!$A$6:$L$1000,7,FALSE),"")</f>
        <v/>
      </c>
      <c r="K829" s="95">
        <f>IFERROR(VLOOKUP(J829,'11. Cadastro de Serviços'!$A$6:$E$200,2,FALSE),"")</f>
        <v/>
      </c>
      <c r="L829" s="95">
        <f>IFERROR(VLOOKUP(J829,'11. Cadastro de Serviços'!$A$6:$E$200,3,FALSE),"")</f>
        <v/>
      </c>
      <c r="M829" s="95">
        <f>IFERROR(VLOOKUP(J829,'11. Cadastro de Serviços'!$A$6:$E$200,4,FALSE),"")</f>
        <v/>
      </c>
      <c r="N829" s="95" t="n"/>
      <c r="O829" s="95">
        <f>IF(AND(G829&lt;&gt;"",I829&lt;&gt;"",J829&lt;&gt;"",M829&lt;&gt;""),"Rastreado","Revisar")</f>
        <v/>
      </c>
      <c r="P829" s="96" t="n"/>
    </row>
    <row r="830">
      <c r="A830" s="95" t="n"/>
      <c r="B830" s="96" t="n"/>
      <c r="C830" s="96" t="n"/>
      <c r="D830" s="95" t="n"/>
      <c r="E830" s="96" t="n"/>
      <c r="F830" s="96" t="n"/>
      <c r="G830" s="95">
        <f>IFERROR(VLOOKUP(F830,'12. Contratos_OS'!$A$6:$L$1000,2,FALSE),"")</f>
        <v/>
      </c>
      <c r="H830" s="95">
        <f>IFERROR(VLOOKUP(F830,'12. Contratos_OS'!$A$6:$L$1000,3,FALSE),"")</f>
        <v/>
      </c>
      <c r="I830" s="95">
        <f>IFERROR(VLOOKUP(F830,'12. Contratos_OS'!$A$6:$L$1000,4,FALSE),"")</f>
        <v/>
      </c>
      <c r="J830" s="95">
        <f>IFERROR(VLOOKUP(F830,'12. Contratos_OS'!$A$6:$L$1000,7,FALSE),"")</f>
        <v/>
      </c>
      <c r="K830" s="95">
        <f>IFERROR(VLOOKUP(J830,'11. Cadastro de Serviços'!$A$6:$E$200,2,FALSE),"")</f>
        <v/>
      </c>
      <c r="L830" s="95">
        <f>IFERROR(VLOOKUP(J830,'11. Cadastro de Serviços'!$A$6:$E$200,3,FALSE),"")</f>
        <v/>
      </c>
      <c r="M830" s="95">
        <f>IFERROR(VLOOKUP(J830,'11. Cadastro de Serviços'!$A$6:$E$200,4,FALSE),"")</f>
        <v/>
      </c>
      <c r="N830" s="95" t="n"/>
      <c r="O830" s="95">
        <f>IF(AND(G830&lt;&gt;"",I830&lt;&gt;"",J830&lt;&gt;"",M830&lt;&gt;""),"Rastreado","Revisar")</f>
        <v/>
      </c>
      <c r="P830" s="96" t="n"/>
    </row>
    <row r="831">
      <c r="A831" s="95" t="n"/>
      <c r="B831" s="96" t="n"/>
      <c r="C831" s="96" t="n"/>
      <c r="D831" s="95" t="n"/>
      <c r="E831" s="96" t="n"/>
      <c r="F831" s="96" t="n"/>
      <c r="G831" s="95">
        <f>IFERROR(VLOOKUP(F831,'12. Contratos_OS'!$A$6:$L$1000,2,FALSE),"")</f>
        <v/>
      </c>
      <c r="H831" s="95">
        <f>IFERROR(VLOOKUP(F831,'12. Contratos_OS'!$A$6:$L$1000,3,FALSE),"")</f>
        <v/>
      </c>
      <c r="I831" s="95">
        <f>IFERROR(VLOOKUP(F831,'12. Contratos_OS'!$A$6:$L$1000,4,FALSE),"")</f>
        <v/>
      </c>
      <c r="J831" s="95">
        <f>IFERROR(VLOOKUP(F831,'12. Contratos_OS'!$A$6:$L$1000,7,FALSE),"")</f>
        <v/>
      </c>
      <c r="K831" s="95">
        <f>IFERROR(VLOOKUP(J831,'11. Cadastro de Serviços'!$A$6:$E$200,2,FALSE),"")</f>
        <v/>
      </c>
      <c r="L831" s="95">
        <f>IFERROR(VLOOKUP(J831,'11. Cadastro de Serviços'!$A$6:$E$200,3,FALSE),"")</f>
        <v/>
      </c>
      <c r="M831" s="95">
        <f>IFERROR(VLOOKUP(J831,'11. Cadastro de Serviços'!$A$6:$E$200,4,FALSE),"")</f>
        <v/>
      </c>
      <c r="N831" s="95" t="n"/>
      <c r="O831" s="95">
        <f>IF(AND(G831&lt;&gt;"",I831&lt;&gt;"",J831&lt;&gt;"",M831&lt;&gt;""),"Rastreado","Revisar")</f>
        <v/>
      </c>
      <c r="P831" s="96" t="n"/>
    </row>
    <row r="832">
      <c r="A832" s="95" t="n"/>
      <c r="B832" s="96" t="n"/>
      <c r="C832" s="96" t="n"/>
      <c r="D832" s="95" t="n"/>
      <c r="E832" s="96" t="n"/>
      <c r="F832" s="96" t="n"/>
      <c r="G832" s="95">
        <f>IFERROR(VLOOKUP(F832,'12. Contratos_OS'!$A$6:$L$1000,2,FALSE),"")</f>
        <v/>
      </c>
      <c r="H832" s="95">
        <f>IFERROR(VLOOKUP(F832,'12. Contratos_OS'!$A$6:$L$1000,3,FALSE),"")</f>
        <v/>
      </c>
      <c r="I832" s="95">
        <f>IFERROR(VLOOKUP(F832,'12. Contratos_OS'!$A$6:$L$1000,4,FALSE),"")</f>
        <v/>
      </c>
      <c r="J832" s="95">
        <f>IFERROR(VLOOKUP(F832,'12. Contratos_OS'!$A$6:$L$1000,7,FALSE),"")</f>
        <v/>
      </c>
      <c r="K832" s="95">
        <f>IFERROR(VLOOKUP(J832,'11. Cadastro de Serviços'!$A$6:$E$200,2,FALSE),"")</f>
        <v/>
      </c>
      <c r="L832" s="95">
        <f>IFERROR(VLOOKUP(J832,'11. Cadastro de Serviços'!$A$6:$E$200,3,FALSE),"")</f>
        <v/>
      </c>
      <c r="M832" s="95">
        <f>IFERROR(VLOOKUP(J832,'11. Cadastro de Serviços'!$A$6:$E$200,4,FALSE),"")</f>
        <v/>
      </c>
      <c r="N832" s="95" t="n"/>
      <c r="O832" s="95">
        <f>IF(AND(G832&lt;&gt;"",I832&lt;&gt;"",J832&lt;&gt;"",M832&lt;&gt;""),"Rastreado","Revisar")</f>
        <v/>
      </c>
      <c r="P832" s="96" t="n"/>
    </row>
    <row r="833">
      <c r="A833" s="95" t="n"/>
      <c r="B833" s="96" t="n"/>
      <c r="C833" s="96" t="n"/>
      <c r="D833" s="95" t="n"/>
      <c r="E833" s="96" t="n"/>
      <c r="F833" s="96" t="n"/>
      <c r="G833" s="95">
        <f>IFERROR(VLOOKUP(F833,'12. Contratos_OS'!$A$6:$L$1000,2,FALSE),"")</f>
        <v/>
      </c>
      <c r="H833" s="95">
        <f>IFERROR(VLOOKUP(F833,'12. Contratos_OS'!$A$6:$L$1000,3,FALSE),"")</f>
        <v/>
      </c>
      <c r="I833" s="95">
        <f>IFERROR(VLOOKUP(F833,'12. Contratos_OS'!$A$6:$L$1000,4,FALSE),"")</f>
        <v/>
      </c>
      <c r="J833" s="95">
        <f>IFERROR(VLOOKUP(F833,'12. Contratos_OS'!$A$6:$L$1000,7,FALSE),"")</f>
        <v/>
      </c>
      <c r="K833" s="95">
        <f>IFERROR(VLOOKUP(J833,'11. Cadastro de Serviços'!$A$6:$E$200,2,FALSE),"")</f>
        <v/>
      </c>
      <c r="L833" s="95">
        <f>IFERROR(VLOOKUP(J833,'11. Cadastro de Serviços'!$A$6:$E$200,3,FALSE),"")</f>
        <v/>
      </c>
      <c r="M833" s="95">
        <f>IFERROR(VLOOKUP(J833,'11. Cadastro de Serviços'!$A$6:$E$200,4,FALSE),"")</f>
        <v/>
      </c>
      <c r="N833" s="95" t="n"/>
      <c r="O833" s="95">
        <f>IF(AND(G833&lt;&gt;"",I833&lt;&gt;"",J833&lt;&gt;"",M833&lt;&gt;""),"Rastreado","Revisar")</f>
        <v/>
      </c>
      <c r="P833" s="96" t="n"/>
    </row>
    <row r="834">
      <c r="A834" s="95" t="n"/>
      <c r="B834" s="96" t="n"/>
      <c r="C834" s="96" t="n"/>
      <c r="D834" s="95" t="n"/>
      <c r="E834" s="96" t="n"/>
      <c r="F834" s="96" t="n"/>
      <c r="G834" s="95">
        <f>IFERROR(VLOOKUP(F834,'12. Contratos_OS'!$A$6:$L$1000,2,FALSE),"")</f>
        <v/>
      </c>
      <c r="H834" s="95">
        <f>IFERROR(VLOOKUP(F834,'12. Contratos_OS'!$A$6:$L$1000,3,FALSE),"")</f>
        <v/>
      </c>
      <c r="I834" s="95">
        <f>IFERROR(VLOOKUP(F834,'12. Contratos_OS'!$A$6:$L$1000,4,FALSE),"")</f>
        <v/>
      </c>
      <c r="J834" s="95">
        <f>IFERROR(VLOOKUP(F834,'12. Contratos_OS'!$A$6:$L$1000,7,FALSE),"")</f>
        <v/>
      </c>
      <c r="K834" s="95">
        <f>IFERROR(VLOOKUP(J834,'11. Cadastro de Serviços'!$A$6:$E$200,2,FALSE),"")</f>
        <v/>
      </c>
      <c r="L834" s="95">
        <f>IFERROR(VLOOKUP(J834,'11. Cadastro de Serviços'!$A$6:$E$200,3,FALSE),"")</f>
        <v/>
      </c>
      <c r="M834" s="95">
        <f>IFERROR(VLOOKUP(J834,'11. Cadastro de Serviços'!$A$6:$E$200,4,FALSE),"")</f>
        <v/>
      </c>
      <c r="N834" s="95" t="n"/>
      <c r="O834" s="95">
        <f>IF(AND(G834&lt;&gt;"",I834&lt;&gt;"",J834&lt;&gt;"",M834&lt;&gt;""),"Rastreado","Revisar")</f>
        <v/>
      </c>
      <c r="P834" s="96" t="n"/>
    </row>
    <row r="835">
      <c r="A835" s="95" t="n"/>
      <c r="B835" s="96" t="n"/>
      <c r="C835" s="96" t="n"/>
      <c r="D835" s="95" t="n"/>
      <c r="E835" s="96" t="n"/>
      <c r="F835" s="96" t="n"/>
      <c r="G835" s="95">
        <f>IFERROR(VLOOKUP(F835,'12. Contratos_OS'!$A$6:$L$1000,2,FALSE),"")</f>
        <v/>
      </c>
      <c r="H835" s="95">
        <f>IFERROR(VLOOKUP(F835,'12. Contratos_OS'!$A$6:$L$1000,3,FALSE),"")</f>
        <v/>
      </c>
      <c r="I835" s="95">
        <f>IFERROR(VLOOKUP(F835,'12. Contratos_OS'!$A$6:$L$1000,4,FALSE),"")</f>
        <v/>
      </c>
      <c r="J835" s="95">
        <f>IFERROR(VLOOKUP(F835,'12. Contratos_OS'!$A$6:$L$1000,7,FALSE),"")</f>
        <v/>
      </c>
      <c r="K835" s="95">
        <f>IFERROR(VLOOKUP(J835,'11. Cadastro de Serviços'!$A$6:$E$200,2,FALSE),"")</f>
        <v/>
      </c>
      <c r="L835" s="95">
        <f>IFERROR(VLOOKUP(J835,'11. Cadastro de Serviços'!$A$6:$E$200,3,FALSE),"")</f>
        <v/>
      </c>
      <c r="M835" s="95">
        <f>IFERROR(VLOOKUP(J835,'11. Cadastro de Serviços'!$A$6:$E$200,4,FALSE),"")</f>
        <v/>
      </c>
      <c r="N835" s="95" t="n"/>
      <c r="O835" s="95">
        <f>IF(AND(G835&lt;&gt;"",I835&lt;&gt;"",J835&lt;&gt;"",M835&lt;&gt;""),"Rastreado","Revisar")</f>
        <v/>
      </c>
      <c r="P835" s="96" t="n"/>
    </row>
    <row r="836">
      <c r="A836" s="95" t="n"/>
      <c r="B836" s="96" t="n"/>
      <c r="C836" s="96" t="n"/>
      <c r="D836" s="95" t="n"/>
      <c r="E836" s="96" t="n"/>
      <c r="F836" s="96" t="n"/>
      <c r="G836" s="95">
        <f>IFERROR(VLOOKUP(F836,'12. Contratos_OS'!$A$6:$L$1000,2,FALSE),"")</f>
        <v/>
      </c>
      <c r="H836" s="95">
        <f>IFERROR(VLOOKUP(F836,'12. Contratos_OS'!$A$6:$L$1000,3,FALSE),"")</f>
        <v/>
      </c>
      <c r="I836" s="95">
        <f>IFERROR(VLOOKUP(F836,'12. Contratos_OS'!$A$6:$L$1000,4,FALSE),"")</f>
        <v/>
      </c>
      <c r="J836" s="95">
        <f>IFERROR(VLOOKUP(F836,'12. Contratos_OS'!$A$6:$L$1000,7,FALSE),"")</f>
        <v/>
      </c>
      <c r="K836" s="95">
        <f>IFERROR(VLOOKUP(J836,'11. Cadastro de Serviços'!$A$6:$E$200,2,FALSE),"")</f>
        <v/>
      </c>
      <c r="L836" s="95">
        <f>IFERROR(VLOOKUP(J836,'11. Cadastro de Serviços'!$A$6:$E$200,3,FALSE),"")</f>
        <v/>
      </c>
      <c r="M836" s="95">
        <f>IFERROR(VLOOKUP(J836,'11. Cadastro de Serviços'!$A$6:$E$200,4,FALSE),"")</f>
        <v/>
      </c>
      <c r="N836" s="95" t="n"/>
      <c r="O836" s="95">
        <f>IF(AND(G836&lt;&gt;"",I836&lt;&gt;"",J836&lt;&gt;"",M836&lt;&gt;""),"Rastreado","Revisar")</f>
        <v/>
      </c>
      <c r="P836" s="96" t="n"/>
    </row>
    <row r="837">
      <c r="A837" s="95" t="n"/>
      <c r="B837" s="96" t="n"/>
      <c r="C837" s="96" t="n"/>
      <c r="D837" s="95" t="n"/>
      <c r="E837" s="96" t="n"/>
      <c r="F837" s="96" t="n"/>
      <c r="G837" s="95">
        <f>IFERROR(VLOOKUP(F837,'12. Contratos_OS'!$A$6:$L$1000,2,FALSE),"")</f>
        <v/>
      </c>
      <c r="H837" s="95">
        <f>IFERROR(VLOOKUP(F837,'12. Contratos_OS'!$A$6:$L$1000,3,FALSE),"")</f>
        <v/>
      </c>
      <c r="I837" s="95">
        <f>IFERROR(VLOOKUP(F837,'12. Contratos_OS'!$A$6:$L$1000,4,FALSE),"")</f>
        <v/>
      </c>
      <c r="J837" s="95">
        <f>IFERROR(VLOOKUP(F837,'12. Contratos_OS'!$A$6:$L$1000,7,FALSE),"")</f>
        <v/>
      </c>
      <c r="K837" s="95">
        <f>IFERROR(VLOOKUP(J837,'11. Cadastro de Serviços'!$A$6:$E$200,2,FALSE),"")</f>
        <v/>
      </c>
      <c r="L837" s="95">
        <f>IFERROR(VLOOKUP(J837,'11. Cadastro de Serviços'!$A$6:$E$200,3,FALSE),"")</f>
        <v/>
      </c>
      <c r="M837" s="95">
        <f>IFERROR(VLOOKUP(J837,'11. Cadastro de Serviços'!$A$6:$E$200,4,FALSE),"")</f>
        <v/>
      </c>
      <c r="N837" s="95" t="n"/>
      <c r="O837" s="95">
        <f>IF(AND(G837&lt;&gt;"",I837&lt;&gt;"",J837&lt;&gt;"",M837&lt;&gt;""),"Rastreado","Revisar")</f>
        <v/>
      </c>
      <c r="P837" s="96" t="n"/>
    </row>
    <row r="838">
      <c r="A838" s="95" t="n"/>
      <c r="B838" s="96" t="n"/>
      <c r="C838" s="96" t="n"/>
      <c r="D838" s="95" t="n"/>
      <c r="E838" s="96" t="n"/>
      <c r="F838" s="96" t="n"/>
      <c r="G838" s="95">
        <f>IFERROR(VLOOKUP(F838,'12. Contratos_OS'!$A$6:$L$1000,2,FALSE),"")</f>
        <v/>
      </c>
      <c r="H838" s="95">
        <f>IFERROR(VLOOKUP(F838,'12. Contratos_OS'!$A$6:$L$1000,3,FALSE),"")</f>
        <v/>
      </c>
      <c r="I838" s="95">
        <f>IFERROR(VLOOKUP(F838,'12. Contratos_OS'!$A$6:$L$1000,4,FALSE),"")</f>
        <v/>
      </c>
      <c r="J838" s="95">
        <f>IFERROR(VLOOKUP(F838,'12. Contratos_OS'!$A$6:$L$1000,7,FALSE),"")</f>
        <v/>
      </c>
      <c r="K838" s="95">
        <f>IFERROR(VLOOKUP(J838,'11. Cadastro de Serviços'!$A$6:$E$200,2,FALSE),"")</f>
        <v/>
      </c>
      <c r="L838" s="95">
        <f>IFERROR(VLOOKUP(J838,'11. Cadastro de Serviços'!$A$6:$E$200,3,FALSE),"")</f>
        <v/>
      </c>
      <c r="M838" s="95">
        <f>IFERROR(VLOOKUP(J838,'11. Cadastro de Serviços'!$A$6:$E$200,4,FALSE),"")</f>
        <v/>
      </c>
      <c r="N838" s="95" t="n"/>
      <c r="O838" s="95">
        <f>IF(AND(G838&lt;&gt;"",I838&lt;&gt;"",J838&lt;&gt;"",M838&lt;&gt;""),"Rastreado","Revisar")</f>
        <v/>
      </c>
      <c r="P838" s="96" t="n"/>
    </row>
    <row r="839">
      <c r="A839" s="95" t="n"/>
      <c r="B839" s="96" t="n"/>
      <c r="C839" s="96" t="n"/>
      <c r="D839" s="95" t="n"/>
      <c r="E839" s="96" t="n"/>
      <c r="F839" s="96" t="n"/>
      <c r="G839" s="95">
        <f>IFERROR(VLOOKUP(F839,'12. Contratos_OS'!$A$6:$L$1000,2,FALSE),"")</f>
        <v/>
      </c>
      <c r="H839" s="95">
        <f>IFERROR(VLOOKUP(F839,'12. Contratos_OS'!$A$6:$L$1000,3,FALSE),"")</f>
        <v/>
      </c>
      <c r="I839" s="95">
        <f>IFERROR(VLOOKUP(F839,'12. Contratos_OS'!$A$6:$L$1000,4,FALSE),"")</f>
        <v/>
      </c>
      <c r="J839" s="95">
        <f>IFERROR(VLOOKUP(F839,'12. Contratos_OS'!$A$6:$L$1000,7,FALSE),"")</f>
        <v/>
      </c>
      <c r="K839" s="95">
        <f>IFERROR(VLOOKUP(J839,'11. Cadastro de Serviços'!$A$6:$E$200,2,FALSE),"")</f>
        <v/>
      </c>
      <c r="L839" s="95">
        <f>IFERROR(VLOOKUP(J839,'11. Cadastro de Serviços'!$A$6:$E$200,3,FALSE),"")</f>
        <v/>
      </c>
      <c r="M839" s="95">
        <f>IFERROR(VLOOKUP(J839,'11. Cadastro de Serviços'!$A$6:$E$200,4,FALSE),"")</f>
        <v/>
      </c>
      <c r="N839" s="95" t="n"/>
      <c r="O839" s="95">
        <f>IF(AND(G839&lt;&gt;"",I839&lt;&gt;"",J839&lt;&gt;"",M839&lt;&gt;""),"Rastreado","Revisar")</f>
        <v/>
      </c>
      <c r="P839" s="96" t="n"/>
    </row>
    <row r="840">
      <c r="A840" s="95" t="n"/>
      <c r="B840" s="96" t="n"/>
      <c r="C840" s="96" t="n"/>
      <c r="D840" s="95" t="n"/>
      <c r="E840" s="96" t="n"/>
      <c r="F840" s="96" t="n"/>
      <c r="G840" s="95">
        <f>IFERROR(VLOOKUP(F840,'12. Contratos_OS'!$A$6:$L$1000,2,FALSE),"")</f>
        <v/>
      </c>
      <c r="H840" s="95">
        <f>IFERROR(VLOOKUP(F840,'12. Contratos_OS'!$A$6:$L$1000,3,FALSE),"")</f>
        <v/>
      </c>
      <c r="I840" s="95">
        <f>IFERROR(VLOOKUP(F840,'12. Contratos_OS'!$A$6:$L$1000,4,FALSE),"")</f>
        <v/>
      </c>
      <c r="J840" s="95">
        <f>IFERROR(VLOOKUP(F840,'12. Contratos_OS'!$A$6:$L$1000,7,FALSE),"")</f>
        <v/>
      </c>
      <c r="K840" s="95">
        <f>IFERROR(VLOOKUP(J840,'11. Cadastro de Serviços'!$A$6:$E$200,2,FALSE),"")</f>
        <v/>
      </c>
      <c r="L840" s="95">
        <f>IFERROR(VLOOKUP(J840,'11. Cadastro de Serviços'!$A$6:$E$200,3,FALSE),"")</f>
        <v/>
      </c>
      <c r="M840" s="95">
        <f>IFERROR(VLOOKUP(J840,'11. Cadastro de Serviços'!$A$6:$E$200,4,FALSE),"")</f>
        <v/>
      </c>
      <c r="N840" s="95" t="n"/>
      <c r="O840" s="95">
        <f>IF(AND(G840&lt;&gt;"",I840&lt;&gt;"",J840&lt;&gt;"",M840&lt;&gt;""),"Rastreado","Revisar")</f>
        <v/>
      </c>
      <c r="P840" s="96" t="n"/>
    </row>
    <row r="841">
      <c r="A841" s="95" t="n"/>
      <c r="B841" s="96" t="n"/>
      <c r="C841" s="96" t="n"/>
      <c r="D841" s="95" t="n"/>
      <c r="E841" s="96" t="n"/>
      <c r="F841" s="96" t="n"/>
      <c r="G841" s="95">
        <f>IFERROR(VLOOKUP(F841,'12. Contratos_OS'!$A$6:$L$1000,2,FALSE),"")</f>
        <v/>
      </c>
      <c r="H841" s="95">
        <f>IFERROR(VLOOKUP(F841,'12. Contratos_OS'!$A$6:$L$1000,3,FALSE),"")</f>
        <v/>
      </c>
      <c r="I841" s="95">
        <f>IFERROR(VLOOKUP(F841,'12. Contratos_OS'!$A$6:$L$1000,4,FALSE),"")</f>
        <v/>
      </c>
      <c r="J841" s="95">
        <f>IFERROR(VLOOKUP(F841,'12. Contratos_OS'!$A$6:$L$1000,7,FALSE),"")</f>
        <v/>
      </c>
      <c r="K841" s="95">
        <f>IFERROR(VLOOKUP(J841,'11. Cadastro de Serviços'!$A$6:$E$200,2,FALSE),"")</f>
        <v/>
      </c>
      <c r="L841" s="95">
        <f>IFERROR(VLOOKUP(J841,'11. Cadastro de Serviços'!$A$6:$E$200,3,FALSE),"")</f>
        <v/>
      </c>
      <c r="M841" s="95">
        <f>IFERROR(VLOOKUP(J841,'11. Cadastro de Serviços'!$A$6:$E$200,4,FALSE),"")</f>
        <v/>
      </c>
      <c r="N841" s="95" t="n"/>
      <c r="O841" s="95">
        <f>IF(AND(G841&lt;&gt;"",I841&lt;&gt;"",J841&lt;&gt;"",M841&lt;&gt;""),"Rastreado","Revisar")</f>
        <v/>
      </c>
      <c r="P841" s="96" t="n"/>
    </row>
    <row r="842">
      <c r="A842" s="95" t="n"/>
      <c r="B842" s="96" t="n"/>
      <c r="C842" s="96" t="n"/>
      <c r="D842" s="95" t="n"/>
      <c r="E842" s="96" t="n"/>
      <c r="F842" s="96" t="n"/>
      <c r="G842" s="95">
        <f>IFERROR(VLOOKUP(F842,'12. Contratos_OS'!$A$6:$L$1000,2,FALSE),"")</f>
        <v/>
      </c>
      <c r="H842" s="95">
        <f>IFERROR(VLOOKUP(F842,'12. Contratos_OS'!$A$6:$L$1000,3,FALSE),"")</f>
        <v/>
      </c>
      <c r="I842" s="95">
        <f>IFERROR(VLOOKUP(F842,'12. Contratos_OS'!$A$6:$L$1000,4,FALSE),"")</f>
        <v/>
      </c>
      <c r="J842" s="95">
        <f>IFERROR(VLOOKUP(F842,'12. Contratos_OS'!$A$6:$L$1000,7,FALSE),"")</f>
        <v/>
      </c>
      <c r="K842" s="95">
        <f>IFERROR(VLOOKUP(J842,'11. Cadastro de Serviços'!$A$6:$E$200,2,FALSE),"")</f>
        <v/>
      </c>
      <c r="L842" s="95">
        <f>IFERROR(VLOOKUP(J842,'11. Cadastro de Serviços'!$A$6:$E$200,3,FALSE),"")</f>
        <v/>
      </c>
      <c r="M842" s="95">
        <f>IFERROR(VLOOKUP(J842,'11. Cadastro de Serviços'!$A$6:$E$200,4,FALSE),"")</f>
        <v/>
      </c>
      <c r="N842" s="95" t="n"/>
      <c r="O842" s="95">
        <f>IF(AND(G842&lt;&gt;"",I842&lt;&gt;"",J842&lt;&gt;"",M842&lt;&gt;""),"Rastreado","Revisar")</f>
        <v/>
      </c>
      <c r="P842" s="96" t="n"/>
    </row>
    <row r="843">
      <c r="A843" s="95" t="n"/>
      <c r="B843" s="96" t="n"/>
      <c r="C843" s="96" t="n"/>
      <c r="D843" s="95" t="n"/>
      <c r="E843" s="96" t="n"/>
      <c r="F843" s="96" t="n"/>
      <c r="G843" s="95">
        <f>IFERROR(VLOOKUP(F843,'12. Contratos_OS'!$A$6:$L$1000,2,FALSE),"")</f>
        <v/>
      </c>
      <c r="H843" s="95">
        <f>IFERROR(VLOOKUP(F843,'12. Contratos_OS'!$A$6:$L$1000,3,FALSE),"")</f>
        <v/>
      </c>
      <c r="I843" s="95">
        <f>IFERROR(VLOOKUP(F843,'12. Contratos_OS'!$A$6:$L$1000,4,FALSE),"")</f>
        <v/>
      </c>
      <c r="J843" s="95">
        <f>IFERROR(VLOOKUP(F843,'12. Contratos_OS'!$A$6:$L$1000,7,FALSE),"")</f>
        <v/>
      </c>
      <c r="K843" s="95">
        <f>IFERROR(VLOOKUP(J843,'11. Cadastro de Serviços'!$A$6:$E$200,2,FALSE),"")</f>
        <v/>
      </c>
      <c r="L843" s="95">
        <f>IFERROR(VLOOKUP(J843,'11. Cadastro de Serviços'!$A$6:$E$200,3,FALSE),"")</f>
        <v/>
      </c>
      <c r="M843" s="95">
        <f>IFERROR(VLOOKUP(J843,'11. Cadastro de Serviços'!$A$6:$E$200,4,FALSE),"")</f>
        <v/>
      </c>
      <c r="N843" s="95" t="n"/>
      <c r="O843" s="95">
        <f>IF(AND(G843&lt;&gt;"",I843&lt;&gt;"",J843&lt;&gt;"",M843&lt;&gt;""),"Rastreado","Revisar")</f>
        <v/>
      </c>
      <c r="P843" s="96" t="n"/>
    </row>
    <row r="844">
      <c r="A844" s="95" t="n"/>
      <c r="B844" s="96" t="n"/>
      <c r="C844" s="96" t="n"/>
      <c r="D844" s="95" t="n"/>
      <c r="E844" s="96" t="n"/>
      <c r="F844" s="96" t="n"/>
      <c r="G844" s="95">
        <f>IFERROR(VLOOKUP(F844,'12. Contratos_OS'!$A$6:$L$1000,2,FALSE),"")</f>
        <v/>
      </c>
      <c r="H844" s="95">
        <f>IFERROR(VLOOKUP(F844,'12. Contratos_OS'!$A$6:$L$1000,3,FALSE),"")</f>
        <v/>
      </c>
      <c r="I844" s="95">
        <f>IFERROR(VLOOKUP(F844,'12. Contratos_OS'!$A$6:$L$1000,4,FALSE),"")</f>
        <v/>
      </c>
      <c r="J844" s="95">
        <f>IFERROR(VLOOKUP(F844,'12. Contratos_OS'!$A$6:$L$1000,7,FALSE),"")</f>
        <v/>
      </c>
      <c r="K844" s="95">
        <f>IFERROR(VLOOKUP(J844,'11. Cadastro de Serviços'!$A$6:$E$200,2,FALSE),"")</f>
        <v/>
      </c>
      <c r="L844" s="95">
        <f>IFERROR(VLOOKUP(J844,'11. Cadastro de Serviços'!$A$6:$E$200,3,FALSE),"")</f>
        <v/>
      </c>
      <c r="M844" s="95">
        <f>IFERROR(VLOOKUP(J844,'11. Cadastro de Serviços'!$A$6:$E$200,4,FALSE),"")</f>
        <v/>
      </c>
      <c r="N844" s="95" t="n"/>
      <c r="O844" s="95">
        <f>IF(AND(G844&lt;&gt;"",I844&lt;&gt;"",J844&lt;&gt;"",M844&lt;&gt;""),"Rastreado","Revisar")</f>
        <v/>
      </c>
      <c r="P844" s="96" t="n"/>
    </row>
    <row r="845">
      <c r="A845" s="95" t="n"/>
      <c r="B845" s="96" t="n"/>
      <c r="C845" s="96" t="n"/>
      <c r="D845" s="95" t="n"/>
      <c r="E845" s="96" t="n"/>
      <c r="F845" s="96" t="n"/>
      <c r="G845" s="95">
        <f>IFERROR(VLOOKUP(F845,'12. Contratos_OS'!$A$6:$L$1000,2,FALSE),"")</f>
        <v/>
      </c>
      <c r="H845" s="95">
        <f>IFERROR(VLOOKUP(F845,'12. Contratos_OS'!$A$6:$L$1000,3,FALSE),"")</f>
        <v/>
      </c>
      <c r="I845" s="95">
        <f>IFERROR(VLOOKUP(F845,'12. Contratos_OS'!$A$6:$L$1000,4,FALSE),"")</f>
        <v/>
      </c>
      <c r="J845" s="95">
        <f>IFERROR(VLOOKUP(F845,'12. Contratos_OS'!$A$6:$L$1000,7,FALSE),"")</f>
        <v/>
      </c>
      <c r="K845" s="95">
        <f>IFERROR(VLOOKUP(J845,'11. Cadastro de Serviços'!$A$6:$E$200,2,FALSE),"")</f>
        <v/>
      </c>
      <c r="L845" s="95">
        <f>IFERROR(VLOOKUP(J845,'11. Cadastro de Serviços'!$A$6:$E$200,3,FALSE),"")</f>
        <v/>
      </c>
      <c r="M845" s="95">
        <f>IFERROR(VLOOKUP(J845,'11. Cadastro de Serviços'!$A$6:$E$200,4,FALSE),"")</f>
        <v/>
      </c>
      <c r="N845" s="95" t="n"/>
      <c r="O845" s="95">
        <f>IF(AND(G845&lt;&gt;"",I845&lt;&gt;"",J845&lt;&gt;"",M845&lt;&gt;""),"Rastreado","Revisar")</f>
        <v/>
      </c>
      <c r="P845" s="96" t="n"/>
    </row>
    <row r="846">
      <c r="A846" s="95" t="n"/>
      <c r="B846" s="96" t="n"/>
      <c r="C846" s="96" t="n"/>
      <c r="D846" s="95" t="n"/>
      <c r="E846" s="96" t="n"/>
      <c r="F846" s="96" t="n"/>
      <c r="G846" s="95">
        <f>IFERROR(VLOOKUP(F846,'12. Contratos_OS'!$A$6:$L$1000,2,FALSE),"")</f>
        <v/>
      </c>
      <c r="H846" s="95">
        <f>IFERROR(VLOOKUP(F846,'12. Contratos_OS'!$A$6:$L$1000,3,FALSE),"")</f>
        <v/>
      </c>
      <c r="I846" s="95">
        <f>IFERROR(VLOOKUP(F846,'12. Contratos_OS'!$A$6:$L$1000,4,FALSE),"")</f>
        <v/>
      </c>
      <c r="J846" s="95">
        <f>IFERROR(VLOOKUP(F846,'12. Contratos_OS'!$A$6:$L$1000,7,FALSE),"")</f>
        <v/>
      </c>
      <c r="K846" s="95">
        <f>IFERROR(VLOOKUP(J846,'11. Cadastro de Serviços'!$A$6:$E$200,2,FALSE),"")</f>
        <v/>
      </c>
      <c r="L846" s="95">
        <f>IFERROR(VLOOKUP(J846,'11. Cadastro de Serviços'!$A$6:$E$200,3,FALSE),"")</f>
        <v/>
      </c>
      <c r="M846" s="95">
        <f>IFERROR(VLOOKUP(J846,'11. Cadastro de Serviços'!$A$6:$E$200,4,FALSE),"")</f>
        <v/>
      </c>
      <c r="N846" s="95" t="n"/>
      <c r="O846" s="95">
        <f>IF(AND(G846&lt;&gt;"",I846&lt;&gt;"",J846&lt;&gt;"",M846&lt;&gt;""),"Rastreado","Revisar")</f>
        <v/>
      </c>
      <c r="P846" s="96" t="n"/>
    </row>
    <row r="847">
      <c r="A847" s="95" t="n"/>
      <c r="B847" s="96" t="n"/>
      <c r="C847" s="96" t="n"/>
      <c r="D847" s="95" t="n"/>
      <c r="E847" s="96" t="n"/>
      <c r="F847" s="96" t="n"/>
      <c r="G847" s="95">
        <f>IFERROR(VLOOKUP(F847,'12. Contratos_OS'!$A$6:$L$1000,2,FALSE),"")</f>
        <v/>
      </c>
      <c r="H847" s="95">
        <f>IFERROR(VLOOKUP(F847,'12. Contratos_OS'!$A$6:$L$1000,3,FALSE),"")</f>
        <v/>
      </c>
      <c r="I847" s="95">
        <f>IFERROR(VLOOKUP(F847,'12. Contratos_OS'!$A$6:$L$1000,4,FALSE),"")</f>
        <v/>
      </c>
      <c r="J847" s="95">
        <f>IFERROR(VLOOKUP(F847,'12. Contratos_OS'!$A$6:$L$1000,7,FALSE),"")</f>
        <v/>
      </c>
      <c r="K847" s="95">
        <f>IFERROR(VLOOKUP(J847,'11. Cadastro de Serviços'!$A$6:$E$200,2,FALSE),"")</f>
        <v/>
      </c>
      <c r="L847" s="95">
        <f>IFERROR(VLOOKUP(J847,'11. Cadastro de Serviços'!$A$6:$E$200,3,FALSE),"")</f>
        <v/>
      </c>
      <c r="M847" s="95">
        <f>IFERROR(VLOOKUP(J847,'11. Cadastro de Serviços'!$A$6:$E$200,4,FALSE),"")</f>
        <v/>
      </c>
      <c r="N847" s="95" t="n"/>
      <c r="O847" s="95">
        <f>IF(AND(G847&lt;&gt;"",I847&lt;&gt;"",J847&lt;&gt;"",M847&lt;&gt;""),"Rastreado","Revisar")</f>
        <v/>
      </c>
      <c r="P847" s="96" t="n"/>
    </row>
    <row r="848">
      <c r="A848" s="95" t="n"/>
      <c r="B848" s="96" t="n"/>
      <c r="C848" s="96" t="n"/>
      <c r="D848" s="95" t="n"/>
      <c r="E848" s="96" t="n"/>
      <c r="F848" s="96" t="n"/>
      <c r="G848" s="95">
        <f>IFERROR(VLOOKUP(F848,'12. Contratos_OS'!$A$6:$L$1000,2,FALSE),"")</f>
        <v/>
      </c>
      <c r="H848" s="95">
        <f>IFERROR(VLOOKUP(F848,'12. Contratos_OS'!$A$6:$L$1000,3,FALSE),"")</f>
        <v/>
      </c>
      <c r="I848" s="95">
        <f>IFERROR(VLOOKUP(F848,'12. Contratos_OS'!$A$6:$L$1000,4,FALSE),"")</f>
        <v/>
      </c>
      <c r="J848" s="95">
        <f>IFERROR(VLOOKUP(F848,'12. Contratos_OS'!$A$6:$L$1000,7,FALSE),"")</f>
        <v/>
      </c>
      <c r="K848" s="95">
        <f>IFERROR(VLOOKUP(J848,'11. Cadastro de Serviços'!$A$6:$E$200,2,FALSE),"")</f>
        <v/>
      </c>
      <c r="L848" s="95">
        <f>IFERROR(VLOOKUP(J848,'11. Cadastro de Serviços'!$A$6:$E$200,3,FALSE),"")</f>
        <v/>
      </c>
      <c r="M848" s="95">
        <f>IFERROR(VLOOKUP(J848,'11. Cadastro de Serviços'!$A$6:$E$200,4,FALSE),"")</f>
        <v/>
      </c>
      <c r="N848" s="95" t="n"/>
      <c r="O848" s="95">
        <f>IF(AND(G848&lt;&gt;"",I848&lt;&gt;"",J848&lt;&gt;"",M848&lt;&gt;""),"Rastreado","Revisar")</f>
        <v/>
      </c>
      <c r="P848" s="96" t="n"/>
    </row>
    <row r="849">
      <c r="A849" s="95" t="n"/>
      <c r="B849" s="96" t="n"/>
      <c r="C849" s="96" t="n"/>
      <c r="D849" s="95" t="n"/>
      <c r="E849" s="96" t="n"/>
      <c r="F849" s="96" t="n"/>
      <c r="G849" s="95">
        <f>IFERROR(VLOOKUP(F849,'12. Contratos_OS'!$A$6:$L$1000,2,FALSE),"")</f>
        <v/>
      </c>
      <c r="H849" s="95">
        <f>IFERROR(VLOOKUP(F849,'12. Contratos_OS'!$A$6:$L$1000,3,FALSE),"")</f>
        <v/>
      </c>
      <c r="I849" s="95">
        <f>IFERROR(VLOOKUP(F849,'12. Contratos_OS'!$A$6:$L$1000,4,FALSE),"")</f>
        <v/>
      </c>
      <c r="J849" s="95">
        <f>IFERROR(VLOOKUP(F849,'12. Contratos_OS'!$A$6:$L$1000,7,FALSE),"")</f>
        <v/>
      </c>
      <c r="K849" s="95">
        <f>IFERROR(VLOOKUP(J849,'11. Cadastro de Serviços'!$A$6:$E$200,2,FALSE),"")</f>
        <v/>
      </c>
      <c r="L849" s="95">
        <f>IFERROR(VLOOKUP(J849,'11. Cadastro de Serviços'!$A$6:$E$200,3,FALSE),"")</f>
        <v/>
      </c>
      <c r="M849" s="95">
        <f>IFERROR(VLOOKUP(J849,'11. Cadastro de Serviços'!$A$6:$E$200,4,FALSE),"")</f>
        <v/>
      </c>
      <c r="N849" s="95" t="n"/>
      <c r="O849" s="95">
        <f>IF(AND(G849&lt;&gt;"",I849&lt;&gt;"",J849&lt;&gt;"",M849&lt;&gt;""),"Rastreado","Revisar")</f>
        <v/>
      </c>
      <c r="P849" s="96" t="n"/>
    </row>
    <row r="850">
      <c r="A850" s="95" t="n"/>
      <c r="B850" s="96" t="n"/>
      <c r="C850" s="96" t="n"/>
      <c r="D850" s="95" t="n"/>
      <c r="E850" s="96" t="n"/>
      <c r="F850" s="96" t="n"/>
      <c r="G850" s="95">
        <f>IFERROR(VLOOKUP(F850,'12. Contratos_OS'!$A$6:$L$1000,2,FALSE),"")</f>
        <v/>
      </c>
      <c r="H850" s="95">
        <f>IFERROR(VLOOKUP(F850,'12. Contratos_OS'!$A$6:$L$1000,3,FALSE),"")</f>
        <v/>
      </c>
      <c r="I850" s="95">
        <f>IFERROR(VLOOKUP(F850,'12. Contratos_OS'!$A$6:$L$1000,4,FALSE),"")</f>
        <v/>
      </c>
      <c r="J850" s="95">
        <f>IFERROR(VLOOKUP(F850,'12. Contratos_OS'!$A$6:$L$1000,7,FALSE),"")</f>
        <v/>
      </c>
      <c r="K850" s="95">
        <f>IFERROR(VLOOKUP(J850,'11. Cadastro de Serviços'!$A$6:$E$200,2,FALSE),"")</f>
        <v/>
      </c>
      <c r="L850" s="95">
        <f>IFERROR(VLOOKUP(J850,'11. Cadastro de Serviços'!$A$6:$E$200,3,FALSE),"")</f>
        <v/>
      </c>
      <c r="M850" s="95">
        <f>IFERROR(VLOOKUP(J850,'11. Cadastro de Serviços'!$A$6:$E$200,4,FALSE),"")</f>
        <v/>
      </c>
      <c r="N850" s="95" t="n"/>
      <c r="O850" s="95">
        <f>IF(AND(G850&lt;&gt;"",I850&lt;&gt;"",J850&lt;&gt;"",M850&lt;&gt;""),"Rastreado","Revisar")</f>
        <v/>
      </c>
      <c r="P850" s="96" t="n"/>
    </row>
    <row r="851">
      <c r="A851" s="95" t="n"/>
      <c r="B851" s="96" t="n"/>
      <c r="C851" s="96" t="n"/>
      <c r="D851" s="95" t="n"/>
      <c r="E851" s="96" t="n"/>
      <c r="F851" s="96" t="n"/>
      <c r="G851" s="95">
        <f>IFERROR(VLOOKUP(F851,'12. Contratos_OS'!$A$6:$L$1000,2,FALSE),"")</f>
        <v/>
      </c>
      <c r="H851" s="95">
        <f>IFERROR(VLOOKUP(F851,'12. Contratos_OS'!$A$6:$L$1000,3,FALSE),"")</f>
        <v/>
      </c>
      <c r="I851" s="95">
        <f>IFERROR(VLOOKUP(F851,'12. Contratos_OS'!$A$6:$L$1000,4,FALSE),"")</f>
        <v/>
      </c>
      <c r="J851" s="95">
        <f>IFERROR(VLOOKUP(F851,'12. Contratos_OS'!$A$6:$L$1000,7,FALSE),"")</f>
        <v/>
      </c>
      <c r="K851" s="95">
        <f>IFERROR(VLOOKUP(J851,'11. Cadastro de Serviços'!$A$6:$E$200,2,FALSE),"")</f>
        <v/>
      </c>
      <c r="L851" s="95">
        <f>IFERROR(VLOOKUP(J851,'11. Cadastro de Serviços'!$A$6:$E$200,3,FALSE),"")</f>
        <v/>
      </c>
      <c r="M851" s="95">
        <f>IFERROR(VLOOKUP(J851,'11. Cadastro de Serviços'!$A$6:$E$200,4,FALSE),"")</f>
        <v/>
      </c>
      <c r="N851" s="95" t="n"/>
      <c r="O851" s="95">
        <f>IF(AND(G851&lt;&gt;"",I851&lt;&gt;"",J851&lt;&gt;"",M851&lt;&gt;""),"Rastreado","Revisar")</f>
        <v/>
      </c>
      <c r="P851" s="96" t="n"/>
    </row>
    <row r="852">
      <c r="A852" s="95" t="n"/>
      <c r="B852" s="96" t="n"/>
      <c r="C852" s="96" t="n"/>
      <c r="D852" s="95" t="n"/>
      <c r="E852" s="96" t="n"/>
      <c r="F852" s="96" t="n"/>
      <c r="G852" s="95">
        <f>IFERROR(VLOOKUP(F852,'12. Contratos_OS'!$A$6:$L$1000,2,FALSE),"")</f>
        <v/>
      </c>
      <c r="H852" s="95">
        <f>IFERROR(VLOOKUP(F852,'12. Contratos_OS'!$A$6:$L$1000,3,FALSE),"")</f>
        <v/>
      </c>
      <c r="I852" s="95">
        <f>IFERROR(VLOOKUP(F852,'12. Contratos_OS'!$A$6:$L$1000,4,FALSE),"")</f>
        <v/>
      </c>
      <c r="J852" s="95">
        <f>IFERROR(VLOOKUP(F852,'12. Contratos_OS'!$A$6:$L$1000,7,FALSE),"")</f>
        <v/>
      </c>
      <c r="K852" s="95">
        <f>IFERROR(VLOOKUP(J852,'11. Cadastro de Serviços'!$A$6:$E$200,2,FALSE),"")</f>
        <v/>
      </c>
      <c r="L852" s="95">
        <f>IFERROR(VLOOKUP(J852,'11. Cadastro de Serviços'!$A$6:$E$200,3,FALSE),"")</f>
        <v/>
      </c>
      <c r="M852" s="95">
        <f>IFERROR(VLOOKUP(J852,'11. Cadastro de Serviços'!$A$6:$E$200,4,FALSE),"")</f>
        <v/>
      </c>
      <c r="N852" s="95" t="n"/>
      <c r="O852" s="95">
        <f>IF(AND(G852&lt;&gt;"",I852&lt;&gt;"",J852&lt;&gt;"",M852&lt;&gt;""),"Rastreado","Revisar")</f>
        <v/>
      </c>
      <c r="P852" s="96" t="n"/>
    </row>
    <row r="853">
      <c r="A853" s="95" t="n"/>
      <c r="B853" s="96" t="n"/>
      <c r="C853" s="96" t="n"/>
      <c r="D853" s="95" t="n"/>
      <c r="E853" s="96" t="n"/>
      <c r="F853" s="96" t="n"/>
      <c r="G853" s="95">
        <f>IFERROR(VLOOKUP(F853,'12. Contratos_OS'!$A$6:$L$1000,2,FALSE),"")</f>
        <v/>
      </c>
      <c r="H853" s="95">
        <f>IFERROR(VLOOKUP(F853,'12. Contratos_OS'!$A$6:$L$1000,3,FALSE),"")</f>
        <v/>
      </c>
      <c r="I853" s="95">
        <f>IFERROR(VLOOKUP(F853,'12. Contratos_OS'!$A$6:$L$1000,4,FALSE),"")</f>
        <v/>
      </c>
      <c r="J853" s="95">
        <f>IFERROR(VLOOKUP(F853,'12. Contratos_OS'!$A$6:$L$1000,7,FALSE),"")</f>
        <v/>
      </c>
      <c r="K853" s="95">
        <f>IFERROR(VLOOKUP(J853,'11. Cadastro de Serviços'!$A$6:$E$200,2,FALSE),"")</f>
        <v/>
      </c>
      <c r="L853" s="95">
        <f>IFERROR(VLOOKUP(J853,'11. Cadastro de Serviços'!$A$6:$E$200,3,FALSE),"")</f>
        <v/>
      </c>
      <c r="M853" s="95">
        <f>IFERROR(VLOOKUP(J853,'11. Cadastro de Serviços'!$A$6:$E$200,4,FALSE),"")</f>
        <v/>
      </c>
      <c r="N853" s="95" t="n"/>
      <c r="O853" s="95">
        <f>IF(AND(G853&lt;&gt;"",I853&lt;&gt;"",J853&lt;&gt;"",M853&lt;&gt;""),"Rastreado","Revisar")</f>
        <v/>
      </c>
      <c r="P853" s="96" t="n"/>
    </row>
    <row r="854">
      <c r="A854" s="95" t="n"/>
      <c r="B854" s="96" t="n"/>
      <c r="C854" s="96" t="n"/>
      <c r="D854" s="95" t="n"/>
      <c r="E854" s="96" t="n"/>
      <c r="F854" s="96" t="n"/>
      <c r="G854" s="95">
        <f>IFERROR(VLOOKUP(F854,'12. Contratos_OS'!$A$6:$L$1000,2,FALSE),"")</f>
        <v/>
      </c>
      <c r="H854" s="95">
        <f>IFERROR(VLOOKUP(F854,'12. Contratos_OS'!$A$6:$L$1000,3,FALSE),"")</f>
        <v/>
      </c>
      <c r="I854" s="95">
        <f>IFERROR(VLOOKUP(F854,'12. Contratos_OS'!$A$6:$L$1000,4,FALSE),"")</f>
        <v/>
      </c>
      <c r="J854" s="95">
        <f>IFERROR(VLOOKUP(F854,'12. Contratos_OS'!$A$6:$L$1000,7,FALSE),"")</f>
        <v/>
      </c>
      <c r="K854" s="95">
        <f>IFERROR(VLOOKUP(J854,'11. Cadastro de Serviços'!$A$6:$E$200,2,FALSE),"")</f>
        <v/>
      </c>
      <c r="L854" s="95">
        <f>IFERROR(VLOOKUP(J854,'11. Cadastro de Serviços'!$A$6:$E$200,3,FALSE),"")</f>
        <v/>
      </c>
      <c r="M854" s="95">
        <f>IFERROR(VLOOKUP(J854,'11. Cadastro de Serviços'!$A$6:$E$200,4,FALSE),"")</f>
        <v/>
      </c>
      <c r="N854" s="95" t="n"/>
      <c r="O854" s="95">
        <f>IF(AND(G854&lt;&gt;"",I854&lt;&gt;"",J854&lt;&gt;"",M854&lt;&gt;""),"Rastreado","Revisar")</f>
        <v/>
      </c>
      <c r="P854" s="96" t="n"/>
    </row>
    <row r="855">
      <c r="A855" s="95" t="n"/>
      <c r="B855" s="96" t="n"/>
      <c r="C855" s="96" t="n"/>
      <c r="D855" s="95" t="n"/>
      <c r="E855" s="96" t="n"/>
      <c r="F855" s="96" t="n"/>
      <c r="G855" s="95">
        <f>IFERROR(VLOOKUP(F855,'12. Contratos_OS'!$A$6:$L$1000,2,FALSE),"")</f>
        <v/>
      </c>
      <c r="H855" s="95">
        <f>IFERROR(VLOOKUP(F855,'12. Contratos_OS'!$A$6:$L$1000,3,FALSE),"")</f>
        <v/>
      </c>
      <c r="I855" s="95">
        <f>IFERROR(VLOOKUP(F855,'12. Contratos_OS'!$A$6:$L$1000,4,FALSE),"")</f>
        <v/>
      </c>
      <c r="J855" s="95">
        <f>IFERROR(VLOOKUP(F855,'12. Contratos_OS'!$A$6:$L$1000,7,FALSE),"")</f>
        <v/>
      </c>
      <c r="K855" s="95">
        <f>IFERROR(VLOOKUP(J855,'11. Cadastro de Serviços'!$A$6:$E$200,2,FALSE),"")</f>
        <v/>
      </c>
      <c r="L855" s="95">
        <f>IFERROR(VLOOKUP(J855,'11. Cadastro de Serviços'!$A$6:$E$200,3,FALSE),"")</f>
        <v/>
      </c>
      <c r="M855" s="95">
        <f>IFERROR(VLOOKUP(J855,'11. Cadastro de Serviços'!$A$6:$E$200,4,FALSE),"")</f>
        <v/>
      </c>
      <c r="N855" s="95" t="n"/>
      <c r="O855" s="95">
        <f>IF(AND(G855&lt;&gt;"",I855&lt;&gt;"",J855&lt;&gt;"",M855&lt;&gt;""),"Rastreado","Revisar")</f>
        <v/>
      </c>
      <c r="P855" s="96" t="n"/>
    </row>
    <row r="856">
      <c r="A856" s="95" t="n"/>
      <c r="B856" s="96" t="n"/>
      <c r="C856" s="96" t="n"/>
      <c r="D856" s="95" t="n"/>
      <c r="E856" s="96" t="n"/>
      <c r="F856" s="96" t="n"/>
      <c r="G856" s="95">
        <f>IFERROR(VLOOKUP(F856,'12. Contratos_OS'!$A$6:$L$1000,2,FALSE),"")</f>
        <v/>
      </c>
      <c r="H856" s="95">
        <f>IFERROR(VLOOKUP(F856,'12. Contratos_OS'!$A$6:$L$1000,3,FALSE),"")</f>
        <v/>
      </c>
      <c r="I856" s="95">
        <f>IFERROR(VLOOKUP(F856,'12. Contratos_OS'!$A$6:$L$1000,4,FALSE),"")</f>
        <v/>
      </c>
      <c r="J856" s="95">
        <f>IFERROR(VLOOKUP(F856,'12. Contratos_OS'!$A$6:$L$1000,7,FALSE),"")</f>
        <v/>
      </c>
      <c r="K856" s="95">
        <f>IFERROR(VLOOKUP(J856,'11. Cadastro de Serviços'!$A$6:$E$200,2,FALSE),"")</f>
        <v/>
      </c>
      <c r="L856" s="95">
        <f>IFERROR(VLOOKUP(J856,'11. Cadastro de Serviços'!$A$6:$E$200,3,FALSE),"")</f>
        <v/>
      </c>
      <c r="M856" s="95">
        <f>IFERROR(VLOOKUP(J856,'11. Cadastro de Serviços'!$A$6:$E$200,4,FALSE),"")</f>
        <v/>
      </c>
      <c r="N856" s="95" t="n"/>
      <c r="O856" s="95">
        <f>IF(AND(G856&lt;&gt;"",I856&lt;&gt;"",J856&lt;&gt;"",M856&lt;&gt;""),"Rastreado","Revisar")</f>
        <v/>
      </c>
      <c r="P856" s="96" t="n"/>
    </row>
    <row r="857">
      <c r="A857" s="95" t="n"/>
      <c r="B857" s="96" t="n"/>
      <c r="C857" s="96" t="n"/>
      <c r="D857" s="95" t="n"/>
      <c r="E857" s="96" t="n"/>
      <c r="F857" s="96" t="n"/>
      <c r="G857" s="95">
        <f>IFERROR(VLOOKUP(F857,'12. Contratos_OS'!$A$6:$L$1000,2,FALSE),"")</f>
        <v/>
      </c>
      <c r="H857" s="95">
        <f>IFERROR(VLOOKUP(F857,'12. Contratos_OS'!$A$6:$L$1000,3,FALSE),"")</f>
        <v/>
      </c>
      <c r="I857" s="95">
        <f>IFERROR(VLOOKUP(F857,'12. Contratos_OS'!$A$6:$L$1000,4,FALSE),"")</f>
        <v/>
      </c>
      <c r="J857" s="95">
        <f>IFERROR(VLOOKUP(F857,'12. Contratos_OS'!$A$6:$L$1000,7,FALSE),"")</f>
        <v/>
      </c>
      <c r="K857" s="95">
        <f>IFERROR(VLOOKUP(J857,'11. Cadastro de Serviços'!$A$6:$E$200,2,FALSE),"")</f>
        <v/>
      </c>
      <c r="L857" s="95">
        <f>IFERROR(VLOOKUP(J857,'11. Cadastro de Serviços'!$A$6:$E$200,3,FALSE),"")</f>
        <v/>
      </c>
      <c r="M857" s="95">
        <f>IFERROR(VLOOKUP(J857,'11. Cadastro de Serviços'!$A$6:$E$200,4,FALSE),"")</f>
        <v/>
      </c>
      <c r="N857" s="95" t="n"/>
      <c r="O857" s="95">
        <f>IF(AND(G857&lt;&gt;"",I857&lt;&gt;"",J857&lt;&gt;"",M857&lt;&gt;""),"Rastreado","Revisar")</f>
        <v/>
      </c>
      <c r="P857" s="96" t="n"/>
    </row>
    <row r="858">
      <c r="A858" s="95" t="n"/>
      <c r="B858" s="96" t="n"/>
      <c r="C858" s="96" t="n"/>
      <c r="D858" s="95" t="n"/>
      <c r="E858" s="96" t="n"/>
      <c r="F858" s="96" t="n"/>
      <c r="G858" s="95">
        <f>IFERROR(VLOOKUP(F858,'12. Contratos_OS'!$A$6:$L$1000,2,FALSE),"")</f>
        <v/>
      </c>
      <c r="H858" s="95">
        <f>IFERROR(VLOOKUP(F858,'12. Contratos_OS'!$A$6:$L$1000,3,FALSE),"")</f>
        <v/>
      </c>
      <c r="I858" s="95">
        <f>IFERROR(VLOOKUP(F858,'12. Contratos_OS'!$A$6:$L$1000,4,FALSE),"")</f>
        <v/>
      </c>
      <c r="J858" s="95">
        <f>IFERROR(VLOOKUP(F858,'12. Contratos_OS'!$A$6:$L$1000,7,FALSE),"")</f>
        <v/>
      </c>
      <c r="K858" s="95">
        <f>IFERROR(VLOOKUP(J858,'11. Cadastro de Serviços'!$A$6:$E$200,2,FALSE),"")</f>
        <v/>
      </c>
      <c r="L858" s="95">
        <f>IFERROR(VLOOKUP(J858,'11. Cadastro de Serviços'!$A$6:$E$200,3,FALSE),"")</f>
        <v/>
      </c>
      <c r="M858" s="95">
        <f>IFERROR(VLOOKUP(J858,'11. Cadastro de Serviços'!$A$6:$E$200,4,FALSE),"")</f>
        <v/>
      </c>
      <c r="N858" s="95" t="n"/>
      <c r="O858" s="95">
        <f>IF(AND(G858&lt;&gt;"",I858&lt;&gt;"",J858&lt;&gt;"",M858&lt;&gt;""),"Rastreado","Revisar")</f>
        <v/>
      </c>
      <c r="P858" s="96" t="n"/>
    </row>
    <row r="859">
      <c r="A859" s="95" t="n"/>
      <c r="B859" s="96" t="n"/>
      <c r="C859" s="96" t="n"/>
      <c r="D859" s="95" t="n"/>
      <c r="E859" s="96" t="n"/>
      <c r="F859" s="96" t="n"/>
      <c r="G859" s="95">
        <f>IFERROR(VLOOKUP(F859,'12. Contratos_OS'!$A$6:$L$1000,2,FALSE),"")</f>
        <v/>
      </c>
      <c r="H859" s="95">
        <f>IFERROR(VLOOKUP(F859,'12. Contratos_OS'!$A$6:$L$1000,3,FALSE),"")</f>
        <v/>
      </c>
      <c r="I859" s="95">
        <f>IFERROR(VLOOKUP(F859,'12. Contratos_OS'!$A$6:$L$1000,4,FALSE),"")</f>
        <v/>
      </c>
      <c r="J859" s="95">
        <f>IFERROR(VLOOKUP(F859,'12. Contratos_OS'!$A$6:$L$1000,7,FALSE),"")</f>
        <v/>
      </c>
      <c r="K859" s="95">
        <f>IFERROR(VLOOKUP(J859,'11. Cadastro de Serviços'!$A$6:$E$200,2,FALSE),"")</f>
        <v/>
      </c>
      <c r="L859" s="95">
        <f>IFERROR(VLOOKUP(J859,'11. Cadastro de Serviços'!$A$6:$E$200,3,FALSE),"")</f>
        <v/>
      </c>
      <c r="M859" s="95">
        <f>IFERROR(VLOOKUP(J859,'11. Cadastro de Serviços'!$A$6:$E$200,4,FALSE),"")</f>
        <v/>
      </c>
      <c r="N859" s="95" t="n"/>
      <c r="O859" s="95">
        <f>IF(AND(G859&lt;&gt;"",I859&lt;&gt;"",J859&lt;&gt;"",M859&lt;&gt;""),"Rastreado","Revisar")</f>
        <v/>
      </c>
      <c r="P859" s="96" t="n"/>
    </row>
    <row r="860">
      <c r="A860" s="95" t="n"/>
      <c r="B860" s="96" t="n"/>
      <c r="C860" s="96" t="n"/>
      <c r="D860" s="95" t="n"/>
      <c r="E860" s="96" t="n"/>
      <c r="F860" s="96" t="n"/>
      <c r="G860" s="95">
        <f>IFERROR(VLOOKUP(F860,'12. Contratos_OS'!$A$6:$L$1000,2,FALSE),"")</f>
        <v/>
      </c>
      <c r="H860" s="95">
        <f>IFERROR(VLOOKUP(F860,'12. Contratos_OS'!$A$6:$L$1000,3,FALSE),"")</f>
        <v/>
      </c>
      <c r="I860" s="95">
        <f>IFERROR(VLOOKUP(F860,'12. Contratos_OS'!$A$6:$L$1000,4,FALSE),"")</f>
        <v/>
      </c>
      <c r="J860" s="95">
        <f>IFERROR(VLOOKUP(F860,'12. Contratos_OS'!$A$6:$L$1000,7,FALSE),"")</f>
        <v/>
      </c>
      <c r="K860" s="95">
        <f>IFERROR(VLOOKUP(J860,'11. Cadastro de Serviços'!$A$6:$E$200,2,FALSE),"")</f>
        <v/>
      </c>
      <c r="L860" s="95">
        <f>IFERROR(VLOOKUP(J860,'11. Cadastro de Serviços'!$A$6:$E$200,3,FALSE),"")</f>
        <v/>
      </c>
      <c r="M860" s="95">
        <f>IFERROR(VLOOKUP(J860,'11. Cadastro de Serviços'!$A$6:$E$200,4,FALSE),"")</f>
        <v/>
      </c>
      <c r="N860" s="95" t="n"/>
      <c r="O860" s="95">
        <f>IF(AND(G860&lt;&gt;"",I860&lt;&gt;"",J860&lt;&gt;"",M860&lt;&gt;""),"Rastreado","Revisar")</f>
        <v/>
      </c>
      <c r="P860" s="96" t="n"/>
    </row>
    <row r="861">
      <c r="A861" s="95" t="n"/>
      <c r="B861" s="96" t="n"/>
      <c r="C861" s="96" t="n"/>
      <c r="D861" s="95" t="n"/>
      <c r="E861" s="96" t="n"/>
      <c r="F861" s="96" t="n"/>
      <c r="G861" s="95">
        <f>IFERROR(VLOOKUP(F861,'12. Contratos_OS'!$A$6:$L$1000,2,FALSE),"")</f>
        <v/>
      </c>
      <c r="H861" s="95">
        <f>IFERROR(VLOOKUP(F861,'12. Contratos_OS'!$A$6:$L$1000,3,FALSE),"")</f>
        <v/>
      </c>
      <c r="I861" s="95">
        <f>IFERROR(VLOOKUP(F861,'12. Contratos_OS'!$A$6:$L$1000,4,FALSE),"")</f>
        <v/>
      </c>
      <c r="J861" s="95">
        <f>IFERROR(VLOOKUP(F861,'12. Contratos_OS'!$A$6:$L$1000,7,FALSE),"")</f>
        <v/>
      </c>
      <c r="K861" s="95">
        <f>IFERROR(VLOOKUP(J861,'11. Cadastro de Serviços'!$A$6:$E$200,2,FALSE),"")</f>
        <v/>
      </c>
      <c r="L861" s="95">
        <f>IFERROR(VLOOKUP(J861,'11. Cadastro de Serviços'!$A$6:$E$200,3,FALSE),"")</f>
        <v/>
      </c>
      <c r="M861" s="95">
        <f>IFERROR(VLOOKUP(J861,'11. Cadastro de Serviços'!$A$6:$E$200,4,FALSE),"")</f>
        <v/>
      </c>
      <c r="N861" s="95" t="n"/>
      <c r="O861" s="95">
        <f>IF(AND(G861&lt;&gt;"",I861&lt;&gt;"",J861&lt;&gt;"",M861&lt;&gt;""),"Rastreado","Revisar")</f>
        <v/>
      </c>
      <c r="P861" s="96" t="n"/>
    </row>
    <row r="862">
      <c r="A862" s="95" t="n"/>
      <c r="B862" s="96" t="n"/>
      <c r="C862" s="96" t="n"/>
      <c r="D862" s="95" t="n"/>
      <c r="E862" s="96" t="n"/>
      <c r="F862" s="96" t="n"/>
      <c r="G862" s="95">
        <f>IFERROR(VLOOKUP(F862,'12. Contratos_OS'!$A$6:$L$1000,2,FALSE),"")</f>
        <v/>
      </c>
      <c r="H862" s="95">
        <f>IFERROR(VLOOKUP(F862,'12. Contratos_OS'!$A$6:$L$1000,3,FALSE),"")</f>
        <v/>
      </c>
      <c r="I862" s="95">
        <f>IFERROR(VLOOKUP(F862,'12. Contratos_OS'!$A$6:$L$1000,4,FALSE),"")</f>
        <v/>
      </c>
      <c r="J862" s="95">
        <f>IFERROR(VLOOKUP(F862,'12. Contratos_OS'!$A$6:$L$1000,7,FALSE),"")</f>
        <v/>
      </c>
      <c r="K862" s="95">
        <f>IFERROR(VLOOKUP(J862,'11. Cadastro de Serviços'!$A$6:$E$200,2,FALSE),"")</f>
        <v/>
      </c>
      <c r="L862" s="95">
        <f>IFERROR(VLOOKUP(J862,'11. Cadastro de Serviços'!$A$6:$E$200,3,FALSE),"")</f>
        <v/>
      </c>
      <c r="M862" s="95">
        <f>IFERROR(VLOOKUP(J862,'11. Cadastro de Serviços'!$A$6:$E$200,4,FALSE),"")</f>
        <v/>
      </c>
      <c r="N862" s="95" t="n"/>
      <c r="O862" s="95">
        <f>IF(AND(G862&lt;&gt;"",I862&lt;&gt;"",J862&lt;&gt;"",M862&lt;&gt;""),"Rastreado","Revisar")</f>
        <v/>
      </c>
      <c r="P862" s="96" t="n"/>
    </row>
    <row r="863">
      <c r="A863" s="95" t="n"/>
      <c r="B863" s="96" t="n"/>
      <c r="C863" s="96" t="n"/>
      <c r="D863" s="95" t="n"/>
      <c r="E863" s="96" t="n"/>
      <c r="F863" s="96" t="n"/>
      <c r="G863" s="95">
        <f>IFERROR(VLOOKUP(F863,'12. Contratos_OS'!$A$6:$L$1000,2,FALSE),"")</f>
        <v/>
      </c>
      <c r="H863" s="95">
        <f>IFERROR(VLOOKUP(F863,'12. Contratos_OS'!$A$6:$L$1000,3,FALSE),"")</f>
        <v/>
      </c>
      <c r="I863" s="95">
        <f>IFERROR(VLOOKUP(F863,'12. Contratos_OS'!$A$6:$L$1000,4,FALSE),"")</f>
        <v/>
      </c>
      <c r="J863" s="95">
        <f>IFERROR(VLOOKUP(F863,'12. Contratos_OS'!$A$6:$L$1000,7,FALSE),"")</f>
        <v/>
      </c>
      <c r="K863" s="95">
        <f>IFERROR(VLOOKUP(J863,'11. Cadastro de Serviços'!$A$6:$E$200,2,FALSE),"")</f>
        <v/>
      </c>
      <c r="L863" s="95">
        <f>IFERROR(VLOOKUP(J863,'11. Cadastro de Serviços'!$A$6:$E$200,3,FALSE),"")</f>
        <v/>
      </c>
      <c r="M863" s="95">
        <f>IFERROR(VLOOKUP(J863,'11. Cadastro de Serviços'!$A$6:$E$200,4,FALSE),"")</f>
        <v/>
      </c>
      <c r="N863" s="95" t="n"/>
      <c r="O863" s="95">
        <f>IF(AND(G863&lt;&gt;"",I863&lt;&gt;"",J863&lt;&gt;"",M863&lt;&gt;""),"Rastreado","Revisar")</f>
        <v/>
      </c>
      <c r="P863" s="96" t="n"/>
    </row>
    <row r="864">
      <c r="A864" s="95" t="n"/>
      <c r="B864" s="96" t="n"/>
      <c r="C864" s="96" t="n"/>
      <c r="D864" s="95" t="n"/>
      <c r="E864" s="96" t="n"/>
      <c r="F864" s="96" t="n"/>
      <c r="G864" s="95">
        <f>IFERROR(VLOOKUP(F864,'12. Contratos_OS'!$A$6:$L$1000,2,FALSE),"")</f>
        <v/>
      </c>
      <c r="H864" s="95">
        <f>IFERROR(VLOOKUP(F864,'12. Contratos_OS'!$A$6:$L$1000,3,FALSE),"")</f>
        <v/>
      </c>
      <c r="I864" s="95">
        <f>IFERROR(VLOOKUP(F864,'12. Contratos_OS'!$A$6:$L$1000,4,FALSE),"")</f>
        <v/>
      </c>
      <c r="J864" s="95">
        <f>IFERROR(VLOOKUP(F864,'12. Contratos_OS'!$A$6:$L$1000,7,FALSE),"")</f>
        <v/>
      </c>
      <c r="K864" s="95">
        <f>IFERROR(VLOOKUP(J864,'11. Cadastro de Serviços'!$A$6:$E$200,2,FALSE),"")</f>
        <v/>
      </c>
      <c r="L864" s="95">
        <f>IFERROR(VLOOKUP(J864,'11. Cadastro de Serviços'!$A$6:$E$200,3,FALSE),"")</f>
        <v/>
      </c>
      <c r="M864" s="95">
        <f>IFERROR(VLOOKUP(J864,'11. Cadastro de Serviços'!$A$6:$E$200,4,FALSE),"")</f>
        <v/>
      </c>
      <c r="N864" s="95" t="n"/>
      <c r="O864" s="95">
        <f>IF(AND(G864&lt;&gt;"",I864&lt;&gt;"",J864&lt;&gt;"",M864&lt;&gt;""),"Rastreado","Revisar")</f>
        <v/>
      </c>
      <c r="P864" s="96" t="n"/>
    </row>
    <row r="865">
      <c r="A865" s="95" t="n"/>
      <c r="B865" s="96" t="n"/>
      <c r="C865" s="96" t="n"/>
      <c r="D865" s="95" t="n"/>
      <c r="E865" s="96" t="n"/>
      <c r="F865" s="96" t="n"/>
      <c r="G865" s="95">
        <f>IFERROR(VLOOKUP(F865,'12. Contratos_OS'!$A$6:$L$1000,2,FALSE),"")</f>
        <v/>
      </c>
      <c r="H865" s="95">
        <f>IFERROR(VLOOKUP(F865,'12. Contratos_OS'!$A$6:$L$1000,3,FALSE),"")</f>
        <v/>
      </c>
      <c r="I865" s="95">
        <f>IFERROR(VLOOKUP(F865,'12. Contratos_OS'!$A$6:$L$1000,4,FALSE),"")</f>
        <v/>
      </c>
      <c r="J865" s="95">
        <f>IFERROR(VLOOKUP(F865,'12. Contratos_OS'!$A$6:$L$1000,7,FALSE),"")</f>
        <v/>
      </c>
      <c r="K865" s="95">
        <f>IFERROR(VLOOKUP(J865,'11. Cadastro de Serviços'!$A$6:$E$200,2,FALSE),"")</f>
        <v/>
      </c>
      <c r="L865" s="95">
        <f>IFERROR(VLOOKUP(J865,'11. Cadastro de Serviços'!$A$6:$E$200,3,FALSE),"")</f>
        <v/>
      </c>
      <c r="M865" s="95">
        <f>IFERROR(VLOOKUP(J865,'11. Cadastro de Serviços'!$A$6:$E$200,4,FALSE),"")</f>
        <v/>
      </c>
      <c r="N865" s="95" t="n"/>
      <c r="O865" s="95">
        <f>IF(AND(G865&lt;&gt;"",I865&lt;&gt;"",J865&lt;&gt;"",M865&lt;&gt;""),"Rastreado","Revisar")</f>
        <v/>
      </c>
      <c r="P865" s="96" t="n"/>
    </row>
    <row r="866">
      <c r="A866" s="95" t="n"/>
      <c r="B866" s="96" t="n"/>
      <c r="C866" s="96" t="n"/>
      <c r="D866" s="95" t="n"/>
      <c r="E866" s="96" t="n"/>
      <c r="F866" s="96" t="n"/>
      <c r="G866" s="95">
        <f>IFERROR(VLOOKUP(F866,'12. Contratos_OS'!$A$6:$L$1000,2,FALSE),"")</f>
        <v/>
      </c>
      <c r="H866" s="95">
        <f>IFERROR(VLOOKUP(F866,'12. Contratos_OS'!$A$6:$L$1000,3,FALSE),"")</f>
        <v/>
      </c>
      <c r="I866" s="95">
        <f>IFERROR(VLOOKUP(F866,'12. Contratos_OS'!$A$6:$L$1000,4,FALSE),"")</f>
        <v/>
      </c>
      <c r="J866" s="95">
        <f>IFERROR(VLOOKUP(F866,'12. Contratos_OS'!$A$6:$L$1000,7,FALSE),"")</f>
        <v/>
      </c>
      <c r="K866" s="95">
        <f>IFERROR(VLOOKUP(J866,'11. Cadastro de Serviços'!$A$6:$E$200,2,FALSE),"")</f>
        <v/>
      </c>
      <c r="L866" s="95">
        <f>IFERROR(VLOOKUP(J866,'11. Cadastro de Serviços'!$A$6:$E$200,3,FALSE),"")</f>
        <v/>
      </c>
      <c r="M866" s="95">
        <f>IFERROR(VLOOKUP(J866,'11. Cadastro de Serviços'!$A$6:$E$200,4,FALSE),"")</f>
        <v/>
      </c>
      <c r="N866" s="95" t="n"/>
      <c r="O866" s="95">
        <f>IF(AND(G866&lt;&gt;"",I866&lt;&gt;"",J866&lt;&gt;"",M866&lt;&gt;""),"Rastreado","Revisar")</f>
        <v/>
      </c>
      <c r="P866" s="96" t="n"/>
    </row>
    <row r="867">
      <c r="A867" s="95" t="n"/>
      <c r="B867" s="96" t="n"/>
      <c r="C867" s="96" t="n"/>
      <c r="D867" s="95" t="n"/>
      <c r="E867" s="96" t="n"/>
      <c r="F867" s="96" t="n"/>
      <c r="G867" s="95">
        <f>IFERROR(VLOOKUP(F867,'12. Contratos_OS'!$A$6:$L$1000,2,FALSE),"")</f>
        <v/>
      </c>
      <c r="H867" s="95">
        <f>IFERROR(VLOOKUP(F867,'12. Contratos_OS'!$A$6:$L$1000,3,FALSE),"")</f>
        <v/>
      </c>
      <c r="I867" s="95">
        <f>IFERROR(VLOOKUP(F867,'12. Contratos_OS'!$A$6:$L$1000,4,FALSE),"")</f>
        <v/>
      </c>
      <c r="J867" s="95">
        <f>IFERROR(VLOOKUP(F867,'12. Contratos_OS'!$A$6:$L$1000,7,FALSE),"")</f>
        <v/>
      </c>
      <c r="K867" s="95">
        <f>IFERROR(VLOOKUP(J867,'11. Cadastro de Serviços'!$A$6:$E$200,2,FALSE),"")</f>
        <v/>
      </c>
      <c r="L867" s="95">
        <f>IFERROR(VLOOKUP(J867,'11. Cadastro de Serviços'!$A$6:$E$200,3,FALSE),"")</f>
        <v/>
      </c>
      <c r="M867" s="95">
        <f>IFERROR(VLOOKUP(J867,'11. Cadastro de Serviços'!$A$6:$E$200,4,FALSE),"")</f>
        <v/>
      </c>
      <c r="N867" s="95" t="n"/>
      <c r="O867" s="95">
        <f>IF(AND(G867&lt;&gt;"",I867&lt;&gt;"",J867&lt;&gt;"",M867&lt;&gt;""),"Rastreado","Revisar")</f>
        <v/>
      </c>
      <c r="P867" s="96" t="n"/>
    </row>
    <row r="868">
      <c r="A868" s="95" t="n"/>
      <c r="B868" s="96" t="n"/>
      <c r="C868" s="96" t="n"/>
      <c r="D868" s="95" t="n"/>
      <c r="E868" s="96" t="n"/>
      <c r="F868" s="96" t="n"/>
      <c r="G868" s="95">
        <f>IFERROR(VLOOKUP(F868,'12. Contratos_OS'!$A$6:$L$1000,2,FALSE),"")</f>
        <v/>
      </c>
      <c r="H868" s="95">
        <f>IFERROR(VLOOKUP(F868,'12. Contratos_OS'!$A$6:$L$1000,3,FALSE),"")</f>
        <v/>
      </c>
      <c r="I868" s="95">
        <f>IFERROR(VLOOKUP(F868,'12. Contratos_OS'!$A$6:$L$1000,4,FALSE),"")</f>
        <v/>
      </c>
      <c r="J868" s="95">
        <f>IFERROR(VLOOKUP(F868,'12. Contratos_OS'!$A$6:$L$1000,7,FALSE),"")</f>
        <v/>
      </c>
      <c r="K868" s="95">
        <f>IFERROR(VLOOKUP(J868,'11. Cadastro de Serviços'!$A$6:$E$200,2,FALSE),"")</f>
        <v/>
      </c>
      <c r="L868" s="95">
        <f>IFERROR(VLOOKUP(J868,'11. Cadastro de Serviços'!$A$6:$E$200,3,FALSE),"")</f>
        <v/>
      </c>
      <c r="M868" s="95">
        <f>IFERROR(VLOOKUP(J868,'11. Cadastro de Serviços'!$A$6:$E$200,4,FALSE),"")</f>
        <v/>
      </c>
      <c r="N868" s="95" t="n"/>
      <c r="O868" s="95">
        <f>IF(AND(G868&lt;&gt;"",I868&lt;&gt;"",J868&lt;&gt;"",M868&lt;&gt;""),"Rastreado","Revisar")</f>
        <v/>
      </c>
      <c r="P868" s="96" t="n"/>
    </row>
    <row r="869">
      <c r="A869" s="95" t="n"/>
      <c r="B869" s="96" t="n"/>
      <c r="C869" s="96" t="n"/>
      <c r="D869" s="95" t="n"/>
      <c r="E869" s="96" t="n"/>
      <c r="F869" s="96" t="n"/>
      <c r="G869" s="95">
        <f>IFERROR(VLOOKUP(F869,'12. Contratos_OS'!$A$6:$L$1000,2,FALSE),"")</f>
        <v/>
      </c>
      <c r="H869" s="95">
        <f>IFERROR(VLOOKUP(F869,'12. Contratos_OS'!$A$6:$L$1000,3,FALSE),"")</f>
        <v/>
      </c>
      <c r="I869" s="95">
        <f>IFERROR(VLOOKUP(F869,'12. Contratos_OS'!$A$6:$L$1000,4,FALSE),"")</f>
        <v/>
      </c>
      <c r="J869" s="95">
        <f>IFERROR(VLOOKUP(F869,'12. Contratos_OS'!$A$6:$L$1000,7,FALSE),"")</f>
        <v/>
      </c>
      <c r="K869" s="95">
        <f>IFERROR(VLOOKUP(J869,'11. Cadastro de Serviços'!$A$6:$E$200,2,FALSE),"")</f>
        <v/>
      </c>
      <c r="L869" s="95">
        <f>IFERROR(VLOOKUP(J869,'11. Cadastro de Serviços'!$A$6:$E$200,3,FALSE),"")</f>
        <v/>
      </c>
      <c r="M869" s="95">
        <f>IFERROR(VLOOKUP(J869,'11. Cadastro de Serviços'!$A$6:$E$200,4,FALSE),"")</f>
        <v/>
      </c>
      <c r="N869" s="95" t="n"/>
      <c r="O869" s="95">
        <f>IF(AND(G869&lt;&gt;"",I869&lt;&gt;"",J869&lt;&gt;"",M869&lt;&gt;""),"Rastreado","Revisar")</f>
        <v/>
      </c>
      <c r="P869" s="96" t="n"/>
    </row>
    <row r="870">
      <c r="A870" s="95" t="n"/>
      <c r="B870" s="96" t="n"/>
      <c r="C870" s="96" t="n"/>
      <c r="D870" s="95" t="n"/>
      <c r="E870" s="96" t="n"/>
      <c r="F870" s="96" t="n"/>
      <c r="G870" s="95">
        <f>IFERROR(VLOOKUP(F870,'12. Contratos_OS'!$A$6:$L$1000,2,FALSE),"")</f>
        <v/>
      </c>
      <c r="H870" s="95">
        <f>IFERROR(VLOOKUP(F870,'12. Contratos_OS'!$A$6:$L$1000,3,FALSE),"")</f>
        <v/>
      </c>
      <c r="I870" s="95">
        <f>IFERROR(VLOOKUP(F870,'12. Contratos_OS'!$A$6:$L$1000,4,FALSE),"")</f>
        <v/>
      </c>
      <c r="J870" s="95">
        <f>IFERROR(VLOOKUP(F870,'12. Contratos_OS'!$A$6:$L$1000,7,FALSE),"")</f>
        <v/>
      </c>
      <c r="K870" s="95">
        <f>IFERROR(VLOOKUP(J870,'11. Cadastro de Serviços'!$A$6:$E$200,2,FALSE),"")</f>
        <v/>
      </c>
      <c r="L870" s="95">
        <f>IFERROR(VLOOKUP(J870,'11. Cadastro de Serviços'!$A$6:$E$200,3,FALSE),"")</f>
        <v/>
      </c>
      <c r="M870" s="95">
        <f>IFERROR(VLOOKUP(J870,'11. Cadastro de Serviços'!$A$6:$E$200,4,FALSE),"")</f>
        <v/>
      </c>
      <c r="N870" s="95" t="n"/>
      <c r="O870" s="95">
        <f>IF(AND(G870&lt;&gt;"",I870&lt;&gt;"",J870&lt;&gt;"",M870&lt;&gt;""),"Rastreado","Revisar")</f>
        <v/>
      </c>
      <c r="P870" s="96" t="n"/>
    </row>
    <row r="871">
      <c r="A871" s="95" t="n"/>
      <c r="B871" s="96" t="n"/>
      <c r="C871" s="96" t="n"/>
      <c r="D871" s="95" t="n"/>
      <c r="E871" s="96" t="n"/>
      <c r="F871" s="96" t="n"/>
      <c r="G871" s="95">
        <f>IFERROR(VLOOKUP(F871,'12. Contratos_OS'!$A$6:$L$1000,2,FALSE),"")</f>
        <v/>
      </c>
      <c r="H871" s="95">
        <f>IFERROR(VLOOKUP(F871,'12. Contratos_OS'!$A$6:$L$1000,3,FALSE),"")</f>
        <v/>
      </c>
      <c r="I871" s="95">
        <f>IFERROR(VLOOKUP(F871,'12. Contratos_OS'!$A$6:$L$1000,4,FALSE),"")</f>
        <v/>
      </c>
      <c r="J871" s="95">
        <f>IFERROR(VLOOKUP(F871,'12. Contratos_OS'!$A$6:$L$1000,7,FALSE),"")</f>
        <v/>
      </c>
      <c r="K871" s="95">
        <f>IFERROR(VLOOKUP(J871,'11. Cadastro de Serviços'!$A$6:$E$200,2,FALSE),"")</f>
        <v/>
      </c>
      <c r="L871" s="95">
        <f>IFERROR(VLOOKUP(J871,'11. Cadastro de Serviços'!$A$6:$E$200,3,FALSE),"")</f>
        <v/>
      </c>
      <c r="M871" s="95">
        <f>IFERROR(VLOOKUP(J871,'11. Cadastro de Serviços'!$A$6:$E$200,4,FALSE),"")</f>
        <v/>
      </c>
      <c r="N871" s="95" t="n"/>
      <c r="O871" s="95">
        <f>IF(AND(G871&lt;&gt;"",I871&lt;&gt;"",J871&lt;&gt;"",M871&lt;&gt;""),"Rastreado","Revisar")</f>
        <v/>
      </c>
      <c r="P871" s="96" t="n"/>
    </row>
    <row r="872">
      <c r="A872" s="95" t="n"/>
      <c r="B872" s="96" t="n"/>
      <c r="C872" s="96" t="n"/>
      <c r="D872" s="95" t="n"/>
      <c r="E872" s="96" t="n"/>
      <c r="F872" s="96" t="n"/>
      <c r="G872" s="95">
        <f>IFERROR(VLOOKUP(F872,'12. Contratos_OS'!$A$6:$L$1000,2,FALSE),"")</f>
        <v/>
      </c>
      <c r="H872" s="95">
        <f>IFERROR(VLOOKUP(F872,'12. Contratos_OS'!$A$6:$L$1000,3,FALSE),"")</f>
        <v/>
      </c>
      <c r="I872" s="95">
        <f>IFERROR(VLOOKUP(F872,'12. Contratos_OS'!$A$6:$L$1000,4,FALSE),"")</f>
        <v/>
      </c>
      <c r="J872" s="95">
        <f>IFERROR(VLOOKUP(F872,'12. Contratos_OS'!$A$6:$L$1000,7,FALSE),"")</f>
        <v/>
      </c>
      <c r="K872" s="95">
        <f>IFERROR(VLOOKUP(J872,'11. Cadastro de Serviços'!$A$6:$E$200,2,FALSE),"")</f>
        <v/>
      </c>
      <c r="L872" s="95">
        <f>IFERROR(VLOOKUP(J872,'11. Cadastro de Serviços'!$A$6:$E$200,3,FALSE),"")</f>
        <v/>
      </c>
      <c r="M872" s="95">
        <f>IFERROR(VLOOKUP(J872,'11. Cadastro de Serviços'!$A$6:$E$200,4,FALSE),"")</f>
        <v/>
      </c>
      <c r="N872" s="95" t="n"/>
      <c r="O872" s="95">
        <f>IF(AND(G872&lt;&gt;"",I872&lt;&gt;"",J872&lt;&gt;"",M872&lt;&gt;""),"Rastreado","Revisar")</f>
        <v/>
      </c>
      <c r="P872" s="96" t="n"/>
    </row>
    <row r="873">
      <c r="A873" s="95" t="n"/>
      <c r="B873" s="96" t="n"/>
      <c r="C873" s="96" t="n"/>
      <c r="D873" s="95" t="n"/>
      <c r="E873" s="96" t="n"/>
      <c r="F873" s="96" t="n"/>
      <c r="G873" s="95">
        <f>IFERROR(VLOOKUP(F873,'12. Contratos_OS'!$A$6:$L$1000,2,FALSE),"")</f>
        <v/>
      </c>
      <c r="H873" s="95">
        <f>IFERROR(VLOOKUP(F873,'12. Contratos_OS'!$A$6:$L$1000,3,FALSE),"")</f>
        <v/>
      </c>
      <c r="I873" s="95">
        <f>IFERROR(VLOOKUP(F873,'12. Contratos_OS'!$A$6:$L$1000,4,FALSE),"")</f>
        <v/>
      </c>
      <c r="J873" s="95">
        <f>IFERROR(VLOOKUP(F873,'12. Contratos_OS'!$A$6:$L$1000,7,FALSE),"")</f>
        <v/>
      </c>
      <c r="K873" s="95">
        <f>IFERROR(VLOOKUP(J873,'11. Cadastro de Serviços'!$A$6:$E$200,2,FALSE),"")</f>
        <v/>
      </c>
      <c r="L873" s="95">
        <f>IFERROR(VLOOKUP(J873,'11. Cadastro de Serviços'!$A$6:$E$200,3,FALSE),"")</f>
        <v/>
      </c>
      <c r="M873" s="95">
        <f>IFERROR(VLOOKUP(J873,'11. Cadastro de Serviços'!$A$6:$E$200,4,FALSE),"")</f>
        <v/>
      </c>
      <c r="N873" s="95" t="n"/>
      <c r="O873" s="95">
        <f>IF(AND(G873&lt;&gt;"",I873&lt;&gt;"",J873&lt;&gt;"",M873&lt;&gt;""),"Rastreado","Revisar")</f>
        <v/>
      </c>
      <c r="P873" s="96" t="n"/>
    </row>
    <row r="874">
      <c r="A874" s="95" t="n"/>
      <c r="B874" s="96" t="n"/>
      <c r="C874" s="96" t="n"/>
      <c r="D874" s="95" t="n"/>
      <c r="E874" s="96" t="n"/>
      <c r="F874" s="96" t="n"/>
      <c r="G874" s="95">
        <f>IFERROR(VLOOKUP(F874,'12. Contratos_OS'!$A$6:$L$1000,2,FALSE),"")</f>
        <v/>
      </c>
      <c r="H874" s="95">
        <f>IFERROR(VLOOKUP(F874,'12. Contratos_OS'!$A$6:$L$1000,3,FALSE),"")</f>
        <v/>
      </c>
      <c r="I874" s="95">
        <f>IFERROR(VLOOKUP(F874,'12. Contratos_OS'!$A$6:$L$1000,4,FALSE),"")</f>
        <v/>
      </c>
      <c r="J874" s="95">
        <f>IFERROR(VLOOKUP(F874,'12. Contratos_OS'!$A$6:$L$1000,7,FALSE),"")</f>
        <v/>
      </c>
      <c r="K874" s="95">
        <f>IFERROR(VLOOKUP(J874,'11. Cadastro de Serviços'!$A$6:$E$200,2,FALSE),"")</f>
        <v/>
      </c>
      <c r="L874" s="95">
        <f>IFERROR(VLOOKUP(J874,'11. Cadastro de Serviços'!$A$6:$E$200,3,FALSE),"")</f>
        <v/>
      </c>
      <c r="M874" s="95">
        <f>IFERROR(VLOOKUP(J874,'11. Cadastro de Serviços'!$A$6:$E$200,4,FALSE),"")</f>
        <v/>
      </c>
      <c r="N874" s="95" t="n"/>
      <c r="O874" s="95">
        <f>IF(AND(G874&lt;&gt;"",I874&lt;&gt;"",J874&lt;&gt;"",M874&lt;&gt;""),"Rastreado","Revisar")</f>
        <v/>
      </c>
      <c r="P874" s="96" t="n"/>
    </row>
    <row r="875">
      <c r="A875" s="95" t="n"/>
      <c r="B875" s="96" t="n"/>
      <c r="C875" s="96" t="n"/>
      <c r="D875" s="95" t="n"/>
      <c r="E875" s="96" t="n"/>
      <c r="F875" s="96" t="n"/>
      <c r="G875" s="95">
        <f>IFERROR(VLOOKUP(F875,'12. Contratos_OS'!$A$6:$L$1000,2,FALSE),"")</f>
        <v/>
      </c>
      <c r="H875" s="95">
        <f>IFERROR(VLOOKUP(F875,'12. Contratos_OS'!$A$6:$L$1000,3,FALSE),"")</f>
        <v/>
      </c>
      <c r="I875" s="95">
        <f>IFERROR(VLOOKUP(F875,'12. Contratos_OS'!$A$6:$L$1000,4,FALSE),"")</f>
        <v/>
      </c>
      <c r="J875" s="95">
        <f>IFERROR(VLOOKUP(F875,'12. Contratos_OS'!$A$6:$L$1000,7,FALSE),"")</f>
        <v/>
      </c>
      <c r="K875" s="95">
        <f>IFERROR(VLOOKUP(J875,'11. Cadastro de Serviços'!$A$6:$E$200,2,FALSE),"")</f>
        <v/>
      </c>
      <c r="L875" s="95">
        <f>IFERROR(VLOOKUP(J875,'11. Cadastro de Serviços'!$A$6:$E$200,3,FALSE),"")</f>
        <v/>
      </c>
      <c r="M875" s="95">
        <f>IFERROR(VLOOKUP(J875,'11. Cadastro de Serviços'!$A$6:$E$200,4,FALSE),"")</f>
        <v/>
      </c>
      <c r="N875" s="95" t="n"/>
      <c r="O875" s="95">
        <f>IF(AND(G875&lt;&gt;"",I875&lt;&gt;"",J875&lt;&gt;"",M875&lt;&gt;""),"Rastreado","Revisar")</f>
        <v/>
      </c>
      <c r="P875" s="96" t="n"/>
    </row>
    <row r="876">
      <c r="A876" s="95" t="n"/>
      <c r="B876" s="96" t="n"/>
      <c r="C876" s="96" t="n"/>
      <c r="D876" s="95" t="n"/>
      <c r="E876" s="96" t="n"/>
      <c r="F876" s="96" t="n"/>
      <c r="G876" s="95">
        <f>IFERROR(VLOOKUP(F876,'12. Contratos_OS'!$A$6:$L$1000,2,FALSE),"")</f>
        <v/>
      </c>
      <c r="H876" s="95">
        <f>IFERROR(VLOOKUP(F876,'12. Contratos_OS'!$A$6:$L$1000,3,FALSE),"")</f>
        <v/>
      </c>
      <c r="I876" s="95">
        <f>IFERROR(VLOOKUP(F876,'12. Contratos_OS'!$A$6:$L$1000,4,FALSE),"")</f>
        <v/>
      </c>
      <c r="J876" s="95">
        <f>IFERROR(VLOOKUP(F876,'12. Contratos_OS'!$A$6:$L$1000,7,FALSE),"")</f>
        <v/>
      </c>
      <c r="K876" s="95">
        <f>IFERROR(VLOOKUP(J876,'11. Cadastro de Serviços'!$A$6:$E$200,2,FALSE),"")</f>
        <v/>
      </c>
      <c r="L876" s="95">
        <f>IFERROR(VLOOKUP(J876,'11. Cadastro de Serviços'!$A$6:$E$200,3,FALSE),"")</f>
        <v/>
      </c>
      <c r="M876" s="95">
        <f>IFERROR(VLOOKUP(J876,'11. Cadastro de Serviços'!$A$6:$E$200,4,FALSE),"")</f>
        <v/>
      </c>
      <c r="N876" s="95" t="n"/>
      <c r="O876" s="95">
        <f>IF(AND(G876&lt;&gt;"",I876&lt;&gt;"",J876&lt;&gt;"",M876&lt;&gt;""),"Rastreado","Revisar")</f>
        <v/>
      </c>
      <c r="P876" s="96" t="n"/>
    </row>
    <row r="877">
      <c r="A877" s="95" t="n"/>
      <c r="B877" s="96" t="n"/>
      <c r="C877" s="96" t="n"/>
      <c r="D877" s="95" t="n"/>
      <c r="E877" s="96" t="n"/>
      <c r="F877" s="96" t="n"/>
      <c r="G877" s="95">
        <f>IFERROR(VLOOKUP(F877,'12. Contratos_OS'!$A$6:$L$1000,2,FALSE),"")</f>
        <v/>
      </c>
      <c r="H877" s="95">
        <f>IFERROR(VLOOKUP(F877,'12. Contratos_OS'!$A$6:$L$1000,3,FALSE),"")</f>
        <v/>
      </c>
      <c r="I877" s="95">
        <f>IFERROR(VLOOKUP(F877,'12. Contratos_OS'!$A$6:$L$1000,4,FALSE),"")</f>
        <v/>
      </c>
      <c r="J877" s="95">
        <f>IFERROR(VLOOKUP(F877,'12. Contratos_OS'!$A$6:$L$1000,7,FALSE),"")</f>
        <v/>
      </c>
      <c r="K877" s="95">
        <f>IFERROR(VLOOKUP(J877,'11. Cadastro de Serviços'!$A$6:$E$200,2,FALSE),"")</f>
        <v/>
      </c>
      <c r="L877" s="95">
        <f>IFERROR(VLOOKUP(J877,'11. Cadastro de Serviços'!$A$6:$E$200,3,FALSE),"")</f>
        <v/>
      </c>
      <c r="M877" s="95">
        <f>IFERROR(VLOOKUP(J877,'11. Cadastro de Serviços'!$A$6:$E$200,4,FALSE),"")</f>
        <v/>
      </c>
      <c r="N877" s="95" t="n"/>
      <c r="O877" s="95">
        <f>IF(AND(G877&lt;&gt;"",I877&lt;&gt;"",J877&lt;&gt;"",M877&lt;&gt;""),"Rastreado","Revisar")</f>
        <v/>
      </c>
      <c r="P877" s="96" t="n"/>
    </row>
    <row r="878">
      <c r="A878" s="95" t="n"/>
      <c r="B878" s="96" t="n"/>
      <c r="C878" s="96" t="n"/>
      <c r="D878" s="95" t="n"/>
      <c r="E878" s="96" t="n"/>
      <c r="F878" s="96" t="n"/>
      <c r="G878" s="95">
        <f>IFERROR(VLOOKUP(F878,'12. Contratos_OS'!$A$6:$L$1000,2,FALSE),"")</f>
        <v/>
      </c>
      <c r="H878" s="95">
        <f>IFERROR(VLOOKUP(F878,'12. Contratos_OS'!$A$6:$L$1000,3,FALSE),"")</f>
        <v/>
      </c>
      <c r="I878" s="95">
        <f>IFERROR(VLOOKUP(F878,'12. Contratos_OS'!$A$6:$L$1000,4,FALSE),"")</f>
        <v/>
      </c>
      <c r="J878" s="95">
        <f>IFERROR(VLOOKUP(F878,'12. Contratos_OS'!$A$6:$L$1000,7,FALSE),"")</f>
        <v/>
      </c>
      <c r="K878" s="95">
        <f>IFERROR(VLOOKUP(J878,'11. Cadastro de Serviços'!$A$6:$E$200,2,FALSE),"")</f>
        <v/>
      </c>
      <c r="L878" s="95">
        <f>IFERROR(VLOOKUP(J878,'11. Cadastro de Serviços'!$A$6:$E$200,3,FALSE),"")</f>
        <v/>
      </c>
      <c r="M878" s="95">
        <f>IFERROR(VLOOKUP(J878,'11. Cadastro de Serviços'!$A$6:$E$200,4,FALSE),"")</f>
        <v/>
      </c>
      <c r="N878" s="95" t="n"/>
      <c r="O878" s="95">
        <f>IF(AND(G878&lt;&gt;"",I878&lt;&gt;"",J878&lt;&gt;"",M878&lt;&gt;""),"Rastreado","Revisar")</f>
        <v/>
      </c>
      <c r="P878" s="96" t="n"/>
    </row>
    <row r="879">
      <c r="A879" s="95" t="n"/>
      <c r="B879" s="96" t="n"/>
      <c r="C879" s="96" t="n"/>
      <c r="D879" s="95" t="n"/>
      <c r="E879" s="96" t="n"/>
      <c r="F879" s="96" t="n"/>
      <c r="G879" s="95">
        <f>IFERROR(VLOOKUP(F879,'12. Contratos_OS'!$A$6:$L$1000,2,FALSE),"")</f>
        <v/>
      </c>
      <c r="H879" s="95">
        <f>IFERROR(VLOOKUP(F879,'12. Contratos_OS'!$A$6:$L$1000,3,FALSE),"")</f>
        <v/>
      </c>
      <c r="I879" s="95">
        <f>IFERROR(VLOOKUP(F879,'12. Contratos_OS'!$A$6:$L$1000,4,FALSE),"")</f>
        <v/>
      </c>
      <c r="J879" s="95">
        <f>IFERROR(VLOOKUP(F879,'12. Contratos_OS'!$A$6:$L$1000,7,FALSE),"")</f>
        <v/>
      </c>
      <c r="K879" s="95">
        <f>IFERROR(VLOOKUP(J879,'11. Cadastro de Serviços'!$A$6:$E$200,2,FALSE),"")</f>
        <v/>
      </c>
      <c r="L879" s="95">
        <f>IFERROR(VLOOKUP(J879,'11. Cadastro de Serviços'!$A$6:$E$200,3,FALSE),"")</f>
        <v/>
      </c>
      <c r="M879" s="95">
        <f>IFERROR(VLOOKUP(J879,'11. Cadastro de Serviços'!$A$6:$E$200,4,FALSE),"")</f>
        <v/>
      </c>
      <c r="N879" s="95" t="n"/>
      <c r="O879" s="95">
        <f>IF(AND(G879&lt;&gt;"",I879&lt;&gt;"",J879&lt;&gt;"",M879&lt;&gt;""),"Rastreado","Revisar")</f>
        <v/>
      </c>
      <c r="P879" s="96" t="n"/>
    </row>
    <row r="880">
      <c r="A880" s="95" t="n"/>
      <c r="B880" s="96" t="n"/>
      <c r="C880" s="96" t="n"/>
      <c r="D880" s="95" t="n"/>
      <c r="E880" s="96" t="n"/>
      <c r="F880" s="96" t="n"/>
      <c r="G880" s="95">
        <f>IFERROR(VLOOKUP(F880,'12. Contratos_OS'!$A$6:$L$1000,2,FALSE),"")</f>
        <v/>
      </c>
      <c r="H880" s="95">
        <f>IFERROR(VLOOKUP(F880,'12. Contratos_OS'!$A$6:$L$1000,3,FALSE),"")</f>
        <v/>
      </c>
      <c r="I880" s="95">
        <f>IFERROR(VLOOKUP(F880,'12. Contratos_OS'!$A$6:$L$1000,4,FALSE),"")</f>
        <v/>
      </c>
      <c r="J880" s="95">
        <f>IFERROR(VLOOKUP(F880,'12. Contratos_OS'!$A$6:$L$1000,7,FALSE),"")</f>
        <v/>
      </c>
      <c r="K880" s="95">
        <f>IFERROR(VLOOKUP(J880,'11. Cadastro de Serviços'!$A$6:$E$200,2,FALSE),"")</f>
        <v/>
      </c>
      <c r="L880" s="95">
        <f>IFERROR(VLOOKUP(J880,'11. Cadastro de Serviços'!$A$6:$E$200,3,FALSE),"")</f>
        <v/>
      </c>
      <c r="M880" s="95">
        <f>IFERROR(VLOOKUP(J880,'11. Cadastro de Serviços'!$A$6:$E$200,4,FALSE),"")</f>
        <v/>
      </c>
      <c r="N880" s="95" t="n"/>
      <c r="O880" s="95">
        <f>IF(AND(G880&lt;&gt;"",I880&lt;&gt;"",J880&lt;&gt;"",M880&lt;&gt;""),"Rastreado","Revisar")</f>
        <v/>
      </c>
      <c r="P880" s="96" t="n"/>
    </row>
    <row r="881">
      <c r="A881" s="95" t="n"/>
      <c r="B881" s="96" t="n"/>
      <c r="C881" s="96" t="n"/>
      <c r="D881" s="95" t="n"/>
      <c r="E881" s="96" t="n"/>
      <c r="F881" s="96" t="n"/>
      <c r="G881" s="95">
        <f>IFERROR(VLOOKUP(F881,'12. Contratos_OS'!$A$6:$L$1000,2,FALSE),"")</f>
        <v/>
      </c>
      <c r="H881" s="95">
        <f>IFERROR(VLOOKUP(F881,'12. Contratos_OS'!$A$6:$L$1000,3,FALSE),"")</f>
        <v/>
      </c>
      <c r="I881" s="95">
        <f>IFERROR(VLOOKUP(F881,'12. Contratos_OS'!$A$6:$L$1000,4,FALSE),"")</f>
        <v/>
      </c>
      <c r="J881" s="95">
        <f>IFERROR(VLOOKUP(F881,'12. Contratos_OS'!$A$6:$L$1000,7,FALSE),"")</f>
        <v/>
      </c>
      <c r="K881" s="95">
        <f>IFERROR(VLOOKUP(J881,'11. Cadastro de Serviços'!$A$6:$E$200,2,FALSE),"")</f>
        <v/>
      </c>
      <c r="L881" s="95">
        <f>IFERROR(VLOOKUP(J881,'11. Cadastro de Serviços'!$A$6:$E$200,3,FALSE),"")</f>
        <v/>
      </c>
      <c r="M881" s="95">
        <f>IFERROR(VLOOKUP(J881,'11. Cadastro de Serviços'!$A$6:$E$200,4,FALSE),"")</f>
        <v/>
      </c>
      <c r="N881" s="95" t="n"/>
      <c r="O881" s="95">
        <f>IF(AND(G881&lt;&gt;"",I881&lt;&gt;"",J881&lt;&gt;"",M881&lt;&gt;""),"Rastreado","Revisar")</f>
        <v/>
      </c>
      <c r="P881" s="96" t="n"/>
    </row>
    <row r="882">
      <c r="A882" s="95" t="n"/>
      <c r="B882" s="96" t="n"/>
      <c r="C882" s="96" t="n"/>
      <c r="D882" s="95" t="n"/>
      <c r="E882" s="96" t="n"/>
      <c r="F882" s="96" t="n"/>
      <c r="G882" s="95">
        <f>IFERROR(VLOOKUP(F882,'12. Contratos_OS'!$A$6:$L$1000,2,FALSE),"")</f>
        <v/>
      </c>
      <c r="H882" s="95">
        <f>IFERROR(VLOOKUP(F882,'12. Contratos_OS'!$A$6:$L$1000,3,FALSE),"")</f>
        <v/>
      </c>
      <c r="I882" s="95">
        <f>IFERROR(VLOOKUP(F882,'12. Contratos_OS'!$A$6:$L$1000,4,FALSE),"")</f>
        <v/>
      </c>
      <c r="J882" s="95">
        <f>IFERROR(VLOOKUP(F882,'12. Contratos_OS'!$A$6:$L$1000,7,FALSE),"")</f>
        <v/>
      </c>
      <c r="K882" s="95">
        <f>IFERROR(VLOOKUP(J882,'11. Cadastro de Serviços'!$A$6:$E$200,2,FALSE),"")</f>
        <v/>
      </c>
      <c r="L882" s="95">
        <f>IFERROR(VLOOKUP(J882,'11. Cadastro de Serviços'!$A$6:$E$200,3,FALSE),"")</f>
        <v/>
      </c>
      <c r="M882" s="95">
        <f>IFERROR(VLOOKUP(J882,'11. Cadastro de Serviços'!$A$6:$E$200,4,FALSE),"")</f>
        <v/>
      </c>
      <c r="N882" s="95" t="n"/>
      <c r="O882" s="95">
        <f>IF(AND(G882&lt;&gt;"",I882&lt;&gt;"",J882&lt;&gt;"",M882&lt;&gt;""),"Rastreado","Revisar")</f>
        <v/>
      </c>
      <c r="P882" s="96" t="n"/>
    </row>
    <row r="883">
      <c r="A883" s="95" t="n"/>
      <c r="B883" s="96" t="n"/>
      <c r="C883" s="96" t="n"/>
      <c r="D883" s="95" t="n"/>
      <c r="E883" s="96" t="n"/>
      <c r="F883" s="96" t="n"/>
      <c r="G883" s="95">
        <f>IFERROR(VLOOKUP(F883,'12. Contratos_OS'!$A$6:$L$1000,2,FALSE),"")</f>
        <v/>
      </c>
      <c r="H883" s="95">
        <f>IFERROR(VLOOKUP(F883,'12. Contratos_OS'!$A$6:$L$1000,3,FALSE),"")</f>
        <v/>
      </c>
      <c r="I883" s="95">
        <f>IFERROR(VLOOKUP(F883,'12. Contratos_OS'!$A$6:$L$1000,4,FALSE),"")</f>
        <v/>
      </c>
      <c r="J883" s="95">
        <f>IFERROR(VLOOKUP(F883,'12. Contratos_OS'!$A$6:$L$1000,7,FALSE),"")</f>
        <v/>
      </c>
      <c r="K883" s="95">
        <f>IFERROR(VLOOKUP(J883,'11. Cadastro de Serviços'!$A$6:$E$200,2,FALSE),"")</f>
        <v/>
      </c>
      <c r="L883" s="95">
        <f>IFERROR(VLOOKUP(J883,'11. Cadastro de Serviços'!$A$6:$E$200,3,FALSE),"")</f>
        <v/>
      </c>
      <c r="M883" s="95">
        <f>IFERROR(VLOOKUP(J883,'11. Cadastro de Serviços'!$A$6:$E$200,4,FALSE),"")</f>
        <v/>
      </c>
      <c r="N883" s="95" t="n"/>
      <c r="O883" s="95">
        <f>IF(AND(G883&lt;&gt;"",I883&lt;&gt;"",J883&lt;&gt;"",M883&lt;&gt;""),"Rastreado","Revisar")</f>
        <v/>
      </c>
      <c r="P883" s="96" t="n"/>
    </row>
    <row r="884">
      <c r="A884" s="95" t="n"/>
      <c r="B884" s="96" t="n"/>
      <c r="C884" s="96" t="n"/>
      <c r="D884" s="95" t="n"/>
      <c r="E884" s="96" t="n"/>
      <c r="F884" s="96" t="n"/>
      <c r="G884" s="95">
        <f>IFERROR(VLOOKUP(F884,'12. Contratos_OS'!$A$6:$L$1000,2,FALSE),"")</f>
        <v/>
      </c>
      <c r="H884" s="95">
        <f>IFERROR(VLOOKUP(F884,'12. Contratos_OS'!$A$6:$L$1000,3,FALSE),"")</f>
        <v/>
      </c>
      <c r="I884" s="95">
        <f>IFERROR(VLOOKUP(F884,'12. Contratos_OS'!$A$6:$L$1000,4,FALSE),"")</f>
        <v/>
      </c>
      <c r="J884" s="95">
        <f>IFERROR(VLOOKUP(F884,'12. Contratos_OS'!$A$6:$L$1000,7,FALSE),"")</f>
        <v/>
      </c>
      <c r="K884" s="95">
        <f>IFERROR(VLOOKUP(J884,'11. Cadastro de Serviços'!$A$6:$E$200,2,FALSE),"")</f>
        <v/>
      </c>
      <c r="L884" s="95">
        <f>IFERROR(VLOOKUP(J884,'11. Cadastro de Serviços'!$A$6:$E$200,3,FALSE),"")</f>
        <v/>
      </c>
      <c r="M884" s="95">
        <f>IFERROR(VLOOKUP(J884,'11. Cadastro de Serviços'!$A$6:$E$200,4,FALSE),"")</f>
        <v/>
      </c>
      <c r="N884" s="95" t="n"/>
      <c r="O884" s="95">
        <f>IF(AND(G884&lt;&gt;"",I884&lt;&gt;"",J884&lt;&gt;"",M884&lt;&gt;""),"Rastreado","Revisar")</f>
        <v/>
      </c>
      <c r="P884" s="96" t="n"/>
    </row>
    <row r="885">
      <c r="A885" s="95" t="n"/>
      <c r="B885" s="96" t="n"/>
      <c r="C885" s="96" t="n"/>
      <c r="D885" s="95" t="n"/>
      <c r="E885" s="96" t="n"/>
      <c r="F885" s="96" t="n"/>
      <c r="G885" s="95">
        <f>IFERROR(VLOOKUP(F885,'12. Contratos_OS'!$A$6:$L$1000,2,FALSE),"")</f>
        <v/>
      </c>
      <c r="H885" s="95">
        <f>IFERROR(VLOOKUP(F885,'12. Contratos_OS'!$A$6:$L$1000,3,FALSE),"")</f>
        <v/>
      </c>
      <c r="I885" s="95">
        <f>IFERROR(VLOOKUP(F885,'12. Contratos_OS'!$A$6:$L$1000,4,FALSE),"")</f>
        <v/>
      </c>
      <c r="J885" s="95">
        <f>IFERROR(VLOOKUP(F885,'12. Contratos_OS'!$A$6:$L$1000,7,FALSE),"")</f>
        <v/>
      </c>
      <c r="K885" s="95">
        <f>IFERROR(VLOOKUP(J885,'11. Cadastro de Serviços'!$A$6:$E$200,2,FALSE),"")</f>
        <v/>
      </c>
      <c r="L885" s="95">
        <f>IFERROR(VLOOKUP(J885,'11. Cadastro de Serviços'!$A$6:$E$200,3,FALSE),"")</f>
        <v/>
      </c>
      <c r="M885" s="95">
        <f>IFERROR(VLOOKUP(J885,'11. Cadastro de Serviços'!$A$6:$E$200,4,FALSE),"")</f>
        <v/>
      </c>
      <c r="N885" s="95" t="n"/>
      <c r="O885" s="95">
        <f>IF(AND(G885&lt;&gt;"",I885&lt;&gt;"",J885&lt;&gt;"",M885&lt;&gt;""),"Rastreado","Revisar")</f>
        <v/>
      </c>
      <c r="P885" s="96" t="n"/>
    </row>
    <row r="886">
      <c r="A886" s="95" t="n"/>
      <c r="B886" s="96" t="n"/>
      <c r="C886" s="96" t="n"/>
      <c r="D886" s="95" t="n"/>
      <c r="E886" s="96" t="n"/>
      <c r="F886" s="96" t="n"/>
      <c r="G886" s="95">
        <f>IFERROR(VLOOKUP(F886,'12. Contratos_OS'!$A$6:$L$1000,2,FALSE),"")</f>
        <v/>
      </c>
      <c r="H886" s="95">
        <f>IFERROR(VLOOKUP(F886,'12. Contratos_OS'!$A$6:$L$1000,3,FALSE),"")</f>
        <v/>
      </c>
      <c r="I886" s="95">
        <f>IFERROR(VLOOKUP(F886,'12. Contratos_OS'!$A$6:$L$1000,4,FALSE),"")</f>
        <v/>
      </c>
      <c r="J886" s="95">
        <f>IFERROR(VLOOKUP(F886,'12. Contratos_OS'!$A$6:$L$1000,7,FALSE),"")</f>
        <v/>
      </c>
      <c r="K886" s="95">
        <f>IFERROR(VLOOKUP(J886,'11. Cadastro de Serviços'!$A$6:$E$200,2,FALSE),"")</f>
        <v/>
      </c>
      <c r="L886" s="95">
        <f>IFERROR(VLOOKUP(J886,'11. Cadastro de Serviços'!$A$6:$E$200,3,FALSE),"")</f>
        <v/>
      </c>
      <c r="M886" s="95">
        <f>IFERROR(VLOOKUP(J886,'11. Cadastro de Serviços'!$A$6:$E$200,4,FALSE),"")</f>
        <v/>
      </c>
      <c r="N886" s="95" t="n"/>
      <c r="O886" s="95">
        <f>IF(AND(G886&lt;&gt;"",I886&lt;&gt;"",J886&lt;&gt;"",M886&lt;&gt;""),"Rastreado","Revisar")</f>
        <v/>
      </c>
      <c r="P886" s="96" t="n"/>
    </row>
    <row r="887">
      <c r="A887" s="95" t="n"/>
      <c r="B887" s="96" t="n"/>
      <c r="C887" s="96" t="n"/>
      <c r="D887" s="95" t="n"/>
      <c r="E887" s="96" t="n"/>
      <c r="F887" s="96" t="n"/>
      <c r="G887" s="95">
        <f>IFERROR(VLOOKUP(F887,'12. Contratos_OS'!$A$6:$L$1000,2,FALSE),"")</f>
        <v/>
      </c>
      <c r="H887" s="95">
        <f>IFERROR(VLOOKUP(F887,'12. Contratos_OS'!$A$6:$L$1000,3,FALSE),"")</f>
        <v/>
      </c>
      <c r="I887" s="95">
        <f>IFERROR(VLOOKUP(F887,'12. Contratos_OS'!$A$6:$L$1000,4,FALSE),"")</f>
        <v/>
      </c>
      <c r="J887" s="95">
        <f>IFERROR(VLOOKUP(F887,'12. Contratos_OS'!$A$6:$L$1000,7,FALSE),"")</f>
        <v/>
      </c>
      <c r="K887" s="95">
        <f>IFERROR(VLOOKUP(J887,'11. Cadastro de Serviços'!$A$6:$E$200,2,FALSE),"")</f>
        <v/>
      </c>
      <c r="L887" s="95">
        <f>IFERROR(VLOOKUP(J887,'11. Cadastro de Serviços'!$A$6:$E$200,3,FALSE),"")</f>
        <v/>
      </c>
      <c r="M887" s="95">
        <f>IFERROR(VLOOKUP(J887,'11. Cadastro de Serviços'!$A$6:$E$200,4,FALSE),"")</f>
        <v/>
      </c>
      <c r="N887" s="95" t="n"/>
      <c r="O887" s="95">
        <f>IF(AND(G887&lt;&gt;"",I887&lt;&gt;"",J887&lt;&gt;"",M887&lt;&gt;""),"Rastreado","Revisar")</f>
        <v/>
      </c>
      <c r="P887" s="96" t="n"/>
    </row>
    <row r="888">
      <c r="A888" s="95" t="n"/>
      <c r="B888" s="96" t="n"/>
      <c r="C888" s="96" t="n"/>
      <c r="D888" s="95" t="n"/>
      <c r="E888" s="96" t="n"/>
      <c r="F888" s="96" t="n"/>
      <c r="G888" s="95">
        <f>IFERROR(VLOOKUP(F888,'12. Contratos_OS'!$A$6:$L$1000,2,FALSE),"")</f>
        <v/>
      </c>
      <c r="H888" s="95">
        <f>IFERROR(VLOOKUP(F888,'12. Contratos_OS'!$A$6:$L$1000,3,FALSE),"")</f>
        <v/>
      </c>
      <c r="I888" s="95">
        <f>IFERROR(VLOOKUP(F888,'12. Contratos_OS'!$A$6:$L$1000,4,FALSE),"")</f>
        <v/>
      </c>
      <c r="J888" s="95">
        <f>IFERROR(VLOOKUP(F888,'12. Contratos_OS'!$A$6:$L$1000,7,FALSE),"")</f>
        <v/>
      </c>
      <c r="K888" s="95">
        <f>IFERROR(VLOOKUP(J888,'11. Cadastro de Serviços'!$A$6:$E$200,2,FALSE),"")</f>
        <v/>
      </c>
      <c r="L888" s="95">
        <f>IFERROR(VLOOKUP(J888,'11. Cadastro de Serviços'!$A$6:$E$200,3,FALSE),"")</f>
        <v/>
      </c>
      <c r="M888" s="95">
        <f>IFERROR(VLOOKUP(J888,'11. Cadastro de Serviços'!$A$6:$E$200,4,FALSE),"")</f>
        <v/>
      </c>
      <c r="N888" s="95" t="n"/>
      <c r="O888" s="95">
        <f>IF(AND(G888&lt;&gt;"",I888&lt;&gt;"",J888&lt;&gt;"",M888&lt;&gt;""),"Rastreado","Revisar")</f>
        <v/>
      </c>
      <c r="P888" s="96" t="n"/>
    </row>
    <row r="889">
      <c r="A889" s="95" t="n"/>
      <c r="B889" s="96" t="n"/>
      <c r="C889" s="96" t="n"/>
      <c r="D889" s="95" t="n"/>
      <c r="E889" s="96" t="n"/>
      <c r="F889" s="96" t="n"/>
      <c r="G889" s="95">
        <f>IFERROR(VLOOKUP(F889,'12. Contratos_OS'!$A$6:$L$1000,2,FALSE),"")</f>
        <v/>
      </c>
      <c r="H889" s="95">
        <f>IFERROR(VLOOKUP(F889,'12. Contratos_OS'!$A$6:$L$1000,3,FALSE),"")</f>
        <v/>
      </c>
      <c r="I889" s="95">
        <f>IFERROR(VLOOKUP(F889,'12. Contratos_OS'!$A$6:$L$1000,4,FALSE),"")</f>
        <v/>
      </c>
      <c r="J889" s="95">
        <f>IFERROR(VLOOKUP(F889,'12. Contratos_OS'!$A$6:$L$1000,7,FALSE),"")</f>
        <v/>
      </c>
      <c r="K889" s="95">
        <f>IFERROR(VLOOKUP(J889,'11. Cadastro de Serviços'!$A$6:$E$200,2,FALSE),"")</f>
        <v/>
      </c>
      <c r="L889" s="95">
        <f>IFERROR(VLOOKUP(J889,'11. Cadastro de Serviços'!$A$6:$E$200,3,FALSE),"")</f>
        <v/>
      </c>
      <c r="M889" s="95">
        <f>IFERROR(VLOOKUP(J889,'11. Cadastro de Serviços'!$A$6:$E$200,4,FALSE),"")</f>
        <v/>
      </c>
      <c r="N889" s="95" t="n"/>
      <c r="O889" s="95">
        <f>IF(AND(G889&lt;&gt;"",I889&lt;&gt;"",J889&lt;&gt;"",M889&lt;&gt;""),"Rastreado","Revisar")</f>
        <v/>
      </c>
      <c r="P889" s="96" t="n"/>
    </row>
    <row r="890">
      <c r="A890" s="95" t="n"/>
      <c r="B890" s="96" t="n"/>
      <c r="C890" s="96" t="n"/>
      <c r="D890" s="95" t="n"/>
      <c r="E890" s="96" t="n"/>
      <c r="F890" s="96" t="n"/>
      <c r="G890" s="95">
        <f>IFERROR(VLOOKUP(F890,'12. Contratos_OS'!$A$6:$L$1000,2,FALSE),"")</f>
        <v/>
      </c>
      <c r="H890" s="95">
        <f>IFERROR(VLOOKUP(F890,'12. Contratos_OS'!$A$6:$L$1000,3,FALSE),"")</f>
        <v/>
      </c>
      <c r="I890" s="95">
        <f>IFERROR(VLOOKUP(F890,'12. Contratos_OS'!$A$6:$L$1000,4,FALSE),"")</f>
        <v/>
      </c>
      <c r="J890" s="95">
        <f>IFERROR(VLOOKUP(F890,'12. Contratos_OS'!$A$6:$L$1000,7,FALSE),"")</f>
        <v/>
      </c>
      <c r="K890" s="95">
        <f>IFERROR(VLOOKUP(J890,'11. Cadastro de Serviços'!$A$6:$E$200,2,FALSE),"")</f>
        <v/>
      </c>
      <c r="L890" s="95">
        <f>IFERROR(VLOOKUP(J890,'11. Cadastro de Serviços'!$A$6:$E$200,3,FALSE),"")</f>
        <v/>
      </c>
      <c r="M890" s="95">
        <f>IFERROR(VLOOKUP(J890,'11. Cadastro de Serviços'!$A$6:$E$200,4,FALSE),"")</f>
        <v/>
      </c>
      <c r="N890" s="95" t="n"/>
      <c r="O890" s="95">
        <f>IF(AND(G890&lt;&gt;"",I890&lt;&gt;"",J890&lt;&gt;"",M890&lt;&gt;""),"Rastreado","Revisar")</f>
        <v/>
      </c>
      <c r="P890" s="96" t="n"/>
    </row>
    <row r="891">
      <c r="A891" s="95" t="n"/>
      <c r="B891" s="96" t="n"/>
      <c r="C891" s="96" t="n"/>
      <c r="D891" s="95" t="n"/>
      <c r="E891" s="96" t="n"/>
      <c r="F891" s="96" t="n"/>
      <c r="G891" s="95">
        <f>IFERROR(VLOOKUP(F891,'12. Contratos_OS'!$A$6:$L$1000,2,FALSE),"")</f>
        <v/>
      </c>
      <c r="H891" s="95">
        <f>IFERROR(VLOOKUP(F891,'12. Contratos_OS'!$A$6:$L$1000,3,FALSE),"")</f>
        <v/>
      </c>
      <c r="I891" s="95">
        <f>IFERROR(VLOOKUP(F891,'12. Contratos_OS'!$A$6:$L$1000,4,FALSE),"")</f>
        <v/>
      </c>
      <c r="J891" s="95">
        <f>IFERROR(VLOOKUP(F891,'12. Contratos_OS'!$A$6:$L$1000,7,FALSE),"")</f>
        <v/>
      </c>
      <c r="K891" s="95">
        <f>IFERROR(VLOOKUP(J891,'11. Cadastro de Serviços'!$A$6:$E$200,2,FALSE),"")</f>
        <v/>
      </c>
      <c r="L891" s="95">
        <f>IFERROR(VLOOKUP(J891,'11. Cadastro de Serviços'!$A$6:$E$200,3,FALSE),"")</f>
        <v/>
      </c>
      <c r="M891" s="95">
        <f>IFERROR(VLOOKUP(J891,'11. Cadastro de Serviços'!$A$6:$E$200,4,FALSE),"")</f>
        <v/>
      </c>
      <c r="N891" s="95" t="n"/>
      <c r="O891" s="95">
        <f>IF(AND(G891&lt;&gt;"",I891&lt;&gt;"",J891&lt;&gt;"",M891&lt;&gt;""),"Rastreado","Revisar")</f>
        <v/>
      </c>
      <c r="P891" s="96" t="n"/>
    </row>
    <row r="892">
      <c r="A892" s="95" t="n"/>
      <c r="B892" s="96" t="n"/>
      <c r="C892" s="96" t="n"/>
      <c r="D892" s="95" t="n"/>
      <c r="E892" s="96" t="n"/>
      <c r="F892" s="96" t="n"/>
      <c r="G892" s="95">
        <f>IFERROR(VLOOKUP(F892,'12. Contratos_OS'!$A$6:$L$1000,2,FALSE),"")</f>
        <v/>
      </c>
      <c r="H892" s="95">
        <f>IFERROR(VLOOKUP(F892,'12. Contratos_OS'!$A$6:$L$1000,3,FALSE),"")</f>
        <v/>
      </c>
      <c r="I892" s="95">
        <f>IFERROR(VLOOKUP(F892,'12. Contratos_OS'!$A$6:$L$1000,4,FALSE),"")</f>
        <v/>
      </c>
      <c r="J892" s="95">
        <f>IFERROR(VLOOKUP(F892,'12. Contratos_OS'!$A$6:$L$1000,7,FALSE),"")</f>
        <v/>
      </c>
      <c r="K892" s="95">
        <f>IFERROR(VLOOKUP(J892,'11. Cadastro de Serviços'!$A$6:$E$200,2,FALSE),"")</f>
        <v/>
      </c>
      <c r="L892" s="95">
        <f>IFERROR(VLOOKUP(J892,'11. Cadastro de Serviços'!$A$6:$E$200,3,FALSE),"")</f>
        <v/>
      </c>
      <c r="M892" s="95">
        <f>IFERROR(VLOOKUP(J892,'11. Cadastro de Serviços'!$A$6:$E$200,4,FALSE),"")</f>
        <v/>
      </c>
      <c r="N892" s="95" t="n"/>
      <c r="O892" s="95">
        <f>IF(AND(G892&lt;&gt;"",I892&lt;&gt;"",J892&lt;&gt;"",M892&lt;&gt;""),"Rastreado","Revisar")</f>
        <v/>
      </c>
      <c r="P892" s="96" t="n"/>
    </row>
    <row r="893">
      <c r="A893" s="95" t="n"/>
      <c r="B893" s="96" t="n"/>
      <c r="C893" s="96" t="n"/>
      <c r="D893" s="95" t="n"/>
      <c r="E893" s="96" t="n"/>
      <c r="F893" s="96" t="n"/>
      <c r="G893" s="95">
        <f>IFERROR(VLOOKUP(F893,'12. Contratos_OS'!$A$6:$L$1000,2,FALSE),"")</f>
        <v/>
      </c>
      <c r="H893" s="95">
        <f>IFERROR(VLOOKUP(F893,'12. Contratos_OS'!$A$6:$L$1000,3,FALSE),"")</f>
        <v/>
      </c>
      <c r="I893" s="95">
        <f>IFERROR(VLOOKUP(F893,'12. Contratos_OS'!$A$6:$L$1000,4,FALSE),"")</f>
        <v/>
      </c>
      <c r="J893" s="95">
        <f>IFERROR(VLOOKUP(F893,'12. Contratos_OS'!$A$6:$L$1000,7,FALSE),"")</f>
        <v/>
      </c>
      <c r="K893" s="95">
        <f>IFERROR(VLOOKUP(J893,'11. Cadastro de Serviços'!$A$6:$E$200,2,FALSE),"")</f>
        <v/>
      </c>
      <c r="L893" s="95">
        <f>IFERROR(VLOOKUP(J893,'11. Cadastro de Serviços'!$A$6:$E$200,3,FALSE),"")</f>
        <v/>
      </c>
      <c r="M893" s="95">
        <f>IFERROR(VLOOKUP(J893,'11. Cadastro de Serviços'!$A$6:$E$200,4,FALSE),"")</f>
        <v/>
      </c>
      <c r="N893" s="95" t="n"/>
      <c r="O893" s="95">
        <f>IF(AND(G893&lt;&gt;"",I893&lt;&gt;"",J893&lt;&gt;"",M893&lt;&gt;""),"Rastreado","Revisar")</f>
        <v/>
      </c>
      <c r="P893" s="96" t="n"/>
    </row>
    <row r="894">
      <c r="A894" s="95" t="n"/>
      <c r="B894" s="96" t="n"/>
      <c r="C894" s="96" t="n"/>
      <c r="D894" s="95" t="n"/>
      <c r="E894" s="96" t="n"/>
      <c r="F894" s="96" t="n"/>
      <c r="G894" s="95">
        <f>IFERROR(VLOOKUP(F894,'12. Contratos_OS'!$A$6:$L$1000,2,FALSE),"")</f>
        <v/>
      </c>
      <c r="H894" s="95">
        <f>IFERROR(VLOOKUP(F894,'12. Contratos_OS'!$A$6:$L$1000,3,FALSE),"")</f>
        <v/>
      </c>
      <c r="I894" s="95">
        <f>IFERROR(VLOOKUP(F894,'12. Contratos_OS'!$A$6:$L$1000,4,FALSE),"")</f>
        <v/>
      </c>
      <c r="J894" s="95">
        <f>IFERROR(VLOOKUP(F894,'12. Contratos_OS'!$A$6:$L$1000,7,FALSE),"")</f>
        <v/>
      </c>
      <c r="K894" s="95">
        <f>IFERROR(VLOOKUP(J894,'11. Cadastro de Serviços'!$A$6:$E$200,2,FALSE),"")</f>
        <v/>
      </c>
      <c r="L894" s="95">
        <f>IFERROR(VLOOKUP(J894,'11. Cadastro de Serviços'!$A$6:$E$200,3,FALSE),"")</f>
        <v/>
      </c>
      <c r="M894" s="95">
        <f>IFERROR(VLOOKUP(J894,'11. Cadastro de Serviços'!$A$6:$E$200,4,FALSE),"")</f>
        <v/>
      </c>
      <c r="N894" s="95" t="n"/>
      <c r="O894" s="95">
        <f>IF(AND(G894&lt;&gt;"",I894&lt;&gt;"",J894&lt;&gt;"",M894&lt;&gt;""),"Rastreado","Revisar")</f>
        <v/>
      </c>
      <c r="P894" s="96" t="n"/>
    </row>
    <row r="895">
      <c r="A895" s="95" t="n"/>
      <c r="B895" s="96" t="n"/>
      <c r="C895" s="96" t="n"/>
      <c r="D895" s="95" t="n"/>
      <c r="E895" s="96" t="n"/>
      <c r="F895" s="96" t="n"/>
      <c r="G895" s="95">
        <f>IFERROR(VLOOKUP(F895,'12. Contratos_OS'!$A$6:$L$1000,2,FALSE),"")</f>
        <v/>
      </c>
      <c r="H895" s="95">
        <f>IFERROR(VLOOKUP(F895,'12. Contratos_OS'!$A$6:$L$1000,3,FALSE),"")</f>
        <v/>
      </c>
      <c r="I895" s="95">
        <f>IFERROR(VLOOKUP(F895,'12. Contratos_OS'!$A$6:$L$1000,4,FALSE),"")</f>
        <v/>
      </c>
      <c r="J895" s="95">
        <f>IFERROR(VLOOKUP(F895,'12. Contratos_OS'!$A$6:$L$1000,7,FALSE),"")</f>
        <v/>
      </c>
      <c r="K895" s="95">
        <f>IFERROR(VLOOKUP(J895,'11. Cadastro de Serviços'!$A$6:$E$200,2,FALSE),"")</f>
        <v/>
      </c>
      <c r="L895" s="95">
        <f>IFERROR(VLOOKUP(J895,'11. Cadastro de Serviços'!$A$6:$E$200,3,FALSE),"")</f>
        <v/>
      </c>
      <c r="M895" s="95">
        <f>IFERROR(VLOOKUP(J895,'11. Cadastro de Serviços'!$A$6:$E$200,4,FALSE),"")</f>
        <v/>
      </c>
      <c r="N895" s="95" t="n"/>
      <c r="O895" s="95">
        <f>IF(AND(G895&lt;&gt;"",I895&lt;&gt;"",J895&lt;&gt;"",M895&lt;&gt;""),"Rastreado","Revisar")</f>
        <v/>
      </c>
      <c r="P895" s="96" t="n"/>
    </row>
    <row r="896">
      <c r="A896" s="95" t="n"/>
      <c r="B896" s="96" t="n"/>
      <c r="C896" s="96" t="n"/>
      <c r="D896" s="95" t="n"/>
      <c r="E896" s="96" t="n"/>
      <c r="F896" s="96" t="n"/>
      <c r="G896" s="95">
        <f>IFERROR(VLOOKUP(F896,'12. Contratos_OS'!$A$6:$L$1000,2,FALSE),"")</f>
        <v/>
      </c>
      <c r="H896" s="95">
        <f>IFERROR(VLOOKUP(F896,'12. Contratos_OS'!$A$6:$L$1000,3,FALSE),"")</f>
        <v/>
      </c>
      <c r="I896" s="95">
        <f>IFERROR(VLOOKUP(F896,'12. Contratos_OS'!$A$6:$L$1000,4,FALSE),"")</f>
        <v/>
      </c>
      <c r="J896" s="95">
        <f>IFERROR(VLOOKUP(F896,'12. Contratos_OS'!$A$6:$L$1000,7,FALSE),"")</f>
        <v/>
      </c>
      <c r="K896" s="95">
        <f>IFERROR(VLOOKUP(J896,'11. Cadastro de Serviços'!$A$6:$E$200,2,FALSE),"")</f>
        <v/>
      </c>
      <c r="L896" s="95">
        <f>IFERROR(VLOOKUP(J896,'11. Cadastro de Serviços'!$A$6:$E$200,3,FALSE),"")</f>
        <v/>
      </c>
      <c r="M896" s="95">
        <f>IFERROR(VLOOKUP(J896,'11. Cadastro de Serviços'!$A$6:$E$200,4,FALSE),"")</f>
        <v/>
      </c>
      <c r="N896" s="95" t="n"/>
      <c r="O896" s="95">
        <f>IF(AND(G896&lt;&gt;"",I896&lt;&gt;"",J896&lt;&gt;"",M896&lt;&gt;""),"Rastreado","Revisar")</f>
        <v/>
      </c>
      <c r="P896" s="96" t="n"/>
    </row>
    <row r="897">
      <c r="A897" s="95" t="n"/>
      <c r="B897" s="96" t="n"/>
      <c r="C897" s="96" t="n"/>
      <c r="D897" s="95" t="n"/>
      <c r="E897" s="96" t="n"/>
      <c r="F897" s="96" t="n"/>
      <c r="G897" s="95">
        <f>IFERROR(VLOOKUP(F897,'12. Contratos_OS'!$A$6:$L$1000,2,FALSE),"")</f>
        <v/>
      </c>
      <c r="H897" s="95">
        <f>IFERROR(VLOOKUP(F897,'12. Contratos_OS'!$A$6:$L$1000,3,FALSE),"")</f>
        <v/>
      </c>
      <c r="I897" s="95">
        <f>IFERROR(VLOOKUP(F897,'12. Contratos_OS'!$A$6:$L$1000,4,FALSE),"")</f>
        <v/>
      </c>
      <c r="J897" s="95">
        <f>IFERROR(VLOOKUP(F897,'12. Contratos_OS'!$A$6:$L$1000,7,FALSE),"")</f>
        <v/>
      </c>
      <c r="K897" s="95">
        <f>IFERROR(VLOOKUP(J897,'11. Cadastro de Serviços'!$A$6:$E$200,2,FALSE),"")</f>
        <v/>
      </c>
      <c r="L897" s="95">
        <f>IFERROR(VLOOKUP(J897,'11. Cadastro de Serviços'!$A$6:$E$200,3,FALSE),"")</f>
        <v/>
      </c>
      <c r="M897" s="95">
        <f>IFERROR(VLOOKUP(J897,'11. Cadastro de Serviços'!$A$6:$E$200,4,FALSE),"")</f>
        <v/>
      </c>
      <c r="N897" s="95" t="n"/>
      <c r="O897" s="95">
        <f>IF(AND(G897&lt;&gt;"",I897&lt;&gt;"",J897&lt;&gt;"",M897&lt;&gt;""),"Rastreado","Revisar")</f>
        <v/>
      </c>
      <c r="P897" s="96" t="n"/>
    </row>
    <row r="898">
      <c r="A898" s="95" t="n"/>
      <c r="B898" s="96" t="n"/>
      <c r="C898" s="96" t="n"/>
      <c r="D898" s="95" t="n"/>
      <c r="E898" s="96" t="n"/>
      <c r="F898" s="96" t="n"/>
      <c r="G898" s="95">
        <f>IFERROR(VLOOKUP(F898,'12. Contratos_OS'!$A$6:$L$1000,2,FALSE),"")</f>
        <v/>
      </c>
      <c r="H898" s="95">
        <f>IFERROR(VLOOKUP(F898,'12. Contratos_OS'!$A$6:$L$1000,3,FALSE),"")</f>
        <v/>
      </c>
      <c r="I898" s="95">
        <f>IFERROR(VLOOKUP(F898,'12. Contratos_OS'!$A$6:$L$1000,4,FALSE),"")</f>
        <v/>
      </c>
      <c r="J898" s="95">
        <f>IFERROR(VLOOKUP(F898,'12. Contratos_OS'!$A$6:$L$1000,7,FALSE),"")</f>
        <v/>
      </c>
      <c r="K898" s="95">
        <f>IFERROR(VLOOKUP(J898,'11. Cadastro de Serviços'!$A$6:$E$200,2,FALSE),"")</f>
        <v/>
      </c>
      <c r="L898" s="95">
        <f>IFERROR(VLOOKUP(J898,'11. Cadastro de Serviços'!$A$6:$E$200,3,FALSE),"")</f>
        <v/>
      </c>
      <c r="M898" s="95">
        <f>IFERROR(VLOOKUP(J898,'11. Cadastro de Serviços'!$A$6:$E$200,4,FALSE),"")</f>
        <v/>
      </c>
      <c r="N898" s="95" t="n"/>
      <c r="O898" s="95">
        <f>IF(AND(G898&lt;&gt;"",I898&lt;&gt;"",J898&lt;&gt;"",M898&lt;&gt;""),"Rastreado","Revisar")</f>
        <v/>
      </c>
      <c r="P898" s="96" t="n"/>
    </row>
    <row r="899">
      <c r="A899" s="95" t="n"/>
      <c r="B899" s="96" t="n"/>
      <c r="C899" s="96" t="n"/>
      <c r="D899" s="95" t="n"/>
      <c r="E899" s="96" t="n"/>
      <c r="F899" s="96" t="n"/>
      <c r="G899" s="95">
        <f>IFERROR(VLOOKUP(F899,'12. Contratos_OS'!$A$6:$L$1000,2,FALSE),"")</f>
        <v/>
      </c>
      <c r="H899" s="95">
        <f>IFERROR(VLOOKUP(F899,'12. Contratos_OS'!$A$6:$L$1000,3,FALSE),"")</f>
        <v/>
      </c>
      <c r="I899" s="95">
        <f>IFERROR(VLOOKUP(F899,'12. Contratos_OS'!$A$6:$L$1000,4,FALSE),"")</f>
        <v/>
      </c>
      <c r="J899" s="95">
        <f>IFERROR(VLOOKUP(F899,'12. Contratos_OS'!$A$6:$L$1000,7,FALSE),"")</f>
        <v/>
      </c>
      <c r="K899" s="95">
        <f>IFERROR(VLOOKUP(J899,'11. Cadastro de Serviços'!$A$6:$E$200,2,FALSE),"")</f>
        <v/>
      </c>
      <c r="L899" s="95">
        <f>IFERROR(VLOOKUP(J899,'11. Cadastro de Serviços'!$A$6:$E$200,3,FALSE),"")</f>
        <v/>
      </c>
      <c r="M899" s="95">
        <f>IFERROR(VLOOKUP(J899,'11. Cadastro de Serviços'!$A$6:$E$200,4,FALSE),"")</f>
        <v/>
      </c>
      <c r="N899" s="95" t="n"/>
      <c r="O899" s="95">
        <f>IF(AND(G899&lt;&gt;"",I899&lt;&gt;"",J899&lt;&gt;"",M899&lt;&gt;""),"Rastreado","Revisar")</f>
        <v/>
      </c>
      <c r="P899" s="96" t="n"/>
    </row>
    <row r="900">
      <c r="A900" s="95" t="n"/>
      <c r="B900" s="96" t="n"/>
      <c r="C900" s="96" t="n"/>
      <c r="D900" s="95" t="n"/>
      <c r="E900" s="96" t="n"/>
      <c r="F900" s="96" t="n"/>
      <c r="G900" s="95">
        <f>IFERROR(VLOOKUP(F900,'12. Contratos_OS'!$A$6:$L$1000,2,FALSE),"")</f>
        <v/>
      </c>
      <c r="H900" s="95">
        <f>IFERROR(VLOOKUP(F900,'12. Contratos_OS'!$A$6:$L$1000,3,FALSE),"")</f>
        <v/>
      </c>
      <c r="I900" s="95">
        <f>IFERROR(VLOOKUP(F900,'12. Contratos_OS'!$A$6:$L$1000,4,FALSE),"")</f>
        <v/>
      </c>
      <c r="J900" s="95">
        <f>IFERROR(VLOOKUP(F900,'12. Contratos_OS'!$A$6:$L$1000,7,FALSE),"")</f>
        <v/>
      </c>
      <c r="K900" s="95">
        <f>IFERROR(VLOOKUP(J900,'11. Cadastro de Serviços'!$A$6:$E$200,2,FALSE),"")</f>
        <v/>
      </c>
      <c r="L900" s="95">
        <f>IFERROR(VLOOKUP(J900,'11. Cadastro de Serviços'!$A$6:$E$200,3,FALSE),"")</f>
        <v/>
      </c>
      <c r="M900" s="95">
        <f>IFERROR(VLOOKUP(J900,'11. Cadastro de Serviços'!$A$6:$E$200,4,FALSE),"")</f>
        <v/>
      </c>
      <c r="N900" s="95" t="n"/>
      <c r="O900" s="95">
        <f>IF(AND(G900&lt;&gt;"",I900&lt;&gt;"",J900&lt;&gt;"",M900&lt;&gt;""),"Rastreado","Revisar")</f>
        <v/>
      </c>
      <c r="P900" s="96" t="n"/>
    </row>
    <row r="901">
      <c r="A901" s="95" t="n"/>
      <c r="B901" s="96" t="n"/>
      <c r="C901" s="96" t="n"/>
      <c r="D901" s="95" t="n"/>
      <c r="E901" s="96" t="n"/>
      <c r="F901" s="96" t="n"/>
      <c r="G901" s="95">
        <f>IFERROR(VLOOKUP(F901,'12. Contratos_OS'!$A$6:$L$1000,2,FALSE),"")</f>
        <v/>
      </c>
      <c r="H901" s="95">
        <f>IFERROR(VLOOKUP(F901,'12. Contratos_OS'!$A$6:$L$1000,3,FALSE),"")</f>
        <v/>
      </c>
      <c r="I901" s="95">
        <f>IFERROR(VLOOKUP(F901,'12. Contratos_OS'!$A$6:$L$1000,4,FALSE),"")</f>
        <v/>
      </c>
      <c r="J901" s="95">
        <f>IFERROR(VLOOKUP(F901,'12. Contratos_OS'!$A$6:$L$1000,7,FALSE),"")</f>
        <v/>
      </c>
      <c r="K901" s="95">
        <f>IFERROR(VLOOKUP(J901,'11. Cadastro de Serviços'!$A$6:$E$200,2,FALSE),"")</f>
        <v/>
      </c>
      <c r="L901" s="95">
        <f>IFERROR(VLOOKUP(J901,'11. Cadastro de Serviços'!$A$6:$E$200,3,FALSE),"")</f>
        <v/>
      </c>
      <c r="M901" s="95">
        <f>IFERROR(VLOOKUP(J901,'11. Cadastro de Serviços'!$A$6:$E$200,4,FALSE),"")</f>
        <v/>
      </c>
      <c r="N901" s="95" t="n"/>
      <c r="O901" s="95">
        <f>IF(AND(G901&lt;&gt;"",I901&lt;&gt;"",J901&lt;&gt;"",M901&lt;&gt;""),"Rastreado","Revisar")</f>
        <v/>
      </c>
      <c r="P901" s="96" t="n"/>
    </row>
    <row r="902">
      <c r="A902" s="95" t="n"/>
      <c r="B902" s="96" t="n"/>
      <c r="C902" s="96" t="n"/>
      <c r="D902" s="95" t="n"/>
      <c r="E902" s="96" t="n"/>
      <c r="F902" s="96" t="n"/>
      <c r="G902" s="95">
        <f>IFERROR(VLOOKUP(F902,'12. Contratos_OS'!$A$6:$L$1000,2,FALSE),"")</f>
        <v/>
      </c>
      <c r="H902" s="95">
        <f>IFERROR(VLOOKUP(F902,'12. Contratos_OS'!$A$6:$L$1000,3,FALSE),"")</f>
        <v/>
      </c>
      <c r="I902" s="95">
        <f>IFERROR(VLOOKUP(F902,'12. Contratos_OS'!$A$6:$L$1000,4,FALSE),"")</f>
        <v/>
      </c>
      <c r="J902" s="95">
        <f>IFERROR(VLOOKUP(F902,'12. Contratos_OS'!$A$6:$L$1000,7,FALSE),"")</f>
        <v/>
      </c>
      <c r="K902" s="95">
        <f>IFERROR(VLOOKUP(J902,'11. Cadastro de Serviços'!$A$6:$E$200,2,FALSE),"")</f>
        <v/>
      </c>
      <c r="L902" s="95">
        <f>IFERROR(VLOOKUP(J902,'11. Cadastro de Serviços'!$A$6:$E$200,3,FALSE),"")</f>
        <v/>
      </c>
      <c r="M902" s="95">
        <f>IFERROR(VLOOKUP(J902,'11. Cadastro de Serviços'!$A$6:$E$200,4,FALSE),"")</f>
        <v/>
      </c>
      <c r="N902" s="95" t="n"/>
      <c r="O902" s="95">
        <f>IF(AND(G902&lt;&gt;"",I902&lt;&gt;"",J902&lt;&gt;"",M902&lt;&gt;""),"Rastreado","Revisar")</f>
        <v/>
      </c>
      <c r="P902" s="96" t="n"/>
    </row>
    <row r="903">
      <c r="A903" s="95" t="n"/>
      <c r="B903" s="96" t="n"/>
      <c r="C903" s="96" t="n"/>
      <c r="D903" s="95" t="n"/>
      <c r="E903" s="96" t="n"/>
      <c r="F903" s="96" t="n"/>
      <c r="G903" s="95">
        <f>IFERROR(VLOOKUP(F903,'12. Contratos_OS'!$A$6:$L$1000,2,FALSE),"")</f>
        <v/>
      </c>
      <c r="H903" s="95">
        <f>IFERROR(VLOOKUP(F903,'12. Contratos_OS'!$A$6:$L$1000,3,FALSE),"")</f>
        <v/>
      </c>
      <c r="I903" s="95">
        <f>IFERROR(VLOOKUP(F903,'12. Contratos_OS'!$A$6:$L$1000,4,FALSE),"")</f>
        <v/>
      </c>
      <c r="J903" s="95">
        <f>IFERROR(VLOOKUP(F903,'12. Contratos_OS'!$A$6:$L$1000,7,FALSE),"")</f>
        <v/>
      </c>
      <c r="K903" s="95">
        <f>IFERROR(VLOOKUP(J903,'11. Cadastro de Serviços'!$A$6:$E$200,2,FALSE),"")</f>
        <v/>
      </c>
      <c r="L903" s="95">
        <f>IFERROR(VLOOKUP(J903,'11. Cadastro de Serviços'!$A$6:$E$200,3,FALSE),"")</f>
        <v/>
      </c>
      <c r="M903" s="95">
        <f>IFERROR(VLOOKUP(J903,'11. Cadastro de Serviços'!$A$6:$E$200,4,FALSE),"")</f>
        <v/>
      </c>
      <c r="N903" s="95" t="n"/>
      <c r="O903" s="95">
        <f>IF(AND(G903&lt;&gt;"",I903&lt;&gt;"",J903&lt;&gt;"",M903&lt;&gt;""),"Rastreado","Revisar")</f>
        <v/>
      </c>
      <c r="P903" s="96" t="n"/>
    </row>
    <row r="904">
      <c r="A904" s="95" t="n"/>
      <c r="B904" s="96" t="n"/>
      <c r="C904" s="96" t="n"/>
      <c r="D904" s="95" t="n"/>
      <c r="E904" s="96" t="n"/>
      <c r="F904" s="96" t="n"/>
      <c r="G904" s="95">
        <f>IFERROR(VLOOKUP(F904,'12. Contratos_OS'!$A$6:$L$1000,2,FALSE),"")</f>
        <v/>
      </c>
      <c r="H904" s="95">
        <f>IFERROR(VLOOKUP(F904,'12. Contratos_OS'!$A$6:$L$1000,3,FALSE),"")</f>
        <v/>
      </c>
      <c r="I904" s="95">
        <f>IFERROR(VLOOKUP(F904,'12. Contratos_OS'!$A$6:$L$1000,4,FALSE),"")</f>
        <v/>
      </c>
      <c r="J904" s="95">
        <f>IFERROR(VLOOKUP(F904,'12. Contratos_OS'!$A$6:$L$1000,7,FALSE),"")</f>
        <v/>
      </c>
      <c r="K904" s="95">
        <f>IFERROR(VLOOKUP(J904,'11. Cadastro de Serviços'!$A$6:$E$200,2,FALSE),"")</f>
        <v/>
      </c>
      <c r="L904" s="95">
        <f>IFERROR(VLOOKUP(J904,'11. Cadastro de Serviços'!$A$6:$E$200,3,FALSE),"")</f>
        <v/>
      </c>
      <c r="M904" s="95">
        <f>IFERROR(VLOOKUP(J904,'11. Cadastro de Serviços'!$A$6:$E$200,4,FALSE),"")</f>
        <v/>
      </c>
      <c r="N904" s="95" t="n"/>
      <c r="O904" s="95">
        <f>IF(AND(G904&lt;&gt;"",I904&lt;&gt;"",J904&lt;&gt;"",M904&lt;&gt;""),"Rastreado","Revisar")</f>
        <v/>
      </c>
      <c r="P904" s="96" t="n"/>
    </row>
    <row r="905">
      <c r="A905" s="95" t="n"/>
      <c r="B905" s="96" t="n"/>
      <c r="C905" s="96" t="n"/>
      <c r="D905" s="95" t="n"/>
      <c r="E905" s="96" t="n"/>
      <c r="F905" s="96" t="n"/>
      <c r="G905" s="95">
        <f>IFERROR(VLOOKUP(F905,'12. Contratos_OS'!$A$6:$L$1000,2,FALSE),"")</f>
        <v/>
      </c>
      <c r="H905" s="95">
        <f>IFERROR(VLOOKUP(F905,'12. Contratos_OS'!$A$6:$L$1000,3,FALSE),"")</f>
        <v/>
      </c>
      <c r="I905" s="95">
        <f>IFERROR(VLOOKUP(F905,'12. Contratos_OS'!$A$6:$L$1000,4,FALSE),"")</f>
        <v/>
      </c>
      <c r="J905" s="95">
        <f>IFERROR(VLOOKUP(F905,'12. Contratos_OS'!$A$6:$L$1000,7,FALSE),"")</f>
        <v/>
      </c>
      <c r="K905" s="95">
        <f>IFERROR(VLOOKUP(J905,'11. Cadastro de Serviços'!$A$6:$E$200,2,FALSE),"")</f>
        <v/>
      </c>
      <c r="L905" s="95">
        <f>IFERROR(VLOOKUP(J905,'11. Cadastro de Serviços'!$A$6:$E$200,3,FALSE),"")</f>
        <v/>
      </c>
      <c r="M905" s="95">
        <f>IFERROR(VLOOKUP(J905,'11. Cadastro de Serviços'!$A$6:$E$200,4,FALSE),"")</f>
        <v/>
      </c>
      <c r="N905" s="95" t="n"/>
      <c r="O905" s="95">
        <f>IF(AND(G905&lt;&gt;"",I905&lt;&gt;"",J905&lt;&gt;"",M905&lt;&gt;""),"Rastreado","Revisar")</f>
        <v/>
      </c>
      <c r="P905" s="96" t="n"/>
    </row>
    <row r="906">
      <c r="A906" s="95" t="n"/>
      <c r="B906" s="96" t="n"/>
      <c r="C906" s="96" t="n"/>
      <c r="D906" s="95" t="n"/>
      <c r="E906" s="96" t="n"/>
      <c r="F906" s="96" t="n"/>
      <c r="G906" s="95">
        <f>IFERROR(VLOOKUP(F906,'12. Contratos_OS'!$A$6:$L$1000,2,FALSE),"")</f>
        <v/>
      </c>
      <c r="H906" s="95">
        <f>IFERROR(VLOOKUP(F906,'12. Contratos_OS'!$A$6:$L$1000,3,FALSE),"")</f>
        <v/>
      </c>
      <c r="I906" s="95">
        <f>IFERROR(VLOOKUP(F906,'12. Contratos_OS'!$A$6:$L$1000,4,FALSE),"")</f>
        <v/>
      </c>
      <c r="J906" s="95">
        <f>IFERROR(VLOOKUP(F906,'12. Contratos_OS'!$A$6:$L$1000,7,FALSE),"")</f>
        <v/>
      </c>
      <c r="K906" s="95">
        <f>IFERROR(VLOOKUP(J906,'11. Cadastro de Serviços'!$A$6:$E$200,2,FALSE),"")</f>
        <v/>
      </c>
      <c r="L906" s="95">
        <f>IFERROR(VLOOKUP(J906,'11. Cadastro de Serviços'!$A$6:$E$200,3,FALSE),"")</f>
        <v/>
      </c>
      <c r="M906" s="95">
        <f>IFERROR(VLOOKUP(J906,'11. Cadastro de Serviços'!$A$6:$E$200,4,FALSE),"")</f>
        <v/>
      </c>
      <c r="N906" s="95" t="n"/>
      <c r="O906" s="95">
        <f>IF(AND(G906&lt;&gt;"",I906&lt;&gt;"",J906&lt;&gt;"",M906&lt;&gt;""),"Rastreado","Revisar")</f>
        <v/>
      </c>
      <c r="P906" s="96" t="n"/>
    </row>
    <row r="907">
      <c r="A907" s="95" t="n"/>
      <c r="B907" s="96" t="n"/>
      <c r="C907" s="96" t="n"/>
      <c r="D907" s="95" t="n"/>
      <c r="E907" s="96" t="n"/>
      <c r="F907" s="96" t="n"/>
      <c r="G907" s="95">
        <f>IFERROR(VLOOKUP(F907,'12. Contratos_OS'!$A$6:$L$1000,2,FALSE),"")</f>
        <v/>
      </c>
      <c r="H907" s="95">
        <f>IFERROR(VLOOKUP(F907,'12. Contratos_OS'!$A$6:$L$1000,3,FALSE),"")</f>
        <v/>
      </c>
      <c r="I907" s="95">
        <f>IFERROR(VLOOKUP(F907,'12. Contratos_OS'!$A$6:$L$1000,4,FALSE),"")</f>
        <v/>
      </c>
      <c r="J907" s="95">
        <f>IFERROR(VLOOKUP(F907,'12. Contratos_OS'!$A$6:$L$1000,7,FALSE),"")</f>
        <v/>
      </c>
      <c r="K907" s="95">
        <f>IFERROR(VLOOKUP(J907,'11. Cadastro de Serviços'!$A$6:$E$200,2,FALSE),"")</f>
        <v/>
      </c>
      <c r="L907" s="95">
        <f>IFERROR(VLOOKUP(J907,'11. Cadastro de Serviços'!$A$6:$E$200,3,FALSE),"")</f>
        <v/>
      </c>
      <c r="M907" s="95">
        <f>IFERROR(VLOOKUP(J907,'11. Cadastro de Serviços'!$A$6:$E$200,4,FALSE),"")</f>
        <v/>
      </c>
      <c r="N907" s="95" t="n"/>
      <c r="O907" s="95">
        <f>IF(AND(G907&lt;&gt;"",I907&lt;&gt;"",J907&lt;&gt;"",M907&lt;&gt;""),"Rastreado","Revisar")</f>
        <v/>
      </c>
      <c r="P907" s="96" t="n"/>
    </row>
    <row r="908">
      <c r="A908" s="95" t="n"/>
      <c r="B908" s="96" t="n"/>
      <c r="C908" s="96" t="n"/>
      <c r="D908" s="95" t="n"/>
      <c r="E908" s="96" t="n"/>
      <c r="F908" s="96" t="n"/>
      <c r="G908" s="95">
        <f>IFERROR(VLOOKUP(F908,'12. Contratos_OS'!$A$6:$L$1000,2,FALSE),"")</f>
        <v/>
      </c>
      <c r="H908" s="95">
        <f>IFERROR(VLOOKUP(F908,'12. Contratos_OS'!$A$6:$L$1000,3,FALSE),"")</f>
        <v/>
      </c>
      <c r="I908" s="95">
        <f>IFERROR(VLOOKUP(F908,'12. Contratos_OS'!$A$6:$L$1000,4,FALSE),"")</f>
        <v/>
      </c>
      <c r="J908" s="95">
        <f>IFERROR(VLOOKUP(F908,'12. Contratos_OS'!$A$6:$L$1000,7,FALSE),"")</f>
        <v/>
      </c>
      <c r="K908" s="95">
        <f>IFERROR(VLOOKUP(J908,'11. Cadastro de Serviços'!$A$6:$E$200,2,FALSE),"")</f>
        <v/>
      </c>
      <c r="L908" s="95">
        <f>IFERROR(VLOOKUP(J908,'11. Cadastro de Serviços'!$A$6:$E$200,3,FALSE),"")</f>
        <v/>
      </c>
      <c r="M908" s="95">
        <f>IFERROR(VLOOKUP(J908,'11. Cadastro de Serviços'!$A$6:$E$200,4,FALSE),"")</f>
        <v/>
      </c>
      <c r="N908" s="95" t="n"/>
      <c r="O908" s="95">
        <f>IF(AND(G908&lt;&gt;"",I908&lt;&gt;"",J908&lt;&gt;"",M908&lt;&gt;""),"Rastreado","Revisar")</f>
        <v/>
      </c>
      <c r="P908" s="96" t="n"/>
    </row>
    <row r="909">
      <c r="A909" s="95" t="n"/>
      <c r="B909" s="96" t="n"/>
      <c r="C909" s="96" t="n"/>
      <c r="D909" s="95" t="n"/>
      <c r="E909" s="96" t="n"/>
      <c r="F909" s="96" t="n"/>
      <c r="G909" s="95">
        <f>IFERROR(VLOOKUP(F909,'12. Contratos_OS'!$A$6:$L$1000,2,FALSE),"")</f>
        <v/>
      </c>
      <c r="H909" s="95">
        <f>IFERROR(VLOOKUP(F909,'12. Contratos_OS'!$A$6:$L$1000,3,FALSE),"")</f>
        <v/>
      </c>
      <c r="I909" s="95">
        <f>IFERROR(VLOOKUP(F909,'12. Contratos_OS'!$A$6:$L$1000,4,FALSE),"")</f>
        <v/>
      </c>
      <c r="J909" s="95">
        <f>IFERROR(VLOOKUP(F909,'12. Contratos_OS'!$A$6:$L$1000,7,FALSE),"")</f>
        <v/>
      </c>
      <c r="K909" s="95">
        <f>IFERROR(VLOOKUP(J909,'11. Cadastro de Serviços'!$A$6:$E$200,2,FALSE),"")</f>
        <v/>
      </c>
      <c r="L909" s="95">
        <f>IFERROR(VLOOKUP(J909,'11. Cadastro de Serviços'!$A$6:$E$200,3,FALSE),"")</f>
        <v/>
      </c>
      <c r="M909" s="95">
        <f>IFERROR(VLOOKUP(J909,'11. Cadastro de Serviços'!$A$6:$E$200,4,FALSE),"")</f>
        <v/>
      </c>
      <c r="N909" s="95" t="n"/>
      <c r="O909" s="95">
        <f>IF(AND(G909&lt;&gt;"",I909&lt;&gt;"",J909&lt;&gt;"",M909&lt;&gt;""),"Rastreado","Revisar")</f>
        <v/>
      </c>
      <c r="P909" s="96" t="n"/>
    </row>
    <row r="910">
      <c r="A910" s="95" t="n"/>
      <c r="B910" s="96" t="n"/>
      <c r="C910" s="96" t="n"/>
      <c r="D910" s="95" t="n"/>
      <c r="E910" s="96" t="n"/>
      <c r="F910" s="96" t="n"/>
      <c r="G910" s="95">
        <f>IFERROR(VLOOKUP(F910,'12. Contratos_OS'!$A$6:$L$1000,2,FALSE),"")</f>
        <v/>
      </c>
      <c r="H910" s="95">
        <f>IFERROR(VLOOKUP(F910,'12. Contratos_OS'!$A$6:$L$1000,3,FALSE),"")</f>
        <v/>
      </c>
      <c r="I910" s="95">
        <f>IFERROR(VLOOKUP(F910,'12. Contratos_OS'!$A$6:$L$1000,4,FALSE),"")</f>
        <v/>
      </c>
      <c r="J910" s="95">
        <f>IFERROR(VLOOKUP(F910,'12. Contratos_OS'!$A$6:$L$1000,7,FALSE),"")</f>
        <v/>
      </c>
      <c r="K910" s="95">
        <f>IFERROR(VLOOKUP(J910,'11. Cadastro de Serviços'!$A$6:$E$200,2,FALSE),"")</f>
        <v/>
      </c>
      <c r="L910" s="95">
        <f>IFERROR(VLOOKUP(J910,'11. Cadastro de Serviços'!$A$6:$E$200,3,FALSE),"")</f>
        <v/>
      </c>
      <c r="M910" s="95">
        <f>IFERROR(VLOOKUP(J910,'11. Cadastro de Serviços'!$A$6:$E$200,4,FALSE),"")</f>
        <v/>
      </c>
      <c r="N910" s="95" t="n"/>
      <c r="O910" s="95">
        <f>IF(AND(G910&lt;&gt;"",I910&lt;&gt;"",J910&lt;&gt;"",M910&lt;&gt;""),"Rastreado","Revisar")</f>
        <v/>
      </c>
      <c r="P910" s="96" t="n"/>
    </row>
    <row r="911">
      <c r="A911" s="95" t="n"/>
      <c r="B911" s="96" t="n"/>
      <c r="C911" s="96" t="n"/>
      <c r="D911" s="95" t="n"/>
      <c r="E911" s="96" t="n"/>
      <c r="F911" s="96" t="n"/>
      <c r="G911" s="95">
        <f>IFERROR(VLOOKUP(F911,'12. Contratos_OS'!$A$6:$L$1000,2,FALSE),"")</f>
        <v/>
      </c>
      <c r="H911" s="95">
        <f>IFERROR(VLOOKUP(F911,'12. Contratos_OS'!$A$6:$L$1000,3,FALSE),"")</f>
        <v/>
      </c>
      <c r="I911" s="95">
        <f>IFERROR(VLOOKUP(F911,'12. Contratos_OS'!$A$6:$L$1000,4,FALSE),"")</f>
        <v/>
      </c>
      <c r="J911" s="95">
        <f>IFERROR(VLOOKUP(F911,'12. Contratos_OS'!$A$6:$L$1000,7,FALSE),"")</f>
        <v/>
      </c>
      <c r="K911" s="95">
        <f>IFERROR(VLOOKUP(J911,'11. Cadastro de Serviços'!$A$6:$E$200,2,FALSE),"")</f>
        <v/>
      </c>
      <c r="L911" s="95">
        <f>IFERROR(VLOOKUP(J911,'11. Cadastro de Serviços'!$A$6:$E$200,3,FALSE),"")</f>
        <v/>
      </c>
      <c r="M911" s="95">
        <f>IFERROR(VLOOKUP(J911,'11. Cadastro de Serviços'!$A$6:$E$200,4,FALSE),"")</f>
        <v/>
      </c>
      <c r="N911" s="95" t="n"/>
      <c r="O911" s="95">
        <f>IF(AND(G911&lt;&gt;"",I911&lt;&gt;"",J911&lt;&gt;"",M911&lt;&gt;""),"Rastreado","Revisar")</f>
        <v/>
      </c>
      <c r="P911" s="96" t="n"/>
    </row>
    <row r="912">
      <c r="A912" s="95" t="n"/>
      <c r="B912" s="96" t="n"/>
      <c r="C912" s="96" t="n"/>
      <c r="D912" s="95" t="n"/>
      <c r="E912" s="96" t="n"/>
      <c r="F912" s="96" t="n"/>
      <c r="G912" s="95">
        <f>IFERROR(VLOOKUP(F912,'12. Contratos_OS'!$A$6:$L$1000,2,FALSE),"")</f>
        <v/>
      </c>
      <c r="H912" s="95">
        <f>IFERROR(VLOOKUP(F912,'12. Contratos_OS'!$A$6:$L$1000,3,FALSE),"")</f>
        <v/>
      </c>
      <c r="I912" s="95">
        <f>IFERROR(VLOOKUP(F912,'12. Contratos_OS'!$A$6:$L$1000,4,FALSE),"")</f>
        <v/>
      </c>
      <c r="J912" s="95">
        <f>IFERROR(VLOOKUP(F912,'12. Contratos_OS'!$A$6:$L$1000,7,FALSE),"")</f>
        <v/>
      </c>
      <c r="K912" s="95">
        <f>IFERROR(VLOOKUP(J912,'11. Cadastro de Serviços'!$A$6:$E$200,2,FALSE),"")</f>
        <v/>
      </c>
      <c r="L912" s="95">
        <f>IFERROR(VLOOKUP(J912,'11. Cadastro de Serviços'!$A$6:$E$200,3,FALSE),"")</f>
        <v/>
      </c>
      <c r="M912" s="95">
        <f>IFERROR(VLOOKUP(J912,'11. Cadastro de Serviços'!$A$6:$E$200,4,FALSE),"")</f>
        <v/>
      </c>
      <c r="N912" s="95" t="n"/>
      <c r="O912" s="95">
        <f>IF(AND(G912&lt;&gt;"",I912&lt;&gt;"",J912&lt;&gt;"",M912&lt;&gt;""),"Rastreado","Revisar")</f>
        <v/>
      </c>
      <c r="P912" s="96" t="n"/>
    </row>
    <row r="913">
      <c r="A913" s="95" t="n"/>
      <c r="B913" s="96" t="n"/>
      <c r="C913" s="96" t="n"/>
      <c r="D913" s="95" t="n"/>
      <c r="E913" s="96" t="n"/>
      <c r="F913" s="96" t="n"/>
      <c r="G913" s="95">
        <f>IFERROR(VLOOKUP(F913,'12. Contratos_OS'!$A$6:$L$1000,2,FALSE),"")</f>
        <v/>
      </c>
      <c r="H913" s="95">
        <f>IFERROR(VLOOKUP(F913,'12. Contratos_OS'!$A$6:$L$1000,3,FALSE),"")</f>
        <v/>
      </c>
      <c r="I913" s="95">
        <f>IFERROR(VLOOKUP(F913,'12. Contratos_OS'!$A$6:$L$1000,4,FALSE),"")</f>
        <v/>
      </c>
      <c r="J913" s="95">
        <f>IFERROR(VLOOKUP(F913,'12. Contratos_OS'!$A$6:$L$1000,7,FALSE),"")</f>
        <v/>
      </c>
      <c r="K913" s="95">
        <f>IFERROR(VLOOKUP(J913,'11. Cadastro de Serviços'!$A$6:$E$200,2,FALSE),"")</f>
        <v/>
      </c>
      <c r="L913" s="95">
        <f>IFERROR(VLOOKUP(J913,'11. Cadastro de Serviços'!$A$6:$E$200,3,FALSE),"")</f>
        <v/>
      </c>
      <c r="M913" s="95">
        <f>IFERROR(VLOOKUP(J913,'11. Cadastro de Serviços'!$A$6:$E$200,4,FALSE),"")</f>
        <v/>
      </c>
      <c r="N913" s="95" t="n"/>
      <c r="O913" s="95">
        <f>IF(AND(G913&lt;&gt;"",I913&lt;&gt;"",J913&lt;&gt;"",M913&lt;&gt;""),"Rastreado","Revisar")</f>
        <v/>
      </c>
      <c r="P913" s="96" t="n"/>
    </row>
    <row r="914">
      <c r="A914" s="95" t="n"/>
      <c r="B914" s="96" t="n"/>
      <c r="C914" s="96" t="n"/>
      <c r="D914" s="95" t="n"/>
      <c r="E914" s="96" t="n"/>
      <c r="F914" s="96" t="n"/>
      <c r="G914" s="95">
        <f>IFERROR(VLOOKUP(F914,'12. Contratos_OS'!$A$6:$L$1000,2,FALSE),"")</f>
        <v/>
      </c>
      <c r="H914" s="95">
        <f>IFERROR(VLOOKUP(F914,'12. Contratos_OS'!$A$6:$L$1000,3,FALSE),"")</f>
        <v/>
      </c>
      <c r="I914" s="95">
        <f>IFERROR(VLOOKUP(F914,'12. Contratos_OS'!$A$6:$L$1000,4,FALSE),"")</f>
        <v/>
      </c>
      <c r="J914" s="95">
        <f>IFERROR(VLOOKUP(F914,'12. Contratos_OS'!$A$6:$L$1000,7,FALSE),"")</f>
        <v/>
      </c>
      <c r="K914" s="95">
        <f>IFERROR(VLOOKUP(J914,'11. Cadastro de Serviços'!$A$6:$E$200,2,FALSE),"")</f>
        <v/>
      </c>
      <c r="L914" s="95">
        <f>IFERROR(VLOOKUP(J914,'11. Cadastro de Serviços'!$A$6:$E$200,3,FALSE),"")</f>
        <v/>
      </c>
      <c r="M914" s="95">
        <f>IFERROR(VLOOKUP(J914,'11. Cadastro de Serviços'!$A$6:$E$200,4,FALSE),"")</f>
        <v/>
      </c>
      <c r="N914" s="95" t="n"/>
      <c r="O914" s="95">
        <f>IF(AND(G914&lt;&gt;"",I914&lt;&gt;"",J914&lt;&gt;"",M914&lt;&gt;""),"Rastreado","Revisar")</f>
        <v/>
      </c>
      <c r="P914" s="96" t="n"/>
    </row>
    <row r="915">
      <c r="A915" s="95" t="n"/>
      <c r="B915" s="96" t="n"/>
      <c r="C915" s="96" t="n"/>
      <c r="D915" s="95" t="n"/>
      <c r="E915" s="96" t="n"/>
      <c r="F915" s="96" t="n"/>
      <c r="G915" s="95">
        <f>IFERROR(VLOOKUP(F915,'12. Contratos_OS'!$A$6:$L$1000,2,FALSE),"")</f>
        <v/>
      </c>
      <c r="H915" s="95">
        <f>IFERROR(VLOOKUP(F915,'12. Contratos_OS'!$A$6:$L$1000,3,FALSE),"")</f>
        <v/>
      </c>
      <c r="I915" s="95">
        <f>IFERROR(VLOOKUP(F915,'12. Contratos_OS'!$A$6:$L$1000,4,FALSE),"")</f>
        <v/>
      </c>
      <c r="J915" s="95">
        <f>IFERROR(VLOOKUP(F915,'12. Contratos_OS'!$A$6:$L$1000,7,FALSE),"")</f>
        <v/>
      </c>
      <c r="K915" s="95">
        <f>IFERROR(VLOOKUP(J915,'11. Cadastro de Serviços'!$A$6:$E$200,2,FALSE),"")</f>
        <v/>
      </c>
      <c r="L915" s="95">
        <f>IFERROR(VLOOKUP(J915,'11. Cadastro de Serviços'!$A$6:$E$200,3,FALSE),"")</f>
        <v/>
      </c>
      <c r="M915" s="95">
        <f>IFERROR(VLOOKUP(J915,'11. Cadastro de Serviços'!$A$6:$E$200,4,FALSE),"")</f>
        <v/>
      </c>
      <c r="N915" s="95" t="n"/>
      <c r="O915" s="95">
        <f>IF(AND(G915&lt;&gt;"",I915&lt;&gt;"",J915&lt;&gt;"",M915&lt;&gt;""),"Rastreado","Revisar")</f>
        <v/>
      </c>
      <c r="P915" s="96" t="n"/>
    </row>
    <row r="916">
      <c r="A916" s="95" t="n"/>
      <c r="B916" s="96" t="n"/>
      <c r="C916" s="96" t="n"/>
      <c r="D916" s="95" t="n"/>
      <c r="E916" s="96" t="n"/>
      <c r="F916" s="96" t="n"/>
      <c r="G916" s="95">
        <f>IFERROR(VLOOKUP(F916,'12. Contratos_OS'!$A$6:$L$1000,2,FALSE),"")</f>
        <v/>
      </c>
      <c r="H916" s="95">
        <f>IFERROR(VLOOKUP(F916,'12. Contratos_OS'!$A$6:$L$1000,3,FALSE),"")</f>
        <v/>
      </c>
      <c r="I916" s="95">
        <f>IFERROR(VLOOKUP(F916,'12. Contratos_OS'!$A$6:$L$1000,4,FALSE),"")</f>
        <v/>
      </c>
      <c r="J916" s="95">
        <f>IFERROR(VLOOKUP(F916,'12. Contratos_OS'!$A$6:$L$1000,7,FALSE),"")</f>
        <v/>
      </c>
      <c r="K916" s="95">
        <f>IFERROR(VLOOKUP(J916,'11. Cadastro de Serviços'!$A$6:$E$200,2,FALSE),"")</f>
        <v/>
      </c>
      <c r="L916" s="95">
        <f>IFERROR(VLOOKUP(J916,'11. Cadastro de Serviços'!$A$6:$E$200,3,FALSE),"")</f>
        <v/>
      </c>
      <c r="M916" s="95">
        <f>IFERROR(VLOOKUP(J916,'11. Cadastro de Serviços'!$A$6:$E$200,4,FALSE),"")</f>
        <v/>
      </c>
      <c r="N916" s="95" t="n"/>
      <c r="O916" s="95">
        <f>IF(AND(G916&lt;&gt;"",I916&lt;&gt;"",J916&lt;&gt;"",M916&lt;&gt;""),"Rastreado","Revisar")</f>
        <v/>
      </c>
      <c r="P916" s="96" t="n"/>
    </row>
    <row r="917">
      <c r="A917" s="95" t="n"/>
      <c r="B917" s="96" t="n"/>
      <c r="C917" s="96" t="n"/>
      <c r="D917" s="95" t="n"/>
      <c r="E917" s="96" t="n"/>
      <c r="F917" s="96" t="n"/>
      <c r="G917" s="95">
        <f>IFERROR(VLOOKUP(F917,'12. Contratos_OS'!$A$6:$L$1000,2,FALSE),"")</f>
        <v/>
      </c>
      <c r="H917" s="95">
        <f>IFERROR(VLOOKUP(F917,'12. Contratos_OS'!$A$6:$L$1000,3,FALSE),"")</f>
        <v/>
      </c>
      <c r="I917" s="95">
        <f>IFERROR(VLOOKUP(F917,'12. Contratos_OS'!$A$6:$L$1000,4,FALSE),"")</f>
        <v/>
      </c>
      <c r="J917" s="95">
        <f>IFERROR(VLOOKUP(F917,'12. Contratos_OS'!$A$6:$L$1000,7,FALSE),"")</f>
        <v/>
      </c>
      <c r="K917" s="95">
        <f>IFERROR(VLOOKUP(J917,'11. Cadastro de Serviços'!$A$6:$E$200,2,FALSE),"")</f>
        <v/>
      </c>
      <c r="L917" s="95">
        <f>IFERROR(VLOOKUP(J917,'11. Cadastro de Serviços'!$A$6:$E$200,3,FALSE),"")</f>
        <v/>
      </c>
      <c r="M917" s="95">
        <f>IFERROR(VLOOKUP(J917,'11. Cadastro de Serviços'!$A$6:$E$200,4,FALSE),"")</f>
        <v/>
      </c>
      <c r="N917" s="95" t="n"/>
      <c r="O917" s="95">
        <f>IF(AND(G917&lt;&gt;"",I917&lt;&gt;"",J917&lt;&gt;"",M917&lt;&gt;""),"Rastreado","Revisar")</f>
        <v/>
      </c>
      <c r="P917" s="96" t="n"/>
    </row>
    <row r="918">
      <c r="A918" s="95" t="n"/>
      <c r="B918" s="96" t="n"/>
      <c r="C918" s="96" t="n"/>
      <c r="D918" s="95" t="n"/>
      <c r="E918" s="96" t="n"/>
      <c r="F918" s="96" t="n"/>
      <c r="G918" s="95">
        <f>IFERROR(VLOOKUP(F918,'12. Contratos_OS'!$A$6:$L$1000,2,FALSE),"")</f>
        <v/>
      </c>
      <c r="H918" s="95">
        <f>IFERROR(VLOOKUP(F918,'12. Contratos_OS'!$A$6:$L$1000,3,FALSE),"")</f>
        <v/>
      </c>
      <c r="I918" s="95">
        <f>IFERROR(VLOOKUP(F918,'12. Contratos_OS'!$A$6:$L$1000,4,FALSE),"")</f>
        <v/>
      </c>
      <c r="J918" s="95">
        <f>IFERROR(VLOOKUP(F918,'12. Contratos_OS'!$A$6:$L$1000,7,FALSE),"")</f>
        <v/>
      </c>
      <c r="K918" s="95">
        <f>IFERROR(VLOOKUP(J918,'11. Cadastro de Serviços'!$A$6:$E$200,2,FALSE),"")</f>
        <v/>
      </c>
      <c r="L918" s="95">
        <f>IFERROR(VLOOKUP(J918,'11. Cadastro de Serviços'!$A$6:$E$200,3,FALSE),"")</f>
        <v/>
      </c>
      <c r="M918" s="95">
        <f>IFERROR(VLOOKUP(J918,'11. Cadastro de Serviços'!$A$6:$E$200,4,FALSE),"")</f>
        <v/>
      </c>
      <c r="N918" s="95" t="n"/>
      <c r="O918" s="95">
        <f>IF(AND(G918&lt;&gt;"",I918&lt;&gt;"",J918&lt;&gt;"",M918&lt;&gt;""),"Rastreado","Revisar")</f>
        <v/>
      </c>
      <c r="P918" s="96" t="n"/>
    </row>
    <row r="919">
      <c r="A919" s="95" t="n"/>
      <c r="B919" s="96" t="n"/>
      <c r="C919" s="96" t="n"/>
      <c r="D919" s="95" t="n"/>
      <c r="E919" s="96" t="n"/>
      <c r="F919" s="96" t="n"/>
      <c r="G919" s="95">
        <f>IFERROR(VLOOKUP(F919,'12. Contratos_OS'!$A$6:$L$1000,2,FALSE),"")</f>
        <v/>
      </c>
      <c r="H919" s="95">
        <f>IFERROR(VLOOKUP(F919,'12. Contratos_OS'!$A$6:$L$1000,3,FALSE),"")</f>
        <v/>
      </c>
      <c r="I919" s="95">
        <f>IFERROR(VLOOKUP(F919,'12. Contratos_OS'!$A$6:$L$1000,4,FALSE),"")</f>
        <v/>
      </c>
      <c r="J919" s="95">
        <f>IFERROR(VLOOKUP(F919,'12. Contratos_OS'!$A$6:$L$1000,7,FALSE),"")</f>
        <v/>
      </c>
      <c r="K919" s="95">
        <f>IFERROR(VLOOKUP(J919,'11. Cadastro de Serviços'!$A$6:$E$200,2,FALSE),"")</f>
        <v/>
      </c>
      <c r="L919" s="95">
        <f>IFERROR(VLOOKUP(J919,'11. Cadastro de Serviços'!$A$6:$E$200,3,FALSE),"")</f>
        <v/>
      </c>
      <c r="M919" s="95">
        <f>IFERROR(VLOOKUP(J919,'11. Cadastro de Serviços'!$A$6:$E$200,4,FALSE),"")</f>
        <v/>
      </c>
      <c r="N919" s="95" t="n"/>
      <c r="O919" s="95">
        <f>IF(AND(G919&lt;&gt;"",I919&lt;&gt;"",J919&lt;&gt;"",M919&lt;&gt;""),"Rastreado","Revisar")</f>
        <v/>
      </c>
      <c r="P919" s="96" t="n"/>
    </row>
    <row r="920">
      <c r="A920" s="95" t="n"/>
      <c r="B920" s="96" t="n"/>
      <c r="C920" s="96" t="n"/>
      <c r="D920" s="95" t="n"/>
      <c r="E920" s="96" t="n"/>
      <c r="F920" s="96" t="n"/>
      <c r="G920" s="95">
        <f>IFERROR(VLOOKUP(F920,'12. Contratos_OS'!$A$6:$L$1000,2,FALSE),"")</f>
        <v/>
      </c>
      <c r="H920" s="95">
        <f>IFERROR(VLOOKUP(F920,'12. Contratos_OS'!$A$6:$L$1000,3,FALSE),"")</f>
        <v/>
      </c>
      <c r="I920" s="95">
        <f>IFERROR(VLOOKUP(F920,'12. Contratos_OS'!$A$6:$L$1000,4,FALSE),"")</f>
        <v/>
      </c>
      <c r="J920" s="95">
        <f>IFERROR(VLOOKUP(F920,'12. Contratos_OS'!$A$6:$L$1000,7,FALSE),"")</f>
        <v/>
      </c>
      <c r="K920" s="95">
        <f>IFERROR(VLOOKUP(J920,'11. Cadastro de Serviços'!$A$6:$E$200,2,FALSE),"")</f>
        <v/>
      </c>
      <c r="L920" s="95">
        <f>IFERROR(VLOOKUP(J920,'11. Cadastro de Serviços'!$A$6:$E$200,3,FALSE),"")</f>
        <v/>
      </c>
      <c r="M920" s="95">
        <f>IFERROR(VLOOKUP(J920,'11. Cadastro de Serviços'!$A$6:$E$200,4,FALSE),"")</f>
        <v/>
      </c>
      <c r="N920" s="95" t="n"/>
      <c r="O920" s="95">
        <f>IF(AND(G920&lt;&gt;"",I920&lt;&gt;"",J920&lt;&gt;"",M920&lt;&gt;""),"Rastreado","Revisar")</f>
        <v/>
      </c>
      <c r="P920" s="96" t="n"/>
    </row>
    <row r="921">
      <c r="A921" s="95" t="n"/>
      <c r="B921" s="96" t="n"/>
      <c r="C921" s="96" t="n"/>
      <c r="D921" s="95" t="n"/>
      <c r="E921" s="96" t="n"/>
      <c r="F921" s="96" t="n"/>
      <c r="G921" s="95">
        <f>IFERROR(VLOOKUP(F921,'12. Contratos_OS'!$A$6:$L$1000,2,FALSE),"")</f>
        <v/>
      </c>
      <c r="H921" s="95">
        <f>IFERROR(VLOOKUP(F921,'12. Contratos_OS'!$A$6:$L$1000,3,FALSE),"")</f>
        <v/>
      </c>
      <c r="I921" s="95">
        <f>IFERROR(VLOOKUP(F921,'12. Contratos_OS'!$A$6:$L$1000,4,FALSE),"")</f>
        <v/>
      </c>
      <c r="J921" s="95">
        <f>IFERROR(VLOOKUP(F921,'12. Contratos_OS'!$A$6:$L$1000,7,FALSE),"")</f>
        <v/>
      </c>
      <c r="K921" s="95">
        <f>IFERROR(VLOOKUP(J921,'11. Cadastro de Serviços'!$A$6:$E$200,2,FALSE),"")</f>
        <v/>
      </c>
      <c r="L921" s="95">
        <f>IFERROR(VLOOKUP(J921,'11. Cadastro de Serviços'!$A$6:$E$200,3,FALSE),"")</f>
        <v/>
      </c>
      <c r="M921" s="95">
        <f>IFERROR(VLOOKUP(J921,'11. Cadastro de Serviços'!$A$6:$E$200,4,FALSE),"")</f>
        <v/>
      </c>
      <c r="N921" s="95" t="n"/>
      <c r="O921" s="95">
        <f>IF(AND(G921&lt;&gt;"",I921&lt;&gt;"",J921&lt;&gt;"",M921&lt;&gt;""),"Rastreado","Revisar")</f>
        <v/>
      </c>
      <c r="P921" s="96" t="n"/>
    </row>
    <row r="922">
      <c r="A922" s="95" t="n"/>
      <c r="B922" s="96" t="n"/>
      <c r="C922" s="96" t="n"/>
      <c r="D922" s="95" t="n"/>
      <c r="E922" s="96" t="n"/>
      <c r="F922" s="96" t="n"/>
      <c r="G922" s="95">
        <f>IFERROR(VLOOKUP(F922,'12. Contratos_OS'!$A$6:$L$1000,2,FALSE),"")</f>
        <v/>
      </c>
      <c r="H922" s="95">
        <f>IFERROR(VLOOKUP(F922,'12. Contratos_OS'!$A$6:$L$1000,3,FALSE),"")</f>
        <v/>
      </c>
      <c r="I922" s="95">
        <f>IFERROR(VLOOKUP(F922,'12. Contratos_OS'!$A$6:$L$1000,4,FALSE),"")</f>
        <v/>
      </c>
      <c r="J922" s="95">
        <f>IFERROR(VLOOKUP(F922,'12. Contratos_OS'!$A$6:$L$1000,7,FALSE),"")</f>
        <v/>
      </c>
      <c r="K922" s="95">
        <f>IFERROR(VLOOKUP(J922,'11. Cadastro de Serviços'!$A$6:$E$200,2,FALSE),"")</f>
        <v/>
      </c>
      <c r="L922" s="95">
        <f>IFERROR(VLOOKUP(J922,'11. Cadastro de Serviços'!$A$6:$E$200,3,FALSE),"")</f>
        <v/>
      </c>
      <c r="M922" s="95">
        <f>IFERROR(VLOOKUP(J922,'11. Cadastro de Serviços'!$A$6:$E$200,4,FALSE),"")</f>
        <v/>
      </c>
      <c r="N922" s="95" t="n"/>
      <c r="O922" s="95">
        <f>IF(AND(G922&lt;&gt;"",I922&lt;&gt;"",J922&lt;&gt;"",M922&lt;&gt;""),"Rastreado","Revisar")</f>
        <v/>
      </c>
      <c r="P922" s="96" t="n"/>
    </row>
    <row r="923">
      <c r="A923" s="95" t="n"/>
      <c r="B923" s="96" t="n"/>
      <c r="C923" s="96" t="n"/>
      <c r="D923" s="95" t="n"/>
      <c r="E923" s="96" t="n"/>
      <c r="F923" s="96" t="n"/>
      <c r="G923" s="95">
        <f>IFERROR(VLOOKUP(F923,'12. Contratos_OS'!$A$6:$L$1000,2,FALSE),"")</f>
        <v/>
      </c>
      <c r="H923" s="95">
        <f>IFERROR(VLOOKUP(F923,'12. Contratos_OS'!$A$6:$L$1000,3,FALSE),"")</f>
        <v/>
      </c>
      <c r="I923" s="95">
        <f>IFERROR(VLOOKUP(F923,'12. Contratos_OS'!$A$6:$L$1000,4,FALSE),"")</f>
        <v/>
      </c>
      <c r="J923" s="95">
        <f>IFERROR(VLOOKUP(F923,'12. Contratos_OS'!$A$6:$L$1000,7,FALSE),"")</f>
        <v/>
      </c>
      <c r="K923" s="95">
        <f>IFERROR(VLOOKUP(J923,'11. Cadastro de Serviços'!$A$6:$E$200,2,FALSE),"")</f>
        <v/>
      </c>
      <c r="L923" s="95">
        <f>IFERROR(VLOOKUP(J923,'11. Cadastro de Serviços'!$A$6:$E$200,3,FALSE),"")</f>
        <v/>
      </c>
      <c r="M923" s="95">
        <f>IFERROR(VLOOKUP(J923,'11. Cadastro de Serviços'!$A$6:$E$200,4,FALSE),"")</f>
        <v/>
      </c>
      <c r="N923" s="95" t="n"/>
      <c r="O923" s="95">
        <f>IF(AND(G923&lt;&gt;"",I923&lt;&gt;"",J923&lt;&gt;"",M923&lt;&gt;""),"Rastreado","Revisar")</f>
        <v/>
      </c>
      <c r="P923" s="96" t="n"/>
    </row>
    <row r="924">
      <c r="A924" s="95" t="n"/>
      <c r="B924" s="96" t="n"/>
      <c r="C924" s="96" t="n"/>
      <c r="D924" s="95" t="n"/>
      <c r="E924" s="96" t="n"/>
      <c r="F924" s="96" t="n"/>
      <c r="G924" s="95">
        <f>IFERROR(VLOOKUP(F924,'12. Contratos_OS'!$A$6:$L$1000,2,FALSE),"")</f>
        <v/>
      </c>
      <c r="H924" s="95">
        <f>IFERROR(VLOOKUP(F924,'12. Contratos_OS'!$A$6:$L$1000,3,FALSE),"")</f>
        <v/>
      </c>
      <c r="I924" s="95">
        <f>IFERROR(VLOOKUP(F924,'12. Contratos_OS'!$A$6:$L$1000,4,FALSE),"")</f>
        <v/>
      </c>
      <c r="J924" s="95">
        <f>IFERROR(VLOOKUP(F924,'12. Contratos_OS'!$A$6:$L$1000,7,FALSE),"")</f>
        <v/>
      </c>
      <c r="K924" s="95">
        <f>IFERROR(VLOOKUP(J924,'11. Cadastro de Serviços'!$A$6:$E$200,2,FALSE),"")</f>
        <v/>
      </c>
      <c r="L924" s="95">
        <f>IFERROR(VLOOKUP(J924,'11. Cadastro de Serviços'!$A$6:$E$200,3,FALSE),"")</f>
        <v/>
      </c>
      <c r="M924" s="95">
        <f>IFERROR(VLOOKUP(J924,'11. Cadastro de Serviços'!$A$6:$E$200,4,FALSE),"")</f>
        <v/>
      </c>
      <c r="N924" s="95" t="n"/>
      <c r="O924" s="95">
        <f>IF(AND(G924&lt;&gt;"",I924&lt;&gt;"",J924&lt;&gt;"",M924&lt;&gt;""),"Rastreado","Revisar")</f>
        <v/>
      </c>
      <c r="P924" s="96" t="n"/>
    </row>
    <row r="925">
      <c r="A925" s="95" t="n"/>
      <c r="B925" s="96" t="n"/>
      <c r="C925" s="96" t="n"/>
      <c r="D925" s="95" t="n"/>
      <c r="E925" s="96" t="n"/>
      <c r="F925" s="96" t="n"/>
      <c r="G925" s="95">
        <f>IFERROR(VLOOKUP(F925,'12. Contratos_OS'!$A$6:$L$1000,2,FALSE),"")</f>
        <v/>
      </c>
      <c r="H925" s="95">
        <f>IFERROR(VLOOKUP(F925,'12. Contratos_OS'!$A$6:$L$1000,3,FALSE),"")</f>
        <v/>
      </c>
      <c r="I925" s="95">
        <f>IFERROR(VLOOKUP(F925,'12. Contratos_OS'!$A$6:$L$1000,4,FALSE),"")</f>
        <v/>
      </c>
      <c r="J925" s="95">
        <f>IFERROR(VLOOKUP(F925,'12. Contratos_OS'!$A$6:$L$1000,7,FALSE),"")</f>
        <v/>
      </c>
      <c r="K925" s="95">
        <f>IFERROR(VLOOKUP(J925,'11. Cadastro de Serviços'!$A$6:$E$200,2,FALSE),"")</f>
        <v/>
      </c>
      <c r="L925" s="95">
        <f>IFERROR(VLOOKUP(J925,'11. Cadastro de Serviços'!$A$6:$E$200,3,FALSE),"")</f>
        <v/>
      </c>
      <c r="M925" s="95">
        <f>IFERROR(VLOOKUP(J925,'11. Cadastro de Serviços'!$A$6:$E$200,4,FALSE),"")</f>
        <v/>
      </c>
      <c r="N925" s="95" t="n"/>
      <c r="O925" s="95">
        <f>IF(AND(G925&lt;&gt;"",I925&lt;&gt;"",J925&lt;&gt;"",M925&lt;&gt;""),"Rastreado","Revisar")</f>
        <v/>
      </c>
      <c r="P925" s="96" t="n"/>
    </row>
    <row r="926">
      <c r="A926" s="95" t="n"/>
      <c r="B926" s="96" t="n"/>
      <c r="C926" s="96" t="n"/>
      <c r="D926" s="95" t="n"/>
      <c r="E926" s="96" t="n"/>
      <c r="F926" s="96" t="n"/>
      <c r="G926" s="95">
        <f>IFERROR(VLOOKUP(F926,'12. Contratos_OS'!$A$6:$L$1000,2,FALSE),"")</f>
        <v/>
      </c>
      <c r="H926" s="95">
        <f>IFERROR(VLOOKUP(F926,'12. Contratos_OS'!$A$6:$L$1000,3,FALSE),"")</f>
        <v/>
      </c>
      <c r="I926" s="95">
        <f>IFERROR(VLOOKUP(F926,'12. Contratos_OS'!$A$6:$L$1000,4,FALSE),"")</f>
        <v/>
      </c>
      <c r="J926" s="95">
        <f>IFERROR(VLOOKUP(F926,'12. Contratos_OS'!$A$6:$L$1000,7,FALSE),"")</f>
        <v/>
      </c>
      <c r="K926" s="95">
        <f>IFERROR(VLOOKUP(J926,'11. Cadastro de Serviços'!$A$6:$E$200,2,FALSE),"")</f>
        <v/>
      </c>
      <c r="L926" s="95">
        <f>IFERROR(VLOOKUP(J926,'11. Cadastro de Serviços'!$A$6:$E$200,3,FALSE),"")</f>
        <v/>
      </c>
      <c r="M926" s="95">
        <f>IFERROR(VLOOKUP(J926,'11. Cadastro de Serviços'!$A$6:$E$200,4,FALSE),"")</f>
        <v/>
      </c>
      <c r="N926" s="95" t="n"/>
      <c r="O926" s="95">
        <f>IF(AND(G926&lt;&gt;"",I926&lt;&gt;"",J926&lt;&gt;"",M926&lt;&gt;""),"Rastreado","Revisar")</f>
        <v/>
      </c>
      <c r="P926" s="96" t="n"/>
    </row>
    <row r="927">
      <c r="A927" s="95" t="n"/>
      <c r="B927" s="96" t="n"/>
      <c r="C927" s="96" t="n"/>
      <c r="D927" s="95" t="n"/>
      <c r="E927" s="96" t="n"/>
      <c r="F927" s="96" t="n"/>
      <c r="G927" s="95">
        <f>IFERROR(VLOOKUP(F927,'12. Contratos_OS'!$A$6:$L$1000,2,FALSE),"")</f>
        <v/>
      </c>
      <c r="H927" s="95">
        <f>IFERROR(VLOOKUP(F927,'12. Contratos_OS'!$A$6:$L$1000,3,FALSE),"")</f>
        <v/>
      </c>
      <c r="I927" s="95">
        <f>IFERROR(VLOOKUP(F927,'12. Contratos_OS'!$A$6:$L$1000,4,FALSE),"")</f>
        <v/>
      </c>
      <c r="J927" s="95">
        <f>IFERROR(VLOOKUP(F927,'12. Contratos_OS'!$A$6:$L$1000,7,FALSE),"")</f>
        <v/>
      </c>
      <c r="K927" s="95">
        <f>IFERROR(VLOOKUP(J927,'11. Cadastro de Serviços'!$A$6:$E$200,2,FALSE),"")</f>
        <v/>
      </c>
      <c r="L927" s="95">
        <f>IFERROR(VLOOKUP(J927,'11. Cadastro de Serviços'!$A$6:$E$200,3,FALSE),"")</f>
        <v/>
      </c>
      <c r="M927" s="95">
        <f>IFERROR(VLOOKUP(J927,'11. Cadastro de Serviços'!$A$6:$E$200,4,FALSE),"")</f>
        <v/>
      </c>
      <c r="N927" s="95" t="n"/>
      <c r="O927" s="95">
        <f>IF(AND(G927&lt;&gt;"",I927&lt;&gt;"",J927&lt;&gt;"",M927&lt;&gt;""),"Rastreado","Revisar")</f>
        <v/>
      </c>
      <c r="P927" s="96" t="n"/>
    </row>
    <row r="928">
      <c r="A928" s="95" t="n"/>
      <c r="B928" s="96" t="n"/>
      <c r="C928" s="96" t="n"/>
      <c r="D928" s="95" t="n"/>
      <c r="E928" s="96" t="n"/>
      <c r="F928" s="96" t="n"/>
      <c r="G928" s="95">
        <f>IFERROR(VLOOKUP(F928,'12. Contratos_OS'!$A$6:$L$1000,2,FALSE),"")</f>
        <v/>
      </c>
      <c r="H928" s="95">
        <f>IFERROR(VLOOKUP(F928,'12. Contratos_OS'!$A$6:$L$1000,3,FALSE),"")</f>
        <v/>
      </c>
      <c r="I928" s="95">
        <f>IFERROR(VLOOKUP(F928,'12. Contratos_OS'!$A$6:$L$1000,4,FALSE),"")</f>
        <v/>
      </c>
      <c r="J928" s="95">
        <f>IFERROR(VLOOKUP(F928,'12. Contratos_OS'!$A$6:$L$1000,7,FALSE),"")</f>
        <v/>
      </c>
      <c r="K928" s="95">
        <f>IFERROR(VLOOKUP(J928,'11. Cadastro de Serviços'!$A$6:$E$200,2,FALSE),"")</f>
        <v/>
      </c>
      <c r="L928" s="95">
        <f>IFERROR(VLOOKUP(J928,'11. Cadastro de Serviços'!$A$6:$E$200,3,FALSE),"")</f>
        <v/>
      </c>
      <c r="M928" s="95">
        <f>IFERROR(VLOOKUP(J928,'11. Cadastro de Serviços'!$A$6:$E$200,4,FALSE),"")</f>
        <v/>
      </c>
      <c r="N928" s="95" t="n"/>
      <c r="O928" s="95">
        <f>IF(AND(G928&lt;&gt;"",I928&lt;&gt;"",J928&lt;&gt;"",M928&lt;&gt;""),"Rastreado","Revisar")</f>
        <v/>
      </c>
      <c r="P928" s="96" t="n"/>
    </row>
    <row r="929">
      <c r="A929" s="95" t="n"/>
      <c r="B929" s="96" t="n"/>
      <c r="C929" s="96" t="n"/>
      <c r="D929" s="95" t="n"/>
      <c r="E929" s="96" t="n"/>
      <c r="F929" s="96" t="n"/>
      <c r="G929" s="95">
        <f>IFERROR(VLOOKUP(F929,'12. Contratos_OS'!$A$6:$L$1000,2,FALSE),"")</f>
        <v/>
      </c>
      <c r="H929" s="95">
        <f>IFERROR(VLOOKUP(F929,'12. Contratos_OS'!$A$6:$L$1000,3,FALSE),"")</f>
        <v/>
      </c>
      <c r="I929" s="95">
        <f>IFERROR(VLOOKUP(F929,'12. Contratos_OS'!$A$6:$L$1000,4,FALSE),"")</f>
        <v/>
      </c>
      <c r="J929" s="95">
        <f>IFERROR(VLOOKUP(F929,'12. Contratos_OS'!$A$6:$L$1000,7,FALSE),"")</f>
        <v/>
      </c>
      <c r="K929" s="95">
        <f>IFERROR(VLOOKUP(J929,'11. Cadastro de Serviços'!$A$6:$E$200,2,FALSE),"")</f>
        <v/>
      </c>
      <c r="L929" s="95">
        <f>IFERROR(VLOOKUP(J929,'11. Cadastro de Serviços'!$A$6:$E$200,3,FALSE),"")</f>
        <v/>
      </c>
      <c r="M929" s="95">
        <f>IFERROR(VLOOKUP(J929,'11. Cadastro de Serviços'!$A$6:$E$200,4,FALSE),"")</f>
        <v/>
      </c>
      <c r="N929" s="95" t="n"/>
      <c r="O929" s="95">
        <f>IF(AND(G929&lt;&gt;"",I929&lt;&gt;"",J929&lt;&gt;"",M929&lt;&gt;""),"Rastreado","Revisar")</f>
        <v/>
      </c>
      <c r="P929" s="96" t="n"/>
    </row>
    <row r="930">
      <c r="A930" s="95" t="n"/>
      <c r="B930" s="96" t="n"/>
      <c r="C930" s="96" t="n"/>
      <c r="D930" s="95" t="n"/>
      <c r="E930" s="96" t="n"/>
      <c r="F930" s="96" t="n"/>
      <c r="G930" s="95">
        <f>IFERROR(VLOOKUP(F930,'12. Contratos_OS'!$A$6:$L$1000,2,FALSE),"")</f>
        <v/>
      </c>
      <c r="H930" s="95">
        <f>IFERROR(VLOOKUP(F930,'12. Contratos_OS'!$A$6:$L$1000,3,FALSE),"")</f>
        <v/>
      </c>
      <c r="I930" s="95">
        <f>IFERROR(VLOOKUP(F930,'12. Contratos_OS'!$A$6:$L$1000,4,FALSE),"")</f>
        <v/>
      </c>
      <c r="J930" s="95">
        <f>IFERROR(VLOOKUP(F930,'12. Contratos_OS'!$A$6:$L$1000,7,FALSE),"")</f>
        <v/>
      </c>
      <c r="K930" s="95">
        <f>IFERROR(VLOOKUP(J930,'11. Cadastro de Serviços'!$A$6:$E$200,2,FALSE),"")</f>
        <v/>
      </c>
      <c r="L930" s="95">
        <f>IFERROR(VLOOKUP(J930,'11. Cadastro de Serviços'!$A$6:$E$200,3,FALSE),"")</f>
        <v/>
      </c>
      <c r="M930" s="95">
        <f>IFERROR(VLOOKUP(J930,'11. Cadastro de Serviços'!$A$6:$E$200,4,FALSE),"")</f>
        <v/>
      </c>
      <c r="N930" s="95" t="n"/>
      <c r="O930" s="95">
        <f>IF(AND(G930&lt;&gt;"",I930&lt;&gt;"",J930&lt;&gt;"",M930&lt;&gt;""),"Rastreado","Revisar")</f>
        <v/>
      </c>
      <c r="P930" s="96" t="n"/>
    </row>
    <row r="931">
      <c r="A931" s="95" t="n"/>
      <c r="B931" s="96" t="n"/>
      <c r="C931" s="96" t="n"/>
      <c r="D931" s="95" t="n"/>
      <c r="E931" s="96" t="n"/>
      <c r="F931" s="96" t="n"/>
      <c r="G931" s="95">
        <f>IFERROR(VLOOKUP(F931,'12. Contratos_OS'!$A$6:$L$1000,2,FALSE),"")</f>
        <v/>
      </c>
      <c r="H931" s="95">
        <f>IFERROR(VLOOKUP(F931,'12. Contratos_OS'!$A$6:$L$1000,3,FALSE),"")</f>
        <v/>
      </c>
      <c r="I931" s="95">
        <f>IFERROR(VLOOKUP(F931,'12. Contratos_OS'!$A$6:$L$1000,4,FALSE),"")</f>
        <v/>
      </c>
      <c r="J931" s="95">
        <f>IFERROR(VLOOKUP(F931,'12. Contratos_OS'!$A$6:$L$1000,7,FALSE),"")</f>
        <v/>
      </c>
      <c r="K931" s="95">
        <f>IFERROR(VLOOKUP(J931,'11. Cadastro de Serviços'!$A$6:$E$200,2,FALSE),"")</f>
        <v/>
      </c>
      <c r="L931" s="95">
        <f>IFERROR(VLOOKUP(J931,'11. Cadastro de Serviços'!$A$6:$E$200,3,FALSE),"")</f>
        <v/>
      </c>
      <c r="M931" s="95">
        <f>IFERROR(VLOOKUP(J931,'11. Cadastro de Serviços'!$A$6:$E$200,4,FALSE),"")</f>
        <v/>
      </c>
      <c r="N931" s="95" t="n"/>
      <c r="O931" s="95">
        <f>IF(AND(G931&lt;&gt;"",I931&lt;&gt;"",J931&lt;&gt;"",M931&lt;&gt;""),"Rastreado","Revisar")</f>
        <v/>
      </c>
      <c r="P931" s="96" t="n"/>
    </row>
    <row r="932">
      <c r="A932" s="95" t="n"/>
      <c r="B932" s="96" t="n"/>
      <c r="C932" s="96" t="n"/>
      <c r="D932" s="95" t="n"/>
      <c r="E932" s="96" t="n"/>
      <c r="F932" s="96" t="n"/>
      <c r="G932" s="95">
        <f>IFERROR(VLOOKUP(F932,'12. Contratos_OS'!$A$6:$L$1000,2,FALSE),"")</f>
        <v/>
      </c>
      <c r="H932" s="95">
        <f>IFERROR(VLOOKUP(F932,'12. Contratos_OS'!$A$6:$L$1000,3,FALSE),"")</f>
        <v/>
      </c>
      <c r="I932" s="95">
        <f>IFERROR(VLOOKUP(F932,'12. Contratos_OS'!$A$6:$L$1000,4,FALSE),"")</f>
        <v/>
      </c>
      <c r="J932" s="95">
        <f>IFERROR(VLOOKUP(F932,'12. Contratos_OS'!$A$6:$L$1000,7,FALSE),"")</f>
        <v/>
      </c>
      <c r="K932" s="95">
        <f>IFERROR(VLOOKUP(J932,'11. Cadastro de Serviços'!$A$6:$E$200,2,FALSE),"")</f>
        <v/>
      </c>
      <c r="L932" s="95">
        <f>IFERROR(VLOOKUP(J932,'11. Cadastro de Serviços'!$A$6:$E$200,3,FALSE),"")</f>
        <v/>
      </c>
      <c r="M932" s="95">
        <f>IFERROR(VLOOKUP(J932,'11. Cadastro de Serviços'!$A$6:$E$200,4,FALSE),"")</f>
        <v/>
      </c>
      <c r="N932" s="95" t="n"/>
      <c r="O932" s="95">
        <f>IF(AND(G932&lt;&gt;"",I932&lt;&gt;"",J932&lt;&gt;"",M932&lt;&gt;""),"Rastreado","Revisar")</f>
        <v/>
      </c>
      <c r="P932" s="96" t="n"/>
    </row>
    <row r="933">
      <c r="A933" s="95" t="n"/>
      <c r="B933" s="96" t="n"/>
      <c r="C933" s="96" t="n"/>
      <c r="D933" s="95" t="n"/>
      <c r="E933" s="96" t="n"/>
      <c r="F933" s="96" t="n"/>
      <c r="G933" s="95">
        <f>IFERROR(VLOOKUP(F933,'12. Contratos_OS'!$A$6:$L$1000,2,FALSE),"")</f>
        <v/>
      </c>
      <c r="H933" s="95">
        <f>IFERROR(VLOOKUP(F933,'12. Contratos_OS'!$A$6:$L$1000,3,FALSE),"")</f>
        <v/>
      </c>
      <c r="I933" s="95">
        <f>IFERROR(VLOOKUP(F933,'12. Contratos_OS'!$A$6:$L$1000,4,FALSE),"")</f>
        <v/>
      </c>
      <c r="J933" s="95">
        <f>IFERROR(VLOOKUP(F933,'12. Contratos_OS'!$A$6:$L$1000,7,FALSE),"")</f>
        <v/>
      </c>
      <c r="K933" s="95">
        <f>IFERROR(VLOOKUP(J933,'11. Cadastro de Serviços'!$A$6:$E$200,2,FALSE),"")</f>
        <v/>
      </c>
      <c r="L933" s="95">
        <f>IFERROR(VLOOKUP(J933,'11. Cadastro de Serviços'!$A$6:$E$200,3,FALSE),"")</f>
        <v/>
      </c>
      <c r="M933" s="95">
        <f>IFERROR(VLOOKUP(J933,'11. Cadastro de Serviços'!$A$6:$E$200,4,FALSE),"")</f>
        <v/>
      </c>
      <c r="N933" s="95" t="n"/>
      <c r="O933" s="95">
        <f>IF(AND(G933&lt;&gt;"",I933&lt;&gt;"",J933&lt;&gt;"",M933&lt;&gt;""),"Rastreado","Revisar")</f>
        <v/>
      </c>
      <c r="P933" s="96" t="n"/>
    </row>
    <row r="934">
      <c r="A934" s="95" t="n"/>
      <c r="B934" s="96" t="n"/>
      <c r="C934" s="96" t="n"/>
      <c r="D934" s="95" t="n"/>
      <c r="E934" s="96" t="n"/>
      <c r="F934" s="96" t="n"/>
      <c r="G934" s="95">
        <f>IFERROR(VLOOKUP(F934,'12. Contratos_OS'!$A$6:$L$1000,2,FALSE),"")</f>
        <v/>
      </c>
      <c r="H934" s="95">
        <f>IFERROR(VLOOKUP(F934,'12. Contratos_OS'!$A$6:$L$1000,3,FALSE),"")</f>
        <v/>
      </c>
      <c r="I934" s="95">
        <f>IFERROR(VLOOKUP(F934,'12. Contratos_OS'!$A$6:$L$1000,4,FALSE),"")</f>
        <v/>
      </c>
      <c r="J934" s="95">
        <f>IFERROR(VLOOKUP(F934,'12. Contratos_OS'!$A$6:$L$1000,7,FALSE),"")</f>
        <v/>
      </c>
      <c r="K934" s="95">
        <f>IFERROR(VLOOKUP(J934,'11. Cadastro de Serviços'!$A$6:$E$200,2,FALSE),"")</f>
        <v/>
      </c>
      <c r="L934" s="95">
        <f>IFERROR(VLOOKUP(J934,'11. Cadastro de Serviços'!$A$6:$E$200,3,FALSE),"")</f>
        <v/>
      </c>
      <c r="M934" s="95">
        <f>IFERROR(VLOOKUP(J934,'11. Cadastro de Serviços'!$A$6:$E$200,4,FALSE),"")</f>
        <v/>
      </c>
      <c r="N934" s="95" t="n"/>
      <c r="O934" s="95">
        <f>IF(AND(G934&lt;&gt;"",I934&lt;&gt;"",J934&lt;&gt;"",M934&lt;&gt;""),"Rastreado","Revisar")</f>
        <v/>
      </c>
      <c r="P934" s="96" t="n"/>
    </row>
    <row r="935">
      <c r="A935" s="95" t="n"/>
      <c r="B935" s="96" t="n"/>
      <c r="C935" s="96" t="n"/>
      <c r="D935" s="95" t="n"/>
      <c r="E935" s="96" t="n"/>
      <c r="F935" s="96" t="n"/>
      <c r="G935" s="95">
        <f>IFERROR(VLOOKUP(F935,'12. Contratos_OS'!$A$6:$L$1000,2,FALSE),"")</f>
        <v/>
      </c>
      <c r="H935" s="95">
        <f>IFERROR(VLOOKUP(F935,'12. Contratos_OS'!$A$6:$L$1000,3,FALSE),"")</f>
        <v/>
      </c>
      <c r="I935" s="95">
        <f>IFERROR(VLOOKUP(F935,'12. Contratos_OS'!$A$6:$L$1000,4,FALSE),"")</f>
        <v/>
      </c>
      <c r="J935" s="95">
        <f>IFERROR(VLOOKUP(F935,'12. Contratos_OS'!$A$6:$L$1000,7,FALSE),"")</f>
        <v/>
      </c>
      <c r="K935" s="95">
        <f>IFERROR(VLOOKUP(J935,'11. Cadastro de Serviços'!$A$6:$E$200,2,FALSE),"")</f>
        <v/>
      </c>
      <c r="L935" s="95">
        <f>IFERROR(VLOOKUP(J935,'11. Cadastro de Serviços'!$A$6:$E$200,3,FALSE),"")</f>
        <v/>
      </c>
      <c r="M935" s="95">
        <f>IFERROR(VLOOKUP(J935,'11. Cadastro de Serviços'!$A$6:$E$200,4,FALSE),"")</f>
        <v/>
      </c>
      <c r="N935" s="95" t="n"/>
      <c r="O935" s="95">
        <f>IF(AND(G935&lt;&gt;"",I935&lt;&gt;"",J935&lt;&gt;"",M935&lt;&gt;""),"Rastreado","Revisar")</f>
        <v/>
      </c>
      <c r="P935" s="96" t="n"/>
    </row>
    <row r="936">
      <c r="A936" s="95" t="n"/>
      <c r="B936" s="96" t="n"/>
      <c r="C936" s="96" t="n"/>
      <c r="D936" s="95" t="n"/>
      <c r="E936" s="96" t="n"/>
      <c r="F936" s="96" t="n"/>
      <c r="G936" s="95">
        <f>IFERROR(VLOOKUP(F936,'12. Contratos_OS'!$A$6:$L$1000,2,FALSE),"")</f>
        <v/>
      </c>
      <c r="H936" s="95">
        <f>IFERROR(VLOOKUP(F936,'12. Contratos_OS'!$A$6:$L$1000,3,FALSE),"")</f>
        <v/>
      </c>
      <c r="I936" s="95">
        <f>IFERROR(VLOOKUP(F936,'12. Contratos_OS'!$A$6:$L$1000,4,FALSE),"")</f>
        <v/>
      </c>
      <c r="J936" s="95">
        <f>IFERROR(VLOOKUP(F936,'12. Contratos_OS'!$A$6:$L$1000,7,FALSE),"")</f>
        <v/>
      </c>
      <c r="K936" s="95">
        <f>IFERROR(VLOOKUP(J936,'11. Cadastro de Serviços'!$A$6:$E$200,2,FALSE),"")</f>
        <v/>
      </c>
      <c r="L936" s="95">
        <f>IFERROR(VLOOKUP(J936,'11. Cadastro de Serviços'!$A$6:$E$200,3,FALSE),"")</f>
        <v/>
      </c>
      <c r="M936" s="95">
        <f>IFERROR(VLOOKUP(J936,'11. Cadastro de Serviços'!$A$6:$E$200,4,FALSE),"")</f>
        <v/>
      </c>
      <c r="N936" s="95" t="n"/>
      <c r="O936" s="95">
        <f>IF(AND(G936&lt;&gt;"",I936&lt;&gt;"",J936&lt;&gt;"",M936&lt;&gt;""),"Rastreado","Revisar")</f>
        <v/>
      </c>
      <c r="P936" s="96" t="n"/>
    </row>
    <row r="937">
      <c r="A937" s="95" t="n"/>
      <c r="B937" s="96" t="n"/>
      <c r="C937" s="96" t="n"/>
      <c r="D937" s="95" t="n"/>
      <c r="E937" s="96" t="n"/>
      <c r="F937" s="96" t="n"/>
      <c r="G937" s="95">
        <f>IFERROR(VLOOKUP(F937,'12. Contratos_OS'!$A$6:$L$1000,2,FALSE),"")</f>
        <v/>
      </c>
      <c r="H937" s="95">
        <f>IFERROR(VLOOKUP(F937,'12. Contratos_OS'!$A$6:$L$1000,3,FALSE),"")</f>
        <v/>
      </c>
      <c r="I937" s="95">
        <f>IFERROR(VLOOKUP(F937,'12. Contratos_OS'!$A$6:$L$1000,4,FALSE),"")</f>
        <v/>
      </c>
      <c r="J937" s="95">
        <f>IFERROR(VLOOKUP(F937,'12. Contratos_OS'!$A$6:$L$1000,7,FALSE),"")</f>
        <v/>
      </c>
      <c r="K937" s="95">
        <f>IFERROR(VLOOKUP(J937,'11. Cadastro de Serviços'!$A$6:$E$200,2,FALSE),"")</f>
        <v/>
      </c>
      <c r="L937" s="95">
        <f>IFERROR(VLOOKUP(J937,'11. Cadastro de Serviços'!$A$6:$E$200,3,FALSE),"")</f>
        <v/>
      </c>
      <c r="M937" s="95">
        <f>IFERROR(VLOOKUP(J937,'11. Cadastro de Serviços'!$A$6:$E$200,4,FALSE),"")</f>
        <v/>
      </c>
      <c r="N937" s="95" t="n"/>
      <c r="O937" s="95">
        <f>IF(AND(G937&lt;&gt;"",I937&lt;&gt;"",J937&lt;&gt;"",M937&lt;&gt;""),"Rastreado","Revisar")</f>
        <v/>
      </c>
      <c r="P937" s="96" t="n"/>
    </row>
    <row r="938">
      <c r="A938" s="95" t="n"/>
      <c r="B938" s="96" t="n"/>
      <c r="C938" s="96" t="n"/>
      <c r="D938" s="95" t="n"/>
      <c r="E938" s="96" t="n"/>
      <c r="F938" s="96" t="n"/>
      <c r="G938" s="95">
        <f>IFERROR(VLOOKUP(F938,'12. Contratos_OS'!$A$6:$L$1000,2,FALSE),"")</f>
        <v/>
      </c>
      <c r="H938" s="95">
        <f>IFERROR(VLOOKUP(F938,'12. Contratos_OS'!$A$6:$L$1000,3,FALSE),"")</f>
        <v/>
      </c>
      <c r="I938" s="95">
        <f>IFERROR(VLOOKUP(F938,'12. Contratos_OS'!$A$6:$L$1000,4,FALSE),"")</f>
        <v/>
      </c>
      <c r="J938" s="95">
        <f>IFERROR(VLOOKUP(F938,'12. Contratos_OS'!$A$6:$L$1000,7,FALSE),"")</f>
        <v/>
      </c>
      <c r="K938" s="95">
        <f>IFERROR(VLOOKUP(J938,'11. Cadastro de Serviços'!$A$6:$E$200,2,FALSE),"")</f>
        <v/>
      </c>
      <c r="L938" s="95">
        <f>IFERROR(VLOOKUP(J938,'11. Cadastro de Serviços'!$A$6:$E$200,3,FALSE),"")</f>
        <v/>
      </c>
      <c r="M938" s="95">
        <f>IFERROR(VLOOKUP(J938,'11. Cadastro de Serviços'!$A$6:$E$200,4,FALSE),"")</f>
        <v/>
      </c>
      <c r="N938" s="95" t="n"/>
      <c r="O938" s="95">
        <f>IF(AND(G938&lt;&gt;"",I938&lt;&gt;"",J938&lt;&gt;"",M938&lt;&gt;""),"Rastreado","Revisar")</f>
        <v/>
      </c>
      <c r="P938" s="96" t="n"/>
    </row>
    <row r="939">
      <c r="A939" s="95" t="n"/>
      <c r="B939" s="96" t="n"/>
      <c r="C939" s="96" t="n"/>
      <c r="D939" s="95" t="n"/>
      <c r="E939" s="96" t="n"/>
      <c r="F939" s="96" t="n"/>
      <c r="G939" s="95">
        <f>IFERROR(VLOOKUP(F939,'12. Contratos_OS'!$A$6:$L$1000,2,FALSE),"")</f>
        <v/>
      </c>
      <c r="H939" s="95">
        <f>IFERROR(VLOOKUP(F939,'12. Contratos_OS'!$A$6:$L$1000,3,FALSE),"")</f>
        <v/>
      </c>
      <c r="I939" s="95">
        <f>IFERROR(VLOOKUP(F939,'12. Contratos_OS'!$A$6:$L$1000,4,FALSE),"")</f>
        <v/>
      </c>
      <c r="J939" s="95">
        <f>IFERROR(VLOOKUP(F939,'12. Contratos_OS'!$A$6:$L$1000,7,FALSE),"")</f>
        <v/>
      </c>
      <c r="K939" s="95">
        <f>IFERROR(VLOOKUP(J939,'11. Cadastro de Serviços'!$A$6:$E$200,2,FALSE),"")</f>
        <v/>
      </c>
      <c r="L939" s="95">
        <f>IFERROR(VLOOKUP(J939,'11. Cadastro de Serviços'!$A$6:$E$200,3,FALSE),"")</f>
        <v/>
      </c>
      <c r="M939" s="95">
        <f>IFERROR(VLOOKUP(J939,'11. Cadastro de Serviços'!$A$6:$E$200,4,FALSE),"")</f>
        <v/>
      </c>
      <c r="N939" s="95" t="n"/>
      <c r="O939" s="95">
        <f>IF(AND(G939&lt;&gt;"",I939&lt;&gt;"",J939&lt;&gt;"",M939&lt;&gt;""),"Rastreado","Revisar")</f>
        <v/>
      </c>
      <c r="P939" s="96" t="n"/>
    </row>
    <row r="940">
      <c r="A940" s="95" t="n"/>
      <c r="B940" s="96" t="n"/>
      <c r="C940" s="96" t="n"/>
      <c r="D940" s="95" t="n"/>
      <c r="E940" s="96" t="n"/>
      <c r="F940" s="96" t="n"/>
      <c r="G940" s="95">
        <f>IFERROR(VLOOKUP(F940,'12. Contratos_OS'!$A$6:$L$1000,2,FALSE),"")</f>
        <v/>
      </c>
      <c r="H940" s="95">
        <f>IFERROR(VLOOKUP(F940,'12. Contratos_OS'!$A$6:$L$1000,3,FALSE),"")</f>
        <v/>
      </c>
      <c r="I940" s="95">
        <f>IFERROR(VLOOKUP(F940,'12. Contratos_OS'!$A$6:$L$1000,4,FALSE),"")</f>
        <v/>
      </c>
      <c r="J940" s="95">
        <f>IFERROR(VLOOKUP(F940,'12. Contratos_OS'!$A$6:$L$1000,7,FALSE),"")</f>
        <v/>
      </c>
      <c r="K940" s="95">
        <f>IFERROR(VLOOKUP(J940,'11. Cadastro de Serviços'!$A$6:$E$200,2,FALSE),"")</f>
        <v/>
      </c>
      <c r="L940" s="95">
        <f>IFERROR(VLOOKUP(J940,'11. Cadastro de Serviços'!$A$6:$E$200,3,FALSE),"")</f>
        <v/>
      </c>
      <c r="M940" s="95">
        <f>IFERROR(VLOOKUP(J940,'11. Cadastro de Serviços'!$A$6:$E$200,4,FALSE),"")</f>
        <v/>
      </c>
      <c r="N940" s="95" t="n"/>
      <c r="O940" s="95">
        <f>IF(AND(G940&lt;&gt;"",I940&lt;&gt;"",J940&lt;&gt;"",M940&lt;&gt;""),"Rastreado","Revisar")</f>
        <v/>
      </c>
      <c r="P940" s="96" t="n"/>
    </row>
    <row r="941">
      <c r="A941" s="95" t="n"/>
      <c r="B941" s="96" t="n"/>
      <c r="C941" s="96" t="n"/>
      <c r="D941" s="95" t="n"/>
      <c r="E941" s="96" t="n"/>
      <c r="F941" s="96" t="n"/>
      <c r="G941" s="95">
        <f>IFERROR(VLOOKUP(F941,'12. Contratos_OS'!$A$6:$L$1000,2,FALSE),"")</f>
        <v/>
      </c>
      <c r="H941" s="95">
        <f>IFERROR(VLOOKUP(F941,'12. Contratos_OS'!$A$6:$L$1000,3,FALSE),"")</f>
        <v/>
      </c>
      <c r="I941" s="95">
        <f>IFERROR(VLOOKUP(F941,'12. Contratos_OS'!$A$6:$L$1000,4,FALSE),"")</f>
        <v/>
      </c>
      <c r="J941" s="95">
        <f>IFERROR(VLOOKUP(F941,'12. Contratos_OS'!$A$6:$L$1000,7,FALSE),"")</f>
        <v/>
      </c>
      <c r="K941" s="95">
        <f>IFERROR(VLOOKUP(J941,'11. Cadastro de Serviços'!$A$6:$E$200,2,FALSE),"")</f>
        <v/>
      </c>
      <c r="L941" s="95">
        <f>IFERROR(VLOOKUP(J941,'11. Cadastro de Serviços'!$A$6:$E$200,3,FALSE),"")</f>
        <v/>
      </c>
      <c r="M941" s="95">
        <f>IFERROR(VLOOKUP(J941,'11. Cadastro de Serviços'!$A$6:$E$200,4,FALSE),"")</f>
        <v/>
      </c>
      <c r="N941" s="95" t="n"/>
      <c r="O941" s="95">
        <f>IF(AND(G941&lt;&gt;"",I941&lt;&gt;"",J941&lt;&gt;"",M941&lt;&gt;""),"Rastreado","Revisar")</f>
        <v/>
      </c>
      <c r="P941" s="96" t="n"/>
    </row>
    <row r="942">
      <c r="A942" s="95" t="n"/>
      <c r="B942" s="96" t="n"/>
      <c r="C942" s="96" t="n"/>
      <c r="D942" s="95" t="n"/>
      <c r="E942" s="96" t="n"/>
      <c r="F942" s="96" t="n"/>
      <c r="G942" s="95">
        <f>IFERROR(VLOOKUP(F942,'12. Contratos_OS'!$A$6:$L$1000,2,FALSE),"")</f>
        <v/>
      </c>
      <c r="H942" s="95">
        <f>IFERROR(VLOOKUP(F942,'12. Contratos_OS'!$A$6:$L$1000,3,FALSE),"")</f>
        <v/>
      </c>
      <c r="I942" s="95">
        <f>IFERROR(VLOOKUP(F942,'12. Contratos_OS'!$A$6:$L$1000,4,FALSE),"")</f>
        <v/>
      </c>
      <c r="J942" s="95">
        <f>IFERROR(VLOOKUP(F942,'12. Contratos_OS'!$A$6:$L$1000,7,FALSE),"")</f>
        <v/>
      </c>
      <c r="K942" s="95">
        <f>IFERROR(VLOOKUP(J942,'11. Cadastro de Serviços'!$A$6:$E$200,2,FALSE),"")</f>
        <v/>
      </c>
      <c r="L942" s="95">
        <f>IFERROR(VLOOKUP(J942,'11. Cadastro de Serviços'!$A$6:$E$200,3,FALSE),"")</f>
        <v/>
      </c>
      <c r="M942" s="95">
        <f>IFERROR(VLOOKUP(J942,'11. Cadastro de Serviços'!$A$6:$E$200,4,FALSE),"")</f>
        <v/>
      </c>
      <c r="N942" s="95" t="n"/>
      <c r="O942" s="95">
        <f>IF(AND(G942&lt;&gt;"",I942&lt;&gt;"",J942&lt;&gt;"",M942&lt;&gt;""),"Rastreado","Revisar")</f>
        <v/>
      </c>
      <c r="P942" s="96" t="n"/>
    </row>
    <row r="943">
      <c r="A943" s="95" t="n"/>
      <c r="B943" s="96" t="n"/>
      <c r="C943" s="96" t="n"/>
      <c r="D943" s="95" t="n"/>
      <c r="E943" s="96" t="n"/>
      <c r="F943" s="96" t="n"/>
      <c r="G943" s="95">
        <f>IFERROR(VLOOKUP(F943,'12. Contratos_OS'!$A$6:$L$1000,2,FALSE),"")</f>
        <v/>
      </c>
      <c r="H943" s="95">
        <f>IFERROR(VLOOKUP(F943,'12. Contratos_OS'!$A$6:$L$1000,3,FALSE),"")</f>
        <v/>
      </c>
      <c r="I943" s="95">
        <f>IFERROR(VLOOKUP(F943,'12. Contratos_OS'!$A$6:$L$1000,4,FALSE),"")</f>
        <v/>
      </c>
      <c r="J943" s="95">
        <f>IFERROR(VLOOKUP(F943,'12. Contratos_OS'!$A$6:$L$1000,7,FALSE),"")</f>
        <v/>
      </c>
      <c r="K943" s="95">
        <f>IFERROR(VLOOKUP(J943,'11. Cadastro de Serviços'!$A$6:$E$200,2,FALSE),"")</f>
        <v/>
      </c>
      <c r="L943" s="95">
        <f>IFERROR(VLOOKUP(J943,'11. Cadastro de Serviços'!$A$6:$E$200,3,FALSE),"")</f>
        <v/>
      </c>
      <c r="M943" s="95">
        <f>IFERROR(VLOOKUP(J943,'11. Cadastro de Serviços'!$A$6:$E$200,4,FALSE),"")</f>
        <v/>
      </c>
      <c r="N943" s="95" t="n"/>
      <c r="O943" s="95">
        <f>IF(AND(G943&lt;&gt;"",I943&lt;&gt;"",J943&lt;&gt;"",M943&lt;&gt;""),"Rastreado","Revisar")</f>
        <v/>
      </c>
      <c r="P943" s="96" t="n"/>
    </row>
    <row r="944">
      <c r="A944" s="95" t="n"/>
      <c r="B944" s="96" t="n"/>
      <c r="C944" s="96" t="n"/>
      <c r="D944" s="95" t="n"/>
      <c r="E944" s="96" t="n"/>
      <c r="F944" s="96" t="n"/>
      <c r="G944" s="95">
        <f>IFERROR(VLOOKUP(F944,'12. Contratos_OS'!$A$6:$L$1000,2,FALSE),"")</f>
        <v/>
      </c>
      <c r="H944" s="95">
        <f>IFERROR(VLOOKUP(F944,'12. Contratos_OS'!$A$6:$L$1000,3,FALSE),"")</f>
        <v/>
      </c>
      <c r="I944" s="95">
        <f>IFERROR(VLOOKUP(F944,'12. Contratos_OS'!$A$6:$L$1000,4,FALSE),"")</f>
        <v/>
      </c>
      <c r="J944" s="95">
        <f>IFERROR(VLOOKUP(F944,'12. Contratos_OS'!$A$6:$L$1000,7,FALSE),"")</f>
        <v/>
      </c>
      <c r="K944" s="95">
        <f>IFERROR(VLOOKUP(J944,'11. Cadastro de Serviços'!$A$6:$E$200,2,FALSE),"")</f>
        <v/>
      </c>
      <c r="L944" s="95">
        <f>IFERROR(VLOOKUP(J944,'11. Cadastro de Serviços'!$A$6:$E$200,3,FALSE),"")</f>
        <v/>
      </c>
      <c r="M944" s="95">
        <f>IFERROR(VLOOKUP(J944,'11. Cadastro de Serviços'!$A$6:$E$200,4,FALSE),"")</f>
        <v/>
      </c>
      <c r="N944" s="95" t="n"/>
      <c r="O944" s="95">
        <f>IF(AND(G944&lt;&gt;"",I944&lt;&gt;"",J944&lt;&gt;"",M944&lt;&gt;""),"Rastreado","Revisar")</f>
        <v/>
      </c>
      <c r="P944" s="96" t="n"/>
    </row>
    <row r="945">
      <c r="A945" s="95" t="n"/>
      <c r="B945" s="96" t="n"/>
      <c r="C945" s="96" t="n"/>
      <c r="D945" s="95" t="n"/>
      <c r="E945" s="96" t="n"/>
      <c r="F945" s="96" t="n"/>
      <c r="G945" s="95">
        <f>IFERROR(VLOOKUP(F945,'12. Contratos_OS'!$A$6:$L$1000,2,FALSE),"")</f>
        <v/>
      </c>
      <c r="H945" s="95">
        <f>IFERROR(VLOOKUP(F945,'12. Contratos_OS'!$A$6:$L$1000,3,FALSE),"")</f>
        <v/>
      </c>
      <c r="I945" s="95">
        <f>IFERROR(VLOOKUP(F945,'12. Contratos_OS'!$A$6:$L$1000,4,FALSE),"")</f>
        <v/>
      </c>
      <c r="J945" s="95">
        <f>IFERROR(VLOOKUP(F945,'12. Contratos_OS'!$A$6:$L$1000,7,FALSE),"")</f>
        <v/>
      </c>
      <c r="K945" s="95">
        <f>IFERROR(VLOOKUP(J945,'11. Cadastro de Serviços'!$A$6:$E$200,2,FALSE),"")</f>
        <v/>
      </c>
      <c r="L945" s="95">
        <f>IFERROR(VLOOKUP(J945,'11. Cadastro de Serviços'!$A$6:$E$200,3,FALSE),"")</f>
        <v/>
      </c>
      <c r="M945" s="95">
        <f>IFERROR(VLOOKUP(J945,'11. Cadastro de Serviços'!$A$6:$E$200,4,FALSE),"")</f>
        <v/>
      </c>
      <c r="N945" s="95" t="n"/>
      <c r="O945" s="95">
        <f>IF(AND(G945&lt;&gt;"",I945&lt;&gt;"",J945&lt;&gt;"",M945&lt;&gt;""),"Rastreado","Revisar")</f>
        <v/>
      </c>
      <c r="P945" s="96" t="n"/>
    </row>
    <row r="946">
      <c r="A946" s="95" t="n"/>
      <c r="B946" s="96" t="n"/>
      <c r="C946" s="96" t="n"/>
      <c r="D946" s="95" t="n"/>
      <c r="E946" s="96" t="n"/>
      <c r="F946" s="96" t="n"/>
      <c r="G946" s="95">
        <f>IFERROR(VLOOKUP(F946,'12. Contratos_OS'!$A$6:$L$1000,2,FALSE),"")</f>
        <v/>
      </c>
      <c r="H946" s="95">
        <f>IFERROR(VLOOKUP(F946,'12. Contratos_OS'!$A$6:$L$1000,3,FALSE),"")</f>
        <v/>
      </c>
      <c r="I946" s="95">
        <f>IFERROR(VLOOKUP(F946,'12. Contratos_OS'!$A$6:$L$1000,4,FALSE),"")</f>
        <v/>
      </c>
      <c r="J946" s="95">
        <f>IFERROR(VLOOKUP(F946,'12. Contratos_OS'!$A$6:$L$1000,7,FALSE),"")</f>
        <v/>
      </c>
      <c r="K946" s="95">
        <f>IFERROR(VLOOKUP(J946,'11. Cadastro de Serviços'!$A$6:$E$200,2,FALSE),"")</f>
        <v/>
      </c>
      <c r="L946" s="95">
        <f>IFERROR(VLOOKUP(J946,'11. Cadastro de Serviços'!$A$6:$E$200,3,FALSE),"")</f>
        <v/>
      </c>
      <c r="M946" s="95">
        <f>IFERROR(VLOOKUP(J946,'11. Cadastro de Serviços'!$A$6:$E$200,4,FALSE),"")</f>
        <v/>
      </c>
      <c r="N946" s="95" t="n"/>
      <c r="O946" s="95">
        <f>IF(AND(G946&lt;&gt;"",I946&lt;&gt;"",J946&lt;&gt;"",M946&lt;&gt;""),"Rastreado","Revisar")</f>
        <v/>
      </c>
      <c r="P946" s="96" t="n"/>
    </row>
    <row r="947">
      <c r="A947" s="95" t="n"/>
      <c r="B947" s="96" t="n"/>
      <c r="C947" s="96" t="n"/>
      <c r="D947" s="95" t="n"/>
      <c r="E947" s="96" t="n"/>
      <c r="F947" s="96" t="n"/>
      <c r="G947" s="95">
        <f>IFERROR(VLOOKUP(F947,'12. Contratos_OS'!$A$6:$L$1000,2,FALSE),"")</f>
        <v/>
      </c>
      <c r="H947" s="95">
        <f>IFERROR(VLOOKUP(F947,'12. Contratos_OS'!$A$6:$L$1000,3,FALSE),"")</f>
        <v/>
      </c>
      <c r="I947" s="95">
        <f>IFERROR(VLOOKUP(F947,'12. Contratos_OS'!$A$6:$L$1000,4,FALSE),"")</f>
        <v/>
      </c>
      <c r="J947" s="95">
        <f>IFERROR(VLOOKUP(F947,'12. Contratos_OS'!$A$6:$L$1000,7,FALSE),"")</f>
        <v/>
      </c>
      <c r="K947" s="95">
        <f>IFERROR(VLOOKUP(J947,'11. Cadastro de Serviços'!$A$6:$E$200,2,FALSE),"")</f>
        <v/>
      </c>
      <c r="L947" s="95">
        <f>IFERROR(VLOOKUP(J947,'11. Cadastro de Serviços'!$A$6:$E$200,3,FALSE),"")</f>
        <v/>
      </c>
      <c r="M947" s="95">
        <f>IFERROR(VLOOKUP(J947,'11. Cadastro de Serviços'!$A$6:$E$200,4,FALSE),"")</f>
        <v/>
      </c>
      <c r="N947" s="95" t="n"/>
      <c r="O947" s="95">
        <f>IF(AND(G947&lt;&gt;"",I947&lt;&gt;"",J947&lt;&gt;"",M947&lt;&gt;""),"Rastreado","Revisar")</f>
        <v/>
      </c>
      <c r="P947" s="96" t="n"/>
    </row>
    <row r="948">
      <c r="A948" s="95" t="n"/>
      <c r="B948" s="96" t="n"/>
      <c r="C948" s="96" t="n"/>
      <c r="D948" s="95" t="n"/>
      <c r="E948" s="96" t="n"/>
      <c r="F948" s="96" t="n"/>
      <c r="G948" s="95">
        <f>IFERROR(VLOOKUP(F948,'12. Contratos_OS'!$A$6:$L$1000,2,FALSE),"")</f>
        <v/>
      </c>
      <c r="H948" s="95">
        <f>IFERROR(VLOOKUP(F948,'12. Contratos_OS'!$A$6:$L$1000,3,FALSE),"")</f>
        <v/>
      </c>
      <c r="I948" s="95">
        <f>IFERROR(VLOOKUP(F948,'12. Contratos_OS'!$A$6:$L$1000,4,FALSE),"")</f>
        <v/>
      </c>
      <c r="J948" s="95">
        <f>IFERROR(VLOOKUP(F948,'12. Contratos_OS'!$A$6:$L$1000,7,FALSE),"")</f>
        <v/>
      </c>
      <c r="K948" s="95">
        <f>IFERROR(VLOOKUP(J948,'11. Cadastro de Serviços'!$A$6:$E$200,2,FALSE),"")</f>
        <v/>
      </c>
      <c r="L948" s="95">
        <f>IFERROR(VLOOKUP(J948,'11. Cadastro de Serviços'!$A$6:$E$200,3,FALSE),"")</f>
        <v/>
      </c>
      <c r="M948" s="95">
        <f>IFERROR(VLOOKUP(J948,'11. Cadastro de Serviços'!$A$6:$E$200,4,FALSE),"")</f>
        <v/>
      </c>
      <c r="N948" s="95" t="n"/>
      <c r="O948" s="95">
        <f>IF(AND(G948&lt;&gt;"",I948&lt;&gt;"",J948&lt;&gt;"",M948&lt;&gt;""),"Rastreado","Revisar")</f>
        <v/>
      </c>
      <c r="P948" s="96" t="n"/>
    </row>
    <row r="949">
      <c r="A949" s="95" t="n"/>
      <c r="B949" s="96" t="n"/>
      <c r="C949" s="96" t="n"/>
      <c r="D949" s="95" t="n"/>
      <c r="E949" s="96" t="n"/>
      <c r="F949" s="96" t="n"/>
      <c r="G949" s="95">
        <f>IFERROR(VLOOKUP(F949,'12. Contratos_OS'!$A$6:$L$1000,2,FALSE),"")</f>
        <v/>
      </c>
      <c r="H949" s="95">
        <f>IFERROR(VLOOKUP(F949,'12. Contratos_OS'!$A$6:$L$1000,3,FALSE),"")</f>
        <v/>
      </c>
      <c r="I949" s="95">
        <f>IFERROR(VLOOKUP(F949,'12. Contratos_OS'!$A$6:$L$1000,4,FALSE),"")</f>
        <v/>
      </c>
      <c r="J949" s="95">
        <f>IFERROR(VLOOKUP(F949,'12. Contratos_OS'!$A$6:$L$1000,7,FALSE),"")</f>
        <v/>
      </c>
      <c r="K949" s="95">
        <f>IFERROR(VLOOKUP(J949,'11. Cadastro de Serviços'!$A$6:$E$200,2,FALSE),"")</f>
        <v/>
      </c>
      <c r="L949" s="95">
        <f>IFERROR(VLOOKUP(J949,'11. Cadastro de Serviços'!$A$6:$E$200,3,FALSE),"")</f>
        <v/>
      </c>
      <c r="M949" s="95">
        <f>IFERROR(VLOOKUP(J949,'11. Cadastro de Serviços'!$A$6:$E$200,4,FALSE),"")</f>
        <v/>
      </c>
      <c r="N949" s="95" t="n"/>
      <c r="O949" s="95">
        <f>IF(AND(G949&lt;&gt;"",I949&lt;&gt;"",J949&lt;&gt;"",M949&lt;&gt;""),"Rastreado","Revisar")</f>
        <v/>
      </c>
      <c r="P949" s="96" t="n"/>
    </row>
    <row r="950">
      <c r="A950" s="95" t="n"/>
      <c r="B950" s="96" t="n"/>
      <c r="C950" s="96" t="n"/>
      <c r="D950" s="95" t="n"/>
      <c r="E950" s="96" t="n"/>
      <c r="F950" s="96" t="n"/>
      <c r="G950" s="95">
        <f>IFERROR(VLOOKUP(F950,'12. Contratos_OS'!$A$6:$L$1000,2,FALSE),"")</f>
        <v/>
      </c>
      <c r="H950" s="95">
        <f>IFERROR(VLOOKUP(F950,'12. Contratos_OS'!$A$6:$L$1000,3,FALSE),"")</f>
        <v/>
      </c>
      <c r="I950" s="95">
        <f>IFERROR(VLOOKUP(F950,'12. Contratos_OS'!$A$6:$L$1000,4,FALSE),"")</f>
        <v/>
      </c>
      <c r="J950" s="95">
        <f>IFERROR(VLOOKUP(F950,'12. Contratos_OS'!$A$6:$L$1000,7,FALSE),"")</f>
        <v/>
      </c>
      <c r="K950" s="95">
        <f>IFERROR(VLOOKUP(J950,'11. Cadastro de Serviços'!$A$6:$E$200,2,FALSE),"")</f>
        <v/>
      </c>
      <c r="L950" s="95">
        <f>IFERROR(VLOOKUP(J950,'11. Cadastro de Serviços'!$A$6:$E$200,3,FALSE),"")</f>
        <v/>
      </c>
      <c r="M950" s="95">
        <f>IFERROR(VLOOKUP(J950,'11. Cadastro de Serviços'!$A$6:$E$200,4,FALSE),"")</f>
        <v/>
      </c>
      <c r="N950" s="95" t="n"/>
      <c r="O950" s="95">
        <f>IF(AND(G950&lt;&gt;"",I950&lt;&gt;"",J950&lt;&gt;"",M950&lt;&gt;""),"Rastreado","Revisar")</f>
        <v/>
      </c>
      <c r="P950" s="96" t="n"/>
    </row>
    <row r="951">
      <c r="A951" s="95" t="n"/>
      <c r="B951" s="96" t="n"/>
      <c r="C951" s="96" t="n"/>
      <c r="D951" s="95" t="n"/>
      <c r="E951" s="96" t="n"/>
      <c r="F951" s="96" t="n"/>
      <c r="G951" s="95">
        <f>IFERROR(VLOOKUP(F951,'12. Contratos_OS'!$A$6:$L$1000,2,FALSE),"")</f>
        <v/>
      </c>
      <c r="H951" s="95">
        <f>IFERROR(VLOOKUP(F951,'12. Contratos_OS'!$A$6:$L$1000,3,FALSE),"")</f>
        <v/>
      </c>
      <c r="I951" s="95">
        <f>IFERROR(VLOOKUP(F951,'12. Contratos_OS'!$A$6:$L$1000,4,FALSE),"")</f>
        <v/>
      </c>
      <c r="J951" s="95">
        <f>IFERROR(VLOOKUP(F951,'12. Contratos_OS'!$A$6:$L$1000,7,FALSE),"")</f>
        <v/>
      </c>
      <c r="K951" s="95">
        <f>IFERROR(VLOOKUP(J951,'11. Cadastro de Serviços'!$A$6:$E$200,2,FALSE),"")</f>
        <v/>
      </c>
      <c r="L951" s="95">
        <f>IFERROR(VLOOKUP(J951,'11. Cadastro de Serviços'!$A$6:$E$200,3,FALSE),"")</f>
        <v/>
      </c>
      <c r="M951" s="95">
        <f>IFERROR(VLOOKUP(J951,'11. Cadastro de Serviços'!$A$6:$E$200,4,FALSE),"")</f>
        <v/>
      </c>
      <c r="N951" s="95" t="n"/>
      <c r="O951" s="95">
        <f>IF(AND(G951&lt;&gt;"",I951&lt;&gt;"",J951&lt;&gt;"",M951&lt;&gt;""),"Rastreado","Revisar")</f>
        <v/>
      </c>
      <c r="P951" s="96" t="n"/>
    </row>
    <row r="952">
      <c r="A952" s="95" t="n"/>
      <c r="B952" s="96" t="n"/>
      <c r="C952" s="96" t="n"/>
      <c r="D952" s="95" t="n"/>
      <c r="E952" s="96" t="n"/>
      <c r="F952" s="96" t="n"/>
      <c r="G952" s="95">
        <f>IFERROR(VLOOKUP(F952,'12. Contratos_OS'!$A$6:$L$1000,2,FALSE),"")</f>
        <v/>
      </c>
      <c r="H952" s="95">
        <f>IFERROR(VLOOKUP(F952,'12. Contratos_OS'!$A$6:$L$1000,3,FALSE),"")</f>
        <v/>
      </c>
      <c r="I952" s="95">
        <f>IFERROR(VLOOKUP(F952,'12. Contratos_OS'!$A$6:$L$1000,4,FALSE),"")</f>
        <v/>
      </c>
      <c r="J952" s="95">
        <f>IFERROR(VLOOKUP(F952,'12. Contratos_OS'!$A$6:$L$1000,7,FALSE),"")</f>
        <v/>
      </c>
      <c r="K952" s="95">
        <f>IFERROR(VLOOKUP(J952,'11. Cadastro de Serviços'!$A$6:$E$200,2,FALSE),"")</f>
        <v/>
      </c>
      <c r="L952" s="95">
        <f>IFERROR(VLOOKUP(J952,'11. Cadastro de Serviços'!$A$6:$E$200,3,FALSE),"")</f>
        <v/>
      </c>
      <c r="M952" s="95">
        <f>IFERROR(VLOOKUP(J952,'11. Cadastro de Serviços'!$A$6:$E$200,4,FALSE),"")</f>
        <v/>
      </c>
      <c r="N952" s="95" t="n"/>
      <c r="O952" s="95">
        <f>IF(AND(G952&lt;&gt;"",I952&lt;&gt;"",J952&lt;&gt;"",M952&lt;&gt;""),"Rastreado","Revisar")</f>
        <v/>
      </c>
      <c r="P952" s="96" t="n"/>
    </row>
    <row r="953">
      <c r="A953" s="95" t="n"/>
      <c r="B953" s="96" t="n"/>
      <c r="C953" s="96" t="n"/>
      <c r="D953" s="95" t="n"/>
      <c r="E953" s="96" t="n"/>
      <c r="F953" s="96" t="n"/>
      <c r="G953" s="95">
        <f>IFERROR(VLOOKUP(F953,'12. Contratos_OS'!$A$6:$L$1000,2,FALSE),"")</f>
        <v/>
      </c>
      <c r="H953" s="95">
        <f>IFERROR(VLOOKUP(F953,'12. Contratos_OS'!$A$6:$L$1000,3,FALSE),"")</f>
        <v/>
      </c>
      <c r="I953" s="95">
        <f>IFERROR(VLOOKUP(F953,'12. Contratos_OS'!$A$6:$L$1000,4,FALSE),"")</f>
        <v/>
      </c>
      <c r="J953" s="95">
        <f>IFERROR(VLOOKUP(F953,'12. Contratos_OS'!$A$6:$L$1000,7,FALSE),"")</f>
        <v/>
      </c>
      <c r="K953" s="95">
        <f>IFERROR(VLOOKUP(J953,'11. Cadastro de Serviços'!$A$6:$E$200,2,FALSE),"")</f>
        <v/>
      </c>
      <c r="L953" s="95">
        <f>IFERROR(VLOOKUP(J953,'11. Cadastro de Serviços'!$A$6:$E$200,3,FALSE),"")</f>
        <v/>
      </c>
      <c r="M953" s="95">
        <f>IFERROR(VLOOKUP(J953,'11. Cadastro de Serviços'!$A$6:$E$200,4,FALSE),"")</f>
        <v/>
      </c>
      <c r="N953" s="95" t="n"/>
      <c r="O953" s="95">
        <f>IF(AND(G953&lt;&gt;"",I953&lt;&gt;"",J953&lt;&gt;"",M953&lt;&gt;""),"Rastreado","Revisar")</f>
        <v/>
      </c>
      <c r="P953" s="96" t="n"/>
    </row>
    <row r="954">
      <c r="A954" s="95" t="n"/>
      <c r="B954" s="96" t="n"/>
      <c r="C954" s="96" t="n"/>
      <c r="D954" s="95" t="n"/>
      <c r="E954" s="96" t="n"/>
      <c r="F954" s="96" t="n"/>
      <c r="G954" s="95">
        <f>IFERROR(VLOOKUP(F954,'12. Contratos_OS'!$A$6:$L$1000,2,FALSE),"")</f>
        <v/>
      </c>
      <c r="H954" s="95">
        <f>IFERROR(VLOOKUP(F954,'12. Contratos_OS'!$A$6:$L$1000,3,FALSE),"")</f>
        <v/>
      </c>
      <c r="I954" s="95">
        <f>IFERROR(VLOOKUP(F954,'12. Contratos_OS'!$A$6:$L$1000,4,FALSE),"")</f>
        <v/>
      </c>
      <c r="J954" s="95">
        <f>IFERROR(VLOOKUP(F954,'12. Contratos_OS'!$A$6:$L$1000,7,FALSE),"")</f>
        <v/>
      </c>
      <c r="K954" s="95">
        <f>IFERROR(VLOOKUP(J954,'11. Cadastro de Serviços'!$A$6:$E$200,2,FALSE),"")</f>
        <v/>
      </c>
      <c r="L954" s="95">
        <f>IFERROR(VLOOKUP(J954,'11. Cadastro de Serviços'!$A$6:$E$200,3,FALSE),"")</f>
        <v/>
      </c>
      <c r="M954" s="95">
        <f>IFERROR(VLOOKUP(J954,'11. Cadastro de Serviços'!$A$6:$E$200,4,FALSE),"")</f>
        <v/>
      </c>
      <c r="N954" s="95" t="n"/>
      <c r="O954" s="95">
        <f>IF(AND(G954&lt;&gt;"",I954&lt;&gt;"",J954&lt;&gt;"",M954&lt;&gt;""),"Rastreado","Revisar")</f>
        <v/>
      </c>
      <c r="P954" s="96" t="n"/>
    </row>
    <row r="955">
      <c r="A955" s="95" t="n"/>
      <c r="B955" s="96" t="n"/>
      <c r="C955" s="96" t="n"/>
      <c r="D955" s="95" t="n"/>
      <c r="E955" s="96" t="n"/>
      <c r="F955" s="96" t="n"/>
      <c r="G955" s="95">
        <f>IFERROR(VLOOKUP(F955,'12. Contratos_OS'!$A$6:$L$1000,2,FALSE),"")</f>
        <v/>
      </c>
      <c r="H955" s="95">
        <f>IFERROR(VLOOKUP(F955,'12. Contratos_OS'!$A$6:$L$1000,3,FALSE),"")</f>
        <v/>
      </c>
      <c r="I955" s="95">
        <f>IFERROR(VLOOKUP(F955,'12. Contratos_OS'!$A$6:$L$1000,4,FALSE),"")</f>
        <v/>
      </c>
      <c r="J955" s="95">
        <f>IFERROR(VLOOKUP(F955,'12. Contratos_OS'!$A$6:$L$1000,7,FALSE),"")</f>
        <v/>
      </c>
      <c r="K955" s="95">
        <f>IFERROR(VLOOKUP(J955,'11. Cadastro de Serviços'!$A$6:$E$200,2,FALSE),"")</f>
        <v/>
      </c>
      <c r="L955" s="95">
        <f>IFERROR(VLOOKUP(J955,'11. Cadastro de Serviços'!$A$6:$E$200,3,FALSE),"")</f>
        <v/>
      </c>
      <c r="M955" s="95">
        <f>IFERROR(VLOOKUP(J955,'11. Cadastro de Serviços'!$A$6:$E$200,4,FALSE),"")</f>
        <v/>
      </c>
      <c r="N955" s="95" t="n"/>
      <c r="O955" s="95">
        <f>IF(AND(G955&lt;&gt;"",I955&lt;&gt;"",J955&lt;&gt;"",M955&lt;&gt;""),"Rastreado","Revisar")</f>
        <v/>
      </c>
      <c r="P955" s="96" t="n"/>
    </row>
    <row r="956">
      <c r="A956" s="95" t="n"/>
      <c r="B956" s="96" t="n"/>
      <c r="C956" s="96" t="n"/>
      <c r="D956" s="95" t="n"/>
      <c r="E956" s="96" t="n"/>
      <c r="F956" s="96" t="n"/>
      <c r="G956" s="95">
        <f>IFERROR(VLOOKUP(F956,'12. Contratos_OS'!$A$6:$L$1000,2,FALSE),"")</f>
        <v/>
      </c>
      <c r="H956" s="95">
        <f>IFERROR(VLOOKUP(F956,'12. Contratos_OS'!$A$6:$L$1000,3,FALSE),"")</f>
        <v/>
      </c>
      <c r="I956" s="95">
        <f>IFERROR(VLOOKUP(F956,'12. Contratos_OS'!$A$6:$L$1000,4,FALSE),"")</f>
        <v/>
      </c>
      <c r="J956" s="95">
        <f>IFERROR(VLOOKUP(F956,'12. Contratos_OS'!$A$6:$L$1000,7,FALSE),"")</f>
        <v/>
      </c>
      <c r="K956" s="95">
        <f>IFERROR(VLOOKUP(J956,'11. Cadastro de Serviços'!$A$6:$E$200,2,FALSE),"")</f>
        <v/>
      </c>
      <c r="L956" s="95">
        <f>IFERROR(VLOOKUP(J956,'11. Cadastro de Serviços'!$A$6:$E$200,3,FALSE),"")</f>
        <v/>
      </c>
      <c r="M956" s="95">
        <f>IFERROR(VLOOKUP(J956,'11. Cadastro de Serviços'!$A$6:$E$200,4,FALSE),"")</f>
        <v/>
      </c>
      <c r="N956" s="95" t="n"/>
      <c r="O956" s="95">
        <f>IF(AND(G956&lt;&gt;"",I956&lt;&gt;"",J956&lt;&gt;"",M956&lt;&gt;""),"Rastreado","Revisar")</f>
        <v/>
      </c>
      <c r="P956" s="96" t="n"/>
    </row>
    <row r="957">
      <c r="A957" s="95" t="n"/>
      <c r="B957" s="96" t="n"/>
      <c r="C957" s="96" t="n"/>
      <c r="D957" s="95" t="n"/>
      <c r="E957" s="96" t="n"/>
      <c r="F957" s="96" t="n"/>
      <c r="G957" s="95">
        <f>IFERROR(VLOOKUP(F957,'12. Contratos_OS'!$A$6:$L$1000,2,FALSE),"")</f>
        <v/>
      </c>
      <c r="H957" s="95">
        <f>IFERROR(VLOOKUP(F957,'12. Contratos_OS'!$A$6:$L$1000,3,FALSE),"")</f>
        <v/>
      </c>
      <c r="I957" s="95">
        <f>IFERROR(VLOOKUP(F957,'12. Contratos_OS'!$A$6:$L$1000,4,FALSE),"")</f>
        <v/>
      </c>
      <c r="J957" s="95">
        <f>IFERROR(VLOOKUP(F957,'12. Contratos_OS'!$A$6:$L$1000,7,FALSE),"")</f>
        <v/>
      </c>
      <c r="K957" s="95">
        <f>IFERROR(VLOOKUP(J957,'11. Cadastro de Serviços'!$A$6:$E$200,2,FALSE),"")</f>
        <v/>
      </c>
      <c r="L957" s="95">
        <f>IFERROR(VLOOKUP(J957,'11. Cadastro de Serviços'!$A$6:$E$200,3,FALSE),"")</f>
        <v/>
      </c>
      <c r="M957" s="95">
        <f>IFERROR(VLOOKUP(J957,'11. Cadastro de Serviços'!$A$6:$E$200,4,FALSE),"")</f>
        <v/>
      </c>
      <c r="N957" s="95" t="n"/>
      <c r="O957" s="95">
        <f>IF(AND(G957&lt;&gt;"",I957&lt;&gt;"",J957&lt;&gt;"",M957&lt;&gt;""),"Rastreado","Revisar")</f>
        <v/>
      </c>
      <c r="P957" s="96" t="n"/>
    </row>
    <row r="958">
      <c r="A958" s="95" t="n"/>
      <c r="B958" s="96" t="n"/>
      <c r="C958" s="96" t="n"/>
      <c r="D958" s="95" t="n"/>
      <c r="E958" s="96" t="n"/>
      <c r="F958" s="96" t="n"/>
      <c r="G958" s="95">
        <f>IFERROR(VLOOKUP(F958,'12. Contratos_OS'!$A$6:$L$1000,2,FALSE),"")</f>
        <v/>
      </c>
      <c r="H958" s="95">
        <f>IFERROR(VLOOKUP(F958,'12. Contratos_OS'!$A$6:$L$1000,3,FALSE),"")</f>
        <v/>
      </c>
      <c r="I958" s="95">
        <f>IFERROR(VLOOKUP(F958,'12. Contratos_OS'!$A$6:$L$1000,4,FALSE),"")</f>
        <v/>
      </c>
      <c r="J958" s="95">
        <f>IFERROR(VLOOKUP(F958,'12. Contratos_OS'!$A$6:$L$1000,7,FALSE),"")</f>
        <v/>
      </c>
      <c r="K958" s="95">
        <f>IFERROR(VLOOKUP(J958,'11. Cadastro de Serviços'!$A$6:$E$200,2,FALSE),"")</f>
        <v/>
      </c>
      <c r="L958" s="95">
        <f>IFERROR(VLOOKUP(J958,'11. Cadastro de Serviços'!$A$6:$E$200,3,FALSE),"")</f>
        <v/>
      </c>
      <c r="M958" s="95">
        <f>IFERROR(VLOOKUP(J958,'11. Cadastro de Serviços'!$A$6:$E$200,4,FALSE),"")</f>
        <v/>
      </c>
      <c r="N958" s="95" t="n"/>
      <c r="O958" s="95">
        <f>IF(AND(G958&lt;&gt;"",I958&lt;&gt;"",J958&lt;&gt;"",M958&lt;&gt;""),"Rastreado","Revisar")</f>
        <v/>
      </c>
      <c r="P958" s="96" t="n"/>
    </row>
    <row r="959">
      <c r="A959" s="95" t="n"/>
      <c r="B959" s="96" t="n"/>
      <c r="C959" s="96" t="n"/>
      <c r="D959" s="95" t="n"/>
      <c r="E959" s="96" t="n"/>
      <c r="F959" s="96" t="n"/>
      <c r="G959" s="95">
        <f>IFERROR(VLOOKUP(F959,'12. Contratos_OS'!$A$6:$L$1000,2,FALSE),"")</f>
        <v/>
      </c>
      <c r="H959" s="95">
        <f>IFERROR(VLOOKUP(F959,'12. Contratos_OS'!$A$6:$L$1000,3,FALSE),"")</f>
        <v/>
      </c>
      <c r="I959" s="95">
        <f>IFERROR(VLOOKUP(F959,'12. Contratos_OS'!$A$6:$L$1000,4,FALSE),"")</f>
        <v/>
      </c>
      <c r="J959" s="95">
        <f>IFERROR(VLOOKUP(F959,'12. Contratos_OS'!$A$6:$L$1000,7,FALSE),"")</f>
        <v/>
      </c>
      <c r="K959" s="95">
        <f>IFERROR(VLOOKUP(J959,'11. Cadastro de Serviços'!$A$6:$E$200,2,FALSE),"")</f>
        <v/>
      </c>
      <c r="L959" s="95">
        <f>IFERROR(VLOOKUP(J959,'11. Cadastro de Serviços'!$A$6:$E$200,3,FALSE),"")</f>
        <v/>
      </c>
      <c r="M959" s="95">
        <f>IFERROR(VLOOKUP(J959,'11. Cadastro de Serviços'!$A$6:$E$200,4,FALSE),"")</f>
        <v/>
      </c>
      <c r="N959" s="95" t="n"/>
      <c r="O959" s="95">
        <f>IF(AND(G959&lt;&gt;"",I959&lt;&gt;"",J959&lt;&gt;"",M959&lt;&gt;""),"Rastreado","Revisar")</f>
        <v/>
      </c>
      <c r="P959" s="96" t="n"/>
    </row>
    <row r="960">
      <c r="A960" s="95" t="n"/>
      <c r="B960" s="96" t="n"/>
      <c r="C960" s="96" t="n"/>
      <c r="D960" s="95" t="n"/>
      <c r="E960" s="96" t="n"/>
      <c r="F960" s="96" t="n"/>
      <c r="G960" s="95">
        <f>IFERROR(VLOOKUP(F960,'12. Contratos_OS'!$A$6:$L$1000,2,FALSE),"")</f>
        <v/>
      </c>
      <c r="H960" s="95">
        <f>IFERROR(VLOOKUP(F960,'12. Contratos_OS'!$A$6:$L$1000,3,FALSE),"")</f>
        <v/>
      </c>
      <c r="I960" s="95">
        <f>IFERROR(VLOOKUP(F960,'12. Contratos_OS'!$A$6:$L$1000,4,FALSE),"")</f>
        <v/>
      </c>
      <c r="J960" s="95">
        <f>IFERROR(VLOOKUP(F960,'12. Contratos_OS'!$A$6:$L$1000,7,FALSE),"")</f>
        <v/>
      </c>
      <c r="K960" s="95">
        <f>IFERROR(VLOOKUP(J960,'11. Cadastro de Serviços'!$A$6:$E$200,2,FALSE),"")</f>
        <v/>
      </c>
      <c r="L960" s="95">
        <f>IFERROR(VLOOKUP(J960,'11. Cadastro de Serviços'!$A$6:$E$200,3,FALSE),"")</f>
        <v/>
      </c>
      <c r="M960" s="95">
        <f>IFERROR(VLOOKUP(J960,'11. Cadastro de Serviços'!$A$6:$E$200,4,FALSE),"")</f>
        <v/>
      </c>
      <c r="N960" s="95" t="n"/>
      <c r="O960" s="95">
        <f>IF(AND(G960&lt;&gt;"",I960&lt;&gt;"",J960&lt;&gt;"",M960&lt;&gt;""),"Rastreado","Revisar")</f>
        <v/>
      </c>
      <c r="P960" s="96" t="n"/>
    </row>
    <row r="961">
      <c r="A961" s="95" t="n"/>
      <c r="B961" s="96" t="n"/>
      <c r="C961" s="96" t="n"/>
      <c r="D961" s="95" t="n"/>
      <c r="E961" s="96" t="n"/>
      <c r="F961" s="96" t="n"/>
      <c r="G961" s="95">
        <f>IFERROR(VLOOKUP(F961,'12. Contratos_OS'!$A$6:$L$1000,2,FALSE),"")</f>
        <v/>
      </c>
      <c r="H961" s="95">
        <f>IFERROR(VLOOKUP(F961,'12. Contratos_OS'!$A$6:$L$1000,3,FALSE),"")</f>
        <v/>
      </c>
      <c r="I961" s="95">
        <f>IFERROR(VLOOKUP(F961,'12. Contratos_OS'!$A$6:$L$1000,4,FALSE),"")</f>
        <v/>
      </c>
      <c r="J961" s="95">
        <f>IFERROR(VLOOKUP(F961,'12. Contratos_OS'!$A$6:$L$1000,7,FALSE),"")</f>
        <v/>
      </c>
      <c r="K961" s="95">
        <f>IFERROR(VLOOKUP(J961,'11. Cadastro de Serviços'!$A$6:$E$200,2,FALSE),"")</f>
        <v/>
      </c>
      <c r="L961" s="95">
        <f>IFERROR(VLOOKUP(J961,'11. Cadastro de Serviços'!$A$6:$E$200,3,FALSE),"")</f>
        <v/>
      </c>
      <c r="M961" s="95">
        <f>IFERROR(VLOOKUP(J961,'11. Cadastro de Serviços'!$A$6:$E$200,4,FALSE),"")</f>
        <v/>
      </c>
      <c r="N961" s="95" t="n"/>
      <c r="O961" s="95">
        <f>IF(AND(G961&lt;&gt;"",I961&lt;&gt;"",J961&lt;&gt;"",M961&lt;&gt;""),"Rastreado","Revisar")</f>
        <v/>
      </c>
      <c r="P961" s="96" t="n"/>
    </row>
    <row r="962">
      <c r="A962" s="95" t="n"/>
      <c r="B962" s="96" t="n"/>
      <c r="C962" s="96" t="n"/>
      <c r="D962" s="95" t="n"/>
      <c r="E962" s="96" t="n"/>
      <c r="F962" s="96" t="n"/>
      <c r="G962" s="95">
        <f>IFERROR(VLOOKUP(F962,'12. Contratos_OS'!$A$6:$L$1000,2,FALSE),"")</f>
        <v/>
      </c>
      <c r="H962" s="95">
        <f>IFERROR(VLOOKUP(F962,'12. Contratos_OS'!$A$6:$L$1000,3,FALSE),"")</f>
        <v/>
      </c>
      <c r="I962" s="95">
        <f>IFERROR(VLOOKUP(F962,'12. Contratos_OS'!$A$6:$L$1000,4,FALSE),"")</f>
        <v/>
      </c>
      <c r="J962" s="95">
        <f>IFERROR(VLOOKUP(F962,'12. Contratos_OS'!$A$6:$L$1000,7,FALSE),"")</f>
        <v/>
      </c>
      <c r="K962" s="95">
        <f>IFERROR(VLOOKUP(J962,'11. Cadastro de Serviços'!$A$6:$E$200,2,FALSE),"")</f>
        <v/>
      </c>
      <c r="L962" s="95">
        <f>IFERROR(VLOOKUP(J962,'11. Cadastro de Serviços'!$A$6:$E$200,3,FALSE),"")</f>
        <v/>
      </c>
      <c r="M962" s="95">
        <f>IFERROR(VLOOKUP(J962,'11. Cadastro de Serviços'!$A$6:$E$200,4,FALSE),"")</f>
        <v/>
      </c>
      <c r="N962" s="95" t="n"/>
      <c r="O962" s="95">
        <f>IF(AND(G962&lt;&gt;"",I962&lt;&gt;"",J962&lt;&gt;"",M962&lt;&gt;""),"Rastreado","Revisar")</f>
        <v/>
      </c>
      <c r="P962" s="96" t="n"/>
    </row>
    <row r="963">
      <c r="A963" s="95" t="n"/>
      <c r="B963" s="96" t="n"/>
      <c r="C963" s="96" t="n"/>
      <c r="D963" s="95" t="n"/>
      <c r="E963" s="96" t="n"/>
      <c r="F963" s="96" t="n"/>
      <c r="G963" s="95">
        <f>IFERROR(VLOOKUP(F963,'12. Contratos_OS'!$A$6:$L$1000,2,FALSE),"")</f>
        <v/>
      </c>
      <c r="H963" s="95">
        <f>IFERROR(VLOOKUP(F963,'12. Contratos_OS'!$A$6:$L$1000,3,FALSE),"")</f>
        <v/>
      </c>
      <c r="I963" s="95">
        <f>IFERROR(VLOOKUP(F963,'12. Contratos_OS'!$A$6:$L$1000,4,FALSE),"")</f>
        <v/>
      </c>
      <c r="J963" s="95">
        <f>IFERROR(VLOOKUP(F963,'12. Contratos_OS'!$A$6:$L$1000,7,FALSE),"")</f>
        <v/>
      </c>
      <c r="K963" s="95">
        <f>IFERROR(VLOOKUP(J963,'11. Cadastro de Serviços'!$A$6:$E$200,2,FALSE),"")</f>
        <v/>
      </c>
      <c r="L963" s="95">
        <f>IFERROR(VLOOKUP(J963,'11. Cadastro de Serviços'!$A$6:$E$200,3,FALSE),"")</f>
        <v/>
      </c>
      <c r="M963" s="95">
        <f>IFERROR(VLOOKUP(J963,'11. Cadastro de Serviços'!$A$6:$E$200,4,FALSE),"")</f>
        <v/>
      </c>
      <c r="N963" s="95" t="n"/>
      <c r="O963" s="95">
        <f>IF(AND(G963&lt;&gt;"",I963&lt;&gt;"",J963&lt;&gt;"",M963&lt;&gt;""),"Rastreado","Revisar")</f>
        <v/>
      </c>
      <c r="P963" s="96" t="n"/>
    </row>
    <row r="964">
      <c r="A964" s="95" t="n"/>
      <c r="B964" s="96" t="n"/>
      <c r="C964" s="96" t="n"/>
      <c r="D964" s="95" t="n"/>
      <c r="E964" s="96" t="n"/>
      <c r="F964" s="96" t="n"/>
      <c r="G964" s="95">
        <f>IFERROR(VLOOKUP(F964,'12. Contratos_OS'!$A$6:$L$1000,2,FALSE),"")</f>
        <v/>
      </c>
      <c r="H964" s="95">
        <f>IFERROR(VLOOKUP(F964,'12. Contratos_OS'!$A$6:$L$1000,3,FALSE),"")</f>
        <v/>
      </c>
      <c r="I964" s="95">
        <f>IFERROR(VLOOKUP(F964,'12. Contratos_OS'!$A$6:$L$1000,4,FALSE),"")</f>
        <v/>
      </c>
      <c r="J964" s="95">
        <f>IFERROR(VLOOKUP(F964,'12. Contratos_OS'!$A$6:$L$1000,7,FALSE),"")</f>
        <v/>
      </c>
      <c r="K964" s="95">
        <f>IFERROR(VLOOKUP(J964,'11. Cadastro de Serviços'!$A$6:$E$200,2,FALSE),"")</f>
        <v/>
      </c>
      <c r="L964" s="95">
        <f>IFERROR(VLOOKUP(J964,'11. Cadastro de Serviços'!$A$6:$E$200,3,FALSE),"")</f>
        <v/>
      </c>
      <c r="M964" s="95">
        <f>IFERROR(VLOOKUP(J964,'11. Cadastro de Serviços'!$A$6:$E$200,4,FALSE),"")</f>
        <v/>
      </c>
      <c r="N964" s="95" t="n"/>
      <c r="O964" s="95">
        <f>IF(AND(G964&lt;&gt;"",I964&lt;&gt;"",J964&lt;&gt;"",M964&lt;&gt;""),"Rastreado","Revisar")</f>
        <v/>
      </c>
      <c r="P964" s="96" t="n"/>
    </row>
    <row r="965">
      <c r="A965" s="95" t="n"/>
      <c r="B965" s="96" t="n"/>
      <c r="C965" s="96" t="n"/>
      <c r="D965" s="95" t="n"/>
      <c r="E965" s="96" t="n"/>
      <c r="F965" s="96" t="n"/>
      <c r="G965" s="95">
        <f>IFERROR(VLOOKUP(F965,'12. Contratos_OS'!$A$6:$L$1000,2,FALSE),"")</f>
        <v/>
      </c>
      <c r="H965" s="95">
        <f>IFERROR(VLOOKUP(F965,'12. Contratos_OS'!$A$6:$L$1000,3,FALSE),"")</f>
        <v/>
      </c>
      <c r="I965" s="95">
        <f>IFERROR(VLOOKUP(F965,'12. Contratos_OS'!$A$6:$L$1000,4,FALSE),"")</f>
        <v/>
      </c>
      <c r="J965" s="95">
        <f>IFERROR(VLOOKUP(F965,'12. Contratos_OS'!$A$6:$L$1000,7,FALSE),"")</f>
        <v/>
      </c>
      <c r="K965" s="95">
        <f>IFERROR(VLOOKUP(J965,'11. Cadastro de Serviços'!$A$6:$E$200,2,FALSE),"")</f>
        <v/>
      </c>
      <c r="L965" s="95">
        <f>IFERROR(VLOOKUP(J965,'11. Cadastro de Serviços'!$A$6:$E$200,3,FALSE),"")</f>
        <v/>
      </c>
      <c r="M965" s="95">
        <f>IFERROR(VLOOKUP(J965,'11. Cadastro de Serviços'!$A$6:$E$200,4,FALSE),"")</f>
        <v/>
      </c>
      <c r="N965" s="95" t="n"/>
      <c r="O965" s="95">
        <f>IF(AND(G965&lt;&gt;"",I965&lt;&gt;"",J965&lt;&gt;"",M965&lt;&gt;""),"Rastreado","Revisar")</f>
        <v/>
      </c>
      <c r="P965" s="96" t="n"/>
    </row>
    <row r="966">
      <c r="A966" s="95" t="n"/>
      <c r="B966" s="96" t="n"/>
      <c r="C966" s="96" t="n"/>
      <c r="D966" s="95" t="n"/>
      <c r="E966" s="96" t="n"/>
      <c r="F966" s="96" t="n"/>
      <c r="G966" s="95">
        <f>IFERROR(VLOOKUP(F966,'12. Contratos_OS'!$A$6:$L$1000,2,FALSE),"")</f>
        <v/>
      </c>
      <c r="H966" s="95">
        <f>IFERROR(VLOOKUP(F966,'12. Contratos_OS'!$A$6:$L$1000,3,FALSE),"")</f>
        <v/>
      </c>
      <c r="I966" s="95">
        <f>IFERROR(VLOOKUP(F966,'12. Contratos_OS'!$A$6:$L$1000,4,FALSE),"")</f>
        <v/>
      </c>
      <c r="J966" s="95">
        <f>IFERROR(VLOOKUP(F966,'12. Contratos_OS'!$A$6:$L$1000,7,FALSE),"")</f>
        <v/>
      </c>
      <c r="K966" s="95">
        <f>IFERROR(VLOOKUP(J966,'11. Cadastro de Serviços'!$A$6:$E$200,2,FALSE),"")</f>
        <v/>
      </c>
      <c r="L966" s="95">
        <f>IFERROR(VLOOKUP(J966,'11. Cadastro de Serviços'!$A$6:$E$200,3,FALSE),"")</f>
        <v/>
      </c>
      <c r="M966" s="95">
        <f>IFERROR(VLOOKUP(J966,'11. Cadastro de Serviços'!$A$6:$E$200,4,FALSE),"")</f>
        <v/>
      </c>
      <c r="N966" s="95" t="n"/>
      <c r="O966" s="95">
        <f>IF(AND(G966&lt;&gt;"",I966&lt;&gt;"",J966&lt;&gt;"",M966&lt;&gt;""),"Rastreado","Revisar")</f>
        <v/>
      </c>
      <c r="P966" s="96" t="n"/>
    </row>
    <row r="967">
      <c r="A967" s="95" t="n"/>
      <c r="B967" s="96" t="n"/>
      <c r="C967" s="96" t="n"/>
      <c r="D967" s="95" t="n"/>
      <c r="E967" s="96" t="n"/>
      <c r="F967" s="96" t="n"/>
      <c r="G967" s="95">
        <f>IFERROR(VLOOKUP(F967,'12. Contratos_OS'!$A$6:$L$1000,2,FALSE),"")</f>
        <v/>
      </c>
      <c r="H967" s="95">
        <f>IFERROR(VLOOKUP(F967,'12. Contratos_OS'!$A$6:$L$1000,3,FALSE),"")</f>
        <v/>
      </c>
      <c r="I967" s="95">
        <f>IFERROR(VLOOKUP(F967,'12. Contratos_OS'!$A$6:$L$1000,4,FALSE),"")</f>
        <v/>
      </c>
      <c r="J967" s="95">
        <f>IFERROR(VLOOKUP(F967,'12. Contratos_OS'!$A$6:$L$1000,7,FALSE),"")</f>
        <v/>
      </c>
      <c r="K967" s="95">
        <f>IFERROR(VLOOKUP(J967,'11. Cadastro de Serviços'!$A$6:$E$200,2,FALSE),"")</f>
        <v/>
      </c>
      <c r="L967" s="95">
        <f>IFERROR(VLOOKUP(J967,'11. Cadastro de Serviços'!$A$6:$E$200,3,FALSE),"")</f>
        <v/>
      </c>
      <c r="M967" s="95">
        <f>IFERROR(VLOOKUP(J967,'11. Cadastro de Serviços'!$A$6:$E$200,4,FALSE),"")</f>
        <v/>
      </c>
      <c r="N967" s="95" t="n"/>
      <c r="O967" s="95">
        <f>IF(AND(G967&lt;&gt;"",I967&lt;&gt;"",J967&lt;&gt;"",M967&lt;&gt;""),"Rastreado","Revisar")</f>
        <v/>
      </c>
      <c r="P967" s="96" t="n"/>
    </row>
    <row r="968">
      <c r="A968" s="95" t="n"/>
      <c r="B968" s="96" t="n"/>
      <c r="C968" s="96" t="n"/>
      <c r="D968" s="95" t="n"/>
      <c r="E968" s="96" t="n"/>
      <c r="F968" s="96" t="n"/>
      <c r="G968" s="95">
        <f>IFERROR(VLOOKUP(F968,'12. Contratos_OS'!$A$6:$L$1000,2,FALSE),"")</f>
        <v/>
      </c>
      <c r="H968" s="95">
        <f>IFERROR(VLOOKUP(F968,'12. Contratos_OS'!$A$6:$L$1000,3,FALSE),"")</f>
        <v/>
      </c>
      <c r="I968" s="95">
        <f>IFERROR(VLOOKUP(F968,'12. Contratos_OS'!$A$6:$L$1000,4,FALSE),"")</f>
        <v/>
      </c>
      <c r="J968" s="95">
        <f>IFERROR(VLOOKUP(F968,'12. Contratos_OS'!$A$6:$L$1000,7,FALSE),"")</f>
        <v/>
      </c>
      <c r="K968" s="95">
        <f>IFERROR(VLOOKUP(J968,'11. Cadastro de Serviços'!$A$6:$E$200,2,FALSE),"")</f>
        <v/>
      </c>
      <c r="L968" s="95">
        <f>IFERROR(VLOOKUP(J968,'11. Cadastro de Serviços'!$A$6:$E$200,3,FALSE),"")</f>
        <v/>
      </c>
      <c r="M968" s="95">
        <f>IFERROR(VLOOKUP(J968,'11. Cadastro de Serviços'!$A$6:$E$200,4,FALSE),"")</f>
        <v/>
      </c>
      <c r="N968" s="95" t="n"/>
      <c r="O968" s="95">
        <f>IF(AND(G968&lt;&gt;"",I968&lt;&gt;"",J968&lt;&gt;"",M968&lt;&gt;""),"Rastreado","Revisar")</f>
        <v/>
      </c>
      <c r="P968" s="96" t="n"/>
    </row>
    <row r="969">
      <c r="A969" s="95" t="n"/>
      <c r="B969" s="96" t="n"/>
      <c r="C969" s="96" t="n"/>
      <c r="D969" s="95" t="n"/>
      <c r="E969" s="96" t="n"/>
      <c r="F969" s="96" t="n"/>
      <c r="G969" s="95">
        <f>IFERROR(VLOOKUP(F969,'12. Contratos_OS'!$A$6:$L$1000,2,FALSE),"")</f>
        <v/>
      </c>
      <c r="H969" s="95">
        <f>IFERROR(VLOOKUP(F969,'12. Contratos_OS'!$A$6:$L$1000,3,FALSE),"")</f>
        <v/>
      </c>
      <c r="I969" s="95">
        <f>IFERROR(VLOOKUP(F969,'12. Contratos_OS'!$A$6:$L$1000,4,FALSE),"")</f>
        <v/>
      </c>
      <c r="J969" s="95">
        <f>IFERROR(VLOOKUP(F969,'12. Contratos_OS'!$A$6:$L$1000,7,FALSE),"")</f>
        <v/>
      </c>
      <c r="K969" s="95">
        <f>IFERROR(VLOOKUP(J969,'11. Cadastro de Serviços'!$A$6:$E$200,2,FALSE),"")</f>
        <v/>
      </c>
      <c r="L969" s="95">
        <f>IFERROR(VLOOKUP(J969,'11. Cadastro de Serviços'!$A$6:$E$200,3,FALSE),"")</f>
        <v/>
      </c>
      <c r="M969" s="95">
        <f>IFERROR(VLOOKUP(J969,'11. Cadastro de Serviços'!$A$6:$E$200,4,FALSE),"")</f>
        <v/>
      </c>
      <c r="N969" s="95" t="n"/>
      <c r="O969" s="95">
        <f>IF(AND(G969&lt;&gt;"",I969&lt;&gt;"",J969&lt;&gt;"",M969&lt;&gt;""),"Rastreado","Revisar")</f>
        <v/>
      </c>
      <c r="P969" s="96" t="n"/>
    </row>
    <row r="970">
      <c r="A970" s="95" t="n"/>
      <c r="B970" s="96" t="n"/>
      <c r="C970" s="96" t="n"/>
      <c r="D970" s="95" t="n"/>
      <c r="E970" s="96" t="n"/>
      <c r="F970" s="96" t="n"/>
      <c r="G970" s="95">
        <f>IFERROR(VLOOKUP(F970,'12. Contratos_OS'!$A$6:$L$1000,2,FALSE),"")</f>
        <v/>
      </c>
      <c r="H970" s="95">
        <f>IFERROR(VLOOKUP(F970,'12. Contratos_OS'!$A$6:$L$1000,3,FALSE),"")</f>
        <v/>
      </c>
      <c r="I970" s="95">
        <f>IFERROR(VLOOKUP(F970,'12. Contratos_OS'!$A$6:$L$1000,4,FALSE),"")</f>
        <v/>
      </c>
      <c r="J970" s="95">
        <f>IFERROR(VLOOKUP(F970,'12. Contratos_OS'!$A$6:$L$1000,7,FALSE),"")</f>
        <v/>
      </c>
      <c r="K970" s="95">
        <f>IFERROR(VLOOKUP(J970,'11. Cadastro de Serviços'!$A$6:$E$200,2,FALSE),"")</f>
        <v/>
      </c>
      <c r="L970" s="95">
        <f>IFERROR(VLOOKUP(J970,'11. Cadastro de Serviços'!$A$6:$E$200,3,FALSE),"")</f>
        <v/>
      </c>
      <c r="M970" s="95">
        <f>IFERROR(VLOOKUP(J970,'11. Cadastro de Serviços'!$A$6:$E$200,4,FALSE),"")</f>
        <v/>
      </c>
      <c r="N970" s="95" t="n"/>
      <c r="O970" s="95">
        <f>IF(AND(G970&lt;&gt;"",I970&lt;&gt;"",J970&lt;&gt;"",M970&lt;&gt;""),"Rastreado","Revisar")</f>
        <v/>
      </c>
      <c r="P970" s="96" t="n"/>
    </row>
    <row r="971">
      <c r="A971" s="95" t="n"/>
      <c r="B971" s="96" t="n"/>
      <c r="C971" s="96" t="n"/>
      <c r="D971" s="95" t="n"/>
      <c r="E971" s="96" t="n"/>
      <c r="F971" s="96" t="n"/>
      <c r="G971" s="95">
        <f>IFERROR(VLOOKUP(F971,'12. Contratos_OS'!$A$6:$L$1000,2,FALSE),"")</f>
        <v/>
      </c>
      <c r="H971" s="95">
        <f>IFERROR(VLOOKUP(F971,'12. Contratos_OS'!$A$6:$L$1000,3,FALSE),"")</f>
        <v/>
      </c>
      <c r="I971" s="95">
        <f>IFERROR(VLOOKUP(F971,'12. Contratos_OS'!$A$6:$L$1000,4,FALSE),"")</f>
        <v/>
      </c>
      <c r="J971" s="95">
        <f>IFERROR(VLOOKUP(F971,'12. Contratos_OS'!$A$6:$L$1000,7,FALSE),"")</f>
        <v/>
      </c>
      <c r="K971" s="95">
        <f>IFERROR(VLOOKUP(J971,'11. Cadastro de Serviços'!$A$6:$E$200,2,FALSE),"")</f>
        <v/>
      </c>
      <c r="L971" s="95">
        <f>IFERROR(VLOOKUP(J971,'11. Cadastro de Serviços'!$A$6:$E$200,3,FALSE),"")</f>
        <v/>
      </c>
      <c r="M971" s="95">
        <f>IFERROR(VLOOKUP(J971,'11. Cadastro de Serviços'!$A$6:$E$200,4,FALSE),"")</f>
        <v/>
      </c>
      <c r="N971" s="95" t="n"/>
      <c r="O971" s="95">
        <f>IF(AND(G971&lt;&gt;"",I971&lt;&gt;"",J971&lt;&gt;"",M971&lt;&gt;""),"Rastreado","Revisar")</f>
        <v/>
      </c>
      <c r="P971" s="96" t="n"/>
    </row>
    <row r="972">
      <c r="A972" s="95" t="n"/>
      <c r="B972" s="96" t="n"/>
      <c r="C972" s="96" t="n"/>
      <c r="D972" s="95" t="n"/>
      <c r="E972" s="96" t="n"/>
      <c r="F972" s="96" t="n"/>
      <c r="G972" s="95">
        <f>IFERROR(VLOOKUP(F972,'12. Contratos_OS'!$A$6:$L$1000,2,FALSE),"")</f>
        <v/>
      </c>
      <c r="H972" s="95">
        <f>IFERROR(VLOOKUP(F972,'12. Contratos_OS'!$A$6:$L$1000,3,FALSE),"")</f>
        <v/>
      </c>
      <c r="I972" s="95">
        <f>IFERROR(VLOOKUP(F972,'12. Contratos_OS'!$A$6:$L$1000,4,FALSE),"")</f>
        <v/>
      </c>
      <c r="J972" s="95">
        <f>IFERROR(VLOOKUP(F972,'12. Contratos_OS'!$A$6:$L$1000,7,FALSE),"")</f>
        <v/>
      </c>
      <c r="K972" s="95">
        <f>IFERROR(VLOOKUP(J972,'11. Cadastro de Serviços'!$A$6:$E$200,2,FALSE),"")</f>
        <v/>
      </c>
      <c r="L972" s="95">
        <f>IFERROR(VLOOKUP(J972,'11. Cadastro de Serviços'!$A$6:$E$200,3,FALSE),"")</f>
        <v/>
      </c>
      <c r="M972" s="95">
        <f>IFERROR(VLOOKUP(J972,'11. Cadastro de Serviços'!$A$6:$E$200,4,FALSE),"")</f>
        <v/>
      </c>
      <c r="N972" s="95" t="n"/>
      <c r="O972" s="95">
        <f>IF(AND(G972&lt;&gt;"",I972&lt;&gt;"",J972&lt;&gt;"",M972&lt;&gt;""),"Rastreado","Revisar")</f>
        <v/>
      </c>
      <c r="P972" s="96" t="n"/>
    </row>
    <row r="973">
      <c r="A973" s="95" t="n"/>
      <c r="B973" s="96" t="n"/>
      <c r="C973" s="96" t="n"/>
      <c r="D973" s="95" t="n"/>
      <c r="E973" s="96" t="n"/>
      <c r="F973" s="96" t="n"/>
      <c r="G973" s="95">
        <f>IFERROR(VLOOKUP(F973,'12. Contratos_OS'!$A$6:$L$1000,2,FALSE),"")</f>
        <v/>
      </c>
      <c r="H973" s="95">
        <f>IFERROR(VLOOKUP(F973,'12. Contratos_OS'!$A$6:$L$1000,3,FALSE),"")</f>
        <v/>
      </c>
      <c r="I973" s="95">
        <f>IFERROR(VLOOKUP(F973,'12. Contratos_OS'!$A$6:$L$1000,4,FALSE),"")</f>
        <v/>
      </c>
      <c r="J973" s="95">
        <f>IFERROR(VLOOKUP(F973,'12. Contratos_OS'!$A$6:$L$1000,7,FALSE),"")</f>
        <v/>
      </c>
      <c r="K973" s="95">
        <f>IFERROR(VLOOKUP(J973,'11. Cadastro de Serviços'!$A$6:$E$200,2,FALSE),"")</f>
        <v/>
      </c>
      <c r="L973" s="95">
        <f>IFERROR(VLOOKUP(J973,'11. Cadastro de Serviços'!$A$6:$E$200,3,FALSE),"")</f>
        <v/>
      </c>
      <c r="M973" s="95">
        <f>IFERROR(VLOOKUP(J973,'11. Cadastro de Serviços'!$A$6:$E$200,4,FALSE),"")</f>
        <v/>
      </c>
      <c r="N973" s="95" t="n"/>
      <c r="O973" s="95">
        <f>IF(AND(G973&lt;&gt;"",I973&lt;&gt;"",J973&lt;&gt;"",M973&lt;&gt;""),"Rastreado","Revisar")</f>
        <v/>
      </c>
      <c r="P973" s="96" t="n"/>
    </row>
    <row r="974">
      <c r="A974" s="95" t="n"/>
      <c r="B974" s="96" t="n"/>
      <c r="C974" s="96" t="n"/>
      <c r="D974" s="95" t="n"/>
      <c r="E974" s="96" t="n"/>
      <c r="F974" s="96" t="n"/>
      <c r="G974" s="95">
        <f>IFERROR(VLOOKUP(F974,'12. Contratos_OS'!$A$6:$L$1000,2,FALSE),"")</f>
        <v/>
      </c>
      <c r="H974" s="95">
        <f>IFERROR(VLOOKUP(F974,'12. Contratos_OS'!$A$6:$L$1000,3,FALSE),"")</f>
        <v/>
      </c>
      <c r="I974" s="95">
        <f>IFERROR(VLOOKUP(F974,'12. Contratos_OS'!$A$6:$L$1000,4,FALSE),"")</f>
        <v/>
      </c>
      <c r="J974" s="95">
        <f>IFERROR(VLOOKUP(F974,'12. Contratos_OS'!$A$6:$L$1000,7,FALSE),"")</f>
        <v/>
      </c>
      <c r="K974" s="95">
        <f>IFERROR(VLOOKUP(J974,'11. Cadastro de Serviços'!$A$6:$E$200,2,FALSE),"")</f>
        <v/>
      </c>
      <c r="L974" s="95">
        <f>IFERROR(VLOOKUP(J974,'11. Cadastro de Serviços'!$A$6:$E$200,3,FALSE),"")</f>
        <v/>
      </c>
      <c r="M974" s="95">
        <f>IFERROR(VLOOKUP(J974,'11. Cadastro de Serviços'!$A$6:$E$200,4,FALSE),"")</f>
        <v/>
      </c>
      <c r="N974" s="95" t="n"/>
      <c r="O974" s="95">
        <f>IF(AND(G974&lt;&gt;"",I974&lt;&gt;"",J974&lt;&gt;"",M974&lt;&gt;""),"Rastreado","Revisar")</f>
        <v/>
      </c>
      <c r="P974" s="96" t="n"/>
    </row>
    <row r="975">
      <c r="A975" s="95" t="n"/>
      <c r="B975" s="96" t="n"/>
      <c r="C975" s="96" t="n"/>
      <c r="D975" s="95" t="n"/>
      <c r="E975" s="96" t="n"/>
      <c r="F975" s="96" t="n"/>
      <c r="G975" s="95">
        <f>IFERROR(VLOOKUP(F975,'12. Contratos_OS'!$A$6:$L$1000,2,FALSE),"")</f>
        <v/>
      </c>
      <c r="H975" s="95">
        <f>IFERROR(VLOOKUP(F975,'12. Contratos_OS'!$A$6:$L$1000,3,FALSE),"")</f>
        <v/>
      </c>
      <c r="I975" s="95">
        <f>IFERROR(VLOOKUP(F975,'12. Contratos_OS'!$A$6:$L$1000,4,FALSE),"")</f>
        <v/>
      </c>
      <c r="J975" s="95">
        <f>IFERROR(VLOOKUP(F975,'12. Contratos_OS'!$A$6:$L$1000,7,FALSE),"")</f>
        <v/>
      </c>
      <c r="K975" s="95">
        <f>IFERROR(VLOOKUP(J975,'11. Cadastro de Serviços'!$A$6:$E$200,2,FALSE),"")</f>
        <v/>
      </c>
      <c r="L975" s="95">
        <f>IFERROR(VLOOKUP(J975,'11. Cadastro de Serviços'!$A$6:$E$200,3,FALSE),"")</f>
        <v/>
      </c>
      <c r="M975" s="95">
        <f>IFERROR(VLOOKUP(J975,'11. Cadastro de Serviços'!$A$6:$E$200,4,FALSE),"")</f>
        <v/>
      </c>
      <c r="N975" s="95" t="n"/>
      <c r="O975" s="95">
        <f>IF(AND(G975&lt;&gt;"",I975&lt;&gt;"",J975&lt;&gt;"",M975&lt;&gt;""),"Rastreado","Revisar")</f>
        <v/>
      </c>
      <c r="P975" s="96" t="n"/>
    </row>
    <row r="976">
      <c r="A976" s="95" t="n"/>
      <c r="B976" s="96" t="n"/>
      <c r="C976" s="96" t="n"/>
      <c r="D976" s="95" t="n"/>
      <c r="E976" s="96" t="n"/>
      <c r="F976" s="96" t="n"/>
      <c r="G976" s="95">
        <f>IFERROR(VLOOKUP(F976,'12. Contratos_OS'!$A$6:$L$1000,2,FALSE),"")</f>
        <v/>
      </c>
      <c r="H976" s="95">
        <f>IFERROR(VLOOKUP(F976,'12. Contratos_OS'!$A$6:$L$1000,3,FALSE),"")</f>
        <v/>
      </c>
      <c r="I976" s="95">
        <f>IFERROR(VLOOKUP(F976,'12. Contratos_OS'!$A$6:$L$1000,4,FALSE),"")</f>
        <v/>
      </c>
      <c r="J976" s="95">
        <f>IFERROR(VLOOKUP(F976,'12. Contratos_OS'!$A$6:$L$1000,7,FALSE),"")</f>
        <v/>
      </c>
      <c r="K976" s="95">
        <f>IFERROR(VLOOKUP(J976,'11. Cadastro de Serviços'!$A$6:$E$200,2,FALSE),"")</f>
        <v/>
      </c>
      <c r="L976" s="95">
        <f>IFERROR(VLOOKUP(J976,'11. Cadastro de Serviços'!$A$6:$E$200,3,FALSE),"")</f>
        <v/>
      </c>
      <c r="M976" s="95">
        <f>IFERROR(VLOOKUP(J976,'11. Cadastro de Serviços'!$A$6:$E$200,4,FALSE),"")</f>
        <v/>
      </c>
      <c r="N976" s="95" t="n"/>
      <c r="O976" s="95">
        <f>IF(AND(G976&lt;&gt;"",I976&lt;&gt;"",J976&lt;&gt;"",M976&lt;&gt;""),"Rastreado","Revisar")</f>
        <v/>
      </c>
      <c r="P976" s="96" t="n"/>
    </row>
    <row r="977">
      <c r="A977" s="95" t="n"/>
      <c r="B977" s="96" t="n"/>
      <c r="C977" s="96" t="n"/>
      <c r="D977" s="95" t="n"/>
      <c r="E977" s="96" t="n"/>
      <c r="F977" s="96" t="n"/>
      <c r="G977" s="95">
        <f>IFERROR(VLOOKUP(F977,'12. Contratos_OS'!$A$6:$L$1000,2,FALSE),"")</f>
        <v/>
      </c>
      <c r="H977" s="95">
        <f>IFERROR(VLOOKUP(F977,'12. Contratos_OS'!$A$6:$L$1000,3,FALSE),"")</f>
        <v/>
      </c>
      <c r="I977" s="95">
        <f>IFERROR(VLOOKUP(F977,'12. Contratos_OS'!$A$6:$L$1000,4,FALSE),"")</f>
        <v/>
      </c>
      <c r="J977" s="95">
        <f>IFERROR(VLOOKUP(F977,'12. Contratos_OS'!$A$6:$L$1000,7,FALSE),"")</f>
        <v/>
      </c>
      <c r="K977" s="95">
        <f>IFERROR(VLOOKUP(J977,'11. Cadastro de Serviços'!$A$6:$E$200,2,FALSE),"")</f>
        <v/>
      </c>
      <c r="L977" s="95">
        <f>IFERROR(VLOOKUP(J977,'11. Cadastro de Serviços'!$A$6:$E$200,3,FALSE),"")</f>
        <v/>
      </c>
      <c r="M977" s="95">
        <f>IFERROR(VLOOKUP(J977,'11. Cadastro de Serviços'!$A$6:$E$200,4,FALSE),"")</f>
        <v/>
      </c>
      <c r="N977" s="95" t="n"/>
      <c r="O977" s="95">
        <f>IF(AND(G977&lt;&gt;"",I977&lt;&gt;"",J977&lt;&gt;"",M977&lt;&gt;""),"Rastreado","Revisar")</f>
        <v/>
      </c>
      <c r="P977" s="96" t="n"/>
    </row>
    <row r="978">
      <c r="A978" s="95" t="n"/>
      <c r="B978" s="96" t="n"/>
      <c r="C978" s="96" t="n"/>
      <c r="D978" s="95" t="n"/>
      <c r="E978" s="96" t="n"/>
      <c r="F978" s="96" t="n"/>
      <c r="G978" s="95">
        <f>IFERROR(VLOOKUP(F978,'12. Contratos_OS'!$A$6:$L$1000,2,FALSE),"")</f>
        <v/>
      </c>
      <c r="H978" s="95">
        <f>IFERROR(VLOOKUP(F978,'12. Contratos_OS'!$A$6:$L$1000,3,FALSE),"")</f>
        <v/>
      </c>
      <c r="I978" s="95">
        <f>IFERROR(VLOOKUP(F978,'12. Contratos_OS'!$A$6:$L$1000,4,FALSE),"")</f>
        <v/>
      </c>
      <c r="J978" s="95">
        <f>IFERROR(VLOOKUP(F978,'12. Contratos_OS'!$A$6:$L$1000,7,FALSE),"")</f>
        <v/>
      </c>
      <c r="K978" s="95">
        <f>IFERROR(VLOOKUP(J978,'11. Cadastro de Serviços'!$A$6:$E$200,2,FALSE),"")</f>
        <v/>
      </c>
      <c r="L978" s="95">
        <f>IFERROR(VLOOKUP(J978,'11. Cadastro de Serviços'!$A$6:$E$200,3,FALSE),"")</f>
        <v/>
      </c>
      <c r="M978" s="95">
        <f>IFERROR(VLOOKUP(J978,'11. Cadastro de Serviços'!$A$6:$E$200,4,FALSE),"")</f>
        <v/>
      </c>
      <c r="N978" s="95" t="n"/>
      <c r="O978" s="95">
        <f>IF(AND(G978&lt;&gt;"",I978&lt;&gt;"",J978&lt;&gt;"",M978&lt;&gt;""),"Rastreado","Revisar")</f>
        <v/>
      </c>
      <c r="P978" s="96" t="n"/>
    </row>
    <row r="979">
      <c r="A979" s="95" t="n"/>
      <c r="B979" s="96" t="n"/>
      <c r="C979" s="96" t="n"/>
      <c r="D979" s="95" t="n"/>
      <c r="E979" s="96" t="n"/>
      <c r="F979" s="96" t="n"/>
      <c r="G979" s="95">
        <f>IFERROR(VLOOKUP(F979,'12. Contratos_OS'!$A$6:$L$1000,2,FALSE),"")</f>
        <v/>
      </c>
      <c r="H979" s="95">
        <f>IFERROR(VLOOKUP(F979,'12. Contratos_OS'!$A$6:$L$1000,3,FALSE),"")</f>
        <v/>
      </c>
      <c r="I979" s="95">
        <f>IFERROR(VLOOKUP(F979,'12. Contratos_OS'!$A$6:$L$1000,4,FALSE),"")</f>
        <v/>
      </c>
      <c r="J979" s="95">
        <f>IFERROR(VLOOKUP(F979,'12. Contratos_OS'!$A$6:$L$1000,7,FALSE),"")</f>
        <v/>
      </c>
      <c r="K979" s="95">
        <f>IFERROR(VLOOKUP(J979,'11. Cadastro de Serviços'!$A$6:$E$200,2,FALSE),"")</f>
        <v/>
      </c>
      <c r="L979" s="95">
        <f>IFERROR(VLOOKUP(J979,'11. Cadastro de Serviços'!$A$6:$E$200,3,FALSE),"")</f>
        <v/>
      </c>
      <c r="M979" s="95">
        <f>IFERROR(VLOOKUP(J979,'11. Cadastro de Serviços'!$A$6:$E$200,4,FALSE),"")</f>
        <v/>
      </c>
      <c r="N979" s="95" t="n"/>
      <c r="O979" s="95">
        <f>IF(AND(G979&lt;&gt;"",I979&lt;&gt;"",J979&lt;&gt;"",M979&lt;&gt;""),"Rastreado","Revisar")</f>
        <v/>
      </c>
      <c r="P979" s="96" t="n"/>
    </row>
    <row r="980">
      <c r="A980" s="95" t="n"/>
      <c r="B980" s="96" t="n"/>
      <c r="C980" s="96" t="n"/>
      <c r="D980" s="95" t="n"/>
      <c r="E980" s="96" t="n"/>
      <c r="F980" s="96" t="n"/>
      <c r="G980" s="95">
        <f>IFERROR(VLOOKUP(F980,'12. Contratos_OS'!$A$6:$L$1000,2,FALSE),"")</f>
        <v/>
      </c>
      <c r="H980" s="95">
        <f>IFERROR(VLOOKUP(F980,'12. Contratos_OS'!$A$6:$L$1000,3,FALSE),"")</f>
        <v/>
      </c>
      <c r="I980" s="95">
        <f>IFERROR(VLOOKUP(F980,'12. Contratos_OS'!$A$6:$L$1000,4,FALSE),"")</f>
        <v/>
      </c>
      <c r="J980" s="95">
        <f>IFERROR(VLOOKUP(F980,'12. Contratos_OS'!$A$6:$L$1000,7,FALSE),"")</f>
        <v/>
      </c>
      <c r="K980" s="95">
        <f>IFERROR(VLOOKUP(J980,'11. Cadastro de Serviços'!$A$6:$E$200,2,FALSE),"")</f>
        <v/>
      </c>
      <c r="L980" s="95">
        <f>IFERROR(VLOOKUP(J980,'11. Cadastro de Serviços'!$A$6:$E$200,3,FALSE),"")</f>
        <v/>
      </c>
      <c r="M980" s="95">
        <f>IFERROR(VLOOKUP(J980,'11. Cadastro de Serviços'!$A$6:$E$200,4,FALSE),"")</f>
        <v/>
      </c>
      <c r="N980" s="95" t="n"/>
      <c r="O980" s="95">
        <f>IF(AND(G980&lt;&gt;"",I980&lt;&gt;"",J980&lt;&gt;"",M980&lt;&gt;""),"Rastreado","Revisar")</f>
        <v/>
      </c>
      <c r="P980" s="96" t="n"/>
    </row>
    <row r="981">
      <c r="A981" s="95" t="n"/>
      <c r="B981" s="96" t="n"/>
      <c r="C981" s="96" t="n"/>
      <c r="D981" s="95" t="n"/>
      <c r="E981" s="96" t="n"/>
      <c r="F981" s="96" t="n"/>
      <c r="G981" s="95">
        <f>IFERROR(VLOOKUP(F981,'12. Contratos_OS'!$A$6:$L$1000,2,FALSE),"")</f>
        <v/>
      </c>
      <c r="H981" s="95">
        <f>IFERROR(VLOOKUP(F981,'12. Contratos_OS'!$A$6:$L$1000,3,FALSE),"")</f>
        <v/>
      </c>
      <c r="I981" s="95">
        <f>IFERROR(VLOOKUP(F981,'12. Contratos_OS'!$A$6:$L$1000,4,FALSE),"")</f>
        <v/>
      </c>
      <c r="J981" s="95">
        <f>IFERROR(VLOOKUP(F981,'12. Contratos_OS'!$A$6:$L$1000,7,FALSE),"")</f>
        <v/>
      </c>
      <c r="K981" s="95">
        <f>IFERROR(VLOOKUP(J981,'11. Cadastro de Serviços'!$A$6:$E$200,2,FALSE),"")</f>
        <v/>
      </c>
      <c r="L981" s="95">
        <f>IFERROR(VLOOKUP(J981,'11. Cadastro de Serviços'!$A$6:$E$200,3,FALSE),"")</f>
        <v/>
      </c>
      <c r="M981" s="95">
        <f>IFERROR(VLOOKUP(J981,'11. Cadastro de Serviços'!$A$6:$E$200,4,FALSE),"")</f>
        <v/>
      </c>
      <c r="N981" s="95" t="n"/>
      <c r="O981" s="95">
        <f>IF(AND(G981&lt;&gt;"",I981&lt;&gt;"",J981&lt;&gt;"",M981&lt;&gt;""),"Rastreado","Revisar")</f>
        <v/>
      </c>
      <c r="P981" s="96" t="n"/>
    </row>
    <row r="982">
      <c r="A982" s="95" t="n"/>
      <c r="B982" s="96" t="n"/>
      <c r="C982" s="96" t="n"/>
      <c r="D982" s="95" t="n"/>
      <c r="E982" s="96" t="n"/>
      <c r="F982" s="96" t="n"/>
      <c r="G982" s="95">
        <f>IFERROR(VLOOKUP(F982,'12. Contratos_OS'!$A$6:$L$1000,2,FALSE),"")</f>
        <v/>
      </c>
      <c r="H982" s="95">
        <f>IFERROR(VLOOKUP(F982,'12. Contratos_OS'!$A$6:$L$1000,3,FALSE),"")</f>
        <v/>
      </c>
      <c r="I982" s="95">
        <f>IFERROR(VLOOKUP(F982,'12. Contratos_OS'!$A$6:$L$1000,4,FALSE),"")</f>
        <v/>
      </c>
      <c r="J982" s="95">
        <f>IFERROR(VLOOKUP(F982,'12. Contratos_OS'!$A$6:$L$1000,7,FALSE),"")</f>
        <v/>
      </c>
      <c r="K982" s="95">
        <f>IFERROR(VLOOKUP(J982,'11. Cadastro de Serviços'!$A$6:$E$200,2,FALSE),"")</f>
        <v/>
      </c>
      <c r="L982" s="95">
        <f>IFERROR(VLOOKUP(J982,'11. Cadastro de Serviços'!$A$6:$E$200,3,FALSE),"")</f>
        <v/>
      </c>
      <c r="M982" s="95">
        <f>IFERROR(VLOOKUP(J982,'11. Cadastro de Serviços'!$A$6:$E$200,4,FALSE),"")</f>
        <v/>
      </c>
      <c r="N982" s="95" t="n"/>
      <c r="O982" s="95">
        <f>IF(AND(G982&lt;&gt;"",I982&lt;&gt;"",J982&lt;&gt;"",M982&lt;&gt;""),"Rastreado","Revisar")</f>
        <v/>
      </c>
      <c r="P982" s="96" t="n"/>
    </row>
    <row r="983">
      <c r="A983" s="95" t="n"/>
      <c r="B983" s="96" t="n"/>
      <c r="C983" s="96" t="n"/>
      <c r="D983" s="95" t="n"/>
      <c r="E983" s="96" t="n"/>
      <c r="F983" s="96" t="n"/>
      <c r="G983" s="95">
        <f>IFERROR(VLOOKUP(F983,'12. Contratos_OS'!$A$6:$L$1000,2,FALSE),"")</f>
        <v/>
      </c>
      <c r="H983" s="95">
        <f>IFERROR(VLOOKUP(F983,'12. Contratos_OS'!$A$6:$L$1000,3,FALSE),"")</f>
        <v/>
      </c>
      <c r="I983" s="95">
        <f>IFERROR(VLOOKUP(F983,'12. Contratos_OS'!$A$6:$L$1000,4,FALSE),"")</f>
        <v/>
      </c>
      <c r="J983" s="95">
        <f>IFERROR(VLOOKUP(F983,'12. Contratos_OS'!$A$6:$L$1000,7,FALSE),"")</f>
        <v/>
      </c>
      <c r="K983" s="95">
        <f>IFERROR(VLOOKUP(J983,'11. Cadastro de Serviços'!$A$6:$E$200,2,FALSE),"")</f>
        <v/>
      </c>
      <c r="L983" s="95">
        <f>IFERROR(VLOOKUP(J983,'11. Cadastro de Serviços'!$A$6:$E$200,3,FALSE),"")</f>
        <v/>
      </c>
      <c r="M983" s="95">
        <f>IFERROR(VLOOKUP(J983,'11. Cadastro de Serviços'!$A$6:$E$200,4,FALSE),"")</f>
        <v/>
      </c>
      <c r="N983" s="95" t="n"/>
      <c r="O983" s="95">
        <f>IF(AND(G983&lt;&gt;"",I983&lt;&gt;"",J983&lt;&gt;"",M983&lt;&gt;""),"Rastreado","Revisar")</f>
        <v/>
      </c>
      <c r="P983" s="96" t="n"/>
    </row>
    <row r="984">
      <c r="A984" s="95" t="n"/>
      <c r="B984" s="96" t="n"/>
      <c r="C984" s="96" t="n"/>
      <c r="D984" s="95" t="n"/>
      <c r="E984" s="96" t="n"/>
      <c r="F984" s="96" t="n"/>
      <c r="G984" s="95">
        <f>IFERROR(VLOOKUP(F984,'12. Contratos_OS'!$A$6:$L$1000,2,FALSE),"")</f>
        <v/>
      </c>
      <c r="H984" s="95">
        <f>IFERROR(VLOOKUP(F984,'12. Contratos_OS'!$A$6:$L$1000,3,FALSE),"")</f>
        <v/>
      </c>
      <c r="I984" s="95">
        <f>IFERROR(VLOOKUP(F984,'12. Contratos_OS'!$A$6:$L$1000,4,FALSE),"")</f>
        <v/>
      </c>
      <c r="J984" s="95">
        <f>IFERROR(VLOOKUP(F984,'12. Contratos_OS'!$A$6:$L$1000,7,FALSE),"")</f>
        <v/>
      </c>
      <c r="K984" s="95">
        <f>IFERROR(VLOOKUP(J984,'11. Cadastro de Serviços'!$A$6:$E$200,2,FALSE),"")</f>
        <v/>
      </c>
      <c r="L984" s="95">
        <f>IFERROR(VLOOKUP(J984,'11. Cadastro de Serviços'!$A$6:$E$200,3,FALSE),"")</f>
        <v/>
      </c>
      <c r="M984" s="95">
        <f>IFERROR(VLOOKUP(J984,'11. Cadastro de Serviços'!$A$6:$E$200,4,FALSE),"")</f>
        <v/>
      </c>
      <c r="N984" s="95" t="n"/>
      <c r="O984" s="95">
        <f>IF(AND(G984&lt;&gt;"",I984&lt;&gt;"",J984&lt;&gt;"",M984&lt;&gt;""),"Rastreado","Revisar")</f>
        <v/>
      </c>
      <c r="P984" s="96" t="n"/>
    </row>
    <row r="985">
      <c r="A985" s="95" t="n"/>
      <c r="B985" s="96" t="n"/>
      <c r="C985" s="96" t="n"/>
      <c r="D985" s="95" t="n"/>
      <c r="E985" s="96" t="n"/>
      <c r="F985" s="96" t="n"/>
      <c r="G985" s="95">
        <f>IFERROR(VLOOKUP(F985,'12. Contratos_OS'!$A$6:$L$1000,2,FALSE),"")</f>
        <v/>
      </c>
      <c r="H985" s="95">
        <f>IFERROR(VLOOKUP(F985,'12. Contratos_OS'!$A$6:$L$1000,3,FALSE),"")</f>
        <v/>
      </c>
      <c r="I985" s="95">
        <f>IFERROR(VLOOKUP(F985,'12. Contratos_OS'!$A$6:$L$1000,4,FALSE),"")</f>
        <v/>
      </c>
      <c r="J985" s="95">
        <f>IFERROR(VLOOKUP(F985,'12. Contratos_OS'!$A$6:$L$1000,7,FALSE),"")</f>
        <v/>
      </c>
      <c r="K985" s="95">
        <f>IFERROR(VLOOKUP(J985,'11. Cadastro de Serviços'!$A$6:$E$200,2,FALSE),"")</f>
        <v/>
      </c>
      <c r="L985" s="95">
        <f>IFERROR(VLOOKUP(J985,'11. Cadastro de Serviços'!$A$6:$E$200,3,FALSE),"")</f>
        <v/>
      </c>
      <c r="M985" s="95">
        <f>IFERROR(VLOOKUP(J985,'11. Cadastro de Serviços'!$A$6:$E$200,4,FALSE),"")</f>
        <v/>
      </c>
      <c r="N985" s="95" t="n"/>
      <c r="O985" s="95">
        <f>IF(AND(G985&lt;&gt;"",I985&lt;&gt;"",J985&lt;&gt;"",M985&lt;&gt;""),"Rastreado","Revisar")</f>
        <v/>
      </c>
      <c r="P985" s="96" t="n"/>
    </row>
    <row r="986">
      <c r="A986" s="95" t="n"/>
      <c r="B986" s="96" t="n"/>
      <c r="C986" s="96" t="n"/>
      <c r="D986" s="95" t="n"/>
      <c r="E986" s="96" t="n"/>
      <c r="F986" s="96" t="n"/>
      <c r="G986" s="95">
        <f>IFERROR(VLOOKUP(F986,'12. Contratos_OS'!$A$6:$L$1000,2,FALSE),"")</f>
        <v/>
      </c>
      <c r="H986" s="95">
        <f>IFERROR(VLOOKUP(F986,'12. Contratos_OS'!$A$6:$L$1000,3,FALSE),"")</f>
        <v/>
      </c>
      <c r="I986" s="95">
        <f>IFERROR(VLOOKUP(F986,'12. Contratos_OS'!$A$6:$L$1000,4,FALSE),"")</f>
        <v/>
      </c>
      <c r="J986" s="95">
        <f>IFERROR(VLOOKUP(F986,'12. Contratos_OS'!$A$6:$L$1000,7,FALSE),"")</f>
        <v/>
      </c>
      <c r="K986" s="95">
        <f>IFERROR(VLOOKUP(J986,'11. Cadastro de Serviços'!$A$6:$E$200,2,FALSE),"")</f>
        <v/>
      </c>
      <c r="L986" s="95">
        <f>IFERROR(VLOOKUP(J986,'11. Cadastro de Serviços'!$A$6:$E$200,3,FALSE),"")</f>
        <v/>
      </c>
      <c r="M986" s="95">
        <f>IFERROR(VLOOKUP(J986,'11. Cadastro de Serviços'!$A$6:$E$200,4,FALSE),"")</f>
        <v/>
      </c>
      <c r="N986" s="95" t="n"/>
      <c r="O986" s="95">
        <f>IF(AND(G986&lt;&gt;"",I986&lt;&gt;"",J986&lt;&gt;"",M986&lt;&gt;""),"Rastreado","Revisar")</f>
        <v/>
      </c>
      <c r="P986" s="96" t="n"/>
    </row>
    <row r="987">
      <c r="A987" s="95" t="n"/>
      <c r="B987" s="96" t="n"/>
      <c r="C987" s="96" t="n"/>
      <c r="D987" s="95" t="n"/>
      <c r="E987" s="96" t="n"/>
      <c r="F987" s="96" t="n"/>
      <c r="G987" s="95">
        <f>IFERROR(VLOOKUP(F987,'12. Contratos_OS'!$A$6:$L$1000,2,FALSE),"")</f>
        <v/>
      </c>
      <c r="H987" s="95">
        <f>IFERROR(VLOOKUP(F987,'12. Contratos_OS'!$A$6:$L$1000,3,FALSE),"")</f>
        <v/>
      </c>
      <c r="I987" s="95">
        <f>IFERROR(VLOOKUP(F987,'12. Contratos_OS'!$A$6:$L$1000,4,FALSE),"")</f>
        <v/>
      </c>
      <c r="J987" s="95">
        <f>IFERROR(VLOOKUP(F987,'12. Contratos_OS'!$A$6:$L$1000,7,FALSE),"")</f>
        <v/>
      </c>
      <c r="K987" s="95">
        <f>IFERROR(VLOOKUP(J987,'11. Cadastro de Serviços'!$A$6:$E$200,2,FALSE),"")</f>
        <v/>
      </c>
      <c r="L987" s="95">
        <f>IFERROR(VLOOKUP(J987,'11. Cadastro de Serviços'!$A$6:$E$200,3,FALSE),"")</f>
        <v/>
      </c>
      <c r="M987" s="95">
        <f>IFERROR(VLOOKUP(J987,'11. Cadastro de Serviços'!$A$6:$E$200,4,FALSE),"")</f>
        <v/>
      </c>
      <c r="N987" s="95" t="n"/>
      <c r="O987" s="95">
        <f>IF(AND(G987&lt;&gt;"",I987&lt;&gt;"",J987&lt;&gt;"",M987&lt;&gt;""),"Rastreado","Revisar")</f>
        <v/>
      </c>
      <c r="P987" s="96" t="n"/>
    </row>
    <row r="988">
      <c r="A988" s="95" t="n"/>
      <c r="B988" s="96" t="n"/>
      <c r="C988" s="96" t="n"/>
      <c r="D988" s="95" t="n"/>
      <c r="E988" s="96" t="n"/>
      <c r="F988" s="96" t="n"/>
      <c r="G988" s="95">
        <f>IFERROR(VLOOKUP(F988,'12. Contratos_OS'!$A$6:$L$1000,2,FALSE),"")</f>
        <v/>
      </c>
      <c r="H988" s="95">
        <f>IFERROR(VLOOKUP(F988,'12. Contratos_OS'!$A$6:$L$1000,3,FALSE),"")</f>
        <v/>
      </c>
      <c r="I988" s="95">
        <f>IFERROR(VLOOKUP(F988,'12. Contratos_OS'!$A$6:$L$1000,4,FALSE),"")</f>
        <v/>
      </c>
      <c r="J988" s="95">
        <f>IFERROR(VLOOKUP(F988,'12. Contratos_OS'!$A$6:$L$1000,7,FALSE),"")</f>
        <v/>
      </c>
      <c r="K988" s="95">
        <f>IFERROR(VLOOKUP(J988,'11. Cadastro de Serviços'!$A$6:$E$200,2,FALSE),"")</f>
        <v/>
      </c>
      <c r="L988" s="95">
        <f>IFERROR(VLOOKUP(J988,'11. Cadastro de Serviços'!$A$6:$E$200,3,FALSE),"")</f>
        <v/>
      </c>
      <c r="M988" s="95">
        <f>IFERROR(VLOOKUP(J988,'11. Cadastro de Serviços'!$A$6:$E$200,4,FALSE),"")</f>
        <v/>
      </c>
      <c r="N988" s="95" t="n"/>
      <c r="O988" s="95">
        <f>IF(AND(G988&lt;&gt;"",I988&lt;&gt;"",J988&lt;&gt;"",M988&lt;&gt;""),"Rastreado","Revisar")</f>
        <v/>
      </c>
      <c r="P988" s="96" t="n"/>
    </row>
    <row r="989">
      <c r="A989" s="95" t="n"/>
      <c r="B989" s="96" t="n"/>
      <c r="C989" s="96" t="n"/>
      <c r="D989" s="95" t="n"/>
      <c r="E989" s="96" t="n"/>
      <c r="F989" s="96" t="n"/>
      <c r="G989" s="95">
        <f>IFERROR(VLOOKUP(F989,'12. Contratos_OS'!$A$6:$L$1000,2,FALSE),"")</f>
        <v/>
      </c>
      <c r="H989" s="95">
        <f>IFERROR(VLOOKUP(F989,'12. Contratos_OS'!$A$6:$L$1000,3,FALSE),"")</f>
        <v/>
      </c>
      <c r="I989" s="95">
        <f>IFERROR(VLOOKUP(F989,'12. Contratos_OS'!$A$6:$L$1000,4,FALSE),"")</f>
        <v/>
      </c>
      <c r="J989" s="95">
        <f>IFERROR(VLOOKUP(F989,'12. Contratos_OS'!$A$6:$L$1000,7,FALSE),"")</f>
        <v/>
      </c>
      <c r="K989" s="95">
        <f>IFERROR(VLOOKUP(J989,'11. Cadastro de Serviços'!$A$6:$E$200,2,FALSE),"")</f>
        <v/>
      </c>
      <c r="L989" s="95">
        <f>IFERROR(VLOOKUP(J989,'11. Cadastro de Serviços'!$A$6:$E$200,3,FALSE),"")</f>
        <v/>
      </c>
      <c r="M989" s="95">
        <f>IFERROR(VLOOKUP(J989,'11. Cadastro de Serviços'!$A$6:$E$200,4,FALSE),"")</f>
        <v/>
      </c>
      <c r="N989" s="95" t="n"/>
      <c r="O989" s="95">
        <f>IF(AND(G989&lt;&gt;"",I989&lt;&gt;"",J989&lt;&gt;"",M989&lt;&gt;""),"Rastreado","Revisar")</f>
        <v/>
      </c>
      <c r="P989" s="96" t="n"/>
    </row>
    <row r="990">
      <c r="A990" s="95" t="n"/>
      <c r="B990" s="96" t="n"/>
      <c r="C990" s="96" t="n"/>
      <c r="D990" s="95" t="n"/>
      <c r="E990" s="96" t="n"/>
      <c r="F990" s="96" t="n"/>
      <c r="G990" s="95">
        <f>IFERROR(VLOOKUP(F990,'12. Contratos_OS'!$A$6:$L$1000,2,FALSE),"")</f>
        <v/>
      </c>
      <c r="H990" s="95">
        <f>IFERROR(VLOOKUP(F990,'12. Contratos_OS'!$A$6:$L$1000,3,FALSE),"")</f>
        <v/>
      </c>
      <c r="I990" s="95">
        <f>IFERROR(VLOOKUP(F990,'12. Contratos_OS'!$A$6:$L$1000,4,FALSE),"")</f>
        <v/>
      </c>
      <c r="J990" s="95">
        <f>IFERROR(VLOOKUP(F990,'12. Contratos_OS'!$A$6:$L$1000,7,FALSE),"")</f>
        <v/>
      </c>
      <c r="K990" s="95">
        <f>IFERROR(VLOOKUP(J990,'11. Cadastro de Serviços'!$A$6:$E$200,2,FALSE),"")</f>
        <v/>
      </c>
      <c r="L990" s="95">
        <f>IFERROR(VLOOKUP(J990,'11. Cadastro de Serviços'!$A$6:$E$200,3,FALSE),"")</f>
        <v/>
      </c>
      <c r="M990" s="95">
        <f>IFERROR(VLOOKUP(J990,'11. Cadastro de Serviços'!$A$6:$E$200,4,FALSE),"")</f>
        <v/>
      </c>
      <c r="N990" s="95" t="n"/>
      <c r="O990" s="95">
        <f>IF(AND(G990&lt;&gt;"",I990&lt;&gt;"",J990&lt;&gt;"",M990&lt;&gt;""),"Rastreado","Revisar")</f>
        <v/>
      </c>
      <c r="P990" s="96" t="n"/>
    </row>
    <row r="991">
      <c r="A991" s="95" t="n"/>
      <c r="B991" s="96" t="n"/>
      <c r="C991" s="96" t="n"/>
      <c r="D991" s="95" t="n"/>
      <c r="E991" s="96" t="n"/>
      <c r="F991" s="96" t="n"/>
      <c r="G991" s="95">
        <f>IFERROR(VLOOKUP(F991,'12. Contratos_OS'!$A$6:$L$1000,2,FALSE),"")</f>
        <v/>
      </c>
      <c r="H991" s="95">
        <f>IFERROR(VLOOKUP(F991,'12. Contratos_OS'!$A$6:$L$1000,3,FALSE),"")</f>
        <v/>
      </c>
      <c r="I991" s="95">
        <f>IFERROR(VLOOKUP(F991,'12. Contratos_OS'!$A$6:$L$1000,4,FALSE),"")</f>
        <v/>
      </c>
      <c r="J991" s="95">
        <f>IFERROR(VLOOKUP(F991,'12. Contratos_OS'!$A$6:$L$1000,7,FALSE),"")</f>
        <v/>
      </c>
      <c r="K991" s="95">
        <f>IFERROR(VLOOKUP(J991,'11. Cadastro de Serviços'!$A$6:$E$200,2,FALSE),"")</f>
        <v/>
      </c>
      <c r="L991" s="95">
        <f>IFERROR(VLOOKUP(J991,'11. Cadastro de Serviços'!$A$6:$E$200,3,FALSE),"")</f>
        <v/>
      </c>
      <c r="M991" s="95">
        <f>IFERROR(VLOOKUP(J991,'11. Cadastro de Serviços'!$A$6:$E$200,4,FALSE),"")</f>
        <v/>
      </c>
      <c r="N991" s="95" t="n"/>
      <c r="O991" s="95">
        <f>IF(AND(G991&lt;&gt;"",I991&lt;&gt;"",J991&lt;&gt;"",M991&lt;&gt;""),"Rastreado","Revisar")</f>
        <v/>
      </c>
      <c r="P991" s="96" t="n"/>
    </row>
    <row r="992">
      <c r="A992" s="95" t="n"/>
      <c r="B992" s="96" t="n"/>
      <c r="C992" s="96" t="n"/>
      <c r="D992" s="95" t="n"/>
      <c r="E992" s="96" t="n"/>
      <c r="F992" s="96" t="n"/>
      <c r="G992" s="95">
        <f>IFERROR(VLOOKUP(F992,'12. Contratos_OS'!$A$6:$L$1000,2,FALSE),"")</f>
        <v/>
      </c>
      <c r="H992" s="95">
        <f>IFERROR(VLOOKUP(F992,'12. Contratos_OS'!$A$6:$L$1000,3,FALSE),"")</f>
        <v/>
      </c>
      <c r="I992" s="95">
        <f>IFERROR(VLOOKUP(F992,'12. Contratos_OS'!$A$6:$L$1000,4,FALSE),"")</f>
        <v/>
      </c>
      <c r="J992" s="95">
        <f>IFERROR(VLOOKUP(F992,'12. Contratos_OS'!$A$6:$L$1000,7,FALSE),"")</f>
        <v/>
      </c>
      <c r="K992" s="95">
        <f>IFERROR(VLOOKUP(J992,'11. Cadastro de Serviços'!$A$6:$E$200,2,FALSE),"")</f>
        <v/>
      </c>
      <c r="L992" s="95">
        <f>IFERROR(VLOOKUP(J992,'11. Cadastro de Serviços'!$A$6:$E$200,3,FALSE),"")</f>
        <v/>
      </c>
      <c r="M992" s="95">
        <f>IFERROR(VLOOKUP(J992,'11. Cadastro de Serviços'!$A$6:$E$200,4,FALSE),"")</f>
        <v/>
      </c>
      <c r="N992" s="95" t="n"/>
      <c r="O992" s="95">
        <f>IF(AND(G992&lt;&gt;"",I992&lt;&gt;"",J992&lt;&gt;"",M992&lt;&gt;""),"Rastreado","Revisar")</f>
        <v/>
      </c>
      <c r="P992" s="96" t="n"/>
    </row>
    <row r="993">
      <c r="A993" s="95" t="n"/>
      <c r="B993" s="96" t="n"/>
      <c r="C993" s="96" t="n"/>
      <c r="D993" s="95" t="n"/>
      <c r="E993" s="96" t="n"/>
      <c r="F993" s="96" t="n"/>
      <c r="G993" s="95">
        <f>IFERROR(VLOOKUP(F993,'12. Contratos_OS'!$A$6:$L$1000,2,FALSE),"")</f>
        <v/>
      </c>
      <c r="H993" s="95">
        <f>IFERROR(VLOOKUP(F993,'12. Contratos_OS'!$A$6:$L$1000,3,FALSE),"")</f>
        <v/>
      </c>
      <c r="I993" s="95">
        <f>IFERROR(VLOOKUP(F993,'12. Contratos_OS'!$A$6:$L$1000,4,FALSE),"")</f>
        <v/>
      </c>
      <c r="J993" s="95">
        <f>IFERROR(VLOOKUP(F993,'12. Contratos_OS'!$A$6:$L$1000,7,FALSE),"")</f>
        <v/>
      </c>
      <c r="K993" s="95">
        <f>IFERROR(VLOOKUP(J993,'11. Cadastro de Serviços'!$A$6:$E$200,2,FALSE),"")</f>
        <v/>
      </c>
      <c r="L993" s="95">
        <f>IFERROR(VLOOKUP(J993,'11. Cadastro de Serviços'!$A$6:$E$200,3,FALSE),"")</f>
        <v/>
      </c>
      <c r="M993" s="95">
        <f>IFERROR(VLOOKUP(J993,'11. Cadastro de Serviços'!$A$6:$E$200,4,FALSE),"")</f>
        <v/>
      </c>
      <c r="N993" s="95" t="n"/>
      <c r="O993" s="95">
        <f>IF(AND(G993&lt;&gt;"",I993&lt;&gt;"",J993&lt;&gt;"",M993&lt;&gt;""),"Rastreado","Revisar")</f>
        <v/>
      </c>
      <c r="P993" s="96" t="n"/>
    </row>
    <row r="994">
      <c r="A994" s="95" t="n"/>
      <c r="B994" s="96" t="n"/>
      <c r="C994" s="96" t="n"/>
      <c r="D994" s="95" t="n"/>
      <c r="E994" s="96" t="n"/>
      <c r="F994" s="96" t="n"/>
      <c r="G994" s="95">
        <f>IFERROR(VLOOKUP(F994,'12. Contratos_OS'!$A$6:$L$1000,2,FALSE),"")</f>
        <v/>
      </c>
      <c r="H994" s="95">
        <f>IFERROR(VLOOKUP(F994,'12. Contratos_OS'!$A$6:$L$1000,3,FALSE),"")</f>
        <v/>
      </c>
      <c r="I994" s="95">
        <f>IFERROR(VLOOKUP(F994,'12. Contratos_OS'!$A$6:$L$1000,4,FALSE),"")</f>
        <v/>
      </c>
      <c r="J994" s="95">
        <f>IFERROR(VLOOKUP(F994,'12. Contratos_OS'!$A$6:$L$1000,7,FALSE),"")</f>
        <v/>
      </c>
      <c r="K994" s="95">
        <f>IFERROR(VLOOKUP(J994,'11. Cadastro de Serviços'!$A$6:$E$200,2,FALSE),"")</f>
        <v/>
      </c>
      <c r="L994" s="95">
        <f>IFERROR(VLOOKUP(J994,'11. Cadastro de Serviços'!$A$6:$E$200,3,FALSE),"")</f>
        <v/>
      </c>
      <c r="M994" s="95">
        <f>IFERROR(VLOOKUP(J994,'11. Cadastro de Serviços'!$A$6:$E$200,4,FALSE),"")</f>
        <v/>
      </c>
      <c r="N994" s="95" t="n"/>
      <c r="O994" s="95">
        <f>IF(AND(G994&lt;&gt;"",I994&lt;&gt;"",J994&lt;&gt;"",M994&lt;&gt;""),"Rastreado","Revisar")</f>
        <v/>
      </c>
      <c r="P994" s="96" t="n"/>
    </row>
    <row r="995">
      <c r="A995" s="95" t="n"/>
      <c r="B995" s="96" t="n"/>
      <c r="C995" s="96" t="n"/>
      <c r="D995" s="95" t="n"/>
      <c r="E995" s="96" t="n"/>
      <c r="F995" s="96" t="n"/>
      <c r="G995" s="95">
        <f>IFERROR(VLOOKUP(F995,'12. Contratos_OS'!$A$6:$L$1000,2,FALSE),"")</f>
        <v/>
      </c>
      <c r="H995" s="95">
        <f>IFERROR(VLOOKUP(F995,'12. Contratos_OS'!$A$6:$L$1000,3,FALSE),"")</f>
        <v/>
      </c>
      <c r="I995" s="95">
        <f>IFERROR(VLOOKUP(F995,'12. Contratos_OS'!$A$6:$L$1000,4,FALSE),"")</f>
        <v/>
      </c>
      <c r="J995" s="95">
        <f>IFERROR(VLOOKUP(F995,'12. Contratos_OS'!$A$6:$L$1000,7,FALSE),"")</f>
        <v/>
      </c>
      <c r="K995" s="95">
        <f>IFERROR(VLOOKUP(J995,'11. Cadastro de Serviços'!$A$6:$E$200,2,FALSE),"")</f>
        <v/>
      </c>
      <c r="L995" s="95">
        <f>IFERROR(VLOOKUP(J995,'11. Cadastro de Serviços'!$A$6:$E$200,3,FALSE),"")</f>
        <v/>
      </c>
      <c r="M995" s="95">
        <f>IFERROR(VLOOKUP(J995,'11. Cadastro de Serviços'!$A$6:$E$200,4,FALSE),"")</f>
        <v/>
      </c>
      <c r="N995" s="95" t="n"/>
      <c r="O995" s="95">
        <f>IF(AND(G995&lt;&gt;"",I995&lt;&gt;"",J995&lt;&gt;"",M995&lt;&gt;""),"Rastreado","Revisar")</f>
        <v/>
      </c>
      <c r="P995" s="96" t="n"/>
    </row>
    <row r="996">
      <c r="A996" s="95" t="n"/>
      <c r="B996" s="96" t="n"/>
      <c r="C996" s="96" t="n"/>
      <c r="D996" s="95" t="n"/>
      <c r="E996" s="96" t="n"/>
      <c r="F996" s="96" t="n"/>
      <c r="G996" s="95">
        <f>IFERROR(VLOOKUP(F996,'12. Contratos_OS'!$A$6:$L$1000,2,FALSE),"")</f>
        <v/>
      </c>
      <c r="H996" s="95">
        <f>IFERROR(VLOOKUP(F996,'12. Contratos_OS'!$A$6:$L$1000,3,FALSE),"")</f>
        <v/>
      </c>
      <c r="I996" s="95">
        <f>IFERROR(VLOOKUP(F996,'12. Contratos_OS'!$A$6:$L$1000,4,FALSE),"")</f>
        <v/>
      </c>
      <c r="J996" s="95">
        <f>IFERROR(VLOOKUP(F996,'12. Contratos_OS'!$A$6:$L$1000,7,FALSE),"")</f>
        <v/>
      </c>
      <c r="K996" s="95">
        <f>IFERROR(VLOOKUP(J996,'11. Cadastro de Serviços'!$A$6:$E$200,2,FALSE),"")</f>
        <v/>
      </c>
      <c r="L996" s="95">
        <f>IFERROR(VLOOKUP(J996,'11. Cadastro de Serviços'!$A$6:$E$200,3,FALSE),"")</f>
        <v/>
      </c>
      <c r="M996" s="95">
        <f>IFERROR(VLOOKUP(J996,'11. Cadastro de Serviços'!$A$6:$E$200,4,FALSE),"")</f>
        <v/>
      </c>
      <c r="N996" s="95" t="n"/>
      <c r="O996" s="95">
        <f>IF(AND(G996&lt;&gt;"",I996&lt;&gt;"",J996&lt;&gt;"",M996&lt;&gt;""),"Rastreado","Revisar")</f>
        <v/>
      </c>
      <c r="P996" s="96" t="n"/>
    </row>
    <row r="997">
      <c r="A997" s="95" t="n"/>
      <c r="B997" s="96" t="n"/>
      <c r="C997" s="96" t="n"/>
      <c r="D997" s="95" t="n"/>
      <c r="E997" s="96" t="n"/>
      <c r="F997" s="96" t="n"/>
      <c r="G997" s="95">
        <f>IFERROR(VLOOKUP(F997,'12. Contratos_OS'!$A$6:$L$1000,2,FALSE),"")</f>
        <v/>
      </c>
      <c r="H997" s="95">
        <f>IFERROR(VLOOKUP(F997,'12. Contratos_OS'!$A$6:$L$1000,3,FALSE),"")</f>
        <v/>
      </c>
      <c r="I997" s="95">
        <f>IFERROR(VLOOKUP(F997,'12. Contratos_OS'!$A$6:$L$1000,4,FALSE),"")</f>
        <v/>
      </c>
      <c r="J997" s="95">
        <f>IFERROR(VLOOKUP(F997,'12. Contratos_OS'!$A$6:$L$1000,7,FALSE),"")</f>
        <v/>
      </c>
      <c r="K997" s="95">
        <f>IFERROR(VLOOKUP(J997,'11. Cadastro de Serviços'!$A$6:$E$200,2,FALSE),"")</f>
        <v/>
      </c>
      <c r="L997" s="95">
        <f>IFERROR(VLOOKUP(J997,'11. Cadastro de Serviços'!$A$6:$E$200,3,FALSE),"")</f>
        <v/>
      </c>
      <c r="M997" s="95">
        <f>IFERROR(VLOOKUP(J997,'11. Cadastro de Serviços'!$A$6:$E$200,4,FALSE),"")</f>
        <v/>
      </c>
      <c r="N997" s="95" t="n"/>
      <c r="O997" s="95">
        <f>IF(AND(G997&lt;&gt;"",I997&lt;&gt;"",J997&lt;&gt;"",M997&lt;&gt;""),"Rastreado","Revisar")</f>
        <v/>
      </c>
      <c r="P997" s="96" t="n"/>
    </row>
    <row r="998">
      <c r="A998" s="95" t="n"/>
      <c r="B998" s="96" t="n"/>
      <c r="C998" s="96" t="n"/>
      <c r="D998" s="95" t="n"/>
      <c r="E998" s="96" t="n"/>
      <c r="F998" s="96" t="n"/>
      <c r="G998" s="95">
        <f>IFERROR(VLOOKUP(F998,'12. Contratos_OS'!$A$6:$L$1000,2,FALSE),"")</f>
        <v/>
      </c>
      <c r="H998" s="95">
        <f>IFERROR(VLOOKUP(F998,'12. Contratos_OS'!$A$6:$L$1000,3,FALSE),"")</f>
        <v/>
      </c>
      <c r="I998" s="95">
        <f>IFERROR(VLOOKUP(F998,'12. Contratos_OS'!$A$6:$L$1000,4,FALSE),"")</f>
        <v/>
      </c>
      <c r="J998" s="95">
        <f>IFERROR(VLOOKUP(F998,'12. Contratos_OS'!$A$6:$L$1000,7,FALSE),"")</f>
        <v/>
      </c>
      <c r="K998" s="95">
        <f>IFERROR(VLOOKUP(J998,'11. Cadastro de Serviços'!$A$6:$E$200,2,FALSE),"")</f>
        <v/>
      </c>
      <c r="L998" s="95">
        <f>IFERROR(VLOOKUP(J998,'11. Cadastro de Serviços'!$A$6:$E$200,3,FALSE),"")</f>
        <v/>
      </c>
      <c r="M998" s="95">
        <f>IFERROR(VLOOKUP(J998,'11. Cadastro de Serviços'!$A$6:$E$200,4,FALSE),"")</f>
        <v/>
      </c>
      <c r="N998" s="95" t="n"/>
      <c r="O998" s="95">
        <f>IF(AND(G998&lt;&gt;"",I998&lt;&gt;"",J998&lt;&gt;"",M998&lt;&gt;""),"Rastreado","Revisar")</f>
        <v/>
      </c>
      <c r="P998" s="96" t="n"/>
    </row>
    <row r="999">
      <c r="A999" s="95" t="n"/>
      <c r="B999" s="96" t="n"/>
      <c r="C999" s="96" t="n"/>
      <c r="D999" s="95" t="n"/>
      <c r="E999" s="96" t="n"/>
      <c r="F999" s="96" t="n"/>
      <c r="G999" s="95">
        <f>IFERROR(VLOOKUP(F999,'12. Contratos_OS'!$A$6:$L$1000,2,FALSE),"")</f>
        <v/>
      </c>
      <c r="H999" s="95">
        <f>IFERROR(VLOOKUP(F999,'12. Contratos_OS'!$A$6:$L$1000,3,FALSE),"")</f>
        <v/>
      </c>
      <c r="I999" s="95">
        <f>IFERROR(VLOOKUP(F999,'12. Contratos_OS'!$A$6:$L$1000,4,FALSE),"")</f>
        <v/>
      </c>
      <c r="J999" s="95">
        <f>IFERROR(VLOOKUP(F999,'12. Contratos_OS'!$A$6:$L$1000,7,FALSE),"")</f>
        <v/>
      </c>
      <c r="K999" s="95">
        <f>IFERROR(VLOOKUP(J999,'11. Cadastro de Serviços'!$A$6:$E$200,2,FALSE),"")</f>
        <v/>
      </c>
      <c r="L999" s="95">
        <f>IFERROR(VLOOKUP(J999,'11. Cadastro de Serviços'!$A$6:$E$200,3,FALSE),"")</f>
        <v/>
      </c>
      <c r="M999" s="95">
        <f>IFERROR(VLOOKUP(J999,'11. Cadastro de Serviços'!$A$6:$E$200,4,FALSE),"")</f>
        <v/>
      </c>
      <c r="N999" s="95" t="n"/>
      <c r="O999" s="95">
        <f>IF(AND(G999&lt;&gt;"",I999&lt;&gt;"",J999&lt;&gt;"",M999&lt;&gt;""),"Rastreado","Revisar")</f>
        <v/>
      </c>
      <c r="P999" s="96" t="n"/>
    </row>
    <row r="1000">
      <c r="A1000" s="95" t="n"/>
      <c r="B1000" s="96" t="n"/>
      <c r="C1000" s="96" t="n"/>
      <c r="D1000" s="95" t="n"/>
      <c r="E1000" s="96" t="n"/>
      <c r="F1000" s="96" t="n"/>
      <c r="G1000" s="95">
        <f>IFERROR(VLOOKUP(F1000,'12. Contratos_OS'!$A$6:$L$1000,2,FALSE),"")</f>
        <v/>
      </c>
      <c r="H1000" s="95">
        <f>IFERROR(VLOOKUP(F1000,'12. Contratos_OS'!$A$6:$L$1000,3,FALSE),"")</f>
        <v/>
      </c>
      <c r="I1000" s="95">
        <f>IFERROR(VLOOKUP(F1000,'12. Contratos_OS'!$A$6:$L$1000,4,FALSE),"")</f>
        <v/>
      </c>
      <c r="J1000" s="95">
        <f>IFERROR(VLOOKUP(F1000,'12. Contratos_OS'!$A$6:$L$1000,7,FALSE),"")</f>
        <v/>
      </c>
      <c r="K1000" s="95">
        <f>IFERROR(VLOOKUP(J1000,'11. Cadastro de Serviços'!$A$6:$E$200,2,FALSE),"")</f>
        <v/>
      </c>
      <c r="L1000" s="95">
        <f>IFERROR(VLOOKUP(J1000,'11. Cadastro de Serviços'!$A$6:$E$200,3,FALSE),"")</f>
        <v/>
      </c>
      <c r="M1000" s="95">
        <f>IFERROR(VLOOKUP(J1000,'11. Cadastro de Serviços'!$A$6:$E$200,4,FALSE),"")</f>
        <v/>
      </c>
      <c r="N1000" s="95" t="n"/>
      <c r="O1000" s="95">
        <f>IF(AND(G1000&lt;&gt;"",I1000&lt;&gt;"",J1000&lt;&gt;"",M1000&lt;&gt;""),"Rastreado","Revisar")</f>
        <v/>
      </c>
      <c r="P1000" s="96" t="n"/>
    </row>
  </sheetData>
  <mergeCells count="4">
    <mergeCell ref="A54:P54"/>
    <mergeCell ref="A1:P1"/>
    <mergeCell ref="A4:P4"/>
    <mergeCell ref="A2:P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42" customWidth="1" min="3" max="3"/>
    <col width="22" customWidth="1" min="4" max="4"/>
    <col width="60" customWidth="1" min="5" max="5"/>
  </cols>
  <sheetData>
    <row r="1">
      <c r="A1" s="106" t="inlineStr">
        <is>
          <t>17. MAPA DRE CP — CLASSIFICAÇÃO AUTOMÁTICA DO CONTAS A PAGAR</t>
        </is>
      </c>
    </row>
    <row r="2">
      <c r="A2" t="inlineStr">
        <is>
          <t>Mapa auxiliar: Grupo gerencial + Natureza gerencial -&gt; Linha DRE + Nível DRE. Novos lançamentos do CP passam a classificar por lookup.</t>
        </is>
      </c>
    </row>
    <row r="4">
      <c r="A4" s="98" t="inlineStr">
        <is>
          <t>Grupo gerencial (CSV)</t>
        </is>
      </c>
      <c r="B4" s="98" t="inlineStr">
        <is>
          <t>Natureza gerencial</t>
        </is>
      </c>
      <c r="C4" s="98" t="inlineStr">
        <is>
          <t>Linha DRE</t>
        </is>
      </c>
      <c r="D4" s="98" t="inlineStr">
        <is>
          <t>Nível DRE</t>
        </is>
      </c>
      <c r="E4" s="98" t="inlineStr">
        <is>
          <t>Chave</t>
        </is>
      </c>
    </row>
    <row r="5">
      <c r="A5" s="78" t="inlineStr">
        <is>
          <t>Comercial, deslocamento e benefícios</t>
        </is>
      </c>
      <c r="B5" s="78" t="inlineStr">
        <is>
          <t>Benefício</t>
        </is>
      </c>
      <c r="C5" s="78" t="inlineStr">
        <is>
          <t>(-) Despesas comerciais e deslocamento</t>
        </is>
      </c>
      <c r="D5" s="78" t="inlineStr">
        <is>
          <t>Despesa operacional</t>
        </is>
      </c>
      <c r="E5" s="78" t="inlineStr">
        <is>
          <t>Comercial, deslocamento e benefícios|Benefício</t>
        </is>
      </c>
    </row>
    <row r="6">
      <c r="A6" t="inlineStr">
        <is>
          <t>Comercial, deslocamento e benefícios</t>
        </is>
      </c>
      <c r="B6" t="inlineStr">
        <is>
          <t>Deslocamento</t>
        </is>
      </c>
      <c r="C6" t="inlineStr">
        <is>
          <t>(-) Despesas comerciais e deslocamento</t>
        </is>
      </c>
      <c r="D6" t="inlineStr">
        <is>
          <t>Despesa operacional</t>
        </is>
      </c>
      <c r="E6" t="inlineStr">
        <is>
          <t>Comercial, deslocamento e benefícios|Deslocamento</t>
        </is>
      </c>
    </row>
    <row r="7">
      <c r="A7" s="78" t="inlineStr">
        <is>
          <t>Encargos e tributos</t>
        </is>
      </c>
      <c r="B7" s="78" t="inlineStr">
        <is>
          <t>Encargo previdenciário</t>
        </is>
      </c>
      <c r="C7" s="78" t="inlineStr">
        <is>
          <t>(-) Encargos trabalhistas e tributos operacionais</t>
        </is>
      </c>
      <c r="D7" s="78" t="inlineStr">
        <is>
          <t>Despesa operacional</t>
        </is>
      </c>
      <c r="E7" s="78" t="inlineStr">
        <is>
          <t>Encargos e tributos|Encargo previdenciário</t>
        </is>
      </c>
    </row>
    <row r="8">
      <c r="A8" t="inlineStr">
        <is>
          <t>Encargos e tributos</t>
        </is>
      </c>
      <c r="B8" t="inlineStr">
        <is>
          <t>Encargo trabalhista</t>
        </is>
      </c>
      <c r="C8" t="inlineStr">
        <is>
          <t>(-) Encargos trabalhistas e tributos operacionais</t>
        </is>
      </c>
      <c r="D8" t="inlineStr">
        <is>
          <t>Despesa operacional</t>
        </is>
      </c>
      <c r="E8" t="inlineStr">
        <is>
          <t>Encargos e tributos|Encargo trabalhista</t>
        </is>
      </c>
    </row>
    <row r="9">
      <c r="A9" s="78" t="inlineStr">
        <is>
          <t>Encargos e tributos</t>
        </is>
      </c>
      <c r="B9" s="78" t="inlineStr">
        <is>
          <t>Taxa regulatória</t>
        </is>
      </c>
      <c r="C9" s="78" t="inlineStr">
        <is>
          <t>(-) Encargos trabalhistas e tributos operacionais</t>
        </is>
      </c>
      <c r="D9" s="78" t="inlineStr">
        <is>
          <t>Despesa operacional</t>
        </is>
      </c>
      <c r="E9" s="78" t="inlineStr">
        <is>
          <t>Encargos e tributos|Taxa regulatória</t>
        </is>
      </c>
    </row>
    <row r="10">
      <c r="A10" t="inlineStr">
        <is>
          <t>Encargos e tributos</t>
        </is>
      </c>
      <c r="B10" t="inlineStr">
        <is>
          <t>Tributo complementar</t>
        </is>
      </c>
      <c r="C10" t="inlineStr">
        <is>
          <t>(-) Impostos sobre faturamento</t>
        </is>
      </c>
      <c r="D10" t="inlineStr">
        <is>
          <t>Deduções da receita</t>
        </is>
      </c>
      <c r="E10" t="inlineStr">
        <is>
          <t>Encargos e tributos|Tributo complementar</t>
        </is>
      </c>
    </row>
    <row r="11">
      <c r="A11" s="78" t="inlineStr">
        <is>
          <t>Encargos e tributos</t>
        </is>
      </c>
      <c r="B11" s="78" t="inlineStr">
        <is>
          <t>Tributo patrimonial</t>
        </is>
      </c>
      <c r="C11" s="78" t="inlineStr">
        <is>
          <t>(-) Encargos trabalhistas e tributos operacionais</t>
        </is>
      </c>
      <c r="D11" s="78" t="inlineStr">
        <is>
          <t>Despesa operacional</t>
        </is>
      </c>
      <c r="E11" s="78" t="inlineStr">
        <is>
          <t>Encargos e tributos|Tributo patrimonial</t>
        </is>
      </c>
    </row>
    <row r="12">
      <c r="A12" t="inlineStr">
        <is>
          <t>Encargos e tributos</t>
        </is>
      </c>
      <c r="B12" t="inlineStr">
        <is>
          <t>Tributo retido</t>
        </is>
      </c>
      <c r="C12" t="inlineStr">
        <is>
          <t>(-) Impostos sobre faturamento</t>
        </is>
      </c>
      <c r="D12" t="inlineStr">
        <is>
          <t>Deduções da receita</t>
        </is>
      </c>
      <c r="E12" t="inlineStr">
        <is>
          <t>Encargos e tributos|Tributo retido</t>
        </is>
      </c>
    </row>
    <row r="13">
      <c r="A13" s="78" t="inlineStr">
        <is>
          <t>Encargos e tributos</t>
        </is>
      </c>
      <c r="B13" s="78" t="inlineStr">
        <is>
          <t>Tributo sobre faturamento</t>
        </is>
      </c>
      <c r="C13" s="78" t="inlineStr">
        <is>
          <t>(-) Impostos sobre faturamento</t>
        </is>
      </c>
      <c r="D13" s="78" t="inlineStr">
        <is>
          <t>Deduções da receita</t>
        </is>
      </c>
      <c r="E13" s="78" t="inlineStr">
        <is>
          <t>Encargos e tributos|Tributo sobre faturamento</t>
        </is>
      </c>
    </row>
    <row r="14">
      <c r="A14" t="inlineStr">
        <is>
          <t>Financeiro, dívidas e despesas gerais</t>
        </is>
      </c>
      <c r="B14" t="inlineStr">
        <is>
          <t>Dívida parcelada</t>
        </is>
      </c>
      <c r="C14" t="inlineStr">
        <is>
          <t>(-) Resultado financeiro e despesas gerais</t>
        </is>
      </c>
      <c r="D14" t="inlineStr">
        <is>
          <t>Abaixo do EBITDA</t>
        </is>
      </c>
      <c r="E14" t="inlineStr">
        <is>
          <t>Financeiro, dívidas e despesas gerais|Dívida parcelada</t>
        </is>
      </c>
    </row>
    <row r="15">
      <c r="A15" s="78" t="inlineStr">
        <is>
          <t>Financeiro, dívidas e despesas gerais</t>
        </is>
      </c>
      <c r="B15" s="78" t="inlineStr">
        <is>
          <t>Passivo financeiro</t>
        </is>
      </c>
      <c r="C15" s="78" t="inlineStr">
        <is>
          <t>(-) Resultado financeiro e despesas gerais</t>
        </is>
      </c>
      <c r="D15" s="78" t="inlineStr">
        <is>
          <t>Abaixo do EBITDA</t>
        </is>
      </c>
      <c r="E15" s="78" t="inlineStr">
        <is>
          <t>Financeiro, dívidas e despesas gerais|Passivo financeiro</t>
        </is>
      </c>
    </row>
    <row r="16">
      <c r="A16" t="inlineStr">
        <is>
          <t>Operação e infraestrutura</t>
        </is>
      </c>
      <c r="B16" t="inlineStr">
        <is>
          <t>Apoio administrativo</t>
        </is>
      </c>
      <c r="C16" t="inlineStr">
        <is>
          <t>(-) Despesas operacionais e infraestrutura</t>
        </is>
      </c>
      <c r="D16" t="inlineStr">
        <is>
          <t>Despesa operacional</t>
        </is>
      </c>
      <c r="E16" t="inlineStr">
        <is>
          <t>Operação e infraestrutura|Apoio administrativo</t>
        </is>
      </c>
    </row>
    <row r="17">
      <c r="A17" s="78" t="inlineStr">
        <is>
          <t>Operação e infraestrutura</t>
        </is>
      </c>
      <c r="B17" s="78" t="inlineStr">
        <is>
          <t>Apoio operacional</t>
        </is>
      </c>
      <c r="C17" s="78" t="inlineStr">
        <is>
          <t>(-) Despesas operacionais e infraestrutura</t>
        </is>
      </c>
      <c r="D17" s="78" t="inlineStr">
        <is>
          <t>Despesa operacional</t>
        </is>
      </c>
      <c r="E17" s="78" t="inlineStr">
        <is>
          <t>Operação e infraestrutura|Apoio operacional</t>
        </is>
      </c>
    </row>
    <row r="18">
      <c r="A18" t="inlineStr">
        <is>
          <t>Operação e infraestrutura</t>
        </is>
      </c>
      <c r="B18" t="inlineStr">
        <is>
          <t>Comunicação / utilidades</t>
        </is>
      </c>
      <c r="C18" t="inlineStr">
        <is>
          <t>(-) Despesas operacionais e infraestrutura</t>
        </is>
      </c>
      <c r="D18" t="inlineStr">
        <is>
          <t>Despesa operacional</t>
        </is>
      </c>
      <c r="E18" t="inlineStr">
        <is>
          <t>Operação e infraestrutura|Comunicação / utilidades</t>
        </is>
      </c>
    </row>
    <row r="19">
      <c r="A19" s="78" t="inlineStr">
        <is>
          <t>Operação e infraestrutura</t>
        </is>
      </c>
      <c r="B19" s="78" t="inlineStr">
        <is>
          <t>Consumo / impressão</t>
        </is>
      </c>
      <c r="C19" s="78" t="inlineStr">
        <is>
          <t>(-) Despesas operacionais e infraestrutura</t>
        </is>
      </c>
      <c r="D19" s="78" t="inlineStr">
        <is>
          <t>Despesa operacional</t>
        </is>
      </c>
      <c r="E19" s="78" t="inlineStr">
        <is>
          <t>Operação e infraestrutura|Consumo / impressão</t>
        </is>
      </c>
    </row>
    <row r="20">
      <c r="A20" t="inlineStr">
        <is>
          <t>Operação e infraestrutura</t>
        </is>
      </c>
      <c r="B20" t="inlineStr">
        <is>
          <t>Consumo interno</t>
        </is>
      </c>
      <c r="C20" t="inlineStr">
        <is>
          <t>(-) Despesas operacionais e infraestrutura</t>
        </is>
      </c>
      <c r="D20" t="inlineStr">
        <is>
          <t>Despesa operacional</t>
        </is>
      </c>
      <c r="E20" t="inlineStr">
        <is>
          <t>Operação e infraestrutura|Consumo interno</t>
        </is>
      </c>
    </row>
    <row r="21">
      <c r="A21" s="78" t="inlineStr">
        <is>
          <t>Operação e infraestrutura</t>
        </is>
      </c>
      <c r="B21" s="78" t="inlineStr">
        <is>
          <t>Manutenção / segurança</t>
        </is>
      </c>
      <c r="C21" s="78" t="inlineStr">
        <is>
          <t>(-) Despesas operacionais e infraestrutura</t>
        </is>
      </c>
      <c r="D21" s="78" t="inlineStr">
        <is>
          <t>Despesa operacional</t>
        </is>
      </c>
      <c r="E21" s="78" t="inlineStr">
        <is>
          <t>Operação e infraestrutura|Manutenção / segurança</t>
        </is>
      </c>
    </row>
    <row r="22">
      <c r="A22" t="inlineStr">
        <is>
          <t>Operação e infraestrutura</t>
        </is>
      </c>
      <c r="B22" t="inlineStr">
        <is>
          <t>Seguro administrativo</t>
        </is>
      </c>
      <c r="C22" t="inlineStr">
        <is>
          <t>(-) Despesas operacionais e infraestrutura</t>
        </is>
      </c>
      <c r="D22" t="inlineStr">
        <is>
          <t>Despesa operacional</t>
        </is>
      </c>
      <c r="E22" t="inlineStr">
        <is>
          <t>Operação e infraestrutura|Seguro administrativo</t>
        </is>
      </c>
    </row>
    <row r="23">
      <c r="A23" s="78" t="inlineStr">
        <is>
          <t>Operação e infraestrutura</t>
        </is>
      </c>
      <c r="B23" s="78" t="inlineStr">
        <is>
          <t>Utilidades</t>
        </is>
      </c>
      <c r="C23" s="78" t="inlineStr">
        <is>
          <t>(-) Despesas operacionais e infraestrutura</t>
        </is>
      </c>
      <c r="D23" s="78" t="inlineStr">
        <is>
          <t>Despesa operacional</t>
        </is>
      </c>
      <c r="E23" s="78" t="inlineStr">
        <is>
          <t>Operação e infraestrutura|Utilidades</t>
        </is>
      </c>
    </row>
    <row r="24">
      <c r="A24" t="inlineStr">
        <is>
          <t>Pessoal e equipe</t>
        </is>
      </c>
      <c r="B24" t="inlineStr">
        <is>
          <t>Apoio operacional</t>
        </is>
      </c>
      <c r="C24" t="inlineStr">
        <is>
          <t>(-) Despesas com pessoal e equipe</t>
        </is>
      </c>
      <c r="D24" t="inlineStr">
        <is>
          <t>Despesa operacional</t>
        </is>
      </c>
      <c r="E24" t="inlineStr">
        <is>
          <t>Pessoal e equipe|Apoio operacional</t>
        </is>
      </c>
    </row>
    <row r="25">
      <c r="A25" s="78" t="inlineStr">
        <is>
          <t>Pessoal e equipe</t>
        </is>
      </c>
      <c r="B25" s="78" t="inlineStr">
        <is>
          <t>Pessoal fixo</t>
        </is>
      </c>
      <c r="C25" s="78" t="inlineStr">
        <is>
          <t>(-) Despesas com pessoal e equipe</t>
        </is>
      </c>
      <c r="D25" s="78" t="inlineStr">
        <is>
          <t>Despesa operacional</t>
        </is>
      </c>
      <c r="E25" s="78" t="inlineStr">
        <is>
          <t>Pessoal e equipe|Pessoal fixo</t>
        </is>
      </c>
    </row>
    <row r="26">
      <c r="A26" t="inlineStr">
        <is>
          <t>Pessoal e equipe</t>
        </is>
      </c>
      <c r="B26" t="inlineStr">
        <is>
          <t>Pessoal técnico</t>
        </is>
      </c>
      <c r="C26" t="inlineStr">
        <is>
          <t>(-) Despesas com pessoal e equipe</t>
        </is>
      </c>
      <c r="D26" t="inlineStr">
        <is>
          <t>Despesa operacional</t>
        </is>
      </c>
      <c r="E26" t="inlineStr">
        <is>
          <t>Pessoal e equipe|Pessoal técnico</t>
        </is>
      </c>
    </row>
    <row r="27">
      <c r="A27" s="78" t="inlineStr">
        <is>
          <t>Pessoal e equipe</t>
        </is>
      </c>
      <c r="B27" s="78" t="inlineStr">
        <is>
          <t>Pró-labore / gestão</t>
        </is>
      </c>
      <c r="C27" s="78" t="inlineStr">
        <is>
          <t>(-) Despesas com pessoal e equipe</t>
        </is>
      </c>
      <c r="D27" s="78" t="inlineStr">
        <is>
          <t>Despesa operacional</t>
        </is>
      </c>
      <c r="E27" s="78" t="inlineStr">
        <is>
          <t>Pessoal e equipe|Pró-labore / gestão</t>
        </is>
      </c>
    </row>
    <row r="28">
      <c r="A28" t="inlineStr">
        <is>
          <t>Tecnologia e contábil</t>
        </is>
      </c>
      <c r="B28" t="inlineStr">
        <is>
          <t>Contábil / compliance</t>
        </is>
      </c>
      <c r="C28" t="inlineStr">
        <is>
          <t>(-) Despesas com tecnologia e contábil</t>
        </is>
      </c>
      <c r="D28" t="inlineStr">
        <is>
          <t>Despesa operacional</t>
        </is>
      </c>
      <c r="E28" t="inlineStr">
        <is>
          <t>Tecnologia e contábil|Contábil / compliance</t>
        </is>
      </c>
    </row>
    <row r="29">
      <c r="A29" s="78" t="inlineStr">
        <is>
          <t>Tecnologia e contábil</t>
        </is>
      </c>
      <c r="B29" s="78" t="inlineStr">
        <is>
          <t>Software / sistema</t>
        </is>
      </c>
      <c r="C29" s="78" t="inlineStr">
        <is>
          <t>(-) Despesas com tecnologia e contábil</t>
        </is>
      </c>
      <c r="D29" s="78" t="inlineStr">
        <is>
          <t>Despesa operacional</t>
        </is>
      </c>
      <c r="E29" s="78" t="inlineStr">
        <is>
          <t>Tecnologia e contábil|Software / sistema</t>
        </is>
      </c>
    </row>
    <row r="30">
      <c r="A30" t="inlineStr">
        <is>
          <t>Terceiros e laboratoriais</t>
        </is>
      </c>
      <c r="B30" t="inlineStr">
        <is>
          <t>Serviço laboratorial</t>
        </is>
      </c>
      <c r="C30" t="inlineStr">
        <is>
          <t>(-) Custos diretos dos serviços</t>
        </is>
      </c>
      <c r="D30" t="inlineStr">
        <is>
          <t>Custo direto</t>
        </is>
      </c>
      <c r="E30" t="inlineStr">
        <is>
          <t>Terceiros e laboratoriais|Serviço laboratorial</t>
        </is>
      </c>
    </row>
    <row r="31">
      <c r="A31" s="78" t="inlineStr">
        <is>
          <t>Terceiros e laboratoriais</t>
        </is>
      </c>
      <c r="B31" s="78" t="inlineStr">
        <is>
          <t>Serviço terceiro</t>
        </is>
      </c>
      <c r="C31" s="78" t="inlineStr">
        <is>
          <t>(-) Custos diretos dos serviços</t>
        </is>
      </c>
      <c r="D31" s="78" t="inlineStr">
        <is>
          <t>Custo direto</t>
        </is>
      </c>
      <c r="E31" s="78" t="inlineStr">
        <is>
          <t>Terceiros e laboratoriais|Serviço terceiro</t>
        </is>
      </c>
    </row>
    <row r="32">
      <c r="A32" t="inlineStr">
        <is>
          <t>Terceiros e laboratoriais</t>
        </is>
      </c>
      <c r="B32" t="inlineStr">
        <is>
          <t>Serviço terceiro SST</t>
        </is>
      </c>
      <c r="C32" t="inlineStr">
        <is>
          <t>(-) Custos diretos dos serviços</t>
        </is>
      </c>
      <c r="D32" t="inlineStr">
        <is>
          <t>Custo direto</t>
        </is>
      </c>
      <c r="E32" t="inlineStr">
        <is>
          <t>Terceiros e laboratoriais|Serviço terceiro SST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  <col width="18" customWidth="1" min="5" max="5"/>
    <col width="16" customWidth="1" min="6" max="6"/>
    <col width="16" customWidth="1" min="7" max="7"/>
    <col width="18" customWidth="1" min="8" max="8"/>
    <col width="16" customWidth="1" min="9" max="9"/>
    <col width="18" customWidth="1" min="10" max="10"/>
    <col width="16" customWidth="1" min="11" max="11"/>
    <col width="22" customWidth="1" min="12" max="12"/>
  </cols>
  <sheetData>
    <row r="1">
      <c r="A1" s="106" t="inlineStr">
        <is>
          <t>14. CONSOLIDADO MENSAL — BASE EXECUTIVA MULTI-MÊS</t>
        </is>
      </c>
    </row>
    <row r="2">
      <c r="A2" t="inlineStr">
        <is>
          <t>Consolidação mensal puxada diretamente das bases de CR e CP. Use esta aba para comparar meses, validar caixa e ler o resultado gerencial em série histórica.</t>
        </is>
      </c>
    </row>
    <row r="4">
      <c r="A4" s="98" t="inlineStr">
        <is>
          <t>Mês</t>
        </is>
      </c>
      <c r="B4" s="98" t="inlineStr">
        <is>
          <t>CR competência</t>
        </is>
      </c>
      <c r="C4" s="98" t="inlineStr">
        <is>
          <t>Recebido em caixa</t>
        </is>
      </c>
      <c r="D4" s="98" t="inlineStr">
        <is>
          <t>Carteira aberta da competência</t>
        </is>
      </c>
      <c r="E4" s="98" t="inlineStr">
        <is>
          <t>Vencido da competência</t>
        </is>
      </c>
      <c r="F4" s="98" t="inlineStr">
        <is>
          <t>CP competência</t>
        </is>
      </c>
      <c r="G4" s="98" t="inlineStr">
        <is>
          <t>Pago em caixa</t>
        </is>
      </c>
      <c r="H4" s="98" t="inlineStr">
        <is>
          <t>A pagar da competência</t>
        </is>
      </c>
      <c r="I4" s="98" t="inlineStr">
        <is>
          <t>Resultado de caixa</t>
        </is>
      </c>
      <c r="J4" s="98" t="inlineStr">
        <is>
          <t>Receita líquida proxy</t>
        </is>
      </c>
      <c r="K4" s="98" t="inlineStr">
        <is>
          <t>EBITDA proxy</t>
        </is>
      </c>
      <c r="L4" s="98" t="inlineStr">
        <is>
          <t>Resultado operacional proxy</t>
        </is>
      </c>
    </row>
    <row r="5">
      <c r="A5" s="107" t="n">
        <v>46023</v>
      </c>
      <c r="B5" s="108">
        <f>SUMIFS('2. Contas a Receber'!$H$8:$H$1000,'2. Contas a Receber'!$N$8:$N$1000,$A5)</f>
        <v/>
      </c>
      <c r="C5" s="108">
        <f>SUMIFS('2. Contas a Receber'!$I$8:$I$1000,'2. Contas a Receber'!$F$8:$F$1000,"&gt;="&amp;A5,'2. Contas a Receber'!$F$8:$F$1000,"&lt;"&amp;EDATE(A5,1))</f>
        <v/>
      </c>
      <c r="D5" s="108">
        <f>SUMIFS('2. Contas a Receber'!$H$8:$H$1000,'2. Contas a Receber'!$N$8:$N$1000,$A5,'2. Contas a Receber'!$J$8:$J$1000,"&lt;&gt;Recebido",'2. Contas a Receber'!$J$8:$J$1000,"&lt;&gt;Cancelado")</f>
        <v/>
      </c>
      <c r="E5" s="108">
        <f>SUMIFS('2. Contas a Receber'!$H$8:$H$1000,'2. Contas a Receber'!$N$8:$N$1000,$A5,'2. Contas a Receber'!$J$8:$J$1000,"Vencido")</f>
        <v/>
      </c>
      <c r="F5" s="108">
        <f>SUMIFS('3. Contas a Pagar'!$I$6:$I$1000,'3. Contas a Pagar'!$B$6:$B$1000,$A5)</f>
        <v/>
      </c>
      <c r="G5" s="108">
        <f>SUMIFS('3. Contas a Pagar'!$I$6:$I$1000,'3. Contas a Pagar'!$H$6:$H$1000,"&gt;="&amp;A5,'3. Contas a Pagar'!$H$6:$H$1000,"&lt;"&amp;EDATE(A5,1))</f>
        <v/>
      </c>
      <c r="H5" s="108">
        <f>SUMIFS('3. Contas a Pagar'!$I$6:$I$1000,'3. Contas a Pagar'!$B$6:$B$1000,$A5,'3. Contas a Pagar'!$J$6:$J$1000,"&lt;&gt;Pago",'3. Contas a Pagar'!$J$6:$J$1000,"&lt;&gt;Cancelado")</f>
        <v/>
      </c>
      <c r="I5" s="108">
        <f>C5-G5</f>
        <v/>
      </c>
      <c r="J5" s="108">
        <f>B5-SUMIFS('3. Contas a Pagar'!$I$6:$I$1000,'3. Contas a Pagar'!$B$6:$B$1000,$A5,'3. Contas a Pagar'!$S$6:$S$1000,"Deduções da receita")</f>
        <v/>
      </c>
      <c r="K5" s="108">
        <f>J5-SUMIFS('3. Contas a Pagar'!$I$6:$I$1000,'3. Contas a Pagar'!$B$6:$B$1000,$A5,'3. Contas a Pagar'!$S$6:$S$1000,"Custo direto")-SUMIFS('3. Contas a Pagar'!$I$6:$I$1000,'3. Contas a Pagar'!$B$6:$B$1000,$A5,'3. Contas a Pagar'!$S$6:$S$1000,"Despesa operacional")</f>
        <v/>
      </c>
      <c r="L5" s="108">
        <f>K5-SUMIFS('3. Contas a Pagar'!$I$6:$I$1000,'3. Contas a Pagar'!$B$6:$B$1000,$A5,'3. Contas a Pagar'!$S$6:$S$1000,"Abaixo do EBITDA")</f>
        <v/>
      </c>
    </row>
    <row r="6">
      <c r="A6" s="107" t="n">
        <v>46054</v>
      </c>
      <c r="B6" s="108">
        <f>SUMIFS('2. Contas a Receber'!$H$8:$H$1000,'2. Contas a Receber'!$N$8:$N$1000,$A6)</f>
        <v/>
      </c>
      <c r="C6" s="108">
        <f>SUMIFS('2. Contas a Receber'!$I$8:$I$1000,'2. Contas a Receber'!$F$8:$F$1000,"&gt;="&amp;A6,'2. Contas a Receber'!$F$8:$F$1000,"&lt;"&amp;EDATE(A6,1))</f>
        <v/>
      </c>
      <c r="D6" s="108">
        <f>SUMIFS('2. Contas a Receber'!$H$8:$H$1000,'2. Contas a Receber'!$N$8:$N$1000,$A6,'2. Contas a Receber'!$J$8:$J$1000,"&lt;&gt;Recebido",'2. Contas a Receber'!$J$8:$J$1000,"&lt;&gt;Cancelado")</f>
        <v/>
      </c>
      <c r="E6" s="108">
        <f>SUMIFS('2. Contas a Receber'!$H$8:$H$1000,'2. Contas a Receber'!$N$8:$N$1000,$A6,'2. Contas a Receber'!$J$8:$J$1000,"Vencido")</f>
        <v/>
      </c>
      <c r="F6" s="108">
        <f>SUMIFS('3. Contas a Pagar'!$I$6:$I$1000,'3. Contas a Pagar'!$B$6:$B$1000,$A6)</f>
        <v/>
      </c>
      <c r="G6" s="108">
        <f>SUMIFS('3. Contas a Pagar'!$I$6:$I$1000,'3. Contas a Pagar'!$H$6:$H$1000,"&gt;="&amp;A6,'3. Contas a Pagar'!$H$6:$H$1000,"&lt;"&amp;EDATE(A6,1))</f>
        <v/>
      </c>
      <c r="H6" s="108">
        <f>SUMIFS('3. Contas a Pagar'!$I$6:$I$1000,'3. Contas a Pagar'!$B$6:$B$1000,$A6,'3. Contas a Pagar'!$J$6:$J$1000,"&lt;&gt;Pago",'3. Contas a Pagar'!$J$6:$J$1000,"&lt;&gt;Cancelado")</f>
        <v/>
      </c>
      <c r="I6" s="108">
        <f>C6-G6</f>
        <v/>
      </c>
      <c r="J6" s="108">
        <f>B6-SUMIFS('3. Contas a Pagar'!$I$6:$I$1000,'3. Contas a Pagar'!$B$6:$B$1000,$A6,'3. Contas a Pagar'!$S$6:$S$1000,"Deduções da receita")</f>
        <v/>
      </c>
      <c r="K6" s="108">
        <f>J6-SUMIFS('3. Contas a Pagar'!$I$6:$I$1000,'3. Contas a Pagar'!$B$6:$B$1000,$A6,'3. Contas a Pagar'!$S$6:$S$1000,"Custo direto")-SUMIFS('3. Contas a Pagar'!$I$6:$I$1000,'3. Contas a Pagar'!$B$6:$B$1000,$A6,'3. Contas a Pagar'!$S$6:$S$1000,"Despesa operacional")</f>
        <v/>
      </c>
      <c r="L6" s="108">
        <f>K6-SUMIFS('3. Contas a Pagar'!$I$6:$I$1000,'3. Contas a Pagar'!$B$6:$B$1000,$A6,'3. Contas a Pagar'!$S$6:$S$1000,"Abaixo do EBITDA")</f>
        <v/>
      </c>
    </row>
    <row r="7">
      <c r="A7" s="107" t="n">
        <v>46082</v>
      </c>
      <c r="B7" s="108">
        <f>SUMIFS('2. Contas a Receber'!$H$8:$H$1000,'2. Contas a Receber'!$N$8:$N$1000,$A7)</f>
        <v/>
      </c>
      <c r="C7" s="108">
        <f>SUMIFS('2. Contas a Receber'!$I$8:$I$1000,'2. Contas a Receber'!$F$8:$F$1000,"&gt;="&amp;A7,'2. Contas a Receber'!$F$8:$F$1000,"&lt;"&amp;EDATE(A7,1))</f>
        <v/>
      </c>
      <c r="D7" s="108">
        <f>SUMIFS('2. Contas a Receber'!$H$8:$H$1000,'2. Contas a Receber'!$N$8:$N$1000,$A7,'2. Contas a Receber'!$J$8:$J$1000,"&lt;&gt;Recebido",'2. Contas a Receber'!$J$8:$J$1000,"&lt;&gt;Cancelado")</f>
        <v/>
      </c>
      <c r="E7" s="108">
        <f>SUMIFS('2. Contas a Receber'!$H$8:$H$1000,'2. Contas a Receber'!$N$8:$N$1000,$A7,'2. Contas a Receber'!$J$8:$J$1000,"Vencido")</f>
        <v/>
      </c>
      <c r="F7" s="108">
        <f>SUMIFS('3. Contas a Pagar'!$I$6:$I$1000,'3. Contas a Pagar'!$B$6:$B$1000,$A7)</f>
        <v/>
      </c>
      <c r="G7" s="108">
        <f>SUMIFS('3. Contas a Pagar'!$I$6:$I$1000,'3. Contas a Pagar'!$H$6:$H$1000,"&gt;="&amp;A7,'3. Contas a Pagar'!$H$6:$H$1000,"&lt;"&amp;EDATE(A7,1))</f>
        <v/>
      </c>
      <c r="H7" s="108">
        <f>SUMIFS('3. Contas a Pagar'!$I$6:$I$1000,'3. Contas a Pagar'!$B$6:$B$1000,$A7,'3. Contas a Pagar'!$J$6:$J$1000,"&lt;&gt;Pago",'3. Contas a Pagar'!$J$6:$J$1000,"&lt;&gt;Cancelado")</f>
        <v/>
      </c>
      <c r="I7" s="108">
        <f>C7-G7</f>
        <v/>
      </c>
      <c r="J7" s="108">
        <f>B7-SUMIFS('3. Contas a Pagar'!$I$6:$I$1000,'3. Contas a Pagar'!$B$6:$B$1000,$A7,'3. Contas a Pagar'!$S$6:$S$1000,"Deduções da receita")</f>
        <v/>
      </c>
      <c r="K7" s="108">
        <f>J7-SUMIFS('3. Contas a Pagar'!$I$6:$I$1000,'3. Contas a Pagar'!$B$6:$B$1000,$A7,'3. Contas a Pagar'!$S$6:$S$1000,"Custo direto")-SUMIFS('3. Contas a Pagar'!$I$6:$I$1000,'3. Contas a Pagar'!$B$6:$B$1000,$A7,'3. Contas a Pagar'!$S$6:$S$1000,"Despesa operacional")</f>
        <v/>
      </c>
      <c r="L7" s="108">
        <f>K7-SUMIFS('3. Contas a Pagar'!$I$6:$I$1000,'3. Contas a Pagar'!$B$6:$B$1000,$A7,'3. Contas a Pagar'!$S$6:$S$1000,"Abaixo do EBITDA")</f>
        <v/>
      </c>
    </row>
    <row r="8">
      <c r="A8" s="107" t="n">
        <v>46113</v>
      </c>
      <c r="B8" s="108">
        <f>SUMIFS('2. Contas a Receber'!$H$8:$H$1000,'2. Contas a Receber'!$N$8:$N$1000,$A8)</f>
        <v/>
      </c>
      <c r="C8" s="108">
        <f>SUMIFS('2. Contas a Receber'!$I$8:$I$1000,'2. Contas a Receber'!$F$8:$F$1000,"&gt;="&amp;A8,'2. Contas a Receber'!$F$8:$F$1000,"&lt;"&amp;EDATE(A8,1))</f>
        <v/>
      </c>
      <c r="D8" s="108">
        <f>SUMIFS('2. Contas a Receber'!$H$8:$H$1000,'2. Contas a Receber'!$N$8:$N$1000,$A8,'2. Contas a Receber'!$J$8:$J$1000,"&lt;&gt;Recebido",'2. Contas a Receber'!$J$8:$J$1000,"&lt;&gt;Cancelado")</f>
        <v/>
      </c>
      <c r="E8" s="108">
        <f>SUMIFS('2. Contas a Receber'!$H$8:$H$1000,'2. Contas a Receber'!$N$8:$N$1000,$A8,'2. Contas a Receber'!$J$8:$J$1000,"Vencido")</f>
        <v/>
      </c>
      <c r="F8" s="108">
        <f>SUMIFS('3. Contas a Pagar'!$I$6:$I$1000,'3. Contas a Pagar'!$B$6:$B$1000,$A8)</f>
        <v/>
      </c>
      <c r="G8" s="108">
        <f>SUMIFS('3. Contas a Pagar'!$I$6:$I$1000,'3. Contas a Pagar'!$H$6:$H$1000,"&gt;="&amp;A8,'3. Contas a Pagar'!$H$6:$H$1000,"&lt;"&amp;EDATE(A8,1))</f>
        <v/>
      </c>
      <c r="H8" s="108">
        <f>SUMIFS('3. Contas a Pagar'!$I$6:$I$1000,'3. Contas a Pagar'!$B$6:$B$1000,$A8,'3. Contas a Pagar'!$J$6:$J$1000,"&lt;&gt;Pago",'3. Contas a Pagar'!$J$6:$J$1000,"&lt;&gt;Cancelado")</f>
        <v/>
      </c>
      <c r="I8" s="108">
        <f>C8-G8</f>
        <v/>
      </c>
      <c r="J8" s="108">
        <f>B8-SUMIFS('3. Contas a Pagar'!$I$6:$I$1000,'3. Contas a Pagar'!$B$6:$B$1000,$A8,'3. Contas a Pagar'!$S$6:$S$1000,"Deduções da receita")</f>
        <v/>
      </c>
      <c r="K8" s="108">
        <f>J8-SUMIFS('3. Contas a Pagar'!$I$6:$I$1000,'3. Contas a Pagar'!$B$6:$B$1000,$A8,'3. Contas a Pagar'!$S$6:$S$1000,"Custo direto")-SUMIFS('3. Contas a Pagar'!$I$6:$I$1000,'3. Contas a Pagar'!$B$6:$B$1000,$A8,'3. Contas a Pagar'!$S$6:$S$1000,"Despesa operacional")</f>
        <v/>
      </c>
      <c r="L8" s="108">
        <f>K8-SUMIFS('3. Contas a Pagar'!$I$6:$I$1000,'3. Contas a Pagar'!$B$6:$B$1000,$A8,'3. Contas a Pagar'!$S$6:$S$1000,"Abaixo do EBITDA")</f>
        <v/>
      </c>
    </row>
    <row r="9">
      <c r="A9" s="107" t="n">
        <v>46143</v>
      </c>
      <c r="B9" s="108">
        <f>SUMIFS('2. Contas a Receber'!$H$8:$H$1000,'2. Contas a Receber'!$N$8:$N$1000,$A9)</f>
        <v/>
      </c>
      <c r="C9" s="108">
        <f>SUMIFS('2. Contas a Receber'!$I$8:$I$1000,'2. Contas a Receber'!$F$8:$F$1000,"&gt;="&amp;A9,'2. Contas a Receber'!$F$8:$F$1000,"&lt;"&amp;EDATE(A9,1))</f>
        <v/>
      </c>
      <c r="D9" s="108">
        <f>SUMIFS('2. Contas a Receber'!$H$8:$H$1000,'2. Contas a Receber'!$N$8:$N$1000,$A9,'2. Contas a Receber'!$J$8:$J$1000,"&lt;&gt;Recebido",'2. Contas a Receber'!$J$8:$J$1000,"&lt;&gt;Cancelado")</f>
        <v/>
      </c>
      <c r="E9" s="108">
        <f>SUMIFS('2. Contas a Receber'!$H$8:$H$1000,'2. Contas a Receber'!$N$8:$N$1000,$A9,'2. Contas a Receber'!$J$8:$J$1000,"Vencido")</f>
        <v/>
      </c>
      <c r="F9" s="108">
        <f>SUMIFS('3. Contas a Pagar'!$I$6:$I$1000,'3. Contas a Pagar'!$B$6:$B$1000,$A9)</f>
        <v/>
      </c>
      <c r="G9" s="108">
        <f>SUMIFS('3. Contas a Pagar'!$I$6:$I$1000,'3. Contas a Pagar'!$H$6:$H$1000,"&gt;="&amp;A9,'3. Contas a Pagar'!$H$6:$H$1000,"&lt;"&amp;EDATE(A9,1))</f>
        <v/>
      </c>
      <c r="H9" s="108">
        <f>SUMIFS('3. Contas a Pagar'!$I$6:$I$1000,'3. Contas a Pagar'!$B$6:$B$1000,$A9,'3. Contas a Pagar'!$J$6:$J$1000,"&lt;&gt;Pago",'3. Contas a Pagar'!$J$6:$J$1000,"&lt;&gt;Cancelado")</f>
        <v/>
      </c>
      <c r="I9" s="108">
        <f>C9-G9</f>
        <v/>
      </c>
      <c r="J9" s="108">
        <f>B9-SUMIFS('3. Contas a Pagar'!$I$6:$I$1000,'3. Contas a Pagar'!$B$6:$B$1000,$A9,'3. Contas a Pagar'!$S$6:$S$1000,"Deduções da receita")</f>
        <v/>
      </c>
      <c r="K9" s="108">
        <f>J9-SUMIFS('3. Contas a Pagar'!$I$6:$I$1000,'3. Contas a Pagar'!$B$6:$B$1000,$A9,'3. Contas a Pagar'!$S$6:$S$1000,"Custo direto")-SUMIFS('3. Contas a Pagar'!$I$6:$I$1000,'3. Contas a Pagar'!$B$6:$B$1000,$A9,'3. Contas a Pagar'!$S$6:$S$1000,"Despesa operacional")</f>
        <v/>
      </c>
      <c r="L9" s="108">
        <f>K9-SUMIFS('3. Contas a Pagar'!$I$6:$I$1000,'3. Contas a Pagar'!$B$6:$B$1000,$A9,'3. Contas a Pagar'!$S$6:$S$1000,"Abaixo do EBITDA")</f>
        <v/>
      </c>
    </row>
    <row r="10">
      <c r="A10" s="107" t="n">
        <v>46174</v>
      </c>
      <c r="B10" s="108">
        <f>SUMIFS('2. Contas a Receber'!$H$8:$H$1000,'2. Contas a Receber'!$N$8:$N$1000,$A10)</f>
        <v/>
      </c>
      <c r="C10" s="108">
        <f>SUMIFS('2. Contas a Receber'!$I$8:$I$1000,'2. Contas a Receber'!$F$8:$F$1000,"&gt;="&amp;A10,'2. Contas a Receber'!$F$8:$F$1000,"&lt;"&amp;EDATE(A10,1))</f>
        <v/>
      </c>
      <c r="D10" s="108">
        <f>SUMIFS('2. Contas a Receber'!$H$8:$H$1000,'2. Contas a Receber'!$N$8:$N$1000,$A10,'2. Contas a Receber'!$J$8:$J$1000,"&lt;&gt;Recebido",'2. Contas a Receber'!$J$8:$J$1000,"&lt;&gt;Cancelado")</f>
        <v/>
      </c>
      <c r="E10" s="108">
        <f>SUMIFS('2. Contas a Receber'!$H$8:$H$1000,'2. Contas a Receber'!$N$8:$N$1000,$A10,'2. Contas a Receber'!$J$8:$J$1000,"Vencido")</f>
        <v/>
      </c>
      <c r="F10" s="108">
        <f>SUMIFS('3. Contas a Pagar'!$I$6:$I$1000,'3. Contas a Pagar'!$B$6:$B$1000,$A10)</f>
        <v/>
      </c>
      <c r="G10" s="108">
        <f>SUMIFS('3. Contas a Pagar'!$I$6:$I$1000,'3. Contas a Pagar'!$H$6:$H$1000,"&gt;="&amp;A10,'3. Contas a Pagar'!$H$6:$H$1000,"&lt;"&amp;EDATE(A10,1))</f>
        <v/>
      </c>
      <c r="H10" s="108">
        <f>SUMIFS('3. Contas a Pagar'!$I$6:$I$1000,'3. Contas a Pagar'!$B$6:$B$1000,$A10,'3. Contas a Pagar'!$J$6:$J$1000,"&lt;&gt;Pago",'3. Contas a Pagar'!$J$6:$J$1000,"&lt;&gt;Cancelado")</f>
        <v/>
      </c>
      <c r="I10" s="108">
        <f>C10-G10</f>
        <v/>
      </c>
      <c r="J10" s="108">
        <f>B10-SUMIFS('3. Contas a Pagar'!$I$6:$I$1000,'3. Contas a Pagar'!$B$6:$B$1000,$A10,'3. Contas a Pagar'!$S$6:$S$1000,"Deduções da receita")</f>
        <v/>
      </c>
      <c r="K10" s="108">
        <f>J10-SUMIFS('3. Contas a Pagar'!$I$6:$I$1000,'3. Contas a Pagar'!$B$6:$B$1000,$A10,'3. Contas a Pagar'!$S$6:$S$1000,"Custo direto")-SUMIFS('3. Contas a Pagar'!$I$6:$I$1000,'3. Contas a Pagar'!$B$6:$B$1000,$A10,'3. Contas a Pagar'!$S$6:$S$1000,"Despesa operacional")</f>
        <v/>
      </c>
      <c r="L10" s="108">
        <f>K10-SUMIFS('3. Contas a Pagar'!$I$6:$I$1000,'3. Contas a Pagar'!$B$6:$B$1000,$A10,'3. Contas a Pagar'!$S$6:$S$1000,"Abaixo do EBITDA")</f>
        <v/>
      </c>
    </row>
    <row r="11">
      <c r="A11" s="107" t="n">
        <v>46204</v>
      </c>
      <c r="B11" s="108">
        <f>SUMIFS('2. Contas a Receber'!$H$8:$H$1000,'2. Contas a Receber'!$N$8:$N$1000,$A11)</f>
        <v/>
      </c>
      <c r="C11" s="108">
        <f>SUMIFS('2. Contas a Receber'!$I$8:$I$1000,'2. Contas a Receber'!$F$8:$F$1000,"&gt;="&amp;A11,'2. Contas a Receber'!$F$8:$F$1000,"&lt;"&amp;EDATE(A11,1))</f>
        <v/>
      </c>
      <c r="D11" s="108">
        <f>SUMIFS('2. Contas a Receber'!$H$8:$H$1000,'2. Contas a Receber'!$N$8:$N$1000,$A11,'2. Contas a Receber'!$J$8:$J$1000,"&lt;&gt;Recebido",'2. Contas a Receber'!$J$8:$J$1000,"&lt;&gt;Cancelado")</f>
        <v/>
      </c>
      <c r="E11" s="108">
        <f>SUMIFS('2. Contas a Receber'!$H$8:$H$1000,'2. Contas a Receber'!$N$8:$N$1000,$A11,'2. Contas a Receber'!$J$8:$J$1000,"Vencido")</f>
        <v/>
      </c>
      <c r="F11" s="108">
        <f>SUMIFS('3. Contas a Pagar'!$I$6:$I$1000,'3. Contas a Pagar'!$B$6:$B$1000,$A11)</f>
        <v/>
      </c>
      <c r="G11" s="108">
        <f>SUMIFS('3. Contas a Pagar'!$I$6:$I$1000,'3. Contas a Pagar'!$H$6:$H$1000,"&gt;="&amp;A11,'3. Contas a Pagar'!$H$6:$H$1000,"&lt;"&amp;EDATE(A11,1))</f>
        <v/>
      </c>
      <c r="H11" s="108">
        <f>SUMIFS('3. Contas a Pagar'!$I$6:$I$1000,'3. Contas a Pagar'!$B$6:$B$1000,$A11,'3. Contas a Pagar'!$J$6:$J$1000,"&lt;&gt;Pago",'3. Contas a Pagar'!$J$6:$J$1000,"&lt;&gt;Cancelado")</f>
        <v/>
      </c>
      <c r="I11" s="108">
        <f>C11-G11</f>
        <v/>
      </c>
      <c r="J11" s="108">
        <f>B11-SUMIFS('3. Contas a Pagar'!$I$6:$I$1000,'3. Contas a Pagar'!$B$6:$B$1000,$A11,'3. Contas a Pagar'!$S$6:$S$1000,"Deduções da receita")</f>
        <v/>
      </c>
      <c r="K11" s="108">
        <f>J11-SUMIFS('3. Contas a Pagar'!$I$6:$I$1000,'3. Contas a Pagar'!$B$6:$B$1000,$A11,'3. Contas a Pagar'!$S$6:$S$1000,"Custo direto")-SUMIFS('3. Contas a Pagar'!$I$6:$I$1000,'3. Contas a Pagar'!$B$6:$B$1000,$A11,'3. Contas a Pagar'!$S$6:$S$1000,"Despesa operacional")</f>
        <v/>
      </c>
      <c r="L11" s="108">
        <f>K11-SUMIFS('3. Contas a Pagar'!$I$6:$I$1000,'3. Contas a Pagar'!$B$6:$B$1000,$A11,'3. Contas a Pagar'!$S$6:$S$1000,"Abaixo do EBITDA")</f>
        <v/>
      </c>
    </row>
    <row r="12">
      <c r="A12" s="107" t="n">
        <v>46235</v>
      </c>
      <c r="B12" s="108">
        <f>SUMIFS('2. Contas a Receber'!$H$8:$H$1000,'2. Contas a Receber'!$N$8:$N$1000,$A12)</f>
        <v/>
      </c>
      <c r="C12" s="108">
        <f>SUMIFS('2. Contas a Receber'!$I$8:$I$1000,'2. Contas a Receber'!$F$8:$F$1000,"&gt;="&amp;A12,'2. Contas a Receber'!$F$8:$F$1000,"&lt;"&amp;EDATE(A12,1))</f>
        <v/>
      </c>
      <c r="D12" s="108">
        <f>SUMIFS('2. Contas a Receber'!$H$8:$H$1000,'2. Contas a Receber'!$N$8:$N$1000,$A12,'2. Contas a Receber'!$J$8:$J$1000,"&lt;&gt;Recebido",'2. Contas a Receber'!$J$8:$J$1000,"&lt;&gt;Cancelado")</f>
        <v/>
      </c>
      <c r="E12" s="108">
        <f>SUMIFS('2. Contas a Receber'!$H$8:$H$1000,'2. Contas a Receber'!$N$8:$N$1000,$A12,'2. Contas a Receber'!$J$8:$J$1000,"Vencido")</f>
        <v/>
      </c>
      <c r="F12" s="108">
        <f>SUMIFS('3. Contas a Pagar'!$I$6:$I$1000,'3. Contas a Pagar'!$B$6:$B$1000,$A12)</f>
        <v/>
      </c>
      <c r="G12" s="108">
        <f>SUMIFS('3. Contas a Pagar'!$I$6:$I$1000,'3. Contas a Pagar'!$H$6:$H$1000,"&gt;="&amp;A12,'3. Contas a Pagar'!$H$6:$H$1000,"&lt;"&amp;EDATE(A12,1))</f>
        <v/>
      </c>
      <c r="H12" s="108">
        <f>SUMIFS('3. Contas a Pagar'!$I$6:$I$1000,'3. Contas a Pagar'!$B$6:$B$1000,$A12,'3. Contas a Pagar'!$J$6:$J$1000,"&lt;&gt;Pago",'3. Contas a Pagar'!$J$6:$J$1000,"&lt;&gt;Cancelado")</f>
        <v/>
      </c>
      <c r="I12" s="108">
        <f>C12-G12</f>
        <v/>
      </c>
      <c r="J12" s="108">
        <f>B12-SUMIFS('3. Contas a Pagar'!$I$6:$I$1000,'3. Contas a Pagar'!$B$6:$B$1000,$A12,'3. Contas a Pagar'!$S$6:$S$1000,"Deduções da receita")</f>
        <v/>
      </c>
      <c r="K12" s="108">
        <f>J12-SUMIFS('3. Contas a Pagar'!$I$6:$I$1000,'3. Contas a Pagar'!$B$6:$B$1000,$A12,'3. Contas a Pagar'!$S$6:$S$1000,"Custo direto")-SUMIFS('3. Contas a Pagar'!$I$6:$I$1000,'3. Contas a Pagar'!$B$6:$B$1000,$A12,'3. Contas a Pagar'!$S$6:$S$1000,"Despesa operacional")</f>
        <v/>
      </c>
      <c r="L12" s="108">
        <f>K12-SUMIFS('3. Contas a Pagar'!$I$6:$I$1000,'3. Contas a Pagar'!$B$6:$B$1000,$A12,'3. Contas a Pagar'!$S$6:$S$1000,"Abaixo do EBITDA")</f>
        <v/>
      </c>
    </row>
    <row r="13">
      <c r="A13" s="107" t="n">
        <v>46266</v>
      </c>
      <c r="B13" s="108">
        <f>SUMIFS('2. Contas a Receber'!$H$8:$H$1000,'2. Contas a Receber'!$N$8:$N$1000,$A13)</f>
        <v/>
      </c>
      <c r="C13" s="108">
        <f>SUMIFS('2. Contas a Receber'!$I$8:$I$1000,'2. Contas a Receber'!$F$8:$F$1000,"&gt;="&amp;A13,'2. Contas a Receber'!$F$8:$F$1000,"&lt;"&amp;EDATE(A13,1))</f>
        <v/>
      </c>
      <c r="D13" s="108">
        <f>SUMIFS('2. Contas a Receber'!$H$8:$H$1000,'2. Contas a Receber'!$N$8:$N$1000,$A13,'2. Contas a Receber'!$J$8:$J$1000,"&lt;&gt;Recebido",'2. Contas a Receber'!$J$8:$J$1000,"&lt;&gt;Cancelado")</f>
        <v/>
      </c>
      <c r="E13" s="108">
        <f>SUMIFS('2. Contas a Receber'!$H$8:$H$1000,'2. Contas a Receber'!$N$8:$N$1000,$A13,'2. Contas a Receber'!$J$8:$J$1000,"Vencido")</f>
        <v/>
      </c>
      <c r="F13" s="108">
        <f>SUMIFS('3. Contas a Pagar'!$I$6:$I$1000,'3. Contas a Pagar'!$B$6:$B$1000,$A13)</f>
        <v/>
      </c>
      <c r="G13" s="108">
        <f>SUMIFS('3. Contas a Pagar'!$I$6:$I$1000,'3. Contas a Pagar'!$H$6:$H$1000,"&gt;="&amp;A13,'3. Contas a Pagar'!$H$6:$H$1000,"&lt;"&amp;EDATE(A13,1))</f>
        <v/>
      </c>
      <c r="H13" s="108">
        <f>SUMIFS('3. Contas a Pagar'!$I$6:$I$1000,'3. Contas a Pagar'!$B$6:$B$1000,$A13,'3. Contas a Pagar'!$J$6:$J$1000,"&lt;&gt;Pago",'3. Contas a Pagar'!$J$6:$J$1000,"&lt;&gt;Cancelado")</f>
        <v/>
      </c>
      <c r="I13" s="108">
        <f>C13-G13</f>
        <v/>
      </c>
      <c r="J13" s="108">
        <f>B13-SUMIFS('3. Contas a Pagar'!$I$6:$I$1000,'3. Contas a Pagar'!$B$6:$B$1000,$A13,'3. Contas a Pagar'!$S$6:$S$1000,"Deduções da receita")</f>
        <v/>
      </c>
      <c r="K13" s="108">
        <f>J13-SUMIFS('3. Contas a Pagar'!$I$6:$I$1000,'3. Contas a Pagar'!$B$6:$B$1000,$A13,'3. Contas a Pagar'!$S$6:$S$1000,"Custo direto")-SUMIFS('3. Contas a Pagar'!$I$6:$I$1000,'3. Contas a Pagar'!$B$6:$B$1000,$A13,'3. Contas a Pagar'!$S$6:$S$1000,"Despesa operacional")</f>
        <v/>
      </c>
      <c r="L13" s="108">
        <f>K13-SUMIFS('3. Contas a Pagar'!$I$6:$I$1000,'3. Contas a Pagar'!$B$6:$B$1000,$A13,'3. Contas a Pagar'!$S$6:$S$1000,"Abaixo do EBITDA")</f>
        <v/>
      </c>
    </row>
    <row r="14">
      <c r="A14" s="107" t="n">
        <v>46296</v>
      </c>
      <c r="B14" s="108">
        <f>SUMIFS('2. Contas a Receber'!$H$8:$H$1000,'2. Contas a Receber'!$N$8:$N$1000,$A14)</f>
        <v/>
      </c>
      <c r="C14" s="108">
        <f>SUMIFS('2. Contas a Receber'!$I$8:$I$1000,'2. Contas a Receber'!$F$8:$F$1000,"&gt;="&amp;A14,'2. Contas a Receber'!$F$8:$F$1000,"&lt;"&amp;EDATE(A14,1))</f>
        <v/>
      </c>
      <c r="D14" s="108">
        <f>SUMIFS('2. Contas a Receber'!$H$8:$H$1000,'2. Contas a Receber'!$N$8:$N$1000,$A14,'2. Contas a Receber'!$J$8:$J$1000,"&lt;&gt;Recebido",'2. Contas a Receber'!$J$8:$J$1000,"&lt;&gt;Cancelado")</f>
        <v/>
      </c>
      <c r="E14" s="108">
        <f>SUMIFS('2. Contas a Receber'!$H$8:$H$1000,'2. Contas a Receber'!$N$8:$N$1000,$A14,'2. Contas a Receber'!$J$8:$J$1000,"Vencido")</f>
        <v/>
      </c>
      <c r="F14" s="108">
        <f>SUMIFS('3. Contas a Pagar'!$I$6:$I$1000,'3. Contas a Pagar'!$B$6:$B$1000,$A14)</f>
        <v/>
      </c>
      <c r="G14" s="108">
        <f>SUMIFS('3. Contas a Pagar'!$I$6:$I$1000,'3. Contas a Pagar'!$H$6:$H$1000,"&gt;="&amp;A14,'3. Contas a Pagar'!$H$6:$H$1000,"&lt;"&amp;EDATE(A14,1))</f>
        <v/>
      </c>
      <c r="H14" s="108">
        <f>SUMIFS('3. Contas a Pagar'!$I$6:$I$1000,'3. Contas a Pagar'!$B$6:$B$1000,$A14,'3. Contas a Pagar'!$J$6:$J$1000,"&lt;&gt;Pago",'3. Contas a Pagar'!$J$6:$J$1000,"&lt;&gt;Cancelado")</f>
        <v/>
      </c>
      <c r="I14" s="108">
        <f>C14-G14</f>
        <v/>
      </c>
      <c r="J14" s="108">
        <f>B14-SUMIFS('3. Contas a Pagar'!$I$6:$I$1000,'3. Contas a Pagar'!$B$6:$B$1000,$A14,'3. Contas a Pagar'!$S$6:$S$1000,"Deduções da receita")</f>
        <v/>
      </c>
      <c r="K14" s="108">
        <f>J14-SUMIFS('3. Contas a Pagar'!$I$6:$I$1000,'3. Contas a Pagar'!$B$6:$B$1000,$A14,'3. Contas a Pagar'!$S$6:$S$1000,"Custo direto")-SUMIFS('3. Contas a Pagar'!$I$6:$I$1000,'3. Contas a Pagar'!$B$6:$B$1000,$A14,'3. Contas a Pagar'!$S$6:$S$1000,"Despesa operacional")</f>
        <v/>
      </c>
      <c r="L14" s="108">
        <f>K14-SUMIFS('3. Contas a Pagar'!$I$6:$I$1000,'3. Contas a Pagar'!$B$6:$B$1000,$A14,'3. Contas a Pagar'!$S$6:$S$1000,"Abaixo do EBITDA")</f>
        <v/>
      </c>
    </row>
    <row r="15">
      <c r="A15" s="107" t="n">
        <v>46327</v>
      </c>
      <c r="B15" s="108">
        <f>SUMIFS('2. Contas a Receber'!$H$8:$H$1000,'2. Contas a Receber'!$N$8:$N$1000,$A15)</f>
        <v/>
      </c>
      <c r="C15" s="108">
        <f>SUMIFS('2. Contas a Receber'!$I$8:$I$1000,'2. Contas a Receber'!$F$8:$F$1000,"&gt;="&amp;A15,'2. Contas a Receber'!$F$8:$F$1000,"&lt;"&amp;EDATE(A15,1))</f>
        <v/>
      </c>
      <c r="D15" s="108">
        <f>SUMIFS('2. Contas a Receber'!$H$8:$H$1000,'2. Contas a Receber'!$N$8:$N$1000,$A15,'2. Contas a Receber'!$J$8:$J$1000,"&lt;&gt;Recebido",'2. Contas a Receber'!$J$8:$J$1000,"&lt;&gt;Cancelado")</f>
        <v/>
      </c>
      <c r="E15" s="108">
        <f>SUMIFS('2. Contas a Receber'!$H$8:$H$1000,'2. Contas a Receber'!$N$8:$N$1000,$A15,'2. Contas a Receber'!$J$8:$J$1000,"Vencido")</f>
        <v/>
      </c>
      <c r="F15" s="108">
        <f>SUMIFS('3. Contas a Pagar'!$I$6:$I$1000,'3. Contas a Pagar'!$B$6:$B$1000,$A15)</f>
        <v/>
      </c>
      <c r="G15" s="108">
        <f>SUMIFS('3. Contas a Pagar'!$I$6:$I$1000,'3. Contas a Pagar'!$H$6:$H$1000,"&gt;="&amp;A15,'3. Contas a Pagar'!$H$6:$H$1000,"&lt;"&amp;EDATE(A15,1))</f>
        <v/>
      </c>
      <c r="H15" s="108">
        <f>SUMIFS('3. Contas a Pagar'!$I$6:$I$1000,'3. Contas a Pagar'!$B$6:$B$1000,$A15,'3. Contas a Pagar'!$J$6:$J$1000,"&lt;&gt;Pago",'3. Contas a Pagar'!$J$6:$J$1000,"&lt;&gt;Cancelado")</f>
        <v/>
      </c>
      <c r="I15" s="108">
        <f>C15-G15</f>
        <v/>
      </c>
      <c r="J15" s="108">
        <f>B15-SUMIFS('3. Contas a Pagar'!$I$6:$I$1000,'3. Contas a Pagar'!$B$6:$B$1000,$A15,'3. Contas a Pagar'!$S$6:$S$1000,"Deduções da receita")</f>
        <v/>
      </c>
      <c r="K15" s="108">
        <f>J15-SUMIFS('3. Contas a Pagar'!$I$6:$I$1000,'3. Contas a Pagar'!$B$6:$B$1000,$A15,'3. Contas a Pagar'!$S$6:$S$1000,"Custo direto")-SUMIFS('3. Contas a Pagar'!$I$6:$I$1000,'3. Contas a Pagar'!$B$6:$B$1000,$A15,'3. Contas a Pagar'!$S$6:$S$1000,"Despesa operacional")</f>
        <v/>
      </c>
      <c r="L15" s="108">
        <f>K15-SUMIFS('3. Contas a Pagar'!$I$6:$I$1000,'3. Contas a Pagar'!$B$6:$B$1000,$A15,'3. Contas a Pagar'!$S$6:$S$1000,"Abaixo do EBITDA")</f>
        <v/>
      </c>
    </row>
    <row r="16">
      <c r="A16" s="107" t="n">
        <v>46357</v>
      </c>
      <c r="B16" s="108">
        <f>SUMIFS('2. Contas a Receber'!$H$8:$H$1000,'2. Contas a Receber'!$N$8:$N$1000,$A16)</f>
        <v/>
      </c>
      <c r="C16" s="108">
        <f>SUMIFS('2. Contas a Receber'!$I$8:$I$1000,'2. Contas a Receber'!$F$8:$F$1000,"&gt;="&amp;A16,'2. Contas a Receber'!$F$8:$F$1000,"&lt;"&amp;EDATE(A16,1))</f>
        <v/>
      </c>
      <c r="D16" s="108">
        <f>SUMIFS('2. Contas a Receber'!$H$8:$H$1000,'2. Contas a Receber'!$N$8:$N$1000,$A16,'2. Contas a Receber'!$J$8:$J$1000,"&lt;&gt;Recebido",'2. Contas a Receber'!$J$8:$J$1000,"&lt;&gt;Cancelado")</f>
        <v/>
      </c>
      <c r="E16" s="108">
        <f>SUMIFS('2. Contas a Receber'!$H$8:$H$1000,'2. Contas a Receber'!$N$8:$N$1000,$A16,'2. Contas a Receber'!$J$8:$J$1000,"Vencido")</f>
        <v/>
      </c>
      <c r="F16" s="108">
        <f>SUMIFS('3. Contas a Pagar'!$I$6:$I$1000,'3. Contas a Pagar'!$B$6:$B$1000,$A16)</f>
        <v/>
      </c>
      <c r="G16" s="108">
        <f>SUMIFS('3. Contas a Pagar'!$I$6:$I$1000,'3. Contas a Pagar'!$H$6:$H$1000,"&gt;="&amp;A16,'3. Contas a Pagar'!$H$6:$H$1000,"&lt;"&amp;EDATE(A16,1))</f>
        <v/>
      </c>
      <c r="H16" s="108">
        <f>SUMIFS('3. Contas a Pagar'!$I$6:$I$1000,'3. Contas a Pagar'!$B$6:$B$1000,$A16,'3. Contas a Pagar'!$J$6:$J$1000,"&lt;&gt;Pago",'3. Contas a Pagar'!$J$6:$J$1000,"&lt;&gt;Cancelado")</f>
        <v/>
      </c>
      <c r="I16" s="108">
        <f>C16-G16</f>
        <v/>
      </c>
      <c r="J16" s="108">
        <f>B16-SUMIFS('3. Contas a Pagar'!$I$6:$I$1000,'3. Contas a Pagar'!$B$6:$B$1000,$A16,'3. Contas a Pagar'!$S$6:$S$1000,"Deduções da receita")</f>
        <v/>
      </c>
      <c r="K16" s="108">
        <f>J16-SUMIFS('3. Contas a Pagar'!$I$6:$I$1000,'3. Contas a Pagar'!$B$6:$B$1000,$A16,'3. Contas a Pagar'!$S$6:$S$1000,"Custo direto")-SUMIFS('3. Contas a Pagar'!$I$6:$I$1000,'3. Contas a Pagar'!$B$6:$B$1000,$A16,'3. Contas a Pagar'!$S$6:$S$1000,"Despesa operacional")</f>
        <v/>
      </c>
      <c r="L16" s="108">
        <f>K16-SUMIFS('3. Contas a Pagar'!$I$6:$I$1000,'3. Contas a Pagar'!$B$6:$B$1000,$A16,'3. Contas a Pagar'!$S$6:$S$1000,"Abaixo do EBITDA")</f>
        <v/>
      </c>
    </row>
    <row r="17">
      <c r="A17" s="107" t="n">
        <v>46388</v>
      </c>
      <c r="B17" s="108">
        <f>SUMIFS('2. Contas a Receber'!$H$8:$H$1000,'2. Contas a Receber'!$N$8:$N$1000,$A17)</f>
        <v/>
      </c>
      <c r="C17" s="108">
        <f>SUMIFS('2. Contas a Receber'!$I$8:$I$1000,'2. Contas a Receber'!$F$8:$F$1000,"&gt;="&amp;A17,'2. Contas a Receber'!$F$8:$F$1000,"&lt;"&amp;EDATE(A17,1))</f>
        <v/>
      </c>
      <c r="D17" s="108">
        <f>SUMIFS('2. Contas a Receber'!$H$8:$H$1000,'2. Contas a Receber'!$N$8:$N$1000,$A17,'2. Contas a Receber'!$J$8:$J$1000,"&lt;&gt;Recebido",'2. Contas a Receber'!$J$8:$J$1000,"&lt;&gt;Cancelado")</f>
        <v/>
      </c>
      <c r="E17" s="108">
        <f>SUMIFS('2. Contas a Receber'!$H$8:$H$1000,'2. Contas a Receber'!$N$8:$N$1000,$A17,'2. Contas a Receber'!$J$8:$J$1000,"Vencido")</f>
        <v/>
      </c>
      <c r="F17" s="108">
        <f>SUMIFS('3. Contas a Pagar'!$I$6:$I$1000,'3. Contas a Pagar'!$B$6:$B$1000,$A17)</f>
        <v/>
      </c>
      <c r="G17" s="108">
        <f>SUMIFS('3. Contas a Pagar'!$I$6:$I$1000,'3. Contas a Pagar'!$H$6:$H$1000,"&gt;="&amp;A17,'3. Contas a Pagar'!$H$6:$H$1000,"&lt;"&amp;EDATE(A17,1))</f>
        <v/>
      </c>
      <c r="H17" s="108">
        <f>SUMIFS('3. Contas a Pagar'!$I$6:$I$1000,'3. Contas a Pagar'!$B$6:$B$1000,$A17,'3. Contas a Pagar'!$J$6:$J$1000,"&lt;&gt;Pago",'3. Contas a Pagar'!$J$6:$J$1000,"&lt;&gt;Cancelado")</f>
        <v/>
      </c>
      <c r="I17" s="108">
        <f>C17-G17</f>
        <v/>
      </c>
      <c r="J17" s="108">
        <f>B17-SUMIFS('3. Contas a Pagar'!$I$6:$I$1000,'3. Contas a Pagar'!$B$6:$B$1000,$A17,'3. Contas a Pagar'!$S$6:$S$1000,"Deduções da receita")</f>
        <v/>
      </c>
      <c r="K17" s="108">
        <f>J17-SUMIFS('3. Contas a Pagar'!$I$6:$I$1000,'3. Contas a Pagar'!$B$6:$B$1000,$A17,'3. Contas a Pagar'!$S$6:$S$1000,"Custo direto")-SUMIFS('3. Contas a Pagar'!$I$6:$I$1000,'3. Contas a Pagar'!$B$6:$B$1000,$A17,'3. Contas a Pagar'!$S$6:$S$1000,"Despesa operacional")</f>
        <v/>
      </c>
      <c r="L17" s="108">
        <f>K17-SUMIFS('3. Contas a Pagar'!$I$6:$I$1000,'3. Contas a Pagar'!$B$6:$B$1000,$A17,'3. Contas a Pagar'!$S$6:$S$1000,"Abaixo do EBITDA")</f>
        <v/>
      </c>
    </row>
    <row r="18">
      <c r="A18" s="107" t="n">
        <v>46419</v>
      </c>
      <c r="B18" s="108">
        <f>SUMIFS('2. Contas a Receber'!$H$8:$H$1000,'2. Contas a Receber'!$N$8:$N$1000,$A18)</f>
        <v/>
      </c>
      <c r="C18" s="108">
        <f>SUMIFS('2. Contas a Receber'!$I$8:$I$1000,'2. Contas a Receber'!$F$8:$F$1000,"&gt;="&amp;A18,'2. Contas a Receber'!$F$8:$F$1000,"&lt;"&amp;EDATE(A18,1))</f>
        <v/>
      </c>
      <c r="D18" s="108">
        <f>SUMIFS('2. Contas a Receber'!$H$8:$H$1000,'2. Contas a Receber'!$N$8:$N$1000,$A18,'2. Contas a Receber'!$J$8:$J$1000,"&lt;&gt;Recebido",'2. Contas a Receber'!$J$8:$J$1000,"&lt;&gt;Cancelado")</f>
        <v/>
      </c>
      <c r="E18" s="108">
        <f>SUMIFS('2. Contas a Receber'!$H$8:$H$1000,'2. Contas a Receber'!$N$8:$N$1000,$A18,'2. Contas a Receber'!$J$8:$J$1000,"Vencido")</f>
        <v/>
      </c>
      <c r="F18" s="108">
        <f>SUMIFS('3. Contas a Pagar'!$I$6:$I$1000,'3. Contas a Pagar'!$B$6:$B$1000,$A18)</f>
        <v/>
      </c>
      <c r="G18" s="108">
        <f>SUMIFS('3. Contas a Pagar'!$I$6:$I$1000,'3. Contas a Pagar'!$H$6:$H$1000,"&gt;="&amp;A18,'3. Contas a Pagar'!$H$6:$H$1000,"&lt;"&amp;EDATE(A18,1))</f>
        <v/>
      </c>
      <c r="H18" s="108">
        <f>SUMIFS('3. Contas a Pagar'!$I$6:$I$1000,'3. Contas a Pagar'!$B$6:$B$1000,$A18,'3. Contas a Pagar'!$J$6:$J$1000,"&lt;&gt;Pago",'3. Contas a Pagar'!$J$6:$J$1000,"&lt;&gt;Cancelado")</f>
        <v/>
      </c>
      <c r="I18" s="108">
        <f>C18-G18</f>
        <v/>
      </c>
      <c r="J18" s="108">
        <f>B18-SUMIFS('3. Contas a Pagar'!$I$6:$I$1000,'3. Contas a Pagar'!$B$6:$B$1000,$A18,'3. Contas a Pagar'!$S$6:$S$1000,"Deduções da receita")</f>
        <v/>
      </c>
      <c r="K18" s="108">
        <f>J18-SUMIFS('3. Contas a Pagar'!$I$6:$I$1000,'3. Contas a Pagar'!$B$6:$B$1000,$A18,'3. Contas a Pagar'!$S$6:$S$1000,"Custo direto")-SUMIFS('3. Contas a Pagar'!$I$6:$I$1000,'3. Contas a Pagar'!$B$6:$B$1000,$A18,'3. Contas a Pagar'!$S$6:$S$1000,"Despesa operacional")</f>
        <v/>
      </c>
      <c r="L18" s="108">
        <f>K18-SUMIFS('3. Contas a Pagar'!$I$6:$I$1000,'3. Contas a Pagar'!$B$6:$B$1000,$A18,'3. Contas a Pagar'!$S$6:$S$1000,"Abaixo do EBITDA")</f>
        <v/>
      </c>
    </row>
    <row r="19">
      <c r="A19" s="107" t="n">
        <v>46447</v>
      </c>
      <c r="B19" s="108">
        <f>SUMIFS('2. Contas a Receber'!$H$8:$H$1000,'2. Contas a Receber'!$N$8:$N$1000,$A19)</f>
        <v/>
      </c>
      <c r="C19" s="108">
        <f>SUMIFS('2. Contas a Receber'!$I$8:$I$1000,'2. Contas a Receber'!$F$8:$F$1000,"&gt;="&amp;A19,'2. Contas a Receber'!$F$8:$F$1000,"&lt;"&amp;EDATE(A19,1))</f>
        <v/>
      </c>
      <c r="D19" s="108">
        <f>SUMIFS('2. Contas a Receber'!$H$8:$H$1000,'2. Contas a Receber'!$N$8:$N$1000,$A19,'2. Contas a Receber'!$J$8:$J$1000,"&lt;&gt;Recebido",'2. Contas a Receber'!$J$8:$J$1000,"&lt;&gt;Cancelado")</f>
        <v/>
      </c>
      <c r="E19" s="108">
        <f>SUMIFS('2. Contas a Receber'!$H$8:$H$1000,'2. Contas a Receber'!$N$8:$N$1000,$A19,'2. Contas a Receber'!$J$8:$J$1000,"Vencido")</f>
        <v/>
      </c>
      <c r="F19" s="108">
        <f>SUMIFS('3. Contas a Pagar'!$I$6:$I$1000,'3. Contas a Pagar'!$B$6:$B$1000,$A19)</f>
        <v/>
      </c>
      <c r="G19" s="108">
        <f>SUMIFS('3. Contas a Pagar'!$I$6:$I$1000,'3. Contas a Pagar'!$H$6:$H$1000,"&gt;="&amp;A19,'3. Contas a Pagar'!$H$6:$H$1000,"&lt;"&amp;EDATE(A19,1))</f>
        <v/>
      </c>
      <c r="H19" s="108">
        <f>SUMIFS('3. Contas a Pagar'!$I$6:$I$1000,'3. Contas a Pagar'!$B$6:$B$1000,$A19,'3. Contas a Pagar'!$J$6:$J$1000,"&lt;&gt;Pago",'3. Contas a Pagar'!$J$6:$J$1000,"&lt;&gt;Cancelado")</f>
        <v/>
      </c>
      <c r="I19" s="108">
        <f>C19-G19</f>
        <v/>
      </c>
      <c r="J19" s="108">
        <f>B19-SUMIFS('3. Contas a Pagar'!$I$6:$I$1000,'3. Contas a Pagar'!$B$6:$B$1000,$A19,'3. Contas a Pagar'!$S$6:$S$1000,"Deduções da receita")</f>
        <v/>
      </c>
      <c r="K19" s="108">
        <f>J19-SUMIFS('3. Contas a Pagar'!$I$6:$I$1000,'3. Contas a Pagar'!$B$6:$B$1000,$A19,'3. Contas a Pagar'!$S$6:$S$1000,"Custo direto")-SUMIFS('3. Contas a Pagar'!$I$6:$I$1000,'3. Contas a Pagar'!$B$6:$B$1000,$A19,'3. Contas a Pagar'!$S$6:$S$1000,"Despesa operacional")</f>
        <v/>
      </c>
      <c r="L19" s="108">
        <f>K19-SUMIFS('3. Contas a Pagar'!$I$6:$I$1000,'3. Contas a Pagar'!$B$6:$B$1000,$A19,'3. Contas a Pagar'!$S$6:$S$1000,"Abaixo do EBITDA")</f>
        <v/>
      </c>
    </row>
    <row r="20">
      <c r="A20" s="107" t="n">
        <v>46478</v>
      </c>
      <c r="B20" s="108">
        <f>SUMIFS('2. Contas a Receber'!$H$8:$H$1000,'2. Contas a Receber'!$N$8:$N$1000,$A20)</f>
        <v/>
      </c>
      <c r="C20" s="108">
        <f>SUMIFS('2. Contas a Receber'!$I$8:$I$1000,'2. Contas a Receber'!$F$8:$F$1000,"&gt;="&amp;A20,'2. Contas a Receber'!$F$8:$F$1000,"&lt;"&amp;EDATE(A20,1))</f>
        <v/>
      </c>
      <c r="D20" s="108">
        <f>SUMIFS('2. Contas a Receber'!$H$8:$H$1000,'2. Contas a Receber'!$N$8:$N$1000,$A20,'2. Contas a Receber'!$J$8:$J$1000,"&lt;&gt;Recebido",'2. Contas a Receber'!$J$8:$J$1000,"&lt;&gt;Cancelado")</f>
        <v/>
      </c>
      <c r="E20" s="108">
        <f>SUMIFS('2. Contas a Receber'!$H$8:$H$1000,'2. Contas a Receber'!$N$8:$N$1000,$A20,'2. Contas a Receber'!$J$8:$J$1000,"Vencido")</f>
        <v/>
      </c>
      <c r="F20" s="108">
        <f>SUMIFS('3. Contas a Pagar'!$I$6:$I$1000,'3. Contas a Pagar'!$B$6:$B$1000,$A20)</f>
        <v/>
      </c>
      <c r="G20" s="108">
        <f>SUMIFS('3. Contas a Pagar'!$I$6:$I$1000,'3. Contas a Pagar'!$H$6:$H$1000,"&gt;="&amp;A20,'3. Contas a Pagar'!$H$6:$H$1000,"&lt;"&amp;EDATE(A20,1))</f>
        <v/>
      </c>
      <c r="H20" s="108">
        <f>SUMIFS('3. Contas a Pagar'!$I$6:$I$1000,'3. Contas a Pagar'!$B$6:$B$1000,$A20,'3. Contas a Pagar'!$J$6:$J$1000,"&lt;&gt;Pago",'3. Contas a Pagar'!$J$6:$J$1000,"&lt;&gt;Cancelado")</f>
        <v/>
      </c>
      <c r="I20" s="108">
        <f>C20-G20</f>
        <v/>
      </c>
      <c r="J20" s="108">
        <f>B20-SUMIFS('3. Contas a Pagar'!$I$6:$I$1000,'3. Contas a Pagar'!$B$6:$B$1000,$A20,'3. Contas a Pagar'!$S$6:$S$1000,"Deduções da receita")</f>
        <v/>
      </c>
      <c r="K20" s="108">
        <f>J20-SUMIFS('3. Contas a Pagar'!$I$6:$I$1000,'3. Contas a Pagar'!$B$6:$B$1000,$A20,'3. Contas a Pagar'!$S$6:$S$1000,"Custo direto")-SUMIFS('3. Contas a Pagar'!$I$6:$I$1000,'3. Contas a Pagar'!$B$6:$B$1000,$A20,'3. Contas a Pagar'!$S$6:$S$1000,"Despesa operacional")</f>
        <v/>
      </c>
      <c r="L20" s="108">
        <f>K20-SUMIFS('3. Contas a Pagar'!$I$6:$I$1000,'3. Contas a Pagar'!$B$6:$B$1000,$A20,'3. Contas a Pagar'!$S$6:$S$1000,"Abaixo do EBITDA")</f>
        <v/>
      </c>
    </row>
    <row r="21">
      <c r="A21" s="107" t="n">
        <v>46508</v>
      </c>
      <c r="B21" s="108">
        <f>SUMIFS('2. Contas a Receber'!$H$8:$H$1000,'2. Contas a Receber'!$N$8:$N$1000,$A21)</f>
        <v/>
      </c>
      <c r="C21" s="108">
        <f>SUMIFS('2. Contas a Receber'!$I$8:$I$1000,'2. Contas a Receber'!$F$8:$F$1000,"&gt;="&amp;A21,'2. Contas a Receber'!$F$8:$F$1000,"&lt;"&amp;EDATE(A21,1))</f>
        <v/>
      </c>
      <c r="D21" s="108">
        <f>SUMIFS('2. Contas a Receber'!$H$8:$H$1000,'2. Contas a Receber'!$N$8:$N$1000,$A21,'2. Contas a Receber'!$J$8:$J$1000,"&lt;&gt;Recebido",'2. Contas a Receber'!$J$8:$J$1000,"&lt;&gt;Cancelado")</f>
        <v/>
      </c>
      <c r="E21" s="108">
        <f>SUMIFS('2. Contas a Receber'!$H$8:$H$1000,'2. Contas a Receber'!$N$8:$N$1000,$A21,'2. Contas a Receber'!$J$8:$J$1000,"Vencido")</f>
        <v/>
      </c>
      <c r="F21" s="108">
        <f>SUMIFS('3. Contas a Pagar'!$I$6:$I$1000,'3. Contas a Pagar'!$B$6:$B$1000,$A21)</f>
        <v/>
      </c>
      <c r="G21" s="108">
        <f>SUMIFS('3. Contas a Pagar'!$I$6:$I$1000,'3. Contas a Pagar'!$H$6:$H$1000,"&gt;="&amp;A21,'3. Contas a Pagar'!$H$6:$H$1000,"&lt;"&amp;EDATE(A21,1))</f>
        <v/>
      </c>
      <c r="H21" s="108">
        <f>SUMIFS('3. Contas a Pagar'!$I$6:$I$1000,'3. Contas a Pagar'!$B$6:$B$1000,$A21,'3. Contas a Pagar'!$J$6:$J$1000,"&lt;&gt;Pago",'3. Contas a Pagar'!$J$6:$J$1000,"&lt;&gt;Cancelado")</f>
        <v/>
      </c>
      <c r="I21" s="108">
        <f>C21-G21</f>
        <v/>
      </c>
      <c r="J21" s="108">
        <f>B21-SUMIFS('3. Contas a Pagar'!$I$6:$I$1000,'3. Contas a Pagar'!$B$6:$B$1000,$A21,'3. Contas a Pagar'!$S$6:$S$1000,"Deduções da receita")</f>
        <v/>
      </c>
      <c r="K21" s="108">
        <f>J21-SUMIFS('3. Contas a Pagar'!$I$6:$I$1000,'3. Contas a Pagar'!$B$6:$B$1000,$A21,'3. Contas a Pagar'!$S$6:$S$1000,"Custo direto")-SUMIFS('3. Contas a Pagar'!$I$6:$I$1000,'3. Contas a Pagar'!$B$6:$B$1000,$A21,'3. Contas a Pagar'!$S$6:$S$1000,"Despesa operacional")</f>
        <v/>
      </c>
      <c r="L21" s="108">
        <f>K21-SUMIFS('3. Contas a Pagar'!$I$6:$I$1000,'3. Contas a Pagar'!$B$6:$B$1000,$A21,'3. Contas a Pagar'!$S$6:$S$1000,"Abaixo do EBITDA")</f>
        <v/>
      </c>
    </row>
    <row r="22">
      <c r="A22" s="107" t="n">
        <v>46539</v>
      </c>
      <c r="B22" s="108">
        <f>SUMIFS('2. Contas a Receber'!$H$8:$H$1000,'2. Contas a Receber'!$N$8:$N$1000,$A22)</f>
        <v/>
      </c>
      <c r="C22" s="108">
        <f>SUMIFS('2. Contas a Receber'!$I$8:$I$1000,'2. Contas a Receber'!$F$8:$F$1000,"&gt;="&amp;A22,'2. Contas a Receber'!$F$8:$F$1000,"&lt;"&amp;EDATE(A22,1))</f>
        <v/>
      </c>
      <c r="D22" s="108">
        <f>SUMIFS('2. Contas a Receber'!$H$8:$H$1000,'2. Contas a Receber'!$N$8:$N$1000,$A22,'2. Contas a Receber'!$J$8:$J$1000,"&lt;&gt;Recebido",'2. Contas a Receber'!$J$8:$J$1000,"&lt;&gt;Cancelado")</f>
        <v/>
      </c>
      <c r="E22" s="108">
        <f>SUMIFS('2. Contas a Receber'!$H$8:$H$1000,'2. Contas a Receber'!$N$8:$N$1000,$A22,'2. Contas a Receber'!$J$8:$J$1000,"Vencido")</f>
        <v/>
      </c>
      <c r="F22" s="108">
        <f>SUMIFS('3. Contas a Pagar'!$I$6:$I$1000,'3. Contas a Pagar'!$B$6:$B$1000,$A22)</f>
        <v/>
      </c>
      <c r="G22" s="108">
        <f>SUMIFS('3. Contas a Pagar'!$I$6:$I$1000,'3. Contas a Pagar'!$H$6:$H$1000,"&gt;="&amp;A22,'3. Contas a Pagar'!$H$6:$H$1000,"&lt;"&amp;EDATE(A22,1))</f>
        <v/>
      </c>
      <c r="H22" s="108">
        <f>SUMIFS('3. Contas a Pagar'!$I$6:$I$1000,'3. Contas a Pagar'!$B$6:$B$1000,$A22,'3. Contas a Pagar'!$J$6:$J$1000,"&lt;&gt;Pago",'3. Contas a Pagar'!$J$6:$J$1000,"&lt;&gt;Cancelado")</f>
        <v/>
      </c>
      <c r="I22" s="108">
        <f>C22-G22</f>
        <v/>
      </c>
      <c r="J22" s="108">
        <f>B22-SUMIFS('3. Contas a Pagar'!$I$6:$I$1000,'3. Contas a Pagar'!$B$6:$B$1000,$A22,'3. Contas a Pagar'!$S$6:$S$1000,"Deduções da receita")</f>
        <v/>
      </c>
      <c r="K22" s="108">
        <f>J22-SUMIFS('3. Contas a Pagar'!$I$6:$I$1000,'3. Contas a Pagar'!$B$6:$B$1000,$A22,'3. Contas a Pagar'!$S$6:$S$1000,"Custo direto")-SUMIFS('3. Contas a Pagar'!$I$6:$I$1000,'3. Contas a Pagar'!$B$6:$B$1000,$A22,'3. Contas a Pagar'!$S$6:$S$1000,"Despesa operacional")</f>
        <v/>
      </c>
      <c r="L22" s="108">
        <f>K22-SUMIFS('3. Contas a Pagar'!$I$6:$I$1000,'3. Contas a Pagar'!$B$6:$B$1000,$A22,'3. Contas a Pagar'!$S$6:$S$1000,"Abaixo do EBITDA")</f>
        <v/>
      </c>
    </row>
    <row r="23">
      <c r="A23" s="107" t="n">
        <v>46569</v>
      </c>
      <c r="B23" s="108">
        <f>SUMIFS('2. Contas a Receber'!$H$8:$H$1000,'2. Contas a Receber'!$N$8:$N$1000,$A23)</f>
        <v/>
      </c>
      <c r="C23" s="108">
        <f>SUMIFS('2. Contas a Receber'!$I$8:$I$1000,'2. Contas a Receber'!$F$8:$F$1000,"&gt;="&amp;A23,'2. Contas a Receber'!$F$8:$F$1000,"&lt;"&amp;EDATE(A23,1))</f>
        <v/>
      </c>
      <c r="D23" s="108">
        <f>SUMIFS('2. Contas a Receber'!$H$8:$H$1000,'2. Contas a Receber'!$N$8:$N$1000,$A23,'2. Contas a Receber'!$J$8:$J$1000,"&lt;&gt;Recebido",'2. Contas a Receber'!$J$8:$J$1000,"&lt;&gt;Cancelado")</f>
        <v/>
      </c>
      <c r="E23" s="108">
        <f>SUMIFS('2. Contas a Receber'!$H$8:$H$1000,'2. Contas a Receber'!$N$8:$N$1000,$A23,'2. Contas a Receber'!$J$8:$J$1000,"Vencido")</f>
        <v/>
      </c>
      <c r="F23" s="108">
        <f>SUMIFS('3. Contas a Pagar'!$I$6:$I$1000,'3. Contas a Pagar'!$B$6:$B$1000,$A23)</f>
        <v/>
      </c>
      <c r="G23" s="108">
        <f>SUMIFS('3. Contas a Pagar'!$I$6:$I$1000,'3. Contas a Pagar'!$H$6:$H$1000,"&gt;="&amp;A23,'3. Contas a Pagar'!$H$6:$H$1000,"&lt;"&amp;EDATE(A23,1))</f>
        <v/>
      </c>
      <c r="H23" s="108">
        <f>SUMIFS('3. Contas a Pagar'!$I$6:$I$1000,'3. Contas a Pagar'!$B$6:$B$1000,$A23,'3. Contas a Pagar'!$J$6:$J$1000,"&lt;&gt;Pago",'3. Contas a Pagar'!$J$6:$J$1000,"&lt;&gt;Cancelado")</f>
        <v/>
      </c>
      <c r="I23" s="108">
        <f>C23-G23</f>
        <v/>
      </c>
      <c r="J23" s="108">
        <f>B23-SUMIFS('3. Contas a Pagar'!$I$6:$I$1000,'3. Contas a Pagar'!$B$6:$B$1000,$A23,'3. Contas a Pagar'!$S$6:$S$1000,"Deduções da receita")</f>
        <v/>
      </c>
      <c r="K23" s="108">
        <f>J23-SUMIFS('3. Contas a Pagar'!$I$6:$I$1000,'3. Contas a Pagar'!$B$6:$B$1000,$A23,'3. Contas a Pagar'!$S$6:$S$1000,"Custo direto")-SUMIFS('3. Contas a Pagar'!$I$6:$I$1000,'3. Contas a Pagar'!$B$6:$B$1000,$A23,'3. Contas a Pagar'!$S$6:$S$1000,"Despesa operacional")</f>
        <v/>
      </c>
      <c r="L23" s="108">
        <f>K23-SUMIFS('3. Contas a Pagar'!$I$6:$I$1000,'3. Contas a Pagar'!$B$6:$B$1000,$A23,'3. Contas a Pagar'!$S$6:$S$1000,"Abaixo do EBITDA")</f>
        <v/>
      </c>
    </row>
    <row r="24">
      <c r="A24" s="107" t="n">
        <v>46600</v>
      </c>
      <c r="B24" s="108">
        <f>SUMIFS('2. Contas a Receber'!$H$8:$H$1000,'2. Contas a Receber'!$N$8:$N$1000,$A24)</f>
        <v/>
      </c>
      <c r="C24" s="108">
        <f>SUMIFS('2. Contas a Receber'!$I$8:$I$1000,'2. Contas a Receber'!$F$8:$F$1000,"&gt;="&amp;A24,'2. Contas a Receber'!$F$8:$F$1000,"&lt;"&amp;EDATE(A24,1))</f>
        <v/>
      </c>
      <c r="D24" s="108">
        <f>SUMIFS('2. Contas a Receber'!$H$8:$H$1000,'2. Contas a Receber'!$N$8:$N$1000,$A24,'2. Contas a Receber'!$J$8:$J$1000,"&lt;&gt;Recebido",'2. Contas a Receber'!$J$8:$J$1000,"&lt;&gt;Cancelado")</f>
        <v/>
      </c>
      <c r="E24" s="108">
        <f>SUMIFS('2. Contas a Receber'!$H$8:$H$1000,'2. Contas a Receber'!$N$8:$N$1000,$A24,'2. Contas a Receber'!$J$8:$J$1000,"Vencido")</f>
        <v/>
      </c>
      <c r="F24" s="108">
        <f>SUMIFS('3. Contas a Pagar'!$I$6:$I$1000,'3. Contas a Pagar'!$B$6:$B$1000,$A24)</f>
        <v/>
      </c>
      <c r="G24" s="108">
        <f>SUMIFS('3. Contas a Pagar'!$I$6:$I$1000,'3. Contas a Pagar'!$H$6:$H$1000,"&gt;="&amp;A24,'3. Contas a Pagar'!$H$6:$H$1000,"&lt;"&amp;EDATE(A24,1))</f>
        <v/>
      </c>
      <c r="H24" s="108">
        <f>SUMIFS('3. Contas a Pagar'!$I$6:$I$1000,'3. Contas a Pagar'!$B$6:$B$1000,$A24,'3. Contas a Pagar'!$J$6:$J$1000,"&lt;&gt;Pago",'3. Contas a Pagar'!$J$6:$J$1000,"&lt;&gt;Cancelado")</f>
        <v/>
      </c>
      <c r="I24" s="108">
        <f>C24-G24</f>
        <v/>
      </c>
      <c r="J24" s="108">
        <f>B24-SUMIFS('3. Contas a Pagar'!$I$6:$I$1000,'3. Contas a Pagar'!$B$6:$B$1000,$A24,'3. Contas a Pagar'!$S$6:$S$1000,"Deduções da receita")</f>
        <v/>
      </c>
      <c r="K24" s="108">
        <f>J24-SUMIFS('3. Contas a Pagar'!$I$6:$I$1000,'3. Contas a Pagar'!$B$6:$B$1000,$A24,'3. Contas a Pagar'!$S$6:$S$1000,"Custo direto")-SUMIFS('3. Contas a Pagar'!$I$6:$I$1000,'3. Contas a Pagar'!$B$6:$B$1000,$A24,'3. Contas a Pagar'!$S$6:$S$1000,"Despesa operacional")</f>
        <v/>
      </c>
      <c r="L24" s="108">
        <f>K24-SUMIFS('3. Contas a Pagar'!$I$6:$I$1000,'3. Contas a Pagar'!$B$6:$B$1000,$A24,'3. Contas a Pagar'!$S$6:$S$1000,"Abaixo do EBITDA")</f>
        <v/>
      </c>
    </row>
    <row r="25">
      <c r="A25" s="107" t="n">
        <v>46631</v>
      </c>
      <c r="B25" s="108">
        <f>SUMIFS('2. Contas a Receber'!$H$8:$H$1000,'2. Contas a Receber'!$N$8:$N$1000,$A25)</f>
        <v/>
      </c>
      <c r="C25" s="108">
        <f>SUMIFS('2. Contas a Receber'!$I$8:$I$1000,'2. Contas a Receber'!$F$8:$F$1000,"&gt;="&amp;A25,'2. Contas a Receber'!$F$8:$F$1000,"&lt;"&amp;EDATE(A25,1))</f>
        <v/>
      </c>
      <c r="D25" s="108">
        <f>SUMIFS('2. Contas a Receber'!$H$8:$H$1000,'2. Contas a Receber'!$N$8:$N$1000,$A25,'2. Contas a Receber'!$J$8:$J$1000,"&lt;&gt;Recebido",'2. Contas a Receber'!$J$8:$J$1000,"&lt;&gt;Cancelado")</f>
        <v/>
      </c>
      <c r="E25" s="108">
        <f>SUMIFS('2. Contas a Receber'!$H$8:$H$1000,'2. Contas a Receber'!$N$8:$N$1000,$A25,'2. Contas a Receber'!$J$8:$J$1000,"Vencido")</f>
        <v/>
      </c>
      <c r="F25" s="108">
        <f>SUMIFS('3. Contas a Pagar'!$I$6:$I$1000,'3. Contas a Pagar'!$B$6:$B$1000,$A25)</f>
        <v/>
      </c>
      <c r="G25" s="108">
        <f>SUMIFS('3. Contas a Pagar'!$I$6:$I$1000,'3. Contas a Pagar'!$H$6:$H$1000,"&gt;="&amp;A25,'3. Contas a Pagar'!$H$6:$H$1000,"&lt;"&amp;EDATE(A25,1))</f>
        <v/>
      </c>
      <c r="H25" s="108">
        <f>SUMIFS('3. Contas a Pagar'!$I$6:$I$1000,'3. Contas a Pagar'!$B$6:$B$1000,$A25,'3. Contas a Pagar'!$J$6:$J$1000,"&lt;&gt;Pago",'3. Contas a Pagar'!$J$6:$J$1000,"&lt;&gt;Cancelado")</f>
        <v/>
      </c>
      <c r="I25" s="108">
        <f>C25-G25</f>
        <v/>
      </c>
      <c r="J25" s="108">
        <f>B25-SUMIFS('3. Contas a Pagar'!$I$6:$I$1000,'3. Contas a Pagar'!$B$6:$B$1000,$A25,'3. Contas a Pagar'!$S$6:$S$1000,"Deduções da receita")</f>
        <v/>
      </c>
      <c r="K25" s="108">
        <f>J25-SUMIFS('3. Contas a Pagar'!$I$6:$I$1000,'3. Contas a Pagar'!$B$6:$B$1000,$A25,'3. Contas a Pagar'!$S$6:$S$1000,"Custo direto")-SUMIFS('3. Contas a Pagar'!$I$6:$I$1000,'3. Contas a Pagar'!$B$6:$B$1000,$A25,'3. Contas a Pagar'!$S$6:$S$1000,"Despesa operacional")</f>
        <v/>
      </c>
      <c r="L25" s="108">
        <f>K25-SUMIFS('3. Contas a Pagar'!$I$6:$I$1000,'3. Contas a Pagar'!$B$6:$B$1000,$A25,'3. Contas a Pagar'!$S$6:$S$1000,"Abaixo do EBITDA")</f>
        <v/>
      </c>
    </row>
    <row r="26">
      <c r="A26" s="107" t="n">
        <v>46661</v>
      </c>
      <c r="B26" s="108">
        <f>SUMIFS('2. Contas a Receber'!$H$8:$H$1000,'2. Contas a Receber'!$N$8:$N$1000,$A26)</f>
        <v/>
      </c>
      <c r="C26" s="108">
        <f>SUMIFS('2. Contas a Receber'!$I$8:$I$1000,'2. Contas a Receber'!$F$8:$F$1000,"&gt;="&amp;A26,'2. Contas a Receber'!$F$8:$F$1000,"&lt;"&amp;EDATE(A26,1))</f>
        <v/>
      </c>
      <c r="D26" s="108">
        <f>SUMIFS('2. Contas a Receber'!$H$8:$H$1000,'2. Contas a Receber'!$N$8:$N$1000,$A26,'2. Contas a Receber'!$J$8:$J$1000,"&lt;&gt;Recebido",'2. Contas a Receber'!$J$8:$J$1000,"&lt;&gt;Cancelado")</f>
        <v/>
      </c>
      <c r="E26" s="108">
        <f>SUMIFS('2. Contas a Receber'!$H$8:$H$1000,'2. Contas a Receber'!$N$8:$N$1000,$A26,'2. Contas a Receber'!$J$8:$J$1000,"Vencido")</f>
        <v/>
      </c>
      <c r="F26" s="108">
        <f>SUMIFS('3. Contas a Pagar'!$I$6:$I$1000,'3. Contas a Pagar'!$B$6:$B$1000,$A26)</f>
        <v/>
      </c>
      <c r="G26" s="108">
        <f>SUMIFS('3. Contas a Pagar'!$I$6:$I$1000,'3. Contas a Pagar'!$H$6:$H$1000,"&gt;="&amp;A26,'3. Contas a Pagar'!$H$6:$H$1000,"&lt;"&amp;EDATE(A26,1))</f>
        <v/>
      </c>
      <c r="H26" s="108">
        <f>SUMIFS('3. Contas a Pagar'!$I$6:$I$1000,'3. Contas a Pagar'!$B$6:$B$1000,$A26,'3. Contas a Pagar'!$J$6:$J$1000,"&lt;&gt;Pago",'3. Contas a Pagar'!$J$6:$J$1000,"&lt;&gt;Cancelado")</f>
        <v/>
      </c>
      <c r="I26" s="108">
        <f>C26-G26</f>
        <v/>
      </c>
      <c r="J26" s="108">
        <f>B26-SUMIFS('3. Contas a Pagar'!$I$6:$I$1000,'3. Contas a Pagar'!$B$6:$B$1000,$A26,'3. Contas a Pagar'!$S$6:$S$1000,"Deduções da receita")</f>
        <v/>
      </c>
      <c r="K26" s="108">
        <f>J26-SUMIFS('3. Contas a Pagar'!$I$6:$I$1000,'3. Contas a Pagar'!$B$6:$B$1000,$A26,'3. Contas a Pagar'!$S$6:$S$1000,"Custo direto")-SUMIFS('3. Contas a Pagar'!$I$6:$I$1000,'3. Contas a Pagar'!$B$6:$B$1000,$A26,'3. Contas a Pagar'!$S$6:$S$1000,"Despesa operacional")</f>
        <v/>
      </c>
      <c r="L26" s="108">
        <f>K26-SUMIFS('3. Contas a Pagar'!$I$6:$I$1000,'3. Contas a Pagar'!$B$6:$B$1000,$A26,'3. Contas a Pagar'!$S$6:$S$1000,"Abaixo do EBITDA")</f>
        <v/>
      </c>
    </row>
    <row r="27">
      <c r="A27" s="107" t="n">
        <v>46692</v>
      </c>
      <c r="B27" s="108">
        <f>SUMIFS('2. Contas a Receber'!$H$8:$H$1000,'2. Contas a Receber'!$N$8:$N$1000,$A27)</f>
        <v/>
      </c>
      <c r="C27" s="108">
        <f>SUMIFS('2. Contas a Receber'!$I$8:$I$1000,'2. Contas a Receber'!$F$8:$F$1000,"&gt;="&amp;A27,'2. Contas a Receber'!$F$8:$F$1000,"&lt;"&amp;EDATE(A27,1))</f>
        <v/>
      </c>
      <c r="D27" s="108">
        <f>SUMIFS('2. Contas a Receber'!$H$8:$H$1000,'2. Contas a Receber'!$N$8:$N$1000,$A27,'2. Contas a Receber'!$J$8:$J$1000,"&lt;&gt;Recebido",'2. Contas a Receber'!$J$8:$J$1000,"&lt;&gt;Cancelado")</f>
        <v/>
      </c>
      <c r="E27" s="108">
        <f>SUMIFS('2. Contas a Receber'!$H$8:$H$1000,'2. Contas a Receber'!$N$8:$N$1000,$A27,'2. Contas a Receber'!$J$8:$J$1000,"Vencido")</f>
        <v/>
      </c>
      <c r="F27" s="108">
        <f>SUMIFS('3. Contas a Pagar'!$I$6:$I$1000,'3. Contas a Pagar'!$B$6:$B$1000,$A27)</f>
        <v/>
      </c>
      <c r="G27" s="108">
        <f>SUMIFS('3. Contas a Pagar'!$I$6:$I$1000,'3. Contas a Pagar'!$H$6:$H$1000,"&gt;="&amp;A27,'3. Contas a Pagar'!$H$6:$H$1000,"&lt;"&amp;EDATE(A27,1))</f>
        <v/>
      </c>
      <c r="H27" s="108">
        <f>SUMIFS('3. Contas a Pagar'!$I$6:$I$1000,'3. Contas a Pagar'!$B$6:$B$1000,$A27,'3. Contas a Pagar'!$J$6:$J$1000,"&lt;&gt;Pago",'3. Contas a Pagar'!$J$6:$J$1000,"&lt;&gt;Cancelado")</f>
        <v/>
      </c>
      <c r="I27" s="108">
        <f>C27-G27</f>
        <v/>
      </c>
      <c r="J27" s="108">
        <f>B27-SUMIFS('3. Contas a Pagar'!$I$6:$I$1000,'3. Contas a Pagar'!$B$6:$B$1000,$A27,'3. Contas a Pagar'!$S$6:$S$1000,"Deduções da receita")</f>
        <v/>
      </c>
      <c r="K27" s="108">
        <f>J27-SUMIFS('3. Contas a Pagar'!$I$6:$I$1000,'3. Contas a Pagar'!$B$6:$B$1000,$A27,'3. Contas a Pagar'!$S$6:$S$1000,"Custo direto")-SUMIFS('3. Contas a Pagar'!$I$6:$I$1000,'3. Contas a Pagar'!$B$6:$B$1000,$A27,'3. Contas a Pagar'!$S$6:$S$1000,"Despesa operacional")</f>
        <v/>
      </c>
      <c r="L27" s="108">
        <f>K27-SUMIFS('3. Contas a Pagar'!$I$6:$I$1000,'3. Contas a Pagar'!$B$6:$B$1000,$A27,'3. Contas a Pagar'!$S$6:$S$1000,"Abaixo do EBITDA")</f>
        <v/>
      </c>
    </row>
    <row r="28">
      <c r="A28" s="107" t="n">
        <v>46722</v>
      </c>
      <c r="B28" s="108">
        <f>SUMIFS('2. Contas a Receber'!$H$8:$H$1000,'2. Contas a Receber'!$N$8:$N$1000,$A28)</f>
        <v/>
      </c>
      <c r="C28" s="108">
        <f>SUMIFS('2. Contas a Receber'!$I$8:$I$1000,'2. Contas a Receber'!$F$8:$F$1000,"&gt;="&amp;A28,'2. Contas a Receber'!$F$8:$F$1000,"&lt;"&amp;EDATE(A28,1))</f>
        <v/>
      </c>
      <c r="D28" s="108">
        <f>SUMIFS('2. Contas a Receber'!$H$8:$H$1000,'2. Contas a Receber'!$N$8:$N$1000,$A28,'2. Contas a Receber'!$J$8:$J$1000,"&lt;&gt;Recebido",'2. Contas a Receber'!$J$8:$J$1000,"&lt;&gt;Cancelado")</f>
        <v/>
      </c>
      <c r="E28" s="108">
        <f>SUMIFS('2. Contas a Receber'!$H$8:$H$1000,'2. Contas a Receber'!$N$8:$N$1000,$A28,'2. Contas a Receber'!$J$8:$J$1000,"Vencido")</f>
        <v/>
      </c>
      <c r="F28" s="108">
        <f>SUMIFS('3. Contas a Pagar'!$I$6:$I$1000,'3. Contas a Pagar'!$B$6:$B$1000,$A28)</f>
        <v/>
      </c>
      <c r="G28" s="108">
        <f>SUMIFS('3. Contas a Pagar'!$I$6:$I$1000,'3. Contas a Pagar'!$H$6:$H$1000,"&gt;="&amp;A28,'3. Contas a Pagar'!$H$6:$H$1000,"&lt;"&amp;EDATE(A28,1))</f>
        <v/>
      </c>
      <c r="H28" s="108">
        <f>SUMIFS('3. Contas a Pagar'!$I$6:$I$1000,'3. Contas a Pagar'!$B$6:$B$1000,$A28,'3. Contas a Pagar'!$J$6:$J$1000,"&lt;&gt;Pago",'3. Contas a Pagar'!$J$6:$J$1000,"&lt;&gt;Cancelado")</f>
        <v/>
      </c>
      <c r="I28" s="108">
        <f>C28-G28</f>
        <v/>
      </c>
      <c r="J28" s="108">
        <f>B28-SUMIFS('3. Contas a Pagar'!$I$6:$I$1000,'3. Contas a Pagar'!$B$6:$B$1000,$A28,'3. Contas a Pagar'!$S$6:$S$1000,"Deduções da receita")</f>
        <v/>
      </c>
      <c r="K28" s="108">
        <f>J28-SUMIFS('3. Contas a Pagar'!$I$6:$I$1000,'3. Contas a Pagar'!$B$6:$B$1000,$A28,'3. Contas a Pagar'!$S$6:$S$1000,"Custo direto")-SUMIFS('3. Contas a Pagar'!$I$6:$I$1000,'3. Contas a Pagar'!$B$6:$B$1000,$A28,'3. Contas a Pagar'!$S$6:$S$1000,"Despesa operacional")</f>
        <v/>
      </c>
      <c r="L28" s="108">
        <f>K28-SUMIFS('3. Contas a Pagar'!$I$6:$I$1000,'3. Contas a Pagar'!$B$6:$B$1000,$A28,'3. Contas a Pagar'!$S$6:$S$1000,"Abaixo do EBITDA")</f>
        <v/>
      </c>
    </row>
    <row r="29">
      <c r="A29" s="107" t="n">
        <v>46753</v>
      </c>
      <c r="B29" s="108">
        <f>SUMIFS('2. Contas a Receber'!$H$8:$H$1000,'2. Contas a Receber'!$N$8:$N$1000,$A29)</f>
        <v/>
      </c>
      <c r="C29" s="108">
        <f>SUMIFS('2. Contas a Receber'!$I$8:$I$1000,'2. Contas a Receber'!$F$8:$F$1000,"&gt;="&amp;A29,'2. Contas a Receber'!$F$8:$F$1000,"&lt;"&amp;EDATE(A29,1))</f>
        <v/>
      </c>
      <c r="D29" s="108">
        <f>SUMIFS('2. Contas a Receber'!$H$8:$H$1000,'2. Contas a Receber'!$N$8:$N$1000,$A29,'2. Contas a Receber'!$J$8:$J$1000,"&lt;&gt;Recebido",'2. Contas a Receber'!$J$8:$J$1000,"&lt;&gt;Cancelado")</f>
        <v/>
      </c>
      <c r="E29" s="108">
        <f>SUMIFS('2. Contas a Receber'!$H$8:$H$1000,'2. Contas a Receber'!$N$8:$N$1000,$A29,'2. Contas a Receber'!$J$8:$J$1000,"Vencido")</f>
        <v/>
      </c>
      <c r="F29" s="108">
        <f>SUMIFS('3. Contas a Pagar'!$I$6:$I$1000,'3. Contas a Pagar'!$B$6:$B$1000,$A29)</f>
        <v/>
      </c>
      <c r="G29" s="108">
        <f>SUMIFS('3. Contas a Pagar'!$I$6:$I$1000,'3. Contas a Pagar'!$H$6:$H$1000,"&gt;="&amp;A29,'3. Contas a Pagar'!$H$6:$H$1000,"&lt;"&amp;EDATE(A29,1))</f>
        <v/>
      </c>
      <c r="H29" s="108">
        <f>SUMIFS('3. Contas a Pagar'!$I$6:$I$1000,'3. Contas a Pagar'!$B$6:$B$1000,$A29,'3. Contas a Pagar'!$J$6:$J$1000,"&lt;&gt;Pago",'3. Contas a Pagar'!$J$6:$J$1000,"&lt;&gt;Cancelado")</f>
        <v/>
      </c>
      <c r="I29" s="108">
        <f>C29-G29</f>
        <v/>
      </c>
      <c r="J29" s="108">
        <f>B29-SUMIFS('3. Contas a Pagar'!$I$6:$I$1000,'3. Contas a Pagar'!$B$6:$B$1000,$A29,'3. Contas a Pagar'!$S$6:$S$1000,"Deduções da receita")</f>
        <v/>
      </c>
      <c r="K29" s="108">
        <f>J29-SUMIFS('3. Contas a Pagar'!$I$6:$I$1000,'3. Contas a Pagar'!$B$6:$B$1000,$A29,'3. Contas a Pagar'!$S$6:$S$1000,"Custo direto")-SUMIFS('3. Contas a Pagar'!$I$6:$I$1000,'3. Contas a Pagar'!$B$6:$B$1000,$A29,'3. Contas a Pagar'!$S$6:$S$1000,"Despesa operacional")</f>
        <v/>
      </c>
      <c r="L29" s="108">
        <f>K29-SUMIFS('3. Contas a Pagar'!$I$6:$I$1000,'3. Contas a Pagar'!$B$6:$B$1000,$A29,'3. Contas a Pagar'!$S$6:$S$1000,"Abaixo do EBITDA")</f>
        <v/>
      </c>
    </row>
    <row r="30">
      <c r="A30" s="107" t="n">
        <v>46784</v>
      </c>
      <c r="B30" s="108">
        <f>SUMIFS('2. Contas a Receber'!$H$8:$H$1000,'2. Contas a Receber'!$N$8:$N$1000,$A30)</f>
        <v/>
      </c>
      <c r="C30" s="108">
        <f>SUMIFS('2. Contas a Receber'!$I$8:$I$1000,'2. Contas a Receber'!$F$8:$F$1000,"&gt;="&amp;A30,'2. Contas a Receber'!$F$8:$F$1000,"&lt;"&amp;EDATE(A30,1))</f>
        <v/>
      </c>
      <c r="D30" s="108">
        <f>SUMIFS('2. Contas a Receber'!$H$8:$H$1000,'2. Contas a Receber'!$N$8:$N$1000,$A30,'2. Contas a Receber'!$J$8:$J$1000,"&lt;&gt;Recebido",'2. Contas a Receber'!$J$8:$J$1000,"&lt;&gt;Cancelado")</f>
        <v/>
      </c>
      <c r="E30" s="108">
        <f>SUMIFS('2. Contas a Receber'!$H$8:$H$1000,'2. Contas a Receber'!$N$8:$N$1000,$A30,'2. Contas a Receber'!$J$8:$J$1000,"Vencido")</f>
        <v/>
      </c>
      <c r="F30" s="108">
        <f>SUMIFS('3. Contas a Pagar'!$I$6:$I$1000,'3. Contas a Pagar'!$B$6:$B$1000,$A30)</f>
        <v/>
      </c>
      <c r="G30" s="108">
        <f>SUMIFS('3. Contas a Pagar'!$I$6:$I$1000,'3. Contas a Pagar'!$H$6:$H$1000,"&gt;="&amp;A30,'3. Contas a Pagar'!$H$6:$H$1000,"&lt;"&amp;EDATE(A30,1))</f>
        <v/>
      </c>
      <c r="H30" s="108">
        <f>SUMIFS('3. Contas a Pagar'!$I$6:$I$1000,'3. Contas a Pagar'!$B$6:$B$1000,$A30,'3. Contas a Pagar'!$J$6:$J$1000,"&lt;&gt;Pago",'3. Contas a Pagar'!$J$6:$J$1000,"&lt;&gt;Cancelado")</f>
        <v/>
      </c>
      <c r="I30" s="108">
        <f>C30-G30</f>
        <v/>
      </c>
      <c r="J30" s="108">
        <f>B30-SUMIFS('3. Contas a Pagar'!$I$6:$I$1000,'3. Contas a Pagar'!$B$6:$B$1000,$A30,'3. Contas a Pagar'!$S$6:$S$1000,"Deduções da receita")</f>
        <v/>
      </c>
      <c r="K30" s="108">
        <f>J30-SUMIFS('3. Contas a Pagar'!$I$6:$I$1000,'3. Contas a Pagar'!$B$6:$B$1000,$A30,'3. Contas a Pagar'!$S$6:$S$1000,"Custo direto")-SUMIFS('3. Contas a Pagar'!$I$6:$I$1000,'3. Contas a Pagar'!$B$6:$B$1000,$A30,'3. Contas a Pagar'!$S$6:$S$1000,"Despesa operacional")</f>
        <v/>
      </c>
      <c r="L30" s="108">
        <f>K30-SUMIFS('3. Contas a Pagar'!$I$6:$I$1000,'3. Contas a Pagar'!$B$6:$B$1000,$A30,'3. Contas a Pagar'!$S$6:$S$1000,"Abaixo do EBITDA")</f>
        <v/>
      </c>
    </row>
    <row r="31">
      <c r="A31" s="107" t="n">
        <v>46813</v>
      </c>
      <c r="B31" s="108">
        <f>SUMIFS('2. Contas a Receber'!$H$8:$H$1000,'2. Contas a Receber'!$N$8:$N$1000,$A31)</f>
        <v/>
      </c>
      <c r="C31" s="108">
        <f>SUMIFS('2. Contas a Receber'!$I$8:$I$1000,'2. Contas a Receber'!$F$8:$F$1000,"&gt;="&amp;A31,'2. Contas a Receber'!$F$8:$F$1000,"&lt;"&amp;EDATE(A31,1))</f>
        <v/>
      </c>
      <c r="D31" s="108">
        <f>SUMIFS('2. Contas a Receber'!$H$8:$H$1000,'2. Contas a Receber'!$N$8:$N$1000,$A31,'2. Contas a Receber'!$J$8:$J$1000,"&lt;&gt;Recebido",'2. Contas a Receber'!$J$8:$J$1000,"&lt;&gt;Cancelado")</f>
        <v/>
      </c>
      <c r="E31" s="108">
        <f>SUMIFS('2. Contas a Receber'!$H$8:$H$1000,'2. Contas a Receber'!$N$8:$N$1000,$A31,'2. Contas a Receber'!$J$8:$J$1000,"Vencido")</f>
        <v/>
      </c>
      <c r="F31" s="108">
        <f>SUMIFS('3. Contas a Pagar'!$I$6:$I$1000,'3. Contas a Pagar'!$B$6:$B$1000,$A31)</f>
        <v/>
      </c>
      <c r="G31" s="108">
        <f>SUMIFS('3. Contas a Pagar'!$I$6:$I$1000,'3. Contas a Pagar'!$H$6:$H$1000,"&gt;="&amp;A31,'3. Contas a Pagar'!$H$6:$H$1000,"&lt;"&amp;EDATE(A31,1))</f>
        <v/>
      </c>
      <c r="H31" s="108">
        <f>SUMIFS('3. Contas a Pagar'!$I$6:$I$1000,'3. Contas a Pagar'!$B$6:$B$1000,$A31,'3. Contas a Pagar'!$J$6:$J$1000,"&lt;&gt;Pago",'3. Contas a Pagar'!$J$6:$J$1000,"&lt;&gt;Cancelado")</f>
        <v/>
      </c>
      <c r="I31" s="108">
        <f>C31-G31</f>
        <v/>
      </c>
      <c r="J31" s="108">
        <f>B31-SUMIFS('3. Contas a Pagar'!$I$6:$I$1000,'3. Contas a Pagar'!$B$6:$B$1000,$A31,'3. Contas a Pagar'!$S$6:$S$1000,"Deduções da receita")</f>
        <v/>
      </c>
      <c r="K31" s="108">
        <f>J31-SUMIFS('3. Contas a Pagar'!$I$6:$I$1000,'3. Contas a Pagar'!$B$6:$B$1000,$A31,'3. Contas a Pagar'!$S$6:$S$1000,"Custo direto")-SUMIFS('3. Contas a Pagar'!$I$6:$I$1000,'3. Contas a Pagar'!$B$6:$B$1000,$A31,'3. Contas a Pagar'!$S$6:$S$1000,"Despesa operacional")</f>
        <v/>
      </c>
      <c r="L31" s="108">
        <f>K31-SUMIFS('3. Contas a Pagar'!$I$6:$I$1000,'3. Contas a Pagar'!$B$6:$B$1000,$A31,'3. Contas a Pagar'!$S$6:$S$1000,"Abaixo do EBITDA")</f>
        <v/>
      </c>
    </row>
    <row r="32">
      <c r="A32" s="107" t="n">
        <v>46844</v>
      </c>
      <c r="B32" s="108">
        <f>SUMIFS('2. Contas a Receber'!$H$8:$H$1000,'2. Contas a Receber'!$N$8:$N$1000,$A32)</f>
        <v/>
      </c>
      <c r="C32" s="108">
        <f>SUMIFS('2. Contas a Receber'!$I$8:$I$1000,'2. Contas a Receber'!$F$8:$F$1000,"&gt;="&amp;A32,'2. Contas a Receber'!$F$8:$F$1000,"&lt;"&amp;EDATE(A32,1))</f>
        <v/>
      </c>
      <c r="D32" s="108">
        <f>SUMIFS('2. Contas a Receber'!$H$8:$H$1000,'2. Contas a Receber'!$N$8:$N$1000,$A32,'2. Contas a Receber'!$J$8:$J$1000,"&lt;&gt;Recebido",'2. Contas a Receber'!$J$8:$J$1000,"&lt;&gt;Cancelado")</f>
        <v/>
      </c>
      <c r="E32" s="108">
        <f>SUMIFS('2. Contas a Receber'!$H$8:$H$1000,'2. Contas a Receber'!$N$8:$N$1000,$A32,'2. Contas a Receber'!$J$8:$J$1000,"Vencido")</f>
        <v/>
      </c>
      <c r="F32" s="108">
        <f>SUMIFS('3. Contas a Pagar'!$I$6:$I$1000,'3. Contas a Pagar'!$B$6:$B$1000,$A32)</f>
        <v/>
      </c>
      <c r="G32" s="108">
        <f>SUMIFS('3. Contas a Pagar'!$I$6:$I$1000,'3. Contas a Pagar'!$H$6:$H$1000,"&gt;="&amp;A32,'3. Contas a Pagar'!$H$6:$H$1000,"&lt;"&amp;EDATE(A32,1))</f>
        <v/>
      </c>
      <c r="H32" s="108">
        <f>SUMIFS('3. Contas a Pagar'!$I$6:$I$1000,'3. Contas a Pagar'!$B$6:$B$1000,$A32,'3. Contas a Pagar'!$J$6:$J$1000,"&lt;&gt;Pago",'3. Contas a Pagar'!$J$6:$J$1000,"&lt;&gt;Cancelado")</f>
        <v/>
      </c>
      <c r="I32" s="108">
        <f>C32-G32</f>
        <v/>
      </c>
      <c r="J32" s="108">
        <f>B32-SUMIFS('3. Contas a Pagar'!$I$6:$I$1000,'3. Contas a Pagar'!$B$6:$B$1000,$A32,'3. Contas a Pagar'!$S$6:$S$1000,"Deduções da receita")</f>
        <v/>
      </c>
      <c r="K32" s="108">
        <f>J32-SUMIFS('3. Contas a Pagar'!$I$6:$I$1000,'3. Contas a Pagar'!$B$6:$B$1000,$A32,'3. Contas a Pagar'!$S$6:$S$1000,"Custo direto")-SUMIFS('3. Contas a Pagar'!$I$6:$I$1000,'3. Contas a Pagar'!$B$6:$B$1000,$A32,'3. Contas a Pagar'!$S$6:$S$1000,"Despesa operacional")</f>
        <v/>
      </c>
      <c r="L32" s="108">
        <f>K32-SUMIFS('3. Contas a Pagar'!$I$6:$I$1000,'3. Contas a Pagar'!$B$6:$B$1000,$A32,'3. Contas a Pagar'!$S$6:$S$1000,"Abaixo do EBITDA")</f>
        <v/>
      </c>
    </row>
    <row r="33">
      <c r="A33" s="107" t="n">
        <v>46874</v>
      </c>
      <c r="B33" s="108">
        <f>SUMIFS('2. Contas a Receber'!$H$8:$H$1000,'2. Contas a Receber'!$N$8:$N$1000,$A33)</f>
        <v/>
      </c>
      <c r="C33" s="108">
        <f>SUMIFS('2. Contas a Receber'!$I$8:$I$1000,'2. Contas a Receber'!$F$8:$F$1000,"&gt;="&amp;A33,'2. Contas a Receber'!$F$8:$F$1000,"&lt;"&amp;EDATE(A33,1))</f>
        <v/>
      </c>
      <c r="D33" s="108">
        <f>SUMIFS('2. Contas a Receber'!$H$8:$H$1000,'2. Contas a Receber'!$N$8:$N$1000,$A33,'2. Contas a Receber'!$J$8:$J$1000,"&lt;&gt;Recebido",'2. Contas a Receber'!$J$8:$J$1000,"&lt;&gt;Cancelado")</f>
        <v/>
      </c>
      <c r="E33" s="108">
        <f>SUMIFS('2. Contas a Receber'!$H$8:$H$1000,'2. Contas a Receber'!$N$8:$N$1000,$A33,'2. Contas a Receber'!$J$8:$J$1000,"Vencido")</f>
        <v/>
      </c>
      <c r="F33" s="108">
        <f>SUMIFS('3. Contas a Pagar'!$I$6:$I$1000,'3. Contas a Pagar'!$B$6:$B$1000,$A33)</f>
        <v/>
      </c>
      <c r="G33" s="108">
        <f>SUMIFS('3. Contas a Pagar'!$I$6:$I$1000,'3. Contas a Pagar'!$H$6:$H$1000,"&gt;="&amp;A33,'3. Contas a Pagar'!$H$6:$H$1000,"&lt;"&amp;EDATE(A33,1))</f>
        <v/>
      </c>
      <c r="H33" s="108">
        <f>SUMIFS('3. Contas a Pagar'!$I$6:$I$1000,'3. Contas a Pagar'!$B$6:$B$1000,$A33,'3. Contas a Pagar'!$J$6:$J$1000,"&lt;&gt;Pago",'3. Contas a Pagar'!$J$6:$J$1000,"&lt;&gt;Cancelado")</f>
        <v/>
      </c>
      <c r="I33" s="108">
        <f>C33-G33</f>
        <v/>
      </c>
      <c r="J33" s="108">
        <f>B33-SUMIFS('3. Contas a Pagar'!$I$6:$I$1000,'3. Contas a Pagar'!$B$6:$B$1000,$A33,'3. Contas a Pagar'!$S$6:$S$1000,"Deduções da receita")</f>
        <v/>
      </c>
      <c r="K33" s="108">
        <f>J33-SUMIFS('3. Contas a Pagar'!$I$6:$I$1000,'3. Contas a Pagar'!$B$6:$B$1000,$A33,'3. Contas a Pagar'!$S$6:$S$1000,"Custo direto")-SUMIFS('3. Contas a Pagar'!$I$6:$I$1000,'3. Contas a Pagar'!$B$6:$B$1000,$A33,'3. Contas a Pagar'!$S$6:$S$1000,"Despesa operacional")</f>
        <v/>
      </c>
      <c r="L33" s="108">
        <f>K33-SUMIFS('3. Contas a Pagar'!$I$6:$I$1000,'3. Contas a Pagar'!$B$6:$B$1000,$A33,'3. Contas a Pagar'!$S$6:$S$1000,"Abaixo do EBITDA")</f>
        <v/>
      </c>
    </row>
    <row r="34">
      <c r="A34" s="107" t="n">
        <v>46905</v>
      </c>
      <c r="B34" s="108">
        <f>SUMIFS('2. Contas a Receber'!$H$8:$H$1000,'2. Contas a Receber'!$N$8:$N$1000,$A34)</f>
        <v/>
      </c>
      <c r="C34" s="108">
        <f>SUMIFS('2. Contas a Receber'!$I$8:$I$1000,'2. Contas a Receber'!$F$8:$F$1000,"&gt;="&amp;A34,'2. Contas a Receber'!$F$8:$F$1000,"&lt;"&amp;EDATE(A34,1))</f>
        <v/>
      </c>
      <c r="D34" s="108">
        <f>SUMIFS('2. Contas a Receber'!$H$8:$H$1000,'2. Contas a Receber'!$N$8:$N$1000,$A34,'2. Contas a Receber'!$J$8:$J$1000,"&lt;&gt;Recebido",'2. Contas a Receber'!$J$8:$J$1000,"&lt;&gt;Cancelado")</f>
        <v/>
      </c>
      <c r="E34" s="108">
        <f>SUMIFS('2. Contas a Receber'!$H$8:$H$1000,'2. Contas a Receber'!$N$8:$N$1000,$A34,'2. Contas a Receber'!$J$8:$J$1000,"Vencido")</f>
        <v/>
      </c>
      <c r="F34" s="108">
        <f>SUMIFS('3. Contas a Pagar'!$I$6:$I$1000,'3. Contas a Pagar'!$B$6:$B$1000,$A34)</f>
        <v/>
      </c>
      <c r="G34" s="108">
        <f>SUMIFS('3. Contas a Pagar'!$I$6:$I$1000,'3. Contas a Pagar'!$H$6:$H$1000,"&gt;="&amp;A34,'3. Contas a Pagar'!$H$6:$H$1000,"&lt;"&amp;EDATE(A34,1))</f>
        <v/>
      </c>
      <c r="H34" s="108">
        <f>SUMIFS('3. Contas a Pagar'!$I$6:$I$1000,'3. Contas a Pagar'!$B$6:$B$1000,$A34,'3. Contas a Pagar'!$J$6:$J$1000,"&lt;&gt;Pago",'3. Contas a Pagar'!$J$6:$J$1000,"&lt;&gt;Cancelado")</f>
        <v/>
      </c>
      <c r="I34" s="108">
        <f>C34-G34</f>
        <v/>
      </c>
      <c r="J34" s="108">
        <f>B34-SUMIFS('3. Contas a Pagar'!$I$6:$I$1000,'3. Contas a Pagar'!$B$6:$B$1000,$A34,'3. Contas a Pagar'!$S$6:$S$1000,"Deduções da receita")</f>
        <v/>
      </c>
      <c r="K34" s="108">
        <f>J34-SUMIFS('3. Contas a Pagar'!$I$6:$I$1000,'3. Contas a Pagar'!$B$6:$B$1000,$A34,'3. Contas a Pagar'!$S$6:$S$1000,"Custo direto")-SUMIFS('3. Contas a Pagar'!$I$6:$I$1000,'3. Contas a Pagar'!$B$6:$B$1000,$A34,'3. Contas a Pagar'!$S$6:$S$1000,"Despesa operacional")</f>
        <v/>
      </c>
      <c r="L34" s="108">
        <f>K34-SUMIFS('3. Contas a Pagar'!$I$6:$I$1000,'3. Contas a Pagar'!$B$6:$B$1000,$A34,'3. Contas a Pagar'!$S$6:$S$1000,"Abaixo do EBITDA")</f>
        <v/>
      </c>
    </row>
    <row r="35">
      <c r="A35" s="107" t="n">
        <v>46935</v>
      </c>
      <c r="B35" s="108">
        <f>SUMIFS('2. Contas a Receber'!$H$8:$H$1000,'2. Contas a Receber'!$N$8:$N$1000,$A35)</f>
        <v/>
      </c>
      <c r="C35" s="108">
        <f>SUMIFS('2. Contas a Receber'!$I$8:$I$1000,'2. Contas a Receber'!$F$8:$F$1000,"&gt;="&amp;A35,'2. Contas a Receber'!$F$8:$F$1000,"&lt;"&amp;EDATE(A35,1))</f>
        <v/>
      </c>
      <c r="D35" s="108">
        <f>SUMIFS('2. Contas a Receber'!$H$8:$H$1000,'2. Contas a Receber'!$N$8:$N$1000,$A35,'2. Contas a Receber'!$J$8:$J$1000,"&lt;&gt;Recebido",'2. Contas a Receber'!$J$8:$J$1000,"&lt;&gt;Cancelado")</f>
        <v/>
      </c>
      <c r="E35" s="108">
        <f>SUMIFS('2. Contas a Receber'!$H$8:$H$1000,'2. Contas a Receber'!$N$8:$N$1000,$A35,'2. Contas a Receber'!$J$8:$J$1000,"Vencido")</f>
        <v/>
      </c>
      <c r="F35" s="108">
        <f>SUMIFS('3. Contas a Pagar'!$I$6:$I$1000,'3. Contas a Pagar'!$B$6:$B$1000,$A35)</f>
        <v/>
      </c>
      <c r="G35" s="108">
        <f>SUMIFS('3. Contas a Pagar'!$I$6:$I$1000,'3. Contas a Pagar'!$H$6:$H$1000,"&gt;="&amp;A35,'3. Contas a Pagar'!$H$6:$H$1000,"&lt;"&amp;EDATE(A35,1))</f>
        <v/>
      </c>
      <c r="H35" s="108">
        <f>SUMIFS('3. Contas a Pagar'!$I$6:$I$1000,'3. Contas a Pagar'!$B$6:$B$1000,$A35,'3. Contas a Pagar'!$J$6:$J$1000,"&lt;&gt;Pago",'3. Contas a Pagar'!$J$6:$J$1000,"&lt;&gt;Cancelado")</f>
        <v/>
      </c>
      <c r="I35" s="108">
        <f>C35-G35</f>
        <v/>
      </c>
      <c r="J35" s="108">
        <f>B35-SUMIFS('3. Contas a Pagar'!$I$6:$I$1000,'3. Contas a Pagar'!$B$6:$B$1000,$A35,'3. Contas a Pagar'!$S$6:$S$1000,"Deduções da receita")</f>
        <v/>
      </c>
      <c r="K35" s="108">
        <f>J35-SUMIFS('3. Contas a Pagar'!$I$6:$I$1000,'3. Contas a Pagar'!$B$6:$B$1000,$A35,'3. Contas a Pagar'!$S$6:$S$1000,"Custo direto")-SUMIFS('3. Contas a Pagar'!$I$6:$I$1000,'3. Contas a Pagar'!$B$6:$B$1000,$A35,'3. Contas a Pagar'!$S$6:$S$1000,"Despesa operacional")</f>
        <v/>
      </c>
      <c r="L35" s="108">
        <f>K35-SUMIFS('3. Contas a Pagar'!$I$6:$I$1000,'3. Contas a Pagar'!$B$6:$B$1000,$A35,'3. Contas a Pagar'!$S$6:$S$1000,"Abaixo do EBITDA")</f>
        <v/>
      </c>
    </row>
    <row r="36">
      <c r="A36" s="107" t="n">
        <v>46966</v>
      </c>
      <c r="B36" s="108">
        <f>SUMIFS('2. Contas a Receber'!$H$8:$H$1000,'2. Contas a Receber'!$N$8:$N$1000,$A36)</f>
        <v/>
      </c>
      <c r="C36" s="108">
        <f>SUMIFS('2. Contas a Receber'!$I$8:$I$1000,'2. Contas a Receber'!$F$8:$F$1000,"&gt;="&amp;A36,'2. Contas a Receber'!$F$8:$F$1000,"&lt;"&amp;EDATE(A36,1))</f>
        <v/>
      </c>
      <c r="D36" s="108">
        <f>SUMIFS('2. Contas a Receber'!$H$8:$H$1000,'2. Contas a Receber'!$N$8:$N$1000,$A36,'2. Contas a Receber'!$J$8:$J$1000,"&lt;&gt;Recebido",'2. Contas a Receber'!$J$8:$J$1000,"&lt;&gt;Cancelado")</f>
        <v/>
      </c>
      <c r="E36" s="108">
        <f>SUMIFS('2. Contas a Receber'!$H$8:$H$1000,'2. Contas a Receber'!$N$8:$N$1000,$A36,'2. Contas a Receber'!$J$8:$J$1000,"Vencido")</f>
        <v/>
      </c>
      <c r="F36" s="108">
        <f>SUMIFS('3. Contas a Pagar'!$I$6:$I$1000,'3. Contas a Pagar'!$B$6:$B$1000,$A36)</f>
        <v/>
      </c>
      <c r="G36" s="108">
        <f>SUMIFS('3. Contas a Pagar'!$I$6:$I$1000,'3. Contas a Pagar'!$H$6:$H$1000,"&gt;="&amp;A36,'3. Contas a Pagar'!$H$6:$H$1000,"&lt;"&amp;EDATE(A36,1))</f>
        <v/>
      </c>
      <c r="H36" s="108">
        <f>SUMIFS('3. Contas a Pagar'!$I$6:$I$1000,'3. Contas a Pagar'!$B$6:$B$1000,$A36,'3. Contas a Pagar'!$J$6:$J$1000,"&lt;&gt;Pago",'3. Contas a Pagar'!$J$6:$J$1000,"&lt;&gt;Cancelado")</f>
        <v/>
      </c>
      <c r="I36" s="108">
        <f>C36-G36</f>
        <v/>
      </c>
      <c r="J36" s="108">
        <f>B36-SUMIFS('3. Contas a Pagar'!$I$6:$I$1000,'3. Contas a Pagar'!$B$6:$B$1000,$A36,'3. Contas a Pagar'!$S$6:$S$1000,"Deduções da receita")</f>
        <v/>
      </c>
      <c r="K36" s="108">
        <f>J36-SUMIFS('3. Contas a Pagar'!$I$6:$I$1000,'3. Contas a Pagar'!$B$6:$B$1000,$A36,'3. Contas a Pagar'!$S$6:$S$1000,"Custo direto")-SUMIFS('3. Contas a Pagar'!$I$6:$I$1000,'3. Contas a Pagar'!$B$6:$B$1000,$A36,'3. Contas a Pagar'!$S$6:$S$1000,"Despesa operacional")</f>
        <v/>
      </c>
      <c r="L36" s="108">
        <f>K36-SUMIFS('3. Contas a Pagar'!$I$6:$I$1000,'3. Contas a Pagar'!$B$6:$B$1000,$A36,'3. Contas a Pagar'!$S$6:$S$1000,"Abaixo do EBITDA")</f>
        <v/>
      </c>
    </row>
    <row r="37">
      <c r="A37" s="107" t="n">
        <v>46997</v>
      </c>
      <c r="B37" s="108">
        <f>SUMIFS('2. Contas a Receber'!$H$8:$H$1000,'2. Contas a Receber'!$N$8:$N$1000,$A37)</f>
        <v/>
      </c>
      <c r="C37" s="108">
        <f>SUMIFS('2. Contas a Receber'!$I$8:$I$1000,'2. Contas a Receber'!$F$8:$F$1000,"&gt;="&amp;A37,'2. Contas a Receber'!$F$8:$F$1000,"&lt;"&amp;EDATE(A37,1))</f>
        <v/>
      </c>
      <c r="D37" s="108">
        <f>SUMIFS('2. Contas a Receber'!$H$8:$H$1000,'2. Contas a Receber'!$N$8:$N$1000,$A37,'2. Contas a Receber'!$J$8:$J$1000,"&lt;&gt;Recebido",'2. Contas a Receber'!$J$8:$J$1000,"&lt;&gt;Cancelado")</f>
        <v/>
      </c>
      <c r="E37" s="108">
        <f>SUMIFS('2. Contas a Receber'!$H$8:$H$1000,'2. Contas a Receber'!$N$8:$N$1000,$A37,'2. Contas a Receber'!$J$8:$J$1000,"Vencido")</f>
        <v/>
      </c>
      <c r="F37" s="108">
        <f>SUMIFS('3. Contas a Pagar'!$I$6:$I$1000,'3. Contas a Pagar'!$B$6:$B$1000,$A37)</f>
        <v/>
      </c>
      <c r="G37" s="108">
        <f>SUMIFS('3. Contas a Pagar'!$I$6:$I$1000,'3. Contas a Pagar'!$H$6:$H$1000,"&gt;="&amp;A37,'3. Contas a Pagar'!$H$6:$H$1000,"&lt;"&amp;EDATE(A37,1))</f>
        <v/>
      </c>
      <c r="H37" s="108">
        <f>SUMIFS('3. Contas a Pagar'!$I$6:$I$1000,'3. Contas a Pagar'!$B$6:$B$1000,$A37,'3. Contas a Pagar'!$J$6:$J$1000,"&lt;&gt;Pago",'3. Contas a Pagar'!$J$6:$J$1000,"&lt;&gt;Cancelado")</f>
        <v/>
      </c>
      <c r="I37" s="108">
        <f>C37-G37</f>
        <v/>
      </c>
      <c r="J37" s="108">
        <f>B37-SUMIFS('3. Contas a Pagar'!$I$6:$I$1000,'3. Contas a Pagar'!$B$6:$B$1000,$A37,'3. Contas a Pagar'!$S$6:$S$1000,"Deduções da receita")</f>
        <v/>
      </c>
      <c r="K37" s="108">
        <f>J37-SUMIFS('3. Contas a Pagar'!$I$6:$I$1000,'3. Contas a Pagar'!$B$6:$B$1000,$A37,'3. Contas a Pagar'!$S$6:$S$1000,"Custo direto")-SUMIFS('3. Contas a Pagar'!$I$6:$I$1000,'3. Contas a Pagar'!$B$6:$B$1000,$A37,'3. Contas a Pagar'!$S$6:$S$1000,"Despesa operacional")</f>
        <v/>
      </c>
      <c r="L37" s="108">
        <f>K37-SUMIFS('3. Contas a Pagar'!$I$6:$I$1000,'3. Contas a Pagar'!$B$6:$B$1000,$A37,'3. Contas a Pagar'!$S$6:$S$1000,"Abaixo do EBITDA")</f>
        <v/>
      </c>
    </row>
    <row r="38">
      <c r="A38" s="107" t="n">
        <v>47027</v>
      </c>
      <c r="B38" s="108">
        <f>SUMIFS('2. Contas a Receber'!$H$8:$H$1000,'2. Contas a Receber'!$N$8:$N$1000,$A38)</f>
        <v/>
      </c>
      <c r="C38" s="108">
        <f>SUMIFS('2. Contas a Receber'!$I$8:$I$1000,'2. Contas a Receber'!$F$8:$F$1000,"&gt;="&amp;A38,'2. Contas a Receber'!$F$8:$F$1000,"&lt;"&amp;EDATE(A38,1))</f>
        <v/>
      </c>
      <c r="D38" s="108">
        <f>SUMIFS('2. Contas a Receber'!$H$8:$H$1000,'2. Contas a Receber'!$N$8:$N$1000,$A38,'2. Contas a Receber'!$J$8:$J$1000,"&lt;&gt;Recebido",'2. Contas a Receber'!$J$8:$J$1000,"&lt;&gt;Cancelado")</f>
        <v/>
      </c>
      <c r="E38" s="108">
        <f>SUMIFS('2. Contas a Receber'!$H$8:$H$1000,'2. Contas a Receber'!$N$8:$N$1000,$A38,'2. Contas a Receber'!$J$8:$J$1000,"Vencido")</f>
        <v/>
      </c>
      <c r="F38" s="108">
        <f>SUMIFS('3. Contas a Pagar'!$I$6:$I$1000,'3. Contas a Pagar'!$B$6:$B$1000,$A38)</f>
        <v/>
      </c>
      <c r="G38" s="108">
        <f>SUMIFS('3. Contas a Pagar'!$I$6:$I$1000,'3. Contas a Pagar'!$H$6:$H$1000,"&gt;="&amp;A38,'3. Contas a Pagar'!$H$6:$H$1000,"&lt;"&amp;EDATE(A38,1))</f>
        <v/>
      </c>
      <c r="H38" s="108">
        <f>SUMIFS('3. Contas a Pagar'!$I$6:$I$1000,'3. Contas a Pagar'!$B$6:$B$1000,$A38,'3. Contas a Pagar'!$J$6:$J$1000,"&lt;&gt;Pago",'3. Contas a Pagar'!$J$6:$J$1000,"&lt;&gt;Cancelado")</f>
        <v/>
      </c>
      <c r="I38" s="108">
        <f>C38-G38</f>
        <v/>
      </c>
      <c r="J38" s="108">
        <f>B38-SUMIFS('3. Contas a Pagar'!$I$6:$I$1000,'3. Contas a Pagar'!$B$6:$B$1000,$A38,'3. Contas a Pagar'!$S$6:$S$1000,"Deduções da receita")</f>
        <v/>
      </c>
      <c r="K38" s="108">
        <f>J38-SUMIFS('3. Contas a Pagar'!$I$6:$I$1000,'3. Contas a Pagar'!$B$6:$B$1000,$A38,'3. Contas a Pagar'!$S$6:$S$1000,"Custo direto")-SUMIFS('3. Contas a Pagar'!$I$6:$I$1000,'3. Contas a Pagar'!$B$6:$B$1000,$A38,'3. Contas a Pagar'!$S$6:$S$1000,"Despesa operacional")</f>
        <v/>
      </c>
      <c r="L38" s="108">
        <f>K38-SUMIFS('3. Contas a Pagar'!$I$6:$I$1000,'3. Contas a Pagar'!$B$6:$B$1000,$A38,'3. Contas a Pagar'!$S$6:$S$1000,"Abaixo do EBITDA")</f>
        <v/>
      </c>
    </row>
    <row r="39">
      <c r="A39" s="107" t="n">
        <v>47058</v>
      </c>
      <c r="B39" s="108">
        <f>SUMIFS('2. Contas a Receber'!$H$8:$H$1000,'2. Contas a Receber'!$N$8:$N$1000,$A39)</f>
        <v/>
      </c>
      <c r="C39" s="108">
        <f>SUMIFS('2. Contas a Receber'!$I$8:$I$1000,'2. Contas a Receber'!$F$8:$F$1000,"&gt;="&amp;A39,'2. Contas a Receber'!$F$8:$F$1000,"&lt;"&amp;EDATE(A39,1))</f>
        <v/>
      </c>
      <c r="D39" s="108">
        <f>SUMIFS('2. Contas a Receber'!$H$8:$H$1000,'2. Contas a Receber'!$N$8:$N$1000,$A39,'2. Contas a Receber'!$J$8:$J$1000,"&lt;&gt;Recebido",'2. Contas a Receber'!$J$8:$J$1000,"&lt;&gt;Cancelado")</f>
        <v/>
      </c>
      <c r="E39" s="108">
        <f>SUMIFS('2. Contas a Receber'!$H$8:$H$1000,'2. Contas a Receber'!$N$8:$N$1000,$A39,'2. Contas a Receber'!$J$8:$J$1000,"Vencido")</f>
        <v/>
      </c>
      <c r="F39" s="108">
        <f>SUMIFS('3. Contas a Pagar'!$I$6:$I$1000,'3. Contas a Pagar'!$B$6:$B$1000,$A39)</f>
        <v/>
      </c>
      <c r="G39" s="108">
        <f>SUMIFS('3. Contas a Pagar'!$I$6:$I$1000,'3. Contas a Pagar'!$H$6:$H$1000,"&gt;="&amp;A39,'3. Contas a Pagar'!$H$6:$H$1000,"&lt;"&amp;EDATE(A39,1))</f>
        <v/>
      </c>
      <c r="H39" s="108">
        <f>SUMIFS('3. Contas a Pagar'!$I$6:$I$1000,'3. Contas a Pagar'!$B$6:$B$1000,$A39,'3. Contas a Pagar'!$J$6:$J$1000,"&lt;&gt;Pago",'3. Contas a Pagar'!$J$6:$J$1000,"&lt;&gt;Cancelado")</f>
        <v/>
      </c>
      <c r="I39" s="108">
        <f>C39-G39</f>
        <v/>
      </c>
      <c r="J39" s="108">
        <f>B39-SUMIFS('3. Contas a Pagar'!$I$6:$I$1000,'3. Contas a Pagar'!$B$6:$B$1000,$A39,'3. Contas a Pagar'!$S$6:$S$1000,"Deduções da receita")</f>
        <v/>
      </c>
      <c r="K39" s="108">
        <f>J39-SUMIFS('3. Contas a Pagar'!$I$6:$I$1000,'3. Contas a Pagar'!$B$6:$B$1000,$A39,'3. Contas a Pagar'!$S$6:$S$1000,"Custo direto")-SUMIFS('3. Contas a Pagar'!$I$6:$I$1000,'3. Contas a Pagar'!$B$6:$B$1000,$A39,'3. Contas a Pagar'!$S$6:$S$1000,"Despesa operacional")</f>
        <v/>
      </c>
      <c r="L39" s="108">
        <f>K39-SUMIFS('3. Contas a Pagar'!$I$6:$I$1000,'3. Contas a Pagar'!$B$6:$B$1000,$A39,'3. Contas a Pagar'!$S$6:$S$1000,"Abaixo do EBITDA")</f>
        <v/>
      </c>
    </row>
    <row r="40">
      <c r="A40" s="107" t="n">
        <v>47088</v>
      </c>
      <c r="B40" s="108">
        <f>SUMIFS('2. Contas a Receber'!$H$8:$H$1000,'2. Contas a Receber'!$N$8:$N$1000,$A40)</f>
        <v/>
      </c>
      <c r="C40" s="108">
        <f>SUMIFS('2. Contas a Receber'!$I$8:$I$1000,'2. Contas a Receber'!$F$8:$F$1000,"&gt;="&amp;A40,'2. Contas a Receber'!$F$8:$F$1000,"&lt;"&amp;EDATE(A40,1))</f>
        <v/>
      </c>
      <c r="D40" s="108">
        <f>SUMIFS('2. Contas a Receber'!$H$8:$H$1000,'2. Contas a Receber'!$N$8:$N$1000,$A40,'2. Contas a Receber'!$J$8:$J$1000,"&lt;&gt;Recebido",'2. Contas a Receber'!$J$8:$J$1000,"&lt;&gt;Cancelado")</f>
        <v/>
      </c>
      <c r="E40" s="108">
        <f>SUMIFS('2. Contas a Receber'!$H$8:$H$1000,'2. Contas a Receber'!$N$8:$N$1000,$A40,'2. Contas a Receber'!$J$8:$J$1000,"Vencido")</f>
        <v/>
      </c>
      <c r="F40" s="108">
        <f>SUMIFS('3. Contas a Pagar'!$I$6:$I$1000,'3. Contas a Pagar'!$B$6:$B$1000,$A40)</f>
        <v/>
      </c>
      <c r="G40" s="108">
        <f>SUMIFS('3. Contas a Pagar'!$I$6:$I$1000,'3. Contas a Pagar'!$H$6:$H$1000,"&gt;="&amp;A40,'3. Contas a Pagar'!$H$6:$H$1000,"&lt;"&amp;EDATE(A40,1))</f>
        <v/>
      </c>
      <c r="H40" s="108">
        <f>SUMIFS('3. Contas a Pagar'!$I$6:$I$1000,'3. Contas a Pagar'!$B$6:$B$1000,$A40,'3. Contas a Pagar'!$J$6:$J$1000,"&lt;&gt;Pago",'3. Contas a Pagar'!$J$6:$J$1000,"&lt;&gt;Cancelado")</f>
        <v/>
      </c>
      <c r="I40" s="108">
        <f>C40-G40</f>
        <v/>
      </c>
      <c r="J40" s="108">
        <f>B40-SUMIFS('3. Contas a Pagar'!$I$6:$I$1000,'3. Contas a Pagar'!$B$6:$B$1000,$A40,'3. Contas a Pagar'!$S$6:$S$1000,"Deduções da receita")</f>
        <v/>
      </c>
      <c r="K40" s="108">
        <f>J40-SUMIFS('3. Contas a Pagar'!$I$6:$I$1000,'3. Contas a Pagar'!$B$6:$B$1000,$A40,'3. Contas a Pagar'!$S$6:$S$1000,"Custo direto")-SUMIFS('3. Contas a Pagar'!$I$6:$I$1000,'3. Contas a Pagar'!$B$6:$B$1000,$A40,'3. Contas a Pagar'!$S$6:$S$1000,"Despesa operacional")</f>
        <v/>
      </c>
      <c r="L40" s="108">
        <f>K40-SUMIFS('3. Contas a Pagar'!$I$6:$I$1000,'3. Contas a Pagar'!$B$6:$B$1000,$A40,'3. Contas a Pagar'!$S$6:$S$1000,"Abaixo do EBITDA")</f>
        <v/>
      </c>
    </row>
    <row r="41">
      <c r="A41" s="99" t="inlineStr">
        <is>
          <t>Total</t>
        </is>
      </c>
      <c r="B41" s="109">
        <f>SUM(B5:B40)</f>
        <v/>
      </c>
      <c r="C41" s="109">
        <f>SUM(C5:C40)</f>
        <v/>
      </c>
      <c r="D41" s="109">
        <f>SUM(D5:D40)</f>
        <v/>
      </c>
      <c r="E41" s="109">
        <f>SUM(E5:E40)</f>
        <v/>
      </c>
      <c r="F41" s="109">
        <f>SUM(F5:F40)</f>
        <v/>
      </c>
      <c r="G41" s="109">
        <f>SUM(G5:G40)</f>
        <v/>
      </c>
      <c r="H41" s="109">
        <f>SUM(H5:H40)</f>
        <v/>
      </c>
      <c r="I41" s="109">
        <f>SUM(I5:I40)</f>
        <v/>
      </c>
      <c r="J41" s="109">
        <f>SUM(J5:J40)</f>
        <v/>
      </c>
      <c r="K41" s="109">
        <f>SUM(K5:K40)</f>
        <v/>
      </c>
      <c r="L41" s="109">
        <f>SUM(L5:L40)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8" customWidth="1" min="12" max="12"/>
  </cols>
  <sheetData>
    <row r="1">
      <c r="A1" s="106" t="inlineStr">
        <is>
          <t>15. TEMPLATE IMPORTAÇÃO CR</t>
        </is>
      </c>
    </row>
    <row r="2">
      <c r="A2" t="inlineStr">
        <is>
          <t>Cole aqui o export bruto do contas a receber do novo mês, normalize e depois leve para a aba 2. Contas a Receber.</t>
        </is>
      </c>
    </row>
    <row r="4">
      <c r="A4" s="98" t="inlineStr">
        <is>
          <t>ID título</t>
        </is>
      </c>
      <c r="B4" s="98" t="inlineStr">
        <is>
          <t>ID venda</t>
        </is>
      </c>
      <c r="C4" s="98" t="inlineStr">
        <is>
          <t>Cliente</t>
        </is>
      </c>
      <c r="D4" s="98" t="inlineStr">
        <is>
          <t>Emissão</t>
        </is>
      </c>
      <c r="E4" s="98" t="inlineStr">
        <is>
          <t>Vencimento</t>
        </is>
      </c>
      <c r="F4" s="98" t="inlineStr">
        <is>
          <t>Recebimento</t>
        </is>
      </c>
      <c r="G4" s="98" t="inlineStr">
        <is>
          <t>Parcela</t>
        </is>
      </c>
      <c r="H4" s="98" t="inlineStr">
        <is>
          <t>Valor</t>
        </is>
      </c>
      <c r="I4" s="98" t="inlineStr">
        <is>
          <t>Valor recebido</t>
        </is>
      </c>
      <c r="J4" s="98" t="inlineStr">
        <is>
          <t>Status</t>
        </is>
      </c>
      <c r="K4" s="98" t="inlineStr">
        <is>
          <t>Observação</t>
        </is>
      </c>
      <c r="L4" s="98" t="inlineStr">
        <is>
          <t>Tipo receita DRE</t>
        </is>
      </c>
    </row>
    <row r="5">
      <c r="A5" s="110" t="n"/>
      <c r="B5" s="110" t="n"/>
      <c r="C5" s="110" t="n"/>
      <c r="D5" s="110" t="n"/>
      <c r="E5" s="110" t="n"/>
      <c r="F5" s="110" t="n"/>
      <c r="G5" s="110" t="n"/>
      <c r="H5" s="110" t="n"/>
      <c r="I5" s="110" t="n"/>
      <c r="J5" s="110" t="n"/>
      <c r="K5" s="110" t="n"/>
      <c r="L5" s="110" t="n"/>
    </row>
    <row r="6">
      <c r="A6" s="110" t="n"/>
      <c r="B6" s="110" t="n"/>
      <c r="C6" s="110" t="n"/>
      <c r="D6" s="110" t="n"/>
      <c r="E6" s="110" t="n"/>
      <c r="F6" s="110" t="n"/>
      <c r="G6" s="110" t="n"/>
      <c r="H6" s="110" t="n"/>
      <c r="I6" s="110" t="n"/>
      <c r="J6" s="110" t="n"/>
      <c r="K6" s="110" t="n"/>
      <c r="L6" s="110" t="n"/>
    </row>
    <row r="7">
      <c r="A7" s="110" t="n"/>
      <c r="B7" s="110" t="n"/>
      <c r="C7" s="110" t="n"/>
      <c r="D7" s="110" t="n"/>
      <c r="E7" s="110" t="n"/>
      <c r="F7" s="110" t="n"/>
      <c r="G7" s="110" t="n"/>
      <c r="H7" s="110" t="n"/>
      <c r="I7" s="110" t="n"/>
      <c r="J7" s="110" t="n"/>
      <c r="K7" s="110" t="n"/>
      <c r="L7" s="110" t="n"/>
    </row>
    <row r="8">
      <c r="A8" s="110" t="n"/>
      <c r="B8" s="110" t="n"/>
      <c r="C8" s="110" t="n"/>
      <c r="D8" s="110" t="n"/>
      <c r="E8" s="110" t="n"/>
      <c r="F8" s="110" t="n"/>
      <c r="G8" s="110" t="n"/>
      <c r="H8" s="110" t="n"/>
      <c r="I8" s="110" t="n"/>
      <c r="J8" s="110" t="n"/>
      <c r="K8" s="110" t="n"/>
      <c r="L8" s="110" t="n"/>
    </row>
    <row r="9">
      <c r="A9" s="110" t="n"/>
      <c r="B9" s="110" t="n"/>
      <c r="C9" s="110" t="n"/>
      <c r="D9" s="110" t="n"/>
      <c r="E9" s="110" t="n"/>
      <c r="F9" s="110" t="n"/>
      <c r="G9" s="110" t="n"/>
      <c r="H9" s="110" t="n"/>
      <c r="I9" s="110" t="n"/>
      <c r="J9" s="110" t="n"/>
      <c r="K9" s="110" t="n"/>
      <c r="L9" s="110" t="n"/>
    </row>
    <row r="10">
      <c r="A10" s="110" t="n"/>
      <c r="B10" s="110" t="n"/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</row>
    <row r="11">
      <c r="A11" s="110" t="n"/>
      <c r="B11" s="110" t="n"/>
      <c r="C11" s="110" t="n"/>
      <c r="D11" s="110" t="n"/>
      <c r="E11" s="110" t="n"/>
      <c r="F11" s="110" t="n"/>
      <c r="G11" s="110" t="n"/>
      <c r="H11" s="110" t="n"/>
      <c r="I11" s="110" t="n"/>
      <c r="J11" s="110" t="n"/>
      <c r="K11" s="110" t="n"/>
      <c r="L11" s="110" t="n"/>
    </row>
    <row r="12">
      <c r="A12" s="110" t="n"/>
      <c r="B12" s="110" t="n"/>
      <c r="C12" s="110" t="n"/>
      <c r="D12" s="110" t="n"/>
      <c r="E12" s="110" t="n"/>
      <c r="F12" s="110" t="n"/>
      <c r="G12" s="110" t="n"/>
      <c r="H12" s="110" t="n"/>
      <c r="I12" s="110" t="n"/>
      <c r="J12" s="110" t="n"/>
      <c r="K12" s="110" t="n"/>
      <c r="L12" s="110" t="n"/>
    </row>
    <row r="13">
      <c r="A13" s="110" t="n"/>
      <c r="B13" s="110" t="n"/>
      <c r="C13" s="110" t="n"/>
      <c r="D13" s="110" t="n"/>
      <c r="E13" s="110" t="n"/>
      <c r="F13" s="110" t="n"/>
      <c r="G13" s="110" t="n"/>
      <c r="H13" s="110" t="n"/>
      <c r="I13" s="110" t="n"/>
      <c r="J13" s="110" t="n"/>
      <c r="K13" s="110" t="n"/>
      <c r="L13" s="110" t="n"/>
    </row>
    <row r="14">
      <c r="A14" s="110" t="n"/>
      <c r="B14" s="110" t="n"/>
      <c r="C14" s="110" t="n"/>
      <c r="D14" s="110" t="n"/>
      <c r="E14" s="110" t="n"/>
      <c r="F14" s="110" t="n"/>
      <c r="G14" s="110" t="n"/>
      <c r="H14" s="110" t="n"/>
      <c r="I14" s="110" t="n"/>
      <c r="J14" s="110" t="n"/>
      <c r="K14" s="110" t="n"/>
      <c r="L14" s="110" t="n"/>
    </row>
    <row r="15">
      <c r="A15" s="110" t="n"/>
      <c r="B15" s="110" t="n"/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110" t="n"/>
      <c r="L15" s="110" t="n"/>
    </row>
    <row r="16">
      <c r="A16" s="110" t="n"/>
      <c r="B16" s="110" t="n"/>
      <c r="C16" s="110" t="n"/>
      <c r="D16" s="110" t="n"/>
      <c r="E16" s="110" t="n"/>
      <c r="F16" s="110" t="n"/>
      <c r="G16" s="110" t="n"/>
      <c r="H16" s="110" t="n"/>
      <c r="I16" s="110" t="n"/>
      <c r="J16" s="110" t="n"/>
      <c r="K16" s="110" t="n"/>
      <c r="L16" s="110" t="n"/>
    </row>
    <row r="17">
      <c r="A17" s="110" t="n"/>
      <c r="B17" s="110" t="n"/>
      <c r="C17" s="110" t="n"/>
      <c r="D17" s="110" t="n"/>
      <c r="E17" s="110" t="n"/>
      <c r="F17" s="110" t="n"/>
      <c r="G17" s="110" t="n"/>
      <c r="H17" s="110" t="n"/>
      <c r="I17" s="110" t="n"/>
      <c r="J17" s="110" t="n"/>
      <c r="K17" s="110" t="n"/>
      <c r="L17" s="110" t="n"/>
    </row>
    <row r="18">
      <c r="A18" s="110" t="n"/>
      <c r="B18" s="110" t="n"/>
      <c r="C18" s="110" t="n"/>
      <c r="D18" s="110" t="n"/>
      <c r="E18" s="110" t="n"/>
      <c r="F18" s="110" t="n"/>
      <c r="G18" s="110" t="n"/>
      <c r="H18" s="110" t="n"/>
      <c r="I18" s="110" t="n"/>
      <c r="J18" s="110" t="n"/>
      <c r="K18" s="110" t="n"/>
      <c r="L18" s="110" t="n"/>
    </row>
    <row r="19">
      <c r="A19" s="110" t="n"/>
      <c r="B19" s="110" t="n"/>
      <c r="C19" s="110" t="n"/>
      <c r="D19" s="110" t="n"/>
      <c r="E19" s="110" t="n"/>
      <c r="F19" s="110" t="n"/>
      <c r="G19" s="110" t="n"/>
      <c r="H19" s="110" t="n"/>
      <c r="I19" s="110" t="n"/>
      <c r="J19" s="110" t="n"/>
      <c r="K19" s="110" t="n"/>
      <c r="L19" s="110" t="n"/>
    </row>
    <row r="20">
      <c r="A20" s="110" t="n"/>
      <c r="B20" s="110" t="n"/>
      <c r="C20" s="110" t="n"/>
      <c r="D20" s="110" t="n"/>
      <c r="E20" s="110" t="n"/>
      <c r="F20" s="110" t="n"/>
      <c r="G20" s="110" t="n"/>
      <c r="H20" s="110" t="n"/>
      <c r="I20" s="110" t="n"/>
      <c r="J20" s="110" t="n"/>
      <c r="K20" s="110" t="n"/>
      <c r="L20" s="110" t="n"/>
    </row>
    <row r="21">
      <c r="A21" s="110" t="n"/>
      <c r="B21" s="110" t="n"/>
      <c r="C21" s="110" t="n"/>
      <c r="D21" s="110" t="n"/>
      <c r="E21" s="110" t="n"/>
      <c r="F21" s="110" t="n"/>
      <c r="G21" s="110" t="n"/>
      <c r="H21" s="110" t="n"/>
      <c r="I21" s="110" t="n"/>
      <c r="J21" s="110" t="n"/>
      <c r="K21" s="110" t="n"/>
      <c r="L21" s="110" t="n"/>
    </row>
    <row r="22">
      <c r="A22" s="110" t="n"/>
      <c r="B22" s="110" t="n"/>
      <c r="C22" s="110" t="n"/>
      <c r="D22" s="110" t="n"/>
      <c r="E22" s="110" t="n"/>
      <c r="F22" s="110" t="n"/>
      <c r="G22" s="110" t="n"/>
      <c r="H22" s="110" t="n"/>
      <c r="I22" s="110" t="n"/>
      <c r="J22" s="110" t="n"/>
      <c r="K22" s="110" t="n"/>
      <c r="L22" s="110" t="n"/>
    </row>
    <row r="23">
      <c r="A23" s="110" t="n"/>
      <c r="B23" s="110" t="n"/>
      <c r="C23" s="110" t="n"/>
      <c r="D23" s="110" t="n"/>
      <c r="E23" s="110" t="n"/>
      <c r="F23" s="110" t="n"/>
      <c r="G23" s="110" t="n"/>
      <c r="H23" s="110" t="n"/>
      <c r="I23" s="110" t="n"/>
      <c r="J23" s="110" t="n"/>
      <c r="K23" s="110" t="n"/>
      <c r="L23" s="110" t="n"/>
    </row>
    <row r="24">
      <c r="A24" s="110" t="n"/>
      <c r="B24" s="110" t="n"/>
      <c r="C24" s="110" t="n"/>
      <c r="D24" s="110" t="n"/>
      <c r="E24" s="110" t="n"/>
      <c r="F24" s="110" t="n"/>
      <c r="G24" s="110" t="n"/>
      <c r="H24" s="110" t="n"/>
      <c r="I24" s="110" t="n"/>
      <c r="J24" s="110" t="n"/>
      <c r="K24" s="110" t="n"/>
      <c r="L24" s="110" t="n"/>
    </row>
    <row r="25">
      <c r="A25" s="110" t="n"/>
      <c r="B25" s="110" t="n"/>
      <c r="C25" s="110" t="n"/>
      <c r="D25" s="110" t="n"/>
      <c r="E25" s="110" t="n"/>
      <c r="F25" s="110" t="n"/>
      <c r="G25" s="110" t="n"/>
      <c r="H25" s="110" t="n"/>
      <c r="I25" s="110" t="n"/>
      <c r="J25" s="110" t="n"/>
      <c r="K25" s="110" t="n"/>
      <c r="L25" s="110" t="n"/>
    </row>
    <row r="26">
      <c r="A26" s="110" t="n"/>
      <c r="B26" s="110" t="n"/>
      <c r="C26" s="110" t="n"/>
      <c r="D26" s="110" t="n"/>
      <c r="E26" s="110" t="n"/>
      <c r="F26" s="110" t="n"/>
      <c r="G26" s="110" t="n"/>
      <c r="H26" s="110" t="n"/>
      <c r="I26" s="110" t="n"/>
      <c r="J26" s="110" t="n"/>
      <c r="K26" s="110" t="n"/>
      <c r="L26" s="110" t="n"/>
    </row>
    <row r="27">
      <c r="A27" s="110" t="n"/>
      <c r="B27" s="110" t="n"/>
      <c r="C27" s="110" t="n"/>
      <c r="D27" s="110" t="n"/>
      <c r="E27" s="110" t="n"/>
      <c r="F27" s="110" t="n"/>
      <c r="G27" s="110" t="n"/>
      <c r="H27" s="110" t="n"/>
      <c r="I27" s="110" t="n"/>
      <c r="J27" s="110" t="n"/>
      <c r="K27" s="110" t="n"/>
      <c r="L27" s="110" t="n"/>
    </row>
    <row r="28">
      <c r="A28" s="110" t="n"/>
      <c r="B28" s="110" t="n"/>
      <c r="C28" s="110" t="n"/>
      <c r="D28" s="110" t="n"/>
      <c r="E28" s="110" t="n"/>
      <c r="F28" s="110" t="n"/>
      <c r="G28" s="110" t="n"/>
      <c r="H28" s="110" t="n"/>
      <c r="I28" s="110" t="n"/>
      <c r="J28" s="110" t="n"/>
      <c r="K28" s="110" t="n"/>
      <c r="L28" s="110" t="n"/>
    </row>
    <row r="29">
      <c r="A29" s="110" t="n"/>
      <c r="B29" s="110" t="n"/>
      <c r="C29" s="110" t="n"/>
      <c r="D29" s="110" t="n"/>
      <c r="E29" s="110" t="n"/>
      <c r="F29" s="110" t="n"/>
      <c r="G29" s="110" t="n"/>
      <c r="H29" s="110" t="n"/>
      <c r="I29" s="110" t="n"/>
      <c r="J29" s="110" t="n"/>
      <c r="K29" s="110" t="n"/>
      <c r="L29" s="110" t="n"/>
    </row>
    <row r="30">
      <c r="A30" s="110" t="n"/>
      <c r="B30" s="110" t="n"/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10" t="n"/>
      <c r="L30" s="110" t="n"/>
    </row>
    <row r="31">
      <c r="A31" s="110" t="n"/>
      <c r="B31" s="110" t="n"/>
      <c r="C31" s="110" t="n"/>
      <c r="D31" s="110" t="n"/>
      <c r="E31" s="110" t="n"/>
      <c r="F31" s="110" t="n"/>
      <c r="G31" s="110" t="n"/>
      <c r="H31" s="110" t="n"/>
      <c r="I31" s="110" t="n"/>
      <c r="J31" s="110" t="n"/>
      <c r="K31" s="110" t="n"/>
      <c r="L31" s="110" t="n"/>
    </row>
    <row r="32">
      <c r="A32" s="110" t="n"/>
      <c r="B32" s="110" t="n"/>
      <c r="C32" s="110" t="n"/>
      <c r="D32" s="110" t="n"/>
      <c r="E32" s="110" t="n"/>
      <c r="F32" s="110" t="n"/>
      <c r="G32" s="110" t="n"/>
      <c r="H32" s="110" t="n"/>
      <c r="I32" s="110" t="n"/>
      <c r="J32" s="110" t="n"/>
      <c r="K32" s="110" t="n"/>
      <c r="L32" s="110" t="n"/>
    </row>
    <row r="33">
      <c r="A33" s="110" t="n"/>
      <c r="B33" s="110" t="n"/>
      <c r="C33" s="110" t="n"/>
      <c r="D33" s="110" t="n"/>
      <c r="E33" s="110" t="n"/>
      <c r="F33" s="110" t="n"/>
      <c r="G33" s="110" t="n"/>
      <c r="H33" s="110" t="n"/>
      <c r="I33" s="110" t="n"/>
      <c r="J33" s="110" t="n"/>
      <c r="K33" s="110" t="n"/>
      <c r="L33" s="110" t="n"/>
    </row>
    <row r="34">
      <c r="A34" s="110" t="n"/>
      <c r="B34" s="110" t="n"/>
      <c r="C34" s="110" t="n"/>
      <c r="D34" s="110" t="n"/>
      <c r="E34" s="110" t="n"/>
      <c r="F34" s="110" t="n"/>
      <c r="G34" s="110" t="n"/>
      <c r="H34" s="110" t="n"/>
      <c r="I34" s="110" t="n"/>
      <c r="J34" s="110" t="n"/>
      <c r="K34" s="110" t="n"/>
      <c r="L34" s="110" t="n"/>
    </row>
    <row r="35">
      <c r="A35" s="110" t="n"/>
      <c r="B35" s="110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</row>
    <row r="36">
      <c r="A36" s="110" t="n"/>
      <c r="B36" s="110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</row>
    <row r="37">
      <c r="A37" s="110" t="n"/>
      <c r="B37" s="110" t="n"/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</row>
    <row r="38">
      <c r="A38" s="110" t="n"/>
      <c r="B38" s="110" t="n"/>
      <c r="C38" s="110" t="n"/>
      <c r="D38" s="110" t="n"/>
      <c r="E38" s="110" t="n"/>
      <c r="F38" s="110" t="n"/>
      <c r="G38" s="110" t="n"/>
      <c r="H38" s="110" t="n"/>
      <c r="I38" s="110" t="n"/>
      <c r="J38" s="110" t="n"/>
      <c r="K38" s="110" t="n"/>
      <c r="L38" s="110" t="n"/>
    </row>
    <row r="39">
      <c r="A39" s="110" t="n"/>
      <c r="B39" s="110" t="n"/>
      <c r="C39" s="110" t="n"/>
      <c r="D39" s="110" t="n"/>
      <c r="E39" s="110" t="n"/>
      <c r="F39" s="110" t="n"/>
      <c r="G39" s="110" t="n"/>
      <c r="H39" s="110" t="n"/>
      <c r="I39" s="110" t="n"/>
      <c r="J39" s="110" t="n"/>
      <c r="K39" s="110" t="n"/>
      <c r="L39" s="110" t="n"/>
    </row>
    <row r="40">
      <c r="A40" s="110" t="n"/>
      <c r="B40" s="110" t="n"/>
      <c r="C40" s="110" t="n"/>
      <c r="D40" s="110" t="n"/>
      <c r="E40" s="110" t="n"/>
      <c r="F40" s="110" t="n"/>
      <c r="G40" s="110" t="n"/>
      <c r="H40" s="110" t="n"/>
      <c r="I40" s="110" t="n"/>
      <c r="J40" s="110" t="n"/>
      <c r="K40" s="110" t="n"/>
      <c r="L40" s="110" t="n"/>
    </row>
    <row r="41">
      <c r="A41" s="110" t="n"/>
      <c r="B41" s="110" t="n"/>
      <c r="C41" s="110" t="n"/>
      <c r="D41" s="110" t="n"/>
      <c r="E41" s="110" t="n"/>
      <c r="F41" s="110" t="n"/>
      <c r="G41" s="110" t="n"/>
      <c r="H41" s="110" t="n"/>
      <c r="I41" s="110" t="n"/>
      <c r="J41" s="110" t="n"/>
      <c r="K41" s="110" t="n"/>
      <c r="L41" s="110" t="n"/>
    </row>
    <row r="42">
      <c r="A42" s="110" t="n"/>
      <c r="B42" s="110" t="n"/>
      <c r="C42" s="110" t="n"/>
      <c r="D42" s="110" t="n"/>
      <c r="E42" s="110" t="n"/>
      <c r="F42" s="110" t="n"/>
      <c r="G42" s="110" t="n"/>
      <c r="H42" s="110" t="n"/>
      <c r="I42" s="110" t="n"/>
      <c r="J42" s="110" t="n"/>
      <c r="K42" s="110" t="n"/>
      <c r="L42" s="110" t="n"/>
    </row>
    <row r="43">
      <c r="A43" s="110" t="n"/>
      <c r="B43" s="110" t="n"/>
      <c r="C43" s="110" t="n"/>
      <c r="D43" s="110" t="n"/>
      <c r="E43" s="110" t="n"/>
      <c r="F43" s="110" t="n"/>
      <c r="G43" s="110" t="n"/>
      <c r="H43" s="110" t="n"/>
      <c r="I43" s="110" t="n"/>
      <c r="J43" s="110" t="n"/>
      <c r="K43" s="110" t="n"/>
      <c r="L43" s="110" t="n"/>
    </row>
    <row r="44">
      <c r="A44" s="110" t="n"/>
      <c r="B44" s="110" t="n"/>
      <c r="C44" s="110" t="n"/>
      <c r="D44" s="110" t="n"/>
      <c r="E44" s="110" t="n"/>
      <c r="F44" s="110" t="n"/>
      <c r="G44" s="110" t="n"/>
      <c r="H44" s="110" t="n"/>
      <c r="I44" s="110" t="n"/>
      <c r="J44" s="110" t="n"/>
      <c r="K44" s="110" t="n"/>
      <c r="L44" s="110" t="n"/>
    </row>
    <row r="45">
      <c r="A45" s="110" t="n"/>
      <c r="B45" s="110" t="n"/>
      <c r="C45" s="110" t="n"/>
      <c r="D45" s="110" t="n"/>
      <c r="E45" s="110" t="n"/>
      <c r="F45" s="110" t="n"/>
      <c r="G45" s="110" t="n"/>
      <c r="H45" s="110" t="n"/>
      <c r="I45" s="110" t="n"/>
      <c r="J45" s="110" t="n"/>
      <c r="K45" s="110" t="n"/>
      <c r="L45" s="110" t="n"/>
    </row>
    <row r="46">
      <c r="A46" s="110" t="n"/>
      <c r="B46" s="110" t="n"/>
      <c r="C46" s="110" t="n"/>
      <c r="D46" s="110" t="n"/>
      <c r="E46" s="110" t="n"/>
      <c r="F46" s="110" t="n"/>
      <c r="G46" s="110" t="n"/>
      <c r="H46" s="110" t="n"/>
      <c r="I46" s="110" t="n"/>
      <c r="J46" s="110" t="n"/>
      <c r="K46" s="110" t="n"/>
      <c r="L46" s="110" t="n"/>
    </row>
    <row r="47">
      <c r="A47" s="110" t="n"/>
      <c r="B47" s="110" t="n"/>
      <c r="C47" s="110" t="n"/>
      <c r="D47" s="110" t="n"/>
      <c r="E47" s="110" t="n"/>
      <c r="F47" s="110" t="n"/>
      <c r="G47" s="110" t="n"/>
      <c r="H47" s="110" t="n"/>
      <c r="I47" s="110" t="n"/>
      <c r="J47" s="110" t="n"/>
      <c r="K47" s="110" t="n"/>
      <c r="L47" s="110" t="n"/>
    </row>
    <row r="48">
      <c r="A48" s="110" t="n"/>
      <c r="B48" s="110" t="n"/>
      <c r="C48" s="110" t="n"/>
      <c r="D48" s="110" t="n"/>
      <c r="E48" s="110" t="n"/>
      <c r="F48" s="110" t="n"/>
      <c r="G48" s="110" t="n"/>
      <c r="H48" s="110" t="n"/>
      <c r="I48" s="110" t="n"/>
      <c r="J48" s="110" t="n"/>
      <c r="K48" s="110" t="n"/>
      <c r="L48" s="110" t="n"/>
    </row>
    <row r="49">
      <c r="A49" s="110" t="n"/>
      <c r="B49" s="110" t="n"/>
      <c r="C49" s="110" t="n"/>
      <c r="D49" s="110" t="n"/>
      <c r="E49" s="110" t="n"/>
      <c r="F49" s="110" t="n"/>
      <c r="G49" s="110" t="n"/>
      <c r="H49" s="110" t="n"/>
      <c r="I49" s="110" t="n"/>
      <c r="J49" s="110" t="n"/>
      <c r="K49" s="110" t="n"/>
      <c r="L49" s="110" t="n"/>
    </row>
    <row r="50">
      <c r="A50" s="110" t="n"/>
      <c r="B50" s="110" t="n"/>
      <c r="C50" s="110" t="n"/>
      <c r="D50" s="110" t="n"/>
      <c r="E50" s="110" t="n"/>
      <c r="F50" s="110" t="n"/>
      <c r="G50" s="110" t="n"/>
      <c r="H50" s="110" t="n"/>
      <c r="I50" s="110" t="n"/>
      <c r="J50" s="110" t="n"/>
      <c r="K50" s="110" t="n"/>
      <c r="L50" s="110" t="n"/>
    </row>
    <row r="51">
      <c r="A51" s="110" t="n"/>
      <c r="B51" s="110" t="n"/>
      <c r="C51" s="110" t="n"/>
      <c r="D51" s="110" t="n"/>
      <c r="E51" s="110" t="n"/>
      <c r="F51" s="110" t="n"/>
      <c r="G51" s="110" t="n"/>
      <c r="H51" s="110" t="n"/>
      <c r="I51" s="110" t="n"/>
      <c r="J51" s="110" t="n"/>
      <c r="K51" s="110" t="n"/>
      <c r="L51" s="110" t="n"/>
    </row>
    <row r="52">
      <c r="A52" s="110" t="n"/>
      <c r="B52" s="110" t="n"/>
      <c r="C52" s="110" t="n"/>
      <c r="D52" s="110" t="n"/>
      <c r="E52" s="110" t="n"/>
      <c r="F52" s="110" t="n"/>
      <c r="G52" s="110" t="n"/>
      <c r="H52" s="110" t="n"/>
      <c r="I52" s="110" t="n"/>
      <c r="J52" s="110" t="n"/>
      <c r="K52" s="110" t="n"/>
      <c r="L52" s="110" t="n"/>
    </row>
    <row r="53">
      <c r="A53" s="110" t="n"/>
      <c r="B53" s="110" t="n"/>
      <c r="C53" s="110" t="n"/>
      <c r="D53" s="110" t="n"/>
      <c r="E53" s="110" t="n"/>
      <c r="F53" s="110" t="n"/>
      <c r="G53" s="110" t="n"/>
      <c r="H53" s="110" t="n"/>
      <c r="I53" s="110" t="n"/>
      <c r="J53" s="110" t="n"/>
      <c r="K53" s="110" t="n"/>
      <c r="L53" s="110" t="n"/>
    </row>
    <row r="54">
      <c r="A54" s="110" t="n"/>
      <c r="B54" s="110" t="n"/>
      <c r="C54" s="110" t="n"/>
      <c r="D54" s="110" t="n"/>
      <c r="E54" s="110" t="n"/>
      <c r="F54" s="110" t="n"/>
      <c r="G54" s="110" t="n"/>
      <c r="H54" s="110" t="n"/>
      <c r="I54" s="110" t="n"/>
      <c r="J54" s="110" t="n"/>
      <c r="K54" s="110" t="n"/>
      <c r="L54" s="110" t="n"/>
    </row>
    <row r="55">
      <c r="A55" s="110" t="n"/>
      <c r="B55" s="110" t="n"/>
      <c r="C55" s="110" t="n"/>
      <c r="D55" s="110" t="n"/>
      <c r="E55" s="110" t="n"/>
      <c r="F55" s="110" t="n"/>
      <c r="G55" s="110" t="n"/>
      <c r="H55" s="110" t="n"/>
      <c r="I55" s="110" t="n"/>
      <c r="J55" s="110" t="n"/>
      <c r="K55" s="110" t="n"/>
      <c r="L55" s="110" t="n"/>
    </row>
    <row r="56">
      <c r="A56" s="110" t="n"/>
      <c r="B56" s="110" t="n"/>
      <c r="C56" s="110" t="n"/>
      <c r="D56" s="110" t="n"/>
      <c r="E56" s="110" t="n"/>
      <c r="F56" s="110" t="n"/>
      <c r="G56" s="110" t="n"/>
      <c r="H56" s="110" t="n"/>
      <c r="I56" s="110" t="n"/>
      <c r="J56" s="110" t="n"/>
      <c r="K56" s="110" t="n"/>
      <c r="L56" s="110" t="n"/>
    </row>
    <row r="57">
      <c r="A57" s="110" t="n"/>
      <c r="B57" s="110" t="n"/>
      <c r="C57" s="110" t="n"/>
      <c r="D57" s="110" t="n"/>
      <c r="E57" s="110" t="n"/>
      <c r="F57" s="110" t="n"/>
      <c r="G57" s="110" t="n"/>
      <c r="H57" s="110" t="n"/>
      <c r="I57" s="110" t="n"/>
      <c r="J57" s="110" t="n"/>
      <c r="K57" s="110" t="n"/>
      <c r="L57" s="110" t="n"/>
    </row>
    <row r="58">
      <c r="A58" s="110" t="n"/>
      <c r="B58" s="110" t="n"/>
      <c r="C58" s="110" t="n"/>
      <c r="D58" s="110" t="n"/>
      <c r="E58" s="110" t="n"/>
      <c r="F58" s="110" t="n"/>
      <c r="G58" s="110" t="n"/>
      <c r="H58" s="110" t="n"/>
      <c r="I58" s="110" t="n"/>
      <c r="J58" s="110" t="n"/>
      <c r="K58" s="110" t="n"/>
      <c r="L58" s="110" t="n"/>
    </row>
    <row r="59">
      <c r="A59" s="110" t="n"/>
      <c r="B59" s="110" t="n"/>
      <c r="C59" s="110" t="n"/>
      <c r="D59" s="110" t="n"/>
      <c r="E59" s="110" t="n"/>
      <c r="F59" s="110" t="n"/>
      <c r="G59" s="110" t="n"/>
      <c r="H59" s="110" t="n"/>
      <c r="I59" s="110" t="n"/>
      <c r="J59" s="110" t="n"/>
      <c r="K59" s="110" t="n"/>
      <c r="L59" s="110" t="n"/>
    </row>
    <row r="60">
      <c r="A60" s="110" t="n"/>
      <c r="B60" s="110" t="n"/>
      <c r="C60" s="110" t="n"/>
      <c r="D60" s="110" t="n"/>
      <c r="E60" s="110" t="n"/>
      <c r="F60" s="110" t="n"/>
      <c r="G60" s="110" t="n"/>
      <c r="H60" s="110" t="n"/>
      <c r="I60" s="110" t="n"/>
      <c r="J60" s="110" t="n"/>
      <c r="K60" s="110" t="n"/>
      <c r="L60" s="110" t="n"/>
    </row>
    <row r="61">
      <c r="A61" s="110" t="n"/>
      <c r="B61" s="110" t="n"/>
      <c r="C61" s="110" t="n"/>
      <c r="D61" s="110" t="n"/>
      <c r="E61" s="110" t="n"/>
      <c r="F61" s="110" t="n"/>
      <c r="G61" s="110" t="n"/>
      <c r="H61" s="110" t="n"/>
      <c r="I61" s="110" t="n"/>
      <c r="J61" s="110" t="n"/>
      <c r="K61" s="110" t="n"/>
      <c r="L61" s="110" t="n"/>
    </row>
    <row r="62">
      <c r="A62" s="110" t="n"/>
      <c r="B62" s="110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</row>
    <row r="63">
      <c r="A63" s="110" t="n"/>
      <c r="B63" s="110" t="n"/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</row>
    <row r="64">
      <c r="A64" s="110" t="n"/>
      <c r="B64" s="110" t="n"/>
      <c r="C64" s="110" t="n"/>
      <c r="D64" s="110" t="n"/>
      <c r="E64" s="110" t="n"/>
      <c r="F64" s="110" t="n"/>
      <c r="G64" s="110" t="n"/>
      <c r="H64" s="110" t="n"/>
      <c r="I64" s="110" t="n"/>
      <c r="J64" s="110" t="n"/>
      <c r="K64" s="110" t="n"/>
      <c r="L64" s="110" t="n"/>
    </row>
    <row r="65">
      <c r="A65" s="110" t="n"/>
      <c r="B65" s="110" t="n"/>
      <c r="C65" s="110" t="n"/>
      <c r="D65" s="110" t="n"/>
      <c r="E65" s="110" t="n"/>
      <c r="F65" s="110" t="n"/>
      <c r="G65" s="110" t="n"/>
      <c r="H65" s="110" t="n"/>
      <c r="I65" s="110" t="n"/>
      <c r="J65" s="110" t="n"/>
      <c r="K65" s="110" t="n"/>
      <c r="L65" s="110" t="n"/>
    </row>
    <row r="66">
      <c r="A66" s="110" t="n"/>
      <c r="B66" s="110" t="n"/>
      <c r="C66" s="110" t="n"/>
      <c r="D66" s="110" t="n"/>
      <c r="E66" s="110" t="n"/>
      <c r="F66" s="110" t="n"/>
      <c r="G66" s="110" t="n"/>
      <c r="H66" s="110" t="n"/>
      <c r="I66" s="110" t="n"/>
      <c r="J66" s="110" t="n"/>
      <c r="K66" s="110" t="n"/>
      <c r="L66" s="110" t="n"/>
    </row>
    <row r="67">
      <c r="A67" s="110" t="n"/>
      <c r="B67" s="110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10" t="n"/>
      <c r="L67" s="110" t="n"/>
    </row>
    <row r="68">
      <c r="A68" s="110" t="n"/>
      <c r="B68" s="110" t="n"/>
      <c r="C68" s="110" t="n"/>
      <c r="D68" s="110" t="n"/>
      <c r="E68" s="110" t="n"/>
      <c r="F68" s="110" t="n"/>
      <c r="G68" s="110" t="n"/>
      <c r="H68" s="110" t="n"/>
      <c r="I68" s="110" t="n"/>
      <c r="J68" s="110" t="n"/>
      <c r="K68" s="110" t="n"/>
      <c r="L68" s="110" t="n"/>
    </row>
    <row r="69">
      <c r="A69" s="110" t="n"/>
      <c r="B69" s="110" t="n"/>
      <c r="C69" s="110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L69" s="110" t="n"/>
    </row>
    <row r="70">
      <c r="A70" s="110" t="n"/>
      <c r="B70" s="110" t="n"/>
      <c r="C70" s="110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</row>
    <row r="71">
      <c r="A71" s="110" t="n"/>
      <c r="B71" s="110" t="n"/>
      <c r="C71" s="110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</row>
    <row r="72">
      <c r="A72" s="110" t="n"/>
      <c r="B72" s="110" t="n"/>
      <c r="C72" s="110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</row>
    <row r="73">
      <c r="A73" s="110" t="n"/>
      <c r="B73" s="110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</row>
    <row r="74">
      <c r="A74" s="110" t="n"/>
      <c r="B74" s="110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</row>
    <row r="75">
      <c r="A75" s="110" t="n"/>
      <c r="B75" s="110" t="n"/>
      <c r="C75" s="110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</row>
    <row r="76">
      <c r="A76" s="110" t="n"/>
      <c r="B76" s="110" t="n"/>
      <c r="C76" s="110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</row>
    <row r="77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</row>
    <row r="78">
      <c r="A78" s="110" t="n"/>
      <c r="B78" s="110" t="n"/>
      <c r="C78" s="110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</row>
    <row r="79">
      <c r="A79" s="110" t="n"/>
      <c r="B79" s="110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</row>
    <row r="80">
      <c r="A80" s="110" t="n"/>
      <c r="B80" s="110" t="n"/>
      <c r="C80" s="110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</row>
    <row r="81">
      <c r="A81" s="110" t="n"/>
      <c r="B81" s="110" t="n"/>
      <c r="C81" s="110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</row>
    <row r="82">
      <c r="A82" s="110" t="n"/>
      <c r="B82" s="110" t="n"/>
      <c r="C82" s="110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</row>
    <row r="83">
      <c r="A83" s="110" t="n"/>
      <c r="B83" s="110" t="n"/>
      <c r="C83" s="110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</row>
    <row r="84">
      <c r="A84" s="110" t="n"/>
      <c r="B84" s="110" t="n"/>
      <c r="C84" s="110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</row>
    <row r="85">
      <c r="A85" s="110" t="n"/>
      <c r="B85" s="110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</row>
    <row r="86">
      <c r="A86" s="110" t="n"/>
      <c r="B86" s="110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</row>
    <row r="87">
      <c r="A87" s="110" t="n"/>
      <c r="B87" s="110" t="n"/>
      <c r="C87" s="110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</row>
    <row r="88">
      <c r="A88" s="110" t="n"/>
      <c r="B88" s="110" t="n"/>
      <c r="C88" s="110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</row>
    <row r="89">
      <c r="A89" s="110" t="n"/>
      <c r="B89" s="110" t="n"/>
      <c r="C89" s="110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</row>
    <row r="90">
      <c r="A90" s="110" t="n"/>
      <c r="B90" s="110" t="n"/>
      <c r="C90" s="110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</row>
    <row r="91">
      <c r="A91" s="110" t="n"/>
      <c r="B91" s="110" t="n"/>
      <c r="C91" s="110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</row>
    <row r="92">
      <c r="A92" s="110" t="n"/>
      <c r="B92" s="110" t="n"/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</row>
    <row r="93">
      <c r="A93" s="110" t="n"/>
      <c r="B93" s="110" t="n"/>
      <c r="C93" s="110" t="n"/>
      <c r="D93" s="110" t="n"/>
      <c r="E93" s="110" t="n"/>
      <c r="F93" s="110" t="n"/>
      <c r="G93" s="110" t="n"/>
      <c r="H93" s="110" t="n"/>
      <c r="I93" s="110" t="n"/>
      <c r="J93" s="110" t="n"/>
      <c r="K93" s="110" t="n"/>
      <c r="L93" s="110" t="n"/>
    </row>
    <row r="94">
      <c r="A94" s="110" t="n"/>
      <c r="B94" s="110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</row>
    <row r="95">
      <c r="A95" s="110" t="n"/>
      <c r="B95" s="110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</row>
    <row r="96">
      <c r="A96" s="110" t="n"/>
      <c r="B96" s="110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</row>
    <row r="97">
      <c r="A97" s="110" t="n"/>
      <c r="B97" s="110" t="n"/>
      <c r="C97" s="110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</row>
    <row r="98">
      <c r="A98" s="110" t="n"/>
      <c r="B98" s="110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</row>
    <row r="99">
      <c r="A99" s="110" t="n"/>
      <c r="B99" s="110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</row>
    <row r="100">
      <c r="A100" s="110" t="n"/>
      <c r="B100" s="110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</row>
    <row r="101">
      <c r="A101" s="110" t="n"/>
      <c r="B101" s="110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</row>
    <row r="102">
      <c r="A102" s="110" t="n"/>
      <c r="B102" s="110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</row>
    <row r="103">
      <c r="A103" s="110" t="n"/>
      <c r="B103" s="110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</row>
    <row r="104">
      <c r="A104" s="110" t="n"/>
      <c r="B104" s="110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</row>
    <row r="105">
      <c r="A105" s="110" t="n"/>
      <c r="B105" s="110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</row>
    <row r="106">
      <c r="A106" s="110" t="n"/>
      <c r="B106" s="110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</row>
    <row r="107">
      <c r="A107" s="110" t="n"/>
      <c r="B107" s="110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</row>
    <row r="108">
      <c r="A108" s="110" t="n"/>
      <c r="B108" s="110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</row>
    <row r="109">
      <c r="A109" s="110" t="n"/>
      <c r="B109" s="110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</row>
    <row r="110">
      <c r="A110" s="110" t="n"/>
      <c r="B110" s="110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</row>
    <row r="111">
      <c r="A111" s="110" t="n"/>
      <c r="B111" s="110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</row>
    <row r="112">
      <c r="A112" s="110" t="n"/>
      <c r="B112" s="110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</row>
    <row r="113">
      <c r="A113" s="110" t="n"/>
      <c r="B113" s="110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</row>
    <row r="114">
      <c r="A114" s="110" t="n"/>
      <c r="B114" s="110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</row>
    <row r="115">
      <c r="A115" s="110" t="n"/>
      <c r="B115" s="110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</row>
    <row r="116">
      <c r="A116" s="110" t="n"/>
      <c r="B116" s="110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</row>
    <row r="117">
      <c r="A117" s="110" t="n"/>
      <c r="B117" s="110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</row>
    <row r="118">
      <c r="A118" s="110" t="n"/>
      <c r="B118" s="110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</row>
    <row r="119">
      <c r="A119" s="110" t="n"/>
      <c r="B119" s="110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</row>
    <row r="120">
      <c r="A120" s="110" t="n"/>
      <c r="B120" s="110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</row>
    <row r="121">
      <c r="A121" s="110" t="n"/>
      <c r="B121" s="110" t="n"/>
      <c r="C121" s="110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</row>
    <row r="122">
      <c r="A122" s="110" t="n"/>
      <c r="B122" s="110" t="n"/>
      <c r="C122" s="110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</row>
    <row r="123">
      <c r="A123" s="110" t="n"/>
      <c r="B123" s="110" t="n"/>
      <c r="C123" s="110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</row>
    <row r="124">
      <c r="A124" s="110" t="n"/>
      <c r="B124" s="110" t="n"/>
      <c r="C124" s="110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</row>
    <row r="125">
      <c r="A125" s="110" t="n"/>
      <c r="B125" s="110" t="n"/>
      <c r="C125" s="110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</row>
    <row r="126">
      <c r="A126" s="110" t="n"/>
      <c r="B126" s="110" t="n"/>
      <c r="C126" s="110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</row>
    <row r="127">
      <c r="A127" s="110" t="n"/>
      <c r="B127" s="110" t="n"/>
      <c r="C127" s="110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</row>
    <row r="128">
      <c r="A128" s="110" t="n"/>
      <c r="B128" s="110" t="n"/>
      <c r="C128" s="110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</row>
    <row r="129">
      <c r="A129" s="110" t="n"/>
      <c r="B129" s="110" t="n"/>
      <c r="C129" s="110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</row>
    <row r="130">
      <c r="A130" s="110" t="n"/>
      <c r="B130" s="110" t="n"/>
      <c r="C130" s="110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</row>
    <row r="131">
      <c r="A131" s="110" t="n"/>
      <c r="B131" s="110" t="n"/>
      <c r="C131" s="110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</row>
    <row r="132">
      <c r="A132" s="110" t="n"/>
      <c r="B132" s="110" t="n"/>
      <c r="C132" s="110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</row>
    <row r="133">
      <c r="A133" s="110" t="n"/>
      <c r="B133" s="110" t="n"/>
      <c r="C133" s="110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</row>
    <row r="134">
      <c r="A134" s="110" t="n"/>
      <c r="B134" s="110" t="n"/>
      <c r="C134" s="110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</row>
    <row r="135">
      <c r="A135" s="110" t="n"/>
      <c r="B135" s="110" t="n"/>
      <c r="C135" s="110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</row>
    <row r="136">
      <c r="A136" s="110" t="n"/>
      <c r="B136" s="110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</row>
    <row r="137">
      <c r="A137" s="110" t="n"/>
      <c r="B137" s="110" t="n"/>
      <c r="C137" s="110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</row>
    <row r="138">
      <c r="A138" s="110" t="n"/>
      <c r="B138" s="110" t="n"/>
      <c r="C138" s="110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</row>
    <row r="139">
      <c r="A139" s="110" t="n"/>
      <c r="B139" s="110" t="n"/>
      <c r="C139" s="110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</row>
    <row r="140">
      <c r="A140" s="110" t="n"/>
      <c r="B140" s="110" t="n"/>
      <c r="C140" s="110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</row>
    <row r="141">
      <c r="A141" s="110" t="n"/>
      <c r="B141" s="110" t="n"/>
      <c r="C141" s="110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</row>
    <row r="142">
      <c r="A142" s="110" t="n"/>
      <c r="B142" s="110" t="n"/>
      <c r="C142" s="110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</row>
    <row r="143">
      <c r="A143" s="110" t="n"/>
      <c r="B143" s="110" t="n"/>
      <c r="C143" s="110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</row>
    <row r="144">
      <c r="A144" s="110" t="n"/>
      <c r="B144" s="110" t="n"/>
      <c r="C144" s="110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</row>
    <row r="145">
      <c r="A145" s="110" t="n"/>
      <c r="B145" s="110" t="n"/>
      <c r="C145" s="110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</row>
    <row r="146">
      <c r="A146" s="110" t="n"/>
      <c r="B146" s="110" t="n"/>
      <c r="C146" s="110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</row>
    <row r="147">
      <c r="A147" s="110" t="n"/>
      <c r="B147" s="110" t="n"/>
      <c r="C147" s="110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</row>
    <row r="148">
      <c r="A148" s="110" t="n"/>
      <c r="B148" s="110" t="n"/>
      <c r="C148" s="110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</row>
    <row r="149">
      <c r="A149" s="110" t="n"/>
      <c r="B149" s="110" t="n"/>
      <c r="C149" s="110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</row>
    <row r="150">
      <c r="A150" s="110" t="n"/>
      <c r="B150" s="110" t="n"/>
      <c r="C150" s="110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</row>
    <row r="151">
      <c r="A151" s="110" t="n"/>
      <c r="B151" s="110" t="n"/>
      <c r="C151" s="110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</row>
    <row r="152">
      <c r="A152" s="110" t="n"/>
      <c r="B152" s="110" t="n"/>
      <c r="C152" s="110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</row>
    <row r="153">
      <c r="A153" s="110" t="n"/>
      <c r="B153" s="110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</row>
    <row r="154">
      <c r="A154" s="110" t="n"/>
      <c r="B154" s="110" t="n"/>
      <c r="C154" s="110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</row>
    <row r="155">
      <c r="A155" s="110" t="n"/>
      <c r="B155" s="110" t="n"/>
      <c r="C155" s="110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</row>
    <row r="156">
      <c r="A156" s="110" t="n"/>
      <c r="B156" s="110" t="n"/>
      <c r="C156" s="110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</row>
    <row r="157">
      <c r="A157" s="110" t="n"/>
      <c r="B157" s="110" t="n"/>
      <c r="C157" s="110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</row>
    <row r="158">
      <c r="A158" s="110" t="n"/>
      <c r="B158" s="110" t="n"/>
      <c r="C158" s="110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</row>
    <row r="159">
      <c r="A159" s="110" t="n"/>
      <c r="B159" s="110" t="n"/>
      <c r="C159" s="110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</row>
    <row r="160">
      <c r="A160" s="110" t="n"/>
      <c r="B160" s="110" t="n"/>
      <c r="C160" s="110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</row>
    <row r="161">
      <c r="A161" s="110" t="n"/>
      <c r="B161" s="110" t="n"/>
      <c r="C161" s="110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</row>
    <row r="162">
      <c r="A162" s="110" t="n"/>
      <c r="B162" s="110" t="n"/>
      <c r="C162" s="110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</row>
    <row r="163">
      <c r="A163" s="110" t="n"/>
      <c r="B163" s="110" t="n"/>
      <c r="C163" s="110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</row>
    <row r="164">
      <c r="A164" s="110" t="n"/>
      <c r="B164" s="110" t="n"/>
      <c r="C164" s="110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</row>
    <row r="165">
      <c r="A165" s="110" t="n"/>
      <c r="B165" s="110" t="n"/>
      <c r="C165" s="110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</row>
    <row r="166">
      <c r="A166" s="110" t="n"/>
      <c r="B166" s="110" t="n"/>
      <c r="C166" s="110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</row>
    <row r="167">
      <c r="A167" s="110" t="n"/>
      <c r="B167" s="110" t="n"/>
      <c r="C167" s="110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</row>
    <row r="168">
      <c r="A168" s="110" t="n"/>
      <c r="B168" s="110" t="n"/>
      <c r="C168" s="110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</row>
    <row r="169">
      <c r="A169" s="110" t="n"/>
      <c r="B169" s="110" t="n"/>
      <c r="C169" s="110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</row>
    <row r="170">
      <c r="A170" s="110" t="n"/>
      <c r="B170" s="110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</row>
    <row r="171">
      <c r="A171" s="110" t="n"/>
      <c r="B171" s="110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</row>
    <row r="172">
      <c r="A172" s="110" t="n"/>
      <c r="B172" s="110" t="n"/>
      <c r="C172" s="110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</row>
    <row r="173">
      <c r="A173" s="110" t="n"/>
      <c r="B173" s="110" t="n"/>
      <c r="C173" s="110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</row>
    <row r="174">
      <c r="A174" s="110" t="n"/>
      <c r="B174" s="110" t="n"/>
      <c r="C174" s="110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</row>
    <row r="175">
      <c r="A175" s="110" t="n"/>
      <c r="B175" s="110" t="n"/>
      <c r="C175" s="110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</row>
    <row r="176">
      <c r="A176" s="110" t="n"/>
      <c r="B176" s="110" t="n"/>
      <c r="C176" s="110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</row>
    <row r="177">
      <c r="A177" s="110" t="n"/>
      <c r="B177" s="110" t="n"/>
      <c r="C177" s="110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</row>
    <row r="178">
      <c r="A178" s="110" t="n"/>
      <c r="B178" s="110" t="n"/>
      <c r="C178" s="110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</row>
    <row r="179">
      <c r="A179" s="110" t="n"/>
      <c r="B179" s="110" t="n"/>
      <c r="C179" s="110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</row>
    <row r="180">
      <c r="A180" s="110" t="n"/>
      <c r="B180" s="110" t="n"/>
      <c r="C180" s="110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</row>
    <row r="181">
      <c r="A181" s="110" t="n"/>
      <c r="B181" s="110" t="n"/>
      <c r="C181" s="110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</row>
    <row r="182">
      <c r="A182" s="110" t="n"/>
      <c r="B182" s="110" t="n"/>
      <c r="C182" s="110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</row>
    <row r="183">
      <c r="A183" s="110" t="n"/>
      <c r="B183" s="110" t="n"/>
      <c r="C183" s="110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</row>
    <row r="184">
      <c r="A184" s="110" t="n"/>
      <c r="B184" s="110" t="n"/>
      <c r="C184" s="110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</row>
    <row r="185">
      <c r="A185" s="110" t="n"/>
      <c r="B185" s="110" t="n"/>
      <c r="C185" s="110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</row>
    <row r="186">
      <c r="A186" s="110" t="n"/>
      <c r="B186" s="110" t="n"/>
      <c r="C186" s="110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</row>
    <row r="187">
      <c r="A187" s="110" t="n"/>
      <c r="B187" s="110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</row>
    <row r="188">
      <c r="A188" s="110" t="n"/>
      <c r="B188" s="110" t="n"/>
      <c r="C188" s="110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</row>
    <row r="189">
      <c r="A189" s="110" t="n"/>
      <c r="B189" s="110" t="n"/>
      <c r="C189" s="110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</row>
    <row r="190">
      <c r="A190" s="110" t="n"/>
      <c r="B190" s="110" t="n"/>
      <c r="C190" s="110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</row>
    <row r="191">
      <c r="A191" s="110" t="n"/>
      <c r="B191" s="110" t="n"/>
      <c r="C191" s="110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</row>
    <row r="192">
      <c r="A192" s="110" t="n"/>
      <c r="B192" s="110" t="n"/>
      <c r="C192" s="110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</row>
    <row r="193">
      <c r="A193" s="110" t="n"/>
      <c r="B193" s="110" t="n"/>
      <c r="C193" s="110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</row>
    <row r="194">
      <c r="A194" s="110" t="n"/>
      <c r="B194" s="110" t="n"/>
      <c r="C194" s="110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</row>
    <row r="195">
      <c r="A195" s="110" t="n"/>
      <c r="B195" s="110" t="n"/>
      <c r="C195" s="110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</row>
    <row r="196">
      <c r="A196" s="110" t="n"/>
      <c r="B196" s="110" t="n"/>
      <c r="C196" s="110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</row>
    <row r="197">
      <c r="A197" s="110" t="n"/>
      <c r="B197" s="110" t="n"/>
      <c r="C197" s="110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</row>
    <row r="198">
      <c r="A198" s="110" t="n"/>
      <c r="B198" s="110" t="n"/>
      <c r="C198" s="110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</row>
    <row r="199">
      <c r="A199" s="110" t="n"/>
      <c r="B199" s="110" t="n"/>
      <c r="C199" s="110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</row>
    <row r="200">
      <c r="A200" s="110" t="n"/>
      <c r="B200" s="110" t="n"/>
      <c r="C200" s="110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</row>
    <row r="201">
      <c r="A201" s="110" t="n"/>
      <c r="B201" s="110" t="n"/>
      <c r="C201" s="110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</row>
    <row r="202">
      <c r="A202" s="110" t="n"/>
      <c r="B202" s="110" t="n"/>
      <c r="C202" s="110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</row>
    <row r="203">
      <c r="A203" s="110" t="n"/>
      <c r="B203" s="110" t="n"/>
      <c r="C203" s="110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</row>
    <row r="204">
      <c r="A204" s="110" t="n"/>
      <c r="B204" s="110" t="n"/>
      <c r="C204" s="110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</row>
  </sheetData>
  <mergeCells count="2">
    <mergeCell ref="A2:L2"/>
    <mergeCell ref="A1:L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6" t="inlineStr">
        <is>
          <t>16. TEMPLATE IMPORTAÇÃO CP</t>
        </is>
      </c>
    </row>
    <row r="2">
      <c r="A2" t="inlineStr">
        <is>
          <t>Cole aqui o export bruto do contas a pagar do novo mês, normalize e depois leve para a aba 3. Contas a Pagar.</t>
        </is>
      </c>
    </row>
    <row r="4">
      <c r="A4" s="98" t="inlineStr">
        <is>
          <t>ID gasto</t>
        </is>
      </c>
      <c r="B4" s="98" t="inlineStr">
        <is>
          <t>Fornecedor</t>
        </is>
      </c>
      <c r="C4" s="98" t="inlineStr">
        <is>
          <t>Categoria</t>
        </is>
      </c>
      <c r="D4" s="98" t="inlineStr">
        <is>
          <t>Emissão</t>
        </is>
      </c>
      <c r="E4" s="98" t="inlineStr">
        <is>
          <t>Vencimento</t>
        </is>
      </c>
      <c r="F4" s="98" t="inlineStr">
        <is>
          <t>Pagamento</t>
        </is>
      </c>
      <c r="G4" s="98" t="inlineStr">
        <is>
          <t>Valor</t>
        </is>
      </c>
      <c r="H4" s="98" t="inlineStr">
        <is>
          <t>Status</t>
        </is>
      </c>
      <c r="I4" s="98" t="inlineStr">
        <is>
          <t>Tipo</t>
        </is>
      </c>
      <c r="J4" s="98" t="inlineStr">
        <is>
          <t>Observação</t>
        </is>
      </c>
    </row>
    <row r="5">
      <c r="A5" s="110" t="n"/>
      <c r="B5" s="110" t="n"/>
      <c r="C5" s="110" t="n"/>
      <c r="D5" s="110" t="n"/>
      <c r="E5" s="110" t="n"/>
      <c r="F5" s="110" t="n"/>
      <c r="G5" s="110" t="n"/>
      <c r="H5" s="110" t="n"/>
      <c r="I5" s="110" t="n"/>
      <c r="J5" s="110" t="n"/>
    </row>
    <row r="6">
      <c r="A6" s="110" t="n"/>
      <c r="B6" s="110" t="n"/>
      <c r="C6" s="110" t="n"/>
      <c r="D6" s="110" t="n"/>
      <c r="E6" s="110" t="n"/>
      <c r="F6" s="110" t="n"/>
      <c r="G6" s="110" t="n"/>
      <c r="H6" s="110" t="n"/>
      <c r="I6" s="110" t="n"/>
      <c r="J6" s="110" t="n"/>
    </row>
    <row r="7">
      <c r="A7" s="110" t="n"/>
      <c r="B7" s="110" t="n"/>
      <c r="C7" s="110" t="n"/>
      <c r="D7" s="110" t="n"/>
      <c r="E7" s="110" t="n"/>
      <c r="F7" s="110" t="n"/>
      <c r="G7" s="110" t="n"/>
      <c r="H7" s="110" t="n"/>
      <c r="I7" s="110" t="n"/>
      <c r="J7" s="110" t="n"/>
    </row>
    <row r="8">
      <c r="A8" s="110" t="n"/>
      <c r="B8" s="110" t="n"/>
      <c r="C8" s="110" t="n"/>
      <c r="D8" s="110" t="n"/>
      <c r="E8" s="110" t="n"/>
      <c r="F8" s="110" t="n"/>
      <c r="G8" s="110" t="n"/>
      <c r="H8" s="110" t="n"/>
      <c r="I8" s="110" t="n"/>
      <c r="J8" s="110" t="n"/>
    </row>
    <row r="9">
      <c r="A9" s="110" t="n"/>
      <c r="B9" s="110" t="n"/>
      <c r="C9" s="110" t="n"/>
      <c r="D9" s="110" t="n"/>
      <c r="E9" s="110" t="n"/>
      <c r="F9" s="110" t="n"/>
      <c r="G9" s="110" t="n"/>
      <c r="H9" s="110" t="n"/>
      <c r="I9" s="110" t="n"/>
      <c r="J9" s="110" t="n"/>
    </row>
    <row r="10">
      <c r="A10" s="110" t="n"/>
      <c r="B10" s="110" t="n"/>
      <c r="C10" s="110" t="n"/>
      <c r="D10" s="110" t="n"/>
      <c r="E10" s="110" t="n"/>
      <c r="F10" s="110" t="n"/>
      <c r="G10" s="110" t="n"/>
      <c r="H10" s="110" t="n"/>
      <c r="I10" s="110" t="n"/>
      <c r="J10" s="110" t="n"/>
    </row>
    <row r="11">
      <c r="A11" s="110" t="n"/>
      <c r="B11" s="110" t="n"/>
      <c r="C11" s="110" t="n"/>
      <c r="D11" s="110" t="n"/>
      <c r="E11" s="110" t="n"/>
      <c r="F11" s="110" t="n"/>
      <c r="G11" s="110" t="n"/>
      <c r="H11" s="110" t="n"/>
      <c r="I11" s="110" t="n"/>
      <c r="J11" s="110" t="n"/>
    </row>
    <row r="12">
      <c r="A12" s="110" t="n"/>
      <c r="B12" s="110" t="n"/>
      <c r="C12" s="110" t="n"/>
      <c r="D12" s="110" t="n"/>
      <c r="E12" s="110" t="n"/>
      <c r="F12" s="110" t="n"/>
      <c r="G12" s="110" t="n"/>
      <c r="H12" s="110" t="n"/>
      <c r="I12" s="110" t="n"/>
      <c r="J12" s="110" t="n"/>
    </row>
    <row r="13">
      <c r="A13" s="110" t="n"/>
      <c r="B13" s="110" t="n"/>
      <c r="C13" s="110" t="n"/>
      <c r="D13" s="110" t="n"/>
      <c r="E13" s="110" t="n"/>
      <c r="F13" s="110" t="n"/>
      <c r="G13" s="110" t="n"/>
      <c r="H13" s="110" t="n"/>
      <c r="I13" s="110" t="n"/>
      <c r="J13" s="110" t="n"/>
    </row>
    <row r="14">
      <c r="A14" s="110" t="n"/>
      <c r="B14" s="110" t="n"/>
      <c r="C14" s="110" t="n"/>
      <c r="D14" s="110" t="n"/>
      <c r="E14" s="110" t="n"/>
      <c r="F14" s="110" t="n"/>
      <c r="G14" s="110" t="n"/>
      <c r="H14" s="110" t="n"/>
      <c r="I14" s="110" t="n"/>
      <c r="J14" s="110" t="n"/>
    </row>
    <row r="15">
      <c r="A15" s="110" t="n"/>
      <c r="B15" s="110" t="n"/>
      <c r="C15" s="110" t="n"/>
      <c r="D15" s="110" t="n"/>
      <c r="E15" s="110" t="n"/>
      <c r="F15" s="110" t="n"/>
      <c r="G15" s="110" t="n"/>
      <c r="H15" s="110" t="n"/>
      <c r="I15" s="110" t="n"/>
      <c r="J15" s="110" t="n"/>
    </row>
    <row r="16">
      <c r="A16" s="110" t="n"/>
      <c r="B16" s="110" t="n"/>
      <c r="C16" s="110" t="n"/>
      <c r="D16" s="110" t="n"/>
      <c r="E16" s="110" t="n"/>
      <c r="F16" s="110" t="n"/>
      <c r="G16" s="110" t="n"/>
      <c r="H16" s="110" t="n"/>
      <c r="I16" s="110" t="n"/>
      <c r="J16" s="110" t="n"/>
    </row>
    <row r="17">
      <c r="A17" s="110" t="n"/>
      <c r="B17" s="110" t="n"/>
      <c r="C17" s="110" t="n"/>
      <c r="D17" s="110" t="n"/>
      <c r="E17" s="110" t="n"/>
      <c r="F17" s="110" t="n"/>
      <c r="G17" s="110" t="n"/>
      <c r="H17" s="110" t="n"/>
      <c r="I17" s="110" t="n"/>
      <c r="J17" s="110" t="n"/>
    </row>
    <row r="18">
      <c r="A18" s="110" t="n"/>
      <c r="B18" s="110" t="n"/>
      <c r="C18" s="110" t="n"/>
      <c r="D18" s="110" t="n"/>
      <c r="E18" s="110" t="n"/>
      <c r="F18" s="110" t="n"/>
      <c r="G18" s="110" t="n"/>
      <c r="H18" s="110" t="n"/>
      <c r="I18" s="110" t="n"/>
      <c r="J18" s="110" t="n"/>
    </row>
    <row r="19">
      <c r="A19" s="110" t="n"/>
      <c r="B19" s="110" t="n"/>
      <c r="C19" s="110" t="n"/>
      <c r="D19" s="110" t="n"/>
      <c r="E19" s="110" t="n"/>
      <c r="F19" s="110" t="n"/>
      <c r="G19" s="110" t="n"/>
      <c r="H19" s="110" t="n"/>
      <c r="I19" s="110" t="n"/>
      <c r="J19" s="110" t="n"/>
    </row>
    <row r="20">
      <c r="A20" s="110" t="n"/>
      <c r="B20" s="110" t="n"/>
      <c r="C20" s="110" t="n"/>
      <c r="D20" s="110" t="n"/>
      <c r="E20" s="110" t="n"/>
      <c r="F20" s="110" t="n"/>
      <c r="G20" s="110" t="n"/>
      <c r="H20" s="110" t="n"/>
      <c r="I20" s="110" t="n"/>
      <c r="J20" s="110" t="n"/>
    </row>
    <row r="21">
      <c r="A21" s="110" t="n"/>
      <c r="B21" s="110" t="n"/>
      <c r="C21" s="110" t="n"/>
      <c r="D21" s="110" t="n"/>
      <c r="E21" s="110" t="n"/>
      <c r="F21" s="110" t="n"/>
      <c r="G21" s="110" t="n"/>
      <c r="H21" s="110" t="n"/>
      <c r="I21" s="110" t="n"/>
      <c r="J21" s="110" t="n"/>
    </row>
    <row r="22">
      <c r="A22" s="110" t="n"/>
      <c r="B22" s="110" t="n"/>
      <c r="C22" s="110" t="n"/>
      <c r="D22" s="110" t="n"/>
      <c r="E22" s="110" t="n"/>
      <c r="F22" s="110" t="n"/>
      <c r="G22" s="110" t="n"/>
      <c r="H22" s="110" t="n"/>
      <c r="I22" s="110" t="n"/>
      <c r="J22" s="110" t="n"/>
    </row>
    <row r="23">
      <c r="A23" s="110" t="n"/>
      <c r="B23" s="110" t="n"/>
      <c r="C23" s="110" t="n"/>
      <c r="D23" s="110" t="n"/>
      <c r="E23" s="110" t="n"/>
      <c r="F23" s="110" t="n"/>
      <c r="G23" s="110" t="n"/>
      <c r="H23" s="110" t="n"/>
      <c r="I23" s="110" t="n"/>
      <c r="J23" s="110" t="n"/>
    </row>
    <row r="24">
      <c r="A24" s="110" t="n"/>
      <c r="B24" s="110" t="n"/>
      <c r="C24" s="110" t="n"/>
      <c r="D24" s="110" t="n"/>
      <c r="E24" s="110" t="n"/>
      <c r="F24" s="110" t="n"/>
      <c r="G24" s="110" t="n"/>
      <c r="H24" s="110" t="n"/>
      <c r="I24" s="110" t="n"/>
      <c r="J24" s="110" t="n"/>
    </row>
    <row r="25">
      <c r="A25" s="110" t="n"/>
      <c r="B25" s="110" t="n"/>
      <c r="C25" s="110" t="n"/>
      <c r="D25" s="110" t="n"/>
      <c r="E25" s="110" t="n"/>
      <c r="F25" s="110" t="n"/>
      <c r="G25" s="110" t="n"/>
      <c r="H25" s="110" t="n"/>
      <c r="I25" s="110" t="n"/>
      <c r="J25" s="110" t="n"/>
    </row>
    <row r="26">
      <c r="A26" s="110" t="n"/>
      <c r="B26" s="110" t="n"/>
      <c r="C26" s="110" t="n"/>
      <c r="D26" s="110" t="n"/>
      <c r="E26" s="110" t="n"/>
      <c r="F26" s="110" t="n"/>
      <c r="G26" s="110" t="n"/>
      <c r="H26" s="110" t="n"/>
      <c r="I26" s="110" t="n"/>
      <c r="J26" s="110" t="n"/>
    </row>
    <row r="27">
      <c r="A27" s="110" t="n"/>
      <c r="B27" s="110" t="n"/>
      <c r="C27" s="110" t="n"/>
      <c r="D27" s="110" t="n"/>
      <c r="E27" s="110" t="n"/>
      <c r="F27" s="110" t="n"/>
      <c r="G27" s="110" t="n"/>
      <c r="H27" s="110" t="n"/>
      <c r="I27" s="110" t="n"/>
      <c r="J27" s="110" t="n"/>
    </row>
    <row r="28">
      <c r="A28" s="110" t="n"/>
      <c r="B28" s="110" t="n"/>
      <c r="C28" s="110" t="n"/>
      <c r="D28" s="110" t="n"/>
      <c r="E28" s="110" t="n"/>
      <c r="F28" s="110" t="n"/>
      <c r="G28" s="110" t="n"/>
      <c r="H28" s="110" t="n"/>
      <c r="I28" s="110" t="n"/>
      <c r="J28" s="110" t="n"/>
    </row>
    <row r="29">
      <c r="A29" s="110" t="n"/>
      <c r="B29" s="110" t="n"/>
      <c r="C29" s="110" t="n"/>
      <c r="D29" s="110" t="n"/>
      <c r="E29" s="110" t="n"/>
      <c r="F29" s="110" t="n"/>
      <c r="G29" s="110" t="n"/>
      <c r="H29" s="110" t="n"/>
      <c r="I29" s="110" t="n"/>
      <c r="J29" s="110" t="n"/>
    </row>
    <row r="30">
      <c r="A30" s="110" t="n"/>
      <c r="B30" s="110" t="n"/>
      <c r="C30" s="110" t="n"/>
      <c r="D30" s="110" t="n"/>
      <c r="E30" s="110" t="n"/>
      <c r="F30" s="110" t="n"/>
      <c r="G30" s="110" t="n"/>
      <c r="H30" s="110" t="n"/>
      <c r="I30" s="110" t="n"/>
      <c r="J30" s="110" t="n"/>
    </row>
    <row r="31">
      <c r="A31" s="110" t="n"/>
      <c r="B31" s="110" t="n"/>
      <c r="C31" s="110" t="n"/>
      <c r="D31" s="110" t="n"/>
      <c r="E31" s="110" t="n"/>
      <c r="F31" s="110" t="n"/>
      <c r="G31" s="110" t="n"/>
      <c r="H31" s="110" t="n"/>
      <c r="I31" s="110" t="n"/>
      <c r="J31" s="110" t="n"/>
    </row>
    <row r="32">
      <c r="A32" s="110" t="n"/>
      <c r="B32" s="110" t="n"/>
      <c r="C32" s="110" t="n"/>
      <c r="D32" s="110" t="n"/>
      <c r="E32" s="110" t="n"/>
      <c r="F32" s="110" t="n"/>
      <c r="G32" s="110" t="n"/>
      <c r="H32" s="110" t="n"/>
      <c r="I32" s="110" t="n"/>
      <c r="J32" s="110" t="n"/>
    </row>
    <row r="33">
      <c r="A33" s="110" t="n"/>
      <c r="B33" s="110" t="n"/>
      <c r="C33" s="110" t="n"/>
      <c r="D33" s="110" t="n"/>
      <c r="E33" s="110" t="n"/>
      <c r="F33" s="110" t="n"/>
      <c r="G33" s="110" t="n"/>
      <c r="H33" s="110" t="n"/>
      <c r="I33" s="110" t="n"/>
      <c r="J33" s="110" t="n"/>
    </row>
    <row r="34">
      <c r="A34" s="110" t="n"/>
      <c r="B34" s="110" t="n"/>
      <c r="C34" s="110" t="n"/>
      <c r="D34" s="110" t="n"/>
      <c r="E34" s="110" t="n"/>
      <c r="F34" s="110" t="n"/>
      <c r="G34" s="110" t="n"/>
      <c r="H34" s="110" t="n"/>
      <c r="I34" s="110" t="n"/>
      <c r="J34" s="110" t="n"/>
    </row>
    <row r="35">
      <c r="A35" s="110" t="n"/>
      <c r="B35" s="110" t="n"/>
      <c r="C35" s="110" t="n"/>
      <c r="D35" s="110" t="n"/>
      <c r="E35" s="110" t="n"/>
      <c r="F35" s="110" t="n"/>
      <c r="G35" s="110" t="n"/>
      <c r="H35" s="110" t="n"/>
      <c r="I35" s="110" t="n"/>
      <c r="J35" s="110" t="n"/>
    </row>
    <row r="36">
      <c r="A36" s="110" t="n"/>
      <c r="B36" s="110" t="n"/>
      <c r="C36" s="110" t="n"/>
      <c r="D36" s="110" t="n"/>
      <c r="E36" s="110" t="n"/>
      <c r="F36" s="110" t="n"/>
      <c r="G36" s="110" t="n"/>
      <c r="H36" s="110" t="n"/>
      <c r="I36" s="110" t="n"/>
      <c r="J36" s="110" t="n"/>
    </row>
    <row r="37">
      <c r="A37" s="110" t="n"/>
      <c r="B37" s="110" t="n"/>
      <c r="C37" s="110" t="n"/>
      <c r="D37" s="110" t="n"/>
      <c r="E37" s="110" t="n"/>
      <c r="F37" s="110" t="n"/>
      <c r="G37" s="110" t="n"/>
      <c r="H37" s="110" t="n"/>
      <c r="I37" s="110" t="n"/>
      <c r="J37" s="110" t="n"/>
    </row>
    <row r="38">
      <c r="A38" s="110" t="n"/>
      <c r="B38" s="110" t="n"/>
      <c r="C38" s="110" t="n"/>
      <c r="D38" s="110" t="n"/>
      <c r="E38" s="110" t="n"/>
      <c r="F38" s="110" t="n"/>
      <c r="G38" s="110" t="n"/>
      <c r="H38" s="110" t="n"/>
      <c r="I38" s="110" t="n"/>
      <c r="J38" s="110" t="n"/>
    </row>
    <row r="39">
      <c r="A39" s="110" t="n"/>
      <c r="B39" s="110" t="n"/>
      <c r="C39" s="110" t="n"/>
      <c r="D39" s="110" t="n"/>
      <c r="E39" s="110" t="n"/>
      <c r="F39" s="110" t="n"/>
      <c r="G39" s="110" t="n"/>
      <c r="H39" s="110" t="n"/>
      <c r="I39" s="110" t="n"/>
      <c r="J39" s="110" t="n"/>
    </row>
    <row r="40">
      <c r="A40" s="110" t="n"/>
      <c r="B40" s="110" t="n"/>
      <c r="C40" s="110" t="n"/>
      <c r="D40" s="110" t="n"/>
      <c r="E40" s="110" t="n"/>
      <c r="F40" s="110" t="n"/>
      <c r="G40" s="110" t="n"/>
      <c r="H40" s="110" t="n"/>
      <c r="I40" s="110" t="n"/>
      <c r="J40" s="110" t="n"/>
    </row>
    <row r="41">
      <c r="A41" s="110" t="n"/>
      <c r="B41" s="110" t="n"/>
      <c r="C41" s="110" t="n"/>
      <c r="D41" s="110" t="n"/>
      <c r="E41" s="110" t="n"/>
      <c r="F41" s="110" t="n"/>
      <c r="G41" s="110" t="n"/>
      <c r="H41" s="110" t="n"/>
      <c r="I41" s="110" t="n"/>
      <c r="J41" s="110" t="n"/>
    </row>
    <row r="42">
      <c r="A42" s="110" t="n"/>
      <c r="B42" s="110" t="n"/>
      <c r="C42" s="110" t="n"/>
      <c r="D42" s="110" t="n"/>
      <c r="E42" s="110" t="n"/>
      <c r="F42" s="110" t="n"/>
      <c r="G42" s="110" t="n"/>
      <c r="H42" s="110" t="n"/>
      <c r="I42" s="110" t="n"/>
      <c r="J42" s="110" t="n"/>
    </row>
    <row r="43">
      <c r="A43" s="110" t="n"/>
      <c r="B43" s="110" t="n"/>
      <c r="C43" s="110" t="n"/>
      <c r="D43" s="110" t="n"/>
      <c r="E43" s="110" t="n"/>
      <c r="F43" s="110" t="n"/>
      <c r="G43" s="110" t="n"/>
      <c r="H43" s="110" t="n"/>
      <c r="I43" s="110" t="n"/>
      <c r="J43" s="110" t="n"/>
    </row>
    <row r="44">
      <c r="A44" s="110" t="n"/>
      <c r="B44" s="110" t="n"/>
      <c r="C44" s="110" t="n"/>
      <c r="D44" s="110" t="n"/>
      <c r="E44" s="110" t="n"/>
      <c r="F44" s="110" t="n"/>
      <c r="G44" s="110" t="n"/>
      <c r="H44" s="110" t="n"/>
      <c r="I44" s="110" t="n"/>
      <c r="J44" s="110" t="n"/>
    </row>
    <row r="45">
      <c r="A45" s="110" t="n"/>
      <c r="B45" s="110" t="n"/>
      <c r="C45" s="110" t="n"/>
      <c r="D45" s="110" t="n"/>
      <c r="E45" s="110" t="n"/>
      <c r="F45" s="110" t="n"/>
      <c r="G45" s="110" t="n"/>
      <c r="H45" s="110" t="n"/>
      <c r="I45" s="110" t="n"/>
      <c r="J45" s="110" t="n"/>
    </row>
    <row r="46">
      <c r="A46" s="110" t="n"/>
      <c r="B46" s="110" t="n"/>
      <c r="C46" s="110" t="n"/>
      <c r="D46" s="110" t="n"/>
      <c r="E46" s="110" t="n"/>
      <c r="F46" s="110" t="n"/>
      <c r="G46" s="110" t="n"/>
      <c r="H46" s="110" t="n"/>
      <c r="I46" s="110" t="n"/>
      <c r="J46" s="110" t="n"/>
    </row>
    <row r="47">
      <c r="A47" s="110" t="n"/>
      <c r="B47" s="110" t="n"/>
      <c r="C47" s="110" t="n"/>
      <c r="D47" s="110" t="n"/>
      <c r="E47" s="110" t="n"/>
      <c r="F47" s="110" t="n"/>
      <c r="G47" s="110" t="n"/>
      <c r="H47" s="110" t="n"/>
      <c r="I47" s="110" t="n"/>
      <c r="J47" s="110" t="n"/>
    </row>
    <row r="48">
      <c r="A48" s="110" t="n"/>
      <c r="B48" s="110" t="n"/>
      <c r="C48" s="110" t="n"/>
      <c r="D48" s="110" t="n"/>
      <c r="E48" s="110" t="n"/>
      <c r="F48" s="110" t="n"/>
      <c r="G48" s="110" t="n"/>
      <c r="H48" s="110" t="n"/>
      <c r="I48" s="110" t="n"/>
      <c r="J48" s="110" t="n"/>
    </row>
    <row r="49">
      <c r="A49" s="110" t="n"/>
      <c r="B49" s="110" t="n"/>
      <c r="C49" s="110" t="n"/>
      <c r="D49" s="110" t="n"/>
      <c r="E49" s="110" t="n"/>
      <c r="F49" s="110" t="n"/>
      <c r="G49" s="110" t="n"/>
      <c r="H49" s="110" t="n"/>
      <c r="I49" s="110" t="n"/>
      <c r="J49" s="110" t="n"/>
    </row>
    <row r="50">
      <c r="A50" s="110" t="n"/>
      <c r="B50" s="110" t="n"/>
      <c r="C50" s="110" t="n"/>
      <c r="D50" s="110" t="n"/>
      <c r="E50" s="110" t="n"/>
      <c r="F50" s="110" t="n"/>
      <c r="G50" s="110" t="n"/>
      <c r="H50" s="110" t="n"/>
      <c r="I50" s="110" t="n"/>
      <c r="J50" s="110" t="n"/>
    </row>
    <row r="51">
      <c r="A51" s="110" t="n"/>
      <c r="B51" s="110" t="n"/>
      <c r="C51" s="110" t="n"/>
      <c r="D51" s="110" t="n"/>
      <c r="E51" s="110" t="n"/>
      <c r="F51" s="110" t="n"/>
      <c r="G51" s="110" t="n"/>
      <c r="H51" s="110" t="n"/>
      <c r="I51" s="110" t="n"/>
      <c r="J51" s="110" t="n"/>
    </row>
    <row r="52">
      <c r="A52" s="110" t="n"/>
      <c r="B52" s="110" t="n"/>
      <c r="C52" s="110" t="n"/>
      <c r="D52" s="110" t="n"/>
      <c r="E52" s="110" t="n"/>
      <c r="F52" s="110" t="n"/>
      <c r="G52" s="110" t="n"/>
      <c r="H52" s="110" t="n"/>
      <c r="I52" s="110" t="n"/>
      <c r="J52" s="110" t="n"/>
    </row>
    <row r="53">
      <c r="A53" s="110" t="n"/>
      <c r="B53" s="110" t="n"/>
      <c r="C53" s="110" t="n"/>
      <c r="D53" s="110" t="n"/>
      <c r="E53" s="110" t="n"/>
      <c r="F53" s="110" t="n"/>
      <c r="G53" s="110" t="n"/>
      <c r="H53" s="110" t="n"/>
      <c r="I53" s="110" t="n"/>
      <c r="J53" s="110" t="n"/>
    </row>
    <row r="54">
      <c r="A54" s="110" t="n"/>
      <c r="B54" s="110" t="n"/>
      <c r="C54" s="110" t="n"/>
      <c r="D54" s="110" t="n"/>
      <c r="E54" s="110" t="n"/>
      <c r="F54" s="110" t="n"/>
      <c r="G54" s="110" t="n"/>
      <c r="H54" s="110" t="n"/>
      <c r="I54" s="110" t="n"/>
      <c r="J54" s="110" t="n"/>
    </row>
    <row r="55">
      <c r="A55" s="110" t="n"/>
      <c r="B55" s="110" t="n"/>
      <c r="C55" s="110" t="n"/>
      <c r="D55" s="110" t="n"/>
      <c r="E55" s="110" t="n"/>
      <c r="F55" s="110" t="n"/>
      <c r="G55" s="110" t="n"/>
      <c r="H55" s="110" t="n"/>
      <c r="I55" s="110" t="n"/>
      <c r="J55" s="110" t="n"/>
    </row>
    <row r="56">
      <c r="A56" s="110" t="n"/>
      <c r="B56" s="110" t="n"/>
      <c r="C56" s="110" t="n"/>
      <c r="D56" s="110" t="n"/>
      <c r="E56" s="110" t="n"/>
      <c r="F56" s="110" t="n"/>
      <c r="G56" s="110" t="n"/>
      <c r="H56" s="110" t="n"/>
      <c r="I56" s="110" t="n"/>
      <c r="J56" s="110" t="n"/>
    </row>
    <row r="57">
      <c r="A57" s="110" t="n"/>
      <c r="B57" s="110" t="n"/>
      <c r="C57" s="110" t="n"/>
      <c r="D57" s="110" t="n"/>
      <c r="E57" s="110" t="n"/>
      <c r="F57" s="110" t="n"/>
      <c r="G57" s="110" t="n"/>
      <c r="H57" s="110" t="n"/>
      <c r="I57" s="110" t="n"/>
      <c r="J57" s="110" t="n"/>
    </row>
    <row r="58">
      <c r="A58" s="110" t="n"/>
      <c r="B58" s="110" t="n"/>
      <c r="C58" s="110" t="n"/>
      <c r="D58" s="110" t="n"/>
      <c r="E58" s="110" t="n"/>
      <c r="F58" s="110" t="n"/>
      <c r="G58" s="110" t="n"/>
      <c r="H58" s="110" t="n"/>
      <c r="I58" s="110" t="n"/>
      <c r="J58" s="110" t="n"/>
    </row>
    <row r="59">
      <c r="A59" s="110" t="n"/>
      <c r="B59" s="110" t="n"/>
      <c r="C59" s="110" t="n"/>
      <c r="D59" s="110" t="n"/>
      <c r="E59" s="110" t="n"/>
      <c r="F59" s="110" t="n"/>
      <c r="G59" s="110" t="n"/>
      <c r="H59" s="110" t="n"/>
      <c r="I59" s="110" t="n"/>
      <c r="J59" s="110" t="n"/>
    </row>
    <row r="60">
      <c r="A60" s="110" t="n"/>
      <c r="B60" s="110" t="n"/>
      <c r="C60" s="110" t="n"/>
      <c r="D60" s="110" t="n"/>
      <c r="E60" s="110" t="n"/>
      <c r="F60" s="110" t="n"/>
      <c r="G60" s="110" t="n"/>
      <c r="H60" s="110" t="n"/>
      <c r="I60" s="110" t="n"/>
      <c r="J60" s="110" t="n"/>
    </row>
    <row r="61">
      <c r="A61" s="110" t="n"/>
      <c r="B61" s="110" t="n"/>
      <c r="C61" s="110" t="n"/>
      <c r="D61" s="110" t="n"/>
      <c r="E61" s="110" t="n"/>
      <c r="F61" s="110" t="n"/>
      <c r="G61" s="110" t="n"/>
      <c r="H61" s="110" t="n"/>
      <c r="I61" s="110" t="n"/>
      <c r="J61" s="110" t="n"/>
    </row>
    <row r="62">
      <c r="A62" s="110" t="n"/>
      <c r="B62" s="110" t="n"/>
      <c r="C62" s="110" t="n"/>
      <c r="D62" s="110" t="n"/>
      <c r="E62" s="110" t="n"/>
      <c r="F62" s="110" t="n"/>
      <c r="G62" s="110" t="n"/>
      <c r="H62" s="110" t="n"/>
      <c r="I62" s="110" t="n"/>
      <c r="J62" s="110" t="n"/>
    </row>
    <row r="63">
      <c r="A63" s="110" t="n"/>
      <c r="B63" s="110" t="n"/>
      <c r="C63" s="110" t="n"/>
      <c r="D63" s="110" t="n"/>
      <c r="E63" s="110" t="n"/>
      <c r="F63" s="110" t="n"/>
      <c r="G63" s="110" t="n"/>
      <c r="H63" s="110" t="n"/>
      <c r="I63" s="110" t="n"/>
      <c r="J63" s="110" t="n"/>
    </row>
    <row r="64">
      <c r="A64" s="110" t="n"/>
      <c r="B64" s="110" t="n"/>
      <c r="C64" s="110" t="n"/>
      <c r="D64" s="110" t="n"/>
      <c r="E64" s="110" t="n"/>
      <c r="F64" s="110" t="n"/>
      <c r="G64" s="110" t="n"/>
      <c r="H64" s="110" t="n"/>
      <c r="I64" s="110" t="n"/>
      <c r="J64" s="110" t="n"/>
    </row>
    <row r="65">
      <c r="A65" s="110" t="n"/>
      <c r="B65" s="110" t="n"/>
      <c r="C65" s="110" t="n"/>
      <c r="D65" s="110" t="n"/>
      <c r="E65" s="110" t="n"/>
      <c r="F65" s="110" t="n"/>
      <c r="G65" s="110" t="n"/>
      <c r="H65" s="110" t="n"/>
      <c r="I65" s="110" t="n"/>
      <c r="J65" s="110" t="n"/>
    </row>
    <row r="66">
      <c r="A66" s="110" t="n"/>
      <c r="B66" s="110" t="n"/>
      <c r="C66" s="110" t="n"/>
      <c r="D66" s="110" t="n"/>
      <c r="E66" s="110" t="n"/>
      <c r="F66" s="110" t="n"/>
      <c r="G66" s="110" t="n"/>
      <c r="H66" s="110" t="n"/>
      <c r="I66" s="110" t="n"/>
      <c r="J66" s="110" t="n"/>
    </row>
    <row r="67">
      <c r="A67" s="110" t="n"/>
      <c r="B67" s="110" t="n"/>
      <c r="C67" s="110" t="n"/>
      <c r="D67" s="110" t="n"/>
      <c r="E67" s="110" t="n"/>
      <c r="F67" s="110" t="n"/>
      <c r="G67" s="110" t="n"/>
      <c r="H67" s="110" t="n"/>
      <c r="I67" s="110" t="n"/>
      <c r="J67" s="110" t="n"/>
    </row>
    <row r="68">
      <c r="A68" s="110" t="n"/>
      <c r="B68" s="110" t="n"/>
      <c r="C68" s="110" t="n"/>
      <c r="D68" s="110" t="n"/>
      <c r="E68" s="110" t="n"/>
      <c r="F68" s="110" t="n"/>
      <c r="G68" s="110" t="n"/>
      <c r="H68" s="110" t="n"/>
      <c r="I68" s="110" t="n"/>
      <c r="J68" s="110" t="n"/>
    </row>
    <row r="69">
      <c r="A69" s="110" t="n"/>
      <c r="B69" s="110" t="n"/>
      <c r="C69" s="110" t="n"/>
      <c r="D69" s="110" t="n"/>
      <c r="E69" s="110" t="n"/>
      <c r="F69" s="110" t="n"/>
      <c r="G69" s="110" t="n"/>
      <c r="H69" s="110" t="n"/>
      <c r="I69" s="110" t="n"/>
      <c r="J69" s="110" t="n"/>
    </row>
    <row r="70">
      <c r="A70" s="110" t="n"/>
      <c r="B70" s="110" t="n"/>
      <c r="C70" s="110" t="n"/>
      <c r="D70" s="110" t="n"/>
      <c r="E70" s="110" t="n"/>
      <c r="F70" s="110" t="n"/>
      <c r="G70" s="110" t="n"/>
      <c r="H70" s="110" t="n"/>
      <c r="I70" s="110" t="n"/>
      <c r="J70" s="110" t="n"/>
    </row>
    <row r="71">
      <c r="A71" s="110" t="n"/>
      <c r="B71" s="110" t="n"/>
      <c r="C71" s="110" t="n"/>
      <c r="D71" s="110" t="n"/>
      <c r="E71" s="110" t="n"/>
      <c r="F71" s="110" t="n"/>
      <c r="G71" s="110" t="n"/>
      <c r="H71" s="110" t="n"/>
      <c r="I71" s="110" t="n"/>
      <c r="J71" s="110" t="n"/>
    </row>
    <row r="72">
      <c r="A72" s="110" t="n"/>
      <c r="B72" s="110" t="n"/>
      <c r="C72" s="110" t="n"/>
      <c r="D72" s="110" t="n"/>
      <c r="E72" s="110" t="n"/>
      <c r="F72" s="110" t="n"/>
      <c r="G72" s="110" t="n"/>
      <c r="H72" s="110" t="n"/>
      <c r="I72" s="110" t="n"/>
      <c r="J72" s="110" t="n"/>
    </row>
    <row r="73">
      <c r="A73" s="110" t="n"/>
      <c r="B73" s="110" t="n"/>
      <c r="C73" s="110" t="n"/>
      <c r="D73" s="110" t="n"/>
      <c r="E73" s="110" t="n"/>
      <c r="F73" s="110" t="n"/>
      <c r="G73" s="110" t="n"/>
      <c r="H73" s="110" t="n"/>
      <c r="I73" s="110" t="n"/>
      <c r="J73" s="110" t="n"/>
    </row>
    <row r="74">
      <c r="A74" s="110" t="n"/>
      <c r="B74" s="110" t="n"/>
      <c r="C74" s="110" t="n"/>
      <c r="D74" s="110" t="n"/>
      <c r="E74" s="110" t="n"/>
      <c r="F74" s="110" t="n"/>
      <c r="G74" s="110" t="n"/>
      <c r="H74" s="110" t="n"/>
      <c r="I74" s="110" t="n"/>
      <c r="J74" s="110" t="n"/>
    </row>
    <row r="75">
      <c r="A75" s="110" t="n"/>
      <c r="B75" s="110" t="n"/>
      <c r="C75" s="110" t="n"/>
      <c r="D75" s="110" t="n"/>
      <c r="E75" s="110" t="n"/>
      <c r="F75" s="110" t="n"/>
      <c r="G75" s="110" t="n"/>
      <c r="H75" s="110" t="n"/>
      <c r="I75" s="110" t="n"/>
      <c r="J75" s="110" t="n"/>
    </row>
    <row r="76">
      <c r="A76" s="110" t="n"/>
      <c r="B76" s="110" t="n"/>
      <c r="C76" s="110" t="n"/>
      <c r="D76" s="110" t="n"/>
      <c r="E76" s="110" t="n"/>
      <c r="F76" s="110" t="n"/>
      <c r="G76" s="110" t="n"/>
      <c r="H76" s="110" t="n"/>
      <c r="I76" s="110" t="n"/>
      <c r="J76" s="110" t="n"/>
    </row>
    <row r="77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</row>
    <row r="78">
      <c r="A78" s="110" t="n"/>
      <c r="B78" s="110" t="n"/>
      <c r="C78" s="110" t="n"/>
      <c r="D78" s="110" t="n"/>
      <c r="E78" s="110" t="n"/>
      <c r="F78" s="110" t="n"/>
      <c r="G78" s="110" t="n"/>
      <c r="H78" s="110" t="n"/>
      <c r="I78" s="110" t="n"/>
      <c r="J78" s="110" t="n"/>
    </row>
    <row r="79">
      <c r="A79" s="110" t="n"/>
      <c r="B79" s="110" t="n"/>
      <c r="C79" s="110" t="n"/>
      <c r="D79" s="110" t="n"/>
      <c r="E79" s="110" t="n"/>
      <c r="F79" s="110" t="n"/>
      <c r="G79" s="110" t="n"/>
      <c r="H79" s="110" t="n"/>
      <c r="I79" s="110" t="n"/>
      <c r="J79" s="110" t="n"/>
    </row>
    <row r="80">
      <c r="A80" s="110" t="n"/>
      <c r="B80" s="110" t="n"/>
      <c r="C80" s="110" t="n"/>
      <c r="D80" s="110" t="n"/>
      <c r="E80" s="110" t="n"/>
      <c r="F80" s="110" t="n"/>
      <c r="G80" s="110" t="n"/>
      <c r="H80" s="110" t="n"/>
      <c r="I80" s="110" t="n"/>
      <c r="J80" s="110" t="n"/>
    </row>
    <row r="81">
      <c r="A81" s="110" t="n"/>
      <c r="B81" s="110" t="n"/>
      <c r="C81" s="110" t="n"/>
      <c r="D81" s="110" t="n"/>
      <c r="E81" s="110" t="n"/>
      <c r="F81" s="110" t="n"/>
      <c r="G81" s="110" t="n"/>
      <c r="H81" s="110" t="n"/>
      <c r="I81" s="110" t="n"/>
      <c r="J81" s="110" t="n"/>
    </row>
    <row r="82">
      <c r="A82" s="110" t="n"/>
      <c r="B82" s="110" t="n"/>
      <c r="C82" s="110" t="n"/>
      <c r="D82" s="110" t="n"/>
      <c r="E82" s="110" t="n"/>
      <c r="F82" s="110" t="n"/>
      <c r="G82" s="110" t="n"/>
      <c r="H82" s="110" t="n"/>
      <c r="I82" s="110" t="n"/>
      <c r="J82" s="110" t="n"/>
    </row>
    <row r="83">
      <c r="A83" s="110" t="n"/>
      <c r="B83" s="110" t="n"/>
      <c r="C83" s="110" t="n"/>
      <c r="D83" s="110" t="n"/>
      <c r="E83" s="110" t="n"/>
      <c r="F83" s="110" t="n"/>
      <c r="G83" s="110" t="n"/>
      <c r="H83" s="110" t="n"/>
      <c r="I83" s="110" t="n"/>
      <c r="J83" s="110" t="n"/>
    </row>
    <row r="84">
      <c r="A84" s="110" t="n"/>
      <c r="B84" s="110" t="n"/>
      <c r="C84" s="110" t="n"/>
      <c r="D84" s="110" t="n"/>
      <c r="E84" s="110" t="n"/>
      <c r="F84" s="110" t="n"/>
      <c r="G84" s="110" t="n"/>
      <c r="H84" s="110" t="n"/>
      <c r="I84" s="110" t="n"/>
      <c r="J84" s="110" t="n"/>
    </row>
    <row r="85">
      <c r="A85" s="110" t="n"/>
      <c r="B85" s="110" t="n"/>
      <c r="C85" s="110" t="n"/>
      <c r="D85" s="110" t="n"/>
      <c r="E85" s="110" t="n"/>
      <c r="F85" s="110" t="n"/>
      <c r="G85" s="110" t="n"/>
      <c r="H85" s="110" t="n"/>
      <c r="I85" s="110" t="n"/>
      <c r="J85" s="110" t="n"/>
    </row>
    <row r="86">
      <c r="A86" s="110" t="n"/>
      <c r="B86" s="110" t="n"/>
      <c r="C86" s="110" t="n"/>
      <c r="D86" s="110" t="n"/>
      <c r="E86" s="110" t="n"/>
      <c r="F86" s="110" t="n"/>
      <c r="G86" s="110" t="n"/>
      <c r="H86" s="110" t="n"/>
      <c r="I86" s="110" t="n"/>
      <c r="J86" s="110" t="n"/>
    </row>
    <row r="87">
      <c r="A87" s="110" t="n"/>
      <c r="B87" s="110" t="n"/>
      <c r="C87" s="110" t="n"/>
      <c r="D87" s="110" t="n"/>
      <c r="E87" s="110" t="n"/>
      <c r="F87" s="110" t="n"/>
      <c r="G87" s="110" t="n"/>
      <c r="H87" s="110" t="n"/>
      <c r="I87" s="110" t="n"/>
      <c r="J87" s="110" t="n"/>
    </row>
    <row r="88">
      <c r="A88" s="110" t="n"/>
      <c r="B88" s="110" t="n"/>
      <c r="C88" s="110" t="n"/>
      <c r="D88" s="110" t="n"/>
      <c r="E88" s="110" t="n"/>
      <c r="F88" s="110" t="n"/>
      <c r="G88" s="110" t="n"/>
      <c r="H88" s="110" t="n"/>
      <c r="I88" s="110" t="n"/>
      <c r="J88" s="110" t="n"/>
    </row>
    <row r="89">
      <c r="A89" s="110" t="n"/>
      <c r="B89" s="110" t="n"/>
      <c r="C89" s="110" t="n"/>
      <c r="D89" s="110" t="n"/>
      <c r="E89" s="110" t="n"/>
      <c r="F89" s="110" t="n"/>
      <c r="G89" s="110" t="n"/>
      <c r="H89" s="110" t="n"/>
      <c r="I89" s="110" t="n"/>
      <c r="J89" s="110" t="n"/>
    </row>
    <row r="90">
      <c r="A90" s="110" t="n"/>
      <c r="B90" s="110" t="n"/>
      <c r="C90" s="110" t="n"/>
      <c r="D90" s="110" t="n"/>
      <c r="E90" s="110" t="n"/>
      <c r="F90" s="110" t="n"/>
      <c r="G90" s="110" t="n"/>
      <c r="H90" s="110" t="n"/>
      <c r="I90" s="110" t="n"/>
      <c r="J90" s="110" t="n"/>
    </row>
    <row r="91">
      <c r="A91" s="110" t="n"/>
      <c r="B91" s="110" t="n"/>
      <c r="C91" s="110" t="n"/>
      <c r="D91" s="110" t="n"/>
      <c r="E91" s="110" t="n"/>
      <c r="F91" s="110" t="n"/>
      <c r="G91" s="110" t="n"/>
      <c r="H91" s="110" t="n"/>
      <c r="I91" s="110" t="n"/>
      <c r="J91" s="110" t="n"/>
    </row>
    <row r="92">
      <c r="A92" s="110" t="n"/>
      <c r="B92" s="110" t="n"/>
      <c r="C92" s="110" t="n"/>
      <c r="D92" s="110" t="n"/>
      <c r="E92" s="110" t="n"/>
      <c r="F92" s="110" t="n"/>
      <c r="G92" s="110" t="n"/>
      <c r="H92" s="110" t="n"/>
      <c r="I92" s="110" t="n"/>
      <c r="J92" s="110" t="n"/>
    </row>
    <row r="93">
      <c r="A93" s="110" t="n"/>
      <c r="B93" s="110" t="n"/>
      <c r="C93" s="110" t="n"/>
      <c r="D93" s="110" t="n"/>
      <c r="E93" s="110" t="n"/>
      <c r="F93" s="110" t="n"/>
      <c r="G93" s="110" t="n"/>
      <c r="H93" s="110" t="n"/>
      <c r="I93" s="110" t="n"/>
      <c r="J93" s="110" t="n"/>
    </row>
    <row r="94">
      <c r="A94" s="110" t="n"/>
      <c r="B94" s="110" t="n"/>
      <c r="C94" s="110" t="n"/>
      <c r="D94" s="110" t="n"/>
      <c r="E94" s="110" t="n"/>
      <c r="F94" s="110" t="n"/>
      <c r="G94" s="110" t="n"/>
      <c r="H94" s="110" t="n"/>
      <c r="I94" s="110" t="n"/>
      <c r="J94" s="110" t="n"/>
    </row>
    <row r="95">
      <c r="A95" s="110" t="n"/>
      <c r="B95" s="110" t="n"/>
      <c r="C95" s="110" t="n"/>
      <c r="D95" s="110" t="n"/>
      <c r="E95" s="110" t="n"/>
      <c r="F95" s="110" t="n"/>
      <c r="G95" s="110" t="n"/>
      <c r="H95" s="110" t="n"/>
      <c r="I95" s="110" t="n"/>
      <c r="J95" s="110" t="n"/>
    </row>
    <row r="96">
      <c r="A96" s="110" t="n"/>
      <c r="B96" s="110" t="n"/>
      <c r="C96" s="110" t="n"/>
      <c r="D96" s="110" t="n"/>
      <c r="E96" s="110" t="n"/>
      <c r="F96" s="110" t="n"/>
      <c r="G96" s="110" t="n"/>
      <c r="H96" s="110" t="n"/>
      <c r="I96" s="110" t="n"/>
      <c r="J96" s="110" t="n"/>
    </row>
    <row r="97">
      <c r="A97" s="110" t="n"/>
      <c r="B97" s="110" t="n"/>
      <c r="C97" s="110" t="n"/>
      <c r="D97" s="110" t="n"/>
      <c r="E97" s="110" t="n"/>
      <c r="F97" s="110" t="n"/>
      <c r="G97" s="110" t="n"/>
      <c r="H97" s="110" t="n"/>
      <c r="I97" s="110" t="n"/>
      <c r="J97" s="110" t="n"/>
    </row>
    <row r="98">
      <c r="A98" s="110" t="n"/>
      <c r="B98" s="110" t="n"/>
      <c r="C98" s="110" t="n"/>
      <c r="D98" s="110" t="n"/>
      <c r="E98" s="110" t="n"/>
      <c r="F98" s="110" t="n"/>
      <c r="G98" s="110" t="n"/>
      <c r="H98" s="110" t="n"/>
      <c r="I98" s="110" t="n"/>
      <c r="J98" s="110" t="n"/>
    </row>
    <row r="99">
      <c r="A99" s="110" t="n"/>
      <c r="B99" s="110" t="n"/>
      <c r="C99" s="110" t="n"/>
      <c r="D99" s="110" t="n"/>
      <c r="E99" s="110" t="n"/>
      <c r="F99" s="110" t="n"/>
      <c r="G99" s="110" t="n"/>
      <c r="H99" s="110" t="n"/>
      <c r="I99" s="110" t="n"/>
      <c r="J99" s="110" t="n"/>
    </row>
    <row r="100">
      <c r="A100" s="110" t="n"/>
      <c r="B100" s="110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</row>
    <row r="101">
      <c r="A101" s="110" t="n"/>
      <c r="B101" s="110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</row>
    <row r="102">
      <c r="A102" s="110" t="n"/>
      <c r="B102" s="110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</row>
    <row r="103">
      <c r="A103" s="110" t="n"/>
      <c r="B103" s="110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</row>
    <row r="104">
      <c r="A104" s="110" t="n"/>
      <c r="B104" s="110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</row>
    <row r="105">
      <c r="A105" s="110" t="n"/>
      <c r="B105" s="110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</row>
    <row r="106">
      <c r="A106" s="110" t="n"/>
      <c r="B106" s="110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</row>
    <row r="107">
      <c r="A107" s="110" t="n"/>
      <c r="B107" s="110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</row>
    <row r="108">
      <c r="A108" s="110" t="n"/>
      <c r="B108" s="110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</row>
    <row r="109">
      <c r="A109" s="110" t="n"/>
      <c r="B109" s="110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</row>
    <row r="110">
      <c r="A110" s="110" t="n"/>
      <c r="B110" s="110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</row>
    <row r="111">
      <c r="A111" s="110" t="n"/>
      <c r="B111" s="110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</row>
    <row r="112">
      <c r="A112" s="110" t="n"/>
      <c r="B112" s="110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</row>
    <row r="113">
      <c r="A113" s="110" t="n"/>
      <c r="B113" s="110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</row>
    <row r="114">
      <c r="A114" s="110" t="n"/>
      <c r="B114" s="110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</row>
    <row r="115">
      <c r="A115" s="110" t="n"/>
      <c r="B115" s="110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</row>
    <row r="116">
      <c r="A116" s="110" t="n"/>
      <c r="B116" s="110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</row>
    <row r="117">
      <c r="A117" s="110" t="n"/>
      <c r="B117" s="110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</row>
    <row r="118">
      <c r="A118" s="110" t="n"/>
      <c r="B118" s="110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</row>
    <row r="119">
      <c r="A119" s="110" t="n"/>
      <c r="B119" s="110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</row>
    <row r="120">
      <c r="A120" s="110" t="n"/>
      <c r="B120" s="110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</row>
    <row r="121">
      <c r="A121" s="110" t="n"/>
      <c r="B121" s="110" t="n"/>
      <c r="C121" s="110" t="n"/>
      <c r="D121" s="110" t="n"/>
      <c r="E121" s="110" t="n"/>
      <c r="F121" s="110" t="n"/>
      <c r="G121" s="110" t="n"/>
      <c r="H121" s="110" t="n"/>
      <c r="I121" s="110" t="n"/>
      <c r="J121" s="110" t="n"/>
    </row>
    <row r="122">
      <c r="A122" s="110" t="n"/>
      <c r="B122" s="110" t="n"/>
      <c r="C122" s="110" t="n"/>
      <c r="D122" s="110" t="n"/>
      <c r="E122" s="110" t="n"/>
      <c r="F122" s="110" t="n"/>
      <c r="G122" s="110" t="n"/>
      <c r="H122" s="110" t="n"/>
      <c r="I122" s="110" t="n"/>
      <c r="J122" s="110" t="n"/>
    </row>
    <row r="123">
      <c r="A123" s="110" t="n"/>
      <c r="B123" s="110" t="n"/>
      <c r="C123" s="110" t="n"/>
      <c r="D123" s="110" t="n"/>
      <c r="E123" s="110" t="n"/>
      <c r="F123" s="110" t="n"/>
      <c r="G123" s="110" t="n"/>
      <c r="H123" s="110" t="n"/>
      <c r="I123" s="110" t="n"/>
      <c r="J123" s="110" t="n"/>
    </row>
    <row r="124">
      <c r="A124" s="110" t="n"/>
      <c r="B124" s="110" t="n"/>
      <c r="C124" s="110" t="n"/>
      <c r="D124" s="110" t="n"/>
      <c r="E124" s="110" t="n"/>
      <c r="F124" s="110" t="n"/>
      <c r="G124" s="110" t="n"/>
      <c r="H124" s="110" t="n"/>
      <c r="I124" s="110" t="n"/>
      <c r="J124" s="110" t="n"/>
    </row>
    <row r="125">
      <c r="A125" s="110" t="n"/>
      <c r="B125" s="110" t="n"/>
      <c r="C125" s="110" t="n"/>
      <c r="D125" s="110" t="n"/>
      <c r="E125" s="110" t="n"/>
      <c r="F125" s="110" t="n"/>
      <c r="G125" s="110" t="n"/>
      <c r="H125" s="110" t="n"/>
      <c r="I125" s="110" t="n"/>
      <c r="J125" s="110" t="n"/>
    </row>
    <row r="126">
      <c r="A126" s="110" t="n"/>
      <c r="B126" s="110" t="n"/>
      <c r="C126" s="110" t="n"/>
      <c r="D126" s="110" t="n"/>
      <c r="E126" s="110" t="n"/>
      <c r="F126" s="110" t="n"/>
      <c r="G126" s="110" t="n"/>
      <c r="H126" s="110" t="n"/>
      <c r="I126" s="110" t="n"/>
      <c r="J126" s="110" t="n"/>
    </row>
    <row r="127">
      <c r="A127" s="110" t="n"/>
      <c r="B127" s="110" t="n"/>
      <c r="C127" s="110" t="n"/>
      <c r="D127" s="110" t="n"/>
      <c r="E127" s="110" t="n"/>
      <c r="F127" s="110" t="n"/>
      <c r="G127" s="110" t="n"/>
      <c r="H127" s="110" t="n"/>
      <c r="I127" s="110" t="n"/>
      <c r="J127" s="110" t="n"/>
    </row>
    <row r="128">
      <c r="A128" s="110" t="n"/>
      <c r="B128" s="110" t="n"/>
      <c r="C128" s="110" t="n"/>
      <c r="D128" s="110" t="n"/>
      <c r="E128" s="110" t="n"/>
      <c r="F128" s="110" t="n"/>
      <c r="G128" s="110" t="n"/>
      <c r="H128" s="110" t="n"/>
      <c r="I128" s="110" t="n"/>
      <c r="J128" s="110" t="n"/>
    </row>
    <row r="129">
      <c r="A129" s="110" t="n"/>
      <c r="B129" s="110" t="n"/>
      <c r="C129" s="110" t="n"/>
      <c r="D129" s="110" t="n"/>
      <c r="E129" s="110" t="n"/>
      <c r="F129" s="110" t="n"/>
      <c r="G129" s="110" t="n"/>
      <c r="H129" s="110" t="n"/>
      <c r="I129" s="110" t="n"/>
      <c r="J129" s="110" t="n"/>
    </row>
    <row r="130">
      <c r="A130" s="110" t="n"/>
      <c r="B130" s="110" t="n"/>
      <c r="C130" s="110" t="n"/>
      <c r="D130" s="110" t="n"/>
      <c r="E130" s="110" t="n"/>
      <c r="F130" s="110" t="n"/>
      <c r="G130" s="110" t="n"/>
      <c r="H130" s="110" t="n"/>
      <c r="I130" s="110" t="n"/>
      <c r="J130" s="110" t="n"/>
    </row>
    <row r="131">
      <c r="A131" s="110" t="n"/>
      <c r="B131" s="110" t="n"/>
      <c r="C131" s="110" t="n"/>
      <c r="D131" s="110" t="n"/>
      <c r="E131" s="110" t="n"/>
      <c r="F131" s="110" t="n"/>
      <c r="G131" s="110" t="n"/>
      <c r="H131" s="110" t="n"/>
      <c r="I131" s="110" t="n"/>
      <c r="J131" s="110" t="n"/>
    </row>
    <row r="132">
      <c r="A132" s="110" t="n"/>
      <c r="B132" s="110" t="n"/>
      <c r="C132" s="110" t="n"/>
      <c r="D132" s="110" t="n"/>
      <c r="E132" s="110" t="n"/>
      <c r="F132" s="110" t="n"/>
      <c r="G132" s="110" t="n"/>
      <c r="H132" s="110" t="n"/>
      <c r="I132" s="110" t="n"/>
      <c r="J132" s="110" t="n"/>
    </row>
    <row r="133">
      <c r="A133" s="110" t="n"/>
      <c r="B133" s="110" t="n"/>
      <c r="C133" s="110" t="n"/>
      <c r="D133" s="110" t="n"/>
      <c r="E133" s="110" t="n"/>
      <c r="F133" s="110" t="n"/>
      <c r="G133" s="110" t="n"/>
      <c r="H133" s="110" t="n"/>
      <c r="I133" s="110" t="n"/>
      <c r="J133" s="110" t="n"/>
    </row>
    <row r="134">
      <c r="A134" s="110" t="n"/>
      <c r="B134" s="110" t="n"/>
      <c r="C134" s="110" t="n"/>
      <c r="D134" s="110" t="n"/>
      <c r="E134" s="110" t="n"/>
      <c r="F134" s="110" t="n"/>
      <c r="G134" s="110" t="n"/>
      <c r="H134" s="110" t="n"/>
      <c r="I134" s="110" t="n"/>
      <c r="J134" s="110" t="n"/>
    </row>
    <row r="135">
      <c r="A135" s="110" t="n"/>
      <c r="B135" s="110" t="n"/>
      <c r="C135" s="110" t="n"/>
      <c r="D135" s="110" t="n"/>
      <c r="E135" s="110" t="n"/>
      <c r="F135" s="110" t="n"/>
      <c r="G135" s="110" t="n"/>
      <c r="H135" s="110" t="n"/>
      <c r="I135" s="110" t="n"/>
      <c r="J135" s="110" t="n"/>
    </row>
    <row r="136">
      <c r="A136" s="110" t="n"/>
      <c r="B136" s="110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</row>
    <row r="137">
      <c r="A137" s="110" t="n"/>
      <c r="B137" s="110" t="n"/>
      <c r="C137" s="110" t="n"/>
      <c r="D137" s="110" t="n"/>
      <c r="E137" s="110" t="n"/>
      <c r="F137" s="110" t="n"/>
      <c r="G137" s="110" t="n"/>
      <c r="H137" s="110" t="n"/>
      <c r="I137" s="110" t="n"/>
      <c r="J137" s="110" t="n"/>
    </row>
    <row r="138">
      <c r="A138" s="110" t="n"/>
      <c r="B138" s="110" t="n"/>
      <c r="C138" s="110" t="n"/>
      <c r="D138" s="110" t="n"/>
      <c r="E138" s="110" t="n"/>
      <c r="F138" s="110" t="n"/>
      <c r="G138" s="110" t="n"/>
      <c r="H138" s="110" t="n"/>
      <c r="I138" s="110" t="n"/>
      <c r="J138" s="110" t="n"/>
    </row>
    <row r="139">
      <c r="A139" s="110" t="n"/>
      <c r="B139" s="110" t="n"/>
      <c r="C139" s="110" t="n"/>
      <c r="D139" s="110" t="n"/>
      <c r="E139" s="110" t="n"/>
      <c r="F139" s="110" t="n"/>
      <c r="G139" s="110" t="n"/>
      <c r="H139" s="110" t="n"/>
      <c r="I139" s="110" t="n"/>
      <c r="J139" s="110" t="n"/>
    </row>
    <row r="140">
      <c r="A140" s="110" t="n"/>
      <c r="B140" s="110" t="n"/>
      <c r="C140" s="110" t="n"/>
      <c r="D140" s="110" t="n"/>
      <c r="E140" s="110" t="n"/>
      <c r="F140" s="110" t="n"/>
      <c r="G140" s="110" t="n"/>
      <c r="H140" s="110" t="n"/>
      <c r="I140" s="110" t="n"/>
      <c r="J140" s="110" t="n"/>
    </row>
    <row r="141">
      <c r="A141" s="110" t="n"/>
      <c r="B141" s="110" t="n"/>
      <c r="C141" s="110" t="n"/>
      <c r="D141" s="110" t="n"/>
      <c r="E141" s="110" t="n"/>
      <c r="F141" s="110" t="n"/>
      <c r="G141" s="110" t="n"/>
      <c r="H141" s="110" t="n"/>
      <c r="I141" s="110" t="n"/>
      <c r="J141" s="110" t="n"/>
    </row>
    <row r="142">
      <c r="A142" s="110" t="n"/>
      <c r="B142" s="110" t="n"/>
      <c r="C142" s="110" t="n"/>
      <c r="D142" s="110" t="n"/>
      <c r="E142" s="110" t="n"/>
      <c r="F142" s="110" t="n"/>
      <c r="G142" s="110" t="n"/>
      <c r="H142" s="110" t="n"/>
      <c r="I142" s="110" t="n"/>
      <c r="J142" s="110" t="n"/>
    </row>
    <row r="143">
      <c r="A143" s="110" t="n"/>
      <c r="B143" s="110" t="n"/>
      <c r="C143" s="110" t="n"/>
      <c r="D143" s="110" t="n"/>
      <c r="E143" s="110" t="n"/>
      <c r="F143" s="110" t="n"/>
      <c r="G143" s="110" t="n"/>
      <c r="H143" s="110" t="n"/>
      <c r="I143" s="110" t="n"/>
      <c r="J143" s="110" t="n"/>
    </row>
    <row r="144">
      <c r="A144" s="110" t="n"/>
      <c r="B144" s="110" t="n"/>
      <c r="C144" s="110" t="n"/>
      <c r="D144" s="110" t="n"/>
      <c r="E144" s="110" t="n"/>
      <c r="F144" s="110" t="n"/>
      <c r="G144" s="110" t="n"/>
      <c r="H144" s="110" t="n"/>
      <c r="I144" s="110" t="n"/>
      <c r="J144" s="110" t="n"/>
    </row>
    <row r="145">
      <c r="A145" s="110" t="n"/>
      <c r="B145" s="110" t="n"/>
      <c r="C145" s="110" t="n"/>
      <c r="D145" s="110" t="n"/>
      <c r="E145" s="110" t="n"/>
      <c r="F145" s="110" t="n"/>
      <c r="G145" s="110" t="n"/>
      <c r="H145" s="110" t="n"/>
      <c r="I145" s="110" t="n"/>
      <c r="J145" s="110" t="n"/>
    </row>
    <row r="146">
      <c r="A146" s="110" t="n"/>
      <c r="B146" s="110" t="n"/>
      <c r="C146" s="110" t="n"/>
      <c r="D146" s="110" t="n"/>
      <c r="E146" s="110" t="n"/>
      <c r="F146" s="110" t="n"/>
      <c r="G146" s="110" t="n"/>
      <c r="H146" s="110" t="n"/>
      <c r="I146" s="110" t="n"/>
      <c r="J146" s="110" t="n"/>
    </row>
    <row r="147">
      <c r="A147" s="110" t="n"/>
      <c r="B147" s="110" t="n"/>
      <c r="C147" s="110" t="n"/>
      <c r="D147" s="110" t="n"/>
      <c r="E147" s="110" t="n"/>
      <c r="F147" s="110" t="n"/>
      <c r="G147" s="110" t="n"/>
      <c r="H147" s="110" t="n"/>
      <c r="I147" s="110" t="n"/>
      <c r="J147" s="110" t="n"/>
    </row>
    <row r="148">
      <c r="A148" s="110" t="n"/>
      <c r="B148" s="110" t="n"/>
      <c r="C148" s="110" t="n"/>
      <c r="D148" s="110" t="n"/>
      <c r="E148" s="110" t="n"/>
      <c r="F148" s="110" t="n"/>
      <c r="G148" s="110" t="n"/>
      <c r="H148" s="110" t="n"/>
      <c r="I148" s="110" t="n"/>
      <c r="J148" s="110" t="n"/>
    </row>
    <row r="149">
      <c r="A149" s="110" t="n"/>
      <c r="B149" s="110" t="n"/>
      <c r="C149" s="110" t="n"/>
      <c r="D149" s="110" t="n"/>
      <c r="E149" s="110" t="n"/>
      <c r="F149" s="110" t="n"/>
      <c r="G149" s="110" t="n"/>
      <c r="H149" s="110" t="n"/>
      <c r="I149" s="110" t="n"/>
      <c r="J149" s="110" t="n"/>
    </row>
    <row r="150">
      <c r="A150" s="110" t="n"/>
      <c r="B150" s="110" t="n"/>
      <c r="C150" s="110" t="n"/>
      <c r="D150" s="110" t="n"/>
      <c r="E150" s="110" t="n"/>
      <c r="F150" s="110" t="n"/>
      <c r="G150" s="110" t="n"/>
      <c r="H150" s="110" t="n"/>
      <c r="I150" s="110" t="n"/>
      <c r="J150" s="110" t="n"/>
    </row>
    <row r="151">
      <c r="A151" s="110" t="n"/>
      <c r="B151" s="110" t="n"/>
      <c r="C151" s="110" t="n"/>
      <c r="D151" s="110" t="n"/>
      <c r="E151" s="110" t="n"/>
      <c r="F151" s="110" t="n"/>
      <c r="G151" s="110" t="n"/>
      <c r="H151" s="110" t="n"/>
      <c r="I151" s="110" t="n"/>
      <c r="J151" s="110" t="n"/>
    </row>
    <row r="152">
      <c r="A152" s="110" t="n"/>
      <c r="B152" s="110" t="n"/>
      <c r="C152" s="110" t="n"/>
      <c r="D152" s="110" t="n"/>
      <c r="E152" s="110" t="n"/>
      <c r="F152" s="110" t="n"/>
      <c r="G152" s="110" t="n"/>
      <c r="H152" s="110" t="n"/>
      <c r="I152" s="110" t="n"/>
      <c r="J152" s="110" t="n"/>
    </row>
    <row r="153">
      <c r="A153" s="110" t="n"/>
      <c r="B153" s="110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</row>
    <row r="154">
      <c r="A154" s="110" t="n"/>
      <c r="B154" s="110" t="n"/>
      <c r="C154" s="110" t="n"/>
      <c r="D154" s="110" t="n"/>
      <c r="E154" s="110" t="n"/>
      <c r="F154" s="110" t="n"/>
      <c r="G154" s="110" t="n"/>
      <c r="H154" s="110" t="n"/>
      <c r="I154" s="110" t="n"/>
      <c r="J154" s="110" t="n"/>
    </row>
    <row r="155">
      <c r="A155" s="110" t="n"/>
      <c r="B155" s="110" t="n"/>
      <c r="C155" s="110" t="n"/>
      <c r="D155" s="110" t="n"/>
      <c r="E155" s="110" t="n"/>
      <c r="F155" s="110" t="n"/>
      <c r="G155" s="110" t="n"/>
      <c r="H155" s="110" t="n"/>
      <c r="I155" s="110" t="n"/>
      <c r="J155" s="110" t="n"/>
    </row>
    <row r="156">
      <c r="A156" s="110" t="n"/>
      <c r="B156" s="110" t="n"/>
      <c r="C156" s="110" t="n"/>
      <c r="D156" s="110" t="n"/>
      <c r="E156" s="110" t="n"/>
      <c r="F156" s="110" t="n"/>
      <c r="G156" s="110" t="n"/>
      <c r="H156" s="110" t="n"/>
      <c r="I156" s="110" t="n"/>
      <c r="J156" s="110" t="n"/>
    </row>
    <row r="157">
      <c r="A157" s="110" t="n"/>
      <c r="B157" s="110" t="n"/>
      <c r="C157" s="110" t="n"/>
      <c r="D157" s="110" t="n"/>
      <c r="E157" s="110" t="n"/>
      <c r="F157" s="110" t="n"/>
      <c r="G157" s="110" t="n"/>
      <c r="H157" s="110" t="n"/>
      <c r="I157" s="110" t="n"/>
      <c r="J157" s="110" t="n"/>
    </row>
    <row r="158">
      <c r="A158" s="110" t="n"/>
      <c r="B158" s="110" t="n"/>
      <c r="C158" s="110" t="n"/>
      <c r="D158" s="110" t="n"/>
      <c r="E158" s="110" t="n"/>
      <c r="F158" s="110" t="n"/>
      <c r="G158" s="110" t="n"/>
      <c r="H158" s="110" t="n"/>
      <c r="I158" s="110" t="n"/>
      <c r="J158" s="110" t="n"/>
    </row>
    <row r="159">
      <c r="A159" s="110" t="n"/>
      <c r="B159" s="110" t="n"/>
      <c r="C159" s="110" t="n"/>
      <c r="D159" s="110" t="n"/>
      <c r="E159" s="110" t="n"/>
      <c r="F159" s="110" t="n"/>
      <c r="G159" s="110" t="n"/>
      <c r="H159" s="110" t="n"/>
      <c r="I159" s="110" t="n"/>
      <c r="J159" s="110" t="n"/>
    </row>
    <row r="160">
      <c r="A160" s="110" t="n"/>
      <c r="B160" s="110" t="n"/>
      <c r="C160" s="110" t="n"/>
      <c r="D160" s="110" t="n"/>
      <c r="E160" s="110" t="n"/>
      <c r="F160" s="110" t="n"/>
      <c r="G160" s="110" t="n"/>
      <c r="H160" s="110" t="n"/>
      <c r="I160" s="110" t="n"/>
      <c r="J160" s="110" t="n"/>
    </row>
    <row r="161">
      <c r="A161" s="110" t="n"/>
      <c r="B161" s="110" t="n"/>
      <c r="C161" s="110" t="n"/>
      <c r="D161" s="110" t="n"/>
      <c r="E161" s="110" t="n"/>
      <c r="F161" s="110" t="n"/>
      <c r="G161" s="110" t="n"/>
      <c r="H161" s="110" t="n"/>
      <c r="I161" s="110" t="n"/>
      <c r="J161" s="110" t="n"/>
    </row>
    <row r="162">
      <c r="A162" s="110" t="n"/>
      <c r="B162" s="110" t="n"/>
      <c r="C162" s="110" t="n"/>
      <c r="D162" s="110" t="n"/>
      <c r="E162" s="110" t="n"/>
      <c r="F162" s="110" t="n"/>
      <c r="G162" s="110" t="n"/>
      <c r="H162" s="110" t="n"/>
      <c r="I162" s="110" t="n"/>
      <c r="J162" s="110" t="n"/>
    </row>
    <row r="163">
      <c r="A163" s="110" t="n"/>
      <c r="B163" s="110" t="n"/>
      <c r="C163" s="110" t="n"/>
      <c r="D163" s="110" t="n"/>
      <c r="E163" s="110" t="n"/>
      <c r="F163" s="110" t="n"/>
      <c r="G163" s="110" t="n"/>
      <c r="H163" s="110" t="n"/>
      <c r="I163" s="110" t="n"/>
      <c r="J163" s="110" t="n"/>
    </row>
    <row r="164">
      <c r="A164" s="110" t="n"/>
      <c r="B164" s="110" t="n"/>
      <c r="C164" s="110" t="n"/>
      <c r="D164" s="110" t="n"/>
      <c r="E164" s="110" t="n"/>
      <c r="F164" s="110" t="n"/>
      <c r="G164" s="110" t="n"/>
      <c r="H164" s="110" t="n"/>
      <c r="I164" s="110" t="n"/>
      <c r="J164" s="110" t="n"/>
    </row>
    <row r="165">
      <c r="A165" s="110" t="n"/>
      <c r="B165" s="110" t="n"/>
      <c r="C165" s="110" t="n"/>
      <c r="D165" s="110" t="n"/>
      <c r="E165" s="110" t="n"/>
      <c r="F165" s="110" t="n"/>
      <c r="G165" s="110" t="n"/>
      <c r="H165" s="110" t="n"/>
      <c r="I165" s="110" t="n"/>
      <c r="J165" s="110" t="n"/>
    </row>
    <row r="166">
      <c r="A166" s="110" t="n"/>
      <c r="B166" s="110" t="n"/>
      <c r="C166" s="110" t="n"/>
      <c r="D166" s="110" t="n"/>
      <c r="E166" s="110" t="n"/>
      <c r="F166" s="110" t="n"/>
      <c r="G166" s="110" t="n"/>
      <c r="H166" s="110" t="n"/>
      <c r="I166" s="110" t="n"/>
      <c r="J166" s="110" t="n"/>
    </row>
    <row r="167">
      <c r="A167" s="110" t="n"/>
      <c r="B167" s="110" t="n"/>
      <c r="C167" s="110" t="n"/>
      <c r="D167" s="110" t="n"/>
      <c r="E167" s="110" t="n"/>
      <c r="F167" s="110" t="n"/>
      <c r="G167" s="110" t="n"/>
      <c r="H167" s="110" t="n"/>
      <c r="I167" s="110" t="n"/>
      <c r="J167" s="110" t="n"/>
    </row>
    <row r="168">
      <c r="A168" s="110" t="n"/>
      <c r="B168" s="110" t="n"/>
      <c r="C168" s="110" t="n"/>
      <c r="D168" s="110" t="n"/>
      <c r="E168" s="110" t="n"/>
      <c r="F168" s="110" t="n"/>
      <c r="G168" s="110" t="n"/>
      <c r="H168" s="110" t="n"/>
      <c r="I168" s="110" t="n"/>
      <c r="J168" s="110" t="n"/>
    </row>
    <row r="169">
      <c r="A169" s="110" t="n"/>
      <c r="B169" s="110" t="n"/>
      <c r="C169" s="110" t="n"/>
      <c r="D169" s="110" t="n"/>
      <c r="E169" s="110" t="n"/>
      <c r="F169" s="110" t="n"/>
      <c r="G169" s="110" t="n"/>
      <c r="H169" s="110" t="n"/>
      <c r="I169" s="110" t="n"/>
      <c r="J169" s="110" t="n"/>
    </row>
    <row r="170">
      <c r="A170" s="110" t="n"/>
      <c r="B170" s="110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</row>
    <row r="171">
      <c r="A171" s="110" t="n"/>
      <c r="B171" s="110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</row>
    <row r="172">
      <c r="A172" s="110" t="n"/>
      <c r="B172" s="110" t="n"/>
      <c r="C172" s="110" t="n"/>
      <c r="D172" s="110" t="n"/>
      <c r="E172" s="110" t="n"/>
      <c r="F172" s="110" t="n"/>
      <c r="G172" s="110" t="n"/>
      <c r="H172" s="110" t="n"/>
      <c r="I172" s="110" t="n"/>
      <c r="J172" s="110" t="n"/>
    </row>
    <row r="173">
      <c r="A173" s="110" t="n"/>
      <c r="B173" s="110" t="n"/>
      <c r="C173" s="110" t="n"/>
      <c r="D173" s="110" t="n"/>
      <c r="E173" s="110" t="n"/>
      <c r="F173" s="110" t="n"/>
      <c r="G173" s="110" t="n"/>
      <c r="H173" s="110" t="n"/>
      <c r="I173" s="110" t="n"/>
      <c r="J173" s="110" t="n"/>
    </row>
    <row r="174">
      <c r="A174" s="110" t="n"/>
      <c r="B174" s="110" t="n"/>
      <c r="C174" s="110" t="n"/>
      <c r="D174" s="110" t="n"/>
      <c r="E174" s="110" t="n"/>
      <c r="F174" s="110" t="n"/>
      <c r="G174" s="110" t="n"/>
      <c r="H174" s="110" t="n"/>
      <c r="I174" s="110" t="n"/>
      <c r="J174" s="110" t="n"/>
    </row>
    <row r="175">
      <c r="A175" s="110" t="n"/>
      <c r="B175" s="110" t="n"/>
      <c r="C175" s="110" t="n"/>
      <c r="D175" s="110" t="n"/>
      <c r="E175" s="110" t="n"/>
      <c r="F175" s="110" t="n"/>
      <c r="G175" s="110" t="n"/>
      <c r="H175" s="110" t="n"/>
      <c r="I175" s="110" t="n"/>
      <c r="J175" s="110" t="n"/>
    </row>
    <row r="176">
      <c r="A176" s="110" t="n"/>
      <c r="B176" s="110" t="n"/>
      <c r="C176" s="110" t="n"/>
      <c r="D176" s="110" t="n"/>
      <c r="E176" s="110" t="n"/>
      <c r="F176" s="110" t="n"/>
      <c r="G176" s="110" t="n"/>
      <c r="H176" s="110" t="n"/>
      <c r="I176" s="110" t="n"/>
      <c r="J176" s="110" t="n"/>
    </row>
    <row r="177">
      <c r="A177" s="110" t="n"/>
      <c r="B177" s="110" t="n"/>
      <c r="C177" s="110" t="n"/>
      <c r="D177" s="110" t="n"/>
      <c r="E177" s="110" t="n"/>
      <c r="F177" s="110" t="n"/>
      <c r="G177" s="110" t="n"/>
      <c r="H177" s="110" t="n"/>
      <c r="I177" s="110" t="n"/>
      <c r="J177" s="110" t="n"/>
    </row>
    <row r="178">
      <c r="A178" s="110" t="n"/>
      <c r="B178" s="110" t="n"/>
      <c r="C178" s="110" t="n"/>
      <c r="D178" s="110" t="n"/>
      <c r="E178" s="110" t="n"/>
      <c r="F178" s="110" t="n"/>
      <c r="G178" s="110" t="n"/>
      <c r="H178" s="110" t="n"/>
      <c r="I178" s="110" t="n"/>
      <c r="J178" s="110" t="n"/>
    </row>
    <row r="179">
      <c r="A179" s="110" t="n"/>
      <c r="B179" s="110" t="n"/>
      <c r="C179" s="110" t="n"/>
      <c r="D179" s="110" t="n"/>
      <c r="E179" s="110" t="n"/>
      <c r="F179" s="110" t="n"/>
      <c r="G179" s="110" t="n"/>
      <c r="H179" s="110" t="n"/>
      <c r="I179" s="110" t="n"/>
      <c r="J179" s="110" t="n"/>
    </row>
    <row r="180">
      <c r="A180" s="110" t="n"/>
      <c r="B180" s="110" t="n"/>
      <c r="C180" s="110" t="n"/>
      <c r="D180" s="110" t="n"/>
      <c r="E180" s="110" t="n"/>
      <c r="F180" s="110" t="n"/>
      <c r="G180" s="110" t="n"/>
      <c r="H180" s="110" t="n"/>
      <c r="I180" s="110" t="n"/>
      <c r="J180" s="110" t="n"/>
    </row>
    <row r="181">
      <c r="A181" s="110" t="n"/>
      <c r="B181" s="110" t="n"/>
      <c r="C181" s="110" t="n"/>
      <c r="D181" s="110" t="n"/>
      <c r="E181" s="110" t="n"/>
      <c r="F181" s="110" t="n"/>
      <c r="G181" s="110" t="n"/>
      <c r="H181" s="110" t="n"/>
      <c r="I181" s="110" t="n"/>
      <c r="J181" s="110" t="n"/>
    </row>
    <row r="182">
      <c r="A182" s="110" t="n"/>
      <c r="B182" s="110" t="n"/>
      <c r="C182" s="110" t="n"/>
      <c r="D182" s="110" t="n"/>
      <c r="E182" s="110" t="n"/>
      <c r="F182" s="110" t="n"/>
      <c r="G182" s="110" t="n"/>
      <c r="H182" s="110" t="n"/>
      <c r="I182" s="110" t="n"/>
      <c r="J182" s="110" t="n"/>
    </row>
    <row r="183">
      <c r="A183" s="110" t="n"/>
      <c r="B183" s="110" t="n"/>
      <c r="C183" s="110" t="n"/>
      <c r="D183" s="110" t="n"/>
      <c r="E183" s="110" t="n"/>
      <c r="F183" s="110" t="n"/>
      <c r="G183" s="110" t="n"/>
      <c r="H183" s="110" t="n"/>
      <c r="I183" s="110" t="n"/>
      <c r="J183" s="110" t="n"/>
    </row>
    <row r="184">
      <c r="A184" s="110" t="n"/>
      <c r="B184" s="110" t="n"/>
      <c r="C184" s="110" t="n"/>
      <c r="D184" s="110" t="n"/>
      <c r="E184" s="110" t="n"/>
      <c r="F184" s="110" t="n"/>
      <c r="G184" s="110" t="n"/>
      <c r="H184" s="110" t="n"/>
      <c r="I184" s="110" t="n"/>
      <c r="J184" s="110" t="n"/>
    </row>
    <row r="185">
      <c r="A185" s="110" t="n"/>
      <c r="B185" s="110" t="n"/>
      <c r="C185" s="110" t="n"/>
      <c r="D185" s="110" t="n"/>
      <c r="E185" s="110" t="n"/>
      <c r="F185" s="110" t="n"/>
      <c r="G185" s="110" t="n"/>
      <c r="H185" s="110" t="n"/>
      <c r="I185" s="110" t="n"/>
      <c r="J185" s="110" t="n"/>
    </row>
    <row r="186">
      <c r="A186" s="110" t="n"/>
      <c r="B186" s="110" t="n"/>
      <c r="C186" s="110" t="n"/>
      <c r="D186" s="110" t="n"/>
      <c r="E186" s="110" t="n"/>
      <c r="F186" s="110" t="n"/>
      <c r="G186" s="110" t="n"/>
      <c r="H186" s="110" t="n"/>
      <c r="I186" s="110" t="n"/>
      <c r="J186" s="110" t="n"/>
    </row>
    <row r="187">
      <c r="A187" s="110" t="n"/>
      <c r="B187" s="110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</row>
    <row r="188">
      <c r="A188" s="110" t="n"/>
      <c r="B188" s="110" t="n"/>
      <c r="C188" s="110" t="n"/>
      <c r="D188" s="110" t="n"/>
      <c r="E188" s="110" t="n"/>
      <c r="F188" s="110" t="n"/>
      <c r="G188" s="110" t="n"/>
      <c r="H188" s="110" t="n"/>
      <c r="I188" s="110" t="n"/>
      <c r="J188" s="110" t="n"/>
    </row>
    <row r="189">
      <c r="A189" s="110" t="n"/>
      <c r="B189" s="110" t="n"/>
      <c r="C189" s="110" t="n"/>
      <c r="D189" s="110" t="n"/>
      <c r="E189" s="110" t="n"/>
      <c r="F189" s="110" t="n"/>
      <c r="G189" s="110" t="n"/>
      <c r="H189" s="110" t="n"/>
      <c r="I189" s="110" t="n"/>
      <c r="J189" s="110" t="n"/>
    </row>
    <row r="190">
      <c r="A190" s="110" t="n"/>
      <c r="B190" s="110" t="n"/>
      <c r="C190" s="110" t="n"/>
      <c r="D190" s="110" t="n"/>
      <c r="E190" s="110" t="n"/>
      <c r="F190" s="110" t="n"/>
      <c r="G190" s="110" t="n"/>
      <c r="H190" s="110" t="n"/>
      <c r="I190" s="110" t="n"/>
      <c r="J190" s="110" t="n"/>
    </row>
    <row r="191">
      <c r="A191" s="110" t="n"/>
      <c r="B191" s="110" t="n"/>
      <c r="C191" s="110" t="n"/>
      <c r="D191" s="110" t="n"/>
      <c r="E191" s="110" t="n"/>
      <c r="F191" s="110" t="n"/>
      <c r="G191" s="110" t="n"/>
      <c r="H191" s="110" t="n"/>
      <c r="I191" s="110" t="n"/>
      <c r="J191" s="110" t="n"/>
    </row>
    <row r="192">
      <c r="A192" s="110" t="n"/>
      <c r="B192" s="110" t="n"/>
      <c r="C192" s="110" t="n"/>
      <c r="D192" s="110" t="n"/>
      <c r="E192" s="110" t="n"/>
      <c r="F192" s="110" t="n"/>
      <c r="G192" s="110" t="n"/>
      <c r="H192" s="110" t="n"/>
      <c r="I192" s="110" t="n"/>
      <c r="J192" s="110" t="n"/>
    </row>
    <row r="193">
      <c r="A193" s="110" t="n"/>
      <c r="B193" s="110" t="n"/>
      <c r="C193" s="110" t="n"/>
      <c r="D193" s="110" t="n"/>
      <c r="E193" s="110" t="n"/>
      <c r="F193" s="110" t="n"/>
      <c r="G193" s="110" t="n"/>
      <c r="H193" s="110" t="n"/>
      <c r="I193" s="110" t="n"/>
      <c r="J193" s="110" t="n"/>
    </row>
    <row r="194">
      <c r="A194" s="110" t="n"/>
      <c r="B194" s="110" t="n"/>
      <c r="C194" s="110" t="n"/>
      <c r="D194" s="110" t="n"/>
      <c r="E194" s="110" t="n"/>
      <c r="F194" s="110" t="n"/>
      <c r="G194" s="110" t="n"/>
      <c r="H194" s="110" t="n"/>
      <c r="I194" s="110" t="n"/>
      <c r="J194" s="110" t="n"/>
    </row>
    <row r="195">
      <c r="A195" s="110" t="n"/>
      <c r="B195" s="110" t="n"/>
      <c r="C195" s="110" t="n"/>
      <c r="D195" s="110" t="n"/>
      <c r="E195" s="110" t="n"/>
      <c r="F195" s="110" t="n"/>
      <c r="G195" s="110" t="n"/>
      <c r="H195" s="110" t="n"/>
      <c r="I195" s="110" t="n"/>
      <c r="J195" s="110" t="n"/>
    </row>
    <row r="196">
      <c r="A196" s="110" t="n"/>
      <c r="B196" s="110" t="n"/>
      <c r="C196" s="110" t="n"/>
      <c r="D196" s="110" t="n"/>
      <c r="E196" s="110" t="n"/>
      <c r="F196" s="110" t="n"/>
      <c r="G196" s="110" t="n"/>
      <c r="H196" s="110" t="n"/>
      <c r="I196" s="110" t="n"/>
      <c r="J196" s="110" t="n"/>
    </row>
    <row r="197">
      <c r="A197" s="110" t="n"/>
      <c r="B197" s="110" t="n"/>
      <c r="C197" s="110" t="n"/>
      <c r="D197" s="110" t="n"/>
      <c r="E197" s="110" t="n"/>
      <c r="F197" s="110" t="n"/>
      <c r="G197" s="110" t="n"/>
      <c r="H197" s="110" t="n"/>
      <c r="I197" s="110" t="n"/>
      <c r="J197" s="110" t="n"/>
    </row>
    <row r="198">
      <c r="A198" s="110" t="n"/>
      <c r="B198" s="110" t="n"/>
      <c r="C198" s="110" t="n"/>
      <c r="D198" s="110" t="n"/>
      <c r="E198" s="110" t="n"/>
      <c r="F198" s="110" t="n"/>
      <c r="G198" s="110" t="n"/>
      <c r="H198" s="110" t="n"/>
      <c r="I198" s="110" t="n"/>
      <c r="J198" s="110" t="n"/>
    </row>
    <row r="199">
      <c r="A199" s="110" t="n"/>
      <c r="B199" s="110" t="n"/>
      <c r="C199" s="110" t="n"/>
      <c r="D199" s="110" t="n"/>
      <c r="E199" s="110" t="n"/>
      <c r="F199" s="110" t="n"/>
      <c r="G199" s="110" t="n"/>
      <c r="H199" s="110" t="n"/>
      <c r="I199" s="110" t="n"/>
      <c r="J199" s="110" t="n"/>
    </row>
    <row r="200">
      <c r="A200" s="110" t="n"/>
      <c r="B200" s="110" t="n"/>
      <c r="C200" s="110" t="n"/>
      <c r="D200" s="110" t="n"/>
      <c r="E200" s="110" t="n"/>
      <c r="F200" s="110" t="n"/>
      <c r="G200" s="110" t="n"/>
      <c r="H200" s="110" t="n"/>
      <c r="I200" s="110" t="n"/>
      <c r="J200" s="110" t="n"/>
    </row>
    <row r="201">
      <c r="A201" s="110" t="n"/>
      <c r="B201" s="110" t="n"/>
      <c r="C201" s="110" t="n"/>
      <c r="D201" s="110" t="n"/>
      <c r="E201" s="110" t="n"/>
      <c r="F201" s="110" t="n"/>
      <c r="G201" s="110" t="n"/>
      <c r="H201" s="110" t="n"/>
      <c r="I201" s="110" t="n"/>
      <c r="J201" s="110" t="n"/>
    </row>
    <row r="202">
      <c r="A202" s="110" t="n"/>
      <c r="B202" s="110" t="n"/>
      <c r="C202" s="110" t="n"/>
      <c r="D202" s="110" t="n"/>
      <c r="E202" s="110" t="n"/>
      <c r="F202" s="110" t="n"/>
      <c r="G202" s="110" t="n"/>
      <c r="H202" s="110" t="n"/>
      <c r="I202" s="110" t="n"/>
      <c r="J202" s="110" t="n"/>
    </row>
    <row r="203">
      <c r="A203" s="110" t="n"/>
      <c r="B203" s="110" t="n"/>
      <c r="C203" s="110" t="n"/>
      <c r="D203" s="110" t="n"/>
      <c r="E203" s="110" t="n"/>
      <c r="F203" s="110" t="n"/>
      <c r="G203" s="110" t="n"/>
      <c r="H203" s="110" t="n"/>
      <c r="I203" s="110" t="n"/>
      <c r="J203" s="110" t="n"/>
    </row>
    <row r="204">
      <c r="A204" s="110" t="n"/>
      <c r="B204" s="110" t="n"/>
      <c r="C204" s="110" t="n"/>
      <c r="D204" s="110" t="n"/>
      <c r="E204" s="110" t="n"/>
      <c r="F204" s="110" t="n"/>
      <c r="G204" s="110" t="n"/>
      <c r="H204" s="110" t="n"/>
      <c r="I204" s="110" t="n"/>
      <c r="J204" s="110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2026-04-07T14:08:14Z</dcterms:created>
  <dcterms:modified xmlns:dcterms="http://purl.org/dc/terms/" xmlns:xsi="http://www.w3.org/2001/XMLSchema-instance" xsi:type="dcterms:W3CDTF">2026-04-07T14:25:04Z</dcterms:modified>
</cp:coreProperties>
</file>