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dc437823686d71a/Apps/Claude/"/>
    </mc:Choice>
  </mc:AlternateContent>
  <xr:revisionPtr revIDLastSave="4" documentId="11_508F235439D2FD0FF97E43C249ABE1E74F214D7B" xr6:coauthVersionLast="47" xr6:coauthVersionMax="47" xr10:uidLastSave="{6F232D25-8D9F-4C52-A0B2-B6F7D0E41A7C}"/>
  <bookViews>
    <workbookView xWindow="-120" yWindow="-120" windowWidth="20730" windowHeight="11040" xr2:uid="{00000000-000D-0000-FFFF-FFFF00000000}"/>
  </bookViews>
  <sheets>
    <sheet name="Resumo" sheetId="1" r:id="rId1"/>
    <sheet name="NOW (Abr 8 - Mai 26)" sheetId="2" r:id="rId2"/>
    <sheet name="NEXT (Mai 27 - Jun 30)" sheetId="3" r:id="rId3"/>
    <sheet name="LATER (Jul+)" sheetId="4" r:id="rId4"/>
    <sheet name="Riscos" sheetId="5" r:id="rId5"/>
    <sheet name="Planilha1" sheetId="9" r:id="rId6"/>
    <sheet name="Planilha2" sheetId="10" r:id="rId7"/>
    <sheet name="Planilha3" sheetId="11" r:id="rId8"/>
    <sheet name="Planilha4" sheetId="12" r:id="rId9"/>
    <sheet name="Marcos &amp; Verificação" sheetId="6" r:id="rId10"/>
    <sheet name="Pipeline Tracker" sheetId="7" r:id="rId11"/>
    <sheet name="Mudanças vs Antes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7" l="1"/>
  <c r="G29" i="7" s="1"/>
  <c r="E29" i="7"/>
  <c r="D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D22" i="1"/>
  <c r="C22" i="1"/>
  <c r="B22" i="1"/>
</calcChain>
</file>

<file path=xl/sharedStrings.xml><?xml version="1.0" encoding="utf-8"?>
<sst xmlns="http://schemas.openxmlformats.org/spreadsheetml/2006/main" count="227" uniqueCount="168">
  <si>
    <t>Roadmap NR-1 Psicossocial — Higilabor</t>
  </si>
  <si>
    <t>Hoje: 2026-04-08  |  D-day NR-1: 2026-05-26  |  Faltam: 48 dias</t>
  </si>
  <si>
    <t>Contexto</t>
  </si>
  <si>
    <t>Toda empresa CLT precisa ter PGR adequado com avaliação de riscos psicossociais até 26/mai/2026.</t>
  </si>
  <si>
    <t>Maioria das PMEs ainda não sabe. Janela curta de urgência regulatória → maior alavanca comercial dos próximos 60 dias.</t>
  </si>
  <si>
    <t>Roadmap atual (CLAUDE.md) trata NR-1 como "abertura" no Sprint 1. Insuficiente — precisa virar eixo central.</t>
  </si>
  <si>
    <t>PDF "comercial brabo" tem 3 premissas erradas corrigidas neste roadmap:</t>
  </si>
  <si>
    <t xml:space="preserve">  1) Cidade: Higilabor é de Uberlândia (não Uberaba). Site está correto.</t>
  </si>
  <si>
    <t xml:space="preserve">  2) Telemedicina: não existe na Higilabor. Toda narrativa CFM 2.314/2022 sai.</t>
  </si>
  <si>
    <t xml:space="preserve">  3) Frente 4 (Pará/Beto): cortada inteira do roadmap.</t>
  </si>
  <si>
    <t>Sobrevive: F1 (base atual), F2 (NR-1 local Uberlândia), F3 (municípios sem MT — com modelo presencial), F5 (FAP pós-prazo).</t>
  </si>
  <si>
    <t>Resultado pretendido</t>
  </si>
  <si>
    <t>Fechar 15–18 contratos NR-1 até 26/mai usando médica própria + prazo regulatório como ganchos honestos.</t>
  </si>
  <si>
    <t>Metas por Frente (NOW)</t>
  </si>
  <si>
    <t>Frente</t>
  </si>
  <si>
    <t>Abordagens</t>
  </si>
  <si>
    <t>Propostas</t>
  </si>
  <si>
    <t>Contratos</t>
  </si>
  <si>
    <t>F1 — Base atual (upsell)</t>
  </si>
  <si>
    <t>F2 — NR-1 local Uberlândia</t>
  </si>
  <si>
    <t>F3 — Municípios sem MT (se sair do bloqueio)</t>
  </si>
  <si>
    <t>TOTAL NOW</t>
  </si>
  <si>
    <t>NOW — NR-1 BLITZ (7 semanas)</t>
  </si>
  <si>
    <t>Período: 2026-04-08 → 2026-05-26</t>
  </si>
  <si>
    <t>#</t>
  </si>
  <si>
    <t>Item</t>
  </si>
  <si>
    <t>Descrição</t>
  </si>
  <si>
    <t>Responsável</t>
  </si>
  <si>
    <t>Status</t>
  </si>
  <si>
    <t>N1</t>
  </si>
  <si>
    <t>Frente 1 — Base atual</t>
  </si>
  <si>
    <t>WhatsApp para 100% da carteira CR + ex-clientes. Oferta: revisão PGR + integração com PCMSO da médica própria.</t>
  </si>
  <si>
    <t>Octav / Vend. 1</t>
  </si>
  <si>
    <t>Não iniciado</t>
  </si>
  <si>
    <t>N2</t>
  </si>
  <si>
    <t>Frente 2 — NR-1 local</t>
  </si>
  <si>
    <t>Cold WhatsApp/e-mail para PMEs de Uberlândia + região. Setores: agro, construção, saúde, comércio. Meta: 40 abordagens/semana.</t>
  </si>
  <si>
    <t>Vend. 1</t>
  </si>
  <si>
    <t>N3</t>
  </si>
  <si>
    <t>Frente 3 — Municípios sem MT</t>
  </si>
  <si>
    <t>Oportunidade real, SEM telemedicina. Primeira tarefa: definir modelo de entrega presencial (médica viaja? parceria com clínica local?). Sem isso, não abordar.</t>
  </si>
  <si>
    <t>Octav</t>
  </si>
  <si>
    <t>BLOQUEADO</t>
  </si>
  <si>
    <t>N4</t>
  </si>
  <si>
    <t>Site — verificação</t>
  </si>
  <si>
    <t>Validar que título/H1/meta da homepage e página PCMSO já dizem "Uberlândia". Confirmar Google Business Profile.</t>
  </si>
  <si>
    <t>Pendente</t>
  </si>
  <si>
    <t>N5</t>
  </si>
  <si>
    <t>Site — landing NR-1</t>
  </si>
  <si>
    <t>Criar /nr-1-psicossocial-2026/. Conteúdo: o que muda, prazo 26/mai, como adequar, CTA proposta. Zero competição em MG.</t>
  </si>
  <si>
    <t>N6</t>
  </si>
  <si>
    <t>Site — landing PGR Uberlândia</t>
  </si>
  <si>
    <t>Landing page local + item NR-1 no menu. Esforço baixo, alavanca alta.</t>
  </si>
  <si>
    <t>N7</t>
  </si>
  <si>
    <t>Pacote comercial "Adequação NR-1 7 dias"</t>
  </si>
  <si>
    <t>Definir preço, escopo (PGR atualizado + laudo psicossocial + integração PCMSO), prazo, condição especial até 10/mai.</t>
  </si>
  <si>
    <t>N8</t>
  </si>
  <si>
    <t>Pipeline / KPIs diários</t>
  </si>
  <si>
    <t>Abordagens, propostas enviadas, propostas em follow-up, contratos fechados. Cobrança diária nos KPIs do CLAUDE.md.</t>
  </si>
  <si>
    <t>N9</t>
  </si>
  <si>
    <t>Calendário de urgência</t>
  </si>
  <si>
    <t>Sem 5 (5–9/mai): "faltam 21 dias". Sem 6 (12–16/mai): "faltam 10 dias". Sem 7 (19–23/mai): "última chamada".</t>
  </si>
  <si>
    <t>Vendedores</t>
  </si>
  <si>
    <t>NEXT — Pós-prazo</t>
  </si>
  <si>
    <t>Período: 2026-05-27 → 2026-06-30</t>
  </si>
  <si>
    <t>Meta</t>
  </si>
  <si>
    <t>X1</t>
  </si>
  <si>
    <t>Frente 2 — Adequação retroativa NR-1</t>
  </si>
  <si>
    <t>Quem não fechou antes do prazo → urgência muda de "evite multa" para "regularize antes da próxima fiscalização".</t>
  </si>
  <si>
    <t>5 contratos</t>
  </si>
  <si>
    <t>X2</t>
  </si>
  <si>
    <t>Frente 5 — FAP (diagnóstico gratuito)</t>
  </si>
  <si>
    <t>Abordagem financeira: quanto a empresa está pagando a mais de INSS. Diagnóstico gratuito como porta de entrada.</t>
  </si>
  <si>
    <t>3 contratos (20 abordagens)</t>
  </si>
  <si>
    <t>X3</t>
  </si>
  <si>
    <t>Se não saiu do bloqueio em NOW. Modelo presencial definido + abordagem inicial em 5–10 cidades piloto.</t>
  </si>
  <si>
    <t>3 contratos</t>
  </si>
  <si>
    <t>X4</t>
  </si>
  <si>
    <t>Sprint 2/3 do plano original</t>
  </si>
  <si>
    <t>Margem, cobrança disciplinada, poda de carteira, consolidação MRR — voltar ao plano CLAUDE.md com carteira maior.</t>
  </si>
  <si>
    <t>—</t>
  </si>
  <si>
    <t>X5</t>
  </si>
  <si>
    <t>Site — plano editorial blog</t>
  </si>
  <si>
    <t>Risco psicossocial PGR, FAP redução, PGR x PCMSO, PGR pequenas empresas.</t>
  </si>
  <si>
    <t>4 artigos</t>
  </si>
  <si>
    <t>LATER — Sprint 3 e além</t>
  </si>
  <si>
    <t>L1</t>
  </si>
  <si>
    <t>Pacote NR-1 vira oferta padrão da Higilabor (não mais campanha de urgência)</t>
  </si>
  <si>
    <t>L2</t>
  </si>
  <si>
    <t>Revisitar produtos de Guia 3 do PDF (sem premissa telemedicina) — quais ainda fazem sentido</t>
  </si>
  <si>
    <t>L3</t>
  </si>
  <si>
    <t>Consolidar MRR da carteira engordada no período NR-1</t>
  </si>
  <si>
    <t>Riscos e Mitigações</t>
  </si>
  <si>
    <t>Risco</t>
  </si>
  <si>
    <t>Mitigação</t>
  </si>
  <si>
    <t>Capacidade operacional (650 UEP/mês) — se fechar 15+ contratos NR-1 em 7 semanas, equipe técnica pode estourar.</t>
  </si>
  <si>
    <t>Antes da Sem 3, mapear UEP por PGR psicossocial. Se exceder, escalonar entregas priorizando quem assinou primeiro.</t>
  </si>
  <si>
    <t>Premissas erradas do PDF (telemedicina, Uberaba, Beto/Pará) podem contaminar materiais já produzidos.</t>
  </si>
  <si>
    <t>Sem 1: revisar e reescrever scripts F1/F2/F3. Cortar toda menção a telemedicina/CFM 2.314/Uberaba. Descartar materiais F4 (Pará).</t>
  </si>
  <si>
    <t>Site pode estar errado de outras formas que a auditoria PDF (já errada) não capturou.</t>
  </si>
  <si>
    <t>Verificação manual rápida da homepage antes de criar landing pages novas.</t>
  </si>
  <si>
    <t>Frente 3 fica bloqueada se modelo de entrega presencial não for definido em Sem 1–2.</t>
  </si>
  <si>
    <t>Se até fim Sem 2 não houver modelo, Frente 3 vai inteira para NEXT (junho). Não atrasa NOW.</t>
  </si>
  <si>
    <t>Vendedores podem furar cadência de follow-up, matando conversão da urgência.</t>
  </si>
  <si>
    <t>KPIs diários cobrados toda manhã. Propostas em follow-up é um dos indicadores do CLAUDE.md — não deixar escorregar.</t>
  </si>
  <si>
    <t>Marcos (Gates) e Verificação</t>
  </si>
  <si>
    <t>Marcos críticos</t>
  </si>
  <si>
    <t>Data</t>
  </si>
  <si>
    <t>Marco</t>
  </si>
  <si>
    <t>Ação se não atingir</t>
  </si>
  <si>
    <t>2026-04-22</t>
  </si>
  <si>
    <t>Fim Sem 2</t>
  </si>
  <si>
    <t>4+ contratos NR-1 fechados</t>
  </si>
  <si>
    <t>Intensificar Sem 3. Decisão go/no-go Frente 3.</t>
  </si>
  <si>
    <t>2026-05-10</t>
  </si>
  <si>
    <t>Fim janela preço especial</t>
  </si>
  <si>
    <t>10+ contratos acumulados</t>
  </si>
  <si>
    <t>Reavaliar precificação e reforçar F2.</t>
  </si>
  <si>
    <t>2026-05-26</t>
  </si>
  <si>
    <t>D-day NR-1</t>
  </si>
  <si>
    <t>15–18 contratos acumulados</t>
  </si>
  <si>
    <t>Virar pitch para "adequação retroativa".</t>
  </si>
  <si>
    <t>2026-06-15</t>
  </si>
  <si>
    <t>Meio de junho</t>
  </si>
  <si>
    <t>Sprint 2 CLAUDE.md retomado</t>
  </si>
  <si>
    <t>Revisar KPIs semanais e ajustar frentes NEXT.</t>
  </si>
  <si>
    <t>Verificação diária (Octav)</t>
  </si>
  <si>
    <t>• KPIs diários: abordagens, propostas enviadas, propostas em follow-up, contratos fechados, MRR novo</t>
  </si>
  <si>
    <t>• 1 decisão de margem/preço por dia</t>
  </si>
  <si>
    <t>• Saldo de caixa, recebimentos do dia, vencidos em aberto</t>
  </si>
  <si>
    <t>Verificação semanal</t>
  </si>
  <si>
    <t>• F1 + F2 + F3: propostas enviadas, taxa de resposta, fechamentos</t>
  </si>
  <si>
    <t>• Site: landing NR-1 publicada? GBP atualizado? Tráfego orgânico (Google Search Console)</t>
  </si>
  <si>
    <t>• Capacidade UEP: % consumida pelos contratos NR-1 fechados</t>
  </si>
  <si>
    <t>• CR/CP atualizado, fluxo projetado, inadimplência, margem bruta novos contratos</t>
  </si>
  <si>
    <t>Pipeline NR-1 — Tracker semanal</t>
  </si>
  <si>
    <t>Preencher semana a semana. Fórmulas calculam totais e taxa de conversão automaticamente.</t>
  </si>
  <si>
    <t>Semana</t>
  </si>
  <si>
    <t>Período</t>
  </si>
  <si>
    <t>Taxa Conv. (C/A)</t>
  </si>
  <si>
    <t>Sem 1 (07-11/abr)</t>
  </si>
  <si>
    <t>F1 Base</t>
  </si>
  <si>
    <t>F2 Local</t>
  </si>
  <si>
    <t>F3 Municípios</t>
  </si>
  <si>
    <t>Sem 2 (14-18/abr)</t>
  </si>
  <si>
    <t>Sem 3 (21-25/abr)</t>
  </si>
  <si>
    <t>Sem 4 (28/abr-02/mai)</t>
  </si>
  <si>
    <t>Sem 5 (05-09/mai)</t>
  </si>
  <si>
    <t>Sem 6 (12-16/mai)</t>
  </si>
  <si>
    <t>Sem 7 (19-23/mai)</t>
  </si>
  <si>
    <t>Sem 8 (26/mai+)</t>
  </si>
  <si>
    <t>TOTAL</t>
  </si>
  <si>
    <t>META NOW</t>
  </si>
  <si>
    <t>Mudanças vs. Roadmap atual (CLAUDE.md)</t>
  </si>
  <si>
    <t>Antes</t>
  </si>
  <si>
    <t>Depois</t>
  </si>
  <si>
    <t>Sprint 1: financeiro + CRM + base classificada + abertura NR-1</t>
  </si>
  <si>
    <t>NR-1 vira eixo central de todo Abr–Mai (não "abertura"). Financeiro/CRM em segundo plano.</t>
  </si>
  <si>
    <t>Sprint 2: propostas rápidas + follow-up + primeiros contratos</t>
  </si>
  <si>
    <t>Pós-prazo: adequação retroativa + retomada do Sprint 2 original com carteira maior.</t>
  </si>
  <si>
    <t>Sprint 3: margem, cobrança, poda, consolidação</t>
  </si>
  <si>
    <t>Mantido — vira Jun em diante.</t>
  </si>
  <si>
    <t>Cidade: Uberaba/MG</t>
  </si>
  <si>
    <t>Uberlândia/MG (corrigido no CLAUDE.md).</t>
  </si>
  <si>
    <t>Diferencial: PCMSO via parceiro</t>
  </si>
  <si>
    <t>Médica do trabalho própria (dra. tia) — sem telemedicina.</t>
  </si>
  <si>
    <t>5 frentes simultâneas (PDF original)</t>
  </si>
  <si>
    <t>3 frentes ativas NOW (F1, F2, F3 condicional). F4 Pará cortada. F5 FAP para NEXT.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</si>
</sst>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1"/>
      <color rgb="FF595959"/>
      <name val="Arial"/>
    </font>
    <font>
      <b/>
      <sz val="14"/>
      <color rgb="FF1F4E78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i/>
      <sz val="10"/>
      <name val="Arial"/>
    </font>
    <font>
      <b/>
      <sz val="11"/>
      <name val="Arial"/>
    </font>
    <font>
      <i/>
      <sz val="10"/>
      <color rgb="FF595959"/>
      <name val="Arial"/>
    </font>
    <font>
      <b/>
      <sz val="10"/>
      <color rgb="FF1F4E7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6" fillId="3" borderId="1" xfId="0" applyFont="1" applyFill="1" applyBorder="1"/>
    <xf numFmtId="164" fontId="6" fillId="3" borderId="1" xfId="0" applyNumberFormat="1" applyFont="1" applyFill="1" applyBorder="1"/>
    <xf numFmtId="0" fontId="10" fillId="4" borderId="1" xfId="0" applyFont="1" applyFill="1" applyBorder="1"/>
    <xf numFmtId="0" fontId="1" fillId="0" borderId="0" xfId="0" applyFont="1"/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D1"/>
    </sheetView>
  </sheetViews>
  <sheetFormatPr defaultRowHeight="15" x14ac:dyDescent="0.25"/>
  <cols>
    <col min="1" max="1" width="45" customWidth="1"/>
    <col min="2" max="4" width="15" customWidth="1"/>
  </cols>
  <sheetData>
    <row r="1" spans="1:4" ht="20.25" x14ac:dyDescent="0.3">
      <c r="A1" s="13" t="s">
        <v>0</v>
      </c>
      <c r="B1" s="14"/>
      <c r="C1" s="14"/>
      <c r="D1" s="14"/>
    </row>
    <row r="2" spans="1:4" x14ac:dyDescent="0.25">
      <c r="A2" s="17" t="s">
        <v>1</v>
      </c>
      <c r="B2" s="14"/>
      <c r="C2" s="14"/>
      <c r="D2" s="14"/>
    </row>
    <row r="4" spans="1:4" ht="18" x14ac:dyDescent="0.25">
      <c r="A4" s="16" t="s">
        <v>2</v>
      </c>
      <c r="B4" s="14"/>
      <c r="C4" s="14"/>
      <c r="D4" s="14"/>
    </row>
    <row r="5" spans="1:4" x14ac:dyDescent="0.25">
      <c r="A5" s="15" t="s">
        <v>3</v>
      </c>
      <c r="B5" s="14"/>
      <c r="C5" s="14"/>
      <c r="D5" s="14"/>
    </row>
    <row r="6" spans="1:4" x14ac:dyDescent="0.25">
      <c r="A6" s="15" t="s">
        <v>4</v>
      </c>
      <c r="B6" s="14"/>
      <c r="C6" s="14"/>
      <c r="D6" s="14"/>
    </row>
    <row r="7" spans="1:4" x14ac:dyDescent="0.25">
      <c r="A7" s="15" t="s">
        <v>5</v>
      </c>
      <c r="B7" s="14"/>
      <c r="C7" s="14"/>
      <c r="D7" s="14"/>
    </row>
    <row r="8" spans="1:4" x14ac:dyDescent="0.25">
      <c r="A8" s="15" t="s">
        <v>6</v>
      </c>
      <c r="B8" s="14"/>
      <c r="C8" s="14"/>
      <c r="D8" s="14"/>
    </row>
    <row r="9" spans="1:4" x14ac:dyDescent="0.25">
      <c r="A9" s="15" t="s">
        <v>7</v>
      </c>
      <c r="B9" s="14"/>
      <c r="C9" s="14"/>
      <c r="D9" s="14"/>
    </row>
    <row r="10" spans="1:4" x14ac:dyDescent="0.25">
      <c r="A10" s="15" t="s">
        <v>8</v>
      </c>
      <c r="B10" s="14"/>
      <c r="C10" s="14"/>
      <c r="D10" s="14"/>
    </row>
    <row r="11" spans="1:4" x14ac:dyDescent="0.25">
      <c r="A11" s="15" t="s">
        <v>9</v>
      </c>
      <c r="B11" s="14"/>
      <c r="C11" s="14"/>
      <c r="D11" s="14"/>
    </row>
    <row r="12" spans="1:4" x14ac:dyDescent="0.25">
      <c r="A12" s="15" t="s">
        <v>10</v>
      </c>
      <c r="B12" s="14"/>
      <c r="C12" s="14"/>
      <c r="D12" s="14"/>
    </row>
    <row r="14" spans="1:4" ht="18" x14ac:dyDescent="0.25">
      <c r="A14" s="16" t="s">
        <v>11</v>
      </c>
      <c r="B14" s="14"/>
      <c r="C14" s="14"/>
      <c r="D14" s="14"/>
    </row>
    <row r="15" spans="1:4" x14ac:dyDescent="0.25">
      <c r="A15" s="15" t="s">
        <v>12</v>
      </c>
      <c r="B15" s="14"/>
      <c r="C15" s="14"/>
      <c r="D15" s="14"/>
    </row>
    <row r="17" spans="1:4" ht="18" x14ac:dyDescent="0.25">
      <c r="A17" s="16" t="s">
        <v>13</v>
      </c>
      <c r="B17" s="14"/>
      <c r="C17" s="14"/>
      <c r="D17" s="14"/>
    </row>
    <row r="18" spans="1:4" x14ac:dyDescent="0.25">
      <c r="A18" s="1" t="s">
        <v>14</v>
      </c>
      <c r="B18" s="1" t="s">
        <v>15</v>
      </c>
      <c r="C18" s="1" t="s">
        <v>16</v>
      </c>
      <c r="D18" s="1" t="s">
        <v>17</v>
      </c>
    </row>
    <row r="19" spans="1:4" x14ac:dyDescent="0.25">
      <c r="A19" s="2" t="s">
        <v>18</v>
      </c>
      <c r="B19" s="2">
        <v>44</v>
      </c>
      <c r="C19" s="2">
        <v>10</v>
      </c>
      <c r="D19" s="2">
        <v>5</v>
      </c>
    </row>
    <row r="20" spans="1:4" x14ac:dyDescent="0.25">
      <c r="A20" s="2" t="s">
        <v>19</v>
      </c>
      <c r="B20" s="2">
        <v>120</v>
      </c>
      <c r="C20" s="2">
        <v>30</v>
      </c>
      <c r="D20" s="2">
        <v>10</v>
      </c>
    </row>
    <row r="21" spans="1:4" x14ac:dyDescent="0.25">
      <c r="A21" s="2" t="s">
        <v>20</v>
      </c>
      <c r="B21" s="2">
        <v>30</v>
      </c>
      <c r="C21" s="2">
        <v>8</v>
      </c>
      <c r="D21" s="2">
        <v>3</v>
      </c>
    </row>
    <row r="22" spans="1:4" x14ac:dyDescent="0.25">
      <c r="A22" s="3" t="s">
        <v>21</v>
      </c>
      <c r="B22" s="3">
        <f>SUM(B19:B21)</f>
        <v>194</v>
      </c>
      <c r="C22" s="3">
        <f>SUM(C19:C21)</f>
        <v>48</v>
      </c>
      <c r="D22" s="3">
        <f>SUM(D19:D21)</f>
        <v>18</v>
      </c>
    </row>
  </sheetData>
  <mergeCells count="14">
    <mergeCell ref="A1:D1"/>
    <mergeCell ref="A5:D5"/>
    <mergeCell ref="A9:D9"/>
    <mergeCell ref="A17:D17"/>
    <mergeCell ref="A8:D8"/>
    <mergeCell ref="A6:D6"/>
    <mergeCell ref="A12:D12"/>
    <mergeCell ref="A4:D4"/>
    <mergeCell ref="A15:D15"/>
    <mergeCell ref="A7:D7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3" workbookViewId="0">
      <selection sqref="A1:E1"/>
    </sheetView>
  </sheetViews>
  <sheetFormatPr defaultRowHeight="15" x14ac:dyDescent="0.25"/>
  <cols>
    <col min="1" max="1" width="6" customWidth="1"/>
    <col min="2" max="2" width="30" customWidth="1"/>
    <col min="3" max="3" width="60" customWidth="1"/>
    <col min="4" max="4" width="18" customWidth="1"/>
    <col min="5" max="5" width="16" customWidth="1"/>
  </cols>
  <sheetData>
    <row r="1" spans="1:5" ht="18" x14ac:dyDescent="0.25">
      <c r="A1" s="16" t="s">
        <v>22</v>
      </c>
      <c r="B1" s="14"/>
      <c r="C1" s="14"/>
      <c r="D1" s="14"/>
      <c r="E1" s="14"/>
    </row>
    <row r="2" spans="1:5" x14ac:dyDescent="0.25">
      <c r="A2" s="18" t="s">
        <v>23</v>
      </c>
      <c r="B2" s="14"/>
      <c r="C2" s="14"/>
      <c r="D2" s="14"/>
      <c r="E2" s="14"/>
    </row>
    <row r="4" spans="1:5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</row>
    <row r="5" spans="1:5" ht="54.95" customHeight="1" x14ac:dyDescent="0.2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</row>
    <row r="6" spans="1:5" ht="54.95" customHeight="1" x14ac:dyDescent="0.25">
      <c r="A6" s="4" t="s">
        <v>34</v>
      </c>
      <c r="B6" s="4" t="s">
        <v>35</v>
      </c>
      <c r="C6" s="4" t="s">
        <v>36</v>
      </c>
      <c r="D6" s="4" t="s">
        <v>37</v>
      </c>
      <c r="E6" s="4" t="s">
        <v>33</v>
      </c>
    </row>
    <row r="7" spans="1:5" ht="54.95" customHeight="1" x14ac:dyDescent="0.25">
      <c r="A7" s="5" t="s">
        <v>38</v>
      </c>
      <c r="B7" s="5" t="s">
        <v>39</v>
      </c>
      <c r="C7" s="5" t="s">
        <v>40</v>
      </c>
      <c r="D7" s="5" t="s">
        <v>41</v>
      </c>
      <c r="E7" s="5" t="s">
        <v>42</v>
      </c>
    </row>
    <row r="8" spans="1:5" ht="54.95" customHeight="1" x14ac:dyDescent="0.25">
      <c r="A8" s="4" t="s">
        <v>43</v>
      </c>
      <c r="B8" s="4" t="s">
        <v>44</v>
      </c>
      <c r="C8" s="4" t="s">
        <v>45</v>
      </c>
      <c r="D8" s="4" t="s">
        <v>41</v>
      </c>
      <c r="E8" s="4" t="s">
        <v>46</v>
      </c>
    </row>
    <row r="9" spans="1:5" ht="54.95" customHeight="1" x14ac:dyDescent="0.25">
      <c r="A9" s="4" t="s">
        <v>47</v>
      </c>
      <c r="B9" s="4" t="s">
        <v>48</v>
      </c>
      <c r="C9" s="4" t="s">
        <v>49</v>
      </c>
      <c r="D9" s="4" t="s">
        <v>41</v>
      </c>
      <c r="E9" s="4" t="s">
        <v>33</v>
      </c>
    </row>
    <row r="10" spans="1:5" ht="54.95" customHeight="1" x14ac:dyDescent="0.25">
      <c r="A10" s="4" t="s">
        <v>50</v>
      </c>
      <c r="B10" s="4" t="s">
        <v>51</v>
      </c>
      <c r="C10" s="4" t="s">
        <v>52</v>
      </c>
      <c r="D10" s="4" t="s">
        <v>41</v>
      </c>
      <c r="E10" s="4" t="s">
        <v>33</v>
      </c>
    </row>
    <row r="11" spans="1:5" ht="54.95" customHeight="1" x14ac:dyDescent="0.25">
      <c r="A11" s="4" t="s">
        <v>53</v>
      </c>
      <c r="B11" s="4" t="s">
        <v>54</v>
      </c>
      <c r="C11" s="4" t="s">
        <v>55</v>
      </c>
      <c r="D11" s="4" t="s">
        <v>41</v>
      </c>
      <c r="E11" s="4" t="s">
        <v>33</v>
      </c>
    </row>
    <row r="12" spans="1:5" ht="54.95" customHeight="1" x14ac:dyDescent="0.25">
      <c r="A12" s="4" t="s">
        <v>56</v>
      </c>
      <c r="B12" s="4" t="s">
        <v>57</v>
      </c>
      <c r="C12" s="4" t="s">
        <v>58</v>
      </c>
      <c r="D12" s="4" t="s">
        <v>41</v>
      </c>
      <c r="E12" s="4" t="s">
        <v>33</v>
      </c>
    </row>
    <row r="13" spans="1:5" ht="54.95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33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"/>
    </sheetView>
  </sheetViews>
  <sheetFormatPr defaultRowHeight="15" x14ac:dyDescent="0.25"/>
  <cols>
    <col min="1" max="1" width="6" customWidth="1"/>
    <col min="2" max="2" width="35" customWidth="1"/>
    <col min="3" max="3" width="65" customWidth="1"/>
    <col min="4" max="4" width="22" customWidth="1"/>
  </cols>
  <sheetData>
    <row r="1" spans="1:4" ht="18" x14ac:dyDescent="0.25">
      <c r="A1" s="16" t="s">
        <v>63</v>
      </c>
      <c r="B1" s="14"/>
      <c r="C1" s="14"/>
      <c r="D1" s="14"/>
    </row>
    <row r="2" spans="1:4" x14ac:dyDescent="0.25">
      <c r="A2" s="18" t="s">
        <v>64</v>
      </c>
      <c r="B2" s="14"/>
      <c r="C2" s="14"/>
      <c r="D2" s="14"/>
    </row>
    <row r="4" spans="1:4" x14ac:dyDescent="0.25">
      <c r="A4" s="1" t="s">
        <v>24</v>
      </c>
      <c r="B4" s="1" t="s">
        <v>25</v>
      </c>
      <c r="C4" s="1" t="s">
        <v>26</v>
      </c>
      <c r="D4" s="1" t="s">
        <v>65</v>
      </c>
    </row>
    <row r="5" spans="1:4" ht="50.1" customHeight="1" x14ac:dyDescent="0.25">
      <c r="A5" s="6" t="s">
        <v>66</v>
      </c>
      <c r="B5" s="6" t="s">
        <v>67</v>
      </c>
      <c r="C5" s="6" t="s">
        <v>68</v>
      </c>
      <c r="D5" s="6" t="s">
        <v>69</v>
      </c>
    </row>
    <row r="6" spans="1:4" ht="50.1" customHeight="1" x14ac:dyDescent="0.25">
      <c r="A6" s="6" t="s">
        <v>70</v>
      </c>
      <c r="B6" s="6" t="s">
        <v>71</v>
      </c>
      <c r="C6" s="6" t="s">
        <v>72</v>
      </c>
      <c r="D6" s="6" t="s">
        <v>73</v>
      </c>
    </row>
    <row r="7" spans="1:4" ht="50.1" customHeight="1" x14ac:dyDescent="0.25">
      <c r="A7" s="6" t="s">
        <v>74</v>
      </c>
      <c r="B7" s="6" t="s">
        <v>39</v>
      </c>
      <c r="C7" s="6" t="s">
        <v>75</v>
      </c>
      <c r="D7" s="6" t="s">
        <v>76</v>
      </c>
    </row>
    <row r="8" spans="1:4" ht="50.1" customHeight="1" x14ac:dyDescent="0.25">
      <c r="A8" s="6" t="s">
        <v>77</v>
      </c>
      <c r="B8" s="6" t="s">
        <v>78</v>
      </c>
      <c r="C8" s="6" t="s">
        <v>79</v>
      </c>
      <c r="D8" s="6" t="s">
        <v>80</v>
      </c>
    </row>
    <row r="9" spans="1:4" ht="50.1" customHeight="1" x14ac:dyDescent="0.25">
      <c r="A9" s="6" t="s">
        <v>81</v>
      </c>
      <c r="B9" s="6" t="s">
        <v>82</v>
      </c>
      <c r="C9" s="6" t="s">
        <v>83</v>
      </c>
      <c r="D9" s="6" t="s">
        <v>84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1"/>
    </sheetView>
  </sheetViews>
  <sheetFormatPr defaultRowHeight="15" x14ac:dyDescent="0.25"/>
  <cols>
    <col min="1" max="1" width="6" customWidth="1"/>
    <col min="2" max="2" width="90" customWidth="1"/>
  </cols>
  <sheetData>
    <row r="1" spans="1:2" ht="18" x14ac:dyDescent="0.25">
      <c r="A1" s="16" t="s">
        <v>85</v>
      </c>
      <c r="B1" s="14"/>
    </row>
    <row r="3" spans="1:2" x14ac:dyDescent="0.25">
      <c r="A3" s="1" t="s">
        <v>24</v>
      </c>
      <c r="B3" s="1" t="s">
        <v>25</v>
      </c>
    </row>
    <row r="4" spans="1:2" x14ac:dyDescent="0.25">
      <c r="A4" s="7" t="s">
        <v>86</v>
      </c>
      <c r="B4" s="7" t="s">
        <v>87</v>
      </c>
    </row>
    <row r="5" spans="1:2" x14ac:dyDescent="0.25">
      <c r="A5" s="7" t="s">
        <v>88</v>
      </c>
      <c r="B5" s="7" t="s">
        <v>89</v>
      </c>
    </row>
    <row r="6" spans="1:2" x14ac:dyDescent="0.25">
      <c r="A6" s="7" t="s">
        <v>90</v>
      </c>
      <c r="B6" s="7" t="s">
        <v>91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defaultRowHeight="15" x14ac:dyDescent="0.25"/>
  <cols>
    <col min="1" max="1" width="55" customWidth="1"/>
    <col min="2" max="2" width="60" customWidth="1"/>
  </cols>
  <sheetData>
    <row r="1" spans="1:2" ht="18" x14ac:dyDescent="0.25">
      <c r="A1" s="16" t="s">
        <v>92</v>
      </c>
      <c r="B1" s="14"/>
    </row>
    <row r="3" spans="1:2" x14ac:dyDescent="0.25">
      <c r="A3" s="1" t="s">
        <v>93</v>
      </c>
      <c r="B3" s="1" t="s">
        <v>94</v>
      </c>
    </row>
    <row r="4" spans="1:2" ht="50.1" customHeight="1" x14ac:dyDescent="0.25">
      <c r="A4" s="8" t="s">
        <v>95</v>
      </c>
      <c r="B4" s="8" t="s">
        <v>96</v>
      </c>
    </row>
    <row r="5" spans="1:2" ht="50.1" customHeight="1" x14ac:dyDescent="0.25">
      <c r="A5" s="8" t="s">
        <v>97</v>
      </c>
      <c r="B5" s="8" t="s">
        <v>98</v>
      </c>
    </row>
    <row r="6" spans="1:2" ht="50.1" customHeight="1" x14ac:dyDescent="0.25">
      <c r="A6" s="8" t="s">
        <v>99</v>
      </c>
      <c r="B6" s="8" t="s">
        <v>100</v>
      </c>
    </row>
    <row r="7" spans="1:2" ht="50.1" customHeight="1" x14ac:dyDescent="0.25">
      <c r="A7" s="8" t="s">
        <v>101</v>
      </c>
      <c r="B7" s="8" t="s">
        <v>102</v>
      </c>
    </row>
    <row r="8" spans="1:2" ht="50.1" customHeight="1" x14ac:dyDescent="0.25">
      <c r="A8" s="8" t="s">
        <v>103</v>
      </c>
      <c r="B8" s="8" t="s">
        <v>104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3CC2-885C-4C43-A504-3785DB2DDF7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846E-FA98-4488-AE72-423157C1952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8318-E65F-402C-B2FB-C8227C61C9F1}">
  <dimension ref="A1"/>
  <sheetViews>
    <sheetView topLeftCell="A4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C283-7CF5-4889-BC6F-B6FE03D3BF27}">
  <dimension ref="A1"/>
  <sheetViews>
    <sheetView topLeftCell="A13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topLeftCell="A8" workbookViewId="0">
      <selection sqref="A1:D1"/>
    </sheetView>
  </sheetViews>
  <sheetFormatPr defaultRowHeight="15" x14ac:dyDescent="0.25"/>
  <cols>
    <col min="1" max="1" width="15" customWidth="1"/>
    <col min="2" max="2" width="28" customWidth="1"/>
    <col min="3" max="3" width="32" customWidth="1"/>
    <col min="4" max="4" width="45" customWidth="1"/>
  </cols>
  <sheetData>
    <row r="1" spans="1:4" ht="18" x14ac:dyDescent="0.25">
      <c r="A1" s="16" t="s">
        <v>105</v>
      </c>
      <c r="B1" s="14"/>
      <c r="C1" s="14"/>
      <c r="D1" s="14"/>
    </row>
    <row r="3" spans="1:4" x14ac:dyDescent="0.25">
      <c r="A3" s="19" t="s">
        <v>106</v>
      </c>
      <c r="B3" s="14"/>
      <c r="C3" s="14"/>
      <c r="D3" s="14"/>
    </row>
    <row r="4" spans="1:4" x14ac:dyDescent="0.25">
      <c r="A4" s="1" t="s">
        <v>107</v>
      </c>
      <c r="B4" s="1" t="s">
        <v>108</v>
      </c>
      <c r="C4" s="1" t="s">
        <v>65</v>
      </c>
      <c r="D4" s="1" t="s">
        <v>109</v>
      </c>
    </row>
    <row r="5" spans="1:4" ht="35.1" customHeight="1" x14ac:dyDescent="0.25">
      <c r="A5" s="2" t="s">
        <v>110</v>
      </c>
      <c r="B5" s="2" t="s">
        <v>111</v>
      </c>
      <c r="C5" s="2" t="s">
        <v>112</v>
      </c>
      <c r="D5" s="2" t="s">
        <v>113</v>
      </c>
    </row>
    <row r="6" spans="1:4" ht="35.1" customHeight="1" x14ac:dyDescent="0.25">
      <c r="A6" s="2" t="s">
        <v>114</v>
      </c>
      <c r="B6" s="2" t="s">
        <v>115</v>
      </c>
      <c r="C6" s="2" t="s">
        <v>116</v>
      </c>
      <c r="D6" s="2" t="s">
        <v>117</v>
      </c>
    </row>
    <row r="7" spans="1:4" ht="35.1" customHeight="1" x14ac:dyDescent="0.25">
      <c r="A7" s="2" t="s">
        <v>118</v>
      </c>
      <c r="B7" s="2" t="s">
        <v>119</v>
      </c>
      <c r="C7" s="2" t="s">
        <v>120</v>
      </c>
      <c r="D7" s="2" t="s">
        <v>121</v>
      </c>
    </row>
    <row r="8" spans="1:4" ht="35.1" customHeight="1" x14ac:dyDescent="0.25">
      <c r="A8" s="2" t="s">
        <v>122</v>
      </c>
      <c r="B8" s="2" t="s">
        <v>123</v>
      </c>
      <c r="C8" s="2" t="s">
        <v>124</v>
      </c>
      <c r="D8" s="2" t="s">
        <v>125</v>
      </c>
    </row>
    <row r="10" spans="1:4" x14ac:dyDescent="0.25">
      <c r="A10" s="19" t="s">
        <v>126</v>
      </c>
      <c r="B10" s="14"/>
      <c r="C10" s="14"/>
      <c r="D10" s="14"/>
    </row>
    <row r="11" spans="1:4" x14ac:dyDescent="0.25">
      <c r="A11" s="15" t="s">
        <v>127</v>
      </c>
      <c r="B11" s="14"/>
      <c r="C11" s="14"/>
      <c r="D11" s="14"/>
    </row>
    <row r="12" spans="1:4" x14ac:dyDescent="0.25">
      <c r="A12" s="15" t="s">
        <v>128</v>
      </c>
      <c r="B12" s="14"/>
      <c r="C12" s="14"/>
      <c r="D12" s="14"/>
    </row>
    <row r="13" spans="1:4" x14ac:dyDescent="0.25">
      <c r="A13" s="15" t="s">
        <v>129</v>
      </c>
      <c r="B13" s="14"/>
      <c r="C13" s="14"/>
      <c r="D13" s="14"/>
    </row>
    <row r="15" spans="1:4" x14ac:dyDescent="0.25">
      <c r="A15" s="19" t="s">
        <v>130</v>
      </c>
      <c r="B15" s="14"/>
      <c r="C15" s="14"/>
      <c r="D15" s="14"/>
    </row>
    <row r="16" spans="1:4" x14ac:dyDescent="0.25">
      <c r="A16" s="15" t="s">
        <v>131</v>
      </c>
      <c r="B16" s="14"/>
      <c r="C16" s="14"/>
      <c r="D16" s="14"/>
    </row>
    <row r="17" spans="1:4" x14ac:dyDescent="0.25">
      <c r="A17" s="15" t="s">
        <v>132</v>
      </c>
      <c r="B17" s="14"/>
      <c r="C17" s="14"/>
      <c r="D17" s="14"/>
    </row>
    <row r="18" spans="1:4" x14ac:dyDescent="0.25">
      <c r="A18" s="15" t="s">
        <v>133</v>
      </c>
      <c r="B18" s="14"/>
      <c r="C18" s="14"/>
      <c r="D18" s="14"/>
    </row>
    <row r="19" spans="1:4" x14ac:dyDescent="0.25">
      <c r="A19" s="15" t="s">
        <v>134</v>
      </c>
      <c r="B19" s="14"/>
      <c r="C19" s="14"/>
      <c r="D19" s="14"/>
    </row>
  </sheetData>
  <mergeCells count="11">
    <mergeCell ref="A19:D19"/>
    <mergeCell ref="A10:D10"/>
    <mergeCell ref="A13:D13"/>
    <mergeCell ref="A1:D1"/>
    <mergeCell ref="A17:D17"/>
    <mergeCell ref="A18:D18"/>
    <mergeCell ref="A12:D12"/>
    <mergeCell ref="A3:D3"/>
    <mergeCell ref="A15:D15"/>
    <mergeCell ref="A16:D16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topLeftCell="A17" workbookViewId="0">
      <selection sqref="A1:G1"/>
    </sheetView>
  </sheetViews>
  <sheetFormatPr defaultRowHeight="15" x14ac:dyDescent="0.25"/>
  <cols>
    <col min="1" max="1" width="10" customWidth="1"/>
    <col min="2" max="2" width="22" customWidth="1"/>
    <col min="3" max="3" width="16" customWidth="1"/>
    <col min="4" max="6" width="14" customWidth="1"/>
    <col min="7" max="7" width="18" customWidth="1"/>
  </cols>
  <sheetData>
    <row r="1" spans="1:7" ht="18" x14ac:dyDescent="0.25">
      <c r="A1" s="16" t="s">
        <v>135</v>
      </c>
      <c r="B1" s="14"/>
      <c r="C1" s="14"/>
      <c r="D1" s="14"/>
      <c r="E1" s="14"/>
      <c r="F1" s="14"/>
      <c r="G1" s="14"/>
    </row>
    <row r="2" spans="1:7" x14ac:dyDescent="0.25">
      <c r="A2" s="20" t="s">
        <v>136</v>
      </c>
      <c r="B2" s="14"/>
      <c r="C2" s="14"/>
      <c r="D2" s="14"/>
      <c r="E2" s="14"/>
      <c r="F2" s="14"/>
      <c r="G2" s="14"/>
    </row>
    <row r="4" spans="1:7" ht="30" x14ac:dyDescent="0.25">
      <c r="A4" s="1" t="s">
        <v>137</v>
      </c>
      <c r="B4" s="1" t="s">
        <v>138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139</v>
      </c>
    </row>
    <row r="5" spans="1:7" x14ac:dyDescent="0.25">
      <c r="A5" s="2">
        <v>1</v>
      </c>
      <c r="B5" s="2" t="s">
        <v>140</v>
      </c>
      <c r="C5" s="2" t="s">
        <v>141</v>
      </c>
      <c r="D5" s="2">
        <v>0</v>
      </c>
      <c r="E5" s="2">
        <v>0</v>
      </c>
      <c r="F5" s="2">
        <v>0</v>
      </c>
      <c r="G5" s="9">
        <f t="shared" ref="G5:G29" si="0">IFERROR(F5/D5,0)</f>
        <v>0</v>
      </c>
    </row>
    <row r="6" spans="1:7" x14ac:dyDescent="0.25">
      <c r="A6" s="2">
        <v>1</v>
      </c>
      <c r="B6" s="2" t="s">
        <v>140</v>
      </c>
      <c r="C6" s="2" t="s">
        <v>142</v>
      </c>
      <c r="D6" s="2">
        <v>0</v>
      </c>
      <c r="E6" s="2">
        <v>0</v>
      </c>
      <c r="F6" s="2">
        <v>0</v>
      </c>
      <c r="G6" s="9">
        <f t="shared" si="0"/>
        <v>0</v>
      </c>
    </row>
    <row r="7" spans="1:7" x14ac:dyDescent="0.25">
      <c r="A7" s="2">
        <v>1</v>
      </c>
      <c r="B7" s="2" t="s">
        <v>140</v>
      </c>
      <c r="C7" s="2" t="s">
        <v>143</v>
      </c>
      <c r="D7" s="2">
        <v>0</v>
      </c>
      <c r="E7" s="2">
        <v>0</v>
      </c>
      <c r="F7" s="2">
        <v>0</v>
      </c>
      <c r="G7" s="9">
        <f t="shared" si="0"/>
        <v>0</v>
      </c>
    </row>
    <row r="8" spans="1:7" x14ac:dyDescent="0.25">
      <c r="A8" s="2">
        <v>2</v>
      </c>
      <c r="B8" s="2" t="s">
        <v>144</v>
      </c>
      <c r="C8" s="2" t="s">
        <v>141</v>
      </c>
      <c r="D8" s="2">
        <v>0</v>
      </c>
      <c r="E8" s="2">
        <v>0</v>
      </c>
      <c r="F8" s="2">
        <v>0</v>
      </c>
      <c r="G8" s="9">
        <f t="shared" si="0"/>
        <v>0</v>
      </c>
    </row>
    <row r="9" spans="1:7" x14ac:dyDescent="0.25">
      <c r="A9" s="2">
        <v>2</v>
      </c>
      <c r="B9" s="2" t="s">
        <v>144</v>
      </c>
      <c r="C9" s="2" t="s">
        <v>142</v>
      </c>
      <c r="D9" s="2">
        <v>0</v>
      </c>
      <c r="E9" s="2">
        <v>0</v>
      </c>
      <c r="F9" s="2">
        <v>0</v>
      </c>
      <c r="G9" s="9">
        <f t="shared" si="0"/>
        <v>0</v>
      </c>
    </row>
    <row r="10" spans="1:7" x14ac:dyDescent="0.25">
      <c r="A10" s="2">
        <v>2</v>
      </c>
      <c r="B10" s="2" t="s">
        <v>144</v>
      </c>
      <c r="C10" s="2" t="s">
        <v>143</v>
      </c>
      <c r="D10" s="2">
        <v>0</v>
      </c>
      <c r="E10" s="2">
        <v>0</v>
      </c>
      <c r="F10" s="2">
        <v>0</v>
      </c>
      <c r="G10" s="9">
        <f t="shared" si="0"/>
        <v>0</v>
      </c>
    </row>
    <row r="11" spans="1:7" x14ac:dyDescent="0.25">
      <c r="A11" s="2">
        <v>3</v>
      </c>
      <c r="B11" s="2" t="s">
        <v>145</v>
      </c>
      <c r="C11" s="2" t="s">
        <v>141</v>
      </c>
      <c r="D11" s="2">
        <v>0</v>
      </c>
      <c r="E11" s="2">
        <v>0</v>
      </c>
      <c r="F11" s="2">
        <v>0</v>
      </c>
      <c r="G11" s="9">
        <f t="shared" si="0"/>
        <v>0</v>
      </c>
    </row>
    <row r="12" spans="1:7" x14ac:dyDescent="0.25">
      <c r="A12" s="2">
        <v>3</v>
      </c>
      <c r="B12" s="2" t="s">
        <v>145</v>
      </c>
      <c r="C12" s="2" t="s">
        <v>142</v>
      </c>
      <c r="D12" s="2">
        <v>0</v>
      </c>
      <c r="E12" s="2">
        <v>0</v>
      </c>
      <c r="F12" s="2">
        <v>0</v>
      </c>
      <c r="G12" s="9">
        <f t="shared" si="0"/>
        <v>0</v>
      </c>
    </row>
    <row r="13" spans="1:7" x14ac:dyDescent="0.25">
      <c r="A13" s="2">
        <v>3</v>
      </c>
      <c r="B13" s="2" t="s">
        <v>145</v>
      </c>
      <c r="C13" s="2" t="s">
        <v>143</v>
      </c>
      <c r="D13" s="2">
        <v>0</v>
      </c>
      <c r="E13" s="2">
        <v>0</v>
      </c>
      <c r="F13" s="2">
        <v>0</v>
      </c>
      <c r="G13" s="9">
        <f t="shared" si="0"/>
        <v>0</v>
      </c>
    </row>
    <row r="14" spans="1:7" x14ac:dyDescent="0.25">
      <c r="A14" s="2">
        <v>4</v>
      </c>
      <c r="B14" s="2" t="s">
        <v>146</v>
      </c>
      <c r="C14" s="2" t="s">
        <v>141</v>
      </c>
      <c r="D14" s="2">
        <v>0</v>
      </c>
      <c r="E14" s="2">
        <v>0</v>
      </c>
      <c r="F14" s="2">
        <v>0</v>
      </c>
      <c r="G14" s="9">
        <f t="shared" si="0"/>
        <v>0</v>
      </c>
    </row>
    <row r="15" spans="1:7" x14ac:dyDescent="0.25">
      <c r="A15" s="2">
        <v>4</v>
      </c>
      <c r="B15" s="2" t="s">
        <v>146</v>
      </c>
      <c r="C15" s="2" t="s">
        <v>142</v>
      </c>
      <c r="D15" s="2">
        <v>0</v>
      </c>
      <c r="E15" s="2">
        <v>0</v>
      </c>
      <c r="F15" s="2">
        <v>0</v>
      </c>
      <c r="G15" s="9">
        <f t="shared" si="0"/>
        <v>0</v>
      </c>
    </row>
    <row r="16" spans="1:7" x14ac:dyDescent="0.25">
      <c r="A16" s="2">
        <v>4</v>
      </c>
      <c r="B16" s="2" t="s">
        <v>146</v>
      </c>
      <c r="C16" s="2" t="s">
        <v>143</v>
      </c>
      <c r="D16" s="2">
        <v>0</v>
      </c>
      <c r="E16" s="2">
        <v>0</v>
      </c>
      <c r="F16" s="2">
        <v>0</v>
      </c>
      <c r="G16" s="9">
        <f t="shared" si="0"/>
        <v>0</v>
      </c>
    </row>
    <row r="17" spans="1:7" x14ac:dyDescent="0.25">
      <c r="A17" s="2">
        <v>5</v>
      </c>
      <c r="B17" s="2" t="s">
        <v>147</v>
      </c>
      <c r="C17" s="2" t="s">
        <v>141</v>
      </c>
      <c r="D17" s="2">
        <v>0</v>
      </c>
      <c r="E17" s="2">
        <v>0</v>
      </c>
      <c r="F17" s="2">
        <v>0</v>
      </c>
      <c r="G17" s="9">
        <f t="shared" si="0"/>
        <v>0</v>
      </c>
    </row>
    <row r="18" spans="1:7" x14ac:dyDescent="0.25">
      <c r="A18" s="2">
        <v>5</v>
      </c>
      <c r="B18" s="2" t="s">
        <v>147</v>
      </c>
      <c r="C18" s="2" t="s">
        <v>142</v>
      </c>
      <c r="D18" s="2">
        <v>0</v>
      </c>
      <c r="E18" s="2">
        <v>0</v>
      </c>
      <c r="F18" s="2">
        <v>0</v>
      </c>
      <c r="G18" s="9">
        <f t="shared" si="0"/>
        <v>0</v>
      </c>
    </row>
    <row r="19" spans="1:7" x14ac:dyDescent="0.25">
      <c r="A19" s="2">
        <v>5</v>
      </c>
      <c r="B19" s="2" t="s">
        <v>147</v>
      </c>
      <c r="C19" s="2" t="s">
        <v>143</v>
      </c>
      <c r="D19" s="2">
        <v>0</v>
      </c>
      <c r="E19" s="2">
        <v>0</v>
      </c>
      <c r="F19" s="2">
        <v>0</v>
      </c>
      <c r="G19" s="9">
        <f t="shared" si="0"/>
        <v>0</v>
      </c>
    </row>
    <row r="20" spans="1:7" x14ac:dyDescent="0.25">
      <c r="A20" s="2">
        <v>6</v>
      </c>
      <c r="B20" s="2" t="s">
        <v>148</v>
      </c>
      <c r="C20" s="2" t="s">
        <v>141</v>
      </c>
      <c r="D20" s="2">
        <v>0</v>
      </c>
      <c r="E20" s="2">
        <v>0</v>
      </c>
      <c r="F20" s="2">
        <v>0</v>
      </c>
      <c r="G20" s="9">
        <f t="shared" si="0"/>
        <v>0</v>
      </c>
    </row>
    <row r="21" spans="1:7" x14ac:dyDescent="0.25">
      <c r="A21" s="2">
        <v>6</v>
      </c>
      <c r="B21" s="2" t="s">
        <v>148</v>
      </c>
      <c r="C21" s="2" t="s">
        <v>142</v>
      </c>
      <c r="D21" s="2">
        <v>0</v>
      </c>
      <c r="E21" s="2">
        <v>0</v>
      </c>
      <c r="F21" s="2">
        <v>0</v>
      </c>
      <c r="G21" s="9">
        <f t="shared" si="0"/>
        <v>0</v>
      </c>
    </row>
    <row r="22" spans="1:7" x14ac:dyDescent="0.25">
      <c r="A22" s="2">
        <v>6</v>
      </c>
      <c r="B22" s="2" t="s">
        <v>148</v>
      </c>
      <c r="C22" s="2" t="s">
        <v>143</v>
      </c>
      <c r="D22" s="2">
        <v>0</v>
      </c>
      <c r="E22" s="2">
        <v>0</v>
      </c>
      <c r="F22" s="2">
        <v>0</v>
      </c>
      <c r="G22" s="9">
        <f t="shared" si="0"/>
        <v>0</v>
      </c>
    </row>
    <row r="23" spans="1:7" x14ac:dyDescent="0.25">
      <c r="A23" s="2">
        <v>7</v>
      </c>
      <c r="B23" s="2" t="s">
        <v>149</v>
      </c>
      <c r="C23" s="2" t="s">
        <v>141</v>
      </c>
      <c r="D23" s="2">
        <v>0</v>
      </c>
      <c r="E23" s="2">
        <v>0</v>
      </c>
      <c r="F23" s="2">
        <v>0</v>
      </c>
      <c r="G23" s="9">
        <f t="shared" si="0"/>
        <v>0</v>
      </c>
    </row>
    <row r="24" spans="1:7" x14ac:dyDescent="0.25">
      <c r="A24" s="2">
        <v>7</v>
      </c>
      <c r="B24" s="2" t="s">
        <v>149</v>
      </c>
      <c r="C24" s="2" t="s">
        <v>142</v>
      </c>
      <c r="D24" s="2">
        <v>0</v>
      </c>
      <c r="E24" s="2">
        <v>0</v>
      </c>
      <c r="F24" s="2">
        <v>0</v>
      </c>
      <c r="G24" s="9">
        <f t="shared" si="0"/>
        <v>0</v>
      </c>
    </row>
    <row r="25" spans="1:7" x14ac:dyDescent="0.25">
      <c r="A25" s="2">
        <v>7</v>
      </c>
      <c r="B25" s="2" t="s">
        <v>149</v>
      </c>
      <c r="C25" s="2" t="s">
        <v>143</v>
      </c>
      <c r="D25" s="2">
        <v>0</v>
      </c>
      <c r="E25" s="2">
        <v>0</v>
      </c>
      <c r="F25" s="2">
        <v>0</v>
      </c>
      <c r="G25" s="9">
        <f t="shared" si="0"/>
        <v>0</v>
      </c>
    </row>
    <row r="26" spans="1:7" x14ac:dyDescent="0.25">
      <c r="A26" s="2">
        <v>8</v>
      </c>
      <c r="B26" s="2" t="s">
        <v>150</v>
      </c>
      <c r="C26" s="2" t="s">
        <v>141</v>
      </c>
      <c r="D26" s="2">
        <v>0</v>
      </c>
      <c r="E26" s="2">
        <v>0</v>
      </c>
      <c r="F26" s="2">
        <v>0</v>
      </c>
      <c r="G26" s="9">
        <f t="shared" si="0"/>
        <v>0</v>
      </c>
    </row>
    <row r="27" spans="1:7" x14ac:dyDescent="0.25">
      <c r="A27" s="2">
        <v>8</v>
      </c>
      <c r="B27" s="2" t="s">
        <v>150</v>
      </c>
      <c r="C27" s="2" t="s">
        <v>142</v>
      </c>
      <c r="D27" s="2">
        <v>0</v>
      </c>
      <c r="E27" s="2">
        <v>0</v>
      </c>
      <c r="F27" s="2">
        <v>0</v>
      </c>
      <c r="G27" s="9">
        <f t="shared" si="0"/>
        <v>0</v>
      </c>
    </row>
    <row r="28" spans="1:7" x14ac:dyDescent="0.25">
      <c r="A28" s="2">
        <v>8</v>
      </c>
      <c r="B28" s="2" t="s">
        <v>150</v>
      </c>
      <c r="C28" s="2" t="s">
        <v>143</v>
      </c>
      <c r="D28" s="2">
        <v>0</v>
      </c>
      <c r="E28" s="2">
        <v>0</v>
      </c>
      <c r="F28" s="2">
        <v>0</v>
      </c>
      <c r="G28" s="9">
        <f t="shared" si="0"/>
        <v>0</v>
      </c>
    </row>
    <row r="29" spans="1:7" x14ac:dyDescent="0.25">
      <c r="A29" s="10" t="s">
        <v>151</v>
      </c>
      <c r="B29" s="10"/>
      <c r="C29" s="10"/>
      <c r="D29" s="10">
        <f>SUM(D5:D28)</f>
        <v>0</v>
      </c>
      <c r="E29" s="10">
        <f>SUM(E5:E28)</f>
        <v>0</v>
      </c>
      <c r="F29" s="10">
        <f>SUM(F5:F28)</f>
        <v>0</v>
      </c>
      <c r="G29" s="11">
        <f t="shared" si="0"/>
        <v>0</v>
      </c>
    </row>
    <row r="31" spans="1:7" x14ac:dyDescent="0.25">
      <c r="A31" s="12" t="s">
        <v>152</v>
      </c>
      <c r="B31" s="12"/>
      <c r="C31" s="12"/>
      <c r="D31" s="12">
        <v>194</v>
      </c>
      <c r="E31" s="12">
        <v>48</v>
      </c>
      <c r="F31" s="12">
        <v>18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topLeftCell="A6" workbookViewId="0">
      <selection sqref="A1:B1"/>
    </sheetView>
  </sheetViews>
  <sheetFormatPr defaultRowHeight="15" x14ac:dyDescent="0.25"/>
  <cols>
    <col min="1" max="1" width="55" customWidth="1"/>
    <col min="2" max="2" width="65" customWidth="1"/>
  </cols>
  <sheetData>
    <row r="1" spans="1:2" ht="18" x14ac:dyDescent="0.25">
      <c r="A1" s="16" t="s">
        <v>153</v>
      </c>
      <c r="B1" s="14"/>
    </row>
    <row r="3" spans="1:2" x14ac:dyDescent="0.25">
      <c r="A3" s="1" t="s">
        <v>154</v>
      </c>
      <c r="B3" s="1" t="s">
        <v>155</v>
      </c>
    </row>
    <row r="4" spans="1:2" ht="39.950000000000003" customHeight="1" x14ac:dyDescent="0.25">
      <c r="A4" s="2" t="s">
        <v>156</v>
      </c>
      <c r="B4" s="2" t="s">
        <v>157</v>
      </c>
    </row>
    <row r="5" spans="1:2" ht="39.950000000000003" customHeight="1" x14ac:dyDescent="0.25">
      <c r="A5" s="2" t="s">
        <v>158</v>
      </c>
      <c r="B5" s="2" t="s">
        <v>159</v>
      </c>
    </row>
    <row r="6" spans="1:2" ht="39.950000000000003" customHeight="1" x14ac:dyDescent="0.25">
      <c r="A6" s="2" t="s">
        <v>160</v>
      </c>
      <c r="B6" s="2" t="s">
        <v>161</v>
      </c>
    </row>
    <row r="7" spans="1:2" ht="39.950000000000003" customHeight="1" x14ac:dyDescent="0.25">
      <c r="A7" s="2" t="s">
        <v>162</v>
      </c>
      <c r="B7" s="2" t="s">
        <v>163</v>
      </c>
    </row>
    <row r="8" spans="1:2" ht="39.950000000000003" customHeight="1" x14ac:dyDescent="0.25">
      <c r="A8" s="2" t="s">
        <v>164</v>
      </c>
      <c r="B8" s="2" t="s">
        <v>165</v>
      </c>
    </row>
    <row r="9" spans="1:2" ht="39.950000000000003" customHeight="1" x14ac:dyDescent="0.25">
      <c r="A9" s="2" t="s">
        <v>166</v>
      </c>
      <c r="B9" s="2" t="s">
        <v>167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Resumo</vt:lpstr>
      <vt:lpstr>NOW (Abr 8 - Mai 26)</vt:lpstr>
      <vt:lpstr>NEXT (Mai 27 - Jun 30)</vt:lpstr>
      <vt:lpstr>LATER (Jul+)</vt:lpstr>
      <vt:lpstr>Riscos</vt:lpstr>
      <vt:lpstr>Planilha1</vt:lpstr>
      <vt:lpstr>Planilha2</vt:lpstr>
      <vt:lpstr>Planilha3</vt:lpstr>
      <vt:lpstr>Planilha4</vt:lpstr>
      <vt:lpstr>Marcos &amp; Verificação</vt:lpstr>
      <vt:lpstr>Pipeline Tracker</vt:lpstr>
      <vt:lpstr>Mudanças vs 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Octávio Alvarenga</cp:lastModifiedBy>
  <dcterms:created xsi:type="dcterms:W3CDTF">2026-04-08T07:50:20Z</dcterms:created>
  <dcterms:modified xsi:type="dcterms:W3CDTF">2026-04-08T07:54:37Z</dcterms:modified>
</cp:coreProperties>
</file>